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'資金明細'!$A$1:$Z$1048</definedName>
    <definedName name="_xlnm._FilterDatabase" localSheetId="6" hidden="1">'交易明細'!$A$1:$AC$526</definedName>
    <definedName name="_xlnm._FilterDatabase" localSheetId="7" hidden="1">'幣種統計'!$A$1:$L$91</definedName>
    <definedName name="_xlnm._FilterDatabase" localSheetId="8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'資金明細'!$R$2:$R$1048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2026-09-28 06:17（Dry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COUNTIFS(交易明細!$B$2:$B$526,"&lt;&gt;")</f>
        <v/>
      </c>
      <c r="C5" s="2">
        <f>D5+E5+F5</f>
        <v/>
      </c>
      <c r="D5" s="2">
        <f>COUNTIFS(交易明細!$J$2:$J$526,"止盈")</f>
        <v/>
      </c>
      <c r="E5" s="2">
        <f>COUNTIFS(交易明細!$J$2:$J$526,"止損")</f>
        <v/>
      </c>
      <c r="F5" s="2">
        <f>COUNTIFS(交易明細!$J$2:$J$526,"時間出場")</f>
        <v/>
      </c>
      <c r="G5" s="2">
        <f>COUNTIFS(交易明細!$J$2:$J$526,"未平倉")</f>
        <v/>
      </c>
      <c r="H5" s="4">
        <f>IFERROR(D5/C5,0)</f>
        <v/>
      </c>
      <c r="I5" s="4">
        <f>IFERROR(AVERAGEIFS(交易明細!$AC$2:$AC$526,交易明細!$J$2:$J$526,"&lt;&gt;未平倉"),參數!$B$16)</f>
        <v/>
      </c>
      <c r="J5" s="4">
        <f>IFERROR(AVERAGEIFS(交易明細!$L$2:$L$526,交易明細!$J$2:$J$526,"&lt;&gt;未平倉"),0)</f>
        <v/>
      </c>
      <c r="K5" s="4">
        <f>SUMIFS(交易明細!$L$2:$L$526,交易明細!$J$2:$J$526,"&lt;&gt;未平倉")</f>
        <v/>
      </c>
      <c r="L5" s="5">
        <f>IFERROR(AVERAGEIFS(交易明細!$K$2:$K$526,交易明細!$J$2:$J$526,"&lt;&gt;未平倉"),0)</f>
        <v/>
      </c>
      <c r="M5" s="5">
        <f>IFERROR(AVERAGEIFS(交易明細!$K$2:$K$526,交易明細!$J$2:$J$526,"止盈"),0)</f>
        <v/>
      </c>
      <c r="N5" s="5">
        <f>IFERROR(AVERAGEIFS(交易明細!$K$2:$K$526,交易明細!$J$2:$J$526,"止損"),0)</f>
        <v/>
      </c>
      <c r="O5" s="4">
        <f>IFERROR(AVERAGEIFS(交易明細!$L$2:$L$526,交易明細!$J$2:$J$526,"時間出場"),0)</f>
        <v/>
      </c>
      <c r="P5" s="4">
        <f>IFERROR(COUNTIFS(交易明細!$J$2:$J$526,"&lt;&gt;未平倉",交易明細!$L$2:$L$526,"&gt;0")/C5,0)</f>
        <v/>
      </c>
    </row>
    <row r="6">
      <c r="A6" s="2" t="inlineStr">
        <is>
          <t>做多</t>
        </is>
      </c>
      <c r="B6" s="2">
        <f>COUNTIFS(交易明細!$C$2:$C$526,"做多",交易明細!$B$2:$B$526,"&lt;&gt;")</f>
        <v/>
      </c>
      <c r="C6" s="2">
        <f>D6+E6+F6</f>
        <v/>
      </c>
      <c r="D6" s="2">
        <f>COUNTIFS(交易明細!$C$2:$C$526,"做多",交易明細!$J$2:$J$526,"止盈")</f>
        <v/>
      </c>
      <c r="E6" s="2">
        <f>COUNTIFS(交易明細!$C$2:$C$526,"做多",交易明細!$J$2:$J$526,"止損")</f>
        <v/>
      </c>
      <c r="F6" s="2">
        <f>COUNTIFS(交易明細!$C$2:$C$526,"做多",交易明細!$J$2:$J$526,"時間出場")</f>
        <v/>
      </c>
      <c r="G6" s="2">
        <f>COUNTIFS(交易明細!$C$2:$C$526,"做多",交易明細!$J$2:$J$526,"未平倉")</f>
        <v/>
      </c>
      <c r="H6" s="4">
        <f>IFERROR(D6/C6,0)</f>
        <v/>
      </c>
      <c r="I6" s="4">
        <f>IFERROR(AVERAGEIFS(交易明細!$AC$2:$AC$526,交易明細!$C$2:$C$526,"做多",交易明細!$J$2:$J$526,"&lt;&gt;未平倉"),參數!$B$16)</f>
        <v/>
      </c>
      <c r="J6" s="4">
        <f>IFERROR(AVERAGEIFS(交易明細!$L$2:$L$526,交易明細!$C$2:$C$526,"做多",交易明細!$J$2:$J$526,"&lt;&gt;未平倉"),0)</f>
        <v/>
      </c>
      <c r="K6" s="4">
        <f>SUMIFS(交易明細!$L$2:$L$526,交易明細!$C$2:$C$526,"做多",交易明細!$J$2:$J$526,"&lt;&gt;未平倉")</f>
        <v/>
      </c>
      <c r="L6" s="5">
        <f>IFERROR(AVERAGEIFS(交易明細!$K$2:$K$526,交易明細!$C$2:$C$526,"做多",交易明細!$J$2:$J$526,"&lt;&gt;未平倉"),0)</f>
        <v/>
      </c>
      <c r="M6" s="5">
        <f>IFERROR(AVERAGEIFS(交易明細!$K$2:$K$526,交易明細!$C$2:$C$526,"做多",交易明細!$J$2:$J$526,"止盈"),0)</f>
        <v/>
      </c>
      <c r="N6" s="5">
        <f>IFERROR(AVERAGEIFS(交易明細!$K$2:$K$526,交易明細!$C$2:$C$526,"做多",交易明細!$J$2:$J$526,"止損"),0)</f>
        <v/>
      </c>
      <c r="O6" s="4">
        <f>IFERROR(AVERAGEIFS(交易明細!$L$2:$L$526,交易明細!$C$2:$C$526,"做多",交易明細!$J$2:$J$526,"時間出場"),0)</f>
        <v/>
      </c>
      <c r="P6" s="4">
        <f>IFERROR(COUNTIFS(交易明細!$C$2:$C$526,"做多",交易明細!$J$2:$J$526,"&lt;&gt;未平倉",交易明細!$L$2:$L$526,"&gt;0")/C6,0)</f>
        <v/>
      </c>
    </row>
    <row r="7">
      <c r="A7" s="2" t="inlineStr">
        <is>
          <t>做空</t>
        </is>
      </c>
      <c r="B7" s="2">
        <f>COUNTIFS(交易明細!$C$2:$C$526,"做空",交易明細!$B$2:$B$526,"&lt;&gt;")</f>
        <v/>
      </c>
      <c r="C7" s="2">
        <f>D7+E7+F7</f>
        <v/>
      </c>
      <c r="D7" s="2">
        <f>COUNTIFS(交易明細!$C$2:$C$526,"做空",交易明細!$J$2:$J$526,"止盈")</f>
        <v/>
      </c>
      <c r="E7" s="2">
        <f>COUNTIFS(交易明細!$C$2:$C$526,"做空",交易明細!$J$2:$J$526,"止損")</f>
        <v/>
      </c>
      <c r="F7" s="2">
        <f>COUNTIFS(交易明細!$C$2:$C$526,"做空",交易明細!$J$2:$J$526,"時間出場")</f>
        <v/>
      </c>
      <c r="G7" s="2">
        <f>COUNTIFS(交易明細!$C$2:$C$526,"做空",交易明細!$J$2:$J$526,"未平倉")</f>
        <v/>
      </c>
      <c r="H7" s="4">
        <f>IFERROR(D7/C7,0)</f>
        <v/>
      </c>
      <c r="I7" s="4">
        <f>IFERROR(AVERAGEIFS(交易明細!$AC$2:$AC$526,交易明細!$C$2:$C$526,"做空",交易明細!$J$2:$J$526,"&lt;&gt;未平倉"),參數!$B$16)</f>
        <v/>
      </c>
      <c r="J7" s="4">
        <f>IFERROR(AVERAGEIFS(交易明細!$L$2:$L$526,交易明細!$C$2:$C$526,"做空",交易明細!$J$2:$J$526,"&lt;&gt;未平倉"),0)</f>
        <v/>
      </c>
      <c r="K7" s="4">
        <f>SUMIFS(交易明細!$L$2:$L$526,交易明細!$C$2:$C$526,"做空",交易明細!$J$2:$J$526,"&lt;&gt;未平倉")</f>
        <v/>
      </c>
      <c r="L7" s="5">
        <f>IFERROR(AVERAGEIFS(交易明細!$K$2:$K$526,交易明細!$C$2:$C$526,"做空",交易明細!$J$2:$J$526,"&lt;&gt;未平倉"),0)</f>
        <v/>
      </c>
      <c r="M7" s="5">
        <f>IFERROR(AVERAGEIFS(交易明細!$K$2:$K$526,交易明細!$C$2:$C$526,"做空",交易明細!$J$2:$J$526,"止盈"),0)</f>
        <v/>
      </c>
      <c r="N7" s="5">
        <f>IFERROR(AVERAGEIFS(交易明細!$K$2:$K$526,交易明細!$C$2:$C$526,"做空",交易明細!$J$2:$J$526,"止損"),0)</f>
        <v/>
      </c>
      <c r="O7" s="4">
        <f>IFERROR(AVERAGEIFS(交易明細!$L$2:$L$526,交易明細!$C$2:$C$526,"做空",交易明細!$J$2:$J$526,"時間出場"),0)</f>
        <v/>
      </c>
      <c r="P7" s="4">
        <f>IFERROR(COUNTIFS(交易明細!$C$2:$C$526,"做空",交易明細!$J$2:$J$526,"&lt;&gt;未平倉",交易明細!$L$2:$L$526,"&gt;0")/C7,0)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3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46293.26205886574</v>
      </c>
      <c r="B2" s="7" t="n">
        <v>46293.26111111111</v>
      </c>
      <c r="C2" s="2" t="n">
        <v>433</v>
      </c>
      <c r="D2" s="2" t="n">
        <v>1</v>
      </c>
      <c r="E2" s="2" t="n">
        <v>2</v>
      </c>
      <c r="F2" s="2" t="n">
        <v>0</v>
      </c>
      <c r="G2" s="2" t="n">
        <v>178</v>
      </c>
    </row>
    <row r="3">
      <c r="A3" s="7" t="n">
        <v>46293.12570534722</v>
      </c>
      <c r="B3" s="7" t="n">
        <v>46293.125</v>
      </c>
      <c r="C3" s="2" t="n">
        <v>433</v>
      </c>
      <c r="D3" s="2" t="n">
        <v>2</v>
      </c>
      <c r="E3" s="2" t="n">
        <v>0</v>
      </c>
      <c r="F3" s="2" t="n">
        <v>0</v>
      </c>
      <c r="G3" s="2" t="n">
        <v>193.1</v>
      </c>
    </row>
    <row r="4">
      <c r="A4" s="7" t="n">
        <v>46293.08172232639</v>
      </c>
      <c r="B4" s="7" t="n">
        <v>46293.08055555556</v>
      </c>
      <c r="C4" s="2" t="n">
        <v>433</v>
      </c>
      <c r="D4" s="2" t="n">
        <v>1</v>
      </c>
      <c r="E4" s="2" t="n">
        <v>2</v>
      </c>
      <c r="F4" s="2" t="n">
        <v>0</v>
      </c>
      <c r="G4" s="2" t="n">
        <v>148.9</v>
      </c>
    </row>
    <row r="5">
      <c r="A5" s="7" t="n">
        <v>46292.9814453588</v>
      </c>
      <c r="B5" s="7" t="n">
        <v>46292.98055555556</v>
      </c>
      <c r="C5" s="2" t="n">
        <v>433</v>
      </c>
      <c r="D5" s="2" t="n">
        <v>2</v>
      </c>
      <c r="E5" s="2" t="n">
        <v>1</v>
      </c>
      <c r="F5" s="2" t="n">
        <v>0</v>
      </c>
      <c r="G5" s="2" t="n">
        <v>186</v>
      </c>
    </row>
    <row r="6">
      <c r="A6" s="7" t="n">
        <v>46292.9472603125</v>
      </c>
      <c r="B6" s="7" t="n">
        <v>46292.94652777778</v>
      </c>
      <c r="C6" s="2" t="n">
        <v>433</v>
      </c>
      <c r="D6" s="2" t="n">
        <v>0</v>
      </c>
      <c r="E6" s="2" t="n">
        <v>0</v>
      </c>
      <c r="F6" s="2" t="n">
        <v>0</v>
      </c>
      <c r="G6" s="2" t="n">
        <v>192.1</v>
      </c>
    </row>
    <row r="7">
      <c r="A7" s="7" t="n">
        <v>46292.919814375</v>
      </c>
      <c r="B7" s="7" t="n">
        <v>46292.91875</v>
      </c>
      <c r="C7" s="2" t="n">
        <v>433</v>
      </c>
      <c r="D7" s="2" t="n">
        <v>2</v>
      </c>
      <c r="E7" s="2" t="n">
        <v>3</v>
      </c>
      <c r="F7" s="2" t="n">
        <v>0</v>
      </c>
      <c r="G7" s="2" t="n">
        <v>192.5</v>
      </c>
    </row>
    <row r="8">
      <c r="A8" s="7" t="n">
        <v>46292.81065981482</v>
      </c>
      <c r="B8" s="7" t="n">
        <v>46292.80972222222</v>
      </c>
      <c r="C8" s="2" t="n">
        <v>433</v>
      </c>
      <c r="D8" s="2" t="n">
        <v>1</v>
      </c>
      <c r="E8" s="2" t="n">
        <v>1</v>
      </c>
      <c r="F8" s="2" t="n">
        <v>0</v>
      </c>
      <c r="G8" s="2" t="n">
        <v>177.2</v>
      </c>
    </row>
    <row r="9">
      <c r="A9" s="7" t="n">
        <v>46292.73704342593</v>
      </c>
      <c r="B9" s="7" t="n">
        <v>46292.73611111111</v>
      </c>
      <c r="C9" s="2" t="n">
        <v>433</v>
      </c>
      <c r="D9" s="2" t="n">
        <v>0</v>
      </c>
      <c r="E9" s="2" t="n">
        <v>1</v>
      </c>
      <c r="F9" s="2" t="n">
        <v>0</v>
      </c>
      <c r="G9" s="2" t="n">
        <v>147.3</v>
      </c>
    </row>
    <row r="10">
      <c r="A10" s="7" t="n">
        <v>46292.67926077546</v>
      </c>
      <c r="B10" s="7" t="n">
        <v>46292.67847222222</v>
      </c>
      <c r="C10" s="2" t="n">
        <v>433</v>
      </c>
      <c r="D10" s="2" t="n">
        <v>0</v>
      </c>
      <c r="E10" s="2" t="n">
        <v>1</v>
      </c>
      <c r="F10" s="2" t="n">
        <v>0</v>
      </c>
      <c r="G10" s="2" t="n">
        <v>197.6</v>
      </c>
    </row>
    <row r="11">
      <c r="A11" s="7" t="n">
        <v>46292.6274472338</v>
      </c>
      <c r="B11" s="7" t="n">
        <v>46292.62638888889</v>
      </c>
      <c r="C11" s="2" t="n">
        <v>433</v>
      </c>
      <c r="D11" s="2" t="n">
        <v>5</v>
      </c>
      <c r="E11" s="2" t="n">
        <v>3</v>
      </c>
      <c r="F11" s="2" t="n">
        <v>0</v>
      </c>
      <c r="G11" s="2" t="n">
        <v>192.4</v>
      </c>
    </row>
    <row r="12">
      <c r="A12" s="7" t="n">
        <v>46292.50599667824</v>
      </c>
      <c r="B12" s="7" t="n">
        <v>46292.50486111111</v>
      </c>
      <c r="C12" s="2" t="n">
        <v>433</v>
      </c>
      <c r="D12" s="2" t="n">
        <v>1</v>
      </c>
      <c r="E12" s="2" t="n">
        <v>1</v>
      </c>
      <c r="F12" s="2" t="n">
        <v>0</v>
      </c>
      <c r="G12" s="2" t="n">
        <v>191.3</v>
      </c>
    </row>
    <row r="13">
      <c r="A13" s="7" t="n">
        <v>46292.39740747685</v>
      </c>
      <c r="B13" s="7" t="n">
        <v>46292.39652777778</v>
      </c>
      <c r="C13" s="2" t="n">
        <v>433</v>
      </c>
      <c r="D13" s="2" t="n">
        <v>2</v>
      </c>
      <c r="E13" s="2" t="n">
        <v>2</v>
      </c>
      <c r="F13" s="2" t="n">
        <v>0</v>
      </c>
      <c r="G13" s="2" t="n">
        <v>150.9</v>
      </c>
    </row>
    <row r="14">
      <c r="A14" s="7" t="n">
        <v>46292.28951247685</v>
      </c>
      <c r="B14" s="7" t="n">
        <v>46292.28819444445</v>
      </c>
      <c r="C14" s="2" t="n">
        <v>433</v>
      </c>
      <c r="D14" s="2" t="n">
        <v>0</v>
      </c>
      <c r="E14" s="2" t="n">
        <v>0</v>
      </c>
      <c r="F14" s="2" t="n">
        <v>0</v>
      </c>
      <c r="G14" s="2" t="n">
        <v>163.9</v>
      </c>
    </row>
    <row r="15">
      <c r="A15" s="7" t="n">
        <v>46292.28563091435</v>
      </c>
      <c r="B15" s="7" t="n">
        <v>46292.28472222222</v>
      </c>
      <c r="C15" s="2" t="n">
        <v>433</v>
      </c>
      <c r="D15" s="2" t="n">
        <v>2</v>
      </c>
      <c r="E15" s="2" t="n">
        <v>2</v>
      </c>
      <c r="F15" s="2" t="n">
        <v>0</v>
      </c>
      <c r="G15" s="2" t="n">
        <v>186.1</v>
      </c>
    </row>
    <row r="16">
      <c r="A16" s="7" t="n">
        <v>46292.16453692129</v>
      </c>
      <c r="B16" s="7" t="n">
        <v>46292.16319444445</v>
      </c>
      <c r="C16" s="2" t="n">
        <v>433</v>
      </c>
      <c r="D16" s="2" t="n">
        <v>0</v>
      </c>
      <c r="E16" s="2" t="n">
        <v>2</v>
      </c>
      <c r="F16" s="2" t="n">
        <v>0</v>
      </c>
      <c r="G16" s="2" t="n">
        <v>183.8</v>
      </c>
    </row>
    <row r="17">
      <c r="A17" s="7" t="n">
        <v>46292.05207142361</v>
      </c>
      <c r="B17" s="7" t="n">
        <v>46292.05069444444</v>
      </c>
      <c r="C17" s="2" t="n">
        <v>433</v>
      </c>
      <c r="D17" s="2" t="n">
        <v>4</v>
      </c>
      <c r="E17" s="2" t="n">
        <v>2</v>
      </c>
      <c r="F17" s="2" t="n">
        <v>0</v>
      </c>
      <c r="G17" s="2" t="n">
        <v>160.8</v>
      </c>
    </row>
    <row r="18">
      <c r="A18" s="7" t="n">
        <v>46291.98017201389</v>
      </c>
      <c r="B18" s="7" t="n">
        <v>46291.97916666666</v>
      </c>
      <c r="C18" s="2" t="n">
        <v>433</v>
      </c>
      <c r="D18" s="2" t="n">
        <v>2</v>
      </c>
      <c r="E18" s="2" t="n">
        <v>0</v>
      </c>
      <c r="F18" s="2" t="n">
        <v>0</v>
      </c>
      <c r="G18" s="2" t="n">
        <v>148.2</v>
      </c>
    </row>
    <row r="19">
      <c r="A19" s="7" t="n">
        <v>46291.93749069444</v>
      </c>
      <c r="B19" s="7" t="n">
        <v>46291.93611111111</v>
      </c>
      <c r="C19" s="2" t="n">
        <v>433</v>
      </c>
      <c r="D19" s="2" t="n">
        <v>0</v>
      </c>
      <c r="E19" s="2" t="n">
        <v>0</v>
      </c>
      <c r="F19" s="2" t="n">
        <v>0</v>
      </c>
      <c r="G19" s="2" t="n">
        <v>163.1</v>
      </c>
    </row>
    <row r="20">
      <c r="A20" s="7" t="n">
        <v>46291.88266193287</v>
      </c>
      <c r="B20" s="7" t="n">
        <v>46291.88194444445</v>
      </c>
      <c r="C20" s="2" t="n">
        <v>433</v>
      </c>
      <c r="D20" s="2" t="n">
        <v>0</v>
      </c>
      <c r="E20" s="2" t="n">
        <v>0</v>
      </c>
      <c r="F20" s="2" t="n">
        <v>0</v>
      </c>
      <c r="G20" s="2" t="n">
        <v>140.5</v>
      </c>
    </row>
    <row r="21">
      <c r="A21" s="7" t="n">
        <v>46291.83751681713</v>
      </c>
      <c r="B21" s="7" t="n">
        <v>46291.83680555555</v>
      </c>
      <c r="C21" s="2" t="n">
        <v>433</v>
      </c>
      <c r="D21" s="2" t="n">
        <v>0</v>
      </c>
      <c r="E21" s="2" t="n">
        <v>2</v>
      </c>
      <c r="F21" s="2" t="n">
        <v>0</v>
      </c>
      <c r="G21" s="2" t="n">
        <v>186.6</v>
      </c>
    </row>
    <row r="22">
      <c r="A22" s="7" t="n">
        <v>46291.78589450232</v>
      </c>
      <c r="B22" s="7" t="n">
        <v>46291.78472222222</v>
      </c>
      <c r="C22" s="2" t="n">
        <v>433</v>
      </c>
      <c r="D22" s="2" t="n">
        <v>5</v>
      </c>
      <c r="E22" s="2" t="n">
        <v>7</v>
      </c>
      <c r="F22" s="2" t="n">
        <v>0</v>
      </c>
      <c r="G22" s="2" t="n">
        <v>157.8</v>
      </c>
    </row>
    <row r="23">
      <c r="A23" s="7" t="n">
        <v>46291.65882908565</v>
      </c>
      <c r="B23" s="7" t="n">
        <v>46291.65763888889</v>
      </c>
      <c r="C23" s="2" t="n">
        <v>433</v>
      </c>
      <c r="D23" s="2" t="n">
        <v>0</v>
      </c>
      <c r="E23" s="2" t="n">
        <v>0</v>
      </c>
      <c r="F23" s="2" t="n">
        <v>0</v>
      </c>
      <c r="G23" s="2" t="n">
        <v>175.7</v>
      </c>
    </row>
    <row r="24">
      <c r="A24" s="7" t="n">
        <v>46291.63896155093</v>
      </c>
      <c r="B24" s="7" t="n">
        <v>46291.63819444444</v>
      </c>
      <c r="C24" s="2" t="n">
        <v>433</v>
      </c>
      <c r="D24" s="2" t="n">
        <v>0</v>
      </c>
      <c r="E24" s="2" t="n">
        <v>0</v>
      </c>
      <c r="F24" s="2" t="n">
        <v>0</v>
      </c>
      <c r="G24" s="2" t="n">
        <v>177.9</v>
      </c>
    </row>
    <row r="25">
      <c r="A25" s="7" t="n">
        <v>46291.63155474537</v>
      </c>
      <c r="B25" s="7" t="n">
        <v>46291.63055555556</v>
      </c>
      <c r="C25" s="2" t="n">
        <v>433</v>
      </c>
      <c r="D25" s="2" t="n">
        <v>1</v>
      </c>
      <c r="E25" s="2" t="n">
        <v>1</v>
      </c>
      <c r="F25" s="2" t="n">
        <v>0</v>
      </c>
      <c r="G25" s="2" t="n">
        <v>172.6</v>
      </c>
    </row>
    <row r="26">
      <c r="A26" s="7" t="n">
        <v>46291.58748165509</v>
      </c>
      <c r="B26" s="7" t="n">
        <v>46291.58611111111</v>
      </c>
      <c r="C26" s="2" t="n">
        <v>433</v>
      </c>
      <c r="D26" s="2" t="n">
        <v>2</v>
      </c>
      <c r="E26" s="2" t="n">
        <v>0</v>
      </c>
      <c r="F26" s="2" t="n">
        <v>0</v>
      </c>
      <c r="G26" s="2" t="n">
        <v>148</v>
      </c>
    </row>
    <row r="27">
      <c r="A27" s="7" t="n">
        <v>46291.52177836806</v>
      </c>
      <c r="B27" s="7" t="n">
        <v>46291.52083333334</v>
      </c>
      <c r="C27" s="2" t="n">
        <v>433</v>
      </c>
      <c r="D27" s="2" t="n">
        <v>2</v>
      </c>
      <c r="E27" s="2" t="n">
        <v>5</v>
      </c>
      <c r="F27" s="2" t="n">
        <v>0</v>
      </c>
      <c r="G27" s="2" t="n">
        <v>187.5</v>
      </c>
    </row>
    <row r="28">
      <c r="A28" s="7" t="n">
        <v>46291.40186751157</v>
      </c>
      <c r="B28" s="7" t="n">
        <v>46291.40069444444</v>
      </c>
      <c r="C28" s="2" t="n">
        <v>433</v>
      </c>
      <c r="D28" s="2" t="n">
        <v>0</v>
      </c>
      <c r="E28" s="2" t="n">
        <v>2</v>
      </c>
      <c r="F28" s="2" t="n">
        <v>0</v>
      </c>
      <c r="G28" s="2" t="n">
        <v>188.1</v>
      </c>
    </row>
    <row r="29">
      <c r="A29" s="7" t="n">
        <v>46291.36540915509</v>
      </c>
      <c r="B29" s="7" t="n">
        <v>46291.36458333334</v>
      </c>
      <c r="C29" s="2" t="n">
        <v>433</v>
      </c>
      <c r="D29" s="2" t="n">
        <v>3</v>
      </c>
      <c r="E29" s="2" t="n">
        <v>0</v>
      </c>
      <c r="F29" s="2" t="n">
        <v>0</v>
      </c>
      <c r="G29" s="2" t="n">
        <v>163.5</v>
      </c>
    </row>
    <row r="30">
      <c r="A30" s="7" t="n">
        <v>46291.26887001158</v>
      </c>
      <c r="B30" s="7" t="n">
        <v>46291.26805555556</v>
      </c>
      <c r="C30" s="2" t="n">
        <v>433</v>
      </c>
      <c r="D30" s="2" t="n">
        <v>0</v>
      </c>
      <c r="E30" s="2" t="n">
        <v>0</v>
      </c>
      <c r="F30" s="2" t="n">
        <v>0</v>
      </c>
      <c r="G30" s="2" t="n">
        <v>184.5</v>
      </c>
    </row>
    <row r="31">
      <c r="A31" s="7" t="n">
        <v>46291.2560487963</v>
      </c>
      <c r="B31" s="7" t="n">
        <v>46291.25486111111</v>
      </c>
      <c r="C31" s="2" t="n">
        <v>433</v>
      </c>
      <c r="D31" s="2" t="n">
        <v>3</v>
      </c>
      <c r="E31" s="2" t="n">
        <v>1</v>
      </c>
      <c r="F31" s="2" t="n">
        <v>0</v>
      </c>
      <c r="G31" s="2" t="n">
        <v>191.6</v>
      </c>
    </row>
    <row r="32">
      <c r="A32" s="7" t="n">
        <v>46291.11246790509</v>
      </c>
      <c r="B32" s="7" t="n">
        <v>46291.11111111111</v>
      </c>
      <c r="C32" s="2" t="n">
        <v>433</v>
      </c>
      <c r="D32" s="2" t="n">
        <v>2</v>
      </c>
      <c r="E32" s="2" t="n">
        <v>1</v>
      </c>
      <c r="F32" s="2" t="n">
        <v>0</v>
      </c>
      <c r="G32" s="2" t="n">
        <v>182.3</v>
      </c>
    </row>
    <row r="33">
      <c r="A33" s="7" t="n">
        <v>46291.02308788194</v>
      </c>
      <c r="B33" s="7" t="n">
        <v>46291.02222222222</v>
      </c>
      <c r="C33" s="2" t="n">
        <v>433</v>
      </c>
      <c r="D33" s="2" t="n">
        <v>1</v>
      </c>
      <c r="E33" s="2" t="n">
        <v>0</v>
      </c>
      <c r="F33" s="2" t="n">
        <v>0</v>
      </c>
      <c r="G33" s="2" t="n">
        <v>140.5</v>
      </c>
    </row>
    <row r="34">
      <c r="A34" s="7" t="n">
        <v>46290.9990443287</v>
      </c>
      <c r="B34" s="7" t="n">
        <v>46290.99791666667</v>
      </c>
      <c r="C34" s="2" t="n">
        <v>433</v>
      </c>
      <c r="D34" s="2" t="n">
        <v>1</v>
      </c>
      <c r="E34" s="2" t="n">
        <v>1</v>
      </c>
      <c r="F34" s="2" t="n">
        <v>0</v>
      </c>
      <c r="G34" s="2" t="n">
        <v>197.5</v>
      </c>
    </row>
    <row r="35">
      <c r="A35" s="7" t="n">
        <v>46290.91267655093</v>
      </c>
      <c r="B35" s="7" t="n">
        <v>46290.91180555556</v>
      </c>
      <c r="C35" s="2" t="n">
        <v>433</v>
      </c>
      <c r="D35" s="2" t="n">
        <v>2</v>
      </c>
      <c r="E35" s="2" t="n">
        <v>2</v>
      </c>
      <c r="F35" s="2" t="n">
        <v>0</v>
      </c>
      <c r="G35" s="2" t="n">
        <v>193.4</v>
      </c>
    </row>
    <row r="36">
      <c r="A36" s="7" t="n">
        <v>46290.82088560185</v>
      </c>
      <c r="B36" s="7" t="n">
        <v>46290.82013888889</v>
      </c>
      <c r="C36" s="2" t="n">
        <v>433</v>
      </c>
      <c r="D36" s="2" t="n">
        <v>1</v>
      </c>
      <c r="E36" s="2" t="n">
        <v>0</v>
      </c>
      <c r="F36" s="2" t="n">
        <v>0</v>
      </c>
      <c r="G36" s="2" t="n">
        <v>174.9</v>
      </c>
    </row>
    <row r="37">
      <c r="A37" s="7" t="n">
        <v>46290.76820827546</v>
      </c>
      <c r="B37" s="7" t="n">
        <v>46290.76736111111</v>
      </c>
      <c r="C37" s="2" t="n">
        <v>433</v>
      </c>
      <c r="D37" s="2" t="n">
        <v>0</v>
      </c>
      <c r="E37" s="2" t="n">
        <v>1</v>
      </c>
      <c r="F37" s="2" t="n">
        <v>0</v>
      </c>
      <c r="G37" s="2" t="n">
        <v>187</v>
      </c>
    </row>
    <row r="38">
      <c r="A38" s="7" t="n">
        <v>46290.709303125</v>
      </c>
      <c r="B38" s="7" t="n">
        <v>46290.70833333334</v>
      </c>
      <c r="C38" s="2" t="n">
        <v>433</v>
      </c>
      <c r="D38" s="2" t="n">
        <v>1</v>
      </c>
      <c r="E38" s="2" t="n">
        <v>3</v>
      </c>
      <c r="F38" s="2" t="n">
        <v>0</v>
      </c>
      <c r="G38" s="2" t="n">
        <v>187.6</v>
      </c>
    </row>
    <row r="39">
      <c r="A39" s="7" t="n">
        <v>46290.66382769676</v>
      </c>
      <c r="B39" s="7" t="n">
        <v>46290.6625</v>
      </c>
      <c r="C39" s="2" t="n">
        <v>433</v>
      </c>
      <c r="D39" s="2" t="n">
        <v>1</v>
      </c>
      <c r="E39" s="2" t="n">
        <v>0</v>
      </c>
      <c r="F39" s="2" t="n">
        <v>0</v>
      </c>
      <c r="G39" s="2" t="n">
        <v>185.1</v>
      </c>
    </row>
    <row r="40">
      <c r="A40" s="7" t="n">
        <v>46290.61757802084</v>
      </c>
      <c r="B40" s="7" t="n">
        <v>46290.61666666667</v>
      </c>
      <c r="C40" s="2" t="n">
        <v>433</v>
      </c>
      <c r="D40" s="2" t="n">
        <v>0</v>
      </c>
      <c r="E40" s="2" t="n">
        <v>2</v>
      </c>
      <c r="F40" s="2" t="n">
        <v>0</v>
      </c>
      <c r="G40" s="2" t="n">
        <v>178.9</v>
      </c>
    </row>
    <row r="41">
      <c r="A41" s="7" t="n">
        <v>46290.55632820602</v>
      </c>
      <c r="B41" s="7" t="n">
        <v>46290.55555555555</v>
      </c>
      <c r="C41" s="2" t="n">
        <v>433</v>
      </c>
      <c r="D41" s="2" t="n">
        <v>1</v>
      </c>
      <c r="E41" s="2" t="n">
        <v>0</v>
      </c>
      <c r="F41" s="2" t="n">
        <v>0</v>
      </c>
      <c r="G41" s="2" t="n">
        <v>179.4</v>
      </c>
    </row>
    <row r="42">
      <c r="A42" s="7" t="n">
        <v>46290.50409561343</v>
      </c>
      <c r="B42" s="7" t="n">
        <v>46290.50277777778</v>
      </c>
      <c r="C42" s="2" t="n">
        <v>433</v>
      </c>
      <c r="D42" s="2" t="n">
        <v>0</v>
      </c>
      <c r="E42" s="2" t="n">
        <v>1</v>
      </c>
      <c r="F42" s="2" t="n">
        <v>0</v>
      </c>
      <c r="G42" s="2" t="n">
        <v>174.5</v>
      </c>
    </row>
    <row r="43">
      <c r="A43" s="7" t="n">
        <v>46290.39966920139</v>
      </c>
      <c r="B43" s="7" t="n">
        <v>46290.39861111111</v>
      </c>
      <c r="C43" s="2" t="n">
        <v>433</v>
      </c>
      <c r="D43" s="2" t="n">
        <v>0</v>
      </c>
      <c r="E43" s="2" t="n">
        <v>0</v>
      </c>
      <c r="F43" s="2" t="n">
        <v>0</v>
      </c>
      <c r="G43" s="2" t="n">
        <v>189.8</v>
      </c>
    </row>
    <row r="44">
      <c r="A44" s="7" t="n">
        <v>46290.3483633912</v>
      </c>
      <c r="B44" s="7" t="n">
        <v>46290.34722222222</v>
      </c>
      <c r="C44" s="2" t="n">
        <v>433</v>
      </c>
      <c r="D44" s="2" t="n">
        <v>0</v>
      </c>
      <c r="E44" s="2" t="n">
        <v>1</v>
      </c>
      <c r="F44" s="2" t="n">
        <v>0</v>
      </c>
      <c r="G44" s="2" t="n">
        <v>163.4</v>
      </c>
    </row>
    <row r="45">
      <c r="A45" s="7" t="n">
        <v>46290.27195019676</v>
      </c>
      <c r="B45" s="7" t="n">
        <v>46290.27083333334</v>
      </c>
      <c r="C45" s="2" t="n">
        <v>433</v>
      </c>
      <c r="D45" s="2" t="n">
        <v>1</v>
      </c>
      <c r="E45" s="2" t="n">
        <v>1</v>
      </c>
      <c r="F45" s="2" t="n">
        <v>1</v>
      </c>
      <c r="G45" s="2" t="n">
        <v>182.9</v>
      </c>
    </row>
    <row r="46">
      <c r="A46" s="7" t="n">
        <v>46290.13587655093</v>
      </c>
      <c r="B46" s="7" t="n">
        <v>46290.13472222222</v>
      </c>
      <c r="C46" s="2" t="n">
        <v>433</v>
      </c>
      <c r="D46" s="2" t="n">
        <v>2</v>
      </c>
      <c r="E46" s="2" t="n">
        <v>6</v>
      </c>
      <c r="F46" s="2" t="n">
        <v>1</v>
      </c>
      <c r="G46" s="2" t="n">
        <v>191.6</v>
      </c>
    </row>
    <row r="47">
      <c r="A47" s="7" t="n">
        <v>46290.02908936342</v>
      </c>
      <c r="B47" s="7" t="n">
        <v>46290.02777777778</v>
      </c>
      <c r="C47" s="2" t="n">
        <v>433</v>
      </c>
      <c r="D47" s="2" t="n">
        <v>2</v>
      </c>
      <c r="E47" s="2" t="n">
        <v>0</v>
      </c>
      <c r="F47" s="2" t="n">
        <v>1</v>
      </c>
      <c r="G47" s="2" t="n">
        <v>166.2</v>
      </c>
    </row>
    <row r="48">
      <c r="A48" s="7" t="n">
        <v>46289.96715996528</v>
      </c>
      <c r="B48" s="7" t="n">
        <v>46289.96597222222</v>
      </c>
      <c r="C48" s="2" t="n">
        <v>433</v>
      </c>
      <c r="D48" s="2" t="n">
        <v>2</v>
      </c>
      <c r="E48" s="2" t="n">
        <v>8</v>
      </c>
      <c r="F48" s="2" t="n">
        <v>1</v>
      </c>
      <c r="G48" s="2" t="n">
        <v>190.1</v>
      </c>
    </row>
    <row r="49">
      <c r="A49" s="7" t="n">
        <v>46289.95004011574</v>
      </c>
      <c r="B49" s="7" t="n">
        <v>46289.94930555556</v>
      </c>
      <c r="C49" s="2" t="n">
        <v>433</v>
      </c>
      <c r="D49" s="2" t="n">
        <v>0</v>
      </c>
      <c r="E49" s="2" t="n">
        <v>0</v>
      </c>
      <c r="F49" s="2" t="n">
        <v>1</v>
      </c>
      <c r="G49" s="2" t="n">
        <v>178.4</v>
      </c>
    </row>
    <row r="50">
      <c r="A50" s="7" t="n">
        <v>46289.94135959491</v>
      </c>
      <c r="B50" s="7" t="n">
        <v>46289.94027777778</v>
      </c>
      <c r="C50" s="2" t="n">
        <v>433</v>
      </c>
      <c r="D50" s="2" t="n">
        <v>0</v>
      </c>
      <c r="E50" s="2" t="n">
        <v>0</v>
      </c>
      <c r="F50" s="2" t="n">
        <v>1</v>
      </c>
      <c r="G50" s="2" t="n">
        <v>183.8</v>
      </c>
    </row>
    <row r="51">
      <c r="A51" s="7" t="n">
        <v>46289.92565313658</v>
      </c>
      <c r="B51" s="7" t="n">
        <v>46289.92430555556</v>
      </c>
      <c r="C51" s="2" t="n">
        <v>433</v>
      </c>
      <c r="D51" s="2" t="n">
        <v>6</v>
      </c>
      <c r="E51" s="2" t="n">
        <v>3</v>
      </c>
      <c r="F51" s="2" t="n">
        <v>1</v>
      </c>
      <c r="G51" s="2" t="n">
        <v>226.2</v>
      </c>
    </row>
    <row r="52">
      <c r="A52" s="7" t="n">
        <v>46289.84896370371</v>
      </c>
      <c r="B52" s="7" t="n">
        <v>46289.84791666667</v>
      </c>
      <c r="C52" s="2" t="n">
        <v>433</v>
      </c>
      <c r="D52" s="2" t="n">
        <v>2</v>
      </c>
      <c r="E52" s="2" t="n">
        <v>2</v>
      </c>
      <c r="F52" s="2" t="n">
        <v>1</v>
      </c>
      <c r="G52" s="2" t="n">
        <v>147.5</v>
      </c>
    </row>
    <row r="53">
      <c r="A53" s="7" t="n">
        <v>46289.78526427083</v>
      </c>
      <c r="B53" s="7" t="n">
        <v>46289.78402777778</v>
      </c>
      <c r="C53" s="2" t="n">
        <v>433</v>
      </c>
      <c r="D53" s="2" t="n">
        <v>0</v>
      </c>
      <c r="E53" s="2" t="n">
        <v>0</v>
      </c>
      <c r="F53" s="2" t="n">
        <v>1</v>
      </c>
      <c r="G53" s="2" t="n">
        <v>186.8</v>
      </c>
    </row>
    <row r="54">
      <c r="A54" s="7" t="n">
        <v>46289.75543116898</v>
      </c>
      <c r="B54" s="7" t="n">
        <v>46289.75</v>
      </c>
      <c r="C54" s="2" t="n">
        <v>433</v>
      </c>
      <c r="D54" s="2" t="n">
        <v>15</v>
      </c>
      <c r="E54" s="2" t="n">
        <v>11</v>
      </c>
      <c r="F54" s="2" t="n">
        <v>1</v>
      </c>
      <c r="G54" s="2" t="n">
        <v>109.8</v>
      </c>
    </row>
    <row r="55">
      <c r="A55" s="7" t="n">
        <v>46289.54138961805</v>
      </c>
      <c r="B55" s="7" t="n">
        <v>46289.53472222222</v>
      </c>
      <c r="C55" s="2" t="n">
        <v>433</v>
      </c>
      <c r="D55" s="2" t="n">
        <v>2</v>
      </c>
      <c r="E55" s="2" t="n">
        <v>3</v>
      </c>
      <c r="F55" s="2" t="n">
        <v>1</v>
      </c>
      <c r="G55" s="2" t="n">
        <v>125.8</v>
      </c>
    </row>
    <row r="56">
      <c r="A56" s="7" t="n">
        <v>46289.32358565972</v>
      </c>
      <c r="B56" s="7" t="n">
        <v>46289.31944444445</v>
      </c>
      <c r="C56" s="2" t="n">
        <v>433</v>
      </c>
      <c r="D56" s="2" t="n">
        <v>2</v>
      </c>
      <c r="E56" s="2" t="n">
        <v>4</v>
      </c>
      <c r="F56" s="2" t="n">
        <v>1</v>
      </c>
      <c r="G56" s="2" t="n">
        <v>130.2</v>
      </c>
    </row>
    <row r="57">
      <c r="A57" s="7" t="n">
        <v>46289.18599210648</v>
      </c>
      <c r="B57" s="7" t="n">
        <v>46289.18055555555</v>
      </c>
      <c r="C57" s="2" t="n">
        <v>433</v>
      </c>
      <c r="D57" s="2" t="n">
        <v>3</v>
      </c>
      <c r="E57" s="2" t="n">
        <v>4</v>
      </c>
      <c r="F57" s="2" t="n">
        <v>1</v>
      </c>
      <c r="G57" s="2" t="n">
        <v>129.3</v>
      </c>
    </row>
    <row r="58">
      <c r="A58" s="7" t="n">
        <v>46289.04908521991</v>
      </c>
      <c r="B58" s="7" t="n">
        <v>46289.04513888889</v>
      </c>
      <c r="C58" s="2" t="n">
        <v>433</v>
      </c>
      <c r="D58" s="2" t="n">
        <v>2</v>
      </c>
      <c r="E58" s="2" t="n">
        <v>8</v>
      </c>
      <c r="F58" s="2" t="n">
        <v>1</v>
      </c>
      <c r="G58" s="2" t="n">
        <v>96.90000000000001</v>
      </c>
    </row>
    <row r="59">
      <c r="A59" s="7" t="n">
        <v>46289.00944646991</v>
      </c>
      <c r="B59" s="7" t="n">
        <v>46289.00347222222</v>
      </c>
      <c r="C59" s="2" t="n">
        <v>433</v>
      </c>
      <c r="D59" s="2" t="n">
        <v>26</v>
      </c>
      <c r="E59" s="2" t="n">
        <v>15</v>
      </c>
      <c r="F59" s="2" t="n">
        <v>1</v>
      </c>
      <c r="G59" s="2" t="n">
        <v>127</v>
      </c>
    </row>
    <row r="60">
      <c r="A60" s="7" t="n">
        <v>46288.82408041666</v>
      </c>
      <c r="B60" s="7" t="n">
        <v>46288.81944444445</v>
      </c>
      <c r="C60" s="2" t="n">
        <v>433</v>
      </c>
      <c r="D60" s="2" t="n">
        <v>1</v>
      </c>
      <c r="E60" s="2" t="n">
        <v>2</v>
      </c>
      <c r="F60" s="2" t="n">
        <v>2</v>
      </c>
      <c r="G60" s="2" t="n">
        <v>118.2</v>
      </c>
    </row>
    <row r="61">
      <c r="A61" s="7" t="n">
        <v>46288.75275025463</v>
      </c>
      <c r="B61" s="7" t="n">
        <v>46288.74652777778</v>
      </c>
      <c r="C61" s="2" t="n">
        <v>433</v>
      </c>
      <c r="D61" s="2" t="n">
        <v>4</v>
      </c>
      <c r="E61" s="2" t="n">
        <v>3</v>
      </c>
      <c r="F61" s="2" t="n">
        <v>2</v>
      </c>
      <c r="G61" s="2" t="n">
        <v>125.5</v>
      </c>
    </row>
    <row r="62">
      <c r="A62" s="7" t="n">
        <v>46288.58577883102</v>
      </c>
      <c r="B62" s="7" t="n">
        <v>46288.57986111111</v>
      </c>
      <c r="C62" s="2" t="n">
        <v>433</v>
      </c>
      <c r="D62" s="2" t="n">
        <v>0</v>
      </c>
      <c r="E62" s="2" t="n">
        <v>0</v>
      </c>
      <c r="F62" s="2" t="n">
        <v>2</v>
      </c>
      <c r="G62" s="2" t="n">
        <v>112.8</v>
      </c>
    </row>
    <row r="63">
      <c r="A63" s="7" t="n">
        <v>46288.57218969907</v>
      </c>
      <c r="B63" s="7" t="n">
        <v>46288.56597222222</v>
      </c>
      <c r="C63" s="2" t="n">
        <v>433</v>
      </c>
      <c r="D63" s="2" t="n">
        <v>4</v>
      </c>
      <c r="E63" s="2" t="n">
        <v>5</v>
      </c>
      <c r="F63" s="2" t="n">
        <v>2</v>
      </c>
      <c r="G63" s="2" t="n">
        <v>99.7</v>
      </c>
    </row>
    <row r="64">
      <c r="A64" s="7" t="n">
        <v>46288.36332482639</v>
      </c>
      <c r="B64" s="7" t="n">
        <v>46288.35763888889</v>
      </c>
      <c r="C64" s="2" t="n">
        <v>441</v>
      </c>
      <c r="D64" s="2" t="n">
        <v>2</v>
      </c>
      <c r="E64" s="2" t="n">
        <v>4</v>
      </c>
      <c r="F64" s="2" t="n">
        <v>2</v>
      </c>
      <c r="G64" s="2" t="n">
        <v>94.40000000000001</v>
      </c>
    </row>
    <row r="65">
      <c r="A65" s="7" t="n">
        <v>46288.26120461806</v>
      </c>
      <c r="B65" s="7" t="n">
        <v>46288.25694444445</v>
      </c>
      <c r="C65" s="2" t="n">
        <v>441</v>
      </c>
      <c r="D65" s="2" t="n">
        <v>0</v>
      </c>
      <c r="E65" s="2" t="n">
        <v>3</v>
      </c>
      <c r="F65" s="2" t="n">
        <v>2</v>
      </c>
      <c r="G65" s="2" t="n">
        <v>103.1</v>
      </c>
    </row>
    <row r="66">
      <c r="A66" s="7" t="n">
        <v>46288.12397528935</v>
      </c>
      <c r="B66" s="7" t="n">
        <v>46288.11805555555</v>
      </c>
      <c r="C66" s="2" t="n">
        <v>441</v>
      </c>
      <c r="D66" s="2" t="n">
        <v>7</v>
      </c>
      <c r="E66" s="2" t="n">
        <v>1</v>
      </c>
      <c r="F66" s="2" t="n">
        <v>2</v>
      </c>
      <c r="G66" s="2" t="n">
        <v>114.4</v>
      </c>
    </row>
    <row r="67">
      <c r="A67" s="7" t="n">
        <v>46287.95840076389</v>
      </c>
      <c r="B67" s="7" t="n">
        <v>46287.95486111111</v>
      </c>
      <c r="C67" s="2" t="n">
        <v>441</v>
      </c>
      <c r="D67" s="2" t="n">
        <v>6</v>
      </c>
      <c r="E67" s="2" t="n">
        <v>5</v>
      </c>
      <c r="F67" s="2" t="n">
        <v>2</v>
      </c>
      <c r="G67" s="2" t="n">
        <v>135.1</v>
      </c>
    </row>
    <row r="68">
      <c r="A68" s="7" t="n">
        <v>46287.75277884259</v>
      </c>
      <c r="B68" s="7" t="n">
        <v>46287.74652777778</v>
      </c>
      <c r="C68" s="2" t="n">
        <v>440</v>
      </c>
      <c r="D68" s="2" t="n">
        <v>1</v>
      </c>
      <c r="E68" s="2" t="n">
        <v>3</v>
      </c>
      <c r="F68" s="2" t="n">
        <v>0</v>
      </c>
      <c r="G68" s="2" t="n">
        <v>130.3</v>
      </c>
    </row>
    <row r="69">
      <c r="A69" s="7" t="n">
        <v>46287.6758560301</v>
      </c>
      <c r="B69" s="7" t="n">
        <v>46287.67013888889</v>
      </c>
      <c r="C69" s="2" t="n">
        <v>440</v>
      </c>
      <c r="D69" s="2" t="n">
        <v>4</v>
      </c>
      <c r="E69" s="2" t="n">
        <v>3</v>
      </c>
      <c r="F69" s="2" t="n">
        <v>0</v>
      </c>
      <c r="G69" s="2" t="n">
        <v>91.7</v>
      </c>
    </row>
    <row r="70">
      <c r="A70" s="7" t="n">
        <v>46287.54602564815</v>
      </c>
      <c r="B70" s="7" t="n">
        <v>46287.54166666666</v>
      </c>
      <c r="C70" s="2" t="n">
        <v>440</v>
      </c>
      <c r="D70" s="2" t="n">
        <v>1</v>
      </c>
      <c r="E70" s="2" t="n">
        <v>3</v>
      </c>
      <c r="F70" s="2" t="n">
        <v>0</v>
      </c>
      <c r="G70" s="2" t="n">
        <v>125.4</v>
      </c>
    </row>
    <row r="71">
      <c r="A71" s="7" t="n">
        <v>46287.51247143518</v>
      </c>
      <c r="B71" s="7" t="n">
        <v>46287.50694444445</v>
      </c>
      <c r="C71" s="2" t="n">
        <v>440</v>
      </c>
      <c r="D71" s="2" t="n">
        <v>7</v>
      </c>
      <c r="E71" s="2" t="n">
        <v>8</v>
      </c>
      <c r="F71" s="2" t="n">
        <v>0</v>
      </c>
      <c r="G71" s="2" t="n">
        <v>102.8</v>
      </c>
    </row>
    <row r="72">
      <c r="A72" s="7" t="n">
        <v>46287.30635083334</v>
      </c>
      <c r="B72" s="7" t="n">
        <v>46287.30208333334</v>
      </c>
      <c r="C72" s="2" t="n">
        <v>440</v>
      </c>
      <c r="D72" s="2" t="n">
        <v>9</v>
      </c>
      <c r="E72" s="2" t="n">
        <v>5</v>
      </c>
      <c r="F72" s="2" t="n">
        <v>0</v>
      </c>
      <c r="G72" s="2" t="n">
        <v>135.9</v>
      </c>
    </row>
    <row r="73">
      <c r="A73" s="7" t="n">
        <v>46287.14961865741</v>
      </c>
      <c r="B73" s="7" t="n">
        <v>46287.14583333334</v>
      </c>
      <c r="C73" s="2" t="n">
        <v>440</v>
      </c>
      <c r="D73" s="2" t="n">
        <v>6</v>
      </c>
      <c r="E73" s="2" t="n">
        <v>5</v>
      </c>
      <c r="F73" s="2" t="n">
        <v>0</v>
      </c>
      <c r="G73" s="2" t="n">
        <v>130.5</v>
      </c>
    </row>
    <row r="74">
      <c r="A74" s="7" t="n">
        <v>46286.92852005787</v>
      </c>
      <c r="B74" s="7" t="n">
        <v>46286.92361111111</v>
      </c>
      <c r="C74" s="2" t="n">
        <v>440</v>
      </c>
      <c r="D74" s="2" t="n">
        <v>2</v>
      </c>
      <c r="E74" s="2" t="n">
        <v>3</v>
      </c>
      <c r="F74" s="2" t="n">
        <v>0</v>
      </c>
      <c r="G74" s="2" t="n">
        <v>112.2</v>
      </c>
    </row>
    <row r="75">
      <c r="A75" s="7" t="n">
        <v>46286.83222814815</v>
      </c>
      <c r="B75" s="7" t="n">
        <v>46286.82638888889</v>
      </c>
      <c r="C75" s="2" t="n">
        <v>440</v>
      </c>
      <c r="D75" s="2" t="n">
        <v>5</v>
      </c>
      <c r="E75" s="2" t="n">
        <v>7</v>
      </c>
      <c r="F75" s="2" t="n">
        <v>0</v>
      </c>
      <c r="G75" s="2" t="n">
        <v>126.4</v>
      </c>
    </row>
    <row r="76">
      <c r="A76" s="7" t="n">
        <v>46286.60261268519</v>
      </c>
      <c r="B76" s="7" t="n">
        <v>46286.59722222222</v>
      </c>
      <c r="C76" s="2" t="n">
        <v>440</v>
      </c>
      <c r="D76" s="2" t="n">
        <v>8</v>
      </c>
      <c r="E76" s="2" t="n">
        <v>5</v>
      </c>
      <c r="F76" s="2" t="n">
        <v>0</v>
      </c>
      <c r="G76" s="2" t="n">
        <v>111.5</v>
      </c>
    </row>
    <row r="77">
      <c r="A77" s="7" t="n">
        <v>46286.38294268519</v>
      </c>
      <c r="B77" s="7" t="n">
        <v>46286.37847222222</v>
      </c>
      <c r="C77" s="2" t="n">
        <v>440</v>
      </c>
      <c r="D77" s="2" t="n">
        <v>3</v>
      </c>
      <c r="E77" s="2" t="n">
        <v>6</v>
      </c>
      <c r="F77" s="2" t="n">
        <v>0</v>
      </c>
      <c r="G77" s="2" t="n">
        <v>102.4</v>
      </c>
    </row>
    <row r="78">
      <c r="A78" s="7" t="n">
        <v>46286.27148542824</v>
      </c>
      <c r="B78" s="7" t="n">
        <v>46286.26736111111</v>
      </c>
      <c r="C78" s="2" t="n">
        <v>440</v>
      </c>
      <c r="D78" s="2" t="n">
        <v>2</v>
      </c>
      <c r="E78" s="2" t="n">
        <v>2</v>
      </c>
      <c r="F78" s="2" t="n">
        <v>0</v>
      </c>
      <c r="G78" s="2" t="n">
        <v>126.7</v>
      </c>
    </row>
    <row r="79">
      <c r="A79" s="7" t="n">
        <v>46286.14641391204</v>
      </c>
      <c r="B79" s="7" t="n">
        <v>46286.14236111111</v>
      </c>
      <c r="C79" s="2" t="n">
        <v>440</v>
      </c>
      <c r="D79" s="2" t="n">
        <v>4</v>
      </c>
      <c r="E79" s="2" t="n">
        <v>4</v>
      </c>
      <c r="F79" s="2" t="n">
        <v>0</v>
      </c>
      <c r="G79" s="2" t="n">
        <v>131.3</v>
      </c>
    </row>
    <row r="80">
      <c r="A80" s="7" t="n">
        <v>46286.03573545139</v>
      </c>
      <c r="B80" s="7" t="n">
        <v>46286.03125</v>
      </c>
      <c r="C80" s="2" t="n">
        <v>440</v>
      </c>
      <c r="D80" s="2" t="n">
        <v>0</v>
      </c>
      <c r="E80" s="2" t="n">
        <v>0</v>
      </c>
      <c r="F80" s="2" t="n">
        <v>0</v>
      </c>
      <c r="G80" s="2" t="n">
        <v>127.3</v>
      </c>
    </row>
    <row r="81">
      <c r="A81" s="7" t="n">
        <v>46286.00283136574</v>
      </c>
      <c r="B81" s="7" t="n">
        <v>46285.99652777778</v>
      </c>
      <c r="C81" s="2" t="n">
        <v>440</v>
      </c>
      <c r="D81" s="2" t="n">
        <v>5</v>
      </c>
      <c r="E81" s="2" t="n">
        <v>5</v>
      </c>
      <c r="F81" s="2" t="n">
        <v>0</v>
      </c>
      <c r="G81" s="2" t="n">
        <v>101.9</v>
      </c>
    </row>
    <row r="82">
      <c r="A82" s="7" t="n">
        <v>46285.85245594908</v>
      </c>
      <c r="B82" s="7" t="n">
        <v>46285.84722222222</v>
      </c>
      <c r="C82" s="2" t="n">
        <v>440</v>
      </c>
      <c r="D82" s="2" t="n">
        <v>7</v>
      </c>
      <c r="E82" s="2" t="n">
        <v>6</v>
      </c>
      <c r="F82" s="2" t="n">
        <v>0</v>
      </c>
      <c r="G82" s="2" t="n">
        <v>100.6</v>
      </c>
    </row>
    <row r="83">
      <c r="A83" s="7" t="n">
        <v>46285.60105145833</v>
      </c>
      <c r="B83" s="7" t="n">
        <v>46285.59722222222</v>
      </c>
      <c r="C83" s="2" t="n">
        <v>440</v>
      </c>
      <c r="D83" s="2" t="n">
        <v>9</v>
      </c>
      <c r="E83" s="2" t="n">
        <v>5</v>
      </c>
      <c r="F83" s="2" t="n">
        <v>0</v>
      </c>
      <c r="G83" s="2" t="n">
        <v>129.1</v>
      </c>
    </row>
    <row r="84">
      <c r="A84" s="7" t="n">
        <v>46285.38559789352</v>
      </c>
      <c r="B84" s="7" t="n">
        <v>46285.38194444445</v>
      </c>
      <c r="C84" s="2" t="n">
        <v>440</v>
      </c>
      <c r="D84" s="2" t="n">
        <v>1</v>
      </c>
      <c r="E84" s="2" t="n">
        <v>1</v>
      </c>
      <c r="F84" s="2" t="n">
        <v>0</v>
      </c>
      <c r="G84" s="2" t="n">
        <v>112.5</v>
      </c>
    </row>
    <row r="85">
      <c r="A85" s="7" t="n">
        <v>46285.29994834491</v>
      </c>
      <c r="B85" s="7" t="n">
        <v>46285.29513888889</v>
      </c>
      <c r="C85" s="2" t="n">
        <v>440</v>
      </c>
      <c r="D85" s="2" t="n">
        <v>1</v>
      </c>
      <c r="E85" s="2" t="n">
        <v>3</v>
      </c>
      <c r="F85" s="2" t="n">
        <v>0</v>
      </c>
      <c r="G85" s="2" t="n">
        <v>128.1</v>
      </c>
    </row>
    <row r="86">
      <c r="A86" s="7" t="n">
        <v>46285.19964518519</v>
      </c>
      <c r="B86" s="7" t="n">
        <v>46285.19444444445</v>
      </c>
      <c r="C86" s="2" t="n">
        <v>440</v>
      </c>
      <c r="D86" s="2" t="n">
        <v>2</v>
      </c>
      <c r="E86" s="2" t="n">
        <v>3</v>
      </c>
      <c r="F86" s="2" t="n">
        <v>0</v>
      </c>
      <c r="G86" s="2" t="n">
        <v>110.6</v>
      </c>
    </row>
    <row r="87">
      <c r="A87" s="7" t="n">
        <v>46285.08704527777</v>
      </c>
      <c r="B87" s="7" t="n">
        <v>46285.08333333334</v>
      </c>
      <c r="C87" s="2" t="n">
        <v>440</v>
      </c>
      <c r="D87" s="2" t="n">
        <v>3</v>
      </c>
      <c r="E87" s="2" t="n">
        <v>3</v>
      </c>
      <c r="F87" s="2" t="n">
        <v>0</v>
      </c>
      <c r="G87" s="2" t="n">
        <v>95.09999999999999</v>
      </c>
    </row>
    <row r="88">
      <c r="A88" s="7" t="n">
        <v>46284.93748335648</v>
      </c>
      <c r="B88" s="7" t="n">
        <v>46284.93055555555</v>
      </c>
      <c r="C88" s="2" t="n">
        <v>440</v>
      </c>
      <c r="D88" s="2" t="n">
        <v>2</v>
      </c>
      <c r="E88" s="2" t="n">
        <v>2</v>
      </c>
      <c r="F88" s="2" t="n">
        <v>0</v>
      </c>
      <c r="G88" s="2" t="n">
        <v>128.7</v>
      </c>
    </row>
    <row r="89">
      <c r="A89" s="7" t="n">
        <v>46284.79727659722</v>
      </c>
      <c r="B89" s="7" t="n">
        <v>46284.79166666666</v>
      </c>
      <c r="C89" s="2" t="n">
        <v>440</v>
      </c>
      <c r="D89" s="2" t="n">
        <v>4</v>
      </c>
      <c r="E89" s="2" t="n">
        <v>5</v>
      </c>
      <c r="F89" s="2" t="n">
        <v>0</v>
      </c>
      <c r="G89" s="2" t="n">
        <v>109.7</v>
      </c>
    </row>
    <row r="90">
      <c r="A90" s="7" t="n">
        <v>46284.58365538195</v>
      </c>
      <c r="B90" s="7" t="n">
        <v>46284.57986111111</v>
      </c>
      <c r="C90" s="2" t="n">
        <v>440</v>
      </c>
      <c r="D90" s="2" t="n">
        <v>5</v>
      </c>
      <c r="E90" s="2" t="n">
        <v>4</v>
      </c>
      <c r="F90" s="2" t="n">
        <v>0</v>
      </c>
      <c r="G90" s="2" t="n">
        <v>101.8</v>
      </c>
    </row>
    <row r="91">
      <c r="A91" s="7" t="n">
        <v>46284.38530752315</v>
      </c>
      <c r="B91" s="7" t="n">
        <v>46284.37847222222</v>
      </c>
      <c r="C91" s="2" t="n">
        <v>440</v>
      </c>
      <c r="D91" s="2" t="n">
        <v>2</v>
      </c>
      <c r="E91" s="2" t="n">
        <v>4</v>
      </c>
      <c r="F91" s="2" t="n">
        <v>0</v>
      </c>
      <c r="G91" s="2" t="n">
        <v>130.8</v>
      </c>
    </row>
    <row r="92">
      <c r="A92" s="7" t="n">
        <v>46284.27664920139</v>
      </c>
      <c r="B92" s="7" t="n">
        <v>46284.27083333334</v>
      </c>
      <c r="C92" s="2" t="n">
        <v>440</v>
      </c>
      <c r="D92" s="2" t="n">
        <v>4</v>
      </c>
      <c r="E92" s="2" t="n">
        <v>1</v>
      </c>
      <c r="F92" s="2" t="n">
        <v>0</v>
      </c>
      <c r="G92" s="2" t="n">
        <v>127.8</v>
      </c>
    </row>
    <row r="93">
      <c r="A93" s="7" t="n">
        <v>46284.15392047453</v>
      </c>
      <c r="B93" s="7" t="n">
        <v>46284.14930555555</v>
      </c>
      <c r="C93" s="2" t="n">
        <v>440</v>
      </c>
      <c r="D93" s="2" t="n">
        <v>3</v>
      </c>
      <c r="E93" s="2" t="n">
        <v>2</v>
      </c>
      <c r="F93" s="2" t="n">
        <v>0</v>
      </c>
      <c r="G93" s="2" t="n">
        <v>135.6</v>
      </c>
    </row>
    <row r="94">
      <c r="A94" s="7" t="n">
        <v>46284.02123533565</v>
      </c>
      <c r="B94" s="7" t="n">
        <v>46284.01736111111</v>
      </c>
      <c r="C94" s="2" t="n">
        <v>440</v>
      </c>
      <c r="D94" s="2" t="n">
        <v>2</v>
      </c>
      <c r="E94" s="2" t="n">
        <v>1</v>
      </c>
      <c r="F94" s="2" t="n">
        <v>0</v>
      </c>
      <c r="G94" s="2" t="n">
        <v>102.8</v>
      </c>
    </row>
    <row r="95">
      <c r="A95" s="7" t="n">
        <v>46283.99753837963</v>
      </c>
      <c r="B95" s="7" t="n">
        <v>46283.99305555555</v>
      </c>
      <c r="C95" s="2" t="n">
        <v>440</v>
      </c>
      <c r="D95" s="2" t="n">
        <v>1</v>
      </c>
      <c r="E95" s="2" t="n">
        <v>3</v>
      </c>
      <c r="F95" s="2" t="n">
        <v>0</v>
      </c>
      <c r="G95" s="2" t="n">
        <v>129.8</v>
      </c>
    </row>
    <row r="96">
      <c r="A96" s="7" t="n">
        <v>46283.80859936342</v>
      </c>
      <c r="B96" s="7" t="n">
        <v>46283.80208333334</v>
      </c>
      <c r="C96" s="2" t="n">
        <v>440</v>
      </c>
      <c r="D96" s="2" t="n">
        <v>0</v>
      </c>
      <c r="E96" s="2" t="n">
        <v>1</v>
      </c>
      <c r="F96" s="2" t="n">
        <v>0</v>
      </c>
      <c r="G96" s="2" t="n">
        <v>127.7</v>
      </c>
    </row>
    <row r="97">
      <c r="A97" s="7" t="n">
        <v>46283.78916202546</v>
      </c>
      <c r="B97" s="7" t="n">
        <v>46283.78472222222</v>
      </c>
      <c r="C97" s="2" t="n">
        <v>440</v>
      </c>
      <c r="D97" s="2" t="n">
        <v>4</v>
      </c>
      <c r="E97" s="2" t="n">
        <v>3</v>
      </c>
      <c r="F97" s="2" t="n">
        <v>0</v>
      </c>
      <c r="G97" s="2" t="n">
        <v>119.1</v>
      </c>
    </row>
    <row r="98">
      <c r="A98" s="7" t="n">
        <v>46283.58323265046</v>
      </c>
      <c r="B98" s="7" t="n">
        <v>46283.57638888889</v>
      </c>
      <c r="C98" s="2" t="n">
        <v>440</v>
      </c>
      <c r="D98" s="2" t="n">
        <v>0</v>
      </c>
      <c r="E98" s="2" t="n">
        <v>0</v>
      </c>
      <c r="F98" s="2" t="n">
        <v>0</v>
      </c>
      <c r="G98" s="2" t="n">
        <v>126.7</v>
      </c>
    </row>
    <row r="99">
      <c r="A99" s="7" t="n">
        <v>46283.57323743056</v>
      </c>
      <c r="B99" s="7" t="n">
        <v>46283.56944444445</v>
      </c>
      <c r="C99" s="2" t="n">
        <v>440</v>
      </c>
      <c r="D99" s="2" t="n">
        <v>4</v>
      </c>
      <c r="E99" s="2" t="n">
        <v>6</v>
      </c>
      <c r="F99" s="2" t="n">
        <v>0</v>
      </c>
      <c r="G99" s="2" t="n">
        <v>94.3</v>
      </c>
    </row>
    <row r="100">
      <c r="A100" s="7" t="n">
        <v>46283.45181144676</v>
      </c>
      <c r="B100" s="7" t="n">
        <v>46283.44791666666</v>
      </c>
      <c r="C100" s="2" t="n">
        <v>440</v>
      </c>
      <c r="D100" s="2" t="n">
        <v>0</v>
      </c>
      <c r="E100" s="2" t="n">
        <v>0</v>
      </c>
      <c r="F100" s="2" t="n">
        <v>0</v>
      </c>
      <c r="G100" s="2" t="n">
        <v>132.3</v>
      </c>
    </row>
    <row r="101">
      <c r="A101" s="7" t="n">
        <v>46283.44134394676</v>
      </c>
      <c r="B101" s="7" t="n">
        <v>46283.4375</v>
      </c>
      <c r="C101" s="2" t="n">
        <v>440</v>
      </c>
      <c r="D101" s="2" t="n">
        <v>4</v>
      </c>
      <c r="E101" s="2" t="n">
        <v>2</v>
      </c>
      <c r="F101" s="2" t="n">
        <v>0</v>
      </c>
      <c r="G101" s="2" t="n">
        <v>373.5</v>
      </c>
    </row>
    <row r="102">
      <c r="A102" s="7" t="n">
        <v>46283.35273409722</v>
      </c>
      <c r="B102" s="7" t="n">
        <v>46283.34722222222</v>
      </c>
      <c r="C102" s="2" t="n">
        <v>440</v>
      </c>
      <c r="D102" s="2" t="n">
        <v>2</v>
      </c>
      <c r="E102" s="2" t="n">
        <v>1</v>
      </c>
      <c r="F102" s="2" t="n">
        <v>0</v>
      </c>
      <c r="G102" s="2" t="n">
        <v>132.3</v>
      </c>
    </row>
    <row r="103">
      <c r="A103" s="7" t="n">
        <v>46283.26014016203</v>
      </c>
      <c r="B103" s="7" t="n">
        <v>46283.25347222222</v>
      </c>
      <c r="C103" s="2" t="n">
        <v>440</v>
      </c>
      <c r="D103" s="2" t="n">
        <v>2</v>
      </c>
      <c r="E103" s="2" t="n">
        <v>0</v>
      </c>
      <c r="F103" s="2" t="n">
        <v>0</v>
      </c>
      <c r="G103" s="2" t="n">
        <v>129.5</v>
      </c>
    </row>
    <row r="104">
      <c r="A104" s="7" t="n">
        <v>46283.09637409722</v>
      </c>
      <c r="B104" s="7" t="n">
        <v>46283.09027777778</v>
      </c>
      <c r="C104" s="2" t="n">
        <v>440</v>
      </c>
      <c r="D104" s="2" t="n">
        <v>6</v>
      </c>
      <c r="E104" s="2" t="n">
        <v>8</v>
      </c>
      <c r="F104" s="2" t="n">
        <v>0</v>
      </c>
      <c r="G104" s="2" t="n">
        <v>131.2</v>
      </c>
    </row>
    <row r="105">
      <c r="A105" s="7" t="n">
        <v>46282.89824439815</v>
      </c>
      <c r="B105" s="7" t="n">
        <v>46282.89236111111</v>
      </c>
      <c r="C105" s="2" t="n">
        <v>440</v>
      </c>
      <c r="D105" s="2" t="n">
        <v>3</v>
      </c>
      <c r="E105" s="2" t="n">
        <v>1</v>
      </c>
      <c r="F105" s="2" t="n">
        <v>0</v>
      </c>
      <c r="G105" s="2" t="n">
        <v>137</v>
      </c>
    </row>
    <row r="106">
      <c r="A106" s="7" t="n">
        <v>46282.65711792824</v>
      </c>
      <c r="B106" s="7" t="n">
        <v>46282.65277777778</v>
      </c>
      <c r="C106" s="2" t="n">
        <v>440</v>
      </c>
      <c r="D106" s="2" t="n">
        <v>2</v>
      </c>
      <c r="E106" s="2" t="n">
        <v>2</v>
      </c>
      <c r="F106" s="2" t="n">
        <v>0</v>
      </c>
      <c r="G106" s="2" t="n">
        <v>126.6</v>
      </c>
    </row>
    <row r="107">
      <c r="A107" s="7" t="n">
        <v>46282.40350203704</v>
      </c>
      <c r="B107" s="7" t="n">
        <v>46282.39930555555</v>
      </c>
      <c r="C107" s="2" t="n">
        <v>440</v>
      </c>
      <c r="D107" s="2" t="n">
        <v>0</v>
      </c>
      <c r="E107" s="2" t="n">
        <v>0</v>
      </c>
      <c r="F107" s="2" t="n">
        <v>0</v>
      </c>
      <c r="G107" s="2" t="n">
        <v>323.7</v>
      </c>
    </row>
    <row r="108">
      <c r="A108" s="7" t="n">
        <v>46282.39577758102</v>
      </c>
      <c r="B108" s="7" t="n">
        <v>46282.33333333334</v>
      </c>
      <c r="C108" s="2" t="n">
        <v>440</v>
      </c>
      <c r="D108" s="2" t="n">
        <v>0</v>
      </c>
      <c r="E108" s="2" t="n">
        <v>6</v>
      </c>
      <c r="F108" s="2" t="n">
        <v>0</v>
      </c>
      <c r="G108" s="2" t="n">
        <v>50.5</v>
      </c>
    </row>
    <row r="109">
      <c r="A109" s="7" t="n">
        <v>46282.29222982639</v>
      </c>
      <c r="B109" s="7" t="n">
        <v>46282.25</v>
      </c>
      <c r="C109" s="2" t="n">
        <v>440</v>
      </c>
      <c r="D109" s="2" t="n">
        <v>2</v>
      </c>
      <c r="E109" s="2" t="n">
        <v>1</v>
      </c>
      <c r="F109" s="2" t="n">
        <v>0</v>
      </c>
      <c r="G109" s="2" t="n">
        <v>66.2</v>
      </c>
    </row>
    <row r="110">
      <c r="A110" s="7" t="n">
        <v>46282.17576607639</v>
      </c>
      <c r="B110" s="7" t="n">
        <v>46282.125</v>
      </c>
      <c r="C110" s="2" t="n">
        <v>440</v>
      </c>
      <c r="D110" s="2" t="n">
        <v>6</v>
      </c>
      <c r="E110" s="2" t="n">
        <v>1</v>
      </c>
      <c r="F110" s="2" t="n">
        <v>0</v>
      </c>
      <c r="G110" s="2" t="n">
        <v>67</v>
      </c>
    </row>
    <row r="111">
      <c r="A111" s="7" t="n">
        <v>46282.04552453704</v>
      </c>
      <c r="B111" s="7" t="n">
        <v>46282</v>
      </c>
      <c r="C111" s="2" t="n">
        <v>440</v>
      </c>
      <c r="D111" s="2" t="n">
        <v>2</v>
      </c>
      <c r="E111" s="2" t="n">
        <v>4</v>
      </c>
      <c r="F111" s="2" t="n">
        <v>0</v>
      </c>
      <c r="G111" s="2" t="n">
        <v>52.9</v>
      </c>
    </row>
    <row r="112">
      <c r="A112" s="7" t="n">
        <v>46281.82298537037</v>
      </c>
      <c r="B112" s="7" t="n">
        <v>46281.75</v>
      </c>
      <c r="C112" s="2" t="n">
        <v>440</v>
      </c>
      <c r="D112" s="2" t="n">
        <v>2</v>
      </c>
      <c r="E112" s="2" t="n">
        <v>4</v>
      </c>
      <c r="F112" s="2" t="n">
        <v>0</v>
      </c>
      <c r="G112" s="2" t="n">
        <v>65.7</v>
      </c>
    </row>
    <row r="113">
      <c r="A113" s="7" t="n">
        <v>46281.58829054398</v>
      </c>
      <c r="B113" s="7" t="n">
        <v>46281.54166666666</v>
      </c>
      <c r="C113" s="2" t="n">
        <v>440</v>
      </c>
      <c r="D113" s="2" t="n">
        <v>7</v>
      </c>
      <c r="E113" s="2" t="n">
        <v>3</v>
      </c>
      <c r="F113" s="2" t="n">
        <v>0</v>
      </c>
      <c r="G113" s="2" t="n">
        <v>54.5</v>
      </c>
    </row>
    <row r="114">
      <c r="A114" s="7" t="n">
        <v>46281.35205523148</v>
      </c>
      <c r="B114" s="7" t="n">
        <v>46281.29166666666</v>
      </c>
      <c r="C114" s="2" t="n">
        <v>442</v>
      </c>
      <c r="D114" s="2" t="n">
        <v>0</v>
      </c>
      <c r="E114" s="2" t="n">
        <v>0</v>
      </c>
      <c r="F114" s="2" t="n">
        <v>0</v>
      </c>
      <c r="G114" s="2" t="n">
        <v>66.90000000000001</v>
      </c>
    </row>
    <row r="115">
      <c r="A115" s="7" t="n">
        <v>46281.22963460648</v>
      </c>
      <c r="B115" s="7" t="n">
        <v>46281.16666666666</v>
      </c>
      <c r="C115" s="2" t="n">
        <v>442</v>
      </c>
      <c r="D115" s="2" t="n">
        <v>3</v>
      </c>
      <c r="E115" s="2" t="n">
        <v>2</v>
      </c>
      <c r="F115" s="2" t="n">
        <v>0</v>
      </c>
      <c r="G115" s="2" t="n">
        <v>61.9</v>
      </c>
    </row>
    <row r="116">
      <c r="A116" s="7" t="n">
        <v>46281.094529375</v>
      </c>
      <c r="B116" s="7" t="n">
        <v>46281.04166666666</v>
      </c>
      <c r="C116" s="2" t="n">
        <v>442</v>
      </c>
      <c r="D116" s="2" t="n">
        <v>6</v>
      </c>
      <c r="E116" s="2" t="n">
        <v>6</v>
      </c>
      <c r="F116" s="2" t="n">
        <v>0</v>
      </c>
      <c r="G116" s="2" t="n">
        <v>46.5</v>
      </c>
    </row>
    <row r="117">
      <c r="A117" s="7" t="n">
        <v>46280.9017994676</v>
      </c>
      <c r="B117" s="7" t="n">
        <v>46280.83333333334</v>
      </c>
      <c r="C117" s="2" t="n">
        <v>442</v>
      </c>
      <c r="D117" s="2" t="n">
        <v>2</v>
      </c>
      <c r="E117" s="2" t="n">
        <v>4</v>
      </c>
      <c r="F117" s="2" t="n">
        <v>0</v>
      </c>
      <c r="G117" s="2" t="n">
        <v>56.7</v>
      </c>
    </row>
    <row r="118">
      <c r="A118" s="7" t="n">
        <v>46280.66002480324</v>
      </c>
      <c r="B118" s="7" t="n">
        <v>46280.58333333334</v>
      </c>
      <c r="C118" s="2" t="n">
        <v>442</v>
      </c>
      <c r="D118" s="2" t="n">
        <v>2</v>
      </c>
      <c r="E118" s="2" t="n">
        <v>3</v>
      </c>
      <c r="F118" s="2" t="n">
        <v>0</v>
      </c>
      <c r="G118" s="2" t="n">
        <v>67.40000000000001</v>
      </c>
    </row>
    <row r="119">
      <c r="A119" s="7" t="n">
        <v>46280.4778358449</v>
      </c>
      <c r="B119" s="7" t="n">
        <v>46280.41666666666</v>
      </c>
      <c r="C119" s="2" t="n">
        <v>442</v>
      </c>
      <c r="D119" s="2" t="n">
        <v>1</v>
      </c>
      <c r="E119" s="2" t="n">
        <v>0</v>
      </c>
      <c r="F119" s="2" t="n">
        <v>0</v>
      </c>
      <c r="G119" s="2" t="n">
        <v>61.2</v>
      </c>
    </row>
    <row r="120">
      <c r="A120" s="7" t="n">
        <v>46280.39795681713</v>
      </c>
      <c r="B120" s="7" t="n">
        <v>46280.33333333334</v>
      </c>
      <c r="C120" s="2" t="n">
        <v>442</v>
      </c>
      <c r="D120" s="2" t="n">
        <v>0</v>
      </c>
      <c r="E120" s="2" t="n">
        <v>1</v>
      </c>
      <c r="F120" s="2" t="n">
        <v>0</v>
      </c>
      <c r="G120" s="2" t="n">
        <v>66.90000000000001</v>
      </c>
    </row>
    <row r="121">
      <c r="A121" s="7" t="n">
        <v>46280.29983445602</v>
      </c>
      <c r="B121" s="7" t="n">
        <v>46280.25</v>
      </c>
      <c r="C121" s="2" t="n">
        <v>442</v>
      </c>
      <c r="D121" s="2" t="n">
        <v>1</v>
      </c>
      <c r="E121" s="2" t="n">
        <v>1</v>
      </c>
      <c r="F121" s="2" t="n">
        <v>0</v>
      </c>
      <c r="G121" s="2" t="n">
        <v>51.6</v>
      </c>
    </row>
    <row r="122">
      <c r="A122" s="7" t="n">
        <v>46280.14350143519</v>
      </c>
      <c r="B122" s="7" t="n">
        <v>46280.08333333334</v>
      </c>
      <c r="C122" s="2" t="n">
        <v>442</v>
      </c>
      <c r="D122" s="2" t="n">
        <v>3</v>
      </c>
      <c r="E122" s="2" t="n">
        <v>1</v>
      </c>
      <c r="F122" s="2" t="n">
        <v>0</v>
      </c>
      <c r="G122" s="2" t="n">
        <v>57.3</v>
      </c>
    </row>
    <row r="123">
      <c r="A123" s="7" t="n">
        <v>46279.92418226852</v>
      </c>
      <c r="B123" s="7" t="n">
        <v>46279.875</v>
      </c>
      <c r="C123" s="2" t="n">
        <v>442</v>
      </c>
      <c r="D123" s="2" t="n">
        <v>6</v>
      </c>
      <c r="E123" s="2" t="n">
        <v>7</v>
      </c>
      <c r="F123" s="2" t="n">
        <v>0</v>
      </c>
      <c r="G123" s="2" t="n">
        <v>48.1</v>
      </c>
    </row>
    <row r="124">
      <c r="A124" s="7" t="n">
        <v>46279.59996445602</v>
      </c>
      <c r="B124" s="7" t="n">
        <v>46279.54166666666</v>
      </c>
      <c r="C124" s="2" t="n">
        <v>442</v>
      </c>
      <c r="D124" s="2" t="n">
        <v>2</v>
      </c>
      <c r="E124" s="2" t="n">
        <v>3</v>
      </c>
      <c r="F124" s="2" t="n">
        <v>0</v>
      </c>
      <c r="G124" s="2" t="n">
        <v>61</v>
      </c>
    </row>
    <row r="125">
      <c r="A125" s="7" t="n">
        <v>46279.38316741898</v>
      </c>
      <c r="B125" s="7" t="n">
        <v>46279.33333333334</v>
      </c>
      <c r="C125" s="2" t="n">
        <v>442</v>
      </c>
      <c r="D125" s="2" t="n">
        <v>2</v>
      </c>
      <c r="E125" s="2" t="n">
        <v>2</v>
      </c>
      <c r="F125" s="2" t="n">
        <v>0</v>
      </c>
      <c r="G125" s="2" t="n">
        <v>59.9</v>
      </c>
    </row>
    <row r="126">
      <c r="A126" s="7" t="n">
        <v>46279.26932584491</v>
      </c>
      <c r="B126" s="7" t="n">
        <v>46279.20833333334</v>
      </c>
      <c r="C126" s="2" t="n">
        <v>442</v>
      </c>
      <c r="D126" s="2" t="n">
        <v>0</v>
      </c>
      <c r="E126" s="2" t="n">
        <v>0</v>
      </c>
      <c r="F126" s="2" t="n">
        <v>0</v>
      </c>
      <c r="G126" s="2" t="n">
        <v>61.1</v>
      </c>
    </row>
    <row r="127">
      <c r="A127" s="7" t="n">
        <v>46279.14665413195</v>
      </c>
      <c r="B127" s="7" t="n">
        <v>46279.08333333334</v>
      </c>
      <c r="C127" s="2" t="n">
        <v>442</v>
      </c>
      <c r="D127" s="2" t="n">
        <v>1</v>
      </c>
      <c r="E127" s="2" t="n">
        <v>0</v>
      </c>
      <c r="F127" s="2" t="n">
        <v>0</v>
      </c>
      <c r="G127" s="2" t="n">
        <v>55.1</v>
      </c>
    </row>
    <row r="128">
      <c r="A128" s="7" t="n">
        <v>46279.01733591435</v>
      </c>
      <c r="B128" s="7" t="n">
        <v>46278.95833333334</v>
      </c>
      <c r="C128" s="2" t="n">
        <v>442</v>
      </c>
      <c r="D128" s="2" t="n">
        <v>2</v>
      </c>
      <c r="E128" s="2" t="n">
        <v>4</v>
      </c>
      <c r="F128" s="2" t="n">
        <v>0</v>
      </c>
      <c r="G128" s="2" t="n">
        <v>59.7</v>
      </c>
    </row>
    <row r="129">
      <c r="A129" s="7" t="n">
        <v>46278.83725055555</v>
      </c>
      <c r="B129" s="7" t="n">
        <v>46278.79166666666</v>
      </c>
      <c r="C129" s="2" t="n">
        <v>442</v>
      </c>
      <c r="D129" s="2" t="n">
        <v>0</v>
      </c>
      <c r="E129" s="2" t="n">
        <v>3</v>
      </c>
      <c r="F129" s="2" t="n">
        <v>0</v>
      </c>
      <c r="G129" s="2" t="n">
        <v>65.40000000000001</v>
      </c>
    </row>
    <row r="130">
      <c r="A130" s="7" t="n">
        <v>46278.71111972223</v>
      </c>
      <c r="B130" s="7" t="n">
        <v>46278.66666666666</v>
      </c>
      <c r="C130" s="2" t="n">
        <v>442</v>
      </c>
      <c r="D130" s="2" t="n">
        <v>3</v>
      </c>
      <c r="E130" s="2" t="n">
        <v>1</v>
      </c>
      <c r="F130" s="2" t="n">
        <v>0</v>
      </c>
      <c r="G130" s="2" t="n">
        <v>63.6</v>
      </c>
    </row>
    <row r="131">
      <c r="A131" s="7" t="n">
        <v>46278.68053923611</v>
      </c>
      <c r="B131" s="7" t="n">
        <v>46278.625</v>
      </c>
      <c r="C131" s="2" t="n">
        <v>442</v>
      </c>
      <c r="D131" s="2" t="n">
        <v>9</v>
      </c>
      <c r="E131" s="2" t="n">
        <v>10</v>
      </c>
      <c r="F131" s="2" t="n">
        <v>0</v>
      </c>
      <c r="G131" s="2" t="n">
        <v>63.6</v>
      </c>
    </row>
    <row r="132">
      <c r="A132" s="7" t="n">
        <v>46278.07354997685</v>
      </c>
      <c r="B132" s="7" t="n">
        <v>46278</v>
      </c>
      <c r="C132" s="2" t="n">
        <v>442</v>
      </c>
      <c r="D132" s="2" t="n">
        <v>3</v>
      </c>
      <c r="E132" s="2" t="n">
        <v>1</v>
      </c>
      <c r="F132" s="2" t="n">
        <v>0</v>
      </c>
      <c r="G132" s="2" t="n">
        <v>50.2</v>
      </c>
    </row>
    <row r="133">
      <c r="A133" s="7" t="n">
        <v>46277.94390239583</v>
      </c>
      <c r="B133" s="7" t="n">
        <v>46277.875</v>
      </c>
      <c r="C133" s="2" t="n">
        <v>442</v>
      </c>
      <c r="D133" s="2" t="n">
        <v>190</v>
      </c>
      <c r="E133" s="2" t="n">
        <v>186</v>
      </c>
      <c r="F133" s="2" t="n">
        <v>0</v>
      </c>
      <c r="G133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1 個月最佳區間：8% 以上（每筆 +0.96%）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195</v>
      </c>
      <c r="C6" s="10" t="n">
        <v>0.5846153846153846</v>
      </c>
      <c r="D6" s="4" t="n">
        <v>-0.004230769230769237</v>
      </c>
      <c r="E6" s="2" t="n">
        <v>97</v>
      </c>
      <c r="F6" s="10" t="n">
        <v>0.6391752577319587</v>
      </c>
      <c r="G6" s="4" t="n">
        <v>0.0001340206185566943</v>
      </c>
      <c r="H6" s="2" t="n">
        <v>66</v>
      </c>
      <c r="I6" s="10" t="n">
        <v>0.6212121212121212</v>
      </c>
      <c r="J6" s="4" t="n">
        <v>-0.001303030303030309</v>
      </c>
      <c r="K6" s="2" t="n">
        <v>54</v>
      </c>
      <c r="L6" s="10" t="n">
        <v>0.6296296296296297</v>
      </c>
      <c r="M6" s="4" t="n">
        <v>-0.0006296296296296302</v>
      </c>
      <c r="N6" s="2" t="n">
        <v>76</v>
      </c>
      <c r="O6" s="10" t="n">
        <v>0.618421052631579</v>
      </c>
      <c r="P6" s="4" t="n">
        <v>-0.001526315789473684</v>
      </c>
      <c r="Q6" s="2" t="n">
        <v>33</v>
      </c>
      <c r="R6" s="10" t="n">
        <v>0.7575757575757576</v>
      </c>
      <c r="S6" s="4" t="n">
        <v>0.009606060606060611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資金明細!R1048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MAX(資金明細!$R$2:$R$1048)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MIN(資金明細!$R$2:$R$1048)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MIN(資金明細!$X$2:$X$1048)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COUNTIFS(資金明細!$C$2:$C$1048,"進場",資金明細!$N$2:$N$1048,"已下單")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COUNTIFS(資金明細!$C$2:$C$1048,"進場",資金明細!$N$2:$N$1048,"資金不足略過")</f>
        <v/>
      </c>
    </row>
    <row r="11">
      <c r="D11" s="2" t="inlineStr">
        <is>
          <t>止盈筆數</t>
        </is>
      </c>
      <c r="E11" s="18">
        <f>COUNTIFS(資金明細!$C$2:$C$1048,"出場",資金明細!$N$2:$N$1048,"已下單",資金明細!$K$2:$K$1048,"止盈")</f>
        <v/>
      </c>
    </row>
    <row r="12">
      <c r="A12" s="2" t="inlineStr">
        <is>
          <t>每筆止損約虧本金</t>
        </is>
      </c>
      <c r="B12" s="4">
        <f>B5*B7*IFERROR(AVERAGE(交易明細!$AB$2:$AB$526),參數!B6)</f>
        <v/>
      </c>
      <c r="D12" s="2" t="inlineStr">
        <is>
          <t>止損筆數</t>
        </is>
      </c>
      <c r="E12" s="18">
        <f>COUNTIFS(資金明細!$C$2:$C$1048,"出場",資金明細!$N$2:$N$1048,"已下單",資金明細!$K$2:$K$1048,"止損")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IFERROR(E11/COUNTIFS(資金明細!$C$2:$C$1048,"出場",資金明細!$N$2:$N$1048,"已下單"),0)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MAX(資金明細!$U$2:$U$1048)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MAX(資金明細!$S$2:$S$1048)</f>
        <v/>
      </c>
    </row>
    <row r="16">
      <c r="D16" s="2" t="inlineStr">
        <is>
          <t>期末下單金額</t>
        </is>
      </c>
      <c r="E16" s="19">
        <f>B5*資金明細!V1048</f>
        <v/>
      </c>
    </row>
    <row r="17">
      <c r="D17" s="2" t="inlineStr">
        <is>
          <t>未平倉浮動損益（未計入）</t>
        </is>
      </c>
      <c r="E17" s="13">
        <f>IF(資金明細!N1039="已下單",資金明細!O1039*交易明細!L521,0)+IF(資金明細!N1044="已下單",資金明細!O1044*交易明細!L524,0)+IF(資金明細!N1045="已下單",資金明細!O1045*交易明細!L525,0)+IF(資金明細!N1047="已下單",資金明細!O1047*交易明細!L526,0)</f>
        <v/>
      </c>
    </row>
    <row r="18">
      <c r="D18" s="2" t="inlineStr">
        <is>
          <t>最大總曝險倍數</t>
        </is>
      </c>
      <c r="E18" s="19">
        <f>MAX(資金明細!$Y$2:$Y$1048)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IFERROR(INDEX(資金明細!$B$2:$B$1048,MATCH(1,資金明細!$Z$2:$Z$1048,0)),"未觸發")</f>
        <v/>
      </c>
    </row>
    <row r="21">
      <c r="D21" s="2" t="inlineStr">
        <is>
          <t>停止後略過筆數</t>
        </is>
      </c>
      <c r="E21" s="18">
        <f>COUNTIFS(資金明細!$C$2:$C$1048,"進場",資金明細!$N$2:$N$1048,"已停止")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04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n"/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n"/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n"/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n"/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n"/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  <row r="614">
      <c r="A614" s="2" t="n">
        <v>612</v>
      </c>
      <c r="B614" s="7" t="n">
        <v>46285.125</v>
      </c>
      <c r="C614" s="2" t="inlineStr">
        <is>
          <t>出場</t>
        </is>
      </c>
      <c r="D614" s="2" t="n">
        <v>302</v>
      </c>
      <c r="E614" s="2" t="inlineStr">
        <is>
          <t>ARB_USDT_PERP</t>
        </is>
      </c>
      <c r="F614" s="2" t="inlineStr">
        <is>
          <t>做空</t>
        </is>
      </c>
      <c r="G614" s="20" t="n">
        <v>0.2116</v>
      </c>
      <c r="H614" s="20" t="n">
        <v>0.205252</v>
      </c>
      <c r="I614" s="20" t="n">
        <v>0.22218</v>
      </c>
      <c r="J614" s="20" t="n">
        <v>0.205252</v>
      </c>
      <c r="K614" s="2" t="inlineStr">
        <is>
          <t>止盈</t>
        </is>
      </c>
      <c r="L614" s="5">
        <f>交易明細!K303</f>
        <v/>
      </c>
      <c r="M614" s="19">
        <f>M597</f>
        <v/>
      </c>
      <c r="N614" s="2">
        <f>N597</f>
        <v/>
      </c>
      <c r="O614" s="19">
        <f>O597</f>
        <v/>
      </c>
      <c r="P614" s="4">
        <f>交易明細!L303</f>
        <v/>
      </c>
      <c r="Q614" s="13">
        <f>IF(N614="已下單",O614*P614,0)</f>
        <v/>
      </c>
      <c r="R614" s="13">
        <f>R613+Q614</f>
        <v/>
      </c>
      <c r="S614" s="19">
        <f>S613-IF(N614="已下單",M614,0)</f>
        <v/>
      </c>
      <c r="T614" s="19">
        <f>R614-S614</f>
        <v/>
      </c>
      <c r="U614" s="2">
        <f>U613-IF(N614="已下單",1,0)</f>
        <v/>
      </c>
      <c r="V614" s="19">
        <f>IF(資金模擬!$B$9=2,MAX(R614,0),MAX(V613,FLOOR(MAX(R614,0),資金模擬!$B$6)))</f>
        <v/>
      </c>
      <c r="W614" s="13">
        <f>MAX(W613,R614)</f>
        <v/>
      </c>
      <c r="X614" s="4">
        <f>IF(W614&gt;0,R614/W614-1,-1)</f>
        <v/>
      </c>
      <c r="Y614" s="19">
        <f>IF(R614&gt;0,S614*資金模擬!$B$7/R614,0)</f>
        <v/>
      </c>
      <c r="Z614" s="2">
        <f>IF(OR(Z613=1,R614&lt;=資金模擬!$B$10),1,0)</f>
        <v/>
      </c>
    </row>
    <row r="615">
      <c r="A615" s="2" t="n">
        <v>613</v>
      </c>
      <c r="B615" s="7" t="n">
        <v>46285.125</v>
      </c>
      <c r="C615" s="2" t="inlineStr">
        <is>
          <t>進場</t>
        </is>
      </c>
      <c r="D615" s="2" t="n">
        <v>309</v>
      </c>
      <c r="E615" s="2" t="inlineStr">
        <is>
          <t>MYX_USDT_PERP</t>
        </is>
      </c>
      <c r="F615" s="2" t="inlineStr">
        <is>
          <t>做多</t>
        </is>
      </c>
      <c r="G615" s="20" t="n">
        <v>0.08934</v>
      </c>
      <c r="H615" s="20" t="n">
        <v>0.09202020000000001</v>
      </c>
      <c r="I615" s="20" t="n">
        <v>0.084873</v>
      </c>
      <c r="J615" s="20" t="n"/>
      <c r="K615" s="2" t="n"/>
      <c r="L615" s="5" t="n"/>
      <c r="M615" s="19">
        <f>資金模擬!$B$5*V614</f>
        <v/>
      </c>
      <c r="N615" s="2">
        <f>IF(Z614=1,"已停止",IF(T614&gt;=M615,"已下單","資金不足略過"))</f>
        <v/>
      </c>
      <c r="O615" s="19">
        <f>IF(N615="已下單",M615*資金模擬!$B$7,0)</f>
        <v/>
      </c>
      <c r="P615" s="4" t="n"/>
      <c r="Q615" s="13" t="n">
        <v>0</v>
      </c>
      <c r="R615" s="13">
        <f>R614+Q615</f>
        <v/>
      </c>
      <c r="S615" s="19">
        <f>S614+IF(N615="已下單",M615,0)</f>
        <v/>
      </c>
      <c r="T615" s="19">
        <f>R615-S615</f>
        <v/>
      </c>
      <c r="U615" s="2">
        <f>U614+IF(N615="已下單",1,0)</f>
        <v/>
      </c>
      <c r="V615" s="19">
        <f>IF(資金模擬!$B$9=2,MAX(R615,0),MAX(V614,FLOOR(MAX(R615,0),資金模擬!$B$6)))</f>
        <v/>
      </c>
      <c r="W615" s="13">
        <f>MAX(W614,R615)</f>
        <v/>
      </c>
      <c r="X615" s="4">
        <f>IF(W615&gt;0,R615/W615-1,-1)</f>
        <v/>
      </c>
      <c r="Y615" s="19">
        <f>IF(R615&gt;0,S615*資金模擬!$B$7/R615,0)</f>
        <v/>
      </c>
      <c r="Z615" s="2">
        <f>IF(OR(Z614=1,R615&lt;=資金模擬!$B$10),1,0)</f>
        <v/>
      </c>
    </row>
    <row r="616">
      <c r="A616" s="2" t="n">
        <v>614</v>
      </c>
      <c r="B616" s="7" t="n">
        <v>46285.125</v>
      </c>
      <c r="C616" s="2" t="inlineStr">
        <is>
          <t>進場</t>
        </is>
      </c>
      <c r="D616" s="2" t="n">
        <v>310</v>
      </c>
      <c r="E616" s="2" t="inlineStr">
        <is>
          <t>NEAR_USDT_PERP</t>
        </is>
      </c>
      <c r="F616" s="2" t="inlineStr">
        <is>
          <t>做空</t>
        </is>
      </c>
      <c r="G616" s="20" t="n">
        <v>3.57</v>
      </c>
      <c r="H616" s="20" t="n">
        <v>3.4629</v>
      </c>
      <c r="I616" s="20" t="n">
        <v>3.7485</v>
      </c>
      <c r="J616" s="20" t="n"/>
      <c r="K616" s="2" t="n"/>
      <c r="L616" s="5" t="n"/>
      <c r="M616" s="19">
        <f>資金模擬!$B$5*V615</f>
        <v/>
      </c>
      <c r="N616" s="2">
        <f>IF(Z615=1,"已停止",IF(T615&gt;=M616,"已下單","資金不足略過"))</f>
        <v/>
      </c>
      <c r="O616" s="19">
        <f>IF(N616="已下單",M616*資金模擬!$B$7,0)</f>
        <v/>
      </c>
      <c r="P616" s="4" t="n"/>
      <c r="Q616" s="13" t="n">
        <v>0</v>
      </c>
      <c r="R616" s="13">
        <f>R615+Q616</f>
        <v/>
      </c>
      <c r="S616" s="19">
        <f>S615+IF(N616="已下單",M616,0)</f>
        <v/>
      </c>
      <c r="T616" s="19">
        <f>R616-S616</f>
        <v/>
      </c>
      <c r="U616" s="2">
        <f>U615+IF(N616="已下單",1,0)</f>
        <v/>
      </c>
      <c r="V616" s="19">
        <f>IF(資金模擬!$B$9=2,MAX(R616,0),MAX(V615,FLOOR(MAX(R616,0),資金模擬!$B$6)))</f>
        <v/>
      </c>
      <c r="W616" s="13">
        <f>MAX(W615,R616)</f>
        <v/>
      </c>
      <c r="X616" s="4">
        <f>IF(W616&gt;0,R616/W616-1,-1)</f>
        <v/>
      </c>
      <c r="Y616" s="19">
        <f>IF(R616&gt;0,S616*資金模擬!$B$7/R616,0)</f>
        <v/>
      </c>
      <c r="Z616" s="2">
        <f>IF(OR(Z615=1,R616&lt;=資金模擬!$B$10),1,0)</f>
        <v/>
      </c>
    </row>
    <row r="617">
      <c r="A617" s="2" t="n">
        <v>615</v>
      </c>
      <c r="B617" s="7" t="n">
        <v>46285.16666666666</v>
      </c>
      <c r="C617" s="2" t="inlineStr">
        <is>
          <t>出場</t>
        </is>
      </c>
      <c r="D617" s="2" t="n">
        <v>306</v>
      </c>
      <c r="E617" s="2" t="inlineStr">
        <is>
          <t>LSK_USDT_PERP</t>
        </is>
      </c>
      <c r="F617" s="2" t="inlineStr">
        <is>
          <t>做空</t>
        </is>
      </c>
      <c r="G617" s="20" t="n">
        <v>0.4197</v>
      </c>
      <c r="H617" s="20" t="n">
        <v>0.407109</v>
      </c>
      <c r="I617" s="20" t="n">
        <v>0.440685</v>
      </c>
      <c r="J617" s="20" t="n">
        <v>0.407109</v>
      </c>
      <c r="K617" s="2" t="inlineStr">
        <is>
          <t>止盈</t>
        </is>
      </c>
      <c r="L617" s="5">
        <f>交易明細!K307</f>
        <v/>
      </c>
      <c r="M617" s="19">
        <f>M610</f>
        <v/>
      </c>
      <c r="N617" s="2">
        <f>N610</f>
        <v/>
      </c>
      <c r="O617" s="19">
        <f>O610</f>
        <v/>
      </c>
      <c r="P617" s="4">
        <f>交易明細!L307</f>
        <v/>
      </c>
      <c r="Q617" s="13">
        <f>IF(N617="已下單",O617*P617,0)</f>
        <v/>
      </c>
      <c r="R617" s="13">
        <f>R616+Q617</f>
        <v/>
      </c>
      <c r="S617" s="19">
        <f>S616-IF(N617="已下單",M617,0)</f>
        <v/>
      </c>
      <c r="T617" s="19">
        <f>R617-S617</f>
        <v/>
      </c>
      <c r="U617" s="2">
        <f>U616-IF(N617="已下單",1,0)</f>
        <v/>
      </c>
      <c r="V617" s="19">
        <f>IF(資金模擬!$B$9=2,MAX(R617,0),MAX(V616,FLOOR(MAX(R617,0),資金模擬!$B$6)))</f>
        <v/>
      </c>
      <c r="W617" s="13">
        <f>MAX(W616,R617)</f>
        <v/>
      </c>
      <c r="X617" s="4">
        <f>IF(W617&gt;0,R617/W617-1,-1)</f>
        <v/>
      </c>
      <c r="Y617" s="19">
        <f>IF(R617&gt;0,S617*資金模擬!$B$7/R617,0)</f>
        <v/>
      </c>
      <c r="Z617" s="2">
        <f>IF(OR(Z616=1,R617&lt;=資金模擬!$B$10),1,0)</f>
        <v/>
      </c>
    </row>
    <row r="618">
      <c r="A618" s="2" t="n">
        <v>616</v>
      </c>
      <c r="B618" s="7" t="n">
        <v>46285.16666666666</v>
      </c>
      <c r="C618" s="2" t="inlineStr">
        <is>
          <t>出場</t>
        </is>
      </c>
      <c r="D618" s="2" t="n">
        <v>310</v>
      </c>
      <c r="E618" s="2" t="inlineStr">
        <is>
          <t>NEAR_USDT_PERP</t>
        </is>
      </c>
      <c r="F618" s="2" t="inlineStr">
        <is>
          <t>做空</t>
        </is>
      </c>
      <c r="G618" s="20" t="n">
        <v>3.57</v>
      </c>
      <c r="H618" s="20" t="n">
        <v>3.4629</v>
      </c>
      <c r="I618" s="20" t="n">
        <v>3.7485</v>
      </c>
      <c r="J618" s="20" t="n">
        <v>3.4629</v>
      </c>
      <c r="K618" s="2" t="inlineStr">
        <is>
          <t>止盈</t>
        </is>
      </c>
      <c r="L618" s="5">
        <f>交易明細!K311</f>
        <v/>
      </c>
      <c r="M618" s="19">
        <f>M616</f>
        <v/>
      </c>
      <c r="N618" s="2">
        <f>N616</f>
        <v/>
      </c>
      <c r="O618" s="19">
        <f>O616</f>
        <v/>
      </c>
      <c r="P618" s="4">
        <f>交易明細!L311</f>
        <v/>
      </c>
      <c r="Q618" s="13">
        <f>IF(N618="已下單",O618*P618,0)</f>
        <v/>
      </c>
      <c r="R618" s="13">
        <f>R617+Q618</f>
        <v/>
      </c>
      <c r="S618" s="19">
        <f>S617-IF(N618="已下單",M618,0)</f>
        <v/>
      </c>
      <c r="T618" s="19">
        <f>R618-S618</f>
        <v/>
      </c>
      <c r="U618" s="2">
        <f>U617-IF(N618="已下單",1,0)</f>
        <v/>
      </c>
      <c r="V618" s="19">
        <f>IF(資金模擬!$B$9=2,MAX(R618,0),MAX(V617,FLOOR(MAX(R618,0),資金模擬!$B$6)))</f>
        <v/>
      </c>
      <c r="W618" s="13">
        <f>MAX(W617,R618)</f>
        <v/>
      </c>
      <c r="X618" s="4">
        <f>IF(W618&gt;0,R618/W618-1,-1)</f>
        <v/>
      </c>
      <c r="Y618" s="19">
        <f>IF(R618&gt;0,S618*資金模擬!$B$7/R618,0)</f>
        <v/>
      </c>
      <c r="Z618" s="2">
        <f>IF(OR(Z617=1,R618&lt;=資金模擬!$B$10),1,0)</f>
        <v/>
      </c>
    </row>
    <row r="619">
      <c r="A619" s="2" t="n">
        <v>617</v>
      </c>
      <c r="B619" s="7" t="n">
        <v>46285.25</v>
      </c>
      <c r="C619" s="2" t="inlineStr">
        <is>
          <t>出場</t>
        </is>
      </c>
      <c r="D619" s="2" t="n">
        <v>307</v>
      </c>
      <c r="E619" s="2" t="inlineStr">
        <is>
          <t>LIT_USDT_PERP</t>
        </is>
      </c>
      <c r="F619" s="2" t="inlineStr">
        <is>
          <t>做空</t>
        </is>
      </c>
      <c r="G619" s="20" t="n">
        <v>4.951</v>
      </c>
      <c r="H619" s="20" t="n">
        <v>4.80247</v>
      </c>
      <c r="I619" s="20" t="n">
        <v>5.19855</v>
      </c>
      <c r="J619" s="20" t="n">
        <v>4.80247</v>
      </c>
      <c r="K619" s="2" t="inlineStr">
        <is>
          <t>止盈</t>
        </is>
      </c>
      <c r="L619" s="5">
        <f>交易明細!K308</f>
        <v/>
      </c>
      <c r="M619" s="19">
        <f>M612</f>
        <v/>
      </c>
      <c r="N619" s="2">
        <f>N612</f>
        <v/>
      </c>
      <c r="O619" s="19">
        <f>O612</f>
        <v/>
      </c>
      <c r="P619" s="4">
        <f>交易明細!L308</f>
        <v/>
      </c>
      <c r="Q619" s="13">
        <f>IF(N619="已下單",O619*P619,0)</f>
        <v/>
      </c>
      <c r="R619" s="13">
        <f>R618+Q619</f>
        <v/>
      </c>
      <c r="S619" s="19">
        <f>S618-IF(N619="已下單",M619,0)</f>
        <v/>
      </c>
      <c r="T619" s="19">
        <f>R619-S619</f>
        <v/>
      </c>
      <c r="U619" s="2">
        <f>U618-IF(N619="已下單",1,0)</f>
        <v/>
      </c>
      <c r="V619" s="19">
        <f>IF(資金模擬!$B$9=2,MAX(R619,0),MAX(V618,FLOOR(MAX(R619,0),資金模擬!$B$6)))</f>
        <v/>
      </c>
      <c r="W619" s="13">
        <f>MAX(W618,R619)</f>
        <v/>
      </c>
      <c r="X619" s="4">
        <f>IF(W619&gt;0,R619/W619-1,-1)</f>
        <v/>
      </c>
      <c r="Y619" s="19">
        <f>IF(R619&gt;0,S619*資金模擬!$B$7/R619,0)</f>
        <v/>
      </c>
      <c r="Z619" s="2">
        <f>IF(OR(Z618=1,R619&lt;=資金模擬!$B$10),1,0)</f>
        <v/>
      </c>
    </row>
    <row r="620">
      <c r="A620" s="2" t="n">
        <v>618</v>
      </c>
      <c r="B620" s="7" t="n">
        <v>46285.25</v>
      </c>
      <c r="C620" s="2" t="inlineStr">
        <is>
          <t>出場</t>
        </is>
      </c>
      <c r="D620" s="2" t="n">
        <v>308</v>
      </c>
      <c r="E620" s="2" t="inlineStr">
        <is>
          <t>XMR_USDT_PERP</t>
        </is>
      </c>
      <c r="F620" s="2" t="inlineStr">
        <is>
          <t>做空</t>
        </is>
      </c>
      <c r="G620" s="20" t="n">
        <v>554</v>
      </c>
      <c r="H620" s="20" t="n">
        <v>537.38</v>
      </c>
      <c r="I620" s="20" t="n">
        <v>581.7</v>
      </c>
      <c r="J620" s="20" t="n">
        <v>537.38</v>
      </c>
      <c r="K620" s="2" t="inlineStr">
        <is>
          <t>止盈</t>
        </is>
      </c>
      <c r="L620" s="5">
        <f>交易明細!K309</f>
        <v/>
      </c>
      <c r="M620" s="19">
        <f>M613</f>
        <v/>
      </c>
      <c r="N620" s="2">
        <f>N613</f>
        <v/>
      </c>
      <c r="O620" s="19">
        <f>O613</f>
        <v/>
      </c>
      <c r="P620" s="4">
        <f>交易明細!L309</f>
        <v/>
      </c>
      <c r="Q620" s="13">
        <f>IF(N620="已下單",O620*P620,0)</f>
        <v/>
      </c>
      <c r="R620" s="13">
        <f>R619+Q620</f>
        <v/>
      </c>
      <c r="S620" s="19">
        <f>S619-IF(N620="已下單",M620,0)</f>
        <v/>
      </c>
      <c r="T620" s="19">
        <f>R620-S620</f>
        <v/>
      </c>
      <c r="U620" s="2">
        <f>U619-IF(N620="已下單",1,0)</f>
        <v/>
      </c>
      <c r="V620" s="19">
        <f>IF(資金模擬!$B$9=2,MAX(R620,0),MAX(V619,FLOOR(MAX(R620,0),資金模擬!$B$6)))</f>
        <v/>
      </c>
      <c r="W620" s="13">
        <f>MAX(W619,R620)</f>
        <v/>
      </c>
      <c r="X620" s="4">
        <f>IF(W620&gt;0,R620/W620-1,-1)</f>
        <v/>
      </c>
      <c r="Y620" s="19">
        <f>IF(R620&gt;0,S620*資金模擬!$B$7/R620,0)</f>
        <v/>
      </c>
      <c r="Z620" s="2">
        <f>IF(OR(Z619=1,R620&lt;=資金模擬!$B$10),1,0)</f>
        <v/>
      </c>
    </row>
    <row r="621">
      <c r="A621" s="2" t="n">
        <v>619</v>
      </c>
      <c r="B621" s="7" t="n">
        <v>46285.25</v>
      </c>
      <c r="C621" s="2" t="inlineStr">
        <is>
          <t>進場</t>
        </is>
      </c>
      <c r="D621" s="2" t="n">
        <v>311</v>
      </c>
      <c r="E621" s="2" t="inlineStr">
        <is>
          <t>INJ_USDT_PERP</t>
        </is>
      </c>
      <c r="F621" s="2" t="inlineStr">
        <is>
          <t>做多</t>
        </is>
      </c>
      <c r="G621" s="20" t="n">
        <v>7.864</v>
      </c>
      <c r="H621" s="20" t="n">
        <v>8.099920000000001</v>
      </c>
      <c r="I621" s="20" t="n">
        <v>7.4708</v>
      </c>
      <c r="J621" s="20" t="n"/>
      <c r="K621" s="2" t="n"/>
      <c r="L621" s="5" t="n"/>
      <c r="M621" s="19">
        <f>資金模擬!$B$5*V620</f>
        <v/>
      </c>
      <c r="N621" s="2">
        <f>IF(Z620=1,"已停止",IF(T620&gt;=M621,"已下單","資金不足略過"))</f>
        <v/>
      </c>
      <c r="O621" s="19">
        <f>IF(N621="已下單",M621*資金模擬!$B$7,0)</f>
        <v/>
      </c>
      <c r="P621" s="4" t="n"/>
      <c r="Q621" s="13" t="n">
        <v>0</v>
      </c>
      <c r="R621" s="13">
        <f>R620+Q621</f>
        <v/>
      </c>
      <c r="S621" s="19">
        <f>S620+IF(N621="已下單",M621,0)</f>
        <v/>
      </c>
      <c r="T621" s="19">
        <f>R621-S621</f>
        <v/>
      </c>
      <c r="U621" s="2">
        <f>U620+IF(N621="已下單",1,0)</f>
        <v/>
      </c>
      <c r="V621" s="19">
        <f>IF(資金模擬!$B$9=2,MAX(R621,0),MAX(V620,FLOOR(MAX(R621,0),資金模擬!$B$6)))</f>
        <v/>
      </c>
      <c r="W621" s="13">
        <f>MAX(W620,R621)</f>
        <v/>
      </c>
      <c r="X621" s="4">
        <f>IF(W621&gt;0,R621/W621-1,-1)</f>
        <v/>
      </c>
      <c r="Y621" s="19">
        <f>IF(R621&gt;0,S621*資金模擬!$B$7/R621,0)</f>
        <v/>
      </c>
      <c r="Z621" s="2">
        <f>IF(OR(Z620=1,R621&lt;=資金模擬!$B$10),1,0)</f>
        <v/>
      </c>
    </row>
    <row r="622">
      <c r="A622" s="2" t="n">
        <v>620</v>
      </c>
      <c r="B622" s="7" t="n">
        <v>46285.29166666666</v>
      </c>
      <c r="C622" s="2" t="inlineStr">
        <is>
          <t>出場</t>
        </is>
      </c>
      <c r="D622" s="2" t="n">
        <v>311</v>
      </c>
      <c r="E622" s="2" t="inlineStr">
        <is>
          <t>INJ_USDT_PERP</t>
        </is>
      </c>
      <c r="F622" s="2" t="inlineStr">
        <is>
          <t>做多</t>
        </is>
      </c>
      <c r="G622" s="20" t="n">
        <v>7.864</v>
      </c>
      <c r="H622" s="20" t="n">
        <v>8.099920000000001</v>
      </c>
      <c r="I622" s="20" t="n">
        <v>7.4708</v>
      </c>
      <c r="J622" s="20" t="n">
        <v>8.099920000000001</v>
      </c>
      <c r="K622" s="2" t="inlineStr">
        <is>
          <t>止盈</t>
        </is>
      </c>
      <c r="L622" s="5">
        <f>交易明細!K312</f>
        <v/>
      </c>
      <c r="M622" s="19">
        <f>M621</f>
        <v/>
      </c>
      <c r="N622" s="2">
        <f>N621</f>
        <v/>
      </c>
      <c r="O622" s="19">
        <f>O621</f>
        <v/>
      </c>
      <c r="P622" s="4">
        <f>交易明細!L312</f>
        <v/>
      </c>
      <c r="Q622" s="13">
        <f>IF(N622="已下單",O622*P622,0)</f>
        <v/>
      </c>
      <c r="R622" s="13">
        <f>R621+Q622</f>
        <v/>
      </c>
      <c r="S622" s="19">
        <f>S621-IF(N622="已下單",M622,0)</f>
        <v/>
      </c>
      <c r="T622" s="19">
        <f>R622-S622</f>
        <v/>
      </c>
      <c r="U622" s="2">
        <f>U621-IF(N622="已下單",1,0)</f>
        <v/>
      </c>
      <c r="V622" s="19">
        <f>IF(資金模擬!$B$9=2,MAX(R622,0),MAX(V621,FLOOR(MAX(R622,0),資金模擬!$B$6)))</f>
        <v/>
      </c>
      <c r="W622" s="13">
        <f>MAX(W621,R622)</f>
        <v/>
      </c>
      <c r="X622" s="4">
        <f>IF(W622&gt;0,R622/W622-1,-1)</f>
        <v/>
      </c>
      <c r="Y622" s="19">
        <f>IF(R622&gt;0,S622*資金模擬!$B$7/R622,0)</f>
        <v/>
      </c>
      <c r="Z622" s="2">
        <f>IF(OR(Z621=1,R622&lt;=資金模擬!$B$10),1,0)</f>
        <v/>
      </c>
    </row>
    <row r="623">
      <c r="A623" s="2" t="n">
        <v>621</v>
      </c>
      <c r="B623" s="7" t="n">
        <v>46285.33333333334</v>
      </c>
      <c r="C623" s="2" t="inlineStr">
        <is>
          <t>進場</t>
        </is>
      </c>
      <c r="D623" s="2" t="n">
        <v>312</v>
      </c>
      <c r="E623" s="2" t="inlineStr">
        <is>
          <t>AR_USDT_PERP</t>
        </is>
      </c>
      <c r="F623" s="2" t="inlineStr">
        <is>
          <t>做多</t>
        </is>
      </c>
      <c r="G623" s="20" t="n">
        <v>4.413</v>
      </c>
      <c r="H623" s="20" t="n">
        <v>4.54539</v>
      </c>
      <c r="I623" s="20" t="n">
        <v>4.19235</v>
      </c>
      <c r="J623" s="20" t="n"/>
      <c r="K623" s="2" t="n"/>
      <c r="L623" s="5" t="n"/>
      <c r="M623" s="19">
        <f>資金模擬!$B$5*V622</f>
        <v/>
      </c>
      <c r="N623" s="2">
        <f>IF(Z622=1,"已停止",IF(T622&gt;=M623,"已下單","資金不足略過"))</f>
        <v/>
      </c>
      <c r="O623" s="19">
        <f>IF(N623="已下單",M623*資金模擬!$B$7,0)</f>
        <v/>
      </c>
      <c r="P623" s="4" t="n"/>
      <c r="Q623" s="13" t="n">
        <v>0</v>
      </c>
      <c r="R623" s="13">
        <f>R622+Q623</f>
        <v/>
      </c>
      <c r="S623" s="19">
        <f>S622+IF(N623="已下單",M623,0)</f>
        <v/>
      </c>
      <c r="T623" s="19">
        <f>R623-S623</f>
        <v/>
      </c>
      <c r="U623" s="2">
        <f>U622+IF(N623="已下單",1,0)</f>
        <v/>
      </c>
      <c r="V623" s="19">
        <f>IF(資金模擬!$B$9=2,MAX(R623,0),MAX(V622,FLOOR(MAX(R623,0),資金模擬!$B$6)))</f>
        <v/>
      </c>
      <c r="W623" s="13">
        <f>MAX(W622,R623)</f>
        <v/>
      </c>
      <c r="X623" s="4">
        <f>IF(W623&gt;0,R623/W623-1,-1)</f>
        <v/>
      </c>
      <c r="Y623" s="19">
        <f>IF(R623&gt;0,S623*資金模擬!$B$7/R623,0)</f>
        <v/>
      </c>
      <c r="Z623" s="2">
        <f>IF(OR(Z622=1,R623&lt;=資金模擬!$B$10),1,0)</f>
        <v/>
      </c>
    </row>
    <row r="624">
      <c r="A624" s="2" t="n">
        <v>622</v>
      </c>
      <c r="B624" s="7" t="n">
        <v>46285.375</v>
      </c>
      <c r="C624" s="2" t="inlineStr">
        <is>
          <t>出場</t>
        </is>
      </c>
      <c r="D624" s="2" t="n">
        <v>312</v>
      </c>
      <c r="E624" s="2" t="inlineStr">
        <is>
          <t>AR_USDT_PERP</t>
        </is>
      </c>
      <c r="F624" s="2" t="inlineStr">
        <is>
          <t>做多</t>
        </is>
      </c>
      <c r="G624" s="20" t="n">
        <v>4.413</v>
      </c>
      <c r="H624" s="20" t="n">
        <v>4.54539</v>
      </c>
      <c r="I624" s="20" t="n">
        <v>4.19235</v>
      </c>
      <c r="J624" s="20" t="n">
        <v>4.54539</v>
      </c>
      <c r="K624" s="2" t="inlineStr">
        <is>
          <t>止盈</t>
        </is>
      </c>
      <c r="L624" s="5">
        <f>交易明細!K313</f>
        <v/>
      </c>
      <c r="M624" s="19">
        <f>M623</f>
        <v/>
      </c>
      <c r="N624" s="2">
        <f>N623</f>
        <v/>
      </c>
      <c r="O624" s="19">
        <f>O623</f>
        <v/>
      </c>
      <c r="P624" s="4">
        <f>交易明細!L313</f>
        <v/>
      </c>
      <c r="Q624" s="13">
        <f>IF(N624="已下單",O624*P624,0)</f>
        <v/>
      </c>
      <c r="R624" s="13">
        <f>R623+Q624</f>
        <v/>
      </c>
      <c r="S624" s="19">
        <f>S623-IF(N624="已下單",M624,0)</f>
        <v/>
      </c>
      <c r="T624" s="19">
        <f>R624-S624</f>
        <v/>
      </c>
      <c r="U624" s="2">
        <f>U623-IF(N624="已下單",1,0)</f>
        <v/>
      </c>
      <c r="V624" s="19">
        <f>IF(資金模擬!$B$9=2,MAX(R624,0),MAX(V623,FLOOR(MAX(R624,0),資金模擬!$B$6)))</f>
        <v/>
      </c>
      <c r="W624" s="13">
        <f>MAX(W623,R624)</f>
        <v/>
      </c>
      <c r="X624" s="4">
        <f>IF(W624&gt;0,R624/W624-1,-1)</f>
        <v/>
      </c>
      <c r="Y624" s="19">
        <f>IF(R624&gt;0,S624*資金模擬!$B$7/R624,0)</f>
        <v/>
      </c>
      <c r="Z624" s="2">
        <f>IF(OR(Z623=1,R624&lt;=資金模擬!$B$10),1,0)</f>
        <v/>
      </c>
    </row>
    <row r="625">
      <c r="A625" s="2" t="n">
        <v>623</v>
      </c>
      <c r="B625" s="7" t="n">
        <v>46285.41666666666</v>
      </c>
      <c r="C625" s="2" t="inlineStr">
        <is>
          <t>出場</t>
        </is>
      </c>
      <c r="D625" s="2" t="n">
        <v>309</v>
      </c>
      <c r="E625" s="2" t="inlineStr">
        <is>
          <t>MYX_USDT_PERP</t>
        </is>
      </c>
      <c r="F625" s="2" t="inlineStr">
        <is>
          <t>做多</t>
        </is>
      </c>
      <c r="G625" s="20" t="n">
        <v>0.08934</v>
      </c>
      <c r="H625" s="20" t="n">
        <v>0.09202020000000001</v>
      </c>
      <c r="I625" s="20" t="n">
        <v>0.084873</v>
      </c>
      <c r="J625" s="20" t="n">
        <v>0.084873</v>
      </c>
      <c r="K625" s="2" t="inlineStr">
        <is>
          <t>止損</t>
        </is>
      </c>
      <c r="L625" s="5">
        <f>交易明細!K310</f>
        <v/>
      </c>
      <c r="M625" s="19">
        <f>M615</f>
        <v/>
      </c>
      <c r="N625" s="2">
        <f>N615</f>
        <v/>
      </c>
      <c r="O625" s="19">
        <f>O615</f>
        <v/>
      </c>
      <c r="P625" s="4">
        <f>交易明細!L310</f>
        <v/>
      </c>
      <c r="Q625" s="13">
        <f>IF(N625="已下單",O625*P625,0)</f>
        <v/>
      </c>
      <c r="R625" s="13">
        <f>R624+Q625</f>
        <v/>
      </c>
      <c r="S625" s="19">
        <f>S624-IF(N625="已下單",M625,0)</f>
        <v/>
      </c>
      <c r="T625" s="19">
        <f>R625-S625</f>
        <v/>
      </c>
      <c r="U625" s="2">
        <f>U624-IF(N625="已下單",1,0)</f>
        <v/>
      </c>
      <c r="V625" s="19">
        <f>IF(資金模擬!$B$9=2,MAX(R625,0),MAX(V624,FLOOR(MAX(R625,0),資金模擬!$B$6)))</f>
        <v/>
      </c>
      <c r="W625" s="13">
        <f>MAX(W624,R625)</f>
        <v/>
      </c>
      <c r="X625" s="4">
        <f>IF(W625&gt;0,R625/W625-1,-1)</f>
        <v/>
      </c>
      <c r="Y625" s="19">
        <f>IF(R625&gt;0,S625*資金模擬!$B$7/R625,0)</f>
        <v/>
      </c>
      <c r="Z625" s="2">
        <f>IF(OR(Z624=1,R625&lt;=資金模擬!$B$10),1,0)</f>
        <v/>
      </c>
    </row>
    <row r="626">
      <c r="A626" s="2" t="n">
        <v>624</v>
      </c>
      <c r="B626" s="7" t="n">
        <v>46285.45833333334</v>
      </c>
      <c r="C626" s="2" t="inlineStr">
        <is>
          <t>出場</t>
        </is>
      </c>
      <c r="D626" s="2" t="n">
        <v>298</v>
      </c>
      <c r="E626" s="2" t="inlineStr">
        <is>
          <t>PUMP_USDT_PERP</t>
        </is>
      </c>
      <c r="F626" s="2" t="inlineStr">
        <is>
          <t>做空</t>
        </is>
      </c>
      <c r="G626" s="20" t="n">
        <v>0.004132</v>
      </c>
      <c r="H626" s="20" t="n">
        <v>0.00400804</v>
      </c>
      <c r="I626" s="20" t="n">
        <v>0.004338600000000001</v>
      </c>
      <c r="J626" s="20" t="n">
        <v>0.00400804</v>
      </c>
      <c r="K626" s="2" t="inlineStr">
        <is>
          <t>止盈</t>
        </is>
      </c>
      <c r="L626" s="5">
        <f>交易明細!K299</f>
        <v/>
      </c>
      <c r="M626" s="19">
        <f>M593</f>
        <v/>
      </c>
      <c r="N626" s="2">
        <f>N593</f>
        <v/>
      </c>
      <c r="O626" s="19">
        <f>O593</f>
        <v/>
      </c>
      <c r="P626" s="4">
        <f>交易明細!L299</f>
        <v/>
      </c>
      <c r="Q626" s="13">
        <f>IF(N626="已下單",O626*P626,0)</f>
        <v/>
      </c>
      <c r="R626" s="13">
        <f>R625+Q626</f>
        <v/>
      </c>
      <c r="S626" s="19">
        <f>S625-IF(N626="已下單",M626,0)</f>
        <v/>
      </c>
      <c r="T626" s="19">
        <f>R626-S626</f>
        <v/>
      </c>
      <c r="U626" s="2">
        <f>U625-IF(N626="已下單",1,0)</f>
        <v/>
      </c>
      <c r="V626" s="19">
        <f>IF(資金模擬!$B$9=2,MAX(R626,0),MAX(V625,FLOOR(MAX(R626,0),資金模擬!$B$6)))</f>
        <v/>
      </c>
      <c r="W626" s="13">
        <f>MAX(W625,R626)</f>
        <v/>
      </c>
      <c r="X626" s="4">
        <f>IF(W626&gt;0,R626/W626-1,-1)</f>
        <v/>
      </c>
      <c r="Y626" s="19">
        <f>IF(R626&gt;0,S626*資金模擬!$B$7/R626,0)</f>
        <v/>
      </c>
      <c r="Z626" s="2">
        <f>IF(OR(Z625=1,R626&lt;=資金模擬!$B$10),1,0)</f>
        <v/>
      </c>
    </row>
    <row r="627">
      <c r="A627" s="2" t="n">
        <v>625</v>
      </c>
      <c r="B627" s="7" t="n">
        <v>46285.45833333334</v>
      </c>
      <c r="C627" s="2" t="inlineStr">
        <is>
          <t>進場</t>
        </is>
      </c>
      <c r="D627" s="2" t="n">
        <v>313</v>
      </c>
      <c r="E627" s="2" t="inlineStr">
        <is>
          <t>NEAR_USDT_PERP</t>
        </is>
      </c>
      <c r="F627" s="2" t="inlineStr">
        <is>
          <t>做空</t>
        </is>
      </c>
      <c r="G627" s="20" t="n">
        <v>3.486</v>
      </c>
      <c r="H627" s="20" t="n">
        <v>3.38142</v>
      </c>
      <c r="I627" s="20" t="n">
        <v>3.6603</v>
      </c>
      <c r="J627" s="20" t="n"/>
      <c r="K627" s="2" t="n"/>
      <c r="L627" s="5" t="n"/>
      <c r="M627" s="19">
        <f>資金模擬!$B$5*V626</f>
        <v/>
      </c>
      <c r="N627" s="2">
        <f>IF(Z626=1,"已停止",IF(T626&gt;=M627,"已下單","資金不足略過"))</f>
        <v/>
      </c>
      <c r="O627" s="19">
        <f>IF(N627="已下單",M627*資金模擬!$B$7,0)</f>
        <v/>
      </c>
      <c r="P627" s="4" t="n"/>
      <c r="Q627" s="13" t="n">
        <v>0</v>
      </c>
      <c r="R627" s="13">
        <f>R626+Q627</f>
        <v/>
      </c>
      <c r="S627" s="19">
        <f>S626+IF(N627="已下單",M627,0)</f>
        <v/>
      </c>
      <c r="T627" s="19">
        <f>R627-S627</f>
        <v/>
      </c>
      <c r="U627" s="2">
        <f>U626+IF(N627="已下單",1,0)</f>
        <v/>
      </c>
      <c r="V627" s="19">
        <f>IF(資金模擬!$B$9=2,MAX(R627,0),MAX(V626,FLOOR(MAX(R627,0),資金模擬!$B$6)))</f>
        <v/>
      </c>
      <c r="W627" s="13">
        <f>MAX(W626,R627)</f>
        <v/>
      </c>
      <c r="X627" s="4">
        <f>IF(W627&gt;0,R627/W627-1,-1)</f>
        <v/>
      </c>
      <c r="Y627" s="19">
        <f>IF(R627&gt;0,S627*資金模擬!$B$7/R627,0)</f>
        <v/>
      </c>
      <c r="Z627" s="2">
        <f>IF(OR(Z626=1,R627&lt;=資金模擬!$B$10),1,0)</f>
        <v/>
      </c>
    </row>
    <row r="628">
      <c r="A628" s="2" t="n">
        <v>626</v>
      </c>
      <c r="B628" s="7" t="n">
        <v>46285.45833333334</v>
      </c>
      <c r="C628" s="2" t="inlineStr">
        <is>
          <t>進場</t>
        </is>
      </c>
      <c r="D628" s="2" t="n">
        <v>314</v>
      </c>
      <c r="E628" s="2" t="inlineStr">
        <is>
          <t>ONDO_USDT_PERP</t>
        </is>
      </c>
      <c r="F628" s="2" t="inlineStr">
        <is>
          <t>做空</t>
        </is>
      </c>
      <c r="G628" s="20" t="n">
        <v>0.4017</v>
      </c>
      <c r="H628" s="20" t="n">
        <v>0.389649</v>
      </c>
      <c r="I628" s="20" t="n">
        <v>0.421785</v>
      </c>
      <c r="J628" s="20" t="n"/>
      <c r="K628" s="2" t="n"/>
      <c r="L628" s="5" t="n"/>
      <c r="M628" s="19">
        <f>資金模擬!$B$5*V627</f>
        <v/>
      </c>
      <c r="N628" s="2">
        <f>IF(Z627=1,"已停止",IF(T627&gt;=M628,"已下單","資金不足略過"))</f>
        <v/>
      </c>
      <c r="O628" s="19">
        <f>IF(N628="已下單",M628*資金模擬!$B$7,0)</f>
        <v/>
      </c>
      <c r="P628" s="4" t="n"/>
      <c r="Q628" s="13" t="n">
        <v>0</v>
      </c>
      <c r="R628" s="13">
        <f>R627+Q628</f>
        <v/>
      </c>
      <c r="S628" s="19">
        <f>S627+IF(N628="已下單",M628,0)</f>
        <v/>
      </c>
      <c r="T628" s="19">
        <f>R628-S628</f>
        <v/>
      </c>
      <c r="U628" s="2">
        <f>U627+IF(N628="已下單",1,0)</f>
        <v/>
      </c>
      <c r="V628" s="19">
        <f>IF(資金模擬!$B$9=2,MAX(R628,0),MAX(V627,FLOOR(MAX(R628,0),資金模擬!$B$6)))</f>
        <v/>
      </c>
      <c r="W628" s="13">
        <f>MAX(W627,R628)</f>
        <v/>
      </c>
      <c r="X628" s="4">
        <f>IF(W628&gt;0,R628/W628-1,-1)</f>
        <v/>
      </c>
      <c r="Y628" s="19">
        <f>IF(R628&gt;0,S628*資金模擬!$B$7/R628,0)</f>
        <v/>
      </c>
      <c r="Z628" s="2">
        <f>IF(OR(Z627=1,R628&lt;=資金模擬!$B$10),1,0)</f>
        <v/>
      </c>
    </row>
    <row r="629">
      <c r="A629" s="2" t="n">
        <v>627</v>
      </c>
      <c r="B629" s="7" t="n">
        <v>46285.45833333334</v>
      </c>
      <c r="C629" s="2" t="inlineStr">
        <is>
          <t>進場</t>
        </is>
      </c>
      <c r="D629" s="2" t="n">
        <v>315</v>
      </c>
      <c r="E629" s="2" t="inlineStr">
        <is>
          <t>PEPE_USDT_PERP</t>
        </is>
      </c>
      <c r="F629" s="2" t="inlineStr">
        <is>
          <t>做空</t>
        </is>
      </c>
      <c r="G629" s="20" t="n">
        <v>3.935e-06</v>
      </c>
      <c r="H629" s="20" t="n">
        <v>3.816949999999999e-06</v>
      </c>
      <c r="I629" s="20" t="n">
        <v>4.13175e-06</v>
      </c>
      <c r="J629" s="20" t="n"/>
      <c r="K629" s="2" t="n"/>
      <c r="L629" s="5" t="n"/>
      <c r="M629" s="19">
        <f>資金模擬!$B$5*V628</f>
        <v/>
      </c>
      <c r="N629" s="2">
        <f>IF(Z628=1,"已停止",IF(T628&gt;=M629,"已下單","資金不足略過"))</f>
        <v/>
      </c>
      <c r="O629" s="19">
        <f>IF(N629="已下單",M629*資金模擬!$B$7,0)</f>
        <v/>
      </c>
      <c r="P629" s="4" t="n"/>
      <c r="Q629" s="13" t="n">
        <v>0</v>
      </c>
      <c r="R629" s="13">
        <f>R628+Q629</f>
        <v/>
      </c>
      <c r="S629" s="19">
        <f>S628+IF(N629="已下單",M629,0)</f>
        <v/>
      </c>
      <c r="T629" s="19">
        <f>R629-S629</f>
        <v/>
      </c>
      <c r="U629" s="2">
        <f>U628+IF(N629="已下單",1,0)</f>
        <v/>
      </c>
      <c r="V629" s="19">
        <f>IF(資金模擬!$B$9=2,MAX(R629,0),MAX(V628,FLOOR(MAX(R629,0),資金模擬!$B$6)))</f>
        <v/>
      </c>
      <c r="W629" s="13">
        <f>MAX(W628,R629)</f>
        <v/>
      </c>
      <c r="X629" s="4">
        <f>IF(W629&gt;0,R629/W629-1,-1)</f>
        <v/>
      </c>
      <c r="Y629" s="19">
        <f>IF(R629&gt;0,S629*資金模擬!$B$7/R629,0)</f>
        <v/>
      </c>
      <c r="Z629" s="2">
        <f>IF(OR(Z628=1,R629&lt;=資金模擬!$B$10),1,0)</f>
        <v/>
      </c>
    </row>
    <row r="630">
      <c r="A630" s="2" t="n">
        <v>628</v>
      </c>
      <c r="B630" s="7" t="n">
        <v>46285.45833333334</v>
      </c>
      <c r="C630" s="2" t="inlineStr">
        <is>
          <t>進場</t>
        </is>
      </c>
      <c r="D630" s="2" t="n">
        <v>316</v>
      </c>
      <c r="E630" s="2" t="inlineStr">
        <is>
          <t>PONS_USDT_PERP</t>
        </is>
      </c>
      <c r="F630" s="2" t="inlineStr">
        <is>
          <t>做空</t>
        </is>
      </c>
      <c r="G630" s="20" t="n">
        <v>0.5768</v>
      </c>
      <c r="H630" s="20" t="n">
        <v>0.559496</v>
      </c>
      <c r="I630" s="20" t="n">
        <v>0.60564</v>
      </c>
      <c r="J630" s="20" t="n"/>
      <c r="K630" s="2" t="n"/>
      <c r="L630" s="5" t="n"/>
      <c r="M630" s="19">
        <f>資金模擬!$B$5*V629</f>
        <v/>
      </c>
      <c r="N630" s="2">
        <f>IF(Z629=1,"已停止",IF(T629&gt;=M630,"已下單","資金不足略過"))</f>
        <v/>
      </c>
      <c r="O630" s="19">
        <f>IF(N630="已下單",M630*資金模擬!$B$7,0)</f>
        <v/>
      </c>
      <c r="P630" s="4" t="n"/>
      <c r="Q630" s="13" t="n">
        <v>0</v>
      </c>
      <c r="R630" s="13">
        <f>R629+Q630</f>
        <v/>
      </c>
      <c r="S630" s="19">
        <f>S629+IF(N630="已下單",M630,0)</f>
        <v/>
      </c>
      <c r="T630" s="19">
        <f>R630-S630</f>
        <v/>
      </c>
      <c r="U630" s="2">
        <f>U629+IF(N630="已下單",1,0)</f>
        <v/>
      </c>
      <c r="V630" s="19">
        <f>IF(資金模擬!$B$9=2,MAX(R630,0),MAX(V629,FLOOR(MAX(R630,0),資金模擬!$B$6)))</f>
        <v/>
      </c>
      <c r="W630" s="13">
        <f>MAX(W629,R630)</f>
        <v/>
      </c>
      <c r="X630" s="4">
        <f>IF(W630&gt;0,R630/W630-1,-1)</f>
        <v/>
      </c>
      <c r="Y630" s="19">
        <f>IF(R630&gt;0,S630*資金模擬!$B$7/R630,0)</f>
        <v/>
      </c>
      <c r="Z630" s="2">
        <f>IF(OR(Z629=1,R630&lt;=資金模擬!$B$10),1,0)</f>
        <v/>
      </c>
    </row>
    <row r="631">
      <c r="A631" s="2" t="n">
        <v>629</v>
      </c>
      <c r="B631" s="7" t="n">
        <v>46285.45833333334</v>
      </c>
      <c r="C631" s="2" t="inlineStr">
        <is>
          <t>進場</t>
        </is>
      </c>
      <c r="D631" s="2" t="n">
        <v>317</v>
      </c>
      <c r="E631" s="2" t="inlineStr">
        <is>
          <t>SUI_USDT_PERP</t>
        </is>
      </c>
      <c r="F631" s="2" t="inlineStr">
        <is>
          <t>做空</t>
        </is>
      </c>
      <c r="G631" s="20" t="n">
        <v>0.8198</v>
      </c>
      <c r="H631" s="20" t="n">
        <v>0.795206</v>
      </c>
      <c r="I631" s="20" t="n">
        <v>0.8607900000000001</v>
      </c>
      <c r="J631" s="20" t="n"/>
      <c r="K631" s="2" t="n"/>
      <c r="L631" s="5" t="n"/>
      <c r="M631" s="19">
        <f>資金模擬!$B$5*V630</f>
        <v/>
      </c>
      <c r="N631" s="2">
        <f>IF(Z630=1,"已停止",IF(T630&gt;=M631,"已下單","資金不足略過"))</f>
        <v/>
      </c>
      <c r="O631" s="19">
        <f>IF(N631="已下單",M631*資金模擬!$B$7,0)</f>
        <v/>
      </c>
      <c r="P631" s="4" t="n"/>
      <c r="Q631" s="13" t="n">
        <v>0</v>
      </c>
      <c r="R631" s="13">
        <f>R630+Q631</f>
        <v/>
      </c>
      <c r="S631" s="19">
        <f>S630+IF(N631="已下單",M631,0)</f>
        <v/>
      </c>
      <c r="T631" s="19">
        <f>R631-S631</f>
        <v/>
      </c>
      <c r="U631" s="2">
        <f>U630+IF(N631="已下單",1,0)</f>
        <v/>
      </c>
      <c r="V631" s="19">
        <f>IF(資金模擬!$B$9=2,MAX(R631,0),MAX(V630,FLOOR(MAX(R631,0),資金模擬!$B$6)))</f>
        <v/>
      </c>
      <c r="W631" s="13">
        <f>MAX(W630,R631)</f>
        <v/>
      </c>
      <c r="X631" s="4">
        <f>IF(W631&gt;0,R631/W631-1,-1)</f>
        <v/>
      </c>
      <c r="Y631" s="19">
        <f>IF(R631&gt;0,S631*資金模擬!$B$7/R631,0)</f>
        <v/>
      </c>
      <c r="Z631" s="2">
        <f>IF(OR(Z630=1,R631&lt;=資金模擬!$B$10),1,0)</f>
        <v/>
      </c>
    </row>
    <row r="632">
      <c r="A632" s="2" t="n">
        <v>630</v>
      </c>
      <c r="B632" s="7" t="n">
        <v>46285.45833333334</v>
      </c>
      <c r="C632" s="2" t="inlineStr">
        <is>
          <t>進場</t>
        </is>
      </c>
      <c r="D632" s="2" t="n">
        <v>318</v>
      </c>
      <c r="E632" s="2" t="inlineStr">
        <is>
          <t>UNI_USDT_PERP</t>
        </is>
      </c>
      <c r="F632" s="2" t="inlineStr">
        <is>
          <t>做空</t>
        </is>
      </c>
      <c r="G632" s="20" t="n">
        <v>8.545</v>
      </c>
      <c r="H632" s="20" t="n">
        <v>8.288650000000001</v>
      </c>
      <c r="I632" s="20" t="n">
        <v>8.972250000000001</v>
      </c>
      <c r="J632" s="20" t="n"/>
      <c r="K632" s="2" t="n"/>
      <c r="L632" s="5" t="n"/>
      <c r="M632" s="19">
        <f>資金模擬!$B$5*V631</f>
        <v/>
      </c>
      <c r="N632" s="2">
        <f>IF(Z631=1,"已停止",IF(T631&gt;=M632,"已下單","資金不足略過"))</f>
        <v/>
      </c>
      <c r="O632" s="19">
        <f>IF(N632="已下單",M632*資金模擬!$B$7,0)</f>
        <v/>
      </c>
      <c r="P632" s="4" t="n"/>
      <c r="Q632" s="13" t="n">
        <v>0</v>
      </c>
      <c r="R632" s="13">
        <f>R631+Q632</f>
        <v/>
      </c>
      <c r="S632" s="19">
        <f>S631+IF(N632="已下單",M632,0)</f>
        <v/>
      </c>
      <c r="T632" s="19">
        <f>R632-S632</f>
        <v/>
      </c>
      <c r="U632" s="2">
        <f>U631+IF(N632="已下單",1,0)</f>
        <v/>
      </c>
      <c r="V632" s="19">
        <f>IF(資金模擬!$B$9=2,MAX(R632,0),MAX(V631,FLOOR(MAX(R632,0),資金模擬!$B$6)))</f>
        <v/>
      </c>
      <c r="W632" s="13">
        <f>MAX(W631,R632)</f>
        <v/>
      </c>
      <c r="X632" s="4">
        <f>IF(W632&gt;0,R632/W632-1,-1)</f>
        <v/>
      </c>
      <c r="Y632" s="19">
        <f>IF(R632&gt;0,S632*資金模擬!$B$7/R632,0)</f>
        <v/>
      </c>
      <c r="Z632" s="2">
        <f>IF(OR(Z631=1,R632&lt;=資金模擬!$B$10),1,0)</f>
        <v/>
      </c>
    </row>
    <row r="633">
      <c r="A633" s="2" t="n">
        <v>631</v>
      </c>
      <c r="B633" s="7" t="n">
        <v>46285.5</v>
      </c>
      <c r="C633" s="2" t="inlineStr">
        <is>
          <t>進場</t>
        </is>
      </c>
      <c r="D633" s="2" t="n">
        <v>319</v>
      </c>
      <c r="E633" s="2" t="inlineStr">
        <is>
          <t>AKE_USDT_PERP</t>
        </is>
      </c>
      <c r="F633" s="2" t="inlineStr">
        <is>
          <t>做多</t>
        </is>
      </c>
      <c r="G633" s="20" t="n">
        <v>0.06488480000000001</v>
      </c>
      <c r="H633" s="20" t="n">
        <v>0.06683134400000001</v>
      </c>
      <c r="I633" s="20" t="n">
        <v>0.06164056</v>
      </c>
      <c r="J633" s="20" t="n"/>
      <c r="K633" s="2" t="n"/>
      <c r="L633" s="5" t="n"/>
      <c r="M633" s="19">
        <f>資金模擬!$B$5*V632</f>
        <v/>
      </c>
      <c r="N633" s="2">
        <f>IF(Z632=1,"已停止",IF(T632&gt;=M633,"已下單","資金不足略過"))</f>
        <v/>
      </c>
      <c r="O633" s="19">
        <f>IF(N633="已下單",M633*資金模擬!$B$7,0)</f>
        <v/>
      </c>
      <c r="P633" s="4" t="n"/>
      <c r="Q633" s="13" t="n">
        <v>0</v>
      </c>
      <c r="R633" s="13">
        <f>R632+Q633</f>
        <v/>
      </c>
      <c r="S633" s="19">
        <f>S632+IF(N633="已下單",M633,0)</f>
        <v/>
      </c>
      <c r="T633" s="19">
        <f>R633-S633</f>
        <v/>
      </c>
      <c r="U633" s="2">
        <f>U632+IF(N633="已下單",1,0)</f>
        <v/>
      </c>
      <c r="V633" s="19">
        <f>IF(資金模擬!$B$9=2,MAX(R633,0),MAX(V632,FLOOR(MAX(R633,0),資金模擬!$B$6)))</f>
        <v/>
      </c>
      <c r="W633" s="13">
        <f>MAX(W632,R633)</f>
        <v/>
      </c>
      <c r="X633" s="4">
        <f>IF(W633&gt;0,R633/W633-1,-1)</f>
        <v/>
      </c>
      <c r="Y633" s="19">
        <f>IF(R633&gt;0,S633*資金模擬!$B$7/R633,0)</f>
        <v/>
      </c>
      <c r="Z633" s="2">
        <f>IF(OR(Z632=1,R633&lt;=資金模擬!$B$10),1,0)</f>
        <v/>
      </c>
    </row>
    <row r="634">
      <c r="A634" s="2" t="n">
        <v>632</v>
      </c>
      <c r="B634" s="7" t="n">
        <v>46285.5</v>
      </c>
      <c r="C634" s="2" t="inlineStr">
        <is>
          <t>進場</t>
        </is>
      </c>
      <c r="D634" s="2" t="n">
        <v>320</v>
      </c>
      <c r="E634" s="2" t="inlineStr">
        <is>
          <t>INJ_USDT_PERP</t>
        </is>
      </c>
      <c r="F634" s="2" t="inlineStr">
        <is>
          <t>做空</t>
        </is>
      </c>
      <c r="G634" s="20" t="n">
        <v>7.584</v>
      </c>
      <c r="H634" s="20" t="n">
        <v>7.356479999999999</v>
      </c>
      <c r="I634" s="20" t="n">
        <v>7.9632</v>
      </c>
      <c r="J634" s="20" t="n"/>
      <c r="K634" s="2" t="n"/>
      <c r="L634" s="5" t="n"/>
      <c r="M634" s="19">
        <f>資金模擬!$B$5*V633</f>
        <v/>
      </c>
      <c r="N634" s="2">
        <f>IF(Z633=1,"已停止",IF(T633&gt;=M634,"已下單","資金不足略過"))</f>
        <v/>
      </c>
      <c r="O634" s="19">
        <f>IF(N634="已下單",M634*資金模擬!$B$7,0)</f>
        <v/>
      </c>
      <c r="P634" s="4" t="n"/>
      <c r="Q634" s="13" t="n">
        <v>0</v>
      </c>
      <c r="R634" s="13">
        <f>R633+Q634</f>
        <v/>
      </c>
      <c r="S634" s="19">
        <f>S633+IF(N634="已下單",M634,0)</f>
        <v/>
      </c>
      <c r="T634" s="19">
        <f>R634-S634</f>
        <v/>
      </c>
      <c r="U634" s="2">
        <f>U633+IF(N634="已下單",1,0)</f>
        <v/>
      </c>
      <c r="V634" s="19">
        <f>IF(資金模擬!$B$9=2,MAX(R634,0),MAX(V633,FLOOR(MAX(R634,0),資金模擬!$B$6)))</f>
        <v/>
      </c>
      <c r="W634" s="13">
        <f>MAX(W633,R634)</f>
        <v/>
      </c>
      <c r="X634" s="4">
        <f>IF(W634&gt;0,R634/W634-1,-1)</f>
        <v/>
      </c>
      <c r="Y634" s="19">
        <f>IF(R634&gt;0,S634*資金模擬!$B$7/R634,0)</f>
        <v/>
      </c>
      <c r="Z634" s="2">
        <f>IF(OR(Z633=1,R634&lt;=資金模擬!$B$10),1,0)</f>
        <v/>
      </c>
    </row>
    <row r="635">
      <c r="A635" s="2" t="n">
        <v>633</v>
      </c>
      <c r="B635" s="7" t="n">
        <v>46285.5</v>
      </c>
      <c r="C635" s="2" t="inlineStr">
        <is>
          <t>進場</t>
        </is>
      </c>
      <c r="D635" s="2" t="n">
        <v>321</v>
      </c>
      <c r="E635" s="2" t="inlineStr">
        <is>
          <t>ZAMA_USDT_PERP</t>
        </is>
      </c>
      <c r="F635" s="2" t="inlineStr">
        <is>
          <t>做多</t>
        </is>
      </c>
      <c r="G635" s="20" t="n">
        <v>0.08441</v>
      </c>
      <c r="H635" s="20" t="n">
        <v>0.0869423</v>
      </c>
      <c r="I635" s="20" t="n">
        <v>0.0801895</v>
      </c>
      <c r="J635" s="20" t="n"/>
      <c r="K635" s="2" t="n"/>
      <c r="L635" s="5" t="n"/>
      <c r="M635" s="19">
        <f>資金模擬!$B$5*V634</f>
        <v/>
      </c>
      <c r="N635" s="2">
        <f>IF(Z634=1,"已停止",IF(T634&gt;=M635,"已下單","資金不足略過"))</f>
        <v/>
      </c>
      <c r="O635" s="19">
        <f>IF(N635="已下單",M635*資金模擬!$B$7,0)</f>
        <v/>
      </c>
      <c r="P635" s="4" t="n"/>
      <c r="Q635" s="13" t="n">
        <v>0</v>
      </c>
      <c r="R635" s="13">
        <f>R634+Q635</f>
        <v/>
      </c>
      <c r="S635" s="19">
        <f>S634+IF(N635="已下單",M635,0)</f>
        <v/>
      </c>
      <c r="T635" s="19">
        <f>R635-S635</f>
        <v/>
      </c>
      <c r="U635" s="2">
        <f>U634+IF(N635="已下單",1,0)</f>
        <v/>
      </c>
      <c r="V635" s="19">
        <f>IF(資金模擬!$B$9=2,MAX(R635,0),MAX(V634,FLOOR(MAX(R635,0),資金模擬!$B$6)))</f>
        <v/>
      </c>
      <c r="W635" s="13">
        <f>MAX(W634,R635)</f>
        <v/>
      </c>
      <c r="X635" s="4">
        <f>IF(W635&gt;0,R635/W635-1,-1)</f>
        <v/>
      </c>
      <c r="Y635" s="19">
        <f>IF(R635&gt;0,S635*資金模擬!$B$7/R635,0)</f>
        <v/>
      </c>
      <c r="Z635" s="2">
        <f>IF(OR(Z634=1,R635&lt;=資金模擬!$B$10),1,0)</f>
        <v/>
      </c>
    </row>
    <row r="636">
      <c r="A636" s="2" t="n">
        <v>634</v>
      </c>
      <c r="B636" s="7" t="n">
        <v>46285.58333333334</v>
      </c>
      <c r="C636" s="2" t="inlineStr">
        <is>
          <t>出場</t>
        </is>
      </c>
      <c r="D636" s="2" t="n">
        <v>316</v>
      </c>
      <c r="E636" s="2" t="inlineStr">
        <is>
          <t>PONS_USDT_PERP</t>
        </is>
      </c>
      <c r="F636" s="2" t="inlineStr">
        <is>
          <t>做空</t>
        </is>
      </c>
      <c r="G636" s="20" t="n">
        <v>0.5768</v>
      </c>
      <c r="H636" s="20" t="n">
        <v>0.559496</v>
      </c>
      <c r="I636" s="20" t="n">
        <v>0.60564</v>
      </c>
      <c r="J636" s="20" t="n">
        <v>0.60564</v>
      </c>
      <c r="K636" s="2" t="inlineStr">
        <is>
          <t>止損</t>
        </is>
      </c>
      <c r="L636" s="5">
        <f>交易明細!K317</f>
        <v/>
      </c>
      <c r="M636" s="19">
        <f>M630</f>
        <v/>
      </c>
      <c r="N636" s="2">
        <f>N630</f>
        <v/>
      </c>
      <c r="O636" s="19">
        <f>O630</f>
        <v/>
      </c>
      <c r="P636" s="4">
        <f>交易明細!L317</f>
        <v/>
      </c>
      <c r="Q636" s="13">
        <f>IF(N636="已下單",O636*P636,0)</f>
        <v/>
      </c>
      <c r="R636" s="13">
        <f>R635+Q636</f>
        <v/>
      </c>
      <c r="S636" s="19">
        <f>S635-IF(N636="已下單",M636,0)</f>
        <v/>
      </c>
      <c r="T636" s="19">
        <f>R636-S636</f>
        <v/>
      </c>
      <c r="U636" s="2">
        <f>U635-IF(N636="已下單",1,0)</f>
        <v/>
      </c>
      <c r="V636" s="19">
        <f>IF(資金模擬!$B$9=2,MAX(R636,0),MAX(V635,FLOOR(MAX(R636,0),資金模擬!$B$6)))</f>
        <v/>
      </c>
      <c r="W636" s="13">
        <f>MAX(W635,R636)</f>
        <v/>
      </c>
      <c r="X636" s="4">
        <f>IF(W636&gt;0,R636/W636-1,-1)</f>
        <v/>
      </c>
      <c r="Y636" s="19">
        <f>IF(R636&gt;0,S636*資金模擬!$B$7/R636,0)</f>
        <v/>
      </c>
      <c r="Z636" s="2">
        <f>IF(OR(Z635=1,R636&lt;=資金模擬!$B$10),1,0)</f>
        <v/>
      </c>
    </row>
    <row r="637">
      <c r="A637" s="2" t="n">
        <v>635</v>
      </c>
      <c r="B637" s="7" t="n">
        <v>46285.58333333334</v>
      </c>
      <c r="C637" s="2" t="inlineStr">
        <is>
          <t>出場</t>
        </is>
      </c>
      <c r="D637" s="2" t="n">
        <v>319</v>
      </c>
      <c r="E637" s="2" t="inlineStr">
        <is>
          <t>AKE_USDT_PERP</t>
        </is>
      </c>
      <c r="F637" s="2" t="inlineStr">
        <is>
          <t>做多</t>
        </is>
      </c>
      <c r="G637" s="20" t="n">
        <v>0.06488480000000001</v>
      </c>
      <c r="H637" s="20" t="n">
        <v>0.06683134400000001</v>
      </c>
      <c r="I637" s="20" t="n">
        <v>0.06164056</v>
      </c>
      <c r="J637" s="20" t="n">
        <v>0.06164056</v>
      </c>
      <c r="K637" s="2" t="inlineStr">
        <is>
          <t>止損</t>
        </is>
      </c>
      <c r="L637" s="5">
        <f>交易明細!K320</f>
        <v/>
      </c>
      <c r="M637" s="19">
        <f>M633</f>
        <v/>
      </c>
      <c r="N637" s="2">
        <f>N633</f>
        <v/>
      </c>
      <c r="O637" s="19">
        <f>O633</f>
        <v/>
      </c>
      <c r="P637" s="4">
        <f>交易明細!L320</f>
        <v/>
      </c>
      <c r="Q637" s="13">
        <f>IF(N637="已下單",O637*P637,0)</f>
        <v/>
      </c>
      <c r="R637" s="13">
        <f>R636+Q637</f>
        <v/>
      </c>
      <c r="S637" s="19">
        <f>S636-IF(N637="已下單",M637,0)</f>
        <v/>
      </c>
      <c r="T637" s="19">
        <f>R637-S637</f>
        <v/>
      </c>
      <c r="U637" s="2">
        <f>U636-IF(N637="已下單",1,0)</f>
        <v/>
      </c>
      <c r="V637" s="19">
        <f>IF(資金模擬!$B$9=2,MAX(R637,0),MAX(V636,FLOOR(MAX(R637,0),資金模擬!$B$6)))</f>
        <v/>
      </c>
      <c r="W637" s="13">
        <f>MAX(W636,R637)</f>
        <v/>
      </c>
      <c r="X637" s="4">
        <f>IF(W637&gt;0,R637/W637-1,-1)</f>
        <v/>
      </c>
      <c r="Y637" s="19">
        <f>IF(R637&gt;0,S637*資金模擬!$B$7/R637,0)</f>
        <v/>
      </c>
      <c r="Z637" s="2">
        <f>IF(OR(Z636=1,R637&lt;=資金模擬!$B$10),1,0)</f>
        <v/>
      </c>
    </row>
    <row r="638">
      <c r="A638" s="2" t="n">
        <v>636</v>
      </c>
      <c r="B638" s="7" t="n">
        <v>46285.58333333334</v>
      </c>
      <c r="C638" s="2" t="inlineStr">
        <is>
          <t>出場</t>
        </is>
      </c>
      <c r="D638" s="2" t="n">
        <v>321</v>
      </c>
      <c r="E638" s="2" t="inlineStr">
        <is>
          <t>ZAMA_USDT_PERP</t>
        </is>
      </c>
      <c r="F638" s="2" t="inlineStr">
        <is>
          <t>做多</t>
        </is>
      </c>
      <c r="G638" s="20" t="n">
        <v>0.08441</v>
      </c>
      <c r="H638" s="20" t="n">
        <v>0.0869423</v>
      </c>
      <c r="I638" s="20" t="n">
        <v>0.0801895</v>
      </c>
      <c r="J638" s="20" t="n">
        <v>0.0801895</v>
      </c>
      <c r="K638" s="2" t="inlineStr">
        <is>
          <t>止損</t>
        </is>
      </c>
      <c r="L638" s="5">
        <f>交易明細!K322</f>
        <v/>
      </c>
      <c r="M638" s="19">
        <f>M635</f>
        <v/>
      </c>
      <c r="N638" s="2">
        <f>N635</f>
        <v/>
      </c>
      <c r="O638" s="19">
        <f>O635</f>
        <v/>
      </c>
      <c r="P638" s="4">
        <f>交易明細!L322</f>
        <v/>
      </c>
      <c r="Q638" s="13">
        <f>IF(N638="已下單",O638*P638,0)</f>
        <v/>
      </c>
      <c r="R638" s="13">
        <f>R637+Q638</f>
        <v/>
      </c>
      <c r="S638" s="19">
        <f>S637-IF(N638="已下單",M638,0)</f>
        <v/>
      </c>
      <c r="T638" s="19">
        <f>R638-S638</f>
        <v/>
      </c>
      <c r="U638" s="2">
        <f>U637-IF(N638="已下單",1,0)</f>
        <v/>
      </c>
      <c r="V638" s="19">
        <f>IF(資金模擬!$B$9=2,MAX(R638,0),MAX(V637,FLOOR(MAX(R638,0),資金模擬!$B$6)))</f>
        <v/>
      </c>
      <c r="W638" s="13">
        <f>MAX(W637,R638)</f>
        <v/>
      </c>
      <c r="X638" s="4">
        <f>IF(W638&gt;0,R638/W638-1,-1)</f>
        <v/>
      </c>
      <c r="Y638" s="19">
        <f>IF(R638&gt;0,S638*資金模擬!$B$7/R638,0)</f>
        <v/>
      </c>
      <c r="Z638" s="2">
        <f>IF(OR(Z637=1,R638&lt;=資金模擬!$B$10),1,0)</f>
        <v/>
      </c>
    </row>
    <row r="639">
      <c r="A639" s="2" t="n">
        <v>637</v>
      </c>
      <c r="B639" s="7" t="n">
        <v>46285.625</v>
      </c>
      <c r="C639" s="2" t="inlineStr">
        <is>
          <t>進場</t>
        </is>
      </c>
      <c r="D639" s="2" t="n">
        <v>322</v>
      </c>
      <c r="E639" s="2" t="inlineStr">
        <is>
          <t>ARB_USDT_PERP</t>
        </is>
      </c>
      <c r="F639" s="2" t="inlineStr">
        <is>
          <t>做空</t>
        </is>
      </c>
      <c r="G639" s="20" t="n">
        <v>0.2083</v>
      </c>
      <c r="H639" s="20" t="n">
        <v>0.202051</v>
      </c>
      <c r="I639" s="20" t="n">
        <v>0.218715</v>
      </c>
      <c r="J639" s="20" t="n"/>
      <c r="K639" s="2" t="n"/>
      <c r="L639" s="5" t="n"/>
      <c r="M639" s="19">
        <f>資金模擬!$B$5*V638</f>
        <v/>
      </c>
      <c r="N639" s="2">
        <f>IF(Z638=1,"已停止",IF(T638&gt;=M639,"已下單","資金不足略過"))</f>
        <v/>
      </c>
      <c r="O639" s="19">
        <f>IF(N639="已下單",M639*資金模擬!$B$7,0)</f>
        <v/>
      </c>
      <c r="P639" s="4" t="n"/>
      <c r="Q639" s="13" t="n">
        <v>0</v>
      </c>
      <c r="R639" s="13">
        <f>R638+Q639</f>
        <v/>
      </c>
      <c r="S639" s="19">
        <f>S638+IF(N639="已下單",M639,0)</f>
        <v/>
      </c>
      <c r="T639" s="19">
        <f>R639-S639</f>
        <v/>
      </c>
      <c r="U639" s="2">
        <f>U638+IF(N639="已下單",1,0)</f>
        <v/>
      </c>
      <c r="V639" s="19">
        <f>IF(資金模擬!$B$9=2,MAX(R639,0),MAX(V638,FLOOR(MAX(R639,0),資金模擬!$B$6)))</f>
        <v/>
      </c>
      <c r="W639" s="13">
        <f>MAX(W638,R639)</f>
        <v/>
      </c>
      <c r="X639" s="4">
        <f>IF(W639&gt;0,R639/W639-1,-1)</f>
        <v/>
      </c>
      <c r="Y639" s="19">
        <f>IF(R639&gt;0,S639*資金模擬!$B$7/R639,0)</f>
        <v/>
      </c>
      <c r="Z639" s="2">
        <f>IF(OR(Z638=1,R639&lt;=資金模擬!$B$10),1,0)</f>
        <v/>
      </c>
    </row>
    <row r="640">
      <c r="A640" s="2" t="n">
        <v>638</v>
      </c>
      <c r="B640" s="7" t="n">
        <v>46285.625</v>
      </c>
      <c r="C640" s="2" t="inlineStr">
        <is>
          <t>進場</t>
        </is>
      </c>
      <c r="D640" s="2" t="n">
        <v>323</v>
      </c>
      <c r="E640" s="2" t="inlineStr">
        <is>
          <t>USELESS_USDT_PERP</t>
        </is>
      </c>
      <c r="F640" s="2" t="inlineStr">
        <is>
          <t>做空</t>
        </is>
      </c>
      <c r="G640" s="20" t="n">
        <v>0.25481</v>
      </c>
      <c r="H640" s="20" t="n">
        <v>0.2471657</v>
      </c>
      <c r="I640" s="20" t="n">
        <v>0.2675505</v>
      </c>
      <c r="J640" s="20" t="n"/>
      <c r="K640" s="2" t="n"/>
      <c r="L640" s="5" t="n"/>
      <c r="M640" s="19">
        <f>資金模擬!$B$5*V639</f>
        <v/>
      </c>
      <c r="N640" s="2">
        <f>IF(Z639=1,"已停止",IF(T639&gt;=M640,"已下單","資金不足略過"))</f>
        <v/>
      </c>
      <c r="O640" s="19">
        <f>IF(N640="已下單",M640*資金模擬!$B$7,0)</f>
        <v/>
      </c>
      <c r="P640" s="4" t="n"/>
      <c r="Q640" s="13" t="n">
        <v>0</v>
      </c>
      <c r="R640" s="13">
        <f>R639+Q640</f>
        <v/>
      </c>
      <c r="S640" s="19">
        <f>S639+IF(N640="已下單",M640,0)</f>
        <v/>
      </c>
      <c r="T640" s="19">
        <f>R640-S640</f>
        <v/>
      </c>
      <c r="U640" s="2">
        <f>U639+IF(N640="已下單",1,0)</f>
        <v/>
      </c>
      <c r="V640" s="19">
        <f>IF(資金模擬!$B$9=2,MAX(R640,0),MAX(V639,FLOOR(MAX(R640,0),資金模擬!$B$6)))</f>
        <v/>
      </c>
      <c r="W640" s="13">
        <f>MAX(W639,R640)</f>
        <v/>
      </c>
      <c r="X640" s="4">
        <f>IF(W640&gt;0,R640/W640-1,-1)</f>
        <v/>
      </c>
      <c r="Y640" s="19">
        <f>IF(R640&gt;0,S640*資金模擬!$B$7/R640,0)</f>
        <v/>
      </c>
      <c r="Z640" s="2">
        <f>IF(OR(Z639=1,R640&lt;=資金模擬!$B$10),1,0)</f>
        <v/>
      </c>
    </row>
    <row r="641">
      <c r="A641" s="2" t="n">
        <v>639</v>
      </c>
      <c r="B641" s="7" t="n">
        <v>46285.625</v>
      </c>
      <c r="C641" s="2" t="inlineStr">
        <is>
          <t>進場</t>
        </is>
      </c>
      <c r="D641" s="2" t="n">
        <v>324</v>
      </c>
      <c r="E641" s="2" t="inlineStr">
        <is>
          <t>ZAMA_USDT_PERP</t>
        </is>
      </c>
      <c r="F641" s="2" t="inlineStr">
        <is>
          <t>做多</t>
        </is>
      </c>
      <c r="G641" s="20" t="n">
        <v>0.08699999999999999</v>
      </c>
      <c r="H641" s="20" t="n">
        <v>0.08961</v>
      </c>
      <c r="I641" s="20" t="n">
        <v>0.08264999999999999</v>
      </c>
      <c r="J641" s="20" t="n"/>
      <c r="K641" s="2" t="n"/>
      <c r="L641" s="5" t="n"/>
      <c r="M641" s="19">
        <f>資金模擬!$B$5*V640</f>
        <v/>
      </c>
      <c r="N641" s="2">
        <f>IF(Z640=1,"已停止",IF(T640&gt;=M641,"已下單","資金不足略過"))</f>
        <v/>
      </c>
      <c r="O641" s="19">
        <f>IF(N641="已下單",M641*資金模擬!$B$7,0)</f>
        <v/>
      </c>
      <c r="P641" s="4" t="n"/>
      <c r="Q641" s="13" t="n">
        <v>0</v>
      </c>
      <c r="R641" s="13">
        <f>R640+Q641</f>
        <v/>
      </c>
      <c r="S641" s="19">
        <f>S640+IF(N641="已下單",M641,0)</f>
        <v/>
      </c>
      <c r="T641" s="19">
        <f>R641-S641</f>
        <v/>
      </c>
      <c r="U641" s="2">
        <f>U640+IF(N641="已下單",1,0)</f>
        <v/>
      </c>
      <c r="V641" s="19">
        <f>IF(資金模擬!$B$9=2,MAX(R641,0),MAX(V640,FLOOR(MAX(R641,0),資金模擬!$B$6)))</f>
        <v/>
      </c>
      <c r="W641" s="13">
        <f>MAX(W640,R641)</f>
        <v/>
      </c>
      <c r="X641" s="4">
        <f>IF(W641&gt;0,R641/W641-1,-1)</f>
        <v/>
      </c>
      <c r="Y641" s="19">
        <f>IF(R641&gt;0,S641*資金模擬!$B$7/R641,0)</f>
        <v/>
      </c>
      <c r="Z641" s="2">
        <f>IF(OR(Z640=1,R641&lt;=資金模擬!$B$10),1,0)</f>
        <v/>
      </c>
    </row>
    <row r="642">
      <c r="A642" s="2" t="n">
        <v>640</v>
      </c>
      <c r="B642" s="7" t="n">
        <v>46285.66666666666</v>
      </c>
      <c r="C642" s="2" t="inlineStr">
        <is>
          <t>出場</t>
        </is>
      </c>
      <c r="D642" s="2" t="n">
        <v>324</v>
      </c>
      <c r="E642" s="2" t="inlineStr">
        <is>
          <t>ZAMA_USDT_PERP</t>
        </is>
      </c>
      <c r="F642" s="2" t="inlineStr">
        <is>
          <t>做多</t>
        </is>
      </c>
      <c r="G642" s="20" t="n">
        <v>0.08699999999999999</v>
      </c>
      <c r="H642" s="20" t="n">
        <v>0.08961</v>
      </c>
      <c r="I642" s="20" t="n">
        <v>0.08264999999999999</v>
      </c>
      <c r="J642" s="20" t="n">
        <v>0.08264999999999999</v>
      </c>
      <c r="K642" s="2" t="inlineStr">
        <is>
          <t>止損</t>
        </is>
      </c>
      <c r="L642" s="5">
        <f>交易明細!K325</f>
        <v/>
      </c>
      <c r="M642" s="19">
        <f>M641</f>
        <v/>
      </c>
      <c r="N642" s="2">
        <f>N641</f>
        <v/>
      </c>
      <c r="O642" s="19">
        <f>O641</f>
        <v/>
      </c>
      <c r="P642" s="4">
        <f>交易明細!L325</f>
        <v/>
      </c>
      <c r="Q642" s="13">
        <f>IF(N642="已下單",O642*P642,0)</f>
        <v/>
      </c>
      <c r="R642" s="13">
        <f>R641+Q642</f>
        <v/>
      </c>
      <c r="S642" s="19">
        <f>S641-IF(N642="已下單",M642,0)</f>
        <v/>
      </c>
      <c r="T642" s="19">
        <f>R642-S642</f>
        <v/>
      </c>
      <c r="U642" s="2">
        <f>U641-IF(N642="已下單",1,0)</f>
        <v/>
      </c>
      <c r="V642" s="19">
        <f>IF(資金模擬!$B$9=2,MAX(R642,0),MAX(V641,FLOOR(MAX(R642,0),資金模擬!$B$6)))</f>
        <v/>
      </c>
      <c r="W642" s="13">
        <f>MAX(W641,R642)</f>
        <v/>
      </c>
      <c r="X642" s="4">
        <f>IF(W642&gt;0,R642/W642-1,-1)</f>
        <v/>
      </c>
      <c r="Y642" s="19">
        <f>IF(R642&gt;0,S642*資金模擬!$B$7/R642,0)</f>
        <v/>
      </c>
      <c r="Z642" s="2">
        <f>IF(OR(Z641=1,R642&lt;=資金模擬!$B$10),1,0)</f>
        <v/>
      </c>
    </row>
    <row r="643">
      <c r="A643" s="2" t="n">
        <v>641</v>
      </c>
      <c r="B643" s="7" t="n">
        <v>46285.66666666666</v>
      </c>
      <c r="C643" s="2" t="inlineStr">
        <is>
          <t>進場</t>
        </is>
      </c>
      <c r="D643" s="2" t="n">
        <v>325</v>
      </c>
      <c r="E643" s="2" t="inlineStr">
        <is>
          <t>BANK_USDT_PERP</t>
        </is>
      </c>
      <c r="F643" s="2" t="inlineStr">
        <is>
          <t>做空</t>
        </is>
      </c>
      <c r="G643" s="20" t="n">
        <v>0.03392</v>
      </c>
      <c r="H643" s="20" t="n">
        <v>0.0329024</v>
      </c>
      <c r="I643" s="20" t="n">
        <v>0.035616</v>
      </c>
      <c r="J643" s="20" t="n"/>
      <c r="K643" s="2" t="n"/>
      <c r="L643" s="5" t="n"/>
      <c r="M643" s="19">
        <f>資金模擬!$B$5*V642</f>
        <v/>
      </c>
      <c r="N643" s="2">
        <f>IF(Z642=1,"已停止",IF(T642&gt;=M643,"已下單","資金不足略過"))</f>
        <v/>
      </c>
      <c r="O643" s="19">
        <f>IF(N643="已下單",M643*資金模擬!$B$7,0)</f>
        <v/>
      </c>
      <c r="P643" s="4" t="n"/>
      <c r="Q643" s="13" t="n">
        <v>0</v>
      </c>
      <c r="R643" s="13">
        <f>R642+Q643</f>
        <v/>
      </c>
      <c r="S643" s="19">
        <f>S642+IF(N643="已下單",M643,0)</f>
        <v/>
      </c>
      <c r="T643" s="19">
        <f>R643-S643</f>
        <v/>
      </c>
      <c r="U643" s="2">
        <f>U642+IF(N643="已下單",1,0)</f>
        <v/>
      </c>
      <c r="V643" s="19">
        <f>IF(資金模擬!$B$9=2,MAX(R643,0),MAX(V642,FLOOR(MAX(R643,0),資金模擬!$B$6)))</f>
        <v/>
      </c>
      <c r="W643" s="13">
        <f>MAX(W642,R643)</f>
        <v/>
      </c>
      <c r="X643" s="4">
        <f>IF(W643&gt;0,R643/W643-1,-1)</f>
        <v/>
      </c>
      <c r="Y643" s="19">
        <f>IF(R643&gt;0,S643*資金模擬!$B$7/R643,0)</f>
        <v/>
      </c>
      <c r="Z643" s="2">
        <f>IF(OR(Z642=1,R643&lt;=資金模擬!$B$10),1,0)</f>
        <v/>
      </c>
    </row>
    <row r="644">
      <c r="A644" s="2" t="n">
        <v>642</v>
      </c>
      <c r="B644" s="7" t="n">
        <v>46285.66666666666</v>
      </c>
      <c r="C644" s="2" t="inlineStr">
        <is>
          <t>進場</t>
        </is>
      </c>
      <c r="D644" s="2" t="n">
        <v>326</v>
      </c>
      <c r="E644" s="2" t="inlineStr">
        <is>
          <t>BR_USDT_PERP</t>
        </is>
      </c>
      <c r="F644" s="2" t="inlineStr">
        <is>
          <t>做多</t>
        </is>
      </c>
      <c r="G644" s="20" t="n">
        <v>1.14032</v>
      </c>
      <c r="H644" s="20" t="n">
        <v>1.1745296</v>
      </c>
      <c r="I644" s="20" t="n">
        <v>1.083304</v>
      </c>
      <c r="J644" s="20" t="n"/>
      <c r="K644" s="2" t="n"/>
      <c r="L644" s="5" t="n"/>
      <c r="M644" s="19">
        <f>資金模擬!$B$5*V643</f>
        <v/>
      </c>
      <c r="N644" s="2">
        <f>IF(Z643=1,"已停止",IF(T643&gt;=M644,"已下單","資金不足略過"))</f>
        <v/>
      </c>
      <c r="O644" s="19">
        <f>IF(N644="已下單",M644*資金模擬!$B$7,0)</f>
        <v/>
      </c>
      <c r="P644" s="4" t="n"/>
      <c r="Q644" s="13" t="n">
        <v>0</v>
      </c>
      <c r="R644" s="13">
        <f>R643+Q644</f>
        <v/>
      </c>
      <c r="S644" s="19">
        <f>S643+IF(N644="已下單",M644,0)</f>
        <v/>
      </c>
      <c r="T644" s="19">
        <f>R644-S644</f>
        <v/>
      </c>
      <c r="U644" s="2">
        <f>U643+IF(N644="已下單",1,0)</f>
        <v/>
      </c>
      <c r="V644" s="19">
        <f>IF(資金模擬!$B$9=2,MAX(R644,0),MAX(V643,FLOOR(MAX(R644,0),資金模擬!$B$6)))</f>
        <v/>
      </c>
      <c r="W644" s="13">
        <f>MAX(W643,R644)</f>
        <v/>
      </c>
      <c r="X644" s="4">
        <f>IF(W644&gt;0,R644/W644-1,-1)</f>
        <v/>
      </c>
      <c r="Y644" s="19">
        <f>IF(R644&gt;0,S644*資金模擬!$B$7/R644,0)</f>
        <v/>
      </c>
      <c r="Z644" s="2">
        <f>IF(OR(Z643=1,R644&lt;=資金模擬!$B$10),1,0)</f>
        <v/>
      </c>
    </row>
    <row r="645">
      <c r="A645" s="2" t="n">
        <v>643</v>
      </c>
      <c r="B645" s="7" t="n">
        <v>46285.66666666666</v>
      </c>
      <c r="C645" s="2" t="inlineStr">
        <is>
          <t>進場</t>
        </is>
      </c>
      <c r="D645" s="2" t="n">
        <v>327</v>
      </c>
      <c r="E645" s="2" t="inlineStr">
        <is>
          <t>LSK_USDT_PERP</t>
        </is>
      </c>
      <c r="F645" s="2" t="inlineStr">
        <is>
          <t>做空</t>
        </is>
      </c>
      <c r="G645" s="20" t="n">
        <v>0.3845</v>
      </c>
      <c r="H645" s="20" t="n">
        <v>0.372965</v>
      </c>
      <c r="I645" s="20" t="n">
        <v>0.403725</v>
      </c>
      <c r="J645" s="20" t="n"/>
      <c r="K645" s="2" t="n"/>
      <c r="L645" s="5" t="n"/>
      <c r="M645" s="19">
        <f>資金模擬!$B$5*V644</f>
        <v/>
      </c>
      <c r="N645" s="2">
        <f>IF(Z644=1,"已停止",IF(T644&gt;=M645,"已下單","資金不足略過"))</f>
        <v/>
      </c>
      <c r="O645" s="19">
        <f>IF(N645="已下單",M645*資金模擬!$B$7,0)</f>
        <v/>
      </c>
      <c r="P645" s="4" t="n"/>
      <c r="Q645" s="13" t="n">
        <v>0</v>
      </c>
      <c r="R645" s="13">
        <f>R644+Q645</f>
        <v/>
      </c>
      <c r="S645" s="19">
        <f>S644+IF(N645="已下單",M645,0)</f>
        <v/>
      </c>
      <c r="T645" s="19">
        <f>R645-S645</f>
        <v/>
      </c>
      <c r="U645" s="2">
        <f>U644+IF(N645="已下單",1,0)</f>
        <v/>
      </c>
      <c r="V645" s="19">
        <f>IF(資金模擬!$B$9=2,MAX(R645,0),MAX(V644,FLOOR(MAX(R645,0),資金模擬!$B$6)))</f>
        <v/>
      </c>
      <c r="W645" s="13">
        <f>MAX(W644,R645)</f>
        <v/>
      </c>
      <c r="X645" s="4">
        <f>IF(W645&gt;0,R645/W645-1,-1)</f>
        <v/>
      </c>
      <c r="Y645" s="19">
        <f>IF(R645&gt;0,S645*資金模擬!$B$7/R645,0)</f>
        <v/>
      </c>
      <c r="Z645" s="2">
        <f>IF(OR(Z644=1,R645&lt;=資金模擬!$B$10),1,0)</f>
        <v/>
      </c>
    </row>
    <row r="646">
      <c r="A646" s="2" t="n">
        <v>644</v>
      </c>
      <c r="B646" s="7" t="n">
        <v>46285.70833333334</v>
      </c>
      <c r="C646" s="2" t="inlineStr">
        <is>
          <t>出場</t>
        </is>
      </c>
      <c r="D646" s="2" t="n">
        <v>325</v>
      </c>
      <c r="E646" s="2" t="inlineStr">
        <is>
          <t>BANK_USDT_PERP</t>
        </is>
      </c>
      <c r="F646" s="2" t="inlineStr">
        <is>
          <t>做空</t>
        </is>
      </c>
      <c r="G646" s="20" t="n">
        <v>0.03392</v>
      </c>
      <c r="H646" s="20" t="n">
        <v>0.0329024</v>
      </c>
      <c r="I646" s="20" t="n">
        <v>0.035616</v>
      </c>
      <c r="J646" s="20" t="n">
        <v>0.0329024</v>
      </c>
      <c r="K646" s="2" t="inlineStr">
        <is>
          <t>止盈</t>
        </is>
      </c>
      <c r="L646" s="5">
        <f>交易明細!K326</f>
        <v/>
      </c>
      <c r="M646" s="19">
        <f>M643</f>
        <v/>
      </c>
      <c r="N646" s="2">
        <f>N643</f>
        <v/>
      </c>
      <c r="O646" s="19">
        <f>O643</f>
        <v/>
      </c>
      <c r="P646" s="4">
        <f>交易明細!L326</f>
        <v/>
      </c>
      <c r="Q646" s="13">
        <f>IF(N646="已下單",O646*P646,0)</f>
        <v/>
      </c>
      <c r="R646" s="13">
        <f>R645+Q646</f>
        <v/>
      </c>
      <c r="S646" s="19">
        <f>S645-IF(N646="已下單",M646,0)</f>
        <v/>
      </c>
      <c r="T646" s="19">
        <f>R646-S646</f>
        <v/>
      </c>
      <c r="U646" s="2">
        <f>U645-IF(N646="已下單",1,0)</f>
        <v/>
      </c>
      <c r="V646" s="19">
        <f>IF(資金模擬!$B$9=2,MAX(R646,0),MAX(V645,FLOOR(MAX(R646,0),資金模擬!$B$6)))</f>
        <v/>
      </c>
      <c r="W646" s="13">
        <f>MAX(W645,R646)</f>
        <v/>
      </c>
      <c r="X646" s="4">
        <f>IF(W646&gt;0,R646/W646-1,-1)</f>
        <v/>
      </c>
      <c r="Y646" s="19">
        <f>IF(R646&gt;0,S646*資金模擬!$B$7/R646,0)</f>
        <v/>
      </c>
      <c r="Z646" s="2">
        <f>IF(OR(Z645=1,R646&lt;=資金模擬!$B$10),1,0)</f>
        <v/>
      </c>
    </row>
    <row r="647">
      <c r="A647" s="2" t="n">
        <v>645</v>
      </c>
      <c r="B647" s="7" t="n">
        <v>46285.70833333334</v>
      </c>
      <c r="C647" s="2" t="inlineStr">
        <is>
          <t>出場</t>
        </is>
      </c>
      <c r="D647" s="2" t="n">
        <v>326</v>
      </c>
      <c r="E647" s="2" t="inlineStr">
        <is>
          <t>BR_USDT_PERP</t>
        </is>
      </c>
      <c r="F647" s="2" t="inlineStr">
        <is>
          <t>做多</t>
        </is>
      </c>
      <c r="G647" s="20" t="n">
        <v>1.14032</v>
      </c>
      <c r="H647" s="20" t="n">
        <v>1.1745296</v>
      </c>
      <c r="I647" s="20" t="n">
        <v>1.083304</v>
      </c>
      <c r="J647" s="20" t="n">
        <v>1.1745296</v>
      </c>
      <c r="K647" s="2" t="inlineStr">
        <is>
          <t>止盈</t>
        </is>
      </c>
      <c r="L647" s="5">
        <f>交易明細!K327</f>
        <v/>
      </c>
      <c r="M647" s="19">
        <f>M644</f>
        <v/>
      </c>
      <c r="N647" s="2">
        <f>N644</f>
        <v/>
      </c>
      <c r="O647" s="19">
        <f>O644</f>
        <v/>
      </c>
      <c r="P647" s="4">
        <f>交易明細!L327</f>
        <v/>
      </c>
      <c r="Q647" s="13">
        <f>IF(N647="已下單",O647*P647,0)</f>
        <v/>
      </c>
      <c r="R647" s="13">
        <f>R646+Q647</f>
        <v/>
      </c>
      <c r="S647" s="19">
        <f>S646-IF(N647="已下單",M647,0)</f>
        <v/>
      </c>
      <c r="T647" s="19">
        <f>R647-S647</f>
        <v/>
      </c>
      <c r="U647" s="2">
        <f>U646-IF(N647="已下單",1,0)</f>
        <v/>
      </c>
      <c r="V647" s="19">
        <f>IF(資金模擬!$B$9=2,MAX(R647,0),MAX(V646,FLOOR(MAX(R647,0),資金模擬!$B$6)))</f>
        <v/>
      </c>
      <c r="W647" s="13">
        <f>MAX(W646,R647)</f>
        <v/>
      </c>
      <c r="X647" s="4">
        <f>IF(W647&gt;0,R647/W647-1,-1)</f>
        <v/>
      </c>
      <c r="Y647" s="19">
        <f>IF(R647&gt;0,S647*資金模擬!$B$7/R647,0)</f>
        <v/>
      </c>
      <c r="Z647" s="2">
        <f>IF(OR(Z646=1,R647&lt;=資金模擬!$B$10),1,0)</f>
        <v/>
      </c>
    </row>
    <row r="648">
      <c r="A648" s="2" t="n">
        <v>646</v>
      </c>
      <c r="B648" s="7" t="n">
        <v>46285.70833333334</v>
      </c>
      <c r="C648" s="2" t="inlineStr">
        <is>
          <t>出場</t>
        </is>
      </c>
      <c r="D648" s="2" t="n">
        <v>327</v>
      </c>
      <c r="E648" s="2" t="inlineStr">
        <is>
          <t>LSK_USDT_PERP</t>
        </is>
      </c>
      <c r="F648" s="2" t="inlineStr">
        <is>
          <t>做空</t>
        </is>
      </c>
      <c r="G648" s="20" t="n">
        <v>0.3845</v>
      </c>
      <c r="H648" s="20" t="n">
        <v>0.372965</v>
      </c>
      <c r="I648" s="20" t="n">
        <v>0.403725</v>
      </c>
      <c r="J648" s="20" t="n">
        <v>0.372965</v>
      </c>
      <c r="K648" s="2" t="inlineStr">
        <is>
          <t>止盈</t>
        </is>
      </c>
      <c r="L648" s="5">
        <f>交易明細!K328</f>
        <v/>
      </c>
      <c r="M648" s="19">
        <f>M645</f>
        <v/>
      </c>
      <c r="N648" s="2">
        <f>N645</f>
        <v/>
      </c>
      <c r="O648" s="19">
        <f>O645</f>
        <v/>
      </c>
      <c r="P648" s="4">
        <f>交易明細!L328</f>
        <v/>
      </c>
      <c r="Q648" s="13">
        <f>IF(N648="已下單",O648*P648,0)</f>
        <v/>
      </c>
      <c r="R648" s="13">
        <f>R647+Q648</f>
        <v/>
      </c>
      <c r="S648" s="19">
        <f>S647-IF(N648="已下單",M648,0)</f>
        <v/>
      </c>
      <c r="T648" s="19">
        <f>R648-S648</f>
        <v/>
      </c>
      <c r="U648" s="2">
        <f>U647-IF(N648="已下單",1,0)</f>
        <v/>
      </c>
      <c r="V648" s="19">
        <f>IF(資金模擬!$B$9=2,MAX(R648,0),MAX(V647,FLOOR(MAX(R648,0),資金模擬!$B$6)))</f>
        <v/>
      </c>
      <c r="W648" s="13">
        <f>MAX(W647,R648)</f>
        <v/>
      </c>
      <c r="X648" s="4">
        <f>IF(W648&gt;0,R648/W648-1,-1)</f>
        <v/>
      </c>
      <c r="Y648" s="19">
        <f>IF(R648&gt;0,S648*資金模擬!$B$7/R648,0)</f>
        <v/>
      </c>
      <c r="Z648" s="2">
        <f>IF(OR(Z647=1,R648&lt;=資金模擬!$B$10),1,0)</f>
        <v/>
      </c>
    </row>
    <row r="649">
      <c r="A649" s="2" t="n">
        <v>647</v>
      </c>
      <c r="B649" s="7" t="n">
        <v>46285.70833333334</v>
      </c>
      <c r="C649" s="2" t="inlineStr">
        <is>
          <t>進場</t>
        </is>
      </c>
      <c r="D649" s="2" t="n">
        <v>328</v>
      </c>
      <c r="E649" s="2" t="inlineStr">
        <is>
          <t>ENA_USDT_PERP</t>
        </is>
      </c>
      <c r="F649" s="2" t="inlineStr">
        <is>
          <t>做多</t>
        </is>
      </c>
      <c r="G649" s="20" t="n">
        <v>0.2019</v>
      </c>
      <c r="H649" s="20" t="n">
        <v>0.207957</v>
      </c>
      <c r="I649" s="20" t="n">
        <v>0.191805</v>
      </c>
      <c r="J649" s="20" t="n"/>
      <c r="K649" s="2" t="n"/>
      <c r="L649" s="5" t="n"/>
      <c r="M649" s="19">
        <f>資金模擬!$B$5*V648</f>
        <v/>
      </c>
      <c r="N649" s="2">
        <f>IF(Z648=1,"已停止",IF(T648&gt;=M649,"已下單","資金不足略過"))</f>
        <v/>
      </c>
      <c r="O649" s="19">
        <f>IF(N649="已下單",M649*資金模擬!$B$7,0)</f>
        <v/>
      </c>
      <c r="P649" s="4" t="n"/>
      <c r="Q649" s="13" t="n">
        <v>0</v>
      </c>
      <c r="R649" s="13">
        <f>R648+Q649</f>
        <v/>
      </c>
      <c r="S649" s="19">
        <f>S648+IF(N649="已下單",M649,0)</f>
        <v/>
      </c>
      <c r="T649" s="19">
        <f>R649-S649</f>
        <v/>
      </c>
      <c r="U649" s="2">
        <f>U648+IF(N649="已下單",1,0)</f>
        <v/>
      </c>
      <c r="V649" s="19">
        <f>IF(資金模擬!$B$9=2,MAX(R649,0),MAX(V648,FLOOR(MAX(R649,0),資金模擬!$B$6)))</f>
        <v/>
      </c>
      <c r="W649" s="13">
        <f>MAX(W648,R649)</f>
        <v/>
      </c>
      <c r="X649" s="4">
        <f>IF(W649&gt;0,R649/W649-1,-1)</f>
        <v/>
      </c>
      <c r="Y649" s="19">
        <f>IF(R649&gt;0,S649*資金模擬!$B$7/R649,0)</f>
        <v/>
      </c>
      <c r="Z649" s="2">
        <f>IF(OR(Z648=1,R649&lt;=資金模擬!$B$10),1,0)</f>
        <v/>
      </c>
    </row>
    <row r="650">
      <c r="A650" s="2" t="n">
        <v>648</v>
      </c>
      <c r="B650" s="7" t="n">
        <v>46285.83333333334</v>
      </c>
      <c r="C650" s="2" t="inlineStr">
        <is>
          <t>出場</t>
        </is>
      </c>
      <c r="D650" s="2" t="n">
        <v>313</v>
      </c>
      <c r="E650" s="2" t="inlineStr">
        <is>
          <t>NEAR_USDT_PERP</t>
        </is>
      </c>
      <c r="F650" s="2" t="inlineStr">
        <is>
          <t>做空</t>
        </is>
      </c>
      <c r="G650" s="20" t="n">
        <v>3.486</v>
      </c>
      <c r="H650" s="20" t="n">
        <v>3.38142</v>
      </c>
      <c r="I650" s="20" t="n">
        <v>3.6603</v>
      </c>
      <c r="J650" s="20" t="n">
        <v>3.6603</v>
      </c>
      <c r="K650" s="2" t="inlineStr">
        <is>
          <t>止損</t>
        </is>
      </c>
      <c r="L650" s="5">
        <f>交易明細!K314</f>
        <v/>
      </c>
      <c r="M650" s="19">
        <f>M627</f>
        <v/>
      </c>
      <c r="N650" s="2">
        <f>N627</f>
        <v/>
      </c>
      <c r="O650" s="19">
        <f>O627</f>
        <v/>
      </c>
      <c r="P650" s="4">
        <f>交易明細!L314</f>
        <v/>
      </c>
      <c r="Q650" s="13">
        <f>IF(N650="已下單",O650*P650,0)</f>
        <v/>
      </c>
      <c r="R650" s="13">
        <f>R649+Q650</f>
        <v/>
      </c>
      <c r="S650" s="19">
        <f>S649-IF(N650="已下單",M650,0)</f>
        <v/>
      </c>
      <c r="T650" s="19">
        <f>R650-S650</f>
        <v/>
      </c>
      <c r="U650" s="2">
        <f>U649-IF(N650="已下單",1,0)</f>
        <v/>
      </c>
      <c r="V650" s="19">
        <f>IF(資金模擬!$B$9=2,MAX(R650,0),MAX(V649,FLOOR(MAX(R650,0),資金模擬!$B$6)))</f>
        <v/>
      </c>
      <c r="W650" s="13">
        <f>MAX(W649,R650)</f>
        <v/>
      </c>
      <c r="X650" s="4">
        <f>IF(W650&gt;0,R650/W650-1,-1)</f>
        <v/>
      </c>
      <c r="Y650" s="19">
        <f>IF(R650&gt;0,S650*資金模擬!$B$7/R650,0)</f>
        <v/>
      </c>
      <c r="Z650" s="2">
        <f>IF(OR(Z649=1,R650&lt;=資金模擬!$B$10),1,0)</f>
        <v/>
      </c>
    </row>
    <row r="651">
      <c r="A651" s="2" t="n">
        <v>649</v>
      </c>
      <c r="B651" s="7" t="n">
        <v>46285.83333333334</v>
      </c>
      <c r="C651" s="2" t="inlineStr">
        <is>
          <t>出場</t>
        </is>
      </c>
      <c r="D651" s="2" t="n">
        <v>328</v>
      </c>
      <c r="E651" s="2" t="inlineStr">
        <is>
          <t>ENA_USDT_PERP</t>
        </is>
      </c>
      <c r="F651" s="2" t="inlineStr">
        <is>
          <t>做多</t>
        </is>
      </c>
      <c r="G651" s="20" t="n">
        <v>0.2019</v>
      </c>
      <c r="H651" s="20" t="n">
        <v>0.207957</v>
      </c>
      <c r="I651" s="20" t="n">
        <v>0.191805</v>
      </c>
      <c r="J651" s="20" t="n">
        <v>0.207957</v>
      </c>
      <c r="K651" s="2" t="inlineStr">
        <is>
          <t>止盈</t>
        </is>
      </c>
      <c r="L651" s="5">
        <f>交易明細!K329</f>
        <v/>
      </c>
      <c r="M651" s="19">
        <f>M649</f>
        <v/>
      </c>
      <c r="N651" s="2">
        <f>N649</f>
        <v/>
      </c>
      <c r="O651" s="19">
        <f>O649</f>
        <v/>
      </c>
      <c r="P651" s="4">
        <f>交易明細!L329</f>
        <v/>
      </c>
      <c r="Q651" s="13">
        <f>IF(N651="已下單",O651*P651,0)</f>
        <v/>
      </c>
      <c r="R651" s="13">
        <f>R650+Q651</f>
        <v/>
      </c>
      <c r="S651" s="19">
        <f>S650-IF(N651="已下單",M651,0)</f>
        <v/>
      </c>
      <c r="T651" s="19">
        <f>R651-S651</f>
        <v/>
      </c>
      <c r="U651" s="2">
        <f>U650-IF(N651="已下單",1,0)</f>
        <v/>
      </c>
      <c r="V651" s="19">
        <f>IF(資金模擬!$B$9=2,MAX(R651,0),MAX(V650,FLOOR(MAX(R651,0),資金模擬!$B$6)))</f>
        <v/>
      </c>
      <c r="W651" s="13">
        <f>MAX(W650,R651)</f>
        <v/>
      </c>
      <c r="X651" s="4">
        <f>IF(W651&gt;0,R651/W651-1,-1)</f>
        <v/>
      </c>
      <c r="Y651" s="19">
        <f>IF(R651&gt;0,S651*資金模擬!$B$7/R651,0)</f>
        <v/>
      </c>
      <c r="Z651" s="2">
        <f>IF(OR(Z650=1,R651&lt;=資金模擬!$B$10),1,0)</f>
        <v/>
      </c>
    </row>
    <row r="652">
      <c r="A652" s="2" t="n">
        <v>650</v>
      </c>
      <c r="B652" s="7" t="n">
        <v>46285.875</v>
      </c>
      <c r="C652" s="2" t="inlineStr">
        <is>
          <t>出場</t>
        </is>
      </c>
      <c r="D652" s="2" t="n">
        <v>323</v>
      </c>
      <c r="E652" s="2" t="inlineStr">
        <is>
          <t>USELESS_USDT_PERP</t>
        </is>
      </c>
      <c r="F652" s="2" t="inlineStr">
        <is>
          <t>做空</t>
        </is>
      </c>
      <c r="G652" s="20" t="n">
        <v>0.25481</v>
      </c>
      <c r="H652" s="20" t="n">
        <v>0.2471657</v>
      </c>
      <c r="I652" s="20" t="n">
        <v>0.2675505</v>
      </c>
      <c r="J652" s="20" t="n">
        <v>0.2675505</v>
      </c>
      <c r="K652" s="2" t="inlineStr">
        <is>
          <t>止損</t>
        </is>
      </c>
      <c r="L652" s="5">
        <f>交易明細!K324</f>
        <v/>
      </c>
      <c r="M652" s="19">
        <f>M640</f>
        <v/>
      </c>
      <c r="N652" s="2">
        <f>N640</f>
        <v/>
      </c>
      <c r="O652" s="19">
        <f>O640</f>
        <v/>
      </c>
      <c r="P652" s="4">
        <f>交易明細!L324</f>
        <v/>
      </c>
      <c r="Q652" s="13">
        <f>IF(N652="已下單",O652*P652,0)</f>
        <v/>
      </c>
      <c r="R652" s="13">
        <f>R651+Q652</f>
        <v/>
      </c>
      <c r="S652" s="19">
        <f>S651-IF(N652="已下單",M652,0)</f>
        <v/>
      </c>
      <c r="T652" s="19">
        <f>R652-S652</f>
        <v/>
      </c>
      <c r="U652" s="2">
        <f>U651-IF(N652="已下單",1,0)</f>
        <v/>
      </c>
      <c r="V652" s="19">
        <f>IF(資金模擬!$B$9=2,MAX(R652,0),MAX(V651,FLOOR(MAX(R652,0),資金模擬!$B$6)))</f>
        <v/>
      </c>
      <c r="W652" s="13">
        <f>MAX(W651,R652)</f>
        <v/>
      </c>
      <c r="X652" s="4">
        <f>IF(W652&gt;0,R652/W652-1,-1)</f>
        <v/>
      </c>
      <c r="Y652" s="19">
        <f>IF(R652&gt;0,S652*資金模擬!$B$7/R652,0)</f>
        <v/>
      </c>
      <c r="Z652" s="2">
        <f>IF(OR(Z651=1,R652&lt;=資金模擬!$B$10),1,0)</f>
        <v/>
      </c>
    </row>
    <row r="653">
      <c r="A653" s="2" t="n">
        <v>651</v>
      </c>
      <c r="B653" s="7" t="n">
        <v>46285.875</v>
      </c>
      <c r="C653" s="2" t="inlineStr">
        <is>
          <t>進場</t>
        </is>
      </c>
      <c r="D653" s="2" t="n">
        <v>329</v>
      </c>
      <c r="E653" s="2" t="inlineStr">
        <is>
          <t>NEAR_USDT_PERP</t>
        </is>
      </c>
      <c r="F653" s="2" t="inlineStr">
        <is>
          <t>做多</t>
        </is>
      </c>
      <c r="G653" s="20" t="n">
        <v>3.72</v>
      </c>
      <c r="H653" s="20" t="n">
        <v>3.8316</v>
      </c>
      <c r="I653" s="20" t="n">
        <v>3.534</v>
      </c>
      <c r="J653" s="20" t="n"/>
      <c r="K653" s="2" t="n"/>
      <c r="L653" s="5" t="n"/>
      <c r="M653" s="19">
        <f>資金模擬!$B$5*V652</f>
        <v/>
      </c>
      <c r="N653" s="2">
        <f>IF(Z652=1,"已停止",IF(T652&gt;=M653,"已下單","資金不足略過"))</f>
        <v/>
      </c>
      <c r="O653" s="19">
        <f>IF(N653="已下單",M653*資金模擬!$B$7,0)</f>
        <v/>
      </c>
      <c r="P653" s="4" t="n"/>
      <c r="Q653" s="13" t="n">
        <v>0</v>
      </c>
      <c r="R653" s="13">
        <f>R652+Q653</f>
        <v/>
      </c>
      <c r="S653" s="19">
        <f>S652+IF(N653="已下單",M653,0)</f>
        <v/>
      </c>
      <c r="T653" s="19">
        <f>R653-S653</f>
        <v/>
      </c>
      <c r="U653" s="2">
        <f>U652+IF(N653="已下單",1,0)</f>
        <v/>
      </c>
      <c r="V653" s="19">
        <f>IF(資金模擬!$B$9=2,MAX(R653,0),MAX(V652,FLOOR(MAX(R653,0),資金模擬!$B$6)))</f>
        <v/>
      </c>
      <c r="W653" s="13">
        <f>MAX(W652,R653)</f>
        <v/>
      </c>
      <c r="X653" s="4">
        <f>IF(W653&gt;0,R653/W653-1,-1)</f>
        <v/>
      </c>
      <c r="Y653" s="19">
        <f>IF(R653&gt;0,S653*資金模擬!$B$7/R653,0)</f>
        <v/>
      </c>
      <c r="Z653" s="2">
        <f>IF(OR(Z652=1,R653&lt;=資金模擬!$B$10),1,0)</f>
        <v/>
      </c>
    </row>
    <row r="654">
      <c r="A654" s="2" t="n">
        <v>652</v>
      </c>
      <c r="B654" s="7" t="n">
        <v>46285.91666666666</v>
      </c>
      <c r="C654" s="2" t="inlineStr">
        <is>
          <t>進場</t>
        </is>
      </c>
      <c r="D654" s="2" t="n">
        <v>330</v>
      </c>
      <c r="E654" s="2" t="inlineStr">
        <is>
          <t>FIL_USDT_PERP</t>
        </is>
      </c>
      <c r="F654" s="2" t="inlineStr">
        <is>
          <t>做空</t>
        </is>
      </c>
      <c r="G654" s="20" t="n">
        <v>0.918</v>
      </c>
      <c r="H654" s="20" t="n">
        <v>0.89046</v>
      </c>
      <c r="I654" s="20" t="n">
        <v>0.9639000000000001</v>
      </c>
      <c r="J654" s="20" t="n"/>
      <c r="K654" s="2" t="n"/>
      <c r="L654" s="5" t="n"/>
      <c r="M654" s="19">
        <f>資金模擬!$B$5*V653</f>
        <v/>
      </c>
      <c r="N654" s="2">
        <f>IF(Z653=1,"已停止",IF(T653&gt;=M654,"已下單","資金不足略過"))</f>
        <v/>
      </c>
      <c r="O654" s="19">
        <f>IF(N654="已下單",M654*資金模擬!$B$7,0)</f>
        <v/>
      </c>
      <c r="P654" s="4" t="n"/>
      <c r="Q654" s="13" t="n">
        <v>0</v>
      </c>
      <c r="R654" s="13">
        <f>R653+Q654</f>
        <v/>
      </c>
      <c r="S654" s="19">
        <f>S653+IF(N654="已下單",M654,0)</f>
        <v/>
      </c>
      <c r="T654" s="19">
        <f>R654-S654</f>
        <v/>
      </c>
      <c r="U654" s="2">
        <f>U653+IF(N654="已下單",1,0)</f>
        <v/>
      </c>
      <c r="V654" s="19">
        <f>IF(資金模擬!$B$9=2,MAX(R654,0),MAX(V653,FLOOR(MAX(R654,0),資金模擬!$B$6)))</f>
        <v/>
      </c>
      <c r="W654" s="13">
        <f>MAX(W653,R654)</f>
        <v/>
      </c>
      <c r="X654" s="4">
        <f>IF(W654&gt;0,R654/W654-1,-1)</f>
        <v/>
      </c>
      <c r="Y654" s="19">
        <f>IF(R654&gt;0,S654*資金模擬!$B$7/R654,0)</f>
        <v/>
      </c>
      <c r="Z654" s="2">
        <f>IF(OR(Z653=1,R654&lt;=資金模擬!$B$10),1,0)</f>
        <v/>
      </c>
    </row>
    <row r="655">
      <c r="A655" s="2" t="n">
        <v>653</v>
      </c>
      <c r="B655" s="7" t="n">
        <v>46285.91666666666</v>
      </c>
      <c r="C655" s="2" t="inlineStr">
        <is>
          <t>進場</t>
        </is>
      </c>
      <c r="D655" s="2" t="n">
        <v>331</v>
      </c>
      <c r="E655" s="2" t="inlineStr">
        <is>
          <t>PONS_USDT_PERP</t>
        </is>
      </c>
      <c r="F655" s="2" t="inlineStr">
        <is>
          <t>做空</t>
        </is>
      </c>
      <c r="G655" s="20" t="n">
        <v>0.5613</v>
      </c>
      <c r="H655" s="20" t="n">
        <v>0.544461</v>
      </c>
      <c r="I655" s="20" t="n">
        <v>0.589365</v>
      </c>
      <c r="J655" s="20" t="n"/>
      <c r="K655" s="2" t="n"/>
      <c r="L655" s="5" t="n"/>
      <c r="M655" s="19">
        <f>資金模擬!$B$5*V654</f>
        <v/>
      </c>
      <c r="N655" s="2">
        <f>IF(Z654=1,"已停止",IF(T654&gt;=M655,"已下單","資金不足略過"))</f>
        <v/>
      </c>
      <c r="O655" s="19">
        <f>IF(N655="已下單",M655*資金模擬!$B$7,0)</f>
        <v/>
      </c>
      <c r="P655" s="4" t="n"/>
      <c r="Q655" s="13" t="n">
        <v>0</v>
      </c>
      <c r="R655" s="13">
        <f>R654+Q655</f>
        <v/>
      </c>
      <c r="S655" s="19">
        <f>S654+IF(N655="已下單",M655,0)</f>
        <v/>
      </c>
      <c r="T655" s="19">
        <f>R655-S655</f>
        <v/>
      </c>
      <c r="U655" s="2">
        <f>U654+IF(N655="已下單",1,0)</f>
        <v/>
      </c>
      <c r="V655" s="19">
        <f>IF(資金模擬!$B$9=2,MAX(R655,0),MAX(V654,FLOOR(MAX(R655,0),資金模擬!$B$6)))</f>
        <v/>
      </c>
      <c r="W655" s="13">
        <f>MAX(W654,R655)</f>
        <v/>
      </c>
      <c r="X655" s="4">
        <f>IF(W655&gt;0,R655/W655-1,-1)</f>
        <v/>
      </c>
      <c r="Y655" s="19">
        <f>IF(R655&gt;0,S655*資金模擬!$B$7/R655,0)</f>
        <v/>
      </c>
      <c r="Z655" s="2">
        <f>IF(OR(Z654=1,R655&lt;=資金模擬!$B$10),1,0)</f>
        <v/>
      </c>
    </row>
    <row r="656">
      <c r="A656" s="2" t="n">
        <v>654</v>
      </c>
      <c r="B656" s="7" t="n">
        <v>46285.95833333334</v>
      </c>
      <c r="C656" s="2" t="inlineStr">
        <is>
          <t>出場</t>
        </is>
      </c>
      <c r="D656" s="2" t="n">
        <v>322</v>
      </c>
      <c r="E656" s="2" t="inlineStr">
        <is>
          <t>ARB_USDT_PERP</t>
        </is>
      </c>
      <c r="F656" s="2" t="inlineStr">
        <is>
          <t>做空</t>
        </is>
      </c>
      <c r="G656" s="20" t="n">
        <v>0.2083</v>
      </c>
      <c r="H656" s="20" t="n">
        <v>0.202051</v>
      </c>
      <c r="I656" s="20" t="n">
        <v>0.218715</v>
      </c>
      <c r="J656" s="20" t="n">
        <v>0.202051</v>
      </c>
      <c r="K656" s="2" t="inlineStr">
        <is>
          <t>止盈</t>
        </is>
      </c>
      <c r="L656" s="5">
        <f>交易明細!K323</f>
        <v/>
      </c>
      <c r="M656" s="19">
        <f>M639</f>
        <v/>
      </c>
      <c r="N656" s="2">
        <f>N639</f>
        <v/>
      </c>
      <c r="O656" s="19">
        <f>O639</f>
        <v/>
      </c>
      <c r="P656" s="4">
        <f>交易明細!L323</f>
        <v/>
      </c>
      <c r="Q656" s="13">
        <f>IF(N656="已下單",O656*P656,0)</f>
        <v/>
      </c>
      <c r="R656" s="13">
        <f>R655+Q656</f>
        <v/>
      </c>
      <c r="S656" s="19">
        <f>S655-IF(N656="已下單",M656,0)</f>
        <v/>
      </c>
      <c r="T656" s="19">
        <f>R656-S656</f>
        <v/>
      </c>
      <c r="U656" s="2">
        <f>U655-IF(N656="已下單",1,0)</f>
        <v/>
      </c>
      <c r="V656" s="19">
        <f>IF(資金模擬!$B$9=2,MAX(R656,0),MAX(V655,FLOOR(MAX(R656,0),資金模擬!$B$6)))</f>
        <v/>
      </c>
      <c r="W656" s="13">
        <f>MAX(W655,R656)</f>
        <v/>
      </c>
      <c r="X656" s="4">
        <f>IF(W656&gt;0,R656/W656-1,-1)</f>
        <v/>
      </c>
      <c r="Y656" s="19">
        <f>IF(R656&gt;0,S656*資金模擬!$B$7/R656,0)</f>
        <v/>
      </c>
      <c r="Z656" s="2">
        <f>IF(OR(Z655=1,R656&lt;=資金模擬!$B$10),1,0)</f>
        <v/>
      </c>
    </row>
    <row r="657">
      <c r="A657" s="2" t="n">
        <v>655</v>
      </c>
      <c r="B657" s="7" t="n">
        <v>46285.95833333334</v>
      </c>
      <c r="C657" s="2" t="inlineStr">
        <is>
          <t>進場</t>
        </is>
      </c>
      <c r="D657" s="2" t="n">
        <v>332</v>
      </c>
      <c r="E657" s="2" t="inlineStr">
        <is>
          <t>LSK_USDT_PERP</t>
        </is>
      </c>
      <c r="F657" s="2" t="inlineStr">
        <is>
          <t>做空</t>
        </is>
      </c>
      <c r="G657" s="20" t="n">
        <v>0.3804</v>
      </c>
      <c r="H657" s="20" t="n">
        <v>0.368988</v>
      </c>
      <c r="I657" s="20" t="n">
        <v>0.3994200000000001</v>
      </c>
      <c r="J657" s="20" t="n"/>
      <c r="K657" s="2" t="n"/>
      <c r="L657" s="5" t="n"/>
      <c r="M657" s="19">
        <f>資金模擬!$B$5*V656</f>
        <v/>
      </c>
      <c r="N657" s="2">
        <f>IF(Z656=1,"已停止",IF(T656&gt;=M657,"已下單","資金不足略過"))</f>
        <v/>
      </c>
      <c r="O657" s="19">
        <f>IF(N657="已下單",M657*資金模擬!$B$7,0)</f>
        <v/>
      </c>
      <c r="P657" s="4" t="n"/>
      <c r="Q657" s="13" t="n">
        <v>0</v>
      </c>
      <c r="R657" s="13">
        <f>R656+Q657</f>
        <v/>
      </c>
      <c r="S657" s="19">
        <f>S656+IF(N657="已下單",M657,0)</f>
        <v/>
      </c>
      <c r="T657" s="19">
        <f>R657-S657</f>
        <v/>
      </c>
      <c r="U657" s="2">
        <f>U656+IF(N657="已下單",1,0)</f>
        <v/>
      </c>
      <c r="V657" s="19">
        <f>IF(資金模擬!$B$9=2,MAX(R657,0),MAX(V656,FLOOR(MAX(R657,0),資金模擬!$B$6)))</f>
        <v/>
      </c>
      <c r="W657" s="13">
        <f>MAX(W656,R657)</f>
        <v/>
      </c>
      <c r="X657" s="4">
        <f>IF(W657&gt;0,R657/W657-1,-1)</f>
        <v/>
      </c>
      <c r="Y657" s="19">
        <f>IF(R657&gt;0,S657*資金模擬!$B$7/R657,0)</f>
        <v/>
      </c>
      <c r="Z657" s="2">
        <f>IF(OR(Z656=1,R657&lt;=資金模擬!$B$10),1,0)</f>
        <v/>
      </c>
    </row>
    <row r="658">
      <c r="A658" s="2" t="n">
        <v>656</v>
      </c>
      <c r="B658" s="7" t="n">
        <v>46286</v>
      </c>
      <c r="C658" s="2" t="inlineStr">
        <is>
          <t>出場</t>
        </is>
      </c>
      <c r="D658" s="2" t="n">
        <v>320</v>
      </c>
      <c r="E658" s="2" t="inlineStr">
        <is>
          <t>INJ_USDT_PERP</t>
        </is>
      </c>
      <c r="F658" s="2" t="inlineStr">
        <is>
          <t>做空</t>
        </is>
      </c>
      <c r="G658" s="20" t="n">
        <v>7.584</v>
      </c>
      <c r="H658" s="20" t="n">
        <v>7.356479999999999</v>
      </c>
      <c r="I658" s="20" t="n">
        <v>7.9632</v>
      </c>
      <c r="J658" s="20" t="n">
        <v>7.9632</v>
      </c>
      <c r="K658" s="2" t="inlineStr">
        <is>
          <t>止損</t>
        </is>
      </c>
      <c r="L658" s="5">
        <f>交易明細!K321</f>
        <v/>
      </c>
      <c r="M658" s="19">
        <f>M634</f>
        <v/>
      </c>
      <c r="N658" s="2">
        <f>N634</f>
        <v/>
      </c>
      <c r="O658" s="19">
        <f>O634</f>
        <v/>
      </c>
      <c r="P658" s="4">
        <f>交易明細!L321</f>
        <v/>
      </c>
      <c r="Q658" s="13">
        <f>IF(N658="已下單",O658*P658,0)</f>
        <v/>
      </c>
      <c r="R658" s="13">
        <f>R657+Q658</f>
        <v/>
      </c>
      <c r="S658" s="19">
        <f>S657-IF(N658="已下單",M658,0)</f>
        <v/>
      </c>
      <c r="T658" s="19">
        <f>R658-S658</f>
        <v/>
      </c>
      <c r="U658" s="2">
        <f>U657-IF(N658="已下單",1,0)</f>
        <v/>
      </c>
      <c r="V658" s="19">
        <f>IF(資金模擬!$B$9=2,MAX(R658,0),MAX(V657,FLOOR(MAX(R658,0),資金模擬!$B$6)))</f>
        <v/>
      </c>
      <c r="W658" s="13">
        <f>MAX(W657,R658)</f>
        <v/>
      </c>
      <c r="X658" s="4">
        <f>IF(W658&gt;0,R658/W658-1,-1)</f>
        <v/>
      </c>
      <c r="Y658" s="19">
        <f>IF(R658&gt;0,S658*資金模擬!$B$7/R658,0)</f>
        <v/>
      </c>
      <c r="Z658" s="2">
        <f>IF(OR(Z657=1,R658&lt;=資金模擬!$B$10),1,0)</f>
        <v/>
      </c>
    </row>
    <row r="659">
      <c r="A659" s="2" t="n">
        <v>657</v>
      </c>
      <c r="B659" s="7" t="n">
        <v>46286</v>
      </c>
      <c r="C659" s="2" t="inlineStr">
        <is>
          <t>出場</t>
        </is>
      </c>
      <c r="D659" s="2" t="n">
        <v>329</v>
      </c>
      <c r="E659" s="2" t="inlineStr">
        <is>
          <t>NEAR_USDT_PERP</t>
        </is>
      </c>
      <c r="F659" s="2" t="inlineStr">
        <is>
          <t>做多</t>
        </is>
      </c>
      <c r="G659" s="20" t="n">
        <v>3.72</v>
      </c>
      <c r="H659" s="20" t="n">
        <v>3.8316</v>
      </c>
      <c r="I659" s="20" t="n">
        <v>3.534</v>
      </c>
      <c r="J659" s="20" t="n">
        <v>3.8316</v>
      </c>
      <c r="K659" s="2" t="inlineStr">
        <is>
          <t>止盈</t>
        </is>
      </c>
      <c r="L659" s="5">
        <f>交易明細!K330</f>
        <v/>
      </c>
      <c r="M659" s="19">
        <f>M653</f>
        <v/>
      </c>
      <c r="N659" s="2">
        <f>N653</f>
        <v/>
      </c>
      <c r="O659" s="19">
        <f>O653</f>
        <v/>
      </c>
      <c r="P659" s="4">
        <f>交易明細!L330</f>
        <v/>
      </c>
      <c r="Q659" s="13">
        <f>IF(N659="已下單",O659*P659,0)</f>
        <v/>
      </c>
      <c r="R659" s="13">
        <f>R658+Q659</f>
        <v/>
      </c>
      <c r="S659" s="19">
        <f>S658-IF(N659="已下單",M659,0)</f>
        <v/>
      </c>
      <c r="T659" s="19">
        <f>R659-S659</f>
        <v/>
      </c>
      <c r="U659" s="2">
        <f>U658-IF(N659="已下單",1,0)</f>
        <v/>
      </c>
      <c r="V659" s="19">
        <f>IF(資金模擬!$B$9=2,MAX(R659,0),MAX(V658,FLOOR(MAX(R659,0),資金模擬!$B$6)))</f>
        <v/>
      </c>
      <c r="W659" s="13">
        <f>MAX(W658,R659)</f>
        <v/>
      </c>
      <c r="X659" s="4">
        <f>IF(W659&gt;0,R659/W659-1,-1)</f>
        <v/>
      </c>
      <c r="Y659" s="19">
        <f>IF(R659&gt;0,S659*資金模擬!$B$7/R659,0)</f>
        <v/>
      </c>
      <c r="Z659" s="2">
        <f>IF(OR(Z658=1,R659&lt;=資金模擬!$B$10),1,0)</f>
        <v/>
      </c>
    </row>
    <row r="660">
      <c r="A660" s="2" t="n">
        <v>658</v>
      </c>
      <c r="B660" s="7" t="n">
        <v>46286</v>
      </c>
      <c r="C660" s="2" t="inlineStr">
        <is>
          <t>出場</t>
        </is>
      </c>
      <c r="D660" s="2" t="n">
        <v>332</v>
      </c>
      <c r="E660" s="2" t="inlineStr">
        <is>
          <t>LSK_USDT_PERP</t>
        </is>
      </c>
      <c r="F660" s="2" t="inlineStr">
        <is>
          <t>做空</t>
        </is>
      </c>
      <c r="G660" s="20" t="n">
        <v>0.3804</v>
      </c>
      <c r="H660" s="20" t="n">
        <v>0.368988</v>
      </c>
      <c r="I660" s="20" t="n">
        <v>0.3994200000000001</v>
      </c>
      <c r="J660" s="20" t="n">
        <v>0.3994200000000001</v>
      </c>
      <c r="K660" s="2" t="inlineStr">
        <is>
          <t>止損</t>
        </is>
      </c>
      <c r="L660" s="5">
        <f>交易明細!K333</f>
        <v/>
      </c>
      <c r="M660" s="19">
        <f>M657</f>
        <v/>
      </c>
      <c r="N660" s="2">
        <f>N657</f>
        <v/>
      </c>
      <c r="O660" s="19">
        <f>O657</f>
        <v/>
      </c>
      <c r="P660" s="4">
        <f>交易明細!L333</f>
        <v/>
      </c>
      <c r="Q660" s="13">
        <f>IF(N660="已下單",O660*P660,0)</f>
        <v/>
      </c>
      <c r="R660" s="13">
        <f>R659+Q660</f>
        <v/>
      </c>
      <c r="S660" s="19">
        <f>S659-IF(N660="已下單",M660,0)</f>
        <v/>
      </c>
      <c r="T660" s="19">
        <f>R660-S660</f>
        <v/>
      </c>
      <c r="U660" s="2">
        <f>U659-IF(N660="已下單",1,0)</f>
        <v/>
      </c>
      <c r="V660" s="19">
        <f>IF(資金模擬!$B$9=2,MAX(R660,0),MAX(V659,FLOOR(MAX(R660,0),資金模擬!$B$6)))</f>
        <v/>
      </c>
      <c r="W660" s="13">
        <f>MAX(W659,R660)</f>
        <v/>
      </c>
      <c r="X660" s="4">
        <f>IF(W660&gt;0,R660/W660-1,-1)</f>
        <v/>
      </c>
      <c r="Y660" s="19">
        <f>IF(R660&gt;0,S660*資金模擬!$B$7/R660,0)</f>
        <v/>
      </c>
      <c r="Z660" s="2">
        <f>IF(OR(Z659=1,R660&lt;=資金模擬!$B$10),1,0)</f>
        <v/>
      </c>
    </row>
    <row r="661">
      <c r="A661" s="2" t="n">
        <v>659</v>
      </c>
      <c r="B661" s="7" t="n">
        <v>46286</v>
      </c>
      <c r="C661" s="2" t="inlineStr">
        <is>
          <t>進場</t>
        </is>
      </c>
      <c r="D661" s="2" t="n">
        <v>333</v>
      </c>
      <c r="E661" s="2" t="inlineStr">
        <is>
          <t>PIEVERSE_USDT_PERP</t>
        </is>
      </c>
      <c r="F661" s="2" t="inlineStr">
        <is>
          <t>做空</t>
        </is>
      </c>
      <c r="G661" s="20" t="n">
        <v>1.5856</v>
      </c>
      <c r="H661" s="20" t="n">
        <v>1.538032</v>
      </c>
      <c r="I661" s="20" t="n">
        <v>1.66488</v>
      </c>
      <c r="J661" s="20" t="n"/>
      <c r="K661" s="2" t="n"/>
      <c r="L661" s="5" t="n"/>
      <c r="M661" s="19">
        <f>資金模擬!$B$5*V660</f>
        <v/>
      </c>
      <c r="N661" s="2">
        <f>IF(Z660=1,"已停止",IF(T660&gt;=M661,"已下單","資金不足略過"))</f>
        <v/>
      </c>
      <c r="O661" s="19">
        <f>IF(N661="已下單",M661*資金模擬!$B$7,0)</f>
        <v/>
      </c>
      <c r="P661" s="4" t="n"/>
      <c r="Q661" s="13" t="n">
        <v>0</v>
      </c>
      <c r="R661" s="13">
        <f>R660+Q661</f>
        <v/>
      </c>
      <c r="S661" s="19">
        <f>S660+IF(N661="已下單",M661,0)</f>
        <v/>
      </c>
      <c r="T661" s="19">
        <f>R661-S661</f>
        <v/>
      </c>
      <c r="U661" s="2">
        <f>U660+IF(N661="已下單",1,0)</f>
        <v/>
      </c>
      <c r="V661" s="19">
        <f>IF(資金模擬!$B$9=2,MAX(R661,0),MAX(V660,FLOOR(MAX(R661,0),資金模擬!$B$6)))</f>
        <v/>
      </c>
      <c r="W661" s="13">
        <f>MAX(W660,R661)</f>
        <v/>
      </c>
      <c r="X661" s="4">
        <f>IF(W661&gt;0,R661/W661-1,-1)</f>
        <v/>
      </c>
      <c r="Y661" s="19">
        <f>IF(R661&gt;0,S661*資金模擬!$B$7/R661,0)</f>
        <v/>
      </c>
      <c r="Z661" s="2">
        <f>IF(OR(Z660=1,R661&lt;=資金模擬!$B$10),1,0)</f>
        <v/>
      </c>
    </row>
    <row r="662">
      <c r="A662" s="2" t="n">
        <v>660</v>
      </c>
      <c r="B662" s="7" t="n">
        <v>46286.04166666666</v>
      </c>
      <c r="C662" s="2" t="inlineStr">
        <is>
          <t>出場</t>
        </is>
      </c>
      <c r="D662" s="2" t="n">
        <v>314</v>
      </c>
      <c r="E662" s="2" t="inlineStr">
        <is>
          <t>ONDO_USDT_PERP</t>
        </is>
      </c>
      <c r="F662" s="2" t="inlineStr">
        <is>
          <t>做空</t>
        </is>
      </c>
      <c r="G662" s="20" t="n">
        <v>0.4017</v>
      </c>
      <c r="H662" s="20" t="n">
        <v>0.389649</v>
      </c>
      <c r="I662" s="20" t="n">
        <v>0.421785</v>
      </c>
      <c r="J662" s="20" t="n">
        <v>0.421785</v>
      </c>
      <c r="K662" s="2" t="inlineStr">
        <is>
          <t>止損</t>
        </is>
      </c>
      <c r="L662" s="5">
        <f>交易明細!K315</f>
        <v/>
      </c>
      <c r="M662" s="19">
        <f>M628</f>
        <v/>
      </c>
      <c r="N662" s="2">
        <f>N628</f>
        <v/>
      </c>
      <c r="O662" s="19">
        <f>O628</f>
        <v/>
      </c>
      <c r="P662" s="4">
        <f>交易明細!L315</f>
        <v/>
      </c>
      <c r="Q662" s="13">
        <f>IF(N662="已下單",O662*P662,0)</f>
        <v/>
      </c>
      <c r="R662" s="13">
        <f>R661+Q662</f>
        <v/>
      </c>
      <c r="S662" s="19">
        <f>S661-IF(N662="已下單",M662,0)</f>
        <v/>
      </c>
      <c r="T662" s="19">
        <f>R662-S662</f>
        <v/>
      </c>
      <c r="U662" s="2">
        <f>U661-IF(N662="已下單",1,0)</f>
        <v/>
      </c>
      <c r="V662" s="19">
        <f>IF(資金模擬!$B$9=2,MAX(R662,0),MAX(V661,FLOOR(MAX(R662,0),資金模擬!$B$6)))</f>
        <v/>
      </c>
      <c r="W662" s="13">
        <f>MAX(W661,R662)</f>
        <v/>
      </c>
      <c r="X662" s="4">
        <f>IF(W662&gt;0,R662/W662-1,-1)</f>
        <v/>
      </c>
      <c r="Y662" s="19">
        <f>IF(R662&gt;0,S662*資金模擬!$B$7/R662,0)</f>
        <v/>
      </c>
      <c r="Z662" s="2">
        <f>IF(OR(Z661=1,R662&lt;=資金模擬!$B$10),1,0)</f>
        <v/>
      </c>
    </row>
    <row r="663">
      <c r="A663" s="2" t="n">
        <v>661</v>
      </c>
      <c r="B663" s="7" t="n">
        <v>46286.04166666666</v>
      </c>
      <c r="C663" s="2" t="inlineStr">
        <is>
          <t>出場</t>
        </is>
      </c>
      <c r="D663" s="2" t="n">
        <v>317</v>
      </c>
      <c r="E663" s="2" t="inlineStr">
        <is>
          <t>SUI_USDT_PERP</t>
        </is>
      </c>
      <c r="F663" s="2" t="inlineStr">
        <is>
          <t>做空</t>
        </is>
      </c>
      <c r="G663" s="20" t="n">
        <v>0.8198</v>
      </c>
      <c r="H663" s="20" t="n">
        <v>0.795206</v>
      </c>
      <c r="I663" s="20" t="n">
        <v>0.8607900000000001</v>
      </c>
      <c r="J663" s="20" t="n">
        <v>0.8607900000000001</v>
      </c>
      <c r="K663" s="2" t="inlineStr">
        <is>
          <t>止損</t>
        </is>
      </c>
      <c r="L663" s="5">
        <f>交易明細!K318</f>
        <v/>
      </c>
      <c r="M663" s="19">
        <f>M631</f>
        <v/>
      </c>
      <c r="N663" s="2">
        <f>N631</f>
        <v/>
      </c>
      <c r="O663" s="19">
        <f>O631</f>
        <v/>
      </c>
      <c r="P663" s="4">
        <f>交易明細!L318</f>
        <v/>
      </c>
      <c r="Q663" s="13">
        <f>IF(N663="已下單",O663*P663,0)</f>
        <v/>
      </c>
      <c r="R663" s="13">
        <f>R662+Q663</f>
        <v/>
      </c>
      <c r="S663" s="19">
        <f>S662-IF(N663="已下單",M663,0)</f>
        <v/>
      </c>
      <c r="T663" s="19">
        <f>R663-S663</f>
        <v/>
      </c>
      <c r="U663" s="2">
        <f>U662-IF(N663="已下單",1,0)</f>
        <v/>
      </c>
      <c r="V663" s="19">
        <f>IF(資金模擬!$B$9=2,MAX(R663,0),MAX(V662,FLOOR(MAX(R663,0),資金模擬!$B$6)))</f>
        <v/>
      </c>
      <c r="W663" s="13">
        <f>MAX(W662,R663)</f>
        <v/>
      </c>
      <c r="X663" s="4">
        <f>IF(W663&gt;0,R663/W663-1,-1)</f>
        <v/>
      </c>
      <c r="Y663" s="19">
        <f>IF(R663&gt;0,S663*資金模擬!$B$7/R663,0)</f>
        <v/>
      </c>
      <c r="Z663" s="2">
        <f>IF(OR(Z662=1,R663&lt;=資金模擬!$B$10),1,0)</f>
        <v/>
      </c>
    </row>
    <row r="664">
      <c r="A664" s="2" t="n">
        <v>662</v>
      </c>
      <c r="B664" s="7" t="n">
        <v>46286.04166666666</v>
      </c>
      <c r="C664" s="2" t="inlineStr">
        <is>
          <t>出場</t>
        </is>
      </c>
      <c r="D664" s="2" t="n">
        <v>318</v>
      </c>
      <c r="E664" s="2" t="inlineStr">
        <is>
          <t>UNI_USDT_PERP</t>
        </is>
      </c>
      <c r="F664" s="2" t="inlineStr">
        <is>
          <t>做空</t>
        </is>
      </c>
      <c r="G664" s="20" t="n">
        <v>8.545</v>
      </c>
      <c r="H664" s="20" t="n">
        <v>8.288650000000001</v>
      </c>
      <c r="I664" s="20" t="n">
        <v>8.972250000000001</v>
      </c>
      <c r="J664" s="20" t="n">
        <v>8.972250000000001</v>
      </c>
      <c r="K664" s="2" t="inlineStr">
        <is>
          <t>止損</t>
        </is>
      </c>
      <c r="L664" s="5">
        <f>交易明細!K319</f>
        <v/>
      </c>
      <c r="M664" s="19">
        <f>M632</f>
        <v/>
      </c>
      <c r="N664" s="2">
        <f>N632</f>
        <v/>
      </c>
      <c r="O664" s="19">
        <f>O632</f>
        <v/>
      </c>
      <c r="P664" s="4">
        <f>交易明細!L319</f>
        <v/>
      </c>
      <c r="Q664" s="13">
        <f>IF(N664="已下單",O664*P664,0)</f>
        <v/>
      </c>
      <c r="R664" s="13">
        <f>R663+Q664</f>
        <v/>
      </c>
      <c r="S664" s="19">
        <f>S663-IF(N664="已下單",M664,0)</f>
        <v/>
      </c>
      <c r="T664" s="19">
        <f>R664-S664</f>
        <v/>
      </c>
      <c r="U664" s="2">
        <f>U663-IF(N664="已下單",1,0)</f>
        <v/>
      </c>
      <c r="V664" s="19">
        <f>IF(資金模擬!$B$9=2,MAX(R664,0),MAX(V663,FLOOR(MAX(R664,0),資金模擬!$B$6)))</f>
        <v/>
      </c>
      <c r="W664" s="13">
        <f>MAX(W663,R664)</f>
        <v/>
      </c>
      <c r="X664" s="4">
        <f>IF(W664&gt;0,R664/W664-1,-1)</f>
        <v/>
      </c>
      <c r="Y664" s="19">
        <f>IF(R664&gt;0,S664*資金模擬!$B$7/R664,0)</f>
        <v/>
      </c>
      <c r="Z664" s="2">
        <f>IF(OR(Z663=1,R664&lt;=資金模擬!$B$10),1,0)</f>
        <v/>
      </c>
    </row>
    <row r="665">
      <c r="A665" s="2" t="n">
        <v>663</v>
      </c>
      <c r="B665" s="7" t="n">
        <v>46286.04166666666</v>
      </c>
      <c r="C665" s="2" t="inlineStr">
        <is>
          <t>進場</t>
        </is>
      </c>
      <c r="D665" s="2" t="n">
        <v>334</v>
      </c>
      <c r="E665" s="2" t="inlineStr">
        <is>
          <t>ARB_USDT_PERP</t>
        </is>
      </c>
      <c r="F665" s="2" t="inlineStr">
        <is>
          <t>做多</t>
        </is>
      </c>
      <c r="G665" s="20" t="n">
        <v>0.2115</v>
      </c>
      <c r="H665" s="20" t="n">
        <v>0.217845</v>
      </c>
      <c r="I665" s="20" t="n">
        <v>0.200925</v>
      </c>
      <c r="J665" s="20" t="n"/>
      <c r="K665" s="2" t="n"/>
      <c r="L665" s="5" t="n"/>
      <c r="M665" s="19">
        <f>資金模擬!$B$5*V664</f>
        <v/>
      </c>
      <c r="N665" s="2">
        <f>IF(Z664=1,"已停止",IF(T664&gt;=M665,"已下單","資金不足略過"))</f>
        <v/>
      </c>
      <c r="O665" s="19">
        <f>IF(N665="已下單",M665*資金模擬!$B$7,0)</f>
        <v/>
      </c>
      <c r="P665" s="4" t="n"/>
      <c r="Q665" s="13" t="n">
        <v>0</v>
      </c>
      <c r="R665" s="13">
        <f>R664+Q665</f>
        <v/>
      </c>
      <c r="S665" s="19">
        <f>S664+IF(N665="已下單",M665,0)</f>
        <v/>
      </c>
      <c r="T665" s="19">
        <f>R665-S665</f>
        <v/>
      </c>
      <c r="U665" s="2">
        <f>U664+IF(N665="已下單",1,0)</f>
        <v/>
      </c>
      <c r="V665" s="19">
        <f>IF(資金模擬!$B$9=2,MAX(R665,0),MAX(V664,FLOOR(MAX(R665,0),資金模擬!$B$6)))</f>
        <v/>
      </c>
      <c r="W665" s="13">
        <f>MAX(W664,R665)</f>
        <v/>
      </c>
      <c r="X665" s="4">
        <f>IF(W665&gt;0,R665/W665-1,-1)</f>
        <v/>
      </c>
      <c r="Y665" s="19">
        <f>IF(R665&gt;0,S665*資金模擬!$B$7/R665,0)</f>
        <v/>
      </c>
      <c r="Z665" s="2">
        <f>IF(OR(Z664=1,R665&lt;=資金模擬!$B$10),1,0)</f>
        <v/>
      </c>
    </row>
    <row r="666">
      <c r="A666" s="2" t="n">
        <v>664</v>
      </c>
      <c r="B666" s="7" t="n">
        <v>46286.08333333334</v>
      </c>
      <c r="C666" s="2" t="inlineStr">
        <is>
          <t>出場</t>
        </is>
      </c>
      <c r="D666" s="2" t="n">
        <v>331</v>
      </c>
      <c r="E666" s="2" t="inlineStr">
        <is>
          <t>PONS_USDT_PERP</t>
        </is>
      </c>
      <c r="F666" s="2" t="inlineStr">
        <is>
          <t>做空</t>
        </is>
      </c>
      <c r="G666" s="20" t="n">
        <v>0.5613</v>
      </c>
      <c r="H666" s="20" t="n">
        <v>0.544461</v>
      </c>
      <c r="I666" s="20" t="n">
        <v>0.589365</v>
      </c>
      <c r="J666" s="20" t="n">
        <v>0.589365</v>
      </c>
      <c r="K666" s="2" t="inlineStr">
        <is>
          <t>止損</t>
        </is>
      </c>
      <c r="L666" s="5">
        <f>交易明細!K332</f>
        <v/>
      </c>
      <c r="M666" s="19">
        <f>M655</f>
        <v/>
      </c>
      <c r="N666" s="2">
        <f>N655</f>
        <v/>
      </c>
      <c r="O666" s="19">
        <f>O655</f>
        <v/>
      </c>
      <c r="P666" s="4">
        <f>交易明細!L332</f>
        <v/>
      </c>
      <c r="Q666" s="13">
        <f>IF(N666="已下單",O666*P666,0)</f>
        <v/>
      </c>
      <c r="R666" s="13">
        <f>R665+Q666</f>
        <v/>
      </c>
      <c r="S666" s="19">
        <f>S665-IF(N666="已下單",M666,0)</f>
        <v/>
      </c>
      <c r="T666" s="19">
        <f>R666-S666</f>
        <v/>
      </c>
      <c r="U666" s="2">
        <f>U665-IF(N666="已下單",1,0)</f>
        <v/>
      </c>
      <c r="V666" s="19">
        <f>IF(資金模擬!$B$9=2,MAX(R666,0),MAX(V665,FLOOR(MAX(R666,0),資金模擬!$B$6)))</f>
        <v/>
      </c>
      <c r="W666" s="13">
        <f>MAX(W665,R666)</f>
        <v/>
      </c>
      <c r="X666" s="4">
        <f>IF(W666&gt;0,R666/W666-1,-1)</f>
        <v/>
      </c>
      <c r="Y666" s="19">
        <f>IF(R666&gt;0,S666*資金模擬!$B$7/R666,0)</f>
        <v/>
      </c>
      <c r="Z666" s="2">
        <f>IF(OR(Z665=1,R666&lt;=資金模擬!$B$10),1,0)</f>
        <v/>
      </c>
    </row>
    <row r="667">
      <c r="A667" s="2" t="n">
        <v>665</v>
      </c>
      <c r="B667" s="7" t="n">
        <v>46286.125</v>
      </c>
      <c r="C667" s="2" t="inlineStr">
        <is>
          <t>進場</t>
        </is>
      </c>
      <c r="D667" s="2" t="n">
        <v>335</v>
      </c>
      <c r="E667" s="2" t="inlineStr">
        <is>
          <t>LIT_USDT_PERP</t>
        </is>
      </c>
      <c r="F667" s="2" t="inlineStr">
        <is>
          <t>做空</t>
        </is>
      </c>
      <c r="G667" s="20" t="n">
        <v>4.649</v>
      </c>
      <c r="H667" s="20" t="n">
        <v>4.50953</v>
      </c>
      <c r="I667" s="20" t="n">
        <v>4.88145</v>
      </c>
      <c r="J667" s="20" t="n"/>
      <c r="K667" s="2" t="n"/>
      <c r="L667" s="5" t="n"/>
      <c r="M667" s="19">
        <f>資金模擬!$B$5*V666</f>
        <v/>
      </c>
      <c r="N667" s="2">
        <f>IF(Z666=1,"已停止",IF(T666&gt;=M667,"已下單","資金不足略過"))</f>
        <v/>
      </c>
      <c r="O667" s="19">
        <f>IF(N667="已下單",M667*資金模擬!$B$7,0)</f>
        <v/>
      </c>
      <c r="P667" s="4" t="n"/>
      <c r="Q667" s="13" t="n">
        <v>0</v>
      </c>
      <c r="R667" s="13">
        <f>R666+Q667</f>
        <v/>
      </c>
      <c r="S667" s="19">
        <f>S666+IF(N667="已下單",M667,0)</f>
        <v/>
      </c>
      <c r="T667" s="19">
        <f>R667-S667</f>
        <v/>
      </c>
      <c r="U667" s="2">
        <f>U666+IF(N667="已下單",1,0)</f>
        <v/>
      </c>
      <c r="V667" s="19">
        <f>IF(資金模擬!$B$9=2,MAX(R667,0),MAX(V666,FLOOR(MAX(R667,0),資金模擬!$B$6)))</f>
        <v/>
      </c>
      <c r="W667" s="13">
        <f>MAX(W666,R667)</f>
        <v/>
      </c>
      <c r="X667" s="4">
        <f>IF(W667&gt;0,R667/W667-1,-1)</f>
        <v/>
      </c>
      <c r="Y667" s="19">
        <f>IF(R667&gt;0,S667*資金模擬!$B$7/R667,0)</f>
        <v/>
      </c>
      <c r="Z667" s="2">
        <f>IF(OR(Z666=1,R667&lt;=資金模擬!$B$10),1,0)</f>
        <v/>
      </c>
    </row>
    <row r="668">
      <c r="A668" s="2" t="n">
        <v>666</v>
      </c>
      <c r="B668" s="7" t="n">
        <v>46286.125</v>
      </c>
      <c r="C668" s="2" t="inlineStr">
        <is>
          <t>進場</t>
        </is>
      </c>
      <c r="D668" s="2" t="n">
        <v>336</v>
      </c>
      <c r="E668" s="2" t="inlineStr">
        <is>
          <t>LSK_USDT_PERP</t>
        </is>
      </c>
      <c r="F668" s="2" t="inlineStr">
        <is>
          <t>做空</t>
        </is>
      </c>
      <c r="G668" s="20" t="n">
        <v>0.3786</v>
      </c>
      <c r="H668" s="20" t="n">
        <v>0.367242</v>
      </c>
      <c r="I668" s="20" t="n">
        <v>0.39753</v>
      </c>
      <c r="J668" s="20" t="n"/>
      <c r="K668" s="2" t="n"/>
      <c r="L668" s="5" t="n"/>
      <c r="M668" s="19">
        <f>資金模擬!$B$5*V667</f>
        <v/>
      </c>
      <c r="N668" s="2">
        <f>IF(Z667=1,"已停止",IF(T667&gt;=M668,"已下單","資金不足略過"))</f>
        <v/>
      </c>
      <c r="O668" s="19">
        <f>IF(N668="已下單",M668*資金模擬!$B$7,0)</f>
        <v/>
      </c>
      <c r="P668" s="4" t="n"/>
      <c r="Q668" s="13" t="n">
        <v>0</v>
      </c>
      <c r="R668" s="13">
        <f>R667+Q668</f>
        <v/>
      </c>
      <c r="S668" s="19">
        <f>S667+IF(N668="已下單",M668,0)</f>
        <v/>
      </c>
      <c r="T668" s="19">
        <f>R668-S668</f>
        <v/>
      </c>
      <c r="U668" s="2">
        <f>U667+IF(N668="已下單",1,0)</f>
        <v/>
      </c>
      <c r="V668" s="19">
        <f>IF(資金模擬!$B$9=2,MAX(R668,0),MAX(V667,FLOOR(MAX(R668,0),資金模擬!$B$6)))</f>
        <v/>
      </c>
      <c r="W668" s="13">
        <f>MAX(W667,R668)</f>
        <v/>
      </c>
      <c r="X668" s="4">
        <f>IF(W668&gt;0,R668/W668-1,-1)</f>
        <v/>
      </c>
      <c r="Y668" s="19">
        <f>IF(R668&gt;0,S668*資金模擬!$B$7/R668,0)</f>
        <v/>
      </c>
      <c r="Z668" s="2">
        <f>IF(OR(Z667=1,R668&lt;=資金模擬!$B$10),1,0)</f>
        <v/>
      </c>
    </row>
    <row r="669">
      <c r="A669" s="2" t="n">
        <v>667</v>
      </c>
      <c r="B669" s="7" t="n">
        <v>46286.125</v>
      </c>
      <c r="C669" s="2" t="inlineStr">
        <is>
          <t>進場</t>
        </is>
      </c>
      <c r="D669" s="2" t="n">
        <v>337</v>
      </c>
      <c r="E669" s="2" t="inlineStr">
        <is>
          <t>PONS_USDT_PERP</t>
        </is>
      </c>
      <c r="F669" s="2" t="inlineStr">
        <is>
          <t>做空</t>
        </is>
      </c>
      <c r="G669" s="20" t="n">
        <v>0.5704</v>
      </c>
      <c r="H669" s="20" t="n">
        <v>0.553288</v>
      </c>
      <c r="I669" s="20" t="n">
        <v>0.59892</v>
      </c>
      <c r="J669" s="20" t="n"/>
      <c r="K669" s="2" t="n"/>
      <c r="L669" s="5" t="n"/>
      <c r="M669" s="19">
        <f>資金模擬!$B$5*V668</f>
        <v/>
      </c>
      <c r="N669" s="2">
        <f>IF(Z668=1,"已停止",IF(T668&gt;=M669,"已下單","資金不足略過"))</f>
        <v/>
      </c>
      <c r="O669" s="19">
        <f>IF(N669="已下單",M669*資金模擬!$B$7,0)</f>
        <v/>
      </c>
      <c r="P669" s="4" t="n"/>
      <c r="Q669" s="13" t="n">
        <v>0</v>
      </c>
      <c r="R669" s="13">
        <f>R668+Q669</f>
        <v/>
      </c>
      <c r="S669" s="19">
        <f>S668+IF(N669="已下單",M669,0)</f>
        <v/>
      </c>
      <c r="T669" s="19">
        <f>R669-S669</f>
        <v/>
      </c>
      <c r="U669" s="2">
        <f>U668+IF(N669="已下單",1,0)</f>
        <v/>
      </c>
      <c r="V669" s="19">
        <f>IF(資金模擬!$B$9=2,MAX(R669,0),MAX(V668,FLOOR(MAX(R669,0),資金模擬!$B$6)))</f>
        <v/>
      </c>
      <c r="W669" s="13">
        <f>MAX(W668,R669)</f>
        <v/>
      </c>
      <c r="X669" s="4">
        <f>IF(W669&gt;0,R669/W669-1,-1)</f>
        <v/>
      </c>
      <c r="Y669" s="19">
        <f>IF(R669&gt;0,S669*資金模擬!$B$7/R669,0)</f>
        <v/>
      </c>
      <c r="Z669" s="2">
        <f>IF(OR(Z668=1,R669&lt;=資金模擬!$B$10),1,0)</f>
        <v/>
      </c>
    </row>
    <row r="670">
      <c r="A670" s="2" t="n">
        <v>668</v>
      </c>
      <c r="B670" s="7" t="n">
        <v>46286.16666666666</v>
      </c>
      <c r="C670" s="2" t="inlineStr">
        <is>
          <t>進場</t>
        </is>
      </c>
      <c r="D670" s="2" t="n">
        <v>338</v>
      </c>
      <c r="E670" s="2" t="inlineStr">
        <is>
          <t>ONDO_USDT_PERP</t>
        </is>
      </c>
      <c r="F670" s="2" t="inlineStr">
        <is>
          <t>做多</t>
        </is>
      </c>
      <c r="G670" s="20" t="n">
        <v>0.4278</v>
      </c>
      <c r="H670" s="20" t="n">
        <v>0.440634</v>
      </c>
      <c r="I670" s="20" t="n">
        <v>0.40641</v>
      </c>
      <c r="J670" s="20" t="n"/>
      <c r="K670" s="2" t="n"/>
      <c r="L670" s="5" t="n"/>
      <c r="M670" s="19">
        <f>資金模擬!$B$5*V669</f>
        <v/>
      </c>
      <c r="N670" s="2">
        <f>IF(Z669=1,"已停止",IF(T669&gt;=M670,"已下單","資金不足略過"))</f>
        <v/>
      </c>
      <c r="O670" s="19">
        <f>IF(N670="已下單",M670*資金模擬!$B$7,0)</f>
        <v/>
      </c>
      <c r="P670" s="4" t="n"/>
      <c r="Q670" s="13" t="n">
        <v>0</v>
      </c>
      <c r="R670" s="13">
        <f>R669+Q670</f>
        <v/>
      </c>
      <c r="S670" s="19">
        <f>S669+IF(N670="已下單",M670,0)</f>
        <v/>
      </c>
      <c r="T670" s="19">
        <f>R670-S670</f>
        <v/>
      </c>
      <c r="U670" s="2">
        <f>U669+IF(N670="已下單",1,0)</f>
        <v/>
      </c>
      <c r="V670" s="19">
        <f>IF(資金模擬!$B$9=2,MAX(R670,0),MAX(V669,FLOOR(MAX(R670,0),資金模擬!$B$6)))</f>
        <v/>
      </c>
      <c r="W670" s="13">
        <f>MAX(W669,R670)</f>
        <v/>
      </c>
      <c r="X670" s="4">
        <f>IF(W670&gt;0,R670/W670-1,-1)</f>
        <v/>
      </c>
      <c r="Y670" s="19">
        <f>IF(R670&gt;0,S670*資金模擬!$B$7/R670,0)</f>
        <v/>
      </c>
      <c r="Z670" s="2">
        <f>IF(OR(Z669=1,R670&lt;=資金模擬!$B$10),1,0)</f>
        <v/>
      </c>
    </row>
    <row r="671">
      <c r="A671" s="2" t="n">
        <v>669</v>
      </c>
      <c r="B671" s="7" t="n">
        <v>46286.20833333334</v>
      </c>
      <c r="C671" s="2" t="inlineStr">
        <is>
          <t>進場</t>
        </is>
      </c>
      <c r="D671" s="2" t="n">
        <v>339</v>
      </c>
      <c r="E671" s="2" t="inlineStr">
        <is>
          <t>AKE_USDT_PERP</t>
        </is>
      </c>
      <c r="F671" s="2" t="inlineStr">
        <is>
          <t>做空</t>
        </is>
      </c>
      <c r="G671" s="20" t="n">
        <v>0.058871</v>
      </c>
      <c r="H671" s="20" t="n">
        <v>0.05710487</v>
      </c>
      <c r="I671" s="20" t="n">
        <v>0.06181455</v>
      </c>
      <c r="J671" s="20" t="n"/>
      <c r="K671" s="2" t="n"/>
      <c r="L671" s="5" t="n"/>
      <c r="M671" s="19">
        <f>資金模擬!$B$5*V670</f>
        <v/>
      </c>
      <c r="N671" s="2">
        <f>IF(Z670=1,"已停止",IF(T670&gt;=M671,"已下單","資金不足略過"))</f>
        <v/>
      </c>
      <c r="O671" s="19">
        <f>IF(N671="已下單",M671*資金模擬!$B$7,0)</f>
        <v/>
      </c>
      <c r="P671" s="4" t="n"/>
      <c r="Q671" s="13" t="n">
        <v>0</v>
      </c>
      <c r="R671" s="13">
        <f>R670+Q671</f>
        <v/>
      </c>
      <c r="S671" s="19">
        <f>S670+IF(N671="已下單",M671,0)</f>
        <v/>
      </c>
      <c r="T671" s="19">
        <f>R671-S671</f>
        <v/>
      </c>
      <c r="U671" s="2">
        <f>U670+IF(N671="已下單",1,0)</f>
        <v/>
      </c>
      <c r="V671" s="19">
        <f>IF(資金模擬!$B$9=2,MAX(R671,0),MAX(V670,FLOOR(MAX(R671,0),資金模擬!$B$6)))</f>
        <v/>
      </c>
      <c r="W671" s="13">
        <f>MAX(W670,R671)</f>
        <v/>
      </c>
      <c r="X671" s="4">
        <f>IF(W671&gt;0,R671/W671-1,-1)</f>
        <v/>
      </c>
      <c r="Y671" s="19">
        <f>IF(R671&gt;0,S671*資金模擬!$B$7/R671,0)</f>
        <v/>
      </c>
      <c r="Z671" s="2">
        <f>IF(OR(Z670=1,R671&lt;=資金模擬!$B$10),1,0)</f>
        <v/>
      </c>
    </row>
    <row r="672">
      <c r="A672" s="2" t="n">
        <v>670</v>
      </c>
      <c r="B672" s="7" t="n">
        <v>46286.25</v>
      </c>
      <c r="C672" s="2" t="inlineStr">
        <is>
          <t>出場</t>
        </is>
      </c>
      <c r="D672" s="2" t="n">
        <v>336</v>
      </c>
      <c r="E672" s="2" t="inlineStr">
        <is>
          <t>LSK_USDT_PERP</t>
        </is>
      </c>
      <c r="F672" s="2" t="inlineStr">
        <is>
          <t>做空</t>
        </is>
      </c>
      <c r="G672" s="20" t="n">
        <v>0.3786</v>
      </c>
      <c r="H672" s="20" t="n">
        <v>0.367242</v>
      </c>
      <c r="I672" s="20" t="n">
        <v>0.39753</v>
      </c>
      <c r="J672" s="20" t="n">
        <v>0.367242</v>
      </c>
      <c r="K672" s="2" t="inlineStr">
        <is>
          <t>止盈</t>
        </is>
      </c>
      <c r="L672" s="5">
        <f>交易明細!K337</f>
        <v/>
      </c>
      <c r="M672" s="19">
        <f>M668</f>
        <v/>
      </c>
      <c r="N672" s="2">
        <f>N668</f>
        <v/>
      </c>
      <c r="O672" s="19">
        <f>O668</f>
        <v/>
      </c>
      <c r="P672" s="4">
        <f>交易明細!L337</f>
        <v/>
      </c>
      <c r="Q672" s="13">
        <f>IF(N672="已下單",O672*P672,0)</f>
        <v/>
      </c>
      <c r="R672" s="13">
        <f>R671+Q672</f>
        <v/>
      </c>
      <c r="S672" s="19">
        <f>S671-IF(N672="已下單",M672,0)</f>
        <v/>
      </c>
      <c r="T672" s="19">
        <f>R672-S672</f>
        <v/>
      </c>
      <c r="U672" s="2">
        <f>U671-IF(N672="已下單",1,0)</f>
        <v/>
      </c>
      <c r="V672" s="19">
        <f>IF(資金模擬!$B$9=2,MAX(R672,0),MAX(V671,FLOOR(MAX(R672,0),資金模擬!$B$6)))</f>
        <v/>
      </c>
      <c r="W672" s="13">
        <f>MAX(W671,R672)</f>
        <v/>
      </c>
      <c r="X672" s="4">
        <f>IF(W672&gt;0,R672/W672-1,-1)</f>
        <v/>
      </c>
      <c r="Y672" s="19">
        <f>IF(R672&gt;0,S672*資金模擬!$B$7/R672,0)</f>
        <v/>
      </c>
      <c r="Z672" s="2">
        <f>IF(OR(Z671=1,R672&lt;=資金模擬!$B$10),1,0)</f>
        <v/>
      </c>
    </row>
    <row r="673">
      <c r="A673" s="2" t="n">
        <v>671</v>
      </c>
      <c r="B673" s="7" t="n">
        <v>46286.25</v>
      </c>
      <c r="C673" s="2" t="inlineStr">
        <is>
          <t>出場</t>
        </is>
      </c>
      <c r="D673" s="2" t="n">
        <v>339</v>
      </c>
      <c r="E673" s="2" t="inlineStr">
        <is>
          <t>AKE_USDT_PERP</t>
        </is>
      </c>
      <c r="F673" s="2" t="inlineStr">
        <is>
          <t>做空</t>
        </is>
      </c>
      <c r="G673" s="20" t="n">
        <v>0.058871</v>
      </c>
      <c r="H673" s="20" t="n">
        <v>0.05710487</v>
      </c>
      <c r="I673" s="20" t="n">
        <v>0.06181455</v>
      </c>
      <c r="J673" s="20" t="n">
        <v>0.06181455</v>
      </c>
      <c r="K673" s="2" t="inlineStr">
        <is>
          <t>止損</t>
        </is>
      </c>
      <c r="L673" s="5">
        <f>交易明細!K340</f>
        <v/>
      </c>
      <c r="M673" s="19">
        <f>M671</f>
        <v/>
      </c>
      <c r="N673" s="2">
        <f>N671</f>
        <v/>
      </c>
      <c r="O673" s="19">
        <f>O671</f>
        <v/>
      </c>
      <c r="P673" s="4">
        <f>交易明細!L340</f>
        <v/>
      </c>
      <c r="Q673" s="13">
        <f>IF(N673="已下單",O673*P673,0)</f>
        <v/>
      </c>
      <c r="R673" s="13">
        <f>R672+Q673</f>
        <v/>
      </c>
      <c r="S673" s="19">
        <f>S672-IF(N673="已下單",M673,0)</f>
        <v/>
      </c>
      <c r="T673" s="19">
        <f>R673-S673</f>
        <v/>
      </c>
      <c r="U673" s="2">
        <f>U672-IF(N673="已下單",1,0)</f>
        <v/>
      </c>
      <c r="V673" s="19">
        <f>IF(資金模擬!$B$9=2,MAX(R673,0),MAX(V672,FLOOR(MAX(R673,0),資金模擬!$B$6)))</f>
        <v/>
      </c>
      <c r="W673" s="13">
        <f>MAX(W672,R673)</f>
        <v/>
      </c>
      <c r="X673" s="4">
        <f>IF(W673&gt;0,R673/W673-1,-1)</f>
        <v/>
      </c>
      <c r="Y673" s="19">
        <f>IF(R673&gt;0,S673*資金模擬!$B$7/R673,0)</f>
        <v/>
      </c>
      <c r="Z673" s="2">
        <f>IF(OR(Z672=1,R673&lt;=資金模擬!$B$10),1,0)</f>
        <v/>
      </c>
    </row>
    <row r="674">
      <c r="A674" s="2" t="n">
        <v>672</v>
      </c>
      <c r="B674" s="7" t="n">
        <v>46286.29166666666</v>
      </c>
      <c r="C674" s="2" t="inlineStr">
        <is>
          <t>出場</t>
        </is>
      </c>
      <c r="D674" s="2" t="n">
        <v>334</v>
      </c>
      <c r="E674" s="2" t="inlineStr">
        <is>
          <t>ARB_USDT_PERP</t>
        </is>
      </c>
      <c r="F674" s="2" t="inlineStr">
        <is>
          <t>做多</t>
        </is>
      </c>
      <c r="G674" s="20" t="n">
        <v>0.2115</v>
      </c>
      <c r="H674" s="20" t="n">
        <v>0.217845</v>
      </c>
      <c r="I674" s="20" t="n">
        <v>0.200925</v>
      </c>
      <c r="J674" s="20" t="n">
        <v>0.217845</v>
      </c>
      <c r="K674" s="2" t="inlineStr">
        <is>
          <t>止盈</t>
        </is>
      </c>
      <c r="L674" s="5">
        <f>交易明細!K335</f>
        <v/>
      </c>
      <c r="M674" s="19">
        <f>M665</f>
        <v/>
      </c>
      <c r="N674" s="2">
        <f>N665</f>
        <v/>
      </c>
      <c r="O674" s="19">
        <f>O665</f>
        <v/>
      </c>
      <c r="P674" s="4">
        <f>交易明細!L335</f>
        <v/>
      </c>
      <c r="Q674" s="13">
        <f>IF(N674="已下單",O674*P674,0)</f>
        <v/>
      </c>
      <c r="R674" s="13">
        <f>R673+Q674</f>
        <v/>
      </c>
      <c r="S674" s="19">
        <f>S673-IF(N674="已下單",M674,0)</f>
        <v/>
      </c>
      <c r="T674" s="19">
        <f>R674-S674</f>
        <v/>
      </c>
      <c r="U674" s="2">
        <f>U673-IF(N674="已下單",1,0)</f>
        <v/>
      </c>
      <c r="V674" s="19">
        <f>IF(資金模擬!$B$9=2,MAX(R674,0),MAX(V673,FLOOR(MAX(R674,0),資金模擬!$B$6)))</f>
        <v/>
      </c>
      <c r="W674" s="13">
        <f>MAX(W673,R674)</f>
        <v/>
      </c>
      <c r="X674" s="4">
        <f>IF(W674&gt;0,R674/W674-1,-1)</f>
        <v/>
      </c>
      <c r="Y674" s="19">
        <f>IF(R674&gt;0,S674*資金模擬!$B$7/R674,0)</f>
        <v/>
      </c>
      <c r="Z674" s="2">
        <f>IF(OR(Z673=1,R674&lt;=資金模擬!$B$10),1,0)</f>
        <v/>
      </c>
    </row>
    <row r="675">
      <c r="A675" s="2" t="n">
        <v>673</v>
      </c>
      <c r="B675" s="7" t="n">
        <v>46286.29166666666</v>
      </c>
      <c r="C675" s="2" t="inlineStr">
        <is>
          <t>進場</t>
        </is>
      </c>
      <c r="D675" s="2" t="n">
        <v>340</v>
      </c>
      <c r="E675" s="2" t="inlineStr">
        <is>
          <t>VVV_USDT_PERP</t>
        </is>
      </c>
      <c r="F675" s="2" t="inlineStr">
        <is>
          <t>做多</t>
        </is>
      </c>
      <c r="G675" s="20" t="n">
        <v>28.767</v>
      </c>
      <c r="H675" s="20" t="n">
        <v>29.63001</v>
      </c>
      <c r="I675" s="20" t="n">
        <v>27.32865</v>
      </c>
      <c r="J675" s="20" t="n"/>
      <c r="K675" s="2" t="n"/>
      <c r="L675" s="5" t="n"/>
      <c r="M675" s="19">
        <f>資金模擬!$B$5*V674</f>
        <v/>
      </c>
      <c r="N675" s="2">
        <f>IF(Z674=1,"已停止",IF(T674&gt;=M675,"已下單","資金不足略過"))</f>
        <v/>
      </c>
      <c r="O675" s="19">
        <f>IF(N675="已下單",M675*資金模擬!$B$7,0)</f>
        <v/>
      </c>
      <c r="P675" s="4" t="n"/>
      <c r="Q675" s="13" t="n">
        <v>0</v>
      </c>
      <c r="R675" s="13">
        <f>R674+Q675</f>
        <v/>
      </c>
      <c r="S675" s="19">
        <f>S674+IF(N675="已下單",M675,0)</f>
        <v/>
      </c>
      <c r="T675" s="19">
        <f>R675-S675</f>
        <v/>
      </c>
      <c r="U675" s="2">
        <f>U674+IF(N675="已下單",1,0)</f>
        <v/>
      </c>
      <c r="V675" s="19">
        <f>IF(資金模擬!$B$9=2,MAX(R675,0),MAX(V674,FLOOR(MAX(R675,0),資金模擬!$B$6)))</f>
        <v/>
      </c>
      <c r="W675" s="13">
        <f>MAX(W674,R675)</f>
        <v/>
      </c>
      <c r="X675" s="4">
        <f>IF(W675&gt;0,R675/W675-1,-1)</f>
        <v/>
      </c>
      <c r="Y675" s="19">
        <f>IF(R675&gt;0,S675*資金模擬!$B$7/R675,0)</f>
        <v/>
      </c>
      <c r="Z675" s="2">
        <f>IF(OR(Z674=1,R675&lt;=資金模擬!$B$10),1,0)</f>
        <v/>
      </c>
    </row>
    <row r="676">
      <c r="A676" s="2" t="n">
        <v>674</v>
      </c>
      <c r="B676" s="7" t="n">
        <v>46286.33333333334</v>
      </c>
      <c r="C676" s="2" t="inlineStr">
        <is>
          <t>出場</t>
        </is>
      </c>
      <c r="D676" s="2" t="n">
        <v>337</v>
      </c>
      <c r="E676" s="2" t="inlineStr">
        <is>
          <t>PONS_USDT_PERP</t>
        </is>
      </c>
      <c r="F676" s="2" t="inlineStr">
        <is>
          <t>做空</t>
        </is>
      </c>
      <c r="G676" s="20" t="n">
        <v>0.5704</v>
      </c>
      <c r="H676" s="20" t="n">
        <v>0.553288</v>
      </c>
      <c r="I676" s="20" t="n">
        <v>0.59892</v>
      </c>
      <c r="J676" s="20" t="n">
        <v>0.59892</v>
      </c>
      <c r="K676" s="2" t="inlineStr">
        <is>
          <t>止損</t>
        </is>
      </c>
      <c r="L676" s="5">
        <f>交易明細!K338</f>
        <v/>
      </c>
      <c r="M676" s="19">
        <f>M669</f>
        <v/>
      </c>
      <c r="N676" s="2">
        <f>N669</f>
        <v/>
      </c>
      <c r="O676" s="19">
        <f>O669</f>
        <v/>
      </c>
      <c r="P676" s="4">
        <f>交易明細!L338</f>
        <v/>
      </c>
      <c r="Q676" s="13">
        <f>IF(N676="已下單",O676*P676,0)</f>
        <v/>
      </c>
      <c r="R676" s="13">
        <f>R675+Q676</f>
        <v/>
      </c>
      <c r="S676" s="19">
        <f>S675-IF(N676="已下單",M676,0)</f>
        <v/>
      </c>
      <c r="T676" s="19">
        <f>R676-S676</f>
        <v/>
      </c>
      <c r="U676" s="2">
        <f>U675-IF(N676="已下單",1,0)</f>
        <v/>
      </c>
      <c r="V676" s="19">
        <f>IF(資金模擬!$B$9=2,MAX(R676,0),MAX(V675,FLOOR(MAX(R676,0),資金模擬!$B$6)))</f>
        <v/>
      </c>
      <c r="W676" s="13">
        <f>MAX(W675,R676)</f>
        <v/>
      </c>
      <c r="X676" s="4">
        <f>IF(W676&gt;0,R676/W676-1,-1)</f>
        <v/>
      </c>
      <c r="Y676" s="19">
        <f>IF(R676&gt;0,S676*資金模擬!$B$7/R676,0)</f>
        <v/>
      </c>
      <c r="Z676" s="2">
        <f>IF(OR(Z675=1,R676&lt;=資金模擬!$B$10),1,0)</f>
        <v/>
      </c>
    </row>
    <row r="677">
      <c r="A677" s="2" t="n">
        <v>675</v>
      </c>
      <c r="B677" s="7" t="n">
        <v>46286.33333333334</v>
      </c>
      <c r="C677" s="2" t="inlineStr">
        <is>
          <t>進場</t>
        </is>
      </c>
      <c r="D677" s="2" t="n">
        <v>341</v>
      </c>
      <c r="E677" s="2" t="inlineStr">
        <is>
          <t>BR_USDT_PERP</t>
        </is>
      </c>
      <c r="F677" s="2" t="inlineStr">
        <is>
          <t>做多</t>
        </is>
      </c>
      <c r="G677" s="20" t="n">
        <v>1.19252</v>
      </c>
      <c r="H677" s="20" t="n">
        <v>1.2282956</v>
      </c>
      <c r="I677" s="20" t="n">
        <v>1.132894</v>
      </c>
      <c r="J677" s="20" t="n"/>
      <c r="K677" s="2" t="n"/>
      <c r="L677" s="5" t="n"/>
      <c r="M677" s="19">
        <f>資金模擬!$B$5*V676</f>
        <v/>
      </c>
      <c r="N677" s="2">
        <f>IF(Z676=1,"已停止",IF(T676&gt;=M677,"已下單","資金不足略過"))</f>
        <v/>
      </c>
      <c r="O677" s="19">
        <f>IF(N677="已下單",M677*資金模擬!$B$7,0)</f>
        <v/>
      </c>
      <c r="P677" s="4" t="n"/>
      <c r="Q677" s="13" t="n">
        <v>0</v>
      </c>
      <c r="R677" s="13">
        <f>R676+Q677</f>
        <v/>
      </c>
      <c r="S677" s="19">
        <f>S676+IF(N677="已下單",M677,0)</f>
        <v/>
      </c>
      <c r="T677" s="19">
        <f>R677-S677</f>
        <v/>
      </c>
      <c r="U677" s="2">
        <f>U676+IF(N677="已下單",1,0)</f>
        <v/>
      </c>
      <c r="V677" s="19">
        <f>IF(資金模擬!$B$9=2,MAX(R677,0),MAX(V676,FLOOR(MAX(R677,0),資金模擬!$B$6)))</f>
        <v/>
      </c>
      <c r="W677" s="13">
        <f>MAX(W676,R677)</f>
        <v/>
      </c>
      <c r="X677" s="4">
        <f>IF(W677&gt;0,R677/W677-1,-1)</f>
        <v/>
      </c>
      <c r="Y677" s="19">
        <f>IF(R677&gt;0,S677*資金模擬!$B$7/R677,0)</f>
        <v/>
      </c>
      <c r="Z677" s="2">
        <f>IF(OR(Z676=1,R677&lt;=資金模擬!$B$10),1,0)</f>
        <v/>
      </c>
    </row>
    <row r="678">
      <c r="A678" s="2" t="n">
        <v>676</v>
      </c>
      <c r="B678" s="7" t="n">
        <v>46286.33333333334</v>
      </c>
      <c r="C678" s="2" t="inlineStr">
        <is>
          <t>進場</t>
        </is>
      </c>
      <c r="D678" s="2" t="n">
        <v>342</v>
      </c>
      <c r="E678" s="2" t="inlineStr">
        <is>
          <t>ZAMA_USDT_PERP</t>
        </is>
      </c>
      <c r="F678" s="2" t="inlineStr">
        <is>
          <t>做空</t>
        </is>
      </c>
      <c r="G678" s="20" t="n">
        <v>0.08348</v>
      </c>
      <c r="H678" s="20" t="n">
        <v>0.08097559999999999</v>
      </c>
      <c r="I678" s="20" t="n">
        <v>0.087654</v>
      </c>
      <c r="J678" s="20" t="n"/>
      <c r="K678" s="2" t="n"/>
      <c r="L678" s="5" t="n"/>
      <c r="M678" s="19">
        <f>資金模擬!$B$5*V677</f>
        <v/>
      </c>
      <c r="N678" s="2">
        <f>IF(Z677=1,"已停止",IF(T677&gt;=M678,"已下單","資金不足略過"))</f>
        <v/>
      </c>
      <c r="O678" s="19">
        <f>IF(N678="已下單",M678*資金模擬!$B$7,0)</f>
        <v/>
      </c>
      <c r="P678" s="4" t="n"/>
      <c r="Q678" s="13" t="n">
        <v>0</v>
      </c>
      <c r="R678" s="13">
        <f>R677+Q678</f>
        <v/>
      </c>
      <c r="S678" s="19">
        <f>S677+IF(N678="已下單",M678,0)</f>
        <v/>
      </c>
      <c r="T678" s="19">
        <f>R678-S678</f>
        <v/>
      </c>
      <c r="U678" s="2">
        <f>U677+IF(N678="已下單",1,0)</f>
        <v/>
      </c>
      <c r="V678" s="19">
        <f>IF(資金模擬!$B$9=2,MAX(R678,0),MAX(V677,FLOOR(MAX(R678,0),資金模擬!$B$6)))</f>
        <v/>
      </c>
      <c r="W678" s="13">
        <f>MAX(W677,R678)</f>
        <v/>
      </c>
      <c r="X678" s="4">
        <f>IF(W678&gt;0,R678/W678-1,-1)</f>
        <v/>
      </c>
      <c r="Y678" s="19">
        <f>IF(R678&gt;0,S678*資金模擬!$B$7/R678,0)</f>
        <v/>
      </c>
      <c r="Z678" s="2">
        <f>IF(OR(Z677=1,R678&lt;=資金模擬!$B$10),1,0)</f>
        <v/>
      </c>
    </row>
    <row r="679">
      <c r="A679" s="2" t="n">
        <v>677</v>
      </c>
      <c r="B679" s="7" t="n">
        <v>46286.375</v>
      </c>
      <c r="C679" s="2" t="inlineStr">
        <is>
          <t>出場</t>
        </is>
      </c>
      <c r="D679" s="2" t="n">
        <v>333</v>
      </c>
      <c r="E679" s="2" t="inlineStr">
        <is>
          <t>PIEVERSE_USDT_PERP</t>
        </is>
      </c>
      <c r="F679" s="2" t="inlineStr">
        <is>
          <t>做空</t>
        </is>
      </c>
      <c r="G679" s="20" t="n">
        <v>1.5856</v>
      </c>
      <c r="H679" s="20" t="n">
        <v>1.538032</v>
      </c>
      <c r="I679" s="20" t="n">
        <v>1.66488</v>
      </c>
      <c r="J679" s="20" t="n">
        <v>1.66488</v>
      </c>
      <c r="K679" s="2" t="inlineStr">
        <is>
          <t>止損</t>
        </is>
      </c>
      <c r="L679" s="5">
        <f>交易明細!K334</f>
        <v/>
      </c>
      <c r="M679" s="19">
        <f>M661</f>
        <v/>
      </c>
      <c r="N679" s="2">
        <f>N661</f>
        <v/>
      </c>
      <c r="O679" s="19">
        <f>O661</f>
        <v/>
      </c>
      <c r="P679" s="4">
        <f>交易明細!L334</f>
        <v/>
      </c>
      <c r="Q679" s="13">
        <f>IF(N679="已下單",O679*P679,0)</f>
        <v/>
      </c>
      <c r="R679" s="13">
        <f>R678+Q679</f>
        <v/>
      </c>
      <c r="S679" s="19">
        <f>S678-IF(N679="已下單",M679,0)</f>
        <v/>
      </c>
      <c r="T679" s="19">
        <f>R679-S679</f>
        <v/>
      </c>
      <c r="U679" s="2">
        <f>U678-IF(N679="已下單",1,0)</f>
        <v/>
      </c>
      <c r="V679" s="19">
        <f>IF(資金模擬!$B$9=2,MAX(R679,0),MAX(V678,FLOOR(MAX(R679,0),資金模擬!$B$6)))</f>
        <v/>
      </c>
      <c r="W679" s="13">
        <f>MAX(W678,R679)</f>
        <v/>
      </c>
      <c r="X679" s="4">
        <f>IF(W679&gt;0,R679/W679-1,-1)</f>
        <v/>
      </c>
      <c r="Y679" s="19">
        <f>IF(R679&gt;0,S679*資金模擬!$B$7/R679,0)</f>
        <v/>
      </c>
      <c r="Z679" s="2">
        <f>IF(OR(Z678=1,R679&lt;=資金模擬!$B$10),1,0)</f>
        <v/>
      </c>
    </row>
    <row r="680">
      <c r="A680" s="2" t="n">
        <v>678</v>
      </c>
      <c r="B680" s="7" t="n">
        <v>46286.375</v>
      </c>
      <c r="C680" s="2" t="inlineStr">
        <is>
          <t>出場</t>
        </is>
      </c>
      <c r="D680" s="2" t="n">
        <v>335</v>
      </c>
      <c r="E680" s="2" t="inlineStr">
        <is>
          <t>LIT_USDT_PERP</t>
        </is>
      </c>
      <c r="F680" s="2" t="inlineStr">
        <is>
          <t>做空</t>
        </is>
      </c>
      <c r="G680" s="20" t="n">
        <v>4.649</v>
      </c>
      <c r="H680" s="20" t="n">
        <v>4.50953</v>
      </c>
      <c r="I680" s="20" t="n">
        <v>4.88145</v>
      </c>
      <c r="J680" s="20" t="n">
        <v>4.88145</v>
      </c>
      <c r="K680" s="2" t="inlineStr">
        <is>
          <t>止損</t>
        </is>
      </c>
      <c r="L680" s="5">
        <f>交易明細!K336</f>
        <v/>
      </c>
      <c r="M680" s="19">
        <f>M667</f>
        <v/>
      </c>
      <c r="N680" s="2">
        <f>N667</f>
        <v/>
      </c>
      <c r="O680" s="19">
        <f>O667</f>
        <v/>
      </c>
      <c r="P680" s="4">
        <f>交易明細!L336</f>
        <v/>
      </c>
      <c r="Q680" s="13">
        <f>IF(N680="已下單",O680*P680,0)</f>
        <v/>
      </c>
      <c r="R680" s="13">
        <f>R679+Q680</f>
        <v/>
      </c>
      <c r="S680" s="19">
        <f>S679-IF(N680="已下單",M680,0)</f>
        <v/>
      </c>
      <c r="T680" s="19">
        <f>R680-S680</f>
        <v/>
      </c>
      <c r="U680" s="2">
        <f>U679-IF(N680="已下單",1,0)</f>
        <v/>
      </c>
      <c r="V680" s="19">
        <f>IF(資金模擬!$B$9=2,MAX(R680,0),MAX(V679,FLOOR(MAX(R680,0),資金模擬!$B$6)))</f>
        <v/>
      </c>
      <c r="W680" s="13">
        <f>MAX(W679,R680)</f>
        <v/>
      </c>
      <c r="X680" s="4">
        <f>IF(W680&gt;0,R680/W680-1,-1)</f>
        <v/>
      </c>
      <c r="Y680" s="19">
        <f>IF(R680&gt;0,S680*資金模擬!$B$7/R680,0)</f>
        <v/>
      </c>
      <c r="Z680" s="2">
        <f>IF(OR(Z679=1,R680&lt;=資金模擬!$B$10),1,0)</f>
        <v/>
      </c>
    </row>
    <row r="681">
      <c r="A681" s="2" t="n">
        <v>679</v>
      </c>
      <c r="B681" s="7" t="n">
        <v>46286.375</v>
      </c>
      <c r="C681" s="2" t="inlineStr">
        <is>
          <t>出場</t>
        </is>
      </c>
      <c r="D681" s="2" t="n">
        <v>338</v>
      </c>
      <c r="E681" s="2" t="inlineStr">
        <is>
          <t>ONDO_USDT_PERP</t>
        </is>
      </c>
      <c r="F681" s="2" t="inlineStr">
        <is>
          <t>做多</t>
        </is>
      </c>
      <c r="G681" s="20" t="n">
        <v>0.4278</v>
      </c>
      <c r="H681" s="20" t="n">
        <v>0.440634</v>
      </c>
      <c r="I681" s="20" t="n">
        <v>0.40641</v>
      </c>
      <c r="J681" s="20" t="n">
        <v>0.440634</v>
      </c>
      <c r="K681" s="2" t="inlineStr">
        <is>
          <t>止盈</t>
        </is>
      </c>
      <c r="L681" s="5">
        <f>交易明細!K339</f>
        <v/>
      </c>
      <c r="M681" s="19">
        <f>M670</f>
        <v/>
      </c>
      <c r="N681" s="2">
        <f>N670</f>
        <v/>
      </c>
      <c r="O681" s="19">
        <f>O670</f>
        <v/>
      </c>
      <c r="P681" s="4">
        <f>交易明細!L339</f>
        <v/>
      </c>
      <c r="Q681" s="13">
        <f>IF(N681="已下單",O681*P681,0)</f>
        <v/>
      </c>
      <c r="R681" s="13">
        <f>R680+Q681</f>
        <v/>
      </c>
      <c r="S681" s="19">
        <f>S680-IF(N681="已下單",M681,0)</f>
        <v/>
      </c>
      <c r="T681" s="19">
        <f>R681-S681</f>
        <v/>
      </c>
      <c r="U681" s="2">
        <f>U680-IF(N681="已下單",1,0)</f>
        <v/>
      </c>
      <c r="V681" s="19">
        <f>IF(資金模擬!$B$9=2,MAX(R681,0),MAX(V680,FLOOR(MAX(R681,0),資金模擬!$B$6)))</f>
        <v/>
      </c>
      <c r="W681" s="13">
        <f>MAX(W680,R681)</f>
        <v/>
      </c>
      <c r="X681" s="4">
        <f>IF(W681&gt;0,R681/W681-1,-1)</f>
        <v/>
      </c>
      <c r="Y681" s="19">
        <f>IF(R681&gt;0,S681*資金模擬!$B$7/R681,0)</f>
        <v/>
      </c>
      <c r="Z681" s="2">
        <f>IF(OR(Z680=1,R681&lt;=資金模擬!$B$10),1,0)</f>
        <v/>
      </c>
    </row>
    <row r="682">
      <c r="A682" s="2" t="n">
        <v>680</v>
      </c>
      <c r="B682" s="7" t="n">
        <v>46286.375</v>
      </c>
      <c r="C682" s="2" t="inlineStr">
        <is>
          <t>出場</t>
        </is>
      </c>
      <c r="D682" s="2" t="n">
        <v>340</v>
      </c>
      <c r="E682" s="2" t="inlineStr">
        <is>
          <t>VVV_USDT_PERP</t>
        </is>
      </c>
      <c r="F682" s="2" t="inlineStr">
        <is>
          <t>做多</t>
        </is>
      </c>
      <c r="G682" s="20" t="n">
        <v>28.767</v>
      </c>
      <c r="H682" s="20" t="n">
        <v>29.63001</v>
      </c>
      <c r="I682" s="20" t="n">
        <v>27.32865</v>
      </c>
      <c r="J682" s="20" t="n">
        <v>29.63001</v>
      </c>
      <c r="K682" s="2" t="inlineStr">
        <is>
          <t>止盈</t>
        </is>
      </c>
      <c r="L682" s="5">
        <f>交易明細!K341</f>
        <v/>
      </c>
      <c r="M682" s="19">
        <f>M675</f>
        <v/>
      </c>
      <c r="N682" s="2">
        <f>N675</f>
        <v/>
      </c>
      <c r="O682" s="19">
        <f>O675</f>
        <v/>
      </c>
      <c r="P682" s="4">
        <f>交易明細!L341</f>
        <v/>
      </c>
      <c r="Q682" s="13">
        <f>IF(N682="已下單",O682*P682,0)</f>
        <v/>
      </c>
      <c r="R682" s="13">
        <f>R681+Q682</f>
        <v/>
      </c>
      <c r="S682" s="19">
        <f>S681-IF(N682="已下單",M682,0)</f>
        <v/>
      </c>
      <c r="T682" s="19">
        <f>R682-S682</f>
        <v/>
      </c>
      <c r="U682" s="2">
        <f>U681-IF(N682="已下單",1,0)</f>
        <v/>
      </c>
      <c r="V682" s="19">
        <f>IF(資金模擬!$B$9=2,MAX(R682,0),MAX(V681,FLOOR(MAX(R682,0),資金模擬!$B$6)))</f>
        <v/>
      </c>
      <c r="W682" s="13">
        <f>MAX(W681,R682)</f>
        <v/>
      </c>
      <c r="X682" s="4">
        <f>IF(W682&gt;0,R682/W682-1,-1)</f>
        <v/>
      </c>
      <c r="Y682" s="19">
        <f>IF(R682&gt;0,S682*資金模擬!$B$7/R682,0)</f>
        <v/>
      </c>
      <c r="Z682" s="2">
        <f>IF(OR(Z681=1,R682&lt;=資金模擬!$B$10),1,0)</f>
        <v/>
      </c>
    </row>
    <row r="683">
      <c r="A683" s="2" t="n">
        <v>681</v>
      </c>
      <c r="B683" s="7" t="n">
        <v>46286.41666666666</v>
      </c>
      <c r="C683" s="2" t="inlineStr">
        <is>
          <t>出場</t>
        </is>
      </c>
      <c r="D683" s="2" t="n">
        <v>330</v>
      </c>
      <c r="E683" s="2" t="inlineStr">
        <is>
          <t>FIL_USDT_PERP</t>
        </is>
      </c>
      <c r="F683" s="2" t="inlineStr">
        <is>
          <t>做空</t>
        </is>
      </c>
      <c r="G683" s="20" t="n">
        <v>0.918</v>
      </c>
      <c r="H683" s="20" t="n">
        <v>0.89046</v>
      </c>
      <c r="I683" s="20" t="n">
        <v>0.9639000000000001</v>
      </c>
      <c r="J683" s="20" t="n">
        <v>0.9639000000000001</v>
      </c>
      <c r="K683" s="2" t="inlineStr">
        <is>
          <t>止損</t>
        </is>
      </c>
      <c r="L683" s="5">
        <f>交易明細!K331</f>
        <v/>
      </c>
      <c r="M683" s="19">
        <f>M654</f>
        <v/>
      </c>
      <c r="N683" s="2">
        <f>N654</f>
        <v/>
      </c>
      <c r="O683" s="19">
        <f>O654</f>
        <v/>
      </c>
      <c r="P683" s="4">
        <f>交易明細!L331</f>
        <v/>
      </c>
      <c r="Q683" s="13">
        <f>IF(N683="已下單",O683*P683,0)</f>
        <v/>
      </c>
      <c r="R683" s="13">
        <f>R682+Q683</f>
        <v/>
      </c>
      <c r="S683" s="19">
        <f>S682-IF(N683="已下單",M683,0)</f>
        <v/>
      </c>
      <c r="T683" s="19">
        <f>R683-S683</f>
        <v/>
      </c>
      <c r="U683" s="2">
        <f>U682-IF(N683="已下單",1,0)</f>
        <v/>
      </c>
      <c r="V683" s="19">
        <f>IF(資金模擬!$B$9=2,MAX(R683,0),MAX(V682,FLOOR(MAX(R683,0),資金模擬!$B$6)))</f>
        <v/>
      </c>
      <c r="W683" s="13">
        <f>MAX(W682,R683)</f>
        <v/>
      </c>
      <c r="X683" s="4">
        <f>IF(W683&gt;0,R683/W683-1,-1)</f>
        <v/>
      </c>
      <c r="Y683" s="19">
        <f>IF(R683&gt;0,S683*資金模擬!$B$7/R683,0)</f>
        <v/>
      </c>
      <c r="Z683" s="2">
        <f>IF(OR(Z682=1,R683&lt;=資金模擬!$B$10),1,0)</f>
        <v/>
      </c>
    </row>
    <row r="684">
      <c r="A684" s="2" t="n">
        <v>682</v>
      </c>
      <c r="B684" s="7" t="n">
        <v>46286.41666666666</v>
      </c>
      <c r="C684" s="2" t="inlineStr">
        <is>
          <t>出場</t>
        </is>
      </c>
      <c r="D684" s="2" t="n">
        <v>341</v>
      </c>
      <c r="E684" s="2" t="inlineStr">
        <is>
          <t>BR_USDT_PERP</t>
        </is>
      </c>
      <c r="F684" s="2" t="inlineStr">
        <is>
          <t>做多</t>
        </is>
      </c>
      <c r="G684" s="20" t="n">
        <v>1.19252</v>
      </c>
      <c r="H684" s="20" t="n">
        <v>1.2282956</v>
      </c>
      <c r="I684" s="20" t="n">
        <v>1.132894</v>
      </c>
      <c r="J684" s="20" t="n">
        <v>1.2282956</v>
      </c>
      <c r="K684" s="2" t="inlineStr">
        <is>
          <t>止盈</t>
        </is>
      </c>
      <c r="L684" s="5">
        <f>交易明細!K342</f>
        <v/>
      </c>
      <c r="M684" s="19">
        <f>M677</f>
        <v/>
      </c>
      <c r="N684" s="2">
        <f>N677</f>
        <v/>
      </c>
      <c r="O684" s="19">
        <f>O677</f>
        <v/>
      </c>
      <c r="P684" s="4">
        <f>交易明細!L342</f>
        <v/>
      </c>
      <c r="Q684" s="13">
        <f>IF(N684="已下單",O684*P684,0)</f>
        <v/>
      </c>
      <c r="R684" s="13">
        <f>R683+Q684</f>
        <v/>
      </c>
      <c r="S684" s="19">
        <f>S683-IF(N684="已下單",M684,0)</f>
        <v/>
      </c>
      <c r="T684" s="19">
        <f>R684-S684</f>
        <v/>
      </c>
      <c r="U684" s="2">
        <f>U683-IF(N684="已下單",1,0)</f>
        <v/>
      </c>
      <c r="V684" s="19">
        <f>IF(資金模擬!$B$9=2,MAX(R684,0),MAX(V683,FLOOR(MAX(R684,0),資金模擬!$B$6)))</f>
        <v/>
      </c>
      <c r="W684" s="13">
        <f>MAX(W683,R684)</f>
        <v/>
      </c>
      <c r="X684" s="4">
        <f>IF(W684&gt;0,R684/W684-1,-1)</f>
        <v/>
      </c>
      <c r="Y684" s="19">
        <f>IF(R684&gt;0,S684*資金模擬!$B$7/R684,0)</f>
        <v/>
      </c>
      <c r="Z684" s="2">
        <f>IF(OR(Z683=1,R684&lt;=資金模擬!$B$10),1,0)</f>
        <v/>
      </c>
    </row>
    <row r="685">
      <c r="A685" s="2" t="n">
        <v>683</v>
      </c>
      <c r="B685" s="7" t="n">
        <v>46286.41666666666</v>
      </c>
      <c r="C685" s="2" t="inlineStr">
        <is>
          <t>出場</t>
        </is>
      </c>
      <c r="D685" s="2" t="n">
        <v>342</v>
      </c>
      <c r="E685" s="2" t="inlineStr">
        <is>
          <t>ZAMA_USDT_PERP</t>
        </is>
      </c>
      <c r="F685" s="2" t="inlineStr">
        <is>
          <t>做空</t>
        </is>
      </c>
      <c r="G685" s="20" t="n">
        <v>0.08348</v>
      </c>
      <c r="H685" s="20" t="n">
        <v>0.08097559999999999</v>
      </c>
      <c r="I685" s="20" t="n">
        <v>0.087654</v>
      </c>
      <c r="J685" s="20" t="n">
        <v>0.087654</v>
      </c>
      <c r="K685" s="2" t="inlineStr">
        <is>
          <t>止損</t>
        </is>
      </c>
      <c r="L685" s="5">
        <f>交易明細!K343</f>
        <v/>
      </c>
      <c r="M685" s="19">
        <f>M678</f>
        <v/>
      </c>
      <c r="N685" s="2">
        <f>N678</f>
        <v/>
      </c>
      <c r="O685" s="19">
        <f>O678</f>
        <v/>
      </c>
      <c r="P685" s="4">
        <f>交易明細!L343</f>
        <v/>
      </c>
      <c r="Q685" s="13">
        <f>IF(N685="已下單",O685*P685,0)</f>
        <v/>
      </c>
      <c r="R685" s="13">
        <f>R684+Q685</f>
        <v/>
      </c>
      <c r="S685" s="19">
        <f>S684-IF(N685="已下單",M685,0)</f>
        <v/>
      </c>
      <c r="T685" s="19">
        <f>R685-S685</f>
        <v/>
      </c>
      <c r="U685" s="2">
        <f>U684-IF(N685="已下單",1,0)</f>
        <v/>
      </c>
      <c r="V685" s="19">
        <f>IF(資金模擬!$B$9=2,MAX(R685,0),MAX(V684,FLOOR(MAX(R685,0),資金模擬!$B$6)))</f>
        <v/>
      </c>
      <c r="W685" s="13">
        <f>MAX(W684,R685)</f>
        <v/>
      </c>
      <c r="X685" s="4">
        <f>IF(W685&gt;0,R685/W685-1,-1)</f>
        <v/>
      </c>
      <c r="Y685" s="19">
        <f>IF(R685&gt;0,S685*資金模擬!$B$7/R685,0)</f>
        <v/>
      </c>
      <c r="Z685" s="2">
        <f>IF(OR(Z684=1,R685&lt;=資金模擬!$B$10),1,0)</f>
        <v/>
      </c>
    </row>
    <row r="686">
      <c r="A686" s="2" t="n">
        <v>684</v>
      </c>
      <c r="B686" s="7" t="n">
        <v>46286.41666666666</v>
      </c>
      <c r="C686" s="2" t="inlineStr">
        <is>
          <t>進場</t>
        </is>
      </c>
      <c r="D686" s="2" t="n">
        <v>343</v>
      </c>
      <c r="E686" s="2" t="inlineStr">
        <is>
          <t>ENA_USDT_PERP</t>
        </is>
      </c>
      <c r="F686" s="2" t="inlineStr">
        <is>
          <t>做空</t>
        </is>
      </c>
      <c r="G686" s="20" t="n">
        <v>0.21</v>
      </c>
      <c r="H686" s="20" t="n">
        <v>0.2037</v>
      </c>
      <c r="I686" s="20" t="n">
        <v>0.2205</v>
      </c>
      <c r="J686" s="20" t="n"/>
      <c r="K686" s="2" t="n"/>
      <c r="L686" s="5" t="n"/>
      <c r="M686" s="19">
        <f>資金模擬!$B$5*V685</f>
        <v/>
      </c>
      <c r="N686" s="2">
        <f>IF(Z685=1,"已停止",IF(T685&gt;=M686,"已下單","資金不足略過"))</f>
        <v/>
      </c>
      <c r="O686" s="19">
        <f>IF(N686="已下單",M686*資金模擬!$B$7,0)</f>
        <v/>
      </c>
      <c r="P686" s="4" t="n"/>
      <c r="Q686" s="13" t="n">
        <v>0</v>
      </c>
      <c r="R686" s="13">
        <f>R685+Q686</f>
        <v/>
      </c>
      <c r="S686" s="19">
        <f>S685+IF(N686="已下單",M686,0)</f>
        <v/>
      </c>
      <c r="T686" s="19">
        <f>R686-S686</f>
        <v/>
      </c>
      <c r="U686" s="2">
        <f>U685+IF(N686="已下單",1,0)</f>
        <v/>
      </c>
      <c r="V686" s="19">
        <f>IF(資金模擬!$B$9=2,MAX(R686,0),MAX(V685,FLOOR(MAX(R686,0),資金模擬!$B$6)))</f>
        <v/>
      </c>
      <c r="W686" s="13">
        <f>MAX(W685,R686)</f>
        <v/>
      </c>
      <c r="X686" s="4">
        <f>IF(W686&gt;0,R686/W686-1,-1)</f>
        <v/>
      </c>
      <c r="Y686" s="19">
        <f>IF(R686&gt;0,S686*資金模擬!$B$7/R686,0)</f>
        <v/>
      </c>
      <c r="Z686" s="2">
        <f>IF(OR(Z685=1,R686&lt;=資金模擬!$B$10),1,0)</f>
        <v/>
      </c>
    </row>
    <row r="687">
      <c r="A687" s="2" t="n">
        <v>685</v>
      </c>
      <c r="B687" s="7" t="n">
        <v>46286.41666666666</v>
      </c>
      <c r="C687" s="2" t="inlineStr">
        <is>
          <t>進場</t>
        </is>
      </c>
      <c r="D687" s="2" t="n">
        <v>344</v>
      </c>
      <c r="E687" s="2" t="inlineStr">
        <is>
          <t>UNI_USDT_PERP</t>
        </is>
      </c>
      <c r="F687" s="2" t="inlineStr">
        <is>
          <t>做空</t>
        </is>
      </c>
      <c r="G687" s="20" t="n">
        <v>8.573</v>
      </c>
      <c r="H687" s="20" t="n">
        <v>8.315810000000001</v>
      </c>
      <c r="I687" s="20" t="n">
        <v>9.001650000000001</v>
      </c>
      <c r="J687" s="20" t="n"/>
      <c r="K687" s="2" t="n"/>
      <c r="L687" s="5" t="n"/>
      <c r="M687" s="19">
        <f>資金模擬!$B$5*V686</f>
        <v/>
      </c>
      <c r="N687" s="2">
        <f>IF(Z686=1,"已停止",IF(T686&gt;=M687,"已下單","資金不足略過"))</f>
        <v/>
      </c>
      <c r="O687" s="19">
        <f>IF(N687="已下單",M687*資金模擬!$B$7,0)</f>
        <v/>
      </c>
      <c r="P687" s="4" t="n"/>
      <c r="Q687" s="13" t="n">
        <v>0</v>
      </c>
      <c r="R687" s="13">
        <f>R686+Q687</f>
        <v/>
      </c>
      <c r="S687" s="19">
        <f>S686+IF(N687="已下單",M687,0)</f>
        <v/>
      </c>
      <c r="T687" s="19">
        <f>R687-S687</f>
        <v/>
      </c>
      <c r="U687" s="2">
        <f>U686+IF(N687="已下單",1,0)</f>
        <v/>
      </c>
      <c r="V687" s="19">
        <f>IF(資金模擬!$B$9=2,MAX(R687,0),MAX(V686,FLOOR(MAX(R687,0),資金模擬!$B$6)))</f>
        <v/>
      </c>
      <c r="W687" s="13">
        <f>MAX(W686,R687)</f>
        <v/>
      </c>
      <c r="X687" s="4">
        <f>IF(W687&gt;0,R687/W687-1,-1)</f>
        <v/>
      </c>
      <c r="Y687" s="19">
        <f>IF(R687&gt;0,S687*資金模擬!$B$7/R687,0)</f>
        <v/>
      </c>
      <c r="Z687" s="2">
        <f>IF(OR(Z686=1,R687&lt;=資金模擬!$B$10),1,0)</f>
        <v/>
      </c>
    </row>
    <row r="688">
      <c r="A688" s="2" t="n">
        <v>686</v>
      </c>
      <c r="B688" s="7" t="n">
        <v>46286.41666666666</v>
      </c>
      <c r="C688" s="2" t="inlineStr">
        <is>
          <t>進場</t>
        </is>
      </c>
      <c r="D688" s="2" t="n">
        <v>345</v>
      </c>
      <c r="E688" s="2" t="inlineStr">
        <is>
          <t>USELESS_USDT_PERP</t>
        </is>
      </c>
      <c r="F688" s="2" t="inlineStr">
        <is>
          <t>做空</t>
        </is>
      </c>
      <c r="G688" s="20" t="n">
        <v>0.2375</v>
      </c>
      <c r="H688" s="20" t="n">
        <v>0.230375</v>
      </c>
      <c r="I688" s="20" t="n">
        <v>0.249375</v>
      </c>
      <c r="J688" s="20" t="n"/>
      <c r="K688" s="2" t="n"/>
      <c r="L688" s="5" t="n"/>
      <c r="M688" s="19">
        <f>資金模擬!$B$5*V687</f>
        <v/>
      </c>
      <c r="N688" s="2">
        <f>IF(Z687=1,"已停止",IF(T687&gt;=M688,"已下單","資金不足略過"))</f>
        <v/>
      </c>
      <c r="O688" s="19">
        <f>IF(N688="已下單",M688*資金模擬!$B$7,0)</f>
        <v/>
      </c>
      <c r="P688" s="4" t="n"/>
      <c r="Q688" s="13" t="n">
        <v>0</v>
      </c>
      <c r="R688" s="13">
        <f>R687+Q688</f>
        <v/>
      </c>
      <c r="S688" s="19">
        <f>S687+IF(N688="已下單",M688,0)</f>
        <v/>
      </c>
      <c r="T688" s="19">
        <f>R688-S688</f>
        <v/>
      </c>
      <c r="U688" s="2">
        <f>U687+IF(N688="已下單",1,0)</f>
        <v/>
      </c>
      <c r="V688" s="19">
        <f>IF(資金模擬!$B$9=2,MAX(R688,0),MAX(V687,FLOOR(MAX(R688,0),資金模擬!$B$6)))</f>
        <v/>
      </c>
      <c r="W688" s="13">
        <f>MAX(W687,R688)</f>
        <v/>
      </c>
      <c r="X688" s="4">
        <f>IF(W688&gt;0,R688/W688-1,-1)</f>
        <v/>
      </c>
      <c r="Y688" s="19">
        <f>IF(R688&gt;0,S688*資金模擬!$B$7/R688,0)</f>
        <v/>
      </c>
      <c r="Z688" s="2">
        <f>IF(OR(Z687=1,R688&lt;=資金模擬!$B$10),1,0)</f>
        <v/>
      </c>
    </row>
    <row r="689">
      <c r="A689" s="2" t="n">
        <v>687</v>
      </c>
      <c r="B689" s="7" t="n">
        <v>46286.45833333334</v>
      </c>
      <c r="C689" s="2" t="inlineStr">
        <is>
          <t>進場</t>
        </is>
      </c>
      <c r="D689" s="2" t="n">
        <v>346</v>
      </c>
      <c r="E689" s="2" t="inlineStr">
        <is>
          <t>ARB_USDT_PERP</t>
        </is>
      </c>
      <c r="F689" s="2" t="inlineStr">
        <is>
          <t>做多</t>
        </is>
      </c>
      <c r="G689" s="20" t="n">
        <v>0.2174</v>
      </c>
      <c r="H689" s="20" t="n">
        <v>0.223922</v>
      </c>
      <c r="I689" s="20" t="n">
        <v>0.20653</v>
      </c>
      <c r="J689" s="20" t="n"/>
      <c r="K689" s="2" t="n"/>
      <c r="L689" s="5" t="n"/>
      <c r="M689" s="19">
        <f>資金模擬!$B$5*V688</f>
        <v/>
      </c>
      <c r="N689" s="2">
        <f>IF(Z688=1,"已停止",IF(T688&gt;=M689,"已下單","資金不足略過"))</f>
        <v/>
      </c>
      <c r="O689" s="19">
        <f>IF(N689="已下單",M689*資金模擬!$B$7,0)</f>
        <v/>
      </c>
      <c r="P689" s="4" t="n"/>
      <c r="Q689" s="13" t="n">
        <v>0</v>
      </c>
      <c r="R689" s="13">
        <f>R688+Q689</f>
        <v/>
      </c>
      <c r="S689" s="19">
        <f>S688+IF(N689="已下單",M689,0)</f>
        <v/>
      </c>
      <c r="T689" s="19">
        <f>R689-S689</f>
        <v/>
      </c>
      <c r="U689" s="2">
        <f>U688+IF(N689="已下單",1,0)</f>
        <v/>
      </c>
      <c r="V689" s="19">
        <f>IF(資金模擬!$B$9=2,MAX(R689,0),MAX(V688,FLOOR(MAX(R689,0),資金模擬!$B$6)))</f>
        <v/>
      </c>
      <c r="W689" s="13">
        <f>MAX(W688,R689)</f>
        <v/>
      </c>
      <c r="X689" s="4">
        <f>IF(W689&gt;0,R689/W689-1,-1)</f>
        <v/>
      </c>
      <c r="Y689" s="19">
        <f>IF(R689&gt;0,S689*資金模擬!$B$7/R689,0)</f>
        <v/>
      </c>
      <c r="Z689" s="2">
        <f>IF(OR(Z688=1,R689&lt;=資金模擬!$B$10),1,0)</f>
        <v/>
      </c>
    </row>
    <row r="690">
      <c r="A690" s="2" t="n">
        <v>688</v>
      </c>
      <c r="B690" s="7" t="n">
        <v>46286.5</v>
      </c>
      <c r="C690" s="2" t="inlineStr">
        <is>
          <t>出場</t>
        </is>
      </c>
      <c r="D690" s="2" t="n">
        <v>345</v>
      </c>
      <c r="E690" s="2" t="inlineStr">
        <is>
          <t>USELESS_USDT_PERP</t>
        </is>
      </c>
      <c r="F690" s="2" t="inlineStr">
        <is>
          <t>做空</t>
        </is>
      </c>
      <c r="G690" s="20" t="n">
        <v>0.2375</v>
      </c>
      <c r="H690" s="20" t="n">
        <v>0.230375</v>
      </c>
      <c r="I690" s="20" t="n">
        <v>0.249375</v>
      </c>
      <c r="J690" s="20" t="n">
        <v>0.249375</v>
      </c>
      <c r="K690" s="2" t="inlineStr">
        <is>
          <t>止損</t>
        </is>
      </c>
      <c r="L690" s="5">
        <f>交易明細!K346</f>
        <v/>
      </c>
      <c r="M690" s="19">
        <f>M688</f>
        <v/>
      </c>
      <c r="N690" s="2">
        <f>N688</f>
        <v/>
      </c>
      <c r="O690" s="19">
        <f>O688</f>
        <v/>
      </c>
      <c r="P690" s="4">
        <f>交易明細!L346</f>
        <v/>
      </c>
      <c r="Q690" s="13">
        <f>IF(N690="已下單",O690*P690,0)</f>
        <v/>
      </c>
      <c r="R690" s="13">
        <f>R689+Q690</f>
        <v/>
      </c>
      <c r="S690" s="19">
        <f>S689-IF(N690="已下單",M690,0)</f>
        <v/>
      </c>
      <c r="T690" s="19">
        <f>R690-S690</f>
        <v/>
      </c>
      <c r="U690" s="2">
        <f>U689-IF(N690="已下單",1,0)</f>
        <v/>
      </c>
      <c r="V690" s="19">
        <f>IF(資金模擬!$B$9=2,MAX(R690,0),MAX(V689,FLOOR(MAX(R690,0),資金模擬!$B$6)))</f>
        <v/>
      </c>
      <c r="W690" s="13">
        <f>MAX(W689,R690)</f>
        <v/>
      </c>
      <c r="X690" s="4">
        <f>IF(W690&gt;0,R690/W690-1,-1)</f>
        <v/>
      </c>
      <c r="Y690" s="19">
        <f>IF(R690&gt;0,S690*資金模擬!$B$7/R690,0)</f>
        <v/>
      </c>
      <c r="Z690" s="2">
        <f>IF(OR(Z689=1,R690&lt;=資金模擬!$B$10),1,0)</f>
        <v/>
      </c>
    </row>
    <row r="691">
      <c r="A691" s="2" t="n">
        <v>689</v>
      </c>
      <c r="B691" s="7" t="n">
        <v>46286.5</v>
      </c>
      <c r="C691" s="2" t="inlineStr">
        <is>
          <t>出場</t>
        </is>
      </c>
      <c r="D691" s="2" t="n">
        <v>346</v>
      </c>
      <c r="E691" s="2" t="inlineStr">
        <is>
          <t>ARB_USDT_PERP</t>
        </is>
      </c>
      <c r="F691" s="2" t="inlineStr">
        <is>
          <t>做多</t>
        </is>
      </c>
      <c r="G691" s="20" t="n">
        <v>0.2174</v>
      </c>
      <c r="H691" s="20" t="n">
        <v>0.223922</v>
      </c>
      <c r="I691" s="20" t="n">
        <v>0.20653</v>
      </c>
      <c r="J691" s="20" t="n">
        <v>0.223922</v>
      </c>
      <c r="K691" s="2" t="inlineStr">
        <is>
          <t>止盈</t>
        </is>
      </c>
      <c r="L691" s="5">
        <f>交易明細!K347</f>
        <v/>
      </c>
      <c r="M691" s="19">
        <f>M689</f>
        <v/>
      </c>
      <c r="N691" s="2">
        <f>N689</f>
        <v/>
      </c>
      <c r="O691" s="19">
        <f>O689</f>
        <v/>
      </c>
      <c r="P691" s="4">
        <f>交易明細!L347</f>
        <v/>
      </c>
      <c r="Q691" s="13">
        <f>IF(N691="已下單",O691*P691,0)</f>
        <v/>
      </c>
      <c r="R691" s="13">
        <f>R690+Q691</f>
        <v/>
      </c>
      <c r="S691" s="19">
        <f>S690-IF(N691="已下單",M691,0)</f>
        <v/>
      </c>
      <c r="T691" s="19">
        <f>R691-S691</f>
        <v/>
      </c>
      <c r="U691" s="2">
        <f>U690-IF(N691="已下單",1,0)</f>
        <v/>
      </c>
      <c r="V691" s="19">
        <f>IF(資金模擬!$B$9=2,MAX(R691,0),MAX(V690,FLOOR(MAX(R691,0),資金模擬!$B$6)))</f>
        <v/>
      </c>
      <c r="W691" s="13">
        <f>MAX(W690,R691)</f>
        <v/>
      </c>
      <c r="X691" s="4">
        <f>IF(W691&gt;0,R691/W691-1,-1)</f>
        <v/>
      </c>
      <c r="Y691" s="19">
        <f>IF(R691&gt;0,S691*資金模擬!$B$7/R691,0)</f>
        <v/>
      </c>
      <c r="Z691" s="2">
        <f>IF(OR(Z690=1,R691&lt;=資金模擬!$B$10),1,0)</f>
        <v/>
      </c>
    </row>
    <row r="692">
      <c r="A692" s="2" t="n">
        <v>690</v>
      </c>
      <c r="B692" s="7" t="n">
        <v>46286.5</v>
      </c>
      <c r="C692" s="2" t="inlineStr">
        <is>
          <t>進場</t>
        </is>
      </c>
      <c r="D692" s="2" t="n">
        <v>347</v>
      </c>
      <c r="E692" s="2" t="inlineStr">
        <is>
          <t>PUMP_USDT_PERP</t>
        </is>
      </c>
      <c r="F692" s="2" t="inlineStr">
        <is>
          <t>做多</t>
        </is>
      </c>
      <c r="G692" s="20" t="n">
        <v>0.004403</v>
      </c>
      <c r="H692" s="20" t="n">
        <v>0.00453509</v>
      </c>
      <c r="I692" s="20" t="n">
        <v>0.004182849999999999</v>
      </c>
      <c r="J692" s="20" t="n"/>
      <c r="K692" s="2" t="n"/>
      <c r="L692" s="5" t="n"/>
      <c r="M692" s="19">
        <f>資金模擬!$B$5*V691</f>
        <v/>
      </c>
      <c r="N692" s="2">
        <f>IF(Z691=1,"已停止",IF(T691&gt;=M692,"已下單","資金不足略過"))</f>
        <v/>
      </c>
      <c r="O692" s="19">
        <f>IF(N692="已下單",M692*資金模擬!$B$7,0)</f>
        <v/>
      </c>
      <c r="P692" s="4" t="n"/>
      <c r="Q692" s="13" t="n">
        <v>0</v>
      </c>
      <c r="R692" s="13">
        <f>R691+Q692</f>
        <v/>
      </c>
      <c r="S692" s="19">
        <f>S691+IF(N692="已下單",M692,0)</f>
        <v/>
      </c>
      <c r="T692" s="19">
        <f>R692-S692</f>
        <v/>
      </c>
      <c r="U692" s="2">
        <f>U691+IF(N692="已下單",1,0)</f>
        <v/>
      </c>
      <c r="V692" s="19">
        <f>IF(資金模擬!$B$9=2,MAX(R692,0),MAX(V691,FLOOR(MAX(R692,0),資金模擬!$B$6)))</f>
        <v/>
      </c>
      <c r="W692" s="13">
        <f>MAX(W691,R692)</f>
        <v/>
      </c>
      <c r="X692" s="4">
        <f>IF(W692&gt;0,R692/W692-1,-1)</f>
        <v/>
      </c>
      <c r="Y692" s="19">
        <f>IF(R692&gt;0,S692*資金模擬!$B$7/R692,0)</f>
        <v/>
      </c>
      <c r="Z692" s="2">
        <f>IF(OR(Z691=1,R692&lt;=資金模擬!$B$10),1,0)</f>
        <v/>
      </c>
    </row>
    <row r="693">
      <c r="A693" s="2" t="n">
        <v>691</v>
      </c>
      <c r="B693" s="7" t="n">
        <v>46286.54166666666</v>
      </c>
      <c r="C693" s="2" t="inlineStr">
        <is>
          <t>進場</t>
        </is>
      </c>
      <c r="D693" s="2" t="n">
        <v>348</v>
      </c>
      <c r="E693" s="2" t="inlineStr">
        <is>
          <t>AVAX_USDT_PERP</t>
        </is>
      </c>
      <c r="F693" s="2" t="inlineStr">
        <is>
          <t>做多</t>
        </is>
      </c>
      <c r="G693" s="20" t="n">
        <v>11.534</v>
      </c>
      <c r="H693" s="20" t="n">
        <v>11.88002</v>
      </c>
      <c r="I693" s="20" t="n">
        <v>10.9573</v>
      </c>
      <c r="J693" s="20" t="n"/>
      <c r="K693" s="2" t="n"/>
      <c r="L693" s="5" t="n"/>
      <c r="M693" s="19">
        <f>資金模擬!$B$5*V692</f>
        <v/>
      </c>
      <c r="N693" s="2">
        <f>IF(Z692=1,"已停止",IF(T692&gt;=M693,"已下單","資金不足略過"))</f>
        <v/>
      </c>
      <c r="O693" s="19">
        <f>IF(N693="已下單",M693*資金模擬!$B$7,0)</f>
        <v/>
      </c>
      <c r="P693" s="4" t="n"/>
      <c r="Q693" s="13" t="n">
        <v>0</v>
      </c>
      <c r="R693" s="13">
        <f>R692+Q693</f>
        <v/>
      </c>
      <c r="S693" s="19">
        <f>S692+IF(N693="已下單",M693,0)</f>
        <v/>
      </c>
      <c r="T693" s="19">
        <f>R693-S693</f>
        <v/>
      </c>
      <c r="U693" s="2">
        <f>U692+IF(N693="已下單",1,0)</f>
        <v/>
      </c>
      <c r="V693" s="19">
        <f>IF(資金模擬!$B$9=2,MAX(R693,0),MAX(V692,FLOOR(MAX(R693,0),資金模擬!$B$6)))</f>
        <v/>
      </c>
      <c r="W693" s="13">
        <f>MAX(W692,R693)</f>
        <v/>
      </c>
      <c r="X693" s="4">
        <f>IF(W693&gt;0,R693/W693-1,-1)</f>
        <v/>
      </c>
      <c r="Y693" s="19">
        <f>IF(R693&gt;0,S693*資金模擬!$B$7/R693,0)</f>
        <v/>
      </c>
      <c r="Z693" s="2">
        <f>IF(OR(Z692=1,R693&lt;=資金模擬!$B$10),1,0)</f>
        <v/>
      </c>
    </row>
    <row r="694">
      <c r="A694" s="2" t="n">
        <v>692</v>
      </c>
      <c r="B694" s="7" t="n">
        <v>46286.58333333334</v>
      </c>
      <c r="C694" s="2" t="inlineStr">
        <is>
          <t>進場</t>
        </is>
      </c>
      <c r="D694" s="2" t="n">
        <v>349</v>
      </c>
      <c r="E694" s="2" t="inlineStr">
        <is>
          <t>PONS_USDT_PERP</t>
        </is>
      </c>
      <c r="F694" s="2" t="inlineStr">
        <is>
          <t>做多</t>
        </is>
      </c>
      <c r="G694" s="20" t="n">
        <v>0.5992</v>
      </c>
      <c r="H694" s="20" t="n">
        <v>0.6171759999999999</v>
      </c>
      <c r="I694" s="20" t="n">
        <v>0.56924</v>
      </c>
      <c r="J694" s="20" t="n"/>
      <c r="K694" s="2" t="n"/>
      <c r="L694" s="5" t="n"/>
      <c r="M694" s="19">
        <f>資金模擬!$B$5*V693</f>
        <v/>
      </c>
      <c r="N694" s="2">
        <f>IF(Z693=1,"已停止",IF(T693&gt;=M694,"已下單","資金不足略過"))</f>
        <v/>
      </c>
      <c r="O694" s="19">
        <f>IF(N694="已下單",M694*資金模擬!$B$7,0)</f>
        <v/>
      </c>
      <c r="P694" s="4" t="n"/>
      <c r="Q694" s="13" t="n">
        <v>0</v>
      </c>
      <c r="R694" s="13">
        <f>R693+Q694</f>
        <v/>
      </c>
      <c r="S694" s="19">
        <f>S693+IF(N694="已下單",M694,0)</f>
        <v/>
      </c>
      <c r="T694" s="19">
        <f>R694-S694</f>
        <v/>
      </c>
      <c r="U694" s="2">
        <f>U693+IF(N694="已下單",1,0)</f>
        <v/>
      </c>
      <c r="V694" s="19">
        <f>IF(資金模擬!$B$9=2,MAX(R694,0),MAX(V693,FLOOR(MAX(R694,0),資金模擬!$B$6)))</f>
        <v/>
      </c>
      <c r="W694" s="13">
        <f>MAX(W693,R694)</f>
        <v/>
      </c>
      <c r="X694" s="4">
        <f>IF(W694&gt;0,R694/W694-1,-1)</f>
        <v/>
      </c>
      <c r="Y694" s="19">
        <f>IF(R694&gt;0,S694*資金模擬!$B$7/R694,0)</f>
        <v/>
      </c>
      <c r="Z694" s="2">
        <f>IF(OR(Z693=1,R694&lt;=資金模擬!$B$10),1,0)</f>
        <v/>
      </c>
    </row>
    <row r="695">
      <c r="A695" s="2" t="n">
        <v>693</v>
      </c>
      <c r="B695" s="7" t="n">
        <v>46286.58333333334</v>
      </c>
      <c r="C695" s="2" t="inlineStr">
        <is>
          <t>進場</t>
        </is>
      </c>
      <c r="D695" s="2" t="n">
        <v>350</v>
      </c>
      <c r="E695" s="2" t="inlineStr">
        <is>
          <t>USELESS_USDT_PERP</t>
        </is>
      </c>
      <c r="F695" s="2" t="inlineStr">
        <is>
          <t>做空</t>
        </is>
      </c>
      <c r="G695" s="20" t="n">
        <v>0.24482</v>
      </c>
      <c r="H695" s="20" t="n">
        <v>0.2374754</v>
      </c>
      <c r="I695" s="20" t="n">
        <v>0.257061</v>
      </c>
      <c r="J695" s="20" t="n"/>
      <c r="K695" s="2" t="n"/>
      <c r="L695" s="5" t="n"/>
      <c r="M695" s="19">
        <f>資金模擬!$B$5*V694</f>
        <v/>
      </c>
      <c r="N695" s="2">
        <f>IF(Z694=1,"已停止",IF(T694&gt;=M695,"已下單","資金不足略過"))</f>
        <v/>
      </c>
      <c r="O695" s="19">
        <f>IF(N695="已下單",M695*資金模擬!$B$7,0)</f>
        <v/>
      </c>
      <c r="P695" s="4" t="n"/>
      <c r="Q695" s="13" t="n">
        <v>0</v>
      </c>
      <c r="R695" s="13">
        <f>R694+Q695</f>
        <v/>
      </c>
      <c r="S695" s="19">
        <f>S694+IF(N695="已下單",M695,0)</f>
        <v/>
      </c>
      <c r="T695" s="19">
        <f>R695-S695</f>
        <v/>
      </c>
      <c r="U695" s="2">
        <f>U694+IF(N695="已下單",1,0)</f>
        <v/>
      </c>
      <c r="V695" s="19">
        <f>IF(資金模擬!$B$9=2,MAX(R695,0),MAX(V694,FLOOR(MAX(R695,0),資金模擬!$B$6)))</f>
        <v/>
      </c>
      <c r="W695" s="13">
        <f>MAX(W694,R695)</f>
        <v/>
      </c>
      <c r="X695" s="4">
        <f>IF(W695&gt;0,R695/W695-1,-1)</f>
        <v/>
      </c>
      <c r="Y695" s="19">
        <f>IF(R695&gt;0,S695*資金模擬!$B$7/R695,0)</f>
        <v/>
      </c>
      <c r="Z695" s="2">
        <f>IF(OR(Z694=1,R695&lt;=資金模擬!$B$10),1,0)</f>
        <v/>
      </c>
    </row>
    <row r="696">
      <c r="A696" s="2" t="n">
        <v>694</v>
      </c>
      <c r="B696" s="7" t="n">
        <v>46286.625</v>
      </c>
      <c r="C696" s="2" t="inlineStr">
        <is>
          <t>進場</t>
        </is>
      </c>
      <c r="D696" s="2" t="n">
        <v>351</v>
      </c>
      <c r="E696" s="2" t="inlineStr">
        <is>
          <t>LIT_USDT_PERP</t>
        </is>
      </c>
      <c r="F696" s="2" t="inlineStr">
        <is>
          <t>做多</t>
        </is>
      </c>
      <c r="G696" s="20" t="n">
        <v>5.064</v>
      </c>
      <c r="H696" s="20" t="n">
        <v>5.215920000000001</v>
      </c>
      <c r="I696" s="20" t="n">
        <v>4.8108</v>
      </c>
      <c r="J696" s="20" t="n"/>
      <c r="K696" s="2" t="n"/>
      <c r="L696" s="5" t="n"/>
      <c r="M696" s="19">
        <f>資金模擬!$B$5*V695</f>
        <v/>
      </c>
      <c r="N696" s="2">
        <f>IF(Z695=1,"已停止",IF(T695&gt;=M696,"已下單","資金不足略過"))</f>
        <v/>
      </c>
      <c r="O696" s="19">
        <f>IF(N696="已下單",M696*資金模擬!$B$7,0)</f>
        <v/>
      </c>
      <c r="P696" s="4" t="n"/>
      <c r="Q696" s="13" t="n">
        <v>0</v>
      </c>
      <c r="R696" s="13">
        <f>R695+Q696</f>
        <v/>
      </c>
      <c r="S696" s="19">
        <f>S695+IF(N696="已下單",M696,0)</f>
        <v/>
      </c>
      <c r="T696" s="19">
        <f>R696-S696</f>
        <v/>
      </c>
      <c r="U696" s="2">
        <f>U695+IF(N696="已下單",1,0)</f>
        <v/>
      </c>
      <c r="V696" s="19">
        <f>IF(資金模擬!$B$9=2,MAX(R696,0),MAX(V695,FLOOR(MAX(R696,0),資金模擬!$B$6)))</f>
        <v/>
      </c>
      <c r="W696" s="13">
        <f>MAX(W695,R696)</f>
        <v/>
      </c>
      <c r="X696" s="4">
        <f>IF(W696&gt;0,R696/W696-1,-1)</f>
        <v/>
      </c>
      <c r="Y696" s="19">
        <f>IF(R696&gt;0,S696*資金模擬!$B$7/R696,0)</f>
        <v/>
      </c>
      <c r="Z696" s="2">
        <f>IF(OR(Z695=1,R696&lt;=資金模擬!$B$10),1,0)</f>
        <v/>
      </c>
    </row>
    <row r="697">
      <c r="A697" s="2" t="n">
        <v>695</v>
      </c>
      <c r="B697" s="7" t="n">
        <v>46286.66666666666</v>
      </c>
      <c r="C697" s="2" t="inlineStr">
        <is>
          <t>出場</t>
        </is>
      </c>
      <c r="D697" s="2" t="n">
        <v>348</v>
      </c>
      <c r="E697" s="2" t="inlineStr">
        <is>
          <t>AVAX_USDT_PERP</t>
        </is>
      </c>
      <c r="F697" s="2" t="inlineStr">
        <is>
          <t>做多</t>
        </is>
      </c>
      <c r="G697" s="20" t="n">
        <v>11.534</v>
      </c>
      <c r="H697" s="20" t="n">
        <v>11.88002</v>
      </c>
      <c r="I697" s="20" t="n">
        <v>10.9573</v>
      </c>
      <c r="J697" s="20" t="n">
        <v>10.9573</v>
      </c>
      <c r="K697" s="2" t="inlineStr">
        <is>
          <t>止損</t>
        </is>
      </c>
      <c r="L697" s="5">
        <f>交易明細!K349</f>
        <v/>
      </c>
      <c r="M697" s="19">
        <f>M693</f>
        <v/>
      </c>
      <c r="N697" s="2">
        <f>N693</f>
        <v/>
      </c>
      <c r="O697" s="19">
        <f>O693</f>
        <v/>
      </c>
      <c r="P697" s="4">
        <f>交易明細!L349</f>
        <v/>
      </c>
      <c r="Q697" s="13">
        <f>IF(N697="已下單",O697*P697,0)</f>
        <v/>
      </c>
      <c r="R697" s="13">
        <f>R696+Q697</f>
        <v/>
      </c>
      <c r="S697" s="19">
        <f>S696-IF(N697="已下單",M697,0)</f>
        <v/>
      </c>
      <c r="T697" s="19">
        <f>R697-S697</f>
        <v/>
      </c>
      <c r="U697" s="2">
        <f>U696-IF(N697="已下單",1,0)</f>
        <v/>
      </c>
      <c r="V697" s="19">
        <f>IF(資金模擬!$B$9=2,MAX(R697,0),MAX(V696,FLOOR(MAX(R697,0),資金模擬!$B$6)))</f>
        <v/>
      </c>
      <c r="W697" s="13">
        <f>MAX(W696,R697)</f>
        <v/>
      </c>
      <c r="X697" s="4">
        <f>IF(W697&gt;0,R697/W697-1,-1)</f>
        <v/>
      </c>
      <c r="Y697" s="19">
        <f>IF(R697&gt;0,S697*資金模擬!$B$7/R697,0)</f>
        <v/>
      </c>
      <c r="Z697" s="2">
        <f>IF(OR(Z696=1,R697&lt;=資金模擬!$B$10),1,0)</f>
        <v/>
      </c>
    </row>
    <row r="698">
      <c r="A698" s="2" t="n">
        <v>696</v>
      </c>
      <c r="B698" s="7" t="n">
        <v>46286.70833333334</v>
      </c>
      <c r="C698" s="2" t="inlineStr">
        <is>
          <t>出場</t>
        </is>
      </c>
      <c r="D698" s="2" t="n">
        <v>315</v>
      </c>
      <c r="E698" s="2" t="inlineStr">
        <is>
          <t>PEPE_USDT_PERP</t>
        </is>
      </c>
      <c r="F698" s="2" t="inlineStr">
        <is>
          <t>做空</t>
        </is>
      </c>
      <c r="G698" s="20" t="n">
        <v>3.935e-06</v>
      </c>
      <c r="H698" s="20" t="n">
        <v>3.816949999999999e-06</v>
      </c>
      <c r="I698" s="20" t="n">
        <v>4.13175e-06</v>
      </c>
      <c r="J698" s="20" t="n">
        <v>4.13175e-06</v>
      </c>
      <c r="K698" s="2" t="inlineStr">
        <is>
          <t>止損</t>
        </is>
      </c>
      <c r="L698" s="5">
        <f>交易明細!K316</f>
        <v/>
      </c>
      <c r="M698" s="19">
        <f>M629</f>
        <v/>
      </c>
      <c r="N698" s="2">
        <f>N629</f>
        <v/>
      </c>
      <c r="O698" s="19">
        <f>O629</f>
        <v/>
      </c>
      <c r="P698" s="4">
        <f>交易明細!L316</f>
        <v/>
      </c>
      <c r="Q698" s="13">
        <f>IF(N698="已下單",O698*P698,0)</f>
        <v/>
      </c>
      <c r="R698" s="13">
        <f>R697+Q698</f>
        <v/>
      </c>
      <c r="S698" s="19">
        <f>S697-IF(N698="已下單",M698,0)</f>
        <v/>
      </c>
      <c r="T698" s="19">
        <f>R698-S698</f>
        <v/>
      </c>
      <c r="U698" s="2">
        <f>U697-IF(N698="已下單",1,0)</f>
        <v/>
      </c>
      <c r="V698" s="19">
        <f>IF(資金模擬!$B$9=2,MAX(R698,0),MAX(V697,FLOOR(MAX(R698,0),資金模擬!$B$6)))</f>
        <v/>
      </c>
      <c r="W698" s="13">
        <f>MAX(W697,R698)</f>
        <v/>
      </c>
      <c r="X698" s="4">
        <f>IF(W698&gt;0,R698/W698-1,-1)</f>
        <v/>
      </c>
      <c r="Y698" s="19">
        <f>IF(R698&gt;0,S698*資金模擬!$B$7/R698,0)</f>
        <v/>
      </c>
      <c r="Z698" s="2">
        <f>IF(OR(Z697=1,R698&lt;=資金模擬!$B$10),1,0)</f>
        <v/>
      </c>
    </row>
    <row r="699">
      <c r="A699" s="2" t="n">
        <v>697</v>
      </c>
      <c r="B699" s="7" t="n">
        <v>46286.70833333334</v>
      </c>
      <c r="C699" s="2" t="inlineStr">
        <is>
          <t>出場</t>
        </is>
      </c>
      <c r="D699" s="2" t="n">
        <v>343</v>
      </c>
      <c r="E699" s="2" t="inlineStr">
        <is>
          <t>ENA_USDT_PERP</t>
        </is>
      </c>
      <c r="F699" s="2" t="inlineStr">
        <is>
          <t>做空</t>
        </is>
      </c>
      <c r="G699" s="20" t="n">
        <v>0.21</v>
      </c>
      <c r="H699" s="20" t="n">
        <v>0.2037</v>
      </c>
      <c r="I699" s="20" t="n">
        <v>0.2205</v>
      </c>
      <c r="J699" s="20" t="n">
        <v>0.2205</v>
      </c>
      <c r="K699" s="2" t="inlineStr">
        <is>
          <t>止損</t>
        </is>
      </c>
      <c r="L699" s="5">
        <f>交易明細!K344</f>
        <v/>
      </c>
      <c r="M699" s="19">
        <f>M686</f>
        <v/>
      </c>
      <c r="N699" s="2">
        <f>N686</f>
        <v/>
      </c>
      <c r="O699" s="19">
        <f>O686</f>
        <v/>
      </c>
      <c r="P699" s="4">
        <f>交易明細!L344</f>
        <v/>
      </c>
      <c r="Q699" s="13">
        <f>IF(N699="已下單",O699*P699,0)</f>
        <v/>
      </c>
      <c r="R699" s="13">
        <f>R698+Q699</f>
        <v/>
      </c>
      <c r="S699" s="19">
        <f>S698-IF(N699="已下單",M699,0)</f>
        <v/>
      </c>
      <c r="T699" s="19">
        <f>R699-S699</f>
        <v/>
      </c>
      <c r="U699" s="2">
        <f>U698-IF(N699="已下單",1,0)</f>
        <v/>
      </c>
      <c r="V699" s="19">
        <f>IF(資金模擬!$B$9=2,MAX(R699,0),MAX(V698,FLOOR(MAX(R699,0),資金模擬!$B$6)))</f>
        <v/>
      </c>
      <c r="W699" s="13">
        <f>MAX(W698,R699)</f>
        <v/>
      </c>
      <c r="X699" s="4">
        <f>IF(W699&gt;0,R699/W699-1,-1)</f>
        <v/>
      </c>
      <c r="Y699" s="19">
        <f>IF(R699&gt;0,S699*資金模擬!$B$7/R699,0)</f>
        <v/>
      </c>
      <c r="Z699" s="2">
        <f>IF(OR(Z698=1,R699&lt;=資金模擬!$B$10),1,0)</f>
        <v/>
      </c>
    </row>
    <row r="700">
      <c r="A700" s="2" t="n">
        <v>698</v>
      </c>
      <c r="B700" s="7" t="n">
        <v>46286.70833333334</v>
      </c>
      <c r="C700" s="2" t="inlineStr">
        <is>
          <t>出場</t>
        </is>
      </c>
      <c r="D700" s="2" t="n">
        <v>349</v>
      </c>
      <c r="E700" s="2" t="inlineStr">
        <is>
          <t>PONS_USDT_PERP</t>
        </is>
      </c>
      <c r="F700" s="2" t="inlineStr">
        <is>
          <t>做多</t>
        </is>
      </c>
      <c r="G700" s="20" t="n">
        <v>0.5992</v>
      </c>
      <c r="H700" s="20" t="n">
        <v>0.6171759999999999</v>
      </c>
      <c r="I700" s="20" t="n">
        <v>0.56924</v>
      </c>
      <c r="J700" s="20" t="n">
        <v>0.6171759999999999</v>
      </c>
      <c r="K700" s="2" t="inlineStr">
        <is>
          <t>止盈</t>
        </is>
      </c>
      <c r="L700" s="5">
        <f>交易明細!K350</f>
        <v/>
      </c>
      <c r="M700" s="19">
        <f>M694</f>
        <v/>
      </c>
      <c r="N700" s="2">
        <f>N694</f>
        <v/>
      </c>
      <c r="O700" s="19">
        <f>O694</f>
        <v/>
      </c>
      <c r="P700" s="4">
        <f>交易明細!L350</f>
        <v/>
      </c>
      <c r="Q700" s="13">
        <f>IF(N700="已下單",O700*P700,0)</f>
        <v/>
      </c>
      <c r="R700" s="13">
        <f>R699+Q700</f>
        <v/>
      </c>
      <c r="S700" s="19">
        <f>S699-IF(N700="已下單",M700,0)</f>
        <v/>
      </c>
      <c r="T700" s="19">
        <f>R700-S700</f>
        <v/>
      </c>
      <c r="U700" s="2">
        <f>U699-IF(N700="已下單",1,0)</f>
        <v/>
      </c>
      <c r="V700" s="19">
        <f>IF(資金模擬!$B$9=2,MAX(R700,0),MAX(V699,FLOOR(MAX(R700,0),資金模擬!$B$6)))</f>
        <v/>
      </c>
      <c r="W700" s="13">
        <f>MAX(W699,R700)</f>
        <v/>
      </c>
      <c r="X700" s="4">
        <f>IF(W700&gt;0,R700/W700-1,-1)</f>
        <v/>
      </c>
      <c r="Y700" s="19">
        <f>IF(R700&gt;0,S700*資金模擬!$B$7/R700,0)</f>
        <v/>
      </c>
      <c r="Z700" s="2">
        <f>IF(OR(Z699=1,R700&lt;=資金模擬!$B$10),1,0)</f>
        <v/>
      </c>
    </row>
    <row r="701">
      <c r="A701" s="2" t="n">
        <v>699</v>
      </c>
      <c r="B701" s="7" t="n">
        <v>46286.70833333334</v>
      </c>
      <c r="C701" s="2" t="inlineStr">
        <is>
          <t>出場</t>
        </is>
      </c>
      <c r="D701" s="2" t="n">
        <v>350</v>
      </c>
      <c r="E701" s="2" t="inlineStr">
        <is>
          <t>USELESS_USDT_PERP</t>
        </is>
      </c>
      <c r="F701" s="2" t="inlineStr">
        <is>
          <t>做空</t>
        </is>
      </c>
      <c r="G701" s="20" t="n">
        <v>0.24482</v>
      </c>
      <c r="H701" s="20" t="n">
        <v>0.2374754</v>
      </c>
      <c r="I701" s="20" t="n">
        <v>0.257061</v>
      </c>
      <c r="J701" s="20" t="n">
        <v>0.257061</v>
      </c>
      <c r="K701" s="2" t="inlineStr">
        <is>
          <t>止損</t>
        </is>
      </c>
      <c r="L701" s="5">
        <f>交易明細!K351</f>
        <v/>
      </c>
      <c r="M701" s="19">
        <f>M695</f>
        <v/>
      </c>
      <c r="N701" s="2">
        <f>N695</f>
        <v/>
      </c>
      <c r="O701" s="19">
        <f>O695</f>
        <v/>
      </c>
      <c r="P701" s="4">
        <f>交易明細!L351</f>
        <v/>
      </c>
      <c r="Q701" s="13">
        <f>IF(N701="已下單",O701*P701,0)</f>
        <v/>
      </c>
      <c r="R701" s="13">
        <f>R700+Q701</f>
        <v/>
      </c>
      <c r="S701" s="19">
        <f>S700-IF(N701="已下單",M701,0)</f>
        <v/>
      </c>
      <c r="T701" s="19">
        <f>R701-S701</f>
        <v/>
      </c>
      <c r="U701" s="2">
        <f>U700-IF(N701="已下單",1,0)</f>
        <v/>
      </c>
      <c r="V701" s="19">
        <f>IF(資金模擬!$B$9=2,MAX(R701,0),MAX(V700,FLOOR(MAX(R701,0),資金模擬!$B$6)))</f>
        <v/>
      </c>
      <c r="W701" s="13">
        <f>MAX(W700,R701)</f>
        <v/>
      </c>
      <c r="X701" s="4">
        <f>IF(W701&gt;0,R701/W701-1,-1)</f>
        <v/>
      </c>
      <c r="Y701" s="19">
        <f>IF(R701&gt;0,S701*資金模擬!$B$7/R701,0)</f>
        <v/>
      </c>
      <c r="Z701" s="2">
        <f>IF(OR(Z700=1,R701&lt;=資金模擬!$B$10),1,0)</f>
        <v/>
      </c>
    </row>
    <row r="702">
      <c r="A702" s="2" t="n">
        <v>700</v>
      </c>
      <c r="B702" s="7" t="n">
        <v>46286.70833333334</v>
      </c>
      <c r="C702" s="2" t="inlineStr">
        <is>
          <t>進場</t>
        </is>
      </c>
      <c r="D702" s="2" t="n">
        <v>352</v>
      </c>
      <c r="E702" s="2" t="inlineStr">
        <is>
          <t>ONDO_USDT_PERP</t>
        </is>
      </c>
      <c r="F702" s="2" t="inlineStr">
        <is>
          <t>做多</t>
        </is>
      </c>
      <c r="G702" s="20" t="n">
        <v>0.4409</v>
      </c>
      <c r="H702" s="20" t="n">
        <v>0.454127</v>
      </c>
      <c r="I702" s="20" t="n">
        <v>0.418855</v>
      </c>
      <c r="J702" s="20" t="n"/>
      <c r="K702" s="2" t="n"/>
      <c r="L702" s="5" t="n"/>
      <c r="M702" s="19">
        <f>資金模擬!$B$5*V701</f>
        <v/>
      </c>
      <c r="N702" s="2">
        <f>IF(Z701=1,"已停止",IF(T701&gt;=M702,"已下單","資金不足略過"))</f>
        <v/>
      </c>
      <c r="O702" s="19">
        <f>IF(N702="已下單",M702*資金模擬!$B$7,0)</f>
        <v/>
      </c>
      <c r="P702" s="4" t="n"/>
      <c r="Q702" s="13" t="n">
        <v>0</v>
      </c>
      <c r="R702" s="13">
        <f>R701+Q702</f>
        <v/>
      </c>
      <c r="S702" s="19">
        <f>S701+IF(N702="已下單",M702,0)</f>
        <v/>
      </c>
      <c r="T702" s="19">
        <f>R702-S702</f>
        <v/>
      </c>
      <c r="U702" s="2">
        <f>U701+IF(N702="已下單",1,0)</f>
        <v/>
      </c>
      <c r="V702" s="19">
        <f>IF(資金模擬!$B$9=2,MAX(R702,0),MAX(V701,FLOOR(MAX(R702,0),資金模擬!$B$6)))</f>
        <v/>
      </c>
      <c r="W702" s="13">
        <f>MAX(W701,R702)</f>
        <v/>
      </c>
      <c r="X702" s="4">
        <f>IF(W702&gt;0,R702/W702-1,-1)</f>
        <v/>
      </c>
      <c r="Y702" s="19">
        <f>IF(R702&gt;0,S702*資金模擬!$B$7/R702,0)</f>
        <v/>
      </c>
      <c r="Z702" s="2">
        <f>IF(OR(Z701=1,R702&lt;=資金模擬!$B$10),1,0)</f>
        <v/>
      </c>
    </row>
    <row r="703">
      <c r="A703" s="2" t="n">
        <v>701</v>
      </c>
      <c r="B703" s="7" t="n">
        <v>46286.75</v>
      </c>
      <c r="C703" s="2" t="inlineStr">
        <is>
          <t>出場</t>
        </is>
      </c>
      <c r="D703" s="2" t="n">
        <v>344</v>
      </c>
      <c r="E703" s="2" t="inlineStr">
        <is>
          <t>UNI_USDT_PERP</t>
        </is>
      </c>
      <c r="F703" s="2" t="inlineStr">
        <is>
          <t>做空</t>
        </is>
      </c>
      <c r="G703" s="20" t="n">
        <v>8.573</v>
      </c>
      <c r="H703" s="20" t="n">
        <v>8.315810000000001</v>
      </c>
      <c r="I703" s="20" t="n">
        <v>9.001650000000001</v>
      </c>
      <c r="J703" s="20" t="n">
        <v>9.001650000000001</v>
      </c>
      <c r="K703" s="2" t="inlineStr">
        <is>
          <t>止損</t>
        </is>
      </c>
      <c r="L703" s="5">
        <f>交易明細!K345</f>
        <v/>
      </c>
      <c r="M703" s="19">
        <f>M687</f>
        <v/>
      </c>
      <c r="N703" s="2">
        <f>N687</f>
        <v/>
      </c>
      <c r="O703" s="19">
        <f>O687</f>
        <v/>
      </c>
      <c r="P703" s="4">
        <f>交易明細!L345</f>
        <v/>
      </c>
      <c r="Q703" s="13">
        <f>IF(N703="已下單",O703*P703,0)</f>
        <v/>
      </c>
      <c r="R703" s="13">
        <f>R702+Q703</f>
        <v/>
      </c>
      <c r="S703" s="19">
        <f>S702-IF(N703="已下單",M703,0)</f>
        <v/>
      </c>
      <c r="T703" s="19">
        <f>R703-S703</f>
        <v/>
      </c>
      <c r="U703" s="2">
        <f>U702-IF(N703="已下單",1,0)</f>
        <v/>
      </c>
      <c r="V703" s="19">
        <f>IF(資金模擬!$B$9=2,MAX(R703,0),MAX(V702,FLOOR(MAX(R703,0),資金模擬!$B$6)))</f>
        <v/>
      </c>
      <c r="W703" s="13">
        <f>MAX(W702,R703)</f>
        <v/>
      </c>
      <c r="X703" s="4">
        <f>IF(W703&gt;0,R703/W703-1,-1)</f>
        <v/>
      </c>
      <c r="Y703" s="19">
        <f>IF(R703&gt;0,S703*資金模擬!$B$7/R703,0)</f>
        <v/>
      </c>
      <c r="Z703" s="2">
        <f>IF(OR(Z702=1,R703&lt;=資金模擬!$B$10),1,0)</f>
        <v/>
      </c>
    </row>
    <row r="704">
      <c r="A704" s="2" t="n">
        <v>702</v>
      </c>
      <c r="B704" s="7" t="n">
        <v>46286.79166666666</v>
      </c>
      <c r="C704" s="2" t="inlineStr">
        <is>
          <t>出場</t>
        </is>
      </c>
      <c r="D704" s="2" t="n">
        <v>352</v>
      </c>
      <c r="E704" s="2" t="inlineStr">
        <is>
          <t>ONDO_USDT_PERP</t>
        </is>
      </c>
      <c r="F704" s="2" t="inlineStr">
        <is>
          <t>做多</t>
        </is>
      </c>
      <c r="G704" s="20" t="n">
        <v>0.4409</v>
      </c>
      <c r="H704" s="20" t="n">
        <v>0.454127</v>
      </c>
      <c r="I704" s="20" t="n">
        <v>0.418855</v>
      </c>
      <c r="J704" s="20" t="n">
        <v>0.454127</v>
      </c>
      <c r="K704" s="2" t="inlineStr">
        <is>
          <t>止盈</t>
        </is>
      </c>
      <c r="L704" s="5">
        <f>交易明細!K353</f>
        <v/>
      </c>
      <c r="M704" s="19">
        <f>M702</f>
        <v/>
      </c>
      <c r="N704" s="2">
        <f>N702</f>
        <v/>
      </c>
      <c r="O704" s="19">
        <f>O702</f>
        <v/>
      </c>
      <c r="P704" s="4">
        <f>交易明細!L353</f>
        <v/>
      </c>
      <c r="Q704" s="13">
        <f>IF(N704="已下單",O704*P704,0)</f>
        <v/>
      </c>
      <c r="R704" s="13">
        <f>R703+Q704</f>
        <v/>
      </c>
      <c r="S704" s="19">
        <f>S703-IF(N704="已下單",M704,0)</f>
        <v/>
      </c>
      <c r="T704" s="19">
        <f>R704-S704</f>
        <v/>
      </c>
      <c r="U704" s="2">
        <f>U703-IF(N704="已下單",1,0)</f>
        <v/>
      </c>
      <c r="V704" s="19">
        <f>IF(資金模擬!$B$9=2,MAX(R704,0),MAX(V703,FLOOR(MAX(R704,0),資金模擬!$B$6)))</f>
        <v/>
      </c>
      <c r="W704" s="13">
        <f>MAX(W703,R704)</f>
        <v/>
      </c>
      <c r="X704" s="4">
        <f>IF(W704&gt;0,R704/W704-1,-1)</f>
        <v/>
      </c>
      <c r="Y704" s="19">
        <f>IF(R704&gt;0,S704*資金模擬!$B$7/R704,0)</f>
        <v/>
      </c>
      <c r="Z704" s="2">
        <f>IF(OR(Z703=1,R704&lt;=資金模擬!$B$10),1,0)</f>
        <v/>
      </c>
    </row>
    <row r="705">
      <c r="A705" s="2" t="n">
        <v>703</v>
      </c>
      <c r="B705" s="7" t="n">
        <v>46286.79166666666</v>
      </c>
      <c r="C705" s="2" t="inlineStr">
        <is>
          <t>進場</t>
        </is>
      </c>
      <c r="D705" s="2" t="n">
        <v>353</v>
      </c>
      <c r="E705" s="2" t="inlineStr">
        <is>
          <t>ENA_USDT_PERP</t>
        </is>
      </c>
      <c r="F705" s="2" t="inlineStr">
        <is>
          <t>做多</t>
        </is>
      </c>
      <c r="G705" s="20" t="n">
        <v>0.227</v>
      </c>
      <c r="H705" s="20" t="n">
        <v>0.23381</v>
      </c>
      <c r="I705" s="20" t="n">
        <v>0.21565</v>
      </c>
      <c r="J705" s="20" t="n"/>
      <c r="K705" s="2" t="n"/>
      <c r="L705" s="5" t="n"/>
      <c r="M705" s="19">
        <f>資金模擬!$B$5*V704</f>
        <v/>
      </c>
      <c r="N705" s="2">
        <f>IF(Z704=1,"已停止",IF(T704&gt;=M705,"已下單","資金不足略過"))</f>
        <v/>
      </c>
      <c r="O705" s="19">
        <f>IF(N705="已下單",M705*資金模擬!$B$7,0)</f>
        <v/>
      </c>
      <c r="P705" s="4" t="n"/>
      <c r="Q705" s="13" t="n">
        <v>0</v>
      </c>
      <c r="R705" s="13">
        <f>R704+Q705</f>
        <v/>
      </c>
      <c r="S705" s="19">
        <f>S704+IF(N705="已下單",M705,0)</f>
        <v/>
      </c>
      <c r="T705" s="19">
        <f>R705-S705</f>
        <v/>
      </c>
      <c r="U705" s="2">
        <f>U704+IF(N705="已下單",1,0)</f>
        <v/>
      </c>
      <c r="V705" s="19">
        <f>IF(資金模擬!$B$9=2,MAX(R705,0),MAX(V704,FLOOR(MAX(R705,0),資金模擬!$B$6)))</f>
        <v/>
      </c>
      <c r="W705" s="13">
        <f>MAX(W704,R705)</f>
        <v/>
      </c>
      <c r="X705" s="4">
        <f>IF(W705&gt;0,R705/W705-1,-1)</f>
        <v/>
      </c>
      <c r="Y705" s="19">
        <f>IF(R705&gt;0,S705*資金模擬!$B$7/R705,0)</f>
        <v/>
      </c>
      <c r="Z705" s="2">
        <f>IF(OR(Z704=1,R705&lt;=資金模擬!$B$10),1,0)</f>
        <v/>
      </c>
    </row>
    <row r="706">
      <c r="A706" s="2" t="n">
        <v>704</v>
      </c>
      <c r="B706" s="7" t="n">
        <v>46286.79166666666</v>
      </c>
      <c r="C706" s="2" t="inlineStr">
        <is>
          <t>進場</t>
        </is>
      </c>
      <c r="D706" s="2" t="n">
        <v>354</v>
      </c>
      <c r="E706" s="2" t="inlineStr">
        <is>
          <t>PONS_USDT_PERP</t>
        </is>
      </c>
      <c r="F706" s="2" t="inlineStr">
        <is>
          <t>做多</t>
        </is>
      </c>
      <c r="G706" s="20" t="n">
        <v>0.6218</v>
      </c>
      <c r="H706" s="20" t="n">
        <v>0.6404540000000001</v>
      </c>
      <c r="I706" s="20" t="n">
        <v>0.59071</v>
      </c>
      <c r="J706" s="20" t="n"/>
      <c r="K706" s="2" t="n"/>
      <c r="L706" s="5" t="n"/>
      <c r="M706" s="19">
        <f>資金模擬!$B$5*V705</f>
        <v/>
      </c>
      <c r="N706" s="2">
        <f>IF(Z705=1,"已停止",IF(T705&gt;=M706,"已下單","資金不足略過"))</f>
        <v/>
      </c>
      <c r="O706" s="19">
        <f>IF(N706="已下單",M706*資金模擬!$B$7,0)</f>
        <v/>
      </c>
      <c r="P706" s="4" t="n"/>
      <c r="Q706" s="13" t="n">
        <v>0</v>
      </c>
      <c r="R706" s="13">
        <f>R705+Q706</f>
        <v/>
      </c>
      <c r="S706" s="19">
        <f>S705+IF(N706="已下單",M706,0)</f>
        <v/>
      </c>
      <c r="T706" s="19">
        <f>R706-S706</f>
        <v/>
      </c>
      <c r="U706" s="2">
        <f>U705+IF(N706="已下單",1,0)</f>
        <v/>
      </c>
      <c r="V706" s="19">
        <f>IF(資金模擬!$B$9=2,MAX(R706,0),MAX(V705,FLOOR(MAX(R706,0),資金模擬!$B$6)))</f>
        <v/>
      </c>
      <c r="W706" s="13">
        <f>MAX(W705,R706)</f>
        <v/>
      </c>
      <c r="X706" s="4">
        <f>IF(W706&gt;0,R706/W706-1,-1)</f>
        <v/>
      </c>
      <c r="Y706" s="19">
        <f>IF(R706&gt;0,S706*資金模擬!$B$7/R706,0)</f>
        <v/>
      </c>
      <c r="Z706" s="2">
        <f>IF(OR(Z705=1,R706&lt;=資金模擬!$B$10),1,0)</f>
        <v/>
      </c>
    </row>
    <row r="707">
      <c r="A707" s="2" t="n">
        <v>705</v>
      </c>
      <c r="B707" s="7" t="n">
        <v>46286.79166666666</v>
      </c>
      <c r="C707" s="2" t="inlineStr">
        <is>
          <t>進場</t>
        </is>
      </c>
      <c r="D707" s="2" t="n">
        <v>355</v>
      </c>
      <c r="E707" s="2" t="inlineStr">
        <is>
          <t>XMR_USDT_PERP</t>
        </is>
      </c>
      <c r="F707" s="2" t="inlineStr">
        <is>
          <t>做多</t>
        </is>
      </c>
      <c r="G707" s="20" t="n">
        <v>580.71</v>
      </c>
      <c r="H707" s="20" t="n">
        <v>598.1313</v>
      </c>
      <c r="I707" s="20" t="n">
        <v>551.6745</v>
      </c>
      <c r="J707" s="20" t="n"/>
      <c r="K707" s="2" t="n"/>
      <c r="L707" s="5" t="n"/>
      <c r="M707" s="19">
        <f>資金模擬!$B$5*V706</f>
        <v/>
      </c>
      <c r="N707" s="2">
        <f>IF(Z706=1,"已停止",IF(T706&gt;=M707,"已下單","資金不足略過"))</f>
        <v/>
      </c>
      <c r="O707" s="19">
        <f>IF(N707="已下單",M707*資金模擬!$B$7,0)</f>
        <v/>
      </c>
      <c r="P707" s="4" t="n"/>
      <c r="Q707" s="13" t="n">
        <v>0</v>
      </c>
      <c r="R707" s="13">
        <f>R706+Q707</f>
        <v/>
      </c>
      <c r="S707" s="19">
        <f>S706+IF(N707="已下單",M707,0)</f>
        <v/>
      </c>
      <c r="T707" s="19">
        <f>R707-S707</f>
        <v/>
      </c>
      <c r="U707" s="2">
        <f>U706+IF(N707="已下單",1,0)</f>
        <v/>
      </c>
      <c r="V707" s="19">
        <f>IF(資金模擬!$B$9=2,MAX(R707,0),MAX(V706,FLOOR(MAX(R707,0),資金模擬!$B$6)))</f>
        <v/>
      </c>
      <c r="W707" s="13">
        <f>MAX(W706,R707)</f>
        <v/>
      </c>
      <c r="X707" s="4">
        <f>IF(W707&gt;0,R707/W707-1,-1)</f>
        <v/>
      </c>
      <c r="Y707" s="19">
        <f>IF(R707&gt;0,S707*資金模擬!$B$7/R707,0)</f>
        <v/>
      </c>
      <c r="Z707" s="2">
        <f>IF(OR(Z706=1,R707&lt;=資金模擬!$B$10),1,0)</f>
        <v/>
      </c>
    </row>
    <row r="708">
      <c r="A708" s="2" t="n">
        <v>706</v>
      </c>
      <c r="B708" s="7" t="n">
        <v>46286.83333333334</v>
      </c>
      <c r="C708" s="2" t="inlineStr">
        <is>
          <t>進場</t>
        </is>
      </c>
      <c r="D708" s="2" t="n">
        <v>356</v>
      </c>
      <c r="E708" s="2" t="inlineStr">
        <is>
          <t>BR_USDT_PERP</t>
        </is>
      </c>
      <c r="F708" s="2" t="inlineStr">
        <is>
          <t>做多</t>
        </is>
      </c>
      <c r="G708" s="20" t="n">
        <v>1.19281</v>
      </c>
      <c r="H708" s="20" t="n">
        <v>1.2285943</v>
      </c>
      <c r="I708" s="20" t="n">
        <v>1.1331695</v>
      </c>
      <c r="J708" s="20" t="n"/>
      <c r="K708" s="2" t="n"/>
      <c r="L708" s="5" t="n"/>
      <c r="M708" s="19">
        <f>資金模擬!$B$5*V707</f>
        <v/>
      </c>
      <c r="N708" s="2">
        <f>IF(Z707=1,"已停止",IF(T707&gt;=M708,"已下單","資金不足略過"))</f>
        <v/>
      </c>
      <c r="O708" s="19">
        <f>IF(N708="已下單",M708*資金模擬!$B$7,0)</f>
        <v/>
      </c>
      <c r="P708" s="4" t="n"/>
      <c r="Q708" s="13" t="n">
        <v>0</v>
      </c>
      <c r="R708" s="13">
        <f>R707+Q708</f>
        <v/>
      </c>
      <c r="S708" s="19">
        <f>S707+IF(N708="已下單",M708,0)</f>
        <v/>
      </c>
      <c r="T708" s="19">
        <f>R708-S708</f>
        <v/>
      </c>
      <c r="U708" s="2">
        <f>U707+IF(N708="已下單",1,0)</f>
        <v/>
      </c>
      <c r="V708" s="19">
        <f>IF(資金模擬!$B$9=2,MAX(R708,0),MAX(V707,FLOOR(MAX(R708,0),資金模擬!$B$6)))</f>
        <v/>
      </c>
      <c r="W708" s="13">
        <f>MAX(W707,R708)</f>
        <v/>
      </c>
      <c r="X708" s="4">
        <f>IF(W708&gt;0,R708/W708-1,-1)</f>
        <v/>
      </c>
      <c r="Y708" s="19">
        <f>IF(R708&gt;0,S708*資金模擬!$B$7/R708,0)</f>
        <v/>
      </c>
      <c r="Z708" s="2">
        <f>IF(OR(Z707=1,R708&lt;=資金模擬!$B$10),1,0)</f>
        <v/>
      </c>
    </row>
    <row r="709">
      <c r="A709" s="2" t="n">
        <v>707</v>
      </c>
      <c r="B709" s="7" t="n">
        <v>46286.875</v>
      </c>
      <c r="C709" s="2" t="inlineStr">
        <is>
          <t>出場</t>
        </is>
      </c>
      <c r="D709" s="2" t="n">
        <v>354</v>
      </c>
      <c r="E709" s="2" t="inlineStr">
        <is>
          <t>PONS_USDT_PERP</t>
        </is>
      </c>
      <c r="F709" s="2" t="inlineStr">
        <is>
          <t>做多</t>
        </is>
      </c>
      <c r="G709" s="20" t="n">
        <v>0.6218</v>
      </c>
      <c r="H709" s="20" t="n">
        <v>0.6404540000000001</v>
      </c>
      <c r="I709" s="20" t="n">
        <v>0.59071</v>
      </c>
      <c r="J709" s="20" t="n">
        <v>0.6404540000000001</v>
      </c>
      <c r="K709" s="2" t="inlineStr">
        <is>
          <t>止盈</t>
        </is>
      </c>
      <c r="L709" s="5">
        <f>交易明細!K355</f>
        <v/>
      </c>
      <c r="M709" s="19">
        <f>M706</f>
        <v/>
      </c>
      <c r="N709" s="2">
        <f>N706</f>
        <v/>
      </c>
      <c r="O709" s="19">
        <f>O706</f>
        <v/>
      </c>
      <c r="P709" s="4">
        <f>交易明細!L355</f>
        <v/>
      </c>
      <c r="Q709" s="13">
        <f>IF(N709="已下單",O709*P709,0)</f>
        <v/>
      </c>
      <c r="R709" s="13">
        <f>R708+Q709</f>
        <v/>
      </c>
      <c r="S709" s="19">
        <f>S708-IF(N709="已下單",M709,0)</f>
        <v/>
      </c>
      <c r="T709" s="19">
        <f>R709-S709</f>
        <v/>
      </c>
      <c r="U709" s="2">
        <f>U708-IF(N709="已下單",1,0)</f>
        <v/>
      </c>
      <c r="V709" s="19">
        <f>IF(資金模擬!$B$9=2,MAX(R709,0),MAX(V708,FLOOR(MAX(R709,0),資金模擬!$B$6)))</f>
        <v/>
      </c>
      <c r="W709" s="13">
        <f>MAX(W708,R709)</f>
        <v/>
      </c>
      <c r="X709" s="4">
        <f>IF(W709&gt;0,R709/W709-1,-1)</f>
        <v/>
      </c>
      <c r="Y709" s="19">
        <f>IF(R709&gt;0,S709*資金模擬!$B$7/R709,0)</f>
        <v/>
      </c>
      <c r="Z709" s="2">
        <f>IF(OR(Z708=1,R709&lt;=資金模擬!$B$10),1,0)</f>
        <v/>
      </c>
    </row>
    <row r="710">
      <c r="A710" s="2" t="n">
        <v>708</v>
      </c>
      <c r="B710" s="7" t="n">
        <v>46286.875</v>
      </c>
      <c r="C710" s="2" t="inlineStr">
        <is>
          <t>進場</t>
        </is>
      </c>
      <c r="D710" s="2" t="n">
        <v>357</v>
      </c>
      <c r="E710" s="2" t="inlineStr">
        <is>
          <t>AKE_USDT_PERP</t>
        </is>
      </c>
      <c r="F710" s="2" t="inlineStr">
        <is>
          <t>做多</t>
        </is>
      </c>
      <c r="G710" s="20" t="n">
        <v>0.0533389</v>
      </c>
      <c r="H710" s="20" t="n">
        <v>0.054939067</v>
      </c>
      <c r="I710" s="20" t="n">
        <v>0.050671955</v>
      </c>
      <c r="J710" s="20" t="n"/>
      <c r="K710" s="2" t="n"/>
      <c r="L710" s="5" t="n"/>
      <c r="M710" s="19">
        <f>資金模擬!$B$5*V709</f>
        <v/>
      </c>
      <c r="N710" s="2">
        <f>IF(Z709=1,"已停止",IF(T709&gt;=M710,"已下單","資金不足略過"))</f>
        <v/>
      </c>
      <c r="O710" s="19">
        <f>IF(N710="已下單",M710*資金模擬!$B$7,0)</f>
        <v/>
      </c>
      <c r="P710" s="4" t="n"/>
      <c r="Q710" s="13" t="n">
        <v>0</v>
      </c>
      <c r="R710" s="13">
        <f>R709+Q710</f>
        <v/>
      </c>
      <c r="S710" s="19">
        <f>S709+IF(N710="已下單",M710,0)</f>
        <v/>
      </c>
      <c r="T710" s="19">
        <f>R710-S710</f>
        <v/>
      </c>
      <c r="U710" s="2">
        <f>U709+IF(N710="已下單",1,0)</f>
        <v/>
      </c>
      <c r="V710" s="19">
        <f>IF(資金模擬!$B$9=2,MAX(R710,0),MAX(V709,FLOOR(MAX(R710,0),資金模擬!$B$6)))</f>
        <v/>
      </c>
      <c r="W710" s="13">
        <f>MAX(W709,R710)</f>
        <v/>
      </c>
      <c r="X710" s="4">
        <f>IF(W710&gt;0,R710/W710-1,-1)</f>
        <v/>
      </c>
      <c r="Y710" s="19">
        <f>IF(R710&gt;0,S710*資金模擬!$B$7/R710,0)</f>
        <v/>
      </c>
      <c r="Z710" s="2">
        <f>IF(OR(Z709=1,R710&lt;=資金模擬!$B$10),1,0)</f>
        <v/>
      </c>
    </row>
    <row r="711">
      <c r="A711" s="2" t="n">
        <v>709</v>
      </c>
      <c r="B711" s="7" t="n">
        <v>46286.87847222222</v>
      </c>
      <c r="C711" s="2" t="inlineStr">
        <is>
          <t>出場</t>
        </is>
      </c>
      <c r="D711" s="2" t="n">
        <v>357</v>
      </c>
      <c r="E711" s="2" t="inlineStr">
        <is>
          <t>AKE_USDT_PERP</t>
        </is>
      </c>
      <c r="F711" s="2" t="inlineStr">
        <is>
          <t>做多</t>
        </is>
      </c>
      <c r="G711" s="20" t="n">
        <v>0.0533389</v>
      </c>
      <c r="H711" s="20" t="n">
        <v>0.054939067</v>
      </c>
      <c r="I711" s="20" t="n">
        <v>0.050671955</v>
      </c>
      <c r="J711" s="20" t="n">
        <v>0.054939067</v>
      </c>
      <c r="K711" s="2" t="inlineStr">
        <is>
          <t>止盈</t>
        </is>
      </c>
      <c r="L711" s="5">
        <f>交易明細!K358</f>
        <v/>
      </c>
      <c r="M711" s="19">
        <f>M710</f>
        <v/>
      </c>
      <c r="N711" s="2">
        <f>N710</f>
        <v/>
      </c>
      <c r="O711" s="19">
        <f>O710</f>
        <v/>
      </c>
      <c r="P711" s="4">
        <f>交易明細!L358</f>
        <v/>
      </c>
      <c r="Q711" s="13">
        <f>IF(N711="已下單",O711*P711,0)</f>
        <v/>
      </c>
      <c r="R711" s="13">
        <f>R710+Q711</f>
        <v/>
      </c>
      <c r="S711" s="19">
        <f>S710-IF(N711="已下單",M711,0)</f>
        <v/>
      </c>
      <c r="T711" s="19">
        <f>R711-S711</f>
        <v/>
      </c>
      <c r="U711" s="2">
        <f>U710-IF(N711="已下單",1,0)</f>
        <v/>
      </c>
      <c r="V711" s="19">
        <f>IF(資金模擬!$B$9=2,MAX(R711,0),MAX(V710,FLOOR(MAX(R711,0),資金模擬!$B$6)))</f>
        <v/>
      </c>
      <c r="W711" s="13">
        <f>MAX(W710,R711)</f>
        <v/>
      </c>
      <c r="X711" s="4">
        <f>IF(W711&gt;0,R711/W711-1,-1)</f>
        <v/>
      </c>
      <c r="Y711" s="19">
        <f>IF(R711&gt;0,S711*資金模擬!$B$7/R711,0)</f>
        <v/>
      </c>
      <c r="Z711" s="2">
        <f>IF(OR(Z710=1,R711&lt;=資金模擬!$B$10),1,0)</f>
        <v/>
      </c>
    </row>
    <row r="712">
      <c r="A712" s="2" t="n">
        <v>710</v>
      </c>
      <c r="B712" s="7" t="n">
        <v>46286.91666666666</v>
      </c>
      <c r="C712" s="2" t="inlineStr">
        <is>
          <t>出場</t>
        </is>
      </c>
      <c r="D712" s="2" t="n">
        <v>356</v>
      </c>
      <c r="E712" s="2" t="inlineStr">
        <is>
          <t>BR_USDT_PERP</t>
        </is>
      </c>
      <c r="F712" s="2" t="inlineStr">
        <is>
          <t>做多</t>
        </is>
      </c>
      <c r="G712" s="20" t="n">
        <v>1.19281</v>
      </c>
      <c r="H712" s="20" t="n">
        <v>1.2285943</v>
      </c>
      <c r="I712" s="20" t="n">
        <v>1.1331695</v>
      </c>
      <c r="J712" s="20" t="n">
        <v>1.2285943</v>
      </c>
      <c r="K712" s="2" t="inlineStr">
        <is>
          <t>止盈</t>
        </is>
      </c>
      <c r="L712" s="5">
        <f>交易明細!K357</f>
        <v/>
      </c>
      <c r="M712" s="19">
        <f>M708</f>
        <v/>
      </c>
      <c r="N712" s="2">
        <f>N708</f>
        <v/>
      </c>
      <c r="O712" s="19">
        <f>O708</f>
        <v/>
      </c>
      <c r="P712" s="4">
        <f>交易明細!L357</f>
        <v/>
      </c>
      <c r="Q712" s="13">
        <f>IF(N712="已下單",O712*P712,0)</f>
        <v/>
      </c>
      <c r="R712" s="13">
        <f>R711+Q712</f>
        <v/>
      </c>
      <c r="S712" s="19">
        <f>S711-IF(N712="已下單",M712,0)</f>
        <v/>
      </c>
      <c r="T712" s="19">
        <f>R712-S712</f>
        <v/>
      </c>
      <c r="U712" s="2">
        <f>U711-IF(N712="已下單",1,0)</f>
        <v/>
      </c>
      <c r="V712" s="19">
        <f>IF(資金模擬!$B$9=2,MAX(R712,0),MAX(V711,FLOOR(MAX(R712,0),資金模擬!$B$6)))</f>
        <v/>
      </c>
      <c r="W712" s="13">
        <f>MAX(W711,R712)</f>
        <v/>
      </c>
      <c r="X712" s="4">
        <f>IF(W712&gt;0,R712/W712-1,-1)</f>
        <v/>
      </c>
      <c r="Y712" s="19">
        <f>IF(R712&gt;0,S712*資金模擬!$B$7/R712,0)</f>
        <v/>
      </c>
      <c r="Z712" s="2">
        <f>IF(OR(Z711=1,R712&lt;=資金模擬!$B$10),1,0)</f>
        <v/>
      </c>
    </row>
    <row r="713">
      <c r="A713" s="2" t="n">
        <v>711</v>
      </c>
      <c r="B713" s="7" t="n">
        <v>46286.95833333334</v>
      </c>
      <c r="C713" s="2" t="inlineStr">
        <is>
          <t>進場</t>
        </is>
      </c>
      <c r="D713" s="2" t="n">
        <v>358</v>
      </c>
      <c r="E713" s="2" t="inlineStr">
        <is>
          <t>BR_USDT_PERP</t>
        </is>
      </c>
      <c r="F713" s="2" t="inlineStr">
        <is>
          <t>做多</t>
        </is>
      </c>
      <c r="G713" s="20" t="n">
        <v>1.21805</v>
      </c>
      <c r="H713" s="20" t="n">
        <v>1.2545915</v>
      </c>
      <c r="I713" s="20" t="n">
        <v>1.1571475</v>
      </c>
      <c r="J713" s="20" t="n"/>
      <c r="K713" s="2" t="n"/>
      <c r="L713" s="5" t="n"/>
      <c r="M713" s="19">
        <f>資金模擬!$B$5*V712</f>
        <v/>
      </c>
      <c r="N713" s="2">
        <f>IF(Z712=1,"已停止",IF(T712&gt;=M713,"已下單","資金不足略過"))</f>
        <v/>
      </c>
      <c r="O713" s="19">
        <f>IF(N713="已下單",M713*資金模擬!$B$7,0)</f>
        <v/>
      </c>
      <c r="P713" s="4" t="n"/>
      <c r="Q713" s="13" t="n">
        <v>0</v>
      </c>
      <c r="R713" s="13">
        <f>R712+Q713</f>
        <v/>
      </c>
      <c r="S713" s="19">
        <f>S712+IF(N713="已下單",M713,0)</f>
        <v/>
      </c>
      <c r="T713" s="19">
        <f>R713-S713</f>
        <v/>
      </c>
      <c r="U713" s="2">
        <f>U712+IF(N713="已下單",1,0)</f>
        <v/>
      </c>
      <c r="V713" s="19">
        <f>IF(資金模擬!$B$9=2,MAX(R713,0),MAX(V712,FLOOR(MAX(R713,0),資金模擬!$B$6)))</f>
        <v/>
      </c>
      <c r="W713" s="13">
        <f>MAX(W712,R713)</f>
        <v/>
      </c>
      <c r="X713" s="4">
        <f>IF(W713&gt;0,R713/W713-1,-1)</f>
        <v/>
      </c>
      <c r="Y713" s="19">
        <f>IF(R713&gt;0,S713*資金模擬!$B$7/R713,0)</f>
        <v/>
      </c>
      <c r="Z713" s="2">
        <f>IF(OR(Z712=1,R713&lt;=資金模擬!$B$10),1,0)</f>
        <v/>
      </c>
    </row>
    <row r="714">
      <c r="A714" s="2" t="n">
        <v>712</v>
      </c>
      <c r="B714" s="7" t="n">
        <v>46287</v>
      </c>
      <c r="C714" s="2" t="inlineStr">
        <is>
          <t>出場</t>
        </is>
      </c>
      <c r="D714" s="2" t="n">
        <v>353</v>
      </c>
      <c r="E714" s="2" t="inlineStr">
        <is>
          <t>ENA_USDT_PERP</t>
        </is>
      </c>
      <c r="F714" s="2" t="inlineStr">
        <is>
          <t>做多</t>
        </is>
      </c>
      <c r="G714" s="20" t="n">
        <v>0.227</v>
      </c>
      <c r="H714" s="20" t="n">
        <v>0.23381</v>
      </c>
      <c r="I714" s="20" t="n">
        <v>0.21565</v>
      </c>
      <c r="J714" s="20" t="n">
        <v>0.21565</v>
      </c>
      <c r="K714" s="2" t="inlineStr">
        <is>
          <t>止損</t>
        </is>
      </c>
      <c r="L714" s="5">
        <f>交易明細!K354</f>
        <v/>
      </c>
      <c r="M714" s="19">
        <f>M705</f>
        <v/>
      </c>
      <c r="N714" s="2">
        <f>N705</f>
        <v/>
      </c>
      <c r="O714" s="19">
        <f>O705</f>
        <v/>
      </c>
      <c r="P714" s="4">
        <f>交易明細!L354</f>
        <v/>
      </c>
      <c r="Q714" s="13">
        <f>IF(N714="已下單",O714*P714,0)</f>
        <v/>
      </c>
      <c r="R714" s="13">
        <f>R713+Q714</f>
        <v/>
      </c>
      <c r="S714" s="19">
        <f>S713-IF(N714="已下單",M714,0)</f>
        <v/>
      </c>
      <c r="T714" s="19">
        <f>R714-S714</f>
        <v/>
      </c>
      <c r="U714" s="2">
        <f>U713-IF(N714="已下單",1,0)</f>
        <v/>
      </c>
      <c r="V714" s="19">
        <f>IF(資金模擬!$B$9=2,MAX(R714,0),MAX(V713,FLOOR(MAX(R714,0),資金模擬!$B$6)))</f>
        <v/>
      </c>
      <c r="W714" s="13">
        <f>MAX(W713,R714)</f>
        <v/>
      </c>
      <c r="X714" s="4">
        <f>IF(W714&gt;0,R714/W714-1,-1)</f>
        <v/>
      </c>
      <c r="Y714" s="19">
        <f>IF(R714&gt;0,S714*資金模擬!$B$7/R714,0)</f>
        <v/>
      </c>
      <c r="Z714" s="2">
        <f>IF(OR(Z713=1,R714&lt;=資金模擬!$B$10),1,0)</f>
        <v/>
      </c>
    </row>
    <row r="715">
      <c r="A715" s="2" t="n">
        <v>713</v>
      </c>
      <c r="B715" s="7" t="n">
        <v>46287</v>
      </c>
      <c r="C715" s="2" t="inlineStr">
        <is>
          <t>進場</t>
        </is>
      </c>
      <c r="D715" s="2" t="n">
        <v>359</v>
      </c>
      <c r="E715" s="2" t="inlineStr">
        <is>
          <t>LSK_USDT_PERP</t>
        </is>
      </c>
      <c r="F715" s="2" t="inlineStr">
        <is>
          <t>做空</t>
        </is>
      </c>
      <c r="G715" s="20" t="n">
        <v>0.3723</v>
      </c>
      <c r="H715" s="20" t="n">
        <v>0.361131</v>
      </c>
      <c r="I715" s="20" t="n">
        <v>0.390915</v>
      </c>
      <c r="J715" s="20" t="n"/>
      <c r="K715" s="2" t="n"/>
      <c r="L715" s="5" t="n"/>
      <c r="M715" s="19">
        <f>資金模擬!$B$5*V714</f>
        <v/>
      </c>
      <c r="N715" s="2">
        <f>IF(Z714=1,"已停止",IF(T714&gt;=M715,"已下單","資金不足略過"))</f>
        <v/>
      </c>
      <c r="O715" s="19">
        <f>IF(N715="已下單",M715*資金模擬!$B$7,0)</f>
        <v/>
      </c>
      <c r="P715" s="4" t="n"/>
      <c r="Q715" s="13" t="n">
        <v>0</v>
      </c>
      <c r="R715" s="13">
        <f>R714+Q715</f>
        <v/>
      </c>
      <c r="S715" s="19">
        <f>S714+IF(N715="已下單",M715,0)</f>
        <v/>
      </c>
      <c r="T715" s="19">
        <f>R715-S715</f>
        <v/>
      </c>
      <c r="U715" s="2">
        <f>U714+IF(N715="已下單",1,0)</f>
        <v/>
      </c>
      <c r="V715" s="19">
        <f>IF(資金模擬!$B$9=2,MAX(R715,0),MAX(V714,FLOOR(MAX(R715,0),資金模擬!$B$6)))</f>
        <v/>
      </c>
      <c r="W715" s="13">
        <f>MAX(W714,R715)</f>
        <v/>
      </c>
      <c r="X715" s="4">
        <f>IF(W715&gt;0,R715/W715-1,-1)</f>
        <v/>
      </c>
      <c r="Y715" s="19">
        <f>IF(R715&gt;0,S715*資金模擬!$B$7/R715,0)</f>
        <v/>
      </c>
      <c r="Z715" s="2">
        <f>IF(OR(Z714=1,R715&lt;=資金模擬!$B$10),1,0)</f>
        <v/>
      </c>
    </row>
    <row r="716">
      <c r="A716" s="2" t="n">
        <v>714</v>
      </c>
      <c r="B716" s="7" t="n">
        <v>46287</v>
      </c>
      <c r="C716" s="2" t="inlineStr">
        <is>
          <t>進場</t>
        </is>
      </c>
      <c r="D716" s="2" t="n">
        <v>360</v>
      </c>
      <c r="E716" s="2" t="inlineStr">
        <is>
          <t>VVV_USDT_PERP</t>
        </is>
      </c>
      <c r="F716" s="2" t="inlineStr">
        <is>
          <t>做空</t>
        </is>
      </c>
      <c r="G716" s="20" t="n">
        <v>31.09</v>
      </c>
      <c r="H716" s="20" t="n">
        <v>30.1573</v>
      </c>
      <c r="I716" s="20" t="n">
        <v>32.6445</v>
      </c>
      <c r="J716" s="20" t="n"/>
      <c r="K716" s="2" t="n"/>
      <c r="L716" s="5" t="n"/>
      <c r="M716" s="19">
        <f>資金模擬!$B$5*V715</f>
        <v/>
      </c>
      <c r="N716" s="2">
        <f>IF(Z715=1,"已停止",IF(T715&gt;=M716,"已下單","資金不足略過"))</f>
        <v/>
      </c>
      <c r="O716" s="19">
        <f>IF(N716="已下單",M716*資金模擬!$B$7,0)</f>
        <v/>
      </c>
      <c r="P716" s="4" t="n"/>
      <c r="Q716" s="13" t="n">
        <v>0</v>
      </c>
      <c r="R716" s="13">
        <f>R715+Q716</f>
        <v/>
      </c>
      <c r="S716" s="19">
        <f>S715+IF(N716="已下單",M716,0)</f>
        <v/>
      </c>
      <c r="T716" s="19">
        <f>R716-S716</f>
        <v/>
      </c>
      <c r="U716" s="2">
        <f>U715+IF(N716="已下單",1,0)</f>
        <v/>
      </c>
      <c r="V716" s="19">
        <f>IF(資金模擬!$B$9=2,MAX(R716,0),MAX(V715,FLOOR(MAX(R716,0),資金模擬!$B$6)))</f>
        <v/>
      </c>
      <c r="W716" s="13">
        <f>MAX(W715,R716)</f>
        <v/>
      </c>
      <c r="X716" s="4">
        <f>IF(W716&gt;0,R716/W716-1,-1)</f>
        <v/>
      </c>
      <c r="Y716" s="19">
        <f>IF(R716&gt;0,S716*資金模擬!$B$7/R716,0)</f>
        <v/>
      </c>
      <c r="Z716" s="2">
        <f>IF(OR(Z715=1,R716&lt;=資金模擬!$B$10),1,0)</f>
        <v/>
      </c>
    </row>
    <row r="717">
      <c r="A717" s="2" t="n">
        <v>715</v>
      </c>
      <c r="B717" s="7" t="n">
        <v>46287.04166666666</v>
      </c>
      <c r="C717" s="2" t="inlineStr">
        <is>
          <t>進場</t>
        </is>
      </c>
      <c r="D717" s="2" t="n">
        <v>361</v>
      </c>
      <c r="E717" s="2" t="inlineStr">
        <is>
          <t>PONS_USDT_PERP</t>
        </is>
      </c>
      <c r="F717" s="2" t="inlineStr">
        <is>
          <t>做空</t>
        </is>
      </c>
      <c r="G717" s="20" t="n">
        <v>0.5881</v>
      </c>
      <c r="H717" s="20" t="n">
        <v>0.570457</v>
      </c>
      <c r="I717" s="20" t="n">
        <v>0.617505</v>
      </c>
      <c r="J717" s="20" t="n"/>
      <c r="K717" s="2" t="n"/>
      <c r="L717" s="5" t="n"/>
      <c r="M717" s="19">
        <f>資金模擬!$B$5*V716</f>
        <v/>
      </c>
      <c r="N717" s="2">
        <f>IF(Z716=1,"已停止",IF(T716&gt;=M717,"已下單","資金不足略過"))</f>
        <v/>
      </c>
      <c r="O717" s="19">
        <f>IF(N717="已下單",M717*資金模擬!$B$7,0)</f>
        <v/>
      </c>
      <c r="P717" s="4" t="n"/>
      <c r="Q717" s="13" t="n">
        <v>0</v>
      </c>
      <c r="R717" s="13">
        <f>R716+Q717</f>
        <v/>
      </c>
      <c r="S717" s="19">
        <f>S716+IF(N717="已下單",M717,0)</f>
        <v/>
      </c>
      <c r="T717" s="19">
        <f>R717-S717</f>
        <v/>
      </c>
      <c r="U717" s="2">
        <f>U716+IF(N717="已下單",1,0)</f>
        <v/>
      </c>
      <c r="V717" s="19">
        <f>IF(資金模擬!$B$9=2,MAX(R717,0),MAX(V716,FLOOR(MAX(R717,0),資金模擬!$B$6)))</f>
        <v/>
      </c>
      <c r="W717" s="13">
        <f>MAX(W716,R717)</f>
        <v/>
      </c>
      <c r="X717" s="4">
        <f>IF(W717&gt;0,R717/W717-1,-1)</f>
        <v/>
      </c>
      <c r="Y717" s="19">
        <f>IF(R717&gt;0,S717*資金模擬!$B$7/R717,0)</f>
        <v/>
      </c>
      <c r="Z717" s="2">
        <f>IF(OR(Z716=1,R717&lt;=資金模擬!$B$10),1,0)</f>
        <v/>
      </c>
    </row>
    <row r="718">
      <c r="A718" s="2" t="n">
        <v>716</v>
      </c>
      <c r="B718" s="7" t="n">
        <v>46287.04166666666</v>
      </c>
      <c r="C718" s="2" t="inlineStr">
        <is>
          <t>進場</t>
        </is>
      </c>
      <c r="D718" s="2" t="n">
        <v>362</v>
      </c>
      <c r="E718" s="2" t="inlineStr">
        <is>
          <t>牛来_USDT_PERP</t>
        </is>
      </c>
      <c r="F718" s="2" t="inlineStr">
        <is>
          <t>做空</t>
        </is>
      </c>
      <c r="G718" s="20" t="n">
        <v>0.10672</v>
      </c>
      <c r="H718" s="20" t="n">
        <v>0.1035184</v>
      </c>
      <c r="I718" s="20" t="n">
        <v>0.112056</v>
      </c>
      <c r="J718" s="20" t="n"/>
      <c r="K718" s="2" t="n"/>
      <c r="L718" s="5" t="n"/>
      <c r="M718" s="19">
        <f>資金模擬!$B$5*V717</f>
        <v/>
      </c>
      <c r="N718" s="2">
        <f>IF(Z717=1,"已停止",IF(T717&gt;=M718,"已下單","資金不足略過"))</f>
        <v/>
      </c>
      <c r="O718" s="19">
        <f>IF(N718="已下單",M718*資金模擬!$B$7,0)</f>
        <v/>
      </c>
      <c r="P718" s="4" t="n"/>
      <c r="Q718" s="13" t="n">
        <v>0</v>
      </c>
      <c r="R718" s="13">
        <f>R717+Q718</f>
        <v/>
      </c>
      <c r="S718" s="19">
        <f>S717+IF(N718="已下單",M718,0)</f>
        <v/>
      </c>
      <c r="T718" s="19">
        <f>R718-S718</f>
        <v/>
      </c>
      <c r="U718" s="2">
        <f>U717+IF(N718="已下單",1,0)</f>
        <v/>
      </c>
      <c r="V718" s="19">
        <f>IF(資金模擬!$B$9=2,MAX(R718,0),MAX(V717,FLOOR(MAX(R718,0),資金模擬!$B$6)))</f>
        <v/>
      </c>
      <c r="W718" s="13">
        <f>MAX(W717,R718)</f>
        <v/>
      </c>
      <c r="X718" s="4">
        <f>IF(W718&gt;0,R718/W718-1,-1)</f>
        <v/>
      </c>
      <c r="Y718" s="19">
        <f>IF(R718&gt;0,S718*資金模擬!$B$7/R718,0)</f>
        <v/>
      </c>
      <c r="Z718" s="2">
        <f>IF(OR(Z717=1,R718&lt;=資金模擬!$B$10),1,0)</f>
        <v/>
      </c>
    </row>
    <row r="719">
      <c r="A719" s="2" t="n">
        <v>717</v>
      </c>
      <c r="B719" s="7" t="n">
        <v>46287.08333333334</v>
      </c>
      <c r="C719" s="2" t="inlineStr">
        <is>
          <t>出場</t>
        </is>
      </c>
      <c r="D719" s="2" t="n">
        <v>347</v>
      </c>
      <c r="E719" s="2" t="inlineStr">
        <is>
          <t>PUMP_USDT_PERP</t>
        </is>
      </c>
      <c r="F719" s="2" t="inlineStr">
        <is>
          <t>做多</t>
        </is>
      </c>
      <c r="G719" s="20" t="n">
        <v>0.004403</v>
      </c>
      <c r="H719" s="20" t="n">
        <v>0.00453509</v>
      </c>
      <c r="I719" s="20" t="n">
        <v>0.004182849999999999</v>
      </c>
      <c r="J719" s="20" t="n">
        <v>0.004182849999999999</v>
      </c>
      <c r="K719" s="2" t="inlineStr">
        <is>
          <t>止損</t>
        </is>
      </c>
      <c r="L719" s="5">
        <f>交易明細!K348</f>
        <v/>
      </c>
      <c r="M719" s="19">
        <f>M692</f>
        <v/>
      </c>
      <c r="N719" s="2">
        <f>N692</f>
        <v/>
      </c>
      <c r="O719" s="19">
        <f>O692</f>
        <v/>
      </c>
      <c r="P719" s="4">
        <f>交易明細!L348</f>
        <v/>
      </c>
      <c r="Q719" s="13">
        <f>IF(N719="已下單",O719*P719,0)</f>
        <v/>
      </c>
      <c r="R719" s="13">
        <f>R718+Q719</f>
        <v/>
      </c>
      <c r="S719" s="19">
        <f>S718-IF(N719="已下單",M719,0)</f>
        <v/>
      </c>
      <c r="T719" s="19">
        <f>R719-S719</f>
        <v/>
      </c>
      <c r="U719" s="2">
        <f>U718-IF(N719="已下單",1,0)</f>
        <v/>
      </c>
      <c r="V719" s="19">
        <f>IF(資金模擬!$B$9=2,MAX(R719,0),MAX(V718,FLOOR(MAX(R719,0),資金模擬!$B$6)))</f>
        <v/>
      </c>
      <c r="W719" s="13">
        <f>MAX(W718,R719)</f>
        <v/>
      </c>
      <c r="X719" s="4">
        <f>IF(W719&gt;0,R719/W719-1,-1)</f>
        <v/>
      </c>
      <c r="Y719" s="19">
        <f>IF(R719&gt;0,S719*資金模擬!$B$7/R719,0)</f>
        <v/>
      </c>
      <c r="Z719" s="2">
        <f>IF(OR(Z718=1,R719&lt;=資金模擬!$B$10),1,0)</f>
        <v/>
      </c>
    </row>
    <row r="720">
      <c r="A720" s="2" t="n">
        <v>718</v>
      </c>
      <c r="B720" s="7" t="n">
        <v>46287.08333333334</v>
      </c>
      <c r="C720" s="2" t="inlineStr">
        <is>
          <t>出場</t>
        </is>
      </c>
      <c r="D720" s="2" t="n">
        <v>351</v>
      </c>
      <c r="E720" s="2" t="inlineStr">
        <is>
          <t>LIT_USDT_PERP</t>
        </is>
      </c>
      <c r="F720" s="2" t="inlineStr">
        <is>
          <t>做多</t>
        </is>
      </c>
      <c r="G720" s="20" t="n">
        <v>5.064</v>
      </c>
      <c r="H720" s="20" t="n">
        <v>5.215920000000001</v>
      </c>
      <c r="I720" s="20" t="n">
        <v>4.8108</v>
      </c>
      <c r="J720" s="20" t="n">
        <v>4.8108</v>
      </c>
      <c r="K720" s="2" t="inlineStr">
        <is>
          <t>止損</t>
        </is>
      </c>
      <c r="L720" s="5">
        <f>交易明細!K352</f>
        <v/>
      </c>
      <c r="M720" s="19">
        <f>M696</f>
        <v/>
      </c>
      <c r="N720" s="2">
        <f>N696</f>
        <v/>
      </c>
      <c r="O720" s="19">
        <f>O696</f>
        <v/>
      </c>
      <c r="P720" s="4">
        <f>交易明細!L352</f>
        <v/>
      </c>
      <c r="Q720" s="13">
        <f>IF(N720="已下單",O720*P720,0)</f>
        <v/>
      </c>
      <c r="R720" s="13">
        <f>R719+Q720</f>
        <v/>
      </c>
      <c r="S720" s="19">
        <f>S719-IF(N720="已下單",M720,0)</f>
        <v/>
      </c>
      <c r="T720" s="19">
        <f>R720-S720</f>
        <v/>
      </c>
      <c r="U720" s="2">
        <f>U719-IF(N720="已下單",1,0)</f>
        <v/>
      </c>
      <c r="V720" s="19">
        <f>IF(資金模擬!$B$9=2,MAX(R720,0),MAX(V719,FLOOR(MAX(R720,0),資金模擬!$B$6)))</f>
        <v/>
      </c>
      <c r="W720" s="13">
        <f>MAX(W719,R720)</f>
        <v/>
      </c>
      <c r="X720" s="4">
        <f>IF(W720&gt;0,R720/W720-1,-1)</f>
        <v/>
      </c>
      <c r="Y720" s="19">
        <f>IF(R720&gt;0,S720*資金模擬!$B$7/R720,0)</f>
        <v/>
      </c>
      <c r="Z720" s="2">
        <f>IF(OR(Z719=1,R720&lt;=資金模擬!$B$10),1,0)</f>
        <v/>
      </c>
    </row>
    <row r="721">
      <c r="A721" s="2" t="n">
        <v>719</v>
      </c>
      <c r="B721" s="7" t="n">
        <v>46287.08333333334</v>
      </c>
      <c r="C721" s="2" t="inlineStr">
        <is>
          <t>出場</t>
        </is>
      </c>
      <c r="D721" s="2" t="n">
        <v>355</v>
      </c>
      <c r="E721" s="2" t="inlineStr">
        <is>
          <t>XMR_USDT_PERP</t>
        </is>
      </c>
      <c r="F721" s="2" t="inlineStr">
        <is>
          <t>做多</t>
        </is>
      </c>
      <c r="G721" s="20" t="n">
        <v>580.71</v>
      </c>
      <c r="H721" s="20" t="n">
        <v>598.1313</v>
      </c>
      <c r="I721" s="20" t="n">
        <v>551.6745</v>
      </c>
      <c r="J721" s="20" t="n">
        <v>551.6745</v>
      </c>
      <c r="K721" s="2" t="inlineStr">
        <is>
          <t>止損</t>
        </is>
      </c>
      <c r="L721" s="5">
        <f>交易明細!K356</f>
        <v/>
      </c>
      <c r="M721" s="19">
        <f>M707</f>
        <v/>
      </c>
      <c r="N721" s="2">
        <f>N707</f>
        <v/>
      </c>
      <c r="O721" s="19">
        <f>O707</f>
        <v/>
      </c>
      <c r="P721" s="4">
        <f>交易明細!L356</f>
        <v/>
      </c>
      <c r="Q721" s="13">
        <f>IF(N721="已下單",O721*P721,0)</f>
        <v/>
      </c>
      <c r="R721" s="13">
        <f>R720+Q721</f>
        <v/>
      </c>
      <c r="S721" s="19">
        <f>S720-IF(N721="已下單",M721,0)</f>
        <v/>
      </c>
      <c r="T721" s="19">
        <f>R721-S721</f>
        <v/>
      </c>
      <c r="U721" s="2">
        <f>U720-IF(N721="已下單",1,0)</f>
        <v/>
      </c>
      <c r="V721" s="19">
        <f>IF(資金模擬!$B$9=2,MAX(R721,0),MAX(V720,FLOOR(MAX(R721,0),資金模擬!$B$6)))</f>
        <v/>
      </c>
      <c r="W721" s="13">
        <f>MAX(W720,R721)</f>
        <v/>
      </c>
      <c r="X721" s="4">
        <f>IF(W721&gt;0,R721/W721-1,-1)</f>
        <v/>
      </c>
      <c r="Y721" s="19">
        <f>IF(R721&gt;0,S721*資金模擬!$B$7/R721,0)</f>
        <v/>
      </c>
      <c r="Z721" s="2">
        <f>IF(OR(Z720=1,R721&lt;=資金模擬!$B$10),1,0)</f>
        <v/>
      </c>
    </row>
    <row r="722">
      <c r="A722" s="2" t="n">
        <v>720</v>
      </c>
      <c r="B722" s="7" t="n">
        <v>46287.08333333334</v>
      </c>
      <c r="C722" s="2" t="inlineStr">
        <is>
          <t>出場</t>
        </is>
      </c>
      <c r="D722" s="2" t="n">
        <v>362</v>
      </c>
      <c r="E722" s="2" t="inlineStr">
        <is>
          <t>牛来_USDT_PERP</t>
        </is>
      </c>
      <c r="F722" s="2" t="inlineStr">
        <is>
          <t>做空</t>
        </is>
      </c>
      <c r="G722" s="20" t="n">
        <v>0.10672</v>
      </c>
      <c r="H722" s="20" t="n">
        <v>0.1035184</v>
      </c>
      <c r="I722" s="20" t="n">
        <v>0.112056</v>
      </c>
      <c r="J722" s="20" t="n">
        <v>0.1035184</v>
      </c>
      <c r="K722" s="2" t="inlineStr">
        <is>
          <t>止盈</t>
        </is>
      </c>
      <c r="L722" s="5">
        <f>交易明細!K363</f>
        <v/>
      </c>
      <c r="M722" s="19">
        <f>M718</f>
        <v/>
      </c>
      <c r="N722" s="2">
        <f>N718</f>
        <v/>
      </c>
      <c r="O722" s="19">
        <f>O718</f>
        <v/>
      </c>
      <c r="P722" s="4">
        <f>交易明細!L363</f>
        <v/>
      </c>
      <c r="Q722" s="13">
        <f>IF(N722="已下單",O722*P722,0)</f>
        <v/>
      </c>
      <c r="R722" s="13">
        <f>R721+Q722</f>
        <v/>
      </c>
      <c r="S722" s="19">
        <f>S721-IF(N722="已下單",M722,0)</f>
        <v/>
      </c>
      <c r="T722" s="19">
        <f>R722-S722</f>
        <v/>
      </c>
      <c r="U722" s="2">
        <f>U721-IF(N722="已下單",1,0)</f>
        <v/>
      </c>
      <c r="V722" s="19">
        <f>IF(資金模擬!$B$9=2,MAX(R722,0),MAX(V721,FLOOR(MAX(R722,0),資金模擬!$B$6)))</f>
        <v/>
      </c>
      <c r="W722" s="13">
        <f>MAX(W721,R722)</f>
        <v/>
      </c>
      <c r="X722" s="4">
        <f>IF(W722&gt;0,R722/W722-1,-1)</f>
        <v/>
      </c>
      <c r="Y722" s="19">
        <f>IF(R722&gt;0,S722*資金模擬!$B$7/R722,0)</f>
        <v/>
      </c>
      <c r="Z722" s="2">
        <f>IF(OR(Z721=1,R722&lt;=資金模擬!$B$10),1,0)</f>
        <v/>
      </c>
    </row>
    <row r="723">
      <c r="A723" s="2" t="n">
        <v>721</v>
      </c>
      <c r="B723" s="7" t="n">
        <v>46287.08333333334</v>
      </c>
      <c r="C723" s="2" t="inlineStr">
        <is>
          <t>進場</t>
        </is>
      </c>
      <c r="D723" s="2" t="n">
        <v>363</v>
      </c>
      <c r="E723" s="2" t="inlineStr">
        <is>
          <t>NIL_USDT_PERP</t>
        </is>
      </c>
      <c r="F723" s="2" t="inlineStr">
        <is>
          <t>做空</t>
        </is>
      </c>
      <c r="G723" s="20" t="n">
        <v>0.06272</v>
      </c>
      <c r="H723" s="20" t="n">
        <v>0.06083839999999999</v>
      </c>
      <c r="I723" s="20" t="n">
        <v>0.065856</v>
      </c>
      <c r="J723" s="20" t="n"/>
      <c r="K723" s="2" t="n"/>
      <c r="L723" s="5" t="n"/>
      <c r="M723" s="19">
        <f>資金模擬!$B$5*V722</f>
        <v/>
      </c>
      <c r="N723" s="2">
        <f>IF(Z722=1,"已停止",IF(T722&gt;=M723,"已下單","資金不足略過"))</f>
        <v/>
      </c>
      <c r="O723" s="19">
        <f>IF(N723="已下單",M723*資金模擬!$B$7,0)</f>
        <v/>
      </c>
      <c r="P723" s="4" t="n"/>
      <c r="Q723" s="13" t="n">
        <v>0</v>
      </c>
      <c r="R723" s="13">
        <f>R722+Q723</f>
        <v/>
      </c>
      <c r="S723" s="19">
        <f>S722+IF(N723="已下單",M723,0)</f>
        <v/>
      </c>
      <c r="T723" s="19">
        <f>R723-S723</f>
        <v/>
      </c>
      <c r="U723" s="2">
        <f>U722+IF(N723="已下單",1,0)</f>
        <v/>
      </c>
      <c r="V723" s="19">
        <f>IF(資金模擬!$B$9=2,MAX(R723,0),MAX(V722,FLOOR(MAX(R723,0),資金模擬!$B$6)))</f>
        <v/>
      </c>
      <c r="W723" s="13">
        <f>MAX(W722,R723)</f>
        <v/>
      </c>
      <c r="X723" s="4">
        <f>IF(W723&gt;0,R723/W723-1,-1)</f>
        <v/>
      </c>
      <c r="Y723" s="19">
        <f>IF(R723&gt;0,S723*資金模擬!$B$7/R723,0)</f>
        <v/>
      </c>
      <c r="Z723" s="2">
        <f>IF(OR(Z722=1,R723&lt;=資金模擬!$B$10),1,0)</f>
        <v/>
      </c>
    </row>
    <row r="724">
      <c r="A724" s="2" t="n">
        <v>722</v>
      </c>
      <c r="B724" s="7" t="n">
        <v>46287.16666666666</v>
      </c>
      <c r="C724" s="2" t="inlineStr">
        <is>
          <t>出場</t>
        </is>
      </c>
      <c r="D724" s="2" t="n">
        <v>358</v>
      </c>
      <c r="E724" s="2" t="inlineStr">
        <is>
          <t>BR_USDT_PERP</t>
        </is>
      </c>
      <c r="F724" s="2" t="inlineStr">
        <is>
          <t>做多</t>
        </is>
      </c>
      <c r="G724" s="20" t="n">
        <v>1.21805</v>
      </c>
      <c r="H724" s="20" t="n">
        <v>1.2545915</v>
      </c>
      <c r="I724" s="20" t="n">
        <v>1.1571475</v>
      </c>
      <c r="J724" s="20" t="n">
        <v>1.1571475</v>
      </c>
      <c r="K724" s="2" t="inlineStr">
        <is>
          <t>止損</t>
        </is>
      </c>
      <c r="L724" s="5">
        <f>交易明細!K359</f>
        <v/>
      </c>
      <c r="M724" s="19">
        <f>M713</f>
        <v/>
      </c>
      <c r="N724" s="2">
        <f>N713</f>
        <v/>
      </c>
      <c r="O724" s="19">
        <f>O713</f>
        <v/>
      </c>
      <c r="P724" s="4">
        <f>交易明細!L359</f>
        <v/>
      </c>
      <c r="Q724" s="13">
        <f>IF(N724="已下單",O724*P724,0)</f>
        <v/>
      </c>
      <c r="R724" s="13">
        <f>R723+Q724</f>
        <v/>
      </c>
      <c r="S724" s="19">
        <f>S723-IF(N724="已下單",M724,0)</f>
        <v/>
      </c>
      <c r="T724" s="19">
        <f>R724-S724</f>
        <v/>
      </c>
      <c r="U724" s="2">
        <f>U723-IF(N724="已下單",1,0)</f>
        <v/>
      </c>
      <c r="V724" s="19">
        <f>IF(資金模擬!$B$9=2,MAX(R724,0),MAX(V723,FLOOR(MAX(R724,0),資金模擬!$B$6)))</f>
        <v/>
      </c>
      <c r="W724" s="13">
        <f>MAX(W723,R724)</f>
        <v/>
      </c>
      <c r="X724" s="4">
        <f>IF(W724&gt;0,R724/W724-1,-1)</f>
        <v/>
      </c>
      <c r="Y724" s="19">
        <f>IF(R724&gt;0,S724*資金模擬!$B$7/R724,0)</f>
        <v/>
      </c>
      <c r="Z724" s="2">
        <f>IF(OR(Z723=1,R724&lt;=資金模擬!$B$10),1,0)</f>
        <v/>
      </c>
    </row>
    <row r="725">
      <c r="A725" s="2" t="n">
        <v>723</v>
      </c>
      <c r="B725" s="7" t="n">
        <v>46287.16666666666</v>
      </c>
      <c r="C725" s="2" t="inlineStr">
        <is>
          <t>出場</t>
        </is>
      </c>
      <c r="D725" s="2" t="n">
        <v>363</v>
      </c>
      <c r="E725" s="2" t="inlineStr">
        <is>
          <t>NIL_USDT_PERP</t>
        </is>
      </c>
      <c r="F725" s="2" t="inlineStr">
        <is>
          <t>做空</t>
        </is>
      </c>
      <c r="G725" s="20" t="n">
        <v>0.06272</v>
      </c>
      <c r="H725" s="20" t="n">
        <v>0.06083839999999999</v>
      </c>
      <c r="I725" s="20" t="n">
        <v>0.065856</v>
      </c>
      <c r="J725" s="20" t="n">
        <v>0.065856</v>
      </c>
      <c r="K725" s="2" t="inlineStr">
        <is>
          <t>止損</t>
        </is>
      </c>
      <c r="L725" s="5">
        <f>交易明細!K364</f>
        <v/>
      </c>
      <c r="M725" s="19">
        <f>M723</f>
        <v/>
      </c>
      <c r="N725" s="2">
        <f>N723</f>
        <v/>
      </c>
      <c r="O725" s="19">
        <f>O723</f>
        <v/>
      </c>
      <c r="P725" s="4">
        <f>交易明細!L364</f>
        <v/>
      </c>
      <c r="Q725" s="13">
        <f>IF(N725="已下單",O725*P725,0)</f>
        <v/>
      </c>
      <c r="R725" s="13">
        <f>R724+Q725</f>
        <v/>
      </c>
      <c r="S725" s="19">
        <f>S724-IF(N725="已下單",M725,0)</f>
        <v/>
      </c>
      <c r="T725" s="19">
        <f>R725-S725</f>
        <v/>
      </c>
      <c r="U725" s="2">
        <f>U724-IF(N725="已下單",1,0)</f>
        <v/>
      </c>
      <c r="V725" s="19">
        <f>IF(資金模擬!$B$9=2,MAX(R725,0),MAX(V724,FLOOR(MAX(R725,0),資金模擬!$B$6)))</f>
        <v/>
      </c>
      <c r="W725" s="13">
        <f>MAX(W724,R725)</f>
        <v/>
      </c>
      <c r="X725" s="4">
        <f>IF(W725&gt;0,R725/W725-1,-1)</f>
        <v/>
      </c>
      <c r="Y725" s="19">
        <f>IF(R725&gt;0,S725*資金模擬!$B$7/R725,0)</f>
        <v/>
      </c>
      <c r="Z725" s="2">
        <f>IF(OR(Z724=1,R725&lt;=資金模擬!$B$10),1,0)</f>
        <v/>
      </c>
    </row>
    <row r="726">
      <c r="A726" s="2" t="n">
        <v>724</v>
      </c>
      <c r="B726" s="7" t="n">
        <v>46287.16666666666</v>
      </c>
      <c r="C726" s="2" t="inlineStr">
        <is>
          <t>進場</t>
        </is>
      </c>
      <c r="D726" s="2" t="n">
        <v>364</v>
      </c>
      <c r="E726" s="2" t="inlineStr">
        <is>
          <t>SUI_USDT_PERP</t>
        </is>
      </c>
      <c r="F726" s="2" t="inlineStr">
        <is>
          <t>做多</t>
        </is>
      </c>
      <c r="G726" s="20" t="n">
        <v>1.0362</v>
      </c>
      <c r="H726" s="20" t="n">
        <v>1.067286</v>
      </c>
      <c r="I726" s="20" t="n">
        <v>0.98439</v>
      </c>
      <c r="J726" s="20" t="n"/>
      <c r="K726" s="2" t="n"/>
      <c r="L726" s="5" t="n"/>
      <c r="M726" s="19">
        <f>資金模擬!$B$5*V725</f>
        <v/>
      </c>
      <c r="N726" s="2">
        <f>IF(Z725=1,"已停止",IF(T725&gt;=M726,"已下單","資金不足略過"))</f>
        <v/>
      </c>
      <c r="O726" s="19">
        <f>IF(N726="已下單",M726*資金模擬!$B$7,0)</f>
        <v/>
      </c>
      <c r="P726" s="4" t="n"/>
      <c r="Q726" s="13" t="n">
        <v>0</v>
      </c>
      <c r="R726" s="13">
        <f>R725+Q726</f>
        <v/>
      </c>
      <c r="S726" s="19">
        <f>S725+IF(N726="已下單",M726,0)</f>
        <v/>
      </c>
      <c r="T726" s="19">
        <f>R726-S726</f>
        <v/>
      </c>
      <c r="U726" s="2">
        <f>U725+IF(N726="已下單",1,0)</f>
        <v/>
      </c>
      <c r="V726" s="19">
        <f>IF(資金模擬!$B$9=2,MAX(R726,0),MAX(V725,FLOOR(MAX(R726,0),資金模擬!$B$6)))</f>
        <v/>
      </c>
      <c r="W726" s="13">
        <f>MAX(W725,R726)</f>
        <v/>
      </c>
      <c r="X726" s="4">
        <f>IF(W726&gt;0,R726/W726-1,-1)</f>
        <v/>
      </c>
      <c r="Y726" s="19">
        <f>IF(R726&gt;0,S726*資金模擬!$B$7/R726,0)</f>
        <v/>
      </c>
      <c r="Z726" s="2">
        <f>IF(OR(Z725=1,R726&lt;=資金模擬!$B$10),1,0)</f>
        <v/>
      </c>
    </row>
    <row r="727">
      <c r="A727" s="2" t="n">
        <v>725</v>
      </c>
      <c r="B727" s="7" t="n">
        <v>46287.16666666666</v>
      </c>
      <c r="C727" s="2" t="inlineStr">
        <is>
          <t>進場</t>
        </is>
      </c>
      <c r="D727" s="2" t="n">
        <v>365</v>
      </c>
      <c r="E727" s="2" t="inlineStr">
        <is>
          <t>ZAMA_USDT_PERP</t>
        </is>
      </c>
      <c r="F727" s="2" t="inlineStr">
        <is>
          <t>做空</t>
        </is>
      </c>
      <c r="G727" s="20" t="n">
        <v>0.09168</v>
      </c>
      <c r="H727" s="20" t="n">
        <v>0.0889296</v>
      </c>
      <c r="I727" s="20" t="n">
        <v>0.096264</v>
      </c>
      <c r="J727" s="20" t="n"/>
      <c r="K727" s="2" t="n"/>
      <c r="L727" s="5" t="n"/>
      <c r="M727" s="19">
        <f>資金模擬!$B$5*V726</f>
        <v/>
      </c>
      <c r="N727" s="2">
        <f>IF(Z726=1,"已停止",IF(T726&gt;=M727,"已下單","資金不足略過"))</f>
        <v/>
      </c>
      <c r="O727" s="19">
        <f>IF(N727="已下單",M727*資金模擬!$B$7,0)</f>
        <v/>
      </c>
      <c r="P727" s="4" t="n"/>
      <c r="Q727" s="13" t="n">
        <v>0</v>
      </c>
      <c r="R727" s="13">
        <f>R726+Q727</f>
        <v/>
      </c>
      <c r="S727" s="19">
        <f>S726+IF(N727="已下單",M727,0)</f>
        <v/>
      </c>
      <c r="T727" s="19">
        <f>R727-S727</f>
        <v/>
      </c>
      <c r="U727" s="2">
        <f>U726+IF(N727="已下單",1,0)</f>
        <v/>
      </c>
      <c r="V727" s="19">
        <f>IF(資金模擬!$B$9=2,MAX(R727,0),MAX(V726,FLOOR(MAX(R727,0),資金模擬!$B$6)))</f>
        <v/>
      </c>
      <c r="W727" s="13">
        <f>MAX(W726,R727)</f>
        <v/>
      </c>
      <c r="X727" s="4">
        <f>IF(W727&gt;0,R727/W727-1,-1)</f>
        <v/>
      </c>
      <c r="Y727" s="19">
        <f>IF(R727&gt;0,S727*資金模擬!$B$7/R727,0)</f>
        <v/>
      </c>
      <c r="Z727" s="2">
        <f>IF(OR(Z726=1,R727&lt;=資金模擬!$B$10),1,0)</f>
        <v/>
      </c>
    </row>
    <row r="728">
      <c r="A728" s="2" t="n">
        <v>726</v>
      </c>
      <c r="B728" s="7" t="n">
        <v>46287.20833333334</v>
      </c>
      <c r="C728" s="2" t="inlineStr">
        <is>
          <t>進場</t>
        </is>
      </c>
      <c r="D728" s="2" t="n">
        <v>366</v>
      </c>
      <c r="E728" s="2" t="inlineStr">
        <is>
          <t>ARB_USDT_PERP</t>
        </is>
      </c>
      <c r="F728" s="2" t="inlineStr">
        <is>
          <t>做空</t>
        </is>
      </c>
      <c r="G728" s="20" t="n">
        <v>0.2221</v>
      </c>
      <c r="H728" s="20" t="n">
        <v>0.215437</v>
      </c>
      <c r="I728" s="20" t="n">
        <v>0.233205</v>
      </c>
      <c r="J728" s="20" t="n"/>
      <c r="K728" s="2" t="n"/>
      <c r="L728" s="5" t="n"/>
      <c r="M728" s="19">
        <f>資金模擬!$B$5*V727</f>
        <v/>
      </c>
      <c r="N728" s="2">
        <f>IF(Z727=1,"已停止",IF(T727&gt;=M728,"已下單","資金不足略過"))</f>
        <v/>
      </c>
      <c r="O728" s="19">
        <f>IF(N728="已下單",M728*資金模擬!$B$7,0)</f>
        <v/>
      </c>
      <c r="P728" s="4" t="n"/>
      <c r="Q728" s="13" t="n">
        <v>0</v>
      </c>
      <c r="R728" s="13">
        <f>R727+Q728</f>
        <v/>
      </c>
      <c r="S728" s="19">
        <f>S727+IF(N728="已下單",M728,0)</f>
        <v/>
      </c>
      <c r="T728" s="19">
        <f>R728-S728</f>
        <v/>
      </c>
      <c r="U728" s="2">
        <f>U727+IF(N728="已下單",1,0)</f>
        <v/>
      </c>
      <c r="V728" s="19">
        <f>IF(資金模擬!$B$9=2,MAX(R728,0),MAX(V727,FLOOR(MAX(R728,0),資金模擬!$B$6)))</f>
        <v/>
      </c>
      <c r="W728" s="13">
        <f>MAX(W727,R728)</f>
        <v/>
      </c>
      <c r="X728" s="4">
        <f>IF(W728&gt;0,R728/W728-1,-1)</f>
        <v/>
      </c>
      <c r="Y728" s="19">
        <f>IF(R728&gt;0,S728*資金模擬!$B$7/R728,0)</f>
        <v/>
      </c>
      <c r="Z728" s="2">
        <f>IF(OR(Z727=1,R728&lt;=資金模擬!$B$10),1,0)</f>
        <v/>
      </c>
    </row>
    <row r="729">
      <c r="A729" s="2" t="n">
        <v>727</v>
      </c>
      <c r="B729" s="7" t="n">
        <v>46287.20833333334</v>
      </c>
      <c r="C729" s="2" t="inlineStr">
        <is>
          <t>進場</t>
        </is>
      </c>
      <c r="D729" s="2" t="n">
        <v>367</v>
      </c>
      <c r="E729" s="2" t="inlineStr">
        <is>
          <t>NEAR_USDT_PERP</t>
        </is>
      </c>
      <c r="F729" s="2" t="inlineStr">
        <is>
          <t>做空</t>
        </is>
      </c>
      <c r="G729" s="20" t="n">
        <v>4.073</v>
      </c>
      <c r="H729" s="20" t="n">
        <v>3.95081</v>
      </c>
      <c r="I729" s="20" t="n">
        <v>4.276650000000001</v>
      </c>
      <c r="J729" s="20" t="n"/>
      <c r="K729" s="2" t="n"/>
      <c r="L729" s="5" t="n"/>
      <c r="M729" s="19">
        <f>資金模擬!$B$5*V728</f>
        <v/>
      </c>
      <c r="N729" s="2">
        <f>IF(Z728=1,"已停止",IF(T728&gt;=M729,"已下單","資金不足略過"))</f>
        <v/>
      </c>
      <c r="O729" s="19">
        <f>IF(N729="已下單",M729*資金模擬!$B$7,0)</f>
        <v/>
      </c>
      <c r="P729" s="4" t="n"/>
      <c r="Q729" s="13" t="n">
        <v>0</v>
      </c>
      <c r="R729" s="13">
        <f>R728+Q729</f>
        <v/>
      </c>
      <c r="S729" s="19">
        <f>S728+IF(N729="已下單",M729,0)</f>
        <v/>
      </c>
      <c r="T729" s="19">
        <f>R729-S729</f>
        <v/>
      </c>
      <c r="U729" s="2">
        <f>U728+IF(N729="已下單",1,0)</f>
        <v/>
      </c>
      <c r="V729" s="19">
        <f>IF(資金模擬!$B$9=2,MAX(R729,0),MAX(V728,FLOOR(MAX(R729,0),資金模擬!$B$6)))</f>
        <v/>
      </c>
      <c r="W729" s="13">
        <f>MAX(W728,R729)</f>
        <v/>
      </c>
      <c r="X729" s="4">
        <f>IF(W729&gt;0,R729/W729-1,-1)</f>
        <v/>
      </c>
      <c r="Y729" s="19">
        <f>IF(R729&gt;0,S729*資金模擬!$B$7/R729,0)</f>
        <v/>
      </c>
      <c r="Z729" s="2">
        <f>IF(OR(Z728=1,R729&lt;=資金模擬!$B$10),1,0)</f>
        <v/>
      </c>
    </row>
    <row r="730">
      <c r="A730" s="2" t="n">
        <v>728</v>
      </c>
      <c r="B730" s="7" t="n">
        <v>46287.20833333334</v>
      </c>
      <c r="C730" s="2" t="inlineStr">
        <is>
          <t>進場</t>
        </is>
      </c>
      <c r="D730" s="2" t="n">
        <v>368</v>
      </c>
      <c r="E730" s="2" t="inlineStr">
        <is>
          <t>WLD_USDT_PERP</t>
        </is>
      </c>
      <c r="F730" s="2" t="inlineStr">
        <is>
          <t>做多</t>
        </is>
      </c>
      <c r="G730" s="20" t="n">
        <v>0.4636</v>
      </c>
      <c r="H730" s="20" t="n">
        <v>0.477508</v>
      </c>
      <c r="I730" s="20" t="n">
        <v>0.44042</v>
      </c>
      <c r="J730" s="20" t="n"/>
      <c r="K730" s="2" t="n"/>
      <c r="L730" s="5" t="n"/>
      <c r="M730" s="19">
        <f>資金模擬!$B$5*V729</f>
        <v/>
      </c>
      <c r="N730" s="2">
        <f>IF(Z729=1,"已停止",IF(T729&gt;=M730,"已下單","資金不足略過"))</f>
        <v/>
      </c>
      <c r="O730" s="19">
        <f>IF(N730="已下單",M730*資金模擬!$B$7,0)</f>
        <v/>
      </c>
      <c r="P730" s="4" t="n"/>
      <c r="Q730" s="13" t="n">
        <v>0</v>
      </c>
      <c r="R730" s="13">
        <f>R729+Q730</f>
        <v/>
      </c>
      <c r="S730" s="19">
        <f>S729+IF(N730="已下單",M730,0)</f>
        <v/>
      </c>
      <c r="T730" s="19">
        <f>R730-S730</f>
        <v/>
      </c>
      <c r="U730" s="2">
        <f>U729+IF(N730="已下單",1,0)</f>
        <v/>
      </c>
      <c r="V730" s="19">
        <f>IF(資金模擬!$B$9=2,MAX(R730,0),MAX(V729,FLOOR(MAX(R730,0),資金模擬!$B$6)))</f>
        <v/>
      </c>
      <c r="W730" s="13">
        <f>MAX(W729,R730)</f>
        <v/>
      </c>
      <c r="X730" s="4">
        <f>IF(W730&gt;0,R730/W730-1,-1)</f>
        <v/>
      </c>
      <c r="Y730" s="19">
        <f>IF(R730&gt;0,S730*資金模擬!$B$7/R730,0)</f>
        <v/>
      </c>
      <c r="Z730" s="2">
        <f>IF(OR(Z729=1,R730&lt;=資金模擬!$B$10),1,0)</f>
        <v/>
      </c>
    </row>
    <row r="731">
      <c r="A731" s="2" t="n">
        <v>729</v>
      </c>
      <c r="B731" s="7" t="n">
        <v>46287.25</v>
      </c>
      <c r="C731" s="2" t="inlineStr">
        <is>
          <t>出場</t>
        </is>
      </c>
      <c r="D731" s="2" t="n">
        <v>360</v>
      </c>
      <c r="E731" s="2" t="inlineStr">
        <is>
          <t>VVV_USDT_PERP</t>
        </is>
      </c>
      <c r="F731" s="2" t="inlineStr">
        <is>
          <t>做空</t>
        </is>
      </c>
      <c r="G731" s="20" t="n">
        <v>31.09</v>
      </c>
      <c r="H731" s="20" t="n">
        <v>30.1573</v>
      </c>
      <c r="I731" s="20" t="n">
        <v>32.6445</v>
      </c>
      <c r="J731" s="20" t="n">
        <v>32.6445</v>
      </c>
      <c r="K731" s="2" t="inlineStr">
        <is>
          <t>止損</t>
        </is>
      </c>
      <c r="L731" s="5">
        <f>交易明細!K361</f>
        <v/>
      </c>
      <c r="M731" s="19">
        <f>M716</f>
        <v/>
      </c>
      <c r="N731" s="2">
        <f>N716</f>
        <v/>
      </c>
      <c r="O731" s="19">
        <f>O716</f>
        <v/>
      </c>
      <c r="P731" s="4">
        <f>交易明細!L361</f>
        <v/>
      </c>
      <c r="Q731" s="13">
        <f>IF(N731="已下單",O731*P731,0)</f>
        <v/>
      </c>
      <c r="R731" s="13">
        <f>R730+Q731</f>
        <v/>
      </c>
      <c r="S731" s="19">
        <f>S730-IF(N731="已下單",M731,0)</f>
        <v/>
      </c>
      <c r="T731" s="19">
        <f>R731-S731</f>
        <v/>
      </c>
      <c r="U731" s="2">
        <f>U730-IF(N731="已下單",1,0)</f>
        <v/>
      </c>
      <c r="V731" s="19">
        <f>IF(資金模擬!$B$9=2,MAX(R731,0),MAX(V730,FLOOR(MAX(R731,0),資金模擬!$B$6)))</f>
        <v/>
      </c>
      <c r="W731" s="13">
        <f>MAX(W730,R731)</f>
        <v/>
      </c>
      <c r="X731" s="4">
        <f>IF(W731&gt;0,R731/W731-1,-1)</f>
        <v/>
      </c>
      <c r="Y731" s="19">
        <f>IF(R731&gt;0,S731*資金模擬!$B$7/R731,0)</f>
        <v/>
      </c>
      <c r="Z731" s="2">
        <f>IF(OR(Z730=1,R731&lt;=資金模擬!$B$10),1,0)</f>
        <v/>
      </c>
    </row>
    <row r="732">
      <c r="A732" s="2" t="n">
        <v>730</v>
      </c>
      <c r="B732" s="7" t="n">
        <v>46287.25</v>
      </c>
      <c r="C732" s="2" t="inlineStr">
        <is>
          <t>進場</t>
        </is>
      </c>
      <c r="D732" s="2" t="n">
        <v>369</v>
      </c>
      <c r="E732" s="2" t="inlineStr">
        <is>
          <t>BTW_USDT_PERP</t>
        </is>
      </c>
      <c r="F732" s="2" t="inlineStr">
        <is>
          <t>做多</t>
        </is>
      </c>
      <c r="G732" s="20" t="n">
        <v>0.873247</v>
      </c>
      <c r="H732" s="20" t="n">
        <v>0.89944441</v>
      </c>
      <c r="I732" s="20" t="n">
        <v>0.8295846499999999</v>
      </c>
      <c r="J732" s="20" t="n"/>
      <c r="K732" s="2" t="n"/>
      <c r="L732" s="5" t="n"/>
      <c r="M732" s="19">
        <f>資金模擬!$B$5*V731</f>
        <v/>
      </c>
      <c r="N732" s="2">
        <f>IF(Z731=1,"已停止",IF(T731&gt;=M732,"已下單","資金不足略過"))</f>
        <v/>
      </c>
      <c r="O732" s="19">
        <f>IF(N732="已下單",M732*資金模擬!$B$7,0)</f>
        <v/>
      </c>
      <c r="P732" s="4" t="n"/>
      <c r="Q732" s="13" t="n">
        <v>0</v>
      </c>
      <c r="R732" s="13">
        <f>R731+Q732</f>
        <v/>
      </c>
      <c r="S732" s="19">
        <f>S731+IF(N732="已下單",M732,0)</f>
        <v/>
      </c>
      <c r="T732" s="19">
        <f>R732-S732</f>
        <v/>
      </c>
      <c r="U732" s="2">
        <f>U731+IF(N732="已下單",1,0)</f>
        <v/>
      </c>
      <c r="V732" s="19">
        <f>IF(資金模擬!$B$9=2,MAX(R732,0),MAX(V731,FLOOR(MAX(R732,0),資金模擬!$B$6)))</f>
        <v/>
      </c>
      <c r="W732" s="13">
        <f>MAX(W731,R732)</f>
        <v/>
      </c>
      <c r="X732" s="4">
        <f>IF(W732&gt;0,R732/W732-1,-1)</f>
        <v/>
      </c>
      <c r="Y732" s="19">
        <f>IF(R732&gt;0,S732*資金模擬!$B$7/R732,0)</f>
        <v/>
      </c>
      <c r="Z732" s="2">
        <f>IF(OR(Z731=1,R732&lt;=資金模擬!$B$10),1,0)</f>
        <v/>
      </c>
    </row>
    <row r="733">
      <c r="A733" s="2" t="n">
        <v>731</v>
      </c>
      <c r="B733" s="7" t="n">
        <v>46287.29166666666</v>
      </c>
      <c r="C733" s="2" t="inlineStr">
        <is>
          <t>出場</t>
        </is>
      </c>
      <c r="D733" s="2" t="n">
        <v>367</v>
      </c>
      <c r="E733" s="2" t="inlineStr">
        <is>
          <t>NEAR_USDT_PERP</t>
        </is>
      </c>
      <c r="F733" s="2" t="inlineStr">
        <is>
          <t>做空</t>
        </is>
      </c>
      <c r="G733" s="20" t="n">
        <v>4.073</v>
      </c>
      <c r="H733" s="20" t="n">
        <v>3.95081</v>
      </c>
      <c r="I733" s="20" t="n">
        <v>4.276650000000001</v>
      </c>
      <c r="J733" s="20" t="n">
        <v>4.276650000000001</v>
      </c>
      <c r="K733" s="2" t="inlineStr">
        <is>
          <t>止損</t>
        </is>
      </c>
      <c r="L733" s="5">
        <f>交易明細!K368</f>
        <v/>
      </c>
      <c r="M733" s="19">
        <f>M729</f>
        <v/>
      </c>
      <c r="N733" s="2">
        <f>N729</f>
        <v/>
      </c>
      <c r="O733" s="19">
        <f>O729</f>
        <v/>
      </c>
      <c r="P733" s="4">
        <f>交易明細!L368</f>
        <v/>
      </c>
      <c r="Q733" s="13">
        <f>IF(N733="已下單",O733*P733,0)</f>
        <v/>
      </c>
      <c r="R733" s="13">
        <f>R732+Q733</f>
        <v/>
      </c>
      <c r="S733" s="19">
        <f>S732-IF(N733="已下單",M733,0)</f>
        <v/>
      </c>
      <c r="T733" s="19">
        <f>R733-S733</f>
        <v/>
      </c>
      <c r="U733" s="2">
        <f>U732-IF(N733="已下單",1,0)</f>
        <v/>
      </c>
      <c r="V733" s="19">
        <f>IF(資金模擬!$B$9=2,MAX(R733,0),MAX(V732,FLOOR(MAX(R733,0),資金模擬!$B$6)))</f>
        <v/>
      </c>
      <c r="W733" s="13">
        <f>MAX(W732,R733)</f>
        <v/>
      </c>
      <c r="X733" s="4">
        <f>IF(W733&gt;0,R733/W733-1,-1)</f>
        <v/>
      </c>
      <c r="Y733" s="19">
        <f>IF(R733&gt;0,S733*資金模擬!$B$7/R733,0)</f>
        <v/>
      </c>
      <c r="Z733" s="2">
        <f>IF(OR(Z732=1,R733&lt;=資金模擬!$B$10),1,0)</f>
        <v/>
      </c>
    </row>
    <row r="734">
      <c r="A734" s="2" t="n">
        <v>732</v>
      </c>
      <c r="B734" s="7" t="n">
        <v>46287.29166666666</v>
      </c>
      <c r="C734" s="2" t="inlineStr">
        <is>
          <t>出場</t>
        </is>
      </c>
      <c r="D734" s="2" t="n">
        <v>369</v>
      </c>
      <c r="E734" s="2" t="inlineStr">
        <is>
          <t>BTW_USDT_PERP</t>
        </is>
      </c>
      <c r="F734" s="2" t="inlineStr">
        <is>
          <t>做多</t>
        </is>
      </c>
      <c r="G734" s="20" t="n">
        <v>0.873247</v>
      </c>
      <c r="H734" s="20" t="n">
        <v>0.89944441</v>
      </c>
      <c r="I734" s="20" t="n">
        <v>0.8295846499999999</v>
      </c>
      <c r="J734" s="20" t="n">
        <v>0.8295846499999999</v>
      </c>
      <c r="K734" s="2" t="inlineStr">
        <is>
          <t>止損</t>
        </is>
      </c>
      <c r="L734" s="5">
        <f>交易明細!K370</f>
        <v/>
      </c>
      <c r="M734" s="19">
        <f>M732</f>
        <v/>
      </c>
      <c r="N734" s="2">
        <f>N732</f>
        <v/>
      </c>
      <c r="O734" s="19">
        <f>O732</f>
        <v/>
      </c>
      <c r="P734" s="4">
        <f>交易明細!L370</f>
        <v/>
      </c>
      <c r="Q734" s="13">
        <f>IF(N734="已下單",O734*P734,0)</f>
        <v/>
      </c>
      <c r="R734" s="13">
        <f>R733+Q734</f>
        <v/>
      </c>
      <c r="S734" s="19">
        <f>S733-IF(N734="已下單",M734,0)</f>
        <v/>
      </c>
      <c r="T734" s="19">
        <f>R734-S734</f>
        <v/>
      </c>
      <c r="U734" s="2">
        <f>U733-IF(N734="已下單",1,0)</f>
        <v/>
      </c>
      <c r="V734" s="19">
        <f>IF(資金模擬!$B$9=2,MAX(R734,0),MAX(V733,FLOOR(MAX(R734,0),資金模擬!$B$6)))</f>
        <v/>
      </c>
      <c r="W734" s="13">
        <f>MAX(W733,R734)</f>
        <v/>
      </c>
      <c r="X734" s="4">
        <f>IF(W734&gt;0,R734/W734-1,-1)</f>
        <v/>
      </c>
      <c r="Y734" s="19">
        <f>IF(R734&gt;0,S734*資金模擬!$B$7/R734,0)</f>
        <v/>
      </c>
      <c r="Z734" s="2">
        <f>IF(OR(Z733=1,R734&lt;=資金模擬!$B$10),1,0)</f>
        <v/>
      </c>
    </row>
    <row r="735">
      <c r="A735" s="2" t="n">
        <v>733</v>
      </c>
      <c r="B735" s="7" t="n">
        <v>46287.29166666666</v>
      </c>
      <c r="C735" s="2" t="inlineStr">
        <is>
          <t>進場</t>
        </is>
      </c>
      <c r="D735" s="2" t="n">
        <v>370</v>
      </c>
      <c r="E735" s="2" t="inlineStr">
        <is>
          <t>FET_USDT_PERP</t>
        </is>
      </c>
      <c r="F735" s="2" t="inlineStr">
        <is>
          <t>做多</t>
        </is>
      </c>
      <c r="G735" s="20" t="n">
        <v>0.2047</v>
      </c>
      <c r="H735" s="20" t="n">
        <v>0.210841</v>
      </c>
      <c r="I735" s="20" t="n">
        <v>0.194465</v>
      </c>
      <c r="J735" s="20" t="n"/>
      <c r="K735" s="2" t="n"/>
      <c r="L735" s="5" t="n"/>
      <c r="M735" s="19">
        <f>資金模擬!$B$5*V734</f>
        <v/>
      </c>
      <c r="N735" s="2">
        <f>IF(Z734=1,"已停止",IF(T734&gt;=M735,"已下單","資金不足略過"))</f>
        <v/>
      </c>
      <c r="O735" s="19">
        <f>IF(N735="已下單",M735*資金模擬!$B$7,0)</f>
        <v/>
      </c>
      <c r="P735" s="4" t="n"/>
      <c r="Q735" s="13" t="n">
        <v>0</v>
      </c>
      <c r="R735" s="13">
        <f>R734+Q735</f>
        <v/>
      </c>
      <c r="S735" s="19">
        <f>S734+IF(N735="已下單",M735,0)</f>
        <v/>
      </c>
      <c r="T735" s="19">
        <f>R735-S735</f>
        <v/>
      </c>
      <c r="U735" s="2">
        <f>U734+IF(N735="已下單",1,0)</f>
        <v/>
      </c>
      <c r="V735" s="19">
        <f>IF(資金模擬!$B$9=2,MAX(R735,0),MAX(V734,FLOOR(MAX(R735,0),資金模擬!$B$6)))</f>
        <v/>
      </c>
      <c r="W735" s="13">
        <f>MAX(W734,R735)</f>
        <v/>
      </c>
      <c r="X735" s="4">
        <f>IF(W735&gt;0,R735/W735-1,-1)</f>
        <v/>
      </c>
      <c r="Y735" s="19">
        <f>IF(R735&gt;0,S735*資金模擬!$B$7/R735,0)</f>
        <v/>
      </c>
      <c r="Z735" s="2">
        <f>IF(OR(Z734=1,R735&lt;=資金模擬!$B$10),1,0)</f>
        <v/>
      </c>
    </row>
    <row r="736">
      <c r="A736" s="2" t="n">
        <v>734</v>
      </c>
      <c r="B736" s="7" t="n">
        <v>46287.29166666666</v>
      </c>
      <c r="C736" s="2" t="inlineStr">
        <is>
          <t>進場</t>
        </is>
      </c>
      <c r="D736" s="2" t="n">
        <v>371</v>
      </c>
      <c r="E736" s="2" t="inlineStr">
        <is>
          <t>INJ_USDT_PERP</t>
        </is>
      </c>
      <c r="F736" s="2" t="inlineStr">
        <is>
          <t>做多</t>
        </is>
      </c>
      <c r="G736" s="20" t="n">
        <v>7.909</v>
      </c>
      <c r="H736" s="20" t="n">
        <v>8.146269999999999</v>
      </c>
      <c r="I736" s="20" t="n">
        <v>7.51355</v>
      </c>
      <c r="J736" s="20" t="n"/>
      <c r="K736" s="2" t="n"/>
      <c r="L736" s="5" t="n"/>
      <c r="M736" s="19">
        <f>資金模擬!$B$5*V735</f>
        <v/>
      </c>
      <c r="N736" s="2">
        <f>IF(Z735=1,"已停止",IF(T735&gt;=M736,"已下單","資金不足略過"))</f>
        <v/>
      </c>
      <c r="O736" s="19">
        <f>IF(N736="已下單",M736*資金模擬!$B$7,0)</f>
        <v/>
      </c>
      <c r="P736" s="4" t="n"/>
      <c r="Q736" s="13" t="n">
        <v>0</v>
      </c>
      <c r="R736" s="13">
        <f>R735+Q736</f>
        <v/>
      </c>
      <c r="S736" s="19">
        <f>S735+IF(N736="已下單",M736,0)</f>
        <v/>
      </c>
      <c r="T736" s="19">
        <f>R736-S736</f>
        <v/>
      </c>
      <c r="U736" s="2">
        <f>U735+IF(N736="已下單",1,0)</f>
        <v/>
      </c>
      <c r="V736" s="19">
        <f>IF(資金模擬!$B$9=2,MAX(R736,0),MAX(V735,FLOOR(MAX(R736,0),資金模擬!$B$6)))</f>
        <v/>
      </c>
      <c r="W736" s="13">
        <f>MAX(W735,R736)</f>
        <v/>
      </c>
      <c r="X736" s="4">
        <f>IF(W736&gt;0,R736/W736-1,-1)</f>
        <v/>
      </c>
      <c r="Y736" s="19">
        <f>IF(R736&gt;0,S736*資金模擬!$B$7/R736,0)</f>
        <v/>
      </c>
      <c r="Z736" s="2">
        <f>IF(OR(Z735=1,R736&lt;=資金模擬!$B$10),1,0)</f>
        <v/>
      </c>
    </row>
    <row r="737">
      <c r="A737" s="2" t="n">
        <v>735</v>
      </c>
      <c r="B737" s="7" t="n">
        <v>46287.29166666666</v>
      </c>
      <c r="C737" s="2" t="inlineStr">
        <is>
          <t>進場</t>
        </is>
      </c>
      <c r="D737" s="2" t="n">
        <v>372</v>
      </c>
      <c r="E737" s="2" t="inlineStr">
        <is>
          <t>UNI_USDT_PERP</t>
        </is>
      </c>
      <c r="F737" s="2" t="inlineStr">
        <is>
          <t>做多</t>
        </is>
      </c>
      <c r="G737" s="20" t="n">
        <v>8.986000000000001</v>
      </c>
      <c r="H737" s="20" t="n">
        <v>9.25558</v>
      </c>
      <c r="I737" s="20" t="n">
        <v>8.5367</v>
      </c>
      <c r="J737" s="20" t="n"/>
      <c r="K737" s="2" t="n"/>
      <c r="L737" s="5" t="n"/>
      <c r="M737" s="19">
        <f>資金模擬!$B$5*V736</f>
        <v/>
      </c>
      <c r="N737" s="2">
        <f>IF(Z736=1,"已停止",IF(T736&gt;=M737,"已下單","資金不足略過"))</f>
        <v/>
      </c>
      <c r="O737" s="19">
        <f>IF(N737="已下單",M737*資金模擬!$B$7,0)</f>
        <v/>
      </c>
      <c r="P737" s="4" t="n"/>
      <c r="Q737" s="13" t="n">
        <v>0</v>
      </c>
      <c r="R737" s="13">
        <f>R736+Q737</f>
        <v/>
      </c>
      <c r="S737" s="19">
        <f>S736+IF(N737="已下單",M737,0)</f>
        <v/>
      </c>
      <c r="T737" s="19">
        <f>R737-S737</f>
        <v/>
      </c>
      <c r="U737" s="2">
        <f>U736+IF(N737="已下單",1,0)</f>
        <v/>
      </c>
      <c r="V737" s="19">
        <f>IF(資金模擬!$B$9=2,MAX(R737,0),MAX(V736,FLOOR(MAX(R737,0),資金模擬!$B$6)))</f>
        <v/>
      </c>
      <c r="W737" s="13">
        <f>MAX(W736,R737)</f>
        <v/>
      </c>
      <c r="X737" s="4">
        <f>IF(W737&gt;0,R737/W737-1,-1)</f>
        <v/>
      </c>
      <c r="Y737" s="19">
        <f>IF(R737&gt;0,S737*資金模擬!$B$7/R737,0)</f>
        <v/>
      </c>
      <c r="Z737" s="2">
        <f>IF(OR(Z736=1,R737&lt;=資金模擬!$B$10),1,0)</f>
        <v/>
      </c>
    </row>
    <row r="738">
      <c r="A738" s="2" t="n">
        <v>736</v>
      </c>
      <c r="B738" s="7" t="n">
        <v>46287.33333333334</v>
      </c>
      <c r="C738" s="2" t="inlineStr">
        <is>
          <t>出場</t>
        </is>
      </c>
      <c r="D738" s="2" t="n">
        <v>359</v>
      </c>
      <c r="E738" s="2" t="inlineStr">
        <is>
          <t>LSK_USDT_PERP</t>
        </is>
      </c>
      <c r="F738" s="2" t="inlineStr">
        <is>
          <t>做空</t>
        </is>
      </c>
      <c r="G738" s="20" t="n">
        <v>0.3723</v>
      </c>
      <c r="H738" s="20" t="n">
        <v>0.361131</v>
      </c>
      <c r="I738" s="20" t="n">
        <v>0.390915</v>
      </c>
      <c r="J738" s="20" t="n">
        <v>0.361131</v>
      </c>
      <c r="K738" s="2" t="inlineStr">
        <is>
          <t>止盈</t>
        </is>
      </c>
      <c r="L738" s="5">
        <f>交易明細!K360</f>
        <v/>
      </c>
      <c r="M738" s="19">
        <f>M715</f>
        <v/>
      </c>
      <c r="N738" s="2">
        <f>N715</f>
        <v/>
      </c>
      <c r="O738" s="19">
        <f>O715</f>
        <v/>
      </c>
      <c r="P738" s="4">
        <f>交易明細!L360</f>
        <v/>
      </c>
      <c r="Q738" s="13">
        <f>IF(N738="已下單",O738*P738,0)</f>
        <v/>
      </c>
      <c r="R738" s="13">
        <f>R737+Q738</f>
        <v/>
      </c>
      <c r="S738" s="19">
        <f>S737-IF(N738="已下單",M738,0)</f>
        <v/>
      </c>
      <c r="T738" s="19">
        <f>R738-S738</f>
        <v/>
      </c>
      <c r="U738" s="2">
        <f>U737-IF(N738="已下單",1,0)</f>
        <v/>
      </c>
      <c r="V738" s="19">
        <f>IF(資金模擬!$B$9=2,MAX(R738,0),MAX(V737,FLOOR(MAX(R738,0),資金模擬!$B$6)))</f>
        <v/>
      </c>
      <c r="W738" s="13">
        <f>MAX(W737,R738)</f>
        <v/>
      </c>
      <c r="X738" s="4">
        <f>IF(W738&gt;0,R738/W738-1,-1)</f>
        <v/>
      </c>
      <c r="Y738" s="19">
        <f>IF(R738&gt;0,S738*資金模擬!$B$7/R738,0)</f>
        <v/>
      </c>
      <c r="Z738" s="2">
        <f>IF(OR(Z737=1,R738&lt;=資金模擬!$B$10),1,0)</f>
        <v/>
      </c>
    </row>
    <row r="739">
      <c r="A739" s="2" t="n">
        <v>737</v>
      </c>
      <c r="B739" s="7" t="n">
        <v>46287.33333333334</v>
      </c>
      <c r="C739" s="2" t="inlineStr">
        <is>
          <t>出場</t>
        </is>
      </c>
      <c r="D739" s="2" t="n">
        <v>365</v>
      </c>
      <c r="E739" s="2" t="inlineStr">
        <is>
          <t>ZAMA_USDT_PERP</t>
        </is>
      </c>
      <c r="F739" s="2" t="inlineStr">
        <is>
          <t>做空</t>
        </is>
      </c>
      <c r="G739" s="20" t="n">
        <v>0.09168</v>
      </c>
      <c r="H739" s="20" t="n">
        <v>0.0889296</v>
      </c>
      <c r="I739" s="20" t="n">
        <v>0.096264</v>
      </c>
      <c r="J739" s="20" t="n">
        <v>0.096264</v>
      </c>
      <c r="K739" s="2" t="inlineStr">
        <is>
          <t>止損</t>
        </is>
      </c>
      <c r="L739" s="5">
        <f>交易明細!K366</f>
        <v/>
      </c>
      <c r="M739" s="19">
        <f>M727</f>
        <v/>
      </c>
      <c r="N739" s="2">
        <f>N727</f>
        <v/>
      </c>
      <c r="O739" s="19">
        <f>O727</f>
        <v/>
      </c>
      <c r="P739" s="4">
        <f>交易明細!L366</f>
        <v/>
      </c>
      <c r="Q739" s="13">
        <f>IF(N739="已下單",O739*P739,0)</f>
        <v/>
      </c>
      <c r="R739" s="13">
        <f>R738+Q739</f>
        <v/>
      </c>
      <c r="S739" s="19">
        <f>S738-IF(N739="已下單",M739,0)</f>
        <v/>
      </c>
      <c r="T739" s="19">
        <f>R739-S739</f>
        <v/>
      </c>
      <c r="U739" s="2">
        <f>U738-IF(N739="已下單",1,0)</f>
        <v/>
      </c>
      <c r="V739" s="19">
        <f>IF(資金模擬!$B$9=2,MAX(R739,0),MAX(V738,FLOOR(MAX(R739,0),資金模擬!$B$6)))</f>
        <v/>
      </c>
      <c r="W739" s="13">
        <f>MAX(W738,R739)</f>
        <v/>
      </c>
      <c r="X739" s="4">
        <f>IF(W739&gt;0,R739/W739-1,-1)</f>
        <v/>
      </c>
      <c r="Y739" s="19">
        <f>IF(R739&gt;0,S739*資金模擬!$B$7/R739,0)</f>
        <v/>
      </c>
      <c r="Z739" s="2">
        <f>IF(OR(Z738=1,R739&lt;=資金模擬!$B$10),1,0)</f>
        <v/>
      </c>
    </row>
    <row r="740">
      <c r="A740" s="2" t="n">
        <v>738</v>
      </c>
      <c r="B740" s="7" t="n">
        <v>46287.375</v>
      </c>
      <c r="C740" s="2" t="inlineStr">
        <is>
          <t>出場</t>
        </is>
      </c>
      <c r="D740" s="2" t="n">
        <v>364</v>
      </c>
      <c r="E740" s="2" t="inlineStr">
        <is>
          <t>SUI_USDT_PERP</t>
        </is>
      </c>
      <c r="F740" s="2" t="inlineStr">
        <is>
          <t>做多</t>
        </is>
      </c>
      <c r="G740" s="20" t="n">
        <v>1.0362</v>
      </c>
      <c r="H740" s="20" t="n">
        <v>1.067286</v>
      </c>
      <c r="I740" s="20" t="n">
        <v>0.98439</v>
      </c>
      <c r="J740" s="20" t="n">
        <v>1.067286</v>
      </c>
      <c r="K740" s="2" t="inlineStr">
        <is>
          <t>止盈</t>
        </is>
      </c>
      <c r="L740" s="5">
        <f>交易明細!K365</f>
        <v/>
      </c>
      <c r="M740" s="19">
        <f>M726</f>
        <v/>
      </c>
      <c r="N740" s="2">
        <f>N726</f>
        <v/>
      </c>
      <c r="O740" s="19">
        <f>O726</f>
        <v/>
      </c>
      <c r="P740" s="4">
        <f>交易明細!L365</f>
        <v/>
      </c>
      <c r="Q740" s="13">
        <f>IF(N740="已下單",O740*P740,0)</f>
        <v/>
      </c>
      <c r="R740" s="13">
        <f>R739+Q740</f>
        <v/>
      </c>
      <c r="S740" s="19">
        <f>S739-IF(N740="已下單",M740,0)</f>
        <v/>
      </c>
      <c r="T740" s="19">
        <f>R740-S740</f>
        <v/>
      </c>
      <c r="U740" s="2">
        <f>U739-IF(N740="已下單",1,0)</f>
        <v/>
      </c>
      <c r="V740" s="19">
        <f>IF(資金模擬!$B$9=2,MAX(R740,0),MAX(V739,FLOOR(MAX(R740,0),資金模擬!$B$6)))</f>
        <v/>
      </c>
      <c r="W740" s="13">
        <f>MAX(W739,R740)</f>
        <v/>
      </c>
      <c r="X740" s="4">
        <f>IF(W740&gt;0,R740/W740-1,-1)</f>
        <v/>
      </c>
      <c r="Y740" s="19">
        <f>IF(R740&gt;0,S740*資金模擬!$B$7/R740,0)</f>
        <v/>
      </c>
      <c r="Z740" s="2">
        <f>IF(OR(Z739=1,R740&lt;=資金模擬!$B$10),1,0)</f>
        <v/>
      </c>
    </row>
    <row r="741">
      <c r="A741" s="2" t="n">
        <v>739</v>
      </c>
      <c r="B741" s="7" t="n">
        <v>46287.375</v>
      </c>
      <c r="C741" s="2" t="inlineStr">
        <is>
          <t>出場</t>
        </is>
      </c>
      <c r="D741" s="2" t="n">
        <v>372</v>
      </c>
      <c r="E741" s="2" t="inlineStr">
        <is>
          <t>UNI_USDT_PERP</t>
        </is>
      </c>
      <c r="F741" s="2" t="inlineStr">
        <is>
          <t>做多</t>
        </is>
      </c>
      <c r="G741" s="20" t="n">
        <v>8.986000000000001</v>
      </c>
      <c r="H741" s="20" t="n">
        <v>9.25558</v>
      </c>
      <c r="I741" s="20" t="n">
        <v>8.5367</v>
      </c>
      <c r="J741" s="20" t="n">
        <v>9.25558</v>
      </c>
      <c r="K741" s="2" t="inlineStr">
        <is>
          <t>止盈</t>
        </is>
      </c>
      <c r="L741" s="5">
        <f>交易明細!K373</f>
        <v/>
      </c>
      <c r="M741" s="19">
        <f>M737</f>
        <v/>
      </c>
      <c r="N741" s="2">
        <f>N737</f>
        <v/>
      </c>
      <c r="O741" s="19">
        <f>O737</f>
        <v/>
      </c>
      <c r="P741" s="4">
        <f>交易明細!L373</f>
        <v/>
      </c>
      <c r="Q741" s="13">
        <f>IF(N741="已下單",O741*P741,0)</f>
        <v/>
      </c>
      <c r="R741" s="13">
        <f>R740+Q741</f>
        <v/>
      </c>
      <c r="S741" s="19">
        <f>S740-IF(N741="已下單",M741,0)</f>
        <v/>
      </c>
      <c r="T741" s="19">
        <f>R741-S741</f>
        <v/>
      </c>
      <c r="U741" s="2">
        <f>U740-IF(N741="已下單",1,0)</f>
        <v/>
      </c>
      <c r="V741" s="19">
        <f>IF(資金模擬!$B$9=2,MAX(R741,0),MAX(V740,FLOOR(MAX(R741,0),資金模擬!$B$6)))</f>
        <v/>
      </c>
      <c r="W741" s="13">
        <f>MAX(W740,R741)</f>
        <v/>
      </c>
      <c r="X741" s="4">
        <f>IF(W741&gt;0,R741/W741-1,-1)</f>
        <v/>
      </c>
      <c r="Y741" s="19">
        <f>IF(R741&gt;0,S741*資金模擬!$B$7/R741,0)</f>
        <v/>
      </c>
      <c r="Z741" s="2">
        <f>IF(OR(Z740=1,R741&lt;=資金模擬!$B$10),1,0)</f>
        <v/>
      </c>
    </row>
    <row r="742">
      <c r="A742" s="2" t="n">
        <v>740</v>
      </c>
      <c r="B742" s="7" t="n">
        <v>46287.375</v>
      </c>
      <c r="C742" s="2" t="inlineStr">
        <is>
          <t>進場</t>
        </is>
      </c>
      <c r="D742" s="2" t="n">
        <v>373</v>
      </c>
      <c r="E742" s="2" t="inlineStr">
        <is>
          <t>PHA_USDT_PERP</t>
        </is>
      </c>
      <c r="F742" s="2" t="inlineStr">
        <is>
          <t>做多</t>
        </is>
      </c>
      <c r="G742" s="20" t="n">
        <v>0.05167</v>
      </c>
      <c r="H742" s="20" t="n">
        <v>0.0532201</v>
      </c>
      <c r="I742" s="20" t="n">
        <v>0.0490865</v>
      </c>
      <c r="J742" s="20" t="n"/>
      <c r="K742" s="2" t="n"/>
      <c r="L742" s="5" t="n"/>
      <c r="M742" s="19">
        <f>資金模擬!$B$5*V741</f>
        <v/>
      </c>
      <c r="N742" s="2">
        <f>IF(Z741=1,"已停止",IF(T741&gt;=M742,"已下單","資金不足略過"))</f>
        <v/>
      </c>
      <c r="O742" s="19">
        <f>IF(N742="已下單",M742*資金模擬!$B$7,0)</f>
        <v/>
      </c>
      <c r="P742" s="4" t="n"/>
      <c r="Q742" s="13" t="n">
        <v>0</v>
      </c>
      <c r="R742" s="13">
        <f>R741+Q742</f>
        <v/>
      </c>
      <c r="S742" s="19">
        <f>S741+IF(N742="已下單",M742,0)</f>
        <v/>
      </c>
      <c r="T742" s="19">
        <f>R742-S742</f>
        <v/>
      </c>
      <c r="U742" s="2">
        <f>U741+IF(N742="已下單",1,0)</f>
        <v/>
      </c>
      <c r="V742" s="19">
        <f>IF(資金模擬!$B$9=2,MAX(R742,0),MAX(V741,FLOOR(MAX(R742,0),資金模擬!$B$6)))</f>
        <v/>
      </c>
      <c r="W742" s="13">
        <f>MAX(W741,R742)</f>
        <v/>
      </c>
      <c r="X742" s="4">
        <f>IF(W742&gt;0,R742/W742-1,-1)</f>
        <v/>
      </c>
      <c r="Y742" s="19">
        <f>IF(R742&gt;0,S742*資金模擬!$B$7/R742,0)</f>
        <v/>
      </c>
      <c r="Z742" s="2">
        <f>IF(OR(Z741=1,R742&lt;=資金模擬!$B$10),1,0)</f>
        <v/>
      </c>
    </row>
    <row r="743">
      <c r="A743" s="2" t="n">
        <v>741</v>
      </c>
      <c r="B743" s="7" t="n">
        <v>46287.375</v>
      </c>
      <c r="C743" s="2" t="inlineStr">
        <is>
          <t>進場</t>
        </is>
      </c>
      <c r="D743" s="2" t="n">
        <v>374</v>
      </c>
      <c r="E743" s="2" t="inlineStr">
        <is>
          <t>USELESS_USDT_PERP</t>
        </is>
      </c>
      <c r="F743" s="2" t="inlineStr">
        <is>
          <t>做多</t>
        </is>
      </c>
      <c r="G743" s="20" t="n">
        <v>0.28673</v>
      </c>
      <c r="H743" s="20" t="n">
        <v>0.2953319</v>
      </c>
      <c r="I743" s="20" t="n">
        <v>0.2723935</v>
      </c>
      <c r="J743" s="20" t="n"/>
      <c r="K743" s="2" t="n"/>
      <c r="L743" s="5" t="n"/>
      <c r="M743" s="19">
        <f>資金模擬!$B$5*V742</f>
        <v/>
      </c>
      <c r="N743" s="2">
        <f>IF(Z742=1,"已停止",IF(T742&gt;=M743,"已下單","資金不足略過"))</f>
        <v/>
      </c>
      <c r="O743" s="19">
        <f>IF(N743="已下單",M743*資金模擬!$B$7,0)</f>
        <v/>
      </c>
      <c r="P743" s="4" t="n"/>
      <c r="Q743" s="13" t="n">
        <v>0</v>
      </c>
      <c r="R743" s="13">
        <f>R742+Q743</f>
        <v/>
      </c>
      <c r="S743" s="19">
        <f>S742+IF(N743="已下單",M743,0)</f>
        <v/>
      </c>
      <c r="T743" s="19">
        <f>R743-S743</f>
        <v/>
      </c>
      <c r="U743" s="2">
        <f>U742+IF(N743="已下單",1,0)</f>
        <v/>
      </c>
      <c r="V743" s="19">
        <f>IF(資金模擬!$B$9=2,MAX(R743,0),MAX(V742,FLOOR(MAX(R743,0),資金模擬!$B$6)))</f>
        <v/>
      </c>
      <c r="W743" s="13">
        <f>MAX(W742,R743)</f>
        <v/>
      </c>
      <c r="X743" s="4">
        <f>IF(W743&gt;0,R743/W743-1,-1)</f>
        <v/>
      </c>
      <c r="Y743" s="19">
        <f>IF(R743&gt;0,S743*資金模擬!$B$7/R743,0)</f>
        <v/>
      </c>
      <c r="Z743" s="2">
        <f>IF(OR(Z742=1,R743&lt;=資金模擬!$B$10),1,0)</f>
        <v/>
      </c>
    </row>
    <row r="744">
      <c r="A744" s="2" t="n">
        <v>742</v>
      </c>
      <c r="B744" s="7" t="n">
        <v>46287.41666666666</v>
      </c>
      <c r="C744" s="2" t="inlineStr">
        <is>
          <t>進場</t>
        </is>
      </c>
      <c r="D744" s="2" t="n">
        <v>375</v>
      </c>
      <c r="E744" s="2" t="inlineStr">
        <is>
          <t>牛来_USDT_PERP</t>
        </is>
      </c>
      <c r="F744" s="2" t="inlineStr">
        <is>
          <t>做空</t>
        </is>
      </c>
      <c r="G744" s="20" t="n">
        <v>0.10653</v>
      </c>
      <c r="H744" s="20" t="n">
        <v>0.1033341</v>
      </c>
      <c r="I744" s="20" t="n">
        <v>0.1118565</v>
      </c>
      <c r="J744" s="20" t="n"/>
      <c r="K744" s="2" t="n"/>
      <c r="L744" s="5" t="n"/>
      <c r="M744" s="19">
        <f>資金模擬!$B$5*V743</f>
        <v/>
      </c>
      <c r="N744" s="2">
        <f>IF(Z743=1,"已停止",IF(T743&gt;=M744,"已下單","資金不足略過"))</f>
        <v/>
      </c>
      <c r="O744" s="19">
        <f>IF(N744="已下單",M744*資金模擬!$B$7,0)</f>
        <v/>
      </c>
      <c r="P744" s="4" t="n"/>
      <c r="Q744" s="13" t="n">
        <v>0</v>
      </c>
      <c r="R744" s="13">
        <f>R743+Q744</f>
        <v/>
      </c>
      <c r="S744" s="19">
        <f>S743+IF(N744="已下單",M744,0)</f>
        <v/>
      </c>
      <c r="T744" s="19">
        <f>R744-S744</f>
        <v/>
      </c>
      <c r="U744" s="2">
        <f>U743+IF(N744="已下單",1,0)</f>
        <v/>
      </c>
      <c r="V744" s="19">
        <f>IF(資金模擬!$B$9=2,MAX(R744,0),MAX(V743,FLOOR(MAX(R744,0),資金模擬!$B$6)))</f>
        <v/>
      </c>
      <c r="W744" s="13">
        <f>MAX(W743,R744)</f>
        <v/>
      </c>
      <c r="X744" s="4">
        <f>IF(W744&gt;0,R744/W744-1,-1)</f>
        <v/>
      </c>
      <c r="Y744" s="19">
        <f>IF(R744&gt;0,S744*資金模擬!$B$7/R744,0)</f>
        <v/>
      </c>
      <c r="Z744" s="2">
        <f>IF(OR(Z743=1,R744&lt;=資金模擬!$B$10),1,0)</f>
        <v/>
      </c>
    </row>
    <row r="745">
      <c r="A745" s="2" t="n">
        <v>743</v>
      </c>
      <c r="B745" s="7" t="n">
        <v>46287.45833333334</v>
      </c>
      <c r="C745" s="2" t="inlineStr">
        <is>
          <t>出場</t>
        </is>
      </c>
      <c r="D745" s="2" t="n">
        <v>373</v>
      </c>
      <c r="E745" s="2" t="inlineStr">
        <is>
          <t>PHA_USDT_PERP</t>
        </is>
      </c>
      <c r="F745" s="2" t="inlineStr">
        <is>
          <t>做多</t>
        </is>
      </c>
      <c r="G745" s="20" t="n">
        <v>0.05167</v>
      </c>
      <c r="H745" s="20" t="n">
        <v>0.0532201</v>
      </c>
      <c r="I745" s="20" t="n">
        <v>0.0490865</v>
      </c>
      <c r="J745" s="20" t="n">
        <v>0.0532201</v>
      </c>
      <c r="K745" s="2" t="inlineStr">
        <is>
          <t>止盈</t>
        </is>
      </c>
      <c r="L745" s="5">
        <f>交易明細!K374</f>
        <v/>
      </c>
      <c r="M745" s="19">
        <f>M742</f>
        <v/>
      </c>
      <c r="N745" s="2">
        <f>N742</f>
        <v/>
      </c>
      <c r="O745" s="19">
        <f>O742</f>
        <v/>
      </c>
      <c r="P745" s="4">
        <f>交易明細!L374</f>
        <v/>
      </c>
      <c r="Q745" s="13">
        <f>IF(N745="已下單",O745*P745,0)</f>
        <v/>
      </c>
      <c r="R745" s="13">
        <f>R744+Q745</f>
        <v/>
      </c>
      <c r="S745" s="19">
        <f>S744-IF(N745="已下單",M745,0)</f>
        <v/>
      </c>
      <c r="T745" s="19">
        <f>R745-S745</f>
        <v/>
      </c>
      <c r="U745" s="2">
        <f>U744-IF(N745="已下單",1,0)</f>
        <v/>
      </c>
      <c r="V745" s="19">
        <f>IF(資金模擬!$B$9=2,MAX(R745,0),MAX(V744,FLOOR(MAX(R745,0),資金模擬!$B$6)))</f>
        <v/>
      </c>
      <c r="W745" s="13">
        <f>MAX(W744,R745)</f>
        <v/>
      </c>
      <c r="X745" s="4">
        <f>IF(W745&gt;0,R745/W745-1,-1)</f>
        <v/>
      </c>
      <c r="Y745" s="19">
        <f>IF(R745&gt;0,S745*資金模擬!$B$7/R745,0)</f>
        <v/>
      </c>
      <c r="Z745" s="2">
        <f>IF(OR(Z744=1,R745&lt;=資金模擬!$B$10),1,0)</f>
        <v/>
      </c>
    </row>
    <row r="746">
      <c r="A746" s="2" t="n">
        <v>744</v>
      </c>
      <c r="B746" s="7" t="n">
        <v>46287.45833333334</v>
      </c>
      <c r="C746" s="2" t="inlineStr">
        <is>
          <t>出場</t>
        </is>
      </c>
      <c r="D746" s="2" t="n">
        <v>374</v>
      </c>
      <c r="E746" s="2" t="inlineStr">
        <is>
          <t>USELESS_USDT_PERP</t>
        </is>
      </c>
      <c r="F746" s="2" t="inlineStr">
        <is>
          <t>做多</t>
        </is>
      </c>
      <c r="G746" s="20" t="n">
        <v>0.28673</v>
      </c>
      <c r="H746" s="20" t="n">
        <v>0.2953319</v>
      </c>
      <c r="I746" s="20" t="n">
        <v>0.2723935</v>
      </c>
      <c r="J746" s="20" t="n">
        <v>0.2723935</v>
      </c>
      <c r="K746" s="2" t="inlineStr">
        <is>
          <t>止損</t>
        </is>
      </c>
      <c r="L746" s="5">
        <f>交易明細!K375</f>
        <v/>
      </c>
      <c r="M746" s="19">
        <f>M743</f>
        <v/>
      </c>
      <c r="N746" s="2">
        <f>N743</f>
        <v/>
      </c>
      <c r="O746" s="19">
        <f>O743</f>
        <v/>
      </c>
      <c r="P746" s="4">
        <f>交易明細!L375</f>
        <v/>
      </c>
      <c r="Q746" s="13">
        <f>IF(N746="已下單",O746*P746,0)</f>
        <v/>
      </c>
      <c r="R746" s="13">
        <f>R745+Q746</f>
        <v/>
      </c>
      <c r="S746" s="19">
        <f>S745-IF(N746="已下單",M746,0)</f>
        <v/>
      </c>
      <c r="T746" s="19">
        <f>R746-S746</f>
        <v/>
      </c>
      <c r="U746" s="2">
        <f>U745-IF(N746="已下單",1,0)</f>
        <v/>
      </c>
      <c r="V746" s="19">
        <f>IF(資金模擬!$B$9=2,MAX(R746,0),MAX(V745,FLOOR(MAX(R746,0),資金模擬!$B$6)))</f>
        <v/>
      </c>
      <c r="W746" s="13">
        <f>MAX(W745,R746)</f>
        <v/>
      </c>
      <c r="X746" s="4">
        <f>IF(W746&gt;0,R746/W746-1,-1)</f>
        <v/>
      </c>
      <c r="Y746" s="19">
        <f>IF(R746&gt;0,S746*資金模擬!$B$7/R746,0)</f>
        <v/>
      </c>
      <c r="Z746" s="2">
        <f>IF(OR(Z745=1,R746&lt;=資金模擬!$B$10),1,0)</f>
        <v/>
      </c>
    </row>
    <row r="747">
      <c r="A747" s="2" t="n">
        <v>745</v>
      </c>
      <c r="B747" s="7" t="n">
        <v>46287.45833333334</v>
      </c>
      <c r="C747" s="2" t="inlineStr">
        <is>
          <t>出場</t>
        </is>
      </c>
      <c r="D747" s="2" t="n">
        <v>375</v>
      </c>
      <c r="E747" s="2" t="inlineStr">
        <is>
          <t>牛来_USDT_PERP</t>
        </is>
      </c>
      <c r="F747" s="2" t="inlineStr">
        <is>
          <t>做空</t>
        </is>
      </c>
      <c r="G747" s="20" t="n">
        <v>0.10653</v>
      </c>
      <c r="H747" s="20" t="n">
        <v>0.1033341</v>
      </c>
      <c r="I747" s="20" t="n">
        <v>0.1118565</v>
      </c>
      <c r="J747" s="20" t="n">
        <v>0.1033341</v>
      </c>
      <c r="K747" s="2" t="inlineStr">
        <is>
          <t>止盈</t>
        </is>
      </c>
      <c r="L747" s="5">
        <f>交易明細!K376</f>
        <v/>
      </c>
      <c r="M747" s="19">
        <f>M744</f>
        <v/>
      </c>
      <c r="N747" s="2">
        <f>N744</f>
        <v/>
      </c>
      <c r="O747" s="19">
        <f>O744</f>
        <v/>
      </c>
      <c r="P747" s="4">
        <f>交易明細!L376</f>
        <v/>
      </c>
      <c r="Q747" s="13">
        <f>IF(N747="已下單",O747*P747,0)</f>
        <v/>
      </c>
      <c r="R747" s="13">
        <f>R746+Q747</f>
        <v/>
      </c>
      <c r="S747" s="19">
        <f>S746-IF(N747="已下單",M747,0)</f>
        <v/>
      </c>
      <c r="T747" s="19">
        <f>R747-S747</f>
        <v/>
      </c>
      <c r="U747" s="2">
        <f>U746-IF(N747="已下單",1,0)</f>
        <v/>
      </c>
      <c r="V747" s="19">
        <f>IF(資金模擬!$B$9=2,MAX(R747,0),MAX(V746,FLOOR(MAX(R747,0),資金模擬!$B$6)))</f>
        <v/>
      </c>
      <c r="W747" s="13">
        <f>MAX(W746,R747)</f>
        <v/>
      </c>
      <c r="X747" s="4">
        <f>IF(W747&gt;0,R747/W747-1,-1)</f>
        <v/>
      </c>
      <c r="Y747" s="19">
        <f>IF(R747&gt;0,S747*資金模擬!$B$7/R747,0)</f>
        <v/>
      </c>
      <c r="Z747" s="2">
        <f>IF(OR(Z746=1,R747&lt;=資金模擬!$B$10),1,0)</f>
        <v/>
      </c>
    </row>
    <row r="748">
      <c r="A748" s="2" t="n">
        <v>746</v>
      </c>
      <c r="B748" s="7" t="n">
        <v>46287.5</v>
      </c>
      <c r="C748" s="2" t="inlineStr">
        <is>
          <t>出場</t>
        </is>
      </c>
      <c r="D748" s="2" t="n">
        <v>371</v>
      </c>
      <c r="E748" s="2" t="inlineStr">
        <is>
          <t>INJ_USDT_PERP</t>
        </is>
      </c>
      <c r="F748" s="2" t="inlineStr">
        <is>
          <t>做多</t>
        </is>
      </c>
      <c r="G748" s="20" t="n">
        <v>7.909</v>
      </c>
      <c r="H748" s="20" t="n">
        <v>8.146269999999999</v>
      </c>
      <c r="I748" s="20" t="n">
        <v>7.51355</v>
      </c>
      <c r="J748" s="20" t="n">
        <v>7.51355</v>
      </c>
      <c r="K748" s="2" t="inlineStr">
        <is>
          <t>止損</t>
        </is>
      </c>
      <c r="L748" s="5">
        <f>交易明細!K372</f>
        <v/>
      </c>
      <c r="M748" s="19">
        <f>M736</f>
        <v/>
      </c>
      <c r="N748" s="2">
        <f>N736</f>
        <v/>
      </c>
      <c r="O748" s="19">
        <f>O736</f>
        <v/>
      </c>
      <c r="P748" s="4">
        <f>交易明細!L372</f>
        <v/>
      </c>
      <c r="Q748" s="13">
        <f>IF(N748="已下單",O748*P748,0)</f>
        <v/>
      </c>
      <c r="R748" s="13">
        <f>R747+Q748</f>
        <v/>
      </c>
      <c r="S748" s="19">
        <f>S747-IF(N748="已下單",M748,0)</f>
        <v/>
      </c>
      <c r="T748" s="19">
        <f>R748-S748</f>
        <v/>
      </c>
      <c r="U748" s="2">
        <f>U747-IF(N748="已下單",1,0)</f>
        <v/>
      </c>
      <c r="V748" s="19">
        <f>IF(資金模擬!$B$9=2,MAX(R748,0),MAX(V747,FLOOR(MAX(R748,0),資金模擬!$B$6)))</f>
        <v/>
      </c>
      <c r="W748" s="13">
        <f>MAX(W747,R748)</f>
        <v/>
      </c>
      <c r="X748" s="4">
        <f>IF(W748&gt;0,R748/W748-1,-1)</f>
        <v/>
      </c>
      <c r="Y748" s="19">
        <f>IF(R748&gt;0,S748*資金模擬!$B$7/R748,0)</f>
        <v/>
      </c>
      <c r="Z748" s="2">
        <f>IF(OR(Z747=1,R748&lt;=資金模擬!$B$10),1,0)</f>
        <v/>
      </c>
    </row>
    <row r="749">
      <c r="A749" s="2" t="n">
        <v>747</v>
      </c>
      <c r="B749" s="7" t="n">
        <v>46287.5</v>
      </c>
      <c r="C749" s="2" t="inlineStr">
        <is>
          <t>進場</t>
        </is>
      </c>
      <c r="D749" s="2" t="n">
        <v>376</v>
      </c>
      <c r="E749" s="2" t="inlineStr">
        <is>
          <t>DOGE_USDT_PERP</t>
        </is>
      </c>
      <c r="F749" s="2" t="inlineStr">
        <is>
          <t>做多</t>
        </is>
      </c>
      <c r="G749" s="20" t="n">
        <v>0.10204</v>
      </c>
      <c r="H749" s="20" t="n">
        <v>0.1051012</v>
      </c>
      <c r="I749" s="20" t="n">
        <v>0.096938</v>
      </c>
      <c r="J749" s="20" t="n"/>
      <c r="K749" s="2" t="n"/>
      <c r="L749" s="5" t="n"/>
      <c r="M749" s="19">
        <f>資金模擬!$B$5*V748</f>
        <v/>
      </c>
      <c r="N749" s="2">
        <f>IF(Z748=1,"已停止",IF(T748&gt;=M749,"已下單","資金不足略過"))</f>
        <v/>
      </c>
      <c r="O749" s="19">
        <f>IF(N749="已下單",M749*資金模擬!$B$7,0)</f>
        <v/>
      </c>
      <c r="P749" s="4" t="n"/>
      <c r="Q749" s="13" t="n">
        <v>0</v>
      </c>
      <c r="R749" s="13">
        <f>R748+Q749</f>
        <v/>
      </c>
      <c r="S749" s="19">
        <f>S748+IF(N749="已下單",M749,0)</f>
        <v/>
      </c>
      <c r="T749" s="19">
        <f>R749-S749</f>
        <v/>
      </c>
      <c r="U749" s="2">
        <f>U748+IF(N749="已下單",1,0)</f>
        <v/>
      </c>
      <c r="V749" s="19">
        <f>IF(資金模擬!$B$9=2,MAX(R749,0),MAX(V748,FLOOR(MAX(R749,0),資金模擬!$B$6)))</f>
        <v/>
      </c>
      <c r="W749" s="13">
        <f>MAX(W748,R749)</f>
        <v/>
      </c>
      <c r="X749" s="4">
        <f>IF(W749&gt;0,R749/W749-1,-1)</f>
        <v/>
      </c>
      <c r="Y749" s="19">
        <f>IF(R749&gt;0,S749*資金模擬!$B$7/R749,0)</f>
        <v/>
      </c>
      <c r="Z749" s="2">
        <f>IF(OR(Z748=1,R749&lt;=資金模擬!$B$10),1,0)</f>
        <v/>
      </c>
    </row>
    <row r="750">
      <c r="A750" s="2" t="n">
        <v>748</v>
      </c>
      <c r="B750" s="7" t="n">
        <v>46287.5</v>
      </c>
      <c r="C750" s="2" t="inlineStr">
        <is>
          <t>進場</t>
        </is>
      </c>
      <c r="D750" s="2" t="n">
        <v>377</v>
      </c>
      <c r="E750" s="2" t="inlineStr">
        <is>
          <t>PENGU_USDT_PERP</t>
        </is>
      </c>
      <c r="F750" s="2" t="inlineStr">
        <is>
          <t>做多</t>
        </is>
      </c>
      <c r="G750" s="20" t="n">
        <v>0.008932000000000001</v>
      </c>
      <c r="H750" s="20" t="n">
        <v>0.009199960000000002</v>
      </c>
      <c r="I750" s="20" t="n">
        <v>0.008485400000000001</v>
      </c>
      <c r="J750" s="20" t="n"/>
      <c r="K750" s="2" t="n"/>
      <c r="L750" s="5" t="n"/>
      <c r="M750" s="19">
        <f>資金模擬!$B$5*V749</f>
        <v/>
      </c>
      <c r="N750" s="2">
        <f>IF(Z749=1,"已停止",IF(T749&gt;=M750,"已下單","資金不足略過"))</f>
        <v/>
      </c>
      <c r="O750" s="19">
        <f>IF(N750="已下單",M750*資金模擬!$B$7,0)</f>
        <v/>
      </c>
      <c r="P750" s="4" t="n"/>
      <c r="Q750" s="13" t="n">
        <v>0</v>
      </c>
      <c r="R750" s="13">
        <f>R749+Q750</f>
        <v/>
      </c>
      <c r="S750" s="19">
        <f>S749+IF(N750="已下單",M750,0)</f>
        <v/>
      </c>
      <c r="T750" s="19">
        <f>R750-S750</f>
        <v/>
      </c>
      <c r="U750" s="2">
        <f>U749+IF(N750="已下單",1,0)</f>
        <v/>
      </c>
      <c r="V750" s="19">
        <f>IF(資金模擬!$B$9=2,MAX(R750,0),MAX(V749,FLOOR(MAX(R750,0),資金模擬!$B$6)))</f>
        <v/>
      </c>
      <c r="W750" s="13">
        <f>MAX(W749,R750)</f>
        <v/>
      </c>
      <c r="X750" s="4">
        <f>IF(W750&gt;0,R750/W750-1,-1)</f>
        <v/>
      </c>
      <c r="Y750" s="19">
        <f>IF(R750&gt;0,S750*資金模擬!$B$7/R750,0)</f>
        <v/>
      </c>
      <c r="Z750" s="2">
        <f>IF(OR(Z749=1,R750&lt;=資金模擬!$B$10),1,0)</f>
        <v/>
      </c>
    </row>
    <row r="751">
      <c r="A751" s="2" t="n">
        <v>749</v>
      </c>
      <c r="B751" s="7" t="n">
        <v>46287.5</v>
      </c>
      <c r="C751" s="2" t="inlineStr">
        <is>
          <t>進場</t>
        </is>
      </c>
      <c r="D751" s="2" t="n">
        <v>378</v>
      </c>
      <c r="E751" s="2" t="inlineStr">
        <is>
          <t>PHA_USDT_PERP</t>
        </is>
      </c>
      <c r="F751" s="2" t="inlineStr">
        <is>
          <t>做多</t>
        </is>
      </c>
      <c r="G751" s="20" t="n">
        <v>0.05505</v>
      </c>
      <c r="H751" s="20" t="n">
        <v>0.0567015</v>
      </c>
      <c r="I751" s="20" t="n">
        <v>0.0522975</v>
      </c>
      <c r="J751" s="20" t="n"/>
      <c r="K751" s="2" t="n"/>
      <c r="L751" s="5" t="n"/>
      <c r="M751" s="19">
        <f>資金模擬!$B$5*V750</f>
        <v/>
      </c>
      <c r="N751" s="2">
        <f>IF(Z750=1,"已停止",IF(T750&gt;=M751,"已下單","資金不足略過"))</f>
        <v/>
      </c>
      <c r="O751" s="19">
        <f>IF(N751="已下單",M751*資金模擬!$B$7,0)</f>
        <v/>
      </c>
      <c r="P751" s="4" t="n"/>
      <c r="Q751" s="13" t="n">
        <v>0</v>
      </c>
      <c r="R751" s="13">
        <f>R750+Q751</f>
        <v/>
      </c>
      <c r="S751" s="19">
        <f>S750+IF(N751="已下單",M751,0)</f>
        <v/>
      </c>
      <c r="T751" s="19">
        <f>R751-S751</f>
        <v/>
      </c>
      <c r="U751" s="2">
        <f>U750+IF(N751="已下單",1,0)</f>
        <v/>
      </c>
      <c r="V751" s="19">
        <f>IF(資金模擬!$B$9=2,MAX(R751,0),MAX(V750,FLOOR(MAX(R751,0),資金模擬!$B$6)))</f>
        <v/>
      </c>
      <c r="W751" s="13">
        <f>MAX(W750,R751)</f>
        <v/>
      </c>
      <c r="X751" s="4">
        <f>IF(W751&gt;0,R751/W751-1,-1)</f>
        <v/>
      </c>
      <c r="Y751" s="19">
        <f>IF(R751&gt;0,S751*資金模擬!$B$7/R751,0)</f>
        <v/>
      </c>
      <c r="Z751" s="2">
        <f>IF(OR(Z750=1,R751&lt;=資金模擬!$B$10),1,0)</f>
        <v/>
      </c>
    </row>
    <row r="752">
      <c r="A752" s="2" t="n">
        <v>750</v>
      </c>
      <c r="B752" s="7" t="n">
        <v>46287.5</v>
      </c>
      <c r="C752" s="2" t="inlineStr">
        <is>
          <t>進場</t>
        </is>
      </c>
      <c r="D752" s="2" t="n">
        <v>379</v>
      </c>
      <c r="E752" s="2" t="inlineStr">
        <is>
          <t>ZETA_USDT_PERP</t>
        </is>
      </c>
      <c r="F752" s="2" t="inlineStr">
        <is>
          <t>做空</t>
        </is>
      </c>
      <c r="G752" s="20" t="n">
        <v>0.06036</v>
      </c>
      <c r="H752" s="20" t="n">
        <v>0.0585492</v>
      </c>
      <c r="I752" s="20" t="n">
        <v>0.063378</v>
      </c>
      <c r="J752" s="20" t="n"/>
      <c r="K752" s="2" t="n"/>
      <c r="L752" s="5" t="n"/>
      <c r="M752" s="19">
        <f>資金模擬!$B$5*V751</f>
        <v/>
      </c>
      <c r="N752" s="2">
        <f>IF(Z751=1,"已停止",IF(T751&gt;=M752,"已下單","資金不足略過"))</f>
        <v/>
      </c>
      <c r="O752" s="19">
        <f>IF(N752="已下單",M752*資金模擬!$B$7,0)</f>
        <v/>
      </c>
      <c r="P752" s="4" t="n"/>
      <c r="Q752" s="13" t="n">
        <v>0</v>
      </c>
      <c r="R752" s="13">
        <f>R751+Q752</f>
        <v/>
      </c>
      <c r="S752" s="19">
        <f>S751+IF(N752="已下單",M752,0)</f>
        <v/>
      </c>
      <c r="T752" s="19">
        <f>R752-S752</f>
        <v/>
      </c>
      <c r="U752" s="2">
        <f>U751+IF(N752="已下單",1,0)</f>
        <v/>
      </c>
      <c r="V752" s="19">
        <f>IF(資金模擬!$B$9=2,MAX(R752,0),MAX(V751,FLOOR(MAX(R752,0),資金模擬!$B$6)))</f>
        <v/>
      </c>
      <c r="W752" s="13">
        <f>MAX(W751,R752)</f>
        <v/>
      </c>
      <c r="X752" s="4">
        <f>IF(W752&gt;0,R752/W752-1,-1)</f>
        <v/>
      </c>
      <c r="Y752" s="19">
        <f>IF(R752&gt;0,S752*資金模擬!$B$7/R752,0)</f>
        <v/>
      </c>
      <c r="Z752" s="2">
        <f>IF(OR(Z751=1,R752&lt;=資金模擬!$B$10),1,0)</f>
        <v/>
      </c>
    </row>
    <row r="753">
      <c r="A753" s="2" t="n">
        <v>751</v>
      </c>
      <c r="B753" s="7" t="n">
        <v>46287.54166666666</v>
      </c>
      <c r="C753" s="2" t="inlineStr">
        <is>
          <t>出場</t>
        </is>
      </c>
      <c r="D753" s="2" t="n">
        <v>376</v>
      </c>
      <c r="E753" s="2" t="inlineStr">
        <is>
          <t>DOGE_USDT_PERP</t>
        </is>
      </c>
      <c r="F753" s="2" t="inlineStr">
        <is>
          <t>做多</t>
        </is>
      </c>
      <c r="G753" s="20" t="n">
        <v>0.10204</v>
      </c>
      <c r="H753" s="20" t="n">
        <v>0.1051012</v>
      </c>
      <c r="I753" s="20" t="n">
        <v>0.096938</v>
      </c>
      <c r="J753" s="20" t="n">
        <v>0.1051012</v>
      </c>
      <c r="K753" s="2" t="inlineStr">
        <is>
          <t>止盈</t>
        </is>
      </c>
      <c r="L753" s="5">
        <f>交易明細!K377</f>
        <v/>
      </c>
      <c r="M753" s="19">
        <f>M749</f>
        <v/>
      </c>
      <c r="N753" s="2">
        <f>N749</f>
        <v/>
      </c>
      <c r="O753" s="19">
        <f>O749</f>
        <v/>
      </c>
      <c r="P753" s="4">
        <f>交易明細!L377</f>
        <v/>
      </c>
      <c r="Q753" s="13">
        <f>IF(N753="已下單",O753*P753,0)</f>
        <v/>
      </c>
      <c r="R753" s="13">
        <f>R752+Q753</f>
        <v/>
      </c>
      <c r="S753" s="19">
        <f>S752-IF(N753="已下單",M753,0)</f>
        <v/>
      </c>
      <c r="T753" s="19">
        <f>R753-S753</f>
        <v/>
      </c>
      <c r="U753" s="2">
        <f>U752-IF(N753="已下單",1,0)</f>
        <v/>
      </c>
      <c r="V753" s="19">
        <f>IF(資金模擬!$B$9=2,MAX(R753,0),MAX(V752,FLOOR(MAX(R753,0),資金模擬!$B$6)))</f>
        <v/>
      </c>
      <c r="W753" s="13">
        <f>MAX(W752,R753)</f>
        <v/>
      </c>
      <c r="X753" s="4">
        <f>IF(W753&gt;0,R753/W753-1,-1)</f>
        <v/>
      </c>
      <c r="Y753" s="19">
        <f>IF(R753&gt;0,S753*資金模擬!$B$7/R753,0)</f>
        <v/>
      </c>
      <c r="Z753" s="2">
        <f>IF(OR(Z752=1,R753&lt;=資金模擬!$B$10),1,0)</f>
        <v/>
      </c>
    </row>
    <row r="754">
      <c r="A754" s="2" t="n">
        <v>752</v>
      </c>
      <c r="B754" s="7" t="n">
        <v>46287.54166666666</v>
      </c>
      <c r="C754" s="2" t="inlineStr">
        <is>
          <t>出場</t>
        </is>
      </c>
      <c r="D754" s="2" t="n">
        <v>378</v>
      </c>
      <c r="E754" s="2" t="inlineStr">
        <is>
          <t>PHA_USDT_PERP</t>
        </is>
      </c>
      <c r="F754" s="2" t="inlineStr">
        <is>
          <t>做多</t>
        </is>
      </c>
      <c r="G754" s="20" t="n">
        <v>0.05505</v>
      </c>
      <c r="H754" s="20" t="n">
        <v>0.0567015</v>
      </c>
      <c r="I754" s="20" t="n">
        <v>0.0522975</v>
      </c>
      <c r="J754" s="20" t="n">
        <v>0.0522975</v>
      </c>
      <c r="K754" s="2" t="inlineStr">
        <is>
          <t>止損</t>
        </is>
      </c>
      <c r="L754" s="5">
        <f>交易明細!K379</f>
        <v/>
      </c>
      <c r="M754" s="19">
        <f>M751</f>
        <v/>
      </c>
      <c r="N754" s="2">
        <f>N751</f>
        <v/>
      </c>
      <c r="O754" s="19">
        <f>O751</f>
        <v/>
      </c>
      <c r="P754" s="4">
        <f>交易明細!L379</f>
        <v/>
      </c>
      <c r="Q754" s="13">
        <f>IF(N754="已下單",O754*P754,0)</f>
        <v/>
      </c>
      <c r="R754" s="13">
        <f>R753+Q754</f>
        <v/>
      </c>
      <c r="S754" s="19">
        <f>S753-IF(N754="已下單",M754,0)</f>
        <v/>
      </c>
      <c r="T754" s="19">
        <f>R754-S754</f>
        <v/>
      </c>
      <c r="U754" s="2">
        <f>U753-IF(N754="已下單",1,0)</f>
        <v/>
      </c>
      <c r="V754" s="19">
        <f>IF(資金模擬!$B$9=2,MAX(R754,0),MAX(V753,FLOOR(MAX(R754,0),資金模擬!$B$6)))</f>
        <v/>
      </c>
      <c r="W754" s="13">
        <f>MAX(W753,R754)</f>
        <v/>
      </c>
      <c r="X754" s="4">
        <f>IF(W754&gt;0,R754/W754-1,-1)</f>
        <v/>
      </c>
      <c r="Y754" s="19">
        <f>IF(R754&gt;0,S754*資金模擬!$B$7/R754,0)</f>
        <v/>
      </c>
      <c r="Z754" s="2">
        <f>IF(OR(Z753=1,R754&lt;=資金模擬!$B$10),1,0)</f>
        <v/>
      </c>
    </row>
    <row r="755">
      <c r="A755" s="2" t="n">
        <v>753</v>
      </c>
      <c r="B755" s="7" t="n">
        <v>46287.54166666666</v>
      </c>
      <c r="C755" s="2" t="inlineStr">
        <is>
          <t>出場</t>
        </is>
      </c>
      <c r="D755" s="2" t="n">
        <v>379</v>
      </c>
      <c r="E755" s="2" t="inlineStr">
        <is>
          <t>ZETA_USDT_PERP</t>
        </is>
      </c>
      <c r="F755" s="2" t="inlineStr">
        <is>
          <t>做空</t>
        </is>
      </c>
      <c r="G755" s="20" t="n">
        <v>0.06036</v>
      </c>
      <c r="H755" s="20" t="n">
        <v>0.0585492</v>
      </c>
      <c r="I755" s="20" t="n">
        <v>0.063378</v>
      </c>
      <c r="J755" s="20" t="n">
        <v>0.0585492</v>
      </c>
      <c r="K755" s="2" t="inlineStr">
        <is>
          <t>止盈</t>
        </is>
      </c>
      <c r="L755" s="5">
        <f>交易明細!K380</f>
        <v/>
      </c>
      <c r="M755" s="19">
        <f>M752</f>
        <v/>
      </c>
      <c r="N755" s="2">
        <f>N752</f>
        <v/>
      </c>
      <c r="O755" s="19">
        <f>O752</f>
        <v/>
      </c>
      <c r="P755" s="4">
        <f>交易明細!L380</f>
        <v/>
      </c>
      <c r="Q755" s="13">
        <f>IF(N755="已下單",O755*P755,0)</f>
        <v/>
      </c>
      <c r="R755" s="13">
        <f>R754+Q755</f>
        <v/>
      </c>
      <c r="S755" s="19">
        <f>S754-IF(N755="已下單",M755,0)</f>
        <v/>
      </c>
      <c r="T755" s="19">
        <f>R755-S755</f>
        <v/>
      </c>
      <c r="U755" s="2">
        <f>U754-IF(N755="已下單",1,0)</f>
        <v/>
      </c>
      <c r="V755" s="19">
        <f>IF(資金模擬!$B$9=2,MAX(R755,0),MAX(V754,FLOOR(MAX(R755,0),資金模擬!$B$6)))</f>
        <v/>
      </c>
      <c r="W755" s="13">
        <f>MAX(W754,R755)</f>
        <v/>
      </c>
      <c r="X755" s="4">
        <f>IF(W755&gt;0,R755/W755-1,-1)</f>
        <v/>
      </c>
      <c r="Y755" s="19">
        <f>IF(R755&gt;0,S755*資金模擬!$B$7/R755,0)</f>
        <v/>
      </c>
      <c r="Z755" s="2">
        <f>IF(OR(Z754=1,R755&lt;=資金模擬!$B$10),1,0)</f>
        <v/>
      </c>
    </row>
    <row r="756">
      <c r="A756" s="2" t="n">
        <v>754</v>
      </c>
      <c r="B756" s="7" t="n">
        <v>46287.54166666666</v>
      </c>
      <c r="C756" s="2" t="inlineStr">
        <is>
          <t>進場</t>
        </is>
      </c>
      <c r="D756" s="2" t="n">
        <v>380</v>
      </c>
      <c r="E756" s="2" t="inlineStr">
        <is>
          <t>AVAX_USDT_PERP</t>
        </is>
      </c>
      <c r="F756" s="2" t="inlineStr">
        <is>
          <t>做空</t>
        </is>
      </c>
      <c r="G756" s="20" t="n">
        <v>10.767</v>
      </c>
      <c r="H756" s="20" t="n">
        <v>10.44399</v>
      </c>
      <c r="I756" s="20" t="n">
        <v>11.30535</v>
      </c>
      <c r="J756" s="20" t="n"/>
      <c r="K756" s="2" t="n"/>
      <c r="L756" s="5" t="n"/>
      <c r="M756" s="19">
        <f>資金模擬!$B$5*V755</f>
        <v/>
      </c>
      <c r="N756" s="2">
        <f>IF(Z755=1,"已停止",IF(T755&gt;=M756,"已下單","資金不足略過"))</f>
        <v/>
      </c>
      <c r="O756" s="19">
        <f>IF(N756="已下單",M756*資金模擬!$B$7,0)</f>
        <v/>
      </c>
      <c r="P756" s="4" t="n"/>
      <c r="Q756" s="13" t="n">
        <v>0</v>
      </c>
      <c r="R756" s="13">
        <f>R755+Q756</f>
        <v/>
      </c>
      <c r="S756" s="19">
        <f>S755+IF(N756="已下單",M756,0)</f>
        <v/>
      </c>
      <c r="T756" s="19">
        <f>R756-S756</f>
        <v/>
      </c>
      <c r="U756" s="2">
        <f>U755+IF(N756="已下單",1,0)</f>
        <v/>
      </c>
      <c r="V756" s="19">
        <f>IF(資金模擬!$B$9=2,MAX(R756,0),MAX(V755,FLOOR(MAX(R756,0),資金模擬!$B$6)))</f>
        <v/>
      </c>
      <c r="W756" s="13">
        <f>MAX(W755,R756)</f>
        <v/>
      </c>
      <c r="X756" s="4">
        <f>IF(W756&gt;0,R756/W756-1,-1)</f>
        <v/>
      </c>
      <c r="Y756" s="19">
        <f>IF(R756&gt;0,S756*資金模擬!$B$7/R756,0)</f>
        <v/>
      </c>
      <c r="Z756" s="2">
        <f>IF(OR(Z755=1,R756&lt;=資金模擬!$B$10),1,0)</f>
        <v/>
      </c>
    </row>
    <row r="757">
      <c r="A757" s="2" t="n">
        <v>755</v>
      </c>
      <c r="B757" s="7" t="n">
        <v>46287.58333333334</v>
      </c>
      <c r="C757" s="2" t="inlineStr">
        <is>
          <t>進場</t>
        </is>
      </c>
      <c r="D757" s="2" t="n">
        <v>381</v>
      </c>
      <c r="E757" s="2" t="inlineStr">
        <is>
          <t>NEAR_USDT_PERP</t>
        </is>
      </c>
      <c r="F757" s="2" t="inlineStr">
        <is>
          <t>做多</t>
        </is>
      </c>
      <c r="G757" s="20" t="n">
        <v>4.41</v>
      </c>
      <c r="H757" s="20" t="n">
        <v>4.5423</v>
      </c>
      <c r="I757" s="20" t="n">
        <v>4.1895</v>
      </c>
      <c r="J757" s="20" t="n"/>
      <c r="K757" s="2" t="n"/>
      <c r="L757" s="5" t="n"/>
      <c r="M757" s="19">
        <f>資金模擬!$B$5*V756</f>
        <v/>
      </c>
      <c r="N757" s="2">
        <f>IF(Z756=1,"已停止",IF(T756&gt;=M757,"已下單","資金不足略過"))</f>
        <v/>
      </c>
      <c r="O757" s="19">
        <f>IF(N757="已下單",M757*資金模擬!$B$7,0)</f>
        <v/>
      </c>
      <c r="P757" s="4" t="n"/>
      <c r="Q757" s="13" t="n">
        <v>0</v>
      </c>
      <c r="R757" s="13">
        <f>R756+Q757</f>
        <v/>
      </c>
      <c r="S757" s="19">
        <f>S756+IF(N757="已下單",M757,0)</f>
        <v/>
      </c>
      <c r="T757" s="19">
        <f>R757-S757</f>
        <v/>
      </c>
      <c r="U757" s="2">
        <f>U756+IF(N757="已下單",1,0)</f>
        <v/>
      </c>
      <c r="V757" s="19">
        <f>IF(資金模擬!$B$9=2,MAX(R757,0),MAX(V756,FLOOR(MAX(R757,0),資金模擬!$B$6)))</f>
        <v/>
      </c>
      <c r="W757" s="13">
        <f>MAX(W756,R757)</f>
        <v/>
      </c>
      <c r="X757" s="4">
        <f>IF(W757&gt;0,R757/W757-1,-1)</f>
        <v/>
      </c>
      <c r="Y757" s="19">
        <f>IF(R757&gt;0,S757*資金模擬!$B$7/R757,0)</f>
        <v/>
      </c>
      <c r="Z757" s="2">
        <f>IF(OR(Z756=1,R757&lt;=資金模擬!$B$10),1,0)</f>
        <v/>
      </c>
    </row>
    <row r="758">
      <c r="A758" s="2" t="n">
        <v>756</v>
      </c>
      <c r="B758" s="7" t="n">
        <v>46287.625</v>
      </c>
      <c r="C758" s="2" t="inlineStr">
        <is>
          <t>進場</t>
        </is>
      </c>
      <c r="D758" s="2" t="n">
        <v>382</v>
      </c>
      <c r="E758" s="2" t="inlineStr">
        <is>
          <t>ENA_USDT_PERP</t>
        </is>
      </c>
      <c r="F758" s="2" t="inlineStr">
        <is>
          <t>做空</t>
        </is>
      </c>
      <c r="G758" s="20" t="n">
        <v>0.2105</v>
      </c>
      <c r="H758" s="20" t="n">
        <v>0.204185</v>
      </c>
      <c r="I758" s="20" t="n">
        <v>0.221025</v>
      </c>
      <c r="J758" s="20" t="n"/>
      <c r="K758" s="2" t="n"/>
      <c r="L758" s="5" t="n"/>
      <c r="M758" s="19">
        <f>資金模擬!$B$5*V757</f>
        <v/>
      </c>
      <c r="N758" s="2">
        <f>IF(Z757=1,"已停止",IF(T757&gt;=M758,"已下單","資金不足略過"))</f>
        <v/>
      </c>
      <c r="O758" s="19">
        <f>IF(N758="已下單",M758*資金模擬!$B$7,0)</f>
        <v/>
      </c>
      <c r="P758" s="4" t="n"/>
      <c r="Q758" s="13" t="n">
        <v>0</v>
      </c>
      <c r="R758" s="13">
        <f>R757+Q758</f>
        <v/>
      </c>
      <c r="S758" s="19">
        <f>S757+IF(N758="已下單",M758,0)</f>
        <v/>
      </c>
      <c r="T758" s="19">
        <f>R758-S758</f>
        <v/>
      </c>
      <c r="U758" s="2">
        <f>U757+IF(N758="已下單",1,0)</f>
        <v/>
      </c>
      <c r="V758" s="19">
        <f>IF(資金模擬!$B$9=2,MAX(R758,0),MAX(V757,FLOOR(MAX(R758,0),資金模擬!$B$6)))</f>
        <v/>
      </c>
      <c r="W758" s="13">
        <f>MAX(W757,R758)</f>
        <v/>
      </c>
      <c r="X758" s="4">
        <f>IF(W758&gt;0,R758/W758-1,-1)</f>
        <v/>
      </c>
      <c r="Y758" s="19">
        <f>IF(R758&gt;0,S758*資金模擬!$B$7/R758,0)</f>
        <v/>
      </c>
      <c r="Z758" s="2">
        <f>IF(OR(Z757=1,R758&lt;=資金模擬!$B$10),1,0)</f>
        <v/>
      </c>
    </row>
    <row r="759">
      <c r="A759" s="2" t="n">
        <v>757</v>
      </c>
      <c r="B759" s="7" t="n">
        <v>46287.625</v>
      </c>
      <c r="C759" s="2" t="inlineStr">
        <is>
          <t>進場</t>
        </is>
      </c>
      <c r="D759" s="2" t="n">
        <v>383</v>
      </c>
      <c r="E759" s="2" t="inlineStr">
        <is>
          <t>USELESS_USDT_PERP</t>
        </is>
      </c>
      <c r="F759" s="2" t="inlineStr">
        <is>
          <t>做多</t>
        </is>
      </c>
      <c r="G759" s="20" t="n">
        <v>0.28361</v>
      </c>
      <c r="H759" s="20" t="n">
        <v>0.2921183</v>
      </c>
      <c r="I759" s="20" t="n">
        <v>0.2694295</v>
      </c>
      <c r="J759" s="20" t="n"/>
      <c r="K759" s="2" t="n"/>
      <c r="L759" s="5" t="n"/>
      <c r="M759" s="19">
        <f>資金模擬!$B$5*V758</f>
        <v/>
      </c>
      <c r="N759" s="2">
        <f>IF(Z758=1,"已停止",IF(T758&gt;=M759,"已下單","資金不足略過"))</f>
        <v/>
      </c>
      <c r="O759" s="19">
        <f>IF(N759="已下單",M759*資金模擬!$B$7,0)</f>
        <v/>
      </c>
      <c r="P759" s="4" t="n"/>
      <c r="Q759" s="13" t="n">
        <v>0</v>
      </c>
      <c r="R759" s="13">
        <f>R758+Q759</f>
        <v/>
      </c>
      <c r="S759" s="19">
        <f>S758+IF(N759="已下單",M759,0)</f>
        <v/>
      </c>
      <c r="T759" s="19">
        <f>R759-S759</f>
        <v/>
      </c>
      <c r="U759" s="2">
        <f>U758+IF(N759="已下單",1,0)</f>
        <v/>
      </c>
      <c r="V759" s="19">
        <f>IF(資金模擬!$B$9=2,MAX(R759,0),MAX(V758,FLOOR(MAX(R759,0),資金模擬!$B$6)))</f>
        <v/>
      </c>
      <c r="W759" s="13">
        <f>MAX(W758,R759)</f>
        <v/>
      </c>
      <c r="X759" s="4">
        <f>IF(W759&gt;0,R759/W759-1,-1)</f>
        <v/>
      </c>
      <c r="Y759" s="19">
        <f>IF(R759&gt;0,S759*資金模擬!$B$7/R759,0)</f>
        <v/>
      </c>
      <c r="Z759" s="2">
        <f>IF(OR(Z758=1,R759&lt;=資金模擬!$B$10),1,0)</f>
        <v/>
      </c>
    </row>
    <row r="760">
      <c r="A760" s="2" t="n">
        <v>758</v>
      </c>
      <c r="B760" s="7" t="n">
        <v>46287.625</v>
      </c>
      <c r="C760" s="2" t="inlineStr">
        <is>
          <t>進場</t>
        </is>
      </c>
      <c r="D760" s="2" t="n">
        <v>384</v>
      </c>
      <c r="E760" s="2" t="inlineStr">
        <is>
          <t>ZAMA_USDT_PERP</t>
        </is>
      </c>
      <c r="F760" s="2" t="inlineStr">
        <is>
          <t>做空</t>
        </is>
      </c>
      <c r="G760" s="20" t="n">
        <v>0.09397999999999999</v>
      </c>
      <c r="H760" s="20" t="n">
        <v>0.09116059999999999</v>
      </c>
      <c r="I760" s="20" t="n">
        <v>0.098679</v>
      </c>
      <c r="J760" s="20" t="n"/>
      <c r="K760" s="2" t="n"/>
      <c r="L760" s="5" t="n"/>
      <c r="M760" s="19">
        <f>資金模擬!$B$5*V759</f>
        <v/>
      </c>
      <c r="N760" s="2">
        <f>IF(Z759=1,"已停止",IF(T759&gt;=M760,"已下單","資金不足略過"))</f>
        <v/>
      </c>
      <c r="O760" s="19">
        <f>IF(N760="已下單",M760*資金模擬!$B$7,0)</f>
        <v/>
      </c>
      <c r="P760" s="4" t="n"/>
      <c r="Q760" s="13" t="n">
        <v>0</v>
      </c>
      <c r="R760" s="13">
        <f>R759+Q760</f>
        <v/>
      </c>
      <c r="S760" s="19">
        <f>S759+IF(N760="已下單",M760,0)</f>
        <v/>
      </c>
      <c r="T760" s="19">
        <f>R760-S760</f>
        <v/>
      </c>
      <c r="U760" s="2">
        <f>U759+IF(N760="已下單",1,0)</f>
        <v/>
      </c>
      <c r="V760" s="19">
        <f>IF(資金模擬!$B$9=2,MAX(R760,0),MAX(V759,FLOOR(MAX(R760,0),資金模擬!$B$6)))</f>
        <v/>
      </c>
      <c r="W760" s="13">
        <f>MAX(W759,R760)</f>
        <v/>
      </c>
      <c r="X760" s="4">
        <f>IF(W760&gt;0,R760/W760-1,-1)</f>
        <v/>
      </c>
      <c r="Y760" s="19">
        <f>IF(R760&gt;0,S760*資金模擬!$B$7/R760,0)</f>
        <v/>
      </c>
      <c r="Z760" s="2">
        <f>IF(OR(Z759=1,R760&lt;=資金模擬!$B$10),1,0)</f>
        <v/>
      </c>
    </row>
    <row r="761">
      <c r="A761" s="2" t="n">
        <v>759</v>
      </c>
      <c r="B761" s="7" t="n">
        <v>46287.66666666666</v>
      </c>
      <c r="C761" s="2" t="inlineStr">
        <is>
          <t>出場</t>
        </is>
      </c>
      <c r="D761" s="2" t="n">
        <v>361</v>
      </c>
      <c r="E761" s="2" t="inlineStr">
        <is>
          <t>PONS_USDT_PERP</t>
        </is>
      </c>
      <c r="F761" s="2" t="inlineStr">
        <is>
          <t>做空</t>
        </is>
      </c>
      <c r="G761" s="20" t="n">
        <v>0.5881</v>
      </c>
      <c r="H761" s="20" t="n">
        <v>0.570457</v>
      </c>
      <c r="I761" s="20" t="n">
        <v>0.617505</v>
      </c>
      <c r="J761" s="20" t="n">
        <v>0.617505</v>
      </c>
      <c r="K761" s="2" t="inlineStr">
        <is>
          <t>止損</t>
        </is>
      </c>
      <c r="L761" s="5">
        <f>交易明細!K362</f>
        <v/>
      </c>
      <c r="M761" s="19">
        <f>M717</f>
        <v/>
      </c>
      <c r="N761" s="2">
        <f>N717</f>
        <v/>
      </c>
      <c r="O761" s="19">
        <f>O717</f>
        <v/>
      </c>
      <c r="P761" s="4">
        <f>交易明細!L362</f>
        <v/>
      </c>
      <c r="Q761" s="13">
        <f>IF(N761="已下單",O761*P761,0)</f>
        <v/>
      </c>
      <c r="R761" s="13">
        <f>R760+Q761</f>
        <v/>
      </c>
      <c r="S761" s="19">
        <f>S760-IF(N761="已下單",M761,0)</f>
        <v/>
      </c>
      <c r="T761" s="19">
        <f>R761-S761</f>
        <v/>
      </c>
      <c r="U761" s="2">
        <f>U760-IF(N761="已下單",1,0)</f>
        <v/>
      </c>
      <c r="V761" s="19">
        <f>IF(資金模擬!$B$9=2,MAX(R761,0),MAX(V760,FLOOR(MAX(R761,0),資金模擬!$B$6)))</f>
        <v/>
      </c>
      <c r="W761" s="13">
        <f>MAX(W760,R761)</f>
        <v/>
      </c>
      <c r="X761" s="4">
        <f>IF(W761&gt;0,R761/W761-1,-1)</f>
        <v/>
      </c>
      <c r="Y761" s="19">
        <f>IF(R761&gt;0,S761*資金模擬!$B$7/R761,0)</f>
        <v/>
      </c>
      <c r="Z761" s="2">
        <f>IF(OR(Z760=1,R761&lt;=資金模擬!$B$10),1,0)</f>
        <v/>
      </c>
    </row>
    <row r="762">
      <c r="A762" s="2" t="n">
        <v>760</v>
      </c>
      <c r="B762" s="7" t="n">
        <v>46287.66666666666</v>
      </c>
      <c r="C762" s="2" t="inlineStr">
        <is>
          <t>出場</t>
        </is>
      </c>
      <c r="D762" s="2" t="n">
        <v>377</v>
      </c>
      <c r="E762" s="2" t="inlineStr">
        <is>
          <t>PENGU_USDT_PERP</t>
        </is>
      </c>
      <c r="F762" s="2" t="inlineStr">
        <is>
          <t>做多</t>
        </is>
      </c>
      <c r="G762" s="20" t="n">
        <v>0.008932000000000001</v>
      </c>
      <c r="H762" s="20" t="n">
        <v>0.009199960000000002</v>
      </c>
      <c r="I762" s="20" t="n">
        <v>0.008485400000000001</v>
      </c>
      <c r="J762" s="20" t="n">
        <v>0.009199960000000002</v>
      </c>
      <c r="K762" s="2" t="inlineStr">
        <is>
          <t>止盈</t>
        </is>
      </c>
      <c r="L762" s="5">
        <f>交易明細!K378</f>
        <v/>
      </c>
      <c r="M762" s="19">
        <f>M750</f>
        <v/>
      </c>
      <c r="N762" s="2">
        <f>N750</f>
        <v/>
      </c>
      <c r="O762" s="19">
        <f>O750</f>
        <v/>
      </c>
      <c r="P762" s="4">
        <f>交易明細!L378</f>
        <v/>
      </c>
      <c r="Q762" s="13">
        <f>IF(N762="已下單",O762*P762,0)</f>
        <v/>
      </c>
      <c r="R762" s="13">
        <f>R761+Q762</f>
        <v/>
      </c>
      <c r="S762" s="19">
        <f>S761-IF(N762="已下單",M762,0)</f>
        <v/>
      </c>
      <c r="T762" s="19">
        <f>R762-S762</f>
        <v/>
      </c>
      <c r="U762" s="2">
        <f>U761-IF(N762="已下單",1,0)</f>
        <v/>
      </c>
      <c r="V762" s="19">
        <f>IF(資金模擬!$B$9=2,MAX(R762,0),MAX(V761,FLOOR(MAX(R762,0),資金模擬!$B$6)))</f>
        <v/>
      </c>
      <c r="W762" s="13">
        <f>MAX(W761,R762)</f>
        <v/>
      </c>
      <c r="X762" s="4">
        <f>IF(W762&gt;0,R762/W762-1,-1)</f>
        <v/>
      </c>
      <c r="Y762" s="19">
        <f>IF(R762&gt;0,S762*資金模擬!$B$7/R762,0)</f>
        <v/>
      </c>
      <c r="Z762" s="2">
        <f>IF(OR(Z761=1,R762&lt;=資金模擬!$B$10),1,0)</f>
        <v/>
      </c>
    </row>
    <row r="763">
      <c r="A763" s="2" t="n">
        <v>761</v>
      </c>
      <c r="B763" s="7" t="n">
        <v>46287.66666666666</v>
      </c>
      <c r="C763" s="2" t="inlineStr">
        <is>
          <t>出場</t>
        </is>
      </c>
      <c r="D763" s="2" t="n">
        <v>383</v>
      </c>
      <c r="E763" s="2" t="inlineStr">
        <is>
          <t>USELESS_USDT_PERP</t>
        </is>
      </c>
      <c r="F763" s="2" t="inlineStr">
        <is>
          <t>做多</t>
        </is>
      </c>
      <c r="G763" s="20" t="n">
        <v>0.28361</v>
      </c>
      <c r="H763" s="20" t="n">
        <v>0.2921183</v>
      </c>
      <c r="I763" s="20" t="n">
        <v>0.2694295</v>
      </c>
      <c r="J763" s="20" t="n">
        <v>0.2921183</v>
      </c>
      <c r="K763" s="2" t="inlineStr">
        <is>
          <t>止盈</t>
        </is>
      </c>
      <c r="L763" s="5">
        <f>交易明細!K384</f>
        <v/>
      </c>
      <c r="M763" s="19">
        <f>M759</f>
        <v/>
      </c>
      <c r="N763" s="2">
        <f>N759</f>
        <v/>
      </c>
      <c r="O763" s="19">
        <f>O759</f>
        <v/>
      </c>
      <c r="P763" s="4">
        <f>交易明細!L384</f>
        <v/>
      </c>
      <c r="Q763" s="13">
        <f>IF(N763="已下單",O763*P763,0)</f>
        <v/>
      </c>
      <c r="R763" s="13">
        <f>R762+Q763</f>
        <v/>
      </c>
      <c r="S763" s="19">
        <f>S762-IF(N763="已下單",M763,0)</f>
        <v/>
      </c>
      <c r="T763" s="19">
        <f>R763-S763</f>
        <v/>
      </c>
      <c r="U763" s="2">
        <f>U762-IF(N763="已下單",1,0)</f>
        <v/>
      </c>
      <c r="V763" s="19">
        <f>IF(資金模擬!$B$9=2,MAX(R763,0),MAX(V762,FLOOR(MAX(R763,0),資金模擬!$B$6)))</f>
        <v/>
      </c>
      <c r="W763" s="13">
        <f>MAX(W762,R763)</f>
        <v/>
      </c>
      <c r="X763" s="4">
        <f>IF(W763&gt;0,R763/W763-1,-1)</f>
        <v/>
      </c>
      <c r="Y763" s="19">
        <f>IF(R763&gt;0,S763*資金模擬!$B$7/R763,0)</f>
        <v/>
      </c>
      <c r="Z763" s="2">
        <f>IF(OR(Z762=1,R763&lt;=資金模擬!$B$10),1,0)</f>
        <v/>
      </c>
    </row>
    <row r="764">
      <c r="A764" s="2" t="n">
        <v>762</v>
      </c>
      <c r="B764" s="7" t="n">
        <v>46287.70833333334</v>
      </c>
      <c r="C764" s="2" t="inlineStr">
        <is>
          <t>出場</t>
        </is>
      </c>
      <c r="D764" s="2" t="n">
        <v>370</v>
      </c>
      <c r="E764" s="2" t="inlineStr">
        <is>
          <t>FET_USDT_PERP</t>
        </is>
      </c>
      <c r="F764" s="2" t="inlineStr">
        <is>
          <t>做多</t>
        </is>
      </c>
      <c r="G764" s="20" t="n">
        <v>0.2047</v>
      </c>
      <c r="H764" s="20" t="n">
        <v>0.210841</v>
      </c>
      <c r="I764" s="20" t="n">
        <v>0.194465</v>
      </c>
      <c r="J764" s="20" t="n">
        <v>0.210841</v>
      </c>
      <c r="K764" s="2" t="inlineStr">
        <is>
          <t>止盈</t>
        </is>
      </c>
      <c r="L764" s="5">
        <f>交易明細!K371</f>
        <v/>
      </c>
      <c r="M764" s="19">
        <f>M735</f>
        <v/>
      </c>
      <c r="N764" s="2">
        <f>N735</f>
        <v/>
      </c>
      <c r="O764" s="19">
        <f>O735</f>
        <v/>
      </c>
      <c r="P764" s="4">
        <f>交易明細!L371</f>
        <v/>
      </c>
      <c r="Q764" s="13">
        <f>IF(N764="已下單",O764*P764,0)</f>
        <v/>
      </c>
      <c r="R764" s="13">
        <f>R763+Q764</f>
        <v/>
      </c>
      <c r="S764" s="19">
        <f>S763-IF(N764="已下單",M764,0)</f>
        <v/>
      </c>
      <c r="T764" s="19">
        <f>R764-S764</f>
        <v/>
      </c>
      <c r="U764" s="2">
        <f>U763-IF(N764="已下單",1,0)</f>
        <v/>
      </c>
      <c r="V764" s="19">
        <f>IF(資金模擬!$B$9=2,MAX(R764,0),MAX(V763,FLOOR(MAX(R764,0),資金模擬!$B$6)))</f>
        <v/>
      </c>
      <c r="W764" s="13">
        <f>MAX(W763,R764)</f>
        <v/>
      </c>
      <c r="X764" s="4">
        <f>IF(W764&gt;0,R764/W764-1,-1)</f>
        <v/>
      </c>
      <c r="Y764" s="19">
        <f>IF(R764&gt;0,S764*資金模擬!$B$7/R764,0)</f>
        <v/>
      </c>
      <c r="Z764" s="2">
        <f>IF(OR(Z763=1,R764&lt;=資金模擬!$B$10),1,0)</f>
        <v/>
      </c>
    </row>
    <row r="765">
      <c r="A765" s="2" t="n">
        <v>763</v>
      </c>
      <c r="B765" s="7" t="n">
        <v>46287.70833333334</v>
      </c>
      <c r="C765" s="2" t="inlineStr">
        <is>
          <t>出場</t>
        </is>
      </c>
      <c r="D765" s="2" t="n">
        <v>381</v>
      </c>
      <c r="E765" s="2" t="inlineStr">
        <is>
          <t>NEAR_USDT_PERP</t>
        </is>
      </c>
      <c r="F765" s="2" t="inlineStr">
        <is>
          <t>做多</t>
        </is>
      </c>
      <c r="G765" s="20" t="n">
        <v>4.41</v>
      </c>
      <c r="H765" s="20" t="n">
        <v>4.5423</v>
      </c>
      <c r="I765" s="20" t="n">
        <v>4.1895</v>
      </c>
      <c r="J765" s="20" t="n">
        <v>4.5423</v>
      </c>
      <c r="K765" s="2" t="inlineStr">
        <is>
          <t>止盈</t>
        </is>
      </c>
      <c r="L765" s="5">
        <f>交易明細!K382</f>
        <v/>
      </c>
      <c r="M765" s="19">
        <f>M757</f>
        <v/>
      </c>
      <c r="N765" s="2">
        <f>N757</f>
        <v/>
      </c>
      <c r="O765" s="19">
        <f>O757</f>
        <v/>
      </c>
      <c r="P765" s="4">
        <f>交易明細!L382</f>
        <v/>
      </c>
      <c r="Q765" s="13">
        <f>IF(N765="已下單",O765*P765,0)</f>
        <v/>
      </c>
      <c r="R765" s="13">
        <f>R764+Q765</f>
        <v/>
      </c>
      <c r="S765" s="19">
        <f>S764-IF(N765="已下單",M765,0)</f>
        <v/>
      </c>
      <c r="T765" s="19">
        <f>R765-S765</f>
        <v/>
      </c>
      <c r="U765" s="2">
        <f>U764-IF(N765="已下單",1,0)</f>
        <v/>
      </c>
      <c r="V765" s="19">
        <f>IF(資金模擬!$B$9=2,MAX(R765,0),MAX(V764,FLOOR(MAX(R765,0),資金模擬!$B$6)))</f>
        <v/>
      </c>
      <c r="W765" s="13">
        <f>MAX(W764,R765)</f>
        <v/>
      </c>
      <c r="X765" s="4">
        <f>IF(W765&gt;0,R765/W765-1,-1)</f>
        <v/>
      </c>
      <c r="Y765" s="19">
        <f>IF(R765&gt;0,S765*資金模擬!$B$7/R765,0)</f>
        <v/>
      </c>
      <c r="Z765" s="2">
        <f>IF(OR(Z764=1,R765&lt;=資金模擬!$B$10),1,0)</f>
        <v/>
      </c>
    </row>
    <row r="766">
      <c r="A766" s="2" t="n">
        <v>764</v>
      </c>
      <c r="B766" s="7" t="n">
        <v>46287.70833333334</v>
      </c>
      <c r="C766" s="2" t="inlineStr">
        <is>
          <t>出場</t>
        </is>
      </c>
      <c r="D766" s="2" t="n">
        <v>384</v>
      </c>
      <c r="E766" s="2" t="inlineStr">
        <is>
          <t>ZAMA_USDT_PERP</t>
        </is>
      </c>
      <c r="F766" s="2" t="inlineStr">
        <is>
          <t>做空</t>
        </is>
      </c>
      <c r="G766" s="20" t="n">
        <v>0.09397999999999999</v>
      </c>
      <c r="H766" s="20" t="n">
        <v>0.09116059999999999</v>
      </c>
      <c r="I766" s="20" t="n">
        <v>0.098679</v>
      </c>
      <c r="J766" s="20" t="n">
        <v>0.09116059999999999</v>
      </c>
      <c r="K766" s="2" t="inlineStr">
        <is>
          <t>止盈</t>
        </is>
      </c>
      <c r="L766" s="5">
        <f>交易明細!K385</f>
        <v/>
      </c>
      <c r="M766" s="19">
        <f>M760</f>
        <v/>
      </c>
      <c r="N766" s="2">
        <f>N760</f>
        <v/>
      </c>
      <c r="O766" s="19">
        <f>O760</f>
        <v/>
      </c>
      <c r="P766" s="4">
        <f>交易明細!L385</f>
        <v/>
      </c>
      <c r="Q766" s="13">
        <f>IF(N766="已下單",O766*P766,0)</f>
        <v/>
      </c>
      <c r="R766" s="13">
        <f>R765+Q766</f>
        <v/>
      </c>
      <c r="S766" s="19">
        <f>S765-IF(N766="已下單",M766,0)</f>
        <v/>
      </c>
      <c r="T766" s="19">
        <f>R766-S766</f>
        <v/>
      </c>
      <c r="U766" s="2">
        <f>U765-IF(N766="已下單",1,0)</f>
        <v/>
      </c>
      <c r="V766" s="19">
        <f>IF(資金模擬!$B$9=2,MAX(R766,0),MAX(V765,FLOOR(MAX(R766,0),資金模擬!$B$6)))</f>
        <v/>
      </c>
      <c r="W766" s="13">
        <f>MAX(W765,R766)</f>
        <v/>
      </c>
      <c r="X766" s="4">
        <f>IF(W766&gt;0,R766/W766-1,-1)</f>
        <v/>
      </c>
      <c r="Y766" s="19">
        <f>IF(R766&gt;0,S766*資金模擬!$B$7/R766,0)</f>
        <v/>
      </c>
      <c r="Z766" s="2">
        <f>IF(OR(Z765=1,R766&lt;=資金模擬!$B$10),1,0)</f>
        <v/>
      </c>
    </row>
    <row r="767">
      <c r="A767" s="2" t="n">
        <v>765</v>
      </c>
      <c r="B767" s="7" t="n">
        <v>46287.70833333334</v>
      </c>
      <c r="C767" s="2" t="inlineStr">
        <is>
          <t>進場</t>
        </is>
      </c>
      <c r="D767" s="2" t="n">
        <v>385</v>
      </c>
      <c r="E767" s="2" t="inlineStr">
        <is>
          <t>WIF_USDT_PERP</t>
        </is>
      </c>
      <c r="F767" s="2" t="inlineStr">
        <is>
          <t>做多</t>
        </is>
      </c>
      <c r="G767" s="20" t="n">
        <v>0.2576</v>
      </c>
      <c r="H767" s="20" t="n">
        <v>0.265328</v>
      </c>
      <c r="I767" s="20" t="n">
        <v>0.24472</v>
      </c>
      <c r="J767" s="20" t="n"/>
      <c r="K767" s="2" t="n"/>
      <c r="L767" s="5" t="n"/>
      <c r="M767" s="19">
        <f>資金模擬!$B$5*V766</f>
        <v/>
      </c>
      <c r="N767" s="2">
        <f>IF(Z766=1,"已停止",IF(T766&gt;=M767,"已下單","資金不足略過"))</f>
        <v/>
      </c>
      <c r="O767" s="19">
        <f>IF(N767="已下單",M767*資金模擬!$B$7,0)</f>
        <v/>
      </c>
      <c r="P767" s="4" t="n"/>
      <c r="Q767" s="13" t="n">
        <v>0</v>
      </c>
      <c r="R767" s="13">
        <f>R766+Q767</f>
        <v/>
      </c>
      <c r="S767" s="19">
        <f>S766+IF(N767="已下單",M767,0)</f>
        <v/>
      </c>
      <c r="T767" s="19">
        <f>R767-S767</f>
        <v/>
      </c>
      <c r="U767" s="2">
        <f>U766+IF(N767="已下單",1,0)</f>
        <v/>
      </c>
      <c r="V767" s="19">
        <f>IF(資金模擬!$B$9=2,MAX(R767,0),MAX(V766,FLOOR(MAX(R767,0),資金模擬!$B$6)))</f>
        <v/>
      </c>
      <c r="W767" s="13">
        <f>MAX(W766,R767)</f>
        <v/>
      </c>
      <c r="X767" s="4">
        <f>IF(W767&gt;0,R767/W767-1,-1)</f>
        <v/>
      </c>
      <c r="Y767" s="19">
        <f>IF(R767&gt;0,S767*資金模擬!$B$7/R767,0)</f>
        <v/>
      </c>
      <c r="Z767" s="2">
        <f>IF(OR(Z766=1,R767&lt;=資金模擬!$B$10),1,0)</f>
        <v/>
      </c>
    </row>
    <row r="768">
      <c r="A768" s="2" t="n">
        <v>766</v>
      </c>
      <c r="B768" s="7" t="n">
        <v>46287.79166666666</v>
      </c>
      <c r="C768" s="2" t="inlineStr">
        <is>
          <t>出場</t>
        </is>
      </c>
      <c r="D768" s="2" t="n">
        <v>366</v>
      </c>
      <c r="E768" s="2" t="inlineStr">
        <is>
          <t>ARB_USDT_PERP</t>
        </is>
      </c>
      <c r="F768" s="2" t="inlineStr">
        <is>
          <t>做空</t>
        </is>
      </c>
      <c r="G768" s="20" t="n">
        <v>0.2221</v>
      </c>
      <c r="H768" s="20" t="n">
        <v>0.215437</v>
      </c>
      <c r="I768" s="20" t="n">
        <v>0.233205</v>
      </c>
      <c r="J768" s="20" t="n">
        <v>0.215437</v>
      </c>
      <c r="K768" s="2" t="inlineStr">
        <is>
          <t>止盈</t>
        </is>
      </c>
      <c r="L768" s="5">
        <f>交易明細!K367</f>
        <v/>
      </c>
      <c r="M768" s="19">
        <f>M728</f>
        <v/>
      </c>
      <c r="N768" s="2">
        <f>N728</f>
        <v/>
      </c>
      <c r="O768" s="19">
        <f>O728</f>
        <v/>
      </c>
      <c r="P768" s="4">
        <f>交易明細!L367</f>
        <v/>
      </c>
      <c r="Q768" s="13">
        <f>IF(N768="已下單",O768*P768,0)</f>
        <v/>
      </c>
      <c r="R768" s="13">
        <f>R767+Q768</f>
        <v/>
      </c>
      <c r="S768" s="19">
        <f>S767-IF(N768="已下單",M768,0)</f>
        <v/>
      </c>
      <c r="T768" s="19">
        <f>R768-S768</f>
        <v/>
      </c>
      <c r="U768" s="2">
        <f>U767-IF(N768="已下單",1,0)</f>
        <v/>
      </c>
      <c r="V768" s="19">
        <f>IF(資金模擬!$B$9=2,MAX(R768,0),MAX(V767,FLOOR(MAX(R768,0),資金模擬!$B$6)))</f>
        <v/>
      </c>
      <c r="W768" s="13">
        <f>MAX(W767,R768)</f>
        <v/>
      </c>
      <c r="X768" s="4">
        <f>IF(W768&gt;0,R768/W768-1,-1)</f>
        <v/>
      </c>
      <c r="Y768" s="19">
        <f>IF(R768&gt;0,S768*資金模擬!$B$7/R768,0)</f>
        <v/>
      </c>
      <c r="Z768" s="2">
        <f>IF(OR(Z767=1,R768&lt;=資金模擬!$B$10),1,0)</f>
        <v/>
      </c>
    </row>
    <row r="769">
      <c r="A769" s="2" t="n">
        <v>767</v>
      </c>
      <c r="B769" s="7" t="n">
        <v>46287.83333333334</v>
      </c>
      <c r="C769" s="2" t="inlineStr">
        <is>
          <t>進場</t>
        </is>
      </c>
      <c r="D769" s="2" t="n">
        <v>386</v>
      </c>
      <c r="E769" s="2" t="inlineStr">
        <is>
          <t>BR_USDT_PERP</t>
        </is>
      </c>
      <c r="F769" s="2" t="inlineStr">
        <is>
          <t>做空</t>
        </is>
      </c>
      <c r="G769" s="20" t="n">
        <v>1.13431</v>
      </c>
      <c r="H769" s="20" t="n">
        <v>1.1002807</v>
      </c>
      <c r="I769" s="20" t="n">
        <v>1.1910255</v>
      </c>
      <c r="J769" s="20" t="n"/>
      <c r="K769" s="2" t="n"/>
      <c r="L769" s="5" t="n"/>
      <c r="M769" s="19">
        <f>資金模擬!$B$5*V768</f>
        <v/>
      </c>
      <c r="N769" s="2">
        <f>IF(Z768=1,"已停止",IF(T768&gt;=M769,"已下單","資金不足略過"))</f>
        <v/>
      </c>
      <c r="O769" s="19">
        <f>IF(N769="已下單",M769*資金模擬!$B$7,0)</f>
        <v/>
      </c>
      <c r="P769" s="4" t="n"/>
      <c r="Q769" s="13" t="n">
        <v>0</v>
      </c>
      <c r="R769" s="13">
        <f>R768+Q769</f>
        <v/>
      </c>
      <c r="S769" s="19">
        <f>S768+IF(N769="已下單",M769,0)</f>
        <v/>
      </c>
      <c r="T769" s="19">
        <f>R769-S769</f>
        <v/>
      </c>
      <c r="U769" s="2">
        <f>U768+IF(N769="已下單",1,0)</f>
        <v/>
      </c>
      <c r="V769" s="19">
        <f>IF(資金模擬!$B$9=2,MAX(R769,0),MAX(V768,FLOOR(MAX(R769,0),資金模擬!$B$6)))</f>
        <v/>
      </c>
      <c r="W769" s="13">
        <f>MAX(W768,R769)</f>
        <v/>
      </c>
      <c r="X769" s="4">
        <f>IF(W769&gt;0,R769/W769-1,-1)</f>
        <v/>
      </c>
      <c r="Y769" s="19">
        <f>IF(R769&gt;0,S769*資金模擬!$B$7/R769,0)</f>
        <v/>
      </c>
      <c r="Z769" s="2">
        <f>IF(OR(Z768=1,R769&lt;=資金模擬!$B$10),1,0)</f>
        <v/>
      </c>
    </row>
    <row r="770">
      <c r="A770" s="2" t="n">
        <v>768</v>
      </c>
      <c r="B770" s="7" t="n">
        <v>46287.83333333334</v>
      </c>
      <c r="C770" s="2" t="inlineStr">
        <is>
          <t>進場</t>
        </is>
      </c>
      <c r="D770" s="2" t="n">
        <v>387</v>
      </c>
      <c r="E770" s="2" t="inlineStr">
        <is>
          <t>FET_USDT_PERP</t>
        </is>
      </c>
      <c r="F770" s="2" t="inlineStr">
        <is>
          <t>做多</t>
        </is>
      </c>
      <c r="G770" s="20" t="n">
        <v>0.2109</v>
      </c>
      <c r="H770" s="20" t="n">
        <v>0.217227</v>
      </c>
      <c r="I770" s="20" t="n">
        <v>0.200355</v>
      </c>
      <c r="J770" s="20" t="n"/>
      <c r="K770" s="2" t="n"/>
      <c r="L770" s="5" t="n"/>
      <c r="M770" s="19">
        <f>資金模擬!$B$5*V769</f>
        <v/>
      </c>
      <c r="N770" s="2">
        <f>IF(Z769=1,"已停止",IF(T769&gt;=M770,"已下單","資金不足略過"))</f>
        <v/>
      </c>
      <c r="O770" s="19">
        <f>IF(N770="已下單",M770*資金模擬!$B$7,0)</f>
        <v/>
      </c>
      <c r="P770" s="4" t="n"/>
      <c r="Q770" s="13" t="n">
        <v>0</v>
      </c>
      <c r="R770" s="13">
        <f>R769+Q770</f>
        <v/>
      </c>
      <c r="S770" s="19">
        <f>S769+IF(N770="已下單",M770,0)</f>
        <v/>
      </c>
      <c r="T770" s="19">
        <f>R770-S770</f>
        <v/>
      </c>
      <c r="U770" s="2">
        <f>U769+IF(N770="已下單",1,0)</f>
        <v/>
      </c>
      <c r="V770" s="19">
        <f>IF(資金模擬!$B$9=2,MAX(R770,0),MAX(V769,FLOOR(MAX(R770,0),資金模擬!$B$6)))</f>
        <v/>
      </c>
      <c r="W770" s="13">
        <f>MAX(W769,R770)</f>
        <v/>
      </c>
      <c r="X770" s="4">
        <f>IF(W770&gt;0,R770/W770-1,-1)</f>
        <v/>
      </c>
      <c r="Y770" s="19">
        <f>IF(R770&gt;0,S770*資金模擬!$B$7/R770,0)</f>
        <v/>
      </c>
      <c r="Z770" s="2">
        <f>IF(OR(Z769=1,R770&lt;=資金模擬!$B$10),1,0)</f>
        <v/>
      </c>
    </row>
    <row r="771">
      <c r="A771" s="2" t="n">
        <v>769</v>
      </c>
      <c r="B771" s="7" t="n">
        <v>46287.875</v>
      </c>
      <c r="C771" s="2" t="inlineStr">
        <is>
          <t>出場</t>
        </is>
      </c>
      <c r="D771" s="2" t="n">
        <v>385</v>
      </c>
      <c r="E771" s="2" t="inlineStr">
        <is>
          <t>WIF_USDT_PERP</t>
        </is>
      </c>
      <c r="F771" s="2" t="inlineStr">
        <is>
          <t>做多</t>
        </is>
      </c>
      <c r="G771" s="20" t="n">
        <v>0.2576</v>
      </c>
      <c r="H771" s="20" t="n">
        <v>0.265328</v>
      </c>
      <c r="I771" s="20" t="n">
        <v>0.24472</v>
      </c>
      <c r="J771" s="20" t="n">
        <v>0.265328</v>
      </c>
      <c r="K771" s="2" t="inlineStr">
        <is>
          <t>止盈</t>
        </is>
      </c>
      <c r="L771" s="5">
        <f>交易明細!K386</f>
        <v/>
      </c>
      <c r="M771" s="19">
        <f>M767</f>
        <v/>
      </c>
      <c r="N771" s="2">
        <f>N767</f>
        <v/>
      </c>
      <c r="O771" s="19">
        <f>O767</f>
        <v/>
      </c>
      <c r="P771" s="4">
        <f>交易明細!L386</f>
        <v/>
      </c>
      <c r="Q771" s="13">
        <f>IF(N771="已下單",O771*P771,0)</f>
        <v/>
      </c>
      <c r="R771" s="13">
        <f>R770+Q771</f>
        <v/>
      </c>
      <c r="S771" s="19">
        <f>S770-IF(N771="已下單",M771,0)</f>
        <v/>
      </c>
      <c r="T771" s="19">
        <f>R771-S771</f>
        <v/>
      </c>
      <c r="U771" s="2">
        <f>U770-IF(N771="已下單",1,0)</f>
        <v/>
      </c>
      <c r="V771" s="19">
        <f>IF(資金模擬!$B$9=2,MAX(R771,0),MAX(V770,FLOOR(MAX(R771,0),資金模擬!$B$6)))</f>
        <v/>
      </c>
      <c r="W771" s="13">
        <f>MAX(W770,R771)</f>
        <v/>
      </c>
      <c r="X771" s="4">
        <f>IF(W771&gt;0,R771/W771-1,-1)</f>
        <v/>
      </c>
      <c r="Y771" s="19">
        <f>IF(R771&gt;0,S771*資金模擬!$B$7/R771,0)</f>
        <v/>
      </c>
      <c r="Z771" s="2">
        <f>IF(OR(Z770=1,R771&lt;=資金模擬!$B$10),1,0)</f>
        <v/>
      </c>
    </row>
    <row r="772">
      <c r="A772" s="2" t="n">
        <v>770</v>
      </c>
      <c r="B772" s="7" t="n">
        <v>46287.875</v>
      </c>
      <c r="C772" s="2" t="inlineStr">
        <is>
          <t>出場</t>
        </is>
      </c>
      <c r="D772" s="2" t="n">
        <v>386</v>
      </c>
      <c r="E772" s="2" t="inlineStr">
        <is>
          <t>BR_USDT_PERP</t>
        </is>
      </c>
      <c r="F772" s="2" t="inlineStr">
        <is>
          <t>做空</t>
        </is>
      </c>
      <c r="G772" s="20" t="n">
        <v>1.13431</v>
      </c>
      <c r="H772" s="20" t="n">
        <v>1.1002807</v>
      </c>
      <c r="I772" s="20" t="n">
        <v>1.1910255</v>
      </c>
      <c r="J772" s="20" t="n">
        <v>1.1002807</v>
      </c>
      <c r="K772" s="2" t="inlineStr">
        <is>
          <t>止盈</t>
        </is>
      </c>
      <c r="L772" s="5">
        <f>交易明細!K387</f>
        <v/>
      </c>
      <c r="M772" s="19">
        <f>M769</f>
        <v/>
      </c>
      <c r="N772" s="2">
        <f>N769</f>
        <v/>
      </c>
      <c r="O772" s="19">
        <f>O769</f>
        <v/>
      </c>
      <c r="P772" s="4">
        <f>交易明細!L387</f>
        <v/>
      </c>
      <c r="Q772" s="13">
        <f>IF(N772="已下單",O772*P772,0)</f>
        <v/>
      </c>
      <c r="R772" s="13">
        <f>R771+Q772</f>
        <v/>
      </c>
      <c r="S772" s="19">
        <f>S771-IF(N772="已下單",M772,0)</f>
        <v/>
      </c>
      <c r="T772" s="19">
        <f>R772-S772</f>
        <v/>
      </c>
      <c r="U772" s="2">
        <f>U771-IF(N772="已下單",1,0)</f>
        <v/>
      </c>
      <c r="V772" s="19">
        <f>IF(資金模擬!$B$9=2,MAX(R772,0),MAX(V771,FLOOR(MAX(R772,0),資金模擬!$B$6)))</f>
        <v/>
      </c>
      <c r="W772" s="13">
        <f>MAX(W771,R772)</f>
        <v/>
      </c>
      <c r="X772" s="4">
        <f>IF(W772&gt;0,R772/W772-1,-1)</f>
        <v/>
      </c>
      <c r="Y772" s="19">
        <f>IF(R772&gt;0,S772*資金模擬!$B$7/R772,0)</f>
        <v/>
      </c>
      <c r="Z772" s="2">
        <f>IF(OR(Z771=1,R772&lt;=資金模擬!$B$10),1,0)</f>
        <v/>
      </c>
    </row>
    <row r="773">
      <c r="A773" s="2" t="n">
        <v>771</v>
      </c>
      <c r="B773" s="7" t="n">
        <v>46287.875</v>
      </c>
      <c r="C773" s="2" t="inlineStr">
        <is>
          <t>進場</t>
        </is>
      </c>
      <c r="D773" s="2" t="n">
        <v>388</v>
      </c>
      <c r="E773" s="2" t="inlineStr">
        <is>
          <t>DOGE_USDT_PERP</t>
        </is>
      </c>
      <c r="F773" s="2" t="inlineStr">
        <is>
          <t>做多</t>
        </is>
      </c>
      <c r="G773" s="20" t="n">
        <v>0.09988</v>
      </c>
      <c r="H773" s="20" t="n">
        <v>0.1028764</v>
      </c>
      <c r="I773" s="20" t="n">
        <v>0.094886</v>
      </c>
      <c r="J773" s="20" t="n"/>
      <c r="K773" s="2" t="n"/>
      <c r="L773" s="5" t="n"/>
      <c r="M773" s="19">
        <f>資金模擬!$B$5*V772</f>
        <v/>
      </c>
      <c r="N773" s="2">
        <f>IF(Z772=1,"已停止",IF(T772&gt;=M773,"已下單","資金不足略過"))</f>
        <v/>
      </c>
      <c r="O773" s="19">
        <f>IF(N773="已下單",M773*資金模擬!$B$7,0)</f>
        <v/>
      </c>
      <c r="P773" s="4" t="n"/>
      <c r="Q773" s="13" t="n">
        <v>0</v>
      </c>
      <c r="R773" s="13">
        <f>R772+Q773</f>
        <v/>
      </c>
      <c r="S773" s="19">
        <f>S772+IF(N773="已下單",M773,0)</f>
        <v/>
      </c>
      <c r="T773" s="19">
        <f>R773-S773</f>
        <v/>
      </c>
      <c r="U773" s="2">
        <f>U772+IF(N773="已下單",1,0)</f>
        <v/>
      </c>
      <c r="V773" s="19">
        <f>IF(資金模擬!$B$9=2,MAX(R773,0),MAX(V772,FLOOR(MAX(R773,0),資金模擬!$B$6)))</f>
        <v/>
      </c>
      <c r="W773" s="13">
        <f>MAX(W772,R773)</f>
        <v/>
      </c>
      <c r="X773" s="4">
        <f>IF(W773&gt;0,R773/W773-1,-1)</f>
        <v/>
      </c>
      <c r="Y773" s="19">
        <f>IF(R773&gt;0,S773*資金模擬!$B$7/R773,0)</f>
        <v/>
      </c>
      <c r="Z773" s="2">
        <f>IF(OR(Z772=1,R773&lt;=資金模擬!$B$10),1,0)</f>
        <v/>
      </c>
    </row>
    <row r="774">
      <c r="A774" s="2" t="n">
        <v>772</v>
      </c>
      <c r="B774" s="7" t="n">
        <v>46287.91666666666</v>
      </c>
      <c r="C774" s="2" t="inlineStr">
        <is>
          <t>進場</t>
        </is>
      </c>
      <c r="D774" s="2" t="n">
        <v>389</v>
      </c>
      <c r="E774" s="2" t="inlineStr">
        <is>
          <t>ZAMA_USDT_PERP</t>
        </is>
      </c>
      <c r="F774" s="2" t="inlineStr">
        <is>
          <t>做空</t>
        </is>
      </c>
      <c r="G774" s="20" t="n">
        <v>0.09107</v>
      </c>
      <c r="H774" s="20" t="n">
        <v>0.0883379</v>
      </c>
      <c r="I774" s="20" t="n">
        <v>0.0956235</v>
      </c>
      <c r="J774" s="20" t="n"/>
      <c r="K774" s="2" t="n"/>
      <c r="L774" s="5" t="n"/>
      <c r="M774" s="19">
        <f>資金模擬!$B$5*V773</f>
        <v/>
      </c>
      <c r="N774" s="2">
        <f>IF(Z773=1,"已停止",IF(T773&gt;=M774,"已下單","資金不足略過"))</f>
        <v/>
      </c>
      <c r="O774" s="19">
        <f>IF(N774="已下單",M774*資金模擬!$B$7,0)</f>
        <v/>
      </c>
      <c r="P774" s="4" t="n"/>
      <c r="Q774" s="13" t="n">
        <v>0</v>
      </c>
      <c r="R774" s="13">
        <f>R773+Q774</f>
        <v/>
      </c>
      <c r="S774" s="19">
        <f>S773+IF(N774="已下單",M774,0)</f>
        <v/>
      </c>
      <c r="T774" s="19">
        <f>R774-S774</f>
        <v/>
      </c>
      <c r="U774" s="2">
        <f>U773+IF(N774="已下單",1,0)</f>
        <v/>
      </c>
      <c r="V774" s="19">
        <f>IF(資金模擬!$B$9=2,MAX(R774,0),MAX(V773,FLOOR(MAX(R774,0),資金模擬!$B$6)))</f>
        <v/>
      </c>
      <c r="W774" s="13">
        <f>MAX(W773,R774)</f>
        <v/>
      </c>
      <c r="X774" s="4">
        <f>IF(W774&gt;0,R774/W774-1,-1)</f>
        <v/>
      </c>
      <c r="Y774" s="19">
        <f>IF(R774&gt;0,S774*資金模擬!$B$7/R774,0)</f>
        <v/>
      </c>
      <c r="Z774" s="2">
        <f>IF(OR(Z773=1,R774&lt;=資金模擬!$B$10),1,0)</f>
        <v/>
      </c>
    </row>
    <row r="775">
      <c r="A775" s="2" t="n">
        <v>773</v>
      </c>
      <c r="B775" s="7" t="n">
        <v>46287.95833333334</v>
      </c>
      <c r="C775" s="2" t="inlineStr">
        <is>
          <t>出場</t>
        </is>
      </c>
      <c r="D775" s="2" t="n">
        <v>382</v>
      </c>
      <c r="E775" s="2" t="inlineStr">
        <is>
          <t>ENA_USDT_PERP</t>
        </is>
      </c>
      <c r="F775" s="2" t="inlineStr">
        <is>
          <t>做空</t>
        </is>
      </c>
      <c r="G775" s="20" t="n">
        <v>0.2105</v>
      </c>
      <c r="H775" s="20" t="n">
        <v>0.204185</v>
      </c>
      <c r="I775" s="20" t="n">
        <v>0.221025</v>
      </c>
      <c r="J775" s="20" t="n">
        <v>0.204185</v>
      </c>
      <c r="K775" s="2" t="inlineStr">
        <is>
          <t>止盈</t>
        </is>
      </c>
      <c r="L775" s="5">
        <f>交易明細!K383</f>
        <v/>
      </c>
      <c r="M775" s="19">
        <f>M758</f>
        <v/>
      </c>
      <c r="N775" s="2">
        <f>N758</f>
        <v/>
      </c>
      <c r="O775" s="19">
        <f>O758</f>
        <v/>
      </c>
      <c r="P775" s="4">
        <f>交易明細!L383</f>
        <v/>
      </c>
      <c r="Q775" s="13">
        <f>IF(N775="已下單",O775*P775,0)</f>
        <v/>
      </c>
      <c r="R775" s="13">
        <f>R774+Q775</f>
        <v/>
      </c>
      <c r="S775" s="19">
        <f>S774-IF(N775="已下單",M775,0)</f>
        <v/>
      </c>
      <c r="T775" s="19">
        <f>R775-S775</f>
        <v/>
      </c>
      <c r="U775" s="2">
        <f>U774-IF(N775="已下單",1,0)</f>
        <v/>
      </c>
      <c r="V775" s="19">
        <f>IF(資金模擬!$B$9=2,MAX(R775,0),MAX(V774,FLOOR(MAX(R775,0),資金模擬!$B$6)))</f>
        <v/>
      </c>
      <c r="W775" s="13">
        <f>MAX(W774,R775)</f>
        <v/>
      </c>
      <c r="X775" s="4">
        <f>IF(W775&gt;0,R775/W775-1,-1)</f>
        <v/>
      </c>
      <c r="Y775" s="19">
        <f>IF(R775&gt;0,S775*資金模擬!$B$7/R775,0)</f>
        <v/>
      </c>
      <c r="Z775" s="2">
        <f>IF(OR(Z774=1,R775&lt;=資金模擬!$B$10),1,0)</f>
        <v/>
      </c>
    </row>
    <row r="776">
      <c r="A776" s="2" t="n">
        <v>774</v>
      </c>
      <c r="B776" s="7" t="n">
        <v>46287.95833333334</v>
      </c>
      <c r="C776" s="2" t="inlineStr">
        <is>
          <t>出場</t>
        </is>
      </c>
      <c r="D776" s="2" t="n">
        <v>389</v>
      </c>
      <c r="E776" s="2" t="inlineStr">
        <is>
          <t>ZAMA_USDT_PERP</t>
        </is>
      </c>
      <c r="F776" s="2" t="inlineStr">
        <is>
          <t>做空</t>
        </is>
      </c>
      <c r="G776" s="20" t="n">
        <v>0.09107</v>
      </c>
      <c r="H776" s="20" t="n">
        <v>0.0883379</v>
      </c>
      <c r="I776" s="20" t="n">
        <v>0.0956235</v>
      </c>
      <c r="J776" s="20" t="n">
        <v>0.0883379</v>
      </c>
      <c r="K776" s="2" t="inlineStr">
        <is>
          <t>止盈</t>
        </is>
      </c>
      <c r="L776" s="5">
        <f>交易明細!K390</f>
        <v/>
      </c>
      <c r="M776" s="19">
        <f>M774</f>
        <v/>
      </c>
      <c r="N776" s="2">
        <f>N774</f>
        <v/>
      </c>
      <c r="O776" s="19">
        <f>O774</f>
        <v/>
      </c>
      <c r="P776" s="4">
        <f>交易明細!L390</f>
        <v/>
      </c>
      <c r="Q776" s="13">
        <f>IF(N776="已下單",O776*P776,0)</f>
        <v/>
      </c>
      <c r="R776" s="13">
        <f>R775+Q776</f>
        <v/>
      </c>
      <c r="S776" s="19">
        <f>S775-IF(N776="已下單",M776,0)</f>
        <v/>
      </c>
      <c r="T776" s="19">
        <f>R776-S776</f>
        <v/>
      </c>
      <c r="U776" s="2">
        <f>U775-IF(N776="已下單",1,0)</f>
        <v/>
      </c>
      <c r="V776" s="19">
        <f>IF(資金模擬!$B$9=2,MAX(R776,0),MAX(V775,FLOOR(MAX(R776,0),資金模擬!$B$6)))</f>
        <v/>
      </c>
      <c r="W776" s="13">
        <f>MAX(W775,R776)</f>
        <v/>
      </c>
      <c r="X776" s="4">
        <f>IF(W776&gt;0,R776/W776-1,-1)</f>
        <v/>
      </c>
      <c r="Y776" s="19">
        <f>IF(R776&gt;0,S776*資金模擬!$B$7/R776,0)</f>
        <v/>
      </c>
      <c r="Z776" s="2">
        <f>IF(OR(Z775=1,R776&lt;=資金模擬!$B$10),1,0)</f>
        <v/>
      </c>
    </row>
    <row r="777">
      <c r="A777" s="2" t="n">
        <v>775</v>
      </c>
      <c r="B777" s="7" t="n">
        <v>46287.95833333334</v>
      </c>
      <c r="C777" s="2" t="inlineStr">
        <is>
          <t>進場</t>
        </is>
      </c>
      <c r="D777" s="2" t="n">
        <v>390</v>
      </c>
      <c r="E777" s="2" t="inlineStr">
        <is>
          <t>ETHFI_USDT_PERP</t>
        </is>
      </c>
      <c r="F777" s="2" t="inlineStr">
        <is>
          <t>做空</t>
        </is>
      </c>
      <c r="G777" s="20" t="n">
        <v>0.6907</v>
      </c>
      <c r="H777" s="20" t="n">
        <v>0.669979</v>
      </c>
      <c r="I777" s="20" t="n">
        <v>0.725235</v>
      </c>
      <c r="J777" s="20" t="n"/>
      <c r="K777" s="2" t="n"/>
      <c r="L777" s="5" t="n"/>
      <c r="M777" s="19">
        <f>資金模擬!$B$5*V776</f>
        <v/>
      </c>
      <c r="N777" s="2">
        <f>IF(Z776=1,"已停止",IF(T776&gt;=M777,"已下單","資金不足略過"))</f>
        <v/>
      </c>
      <c r="O777" s="19">
        <f>IF(N777="已下單",M777*資金模擬!$B$7,0)</f>
        <v/>
      </c>
      <c r="P777" s="4" t="n"/>
      <c r="Q777" s="13" t="n">
        <v>0</v>
      </c>
      <c r="R777" s="13">
        <f>R776+Q777</f>
        <v/>
      </c>
      <c r="S777" s="19">
        <f>S776+IF(N777="已下單",M777,0)</f>
        <v/>
      </c>
      <c r="T777" s="19">
        <f>R777-S777</f>
        <v/>
      </c>
      <c r="U777" s="2">
        <f>U776+IF(N777="已下單",1,0)</f>
        <v/>
      </c>
      <c r="V777" s="19">
        <f>IF(資金模擬!$B$9=2,MAX(R777,0),MAX(V776,FLOOR(MAX(R777,0),資金模擬!$B$6)))</f>
        <v/>
      </c>
      <c r="W777" s="13">
        <f>MAX(W776,R777)</f>
        <v/>
      </c>
      <c r="X777" s="4">
        <f>IF(W777&gt;0,R777/W777-1,-1)</f>
        <v/>
      </c>
      <c r="Y777" s="19">
        <f>IF(R777&gt;0,S777*資金模擬!$B$7/R777,0)</f>
        <v/>
      </c>
      <c r="Z777" s="2">
        <f>IF(OR(Z776=1,R777&lt;=資金模擬!$B$10),1,0)</f>
        <v/>
      </c>
    </row>
    <row r="778">
      <c r="A778" s="2" t="n">
        <v>776</v>
      </c>
      <c r="B778" s="7" t="n">
        <v>46287.95833333334</v>
      </c>
      <c r="C778" s="2" t="inlineStr">
        <is>
          <t>進場</t>
        </is>
      </c>
      <c r="D778" s="2" t="n">
        <v>391</v>
      </c>
      <c r="E778" s="2" t="inlineStr">
        <is>
          <t>INJ_USDT_PERP</t>
        </is>
      </c>
      <c r="F778" s="2" t="inlineStr">
        <is>
          <t>做空</t>
        </is>
      </c>
      <c r="G778" s="20" t="n">
        <v>7.683</v>
      </c>
      <c r="H778" s="20" t="n">
        <v>7.452509999999999</v>
      </c>
      <c r="I778" s="20" t="n">
        <v>8.06715</v>
      </c>
      <c r="J778" s="20" t="n"/>
      <c r="K778" s="2" t="n"/>
      <c r="L778" s="5" t="n"/>
      <c r="M778" s="19">
        <f>資金模擬!$B$5*V777</f>
        <v/>
      </c>
      <c r="N778" s="2">
        <f>IF(Z777=1,"已停止",IF(T777&gt;=M778,"已下單","資金不足略過"))</f>
        <v/>
      </c>
      <c r="O778" s="19">
        <f>IF(N778="已下單",M778*資金模擬!$B$7,0)</f>
        <v/>
      </c>
      <c r="P778" s="4" t="n"/>
      <c r="Q778" s="13" t="n">
        <v>0</v>
      </c>
      <c r="R778" s="13">
        <f>R777+Q778</f>
        <v/>
      </c>
      <c r="S778" s="19">
        <f>S777+IF(N778="已下單",M778,0)</f>
        <v/>
      </c>
      <c r="T778" s="19">
        <f>R778-S778</f>
        <v/>
      </c>
      <c r="U778" s="2">
        <f>U777+IF(N778="已下單",1,0)</f>
        <v/>
      </c>
      <c r="V778" s="19">
        <f>IF(資金模擬!$B$9=2,MAX(R778,0),MAX(V777,FLOOR(MAX(R778,0),資金模擬!$B$6)))</f>
        <v/>
      </c>
      <c r="W778" s="13">
        <f>MAX(W777,R778)</f>
        <v/>
      </c>
      <c r="X778" s="4">
        <f>IF(W778&gt;0,R778/W778-1,-1)</f>
        <v/>
      </c>
      <c r="Y778" s="19">
        <f>IF(R778&gt;0,S778*資金模擬!$B$7/R778,0)</f>
        <v/>
      </c>
      <c r="Z778" s="2">
        <f>IF(OR(Z777=1,R778&lt;=資金模擬!$B$10),1,0)</f>
        <v/>
      </c>
    </row>
    <row r="779">
      <c r="A779" s="2" t="n">
        <v>777</v>
      </c>
      <c r="B779" s="7" t="n">
        <v>46288</v>
      </c>
      <c r="C779" s="2" t="inlineStr">
        <is>
          <t>進場</t>
        </is>
      </c>
      <c r="D779" s="2" t="n">
        <v>392</v>
      </c>
      <c r="E779" s="2" t="inlineStr">
        <is>
          <t>HBAR_USDT_PERP</t>
        </is>
      </c>
      <c r="F779" s="2" t="inlineStr">
        <is>
          <t>做多</t>
        </is>
      </c>
      <c r="G779" s="20" t="n">
        <v>0.09859</v>
      </c>
      <c r="H779" s="20" t="n">
        <v>0.1015477</v>
      </c>
      <c r="I779" s="20" t="n">
        <v>0.09366049999999999</v>
      </c>
      <c r="J779" s="20" t="n"/>
      <c r="K779" s="2" t="n"/>
      <c r="L779" s="5" t="n"/>
      <c r="M779" s="19">
        <f>資金模擬!$B$5*V778</f>
        <v/>
      </c>
      <c r="N779" s="2">
        <f>IF(Z778=1,"已停止",IF(T778&gt;=M779,"已下單","資金不足略過"))</f>
        <v/>
      </c>
      <c r="O779" s="19">
        <f>IF(N779="已下單",M779*資金模擬!$B$7,0)</f>
        <v/>
      </c>
      <c r="P779" s="4" t="n"/>
      <c r="Q779" s="13" t="n">
        <v>0</v>
      </c>
      <c r="R779" s="13">
        <f>R778+Q779</f>
        <v/>
      </c>
      <c r="S779" s="19">
        <f>S778+IF(N779="已下單",M779,0)</f>
        <v/>
      </c>
      <c r="T779" s="19">
        <f>R779-S779</f>
        <v/>
      </c>
      <c r="U779" s="2">
        <f>U778+IF(N779="已下單",1,0)</f>
        <v/>
      </c>
      <c r="V779" s="19">
        <f>IF(資金模擬!$B$9=2,MAX(R779,0),MAX(V778,FLOOR(MAX(R779,0),資金模擬!$B$6)))</f>
        <v/>
      </c>
      <c r="W779" s="13">
        <f>MAX(W778,R779)</f>
        <v/>
      </c>
      <c r="X779" s="4">
        <f>IF(W779&gt;0,R779/W779-1,-1)</f>
        <v/>
      </c>
      <c r="Y779" s="19">
        <f>IF(R779&gt;0,S779*資金模擬!$B$7/R779,0)</f>
        <v/>
      </c>
      <c r="Z779" s="2">
        <f>IF(OR(Z778=1,R779&lt;=資金模擬!$B$10),1,0)</f>
        <v/>
      </c>
    </row>
    <row r="780">
      <c r="A780" s="2" t="n">
        <v>778</v>
      </c>
      <c r="B780" s="7" t="n">
        <v>46288</v>
      </c>
      <c r="C780" s="2" t="inlineStr">
        <is>
          <t>進場</t>
        </is>
      </c>
      <c r="D780" s="2" t="n">
        <v>393</v>
      </c>
      <c r="E780" s="2" t="inlineStr">
        <is>
          <t>LSK_USDT_PERP</t>
        </is>
      </c>
      <c r="F780" s="2" t="inlineStr">
        <is>
          <t>做空</t>
        </is>
      </c>
      <c r="G780" s="20" t="n">
        <v>0.3326</v>
      </c>
      <c r="H780" s="20" t="n">
        <v>0.322622</v>
      </c>
      <c r="I780" s="20" t="n">
        <v>0.34923</v>
      </c>
      <c r="J780" s="20" t="n"/>
      <c r="K780" s="2" t="n"/>
      <c r="L780" s="5" t="n"/>
      <c r="M780" s="19">
        <f>資金模擬!$B$5*V779</f>
        <v/>
      </c>
      <c r="N780" s="2">
        <f>IF(Z779=1,"已停止",IF(T779&gt;=M780,"已下單","資金不足略過"))</f>
        <v/>
      </c>
      <c r="O780" s="19">
        <f>IF(N780="已下單",M780*資金模擬!$B$7,0)</f>
        <v/>
      </c>
      <c r="P780" s="4" t="n"/>
      <c r="Q780" s="13" t="n">
        <v>0</v>
      </c>
      <c r="R780" s="13">
        <f>R779+Q780</f>
        <v/>
      </c>
      <c r="S780" s="19">
        <f>S779+IF(N780="已下單",M780,0)</f>
        <v/>
      </c>
      <c r="T780" s="19">
        <f>R780-S780</f>
        <v/>
      </c>
      <c r="U780" s="2">
        <f>U779+IF(N780="已下單",1,0)</f>
        <v/>
      </c>
      <c r="V780" s="19">
        <f>IF(資金模擬!$B$9=2,MAX(R780,0),MAX(V779,FLOOR(MAX(R780,0),資金模擬!$B$6)))</f>
        <v/>
      </c>
      <c r="W780" s="13">
        <f>MAX(W779,R780)</f>
        <v/>
      </c>
      <c r="X780" s="4">
        <f>IF(W780&gt;0,R780/W780-1,-1)</f>
        <v/>
      </c>
      <c r="Y780" s="19">
        <f>IF(R780&gt;0,S780*資金模擬!$B$7/R780,0)</f>
        <v/>
      </c>
      <c r="Z780" s="2">
        <f>IF(OR(Z779=1,R780&lt;=資金模擬!$B$10),1,0)</f>
        <v/>
      </c>
    </row>
    <row r="781">
      <c r="A781" s="2" t="n">
        <v>779</v>
      </c>
      <c r="B781" s="7" t="n">
        <v>46288</v>
      </c>
      <c r="C781" s="2" t="inlineStr">
        <is>
          <t>進場</t>
        </is>
      </c>
      <c r="D781" s="2" t="n">
        <v>394</v>
      </c>
      <c r="E781" s="2" t="inlineStr">
        <is>
          <t>UNI_USDT_PERP</t>
        </is>
      </c>
      <c r="F781" s="2" t="inlineStr">
        <is>
          <t>做多</t>
        </is>
      </c>
      <c r="G781" s="20" t="n">
        <v>9.182</v>
      </c>
      <c r="H781" s="20" t="n">
        <v>9.457460000000001</v>
      </c>
      <c r="I781" s="20" t="n">
        <v>8.722899999999999</v>
      </c>
      <c r="J781" s="20" t="n"/>
      <c r="K781" s="2" t="n"/>
      <c r="L781" s="5" t="n"/>
      <c r="M781" s="19">
        <f>資金模擬!$B$5*V780</f>
        <v/>
      </c>
      <c r="N781" s="2">
        <f>IF(Z780=1,"已停止",IF(T780&gt;=M781,"已下單","資金不足略過"))</f>
        <v/>
      </c>
      <c r="O781" s="19">
        <f>IF(N781="已下單",M781*資金模擬!$B$7,0)</f>
        <v/>
      </c>
      <c r="P781" s="4" t="n"/>
      <c r="Q781" s="13" t="n">
        <v>0</v>
      </c>
      <c r="R781" s="13">
        <f>R780+Q781</f>
        <v/>
      </c>
      <c r="S781" s="19">
        <f>S780+IF(N781="已下單",M781,0)</f>
        <v/>
      </c>
      <c r="T781" s="19">
        <f>R781-S781</f>
        <v/>
      </c>
      <c r="U781" s="2">
        <f>U780+IF(N781="已下單",1,0)</f>
        <v/>
      </c>
      <c r="V781" s="19">
        <f>IF(資金模擬!$B$9=2,MAX(R781,0),MAX(V780,FLOOR(MAX(R781,0),資金模擬!$B$6)))</f>
        <v/>
      </c>
      <c r="W781" s="13">
        <f>MAX(W780,R781)</f>
        <v/>
      </c>
      <c r="X781" s="4">
        <f>IF(W781&gt;0,R781/W781-1,-1)</f>
        <v/>
      </c>
      <c r="Y781" s="19">
        <f>IF(R781&gt;0,S781*資金模擬!$B$7/R781,0)</f>
        <v/>
      </c>
      <c r="Z781" s="2">
        <f>IF(OR(Z780=1,R781&lt;=資金模擬!$B$10),1,0)</f>
        <v/>
      </c>
    </row>
    <row r="782">
      <c r="A782" s="2" t="n">
        <v>780</v>
      </c>
      <c r="B782" s="7" t="n">
        <v>46288</v>
      </c>
      <c r="C782" s="2" t="inlineStr">
        <is>
          <t>進場</t>
        </is>
      </c>
      <c r="D782" s="2" t="n">
        <v>395</v>
      </c>
      <c r="E782" s="2" t="inlineStr">
        <is>
          <t>WIF_USDT_PERP</t>
        </is>
      </c>
      <c r="F782" s="2" t="inlineStr">
        <is>
          <t>做多</t>
        </is>
      </c>
      <c r="G782" s="20" t="n">
        <v>0.2649</v>
      </c>
      <c r="H782" s="20" t="n">
        <v>0.272847</v>
      </c>
      <c r="I782" s="20" t="n">
        <v>0.251655</v>
      </c>
      <c r="J782" s="20" t="n"/>
      <c r="K782" s="2" t="n"/>
      <c r="L782" s="5" t="n"/>
      <c r="M782" s="19">
        <f>資金模擬!$B$5*V781</f>
        <v/>
      </c>
      <c r="N782" s="2">
        <f>IF(Z781=1,"已停止",IF(T781&gt;=M782,"已下單","資金不足略過"))</f>
        <v/>
      </c>
      <c r="O782" s="19">
        <f>IF(N782="已下單",M782*資金模擬!$B$7,0)</f>
        <v/>
      </c>
      <c r="P782" s="4" t="n"/>
      <c r="Q782" s="13" t="n">
        <v>0</v>
      </c>
      <c r="R782" s="13">
        <f>R781+Q782</f>
        <v/>
      </c>
      <c r="S782" s="19">
        <f>S781+IF(N782="已下單",M782,0)</f>
        <v/>
      </c>
      <c r="T782" s="19">
        <f>R782-S782</f>
        <v/>
      </c>
      <c r="U782" s="2">
        <f>U781+IF(N782="已下單",1,0)</f>
        <v/>
      </c>
      <c r="V782" s="19">
        <f>IF(資金模擬!$B$9=2,MAX(R782,0),MAX(V781,FLOOR(MAX(R782,0),資金模擬!$B$6)))</f>
        <v/>
      </c>
      <c r="W782" s="13">
        <f>MAX(W781,R782)</f>
        <v/>
      </c>
      <c r="X782" s="4">
        <f>IF(W782&gt;0,R782/W782-1,-1)</f>
        <v/>
      </c>
      <c r="Y782" s="19">
        <f>IF(R782&gt;0,S782*資金模擬!$B$7/R782,0)</f>
        <v/>
      </c>
      <c r="Z782" s="2">
        <f>IF(OR(Z781=1,R782&lt;=資金模擬!$B$10),1,0)</f>
        <v/>
      </c>
    </row>
    <row r="783">
      <c r="A783" s="2" t="n">
        <v>781</v>
      </c>
      <c r="B783" s="7" t="n">
        <v>46288.08333333334</v>
      </c>
      <c r="C783" s="2" t="inlineStr">
        <is>
          <t>出場</t>
        </is>
      </c>
      <c r="D783" s="2" t="n">
        <v>393</v>
      </c>
      <c r="E783" s="2" t="inlineStr">
        <is>
          <t>LSK_USDT_PERP</t>
        </is>
      </c>
      <c r="F783" s="2" t="inlineStr">
        <is>
          <t>做空</t>
        </is>
      </c>
      <c r="G783" s="20" t="n">
        <v>0.3326</v>
      </c>
      <c r="H783" s="20" t="n">
        <v>0.322622</v>
      </c>
      <c r="I783" s="20" t="n">
        <v>0.34923</v>
      </c>
      <c r="J783" s="20" t="n">
        <v>0.322622</v>
      </c>
      <c r="K783" s="2" t="inlineStr">
        <is>
          <t>止盈</t>
        </is>
      </c>
      <c r="L783" s="5">
        <f>交易明細!K394</f>
        <v/>
      </c>
      <c r="M783" s="19">
        <f>M780</f>
        <v/>
      </c>
      <c r="N783" s="2">
        <f>N780</f>
        <v/>
      </c>
      <c r="O783" s="19">
        <f>O780</f>
        <v/>
      </c>
      <c r="P783" s="4">
        <f>交易明細!L394</f>
        <v/>
      </c>
      <c r="Q783" s="13">
        <f>IF(N783="已下單",O783*P783,0)</f>
        <v/>
      </c>
      <c r="R783" s="13">
        <f>R782+Q783</f>
        <v/>
      </c>
      <c r="S783" s="19">
        <f>S782-IF(N783="已下單",M783,0)</f>
        <v/>
      </c>
      <c r="T783" s="19">
        <f>R783-S783</f>
        <v/>
      </c>
      <c r="U783" s="2">
        <f>U782-IF(N783="已下單",1,0)</f>
        <v/>
      </c>
      <c r="V783" s="19">
        <f>IF(資金模擬!$B$9=2,MAX(R783,0),MAX(V782,FLOOR(MAX(R783,0),資金模擬!$B$6)))</f>
        <v/>
      </c>
      <c r="W783" s="13">
        <f>MAX(W782,R783)</f>
        <v/>
      </c>
      <c r="X783" s="4">
        <f>IF(W783&gt;0,R783/W783-1,-1)</f>
        <v/>
      </c>
      <c r="Y783" s="19">
        <f>IF(R783&gt;0,S783*資金模擬!$B$7/R783,0)</f>
        <v/>
      </c>
      <c r="Z783" s="2">
        <f>IF(OR(Z782=1,R783&lt;=資金模擬!$B$10),1,0)</f>
        <v/>
      </c>
    </row>
    <row r="784">
      <c r="A784" s="2" t="n">
        <v>782</v>
      </c>
      <c r="B784" s="7" t="n">
        <v>46288.08333333334</v>
      </c>
      <c r="C784" s="2" t="inlineStr">
        <is>
          <t>進場</t>
        </is>
      </c>
      <c r="D784" s="2" t="n">
        <v>396</v>
      </c>
      <c r="E784" s="2" t="inlineStr">
        <is>
          <t>LIT_USDT_PERP</t>
        </is>
      </c>
      <c r="F784" s="2" t="inlineStr">
        <is>
          <t>做多</t>
        </is>
      </c>
      <c r="G784" s="20" t="n">
        <v>4.911</v>
      </c>
      <c r="H784" s="20" t="n">
        <v>5.05833</v>
      </c>
      <c r="I784" s="20" t="n">
        <v>4.665449999999999</v>
      </c>
      <c r="J784" s="20" t="n"/>
      <c r="K784" s="2" t="n"/>
      <c r="L784" s="5" t="n"/>
      <c r="M784" s="19">
        <f>資金模擬!$B$5*V783</f>
        <v/>
      </c>
      <c r="N784" s="2">
        <f>IF(Z783=1,"已停止",IF(T783&gt;=M784,"已下單","資金不足略過"))</f>
        <v/>
      </c>
      <c r="O784" s="19">
        <f>IF(N784="已下單",M784*資金模擬!$B$7,0)</f>
        <v/>
      </c>
      <c r="P784" s="4" t="n"/>
      <c r="Q784" s="13" t="n">
        <v>0</v>
      </c>
      <c r="R784" s="13">
        <f>R783+Q784</f>
        <v/>
      </c>
      <c r="S784" s="19">
        <f>S783+IF(N784="已下單",M784,0)</f>
        <v/>
      </c>
      <c r="T784" s="19">
        <f>R784-S784</f>
        <v/>
      </c>
      <c r="U784" s="2">
        <f>U783+IF(N784="已下單",1,0)</f>
        <v/>
      </c>
      <c r="V784" s="19">
        <f>IF(資金模擬!$B$9=2,MAX(R784,0),MAX(V783,FLOOR(MAX(R784,0),資金模擬!$B$6)))</f>
        <v/>
      </c>
      <c r="W784" s="13">
        <f>MAX(W783,R784)</f>
        <v/>
      </c>
      <c r="X784" s="4">
        <f>IF(W784&gt;0,R784/W784-1,-1)</f>
        <v/>
      </c>
      <c r="Y784" s="19">
        <f>IF(R784&gt;0,S784*資金模擬!$B$7/R784,0)</f>
        <v/>
      </c>
      <c r="Z784" s="2">
        <f>IF(OR(Z783=1,R784&lt;=資金模擬!$B$10),1,0)</f>
        <v/>
      </c>
    </row>
    <row r="785">
      <c r="A785" s="2" t="n">
        <v>783</v>
      </c>
      <c r="B785" s="7" t="n">
        <v>46288.08333333334</v>
      </c>
      <c r="C785" s="2" t="inlineStr">
        <is>
          <t>進場</t>
        </is>
      </c>
      <c r="D785" s="2" t="n">
        <v>397</v>
      </c>
      <c r="E785" s="2" t="inlineStr">
        <is>
          <t>PENGU_USDT_PERP</t>
        </is>
      </c>
      <c r="F785" s="2" t="inlineStr">
        <is>
          <t>做多</t>
        </is>
      </c>
      <c r="G785" s="20" t="n">
        <v>0.00949</v>
      </c>
      <c r="H785" s="20" t="n">
        <v>0.009774700000000001</v>
      </c>
      <c r="I785" s="20" t="n">
        <v>0.009015499999999999</v>
      </c>
      <c r="J785" s="20" t="n"/>
      <c r="K785" s="2" t="n"/>
      <c r="L785" s="5" t="n"/>
      <c r="M785" s="19">
        <f>資金模擬!$B$5*V784</f>
        <v/>
      </c>
      <c r="N785" s="2">
        <f>IF(Z784=1,"已停止",IF(T784&gt;=M785,"已下單","資金不足略過"))</f>
        <v/>
      </c>
      <c r="O785" s="19">
        <f>IF(N785="已下單",M785*資金模擬!$B$7,0)</f>
        <v/>
      </c>
      <c r="P785" s="4" t="n"/>
      <c r="Q785" s="13" t="n">
        <v>0</v>
      </c>
      <c r="R785" s="13">
        <f>R784+Q785</f>
        <v/>
      </c>
      <c r="S785" s="19">
        <f>S784+IF(N785="已下單",M785,0)</f>
        <v/>
      </c>
      <c r="T785" s="19">
        <f>R785-S785</f>
        <v/>
      </c>
      <c r="U785" s="2">
        <f>U784+IF(N785="已下單",1,0)</f>
        <v/>
      </c>
      <c r="V785" s="19">
        <f>IF(資金模擬!$B$9=2,MAX(R785,0),MAX(V784,FLOOR(MAX(R785,0),資金模擬!$B$6)))</f>
        <v/>
      </c>
      <c r="W785" s="13">
        <f>MAX(W784,R785)</f>
        <v/>
      </c>
      <c r="X785" s="4">
        <f>IF(W785&gt;0,R785/W785-1,-1)</f>
        <v/>
      </c>
      <c r="Y785" s="19">
        <f>IF(R785&gt;0,S785*資金模擬!$B$7/R785,0)</f>
        <v/>
      </c>
      <c r="Z785" s="2">
        <f>IF(OR(Z784=1,R785&lt;=資金模擬!$B$10),1,0)</f>
        <v/>
      </c>
    </row>
    <row r="786">
      <c r="A786" s="2" t="n">
        <v>784</v>
      </c>
      <c r="B786" s="7" t="n">
        <v>46288.08333333334</v>
      </c>
      <c r="C786" s="2" t="inlineStr">
        <is>
          <t>進場</t>
        </is>
      </c>
      <c r="D786" s="2" t="n">
        <v>398</v>
      </c>
      <c r="E786" s="2" t="inlineStr">
        <is>
          <t>VVV_USDT_PERP</t>
        </is>
      </c>
      <c r="F786" s="2" t="inlineStr">
        <is>
          <t>做多</t>
        </is>
      </c>
      <c r="G786" s="20" t="n">
        <v>32.63</v>
      </c>
      <c r="H786" s="20" t="n">
        <v>33.60890000000001</v>
      </c>
      <c r="I786" s="20" t="n">
        <v>30.9985</v>
      </c>
      <c r="J786" s="20" t="n"/>
      <c r="K786" s="2" t="n"/>
      <c r="L786" s="5" t="n"/>
      <c r="M786" s="19">
        <f>資金模擬!$B$5*V785</f>
        <v/>
      </c>
      <c r="N786" s="2">
        <f>IF(Z785=1,"已停止",IF(T785&gt;=M786,"已下單","資金不足略過"))</f>
        <v/>
      </c>
      <c r="O786" s="19">
        <f>IF(N786="已下單",M786*資金模擬!$B$7,0)</f>
        <v/>
      </c>
      <c r="P786" s="4" t="n"/>
      <c r="Q786" s="13" t="n">
        <v>0</v>
      </c>
      <c r="R786" s="13">
        <f>R785+Q786</f>
        <v/>
      </c>
      <c r="S786" s="19">
        <f>S785+IF(N786="已下單",M786,0)</f>
        <v/>
      </c>
      <c r="T786" s="19">
        <f>R786-S786</f>
        <v/>
      </c>
      <c r="U786" s="2">
        <f>U785+IF(N786="已下單",1,0)</f>
        <v/>
      </c>
      <c r="V786" s="19">
        <f>IF(資金模擬!$B$9=2,MAX(R786,0),MAX(V785,FLOOR(MAX(R786,0),資金模擬!$B$6)))</f>
        <v/>
      </c>
      <c r="W786" s="13">
        <f>MAX(W785,R786)</f>
        <v/>
      </c>
      <c r="X786" s="4">
        <f>IF(W786&gt;0,R786/W786-1,-1)</f>
        <v/>
      </c>
      <c r="Y786" s="19">
        <f>IF(R786&gt;0,S786*資金模擬!$B$7/R786,0)</f>
        <v/>
      </c>
      <c r="Z786" s="2">
        <f>IF(OR(Z785=1,R786&lt;=資金模擬!$B$10),1,0)</f>
        <v/>
      </c>
    </row>
    <row r="787">
      <c r="A787" s="2" t="n">
        <v>785</v>
      </c>
      <c r="B787" s="7" t="n">
        <v>46288.125</v>
      </c>
      <c r="C787" s="2" t="inlineStr">
        <is>
          <t>出場</t>
        </is>
      </c>
      <c r="D787" s="2" t="n">
        <v>397</v>
      </c>
      <c r="E787" s="2" t="inlineStr">
        <is>
          <t>PENGU_USDT_PERP</t>
        </is>
      </c>
      <c r="F787" s="2" t="inlineStr">
        <is>
          <t>做多</t>
        </is>
      </c>
      <c r="G787" s="20" t="n">
        <v>0.00949</v>
      </c>
      <c r="H787" s="20" t="n">
        <v>0.009774700000000001</v>
      </c>
      <c r="I787" s="20" t="n">
        <v>0.009015499999999999</v>
      </c>
      <c r="J787" s="20" t="n">
        <v>0.009774700000000001</v>
      </c>
      <c r="K787" s="2" t="inlineStr">
        <is>
          <t>止盈</t>
        </is>
      </c>
      <c r="L787" s="5">
        <f>交易明細!K398</f>
        <v/>
      </c>
      <c r="M787" s="19">
        <f>M785</f>
        <v/>
      </c>
      <c r="N787" s="2">
        <f>N785</f>
        <v/>
      </c>
      <c r="O787" s="19">
        <f>O785</f>
        <v/>
      </c>
      <c r="P787" s="4">
        <f>交易明細!L398</f>
        <v/>
      </c>
      <c r="Q787" s="13">
        <f>IF(N787="已下單",O787*P787,0)</f>
        <v/>
      </c>
      <c r="R787" s="13">
        <f>R786+Q787</f>
        <v/>
      </c>
      <c r="S787" s="19">
        <f>S786-IF(N787="已下單",M787,0)</f>
        <v/>
      </c>
      <c r="T787" s="19">
        <f>R787-S787</f>
        <v/>
      </c>
      <c r="U787" s="2">
        <f>U786-IF(N787="已下單",1,0)</f>
        <v/>
      </c>
      <c r="V787" s="19">
        <f>IF(資金模擬!$B$9=2,MAX(R787,0),MAX(V786,FLOOR(MAX(R787,0),資金模擬!$B$6)))</f>
        <v/>
      </c>
      <c r="W787" s="13">
        <f>MAX(W786,R787)</f>
        <v/>
      </c>
      <c r="X787" s="4">
        <f>IF(W787&gt;0,R787/W787-1,-1)</f>
        <v/>
      </c>
      <c r="Y787" s="19">
        <f>IF(R787&gt;0,S787*資金模擬!$B$7/R787,0)</f>
        <v/>
      </c>
      <c r="Z787" s="2">
        <f>IF(OR(Z786=1,R787&lt;=資金模擬!$B$10),1,0)</f>
        <v/>
      </c>
    </row>
    <row r="788">
      <c r="A788" s="2" t="n">
        <v>786</v>
      </c>
      <c r="B788" s="7" t="n">
        <v>46288.20833333334</v>
      </c>
      <c r="C788" s="2" t="inlineStr">
        <is>
          <t>出場</t>
        </is>
      </c>
      <c r="D788" s="2" t="n">
        <v>394</v>
      </c>
      <c r="E788" s="2" t="inlineStr">
        <is>
          <t>UNI_USDT_PERP</t>
        </is>
      </c>
      <c r="F788" s="2" t="inlineStr">
        <is>
          <t>做多</t>
        </is>
      </c>
      <c r="G788" s="20" t="n">
        <v>9.182</v>
      </c>
      <c r="H788" s="20" t="n">
        <v>9.457460000000001</v>
      </c>
      <c r="I788" s="20" t="n">
        <v>8.722899999999999</v>
      </c>
      <c r="J788" s="20" t="n">
        <v>9.457460000000001</v>
      </c>
      <c r="K788" s="2" t="inlineStr">
        <is>
          <t>止盈</t>
        </is>
      </c>
      <c r="L788" s="5">
        <f>交易明細!K395</f>
        <v/>
      </c>
      <c r="M788" s="19">
        <f>M781</f>
        <v/>
      </c>
      <c r="N788" s="2">
        <f>N781</f>
        <v/>
      </c>
      <c r="O788" s="19">
        <f>O781</f>
        <v/>
      </c>
      <c r="P788" s="4">
        <f>交易明細!L395</f>
        <v/>
      </c>
      <c r="Q788" s="13">
        <f>IF(N788="已下單",O788*P788,0)</f>
        <v/>
      </c>
      <c r="R788" s="13">
        <f>R787+Q788</f>
        <v/>
      </c>
      <c r="S788" s="19">
        <f>S787-IF(N788="已下單",M788,0)</f>
        <v/>
      </c>
      <c r="T788" s="19">
        <f>R788-S788</f>
        <v/>
      </c>
      <c r="U788" s="2">
        <f>U787-IF(N788="已下單",1,0)</f>
        <v/>
      </c>
      <c r="V788" s="19">
        <f>IF(資金模擬!$B$9=2,MAX(R788,0),MAX(V787,FLOOR(MAX(R788,0),資金模擬!$B$6)))</f>
        <v/>
      </c>
      <c r="W788" s="13">
        <f>MAX(W787,R788)</f>
        <v/>
      </c>
      <c r="X788" s="4">
        <f>IF(W788&gt;0,R788/W788-1,-1)</f>
        <v/>
      </c>
      <c r="Y788" s="19">
        <f>IF(R788&gt;0,S788*資金模擬!$B$7/R788,0)</f>
        <v/>
      </c>
      <c r="Z788" s="2">
        <f>IF(OR(Z787=1,R788&lt;=資金模擬!$B$10),1,0)</f>
        <v/>
      </c>
    </row>
    <row r="789">
      <c r="A789" s="2" t="n">
        <v>787</v>
      </c>
      <c r="B789" s="7" t="n">
        <v>46288.20833333334</v>
      </c>
      <c r="C789" s="2" t="inlineStr">
        <is>
          <t>出場</t>
        </is>
      </c>
      <c r="D789" s="2" t="n">
        <v>395</v>
      </c>
      <c r="E789" s="2" t="inlineStr">
        <is>
          <t>WIF_USDT_PERP</t>
        </is>
      </c>
      <c r="F789" s="2" t="inlineStr">
        <is>
          <t>做多</t>
        </is>
      </c>
      <c r="G789" s="20" t="n">
        <v>0.2649</v>
      </c>
      <c r="H789" s="20" t="n">
        <v>0.272847</v>
      </c>
      <c r="I789" s="20" t="n">
        <v>0.251655</v>
      </c>
      <c r="J789" s="20" t="n">
        <v>0.251655</v>
      </c>
      <c r="K789" s="2" t="inlineStr">
        <is>
          <t>止損</t>
        </is>
      </c>
      <c r="L789" s="5">
        <f>交易明細!K396</f>
        <v/>
      </c>
      <c r="M789" s="19">
        <f>M782</f>
        <v/>
      </c>
      <c r="N789" s="2">
        <f>N782</f>
        <v/>
      </c>
      <c r="O789" s="19">
        <f>O782</f>
        <v/>
      </c>
      <c r="P789" s="4">
        <f>交易明細!L396</f>
        <v/>
      </c>
      <c r="Q789" s="13">
        <f>IF(N789="已下單",O789*P789,0)</f>
        <v/>
      </c>
      <c r="R789" s="13">
        <f>R788+Q789</f>
        <v/>
      </c>
      <c r="S789" s="19">
        <f>S788-IF(N789="已下單",M789,0)</f>
        <v/>
      </c>
      <c r="T789" s="19">
        <f>R789-S789</f>
        <v/>
      </c>
      <c r="U789" s="2">
        <f>U788-IF(N789="已下單",1,0)</f>
        <v/>
      </c>
      <c r="V789" s="19">
        <f>IF(資金模擬!$B$9=2,MAX(R789,0),MAX(V788,FLOOR(MAX(R789,0),資金模擬!$B$6)))</f>
        <v/>
      </c>
      <c r="W789" s="13">
        <f>MAX(W788,R789)</f>
        <v/>
      </c>
      <c r="X789" s="4">
        <f>IF(W789&gt;0,R789/W789-1,-1)</f>
        <v/>
      </c>
      <c r="Y789" s="19">
        <f>IF(R789&gt;0,S789*資金模擬!$B$7/R789,0)</f>
        <v/>
      </c>
      <c r="Z789" s="2">
        <f>IF(OR(Z788=1,R789&lt;=資金模擬!$B$10),1,0)</f>
        <v/>
      </c>
    </row>
    <row r="790">
      <c r="A790" s="2" t="n">
        <v>788</v>
      </c>
      <c r="B790" s="7" t="n">
        <v>46288.29166666666</v>
      </c>
      <c r="C790" s="2" t="inlineStr">
        <is>
          <t>進場</t>
        </is>
      </c>
      <c r="D790" s="2" t="n">
        <v>399</v>
      </c>
      <c r="E790" s="2" t="inlineStr">
        <is>
          <t>ARB_USDT_PERP</t>
        </is>
      </c>
      <c r="F790" s="2" t="inlineStr">
        <is>
          <t>做多</t>
        </is>
      </c>
      <c r="G790" s="20" t="n">
        <v>0.2255</v>
      </c>
      <c r="H790" s="20" t="n">
        <v>0.232265</v>
      </c>
      <c r="I790" s="20" t="n">
        <v>0.214225</v>
      </c>
      <c r="J790" s="20" t="n"/>
      <c r="K790" s="2" t="n"/>
      <c r="L790" s="5" t="n"/>
      <c r="M790" s="19">
        <f>資金模擬!$B$5*V789</f>
        <v/>
      </c>
      <c r="N790" s="2">
        <f>IF(Z789=1,"已停止",IF(T789&gt;=M790,"已下單","資金不足略過"))</f>
        <v/>
      </c>
      <c r="O790" s="19">
        <f>IF(N790="已下單",M790*資金模擬!$B$7,0)</f>
        <v/>
      </c>
      <c r="P790" s="4" t="n"/>
      <c r="Q790" s="13" t="n">
        <v>0</v>
      </c>
      <c r="R790" s="13">
        <f>R789+Q790</f>
        <v/>
      </c>
      <c r="S790" s="19">
        <f>S789+IF(N790="已下單",M790,0)</f>
        <v/>
      </c>
      <c r="T790" s="19">
        <f>R790-S790</f>
        <v/>
      </c>
      <c r="U790" s="2">
        <f>U789+IF(N790="已下單",1,0)</f>
        <v/>
      </c>
      <c r="V790" s="19">
        <f>IF(資金模擬!$B$9=2,MAX(R790,0),MAX(V789,FLOOR(MAX(R790,0),資金模擬!$B$6)))</f>
        <v/>
      </c>
      <c r="W790" s="13">
        <f>MAX(W789,R790)</f>
        <v/>
      </c>
      <c r="X790" s="4">
        <f>IF(W790&gt;0,R790/W790-1,-1)</f>
        <v/>
      </c>
      <c r="Y790" s="19">
        <f>IF(R790&gt;0,S790*資金模擬!$B$7/R790,0)</f>
        <v/>
      </c>
      <c r="Z790" s="2">
        <f>IF(OR(Z789=1,R790&lt;=資金模擬!$B$10),1,0)</f>
        <v/>
      </c>
    </row>
    <row r="791">
      <c r="A791" s="2" t="n">
        <v>789</v>
      </c>
      <c r="B791" s="7" t="n">
        <v>46288.29166666666</v>
      </c>
      <c r="C791" s="2" t="inlineStr">
        <is>
          <t>進場</t>
        </is>
      </c>
      <c r="D791" s="2" t="n">
        <v>400</v>
      </c>
      <c r="E791" s="2" t="inlineStr">
        <is>
          <t>ENA_USDT_PERP</t>
        </is>
      </c>
      <c r="F791" s="2" t="inlineStr">
        <is>
          <t>做多</t>
        </is>
      </c>
      <c r="G791" s="20" t="n">
        <v>0.2161</v>
      </c>
      <c r="H791" s="20" t="n">
        <v>0.222583</v>
      </c>
      <c r="I791" s="20" t="n">
        <v>0.205295</v>
      </c>
      <c r="J791" s="20" t="n"/>
      <c r="K791" s="2" t="n"/>
      <c r="L791" s="5" t="n"/>
      <c r="M791" s="19">
        <f>資金模擬!$B$5*V790</f>
        <v/>
      </c>
      <c r="N791" s="2">
        <f>IF(Z790=1,"已停止",IF(T790&gt;=M791,"已下單","資金不足略過"))</f>
        <v/>
      </c>
      <c r="O791" s="19">
        <f>IF(N791="已下單",M791*資金模擬!$B$7,0)</f>
        <v/>
      </c>
      <c r="P791" s="4" t="n"/>
      <c r="Q791" s="13" t="n">
        <v>0</v>
      </c>
      <c r="R791" s="13">
        <f>R790+Q791</f>
        <v/>
      </c>
      <c r="S791" s="19">
        <f>S790+IF(N791="已下單",M791,0)</f>
        <v/>
      </c>
      <c r="T791" s="19">
        <f>R791-S791</f>
        <v/>
      </c>
      <c r="U791" s="2">
        <f>U790+IF(N791="已下單",1,0)</f>
        <v/>
      </c>
      <c r="V791" s="19">
        <f>IF(資金模擬!$B$9=2,MAX(R791,0),MAX(V790,FLOOR(MAX(R791,0),資金模擬!$B$6)))</f>
        <v/>
      </c>
      <c r="W791" s="13">
        <f>MAX(W790,R791)</f>
        <v/>
      </c>
      <c r="X791" s="4">
        <f>IF(W791&gt;0,R791/W791-1,-1)</f>
        <v/>
      </c>
      <c r="Y791" s="19">
        <f>IF(R791&gt;0,S791*資金模擬!$B$7/R791,0)</f>
        <v/>
      </c>
      <c r="Z791" s="2">
        <f>IF(OR(Z790=1,R791&lt;=資金模擬!$B$10),1,0)</f>
        <v/>
      </c>
    </row>
    <row r="792">
      <c r="A792" s="2" t="n">
        <v>790</v>
      </c>
      <c r="B792" s="7" t="n">
        <v>46288.33333333334</v>
      </c>
      <c r="C792" s="2" t="inlineStr">
        <is>
          <t>出場</t>
        </is>
      </c>
      <c r="D792" s="2" t="n">
        <v>380</v>
      </c>
      <c r="E792" s="2" t="inlineStr">
        <is>
          <t>AVAX_USDT_PERP</t>
        </is>
      </c>
      <c r="F792" s="2" t="inlineStr">
        <is>
          <t>做空</t>
        </is>
      </c>
      <c r="G792" s="20" t="n">
        <v>10.767</v>
      </c>
      <c r="H792" s="20" t="n">
        <v>10.44399</v>
      </c>
      <c r="I792" s="20" t="n">
        <v>11.30535</v>
      </c>
      <c r="J792" s="20" t="n">
        <v>11.30535</v>
      </c>
      <c r="K792" s="2" t="inlineStr">
        <is>
          <t>止損</t>
        </is>
      </c>
      <c r="L792" s="5">
        <f>交易明細!K381</f>
        <v/>
      </c>
      <c r="M792" s="19">
        <f>M756</f>
        <v/>
      </c>
      <c r="N792" s="2">
        <f>N756</f>
        <v/>
      </c>
      <c r="O792" s="19">
        <f>O756</f>
        <v/>
      </c>
      <c r="P792" s="4">
        <f>交易明細!L381</f>
        <v/>
      </c>
      <c r="Q792" s="13">
        <f>IF(N792="已下單",O792*P792,0)</f>
        <v/>
      </c>
      <c r="R792" s="13">
        <f>R791+Q792</f>
        <v/>
      </c>
      <c r="S792" s="19">
        <f>S791-IF(N792="已下單",M792,0)</f>
        <v/>
      </c>
      <c r="T792" s="19">
        <f>R792-S792</f>
        <v/>
      </c>
      <c r="U792" s="2">
        <f>U791-IF(N792="已下單",1,0)</f>
        <v/>
      </c>
      <c r="V792" s="19">
        <f>IF(資金模擬!$B$9=2,MAX(R792,0),MAX(V791,FLOOR(MAX(R792,0),資金模擬!$B$6)))</f>
        <v/>
      </c>
      <c r="W792" s="13">
        <f>MAX(W791,R792)</f>
        <v/>
      </c>
      <c r="X792" s="4">
        <f>IF(W792&gt;0,R792/W792-1,-1)</f>
        <v/>
      </c>
      <c r="Y792" s="19">
        <f>IF(R792&gt;0,S792*資金模擬!$B$7/R792,0)</f>
        <v/>
      </c>
      <c r="Z792" s="2">
        <f>IF(OR(Z791=1,R792&lt;=資金模擬!$B$10),1,0)</f>
        <v/>
      </c>
    </row>
    <row r="793">
      <c r="A793" s="2" t="n">
        <v>791</v>
      </c>
      <c r="B793" s="7" t="n">
        <v>46288.33333333334</v>
      </c>
      <c r="C793" s="2" t="inlineStr">
        <is>
          <t>出場</t>
        </is>
      </c>
      <c r="D793" s="2" t="n">
        <v>391</v>
      </c>
      <c r="E793" s="2" t="inlineStr">
        <is>
          <t>INJ_USDT_PERP</t>
        </is>
      </c>
      <c r="F793" s="2" t="inlineStr">
        <is>
          <t>做空</t>
        </is>
      </c>
      <c r="G793" s="20" t="n">
        <v>7.683</v>
      </c>
      <c r="H793" s="20" t="n">
        <v>7.452509999999999</v>
      </c>
      <c r="I793" s="20" t="n">
        <v>8.06715</v>
      </c>
      <c r="J793" s="20" t="n">
        <v>8.06715</v>
      </c>
      <c r="K793" s="2" t="inlineStr">
        <is>
          <t>止損</t>
        </is>
      </c>
      <c r="L793" s="5">
        <f>交易明細!K392</f>
        <v/>
      </c>
      <c r="M793" s="19">
        <f>M778</f>
        <v/>
      </c>
      <c r="N793" s="2">
        <f>N778</f>
        <v/>
      </c>
      <c r="O793" s="19">
        <f>O778</f>
        <v/>
      </c>
      <c r="P793" s="4">
        <f>交易明細!L392</f>
        <v/>
      </c>
      <c r="Q793" s="13">
        <f>IF(N793="已下單",O793*P793,0)</f>
        <v/>
      </c>
      <c r="R793" s="13">
        <f>R792+Q793</f>
        <v/>
      </c>
      <c r="S793" s="19">
        <f>S792-IF(N793="已下單",M793,0)</f>
        <v/>
      </c>
      <c r="T793" s="19">
        <f>R793-S793</f>
        <v/>
      </c>
      <c r="U793" s="2">
        <f>U792-IF(N793="已下單",1,0)</f>
        <v/>
      </c>
      <c r="V793" s="19">
        <f>IF(資金模擬!$B$9=2,MAX(R793,0),MAX(V792,FLOOR(MAX(R793,0),資金模擬!$B$6)))</f>
        <v/>
      </c>
      <c r="W793" s="13">
        <f>MAX(W792,R793)</f>
        <v/>
      </c>
      <c r="X793" s="4">
        <f>IF(W793&gt;0,R793/W793-1,-1)</f>
        <v/>
      </c>
      <c r="Y793" s="19">
        <f>IF(R793&gt;0,S793*資金模擬!$B$7/R793,0)</f>
        <v/>
      </c>
      <c r="Z793" s="2">
        <f>IF(OR(Z792=1,R793&lt;=資金模擬!$B$10),1,0)</f>
        <v/>
      </c>
    </row>
    <row r="794">
      <c r="A794" s="2" t="n">
        <v>792</v>
      </c>
      <c r="B794" s="7" t="n">
        <v>46288.33333333334</v>
      </c>
      <c r="C794" s="2" t="inlineStr">
        <is>
          <t>出場</t>
        </is>
      </c>
      <c r="D794" s="2" t="n">
        <v>396</v>
      </c>
      <c r="E794" s="2" t="inlineStr">
        <is>
          <t>LIT_USDT_PERP</t>
        </is>
      </c>
      <c r="F794" s="2" t="inlineStr">
        <is>
          <t>做多</t>
        </is>
      </c>
      <c r="G794" s="20" t="n">
        <v>4.911</v>
      </c>
      <c r="H794" s="20" t="n">
        <v>5.05833</v>
      </c>
      <c r="I794" s="20" t="n">
        <v>4.665449999999999</v>
      </c>
      <c r="J794" s="20" t="n">
        <v>5.05833</v>
      </c>
      <c r="K794" s="2" t="inlineStr">
        <is>
          <t>止盈</t>
        </is>
      </c>
      <c r="L794" s="5">
        <f>交易明細!K397</f>
        <v/>
      </c>
      <c r="M794" s="19">
        <f>M784</f>
        <v/>
      </c>
      <c r="N794" s="2">
        <f>N784</f>
        <v/>
      </c>
      <c r="O794" s="19">
        <f>O784</f>
        <v/>
      </c>
      <c r="P794" s="4">
        <f>交易明細!L397</f>
        <v/>
      </c>
      <c r="Q794" s="13">
        <f>IF(N794="已下單",O794*P794,0)</f>
        <v/>
      </c>
      <c r="R794" s="13">
        <f>R793+Q794</f>
        <v/>
      </c>
      <c r="S794" s="19">
        <f>S793-IF(N794="已下單",M794,0)</f>
        <v/>
      </c>
      <c r="T794" s="19">
        <f>R794-S794</f>
        <v/>
      </c>
      <c r="U794" s="2">
        <f>U793-IF(N794="已下單",1,0)</f>
        <v/>
      </c>
      <c r="V794" s="19">
        <f>IF(資金模擬!$B$9=2,MAX(R794,0),MAX(V793,FLOOR(MAX(R794,0),資金模擬!$B$6)))</f>
        <v/>
      </c>
      <c r="W794" s="13">
        <f>MAX(W793,R794)</f>
        <v/>
      </c>
      <c r="X794" s="4">
        <f>IF(W794&gt;0,R794/W794-1,-1)</f>
        <v/>
      </c>
      <c r="Y794" s="19">
        <f>IF(R794&gt;0,S794*資金模擬!$B$7/R794,0)</f>
        <v/>
      </c>
      <c r="Z794" s="2">
        <f>IF(OR(Z793=1,R794&lt;=資金模擬!$B$10),1,0)</f>
        <v/>
      </c>
    </row>
    <row r="795">
      <c r="A795" s="2" t="n">
        <v>793</v>
      </c>
      <c r="B795" s="7" t="n">
        <v>46288.33333333334</v>
      </c>
      <c r="C795" s="2" t="inlineStr">
        <is>
          <t>出場</t>
        </is>
      </c>
      <c r="D795" s="2" t="n">
        <v>399</v>
      </c>
      <c r="E795" s="2" t="inlineStr">
        <is>
          <t>ARB_USDT_PERP</t>
        </is>
      </c>
      <c r="F795" s="2" t="inlineStr">
        <is>
          <t>做多</t>
        </is>
      </c>
      <c r="G795" s="20" t="n">
        <v>0.2255</v>
      </c>
      <c r="H795" s="20" t="n">
        <v>0.232265</v>
      </c>
      <c r="I795" s="20" t="n">
        <v>0.214225</v>
      </c>
      <c r="J795" s="20" t="n">
        <v>0.232265</v>
      </c>
      <c r="K795" s="2" t="inlineStr">
        <is>
          <t>止盈</t>
        </is>
      </c>
      <c r="L795" s="5">
        <f>交易明細!K400</f>
        <v/>
      </c>
      <c r="M795" s="19">
        <f>M790</f>
        <v/>
      </c>
      <c r="N795" s="2">
        <f>N790</f>
        <v/>
      </c>
      <c r="O795" s="19">
        <f>O790</f>
        <v/>
      </c>
      <c r="P795" s="4">
        <f>交易明細!L400</f>
        <v/>
      </c>
      <c r="Q795" s="13">
        <f>IF(N795="已下單",O795*P795,0)</f>
        <v/>
      </c>
      <c r="R795" s="13">
        <f>R794+Q795</f>
        <v/>
      </c>
      <c r="S795" s="19">
        <f>S794-IF(N795="已下單",M795,0)</f>
        <v/>
      </c>
      <c r="T795" s="19">
        <f>R795-S795</f>
        <v/>
      </c>
      <c r="U795" s="2">
        <f>U794-IF(N795="已下單",1,0)</f>
        <v/>
      </c>
      <c r="V795" s="19">
        <f>IF(資金模擬!$B$9=2,MAX(R795,0),MAX(V794,FLOOR(MAX(R795,0),資金模擬!$B$6)))</f>
        <v/>
      </c>
      <c r="W795" s="13">
        <f>MAX(W794,R795)</f>
        <v/>
      </c>
      <c r="X795" s="4">
        <f>IF(W795&gt;0,R795/W795-1,-1)</f>
        <v/>
      </c>
      <c r="Y795" s="19">
        <f>IF(R795&gt;0,S795*資金模擬!$B$7/R795,0)</f>
        <v/>
      </c>
      <c r="Z795" s="2">
        <f>IF(OR(Z794=1,R795&lt;=資金模擬!$B$10),1,0)</f>
        <v/>
      </c>
    </row>
    <row r="796">
      <c r="A796" s="2" t="n">
        <v>794</v>
      </c>
      <c r="B796" s="7" t="n">
        <v>46288.375</v>
      </c>
      <c r="C796" s="2" t="inlineStr">
        <is>
          <t>出場</t>
        </is>
      </c>
      <c r="D796" s="2" t="n">
        <v>368</v>
      </c>
      <c r="E796" s="2" t="inlineStr">
        <is>
          <t>WLD_USDT_PERP</t>
        </is>
      </c>
      <c r="F796" s="2" t="inlineStr">
        <is>
          <t>做多</t>
        </is>
      </c>
      <c r="G796" s="20" t="n">
        <v>0.4636</v>
      </c>
      <c r="H796" s="20" t="n">
        <v>0.477508</v>
      </c>
      <c r="I796" s="20" t="n">
        <v>0.44042</v>
      </c>
      <c r="J796" s="20" t="n">
        <v>0.477508</v>
      </c>
      <c r="K796" s="2" t="inlineStr">
        <is>
          <t>止盈</t>
        </is>
      </c>
      <c r="L796" s="5">
        <f>交易明細!K369</f>
        <v/>
      </c>
      <c r="M796" s="19">
        <f>M730</f>
        <v/>
      </c>
      <c r="N796" s="2">
        <f>N730</f>
        <v/>
      </c>
      <c r="O796" s="19">
        <f>O730</f>
        <v/>
      </c>
      <c r="P796" s="4">
        <f>交易明細!L369</f>
        <v/>
      </c>
      <c r="Q796" s="13">
        <f>IF(N796="已下單",O796*P796,0)</f>
        <v/>
      </c>
      <c r="R796" s="13">
        <f>R795+Q796</f>
        <v/>
      </c>
      <c r="S796" s="19">
        <f>S795-IF(N796="已下單",M796,0)</f>
        <v/>
      </c>
      <c r="T796" s="19">
        <f>R796-S796</f>
        <v/>
      </c>
      <c r="U796" s="2">
        <f>U795-IF(N796="已下單",1,0)</f>
        <v/>
      </c>
      <c r="V796" s="19">
        <f>IF(資金模擬!$B$9=2,MAX(R796,0),MAX(V795,FLOOR(MAX(R796,0),資金模擬!$B$6)))</f>
        <v/>
      </c>
      <c r="W796" s="13">
        <f>MAX(W795,R796)</f>
        <v/>
      </c>
      <c r="X796" s="4">
        <f>IF(W796&gt;0,R796/W796-1,-1)</f>
        <v/>
      </c>
      <c r="Y796" s="19">
        <f>IF(R796&gt;0,S796*資金模擬!$B$7/R796,0)</f>
        <v/>
      </c>
      <c r="Z796" s="2">
        <f>IF(OR(Z795=1,R796&lt;=資金模擬!$B$10),1,0)</f>
        <v/>
      </c>
    </row>
    <row r="797">
      <c r="A797" s="2" t="n">
        <v>795</v>
      </c>
      <c r="B797" s="7" t="n">
        <v>46288.375</v>
      </c>
      <c r="C797" s="2" t="inlineStr">
        <is>
          <t>進場</t>
        </is>
      </c>
      <c r="D797" s="2" t="n">
        <v>401</v>
      </c>
      <c r="E797" s="2" t="inlineStr">
        <is>
          <t>INJ_USDT_PERP</t>
        </is>
      </c>
      <c r="F797" s="2" t="inlineStr">
        <is>
          <t>做多</t>
        </is>
      </c>
      <c r="G797" s="20" t="n">
        <v>8.077999999999999</v>
      </c>
      <c r="H797" s="20" t="n">
        <v>8.32034</v>
      </c>
      <c r="I797" s="20" t="n">
        <v>7.674099999999999</v>
      </c>
      <c r="J797" s="20" t="n"/>
      <c r="K797" s="2" t="n"/>
      <c r="L797" s="5" t="n"/>
      <c r="M797" s="19">
        <f>資金模擬!$B$5*V796</f>
        <v/>
      </c>
      <c r="N797" s="2">
        <f>IF(Z796=1,"已停止",IF(T796&gt;=M797,"已下單","資金不足略過"))</f>
        <v/>
      </c>
      <c r="O797" s="19">
        <f>IF(N797="已下單",M797*資金模擬!$B$7,0)</f>
        <v/>
      </c>
      <c r="P797" s="4" t="n"/>
      <c r="Q797" s="13" t="n">
        <v>0</v>
      </c>
      <c r="R797" s="13">
        <f>R796+Q797</f>
        <v/>
      </c>
      <c r="S797" s="19">
        <f>S796+IF(N797="已下單",M797,0)</f>
        <v/>
      </c>
      <c r="T797" s="19">
        <f>R797-S797</f>
        <v/>
      </c>
      <c r="U797" s="2">
        <f>U796+IF(N797="已下單",1,0)</f>
        <v/>
      </c>
      <c r="V797" s="19">
        <f>IF(資金模擬!$B$9=2,MAX(R797,0),MAX(V796,FLOOR(MAX(R797,0),資金模擬!$B$6)))</f>
        <v/>
      </c>
      <c r="W797" s="13">
        <f>MAX(W796,R797)</f>
        <v/>
      </c>
      <c r="X797" s="4">
        <f>IF(W797&gt;0,R797/W797-1,-1)</f>
        <v/>
      </c>
      <c r="Y797" s="19">
        <f>IF(R797&gt;0,S797*資金模擬!$B$7/R797,0)</f>
        <v/>
      </c>
      <c r="Z797" s="2">
        <f>IF(OR(Z796=1,R797&lt;=資金模擬!$B$10),1,0)</f>
        <v/>
      </c>
    </row>
    <row r="798">
      <c r="A798" s="2" t="n">
        <v>796</v>
      </c>
      <c r="B798" s="7" t="n">
        <v>46288.375</v>
      </c>
      <c r="C798" s="2" t="inlineStr">
        <is>
          <t>進場</t>
        </is>
      </c>
      <c r="D798" s="2" t="n">
        <v>402</v>
      </c>
      <c r="E798" s="2" t="inlineStr">
        <is>
          <t>ZETA_USDT_PERP</t>
        </is>
      </c>
      <c r="F798" s="2" t="inlineStr">
        <is>
          <t>做空</t>
        </is>
      </c>
      <c r="G798" s="20" t="n">
        <v>0.05288</v>
      </c>
      <c r="H798" s="20" t="n">
        <v>0.0512936</v>
      </c>
      <c r="I798" s="20" t="n">
        <v>0.055524</v>
      </c>
      <c r="J798" s="20" t="n"/>
      <c r="K798" s="2" t="n"/>
      <c r="L798" s="5" t="n"/>
      <c r="M798" s="19">
        <f>資金模擬!$B$5*V797</f>
        <v/>
      </c>
      <c r="N798" s="2">
        <f>IF(Z797=1,"已停止",IF(T797&gt;=M798,"已下單","資金不足略過"))</f>
        <v/>
      </c>
      <c r="O798" s="19">
        <f>IF(N798="已下單",M798*資金模擬!$B$7,0)</f>
        <v/>
      </c>
      <c r="P798" s="4" t="n"/>
      <c r="Q798" s="13" t="n">
        <v>0</v>
      </c>
      <c r="R798" s="13">
        <f>R797+Q798</f>
        <v/>
      </c>
      <c r="S798" s="19">
        <f>S797+IF(N798="已下單",M798,0)</f>
        <v/>
      </c>
      <c r="T798" s="19">
        <f>R798-S798</f>
        <v/>
      </c>
      <c r="U798" s="2">
        <f>U797+IF(N798="已下單",1,0)</f>
        <v/>
      </c>
      <c r="V798" s="19">
        <f>IF(資金模擬!$B$9=2,MAX(R798,0),MAX(V797,FLOOR(MAX(R798,0),資金模擬!$B$6)))</f>
        <v/>
      </c>
      <c r="W798" s="13">
        <f>MAX(W797,R798)</f>
        <v/>
      </c>
      <c r="X798" s="4">
        <f>IF(W798&gt;0,R798/W798-1,-1)</f>
        <v/>
      </c>
      <c r="Y798" s="19">
        <f>IF(R798&gt;0,S798*資金模擬!$B$7/R798,0)</f>
        <v/>
      </c>
      <c r="Z798" s="2">
        <f>IF(OR(Z797=1,R798&lt;=資金模擬!$B$10),1,0)</f>
        <v/>
      </c>
    </row>
    <row r="799">
      <c r="A799" s="2" t="n">
        <v>797</v>
      </c>
      <c r="B799" s="7" t="n">
        <v>46288.41666666666</v>
      </c>
      <c r="C799" s="2" t="inlineStr">
        <is>
          <t>出場</t>
        </is>
      </c>
      <c r="D799" s="2" t="n">
        <v>401</v>
      </c>
      <c r="E799" s="2" t="inlineStr">
        <is>
          <t>INJ_USDT_PERP</t>
        </is>
      </c>
      <c r="F799" s="2" t="inlineStr">
        <is>
          <t>做多</t>
        </is>
      </c>
      <c r="G799" s="20" t="n">
        <v>8.077999999999999</v>
      </c>
      <c r="H799" s="20" t="n">
        <v>8.32034</v>
      </c>
      <c r="I799" s="20" t="n">
        <v>7.674099999999999</v>
      </c>
      <c r="J799" s="20" t="n">
        <v>7.674099999999999</v>
      </c>
      <c r="K799" s="2" t="inlineStr">
        <is>
          <t>止損</t>
        </is>
      </c>
      <c r="L799" s="5">
        <f>交易明細!K402</f>
        <v/>
      </c>
      <c r="M799" s="19">
        <f>M797</f>
        <v/>
      </c>
      <c r="N799" s="2">
        <f>N797</f>
        <v/>
      </c>
      <c r="O799" s="19">
        <f>O797</f>
        <v/>
      </c>
      <c r="P799" s="4">
        <f>交易明細!L402</f>
        <v/>
      </c>
      <c r="Q799" s="13">
        <f>IF(N799="已下單",O799*P799,0)</f>
        <v/>
      </c>
      <c r="R799" s="13">
        <f>R798+Q799</f>
        <v/>
      </c>
      <c r="S799" s="19">
        <f>S798-IF(N799="已下單",M799,0)</f>
        <v/>
      </c>
      <c r="T799" s="19">
        <f>R799-S799</f>
        <v/>
      </c>
      <c r="U799" s="2">
        <f>U798-IF(N799="已下單",1,0)</f>
        <v/>
      </c>
      <c r="V799" s="19">
        <f>IF(資金模擬!$B$9=2,MAX(R799,0),MAX(V798,FLOOR(MAX(R799,0),資金模擬!$B$6)))</f>
        <v/>
      </c>
      <c r="W799" s="13">
        <f>MAX(W798,R799)</f>
        <v/>
      </c>
      <c r="X799" s="4">
        <f>IF(W799&gt;0,R799/W799-1,-1)</f>
        <v/>
      </c>
      <c r="Y799" s="19">
        <f>IF(R799&gt;0,S799*資金模擬!$B$7/R799,0)</f>
        <v/>
      </c>
      <c r="Z799" s="2">
        <f>IF(OR(Z798=1,R799&lt;=資金模擬!$B$10),1,0)</f>
        <v/>
      </c>
    </row>
    <row r="800">
      <c r="A800" s="2" t="n">
        <v>798</v>
      </c>
      <c r="B800" s="7" t="n">
        <v>46288.45833333334</v>
      </c>
      <c r="C800" s="2" t="inlineStr">
        <is>
          <t>出場</t>
        </is>
      </c>
      <c r="D800" s="2" t="n">
        <v>388</v>
      </c>
      <c r="E800" s="2" t="inlineStr">
        <is>
          <t>DOGE_USDT_PERP</t>
        </is>
      </c>
      <c r="F800" s="2" t="inlineStr">
        <is>
          <t>做多</t>
        </is>
      </c>
      <c r="G800" s="20" t="n">
        <v>0.09988</v>
      </c>
      <c r="H800" s="20" t="n">
        <v>0.1028764</v>
      </c>
      <c r="I800" s="20" t="n">
        <v>0.094886</v>
      </c>
      <c r="J800" s="20" t="n">
        <v>0.1028764</v>
      </c>
      <c r="K800" s="2" t="inlineStr">
        <is>
          <t>止盈</t>
        </is>
      </c>
      <c r="L800" s="5">
        <f>交易明細!K389</f>
        <v/>
      </c>
      <c r="M800" s="19">
        <f>M773</f>
        <v/>
      </c>
      <c r="N800" s="2">
        <f>N773</f>
        <v/>
      </c>
      <c r="O800" s="19">
        <f>O773</f>
        <v/>
      </c>
      <c r="P800" s="4">
        <f>交易明細!L389</f>
        <v/>
      </c>
      <c r="Q800" s="13">
        <f>IF(N800="已下單",O800*P800,0)</f>
        <v/>
      </c>
      <c r="R800" s="13">
        <f>R799+Q800</f>
        <v/>
      </c>
      <c r="S800" s="19">
        <f>S799-IF(N800="已下單",M800,0)</f>
        <v/>
      </c>
      <c r="T800" s="19">
        <f>R800-S800</f>
        <v/>
      </c>
      <c r="U800" s="2">
        <f>U799-IF(N800="已下單",1,0)</f>
        <v/>
      </c>
      <c r="V800" s="19">
        <f>IF(資金模擬!$B$9=2,MAX(R800,0),MAX(V799,FLOOR(MAX(R800,0),資金模擬!$B$6)))</f>
        <v/>
      </c>
      <c r="W800" s="13">
        <f>MAX(W799,R800)</f>
        <v/>
      </c>
      <c r="X800" s="4">
        <f>IF(W800&gt;0,R800/W800-1,-1)</f>
        <v/>
      </c>
      <c r="Y800" s="19">
        <f>IF(R800&gt;0,S800*資金模擬!$B$7/R800,0)</f>
        <v/>
      </c>
      <c r="Z800" s="2">
        <f>IF(OR(Z799=1,R800&lt;=資金模擬!$B$10),1,0)</f>
        <v/>
      </c>
    </row>
    <row r="801">
      <c r="A801" s="2" t="n">
        <v>799</v>
      </c>
      <c r="B801" s="7" t="n">
        <v>46288.45833333334</v>
      </c>
      <c r="C801" s="2" t="inlineStr">
        <is>
          <t>出場</t>
        </is>
      </c>
      <c r="D801" s="2" t="n">
        <v>390</v>
      </c>
      <c r="E801" s="2" t="inlineStr">
        <is>
          <t>ETHFI_USDT_PERP</t>
        </is>
      </c>
      <c r="F801" s="2" t="inlineStr">
        <is>
          <t>做空</t>
        </is>
      </c>
      <c r="G801" s="20" t="n">
        <v>0.6907</v>
      </c>
      <c r="H801" s="20" t="n">
        <v>0.669979</v>
      </c>
      <c r="I801" s="20" t="n">
        <v>0.725235</v>
      </c>
      <c r="J801" s="20" t="n">
        <v>0.725235</v>
      </c>
      <c r="K801" s="2" t="inlineStr">
        <is>
          <t>止損</t>
        </is>
      </c>
      <c r="L801" s="5">
        <f>交易明細!K391</f>
        <v/>
      </c>
      <c r="M801" s="19">
        <f>M777</f>
        <v/>
      </c>
      <c r="N801" s="2">
        <f>N777</f>
        <v/>
      </c>
      <c r="O801" s="19">
        <f>O777</f>
        <v/>
      </c>
      <c r="P801" s="4">
        <f>交易明細!L391</f>
        <v/>
      </c>
      <c r="Q801" s="13">
        <f>IF(N801="已下單",O801*P801,0)</f>
        <v/>
      </c>
      <c r="R801" s="13">
        <f>R800+Q801</f>
        <v/>
      </c>
      <c r="S801" s="19">
        <f>S800-IF(N801="已下單",M801,0)</f>
        <v/>
      </c>
      <c r="T801" s="19">
        <f>R801-S801</f>
        <v/>
      </c>
      <c r="U801" s="2">
        <f>U800-IF(N801="已下單",1,0)</f>
        <v/>
      </c>
      <c r="V801" s="19">
        <f>IF(資金模擬!$B$9=2,MAX(R801,0),MAX(V800,FLOOR(MAX(R801,0),資金模擬!$B$6)))</f>
        <v/>
      </c>
      <c r="W801" s="13">
        <f>MAX(W800,R801)</f>
        <v/>
      </c>
      <c r="X801" s="4">
        <f>IF(W801&gt;0,R801/W801-1,-1)</f>
        <v/>
      </c>
      <c r="Y801" s="19">
        <f>IF(R801&gt;0,S801*資金模擬!$B$7/R801,0)</f>
        <v/>
      </c>
      <c r="Z801" s="2">
        <f>IF(OR(Z800=1,R801&lt;=資金模擬!$B$10),1,0)</f>
        <v/>
      </c>
    </row>
    <row r="802">
      <c r="A802" s="2" t="n">
        <v>800</v>
      </c>
      <c r="B802" s="7" t="n">
        <v>46288.45833333334</v>
      </c>
      <c r="C802" s="2" t="inlineStr">
        <is>
          <t>進場</t>
        </is>
      </c>
      <c r="D802" s="2" t="n">
        <v>403</v>
      </c>
      <c r="E802" s="2" t="inlineStr">
        <is>
          <t>INJ_USDT_PERP</t>
        </is>
      </c>
      <c r="F802" s="2" t="inlineStr">
        <is>
          <t>做多</t>
        </is>
      </c>
      <c r="G802" s="20" t="n">
        <v>7.877</v>
      </c>
      <c r="H802" s="20" t="n">
        <v>8.11331</v>
      </c>
      <c r="I802" s="20" t="n">
        <v>7.483149999999999</v>
      </c>
      <c r="J802" s="20" t="n"/>
      <c r="K802" s="2" t="n"/>
      <c r="L802" s="5" t="n"/>
      <c r="M802" s="19">
        <f>資金模擬!$B$5*V801</f>
        <v/>
      </c>
      <c r="N802" s="2">
        <f>IF(Z801=1,"已停止",IF(T801&gt;=M802,"已下單","資金不足略過"))</f>
        <v/>
      </c>
      <c r="O802" s="19">
        <f>IF(N802="已下單",M802*資金模擬!$B$7,0)</f>
        <v/>
      </c>
      <c r="P802" s="4" t="n"/>
      <c r="Q802" s="13" t="n">
        <v>0</v>
      </c>
      <c r="R802" s="13">
        <f>R801+Q802</f>
        <v/>
      </c>
      <c r="S802" s="19">
        <f>S801+IF(N802="已下單",M802,0)</f>
        <v/>
      </c>
      <c r="T802" s="19">
        <f>R802-S802</f>
        <v/>
      </c>
      <c r="U802" s="2">
        <f>U801+IF(N802="已下單",1,0)</f>
        <v/>
      </c>
      <c r="V802" s="19">
        <f>IF(資金模擬!$B$9=2,MAX(R802,0),MAX(V801,FLOOR(MAX(R802,0),資金模擬!$B$6)))</f>
        <v/>
      </c>
      <c r="W802" s="13">
        <f>MAX(W801,R802)</f>
        <v/>
      </c>
      <c r="X802" s="4">
        <f>IF(W802&gt;0,R802/W802-1,-1)</f>
        <v/>
      </c>
      <c r="Y802" s="19">
        <f>IF(R802&gt;0,S802*資金模擬!$B$7/R802,0)</f>
        <v/>
      </c>
      <c r="Z802" s="2">
        <f>IF(OR(Z801=1,R802&lt;=資金模擬!$B$10),1,0)</f>
        <v/>
      </c>
    </row>
    <row r="803">
      <c r="A803" s="2" t="n">
        <v>801</v>
      </c>
      <c r="B803" s="7" t="n">
        <v>46288.45833333334</v>
      </c>
      <c r="C803" s="2" t="inlineStr">
        <is>
          <t>進場</t>
        </is>
      </c>
      <c r="D803" s="2" t="n">
        <v>404</v>
      </c>
      <c r="E803" s="2" t="inlineStr">
        <is>
          <t>牛来_USDT_PERP</t>
        </is>
      </c>
      <c r="F803" s="2" t="inlineStr">
        <is>
          <t>做多</t>
        </is>
      </c>
      <c r="G803" s="20" t="n">
        <v>0.11678</v>
      </c>
      <c r="H803" s="20" t="n">
        <v>0.1202834</v>
      </c>
      <c r="I803" s="20" t="n">
        <v>0.110941</v>
      </c>
      <c r="J803" s="20" t="n"/>
      <c r="K803" s="2" t="n"/>
      <c r="L803" s="5" t="n"/>
      <c r="M803" s="19">
        <f>資金模擬!$B$5*V802</f>
        <v/>
      </c>
      <c r="N803" s="2">
        <f>IF(Z802=1,"已停止",IF(T802&gt;=M803,"已下單","資金不足略過"))</f>
        <v/>
      </c>
      <c r="O803" s="19">
        <f>IF(N803="已下單",M803*資金模擬!$B$7,0)</f>
        <v/>
      </c>
      <c r="P803" s="4" t="n"/>
      <c r="Q803" s="13" t="n">
        <v>0</v>
      </c>
      <c r="R803" s="13">
        <f>R802+Q803</f>
        <v/>
      </c>
      <c r="S803" s="19">
        <f>S802+IF(N803="已下單",M803,0)</f>
        <v/>
      </c>
      <c r="T803" s="19">
        <f>R803-S803</f>
        <v/>
      </c>
      <c r="U803" s="2">
        <f>U802+IF(N803="已下單",1,0)</f>
        <v/>
      </c>
      <c r="V803" s="19">
        <f>IF(資金模擬!$B$9=2,MAX(R803,0),MAX(V802,FLOOR(MAX(R803,0),資金模擬!$B$6)))</f>
        <v/>
      </c>
      <c r="W803" s="13">
        <f>MAX(W802,R803)</f>
        <v/>
      </c>
      <c r="X803" s="4">
        <f>IF(W803&gt;0,R803/W803-1,-1)</f>
        <v/>
      </c>
      <c r="Y803" s="19">
        <f>IF(R803&gt;0,S803*資金模擬!$B$7/R803,0)</f>
        <v/>
      </c>
      <c r="Z803" s="2">
        <f>IF(OR(Z802=1,R803&lt;=資金模擬!$B$10),1,0)</f>
        <v/>
      </c>
    </row>
    <row r="804">
      <c r="A804" s="2" t="n">
        <v>802</v>
      </c>
      <c r="B804" s="7" t="n">
        <v>46288.5</v>
      </c>
      <c r="C804" s="2" t="inlineStr">
        <is>
          <t>出場</t>
        </is>
      </c>
      <c r="D804" s="2" t="n">
        <v>404</v>
      </c>
      <c r="E804" s="2" t="inlineStr">
        <is>
          <t>牛来_USDT_PERP</t>
        </is>
      </c>
      <c r="F804" s="2" t="inlineStr">
        <is>
          <t>做多</t>
        </is>
      </c>
      <c r="G804" s="20" t="n">
        <v>0.11678</v>
      </c>
      <c r="H804" s="20" t="n">
        <v>0.1202834</v>
      </c>
      <c r="I804" s="20" t="n">
        <v>0.110941</v>
      </c>
      <c r="J804" s="20" t="n">
        <v>0.1202834</v>
      </c>
      <c r="K804" s="2" t="inlineStr">
        <is>
          <t>止盈</t>
        </is>
      </c>
      <c r="L804" s="5">
        <f>交易明細!K405</f>
        <v/>
      </c>
      <c r="M804" s="19">
        <f>M803</f>
        <v/>
      </c>
      <c r="N804" s="2">
        <f>N803</f>
        <v/>
      </c>
      <c r="O804" s="19">
        <f>O803</f>
        <v/>
      </c>
      <c r="P804" s="4">
        <f>交易明細!L405</f>
        <v/>
      </c>
      <c r="Q804" s="13">
        <f>IF(N804="已下單",O804*P804,0)</f>
        <v/>
      </c>
      <c r="R804" s="13">
        <f>R803+Q804</f>
        <v/>
      </c>
      <c r="S804" s="19">
        <f>S803-IF(N804="已下單",M804,0)</f>
        <v/>
      </c>
      <c r="T804" s="19">
        <f>R804-S804</f>
        <v/>
      </c>
      <c r="U804" s="2">
        <f>U803-IF(N804="已下單",1,0)</f>
        <v/>
      </c>
      <c r="V804" s="19">
        <f>IF(資金模擬!$B$9=2,MAX(R804,0),MAX(V803,FLOOR(MAX(R804,0),資金模擬!$B$6)))</f>
        <v/>
      </c>
      <c r="W804" s="13">
        <f>MAX(W803,R804)</f>
        <v/>
      </c>
      <c r="X804" s="4">
        <f>IF(W804&gt;0,R804/W804-1,-1)</f>
        <v/>
      </c>
      <c r="Y804" s="19">
        <f>IF(R804&gt;0,S804*資金模擬!$B$7/R804,0)</f>
        <v/>
      </c>
      <c r="Z804" s="2">
        <f>IF(OR(Z803=1,R804&lt;=資金模擬!$B$10),1,0)</f>
        <v/>
      </c>
    </row>
    <row r="805">
      <c r="A805" s="2" t="n">
        <v>803</v>
      </c>
      <c r="B805" s="7" t="n">
        <v>46288.625</v>
      </c>
      <c r="C805" s="2" t="inlineStr">
        <is>
          <t>進場</t>
        </is>
      </c>
      <c r="D805" s="2" t="n">
        <v>405</v>
      </c>
      <c r="E805" s="2" t="inlineStr">
        <is>
          <t>BR_USDT_PERP</t>
        </is>
      </c>
      <c r="F805" s="2" t="inlineStr">
        <is>
          <t>做空</t>
        </is>
      </c>
      <c r="G805" s="20" t="n">
        <v>1.10674</v>
      </c>
      <c r="H805" s="20" t="n">
        <v>1.0735378</v>
      </c>
      <c r="I805" s="20" t="n">
        <v>1.162077</v>
      </c>
      <c r="J805" s="20" t="n"/>
      <c r="K805" s="2" t="n"/>
      <c r="L805" s="5" t="n"/>
      <c r="M805" s="19">
        <f>資金模擬!$B$5*V804</f>
        <v/>
      </c>
      <c r="N805" s="2">
        <f>IF(Z804=1,"已停止",IF(T804&gt;=M805,"已下單","資金不足略過"))</f>
        <v/>
      </c>
      <c r="O805" s="19">
        <f>IF(N805="已下單",M805*資金模擬!$B$7,0)</f>
        <v/>
      </c>
      <c r="P805" s="4" t="n"/>
      <c r="Q805" s="13" t="n">
        <v>0</v>
      </c>
      <c r="R805" s="13">
        <f>R804+Q805</f>
        <v/>
      </c>
      <c r="S805" s="19">
        <f>S804+IF(N805="已下單",M805,0)</f>
        <v/>
      </c>
      <c r="T805" s="19">
        <f>R805-S805</f>
        <v/>
      </c>
      <c r="U805" s="2">
        <f>U804+IF(N805="已下單",1,0)</f>
        <v/>
      </c>
      <c r="V805" s="19">
        <f>IF(資金模擬!$B$9=2,MAX(R805,0),MAX(V804,FLOOR(MAX(R805,0),資金模擬!$B$6)))</f>
        <v/>
      </c>
      <c r="W805" s="13">
        <f>MAX(W804,R805)</f>
        <v/>
      </c>
      <c r="X805" s="4">
        <f>IF(W805&gt;0,R805/W805-1,-1)</f>
        <v/>
      </c>
      <c r="Y805" s="19">
        <f>IF(R805&gt;0,S805*資金模擬!$B$7/R805,0)</f>
        <v/>
      </c>
      <c r="Z805" s="2">
        <f>IF(OR(Z804=1,R805&lt;=資金模擬!$B$10),1,0)</f>
        <v/>
      </c>
    </row>
    <row r="806">
      <c r="A806" s="2" t="n">
        <v>804</v>
      </c>
      <c r="B806" s="7" t="n">
        <v>46288.625</v>
      </c>
      <c r="C806" s="2" t="inlineStr">
        <is>
          <t>進場</t>
        </is>
      </c>
      <c r="D806" s="2" t="n">
        <v>406</v>
      </c>
      <c r="E806" s="2" t="inlineStr">
        <is>
          <t>KITE_USDT_PERP</t>
        </is>
      </c>
      <c r="F806" s="2" t="inlineStr">
        <is>
          <t>做空</t>
        </is>
      </c>
      <c r="G806" s="20" t="n">
        <v>0.13436</v>
      </c>
      <c r="H806" s="20" t="n">
        <v>0.1303292</v>
      </c>
      <c r="I806" s="20" t="n">
        <v>0.141078</v>
      </c>
      <c r="J806" s="20" t="n"/>
      <c r="K806" s="2" t="n"/>
      <c r="L806" s="5" t="n"/>
      <c r="M806" s="19">
        <f>資金模擬!$B$5*V805</f>
        <v/>
      </c>
      <c r="N806" s="2">
        <f>IF(Z805=1,"已停止",IF(T805&gt;=M806,"已下單","資金不足略過"))</f>
        <v/>
      </c>
      <c r="O806" s="19">
        <f>IF(N806="已下單",M806*資金模擬!$B$7,0)</f>
        <v/>
      </c>
      <c r="P806" s="4" t="n"/>
      <c r="Q806" s="13" t="n">
        <v>0</v>
      </c>
      <c r="R806" s="13">
        <f>R805+Q806</f>
        <v/>
      </c>
      <c r="S806" s="19">
        <f>S805+IF(N806="已下單",M806,0)</f>
        <v/>
      </c>
      <c r="T806" s="19">
        <f>R806-S806</f>
        <v/>
      </c>
      <c r="U806" s="2">
        <f>U805+IF(N806="已下單",1,0)</f>
        <v/>
      </c>
      <c r="V806" s="19">
        <f>IF(資金模擬!$B$9=2,MAX(R806,0),MAX(V805,FLOOR(MAX(R806,0),資金模擬!$B$6)))</f>
        <v/>
      </c>
      <c r="W806" s="13">
        <f>MAX(W805,R806)</f>
        <v/>
      </c>
      <c r="X806" s="4">
        <f>IF(W806&gt;0,R806/W806-1,-1)</f>
        <v/>
      </c>
      <c r="Y806" s="19">
        <f>IF(R806&gt;0,S806*資金模擬!$B$7/R806,0)</f>
        <v/>
      </c>
      <c r="Z806" s="2">
        <f>IF(OR(Z805=1,R806&lt;=資金模擬!$B$10),1,0)</f>
        <v/>
      </c>
    </row>
    <row r="807">
      <c r="A807" s="2" t="n">
        <v>805</v>
      </c>
      <c r="B807" s="7" t="n">
        <v>46288.63194444445</v>
      </c>
      <c r="C807" s="2" t="inlineStr">
        <is>
          <t>出場</t>
        </is>
      </c>
      <c r="D807" s="2" t="n">
        <v>405</v>
      </c>
      <c r="E807" s="2" t="inlineStr">
        <is>
          <t>BR_USDT_PERP</t>
        </is>
      </c>
      <c r="F807" s="2" t="inlineStr">
        <is>
          <t>做空</t>
        </is>
      </c>
      <c r="G807" s="20" t="n">
        <v>1.10674</v>
      </c>
      <c r="H807" s="20" t="n">
        <v>1.0735378</v>
      </c>
      <c r="I807" s="20" t="n">
        <v>1.162077</v>
      </c>
      <c r="J807" s="20" t="n">
        <v>1.0735378</v>
      </c>
      <c r="K807" s="2" t="inlineStr">
        <is>
          <t>止盈</t>
        </is>
      </c>
      <c r="L807" s="5">
        <f>交易明細!K406</f>
        <v/>
      </c>
      <c r="M807" s="19">
        <f>M805</f>
        <v/>
      </c>
      <c r="N807" s="2">
        <f>N805</f>
        <v/>
      </c>
      <c r="O807" s="19">
        <f>O805</f>
        <v/>
      </c>
      <c r="P807" s="4">
        <f>交易明細!L406</f>
        <v/>
      </c>
      <c r="Q807" s="13">
        <f>IF(N807="已下單",O807*P807,0)</f>
        <v/>
      </c>
      <c r="R807" s="13">
        <f>R806+Q807</f>
        <v/>
      </c>
      <c r="S807" s="19">
        <f>S806-IF(N807="已下單",M807,0)</f>
        <v/>
      </c>
      <c r="T807" s="19">
        <f>R807-S807</f>
        <v/>
      </c>
      <c r="U807" s="2">
        <f>U806-IF(N807="已下單",1,0)</f>
        <v/>
      </c>
      <c r="V807" s="19">
        <f>IF(資金模擬!$B$9=2,MAX(R807,0),MAX(V806,FLOOR(MAX(R807,0),資金模擬!$B$6)))</f>
        <v/>
      </c>
      <c r="W807" s="13">
        <f>MAX(W806,R807)</f>
        <v/>
      </c>
      <c r="X807" s="4">
        <f>IF(W807&gt;0,R807/W807-1,-1)</f>
        <v/>
      </c>
      <c r="Y807" s="19">
        <f>IF(R807&gt;0,S807*資金模擬!$B$7/R807,0)</f>
        <v/>
      </c>
      <c r="Z807" s="2">
        <f>IF(OR(Z806=1,R807&lt;=資金模擬!$B$10),1,0)</f>
        <v/>
      </c>
    </row>
    <row r="808">
      <c r="A808" s="2" t="n">
        <v>806</v>
      </c>
      <c r="B808" s="7" t="n">
        <v>46288.66666666666</v>
      </c>
      <c r="C808" s="2" t="inlineStr">
        <is>
          <t>出場</t>
        </is>
      </c>
      <c r="D808" s="2" t="n">
        <v>402</v>
      </c>
      <c r="E808" s="2" t="inlineStr">
        <is>
          <t>ZETA_USDT_PERP</t>
        </is>
      </c>
      <c r="F808" s="2" t="inlineStr">
        <is>
          <t>做空</t>
        </is>
      </c>
      <c r="G808" s="20" t="n">
        <v>0.05288</v>
      </c>
      <c r="H808" s="20" t="n">
        <v>0.0512936</v>
      </c>
      <c r="I808" s="20" t="n">
        <v>0.055524</v>
      </c>
      <c r="J808" s="20" t="n">
        <v>0.0512936</v>
      </c>
      <c r="K808" s="2" t="inlineStr">
        <is>
          <t>止盈</t>
        </is>
      </c>
      <c r="L808" s="5">
        <f>交易明細!K403</f>
        <v/>
      </c>
      <c r="M808" s="19">
        <f>M798</f>
        <v/>
      </c>
      <c r="N808" s="2">
        <f>N798</f>
        <v/>
      </c>
      <c r="O808" s="19">
        <f>O798</f>
        <v/>
      </c>
      <c r="P808" s="4">
        <f>交易明細!L403</f>
        <v/>
      </c>
      <c r="Q808" s="13">
        <f>IF(N808="已下單",O808*P808,0)</f>
        <v/>
      </c>
      <c r="R808" s="13">
        <f>R807+Q808</f>
        <v/>
      </c>
      <c r="S808" s="19">
        <f>S807-IF(N808="已下單",M808,0)</f>
        <v/>
      </c>
      <c r="T808" s="19">
        <f>R808-S808</f>
        <v/>
      </c>
      <c r="U808" s="2">
        <f>U807-IF(N808="已下單",1,0)</f>
        <v/>
      </c>
      <c r="V808" s="19">
        <f>IF(資金模擬!$B$9=2,MAX(R808,0),MAX(V807,FLOOR(MAX(R808,0),資金模擬!$B$6)))</f>
        <v/>
      </c>
      <c r="W808" s="13">
        <f>MAX(W807,R808)</f>
        <v/>
      </c>
      <c r="X808" s="4">
        <f>IF(W808&gt;0,R808/W808-1,-1)</f>
        <v/>
      </c>
      <c r="Y808" s="19">
        <f>IF(R808&gt;0,S808*資金模擬!$B$7/R808,0)</f>
        <v/>
      </c>
      <c r="Z808" s="2">
        <f>IF(OR(Z807=1,R808&lt;=資金模擬!$B$10),1,0)</f>
        <v/>
      </c>
    </row>
    <row r="809">
      <c r="A809" s="2" t="n">
        <v>807</v>
      </c>
      <c r="B809" s="7" t="n">
        <v>46288.70833333334</v>
      </c>
      <c r="C809" s="2" t="inlineStr">
        <is>
          <t>出場</t>
        </is>
      </c>
      <c r="D809" s="2" t="n">
        <v>403</v>
      </c>
      <c r="E809" s="2" t="inlineStr">
        <is>
          <t>INJ_USDT_PERP</t>
        </is>
      </c>
      <c r="F809" s="2" t="inlineStr">
        <is>
          <t>做多</t>
        </is>
      </c>
      <c r="G809" s="20" t="n">
        <v>7.877</v>
      </c>
      <c r="H809" s="20" t="n">
        <v>8.11331</v>
      </c>
      <c r="I809" s="20" t="n">
        <v>7.483149999999999</v>
      </c>
      <c r="J809" s="20" t="n">
        <v>8.11331</v>
      </c>
      <c r="K809" s="2" t="inlineStr">
        <is>
          <t>止盈</t>
        </is>
      </c>
      <c r="L809" s="5">
        <f>交易明細!K404</f>
        <v/>
      </c>
      <c r="M809" s="19">
        <f>M802</f>
        <v/>
      </c>
      <c r="N809" s="2">
        <f>N802</f>
        <v/>
      </c>
      <c r="O809" s="19">
        <f>O802</f>
        <v/>
      </c>
      <c r="P809" s="4">
        <f>交易明細!L404</f>
        <v/>
      </c>
      <c r="Q809" s="13">
        <f>IF(N809="已下單",O809*P809,0)</f>
        <v/>
      </c>
      <c r="R809" s="13">
        <f>R808+Q809</f>
        <v/>
      </c>
      <c r="S809" s="19">
        <f>S808-IF(N809="已下單",M809,0)</f>
        <v/>
      </c>
      <c r="T809" s="19">
        <f>R809-S809</f>
        <v/>
      </c>
      <c r="U809" s="2">
        <f>U808-IF(N809="已下單",1,0)</f>
        <v/>
      </c>
      <c r="V809" s="19">
        <f>IF(資金模擬!$B$9=2,MAX(R809,0),MAX(V808,FLOOR(MAX(R809,0),資金模擬!$B$6)))</f>
        <v/>
      </c>
      <c r="W809" s="13">
        <f>MAX(W808,R809)</f>
        <v/>
      </c>
      <c r="X809" s="4">
        <f>IF(W809&gt;0,R809/W809-1,-1)</f>
        <v/>
      </c>
      <c r="Y809" s="19">
        <f>IF(R809&gt;0,S809*資金模擬!$B$7/R809,0)</f>
        <v/>
      </c>
      <c r="Z809" s="2">
        <f>IF(OR(Z808=1,R809&lt;=資金模擬!$B$10),1,0)</f>
        <v/>
      </c>
    </row>
    <row r="810">
      <c r="A810" s="2" t="n">
        <v>808</v>
      </c>
      <c r="B810" s="7" t="n">
        <v>46288.70833333334</v>
      </c>
      <c r="C810" s="2" t="inlineStr">
        <is>
          <t>進場</t>
        </is>
      </c>
      <c r="D810" s="2" t="n">
        <v>407</v>
      </c>
      <c r="E810" s="2" t="inlineStr">
        <is>
          <t>MARSCOIN_USDT_PERP</t>
        </is>
      </c>
      <c r="F810" s="2" t="inlineStr">
        <is>
          <t>做空</t>
        </is>
      </c>
      <c r="G810" s="20" t="n">
        <v>0.12836</v>
      </c>
      <c r="H810" s="20" t="n">
        <v>0.1245092</v>
      </c>
      <c r="I810" s="20" t="n">
        <v>0.134778</v>
      </c>
      <c r="J810" s="20" t="n"/>
      <c r="K810" s="2" t="n"/>
      <c r="L810" s="5" t="n"/>
      <c r="M810" s="19">
        <f>資金模擬!$B$5*V809</f>
        <v/>
      </c>
      <c r="N810" s="2">
        <f>IF(Z809=1,"已停止",IF(T809&gt;=M810,"已下單","資金不足略過"))</f>
        <v/>
      </c>
      <c r="O810" s="19">
        <f>IF(N810="已下單",M810*資金模擬!$B$7,0)</f>
        <v/>
      </c>
      <c r="P810" s="4" t="n"/>
      <c r="Q810" s="13" t="n">
        <v>0</v>
      </c>
      <c r="R810" s="13">
        <f>R809+Q810</f>
        <v/>
      </c>
      <c r="S810" s="19">
        <f>S809+IF(N810="已下單",M810,0)</f>
        <v/>
      </c>
      <c r="T810" s="19">
        <f>R810-S810</f>
        <v/>
      </c>
      <c r="U810" s="2">
        <f>U809+IF(N810="已下單",1,0)</f>
        <v/>
      </c>
      <c r="V810" s="19">
        <f>IF(資金模擬!$B$9=2,MAX(R810,0),MAX(V809,FLOOR(MAX(R810,0),資金模擬!$B$6)))</f>
        <v/>
      </c>
      <c r="W810" s="13">
        <f>MAX(W809,R810)</f>
        <v/>
      </c>
      <c r="X810" s="4">
        <f>IF(W810&gt;0,R810/W810-1,-1)</f>
        <v/>
      </c>
      <c r="Y810" s="19">
        <f>IF(R810&gt;0,S810*資金模擬!$B$7/R810,0)</f>
        <v/>
      </c>
      <c r="Z810" s="2">
        <f>IF(OR(Z809=1,R810&lt;=資金模擬!$B$10),1,0)</f>
        <v/>
      </c>
    </row>
    <row r="811">
      <c r="A811" s="2" t="n">
        <v>809</v>
      </c>
      <c r="B811" s="7" t="n">
        <v>46288.70833333334</v>
      </c>
      <c r="C811" s="2" t="inlineStr">
        <is>
          <t>進場</t>
        </is>
      </c>
      <c r="D811" s="2" t="n">
        <v>408</v>
      </c>
      <c r="E811" s="2" t="inlineStr">
        <is>
          <t>NEAR_USDT_PERP</t>
        </is>
      </c>
      <c r="F811" s="2" t="inlineStr">
        <is>
          <t>做多</t>
        </is>
      </c>
      <c r="G811" s="20" t="n">
        <v>4.543</v>
      </c>
      <c r="H811" s="20" t="n">
        <v>4.67929</v>
      </c>
      <c r="I811" s="20" t="n">
        <v>4.31585</v>
      </c>
      <c r="J811" s="20" t="n"/>
      <c r="K811" s="2" t="n"/>
      <c r="L811" s="5" t="n"/>
      <c r="M811" s="19">
        <f>資金模擬!$B$5*V810</f>
        <v/>
      </c>
      <c r="N811" s="2">
        <f>IF(Z810=1,"已停止",IF(T810&gt;=M811,"已下單","資金不足略過"))</f>
        <v/>
      </c>
      <c r="O811" s="19">
        <f>IF(N811="已下單",M811*資金模擬!$B$7,0)</f>
        <v/>
      </c>
      <c r="P811" s="4" t="n"/>
      <c r="Q811" s="13" t="n">
        <v>0</v>
      </c>
      <c r="R811" s="13">
        <f>R810+Q811</f>
        <v/>
      </c>
      <c r="S811" s="19">
        <f>S810+IF(N811="已下單",M811,0)</f>
        <v/>
      </c>
      <c r="T811" s="19">
        <f>R811-S811</f>
        <v/>
      </c>
      <c r="U811" s="2">
        <f>U810+IF(N811="已下單",1,0)</f>
        <v/>
      </c>
      <c r="V811" s="19">
        <f>IF(資金模擬!$B$9=2,MAX(R811,0),MAX(V810,FLOOR(MAX(R811,0),資金模擬!$B$6)))</f>
        <v/>
      </c>
      <c r="W811" s="13">
        <f>MAX(W810,R811)</f>
        <v/>
      </c>
      <c r="X811" s="4">
        <f>IF(W811&gt;0,R811/W811-1,-1)</f>
        <v/>
      </c>
      <c r="Y811" s="19">
        <f>IF(R811&gt;0,S811*資金模擬!$B$7/R811,0)</f>
        <v/>
      </c>
      <c r="Z811" s="2">
        <f>IF(OR(Z810=1,R811&lt;=資金模擬!$B$10),1,0)</f>
        <v/>
      </c>
    </row>
    <row r="812">
      <c r="A812" s="2" t="n">
        <v>810</v>
      </c>
      <c r="B812" s="7" t="n">
        <v>46288.79166666666</v>
      </c>
      <c r="C812" s="2" t="inlineStr">
        <is>
          <t>出場</t>
        </is>
      </c>
      <c r="D812" s="2" t="n">
        <v>398</v>
      </c>
      <c r="E812" s="2" t="inlineStr">
        <is>
          <t>VVV_USDT_PERP</t>
        </is>
      </c>
      <c r="F812" s="2" t="inlineStr">
        <is>
          <t>做多</t>
        </is>
      </c>
      <c r="G812" s="20" t="n">
        <v>32.63</v>
      </c>
      <c r="H812" s="20" t="n">
        <v>33.60890000000001</v>
      </c>
      <c r="I812" s="20" t="n">
        <v>30.9985</v>
      </c>
      <c r="J812" s="20" t="n">
        <v>30.9985</v>
      </c>
      <c r="K812" s="2" t="inlineStr">
        <is>
          <t>止損</t>
        </is>
      </c>
      <c r="L812" s="5">
        <f>交易明細!K399</f>
        <v/>
      </c>
      <c r="M812" s="19">
        <f>M786</f>
        <v/>
      </c>
      <c r="N812" s="2">
        <f>N786</f>
        <v/>
      </c>
      <c r="O812" s="19">
        <f>O786</f>
        <v/>
      </c>
      <c r="P812" s="4">
        <f>交易明細!L399</f>
        <v/>
      </c>
      <c r="Q812" s="13">
        <f>IF(N812="已下單",O812*P812,0)</f>
        <v/>
      </c>
      <c r="R812" s="13">
        <f>R811+Q812</f>
        <v/>
      </c>
      <c r="S812" s="19">
        <f>S811-IF(N812="已下單",M812,0)</f>
        <v/>
      </c>
      <c r="T812" s="19">
        <f>R812-S812</f>
        <v/>
      </c>
      <c r="U812" s="2">
        <f>U811-IF(N812="已下單",1,0)</f>
        <v/>
      </c>
      <c r="V812" s="19">
        <f>IF(資金模擬!$B$9=2,MAX(R812,0),MAX(V811,FLOOR(MAX(R812,0),資金模擬!$B$6)))</f>
        <v/>
      </c>
      <c r="W812" s="13">
        <f>MAX(W811,R812)</f>
        <v/>
      </c>
      <c r="X812" s="4">
        <f>IF(W812&gt;0,R812/W812-1,-1)</f>
        <v/>
      </c>
      <c r="Y812" s="19">
        <f>IF(R812&gt;0,S812*資金模擬!$B$7/R812,0)</f>
        <v/>
      </c>
      <c r="Z812" s="2">
        <f>IF(OR(Z811=1,R812&lt;=資金模擬!$B$10),1,0)</f>
        <v/>
      </c>
    </row>
    <row r="813">
      <c r="A813" s="2" t="n">
        <v>811</v>
      </c>
      <c r="B813" s="7" t="n">
        <v>46288.79166666666</v>
      </c>
      <c r="C813" s="2" t="inlineStr">
        <is>
          <t>出場</t>
        </is>
      </c>
      <c r="D813" s="2" t="n">
        <v>408</v>
      </c>
      <c r="E813" s="2" t="inlineStr">
        <is>
          <t>NEAR_USDT_PERP</t>
        </is>
      </c>
      <c r="F813" s="2" t="inlineStr">
        <is>
          <t>做多</t>
        </is>
      </c>
      <c r="G813" s="20" t="n">
        <v>4.543</v>
      </c>
      <c r="H813" s="20" t="n">
        <v>4.67929</v>
      </c>
      <c r="I813" s="20" t="n">
        <v>4.31585</v>
      </c>
      <c r="J813" s="20" t="n">
        <v>4.67929</v>
      </c>
      <c r="K813" s="2" t="inlineStr">
        <is>
          <t>止盈</t>
        </is>
      </c>
      <c r="L813" s="5">
        <f>交易明細!K409</f>
        <v/>
      </c>
      <c r="M813" s="19">
        <f>M811</f>
        <v/>
      </c>
      <c r="N813" s="2">
        <f>N811</f>
        <v/>
      </c>
      <c r="O813" s="19">
        <f>O811</f>
        <v/>
      </c>
      <c r="P813" s="4">
        <f>交易明細!L409</f>
        <v/>
      </c>
      <c r="Q813" s="13">
        <f>IF(N813="已下單",O813*P813,0)</f>
        <v/>
      </c>
      <c r="R813" s="13">
        <f>R812+Q813</f>
        <v/>
      </c>
      <c r="S813" s="19">
        <f>S812-IF(N813="已下單",M813,0)</f>
        <v/>
      </c>
      <c r="T813" s="19">
        <f>R813-S813</f>
        <v/>
      </c>
      <c r="U813" s="2">
        <f>U812-IF(N813="已下單",1,0)</f>
        <v/>
      </c>
      <c r="V813" s="19">
        <f>IF(資金模擬!$B$9=2,MAX(R813,0),MAX(V812,FLOOR(MAX(R813,0),資金模擬!$B$6)))</f>
        <v/>
      </c>
      <c r="W813" s="13">
        <f>MAX(W812,R813)</f>
        <v/>
      </c>
      <c r="X813" s="4">
        <f>IF(W813&gt;0,R813/W813-1,-1)</f>
        <v/>
      </c>
      <c r="Y813" s="19">
        <f>IF(R813&gt;0,S813*資金模擬!$B$7/R813,0)</f>
        <v/>
      </c>
      <c r="Z813" s="2">
        <f>IF(OR(Z812=1,R813&lt;=資金模擬!$B$10),1,0)</f>
        <v/>
      </c>
    </row>
    <row r="814">
      <c r="A814" s="2" t="n">
        <v>812</v>
      </c>
      <c r="B814" s="7" t="n">
        <v>46288.79166666666</v>
      </c>
      <c r="C814" s="2" t="inlineStr">
        <is>
          <t>進場</t>
        </is>
      </c>
      <c r="D814" s="2" t="n">
        <v>409</v>
      </c>
      <c r="E814" s="2" t="inlineStr">
        <is>
          <t>PONS_USDT_PERP</t>
        </is>
      </c>
      <c r="F814" s="2" t="inlineStr">
        <is>
          <t>做多</t>
        </is>
      </c>
      <c r="G814" s="20" t="n">
        <v>0.7004</v>
      </c>
      <c r="H814" s="20" t="n">
        <v>0.7214120000000001</v>
      </c>
      <c r="I814" s="20" t="n">
        <v>0.66538</v>
      </c>
      <c r="J814" s="20" t="n"/>
      <c r="K814" s="2" t="n"/>
      <c r="L814" s="5" t="n"/>
      <c r="M814" s="19">
        <f>資金模擬!$B$5*V813</f>
        <v/>
      </c>
      <c r="N814" s="2">
        <f>IF(Z813=1,"已停止",IF(T813&gt;=M814,"已下單","資金不足略過"))</f>
        <v/>
      </c>
      <c r="O814" s="19">
        <f>IF(N814="已下單",M814*資金模擬!$B$7,0)</f>
        <v/>
      </c>
      <c r="P814" s="4" t="n"/>
      <c r="Q814" s="13" t="n">
        <v>0</v>
      </c>
      <c r="R814" s="13">
        <f>R813+Q814</f>
        <v/>
      </c>
      <c r="S814" s="19">
        <f>S813+IF(N814="已下單",M814,0)</f>
        <v/>
      </c>
      <c r="T814" s="19">
        <f>R814-S814</f>
        <v/>
      </c>
      <c r="U814" s="2">
        <f>U813+IF(N814="已下單",1,0)</f>
        <v/>
      </c>
      <c r="V814" s="19">
        <f>IF(資金模擬!$B$9=2,MAX(R814,0),MAX(V813,FLOOR(MAX(R814,0),資金模擬!$B$6)))</f>
        <v/>
      </c>
      <c r="W814" s="13">
        <f>MAX(W813,R814)</f>
        <v/>
      </c>
      <c r="X814" s="4">
        <f>IF(W814&gt;0,R814/W814-1,-1)</f>
        <v/>
      </c>
      <c r="Y814" s="19">
        <f>IF(R814&gt;0,S814*資金模擬!$B$7/R814,0)</f>
        <v/>
      </c>
      <c r="Z814" s="2">
        <f>IF(OR(Z813=1,R814&lt;=資金模擬!$B$10),1,0)</f>
        <v/>
      </c>
    </row>
    <row r="815">
      <c r="A815" s="2" t="n">
        <v>813</v>
      </c>
      <c r="B815" s="7" t="n">
        <v>46288.83333333334</v>
      </c>
      <c r="C815" s="2" t="inlineStr">
        <is>
          <t>進場</t>
        </is>
      </c>
      <c r="D815" s="2" t="n">
        <v>410</v>
      </c>
      <c r="E815" s="2" t="inlineStr">
        <is>
          <t>LSK_USDT_PERP</t>
        </is>
      </c>
      <c r="F815" s="2" t="inlineStr">
        <is>
          <t>做空</t>
        </is>
      </c>
      <c r="G815" s="20" t="n">
        <v>0.3145</v>
      </c>
      <c r="H815" s="20" t="n">
        <v>0.305065</v>
      </c>
      <c r="I815" s="20" t="n">
        <v>0.330225</v>
      </c>
      <c r="J815" s="20" t="n"/>
      <c r="K815" s="2" t="n"/>
      <c r="L815" s="5" t="n"/>
      <c r="M815" s="19">
        <f>資金模擬!$B$5*V814</f>
        <v/>
      </c>
      <c r="N815" s="2">
        <f>IF(Z814=1,"已停止",IF(T814&gt;=M815,"已下單","資金不足略過"))</f>
        <v/>
      </c>
      <c r="O815" s="19">
        <f>IF(N815="已下單",M815*資金模擬!$B$7,0)</f>
        <v/>
      </c>
      <c r="P815" s="4" t="n"/>
      <c r="Q815" s="13" t="n">
        <v>0</v>
      </c>
      <c r="R815" s="13">
        <f>R814+Q815</f>
        <v/>
      </c>
      <c r="S815" s="19">
        <f>S814+IF(N815="已下單",M815,0)</f>
        <v/>
      </c>
      <c r="T815" s="19">
        <f>R815-S815</f>
        <v/>
      </c>
      <c r="U815" s="2">
        <f>U814+IF(N815="已下單",1,0)</f>
        <v/>
      </c>
      <c r="V815" s="19">
        <f>IF(資金模擬!$B$9=2,MAX(R815,0),MAX(V814,FLOOR(MAX(R815,0),資金模擬!$B$6)))</f>
        <v/>
      </c>
      <c r="W815" s="13">
        <f>MAX(W814,R815)</f>
        <v/>
      </c>
      <c r="X815" s="4">
        <f>IF(W815&gt;0,R815/W815-1,-1)</f>
        <v/>
      </c>
      <c r="Y815" s="19">
        <f>IF(R815&gt;0,S815*資金模擬!$B$7/R815,0)</f>
        <v/>
      </c>
      <c r="Z815" s="2">
        <f>IF(OR(Z814=1,R815&lt;=資金模擬!$B$10),1,0)</f>
        <v/>
      </c>
    </row>
    <row r="816">
      <c r="A816" s="2" t="n">
        <v>814</v>
      </c>
      <c r="B816" s="7" t="n">
        <v>46288.83333333334</v>
      </c>
      <c r="C816" s="2" t="inlineStr">
        <is>
          <t>進場</t>
        </is>
      </c>
      <c r="D816" s="2" t="n">
        <v>411</v>
      </c>
      <c r="E816" s="2" t="inlineStr">
        <is>
          <t>PEPE_USDT_PERP</t>
        </is>
      </c>
      <c r="F816" s="2" t="inlineStr">
        <is>
          <t>做空</t>
        </is>
      </c>
      <c r="G816" s="20" t="n">
        <v>4.7347e-06</v>
      </c>
      <c r="H816" s="20" t="n">
        <v>4.592659e-06</v>
      </c>
      <c r="I816" s="20" t="n">
        <v>4.971435e-06</v>
      </c>
      <c r="J816" s="20" t="n"/>
      <c r="K816" s="2" t="n"/>
      <c r="L816" s="5" t="n"/>
      <c r="M816" s="19">
        <f>資金模擬!$B$5*V815</f>
        <v/>
      </c>
      <c r="N816" s="2">
        <f>IF(Z815=1,"已停止",IF(T815&gt;=M816,"已下單","資金不足略過"))</f>
        <v/>
      </c>
      <c r="O816" s="19">
        <f>IF(N816="已下單",M816*資金模擬!$B$7,0)</f>
        <v/>
      </c>
      <c r="P816" s="4" t="n"/>
      <c r="Q816" s="13" t="n">
        <v>0</v>
      </c>
      <c r="R816" s="13">
        <f>R815+Q816</f>
        <v/>
      </c>
      <c r="S816" s="19">
        <f>S815+IF(N816="已下單",M816,0)</f>
        <v/>
      </c>
      <c r="T816" s="19">
        <f>R816-S816</f>
        <v/>
      </c>
      <c r="U816" s="2">
        <f>U815+IF(N816="已下單",1,0)</f>
        <v/>
      </c>
      <c r="V816" s="19">
        <f>IF(資金模擬!$B$9=2,MAX(R816,0),MAX(V815,FLOOR(MAX(R816,0),資金模擬!$B$6)))</f>
        <v/>
      </c>
      <c r="W816" s="13">
        <f>MAX(W815,R816)</f>
        <v/>
      </c>
      <c r="X816" s="4">
        <f>IF(W816&gt;0,R816/W816-1,-1)</f>
        <v/>
      </c>
      <c r="Y816" s="19">
        <f>IF(R816&gt;0,S816*資金模擬!$B$7/R816,0)</f>
        <v/>
      </c>
      <c r="Z816" s="2">
        <f>IF(OR(Z815=1,R816&lt;=資金模擬!$B$10),1,0)</f>
        <v/>
      </c>
    </row>
    <row r="817">
      <c r="A817" s="2" t="n">
        <v>815</v>
      </c>
      <c r="B817" s="7" t="n">
        <v>46288.83333333334</v>
      </c>
      <c r="C817" s="2" t="inlineStr">
        <is>
          <t>進場</t>
        </is>
      </c>
      <c r="D817" s="2" t="n">
        <v>412</v>
      </c>
      <c r="E817" s="2" t="inlineStr">
        <is>
          <t>PUMP_USDT_PERP</t>
        </is>
      </c>
      <c r="F817" s="2" t="inlineStr">
        <is>
          <t>做空</t>
        </is>
      </c>
      <c r="G817" s="20" t="n">
        <v>0.004206</v>
      </c>
      <c r="H817" s="20" t="n">
        <v>0.00407982</v>
      </c>
      <c r="I817" s="20" t="n">
        <v>0.0044163</v>
      </c>
      <c r="J817" s="20" t="n"/>
      <c r="K817" s="2" t="n"/>
      <c r="L817" s="5" t="n"/>
      <c r="M817" s="19">
        <f>資金模擬!$B$5*V816</f>
        <v/>
      </c>
      <c r="N817" s="2">
        <f>IF(Z816=1,"已停止",IF(T816&gt;=M817,"已下單","資金不足略過"))</f>
        <v/>
      </c>
      <c r="O817" s="19">
        <f>IF(N817="已下單",M817*資金模擬!$B$7,0)</f>
        <v/>
      </c>
      <c r="P817" s="4" t="n"/>
      <c r="Q817" s="13" t="n">
        <v>0</v>
      </c>
      <c r="R817" s="13">
        <f>R816+Q817</f>
        <v/>
      </c>
      <c r="S817" s="19">
        <f>S816+IF(N817="已下單",M817,0)</f>
        <v/>
      </c>
      <c r="T817" s="19">
        <f>R817-S817</f>
        <v/>
      </c>
      <c r="U817" s="2">
        <f>U816+IF(N817="已下單",1,0)</f>
        <v/>
      </c>
      <c r="V817" s="19">
        <f>IF(資金模擬!$B$9=2,MAX(R817,0),MAX(V816,FLOOR(MAX(R817,0),資金模擬!$B$6)))</f>
        <v/>
      </c>
      <c r="W817" s="13">
        <f>MAX(W816,R817)</f>
        <v/>
      </c>
      <c r="X817" s="4">
        <f>IF(W817&gt;0,R817/W817-1,-1)</f>
        <v/>
      </c>
      <c r="Y817" s="19">
        <f>IF(R817&gt;0,S817*資金模擬!$B$7/R817,0)</f>
        <v/>
      </c>
      <c r="Z817" s="2">
        <f>IF(OR(Z816=1,R817&lt;=資金模擬!$B$10),1,0)</f>
        <v/>
      </c>
    </row>
    <row r="818">
      <c r="A818" s="2" t="n">
        <v>816</v>
      </c>
      <c r="B818" s="7" t="n">
        <v>46288.875</v>
      </c>
      <c r="C818" s="2" t="inlineStr">
        <is>
          <t>進場</t>
        </is>
      </c>
      <c r="D818" s="2" t="n">
        <v>413</v>
      </c>
      <c r="E818" s="2" t="inlineStr">
        <is>
          <t>BCH_USDT_PERP</t>
        </is>
      </c>
      <c r="F818" s="2" t="inlineStr">
        <is>
          <t>做多</t>
        </is>
      </c>
      <c r="G818" s="20" t="n">
        <v>358.92</v>
      </c>
      <c r="H818" s="20" t="n">
        <v>369.6876</v>
      </c>
      <c r="I818" s="20" t="n">
        <v>340.974</v>
      </c>
      <c r="J818" s="20" t="n"/>
      <c r="K818" s="2" t="n"/>
      <c r="L818" s="5" t="n"/>
      <c r="M818" s="19">
        <f>資金模擬!$B$5*V817</f>
        <v/>
      </c>
      <c r="N818" s="2">
        <f>IF(Z817=1,"已停止",IF(T817&gt;=M818,"已下單","資金不足略過"))</f>
        <v/>
      </c>
      <c r="O818" s="19">
        <f>IF(N818="已下單",M818*資金模擬!$B$7,0)</f>
        <v/>
      </c>
      <c r="P818" s="4" t="n"/>
      <c r="Q818" s="13" t="n">
        <v>0</v>
      </c>
      <c r="R818" s="13">
        <f>R817+Q818</f>
        <v/>
      </c>
      <c r="S818" s="19">
        <f>S817+IF(N818="已下單",M818,0)</f>
        <v/>
      </c>
      <c r="T818" s="19">
        <f>R818-S818</f>
        <v/>
      </c>
      <c r="U818" s="2">
        <f>U817+IF(N818="已下單",1,0)</f>
        <v/>
      </c>
      <c r="V818" s="19">
        <f>IF(資金模擬!$B$9=2,MAX(R818,0),MAX(V817,FLOOR(MAX(R818,0),資金模擬!$B$6)))</f>
        <v/>
      </c>
      <c r="W818" s="13">
        <f>MAX(W817,R818)</f>
        <v/>
      </c>
      <c r="X818" s="4">
        <f>IF(W818&gt;0,R818/W818-1,-1)</f>
        <v/>
      </c>
      <c r="Y818" s="19">
        <f>IF(R818&gt;0,S818*資金模擬!$B$7/R818,0)</f>
        <v/>
      </c>
      <c r="Z818" s="2">
        <f>IF(OR(Z817=1,R818&lt;=資金模擬!$B$10),1,0)</f>
        <v/>
      </c>
    </row>
    <row r="819">
      <c r="A819" s="2" t="n">
        <v>817</v>
      </c>
      <c r="B819" s="7" t="n">
        <v>46288.91666666666</v>
      </c>
      <c r="C819" s="2" t="inlineStr">
        <is>
          <t>出場</t>
        </is>
      </c>
      <c r="D819" s="2" t="n">
        <v>407</v>
      </c>
      <c r="E819" s="2" t="inlineStr">
        <is>
          <t>MARSCOIN_USDT_PERP</t>
        </is>
      </c>
      <c r="F819" s="2" t="inlineStr">
        <is>
          <t>做空</t>
        </is>
      </c>
      <c r="G819" s="20" t="n">
        <v>0.12836</v>
      </c>
      <c r="H819" s="20" t="n">
        <v>0.1245092</v>
      </c>
      <c r="I819" s="20" t="n">
        <v>0.134778</v>
      </c>
      <c r="J819" s="20" t="n">
        <v>0.1245092</v>
      </c>
      <c r="K819" s="2" t="inlineStr">
        <is>
          <t>止盈</t>
        </is>
      </c>
      <c r="L819" s="5">
        <f>交易明細!K408</f>
        <v/>
      </c>
      <c r="M819" s="19">
        <f>M810</f>
        <v/>
      </c>
      <c r="N819" s="2">
        <f>N810</f>
        <v/>
      </c>
      <c r="O819" s="19">
        <f>O810</f>
        <v/>
      </c>
      <c r="P819" s="4">
        <f>交易明細!L408</f>
        <v/>
      </c>
      <c r="Q819" s="13">
        <f>IF(N819="已下單",O819*P819,0)</f>
        <v/>
      </c>
      <c r="R819" s="13">
        <f>R818+Q819</f>
        <v/>
      </c>
      <c r="S819" s="19">
        <f>S818-IF(N819="已下單",M819,0)</f>
        <v/>
      </c>
      <c r="T819" s="19">
        <f>R819-S819</f>
        <v/>
      </c>
      <c r="U819" s="2">
        <f>U818-IF(N819="已下單",1,0)</f>
        <v/>
      </c>
      <c r="V819" s="19">
        <f>IF(資金模擬!$B$9=2,MAX(R819,0),MAX(V818,FLOOR(MAX(R819,0),資金模擬!$B$6)))</f>
        <v/>
      </c>
      <c r="W819" s="13">
        <f>MAX(W818,R819)</f>
        <v/>
      </c>
      <c r="X819" s="4">
        <f>IF(W819&gt;0,R819/W819-1,-1)</f>
        <v/>
      </c>
      <c r="Y819" s="19">
        <f>IF(R819&gt;0,S819*資金模擬!$B$7/R819,0)</f>
        <v/>
      </c>
      <c r="Z819" s="2">
        <f>IF(OR(Z818=1,R819&lt;=資金模擬!$B$10),1,0)</f>
        <v/>
      </c>
    </row>
    <row r="820">
      <c r="A820" s="2" t="n">
        <v>818</v>
      </c>
      <c r="B820" s="7" t="n">
        <v>46288.91666666666</v>
      </c>
      <c r="C820" s="2" t="inlineStr">
        <is>
          <t>進場</t>
        </is>
      </c>
      <c r="D820" s="2" t="n">
        <v>414</v>
      </c>
      <c r="E820" s="2" t="inlineStr">
        <is>
          <t>NIL_USDT_PERP</t>
        </is>
      </c>
      <c r="F820" s="2" t="inlineStr">
        <is>
          <t>做空</t>
        </is>
      </c>
      <c r="G820" s="20" t="n">
        <v>0.0902</v>
      </c>
      <c r="H820" s="20" t="n">
        <v>0.087494</v>
      </c>
      <c r="I820" s="20" t="n">
        <v>0.09471</v>
      </c>
      <c r="J820" s="20" t="n"/>
      <c r="K820" s="2" t="n"/>
      <c r="L820" s="5" t="n"/>
      <c r="M820" s="19">
        <f>資金模擬!$B$5*V819</f>
        <v/>
      </c>
      <c r="N820" s="2">
        <f>IF(Z819=1,"已停止",IF(T819&gt;=M820,"已下單","資金不足略過"))</f>
        <v/>
      </c>
      <c r="O820" s="19">
        <f>IF(N820="已下單",M820*資金模擬!$B$7,0)</f>
        <v/>
      </c>
      <c r="P820" s="4" t="n"/>
      <c r="Q820" s="13" t="n">
        <v>0</v>
      </c>
      <c r="R820" s="13">
        <f>R819+Q820</f>
        <v/>
      </c>
      <c r="S820" s="19">
        <f>S819+IF(N820="已下單",M820,0)</f>
        <v/>
      </c>
      <c r="T820" s="19">
        <f>R820-S820</f>
        <v/>
      </c>
      <c r="U820" s="2">
        <f>U819+IF(N820="已下單",1,0)</f>
        <v/>
      </c>
      <c r="V820" s="19">
        <f>IF(資金模擬!$B$9=2,MAX(R820,0),MAX(V819,FLOOR(MAX(R820,0),資金模擬!$B$6)))</f>
        <v/>
      </c>
      <c r="W820" s="13">
        <f>MAX(W819,R820)</f>
        <v/>
      </c>
      <c r="X820" s="4">
        <f>IF(W820&gt;0,R820/W820-1,-1)</f>
        <v/>
      </c>
      <c r="Y820" s="19">
        <f>IF(R820&gt;0,S820*資金模擬!$B$7/R820,0)</f>
        <v/>
      </c>
      <c r="Z820" s="2">
        <f>IF(OR(Z819=1,R820&lt;=資金模擬!$B$10),1,0)</f>
        <v/>
      </c>
    </row>
    <row r="821">
      <c r="A821" s="2" t="n">
        <v>819</v>
      </c>
      <c r="B821" s="7" t="n">
        <v>46288.91666666666</v>
      </c>
      <c r="C821" s="2" t="inlineStr">
        <is>
          <t>進場</t>
        </is>
      </c>
      <c r="D821" s="2" t="n">
        <v>415</v>
      </c>
      <c r="E821" s="2" t="inlineStr">
        <is>
          <t>ZAMA_USDT_PERP</t>
        </is>
      </c>
      <c r="F821" s="2" t="inlineStr">
        <is>
          <t>做空</t>
        </is>
      </c>
      <c r="G821" s="20" t="n">
        <v>0.09616</v>
      </c>
      <c r="H821" s="20" t="n">
        <v>0.09327519999999999</v>
      </c>
      <c r="I821" s="20" t="n">
        <v>0.100968</v>
      </c>
      <c r="J821" s="20" t="n"/>
      <c r="K821" s="2" t="n"/>
      <c r="L821" s="5" t="n"/>
      <c r="M821" s="19">
        <f>資金模擬!$B$5*V820</f>
        <v/>
      </c>
      <c r="N821" s="2">
        <f>IF(Z820=1,"已停止",IF(T820&gt;=M821,"已下單","資金不足略過"))</f>
        <v/>
      </c>
      <c r="O821" s="19">
        <f>IF(N821="已下單",M821*資金模擬!$B$7,0)</f>
        <v/>
      </c>
      <c r="P821" s="4" t="n"/>
      <c r="Q821" s="13" t="n">
        <v>0</v>
      </c>
      <c r="R821" s="13">
        <f>R820+Q821</f>
        <v/>
      </c>
      <c r="S821" s="19">
        <f>S820+IF(N821="已下單",M821,0)</f>
        <v/>
      </c>
      <c r="T821" s="19">
        <f>R821-S821</f>
        <v/>
      </c>
      <c r="U821" s="2">
        <f>U820+IF(N821="已下單",1,0)</f>
        <v/>
      </c>
      <c r="V821" s="19">
        <f>IF(資金模擬!$B$9=2,MAX(R821,0),MAX(V820,FLOOR(MAX(R821,0),資金模擬!$B$6)))</f>
        <v/>
      </c>
      <c r="W821" s="13">
        <f>MAX(W820,R821)</f>
        <v/>
      </c>
      <c r="X821" s="4">
        <f>IF(W821&gt;0,R821/W821-1,-1)</f>
        <v/>
      </c>
      <c r="Y821" s="19">
        <f>IF(R821&gt;0,S821*資金模擬!$B$7/R821,0)</f>
        <v/>
      </c>
      <c r="Z821" s="2">
        <f>IF(OR(Z820=1,R821&lt;=資金模擬!$B$10),1,0)</f>
        <v/>
      </c>
    </row>
    <row r="822">
      <c r="A822" s="2" t="n">
        <v>820</v>
      </c>
      <c r="B822" s="7" t="n">
        <v>46288.95833333334</v>
      </c>
      <c r="C822" s="2" t="inlineStr">
        <is>
          <t>出場</t>
        </is>
      </c>
      <c r="D822" s="2" t="n">
        <v>387</v>
      </c>
      <c r="E822" s="2" t="inlineStr">
        <is>
          <t>FET_USDT_PERP</t>
        </is>
      </c>
      <c r="F822" s="2" t="inlineStr">
        <is>
          <t>做多</t>
        </is>
      </c>
      <c r="G822" s="20" t="n">
        <v>0.2109</v>
      </c>
      <c r="H822" s="20" t="n">
        <v>0.217227</v>
      </c>
      <c r="I822" s="20" t="n">
        <v>0.200355</v>
      </c>
      <c r="J822" s="20" t="n">
        <v>0.200355</v>
      </c>
      <c r="K822" s="2" t="inlineStr">
        <is>
          <t>止損</t>
        </is>
      </c>
      <c r="L822" s="5">
        <f>交易明細!K388</f>
        <v/>
      </c>
      <c r="M822" s="19">
        <f>M770</f>
        <v/>
      </c>
      <c r="N822" s="2">
        <f>N770</f>
        <v/>
      </c>
      <c r="O822" s="19">
        <f>O770</f>
        <v/>
      </c>
      <c r="P822" s="4">
        <f>交易明細!L388</f>
        <v/>
      </c>
      <c r="Q822" s="13">
        <f>IF(N822="已下單",O822*P822,0)</f>
        <v/>
      </c>
      <c r="R822" s="13">
        <f>R821+Q822</f>
        <v/>
      </c>
      <c r="S822" s="19">
        <f>S821-IF(N822="已下單",M822,0)</f>
        <v/>
      </c>
      <c r="T822" s="19">
        <f>R822-S822</f>
        <v/>
      </c>
      <c r="U822" s="2">
        <f>U821-IF(N822="已下單",1,0)</f>
        <v/>
      </c>
      <c r="V822" s="19">
        <f>IF(資金模擬!$B$9=2,MAX(R822,0),MAX(V821,FLOOR(MAX(R822,0),資金模擬!$B$6)))</f>
        <v/>
      </c>
      <c r="W822" s="13">
        <f>MAX(W821,R822)</f>
        <v/>
      </c>
      <c r="X822" s="4">
        <f>IF(W822&gt;0,R822/W822-1,-1)</f>
        <v/>
      </c>
      <c r="Y822" s="19">
        <f>IF(R822&gt;0,S822*資金模擬!$B$7/R822,0)</f>
        <v/>
      </c>
      <c r="Z822" s="2">
        <f>IF(OR(Z821=1,R822&lt;=資金模擬!$B$10),1,0)</f>
        <v/>
      </c>
    </row>
    <row r="823">
      <c r="A823" s="2" t="n">
        <v>821</v>
      </c>
      <c r="B823" s="7" t="n">
        <v>46288.95833333334</v>
      </c>
      <c r="C823" s="2" t="inlineStr">
        <is>
          <t>出場</t>
        </is>
      </c>
      <c r="D823" s="2" t="n">
        <v>392</v>
      </c>
      <c r="E823" s="2" t="inlineStr">
        <is>
          <t>HBAR_USDT_PERP</t>
        </is>
      </c>
      <c r="F823" s="2" t="inlineStr">
        <is>
          <t>做多</t>
        </is>
      </c>
      <c r="G823" s="20" t="n">
        <v>0.09859</v>
      </c>
      <c r="H823" s="20" t="n">
        <v>0.1015477</v>
      </c>
      <c r="I823" s="20" t="n">
        <v>0.09366049999999999</v>
      </c>
      <c r="J823" s="20" t="n">
        <v>0.09366049999999999</v>
      </c>
      <c r="K823" s="2" t="inlineStr">
        <is>
          <t>止損</t>
        </is>
      </c>
      <c r="L823" s="5">
        <f>交易明細!K393</f>
        <v/>
      </c>
      <c r="M823" s="19">
        <f>M779</f>
        <v/>
      </c>
      <c r="N823" s="2">
        <f>N779</f>
        <v/>
      </c>
      <c r="O823" s="19">
        <f>O779</f>
        <v/>
      </c>
      <c r="P823" s="4">
        <f>交易明細!L393</f>
        <v/>
      </c>
      <c r="Q823" s="13">
        <f>IF(N823="已下單",O823*P823,0)</f>
        <v/>
      </c>
      <c r="R823" s="13">
        <f>R822+Q823</f>
        <v/>
      </c>
      <c r="S823" s="19">
        <f>S822-IF(N823="已下單",M823,0)</f>
        <v/>
      </c>
      <c r="T823" s="19">
        <f>R823-S823</f>
        <v/>
      </c>
      <c r="U823" s="2">
        <f>U822-IF(N823="已下單",1,0)</f>
        <v/>
      </c>
      <c r="V823" s="19">
        <f>IF(資金模擬!$B$9=2,MAX(R823,0),MAX(V822,FLOOR(MAX(R823,0),資金模擬!$B$6)))</f>
        <v/>
      </c>
      <c r="W823" s="13">
        <f>MAX(W822,R823)</f>
        <v/>
      </c>
      <c r="X823" s="4">
        <f>IF(W823&gt;0,R823/W823-1,-1)</f>
        <v/>
      </c>
      <c r="Y823" s="19">
        <f>IF(R823&gt;0,S823*資金模擬!$B$7/R823,0)</f>
        <v/>
      </c>
      <c r="Z823" s="2">
        <f>IF(OR(Z822=1,R823&lt;=資金模擬!$B$10),1,0)</f>
        <v/>
      </c>
    </row>
    <row r="824">
      <c r="A824" s="2" t="n">
        <v>822</v>
      </c>
      <c r="B824" s="7" t="n">
        <v>46288.95833333334</v>
      </c>
      <c r="C824" s="2" t="inlineStr">
        <is>
          <t>出場</t>
        </is>
      </c>
      <c r="D824" s="2" t="n">
        <v>400</v>
      </c>
      <c r="E824" s="2" t="inlineStr">
        <is>
          <t>ENA_USDT_PERP</t>
        </is>
      </c>
      <c r="F824" s="2" t="inlineStr">
        <is>
          <t>做多</t>
        </is>
      </c>
      <c r="G824" s="20" t="n">
        <v>0.2161</v>
      </c>
      <c r="H824" s="20" t="n">
        <v>0.222583</v>
      </c>
      <c r="I824" s="20" t="n">
        <v>0.205295</v>
      </c>
      <c r="J824" s="20" t="n">
        <v>0.205295</v>
      </c>
      <c r="K824" s="2" t="inlineStr">
        <is>
          <t>止損</t>
        </is>
      </c>
      <c r="L824" s="5">
        <f>交易明細!K401</f>
        <v/>
      </c>
      <c r="M824" s="19">
        <f>M791</f>
        <v/>
      </c>
      <c r="N824" s="2">
        <f>N791</f>
        <v/>
      </c>
      <c r="O824" s="19">
        <f>O791</f>
        <v/>
      </c>
      <c r="P824" s="4">
        <f>交易明細!L401</f>
        <v/>
      </c>
      <c r="Q824" s="13">
        <f>IF(N824="已下單",O824*P824,0)</f>
        <v/>
      </c>
      <c r="R824" s="13">
        <f>R823+Q824</f>
        <v/>
      </c>
      <c r="S824" s="19">
        <f>S823-IF(N824="已下單",M824,0)</f>
        <v/>
      </c>
      <c r="T824" s="19">
        <f>R824-S824</f>
        <v/>
      </c>
      <c r="U824" s="2">
        <f>U823-IF(N824="已下單",1,0)</f>
        <v/>
      </c>
      <c r="V824" s="19">
        <f>IF(資金模擬!$B$9=2,MAX(R824,0),MAX(V823,FLOOR(MAX(R824,0),資金模擬!$B$6)))</f>
        <v/>
      </c>
      <c r="W824" s="13">
        <f>MAX(W823,R824)</f>
        <v/>
      </c>
      <c r="X824" s="4">
        <f>IF(W824&gt;0,R824/W824-1,-1)</f>
        <v/>
      </c>
      <c r="Y824" s="19">
        <f>IF(R824&gt;0,S824*資金模擬!$B$7/R824,0)</f>
        <v/>
      </c>
      <c r="Z824" s="2">
        <f>IF(OR(Z823=1,R824&lt;=資金模擬!$B$10),1,0)</f>
        <v/>
      </c>
    </row>
    <row r="825">
      <c r="A825" s="2" t="n">
        <v>823</v>
      </c>
      <c r="B825" s="7" t="n">
        <v>46288.95833333334</v>
      </c>
      <c r="C825" s="2" t="inlineStr">
        <is>
          <t>出場</t>
        </is>
      </c>
      <c r="D825" s="2" t="n">
        <v>409</v>
      </c>
      <c r="E825" s="2" t="inlineStr">
        <is>
          <t>PONS_USDT_PERP</t>
        </is>
      </c>
      <c r="F825" s="2" t="inlineStr">
        <is>
          <t>做多</t>
        </is>
      </c>
      <c r="G825" s="20" t="n">
        <v>0.7004</v>
      </c>
      <c r="H825" s="20" t="n">
        <v>0.7214120000000001</v>
      </c>
      <c r="I825" s="20" t="n">
        <v>0.66538</v>
      </c>
      <c r="J825" s="20" t="n">
        <v>0.66538</v>
      </c>
      <c r="K825" s="2" t="inlineStr">
        <is>
          <t>止損</t>
        </is>
      </c>
      <c r="L825" s="5">
        <f>交易明細!K410</f>
        <v/>
      </c>
      <c r="M825" s="19">
        <f>M814</f>
        <v/>
      </c>
      <c r="N825" s="2">
        <f>N814</f>
        <v/>
      </c>
      <c r="O825" s="19">
        <f>O814</f>
        <v/>
      </c>
      <c r="P825" s="4">
        <f>交易明細!L410</f>
        <v/>
      </c>
      <c r="Q825" s="13">
        <f>IF(N825="已下單",O825*P825,0)</f>
        <v/>
      </c>
      <c r="R825" s="13">
        <f>R824+Q825</f>
        <v/>
      </c>
      <c r="S825" s="19">
        <f>S824-IF(N825="已下單",M825,0)</f>
        <v/>
      </c>
      <c r="T825" s="19">
        <f>R825-S825</f>
        <v/>
      </c>
      <c r="U825" s="2">
        <f>U824-IF(N825="已下單",1,0)</f>
        <v/>
      </c>
      <c r="V825" s="19">
        <f>IF(資金模擬!$B$9=2,MAX(R825,0),MAX(V824,FLOOR(MAX(R825,0),資金模擬!$B$6)))</f>
        <v/>
      </c>
      <c r="W825" s="13">
        <f>MAX(W824,R825)</f>
        <v/>
      </c>
      <c r="X825" s="4">
        <f>IF(W825&gt;0,R825/W825-1,-1)</f>
        <v/>
      </c>
      <c r="Y825" s="19">
        <f>IF(R825&gt;0,S825*資金模擬!$B$7/R825,0)</f>
        <v/>
      </c>
      <c r="Z825" s="2">
        <f>IF(OR(Z824=1,R825&lt;=資金模擬!$B$10),1,0)</f>
        <v/>
      </c>
    </row>
    <row r="826">
      <c r="A826" s="2" t="n">
        <v>824</v>
      </c>
      <c r="B826" s="7" t="n">
        <v>46288.95833333334</v>
      </c>
      <c r="C826" s="2" t="inlineStr">
        <is>
          <t>出場</t>
        </is>
      </c>
      <c r="D826" s="2" t="n">
        <v>410</v>
      </c>
      <c r="E826" s="2" t="inlineStr">
        <is>
          <t>LSK_USDT_PERP</t>
        </is>
      </c>
      <c r="F826" s="2" t="inlineStr">
        <is>
          <t>做空</t>
        </is>
      </c>
      <c r="G826" s="20" t="n">
        <v>0.3145</v>
      </c>
      <c r="H826" s="20" t="n">
        <v>0.305065</v>
      </c>
      <c r="I826" s="20" t="n">
        <v>0.330225</v>
      </c>
      <c r="J826" s="20" t="n">
        <v>0.305065</v>
      </c>
      <c r="K826" s="2" t="inlineStr">
        <is>
          <t>止盈</t>
        </is>
      </c>
      <c r="L826" s="5">
        <f>交易明細!K411</f>
        <v/>
      </c>
      <c r="M826" s="19">
        <f>M815</f>
        <v/>
      </c>
      <c r="N826" s="2">
        <f>N815</f>
        <v/>
      </c>
      <c r="O826" s="19">
        <f>O815</f>
        <v/>
      </c>
      <c r="P826" s="4">
        <f>交易明細!L411</f>
        <v/>
      </c>
      <c r="Q826" s="13">
        <f>IF(N826="已下單",O826*P826,0)</f>
        <v/>
      </c>
      <c r="R826" s="13">
        <f>R825+Q826</f>
        <v/>
      </c>
      <c r="S826" s="19">
        <f>S825-IF(N826="已下單",M826,0)</f>
        <v/>
      </c>
      <c r="T826" s="19">
        <f>R826-S826</f>
        <v/>
      </c>
      <c r="U826" s="2">
        <f>U825-IF(N826="已下單",1,0)</f>
        <v/>
      </c>
      <c r="V826" s="19">
        <f>IF(資金模擬!$B$9=2,MAX(R826,0),MAX(V825,FLOOR(MAX(R826,0),資金模擬!$B$6)))</f>
        <v/>
      </c>
      <c r="W826" s="13">
        <f>MAX(W825,R826)</f>
        <v/>
      </c>
      <c r="X826" s="4">
        <f>IF(W826&gt;0,R826/W826-1,-1)</f>
        <v/>
      </c>
      <c r="Y826" s="19">
        <f>IF(R826&gt;0,S826*資金模擬!$B$7/R826,0)</f>
        <v/>
      </c>
      <c r="Z826" s="2">
        <f>IF(OR(Z825=1,R826&lt;=資金模擬!$B$10),1,0)</f>
        <v/>
      </c>
    </row>
    <row r="827">
      <c r="A827" s="2" t="n">
        <v>825</v>
      </c>
      <c r="B827" s="7" t="n">
        <v>46288.95833333334</v>
      </c>
      <c r="C827" s="2" t="inlineStr">
        <is>
          <t>出場</t>
        </is>
      </c>
      <c r="D827" s="2" t="n">
        <v>411</v>
      </c>
      <c r="E827" s="2" t="inlineStr">
        <is>
          <t>PEPE_USDT_PERP</t>
        </is>
      </c>
      <c r="F827" s="2" t="inlineStr">
        <is>
          <t>做空</t>
        </is>
      </c>
      <c r="G827" s="20" t="n">
        <v>4.7347e-06</v>
      </c>
      <c r="H827" s="20" t="n">
        <v>4.592659e-06</v>
      </c>
      <c r="I827" s="20" t="n">
        <v>4.971435e-06</v>
      </c>
      <c r="J827" s="20" t="n">
        <v>4.592659e-06</v>
      </c>
      <c r="K827" s="2" t="inlineStr">
        <is>
          <t>止盈</t>
        </is>
      </c>
      <c r="L827" s="5">
        <f>交易明細!K412</f>
        <v/>
      </c>
      <c r="M827" s="19">
        <f>M816</f>
        <v/>
      </c>
      <c r="N827" s="2">
        <f>N816</f>
        <v/>
      </c>
      <c r="O827" s="19">
        <f>O816</f>
        <v/>
      </c>
      <c r="P827" s="4">
        <f>交易明細!L412</f>
        <v/>
      </c>
      <c r="Q827" s="13">
        <f>IF(N827="已下單",O827*P827,0)</f>
        <v/>
      </c>
      <c r="R827" s="13">
        <f>R826+Q827</f>
        <v/>
      </c>
      <c r="S827" s="19">
        <f>S826-IF(N827="已下單",M827,0)</f>
        <v/>
      </c>
      <c r="T827" s="19">
        <f>R827-S827</f>
        <v/>
      </c>
      <c r="U827" s="2">
        <f>U826-IF(N827="已下單",1,0)</f>
        <v/>
      </c>
      <c r="V827" s="19">
        <f>IF(資金模擬!$B$9=2,MAX(R827,0),MAX(V826,FLOOR(MAX(R827,0),資金模擬!$B$6)))</f>
        <v/>
      </c>
      <c r="W827" s="13">
        <f>MAX(W826,R827)</f>
        <v/>
      </c>
      <c r="X827" s="4">
        <f>IF(W827&gt;0,R827/W827-1,-1)</f>
        <v/>
      </c>
      <c r="Y827" s="19">
        <f>IF(R827&gt;0,S827*資金模擬!$B$7/R827,0)</f>
        <v/>
      </c>
      <c r="Z827" s="2">
        <f>IF(OR(Z826=1,R827&lt;=資金模擬!$B$10),1,0)</f>
        <v/>
      </c>
    </row>
    <row r="828">
      <c r="A828" s="2" t="n">
        <v>826</v>
      </c>
      <c r="B828" s="7" t="n">
        <v>46288.95833333334</v>
      </c>
      <c r="C828" s="2" t="inlineStr">
        <is>
          <t>出場</t>
        </is>
      </c>
      <c r="D828" s="2" t="n">
        <v>412</v>
      </c>
      <c r="E828" s="2" t="inlineStr">
        <is>
          <t>PUMP_USDT_PERP</t>
        </is>
      </c>
      <c r="F828" s="2" t="inlineStr">
        <is>
          <t>做空</t>
        </is>
      </c>
      <c r="G828" s="20" t="n">
        <v>0.004206</v>
      </c>
      <c r="H828" s="20" t="n">
        <v>0.00407982</v>
      </c>
      <c r="I828" s="20" t="n">
        <v>0.0044163</v>
      </c>
      <c r="J828" s="20" t="n">
        <v>0.00407982</v>
      </c>
      <c r="K828" s="2" t="inlineStr">
        <is>
          <t>止盈</t>
        </is>
      </c>
      <c r="L828" s="5">
        <f>交易明細!K413</f>
        <v/>
      </c>
      <c r="M828" s="19">
        <f>M817</f>
        <v/>
      </c>
      <c r="N828" s="2">
        <f>N817</f>
        <v/>
      </c>
      <c r="O828" s="19">
        <f>O817</f>
        <v/>
      </c>
      <c r="P828" s="4">
        <f>交易明細!L413</f>
        <v/>
      </c>
      <c r="Q828" s="13">
        <f>IF(N828="已下單",O828*P828,0)</f>
        <v/>
      </c>
      <c r="R828" s="13">
        <f>R827+Q828</f>
        <v/>
      </c>
      <c r="S828" s="19">
        <f>S827-IF(N828="已下單",M828,0)</f>
        <v/>
      </c>
      <c r="T828" s="19">
        <f>R828-S828</f>
        <v/>
      </c>
      <c r="U828" s="2">
        <f>U827-IF(N828="已下單",1,0)</f>
        <v/>
      </c>
      <c r="V828" s="19">
        <f>IF(資金模擬!$B$9=2,MAX(R828,0),MAX(V827,FLOOR(MAX(R828,0),資金模擬!$B$6)))</f>
        <v/>
      </c>
      <c r="W828" s="13">
        <f>MAX(W827,R828)</f>
        <v/>
      </c>
      <c r="X828" s="4">
        <f>IF(W828&gt;0,R828/W828-1,-1)</f>
        <v/>
      </c>
      <c r="Y828" s="19">
        <f>IF(R828&gt;0,S828*資金模擬!$B$7/R828,0)</f>
        <v/>
      </c>
      <c r="Z828" s="2">
        <f>IF(OR(Z827=1,R828&lt;=資金模擬!$B$10),1,0)</f>
        <v/>
      </c>
    </row>
    <row r="829">
      <c r="A829" s="2" t="n">
        <v>827</v>
      </c>
      <c r="B829" s="7" t="n">
        <v>46288.95833333334</v>
      </c>
      <c r="C829" s="2" t="inlineStr">
        <is>
          <t>出場</t>
        </is>
      </c>
      <c r="D829" s="2" t="n">
        <v>413</v>
      </c>
      <c r="E829" s="2" t="inlineStr">
        <is>
          <t>BCH_USDT_PERP</t>
        </is>
      </c>
      <c r="F829" s="2" t="inlineStr">
        <is>
          <t>做多</t>
        </is>
      </c>
      <c r="G829" s="20" t="n">
        <v>358.92</v>
      </c>
      <c r="H829" s="20" t="n">
        <v>369.6876</v>
      </c>
      <c r="I829" s="20" t="n">
        <v>340.974</v>
      </c>
      <c r="J829" s="20" t="n">
        <v>340.974</v>
      </c>
      <c r="K829" s="2" t="inlineStr">
        <is>
          <t>止損</t>
        </is>
      </c>
      <c r="L829" s="5">
        <f>交易明細!K414</f>
        <v/>
      </c>
      <c r="M829" s="19">
        <f>M818</f>
        <v/>
      </c>
      <c r="N829" s="2">
        <f>N818</f>
        <v/>
      </c>
      <c r="O829" s="19">
        <f>O818</f>
        <v/>
      </c>
      <c r="P829" s="4">
        <f>交易明細!L414</f>
        <v/>
      </c>
      <c r="Q829" s="13">
        <f>IF(N829="已下單",O829*P829,0)</f>
        <v/>
      </c>
      <c r="R829" s="13">
        <f>R828+Q829</f>
        <v/>
      </c>
      <c r="S829" s="19">
        <f>S828-IF(N829="已下單",M829,0)</f>
        <v/>
      </c>
      <c r="T829" s="19">
        <f>R829-S829</f>
        <v/>
      </c>
      <c r="U829" s="2">
        <f>U828-IF(N829="已下單",1,0)</f>
        <v/>
      </c>
      <c r="V829" s="19">
        <f>IF(資金模擬!$B$9=2,MAX(R829,0),MAX(V828,FLOOR(MAX(R829,0),資金模擬!$B$6)))</f>
        <v/>
      </c>
      <c r="W829" s="13">
        <f>MAX(W828,R829)</f>
        <v/>
      </c>
      <c r="X829" s="4">
        <f>IF(W829&gt;0,R829/W829-1,-1)</f>
        <v/>
      </c>
      <c r="Y829" s="19">
        <f>IF(R829&gt;0,S829*資金模擬!$B$7/R829,0)</f>
        <v/>
      </c>
      <c r="Z829" s="2">
        <f>IF(OR(Z828=1,R829&lt;=資金模擬!$B$10),1,0)</f>
        <v/>
      </c>
    </row>
    <row r="830">
      <c r="A830" s="2" t="n">
        <v>828</v>
      </c>
      <c r="B830" s="7" t="n">
        <v>46288.95833333334</v>
      </c>
      <c r="C830" s="2" t="inlineStr">
        <is>
          <t>出場</t>
        </is>
      </c>
      <c r="D830" s="2" t="n">
        <v>414</v>
      </c>
      <c r="E830" s="2" t="inlineStr">
        <is>
          <t>NIL_USDT_PERP</t>
        </is>
      </c>
      <c r="F830" s="2" t="inlineStr">
        <is>
          <t>做空</t>
        </is>
      </c>
      <c r="G830" s="20" t="n">
        <v>0.0902</v>
      </c>
      <c r="H830" s="20" t="n">
        <v>0.087494</v>
      </c>
      <c r="I830" s="20" t="n">
        <v>0.09471</v>
      </c>
      <c r="J830" s="20" t="n">
        <v>0.087494</v>
      </c>
      <c r="K830" s="2" t="inlineStr">
        <is>
          <t>止盈</t>
        </is>
      </c>
      <c r="L830" s="5">
        <f>交易明細!K415</f>
        <v/>
      </c>
      <c r="M830" s="19">
        <f>M820</f>
        <v/>
      </c>
      <c r="N830" s="2">
        <f>N820</f>
        <v/>
      </c>
      <c r="O830" s="19">
        <f>O820</f>
        <v/>
      </c>
      <c r="P830" s="4">
        <f>交易明細!L415</f>
        <v/>
      </c>
      <c r="Q830" s="13">
        <f>IF(N830="已下單",O830*P830,0)</f>
        <v/>
      </c>
      <c r="R830" s="13">
        <f>R829+Q830</f>
        <v/>
      </c>
      <c r="S830" s="19">
        <f>S829-IF(N830="已下單",M830,0)</f>
        <v/>
      </c>
      <c r="T830" s="19">
        <f>R830-S830</f>
        <v/>
      </c>
      <c r="U830" s="2">
        <f>U829-IF(N830="已下單",1,0)</f>
        <v/>
      </c>
      <c r="V830" s="19">
        <f>IF(資金模擬!$B$9=2,MAX(R830,0),MAX(V829,FLOOR(MAX(R830,0),資金模擬!$B$6)))</f>
        <v/>
      </c>
      <c r="W830" s="13">
        <f>MAX(W829,R830)</f>
        <v/>
      </c>
      <c r="X830" s="4">
        <f>IF(W830&gt;0,R830/W830-1,-1)</f>
        <v/>
      </c>
      <c r="Y830" s="19">
        <f>IF(R830&gt;0,S830*資金模擬!$B$7/R830,0)</f>
        <v/>
      </c>
      <c r="Z830" s="2">
        <f>IF(OR(Z829=1,R830&lt;=資金模擬!$B$10),1,0)</f>
        <v/>
      </c>
    </row>
    <row r="831">
      <c r="A831" s="2" t="n">
        <v>829</v>
      </c>
      <c r="B831" s="7" t="n">
        <v>46288.95833333334</v>
      </c>
      <c r="C831" s="2" t="inlineStr">
        <is>
          <t>出場</t>
        </is>
      </c>
      <c r="D831" s="2" t="n">
        <v>415</v>
      </c>
      <c r="E831" s="2" t="inlineStr">
        <is>
          <t>ZAMA_USDT_PERP</t>
        </is>
      </c>
      <c r="F831" s="2" t="inlineStr">
        <is>
          <t>做空</t>
        </is>
      </c>
      <c r="G831" s="20" t="n">
        <v>0.09616</v>
      </c>
      <c r="H831" s="20" t="n">
        <v>0.09327519999999999</v>
      </c>
      <c r="I831" s="20" t="n">
        <v>0.100968</v>
      </c>
      <c r="J831" s="20" t="n">
        <v>0.09327519999999999</v>
      </c>
      <c r="K831" s="2" t="inlineStr">
        <is>
          <t>止盈</t>
        </is>
      </c>
      <c r="L831" s="5">
        <f>交易明細!K416</f>
        <v/>
      </c>
      <c r="M831" s="19">
        <f>M821</f>
        <v/>
      </c>
      <c r="N831" s="2">
        <f>N821</f>
        <v/>
      </c>
      <c r="O831" s="19">
        <f>O821</f>
        <v/>
      </c>
      <c r="P831" s="4">
        <f>交易明細!L416</f>
        <v/>
      </c>
      <c r="Q831" s="13">
        <f>IF(N831="已下單",O831*P831,0)</f>
        <v/>
      </c>
      <c r="R831" s="13">
        <f>R830+Q831</f>
        <v/>
      </c>
      <c r="S831" s="19">
        <f>S830-IF(N831="已下單",M831,0)</f>
        <v/>
      </c>
      <c r="T831" s="19">
        <f>R831-S831</f>
        <v/>
      </c>
      <c r="U831" s="2">
        <f>U830-IF(N831="已下單",1,0)</f>
        <v/>
      </c>
      <c r="V831" s="19">
        <f>IF(資金模擬!$B$9=2,MAX(R831,0),MAX(V830,FLOOR(MAX(R831,0),資金模擬!$B$6)))</f>
        <v/>
      </c>
      <c r="W831" s="13">
        <f>MAX(W830,R831)</f>
        <v/>
      </c>
      <c r="X831" s="4">
        <f>IF(W831&gt;0,R831/W831-1,-1)</f>
        <v/>
      </c>
      <c r="Y831" s="19">
        <f>IF(R831&gt;0,S831*資金模擬!$B$7/R831,0)</f>
        <v/>
      </c>
      <c r="Z831" s="2">
        <f>IF(OR(Z830=1,R831&lt;=資金模擬!$B$10),1,0)</f>
        <v/>
      </c>
    </row>
    <row r="832">
      <c r="A832" s="2" t="n">
        <v>830</v>
      </c>
      <c r="B832" s="7" t="n">
        <v>46288.95833333334</v>
      </c>
      <c r="C832" s="2" t="inlineStr">
        <is>
          <t>進場</t>
        </is>
      </c>
      <c r="D832" s="2" t="n">
        <v>416</v>
      </c>
      <c r="E832" s="2" t="inlineStr">
        <is>
          <t>ADA_USDT_PERP</t>
        </is>
      </c>
      <c r="F832" s="2" t="inlineStr">
        <is>
          <t>做空</t>
        </is>
      </c>
      <c r="G832" s="20" t="n">
        <v>0.24</v>
      </c>
      <c r="H832" s="20" t="n">
        <v>0.2328</v>
      </c>
      <c r="I832" s="20" t="n">
        <v>0.252</v>
      </c>
      <c r="J832" s="20" t="n"/>
      <c r="K832" s="2" t="n"/>
      <c r="L832" s="5" t="n"/>
      <c r="M832" s="19">
        <f>資金模擬!$B$5*V831</f>
        <v/>
      </c>
      <c r="N832" s="2">
        <f>IF(Z831=1,"已停止",IF(T831&gt;=M832,"已下單","資金不足略過"))</f>
        <v/>
      </c>
      <c r="O832" s="19">
        <f>IF(N832="已下單",M832*資金模擬!$B$7,0)</f>
        <v/>
      </c>
      <c r="P832" s="4" t="n"/>
      <c r="Q832" s="13" t="n">
        <v>0</v>
      </c>
      <c r="R832" s="13">
        <f>R831+Q832</f>
        <v/>
      </c>
      <c r="S832" s="19">
        <f>S831+IF(N832="已下單",M832,0)</f>
        <v/>
      </c>
      <c r="T832" s="19">
        <f>R832-S832</f>
        <v/>
      </c>
      <c r="U832" s="2">
        <f>U831+IF(N832="已下單",1,0)</f>
        <v/>
      </c>
      <c r="V832" s="19">
        <f>IF(資金模擬!$B$9=2,MAX(R832,0),MAX(V831,FLOOR(MAX(R832,0),資金模擬!$B$6)))</f>
        <v/>
      </c>
      <c r="W832" s="13">
        <f>MAX(W831,R832)</f>
        <v/>
      </c>
      <c r="X832" s="4">
        <f>IF(W832&gt;0,R832/W832-1,-1)</f>
        <v/>
      </c>
      <c r="Y832" s="19">
        <f>IF(R832&gt;0,S832*資金模擬!$B$7/R832,0)</f>
        <v/>
      </c>
      <c r="Z832" s="2">
        <f>IF(OR(Z831=1,R832&lt;=資金模擬!$B$10),1,0)</f>
        <v/>
      </c>
    </row>
    <row r="833">
      <c r="A833" s="2" t="n">
        <v>831</v>
      </c>
      <c r="B833" s="7" t="n">
        <v>46288.95833333334</v>
      </c>
      <c r="C833" s="2" t="inlineStr">
        <is>
          <t>進場</t>
        </is>
      </c>
      <c r="D833" s="2" t="n">
        <v>417</v>
      </c>
      <c r="E833" s="2" t="inlineStr">
        <is>
          <t>AKE_USDT_PERP</t>
        </is>
      </c>
      <c r="F833" s="2" t="inlineStr">
        <is>
          <t>做空</t>
        </is>
      </c>
      <c r="G833" s="20" t="n">
        <v>0.0471572</v>
      </c>
      <c r="H833" s="20" t="n">
        <v>0.045742484</v>
      </c>
      <c r="I833" s="20" t="n">
        <v>0.04951506000000001</v>
      </c>
      <c r="J833" s="20" t="n"/>
      <c r="K833" s="2" t="n"/>
      <c r="L833" s="5" t="n"/>
      <c r="M833" s="19">
        <f>資金模擬!$B$5*V832</f>
        <v/>
      </c>
      <c r="N833" s="2">
        <f>IF(Z832=1,"已停止",IF(T832&gt;=M833,"已下單","資金不足略過"))</f>
        <v/>
      </c>
      <c r="O833" s="19">
        <f>IF(N833="已下單",M833*資金模擬!$B$7,0)</f>
        <v/>
      </c>
      <c r="P833" s="4" t="n"/>
      <c r="Q833" s="13" t="n">
        <v>0</v>
      </c>
      <c r="R833" s="13">
        <f>R832+Q833</f>
        <v/>
      </c>
      <c r="S833" s="19">
        <f>S832+IF(N833="已下單",M833,0)</f>
        <v/>
      </c>
      <c r="T833" s="19">
        <f>R833-S833</f>
        <v/>
      </c>
      <c r="U833" s="2">
        <f>U832+IF(N833="已下單",1,0)</f>
        <v/>
      </c>
      <c r="V833" s="19">
        <f>IF(資金模擬!$B$9=2,MAX(R833,0),MAX(V832,FLOOR(MAX(R833,0),資金模擬!$B$6)))</f>
        <v/>
      </c>
      <c r="W833" s="13">
        <f>MAX(W832,R833)</f>
        <v/>
      </c>
      <c r="X833" s="4">
        <f>IF(W833&gt;0,R833/W833-1,-1)</f>
        <v/>
      </c>
      <c r="Y833" s="19">
        <f>IF(R833&gt;0,S833*資金模擬!$B$7/R833,0)</f>
        <v/>
      </c>
      <c r="Z833" s="2">
        <f>IF(OR(Z832=1,R833&lt;=資金模擬!$B$10),1,0)</f>
        <v/>
      </c>
    </row>
    <row r="834">
      <c r="A834" s="2" t="n">
        <v>832</v>
      </c>
      <c r="B834" s="7" t="n">
        <v>46288.95833333334</v>
      </c>
      <c r="C834" s="2" t="inlineStr">
        <is>
          <t>進場</t>
        </is>
      </c>
      <c r="D834" s="2" t="n">
        <v>418</v>
      </c>
      <c r="E834" s="2" t="inlineStr">
        <is>
          <t>AVAX_USDT_PERP</t>
        </is>
      </c>
      <c r="F834" s="2" t="inlineStr">
        <is>
          <t>做空</t>
        </is>
      </c>
      <c r="G834" s="20" t="n">
        <v>10.444</v>
      </c>
      <c r="H834" s="20" t="n">
        <v>10.13068</v>
      </c>
      <c r="I834" s="20" t="n">
        <v>10.9662</v>
      </c>
      <c r="J834" s="20" t="n"/>
      <c r="K834" s="2" t="n"/>
      <c r="L834" s="5" t="n"/>
      <c r="M834" s="19">
        <f>資金模擬!$B$5*V833</f>
        <v/>
      </c>
      <c r="N834" s="2">
        <f>IF(Z833=1,"已停止",IF(T833&gt;=M834,"已下單","資金不足略過"))</f>
        <v/>
      </c>
      <c r="O834" s="19">
        <f>IF(N834="已下單",M834*資金模擬!$B$7,0)</f>
        <v/>
      </c>
      <c r="P834" s="4" t="n"/>
      <c r="Q834" s="13" t="n">
        <v>0</v>
      </c>
      <c r="R834" s="13">
        <f>R833+Q834</f>
        <v/>
      </c>
      <c r="S834" s="19">
        <f>S833+IF(N834="已下單",M834,0)</f>
        <v/>
      </c>
      <c r="T834" s="19">
        <f>R834-S834</f>
        <v/>
      </c>
      <c r="U834" s="2">
        <f>U833+IF(N834="已下單",1,0)</f>
        <v/>
      </c>
      <c r="V834" s="19">
        <f>IF(資金模擬!$B$9=2,MAX(R834,0),MAX(V833,FLOOR(MAX(R834,0),資金模擬!$B$6)))</f>
        <v/>
      </c>
      <c r="W834" s="13">
        <f>MAX(W833,R834)</f>
        <v/>
      </c>
      <c r="X834" s="4">
        <f>IF(W834&gt;0,R834/W834-1,-1)</f>
        <v/>
      </c>
      <c r="Y834" s="19">
        <f>IF(R834&gt;0,S834*資金模擬!$B$7/R834,0)</f>
        <v/>
      </c>
      <c r="Z834" s="2">
        <f>IF(OR(Z833=1,R834&lt;=資金模擬!$B$10),1,0)</f>
        <v/>
      </c>
    </row>
    <row r="835">
      <c r="A835" s="2" t="n">
        <v>833</v>
      </c>
      <c r="B835" s="7" t="n">
        <v>46288.95833333334</v>
      </c>
      <c r="C835" s="2" t="inlineStr">
        <is>
          <t>進場</t>
        </is>
      </c>
      <c r="D835" s="2" t="n">
        <v>419</v>
      </c>
      <c r="E835" s="2" t="inlineStr">
        <is>
          <t>BR_USDT_PERP</t>
        </is>
      </c>
      <c r="F835" s="2" t="inlineStr">
        <is>
          <t>做空</t>
        </is>
      </c>
      <c r="G835" s="20" t="n">
        <v>1.06596</v>
      </c>
      <c r="H835" s="20" t="n">
        <v>1.0339812</v>
      </c>
      <c r="I835" s="20" t="n">
        <v>1.119258</v>
      </c>
      <c r="J835" s="20" t="n"/>
      <c r="K835" s="2" t="n"/>
      <c r="L835" s="5" t="n"/>
      <c r="M835" s="19">
        <f>資金模擬!$B$5*V834</f>
        <v/>
      </c>
      <c r="N835" s="2">
        <f>IF(Z834=1,"已停止",IF(T834&gt;=M835,"已下單","資金不足略過"))</f>
        <v/>
      </c>
      <c r="O835" s="19">
        <f>IF(N835="已下單",M835*資金模擬!$B$7,0)</f>
        <v/>
      </c>
      <c r="P835" s="4" t="n"/>
      <c r="Q835" s="13" t="n">
        <v>0</v>
      </c>
      <c r="R835" s="13">
        <f>R834+Q835</f>
        <v/>
      </c>
      <c r="S835" s="19">
        <f>S834+IF(N835="已下單",M835,0)</f>
        <v/>
      </c>
      <c r="T835" s="19">
        <f>R835-S835</f>
        <v/>
      </c>
      <c r="U835" s="2">
        <f>U834+IF(N835="已下單",1,0)</f>
        <v/>
      </c>
      <c r="V835" s="19">
        <f>IF(資金模擬!$B$9=2,MAX(R835,0),MAX(V834,FLOOR(MAX(R835,0),資金模擬!$B$6)))</f>
        <v/>
      </c>
      <c r="W835" s="13">
        <f>MAX(W834,R835)</f>
        <v/>
      </c>
      <c r="X835" s="4">
        <f>IF(W835&gt;0,R835/W835-1,-1)</f>
        <v/>
      </c>
      <c r="Y835" s="19">
        <f>IF(R835&gt;0,S835*資金模擬!$B$7/R835,0)</f>
        <v/>
      </c>
      <c r="Z835" s="2">
        <f>IF(OR(Z834=1,R835&lt;=資金模擬!$B$10),1,0)</f>
        <v/>
      </c>
    </row>
    <row r="836">
      <c r="A836" s="2" t="n">
        <v>834</v>
      </c>
      <c r="B836" s="7" t="n">
        <v>46288.95833333334</v>
      </c>
      <c r="C836" s="2" t="inlineStr">
        <is>
          <t>進場</t>
        </is>
      </c>
      <c r="D836" s="2" t="n">
        <v>420</v>
      </c>
      <c r="E836" s="2" t="inlineStr">
        <is>
          <t>DOGE_USDT_PERP</t>
        </is>
      </c>
      <c r="F836" s="2" t="inlineStr">
        <is>
          <t>做空</t>
        </is>
      </c>
      <c r="G836" s="20" t="n">
        <v>0.09482</v>
      </c>
      <c r="H836" s="20" t="n">
        <v>0.0919754</v>
      </c>
      <c r="I836" s="20" t="n">
        <v>0.09956100000000001</v>
      </c>
      <c r="J836" s="20" t="n"/>
      <c r="K836" s="2" t="n"/>
      <c r="L836" s="5" t="n"/>
      <c r="M836" s="19">
        <f>資金模擬!$B$5*V835</f>
        <v/>
      </c>
      <c r="N836" s="2">
        <f>IF(Z835=1,"已停止",IF(T835&gt;=M836,"已下單","資金不足略過"))</f>
        <v/>
      </c>
      <c r="O836" s="19">
        <f>IF(N836="已下單",M836*資金模擬!$B$7,0)</f>
        <v/>
      </c>
      <c r="P836" s="4" t="n"/>
      <c r="Q836" s="13" t="n">
        <v>0</v>
      </c>
      <c r="R836" s="13">
        <f>R835+Q836</f>
        <v/>
      </c>
      <c r="S836" s="19">
        <f>S835+IF(N836="已下單",M836,0)</f>
        <v/>
      </c>
      <c r="T836" s="19">
        <f>R836-S836</f>
        <v/>
      </c>
      <c r="U836" s="2">
        <f>U835+IF(N836="已下單",1,0)</f>
        <v/>
      </c>
      <c r="V836" s="19">
        <f>IF(資金模擬!$B$9=2,MAX(R836,0),MAX(V835,FLOOR(MAX(R836,0),資金模擬!$B$6)))</f>
        <v/>
      </c>
      <c r="W836" s="13">
        <f>MAX(W835,R836)</f>
        <v/>
      </c>
      <c r="X836" s="4">
        <f>IF(W836&gt;0,R836/W836-1,-1)</f>
        <v/>
      </c>
      <c r="Y836" s="19">
        <f>IF(R836&gt;0,S836*資金模擬!$B$7/R836,0)</f>
        <v/>
      </c>
      <c r="Z836" s="2">
        <f>IF(OR(Z835=1,R836&lt;=資金模擬!$B$10),1,0)</f>
        <v/>
      </c>
    </row>
    <row r="837">
      <c r="A837" s="2" t="n">
        <v>835</v>
      </c>
      <c r="B837" s="7" t="n">
        <v>46288.95833333334</v>
      </c>
      <c r="C837" s="2" t="inlineStr">
        <is>
          <t>進場</t>
        </is>
      </c>
      <c r="D837" s="2" t="n">
        <v>421</v>
      </c>
      <c r="E837" s="2" t="inlineStr">
        <is>
          <t>LTC_USDT_PERP</t>
        </is>
      </c>
      <c r="F837" s="2" t="inlineStr">
        <is>
          <t>做空</t>
        </is>
      </c>
      <c r="G837" s="20" t="n">
        <v>60.67</v>
      </c>
      <c r="H837" s="20" t="n">
        <v>58.8499</v>
      </c>
      <c r="I837" s="20" t="n">
        <v>63.70350000000001</v>
      </c>
      <c r="J837" s="20" t="n"/>
      <c r="K837" s="2" t="n"/>
      <c r="L837" s="5" t="n"/>
      <c r="M837" s="19">
        <f>資金模擬!$B$5*V836</f>
        <v/>
      </c>
      <c r="N837" s="2">
        <f>IF(Z836=1,"已停止",IF(T836&gt;=M837,"已下單","資金不足略過"))</f>
        <v/>
      </c>
      <c r="O837" s="19">
        <f>IF(N837="已下單",M837*資金模擬!$B$7,0)</f>
        <v/>
      </c>
      <c r="P837" s="4" t="n"/>
      <c r="Q837" s="13" t="n">
        <v>0</v>
      </c>
      <c r="R837" s="13">
        <f>R836+Q837</f>
        <v/>
      </c>
      <c r="S837" s="19">
        <f>S836+IF(N837="已下單",M837,0)</f>
        <v/>
      </c>
      <c r="T837" s="19">
        <f>R837-S837</f>
        <v/>
      </c>
      <c r="U837" s="2">
        <f>U836+IF(N837="已下單",1,0)</f>
        <v/>
      </c>
      <c r="V837" s="19">
        <f>IF(資金模擬!$B$9=2,MAX(R837,0),MAX(V836,FLOOR(MAX(R837,0),資金模擬!$B$6)))</f>
        <v/>
      </c>
      <c r="W837" s="13">
        <f>MAX(W836,R837)</f>
        <v/>
      </c>
      <c r="X837" s="4">
        <f>IF(W837&gt;0,R837/W837-1,-1)</f>
        <v/>
      </c>
      <c r="Y837" s="19">
        <f>IF(R837&gt;0,S837*資金模擬!$B$7/R837,0)</f>
        <v/>
      </c>
      <c r="Z837" s="2">
        <f>IF(OR(Z836=1,R837&lt;=資金模擬!$B$10),1,0)</f>
        <v/>
      </c>
    </row>
    <row r="838">
      <c r="A838" s="2" t="n">
        <v>836</v>
      </c>
      <c r="B838" s="7" t="n">
        <v>46288.95833333334</v>
      </c>
      <c r="C838" s="2" t="inlineStr">
        <is>
          <t>進場</t>
        </is>
      </c>
      <c r="D838" s="2" t="n">
        <v>422</v>
      </c>
      <c r="E838" s="2" t="inlineStr">
        <is>
          <t>PENGU_USDT_PERP</t>
        </is>
      </c>
      <c r="F838" s="2" t="inlineStr">
        <is>
          <t>做空</t>
        </is>
      </c>
      <c r="G838" s="20" t="n">
        <v>0.009868999999999999</v>
      </c>
      <c r="H838" s="20" t="n">
        <v>0.009572929999999999</v>
      </c>
      <c r="I838" s="20" t="n">
        <v>0.01036245</v>
      </c>
      <c r="J838" s="20" t="n"/>
      <c r="K838" s="2" t="n"/>
      <c r="L838" s="5" t="n"/>
      <c r="M838" s="19">
        <f>資金模擬!$B$5*V837</f>
        <v/>
      </c>
      <c r="N838" s="2">
        <f>IF(Z837=1,"已停止",IF(T837&gt;=M838,"已下單","資金不足略過"))</f>
        <v/>
      </c>
      <c r="O838" s="19">
        <f>IF(N838="已下單",M838*資金模擬!$B$7,0)</f>
        <v/>
      </c>
      <c r="P838" s="4" t="n"/>
      <c r="Q838" s="13" t="n">
        <v>0</v>
      </c>
      <c r="R838" s="13">
        <f>R837+Q838</f>
        <v/>
      </c>
      <c r="S838" s="19">
        <f>S837+IF(N838="已下單",M838,0)</f>
        <v/>
      </c>
      <c r="T838" s="19">
        <f>R838-S838</f>
        <v/>
      </c>
      <c r="U838" s="2">
        <f>U837+IF(N838="已下單",1,0)</f>
        <v/>
      </c>
      <c r="V838" s="19">
        <f>IF(資金模擬!$B$9=2,MAX(R838,0),MAX(V837,FLOOR(MAX(R838,0),資金模擬!$B$6)))</f>
        <v/>
      </c>
      <c r="W838" s="13">
        <f>MAX(W837,R838)</f>
        <v/>
      </c>
      <c r="X838" s="4">
        <f>IF(W838&gt;0,R838/W838-1,-1)</f>
        <v/>
      </c>
      <c r="Y838" s="19">
        <f>IF(R838&gt;0,S838*資金模擬!$B$7/R838,0)</f>
        <v/>
      </c>
      <c r="Z838" s="2">
        <f>IF(OR(Z837=1,R838&lt;=資金模擬!$B$10),1,0)</f>
        <v/>
      </c>
    </row>
    <row r="839">
      <c r="A839" s="2" t="n">
        <v>837</v>
      </c>
      <c r="B839" s="7" t="n">
        <v>46288.95833333334</v>
      </c>
      <c r="C839" s="2" t="inlineStr">
        <is>
          <t>進場</t>
        </is>
      </c>
      <c r="D839" s="2" t="n">
        <v>423</v>
      </c>
      <c r="E839" s="2" t="inlineStr">
        <is>
          <t>PYTH_USDT_PERP</t>
        </is>
      </c>
      <c r="F839" s="2" t="inlineStr">
        <is>
          <t>做空</t>
        </is>
      </c>
      <c r="G839" s="20" t="n">
        <v>0.06324</v>
      </c>
      <c r="H839" s="20" t="n">
        <v>0.0613428</v>
      </c>
      <c r="I839" s="20" t="n">
        <v>0.066402</v>
      </c>
      <c r="J839" s="20" t="n"/>
      <c r="K839" s="2" t="n"/>
      <c r="L839" s="5" t="n"/>
      <c r="M839" s="19">
        <f>資金模擬!$B$5*V838</f>
        <v/>
      </c>
      <c r="N839" s="2">
        <f>IF(Z838=1,"已停止",IF(T838&gt;=M839,"已下單","資金不足略過"))</f>
        <v/>
      </c>
      <c r="O839" s="19">
        <f>IF(N839="已下單",M839*資金模擬!$B$7,0)</f>
        <v/>
      </c>
      <c r="P839" s="4" t="n"/>
      <c r="Q839" s="13" t="n">
        <v>0</v>
      </c>
      <c r="R839" s="13">
        <f>R838+Q839</f>
        <v/>
      </c>
      <c r="S839" s="19">
        <f>S838+IF(N839="已下單",M839,0)</f>
        <v/>
      </c>
      <c r="T839" s="19">
        <f>R839-S839</f>
        <v/>
      </c>
      <c r="U839" s="2">
        <f>U838+IF(N839="已下單",1,0)</f>
        <v/>
      </c>
      <c r="V839" s="19">
        <f>IF(資金模擬!$B$9=2,MAX(R839,0),MAX(V838,FLOOR(MAX(R839,0),資金模擬!$B$6)))</f>
        <v/>
      </c>
      <c r="W839" s="13">
        <f>MAX(W838,R839)</f>
        <v/>
      </c>
      <c r="X839" s="4">
        <f>IF(W839&gt;0,R839/W839-1,-1)</f>
        <v/>
      </c>
      <c r="Y839" s="19">
        <f>IF(R839&gt;0,S839*資金模擬!$B$7/R839,0)</f>
        <v/>
      </c>
      <c r="Z839" s="2">
        <f>IF(OR(Z838=1,R839&lt;=資金模擬!$B$10),1,0)</f>
        <v/>
      </c>
    </row>
    <row r="840">
      <c r="A840" s="2" t="n">
        <v>838</v>
      </c>
      <c r="B840" s="7" t="n">
        <v>46288.95833333334</v>
      </c>
      <c r="C840" s="2" t="inlineStr">
        <is>
          <t>進場</t>
        </is>
      </c>
      <c r="D840" s="2" t="n">
        <v>424</v>
      </c>
      <c r="E840" s="2" t="inlineStr">
        <is>
          <t>SUI_USDT_PERP</t>
        </is>
      </c>
      <c r="F840" s="2" t="inlineStr">
        <is>
          <t>做空</t>
        </is>
      </c>
      <c r="G840" s="20" t="n">
        <v>0.9802</v>
      </c>
      <c r="H840" s="20" t="n">
        <v>0.9507939999999999</v>
      </c>
      <c r="I840" s="20" t="n">
        <v>1.02921</v>
      </c>
      <c r="J840" s="20" t="n"/>
      <c r="K840" s="2" t="n"/>
      <c r="L840" s="5" t="n"/>
      <c r="M840" s="19">
        <f>資金模擬!$B$5*V839</f>
        <v/>
      </c>
      <c r="N840" s="2">
        <f>IF(Z839=1,"已停止",IF(T839&gt;=M840,"已下單","資金不足略過"))</f>
        <v/>
      </c>
      <c r="O840" s="19">
        <f>IF(N840="已下單",M840*資金模擬!$B$7,0)</f>
        <v/>
      </c>
      <c r="P840" s="4" t="n"/>
      <c r="Q840" s="13" t="n">
        <v>0</v>
      </c>
      <c r="R840" s="13">
        <f>R839+Q840</f>
        <v/>
      </c>
      <c r="S840" s="19">
        <f>S839+IF(N840="已下單",M840,0)</f>
        <v/>
      </c>
      <c r="T840" s="19">
        <f>R840-S840</f>
        <v/>
      </c>
      <c r="U840" s="2">
        <f>U839+IF(N840="已下單",1,0)</f>
        <v/>
      </c>
      <c r="V840" s="19">
        <f>IF(資金模擬!$B$9=2,MAX(R840,0),MAX(V839,FLOOR(MAX(R840,0),資金模擬!$B$6)))</f>
        <v/>
      </c>
      <c r="W840" s="13">
        <f>MAX(W839,R840)</f>
        <v/>
      </c>
      <c r="X840" s="4">
        <f>IF(W840&gt;0,R840/W840-1,-1)</f>
        <v/>
      </c>
      <c r="Y840" s="19">
        <f>IF(R840&gt;0,S840*資金模擬!$B$7/R840,0)</f>
        <v/>
      </c>
      <c r="Z840" s="2">
        <f>IF(OR(Z839=1,R840&lt;=資金模擬!$B$10),1,0)</f>
        <v/>
      </c>
    </row>
    <row r="841">
      <c r="A841" s="2" t="n">
        <v>839</v>
      </c>
      <c r="B841" s="7" t="n">
        <v>46288.95833333334</v>
      </c>
      <c r="C841" s="2" t="inlineStr">
        <is>
          <t>進場</t>
        </is>
      </c>
      <c r="D841" s="2" t="n">
        <v>425</v>
      </c>
      <c r="E841" s="2" t="inlineStr">
        <is>
          <t>TAO_USDT_PERP</t>
        </is>
      </c>
      <c r="F841" s="2" t="inlineStr">
        <is>
          <t>做空</t>
        </is>
      </c>
      <c r="G841" s="20" t="n">
        <v>302.65</v>
      </c>
      <c r="H841" s="20" t="n">
        <v>293.5705</v>
      </c>
      <c r="I841" s="20" t="n">
        <v>317.7825</v>
      </c>
      <c r="J841" s="20" t="n"/>
      <c r="K841" s="2" t="n"/>
      <c r="L841" s="5" t="n"/>
      <c r="M841" s="19">
        <f>資金模擬!$B$5*V840</f>
        <v/>
      </c>
      <c r="N841" s="2">
        <f>IF(Z840=1,"已停止",IF(T840&gt;=M841,"已下單","資金不足略過"))</f>
        <v/>
      </c>
      <c r="O841" s="19">
        <f>IF(N841="已下單",M841*資金模擬!$B$7,0)</f>
        <v/>
      </c>
      <c r="P841" s="4" t="n"/>
      <c r="Q841" s="13" t="n">
        <v>0</v>
      </c>
      <c r="R841" s="13">
        <f>R840+Q841</f>
        <v/>
      </c>
      <c r="S841" s="19">
        <f>S840+IF(N841="已下單",M841,0)</f>
        <v/>
      </c>
      <c r="T841" s="19">
        <f>R841-S841</f>
        <v/>
      </c>
      <c r="U841" s="2">
        <f>U840+IF(N841="已下單",1,0)</f>
        <v/>
      </c>
      <c r="V841" s="19">
        <f>IF(資金模擬!$B$9=2,MAX(R841,0),MAX(V840,FLOOR(MAX(R841,0),資金模擬!$B$6)))</f>
        <v/>
      </c>
      <c r="W841" s="13">
        <f>MAX(W840,R841)</f>
        <v/>
      </c>
      <c r="X841" s="4">
        <f>IF(W841&gt;0,R841/W841-1,-1)</f>
        <v/>
      </c>
      <c r="Y841" s="19">
        <f>IF(R841&gt;0,S841*資金模擬!$B$7/R841,0)</f>
        <v/>
      </c>
      <c r="Z841" s="2">
        <f>IF(OR(Z840=1,R841&lt;=資金模擬!$B$10),1,0)</f>
        <v/>
      </c>
    </row>
    <row r="842">
      <c r="A842" s="2" t="n">
        <v>840</v>
      </c>
      <c r="B842" s="7" t="n">
        <v>46288.95833333334</v>
      </c>
      <c r="C842" s="2" t="inlineStr">
        <is>
          <t>進場</t>
        </is>
      </c>
      <c r="D842" s="2" t="n">
        <v>426</v>
      </c>
      <c r="E842" s="2" t="inlineStr">
        <is>
          <t>TIA_USDT_PERP</t>
        </is>
      </c>
      <c r="F842" s="2" t="inlineStr">
        <is>
          <t>做空</t>
        </is>
      </c>
      <c r="G842" s="20" t="n">
        <v>0.4855</v>
      </c>
      <c r="H842" s="20" t="n">
        <v>0.470935</v>
      </c>
      <c r="I842" s="20" t="n">
        <v>0.509775</v>
      </c>
      <c r="J842" s="20" t="n"/>
      <c r="K842" s="2" t="n"/>
      <c r="L842" s="5" t="n"/>
      <c r="M842" s="19">
        <f>資金模擬!$B$5*V841</f>
        <v/>
      </c>
      <c r="N842" s="2">
        <f>IF(Z841=1,"已停止",IF(T841&gt;=M842,"已下單","資金不足略過"))</f>
        <v/>
      </c>
      <c r="O842" s="19">
        <f>IF(N842="已下單",M842*資金模擬!$B$7,0)</f>
        <v/>
      </c>
      <c r="P842" s="4" t="n"/>
      <c r="Q842" s="13" t="n">
        <v>0</v>
      </c>
      <c r="R842" s="13">
        <f>R841+Q842</f>
        <v/>
      </c>
      <c r="S842" s="19">
        <f>S841+IF(N842="已下單",M842,0)</f>
        <v/>
      </c>
      <c r="T842" s="19">
        <f>R842-S842</f>
        <v/>
      </c>
      <c r="U842" s="2">
        <f>U841+IF(N842="已下單",1,0)</f>
        <v/>
      </c>
      <c r="V842" s="19">
        <f>IF(資金模擬!$B$9=2,MAX(R842,0),MAX(V841,FLOOR(MAX(R842,0),資金模擬!$B$6)))</f>
        <v/>
      </c>
      <c r="W842" s="13">
        <f>MAX(W841,R842)</f>
        <v/>
      </c>
      <c r="X842" s="4">
        <f>IF(W842&gt;0,R842/W842-1,-1)</f>
        <v/>
      </c>
      <c r="Y842" s="19">
        <f>IF(R842&gt;0,S842*資金模擬!$B$7/R842,0)</f>
        <v/>
      </c>
      <c r="Z842" s="2">
        <f>IF(OR(Z841=1,R842&lt;=資金模擬!$B$10),1,0)</f>
        <v/>
      </c>
    </row>
    <row r="843">
      <c r="A843" s="2" t="n">
        <v>841</v>
      </c>
      <c r="B843" s="7" t="n">
        <v>46288.95833333334</v>
      </c>
      <c r="C843" s="2" t="inlineStr">
        <is>
          <t>進場</t>
        </is>
      </c>
      <c r="D843" s="2" t="n">
        <v>427</v>
      </c>
      <c r="E843" s="2" t="inlineStr">
        <is>
          <t>USELESS_USDT_PERP</t>
        </is>
      </c>
      <c r="F843" s="2" t="inlineStr">
        <is>
          <t>做空</t>
        </is>
      </c>
      <c r="G843" s="20" t="n">
        <v>0.31904</v>
      </c>
      <c r="H843" s="20" t="n">
        <v>0.3094688</v>
      </c>
      <c r="I843" s="20" t="n">
        <v>0.334992</v>
      </c>
      <c r="J843" s="20" t="n"/>
      <c r="K843" s="2" t="n"/>
      <c r="L843" s="5" t="n"/>
      <c r="M843" s="19">
        <f>資金模擬!$B$5*V842</f>
        <v/>
      </c>
      <c r="N843" s="2">
        <f>IF(Z842=1,"已停止",IF(T842&gt;=M843,"已下單","資金不足略過"))</f>
        <v/>
      </c>
      <c r="O843" s="19">
        <f>IF(N843="已下單",M843*資金模擬!$B$7,0)</f>
        <v/>
      </c>
      <c r="P843" s="4" t="n"/>
      <c r="Q843" s="13" t="n">
        <v>0</v>
      </c>
      <c r="R843" s="13">
        <f>R842+Q843</f>
        <v/>
      </c>
      <c r="S843" s="19">
        <f>S842+IF(N843="已下單",M843,0)</f>
        <v/>
      </c>
      <c r="T843" s="19">
        <f>R843-S843</f>
        <v/>
      </c>
      <c r="U843" s="2">
        <f>U842+IF(N843="已下單",1,0)</f>
        <v/>
      </c>
      <c r="V843" s="19">
        <f>IF(資金模擬!$B$9=2,MAX(R843,0),MAX(V842,FLOOR(MAX(R843,0),資金模擬!$B$6)))</f>
        <v/>
      </c>
      <c r="W843" s="13">
        <f>MAX(W842,R843)</f>
        <v/>
      </c>
      <c r="X843" s="4">
        <f>IF(W843&gt;0,R843/W843-1,-1)</f>
        <v/>
      </c>
      <c r="Y843" s="19">
        <f>IF(R843&gt;0,S843*資金模擬!$B$7/R843,0)</f>
        <v/>
      </c>
      <c r="Z843" s="2">
        <f>IF(OR(Z842=1,R843&lt;=資金模擬!$B$10),1,0)</f>
        <v/>
      </c>
    </row>
    <row r="844">
      <c r="A844" s="2" t="n">
        <v>842</v>
      </c>
      <c r="B844" s="7" t="n">
        <v>46289</v>
      </c>
      <c r="C844" s="2" t="inlineStr">
        <is>
          <t>出場</t>
        </is>
      </c>
      <c r="D844" s="2" t="n">
        <v>419</v>
      </c>
      <c r="E844" s="2" t="inlineStr">
        <is>
          <t>BR_USDT_PERP</t>
        </is>
      </c>
      <c r="F844" s="2" t="inlineStr">
        <is>
          <t>做空</t>
        </is>
      </c>
      <c r="G844" s="20" t="n">
        <v>1.06596</v>
      </c>
      <c r="H844" s="20" t="n">
        <v>1.0339812</v>
      </c>
      <c r="I844" s="20" t="n">
        <v>1.119258</v>
      </c>
      <c r="J844" s="20" t="n">
        <v>1.119258</v>
      </c>
      <c r="K844" s="2" t="inlineStr">
        <is>
          <t>止損</t>
        </is>
      </c>
      <c r="L844" s="5">
        <f>交易明細!K420</f>
        <v/>
      </c>
      <c r="M844" s="19">
        <f>M835</f>
        <v/>
      </c>
      <c r="N844" s="2">
        <f>N835</f>
        <v/>
      </c>
      <c r="O844" s="19">
        <f>O835</f>
        <v/>
      </c>
      <c r="P844" s="4">
        <f>交易明細!L420</f>
        <v/>
      </c>
      <c r="Q844" s="13">
        <f>IF(N844="已下單",O844*P844,0)</f>
        <v/>
      </c>
      <c r="R844" s="13">
        <f>R843+Q844</f>
        <v/>
      </c>
      <c r="S844" s="19">
        <f>S843-IF(N844="已下單",M844,0)</f>
        <v/>
      </c>
      <c r="T844" s="19">
        <f>R844-S844</f>
        <v/>
      </c>
      <c r="U844" s="2">
        <f>U843-IF(N844="已下單",1,0)</f>
        <v/>
      </c>
      <c r="V844" s="19">
        <f>IF(資金模擬!$B$9=2,MAX(R844,0),MAX(V843,FLOOR(MAX(R844,0),資金模擬!$B$6)))</f>
        <v/>
      </c>
      <c r="W844" s="13">
        <f>MAX(W843,R844)</f>
        <v/>
      </c>
      <c r="X844" s="4">
        <f>IF(W844&gt;0,R844/W844-1,-1)</f>
        <v/>
      </c>
      <c r="Y844" s="19">
        <f>IF(R844&gt;0,S844*資金模擬!$B$7/R844,0)</f>
        <v/>
      </c>
      <c r="Z844" s="2">
        <f>IF(OR(Z843=1,R844&lt;=資金模擬!$B$10),1,0)</f>
        <v/>
      </c>
    </row>
    <row r="845">
      <c r="A845" s="2" t="n">
        <v>843</v>
      </c>
      <c r="B845" s="7" t="n">
        <v>46289</v>
      </c>
      <c r="C845" s="2" t="inlineStr">
        <is>
          <t>出場</t>
        </is>
      </c>
      <c r="D845" s="2" t="n">
        <v>425</v>
      </c>
      <c r="E845" s="2" t="inlineStr">
        <is>
          <t>TAO_USDT_PERP</t>
        </is>
      </c>
      <c r="F845" s="2" t="inlineStr">
        <is>
          <t>做空</t>
        </is>
      </c>
      <c r="G845" s="20" t="n">
        <v>302.65</v>
      </c>
      <c r="H845" s="20" t="n">
        <v>293.5705</v>
      </c>
      <c r="I845" s="20" t="n">
        <v>317.7825</v>
      </c>
      <c r="J845" s="20" t="n">
        <v>293.5705</v>
      </c>
      <c r="K845" s="2" t="inlineStr">
        <is>
          <t>止盈</t>
        </is>
      </c>
      <c r="L845" s="5">
        <f>交易明細!K426</f>
        <v/>
      </c>
      <c r="M845" s="19">
        <f>M841</f>
        <v/>
      </c>
      <c r="N845" s="2">
        <f>N841</f>
        <v/>
      </c>
      <c r="O845" s="19">
        <f>O841</f>
        <v/>
      </c>
      <c r="P845" s="4">
        <f>交易明細!L426</f>
        <v/>
      </c>
      <c r="Q845" s="13">
        <f>IF(N845="已下單",O845*P845,0)</f>
        <v/>
      </c>
      <c r="R845" s="13">
        <f>R844+Q845</f>
        <v/>
      </c>
      <c r="S845" s="19">
        <f>S844-IF(N845="已下單",M845,0)</f>
        <v/>
      </c>
      <c r="T845" s="19">
        <f>R845-S845</f>
        <v/>
      </c>
      <c r="U845" s="2">
        <f>U844-IF(N845="已下單",1,0)</f>
        <v/>
      </c>
      <c r="V845" s="19">
        <f>IF(資金模擬!$B$9=2,MAX(R845,0),MAX(V844,FLOOR(MAX(R845,0),資金模擬!$B$6)))</f>
        <v/>
      </c>
      <c r="W845" s="13">
        <f>MAX(W844,R845)</f>
        <v/>
      </c>
      <c r="X845" s="4">
        <f>IF(W845&gt;0,R845/W845-1,-1)</f>
        <v/>
      </c>
      <c r="Y845" s="19">
        <f>IF(R845&gt;0,S845*資金模擬!$B$7/R845,0)</f>
        <v/>
      </c>
      <c r="Z845" s="2">
        <f>IF(OR(Z844=1,R845&lt;=資金模擬!$B$10),1,0)</f>
        <v/>
      </c>
    </row>
    <row r="846">
      <c r="A846" s="2" t="n">
        <v>844</v>
      </c>
      <c r="B846" s="7" t="n">
        <v>46289</v>
      </c>
      <c r="C846" s="2" t="inlineStr">
        <is>
          <t>出場</t>
        </is>
      </c>
      <c r="D846" s="2" t="n">
        <v>426</v>
      </c>
      <c r="E846" s="2" t="inlineStr">
        <is>
          <t>TIA_USDT_PERP</t>
        </is>
      </c>
      <c r="F846" s="2" t="inlineStr">
        <is>
          <t>做空</t>
        </is>
      </c>
      <c r="G846" s="20" t="n">
        <v>0.4855</v>
      </c>
      <c r="H846" s="20" t="n">
        <v>0.470935</v>
      </c>
      <c r="I846" s="20" t="n">
        <v>0.509775</v>
      </c>
      <c r="J846" s="20" t="n">
        <v>0.470935</v>
      </c>
      <c r="K846" s="2" t="inlineStr">
        <is>
          <t>止盈</t>
        </is>
      </c>
      <c r="L846" s="5">
        <f>交易明細!K427</f>
        <v/>
      </c>
      <c r="M846" s="19">
        <f>M842</f>
        <v/>
      </c>
      <c r="N846" s="2">
        <f>N842</f>
        <v/>
      </c>
      <c r="O846" s="19">
        <f>O842</f>
        <v/>
      </c>
      <c r="P846" s="4">
        <f>交易明細!L427</f>
        <v/>
      </c>
      <c r="Q846" s="13">
        <f>IF(N846="已下單",O846*P846,0)</f>
        <v/>
      </c>
      <c r="R846" s="13">
        <f>R845+Q846</f>
        <v/>
      </c>
      <c r="S846" s="19">
        <f>S845-IF(N846="已下單",M846,0)</f>
        <v/>
      </c>
      <c r="T846" s="19">
        <f>R846-S846</f>
        <v/>
      </c>
      <c r="U846" s="2">
        <f>U845-IF(N846="已下單",1,0)</f>
        <v/>
      </c>
      <c r="V846" s="19">
        <f>IF(資金模擬!$B$9=2,MAX(R846,0),MAX(V845,FLOOR(MAX(R846,0),資金模擬!$B$6)))</f>
        <v/>
      </c>
      <c r="W846" s="13">
        <f>MAX(W845,R846)</f>
        <v/>
      </c>
      <c r="X846" s="4">
        <f>IF(W846&gt;0,R846/W846-1,-1)</f>
        <v/>
      </c>
      <c r="Y846" s="19">
        <f>IF(R846&gt;0,S846*資金模擬!$B$7/R846,0)</f>
        <v/>
      </c>
      <c r="Z846" s="2">
        <f>IF(OR(Z845=1,R846&lt;=資金模擬!$B$10),1,0)</f>
        <v/>
      </c>
    </row>
    <row r="847">
      <c r="A847" s="2" t="n">
        <v>845</v>
      </c>
      <c r="B847" s="7" t="n">
        <v>46289</v>
      </c>
      <c r="C847" s="2" t="inlineStr">
        <is>
          <t>出場</t>
        </is>
      </c>
      <c r="D847" s="2" t="n">
        <v>427</v>
      </c>
      <c r="E847" s="2" t="inlineStr">
        <is>
          <t>USELESS_USDT_PERP</t>
        </is>
      </c>
      <c r="F847" s="2" t="inlineStr">
        <is>
          <t>做空</t>
        </is>
      </c>
      <c r="G847" s="20" t="n">
        <v>0.31904</v>
      </c>
      <c r="H847" s="20" t="n">
        <v>0.3094688</v>
      </c>
      <c r="I847" s="20" t="n">
        <v>0.334992</v>
      </c>
      <c r="J847" s="20" t="n">
        <v>0.3094688</v>
      </c>
      <c r="K847" s="2" t="inlineStr">
        <is>
          <t>止盈</t>
        </is>
      </c>
      <c r="L847" s="5">
        <f>交易明細!K428</f>
        <v/>
      </c>
      <c r="M847" s="19">
        <f>M843</f>
        <v/>
      </c>
      <c r="N847" s="2">
        <f>N843</f>
        <v/>
      </c>
      <c r="O847" s="19">
        <f>O843</f>
        <v/>
      </c>
      <c r="P847" s="4">
        <f>交易明細!L428</f>
        <v/>
      </c>
      <c r="Q847" s="13">
        <f>IF(N847="已下單",O847*P847,0)</f>
        <v/>
      </c>
      <c r="R847" s="13">
        <f>R846+Q847</f>
        <v/>
      </c>
      <c r="S847" s="19">
        <f>S846-IF(N847="已下單",M847,0)</f>
        <v/>
      </c>
      <c r="T847" s="19">
        <f>R847-S847</f>
        <v/>
      </c>
      <c r="U847" s="2">
        <f>U846-IF(N847="已下單",1,0)</f>
        <v/>
      </c>
      <c r="V847" s="19">
        <f>IF(資金模擬!$B$9=2,MAX(R847,0),MAX(V846,FLOOR(MAX(R847,0),資金模擬!$B$6)))</f>
        <v/>
      </c>
      <c r="W847" s="13">
        <f>MAX(W846,R847)</f>
        <v/>
      </c>
      <c r="X847" s="4">
        <f>IF(W847&gt;0,R847/W847-1,-1)</f>
        <v/>
      </c>
      <c r="Y847" s="19">
        <f>IF(R847&gt;0,S847*資金模擬!$B$7/R847,0)</f>
        <v/>
      </c>
      <c r="Z847" s="2">
        <f>IF(OR(Z846=1,R847&lt;=資金模擬!$B$10),1,0)</f>
        <v/>
      </c>
    </row>
    <row r="848">
      <c r="A848" s="2" t="n">
        <v>846</v>
      </c>
      <c r="B848" s="7" t="n">
        <v>46289</v>
      </c>
      <c r="C848" s="2" t="inlineStr">
        <is>
          <t>進場</t>
        </is>
      </c>
      <c r="D848" s="2" t="n">
        <v>428</v>
      </c>
      <c r="E848" s="2" t="inlineStr">
        <is>
          <t>ENA_USDT_PERP</t>
        </is>
      </c>
      <c r="F848" s="2" t="inlineStr">
        <is>
          <t>做空</t>
        </is>
      </c>
      <c r="G848" s="20" t="n">
        <v>0.2019</v>
      </c>
      <c r="H848" s="20" t="n">
        <v>0.195843</v>
      </c>
      <c r="I848" s="20" t="n">
        <v>0.211995</v>
      </c>
      <c r="J848" s="20" t="n"/>
      <c r="K848" s="2" t="n"/>
      <c r="L848" s="5" t="n"/>
      <c r="M848" s="19">
        <f>資金模擬!$B$5*V847</f>
        <v/>
      </c>
      <c r="N848" s="2">
        <f>IF(Z847=1,"已停止",IF(T847&gt;=M848,"已下單","資金不足略過"))</f>
        <v/>
      </c>
      <c r="O848" s="19">
        <f>IF(N848="已下單",M848*資金模擬!$B$7,0)</f>
        <v/>
      </c>
      <c r="P848" s="4" t="n"/>
      <c r="Q848" s="13" t="n">
        <v>0</v>
      </c>
      <c r="R848" s="13">
        <f>R847+Q848</f>
        <v/>
      </c>
      <c r="S848" s="19">
        <f>S847+IF(N848="已下單",M848,0)</f>
        <v/>
      </c>
      <c r="T848" s="19">
        <f>R848-S848</f>
        <v/>
      </c>
      <c r="U848" s="2">
        <f>U847+IF(N848="已下單",1,0)</f>
        <v/>
      </c>
      <c r="V848" s="19">
        <f>IF(資金模擬!$B$9=2,MAX(R848,0),MAX(V847,FLOOR(MAX(R848,0),資金模擬!$B$6)))</f>
        <v/>
      </c>
      <c r="W848" s="13">
        <f>MAX(W847,R848)</f>
        <v/>
      </c>
      <c r="X848" s="4">
        <f>IF(W848&gt;0,R848/W848-1,-1)</f>
        <v/>
      </c>
      <c r="Y848" s="19">
        <f>IF(R848&gt;0,S848*資金模擬!$B$7/R848,0)</f>
        <v/>
      </c>
      <c r="Z848" s="2">
        <f>IF(OR(Z847=1,R848&lt;=資金模擬!$B$10),1,0)</f>
        <v/>
      </c>
    </row>
    <row r="849">
      <c r="A849" s="2" t="n">
        <v>847</v>
      </c>
      <c r="B849" s="7" t="n">
        <v>46289</v>
      </c>
      <c r="C849" s="2" t="inlineStr">
        <is>
          <t>進場</t>
        </is>
      </c>
      <c r="D849" s="2" t="n">
        <v>429</v>
      </c>
      <c r="E849" s="2" t="inlineStr">
        <is>
          <t>ICP_USDT_PERP</t>
        </is>
      </c>
      <c r="F849" s="2" t="inlineStr">
        <is>
          <t>做空</t>
        </is>
      </c>
      <c r="G849" s="20" t="n">
        <v>2.858</v>
      </c>
      <c r="H849" s="20" t="n">
        <v>2.77226</v>
      </c>
      <c r="I849" s="20" t="n">
        <v>3.0009</v>
      </c>
      <c r="J849" s="20" t="n"/>
      <c r="K849" s="2" t="n"/>
      <c r="L849" s="5" t="n"/>
      <c r="M849" s="19">
        <f>資金模擬!$B$5*V848</f>
        <v/>
      </c>
      <c r="N849" s="2">
        <f>IF(Z848=1,"已停止",IF(T848&gt;=M849,"已下單","資金不足略過"))</f>
        <v/>
      </c>
      <c r="O849" s="19">
        <f>IF(N849="已下單",M849*資金模擬!$B$7,0)</f>
        <v/>
      </c>
      <c r="P849" s="4" t="n"/>
      <c r="Q849" s="13" t="n">
        <v>0</v>
      </c>
      <c r="R849" s="13">
        <f>R848+Q849</f>
        <v/>
      </c>
      <c r="S849" s="19">
        <f>S848+IF(N849="已下單",M849,0)</f>
        <v/>
      </c>
      <c r="T849" s="19">
        <f>R849-S849</f>
        <v/>
      </c>
      <c r="U849" s="2">
        <f>U848+IF(N849="已下單",1,0)</f>
        <v/>
      </c>
      <c r="V849" s="19">
        <f>IF(資金模擬!$B$9=2,MAX(R849,0),MAX(V848,FLOOR(MAX(R849,0),資金模擬!$B$6)))</f>
        <v/>
      </c>
      <c r="W849" s="13">
        <f>MAX(W848,R849)</f>
        <v/>
      </c>
      <c r="X849" s="4">
        <f>IF(W849&gt;0,R849/W849-1,-1)</f>
        <v/>
      </c>
      <c r="Y849" s="19">
        <f>IF(R849&gt;0,S849*資金模擬!$B$7/R849,0)</f>
        <v/>
      </c>
      <c r="Z849" s="2">
        <f>IF(OR(Z848=1,R849&lt;=資金模擬!$B$10),1,0)</f>
        <v/>
      </c>
    </row>
    <row r="850">
      <c r="A850" s="2" t="n">
        <v>848</v>
      </c>
      <c r="B850" s="7" t="n">
        <v>46289</v>
      </c>
      <c r="C850" s="2" t="inlineStr">
        <is>
          <t>進場</t>
        </is>
      </c>
      <c r="D850" s="2" t="n">
        <v>430</v>
      </c>
      <c r="E850" s="2" t="inlineStr">
        <is>
          <t>INJ_USDT_PERP</t>
        </is>
      </c>
      <c r="F850" s="2" t="inlineStr">
        <is>
          <t>做空</t>
        </is>
      </c>
      <c r="G850" s="20" t="n">
        <v>7.655</v>
      </c>
      <c r="H850" s="20" t="n">
        <v>7.42535</v>
      </c>
      <c r="I850" s="20" t="n">
        <v>8.037750000000001</v>
      </c>
      <c r="J850" s="20" t="n"/>
      <c r="K850" s="2" t="n"/>
      <c r="L850" s="5" t="n"/>
      <c r="M850" s="19">
        <f>資金模擬!$B$5*V849</f>
        <v/>
      </c>
      <c r="N850" s="2">
        <f>IF(Z849=1,"已停止",IF(T849&gt;=M850,"已下單","資金不足略過"))</f>
        <v/>
      </c>
      <c r="O850" s="19">
        <f>IF(N850="已下單",M850*資金模擬!$B$7,0)</f>
        <v/>
      </c>
      <c r="P850" s="4" t="n"/>
      <c r="Q850" s="13" t="n">
        <v>0</v>
      </c>
      <c r="R850" s="13">
        <f>R849+Q850</f>
        <v/>
      </c>
      <c r="S850" s="19">
        <f>S849+IF(N850="已下單",M850,0)</f>
        <v/>
      </c>
      <c r="T850" s="19">
        <f>R850-S850</f>
        <v/>
      </c>
      <c r="U850" s="2">
        <f>U849+IF(N850="已下單",1,0)</f>
        <v/>
      </c>
      <c r="V850" s="19">
        <f>IF(資金模擬!$B$9=2,MAX(R850,0),MAX(V849,FLOOR(MAX(R850,0),資金模擬!$B$6)))</f>
        <v/>
      </c>
      <c r="W850" s="13">
        <f>MAX(W849,R850)</f>
        <v/>
      </c>
      <c r="X850" s="4">
        <f>IF(W850&gt;0,R850/W850-1,-1)</f>
        <v/>
      </c>
      <c r="Y850" s="19">
        <f>IF(R850&gt;0,S850*資金模擬!$B$7/R850,0)</f>
        <v/>
      </c>
      <c r="Z850" s="2">
        <f>IF(OR(Z849=1,R850&lt;=資金模擬!$B$10),1,0)</f>
        <v/>
      </c>
    </row>
    <row r="851">
      <c r="A851" s="2" t="n">
        <v>849</v>
      </c>
      <c r="B851" s="7" t="n">
        <v>46289</v>
      </c>
      <c r="C851" s="2" t="inlineStr">
        <is>
          <t>進場</t>
        </is>
      </c>
      <c r="D851" s="2" t="n">
        <v>431</v>
      </c>
      <c r="E851" s="2" t="inlineStr">
        <is>
          <t>LSK_USDT_PERP</t>
        </is>
      </c>
      <c r="F851" s="2" t="inlineStr">
        <is>
          <t>做空</t>
        </is>
      </c>
      <c r="G851" s="20" t="n">
        <v>0.3011</v>
      </c>
      <c r="H851" s="20" t="n">
        <v>0.292067</v>
      </c>
      <c r="I851" s="20" t="n">
        <v>0.316155</v>
      </c>
      <c r="J851" s="20" t="n"/>
      <c r="K851" s="2" t="n"/>
      <c r="L851" s="5" t="n"/>
      <c r="M851" s="19">
        <f>資金模擬!$B$5*V850</f>
        <v/>
      </c>
      <c r="N851" s="2">
        <f>IF(Z850=1,"已停止",IF(T850&gt;=M851,"已下單","資金不足略過"))</f>
        <v/>
      </c>
      <c r="O851" s="19">
        <f>IF(N851="已下單",M851*資金模擬!$B$7,0)</f>
        <v/>
      </c>
      <c r="P851" s="4" t="n"/>
      <c r="Q851" s="13" t="n">
        <v>0</v>
      </c>
      <c r="R851" s="13">
        <f>R850+Q851</f>
        <v/>
      </c>
      <c r="S851" s="19">
        <f>S850+IF(N851="已下單",M851,0)</f>
        <v/>
      </c>
      <c r="T851" s="19">
        <f>R851-S851</f>
        <v/>
      </c>
      <c r="U851" s="2">
        <f>U850+IF(N851="已下單",1,0)</f>
        <v/>
      </c>
      <c r="V851" s="19">
        <f>IF(資金模擬!$B$9=2,MAX(R851,0),MAX(V850,FLOOR(MAX(R851,0),資金模擬!$B$6)))</f>
        <v/>
      </c>
      <c r="W851" s="13">
        <f>MAX(W850,R851)</f>
        <v/>
      </c>
      <c r="X851" s="4">
        <f>IF(W851&gt;0,R851/W851-1,-1)</f>
        <v/>
      </c>
      <c r="Y851" s="19">
        <f>IF(R851&gt;0,S851*資金模擬!$B$7/R851,0)</f>
        <v/>
      </c>
      <c r="Z851" s="2">
        <f>IF(OR(Z850=1,R851&lt;=資金模擬!$B$10),1,0)</f>
        <v/>
      </c>
    </row>
    <row r="852">
      <c r="A852" s="2" t="n">
        <v>850</v>
      </c>
      <c r="B852" s="7" t="n">
        <v>46289</v>
      </c>
      <c r="C852" s="2" t="inlineStr">
        <is>
          <t>進場</t>
        </is>
      </c>
      <c r="D852" s="2" t="n">
        <v>432</v>
      </c>
      <c r="E852" s="2" t="inlineStr">
        <is>
          <t>MARSCOIN_USDT_PERP</t>
        </is>
      </c>
      <c r="F852" s="2" t="inlineStr">
        <is>
          <t>做空</t>
        </is>
      </c>
      <c r="G852" s="20" t="n">
        <v>0.12647</v>
      </c>
      <c r="H852" s="20" t="n">
        <v>0.1226759</v>
      </c>
      <c r="I852" s="20" t="n">
        <v>0.1327935</v>
      </c>
      <c r="J852" s="20" t="n"/>
      <c r="K852" s="2" t="n"/>
      <c r="L852" s="5" t="n"/>
      <c r="M852" s="19">
        <f>資金模擬!$B$5*V851</f>
        <v/>
      </c>
      <c r="N852" s="2">
        <f>IF(Z851=1,"已停止",IF(T851&gt;=M852,"已下單","資金不足略過"))</f>
        <v/>
      </c>
      <c r="O852" s="19">
        <f>IF(N852="已下單",M852*資金模擬!$B$7,0)</f>
        <v/>
      </c>
      <c r="P852" s="4" t="n"/>
      <c r="Q852" s="13" t="n">
        <v>0</v>
      </c>
      <c r="R852" s="13">
        <f>R851+Q852</f>
        <v/>
      </c>
      <c r="S852" s="19">
        <f>S851+IF(N852="已下單",M852,0)</f>
        <v/>
      </c>
      <c r="T852" s="19">
        <f>R852-S852</f>
        <v/>
      </c>
      <c r="U852" s="2">
        <f>U851+IF(N852="已下單",1,0)</f>
        <v/>
      </c>
      <c r="V852" s="19">
        <f>IF(資金模擬!$B$9=2,MAX(R852,0),MAX(V851,FLOOR(MAX(R852,0),資金模擬!$B$6)))</f>
        <v/>
      </c>
      <c r="W852" s="13">
        <f>MAX(W851,R852)</f>
        <v/>
      </c>
      <c r="X852" s="4">
        <f>IF(W852&gt;0,R852/W852-1,-1)</f>
        <v/>
      </c>
      <c r="Y852" s="19">
        <f>IF(R852&gt;0,S852*資金模擬!$B$7/R852,0)</f>
        <v/>
      </c>
      <c r="Z852" s="2">
        <f>IF(OR(Z851=1,R852&lt;=資金模擬!$B$10),1,0)</f>
        <v/>
      </c>
    </row>
    <row r="853">
      <c r="A853" s="2" t="n">
        <v>851</v>
      </c>
      <c r="B853" s="7" t="n">
        <v>46289</v>
      </c>
      <c r="C853" s="2" t="inlineStr">
        <is>
          <t>進場</t>
        </is>
      </c>
      <c r="D853" s="2" t="n">
        <v>433</v>
      </c>
      <c r="E853" s="2" t="inlineStr">
        <is>
          <t>NIL_USDT_PERP</t>
        </is>
      </c>
      <c r="F853" s="2" t="inlineStr">
        <is>
          <t>做多</t>
        </is>
      </c>
      <c r="G853" s="20" t="n">
        <v>0.09558</v>
      </c>
      <c r="H853" s="20" t="n">
        <v>0.0984474</v>
      </c>
      <c r="I853" s="20" t="n">
        <v>0.09080099999999999</v>
      </c>
      <c r="J853" s="20" t="n"/>
      <c r="K853" s="2" t="n"/>
      <c r="L853" s="5" t="n"/>
      <c r="M853" s="19">
        <f>資金模擬!$B$5*V852</f>
        <v/>
      </c>
      <c r="N853" s="2">
        <f>IF(Z852=1,"已停止",IF(T852&gt;=M853,"已下單","資金不足略過"))</f>
        <v/>
      </c>
      <c r="O853" s="19">
        <f>IF(N853="已下單",M853*資金模擬!$B$7,0)</f>
        <v/>
      </c>
      <c r="P853" s="4" t="n"/>
      <c r="Q853" s="13" t="n">
        <v>0</v>
      </c>
      <c r="R853" s="13">
        <f>R852+Q853</f>
        <v/>
      </c>
      <c r="S853" s="19">
        <f>S852+IF(N853="已下單",M853,0)</f>
        <v/>
      </c>
      <c r="T853" s="19">
        <f>R853-S853</f>
        <v/>
      </c>
      <c r="U853" s="2">
        <f>U852+IF(N853="已下單",1,0)</f>
        <v/>
      </c>
      <c r="V853" s="19">
        <f>IF(資金模擬!$B$9=2,MAX(R853,0),MAX(V852,FLOOR(MAX(R853,0),資金模擬!$B$6)))</f>
        <v/>
      </c>
      <c r="W853" s="13">
        <f>MAX(W852,R853)</f>
        <v/>
      </c>
      <c r="X853" s="4">
        <f>IF(W853&gt;0,R853/W853-1,-1)</f>
        <v/>
      </c>
      <c r="Y853" s="19">
        <f>IF(R853&gt;0,S853*資金模擬!$B$7/R853,0)</f>
        <v/>
      </c>
      <c r="Z853" s="2">
        <f>IF(OR(Z852=1,R853&lt;=資金模擬!$B$10),1,0)</f>
        <v/>
      </c>
    </row>
    <row r="854">
      <c r="A854" s="2" t="n">
        <v>852</v>
      </c>
      <c r="B854" s="7" t="n">
        <v>46289</v>
      </c>
      <c r="C854" s="2" t="inlineStr">
        <is>
          <t>進場</t>
        </is>
      </c>
      <c r="D854" s="2" t="n">
        <v>434</v>
      </c>
      <c r="E854" s="2" t="inlineStr">
        <is>
          <t>ONDO_USDT_PERP</t>
        </is>
      </c>
      <c r="F854" s="2" t="inlineStr">
        <is>
          <t>做空</t>
        </is>
      </c>
      <c r="G854" s="20" t="n">
        <v>0.4109</v>
      </c>
      <c r="H854" s="20" t="n">
        <v>0.398573</v>
      </c>
      <c r="I854" s="20" t="n">
        <v>0.431445</v>
      </c>
      <c r="J854" s="20" t="n"/>
      <c r="K854" s="2" t="n"/>
      <c r="L854" s="5" t="n"/>
      <c r="M854" s="19">
        <f>資金模擬!$B$5*V853</f>
        <v/>
      </c>
      <c r="N854" s="2">
        <f>IF(Z853=1,"已停止",IF(T853&gt;=M854,"已下單","資金不足略過"))</f>
        <v/>
      </c>
      <c r="O854" s="19">
        <f>IF(N854="已下單",M854*資金模擬!$B$7,0)</f>
        <v/>
      </c>
      <c r="P854" s="4" t="n"/>
      <c r="Q854" s="13" t="n">
        <v>0</v>
      </c>
      <c r="R854" s="13">
        <f>R853+Q854</f>
        <v/>
      </c>
      <c r="S854" s="19">
        <f>S853+IF(N854="已下單",M854,0)</f>
        <v/>
      </c>
      <c r="T854" s="19">
        <f>R854-S854</f>
        <v/>
      </c>
      <c r="U854" s="2">
        <f>U853+IF(N854="已下單",1,0)</f>
        <v/>
      </c>
      <c r="V854" s="19">
        <f>IF(資金模擬!$B$9=2,MAX(R854,0),MAX(V853,FLOOR(MAX(R854,0),資金模擬!$B$6)))</f>
        <v/>
      </c>
      <c r="W854" s="13">
        <f>MAX(W853,R854)</f>
        <v/>
      </c>
      <c r="X854" s="4">
        <f>IF(W854&gt;0,R854/W854-1,-1)</f>
        <v/>
      </c>
      <c r="Y854" s="19">
        <f>IF(R854&gt;0,S854*資金模擬!$B$7/R854,0)</f>
        <v/>
      </c>
      <c r="Z854" s="2">
        <f>IF(OR(Z853=1,R854&lt;=資金模擬!$B$10),1,0)</f>
        <v/>
      </c>
    </row>
    <row r="855">
      <c r="A855" s="2" t="n">
        <v>853</v>
      </c>
      <c r="B855" s="7" t="n">
        <v>46289</v>
      </c>
      <c r="C855" s="2" t="inlineStr">
        <is>
          <t>進場</t>
        </is>
      </c>
      <c r="D855" s="2" t="n">
        <v>435</v>
      </c>
      <c r="E855" s="2" t="inlineStr">
        <is>
          <t>PONS_USDT_PERP</t>
        </is>
      </c>
      <c r="F855" s="2" t="inlineStr">
        <is>
          <t>做空</t>
        </is>
      </c>
      <c r="G855" s="20" t="n">
        <v>0.6631</v>
      </c>
      <c r="H855" s="20" t="n">
        <v>0.643207</v>
      </c>
      <c r="I855" s="20" t="n">
        <v>0.6962550000000001</v>
      </c>
      <c r="J855" s="20" t="n"/>
      <c r="K855" s="2" t="n"/>
      <c r="L855" s="5" t="n"/>
      <c r="M855" s="19">
        <f>資金模擬!$B$5*V854</f>
        <v/>
      </c>
      <c r="N855" s="2">
        <f>IF(Z854=1,"已停止",IF(T854&gt;=M855,"已下單","資金不足略過"))</f>
        <v/>
      </c>
      <c r="O855" s="19">
        <f>IF(N855="已下單",M855*資金模擬!$B$7,0)</f>
        <v/>
      </c>
      <c r="P855" s="4" t="n"/>
      <c r="Q855" s="13" t="n">
        <v>0</v>
      </c>
      <c r="R855" s="13">
        <f>R854+Q855</f>
        <v/>
      </c>
      <c r="S855" s="19">
        <f>S854+IF(N855="已下單",M855,0)</f>
        <v/>
      </c>
      <c r="T855" s="19">
        <f>R855-S855</f>
        <v/>
      </c>
      <c r="U855" s="2">
        <f>U854+IF(N855="已下單",1,0)</f>
        <v/>
      </c>
      <c r="V855" s="19">
        <f>IF(資金模擬!$B$9=2,MAX(R855,0),MAX(V854,FLOOR(MAX(R855,0),資金模擬!$B$6)))</f>
        <v/>
      </c>
      <c r="W855" s="13">
        <f>MAX(W854,R855)</f>
        <v/>
      </c>
      <c r="X855" s="4">
        <f>IF(W855&gt;0,R855/W855-1,-1)</f>
        <v/>
      </c>
      <c r="Y855" s="19">
        <f>IF(R855&gt;0,S855*資金模擬!$B$7/R855,0)</f>
        <v/>
      </c>
      <c r="Z855" s="2">
        <f>IF(OR(Z854=1,R855&lt;=資金模擬!$B$10),1,0)</f>
        <v/>
      </c>
    </row>
    <row r="856">
      <c r="A856" s="2" t="n">
        <v>854</v>
      </c>
      <c r="B856" s="7" t="n">
        <v>46289.00347222222</v>
      </c>
      <c r="C856" s="2" t="inlineStr">
        <is>
          <t>出場</t>
        </is>
      </c>
      <c r="D856" s="2" t="n">
        <v>433</v>
      </c>
      <c r="E856" s="2" t="inlineStr">
        <is>
          <t>NIL_USDT_PERP</t>
        </is>
      </c>
      <c r="F856" s="2" t="inlineStr">
        <is>
          <t>做多</t>
        </is>
      </c>
      <c r="G856" s="20" t="n">
        <v>0.09558</v>
      </c>
      <c r="H856" s="20" t="n">
        <v>0.0984474</v>
      </c>
      <c r="I856" s="20" t="n">
        <v>0.09080099999999999</v>
      </c>
      <c r="J856" s="20" t="n">
        <v>0.09080099999999999</v>
      </c>
      <c r="K856" s="2" t="inlineStr">
        <is>
          <t>止損</t>
        </is>
      </c>
      <c r="L856" s="5">
        <f>交易明細!K434</f>
        <v/>
      </c>
      <c r="M856" s="19">
        <f>M853</f>
        <v/>
      </c>
      <c r="N856" s="2">
        <f>N853</f>
        <v/>
      </c>
      <c r="O856" s="19">
        <f>O853</f>
        <v/>
      </c>
      <c r="P856" s="4">
        <f>交易明細!L434</f>
        <v/>
      </c>
      <c r="Q856" s="13">
        <f>IF(N856="已下單",O856*P856,0)</f>
        <v/>
      </c>
      <c r="R856" s="13">
        <f>R855+Q856</f>
        <v/>
      </c>
      <c r="S856" s="19">
        <f>S855-IF(N856="已下單",M856,0)</f>
        <v/>
      </c>
      <c r="T856" s="19">
        <f>R856-S856</f>
        <v/>
      </c>
      <c r="U856" s="2">
        <f>U855-IF(N856="已下單",1,0)</f>
        <v/>
      </c>
      <c r="V856" s="19">
        <f>IF(資金模擬!$B$9=2,MAX(R856,0),MAX(V855,FLOOR(MAX(R856,0),資金模擬!$B$6)))</f>
        <v/>
      </c>
      <c r="W856" s="13">
        <f>MAX(W855,R856)</f>
        <v/>
      </c>
      <c r="X856" s="4">
        <f>IF(W856&gt;0,R856/W856-1,-1)</f>
        <v/>
      </c>
      <c r="Y856" s="19">
        <f>IF(R856&gt;0,S856*資金模擬!$B$7/R856,0)</f>
        <v/>
      </c>
      <c r="Z856" s="2">
        <f>IF(OR(Z855=1,R856&lt;=資金模擬!$B$10),1,0)</f>
        <v/>
      </c>
    </row>
    <row r="857">
      <c r="A857" s="2" t="n">
        <v>855</v>
      </c>
      <c r="B857" s="7" t="n">
        <v>46289.04166666666</v>
      </c>
      <c r="C857" s="2" t="inlineStr">
        <is>
          <t>出場</t>
        </is>
      </c>
      <c r="D857" s="2" t="n">
        <v>417</v>
      </c>
      <c r="E857" s="2" t="inlineStr">
        <is>
          <t>AKE_USDT_PERP</t>
        </is>
      </c>
      <c r="F857" s="2" t="inlineStr">
        <is>
          <t>做空</t>
        </is>
      </c>
      <c r="G857" s="20" t="n">
        <v>0.0471572</v>
      </c>
      <c r="H857" s="20" t="n">
        <v>0.045742484</v>
      </c>
      <c r="I857" s="20" t="n">
        <v>0.04951506000000001</v>
      </c>
      <c r="J857" s="20" t="n">
        <v>0.045742484</v>
      </c>
      <c r="K857" s="2" t="inlineStr">
        <is>
          <t>止盈</t>
        </is>
      </c>
      <c r="L857" s="5">
        <f>交易明細!K418</f>
        <v/>
      </c>
      <c r="M857" s="19">
        <f>M833</f>
        <v/>
      </c>
      <c r="N857" s="2">
        <f>N833</f>
        <v/>
      </c>
      <c r="O857" s="19">
        <f>O833</f>
        <v/>
      </c>
      <c r="P857" s="4">
        <f>交易明細!L418</f>
        <v/>
      </c>
      <c r="Q857" s="13">
        <f>IF(N857="已下單",O857*P857,0)</f>
        <v/>
      </c>
      <c r="R857" s="13">
        <f>R856+Q857</f>
        <v/>
      </c>
      <c r="S857" s="19">
        <f>S856-IF(N857="已下單",M857,0)</f>
        <v/>
      </c>
      <c r="T857" s="19">
        <f>R857-S857</f>
        <v/>
      </c>
      <c r="U857" s="2">
        <f>U856-IF(N857="已下單",1,0)</f>
        <v/>
      </c>
      <c r="V857" s="19">
        <f>IF(資金模擬!$B$9=2,MAX(R857,0),MAX(V856,FLOOR(MAX(R857,0),資金模擬!$B$6)))</f>
        <v/>
      </c>
      <c r="W857" s="13">
        <f>MAX(W856,R857)</f>
        <v/>
      </c>
      <c r="X857" s="4">
        <f>IF(W857&gt;0,R857/W857-1,-1)</f>
        <v/>
      </c>
      <c r="Y857" s="19">
        <f>IF(R857&gt;0,S857*資金模擬!$B$7/R857,0)</f>
        <v/>
      </c>
      <c r="Z857" s="2">
        <f>IF(OR(Z856=1,R857&lt;=資金模擬!$B$10),1,0)</f>
        <v/>
      </c>
    </row>
    <row r="858">
      <c r="A858" s="2" t="n">
        <v>856</v>
      </c>
      <c r="B858" s="7" t="n">
        <v>46289.04166666666</v>
      </c>
      <c r="C858" s="2" t="inlineStr">
        <is>
          <t>出場</t>
        </is>
      </c>
      <c r="D858" s="2" t="n">
        <v>418</v>
      </c>
      <c r="E858" s="2" t="inlineStr">
        <is>
          <t>AVAX_USDT_PERP</t>
        </is>
      </c>
      <c r="F858" s="2" t="inlineStr">
        <is>
          <t>做空</t>
        </is>
      </c>
      <c r="G858" s="20" t="n">
        <v>10.444</v>
      </c>
      <c r="H858" s="20" t="n">
        <v>10.13068</v>
      </c>
      <c r="I858" s="20" t="n">
        <v>10.9662</v>
      </c>
      <c r="J858" s="20" t="n">
        <v>10.13068</v>
      </c>
      <c r="K858" s="2" t="inlineStr">
        <is>
          <t>止盈</t>
        </is>
      </c>
      <c r="L858" s="5">
        <f>交易明細!K419</f>
        <v/>
      </c>
      <c r="M858" s="19">
        <f>M834</f>
        <v/>
      </c>
      <c r="N858" s="2">
        <f>N834</f>
        <v/>
      </c>
      <c r="O858" s="19">
        <f>O834</f>
        <v/>
      </c>
      <c r="P858" s="4">
        <f>交易明細!L419</f>
        <v/>
      </c>
      <c r="Q858" s="13">
        <f>IF(N858="已下單",O858*P858,0)</f>
        <v/>
      </c>
      <c r="R858" s="13">
        <f>R857+Q858</f>
        <v/>
      </c>
      <c r="S858" s="19">
        <f>S857-IF(N858="已下單",M858,0)</f>
        <v/>
      </c>
      <c r="T858" s="19">
        <f>R858-S858</f>
        <v/>
      </c>
      <c r="U858" s="2">
        <f>U857-IF(N858="已下單",1,0)</f>
        <v/>
      </c>
      <c r="V858" s="19">
        <f>IF(資金模擬!$B$9=2,MAX(R858,0),MAX(V857,FLOOR(MAX(R858,0),資金模擬!$B$6)))</f>
        <v/>
      </c>
      <c r="W858" s="13">
        <f>MAX(W857,R858)</f>
        <v/>
      </c>
      <c r="X858" s="4">
        <f>IF(W858&gt;0,R858/W858-1,-1)</f>
        <v/>
      </c>
      <c r="Y858" s="19">
        <f>IF(R858&gt;0,S858*資金模擬!$B$7/R858,0)</f>
        <v/>
      </c>
      <c r="Z858" s="2">
        <f>IF(OR(Z857=1,R858&lt;=資金模擬!$B$10),1,0)</f>
        <v/>
      </c>
    </row>
    <row r="859">
      <c r="A859" s="2" t="n">
        <v>857</v>
      </c>
      <c r="B859" s="7" t="n">
        <v>46289.04166666666</v>
      </c>
      <c r="C859" s="2" t="inlineStr">
        <is>
          <t>出場</t>
        </is>
      </c>
      <c r="D859" s="2" t="n">
        <v>420</v>
      </c>
      <c r="E859" s="2" t="inlineStr">
        <is>
          <t>DOGE_USDT_PERP</t>
        </is>
      </c>
      <c r="F859" s="2" t="inlineStr">
        <is>
          <t>做空</t>
        </is>
      </c>
      <c r="G859" s="20" t="n">
        <v>0.09482</v>
      </c>
      <c r="H859" s="20" t="n">
        <v>0.0919754</v>
      </c>
      <c r="I859" s="20" t="n">
        <v>0.09956100000000001</v>
      </c>
      <c r="J859" s="20" t="n">
        <v>0.0919754</v>
      </c>
      <c r="K859" s="2" t="inlineStr">
        <is>
          <t>止盈</t>
        </is>
      </c>
      <c r="L859" s="5">
        <f>交易明細!K421</f>
        <v/>
      </c>
      <c r="M859" s="19">
        <f>M836</f>
        <v/>
      </c>
      <c r="N859" s="2">
        <f>N836</f>
        <v/>
      </c>
      <c r="O859" s="19">
        <f>O836</f>
        <v/>
      </c>
      <c r="P859" s="4">
        <f>交易明細!L421</f>
        <v/>
      </c>
      <c r="Q859" s="13">
        <f>IF(N859="已下單",O859*P859,0)</f>
        <v/>
      </c>
      <c r="R859" s="13">
        <f>R858+Q859</f>
        <v/>
      </c>
      <c r="S859" s="19">
        <f>S858-IF(N859="已下單",M859,0)</f>
        <v/>
      </c>
      <c r="T859" s="19">
        <f>R859-S859</f>
        <v/>
      </c>
      <c r="U859" s="2">
        <f>U858-IF(N859="已下單",1,0)</f>
        <v/>
      </c>
      <c r="V859" s="19">
        <f>IF(資金模擬!$B$9=2,MAX(R859,0),MAX(V858,FLOOR(MAX(R859,0),資金模擬!$B$6)))</f>
        <v/>
      </c>
      <c r="W859" s="13">
        <f>MAX(W858,R859)</f>
        <v/>
      </c>
      <c r="X859" s="4">
        <f>IF(W859&gt;0,R859/W859-1,-1)</f>
        <v/>
      </c>
      <c r="Y859" s="19">
        <f>IF(R859&gt;0,S859*資金模擬!$B$7/R859,0)</f>
        <v/>
      </c>
      <c r="Z859" s="2">
        <f>IF(OR(Z858=1,R859&lt;=資金模擬!$B$10),1,0)</f>
        <v/>
      </c>
    </row>
    <row r="860">
      <c r="A860" s="2" t="n">
        <v>858</v>
      </c>
      <c r="B860" s="7" t="n">
        <v>46289.04166666666</v>
      </c>
      <c r="C860" s="2" t="inlineStr">
        <is>
          <t>出場</t>
        </is>
      </c>
      <c r="D860" s="2" t="n">
        <v>422</v>
      </c>
      <c r="E860" s="2" t="inlineStr">
        <is>
          <t>PENGU_USDT_PERP</t>
        </is>
      </c>
      <c r="F860" s="2" t="inlineStr">
        <is>
          <t>做空</t>
        </is>
      </c>
      <c r="G860" s="20" t="n">
        <v>0.009868999999999999</v>
      </c>
      <c r="H860" s="20" t="n">
        <v>0.009572929999999999</v>
      </c>
      <c r="I860" s="20" t="n">
        <v>0.01036245</v>
      </c>
      <c r="J860" s="20" t="n">
        <v>0.009572929999999999</v>
      </c>
      <c r="K860" s="2" t="inlineStr">
        <is>
          <t>止盈</t>
        </is>
      </c>
      <c r="L860" s="5">
        <f>交易明細!K423</f>
        <v/>
      </c>
      <c r="M860" s="19">
        <f>M838</f>
        <v/>
      </c>
      <c r="N860" s="2">
        <f>N838</f>
        <v/>
      </c>
      <c r="O860" s="19">
        <f>O838</f>
        <v/>
      </c>
      <c r="P860" s="4">
        <f>交易明細!L423</f>
        <v/>
      </c>
      <c r="Q860" s="13">
        <f>IF(N860="已下單",O860*P860,0)</f>
        <v/>
      </c>
      <c r="R860" s="13">
        <f>R859+Q860</f>
        <v/>
      </c>
      <c r="S860" s="19">
        <f>S859-IF(N860="已下單",M860,0)</f>
        <v/>
      </c>
      <c r="T860" s="19">
        <f>R860-S860</f>
        <v/>
      </c>
      <c r="U860" s="2">
        <f>U859-IF(N860="已下單",1,0)</f>
        <v/>
      </c>
      <c r="V860" s="19">
        <f>IF(資金模擬!$B$9=2,MAX(R860,0),MAX(V859,FLOOR(MAX(R860,0),資金模擬!$B$6)))</f>
        <v/>
      </c>
      <c r="W860" s="13">
        <f>MAX(W859,R860)</f>
        <v/>
      </c>
      <c r="X860" s="4">
        <f>IF(W860&gt;0,R860/W860-1,-1)</f>
        <v/>
      </c>
      <c r="Y860" s="19">
        <f>IF(R860&gt;0,S860*資金模擬!$B$7/R860,0)</f>
        <v/>
      </c>
      <c r="Z860" s="2">
        <f>IF(OR(Z859=1,R860&lt;=資金模擬!$B$10),1,0)</f>
        <v/>
      </c>
    </row>
    <row r="861">
      <c r="A861" s="2" t="n">
        <v>859</v>
      </c>
      <c r="B861" s="7" t="n">
        <v>46289.04166666666</v>
      </c>
      <c r="C861" s="2" t="inlineStr">
        <is>
          <t>出場</t>
        </is>
      </c>
      <c r="D861" s="2" t="n">
        <v>423</v>
      </c>
      <c r="E861" s="2" t="inlineStr">
        <is>
          <t>PYTH_USDT_PERP</t>
        </is>
      </c>
      <c r="F861" s="2" t="inlineStr">
        <is>
          <t>做空</t>
        </is>
      </c>
      <c r="G861" s="20" t="n">
        <v>0.06324</v>
      </c>
      <c r="H861" s="20" t="n">
        <v>0.0613428</v>
      </c>
      <c r="I861" s="20" t="n">
        <v>0.066402</v>
      </c>
      <c r="J861" s="20" t="n">
        <v>0.0613428</v>
      </c>
      <c r="K861" s="2" t="inlineStr">
        <is>
          <t>止盈</t>
        </is>
      </c>
      <c r="L861" s="5">
        <f>交易明細!K424</f>
        <v/>
      </c>
      <c r="M861" s="19">
        <f>M839</f>
        <v/>
      </c>
      <c r="N861" s="2">
        <f>N839</f>
        <v/>
      </c>
      <c r="O861" s="19">
        <f>O839</f>
        <v/>
      </c>
      <c r="P861" s="4">
        <f>交易明細!L424</f>
        <v/>
      </c>
      <c r="Q861" s="13">
        <f>IF(N861="已下單",O861*P861,0)</f>
        <v/>
      </c>
      <c r="R861" s="13">
        <f>R860+Q861</f>
        <v/>
      </c>
      <c r="S861" s="19">
        <f>S860-IF(N861="已下單",M861,0)</f>
        <v/>
      </c>
      <c r="T861" s="19">
        <f>R861-S861</f>
        <v/>
      </c>
      <c r="U861" s="2">
        <f>U860-IF(N861="已下單",1,0)</f>
        <v/>
      </c>
      <c r="V861" s="19">
        <f>IF(資金模擬!$B$9=2,MAX(R861,0),MAX(V860,FLOOR(MAX(R861,0),資金模擬!$B$6)))</f>
        <v/>
      </c>
      <c r="W861" s="13">
        <f>MAX(W860,R861)</f>
        <v/>
      </c>
      <c r="X861" s="4">
        <f>IF(W861&gt;0,R861/W861-1,-1)</f>
        <v/>
      </c>
      <c r="Y861" s="19">
        <f>IF(R861&gt;0,S861*資金模擬!$B$7/R861,0)</f>
        <v/>
      </c>
      <c r="Z861" s="2">
        <f>IF(OR(Z860=1,R861&lt;=資金模擬!$B$10),1,0)</f>
        <v/>
      </c>
    </row>
    <row r="862">
      <c r="A862" s="2" t="n">
        <v>860</v>
      </c>
      <c r="B862" s="7" t="n">
        <v>46289.04166666666</v>
      </c>
      <c r="C862" s="2" t="inlineStr">
        <is>
          <t>出場</t>
        </is>
      </c>
      <c r="D862" s="2" t="n">
        <v>424</v>
      </c>
      <c r="E862" s="2" t="inlineStr">
        <is>
          <t>SUI_USDT_PERP</t>
        </is>
      </c>
      <c r="F862" s="2" t="inlineStr">
        <is>
          <t>做空</t>
        </is>
      </c>
      <c r="G862" s="20" t="n">
        <v>0.9802</v>
      </c>
      <c r="H862" s="20" t="n">
        <v>0.9507939999999999</v>
      </c>
      <c r="I862" s="20" t="n">
        <v>1.02921</v>
      </c>
      <c r="J862" s="20" t="n">
        <v>0.9507939999999999</v>
      </c>
      <c r="K862" s="2" t="inlineStr">
        <is>
          <t>止盈</t>
        </is>
      </c>
      <c r="L862" s="5">
        <f>交易明細!K425</f>
        <v/>
      </c>
      <c r="M862" s="19">
        <f>M840</f>
        <v/>
      </c>
      <c r="N862" s="2">
        <f>N840</f>
        <v/>
      </c>
      <c r="O862" s="19">
        <f>O840</f>
        <v/>
      </c>
      <c r="P862" s="4">
        <f>交易明細!L425</f>
        <v/>
      </c>
      <c r="Q862" s="13">
        <f>IF(N862="已下單",O862*P862,0)</f>
        <v/>
      </c>
      <c r="R862" s="13">
        <f>R861+Q862</f>
        <v/>
      </c>
      <c r="S862" s="19">
        <f>S861-IF(N862="已下單",M862,0)</f>
        <v/>
      </c>
      <c r="T862" s="19">
        <f>R862-S862</f>
        <v/>
      </c>
      <c r="U862" s="2">
        <f>U861-IF(N862="已下單",1,0)</f>
        <v/>
      </c>
      <c r="V862" s="19">
        <f>IF(資金模擬!$B$9=2,MAX(R862,0),MAX(V861,FLOOR(MAX(R862,0),資金模擬!$B$6)))</f>
        <v/>
      </c>
      <c r="W862" s="13">
        <f>MAX(W861,R862)</f>
        <v/>
      </c>
      <c r="X862" s="4">
        <f>IF(W862&gt;0,R862/W862-1,-1)</f>
        <v/>
      </c>
      <c r="Y862" s="19">
        <f>IF(R862&gt;0,S862*資金模擬!$B$7/R862,0)</f>
        <v/>
      </c>
      <c r="Z862" s="2">
        <f>IF(OR(Z861=1,R862&lt;=資金模擬!$B$10),1,0)</f>
        <v/>
      </c>
    </row>
    <row r="863">
      <c r="A863" s="2" t="n">
        <v>861</v>
      </c>
      <c r="B863" s="7" t="n">
        <v>46289.04166666666</v>
      </c>
      <c r="C863" s="2" t="inlineStr">
        <is>
          <t>出場</t>
        </is>
      </c>
      <c r="D863" s="2" t="n">
        <v>432</v>
      </c>
      <c r="E863" s="2" t="inlineStr">
        <is>
          <t>MARSCOIN_USDT_PERP</t>
        </is>
      </c>
      <c r="F863" s="2" t="inlineStr">
        <is>
          <t>做空</t>
        </is>
      </c>
      <c r="G863" s="20" t="n">
        <v>0.12647</v>
      </c>
      <c r="H863" s="20" t="n">
        <v>0.1226759</v>
      </c>
      <c r="I863" s="20" t="n">
        <v>0.1327935</v>
      </c>
      <c r="J863" s="20" t="n">
        <v>0.1327935</v>
      </c>
      <c r="K863" s="2" t="inlineStr">
        <is>
          <t>止損</t>
        </is>
      </c>
      <c r="L863" s="5">
        <f>交易明細!K433</f>
        <v/>
      </c>
      <c r="M863" s="19">
        <f>M852</f>
        <v/>
      </c>
      <c r="N863" s="2">
        <f>N852</f>
        <v/>
      </c>
      <c r="O863" s="19">
        <f>O852</f>
        <v/>
      </c>
      <c r="P863" s="4">
        <f>交易明細!L433</f>
        <v/>
      </c>
      <c r="Q863" s="13">
        <f>IF(N863="已下單",O863*P863,0)</f>
        <v/>
      </c>
      <c r="R863" s="13">
        <f>R862+Q863</f>
        <v/>
      </c>
      <c r="S863" s="19">
        <f>S862-IF(N863="已下單",M863,0)</f>
        <v/>
      </c>
      <c r="T863" s="19">
        <f>R863-S863</f>
        <v/>
      </c>
      <c r="U863" s="2">
        <f>U862-IF(N863="已下單",1,0)</f>
        <v/>
      </c>
      <c r="V863" s="19">
        <f>IF(資金模擬!$B$9=2,MAX(R863,0),MAX(V862,FLOOR(MAX(R863,0),資金模擬!$B$6)))</f>
        <v/>
      </c>
      <c r="W863" s="13">
        <f>MAX(W862,R863)</f>
        <v/>
      </c>
      <c r="X863" s="4">
        <f>IF(W863&gt;0,R863/W863-1,-1)</f>
        <v/>
      </c>
      <c r="Y863" s="19">
        <f>IF(R863&gt;0,S863*資金模擬!$B$7/R863,0)</f>
        <v/>
      </c>
      <c r="Z863" s="2">
        <f>IF(OR(Z862=1,R863&lt;=資金模擬!$B$10),1,0)</f>
        <v/>
      </c>
    </row>
    <row r="864">
      <c r="A864" s="2" t="n">
        <v>862</v>
      </c>
      <c r="B864" s="7" t="n">
        <v>46289.04166666666</v>
      </c>
      <c r="C864" s="2" t="inlineStr">
        <is>
          <t>進場</t>
        </is>
      </c>
      <c r="D864" s="2" t="n">
        <v>436</v>
      </c>
      <c r="E864" s="2" t="inlineStr">
        <is>
          <t>MET_USDT_PERP</t>
        </is>
      </c>
      <c r="F864" s="2" t="inlineStr">
        <is>
          <t>做空</t>
        </is>
      </c>
      <c r="G864" s="20" t="n">
        <v>0.3528</v>
      </c>
      <c r="H864" s="20" t="n">
        <v>0.342216</v>
      </c>
      <c r="I864" s="20" t="n">
        <v>0.37044</v>
      </c>
      <c r="J864" s="20" t="n"/>
      <c r="K864" s="2" t="n"/>
      <c r="L864" s="5" t="n"/>
      <c r="M864" s="19">
        <f>資金模擬!$B$5*V863</f>
        <v/>
      </c>
      <c r="N864" s="2">
        <f>IF(Z863=1,"已停止",IF(T863&gt;=M864,"已下單","資金不足略過"))</f>
        <v/>
      </c>
      <c r="O864" s="19">
        <f>IF(N864="已下單",M864*資金模擬!$B$7,0)</f>
        <v/>
      </c>
      <c r="P864" s="4" t="n"/>
      <c r="Q864" s="13" t="n">
        <v>0</v>
      </c>
      <c r="R864" s="13">
        <f>R863+Q864</f>
        <v/>
      </c>
      <c r="S864" s="19">
        <f>S863+IF(N864="已下單",M864,0)</f>
        <v/>
      </c>
      <c r="T864" s="19">
        <f>R864-S864</f>
        <v/>
      </c>
      <c r="U864" s="2">
        <f>U863+IF(N864="已下單",1,0)</f>
        <v/>
      </c>
      <c r="V864" s="19">
        <f>IF(資金模擬!$B$9=2,MAX(R864,0),MAX(V863,FLOOR(MAX(R864,0),資金模擬!$B$6)))</f>
        <v/>
      </c>
      <c r="W864" s="13">
        <f>MAX(W863,R864)</f>
        <v/>
      </c>
      <c r="X864" s="4">
        <f>IF(W864&gt;0,R864/W864-1,-1)</f>
        <v/>
      </c>
      <c r="Y864" s="19">
        <f>IF(R864&gt;0,S864*資金模擬!$B$7/R864,0)</f>
        <v/>
      </c>
      <c r="Z864" s="2">
        <f>IF(OR(Z863=1,R864&lt;=資金模擬!$B$10),1,0)</f>
        <v/>
      </c>
    </row>
    <row r="865">
      <c r="A865" s="2" t="n">
        <v>863</v>
      </c>
      <c r="B865" s="7" t="n">
        <v>46289.04166666666</v>
      </c>
      <c r="C865" s="2" t="inlineStr">
        <is>
          <t>進場</t>
        </is>
      </c>
      <c r="D865" s="2" t="n">
        <v>437</v>
      </c>
      <c r="E865" s="2" t="inlineStr">
        <is>
          <t>ZRO_USDT_PERP</t>
        </is>
      </c>
      <c r="F865" s="2" t="inlineStr">
        <is>
          <t>做多</t>
        </is>
      </c>
      <c r="G865" s="20" t="n">
        <v>1.4611</v>
      </c>
      <c r="H865" s="20" t="n">
        <v>1.504933</v>
      </c>
      <c r="I865" s="20" t="n">
        <v>1.388045</v>
      </c>
      <c r="J865" s="20" t="n"/>
      <c r="K865" s="2" t="n"/>
      <c r="L865" s="5" t="n"/>
      <c r="M865" s="19">
        <f>資金模擬!$B$5*V864</f>
        <v/>
      </c>
      <c r="N865" s="2">
        <f>IF(Z864=1,"已停止",IF(T864&gt;=M865,"已下單","資金不足略過"))</f>
        <v/>
      </c>
      <c r="O865" s="19">
        <f>IF(N865="已下單",M865*資金模擬!$B$7,0)</f>
        <v/>
      </c>
      <c r="P865" s="4" t="n"/>
      <c r="Q865" s="13" t="n">
        <v>0</v>
      </c>
      <c r="R865" s="13">
        <f>R864+Q865</f>
        <v/>
      </c>
      <c r="S865" s="19">
        <f>S864+IF(N865="已下單",M865,0)</f>
        <v/>
      </c>
      <c r="T865" s="19">
        <f>R865-S865</f>
        <v/>
      </c>
      <c r="U865" s="2">
        <f>U864+IF(N865="已下單",1,0)</f>
        <v/>
      </c>
      <c r="V865" s="19">
        <f>IF(資金模擬!$B$9=2,MAX(R865,0),MAX(V864,FLOOR(MAX(R865,0),資金模擬!$B$6)))</f>
        <v/>
      </c>
      <c r="W865" s="13">
        <f>MAX(W864,R865)</f>
        <v/>
      </c>
      <c r="X865" s="4">
        <f>IF(W865&gt;0,R865/W865-1,-1)</f>
        <v/>
      </c>
      <c r="Y865" s="19">
        <f>IF(R865&gt;0,S865*資金模擬!$B$7/R865,0)</f>
        <v/>
      </c>
      <c r="Z865" s="2">
        <f>IF(OR(Z864=1,R865&lt;=資金模擬!$B$10),1,0)</f>
        <v/>
      </c>
    </row>
    <row r="866">
      <c r="A866" s="2" t="n">
        <v>864</v>
      </c>
      <c r="B866" s="7" t="n">
        <v>46289.08333333334</v>
      </c>
      <c r="C866" s="2" t="inlineStr">
        <is>
          <t>出場</t>
        </is>
      </c>
      <c r="D866" s="2" t="n">
        <v>428</v>
      </c>
      <c r="E866" s="2" t="inlineStr">
        <is>
          <t>ENA_USDT_PERP</t>
        </is>
      </c>
      <c r="F866" s="2" t="inlineStr">
        <is>
          <t>做空</t>
        </is>
      </c>
      <c r="G866" s="20" t="n">
        <v>0.2019</v>
      </c>
      <c r="H866" s="20" t="n">
        <v>0.195843</v>
      </c>
      <c r="I866" s="20" t="n">
        <v>0.211995</v>
      </c>
      <c r="J866" s="20" t="n">
        <v>0.211995</v>
      </c>
      <c r="K866" s="2" t="inlineStr">
        <is>
          <t>止損</t>
        </is>
      </c>
      <c r="L866" s="5">
        <f>交易明細!K429</f>
        <v/>
      </c>
      <c r="M866" s="19">
        <f>M848</f>
        <v/>
      </c>
      <c r="N866" s="2">
        <f>N848</f>
        <v/>
      </c>
      <c r="O866" s="19">
        <f>O848</f>
        <v/>
      </c>
      <c r="P866" s="4">
        <f>交易明細!L429</f>
        <v/>
      </c>
      <c r="Q866" s="13">
        <f>IF(N866="已下單",O866*P866,0)</f>
        <v/>
      </c>
      <c r="R866" s="13">
        <f>R865+Q866</f>
        <v/>
      </c>
      <c r="S866" s="19">
        <f>S865-IF(N866="已下單",M866,0)</f>
        <v/>
      </c>
      <c r="T866" s="19">
        <f>R866-S866</f>
        <v/>
      </c>
      <c r="U866" s="2">
        <f>U865-IF(N866="已下單",1,0)</f>
        <v/>
      </c>
      <c r="V866" s="19">
        <f>IF(資金模擬!$B$9=2,MAX(R866,0),MAX(V865,FLOOR(MAX(R866,0),資金模擬!$B$6)))</f>
        <v/>
      </c>
      <c r="W866" s="13">
        <f>MAX(W865,R866)</f>
        <v/>
      </c>
      <c r="X866" s="4">
        <f>IF(W866&gt;0,R866/W866-1,-1)</f>
        <v/>
      </c>
      <c r="Y866" s="19">
        <f>IF(R866&gt;0,S866*資金模擬!$B$7/R866,0)</f>
        <v/>
      </c>
      <c r="Z866" s="2">
        <f>IF(OR(Z865=1,R866&lt;=資金模擬!$B$10),1,0)</f>
        <v/>
      </c>
    </row>
    <row r="867">
      <c r="A867" s="2" t="n">
        <v>865</v>
      </c>
      <c r="B867" s="7" t="n">
        <v>46289.08333333334</v>
      </c>
      <c r="C867" s="2" t="inlineStr">
        <is>
          <t>出場</t>
        </is>
      </c>
      <c r="D867" s="2" t="n">
        <v>437</v>
      </c>
      <c r="E867" s="2" t="inlineStr">
        <is>
          <t>ZRO_USDT_PERP</t>
        </is>
      </c>
      <c r="F867" s="2" t="inlineStr">
        <is>
          <t>做多</t>
        </is>
      </c>
      <c r="G867" s="20" t="n">
        <v>1.4611</v>
      </c>
      <c r="H867" s="20" t="n">
        <v>1.504933</v>
      </c>
      <c r="I867" s="20" t="n">
        <v>1.388045</v>
      </c>
      <c r="J867" s="20" t="n">
        <v>1.504933</v>
      </c>
      <c r="K867" s="2" t="inlineStr">
        <is>
          <t>止盈</t>
        </is>
      </c>
      <c r="L867" s="5">
        <f>交易明細!K438</f>
        <v/>
      </c>
      <c r="M867" s="19">
        <f>M865</f>
        <v/>
      </c>
      <c r="N867" s="2">
        <f>N865</f>
        <v/>
      </c>
      <c r="O867" s="19">
        <f>O865</f>
        <v/>
      </c>
      <c r="P867" s="4">
        <f>交易明細!L438</f>
        <v/>
      </c>
      <c r="Q867" s="13">
        <f>IF(N867="已下單",O867*P867,0)</f>
        <v/>
      </c>
      <c r="R867" s="13">
        <f>R866+Q867</f>
        <v/>
      </c>
      <c r="S867" s="19">
        <f>S866-IF(N867="已下單",M867,0)</f>
        <v/>
      </c>
      <c r="T867" s="19">
        <f>R867-S867</f>
        <v/>
      </c>
      <c r="U867" s="2">
        <f>U866-IF(N867="已下單",1,0)</f>
        <v/>
      </c>
      <c r="V867" s="19">
        <f>IF(資金模擬!$B$9=2,MAX(R867,0),MAX(V866,FLOOR(MAX(R867,0),資金模擬!$B$6)))</f>
        <v/>
      </c>
      <c r="W867" s="13">
        <f>MAX(W866,R867)</f>
        <v/>
      </c>
      <c r="X867" s="4">
        <f>IF(W867&gt;0,R867/W867-1,-1)</f>
        <v/>
      </c>
      <c r="Y867" s="19">
        <f>IF(R867&gt;0,S867*資金模擬!$B$7/R867,0)</f>
        <v/>
      </c>
      <c r="Z867" s="2">
        <f>IF(OR(Z866=1,R867&lt;=資金模擬!$B$10),1,0)</f>
        <v/>
      </c>
    </row>
    <row r="868">
      <c r="A868" s="2" t="n">
        <v>866</v>
      </c>
      <c r="B868" s="7" t="n">
        <v>46289.08333333334</v>
      </c>
      <c r="C868" s="2" t="inlineStr">
        <is>
          <t>進場</t>
        </is>
      </c>
      <c r="D868" s="2" t="n">
        <v>438</v>
      </c>
      <c r="E868" s="2" t="inlineStr">
        <is>
          <t>LIT_USDT_PERP</t>
        </is>
      </c>
      <c r="F868" s="2" t="inlineStr">
        <is>
          <t>做多</t>
        </is>
      </c>
      <c r="G868" s="20" t="n">
        <v>5.424</v>
      </c>
      <c r="H868" s="20" t="n">
        <v>5.586720000000001</v>
      </c>
      <c r="I868" s="20" t="n">
        <v>5.1528</v>
      </c>
      <c r="J868" s="20" t="n"/>
      <c r="K868" s="2" t="n"/>
      <c r="L868" s="5" t="n"/>
      <c r="M868" s="19">
        <f>資金模擬!$B$5*V867</f>
        <v/>
      </c>
      <c r="N868" s="2">
        <f>IF(Z867=1,"已停止",IF(T867&gt;=M868,"已下單","資金不足略過"))</f>
        <v/>
      </c>
      <c r="O868" s="19">
        <f>IF(N868="已下單",M868*資金模擬!$B$7,0)</f>
        <v/>
      </c>
      <c r="P868" s="4" t="n"/>
      <c r="Q868" s="13" t="n">
        <v>0</v>
      </c>
      <c r="R868" s="13">
        <f>R867+Q868</f>
        <v/>
      </c>
      <c r="S868" s="19">
        <f>S867+IF(N868="已下單",M868,0)</f>
        <v/>
      </c>
      <c r="T868" s="19">
        <f>R868-S868</f>
        <v/>
      </c>
      <c r="U868" s="2">
        <f>U867+IF(N868="已下單",1,0)</f>
        <v/>
      </c>
      <c r="V868" s="19">
        <f>IF(資金模擬!$B$9=2,MAX(R868,0),MAX(V867,FLOOR(MAX(R868,0),資金模擬!$B$6)))</f>
        <v/>
      </c>
      <c r="W868" s="13">
        <f>MAX(W867,R868)</f>
        <v/>
      </c>
      <c r="X868" s="4">
        <f>IF(W868&gt;0,R868/W868-1,-1)</f>
        <v/>
      </c>
      <c r="Y868" s="19">
        <f>IF(R868&gt;0,S868*資金模擬!$B$7/R868,0)</f>
        <v/>
      </c>
      <c r="Z868" s="2">
        <f>IF(OR(Z867=1,R868&lt;=資金模擬!$B$10),1,0)</f>
        <v/>
      </c>
    </row>
    <row r="869">
      <c r="A869" s="2" t="n">
        <v>867</v>
      </c>
      <c r="B869" s="7" t="n">
        <v>46289.125</v>
      </c>
      <c r="C869" s="2" t="inlineStr">
        <is>
          <t>進場</t>
        </is>
      </c>
      <c r="D869" s="2" t="n">
        <v>439</v>
      </c>
      <c r="E869" s="2" t="inlineStr">
        <is>
          <t>AR_USDT_PERP</t>
        </is>
      </c>
      <c r="F869" s="2" t="inlineStr">
        <is>
          <t>做空</t>
        </is>
      </c>
      <c r="G869" s="20" t="n">
        <v>4.405</v>
      </c>
      <c r="H869" s="20" t="n">
        <v>4.27285</v>
      </c>
      <c r="I869" s="20" t="n">
        <v>4.62525</v>
      </c>
      <c r="J869" s="20" t="n"/>
      <c r="K869" s="2" t="n"/>
      <c r="L869" s="5" t="n"/>
      <c r="M869" s="19">
        <f>資金模擬!$B$5*V868</f>
        <v/>
      </c>
      <c r="N869" s="2">
        <f>IF(Z868=1,"已停止",IF(T868&gt;=M869,"已下單","資金不足略過"))</f>
        <v/>
      </c>
      <c r="O869" s="19">
        <f>IF(N869="已下單",M869*資金模擬!$B$7,0)</f>
        <v/>
      </c>
      <c r="P869" s="4" t="n"/>
      <c r="Q869" s="13" t="n">
        <v>0</v>
      </c>
      <c r="R869" s="13">
        <f>R868+Q869</f>
        <v/>
      </c>
      <c r="S869" s="19">
        <f>S868+IF(N869="已下單",M869,0)</f>
        <v/>
      </c>
      <c r="T869" s="19">
        <f>R869-S869</f>
        <v/>
      </c>
      <c r="U869" s="2">
        <f>U868+IF(N869="已下單",1,0)</f>
        <v/>
      </c>
      <c r="V869" s="19">
        <f>IF(資金模擬!$B$9=2,MAX(R869,0),MAX(V868,FLOOR(MAX(R869,0),資金模擬!$B$6)))</f>
        <v/>
      </c>
      <c r="W869" s="13">
        <f>MAX(W868,R869)</f>
        <v/>
      </c>
      <c r="X869" s="4">
        <f>IF(W869&gt;0,R869/W869-1,-1)</f>
        <v/>
      </c>
      <c r="Y869" s="19">
        <f>IF(R869&gt;0,S869*資金模擬!$B$7/R869,0)</f>
        <v/>
      </c>
      <c r="Z869" s="2">
        <f>IF(OR(Z868=1,R869&lt;=資金模擬!$B$10),1,0)</f>
        <v/>
      </c>
    </row>
    <row r="870">
      <c r="A870" s="2" t="n">
        <v>868</v>
      </c>
      <c r="B870" s="7" t="n">
        <v>46289.16666666666</v>
      </c>
      <c r="C870" s="2" t="inlineStr">
        <is>
          <t>出場</t>
        </is>
      </c>
      <c r="D870" s="2" t="n">
        <v>406</v>
      </c>
      <c r="E870" s="2" t="inlineStr">
        <is>
          <t>KITE_USDT_PERP</t>
        </is>
      </c>
      <c r="F870" s="2" t="inlineStr">
        <is>
          <t>做空</t>
        </is>
      </c>
      <c r="G870" s="20" t="n">
        <v>0.13436</v>
      </c>
      <c r="H870" s="20" t="n">
        <v>0.1303292</v>
      </c>
      <c r="I870" s="20" t="n">
        <v>0.141078</v>
      </c>
      <c r="J870" s="20" t="n">
        <v>0.1303292</v>
      </c>
      <c r="K870" s="2" t="inlineStr">
        <is>
          <t>止盈</t>
        </is>
      </c>
      <c r="L870" s="5">
        <f>交易明細!K407</f>
        <v/>
      </c>
      <c r="M870" s="19">
        <f>M806</f>
        <v/>
      </c>
      <c r="N870" s="2">
        <f>N806</f>
        <v/>
      </c>
      <c r="O870" s="19">
        <f>O806</f>
        <v/>
      </c>
      <c r="P870" s="4">
        <f>交易明細!L407</f>
        <v/>
      </c>
      <c r="Q870" s="13">
        <f>IF(N870="已下單",O870*P870,0)</f>
        <v/>
      </c>
      <c r="R870" s="13">
        <f>R869+Q870</f>
        <v/>
      </c>
      <c r="S870" s="19">
        <f>S869-IF(N870="已下單",M870,0)</f>
        <v/>
      </c>
      <c r="T870" s="19">
        <f>R870-S870</f>
        <v/>
      </c>
      <c r="U870" s="2">
        <f>U869-IF(N870="已下單",1,0)</f>
        <v/>
      </c>
      <c r="V870" s="19">
        <f>IF(資金模擬!$B$9=2,MAX(R870,0),MAX(V869,FLOOR(MAX(R870,0),資金模擬!$B$6)))</f>
        <v/>
      </c>
      <c r="W870" s="13">
        <f>MAX(W869,R870)</f>
        <v/>
      </c>
      <c r="X870" s="4">
        <f>IF(W870&gt;0,R870/W870-1,-1)</f>
        <v/>
      </c>
      <c r="Y870" s="19">
        <f>IF(R870&gt;0,S870*資金模擬!$B$7/R870,0)</f>
        <v/>
      </c>
      <c r="Z870" s="2">
        <f>IF(OR(Z869=1,R870&lt;=資金模擬!$B$10),1,0)</f>
        <v/>
      </c>
    </row>
    <row r="871">
      <c r="A871" s="2" t="n">
        <v>869</v>
      </c>
      <c r="B871" s="7" t="n">
        <v>46289.16666666666</v>
      </c>
      <c r="C871" s="2" t="inlineStr">
        <is>
          <t>出場</t>
        </is>
      </c>
      <c r="D871" s="2" t="n">
        <v>431</v>
      </c>
      <c r="E871" s="2" t="inlineStr">
        <is>
          <t>LSK_USDT_PERP</t>
        </is>
      </c>
      <c r="F871" s="2" t="inlineStr">
        <is>
          <t>做空</t>
        </is>
      </c>
      <c r="G871" s="20" t="n">
        <v>0.3011</v>
      </c>
      <c r="H871" s="20" t="n">
        <v>0.292067</v>
      </c>
      <c r="I871" s="20" t="n">
        <v>0.316155</v>
      </c>
      <c r="J871" s="20" t="n">
        <v>0.316155</v>
      </c>
      <c r="K871" s="2" t="inlineStr">
        <is>
          <t>止損</t>
        </is>
      </c>
      <c r="L871" s="5">
        <f>交易明細!K432</f>
        <v/>
      </c>
      <c r="M871" s="19">
        <f>M851</f>
        <v/>
      </c>
      <c r="N871" s="2">
        <f>N851</f>
        <v/>
      </c>
      <c r="O871" s="19">
        <f>O851</f>
        <v/>
      </c>
      <c r="P871" s="4">
        <f>交易明細!L432</f>
        <v/>
      </c>
      <c r="Q871" s="13">
        <f>IF(N871="已下單",O871*P871,0)</f>
        <v/>
      </c>
      <c r="R871" s="13">
        <f>R870+Q871</f>
        <v/>
      </c>
      <c r="S871" s="19">
        <f>S870-IF(N871="已下單",M871,0)</f>
        <v/>
      </c>
      <c r="T871" s="19">
        <f>R871-S871</f>
        <v/>
      </c>
      <c r="U871" s="2">
        <f>U870-IF(N871="已下單",1,0)</f>
        <v/>
      </c>
      <c r="V871" s="19">
        <f>IF(資金模擬!$B$9=2,MAX(R871,0),MAX(V870,FLOOR(MAX(R871,0),資金模擬!$B$6)))</f>
        <v/>
      </c>
      <c r="W871" s="13">
        <f>MAX(W870,R871)</f>
        <v/>
      </c>
      <c r="X871" s="4">
        <f>IF(W871&gt;0,R871/W871-1,-1)</f>
        <v/>
      </c>
      <c r="Y871" s="19">
        <f>IF(R871&gt;0,S871*資金模擬!$B$7/R871,0)</f>
        <v/>
      </c>
      <c r="Z871" s="2">
        <f>IF(OR(Z870=1,R871&lt;=資金模擬!$B$10),1,0)</f>
        <v/>
      </c>
    </row>
    <row r="872">
      <c r="A872" s="2" t="n">
        <v>870</v>
      </c>
      <c r="B872" s="7" t="n">
        <v>46289.16666666666</v>
      </c>
      <c r="C872" s="2" t="inlineStr">
        <is>
          <t>進場</t>
        </is>
      </c>
      <c r="D872" s="2" t="n">
        <v>440</v>
      </c>
      <c r="E872" s="2" t="inlineStr">
        <is>
          <t>AKE_USDT_PERP</t>
        </is>
      </c>
      <c r="F872" s="2" t="inlineStr">
        <is>
          <t>做空</t>
        </is>
      </c>
      <c r="G872" s="20" t="n">
        <v>0.0457845</v>
      </c>
      <c r="H872" s="20" t="n">
        <v>0.044410965</v>
      </c>
      <c r="I872" s="20" t="n">
        <v>0.048073725</v>
      </c>
      <c r="J872" s="20" t="n"/>
      <c r="K872" s="2" t="n"/>
      <c r="L872" s="5" t="n"/>
      <c r="M872" s="19">
        <f>資金模擬!$B$5*V871</f>
        <v/>
      </c>
      <c r="N872" s="2">
        <f>IF(Z871=1,"已停止",IF(T871&gt;=M872,"已下單","資金不足略過"))</f>
        <v/>
      </c>
      <c r="O872" s="19">
        <f>IF(N872="已下單",M872*資金模擬!$B$7,0)</f>
        <v/>
      </c>
      <c r="P872" s="4" t="n"/>
      <c r="Q872" s="13" t="n">
        <v>0</v>
      </c>
      <c r="R872" s="13">
        <f>R871+Q872</f>
        <v/>
      </c>
      <c r="S872" s="19">
        <f>S871+IF(N872="已下單",M872,0)</f>
        <v/>
      </c>
      <c r="T872" s="19">
        <f>R872-S872</f>
        <v/>
      </c>
      <c r="U872" s="2">
        <f>U871+IF(N872="已下單",1,0)</f>
        <v/>
      </c>
      <c r="V872" s="19">
        <f>IF(資金模擬!$B$9=2,MAX(R872,0),MAX(V871,FLOOR(MAX(R872,0),資金模擬!$B$6)))</f>
        <v/>
      </c>
      <c r="W872" s="13">
        <f>MAX(W871,R872)</f>
        <v/>
      </c>
      <c r="X872" s="4">
        <f>IF(W872&gt;0,R872/W872-1,-1)</f>
        <v/>
      </c>
      <c r="Y872" s="19">
        <f>IF(R872&gt;0,S872*資金模擬!$B$7/R872,0)</f>
        <v/>
      </c>
      <c r="Z872" s="2">
        <f>IF(OR(Z871=1,R872&lt;=資金模擬!$B$10),1,0)</f>
        <v/>
      </c>
    </row>
    <row r="873">
      <c r="A873" s="2" t="n">
        <v>871</v>
      </c>
      <c r="B873" s="7" t="n">
        <v>46289.20833333334</v>
      </c>
      <c r="C873" s="2" t="inlineStr">
        <is>
          <t>出場</t>
        </is>
      </c>
      <c r="D873" s="2" t="n">
        <v>435</v>
      </c>
      <c r="E873" s="2" t="inlineStr">
        <is>
          <t>PONS_USDT_PERP</t>
        </is>
      </c>
      <c r="F873" s="2" t="inlineStr">
        <is>
          <t>做空</t>
        </is>
      </c>
      <c r="G873" s="20" t="n">
        <v>0.6631</v>
      </c>
      <c r="H873" s="20" t="n">
        <v>0.643207</v>
      </c>
      <c r="I873" s="20" t="n">
        <v>0.6962550000000001</v>
      </c>
      <c r="J873" s="20" t="n">
        <v>0.643207</v>
      </c>
      <c r="K873" s="2" t="inlineStr">
        <is>
          <t>止盈</t>
        </is>
      </c>
      <c r="L873" s="5">
        <f>交易明細!K436</f>
        <v/>
      </c>
      <c r="M873" s="19">
        <f>M855</f>
        <v/>
      </c>
      <c r="N873" s="2">
        <f>N855</f>
        <v/>
      </c>
      <c r="O873" s="19">
        <f>O855</f>
        <v/>
      </c>
      <c r="P873" s="4">
        <f>交易明細!L436</f>
        <v/>
      </c>
      <c r="Q873" s="13">
        <f>IF(N873="已下單",O873*P873,0)</f>
        <v/>
      </c>
      <c r="R873" s="13">
        <f>R872+Q873</f>
        <v/>
      </c>
      <c r="S873" s="19">
        <f>S872-IF(N873="已下單",M873,0)</f>
        <v/>
      </c>
      <c r="T873" s="19">
        <f>R873-S873</f>
        <v/>
      </c>
      <c r="U873" s="2">
        <f>U872-IF(N873="已下單",1,0)</f>
        <v/>
      </c>
      <c r="V873" s="19">
        <f>IF(資金模擬!$B$9=2,MAX(R873,0),MAX(V872,FLOOR(MAX(R873,0),資金模擬!$B$6)))</f>
        <v/>
      </c>
      <c r="W873" s="13">
        <f>MAX(W872,R873)</f>
        <v/>
      </c>
      <c r="X873" s="4">
        <f>IF(W873&gt;0,R873/W873-1,-1)</f>
        <v/>
      </c>
      <c r="Y873" s="19">
        <f>IF(R873&gt;0,S873*資金模擬!$B$7/R873,0)</f>
        <v/>
      </c>
      <c r="Z873" s="2">
        <f>IF(OR(Z872=1,R873&lt;=資金模擬!$B$10),1,0)</f>
        <v/>
      </c>
    </row>
    <row r="874">
      <c r="A874" s="2" t="n">
        <v>872</v>
      </c>
      <c r="B874" s="7" t="n">
        <v>46289.20833333334</v>
      </c>
      <c r="C874" s="2" t="inlineStr">
        <is>
          <t>出場</t>
        </is>
      </c>
      <c r="D874" s="2" t="n">
        <v>436</v>
      </c>
      <c r="E874" s="2" t="inlineStr">
        <is>
          <t>MET_USDT_PERP</t>
        </is>
      </c>
      <c r="F874" s="2" t="inlineStr">
        <is>
          <t>做空</t>
        </is>
      </c>
      <c r="G874" s="20" t="n">
        <v>0.3528</v>
      </c>
      <c r="H874" s="20" t="n">
        <v>0.342216</v>
      </c>
      <c r="I874" s="20" t="n">
        <v>0.37044</v>
      </c>
      <c r="J874" s="20" t="n">
        <v>0.342216</v>
      </c>
      <c r="K874" s="2" t="inlineStr">
        <is>
          <t>止盈</t>
        </is>
      </c>
      <c r="L874" s="5">
        <f>交易明細!K437</f>
        <v/>
      </c>
      <c r="M874" s="19">
        <f>M864</f>
        <v/>
      </c>
      <c r="N874" s="2">
        <f>N864</f>
        <v/>
      </c>
      <c r="O874" s="19">
        <f>O864</f>
        <v/>
      </c>
      <c r="P874" s="4">
        <f>交易明細!L437</f>
        <v/>
      </c>
      <c r="Q874" s="13">
        <f>IF(N874="已下單",O874*P874,0)</f>
        <v/>
      </c>
      <c r="R874" s="13">
        <f>R873+Q874</f>
        <v/>
      </c>
      <c r="S874" s="19">
        <f>S873-IF(N874="已下單",M874,0)</f>
        <v/>
      </c>
      <c r="T874" s="19">
        <f>R874-S874</f>
        <v/>
      </c>
      <c r="U874" s="2">
        <f>U873-IF(N874="已下單",1,0)</f>
        <v/>
      </c>
      <c r="V874" s="19">
        <f>IF(資金模擬!$B$9=2,MAX(R874,0),MAX(V873,FLOOR(MAX(R874,0),資金模擬!$B$6)))</f>
        <v/>
      </c>
      <c r="W874" s="13">
        <f>MAX(W873,R874)</f>
        <v/>
      </c>
      <c r="X874" s="4">
        <f>IF(W874&gt;0,R874/W874-1,-1)</f>
        <v/>
      </c>
      <c r="Y874" s="19">
        <f>IF(R874&gt;0,S874*資金模擬!$B$7/R874,0)</f>
        <v/>
      </c>
      <c r="Z874" s="2">
        <f>IF(OR(Z873=1,R874&lt;=資金模擬!$B$10),1,0)</f>
        <v/>
      </c>
    </row>
    <row r="875">
      <c r="A875" s="2" t="n">
        <v>873</v>
      </c>
      <c r="B875" s="7" t="n">
        <v>46289.20833333334</v>
      </c>
      <c r="C875" s="2" t="inlineStr">
        <is>
          <t>出場</t>
        </is>
      </c>
      <c r="D875" s="2" t="n">
        <v>440</v>
      </c>
      <c r="E875" s="2" t="inlineStr">
        <is>
          <t>AKE_USDT_PERP</t>
        </is>
      </c>
      <c r="F875" s="2" t="inlineStr">
        <is>
          <t>做空</t>
        </is>
      </c>
      <c r="G875" s="20" t="n">
        <v>0.0457845</v>
      </c>
      <c r="H875" s="20" t="n">
        <v>0.044410965</v>
      </c>
      <c r="I875" s="20" t="n">
        <v>0.048073725</v>
      </c>
      <c r="J875" s="20" t="n">
        <v>0.044410965</v>
      </c>
      <c r="K875" s="2" t="inlineStr">
        <is>
          <t>止盈</t>
        </is>
      </c>
      <c r="L875" s="5">
        <f>交易明細!K441</f>
        <v/>
      </c>
      <c r="M875" s="19">
        <f>M872</f>
        <v/>
      </c>
      <c r="N875" s="2">
        <f>N872</f>
        <v/>
      </c>
      <c r="O875" s="19">
        <f>O872</f>
        <v/>
      </c>
      <c r="P875" s="4">
        <f>交易明細!L441</f>
        <v/>
      </c>
      <c r="Q875" s="13">
        <f>IF(N875="已下單",O875*P875,0)</f>
        <v/>
      </c>
      <c r="R875" s="13">
        <f>R874+Q875</f>
        <v/>
      </c>
      <c r="S875" s="19">
        <f>S874-IF(N875="已下單",M875,0)</f>
        <v/>
      </c>
      <c r="T875" s="19">
        <f>R875-S875</f>
        <v/>
      </c>
      <c r="U875" s="2">
        <f>U874-IF(N875="已下單",1,0)</f>
        <v/>
      </c>
      <c r="V875" s="19">
        <f>IF(資金模擬!$B$9=2,MAX(R875,0),MAX(V874,FLOOR(MAX(R875,0),資金模擬!$B$6)))</f>
        <v/>
      </c>
      <c r="W875" s="13">
        <f>MAX(W874,R875)</f>
        <v/>
      </c>
      <c r="X875" s="4">
        <f>IF(W875&gt;0,R875/W875-1,-1)</f>
        <v/>
      </c>
      <c r="Y875" s="19">
        <f>IF(R875&gt;0,S875*資金模擬!$B$7/R875,0)</f>
        <v/>
      </c>
      <c r="Z875" s="2">
        <f>IF(OR(Z874=1,R875&lt;=資金模擬!$B$10),1,0)</f>
        <v/>
      </c>
    </row>
    <row r="876">
      <c r="A876" s="2" t="n">
        <v>874</v>
      </c>
      <c r="B876" s="7" t="n">
        <v>46289.20833333334</v>
      </c>
      <c r="C876" s="2" t="inlineStr">
        <is>
          <t>進場</t>
        </is>
      </c>
      <c r="D876" s="2" t="n">
        <v>441</v>
      </c>
      <c r="E876" s="2" t="inlineStr">
        <is>
          <t>BCH_USDT_PERP</t>
        </is>
      </c>
      <c r="F876" s="2" t="inlineStr">
        <is>
          <t>做空</t>
        </is>
      </c>
      <c r="G876" s="20" t="n">
        <v>338.14</v>
      </c>
      <c r="H876" s="20" t="n">
        <v>327.9958</v>
      </c>
      <c r="I876" s="20" t="n">
        <v>355.047</v>
      </c>
      <c r="J876" s="20" t="n"/>
      <c r="K876" s="2" t="n"/>
      <c r="L876" s="5" t="n"/>
      <c r="M876" s="19">
        <f>資金模擬!$B$5*V875</f>
        <v/>
      </c>
      <c r="N876" s="2">
        <f>IF(Z875=1,"已停止",IF(T875&gt;=M876,"已下單","資金不足略過"))</f>
        <v/>
      </c>
      <c r="O876" s="19">
        <f>IF(N876="已下單",M876*資金模擬!$B$7,0)</f>
        <v/>
      </c>
      <c r="P876" s="4" t="n"/>
      <c r="Q876" s="13" t="n">
        <v>0</v>
      </c>
      <c r="R876" s="13">
        <f>R875+Q876</f>
        <v/>
      </c>
      <c r="S876" s="19">
        <f>S875+IF(N876="已下單",M876,0)</f>
        <v/>
      </c>
      <c r="T876" s="19">
        <f>R876-S876</f>
        <v/>
      </c>
      <c r="U876" s="2">
        <f>U875+IF(N876="已下單",1,0)</f>
        <v/>
      </c>
      <c r="V876" s="19">
        <f>IF(資金模擬!$B$9=2,MAX(R876,0),MAX(V875,FLOOR(MAX(R876,0),資金模擬!$B$6)))</f>
        <v/>
      </c>
      <c r="W876" s="13">
        <f>MAX(W875,R876)</f>
        <v/>
      </c>
      <c r="X876" s="4">
        <f>IF(W876&gt;0,R876/W876-1,-1)</f>
        <v/>
      </c>
      <c r="Y876" s="19">
        <f>IF(R876&gt;0,S876*資金模擬!$B$7/R876,0)</f>
        <v/>
      </c>
      <c r="Z876" s="2">
        <f>IF(OR(Z875=1,R876&lt;=資金模擬!$B$10),1,0)</f>
        <v/>
      </c>
    </row>
    <row r="877">
      <c r="A877" s="2" t="n">
        <v>875</v>
      </c>
      <c r="B877" s="7" t="n">
        <v>46289.25</v>
      </c>
      <c r="C877" s="2" t="inlineStr">
        <is>
          <t>進場</t>
        </is>
      </c>
      <c r="D877" s="2" t="n">
        <v>442</v>
      </c>
      <c r="E877" s="2" t="inlineStr">
        <is>
          <t>NIL_USDT_PERP</t>
        </is>
      </c>
      <c r="F877" s="2" t="inlineStr">
        <is>
          <t>做多</t>
        </is>
      </c>
      <c r="G877" s="20" t="n">
        <v>0.09933</v>
      </c>
      <c r="H877" s="20" t="n">
        <v>0.1023099</v>
      </c>
      <c r="I877" s="20" t="n">
        <v>0.0943635</v>
      </c>
      <c r="J877" s="20" t="n"/>
      <c r="K877" s="2" t="n"/>
      <c r="L877" s="5" t="n"/>
      <c r="M877" s="19">
        <f>資金模擬!$B$5*V876</f>
        <v/>
      </c>
      <c r="N877" s="2">
        <f>IF(Z876=1,"已停止",IF(T876&gt;=M877,"已下單","資金不足略過"))</f>
        <v/>
      </c>
      <c r="O877" s="19">
        <f>IF(N877="已下單",M877*資金模擬!$B$7,0)</f>
        <v/>
      </c>
      <c r="P877" s="4" t="n"/>
      <c r="Q877" s="13" t="n">
        <v>0</v>
      </c>
      <c r="R877" s="13">
        <f>R876+Q877</f>
        <v/>
      </c>
      <c r="S877" s="19">
        <f>S876+IF(N877="已下單",M877,0)</f>
        <v/>
      </c>
      <c r="T877" s="19">
        <f>R877-S877</f>
        <v/>
      </c>
      <c r="U877" s="2">
        <f>U876+IF(N877="已下單",1,0)</f>
        <v/>
      </c>
      <c r="V877" s="19">
        <f>IF(資金模擬!$B$9=2,MAX(R877,0),MAX(V876,FLOOR(MAX(R877,0),資金模擬!$B$6)))</f>
        <v/>
      </c>
      <c r="W877" s="13">
        <f>MAX(W876,R877)</f>
        <v/>
      </c>
      <c r="X877" s="4">
        <f>IF(W877&gt;0,R877/W877-1,-1)</f>
        <v/>
      </c>
      <c r="Y877" s="19">
        <f>IF(R877&gt;0,S877*資金模擬!$B$7/R877,0)</f>
        <v/>
      </c>
      <c r="Z877" s="2">
        <f>IF(OR(Z876=1,R877&lt;=資金模擬!$B$10),1,0)</f>
        <v/>
      </c>
    </row>
    <row r="878">
      <c r="A878" s="2" t="n">
        <v>876</v>
      </c>
      <c r="B878" s="7" t="n">
        <v>46289.29166666666</v>
      </c>
      <c r="C878" s="2" t="inlineStr">
        <is>
          <t>出場</t>
        </is>
      </c>
      <c r="D878" s="2" t="n">
        <v>442</v>
      </c>
      <c r="E878" s="2" t="inlineStr">
        <is>
          <t>NIL_USDT_PERP</t>
        </is>
      </c>
      <c r="F878" s="2" t="inlineStr">
        <is>
          <t>做多</t>
        </is>
      </c>
      <c r="G878" s="20" t="n">
        <v>0.09933</v>
      </c>
      <c r="H878" s="20" t="n">
        <v>0.1023099</v>
      </c>
      <c r="I878" s="20" t="n">
        <v>0.0943635</v>
      </c>
      <c r="J878" s="20" t="n">
        <v>0.1023099</v>
      </c>
      <c r="K878" s="2" t="inlineStr">
        <is>
          <t>止盈</t>
        </is>
      </c>
      <c r="L878" s="5">
        <f>交易明細!K443</f>
        <v/>
      </c>
      <c r="M878" s="19">
        <f>M877</f>
        <v/>
      </c>
      <c r="N878" s="2">
        <f>N877</f>
        <v/>
      </c>
      <c r="O878" s="19">
        <f>O877</f>
        <v/>
      </c>
      <c r="P878" s="4">
        <f>交易明細!L443</f>
        <v/>
      </c>
      <c r="Q878" s="13">
        <f>IF(N878="已下單",O878*P878,0)</f>
        <v/>
      </c>
      <c r="R878" s="13">
        <f>R877+Q878</f>
        <v/>
      </c>
      <c r="S878" s="19">
        <f>S877-IF(N878="已下單",M878,0)</f>
        <v/>
      </c>
      <c r="T878" s="19">
        <f>R878-S878</f>
        <v/>
      </c>
      <c r="U878" s="2">
        <f>U877-IF(N878="已下單",1,0)</f>
        <v/>
      </c>
      <c r="V878" s="19">
        <f>IF(資金模擬!$B$9=2,MAX(R878,0),MAX(V877,FLOOR(MAX(R878,0),資金模擬!$B$6)))</f>
        <v/>
      </c>
      <c r="W878" s="13">
        <f>MAX(W877,R878)</f>
        <v/>
      </c>
      <c r="X878" s="4">
        <f>IF(W878&gt;0,R878/W878-1,-1)</f>
        <v/>
      </c>
      <c r="Y878" s="19">
        <f>IF(R878&gt;0,S878*資金模擬!$B$7/R878,0)</f>
        <v/>
      </c>
      <c r="Z878" s="2">
        <f>IF(OR(Z877=1,R878&lt;=資金模擬!$B$10),1,0)</f>
        <v/>
      </c>
    </row>
    <row r="879">
      <c r="A879" s="2" t="n">
        <v>877</v>
      </c>
      <c r="B879" s="7" t="n">
        <v>46289.33333333334</v>
      </c>
      <c r="C879" s="2" t="inlineStr">
        <is>
          <t>出場</t>
        </is>
      </c>
      <c r="D879" s="2" t="n">
        <v>439</v>
      </c>
      <c r="E879" s="2" t="inlineStr">
        <is>
          <t>AR_USDT_PERP</t>
        </is>
      </c>
      <c r="F879" s="2" t="inlineStr">
        <is>
          <t>做空</t>
        </is>
      </c>
      <c r="G879" s="20" t="n">
        <v>4.405</v>
      </c>
      <c r="H879" s="20" t="n">
        <v>4.27285</v>
      </c>
      <c r="I879" s="20" t="n">
        <v>4.62525</v>
      </c>
      <c r="J879" s="20" t="n">
        <v>4.27285</v>
      </c>
      <c r="K879" s="2" t="inlineStr">
        <is>
          <t>止盈</t>
        </is>
      </c>
      <c r="L879" s="5">
        <f>交易明細!K440</f>
        <v/>
      </c>
      <c r="M879" s="19">
        <f>M869</f>
        <v/>
      </c>
      <c r="N879" s="2">
        <f>N869</f>
        <v/>
      </c>
      <c r="O879" s="19">
        <f>O869</f>
        <v/>
      </c>
      <c r="P879" s="4">
        <f>交易明細!L440</f>
        <v/>
      </c>
      <c r="Q879" s="13">
        <f>IF(N879="已下單",O879*P879,0)</f>
        <v/>
      </c>
      <c r="R879" s="13">
        <f>R878+Q879</f>
        <v/>
      </c>
      <c r="S879" s="19">
        <f>S878-IF(N879="已下單",M879,0)</f>
        <v/>
      </c>
      <c r="T879" s="19">
        <f>R879-S879</f>
        <v/>
      </c>
      <c r="U879" s="2">
        <f>U878-IF(N879="已下單",1,0)</f>
        <v/>
      </c>
      <c r="V879" s="19">
        <f>IF(資金模擬!$B$9=2,MAX(R879,0),MAX(V878,FLOOR(MAX(R879,0),資金模擬!$B$6)))</f>
        <v/>
      </c>
      <c r="W879" s="13">
        <f>MAX(W878,R879)</f>
        <v/>
      </c>
      <c r="X879" s="4">
        <f>IF(W879&gt;0,R879/W879-1,-1)</f>
        <v/>
      </c>
      <c r="Y879" s="19">
        <f>IF(R879&gt;0,S879*資金模擬!$B$7/R879,0)</f>
        <v/>
      </c>
      <c r="Z879" s="2">
        <f>IF(OR(Z878=1,R879&lt;=資金模擬!$B$10),1,0)</f>
        <v/>
      </c>
    </row>
    <row r="880">
      <c r="A880" s="2" t="n">
        <v>878</v>
      </c>
      <c r="B880" s="7" t="n">
        <v>46289.33333333334</v>
      </c>
      <c r="C880" s="2" t="inlineStr">
        <is>
          <t>進場</t>
        </is>
      </c>
      <c r="D880" s="2" t="n">
        <v>443</v>
      </c>
      <c r="E880" s="2" t="inlineStr">
        <is>
          <t>BR_USDT_PERP</t>
        </is>
      </c>
      <c r="F880" s="2" t="inlineStr">
        <is>
          <t>做空</t>
        </is>
      </c>
      <c r="G880" s="20" t="n">
        <v>1.07648</v>
      </c>
      <c r="H880" s="20" t="n">
        <v>1.0441856</v>
      </c>
      <c r="I880" s="20" t="n">
        <v>1.130304</v>
      </c>
      <c r="J880" s="20" t="n"/>
      <c r="K880" s="2" t="n"/>
      <c r="L880" s="5" t="n"/>
      <c r="M880" s="19">
        <f>資金模擬!$B$5*V879</f>
        <v/>
      </c>
      <c r="N880" s="2">
        <f>IF(Z879=1,"已停止",IF(T879&gt;=M880,"已下單","資金不足略過"))</f>
        <v/>
      </c>
      <c r="O880" s="19">
        <f>IF(N880="已下單",M880*資金模擬!$B$7,0)</f>
        <v/>
      </c>
      <c r="P880" s="4" t="n"/>
      <c r="Q880" s="13" t="n">
        <v>0</v>
      </c>
      <c r="R880" s="13">
        <f>R879+Q880</f>
        <v/>
      </c>
      <c r="S880" s="19">
        <f>S879+IF(N880="已下單",M880,0)</f>
        <v/>
      </c>
      <c r="T880" s="19">
        <f>R880-S880</f>
        <v/>
      </c>
      <c r="U880" s="2">
        <f>U879+IF(N880="已下單",1,0)</f>
        <v/>
      </c>
      <c r="V880" s="19">
        <f>IF(資金模擬!$B$9=2,MAX(R880,0),MAX(V879,FLOOR(MAX(R880,0),資金模擬!$B$6)))</f>
        <v/>
      </c>
      <c r="W880" s="13">
        <f>MAX(W879,R880)</f>
        <v/>
      </c>
      <c r="X880" s="4">
        <f>IF(W880&gt;0,R880/W880-1,-1)</f>
        <v/>
      </c>
      <c r="Y880" s="19">
        <f>IF(R880&gt;0,S880*資金模擬!$B$7/R880,0)</f>
        <v/>
      </c>
      <c r="Z880" s="2">
        <f>IF(OR(Z879=1,R880&lt;=資金模擬!$B$10),1,0)</f>
        <v/>
      </c>
    </row>
    <row r="881">
      <c r="A881" s="2" t="n">
        <v>879</v>
      </c>
      <c r="B881" s="7" t="n">
        <v>46289.41666666666</v>
      </c>
      <c r="C881" s="2" t="inlineStr">
        <is>
          <t>進場</t>
        </is>
      </c>
      <c r="D881" s="2" t="n">
        <v>444</v>
      </c>
      <c r="E881" s="2" t="inlineStr">
        <is>
          <t>MARSCOIN_USDT_PERP</t>
        </is>
      </c>
      <c r="F881" s="2" t="inlineStr">
        <is>
          <t>做空</t>
        </is>
      </c>
      <c r="G881" s="20" t="n">
        <v>0.12601</v>
      </c>
      <c r="H881" s="20" t="n">
        <v>0.1222297</v>
      </c>
      <c r="I881" s="20" t="n">
        <v>0.1323105</v>
      </c>
      <c r="J881" s="20" t="n"/>
      <c r="K881" s="2" t="n"/>
      <c r="L881" s="5" t="n"/>
      <c r="M881" s="19">
        <f>資金模擬!$B$5*V880</f>
        <v/>
      </c>
      <c r="N881" s="2">
        <f>IF(Z880=1,"已停止",IF(T880&gt;=M881,"已下單","資金不足略過"))</f>
        <v/>
      </c>
      <c r="O881" s="19">
        <f>IF(N881="已下單",M881*資金模擬!$B$7,0)</f>
        <v/>
      </c>
      <c r="P881" s="4" t="n"/>
      <c r="Q881" s="13" t="n">
        <v>0</v>
      </c>
      <c r="R881" s="13">
        <f>R880+Q881</f>
        <v/>
      </c>
      <c r="S881" s="19">
        <f>S880+IF(N881="已下單",M881,0)</f>
        <v/>
      </c>
      <c r="T881" s="19">
        <f>R881-S881</f>
        <v/>
      </c>
      <c r="U881" s="2">
        <f>U880+IF(N881="已下單",1,0)</f>
        <v/>
      </c>
      <c r="V881" s="19">
        <f>IF(資金模擬!$B$9=2,MAX(R881,0),MAX(V880,FLOOR(MAX(R881,0),資金模擬!$B$6)))</f>
        <v/>
      </c>
      <c r="W881" s="13">
        <f>MAX(W880,R881)</f>
        <v/>
      </c>
      <c r="X881" s="4">
        <f>IF(W881&gt;0,R881/W881-1,-1)</f>
        <v/>
      </c>
      <c r="Y881" s="19">
        <f>IF(R881&gt;0,S881*資金模擬!$B$7/R881,0)</f>
        <v/>
      </c>
      <c r="Z881" s="2">
        <f>IF(OR(Z880=1,R881&lt;=資金模擬!$B$10),1,0)</f>
        <v/>
      </c>
    </row>
    <row r="882">
      <c r="A882" s="2" t="n">
        <v>880</v>
      </c>
      <c r="B882" s="7" t="n">
        <v>46289.45833333334</v>
      </c>
      <c r="C882" s="2" t="inlineStr">
        <is>
          <t>出場</t>
        </is>
      </c>
      <c r="D882" s="2" t="n">
        <v>421</v>
      </c>
      <c r="E882" s="2" t="inlineStr">
        <is>
          <t>LTC_USDT_PERP</t>
        </is>
      </c>
      <c r="F882" s="2" t="inlineStr">
        <is>
          <t>做空</t>
        </is>
      </c>
      <c r="G882" s="20" t="n">
        <v>60.67</v>
      </c>
      <c r="H882" s="20" t="n">
        <v>58.8499</v>
      </c>
      <c r="I882" s="20" t="n">
        <v>63.70350000000001</v>
      </c>
      <c r="J882" s="20" t="n">
        <v>63.70350000000001</v>
      </c>
      <c r="K882" s="2" t="inlineStr">
        <is>
          <t>止損</t>
        </is>
      </c>
      <c r="L882" s="5">
        <f>交易明細!K422</f>
        <v/>
      </c>
      <c r="M882" s="19">
        <f>M837</f>
        <v/>
      </c>
      <c r="N882" s="2">
        <f>N837</f>
        <v/>
      </c>
      <c r="O882" s="19">
        <f>O837</f>
        <v/>
      </c>
      <c r="P882" s="4">
        <f>交易明細!L422</f>
        <v/>
      </c>
      <c r="Q882" s="13">
        <f>IF(N882="已下單",O882*P882,0)</f>
        <v/>
      </c>
      <c r="R882" s="13">
        <f>R881+Q882</f>
        <v/>
      </c>
      <c r="S882" s="19">
        <f>S881-IF(N882="已下單",M882,0)</f>
        <v/>
      </c>
      <c r="T882" s="19">
        <f>R882-S882</f>
        <v/>
      </c>
      <c r="U882" s="2">
        <f>U881-IF(N882="已下單",1,0)</f>
        <v/>
      </c>
      <c r="V882" s="19">
        <f>IF(資金模擬!$B$9=2,MAX(R882,0),MAX(V881,FLOOR(MAX(R882,0),資金模擬!$B$6)))</f>
        <v/>
      </c>
      <c r="W882" s="13">
        <f>MAX(W881,R882)</f>
        <v/>
      </c>
      <c r="X882" s="4">
        <f>IF(W882&gt;0,R882/W882-1,-1)</f>
        <v/>
      </c>
      <c r="Y882" s="19">
        <f>IF(R882&gt;0,S882*資金模擬!$B$7/R882,0)</f>
        <v/>
      </c>
      <c r="Z882" s="2">
        <f>IF(OR(Z881=1,R882&lt;=資金模擬!$B$10),1,0)</f>
        <v/>
      </c>
    </row>
    <row r="883">
      <c r="A883" s="2" t="n">
        <v>881</v>
      </c>
      <c r="B883" s="7" t="n">
        <v>46289.45833333334</v>
      </c>
      <c r="C883" s="2" t="inlineStr">
        <is>
          <t>出場</t>
        </is>
      </c>
      <c r="D883" s="2" t="n">
        <v>430</v>
      </c>
      <c r="E883" s="2" t="inlineStr">
        <is>
          <t>INJ_USDT_PERP</t>
        </is>
      </c>
      <c r="F883" s="2" t="inlineStr">
        <is>
          <t>做空</t>
        </is>
      </c>
      <c r="G883" s="20" t="n">
        <v>7.655</v>
      </c>
      <c r="H883" s="20" t="n">
        <v>7.42535</v>
      </c>
      <c r="I883" s="20" t="n">
        <v>8.037750000000001</v>
      </c>
      <c r="J883" s="20" t="n">
        <v>8.037750000000001</v>
      </c>
      <c r="K883" s="2" t="inlineStr">
        <is>
          <t>止損</t>
        </is>
      </c>
      <c r="L883" s="5">
        <f>交易明細!K431</f>
        <v/>
      </c>
      <c r="M883" s="19">
        <f>M850</f>
        <v/>
      </c>
      <c r="N883" s="2">
        <f>N850</f>
        <v/>
      </c>
      <c r="O883" s="19">
        <f>O850</f>
        <v/>
      </c>
      <c r="P883" s="4">
        <f>交易明細!L431</f>
        <v/>
      </c>
      <c r="Q883" s="13">
        <f>IF(N883="已下單",O883*P883,0)</f>
        <v/>
      </c>
      <c r="R883" s="13">
        <f>R882+Q883</f>
        <v/>
      </c>
      <c r="S883" s="19">
        <f>S882-IF(N883="已下單",M883,0)</f>
        <v/>
      </c>
      <c r="T883" s="19">
        <f>R883-S883</f>
        <v/>
      </c>
      <c r="U883" s="2">
        <f>U882-IF(N883="已下單",1,0)</f>
        <v/>
      </c>
      <c r="V883" s="19">
        <f>IF(資金模擬!$B$9=2,MAX(R883,0),MAX(V882,FLOOR(MAX(R883,0),資金模擬!$B$6)))</f>
        <v/>
      </c>
      <c r="W883" s="13">
        <f>MAX(W882,R883)</f>
        <v/>
      </c>
      <c r="X883" s="4">
        <f>IF(W883&gt;0,R883/W883-1,-1)</f>
        <v/>
      </c>
      <c r="Y883" s="19">
        <f>IF(R883&gt;0,S883*資金模擬!$B$7/R883,0)</f>
        <v/>
      </c>
      <c r="Z883" s="2">
        <f>IF(OR(Z882=1,R883&lt;=資金模擬!$B$10),1,0)</f>
        <v/>
      </c>
    </row>
    <row r="884">
      <c r="A884" s="2" t="n">
        <v>882</v>
      </c>
      <c r="B884" s="7" t="n">
        <v>46289.54166666666</v>
      </c>
      <c r="C884" s="2" t="inlineStr">
        <is>
          <t>出場</t>
        </is>
      </c>
      <c r="D884" s="2" t="n">
        <v>438</v>
      </c>
      <c r="E884" s="2" t="inlineStr">
        <is>
          <t>LIT_USDT_PERP</t>
        </is>
      </c>
      <c r="F884" s="2" t="inlineStr">
        <is>
          <t>做多</t>
        </is>
      </c>
      <c r="G884" s="20" t="n">
        <v>5.424</v>
      </c>
      <c r="H884" s="20" t="n">
        <v>5.586720000000001</v>
      </c>
      <c r="I884" s="20" t="n">
        <v>5.1528</v>
      </c>
      <c r="J884" s="20" t="n">
        <v>5.1528</v>
      </c>
      <c r="K884" s="2" t="inlineStr">
        <is>
          <t>止損</t>
        </is>
      </c>
      <c r="L884" s="5">
        <f>交易明細!K439</f>
        <v/>
      </c>
      <c r="M884" s="19">
        <f>M868</f>
        <v/>
      </c>
      <c r="N884" s="2">
        <f>N868</f>
        <v/>
      </c>
      <c r="O884" s="19">
        <f>O868</f>
        <v/>
      </c>
      <c r="P884" s="4">
        <f>交易明細!L439</f>
        <v/>
      </c>
      <c r="Q884" s="13">
        <f>IF(N884="已下單",O884*P884,0)</f>
        <v/>
      </c>
      <c r="R884" s="13">
        <f>R883+Q884</f>
        <v/>
      </c>
      <c r="S884" s="19">
        <f>S883-IF(N884="已下單",M884,0)</f>
        <v/>
      </c>
      <c r="T884" s="19">
        <f>R884-S884</f>
        <v/>
      </c>
      <c r="U884" s="2">
        <f>U883-IF(N884="已下單",1,0)</f>
        <v/>
      </c>
      <c r="V884" s="19">
        <f>IF(資金模擬!$B$9=2,MAX(R884,0),MAX(V883,FLOOR(MAX(R884,0),資金模擬!$B$6)))</f>
        <v/>
      </c>
      <c r="W884" s="13">
        <f>MAX(W883,R884)</f>
        <v/>
      </c>
      <c r="X884" s="4">
        <f>IF(W884&gt;0,R884/W884-1,-1)</f>
        <v/>
      </c>
      <c r="Y884" s="19">
        <f>IF(R884&gt;0,S884*資金模擬!$B$7/R884,0)</f>
        <v/>
      </c>
      <c r="Z884" s="2">
        <f>IF(OR(Z883=1,R884&lt;=資金模擬!$B$10),1,0)</f>
        <v/>
      </c>
    </row>
    <row r="885">
      <c r="A885" s="2" t="n">
        <v>883</v>
      </c>
      <c r="B885" s="7" t="n">
        <v>46289.54166666666</v>
      </c>
      <c r="C885" s="2" t="inlineStr">
        <is>
          <t>進場</t>
        </is>
      </c>
      <c r="D885" s="2" t="n">
        <v>445</v>
      </c>
      <c r="E885" s="2" t="inlineStr">
        <is>
          <t>NEAR_USDT_PERP</t>
        </is>
      </c>
      <c r="F885" s="2" t="inlineStr">
        <is>
          <t>做多</t>
        </is>
      </c>
      <c r="G885" s="20" t="n">
        <v>4.494</v>
      </c>
      <c r="H885" s="20" t="n">
        <v>4.62882</v>
      </c>
      <c r="I885" s="20" t="n">
        <v>4.269299999999999</v>
      </c>
      <c r="J885" s="20" t="n"/>
      <c r="K885" s="2" t="n"/>
      <c r="L885" s="5" t="n"/>
      <c r="M885" s="19">
        <f>資金模擬!$B$5*V884</f>
        <v/>
      </c>
      <c r="N885" s="2">
        <f>IF(Z884=1,"已停止",IF(T884&gt;=M885,"已下單","資金不足略過"))</f>
        <v/>
      </c>
      <c r="O885" s="19">
        <f>IF(N885="已下單",M885*資金模擬!$B$7,0)</f>
        <v/>
      </c>
      <c r="P885" s="4" t="n"/>
      <c r="Q885" s="13" t="n">
        <v>0</v>
      </c>
      <c r="R885" s="13">
        <f>R884+Q885</f>
        <v/>
      </c>
      <c r="S885" s="19">
        <f>S884+IF(N885="已下單",M885,0)</f>
        <v/>
      </c>
      <c r="T885" s="19">
        <f>R885-S885</f>
        <v/>
      </c>
      <c r="U885" s="2">
        <f>U884+IF(N885="已下單",1,0)</f>
        <v/>
      </c>
      <c r="V885" s="19">
        <f>IF(資金模擬!$B$9=2,MAX(R885,0),MAX(V884,FLOOR(MAX(R885,0),資金模擬!$B$6)))</f>
        <v/>
      </c>
      <c r="W885" s="13">
        <f>MAX(W884,R885)</f>
        <v/>
      </c>
      <c r="X885" s="4">
        <f>IF(W885&gt;0,R885/W885-1,-1)</f>
        <v/>
      </c>
      <c r="Y885" s="19">
        <f>IF(R885&gt;0,S885*資金模擬!$B$7/R885,0)</f>
        <v/>
      </c>
      <c r="Z885" s="2">
        <f>IF(OR(Z884=1,R885&lt;=資金模擬!$B$10),1,0)</f>
        <v/>
      </c>
    </row>
    <row r="886">
      <c r="A886" s="2" t="n">
        <v>884</v>
      </c>
      <c r="B886" s="7" t="n">
        <v>46289.54166666666</v>
      </c>
      <c r="C886" s="2" t="inlineStr">
        <is>
          <t>進場</t>
        </is>
      </c>
      <c r="D886" s="2" t="n">
        <v>446</v>
      </c>
      <c r="E886" s="2" t="inlineStr">
        <is>
          <t>RAY_USDT_PERP</t>
        </is>
      </c>
      <c r="F886" s="2" t="inlineStr">
        <is>
          <t>做多</t>
        </is>
      </c>
      <c r="G886" s="20" t="n">
        <v>2.046</v>
      </c>
      <c r="H886" s="20" t="n">
        <v>2.10738</v>
      </c>
      <c r="I886" s="20" t="n">
        <v>1.9437</v>
      </c>
      <c r="J886" s="20" t="n"/>
      <c r="K886" s="2" t="n"/>
      <c r="L886" s="5" t="n"/>
      <c r="M886" s="19">
        <f>資金模擬!$B$5*V885</f>
        <v/>
      </c>
      <c r="N886" s="2">
        <f>IF(Z885=1,"已停止",IF(T885&gt;=M886,"已下單","資金不足略過"))</f>
        <v/>
      </c>
      <c r="O886" s="19">
        <f>IF(N886="已下單",M886*資金模擬!$B$7,0)</f>
        <v/>
      </c>
      <c r="P886" s="4" t="n"/>
      <c r="Q886" s="13" t="n">
        <v>0</v>
      </c>
      <c r="R886" s="13">
        <f>R885+Q886</f>
        <v/>
      </c>
      <c r="S886" s="19">
        <f>S885+IF(N886="已下單",M886,0)</f>
        <v/>
      </c>
      <c r="T886" s="19">
        <f>R886-S886</f>
        <v/>
      </c>
      <c r="U886" s="2">
        <f>U885+IF(N886="已下單",1,0)</f>
        <v/>
      </c>
      <c r="V886" s="19">
        <f>IF(資金模擬!$B$9=2,MAX(R886,0),MAX(V885,FLOOR(MAX(R886,0),資金模擬!$B$6)))</f>
        <v/>
      </c>
      <c r="W886" s="13">
        <f>MAX(W885,R886)</f>
        <v/>
      </c>
      <c r="X886" s="4">
        <f>IF(W886&gt;0,R886/W886-1,-1)</f>
        <v/>
      </c>
      <c r="Y886" s="19">
        <f>IF(R886&gt;0,S886*資金模擬!$B$7/R886,0)</f>
        <v/>
      </c>
      <c r="Z886" s="2">
        <f>IF(OR(Z885=1,R886&lt;=資金模擬!$B$10),1,0)</f>
        <v/>
      </c>
    </row>
    <row r="887">
      <c r="A887" s="2" t="n">
        <v>885</v>
      </c>
      <c r="B887" s="7" t="n">
        <v>46289.58333333334</v>
      </c>
      <c r="C887" s="2" t="inlineStr">
        <is>
          <t>出場</t>
        </is>
      </c>
      <c r="D887" s="2" t="n">
        <v>429</v>
      </c>
      <c r="E887" s="2" t="inlineStr">
        <is>
          <t>ICP_USDT_PERP</t>
        </is>
      </c>
      <c r="F887" s="2" t="inlineStr">
        <is>
          <t>做空</t>
        </is>
      </c>
      <c r="G887" s="20" t="n">
        <v>2.858</v>
      </c>
      <c r="H887" s="20" t="n">
        <v>2.77226</v>
      </c>
      <c r="I887" s="20" t="n">
        <v>3.0009</v>
      </c>
      <c r="J887" s="20" t="n">
        <v>3.0009</v>
      </c>
      <c r="K887" s="2" t="inlineStr">
        <is>
          <t>止損</t>
        </is>
      </c>
      <c r="L887" s="5">
        <f>交易明細!K430</f>
        <v/>
      </c>
      <c r="M887" s="19">
        <f>M849</f>
        <v/>
      </c>
      <c r="N887" s="2">
        <f>N849</f>
        <v/>
      </c>
      <c r="O887" s="19">
        <f>O849</f>
        <v/>
      </c>
      <c r="P887" s="4">
        <f>交易明細!L430</f>
        <v/>
      </c>
      <c r="Q887" s="13">
        <f>IF(N887="已下單",O887*P887,0)</f>
        <v/>
      </c>
      <c r="R887" s="13">
        <f>R886+Q887</f>
        <v/>
      </c>
      <c r="S887" s="19">
        <f>S886-IF(N887="已下單",M887,0)</f>
        <v/>
      </c>
      <c r="T887" s="19">
        <f>R887-S887</f>
        <v/>
      </c>
      <c r="U887" s="2">
        <f>U886-IF(N887="已下單",1,0)</f>
        <v/>
      </c>
      <c r="V887" s="19">
        <f>IF(資金模擬!$B$9=2,MAX(R887,0),MAX(V886,FLOOR(MAX(R887,0),資金模擬!$B$6)))</f>
        <v/>
      </c>
      <c r="W887" s="13">
        <f>MAX(W886,R887)</f>
        <v/>
      </c>
      <c r="X887" s="4">
        <f>IF(W887&gt;0,R887/W887-1,-1)</f>
        <v/>
      </c>
      <c r="Y887" s="19">
        <f>IF(R887&gt;0,S887*資金模擬!$B$7/R887,0)</f>
        <v/>
      </c>
      <c r="Z887" s="2">
        <f>IF(OR(Z886=1,R887&lt;=資金模擬!$B$10),1,0)</f>
        <v/>
      </c>
    </row>
    <row r="888">
      <c r="A888" s="2" t="n">
        <v>886</v>
      </c>
      <c r="B888" s="7" t="n">
        <v>46289.58333333334</v>
      </c>
      <c r="C888" s="2" t="inlineStr">
        <is>
          <t>出場</t>
        </is>
      </c>
      <c r="D888" s="2" t="n">
        <v>434</v>
      </c>
      <c r="E888" s="2" t="inlineStr">
        <is>
          <t>ONDO_USDT_PERP</t>
        </is>
      </c>
      <c r="F888" s="2" t="inlineStr">
        <is>
          <t>做空</t>
        </is>
      </c>
      <c r="G888" s="20" t="n">
        <v>0.4109</v>
      </c>
      <c r="H888" s="20" t="n">
        <v>0.398573</v>
      </c>
      <c r="I888" s="20" t="n">
        <v>0.431445</v>
      </c>
      <c r="J888" s="20" t="n">
        <v>0.431445</v>
      </c>
      <c r="K888" s="2" t="inlineStr">
        <is>
          <t>止損</t>
        </is>
      </c>
      <c r="L888" s="5">
        <f>交易明細!K435</f>
        <v/>
      </c>
      <c r="M888" s="19">
        <f>M854</f>
        <v/>
      </c>
      <c r="N888" s="2">
        <f>N854</f>
        <v/>
      </c>
      <c r="O888" s="19">
        <f>O854</f>
        <v/>
      </c>
      <c r="P888" s="4">
        <f>交易明細!L435</f>
        <v/>
      </c>
      <c r="Q888" s="13">
        <f>IF(N888="已下單",O888*P888,0)</f>
        <v/>
      </c>
      <c r="R888" s="13">
        <f>R887+Q888</f>
        <v/>
      </c>
      <c r="S888" s="19">
        <f>S887-IF(N888="已下單",M888,0)</f>
        <v/>
      </c>
      <c r="T888" s="19">
        <f>R888-S888</f>
        <v/>
      </c>
      <c r="U888" s="2">
        <f>U887-IF(N888="已下單",1,0)</f>
        <v/>
      </c>
      <c r="V888" s="19">
        <f>IF(資金模擬!$B$9=2,MAX(R888,0),MAX(V887,FLOOR(MAX(R888,0),資金模擬!$B$6)))</f>
        <v/>
      </c>
      <c r="W888" s="13">
        <f>MAX(W887,R888)</f>
        <v/>
      </c>
      <c r="X888" s="4">
        <f>IF(W888&gt;0,R888/W888-1,-1)</f>
        <v/>
      </c>
      <c r="Y888" s="19">
        <f>IF(R888&gt;0,S888*資金模擬!$B$7/R888,0)</f>
        <v/>
      </c>
      <c r="Z888" s="2">
        <f>IF(OR(Z887=1,R888&lt;=資金模擬!$B$10),1,0)</f>
        <v/>
      </c>
    </row>
    <row r="889">
      <c r="A889" s="2" t="n">
        <v>887</v>
      </c>
      <c r="B889" s="7" t="n">
        <v>46289.58333333334</v>
      </c>
      <c r="C889" s="2" t="inlineStr">
        <is>
          <t>出場</t>
        </is>
      </c>
      <c r="D889" s="2" t="n">
        <v>446</v>
      </c>
      <c r="E889" s="2" t="inlineStr">
        <is>
          <t>RAY_USDT_PERP</t>
        </is>
      </c>
      <c r="F889" s="2" t="inlineStr">
        <is>
          <t>做多</t>
        </is>
      </c>
      <c r="G889" s="20" t="n">
        <v>2.046</v>
      </c>
      <c r="H889" s="20" t="n">
        <v>2.10738</v>
      </c>
      <c r="I889" s="20" t="n">
        <v>1.9437</v>
      </c>
      <c r="J889" s="20" t="n">
        <v>2.10738</v>
      </c>
      <c r="K889" s="2" t="inlineStr">
        <is>
          <t>止盈</t>
        </is>
      </c>
      <c r="L889" s="5">
        <f>交易明細!K447</f>
        <v/>
      </c>
      <c r="M889" s="19">
        <f>M886</f>
        <v/>
      </c>
      <c r="N889" s="2">
        <f>N886</f>
        <v/>
      </c>
      <c r="O889" s="19">
        <f>O886</f>
        <v/>
      </c>
      <c r="P889" s="4">
        <f>交易明細!L447</f>
        <v/>
      </c>
      <c r="Q889" s="13">
        <f>IF(N889="已下單",O889*P889,0)</f>
        <v/>
      </c>
      <c r="R889" s="13">
        <f>R888+Q889</f>
        <v/>
      </c>
      <c r="S889" s="19">
        <f>S888-IF(N889="已下單",M889,0)</f>
        <v/>
      </c>
      <c r="T889" s="19">
        <f>R889-S889</f>
        <v/>
      </c>
      <c r="U889" s="2">
        <f>U888-IF(N889="已下單",1,0)</f>
        <v/>
      </c>
      <c r="V889" s="19">
        <f>IF(資金模擬!$B$9=2,MAX(R889,0),MAX(V888,FLOOR(MAX(R889,0),資金模擬!$B$6)))</f>
        <v/>
      </c>
      <c r="W889" s="13">
        <f>MAX(W888,R889)</f>
        <v/>
      </c>
      <c r="X889" s="4">
        <f>IF(W889&gt;0,R889/W889-1,-1)</f>
        <v/>
      </c>
      <c r="Y889" s="19">
        <f>IF(R889&gt;0,S889*資金模擬!$B$7/R889,0)</f>
        <v/>
      </c>
      <c r="Z889" s="2">
        <f>IF(OR(Z888=1,R889&lt;=資金模擬!$B$10),1,0)</f>
        <v/>
      </c>
    </row>
    <row r="890">
      <c r="A890" s="2" t="n">
        <v>888</v>
      </c>
      <c r="B890" s="7" t="n">
        <v>46289.625</v>
      </c>
      <c r="C890" s="2" t="inlineStr">
        <is>
          <t>出場</t>
        </is>
      </c>
      <c r="D890" s="2" t="n">
        <v>444</v>
      </c>
      <c r="E890" s="2" t="inlineStr">
        <is>
          <t>MARSCOIN_USDT_PERP</t>
        </is>
      </c>
      <c r="F890" s="2" t="inlineStr">
        <is>
          <t>做空</t>
        </is>
      </c>
      <c r="G890" s="20" t="n">
        <v>0.12601</v>
      </c>
      <c r="H890" s="20" t="n">
        <v>0.1222297</v>
      </c>
      <c r="I890" s="20" t="n">
        <v>0.1323105</v>
      </c>
      <c r="J890" s="20" t="n">
        <v>0.1222297</v>
      </c>
      <c r="K890" s="2" t="inlineStr">
        <is>
          <t>止盈</t>
        </is>
      </c>
      <c r="L890" s="5">
        <f>交易明細!K445</f>
        <v/>
      </c>
      <c r="M890" s="19">
        <f>M881</f>
        <v/>
      </c>
      <c r="N890" s="2">
        <f>N881</f>
        <v/>
      </c>
      <c r="O890" s="19">
        <f>O881</f>
        <v/>
      </c>
      <c r="P890" s="4">
        <f>交易明細!L445</f>
        <v/>
      </c>
      <c r="Q890" s="13">
        <f>IF(N890="已下單",O890*P890,0)</f>
        <v/>
      </c>
      <c r="R890" s="13">
        <f>R889+Q890</f>
        <v/>
      </c>
      <c r="S890" s="19">
        <f>S889-IF(N890="已下單",M890,0)</f>
        <v/>
      </c>
      <c r="T890" s="19">
        <f>R890-S890</f>
        <v/>
      </c>
      <c r="U890" s="2">
        <f>U889-IF(N890="已下單",1,0)</f>
        <v/>
      </c>
      <c r="V890" s="19">
        <f>IF(資金模擬!$B$9=2,MAX(R890,0),MAX(V889,FLOOR(MAX(R890,0),資金模擬!$B$6)))</f>
        <v/>
      </c>
      <c r="W890" s="13">
        <f>MAX(W889,R890)</f>
        <v/>
      </c>
      <c r="X890" s="4">
        <f>IF(W890&gt;0,R890/W890-1,-1)</f>
        <v/>
      </c>
      <c r="Y890" s="19">
        <f>IF(R890&gt;0,S890*資金模擬!$B$7/R890,0)</f>
        <v/>
      </c>
      <c r="Z890" s="2">
        <f>IF(OR(Z889=1,R890&lt;=資金模擬!$B$10),1,0)</f>
        <v/>
      </c>
    </row>
    <row r="891">
      <c r="A891" s="2" t="n">
        <v>889</v>
      </c>
      <c r="B891" s="7" t="n">
        <v>46289.625</v>
      </c>
      <c r="C891" s="2" t="inlineStr">
        <is>
          <t>出場</t>
        </is>
      </c>
      <c r="D891" s="2" t="n">
        <v>445</v>
      </c>
      <c r="E891" s="2" t="inlineStr">
        <is>
          <t>NEAR_USDT_PERP</t>
        </is>
      </c>
      <c r="F891" s="2" t="inlineStr">
        <is>
          <t>做多</t>
        </is>
      </c>
      <c r="G891" s="20" t="n">
        <v>4.494</v>
      </c>
      <c r="H891" s="20" t="n">
        <v>4.62882</v>
      </c>
      <c r="I891" s="20" t="n">
        <v>4.269299999999999</v>
      </c>
      <c r="J891" s="20" t="n">
        <v>4.269299999999999</v>
      </c>
      <c r="K891" s="2" t="inlineStr">
        <is>
          <t>止損</t>
        </is>
      </c>
      <c r="L891" s="5">
        <f>交易明細!K446</f>
        <v/>
      </c>
      <c r="M891" s="19">
        <f>M885</f>
        <v/>
      </c>
      <c r="N891" s="2">
        <f>N885</f>
        <v/>
      </c>
      <c r="O891" s="19">
        <f>O885</f>
        <v/>
      </c>
      <c r="P891" s="4">
        <f>交易明細!L446</f>
        <v/>
      </c>
      <c r="Q891" s="13">
        <f>IF(N891="已下單",O891*P891,0)</f>
        <v/>
      </c>
      <c r="R891" s="13">
        <f>R890+Q891</f>
        <v/>
      </c>
      <c r="S891" s="19">
        <f>S890-IF(N891="已下單",M891,0)</f>
        <v/>
      </c>
      <c r="T891" s="19">
        <f>R891-S891</f>
        <v/>
      </c>
      <c r="U891" s="2">
        <f>U890-IF(N891="已下單",1,0)</f>
        <v/>
      </c>
      <c r="V891" s="19">
        <f>IF(資金模擬!$B$9=2,MAX(R891,0),MAX(V890,FLOOR(MAX(R891,0),資金模擬!$B$6)))</f>
        <v/>
      </c>
      <c r="W891" s="13">
        <f>MAX(W890,R891)</f>
        <v/>
      </c>
      <c r="X891" s="4">
        <f>IF(W891&gt;0,R891/W891-1,-1)</f>
        <v/>
      </c>
      <c r="Y891" s="19">
        <f>IF(R891&gt;0,S891*資金模擬!$B$7/R891,0)</f>
        <v/>
      </c>
      <c r="Z891" s="2">
        <f>IF(OR(Z890=1,R891&lt;=資金模擬!$B$10),1,0)</f>
        <v/>
      </c>
    </row>
    <row r="892">
      <c r="A892" s="2" t="n">
        <v>890</v>
      </c>
      <c r="B892" s="7" t="n">
        <v>46289.66666666666</v>
      </c>
      <c r="C892" s="2" t="inlineStr">
        <is>
          <t>進場</t>
        </is>
      </c>
      <c r="D892" s="2" t="n">
        <v>447</v>
      </c>
      <c r="E892" s="2" t="inlineStr">
        <is>
          <t>LIT_USDT_PERP</t>
        </is>
      </c>
      <c r="F892" s="2" t="inlineStr">
        <is>
          <t>做多</t>
        </is>
      </c>
      <c r="G892" s="20" t="n">
        <v>5.48</v>
      </c>
      <c r="H892" s="20" t="n">
        <v>5.644400000000001</v>
      </c>
      <c r="I892" s="20" t="n">
        <v>5.206</v>
      </c>
      <c r="J892" s="20" t="n"/>
      <c r="K892" s="2" t="n"/>
      <c r="L892" s="5" t="n"/>
      <c r="M892" s="19">
        <f>資金模擬!$B$5*V891</f>
        <v/>
      </c>
      <c r="N892" s="2">
        <f>IF(Z891=1,"已停止",IF(T891&gt;=M892,"已下單","資金不足略過"))</f>
        <v/>
      </c>
      <c r="O892" s="19">
        <f>IF(N892="已下單",M892*資金模擬!$B$7,0)</f>
        <v/>
      </c>
      <c r="P892" s="4" t="n"/>
      <c r="Q892" s="13" t="n">
        <v>0</v>
      </c>
      <c r="R892" s="13">
        <f>R891+Q892</f>
        <v/>
      </c>
      <c r="S892" s="19">
        <f>S891+IF(N892="已下單",M892,0)</f>
        <v/>
      </c>
      <c r="T892" s="19">
        <f>R892-S892</f>
        <v/>
      </c>
      <c r="U892" s="2">
        <f>U891+IF(N892="已下單",1,0)</f>
        <v/>
      </c>
      <c r="V892" s="19">
        <f>IF(資金模擬!$B$9=2,MAX(R892,0),MAX(V891,FLOOR(MAX(R892,0),資金模擬!$B$6)))</f>
        <v/>
      </c>
      <c r="W892" s="13">
        <f>MAX(W891,R892)</f>
        <v/>
      </c>
      <c r="X892" s="4">
        <f>IF(W892&gt;0,R892/W892-1,-1)</f>
        <v/>
      </c>
      <c r="Y892" s="19">
        <f>IF(R892&gt;0,S892*資金模擬!$B$7/R892,0)</f>
        <v/>
      </c>
      <c r="Z892" s="2">
        <f>IF(OR(Z891=1,R892&lt;=資金模擬!$B$10),1,0)</f>
        <v/>
      </c>
    </row>
    <row r="893">
      <c r="A893" s="2" t="n">
        <v>891</v>
      </c>
      <c r="B893" s="7" t="n">
        <v>46289.70833333334</v>
      </c>
      <c r="C893" s="2" t="inlineStr">
        <is>
          <t>出場</t>
        </is>
      </c>
      <c r="D893" s="2" t="n">
        <v>443</v>
      </c>
      <c r="E893" s="2" t="inlineStr">
        <is>
          <t>BR_USDT_PERP</t>
        </is>
      </c>
      <c r="F893" s="2" t="inlineStr">
        <is>
          <t>做空</t>
        </is>
      </c>
      <c r="G893" s="20" t="n">
        <v>1.07648</v>
      </c>
      <c r="H893" s="20" t="n">
        <v>1.0441856</v>
      </c>
      <c r="I893" s="20" t="n">
        <v>1.130304</v>
      </c>
      <c r="J893" s="20" t="n">
        <v>1.0441856</v>
      </c>
      <c r="K893" s="2" t="inlineStr">
        <is>
          <t>止盈</t>
        </is>
      </c>
      <c r="L893" s="5">
        <f>交易明細!K444</f>
        <v/>
      </c>
      <c r="M893" s="19">
        <f>M880</f>
        <v/>
      </c>
      <c r="N893" s="2">
        <f>N880</f>
        <v/>
      </c>
      <c r="O893" s="19">
        <f>O880</f>
        <v/>
      </c>
      <c r="P893" s="4">
        <f>交易明細!L444</f>
        <v/>
      </c>
      <c r="Q893" s="13">
        <f>IF(N893="已下單",O893*P893,0)</f>
        <v/>
      </c>
      <c r="R893" s="13">
        <f>R892+Q893</f>
        <v/>
      </c>
      <c r="S893" s="19">
        <f>S892-IF(N893="已下單",M893,0)</f>
        <v/>
      </c>
      <c r="T893" s="19">
        <f>R893-S893</f>
        <v/>
      </c>
      <c r="U893" s="2">
        <f>U892-IF(N893="已下單",1,0)</f>
        <v/>
      </c>
      <c r="V893" s="19">
        <f>IF(資金模擬!$B$9=2,MAX(R893,0),MAX(V892,FLOOR(MAX(R893,0),資金模擬!$B$6)))</f>
        <v/>
      </c>
      <c r="W893" s="13">
        <f>MAX(W892,R893)</f>
        <v/>
      </c>
      <c r="X893" s="4">
        <f>IF(W893&gt;0,R893/W893-1,-1)</f>
        <v/>
      </c>
      <c r="Y893" s="19">
        <f>IF(R893&gt;0,S893*資金模擬!$B$7/R893,0)</f>
        <v/>
      </c>
      <c r="Z893" s="2">
        <f>IF(OR(Z892=1,R893&lt;=資金模擬!$B$10),1,0)</f>
        <v/>
      </c>
    </row>
    <row r="894">
      <c r="A894" s="2" t="n">
        <v>892</v>
      </c>
      <c r="B894" s="7" t="n">
        <v>46289.70833333334</v>
      </c>
      <c r="C894" s="2" t="inlineStr">
        <is>
          <t>進場</t>
        </is>
      </c>
      <c r="D894" s="2" t="n">
        <v>448</v>
      </c>
      <c r="E894" s="2" t="inlineStr">
        <is>
          <t>ENA_USDT_PERP</t>
        </is>
      </c>
      <c r="F894" s="2" t="inlineStr">
        <is>
          <t>做空</t>
        </is>
      </c>
      <c r="G894" s="20" t="n">
        <v>0.203</v>
      </c>
      <c r="H894" s="20" t="n">
        <v>0.19691</v>
      </c>
      <c r="I894" s="20" t="n">
        <v>0.21315</v>
      </c>
      <c r="J894" s="20" t="n"/>
      <c r="K894" s="2" t="n"/>
      <c r="L894" s="5" t="n"/>
      <c r="M894" s="19">
        <f>資金模擬!$B$5*V893</f>
        <v/>
      </c>
      <c r="N894" s="2">
        <f>IF(Z893=1,"已停止",IF(T893&gt;=M894,"已下單","資金不足略過"))</f>
        <v/>
      </c>
      <c r="O894" s="19">
        <f>IF(N894="已下單",M894*資金模擬!$B$7,0)</f>
        <v/>
      </c>
      <c r="P894" s="4" t="n"/>
      <c r="Q894" s="13" t="n">
        <v>0</v>
      </c>
      <c r="R894" s="13">
        <f>R893+Q894</f>
        <v/>
      </c>
      <c r="S894" s="19">
        <f>S893+IF(N894="已下單",M894,0)</f>
        <v/>
      </c>
      <c r="T894" s="19">
        <f>R894-S894</f>
        <v/>
      </c>
      <c r="U894" s="2">
        <f>U893+IF(N894="已下單",1,0)</f>
        <v/>
      </c>
      <c r="V894" s="19">
        <f>IF(資金模擬!$B$9=2,MAX(R894,0),MAX(V893,FLOOR(MAX(R894,0),資金模擬!$B$6)))</f>
        <v/>
      </c>
      <c r="W894" s="13">
        <f>MAX(W893,R894)</f>
        <v/>
      </c>
      <c r="X894" s="4">
        <f>IF(W894&gt;0,R894/W894-1,-1)</f>
        <v/>
      </c>
      <c r="Y894" s="19">
        <f>IF(R894&gt;0,S894*資金模擬!$B$7/R894,0)</f>
        <v/>
      </c>
      <c r="Z894" s="2">
        <f>IF(OR(Z893=1,R894&lt;=資金模擬!$B$10),1,0)</f>
        <v/>
      </c>
    </row>
    <row r="895">
      <c r="A895" s="2" t="n">
        <v>893</v>
      </c>
      <c r="B895" s="7" t="n">
        <v>46289.70833333334</v>
      </c>
      <c r="C895" s="2" t="inlineStr">
        <is>
          <t>進場</t>
        </is>
      </c>
      <c r="D895" s="2" t="n">
        <v>449</v>
      </c>
      <c r="E895" s="2" t="inlineStr">
        <is>
          <t>ICP_USDT_PERP</t>
        </is>
      </c>
      <c r="F895" s="2" t="inlineStr">
        <is>
          <t>做空</t>
        </is>
      </c>
      <c r="G895" s="20" t="n">
        <v>2.912</v>
      </c>
      <c r="H895" s="20" t="n">
        <v>2.82464</v>
      </c>
      <c r="I895" s="20" t="n">
        <v>3.0576</v>
      </c>
      <c r="J895" s="20" t="n"/>
      <c r="K895" s="2" t="n"/>
      <c r="L895" s="5" t="n"/>
      <c r="M895" s="19">
        <f>資金模擬!$B$5*V894</f>
        <v/>
      </c>
      <c r="N895" s="2">
        <f>IF(Z894=1,"已停止",IF(T894&gt;=M895,"已下單","資金不足略過"))</f>
        <v/>
      </c>
      <c r="O895" s="19">
        <f>IF(N895="已下單",M895*資金模擬!$B$7,0)</f>
        <v/>
      </c>
      <c r="P895" s="4" t="n"/>
      <c r="Q895" s="13" t="n">
        <v>0</v>
      </c>
      <c r="R895" s="13">
        <f>R894+Q895</f>
        <v/>
      </c>
      <c r="S895" s="19">
        <f>S894+IF(N895="已下單",M895,0)</f>
        <v/>
      </c>
      <c r="T895" s="19">
        <f>R895-S895</f>
        <v/>
      </c>
      <c r="U895" s="2">
        <f>U894+IF(N895="已下單",1,0)</f>
        <v/>
      </c>
      <c r="V895" s="19">
        <f>IF(資金模擬!$B$9=2,MAX(R895,0),MAX(V894,FLOOR(MAX(R895,0),資金模擬!$B$6)))</f>
        <v/>
      </c>
      <c r="W895" s="13">
        <f>MAX(W894,R895)</f>
        <v/>
      </c>
      <c r="X895" s="4">
        <f>IF(W895&gt;0,R895/W895-1,-1)</f>
        <v/>
      </c>
      <c r="Y895" s="19">
        <f>IF(R895&gt;0,S895*資金模擬!$B$7/R895,0)</f>
        <v/>
      </c>
      <c r="Z895" s="2">
        <f>IF(OR(Z894=1,R895&lt;=資金模擬!$B$10),1,0)</f>
        <v/>
      </c>
    </row>
    <row r="896">
      <c r="A896" s="2" t="n">
        <v>894</v>
      </c>
      <c r="B896" s="7" t="n">
        <v>46289.70833333334</v>
      </c>
      <c r="C896" s="2" t="inlineStr">
        <is>
          <t>進場</t>
        </is>
      </c>
      <c r="D896" s="2" t="n">
        <v>450</v>
      </c>
      <c r="E896" s="2" t="inlineStr">
        <is>
          <t>MET_USDT_PERP</t>
        </is>
      </c>
      <c r="F896" s="2" t="inlineStr">
        <is>
          <t>做空</t>
        </is>
      </c>
      <c r="G896" s="20" t="n">
        <v>0.3454</v>
      </c>
      <c r="H896" s="20" t="n">
        <v>0.335038</v>
      </c>
      <c r="I896" s="20" t="n">
        <v>0.36267</v>
      </c>
      <c r="J896" s="20" t="n"/>
      <c r="K896" s="2" t="n"/>
      <c r="L896" s="5" t="n"/>
      <c r="M896" s="19">
        <f>資金模擬!$B$5*V895</f>
        <v/>
      </c>
      <c r="N896" s="2">
        <f>IF(Z895=1,"已停止",IF(T895&gt;=M896,"已下單","資金不足略過"))</f>
        <v/>
      </c>
      <c r="O896" s="19">
        <f>IF(N896="已下單",M896*資金模擬!$B$7,0)</f>
        <v/>
      </c>
      <c r="P896" s="4" t="n"/>
      <c r="Q896" s="13" t="n">
        <v>0</v>
      </c>
      <c r="R896" s="13">
        <f>R895+Q896</f>
        <v/>
      </c>
      <c r="S896" s="19">
        <f>S895+IF(N896="已下單",M896,0)</f>
        <v/>
      </c>
      <c r="T896" s="19">
        <f>R896-S896</f>
        <v/>
      </c>
      <c r="U896" s="2">
        <f>U895+IF(N896="已下單",1,0)</f>
        <v/>
      </c>
      <c r="V896" s="19">
        <f>IF(資金模擬!$B$9=2,MAX(R896,0),MAX(V895,FLOOR(MAX(R896,0),資金模擬!$B$6)))</f>
        <v/>
      </c>
      <c r="W896" s="13">
        <f>MAX(W895,R896)</f>
        <v/>
      </c>
      <c r="X896" s="4">
        <f>IF(W896&gt;0,R896/W896-1,-1)</f>
        <v/>
      </c>
      <c r="Y896" s="19">
        <f>IF(R896&gt;0,S896*資金模擬!$B$7/R896,0)</f>
        <v/>
      </c>
      <c r="Z896" s="2">
        <f>IF(OR(Z895=1,R896&lt;=資金模擬!$B$10),1,0)</f>
        <v/>
      </c>
    </row>
    <row r="897">
      <c r="A897" s="2" t="n">
        <v>895</v>
      </c>
      <c r="B897" s="7" t="n">
        <v>46289.70833333334</v>
      </c>
      <c r="C897" s="2" t="inlineStr">
        <is>
          <t>進場</t>
        </is>
      </c>
      <c r="D897" s="2" t="n">
        <v>451</v>
      </c>
      <c r="E897" s="2" t="inlineStr">
        <is>
          <t>NEAR_USDT_PERP</t>
        </is>
      </c>
      <c r="F897" s="2" t="inlineStr">
        <is>
          <t>做空</t>
        </is>
      </c>
      <c r="G897" s="20" t="n">
        <v>4.25</v>
      </c>
      <c r="H897" s="20" t="n">
        <v>4.1225</v>
      </c>
      <c r="I897" s="20" t="n">
        <v>4.4625</v>
      </c>
      <c r="J897" s="20" t="n"/>
      <c r="K897" s="2" t="n"/>
      <c r="L897" s="5" t="n"/>
      <c r="M897" s="19">
        <f>資金模擬!$B$5*V896</f>
        <v/>
      </c>
      <c r="N897" s="2">
        <f>IF(Z896=1,"已停止",IF(T896&gt;=M897,"已下單","資金不足略過"))</f>
        <v/>
      </c>
      <c r="O897" s="19">
        <f>IF(N897="已下單",M897*資金模擬!$B$7,0)</f>
        <v/>
      </c>
      <c r="P897" s="4" t="n"/>
      <c r="Q897" s="13" t="n">
        <v>0</v>
      </c>
      <c r="R897" s="13">
        <f>R896+Q897</f>
        <v/>
      </c>
      <c r="S897" s="19">
        <f>S896+IF(N897="已下單",M897,0)</f>
        <v/>
      </c>
      <c r="T897" s="19">
        <f>R897-S897</f>
        <v/>
      </c>
      <c r="U897" s="2">
        <f>U896+IF(N897="已下單",1,0)</f>
        <v/>
      </c>
      <c r="V897" s="19">
        <f>IF(資金模擬!$B$9=2,MAX(R897,0),MAX(V896,FLOOR(MAX(R897,0),資金模擬!$B$6)))</f>
        <v/>
      </c>
      <c r="W897" s="13">
        <f>MAX(W896,R897)</f>
        <v/>
      </c>
      <c r="X897" s="4">
        <f>IF(W897&gt;0,R897/W897-1,-1)</f>
        <v/>
      </c>
      <c r="Y897" s="19">
        <f>IF(R897&gt;0,S897*資金模擬!$B$7/R897,0)</f>
        <v/>
      </c>
      <c r="Z897" s="2">
        <f>IF(OR(Z896=1,R897&lt;=資金模擬!$B$10),1,0)</f>
        <v/>
      </c>
    </row>
    <row r="898">
      <c r="A898" s="2" t="n">
        <v>896</v>
      </c>
      <c r="B898" s="7" t="n">
        <v>46289.70833333334</v>
      </c>
      <c r="C898" s="2" t="inlineStr">
        <is>
          <t>進場</t>
        </is>
      </c>
      <c r="D898" s="2" t="n">
        <v>452</v>
      </c>
      <c r="E898" s="2" t="inlineStr">
        <is>
          <t>PONS_USDT_PERP</t>
        </is>
      </c>
      <c r="F898" s="2" t="inlineStr">
        <is>
          <t>做空</t>
        </is>
      </c>
      <c r="G898" s="20" t="n">
        <v>0.623</v>
      </c>
      <c r="H898" s="20" t="n">
        <v>0.60431</v>
      </c>
      <c r="I898" s="20" t="n">
        <v>0.65415</v>
      </c>
      <c r="J898" s="20" t="n"/>
      <c r="K898" s="2" t="n"/>
      <c r="L898" s="5" t="n"/>
      <c r="M898" s="19">
        <f>資金模擬!$B$5*V897</f>
        <v/>
      </c>
      <c r="N898" s="2">
        <f>IF(Z897=1,"已停止",IF(T897&gt;=M898,"已下單","資金不足略過"))</f>
        <v/>
      </c>
      <c r="O898" s="19">
        <f>IF(N898="已下單",M898*資金模擬!$B$7,0)</f>
        <v/>
      </c>
      <c r="P898" s="4" t="n"/>
      <c r="Q898" s="13" t="n">
        <v>0</v>
      </c>
      <c r="R898" s="13">
        <f>R897+Q898</f>
        <v/>
      </c>
      <c r="S898" s="19">
        <f>S897+IF(N898="已下單",M898,0)</f>
        <v/>
      </c>
      <c r="T898" s="19">
        <f>R898-S898</f>
        <v/>
      </c>
      <c r="U898" s="2">
        <f>U897+IF(N898="已下單",1,0)</f>
        <v/>
      </c>
      <c r="V898" s="19">
        <f>IF(資金模擬!$B$9=2,MAX(R898,0),MAX(V897,FLOOR(MAX(R898,0),資金模擬!$B$6)))</f>
        <v/>
      </c>
      <c r="W898" s="13">
        <f>MAX(W897,R898)</f>
        <v/>
      </c>
      <c r="X898" s="4">
        <f>IF(W898&gt;0,R898/W898-1,-1)</f>
        <v/>
      </c>
      <c r="Y898" s="19">
        <f>IF(R898&gt;0,S898*資金模擬!$B$7/R898,0)</f>
        <v/>
      </c>
      <c r="Z898" s="2">
        <f>IF(OR(Z897=1,R898&lt;=資金模擬!$B$10),1,0)</f>
        <v/>
      </c>
    </row>
    <row r="899">
      <c r="A899" s="2" t="n">
        <v>897</v>
      </c>
      <c r="B899" s="7" t="n">
        <v>46289.70833333334</v>
      </c>
      <c r="C899" s="2" t="inlineStr">
        <is>
          <t>進場</t>
        </is>
      </c>
      <c r="D899" s="2" t="n">
        <v>453</v>
      </c>
      <c r="E899" s="2" t="inlineStr">
        <is>
          <t>PYTH_USDT_PERP</t>
        </is>
      </c>
      <c r="F899" s="2" t="inlineStr">
        <is>
          <t>做空</t>
        </is>
      </c>
      <c r="G899" s="20" t="n">
        <v>0.06320000000000001</v>
      </c>
      <c r="H899" s="20" t="n">
        <v>0.061304</v>
      </c>
      <c r="I899" s="20" t="n">
        <v>0.06636000000000002</v>
      </c>
      <c r="J899" s="20" t="n"/>
      <c r="K899" s="2" t="n"/>
      <c r="L899" s="5" t="n"/>
      <c r="M899" s="19">
        <f>資金模擬!$B$5*V898</f>
        <v/>
      </c>
      <c r="N899" s="2">
        <f>IF(Z898=1,"已停止",IF(T898&gt;=M899,"已下單","資金不足略過"))</f>
        <v/>
      </c>
      <c r="O899" s="19">
        <f>IF(N899="已下單",M899*資金模擬!$B$7,0)</f>
        <v/>
      </c>
      <c r="P899" s="4" t="n"/>
      <c r="Q899" s="13" t="n">
        <v>0</v>
      </c>
      <c r="R899" s="13">
        <f>R898+Q899</f>
        <v/>
      </c>
      <c r="S899" s="19">
        <f>S898+IF(N899="已下單",M899,0)</f>
        <v/>
      </c>
      <c r="T899" s="19">
        <f>R899-S899</f>
        <v/>
      </c>
      <c r="U899" s="2">
        <f>U898+IF(N899="已下單",1,0)</f>
        <v/>
      </c>
      <c r="V899" s="19">
        <f>IF(資金模擬!$B$9=2,MAX(R899,0),MAX(V898,FLOOR(MAX(R899,0),資金模擬!$B$6)))</f>
        <v/>
      </c>
      <c r="W899" s="13">
        <f>MAX(W898,R899)</f>
        <v/>
      </c>
      <c r="X899" s="4">
        <f>IF(W899&gt;0,R899/W899-1,-1)</f>
        <v/>
      </c>
      <c r="Y899" s="19">
        <f>IF(R899&gt;0,S899*資金模擬!$B$7/R899,0)</f>
        <v/>
      </c>
      <c r="Z899" s="2">
        <f>IF(OR(Z898=1,R899&lt;=資金模擬!$B$10),1,0)</f>
        <v/>
      </c>
    </row>
    <row r="900">
      <c r="A900" s="2" t="n">
        <v>898</v>
      </c>
      <c r="B900" s="7" t="n">
        <v>46289.75</v>
      </c>
      <c r="C900" s="2" t="inlineStr">
        <is>
          <t>出場</t>
        </is>
      </c>
      <c r="D900" s="2" t="n">
        <v>441</v>
      </c>
      <c r="E900" s="2" t="inlineStr">
        <is>
          <t>BCH_USDT_PERP</t>
        </is>
      </c>
      <c r="F900" s="2" t="inlineStr">
        <is>
          <t>做空</t>
        </is>
      </c>
      <c r="G900" s="20" t="n">
        <v>338.14</v>
      </c>
      <c r="H900" s="20" t="n">
        <v>327.9958</v>
      </c>
      <c r="I900" s="20" t="n">
        <v>355.047</v>
      </c>
      <c r="J900" s="20" t="n">
        <v>327.9958</v>
      </c>
      <c r="K900" s="2" t="inlineStr">
        <is>
          <t>止盈</t>
        </is>
      </c>
      <c r="L900" s="5">
        <f>交易明細!K442</f>
        <v/>
      </c>
      <c r="M900" s="19">
        <f>M876</f>
        <v/>
      </c>
      <c r="N900" s="2">
        <f>N876</f>
        <v/>
      </c>
      <c r="O900" s="19">
        <f>O876</f>
        <v/>
      </c>
      <c r="P900" s="4">
        <f>交易明細!L442</f>
        <v/>
      </c>
      <c r="Q900" s="13">
        <f>IF(N900="已下單",O900*P900,0)</f>
        <v/>
      </c>
      <c r="R900" s="13">
        <f>R899+Q900</f>
        <v/>
      </c>
      <c r="S900" s="19">
        <f>S899-IF(N900="已下單",M900,0)</f>
        <v/>
      </c>
      <c r="T900" s="19">
        <f>R900-S900</f>
        <v/>
      </c>
      <c r="U900" s="2">
        <f>U899-IF(N900="已下單",1,0)</f>
        <v/>
      </c>
      <c r="V900" s="19">
        <f>IF(資金模擬!$B$9=2,MAX(R900,0),MAX(V899,FLOOR(MAX(R900,0),資金模擬!$B$6)))</f>
        <v/>
      </c>
      <c r="W900" s="13">
        <f>MAX(W899,R900)</f>
        <v/>
      </c>
      <c r="X900" s="4">
        <f>IF(W900&gt;0,R900/W900-1,-1)</f>
        <v/>
      </c>
      <c r="Y900" s="19">
        <f>IF(R900&gt;0,S900*資金模擬!$B$7/R900,0)</f>
        <v/>
      </c>
      <c r="Z900" s="2">
        <f>IF(OR(Z899=1,R900&lt;=資金模擬!$B$10),1,0)</f>
        <v/>
      </c>
    </row>
    <row r="901">
      <c r="A901" s="2" t="n">
        <v>899</v>
      </c>
      <c r="B901" s="7" t="n">
        <v>46289.75</v>
      </c>
      <c r="C901" s="2" t="inlineStr">
        <is>
          <t>出場</t>
        </is>
      </c>
      <c r="D901" s="2" t="n">
        <v>447</v>
      </c>
      <c r="E901" s="2" t="inlineStr">
        <is>
          <t>LIT_USDT_PERP</t>
        </is>
      </c>
      <c r="F901" s="2" t="inlineStr">
        <is>
          <t>做多</t>
        </is>
      </c>
      <c r="G901" s="20" t="n">
        <v>5.48</v>
      </c>
      <c r="H901" s="20" t="n">
        <v>5.644400000000001</v>
      </c>
      <c r="I901" s="20" t="n">
        <v>5.206</v>
      </c>
      <c r="J901" s="20" t="n">
        <v>5.206</v>
      </c>
      <c r="K901" s="2" t="inlineStr">
        <is>
          <t>止損</t>
        </is>
      </c>
      <c r="L901" s="5">
        <f>交易明細!K448</f>
        <v/>
      </c>
      <c r="M901" s="19">
        <f>M892</f>
        <v/>
      </c>
      <c r="N901" s="2">
        <f>N892</f>
        <v/>
      </c>
      <c r="O901" s="19">
        <f>O892</f>
        <v/>
      </c>
      <c r="P901" s="4">
        <f>交易明細!L448</f>
        <v/>
      </c>
      <c r="Q901" s="13">
        <f>IF(N901="已下單",O901*P901,0)</f>
        <v/>
      </c>
      <c r="R901" s="13">
        <f>R900+Q901</f>
        <v/>
      </c>
      <c r="S901" s="19">
        <f>S900-IF(N901="已下單",M901,0)</f>
        <v/>
      </c>
      <c r="T901" s="19">
        <f>R901-S901</f>
        <v/>
      </c>
      <c r="U901" s="2">
        <f>U900-IF(N901="已下單",1,0)</f>
        <v/>
      </c>
      <c r="V901" s="19">
        <f>IF(資金模擬!$B$9=2,MAX(R901,0),MAX(V900,FLOOR(MAX(R901,0),資金模擬!$B$6)))</f>
        <v/>
      </c>
      <c r="W901" s="13">
        <f>MAX(W900,R901)</f>
        <v/>
      </c>
      <c r="X901" s="4">
        <f>IF(W901&gt;0,R901/W901-1,-1)</f>
        <v/>
      </c>
      <c r="Y901" s="19">
        <f>IF(R901&gt;0,S901*資金模擬!$B$7/R901,0)</f>
        <v/>
      </c>
      <c r="Z901" s="2">
        <f>IF(OR(Z900=1,R901&lt;=資金模擬!$B$10),1,0)</f>
        <v/>
      </c>
    </row>
    <row r="902">
      <c r="A902" s="2" t="n">
        <v>900</v>
      </c>
      <c r="B902" s="7" t="n">
        <v>46289.75</v>
      </c>
      <c r="C902" s="2" t="inlineStr">
        <is>
          <t>出場</t>
        </is>
      </c>
      <c r="D902" s="2" t="n">
        <v>450</v>
      </c>
      <c r="E902" s="2" t="inlineStr">
        <is>
          <t>MET_USDT_PERP</t>
        </is>
      </c>
      <c r="F902" s="2" t="inlineStr">
        <is>
          <t>做空</t>
        </is>
      </c>
      <c r="G902" s="20" t="n">
        <v>0.3454</v>
      </c>
      <c r="H902" s="20" t="n">
        <v>0.335038</v>
      </c>
      <c r="I902" s="20" t="n">
        <v>0.36267</v>
      </c>
      <c r="J902" s="20" t="n">
        <v>0.335038</v>
      </c>
      <c r="K902" s="2" t="inlineStr">
        <is>
          <t>止盈</t>
        </is>
      </c>
      <c r="L902" s="5">
        <f>交易明細!K451</f>
        <v/>
      </c>
      <c r="M902" s="19">
        <f>M896</f>
        <v/>
      </c>
      <c r="N902" s="2">
        <f>N896</f>
        <v/>
      </c>
      <c r="O902" s="19">
        <f>O896</f>
        <v/>
      </c>
      <c r="P902" s="4">
        <f>交易明細!L451</f>
        <v/>
      </c>
      <c r="Q902" s="13">
        <f>IF(N902="已下單",O902*P902,0)</f>
        <v/>
      </c>
      <c r="R902" s="13">
        <f>R901+Q902</f>
        <v/>
      </c>
      <c r="S902" s="19">
        <f>S901-IF(N902="已下單",M902,0)</f>
        <v/>
      </c>
      <c r="T902" s="19">
        <f>R902-S902</f>
        <v/>
      </c>
      <c r="U902" s="2">
        <f>U901-IF(N902="已下單",1,0)</f>
        <v/>
      </c>
      <c r="V902" s="19">
        <f>IF(資金模擬!$B$9=2,MAX(R902,0),MAX(V901,FLOOR(MAX(R902,0),資金模擬!$B$6)))</f>
        <v/>
      </c>
      <c r="W902" s="13">
        <f>MAX(W901,R902)</f>
        <v/>
      </c>
      <c r="X902" s="4">
        <f>IF(W902&gt;0,R902/W902-1,-1)</f>
        <v/>
      </c>
      <c r="Y902" s="19">
        <f>IF(R902&gt;0,S902*資金模擬!$B$7/R902,0)</f>
        <v/>
      </c>
      <c r="Z902" s="2">
        <f>IF(OR(Z901=1,R902&lt;=資金模擬!$B$10),1,0)</f>
        <v/>
      </c>
    </row>
    <row r="903">
      <c r="A903" s="2" t="n">
        <v>901</v>
      </c>
      <c r="B903" s="7" t="n">
        <v>46289.75</v>
      </c>
      <c r="C903" s="2" t="inlineStr">
        <is>
          <t>出場</t>
        </is>
      </c>
      <c r="D903" s="2" t="n">
        <v>451</v>
      </c>
      <c r="E903" s="2" t="inlineStr">
        <is>
          <t>NEAR_USDT_PERP</t>
        </is>
      </c>
      <c r="F903" s="2" t="inlineStr">
        <is>
          <t>做空</t>
        </is>
      </c>
      <c r="G903" s="20" t="n">
        <v>4.25</v>
      </c>
      <c r="H903" s="20" t="n">
        <v>4.1225</v>
      </c>
      <c r="I903" s="20" t="n">
        <v>4.4625</v>
      </c>
      <c r="J903" s="20" t="n">
        <v>4.1225</v>
      </c>
      <c r="K903" s="2" t="inlineStr">
        <is>
          <t>止盈</t>
        </is>
      </c>
      <c r="L903" s="5">
        <f>交易明細!K452</f>
        <v/>
      </c>
      <c r="M903" s="19">
        <f>M897</f>
        <v/>
      </c>
      <c r="N903" s="2">
        <f>N897</f>
        <v/>
      </c>
      <c r="O903" s="19">
        <f>O897</f>
        <v/>
      </c>
      <c r="P903" s="4">
        <f>交易明細!L452</f>
        <v/>
      </c>
      <c r="Q903" s="13">
        <f>IF(N903="已下單",O903*P903,0)</f>
        <v/>
      </c>
      <c r="R903" s="13">
        <f>R902+Q903</f>
        <v/>
      </c>
      <c r="S903" s="19">
        <f>S902-IF(N903="已下單",M903,0)</f>
        <v/>
      </c>
      <c r="T903" s="19">
        <f>R903-S903</f>
        <v/>
      </c>
      <c r="U903" s="2">
        <f>U902-IF(N903="已下單",1,0)</f>
        <v/>
      </c>
      <c r="V903" s="19">
        <f>IF(資金模擬!$B$9=2,MAX(R903,0),MAX(V902,FLOOR(MAX(R903,0),資金模擬!$B$6)))</f>
        <v/>
      </c>
      <c r="W903" s="13">
        <f>MAX(W902,R903)</f>
        <v/>
      </c>
      <c r="X903" s="4">
        <f>IF(W903&gt;0,R903/W903-1,-1)</f>
        <v/>
      </c>
      <c r="Y903" s="19">
        <f>IF(R903&gt;0,S903*資金模擬!$B$7/R903,0)</f>
        <v/>
      </c>
      <c r="Z903" s="2">
        <f>IF(OR(Z902=1,R903&lt;=資金模擬!$B$10),1,0)</f>
        <v/>
      </c>
    </row>
    <row r="904">
      <c r="A904" s="2" t="n">
        <v>902</v>
      </c>
      <c r="B904" s="7" t="n">
        <v>46289.75</v>
      </c>
      <c r="C904" s="2" t="inlineStr">
        <is>
          <t>進場</t>
        </is>
      </c>
      <c r="D904" s="2" t="n">
        <v>454</v>
      </c>
      <c r="E904" s="2" t="inlineStr">
        <is>
          <t>PEPE_USDT_PERP</t>
        </is>
      </c>
      <c r="F904" s="2" t="inlineStr">
        <is>
          <t>做空</t>
        </is>
      </c>
      <c r="G904" s="20" t="n">
        <v>4.2443e-06</v>
      </c>
      <c r="H904" s="20" t="n">
        <v>4.116971e-06</v>
      </c>
      <c r="I904" s="20" t="n">
        <v>4.456515000000001e-06</v>
      </c>
      <c r="J904" s="20" t="n"/>
      <c r="K904" s="2" t="n"/>
      <c r="L904" s="5" t="n"/>
      <c r="M904" s="19">
        <f>資金模擬!$B$5*V903</f>
        <v/>
      </c>
      <c r="N904" s="2">
        <f>IF(Z903=1,"已停止",IF(T903&gt;=M904,"已下單","資金不足略過"))</f>
        <v/>
      </c>
      <c r="O904" s="19">
        <f>IF(N904="已下單",M904*資金模擬!$B$7,0)</f>
        <v/>
      </c>
      <c r="P904" s="4" t="n"/>
      <c r="Q904" s="13" t="n">
        <v>0</v>
      </c>
      <c r="R904" s="13">
        <f>R903+Q904</f>
        <v/>
      </c>
      <c r="S904" s="19">
        <f>S903+IF(N904="已下單",M904,0)</f>
        <v/>
      </c>
      <c r="T904" s="19">
        <f>R904-S904</f>
        <v/>
      </c>
      <c r="U904" s="2">
        <f>U903+IF(N904="已下單",1,0)</f>
        <v/>
      </c>
      <c r="V904" s="19">
        <f>IF(資金模擬!$B$9=2,MAX(R904,0),MAX(V903,FLOOR(MAX(R904,0),資金模擬!$B$6)))</f>
        <v/>
      </c>
      <c r="W904" s="13">
        <f>MAX(W903,R904)</f>
        <v/>
      </c>
      <c r="X904" s="4">
        <f>IF(W904&gt;0,R904/W904-1,-1)</f>
        <v/>
      </c>
      <c r="Y904" s="19">
        <f>IF(R904&gt;0,S904*資金模擬!$B$7/R904,0)</f>
        <v/>
      </c>
      <c r="Z904" s="2">
        <f>IF(OR(Z903=1,R904&lt;=資金模擬!$B$10),1,0)</f>
        <v/>
      </c>
    </row>
    <row r="905">
      <c r="A905" s="2" t="n">
        <v>903</v>
      </c>
      <c r="B905" s="7" t="n">
        <v>46289.75</v>
      </c>
      <c r="C905" s="2" t="inlineStr">
        <is>
          <t>進場</t>
        </is>
      </c>
      <c r="D905" s="2" t="n">
        <v>455</v>
      </c>
      <c r="E905" s="2" t="inlineStr">
        <is>
          <t>PUMP_USDT_PERP</t>
        </is>
      </c>
      <c r="F905" s="2" t="inlineStr">
        <is>
          <t>做空</t>
        </is>
      </c>
      <c r="G905" s="20" t="n">
        <v>0.003843</v>
      </c>
      <c r="H905" s="20" t="n">
        <v>0.00372771</v>
      </c>
      <c r="I905" s="20" t="n">
        <v>0.00403515</v>
      </c>
      <c r="J905" s="20" t="n"/>
      <c r="K905" s="2" t="n"/>
      <c r="L905" s="5" t="n"/>
      <c r="M905" s="19">
        <f>資金模擬!$B$5*V904</f>
        <v/>
      </c>
      <c r="N905" s="2">
        <f>IF(Z904=1,"已停止",IF(T904&gt;=M905,"已下單","資金不足略過"))</f>
        <v/>
      </c>
      <c r="O905" s="19">
        <f>IF(N905="已下單",M905*資金模擬!$B$7,0)</f>
        <v/>
      </c>
      <c r="P905" s="4" t="n"/>
      <c r="Q905" s="13" t="n">
        <v>0</v>
      </c>
      <c r="R905" s="13">
        <f>R904+Q905</f>
        <v/>
      </c>
      <c r="S905" s="19">
        <f>S904+IF(N905="已下單",M905,0)</f>
        <v/>
      </c>
      <c r="T905" s="19">
        <f>R905-S905</f>
        <v/>
      </c>
      <c r="U905" s="2">
        <f>U904+IF(N905="已下單",1,0)</f>
        <v/>
      </c>
      <c r="V905" s="19">
        <f>IF(資金模擬!$B$9=2,MAX(R905,0),MAX(V904,FLOOR(MAX(R905,0),資金模擬!$B$6)))</f>
        <v/>
      </c>
      <c r="W905" s="13">
        <f>MAX(W904,R905)</f>
        <v/>
      </c>
      <c r="X905" s="4">
        <f>IF(W905&gt;0,R905/W905-1,-1)</f>
        <v/>
      </c>
      <c r="Y905" s="19">
        <f>IF(R905&gt;0,S905*資金模擬!$B$7/R905,0)</f>
        <v/>
      </c>
      <c r="Z905" s="2">
        <f>IF(OR(Z904=1,R905&lt;=資金模擬!$B$10),1,0)</f>
        <v/>
      </c>
    </row>
    <row r="906">
      <c r="A906" s="2" t="n">
        <v>904</v>
      </c>
      <c r="B906" s="7" t="n">
        <v>46289.75</v>
      </c>
      <c r="C906" s="2" t="inlineStr">
        <is>
          <t>進場</t>
        </is>
      </c>
      <c r="D906" s="2" t="n">
        <v>456</v>
      </c>
      <c r="E906" s="2" t="inlineStr">
        <is>
          <t>TAO_USDT_PERP</t>
        </is>
      </c>
      <c r="F906" s="2" t="inlineStr">
        <is>
          <t>做空</t>
        </is>
      </c>
      <c r="G906" s="20" t="n">
        <v>280.61</v>
      </c>
      <c r="H906" s="20" t="n">
        <v>272.1917</v>
      </c>
      <c r="I906" s="20" t="n">
        <v>294.6405</v>
      </c>
      <c r="J906" s="20" t="n"/>
      <c r="K906" s="2" t="n"/>
      <c r="L906" s="5" t="n"/>
      <c r="M906" s="19">
        <f>資金模擬!$B$5*V905</f>
        <v/>
      </c>
      <c r="N906" s="2">
        <f>IF(Z905=1,"已停止",IF(T905&gt;=M906,"已下單","資金不足略過"))</f>
        <v/>
      </c>
      <c r="O906" s="19">
        <f>IF(N906="已下單",M906*資金模擬!$B$7,0)</f>
        <v/>
      </c>
      <c r="P906" s="4" t="n"/>
      <c r="Q906" s="13" t="n">
        <v>0</v>
      </c>
      <c r="R906" s="13">
        <f>R905+Q906</f>
        <v/>
      </c>
      <c r="S906" s="19">
        <f>S905+IF(N906="已下單",M906,0)</f>
        <v/>
      </c>
      <c r="T906" s="19">
        <f>R906-S906</f>
        <v/>
      </c>
      <c r="U906" s="2">
        <f>U905+IF(N906="已下單",1,0)</f>
        <v/>
      </c>
      <c r="V906" s="19">
        <f>IF(資金模擬!$B$9=2,MAX(R906,0),MAX(V905,FLOOR(MAX(R906,0),資金模擬!$B$6)))</f>
        <v/>
      </c>
      <c r="W906" s="13">
        <f>MAX(W905,R906)</f>
        <v/>
      </c>
      <c r="X906" s="4">
        <f>IF(W906&gt;0,R906/W906-1,-1)</f>
        <v/>
      </c>
      <c r="Y906" s="19">
        <f>IF(R906&gt;0,S906*資金模擬!$B$7/R906,0)</f>
        <v/>
      </c>
      <c r="Z906" s="2">
        <f>IF(OR(Z905=1,R906&lt;=資金模擬!$B$10),1,0)</f>
        <v/>
      </c>
    </row>
    <row r="907">
      <c r="A907" s="2" t="n">
        <v>905</v>
      </c>
      <c r="B907" s="7" t="n">
        <v>46289.75</v>
      </c>
      <c r="C907" s="2" t="inlineStr">
        <is>
          <t>進場</t>
        </is>
      </c>
      <c r="D907" s="2" t="n">
        <v>457</v>
      </c>
      <c r="E907" s="2" t="inlineStr">
        <is>
          <t>UNI_USDT_PERP</t>
        </is>
      </c>
      <c r="F907" s="2" t="inlineStr">
        <is>
          <t>做空</t>
        </is>
      </c>
      <c r="G907" s="20" t="n">
        <v>8.867000000000001</v>
      </c>
      <c r="H907" s="20" t="n">
        <v>8.600990000000001</v>
      </c>
      <c r="I907" s="20" t="n">
        <v>9.310350000000001</v>
      </c>
      <c r="J907" s="20" t="n"/>
      <c r="K907" s="2" t="n"/>
      <c r="L907" s="5" t="n"/>
      <c r="M907" s="19">
        <f>資金模擬!$B$5*V906</f>
        <v/>
      </c>
      <c r="N907" s="2">
        <f>IF(Z906=1,"已停止",IF(T906&gt;=M907,"已下單","資金不足略過"))</f>
        <v/>
      </c>
      <c r="O907" s="19">
        <f>IF(N907="已下單",M907*資金模擬!$B$7,0)</f>
        <v/>
      </c>
      <c r="P907" s="4" t="n"/>
      <c r="Q907" s="13" t="n">
        <v>0</v>
      </c>
      <c r="R907" s="13">
        <f>R906+Q907</f>
        <v/>
      </c>
      <c r="S907" s="19">
        <f>S906+IF(N907="已下單",M907,0)</f>
        <v/>
      </c>
      <c r="T907" s="19">
        <f>R907-S907</f>
        <v/>
      </c>
      <c r="U907" s="2">
        <f>U906+IF(N907="已下單",1,0)</f>
        <v/>
      </c>
      <c r="V907" s="19">
        <f>IF(資金模擬!$B$9=2,MAX(R907,0),MAX(V906,FLOOR(MAX(R907,0),資金模擬!$B$6)))</f>
        <v/>
      </c>
      <c r="W907" s="13">
        <f>MAX(W906,R907)</f>
        <v/>
      </c>
      <c r="X907" s="4">
        <f>IF(W907&gt;0,R907/W907-1,-1)</f>
        <v/>
      </c>
      <c r="Y907" s="19">
        <f>IF(R907&gt;0,S907*資金模擬!$B$7/R907,0)</f>
        <v/>
      </c>
      <c r="Z907" s="2">
        <f>IF(OR(Z906=1,R907&lt;=資金模擬!$B$10),1,0)</f>
        <v/>
      </c>
    </row>
    <row r="908">
      <c r="A908" s="2" t="n">
        <v>906</v>
      </c>
      <c r="B908" s="7" t="n">
        <v>46289.75</v>
      </c>
      <c r="C908" s="2" t="inlineStr">
        <is>
          <t>進場</t>
        </is>
      </c>
      <c r="D908" s="2" t="n">
        <v>458</v>
      </c>
      <c r="E908" s="2" t="inlineStr">
        <is>
          <t>VVV_USDT_PERP</t>
        </is>
      </c>
      <c r="F908" s="2" t="inlineStr">
        <is>
          <t>做空</t>
        </is>
      </c>
      <c r="G908" s="20" t="n">
        <v>28.736</v>
      </c>
      <c r="H908" s="20" t="n">
        <v>27.87392</v>
      </c>
      <c r="I908" s="20" t="n">
        <v>30.1728</v>
      </c>
      <c r="J908" s="20" t="n"/>
      <c r="K908" s="2" t="n"/>
      <c r="L908" s="5" t="n"/>
      <c r="M908" s="19">
        <f>資金模擬!$B$5*V907</f>
        <v/>
      </c>
      <c r="N908" s="2">
        <f>IF(Z907=1,"已停止",IF(T907&gt;=M908,"已下單","資金不足略過"))</f>
        <v/>
      </c>
      <c r="O908" s="19">
        <f>IF(N908="已下單",M908*資金模擬!$B$7,0)</f>
        <v/>
      </c>
      <c r="P908" s="4" t="n"/>
      <c r="Q908" s="13" t="n">
        <v>0</v>
      </c>
      <c r="R908" s="13">
        <f>R907+Q908</f>
        <v/>
      </c>
      <c r="S908" s="19">
        <f>S907+IF(N908="已下單",M908,0)</f>
        <v/>
      </c>
      <c r="T908" s="19">
        <f>R908-S908</f>
        <v/>
      </c>
      <c r="U908" s="2">
        <f>U907+IF(N908="已下單",1,0)</f>
        <v/>
      </c>
      <c r="V908" s="19">
        <f>IF(資金模擬!$B$9=2,MAX(R908,0),MAX(V907,FLOOR(MAX(R908,0),資金模擬!$B$6)))</f>
        <v/>
      </c>
      <c r="W908" s="13">
        <f>MAX(W907,R908)</f>
        <v/>
      </c>
      <c r="X908" s="4">
        <f>IF(W908&gt;0,R908/W908-1,-1)</f>
        <v/>
      </c>
      <c r="Y908" s="19">
        <f>IF(R908&gt;0,S908*資金模擬!$B$7/R908,0)</f>
        <v/>
      </c>
      <c r="Z908" s="2">
        <f>IF(OR(Z907=1,R908&lt;=資金模擬!$B$10),1,0)</f>
        <v/>
      </c>
    </row>
    <row r="909">
      <c r="A909" s="2" t="n">
        <v>907</v>
      </c>
      <c r="B909" s="7" t="n">
        <v>46289.75</v>
      </c>
      <c r="C909" s="2" t="inlineStr">
        <is>
          <t>進場</t>
        </is>
      </c>
      <c r="D909" s="2" t="n">
        <v>459</v>
      </c>
      <c r="E909" s="2" t="inlineStr">
        <is>
          <t>ZEC_USDT_PERP</t>
        </is>
      </c>
      <c r="F909" s="2" t="inlineStr">
        <is>
          <t>做空</t>
        </is>
      </c>
      <c r="G909" s="20" t="n">
        <v>1478.57</v>
      </c>
      <c r="H909" s="20" t="n">
        <v>1434.2129</v>
      </c>
      <c r="I909" s="20" t="n">
        <v>1552.4985</v>
      </c>
      <c r="J909" s="20" t="n"/>
      <c r="K909" s="2" t="n"/>
      <c r="L909" s="5" t="n"/>
      <c r="M909" s="19">
        <f>資金模擬!$B$5*V908</f>
        <v/>
      </c>
      <c r="N909" s="2">
        <f>IF(Z908=1,"已停止",IF(T908&gt;=M909,"已下單","資金不足略過"))</f>
        <v/>
      </c>
      <c r="O909" s="19">
        <f>IF(N909="已下單",M909*資金模擬!$B$7,0)</f>
        <v/>
      </c>
      <c r="P909" s="4" t="n"/>
      <c r="Q909" s="13" t="n">
        <v>0</v>
      </c>
      <c r="R909" s="13">
        <f>R908+Q909</f>
        <v/>
      </c>
      <c r="S909" s="19">
        <f>S908+IF(N909="已下單",M909,0)</f>
        <v/>
      </c>
      <c r="T909" s="19">
        <f>R909-S909</f>
        <v/>
      </c>
      <c r="U909" s="2">
        <f>U908+IF(N909="已下單",1,0)</f>
        <v/>
      </c>
      <c r="V909" s="19">
        <f>IF(資金模擬!$B$9=2,MAX(R909,0),MAX(V908,FLOOR(MAX(R909,0),資金模擬!$B$6)))</f>
        <v/>
      </c>
      <c r="W909" s="13">
        <f>MAX(W908,R909)</f>
        <v/>
      </c>
      <c r="X909" s="4">
        <f>IF(W909&gt;0,R909/W909-1,-1)</f>
        <v/>
      </c>
      <c r="Y909" s="19">
        <f>IF(R909&gt;0,S909*資金模擬!$B$7/R909,0)</f>
        <v/>
      </c>
      <c r="Z909" s="2">
        <f>IF(OR(Z908=1,R909&lt;=資金模擬!$B$10),1,0)</f>
        <v/>
      </c>
    </row>
    <row r="910">
      <c r="A910" s="2" t="n">
        <v>908</v>
      </c>
      <c r="B910" s="7" t="n">
        <v>46289.79166666666</v>
      </c>
      <c r="C910" s="2" t="inlineStr">
        <is>
          <t>進場</t>
        </is>
      </c>
      <c r="D910" s="2" t="n">
        <v>460</v>
      </c>
      <c r="E910" s="2" t="inlineStr">
        <is>
          <t>AKE_USDT_PERP</t>
        </is>
      </c>
      <c r="F910" s="2" t="inlineStr">
        <is>
          <t>做空</t>
        </is>
      </c>
      <c r="G910" s="20" t="n">
        <v>0.0416545</v>
      </c>
      <c r="H910" s="20" t="n">
        <v>0.040404865</v>
      </c>
      <c r="I910" s="20" t="n">
        <v>0.043737225</v>
      </c>
      <c r="J910" s="20" t="n"/>
      <c r="K910" s="2" t="n"/>
      <c r="L910" s="5" t="n"/>
      <c r="M910" s="19">
        <f>資金模擬!$B$5*V909</f>
        <v/>
      </c>
      <c r="N910" s="2">
        <f>IF(Z909=1,"已停止",IF(T909&gt;=M910,"已下單","資金不足略過"))</f>
        <v/>
      </c>
      <c r="O910" s="19">
        <f>IF(N910="已下單",M910*資金模擬!$B$7,0)</f>
        <v/>
      </c>
      <c r="P910" s="4" t="n"/>
      <c r="Q910" s="13" t="n">
        <v>0</v>
      </c>
      <c r="R910" s="13">
        <f>R909+Q910</f>
        <v/>
      </c>
      <c r="S910" s="19">
        <f>S909+IF(N910="已下單",M910,0)</f>
        <v/>
      </c>
      <c r="T910" s="19">
        <f>R910-S910</f>
        <v/>
      </c>
      <c r="U910" s="2">
        <f>U909+IF(N910="已下單",1,0)</f>
        <v/>
      </c>
      <c r="V910" s="19">
        <f>IF(資金模擬!$B$9=2,MAX(R910,0),MAX(V909,FLOOR(MAX(R910,0),資金模擬!$B$6)))</f>
        <v/>
      </c>
      <c r="W910" s="13">
        <f>MAX(W909,R910)</f>
        <v/>
      </c>
      <c r="X910" s="4">
        <f>IF(W910&gt;0,R910/W910-1,-1)</f>
        <v/>
      </c>
      <c r="Y910" s="19">
        <f>IF(R910&gt;0,S910*資金模擬!$B$7/R910,0)</f>
        <v/>
      </c>
      <c r="Z910" s="2">
        <f>IF(OR(Z909=1,R910&lt;=資金模擬!$B$10),1,0)</f>
        <v/>
      </c>
    </row>
    <row r="911">
      <c r="A911" s="2" t="n">
        <v>909</v>
      </c>
      <c r="B911" s="7" t="n">
        <v>46289.83333333334</v>
      </c>
      <c r="C911" s="2" t="inlineStr">
        <is>
          <t>出場</t>
        </is>
      </c>
      <c r="D911" s="2" t="n">
        <v>452</v>
      </c>
      <c r="E911" s="2" t="inlineStr">
        <is>
          <t>PONS_USDT_PERP</t>
        </is>
      </c>
      <c r="F911" s="2" t="inlineStr">
        <is>
          <t>做空</t>
        </is>
      </c>
      <c r="G911" s="20" t="n">
        <v>0.623</v>
      </c>
      <c r="H911" s="20" t="n">
        <v>0.60431</v>
      </c>
      <c r="I911" s="20" t="n">
        <v>0.65415</v>
      </c>
      <c r="J911" s="20" t="n">
        <v>0.60431</v>
      </c>
      <c r="K911" s="2" t="inlineStr">
        <is>
          <t>止盈</t>
        </is>
      </c>
      <c r="L911" s="5">
        <f>交易明細!K453</f>
        <v/>
      </c>
      <c r="M911" s="19">
        <f>M898</f>
        <v/>
      </c>
      <c r="N911" s="2">
        <f>N898</f>
        <v/>
      </c>
      <c r="O911" s="19">
        <f>O898</f>
        <v/>
      </c>
      <c r="P911" s="4">
        <f>交易明細!L453</f>
        <v/>
      </c>
      <c r="Q911" s="13">
        <f>IF(N911="已下單",O911*P911,0)</f>
        <v/>
      </c>
      <c r="R911" s="13">
        <f>R910+Q911</f>
        <v/>
      </c>
      <c r="S911" s="19">
        <f>S910-IF(N911="已下單",M911,0)</f>
        <v/>
      </c>
      <c r="T911" s="19">
        <f>R911-S911</f>
        <v/>
      </c>
      <c r="U911" s="2">
        <f>U910-IF(N911="已下單",1,0)</f>
        <v/>
      </c>
      <c r="V911" s="19">
        <f>IF(資金模擬!$B$9=2,MAX(R911,0),MAX(V910,FLOOR(MAX(R911,0),資金模擬!$B$6)))</f>
        <v/>
      </c>
      <c r="W911" s="13">
        <f>MAX(W910,R911)</f>
        <v/>
      </c>
      <c r="X911" s="4">
        <f>IF(W911&gt;0,R911/W911-1,-1)</f>
        <v/>
      </c>
      <c r="Y911" s="19">
        <f>IF(R911&gt;0,S911*資金模擬!$B$7/R911,0)</f>
        <v/>
      </c>
      <c r="Z911" s="2">
        <f>IF(OR(Z910=1,R911&lt;=資金模擬!$B$10),1,0)</f>
        <v/>
      </c>
    </row>
    <row r="912">
      <c r="A912" s="2" t="n">
        <v>910</v>
      </c>
      <c r="B912" s="7" t="n">
        <v>46289.83333333334</v>
      </c>
      <c r="C912" s="2" t="inlineStr">
        <is>
          <t>出場</t>
        </is>
      </c>
      <c r="D912" s="2" t="n">
        <v>460</v>
      </c>
      <c r="E912" s="2" t="inlineStr">
        <is>
          <t>AKE_USDT_PERP</t>
        </is>
      </c>
      <c r="F912" s="2" t="inlineStr">
        <is>
          <t>做空</t>
        </is>
      </c>
      <c r="G912" s="20" t="n">
        <v>0.0416545</v>
      </c>
      <c r="H912" s="20" t="n">
        <v>0.040404865</v>
      </c>
      <c r="I912" s="20" t="n">
        <v>0.043737225</v>
      </c>
      <c r="J912" s="20" t="n">
        <v>0.040404865</v>
      </c>
      <c r="K912" s="2" t="inlineStr">
        <is>
          <t>止盈</t>
        </is>
      </c>
      <c r="L912" s="5">
        <f>交易明細!K461</f>
        <v/>
      </c>
      <c r="M912" s="19">
        <f>M910</f>
        <v/>
      </c>
      <c r="N912" s="2">
        <f>N910</f>
        <v/>
      </c>
      <c r="O912" s="19">
        <f>O910</f>
        <v/>
      </c>
      <c r="P912" s="4">
        <f>交易明細!L461</f>
        <v/>
      </c>
      <c r="Q912" s="13">
        <f>IF(N912="已下單",O912*P912,0)</f>
        <v/>
      </c>
      <c r="R912" s="13">
        <f>R911+Q912</f>
        <v/>
      </c>
      <c r="S912" s="19">
        <f>S911-IF(N912="已下單",M912,0)</f>
        <v/>
      </c>
      <c r="T912" s="19">
        <f>R912-S912</f>
        <v/>
      </c>
      <c r="U912" s="2">
        <f>U911-IF(N912="已下單",1,0)</f>
        <v/>
      </c>
      <c r="V912" s="19">
        <f>IF(資金模擬!$B$9=2,MAX(R912,0),MAX(V911,FLOOR(MAX(R912,0),資金模擬!$B$6)))</f>
        <v/>
      </c>
      <c r="W912" s="13">
        <f>MAX(W911,R912)</f>
        <v/>
      </c>
      <c r="X912" s="4">
        <f>IF(W912&gt;0,R912/W912-1,-1)</f>
        <v/>
      </c>
      <c r="Y912" s="19">
        <f>IF(R912&gt;0,S912*資金模擬!$B$7/R912,0)</f>
        <v/>
      </c>
      <c r="Z912" s="2">
        <f>IF(OR(Z911=1,R912&lt;=資金模擬!$B$10),1,0)</f>
        <v/>
      </c>
    </row>
    <row r="913">
      <c r="A913" s="2" t="n">
        <v>911</v>
      </c>
      <c r="B913" s="7" t="n">
        <v>46289.83333333334</v>
      </c>
      <c r="C913" s="2" t="inlineStr">
        <is>
          <t>進場</t>
        </is>
      </c>
      <c r="D913" s="2" t="n">
        <v>461</v>
      </c>
      <c r="E913" s="2" t="inlineStr">
        <is>
          <t>BR_USDT_PERP</t>
        </is>
      </c>
      <c r="F913" s="2" t="inlineStr">
        <is>
          <t>做多</t>
        </is>
      </c>
      <c r="G913" s="20" t="n">
        <v>1.08909</v>
      </c>
      <c r="H913" s="20" t="n">
        <v>1.1217627</v>
      </c>
      <c r="I913" s="20" t="n">
        <v>1.0346355</v>
      </c>
      <c r="J913" s="20" t="n"/>
      <c r="K913" s="2" t="n"/>
      <c r="L913" s="5" t="n"/>
      <c r="M913" s="19">
        <f>資金模擬!$B$5*V912</f>
        <v/>
      </c>
      <c r="N913" s="2">
        <f>IF(Z912=1,"已停止",IF(T912&gt;=M913,"已下單","資金不足略過"))</f>
        <v/>
      </c>
      <c r="O913" s="19">
        <f>IF(N913="已下單",M913*資金模擬!$B$7,0)</f>
        <v/>
      </c>
      <c r="P913" s="4" t="n"/>
      <c r="Q913" s="13" t="n">
        <v>0</v>
      </c>
      <c r="R913" s="13">
        <f>R912+Q913</f>
        <v/>
      </c>
      <c r="S913" s="19">
        <f>S912+IF(N913="已下單",M913,0)</f>
        <v/>
      </c>
      <c r="T913" s="19">
        <f>R913-S913</f>
        <v/>
      </c>
      <c r="U913" s="2">
        <f>U912+IF(N913="已下單",1,0)</f>
        <v/>
      </c>
      <c r="V913" s="19">
        <f>IF(資金模擬!$B$9=2,MAX(R913,0),MAX(V912,FLOOR(MAX(R913,0),資金模擬!$B$6)))</f>
        <v/>
      </c>
      <c r="W913" s="13">
        <f>MAX(W912,R913)</f>
        <v/>
      </c>
      <c r="X913" s="4">
        <f>IF(W913&gt;0,R913/W913-1,-1)</f>
        <v/>
      </c>
      <c r="Y913" s="19">
        <f>IF(R913&gt;0,S913*資金模擬!$B$7/R913,0)</f>
        <v/>
      </c>
      <c r="Z913" s="2">
        <f>IF(OR(Z912=1,R913&lt;=資金模擬!$B$10),1,0)</f>
        <v/>
      </c>
    </row>
    <row r="914">
      <c r="A914" s="2" t="n">
        <v>912</v>
      </c>
      <c r="B914" s="7" t="n">
        <v>46289.875</v>
      </c>
      <c r="C914" s="2" t="inlineStr">
        <is>
          <t>進場</t>
        </is>
      </c>
      <c r="D914" s="2" t="n">
        <v>462</v>
      </c>
      <c r="E914" s="2" t="inlineStr">
        <is>
          <t>NEAR_USDT_PERP</t>
        </is>
      </c>
      <c r="F914" s="2" t="inlineStr">
        <is>
          <t>做多</t>
        </is>
      </c>
      <c r="G914" s="20" t="n">
        <v>4.413</v>
      </c>
      <c r="H914" s="20" t="n">
        <v>4.54539</v>
      </c>
      <c r="I914" s="20" t="n">
        <v>4.19235</v>
      </c>
      <c r="J914" s="20" t="n"/>
      <c r="K914" s="2" t="n"/>
      <c r="L914" s="5" t="n"/>
      <c r="M914" s="19">
        <f>資金模擬!$B$5*V913</f>
        <v/>
      </c>
      <c r="N914" s="2">
        <f>IF(Z913=1,"已停止",IF(T913&gt;=M914,"已下單","資金不足略過"))</f>
        <v/>
      </c>
      <c r="O914" s="19">
        <f>IF(N914="已下單",M914*資金模擬!$B$7,0)</f>
        <v/>
      </c>
      <c r="P914" s="4" t="n"/>
      <c r="Q914" s="13" t="n">
        <v>0</v>
      </c>
      <c r="R914" s="13">
        <f>R913+Q914</f>
        <v/>
      </c>
      <c r="S914" s="19">
        <f>S913+IF(N914="已下單",M914,0)</f>
        <v/>
      </c>
      <c r="T914" s="19">
        <f>R914-S914</f>
        <v/>
      </c>
      <c r="U914" s="2">
        <f>U913+IF(N914="已下單",1,0)</f>
        <v/>
      </c>
      <c r="V914" s="19">
        <f>IF(資金模擬!$B$9=2,MAX(R914,0),MAX(V913,FLOOR(MAX(R914,0),資金模擬!$B$6)))</f>
        <v/>
      </c>
      <c r="W914" s="13">
        <f>MAX(W913,R914)</f>
        <v/>
      </c>
      <c r="X914" s="4">
        <f>IF(W914&gt;0,R914/W914-1,-1)</f>
        <v/>
      </c>
      <c r="Y914" s="19">
        <f>IF(R914&gt;0,S914*資金模擬!$B$7/R914,0)</f>
        <v/>
      </c>
      <c r="Z914" s="2">
        <f>IF(OR(Z913=1,R914&lt;=資金模擬!$B$10),1,0)</f>
        <v/>
      </c>
    </row>
    <row r="915">
      <c r="A915" s="2" t="n">
        <v>913</v>
      </c>
      <c r="B915" s="7" t="n">
        <v>46289.875</v>
      </c>
      <c r="C915" s="2" t="inlineStr">
        <is>
          <t>進場</t>
        </is>
      </c>
      <c r="D915" s="2" t="n">
        <v>463</v>
      </c>
      <c r="E915" s="2" t="inlineStr">
        <is>
          <t>ZRO_USDT_PERP</t>
        </is>
      </c>
      <c r="F915" s="2" t="inlineStr">
        <is>
          <t>做空</t>
        </is>
      </c>
      <c r="G915" s="20" t="n">
        <v>1.4433</v>
      </c>
      <c r="H915" s="20" t="n">
        <v>1.400001</v>
      </c>
      <c r="I915" s="20" t="n">
        <v>1.515465</v>
      </c>
      <c r="J915" s="20" t="n"/>
      <c r="K915" s="2" t="n"/>
      <c r="L915" s="5" t="n"/>
      <c r="M915" s="19">
        <f>資金模擬!$B$5*V914</f>
        <v/>
      </c>
      <c r="N915" s="2">
        <f>IF(Z914=1,"已停止",IF(T914&gt;=M915,"已下單","資金不足略過"))</f>
        <v/>
      </c>
      <c r="O915" s="19">
        <f>IF(N915="已下單",M915*資金模擬!$B$7,0)</f>
        <v/>
      </c>
      <c r="P915" s="4" t="n"/>
      <c r="Q915" s="13" t="n">
        <v>0</v>
      </c>
      <c r="R915" s="13">
        <f>R914+Q915</f>
        <v/>
      </c>
      <c r="S915" s="19">
        <f>S914+IF(N915="已下單",M915,0)</f>
        <v/>
      </c>
      <c r="T915" s="19">
        <f>R915-S915</f>
        <v/>
      </c>
      <c r="U915" s="2">
        <f>U914+IF(N915="已下單",1,0)</f>
        <v/>
      </c>
      <c r="V915" s="19">
        <f>IF(資金模擬!$B$9=2,MAX(R915,0),MAX(V914,FLOOR(MAX(R915,0),資金模擬!$B$6)))</f>
        <v/>
      </c>
      <c r="W915" s="13">
        <f>MAX(W914,R915)</f>
        <v/>
      </c>
      <c r="X915" s="4">
        <f>IF(W915&gt;0,R915/W915-1,-1)</f>
        <v/>
      </c>
      <c r="Y915" s="19">
        <f>IF(R915&gt;0,S915*資金模擬!$B$7/R915,0)</f>
        <v/>
      </c>
      <c r="Z915" s="2">
        <f>IF(OR(Z914=1,R915&lt;=資金模擬!$B$10),1,0)</f>
        <v/>
      </c>
    </row>
    <row r="916">
      <c r="A916" s="2" t="n">
        <v>914</v>
      </c>
      <c r="B916" s="7" t="n">
        <v>46289.91666666666</v>
      </c>
      <c r="C916" s="2" t="inlineStr">
        <is>
          <t>出場</t>
        </is>
      </c>
      <c r="D916" s="2" t="n">
        <v>448</v>
      </c>
      <c r="E916" s="2" t="inlineStr">
        <is>
          <t>ENA_USDT_PERP</t>
        </is>
      </c>
      <c r="F916" s="2" t="inlineStr">
        <is>
          <t>做空</t>
        </is>
      </c>
      <c r="G916" s="20" t="n">
        <v>0.203</v>
      </c>
      <c r="H916" s="20" t="n">
        <v>0.19691</v>
      </c>
      <c r="I916" s="20" t="n">
        <v>0.21315</v>
      </c>
      <c r="J916" s="20" t="n">
        <v>0.21315</v>
      </c>
      <c r="K916" s="2" t="inlineStr">
        <is>
          <t>止損</t>
        </is>
      </c>
      <c r="L916" s="5">
        <f>交易明細!K449</f>
        <v/>
      </c>
      <c r="M916" s="19">
        <f>M894</f>
        <v/>
      </c>
      <c r="N916" s="2">
        <f>N894</f>
        <v/>
      </c>
      <c r="O916" s="19">
        <f>O894</f>
        <v/>
      </c>
      <c r="P916" s="4">
        <f>交易明細!L449</f>
        <v/>
      </c>
      <c r="Q916" s="13">
        <f>IF(N916="已下單",O916*P916,0)</f>
        <v/>
      </c>
      <c r="R916" s="13">
        <f>R915+Q916</f>
        <v/>
      </c>
      <c r="S916" s="19">
        <f>S915-IF(N916="已下單",M916,0)</f>
        <v/>
      </c>
      <c r="T916" s="19">
        <f>R916-S916</f>
        <v/>
      </c>
      <c r="U916" s="2">
        <f>U915-IF(N916="已下單",1,0)</f>
        <v/>
      </c>
      <c r="V916" s="19">
        <f>IF(資金模擬!$B$9=2,MAX(R916,0),MAX(V915,FLOOR(MAX(R916,0),資金模擬!$B$6)))</f>
        <v/>
      </c>
      <c r="W916" s="13">
        <f>MAX(W915,R916)</f>
        <v/>
      </c>
      <c r="X916" s="4">
        <f>IF(W916&gt;0,R916/W916-1,-1)</f>
        <v/>
      </c>
      <c r="Y916" s="19">
        <f>IF(R916&gt;0,S916*資金模擬!$B$7/R916,0)</f>
        <v/>
      </c>
      <c r="Z916" s="2">
        <f>IF(OR(Z915=1,R916&lt;=資金模擬!$B$10),1,0)</f>
        <v/>
      </c>
    </row>
    <row r="917">
      <c r="A917" s="2" t="n">
        <v>915</v>
      </c>
      <c r="B917" s="7" t="n">
        <v>46289.91666666666</v>
      </c>
      <c r="C917" s="2" t="inlineStr">
        <is>
          <t>出場</t>
        </is>
      </c>
      <c r="D917" s="2" t="n">
        <v>449</v>
      </c>
      <c r="E917" s="2" t="inlineStr">
        <is>
          <t>ICP_USDT_PERP</t>
        </is>
      </c>
      <c r="F917" s="2" t="inlineStr">
        <is>
          <t>做空</t>
        </is>
      </c>
      <c r="G917" s="20" t="n">
        <v>2.912</v>
      </c>
      <c r="H917" s="20" t="n">
        <v>2.82464</v>
      </c>
      <c r="I917" s="20" t="n">
        <v>3.0576</v>
      </c>
      <c r="J917" s="20" t="n">
        <v>3.0576</v>
      </c>
      <c r="K917" s="2" t="inlineStr">
        <is>
          <t>止損</t>
        </is>
      </c>
      <c r="L917" s="5">
        <f>交易明細!K450</f>
        <v/>
      </c>
      <c r="M917" s="19">
        <f>M895</f>
        <v/>
      </c>
      <c r="N917" s="2">
        <f>N895</f>
        <v/>
      </c>
      <c r="O917" s="19">
        <f>O895</f>
        <v/>
      </c>
      <c r="P917" s="4">
        <f>交易明細!L450</f>
        <v/>
      </c>
      <c r="Q917" s="13">
        <f>IF(N917="已下單",O917*P917,0)</f>
        <v/>
      </c>
      <c r="R917" s="13">
        <f>R916+Q917</f>
        <v/>
      </c>
      <c r="S917" s="19">
        <f>S916-IF(N917="已下單",M917,0)</f>
        <v/>
      </c>
      <c r="T917" s="19">
        <f>R917-S917</f>
        <v/>
      </c>
      <c r="U917" s="2">
        <f>U916-IF(N917="已下單",1,0)</f>
        <v/>
      </c>
      <c r="V917" s="19">
        <f>IF(資金模擬!$B$9=2,MAX(R917,0),MAX(V916,FLOOR(MAX(R917,0),資金模擬!$B$6)))</f>
        <v/>
      </c>
      <c r="W917" s="13">
        <f>MAX(W916,R917)</f>
        <v/>
      </c>
      <c r="X917" s="4">
        <f>IF(W917&gt;0,R917/W917-1,-1)</f>
        <v/>
      </c>
      <c r="Y917" s="19">
        <f>IF(R917&gt;0,S917*資金模擬!$B$7/R917,0)</f>
        <v/>
      </c>
      <c r="Z917" s="2">
        <f>IF(OR(Z916=1,R917&lt;=資金模擬!$B$10),1,0)</f>
        <v/>
      </c>
    </row>
    <row r="918">
      <c r="A918" s="2" t="n">
        <v>916</v>
      </c>
      <c r="B918" s="7" t="n">
        <v>46289.91666666666</v>
      </c>
      <c r="C918" s="2" t="inlineStr">
        <is>
          <t>出場</t>
        </is>
      </c>
      <c r="D918" s="2" t="n">
        <v>453</v>
      </c>
      <c r="E918" s="2" t="inlineStr">
        <is>
          <t>PYTH_USDT_PERP</t>
        </is>
      </c>
      <c r="F918" s="2" t="inlineStr">
        <is>
          <t>做空</t>
        </is>
      </c>
      <c r="G918" s="20" t="n">
        <v>0.06320000000000001</v>
      </c>
      <c r="H918" s="20" t="n">
        <v>0.061304</v>
      </c>
      <c r="I918" s="20" t="n">
        <v>0.06636000000000002</v>
      </c>
      <c r="J918" s="20" t="n">
        <v>0.06636000000000002</v>
      </c>
      <c r="K918" s="2" t="inlineStr">
        <is>
          <t>止損</t>
        </is>
      </c>
      <c r="L918" s="5">
        <f>交易明細!K454</f>
        <v/>
      </c>
      <c r="M918" s="19">
        <f>M899</f>
        <v/>
      </c>
      <c r="N918" s="2">
        <f>N899</f>
        <v/>
      </c>
      <c r="O918" s="19">
        <f>O899</f>
        <v/>
      </c>
      <c r="P918" s="4">
        <f>交易明細!L454</f>
        <v/>
      </c>
      <c r="Q918" s="13">
        <f>IF(N918="已下單",O918*P918,0)</f>
        <v/>
      </c>
      <c r="R918" s="13">
        <f>R917+Q918</f>
        <v/>
      </c>
      <c r="S918" s="19">
        <f>S917-IF(N918="已下單",M918,0)</f>
        <v/>
      </c>
      <c r="T918" s="19">
        <f>R918-S918</f>
        <v/>
      </c>
      <c r="U918" s="2">
        <f>U917-IF(N918="已下單",1,0)</f>
        <v/>
      </c>
      <c r="V918" s="19">
        <f>IF(資金模擬!$B$9=2,MAX(R918,0),MAX(V917,FLOOR(MAX(R918,0),資金模擬!$B$6)))</f>
        <v/>
      </c>
      <c r="W918" s="13">
        <f>MAX(W917,R918)</f>
        <v/>
      </c>
      <c r="X918" s="4">
        <f>IF(W918&gt;0,R918/W918-1,-1)</f>
        <v/>
      </c>
      <c r="Y918" s="19">
        <f>IF(R918&gt;0,S918*資金模擬!$B$7/R918,0)</f>
        <v/>
      </c>
      <c r="Z918" s="2">
        <f>IF(OR(Z917=1,R918&lt;=資金模擬!$B$10),1,0)</f>
        <v/>
      </c>
    </row>
    <row r="919">
      <c r="A919" s="2" t="n">
        <v>917</v>
      </c>
      <c r="B919" s="7" t="n">
        <v>46289.91666666666</v>
      </c>
      <c r="C919" s="2" t="inlineStr">
        <is>
          <t>進場</t>
        </is>
      </c>
      <c r="D919" s="2" t="n">
        <v>464</v>
      </c>
      <c r="E919" s="2" t="inlineStr">
        <is>
          <t>AKE_USDT_PERP</t>
        </is>
      </c>
      <c r="F919" s="2" t="inlineStr">
        <is>
          <t>做多</t>
        </is>
      </c>
      <c r="G919" s="20" t="n">
        <v>0.0435322</v>
      </c>
      <c r="H919" s="20" t="n">
        <v>0.044838166</v>
      </c>
      <c r="I919" s="20" t="n">
        <v>0.04135559</v>
      </c>
      <c r="J919" s="20" t="n"/>
      <c r="K919" s="2" t="n"/>
      <c r="L919" s="5" t="n"/>
      <c r="M919" s="19">
        <f>資金模擬!$B$5*V918</f>
        <v/>
      </c>
      <c r="N919" s="2">
        <f>IF(Z918=1,"已停止",IF(T918&gt;=M919,"已下單","資金不足略過"))</f>
        <v/>
      </c>
      <c r="O919" s="19">
        <f>IF(N919="已下單",M919*資金模擬!$B$7,0)</f>
        <v/>
      </c>
      <c r="P919" s="4" t="n"/>
      <c r="Q919" s="13" t="n">
        <v>0</v>
      </c>
      <c r="R919" s="13">
        <f>R918+Q919</f>
        <v/>
      </c>
      <c r="S919" s="19">
        <f>S918+IF(N919="已下單",M919,0)</f>
        <v/>
      </c>
      <c r="T919" s="19">
        <f>R919-S919</f>
        <v/>
      </c>
      <c r="U919" s="2">
        <f>U918+IF(N919="已下單",1,0)</f>
        <v/>
      </c>
      <c r="V919" s="19">
        <f>IF(資金模擬!$B$9=2,MAX(R919,0),MAX(V918,FLOOR(MAX(R919,0),資金模擬!$B$6)))</f>
        <v/>
      </c>
      <c r="W919" s="13">
        <f>MAX(W918,R919)</f>
        <v/>
      </c>
      <c r="X919" s="4">
        <f>IF(W919&gt;0,R919/W919-1,-1)</f>
        <v/>
      </c>
      <c r="Y919" s="19">
        <f>IF(R919&gt;0,S919*資金模擬!$B$7/R919,0)</f>
        <v/>
      </c>
      <c r="Z919" s="2">
        <f>IF(OR(Z918=1,R919&lt;=資金模擬!$B$10),1,0)</f>
        <v/>
      </c>
    </row>
    <row r="920">
      <c r="A920" s="2" t="n">
        <v>918</v>
      </c>
      <c r="B920" s="7" t="n">
        <v>46289.91666666666</v>
      </c>
      <c r="C920" s="2" t="inlineStr">
        <is>
          <t>進場</t>
        </is>
      </c>
      <c r="D920" s="2" t="n">
        <v>465</v>
      </c>
      <c r="E920" s="2" t="inlineStr">
        <is>
          <t>BTW_USDT_PERP</t>
        </is>
      </c>
      <c r="F920" s="2" t="inlineStr">
        <is>
          <t>做多</t>
        </is>
      </c>
      <c r="G920" s="20" t="n">
        <v>1.04655</v>
      </c>
      <c r="H920" s="20" t="n">
        <v>1.0779465</v>
      </c>
      <c r="I920" s="20" t="n">
        <v>0.9942225</v>
      </c>
      <c r="J920" s="20" t="n"/>
      <c r="K920" s="2" t="n"/>
      <c r="L920" s="5" t="n"/>
      <c r="M920" s="19">
        <f>資金模擬!$B$5*V919</f>
        <v/>
      </c>
      <c r="N920" s="2">
        <f>IF(Z919=1,"已停止",IF(T919&gt;=M920,"已下單","資金不足略過"))</f>
        <v/>
      </c>
      <c r="O920" s="19">
        <f>IF(N920="已下單",M920*資金模擬!$B$7,0)</f>
        <v/>
      </c>
      <c r="P920" s="4" t="n"/>
      <c r="Q920" s="13" t="n">
        <v>0</v>
      </c>
      <c r="R920" s="13">
        <f>R919+Q920</f>
        <v/>
      </c>
      <c r="S920" s="19">
        <f>S919+IF(N920="已下單",M920,0)</f>
        <v/>
      </c>
      <c r="T920" s="19">
        <f>R920-S920</f>
        <v/>
      </c>
      <c r="U920" s="2">
        <f>U919+IF(N920="已下單",1,0)</f>
        <v/>
      </c>
      <c r="V920" s="19">
        <f>IF(資金模擬!$B$9=2,MAX(R920,0),MAX(V919,FLOOR(MAX(R920,0),資金模擬!$B$6)))</f>
        <v/>
      </c>
      <c r="W920" s="13">
        <f>MAX(W919,R920)</f>
        <v/>
      </c>
      <c r="X920" s="4">
        <f>IF(W920&gt;0,R920/W920-1,-1)</f>
        <v/>
      </c>
      <c r="Y920" s="19">
        <f>IF(R920&gt;0,S920*資金模擬!$B$7/R920,0)</f>
        <v/>
      </c>
      <c r="Z920" s="2">
        <f>IF(OR(Z919=1,R920&lt;=資金模擬!$B$10),1,0)</f>
        <v/>
      </c>
    </row>
    <row r="921">
      <c r="A921" s="2" t="n">
        <v>919</v>
      </c>
      <c r="B921" s="7" t="n">
        <v>46289.91666666666</v>
      </c>
      <c r="C921" s="2" t="inlineStr">
        <is>
          <t>進場</t>
        </is>
      </c>
      <c r="D921" s="2" t="n">
        <v>466</v>
      </c>
      <c r="E921" s="2" t="inlineStr">
        <is>
          <t>FET_USDT_PERP</t>
        </is>
      </c>
      <c r="F921" s="2" t="inlineStr">
        <is>
          <t>做多</t>
        </is>
      </c>
      <c r="G921" s="20" t="n">
        <v>0.2057</v>
      </c>
      <c r="H921" s="20" t="n">
        <v>0.211871</v>
      </c>
      <c r="I921" s="20" t="n">
        <v>0.195415</v>
      </c>
      <c r="J921" s="20" t="n"/>
      <c r="K921" s="2" t="n"/>
      <c r="L921" s="5" t="n"/>
      <c r="M921" s="19">
        <f>資金模擬!$B$5*V920</f>
        <v/>
      </c>
      <c r="N921" s="2">
        <f>IF(Z920=1,"已停止",IF(T920&gt;=M921,"已下單","資金不足略過"))</f>
        <v/>
      </c>
      <c r="O921" s="19">
        <f>IF(N921="已下單",M921*資金模擬!$B$7,0)</f>
        <v/>
      </c>
      <c r="P921" s="4" t="n"/>
      <c r="Q921" s="13" t="n">
        <v>0</v>
      </c>
      <c r="R921" s="13">
        <f>R920+Q921</f>
        <v/>
      </c>
      <c r="S921" s="19">
        <f>S920+IF(N921="已下單",M921,0)</f>
        <v/>
      </c>
      <c r="T921" s="19">
        <f>R921-S921</f>
        <v/>
      </c>
      <c r="U921" s="2">
        <f>U920+IF(N921="已下單",1,0)</f>
        <v/>
      </c>
      <c r="V921" s="19">
        <f>IF(資金模擬!$B$9=2,MAX(R921,0),MAX(V920,FLOOR(MAX(R921,0),資金模擬!$B$6)))</f>
        <v/>
      </c>
      <c r="W921" s="13">
        <f>MAX(W920,R921)</f>
        <v/>
      </c>
      <c r="X921" s="4">
        <f>IF(W921&gt;0,R921/W921-1,-1)</f>
        <v/>
      </c>
      <c r="Y921" s="19">
        <f>IF(R921&gt;0,S921*資金模擬!$B$7/R921,0)</f>
        <v/>
      </c>
      <c r="Z921" s="2">
        <f>IF(OR(Z920=1,R921&lt;=資金模擬!$B$10),1,0)</f>
        <v/>
      </c>
    </row>
    <row r="922">
      <c r="A922" s="2" t="n">
        <v>920</v>
      </c>
      <c r="B922" s="7" t="n">
        <v>46289.91666666666</v>
      </c>
      <c r="C922" s="2" t="inlineStr">
        <is>
          <t>進場</t>
        </is>
      </c>
      <c r="D922" s="2" t="n">
        <v>467</v>
      </c>
      <c r="E922" s="2" t="inlineStr">
        <is>
          <t>RAY_USDT_PERP</t>
        </is>
      </c>
      <c r="F922" s="2" t="inlineStr">
        <is>
          <t>做多</t>
        </is>
      </c>
      <c r="G922" s="20" t="n">
        <v>2.08</v>
      </c>
      <c r="H922" s="20" t="n">
        <v>2.1424</v>
      </c>
      <c r="I922" s="20" t="n">
        <v>1.976</v>
      </c>
      <c r="J922" s="20" t="n"/>
      <c r="K922" s="2" t="n"/>
      <c r="L922" s="5" t="n"/>
      <c r="M922" s="19">
        <f>資金模擬!$B$5*V921</f>
        <v/>
      </c>
      <c r="N922" s="2">
        <f>IF(Z921=1,"已停止",IF(T921&gt;=M922,"已下單","資金不足略過"))</f>
        <v/>
      </c>
      <c r="O922" s="19">
        <f>IF(N922="已下單",M922*資金模擬!$B$7,0)</f>
        <v/>
      </c>
      <c r="P922" s="4" t="n"/>
      <c r="Q922" s="13" t="n">
        <v>0</v>
      </c>
      <c r="R922" s="13">
        <f>R921+Q922</f>
        <v/>
      </c>
      <c r="S922" s="19">
        <f>S921+IF(N922="已下單",M922,0)</f>
        <v/>
      </c>
      <c r="T922" s="19">
        <f>R922-S922</f>
        <v/>
      </c>
      <c r="U922" s="2">
        <f>U921+IF(N922="已下單",1,0)</f>
        <v/>
      </c>
      <c r="V922" s="19">
        <f>IF(資金模擬!$B$9=2,MAX(R922,0),MAX(V921,FLOOR(MAX(R922,0),資金模擬!$B$6)))</f>
        <v/>
      </c>
      <c r="W922" s="13">
        <f>MAX(W921,R922)</f>
        <v/>
      </c>
      <c r="X922" s="4">
        <f>IF(W922&gt;0,R922/W922-1,-1)</f>
        <v/>
      </c>
      <c r="Y922" s="19">
        <f>IF(R922&gt;0,S922*資金模擬!$B$7/R922,0)</f>
        <v/>
      </c>
      <c r="Z922" s="2">
        <f>IF(OR(Z921=1,R922&lt;=資金模擬!$B$10),1,0)</f>
        <v/>
      </c>
    </row>
    <row r="923">
      <c r="A923" s="2" t="n">
        <v>921</v>
      </c>
      <c r="B923" s="7" t="n">
        <v>46289.95833333334</v>
      </c>
      <c r="C923" s="2" t="inlineStr">
        <is>
          <t>出場</t>
        </is>
      </c>
      <c r="D923" s="2" t="n">
        <v>454</v>
      </c>
      <c r="E923" s="2" t="inlineStr">
        <is>
          <t>PEPE_USDT_PERP</t>
        </is>
      </c>
      <c r="F923" s="2" t="inlineStr">
        <is>
          <t>做空</t>
        </is>
      </c>
      <c r="G923" s="20" t="n">
        <v>4.2443e-06</v>
      </c>
      <c r="H923" s="20" t="n">
        <v>4.116971e-06</v>
      </c>
      <c r="I923" s="20" t="n">
        <v>4.456515000000001e-06</v>
      </c>
      <c r="J923" s="20" t="n">
        <v>4.456515000000001e-06</v>
      </c>
      <c r="K923" s="2" t="inlineStr">
        <is>
          <t>止損</t>
        </is>
      </c>
      <c r="L923" s="5">
        <f>交易明細!K455</f>
        <v/>
      </c>
      <c r="M923" s="19">
        <f>M904</f>
        <v/>
      </c>
      <c r="N923" s="2">
        <f>N904</f>
        <v/>
      </c>
      <c r="O923" s="19">
        <f>O904</f>
        <v/>
      </c>
      <c r="P923" s="4">
        <f>交易明細!L455</f>
        <v/>
      </c>
      <c r="Q923" s="13">
        <f>IF(N923="已下單",O923*P923,0)</f>
        <v/>
      </c>
      <c r="R923" s="13">
        <f>R922+Q923</f>
        <v/>
      </c>
      <c r="S923" s="19">
        <f>S922-IF(N923="已下單",M923,0)</f>
        <v/>
      </c>
      <c r="T923" s="19">
        <f>R923-S923</f>
        <v/>
      </c>
      <c r="U923" s="2">
        <f>U922-IF(N923="已下單",1,0)</f>
        <v/>
      </c>
      <c r="V923" s="19">
        <f>IF(資金模擬!$B$9=2,MAX(R923,0),MAX(V922,FLOOR(MAX(R923,0),資金模擬!$B$6)))</f>
        <v/>
      </c>
      <c r="W923" s="13">
        <f>MAX(W922,R923)</f>
        <v/>
      </c>
      <c r="X923" s="4">
        <f>IF(W923&gt;0,R923/W923-1,-1)</f>
        <v/>
      </c>
      <c r="Y923" s="19">
        <f>IF(R923&gt;0,S923*資金模擬!$B$7/R923,0)</f>
        <v/>
      </c>
      <c r="Z923" s="2">
        <f>IF(OR(Z922=1,R923&lt;=資金模擬!$B$10),1,0)</f>
        <v/>
      </c>
    </row>
    <row r="924">
      <c r="A924" s="2" t="n">
        <v>922</v>
      </c>
      <c r="B924" s="7" t="n">
        <v>46289.95833333334</v>
      </c>
      <c r="C924" s="2" t="inlineStr">
        <is>
          <t>出場</t>
        </is>
      </c>
      <c r="D924" s="2" t="n">
        <v>456</v>
      </c>
      <c r="E924" s="2" t="inlineStr">
        <is>
          <t>TAO_USDT_PERP</t>
        </is>
      </c>
      <c r="F924" s="2" t="inlineStr">
        <is>
          <t>做空</t>
        </is>
      </c>
      <c r="G924" s="20" t="n">
        <v>280.61</v>
      </c>
      <c r="H924" s="20" t="n">
        <v>272.1917</v>
      </c>
      <c r="I924" s="20" t="n">
        <v>294.6405</v>
      </c>
      <c r="J924" s="20" t="n">
        <v>294.6405</v>
      </c>
      <c r="K924" s="2" t="inlineStr">
        <is>
          <t>止損</t>
        </is>
      </c>
      <c r="L924" s="5">
        <f>交易明細!K457</f>
        <v/>
      </c>
      <c r="M924" s="19">
        <f>M906</f>
        <v/>
      </c>
      <c r="N924" s="2">
        <f>N906</f>
        <v/>
      </c>
      <c r="O924" s="19">
        <f>O906</f>
        <v/>
      </c>
      <c r="P924" s="4">
        <f>交易明細!L457</f>
        <v/>
      </c>
      <c r="Q924" s="13">
        <f>IF(N924="已下單",O924*P924,0)</f>
        <v/>
      </c>
      <c r="R924" s="13">
        <f>R923+Q924</f>
        <v/>
      </c>
      <c r="S924" s="19">
        <f>S923-IF(N924="已下單",M924,0)</f>
        <v/>
      </c>
      <c r="T924" s="19">
        <f>R924-S924</f>
        <v/>
      </c>
      <c r="U924" s="2">
        <f>U923-IF(N924="已下單",1,0)</f>
        <v/>
      </c>
      <c r="V924" s="19">
        <f>IF(資金模擬!$B$9=2,MAX(R924,0),MAX(V923,FLOOR(MAX(R924,0),資金模擬!$B$6)))</f>
        <v/>
      </c>
      <c r="W924" s="13">
        <f>MAX(W923,R924)</f>
        <v/>
      </c>
      <c r="X924" s="4">
        <f>IF(W924&gt;0,R924/W924-1,-1)</f>
        <v/>
      </c>
      <c r="Y924" s="19">
        <f>IF(R924&gt;0,S924*資金模擬!$B$7/R924,0)</f>
        <v/>
      </c>
      <c r="Z924" s="2">
        <f>IF(OR(Z923=1,R924&lt;=資金模擬!$B$10),1,0)</f>
        <v/>
      </c>
    </row>
    <row r="925">
      <c r="A925" s="2" t="n">
        <v>923</v>
      </c>
      <c r="B925" s="7" t="n">
        <v>46289.95833333334</v>
      </c>
      <c r="C925" s="2" t="inlineStr">
        <is>
          <t>出場</t>
        </is>
      </c>
      <c r="D925" s="2" t="n">
        <v>457</v>
      </c>
      <c r="E925" s="2" t="inlineStr">
        <is>
          <t>UNI_USDT_PERP</t>
        </is>
      </c>
      <c r="F925" s="2" t="inlineStr">
        <is>
          <t>做空</t>
        </is>
      </c>
      <c r="G925" s="20" t="n">
        <v>8.867000000000001</v>
      </c>
      <c r="H925" s="20" t="n">
        <v>8.600990000000001</v>
      </c>
      <c r="I925" s="20" t="n">
        <v>9.310350000000001</v>
      </c>
      <c r="J925" s="20" t="n">
        <v>9.310350000000001</v>
      </c>
      <c r="K925" s="2" t="inlineStr">
        <is>
          <t>止損</t>
        </is>
      </c>
      <c r="L925" s="5">
        <f>交易明細!K458</f>
        <v/>
      </c>
      <c r="M925" s="19">
        <f>M907</f>
        <v/>
      </c>
      <c r="N925" s="2">
        <f>N907</f>
        <v/>
      </c>
      <c r="O925" s="19">
        <f>O907</f>
        <v/>
      </c>
      <c r="P925" s="4">
        <f>交易明細!L458</f>
        <v/>
      </c>
      <c r="Q925" s="13">
        <f>IF(N925="已下單",O925*P925,0)</f>
        <v/>
      </c>
      <c r="R925" s="13">
        <f>R924+Q925</f>
        <v/>
      </c>
      <c r="S925" s="19">
        <f>S924-IF(N925="已下單",M925,0)</f>
        <v/>
      </c>
      <c r="T925" s="19">
        <f>R925-S925</f>
        <v/>
      </c>
      <c r="U925" s="2">
        <f>U924-IF(N925="已下單",1,0)</f>
        <v/>
      </c>
      <c r="V925" s="19">
        <f>IF(資金模擬!$B$9=2,MAX(R925,0),MAX(V924,FLOOR(MAX(R925,0),資金模擬!$B$6)))</f>
        <v/>
      </c>
      <c r="W925" s="13">
        <f>MAX(W924,R925)</f>
        <v/>
      </c>
      <c r="X925" s="4">
        <f>IF(W925&gt;0,R925/W925-1,-1)</f>
        <v/>
      </c>
      <c r="Y925" s="19">
        <f>IF(R925&gt;0,S925*資金模擬!$B$7/R925,0)</f>
        <v/>
      </c>
      <c r="Z925" s="2">
        <f>IF(OR(Z924=1,R925&lt;=資金模擬!$B$10),1,0)</f>
        <v/>
      </c>
    </row>
    <row r="926">
      <c r="A926" s="2" t="n">
        <v>924</v>
      </c>
      <c r="B926" s="7" t="n">
        <v>46289.95833333334</v>
      </c>
      <c r="C926" s="2" t="inlineStr">
        <is>
          <t>出場</t>
        </is>
      </c>
      <c r="D926" s="2" t="n">
        <v>458</v>
      </c>
      <c r="E926" s="2" t="inlineStr">
        <is>
          <t>VVV_USDT_PERP</t>
        </is>
      </c>
      <c r="F926" s="2" t="inlineStr">
        <is>
          <t>做空</t>
        </is>
      </c>
      <c r="G926" s="20" t="n">
        <v>28.736</v>
      </c>
      <c r="H926" s="20" t="n">
        <v>27.87392</v>
      </c>
      <c r="I926" s="20" t="n">
        <v>30.1728</v>
      </c>
      <c r="J926" s="20" t="n">
        <v>30.1728</v>
      </c>
      <c r="K926" s="2" t="inlineStr">
        <is>
          <t>止損</t>
        </is>
      </c>
      <c r="L926" s="5">
        <f>交易明細!K459</f>
        <v/>
      </c>
      <c r="M926" s="19">
        <f>M908</f>
        <v/>
      </c>
      <c r="N926" s="2">
        <f>N908</f>
        <v/>
      </c>
      <c r="O926" s="19">
        <f>O908</f>
        <v/>
      </c>
      <c r="P926" s="4">
        <f>交易明細!L459</f>
        <v/>
      </c>
      <c r="Q926" s="13">
        <f>IF(N926="已下單",O926*P926,0)</f>
        <v/>
      </c>
      <c r="R926" s="13">
        <f>R925+Q926</f>
        <v/>
      </c>
      <c r="S926" s="19">
        <f>S925-IF(N926="已下單",M926,0)</f>
        <v/>
      </c>
      <c r="T926" s="19">
        <f>R926-S926</f>
        <v/>
      </c>
      <c r="U926" s="2">
        <f>U925-IF(N926="已下單",1,0)</f>
        <v/>
      </c>
      <c r="V926" s="19">
        <f>IF(資金模擬!$B$9=2,MAX(R926,0),MAX(V925,FLOOR(MAX(R926,0),資金模擬!$B$6)))</f>
        <v/>
      </c>
      <c r="W926" s="13">
        <f>MAX(W925,R926)</f>
        <v/>
      </c>
      <c r="X926" s="4">
        <f>IF(W926&gt;0,R926/W926-1,-1)</f>
        <v/>
      </c>
      <c r="Y926" s="19">
        <f>IF(R926&gt;0,S926*資金模擬!$B$7/R926,0)</f>
        <v/>
      </c>
      <c r="Z926" s="2">
        <f>IF(OR(Z925=1,R926&lt;=資金模擬!$B$10),1,0)</f>
        <v/>
      </c>
    </row>
    <row r="927">
      <c r="A927" s="2" t="n">
        <v>925</v>
      </c>
      <c r="B927" s="7" t="n">
        <v>46289.95833333334</v>
      </c>
      <c r="C927" s="2" t="inlineStr">
        <is>
          <t>出場</t>
        </is>
      </c>
      <c r="D927" s="2" t="n">
        <v>461</v>
      </c>
      <c r="E927" s="2" t="inlineStr">
        <is>
          <t>BR_USDT_PERP</t>
        </is>
      </c>
      <c r="F927" s="2" t="inlineStr">
        <is>
          <t>做多</t>
        </is>
      </c>
      <c r="G927" s="20" t="n">
        <v>1.08909</v>
      </c>
      <c r="H927" s="20" t="n">
        <v>1.1217627</v>
      </c>
      <c r="I927" s="20" t="n">
        <v>1.0346355</v>
      </c>
      <c r="J927" s="20" t="n">
        <v>1.0346355</v>
      </c>
      <c r="K927" s="2" t="inlineStr">
        <is>
          <t>止損</t>
        </is>
      </c>
      <c r="L927" s="5">
        <f>交易明細!K462</f>
        <v/>
      </c>
      <c r="M927" s="19">
        <f>M913</f>
        <v/>
      </c>
      <c r="N927" s="2">
        <f>N913</f>
        <v/>
      </c>
      <c r="O927" s="19">
        <f>O913</f>
        <v/>
      </c>
      <c r="P927" s="4">
        <f>交易明細!L462</f>
        <v/>
      </c>
      <c r="Q927" s="13">
        <f>IF(N927="已下單",O927*P927,0)</f>
        <v/>
      </c>
      <c r="R927" s="13">
        <f>R926+Q927</f>
        <v/>
      </c>
      <c r="S927" s="19">
        <f>S926-IF(N927="已下單",M927,0)</f>
        <v/>
      </c>
      <c r="T927" s="19">
        <f>R927-S927</f>
        <v/>
      </c>
      <c r="U927" s="2">
        <f>U926-IF(N927="已下單",1,0)</f>
        <v/>
      </c>
      <c r="V927" s="19">
        <f>IF(資金模擬!$B$9=2,MAX(R927,0),MAX(V926,FLOOR(MAX(R927,0),資金模擬!$B$6)))</f>
        <v/>
      </c>
      <c r="W927" s="13">
        <f>MAX(W926,R927)</f>
        <v/>
      </c>
      <c r="X927" s="4">
        <f>IF(W927&gt;0,R927/W927-1,-1)</f>
        <v/>
      </c>
      <c r="Y927" s="19">
        <f>IF(R927&gt;0,S927*資金模擬!$B$7/R927,0)</f>
        <v/>
      </c>
      <c r="Z927" s="2">
        <f>IF(OR(Z926=1,R927&lt;=資金模擬!$B$10),1,0)</f>
        <v/>
      </c>
    </row>
    <row r="928">
      <c r="A928" s="2" t="n">
        <v>926</v>
      </c>
      <c r="B928" s="7" t="n">
        <v>46289.95833333334</v>
      </c>
      <c r="C928" s="2" t="inlineStr">
        <is>
          <t>出場</t>
        </is>
      </c>
      <c r="D928" s="2" t="n">
        <v>462</v>
      </c>
      <c r="E928" s="2" t="inlineStr">
        <is>
          <t>NEAR_USDT_PERP</t>
        </is>
      </c>
      <c r="F928" s="2" t="inlineStr">
        <is>
          <t>做多</t>
        </is>
      </c>
      <c r="G928" s="20" t="n">
        <v>4.413</v>
      </c>
      <c r="H928" s="20" t="n">
        <v>4.54539</v>
      </c>
      <c r="I928" s="20" t="n">
        <v>4.19235</v>
      </c>
      <c r="J928" s="20" t="n">
        <v>4.54539</v>
      </c>
      <c r="K928" s="2" t="inlineStr">
        <is>
          <t>止盈</t>
        </is>
      </c>
      <c r="L928" s="5">
        <f>交易明細!K463</f>
        <v/>
      </c>
      <c r="M928" s="19">
        <f>M914</f>
        <v/>
      </c>
      <c r="N928" s="2">
        <f>N914</f>
        <v/>
      </c>
      <c r="O928" s="19">
        <f>O914</f>
        <v/>
      </c>
      <c r="P928" s="4">
        <f>交易明細!L463</f>
        <v/>
      </c>
      <c r="Q928" s="13">
        <f>IF(N928="已下單",O928*P928,0)</f>
        <v/>
      </c>
      <c r="R928" s="13">
        <f>R927+Q928</f>
        <v/>
      </c>
      <c r="S928" s="19">
        <f>S927-IF(N928="已下單",M928,0)</f>
        <v/>
      </c>
      <c r="T928" s="19">
        <f>R928-S928</f>
        <v/>
      </c>
      <c r="U928" s="2">
        <f>U927-IF(N928="已下單",1,0)</f>
        <v/>
      </c>
      <c r="V928" s="19">
        <f>IF(資金模擬!$B$9=2,MAX(R928,0),MAX(V927,FLOOR(MAX(R928,0),資金模擬!$B$6)))</f>
        <v/>
      </c>
      <c r="W928" s="13">
        <f>MAX(W927,R928)</f>
        <v/>
      </c>
      <c r="X928" s="4">
        <f>IF(W928&gt;0,R928/W928-1,-1)</f>
        <v/>
      </c>
      <c r="Y928" s="19">
        <f>IF(R928&gt;0,S928*資金模擬!$B$7/R928,0)</f>
        <v/>
      </c>
      <c r="Z928" s="2">
        <f>IF(OR(Z927=1,R928&lt;=資金模擬!$B$10),1,0)</f>
        <v/>
      </c>
    </row>
    <row r="929">
      <c r="A929" s="2" t="n">
        <v>927</v>
      </c>
      <c r="B929" s="7" t="n">
        <v>46289.95833333334</v>
      </c>
      <c r="C929" s="2" t="inlineStr">
        <is>
          <t>出場</t>
        </is>
      </c>
      <c r="D929" s="2" t="n">
        <v>464</v>
      </c>
      <c r="E929" s="2" t="inlineStr">
        <is>
          <t>AKE_USDT_PERP</t>
        </is>
      </c>
      <c r="F929" s="2" t="inlineStr">
        <is>
          <t>做多</t>
        </is>
      </c>
      <c r="G929" s="20" t="n">
        <v>0.0435322</v>
      </c>
      <c r="H929" s="20" t="n">
        <v>0.044838166</v>
      </c>
      <c r="I929" s="20" t="n">
        <v>0.04135559</v>
      </c>
      <c r="J929" s="20" t="n">
        <v>0.044838166</v>
      </c>
      <c r="K929" s="2" t="inlineStr">
        <is>
          <t>止盈</t>
        </is>
      </c>
      <c r="L929" s="5">
        <f>交易明細!K465</f>
        <v/>
      </c>
      <c r="M929" s="19">
        <f>M919</f>
        <v/>
      </c>
      <c r="N929" s="2">
        <f>N919</f>
        <v/>
      </c>
      <c r="O929" s="19">
        <f>O919</f>
        <v/>
      </c>
      <c r="P929" s="4">
        <f>交易明細!L465</f>
        <v/>
      </c>
      <c r="Q929" s="13">
        <f>IF(N929="已下單",O929*P929,0)</f>
        <v/>
      </c>
      <c r="R929" s="13">
        <f>R928+Q929</f>
        <v/>
      </c>
      <c r="S929" s="19">
        <f>S928-IF(N929="已下單",M929,0)</f>
        <v/>
      </c>
      <c r="T929" s="19">
        <f>R929-S929</f>
        <v/>
      </c>
      <c r="U929" s="2">
        <f>U928-IF(N929="已下單",1,0)</f>
        <v/>
      </c>
      <c r="V929" s="19">
        <f>IF(資金模擬!$B$9=2,MAX(R929,0),MAX(V928,FLOOR(MAX(R929,0),資金模擬!$B$6)))</f>
        <v/>
      </c>
      <c r="W929" s="13">
        <f>MAX(W928,R929)</f>
        <v/>
      </c>
      <c r="X929" s="4">
        <f>IF(W929&gt;0,R929/W929-1,-1)</f>
        <v/>
      </c>
      <c r="Y929" s="19">
        <f>IF(R929&gt;0,S929*資金模擬!$B$7/R929,0)</f>
        <v/>
      </c>
      <c r="Z929" s="2">
        <f>IF(OR(Z928=1,R929&lt;=資金模擬!$B$10),1,0)</f>
        <v/>
      </c>
    </row>
    <row r="930">
      <c r="A930" s="2" t="n">
        <v>928</v>
      </c>
      <c r="B930" s="7" t="n">
        <v>46289.95833333334</v>
      </c>
      <c r="C930" s="2" t="inlineStr">
        <is>
          <t>出場</t>
        </is>
      </c>
      <c r="D930" s="2" t="n">
        <v>466</v>
      </c>
      <c r="E930" s="2" t="inlineStr">
        <is>
          <t>FET_USDT_PERP</t>
        </is>
      </c>
      <c r="F930" s="2" t="inlineStr">
        <is>
          <t>做多</t>
        </is>
      </c>
      <c r="G930" s="20" t="n">
        <v>0.2057</v>
      </c>
      <c r="H930" s="20" t="n">
        <v>0.211871</v>
      </c>
      <c r="I930" s="20" t="n">
        <v>0.195415</v>
      </c>
      <c r="J930" s="20" t="n">
        <v>0.211871</v>
      </c>
      <c r="K930" s="2" t="inlineStr">
        <is>
          <t>止盈</t>
        </is>
      </c>
      <c r="L930" s="5">
        <f>交易明細!K467</f>
        <v/>
      </c>
      <c r="M930" s="19">
        <f>M921</f>
        <v/>
      </c>
      <c r="N930" s="2">
        <f>N921</f>
        <v/>
      </c>
      <c r="O930" s="19">
        <f>O921</f>
        <v/>
      </c>
      <c r="P930" s="4">
        <f>交易明細!L467</f>
        <v/>
      </c>
      <c r="Q930" s="13">
        <f>IF(N930="已下單",O930*P930,0)</f>
        <v/>
      </c>
      <c r="R930" s="13">
        <f>R929+Q930</f>
        <v/>
      </c>
      <c r="S930" s="19">
        <f>S929-IF(N930="已下單",M930,0)</f>
        <v/>
      </c>
      <c r="T930" s="19">
        <f>R930-S930</f>
        <v/>
      </c>
      <c r="U930" s="2">
        <f>U929-IF(N930="已下單",1,0)</f>
        <v/>
      </c>
      <c r="V930" s="19">
        <f>IF(資金模擬!$B$9=2,MAX(R930,0),MAX(V929,FLOOR(MAX(R930,0),資金模擬!$B$6)))</f>
        <v/>
      </c>
      <c r="W930" s="13">
        <f>MAX(W929,R930)</f>
        <v/>
      </c>
      <c r="X930" s="4">
        <f>IF(W930&gt;0,R930/W930-1,-1)</f>
        <v/>
      </c>
      <c r="Y930" s="19">
        <f>IF(R930&gt;0,S930*資金模擬!$B$7/R930,0)</f>
        <v/>
      </c>
      <c r="Z930" s="2">
        <f>IF(OR(Z929=1,R930&lt;=資金模擬!$B$10),1,0)</f>
        <v/>
      </c>
    </row>
    <row r="931">
      <c r="A931" s="2" t="n">
        <v>929</v>
      </c>
      <c r="B931" s="7" t="n">
        <v>46289.95833333334</v>
      </c>
      <c r="C931" s="2" t="inlineStr">
        <is>
          <t>進場</t>
        </is>
      </c>
      <c r="D931" s="2" t="n">
        <v>468</v>
      </c>
      <c r="E931" s="2" t="inlineStr">
        <is>
          <t>ARB_USDT_PERP</t>
        </is>
      </c>
      <c r="F931" s="2" t="inlineStr">
        <is>
          <t>做空</t>
        </is>
      </c>
      <c r="G931" s="20" t="n">
        <v>0.2135</v>
      </c>
      <c r="H931" s="20" t="n">
        <v>0.207095</v>
      </c>
      <c r="I931" s="20" t="n">
        <v>0.224175</v>
      </c>
      <c r="J931" s="20" t="n"/>
      <c r="K931" s="2" t="n"/>
      <c r="L931" s="5" t="n"/>
      <c r="M931" s="19">
        <f>資金模擬!$B$5*V930</f>
        <v/>
      </c>
      <c r="N931" s="2">
        <f>IF(Z930=1,"已停止",IF(T930&gt;=M931,"已下單","資金不足略過"))</f>
        <v/>
      </c>
      <c r="O931" s="19">
        <f>IF(N931="已下單",M931*資金模擬!$B$7,0)</f>
        <v/>
      </c>
      <c r="P931" s="4" t="n"/>
      <c r="Q931" s="13" t="n">
        <v>0</v>
      </c>
      <c r="R931" s="13">
        <f>R930+Q931</f>
        <v/>
      </c>
      <c r="S931" s="19">
        <f>S930+IF(N931="已下單",M931,0)</f>
        <v/>
      </c>
      <c r="T931" s="19">
        <f>R931-S931</f>
        <v/>
      </c>
      <c r="U931" s="2">
        <f>U930+IF(N931="已下單",1,0)</f>
        <v/>
      </c>
      <c r="V931" s="19">
        <f>IF(資金模擬!$B$9=2,MAX(R931,0),MAX(V930,FLOOR(MAX(R931,0),資金模擬!$B$6)))</f>
        <v/>
      </c>
      <c r="W931" s="13">
        <f>MAX(W930,R931)</f>
        <v/>
      </c>
      <c r="X931" s="4">
        <f>IF(W931&gt;0,R931/W931-1,-1)</f>
        <v/>
      </c>
      <c r="Y931" s="19">
        <f>IF(R931&gt;0,S931*資金模擬!$B$7/R931,0)</f>
        <v/>
      </c>
      <c r="Z931" s="2">
        <f>IF(OR(Z930=1,R931&lt;=資金模擬!$B$10),1,0)</f>
        <v/>
      </c>
    </row>
    <row r="932">
      <c r="A932" s="2" t="n">
        <v>930</v>
      </c>
      <c r="B932" s="7" t="n">
        <v>46289.95833333334</v>
      </c>
      <c r="C932" s="2" t="inlineStr">
        <is>
          <t>進場</t>
        </is>
      </c>
      <c r="D932" s="2" t="n">
        <v>469</v>
      </c>
      <c r="E932" s="2" t="inlineStr">
        <is>
          <t>NOM_USDT_PERP</t>
        </is>
      </c>
      <c r="F932" s="2" t="inlineStr">
        <is>
          <t>做空</t>
        </is>
      </c>
      <c r="G932" s="20" t="n">
        <v>0.00231</v>
      </c>
      <c r="H932" s="20" t="n">
        <v>0.0022407</v>
      </c>
      <c r="I932" s="20" t="n">
        <v>0.0024255</v>
      </c>
      <c r="J932" s="20" t="n"/>
      <c r="K932" s="2" t="n"/>
      <c r="L932" s="5" t="n"/>
      <c r="M932" s="19">
        <f>資金模擬!$B$5*V931</f>
        <v/>
      </c>
      <c r="N932" s="2">
        <f>IF(Z931=1,"已停止",IF(T931&gt;=M932,"已下單","資金不足略過"))</f>
        <v/>
      </c>
      <c r="O932" s="19">
        <f>IF(N932="已下單",M932*資金模擬!$B$7,0)</f>
        <v/>
      </c>
      <c r="P932" s="4" t="n"/>
      <c r="Q932" s="13" t="n">
        <v>0</v>
      </c>
      <c r="R932" s="13">
        <f>R931+Q932</f>
        <v/>
      </c>
      <c r="S932" s="19">
        <f>S931+IF(N932="已下單",M932,0)</f>
        <v/>
      </c>
      <c r="T932" s="19">
        <f>R932-S932</f>
        <v/>
      </c>
      <c r="U932" s="2">
        <f>U931+IF(N932="已下單",1,0)</f>
        <v/>
      </c>
      <c r="V932" s="19">
        <f>IF(資金模擬!$B$9=2,MAX(R932,0),MAX(V931,FLOOR(MAX(R932,0),資金模擬!$B$6)))</f>
        <v/>
      </c>
      <c r="W932" s="13">
        <f>MAX(W931,R932)</f>
        <v/>
      </c>
      <c r="X932" s="4">
        <f>IF(W932&gt;0,R932/W932-1,-1)</f>
        <v/>
      </c>
      <c r="Y932" s="19">
        <f>IF(R932&gt;0,S932*資金模擬!$B$7/R932,0)</f>
        <v/>
      </c>
      <c r="Z932" s="2">
        <f>IF(OR(Z931=1,R932&lt;=資金模擬!$B$10),1,0)</f>
        <v/>
      </c>
    </row>
    <row r="933">
      <c r="A933" s="2" t="n">
        <v>931</v>
      </c>
      <c r="B933" s="7" t="n">
        <v>46290</v>
      </c>
      <c r="C933" s="2" t="inlineStr">
        <is>
          <t>進場</t>
        </is>
      </c>
      <c r="D933" s="2" t="n">
        <v>470</v>
      </c>
      <c r="E933" s="2" t="inlineStr">
        <is>
          <t>PONS_USDT_PERP</t>
        </is>
      </c>
      <c r="F933" s="2" t="inlineStr">
        <is>
          <t>做多</t>
        </is>
      </c>
      <c r="G933" s="20" t="n">
        <v>0.6308</v>
      </c>
      <c r="H933" s="20" t="n">
        <v>0.6497240000000001</v>
      </c>
      <c r="I933" s="20" t="n">
        <v>0.59926</v>
      </c>
      <c r="J933" s="20" t="n"/>
      <c r="K933" s="2" t="n"/>
      <c r="L933" s="5" t="n"/>
      <c r="M933" s="19">
        <f>資金模擬!$B$5*V932</f>
        <v/>
      </c>
      <c r="N933" s="2">
        <f>IF(Z932=1,"已停止",IF(T932&gt;=M933,"已下單","資金不足略過"))</f>
        <v/>
      </c>
      <c r="O933" s="19">
        <f>IF(N933="已下單",M933*資金模擬!$B$7,0)</f>
        <v/>
      </c>
      <c r="P933" s="4" t="n"/>
      <c r="Q933" s="13" t="n">
        <v>0</v>
      </c>
      <c r="R933" s="13">
        <f>R932+Q933</f>
        <v/>
      </c>
      <c r="S933" s="19">
        <f>S932+IF(N933="已下單",M933,0)</f>
        <v/>
      </c>
      <c r="T933" s="19">
        <f>R933-S933</f>
        <v/>
      </c>
      <c r="U933" s="2">
        <f>U932+IF(N933="已下單",1,0)</f>
        <v/>
      </c>
      <c r="V933" s="19">
        <f>IF(資金模擬!$B$9=2,MAX(R933,0),MAX(V932,FLOOR(MAX(R933,0),資金模擬!$B$6)))</f>
        <v/>
      </c>
      <c r="W933" s="13">
        <f>MAX(W932,R933)</f>
        <v/>
      </c>
      <c r="X933" s="4">
        <f>IF(W933&gt;0,R933/W933-1,-1)</f>
        <v/>
      </c>
      <c r="Y933" s="19">
        <f>IF(R933&gt;0,S933*資金模擬!$B$7/R933,0)</f>
        <v/>
      </c>
      <c r="Z933" s="2">
        <f>IF(OR(Z932=1,R933&lt;=資金模擬!$B$10),1,0)</f>
        <v/>
      </c>
    </row>
    <row r="934">
      <c r="A934" s="2" t="n">
        <v>932</v>
      </c>
      <c r="B934" s="7" t="n">
        <v>46290</v>
      </c>
      <c r="C934" s="2" t="inlineStr">
        <is>
          <t>進場</t>
        </is>
      </c>
      <c r="D934" s="2" t="n">
        <v>471</v>
      </c>
      <c r="E934" s="2" t="inlineStr">
        <is>
          <t>USELESS_USDT_PERP</t>
        </is>
      </c>
      <c r="F934" s="2" t="inlineStr">
        <is>
          <t>做多</t>
        </is>
      </c>
      <c r="G934" s="20" t="n">
        <v>0.29391</v>
      </c>
      <c r="H934" s="20" t="n">
        <v>0.3027273</v>
      </c>
      <c r="I934" s="20" t="n">
        <v>0.2792145</v>
      </c>
      <c r="J934" s="20" t="n"/>
      <c r="K934" s="2" t="n"/>
      <c r="L934" s="5" t="n"/>
      <c r="M934" s="19">
        <f>資金模擬!$B$5*V933</f>
        <v/>
      </c>
      <c r="N934" s="2">
        <f>IF(Z933=1,"已停止",IF(T933&gt;=M934,"已下單","資金不足略過"))</f>
        <v/>
      </c>
      <c r="O934" s="19">
        <f>IF(N934="已下單",M934*資金模擬!$B$7,0)</f>
        <v/>
      </c>
      <c r="P934" s="4" t="n"/>
      <c r="Q934" s="13" t="n">
        <v>0</v>
      </c>
      <c r="R934" s="13">
        <f>R933+Q934</f>
        <v/>
      </c>
      <c r="S934" s="19">
        <f>S933+IF(N934="已下單",M934,0)</f>
        <v/>
      </c>
      <c r="T934" s="19">
        <f>R934-S934</f>
        <v/>
      </c>
      <c r="U934" s="2">
        <f>U933+IF(N934="已下單",1,0)</f>
        <v/>
      </c>
      <c r="V934" s="19">
        <f>IF(資金模擬!$B$9=2,MAX(R934,0),MAX(V933,FLOOR(MAX(R934,0),資金模擬!$B$6)))</f>
        <v/>
      </c>
      <c r="W934" s="13">
        <f>MAX(W933,R934)</f>
        <v/>
      </c>
      <c r="X934" s="4">
        <f>IF(W934&gt;0,R934/W934-1,-1)</f>
        <v/>
      </c>
      <c r="Y934" s="19">
        <f>IF(R934&gt;0,S934*資金模擬!$B$7/R934,0)</f>
        <v/>
      </c>
      <c r="Z934" s="2">
        <f>IF(OR(Z933=1,R934&lt;=資金模擬!$B$10),1,0)</f>
        <v/>
      </c>
    </row>
    <row r="935">
      <c r="A935" s="2" t="n">
        <v>933</v>
      </c>
      <c r="B935" s="7" t="n">
        <v>46290.04166666666</v>
      </c>
      <c r="C935" s="2" t="inlineStr">
        <is>
          <t>出場</t>
        </is>
      </c>
      <c r="D935" s="2" t="n">
        <v>465</v>
      </c>
      <c r="E935" s="2" t="inlineStr">
        <is>
          <t>BTW_USDT_PERP</t>
        </is>
      </c>
      <c r="F935" s="2" t="inlineStr">
        <is>
          <t>做多</t>
        </is>
      </c>
      <c r="G935" s="20" t="n">
        <v>1.04655</v>
      </c>
      <c r="H935" s="20" t="n">
        <v>1.0779465</v>
      </c>
      <c r="I935" s="20" t="n">
        <v>0.9942225</v>
      </c>
      <c r="J935" s="20" t="n">
        <v>1.0779465</v>
      </c>
      <c r="K935" s="2" t="inlineStr">
        <is>
          <t>止盈</t>
        </is>
      </c>
      <c r="L935" s="5">
        <f>交易明細!K466</f>
        <v/>
      </c>
      <c r="M935" s="19">
        <f>M920</f>
        <v/>
      </c>
      <c r="N935" s="2">
        <f>N920</f>
        <v/>
      </c>
      <c r="O935" s="19">
        <f>O920</f>
        <v/>
      </c>
      <c r="P935" s="4">
        <f>交易明細!L466</f>
        <v/>
      </c>
      <c r="Q935" s="13">
        <f>IF(N935="已下單",O935*P935,0)</f>
        <v/>
      </c>
      <c r="R935" s="13">
        <f>R934+Q935</f>
        <v/>
      </c>
      <c r="S935" s="19">
        <f>S934-IF(N935="已下單",M935,0)</f>
        <v/>
      </c>
      <c r="T935" s="19">
        <f>R935-S935</f>
        <v/>
      </c>
      <c r="U935" s="2">
        <f>U934-IF(N935="已下單",1,0)</f>
        <v/>
      </c>
      <c r="V935" s="19">
        <f>IF(資金模擬!$B$9=2,MAX(R935,0),MAX(V934,FLOOR(MAX(R935,0),資金模擬!$B$6)))</f>
        <v/>
      </c>
      <c r="W935" s="13">
        <f>MAX(W934,R935)</f>
        <v/>
      </c>
      <c r="X935" s="4">
        <f>IF(W935&gt;0,R935/W935-1,-1)</f>
        <v/>
      </c>
      <c r="Y935" s="19">
        <f>IF(R935&gt;0,S935*資金模擬!$B$7/R935,0)</f>
        <v/>
      </c>
      <c r="Z935" s="2">
        <f>IF(OR(Z934=1,R935&lt;=資金模擬!$B$10),1,0)</f>
        <v/>
      </c>
    </row>
    <row r="936">
      <c r="A936" s="2" t="n">
        <v>934</v>
      </c>
      <c r="B936" s="7" t="n">
        <v>46290.04166666666</v>
      </c>
      <c r="C936" s="2" t="inlineStr">
        <is>
          <t>出場</t>
        </is>
      </c>
      <c r="D936" s="2" t="n">
        <v>469</v>
      </c>
      <c r="E936" s="2" t="inlineStr">
        <is>
          <t>NOM_USDT_PERP</t>
        </is>
      </c>
      <c r="F936" s="2" t="inlineStr">
        <is>
          <t>做空</t>
        </is>
      </c>
      <c r="G936" s="20" t="n">
        <v>0.00231</v>
      </c>
      <c r="H936" s="20" t="n">
        <v>0.0022407</v>
      </c>
      <c r="I936" s="20" t="n">
        <v>0.0024255</v>
      </c>
      <c r="J936" s="20" t="n">
        <v>0.0024255</v>
      </c>
      <c r="K936" s="2" t="inlineStr">
        <is>
          <t>止損</t>
        </is>
      </c>
      <c r="L936" s="5">
        <f>交易明細!K470</f>
        <v/>
      </c>
      <c r="M936" s="19">
        <f>M932</f>
        <v/>
      </c>
      <c r="N936" s="2">
        <f>N932</f>
        <v/>
      </c>
      <c r="O936" s="19">
        <f>O932</f>
        <v/>
      </c>
      <c r="P936" s="4">
        <f>交易明細!L470</f>
        <v/>
      </c>
      <c r="Q936" s="13">
        <f>IF(N936="已下單",O936*P936,0)</f>
        <v/>
      </c>
      <c r="R936" s="13">
        <f>R935+Q936</f>
        <v/>
      </c>
      <c r="S936" s="19">
        <f>S935-IF(N936="已下單",M936,0)</f>
        <v/>
      </c>
      <c r="T936" s="19">
        <f>R936-S936</f>
        <v/>
      </c>
      <c r="U936" s="2">
        <f>U935-IF(N936="已下單",1,0)</f>
        <v/>
      </c>
      <c r="V936" s="19">
        <f>IF(資金模擬!$B$9=2,MAX(R936,0),MAX(V935,FLOOR(MAX(R936,0),資金模擬!$B$6)))</f>
        <v/>
      </c>
      <c r="W936" s="13">
        <f>MAX(W935,R936)</f>
        <v/>
      </c>
      <c r="X936" s="4">
        <f>IF(W936&gt;0,R936/W936-1,-1)</f>
        <v/>
      </c>
      <c r="Y936" s="19">
        <f>IF(R936&gt;0,S936*資金模擬!$B$7/R936,0)</f>
        <v/>
      </c>
      <c r="Z936" s="2">
        <f>IF(OR(Z935=1,R936&lt;=資金模擬!$B$10),1,0)</f>
        <v/>
      </c>
    </row>
    <row r="937">
      <c r="A937" s="2" t="n">
        <v>935</v>
      </c>
      <c r="B937" s="7" t="n">
        <v>46290.04166666666</v>
      </c>
      <c r="C937" s="2" t="inlineStr">
        <is>
          <t>出場</t>
        </is>
      </c>
      <c r="D937" s="2" t="n">
        <v>471</v>
      </c>
      <c r="E937" s="2" t="inlineStr">
        <is>
          <t>USELESS_USDT_PERP</t>
        </is>
      </c>
      <c r="F937" s="2" t="inlineStr">
        <is>
          <t>做多</t>
        </is>
      </c>
      <c r="G937" s="20" t="n">
        <v>0.29391</v>
      </c>
      <c r="H937" s="20" t="n">
        <v>0.3027273</v>
      </c>
      <c r="I937" s="20" t="n">
        <v>0.2792145</v>
      </c>
      <c r="J937" s="20" t="n">
        <v>0.3027273</v>
      </c>
      <c r="K937" s="2" t="inlineStr">
        <is>
          <t>止盈</t>
        </is>
      </c>
      <c r="L937" s="5">
        <f>交易明細!K472</f>
        <v/>
      </c>
      <c r="M937" s="19">
        <f>M934</f>
        <v/>
      </c>
      <c r="N937" s="2">
        <f>N934</f>
        <v/>
      </c>
      <c r="O937" s="19">
        <f>O934</f>
        <v/>
      </c>
      <c r="P937" s="4">
        <f>交易明細!L472</f>
        <v/>
      </c>
      <c r="Q937" s="13">
        <f>IF(N937="已下單",O937*P937,0)</f>
        <v/>
      </c>
      <c r="R937" s="13">
        <f>R936+Q937</f>
        <v/>
      </c>
      <c r="S937" s="19">
        <f>S936-IF(N937="已下單",M937,0)</f>
        <v/>
      </c>
      <c r="T937" s="19">
        <f>R937-S937</f>
        <v/>
      </c>
      <c r="U937" s="2">
        <f>U936-IF(N937="已下單",1,0)</f>
        <v/>
      </c>
      <c r="V937" s="19">
        <f>IF(資金模擬!$B$9=2,MAX(R937,0),MAX(V936,FLOOR(MAX(R937,0),資金模擬!$B$6)))</f>
        <v/>
      </c>
      <c r="W937" s="13">
        <f>MAX(W936,R937)</f>
        <v/>
      </c>
      <c r="X937" s="4">
        <f>IF(W937&gt;0,R937/W937-1,-1)</f>
        <v/>
      </c>
      <c r="Y937" s="19">
        <f>IF(R937&gt;0,S937*資金模擬!$B$7/R937,0)</f>
        <v/>
      </c>
      <c r="Z937" s="2">
        <f>IF(OR(Z936=1,R937&lt;=資金模擬!$B$10),1,0)</f>
        <v/>
      </c>
    </row>
    <row r="938">
      <c r="A938" s="2" t="n">
        <v>936</v>
      </c>
      <c r="B938" s="7" t="n">
        <v>46290.04166666666</v>
      </c>
      <c r="C938" s="2" t="inlineStr">
        <is>
          <t>進場</t>
        </is>
      </c>
      <c r="D938" s="2" t="n">
        <v>472</v>
      </c>
      <c r="E938" s="2" t="inlineStr">
        <is>
          <t>LSK_USDT_PERP</t>
        </is>
      </c>
      <c r="F938" s="2" t="inlineStr">
        <is>
          <t>做多</t>
        </is>
      </c>
      <c r="G938" s="20" t="n">
        <v>0.3986</v>
      </c>
      <c r="H938" s="20" t="n">
        <v>0.410558</v>
      </c>
      <c r="I938" s="20" t="n">
        <v>0.37867</v>
      </c>
      <c r="J938" s="20" t="n"/>
      <c r="K938" s="2" t="n"/>
      <c r="L938" s="5" t="n"/>
      <c r="M938" s="19">
        <f>資金模擬!$B$5*V937</f>
        <v/>
      </c>
      <c r="N938" s="2">
        <f>IF(Z937=1,"已停止",IF(T937&gt;=M938,"已下單","資金不足略過"))</f>
        <v/>
      </c>
      <c r="O938" s="19">
        <f>IF(N938="已下單",M938*資金模擬!$B$7,0)</f>
        <v/>
      </c>
      <c r="P938" s="4" t="n"/>
      <c r="Q938" s="13" t="n">
        <v>0</v>
      </c>
      <c r="R938" s="13">
        <f>R937+Q938</f>
        <v/>
      </c>
      <c r="S938" s="19">
        <f>S937+IF(N938="已下單",M938,0)</f>
        <v/>
      </c>
      <c r="T938" s="19">
        <f>R938-S938</f>
        <v/>
      </c>
      <c r="U938" s="2">
        <f>U937+IF(N938="已下單",1,0)</f>
        <v/>
      </c>
      <c r="V938" s="19">
        <f>IF(資金模擬!$B$9=2,MAX(R938,0),MAX(V937,FLOOR(MAX(R938,0),資金模擬!$B$6)))</f>
        <v/>
      </c>
      <c r="W938" s="13">
        <f>MAX(W937,R938)</f>
        <v/>
      </c>
      <c r="X938" s="4">
        <f>IF(W938&gt;0,R938/W938-1,-1)</f>
        <v/>
      </c>
      <c r="Y938" s="19">
        <f>IF(R938&gt;0,S938*資金模擬!$B$7/R938,0)</f>
        <v/>
      </c>
      <c r="Z938" s="2">
        <f>IF(OR(Z937=1,R938&lt;=資金模擬!$B$10),1,0)</f>
        <v/>
      </c>
    </row>
    <row r="939">
      <c r="A939" s="2" t="n">
        <v>937</v>
      </c>
      <c r="B939" s="7" t="n">
        <v>46290.08333333334</v>
      </c>
      <c r="C939" s="2" t="inlineStr">
        <is>
          <t>出場</t>
        </is>
      </c>
      <c r="D939" s="2" t="n">
        <v>459</v>
      </c>
      <c r="E939" s="2" t="inlineStr">
        <is>
          <t>ZEC_USDT_PERP</t>
        </is>
      </c>
      <c r="F939" s="2" t="inlineStr">
        <is>
          <t>做空</t>
        </is>
      </c>
      <c r="G939" s="20" t="n">
        <v>1478.57</v>
      </c>
      <c r="H939" s="20" t="n">
        <v>1434.2129</v>
      </c>
      <c r="I939" s="20" t="n">
        <v>1552.4985</v>
      </c>
      <c r="J939" s="20" t="n">
        <v>1552.4985</v>
      </c>
      <c r="K939" s="2" t="inlineStr">
        <is>
          <t>止損</t>
        </is>
      </c>
      <c r="L939" s="5">
        <f>交易明細!K460</f>
        <v/>
      </c>
      <c r="M939" s="19">
        <f>M909</f>
        <v/>
      </c>
      <c r="N939" s="2">
        <f>N909</f>
        <v/>
      </c>
      <c r="O939" s="19">
        <f>O909</f>
        <v/>
      </c>
      <c r="P939" s="4">
        <f>交易明細!L460</f>
        <v/>
      </c>
      <c r="Q939" s="13">
        <f>IF(N939="已下單",O939*P939,0)</f>
        <v/>
      </c>
      <c r="R939" s="13">
        <f>R938+Q939</f>
        <v/>
      </c>
      <c r="S939" s="19">
        <f>S938-IF(N939="已下單",M939,0)</f>
        <v/>
      </c>
      <c r="T939" s="19">
        <f>R939-S939</f>
        <v/>
      </c>
      <c r="U939" s="2">
        <f>U938-IF(N939="已下單",1,0)</f>
        <v/>
      </c>
      <c r="V939" s="19">
        <f>IF(資金模擬!$B$9=2,MAX(R939,0),MAX(V938,FLOOR(MAX(R939,0),資金模擬!$B$6)))</f>
        <v/>
      </c>
      <c r="W939" s="13">
        <f>MAX(W938,R939)</f>
        <v/>
      </c>
      <c r="X939" s="4">
        <f>IF(W939&gt;0,R939/W939-1,-1)</f>
        <v/>
      </c>
      <c r="Y939" s="19">
        <f>IF(R939&gt;0,S939*資金模擬!$B$7/R939,0)</f>
        <v/>
      </c>
      <c r="Z939" s="2">
        <f>IF(OR(Z938=1,R939&lt;=資金模擬!$B$10),1,0)</f>
        <v/>
      </c>
    </row>
    <row r="940">
      <c r="A940" s="2" t="n">
        <v>938</v>
      </c>
      <c r="B940" s="7" t="n">
        <v>46290.125</v>
      </c>
      <c r="C940" s="2" t="inlineStr">
        <is>
          <t>出場</t>
        </is>
      </c>
      <c r="D940" s="2" t="n">
        <v>467</v>
      </c>
      <c r="E940" s="2" t="inlineStr">
        <is>
          <t>RAY_USDT_PERP</t>
        </is>
      </c>
      <c r="F940" s="2" t="inlineStr">
        <is>
          <t>做多</t>
        </is>
      </c>
      <c r="G940" s="20" t="n">
        <v>2.08</v>
      </c>
      <c r="H940" s="20" t="n">
        <v>2.1424</v>
      </c>
      <c r="I940" s="20" t="n">
        <v>1.976</v>
      </c>
      <c r="J940" s="20" t="n">
        <v>2.1424</v>
      </c>
      <c r="K940" s="2" t="inlineStr">
        <is>
          <t>止盈</t>
        </is>
      </c>
      <c r="L940" s="5">
        <f>交易明細!K468</f>
        <v/>
      </c>
      <c r="M940" s="19">
        <f>M922</f>
        <v/>
      </c>
      <c r="N940" s="2">
        <f>N922</f>
        <v/>
      </c>
      <c r="O940" s="19">
        <f>O922</f>
        <v/>
      </c>
      <c r="P940" s="4">
        <f>交易明細!L468</f>
        <v/>
      </c>
      <c r="Q940" s="13">
        <f>IF(N940="已下單",O940*P940,0)</f>
        <v/>
      </c>
      <c r="R940" s="13">
        <f>R939+Q940</f>
        <v/>
      </c>
      <c r="S940" s="19">
        <f>S939-IF(N940="已下單",M940,0)</f>
        <v/>
      </c>
      <c r="T940" s="19">
        <f>R940-S940</f>
        <v/>
      </c>
      <c r="U940" s="2">
        <f>U939-IF(N940="已下單",1,0)</f>
        <v/>
      </c>
      <c r="V940" s="19">
        <f>IF(資金模擬!$B$9=2,MAX(R940,0),MAX(V939,FLOOR(MAX(R940,0),資金模擬!$B$6)))</f>
        <v/>
      </c>
      <c r="W940" s="13">
        <f>MAX(W939,R940)</f>
        <v/>
      </c>
      <c r="X940" s="4">
        <f>IF(W940&gt;0,R940/W940-1,-1)</f>
        <v/>
      </c>
      <c r="Y940" s="19">
        <f>IF(R940&gt;0,S940*資金模擬!$B$7/R940,0)</f>
        <v/>
      </c>
      <c r="Z940" s="2">
        <f>IF(OR(Z939=1,R940&lt;=資金模擬!$B$10),1,0)</f>
        <v/>
      </c>
    </row>
    <row r="941">
      <c r="A941" s="2" t="n">
        <v>939</v>
      </c>
      <c r="B941" s="7" t="n">
        <v>46290.125</v>
      </c>
      <c r="C941" s="2" t="inlineStr">
        <is>
          <t>出場</t>
        </is>
      </c>
      <c r="D941" s="2" t="n">
        <v>472</v>
      </c>
      <c r="E941" s="2" t="inlineStr">
        <is>
          <t>LSK_USDT_PERP</t>
        </is>
      </c>
      <c r="F941" s="2" t="inlineStr">
        <is>
          <t>做多</t>
        </is>
      </c>
      <c r="G941" s="20" t="n">
        <v>0.3986</v>
      </c>
      <c r="H941" s="20" t="n">
        <v>0.410558</v>
      </c>
      <c r="I941" s="20" t="n">
        <v>0.37867</v>
      </c>
      <c r="J941" s="20" t="n">
        <v>0.410558</v>
      </c>
      <c r="K941" s="2" t="inlineStr">
        <is>
          <t>止盈</t>
        </is>
      </c>
      <c r="L941" s="5">
        <f>交易明細!K473</f>
        <v/>
      </c>
      <c r="M941" s="19">
        <f>M938</f>
        <v/>
      </c>
      <c r="N941" s="2">
        <f>N938</f>
        <v/>
      </c>
      <c r="O941" s="19">
        <f>O938</f>
        <v/>
      </c>
      <c r="P941" s="4">
        <f>交易明細!L473</f>
        <v/>
      </c>
      <c r="Q941" s="13">
        <f>IF(N941="已下單",O941*P941,0)</f>
        <v/>
      </c>
      <c r="R941" s="13">
        <f>R940+Q941</f>
        <v/>
      </c>
      <c r="S941" s="19">
        <f>S940-IF(N941="已下單",M941,0)</f>
        <v/>
      </c>
      <c r="T941" s="19">
        <f>R941-S941</f>
        <v/>
      </c>
      <c r="U941" s="2">
        <f>U940-IF(N941="已下單",1,0)</f>
        <v/>
      </c>
      <c r="V941" s="19">
        <f>IF(資金模擬!$B$9=2,MAX(R941,0),MAX(V940,FLOOR(MAX(R941,0),資金模擬!$B$6)))</f>
        <v/>
      </c>
      <c r="W941" s="13">
        <f>MAX(W940,R941)</f>
        <v/>
      </c>
      <c r="X941" s="4">
        <f>IF(W941&gt;0,R941/W941-1,-1)</f>
        <v/>
      </c>
      <c r="Y941" s="19">
        <f>IF(R941&gt;0,S941*資金模擬!$B$7/R941,0)</f>
        <v/>
      </c>
      <c r="Z941" s="2">
        <f>IF(OR(Z940=1,R941&lt;=資金模擬!$B$10),1,0)</f>
        <v/>
      </c>
    </row>
    <row r="942">
      <c r="A942" s="2" t="n">
        <v>940</v>
      </c>
      <c r="B942" s="7" t="n">
        <v>46290.125</v>
      </c>
      <c r="C942" s="2" t="inlineStr">
        <is>
          <t>進場</t>
        </is>
      </c>
      <c r="D942" s="2" t="n">
        <v>473</v>
      </c>
      <c r="E942" s="2" t="inlineStr">
        <is>
          <t>LIT_USDT_PERP</t>
        </is>
      </c>
      <c r="F942" s="2" t="inlineStr">
        <is>
          <t>做多</t>
        </is>
      </c>
      <c r="G942" s="20" t="n">
        <v>5.401</v>
      </c>
      <c r="H942" s="20" t="n">
        <v>5.56303</v>
      </c>
      <c r="I942" s="20" t="n">
        <v>5.130949999999999</v>
      </c>
      <c r="J942" s="20" t="n"/>
      <c r="K942" s="2" t="n"/>
      <c r="L942" s="5" t="n"/>
      <c r="M942" s="19">
        <f>資金模擬!$B$5*V941</f>
        <v/>
      </c>
      <c r="N942" s="2">
        <f>IF(Z941=1,"已停止",IF(T941&gt;=M942,"已下單","資金不足略過"))</f>
        <v/>
      </c>
      <c r="O942" s="19">
        <f>IF(N942="已下單",M942*資金模擬!$B$7,0)</f>
        <v/>
      </c>
      <c r="P942" s="4" t="n"/>
      <c r="Q942" s="13" t="n">
        <v>0</v>
      </c>
      <c r="R942" s="13">
        <f>R941+Q942</f>
        <v/>
      </c>
      <c r="S942" s="19">
        <f>S941+IF(N942="已下單",M942,0)</f>
        <v/>
      </c>
      <c r="T942" s="19">
        <f>R942-S942</f>
        <v/>
      </c>
      <c r="U942" s="2">
        <f>U941+IF(N942="已下單",1,0)</f>
        <v/>
      </c>
      <c r="V942" s="19">
        <f>IF(資金模擬!$B$9=2,MAX(R942,0),MAX(V941,FLOOR(MAX(R942,0),資金模擬!$B$6)))</f>
        <v/>
      </c>
      <c r="W942" s="13">
        <f>MAX(W941,R942)</f>
        <v/>
      </c>
      <c r="X942" s="4">
        <f>IF(W942&gt;0,R942/W942-1,-1)</f>
        <v/>
      </c>
      <c r="Y942" s="19">
        <f>IF(R942&gt;0,S942*資金模擬!$B$7/R942,0)</f>
        <v/>
      </c>
      <c r="Z942" s="2">
        <f>IF(OR(Z941=1,R942&lt;=資金模擬!$B$10),1,0)</f>
        <v/>
      </c>
    </row>
    <row r="943">
      <c r="A943" s="2" t="n">
        <v>941</v>
      </c>
      <c r="B943" s="7" t="n">
        <v>46290.20833333334</v>
      </c>
      <c r="C943" s="2" t="inlineStr">
        <is>
          <t>進場</t>
        </is>
      </c>
      <c r="D943" s="2" t="n">
        <v>474</v>
      </c>
      <c r="E943" s="2" t="inlineStr">
        <is>
          <t>BR_USDT_PERP</t>
        </is>
      </c>
      <c r="F943" s="2" t="inlineStr">
        <is>
          <t>做空</t>
        </is>
      </c>
      <c r="G943" s="20" t="n">
        <v>0.9938900000000001</v>
      </c>
      <c r="H943" s="20" t="n">
        <v>0.9640733</v>
      </c>
      <c r="I943" s="20" t="n">
        <v>1.0435845</v>
      </c>
      <c r="J943" s="20" t="n"/>
      <c r="K943" s="2" t="n"/>
      <c r="L943" s="5" t="n"/>
      <c r="M943" s="19">
        <f>資金模擬!$B$5*V942</f>
        <v/>
      </c>
      <c r="N943" s="2">
        <f>IF(Z942=1,"已停止",IF(T942&gt;=M943,"已下單","資金不足略過"))</f>
        <v/>
      </c>
      <c r="O943" s="19">
        <f>IF(N943="已下單",M943*資金模擬!$B$7,0)</f>
        <v/>
      </c>
      <c r="P943" s="4" t="n"/>
      <c r="Q943" s="13" t="n">
        <v>0</v>
      </c>
      <c r="R943" s="13">
        <f>R942+Q943</f>
        <v/>
      </c>
      <c r="S943" s="19">
        <f>S942+IF(N943="已下單",M943,0)</f>
        <v/>
      </c>
      <c r="T943" s="19">
        <f>R943-S943</f>
        <v/>
      </c>
      <c r="U943" s="2">
        <f>U942+IF(N943="已下單",1,0)</f>
        <v/>
      </c>
      <c r="V943" s="19">
        <f>IF(資金模擬!$B$9=2,MAX(R943,0),MAX(V942,FLOOR(MAX(R943,0),資金模擬!$B$6)))</f>
        <v/>
      </c>
      <c r="W943" s="13">
        <f>MAX(W942,R943)</f>
        <v/>
      </c>
      <c r="X943" s="4">
        <f>IF(W943&gt;0,R943/W943-1,-1)</f>
        <v/>
      </c>
      <c r="Y943" s="19">
        <f>IF(R943&gt;0,S943*資金模擬!$B$7/R943,0)</f>
        <v/>
      </c>
      <c r="Z943" s="2">
        <f>IF(OR(Z942=1,R943&lt;=資金模擬!$B$10),1,0)</f>
        <v/>
      </c>
    </row>
    <row r="944">
      <c r="A944" s="2" t="n">
        <v>942</v>
      </c>
      <c r="B944" s="7" t="n">
        <v>46290.25</v>
      </c>
      <c r="C944" s="2" t="inlineStr">
        <is>
          <t>出場</t>
        </is>
      </c>
      <c r="D944" s="2" t="n">
        <v>473</v>
      </c>
      <c r="E944" s="2" t="inlineStr">
        <is>
          <t>LIT_USDT_PERP</t>
        </is>
      </c>
      <c r="F944" s="2" t="inlineStr">
        <is>
          <t>做多</t>
        </is>
      </c>
      <c r="G944" s="20" t="n">
        <v>5.401</v>
      </c>
      <c r="H944" s="20" t="n">
        <v>5.56303</v>
      </c>
      <c r="I944" s="20" t="n">
        <v>5.130949999999999</v>
      </c>
      <c r="J944" s="20" t="n">
        <v>5.130949999999999</v>
      </c>
      <c r="K944" s="2" t="inlineStr">
        <is>
          <t>止損</t>
        </is>
      </c>
      <c r="L944" s="5">
        <f>交易明細!K474</f>
        <v/>
      </c>
      <c r="M944" s="19">
        <f>M942</f>
        <v/>
      </c>
      <c r="N944" s="2">
        <f>N942</f>
        <v/>
      </c>
      <c r="O944" s="19">
        <f>O942</f>
        <v/>
      </c>
      <c r="P944" s="4">
        <f>交易明細!L474</f>
        <v/>
      </c>
      <c r="Q944" s="13">
        <f>IF(N944="已下單",O944*P944,0)</f>
        <v/>
      </c>
      <c r="R944" s="13">
        <f>R943+Q944</f>
        <v/>
      </c>
      <c r="S944" s="19">
        <f>S943-IF(N944="已下單",M944,0)</f>
        <v/>
      </c>
      <c r="T944" s="19">
        <f>R944-S944</f>
        <v/>
      </c>
      <c r="U944" s="2">
        <f>U943-IF(N944="已下單",1,0)</f>
        <v/>
      </c>
      <c r="V944" s="19">
        <f>IF(資金模擬!$B$9=2,MAX(R944,0),MAX(V943,FLOOR(MAX(R944,0),資金模擬!$B$6)))</f>
        <v/>
      </c>
      <c r="W944" s="13">
        <f>MAX(W943,R944)</f>
        <v/>
      </c>
      <c r="X944" s="4">
        <f>IF(W944&gt;0,R944/W944-1,-1)</f>
        <v/>
      </c>
      <c r="Y944" s="19">
        <f>IF(R944&gt;0,S944*資金模擬!$B$7/R944,0)</f>
        <v/>
      </c>
      <c r="Z944" s="2">
        <f>IF(OR(Z943=1,R944&lt;=資金模擬!$B$10),1,0)</f>
        <v/>
      </c>
    </row>
    <row r="945">
      <c r="A945" s="2" t="n">
        <v>943</v>
      </c>
      <c r="B945" s="7" t="n">
        <v>46290.29166666666</v>
      </c>
      <c r="C945" s="2" t="inlineStr">
        <is>
          <t>出場</t>
        </is>
      </c>
      <c r="D945" s="2" t="n">
        <v>474</v>
      </c>
      <c r="E945" s="2" t="inlineStr">
        <is>
          <t>BR_USDT_PERP</t>
        </is>
      </c>
      <c r="F945" s="2" t="inlineStr">
        <is>
          <t>做空</t>
        </is>
      </c>
      <c r="G945" s="20" t="n">
        <v>0.9938900000000001</v>
      </c>
      <c r="H945" s="20" t="n">
        <v>0.9640733</v>
      </c>
      <c r="I945" s="20" t="n">
        <v>1.0435845</v>
      </c>
      <c r="J945" s="20" t="n">
        <v>1.0435845</v>
      </c>
      <c r="K945" s="2" t="inlineStr">
        <is>
          <t>止損</t>
        </is>
      </c>
      <c r="L945" s="5">
        <f>交易明細!K475</f>
        <v/>
      </c>
      <c r="M945" s="19">
        <f>M943</f>
        <v/>
      </c>
      <c r="N945" s="2">
        <f>N943</f>
        <v/>
      </c>
      <c r="O945" s="19">
        <f>O943</f>
        <v/>
      </c>
      <c r="P945" s="4">
        <f>交易明細!L475</f>
        <v/>
      </c>
      <c r="Q945" s="13">
        <f>IF(N945="已下單",O945*P945,0)</f>
        <v/>
      </c>
      <c r="R945" s="13">
        <f>R944+Q945</f>
        <v/>
      </c>
      <c r="S945" s="19">
        <f>S944-IF(N945="已下單",M945,0)</f>
        <v/>
      </c>
      <c r="T945" s="19">
        <f>R945-S945</f>
        <v/>
      </c>
      <c r="U945" s="2">
        <f>U944-IF(N945="已下單",1,0)</f>
        <v/>
      </c>
      <c r="V945" s="19">
        <f>IF(資金模擬!$B$9=2,MAX(R945,0),MAX(V944,FLOOR(MAX(R945,0),資金模擬!$B$6)))</f>
        <v/>
      </c>
      <c r="W945" s="13">
        <f>MAX(W944,R945)</f>
        <v/>
      </c>
      <c r="X945" s="4">
        <f>IF(W945&gt;0,R945/W945-1,-1)</f>
        <v/>
      </c>
      <c r="Y945" s="19">
        <f>IF(R945&gt;0,S945*資金模擬!$B$7/R945,0)</f>
        <v/>
      </c>
      <c r="Z945" s="2">
        <f>IF(OR(Z944=1,R945&lt;=資金模擬!$B$10),1,0)</f>
        <v/>
      </c>
    </row>
    <row r="946">
      <c r="A946" s="2" t="n">
        <v>944</v>
      </c>
      <c r="B946" s="7" t="n">
        <v>46290.41666666666</v>
      </c>
      <c r="C946" s="2" t="inlineStr">
        <is>
          <t>出場</t>
        </is>
      </c>
      <c r="D946" s="2" t="n">
        <v>416</v>
      </c>
      <c r="E946" s="2" t="inlineStr">
        <is>
          <t>ADA_USDT_PERP</t>
        </is>
      </c>
      <c r="F946" s="2" t="inlineStr">
        <is>
          <t>做空</t>
        </is>
      </c>
      <c r="G946" s="20" t="n">
        <v>0.24</v>
      </c>
      <c r="H946" s="20" t="n">
        <v>0.2328</v>
      </c>
      <c r="I946" s="20" t="n">
        <v>0.252</v>
      </c>
      <c r="J946" s="20" t="n">
        <v>0.252</v>
      </c>
      <c r="K946" s="2" t="inlineStr">
        <is>
          <t>止損</t>
        </is>
      </c>
      <c r="L946" s="5">
        <f>交易明細!K417</f>
        <v/>
      </c>
      <c r="M946" s="19">
        <f>M832</f>
        <v/>
      </c>
      <c r="N946" s="2">
        <f>N832</f>
        <v/>
      </c>
      <c r="O946" s="19">
        <f>O832</f>
        <v/>
      </c>
      <c r="P946" s="4">
        <f>交易明細!L417</f>
        <v/>
      </c>
      <c r="Q946" s="13">
        <f>IF(N946="已下單",O946*P946,0)</f>
        <v/>
      </c>
      <c r="R946" s="13">
        <f>R945+Q946</f>
        <v/>
      </c>
      <c r="S946" s="19">
        <f>S945-IF(N946="已下單",M946,0)</f>
        <v/>
      </c>
      <c r="T946" s="19">
        <f>R946-S946</f>
        <v/>
      </c>
      <c r="U946" s="2">
        <f>U945-IF(N946="已下單",1,0)</f>
        <v/>
      </c>
      <c r="V946" s="19">
        <f>IF(資金模擬!$B$9=2,MAX(R946,0),MAX(V945,FLOOR(MAX(R946,0),資金模擬!$B$6)))</f>
        <v/>
      </c>
      <c r="W946" s="13">
        <f>MAX(W945,R946)</f>
        <v/>
      </c>
      <c r="X946" s="4">
        <f>IF(W946&gt;0,R946/W946-1,-1)</f>
        <v/>
      </c>
      <c r="Y946" s="19">
        <f>IF(R946&gt;0,S946*資金模擬!$B$7/R946,0)</f>
        <v/>
      </c>
      <c r="Z946" s="2">
        <f>IF(OR(Z945=1,R946&lt;=資金模擬!$B$10),1,0)</f>
        <v/>
      </c>
    </row>
    <row r="947">
      <c r="A947" s="2" t="n">
        <v>945</v>
      </c>
      <c r="B947" s="7" t="n">
        <v>46290.54166666666</v>
      </c>
      <c r="C947" s="2" t="inlineStr">
        <is>
          <t>進場</t>
        </is>
      </c>
      <c r="D947" s="2" t="n">
        <v>475</v>
      </c>
      <c r="E947" s="2" t="inlineStr">
        <is>
          <t>AKE_USDT_PERP</t>
        </is>
      </c>
      <c r="F947" s="2" t="inlineStr">
        <is>
          <t>做空</t>
        </is>
      </c>
      <c r="G947" s="20" t="n">
        <v>0.0379</v>
      </c>
      <c r="H947" s="20" t="n">
        <v>0.036763</v>
      </c>
      <c r="I947" s="20" t="n">
        <v>0.039795</v>
      </c>
      <c r="J947" s="20" t="n"/>
      <c r="K947" s="2" t="n"/>
      <c r="L947" s="5" t="n"/>
      <c r="M947" s="19">
        <f>資金模擬!$B$5*V946</f>
        <v/>
      </c>
      <c r="N947" s="2">
        <f>IF(Z946=1,"已停止",IF(T946&gt;=M947,"已下單","資金不足略過"))</f>
        <v/>
      </c>
      <c r="O947" s="19">
        <f>IF(N947="已下單",M947*資金模擬!$B$7,0)</f>
        <v/>
      </c>
      <c r="P947" s="4" t="n"/>
      <c r="Q947" s="13" t="n">
        <v>0</v>
      </c>
      <c r="R947" s="13">
        <f>R946+Q947</f>
        <v/>
      </c>
      <c r="S947" s="19">
        <f>S946+IF(N947="已下單",M947,0)</f>
        <v/>
      </c>
      <c r="T947" s="19">
        <f>R947-S947</f>
        <v/>
      </c>
      <c r="U947" s="2">
        <f>U946+IF(N947="已下單",1,0)</f>
        <v/>
      </c>
      <c r="V947" s="19">
        <f>IF(資金模擬!$B$9=2,MAX(R947,0),MAX(V946,FLOOR(MAX(R947,0),資金模擬!$B$6)))</f>
        <v/>
      </c>
      <c r="W947" s="13">
        <f>MAX(W946,R947)</f>
        <v/>
      </c>
      <c r="X947" s="4">
        <f>IF(W947&gt;0,R947/W947-1,-1)</f>
        <v/>
      </c>
      <c r="Y947" s="19">
        <f>IF(R947&gt;0,S947*資金模擬!$B$7/R947,0)</f>
        <v/>
      </c>
      <c r="Z947" s="2">
        <f>IF(OR(Z946=1,R947&lt;=資金模擬!$B$10),1,0)</f>
        <v/>
      </c>
    </row>
    <row r="948">
      <c r="A948" s="2" t="n">
        <v>946</v>
      </c>
      <c r="B948" s="7" t="n">
        <v>46290.55555555555</v>
      </c>
      <c r="C948" s="2" t="inlineStr">
        <is>
          <t>出場</t>
        </is>
      </c>
      <c r="D948" s="2" t="n">
        <v>475</v>
      </c>
      <c r="E948" s="2" t="inlineStr">
        <is>
          <t>AKE_USDT_PERP</t>
        </is>
      </c>
      <c r="F948" s="2" t="inlineStr">
        <is>
          <t>做空</t>
        </is>
      </c>
      <c r="G948" s="20" t="n">
        <v>0.0379</v>
      </c>
      <c r="H948" s="20" t="n">
        <v>0.036763</v>
      </c>
      <c r="I948" s="20" t="n">
        <v>0.039795</v>
      </c>
      <c r="J948" s="20" t="n">
        <v>0.036763</v>
      </c>
      <c r="K948" s="2" t="inlineStr">
        <is>
          <t>止盈</t>
        </is>
      </c>
      <c r="L948" s="5">
        <f>交易明細!K476</f>
        <v/>
      </c>
      <c r="M948" s="19">
        <f>M947</f>
        <v/>
      </c>
      <c r="N948" s="2">
        <f>N947</f>
        <v/>
      </c>
      <c r="O948" s="19">
        <f>O947</f>
        <v/>
      </c>
      <c r="P948" s="4">
        <f>交易明細!L476</f>
        <v/>
      </c>
      <c r="Q948" s="13">
        <f>IF(N948="已下單",O948*P948,0)</f>
        <v/>
      </c>
      <c r="R948" s="13">
        <f>R947+Q948</f>
        <v/>
      </c>
      <c r="S948" s="19">
        <f>S947-IF(N948="已下單",M948,0)</f>
        <v/>
      </c>
      <c r="T948" s="19">
        <f>R948-S948</f>
        <v/>
      </c>
      <c r="U948" s="2">
        <f>U947-IF(N948="已下單",1,0)</f>
        <v/>
      </c>
      <c r="V948" s="19">
        <f>IF(資金模擬!$B$9=2,MAX(R948,0),MAX(V947,FLOOR(MAX(R948,0),資金模擬!$B$6)))</f>
        <v/>
      </c>
      <c r="W948" s="13">
        <f>MAX(W947,R948)</f>
        <v/>
      </c>
      <c r="X948" s="4">
        <f>IF(W948&gt;0,R948/W948-1,-1)</f>
        <v/>
      </c>
      <c r="Y948" s="19">
        <f>IF(R948&gt;0,S948*資金模擬!$B$7/R948,0)</f>
        <v/>
      </c>
      <c r="Z948" s="2">
        <f>IF(OR(Z947=1,R948&lt;=資金模擬!$B$10),1,0)</f>
        <v/>
      </c>
    </row>
    <row r="949">
      <c r="A949" s="2" t="n">
        <v>947</v>
      </c>
      <c r="B949" s="7" t="n">
        <v>46290.58333333334</v>
      </c>
      <c r="C949" s="2" t="inlineStr">
        <is>
          <t>出場</t>
        </is>
      </c>
      <c r="D949" s="2" t="n">
        <v>463</v>
      </c>
      <c r="E949" s="2" t="inlineStr">
        <is>
          <t>ZRO_USDT_PERP</t>
        </is>
      </c>
      <c r="F949" s="2" t="inlineStr">
        <is>
          <t>做空</t>
        </is>
      </c>
      <c r="G949" s="20" t="n">
        <v>1.4433</v>
      </c>
      <c r="H949" s="20" t="n">
        <v>1.400001</v>
      </c>
      <c r="I949" s="20" t="n">
        <v>1.515465</v>
      </c>
      <c r="J949" s="20" t="n">
        <v>1.515465</v>
      </c>
      <c r="K949" s="2" t="inlineStr">
        <is>
          <t>止損</t>
        </is>
      </c>
      <c r="L949" s="5">
        <f>交易明細!K464</f>
        <v/>
      </c>
      <c r="M949" s="19">
        <f>M915</f>
        <v/>
      </c>
      <c r="N949" s="2">
        <f>N915</f>
        <v/>
      </c>
      <c r="O949" s="19">
        <f>O915</f>
        <v/>
      </c>
      <c r="P949" s="4">
        <f>交易明細!L464</f>
        <v/>
      </c>
      <c r="Q949" s="13">
        <f>IF(N949="已下單",O949*P949,0)</f>
        <v/>
      </c>
      <c r="R949" s="13">
        <f>R948+Q949</f>
        <v/>
      </c>
      <c r="S949" s="19">
        <f>S948-IF(N949="已下單",M949,0)</f>
        <v/>
      </c>
      <c r="T949" s="19">
        <f>R949-S949</f>
        <v/>
      </c>
      <c r="U949" s="2">
        <f>U948-IF(N949="已下單",1,0)</f>
        <v/>
      </c>
      <c r="V949" s="19">
        <f>IF(資金模擬!$B$9=2,MAX(R949,0),MAX(V948,FLOOR(MAX(R949,0),資金模擬!$B$6)))</f>
        <v/>
      </c>
      <c r="W949" s="13">
        <f>MAX(W948,R949)</f>
        <v/>
      </c>
      <c r="X949" s="4">
        <f>IF(W949&gt;0,R949/W949-1,-1)</f>
        <v/>
      </c>
      <c r="Y949" s="19">
        <f>IF(R949&gt;0,S949*資金模擬!$B$7/R949,0)</f>
        <v/>
      </c>
      <c r="Z949" s="2">
        <f>IF(OR(Z948=1,R949&lt;=資金模擬!$B$10),1,0)</f>
        <v/>
      </c>
    </row>
    <row r="950">
      <c r="A950" s="2" t="n">
        <v>948</v>
      </c>
      <c r="B950" s="7" t="n">
        <v>46290.625</v>
      </c>
      <c r="C950" s="2" t="inlineStr">
        <is>
          <t>進場</t>
        </is>
      </c>
      <c r="D950" s="2" t="n">
        <v>476</v>
      </c>
      <c r="E950" s="2" t="inlineStr">
        <is>
          <t>BR_USDT_PERP</t>
        </is>
      </c>
      <c r="F950" s="2" t="inlineStr">
        <is>
          <t>做多</t>
        </is>
      </c>
      <c r="G950" s="20" t="n">
        <v>1.02364</v>
      </c>
      <c r="H950" s="20" t="n">
        <v>1.0543492</v>
      </c>
      <c r="I950" s="20" t="n">
        <v>0.972458</v>
      </c>
      <c r="J950" s="20" t="n"/>
      <c r="K950" s="2" t="n"/>
      <c r="L950" s="5" t="n"/>
      <c r="M950" s="19">
        <f>資金模擬!$B$5*V949</f>
        <v/>
      </c>
      <c r="N950" s="2">
        <f>IF(Z949=1,"已停止",IF(T949&gt;=M950,"已下單","資金不足略過"))</f>
        <v/>
      </c>
      <c r="O950" s="19">
        <f>IF(N950="已下單",M950*資金模擬!$B$7,0)</f>
        <v/>
      </c>
      <c r="P950" s="4" t="n"/>
      <c r="Q950" s="13" t="n">
        <v>0</v>
      </c>
      <c r="R950" s="13">
        <f>R949+Q950</f>
        <v/>
      </c>
      <c r="S950" s="19">
        <f>S949+IF(N950="已下單",M950,0)</f>
        <v/>
      </c>
      <c r="T950" s="19">
        <f>R950-S950</f>
        <v/>
      </c>
      <c r="U950" s="2">
        <f>U949+IF(N950="已下單",1,0)</f>
        <v/>
      </c>
      <c r="V950" s="19">
        <f>IF(資金模擬!$B$9=2,MAX(R950,0),MAX(V949,FLOOR(MAX(R950,0),資金模擬!$B$6)))</f>
        <v/>
      </c>
      <c r="W950" s="13">
        <f>MAX(W949,R950)</f>
        <v/>
      </c>
      <c r="X950" s="4">
        <f>IF(W950&gt;0,R950/W950-1,-1)</f>
        <v/>
      </c>
      <c r="Y950" s="19">
        <f>IF(R950&gt;0,S950*資金模擬!$B$7/R950,0)</f>
        <v/>
      </c>
      <c r="Z950" s="2">
        <f>IF(OR(Z949=1,R950&lt;=資金模擬!$B$10),1,0)</f>
        <v/>
      </c>
    </row>
    <row r="951">
      <c r="A951" s="2" t="n">
        <v>949</v>
      </c>
      <c r="B951" s="7" t="n">
        <v>46290.66666666666</v>
      </c>
      <c r="C951" s="2" t="inlineStr">
        <is>
          <t>進場</t>
        </is>
      </c>
      <c r="D951" s="2" t="n">
        <v>477</v>
      </c>
      <c r="E951" s="2" t="inlineStr">
        <is>
          <t>BROCCOLI_USDT_PERP</t>
        </is>
      </c>
      <c r="F951" s="2" t="inlineStr">
        <is>
          <t>做多</t>
        </is>
      </c>
      <c r="G951" s="20" t="n">
        <v>0.03165</v>
      </c>
      <c r="H951" s="20" t="n">
        <v>0.0325995</v>
      </c>
      <c r="I951" s="20" t="n">
        <v>0.0300675</v>
      </c>
      <c r="J951" s="20" t="n"/>
      <c r="K951" s="2" t="n"/>
      <c r="L951" s="5" t="n"/>
      <c r="M951" s="19">
        <f>資金模擬!$B$5*V950</f>
        <v/>
      </c>
      <c r="N951" s="2">
        <f>IF(Z950=1,"已停止",IF(T950&gt;=M951,"已下單","資金不足略過"))</f>
        <v/>
      </c>
      <c r="O951" s="19">
        <f>IF(N951="已下單",M951*資金模擬!$B$7,0)</f>
        <v/>
      </c>
      <c r="P951" s="4" t="n"/>
      <c r="Q951" s="13" t="n">
        <v>0</v>
      </c>
      <c r="R951" s="13">
        <f>R950+Q951</f>
        <v/>
      </c>
      <c r="S951" s="19">
        <f>S950+IF(N951="已下單",M951,0)</f>
        <v/>
      </c>
      <c r="T951" s="19">
        <f>R951-S951</f>
        <v/>
      </c>
      <c r="U951" s="2">
        <f>U950+IF(N951="已下單",1,0)</f>
        <v/>
      </c>
      <c r="V951" s="19">
        <f>IF(資金模擬!$B$9=2,MAX(R951,0),MAX(V950,FLOOR(MAX(R951,0),資金模擬!$B$6)))</f>
        <v/>
      </c>
      <c r="W951" s="13">
        <f>MAX(W950,R951)</f>
        <v/>
      </c>
      <c r="X951" s="4">
        <f>IF(W951&gt;0,R951/W951-1,-1)</f>
        <v/>
      </c>
      <c r="Y951" s="19">
        <f>IF(R951&gt;0,S951*資金模擬!$B$7/R951,0)</f>
        <v/>
      </c>
      <c r="Z951" s="2">
        <f>IF(OR(Z950=1,R951&lt;=資金模擬!$B$10),1,0)</f>
        <v/>
      </c>
    </row>
    <row r="952">
      <c r="A952" s="2" t="n">
        <v>950</v>
      </c>
      <c r="B952" s="7" t="n">
        <v>46290.70833333334</v>
      </c>
      <c r="C952" s="2" t="inlineStr">
        <is>
          <t>出場</t>
        </is>
      </c>
      <c r="D952" s="2" t="n">
        <v>470</v>
      </c>
      <c r="E952" s="2" t="inlineStr">
        <is>
          <t>PONS_USDT_PERP</t>
        </is>
      </c>
      <c r="F952" s="2" t="inlineStr">
        <is>
          <t>做多</t>
        </is>
      </c>
      <c r="G952" s="20" t="n">
        <v>0.6308</v>
      </c>
      <c r="H952" s="20" t="n">
        <v>0.6497240000000001</v>
      </c>
      <c r="I952" s="20" t="n">
        <v>0.59926</v>
      </c>
      <c r="J952" s="20" t="n">
        <v>0.6497240000000001</v>
      </c>
      <c r="K952" s="2" t="inlineStr">
        <is>
          <t>止盈</t>
        </is>
      </c>
      <c r="L952" s="5">
        <f>交易明細!K471</f>
        <v/>
      </c>
      <c r="M952" s="19">
        <f>M933</f>
        <v/>
      </c>
      <c r="N952" s="2">
        <f>N933</f>
        <v/>
      </c>
      <c r="O952" s="19">
        <f>O933</f>
        <v/>
      </c>
      <c r="P952" s="4">
        <f>交易明細!L471</f>
        <v/>
      </c>
      <c r="Q952" s="13">
        <f>IF(N952="已下單",O952*P952,0)</f>
        <v/>
      </c>
      <c r="R952" s="13">
        <f>R951+Q952</f>
        <v/>
      </c>
      <c r="S952" s="19">
        <f>S951-IF(N952="已下單",M952,0)</f>
        <v/>
      </c>
      <c r="T952" s="19">
        <f>R952-S952</f>
        <v/>
      </c>
      <c r="U952" s="2">
        <f>U951-IF(N952="已下單",1,0)</f>
        <v/>
      </c>
      <c r="V952" s="19">
        <f>IF(資金模擬!$B$9=2,MAX(R952,0),MAX(V951,FLOOR(MAX(R952,0),資金模擬!$B$6)))</f>
        <v/>
      </c>
      <c r="W952" s="13">
        <f>MAX(W951,R952)</f>
        <v/>
      </c>
      <c r="X952" s="4">
        <f>IF(W952&gt;0,R952/W952-1,-1)</f>
        <v/>
      </c>
      <c r="Y952" s="19">
        <f>IF(R952&gt;0,S952*資金模擬!$B$7/R952,0)</f>
        <v/>
      </c>
      <c r="Z952" s="2">
        <f>IF(OR(Z951=1,R952&lt;=資金模擬!$B$10),1,0)</f>
        <v/>
      </c>
    </row>
    <row r="953">
      <c r="A953" s="2" t="n">
        <v>951</v>
      </c>
      <c r="B953" s="7" t="n">
        <v>46290.70833333334</v>
      </c>
      <c r="C953" s="2" t="inlineStr">
        <is>
          <t>出場</t>
        </is>
      </c>
      <c r="D953" s="2" t="n">
        <v>476</v>
      </c>
      <c r="E953" s="2" t="inlineStr">
        <is>
          <t>BR_USDT_PERP</t>
        </is>
      </c>
      <c r="F953" s="2" t="inlineStr">
        <is>
          <t>做多</t>
        </is>
      </c>
      <c r="G953" s="20" t="n">
        <v>1.02364</v>
      </c>
      <c r="H953" s="20" t="n">
        <v>1.0543492</v>
      </c>
      <c r="I953" s="20" t="n">
        <v>0.972458</v>
      </c>
      <c r="J953" s="20" t="n">
        <v>0.972458</v>
      </c>
      <c r="K953" s="2" t="inlineStr">
        <is>
          <t>止損</t>
        </is>
      </c>
      <c r="L953" s="5">
        <f>交易明細!K477</f>
        <v/>
      </c>
      <c r="M953" s="19">
        <f>M950</f>
        <v/>
      </c>
      <c r="N953" s="2">
        <f>N950</f>
        <v/>
      </c>
      <c r="O953" s="19">
        <f>O950</f>
        <v/>
      </c>
      <c r="P953" s="4">
        <f>交易明細!L477</f>
        <v/>
      </c>
      <c r="Q953" s="13">
        <f>IF(N953="已下單",O953*P953,0)</f>
        <v/>
      </c>
      <c r="R953" s="13">
        <f>R952+Q953</f>
        <v/>
      </c>
      <c r="S953" s="19">
        <f>S952-IF(N953="已下單",M953,0)</f>
        <v/>
      </c>
      <c r="T953" s="19">
        <f>R953-S953</f>
        <v/>
      </c>
      <c r="U953" s="2">
        <f>U952-IF(N953="已下單",1,0)</f>
        <v/>
      </c>
      <c r="V953" s="19">
        <f>IF(資金模擬!$B$9=2,MAX(R953,0),MAX(V952,FLOOR(MAX(R953,0),資金模擬!$B$6)))</f>
        <v/>
      </c>
      <c r="W953" s="13">
        <f>MAX(W952,R953)</f>
        <v/>
      </c>
      <c r="X953" s="4">
        <f>IF(W953&gt;0,R953/W953-1,-1)</f>
        <v/>
      </c>
      <c r="Y953" s="19">
        <f>IF(R953&gt;0,S953*資金模擬!$B$7/R953,0)</f>
        <v/>
      </c>
      <c r="Z953" s="2">
        <f>IF(OR(Z952=1,R953&lt;=資金模擬!$B$10),1,0)</f>
        <v/>
      </c>
    </row>
    <row r="954">
      <c r="A954" s="2" t="n">
        <v>952</v>
      </c>
      <c r="B954" s="7" t="n">
        <v>46290.70833333334</v>
      </c>
      <c r="C954" s="2" t="inlineStr">
        <is>
          <t>出場</t>
        </is>
      </c>
      <c r="D954" s="2" t="n">
        <v>477</v>
      </c>
      <c r="E954" s="2" t="inlineStr">
        <is>
          <t>BROCCOLI_USDT_PERP</t>
        </is>
      </c>
      <c r="F954" s="2" t="inlineStr">
        <is>
          <t>做多</t>
        </is>
      </c>
      <c r="G954" s="20" t="n">
        <v>0.03165</v>
      </c>
      <c r="H954" s="20" t="n">
        <v>0.0325995</v>
      </c>
      <c r="I954" s="20" t="n">
        <v>0.0300675</v>
      </c>
      <c r="J954" s="20" t="n">
        <v>0.0325995</v>
      </c>
      <c r="K954" s="2" t="inlineStr">
        <is>
          <t>止盈</t>
        </is>
      </c>
      <c r="L954" s="5">
        <f>交易明細!K478</f>
        <v/>
      </c>
      <c r="M954" s="19">
        <f>M951</f>
        <v/>
      </c>
      <c r="N954" s="2">
        <f>N951</f>
        <v/>
      </c>
      <c r="O954" s="19">
        <f>O951</f>
        <v/>
      </c>
      <c r="P954" s="4">
        <f>交易明細!L478</f>
        <v/>
      </c>
      <c r="Q954" s="13">
        <f>IF(N954="已下單",O954*P954,0)</f>
        <v/>
      </c>
      <c r="R954" s="13">
        <f>R953+Q954</f>
        <v/>
      </c>
      <c r="S954" s="19">
        <f>S953-IF(N954="已下單",M954,0)</f>
        <v/>
      </c>
      <c r="T954" s="19">
        <f>R954-S954</f>
        <v/>
      </c>
      <c r="U954" s="2">
        <f>U953-IF(N954="已下單",1,0)</f>
        <v/>
      </c>
      <c r="V954" s="19">
        <f>IF(資金模擬!$B$9=2,MAX(R954,0),MAX(V953,FLOOR(MAX(R954,0),資金模擬!$B$6)))</f>
        <v/>
      </c>
      <c r="W954" s="13">
        <f>MAX(W953,R954)</f>
        <v/>
      </c>
      <c r="X954" s="4">
        <f>IF(W954&gt;0,R954/W954-1,-1)</f>
        <v/>
      </c>
      <c r="Y954" s="19">
        <f>IF(R954&gt;0,S954*資金模擬!$B$7/R954,0)</f>
        <v/>
      </c>
      <c r="Z954" s="2">
        <f>IF(OR(Z953=1,R954&lt;=資金模擬!$B$10),1,0)</f>
        <v/>
      </c>
    </row>
    <row r="955">
      <c r="A955" s="2" t="n">
        <v>953</v>
      </c>
      <c r="B955" s="7" t="n">
        <v>46290.75</v>
      </c>
      <c r="C955" s="2" t="inlineStr">
        <is>
          <t>出場</t>
        </is>
      </c>
      <c r="D955" s="2" t="n">
        <v>455</v>
      </c>
      <c r="E955" s="2" t="inlineStr">
        <is>
          <t>PUMP_USDT_PERP</t>
        </is>
      </c>
      <c r="F955" s="2" t="inlineStr">
        <is>
          <t>做空</t>
        </is>
      </c>
      <c r="G955" s="20" t="n">
        <v>0.003843</v>
      </c>
      <c r="H955" s="20" t="n">
        <v>0.00372771</v>
      </c>
      <c r="I955" s="20" t="n">
        <v>0.00403515</v>
      </c>
      <c r="J955" s="20" t="n">
        <v>0.00403515</v>
      </c>
      <c r="K955" s="2" t="inlineStr">
        <is>
          <t>止損</t>
        </is>
      </c>
      <c r="L955" s="5">
        <f>交易明細!K456</f>
        <v/>
      </c>
      <c r="M955" s="19">
        <f>M905</f>
        <v/>
      </c>
      <c r="N955" s="2">
        <f>N905</f>
        <v/>
      </c>
      <c r="O955" s="19">
        <f>O905</f>
        <v/>
      </c>
      <c r="P955" s="4">
        <f>交易明細!L456</f>
        <v/>
      </c>
      <c r="Q955" s="13">
        <f>IF(N955="已下單",O955*P955,0)</f>
        <v/>
      </c>
      <c r="R955" s="13">
        <f>R954+Q955</f>
        <v/>
      </c>
      <c r="S955" s="19">
        <f>S954-IF(N955="已下單",M955,0)</f>
        <v/>
      </c>
      <c r="T955" s="19">
        <f>R955-S955</f>
        <v/>
      </c>
      <c r="U955" s="2">
        <f>U954-IF(N955="已下單",1,0)</f>
        <v/>
      </c>
      <c r="V955" s="19">
        <f>IF(資金模擬!$B$9=2,MAX(R955,0),MAX(V954,FLOOR(MAX(R955,0),資金模擬!$B$6)))</f>
        <v/>
      </c>
      <c r="W955" s="13">
        <f>MAX(W954,R955)</f>
        <v/>
      </c>
      <c r="X955" s="4">
        <f>IF(W955&gt;0,R955/W955-1,-1)</f>
        <v/>
      </c>
      <c r="Y955" s="19">
        <f>IF(R955&gt;0,S955*資金模擬!$B$7/R955,0)</f>
        <v/>
      </c>
      <c r="Z955" s="2">
        <f>IF(OR(Z954=1,R955&lt;=資金模擬!$B$10),1,0)</f>
        <v/>
      </c>
    </row>
    <row r="956">
      <c r="A956" s="2" t="n">
        <v>954</v>
      </c>
      <c r="B956" s="7" t="n">
        <v>46290.79166666666</v>
      </c>
      <c r="C956" s="2" t="inlineStr">
        <is>
          <t>進場</t>
        </is>
      </c>
      <c r="D956" s="2" t="n">
        <v>478</v>
      </c>
      <c r="E956" s="2" t="inlineStr">
        <is>
          <t>ENA_USDT_PERP</t>
        </is>
      </c>
      <c r="F956" s="2" t="inlineStr">
        <is>
          <t>做多</t>
        </is>
      </c>
      <c r="G956" s="20" t="n">
        <v>0.2287</v>
      </c>
      <c r="H956" s="20" t="n">
        <v>0.235561</v>
      </c>
      <c r="I956" s="20" t="n">
        <v>0.217265</v>
      </c>
      <c r="J956" s="20" t="n"/>
      <c r="K956" s="2" t="n"/>
      <c r="L956" s="5" t="n"/>
      <c r="M956" s="19">
        <f>資金模擬!$B$5*V955</f>
        <v/>
      </c>
      <c r="N956" s="2">
        <f>IF(Z955=1,"已停止",IF(T955&gt;=M956,"已下單","資金不足略過"))</f>
        <v/>
      </c>
      <c r="O956" s="19">
        <f>IF(N956="已下單",M956*資金模擬!$B$7,0)</f>
        <v/>
      </c>
      <c r="P956" s="4" t="n"/>
      <c r="Q956" s="13" t="n">
        <v>0</v>
      </c>
      <c r="R956" s="13">
        <f>R955+Q956</f>
        <v/>
      </c>
      <c r="S956" s="19">
        <f>S955+IF(N956="已下單",M956,0)</f>
        <v/>
      </c>
      <c r="T956" s="19">
        <f>R956-S956</f>
        <v/>
      </c>
      <c r="U956" s="2">
        <f>U955+IF(N956="已下單",1,0)</f>
        <v/>
      </c>
      <c r="V956" s="19">
        <f>IF(資金模擬!$B$9=2,MAX(R956,0),MAX(V955,FLOOR(MAX(R956,0),資金模擬!$B$6)))</f>
        <v/>
      </c>
      <c r="W956" s="13">
        <f>MAX(W955,R956)</f>
        <v/>
      </c>
      <c r="X956" s="4">
        <f>IF(W956&gt;0,R956/W956-1,-1)</f>
        <v/>
      </c>
      <c r="Y956" s="19">
        <f>IF(R956&gt;0,S956*資金模擬!$B$7/R956,0)</f>
        <v/>
      </c>
      <c r="Z956" s="2">
        <f>IF(OR(Z955=1,R956&lt;=資金模擬!$B$10),1,0)</f>
        <v/>
      </c>
    </row>
    <row r="957">
      <c r="A957" s="2" t="n">
        <v>955</v>
      </c>
      <c r="B957" s="7" t="n">
        <v>46290.83333333334</v>
      </c>
      <c r="C957" s="2" t="inlineStr">
        <is>
          <t>出場</t>
        </is>
      </c>
      <c r="D957" s="2" t="n">
        <v>468</v>
      </c>
      <c r="E957" s="2" t="inlineStr">
        <is>
          <t>ARB_USDT_PERP</t>
        </is>
      </c>
      <c r="F957" s="2" t="inlineStr">
        <is>
          <t>做空</t>
        </is>
      </c>
      <c r="G957" s="20" t="n">
        <v>0.2135</v>
      </c>
      <c r="H957" s="20" t="n">
        <v>0.207095</v>
      </c>
      <c r="I957" s="20" t="n">
        <v>0.224175</v>
      </c>
      <c r="J957" s="20" t="n">
        <v>0.224175</v>
      </c>
      <c r="K957" s="2" t="inlineStr">
        <is>
          <t>止損</t>
        </is>
      </c>
      <c r="L957" s="5">
        <f>交易明細!K469</f>
        <v/>
      </c>
      <c r="M957" s="19">
        <f>M931</f>
        <v/>
      </c>
      <c r="N957" s="2">
        <f>N931</f>
        <v/>
      </c>
      <c r="O957" s="19">
        <f>O931</f>
        <v/>
      </c>
      <c r="P957" s="4">
        <f>交易明細!L469</f>
        <v/>
      </c>
      <c r="Q957" s="13">
        <f>IF(N957="已下單",O957*P957,0)</f>
        <v/>
      </c>
      <c r="R957" s="13">
        <f>R956+Q957</f>
        <v/>
      </c>
      <c r="S957" s="19">
        <f>S956-IF(N957="已下單",M957,0)</f>
        <v/>
      </c>
      <c r="T957" s="19">
        <f>R957-S957</f>
        <v/>
      </c>
      <c r="U957" s="2">
        <f>U956-IF(N957="已下單",1,0)</f>
        <v/>
      </c>
      <c r="V957" s="19">
        <f>IF(資金模擬!$B$9=2,MAX(R957,0),MAX(V956,FLOOR(MAX(R957,0),資金模擬!$B$6)))</f>
        <v/>
      </c>
      <c r="W957" s="13">
        <f>MAX(W956,R957)</f>
        <v/>
      </c>
      <c r="X957" s="4">
        <f>IF(W957&gt;0,R957/W957-1,-1)</f>
        <v/>
      </c>
      <c r="Y957" s="19">
        <f>IF(R957&gt;0,S957*資金模擬!$B$7/R957,0)</f>
        <v/>
      </c>
      <c r="Z957" s="2">
        <f>IF(OR(Z956=1,R957&lt;=資金模擬!$B$10),1,0)</f>
        <v/>
      </c>
    </row>
    <row r="958">
      <c r="A958" s="2" t="n">
        <v>956</v>
      </c>
      <c r="B958" s="7" t="n">
        <v>46290.83333333334</v>
      </c>
      <c r="C958" s="2" t="inlineStr">
        <is>
          <t>出場</t>
        </is>
      </c>
      <c r="D958" s="2" t="n">
        <v>478</v>
      </c>
      <c r="E958" s="2" t="inlineStr">
        <is>
          <t>ENA_USDT_PERP</t>
        </is>
      </c>
      <c r="F958" s="2" t="inlineStr">
        <is>
          <t>做多</t>
        </is>
      </c>
      <c r="G958" s="20" t="n">
        <v>0.2287</v>
      </c>
      <c r="H958" s="20" t="n">
        <v>0.235561</v>
      </c>
      <c r="I958" s="20" t="n">
        <v>0.217265</v>
      </c>
      <c r="J958" s="20" t="n">
        <v>0.235561</v>
      </c>
      <c r="K958" s="2" t="inlineStr">
        <is>
          <t>止盈</t>
        </is>
      </c>
      <c r="L958" s="5">
        <f>交易明細!K479</f>
        <v/>
      </c>
      <c r="M958" s="19">
        <f>M956</f>
        <v/>
      </c>
      <c r="N958" s="2">
        <f>N956</f>
        <v/>
      </c>
      <c r="O958" s="19">
        <f>O956</f>
        <v/>
      </c>
      <c r="P958" s="4">
        <f>交易明細!L479</f>
        <v/>
      </c>
      <c r="Q958" s="13">
        <f>IF(N958="已下單",O958*P958,0)</f>
        <v/>
      </c>
      <c r="R958" s="13">
        <f>R957+Q958</f>
        <v/>
      </c>
      <c r="S958" s="19">
        <f>S957-IF(N958="已下單",M958,0)</f>
        <v/>
      </c>
      <c r="T958" s="19">
        <f>R958-S958</f>
        <v/>
      </c>
      <c r="U958" s="2">
        <f>U957-IF(N958="已下單",1,0)</f>
        <v/>
      </c>
      <c r="V958" s="19">
        <f>IF(資金模擬!$B$9=2,MAX(R958,0),MAX(V957,FLOOR(MAX(R958,0),資金模擬!$B$6)))</f>
        <v/>
      </c>
      <c r="W958" s="13">
        <f>MAX(W957,R958)</f>
        <v/>
      </c>
      <c r="X958" s="4">
        <f>IF(W958&gt;0,R958/W958-1,-1)</f>
        <v/>
      </c>
      <c r="Y958" s="19">
        <f>IF(R958&gt;0,S958*資金模擬!$B$7/R958,0)</f>
        <v/>
      </c>
      <c r="Z958" s="2">
        <f>IF(OR(Z957=1,R958&lt;=資金模擬!$B$10),1,0)</f>
        <v/>
      </c>
    </row>
    <row r="959">
      <c r="A959" s="2" t="n">
        <v>957</v>
      </c>
      <c r="B959" s="7" t="n">
        <v>46290.83333333334</v>
      </c>
      <c r="C959" s="2" t="inlineStr">
        <is>
          <t>進場</t>
        </is>
      </c>
      <c r="D959" s="2" t="n">
        <v>479</v>
      </c>
      <c r="E959" s="2" t="inlineStr">
        <is>
          <t>INJ_USDT_PERP</t>
        </is>
      </c>
      <c r="F959" s="2" t="inlineStr">
        <is>
          <t>做多</t>
        </is>
      </c>
      <c r="G959" s="20" t="n">
        <v>8.26</v>
      </c>
      <c r="H959" s="20" t="n">
        <v>8.5078</v>
      </c>
      <c r="I959" s="20" t="n">
        <v>7.847</v>
      </c>
      <c r="J959" s="20" t="n"/>
      <c r="K959" s="2" t="n"/>
      <c r="L959" s="5" t="n"/>
      <c r="M959" s="19">
        <f>資金模擬!$B$5*V958</f>
        <v/>
      </c>
      <c r="N959" s="2">
        <f>IF(Z958=1,"已停止",IF(T958&gt;=M959,"已下單","資金不足略過"))</f>
        <v/>
      </c>
      <c r="O959" s="19">
        <f>IF(N959="已下單",M959*資金模擬!$B$7,0)</f>
        <v/>
      </c>
      <c r="P959" s="4" t="n"/>
      <c r="Q959" s="13" t="n">
        <v>0</v>
      </c>
      <c r="R959" s="13">
        <f>R958+Q959</f>
        <v/>
      </c>
      <c r="S959" s="19">
        <f>S958+IF(N959="已下單",M959,0)</f>
        <v/>
      </c>
      <c r="T959" s="19">
        <f>R959-S959</f>
        <v/>
      </c>
      <c r="U959" s="2">
        <f>U958+IF(N959="已下單",1,0)</f>
        <v/>
      </c>
      <c r="V959" s="19">
        <f>IF(資金模擬!$B$9=2,MAX(R959,0),MAX(V958,FLOOR(MAX(R959,0),資金模擬!$B$6)))</f>
        <v/>
      </c>
      <c r="W959" s="13">
        <f>MAX(W958,R959)</f>
        <v/>
      </c>
      <c r="X959" s="4">
        <f>IF(W959&gt;0,R959/W959-1,-1)</f>
        <v/>
      </c>
      <c r="Y959" s="19">
        <f>IF(R959&gt;0,S959*資金模擬!$B$7/R959,0)</f>
        <v/>
      </c>
      <c r="Z959" s="2">
        <f>IF(OR(Z958=1,R959&lt;=資金模擬!$B$10),1,0)</f>
        <v/>
      </c>
    </row>
    <row r="960">
      <c r="A960" s="2" t="n">
        <v>958</v>
      </c>
      <c r="B960" s="7" t="n">
        <v>46290.875</v>
      </c>
      <c r="C960" s="2" t="inlineStr">
        <is>
          <t>進場</t>
        </is>
      </c>
      <c r="D960" s="2" t="n">
        <v>480</v>
      </c>
      <c r="E960" s="2" t="inlineStr">
        <is>
          <t>XPL_USDT_PERP</t>
        </is>
      </c>
      <c r="F960" s="2" t="inlineStr">
        <is>
          <t>做多</t>
        </is>
      </c>
      <c r="G960" s="20" t="n">
        <v>0.1142</v>
      </c>
      <c r="H960" s="20" t="n">
        <v>0.117626</v>
      </c>
      <c r="I960" s="20" t="n">
        <v>0.10849</v>
      </c>
      <c r="J960" s="20" t="n"/>
      <c r="K960" s="2" t="n"/>
      <c r="L960" s="5" t="n"/>
      <c r="M960" s="19">
        <f>資金模擬!$B$5*V959</f>
        <v/>
      </c>
      <c r="N960" s="2">
        <f>IF(Z959=1,"已停止",IF(T959&gt;=M960,"已下單","資金不足略過"))</f>
        <v/>
      </c>
      <c r="O960" s="19">
        <f>IF(N960="已下單",M960*資金模擬!$B$7,0)</f>
        <v/>
      </c>
      <c r="P960" s="4" t="n"/>
      <c r="Q960" s="13" t="n">
        <v>0</v>
      </c>
      <c r="R960" s="13">
        <f>R959+Q960</f>
        <v/>
      </c>
      <c r="S960" s="19">
        <f>S959+IF(N960="已下單",M960,0)</f>
        <v/>
      </c>
      <c r="T960" s="19">
        <f>R960-S960</f>
        <v/>
      </c>
      <c r="U960" s="2">
        <f>U959+IF(N960="已下單",1,0)</f>
        <v/>
      </c>
      <c r="V960" s="19">
        <f>IF(資金模擬!$B$9=2,MAX(R960,0),MAX(V959,FLOOR(MAX(R960,0),資金模擬!$B$6)))</f>
        <v/>
      </c>
      <c r="W960" s="13">
        <f>MAX(W959,R960)</f>
        <v/>
      </c>
      <c r="X960" s="4">
        <f>IF(W960&gt;0,R960/W960-1,-1)</f>
        <v/>
      </c>
      <c r="Y960" s="19">
        <f>IF(R960&gt;0,S960*資金模擬!$B$7/R960,0)</f>
        <v/>
      </c>
      <c r="Z960" s="2">
        <f>IF(OR(Z959=1,R960&lt;=資金模擬!$B$10),1,0)</f>
        <v/>
      </c>
    </row>
    <row r="961">
      <c r="A961" s="2" t="n">
        <v>959</v>
      </c>
      <c r="B961" s="7" t="n">
        <v>46290.91666666666</v>
      </c>
      <c r="C961" s="2" t="inlineStr">
        <is>
          <t>進場</t>
        </is>
      </c>
      <c r="D961" s="2" t="n">
        <v>481</v>
      </c>
      <c r="E961" s="2" t="inlineStr">
        <is>
          <t>RAY_USDT_PERP</t>
        </is>
      </c>
      <c r="F961" s="2" t="inlineStr">
        <is>
          <t>做空</t>
        </is>
      </c>
      <c r="G961" s="20" t="n">
        <v>2.056</v>
      </c>
      <c r="H961" s="20" t="n">
        <v>1.99432</v>
      </c>
      <c r="I961" s="20" t="n">
        <v>2.1588</v>
      </c>
      <c r="J961" s="20" t="n"/>
      <c r="K961" s="2" t="n"/>
      <c r="L961" s="5" t="n"/>
      <c r="M961" s="19">
        <f>資金模擬!$B$5*V960</f>
        <v/>
      </c>
      <c r="N961" s="2">
        <f>IF(Z960=1,"已停止",IF(T960&gt;=M961,"已下單","資金不足略過"))</f>
        <v/>
      </c>
      <c r="O961" s="19">
        <f>IF(N961="已下單",M961*資金模擬!$B$7,0)</f>
        <v/>
      </c>
      <c r="P961" s="4" t="n"/>
      <c r="Q961" s="13" t="n">
        <v>0</v>
      </c>
      <c r="R961" s="13">
        <f>R960+Q961</f>
        <v/>
      </c>
      <c r="S961" s="19">
        <f>S960+IF(N961="已下單",M961,0)</f>
        <v/>
      </c>
      <c r="T961" s="19">
        <f>R961-S961</f>
        <v/>
      </c>
      <c r="U961" s="2">
        <f>U960+IF(N961="已下單",1,0)</f>
        <v/>
      </c>
      <c r="V961" s="19">
        <f>IF(資金模擬!$B$9=2,MAX(R961,0),MAX(V960,FLOOR(MAX(R961,0),資金模擬!$B$6)))</f>
        <v/>
      </c>
      <c r="W961" s="13">
        <f>MAX(W960,R961)</f>
        <v/>
      </c>
      <c r="X961" s="4">
        <f>IF(W961&gt;0,R961/W961-1,-1)</f>
        <v/>
      </c>
      <c r="Y961" s="19">
        <f>IF(R961&gt;0,S961*資金模擬!$B$7/R961,0)</f>
        <v/>
      </c>
      <c r="Z961" s="2">
        <f>IF(OR(Z960=1,R961&lt;=資金模擬!$B$10),1,0)</f>
        <v/>
      </c>
    </row>
    <row r="962">
      <c r="A962" s="2" t="n">
        <v>960</v>
      </c>
      <c r="B962" s="7" t="n">
        <v>46290.95833333334</v>
      </c>
      <c r="C962" s="2" t="inlineStr">
        <is>
          <t>出場</t>
        </is>
      </c>
      <c r="D962" s="2" t="n">
        <v>480</v>
      </c>
      <c r="E962" s="2" t="inlineStr">
        <is>
          <t>XPL_USDT_PERP</t>
        </is>
      </c>
      <c r="F962" s="2" t="inlineStr">
        <is>
          <t>做多</t>
        </is>
      </c>
      <c r="G962" s="20" t="n">
        <v>0.1142</v>
      </c>
      <c r="H962" s="20" t="n">
        <v>0.117626</v>
      </c>
      <c r="I962" s="20" t="n">
        <v>0.10849</v>
      </c>
      <c r="J962" s="20" t="n">
        <v>0.10849</v>
      </c>
      <c r="K962" s="2" t="inlineStr">
        <is>
          <t>止損</t>
        </is>
      </c>
      <c r="L962" s="5">
        <f>交易明細!K481</f>
        <v/>
      </c>
      <c r="M962" s="19">
        <f>M960</f>
        <v/>
      </c>
      <c r="N962" s="2">
        <f>N960</f>
        <v/>
      </c>
      <c r="O962" s="19">
        <f>O960</f>
        <v/>
      </c>
      <c r="P962" s="4">
        <f>交易明細!L481</f>
        <v/>
      </c>
      <c r="Q962" s="13">
        <f>IF(N962="已下單",O962*P962,0)</f>
        <v/>
      </c>
      <c r="R962" s="13">
        <f>R961+Q962</f>
        <v/>
      </c>
      <c r="S962" s="19">
        <f>S961-IF(N962="已下單",M962,0)</f>
        <v/>
      </c>
      <c r="T962" s="19">
        <f>R962-S962</f>
        <v/>
      </c>
      <c r="U962" s="2">
        <f>U961-IF(N962="已下單",1,0)</f>
        <v/>
      </c>
      <c r="V962" s="19">
        <f>IF(資金模擬!$B$9=2,MAX(R962,0),MAX(V961,FLOOR(MAX(R962,0),資金模擬!$B$6)))</f>
        <v/>
      </c>
      <c r="W962" s="13">
        <f>MAX(W961,R962)</f>
        <v/>
      </c>
      <c r="X962" s="4">
        <f>IF(W962&gt;0,R962/W962-1,-1)</f>
        <v/>
      </c>
      <c r="Y962" s="19">
        <f>IF(R962&gt;0,S962*資金模擬!$B$7/R962,0)</f>
        <v/>
      </c>
      <c r="Z962" s="2">
        <f>IF(OR(Z961=1,R962&lt;=資金模擬!$B$10),1,0)</f>
        <v/>
      </c>
    </row>
    <row r="963">
      <c r="A963" s="2" t="n">
        <v>961</v>
      </c>
      <c r="B963" s="7" t="n">
        <v>46291</v>
      </c>
      <c r="C963" s="2" t="inlineStr">
        <is>
          <t>進場</t>
        </is>
      </c>
      <c r="D963" s="2" t="n">
        <v>482</v>
      </c>
      <c r="E963" s="2" t="inlineStr">
        <is>
          <t>ONDO_USDT_PERP</t>
        </is>
      </c>
      <c r="F963" s="2" t="inlineStr">
        <is>
          <t>做空</t>
        </is>
      </c>
      <c r="G963" s="20" t="n">
        <v>0.5331</v>
      </c>
      <c r="H963" s="20" t="n">
        <v>0.517107</v>
      </c>
      <c r="I963" s="20" t="n">
        <v>0.559755</v>
      </c>
      <c r="J963" s="20" t="n"/>
      <c r="K963" s="2" t="n"/>
      <c r="L963" s="5" t="n"/>
      <c r="M963" s="19">
        <f>資金模擬!$B$5*V962</f>
        <v/>
      </c>
      <c r="N963" s="2">
        <f>IF(Z962=1,"已停止",IF(T962&gt;=M963,"已下單","資金不足略過"))</f>
        <v/>
      </c>
      <c r="O963" s="19">
        <f>IF(N963="已下單",M963*資金模擬!$B$7,0)</f>
        <v/>
      </c>
      <c r="P963" s="4" t="n"/>
      <c r="Q963" s="13" t="n">
        <v>0</v>
      </c>
      <c r="R963" s="13">
        <f>R962+Q963</f>
        <v/>
      </c>
      <c r="S963" s="19">
        <f>S962+IF(N963="已下單",M963,0)</f>
        <v/>
      </c>
      <c r="T963" s="19">
        <f>R963-S963</f>
        <v/>
      </c>
      <c r="U963" s="2">
        <f>U962+IF(N963="已下單",1,0)</f>
        <v/>
      </c>
      <c r="V963" s="19">
        <f>IF(資金模擬!$B$9=2,MAX(R963,0),MAX(V962,FLOOR(MAX(R963,0),資金模擬!$B$6)))</f>
        <v/>
      </c>
      <c r="W963" s="13">
        <f>MAX(W962,R963)</f>
        <v/>
      </c>
      <c r="X963" s="4">
        <f>IF(W963&gt;0,R963/W963-1,-1)</f>
        <v/>
      </c>
      <c r="Y963" s="19">
        <f>IF(R963&gt;0,S963*資金模擬!$B$7/R963,0)</f>
        <v/>
      </c>
      <c r="Z963" s="2">
        <f>IF(OR(Z962=1,R963&lt;=資金模擬!$B$10),1,0)</f>
        <v/>
      </c>
    </row>
    <row r="964">
      <c r="A964" s="2" t="n">
        <v>962</v>
      </c>
      <c r="B964" s="7" t="n">
        <v>46291.04166666666</v>
      </c>
      <c r="C964" s="2" t="inlineStr">
        <is>
          <t>進場</t>
        </is>
      </c>
      <c r="D964" s="2" t="n">
        <v>483</v>
      </c>
      <c r="E964" s="2" t="inlineStr">
        <is>
          <t>AKE_USDT_PERP</t>
        </is>
      </c>
      <c r="F964" s="2" t="inlineStr">
        <is>
          <t>做空</t>
        </is>
      </c>
      <c r="G964" s="20" t="n">
        <v>0.0360825</v>
      </c>
      <c r="H964" s="20" t="n">
        <v>0.035000025</v>
      </c>
      <c r="I964" s="20" t="n">
        <v>0.03788662500000001</v>
      </c>
      <c r="J964" s="20" t="n"/>
      <c r="K964" s="2" t="n"/>
      <c r="L964" s="5" t="n"/>
      <c r="M964" s="19">
        <f>資金模擬!$B$5*V963</f>
        <v/>
      </c>
      <c r="N964" s="2">
        <f>IF(Z963=1,"已停止",IF(T963&gt;=M964,"已下單","資金不足略過"))</f>
        <v/>
      </c>
      <c r="O964" s="19">
        <f>IF(N964="已下單",M964*資金模擬!$B$7,0)</f>
        <v/>
      </c>
      <c r="P964" s="4" t="n"/>
      <c r="Q964" s="13" t="n">
        <v>0</v>
      </c>
      <c r="R964" s="13">
        <f>R963+Q964</f>
        <v/>
      </c>
      <c r="S964" s="19">
        <f>S963+IF(N964="已下單",M964,0)</f>
        <v/>
      </c>
      <c r="T964" s="19">
        <f>R964-S964</f>
        <v/>
      </c>
      <c r="U964" s="2">
        <f>U963+IF(N964="已下單",1,0)</f>
        <v/>
      </c>
      <c r="V964" s="19">
        <f>IF(資金模擬!$B$9=2,MAX(R964,0),MAX(V963,FLOOR(MAX(R964,0),資金模擬!$B$6)))</f>
        <v/>
      </c>
      <c r="W964" s="13">
        <f>MAX(W963,R964)</f>
        <v/>
      </c>
      <c r="X964" s="4">
        <f>IF(W964&gt;0,R964/W964-1,-1)</f>
        <v/>
      </c>
      <c r="Y964" s="19">
        <f>IF(R964&gt;0,S964*資金模擬!$B$7/R964,0)</f>
        <v/>
      </c>
      <c r="Z964" s="2">
        <f>IF(OR(Z963=1,R964&lt;=資金模擬!$B$10),1,0)</f>
        <v/>
      </c>
    </row>
    <row r="965">
      <c r="A965" s="2" t="n">
        <v>963</v>
      </c>
      <c r="B965" s="7" t="n">
        <v>46291.04166666666</v>
      </c>
      <c r="C965" s="2" t="inlineStr">
        <is>
          <t>進場</t>
        </is>
      </c>
      <c r="D965" s="2" t="n">
        <v>484</v>
      </c>
      <c r="E965" s="2" t="inlineStr">
        <is>
          <t>QNT_USDT_PERP</t>
        </is>
      </c>
      <c r="F965" s="2" t="inlineStr">
        <is>
          <t>做多</t>
        </is>
      </c>
      <c r="G965" s="20" t="n">
        <v>97.95999999999999</v>
      </c>
      <c r="H965" s="20" t="n">
        <v>100.8988</v>
      </c>
      <c r="I965" s="20" t="n">
        <v>93.06199999999998</v>
      </c>
      <c r="J965" s="20" t="n"/>
      <c r="K965" s="2" t="n"/>
      <c r="L965" s="5" t="n"/>
      <c r="M965" s="19">
        <f>資金模擬!$B$5*V964</f>
        <v/>
      </c>
      <c r="N965" s="2">
        <f>IF(Z964=1,"已停止",IF(T964&gt;=M965,"已下單","資金不足略過"))</f>
        <v/>
      </c>
      <c r="O965" s="19">
        <f>IF(N965="已下單",M965*資金模擬!$B$7,0)</f>
        <v/>
      </c>
      <c r="P965" s="4" t="n"/>
      <c r="Q965" s="13" t="n">
        <v>0</v>
      </c>
      <c r="R965" s="13">
        <f>R964+Q965</f>
        <v/>
      </c>
      <c r="S965" s="19">
        <f>S964+IF(N965="已下單",M965,0)</f>
        <v/>
      </c>
      <c r="T965" s="19">
        <f>R965-S965</f>
        <v/>
      </c>
      <c r="U965" s="2">
        <f>U964+IF(N965="已下單",1,0)</f>
        <v/>
      </c>
      <c r="V965" s="19">
        <f>IF(資金模擬!$B$9=2,MAX(R965,0),MAX(V964,FLOOR(MAX(R965,0),資金模擬!$B$6)))</f>
        <v/>
      </c>
      <c r="W965" s="13">
        <f>MAX(W964,R965)</f>
        <v/>
      </c>
      <c r="X965" s="4">
        <f>IF(W965&gt;0,R965/W965-1,-1)</f>
        <v/>
      </c>
      <c r="Y965" s="19">
        <f>IF(R965&gt;0,S965*資金模擬!$B$7/R965,0)</f>
        <v/>
      </c>
      <c r="Z965" s="2">
        <f>IF(OR(Z964=1,R965&lt;=資金模擬!$B$10),1,0)</f>
        <v/>
      </c>
    </row>
    <row r="966">
      <c r="A966" s="2" t="n">
        <v>964</v>
      </c>
      <c r="B966" s="7" t="n">
        <v>46291.08333333334</v>
      </c>
      <c r="C966" s="2" t="inlineStr">
        <is>
          <t>出場</t>
        </is>
      </c>
      <c r="D966" s="2" t="n">
        <v>483</v>
      </c>
      <c r="E966" s="2" t="inlineStr">
        <is>
          <t>AKE_USDT_PERP</t>
        </is>
      </c>
      <c r="F966" s="2" t="inlineStr">
        <is>
          <t>做空</t>
        </is>
      </c>
      <c r="G966" s="20" t="n">
        <v>0.0360825</v>
      </c>
      <c r="H966" s="20" t="n">
        <v>0.035000025</v>
      </c>
      <c r="I966" s="20" t="n">
        <v>0.03788662500000001</v>
      </c>
      <c r="J966" s="20" t="n">
        <v>0.035000025</v>
      </c>
      <c r="K966" s="2" t="inlineStr">
        <is>
          <t>止盈</t>
        </is>
      </c>
      <c r="L966" s="5">
        <f>交易明細!K484</f>
        <v/>
      </c>
      <c r="M966" s="19">
        <f>M964</f>
        <v/>
      </c>
      <c r="N966" s="2">
        <f>N964</f>
        <v/>
      </c>
      <c r="O966" s="19">
        <f>O964</f>
        <v/>
      </c>
      <c r="P966" s="4">
        <f>交易明細!L484</f>
        <v/>
      </c>
      <c r="Q966" s="13">
        <f>IF(N966="已下單",O966*P966,0)</f>
        <v/>
      </c>
      <c r="R966" s="13">
        <f>R965+Q966</f>
        <v/>
      </c>
      <c r="S966" s="19">
        <f>S965-IF(N966="已下單",M966,0)</f>
        <v/>
      </c>
      <c r="T966" s="19">
        <f>R966-S966</f>
        <v/>
      </c>
      <c r="U966" s="2">
        <f>U965-IF(N966="已下單",1,0)</f>
        <v/>
      </c>
      <c r="V966" s="19">
        <f>IF(資金模擬!$B$9=2,MAX(R966,0),MAX(V965,FLOOR(MAX(R966,0),資金模擬!$B$6)))</f>
        <v/>
      </c>
      <c r="W966" s="13">
        <f>MAX(W965,R966)</f>
        <v/>
      </c>
      <c r="X966" s="4">
        <f>IF(W966&gt;0,R966/W966-1,-1)</f>
        <v/>
      </c>
      <c r="Y966" s="19">
        <f>IF(R966&gt;0,S966*資金模擬!$B$7/R966,0)</f>
        <v/>
      </c>
      <c r="Z966" s="2">
        <f>IF(OR(Z965=1,R966&lt;=資金模擬!$B$10),1,0)</f>
        <v/>
      </c>
    </row>
    <row r="967">
      <c r="A967" s="2" t="n">
        <v>965</v>
      </c>
      <c r="B967" s="7" t="n">
        <v>46291.125</v>
      </c>
      <c r="C967" s="2" t="inlineStr">
        <is>
          <t>進場</t>
        </is>
      </c>
      <c r="D967" s="2" t="n">
        <v>485</v>
      </c>
      <c r="E967" s="2" t="inlineStr">
        <is>
          <t>PONS_USDT_PERP</t>
        </is>
      </c>
      <c r="F967" s="2" t="inlineStr">
        <is>
          <t>做多</t>
        </is>
      </c>
      <c r="G967" s="20" t="n">
        <v>0.6466</v>
      </c>
      <c r="H967" s="20" t="n">
        <v>0.665998</v>
      </c>
      <c r="I967" s="20" t="n">
        <v>0.6142699999999999</v>
      </c>
      <c r="J967" s="20" t="n"/>
      <c r="K967" s="2" t="n"/>
      <c r="L967" s="5" t="n"/>
      <c r="M967" s="19">
        <f>資金模擬!$B$5*V966</f>
        <v/>
      </c>
      <c r="N967" s="2">
        <f>IF(Z966=1,"已停止",IF(T966&gt;=M967,"已下單","資金不足略過"))</f>
        <v/>
      </c>
      <c r="O967" s="19">
        <f>IF(N967="已下單",M967*資金模擬!$B$7,0)</f>
        <v/>
      </c>
      <c r="P967" s="4" t="n"/>
      <c r="Q967" s="13" t="n">
        <v>0</v>
      </c>
      <c r="R967" s="13">
        <f>R966+Q967</f>
        <v/>
      </c>
      <c r="S967" s="19">
        <f>S966+IF(N967="已下單",M967,0)</f>
        <v/>
      </c>
      <c r="T967" s="19">
        <f>R967-S967</f>
        <v/>
      </c>
      <c r="U967" s="2">
        <f>U966+IF(N967="已下單",1,0)</f>
        <v/>
      </c>
      <c r="V967" s="19">
        <f>IF(資金模擬!$B$9=2,MAX(R967,0),MAX(V966,FLOOR(MAX(R967,0),資金模擬!$B$6)))</f>
        <v/>
      </c>
      <c r="W967" s="13">
        <f>MAX(W966,R967)</f>
        <v/>
      </c>
      <c r="X967" s="4">
        <f>IF(W967&gt;0,R967/W967-1,-1)</f>
        <v/>
      </c>
      <c r="Y967" s="19">
        <f>IF(R967&gt;0,S967*資金模擬!$B$7/R967,0)</f>
        <v/>
      </c>
      <c r="Z967" s="2">
        <f>IF(OR(Z966=1,R967&lt;=資金模擬!$B$10),1,0)</f>
        <v/>
      </c>
    </row>
    <row r="968">
      <c r="A968" s="2" t="n">
        <v>966</v>
      </c>
      <c r="B968" s="7" t="n">
        <v>46291.125</v>
      </c>
      <c r="C968" s="2" t="inlineStr">
        <is>
          <t>進場</t>
        </is>
      </c>
      <c r="D968" s="2" t="n">
        <v>486</v>
      </c>
      <c r="E968" s="2" t="inlineStr">
        <is>
          <t>XPL_USDT_PERP</t>
        </is>
      </c>
      <c r="F968" s="2" t="inlineStr">
        <is>
          <t>做多</t>
        </is>
      </c>
      <c r="G968" s="20" t="n">
        <v>0.1141</v>
      </c>
      <c r="H968" s="20" t="n">
        <v>0.117523</v>
      </c>
      <c r="I968" s="20" t="n">
        <v>0.108395</v>
      </c>
      <c r="J968" s="20" t="n"/>
      <c r="K968" s="2" t="n"/>
      <c r="L968" s="5" t="n"/>
      <c r="M968" s="19">
        <f>資金模擬!$B$5*V967</f>
        <v/>
      </c>
      <c r="N968" s="2">
        <f>IF(Z967=1,"已停止",IF(T967&gt;=M968,"已下單","資金不足略過"))</f>
        <v/>
      </c>
      <c r="O968" s="19">
        <f>IF(N968="已下單",M968*資金模擬!$B$7,0)</f>
        <v/>
      </c>
      <c r="P968" s="4" t="n"/>
      <c r="Q968" s="13" t="n">
        <v>0</v>
      </c>
      <c r="R968" s="13">
        <f>R967+Q968</f>
        <v/>
      </c>
      <c r="S968" s="19">
        <f>S967+IF(N968="已下單",M968,0)</f>
        <v/>
      </c>
      <c r="T968" s="19">
        <f>R968-S968</f>
        <v/>
      </c>
      <c r="U968" s="2">
        <f>U967+IF(N968="已下單",1,0)</f>
        <v/>
      </c>
      <c r="V968" s="19">
        <f>IF(資金模擬!$B$9=2,MAX(R968,0),MAX(V967,FLOOR(MAX(R968,0),資金模擬!$B$6)))</f>
        <v/>
      </c>
      <c r="W968" s="13">
        <f>MAX(W967,R968)</f>
        <v/>
      </c>
      <c r="X968" s="4">
        <f>IF(W968&gt;0,R968/W968-1,-1)</f>
        <v/>
      </c>
      <c r="Y968" s="19">
        <f>IF(R968&gt;0,S968*資金模擬!$B$7/R968,0)</f>
        <v/>
      </c>
      <c r="Z968" s="2">
        <f>IF(OR(Z967=1,R968&lt;=資金模擬!$B$10),1,0)</f>
        <v/>
      </c>
    </row>
    <row r="969">
      <c r="A969" s="2" t="n">
        <v>967</v>
      </c>
      <c r="B969" s="7" t="n">
        <v>46291.25</v>
      </c>
      <c r="C969" s="2" t="inlineStr">
        <is>
          <t>出場</t>
        </is>
      </c>
      <c r="D969" s="2" t="n">
        <v>479</v>
      </c>
      <c r="E969" s="2" t="inlineStr">
        <is>
          <t>INJ_USDT_PERP</t>
        </is>
      </c>
      <c r="F969" s="2" t="inlineStr">
        <is>
          <t>做多</t>
        </is>
      </c>
      <c r="G969" s="20" t="n">
        <v>8.26</v>
      </c>
      <c r="H969" s="20" t="n">
        <v>8.5078</v>
      </c>
      <c r="I969" s="20" t="n">
        <v>7.847</v>
      </c>
      <c r="J969" s="20" t="n">
        <v>7.847</v>
      </c>
      <c r="K969" s="2" t="inlineStr">
        <is>
          <t>止損</t>
        </is>
      </c>
      <c r="L969" s="5">
        <f>交易明細!K480</f>
        <v/>
      </c>
      <c r="M969" s="19">
        <f>M959</f>
        <v/>
      </c>
      <c r="N969" s="2">
        <f>N959</f>
        <v/>
      </c>
      <c r="O969" s="19">
        <f>O959</f>
        <v/>
      </c>
      <c r="P969" s="4">
        <f>交易明細!L480</f>
        <v/>
      </c>
      <c r="Q969" s="13">
        <f>IF(N969="已下單",O969*P969,0)</f>
        <v/>
      </c>
      <c r="R969" s="13">
        <f>R968+Q969</f>
        <v/>
      </c>
      <c r="S969" s="19">
        <f>S968-IF(N969="已下單",M969,0)</f>
        <v/>
      </c>
      <c r="T969" s="19">
        <f>R969-S969</f>
        <v/>
      </c>
      <c r="U969" s="2">
        <f>U968-IF(N969="已下單",1,0)</f>
        <v/>
      </c>
      <c r="V969" s="19">
        <f>IF(資金模擬!$B$9=2,MAX(R969,0),MAX(V968,FLOOR(MAX(R969,0),資金模擬!$B$6)))</f>
        <v/>
      </c>
      <c r="W969" s="13">
        <f>MAX(W968,R969)</f>
        <v/>
      </c>
      <c r="X969" s="4">
        <f>IF(W969&gt;0,R969/W969-1,-1)</f>
        <v/>
      </c>
      <c r="Y969" s="19">
        <f>IF(R969&gt;0,S969*資金模擬!$B$7/R969,0)</f>
        <v/>
      </c>
      <c r="Z969" s="2">
        <f>IF(OR(Z968=1,R969&lt;=資金模擬!$B$10),1,0)</f>
        <v/>
      </c>
    </row>
    <row r="970">
      <c r="A970" s="2" t="n">
        <v>968</v>
      </c>
      <c r="B970" s="7" t="n">
        <v>46291.25</v>
      </c>
      <c r="C970" s="2" t="inlineStr">
        <is>
          <t>進場</t>
        </is>
      </c>
      <c r="D970" s="2" t="n">
        <v>487</v>
      </c>
      <c r="E970" s="2" t="inlineStr">
        <is>
          <t>BR_USDT_PERP</t>
        </is>
      </c>
      <c r="F970" s="2" t="inlineStr">
        <is>
          <t>做多</t>
        </is>
      </c>
      <c r="G970" s="20" t="n">
        <v>0.93702</v>
      </c>
      <c r="H970" s="20" t="n">
        <v>0.9651305999999999</v>
      </c>
      <c r="I970" s="20" t="n">
        <v>0.8901689999999999</v>
      </c>
      <c r="J970" s="20" t="n"/>
      <c r="K970" s="2" t="n"/>
      <c r="L970" s="5" t="n"/>
      <c r="M970" s="19">
        <f>資金模擬!$B$5*V969</f>
        <v/>
      </c>
      <c r="N970" s="2">
        <f>IF(Z969=1,"已停止",IF(T969&gt;=M970,"已下單","資金不足略過"))</f>
        <v/>
      </c>
      <c r="O970" s="19">
        <f>IF(N970="已下單",M970*資金模擬!$B$7,0)</f>
        <v/>
      </c>
      <c r="P970" s="4" t="n"/>
      <c r="Q970" s="13" t="n">
        <v>0</v>
      </c>
      <c r="R970" s="13">
        <f>R969+Q970</f>
        <v/>
      </c>
      <c r="S970" s="19">
        <f>S969+IF(N970="已下單",M970,0)</f>
        <v/>
      </c>
      <c r="T970" s="19">
        <f>R970-S970</f>
        <v/>
      </c>
      <c r="U970" s="2">
        <f>U969+IF(N970="已下單",1,0)</f>
        <v/>
      </c>
      <c r="V970" s="19">
        <f>IF(資金模擬!$B$9=2,MAX(R970,0),MAX(V969,FLOOR(MAX(R970,0),資金模擬!$B$6)))</f>
        <v/>
      </c>
      <c r="W970" s="13">
        <f>MAX(W969,R970)</f>
        <v/>
      </c>
      <c r="X970" s="4">
        <f>IF(W970&gt;0,R970/W970-1,-1)</f>
        <v/>
      </c>
      <c r="Y970" s="19">
        <f>IF(R970&gt;0,S970*資金模擬!$B$7/R970,0)</f>
        <v/>
      </c>
      <c r="Z970" s="2">
        <f>IF(OR(Z969=1,R970&lt;=資金模擬!$B$10),1,0)</f>
        <v/>
      </c>
    </row>
    <row r="971">
      <c r="A971" s="2" t="n">
        <v>969</v>
      </c>
      <c r="B971" s="7" t="n">
        <v>46291.29166666666</v>
      </c>
      <c r="C971" s="2" t="inlineStr">
        <is>
          <t>進場</t>
        </is>
      </c>
      <c r="D971" s="2" t="n">
        <v>488</v>
      </c>
      <c r="E971" s="2" t="inlineStr">
        <is>
          <t>ARB_USDT_PERP</t>
        </is>
      </c>
      <c r="F971" s="2" t="inlineStr">
        <is>
          <t>做多</t>
        </is>
      </c>
      <c r="G971" s="20" t="n">
        <v>0.2287</v>
      </c>
      <c r="H971" s="20" t="n">
        <v>0.235561</v>
      </c>
      <c r="I971" s="20" t="n">
        <v>0.217265</v>
      </c>
      <c r="J971" s="20" t="n"/>
      <c r="K971" s="2" t="n"/>
      <c r="L971" s="5" t="n"/>
      <c r="M971" s="19">
        <f>資金模擬!$B$5*V970</f>
        <v/>
      </c>
      <c r="N971" s="2">
        <f>IF(Z970=1,"已停止",IF(T970&gt;=M971,"已下單","資金不足略過"))</f>
        <v/>
      </c>
      <c r="O971" s="19">
        <f>IF(N971="已下單",M971*資金模擬!$B$7,0)</f>
        <v/>
      </c>
      <c r="P971" s="4" t="n"/>
      <c r="Q971" s="13" t="n">
        <v>0</v>
      </c>
      <c r="R971" s="13">
        <f>R970+Q971</f>
        <v/>
      </c>
      <c r="S971" s="19">
        <f>S970+IF(N971="已下單",M971,0)</f>
        <v/>
      </c>
      <c r="T971" s="19">
        <f>R971-S971</f>
        <v/>
      </c>
      <c r="U971" s="2">
        <f>U970+IF(N971="已下單",1,0)</f>
        <v/>
      </c>
      <c r="V971" s="19">
        <f>IF(資金模擬!$B$9=2,MAX(R971,0),MAX(V970,FLOOR(MAX(R971,0),資金模擬!$B$6)))</f>
        <v/>
      </c>
      <c r="W971" s="13">
        <f>MAX(W970,R971)</f>
        <v/>
      </c>
      <c r="X971" s="4">
        <f>IF(W971&gt;0,R971/W971-1,-1)</f>
        <v/>
      </c>
      <c r="Y971" s="19">
        <f>IF(R971&gt;0,S971*資金模擬!$B$7/R971,0)</f>
        <v/>
      </c>
      <c r="Z971" s="2">
        <f>IF(OR(Z970=1,R971&lt;=資金模擬!$B$10),1,0)</f>
        <v/>
      </c>
    </row>
    <row r="972">
      <c r="A972" s="2" t="n">
        <v>970</v>
      </c>
      <c r="B972" s="7" t="n">
        <v>46291.29166666666</v>
      </c>
      <c r="C972" s="2" t="inlineStr">
        <is>
          <t>進場</t>
        </is>
      </c>
      <c r="D972" s="2" t="n">
        <v>489</v>
      </c>
      <c r="E972" s="2" t="inlineStr">
        <is>
          <t>PENGU_USDT_PERP</t>
        </is>
      </c>
      <c r="F972" s="2" t="inlineStr">
        <is>
          <t>做多</t>
        </is>
      </c>
      <c r="G972" s="20" t="n">
        <v>0.010271</v>
      </c>
      <c r="H972" s="20" t="n">
        <v>0.01057913</v>
      </c>
      <c r="I972" s="20" t="n">
        <v>0.009757450000000001</v>
      </c>
      <c r="J972" s="20" t="n"/>
      <c r="K972" s="2" t="n"/>
      <c r="L972" s="5" t="n"/>
      <c r="M972" s="19">
        <f>資金模擬!$B$5*V971</f>
        <v/>
      </c>
      <c r="N972" s="2">
        <f>IF(Z971=1,"已停止",IF(T971&gt;=M972,"已下單","資金不足略過"))</f>
        <v/>
      </c>
      <c r="O972" s="19">
        <f>IF(N972="已下單",M972*資金模擬!$B$7,0)</f>
        <v/>
      </c>
      <c r="P972" s="4" t="n"/>
      <c r="Q972" s="13" t="n">
        <v>0</v>
      </c>
      <c r="R972" s="13">
        <f>R971+Q972</f>
        <v/>
      </c>
      <c r="S972" s="19">
        <f>S971+IF(N972="已下單",M972,0)</f>
        <v/>
      </c>
      <c r="T972" s="19">
        <f>R972-S972</f>
        <v/>
      </c>
      <c r="U972" s="2">
        <f>U971+IF(N972="已下單",1,0)</f>
        <v/>
      </c>
      <c r="V972" s="19">
        <f>IF(資金模擬!$B$9=2,MAX(R972,0),MAX(V971,FLOOR(MAX(R972,0),資金模擬!$B$6)))</f>
        <v/>
      </c>
      <c r="W972" s="13">
        <f>MAX(W971,R972)</f>
        <v/>
      </c>
      <c r="X972" s="4">
        <f>IF(W972&gt;0,R972/W972-1,-1)</f>
        <v/>
      </c>
      <c r="Y972" s="19">
        <f>IF(R972&gt;0,S972*資金模擬!$B$7/R972,0)</f>
        <v/>
      </c>
      <c r="Z972" s="2">
        <f>IF(OR(Z971=1,R972&lt;=資金模擬!$B$10),1,0)</f>
        <v/>
      </c>
    </row>
    <row r="973">
      <c r="A973" s="2" t="n">
        <v>971</v>
      </c>
      <c r="B973" s="7" t="n">
        <v>46291.29166666666</v>
      </c>
      <c r="C973" s="2" t="inlineStr">
        <is>
          <t>進場</t>
        </is>
      </c>
      <c r="D973" s="2" t="n">
        <v>490</v>
      </c>
      <c r="E973" s="2" t="inlineStr">
        <is>
          <t>PUMP_USDT_PERP</t>
        </is>
      </c>
      <c r="F973" s="2" t="inlineStr">
        <is>
          <t>做多</t>
        </is>
      </c>
      <c r="G973" s="20" t="n">
        <v>0.004187</v>
      </c>
      <c r="H973" s="20" t="n">
        <v>0.00431261</v>
      </c>
      <c r="I973" s="20" t="n">
        <v>0.003977649999999999</v>
      </c>
      <c r="J973" s="20" t="n"/>
      <c r="K973" s="2" t="n"/>
      <c r="L973" s="5" t="n"/>
      <c r="M973" s="19">
        <f>資金模擬!$B$5*V972</f>
        <v/>
      </c>
      <c r="N973" s="2">
        <f>IF(Z972=1,"已停止",IF(T972&gt;=M973,"已下單","資金不足略過"))</f>
        <v/>
      </c>
      <c r="O973" s="19">
        <f>IF(N973="已下單",M973*資金模擬!$B$7,0)</f>
        <v/>
      </c>
      <c r="P973" s="4" t="n"/>
      <c r="Q973" s="13" t="n">
        <v>0</v>
      </c>
      <c r="R973" s="13">
        <f>R972+Q973</f>
        <v/>
      </c>
      <c r="S973" s="19">
        <f>S972+IF(N973="已下單",M973,0)</f>
        <v/>
      </c>
      <c r="T973" s="19">
        <f>R973-S973</f>
        <v/>
      </c>
      <c r="U973" s="2">
        <f>U972+IF(N973="已下單",1,0)</f>
        <v/>
      </c>
      <c r="V973" s="19">
        <f>IF(資金模擬!$B$9=2,MAX(R973,0),MAX(V972,FLOOR(MAX(R973,0),資金模擬!$B$6)))</f>
        <v/>
      </c>
      <c r="W973" s="13">
        <f>MAX(W972,R973)</f>
        <v/>
      </c>
      <c r="X973" s="4">
        <f>IF(W973&gt;0,R973/W973-1,-1)</f>
        <v/>
      </c>
      <c r="Y973" s="19">
        <f>IF(R973&gt;0,S973*資金模擬!$B$7/R973,0)</f>
        <v/>
      </c>
      <c r="Z973" s="2">
        <f>IF(OR(Z972=1,R973&lt;=資金模擬!$B$10),1,0)</f>
        <v/>
      </c>
    </row>
    <row r="974">
      <c r="A974" s="2" t="n">
        <v>972</v>
      </c>
      <c r="B974" s="7" t="n">
        <v>46291.375</v>
      </c>
      <c r="C974" s="2" t="inlineStr">
        <is>
          <t>出場</t>
        </is>
      </c>
      <c r="D974" s="2" t="n">
        <v>485</v>
      </c>
      <c r="E974" s="2" t="inlineStr">
        <is>
          <t>PONS_USDT_PERP</t>
        </is>
      </c>
      <c r="F974" s="2" t="inlineStr">
        <is>
          <t>做多</t>
        </is>
      </c>
      <c r="G974" s="20" t="n">
        <v>0.6466</v>
      </c>
      <c r="H974" s="20" t="n">
        <v>0.665998</v>
      </c>
      <c r="I974" s="20" t="n">
        <v>0.6142699999999999</v>
      </c>
      <c r="J974" s="20" t="n">
        <v>0.665998</v>
      </c>
      <c r="K974" s="2" t="inlineStr">
        <is>
          <t>止盈</t>
        </is>
      </c>
      <c r="L974" s="5">
        <f>交易明細!K486</f>
        <v/>
      </c>
      <c r="M974" s="19">
        <f>M967</f>
        <v/>
      </c>
      <c r="N974" s="2">
        <f>N967</f>
        <v/>
      </c>
      <c r="O974" s="19">
        <f>O967</f>
        <v/>
      </c>
      <c r="P974" s="4">
        <f>交易明細!L486</f>
        <v/>
      </c>
      <c r="Q974" s="13">
        <f>IF(N974="已下單",O974*P974,0)</f>
        <v/>
      </c>
      <c r="R974" s="13">
        <f>R973+Q974</f>
        <v/>
      </c>
      <c r="S974" s="19">
        <f>S973-IF(N974="已下單",M974,0)</f>
        <v/>
      </c>
      <c r="T974" s="19">
        <f>R974-S974</f>
        <v/>
      </c>
      <c r="U974" s="2">
        <f>U973-IF(N974="已下單",1,0)</f>
        <v/>
      </c>
      <c r="V974" s="19">
        <f>IF(資金模擬!$B$9=2,MAX(R974,0),MAX(V973,FLOOR(MAX(R974,0),資金模擬!$B$6)))</f>
        <v/>
      </c>
      <c r="W974" s="13">
        <f>MAX(W973,R974)</f>
        <v/>
      </c>
      <c r="X974" s="4">
        <f>IF(W974&gt;0,R974/W974-1,-1)</f>
        <v/>
      </c>
      <c r="Y974" s="19">
        <f>IF(R974&gt;0,S974*資金模擬!$B$7/R974,0)</f>
        <v/>
      </c>
      <c r="Z974" s="2">
        <f>IF(OR(Z973=1,R974&lt;=資金模擬!$B$10),1,0)</f>
        <v/>
      </c>
    </row>
    <row r="975">
      <c r="A975" s="2" t="n">
        <v>973</v>
      </c>
      <c r="B975" s="7" t="n">
        <v>46291.375</v>
      </c>
      <c r="C975" s="2" t="inlineStr">
        <is>
          <t>出場</t>
        </is>
      </c>
      <c r="D975" s="2" t="n">
        <v>487</v>
      </c>
      <c r="E975" s="2" t="inlineStr">
        <is>
          <t>BR_USDT_PERP</t>
        </is>
      </c>
      <c r="F975" s="2" t="inlineStr">
        <is>
          <t>做多</t>
        </is>
      </c>
      <c r="G975" s="20" t="n">
        <v>0.93702</v>
      </c>
      <c r="H975" s="20" t="n">
        <v>0.9651305999999999</v>
      </c>
      <c r="I975" s="20" t="n">
        <v>0.8901689999999999</v>
      </c>
      <c r="J975" s="20" t="n">
        <v>0.9651305999999999</v>
      </c>
      <c r="K975" s="2" t="inlineStr">
        <is>
          <t>止盈</t>
        </is>
      </c>
      <c r="L975" s="5">
        <f>交易明細!K488</f>
        <v/>
      </c>
      <c r="M975" s="19">
        <f>M970</f>
        <v/>
      </c>
      <c r="N975" s="2">
        <f>N970</f>
        <v/>
      </c>
      <c r="O975" s="19">
        <f>O970</f>
        <v/>
      </c>
      <c r="P975" s="4">
        <f>交易明細!L488</f>
        <v/>
      </c>
      <c r="Q975" s="13">
        <f>IF(N975="已下單",O975*P975,0)</f>
        <v/>
      </c>
      <c r="R975" s="13">
        <f>R974+Q975</f>
        <v/>
      </c>
      <c r="S975" s="19">
        <f>S974-IF(N975="已下單",M975,0)</f>
        <v/>
      </c>
      <c r="T975" s="19">
        <f>R975-S975</f>
        <v/>
      </c>
      <c r="U975" s="2">
        <f>U974-IF(N975="已下單",1,0)</f>
        <v/>
      </c>
      <c r="V975" s="19">
        <f>IF(資金模擬!$B$9=2,MAX(R975,0),MAX(V974,FLOOR(MAX(R975,0),資金模擬!$B$6)))</f>
        <v/>
      </c>
      <c r="W975" s="13">
        <f>MAX(W974,R975)</f>
        <v/>
      </c>
      <c r="X975" s="4">
        <f>IF(W975&gt;0,R975/W975-1,-1)</f>
        <v/>
      </c>
      <c r="Y975" s="19">
        <f>IF(R975&gt;0,S975*資金模擬!$B$7/R975,0)</f>
        <v/>
      </c>
      <c r="Z975" s="2">
        <f>IF(OR(Z974=1,R975&lt;=資金模擬!$B$10),1,0)</f>
        <v/>
      </c>
    </row>
    <row r="976">
      <c r="A976" s="2" t="n">
        <v>974</v>
      </c>
      <c r="B976" s="7" t="n">
        <v>46291.41666666666</v>
      </c>
      <c r="C976" s="2" t="inlineStr">
        <is>
          <t>進場</t>
        </is>
      </c>
      <c r="D976" s="2" t="n">
        <v>491</v>
      </c>
      <c r="E976" s="2" t="inlineStr">
        <is>
          <t>AERO_USDT_PERP</t>
        </is>
      </c>
      <c r="F976" s="2" t="inlineStr">
        <is>
          <t>做多</t>
        </is>
      </c>
      <c r="G976" s="20" t="n">
        <v>0.8534</v>
      </c>
      <c r="H976" s="20" t="n">
        <v>0.8790020000000001</v>
      </c>
      <c r="I976" s="20" t="n">
        <v>0.8107300000000001</v>
      </c>
      <c r="J976" s="20" t="n"/>
      <c r="K976" s="2" t="n"/>
      <c r="L976" s="5" t="n"/>
      <c r="M976" s="19">
        <f>資金模擬!$B$5*V975</f>
        <v/>
      </c>
      <c r="N976" s="2">
        <f>IF(Z975=1,"已停止",IF(T975&gt;=M976,"已下單","資金不足略過"))</f>
        <v/>
      </c>
      <c r="O976" s="19">
        <f>IF(N976="已下單",M976*資金模擬!$B$7,0)</f>
        <v/>
      </c>
      <c r="P976" s="4" t="n"/>
      <c r="Q976" s="13" t="n">
        <v>0</v>
      </c>
      <c r="R976" s="13">
        <f>R975+Q976</f>
        <v/>
      </c>
      <c r="S976" s="19">
        <f>S975+IF(N976="已下單",M976,0)</f>
        <v/>
      </c>
      <c r="T976" s="19">
        <f>R976-S976</f>
        <v/>
      </c>
      <c r="U976" s="2">
        <f>U975+IF(N976="已下單",1,0)</f>
        <v/>
      </c>
      <c r="V976" s="19">
        <f>IF(資金模擬!$B$9=2,MAX(R976,0),MAX(V975,FLOOR(MAX(R976,0),資金模擬!$B$6)))</f>
        <v/>
      </c>
      <c r="W976" s="13">
        <f>MAX(W975,R976)</f>
        <v/>
      </c>
      <c r="X976" s="4">
        <f>IF(W976&gt;0,R976/W976-1,-1)</f>
        <v/>
      </c>
      <c r="Y976" s="19">
        <f>IF(R976&gt;0,S976*資金模擬!$B$7/R976,0)</f>
        <v/>
      </c>
      <c r="Z976" s="2">
        <f>IF(OR(Z975=1,R976&lt;=資金模擬!$B$10),1,0)</f>
        <v/>
      </c>
    </row>
    <row r="977">
      <c r="A977" s="2" t="n">
        <v>975</v>
      </c>
      <c r="B977" s="7" t="n">
        <v>46291.41666666666</v>
      </c>
      <c r="C977" s="2" t="inlineStr">
        <is>
          <t>進場</t>
        </is>
      </c>
      <c r="D977" s="2" t="n">
        <v>492</v>
      </c>
      <c r="E977" s="2" t="inlineStr">
        <is>
          <t>LYN_USDT_PERP</t>
        </is>
      </c>
      <c r="F977" s="2" t="inlineStr">
        <is>
          <t>做空</t>
        </is>
      </c>
      <c r="G977" s="20" t="n">
        <v>0.04466</v>
      </c>
      <c r="H977" s="20" t="n">
        <v>0.0433202</v>
      </c>
      <c r="I977" s="20" t="n">
        <v>0.046893</v>
      </c>
      <c r="J977" s="20" t="n"/>
      <c r="K977" s="2" t="n"/>
      <c r="L977" s="5" t="n"/>
      <c r="M977" s="19">
        <f>資金模擬!$B$5*V976</f>
        <v/>
      </c>
      <c r="N977" s="2">
        <f>IF(Z976=1,"已停止",IF(T976&gt;=M977,"已下單","資金不足略過"))</f>
        <v/>
      </c>
      <c r="O977" s="19">
        <f>IF(N977="已下單",M977*資金模擬!$B$7,0)</f>
        <v/>
      </c>
      <c r="P977" s="4" t="n"/>
      <c r="Q977" s="13" t="n">
        <v>0</v>
      </c>
      <c r="R977" s="13">
        <f>R976+Q977</f>
        <v/>
      </c>
      <c r="S977" s="19">
        <f>S976+IF(N977="已下單",M977,0)</f>
        <v/>
      </c>
      <c r="T977" s="19">
        <f>R977-S977</f>
        <v/>
      </c>
      <c r="U977" s="2">
        <f>U976+IF(N977="已下單",1,0)</f>
        <v/>
      </c>
      <c r="V977" s="19">
        <f>IF(資金模擬!$B$9=2,MAX(R977,0),MAX(V976,FLOOR(MAX(R977,0),資金模擬!$B$6)))</f>
        <v/>
      </c>
      <c r="W977" s="13">
        <f>MAX(W976,R977)</f>
        <v/>
      </c>
      <c r="X977" s="4">
        <f>IF(W977&gt;0,R977/W977-1,-1)</f>
        <v/>
      </c>
      <c r="Y977" s="19">
        <f>IF(R977&gt;0,S977*資金模擬!$B$7/R977,0)</f>
        <v/>
      </c>
      <c r="Z977" s="2">
        <f>IF(OR(Z976=1,R977&lt;=資金模擬!$B$10),1,0)</f>
        <v/>
      </c>
    </row>
    <row r="978">
      <c r="A978" s="2" t="n">
        <v>976</v>
      </c>
      <c r="B978" s="7" t="n">
        <v>46291.45833333334</v>
      </c>
      <c r="C978" s="2" t="inlineStr">
        <is>
          <t>出場</t>
        </is>
      </c>
      <c r="D978" s="2" t="n">
        <v>481</v>
      </c>
      <c r="E978" s="2" t="inlineStr">
        <is>
          <t>RAY_USDT_PERP</t>
        </is>
      </c>
      <c r="F978" s="2" t="inlineStr">
        <is>
          <t>做空</t>
        </is>
      </c>
      <c r="G978" s="20" t="n">
        <v>2.056</v>
      </c>
      <c r="H978" s="20" t="n">
        <v>1.99432</v>
      </c>
      <c r="I978" s="20" t="n">
        <v>2.1588</v>
      </c>
      <c r="J978" s="20" t="n">
        <v>1.99432</v>
      </c>
      <c r="K978" s="2" t="inlineStr">
        <is>
          <t>止盈</t>
        </is>
      </c>
      <c r="L978" s="5">
        <f>交易明細!K482</f>
        <v/>
      </c>
      <c r="M978" s="19">
        <f>M961</f>
        <v/>
      </c>
      <c r="N978" s="2">
        <f>N961</f>
        <v/>
      </c>
      <c r="O978" s="19">
        <f>O961</f>
        <v/>
      </c>
      <c r="P978" s="4">
        <f>交易明細!L482</f>
        <v/>
      </c>
      <c r="Q978" s="13">
        <f>IF(N978="已下單",O978*P978,0)</f>
        <v/>
      </c>
      <c r="R978" s="13">
        <f>R977+Q978</f>
        <v/>
      </c>
      <c r="S978" s="19">
        <f>S977-IF(N978="已下單",M978,0)</f>
        <v/>
      </c>
      <c r="T978" s="19">
        <f>R978-S978</f>
        <v/>
      </c>
      <c r="U978" s="2">
        <f>U977-IF(N978="已下單",1,0)</f>
        <v/>
      </c>
      <c r="V978" s="19">
        <f>IF(資金模擬!$B$9=2,MAX(R978,0),MAX(V977,FLOOR(MAX(R978,0),資金模擬!$B$6)))</f>
        <v/>
      </c>
      <c r="W978" s="13">
        <f>MAX(W977,R978)</f>
        <v/>
      </c>
      <c r="X978" s="4">
        <f>IF(W978&gt;0,R978/W978-1,-1)</f>
        <v/>
      </c>
      <c r="Y978" s="19">
        <f>IF(R978&gt;0,S978*資金模擬!$B$7/R978,0)</f>
        <v/>
      </c>
      <c r="Z978" s="2">
        <f>IF(OR(Z977=1,R978&lt;=資金模擬!$B$10),1,0)</f>
        <v/>
      </c>
    </row>
    <row r="979">
      <c r="A979" s="2" t="n">
        <v>977</v>
      </c>
      <c r="B979" s="7" t="n">
        <v>46291.45833333334</v>
      </c>
      <c r="C979" s="2" t="inlineStr">
        <is>
          <t>出場</t>
        </is>
      </c>
      <c r="D979" s="2" t="n">
        <v>490</v>
      </c>
      <c r="E979" s="2" t="inlineStr">
        <is>
          <t>PUMP_USDT_PERP</t>
        </is>
      </c>
      <c r="F979" s="2" t="inlineStr">
        <is>
          <t>做多</t>
        </is>
      </c>
      <c r="G979" s="20" t="n">
        <v>0.004187</v>
      </c>
      <c r="H979" s="20" t="n">
        <v>0.00431261</v>
      </c>
      <c r="I979" s="20" t="n">
        <v>0.003977649999999999</v>
      </c>
      <c r="J979" s="20" t="n">
        <v>0.00431261</v>
      </c>
      <c r="K979" s="2" t="inlineStr">
        <is>
          <t>止盈</t>
        </is>
      </c>
      <c r="L979" s="5">
        <f>交易明細!K491</f>
        <v/>
      </c>
      <c r="M979" s="19">
        <f>M973</f>
        <v/>
      </c>
      <c r="N979" s="2">
        <f>N973</f>
        <v/>
      </c>
      <c r="O979" s="19">
        <f>O973</f>
        <v/>
      </c>
      <c r="P979" s="4">
        <f>交易明細!L491</f>
        <v/>
      </c>
      <c r="Q979" s="13">
        <f>IF(N979="已下單",O979*P979,0)</f>
        <v/>
      </c>
      <c r="R979" s="13">
        <f>R978+Q979</f>
        <v/>
      </c>
      <c r="S979" s="19">
        <f>S978-IF(N979="已下單",M979,0)</f>
        <v/>
      </c>
      <c r="T979" s="19">
        <f>R979-S979</f>
        <v/>
      </c>
      <c r="U979" s="2">
        <f>U978-IF(N979="已下單",1,0)</f>
        <v/>
      </c>
      <c r="V979" s="19">
        <f>IF(資金模擬!$B$9=2,MAX(R979,0),MAX(V978,FLOOR(MAX(R979,0),資金模擬!$B$6)))</f>
        <v/>
      </c>
      <c r="W979" s="13">
        <f>MAX(W978,R979)</f>
        <v/>
      </c>
      <c r="X979" s="4">
        <f>IF(W979&gt;0,R979/W979-1,-1)</f>
        <v/>
      </c>
      <c r="Y979" s="19">
        <f>IF(R979&gt;0,S979*資金模擬!$B$7/R979,0)</f>
        <v/>
      </c>
      <c r="Z979" s="2">
        <f>IF(OR(Z978=1,R979&lt;=資金模擬!$B$10),1,0)</f>
        <v/>
      </c>
    </row>
    <row r="980">
      <c r="A980" s="2" t="n">
        <v>978</v>
      </c>
      <c r="B980" s="7" t="n">
        <v>46291.45833333334</v>
      </c>
      <c r="C980" s="2" t="inlineStr">
        <is>
          <t>出場</t>
        </is>
      </c>
      <c r="D980" s="2" t="n">
        <v>491</v>
      </c>
      <c r="E980" s="2" t="inlineStr">
        <is>
          <t>AERO_USDT_PERP</t>
        </is>
      </c>
      <c r="F980" s="2" t="inlineStr">
        <is>
          <t>做多</t>
        </is>
      </c>
      <c r="G980" s="20" t="n">
        <v>0.8534</v>
      </c>
      <c r="H980" s="20" t="n">
        <v>0.8790020000000001</v>
      </c>
      <c r="I980" s="20" t="n">
        <v>0.8107300000000001</v>
      </c>
      <c r="J980" s="20" t="n">
        <v>0.8790020000000001</v>
      </c>
      <c r="K980" s="2" t="inlineStr">
        <is>
          <t>止盈</t>
        </is>
      </c>
      <c r="L980" s="5">
        <f>交易明細!K492</f>
        <v/>
      </c>
      <c r="M980" s="19">
        <f>M976</f>
        <v/>
      </c>
      <c r="N980" s="2">
        <f>N976</f>
        <v/>
      </c>
      <c r="O980" s="19">
        <f>O976</f>
        <v/>
      </c>
      <c r="P980" s="4">
        <f>交易明細!L492</f>
        <v/>
      </c>
      <c r="Q980" s="13">
        <f>IF(N980="已下單",O980*P980,0)</f>
        <v/>
      </c>
      <c r="R980" s="13">
        <f>R979+Q980</f>
        <v/>
      </c>
      <c r="S980" s="19">
        <f>S979-IF(N980="已下單",M980,0)</f>
        <v/>
      </c>
      <c r="T980" s="19">
        <f>R980-S980</f>
        <v/>
      </c>
      <c r="U980" s="2">
        <f>U979-IF(N980="已下單",1,0)</f>
        <v/>
      </c>
      <c r="V980" s="19">
        <f>IF(資金模擬!$B$9=2,MAX(R980,0),MAX(V979,FLOOR(MAX(R980,0),資金模擬!$B$6)))</f>
        <v/>
      </c>
      <c r="W980" s="13">
        <f>MAX(W979,R980)</f>
        <v/>
      </c>
      <c r="X980" s="4">
        <f>IF(W980&gt;0,R980/W980-1,-1)</f>
        <v/>
      </c>
      <c r="Y980" s="19">
        <f>IF(R980&gt;0,S980*資金模擬!$B$7/R980,0)</f>
        <v/>
      </c>
      <c r="Z980" s="2">
        <f>IF(OR(Z979=1,R980&lt;=資金模擬!$B$10),1,0)</f>
        <v/>
      </c>
    </row>
    <row r="981">
      <c r="A981" s="2" t="n">
        <v>979</v>
      </c>
      <c r="B981" s="7" t="n">
        <v>46291.45833333334</v>
      </c>
      <c r="C981" s="2" t="inlineStr">
        <is>
          <t>出場</t>
        </is>
      </c>
      <c r="D981" s="2" t="n">
        <v>492</v>
      </c>
      <c r="E981" s="2" t="inlineStr">
        <is>
          <t>LYN_USDT_PERP</t>
        </is>
      </c>
      <c r="F981" s="2" t="inlineStr">
        <is>
          <t>做空</t>
        </is>
      </c>
      <c r="G981" s="20" t="n">
        <v>0.04466</v>
      </c>
      <c r="H981" s="20" t="n">
        <v>0.0433202</v>
      </c>
      <c r="I981" s="20" t="n">
        <v>0.046893</v>
      </c>
      <c r="J981" s="20" t="n">
        <v>0.0433202</v>
      </c>
      <c r="K981" s="2" t="inlineStr">
        <is>
          <t>止盈</t>
        </is>
      </c>
      <c r="L981" s="5">
        <f>交易明細!K493</f>
        <v/>
      </c>
      <c r="M981" s="19">
        <f>M977</f>
        <v/>
      </c>
      <c r="N981" s="2">
        <f>N977</f>
        <v/>
      </c>
      <c r="O981" s="19">
        <f>O977</f>
        <v/>
      </c>
      <c r="P981" s="4">
        <f>交易明細!L493</f>
        <v/>
      </c>
      <c r="Q981" s="13">
        <f>IF(N981="已下單",O981*P981,0)</f>
        <v/>
      </c>
      <c r="R981" s="13">
        <f>R980+Q981</f>
        <v/>
      </c>
      <c r="S981" s="19">
        <f>S980-IF(N981="已下單",M981,0)</f>
        <v/>
      </c>
      <c r="T981" s="19">
        <f>R981-S981</f>
        <v/>
      </c>
      <c r="U981" s="2">
        <f>U980-IF(N981="已下單",1,0)</f>
        <v/>
      </c>
      <c r="V981" s="19">
        <f>IF(資金模擬!$B$9=2,MAX(R981,0),MAX(V980,FLOOR(MAX(R981,0),資金模擬!$B$6)))</f>
        <v/>
      </c>
      <c r="W981" s="13">
        <f>MAX(W980,R981)</f>
        <v/>
      </c>
      <c r="X981" s="4">
        <f>IF(W981&gt;0,R981/W981-1,-1)</f>
        <v/>
      </c>
      <c r="Y981" s="19">
        <f>IF(R981&gt;0,S981*資金模擬!$B$7/R981,0)</f>
        <v/>
      </c>
      <c r="Z981" s="2">
        <f>IF(OR(Z980=1,R981&lt;=資金模擬!$B$10),1,0)</f>
        <v/>
      </c>
    </row>
    <row r="982">
      <c r="A982" s="2" t="n">
        <v>980</v>
      </c>
      <c r="B982" s="7" t="n">
        <v>46291.5</v>
      </c>
      <c r="C982" s="2" t="inlineStr">
        <is>
          <t>出場</t>
        </is>
      </c>
      <c r="D982" s="2" t="n">
        <v>484</v>
      </c>
      <c r="E982" s="2" t="inlineStr">
        <is>
          <t>QNT_USDT_PERP</t>
        </is>
      </c>
      <c r="F982" s="2" t="inlineStr">
        <is>
          <t>做多</t>
        </is>
      </c>
      <c r="G982" s="20" t="n">
        <v>97.95999999999999</v>
      </c>
      <c r="H982" s="20" t="n">
        <v>100.8988</v>
      </c>
      <c r="I982" s="20" t="n">
        <v>93.06199999999998</v>
      </c>
      <c r="J982" s="20" t="n">
        <v>100.8988</v>
      </c>
      <c r="K982" s="2" t="inlineStr">
        <is>
          <t>止盈</t>
        </is>
      </c>
      <c r="L982" s="5">
        <f>交易明細!K485</f>
        <v/>
      </c>
      <c r="M982" s="19">
        <f>M965</f>
        <v/>
      </c>
      <c r="N982" s="2">
        <f>N965</f>
        <v/>
      </c>
      <c r="O982" s="19">
        <f>O965</f>
        <v/>
      </c>
      <c r="P982" s="4">
        <f>交易明細!L485</f>
        <v/>
      </c>
      <c r="Q982" s="13">
        <f>IF(N982="已下單",O982*P982,0)</f>
        <v/>
      </c>
      <c r="R982" s="13">
        <f>R981+Q982</f>
        <v/>
      </c>
      <c r="S982" s="19">
        <f>S981-IF(N982="已下單",M982,0)</f>
        <v/>
      </c>
      <c r="T982" s="19">
        <f>R982-S982</f>
        <v/>
      </c>
      <c r="U982" s="2">
        <f>U981-IF(N982="已下單",1,0)</f>
        <v/>
      </c>
      <c r="V982" s="19">
        <f>IF(資金模擬!$B$9=2,MAX(R982,0),MAX(V981,FLOOR(MAX(R982,0),資金模擬!$B$6)))</f>
        <v/>
      </c>
      <c r="W982" s="13">
        <f>MAX(W981,R982)</f>
        <v/>
      </c>
      <c r="X982" s="4">
        <f>IF(W982&gt;0,R982/W982-1,-1)</f>
        <v/>
      </c>
      <c r="Y982" s="19">
        <f>IF(R982&gt;0,S982*資金模擬!$B$7/R982,0)</f>
        <v/>
      </c>
      <c r="Z982" s="2">
        <f>IF(OR(Z981=1,R982&lt;=資金模擬!$B$10),1,0)</f>
        <v/>
      </c>
    </row>
    <row r="983">
      <c r="A983" s="2" t="n">
        <v>981</v>
      </c>
      <c r="B983" s="7" t="n">
        <v>46291.54166666666</v>
      </c>
      <c r="C983" s="2" t="inlineStr">
        <is>
          <t>進場</t>
        </is>
      </c>
      <c r="D983" s="2" t="n">
        <v>493</v>
      </c>
      <c r="E983" s="2" t="inlineStr">
        <is>
          <t>FET_USDT_PERP</t>
        </is>
      </c>
      <c r="F983" s="2" t="inlineStr">
        <is>
          <t>做多</t>
        </is>
      </c>
      <c r="G983" s="20" t="n">
        <v>0.2468</v>
      </c>
      <c r="H983" s="20" t="n">
        <v>0.254204</v>
      </c>
      <c r="I983" s="20" t="n">
        <v>0.23446</v>
      </c>
      <c r="J983" s="20" t="n"/>
      <c r="K983" s="2" t="n"/>
      <c r="L983" s="5" t="n"/>
      <c r="M983" s="19">
        <f>資金模擬!$B$5*V982</f>
        <v/>
      </c>
      <c r="N983" s="2">
        <f>IF(Z982=1,"已停止",IF(T982&gt;=M983,"已下單","資金不足略過"))</f>
        <v/>
      </c>
      <c r="O983" s="19">
        <f>IF(N983="已下單",M983*資金模擬!$B$7,0)</f>
        <v/>
      </c>
      <c r="P983" s="4" t="n"/>
      <c r="Q983" s="13" t="n">
        <v>0</v>
      </c>
      <c r="R983" s="13">
        <f>R982+Q983</f>
        <v/>
      </c>
      <c r="S983" s="19">
        <f>S982+IF(N983="已下單",M983,0)</f>
        <v/>
      </c>
      <c r="T983" s="19">
        <f>R983-S983</f>
        <v/>
      </c>
      <c r="U983" s="2">
        <f>U982+IF(N983="已下單",1,0)</f>
        <v/>
      </c>
      <c r="V983" s="19">
        <f>IF(資金模擬!$B$9=2,MAX(R983,0),MAX(V982,FLOOR(MAX(R983,0),資金模擬!$B$6)))</f>
        <v/>
      </c>
      <c r="W983" s="13">
        <f>MAX(W982,R983)</f>
        <v/>
      </c>
      <c r="X983" s="4">
        <f>IF(W983&gt;0,R983/W983-1,-1)</f>
        <v/>
      </c>
      <c r="Y983" s="19">
        <f>IF(R983&gt;0,S983*資金模擬!$B$7/R983,0)</f>
        <v/>
      </c>
      <c r="Z983" s="2">
        <f>IF(OR(Z982=1,R983&lt;=資金模擬!$B$10),1,0)</f>
        <v/>
      </c>
    </row>
    <row r="984">
      <c r="A984" s="2" t="n">
        <v>982</v>
      </c>
      <c r="B984" s="7" t="n">
        <v>46291.58333333334</v>
      </c>
      <c r="C984" s="2" t="inlineStr">
        <is>
          <t>進場</t>
        </is>
      </c>
      <c r="D984" s="2" t="n">
        <v>494</v>
      </c>
      <c r="E984" s="2" t="inlineStr">
        <is>
          <t>QNT_USDT_PERP</t>
        </is>
      </c>
      <c r="F984" s="2" t="inlineStr">
        <is>
          <t>做多</t>
        </is>
      </c>
      <c r="G984" s="20" t="n">
        <v>100.72</v>
      </c>
      <c r="H984" s="20" t="n">
        <v>103.7416</v>
      </c>
      <c r="I984" s="20" t="n">
        <v>95.684</v>
      </c>
      <c r="J984" s="20" t="n"/>
      <c r="K984" s="2" t="n"/>
      <c r="L984" s="5" t="n"/>
      <c r="M984" s="19">
        <f>資金模擬!$B$5*V983</f>
        <v/>
      </c>
      <c r="N984" s="2">
        <f>IF(Z983=1,"已停止",IF(T983&gt;=M984,"已下單","資金不足略過"))</f>
        <v/>
      </c>
      <c r="O984" s="19">
        <f>IF(N984="已下單",M984*資金模擬!$B$7,0)</f>
        <v/>
      </c>
      <c r="P984" s="4" t="n"/>
      <c r="Q984" s="13" t="n">
        <v>0</v>
      </c>
      <c r="R984" s="13">
        <f>R983+Q984</f>
        <v/>
      </c>
      <c r="S984" s="19">
        <f>S983+IF(N984="已下單",M984,0)</f>
        <v/>
      </c>
      <c r="T984" s="19">
        <f>R984-S984</f>
        <v/>
      </c>
      <c r="U984" s="2">
        <f>U983+IF(N984="已下單",1,0)</f>
        <v/>
      </c>
      <c r="V984" s="19">
        <f>IF(資金模擬!$B$9=2,MAX(R984,0),MAX(V983,FLOOR(MAX(R984,0),資金模擬!$B$6)))</f>
        <v/>
      </c>
      <c r="W984" s="13">
        <f>MAX(W983,R984)</f>
        <v/>
      </c>
      <c r="X984" s="4">
        <f>IF(W984&gt;0,R984/W984-1,-1)</f>
        <v/>
      </c>
      <c r="Y984" s="19">
        <f>IF(R984&gt;0,S984*資金模擬!$B$7/R984,0)</f>
        <v/>
      </c>
      <c r="Z984" s="2">
        <f>IF(OR(Z983=1,R984&lt;=資金模擬!$B$10),1,0)</f>
        <v/>
      </c>
    </row>
    <row r="985">
      <c r="A985" s="2" t="n">
        <v>983</v>
      </c>
      <c r="B985" s="7" t="n">
        <v>46291.625</v>
      </c>
      <c r="C985" s="2" t="inlineStr">
        <is>
          <t>出場</t>
        </is>
      </c>
      <c r="D985" s="2" t="n">
        <v>494</v>
      </c>
      <c r="E985" s="2" t="inlineStr">
        <is>
          <t>QNT_USDT_PERP</t>
        </is>
      </c>
      <c r="F985" s="2" t="inlineStr">
        <is>
          <t>做多</t>
        </is>
      </c>
      <c r="G985" s="20" t="n">
        <v>100.72</v>
      </c>
      <c r="H985" s="20" t="n">
        <v>103.7416</v>
      </c>
      <c r="I985" s="20" t="n">
        <v>95.684</v>
      </c>
      <c r="J985" s="20" t="n">
        <v>103.7416</v>
      </c>
      <c r="K985" s="2" t="inlineStr">
        <is>
          <t>止盈</t>
        </is>
      </c>
      <c r="L985" s="5">
        <f>交易明細!K495</f>
        <v/>
      </c>
      <c r="M985" s="19">
        <f>M984</f>
        <v/>
      </c>
      <c r="N985" s="2">
        <f>N984</f>
        <v/>
      </c>
      <c r="O985" s="19">
        <f>O984</f>
        <v/>
      </c>
      <c r="P985" s="4">
        <f>交易明細!L495</f>
        <v/>
      </c>
      <c r="Q985" s="13">
        <f>IF(N985="已下單",O985*P985,0)</f>
        <v/>
      </c>
      <c r="R985" s="13">
        <f>R984+Q985</f>
        <v/>
      </c>
      <c r="S985" s="19">
        <f>S984-IF(N985="已下單",M985,0)</f>
        <v/>
      </c>
      <c r="T985" s="19">
        <f>R985-S985</f>
        <v/>
      </c>
      <c r="U985" s="2">
        <f>U984-IF(N985="已下單",1,0)</f>
        <v/>
      </c>
      <c r="V985" s="19">
        <f>IF(資金模擬!$B$9=2,MAX(R985,0),MAX(V984,FLOOR(MAX(R985,0),資金模擬!$B$6)))</f>
        <v/>
      </c>
      <c r="W985" s="13">
        <f>MAX(W984,R985)</f>
        <v/>
      </c>
      <c r="X985" s="4">
        <f>IF(W985&gt;0,R985/W985-1,-1)</f>
        <v/>
      </c>
      <c r="Y985" s="19">
        <f>IF(R985&gt;0,S985*資金模擬!$B$7/R985,0)</f>
        <v/>
      </c>
      <c r="Z985" s="2">
        <f>IF(OR(Z984=1,R985&lt;=資金模擬!$B$10),1,0)</f>
        <v/>
      </c>
    </row>
    <row r="986">
      <c r="A986" s="2" t="n">
        <v>984</v>
      </c>
      <c r="B986" s="7" t="n">
        <v>46291.625</v>
      </c>
      <c r="C986" s="2" t="inlineStr">
        <is>
          <t>進場</t>
        </is>
      </c>
      <c r="D986" s="2" t="n">
        <v>495</v>
      </c>
      <c r="E986" s="2" t="inlineStr">
        <is>
          <t>MUBARAK_USDT_PERP</t>
        </is>
      </c>
      <c r="F986" s="2" t="inlineStr">
        <is>
          <t>做空</t>
        </is>
      </c>
      <c r="G986" s="20" t="n">
        <v>0.05304</v>
      </c>
      <c r="H986" s="20" t="n">
        <v>0.0514488</v>
      </c>
      <c r="I986" s="20" t="n">
        <v>0.055692</v>
      </c>
      <c r="J986" s="20" t="n"/>
      <c r="K986" s="2" t="n"/>
      <c r="L986" s="5" t="n"/>
      <c r="M986" s="19">
        <f>資金模擬!$B$5*V985</f>
        <v/>
      </c>
      <c r="N986" s="2">
        <f>IF(Z985=1,"已停止",IF(T985&gt;=M986,"已下單","資金不足略過"))</f>
        <v/>
      </c>
      <c r="O986" s="19">
        <f>IF(N986="已下單",M986*資金模擬!$B$7,0)</f>
        <v/>
      </c>
      <c r="P986" s="4" t="n"/>
      <c r="Q986" s="13" t="n">
        <v>0</v>
      </c>
      <c r="R986" s="13">
        <f>R985+Q986</f>
        <v/>
      </c>
      <c r="S986" s="19">
        <f>S985+IF(N986="已下單",M986,0)</f>
        <v/>
      </c>
      <c r="T986" s="19">
        <f>R986-S986</f>
        <v/>
      </c>
      <c r="U986" s="2">
        <f>U985+IF(N986="已下單",1,0)</f>
        <v/>
      </c>
      <c r="V986" s="19">
        <f>IF(資金模擬!$B$9=2,MAX(R986,0),MAX(V985,FLOOR(MAX(R986,0),資金模擬!$B$6)))</f>
        <v/>
      </c>
      <c r="W986" s="13">
        <f>MAX(W985,R986)</f>
        <v/>
      </c>
      <c r="X986" s="4">
        <f>IF(W986&gt;0,R986/W986-1,-1)</f>
        <v/>
      </c>
      <c r="Y986" s="19">
        <f>IF(R986&gt;0,S986*資金模擬!$B$7/R986,0)</f>
        <v/>
      </c>
      <c r="Z986" s="2">
        <f>IF(OR(Z985=1,R986&lt;=資金模擬!$B$10),1,0)</f>
        <v/>
      </c>
    </row>
    <row r="987">
      <c r="A987" s="2" t="n">
        <v>985</v>
      </c>
      <c r="B987" s="7" t="n">
        <v>46291.66666666666</v>
      </c>
      <c r="C987" s="2" t="inlineStr">
        <is>
          <t>進場</t>
        </is>
      </c>
      <c r="D987" s="2" t="n">
        <v>496</v>
      </c>
      <c r="E987" s="2" t="inlineStr">
        <is>
          <t>AKE_USDT_PERP</t>
        </is>
      </c>
      <c r="F987" s="2" t="inlineStr">
        <is>
          <t>做多</t>
        </is>
      </c>
      <c r="G987" s="20" t="n">
        <v>0.0360925</v>
      </c>
      <c r="H987" s="20" t="n">
        <v>0.037175275</v>
      </c>
      <c r="I987" s="20" t="n">
        <v>0.034287875</v>
      </c>
      <c r="J987" s="20" t="n"/>
      <c r="K987" s="2" t="n"/>
      <c r="L987" s="5" t="n"/>
      <c r="M987" s="19">
        <f>資金模擬!$B$5*V986</f>
        <v/>
      </c>
      <c r="N987" s="2">
        <f>IF(Z986=1,"已停止",IF(T986&gt;=M987,"已下單","資金不足略過"))</f>
        <v/>
      </c>
      <c r="O987" s="19">
        <f>IF(N987="已下單",M987*資金模擬!$B$7,0)</f>
        <v/>
      </c>
      <c r="P987" s="4" t="n"/>
      <c r="Q987" s="13" t="n">
        <v>0</v>
      </c>
      <c r="R987" s="13">
        <f>R986+Q987</f>
        <v/>
      </c>
      <c r="S987" s="19">
        <f>S986+IF(N987="已下單",M987,0)</f>
        <v/>
      </c>
      <c r="T987" s="19">
        <f>R987-S987</f>
        <v/>
      </c>
      <c r="U987" s="2">
        <f>U986+IF(N987="已下單",1,0)</f>
        <v/>
      </c>
      <c r="V987" s="19">
        <f>IF(資金模擬!$B$9=2,MAX(R987,0),MAX(V986,FLOOR(MAX(R987,0),資金模擬!$B$6)))</f>
        <v/>
      </c>
      <c r="W987" s="13">
        <f>MAX(W986,R987)</f>
        <v/>
      </c>
      <c r="X987" s="4">
        <f>IF(W987&gt;0,R987/W987-1,-1)</f>
        <v/>
      </c>
      <c r="Y987" s="19">
        <f>IF(R987&gt;0,S987*資金模擬!$B$7/R987,0)</f>
        <v/>
      </c>
      <c r="Z987" s="2">
        <f>IF(OR(Z986=1,R987&lt;=資金模擬!$B$10),1,0)</f>
        <v/>
      </c>
    </row>
    <row r="988">
      <c r="A988" s="2" t="n">
        <v>986</v>
      </c>
      <c r="B988" s="7" t="n">
        <v>46291.66666666666</v>
      </c>
      <c r="C988" s="2" t="inlineStr">
        <is>
          <t>進場</t>
        </is>
      </c>
      <c r="D988" s="2" t="n">
        <v>497</v>
      </c>
      <c r="E988" s="2" t="inlineStr">
        <is>
          <t>ENA_USDT_PERP</t>
        </is>
      </c>
      <c r="F988" s="2" t="inlineStr">
        <is>
          <t>做多</t>
        </is>
      </c>
      <c r="G988" s="20" t="n">
        <v>0.2716</v>
      </c>
      <c r="H988" s="20" t="n">
        <v>0.279748</v>
      </c>
      <c r="I988" s="20" t="n">
        <v>0.25802</v>
      </c>
      <c r="J988" s="20" t="n"/>
      <c r="K988" s="2" t="n"/>
      <c r="L988" s="5" t="n"/>
      <c r="M988" s="19">
        <f>資金模擬!$B$5*V987</f>
        <v/>
      </c>
      <c r="N988" s="2">
        <f>IF(Z987=1,"已停止",IF(T987&gt;=M988,"已下單","資金不足略過"))</f>
        <v/>
      </c>
      <c r="O988" s="19">
        <f>IF(N988="已下單",M988*資金模擬!$B$7,0)</f>
        <v/>
      </c>
      <c r="P988" s="4" t="n"/>
      <c r="Q988" s="13" t="n">
        <v>0</v>
      </c>
      <c r="R988" s="13">
        <f>R987+Q988</f>
        <v/>
      </c>
      <c r="S988" s="19">
        <f>S987+IF(N988="已下單",M988,0)</f>
        <v/>
      </c>
      <c r="T988" s="19">
        <f>R988-S988</f>
        <v/>
      </c>
      <c r="U988" s="2">
        <f>U987+IF(N988="已下單",1,0)</f>
        <v/>
      </c>
      <c r="V988" s="19">
        <f>IF(資金模擬!$B$9=2,MAX(R988,0),MAX(V987,FLOOR(MAX(R988,0),資金模擬!$B$6)))</f>
        <v/>
      </c>
      <c r="W988" s="13">
        <f>MAX(W987,R988)</f>
        <v/>
      </c>
      <c r="X988" s="4">
        <f>IF(W988&gt;0,R988/W988-1,-1)</f>
        <v/>
      </c>
      <c r="Y988" s="19">
        <f>IF(R988&gt;0,S988*資金模擬!$B$7/R988,0)</f>
        <v/>
      </c>
      <c r="Z988" s="2">
        <f>IF(OR(Z987=1,R988&lt;=資金模擬!$B$10),1,0)</f>
        <v/>
      </c>
    </row>
    <row r="989">
      <c r="A989" s="2" t="n">
        <v>987</v>
      </c>
      <c r="B989" s="7" t="n">
        <v>46291.66666666666</v>
      </c>
      <c r="C989" s="2" t="inlineStr">
        <is>
          <t>進場</t>
        </is>
      </c>
      <c r="D989" s="2" t="n">
        <v>498</v>
      </c>
      <c r="E989" s="2" t="inlineStr">
        <is>
          <t>SAGA_USDT_PERP</t>
        </is>
      </c>
      <c r="F989" s="2" t="inlineStr">
        <is>
          <t>做空</t>
        </is>
      </c>
      <c r="G989" s="20" t="n">
        <v>0.03453</v>
      </c>
      <c r="H989" s="20" t="n">
        <v>0.0334941</v>
      </c>
      <c r="I989" s="20" t="n">
        <v>0.0362565</v>
      </c>
      <c r="J989" s="20" t="n"/>
      <c r="K989" s="2" t="n"/>
      <c r="L989" s="5" t="n"/>
      <c r="M989" s="19">
        <f>資金模擬!$B$5*V988</f>
        <v/>
      </c>
      <c r="N989" s="2">
        <f>IF(Z988=1,"已停止",IF(T988&gt;=M989,"已下單","資金不足略過"))</f>
        <v/>
      </c>
      <c r="O989" s="19">
        <f>IF(N989="已下單",M989*資金模擬!$B$7,0)</f>
        <v/>
      </c>
      <c r="P989" s="4" t="n"/>
      <c r="Q989" s="13" t="n">
        <v>0</v>
      </c>
      <c r="R989" s="13">
        <f>R988+Q989</f>
        <v/>
      </c>
      <c r="S989" s="19">
        <f>S988+IF(N989="已下單",M989,0)</f>
        <v/>
      </c>
      <c r="T989" s="19">
        <f>R989-S989</f>
        <v/>
      </c>
      <c r="U989" s="2">
        <f>U988+IF(N989="已下單",1,0)</f>
        <v/>
      </c>
      <c r="V989" s="19">
        <f>IF(資金模擬!$B$9=2,MAX(R989,0),MAX(V988,FLOOR(MAX(R989,0),資金模擬!$B$6)))</f>
        <v/>
      </c>
      <c r="W989" s="13">
        <f>MAX(W988,R989)</f>
        <v/>
      </c>
      <c r="X989" s="4">
        <f>IF(W989&gt;0,R989/W989-1,-1)</f>
        <v/>
      </c>
      <c r="Y989" s="19">
        <f>IF(R989&gt;0,S989*資金模擬!$B$7/R989,0)</f>
        <v/>
      </c>
      <c r="Z989" s="2">
        <f>IF(OR(Z988=1,R989&lt;=資金模擬!$B$10),1,0)</f>
        <v/>
      </c>
    </row>
    <row r="990">
      <c r="A990" s="2" t="n">
        <v>988</v>
      </c>
      <c r="B990" s="7" t="n">
        <v>46291.70833333334</v>
      </c>
      <c r="C990" s="2" t="inlineStr">
        <is>
          <t>出場</t>
        </is>
      </c>
      <c r="D990" s="2" t="n">
        <v>486</v>
      </c>
      <c r="E990" s="2" t="inlineStr">
        <is>
          <t>XPL_USDT_PERP</t>
        </is>
      </c>
      <c r="F990" s="2" t="inlineStr">
        <is>
          <t>做多</t>
        </is>
      </c>
      <c r="G990" s="20" t="n">
        <v>0.1141</v>
      </c>
      <c r="H990" s="20" t="n">
        <v>0.117523</v>
      </c>
      <c r="I990" s="20" t="n">
        <v>0.108395</v>
      </c>
      <c r="J990" s="20" t="n">
        <v>0.117523</v>
      </c>
      <c r="K990" s="2" t="inlineStr">
        <is>
          <t>止盈</t>
        </is>
      </c>
      <c r="L990" s="5">
        <f>交易明細!K487</f>
        <v/>
      </c>
      <c r="M990" s="19">
        <f>M968</f>
        <v/>
      </c>
      <c r="N990" s="2">
        <f>N968</f>
        <v/>
      </c>
      <c r="O990" s="19">
        <f>O968</f>
        <v/>
      </c>
      <c r="P990" s="4">
        <f>交易明細!L487</f>
        <v/>
      </c>
      <c r="Q990" s="13">
        <f>IF(N990="已下單",O990*P990,0)</f>
        <v/>
      </c>
      <c r="R990" s="13">
        <f>R989+Q990</f>
        <v/>
      </c>
      <c r="S990" s="19">
        <f>S989-IF(N990="已下單",M990,0)</f>
        <v/>
      </c>
      <c r="T990" s="19">
        <f>R990-S990</f>
        <v/>
      </c>
      <c r="U990" s="2">
        <f>U989-IF(N990="已下單",1,0)</f>
        <v/>
      </c>
      <c r="V990" s="19">
        <f>IF(資金模擬!$B$9=2,MAX(R990,0),MAX(V989,FLOOR(MAX(R990,0),資金模擬!$B$6)))</f>
        <v/>
      </c>
      <c r="W990" s="13">
        <f>MAX(W989,R990)</f>
        <v/>
      </c>
      <c r="X990" s="4">
        <f>IF(W990&gt;0,R990/W990-1,-1)</f>
        <v/>
      </c>
      <c r="Y990" s="19">
        <f>IF(R990&gt;0,S990*資金模擬!$B$7/R990,0)</f>
        <v/>
      </c>
      <c r="Z990" s="2">
        <f>IF(OR(Z989=1,R990&lt;=資金模擬!$B$10),1,0)</f>
        <v/>
      </c>
    </row>
    <row r="991">
      <c r="A991" s="2" t="n">
        <v>989</v>
      </c>
      <c r="B991" s="7" t="n">
        <v>46291.70833333334</v>
      </c>
      <c r="C991" s="2" t="inlineStr">
        <is>
          <t>出場</t>
        </is>
      </c>
      <c r="D991" s="2" t="n">
        <v>496</v>
      </c>
      <c r="E991" s="2" t="inlineStr">
        <is>
          <t>AKE_USDT_PERP</t>
        </is>
      </c>
      <c r="F991" s="2" t="inlineStr">
        <is>
          <t>做多</t>
        </is>
      </c>
      <c r="G991" s="20" t="n">
        <v>0.0360925</v>
      </c>
      <c r="H991" s="20" t="n">
        <v>0.037175275</v>
      </c>
      <c r="I991" s="20" t="n">
        <v>0.034287875</v>
      </c>
      <c r="J991" s="20" t="n">
        <v>0.034287875</v>
      </c>
      <c r="K991" s="2" t="inlineStr">
        <is>
          <t>止損</t>
        </is>
      </c>
      <c r="L991" s="5">
        <f>交易明細!K497</f>
        <v/>
      </c>
      <c r="M991" s="19">
        <f>M987</f>
        <v/>
      </c>
      <c r="N991" s="2">
        <f>N987</f>
        <v/>
      </c>
      <c r="O991" s="19">
        <f>O987</f>
        <v/>
      </c>
      <c r="P991" s="4">
        <f>交易明細!L497</f>
        <v/>
      </c>
      <c r="Q991" s="13">
        <f>IF(N991="已下單",O991*P991,0)</f>
        <v/>
      </c>
      <c r="R991" s="13">
        <f>R990+Q991</f>
        <v/>
      </c>
      <c r="S991" s="19">
        <f>S990-IF(N991="已下單",M991,0)</f>
        <v/>
      </c>
      <c r="T991" s="19">
        <f>R991-S991</f>
        <v/>
      </c>
      <c r="U991" s="2">
        <f>U990-IF(N991="已下單",1,0)</f>
        <v/>
      </c>
      <c r="V991" s="19">
        <f>IF(資金模擬!$B$9=2,MAX(R991,0),MAX(V990,FLOOR(MAX(R991,0),資金模擬!$B$6)))</f>
        <v/>
      </c>
      <c r="W991" s="13">
        <f>MAX(W990,R991)</f>
        <v/>
      </c>
      <c r="X991" s="4">
        <f>IF(W991&gt;0,R991/W991-1,-1)</f>
        <v/>
      </c>
      <c r="Y991" s="19">
        <f>IF(R991&gt;0,S991*資金模擬!$B$7/R991,0)</f>
        <v/>
      </c>
      <c r="Z991" s="2">
        <f>IF(OR(Z990=1,R991&lt;=資金模擬!$B$10),1,0)</f>
        <v/>
      </c>
    </row>
    <row r="992">
      <c r="A992" s="2" t="n">
        <v>990</v>
      </c>
      <c r="B992" s="7" t="n">
        <v>46291.70833333334</v>
      </c>
      <c r="C992" s="2" t="inlineStr">
        <is>
          <t>出場</t>
        </is>
      </c>
      <c r="D992" s="2" t="n">
        <v>498</v>
      </c>
      <c r="E992" s="2" t="inlineStr">
        <is>
          <t>SAGA_USDT_PERP</t>
        </is>
      </c>
      <c r="F992" s="2" t="inlineStr">
        <is>
          <t>做空</t>
        </is>
      </c>
      <c r="G992" s="20" t="n">
        <v>0.03453</v>
      </c>
      <c r="H992" s="20" t="n">
        <v>0.0334941</v>
      </c>
      <c r="I992" s="20" t="n">
        <v>0.0362565</v>
      </c>
      <c r="J992" s="20" t="n">
        <v>0.0334941</v>
      </c>
      <c r="K992" s="2" t="inlineStr">
        <is>
          <t>止盈</t>
        </is>
      </c>
      <c r="L992" s="5">
        <f>交易明細!K499</f>
        <v/>
      </c>
      <c r="M992" s="19">
        <f>M989</f>
        <v/>
      </c>
      <c r="N992" s="2">
        <f>N989</f>
        <v/>
      </c>
      <c r="O992" s="19">
        <f>O989</f>
        <v/>
      </c>
      <c r="P992" s="4">
        <f>交易明細!L499</f>
        <v/>
      </c>
      <c r="Q992" s="13">
        <f>IF(N992="已下單",O992*P992,0)</f>
        <v/>
      </c>
      <c r="R992" s="13">
        <f>R991+Q992</f>
        <v/>
      </c>
      <c r="S992" s="19">
        <f>S991-IF(N992="已下單",M992,0)</f>
        <v/>
      </c>
      <c r="T992" s="19">
        <f>R992-S992</f>
        <v/>
      </c>
      <c r="U992" s="2">
        <f>U991-IF(N992="已下單",1,0)</f>
        <v/>
      </c>
      <c r="V992" s="19">
        <f>IF(資金模擬!$B$9=2,MAX(R992,0),MAX(V991,FLOOR(MAX(R992,0),資金模擬!$B$6)))</f>
        <v/>
      </c>
      <c r="W992" s="13">
        <f>MAX(W991,R992)</f>
        <v/>
      </c>
      <c r="X992" s="4">
        <f>IF(W992&gt;0,R992/W992-1,-1)</f>
        <v/>
      </c>
      <c r="Y992" s="19">
        <f>IF(R992&gt;0,S992*資金模擬!$B$7/R992,0)</f>
        <v/>
      </c>
      <c r="Z992" s="2">
        <f>IF(OR(Z991=1,R992&lt;=資金模擬!$B$10),1,0)</f>
        <v/>
      </c>
    </row>
    <row r="993">
      <c r="A993" s="2" t="n">
        <v>991</v>
      </c>
      <c r="B993" s="7" t="n">
        <v>46291.70833333334</v>
      </c>
      <c r="C993" s="2" t="inlineStr">
        <is>
          <t>進場</t>
        </is>
      </c>
      <c r="D993" s="2" t="n">
        <v>499</v>
      </c>
      <c r="E993" s="2" t="inlineStr">
        <is>
          <t>AERO_USDT_PERP</t>
        </is>
      </c>
      <c r="F993" s="2" t="inlineStr">
        <is>
          <t>做多</t>
        </is>
      </c>
      <c r="G993" s="20" t="n">
        <v>0.9006999999999999</v>
      </c>
      <c r="H993" s="20" t="n">
        <v>0.927721</v>
      </c>
      <c r="I993" s="20" t="n">
        <v>0.8556649999999999</v>
      </c>
      <c r="J993" s="20" t="n"/>
      <c r="K993" s="2" t="n"/>
      <c r="L993" s="5" t="n"/>
      <c r="M993" s="19">
        <f>資金模擬!$B$5*V992</f>
        <v/>
      </c>
      <c r="N993" s="2">
        <f>IF(Z992=1,"已停止",IF(T992&gt;=M993,"已下單","資金不足略過"))</f>
        <v/>
      </c>
      <c r="O993" s="19">
        <f>IF(N993="已下單",M993*資金模擬!$B$7,0)</f>
        <v/>
      </c>
      <c r="P993" s="4" t="n"/>
      <c r="Q993" s="13" t="n">
        <v>0</v>
      </c>
      <c r="R993" s="13">
        <f>R992+Q993</f>
        <v/>
      </c>
      <c r="S993" s="19">
        <f>S992+IF(N993="已下單",M993,0)</f>
        <v/>
      </c>
      <c r="T993" s="19">
        <f>R993-S993</f>
        <v/>
      </c>
      <c r="U993" s="2">
        <f>U992+IF(N993="已下單",1,0)</f>
        <v/>
      </c>
      <c r="V993" s="19">
        <f>IF(資金模擬!$B$9=2,MAX(R993,0),MAX(V992,FLOOR(MAX(R993,0),資金模擬!$B$6)))</f>
        <v/>
      </c>
      <c r="W993" s="13">
        <f>MAX(W992,R993)</f>
        <v/>
      </c>
      <c r="X993" s="4">
        <f>IF(W993&gt;0,R993/W993-1,-1)</f>
        <v/>
      </c>
      <c r="Y993" s="19">
        <f>IF(R993&gt;0,S993*資金模擬!$B$7/R993,0)</f>
        <v/>
      </c>
      <c r="Z993" s="2">
        <f>IF(OR(Z992=1,R993&lt;=資金模擬!$B$10),1,0)</f>
        <v/>
      </c>
    </row>
    <row r="994">
      <c r="A994" s="2" t="n">
        <v>992</v>
      </c>
      <c r="B994" s="7" t="n">
        <v>46291.70833333334</v>
      </c>
      <c r="C994" s="2" t="inlineStr">
        <is>
          <t>進場</t>
        </is>
      </c>
      <c r="D994" s="2" t="n">
        <v>500</v>
      </c>
      <c r="E994" s="2" t="inlineStr">
        <is>
          <t>USELESS_USDT_PERP</t>
        </is>
      </c>
      <c r="F994" s="2" t="inlineStr">
        <is>
          <t>做空</t>
        </is>
      </c>
      <c r="G994" s="20" t="n">
        <v>0.28291</v>
      </c>
      <c r="H994" s="20" t="n">
        <v>0.2744227</v>
      </c>
      <c r="I994" s="20" t="n">
        <v>0.2970555</v>
      </c>
      <c r="J994" s="20" t="n"/>
      <c r="K994" s="2" t="n"/>
      <c r="L994" s="5" t="n"/>
      <c r="M994" s="19">
        <f>資金模擬!$B$5*V993</f>
        <v/>
      </c>
      <c r="N994" s="2">
        <f>IF(Z993=1,"已停止",IF(T993&gt;=M994,"已下單","資金不足略過"))</f>
        <v/>
      </c>
      <c r="O994" s="19">
        <f>IF(N994="已下單",M994*資金模擬!$B$7,0)</f>
        <v/>
      </c>
      <c r="P994" s="4" t="n"/>
      <c r="Q994" s="13" t="n">
        <v>0</v>
      </c>
      <c r="R994" s="13">
        <f>R993+Q994</f>
        <v/>
      </c>
      <c r="S994" s="19">
        <f>S993+IF(N994="已下單",M994,0)</f>
        <v/>
      </c>
      <c r="T994" s="19">
        <f>R994-S994</f>
        <v/>
      </c>
      <c r="U994" s="2">
        <f>U993+IF(N994="已下單",1,0)</f>
        <v/>
      </c>
      <c r="V994" s="19">
        <f>IF(資金模擬!$B$9=2,MAX(R994,0),MAX(V993,FLOOR(MAX(R994,0),資金模擬!$B$6)))</f>
        <v/>
      </c>
      <c r="W994" s="13">
        <f>MAX(W993,R994)</f>
        <v/>
      </c>
      <c r="X994" s="4">
        <f>IF(W994&gt;0,R994/W994-1,-1)</f>
        <v/>
      </c>
      <c r="Y994" s="19">
        <f>IF(R994&gt;0,S994*資金模擬!$B$7/R994,0)</f>
        <v/>
      </c>
      <c r="Z994" s="2">
        <f>IF(OR(Z993=1,R994&lt;=資金模擬!$B$10),1,0)</f>
        <v/>
      </c>
    </row>
    <row r="995">
      <c r="A995" s="2" t="n">
        <v>993</v>
      </c>
      <c r="B995" s="7" t="n">
        <v>46291.75</v>
      </c>
      <c r="C995" s="2" t="inlineStr">
        <is>
          <t>出場</t>
        </is>
      </c>
      <c r="D995" s="2" t="n">
        <v>488</v>
      </c>
      <c r="E995" s="2" t="inlineStr">
        <is>
          <t>ARB_USDT_PERP</t>
        </is>
      </c>
      <c r="F995" s="2" t="inlineStr">
        <is>
          <t>做多</t>
        </is>
      </c>
      <c r="G995" s="20" t="n">
        <v>0.2287</v>
      </c>
      <c r="H995" s="20" t="n">
        <v>0.235561</v>
      </c>
      <c r="I995" s="20" t="n">
        <v>0.217265</v>
      </c>
      <c r="J995" s="20" t="n">
        <v>0.217265</v>
      </c>
      <c r="K995" s="2" t="inlineStr">
        <is>
          <t>止損</t>
        </is>
      </c>
      <c r="L995" s="5">
        <f>交易明細!K489</f>
        <v/>
      </c>
      <c r="M995" s="19">
        <f>M971</f>
        <v/>
      </c>
      <c r="N995" s="2">
        <f>N971</f>
        <v/>
      </c>
      <c r="O995" s="19">
        <f>O971</f>
        <v/>
      </c>
      <c r="P995" s="4">
        <f>交易明細!L489</f>
        <v/>
      </c>
      <c r="Q995" s="13">
        <f>IF(N995="已下單",O995*P995,0)</f>
        <v/>
      </c>
      <c r="R995" s="13">
        <f>R994+Q995</f>
        <v/>
      </c>
      <c r="S995" s="19">
        <f>S994-IF(N995="已下單",M995,0)</f>
        <v/>
      </c>
      <c r="T995" s="19">
        <f>R995-S995</f>
        <v/>
      </c>
      <c r="U995" s="2">
        <f>U994-IF(N995="已下單",1,0)</f>
        <v/>
      </c>
      <c r="V995" s="19">
        <f>IF(資金模擬!$B$9=2,MAX(R995,0),MAX(V994,FLOOR(MAX(R995,0),資金模擬!$B$6)))</f>
        <v/>
      </c>
      <c r="W995" s="13">
        <f>MAX(W994,R995)</f>
        <v/>
      </c>
      <c r="X995" s="4">
        <f>IF(W995&gt;0,R995/W995-1,-1)</f>
        <v/>
      </c>
      <c r="Y995" s="19">
        <f>IF(R995&gt;0,S995*資金模擬!$B$7/R995,0)</f>
        <v/>
      </c>
      <c r="Z995" s="2">
        <f>IF(OR(Z994=1,R995&lt;=資金模擬!$B$10),1,0)</f>
        <v/>
      </c>
    </row>
    <row r="996">
      <c r="A996" s="2" t="n">
        <v>994</v>
      </c>
      <c r="B996" s="7" t="n">
        <v>46291.75</v>
      </c>
      <c r="C996" s="2" t="inlineStr">
        <is>
          <t>出場</t>
        </is>
      </c>
      <c r="D996" s="2" t="n">
        <v>495</v>
      </c>
      <c r="E996" s="2" t="inlineStr">
        <is>
          <t>MUBARAK_USDT_PERP</t>
        </is>
      </c>
      <c r="F996" s="2" t="inlineStr">
        <is>
          <t>做空</t>
        </is>
      </c>
      <c r="G996" s="20" t="n">
        <v>0.05304</v>
      </c>
      <c r="H996" s="20" t="n">
        <v>0.0514488</v>
      </c>
      <c r="I996" s="20" t="n">
        <v>0.055692</v>
      </c>
      <c r="J996" s="20" t="n">
        <v>0.055692</v>
      </c>
      <c r="K996" s="2" t="inlineStr">
        <is>
          <t>止損</t>
        </is>
      </c>
      <c r="L996" s="5">
        <f>交易明細!K496</f>
        <v/>
      </c>
      <c r="M996" s="19">
        <f>M986</f>
        <v/>
      </c>
      <c r="N996" s="2">
        <f>N986</f>
        <v/>
      </c>
      <c r="O996" s="19">
        <f>O986</f>
        <v/>
      </c>
      <c r="P996" s="4">
        <f>交易明細!L496</f>
        <v/>
      </c>
      <c r="Q996" s="13">
        <f>IF(N996="已下單",O996*P996,0)</f>
        <v/>
      </c>
      <c r="R996" s="13">
        <f>R995+Q996</f>
        <v/>
      </c>
      <c r="S996" s="19">
        <f>S995-IF(N996="已下單",M996,0)</f>
        <v/>
      </c>
      <c r="T996" s="19">
        <f>R996-S996</f>
        <v/>
      </c>
      <c r="U996" s="2">
        <f>U995-IF(N996="已下單",1,0)</f>
        <v/>
      </c>
      <c r="V996" s="19">
        <f>IF(資金模擬!$B$9=2,MAX(R996,0),MAX(V995,FLOOR(MAX(R996,0),資金模擬!$B$6)))</f>
        <v/>
      </c>
      <c r="W996" s="13">
        <f>MAX(W995,R996)</f>
        <v/>
      </c>
      <c r="X996" s="4">
        <f>IF(W996&gt;0,R996/W996-1,-1)</f>
        <v/>
      </c>
      <c r="Y996" s="19">
        <f>IF(R996&gt;0,S996*資金模擬!$B$7/R996,0)</f>
        <v/>
      </c>
      <c r="Z996" s="2">
        <f>IF(OR(Z995=1,R996&lt;=資金模擬!$B$10),1,0)</f>
        <v/>
      </c>
    </row>
    <row r="997">
      <c r="A997" s="2" t="n">
        <v>995</v>
      </c>
      <c r="B997" s="7" t="n">
        <v>46291.75</v>
      </c>
      <c r="C997" s="2" t="inlineStr">
        <is>
          <t>出場</t>
        </is>
      </c>
      <c r="D997" s="2" t="n">
        <v>497</v>
      </c>
      <c r="E997" s="2" t="inlineStr">
        <is>
          <t>ENA_USDT_PERP</t>
        </is>
      </c>
      <c r="F997" s="2" t="inlineStr">
        <is>
          <t>做多</t>
        </is>
      </c>
      <c r="G997" s="20" t="n">
        <v>0.2716</v>
      </c>
      <c r="H997" s="20" t="n">
        <v>0.279748</v>
      </c>
      <c r="I997" s="20" t="n">
        <v>0.25802</v>
      </c>
      <c r="J997" s="20" t="n">
        <v>0.279748</v>
      </c>
      <c r="K997" s="2" t="inlineStr">
        <is>
          <t>止盈</t>
        </is>
      </c>
      <c r="L997" s="5">
        <f>交易明細!K498</f>
        <v/>
      </c>
      <c r="M997" s="19">
        <f>M988</f>
        <v/>
      </c>
      <c r="N997" s="2">
        <f>N988</f>
        <v/>
      </c>
      <c r="O997" s="19">
        <f>O988</f>
        <v/>
      </c>
      <c r="P997" s="4">
        <f>交易明細!L498</f>
        <v/>
      </c>
      <c r="Q997" s="13">
        <f>IF(N997="已下單",O997*P997,0)</f>
        <v/>
      </c>
      <c r="R997" s="13">
        <f>R996+Q997</f>
        <v/>
      </c>
      <c r="S997" s="19">
        <f>S996-IF(N997="已下單",M997,0)</f>
        <v/>
      </c>
      <c r="T997" s="19">
        <f>R997-S997</f>
        <v/>
      </c>
      <c r="U997" s="2">
        <f>U996-IF(N997="已下單",1,0)</f>
        <v/>
      </c>
      <c r="V997" s="19">
        <f>IF(資金模擬!$B$9=2,MAX(R997,0),MAX(V996,FLOOR(MAX(R997,0),資金模擬!$B$6)))</f>
        <v/>
      </c>
      <c r="W997" s="13">
        <f>MAX(W996,R997)</f>
        <v/>
      </c>
      <c r="X997" s="4">
        <f>IF(W997&gt;0,R997/W997-1,-1)</f>
        <v/>
      </c>
      <c r="Y997" s="19">
        <f>IF(R997&gt;0,S997*資金模擬!$B$7/R997,0)</f>
        <v/>
      </c>
      <c r="Z997" s="2">
        <f>IF(OR(Z996=1,R997&lt;=資金模擬!$B$10),1,0)</f>
        <v/>
      </c>
    </row>
    <row r="998">
      <c r="A998" s="2" t="n">
        <v>996</v>
      </c>
      <c r="B998" s="7" t="n">
        <v>46291.75</v>
      </c>
      <c r="C998" s="2" t="inlineStr">
        <is>
          <t>出場</t>
        </is>
      </c>
      <c r="D998" s="2" t="n">
        <v>500</v>
      </c>
      <c r="E998" s="2" t="inlineStr">
        <is>
          <t>USELESS_USDT_PERP</t>
        </is>
      </c>
      <c r="F998" s="2" t="inlineStr">
        <is>
          <t>做空</t>
        </is>
      </c>
      <c r="G998" s="20" t="n">
        <v>0.28291</v>
      </c>
      <c r="H998" s="20" t="n">
        <v>0.2744227</v>
      </c>
      <c r="I998" s="20" t="n">
        <v>0.2970555</v>
      </c>
      <c r="J998" s="20" t="n">
        <v>0.2744227</v>
      </c>
      <c r="K998" s="2" t="inlineStr">
        <is>
          <t>止盈</t>
        </is>
      </c>
      <c r="L998" s="5">
        <f>交易明細!K501</f>
        <v/>
      </c>
      <c r="M998" s="19">
        <f>M994</f>
        <v/>
      </c>
      <c r="N998" s="2">
        <f>N994</f>
        <v/>
      </c>
      <c r="O998" s="19">
        <f>O994</f>
        <v/>
      </c>
      <c r="P998" s="4">
        <f>交易明細!L501</f>
        <v/>
      </c>
      <c r="Q998" s="13">
        <f>IF(N998="已下單",O998*P998,0)</f>
        <v/>
      </c>
      <c r="R998" s="13">
        <f>R997+Q998</f>
        <v/>
      </c>
      <c r="S998" s="19">
        <f>S997-IF(N998="已下單",M998,0)</f>
        <v/>
      </c>
      <c r="T998" s="19">
        <f>R998-S998</f>
        <v/>
      </c>
      <c r="U998" s="2">
        <f>U997-IF(N998="已下單",1,0)</f>
        <v/>
      </c>
      <c r="V998" s="19">
        <f>IF(資金模擬!$B$9=2,MAX(R998,0),MAX(V997,FLOOR(MAX(R998,0),資金模擬!$B$6)))</f>
        <v/>
      </c>
      <c r="W998" s="13">
        <f>MAX(W997,R998)</f>
        <v/>
      </c>
      <c r="X998" s="4">
        <f>IF(W998&gt;0,R998/W998-1,-1)</f>
        <v/>
      </c>
      <c r="Y998" s="19">
        <f>IF(R998&gt;0,S998*資金模擬!$B$7/R998,0)</f>
        <v/>
      </c>
      <c r="Z998" s="2">
        <f>IF(OR(Z997=1,R998&lt;=資金模擬!$B$10),1,0)</f>
        <v/>
      </c>
    </row>
    <row r="999">
      <c r="A999" s="2" t="n">
        <v>997</v>
      </c>
      <c r="B999" s="7" t="n">
        <v>46291.79166666666</v>
      </c>
      <c r="C999" s="2" t="inlineStr">
        <is>
          <t>出場</t>
        </is>
      </c>
      <c r="D999" s="2" t="n">
        <v>482</v>
      </c>
      <c r="E999" s="2" t="inlineStr">
        <is>
          <t>ONDO_USDT_PERP</t>
        </is>
      </c>
      <c r="F999" s="2" t="inlineStr">
        <is>
          <t>做空</t>
        </is>
      </c>
      <c r="G999" s="20" t="n">
        <v>0.5331</v>
      </c>
      <c r="H999" s="20" t="n">
        <v>0.517107</v>
      </c>
      <c r="I999" s="20" t="n">
        <v>0.559755</v>
      </c>
      <c r="J999" s="20" t="n">
        <v>0.559755</v>
      </c>
      <c r="K999" s="2" t="inlineStr">
        <is>
          <t>止損</t>
        </is>
      </c>
      <c r="L999" s="5">
        <f>交易明細!K483</f>
        <v/>
      </c>
      <c r="M999" s="19">
        <f>M963</f>
        <v/>
      </c>
      <c r="N999" s="2">
        <f>N963</f>
        <v/>
      </c>
      <c r="O999" s="19">
        <f>O963</f>
        <v/>
      </c>
      <c r="P999" s="4">
        <f>交易明細!L483</f>
        <v/>
      </c>
      <c r="Q999" s="13">
        <f>IF(N999="已下單",O999*P999,0)</f>
        <v/>
      </c>
      <c r="R999" s="13">
        <f>R998+Q999</f>
        <v/>
      </c>
      <c r="S999" s="19">
        <f>S998-IF(N999="已下單",M999,0)</f>
        <v/>
      </c>
      <c r="T999" s="19">
        <f>R999-S999</f>
        <v/>
      </c>
      <c r="U999" s="2">
        <f>U998-IF(N999="已下單",1,0)</f>
        <v/>
      </c>
      <c r="V999" s="19">
        <f>IF(資金模擬!$B$9=2,MAX(R999,0),MAX(V998,FLOOR(MAX(R999,0),資金模擬!$B$6)))</f>
        <v/>
      </c>
      <c r="W999" s="13">
        <f>MAX(W998,R999)</f>
        <v/>
      </c>
      <c r="X999" s="4">
        <f>IF(W999&gt;0,R999/W999-1,-1)</f>
        <v/>
      </c>
      <c r="Y999" s="19">
        <f>IF(R999&gt;0,S999*資金模擬!$B$7/R999,0)</f>
        <v/>
      </c>
      <c r="Z999" s="2">
        <f>IF(OR(Z998=1,R999&lt;=資金模擬!$B$10),1,0)</f>
        <v/>
      </c>
    </row>
    <row r="1000">
      <c r="A1000" s="2" t="n">
        <v>998</v>
      </c>
      <c r="B1000" s="7" t="n">
        <v>46291.83333333334</v>
      </c>
      <c r="C1000" s="2" t="inlineStr">
        <is>
          <t>出場</t>
        </is>
      </c>
      <c r="D1000" s="2" t="n">
        <v>499</v>
      </c>
      <c r="E1000" s="2" t="inlineStr">
        <is>
          <t>AERO_USDT_PERP</t>
        </is>
      </c>
      <c r="F1000" s="2" t="inlineStr">
        <is>
          <t>做多</t>
        </is>
      </c>
      <c r="G1000" s="20" t="n">
        <v>0.9006999999999999</v>
      </c>
      <c r="H1000" s="20" t="n">
        <v>0.927721</v>
      </c>
      <c r="I1000" s="20" t="n">
        <v>0.8556649999999999</v>
      </c>
      <c r="J1000" s="20" t="n">
        <v>0.927721</v>
      </c>
      <c r="K1000" s="2" t="inlineStr">
        <is>
          <t>止盈</t>
        </is>
      </c>
      <c r="L1000" s="5">
        <f>交易明細!K500</f>
        <v/>
      </c>
      <c r="M1000" s="19">
        <f>M993</f>
        <v/>
      </c>
      <c r="N1000" s="2">
        <f>N993</f>
        <v/>
      </c>
      <c r="O1000" s="19">
        <f>O993</f>
        <v/>
      </c>
      <c r="P1000" s="4">
        <f>交易明細!L500</f>
        <v/>
      </c>
      <c r="Q1000" s="13">
        <f>IF(N1000="已下單",O1000*P1000,0)</f>
        <v/>
      </c>
      <c r="R1000" s="13">
        <f>R999+Q1000</f>
        <v/>
      </c>
      <c r="S1000" s="19">
        <f>S999-IF(N1000="已下單",M1000,0)</f>
        <v/>
      </c>
      <c r="T1000" s="19">
        <f>R1000-S1000</f>
        <v/>
      </c>
      <c r="U1000" s="2">
        <f>U999-IF(N1000="已下單",1,0)</f>
        <v/>
      </c>
      <c r="V1000" s="19">
        <f>IF(資金模擬!$B$9=2,MAX(R1000,0),MAX(V999,FLOOR(MAX(R1000,0),資金模擬!$B$6)))</f>
        <v/>
      </c>
      <c r="W1000" s="13">
        <f>MAX(W999,R1000)</f>
        <v/>
      </c>
      <c r="X1000" s="4">
        <f>IF(W1000&gt;0,R1000/W1000-1,-1)</f>
        <v/>
      </c>
      <c r="Y1000" s="19">
        <f>IF(R1000&gt;0,S1000*資金模擬!$B$7/R1000,0)</f>
        <v/>
      </c>
      <c r="Z1000" s="2">
        <f>IF(OR(Z999=1,R1000&lt;=資金模擬!$B$10),1,0)</f>
        <v/>
      </c>
    </row>
    <row r="1001">
      <c r="A1001" s="2" t="n">
        <v>999</v>
      </c>
      <c r="B1001" s="7" t="n">
        <v>46291.95833333334</v>
      </c>
      <c r="C1001" s="2" t="inlineStr">
        <is>
          <t>進場</t>
        </is>
      </c>
      <c r="D1001" s="2" t="n">
        <v>501</v>
      </c>
      <c r="E1001" s="2" t="inlineStr">
        <is>
          <t>USELESS_USDT_PERP</t>
        </is>
      </c>
      <c r="F1001" s="2" t="inlineStr">
        <is>
          <t>做多</t>
        </is>
      </c>
      <c r="G1001" s="20" t="n">
        <v>0.29344</v>
      </c>
      <c r="H1001" s="20" t="n">
        <v>0.3022432</v>
      </c>
      <c r="I1001" s="20" t="n">
        <v>0.278768</v>
      </c>
      <c r="J1001" s="20" t="n"/>
      <c r="K1001" s="2" t="n"/>
      <c r="L1001" s="5" t="n"/>
      <c r="M1001" s="19">
        <f>資金模擬!$B$5*V1000</f>
        <v/>
      </c>
      <c r="N1001" s="2">
        <f>IF(Z1000=1,"已停止",IF(T1000&gt;=M1001,"已下單","資金不足略過"))</f>
        <v/>
      </c>
      <c r="O1001" s="19">
        <f>IF(N1001="已下單",M1001*資金模擬!$B$7,0)</f>
        <v/>
      </c>
      <c r="P1001" s="4" t="n"/>
      <c r="Q1001" s="13" t="n">
        <v>0</v>
      </c>
      <c r="R1001" s="13">
        <f>R1000+Q1001</f>
        <v/>
      </c>
      <c r="S1001" s="19">
        <f>S1000+IF(N1001="已下單",M1001,0)</f>
        <v/>
      </c>
      <c r="T1001" s="19">
        <f>R1001-S1001</f>
        <v/>
      </c>
      <c r="U1001" s="2">
        <f>U1000+IF(N1001="已下單",1,0)</f>
        <v/>
      </c>
      <c r="V1001" s="19">
        <f>IF(資金模擬!$B$9=2,MAX(R1001,0),MAX(V1000,FLOOR(MAX(R1001,0),資金模擬!$B$6)))</f>
        <v/>
      </c>
      <c r="W1001" s="13">
        <f>MAX(W1000,R1001)</f>
        <v/>
      </c>
      <c r="X1001" s="4">
        <f>IF(W1001&gt;0,R1001/W1001-1,-1)</f>
        <v/>
      </c>
      <c r="Y1001" s="19">
        <f>IF(R1001&gt;0,S1001*資金模擬!$B$7/R1001,0)</f>
        <v/>
      </c>
      <c r="Z1001" s="2">
        <f>IF(OR(Z1000=1,R1001&lt;=資金模擬!$B$10),1,0)</f>
        <v/>
      </c>
    </row>
    <row r="1002">
      <c r="A1002" s="2" t="n">
        <v>1000</v>
      </c>
      <c r="B1002" s="7" t="n">
        <v>46291.95833333334</v>
      </c>
      <c r="C1002" s="2" t="inlineStr">
        <is>
          <t>進場</t>
        </is>
      </c>
      <c r="D1002" s="2" t="n">
        <v>502</v>
      </c>
      <c r="E1002" s="2" t="inlineStr">
        <is>
          <t>WLD_USDT_PERP</t>
        </is>
      </c>
      <c r="F1002" s="2" t="inlineStr">
        <is>
          <t>做多</t>
        </is>
      </c>
      <c r="G1002" s="20" t="n">
        <v>0.5108</v>
      </c>
      <c r="H1002" s="20" t="n">
        <v>0.526124</v>
      </c>
      <c r="I1002" s="20" t="n">
        <v>0.48526</v>
      </c>
      <c r="J1002" s="20" t="n"/>
      <c r="K1002" s="2" t="n"/>
      <c r="L1002" s="5" t="n"/>
      <c r="M1002" s="19">
        <f>資金模擬!$B$5*V1001</f>
        <v/>
      </c>
      <c r="N1002" s="2">
        <f>IF(Z1001=1,"已停止",IF(T1001&gt;=M1002,"已下單","資金不足略過"))</f>
        <v/>
      </c>
      <c r="O1002" s="19">
        <f>IF(N1002="已下單",M1002*資金模擬!$B$7,0)</f>
        <v/>
      </c>
      <c r="P1002" s="4" t="n"/>
      <c r="Q1002" s="13" t="n">
        <v>0</v>
      </c>
      <c r="R1002" s="13">
        <f>R1001+Q1002</f>
        <v/>
      </c>
      <c r="S1002" s="19">
        <f>S1001+IF(N1002="已下單",M1002,0)</f>
        <v/>
      </c>
      <c r="T1002" s="19">
        <f>R1002-S1002</f>
        <v/>
      </c>
      <c r="U1002" s="2">
        <f>U1001+IF(N1002="已下單",1,0)</f>
        <v/>
      </c>
      <c r="V1002" s="19">
        <f>IF(資金模擬!$B$9=2,MAX(R1002,0),MAX(V1001,FLOOR(MAX(R1002,0),資金模擬!$B$6)))</f>
        <v/>
      </c>
      <c r="W1002" s="13">
        <f>MAX(W1001,R1002)</f>
        <v/>
      </c>
      <c r="X1002" s="4">
        <f>IF(W1002&gt;0,R1002/W1002-1,-1)</f>
        <v/>
      </c>
      <c r="Y1002" s="19">
        <f>IF(R1002&gt;0,S1002*資金模擬!$B$7/R1002,0)</f>
        <v/>
      </c>
      <c r="Z1002" s="2">
        <f>IF(OR(Z1001=1,R1002&lt;=資金模擬!$B$10),1,0)</f>
        <v/>
      </c>
    </row>
    <row r="1003">
      <c r="A1003" s="2" t="n">
        <v>1001</v>
      </c>
      <c r="B1003" s="7" t="n">
        <v>46292</v>
      </c>
      <c r="C1003" s="2" t="inlineStr">
        <is>
          <t>出場</t>
        </is>
      </c>
      <c r="D1003" s="2" t="n">
        <v>493</v>
      </c>
      <c r="E1003" s="2" t="inlineStr">
        <is>
          <t>FET_USDT_PERP</t>
        </is>
      </c>
      <c r="F1003" s="2" t="inlineStr">
        <is>
          <t>做多</t>
        </is>
      </c>
      <c r="G1003" s="20" t="n">
        <v>0.2468</v>
      </c>
      <c r="H1003" s="20" t="n">
        <v>0.254204</v>
      </c>
      <c r="I1003" s="20" t="n">
        <v>0.23446</v>
      </c>
      <c r="J1003" s="20" t="n">
        <v>0.254204</v>
      </c>
      <c r="K1003" s="2" t="inlineStr">
        <is>
          <t>止盈</t>
        </is>
      </c>
      <c r="L1003" s="5">
        <f>交易明細!K494</f>
        <v/>
      </c>
      <c r="M1003" s="19">
        <f>M983</f>
        <v/>
      </c>
      <c r="N1003" s="2">
        <f>N983</f>
        <v/>
      </c>
      <c r="O1003" s="19">
        <f>O983</f>
        <v/>
      </c>
      <c r="P1003" s="4">
        <f>交易明細!L494</f>
        <v/>
      </c>
      <c r="Q1003" s="13">
        <f>IF(N1003="已下單",O1003*P1003,0)</f>
        <v/>
      </c>
      <c r="R1003" s="13">
        <f>R1002+Q1003</f>
        <v/>
      </c>
      <c r="S1003" s="19">
        <f>S1002-IF(N1003="已下單",M1003,0)</f>
        <v/>
      </c>
      <c r="T1003" s="19">
        <f>R1003-S1003</f>
        <v/>
      </c>
      <c r="U1003" s="2">
        <f>U1002-IF(N1003="已下單",1,0)</f>
        <v/>
      </c>
      <c r="V1003" s="19">
        <f>IF(資金模擬!$B$9=2,MAX(R1003,0),MAX(V1002,FLOOR(MAX(R1003,0),資金模擬!$B$6)))</f>
        <v/>
      </c>
      <c r="W1003" s="13">
        <f>MAX(W1002,R1003)</f>
        <v/>
      </c>
      <c r="X1003" s="4">
        <f>IF(W1003&gt;0,R1003/W1003-1,-1)</f>
        <v/>
      </c>
      <c r="Y1003" s="19">
        <f>IF(R1003&gt;0,S1003*資金模擬!$B$7/R1003,0)</f>
        <v/>
      </c>
      <c r="Z1003" s="2">
        <f>IF(OR(Z1002=1,R1003&lt;=資金模擬!$B$10),1,0)</f>
        <v/>
      </c>
    </row>
    <row r="1004">
      <c r="A1004" s="2" t="n">
        <v>1002</v>
      </c>
      <c r="B1004" s="7" t="n">
        <v>46292</v>
      </c>
      <c r="C1004" s="2" t="inlineStr">
        <is>
          <t>出場</t>
        </is>
      </c>
      <c r="D1004" s="2" t="n">
        <v>502</v>
      </c>
      <c r="E1004" s="2" t="inlineStr">
        <is>
          <t>WLD_USDT_PERP</t>
        </is>
      </c>
      <c r="F1004" s="2" t="inlineStr">
        <is>
          <t>做多</t>
        </is>
      </c>
      <c r="G1004" s="20" t="n">
        <v>0.5108</v>
      </c>
      <c r="H1004" s="20" t="n">
        <v>0.526124</v>
      </c>
      <c r="I1004" s="20" t="n">
        <v>0.48526</v>
      </c>
      <c r="J1004" s="20" t="n">
        <v>0.526124</v>
      </c>
      <c r="K1004" s="2" t="inlineStr">
        <is>
          <t>止盈</t>
        </is>
      </c>
      <c r="L1004" s="5">
        <f>交易明細!K503</f>
        <v/>
      </c>
      <c r="M1004" s="19">
        <f>M1002</f>
        <v/>
      </c>
      <c r="N1004" s="2">
        <f>N1002</f>
        <v/>
      </c>
      <c r="O1004" s="19">
        <f>O1002</f>
        <v/>
      </c>
      <c r="P1004" s="4">
        <f>交易明細!L503</f>
        <v/>
      </c>
      <c r="Q1004" s="13">
        <f>IF(N1004="已下單",O1004*P1004,0)</f>
        <v/>
      </c>
      <c r="R1004" s="13">
        <f>R1003+Q1004</f>
        <v/>
      </c>
      <c r="S1004" s="19">
        <f>S1003-IF(N1004="已下單",M1004,0)</f>
        <v/>
      </c>
      <c r="T1004" s="19">
        <f>R1004-S1004</f>
        <v/>
      </c>
      <c r="U1004" s="2">
        <f>U1003-IF(N1004="已下單",1,0)</f>
        <v/>
      </c>
      <c r="V1004" s="19">
        <f>IF(資金模擬!$B$9=2,MAX(R1004,0),MAX(V1003,FLOOR(MAX(R1004,0),資金模擬!$B$6)))</f>
        <v/>
      </c>
      <c r="W1004" s="13">
        <f>MAX(W1003,R1004)</f>
        <v/>
      </c>
      <c r="X1004" s="4">
        <f>IF(W1004&gt;0,R1004/W1004-1,-1)</f>
        <v/>
      </c>
      <c r="Y1004" s="19">
        <f>IF(R1004&gt;0,S1004*資金模擬!$B$7/R1004,0)</f>
        <v/>
      </c>
      <c r="Z1004" s="2">
        <f>IF(OR(Z1003=1,R1004&lt;=資金模擬!$B$10),1,0)</f>
        <v/>
      </c>
    </row>
    <row r="1005">
      <c r="A1005" s="2" t="n">
        <v>1003</v>
      </c>
      <c r="B1005" s="7" t="n">
        <v>46292</v>
      </c>
      <c r="C1005" s="2" t="inlineStr">
        <is>
          <t>進場</t>
        </is>
      </c>
      <c r="D1005" s="2" t="n">
        <v>503</v>
      </c>
      <c r="E1005" s="2" t="inlineStr">
        <is>
          <t>AKE_USDT_PERP</t>
        </is>
      </c>
      <c r="F1005" s="2" t="inlineStr">
        <is>
          <t>做多</t>
        </is>
      </c>
      <c r="G1005" s="20" t="n">
        <v>0.0345245</v>
      </c>
      <c r="H1005" s="20" t="n">
        <v>0.035560235</v>
      </c>
      <c r="I1005" s="20" t="n">
        <v>0.03279827499999999</v>
      </c>
      <c r="J1005" s="20" t="n"/>
      <c r="K1005" s="2" t="n"/>
      <c r="L1005" s="5" t="n"/>
      <c r="M1005" s="19">
        <f>資金模擬!$B$5*V1004</f>
        <v/>
      </c>
      <c r="N1005" s="2">
        <f>IF(Z1004=1,"已停止",IF(T1004&gt;=M1005,"已下單","資金不足略過"))</f>
        <v/>
      </c>
      <c r="O1005" s="19">
        <f>IF(N1005="已下單",M1005*資金模擬!$B$7,0)</f>
        <v/>
      </c>
      <c r="P1005" s="4" t="n"/>
      <c r="Q1005" s="13" t="n">
        <v>0</v>
      </c>
      <c r="R1005" s="13">
        <f>R1004+Q1005</f>
        <v/>
      </c>
      <c r="S1005" s="19">
        <f>S1004+IF(N1005="已下單",M1005,0)</f>
        <v/>
      </c>
      <c r="T1005" s="19">
        <f>R1005-S1005</f>
        <v/>
      </c>
      <c r="U1005" s="2">
        <f>U1004+IF(N1005="已下單",1,0)</f>
        <v/>
      </c>
      <c r="V1005" s="19">
        <f>IF(資金模擬!$B$9=2,MAX(R1005,0),MAX(V1004,FLOOR(MAX(R1005,0),資金模擬!$B$6)))</f>
        <v/>
      </c>
      <c r="W1005" s="13">
        <f>MAX(W1004,R1005)</f>
        <v/>
      </c>
      <c r="X1005" s="4">
        <f>IF(W1005&gt;0,R1005/W1005-1,-1)</f>
        <v/>
      </c>
      <c r="Y1005" s="19">
        <f>IF(R1005&gt;0,S1005*資金模擬!$B$7/R1005,0)</f>
        <v/>
      </c>
      <c r="Z1005" s="2">
        <f>IF(OR(Z1004=1,R1005&lt;=資金模擬!$B$10),1,0)</f>
        <v/>
      </c>
    </row>
    <row r="1006">
      <c r="A1006" s="2" t="n">
        <v>1004</v>
      </c>
      <c r="B1006" s="7" t="n">
        <v>46292</v>
      </c>
      <c r="C1006" s="2" t="inlineStr">
        <is>
          <t>進場</t>
        </is>
      </c>
      <c r="D1006" s="2" t="n">
        <v>504</v>
      </c>
      <c r="E1006" s="2" t="inlineStr">
        <is>
          <t>BTW_USDT_PERP</t>
        </is>
      </c>
      <c r="F1006" s="2" t="inlineStr">
        <is>
          <t>做多</t>
        </is>
      </c>
      <c r="G1006" s="20" t="n">
        <v>1.057552</v>
      </c>
      <c r="H1006" s="20" t="n">
        <v>1.08927856</v>
      </c>
      <c r="I1006" s="20" t="n">
        <v>1.0046744</v>
      </c>
      <c r="J1006" s="20" t="n"/>
      <c r="K1006" s="2" t="n"/>
      <c r="L1006" s="5" t="n"/>
      <c r="M1006" s="19">
        <f>資金模擬!$B$5*V1005</f>
        <v/>
      </c>
      <c r="N1006" s="2">
        <f>IF(Z1005=1,"已停止",IF(T1005&gt;=M1006,"已下單","資金不足略過"))</f>
        <v/>
      </c>
      <c r="O1006" s="19">
        <f>IF(N1006="已下單",M1006*資金模擬!$B$7,0)</f>
        <v/>
      </c>
      <c r="P1006" s="4" t="n"/>
      <c r="Q1006" s="13" t="n">
        <v>0</v>
      </c>
      <c r="R1006" s="13">
        <f>R1005+Q1006</f>
        <v/>
      </c>
      <c r="S1006" s="19">
        <f>S1005+IF(N1006="已下單",M1006,0)</f>
        <v/>
      </c>
      <c r="T1006" s="19">
        <f>R1006-S1006</f>
        <v/>
      </c>
      <c r="U1006" s="2">
        <f>U1005+IF(N1006="已下單",1,0)</f>
        <v/>
      </c>
      <c r="V1006" s="19">
        <f>IF(資金模擬!$B$9=2,MAX(R1006,0),MAX(V1005,FLOOR(MAX(R1006,0),資金模擬!$B$6)))</f>
        <v/>
      </c>
      <c r="W1006" s="13">
        <f>MAX(W1005,R1006)</f>
        <v/>
      </c>
      <c r="X1006" s="4">
        <f>IF(W1006&gt;0,R1006/W1006-1,-1)</f>
        <v/>
      </c>
      <c r="Y1006" s="19">
        <f>IF(R1006&gt;0,S1006*資金模擬!$B$7/R1006,0)</f>
        <v/>
      </c>
      <c r="Z1006" s="2">
        <f>IF(OR(Z1005=1,R1006&lt;=資金模擬!$B$10),1,0)</f>
        <v/>
      </c>
    </row>
    <row r="1007">
      <c r="A1007" s="2" t="n">
        <v>1005</v>
      </c>
      <c r="B1007" s="7" t="n">
        <v>46292</v>
      </c>
      <c r="C1007" s="2" t="inlineStr">
        <is>
          <t>進場</t>
        </is>
      </c>
      <c r="D1007" s="2" t="n">
        <v>505</v>
      </c>
      <c r="E1007" s="2" t="inlineStr">
        <is>
          <t>LYN_USDT_PERP</t>
        </is>
      </c>
      <c r="F1007" s="2" t="inlineStr">
        <is>
          <t>做空</t>
        </is>
      </c>
      <c r="G1007" s="20" t="n">
        <v>0.04265</v>
      </c>
      <c r="H1007" s="20" t="n">
        <v>0.0413705</v>
      </c>
      <c r="I1007" s="20" t="n">
        <v>0.0447825</v>
      </c>
      <c r="J1007" s="20" t="n"/>
      <c r="K1007" s="2" t="n"/>
      <c r="L1007" s="5" t="n"/>
      <c r="M1007" s="19">
        <f>資金模擬!$B$5*V1006</f>
        <v/>
      </c>
      <c r="N1007" s="2">
        <f>IF(Z1006=1,"已停止",IF(T1006&gt;=M1007,"已下單","資金不足略過"))</f>
        <v/>
      </c>
      <c r="O1007" s="19">
        <f>IF(N1007="已下單",M1007*資金模擬!$B$7,0)</f>
        <v/>
      </c>
      <c r="P1007" s="4" t="n"/>
      <c r="Q1007" s="13" t="n">
        <v>0</v>
      </c>
      <c r="R1007" s="13">
        <f>R1006+Q1007</f>
        <v/>
      </c>
      <c r="S1007" s="19">
        <f>S1006+IF(N1007="已下單",M1007,0)</f>
        <v/>
      </c>
      <c r="T1007" s="19">
        <f>R1007-S1007</f>
        <v/>
      </c>
      <c r="U1007" s="2">
        <f>U1006+IF(N1007="已下單",1,0)</f>
        <v/>
      </c>
      <c r="V1007" s="19">
        <f>IF(資金模擬!$B$9=2,MAX(R1007,0),MAX(V1006,FLOOR(MAX(R1007,0),資金模擬!$B$6)))</f>
        <v/>
      </c>
      <c r="W1007" s="13">
        <f>MAX(W1006,R1007)</f>
        <v/>
      </c>
      <c r="X1007" s="4">
        <f>IF(W1007&gt;0,R1007/W1007-1,-1)</f>
        <v/>
      </c>
      <c r="Y1007" s="19">
        <f>IF(R1007&gt;0,S1007*資金模擬!$B$7/R1007,0)</f>
        <v/>
      </c>
      <c r="Z1007" s="2">
        <f>IF(OR(Z1006=1,R1007&lt;=資金模擬!$B$10),1,0)</f>
        <v/>
      </c>
    </row>
    <row r="1008">
      <c r="A1008" s="2" t="n">
        <v>1006</v>
      </c>
      <c r="B1008" s="7" t="n">
        <v>46292.04166666666</v>
      </c>
      <c r="C1008" s="2" t="inlineStr">
        <is>
          <t>進場</t>
        </is>
      </c>
      <c r="D1008" s="2" t="n">
        <v>506</v>
      </c>
      <c r="E1008" s="2" t="inlineStr">
        <is>
          <t>PHA_USDT_PERP</t>
        </is>
      </c>
      <c r="F1008" s="2" t="inlineStr">
        <is>
          <t>做空</t>
        </is>
      </c>
      <c r="G1008" s="20" t="n">
        <v>0.07908999999999999</v>
      </c>
      <c r="H1008" s="20" t="n">
        <v>0.07671729999999999</v>
      </c>
      <c r="I1008" s="20" t="n">
        <v>0.08304449999999999</v>
      </c>
      <c r="J1008" s="20" t="n"/>
      <c r="K1008" s="2" t="n"/>
      <c r="L1008" s="5" t="n"/>
      <c r="M1008" s="19">
        <f>資金模擬!$B$5*V1007</f>
        <v/>
      </c>
      <c r="N1008" s="2">
        <f>IF(Z1007=1,"已停止",IF(T1007&gt;=M1008,"已下單","資金不足略過"))</f>
        <v/>
      </c>
      <c r="O1008" s="19">
        <f>IF(N1008="已下單",M1008*資金模擬!$B$7,0)</f>
        <v/>
      </c>
      <c r="P1008" s="4" t="n"/>
      <c r="Q1008" s="13" t="n">
        <v>0</v>
      </c>
      <c r="R1008" s="13">
        <f>R1007+Q1008</f>
        <v/>
      </c>
      <c r="S1008" s="19">
        <f>S1007+IF(N1008="已下單",M1008,0)</f>
        <v/>
      </c>
      <c r="T1008" s="19">
        <f>R1008-S1008</f>
        <v/>
      </c>
      <c r="U1008" s="2">
        <f>U1007+IF(N1008="已下單",1,0)</f>
        <v/>
      </c>
      <c r="V1008" s="19">
        <f>IF(資金模擬!$B$9=2,MAX(R1008,0),MAX(V1007,FLOOR(MAX(R1008,0),資金模擬!$B$6)))</f>
        <v/>
      </c>
      <c r="W1008" s="13">
        <f>MAX(W1007,R1008)</f>
        <v/>
      </c>
      <c r="X1008" s="4">
        <f>IF(W1008&gt;0,R1008/W1008-1,-1)</f>
        <v/>
      </c>
      <c r="Y1008" s="19">
        <f>IF(R1008&gt;0,S1008*資金模擬!$B$7/R1008,0)</f>
        <v/>
      </c>
      <c r="Z1008" s="2">
        <f>IF(OR(Z1007=1,R1008&lt;=資金模擬!$B$10),1,0)</f>
        <v/>
      </c>
    </row>
    <row r="1009">
      <c r="A1009" s="2" t="n">
        <v>1007</v>
      </c>
      <c r="B1009" s="7" t="n">
        <v>46292.08333333334</v>
      </c>
      <c r="C1009" s="2" t="inlineStr">
        <is>
          <t>出場</t>
        </is>
      </c>
      <c r="D1009" s="2" t="n">
        <v>505</v>
      </c>
      <c r="E1009" s="2" t="inlineStr">
        <is>
          <t>LYN_USDT_PERP</t>
        </is>
      </c>
      <c r="F1009" s="2" t="inlineStr">
        <is>
          <t>做空</t>
        </is>
      </c>
      <c r="G1009" s="20" t="n">
        <v>0.04265</v>
      </c>
      <c r="H1009" s="20" t="n">
        <v>0.0413705</v>
      </c>
      <c r="I1009" s="20" t="n">
        <v>0.0447825</v>
      </c>
      <c r="J1009" s="20" t="n">
        <v>0.0413705</v>
      </c>
      <c r="K1009" s="2" t="inlineStr">
        <is>
          <t>止盈</t>
        </is>
      </c>
      <c r="L1009" s="5">
        <f>交易明細!K506</f>
        <v/>
      </c>
      <c r="M1009" s="19">
        <f>M1007</f>
        <v/>
      </c>
      <c r="N1009" s="2">
        <f>N1007</f>
        <v/>
      </c>
      <c r="O1009" s="19">
        <f>O1007</f>
        <v/>
      </c>
      <c r="P1009" s="4">
        <f>交易明細!L506</f>
        <v/>
      </c>
      <c r="Q1009" s="13">
        <f>IF(N1009="已下單",O1009*P1009,0)</f>
        <v/>
      </c>
      <c r="R1009" s="13">
        <f>R1008+Q1009</f>
        <v/>
      </c>
      <c r="S1009" s="19">
        <f>S1008-IF(N1009="已下單",M1009,0)</f>
        <v/>
      </c>
      <c r="T1009" s="19">
        <f>R1009-S1009</f>
        <v/>
      </c>
      <c r="U1009" s="2">
        <f>U1008-IF(N1009="已下單",1,0)</f>
        <v/>
      </c>
      <c r="V1009" s="19">
        <f>IF(資金模擬!$B$9=2,MAX(R1009,0),MAX(V1008,FLOOR(MAX(R1009,0),資金模擬!$B$6)))</f>
        <v/>
      </c>
      <c r="W1009" s="13">
        <f>MAX(W1008,R1009)</f>
        <v/>
      </c>
      <c r="X1009" s="4">
        <f>IF(W1009&gt;0,R1009/W1009-1,-1)</f>
        <v/>
      </c>
      <c r="Y1009" s="19">
        <f>IF(R1009&gt;0,S1009*資金模擬!$B$7/R1009,0)</f>
        <v/>
      </c>
      <c r="Z1009" s="2">
        <f>IF(OR(Z1008=1,R1009&lt;=資金模擬!$B$10),1,0)</f>
        <v/>
      </c>
    </row>
    <row r="1010">
      <c r="A1010" s="2" t="n">
        <v>1008</v>
      </c>
      <c r="B1010" s="7" t="n">
        <v>46292.125</v>
      </c>
      <c r="C1010" s="2" t="inlineStr">
        <is>
          <t>出場</t>
        </is>
      </c>
      <c r="D1010" s="2" t="n">
        <v>506</v>
      </c>
      <c r="E1010" s="2" t="inlineStr">
        <is>
          <t>PHA_USDT_PERP</t>
        </is>
      </c>
      <c r="F1010" s="2" t="inlineStr">
        <is>
          <t>做空</t>
        </is>
      </c>
      <c r="G1010" s="20" t="n">
        <v>0.07908999999999999</v>
      </c>
      <c r="H1010" s="20" t="n">
        <v>0.07671729999999999</v>
      </c>
      <c r="I1010" s="20" t="n">
        <v>0.08304449999999999</v>
      </c>
      <c r="J1010" s="20" t="n">
        <v>0.08304449999999999</v>
      </c>
      <c r="K1010" s="2" t="inlineStr">
        <is>
          <t>止損</t>
        </is>
      </c>
      <c r="L1010" s="5">
        <f>交易明細!K507</f>
        <v/>
      </c>
      <c r="M1010" s="19">
        <f>M1008</f>
        <v/>
      </c>
      <c r="N1010" s="2">
        <f>N1008</f>
        <v/>
      </c>
      <c r="O1010" s="19">
        <f>O1008</f>
        <v/>
      </c>
      <c r="P1010" s="4">
        <f>交易明細!L507</f>
        <v/>
      </c>
      <c r="Q1010" s="13">
        <f>IF(N1010="已下單",O1010*P1010,0)</f>
        <v/>
      </c>
      <c r="R1010" s="13">
        <f>R1009+Q1010</f>
        <v/>
      </c>
      <c r="S1010" s="19">
        <f>S1009-IF(N1010="已下單",M1010,0)</f>
        <v/>
      </c>
      <c r="T1010" s="19">
        <f>R1010-S1010</f>
        <v/>
      </c>
      <c r="U1010" s="2">
        <f>U1009-IF(N1010="已下單",1,0)</f>
        <v/>
      </c>
      <c r="V1010" s="19">
        <f>IF(資金模擬!$B$9=2,MAX(R1010,0),MAX(V1009,FLOOR(MAX(R1010,0),資金模擬!$B$6)))</f>
        <v/>
      </c>
      <c r="W1010" s="13">
        <f>MAX(W1009,R1010)</f>
        <v/>
      </c>
      <c r="X1010" s="4">
        <f>IF(W1010&gt;0,R1010/W1010-1,-1)</f>
        <v/>
      </c>
      <c r="Y1010" s="19">
        <f>IF(R1010&gt;0,S1010*資金模擬!$B$7/R1010,0)</f>
        <v/>
      </c>
      <c r="Z1010" s="2">
        <f>IF(OR(Z1009=1,R1010&lt;=資金模擬!$B$10),1,0)</f>
        <v/>
      </c>
    </row>
    <row r="1011">
      <c r="A1011" s="2" t="n">
        <v>1009</v>
      </c>
      <c r="B1011" s="7" t="n">
        <v>46292.20833333334</v>
      </c>
      <c r="C1011" s="2" t="inlineStr">
        <is>
          <t>出場</t>
        </is>
      </c>
      <c r="D1011" s="2" t="n">
        <v>489</v>
      </c>
      <c r="E1011" s="2" t="inlineStr">
        <is>
          <t>PENGU_USDT_PERP</t>
        </is>
      </c>
      <c r="F1011" s="2" t="inlineStr">
        <is>
          <t>做多</t>
        </is>
      </c>
      <c r="G1011" s="20" t="n">
        <v>0.010271</v>
      </c>
      <c r="H1011" s="20" t="n">
        <v>0.01057913</v>
      </c>
      <c r="I1011" s="20" t="n">
        <v>0.009757450000000001</v>
      </c>
      <c r="J1011" s="20" t="n">
        <v>0.009757450000000001</v>
      </c>
      <c r="K1011" s="2" t="inlineStr">
        <is>
          <t>止損</t>
        </is>
      </c>
      <c r="L1011" s="5">
        <f>交易明細!K490</f>
        <v/>
      </c>
      <c r="M1011" s="19">
        <f>M972</f>
        <v/>
      </c>
      <c r="N1011" s="2">
        <f>N972</f>
        <v/>
      </c>
      <c r="O1011" s="19">
        <f>O972</f>
        <v/>
      </c>
      <c r="P1011" s="4">
        <f>交易明細!L490</f>
        <v/>
      </c>
      <c r="Q1011" s="13">
        <f>IF(N1011="已下單",O1011*P1011,0)</f>
        <v/>
      </c>
      <c r="R1011" s="13">
        <f>R1010+Q1011</f>
        <v/>
      </c>
      <c r="S1011" s="19">
        <f>S1010-IF(N1011="已下單",M1011,0)</f>
        <v/>
      </c>
      <c r="T1011" s="19">
        <f>R1011-S1011</f>
        <v/>
      </c>
      <c r="U1011" s="2">
        <f>U1010-IF(N1011="已下單",1,0)</f>
        <v/>
      </c>
      <c r="V1011" s="19">
        <f>IF(資金模擬!$B$9=2,MAX(R1011,0),MAX(V1010,FLOOR(MAX(R1011,0),資金模擬!$B$6)))</f>
        <v/>
      </c>
      <c r="W1011" s="13">
        <f>MAX(W1010,R1011)</f>
        <v/>
      </c>
      <c r="X1011" s="4">
        <f>IF(W1011&gt;0,R1011/W1011-1,-1)</f>
        <v/>
      </c>
      <c r="Y1011" s="19">
        <f>IF(R1011&gt;0,S1011*資金模擬!$B$7/R1011,0)</f>
        <v/>
      </c>
      <c r="Z1011" s="2">
        <f>IF(OR(Z1010=1,R1011&lt;=資金模擬!$B$10),1,0)</f>
        <v/>
      </c>
    </row>
    <row r="1012">
      <c r="A1012" s="2" t="n">
        <v>1010</v>
      </c>
      <c r="B1012" s="7" t="n">
        <v>46292.20833333334</v>
      </c>
      <c r="C1012" s="2" t="inlineStr">
        <is>
          <t>出場</t>
        </is>
      </c>
      <c r="D1012" s="2" t="n">
        <v>501</v>
      </c>
      <c r="E1012" s="2" t="inlineStr">
        <is>
          <t>USELESS_USDT_PERP</t>
        </is>
      </c>
      <c r="F1012" s="2" t="inlineStr">
        <is>
          <t>做多</t>
        </is>
      </c>
      <c r="G1012" s="20" t="n">
        <v>0.29344</v>
      </c>
      <c r="H1012" s="20" t="n">
        <v>0.3022432</v>
      </c>
      <c r="I1012" s="20" t="n">
        <v>0.278768</v>
      </c>
      <c r="J1012" s="20" t="n">
        <v>0.278768</v>
      </c>
      <c r="K1012" s="2" t="inlineStr">
        <is>
          <t>止損</t>
        </is>
      </c>
      <c r="L1012" s="5">
        <f>交易明細!K502</f>
        <v/>
      </c>
      <c r="M1012" s="19">
        <f>M1001</f>
        <v/>
      </c>
      <c r="N1012" s="2">
        <f>N1001</f>
        <v/>
      </c>
      <c r="O1012" s="19">
        <f>O1001</f>
        <v/>
      </c>
      <c r="P1012" s="4">
        <f>交易明細!L502</f>
        <v/>
      </c>
      <c r="Q1012" s="13">
        <f>IF(N1012="已下單",O1012*P1012,0)</f>
        <v/>
      </c>
      <c r="R1012" s="13">
        <f>R1011+Q1012</f>
        <v/>
      </c>
      <c r="S1012" s="19">
        <f>S1011-IF(N1012="已下單",M1012,0)</f>
        <v/>
      </c>
      <c r="T1012" s="19">
        <f>R1012-S1012</f>
        <v/>
      </c>
      <c r="U1012" s="2">
        <f>U1011-IF(N1012="已下單",1,0)</f>
        <v/>
      </c>
      <c r="V1012" s="19">
        <f>IF(資金模擬!$B$9=2,MAX(R1012,0),MAX(V1011,FLOOR(MAX(R1012,0),資金模擬!$B$6)))</f>
        <v/>
      </c>
      <c r="W1012" s="13">
        <f>MAX(W1011,R1012)</f>
        <v/>
      </c>
      <c r="X1012" s="4">
        <f>IF(W1012&gt;0,R1012/W1012-1,-1)</f>
        <v/>
      </c>
      <c r="Y1012" s="19">
        <f>IF(R1012&gt;0,S1012*資金模擬!$B$7/R1012,0)</f>
        <v/>
      </c>
      <c r="Z1012" s="2">
        <f>IF(OR(Z1011=1,R1012&lt;=資金模擬!$B$10),1,0)</f>
        <v/>
      </c>
    </row>
    <row r="1013">
      <c r="A1013" s="2" t="n">
        <v>1011</v>
      </c>
      <c r="B1013" s="7" t="n">
        <v>46292.25</v>
      </c>
      <c r="C1013" s="2" t="inlineStr">
        <is>
          <t>進場</t>
        </is>
      </c>
      <c r="D1013" s="2" t="n">
        <v>507</v>
      </c>
      <c r="E1013" s="2" t="inlineStr">
        <is>
          <t>NEAR_USDT_PERP</t>
        </is>
      </c>
      <c r="F1013" s="2" t="inlineStr">
        <is>
          <t>做多</t>
        </is>
      </c>
      <c r="G1013" s="20" t="n">
        <v>5.038</v>
      </c>
      <c r="H1013" s="20" t="n">
        <v>5.18914</v>
      </c>
      <c r="I1013" s="20" t="n">
        <v>4.7861</v>
      </c>
      <c r="J1013" s="20" t="n"/>
      <c r="K1013" s="2" t="n"/>
      <c r="L1013" s="5" t="n"/>
      <c r="M1013" s="19">
        <f>資金模擬!$B$5*V1012</f>
        <v/>
      </c>
      <c r="N1013" s="2">
        <f>IF(Z1012=1,"已停止",IF(T1012&gt;=M1013,"已下單","資金不足略過"))</f>
        <v/>
      </c>
      <c r="O1013" s="19">
        <f>IF(N1013="已下單",M1013*資金模擬!$B$7,0)</f>
        <v/>
      </c>
      <c r="P1013" s="4" t="n"/>
      <c r="Q1013" s="13" t="n">
        <v>0</v>
      </c>
      <c r="R1013" s="13">
        <f>R1012+Q1013</f>
        <v/>
      </c>
      <c r="S1013" s="19">
        <f>S1012+IF(N1013="已下單",M1013,0)</f>
        <v/>
      </c>
      <c r="T1013" s="19">
        <f>R1013-S1013</f>
        <v/>
      </c>
      <c r="U1013" s="2">
        <f>U1012+IF(N1013="已下單",1,0)</f>
        <v/>
      </c>
      <c r="V1013" s="19">
        <f>IF(資金模擬!$B$9=2,MAX(R1013,0),MAX(V1012,FLOOR(MAX(R1013,0),資金模擬!$B$6)))</f>
        <v/>
      </c>
      <c r="W1013" s="13">
        <f>MAX(W1012,R1013)</f>
        <v/>
      </c>
      <c r="X1013" s="4">
        <f>IF(W1013&gt;0,R1013/W1013-1,-1)</f>
        <v/>
      </c>
      <c r="Y1013" s="19">
        <f>IF(R1013&gt;0,S1013*資金模擬!$B$7/R1013,0)</f>
        <v/>
      </c>
      <c r="Z1013" s="2">
        <f>IF(OR(Z1012=1,R1013&lt;=資金模擬!$B$10),1,0)</f>
        <v/>
      </c>
    </row>
    <row r="1014">
      <c r="A1014" s="2" t="n">
        <v>1012</v>
      </c>
      <c r="B1014" s="7" t="n">
        <v>46292.25</v>
      </c>
      <c r="C1014" s="2" t="inlineStr">
        <is>
          <t>進場</t>
        </is>
      </c>
      <c r="D1014" s="2" t="n">
        <v>508</v>
      </c>
      <c r="E1014" s="2" t="inlineStr">
        <is>
          <t>USELESS_USDT_PERP</t>
        </is>
      </c>
      <c r="F1014" s="2" t="inlineStr">
        <is>
          <t>做多</t>
        </is>
      </c>
      <c r="G1014" s="20" t="n">
        <v>0.2916</v>
      </c>
      <c r="H1014" s="20" t="n">
        <v>0.3003480000000001</v>
      </c>
      <c r="I1014" s="20" t="n">
        <v>0.27702</v>
      </c>
      <c r="J1014" s="20" t="n"/>
      <c r="K1014" s="2" t="n"/>
      <c r="L1014" s="5" t="n"/>
      <c r="M1014" s="19">
        <f>資金模擬!$B$5*V1013</f>
        <v/>
      </c>
      <c r="N1014" s="2">
        <f>IF(Z1013=1,"已停止",IF(T1013&gt;=M1014,"已下單","資金不足略過"))</f>
        <v/>
      </c>
      <c r="O1014" s="19">
        <f>IF(N1014="已下單",M1014*資金模擬!$B$7,0)</f>
        <v/>
      </c>
      <c r="P1014" s="4" t="n"/>
      <c r="Q1014" s="13" t="n">
        <v>0</v>
      </c>
      <c r="R1014" s="13">
        <f>R1013+Q1014</f>
        <v/>
      </c>
      <c r="S1014" s="19">
        <f>S1013+IF(N1014="已下單",M1014,0)</f>
        <v/>
      </c>
      <c r="T1014" s="19">
        <f>R1014-S1014</f>
        <v/>
      </c>
      <c r="U1014" s="2">
        <f>U1013+IF(N1014="已下單",1,0)</f>
        <v/>
      </c>
      <c r="V1014" s="19">
        <f>IF(資金模擬!$B$9=2,MAX(R1014,0),MAX(V1013,FLOOR(MAX(R1014,0),資金模擬!$B$6)))</f>
        <v/>
      </c>
      <c r="W1014" s="13">
        <f>MAX(W1013,R1014)</f>
        <v/>
      </c>
      <c r="X1014" s="4">
        <f>IF(W1014&gt;0,R1014/W1014-1,-1)</f>
        <v/>
      </c>
      <c r="Y1014" s="19">
        <f>IF(R1014&gt;0,S1014*資金模擬!$B$7/R1014,0)</f>
        <v/>
      </c>
      <c r="Z1014" s="2">
        <f>IF(OR(Z1013=1,R1014&lt;=資金模擬!$B$10),1,0)</f>
        <v/>
      </c>
    </row>
    <row r="1015">
      <c r="A1015" s="2" t="n">
        <v>1013</v>
      </c>
      <c r="B1015" s="7" t="n">
        <v>46292.29166666666</v>
      </c>
      <c r="C1015" s="2" t="inlineStr">
        <is>
          <t>出場</t>
        </is>
      </c>
      <c r="D1015" s="2" t="n">
        <v>503</v>
      </c>
      <c r="E1015" s="2" t="inlineStr">
        <is>
          <t>AKE_USDT_PERP</t>
        </is>
      </c>
      <c r="F1015" s="2" t="inlineStr">
        <is>
          <t>做多</t>
        </is>
      </c>
      <c r="G1015" s="20" t="n">
        <v>0.0345245</v>
      </c>
      <c r="H1015" s="20" t="n">
        <v>0.035560235</v>
      </c>
      <c r="I1015" s="20" t="n">
        <v>0.03279827499999999</v>
      </c>
      <c r="J1015" s="20" t="n">
        <v>0.03279827499999999</v>
      </c>
      <c r="K1015" s="2" t="inlineStr">
        <is>
          <t>止損</t>
        </is>
      </c>
      <c r="L1015" s="5">
        <f>交易明細!K504</f>
        <v/>
      </c>
      <c r="M1015" s="19">
        <f>M1005</f>
        <v/>
      </c>
      <c r="N1015" s="2">
        <f>N1005</f>
        <v/>
      </c>
      <c r="O1015" s="19">
        <f>O1005</f>
        <v/>
      </c>
      <c r="P1015" s="4">
        <f>交易明細!L504</f>
        <v/>
      </c>
      <c r="Q1015" s="13">
        <f>IF(N1015="已下單",O1015*P1015,0)</f>
        <v/>
      </c>
      <c r="R1015" s="13">
        <f>R1014+Q1015</f>
        <v/>
      </c>
      <c r="S1015" s="19">
        <f>S1014-IF(N1015="已下單",M1015,0)</f>
        <v/>
      </c>
      <c r="T1015" s="19">
        <f>R1015-S1015</f>
        <v/>
      </c>
      <c r="U1015" s="2">
        <f>U1014-IF(N1015="已下單",1,0)</f>
        <v/>
      </c>
      <c r="V1015" s="19">
        <f>IF(資金模擬!$B$9=2,MAX(R1015,0),MAX(V1014,FLOOR(MAX(R1015,0),資金模擬!$B$6)))</f>
        <v/>
      </c>
      <c r="W1015" s="13">
        <f>MAX(W1014,R1015)</f>
        <v/>
      </c>
      <c r="X1015" s="4">
        <f>IF(W1015&gt;0,R1015/W1015-1,-1)</f>
        <v/>
      </c>
      <c r="Y1015" s="19">
        <f>IF(R1015&gt;0,S1015*資金模擬!$B$7/R1015,0)</f>
        <v/>
      </c>
      <c r="Z1015" s="2">
        <f>IF(OR(Z1014=1,R1015&lt;=資金模擬!$B$10),1,0)</f>
        <v/>
      </c>
    </row>
    <row r="1016">
      <c r="A1016" s="2" t="n">
        <v>1014</v>
      </c>
      <c r="B1016" s="7" t="n">
        <v>46292.33333333334</v>
      </c>
      <c r="C1016" s="2" t="inlineStr">
        <is>
          <t>出場</t>
        </is>
      </c>
      <c r="D1016" s="2" t="n">
        <v>504</v>
      </c>
      <c r="E1016" s="2" t="inlineStr">
        <is>
          <t>BTW_USDT_PERP</t>
        </is>
      </c>
      <c r="F1016" s="2" t="inlineStr">
        <is>
          <t>做多</t>
        </is>
      </c>
      <c r="G1016" s="20" t="n">
        <v>1.057552</v>
      </c>
      <c r="H1016" s="20" t="n">
        <v>1.08927856</v>
      </c>
      <c r="I1016" s="20" t="n">
        <v>1.0046744</v>
      </c>
      <c r="J1016" s="20" t="n">
        <v>1.0046744</v>
      </c>
      <c r="K1016" s="2" t="inlineStr">
        <is>
          <t>止損</t>
        </is>
      </c>
      <c r="L1016" s="5">
        <f>交易明細!K505</f>
        <v/>
      </c>
      <c r="M1016" s="19">
        <f>M1006</f>
        <v/>
      </c>
      <c r="N1016" s="2">
        <f>N1006</f>
        <v/>
      </c>
      <c r="O1016" s="19">
        <f>O1006</f>
        <v/>
      </c>
      <c r="P1016" s="4">
        <f>交易明細!L505</f>
        <v/>
      </c>
      <c r="Q1016" s="13">
        <f>IF(N1016="已下單",O1016*P1016,0)</f>
        <v/>
      </c>
      <c r="R1016" s="13">
        <f>R1015+Q1016</f>
        <v/>
      </c>
      <c r="S1016" s="19">
        <f>S1015-IF(N1016="已下單",M1016,0)</f>
        <v/>
      </c>
      <c r="T1016" s="19">
        <f>R1016-S1016</f>
        <v/>
      </c>
      <c r="U1016" s="2">
        <f>U1015-IF(N1016="已下單",1,0)</f>
        <v/>
      </c>
      <c r="V1016" s="19">
        <f>IF(資金模擬!$B$9=2,MAX(R1016,0),MAX(V1015,FLOOR(MAX(R1016,0),資金模擬!$B$6)))</f>
        <v/>
      </c>
      <c r="W1016" s="13">
        <f>MAX(W1015,R1016)</f>
        <v/>
      </c>
      <c r="X1016" s="4">
        <f>IF(W1016&gt;0,R1016/W1016-1,-1)</f>
        <v/>
      </c>
      <c r="Y1016" s="19">
        <f>IF(R1016&gt;0,S1016*資金模擬!$B$7/R1016,0)</f>
        <v/>
      </c>
      <c r="Z1016" s="2">
        <f>IF(OR(Z1015=1,R1016&lt;=資金模擬!$B$10),1,0)</f>
        <v/>
      </c>
    </row>
    <row r="1017">
      <c r="A1017" s="2" t="n">
        <v>1015</v>
      </c>
      <c r="B1017" s="7" t="n">
        <v>46292.375</v>
      </c>
      <c r="C1017" s="2" t="inlineStr">
        <is>
          <t>進場</t>
        </is>
      </c>
      <c r="D1017" s="2" t="n">
        <v>509</v>
      </c>
      <c r="E1017" s="2" t="inlineStr">
        <is>
          <t>2Z_USDT_PERP</t>
        </is>
      </c>
      <c r="F1017" s="2" t="inlineStr">
        <is>
          <t>做空</t>
        </is>
      </c>
      <c r="G1017" s="20" t="n">
        <v>0.06859999999999999</v>
      </c>
      <c r="H1017" s="20" t="n">
        <v>0.06654199999999999</v>
      </c>
      <c r="I1017" s="20" t="n">
        <v>0.07203</v>
      </c>
      <c r="J1017" s="20" t="n"/>
      <c r="K1017" s="2" t="n"/>
      <c r="L1017" s="5" t="n"/>
      <c r="M1017" s="19">
        <f>資金模擬!$B$5*V1016</f>
        <v/>
      </c>
      <c r="N1017" s="2">
        <f>IF(Z1016=1,"已停止",IF(T1016&gt;=M1017,"已下單","資金不足略過"))</f>
        <v/>
      </c>
      <c r="O1017" s="19">
        <f>IF(N1017="已下單",M1017*資金模擬!$B$7,0)</f>
        <v/>
      </c>
      <c r="P1017" s="4" t="n"/>
      <c r="Q1017" s="13" t="n">
        <v>0</v>
      </c>
      <c r="R1017" s="13">
        <f>R1016+Q1017</f>
        <v/>
      </c>
      <c r="S1017" s="19">
        <f>S1016+IF(N1017="已下單",M1017,0)</f>
        <v/>
      </c>
      <c r="T1017" s="19">
        <f>R1017-S1017</f>
        <v/>
      </c>
      <c r="U1017" s="2">
        <f>U1016+IF(N1017="已下單",1,0)</f>
        <v/>
      </c>
      <c r="V1017" s="19">
        <f>IF(資金模擬!$B$9=2,MAX(R1017,0),MAX(V1016,FLOOR(MAX(R1017,0),資金模擬!$B$6)))</f>
        <v/>
      </c>
      <c r="W1017" s="13">
        <f>MAX(W1016,R1017)</f>
        <v/>
      </c>
      <c r="X1017" s="4">
        <f>IF(W1017&gt;0,R1017/W1017-1,-1)</f>
        <v/>
      </c>
      <c r="Y1017" s="19">
        <f>IF(R1017&gt;0,S1017*資金模擬!$B$7/R1017,0)</f>
        <v/>
      </c>
      <c r="Z1017" s="2">
        <f>IF(OR(Z1016=1,R1017&lt;=資金模擬!$B$10),1,0)</f>
        <v/>
      </c>
    </row>
    <row r="1018">
      <c r="A1018" s="2" t="n">
        <v>1016</v>
      </c>
      <c r="B1018" s="7" t="n">
        <v>46292.375</v>
      </c>
      <c r="C1018" s="2" t="inlineStr">
        <is>
          <t>進場</t>
        </is>
      </c>
      <c r="D1018" s="2" t="n">
        <v>510</v>
      </c>
      <c r="E1018" s="2" t="inlineStr">
        <is>
          <t>PHA_USDT_PERP</t>
        </is>
      </c>
      <c r="F1018" s="2" t="inlineStr">
        <is>
          <t>做空</t>
        </is>
      </c>
      <c r="G1018" s="20" t="n">
        <v>0.08004</v>
      </c>
      <c r="H1018" s="20" t="n">
        <v>0.07763879999999999</v>
      </c>
      <c r="I1018" s="20" t="n">
        <v>0.08404200000000001</v>
      </c>
      <c r="J1018" s="20" t="n"/>
      <c r="K1018" s="2" t="n"/>
      <c r="L1018" s="5" t="n"/>
      <c r="M1018" s="19">
        <f>資金模擬!$B$5*V1017</f>
        <v/>
      </c>
      <c r="N1018" s="2">
        <f>IF(Z1017=1,"已停止",IF(T1017&gt;=M1018,"已下單","資金不足略過"))</f>
        <v/>
      </c>
      <c r="O1018" s="19">
        <f>IF(N1018="已下單",M1018*資金模擬!$B$7,0)</f>
        <v/>
      </c>
      <c r="P1018" s="4" t="n"/>
      <c r="Q1018" s="13" t="n">
        <v>0</v>
      </c>
      <c r="R1018" s="13">
        <f>R1017+Q1018</f>
        <v/>
      </c>
      <c r="S1018" s="19">
        <f>S1017+IF(N1018="已下單",M1018,0)</f>
        <v/>
      </c>
      <c r="T1018" s="19">
        <f>R1018-S1018</f>
        <v/>
      </c>
      <c r="U1018" s="2">
        <f>U1017+IF(N1018="已下單",1,0)</f>
        <v/>
      </c>
      <c r="V1018" s="19">
        <f>IF(資金模擬!$B$9=2,MAX(R1018,0),MAX(V1017,FLOOR(MAX(R1018,0),資金模擬!$B$6)))</f>
        <v/>
      </c>
      <c r="W1018" s="13">
        <f>MAX(W1017,R1018)</f>
        <v/>
      </c>
      <c r="X1018" s="4">
        <f>IF(W1018&gt;0,R1018/W1018-1,-1)</f>
        <v/>
      </c>
      <c r="Y1018" s="19">
        <f>IF(R1018&gt;0,S1018*資金模擬!$B$7/R1018,0)</f>
        <v/>
      </c>
      <c r="Z1018" s="2">
        <f>IF(OR(Z1017=1,R1018&lt;=資金模擬!$B$10),1,0)</f>
        <v/>
      </c>
    </row>
    <row r="1019">
      <c r="A1019" s="2" t="n">
        <v>1017</v>
      </c>
      <c r="B1019" s="7" t="n">
        <v>46292.41666666666</v>
      </c>
      <c r="C1019" s="2" t="inlineStr">
        <is>
          <t>進場</t>
        </is>
      </c>
      <c r="D1019" s="2" t="n">
        <v>511</v>
      </c>
      <c r="E1019" s="2" t="inlineStr">
        <is>
          <t>AKE_USDT_PERP</t>
        </is>
      </c>
      <c r="F1019" s="2" t="inlineStr">
        <is>
          <t>做多</t>
        </is>
      </c>
      <c r="G1019" s="20" t="n">
        <v>0.0342425</v>
      </c>
      <c r="H1019" s="20" t="n">
        <v>0.035269775</v>
      </c>
      <c r="I1019" s="20" t="n">
        <v>0.032530375</v>
      </c>
      <c r="J1019" s="20" t="n"/>
      <c r="K1019" s="2" t="n"/>
      <c r="L1019" s="5" t="n"/>
      <c r="M1019" s="19">
        <f>資金模擬!$B$5*V1018</f>
        <v/>
      </c>
      <c r="N1019" s="2">
        <f>IF(Z1018=1,"已停止",IF(T1018&gt;=M1019,"已下單","資金不足略過"))</f>
        <v/>
      </c>
      <c r="O1019" s="19">
        <f>IF(N1019="已下單",M1019*資金模擬!$B$7,0)</f>
        <v/>
      </c>
      <c r="P1019" s="4" t="n"/>
      <c r="Q1019" s="13" t="n">
        <v>0</v>
      </c>
      <c r="R1019" s="13">
        <f>R1018+Q1019</f>
        <v/>
      </c>
      <c r="S1019" s="19">
        <f>S1018+IF(N1019="已下單",M1019,0)</f>
        <v/>
      </c>
      <c r="T1019" s="19">
        <f>R1019-S1019</f>
        <v/>
      </c>
      <c r="U1019" s="2">
        <f>U1018+IF(N1019="已下單",1,0)</f>
        <v/>
      </c>
      <c r="V1019" s="19">
        <f>IF(資金模擬!$B$9=2,MAX(R1019,0),MAX(V1018,FLOOR(MAX(R1019,0),資金模擬!$B$6)))</f>
        <v/>
      </c>
      <c r="W1019" s="13">
        <f>MAX(W1018,R1019)</f>
        <v/>
      </c>
      <c r="X1019" s="4">
        <f>IF(W1019&gt;0,R1019/W1019-1,-1)</f>
        <v/>
      </c>
      <c r="Y1019" s="19">
        <f>IF(R1019&gt;0,S1019*資金模擬!$B$7/R1019,0)</f>
        <v/>
      </c>
      <c r="Z1019" s="2">
        <f>IF(OR(Z1018=1,R1019&lt;=資金模擬!$B$10),1,0)</f>
        <v/>
      </c>
    </row>
    <row r="1020">
      <c r="A1020" s="2" t="n">
        <v>1018</v>
      </c>
      <c r="B1020" s="7" t="n">
        <v>46292.45833333334</v>
      </c>
      <c r="C1020" s="2" t="inlineStr">
        <is>
          <t>出場</t>
        </is>
      </c>
      <c r="D1020" s="2" t="n">
        <v>510</v>
      </c>
      <c r="E1020" s="2" t="inlineStr">
        <is>
          <t>PHA_USDT_PERP</t>
        </is>
      </c>
      <c r="F1020" s="2" t="inlineStr">
        <is>
          <t>做空</t>
        </is>
      </c>
      <c r="G1020" s="20" t="n">
        <v>0.08004</v>
      </c>
      <c r="H1020" s="20" t="n">
        <v>0.07763879999999999</v>
      </c>
      <c r="I1020" s="20" t="n">
        <v>0.08404200000000001</v>
      </c>
      <c r="J1020" s="20" t="n">
        <v>0.07763879999999999</v>
      </c>
      <c r="K1020" s="2" t="inlineStr">
        <is>
          <t>止盈</t>
        </is>
      </c>
      <c r="L1020" s="5">
        <f>交易明細!K511</f>
        <v/>
      </c>
      <c r="M1020" s="19">
        <f>M1018</f>
        <v/>
      </c>
      <c r="N1020" s="2">
        <f>N1018</f>
        <v/>
      </c>
      <c r="O1020" s="19">
        <f>O1018</f>
        <v/>
      </c>
      <c r="P1020" s="4">
        <f>交易明細!L511</f>
        <v/>
      </c>
      <c r="Q1020" s="13">
        <f>IF(N1020="已下單",O1020*P1020,0)</f>
        <v/>
      </c>
      <c r="R1020" s="13">
        <f>R1019+Q1020</f>
        <v/>
      </c>
      <c r="S1020" s="19">
        <f>S1019-IF(N1020="已下單",M1020,0)</f>
        <v/>
      </c>
      <c r="T1020" s="19">
        <f>R1020-S1020</f>
        <v/>
      </c>
      <c r="U1020" s="2">
        <f>U1019-IF(N1020="已下單",1,0)</f>
        <v/>
      </c>
      <c r="V1020" s="19">
        <f>IF(資金模擬!$B$9=2,MAX(R1020,0),MAX(V1019,FLOOR(MAX(R1020,0),資金模擬!$B$6)))</f>
        <v/>
      </c>
      <c r="W1020" s="13">
        <f>MAX(W1019,R1020)</f>
        <v/>
      </c>
      <c r="X1020" s="4">
        <f>IF(W1020&gt;0,R1020/W1020-1,-1)</f>
        <v/>
      </c>
      <c r="Y1020" s="19">
        <f>IF(R1020&gt;0,S1020*資金模擬!$B$7/R1020,0)</f>
        <v/>
      </c>
      <c r="Z1020" s="2">
        <f>IF(OR(Z1019=1,R1020&lt;=資金模擬!$B$10),1,0)</f>
        <v/>
      </c>
    </row>
    <row r="1021">
      <c r="A1021" s="2" t="n">
        <v>1019</v>
      </c>
      <c r="B1021" s="7" t="n">
        <v>46292.54166666666</v>
      </c>
      <c r="C1021" s="2" t="inlineStr">
        <is>
          <t>出場</t>
        </is>
      </c>
      <c r="D1021" s="2" t="n">
        <v>508</v>
      </c>
      <c r="E1021" s="2" t="inlineStr">
        <is>
          <t>USELESS_USDT_PERP</t>
        </is>
      </c>
      <c r="F1021" s="2" t="inlineStr">
        <is>
          <t>做多</t>
        </is>
      </c>
      <c r="G1021" s="20" t="n">
        <v>0.2916</v>
      </c>
      <c r="H1021" s="20" t="n">
        <v>0.3003480000000001</v>
      </c>
      <c r="I1021" s="20" t="n">
        <v>0.27702</v>
      </c>
      <c r="J1021" s="20" t="n">
        <v>0.27702</v>
      </c>
      <c r="K1021" s="2" t="inlineStr">
        <is>
          <t>止損</t>
        </is>
      </c>
      <c r="L1021" s="5">
        <f>交易明細!K509</f>
        <v/>
      </c>
      <c r="M1021" s="19">
        <f>M1014</f>
        <v/>
      </c>
      <c r="N1021" s="2">
        <f>N1014</f>
        <v/>
      </c>
      <c r="O1021" s="19">
        <f>O1014</f>
        <v/>
      </c>
      <c r="P1021" s="4">
        <f>交易明細!L509</f>
        <v/>
      </c>
      <c r="Q1021" s="13">
        <f>IF(N1021="已下單",O1021*P1021,0)</f>
        <v/>
      </c>
      <c r="R1021" s="13">
        <f>R1020+Q1021</f>
        <v/>
      </c>
      <c r="S1021" s="19">
        <f>S1020-IF(N1021="已下單",M1021,0)</f>
        <v/>
      </c>
      <c r="T1021" s="19">
        <f>R1021-S1021</f>
        <v/>
      </c>
      <c r="U1021" s="2">
        <f>U1020-IF(N1021="已下單",1,0)</f>
        <v/>
      </c>
      <c r="V1021" s="19">
        <f>IF(資金模擬!$B$9=2,MAX(R1021,0),MAX(V1020,FLOOR(MAX(R1021,0),資金模擬!$B$6)))</f>
        <v/>
      </c>
      <c r="W1021" s="13">
        <f>MAX(W1020,R1021)</f>
        <v/>
      </c>
      <c r="X1021" s="4">
        <f>IF(W1021&gt;0,R1021/W1021-1,-1)</f>
        <v/>
      </c>
      <c r="Y1021" s="19">
        <f>IF(R1021&gt;0,S1021*資金模擬!$B$7/R1021,0)</f>
        <v/>
      </c>
      <c r="Z1021" s="2">
        <f>IF(OR(Z1020=1,R1021&lt;=資金模擬!$B$10),1,0)</f>
        <v/>
      </c>
    </row>
    <row r="1022">
      <c r="A1022" s="2" t="n">
        <v>1020</v>
      </c>
      <c r="B1022" s="7" t="n">
        <v>46292.54166666666</v>
      </c>
      <c r="C1022" s="2" t="inlineStr">
        <is>
          <t>出場</t>
        </is>
      </c>
      <c r="D1022" s="2" t="n">
        <v>509</v>
      </c>
      <c r="E1022" s="2" t="inlineStr">
        <is>
          <t>2Z_USDT_PERP</t>
        </is>
      </c>
      <c r="F1022" s="2" t="inlineStr">
        <is>
          <t>做空</t>
        </is>
      </c>
      <c r="G1022" s="20" t="n">
        <v>0.06859999999999999</v>
      </c>
      <c r="H1022" s="20" t="n">
        <v>0.06654199999999999</v>
      </c>
      <c r="I1022" s="20" t="n">
        <v>0.07203</v>
      </c>
      <c r="J1022" s="20" t="n">
        <v>0.06654199999999999</v>
      </c>
      <c r="K1022" s="2" t="inlineStr">
        <is>
          <t>止盈</t>
        </is>
      </c>
      <c r="L1022" s="5">
        <f>交易明細!K510</f>
        <v/>
      </c>
      <c r="M1022" s="19">
        <f>M1017</f>
        <v/>
      </c>
      <c r="N1022" s="2">
        <f>N1017</f>
        <v/>
      </c>
      <c r="O1022" s="19">
        <f>O1017</f>
        <v/>
      </c>
      <c r="P1022" s="4">
        <f>交易明細!L510</f>
        <v/>
      </c>
      <c r="Q1022" s="13">
        <f>IF(N1022="已下單",O1022*P1022,0)</f>
        <v/>
      </c>
      <c r="R1022" s="13">
        <f>R1021+Q1022</f>
        <v/>
      </c>
      <c r="S1022" s="19">
        <f>S1021-IF(N1022="已下單",M1022,0)</f>
        <v/>
      </c>
      <c r="T1022" s="19">
        <f>R1022-S1022</f>
        <v/>
      </c>
      <c r="U1022" s="2">
        <f>U1021-IF(N1022="已下單",1,0)</f>
        <v/>
      </c>
      <c r="V1022" s="19">
        <f>IF(資金模擬!$B$9=2,MAX(R1022,0),MAX(V1021,FLOOR(MAX(R1022,0),資金模擬!$B$6)))</f>
        <v/>
      </c>
      <c r="W1022" s="13">
        <f>MAX(W1021,R1022)</f>
        <v/>
      </c>
      <c r="X1022" s="4">
        <f>IF(W1022&gt;0,R1022/W1022-1,-1)</f>
        <v/>
      </c>
      <c r="Y1022" s="19">
        <f>IF(R1022&gt;0,S1022*資金模擬!$B$7/R1022,0)</f>
        <v/>
      </c>
      <c r="Z1022" s="2">
        <f>IF(OR(Z1021=1,R1022&lt;=資金模擬!$B$10),1,0)</f>
        <v/>
      </c>
    </row>
    <row r="1023">
      <c r="A1023" s="2" t="n">
        <v>1021</v>
      </c>
      <c r="B1023" s="7" t="n">
        <v>46292.54166666666</v>
      </c>
      <c r="C1023" s="2" t="inlineStr">
        <is>
          <t>進場</t>
        </is>
      </c>
      <c r="D1023" s="2" t="n">
        <v>512</v>
      </c>
      <c r="E1023" s="2" t="inlineStr">
        <is>
          <t>PONS_USDT_PERP</t>
        </is>
      </c>
      <c r="F1023" s="2" t="inlineStr">
        <is>
          <t>做空</t>
        </is>
      </c>
      <c r="G1023" s="20" t="n">
        <v>0.6106</v>
      </c>
      <c r="H1023" s="20" t="n">
        <v>0.592282</v>
      </c>
      <c r="I1023" s="20" t="n">
        <v>0.6411300000000001</v>
      </c>
      <c r="J1023" s="20" t="n"/>
      <c r="K1023" s="2" t="n"/>
      <c r="L1023" s="5" t="n"/>
      <c r="M1023" s="19">
        <f>資金模擬!$B$5*V1022</f>
        <v/>
      </c>
      <c r="N1023" s="2">
        <f>IF(Z1022=1,"已停止",IF(T1022&gt;=M1023,"已下單","資金不足略過"))</f>
        <v/>
      </c>
      <c r="O1023" s="19">
        <f>IF(N1023="已下單",M1023*資金模擬!$B$7,0)</f>
        <v/>
      </c>
      <c r="P1023" s="4" t="n"/>
      <c r="Q1023" s="13" t="n">
        <v>0</v>
      </c>
      <c r="R1023" s="13">
        <f>R1022+Q1023</f>
        <v/>
      </c>
      <c r="S1023" s="19">
        <f>S1022+IF(N1023="已下單",M1023,0)</f>
        <v/>
      </c>
      <c r="T1023" s="19">
        <f>R1023-S1023</f>
        <v/>
      </c>
      <c r="U1023" s="2">
        <f>U1022+IF(N1023="已下單",1,0)</f>
        <v/>
      </c>
      <c r="V1023" s="19">
        <f>IF(資金模擬!$B$9=2,MAX(R1023,0),MAX(V1022,FLOOR(MAX(R1023,0),資金模擬!$B$6)))</f>
        <v/>
      </c>
      <c r="W1023" s="13">
        <f>MAX(W1022,R1023)</f>
        <v/>
      </c>
      <c r="X1023" s="4">
        <f>IF(W1023&gt;0,R1023/W1023-1,-1)</f>
        <v/>
      </c>
      <c r="Y1023" s="19">
        <f>IF(R1023&gt;0,S1023*資金模擬!$B$7/R1023,0)</f>
        <v/>
      </c>
      <c r="Z1023" s="2">
        <f>IF(OR(Z1022=1,R1023&lt;=資金模擬!$B$10),1,0)</f>
        <v/>
      </c>
    </row>
    <row r="1024">
      <c r="A1024" s="2" t="n">
        <v>1022</v>
      </c>
      <c r="B1024" s="7" t="n">
        <v>46292.58333333334</v>
      </c>
      <c r="C1024" s="2" t="inlineStr">
        <is>
          <t>出場</t>
        </is>
      </c>
      <c r="D1024" s="2" t="n">
        <v>507</v>
      </c>
      <c r="E1024" s="2" t="inlineStr">
        <is>
          <t>NEAR_USDT_PERP</t>
        </is>
      </c>
      <c r="F1024" s="2" t="inlineStr">
        <is>
          <t>做多</t>
        </is>
      </c>
      <c r="G1024" s="20" t="n">
        <v>5.038</v>
      </c>
      <c r="H1024" s="20" t="n">
        <v>5.18914</v>
      </c>
      <c r="I1024" s="20" t="n">
        <v>4.7861</v>
      </c>
      <c r="J1024" s="20" t="n">
        <v>5.18914</v>
      </c>
      <c r="K1024" s="2" t="inlineStr">
        <is>
          <t>止盈</t>
        </is>
      </c>
      <c r="L1024" s="5">
        <f>交易明細!K508</f>
        <v/>
      </c>
      <c r="M1024" s="19">
        <f>M1013</f>
        <v/>
      </c>
      <c r="N1024" s="2">
        <f>N1013</f>
        <v/>
      </c>
      <c r="O1024" s="19">
        <f>O1013</f>
        <v/>
      </c>
      <c r="P1024" s="4">
        <f>交易明細!L508</f>
        <v/>
      </c>
      <c r="Q1024" s="13">
        <f>IF(N1024="已下單",O1024*P1024,0)</f>
        <v/>
      </c>
      <c r="R1024" s="13">
        <f>R1023+Q1024</f>
        <v/>
      </c>
      <c r="S1024" s="19">
        <f>S1023-IF(N1024="已下單",M1024,0)</f>
        <v/>
      </c>
      <c r="T1024" s="19">
        <f>R1024-S1024</f>
        <v/>
      </c>
      <c r="U1024" s="2">
        <f>U1023-IF(N1024="已下單",1,0)</f>
        <v/>
      </c>
      <c r="V1024" s="19">
        <f>IF(資金模擬!$B$9=2,MAX(R1024,0),MAX(V1023,FLOOR(MAX(R1024,0),資金模擬!$B$6)))</f>
        <v/>
      </c>
      <c r="W1024" s="13">
        <f>MAX(W1023,R1024)</f>
        <v/>
      </c>
      <c r="X1024" s="4">
        <f>IF(W1024&gt;0,R1024/W1024-1,-1)</f>
        <v/>
      </c>
      <c r="Y1024" s="19">
        <f>IF(R1024&gt;0,S1024*資金模擬!$B$7/R1024,0)</f>
        <v/>
      </c>
      <c r="Z1024" s="2">
        <f>IF(OR(Z1023=1,R1024&lt;=資金模擬!$B$10),1,0)</f>
        <v/>
      </c>
    </row>
    <row r="1025">
      <c r="A1025" s="2" t="n">
        <v>1023</v>
      </c>
      <c r="B1025" s="7" t="n">
        <v>46292.58333333334</v>
      </c>
      <c r="C1025" s="2" t="inlineStr">
        <is>
          <t>進場</t>
        </is>
      </c>
      <c r="D1025" s="2" t="n">
        <v>513</v>
      </c>
      <c r="E1025" s="2" t="inlineStr">
        <is>
          <t>MARSCOIN_USDT_PERP</t>
        </is>
      </c>
      <c r="F1025" s="2" t="inlineStr">
        <is>
          <t>做多</t>
        </is>
      </c>
      <c r="G1025" s="20" t="n">
        <v>0.13033</v>
      </c>
      <c r="H1025" s="20" t="n">
        <v>0.1342399</v>
      </c>
      <c r="I1025" s="20" t="n">
        <v>0.1238135</v>
      </c>
      <c r="J1025" s="20" t="n"/>
      <c r="K1025" s="2" t="n"/>
      <c r="L1025" s="5" t="n"/>
      <c r="M1025" s="19">
        <f>資金模擬!$B$5*V1024</f>
        <v/>
      </c>
      <c r="N1025" s="2">
        <f>IF(Z1024=1,"已停止",IF(T1024&gt;=M1025,"已下單","資金不足略過"))</f>
        <v/>
      </c>
      <c r="O1025" s="19">
        <f>IF(N1025="已下單",M1025*資金模擬!$B$7,0)</f>
        <v/>
      </c>
      <c r="P1025" s="4" t="n"/>
      <c r="Q1025" s="13" t="n">
        <v>0</v>
      </c>
      <c r="R1025" s="13">
        <f>R1024+Q1025</f>
        <v/>
      </c>
      <c r="S1025" s="19">
        <f>S1024+IF(N1025="已下單",M1025,0)</f>
        <v/>
      </c>
      <c r="T1025" s="19">
        <f>R1025-S1025</f>
        <v/>
      </c>
      <c r="U1025" s="2">
        <f>U1024+IF(N1025="已下單",1,0)</f>
        <v/>
      </c>
      <c r="V1025" s="19">
        <f>IF(資金模擬!$B$9=2,MAX(R1025,0),MAX(V1024,FLOOR(MAX(R1025,0),資金模擬!$B$6)))</f>
        <v/>
      </c>
      <c r="W1025" s="13">
        <f>MAX(W1024,R1025)</f>
        <v/>
      </c>
      <c r="X1025" s="4">
        <f>IF(W1025&gt;0,R1025/W1025-1,-1)</f>
        <v/>
      </c>
      <c r="Y1025" s="19">
        <f>IF(R1025&gt;0,S1025*資金模擬!$B$7/R1025,0)</f>
        <v/>
      </c>
      <c r="Z1025" s="2">
        <f>IF(OR(Z1024=1,R1025&lt;=資金模擬!$B$10),1,0)</f>
        <v/>
      </c>
    </row>
    <row r="1026">
      <c r="A1026" s="2" t="n">
        <v>1024</v>
      </c>
      <c r="B1026" s="7" t="n">
        <v>46292.58333333334</v>
      </c>
      <c r="C1026" s="2" t="inlineStr">
        <is>
          <t>進場</t>
        </is>
      </c>
      <c r="D1026" s="2" t="n">
        <v>514</v>
      </c>
      <c r="E1026" s="2" t="inlineStr">
        <is>
          <t>USELESS_USDT_PERP</t>
        </is>
      </c>
      <c r="F1026" s="2" t="inlineStr">
        <is>
          <t>做多</t>
        </is>
      </c>
      <c r="G1026" s="20" t="n">
        <v>0.28713</v>
      </c>
      <c r="H1026" s="20" t="n">
        <v>0.2957439</v>
      </c>
      <c r="I1026" s="20" t="n">
        <v>0.2727735</v>
      </c>
      <c r="J1026" s="20" t="n"/>
      <c r="K1026" s="2" t="n"/>
      <c r="L1026" s="5" t="n"/>
      <c r="M1026" s="19">
        <f>資金模擬!$B$5*V1025</f>
        <v/>
      </c>
      <c r="N1026" s="2">
        <f>IF(Z1025=1,"已停止",IF(T1025&gt;=M1026,"已下單","資金不足略過"))</f>
        <v/>
      </c>
      <c r="O1026" s="19">
        <f>IF(N1026="已下單",M1026*資金模擬!$B$7,0)</f>
        <v/>
      </c>
      <c r="P1026" s="4" t="n"/>
      <c r="Q1026" s="13" t="n">
        <v>0</v>
      </c>
      <c r="R1026" s="13">
        <f>R1025+Q1026</f>
        <v/>
      </c>
      <c r="S1026" s="19">
        <f>S1025+IF(N1026="已下單",M1026,0)</f>
        <v/>
      </c>
      <c r="T1026" s="19">
        <f>R1026-S1026</f>
        <v/>
      </c>
      <c r="U1026" s="2">
        <f>U1025+IF(N1026="已下單",1,0)</f>
        <v/>
      </c>
      <c r="V1026" s="19">
        <f>IF(資金模擬!$B$9=2,MAX(R1026,0),MAX(V1025,FLOOR(MAX(R1026,0),資金模擬!$B$6)))</f>
        <v/>
      </c>
      <c r="W1026" s="13">
        <f>MAX(W1025,R1026)</f>
        <v/>
      </c>
      <c r="X1026" s="4">
        <f>IF(W1026&gt;0,R1026/W1026-1,-1)</f>
        <v/>
      </c>
      <c r="Y1026" s="19">
        <f>IF(R1026&gt;0,S1026*資金模擬!$B$7/R1026,0)</f>
        <v/>
      </c>
      <c r="Z1026" s="2">
        <f>IF(OR(Z1025=1,R1026&lt;=資金模擬!$B$10),1,0)</f>
        <v/>
      </c>
    </row>
    <row r="1027">
      <c r="A1027" s="2" t="n">
        <v>1025</v>
      </c>
      <c r="B1027" s="7" t="n">
        <v>46292.625</v>
      </c>
      <c r="C1027" s="2" t="inlineStr">
        <is>
          <t>進場</t>
        </is>
      </c>
      <c r="D1027" s="2" t="n">
        <v>515</v>
      </c>
      <c r="E1027" s="2" t="inlineStr">
        <is>
          <t>BR_USDT_PERP</t>
        </is>
      </c>
      <c r="F1027" s="2" t="inlineStr">
        <is>
          <t>做空</t>
        </is>
      </c>
      <c r="G1027" s="20" t="n">
        <v>0.92489</v>
      </c>
      <c r="H1027" s="20" t="n">
        <v>0.8971433</v>
      </c>
      <c r="I1027" s="20" t="n">
        <v>0.9711345</v>
      </c>
      <c r="J1027" s="20" t="n"/>
      <c r="K1027" s="2" t="n"/>
      <c r="L1027" s="5" t="n"/>
      <c r="M1027" s="19">
        <f>資金模擬!$B$5*V1026</f>
        <v/>
      </c>
      <c r="N1027" s="2">
        <f>IF(Z1026=1,"已停止",IF(T1026&gt;=M1027,"已下單","資金不足略過"))</f>
        <v/>
      </c>
      <c r="O1027" s="19">
        <f>IF(N1027="已下單",M1027*資金模擬!$B$7,0)</f>
        <v/>
      </c>
      <c r="P1027" s="4" t="n"/>
      <c r="Q1027" s="13" t="n">
        <v>0</v>
      </c>
      <c r="R1027" s="13">
        <f>R1026+Q1027</f>
        <v/>
      </c>
      <c r="S1027" s="19">
        <f>S1026+IF(N1027="已下單",M1027,0)</f>
        <v/>
      </c>
      <c r="T1027" s="19">
        <f>R1027-S1027</f>
        <v/>
      </c>
      <c r="U1027" s="2">
        <f>U1026+IF(N1027="已下單",1,0)</f>
        <v/>
      </c>
      <c r="V1027" s="19">
        <f>IF(資金模擬!$B$9=2,MAX(R1027,0),MAX(V1026,FLOOR(MAX(R1027,0),資金模擬!$B$6)))</f>
        <v/>
      </c>
      <c r="W1027" s="13">
        <f>MAX(W1026,R1027)</f>
        <v/>
      </c>
      <c r="X1027" s="4">
        <f>IF(W1027&gt;0,R1027/W1027-1,-1)</f>
        <v/>
      </c>
      <c r="Y1027" s="19">
        <f>IF(R1027&gt;0,S1027*資金模擬!$B$7/R1027,0)</f>
        <v/>
      </c>
      <c r="Z1027" s="2">
        <f>IF(OR(Z1026=1,R1027&lt;=資金模擬!$B$10),1,0)</f>
        <v/>
      </c>
    </row>
    <row r="1028">
      <c r="A1028" s="2" t="n">
        <v>1026</v>
      </c>
      <c r="B1028" s="7" t="n">
        <v>46292.625</v>
      </c>
      <c r="C1028" s="2" t="inlineStr">
        <is>
          <t>進場</t>
        </is>
      </c>
      <c r="D1028" s="2" t="n">
        <v>516</v>
      </c>
      <c r="E1028" s="2" t="inlineStr">
        <is>
          <t>WLD_USDT_PERP</t>
        </is>
      </c>
      <c r="F1028" s="2" t="inlineStr">
        <is>
          <t>做多</t>
        </is>
      </c>
      <c r="G1028" s="20" t="n">
        <v>0.5365</v>
      </c>
      <c r="H1028" s="20" t="n">
        <v>0.5525949999999999</v>
      </c>
      <c r="I1028" s="20" t="n">
        <v>0.509675</v>
      </c>
      <c r="J1028" s="20" t="n"/>
      <c r="K1028" s="2" t="n"/>
      <c r="L1028" s="5" t="n"/>
      <c r="M1028" s="19">
        <f>資金模擬!$B$5*V1027</f>
        <v/>
      </c>
      <c r="N1028" s="2">
        <f>IF(Z1027=1,"已停止",IF(T1027&gt;=M1028,"已下單","資金不足略過"))</f>
        <v/>
      </c>
      <c r="O1028" s="19">
        <f>IF(N1028="已下單",M1028*資金模擬!$B$7,0)</f>
        <v/>
      </c>
      <c r="P1028" s="4" t="n"/>
      <c r="Q1028" s="13" t="n">
        <v>0</v>
      </c>
      <c r="R1028" s="13">
        <f>R1027+Q1028</f>
        <v/>
      </c>
      <c r="S1028" s="19">
        <f>S1027+IF(N1028="已下單",M1028,0)</f>
        <v/>
      </c>
      <c r="T1028" s="19">
        <f>R1028-S1028</f>
        <v/>
      </c>
      <c r="U1028" s="2">
        <f>U1027+IF(N1028="已下單",1,0)</f>
        <v/>
      </c>
      <c r="V1028" s="19">
        <f>IF(資金模擬!$B$9=2,MAX(R1028,0),MAX(V1027,FLOOR(MAX(R1028,0),資金模擬!$B$6)))</f>
        <v/>
      </c>
      <c r="W1028" s="13">
        <f>MAX(W1027,R1028)</f>
        <v/>
      </c>
      <c r="X1028" s="4">
        <f>IF(W1028&gt;0,R1028/W1028-1,-1)</f>
        <v/>
      </c>
      <c r="Y1028" s="19">
        <f>IF(R1028&gt;0,S1028*資金模擬!$B$7/R1028,0)</f>
        <v/>
      </c>
      <c r="Z1028" s="2">
        <f>IF(OR(Z1027=1,R1028&lt;=資金模擬!$B$10),1,0)</f>
        <v/>
      </c>
    </row>
    <row r="1029">
      <c r="A1029" s="2" t="n">
        <v>1027</v>
      </c>
      <c r="B1029" s="7" t="n">
        <v>46292.66666666666</v>
      </c>
      <c r="C1029" s="2" t="inlineStr">
        <is>
          <t>出場</t>
        </is>
      </c>
      <c r="D1029" s="2" t="n">
        <v>515</v>
      </c>
      <c r="E1029" s="2" t="inlineStr">
        <is>
          <t>BR_USDT_PERP</t>
        </is>
      </c>
      <c r="F1029" s="2" t="inlineStr">
        <is>
          <t>做空</t>
        </is>
      </c>
      <c r="G1029" s="20" t="n">
        <v>0.92489</v>
      </c>
      <c r="H1029" s="20" t="n">
        <v>0.8971433</v>
      </c>
      <c r="I1029" s="20" t="n">
        <v>0.9711345</v>
      </c>
      <c r="J1029" s="20" t="n">
        <v>0.8971433</v>
      </c>
      <c r="K1029" s="2" t="inlineStr">
        <is>
          <t>止盈</t>
        </is>
      </c>
      <c r="L1029" s="5">
        <f>交易明細!K516</f>
        <v/>
      </c>
      <c r="M1029" s="19">
        <f>M1027</f>
        <v/>
      </c>
      <c r="N1029" s="2">
        <f>N1027</f>
        <v/>
      </c>
      <c r="O1029" s="19">
        <f>O1027</f>
        <v/>
      </c>
      <c r="P1029" s="4">
        <f>交易明細!L516</f>
        <v/>
      </c>
      <c r="Q1029" s="13">
        <f>IF(N1029="已下單",O1029*P1029,0)</f>
        <v/>
      </c>
      <c r="R1029" s="13">
        <f>R1028+Q1029</f>
        <v/>
      </c>
      <c r="S1029" s="19">
        <f>S1028-IF(N1029="已下單",M1029,0)</f>
        <v/>
      </c>
      <c r="T1029" s="19">
        <f>R1029-S1029</f>
        <v/>
      </c>
      <c r="U1029" s="2">
        <f>U1028-IF(N1029="已下單",1,0)</f>
        <v/>
      </c>
      <c r="V1029" s="19">
        <f>IF(資金模擬!$B$9=2,MAX(R1029,0),MAX(V1028,FLOOR(MAX(R1029,0),資金模擬!$B$6)))</f>
        <v/>
      </c>
      <c r="W1029" s="13">
        <f>MAX(W1028,R1029)</f>
        <v/>
      </c>
      <c r="X1029" s="4">
        <f>IF(W1029&gt;0,R1029/W1029-1,-1)</f>
        <v/>
      </c>
      <c r="Y1029" s="19">
        <f>IF(R1029&gt;0,S1029*資金模擬!$B$7/R1029,0)</f>
        <v/>
      </c>
      <c r="Z1029" s="2">
        <f>IF(OR(Z1028=1,R1029&lt;=資金模擬!$B$10),1,0)</f>
        <v/>
      </c>
    </row>
    <row r="1030">
      <c r="A1030" s="2" t="n">
        <v>1028</v>
      </c>
      <c r="B1030" s="7" t="n">
        <v>46292.70833333334</v>
      </c>
      <c r="C1030" s="2" t="inlineStr">
        <is>
          <t>出場</t>
        </is>
      </c>
      <c r="D1030" s="2" t="n">
        <v>516</v>
      </c>
      <c r="E1030" s="2" t="inlineStr">
        <is>
          <t>WLD_USDT_PERP</t>
        </is>
      </c>
      <c r="F1030" s="2" t="inlineStr">
        <is>
          <t>做多</t>
        </is>
      </c>
      <c r="G1030" s="20" t="n">
        <v>0.5365</v>
      </c>
      <c r="H1030" s="20" t="n">
        <v>0.5525949999999999</v>
      </c>
      <c r="I1030" s="20" t="n">
        <v>0.509675</v>
      </c>
      <c r="J1030" s="20" t="n">
        <v>0.5525949999999999</v>
      </c>
      <c r="K1030" s="2" t="inlineStr">
        <is>
          <t>止盈</t>
        </is>
      </c>
      <c r="L1030" s="5">
        <f>交易明細!K517</f>
        <v/>
      </c>
      <c r="M1030" s="19">
        <f>M1028</f>
        <v/>
      </c>
      <c r="N1030" s="2">
        <f>N1028</f>
        <v/>
      </c>
      <c r="O1030" s="19">
        <f>O1028</f>
        <v/>
      </c>
      <c r="P1030" s="4">
        <f>交易明細!L517</f>
        <v/>
      </c>
      <c r="Q1030" s="13">
        <f>IF(N1030="已下單",O1030*P1030,0)</f>
        <v/>
      </c>
      <c r="R1030" s="13">
        <f>R1029+Q1030</f>
        <v/>
      </c>
      <c r="S1030" s="19">
        <f>S1029-IF(N1030="已下單",M1030,0)</f>
        <v/>
      </c>
      <c r="T1030" s="19">
        <f>R1030-S1030</f>
        <v/>
      </c>
      <c r="U1030" s="2">
        <f>U1029-IF(N1030="已下單",1,0)</f>
        <v/>
      </c>
      <c r="V1030" s="19">
        <f>IF(資金模擬!$B$9=2,MAX(R1030,0),MAX(V1029,FLOOR(MAX(R1030,0),資金模擬!$B$6)))</f>
        <v/>
      </c>
      <c r="W1030" s="13">
        <f>MAX(W1029,R1030)</f>
        <v/>
      </c>
      <c r="X1030" s="4">
        <f>IF(W1030&gt;0,R1030/W1030-1,-1)</f>
        <v/>
      </c>
      <c r="Y1030" s="19">
        <f>IF(R1030&gt;0,S1030*資金模擬!$B$7/R1030,0)</f>
        <v/>
      </c>
      <c r="Z1030" s="2">
        <f>IF(OR(Z1029=1,R1030&lt;=資金模擬!$B$10),1,0)</f>
        <v/>
      </c>
    </row>
    <row r="1031">
      <c r="A1031" s="2" t="n">
        <v>1029</v>
      </c>
      <c r="B1031" s="7" t="n">
        <v>46292.79166666666</v>
      </c>
      <c r="C1031" s="2" t="inlineStr">
        <is>
          <t>出場</t>
        </is>
      </c>
      <c r="D1031" s="2" t="n">
        <v>513</v>
      </c>
      <c r="E1031" s="2" t="inlineStr">
        <is>
          <t>MARSCOIN_USDT_PERP</t>
        </is>
      </c>
      <c r="F1031" s="2" t="inlineStr">
        <is>
          <t>做多</t>
        </is>
      </c>
      <c r="G1031" s="20" t="n">
        <v>0.13033</v>
      </c>
      <c r="H1031" s="20" t="n">
        <v>0.1342399</v>
      </c>
      <c r="I1031" s="20" t="n">
        <v>0.1238135</v>
      </c>
      <c r="J1031" s="20" t="n">
        <v>0.1342399</v>
      </c>
      <c r="K1031" s="2" t="inlineStr">
        <is>
          <t>止盈</t>
        </is>
      </c>
      <c r="L1031" s="5">
        <f>交易明細!K514</f>
        <v/>
      </c>
      <c r="M1031" s="19">
        <f>M1025</f>
        <v/>
      </c>
      <c r="N1031" s="2">
        <f>N1025</f>
        <v/>
      </c>
      <c r="O1031" s="19">
        <f>O1025</f>
        <v/>
      </c>
      <c r="P1031" s="4">
        <f>交易明細!L514</f>
        <v/>
      </c>
      <c r="Q1031" s="13">
        <f>IF(N1031="已下單",O1031*P1031,0)</f>
        <v/>
      </c>
      <c r="R1031" s="13">
        <f>R1030+Q1031</f>
        <v/>
      </c>
      <c r="S1031" s="19">
        <f>S1030-IF(N1031="已下單",M1031,0)</f>
        <v/>
      </c>
      <c r="T1031" s="19">
        <f>R1031-S1031</f>
        <v/>
      </c>
      <c r="U1031" s="2">
        <f>U1030-IF(N1031="已下單",1,0)</f>
        <v/>
      </c>
      <c r="V1031" s="19">
        <f>IF(資金模擬!$B$9=2,MAX(R1031,0),MAX(V1030,FLOOR(MAX(R1031,0),資金模擬!$B$6)))</f>
        <v/>
      </c>
      <c r="W1031" s="13">
        <f>MAX(W1030,R1031)</f>
        <v/>
      </c>
      <c r="X1031" s="4">
        <f>IF(W1031&gt;0,R1031/W1031-1,-1)</f>
        <v/>
      </c>
      <c r="Y1031" s="19">
        <f>IF(R1031&gt;0,S1031*資金模擬!$B$7/R1031,0)</f>
        <v/>
      </c>
      <c r="Z1031" s="2">
        <f>IF(OR(Z1030=1,R1031&lt;=資金模擬!$B$10),1,0)</f>
        <v/>
      </c>
    </row>
    <row r="1032">
      <c r="A1032" s="2" t="n">
        <v>1030</v>
      </c>
      <c r="B1032" s="7" t="n">
        <v>46292.79166666666</v>
      </c>
      <c r="C1032" s="2" t="inlineStr">
        <is>
          <t>進場</t>
        </is>
      </c>
      <c r="D1032" s="2" t="n">
        <v>517</v>
      </c>
      <c r="E1032" s="2" t="inlineStr">
        <is>
          <t>DASH_USDT_PERP</t>
        </is>
      </c>
      <c r="F1032" s="2" t="inlineStr">
        <is>
          <t>做空</t>
        </is>
      </c>
      <c r="G1032" s="20" t="n">
        <v>69.26000000000001</v>
      </c>
      <c r="H1032" s="20" t="n">
        <v>67.18220000000001</v>
      </c>
      <c r="I1032" s="20" t="n">
        <v>72.72300000000001</v>
      </c>
      <c r="J1032" s="20" t="n"/>
      <c r="K1032" s="2" t="n"/>
      <c r="L1032" s="5" t="n"/>
      <c r="M1032" s="19">
        <f>資金模擬!$B$5*V1031</f>
        <v/>
      </c>
      <c r="N1032" s="2">
        <f>IF(Z1031=1,"已停止",IF(T1031&gt;=M1032,"已下單","資金不足略過"))</f>
        <v/>
      </c>
      <c r="O1032" s="19">
        <f>IF(N1032="已下單",M1032*資金模擬!$B$7,0)</f>
        <v/>
      </c>
      <c r="P1032" s="4" t="n"/>
      <c r="Q1032" s="13" t="n">
        <v>0</v>
      </c>
      <c r="R1032" s="13">
        <f>R1031+Q1032</f>
        <v/>
      </c>
      <c r="S1032" s="19">
        <f>S1031+IF(N1032="已下單",M1032,0)</f>
        <v/>
      </c>
      <c r="T1032" s="19">
        <f>R1032-S1032</f>
        <v/>
      </c>
      <c r="U1032" s="2">
        <f>U1031+IF(N1032="已下單",1,0)</f>
        <v/>
      </c>
      <c r="V1032" s="19">
        <f>IF(資金模擬!$B$9=2,MAX(R1032,0),MAX(V1031,FLOOR(MAX(R1032,0),資金模擬!$B$6)))</f>
        <v/>
      </c>
      <c r="W1032" s="13">
        <f>MAX(W1031,R1032)</f>
        <v/>
      </c>
      <c r="X1032" s="4">
        <f>IF(W1032&gt;0,R1032/W1032-1,-1)</f>
        <v/>
      </c>
      <c r="Y1032" s="19">
        <f>IF(R1032&gt;0,S1032*資金模擬!$B$7/R1032,0)</f>
        <v/>
      </c>
      <c r="Z1032" s="2">
        <f>IF(OR(Z1031=1,R1032&lt;=資金模擬!$B$10),1,0)</f>
        <v/>
      </c>
    </row>
    <row r="1033">
      <c r="A1033" s="2" t="n">
        <v>1031</v>
      </c>
      <c r="B1033" s="7" t="n">
        <v>46292.83333333334</v>
      </c>
      <c r="C1033" s="2" t="inlineStr">
        <is>
          <t>出場</t>
        </is>
      </c>
      <c r="D1033" s="2" t="n">
        <v>511</v>
      </c>
      <c r="E1033" s="2" t="inlineStr">
        <is>
          <t>AKE_USDT_PERP</t>
        </is>
      </c>
      <c r="F1033" s="2" t="inlineStr">
        <is>
          <t>做多</t>
        </is>
      </c>
      <c r="G1033" s="20" t="n">
        <v>0.0342425</v>
      </c>
      <c r="H1033" s="20" t="n">
        <v>0.035269775</v>
      </c>
      <c r="I1033" s="20" t="n">
        <v>0.032530375</v>
      </c>
      <c r="J1033" s="20" t="n">
        <v>0.032530375</v>
      </c>
      <c r="K1033" s="2" t="inlineStr">
        <is>
          <t>止損</t>
        </is>
      </c>
      <c r="L1033" s="5">
        <f>交易明細!K512</f>
        <v/>
      </c>
      <c r="M1033" s="19">
        <f>M1019</f>
        <v/>
      </c>
      <c r="N1033" s="2">
        <f>N1019</f>
        <v/>
      </c>
      <c r="O1033" s="19">
        <f>O1019</f>
        <v/>
      </c>
      <c r="P1033" s="4">
        <f>交易明細!L512</f>
        <v/>
      </c>
      <c r="Q1033" s="13">
        <f>IF(N1033="已下單",O1033*P1033,0)</f>
        <v/>
      </c>
      <c r="R1033" s="13">
        <f>R1032+Q1033</f>
        <v/>
      </c>
      <c r="S1033" s="19">
        <f>S1032-IF(N1033="已下單",M1033,0)</f>
        <v/>
      </c>
      <c r="T1033" s="19">
        <f>R1033-S1033</f>
        <v/>
      </c>
      <c r="U1033" s="2">
        <f>U1032-IF(N1033="已下單",1,0)</f>
        <v/>
      </c>
      <c r="V1033" s="19">
        <f>IF(資金模擬!$B$9=2,MAX(R1033,0),MAX(V1032,FLOOR(MAX(R1033,0),資金模擬!$B$6)))</f>
        <v/>
      </c>
      <c r="W1033" s="13">
        <f>MAX(W1032,R1033)</f>
        <v/>
      </c>
      <c r="X1033" s="4">
        <f>IF(W1033&gt;0,R1033/W1033-1,-1)</f>
        <v/>
      </c>
      <c r="Y1033" s="19">
        <f>IF(R1033&gt;0,S1033*資金模擬!$B$7/R1033,0)</f>
        <v/>
      </c>
      <c r="Z1033" s="2">
        <f>IF(OR(Z1032=1,R1033&lt;=資金模擬!$B$10),1,0)</f>
        <v/>
      </c>
    </row>
    <row r="1034">
      <c r="A1034" s="2" t="n">
        <v>1032</v>
      </c>
      <c r="B1034" s="7" t="n">
        <v>46292.83333333334</v>
      </c>
      <c r="C1034" s="2" t="inlineStr">
        <is>
          <t>出場</t>
        </is>
      </c>
      <c r="D1034" s="2" t="n">
        <v>514</v>
      </c>
      <c r="E1034" s="2" t="inlineStr">
        <is>
          <t>USELESS_USDT_PERP</t>
        </is>
      </c>
      <c r="F1034" s="2" t="inlineStr">
        <is>
          <t>做多</t>
        </is>
      </c>
      <c r="G1034" s="20" t="n">
        <v>0.28713</v>
      </c>
      <c r="H1034" s="20" t="n">
        <v>0.2957439</v>
      </c>
      <c r="I1034" s="20" t="n">
        <v>0.2727735</v>
      </c>
      <c r="J1034" s="20" t="n">
        <v>0.2957439</v>
      </c>
      <c r="K1034" s="2" t="inlineStr">
        <is>
          <t>止盈</t>
        </is>
      </c>
      <c r="L1034" s="5">
        <f>交易明細!K515</f>
        <v/>
      </c>
      <c r="M1034" s="19">
        <f>M1026</f>
        <v/>
      </c>
      <c r="N1034" s="2">
        <f>N1026</f>
        <v/>
      </c>
      <c r="O1034" s="19">
        <f>O1026</f>
        <v/>
      </c>
      <c r="P1034" s="4">
        <f>交易明細!L515</f>
        <v/>
      </c>
      <c r="Q1034" s="13">
        <f>IF(N1034="已下單",O1034*P1034,0)</f>
        <v/>
      </c>
      <c r="R1034" s="13">
        <f>R1033+Q1034</f>
        <v/>
      </c>
      <c r="S1034" s="19">
        <f>S1033-IF(N1034="已下單",M1034,0)</f>
        <v/>
      </c>
      <c r="T1034" s="19">
        <f>R1034-S1034</f>
        <v/>
      </c>
      <c r="U1034" s="2">
        <f>U1033-IF(N1034="已下單",1,0)</f>
        <v/>
      </c>
      <c r="V1034" s="19">
        <f>IF(資金模擬!$B$9=2,MAX(R1034,0),MAX(V1033,FLOOR(MAX(R1034,0),資金模擬!$B$6)))</f>
        <v/>
      </c>
      <c r="W1034" s="13">
        <f>MAX(W1033,R1034)</f>
        <v/>
      </c>
      <c r="X1034" s="4">
        <f>IF(W1034&gt;0,R1034/W1034-1,-1)</f>
        <v/>
      </c>
      <c r="Y1034" s="19">
        <f>IF(R1034&gt;0,S1034*資金模擬!$B$7/R1034,0)</f>
        <v/>
      </c>
      <c r="Z1034" s="2">
        <f>IF(OR(Z1033=1,R1034&lt;=資金模擬!$B$10),1,0)</f>
        <v/>
      </c>
    </row>
    <row r="1035">
      <c r="A1035" s="2" t="n">
        <v>1033</v>
      </c>
      <c r="B1035" s="7" t="n">
        <v>46292.83333333334</v>
      </c>
      <c r="C1035" s="2" t="inlineStr">
        <is>
          <t>進場</t>
        </is>
      </c>
      <c r="D1035" s="2" t="n">
        <v>518</v>
      </c>
      <c r="E1035" s="2" t="inlineStr">
        <is>
          <t>BR_USDT_PERP</t>
        </is>
      </c>
      <c r="F1035" s="2" t="inlineStr">
        <is>
          <t>做空</t>
        </is>
      </c>
      <c r="G1035" s="20" t="n">
        <v>0.90447</v>
      </c>
      <c r="H1035" s="20" t="n">
        <v>0.8773358999999999</v>
      </c>
      <c r="I1035" s="20" t="n">
        <v>0.9496935000000001</v>
      </c>
      <c r="J1035" s="20" t="n"/>
      <c r="K1035" s="2" t="n"/>
      <c r="L1035" s="5" t="n"/>
      <c r="M1035" s="19">
        <f>資金模擬!$B$5*V1034</f>
        <v/>
      </c>
      <c r="N1035" s="2">
        <f>IF(Z1034=1,"已停止",IF(T1034&gt;=M1035,"已下單","資金不足略過"))</f>
        <v/>
      </c>
      <c r="O1035" s="19">
        <f>IF(N1035="已下單",M1035*資金模擬!$B$7,0)</f>
        <v/>
      </c>
      <c r="P1035" s="4" t="n"/>
      <c r="Q1035" s="13" t="n">
        <v>0</v>
      </c>
      <c r="R1035" s="13">
        <f>R1034+Q1035</f>
        <v/>
      </c>
      <c r="S1035" s="19">
        <f>S1034+IF(N1035="已下單",M1035,0)</f>
        <v/>
      </c>
      <c r="T1035" s="19">
        <f>R1035-S1035</f>
        <v/>
      </c>
      <c r="U1035" s="2">
        <f>U1034+IF(N1035="已下單",1,0)</f>
        <v/>
      </c>
      <c r="V1035" s="19">
        <f>IF(資金模擬!$B$9=2,MAX(R1035,0),MAX(V1034,FLOOR(MAX(R1035,0),資金模擬!$B$6)))</f>
        <v/>
      </c>
      <c r="W1035" s="13">
        <f>MAX(W1034,R1035)</f>
        <v/>
      </c>
      <c r="X1035" s="4">
        <f>IF(W1035&gt;0,R1035/W1035-1,-1)</f>
        <v/>
      </c>
      <c r="Y1035" s="19">
        <f>IF(R1035&gt;0,S1035*資金模擬!$B$7/R1035,0)</f>
        <v/>
      </c>
      <c r="Z1035" s="2">
        <f>IF(OR(Z1034=1,R1035&lt;=資金模擬!$B$10),1,0)</f>
        <v/>
      </c>
    </row>
    <row r="1036">
      <c r="A1036" s="2" t="n">
        <v>1034</v>
      </c>
      <c r="B1036" s="7" t="n">
        <v>46292.875</v>
      </c>
      <c r="C1036" s="2" t="inlineStr">
        <is>
          <t>進場</t>
        </is>
      </c>
      <c r="D1036" s="2" t="n">
        <v>519</v>
      </c>
      <c r="E1036" s="2" t="inlineStr">
        <is>
          <t>MARSCOIN_USDT_PERP</t>
        </is>
      </c>
      <c r="F1036" s="2" t="inlineStr">
        <is>
          <t>做空</t>
        </is>
      </c>
      <c r="G1036" s="20" t="n">
        <v>0.1329</v>
      </c>
      <c r="H1036" s="20" t="n">
        <v>0.128913</v>
      </c>
      <c r="I1036" s="20" t="n">
        <v>0.139545</v>
      </c>
      <c r="J1036" s="20" t="n"/>
      <c r="K1036" s="2" t="n"/>
      <c r="L1036" s="5" t="n"/>
      <c r="M1036" s="19">
        <f>資金模擬!$B$5*V1035</f>
        <v/>
      </c>
      <c r="N1036" s="2">
        <f>IF(Z1035=1,"已停止",IF(T1035&gt;=M1036,"已下單","資金不足略過"))</f>
        <v/>
      </c>
      <c r="O1036" s="19">
        <f>IF(N1036="已下單",M1036*資金模擬!$B$7,0)</f>
        <v/>
      </c>
      <c r="P1036" s="4" t="n"/>
      <c r="Q1036" s="13" t="n">
        <v>0</v>
      </c>
      <c r="R1036" s="13">
        <f>R1035+Q1036</f>
        <v/>
      </c>
      <c r="S1036" s="19">
        <f>S1035+IF(N1036="已下單",M1036,0)</f>
        <v/>
      </c>
      <c r="T1036" s="19">
        <f>R1036-S1036</f>
        <v/>
      </c>
      <c r="U1036" s="2">
        <f>U1035+IF(N1036="已下單",1,0)</f>
        <v/>
      </c>
      <c r="V1036" s="19">
        <f>IF(資金模擬!$B$9=2,MAX(R1036,0),MAX(V1035,FLOOR(MAX(R1036,0),資金模擬!$B$6)))</f>
        <v/>
      </c>
      <c r="W1036" s="13">
        <f>MAX(W1035,R1036)</f>
        <v/>
      </c>
      <c r="X1036" s="4">
        <f>IF(W1036&gt;0,R1036/W1036-1,-1)</f>
        <v/>
      </c>
      <c r="Y1036" s="19">
        <f>IF(R1036&gt;0,S1036*資金模擬!$B$7/R1036,0)</f>
        <v/>
      </c>
      <c r="Z1036" s="2">
        <f>IF(OR(Z1035=1,R1036&lt;=資金模擬!$B$10),1,0)</f>
        <v/>
      </c>
    </row>
    <row r="1037">
      <c r="A1037" s="2" t="n">
        <v>1035</v>
      </c>
      <c r="B1037" s="7" t="n">
        <v>46292.91666666666</v>
      </c>
      <c r="C1037" s="2" t="inlineStr">
        <is>
          <t>出場</t>
        </is>
      </c>
      <c r="D1037" s="2" t="n">
        <v>519</v>
      </c>
      <c r="E1037" s="2" t="inlineStr">
        <is>
          <t>MARSCOIN_USDT_PERP</t>
        </is>
      </c>
      <c r="F1037" s="2" t="inlineStr">
        <is>
          <t>做空</t>
        </is>
      </c>
      <c r="G1037" s="20" t="n">
        <v>0.1329</v>
      </c>
      <c r="H1037" s="20" t="n">
        <v>0.128913</v>
      </c>
      <c r="I1037" s="20" t="n">
        <v>0.139545</v>
      </c>
      <c r="J1037" s="20" t="n">
        <v>0.128913</v>
      </c>
      <c r="K1037" s="2" t="inlineStr">
        <is>
          <t>止盈</t>
        </is>
      </c>
      <c r="L1037" s="5">
        <f>交易明細!K520</f>
        <v/>
      </c>
      <c r="M1037" s="19">
        <f>M1036</f>
        <v/>
      </c>
      <c r="N1037" s="2">
        <f>N1036</f>
        <v/>
      </c>
      <c r="O1037" s="19">
        <f>O1036</f>
        <v/>
      </c>
      <c r="P1037" s="4">
        <f>交易明細!L520</f>
        <v/>
      </c>
      <c r="Q1037" s="13">
        <f>IF(N1037="已下單",O1037*P1037,0)</f>
        <v/>
      </c>
      <c r="R1037" s="13">
        <f>R1036+Q1037</f>
        <v/>
      </c>
      <c r="S1037" s="19">
        <f>S1036-IF(N1037="已下單",M1037,0)</f>
        <v/>
      </c>
      <c r="T1037" s="19">
        <f>R1037-S1037</f>
        <v/>
      </c>
      <c r="U1037" s="2">
        <f>U1036-IF(N1037="已下單",1,0)</f>
        <v/>
      </c>
      <c r="V1037" s="19">
        <f>IF(資金模擬!$B$9=2,MAX(R1037,0),MAX(V1036,FLOOR(MAX(R1037,0),資金模擬!$B$6)))</f>
        <v/>
      </c>
      <c r="W1037" s="13">
        <f>MAX(W1036,R1037)</f>
        <v/>
      </c>
      <c r="X1037" s="4">
        <f>IF(W1037&gt;0,R1037/W1037-1,-1)</f>
        <v/>
      </c>
      <c r="Y1037" s="19">
        <f>IF(R1037&gt;0,S1037*資金模擬!$B$7/R1037,0)</f>
        <v/>
      </c>
      <c r="Z1037" s="2">
        <f>IF(OR(Z1036=1,R1037&lt;=資金模擬!$B$10),1,0)</f>
        <v/>
      </c>
    </row>
    <row r="1038">
      <c r="A1038" s="2" t="n">
        <v>1036</v>
      </c>
      <c r="B1038" s="7" t="n">
        <v>46292.95833333334</v>
      </c>
      <c r="C1038" s="2" t="inlineStr">
        <is>
          <t>出場</t>
        </is>
      </c>
      <c r="D1038" s="2" t="n">
        <v>512</v>
      </c>
      <c r="E1038" s="2" t="inlineStr">
        <is>
          <t>PONS_USDT_PERP</t>
        </is>
      </c>
      <c r="F1038" s="2" t="inlineStr">
        <is>
          <t>做空</t>
        </is>
      </c>
      <c r="G1038" s="20" t="n">
        <v>0.6106</v>
      </c>
      <c r="H1038" s="20" t="n">
        <v>0.592282</v>
      </c>
      <c r="I1038" s="20" t="n">
        <v>0.6411300000000001</v>
      </c>
      <c r="J1038" s="20" t="n">
        <v>0.592282</v>
      </c>
      <c r="K1038" s="2" t="inlineStr">
        <is>
          <t>止盈</t>
        </is>
      </c>
      <c r="L1038" s="5">
        <f>交易明細!K513</f>
        <v/>
      </c>
      <c r="M1038" s="19">
        <f>M1023</f>
        <v/>
      </c>
      <c r="N1038" s="2">
        <f>N1023</f>
        <v/>
      </c>
      <c r="O1038" s="19">
        <f>O1023</f>
        <v/>
      </c>
      <c r="P1038" s="4">
        <f>交易明細!L513</f>
        <v/>
      </c>
      <c r="Q1038" s="13">
        <f>IF(N1038="已下單",O1038*P1038,0)</f>
        <v/>
      </c>
      <c r="R1038" s="13">
        <f>R1037+Q1038</f>
        <v/>
      </c>
      <c r="S1038" s="19">
        <f>S1037-IF(N1038="已下單",M1038,0)</f>
        <v/>
      </c>
      <c r="T1038" s="19">
        <f>R1038-S1038</f>
        <v/>
      </c>
      <c r="U1038" s="2">
        <f>U1037-IF(N1038="已下單",1,0)</f>
        <v/>
      </c>
      <c r="V1038" s="19">
        <f>IF(資金模擬!$B$9=2,MAX(R1038,0),MAX(V1037,FLOOR(MAX(R1038,0),資金模擬!$B$6)))</f>
        <v/>
      </c>
      <c r="W1038" s="13">
        <f>MAX(W1037,R1038)</f>
        <v/>
      </c>
      <c r="X1038" s="4">
        <f>IF(W1038&gt;0,R1038/W1038-1,-1)</f>
        <v/>
      </c>
      <c r="Y1038" s="19">
        <f>IF(R1038&gt;0,S1038*資金模擬!$B$7/R1038,0)</f>
        <v/>
      </c>
      <c r="Z1038" s="2">
        <f>IF(OR(Z1037=1,R1038&lt;=資金模擬!$B$10),1,0)</f>
        <v/>
      </c>
    </row>
    <row r="1039">
      <c r="A1039" s="2" t="n">
        <v>1037</v>
      </c>
      <c r="B1039" s="7" t="n">
        <v>46292.95833333334</v>
      </c>
      <c r="C1039" s="2" t="inlineStr">
        <is>
          <t>進場</t>
        </is>
      </c>
      <c r="D1039" s="2" t="n">
        <v>520</v>
      </c>
      <c r="E1039" s="2" t="inlineStr">
        <is>
          <t>MARSCOIN_USDT_PERP</t>
        </is>
      </c>
      <c r="F1039" s="2" t="inlineStr">
        <is>
          <t>做空</t>
        </is>
      </c>
      <c r="G1039" s="20" t="n">
        <v>0.12733</v>
      </c>
      <c r="H1039" s="20" t="n">
        <v>0.1235101</v>
      </c>
      <c r="I1039" s="20" t="n">
        <v>0.1336965</v>
      </c>
      <c r="J1039" s="20" t="n"/>
      <c r="K1039" s="2" t="inlineStr">
        <is>
          <t>未平倉</t>
        </is>
      </c>
      <c r="L1039" s="5" t="n"/>
      <c r="M1039" s="19">
        <f>資金模擬!$B$5*V1038</f>
        <v/>
      </c>
      <c r="N1039" s="2">
        <f>IF(Z1038=1,"已停止",IF(T1038&gt;=M1039,"已下單","資金不足略過"))</f>
        <v/>
      </c>
      <c r="O1039" s="19">
        <f>IF(N1039="已下單",M1039*資金模擬!$B$7,0)</f>
        <v/>
      </c>
      <c r="P1039" s="4" t="n"/>
      <c r="Q1039" s="13" t="n">
        <v>0</v>
      </c>
      <c r="R1039" s="13">
        <f>R1038+Q1039</f>
        <v/>
      </c>
      <c r="S1039" s="19">
        <f>S1038+IF(N1039="已下單",M1039,0)</f>
        <v/>
      </c>
      <c r="T1039" s="19">
        <f>R1039-S1039</f>
        <v/>
      </c>
      <c r="U1039" s="2">
        <f>U1038+IF(N1039="已下單",1,0)</f>
        <v/>
      </c>
      <c r="V1039" s="19">
        <f>IF(資金模擬!$B$9=2,MAX(R1039,0),MAX(V1038,FLOOR(MAX(R1039,0),資金模擬!$B$6)))</f>
        <v/>
      </c>
      <c r="W1039" s="13">
        <f>MAX(W1038,R1039)</f>
        <v/>
      </c>
      <c r="X1039" s="4">
        <f>IF(W1039&gt;0,R1039/W1039-1,-1)</f>
        <v/>
      </c>
      <c r="Y1039" s="19">
        <f>IF(R1039&gt;0,S1039*資金模擬!$B$7/R1039,0)</f>
        <v/>
      </c>
      <c r="Z1039" s="2">
        <f>IF(OR(Z1038=1,R1039&lt;=資金模擬!$B$10),1,0)</f>
        <v/>
      </c>
    </row>
    <row r="1040">
      <c r="A1040" s="2" t="n">
        <v>1038</v>
      </c>
      <c r="B1040" s="7" t="n">
        <v>46292.95833333334</v>
      </c>
      <c r="C1040" s="2" t="inlineStr">
        <is>
          <t>進場</t>
        </is>
      </c>
      <c r="D1040" s="2" t="n">
        <v>521</v>
      </c>
      <c r="E1040" s="2" t="inlineStr">
        <is>
          <t>QNT_USDT_PERP</t>
        </is>
      </c>
      <c r="F1040" s="2" t="inlineStr">
        <is>
          <t>做多</t>
        </is>
      </c>
      <c r="G1040" s="20" t="n">
        <v>167.24</v>
      </c>
      <c r="H1040" s="20" t="n">
        <v>172.2572</v>
      </c>
      <c r="I1040" s="20" t="n">
        <v>158.878</v>
      </c>
      <c r="J1040" s="20" t="n"/>
      <c r="K1040" s="2" t="n"/>
      <c r="L1040" s="5" t="n"/>
      <c r="M1040" s="19">
        <f>資金模擬!$B$5*V1039</f>
        <v/>
      </c>
      <c r="N1040" s="2">
        <f>IF(Z1039=1,"已停止",IF(T1039&gt;=M1040,"已下單","資金不足略過"))</f>
        <v/>
      </c>
      <c r="O1040" s="19">
        <f>IF(N1040="已下單",M1040*資金模擬!$B$7,0)</f>
        <v/>
      </c>
      <c r="P1040" s="4" t="n"/>
      <c r="Q1040" s="13" t="n">
        <v>0</v>
      </c>
      <c r="R1040" s="13">
        <f>R1039+Q1040</f>
        <v/>
      </c>
      <c r="S1040" s="19">
        <f>S1039+IF(N1040="已下單",M1040,0)</f>
        <v/>
      </c>
      <c r="T1040" s="19">
        <f>R1040-S1040</f>
        <v/>
      </c>
      <c r="U1040" s="2">
        <f>U1039+IF(N1040="已下單",1,0)</f>
        <v/>
      </c>
      <c r="V1040" s="19">
        <f>IF(資金模擬!$B$9=2,MAX(R1040,0),MAX(V1039,FLOOR(MAX(R1040,0),資金模擬!$B$6)))</f>
        <v/>
      </c>
      <c r="W1040" s="13">
        <f>MAX(W1039,R1040)</f>
        <v/>
      </c>
      <c r="X1040" s="4">
        <f>IF(W1040&gt;0,R1040/W1040-1,-1)</f>
        <v/>
      </c>
      <c r="Y1040" s="19">
        <f>IF(R1040&gt;0,S1040*資金模擬!$B$7/R1040,0)</f>
        <v/>
      </c>
      <c r="Z1040" s="2">
        <f>IF(OR(Z1039=1,R1040&lt;=資金模擬!$B$10),1,0)</f>
        <v/>
      </c>
    </row>
    <row r="1041">
      <c r="A1041" s="2" t="n">
        <v>1039</v>
      </c>
      <c r="B1041" s="7" t="n">
        <v>46293</v>
      </c>
      <c r="C1041" s="2" t="inlineStr">
        <is>
          <t>出場</t>
        </is>
      </c>
      <c r="D1041" s="2" t="n">
        <v>517</v>
      </c>
      <c r="E1041" s="2" t="inlineStr">
        <is>
          <t>DASH_USDT_PERP</t>
        </is>
      </c>
      <c r="F1041" s="2" t="inlineStr">
        <is>
          <t>做空</t>
        </is>
      </c>
      <c r="G1041" s="20" t="n">
        <v>69.26000000000001</v>
      </c>
      <c r="H1041" s="20" t="n">
        <v>67.18220000000001</v>
      </c>
      <c r="I1041" s="20" t="n">
        <v>72.72300000000001</v>
      </c>
      <c r="J1041" s="20" t="n">
        <v>67.18220000000001</v>
      </c>
      <c r="K1041" s="2" t="inlineStr">
        <is>
          <t>止盈</t>
        </is>
      </c>
      <c r="L1041" s="5">
        <f>交易明細!K518</f>
        <v/>
      </c>
      <c r="M1041" s="19">
        <f>M1032</f>
        <v/>
      </c>
      <c r="N1041" s="2">
        <f>N1032</f>
        <v/>
      </c>
      <c r="O1041" s="19">
        <f>O1032</f>
        <v/>
      </c>
      <c r="P1041" s="4">
        <f>交易明細!L518</f>
        <v/>
      </c>
      <c r="Q1041" s="13">
        <f>IF(N1041="已下單",O1041*P1041,0)</f>
        <v/>
      </c>
      <c r="R1041" s="13">
        <f>R1040+Q1041</f>
        <v/>
      </c>
      <c r="S1041" s="19">
        <f>S1040-IF(N1041="已下單",M1041,0)</f>
        <v/>
      </c>
      <c r="T1041" s="19">
        <f>R1041-S1041</f>
        <v/>
      </c>
      <c r="U1041" s="2">
        <f>U1040-IF(N1041="已下單",1,0)</f>
        <v/>
      </c>
      <c r="V1041" s="19">
        <f>IF(資金模擬!$B$9=2,MAX(R1041,0),MAX(V1040,FLOOR(MAX(R1041,0),資金模擬!$B$6)))</f>
        <v/>
      </c>
      <c r="W1041" s="13">
        <f>MAX(W1040,R1041)</f>
        <v/>
      </c>
      <c r="X1041" s="4">
        <f>IF(W1041&gt;0,R1041/W1041-1,-1)</f>
        <v/>
      </c>
      <c r="Y1041" s="19">
        <f>IF(R1041&gt;0,S1041*資金模擬!$B$7/R1041,0)</f>
        <v/>
      </c>
      <c r="Z1041" s="2">
        <f>IF(OR(Z1040=1,R1041&lt;=資金模擬!$B$10),1,0)</f>
        <v/>
      </c>
    </row>
    <row r="1042">
      <c r="A1042" s="2" t="n">
        <v>1040</v>
      </c>
      <c r="B1042" s="7" t="n">
        <v>46293</v>
      </c>
      <c r="C1042" s="2" t="inlineStr">
        <is>
          <t>出場</t>
        </is>
      </c>
      <c r="D1042" s="2" t="n">
        <v>521</v>
      </c>
      <c r="E1042" s="2" t="inlineStr">
        <is>
          <t>QNT_USDT_PERP</t>
        </is>
      </c>
      <c r="F1042" s="2" t="inlineStr">
        <is>
          <t>做多</t>
        </is>
      </c>
      <c r="G1042" s="20" t="n">
        <v>167.24</v>
      </c>
      <c r="H1042" s="20" t="n">
        <v>172.2572</v>
      </c>
      <c r="I1042" s="20" t="n">
        <v>158.878</v>
      </c>
      <c r="J1042" s="20" t="n">
        <v>172.2572</v>
      </c>
      <c r="K1042" s="2" t="inlineStr">
        <is>
          <t>止盈</t>
        </is>
      </c>
      <c r="L1042" s="5">
        <f>交易明細!K522</f>
        <v/>
      </c>
      <c r="M1042" s="19">
        <f>M1040</f>
        <v/>
      </c>
      <c r="N1042" s="2">
        <f>N1040</f>
        <v/>
      </c>
      <c r="O1042" s="19">
        <f>O1040</f>
        <v/>
      </c>
      <c r="P1042" s="4">
        <f>交易明細!L522</f>
        <v/>
      </c>
      <c r="Q1042" s="13">
        <f>IF(N1042="已下單",O1042*P1042,0)</f>
        <v/>
      </c>
      <c r="R1042" s="13">
        <f>R1041+Q1042</f>
        <v/>
      </c>
      <c r="S1042" s="19">
        <f>S1041-IF(N1042="已下單",M1042,0)</f>
        <v/>
      </c>
      <c r="T1042" s="19">
        <f>R1042-S1042</f>
        <v/>
      </c>
      <c r="U1042" s="2">
        <f>U1041-IF(N1042="已下單",1,0)</f>
        <v/>
      </c>
      <c r="V1042" s="19">
        <f>IF(資金模擬!$B$9=2,MAX(R1042,0),MAX(V1041,FLOOR(MAX(R1042,0),資金模擬!$B$6)))</f>
        <v/>
      </c>
      <c r="W1042" s="13">
        <f>MAX(W1041,R1042)</f>
        <v/>
      </c>
      <c r="X1042" s="4">
        <f>IF(W1042&gt;0,R1042/W1042-1,-1)</f>
        <v/>
      </c>
      <c r="Y1042" s="19">
        <f>IF(R1042&gt;0,S1042*資金模擬!$B$7/R1042,0)</f>
        <v/>
      </c>
      <c r="Z1042" s="2">
        <f>IF(OR(Z1041=1,R1042&lt;=資金模擬!$B$10),1,0)</f>
        <v/>
      </c>
    </row>
    <row r="1043">
      <c r="A1043" s="2" t="n">
        <v>1041</v>
      </c>
      <c r="B1043" s="7" t="n">
        <v>46293.04166666666</v>
      </c>
      <c r="C1043" s="2" t="inlineStr">
        <is>
          <t>進場</t>
        </is>
      </c>
      <c r="D1043" s="2" t="n">
        <v>522</v>
      </c>
      <c r="E1043" s="2" t="inlineStr">
        <is>
          <t>GRASS_USDT_PERP</t>
        </is>
      </c>
      <c r="F1043" s="2" t="inlineStr">
        <is>
          <t>做多</t>
        </is>
      </c>
      <c r="G1043" s="20" t="n">
        <v>0.6299</v>
      </c>
      <c r="H1043" s="20" t="n">
        <v>0.6487970000000001</v>
      </c>
      <c r="I1043" s="20" t="n">
        <v>0.598405</v>
      </c>
      <c r="J1043" s="20" t="n"/>
      <c r="K1043" s="2" t="n"/>
      <c r="L1043" s="5" t="n"/>
      <c r="M1043" s="19">
        <f>資金模擬!$B$5*V1042</f>
        <v/>
      </c>
      <c r="N1043" s="2">
        <f>IF(Z1042=1,"已停止",IF(T1042&gt;=M1043,"已下單","資金不足略過"))</f>
        <v/>
      </c>
      <c r="O1043" s="19">
        <f>IF(N1043="已下單",M1043*資金模擬!$B$7,0)</f>
        <v/>
      </c>
      <c r="P1043" s="4" t="n"/>
      <c r="Q1043" s="13" t="n">
        <v>0</v>
      </c>
      <c r="R1043" s="13">
        <f>R1042+Q1043</f>
        <v/>
      </c>
      <c r="S1043" s="19">
        <f>S1042+IF(N1043="已下單",M1043,0)</f>
        <v/>
      </c>
      <c r="T1043" s="19">
        <f>R1043-S1043</f>
        <v/>
      </c>
      <c r="U1043" s="2">
        <f>U1042+IF(N1043="已下單",1,0)</f>
        <v/>
      </c>
      <c r="V1043" s="19">
        <f>IF(資金模擬!$B$9=2,MAX(R1043,0),MAX(V1042,FLOOR(MAX(R1043,0),資金模擬!$B$6)))</f>
        <v/>
      </c>
      <c r="W1043" s="13">
        <f>MAX(W1042,R1043)</f>
        <v/>
      </c>
      <c r="X1043" s="4">
        <f>IF(W1043&gt;0,R1043/W1043-1,-1)</f>
        <v/>
      </c>
      <c r="Y1043" s="19">
        <f>IF(R1043&gt;0,S1043*資金模擬!$B$7/R1043,0)</f>
        <v/>
      </c>
      <c r="Z1043" s="2">
        <f>IF(OR(Z1042=1,R1043&lt;=資金模擬!$B$10),1,0)</f>
        <v/>
      </c>
    </row>
    <row r="1044">
      <c r="A1044" s="2" t="n">
        <v>1042</v>
      </c>
      <c r="B1044" s="7" t="n">
        <v>46293.125</v>
      </c>
      <c r="C1044" s="2" t="inlineStr">
        <is>
          <t>進場</t>
        </is>
      </c>
      <c r="D1044" s="2" t="n">
        <v>523</v>
      </c>
      <c r="E1044" s="2" t="inlineStr">
        <is>
          <t>NEAR_USDT_PERP</t>
        </is>
      </c>
      <c r="F1044" s="2" t="inlineStr">
        <is>
          <t>做多</t>
        </is>
      </c>
      <c r="G1044" s="20" t="n">
        <v>5.451</v>
      </c>
      <c r="H1044" s="20" t="n">
        <v>5.614529999999999</v>
      </c>
      <c r="I1044" s="20" t="n">
        <v>5.17845</v>
      </c>
      <c r="J1044" s="20" t="n"/>
      <c r="K1044" s="2" t="inlineStr">
        <is>
          <t>未平倉</t>
        </is>
      </c>
      <c r="L1044" s="5" t="n"/>
      <c r="M1044" s="19">
        <f>資金模擬!$B$5*V1043</f>
        <v/>
      </c>
      <c r="N1044" s="2">
        <f>IF(Z1043=1,"已停止",IF(T1043&gt;=M1044,"已下單","資金不足略過"))</f>
        <v/>
      </c>
      <c r="O1044" s="19">
        <f>IF(N1044="已下單",M1044*資金模擬!$B$7,0)</f>
        <v/>
      </c>
      <c r="P1044" s="4" t="n"/>
      <c r="Q1044" s="13" t="n">
        <v>0</v>
      </c>
      <c r="R1044" s="13">
        <f>R1043+Q1044</f>
        <v/>
      </c>
      <c r="S1044" s="19">
        <f>S1043+IF(N1044="已下單",M1044,0)</f>
        <v/>
      </c>
      <c r="T1044" s="19">
        <f>R1044-S1044</f>
        <v/>
      </c>
      <c r="U1044" s="2">
        <f>U1043+IF(N1044="已下單",1,0)</f>
        <v/>
      </c>
      <c r="V1044" s="19">
        <f>IF(資金模擬!$B$9=2,MAX(R1044,0),MAX(V1043,FLOOR(MAX(R1044,0),資金模擬!$B$6)))</f>
        <v/>
      </c>
      <c r="W1044" s="13">
        <f>MAX(W1043,R1044)</f>
        <v/>
      </c>
      <c r="X1044" s="4">
        <f>IF(W1044&gt;0,R1044/W1044-1,-1)</f>
        <v/>
      </c>
      <c r="Y1044" s="19">
        <f>IF(R1044&gt;0,S1044*資金模擬!$B$7/R1044,0)</f>
        <v/>
      </c>
      <c r="Z1044" s="2">
        <f>IF(OR(Z1043=1,R1044&lt;=資金模擬!$B$10),1,0)</f>
        <v/>
      </c>
    </row>
    <row r="1045">
      <c r="A1045" s="2" t="n">
        <v>1043</v>
      </c>
      <c r="B1045" s="7" t="n">
        <v>46293.125</v>
      </c>
      <c r="C1045" s="2" t="inlineStr">
        <is>
          <t>進場</t>
        </is>
      </c>
      <c r="D1045" s="2" t="n">
        <v>524</v>
      </c>
      <c r="E1045" s="2" t="inlineStr">
        <is>
          <t>USELESS_USDT_PERP</t>
        </is>
      </c>
      <c r="F1045" s="2" t="inlineStr">
        <is>
          <t>做多</t>
        </is>
      </c>
      <c r="G1045" s="20" t="n">
        <v>0.3012</v>
      </c>
      <c r="H1045" s="20" t="n">
        <v>0.310236</v>
      </c>
      <c r="I1045" s="20" t="n">
        <v>0.28614</v>
      </c>
      <c r="J1045" s="20" t="n"/>
      <c r="K1045" s="2" t="inlineStr">
        <is>
          <t>未平倉</t>
        </is>
      </c>
      <c r="L1045" s="5" t="n"/>
      <c r="M1045" s="19">
        <f>資金模擬!$B$5*V1044</f>
        <v/>
      </c>
      <c r="N1045" s="2">
        <f>IF(Z1044=1,"已停止",IF(T1044&gt;=M1045,"已下單","資金不足略過"))</f>
        <v/>
      </c>
      <c r="O1045" s="19">
        <f>IF(N1045="已下單",M1045*資金模擬!$B$7,0)</f>
        <v/>
      </c>
      <c r="P1045" s="4" t="n"/>
      <c r="Q1045" s="13" t="n">
        <v>0</v>
      </c>
      <c r="R1045" s="13">
        <f>R1044+Q1045</f>
        <v/>
      </c>
      <c r="S1045" s="19">
        <f>S1044+IF(N1045="已下單",M1045,0)</f>
        <v/>
      </c>
      <c r="T1045" s="19">
        <f>R1045-S1045</f>
        <v/>
      </c>
      <c r="U1045" s="2">
        <f>U1044+IF(N1045="已下單",1,0)</f>
        <v/>
      </c>
      <c r="V1045" s="19">
        <f>IF(資金模擬!$B$9=2,MAX(R1045,0),MAX(V1044,FLOOR(MAX(R1045,0),資金模擬!$B$6)))</f>
        <v/>
      </c>
      <c r="W1045" s="13">
        <f>MAX(W1044,R1045)</f>
        <v/>
      </c>
      <c r="X1045" s="4">
        <f>IF(W1045&gt;0,R1045/W1045-1,-1)</f>
        <v/>
      </c>
      <c r="Y1045" s="19">
        <f>IF(R1045&gt;0,S1045*資金模擬!$B$7/R1045,0)</f>
        <v/>
      </c>
      <c r="Z1045" s="2">
        <f>IF(OR(Z1044=1,R1045&lt;=資金模擬!$B$10),1,0)</f>
        <v/>
      </c>
    </row>
    <row r="1046">
      <c r="A1046" s="2" t="n">
        <v>1044</v>
      </c>
      <c r="B1046" s="7" t="n">
        <v>46293.20833333334</v>
      </c>
      <c r="C1046" s="2" t="inlineStr">
        <is>
          <t>出場</t>
        </is>
      </c>
      <c r="D1046" s="2" t="n">
        <v>518</v>
      </c>
      <c r="E1046" s="2" t="inlineStr">
        <is>
          <t>BR_USDT_PERP</t>
        </is>
      </c>
      <c r="F1046" s="2" t="inlineStr">
        <is>
          <t>做空</t>
        </is>
      </c>
      <c r="G1046" s="20" t="n">
        <v>0.90447</v>
      </c>
      <c r="H1046" s="20" t="n">
        <v>0.8773358999999999</v>
      </c>
      <c r="I1046" s="20" t="n">
        <v>0.9496935000000001</v>
      </c>
      <c r="J1046" s="20" t="n">
        <v>0.8773358999999999</v>
      </c>
      <c r="K1046" s="2" t="inlineStr">
        <is>
          <t>止盈</t>
        </is>
      </c>
      <c r="L1046" s="5">
        <f>交易明細!K519</f>
        <v/>
      </c>
      <c r="M1046" s="19">
        <f>M1035</f>
        <v/>
      </c>
      <c r="N1046" s="2">
        <f>N1035</f>
        <v/>
      </c>
      <c r="O1046" s="19">
        <f>O1035</f>
        <v/>
      </c>
      <c r="P1046" s="4">
        <f>交易明細!L519</f>
        <v/>
      </c>
      <c r="Q1046" s="13">
        <f>IF(N1046="已下單",O1046*P1046,0)</f>
        <v/>
      </c>
      <c r="R1046" s="13">
        <f>R1045+Q1046</f>
        <v/>
      </c>
      <c r="S1046" s="19">
        <f>S1045-IF(N1046="已下單",M1046,0)</f>
        <v/>
      </c>
      <c r="T1046" s="19">
        <f>R1046-S1046</f>
        <v/>
      </c>
      <c r="U1046" s="2">
        <f>U1045-IF(N1046="已下單",1,0)</f>
        <v/>
      </c>
      <c r="V1046" s="19">
        <f>IF(資金模擬!$B$9=2,MAX(R1046,0),MAX(V1045,FLOOR(MAX(R1046,0),資金模擬!$B$6)))</f>
        <v/>
      </c>
      <c r="W1046" s="13">
        <f>MAX(W1045,R1046)</f>
        <v/>
      </c>
      <c r="X1046" s="4">
        <f>IF(W1046&gt;0,R1046/W1046-1,-1)</f>
        <v/>
      </c>
      <c r="Y1046" s="19">
        <f>IF(R1046&gt;0,S1046*資金模擬!$B$7/R1046,0)</f>
        <v/>
      </c>
      <c r="Z1046" s="2">
        <f>IF(OR(Z1045=1,R1046&lt;=資金模擬!$B$10),1,0)</f>
        <v/>
      </c>
    </row>
    <row r="1047">
      <c r="A1047" s="2" t="n">
        <v>1045</v>
      </c>
      <c r="B1047" s="7" t="n">
        <v>46293.20833333334</v>
      </c>
      <c r="C1047" s="2" t="inlineStr">
        <is>
          <t>進場</t>
        </is>
      </c>
      <c r="D1047" s="2" t="n">
        <v>525</v>
      </c>
      <c r="E1047" s="2" t="inlineStr">
        <is>
          <t>PYTH_USDT_PERP</t>
        </is>
      </c>
      <c r="F1047" s="2" t="inlineStr">
        <is>
          <t>做空</t>
        </is>
      </c>
      <c r="G1047" s="20" t="n">
        <v>0.08361</v>
      </c>
      <c r="H1047" s="20" t="n">
        <v>0.0811017</v>
      </c>
      <c r="I1047" s="20" t="n">
        <v>0.08779050000000001</v>
      </c>
      <c r="J1047" s="20" t="n"/>
      <c r="K1047" s="2" t="inlineStr">
        <is>
          <t>未平倉</t>
        </is>
      </c>
      <c r="L1047" s="5" t="n"/>
      <c r="M1047" s="19">
        <f>資金模擬!$B$5*V1046</f>
        <v/>
      </c>
      <c r="N1047" s="2">
        <f>IF(Z1046=1,"已停止",IF(T1046&gt;=M1047,"已下單","資金不足略過"))</f>
        <v/>
      </c>
      <c r="O1047" s="19">
        <f>IF(N1047="已下單",M1047*資金模擬!$B$7,0)</f>
        <v/>
      </c>
      <c r="P1047" s="4" t="n"/>
      <c r="Q1047" s="13" t="n">
        <v>0</v>
      </c>
      <c r="R1047" s="13">
        <f>R1046+Q1047</f>
        <v/>
      </c>
      <c r="S1047" s="19">
        <f>S1046+IF(N1047="已下單",M1047,0)</f>
        <v/>
      </c>
      <c r="T1047" s="19">
        <f>R1047-S1047</f>
        <v/>
      </c>
      <c r="U1047" s="2">
        <f>U1046+IF(N1047="已下單",1,0)</f>
        <v/>
      </c>
      <c r="V1047" s="19">
        <f>IF(資金模擬!$B$9=2,MAX(R1047,0),MAX(V1046,FLOOR(MAX(R1047,0),資金模擬!$B$6)))</f>
        <v/>
      </c>
      <c r="W1047" s="13">
        <f>MAX(W1046,R1047)</f>
        <v/>
      </c>
      <c r="X1047" s="4">
        <f>IF(W1047&gt;0,R1047/W1047-1,-1)</f>
        <v/>
      </c>
      <c r="Y1047" s="19">
        <f>IF(R1047&gt;0,S1047*資金模擬!$B$7/R1047,0)</f>
        <v/>
      </c>
      <c r="Z1047" s="2">
        <f>IF(OR(Z1046=1,R1047&lt;=資金模擬!$B$10),1,0)</f>
        <v/>
      </c>
    </row>
    <row r="1048">
      <c r="A1048" s="2" t="n">
        <v>1046</v>
      </c>
      <c r="B1048" s="7" t="n">
        <v>46293.25</v>
      </c>
      <c r="C1048" s="2" t="inlineStr">
        <is>
          <t>出場</t>
        </is>
      </c>
      <c r="D1048" s="2" t="n">
        <v>522</v>
      </c>
      <c r="E1048" s="2" t="inlineStr">
        <is>
          <t>GRASS_USDT_PERP</t>
        </is>
      </c>
      <c r="F1048" s="2" t="inlineStr">
        <is>
          <t>做多</t>
        </is>
      </c>
      <c r="G1048" s="20" t="n">
        <v>0.6299</v>
      </c>
      <c r="H1048" s="20" t="n">
        <v>0.6487970000000001</v>
      </c>
      <c r="I1048" s="20" t="n">
        <v>0.598405</v>
      </c>
      <c r="J1048" s="20" t="n">
        <v>0.6487970000000001</v>
      </c>
      <c r="K1048" s="2" t="inlineStr">
        <is>
          <t>止盈</t>
        </is>
      </c>
      <c r="L1048" s="5">
        <f>交易明細!K523</f>
        <v/>
      </c>
      <c r="M1048" s="19">
        <f>M1043</f>
        <v/>
      </c>
      <c r="N1048" s="2">
        <f>N1043</f>
        <v/>
      </c>
      <c r="O1048" s="19">
        <f>O1043</f>
        <v/>
      </c>
      <c r="P1048" s="4">
        <f>交易明細!L523</f>
        <v/>
      </c>
      <c r="Q1048" s="13">
        <f>IF(N1048="已下單",O1048*P1048,0)</f>
        <v/>
      </c>
      <c r="R1048" s="13">
        <f>R1047+Q1048</f>
        <v/>
      </c>
      <c r="S1048" s="19">
        <f>S1047-IF(N1048="已下單",M1048,0)</f>
        <v/>
      </c>
      <c r="T1048" s="19">
        <f>R1048-S1048</f>
        <v/>
      </c>
      <c r="U1048" s="2">
        <f>U1047-IF(N1048="已下單",1,0)</f>
        <v/>
      </c>
      <c r="V1048" s="19">
        <f>IF(資金模擬!$B$9=2,MAX(R1048,0),MAX(V1047,FLOOR(MAX(R1048,0),資金模擬!$B$6)))</f>
        <v/>
      </c>
      <c r="W1048" s="13">
        <f>MAX(W1047,R1048)</f>
        <v/>
      </c>
      <c r="X1048" s="4">
        <f>IF(W1048&gt;0,R1048/W1048-1,-1)</f>
        <v/>
      </c>
      <c r="Y1048" s="19">
        <f>IF(R1048&gt;0,S1048*資金模擬!$B$7/R1048,0)</f>
        <v/>
      </c>
      <c r="Z1048" s="2">
        <f>IF(OR(Z1047=1,R1048&lt;=資金模擬!$B$10),1,0)</f>
        <v/>
      </c>
    </row>
  </sheetData>
  <autoFilter ref="A1:Z1048"/>
  <conditionalFormatting sqref="K2:K1048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048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048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2026-09-28 06:17（Dry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IFERROR(AVERAGE(交易明細!$AC$2:$AC$526),(B6+2*B7)/(B5+B6))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52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46285.45833333334</v>
      </c>
      <c r="I299" s="20" t="n">
        <v>0.00400804</v>
      </c>
      <c r="J299" s="2" t="inlineStr">
        <is>
          <t>止盈</t>
        </is>
      </c>
      <c r="K299" s="5">
        <f>(H299-D299)*24</f>
        <v/>
      </c>
      <c r="L299" s="4">
        <f>IF(C299="做多",I299/E299-1,1-I299/E299)-2*參數!$B$7</f>
        <v/>
      </c>
      <c r="M299" s="2" t="inlineStr"/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0.03</v>
      </c>
      <c r="T299" s="4" t="n">
        <v>0.03484995159728954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46285.125</v>
      </c>
      <c r="I303" s="20" t="n">
        <v>0.205252</v>
      </c>
      <c r="J303" s="2" t="inlineStr">
        <is>
          <t>止盈</t>
        </is>
      </c>
      <c r="K303" s="5">
        <f>(H303-D303)*24</f>
        <v/>
      </c>
      <c r="L303" s="4">
        <f>IF(C303="做多",I303/E303-1,1-I303/E303)-2*參數!$B$7</f>
        <v/>
      </c>
      <c r="M303" s="2" t="inlineStr"/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0.03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46285.16666666666</v>
      </c>
      <c r="I307" s="20" t="n">
        <v>0.407109</v>
      </c>
      <c r="J307" s="2" t="inlineStr">
        <is>
          <t>止盈</t>
        </is>
      </c>
      <c r="K307" s="5">
        <f>(H307-D307)*24</f>
        <v/>
      </c>
      <c r="L307" s="4">
        <f>IF(C307="做多",I307/E307-1,1-I307/E307)-2*參數!$B$7</f>
        <v/>
      </c>
      <c r="M307" s="2" t="inlineStr"/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0.03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46285.25</v>
      </c>
      <c r="I308" s="20" t="n">
        <v>4.80247</v>
      </c>
      <c r="J308" s="2" t="inlineStr">
        <is>
          <t>止盈</t>
        </is>
      </c>
      <c r="K308" s="5">
        <f>(H308-D308)*24</f>
        <v/>
      </c>
      <c r="L308" s="4">
        <f>IF(C308="做多",I308/E308-1,1-I308/E308)-2*參數!$B$7</f>
        <v/>
      </c>
      <c r="M308" s="2" t="inlineStr"/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0.03</v>
      </c>
      <c r="T308" s="4" t="n">
        <v>0.007675217127852907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46285.25</v>
      </c>
      <c r="I309" s="20" t="n">
        <v>537.38</v>
      </c>
      <c r="J309" s="2" t="inlineStr">
        <is>
          <t>止盈</t>
        </is>
      </c>
      <c r="K309" s="5">
        <f>(H309-D309)*24</f>
        <v/>
      </c>
      <c r="L309" s="4">
        <f>IF(C309="做多",I309/E309-1,1-I309/E309)-2*參數!$B$7</f>
        <v/>
      </c>
      <c r="M309" s="2" t="inlineStr"/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0.03</v>
      </c>
      <c r="T309" s="4" t="n">
        <v>0.004693140794223893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  <row r="310">
      <c r="A310" s="2" t="n">
        <v>309</v>
      </c>
      <c r="B310" s="2" t="inlineStr">
        <is>
          <t>MYX_USDT_PERP</t>
        </is>
      </c>
      <c r="C310" s="2" t="inlineStr">
        <is>
          <t>做多</t>
        </is>
      </c>
      <c r="D310" s="7" t="n">
        <v>46285.125</v>
      </c>
      <c r="E310" s="20" t="n">
        <v>0.08934</v>
      </c>
      <c r="F310" s="20" t="n">
        <v>0.09202020000000001</v>
      </c>
      <c r="G310" s="20" t="n">
        <v>0.084873</v>
      </c>
      <c r="H310" s="7" t="n">
        <v>46285.41666666666</v>
      </c>
      <c r="I310" s="20" t="n">
        <v>0.084873</v>
      </c>
      <c r="J310" s="2" t="inlineStr">
        <is>
          <t>止損</t>
        </is>
      </c>
      <c r="K310" s="5">
        <f>(H310-D310)*24</f>
        <v/>
      </c>
      <c r="L310" s="4">
        <f>IF(C310="做多",I310/E310-1,1-I310/E310)-2*參數!$B$7</f>
        <v/>
      </c>
      <c r="M310" s="2" t="inlineStr"/>
      <c r="N310" s="4" t="n">
        <v>0.03654716324399576</v>
      </c>
      <c r="O310" s="4" t="n">
        <v>0.07525834058527245</v>
      </c>
      <c r="P310" s="4" t="n">
        <v>0.01090221948142323</v>
      </c>
      <c r="Q310" s="22" t="n">
        <v>4340743</v>
      </c>
      <c r="R310" s="22" t="n">
        <v>3068795.40256</v>
      </c>
      <c r="S310" s="4" t="n">
        <v>0.0135437653906425</v>
      </c>
      <c r="T310" s="4" t="n">
        <v>0.05</v>
      </c>
      <c r="U310" s="19" t="n">
        <v>0.5424330647628367</v>
      </c>
      <c r="V310" s="19" t="n">
        <v>0.7824074074074084</v>
      </c>
      <c r="W310" s="4" t="n">
        <v>0.3228422006503158</v>
      </c>
      <c r="X310" s="4" t="n">
        <v>0.1032353667572241</v>
      </c>
      <c r="Y310" s="4" t="n">
        <v>-0.0003549234888118313</v>
      </c>
      <c r="Z310" s="4" t="n">
        <v>0.001391109753730913</v>
      </c>
      <c r="AA310" s="4" t="n">
        <v>0.03</v>
      </c>
      <c r="AB310" s="4" t="n">
        <v>0.05</v>
      </c>
      <c r="AC310" s="4">
        <f>(AB310+2*參數!$B$7)/(AA310+AB310)</f>
        <v/>
      </c>
    </row>
    <row r="311">
      <c r="A311" s="2" t="n">
        <v>310</v>
      </c>
      <c r="B311" s="2" t="inlineStr">
        <is>
          <t>NEAR_USDT_PERP</t>
        </is>
      </c>
      <c r="C311" s="2" t="inlineStr">
        <is>
          <t>做空</t>
        </is>
      </c>
      <c r="D311" s="7" t="n">
        <v>46285.125</v>
      </c>
      <c r="E311" s="20" t="n">
        <v>3.57</v>
      </c>
      <c r="F311" s="20" t="n">
        <v>3.4629</v>
      </c>
      <c r="G311" s="20" t="n">
        <v>3.7485</v>
      </c>
      <c r="H311" s="7" t="n">
        <v>46285.16666666666</v>
      </c>
      <c r="I311" s="20" t="n">
        <v>3.4629</v>
      </c>
      <c r="J311" s="2" t="inlineStr">
        <is>
          <t>止盈</t>
        </is>
      </c>
      <c r="K311" s="5">
        <f>(H311-D311)*24</f>
        <v/>
      </c>
      <c r="L311" s="4">
        <f>IF(C311="做多",I311/E311-1,1-I311/E311)-2*參數!$B$7</f>
        <v/>
      </c>
      <c r="M311" s="2" t="inlineStr"/>
      <c r="N311" s="4" t="n">
        <v>-0.02272105119080214</v>
      </c>
      <c r="O311" s="4" t="n">
        <v>0.02515222662370712</v>
      </c>
      <c r="P311" s="4" t="n">
        <v>-0.03066835009978408</v>
      </c>
      <c r="Q311" s="22" t="n">
        <v>-132261</v>
      </c>
      <c r="R311" s="22" t="n">
        <v>9795962.280999999</v>
      </c>
      <c r="S311" s="4" t="n">
        <v>0.03</v>
      </c>
      <c r="T311" s="4" t="n">
        <v>0</v>
      </c>
      <c r="U311" s="19" t="n">
        <v>0.7271113402286415</v>
      </c>
      <c r="V311" s="19" t="n">
        <v>0.9607843137254903</v>
      </c>
      <c r="W311" s="4" t="n">
        <v>-0.1759048208803804</v>
      </c>
      <c r="X311" s="4" t="n">
        <v>0.04647435897435903</v>
      </c>
      <c r="Y311" s="4" t="n">
        <v>0.0003549234888118313</v>
      </c>
      <c r="Z311" s="4" t="n">
        <v>-0.001391109753730913</v>
      </c>
      <c r="AA311" s="4" t="n">
        <v>0.03</v>
      </c>
      <c r="AB311" s="4" t="n">
        <v>0.05</v>
      </c>
      <c r="AC311" s="4">
        <f>(AB311+2*參數!$B$7)/(AA311+AB311)</f>
        <v/>
      </c>
    </row>
    <row r="312">
      <c r="A312" s="2" t="n">
        <v>311</v>
      </c>
      <c r="B312" s="2" t="inlineStr">
        <is>
          <t>INJ_USDT_PERP</t>
        </is>
      </c>
      <c r="C312" s="2" t="inlineStr">
        <is>
          <t>做多</t>
        </is>
      </c>
      <c r="D312" s="7" t="n">
        <v>46285.25</v>
      </c>
      <c r="E312" s="20" t="n">
        <v>7.864</v>
      </c>
      <c r="F312" s="20" t="n">
        <v>8.099920000000001</v>
      </c>
      <c r="G312" s="20" t="n">
        <v>7.4708</v>
      </c>
      <c r="H312" s="7" t="n">
        <v>46285.29166666666</v>
      </c>
      <c r="I312" s="20" t="n">
        <v>8.099920000000001</v>
      </c>
      <c r="J312" s="2" t="inlineStr">
        <is>
          <t>止盈</t>
        </is>
      </c>
      <c r="K312" s="5">
        <f>(H312-D312)*24</f>
        <v/>
      </c>
      <c r="L312" s="4">
        <f>IF(C312="做多",I312/E312-1,1-I312/E312)-2*參數!$B$7</f>
        <v/>
      </c>
      <c r="M312" s="2" t="inlineStr"/>
      <c r="N312" s="4" t="n">
        <v>0.02302588786262505</v>
      </c>
      <c r="O312" s="4" t="n">
        <v>0.0276427089687035</v>
      </c>
      <c r="P312" s="4" t="n">
        <v>0.05281478010576324</v>
      </c>
      <c r="Q312" s="22" t="n">
        <v>78788.40000000001</v>
      </c>
      <c r="R312" s="22" t="n">
        <v>4686492.1699</v>
      </c>
      <c r="S312" s="4" t="n">
        <v>0.03</v>
      </c>
      <c r="T312" s="4" t="n">
        <v>0</v>
      </c>
      <c r="U312" s="19" t="n">
        <v>0.7093044439591327</v>
      </c>
      <c r="V312" s="19" t="n">
        <v>0.5552238805970148</v>
      </c>
      <c r="W312" s="4" t="n">
        <v>0.2857383430913636</v>
      </c>
      <c r="X312" s="4" t="n">
        <v>0.1845157403223376</v>
      </c>
      <c r="Y312" s="4" t="n">
        <v>-0.0007506378572924577</v>
      </c>
      <c r="Z312" s="4" t="n">
        <v>-0.00249216695236143</v>
      </c>
      <c r="AA312" s="4" t="n">
        <v>0.03</v>
      </c>
      <c r="AB312" s="4" t="n">
        <v>0.05</v>
      </c>
      <c r="AC312" s="4">
        <f>(AB312+2*參數!$B$7)/(AA312+AB312)</f>
        <v/>
      </c>
    </row>
    <row r="313">
      <c r="A313" s="2" t="n">
        <v>312</v>
      </c>
      <c r="B313" s="2" t="inlineStr">
        <is>
          <t>AR_USDT_PERP</t>
        </is>
      </c>
      <c r="C313" s="2" t="inlineStr">
        <is>
          <t>做多</t>
        </is>
      </c>
      <c r="D313" s="7" t="n">
        <v>46285.33333333334</v>
      </c>
      <c r="E313" s="20" t="n">
        <v>4.413</v>
      </c>
      <c r="F313" s="20" t="n">
        <v>4.54539</v>
      </c>
      <c r="G313" s="20" t="n">
        <v>4.19235</v>
      </c>
      <c r="H313" s="7" t="n">
        <v>46285.375</v>
      </c>
      <c r="I313" s="20" t="n">
        <v>4.54539</v>
      </c>
      <c r="J313" s="2" t="inlineStr">
        <is>
          <t>止盈</t>
        </is>
      </c>
      <c r="K313" s="5">
        <f>(H313-D313)*24</f>
        <v/>
      </c>
      <c r="L313" s="4">
        <f>IF(C313="做多",I313/E313-1,1-I313/E313)-2*參數!$B$7</f>
        <v/>
      </c>
      <c r="M313" s="2" t="inlineStr"/>
      <c r="N313" s="4" t="n">
        <v>0.02819198508853682</v>
      </c>
      <c r="O313" s="4" t="n">
        <v>0.04999482014679841</v>
      </c>
      <c r="P313" s="4" t="n">
        <v>0.005559859636330433</v>
      </c>
      <c r="Q313" s="22" t="n">
        <v>96265.09999999998</v>
      </c>
      <c r="R313" s="22" t="n">
        <v>2123500.032</v>
      </c>
      <c r="S313" s="4" t="n">
        <v>0.03</v>
      </c>
      <c r="T313" s="4" t="n">
        <v>0</v>
      </c>
      <c r="U313" s="19" t="n">
        <v>0.4301638254730788</v>
      </c>
      <c r="V313" s="19" t="n">
        <v>0.8653846153846165</v>
      </c>
      <c r="W313" s="4" t="n">
        <v>0.42381937207404</v>
      </c>
      <c r="X313" s="4" t="n">
        <v>0.2093724308029599</v>
      </c>
      <c r="Y313" s="4" t="n">
        <v>-7.016999604825269e-05</v>
      </c>
      <c r="Z313" s="4" t="n">
        <v>-0.0006358480500331387</v>
      </c>
      <c r="AA313" s="4" t="n">
        <v>0.03</v>
      </c>
      <c r="AB313" s="4" t="n">
        <v>0.05</v>
      </c>
      <c r="AC313" s="4">
        <f>(AB313+2*參數!$B$7)/(AA313+AB313)</f>
        <v/>
      </c>
    </row>
    <row r="314">
      <c r="A314" s="2" t="n">
        <v>313</v>
      </c>
      <c r="B314" s="2" t="inlineStr">
        <is>
          <t>NEAR_USDT_PERP</t>
        </is>
      </c>
      <c r="C314" s="2" t="inlineStr">
        <is>
          <t>做空</t>
        </is>
      </c>
      <c r="D314" s="7" t="n">
        <v>46285.45833333334</v>
      </c>
      <c r="E314" s="20" t="n">
        <v>3.486</v>
      </c>
      <c r="F314" s="20" t="n">
        <v>3.38142</v>
      </c>
      <c r="G314" s="20" t="n">
        <v>3.6603</v>
      </c>
      <c r="H314" s="7" t="n">
        <v>46285.83333333334</v>
      </c>
      <c r="I314" s="20" t="n">
        <v>3.6603</v>
      </c>
      <c r="J314" s="2" t="inlineStr">
        <is>
          <t>止損</t>
        </is>
      </c>
      <c r="K314" s="5">
        <f>(H314-D314)*24</f>
        <v/>
      </c>
      <c r="L314" s="4">
        <f>IF(C314="做多",I314/E314-1,1-I314/E314)-2*參數!$B$7</f>
        <v/>
      </c>
      <c r="M314" s="2" t="inlineStr"/>
      <c r="N314" s="4" t="n">
        <v>-0.02078651685393251</v>
      </c>
      <c r="O314" s="4" t="n">
        <v>0.02467236423379743</v>
      </c>
      <c r="P314" s="4" t="n">
        <v>-0.03259376430920347</v>
      </c>
      <c r="Q314" s="22" t="n">
        <v>-472360</v>
      </c>
      <c r="R314" s="22" t="n">
        <v>8926976.131000001</v>
      </c>
      <c r="S314" s="4" t="n">
        <v>0.01721170395869187</v>
      </c>
      <c r="T314" s="4" t="n">
        <v>0.05</v>
      </c>
      <c r="U314" s="19" t="n">
        <v>0.8925540003538655</v>
      </c>
      <c r="V314" s="19" t="n">
        <v>0.8870967741935466</v>
      </c>
      <c r="W314" s="4" t="n">
        <v>-0.1131298875055482</v>
      </c>
      <c r="X314" s="4" t="n">
        <v>0.08910373660830928</v>
      </c>
      <c r="Y314" s="4" t="n">
        <v>0.00932695664402261</v>
      </c>
      <c r="Z314" s="4" t="n">
        <v>0.01165863764939423</v>
      </c>
      <c r="AA314" s="4" t="n">
        <v>0.03</v>
      </c>
      <c r="AB314" s="4" t="n">
        <v>0.05</v>
      </c>
      <c r="AC314" s="4">
        <f>(AB314+2*參數!$B$7)/(AA314+AB314)</f>
        <v/>
      </c>
    </row>
    <row r="315">
      <c r="A315" s="2" t="n">
        <v>314</v>
      </c>
      <c r="B315" s="2" t="inlineStr">
        <is>
          <t>ONDO_USDT_PERP</t>
        </is>
      </c>
      <c r="C315" s="2" t="inlineStr">
        <is>
          <t>做空</t>
        </is>
      </c>
      <c r="D315" s="7" t="n">
        <v>46285.45833333334</v>
      </c>
      <c r="E315" s="20" t="n">
        <v>0.4017</v>
      </c>
      <c r="F315" s="20" t="n">
        <v>0.389649</v>
      </c>
      <c r="G315" s="20" t="n">
        <v>0.421785</v>
      </c>
      <c r="H315" s="7" t="n">
        <v>46286.04166666666</v>
      </c>
      <c r="I315" s="20" t="n">
        <v>0.421785</v>
      </c>
      <c r="J315" s="2" t="inlineStr">
        <is>
          <t>止損</t>
        </is>
      </c>
      <c r="K315" s="5">
        <f>(H315-D315)*24</f>
        <v/>
      </c>
      <c r="L315" s="4">
        <f>IF(C315="做多",I315/E315-1,1-I315/E315)-2*參數!$B$7</f>
        <v/>
      </c>
      <c r="M315" s="2" t="inlineStr"/>
      <c r="N315" s="4" t="n">
        <v>-0.02830188679245282</v>
      </c>
      <c r="O315" s="4" t="n">
        <v>0.02225534078883738</v>
      </c>
      <c r="P315" s="4" t="n">
        <v>-0.04124301875984537</v>
      </c>
      <c r="Q315" s="22" t="n">
        <v>-388749.2</v>
      </c>
      <c r="R315" s="22" t="n">
        <v>4643277.59162</v>
      </c>
      <c r="S315" s="4" t="n">
        <v>0.0002489419965148176</v>
      </c>
      <c r="T315" s="4" t="n">
        <v>0.05</v>
      </c>
      <c r="U315" s="19" t="n">
        <v>0.8408845244590804</v>
      </c>
      <c r="V315" s="19" t="n">
        <v>0.9805194805194791</v>
      </c>
      <c r="W315" s="4" t="n">
        <v>-0.06955431243127252</v>
      </c>
      <c r="X315" s="4" t="n">
        <v>0.01592356687898089</v>
      </c>
      <c r="Y315" s="4" t="n">
        <v>0.00932695664402261</v>
      </c>
      <c r="Z315" s="4" t="n">
        <v>0.01165863764939423</v>
      </c>
      <c r="AA315" s="4" t="n">
        <v>0.03</v>
      </c>
      <c r="AB315" s="4" t="n">
        <v>0.05</v>
      </c>
      <c r="AC315" s="4">
        <f>(AB315+2*參數!$B$7)/(AA315+AB315)</f>
        <v/>
      </c>
    </row>
    <row r="316">
      <c r="A316" s="2" t="n">
        <v>315</v>
      </c>
      <c r="B316" s="2" t="inlineStr">
        <is>
          <t>PEPE_USDT_PERP</t>
        </is>
      </c>
      <c r="C316" s="2" t="inlineStr">
        <is>
          <t>做空</t>
        </is>
      </c>
      <c r="D316" s="7" t="n">
        <v>46285.45833333334</v>
      </c>
      <c r="E316" s="20" t="n">
        <v>3.935e-06</v>
      </c>
      <c r="F316" s="20" t="n">
        <v>3.816949999999999e-06</v>
      </c>
      <c r="G316" s="20" t="n">
        <v>4.13175e-06</v>
      </c>
      <c r="H316" s="7" t="n">
        <v>46286.70833333334</v>
      </c>
      <c r="I316" s="20" t="n">
        <v>4.13175e-06</v>
      </c>
      <c r="J316" s="2" t="inlineStr">
        <is>
          <t>止損</t>
        </is>
      </c>
      <c r="K316" s="5">
        <f>(H316-D316)*24</f>
        <v/>
      </c>
      <c r="L316" s="4">
        <f>IF(C316="做多",I316/E316-1,1-I316/E316)-2*參數!$B$7</f>
        <v/>
      </c>
      <c r="M316" s="2" t="inlineStr"/>
      <c r="N316" s="4" t="n">
        <v>-0.03302698186464859</v>
      </c>
      <c r="O316" s="4" t="n">
        <v>0.02292039101294388</v>
      </c>
      <c r="P316" s="4" t="n">
        <v>-0.01149405075167897</v>
      </c>
      <c r="Q316" s="22" t="n">
        <v>-6611615200</v>
      </c>
      <c r="R316" s="22" t="n">
        <v>3988155.013442955</v>
      </c>
      <c r="S316" s="4" t="n">
        <v>0.0163405336721727</v>
      </c>
      <c r="T316" s="4" t="n">
        <v>0.05</v>
      </c>
      <c r="U316" s="19" t="n">
        <v>4.71282320140095</v>
      </c>
      <c r="V316" s="19" t="n">
        <v>0.9395846444304603</v>
      </c>
      <c r="W316" s="4" t="n">
        <v>-0.07827391774592241</v>
      </c>
      <c r="X316" s="4" t="n">
        <v>-0.04540261948407309</v>
      </c>
      <c r="Y316" s="4" t="n">
        <v>0.00932695664402261</v>
      </c>
      <c r="Z316" s="4" t="n">
        <v>0.01165863764939423</v>
      </c>
      <c r="AA316" s="4" t="n">
        <v>0.03</v>
      </c>
      <c r="AB316" s="4" t="n">
        <v>0.05</v>
      </c>
      <c r="AC316" s="4">
        <f>(AB316+2*參數!$B$7)/(AA316+AB316)</f>
        <v/>
      </c>
    </row>
    <row r="317">
      <c r="A317" s="2" t="n">
        <v>316</v>
      </c>
      <c r="B317" s="2" t="inlineStr">
        <is>
          <t>PONS_USDT_PERP</t>
        </is>
      </c>
      <c r="C317" s="2" t="inlineStr">
        <is>
          <t>做空</t>
        </is>
      </c>
      <c r="D317" s="7" t="n">
        <v>46285.45833333334</v>
      </c>
      <c r="E317" s="20" t="n">
        <v>0.5768</v>
      </c>
      <c r="F317" s="20" t="n">
        <v>0.559496</v>
      </c>
      <c r="G317" s="20" t="n">
        <v>0.60564</v>
      </c>
      <c r="H317" s="7" t="n">
        <v>46285.58333333334</v>
      </c>
      <c r="I317" s="20" t="n">
        <v>0.60564</v>
      </c>
      <c r="J317" s="2" t="inlineStr">
        <is>
          <t>止損</t>
        </is>
      </c>
      <c r="K317" s="5">
        <f>(H317-D317)*24</f>
        <v/>
      </c>
      <c r="L317" s="4">
        <f>IF(C317="做多",I317/E317-1,1-I317/E317)-2*參數!$B$7</f>
        <v/>
      </c>
      <c r="M317" s="2" t="inlineStr"/>
      <c r="N317" s="4" t="n">
        <v>-0.03866666666666663</v>
      </c>
      <c r="O317" s="4" t="n">
        <v>0.03195300586677255</v>
      </c>
      <c r="P317" s="4" t="n">
        <v>-0.05998924398233407</v>
      </c>
      <c r="Q317" s="22" t="n">
        <v>-1546071</v>
      </c>
      <c r="R317" s="22" t="n">
        <v>2283461.6848</v>
      </c>
      <c r="S317" s="4" t="n">
        <v>0.001560332871012537</v>
      </c>
      <c r="T317" s="4" t="n">
        <v>0.05</v>
      </c>
      <c r="U317" s="19" t="n">
        <v>1.774713329144311</v>
      </c>
      <c r="V317" s="19" t="n">
        <v>0.9318181818181822</v>
      </c>
      <c r="W317" s="4" t="n">
        <v>0.09818213656411767</v>
      </c>
      <c r="X317" s="4" t="n">
        <v>0.1638155987242679</v>
      </c>
      <c r="Y317" s="4" t="n">
        <v>0.00932695664402261</v>
      </c>
      <c r="Z317" s="4" t="n">
        <v>0.01165863764939423</v>
      </c>
      <c r="AA317" s="4" t="n">
        <v>0.03</v>
      </c>
      <c r="AB317" s="4" t="n">
        <v>0.05</v>
      </c>
      <c r="AC317" s="4">
        <f>(AB317+2*參數!$B$7)/(AA317+AB317)</f>
        <v/>
      </c>
    </row>
    <row r="318">
      <c r="A318" s="2" t="n">
        <v>317</v>
      </c>
      <c r="B318" s="2" t="inlineStr">
        <is>
          <t>SUI_USDT_PERP</t>
        </is>
      </c>
      <c r="C318" s="2" t="inlineStr">
        <is>
          <t>做空</t>
        </is>
      </c>
      <c r="D318" s="7" t="n">
        <v>46285.45833333334</v>
      </c>
      <c r="E318" s="20" t="n">
        <v>0.8198</v>
      </c>
      <c r="F318" s="20" t="n">
        <v>0.795206</v>
      </c>
      <c r="G318" s="20" t="n">
        <v>0.8607900000000001</v>
      </c>
      <c r="H318" s="7" t="n">
        <v>46286.04166666666</v>
      </c>
      <c r="I318" s="20" t="n">
        <v>0.8607900000000001</v>
      </c>
      <c r="J318" s="2" t="inlineStr">
        <is>
          <t>止損</t>
        </is>
      </c>
      <c r="K318" s="5">
        <f>(H318-D318)*24</f>
        <v/>
      </c>
      <c r="L318" s="4">
        <f>IF(C318="做多",I318/E318-1,1-I318/E318)-2*參數!$B$7</f>
        <v/>
      </c>
      <c r="M318" s="2" t="inlineStr"/>
      <c r="N318" s="4" t="n">
        <v>-0.04674418604651165</v>
      </c>
      <c r="O318" s="4" t="n">
        <v>0.02166469134828462</v>
      </c>
      <c r="P318" s="4" t="n">
        <v>-0.03694566813509548</v>
      </c>
      <c r="Q318" s="22" t="n">
        <v>-2488226.3</v>
      </c>
      <c r="R318" s="22" t="n">
        <v>7961224.33964</v>
      </c>
      <c r="S318" s="4" t="n">
        <v>0.01366186874847519</v>
      </c>
      <c r="T318" s="4" t="n">
        <v>0.05</v>
      </c>
      <c r="U318" s="19" t="n">
        <v>1.116063614868705</v>
      </c>
      <c r="V318" s="19" t="n">
        <v>0.9383429672447018</v>
      </c>
      <c r="W318" s="4" t="n">
        <v>-0.07074240142521826</v>
      </c>
      <c r="X318" s="4" t="n">
        <v>0.01038145823273784</v>
      </c>
      <c r="Y318" s="4" t="n">
        <v>0.00932695664402261</v>
      </c>
      <c r="Z318" s="4" t="n">
        <v>0.01165863764939423</v>
      </c>
      <c r="AA318" s="4" t="n">
        <v>0.03</v>
      </c>
      <c r="AB318" s="4" t="n">
        <v>0.05</v>
      </c>
      <c r="AC318" s="4">
        <f>(AB318+2*參數!$B$7)/(AA318+AB318)</f>
        <v/>
      </c>
    </row>
    <row r="319">
      <c r="A319" s="2" t="n">
        <v>318</v>
      </c>
      <c r="B319" s="2" t="inlineStr">
        <is>
          <t>UNI_USDT_PERP</t>
        </is>
      </c>
      <c r="C319" s="2" t="inlineStr">
        <is>
          <t>做空</t>
        </is>
      </c>
      <c r="D319" s="7" t="n">
        <v>46285.45833333334</v>
      </c>
      <c r="E319" s="20" t="n">
        <v>8.545</v>
      </c>
      <c r="F319" s="20" t="n">
        <v>8.288650000000001</v>
      </c>
      <c r="G319" s="20" t="n">
        <v>8.972250000000001</v>
      </c>
      <c r="H319" s="7" t="n">
        <v>46286.04166666666</v>
      </c>
      <c r="I319" s="20" t="n">
        <v>8.972250000000001</v>
      </c>
      <c r="J319" s="2" t="inlineStr">
        <is>
          <t>止損</t>
        </is>
      </c>
      <c r="K319" s="5">
        <f>(H319-D319)*24</f>
        <v/>
      </c>
      <c r="L319" s="4">
        <f>IF(C319="做多",I319/E319-1,1-I319/E319)-2*參數!$B$7</f>
        <v/>
      </c>
      <c r="M319" s="2" t="inlineStr"/>
      <c r="N319" s="4" t="n">
        <v>-0.03073956442831227</v>
      </c>
      <c r="O319" s="4" t="n">
        <v>0.02207124265375107</v>
      </c>
      <c r="P319" s="4" t="n">
        <v>-0.03548773054608678</v>
      </c>
      <c r="Q319" s="22" t="n">
        <v>-309603</v>
      </c>
      <c r="R319" s="22" t="n">
        <v>9435821.475</v>
      </c>
      <c r="S319" s="4" t="n">
        <v>0.001404330017554134</v>
      </c>
      <c r="T319" s="4" t="n">
        <v>0.05</v>
      </c>
      <c r="U319" s="19" t="n">
        <v>1.164922919343472</v>
      </c>
      <c r="V319" s="19" t="n">
        <v>0.8412698412698401</v>
      </c>
      <c r="W319" s="4" t="n">
        <v>-0.09817236872374258</v>
      </c>
      <c r="X319" s="4" t="n">
        <v>0.05507022005971463</v>
      </c>
      <c r="Y319" s="4" t="n">
        <v>0.00932695664402261</v>
      </c>
      <c r="Z319" s="4" t="n">
        <v>0.01165863764939423</v>
      </c>
      <c r="AA319" s="4" t="n">
        <v>0.03</v>
      </c>
      <c r="AB319" s="4" t="n">
        <v>0.05</v>
      </c>
      <c r="AC319" s="4">
        <f>(AB319+2*參數!$B$7)/(AA319+AB319)</f>
        <v/>
      </c>
    </row>
    <row r="320">
      <c r="A320" s="2" t="n">
        <v>319</v>
      </c>
      <c r="B320" s="2" t="inlineStr">
        <is>
          <t>AKE_USDT_PERP</t>
        </is>
      </c>
      <c r="C320" s="2" t="inlineStr">
        <is>
          <t>做多</t>
        </is>
      </c>
      <c r="D320" s="7" t="n">
        <v>46285.5</v>
      </c>
      <c r="E320" s="20" t="n">
        <v>0.06488480000000001</v>
      </c>
      <c r="F320" s="20" t="n">
        <v>0.06683134400000001</v>
      </c>
      <c r="G320" s="20" t="n">
        <v>0.06164056</v>
      </c>
      <c r="H320" s="7" t="n">
        <v>46285.58333333334</v>
      </c>
      <c r="I320" s="20" t="n">
        <v>0.06164056</v>
      </c>
      <c r="J320" s="2" t="inlineStr">
        <is>
          <t>止損</t>
        </is>
      </c>
      <c r="K320" s="5">
        <f>(H320-D320)*24</f>
        <v/>
      </c>
      <c r="L320" s="4">
        <f>IF(C320="做多",I320/E320-1,1-I320/E320)-2*參數!$B$7</f>
        <v/>
      </c>
      <c r="M320" s="2" t="inlineStr"/>
      <c r="N320" s="4" t="n">
        <v>0.05817751865291321</v>
      </c>
      <c r="O320" s="4" t="n">
        <v>0.09594498331462774</v>
      </c>
      <c r="P320" s="4" t="n">
        <v>0.02297487086055328</v>
      </c>
      <c r="Q320" s="22" t="n">
        <v>57002626</v>
      </c>
      <c r="R320" s="22" t="n">
        <v>24385917.2544333</v>
      </c>
      <c r="S320" s="4" t="n">
        <v>0.006761213720316572</v>
      </c>
      <c r="T320" s="4" t="n">
        <v>0.05</v>
      </c>
      <c r="U320" s="19" t="n">
        <v>0.865719328558089</v>
      </c>
      <c r="V320" s="19" t="n">
        <v>0.9330681441492645</v>
      </c>
      <c r="W320" s="4" t="n">
        <v>0.8691193567386533</v>
      </c>
      <c r="X320" s="4" t="n">
        <v>0.5461278177572322</v>
      </c>
      <c r="Y320" s="4" t="n">
        <v>0.001966131241439406</v>
      </c>
      <c r="Z320" s="4" t="n">
        <v>-0.009350963907462151</v>
      </c>
      <c r="AA320" s="4" t="n">
        <v>0.03</v>
      </c>
      <c r="AB320" s="4" t="n">
        <v>0.05</v>
      </c>
      <c r="AC320" s="4">
        <f>(AB320+2*參數!$B$7)/(AA320+AB320)</f>
        <v/>
      </c>
    </row>
    <row r="321">
      <c r="A321" s="2" t="n">
        <v>320</v>
      </c>
      <c r="B321" s="2" t="inlineStr">
        <is>
          <t>INJ_USDT_PERP</t>
        </is>
      </c>
      <c r="C321" s="2" t="inlineStr">
        <is>
          <t>做空</t>
        </is>
      </c>
      <c r="D321" s="7" t="n">
        <v>46285.5</v>
      </c>
      <c r="E321" s="20" t="n">
        <v>7.584</v>
      </c>
      <c r="F321" s="20" t="n">
        <v>7.356479999999999</v>
      </c>
      <c r="G321" s="20" t="n">
        <v>7.9632</v>
      </c>
      <c r="H321" s="7" t="n">
        <v>46286</v>
      </c>
      <c r="I321" s="20" t="n">
        <v>7.9632</v>
      </c>
      <c r="J321" s="2" t="inlineStr">
        <is>
          <t>止損</t>
        </is>
      </c>
      <c r="K321" s="5">
        <f>(H321-D321)*24</f>
        <v/>
      </c>
      <c r="L321" s="4">
        <f>IF(C321="做多",I321/E321-1,1-I321/E321)-2*參數!$B$7</f>
        <v/>
      </c>
      <c r="M321" s="2" t="inlineStr"/>
      <c r="N321" s="4" t="n">
        <v>-0.0220502901353965</v>
      </c>
      <c r="O321" s="4" t="n">
        <v>0.03806047574788332</v>
      </c>
      <c r="P321" s="4" t="n">
        <v>-0.01750840442276691</v>
      </c>
      <c r="Q321" s="22" t="n">
        <v>-159658.6</v>
      </c>
      <c r="R321" s="22" t="n">
        <v>5291842.3935</v>
      </c>
      <c r="S321" s="4" t="n">
        <v>0.01068037974683533</v>
      </c>
      <c r="T321" s="4" t="n">
        <v>0.05</v>
      </c>
      <c r="U321" s="19" t="n">
        <v>1.270388029223202</v>
      </c>
      <c r="V321" s="19" t="n">
        <v>0.6573705179282873</v>
      </c>
      <c r="W321" s="4" t="n">
        <v>-0.2104632288276669</v>
      </c>
      <c r="X321" s="4" t="n">
        <v>-0.1063457330415754</v>
      </c>
      <c r="Y321" s="4" t="n">
        <v>-0.001966131241439406</v>
      </c>
      <c r="Z321" s="4" t="n">
        <v>0.009350963907462151</v>
      </c>
      <c r="AA321" s="4" t="n">
        <v>0.03</v>
      </c>
      <c r="AB321" s="4" t="n">
        <v>0.05</v>
      </c>
      <c r="AC321" s="4">
        <f>(AB321+2*參數!$B$7)/(AA321+AB321)</f>
        <v/>
      </c>
    </row>
    <row r="322">
      <c r="A322" s="2" t="n">
        <v>321</v>
      </c>
      <c r="B322" s="2" t="inlineStr">
        <is>
          <t>ZAMA_USDT_PERP</t>
        </is>
      </c>
      <c r="C322" s="2" t="inlineStr">
        <is>
          <t>做多</t>
        </is>
      </c>
      <c r="D322" s="7" t="n">
        <v>46285.5</v>
      </c>
      <c r="E322" s="20" t="n">
        <v>0.08441</v>
      </c>
      <c r="F322" s="20" t="n">
        <v>0.0869423</v>
      </c>
      <c r="G322" s="20" t="n">
        <v>0.0801895</v>
      </c>
      <c r="H322" s="7" t="n">
        <v>46285.58333333334</v>
      </c>
      <c r="I322" s="20" t="n">
        <v>0.0801895</v>
      </c>
      <c r="J322" s="2" t="inlineStr">
        <is>
          <t>止損</t>
        </is>
      </c>
      <c r="K322" s="5">
        <f>(H322-D322)*24</f>
        <v/>
      </c>
      <c r="L322" s="4">
        <f>IF(C322="做多",I322/E322-1,1-I322/E322)-2*參數!$B$7</f>
        <v/>
      </c>
      <c r="M322" s="2" t="inlineStr"/>
      <c r="N322" s="4" t="n">
        <v>0.07364538285423561</v>
      </c>
      <c r="O322" s="4" t="n">
        <v>0.06331255197959598</v>
      </c>
      <c r="P322" s="4" t="n">
        <v>0.03268349676101234</v>
      </c>
      <c r="Q322" s="22" t="n">
        <v>6241286</v>
      </c>
      <c r="R322" s="22" t="n">
        <v>4310871.417950001</v>
      </c>
      <c r="S322" s="4" t="n">
        <v>0.01848122260395701</v>
      </c>
      <c r="T322" s="4" t="n">
        <v>0.05</v>
      </c>
      <c r="U322" s="19" t="n">
        <v>0.6935429439564278</v>
      </c>
      <c r="V322" s="19" t="n">
        <v>0.9673105497771177</v>
      </c>
      <c r="W322" s="4" t="n">
        <v>0.4595826503157443</v>
      </c>
      <c r="X322" s="4" t="n">
        <v>0.3828636959370906</v>
      </c>
      <c r="Y322" s="4" t="n">
        <v>0.001966131241439406</v>
      </c>
      <c r="Z322" s="4" t="n">
        <v>-0.009350963907462151</v>
      </c>
      <c r="AA322" s="4" t="n">
        <v>0.03</v>
      </c>
      <c r="AB322" s="4" t="n">
        <v>0.05</v>
      </c>
      <c r="AC322" s="4">
        <f>(AB322+2*參數!$B$7)/(AA322+AB322)</f>
        <v/>
      </c>
    </row>
    <row r="323">
      <c r="A323" s="2" t="n">
        <v>322</v>
      </c>
      <c r="B323" s="2" t="inlineStr">
        <is>
          <t>ARB_USDT_PERP</t>
        </is>
      </c>
      <c r="C323" s="2" t="inlineStr">
        <is>
          <t>做空</t>
        </is>
      </c>
      <c r="D323" s="7" t="n">
        <v>46285.625</v>
      </c>
      <c r="E323" s="20" t="n">
        <v>0.2083</v>
      </c>
      <c r="F323" s="20" t="n">
        <v>0.202051</v>
      </c>
      <c r="G323" s="20" t="n">
        <v>0.218715</v>
      </c>
      <c r="H323" s="7" t="n">
        <v>46285.95833333334</v>
      </c>
      <c r="I323" s="20" t="n">
        <v>0.202051</v>
      </c>
      <c r="J323" s="2" t="inlineStr">
        <is>
          <t>止盈</t>
        </is>
      </c>
      <c r="K323" s="5">
        <f>(H323-D323)*24</f>
        <v/>
      </c>
      <c r="L323" s="4">
        <f>IF(C323="做多",I323/E323-1,1-I323/E323)-2*參數!$B$7</f>
        <v/>
      </c>
      <c r="M323" s="2" t="inlineStr"/>
      <c r="N323" s="4" t="n">
        <v>-0.0211466165413533</v>
      </c>
      <c r="O323" s="4" t="n">
        <v>0.02899066069391039</v>
      </c>
      <c r="P323" s="4" t="n">
        <v>-2.400326444396139e-05</v>
      </c>
      <c r="Q323" s="22" t="n">
        <v>-2286668.599999998</v>
      </c>
      <c r="R323" s="22" t="n">
        <v>4062539.48437</v>
      </c>
      <c r="S323" s="4" t="n">
        <v>0.03</v>
      </c>
      <c r="T323" s="4" t="n">
        <v>0.03696591454632725</v>
      </c>
      <c r="U323" s="19" t="n">
        <v>0.9005744624372483</v>
      </c>
      <c r="V323" s="19" t="n">
        <v>0.7313432835820864</v>
      </c>
      <c r="W323" s="4" t="n">
        <v>-0.09439771348110937</v>
      </c>
      <c r="X323" s="4" t="n">
        <v>0.03654024051803884</v>
      </c>
      <c r="Y323" s="4" t="n">
        <v>0.002237136465324419</v>
      </c>
      <c r="Z323" s="4" t="n">
        <v>0.01005970716116</v>
      </c>
      <c r="AA323" s="4" t="n">
        <v>0.03</v>
      </c>
      <c r="AB323" s="4" t="n">
        <v>0.05</v>
      </c>
      <c r="AC323" s="4">
        <f>(AB323+2*參數!$B$7)/(AA323+AB323)</f>
        <v/>
      </c>
    </row>
    <row r="324">
      <c r="A324" s="2" t="n">
        <v>323</v>
      </c>
      <c r="B324" s="2" t="inlineStr">
        <is>
          <t>USELESS_USDT_PERP</t>
        </is>
      </c>
      <c r="C324" s="2" t="inlineStr">
        <is>
          <t>做空</t>
        </is>
      </c>
      <c r="D324" s="7" t="n">
        <v>46285.625</v>
      </c>
      <c r="E324" s="20" t="n">
        <v>0.25481</v>
      </c>
      <c r="F324" s="20" t="n">
        <v>0.2471657</v>
      </c>
      <c r="G324" s="20" t="n">
        <v>0.2675505</v>
      </c>
      <c r="H324" s="7" t="n">
        <v>46285.875</v>
      </c>
      <c r="I324" s="20" t="n">
        <v>0.2675505</v>
      </c>
      <c r="J324" s="2" t="inlineStr">
        <is>
          <t>止損</t>
        </is>
      </c>
      <c r="K324" s="5">
        <f>(H324-D324)*24</f>
        <v/>
      </c>
      <c r="L324" s="4">
        <f>IF(C324="做多",I324/E324-1,1-I324/E324)-2*參數!$B$7</f>
        <v/>
      </c>
      <c r="M324" s="2" t="inlineStr"/>
      <c r="N324" s="4" t="n">
        <v>-0.02379128036165812</v>
      </c>
      <c r="O324" s="4" t="n">
        <v>0.03242348093315787</v>
      </c>
      <c r="P324" s="4" t="n">
        <v>-0.02532785834912776</v>
      </c>
      <c r="Q324" s="22" t="n">
        <v>-1138784</v>
      </c>
      <c r="R324" s="22" t="n">
        <v>1846337.48975</v>
      </c>
      <c r="S324" s="4" t="n">
        <v>0.009654252187904611</v>
      </c>
      <c r="T324" s="4" t="n">
        <v>0.05</v>
      </c>
      <c r="U324" s="19" t="n">
        <v>0.3842141907161856</v>
      </c>
      <c r="V324" s="19" t="n">
        <v>0.8920765027322461</v>
      </c>
      <c r="W324" s="4" t="n">
        <v>0.01603286043236496</v>
      </c>
      <c r="X324" s="4" t="n">
        <v>0.07297995416014846</v>
      </c>
      <c r="Y324" s="4" t="n">
        <v>0.002237136465324419</v>
      </c>
      <c r="Z324" s="4" t="n">
        <v>0.01005970716116</v>
      </c>
      <c r="AA324" s="4" t="n">
        <v>0.03</v>
      </c>
      <c r="AB324" s="4" t="n">
        <v>0.05</v>
      </c>
      <c r="AC324" s="4">
        <f>(AB324+2*參數!$B$7)/(AA324+AB324)</f>
        <v/>
      </c>
    </row>
    <row r="325">
      <c r="A325" s="2" t="n">
        <v>324</v>
      </c>
      <c r="B325" s="2" t="inlineStr">
        <is>
          <t>ZAMA_USDT_PERP</t>
        </is>
      </c>
      <c r="C325" s="2" t="inlineStr">
        <is>
          <t>做多</t>
        </is>
      </c>
      <c r="D325" s="7" t="n">
        <v>46285.625</v>
      </c>
      <c r="E325" s="20" t="n">
        <v>0.08699999999999999</v>
      </c>
      <c r="F325" s="20" t="n">
        <v>0.08961</v>
      </c>
      <c r="G325" s="20" t="n">
        <v>0.08264999999999999</v>
      </c>
      <c r="H325" s="7" t="n">
        <v>46285.66666666666</v>
      </c>
      <c r="I325" s="20" t="n">
        <v>0.08264999999999999</v>
      </c>
      <c r="J325" s="2" t="inlineStr">
        <is>
          <t>止損</t>
        </is>
      </c>
      <c r="K325" s="5">
        <f>(H325-D325)*24</f>
        <v/>
      </c>
      <c r="L325" s="4">
        <f>IF(C325="做多",I325/E325-1,1-I325/E325)-2*參數!$B$7</f>
        <v/>
      </c>
      <c r="M325" s="2" t="inlineStr"/>
      <c r="N325" s="4" t="n">
        <v>0.07699925724189138</v>
      </c>
      <c r="O325" s="4" t="n">
        <v>0.06266166888750856</v>
      </c>
      <c r="P325" s="4" t="n">
        <v>0.05583164946389241</v>
      </c>
      <c r="Q325" s="22" t="n">
        <v>1483125</v>
      </c>
      <c r="R325" s="22" t="n">
        <v>4556566.44495</v>
      </c>
      <c r="S325" s="4" t="n">
        <v>0</v>
      </c>
      <c r="T325" s="4" t="n">
        <v>0.05</v>
      </c>
      <c r="U325" s="19" t="n">
        <v>0.8203015509621326</v>
      </c>
      <c r="V325" s="19" t="n">
        <v>0.9313304721030031</v>
      </c>
      <c r="W325" s="4" t="n">
        <v>0.4764255567566833</v>
      </c>
      <c r="X325" s="4" t="n">
        <v>0.3940073706136835</v>
      </c>
      <c r="Y325" s="4" t="n">
        <v>-0.002237136465324419</v>
      </c>
      <c r="Z325" s="4" t="n">
        <v>-0.01005970716116</v>
      </c>
      <c r="AA325" s="4" t="n">
        <v>0.03</v>
      </c>
      <c r="AB325" s="4" t="n">
        <v>0.05</v>
      </c>
      <c r="AC325" s="4">
        <f>(AB325+2*參數!$B$7)/(AA325+AB325)</f>
        <v/>
      </c>
    </row>
    <row r="326">
      <c r="A326" s="2" t="n">
        <v>325</v>
      </c>
      <c r="B326" s="2" t="inlineStr">
        <is>
          <t>BANK_USDT_PERP</t>
        </is>
      </c>
      <c r="C326" s="2" t="inlineStr">
        <is>
          <t>做空</t>
        </is>
      </c>
      <c r="D326" s="7" t="n">
        <v>46285.66666666666</v>
      </c>
      <c r="E326" s="20" t="n">
        <v>0.03392</v>
      </c>
      <c r="F326" s="20" t="n">
        <v>0.0329024</v>
      </c>
      <c r="G326" s="20" t="n">
        <v>0.035616</v>
      </c>
      <c r="H326" s="7" t="n">
        <v>46285.70833333334</v>
      </c>
      <c r="I326" s="20" t="n">
        <v>0.0329024</v>
      </c>
      <c r="J326" s="2" t="inlineStr">
        <is>
          <t>止盈</t>
        </is>
      </c>
      <c r="K326" s="5">
        <f>(H326-D326)*24</f>
        <v/>
      </c>
      <c r="L326" s="4">
        <f>IF(C326="做多",I326/E326-1,1-I326/E326)-2*參數!$B$7</f>
        <v/>
      </c>
      <c r="M326" s="2" t="inlineStr"/>
      <c r="N326" s="4" t="n">
        <v>-0.03745743473325769</v>
      </c>
      <c r="O326" s="4" t="n">
        <v>0.0559622198880997</v>
      </c>
      <c r="P326" s="4" t="n">
        <v>-0.047311435352273</v>
      </c>
      <c r="Q326" s="22" t="n">
        <v>-4149962</v>
      </c>
      <c r="R326" s="22" t="n">
        <v>1706310.90223</v>
      </c>
      <c r="S326" s="4" t="n">
        <v>0.03</v>
      </c>
      <c r="T326" s="4" t="n">
        <v>0</v>
      </c>
      <c r="U326" s="19" t="n">
        <v>0.6692326250213286</v>
      </c>
      <c r="V326" s="19" t="n">
        <v>0.7751196172248814</v>
      </c>
      <c r="W326" s="4" t="n">
        <v>-0.1407969435251701</v>
      </c>
      <c r="X326" s="4" t="n">
        <v>-0.1537414965986394</v>
      </c>
      <c r="Y326" s="4" t="n">
        <v>-7.847533632299175e-05</v>
      </c>
      <c r="Z326" s="4" t="n">
        <v>0.009378272624778083</v>
      </c>
      <c r="AA326" s="4" t="n">
        <v>0.03</v>
      </c>
      <c r="AB326" s="4" t="n">
        <v>0.05</v>
      </c>
      <c r="AC326" s="4">
        <f>(AB326+2*參數!$B$7)/(AA326+AB326)</f>
        <v/>
      </c>
    </row>
    <row r="327">
      <c r="A327" s="2" t="n">
        <v>326</v>
      </c>
      <c r="B327" s="2" t="inlineStr">
        <is>
          <t>BR_USDT_PERP</t>
        </is>
      </c>
      <c r="C327" s="2" t="inlineStr">
        <is>
          <t>做多</t>
        </is>
      </c>
      <c r="D327" s="7" t="n">
        <v>46285.66666666666</v>
      </c>
      <c r="E327" s="20" t="n">
        <v>1.14032</v>
      </c>
      <c r="F327" s="20" t="n">
        <v>1.1745296</v>
      </c>
      <c r="G327" s="20" t="n">
        <v>1.083304</v>
      </c>
      <c r="H327" s="7" t="n">
        <v>46285.70833333334</v>
      </c>
      <c r="I327" s="20" t="n">
        <v>1.1745296</v>
      </c>
      <c r="J327" s="2" t="inlineStr">
        <is>
          <t>止盈</t>
        </is>
      </c>
      <c r="K327" s="5">
        <f>(H327-D327)*24</f>
        <v/>
      </c>
      <c r="L327" s="4">
        <f>IF(C327="做多",I327/E327-1,1-I327/E327)-2*參數!$B$7</f>
        <v/>
      </c>
      <c r="M327" s="2" t="inlineStr"/>
      <c r="N327" s="4" t="n">
        <v>0.02075855092961443</v>
      </c>
      <c r="O327" s="4" t="n">
        <v>0.06216060754036434</v>
      </c>
      <c r="P327" s="4" t="n">
        <v>0.02002717520133168</v>
      </c>
      <c r="Q327" s="22" t="n">
        <v>312357</v>
      </c>
      <c r="R327" s="22" t="n">
        <v>7524274.64162</v>
      </c>
      <c r="S327" s="4" t="n">
        <v>0.03</v>
      </c>
      <c r="T327" s="4" t="n">
        <v>0</v>
      </c>
      <c r="U327" s="19" t="n">
        <v>0.7135849849603227</v>
      </c>
      <c r="V327" s="19" t="n">
        <v>0.8091762252346193</v>
      </c>
      <c r="W327" s="4" t="n">
        <v>0.4835244894985533</v>
      </c>
      <c r="X327" s="4" t="n">
        <v>0.1833341981009702</v>
      </c>
      <c r="Y327" s="4" t="n">
        <v>7.847533632299175e-05</v>
      </c>
      <c r="Z327" s="4" t="n">
        <v>-0.009378272624778083</v>
      </c>
      <c r="AA327" s="4" t="n">
        <v>0.03</v>
      </c>
      <c r="AB327" s="4" t="n">
        <v>0.05</v>
      </c>
      <c r="AC327" s="4">
        <f>(AB327+2*參數!$B$7)/(AA327+AB327)</f>
        <v/>
      </c>
    </row>
    <row r="328">
      <c r="A328" s="2" t="n">
        <v>327</v>
      </c>
      <c r="B328" s="2" t="inlineStr">
        <is>
          <t>LSK_USDT_PERP</t>
        </is>
      </c>
      <c r="C328" s="2" t="inlineStr">
        <is>
          <t>做空</t>
        </is>
      </c>
      <c r="D328" s="7" t="n">
        <v>46285.66666666666</v>
      </c>
      <c r="E328" s="20" t="n">
        <v>0.3845</v>
      </c>
      <c r="F328" s="20" t="n">
        <v>0.372965</v>
      </c>
      <c r="G328" s="20" t="n">
        <v>0.403725</v>
      </c>
      <c r="H328" s="7" t="n">
        <v>46285.70833333334</v>
      </c>
      <c r="I328" s="20" t="n">
        <v>0.372965</v>
      </c>
      <c r="J328" s="2" t="inlineStr">
        <is>
          <t>止盈</t>
        </is>
      </c>
      <c r="K328" s="5">
        <f>(H328-D328)*24</f>
        <v/>
      </c>
      <c r="L328" s="4">
        <f>IF(C328="做多",I328/E328-1,1-I328/E328)-2*參數!$B$7</f>
        <v/>
      </c>
      <c r="M328" s="2" t="inlineStr"/>
      <c r="N328" s="4" t="n">
        <v>-0.04090795709653272</v>
      </c>
      <c r="O328" s="4" t="n">
        <v>0.03831018224424745</v>
      </c>
      <c r="P328" s="4" t="n">
        <v>-0.05706648355690713</v>
      </c>
      <c r="Q328" s="22" t="n">
        <v>-273788</v>
      </c>
      <c r="R328" s="22" t="n">
        <v>3033554.0943</v>
      </c>
      <c r="S328" s="4" t="n">
        <v>0.03</v>
      </c>
      <c r="T328" s="4" t="n">
        <v>0</v>
      </c>
      <c r="U328" s="19" t="n">
        <v>1.792074181186946</v>
      </c>
      <c r="V328" s="19" t="n">
        <v>0.7991071428571425</v>
      </c>
      <c r="W328" s="4" t="n">
        <v>0.1904990483889983</v>
      </c>
      <c r="X328" s="4" t="n">
        <v>0.1060218553824691</v>
      </c>
      <c r="Y328" s="4" t="n">
        <v>-7.847533632299175e-05</v>
      </c>
      <c r="Z328" s="4" t="n">
        <v>0.009378272624778083</v>
      </c>
      <c r="AA328" s="4" t="n">
        <v>0.03</v>
      </c>
      <c r="AB328" s="4" t="n">
        <v>0.05</v>
      </c>
      <c r="AC328" s="4">
        <f>(AB328+2*參數!$B$7)/(AA328+AB328)</f>
        <v/>
      </c>
    </row>
    <row r="329">
      <c r="A329" s="2" t="n">
        <v>328</v>
      </c>
      <c r="B329" s="2" t="inlineStr">
        <is>
          <t>ENA_USDT_PERP</t>
        </is>
      </c>
      <c r="C329" s="2" t="inlineStr">
        <is>
          <t>做多</t>
        </is>
      </c>
      <c r="D329" s="7" t="n">
        <v>46285.70833333334</v>
      </c>
      <c r="E329" s="20" t="n">
        <v>0.2019</v>
      </c>
      <c r="F329" s="20" t="n">
        <v>0.207957</v>
      </c>
      <c r="G329" s="20" t="n">
        <v>0.191805</v>
      </c>
      <c r="H329" s="7" t="n">
        <v>46285.83333333334</v>
      </c>
      <c r="I329" s="20" t="n">
        <v>0.207957</v>
      </c>
      <c r="J329" s="2" t="inlineStr">
        <is>
          <t>止盈</t>
        </is>
      </c>
      <c r="K329" s="5">
        <f>(H329-D329)*24</f>
        <v/>
      </c>
      <c r="L329" s="4">
        <f>IF(C329="做多",I329/E329-1,1-I329/E329)-2*參數!$B$7</f>
        <v/>
      </c>
      <c r="M329" s="2" t="inlineStr"/>
      <c r="N329" s="4" t="n">
        <v>0.03379416282642089</v>
      </c>
      <c r="O329" s="4" t="n">
        <v>0.03469435008698523</v>
      </c>
      <c r="P329" s="4" t="n">
        <v>0.004552578550637953</v>
      </c>
      <c r="Q329" s="22" t="n">
        <v>5843646</v>
      </c>
      <c r="R329" s="22" t="n">
        <v>10674965.2642</v>
      </c>
      <c r="S329" s="4" t="n">
        <v>0.03</v>
      </c>
      <c r="T329" s="4" t="n">
        <v>0.004952947003467045</v>
      </c>
      <c r="U329" s="19" t="n">
        <v>0.8449480259583912</v>
      </c>
      <c r="V329" s="19" t="n">
        <v>0.9705882352941168</v>
      </c>
      <c r="W329" s="4" t="n">
        <v>0.2050421973666934</v>
      </c>
      <c r="X329" s="4" t="n">
        <v>0.04233350542075365</v>
      </c>
      <c r="Y329" s="4" t="n">
        <v>-0.0006364722250247201</v>
      </c>
      <c r="Z329" s="4" t="n">
        <v>-0.009353979035545357</v>
      </c>
      <c r="AA329" s="4" t="n">
        <v>0.03</v>
      </c>
      <c r="AB329" s="4" t="n">
        <v>0.05</v>
      </c>
      <c r="AC329" s="4">
        <f>(AB329+2*參數!$B$7)/(AA329+AB329)</f>
        <v/>
      </c>
    </row>
    <row r="330">
      <c r="A330" s="2" t="n">
        <v>329</v>
      </c>
      <c r="B330" s="2" t="inlineStr">
        <is>
          <t>NEAR_USDT_PERP</t>
        </is>
      </c>
      <c r="C330" s="2" t="inlineStr">
        <is>
          <t>做多</t>
        </is>
      </c>
      <c r="D330" s="7" t="n">
        <v>46285.875</v>
      </c>
      <c r="E330" s="20" t="n">
        <v>3.72</v>
      </c>
      <c r="F330" s="20" t="n">
        <v>3.8316</v>
      </c>
      <c r="G330" s="20" t="n">
        <v>3.534</v>
      </c>
      <c r="H330" s="7" t="n">
        <v>46286</v>
      </c>
      <c r="I330" s="20" t="n">
        <v>3.8316</v>
      </c>
      <c r="J330" s="2" t="inlineStr">
        <is>
          <t>止盈</t>
        </is>
      </c>
      <c r="K330" s="5">
        <f>(H330-D330)*24</f>
        <v/>
      </c>
      <c r="L330" s="4">
        <f>IF(C330="做多",I330/E330-1,1-I330/E330)-2*參數!$B$7</f>
        <v/>
      </c>
      <c r="M330" s="2" t="inlineStr"/>
      <c r="N330" s="4" t="n">
        <v>0.02904564315352687</v>
      </c>
      <c r="O330" s="4" t="n">
        <v>0.0231372082718098</v>
      </c>
      <c r="P330" s="4" t="n">
        <v>0.04847801578353983</v>
      </c>
      <c r="Q330" s="22" t="n">
        <v>409865</v>
      </c>
      <c r="R330" s="22" t="n">
        <v>9131125.117000001</v>
      </c>
      <c r="S330" s="4" t="n">
        <v>0.03</v>
      </c>
      <c r="T330" s="4" t="n">
        <v>0.01908602150537642</v>
      </c>
      <c r="U330" s="19" t="n">
        <v>1.965058299754358</v>
      </c>
      <c r="V330" s="19" t="n">
        <v>0.8651685393258428</v>
      </c>
      <c r="W330" s="4" t="n">
        <v>0.1441647597254005</v>
      </c>
      <c r="X330" s="4" t="n">
        <v>0.02592388306674032</v>
      </c>
      <c r="Y330" s="4" t="n">
        <v>0.00010814398812653</v>
      </c>
      <c r="Z330" s="4" t="n">
        <v>-0.003760924166923418</v>
      </c>
      <c r="AA330" s="4" t="n">
        <v>0.03</v>
      </c>
      <c r="AB330" s="4" t="n">
        <v>0.05</v>
      </c>
      <c r="AC330" s="4">
        <f>(AB330+2*參數!$B$7)/(AA330+AB330)</f>
        <v/>
      </c>
    </row>
    <row r="331">
      <c r="A331" s="2" t="n">
        <v>330</v>
      </c>
      <c r="B331" s="2" t="inlineStr">
        <is>
          <t>FIL_USDT_PERP</t>
        </is>
      </c>
      <c r="C331" s="2" t="inlineStr">
        <is>
          <t>做空</t>
        </is>
      </c>
      <c r="D331" s="7" t="n">
        <v>46285.91666666666</v>
      </c>
      <c r="E331" s="20" t="n">
        <v>0.918</v>
      </c>
      <c r="F331" s="20" t="n">
        <v>0.89046</v>
      </c>
      <c r="G331" s="20" t="n">
        <v>0.9639000000000001</v>
      </c>
      <c r="H331" s="7" t="n">
        <v>46286.41666666666</v>
      </c>
      <c r="I331" s="20" t="n">
        <v>0.9639000000000001</v>
      </c>
      <c r="J331" s="2" t="inlineStr">
        <is>
          <t>止損</t>
        </is>
      </c>
      <c r="K331" s="5">
        <f>(H331-D331)*24</f>
        <v/>
      </c>
      <c r="L331" s="4">
        <f>IF(C331="做多",I331/E331-1,1-I331/E331)-2*參數!$B$7</f>
        <v/>
      </c>
      <c r="M331" s="2" t="inlineStr"/>
      <c r="N331" s="4" t="n">
        <v>-0.03266596417281342</v>
      </c>
      <c r="O331" s="4" t="n">
        <v>0.0234005501070688</v>
      </c>
      <c r="P331" s="4" t="n">
        <v>-0.05263157894736836</v>
      </c>
      <c r="Q331" s="22" t="n">
        <v>-1299717.3</v>
      </c>
      <c r="R331" s="22" t="n">
        <v>1914018.6799</v>
      </c>
      <c r="S331" s="4" t="n">
        <v>0.006535947712418277</v>
      </c>
      <c r="T331" s="4" t="n">
        <v>0.05</v>
      </c>
      <c r="U331" s="19" t="n">
        <v>0.8811009686630438</v>
      </c>
      <c r="V331" s="19" t="n">
        <v>1</v>
      </c>
      <c r="W331" s="4" t="n">
        <v>-0.0325280064786071</v>
      </c>
      <c r="X331" s="4" t="n">
        <v>0.07178968655207274</v>
      </c>
      <c r="Y331" s="4" t="n">
        <v>-0.0009421181500677278</v>
      </c>
      <c r="Z331" s="4" t="n">
        <v>0.002270613381535114</v>
      </c>
      <c r="AA331" s="4" t="n">
        <v>0.03</v>
      </c>
      <c r="AB331" s="4" t="n">
        <v>0.05</v>
      </c>
      <c r="AC331" s="4">
        <f>(AB331+2*參數!$B$7)/(AA331+AB331)</f>
        <v/>
      </c>
    </row>
    <row r="332">
      <c r="A332" s="2" t="n">
        <v>331</v>
      </c>
      <c r="B332" s="2" t="inlineStr">
        <is>
          <t>PONS_USDT_PERP</t>
        </is>
      </c>
      <c r="C332" s="2" t="inlineStr">
        <is>
          <t>做空</t>
        </is>
      </c>
      <c r="D332" s="7" t="n">
        <v>46285.91666666666</v>
      </c>
      <c r="E332" s="20" t="n">
        <v>0.5613</v>
      </c>
      <c r="F332" s="20" t="n">
        <v>0.544461</v>
      </c>
      <c r="G332" s="20" t="n">
        <v>0.589365</v>
      </c>
      <c r="H332" s="7" t="n">
        <v>46286.08333333334</v>
      </c>
      <c r="I332" s="20" t="n">
        <v>0.589365</v>
      </c>
      <c r="J332" s="2" t="inlineStr">
        <is>
          <t>止損</t>
        </is>
      </c>
      <c r="K332" s="5">
        <f>(H332-D332)*24</f>
        <v/>
      </c>
      <c r="L332" s="4">
        <f>IF(C332="做多",I332/E332-1,1-I332/E332)-2*參數!$B$7</f>
        <v/>
      </c>
      <c r="M332" s="2" t="inlineStr"/>
      <c r="N332" s="4" t="n">
        <v>-0.02178459393516896</v>
      </c>
      <c r="O332" s="4" t="n">
        <v>0.02785429382034712</v>
      </c>
      <c r="P332" s="4" t="n">
        <v>-0.03799681217543305</v>
      </c>
      <c r="Q332" s="22" t="n">
        <v>-173925</v>
      </c>
      <c r="R332" s="22" t="n">
        <v>1788829.3388</v>
      </c>
      <c r="S332" s="4" t="n">
        <v>0.006948156066274747</v>
      </c>
      <c r="T332" s="4" t="n">
        <v>0.05</v>
      </c>
      <c r="U332" s="19" t="n">
        <v>1.625773986823902</v>
      </c>
      <c r="V332" s="19" t="n">
        <v>0.8118811881188106</v>
      </c>
      <c r="W332" s="4" t="n">
        <v>0.1199076788956589</v>
      </c>
      <c r="X332" s="4" t="n">
        <v>0.1118670886075949</v>
      </c>
      <c r="Y332" s="4" t="n">
        <v>-0.0009421181500677278</v>
      </c>
      <c r="Z332" s="4" t="n">
        <v>0.002270613381535114</v>
      </c>
      <c r="AA332" s="4" t="n">
        <v>0.03</v>
      </c>
      <c r="AB332" s="4" t="n">
        <v>0.05</v>
      </c>
      <c r="AC332" s="4">
        <f>(AB332+2*參數!$B$7)/(AA332+AB332)</f>
        <v/>
      </c>
    </row>
    <row r="333">
      <c r="A333" s="2" t="n">
        <v>332</v>
      </c>
      <c r="B333" s="2" t="inlineStr">
        <is>
          <t>LSK_USDT_PERP</t>
        </is>
      </c>
      <c r="C333" s="2" t="inlineStr">
        <is>
          <t>做空</t>
        </is>
      </c>
      <c r="D333" s="7" t="n">
        <v>46285.95833333334</v>
      </c>
      <c r="E333" s="20" t="n">
        <v>0.3804</v>
      </c>
      <c r="F333" s="20" t="n">
        <v>0.368988</v>
      </c>
      <c r="G333" s="20" t="n">
        <v>0.3994200000000001</v>
      </c>
      <c r="H333" s="7" t="n">
        <v>46286</v>
      </c>
      <c r="I333" s="20" t="n">
        <v>0.3994200000000001</v>
      </c>
      <c r="J333" s="2" t="inlineStr">
        <is>
          <t>止損</t>
        </is>
      </c>
      <c r="K333" s="5">
        <f>(H333-D333)*24</f>
        <v/>
      </c>
      <c r="L333" s="4">
        <f>IF(C333="做多",I333/E333-1,1-I333/E333)-2*參數!$B$7</f>
        <v/>
      </c>
      <c r="M333" s="2" t="inlineStr"/>
      <c r="N333" s="4" t="n">
        <v>-0.04757135703555326</v>
      </c>
      <c r="O333" s="4" t="n">
        <v>0.03951846546188689</v>
      </c>
      <c r="P333" s="4" t="n">
        <v>-0.02396469441165894</v>
      </c>
      <c r="Q333" s="22" t="n">
        <v>-160179</v>
      </c>
      <c r="R333" s="22" t="n">
        <v>2692470.4941</v>
      </c>
      <c r="S333" s="4" t="n">
        <v>0</v>
      </c>
      <c r="T333" s="4" t="n">
        <v>0.05</v>
      </c>
      <c r="U333" s="19" t="n">
        <v>0.9524499343604004</v>
      </c>
      <c r="V333" s="19" t="n">
        <v>0.9499999999999998</v>
      </c>
      <c r="W333" s="4" t="n">
        <v>0.1806421318812922</v>
      </c>
      <c r="X333" s="4" t="n">
        <v>0.1510823476902476</v>
      </c>
      <c r="Y333" s="4" t="n">
        <v>-0.001418055748713565</v>
      </c>
      <c r="Z333" s="4" t="n">
        <v>0.0003913058944896575</v>
      </c>
      <c r="AA333" s="4" t="n">
        <v>0.03</v>
      </c>
      <c r="AB333" s="4" t="n">
        <v>0.05</v>
      </c>
      <c r="AC333" s="4">
        <f>(AB333+2*參數!$B$7)/(AA333+AB333)</f>
        <v/>
      </c>
    </row>
    <row r="334">
      <c r="A334" s="2" t="n">
        <v>333</v>
      </c>
      <c r="B334" s="2" t="inlineStr">
        <is>
          <t>PIEVERSE_USDT_PERP</t>
        </is>
      </c>
      <c r="C334" s="2" t="inlineStr">
        <is>
          <t>做空</t>
        </is>
      </c>
      <c r="D334" s="7" t="n">
        <v>46286</v>
      </c>
      <c r="E334" s="20" t="n">
        <v>1.5856</v>
      </c>
      <c r="F334" s="20" t="n">
        <v>1.538032</v>
      </c>
      <c r="G334" s="20" t="n">
        <v>1.66488</v>
      </c>
      <c r="H334" s="7" t="n">
        <v>46286.375</v>
      </c>
      <c r="I334" s="20" t="n">
        <v>1.66488</v>
      </c>
      <c r="J334" s="2" t="inlineStr">
        <is>
          <t>止損</t>
        </is>
      </c>
      <c r="K334" s="5">
        <f>(H334-D334)*24</f>
        <v/>
      </c>
      <c r="L334" s="4">
        <f>IF(C334="做多",I334/E334-1,1-I334/E334)-2*參數!$B$7</f>
        <v/>
      </c>
      <c r="M334" s="2" t="inlineStr"/>
      <c r="N334" s="4" t="n">
        <v>-0.03340648622287257</v>
      </c>
      <c r="O334" s="4" t="n">
        <v>0.05627434594714689</v>
      </c>
      <c r="P334" s="4" t="n">
        <v>-0.05652743067951904</v>
      </c>
      <c r="Q334" s="22" t="n">
        <v>-26377</v>
      </c>
      <c r="R334" s="22" t="n">
        <v>1498850.5614</v>
      </c>
      <c r="S334" s="4" t="n">
        <v>0.0158930373360241</v>
      </c>
      <c r="T334" s="4" t="n">
        <v>0.05</v>
      </c>
      <c r="U334" s="19" t="n">
        <v>0.4135051887990531</v>
      </c>
      <c r="V334" s="19" t="n">
        <v>0.7927135678391968</v>
      </c>
      <c r="W334" s="4" t="n">
        <v>-0.1209686028401735</v>
      </c>
      <c r="X334" s="4" t="n">
        <v>-0.04522083058668414</v>
      </c>
      <c r="Y334" s="4" t="n">
        <v>-0.002783736530806991</v>
      </c>
      <c r="Z334" s="4" t="n">
        <v>-0.00267494877922525</v>
      </c>
      <c r="AA334" s="4" t="n">
        <v>0.03</v>
      </c>
      <c r="AB334" s="4" t="n">
        <v>0.05</v>
      </c>
      <c r="AC334" s="4">
        <f>(AB334+2*參數!$B$7)/(AA334+AB334)</f>
        <v/>
      </c>
    </row>
    <row r="335">
      <c r="A335" s="2" t="n">
        <v>334</v>
      </c>
      <c r="B335" s="2" t="inlineStr">
        <is>
          <t>ARB_USDT_PERP</t>
        </is>
      </c>
      <c r="C335" s="2" t="inlineStr">
        <is>
          <t>做多</t>
        </is>
      </c>
      <c r="D335" s="7" t="n">
        <v>46286.04166666666</v>
      </c>
      <c r="E335" s="20" t="n">
        <v>0.2115</v>
      </c>
      <c r="F335" s="20" t="n">
        <v>0.217845</v>
      </c>
      <c r="G335" s="20" t="n">
        <v>0.200925</v>
      </c>
      <c r="H335" s="7" t="n">
        <v>46286.29166666666</v>
      </c>
      <c r="I335" s="20" t="n">
        <v>0.217845</v>
      </c>
      <c r="J335" s="2" t="inlineStr">
        <is>
          <t>止盈</t>
        </is>
      </c>
      <c r="K335" s="5">
        <f>(H335-D335)*24</f>
        <v/>
      </c>
      <c r="L335" s="4">
        <f>IF(C335="做多",I335/E335-1,1-I335/E335)-2*參數!$B$7</f>
        <v/>
      </c>
      <c r="M335" s="2" t="inlineStr"/>
      <c r="N335" s="4" t="n">
        <v>0.03778213935230612</v>
      </c>
      <c r="O335" s="4" t="n">
        <v>0.02950572109205349</v>
      </c>
      <c r="P335" s="4" t="n">
        <v>0.01361065848749154</v>
      </c>
      <c r="Q335" s="22" t="n">
        <v>2174080.6</v>
      </c>
      <c r="R335" s="22" t="n">
        <v>5657292.184909999</v>
      </c>
      <c r="S335" s="4" t="n">
        <v>0.03</v>
      </c>
      <c r="T335" s="4" t="n">
        <v>0.01702127659574459</v>
      </c>
      <c r="U335" s="19" t="n">
        <v>3.632198830660399</v>
      </c>
      <c r="V335" s="19" t="n">
        <v>0.8829787234042537</v>
      </c>
      <c r="W335" s="4" t="n">
        <v>0.08147080028839215</v>
      </c>
      <c r="X335" s="4" t="n">
        <v>0.01536245799327873</v>
      </c>
      <c r="Y335" s="4" t="n">
        <v>0.005271325497857804</v>
      </c>
      <c r="Z335" s="4" t="n">
        <v>0.007856160033541615</v>
      </c>
      <c r="AA335" s="4" t="n">
        <v>0.03</v>
      </c>
      <c r="AB335" s="4" t="n">
        <v>0.05</v>
      </c>
      <c r="AC335" s="4">
        <f>(AB335+2*參數!$B$7)/(AA335+AB335)</f>
        <v/>
      </c>
    </row>
    <row r="336">
      <c r="A336" s="2" t="n">
        <v>335</v>
      </c>
      <c r="B336" s="2" t="inlineStr">
        <is>
          <t>LIT_USDT_PERP</t>
        </is>
      </c>
      <c r="C336" s="2" t="inlineStr">
        <is>
          <t>做空</t>
        </is>
      </c>
      <c r="D336" s="7" t="n">
        <v>46286.125</v>
      </c>
      <c r="E336" s="20" t="n">
        <v>4.649</v>
      </c>
      <c r="F336" s="20" t="n">
        <v>4.50953</v>
      </c>
      <c r="G336" s="20" t="n">
        <v>4.88145</v>
      </c>
      <c r="H336" s="7" t="n">
        <v>46286.375</v>
      </c>
      <c r="I336" s="20" t="n">
        <v>4.88145</v>
      </c>
      <c r="J336" s="2" t="inlineStr">
        <is>
          <t>止損</t>
        </is>
      </c>
      <c r="K336" s="5">
        <f>(H336-D336)*24</f>
        <v/>
      </c>
      <c r="L336" s="4">
        <f>IF(C336="做多",I336/E336-1,1-I336/E336)-2*參數!$B$7</f>
        <v/>
      </c>
      <c r="M336" s="2" t="inlineStr"/>
      <c r="N336" s="4" t="n">
        <v>-0.0261834939254294</v>
      </c>
      <c r="O336" s="4" t="n">
        <v>0.02248474149595795</v>
      </c>
      <c r="P336" s="4" t="n">
        <v>-0.01038784111711866</v>
      </c>
      <c r="Q336" s="22" t="n">
        <v>-36980.10000000009</v>
      </c>
      <c r="R336" s="22" t="n">
        <v>3564146.829</v>
      </c>
      <c r="S336" s="4" t="n">
        <v>0.0004302000430199682</v>
      </c>
      <c r="T336" s="4" t="n">
        <v>0.05</v>
      </c>
      <c r="U336" s="19" t="n">
        <v>1.061555040030121</v>
      </c>
      <c r="V336" s="19" t="n">
        <v>0.9632352941176479</v>
      </c>
      <c r="W336" s="4" t="n">
        <v>0.03341365695644849</v>
      </c>
      <c r="X336" s="4" t="n">
        <v>0.05966828478964403</v>
      </c>
      <c r="Y336" s="4" t="n">
        <v>0.00144238948461084</v>
      </c>
      <c r="Z336" s="4" t="n">
        <v>-0.004261251450783154</v>
      </c>
      <c r="AA336" s="4" t="n">
        <v>0.03</v>
      </c>
      <c r="AB336" s="4" t="n">
        <v>0.05</v>
      </c>
      <c r="AC336" s="4">
        <f>(AB336+2*參數!$B$7)/(AA336+AB336)</f>
        <v/>
      </c>
    </row>
    <row r="337">
      <c r="A337" s="2" t="n">
        <v>336</v>
      </c>
      <c r="B337" s="2" t="inlineStr">
        <is>
          <t>LSK_USDT_PERP</t>
        </is>
      </c>
      <c r="C337" s="2" t="inlineStr">
        <is>
          <t>做空</t>
        </is>
      </c>
      <c r="D337" s="7" t="n">
        <v>46286.125</v>
      </c>
      <c r="E337" s="20" t="n">
        <v>0.3786</v>
      </c>
      <c r="F337" s="20" t="n">
        <v>0.367242</v>
      </c>
      <c r="G337" s="20" t="n">
        <v>0.39753</v>
      </c>
      <c r="H337" s="7" t="n">
        <v>46286.25</v>
      </c>
      <c r="I337" s="20" t="n">
        <v>0.367242</v>
      </c>
      <c r="J337" s="2" t="inlineStr">
        <is>
          <t>止盈</t>
        </is>
      </c>
      <c r="K337" s="5">
        <f>(H337-D337)*24</f>
        <v/>
      </c>
      <c r="L337" s="4">
        <f>IF(C337="做多",I337/E337-1,1-I337/E337)-2*參數!$B$7</f>
        <v/>
      </c>
      <c r="M337" s="2" t="inlineStr"/>
      <c r="N337" s="4" t="n">
        <v>-0.03072196620583723</v>
      </c>
      <c r="O337" s="4" t="n">
        <v>0.04352298138745898</v>
      </c>
      <c r="P337" s="4" t="n">
        <v>-0.02661010412649445</v>
      </c>
      <c r="Q337" s="22" t="n">
        <v>-57658</v>
      </c>
      <c r="R337" s="22" t="n">
        <v>2671328.4409</v>
      </c>
      <c r="S337" s="4" t="n">
        <v>0.03</v>
      </c>
      <c r="T337" s="4" t="n">
        <v>0.01003697834125727</v>
      </c>
      <c r="U337" s="19" t="n">
        <v>0.6466636387343243</v>
      </c>
      <c r="V337" s="19" t="n">
        <v>0.8957055214723938</v>
      </c>
      <c r="W337" s="4" t="n">
        <v>0.16847679268365</v>
      </c>
      <c r="X337" s="4" t="n">
        <v>0.08084486525855794</v>
      </c>
      <c r="Y337" s="4" t="n">
        <v>0.00144238948461084</v>
      </c>
      <c r="Z337" s="4" t="n">
        <v>-0.004261251450783154</v>
      </c>
      <c r="AA337" s="4" t="n">
        <v>0.03</v>
      </c>
      <c r="AB337" s="4" t="n">
        <v>0.05</v>
      </c>
      <c r="AC337" s="4">
        <f>(AB337+2*參數!$B$7)/(AA337+AB337)</f>
        <v/>
      </c>
    </row>
    <row r="338">
      <c r="A338" s="2" t="n">
        <v>337</v>
      </c>
      <c r="B338" s="2" t="inlineStr">
        <is>
          <t>PONS_USDT_PERP</t>
        </is>
      </c>
      <c r="C338" s="2" t="inlineStr">
        <is>
          <t>做空</t>
        </is>
      </c>
      <c r="D338" s="7" t="n">
        <v>46286.125</v>
      </c>
      <c r="E338" s="20" t="n">
        <v>0.5704</v>
      </c>
      <c r="F338" s="20" t="n">
        <v>0.553288</v>
      </c>
      <c r="G338" s="20" t="n">
        <v>0.59892</v>
      </c>
      <c r="H338" s="7" t="n">
        <v>46286.33333333334</v>
      </c>
      <c r="I338" s="20" t="n">
        <v>0.59892</v>
      </c>
      <c r="J338" s="2" t="inlineStr">
        <is>
          <t>止損</t>
        </is>
      </c>
      <c r="K338" s="5">
        <f>(H338-D338)*24</f>
        <v/>
      </c>
      <c r="L338" s="4">
        <f>IF(C338="做多",I338/E338-1,1-I338/E338)-2*參數!$B$7</f>
        <v/>
      </c>
      <c r="M338" s="2" t="inlineStr"/>
      <c r="N338" s="4" t="n">
        <v>-0.02194787379972574</v>
      </c>
      <c r="O338" s="4" t="n">
        <v>0.02721994046102876</v>
      </c>
      <c r="P338" s="4" t="n">
        <v>-0.02127659574468077</v>
      </c>
      <c r="Q338" s="22" t="n">
        <v>-293486</v>
      </c>
      <c r="R338" s="22" t="n">
        <v>1624550.4044</v>
      </c>
      <c r="S338" s="4" t="n">
        <v>0.00859046283309961</v>
      </c>
      <c r="T338" s="4" t="n">
        <v>0.05</v>
      </c>
      <c r="U338" s="19" t="n">
        <v>0.8559616213700126</v>
      </c>
      <c r="V338" s="19" t="n">
        <v>0.8251366120218588</v>
      </c>
      <c r="W338" s="4" t="n">
        <v>0.1054878259151342</v>
      </c>
      <c r="X338" s="4" t="n">
        <v>0.01891984864121088</v>
      </c>
      <c r="Y338" s="4" t="n">
        <v>0.00144238948461084</v>
      </c>
      <c r="Z338" s="4" t="n">
        <v>-0.004261251450783154</v>
      </c>
      <c r="AA338" s="4" t="n">
        <v>0.03</v>
      </c>
      <c r="AB338" s="4" t="n">
        <v>0.05</v>
      </c>
      <c r="AC338" s="4">
        <f>(AB338+2*參數!$B$7)/(AA338+AB338)</f>
        <v/>
      </c>
    </row>
    <row r="339">
      <c r="A339" s="2" t="n">
        <v>338</v>
      </c>
      <c r="B339" s="2" t="inlineStr">
        <is>
          <t>ONDO_USDT_PERP</t>
        </is>
      </c>
      <c r="C339" s="2" t="inlineStr">
        <is>
          <t>做多</t>
        </is>
      </c>
      <c r="D339" s="7" t="n">
        <v>46286.16666666666</v>
      </c>
      <c r="E339" s="20" t="n">
        <v>0.4278</v>
      </c>
      <c r="F339" s="20" t="n">
        <v>0.440634</v>
      </c>
      <c r="G339" s="20" t="n">
        <v>0.40641</v>
      </c>
      <c r="H339" s="7" t="n">
        <v>46286.375</v>
      </c>
      <c r="I339" s="20" t="n">
        <v>0.440634</v>
      </c>
      <c r="J339" s="2" t="inlineStr">
        <is>
          <t>止盈</t>
        </is>
      </c>
      <c r="K339" s="5">
        <f>(H339-D339)*24</f>
        <v/>
      </c>
      <c r="L339" s="4">
        <f>IF(C339="做多",I339/E339-1,1-I339/E339)-2*參數!$B$7</f>
        <v/>
      </c>
      <c r="M339" s="2" t="inlineStr"/>
      <c r="N339" s="4" t="n">
        <v>0.02344497607655516</v>
      </c>
      <c r="O339" s="4" t="n">
        <v>0.02073221339057469</v>
      </c>
      <c r="P339" s="4" t="n">
        <v>0.03608621942358914</v>
      </c>
      <c r="Q339" s="22" t="n">
        <v>658615.5000000002</v>
      </c>
      <c r="R339" s="22" t="n">
        <v>2521886.68248</v>
      </c>
      <c r="S339" s="4" t="n">
        <v>0.03</v>
      </c>
      <c r="T339" s="4" t="n">
        <v>0.01706404862085098</v>
      </c>
      <c r="U339" s="19" t="n">
        <v>1.235029664999695</v>
      </c>
      <c r="V339" s="19" t="n">
        <v>0.6024096385542173</v>
      </c>
      <c r="W339" s="4" t="n">
        <v>0.09650696658703883</v>
      </c>
      <c r="X339" s="4" t="n">
        <v>0.006825135325959186</v>
      </c>
      <c r="Y339" s="4" t="n">
        <v>0.001796331779393201</v>
      </c>
      <c r="Z339" s="4" t="n">
        <v>0.006116195627746235</v>
      </c>
      <c r="AA339" s="4" t="n">
        <v>0.03</v>
      </c>
      <c r="AB339" s="4" t="n">
        <v>0.05</v>
      </c>
      <c r="AC339" s="4">
        <f>(AB339+2*參數!$B$7)/(AA339+AB339)</f>
        <v/>
      </c>
    </row>
    <row r="340">
      <c r="A340" s="2" t="n">
        <v>339</v>
      </c>
      <c r="B340" s="2" t="inlineStr">
        <is>
          <t>AKE_USDT_PERP</t>
        </is>
      </c>
      <c r="C340" s="2" t="inlineStr">
        <is>
          <t>做空</t>
        </is>
      </c>
      <c r="D340" s="7" t="n">
        <v>46286.20833333334</v>
      </c>
      <c r="E340" s="20" t="n">
        <v>0.058871</v>
      </c>
      <c r="F340" s="20" t="n">
        <v>0.05710487</v>
      </c>
      <c r="G340" s="20" t="n">
        <v>0.06181455</v>
      </c>
      <c r="H340" s="7" t="n">
        <v>46286.25</v>
      </c>
      <c r="I340" s="20" t="n">
        <v>0.06181455</v>
      </c>
      <c r="J340" s="2" t="inlineStr">
        <is>
          <t>止損</t>
        </is>
      </c>
      <c r="K340" s="5">
        <f>(H340-D340)*24</f>
        <v/>
      </c>
      <c r="L340" s="4">
        <f>IF(C340="做多",I340/E340-1,1-I340/E340)-2*參數!$B$7</f>
        <v/>
      </c>
      <c r="M340" s="2" t="inlineStr"/>
      <c r="N340" s="4" t="n">
        <v>-0.04359395916457642</v>
      </c>
      <c r="O340" s="4" t="n">
        <v>0.2011116411779258</v>
      </c>
      <c r="P340" s="4" t="n">
        <v>-0.05662115866490847</v>
      </c>
      <c r="Q340" s="22" t="n">
        <v>-22181628</v>
      </c>
      <c r="R340" s="22" t="n">
        <v>23715826.2674167</v>
      </c>
      <c r="S340" s="4" t="n">
        <v>0</v>
      </c>
      <c r="T340" s="4" t="n">
        <v>0.05</v>
      </c>
      <c r="U340" s="19" t="n">
        <v>0.4312390661198016</v>
      </c>
      <c r="V340" s="19" t="n">
        <v>0.7832386405129477</v>
      </c>
      <c r="W340" s="4" t="n">
        <v>-0.4497437159159334</v>
      </c>
      <c r="X340" s="4" t="n">
        <v>0.07866649138621795</v>
      </c>
      <c r="Y340" s="4" t="n">
        <v>0.001158435815877712</v>
      </c>
      <c r="Z340" s="4" t="n">
        <v>-0.005084705617705021</v>
      </c>
      <c r="AA340" s="4" t="n">
        <v>0.03</v>
      </c>
      <c r="AB340" s="4" t="n">
        <v>0.05</v>
      </c>
      <c r="AC340" s="4">
        <f>(AB340+2*參數!$B$7)/(AA340+AB340)</f>
        <v/>
      </c>
    </row>
    <row r="341">
      <c r="A341" s="2" t="n">
        <v>340</v>
      </c>
      <c r="B341" s="2" t="inlineStr">
        <is>
          <t>VVV_USDT_PERP</t>
        </is>
      </c>
      <c r="C341" s="2" t="inlineStr">
        <is>
          <t>做多</t>
        </is>
      </c>
      <c r="D341" s="7" t="n">
        <v>46286.29166666666</v>
      </c>
      <c r="E341" s="20" t="n">
        <v>28.767</v>
      </c>
      <c r="F341" s="20" t="n">
        <v>29.63001</v>
      </c>
      <c r="G341" s="20" t="n">
        <v>27.32865</v>
      </c>
      <c r="H341" s="7" t="n">
        <v>46286.375</v>
      </c>
      <c r="I341" s="20" t="n">
        <v>29.63001</v>
      </c>
      <c r="J341" s="2" t="inlineStr">
        <is>
          <t>止盈</t>
        </is>
      </c>
      <c r="K341" s="5">
        <f>(H341-D341)*24</f>
        <v/>
      </c>
      <c r="L341" s="4">
        <f>IF(C341="做多",I341/E341-1,1-I341/E341)-2*參數!$B$7</f>
        <v/>
      </c>
      <c r="M341" s="2" t="inlineStr"/>
      <c r="N341" s="4" t="n">
        <v>0.02151912219026308</v>
      </c>
      <c r="O341" s="4" t="n">
        <v>0.0283197350579498</v>
      </c>
      <c r="P341" s="4" t="n">
        <v>0.02046825115289108</v>
      </c>
      <c r="Q341" s="22" t="n">
        <v>14150.73000000001</v>
      </c>
      <c r="R341" s="22" t="n">
        <v>1765507.280460001</v>
      </c>
      <c r="S341" s="4" t="n">
        <v>0.03</v>
      </c>
      <c r="T341" s="4" t="n">
        <v>0.004727639308930387</v>
      </c>
      <c r="U341" s="19" t="n">
        <v>2.282808170069471</v>
      </c>
      <c r="V341" s="19" t="n">
        <v>0.8834080717488797</v>
      </c>
      <c r="W341" s="4" t="n">
        <v>0.08413697352914884</v>
      </c>
      <c r="X341" s="4" t="n">
        <v>0.1254694835680752</v>
      </c>
      <c r="Y341" s="4" t="n">
        <v>0.003506906888346428</v>
      </c>
      <c r="Z341" s="4" t="n">
        <v>0.006274558413386977</v>
      </c>
      <c r="AA341" s="4" t="n">
        <v>0.03</v>
      </c>
      <c r="AB341" s="4" t="n">
        <v>0.05</v>
      </c>
      <c r="AC341" s="4">
        <f>(AB341+2*參數!$B$7)/(AA341+AB341)</f>
        <v/>
      </c>
    </row>
    <row r="342">
      <c r="A342" s="2" t="n">
        <v>341</v>
      </c>
      <c r="B342" s="2" t="inlineStr">
        <is>
          <t>BR_USDT_PERP</t>
        </is>
      </c>
      <c r="C342" s="2" t="inlineStr">
        <is>
          <t>做多</t>
        </is>
      </c>
      <c r="D342" s="7" t="n">
        <v>46286.33333333334</v>
      </c>
      <c r="E342" s="20" t="n">
        <v>1.19252</v>
      </c>
      <c r="F342" s="20" t="n">
        <v>1.2282956</v>
      </c>
      <c r="G342" s="20" t="n">
        <v>1.132894</v>
      </c>
      <c r="H342" s="7" t="n">
        <v>46286.41666666666</v>
      </c>
      <c r="I342" s="20" t="n">
        <v>1.2282956</v>
      </c>
      <c r="J342" s="2" t="inlineStr">
        <is>
          <t>止盈</t>
        </is>
      </c>
      <c r="K342" s="5">
        <f>(H342-D342)*24</f>
        <v/>
      </c>
      <c r="L342" s="4">
        <f>IF(C342="做多",I342/E342-1,1-I342/E342)-2*參數!$B$7</f>
        <v/>
      </c>
      <c r="M342" s="2" t="inlineStr"/>
      <c r="N342" s="4" t="n">
        <v>0.03420404481909323</v>
      </c>
      <c r="O342" s="4" t="n">
        <v>0.06504935756316703</v>
      </c>
      <c r="P342" s="4" t="n">
        <v>0.02826362598906718</v>
      </c>
      <c r="Q342" s="22" t="n">
        <v>1013858</v>
      </c>
      <c r="R342" s="22" t="n">
        <v>5324102.1918</v>
      </c>
      <c r="S342" s="4" t="n">
        <v>0.03</v>
      </c>
      <c r="T342" s="4" t="n">
        <v>0.0203518599268776</v>
      </c>
      <c r="U342" s="19" t="n">
        <v>0.4971371408585398</v>
      </c>
      <c r="V342" s="19" t="n">
        <v>0.7021943573667732</v>
      </c>
      <c r="W342" s="4" t="n">
        <v>0.3499562134753822</v>
      </c>
      <c r="X342" s="4" t="n">
        <v>0.08371501272264625</v>
      </c>
      <c r="Y342" s="4" t="n">
        <v>-0.0004582341724438388</v>
      </c>
      <c r="Z342" s="4" t="n">
        <v>0.005392162602332995</v>
      </c>
      <c r="AA342" s="4" t="n">
        <v>0.03</v>
      </c>
      <c r="AB342" s="4" t="n">
        <v>0.05</v>
      </c>
      <c r="AC342" s="4">
        <f>(AB342+2*參數!$B$7)/(AA342+AB342)</f>
        <v/>
      </c>
    </row>
    <row r="343">
      <c r="A343" s="2" t="n">
        <v>342</v>
      </c>
      <c r="B343" s="2" t="inlineStr">
        <is>
          <t>ZAMA_USDT_PERP</t>
        </is>
      </c>
      <c r="C343" s="2" t="inlineStr">
        <is>
          <t>做空</t>
        </is>
      </c>
      <c r="D343" s="7" t="n">
        <v>46286.33333333334</v>
      </c>
      <c r="E343" s="20" t="n">
        <v>0.08348</v>
      </c>
      <c r="F343" s="20" t="n">
        <v>0.08097559999999999</v>
      </c>
      <c r="G343" s="20" t="n">
        <v>0.087654</v>
      </c>
      <c r="H343" s="7" t="n">
        <v>46286.41666666666</v>
      </c>
      <c r="I343" s="20" t="n">
        <v>0.087654</v>
      </c>
      <c r="J343" s="2" t="inlineStr">
        <is>
          <t>止損</t>
        </is>
      </c>
      <c r="K343" s="5">
        <f>(H343-D343)*24</f>
        <v/>
      </c>
      <c r="L343" s="4">
        <f>IF(C343="做多",I343/E343-1,1-I343/E343)-2*參數!$B$7</f>
        <v/>
      </c>
      <c r="M343" s="2" t="inlineStr"/>
      <c r="N343" s="4" t="n">
        <v>-0.0273797040661774</v>
      </c>
      <c r="O343" s="4" t="n">
        <v>0.05918451293592571</v>
      </c>
      <c r="P343" s="4" t="n">
        <v>-0.0305310710843234</v>
      </c>
      <c r="Q343" s="22" t="n">
        <v>-12078685</v>
      </c>
      <c r="R343" s="22" t="n">
        <v>3630093.83383</v>
      </c>
      <c r="S343" s="4" t="n">
        <v>0.0001197891710589261</v>
      </c>
      <c r="T343" s="4" t="n">
        <v>0.05</v>
      </c>
      <c r="U343" s="19" t="n">
        <v>0.3528424142205874</v>
      </c>
      <c r="V343" s="19" t="n">
        <v>0.9746835443037968</v>
      </c>
      <c r="W343" s="4" t="n">
        <v>-0.2699629720906318</v>
      </c>
      <c r="X343" s="4" t="n">
        <v>-0.01495440729483266</v>
      </c>
      <c r="Y343" s="4" t="n">
        <v>0.0004582341724438388</v>
      </c>
      <c r="Z343" s="4" t="n">
        <v>-0.005392162602332995</v>
      </c>
      <c r="AA343" s="4" t="n">
        <v>0.03</v>
      </c>
      <c r="AB343" s="4" t="n">
        <v>0.05</v>
      </c>
      <c r="AC343" s="4">
        <f>(AB343+2*參數!$B$7)/(AA343+AB343)</f>
        <v/>
      </c>
    </row>
    <row r="344">
      <c r="A344" s="2" t="n">
        <v>343</v>
      </c>
      <c r="B344" s="2" t="inlineStr">
        <is>
          <t>ENA_USDT_PERP</t>
        </is>
      </c>
      <c r="C344" s="2" t="inlineStr">
        <is>
          <t>做空</t>
        </is>
      </c>
      <c r="D344" s="7" t="n">
        <v>46286.41666666666</v>
      </c>
      <c r="E344" s="20" t="n">
        <v>0.21</v>
      </c>
      <c r="F344" s="20" t="n">
        <v>0.2037</v>
      </c>
      <c r="G344" s="20" t="n">
        <v>0.2205</v>
      </c>
      <c r="H344" s="7" t="n">
        <v>46286.70833333334</v>
      </c>
      <c r="I344" s="20" t="n">
        <v>0.2205</v>
      </c>
      <c r="J344" s="2" t="inlineStr">
        <is>
          <t>止損</t>
        </is>
      </c>
      <c r="K344" s="5">
        <f>(H344-D344)*24</f>
        <v/>
      </c>
      <c r="L344" s="4">
        <f>IF(C344="做多",I344/E344-1,1-I344/E344)-2*參數!$B$7</f>
        <v/>
      </c>
      <c r="M344" s="2" t="inlineStr"/>
      <c r="N344" s="4" t="n">
        <v>-0.05234657039711188</v>
      </c>
      <c r="O344" s="4" t="n">
        <v>0.03835542294400505</v>
      </c>
      <c r="P344" s="4" t="n">
        <v>-0.004361843352929995</v>
      </c>
      <c r="Q344" s="22" t="n">
        <v>-1466550</v>
      </c>
      <c r="R344" s="22" t="n">
        <v>14229694.2075</v>
      </c>
      <c r="S344" s="4" t="n">
        <v>0.003809523809523818</v>
      </c>
      <c r="T344" s="4" t="n">
        <v>0.05</v>
      </c>
      <c r="U344" s="19" t="n">
        <v>1.135540180472172</v>
      </c>
      <c r="V344" s="19" t="n">
        <v>0.9866666666666662</v>
      </c>
      <c r="W344" s="4" t="n">
        <v>-0.1703598020419992</v>
      </c>
      <c r="X344" s="4" t="n">
        <v>0.01454716095729713</v>
      </c>
      <c r="Y344" s="4" t="n">
        <v>0.007541110205382395</v>
      </c>
      <c r="Z344" s="4" t="n">
        <v>-0.00212432637762805</v>
      </c>
      <c r="AA344" s="4" t="n">
        <v>0.03</v>
      </c>
      <c r="AB344" s="4" t="n">
        <v>0.05</v>
      </c>
      <c r="AC344" s="4">
        <f>(AB344+2*參數!$B$7)/(AA344+AB344)</f>
        <v/>
      </c>
    </row>
    <row r="345">
      <c r="A345" s="2" t="n">
        <v>344</v>
      </c>
      <c r="B345" s="2" t="inlineStr">
        <is>
          <t>UNI_USDT_PERP</t>
        </is>
      </c>
      <c r="C345" s="2" t="inlineStr">
        <is>
          <t>做空</t>
        </is>
      </c>
      <c r="D345" s="7" t="n">
        <v>46286.41666666666</v>
      </c>
      <c r="E345" s="20" t="n">
        <v>8.573</v>
      </c>
      <c r="F345" s="20" t="n">
        <v>8.315810000000001</v>
      </c>
      <c r="G345" s="20" t="n">
        <v>9.001650000000001</v>
      </c>
      <c r="H345" s="7" t="n">
        <v>46286.75</v>
      </c>
      <c r="I345" s="20" t="n">
        <v>9.001650000000001</v>
      </c>
      <c r="J345" s="2" t="inlineStr">
        <is>
          <t>止損</t>
        </is>
      </c>
      <c r="K345" s="5">
        <f>(H345-D345)*24</f>
        <v/>
      </c>
      <c r="L345" s="4">
        <f>IF(C345="做多",I345/E345-1,1-I345/E345)-2*參數!$B$7</f>
        <v/>
      </c>
      <c r="M345" s="2" t="inlineStr"/>
      <c r="N345" s="4" t="n">
        <v>-0.03489812000450287</v>
      </c>
      <c r="O345" s="4" t="n">
        <v>0.0218056376316302</v>
      </c>
      <c r="P345" s="4" t="n">
        <v>-0.01737615478073495</v>
      </c>
      <c r="Q345" s="22" t="n">
        <v>-83860</v>
      </c>
      <c r="R345" s="22" t="n">
        <v>6964767.191</v>
      </c>
      <c r="S345" s="4" t="n">
        <v>0.007465298028694778</v>
      </c>
      <c r="T345" s="4" t="n">
        <v>0.05</v>
      </c>
      <c r="U345" s="19" t="n">
        <v>2.052370612826911</v>
      </c>
      <c r="V345" s="19" t="n">
        <v>0.938596491228068</v>
      </c>
      <c r="W345" s="4" t="n">
        <v>-0.02778853427740091</v>
      </c>
      <c r="X345" s="4" t="n">
        <v>0.02756352087114344</v>
      </c>
      <c r="Y345" s="4" t="n">
        <v>0.007541110205382395</v>
      </c>
      <c r="Z345" s="4" t="n">
        <v>-0.00212432637762805</v>
      </c>
      <c r="AA345" s="4" t="n">
        <v>0.03</v>
      </c>
      <c r="AB345" s="4" t="n">
        <v>0.05</v>
      </c>
      <c r="AC345" s="4">
        <f>(AB345+2*參數!$B$7)/(AA345+AB345)</f>
        <v/>
      </c>
    </row>
    <row r="346">
      <c r="A346" s="2" t="n">
        <v>345</v>
      </c>
      <c r="B346" s="2" t="inlineStr">
        <is>
          <t>USELESS_USDT_PERP</t>
        </is>
      </c>
      <c r="C346" s="2" t="inlineStr">
        <is>
          <t>做空</t>
        </is>
      </c>
      <c r="D346" s="7" t="n">
        <v>46286.41666666666</v>
      </c>
      <c r="E346" s="20" t="n">
        <v>0.2375</v>
      </c>
      <c r="F346" s="20" t="n">
        <v>0.230375</v>
      </c>
      <c r="G346" s="20" t="n">
        <v>0.249375</v>
      </c>
      <c r="H346" s="7" t="n">
        <v>46286.5</v>
      </c>
      <c r="I346" s="20" t="n">
        <v>0.249375</v>
      </c>
      <c r="J346" s="2" t="inlineStr">
        <is>
          <t>止損</t>
        </is>
      </c>
      <c r="K346" s="5">
        <f>(H346-D346)*24</f>
        <v/>
      </c>
      <c r="L346" s="4">
        <f>IF(C346="做多",I346/E346-1,1-I346/E346)-2*參數!$B$7</f>
        <v/>
      </c>
      <c r="M346" s="2" t="inlineStr"/>
      <c r="N346" s="4" t="n">
        <v>-0.03053310474324444</v>
      </c>
      <c r="O346" s="4" t="n">
        <v>0.03121677033927517</v>
      </c>
      <c r="P346" s="4" t="n">
        <v>-0.04945058243664846</v>
      </c>
      <c r="Q346" s="22" t="n">
        <v>-1048496</v>
      </c>
      <c r="R346" s="22" t="n">
        <v>1521862.35832</v>
      </c>
      <c r="S346" s="4" t="n">
        <v>0.005852631578947332</v>
      </c>
      <c r="T346" s="4" t="n">
        <v>0.05</v>
      </c>
      <c r="U346" s="19" t="n">
        <v>1.974821905464613</v>
      </c>
      <c r="V346" s="19" t="n">
        <v>0.8964601769911523</v>
      </c>
      <c r="W346" s="4" t="n">
        <v>0.09423433435376571</v>
      </c>
      <c r="X346" s="4" t="n">
        <v>0.06789638932496089</v>
      </c>
      <c r="Y346" s="4" t="n">
        <v>0.007541110205382395</v>
      </c>
      <c r="Z346" s="4" t="n">
        <v>-0.00212432637762805</v>
      </c>
      <c r="AA346" s="4" t="n">
        <v>0.03</v>
      </c>
      <c r="AB346" s="4" t="n">
        <v>0.05</v>
      </c>
      <c r="AC346" s="4">
        <f>(AB346+2*參數!$B$7)/(AA346+AB346)</f>
        <v/>
      </c>
    </row>
    <row r="347">
      <c r="A347" s="2" t="n">
        <v>346</v>
      </c>
      <c r="B347" s="2" t="inlineStr">
        <is>
          <t>ARB_USDT_PERP</t>
        </is>
      </c>
      <c r="C347" s="2" t="inlineStr">
        <is>
          <t>做多</t>
        </is>
      </c>
      <c r="D347" s="7" t="n">
        <v>46286.45833333334</v>
      </c>
      <c r="E347" s="20" t="n">
        <v>0.2174</v>
      </c>
      <c r="F347" s="20" t="n">
        <v>0.223922</v>
      </c>
      <c r="G347" s="20" t="n">
        <v>0.20653</v>
      </c>
      <c r="H347" s="7" t="n">
        <v>46286.5</v>
      </c>
      <c r="I347" s="20" t="n">
        <v>0.223922</v>
      </c>
      <c r="J347" s="2" t="inlineStr">
        <is>
          <t>止盈</t>
        </is>
      </c>
      <c r="K347" s="5">
        <f>(H347-D347)*24</f>
        <v/>
      </c>
      <c r="L347" s="4">
        <f>IF(C347="做多",I347/E347-1,1-I347/E347)-2*參數!$B$7</f>
        <v/>
      </c>
      <c r="M347" s="2" t="inlineStr"/>
      <c r="N347" s="4" t="n">
        <v>0.02017832003754094</v>
      </c>
      <c r="O347" s="4" t="n">
        <v>0.02912220411397167</v>
      </c>
      <c r="P347" s="4" t="n">
        <v>0.02443276865443078</v>
      </c>
      <c r="Q347" s="22" t="n">
        <v>2185741.499999998</v>
      </c>
      <c r="R347" s="22" t="n">
        <v>6093329.02143</v>
      </c>
      <c r="S347" s="4" t="n">
        <v>0.03</v>
      </c>
      <c r="T347" s="4" t="n">
        <v>0</v>
      </c>
      <c r="U347" s="19" t="n">
        <v>0.6323685978255483</v>
      </c>
      <c r="V347" s="19" t="n">
        <v>0.8387096774193548</v>
      </c>
      <c r="W347" s="4" t="n">
        <v>0.0817857924802452</v>
      </c>
      <c r="X347" s="4" t="n">
        <v>0.06988188976377963</v>
      </c>
      <c r="Y347" s="4" t="n">
        <v>0.003898014310010689</v>
      </c>
      <c r="Z347" s="4" t="n">
        <v>0.005408468412069212</v>
      </c>
      <c r="AA347" s="4" t="n">
        <v>0.03</v>
      </c>
      <c r="AB347" s="4" t="n">
        <v>0.05</v>
      </c>
      <c r="AC347" s="4">
        <f>(AB347+2*參數!$B$7)/(AA347+AB347)</f>
        <v/>
      </c>
    </row>
    <row r="348">
      <c r="A348" s="2" t="n">
        <v>347</v>
      </c>
      <c r="B348" s="2" t="inlineStr">
        <is>
          <t>PUMP_USDT_PERP</t>
        </is>
      </c>
      <c r="C348" s="2" t="inlineStr">
        <is>
          <t>做多</t>
        </is>
      </c>
      <c r="D348" s="7" t="n">
        <v>46286.5</v>
      </c>
      <c r="E348" s="20" t="n">
        <v>0.004403</v>
      </c>
      <c r="F348" s="20" t="n">
        <v>0.00453509</v>
      </c>
      <c r="G348" s="20" t="n">
        <v>0.004182849999999999</v>
      </c>
      <c r="H348" s="7" t="n">
        <v>46287.08333333334</v>
      </c>
      <c r="I348" s="20" t="n">
        <v>0.004182849999999999</v>
      </c>
      <c r="J348" s="2" t="inlineStr">
        <is>
          <t>止損</t>
        </is>
      </c>
      <c r="K348" s="5">
        <f>(H348-D348)*24</f>
        <v/>
      </c>
      <c r="L348" s="4">
        <f>IF(C348="做多",I348/E348-1,1-I348/E348)-2*參數!$B$7</f>
        <v/>
      </c>
      <c r="M348" s="2" t="inlineStr"/>
      <c r="N348" s="4" t="n">
        <v>0.02323960027887506</v>
      </c>
      <c r="O348" s="4" t="n">
        <v>0.02117582706809487</v>
      </c>
      <c r="P348" s="4" t="n">
        <v>0.05771425139631248</v>
      </c>
      <c r="Q348" s="22" t="n">
        <v>240005306</v>
      </c>
      <c r="R348" s="22" t="n">
        <v>3016987.803792</v>
      </c>
      <c r="S348" s="4" t="n">
        <v>0.02634567340449689</v>
      </c>
      <c r="T348" s="4" t="n">
        <v>0.05</v>
      </c>
      <c r="U348" s="19" t="n">
        <v>0.9237780406812103</v>
      </c>
      <c r="V348" s="19" t="n">
        <v>0.9363636363636357</v>
      </c>
      <c r="W348" s="4" t="n">
        <v>0.07088046658575675</v>
      </c>
      <c r="X348" s="4" t="n">
        <v>0.1085095669687814</v>
      </c>
      <c r="Y348" s="4" t="n">
        <v>0.001523131795191812</v>
      </c>
      <c r="Z348" s="4" t="n">
        <v>0.006244427046793843</v>
      </c>
      <c r="AA348" s="4" t="n">
        <v>0.03</v>
      </c>
      <c r="AB348" s="4" t="n">
        <v>0.05</v>
      </c>
      <c r="AC348" s="4">
        <f>(AB348+2*參數!$B$7)/(AA348+AB348)</f>
        <v/>
      </c>
    </row>
    <row r="349">
      <c r="A349" s="2" t="n">
        <v>348</v>
      </c>
      <c r="B349" s="2" t="inlineStr">
        <is>
          <t>AVAX_USDT_PERP</t>
        </is>
      </c>
      <c r="C349" s="2" t="inlineStr">
        <is>
          <t>做多</t>
        </is>
      </c>
      <c r="D349" s="7" t="n">
        <v>46286.54166666666</v>
      </c>
      <c r="E349" s="20" t="n">
        <v>11.534</v>
      </c>
      <c r="F349" s="20" t="n">
        <v>11.88002</v>
      </c>
      <c r="G349" s="20" t="n">
        <v>10.9573</v>
      </c>
      <c r="H349" s="7" t="n">
        <v>46286.66666666666</v>
      </c>
      <c r="I349" s="20" t="n">
        <v>10.9573</v>
      </c>
      <c r="J349" s="2" t="inlineStr">
        <is>
          <t>止損</t>
        </is>
      </c>
      <c r="K349" s="5">
        <f>(H349-D349)*24</f>
        <v/>
      </c>
      <c r="L349" s="4">
        <f>IF(C349="做多",I349/E349-1,1-I349/E349)-2*參數!$B$7</f>
        <v/>
      </c>
      <c r="M349" s="2" t="inlineStr"/>
      <c r="N349" s="4" t="n">
        <v>0.02306191236473309</v>
      </c>
      <c r="O349" s="4" t="n">
        <v>0.0295591655812117</v>
      </c>
      <c r="P349" s="4" t="n">
        <v>0.05217066073106436</v>
      </c>
      <c r="Q349" s="22" t="n">
        <v>182063.1000000001</v>
      </c>
      <c r="R349" s="22" t="n">
        <v>8660520.2928</v>
      </c>
      <c r="S349" s="4" t="n">
        <v>0.005375411825905951</v>
      </c>
      <c r="T349" s="4" t="n">
        <v>0.05</v>
      </c>
      <c r="U349" s="19" t="n">
        <v>0.7095283442228764</v>
      </c>
      <c r="V349" s="19" t="n">
        <v>0.8418491484184926</v>
      </c>
      <c r="W349" s="4" t="n">
        <v>0.291582541351582</v>
      </c>
      <c r="X349" s="4" t="n">
        <v>0.2000832379565081</v>
      </c>
      <c r="Y349" s="4" t="n">
        <v>-0.0004471541219870367</v>
      </c>
      <c r="Z349" s="4" t="n">
        <v>0.005091214714717518</v>
      </c>
      <c r="AA349" s="4" t="n">
        <v>0.03</v>
      </c>
      <c r="AB349" s="4" t="n">
        <v>0.05</v>
      </c>
      <c r="AC349" s="4">
        <f>(AB349+2*參數!$B$7)/(AA349+AB349)</f>
        <v/>
      </c>
    </row>
    <row r="350">
      <c r="A350" s="2" t="n">
        <v>349</v>
      </c>
      <c r="B350" s="2" t="inlineStr">
        <is>
          <t>PONS_USDT_PERP</t>
        </is>
      </c>
      <c r="C350" s="2" t="inlineStr">
        <is>
          <t>做多</t>
        </is>
      </c>
      <c r="D350" s="7" t="n">
        <v>46286.58333333334</v>
      </c>
      <c r="E350" s="20" t="n">
        <v>0.5992</v>
      </c>
      <c r="F350" s="20" t="n">
        <v>0.6171759999999999</v>
      </c>
      <c r="G350" s="20" t="n">
        <v>0.56924</v>
      </c>
      <c r="H350" s="7" t="n">
        <v>46286.70833333334</v>
      </c>
      <c r="I350" s="20" t="n">
        <v>0.6171759999999999</v>
      </c>
      <c r="J350" s="2" t="inlineStr">
        <is>
          <t>止盈</t>
        </is>
      </c>
      <c r="K350" s="5">
        <f>(H350-D350)*24</f>
        <v/>
      </c>
      <c r="L350" s="4">
        <f>IF(C350="做多",I350/E350-1,1-I350/E350)-2*參數!$B$7</f>
        <v/>
      </c>
      <c r="M350" s="2" t="inlineStr"/>
      <c r="N350" s="4" t="n">
        <v>0.02252559726962455</v>
      </c>
      <c r="O350" s="4" t="n">
        <v>0.02483810079448764</v>
      </c>
      <c r="P350" s="4" t="n">
        <v>0.02616796821482392</v>
      </c>
      <c r="Q350" s="22" t="n">
        <v>689639</v>
      </c>
      <c r="R350" s="22" t="n">
        <v>1860639.4774</v>
      </c>
      <c r="S350" s="4" t="n">
        <v>0.03</v>
      </c>
      <c r="T350" s="4" t="n">
        <v>0.01051401869158874</v>
      </c>
      <c r="U350" s="19" t="n">
        <v>0.7006421493383228</v>
      </c>
      <c r="V350" s="19" t="n">
        <v>0.8895348837209295</v>
      </c>
      <c r="W350" s="4" t="n">
        <v>-0.06250195572856376</v>
      </c>
      <c r="X350" s="4" t="n">
        <v>-0.008111239860950192</v>
      </c>
      <c r="Y350" s="4" t="n">
        <v>0.001876675273727813</v>
      </c>
      <c r="Z350" s="4" t="n">
        <v>0.006304525006550321</v>
      </c>
      <c r="AA350" s="4" t="n">
        <v>0.03</v>
      </c>
      <c r="AB350" s="4" t="n">
        <v>0.05</v>
      </c>
      <c r="AC350" s="4">
        <f>(AB350+2*參數!$B$7)/(AA350+AB350)</f>
        <v/>
      </c>
    </row>
    <row r="351">
      <c r="A351" s="2" t="n">
        <v>350</v>
      </c>
      <c r="B351" s="2" t="inlineStr">
        <is>
          <t>USELESS_USDT_PERP</t>
        </is>
      </c>
      <c r="C351" s="2" t="inlineStr">
        <is>
          <t>做空</t>
        </is>
      </c>
      <c r="D351" s="7" t="n">
        <v>46286.58333333334</v>
      </c>
      <c r="E351" s="20" t="n">
        <v>0.24482</v>
      </c>
      <c r="F351" s="20" t="n">
        <v>0.2374754</v>
      </c>
      <c r="G351" s="20" t="n">
        <v>0.257061</v>
      </c>
      <c r="H351" s="7" t="n">
        <v>46286.70833333334</v>
      </c>
      <c r="I351" s="20" t="n">
        <v>0.257061</v>
      </c>
      <c r="J351" s="2" t="inlineStr">
        <is>
          <t>止損</t>
        </is>
      </c>
      <c r="K351" s="5">
        <f>(H351-D351)*24</f>
        <v/>
      </c>
      <c r="L351" s="4">
        <f>IF(C351="做多",I351/E351-1,1-I351/E351)-2*參數!$B$7</f>
        <v/>
      </c>
      <c r="M351" s="2" t="inlineStr"/>
      <c r="N351" s="4" t="n">
        <v>-0.02208907529458759</v>
      </c>
      <c r="O351" s="4" t="n">
        <v>0.0329209599828755</v>
      </c>
      <c r="P351" s="4" t="n">
        <v>-0.01125374333872498</v>
      </c>
      <c r="Q351" s="22" t="n">
        <v>-505897</v>
      </c>
      <c r="R351" s="22" t="n">
        <v>1525239.82914</v>
      </c>
      <c r="S351" s="4" t="n">
        <v>0.02234294583775831</v>
      </c>
      <c r="T351" s="4" t="n">
        <v>0.05</v>
      </c>
      <c r="U351" s="19" t="n">
        <v>0.8260621227388463</v>
      </c>
      <c r="V351" s="19" t="n">
        <v>0.8540706605222722</v>
      </c>
      <c r="W351" s="4" t="n">
        <v>0.06837663429844376</v>
      </c>
      <c r="X351" s="4" t="n">
        <v>0.06206420963910797</v>
      </c>
      <c r="Y351" s="4" t="n">
        <v>-0.001876675273727813</v>
      </c>
      <c r="Z351" s="4" t="n">
        <v>-0.006304525006550321</v>
      </c>
      <c r="AA351" s="4" t="n">
        <v>0.03</v>
      </c>
      <c r="AB351" s="4" t="n">
        <v>0.05</v>
      </c>
      <c r="AC351" s="4">
        <f>(AB351+2*參數!$B$7)/(AA351+AB351)</f>
        <v/>
      </c>
    </row>
    <row r="352">
      <c r="A352" s="2" t="n">
        <v>351</v>
      </c>
      <c r="B352" s="2" t="inlineStr">
        <is>
          <t>LIT_USDT_PERP</t>
        </is>
      </c>
      <c r="C352" s="2" t="inlineStr">
        <is>
          <t>做多</t>
        </is>
      </c>
      <c r="D352" s="7" t="n">
        <v>46286.625</v>
      </c>
      <c r="E352" s="20" t="n">
        <v>5.064</v>
      </c>
      <c r="F352" s="20" t="n">
        <v>5.215920000000001</v>
      </c>
      <c r="G352" s="20" t="n">
        <v>4.8108</v>
      </c>
      <c r="H352" s="7" t="n">
        <v>46287.08333333334</v>
      </c>
      <c r="I352" s="20" t="n">
        <v>4.8108</v>
      </c>
      <c r="J352" s="2" t="inlineStr">
        <is>
          <t>止損</t>
        </is>
      </c>
      <c r="K352" s="5">
        <f>(H352-D352)*24</f>
        <v/>
      </c>
      <c r="L352" s="4">
        <f>IF(C352="做多",I352/E352-1,1-I352/E352)-2*參數!$B$7</f>
        <v/>
      </c>
      <c r="M352" s="2" t="inlineStr"/>
      <c r="N352" s="4" t="n">
        <v>0.02261712439418417</v>
      </c>
      <c r="O352" s="4" t="n">
        <v>0.02130754193893491</v>
      </c>
      <c r="P352" s="4" t="n">
        <v>0.05679434873796141</v>
      </c>
      <c r="Q352" s="22" t="n">
        <v>310580.4</v>
      </c>
      <c r="R352" s="22" t="n">
        <v>4549757.5727</v>
      </c>
      <c r="S352" s="4" t="n">
        <v>0.01500789889415466</v>
      </c>
      <c r="T352" s="4" t="n">
        <v>0.05</v>
      </c>
      <c r="U352" s="19" t="n">
        <v>1.067225806316966</v>
      </c>
      <c r="V352" s="19" t="n">
        <v>0.8854961832061087</v>
      </c>
      <c r="W352" s="4" t="n">
        <v>0.04455230084096384</v>
      </c>
      <c r="X352" s="4" t="n">
        <v>0.08066581306017939</v>
      </c>
      <c r="Y352" s="4" t="n">
        <v>0.001092983316977492</v>
      </c>
      <c r="Z352" s="4" t="n">
        <v>0.006582450847467003</v>
      </c>
      <c r="AA352" s="4" t="n">
        <v>0.03</v>
      </c>
      <c r="AB352" s="4" t="n">
        <v>0.05</v>
      </c>
      <c r="AC352" s="4">
        <f>(AB352+2*參數!$B$7)/(AA352+AB352)</f>
        <v/>
      </c>
    </row>
    <row r="353">
      <c r="A353" s="2" t="n">
        <v>352</v>
      </c>
      <c r="B353" s="2" t="inlineStr">
        <is>
          <t>ONDO_USDT_PERP</t>
        </is>
      </c>
      <c r="C353" s="2" t="inlineStr">
        <is>
          <t>做多</t>
        </is>
      </c>
      <c r="D353" s="7" t="n">
        <v>46286.70833333334</v>
      </c>
      <c r="E353" s="20" t="n">
        <v>0.4409</v>
      </c>
      <c r="F353" s="20" t="n">
        <v>0.454127</v>
      </c>
      <c r="G353" s="20" t="n">
        <v>0.418855</v>
      </c>
      <c r="H353" s="7" t="n">
        <v>46286.79166666666</v>
      </c>
      <c r="I353" s="20" t="n">
        <v>0.454127</v>
      </c>
      <c r="J353" s="2" t="inlineStr">
        <is>
          <t>止盈</t>
        </is>
      </c>
      <c r="K353" s="5">
        <f>(H353-D353)*24</f>
        <v/>
      </c>
      <c r="L353" s="4">
        <f>IF(C353="做多",I353/E353-1,1-I353/E353)-2*參數!$B$7</f>
        <v/>
      </c>
      <c r="M353" s="2" t="inlineStr"/>
      <c r="N353" s="4" t="n">
        <v>0.02036565609812557</v>
      </c>
      <c r="O353" s="4" t="n">
        <v>0.02095025444343261</v>
      </c>
      <c r="P353" s="4" t="n">
        <v>0.03255269320843102</v>
      </c>
      <c r="Q353" s="22" t="n">
        <v>1975334.799999999</v>
      </c>
      <c r="R353" s="22" t="n">
        <v>2773938.78335</v>
      </c>
      <c r="S353" s="4" t="n">
        <v>0.03</v>
      </c>
      <c r="T353" s="4" t="n">
        <v>0.01474257201179408</v>
      </c>
      <c r="U353" s="19" t="n">
        <v>1.463352585949397</v>
      </c>
      <c r="V353" s="19" t="n">
        <v>0.8932038834951469</v>
      </c>
      <c r="W353" s="4" t="n">
        <v>0.09760438942177241</v>
      </c>
      <c r="X353" s="4" t="n">
        <v>0.0835586139100517</v>
      </c>
      <c r="Y353" s="4" t="n">
        <v>0.0248244964409654</v>
      </c>
      <c r="Z353" s="4" t="n">
        <v>0.02977322148054662</v>
      </c>
      <c r="AA353" s="4" t="n">
        <v>0.03</v>
      </c>
      <c r="AB353" s="4" t="n">
        <v>0.05</v>
      </c>
      <c r="AC353" s="4">
        <f>(AB353+2*參數!$B$7)/(AA353+AB353)</f>
        <v/>
      </c>
    </row>
    <row r="354">
      <c r="A354" s="2" t="n">
        <v>353</v>
      </c>
      <c r="B354" s="2" t="inlineStr">
        <is>
          <t>ENA_USDT_PERP</t>
        </is>
      </c>
      <c r="C354" s="2" t="inlineStr">
        <is>
          <t>做多</t>
        </is>
      </c>
      <c r="D354" s="7" t="n">
        <v>46286.79166666666</v>
      </c>
      <c r="E354" s="20" t="n">
        <v>0.227</v>
      </c>
      <c r="F354" s="20" t="n">
        <v>0.23381</v>
      </c>
      <c r="G354" s="20" t="n">
        <v>0.21565</v>
      </c>
      <c r="H354" s="7" t="n">
        <v>46287</v>
      </c>
      <c r="I354" s="20" t="n">
        <v>0.21565</v>
      </c>
      <c r="J354" s="2" t="inlineStr">
        <is>
          <t>止損</t>
        </is>
      </c>
      <c r="K354" s="5">
        <f>(H354-D354)*24</f>
        <v/>
      </c>
      <c r="L354" s="4">
        <f>IF(C354="做多",I354/E354-1,1-I354/E354)-2*參數!$B$7</f>
        <v/>
      </c>
      <c r="M354" s="2" t="inlineStr"/>
      <c r="N354" s="4" t="n">
        <v>0.0389016018306636</v>
      </c>
      <c r="O354" s="4" t="n">
        <v>0.03038849499990817</v>
      </c>
      <c r="P354" s="4" t="n">
        <v>0.04264749787566302</v>
      </c>
      <c r="Q354" s="22" t="n">
        <v>7846591</v>
      </c>
      <c r="R354" s="22" t="n">
        <v>12554969.585</v>
      </c>
      <c r="S354" s="4" t="n">
        <v>0.008810572687224738</v>
      </c>
      <c r="T354" s="4" t="n">
        <v>0.05</v>
      </c>
      <c r="U354" s="19" t="n">
        <v>2.137333916972771</v>
      </c>
      <c r="V354" s="19" t="n">
        <v>0.958333333333335</v>
      </c>
      <c r="W354" s="4" t="n">
        <v>0.2241816318826513</v>
      </c>
      <c r="X354" s="4" t="n">
        <v>0.1193293885601578</v>
      </c>
      <c r="Y354" s="4" t="n">
        <v>-0.002668213868330938</v>
      </c>
      <c r="Z354" s="4" t="n">
        <v>0.03313469587806672</v>
      </c>
      <c r="AA354" s="4" t="n">
        <v>0.03</v>
      </c>
      <c r="AB354" s="4" t="n">
        <v>0.05</v>
      </c>
      <c r="AC354" s="4">
        <f>(AB354+2*參數!$B$7)/(AA354+AB354)</f>
        <v/>
      </c>
    </row>
    <row r="355">
      <c r="A355" s="2" t="n">
        <v>354</v>
      </c>
      <c r="B355" s="2" t="inlineStr">
        <is>
          <t>PONS_USDT_PERP</t>
        </is>
      </c>
      <c r="C355" s="2" t="inlineStr">
        <is>
          <t>做多</t>
        </is>
      </c>
      <c r="D355" s="7" t="n">
        <v>46286.79166666666</v>
      </c>
      <c r="E355" s="20" t="n">
        <v>0.6218</v>
      </c>
      <c r="F355" s="20" t="n">
        <v>0.6404540000000001</v>
      </c>
      <c r="G355" s="20" t="n">
        <v>0.59071</v>
      </c>
      <c r="H355" s="7" t="n">
        <v>46286.875</v>
      </c>
      <c r="I355" s="20" t="n">
        <v>0.6404540000000001</v>
      </c>
      <c r="J355" s="2" t="inlineStr">
        <is>
          <t>止盈</t>
        </is>
      </c>
      <c r="K355" s="5">
        <f>(H355-D355)*24</f>
        <v/>
      </c>
      <c r="L355" s="4">
        <f>IF(C355="做多",I355/E355-1,1-I355/E355)-2*參數!$B$7</f>
        <v/>
      </c>
      <c r="M355" s="2" t="inlineStr"/>
      <c r="N355" s="4" t="n">
        <v>0.02981119576018543</v>
      </c>
      <c r="O355" s="4" t="n">
        <v>0.02659412408765577</v>
      </c>
      <c r="P355" s="4" t="n">
        <v>0.04719801271525403</v>
      </c>
      <c r="Q355" s="22" t="n">
        <v>1444291</v>
      </c>
      <c r="R355" s="22" t="n">
        <v>2290832.8843</v>
      </c>
      <c r="S355" s="4" t="n">
        <v>0.03</v>
      </c>
      <c r="T355" s="4" t="n">
        <v>0.009166934705693186</v>
      </c>
      <c r="U355" s="19" t="n">
        <v>1.989757988688353</v>
      </c>
      <c r="V355" s="19" t="n">
        <v>0.6269113149847105</v>
      </c>
      <c r="W355" s="4" t="n">
        <v>-0.02498380983891368</v>
      </c>
      <c r="X355" s="4" t="n">
        <v>0.08157940511393291</v>
      </c>
      <c r="Y355" s="4" t="n">
        <v>-0.002668213868330938</v>
      </c>
      <c r="Z355" s="4" t="n">
        <v>0.03313469587806672</v>
      </c>
      <c r="AA355" s="4" t="n">
        <v>0.03</v>
      </c>
      <c r="AB355" s="4" t="n">
        <v>0.05</v>
      </c>
      <c r="AC355" s="4">
        <f>(AB355+2*參數!$B$7)/(AA355+AB355)</f>
        <v/>
      </c>
    </row>
    <row r="356">
      <c r="A356" s="2" t="n">
        <v>355</v>
      </c>
      <c r="B356" s="2" t="inlineStr">
        <is>
          <t>XMR_USDT_PERP</t>
        </is>
      </c>
      <c r="C356" s="2" t="inlineStr">
        <is>
          <t>做多</t>
        </is>
      </c>
      <c r="D356" s="7" t="n">
        <v>46286.79166666666</v>
      </c>
      <c r="E356" s="20" t="n">
        <v>580.71</v>
      </c>
      <c r="F356" s="20" t="n">
        <v>598.1313</v>
      </c>
      <c r="G356" s="20" t="n">
        <v>551.6745</v>
      </c>
      <c r="H356" s="7" t="n">
        <v>46287.08333333334</v>
      </c>
      <c r="I356" s="20" t="n">
        <v>551.6745</v>
      </c>
      <c r="J356" s="2" t="inlineStr">
        <is>
          <t>止損</t>
        </is>
      </c>
      <c r="K356" s="5">
        <f>(H356-D356)*24</f>
        <v/>
      </c>
      <c r="L356" s="4">
        <f>IF(C356="做多",I356/E356-1,1-I356/E356)-2*參數!$B$7</f>
        <v/>
      </c>
      <c r="M356" s="2" t="inlineStr"/>
      <c r="N356" s="4" t="n">
        <v>0.02410764672686239</v>
      </c>
      <c r="O356" s="4" t="n">
        <v>0.02632899404122385</v>
      </c>
      <c r="P356" s="4" t="n">
        <v>0.01667051828819943</v>
      </c>
      <c r="Q356" s="22" t="n">
        <v>320.3699999999999</v>
      </c>
      <c r="R356" s="22" t="n">
        <v>2336139.41397</v>
      </c>
      <c r="S356" s="4" t="n">
        <v>0.01072824645692338</v>
      </c>
      <c r="T356" s="4" t="n">
        <v>0.05</v>
      </c>
      <c r="U356" s="19" t="n">
        <v>0.9764569827239324</v>
      </c>
      <c r="V356" s="19" t="n">
        <v>0.9764285714285766</v>
      </c>
      <c r="W356" s="4" t="n">
        <v>0.06115525967248203</v>
      </c>
      <c r="X356" s="4" t="n">
        <v>0.1105352737564782</v>
      </c>
      <c r="Y356" s="4" t="n">
        <v>-0.002668213868330938</v>
      </c>
      <c r="Z356" s="4" t="n">
        <v>0.03313469587806672</v>
      </c>
      <c r="AA356" s="4" t="n">
        <v>0.03</v>
      </c>
      <c r="AB356" s="4" t="n">
        <v>0.05</v>
      </c>
      <c r="AC356" s="4">
        <f>(AB356+2*參數!$B$7)/(AA356+AB356)</f>
        <v/>
      </c>
    </row>
    <row r="357">
      <c r="A357" s="2" t="n">
        <v>356</v>
      </c>
      <c r="B357" s="2" t="inlineStr">
        <is>
          <t>BR_USDT_PERP</t>
        </is>
      </c>
      <c r="C357" s="2" t="inlineStr">
        <is>
          <t>做多</t>
        </is>
      </c>
      <c r="D357" s="7" t="n">
        <v>46286.83333333334</v>
      </c>
      <c r="E357" s="20" t="n">
        <v>1.19281</v>
      </c>
      <c r="F357" s="20" t="n">
        <v>1.2285943</v>
      </c>
      <c r="G357" s="20" t="n">
        <v>1.1331695</v>
      </c>
      <c r="H357" s="7" t="n">
        <v>46286.91666666666</v>
      </c>
      <c r="I357" s="20" t="n">
        <v>1.2285943</v>
      </c>
      <c r="J357" s="2" t="inlineStr">
        <is>
          <t>止盈</t>
        </is>
      </c>
      <c r="K357" s="5">
        <f>(H357-D357)*24</f>
        <v/>
      </c>
      <c r="L357" s="4">
        <f>IF(C357="做多",I357/E357-1,1-I357/E357)-2*參數!$B$7</f>
        <v/>
      </c>
      <c r="M357" s="2" t="inlineStr"/>
      <c r="N357" s="4" t="n">
        <v>0.06493286193843284</v>
      </c>
      <c r="O357" s="4" t="n">
        <v>0.06929706969260301</v>
      </c>
      <c r="P357" s="4" t="n">
        <v>0.02231670897000826</v>
      </c>
      <c r="Q357" s="22" t="n">
        <v>673589</v>
      </c>
      <c r="R357" s="22" t="n">
        <v>4725931.26612</v>
      </c>
      <c r="S357" s="4" t="n">
        <v>0.03</v>
      </c>
      <c r="T357" s="4" t="n">
        <v>0.02970297029702962</v>
      </c>
      <c r="U357" s="19" t="n">
        <v>1.234318646456844</v>
      </c>
      <c r="V357" s="19" t="n">
        <v>0.6795555555555545</v>
      </c>
      <c r="W357" s="4" t="n">
        <v>0.2577517475305966</v>
      </c>
      <c r="X357" s="4" t="n">
        <v>0.004192519131525518</v>
      </c>
      <c r="Y357" s="4" t="n">
        <v>0.005329377571827276</v>
      </c>
      <c r="Z357" s="4" t="n">
        <v>0.03611775196007816</v>
      </c>
      <c r="AA357" s="4" t="n">
        <v>0.03</v>
      </c>
      <c r="AB357" s="4" t="n">
        <v>0.05</v>
      </c>
      <c r="AC357" s="4">
        <f>(AB357+2*參數!$B$7)/(AA357+AB357)</f>
        <v/>
      </c>
    </row>
    <row r="358">
      <c r="A358" s="2" t="n">
        <v>357</v>
      </c>
      <c r="B358" s="2" t="inlineStr">
        <is>
          <t>AKE_USDT_PERP</t>
        </is>
      </c>
      <c r="C358" s="2" t="inlineStr">
        <is>
          <t>做多</t>
        </is>
      </c>
      <c r="D358" s="7" t="n">
        <v>46286.875</v>
      </c>
      <c r="E358" s="20" t="n">
        <v>0.0533389</v>
      </c>
      <c r="F358" s="20" t="n">
        <v>0.054939067</v>
      </c>
      <c r="G358" s="20" t="n">
        <v>0.050671955</v>
      </c>
      <c r="H358" s="7" t="n">
        <v>46286.87847222222</v>
      </c>
      <c r="I358" s="20" t="n">
        <v>0.054939067</v>
      </c>
      <c r="J358" s="2" t="inlineStr">
        <is>
          <t>止盈</t>
        </is>
      </c>
      <c r="K358" s="5">
        <f>(H358-D358)*24</f>
        <v/>
      </c>
      <c r="L358" s="4">
        <f>IF(C358="做多",I358/E358-1,1-I358/E358)-2*參數!$B$7</f>
        <v/>
      </c>
      <c r="M358" s="2" t="inlineStr">
        <is>
          <t>同1h觸發；5分K判定先止盈</t>
        </is>
      </c>
      <c r="N358" s="4" t="n">
        <v>0.04417168306171382</v>
      </c>
      <c r="O358" s="4" t="n">
        <v>0.1590855174717467</v>
      </c>
      <c r="P358" s="4" t="n">
        <v>0.04569624093463731</v>
      </c>
      <c r="Q358" s="22" t="n">
        <v>95285374</v>
      </c>
      <c r="R358" s="22" t="n">
        <v>16235371.2138047</v>
      </c>
      <c r="S358" s="4" t="n">
        <v>0.03</v>
      </c>
      <c r="T358" s="4" t="n">
        <v>0</v>
      </c>
      <c r="U358" s="19" t="n">
        <v>2.597065116249317</v>
      </c>
      <c r="V358" s="19" t="n">
        <v>0.978710350890045</v>
      </c>
      <c r="W358" s="4" t="n">
        <v>0.1816403420243657</v>
      </c>
      <c r="X358" s="4" t="n">
        <v>0.0005984204701070528</v>
      </c>
      <c r="Y358" s="4" t="n">
        <v>0.005043023032437421</v>
      </c>
      <c r="Z358" s="4" t="n">
        <v>0.03881856190570621</v>
      </c>
      <c r="AA358" s="4" t="n">
        <v>0.03</v>
      </c>
      <c r="AB358" s="4" t="n">
        <v>0.05</v>
      </c>
      <c r="AC358" s="4">
        <f>(AB358+2*參數!$B$7)/(AA358+AB358)</f>
        <v/>
      </c>
    </row>
    <row r="359">
      <c r="A359" s="2" t="n">
        <v>358</v>
      </c>
      <c r="B359" s="2" t="inlineStr">
        <is>
          <t>BR_USDT_PERP</t>
        </is>
      </c>
      <c r="C359" s="2" t="inlineStr">
        <is>
          <t>做多</t>
        </is>
      </c>
      <c r="D359" s="7" t="n">
        <v>46286.95833333334</v>
      </c>
      <c r="E359" s="20" t="n">
        <v>1.21805</v>
      </c>
      <c r="F359" s="20" t="n">
        <v>1.2545915</v>
      </c>
      <c r="G359" s="20" t="n">
        <v>1.1571475</v>
      </c>
      <c r="H359" s="7" t="n">
        <v>46287.16666666666</v>
      </c>
      <c r="I359" s="20" t="n">
        <v>1.1571475</v>
      </c>
      <c r="J359" s="2" t="inlineStr">
        <is>
          <t>止損</t>
        </is>
      </c>
      <c r="K359" s="5">
        <f>(H359-D359)*24</f>
        <v/>
      </c>
      <c r="L359" s="4">
        <f>IF(C359="做多",I359/E359-1,1-I359/E359)-2*參數!$B$7</f>
        <v/>
      </c>
      <c r="M359" s="2" t="inlineStr"/>
      <c r="N359" s="4" t="n">
        <v>0.0237606952545848</v>
      </c>
      <c r="O359" s="4" t="n">
        <v>0.06388595361192256</v>
      </c>
      <c r="P359" s="4" t="n">
        <v>0.04188273654920893</v>
      </c>
      <c r="Q359" s="22" t="n">
        <v>930525</v>
      </c>
      <c r="R359" s="22" t="n">
        <v>4255805.284949999</v>
      </c>
      <c r="S359" s="4" t="n">
        <v>0.02150979023849597</v>
      </c>
      <c r="T359" s="4" t="n">
        <v>0.05</v>
      </c>
      <c r="U359" s="19" t="n">
        <v>0.6993832711720965</v>
      </c>
      <c r="V359" s="19" t="n">
        <v>0.8053375196232357</v>
      </c>
      <c r="W359" s="4" t="n">
        <v>0.261017924768564</v>
      </c>
      <c r="X359" s="4" t="n">
        <v>0.02101460208888684</v>
      </c>
      <c r="Y359" s="4" t="n">
        <v>0.004495186989243116</v>
      </c>
      <c r="Z359" s="4" t="n">
        <v>0.03951173584251011</v>
      </c>
      <c r="AA359" s="4" t="n">
        <v>0.03</v>
      </c>
      <c r="AB359" s="4" t="n">
        <v>0.05</v>
      </c>
      <c r="AC359" s="4">
        <f>(AB359+2*參數!$B$7)/(AA359+AB359)</f>
        <v/>
      </c>
    </row>
    <row r="360">
      <c r="A360" s="2" t="n">
        <v>359</v>
      </c>
      <c r="B360" s="2" t="inlineStr">
        <is>
          <t>LSK_USDT_PERP</t>
        </is>
      </c>
      <c r="C360" s="2" t="inlineStr">
        <is>
          <t>做空</t>
        </is>
      </c>
      <c r="D360" s="7" t="n">
        <v>46287</v>
      </c>
      <c r="E360" s="20" t="n">
        <v>0.3723</v>
      </c>
      <c r="F360" s="20" t="n">
        <v>0.361131</v>
      </c>
      <c r="G360" s="20" t="n">
        <v>0.390915</v>
      </c>
      <c r="H360" s="7" t="n">
        <v>46287.33333333334</v>
      </c>
      <c r="I360" s="20" t="n">
        <v>0.361131</v>
      </c>
      <c r="J360" s="2" t="inlineStr">
        <is>
          <t>止盈</t>
        </is>
      </c>
      <c r="K360" s="5">
        <f>(H360-D360)*24</f>
        <v/>
      </c>
      <c r="L360" s="4">
        <f>IF(C360="做多",I360/E360-1,1-I360/E360)-2*參數!$B$7</f>
        <v/>
      </c>
      <c r="M360" s="2" t="inlineStr"/>
      <c r="N360" s="4" t="n">
        <v>-0.02895148669796554</v>
      </c>
      <c r="O360" s="4" t="n">
        <v>0.03291289676748195</v>
      </c>
      <c r="P360" s="4" t="n">
        <v>-0.008997018739352658</v>
      </c>
      <c r="Q360" s="22" t="n">
        <v>-696935</v>
      </c>
      <c r="R360" s="22" t="n">
        <v>1652837.599</v>
      </c>
      <c r="S360" s="4" t="n">
        <v>0.03</v>
      </c>
      <c r="T360" s="4" t="n">
        <v>0.01181842600053717</v>
      </c>
      <c r="U360" s="19" t="n">
        <v>0.7239335839522216</v>
      </c>
      <c r="V360" s="19" t="n">
        <v>0.9384615384615368</v>
      </c>
      <c r="W360" s="4" t="n">
        <v>0.1009179186116994</v>
      </c>
      <c r="X360" s="4" t="n">
        <v>0.08074074074074078</v>
      </c>
      <c r="Y360" s="4" t="n">
        <v>-0.0008017835021389974</v>
      </c>
      <c r="Z360" s="4" t="n">
        <v>-0.03737083825579401</v>
      </c>
      <c r="AA360" s="4" t="n">
        <v>0.03</v>
      </c>
      <c r="AB360" s="4" t="n">
        <v>0.05</v>
      </c>
      <c r="AC360" s="4">
        <f>(AB360+2*參數!$B$7)/(AA360+AB360)</f>
        <v/>
      </c>
    </row>
    <row r="361">
      <c r="A361" s="2" t="n">
        <v>360</v>
      </c>
      <c r="B361" s="2" t="inlineStr">
        <is>
          <t>VVV_USDT_PERP</t>
        </is>
      </c>
      <c r="C361" s="2" t="inlineStr">
        <is>
          <t>做空</t>
        </is>
      </c>
      <c r="D361" s="7" t="n">
        <v>46287</v>
      </c>
      <c r="E361" s="20" t="n">
        <v>31.09</v>
      </c>
      <c r="F361" s="20" t="n">
        <v>30.1573</v>
      </c>
      <c r="G361" s="20" t="n">
        <v>32.6445</v>
      </c>
      <c r="H361" s="7" t="n">
        <v>46287.25</v>
      </c>
      <c r="I361" s="20" t="n">
        <v>32.6445</v>
      </c>
      <c r="J361" s="2" t="inlineStr">
        <is>
          <t>止損</t>
        </is>
      </c>
      <c r="K361" s="5">
        <f>(H361-D361)*24</f>
        <v/>
      </c>
      <c r="L361" s="4">
        <f>IF(C361="做多",I361/E361-1,1-I361/E361)-2*參數!$B$7</f>
        <v/>
      </c>
      <c r="M361" s="2" t="inlineStr"/>
      <c r="N361" s="4" t="n">
        <v>-0.02429073562641226</v>
      </c>
      <c r="O361" s="4" t="n">
        <v>0.03364252808733426</v>
      </c>
      <c r="P361" s="4" t="n">
        <v>-0.02317638908307706</v>
      </c>
      <c r="Q361" s="22" t="n">
        <v>-3473.03999999995</v>
      </c>
      <c r="R361" s="22" t="n">
        <v>3962286.427000001</v>
      </c>
      <c r="S361" s="4" t="n">
        <v>0.02508845287873918</v>
      </c>
      <c r="T361" s="4" t="n">
        <v>0.05</v>
      </c>
      <c r="U361" s="19" t="n">
        <v>1.174064701905602</v>
      </c>
      <c r="V361" s="19" t="n">
        <v>0.9271613342409806</v>
      </c>
      <c r="W361" s="4" t="n">
        <v>-0.1140438321961177</v>
      </c>
      <c r="X361" s="4" t="n">
        <v>-0.06699155741643215</v>
      </c>
      <c r="Y361" s="4" t="n">
        <v>-0.0008017835021389974</v>
      </c>
      <c r="Z361" s="4" t="n">
        <v>-0.03737083825579401</v>
      </c>
      <c r="AA361" s="4" t="n">
        <v>0.03</v>
      </c>
      <c r="AB361" s="4" t="n">
        <v>0.05</v>
      </c>
      <c r="AC361" s="4">
        <f>(AB361+2*參數!$B$7)/(AA361+AB361)</f>
        <v/>
      </c>
    </row>
    <row r="362">
      <c r="A362" s="2" t="n">
        <v>361</v>
      </c>
      <c r="B362" s="2" t="inlineStr">
        <is>
          <t>PONS_USDT_PERP</t>
        </is>
      </c>
      <c r="C362" s="2" t="inlineStr">
        <is>
          <t>做空</t>
        </is>
      </c>
      <c r="D362" s="7" t="n">
        <v>46287.04166666666</v>
      </c>
      <c r="E362" s="20" t="n">
        <v>0.5881</v>
      </c>
      <c r="F362" s="20" t="n">
        <v>0.570457</v>
      </c>
      <c r="G362" s="20" t="n">
        <v>0.617505</v>
      </c>
      <c r="H362" s="7" t="n">
        <v>46287.66666666666</v>
      </c>
      <c r="I362" s="20" t="n">
        <v>0.617505</v>
      </c>
      <c r="J362" s="2" t="inlineStr">
        <is>
          <t>止損</t>
        </is>
      </c>
      <c r="K362" s="5">
        <f>(H362-D362)*24</f>
        <v/>
      </c>
      <c r="L362" s="4">
        <f>IF(C362="做多",I362/E362-1,1-I362/E362)-2*參數!$B$7</f>
        <v/>
      </c>
      <c r="M362" s="2" t="inlineStr"/>
      <c r="N362" s="4" t="n">
        <v>-0.05601926163723925</v>
      </c>
      <c r="O362" s="4" t="n">
        <v>0.03295821581205697</v>
      </c>
      <c r="P362" s="4" t="n">
        <v>-0.03148776390764474</v>
      </c>
      <c r="Q362" s="22" t="n">
        <v>-249765</v>
      </c>
      <c r="R362" s="22" t="n">
        <v>3253914.2628</v>
      </c>
      <c r="S362" s="4" t="n">
        <v>0.0180241455534772</v>
      </c>
      <c r="T362" s="4" t="n">
        <v>0.05</v>
      </c>
      <c r="U362" s="19" t="n">
        <v>1.641989696032749</v>
      </c>
      <c r="V362" s="19" t="n">
        <v>1</v>
      </c>
      <c r="W362" s="4" t="n">
        <v>0.07619469499187892</v>
      </c>
      <c r="X362" s="4" t="n">
        <v>-0.003241214602524467</v>
      </c>
      <c r="Y362" s="4" t="n">
        <v>-0.0003807749410498218</v>
      </c>
      <c r="Z362" s="4" t="n">
        <v>-0.03472835854295986</v>
      </c>
      <c r="AA362" s="4" t="n">
        <v>0.03</v>
      </c>
      <c r="AB362" s="4" t="n">
        <v>0.05</v>
      </c>
      <c r="AC362" s="4">
        <f>(AB362+2*參數!$B$7)/(AA362+AB362)</f>
        <v/>
      </c>
    </row>
    <row r="363">
      <c r="A363" s="2" t="n">
        <v>362</v>
      </c>
      <c r="B363" s="2" t="inlineStr">
        <is>
          <t>牛来_USDT_PERP</t>
        </is>
      </c>
      <c r="C363" s="2" t="inlineStr">
        <is>
          <t>做空</t>
        </is>
      </c>
      <c r="D363" s="7" t="n">
        <v>46287.04166666666</v>
      </c>
      <c r="E363" s="20" t="n">
        <v>0.10672</v>
      </c>
      <c r="F363" s="20" t="n">
        <v>0.1035184</v>
      </c>
      <c r="G363" s="20" t="n">
        <v>0.112056</v>
      </c>
      <c r="H363" s="7" t="n">
        <v>46287.08333333334</v>
      </c>
      <c r="I363" s="20" t="n">
        <v>0.1035184</v>
      </c>
      <c r="J363" s="2" t="inlineStr">
        <is>
          <t>止盈</t>
        </is>
      </c>
      <c r="K363" s="5">
        <f>(H363-D363)*24</f>
        <v/>
      </c>
      <c r="L363" s="4">
        <f>IF(C363="做多",I363/E363-1,1-I363/E363)-2*參數!$B$7</f>
        <v/>
      </c>
      <c r="M363" s="2" t="inlineStr"/>
      <c r="N363" s="4" t="n">
        <v>-0.04441260744985676</v>
      </c>
      <c r="O363" s="4" t="n">
        <v>0.04272645438793091</v>
      </c>
      <c r="P363" s="4" t="n">
        <v>-0.005382231645658209</v>
      </c>
      <c r="Q363" s="22" t="n">
        <v>-1298855</v>
      </c>
      <c r="R363" s="22" t="n">
        <v>1554786.1907</v>
      </c>
      <c r="S363" s="4" t="n">
        <v>0.03</v>
      </c>
      <c r="T363" s="4" t="n">
        <v>0</v>
      </c>
      <c r="U363" s="19" t="n">
        <v>0.6990115831913072</v>
      </c>
      <c r="V363" s="19" t="n">
        <v>0.8032564450474908</v>
      </c>
      <c r="W363" s="4" t="n">
        <v>0.02680925297214387</v>
      </c>
      <c r="X363" s="4" t="n">
        <v>-0.06687993601919429</v>
      </c>
      <c r="Y363" s="4" t="n">
        <v>-0.0003807749410498218</v>
      </c>
      <c r="Z363" s="4" t="n">
        <v>-0.03472835854295986</v>
      </c>
      <c r="AA363" s="4" t="n">
        <v>0.03</v>
      </c>
      <c r="AB363" s="4" t="n">
        <v>0.05</v>
      </c>
      <c r="AC363" s="4">
        <f>(AB363+2*參數!$B$7)/(AA363+AB363)</f>
        <v/>
      </c>
    </row>
    <row r="364">
      <c r="A364" s="2" t="n">
        <v>363</v>
      </c>
      <c r="B364" s="2" t="inlineStr">
        <is>
          <t>NIL_USDT_PERP</t>
        </is>
      </c>
      <c r="C364" s="2" t="inlineStr">
        <is>
          <t>做空</t>
        </is>
      </c>
      <c r="D364" s="7" t="n">
        <v>46287.08333333334</v>
      </c>
      <c r="E364" s="20" t="n">
        <v>0.06272</v>
      </c>
      <c r="F364" s="20" t="n">
        <v>0.06083839999999999</v>
      </c>
      <c r="G364" s="20" t="n">
        <v>0.065856</v>
      </c>
      <c r="H364" s="7" t="n">
        <v>46287.16666666666</v>
      </c>
      <c r="I364" s="20" t="n">
        <v>0.065856</v>
      </c>
      <c r="J364" s="2" t="inlineStr">
        <is>
          <t>止損</t>
        </is>
      </c>
      <c r="K364" s="5">
        <f>(H364-D364)*24</f>
        <v/>
      </c>
      <c r="L364" s="4">
        <f>IF(C364="做多",I364/E364-1,1-I364/E364)-2*參數!$B$7</f>
        <v/>
      </c>
      <c r="M364" s="2" t="inlineStr"/>
      <c r="N364" s="4" t="n">
        <v>-0.03492845053085103</v>
      </c>
      <c r="O364" s="4" t="n">
        <v>0.05465666103147829</v>
      </c>
      <c r="P364" s="4" t="n">
        <v>-0.03307613446284996</v>
      </c>
      <c r="Q364" s="22" t="n">
        <v>-4877091.999999993</v>
      </c>
      <c r="R364" s="22" t="n">
        <v>1417465.190666</v>
      </c>
      <c r="S364" s="4" t="n">
        <v>0.002551020408163129</v>
      </c>
      <c r="T364" s="4" t="n">
        <v>0.05</v>
      </c>
      <c r="U364" s="19" t="n">
        <v>0.712467636221309</v>
      </c>
      <c r="V364" s="19" t="n">
        <v>0.6417525773195889</v>
      </c>
      <c r="W364" s="4" t="n">
        <v>-0.2357281476884276</v>
      </c>
      <c r="X364" s="4" t="n">
        <v>-0.1087148665370337</v>
      </c>
      <c r="Y364" s="4" t="n">
        <v>0.0006518434365185843</v>
      </c>
      <c r="Z364" s="4" t="n">
        <v>-0.03097641359045045</v>
      </c>
      <c r="AA364" s="4" t="n">
        <v>0.03</v>
      </c>
      <c r="AB364" s="4" t="n">
        <v>0.05</v>
      </c>
      <c r="AC364" s="4">
        <f>(AB364+2*參數!$B$7)/(AA364+AB364)</f>
        <v/>
      </c>
    </row>
    <row r="365">
      <c r="A365" s="2" t="n">
        <v>364</v>
      </c>
      <c r="B365" s="2" t="inlineStr">
        <is>
          <t>SUI_USDT_PERP</t>
        </is>
      </c>
      <c r="C365" s="2" t="inlineStr">
        <is>
          <t>做多</t>
        </is>
      </c>
      <c r="D365" s="7" t="n">
        <v>46287.16666666666</v>
      </c>
      <c r="E365" s="20" t="n">
        <v>1.0362</v>
      </c>
      <c r="F365" s="20" t="n">
        <v>1.067286</v>
      </c>
      <c r="G365" s="20" t="n">
        <v>0.98439</v>
      </c>
      <c r="H365" s="7" t="n">
        <v>46287.375</v>
      </c>
      <c r="I365" s="20" t="n">
        <v>1.067286</v>
      </c>
      <c r="J365" s="2" t="inlineStr">
        <is>
          <t>止盈</t>
        </is>
      </c>
      <c r="K365" s="5">
        <f>(H365-D365)*24</f>
        <v/>
      </c>
      <c r="L365" s="4">
        <f>IF(C365="做多",I365/E365-1,1-I365/E365)-2*參數!$B$7</f>
        <v/>
      </c>
      <c r="M365" s="2" t="inlineStr"/>
      <c r="N365" s="4" t="n">
        <v>0.02340740740740754</v>
      </c>
      <c r="O365" s="4" t="n">
        <v>0.02741591452109523</v>
      </c>
      <c r="P365" s="4" t="n">
        <v>0.05154199774713075</v>
      </c>
      <c r="Q365" s="22" t="n">
        <v>4258526.500000002</v>
      </c>
      <c r="R365" s="22" t="n">
        <v>19490838.69494</v>
      </c>
      <c r="S365" s="4" t="n">
        <v>0.03</v>
      </c>
      <c r="T365" s="4" t="n">
        <v>0.0235475776877051</v>
      </c>
      <c r="U365" s="19" t="n">
        <v>0.7975622426801154</v>
      </c>
      <c r="V365" s="19" t="n">
        <v>0.9636963696369606</v>
      </c>
      <c r="W365" s="4" t="n">
        <v>0.2155266460989831</v>
      </c>
      <c r="X365" s="4" t="n">
        <v>0.1770987163466999</v>
      </c>
      <c r="Y365" s="4" t="n">
        <v>0.005051068687559113</v>
      </c>
      <c r="Z365" s="4" t="n">
        <v>0.03191182906213252</v>
      </c>
      <c r="AA365" s="4" t="n">
        <v>0.03</v>
      </c>
      <c r="AB365" s="4" t="n">
        <v>0.05</v>
      </c>
      <c r="AC365" s="4">
        <f>(AB365+2*參數!$B$7)/(AA365+AB365)</f>
        <v/>
      </c>
    </row>
    <row r="366">
      <c r="A366" s="2" t="n">
        <v>365</v>
      </c>
      <c r="B366" s="2" t="inlineStr">
        <is>
          <t>ZAMA_USDT_PERP</t>
        </is>
      </c>
      <c r="C366" s="2" t="inlineStr">
        <is>
          <t>做空</t>
        </is>
      </c>
      <c r="D366" s="7" t="n">
        <v>46287.16666666666</v>
      </c>
      <c r="E366" s="20" t="n">
        <v>0.09168</v>
      </c>
      <c r="F366" s="20" t="n">
        <v>0.0889296</v>
      </c>
      <c r="G366" s="20" t="n">
        <v>0.096264</v>
      </c>
      <c r="H366" s="7" t="n">
        <v>46287.33333333334</v>
      </c>
      <c r="I366" s="20" t="n">
        <v>0.096264</v>
      </c>
      <c r="J366" s="2" t="inlineStr">
        <is>
          <t>止損</t>
        </is>
      </c>
      <c r="K366" s="5">
        <f>(H366-D366)*24</f>
        <v/>
      </c>
      <c r="L366" s="4">
        <f>IF(C366="做多",I366/E366-1,1-I366/E366)-2*參數!$B$7</f>
        <v/>
      </c>
      <c r="M366" s="2" t="inlineStr"/>
      <c r="N366" s="4" t="n">
        <v>-0.05338151781104805</v>
      </c>
      <c r="O366" s="4" t="n">
        <v>0.05919869197099165</v>
      </c>
      <c r="P366" s="4" t="n">
        <v>-0.03683314773180935</v>
      </c>
      <c r="Q366" s="22" t="n">
        <v>-1876717</v>
      </c>
      <c r="R366" s="22" t="n">
        <v>2507592.54838</v>
      </c>
      <c r="S366" s="4" t="n">
        <v>0.02737783595113441</v>
      </c>
      <c r="T366" s="4" t="n">
        <v>0.05</v>
      </c>
      <c r="U366" s="19" t="n">
        <v>0.6899219716200672</v>
      </c>
      <c r="V366" s="19" t="n">
        <v>0.8655063291139236</v>
      </c>
      <c r="W366" s="4" t="n">
        <v>-0.2235713656540528</v>
      </c>
      <c r="X366" s="4" t="n">
        <v>-0.03417935702199659</v>
      </c>
      <c r="Y366" s="4" t="n">
        <v>-0.005051068687559113</v>
      </c>
      <c r="Z366" s="4" t="n">
        <v>-0.03191182906213252</v>
      </c>
      <c r="AA366" s="4" t="n">
        <v>0.03</v>
      </c>
      <c r="AB366" s="4" t="n">
        <v>0.05</v>
      </c>
      <c r="AC366" s="4">
        <f>(AB366+2*參數!$B$7)/(AA366+AB366)</f>
        <v/>
      </c>
    </row>
    <row r="367">
      <c r="A367" s="2" t="n">
        <v>366</v>
      </c>
      <c r="B367" s="2" t="inlineStr">
        <is>
          <t>ARB_USDT_PERP</t>
        </is>
      </c>
      <c r="C367" s="2" t="inlineStr">
        <is>
          <t>做空</t>
        </is>
      </c>
      <c r="D367" s="7" t="n">
        <v>46287.20833333334</v>
      </c>
      <c r="E367" s="20" t="n">
        <v>0.2221</v>
      </c>
      <c r="F367" s="20" t="n">
        <v>0.215437</v>
      </c>
      <c r="G367" s="20" t="n">
        <v>0.233205</v>
      </c>
      <c r="H367" s="7" t="n">
        <v>46287.79166666666</v>
      </c>
      <c r="I367" s="20" t="n">
        <v>0.215437</v>
      </c>
      <c r="J367" s="2" t="inlineStr">
        <is>
          <t>止盈</t>
        </is>
      </c>
      <c r="K367" s="5">
        <f>(H367-D367)*24</f>
        <v/>
      </c>
      <c r="L367" s="4">
        <f>IF(C367="做多",I367/E367-1,1-I367/E367)-2*參數!$B$7</f>
        <v/>
      </c>
      <c r="M367" s="2" t="inlineStr"/>
      <c r="N367" s="4" t="n">
        <v>-0.02502194907813882</v>
      </c>
      <c r="O367" s="4" t="n">
        <v>0.03288604543108994</v>
      </c>
      <c r="P367" s="4" t="n">
        <v>-0.008924587237840398</v>
      </c>
      <c r="Q367" s="22" t="n">
        <v>-4450142.200000002</v>
      </c>
      <c r="R367" s="22" t="n">
        <v>4543852.456110001</v>
      </c>
      <c r="S367" s="4" t="n">
        <v>0.03</v>
      </c>
      <c r="T367" s="4" t="n">
        <v>0.03601981089599282</v>
      </c>
      <c r="U367" s="19" t="n">
        <v>1.066578519240596</v>
      </c>
      <c r="V367" s="19" t="n">
        <v>0.8656716417910468</v>
      </c>
      <c r="W367" s="4" t="n">
        <v>-0.04965665215768023</v>
      </c>
      <c r="X367" s="4" t="n">
        <v>-0.04419370004701451</v>
      </c>
      <c r="Y367" s="4" t="n">
        <v>-0.005922094385692578</v>
      </c>
      <c r="Z367" s="4" t="n">
        <v>-0.0346956202835933</v>
      </c>
      <c r="AA367" s="4" t="n">
        <v>0.03</v>
      </c>
      <c r="AB367" s="4" t="n">
        <v>0.05</v>
      </c>
      <c r="AC367" s="4">
        <f>(AB367+2*參數!$B$7)/(AA367+AB367)</f>
        <v/>
      </c>
    </row>
    <row r="368">
      <c r="A368" s="2" t="n">
        <v>367</v>
      </c>
      <c r="B368" s="2" t="inlineStr">
        <is>
          <t>NEAR_USDT_PERP</t>
        </is>
      </c>
      <c r="C368" s="2" t="inlineStr">
        <is>
          <t>做空</t>
        </is>
      </c>
      <c r="D368" s="7" t="n">
        <v>46287.20833333334</v>
      </c>
      <c r="E368" s="20" t="n">
        <v>4.073</v>
      </c>
      <c r="F368" s="20" t="n">
        <v>3.95081</v>
      </c>
      <c r="G368" s="20" t="n">
        <v>4.276650000000001</v>
      </c>
      <c r="H368" s="7" t="n">
        <v>46287.29166666666</v>
      </c>
      <c r="I368" s="20" t="n">
        <v>4.276650000000001</v>
      </c>
      <c r="J368" s="2" t="inlineStr">
        <is>
          <t>止損</t>
        </is>
      </c>
      <c r="K368" s="5">
        <f>(H368-D368)*24</f>
        <v/>
      </c>
      <c r="L368" s="4">
        <f>IF(C368="做多",I368/E368-1,1-I368/E368)-2*參數!$B$7</f>
        <v/>
      </c>
      <c r="M368" s="2" t="inlineStr"/>
      <c r="N368" s="4" t="n">
        <v>-0.02091346153846152</v>
      </c>
      <c r="O368" s="4" t="n">
        <v>0.03149065056335883</v>
      </c>
      <c r="P368" s="4" t="n">
        <v>-0.02738973660959476</v>
      </c>
      <c r="Q368" s="22" t="n">
        <v>-939130</v>
      </c>
      <c r="R368" s="22" t="n">
        <v>20743561.938</v>
      </c>
      <c r="S368" s="4" t="n">
        <v>0.001473115639577749</v>
      </c>
      <c r="T368" s="4" t="n">
        <v>0.05</v>
      </c>
      <c r="U368" s="19" t="n">
        <v>2.312375663256627</v>
      </c>
      <c r="V368" s="19" t="n">
        <v>0.6312056737588618</v>
      </c>
      <c r="W368" s="4" t="n">
        <v>-0.09188392198914297</v>
      </c>
      <c r="X368" s="4" t="n">
        <v>0.02255819534437231</v>
      </c>
      <c r="Y368" s="4" t="n">
        <v>-0.005922094385692578</v>
      </c>
      <c r="Z368" s="4" t="n">
        <v>-0.0346956202835933</v>
      </c>
      <c r="AA368" s="4" t="n">
        <v>0.03</v>
      </c>
      <c r="AB368" s="4" t="n">
        <v>0.05</v>
      </c>
      <c r="AC368" s="4">
        <f>(AB368+2*參數!$B$7)/(AA368+AB368)</f>
        <v/>
      </c>
    </row>
    <row r="369">
      <c r="A369" s="2" t="n">
        <v>368</v>
      </c>
      <c r="B369" s="2" t="inlineStr">
        <is>
          <t>WLD_USDT_PERP</t>
        </is>
      </c>
      <c r="C369" s="2" t="inlineStr">
        <is>
          <t>做多</t>
        </is>
      </c>
      <c r="D369" s="7" t="n">
        <v>46287.20833333334</v>
      </c>
      <c r="E369" s="20" t="n">
        <v>0.4636</v>
      </c>
      <c r="F369" s="20" t="n">
        <v>0.477508</v>
      </c>
      <c r="G369" s="20" t="n">
        <v>0.44042</v>
      </c>
      <c r="H369" s="7" t="n">
        <v>46288.375</v>
      </c>
      <c r="I369" s="20" t="n">
        <v>0.477508</v>
      </c>
      <c r="J369" s="2" t="inlineStr">
        <is>
          <t>止盈</t>
        </is>
      </c>
      <c r="K369" s="5">
        <f>(H369-D369)*24</f>
        <v/>
      </c>
      <c r="L369" s="4">
        <f>IF(C369="做多",I369/E369-1,1-I369/E369)-2*參數!$B$7</f>
        <v/>
      </c>
      <c r="M369" s="2" t="inlineStr"/>
      <c r="N369" s="4" t="n">
        <v>0.05555555555555558</v>
      </c>
      <c r="O369" s="4" t="n">
        <v>0.0227403084554762</v>
      </c>
      <c r="P369" s="4" t="n">
        <v>0.04432054964239462</v>
      </c>
      <c r="Q369" s="22" t="n">
        <v>136211</v>
      </c>
      <c r="R369" s="22" t="n">
        <v>1329302.4681</v>
      </c>
      <c r="S369" s="4" t="n">
        <v>0.03</v>
      </c>
      <c r="T369" s="4" t="n">
        <v>0.04874892148403798</v>
      </c>
      <c r="U369" s="19" t="n">
        <v>4.103757976426004</v>
      </c>
      <c r="V369" s="19" t="n">
        <v>0.8880866425992783</v>
      </c>
      <c r="W369" s="4" t="n">
        <v>0.08527966552036537</v>
      </c>
      <c r="X369" s="4" t="n">
        <v>0.05748175182481741</v>
      </c>
      <c r="Y369" s="4" t="n">
        <v>0.005922094385692578</v>
      </c>
      <c r="Z369" s="4" t="n">
        <v>0.0346956202835933</v>
      </c>
      <c r="AA369" s="4" t="n">
        <v>0.03</v>
      </c>
      <c r="AB369" s="4" t="n">
        <v>0.05</v>
      </c>
      <c r="AC369" s="4">
        <f>(AB369+2*參數!$B$7)/(AA369+AB369)</f>
        <v/>
      </c>
    </row>
    <row r="370">
      <c r="A370" s="2" t="n">
        <v>369</v>
      </c>
      <c r="B370" s="2" t="inlineStr">
        <is>
          <t>BTW_USDT_PERP</t>
        </is>
      </c>
      <c r="C370" s="2" t="inlineStr">
        <is>
          <t>做多</t>
        </is>
      </c>
      <c r="D370" s="7" t="n">
        <v>46287.25</v>
      </c>
      <c r="E370" s="20" t="n">
        <v>0.873247</v>
      </c>
      <c r="F370" s="20" t="n">
        <v>0.89944441</v>
      </c>
      <c r="G370" s="20" t="n">
        <v>0.8295846499999999</v>
      </c>
      <c r="H370" s="7" t="n">
        <v>46287.29166666666</v>
      </c>
      <c r="I370" s="20" t="n">
        <v>0.8295846499999999</v>
      </c>
      <c r="J370" s="2" t="inlineStr">
        <is>
          <t>止損</t>
        </is>
      </c>
      <c r="K370" s="5">
        <f>(H370-D370)*24</f>
        <v/>
      </c>
      <c r="L370" s="4">
        <f>IF(C370="做多",I370/E370-1,1-I370/E370)-2*參數!$B$7</f>
        <v/>
      </c>
      <c r="M370" s="2" t="inlineStr"/>
      <c r="N370" s="4" t="n">
        <v>0.04367868569536792</v>
      </c>
      <c r="O370" s="4" t="n">
        <v>0.07077276412537001</v>
      </c>
      <c r="P370" s="4" t="n">
        <v>0.03219355684424419</v>
      </c>
      <c r="Q370" s="22" t="n">
        <v>485310</v>
      </c>
      <c r="R370" s="22" t="n">
        <v>1339641.419603</v>
      </c>
      <c r="S370" s="4" t="n">
        <v>0</v>
      </c>
      <c r="T370" s="4" t="n">
        <v>0.05</v>
      </c>
      <c r="U370" s="19" t="n">
        <v>1.184475538267371</v>
      </c>
      <c r="V370" s="19" t="n">
        <v>0.5353871865070204</v>
      </c>
      <c r="W370" s="4" t="n">
        <v>0.2568842626625243</v>
      </c>
      <c r="X370" s="4" t="n">
        <v>0.1472701904481628</v>
      </c>
      <c r="Y370" s="4" t="n">
        <v>-0.004873062359790126</v>
      </c>
      <c r="Z370" s="4" t="n">
        <v>0.02624709528852898</v>
      </c>
      <c r="AA370" s="4" t="n">
        <v>0.03</v>
      </c>
      <c r="AB370" s="4" t="n">
        <v>0.05</v>
      </c>
      <c r="AC370" s="4">
        <f>(AB370+2*參數!$B$7)/(AA370+AB370)</f>
        <v/>
      </c>
    </row>
    <row r="371">
      <c r="A371" s="2" t="n">
        <v>370</v>
      </c>
      <c r="B371" s="2" t="inlineStr">
        <is>
          <t>FET_USDT_PERP</t>
        </is>
      </c>
      <c r="C371" s="2" t="inlineStr">
        <is>
          <t>做多</t>
        </is>
      </c>
      <c r="D371" s="7" t="n">
        <v>46287.29166666666</v>
      </c>
      <c r="E371" s="20" t="n">
        <v>0.2047</v>
      </c>
      <c r="F371" s="20" t="n">
        <v>0.210841</v>
      </c>
      <c r="G371" s="20" t="n">
        <v>0.194465</v>
      </c>
      <c r="H371" s="7" t="n">
        <v>46287.70833333334</v>
      </c>
      <c r="I371" s="20" t="n">
        <v>0.210841</v>
      </c>
      <c r="J371" s="2" t="inlineStr">
        <is>
          <t>止盈</t>
        </is>
      </c>
      <c r="K371" s="5">
        <f>(H371-D371)*24</f>
        <v/>
      </c>
      <c r="L371" s="4">
        <f>IF(C371="做多",I371/E371-1,1-I371/E371)-2*參數!$B$7</f>
        <v/>
      </c>
      <c r="M371" s="2" t="inlineStr"/>
      <c r="N371" s="4" t="n">
        <v>0.02298850574712641</v>
      </c>
      <c r="O371" s="4" t="n">
        <v>0.02530770452140044</v>
      </c>
      <c r="P371" s="4" t="n">
        <v>0.04979742550900035</v>
      </c>
      <c r="Q371" s="22" t="n">
        <v>1988063</v>
      </c>
      <c r="R371" s="22" t="n">
        <v>1359088.6019</v>
      </c>
      <c r="S371" s="4" t="n">
        <v>0.03</v>
      </c>
      <c r="T371" s="4" t="n">
        <v>0.03810454323400103</v>
      </c>
      <c r="U371" s="19" t="n">
        <v>0.463675185018346</v>
      </c>
      <c r="V371" s="19" t="n">
        <v>1</v>
      </c>
      <c r="W371" s="4" t="n">
        <v>0.1275565568487904</v>
      </c>
      <c r="X371" s="4" t="n">
        <v>0.16837899543379</v>
      </c>
      <c r="Y371" s="4" t="n">
        <v>-0.001444350336995859</v>
      </c>
      <c r="Z371" s="4" t="n">
        <v>0.02165180781467746</v>
      </c>
      <c r="AA371" s="4" t="n">
        <v>0.03</v>
      </c>
      <c r="AB371" s="4" t="n">
        <v>0.05</v>
      </c>
      <c r="AC371" s="4">
        <f>(AB371+2*參數!$B$7)/(AA371+AB371)</f>
        <v/>
      </c>
    </row>
    <row r="372">
      <c r="A372" s="2" t="n">
        <v>371</v>
      </c>
      <c r="B372" s="2" t="inlineStr">
        <is>
          <t>INJ_USDT_PERP</t>
        </is>
      </c>
      <c r="C372" s="2" t="inlineStr">
        <is>
          <t>做多</t>
        </is>
      </c>
      <c r="D372" s="7" t="n">
        <v>46287.29166666666</v>
      </c>
      <c r="E372" s="20" t="n">
        <v>7.909</v>
      </c>
      <c r="F372" s="20" t="n">
        <v>8.146269999999999</v>
      </c>
      <c r="G372" s="20" t="n">
        <v>7.51355</v>
      </c>
      <c r="H372" s="7" t="n">
        <v>46287.5</v>
      </c>
      <c r="I372" s="20" t="n">
        <v>7.51355</v>
      </c>
      <c r="J372" s="2" t="inlineStr">
        <is>
          <t>止損</t>
        </is>
      </c>
      <c r="K372" s="5">
        <f>(H372-D372)*24</f>
        <v/>
      </c>
      <c r="L372" s="4">
        <f>IF(C372="做多",I372/E372-1,1-I372/E372)-2*參數!$B$7</f>
        <v/>
      </c>
      <c r="M372" s="2" t="inlineStr"/>
      <c r="N372" s="4" t="n">
        <v>0.0203844665204489</v>
      </c>
      <c r="O372" s="4" t="n">
        <v>0.02113909501071897</v>
      </c>
      <c r="P372" s="4" t="n">
        <v>0.01372742537074312</v>
      </c>
      <c r="Q372" s="22" t="n">
        <v>21564.60000000001</v>
      </c>
      <c r="R372" s="22" t="n">
        <v>2962068.1704</v>
      </c>
      <c r="S372" s="4" t="n">
        <v>0.01100012643823489</v>
      </c>
      <c r="T372" s="4" t="n">
        <v>0.05</v>
      </c>
      <c r="U372" s="19" t="n">
        <v>0.8409540073790945</v>
      </c>
      <c r="V372" s="19" t="n">
        <v>0.9813664596273285</v>
      </c>
      <c r="W372" s="4" t="n">
        <v>0.08904442513628541</v>
      </c>
      <c r="X372" s="4" t="n">
        <v>0.01319497822188054</v>
      </c>
      <c r="Y372" s="4" t="n">
        <v>-0.001444350336995859</v>
      </c>
      <c r="Z372" s="4" t="n">
        <v>0.02165180781467746</v>
      </c>
      <c r="AA372" s="4" t="n">
        <v>0.03</v>
      </c>
      <c r="AB372" s="4" t="n">
        <v>0.05</v>
      </c>
      <c r="AC372" s="4">
        <f>(AB372+2*參數!$B$7)/(AA372+AB372)</f>
        <v/>
      </c>
    </row>
    <row r="373">
      <c r="A373" s="2" t="n">
        <v>372</v>
      </c>
      <c r="B373" s="2" t="inlineStr">
        <is>
          <t>UNI_USDT_PERP</t>
        </is>
      </c>
      <c r="C373" s="2" t="inlineStr">
        <is>
          <t>做多</t>
        </is>
      </c>
      <c r="D373" s="7" t="n">
        <v>46287.29166666666</v>
      </c>
      <c r="E373" s="20" t="n">
        <v>8.986000000000001</v>
      </c>
      <c r="F373" s="20" t="n">
        <v>9.25558</v>
      </c>
      <c r="G373" s="20" t="n">
        <v>8.5367</v>
      </c>
      <c r="H373" s="7" t="n">
        <v>46287.375</v>
      </c>
      <c r="I373" s="20" t="n">
        <v>9.25558</v>
      </c>
      <c r="J373" s="2" t="inlineStr">
        <is>
          <t>止盈</t>
        </is>
      </c>
      <c r="K373" s="5">
        <f>(H373-D373)*24</f>
        <v/>
      </c>
      <c r="L373" s="4">
        <f>IF(C373="做多",I373/E373-1,1-I373/E373)-2*參數!$B$7</f>
        <v/>
      </c>
      <c r="M373" s="2" t="inlineStr"/>
      <c r="N373" s="4" t="n">
        <v>0.02404558404558399</v>
      </c>
      <c r="O373" s="4" t="n">
        <v>0.02201492730196068</v>
      </c>
      <c r="P373" s="4" t="n">
        <v>0.01781112841568722</v>
      </c>
      <c r="Q373" s="22" t="n">
        <v>118017</v>
      </c>
      <c r="R373" s="22" t="n">
        <v>11486925.886</v>
      </c>
      <c r="S373" s="4" t="n">
        <v>0.03</v>
      </c>
      <c r="T373" s="4" t="n">
        <v>0.004896505675495266</v>
      </c>
      <c r="U373" s="19" t="n">
        <v>0.6772175127970085</v>
      </c>
      <c r="V373" s="19" t="n">
        <v>0.987234042553191</v>
      </c>
      <c r="W373" s="4" t="n">
        <v>0.02892108704264773</v>
      </c>
      <c r="X373" s="4" t="n">
        <v>0.02626770214709917</v>
      </c>
      <c r="Y373" s="4" t="n">
        <v>-0.001444350336995859</v>
      </c>
      <c r="Z373" s="4" t="n">
        <v>0.02165180781467746</v>
      </c>
      <c r="AA373" s="4" t="n">
        <v>0.03</v>
      </c>
      <c r="AB373" s="4" t="n">
        <v>0.05</v>
      </c>
      <c r="AC373" s="4">
        <f>(AB373+2*參數!$B$7)/(AA373+AB373)</f>
        <v/>
      </c>
    </row>
    <row r="374">
      <c r="A374" s="2" t="n">
        <v>373</v>
      </c>
      <c r="B374" s="2" t="inlineStr">
        <is>
          <t>PHA_USDT_PERP</t>
        </is>
      </c>
      <c r="C374" s="2" t="inlineStr">
        <is>
          <t>做多</t>
        </is>
      </c>
      <c r="D374" s="7" t="n">
        <v>46287.375</v>
      </c>
      <c r="E374" s="20" t="n">
        <v>0.05167</v>
      </c>
      <c r="F374" s="20" t="n">
        <v>0.0532201</v>
      </c>
      <c r="G374" s="20" t="n">
        <v>0.0490865</v>
      </c>
      <c r="H374" s="7" t="n">
        <v>46287.45833333334</v>
      </c>
      <c r="I374" s="20" t="n">
        <v>0.0532201</v>
      </c>
      <c r="J374" s="2" t="inlineStr">
        <is>
          <t>止盈</t>
        </is>
      </c>
      <c r="K374" s="5">
        <f>(H374-D374)*24</f>
        <v/>
      </c>
      <c r="L374" s="4">
        <f>IF(C374="做多",I374/E374-1,1-I374/E374)-2*參數!$B$7</f>
        <v/>
      </c>
      <c r="M374" s="2" t="inlineStr"/>
      <c r="N374" s="4" t="n">
        <v>0.04131398629584848</v>
      </c>
      <c r="O374" s="4" t="n">
        <v>0.06187834528910463</v>
      </c>
      <c r="P374" s="4" t="n">
        <v>0.01551675003193775</v>
      </c>
      <c r="Q374" s="22" t="n">
        <v>838756</v>
      </c>
      <c r="R374" s="22" t="n">
        <v>2538255.94101</v>
      </c>
      <c r="S374" s="4" t="n">
        <v>0.03</v>
      </c>
      <c r="T374" s="4" t="n">
        <v>0.0493516547319528</v>
      </c>
      <c r="U374" s="19" t="n">
        <v>0.7620828070956549</v>
      </c>
      <c r="V374" s="19" t="n">
        <v>0.6810631229235878</v>
      </c>
      <c r="W374" s="4" t="n">
        <v>0.3832299101047796</v>
      </c>
      <c r="X374" s="4" t="n">
        <v>0.3644045418537101</v>
      </c>
      <c r="Y374" s="4" t="n">
        <v>-0.008256062685091492</v>
      </c>
      <c r="Z374" s="4" t="n">
        <v>0.009319074612958111</v>
      </c>
      <c r="AA374" s="4" t="n">
        <v>0.03</v>
      </c>
      <c r="AB374" s="4" t="n">
        <v>0.05</v>
      </c>
      <c r="AC374" s="4">
        <f>(AB374+2*參數!$B$7)/(AA374+AB374)</f>
        <v/>
      </c>
    </row>
    <row r="375">
      <c r="A375" s="2" t="n">
        <v>374</v>
      </c>
      <c r="B375" s="2" t="inlineStr">
        <is>
          <t>USELESS_USDT_PERP</t>
        </is>
      </c>
      <c r="C375" s="2" t="inlineStr">
        <is>
          <t>做多</t>
        </is>
      </c>
      <c r="D375" s="7" t="n">
        <v>46287.375</v>
      </c>
      <c r="E375" s="20" t="n">
        <v>0.28673</v>
      </c>
      <c r="F375" s="20" t="n">
        <v>0.2953319</v>
      </c>
      <c r="G375" s="20" t="n">
        <v>0.2723935</v>
      </c>
      <c r="H375" s="7" t="n">
        <v>46287.45833333334</v>
      </c>
      <c r="I375" s="20" t="n">
        <v>0.2723935</v>
      </c>
      <c r="J375" s="2" t="inlineStr">
        <is>
          <t>止損</t>
        </is>
      </c>
      <c r="K375" s="5">
        <f>(H375-D375)*24</f>
        <v/>
      </c>
      <c r="L375" s="4">
        <f>IF(C375="做多",I375/E375-1,1-I375/E375)-2*參數!$B$7</f>
        <v/>
      </c>
      <c r="M375" s="2" t="inlineStr"/>
      <c r="N375" s="4" t="n">
        <v>0.0229397074562967</v>
      </c>
      <c r="O375" s="4" t="n">
        <v>0.0471918127858418</v>
      </c>
      <c r="P375" s="4" t="n">
        <v>0.03620745109518575</v>
      </c>
      <c r="Q375" s="22" t="n">
        <v>1965080</v>
      </c>
      <c r="R375" s="22" t="n">
        <v>3675413.45788</v>
      </c>
      <c r="S375" s="4" t="n">
        <v>0.00226694102465741</v>
      </c>
      <c r="T375" s="4" t="n">
        <v>0.05</v>
      </c>
      <c r="U375" s="19" t="n">
        <v>0.523931245481619</v>
      </c>
      <c r="V375" s="19" t="n">
        <v>0.5488817891373794</v>
      </c>
      <c r="W375" s="4" t="n">
        <v>0.07867118003384266</v>
      </c>
      <c r="X375" s="4" t="n">
        <v>0.1704220752714507</v>
      </c>
      <c r="Y375" s="4" t="n">
        <v>-0.008256062685091492</v>
      </c>
      <c r="Z375" s="4" t="n">
        <v>0.009319074612958111</v>
      </c>
      <c r="AA375" s="4" t="n">
        <v>0.03</v>
      </c>
      <c r="AB375" s="4" t="n">
        <v>0.05</v>
      </c>
      <c r="AC375" s="4">
        <f>(AB375+2*參數!$B$7)/(AA375+AB375)</f>
        <v/>
      </c>
    </row>
    <row r="376">
      <c r="A376" s="2" t="n">
        <v>375</v>
      </c>
      <c r="B376" s="2" t="inlineStr">
        <is>
          <t>牛来_USDT_PERP</t>
        </is>
      </c>
      <c r="C376" s="2" t="inlineStr">
        <is>
          <t>做空</t>
        </is>
      </c>
      <c r="D376" s="7" t="n">
        <v>46287.41666666666</v>
      </c>
      <c r="E376" s="20" t="n">
        <v>0.10653</v>
      </c>
      <c r="F376" s="20" t="n">
        <v>0.1033341</v>
      </c>
      <c r="G376" s="20" t="n">
        <v>0.1118565</v>
      </c>
      <c r="H376" s="7" t="n">
        <v>46287.45833333334</v>
      </c>
      <c r="I376" s="20" t="n">
        <v>0.1033341</v>
      </c>
      <c r="J376" s="2" t="inlineStr">
        <is>
          <t>止盈</t>
        </is>
      </c>
      <c r="K376" s="5">
        <f>(H376-D376)*24</f>
        <v/>
      </c>
      <c r="L376" s="4">
        <f>IF(C376="做多",I376/E376-1,1-I376/E376)-2*參數!$B$7</f>
        <v/>
      </c>
      <c r="M376" s="2" t="inlineStr"/>
      <c r="N376" s="4" t="n">
        <v>-0.02032370792716576</v>
      </c>
      <c r="O376" s="4" t="n">
        <v>0.03533964284544862</v>
      </c>
      <c r="P376" s="4" t="n">
        <v>-0.02216714856120061</v>
      </c>
      <c r="Q376" s="22" t="n">
        <v>-2913343</v>
      </c>
      <c r="R376" s="22" t="n">
        <v>1439526.21043</v>
      </c>
      <c r="S376" s="4" t="n">
        <v>0.03</v>
      </c>
      <c r="T376" s="4" t="n">
        <v>0</v>
      </c>
      <c r="U376" s="19" t="n">
        <v>0.7079722623216933</v>
      </c>
      <c r="V376" s="19" t="n">
        <v>0.6705202312138727</v>
      </c>
      <c r="W376" s="4" t="n">
        <v>0.02742971392574944</v>
      </c>
      <c r="X376" s="4" t="n">
        <v>-0.02600404507367804</v>
      </c>
      <c r="Y376" s="4" t="n">
        <v>0.00321089164259758</v>
      </c>
      <c r="Z376" s="4" t="n">
        <v>-0.003678350759188431</v>
      </c>
      <c r="AA376" s="4" t="n">
        <v>0.03</v>
      </c>
      <c r="AB376" s="4" t="n">
        <v>0.05</v>
      </c>
      <c r="AC376" s="4">
        <f>(AB376+2*參數!$B$7)/(AA376+AB376)</f>
        <v/>
      </c>
    </row>
    <row r="377">
      <c r="A377" s="2" t="n">
        <v>376</v>
      </c>
      <c r="B377" s="2" t="inlineStr">
        <is>
          <t>DOGE_USDT_PERP</t>
        </is>
      </c>
      <c r="C377" s="2" t="inlineStr">
        <is>
          <t>做多</t>
        </is>
      </c>
      <c r="D377" s="7" t="n">
        <v>46287.5</v>
      </c>
      <c r="E377" s="20" t="n">
        <v>0.10204</v>
      </c>
      <c r="F377" s="20" t="n">
        <v>0.1051012</v>
      </c>
      <c r="G377" s="20" t="n">
        <v>0.096938</v>
      </c>
      <c r="H377" s="7" t="n">
        <v>46287.54166666666</v>
      </c>
      <c r="I377" s="20" t="n">
        <v>0.1051012</v>
      </c>
      <c r="J377" s="2" t="inlineStr">
        <is>
          <t>止盈</t>
        </is>
      </c>
      <c r="K377" s="5">
        <f>(H377-D377)*24</f>
        <v/>
      </c>
      <c r="L377" s="4">
        <f>IF(C377="做多",I377/E377-1,1-I377/E377)-2*參數!$B$7</f>
        <v/>
      </c>
      <c r="M377" s="2" t="inlineStr"/>
      <c r="N377" s="4" t="n">
        <v>0.03133212047705691</v>
      </c>
      <c r="O377" s="4" t="n">
        <v>0.02182100598079026</v>
      </c>
      <c r="P377" s="4" t="n">
        <v>0.05118933564092254</v>
      </c>
      <c r="Q377" s="22" t="n">
        <v>39393900</v>
      </c>
      <c r="R377" s="22" t="n">
        <v>11700447.98905</v>
      </c>
      <c r="S377" s="4" t="n">
        <v>0.03</v>
      </c>
      <c r="T377" s="4" t="n">
        <v>0</v>
      </c>
      <c r="U377" s="19" t="n">
        <v>1.33752346813162</v>
      </c>
      <c r="V377" s="19" t="n">
        <v>0.9388297872340441</v>
      </c>
      <c r="W377" s="4" t="n">
        <v>0.1474567370351669</v>
      </c>
      <c r="X377" s="4" t="n">
        <v>0.1536461277557943</v>
      </c>
      <c r="Y377" s="4" t="n">
        <v>-0.0003151128103860978</v>
      </c>
      <c r="Z377" s="4" t="n">
        <v>-0.0002323857496062676</v>
      </c>
      <c r="AA377" s="4" t="n">
        <v>0.03</v>
      </c>
      <c r="AB377" s="4" t="n">
        <v>0.05</v>
      </c>
      <c r="AC377" s="4">
        <f>(AB377+2*參數!$B$7)/(AA377+AB377)</f>
        <v/>
      </c>
    </row>
    <row r="378">
      <c r="A378" s="2" t="n">
        <v>377</v>
      </c>
      <c r="B378" s="2" t="inlineStr">
        <is>
          <t>PENGU_USDT_PERP</t>
        </is>
      </c>
      <c r="C378" s="2" t="inlineStr">
        <is>
          <t>做多</t>
        </is>
      </c>
      <c r="D378" s="7" t="n">
        <v>46287.5</v>
      </c>
      <c r="E378" s="20" t="n">
        <v>0.008932000000000001</v>
      </c>
      <c r="F378" s="20" t="n">
        <v>0.009199960000000002</v>
      </c>
      <c r="G378" s="20" t="n">
        <v>0.008485400000000001</v>
      </c>
      <c r="H378" s="7" t="n">
        <v>46287.66666666666</v>
      </c>
      <c r="I378" s="20" t="n">
        <v>0.009199960000000002</v>
      </c>
      <c r="J378" s="2" t="inlineStr">
        <is>
          <t>止盈</t>
        </is>
      </c>
      <c r="K378" s="5">
        <f>(H378-D378)*24</f>
        <v/>
      </c>
      <c r="L378" s="4">
        <f>IF(C378="做多",I378/E378-1,1-I378/E378)-2*參數!$B$7</f>
        <v/>
      </c>
      <c r="M378" s="2" t="inlineStr"/>
      <c r="N378" s="4" t="n">
        <v>0.02243589743589736</v>
      </c>
      <c r="O378" s="4" t="n">
        <v>0.02417911045122258</v>
      </c>
      <c r="P378" s="4" t="n">
        <v>0.036158834379314</v>
      </c>
      <c r="Q378" s="22" t="n">
        <v>14651423</v>
      </c>
      <c r="R378" s="22" t="n">
        <v>1407445.062984</v>
      </c>
      <c r="S378" s="4" t="n">
        <v>0.03</v>
      </c>
      <c r="T378" s="4" t="n">
        <v>0.02362292879534267</v>
      </c>
      <c r="U378" s="19" t="n">
        <v>1.071231659569092</v>
      </c>
      <c r="V378" s="19" t="n">
        <v>0.9115646258503405</v>
      </c>
      <c r="W378" s="4" t="n">
        <v>0.120643579635703</v>
      </c>
      <c r="X378" s="4" t="n">
        <v>0.1046252782587189</v>
      </c>
      <c r="Y378" s="4" t="n">
        <v>-0.0003151128103860978</v>
      </c>
      <c r="Z378" s="4" t="n">
        <v>-0.0002323857496062676</v>
      </c>
      <c r="AA378" s="4" t="n">
        <v>0.03</v>
      </c>
      <c r="AB378" s="4" t="n">
        <v>0.05</v>
      </c>
      <c r="AC378" s="4">
        <f>(AB378+2*參數!$B$7)/(AA378+AB378)</f>
        <v/>
      </c>
    </row>
    <row r="379">
      <c r="A379" s="2" t="n">
        <v>378</v>
      </c>
      <c r="B379" s="2" t="inlineStr">
        <is>
          <t>PHA_USDT_PERP</t>
        </is>
      </c>
      <c r="C379" s="2" t="inlineStr">
        <is>
          <t>做多</t>
        </is>
      </c>
      <c r="D379" s="7" t="n">
        <v>46287.5</v>
      </c>
      <c r="E379" s="20" t="n">
        <v>0.05505</v>
      </c>
      <c r="F379" s="20" t="n">
        <v>0.0567015</v>
      </c>
      <c r="G379" s="20" t="n">
        <v>0.0522975</v>
      </c>
      <c r="H379" s="7" t="n">
        <v>46287.54166666666</v>
      </c>
      <c r="I379" s="20" t="n">
        <v>0.0522975</v>
      </c>
      <c r="J379" s="2" t="inlineStr">
        <is>
          <t>止損</t>
        </is>
      </c>
      <c r="K379" s="5">
        <f>(H379-D379)*24</f>
        <v/>
      </c>
      <c r="L379" s="4">
        <f>IF(C379="做多",I379/E379-1,1-I379/E379)-2*參數!$B$7</f>
        <v/>
      </c>
      <c r="M379" s="2" t="inlineStr"/>
      <c r="N379" s="4" t="n">
        <v>0.04123321354265186</v>
      </c>
      <c r="O379" s="4" t="n">
        <v>0.05985591722930397</v>
      </c>
      <c r="P379" s="4" t="n">
        <v>0.04403732362312263</v>
      </c>
      <c r="Q379" s="22" t="n">
        <v>1659623</v>
      </c>
      <c r="R379" s="22" t="n">
        <v>2688742.84655</v>
      </c>
      <c r="S379" s="4" t="n">
        <v>0</v>
      </c>
      <c r="T379" s="4" t="n">
        <v>0.05</v>
      </c>
      <c r="U379" s="19" t="n">
        <v>0.5599891682477155</v>
      </c>
      <c r="V379" s="19" t="n">
        <v>0.7943262411347525</v>
      </c>
      <c r="W379" s="4" t="n">
        <v>0.4479259545658982</v>
      </c>
      <c r="X379" s="4" t="n">
        <v>0.4075683968294554</v>
      </c>
      <c r="Y379" s="4" t="n">
        <v>-0.0003151128103860978</v>
      </c>
      <c r="Z379" s="4" t="n">
        <v>-0.0002323857496062676</v>
      </c>
      <c r="AA379" s="4" t="n">
        <v>0.03</v>
      </c>
      <c r="AB379" s="4" t="n">
        <v>0.05</v>
      </c>
      <c r="AC379" s="4">
        <f>(AB379+2*參數!$B$7)/(AA379+AB379)</f>
        <v/>
      </c>
    </row>
    <row r="380">
      <c r="A380" s="2" t="n">
        <v>379</v>
      </c>
      <c r="B380" s="2" t="inlineStr">
        <is>
          <t>ZETA_USDT_PERP</t>
        </is>
      </c>
      <c r="C380" s="2" t="inlineStr">
        <is>
          <t>做空</t>
        </is>
      </c>
      <c r="D380" s="7" t="n">
        <v>46287.5</v>
      </c>
      <c r="E380" s="20" t="n">
        <v>0.06036</v>
      </c>
      <c r="F380" s="20" t="n">
        <v>0.0585492</v>
      </c>
      <c r="G380" s="20" t="n">
        <v>0.063378</v>
      </c>
      <c r="H380" s="7" t="n">
        <v>46287.54166666666</v>
      </c>
      <c r="I380" s="20" t="n">
        <v>0.0585492</v>
      </c>
      <c r="J380" s="2" t="inlineStr">
        <is>
          <t>止盈</t>
        </is>
      </c>
      <c r="K380" s="5">
        <f>(H380-D380)*24</f>
        <v/>
      </c>
      <c r="L380" s="4">
        <f>IF(C380="做多",I380/E380-1,1-I380/E380)-2*參數!$B$7</f>
        <v/>
      </c>
      <c r="M380" s="2" t="inlineStr"/>
      <c r="N380" s="4" t="n">
        <v>-0.05805243445692887</v>
      </c>
      <c r="O380" s="4" t="n">
        <v>0.0754149188925184</v>
      </c>
      <c r="P380" s="4" t="n">
        <v>-0.01961262029479838</v>
      </c>
      <c r="Q380" s="22" t="n">
        <v>-25948188</v>
      </c>
      <c r="R380" s="22" t="n">
        <v>5902693.420750001</v>
      </c>
      <c r="S380" s="4" t="n">
        <v>0.03</v>
      </c>
      <c r="T380" s="4" t="n">
        <v>0</v>
      </c>
      <c r="U380" s="19" t="n">
        <v>1.093489964160838</v>
      </c>
      <c r="V380" s="19" t="n">
        <v>0.9851301115241642</v>
      </c>
      <c r="W380" s="4" t="n">
        <v>-0.3712977120047618</v>
      </c>
      <c r="X380" s="4" t="n">
        <v>-0.01139410187667567</v>
      </c>
      <c r="Y380" s="4" t="n">
        <v>0.0003151128103860978</v>
      </c>
      <c r="Z380" s="4" t="n">
        <v>0.0002323857496062676</v>
      </c>
      <c r="AA380" s="4" t="n">
        <v>0.03</v>
      </c>
      <c r="AB380" s="4" t="n">
        <v>0.05</v>
      </c>
      <c r="AC380" s="4">
        <f>(AB380+2*參數!$B$7)/(AA380+AB380)</f>
        <v/>
      </c>
    </row>
    <row r="381">
      <c r="A381" s="2" t="n">
        <v>380</v>
      </c>
      <c r="B381" s="2" t="inlineStr">
        <is>
          <t>AVAX_USDT_PERP</t>
        </is>
      </c>
      <c r="C381" s="2" t="inlineStr">
        <is>
          <t>做空</t>
        </is>
      </c>
      <c r="D381" s="7" t="n">
        <v>46287.54166666666</v>
      </c>
      <c r="E381" s="20" t="n">
        <v>10.767</v>
      </c>
      <c r="F381" s="20" t="n">
        <v>10.44399</v>
      </c>
      <c r="G381" s="20" t="n">
        <v>11.30535</v>
      </c>
      <c r="H381" s="7" t="n">
        <v>46288.33333333334</v>
      </c>
      <c r="I381" s="20" t="n">
        <v>11.30535</v>
      </c>
      <c r="J381" s="2" t="inlineStr">
        <is>
          <t>止損</t>
        </is>
      </c>
      <c r="K381" s="5">
        <f>(H381-D381)*24</f>
        <v/>
      </c>
      <c r="L381" s="4">
        <f>IF(C381="做多",I381/E381-1,1-I381/E381)-2*參數!$B$7</f>
        <v/>
      </c>
      <c r="M381" s="2" t="inlineStr"/>
      <c r="N381" s="4" t="n">
        <v>-0.02109282662060197</v>
      </c>
      <c r="O381" s="4" t="n">
        <v>0.02106813413425579</v>
      </c>
      <c r="P381" s="4" t="n">
        <v>-0.03409855478106416</v>
      </c>
      <c r="Q381" s="22" t="n">
        <v>-156607.9</v>
      </c>
      <c r="R381" s="22" t="n">
        <v>5683531.63</v>
      </c>
      <c r="S381" s="4" t="n">
        <v>0.0224760843317543</v>
      </c>
      <c r="T381" s="4" t="n">
        <v>0.05</v>
      </c>
      <c r="U381" s="19" t="n">
        <v>2.102180055943828</v>
      </c>
      <c r="V381" s="19" t="n">
        <v>0.9119718309859202</v>
      </c>
      <c r="W381" s="4" t="n">
        <v>-0.1001137203093438</v>
      </c>
      <c r="X381" s="4" t="n">
        <v>0.06649904629790193</v>
      </c>
      <c r="Y381" s="4" t="n">
        <v>0.002706154575362607</v>
      </c>
      <c r="Z381" s="4" t="n">
        <v>0.003928036620087005</v>
      </c>
      <c r="AA381" s="4" t="n">
        <v>0.03</v>
      </c>
      <c r="AB381" s="4" t="n">
        <v>0.05</v>
      </c>
      <c r="AC381" s="4">
        <f>(AB381+2*參數!$B$7)/(AA381+AB381)</f>
        <v/>
      </c>
    </row>
    <row r="382">
      <c r="A382" s="2" t="n">
        <v>381</v>
      </c>
      <c r="B382" s="2" t="inlineStr">
        <is>
          <t>NEAR_USDT_PERP</t>
        </is>
      </c>
      <c r="C382" s="2" t="inlineStr">
        <is>
          <t>做多</t>
        </is>
      </c>
      <c r="D382" s="7" t="n">
        <v>46287.58333333334</v>
      </c>
      <c r="E382" s="20" t="n">
        <v>4.41</v>
      </c>
      <c r="F382" s="20" t="n">
        <v>4.5423</v>
      </c>
      <c r="G382" s="20" t="n">
        <v>4.1895</v>
      </c>
      <c r="H382" s="7" t="n">
        <v>46287.70833333334</v>
      </c>
      <c r="I382" s="20" t="n">
        <v>4.5423</v>
      </c>
      <c r="J382" s="2" t="inlineStr">
        <is>
          <t>止盈</t>
        </is>
      </c>
      <c r="K382" s="5">
        <f>(H382-D382)*24</f>
        <v/>
      </c>
      <c r="L382" s="4">
        <f>IF(C382="做多",I382/E382-1,1-I382/E382)-2*參數!$B$7</f>
        <v/>
      </c>
      <c r="M382" s="2" t="inlineStr"/>
      <c r="N382" s="4" t="n">
        <v>0.02797202797202791</v>
      </c>
      <c r="O382" s="4" t="n">
        <v>0.03300632296397954</v>
      </c>
      <c r="P382" s="4" t="n">
        <v>0.04776725786716418</v>
      </c>
      <c r="Q382" s="22" t="n">
        <v>275117</v>
      </c>
      <c r="R382" s="22" t="n">
        <v>23178350.507</v>
      </c>
      <c r="S382" s="4" t="n">
        <v>0.03</v>
      </c>
      <c r="T382" s="4" t="n">
        <v>0.02494331065759647</v>
      </c>
      <c r="U382" s="19" t="n">
        <v>0.6684465049691198</v>
      </c>
      <c r="V382" s="19" t="n">
        <v>0.7801047120418856</v>
      </c>
      <c r="W382" s="4" t="n">
        <v>0.1477769304644982</v>
      </c>
      <c r="X382" s="4" t="n">
        <v>0.029652113004903</v>
      </c>
      <c r="Y382" s="4" t="n">
        <v>-0.0005572152349201387</v>
      </c>
      <c r="Z382" s="4" t="n">
        <v>-0.00491892468977595</v>
      </c>
      <c r="AA382" s="4" t="n">
        <v>0.03</v>
      </c>
      <c r="AB382" s="4" t="n">
        <v>0.05</v>
      </c>
      <c r="AC382" s="4">
        <f>(AB382+2*參數!$B$7)/(AA382+AB382)</f>
        <v/>
      </c>
    </row>
    <row r="383">
      <c r="A383" s="2" t="n">
        <v>382</v>
      </c>
      <c r="B383" s="2" t="inlineStr">
        <is>
          <t>ENA_USDT_PERP</t>
        </is>
      </c>
      <c r="C383" s="2" t="inlineStr">
        <is>
          <t>做空</t>
        </is>
      </c>
      <c r="D383" s="7" t="n">
        <v>46287.625</v>
      </c>
      <c r="E383" s="20" t="n">
        <v>0.2105</v>
      </c>
      <c r="F383" s="20" t="n">
        <v>0.204185</v>
      </c>
      <c r="G383" s="20" t="n">
        <v>0.221025</v>
      </c>
      <c r="H383" s="7" t="n">
        <v>46287.95833333334</v>
      </c>
      <c r="I383" s="20" t="n">
        <v>0.204185</v>
      </c>
      <c r="J383" s="2" t="inlineStr">
        <is>
          <t>止盈</t>
        </is>
      </c>
      <c r="K383" s="5">
        <f>(H383-D383)*24</f>
        <v/>
      </c>
      <c r="L383" s="4">
        <f>IF(C383="做多",I383/E383-1,1-I383/E383)-2*參數!$B$7</f>
        <v/>
      </c>
      <c r="M383" s="2" t="inlineStr"/>
      <c r="N383" s="4" t="n">
        <v>-0.03040073698756329</v>
      </c>
      <c r="O383" s="4" t="n">
        <v>0.02875281179181191</v>
      </c>
      <c r="P383" s="4" t="n">
        <v>-0.01725063610261668</v>
      </c>
      <c r="Q383" s="22" t="n">
        <v>-8450685</v>
      </c>
      <c r="R383" s="22" t="n">
        <v>12360568.8824</v>
      </c>
      <c r="S383" s="4" t="n">
        <v>0.03</v>
      </c>
      <c r="T383" s="4" t="n">
        <v>0.03562945368171033</v>
      </c>
      <c r="U383" s="19" t="n">
        <v>0.6502632838758671</v>
      </c>
      <c r="V383" s="19" t="n">
        <v>0.931818181818183</v>
      </c>
      <c r="W383" s="4" t="n">
        <v>-0.06603869138053264</v>
      </c>
      <c r="X383" s="4" t="n">
        <v>0.03218390804597704</v>
      </c>
      <c r="Y383" s="4" t="n">
        <v>0.0003197574996604002</v>
      </c>
      <c r="Z383" s="4" t="n">
        <v>0.00578740739455097</v>
      </c>
      <c r="AA383" s="4" t="n">
        <v>0.03</v>
      </c>
      <c r="AB383" s="4" t="n">
        <v>0.05</v>
      </c>
      <c r="AC383" s="4">
        <f>(AB383+2*參數!$B$7)/(AA383+AB383)</f>
        <v/>
      </c>
    </row>
    <row r="384">
      <c r="A384" s="2" t="n">
        <v>383</v>
      </c>
      <c r="B384" s="2" t="inlineStr">
        <is>
          <t>USELESS_USDT_PERP</t>
        </is>
      </c>
      <c r="C384" s="2" t="inlineStr">
        <is>
          <t>做多</t>
        </is>
      </c>
      <c r="D384" s="7" t="n">
        <v>46287.625</v>
      </c>
      <c r="E384" s="20" t="n">
        <v>0.28361</v>
      </c>
      <c r="F384" s="20" t="n">
        <v>0.2921183</v>
      </c>
      <c r="G384" s="20" t="n">
        <v>0.2694295</v>
      </c>
      <c r="H384" s="7" t="n">
        <v>46287.66666666666</v>
      </c>
      <c r="I384" s="20" t="n">
        <v>0.2921183</v>
      </c>
      <c r="J384" s="2" t="inlineStr">
        <is>
          <t>止盈</t>
        </is>
      </c>
      <c r="K384" s="5">
        <f>(H384-D384)*24</f>
        <v/>
      </c>
      <c r="L384" s="4">
        <f>IF(C384="做多",I384/E384-1,1-I384/E384)-2*參數!$B$7</f>
        <v/>
      </c>
      <c r="M384" s="2" t="inlineStr"/>
      <c r="N384" s="4" t="n">
        <v>0.02887719934699784</v>
      </c>
      <c r="O384" s="4" t="n">
        <v>0.04771905921672744</v>
      </c>
      <c r="P384" s="4" t="n">
        <v>0.01301586621232542</v>
      </c>
      <c r="Q384" s="22" t="n">
        <v>370042</v>
      </c>
      <c r="R384" s="22" t="n">
        <v>3846701.55256</v>
      </c>
      <c r="S384" s="4" t="n">
        <v>0.03</v>
      </c>
      <c r="T384" s="4" t="n">
        <v>0</v>
      </c>
      <c r="U384" s="19" t="n">
        <v>0.6875463138679535</v>
      </c>
      <c r="V384" s="19" t="n">
        <v>0.7828124999999992</v>
      </c>
      <c r="W384" s="4" t="n">
        <v>0.06522508283748518</v>
      </c>
      <c r="X384" s="4" t="n">
        <v>0.1623360655737704</v>
      </c>
      <c r="Y384" s="4" t="n">
        <v>-0.0003197574996604002</v>
      </c>
      <c r="Z384" s="4" t="n">
        <v>-0.00578740739455097</v>
      </c>
      <c r="AA384" s="4" t="n">
        <v>0.03</v>
      </c>
      <c r="AB384" s="4" t="n">
        <v>0.05</v>
      </c>
      <c r="AC384" s="4">
        <f>(AB384+2*參數!$B$7)/(AA384+AB384)</f>
        <v/>
      </c>
    </row>
    <row r="385">
      <c r="A385" s="2" t="n">
        <v>384</v>
      </c>
      <c r="B385" s="2" t="inlineStr">
        <is>
          <t>ZAMA_USDT_PERP</t>
        </is>
      </c>
      <c r="C385" s="2" t="inlineStr">
        <is>
          <t>做空</t>
        </is>
      </c>
      <c r="D385" s="7" t="n">
        <v>46287.625</v>
      </c>
      <c r="E385" s="20" t="n">
        <v>0.09397999999999999</v>
      </c>
      <c r="F385" s="20" t="n">
        <v>0.09116059999999999</v>
      </c>
      <c r="G385" s="20" t="n">
        <v>0.098679</v>
      </c>
      <c r="H385" s="7" t="n">
        <v>46287.70833333334</v>
      </c>
      <c r="I385" s="20" t="n">
        <v>0.09116059999999999</v>
      </c>
      <c r="J385" s="2" t="inlineStr">
        <is>
          <t>止盈</t>
        </is>
      </c>
      <c r="K385" s="5">
        <f>(H385-D385)*24</f>
        <v/>
      </c>
      <c r="L385" s="4">
        <f>IF(C385="做多",I385/E385-1,1-I385/E385)-2*參數!$B$7</f>
        <v/>
      </c>
      <c r="M385" s="2" t="inlineStr"/>
      <c r="N385" s="4" t="n">
        <v>-0.04394710071210584</v>
      </c>
      <c r="O385" s="4" t="n">
        <v>0.05034633009623191</v>
      </c>
      <c r="P385" s="4" t="n">
        <v>-0.02632083339808644</v>
      </c>
      <c r="Q385" s="22" t="n">
        <v>-2776118</v>
      </c>
      <c r="R385" s="22" t="n">
        <v>1725379.86531</v>
      </c>
      <c r="S385" s="4" t="n">
        <v>0.03</v>
      </c>
      <c r="T385" s="4" t="n">
        <v>0.01617365396892967</v>
      </c>
      <c r="U385" s="19" t="n">
        <v>0.5422414321199198</v>
      </c>
      <c r="V385" s="19" t="n">
        <v>0.8653465346534657</v>
      </c>
      <c r="W385" s="4" t="n">
        <v>-0.1764735337269099</v>
      </c>
      <c r="X385" s="4" t="n">
        <v>-0.02196607220530655</v>
      </c>
      <c r="Y385" s="4" t="n">
        <v>0.0003197574996604002</v>
      </c>
      <c r="Z385" s="4" t="n">
        <v>0.00578740739455097</v>
      </c>
      <c r="AA385" s="4" t="n">
        <v>0.03</v>
      </c>
      <c r="AB385" s="4" t="n">
        <v>0.05</v>
      </c>
      <c r="AC385" s="4">
        <f>(AB385+2*參數!$B$7)/(AA385+AB385)</f>
        <v/>
      </c>
    </row>
    <row r="386">
      <c r="A386" s="2" t="n">
        <v>385</v>
      </c>
      <c r="B386" s="2" t="inlineStr">
        <is>
          <t>WIF_USDT_PERP</t>
        </is>
      </c>
      <c r="C386" s="2" t="inlineStr">
        <is>
          <t>做多</t>
        </is>
      </c>
      <c r="D386" s="7" t="n">
        <v>46287.70833333334</v>
      </c>
      <c r="E386" s="20" t="n">
        <v>0.2576</v>
      </c>
      <c r="F386" s="20" t="n">
        <v>0.265328</v>
      </c>
      <c r="G386" s="20" t="n">
        <v>0.24472</v>
      </c>
      <c r="H386" s="7" t="n">
        <v>46287.875</v>
      </c>
      <c r="I386" s="20" t="n">
        <v>0.265328</v>
      </c>
      <c r="J386" s="2" t="inlineStr">
        <is>
          <t>止盈</t>
        </is>
      </c>
      <c r="K386" s="5">
        <f>(H386-D386)*24</f>
        <v/>
      </c>
      <c r="L386" s="4">
        <f>IF(C386="做多",I386/E386-1,1-I386/E386)-2*參數!$B$7</f>
        <v/>
      </c>
      <c r="M386" s="2" t="inlineStr"/>
      <c r="N386" s="4" t="n">
        <v>0.03620273531777962</v>
      </c>
      <c r="O386" s="4" t="n">
        <v>0.03360314118684069</v>
      </c>
      <c r="P386" s="4" t="n">
        <v>0.05537005551344798</v>
      </c>
      <c r="Q386" s="22" t="n">
        <v>1330940.6</v>
      </c>
      <c r="R386" s="22" t="n">
        <v>1398742.7753</v>
      </c>
      <c r="S386" s="4" t="n">
        <v>0.03</v>
      </c>
      <c r="T386" s="4" t="n">
        <v>0.03260869565217384</v>
      </c>
      <c r="U386" s="19" t="n">
        <v>1.829039749029788</v>
      </c>
      <c r="V386" s="19" t="n">
        <v>0.6380368098159501</v>
      </c>
      <c r="W386" s="4" t="n">
        <v>0.2098668019312782</v>
      </c>
      <c r="X386" s="4" t="n">
        <v>0.2366778684589534</v>
      </c>
      <c r="Y386" s="4" t="n">
        <v>0.01001586881157368</v>
      </c>
      <c r="Z386" s="4" t="n">
        <v>0.003068886203176024</v>
      </c>
      <c r="AA386" s="4" t="n">
        <v>0.03</v>
      </c>
      <c r="AB386" s="4" t="n">
        <v>0.05</v>
      </c>
      <c r="AC386" s="4">
        <f>(AB386+2*參數!$B$7)/(AA386+AB386)</f>
        <v/>
      </c>
    </row>
    <row r="387">
      <c r="A387" s="2" t="n">
        <v>386</v>
      </c>
      <c r="B387" s="2" t="inlineStr">
        <is>
          <t>BR_USDT_PERP</t>
        </is>
      </c>
      <c r="C387" s="2" t="inlineStr">
        <is>
          <t>做空</t>
        </is>
      </c>
      <c r="D387" s="7" t="n">
        <v>46287.83333333334</v>
      </c>
      <c r="E387" s="20" t="n">
        <v>1.13431</v>
      </c>
      <c r="F387" s="20" t="n">
        <v>1.1002807</v>
      </c>
      <c r="G387" s="20" t="n">
        <v>1.1910255</v>
      </c>
      <c r="H387" s="7" t="n">
        <v>46287.875</v>
      </c>
      <c r="I387" s="20" t="n">
        <v>1.1002807</v>
      </c>
      <c r="J387" s="2" t="inlineStr">
        <is>
          <t>止盈</t>
        </is>
      </c>
      <c r="K387" s="5">
        <f>(H387-D387)*24</f>
        <v/>
      </c>
      <c r="L387" s="4">
        <f>IF(C387="做多",I387/E387-1,1-I387/E387)-2*參數!$B$7</f>
        <v/>
      </c>
      <c r="M387" s="2" t="inlineStr"/>
      <c r="N387" s="4" t="n">
        <v>-0.02119305875551192</v>
      </c>
      <c r="O387" s="4" t="n">
        <v>0.04933745516528181</v>
      </c>
      <c r="P387" s="4" t="n">
        <v>-0.009233706719865675</v>
      </c>
      <c r="Q387" s="22" t="n">
        <v>-648919</v>
      </c>
      <c r="R387" s="22" t="n">
        <v>2549049.57942</v>
      </c>
      <c r="S387" s="4" t="n">
        <v>0.03</v>
      </c>
      <c r="T387" s="4" t="n">
        <v>0</v>
      </c>
      <c r="U387" s="19" t="n">
        <v>2.623357987877371</v>
      </c>
      <c r="V387" s="19" t="n">
        <v>0.3457271364317854</v>
      </c>
      <c r="W387" s="4" t="n">
        <v>-0.0626992660666148</v>
      </c>
      <c r="X387" s="4" t="n">
        <v>0.04904385442777981</v>
      </c>
      <c r="Y387" s="4" t="n">
        <v>-0.001093689215222682</v>
      </c>
      <c r="Z387" s="4" t="n">
        <v>0.0001254058823034754</v>
      </c>
      <c r="AA387" s="4" t="n">
        <v>0.03</v>
      </c>
      <c r="AB387" s="4" t="n">
        <v>0.05</v>
      </c>
      <c r="AC387" s="4">
        <f>(AB387+2*參數!$B$7)/(AA387+AB387)</f>
        <v/>
      </c>
    </row>
    <row r="388">
      <c r="A388" s="2" t="n">
        <v>387</v>
      </c>
      <c r="B388" s="2" t="inlineStr">
        <is>
          <t>FET_USDT_PERP</t>
        </is>
      </c>
      <c r="C388" s="2" t="inlineStr">
        <is>
          <t>做多</t>
        </is>
      </c>
      <c r="D388" s="7" t="n">
        <v>46287.83333333334</v>
      </c>
      <c r="E388" s="20" t="n">
        <v>0.2109</v>
      </c>
      <c r="F388" s="20" t="n">
        <v>0.217227</v>
      </c>
      <c r="G388" s="20" t="n">
        <v>0.200355</v>
      </c>
      <c r="H388" s="7" t="n">
        <v>46288.95833333334</v>
      </c>
      <c r="I388" s="20" t="n">
        <v>0.200355</v>
      </c>
      <c r="J388" s="2" t="inlineStr">
        <is>
          <t>止損</t>
        </is>
      </c>
      <c r="K388" s="5">
        <f>(H388-D388)*24</f>
        <v/>
      </c>
      <c r="L388" s="4">
        <f>IF(C388="做多",I388/E388-1,1-I388/E388)-2*參數!$B$7</f>
        <v/>
      </c>
      <c r="M388" s="2" t="inlineStr"/>
      <c r="N388" s="4" t="n">
        <v>0.02677702044790653</v>
      </c>
      <c r="O388" s="4" t="n">
        <v>0.02625368556572483</v>
      </c>
      <c r="P388" s="4" t="n">
        <v>0.03623633460262865</v>
      </c>
      <c r="Q388" s="22" t="n">
        <v>421232</v>
      </c>
      <c r="R388" s="22" t="n">
        <v>1563088.6436</v>
      </c>
      <c r="S388" s="4" t="n">
        <v>0.02418207681365581</v>
      </c>
      <c r="T388" s="4" t="n">
        <v>0.05</v>
      </c>
      <c r="U388" s="19" t="n">
        <v>1.069216534152337</v>
      </c>
      <c r="V388" s="19" t="n">
        <v>0.9156626506024089</v>
      </c>
      <c r="W388" s="4" t="n">
        <v>0.1385783157246896</v>
      </c>
      <c r="X388" s="4" t="n">
        <v>0.079324462640737</v>
      </c>
      <c r="Y388" s="4" t="n">
        <v>0.001093689215222682</v>
      </c>
      <c r="Z388" s="4" t="n">
        <v>-0.0001254058823034754</v>
      </c>
      <c r="AA388" s="4" t="n">
        <v>0.03</v>
      </c>
      <c r="AB388" s="4" t="n">
        <v>0.05</v>
      </c>
      <c r="AC388" s="4">
        <f>(AB388+2*參數!$B$7)/(AA388+AB388)</f>
        <v/>
      </c>
    </row>
    <row r="389">
      <c r="A389" s="2" t="n">
        <v>388</v>
      </c>
      <c r="B389" s="2" t="inlineStr">
        <is>
          <t>DOGE_USDT_PERP</t>
        </is>
      </c>
      <c r="C389" s="2" t="inlineStr">
        <is>
          <t>做多</t>
        </is>
      </c>
      <c r="D389" s="7" t="n">
        <v>46287.875</v>
      </c>
      <c r="E389" s="20" t="n">
        <v>0.09988</v>
      </c>
      <c r="F389" s="20" t="n">
        <v>0.1028764</v>
      </c>
      <c r="G389" s="20" t="n">
        <v>0.094886</v>
      </c>
      <c r="H389" s="7" t="n">
        <v>46288.45833333334</v>
      </c>
      <c r="I389" s="20" t="n">
        <v>0.1028764</v>
      </c>
      <c r="J389" s="2" t="inlineStr">
        <is>
          <t>止盈</t>
        </is>
      </c>
      <c r="K389" s="5">
        <f>(H389-D389)*24</f>
        <v/>
      </c>
      <c r="L389" s="4">
        <f>IF(C389="做多",I389/E389-1,1-I389/E389)-2*參數!$B$7</f>
        <v/>
      </c>
      <c r="M389" s="2" t="inlineStr"/>
      <c r="N389" s="4" t="n">
        <v>0.02022471910112356</v>
      </c>
      <c r="O389" s="4" t="n">
        <v>0.02091291547642258</v>
      </c>
      <c r="P389" s="4" t="n">
        <v>0.00481381065678077</v>
      </c>
      <c r="Q389" s="22" t="n">
        <v>20292240</v>
      </c>
      <c r="R389" s="22" t="n">
        <v>13637464.38295</v>
      </c>
      <c r="S389" s="4" t="n">
        <v>0.03</v>
      </c>
      <c r="T389" s="4" t="n">
        <v>0.01421706047256699</v>
      </c>
      <c r="U389" s="19" t="n">
        <v>3.817765007097983</v>
      </c>
      <c r="V389" s="19" t="n">
        <v>1</v>
      </c>
      <c r="W389" s="4" t="n">
        <v>0.1058948580539441</v>
      </c>
      <c r="X389" s="4" t="n">
        <v>0.06869248876524714</v>
      </c>
      <c r="Y389" s="4" t="n">
        <v>0.0005061076136037013</v>
      </c>
      <c r="Z389" s="4" t="n">
        <v>0.0003321117128414208</v>
      </c>
      <c r="AA389" s="4" t="n">
        <v>0.03</v>
      </c>
      <c r="AB389" s="4" t="n">
        <v>0.05</v>
      </c>
      <c r="AC389" s="4">
        <f>(AB389+2*參數!$B$7)/(AA389+AB389)</f>
        <v/>
      </c>
    </row>
    <row r="390">
      <c r="A390" s="2" t="n">
        <v>389</v>
      </c>
      <c r="B390" s="2" t="inlineStr">
        <is>
          <t>ZAMA_USDT_PERP</t>
        </is>
      </c>
      <c r="C390" s="2" t="inlineStr">
        <is>
          <t>做空</t>
        </is>
      </c>
      <c r="D390" s="7" t="n">
        <v>46287.91666666666</v>
      </c>
      <c r="E390" s="20" t="n">
        <v>0.09107</v>
      </c>
      <c r="F390" s="20" t="n">
        <v>0.0883379</v>
      </c>
      <c r="G390" s="20" t="n">
        <v>0.0956235</v>
      </c>
      <c r="H390" s="7" t="n">
        <v>46287.95833333334</v>
      </c>
      <c r="I390" s="20" t="n">
        <v>0.0883379</v>
      </c>
      <c r="J390" s="2" t="inlineStr">
        <is>
          <t>止盈</t>
        </is>
      </c>
      <c r="K390" s="5">
        <f>(H390-D390)*24</f>
        <v/>
      </c>
      <c r="L390" s="4">
        <f>IF(C390="做多",I390/E390-1,1-I390/E390)-2*參數!$B$7</f>
        <v/>
      </c>
      <c r="M390" s="2" t="inlineStr"/>
      <c r="N390" s="4" t="n">
        <v>-0.02306372023170988</v>
      </c>
      <c r="O390" s="4" t="n">
        <v>0.0450871130650653</v>
      </c>
      <c r="P390" s="4" t="n">
        <v>-0.03343239227340267</v>
      </c>
      <c r="Q390" s="22" t="n">
        <v>-1277321</v>
      </c>
      <c r="R390" s="22" t="n">
        <v>1237406.76512</v>
      </c>
      <c r="S390" s="4" t="n">
        <v>0.03</v>
      </c>
      <c r="T390" s="4" t="n">
        <v>0</v>
      </c>
      <c r="U390" s="19" t="n">
        <v>2.434638348545614</v>
      </c>
      <c r="V390" s="19" t="n">
        <v>0.8266253869969031</v>
      </c>
      <c r="W390" s="4" t="n">
        <v>-0.1013570140611375</v>
      </c>
      <c r="X390" s="4" t="n">
        <v>0.09138980345206027</v>
      </c>
      <c r="Y390" s="4" t="n">
        <v>-0.003609570944814511</v>
      </c>
      <c r="Z390" s="4" t="n">
        <v>-0.00368030065751368</v>
      </c>
      <c r="AA390" s="4" t="n">
        <v>0.03</v>
      </c>
      <c r="AB390" s="4" t="n">
        <v>0.05</v>
      </c>
      <c r="AC390" s="4">
        <f>(AB390+2*參數!$B$7)/(AA390+AB390)</f>
        <v/>
      </c>
    </row>
    <row r="391">
      <c r="A391" s="2" t="n">
        <v>390</v>
      </c>
      <c r="B391" s="2" t="inlineStr">
        <is>
          <t>ETHFI_USDT_PERP</t>
        </is>
      </c>
      <c r="C391" s="2" t="inlineStr">
        <is>
          <t>做空</t>
        </is>
      </c>
      <c r="D391" s="7" t="n">
        <v>46287.95833333334</v>
      </c>
      <c r="E391" s="20" t="n">
        <v>0.6907</v>
      </c>
      <c r="F391" s="20" t="n">
        <v>0.669979</v>
      </c>
      <c r="G391" s="20" t="n">
        <v>0.725235</v>
      </c>
      <c r="H391" s="7" t="n">
        <v>46288.45833333334</v>
      </c>
      <c r="I391" s="20" t="n">
        <v>0.725235</v>
      </c>
      <c r="J391" s="2" t="inlineStr">
        <is>
          <t>止損</t>
        </is>
      </c>
      <c r="K391" s="5">
        <f>(H391-D391)*24</f>
        <v/>
      </c>
      <c r="L391" s="4">
        <f>IF(C391="做多",I391/E391-1,1-I391/E391)-2*參數!$B$7</f>
        <v/>
      </c>
      <c r="M391" s="2" t="inlineStr"/>
      <c r="N391" s="4" t="n">
        <v>-0.02732009576116035</v>
      </c>
      <c r="O391" s="4" t="n">
        <v>0.02127772873900835</v>
      </c>
      <c r="P391" s="4" t="n">
        <v>-0.02190690626902869</v>
      </c>
      <c r="Q391" s="22" t="n">
        <v>-397613.9999999998</v>
      </c>
      <c r="R391" s="22" t="n">
        <v>1218707.62709</v>
      </c>
      <c r="S391" s="4" t="n">
        <v>0.01969016939336898</v>
      </c>
      <c r="T391" s="4" t="n">
        <v>0.05</v>
      </c>
      <c r="U391" s="19" t="n">
        <v>3.201954346709819</v>
      </c>
      <c r="V391" s="19" t="n">
        <v>0.6793103448275873</v>
      </c>
      <c r="W391" s="4" t="n">
        <v>0.04591672525799761</v>
      </c>
      <c r="X391" s="4" t="n">
        <v>0.06636928899702632</v>
      </c>
      <c r="Y391" s="4" t="n">
        <v>0.0009999536522061758</v>
      </c>
      <c r="Z391" s="4" t="n">
        <v>-0.002562229966258878</v>
      </c>
      <c r="AA391" s="4" t="n">
        <v>0.03</v>
      </c>
      <c r="AB391" s="4" t="n">
        <v>0.05</v>
      </c>
      <c r="AC391" s="4">
        <f>(AB391+2*參數!$B$7)/(AA391+AB391)</f>
        <v/>
      </c>
    </row>
    <row r="392">
      <c r="A392" s="2" t="n">
        <v>391</v>
      </c>
      <c r="B392" s="2" t="inlineStr">
        <is>
          <t>INJ_USDT_PERP</t>
        </is>
      </c>
      <c r="C392" s="2" t="inlineStr">
        <is>
          <t>做空</t>
        </is>
      </c>
      <c r="D392" s="7" t="n">
        <v>46287.95833333334</v>
      </c>
      <c r="E392" s="20" t="n">
        <v>7.683</v>
      </c>
      <c r="F392" s="20" t="n">
        <v>7.452509999999999</v>
      </c>
      <c r="G392" s="20" t="n">
        <v>8.06715</v>
      </c>
      <c r="H392" s="7" t="n">
        <v>46288.33333333334</v>
      </c>
      <c r="I392" s="20" t="n">
        <v>8.06715</v>
      </c>
      <c r="J392" s="2" t="inlineStr">
        <is>
          <t>止損</t>
        </is>
      </c>
      <c r="K392" s="5">
        <f>(H392-D392)*24</f>
        <v/>
      </c>
      <c r="L392" s="4">
        <f>IF(C392="做多",I392/E392-1,1-I392/E392)-2*參數!$B$7</f>
        <v/>
      </c>
      <c r="M392" s="2" t="inlineStr"/>
      <c r="N392" s="4" t="n">
        <v>-0.02002551020408161</v>
      </c>
      <c r="O392" s="4" t="n">
        <v>0.02169664677948336</v>
      </c>
      <c r="P392" s="4" t="n">
        <v>-0.009233229309055124</v>
      </c>
      <c r="Q392" s="22" t="n">
        <v>-19408.30000000002</v>
      </c>
      <c r="R392" s="22" t="n">
        <v>2749145.8025</v>
      </c>
      <c r="S392" s="4" t="n">
        <v>0.009111024339450657</v>
      </c>
      <c r="T392" s="4" t="n">
        <v>0.05</v>
      </c>
      <c r="U392" s="19" t="n">
        <v>2.252360457120158</v>
      </c>
      <c r="V392" s="19" t="n">
        <v>0.6015325670498083</v>
      </c>
      <c r="W392" s="4" t="n">
        <v>-0.01775474005062927</v>
      </c>
      <c r="X392" s="4" t="n">
        <v>0.02002551020408161</v>
      </c>
      <c r="Y392" s="4" t="n">
        <v>0.0009999536522061758</v>
      </c>
      <c r="Z392" s="4" t="n">
        <v>-0.002562229966258878</v>
      </c>
      <c r="AA392" s="4" t="n">
        <v>0.03</v>
      </c>
      <c r="AB392" s="4" t="n">
        <v>0.05</v>
      </c>
      <c r="AC392" s="4">
        <f>(AB392+2*參數!$B$7)/(AA392+AB392)</f>
        <v/>
      </c>
    </row>
    <row r="393">
      <c r="A393" s="2" t="n">
        <v>392</v>
      </c>
      <c r="B393" s="2" t="inlineStr">
        <is>
          <t>HBAR_USDT_PERP</t>
        </is>
      </c>
      <c r="C393" s="2" t="inlineStr">
        <is>
          <t>做多</t>
        </is>
      </c>
      <c r="D393" s="7" t="n">
        <v>46288</v>
      </c>
      <c r="E393" s="20" t="n">
        <v>0.09859</v>
      </c>
      <c r="F393" s="20" t="n">
        <v>0.1015477</v>
      </c>
      <c r="G393" s="20" t="n">
        <v>0.09366049999999999</v>
      </c>
      <c r="H393" s="7" t="n">
        <v>46288.95833333334</v>
      </c>
      <c r="I393" s="20" t="n">
        <v>0.09366049999999999</v>
      </c>
      <c r="J393" s="2" t="inlineStr">
        <is>
          <t>止損</t>
        </is>
      </c>
      <c r="K393" s="5">
        <f>(H393-D393)*24</f>
        <v/>
      </c>
      <c r="L393" s="4">
        <f>IF(C393="做多",I393/E393-1,1-I393/E393)-2*參數!$B$7</f>
        <v/>
      </c>
      <c r="M393" s="2" t="inlineStr"/>
      <c r="N393" s="4" t="n">
        <v>0.02197574375453515</v>
      </c>
      <c r="O393" s="4" t="n">
        <v>0.02088716198292042</v>
      </c>
      <c r="P393" s="4" t="n">
        <v>0.04907531549937216</v>
      </c>
      <c r="Q393" s="22" t="n">
        <v>3031266</v>
      </c>
      <c r="R393" s="22" t="n">
        <v>1845837.41995</v>
      </c>
      <c r="S393" s="4" t="n">
        <v>0.02789329546607155</v>
      </c>
      <c r="T393" s="4" t="n">
        <v>0.05</v>
      </c>
      <c r="U393" s="19" t="n">
        <v>2.488813162679719</v>
      </c>
      <c r="V393" s="19" t="n">
        <v>0.8697318007662809</v>
      </c>
      <c r="W393" s="4" t="n">
        <v>0.1553628453402867</v>
      </c>
      <c r="X393" s="4" t="n">
        <v>0.06583783783783792</v>
      </c>
      <c r="Y393" s="4" t="n">
        <v>0.001736302406582402</v>
      </c>
      <c r="Z393" s="4" t="n">
        <v>0.004354660319168202</v>
      </c>
      <c r="AA393" s="4" t="n">
        <v>0.03</v>
      </c>
      <c r="AB393" s="4" t="n">
        <v>0.05</v>
      </c>
      <c r="AC393" s="4">
        <f>(AB393+2*參數!$B$7)/(AA393+AB393)</f>
        <v/>
      </c>
    </row>
    <row r="394">
      <c r="A394" s="2" t="n">
        <v>393</v>
      </c>
      <c r="B394" s="2" t="inlineStr">
        <is>
          <t>LSK_USDT_PERP</t>
        </is>
      </c>
      <c r="C394" s="2" t="inlineStr">
        <is>
          <t>做空</t>
        </is>
      </c>
      <c r="D394" s="7" t="n">
        <v>46288</v>
      </c>
      <c r="E394" s="20" t="n">
        <v>0.3326</v>
      </c>
      <c r="F394" s="20" t="n">
        <v>0.322622</v>
      </c>
      <c r="G394" s="20" t="n">
        <v>0.34923</v>
      </c>
      <c r="H394" s="7" t="n">
        <v>46288.08333333334</v>
      </c>
      <c r="I394" s="20" t="n">
        <v>0.322622</v>
      </c>
      <c r="J394" s="2" t="inlineStr">
        <is>
          <t>止盈</t>
        </is>
      </c>
      <c r="K394" s="5">
        <f>(H394-D394)*24</f>
        <v/>
      </c>
      <c r="L394" s="4">
        <f>IF(C394="做多",I394/E394-1,1-I394/E394)-2*參數!$B$7</f>
        <v/>
      </c>
      <c r="M394" s="2" t="inlineStr"/>
      <c r="N394" s="4" t="n">
        <v>-0.02434731592842465</v>
      </c>
      <c r="O394" s="4" t="n">
        <v>0.02680673789715203</v>
      </c>
      <c r="P394" s="4" t="n">
        <v>-0.0432906658996115</v>
      </c>
      <c r="Q394" s="22" t="n">
        <v>-1760920</v>
      </c>
      <c r="R394" s="22" t="n">
        <v>1812429.6241</v>
      </c>
      <c r="S394" s="4" t="n">
        <v>0.03</v>
      </c>
      <c r="T394" s="4" t="n">
        <v>0.0003006614552014675</v>
      </c>
      <c r="U394" s="19" t="n">
        <v>4.8144348103343</v>
      </c>
      <c r="V394" s="19" t="n">
        <v>0.5810810810810816</v>
      </c>
      <c r="W394" s="4" t="n">
        <v>0.1520908379412581</v>
      </c>
      <c r="X394" s="4" t="n">
        <v>0.1066344345957562</v>
      </c>
      <c r="Y394" s="4" t="n">
        <v>-0.001736302406582402</v>
      </c>
      <c r="Z394" s="4" t="n">
        <v>-0.004354660319168202</v>
      </c>
      <c r="AA394" s="4" t="n">
        <v>0.03</v>
      </c>
      <c r="AB394" s="4" t="n">
        <v>0.05</v>
      </c>
      <c r="AC394" s="4">
        <f>(AB394+2*參數!$B$7)/(AA394+AB394)</f>
        <v/>
      </c>
    </row>
    <row r="395">
      <c r="A395" s="2" t="n">
        <v>394</v>
      </c>
      <c r="B395" s="2" t="inlineStr">
        <is>
          <t>UNI_USDT_PERP</t>
        </is>
      </c>
      <c r="C395" s="2" t="inlineStr">
        <is>
          <t>做多</t>
        </is>
      </c>
      <c r="D395" s="7" t="n">
        <v>46288</v>
      </c>
      <c r="E395" s="20" t="n">
        <v>9.182</v>
      </c>
      <c r="F395" s="20" t="n">
        <v>9.457460000000001</v>
      </c>
      <c r="G395" s="20" t="n">
        <v>8.722899999999999</v>
      </c>
      <c r="H395" s="7" t="n">
        <v>46288.20833333334</v>
      </c>
      <c r="I395" s="20" t="n">
        <v>9.457460000000001</v>
      </c>
      <c r="J395" s="2" t="inlineStr">
        <is>
          <t>止盈</t>
        </is>
      </c>
      <c r="K395" s="5">
        <f>(H395-D395)*24</f>
        <v/>
      </c>
      <c r="L395" s="4">
        <f>IF(C395="做多",I395/E395-1,1-I395/E395)-2*參數!$B$7</f>
        <v/>
      </c>
      <c r="M395" s="2" t="inlineStr"/>
      <c r="N395" s="4" t="n">
        <v>0.02363433667781489</v>
      </c>
      <c r="O395" s="4" t="n">
        <v>0.0330329357964036</v>
      </c>
      <c r="P395" s="4" t="n">
        <v>0.02119803367662421</v>
      </c>
      <c r="Q395" s="22" t="n">
        <v>32372</v>
      </c>
      <c r="R395" s="22" t="n">
        <v>14867853.11</v>
      </c>
      <c r="S395" s="4" t="n">
        <v>0.03</v>
      </c>
      <c r="T395" s="4" t="n">
        <v>0.01012851230668699</v>
      </c>
      <c r="U395" s="19" t="n">
        <v>2.278289316063617</v>
      </c>
      <c r="V395" s="19" t="n">
        <v>0.5281385281385279</v>
      </c>
      <c r="W395" s="4" t="n">
        <v>0.03661572399965252</v>
      </c>
      <c r="X395" s="4" t="n">
        <v>0.0393932533393706</v>
      </c>
      <c r="Y395" s="4" t="n">
        <v>0.001736302406582402</v>
      </c>
      <c r="Z395" s="4" t="n">
        <v>0.004354660319168202</v>
      </c>
      <c r="AA395" s="4" t="n">
        <v>0.03</v>
      </c>
      <c r="AB395" s="4" t="n">
        <v>0.05</v>
      </c>
      <c r="AC395" s="4">
        <f>(AB395+2*參數!$B$7)/(AA395+AB395)</f>
        <v/>
      </c>
    </row>
    <row r="396">
      <c r="A396" s="2" t="n">
        <v>395</v>
      </c>
      <c r="B396" s="2" t="inlineStr">
        <is>
          <t>WIF_USDT_PERP</t>
        </is>
      </c>
      <c r="C396" s="2" t="inlineStr">
        <is>
          <t>做多</t>
        </is>
      </c>
      <c r="D396" s="7" t="n">
        <v>46288</v>
      </c>
      <c r="E396" s="20" t="n">
        <v>0.2649</v>
      </c>
      <c r="F396" s="20" t="n">
        <v>0.272847</v>
      </c>
      <c r="G396" s="20" t="n">
        <v>0.251655</v>
      </c>
      <c r="H396" s="7" t="n">
        <v>46288.20833333334</v>
      </c>
      <c r="I396" s="20" t="n">
        <v>0.251655</v>
      </c>
      <c r="J396" s="2" t="inlineStr">
        <is>
          <t>止損</t>
        </is>
      </c>
      <c r="K396" s="5">
        <f>(H396-D396)*24</f>
        <v/>
      </c>
      <c r="L396" s="4">
        <f>IF(C396="做多",I396/E396-1,1-I396/E396)-2*參數!$B$7</f>
        <v/>
      </c>
      <c r="M396" s="2" t="inlineStr"/>
      <c r="N396" s="4" t="n">
        <v>0.02002310358105519</v>
      </c>
      <c r="O396" s="4" t="n">
        <v>0.04007020725917866</v>
      </c>
      <c r="P396" s="4" t="n">
        <v>0.05500019913178567</v>
      </c>
      <c r="Q396" s="22" t="n">
        <v>1323043.4</v>
      </c>
      <c r="R396" s="22" t="n">
        <v>1670232.75943</v>
      </c>
      <c r="S396" s="4" t="n">
        <v>0</v>
      </c>
      <c r="T396" s="4" t="n">
        <v>0.05</v>
      </c>
      <c r="U396" s="19" t="n">
        <v>0.5722087589859502</v>
      </c>
      <c r="V396" s="19" t="n">
        <v>0.9390243902439027</v>
      </c>
      <c r="W396" s="4" t="n">
        <v>0.2174552473745892</v>
      </c>
      <c r="X396" s="4" t="n">
        <v>0.07290400972053468</v>
      </c>
      <c r="Y396" s="4" t="n">
        <v>0.001736302406582402</v>
      </c>
      <c r="Z396" s="4" t="n">
        <v>0.004354660319168202</v>
      </c>
      <c r="AA396" s="4" t="n">
        <v>0.03</v>
      </c>
      <c r="AB396" s="4" t="n">
        <v>0.05</v>
      </c>
      <c r="AC396" s="4">
        <f>(AB396+2*參數!$B$7)/(AA396+AB396)</f>
        <v/>
      </c>
    </row>
    <row r="397">
      <c r="A397" s="2" t="n">
        <v>396</v>
      </c>
      <c r="B397" s="2" t="inlineStr">
        <is>
          <t>LIT_USDT_PERP</t>
        </is>
      </c>
      <c r="C397" s="2" t="inlineStr">
        <is>
          <t>做多</t>
        </is>
      </c>
      <c r="D397" s="7" t="n">
        <v>46288.08333333334</v>
      </c>
      <c r="E397" s="20" t="n">
        <v>4.911</v>
      </c>
      <c r="F397" s="20" t="n">
        <v>5.05833</v>
      </c>
      <c r="G397" s="20" t="n">
        <v>4.665449999999999</v>
      </c>
      <c r="H397" s="7" t="n">
        <v>46288.33333333334</v>
      </c>
      <c r="I397" s="20" t="n">
        <v>5.05833</v>
      </c>
      <c r="J397" s="2" t="inlineStr">
        <is>
          <t>止盈</t>
        </is>
      </c>
      <c r="K397" s="5">
        <f>(H397-D397)*24</f>
        <v/>
      </c>
      <c r="L397" s="4">
        <f>IF(C397="做多",I397/E397-1,1-I397/E397)-2*參數!$B$7</f>
        <v/>
      </c>
      <c r="M397" s="2" t="inlineStr"/>
      <c r="N397" s="4" t="n">
        <v>0.02762084118016306</v>
      </c>
      <c r="O397" s="4" t="n">
        <v>0.02008029426746189</v>
      </c>
      <c r="P397" s="4" t="n">
        <v>0.03248186691895283</v>
      </c>
      <c r="Q397" s="22" t="n">
        <v>224568.7</v>
      </c>
      <c r="R397" s="22" t="n">
        <v>5485197.4379</v>
      </c>
      <c r="S397" s="4" t="n">
        <v>0.03</v>
      </c>
      <c r="T397" s="4" t="n">
        <v>0.02219507228670337</v>
      </c>
      <c r="U397" s="19" t="n">
        <v>1.93989948080737</v>
      </c>
      <c r="V397" s="19" t="n">
        <v>0.8986486486486452</v>
      </c>
      <c r="W397" s="4" t="n">
        <v>0.01546878844710387</v>
      </c>
      <c r="X397" s="4" t="n">
        <v>0.02999161073825496</v>
      </c>
      <c r="Y397" s="4" t="n">
        <v>0.001721503160526883</v>
      </c>
      <c r="Z397" s="4" t="n">
        <v>0.00656256592622606</v>
      </c>
      <c r="AA397" s="4" t="n">
        <v>0.03</v>
      </c>
      <c r="AB397" s="4" t="n">
        <v>0.05</v>
      </c>
      <c r="AC397" s="4">
        <f>(AB397+2*參數!$B$7)/(AA397+AB397)</f>
        <v/>
      </c>
    </row>
    <row r="398">
      <c r="A398" s="2" t="n">
        <v>397</v>
      </c>
      <c r="B398" s="2" t="inlineStr">
        <is>
          <t>PENGU_USDT_PERP</t>
        </is>
      </c>
      <c r="C398" s="2" t="inlineStr">
        <is>
          <t>做多</t>
        </is>
      </c>
      <c r="D398" s="7" t="n">
        <v>46288.08333333334</v>
      </c>
      <c r="E398" s="20" t="n">
        <v>0.00949</v>
      </c>
      <c r="F398" s="20" t="n">
        <v>0.009774700000000001</v>
      </c>
      <c r="G398" s="20" t="n">
        <v>0.009015499999999999</v>
      </c>
      <c r="H398" s="7" t="n">
        <v>46288.125</v>
      </c>
      <c r="I398" s="20" t="n">
        <v>0.009774700000000001</v>
      </c>
      <c r="J398" s="2" t="inlineStr">
        <is>
          <t>止盈</t>
        </is>
      </c>
      <c r="K398" s="5">
        <f>(H398-D398)*24</f>
        <v/>
      </c>
      <c r="L398" s="4">
        <f>IF(C398="做多",I398/E398-1,1-I398/E398)-2*參數!$B$7</f>
        <v/>
      </c>
      <c r="M398" s="2" t="inlineStr"/>
      <c r="N398" s="4" t="n">
        <v>0.03174603174603186</v>
      </c>
      <c r="O398" s="4" t="n">
        <v>0.02832079776560582</v>
      </c>
      <c r="P398" s="4" t="n">
        <v>0.05306376084688957</v>
      </c>
      <c r="Q398" s="22" t="n">
        <v>106374519</v>
      </c>
      <c r="R398" s="22" t="n">
        <v>2229453.992316</v>
      </c>
      <c r="S398" s="4" t="n">
        <v>0.03</v>
      </c>
      <c r="T398" s="4" t="n">
        <v>0</v>
      </c>
      <c r="U398" s="19" t="n">
        <v>6.496578155843504</v>
      </c>
      <c r="V398" s="19" t="n">
        <v>0.797560975609757</v>
      </c>
      <c r="W398" s="4" t="n">
        <v>0.1592156422042441</v>
      </c>
      <c r="X398" s="4" t="n">
        <v>0.1037450569899978</v>
      </c>
      <c r="Y398" s="4" t="n">
        <v>0.001721503160526883</v>
      </c>
      <c r="Z398" s="4" t="n">
        <v>0.00656256592622606</v>
      </c>
      <c r="AA398" s="4" t="n">
        <v>0.03</v>
      </c>
      <c r="AB398" s="4" t="n">
        <v>0.05</v>
      </c>
      <c r="AC398" s="4">
        <f>(AB398+2*參數!$B$7)/(AA398+AB398)</f>
        <v/>
      </c>
    </row>
    <row r="399">
      <c r="A399" s="2" t="n">
        <v>398</v>
      </c>
      <c r="B399" s="2" t="inlineStr">
        <is>
          <t>VVV_USDT_PERP</t>
        </is>
      </c>
      <c r="C399" s="2" t="inlineStr">
        <is>
          <t>做多</t>
        </is>
      </c>
      <c r="D399" s="7" t="n">
        <v>46288.08333333334</v>
      </c>
      <c r="E399" s="20" t="n">
        <v>32.63</v>
      </c>
      <c r="F399" s="20" t="n">
        <v>33.60890000000001</v>
      </c>
      <c r="G399" s="20" t="n">
        <v>30.9985</v>
      </c>
      <c r="H399" s="7" t="n">
        <v>46288.79166666666</v>
      </c>
      <c r="I399" s="20" t="n">
        <v>30.9985</v>
      </c>
      <c r="J399" s="2" t="inlineStr">
        <is>
          <t>止損</t>
        </is>
      </c>
      <c r="K399" s="5">
        <f>(H399-D399)*24</f>
        <v/>
      </c>
      <c r="L399" s="4">
        <f>IF(C399="做多",I399/E399-1,1-I399/E399)-2*參數!$B$7</f>
        <v/>
      </c>
      <c r="M399" s="2" t="inlineStr"/>
      <c r="N399" s="4" t="n">
        <v>0.04086254744967954</v>
      </c>
      <c r="O399" s="4" t="n">
        <v>0.02587387374623399</v>
      </c>
      <c r="P399" s="4" t="n">
        <v>0.03279593971611572</v>
      </c>
      <c r="Q399" s="22" t="n">
        <v>1767.340000000026</v>
      </c>
      <c r="R399" s="22" t="n">
        <v>1577807.804630001</v>
      </c>
      <c r="S399" s="4" t="n">
        <v>0.02893043211768287</v>
      </c>
      <c r="T399" s="4" t="n">
        <v>0.05</v>
      </c>
      <c r="U399" s="19" t="n">
        <v>4.698717309025497</v>
      </c>
      <c r="V399" s="19" t="n">
        <v>0.981103552532125</v>
      </c>
      <c r="W399" s="4" t="n">
        <v>0.1064816494613237</v>
      </c>
      <c r="X399" s="4" t="n">
        <v>0.04590037822937365</v>
      </c>
      <c r="Y399" s="4" t="n">
        <v>0.001721503160526883</v>
      </c>
      <c r="Z399" s="4" t="n">
        <v>0.00656256592622606</v>
      </c>
      <c r="AA399" s="4" t="n">
        <v>0.03</v>
      </c>
      <c r="AB399" s="4" t="n">
        <v>0.05</v>
      </c>
      <c r="AC399" s="4">
        <f>(AB399+2*參數!$B$7)/(AA399+AB399)</f>
        <v/>
      </c>
    </row>
    <row r="400">
      <c r="A400" s="2" t="n">
        <v>399</v>
      </c>
      <c r="B400" s="2" t="inlineStr">
        <is>
          <t>ARB_USDT_PERP</t>
        </is>
      </c>
      <c r="C400" s="2" t="inlineStr">
        <is>
          <t>做多</t>
        </is>
      </c>
      <c r="D400" s="7" t="n">
        <v>46288.29166666666</v>
      </c>
      <c r="E400" s="20" t="n">
        <v>0.2255</v>
      </c>
      <c r="F400" s="20" t="n">
        <v>0.232265</v>
      </c>
      <c r="G400" s="20" t="n">
        <v>0.214225</v>
      </c>
      <c r="H400" s="7" t="n">
        <v>46288.33333333334</v>
      </c>
      <c r="I400" s="20" t="n">
        <v>0.232265</v>
      </c>
      <c r="J400" s="2" t="inlineStr">
        <is>
          <t>止盈</t>
        </is>
      </c>
      <c r="K400" s="5">
        <f>(H400-D400)*24</f>
        <v/>
      </c>
      <c r="L400" s="4">
        <f>IF(C400="做多",I400/E400-1,1-I400/E400)-2*參數!$B$7</f>
        <v/>
      </c>
      <c r="M400" s="2" t="inlineStr"/>
      <c r="N400" s="4" t="n">
        <v>0.03298213467705002</v>
      </c>
      <c r="O400" s="4" t="n">
        <v>0.02021990320656622</v>
      </c>
      <c r="P400" s="4" t="n">
        <v>0.03255643573423694</v>
      </c>
      <c r="Q400" s="22" t="n">
        <v>4624164.199999996</v>
      </c>
      <c r="R400" s="22" t="n">
        <v>3591851.17385</v>
      </c>
      <c r="S400" s="4" t="n">
        <v>0.03</v>
      </c>
      <c r="T400" s="4" t="n">
        <v>0</v>
      </c>
      <c r="U400" s="19" t="n">
        <v>1.398278802717839</v>
      </c>
      <c r="V400" s="19" t="n">
        <v>0.9670329670329676</v>
      </c>
      <c r="W400" s="4" t="n">
        <v>0.04252387865114526</v>
      </c>
      <c r="X400" s="4" t="n">
        <v>-0.0008861320336730483</v>
      </c>
      <c r="Y400" s="4" t="n">
        <v>-0.0007266969418362468</v>
      </c>
      <c r="Z400" s="4" t="n">
        <v>0.000870116090474049</v>
      </c>
      <c r="AA400" s="4" t="n">
        <v>0.03</v>
      </c>
      <c r="AB400" s="4" t="n">
        <v>0.05</v>
      </c>
      <c r="AC400" s="4">
        <f>(AB400+2*參數!$B$7)/(AA400+AB400)</f>
        <v/>
      </c>
    </row>
    <row r="401">
      <c r="A401" s="2" t="n">
        <v>400</v>
      </c>
      <c r="B401" s="2" t="inlineStr">
        <is>
          <t>ENA_USDT_PERP</t>
        </is>
      </c>
      <c r="C401" s="2" t="inlineStr">
        <is>
          <t>做多</t>
        </is>
      </c>
      <c r="D401" s="7" t="n">
        <v>46288.29166666666</v>
      </c>
      <c r="E401" s="20" t="n">
        <v>0.2161</v>
      </c>
      <c r="F401" s="20" t="n">
        <v>0.222583</v>
      </c>
      <c r="G401" s="20" t="n">
        <v>0.205295</v>
      </c>
      <c r="H401" s="7" t="n">
        <v>46288.95833333334</v>
      </c>
      <c r="I401" s="20" t="n">
        <v>0.205295</v>
      </c>
      <c r="J401" s="2" t="inlineStr">
        <is>
          <t>止損</t>
        </is>
      </c>
      <c r="K401" s="5">
        <f>(H401-D401)*24</f>
        <v/>
      </c>
      <c r="L401" s="4">
        <f>IF(C401="做多",I401/E401-1,1-I401/E401)-2*參數!$B$7</f>
        <v/>
      </c>
      <c r="M401" s="2" t="inlineStr"/>
      <c r="N401" s="4" t="n">
        <v>0.035457594633445</v>
      </c>
      <c r="O401" s="4" t="n">
        <v>0.0238436372338268</v>
      </c>
      <c r="P401" s="4" t="n">
        <v>0.02894962384534794</v>
      </c>
      <c r="Q401" s="22" t="n">
        <v>3295216</v>
      </c>
      <c r="R401" s="22" t="n">
        <v>7724857.3886</v>
      </c>
      <c r="S401" s="4" t="n">
        <v>0.02360018509949113</v>
      </c>
      <c r="T401" s="4" t="n">
        <v>0.05</v>
      </c>
      <c r="U401" s="19" t="n">
        <v>1.180247017240044</v>
      </c>
      <c r="V401" s="19" t="n">
        <v>0.8749999999999992</v>
      </c>
      <c r="W401" s="4" t="n">
        <v>0.05668237917343077</v>
      </c>
      <c r="X401" s="4" t="n">
        <v>0.01933962264150946</v>
      </c>
      <c r="Y401" s="4" t="n">
        <v>-0.0007266969418362468</v>
      </c>
      <c r="Z401" s="4" t="n">
        <v>0.000870116090474049</v>
      </c>
      <c r="AA401" s="4" t="n">
        <v>0.03</v>
      </c>
      <c r="AB401" s="4" t="n">
        <v>0.05</v>
      </c>
      <c r="AC401" s="4">
        <f>(AB401+2*參數!$B$7)/(AA401+AB401)</f>
        <v/>
      </c>
    </row>
    <row r="402">
      <c r="A402" s="2" t="n">
        <v>401</v>
      </c>
      <c r="B402" s="2" t="inlineStr">
        <is>
          <t>INJ_USDT_PERP</t>
        </is>
      </c>
      <c r="C402" s="2" t="inlineStr">
        <is>
          <t>做多</t>
        </is>
      </c>
      <c r="D402" s="7" t="n">
        <v>46288.375</v>
      </c>
      <c r="E402" s="20" t="n">
        <v>8.077999999999999</v>
      </c>
      <c r="F402" s="20" t="n">
        <v>8.32034</v>
      </c>
      <c r="G402" s="20" t="n">
        <v>7.674099999999999</v>
      </c>
      <c r="H402" s="7" t="n">
        <v>46288.41666666666</v>
      </c>
      <c r="I402" s="20" t="n">
        <v>7.674099999999999</v>
      </c>
      <c r="J402" s="2" t="inlineStr">
        <is>
          <t>止損</t>
        </is>
      </c>
      <c r="K402" s="5">
        <f>(H402-D402)*24</f>
        <v/>
      </c>
      <c r="L402" s="4">
        <f>IF(C402="做多",I402/E402-1,1-I402/E402)-2*參數!$B$7</f>
        <v/>
      </c>
      <c r="M402" s="2" t="inlineStr"/>
      <c r="N402" s="4" t="n">
        <v>0.02201417004048567</v>
      </c>
      <c r="O402" s="4" t="n">
        <v>0.02260106671540502</v>
      </c>
      <c r="P402" s="4" t="n">
        <v>0.0372567525055052</v>
      </c>
      <c r="Q402" s="22" t="n">
        <v>30095.89999999994</v>
      </c>
      <c r="R402" s="22" t="n">
        <v>2984294.8518</v>
      </c>
      <c r="S402" s="4" t="n">
        <v>0</v>
      </c>
      <c r="T402" s="4" t="n">
        <v>0.05</v>
      </c>
      <c r="U402" s="19" t="n">
        <v>2.029989792638738</v>
      </c>
      <c r="V402" s="19" t="n">
        <v>0.4266666666666649</v>
      </c>
      <c r="W402" s="4" t="n">
        <v>0.05310776298687325</v>
      </c>
      <c r="X402" s="4" t="n">
        <v>0.0373699756003596</v>
      </c>
      <c r="Y402" s="4" t="n">
        <v>0.003072241192405567</v>
      </c>
      <c r="Z402" s="4" t="n">
        <v>0.003978936531600086</v>
      </c>
      <c r="AA402" s="4" t="n">
        <v>0.03</v>
      </c>
      <c r="AB402" s="4" t="n">
        <v>0.05</v>
      </c>
      <c r="AC402" s="4">
        <f>(AB402+2*參數!$B$7)/(AA402+AB402)</f>
        <v/>
      </c>
    </row>
    <row r="403">
      <c r="A403" s="2" t="n">
        <v>402</v>
      </c>
      <c r="B403" s="2" t="inlineStr">
        <is>
          <t>ZETA_USDT_PERP</t>
        </is>
      </c>
      <c r="C403" s="2" t="inlineStr">
        <is>
          <t>做空</t>
        </is>
      </c>
      <c r="D403" s="7" t="n">
        <v>46288.375</v>
      </c>
      <c r="E403" s="20" t="n">
        <v>0.05288</v>
      </c>
      <c r="F403" s="20" t="n">
        <v>0.0512936</v>
      </c>
      <c r="G403" s="20" t="n">
        <v>0.055524</v>
      </c>
      <c r="H403" s="7" t="n">
        <v>46288.66666666666</v>
      </c>
      <c r="I403" s="20" t="n">
        <v>0.0512936</v>
      </c>
      <c r="J403" s="2" t="inlineStr">
        <is>
          <t>止盈</t>
        </is>
      </c>
      <c r="K403" s="5">
        <f>(H403-D403)*24</f>
        <v/>
      </c>
      <c r="L403" s="4">
        <f>IF(C403="做多",I403/E403-1,1-I403/E403)-2*參數!$B$7</f>
        <v/>
      </c>
      <c r="M403" s="2" t="inlineStr"/>
      <c r="N403" s="4" t="n">
        <v>-0.04909188994785108</v>
      </c>
      <c r="O403" s="4" t="n">
        <v>0.04065839839863637</v>
      </c>
      <c r="P403" s="4" t="n">
        <v>-0.05521658730938617</v>
      </c>
      <c r="Q403" s="22" t="n">
        <v>-4260565</v>
      </c>
      <c r="R403" s="22" t="n">
        <v>1225805.74798</v>
      </c>
      <c r="S403" s="4" t="n">
        <v>0.03</v>
      </c>
      <c r="T403" s="4" t="n">
        <v>0.01380484114977287</v>
      </c>
      <c r="U403" s="19" t="n">
        <v>0.9118699082930263</v>
      </c>
      <c r="V403" s="19" t="n">
        <v>0.842105263157894</v>
      </c>
      <c r="W403" s="4" t="n">
        <v>-0.09649713952760219</v>
      </c>
      <c r="X403" s="4" t="n">
        <v>0.08002783576896311</v>
      </c>
      <c r="Y403" s="4" t="n">
        <v>-0.003072241192405567</v>
      </c>
      <c r="Z403" s="4" t="n">
        <v>-0.003978936531600086</v>
      </c>
      <c r="AA403" s="4" t="n">
        <v>0.03</v>
      </c>
      <c r="AB403" s="4" t="n">
        <v>0.05</v>
      </c>
      <c r="AC403" s="4">
        <f>(AB403+2*參數!$B$7)/(AA403+AB403)</f>
        <v/>
      </c>
    </row>
    <row r="404">
      <c r="A404" s="2" t="n">
        <v>403</v>
      </c>
      <c r="B404" s="2" t="inlineStr">
        <is>
          <t>INJ_USDT_PERP</t>
        </is>
      </c>
      <c r="C404" s="2" t="inlineStr">
        <is>
          <t>做多</t>
        </is>
      </c>
      <c r="D404" s="7" t="n">
        <v>46288.45833333334</v>
      </c>
      <c r="E404" s="20" t="n">
        <v>7.877</v>
      </c>
      <c r="F404" s="20" t="n">
        <v>8.11331</v>
      </c>
      <c r="G404" s="20" t="n">
        <v>7.483149999999999</v>
      </c>
      <c r="H404" s="7" t="n">
        <v>46288.70833333334</v>
      </c>
      <c r="I404" s="20" t="n">
        <v>8.11331</v>
      </c>
      <c r="J404" s="2" t="inlineStr">
        <is>
          <t>止盈</t>
        </is>
      </c>
      <c r="K404" s="5">
        <f>(H404-D404)*24</f>
        <v/>
      </c>
      <c r="L404" s="4">
        <f>IF(C404="做多",I404/E404-1,1-I404/E404)-2*參數!$B$7</f>
        <v/>
      </c>
      <c r="M404" s="2" t="inlineStr"/>
      <c r="N404" s="4" t="n">
        <v>0.02046897266485281</v>
      </c>
      <c r="O404" s="4" t="n">
        <v>0.02655209655900157</v>
      </c>
      <c r="P404" s="4" t="n">
        <v>0.009477063455956225</v>
      </c>
      <c r="Q404" s="22" t="n">
        <v>16257.99999999991</v>
      </c>
      <c r="R404" s="22" t="n">
        <v>3142049.5121</v>
      </c>
      <c r="S404" s="4" t="n">
        <v>0.03</v>
      </c>
      <c r="T404" s="4" t="n">
        <v>0.004189412212771249</v>
      </c>
      <c r="U404" s="19" t="n">
        <v>0.9421826567096736</v>
      </c>
      <c r="V404" s="19" t="n">
        <v>0.9275362318840554</v>
      </c>
      <c r="W404" s="4" t="n">
        <v>0.02370759677591239</v>
      </c>
      <c r="X404" s="4" t="n">
        <v>0.01651826042069948</v>
      </c>
      <c r="Y404" s="4" t="n">
        <v>0.002051364023870406</v>
      </c>
      <c r="Z404" s="4" t="n">
        <v>0.003751512561643855</v>
      </c>
      <c r="AA404" s="4" t="n">
        <v>0.03</v>
      </c>
      <c r="AB404" s="4" t="n">
        <v>0.05</v>
      </c>
      <c r="AC404" s="4">
        <f>(AB404+2*參數!$B$7)/(AA404+AB404)</f>
        <v/>
      </c>
    </row>
    <row r="405">
      <c r="A405" s="2" t="n">
        <v>404</v>
      </c>
      <c r="B405" s="2" t="inlineStr">
        <is>
          <t>牛来_USDT_PERP</t>
        </is>
      </c>
      <c r="C405" s="2" t="inlineStr">
        <is>
          <t>做多</t>
        </is>
      </c>
      <c r="D405" s="7" t="n">
        <v>46288.45833333334</v>
      </c>
      <c r="E405" s="20" t="n">
        <v>0.11678</v>
      </c>
      <c r="F405" s="20" t="n">
        <v>0.1202834</v>
      </c>
      <c r="G405" s="20" t="n">
        <v>0.110941</v>
      </c>
      <c r="H405" s="7" t="n">
        <v>46288.5</v>
      </c>
      <c r="I405" s="20" t="n">
        <v>0.1202834</v>
      </c>
      <c r="J405" s="2" t="inlineStr">
        <is>
          <t>止盈</t>
        </is>
      </c>
      <c r="K405" s="5">
        <f>(H405-D405)*24</f>
        <v/>
      </c>
      <c r="L405" s="4">
        <f>IF(C405="做多",I405/E405-1,1-I405/E405)-2*參數!$B$7</f>
        <v/>
      </c>
      <c r="M405" s="2" t="inlineStr"/>
      <c r="N405" s="4" t="n">
        <v>0.05065227170490316</v>
      </c>
      <c r="O405" s="4" t="n">
        <v>0.03676709761320058</v>
      </c>
      <c r="P405" s="4" t="n">
        <v>0.0595702017429649</v>
      </c>
      <c r="Q405" s="22" t="n">
        <v>3171082</v>
      </c>
      <c r="R405" s="22" t="n">
        <v>1308319.02201</v>
      </c>
      <c r="S405" s="4" t="n">
        <v>0.03</v>
      </c>
      <c r="T405" s="4" t="n">
        <v>0</v>
      </c>
      <c r="U405" s="19" t="n">
        <v>2.119761309020585</v>
      </c>
      <c r="V405" s="19" t="n">
        <v>0.7178276269185353</v>
      </c>
      <c r="W405" s="4" t="n">
        <v>0.08504169949603813</v>
      </c>
      <c r="X405" s="4" t="n">
        <v>0.1408753419304414</v>
      </c>
      <c r="Y405" s="4" t="n">
        <v>0.002051364023870406</v>
      </c>
      <c r="Z405" s="4" t="n">
        <v>0.003751512561643855</v>
      </c>
      <c r="AA405" s="4" t="n">
        <v>0.03</v>
      </c>
      <c r="AB405" s="4" t="n">
        <v>0.05</v>
      </c>
      <c r="AC405" s="4">
        <f>(AB405+2*參數!$B$7)/(AA405+AB405)</f>
        <v/>
      </c>
    </row>
    <row r="406">
      <c r="A406" s="2" t="n">
        <v>405</v>
      </c>
      <c r="B406" s="2" t="inlineStr">
        <is>
          <t>BR_USDT_PERP</t>
        </is>
      </c>
      <c r="C406" s="2" t="inlineStr">
        <is>
          <t>做空</t>
        </is>
      </c>
      <c r="D406" s="7" t="n">
        <v>46288.625</v>
      </c>
      <c r="E406" s="20" t="n">
        <v>1.10674</v>
      </c>
      <c r="F406" s="20" t="n">
        <v>1.0735378</v>
      </c>
      <c r="G406" s="20" t="n">
        <v>1.162077</v>
      </c>
      <c r="H406" s="7" t="n">
        <v>46288.63194444445</v>
      </c>
      <c r="I406" s="20" t="n">
        <v>1.0735378</v>
      </c>
      <c r="J406" s="2" t="inlineStr">
        <is>
          <t>止盈</t>
        </is>
      </c>
      <c r="K406" s="5">
        <f>(H406-D406)*24</f>
        <v/>
      </c>
      <c r="L406" s="4">
        <f>IF(C406="做多",I406/E406-1,1-I406/E406)-2*參數!$B$7</f>
        <v/>
      </c>
      <c r="M406" s="2" t="inlineStr">
        <is>
          <t>同1h觸發；5分K判定先止盈</t>
        </is>
      </c>
      <c r="N406" s="4" t="n">
        <v>-0.02104322751275944</v>
      </c>
      <c r="O406" s="4" t="n">
        <v>0.04207266992085704</v>
      </c>
      <c r="P406" s="4" t="n">
        <v>-0.02491500142288361</v>
      </c>
      <c r="Q406" s="22" t="n">
        <v>-326660</v>
      </c>
      <c r="R406" s="22" t="n">
        <v>2899154.85768</v>
      </c>
      <c r="S406" s="4" t="n">
        <v>0.03</v>
      </c>
      <c r="T406" s="4" t="n">
        <v>0</v>
      </c>
      <c r="U406" s="19" t="n">
        <v>1.359421927389442</v>
      </c>
      <c r="V406" s="19" t="n">
        <v>0.7160556257901378</v>
      </c>
      <c r="W406" s="4" t="n">
        <v>0.01729234802345436</v>
      </c>
      <c r="X406" s="4" t="n">
        <v>0.04312565924849987</v>
      </c>
      <c r="Y406" s="4" t="n">
        <v>0.0002822489690392782</v>
      </c>
      <c r="Z406" s="4" t="n">
        <v>-0.0009673898975077755</v>
      </c>
      <c r="AA406" s="4" t="n">
        <v>0.03</v>
      </c>
      <c r="AB406" s="4" t="n">
        <v>0.05</v>
      </c>
      <c r="AC406" s="4">
        <f>(AB406+2*參數!$B$7)/(AA406+AB406)</f>
        <v/>
      </c>
    </row>
    <row r="407">
      <c r="A407" s="2" t="n">
        <v>406</v>
      </c>
      <c r="B407" s="2" t="inlineStr">
        <is>
          <t>KITE_USDT_PERP</t>
        </is>
      </c>
      <c r="C407" s="2" t="inlineStr">
        <is>
          <t>做空</t>
        </is>
      </c>
      <c r="D407" s="7" t="n">
        <v>46288.625</v>
      </c>
      <c r="E407" s="20" t="n">
        <v>0.13436</v>
      </c>
      <c r="F407" s="20" t="n">
        <v>0.1303292</v>
      </c>
      <c r="G407" s="20" t="n">
        <v>0.141078</v>
      </c>
      <c r="H407" s="7" t="n">
        <v>46289.16666666666</v>
      </c>
      <c r="I407" s="20" t="n">
        <v>0.1303292</v>
      </c>
      <c r="J407" s="2" t="inlineStr">
        <is>
          <t>止盈</t>
        </is>
      </c>
      <c r="K407" s="5">
        <f>(H407-D407)*24</f>
        <v/>
      </c>
      <c r="L407" s="4">
        <f>IF(C407="做多",I407/E407-1,1-I407/E407)-2*參數!$B$7</f>
        <v/>
      </c>
      <c r="M407" s="2" t="inlineStr"/>
      <c r="N407" s="4" t="n">
        <v>-0.02041411490230383</v>
      </c>
      <c r="O407" s="4" t="n">
        <v>0.02175589151302483</v>
      </c>
      <c r="P407" s="4" t="n">
        <v>-0.02168372919366801</v>
      </c>
      <c r="Q407" s="22" t="n">
        <v>-1223875</v>
      </c>
      <c r="R407" s="22" t="n">
        <v>2647436.73668</v>
      </c>
      <c r="S407" s="4" t="n">
        <v>0.03</v>
      </c>
      <c r="T407" s="4" t="n">
        <v>0.03274784161952948</v>
      </c>
      <c r="U407" s="19" t="n">
        <v>0.6855387431135106</v>
      </c>
      <c r="V407" s="19" t="n">
        <v>0.9549071618037126</v>
      </c>
      <c r="W407" s="4" t="n">
        <v>-0.1099499795539878</v>
      </c>
      <c r="X407" s="4" t="n">
        <v>-0.06957490845406777</v>
      </c>
      <c r="Y407" s="4" t="n">
        <v>0.0002822489690392782</v>
      </c>
      <c r="Z407" s="4" t="n">
        <v>-0.0009673898975077755</v>
      </c>
      <c r="AA407" s="4" t="n">
        <v>0.03</v>
      </c>
      <c r="AB407" s="4" t="n">
        <v>0.05</v>
      </c>
      <c r="AC407" s="4">
        <f>(AB407+2*參數!$B$7)/(AA407+AB407)</f>
        <v/>
      </c>
    </row>
    <row r="408">
      <c r="A408" s="2" t="n">
        <v>407</v>
      </c>
      <c r="B408" s="2" t="inlineStr">
        <is>
          <t>MARSCOIN_USDT_PERP</t>
        </is>
      </c>
      <c r="C408" s="2" t="inlineStr">
        <is>
          <t>做空</t>
        </is>
      </c>
      <c r="D408" s="7" t="n">
        <v>46288.70833333334</v>
      </c>
      <c r="E408" s="20" t="n">
        <v>0.12836</v>
      </c>
      <c r="F408" s="20" t="n">
        <v>0.1245092</v>
      </c>
      <c r="G408" s="20" t="n">
        <v>0.134778</v>
      </c>
      <c r="H408" s="7" t="n">
        <v>46288.91666666666</v>
      </c>
      <c r="I408" s="20" t="n">
        <v>0.1245092</v>
      </c>
      <c r="J408" s="2" t="inlineStr">
        <is>
          <t>止盈</t>
        </is>
      </c>
      <c r="K408" s="5">
        <f>(H408-D408)*24</f>
        <v/>
      </c>
      <c r="L408" s="4">
        <f>IF(C408="做多",I408/E408-1,1-I408/E408)-2*參數!$B$7</f>
        <v/>
      </c>
      <c r="M408" s="2" t="inlineStr"/>
      <c r="N408" s="4" t="n">
        <v>-0.02558263113945203</v>
      </c>
      <c r="O408" s="4" t="n">
        <v>0.05158529567201749</v>
      </c>
      <c r="P408" s="4" t="n">
        <v>-0.0351411282745141</v>
      </c>
      <c r="Q408" s="22" t="n">
        <v>-880904</v>
      </c>
      <c r="R408" s="22" t="n">
        <v>3937928.61327</v>
      </c>
      <c r="S408" s="4" t="n">
        <v>0.03</v>
      </c>
      <c r="T408" s="4" t="n">
        <v>0.04043315674665005</v>
      </c>
      <c r="U408" s="19" t="n">
        <v>0.9446475423124127</v>
      </c>
      <c r="V408" s="19" t="n">
        <v>0.8413547237076646</v>
      </c>
      <c r="W408" s="4" t="n">
        <v>-0.192502359735115</v>
      </c>
      <c r="X408" s="4" t="n">
        <v>-0.07693598456246331</v>
      </c>
      <c r="Y408" s="4" t="n">
        <v>0.002578397212543604</v>
      </c>
      <c r="Z408" s="4" t="n">
        <v>0.005377318577026502</v>
      </c>
      <c r="AA408" s="4" t="n">
        <v>0.03</v>
      </c>
      <c r="AB408" s="4" t="n">
        <v>0.05</v>
      </c>
      <c r="AC408" s="4">
        <f>(AB408+2*參數!$B$7)/(AA408+AB408)</f>
        <v/>
      </c>
    </row>
    <row r="409">
      <c r="A409" s="2" t="n">
        <v>408</v>
      </c>
      <c r="B409" s="2" t="inlineStr">
        <is>
          <t>NEAR_USDT_PERP</t>
        </is>
      </c>
      <c r="C409" s="2" t="inlineStr">
        <is>
          <t>做多</t>
        </is>
      </c>
      <c r="D409" s="7" t="n">
        <v>46288.70833333334</v>
      </c>
      <c r="E409" s="20" t="n">
        <v>4.543</v>
      </c>
      <c r="F409" s="20" t="n">
        <v>4.67929</v>
      </c>
      <c r="G409" s="20" t="n">
        <v>4.31585</v>
      </c>
      <c r="H409" s="7" t="n">
        <v>46288.79166666666</v>
      </c>
      <c r="I409" s="20" t="n">
        <v>4.67929</v>
      </c>
      <c r="J409" s="2" t="inlineStr">
        <is>
          <t>止盈</t>
        </is>
      </c>
      <c r="K409" s="5">
        <f>(H409-D409)*24</f>
        <v/>
      </c>
      <c r="L409" s="4">
        <f>IF(C409="做多",I409/E409-1,1-I409/E409)-2*參數!$B$7</f>
        <v/>
      </c>
      <c r="M409" s="2" t="inlineStr"/>
      <c r="N409" s="4" t="n">
        <v>0.03109396277803</v>
      </c>
      <c r="O409" s="4" t="n">
        <v>0.02682101773279537</v>
      </c>
      <c r="P409" s="4" t="n">
        <v>0.03375695447874105</v>
      </c>
      <c r="Q409" s="22" t="n">
        <v>139406</v>
      </c>
      <c r="R409" s="22" t="n">
        <v>17396836.948</v>
      </c>
      <c r="S409" s="4" t="n">
        <v>0.03</v>
      </c>
      <c r="T409" s="4" t="n">
        <v>0.001540832049306773</v>
      </c>
      <c r="U409" s="19" t="n">
        <v>2.196471674936539</v>
      </c>
      <c r="V409" s="19" t="n">
        <v>0.772321428571428</v>
      </c>
      <c r="W409" s="4" t="n">
        <v>0.120422618577855</v>
      </c>
      <c r="X409" s="4" t="n">
        <v>-0.001977152899824142</v>
      </c>
      <c r="Y409" s="4" t="n">
        <v>-0.002578397212543604</v>
      </c>
      <c r="Z409" s="4" t="n">
        <v>-0.005377318577026502</v>
      </c>
      <c r="AA409" s="4" t="n">
        <v>0.03</v>
      </c>
      <c r="AB409" s="4" t="n">
        <v>0.05</v>
      </c>
      <c r="AC409" s="4">
        <f>(AB409+2*參數!$B$7)/(AA409+AB409)</f>
        <v/>
      </c>
    </row>
    <row r="410">
      <c r="A410" s="2" t="n">
        <v>409</v>
      </c>
      <c r="B410" s="2" t="inlineStr">
        <is>
          <t>PONS_USDT_PERP</t>
        </is>
      </c>
      <c r="C410" s="2" t="inlineStr">
        <is>
          <t>做多</t>
        </is>
      </c>
      <c r="D410" s="7" t="n">
        <v>46288.79166666666</v>
      </c>
      <c r="E410" s="20" t="n">
        <v>0.7004</v>
      </c>
      <c r="F410" s="20" t="n">
        <v>0.7214120000000001</v>
      </c>
      <c r="G410" s="20" t="n">
        <v>0.66538</v>
      </c>
      <c r="H410" s="7" t="n">
        <v>46288.95833333334</v>
      </c>
      <c r="I410" s="20" t="n">
        <v>0.66538</v>
      </c>
      <c r="J410" s="2" t="inlineStr">
        <is>
          <t>止損</t>
        </is>
      </c>
      <c r="K410" s="5">
        <f>(H410-D410)*24</f>
        <v/>
      </c>
      <c r="L410" s="4">
        <f>IF(C410="做多",I410/E410-1,1-I410/E410)-2*參數!$B$7</f>
        <v/>
      </c>
      <c r="M410" s="2" t="inlineStr"/>
      <c r="N410" s="4" t="n">
        <v>0.03655468403137485</v>
      </c>
      <c r="O410" s="4" t="n">
        <v>0.03196055771482127</v>
      </c>
      <c r="P410" s="4" t="n">
        <v>0.02066392702048891</v>
      </c>
      <c r="Q410" s="22" t="n">
        <v>2038333</v>
      </c>
      <c r="R410" s="22" t="n">
        <v>4320729.2681</v>
      </c>
      <c r="S410" s="4" t="n">
        <v>0.01442033123929187</v>
      </c>
      <c r="T410" s="4" t="n">
        <v>0.05</v>
      </c>
      <c r="U410" s="19" t="n">
        <v>0.7680631075264338</v>
      </c>
      <c r="V410" s="19" t="n">
        <v>0.86984126984127</v>
      </c>
      <c r="W410" s="4" t="n">
        <v>0.1303009079201753</v>
      </c>
      <c r="X410" s="4" t="n">
        <v>0.1043834752444024</v>
      </c>
      <c r="Y410" s="4" t="n">
        <v>0.000699144247441108</v>
      </c>
      <c r="Z410" s="4" t="n">
        <v>-0.004888986093750214</v>
      </c>
      <c r="AA410" s="4" t="n">
        <v>0.03</v>
      </c>
      <c r="AB410" s="4" t="n">
        <v>0.05</v>
      </c>
      <c r="AC410" s="4">
        <f>(AB410+2*參數!$B$7)/(AA410+AB410)</f>
        <v/>
      </c>
    </row>
    <row r="411">
      <c r="A411" s="2" t="n">
        <v>410</v>
      </c>
      <c r="B411" s="2" t="inlineStr">
        <is>
          <t>LSK_USDT_PERP</t>
        </is>
      </c>
      <c r="C411" s="2" t="inlineStr">
        <is>
          <t>做空</t>
        </is>
      </c>
      <c r="D411" s="7" t="n">
        <v>46288.83333333334</v>
      </c>
      <c r="E411" s="20" t="n">
        <v>0.3145</v>
      </c>
      <c r="F411" s="20" t="n">
        <v>0.305065</v>
      </c>
      <c r="G411" s="20" t="n">
        <v>0.330225</v>
      </c>
      <c r="H411" s="7" t="n">
        <v>46288.95833333334</v>
      </c>
      <c r="I411" s="20" t="n">
        <v>0.305065</v>
      </c>
      <c r="J411" s="2" t="inlineStr">
        <is>
          <t>止盈</t>
        </is>
      </c>
      <c r="K411" s="5">
        <f>(H411-D411)*24</f>
        <v/>
      </c>
      <c r="L411" s="4">
        <f>IF(C411="做多",I411/E411-1,1-I411/E411)-2*參數!$B$7</f>
        <v/>
      </c>
      <c r="M411" s="2" t="inlineStr"/>
      <c r="N411" s="4" t="n">
        <v>-0.03379416282642089</v>
      </c>
      <c r="O411" s="4" t="n">
        <v>0.02763092034993518</v>
      </c>
      <c r="P411" s="4" t="n">
        <v>-0.007338436045135399</v>
      </c>
      <c r="Q411" s="22" t="n">
        <v>-2137486</v>
      </c>
      <c r="R411" s="22" t="n">
        <v>1849637.9122</v>
      </c>
      <c r="S411" s="4" t="n">
        <v>0.03</v>
      </c>
      <c r="T411" s="4" t="n">
        <v>0.01971383147853722</v>
      </c>
      <c r="U411" s="19" t="n">
        <v>0.8517419368319359</v>
      </c>
      <c r="V411" s="19" t="n">
        <v>0.7654320987654313</v>
      </c>
      <c r="W411" s="4" t="n">
        <v>0.1452248099518119</v>
      </c>
      <c r="X411" s="4" t="n">
        <v>0.06648857227663985</v>
      </c>
      <c r="Y411" s="4" t="n">
        <v>0.002985589059981808</v>
      </c>
      <c r="Z411" s="4" t="n">
        <v>0.007431788235390924</v>
      </c>
      <c r="AA411" s="4" t="n">
        <v>0.03</v>
      </c>
      <c r="AB411" s="4" t="n">
        <v>0.05</v>
      </c>
      <c r="AC411" s="4">
        <f>(AB411+2*參數!$B$7)/(AA411+AB411)</f>
        <v/>
      </c>
    </row>
    <row r="412">
      <c r="A412" s="2" t="n">
        <v>411</v>
      </c>
      <c r="B412" s="2" t="inlineStr">
        <is>
          <t>PEPE_USDT_PERP</t>
        </is>
      </c>
      <c r="C412" s="2" t="inlineStr">
        <is>
          <t>做空</t>
        </is>
      </c>
      <c r="D412" s="7" t="n">
        <v>46288.83333333334</v>
      </c>
      <c r="E412" s="20" t="n">
        <v>4.7347e-06</v>
      </c>
      <c r="F412" s="20" t="n">
        <v>4.592659e-06</v>
      </c>
      <c r="G412" s="20" t="n">
        <v>4.971435e-06</v>
      </c>
      <c r="H412" s="7" t="n">
        <v>46288.95833333334</v>
      </c>
      <c r="I412" s="20" t="n">
        <v>4.592659e-06</v>
      </c>
      <c r="J412" s="2" t="inlineStr">
        <is>
          <t>止盈</t>
        </is>
      </c>
      <c r="K412" s="5">
        <f>(H412-D412)*24</f>
        <v/>
      </c>
      <c r="L412" s="4">
        <f>IF(C412="做多",I412/E412-1,1-I412/E412)-2*參數!$B$7</f>
        <v/>
      </c>
      <c r="M412" s="2" t="inlineStr"/>
      <c r="N412" s="4" t="n">
        <v>-0.02232179730734285</v>
      </c>
      <c r="O412" s="4" t="n">
        <v>0.02304117947423719</v>
      </c>
      <c r="P412" s="4" t="n">
        <v>-0.03566925942446064</v>
      </c>
      <c r="Q412" s="22" t="n">
        <v>-26884590962</v>
      </c>
      <c r="R412" s="22" t="n">
        <v>4727222.683181318</v>
      </c>
      <c r="S412" s="4" t="n">
        <v>0.03</v>
      </c>
      <c r="T412" s="4" t="n">
        <v>0.01172196760090416</v>
      </c>
      <c r="U412" s="19" t="n">
        <v>2.322852029374475</v>
      </c>
      <c r="V412" s="19" t="n">
        <v>0.5818181818181845</v>
      </c>
      <c r="W412" s="4" t="n">
        <v>-0.06508833144859616</v>
      </c>
      <c r="X412" s="4" t="n">
        <v>0.04000405515004068</v>
      </c>
      <c r="Y412" s="4" t="n">
        <v>0.002985589059981808</v>
      </c>
      <c r="Z412" s="4" t="n">
        <v>0.007431788235390924</v>
      </c>
      <c r="AA412" s="4" t="n">
        <v>0.03</v>
      </c>
      <c r="AB412" s="4" t="n">
        <v>0.05</v>
      </c>
      <c r="AC412" s="4">
        <f>(AB412+2*參數!$B$7)/(AA412+AB412)</f>
        <v/>
      </c>
    </row>
    <row r="413">
      <c r="A413" s="2" t="n">
        <v>412</v>
      </c>
      <c r="B413" s="2" t="inlineStr">
        <is>
          <t>PUMP_USDT_PERP</t>
        </is>
      </c>
      <c r="C413" s="2" t="inlineStr">
        <is>
          <t>做空</t>
        </is>
      </c>
      <c r="D413" s="7" t="n">
        <v>46288.83333333334</v>
      </c>
      <c r="E413" s="20" t="n">
        <v>0.004206</v>
      </c>
      <c r="F413" s="20" t="n">
        <v>0.00407982</v>
      </c>
      <c r="G413" s="20" t="n">
        <v>0.0044163</v>
      </c>
      <c r="H413" s="7" t="n">
        <v>46288.95833333334</v>
      </c>
      <c r="I413" s="20" t="n">
        <v>0.00407982</v>
      </c>
      <c r="J413" s="2" t="inlineStr">
        <is>
          <t>止盈</t>
        </is>
      </c>
      <c r="K413" s="5">
        <f>(H413-D413)*24</f>
        <v/>
      </c>
      <c r="L413" s="4">
        <f>IF(C413="做多",I413/E413-1,1-I413/E413)-2*參數!$B$7</f>
        <v/>
      </c>
      <c r="M413" s="2" t="inlineStr"/>
      <c r="N413" s="4" t="n">
        <v>-0.02231520223152039</v>
      </c>
      <c r="O413" s="4" t="n">
        <v>0.0215158886811023</v>
      </c>
      <c r="P413" s="4" t="n">
        <v>-0.04647472228519622</v>
      </c>
      <c r="Q413" s="22" t="n">
        <v>-245089824</v>
      </c>
      <c r="R413" s="22" t="n">
        <v>3779519.135224</v>
      </c>
      <c r="S413" s="4" t="n">
        <v>0.03</v>
      </c>
      <c r="T413" s="4" t="n">
        <v>0.004755111745126106</v>
      </c>
      <c r="U413" s="19" t="n">
        <v>1.655926985730141</v>
      </c>
      <c r="V413" s="19" t="n">
        <v>0.8717948717948769</v>
      </c>
      <c r="W413" s="4" t="n">
        <v>0.02122539973610771</v>
      </c>
      <c r="X413" s="4" t="n">
        <v>0.09059459459459462</v>
      </c>
      <c r="Y413" s="4" t="n">
        <v>0.002985589059981808</v>
      </c>
      <c r="Z413" s="4" t="n">
        <v>0.007431788235390924</v>
      </c>
      <c r="AA413" s="4" t="n">
        <v>0.03</v>
      </c>
      <c r="AB413" s="4" t="n">
        <v>0.05</v>
      </c>
      <c r="AC413" s="4">
        <f>(AB413+2*參數!$B$7)/(AA413+AB413)</f>
        <v/>
      </c>
    </row>
    <row r="414">
      <c r="A414" s="2" t="n">
        <v>413</v>
      </c>
      <c r="B414" s="2" t="inlineStr">
        <is>
          <t>BCH_USDT_PERP</t>
        </is>
      </c>
      <c r="C414" s="2" t="inlineStr">
        <is>
          <t>做多</t>
        </is>
      </c>
      <c r="D414" s="7" t="n">
        <v>46288.875</v>
      </c>
      <c r="E414" s="20" t="n">
        <v>358.92</v>
      </c>
      <c r="F414" s="20" t="n">
        <v>369.6876</v>
      </c>
      <c r="G414" s="20" t="n">
        <v>340.974</v>
      </c>
      <c r="H414" s="7" t="n">
        <v>46288.95833333334</v>
      </c>
      <c r="I414" s="20" t="n">
        <v>340.974</v>
      </c>
      <c r="J414" s="2" t="inlineStr">
        <is>
          <t>止損</t>
        </is>
      </c>
      <c r="K414" s="5">
        <f>(H414-D414)*24</f>
        <v/>
      </c>
      <c r="L414" s="4">
        <f>IF(C414="做多",I414/E414-1,1-I414/E414)-2*參數!$B$7</f>
        <v/>
      </c>
      <c r="M414" s="2" t="inlineStr"/>
      <c r="N414" s="4" t="n">
        <v>0.03322010478438608</v>
      </c>
      <c r="O414" s="4" t="n">
        <v>0.03186018821752078</v>
      </c>
      <c r="P414" s="4" t="n">
        <v>0.04060571532945123</v>
      </c>
      <c r="Q414" s="22" t="n">
        <v>974.648000000001</v>
      </c>
      <c r="R414" s="22" t="n">
        <v>6298687.118910001</v>
      </c>
      <c r="S414" s="4" t="n">
        <v>0.003621977042237878</v>
      </c>
      <c r="T414" s="4" t="n">
        <v>0.05</v>
      </c>
      <c r="U414" s="19" t="n">
        <v>1.23125554612034</v>
      </c>
      <c r="V414" s="19" t="n">
        <v>0.9585661080074495</v>
      </c>
      <c r="W414" s="4" t="n">
        <v>0.2932613990009763</v>
      </c>
      <c r="X414" s="4" t="n">
        <v>0.1593397719564587</v>
      </c>
      <c r="Y414" s="4" t="n">
        <v>-0.001842967060175615</v>
      </c>
      <c r="Z414" s="4" t="n">
        <v>-0.008736491910732003</v>
      </c>
      <c r="AA414" s="4" t="n">
        <v>0.03</v>
      </c>
      <c r="AB414" s="4" t="n">
        <v>0.05</v>
      </c>
      <c r="AC414" s="4">
        <f>(AB414+2*參數!$B$7)/(AA414+AB414)</f>
        <v/>
      </c>
    </row>
    <row r="415">
      <c r="A415" s="2" t="n">
        <v>414</v>
      </c>
      <c r="B415" s="2" t="inlineStr">
        <is>
          <t>NIL_USDT_PERP</t>
        </is>
      </c>
      <c r="C415" s="2" t="inlineStr">
        <is>
          <t>做空</t>
        </is>
      </c>
      <c r="D415" s="7" t="n">
        <v>46288.91666666666</v>
      </c>
      <c r="E415" s="20" t="n">
        <v>0.0902</v>
      </c>
      <c r="F415" s="20" t="n">
        <v>0.087494</v>
      </c>
      <c r="G415" s="20" t="n">
        <v>0.09471</v>
      </c>
      <c r="H415" s="7" t="n">
        <v>46288.95833333334</v>
      </c>
      <c r="I415" s="20" t="n">
        <v>0.087494</v>
      </c>
      <c r="J415" s="2" t="inlineStr">
        <is>
          <t>止盈</t>
        </is>
      </c>
      <c r="K415" s="5">
        <f>(H415-D415)*24</f>
        <v/>
      </c>
      <c r="L415" s="4">
        <f>IF(C415="做多",I415/E415-1,1-I415/E415)-2*參數!$B$7</f>
        <v/>
      </c>
      <c r="M415" s="2" t="inlineStr"/>
      <c r="N415" s="4" t="n">
        <v>-0.03837953091684432</v>
      </c>
      <c r="O415" s="4" t="n">
        <v>0.07064332360489838</v>
      </c>
      <c r="P415" s="4" t="n">
        <v>-0.01867989599312414</v>
      </c>
      <c r="Q415" s="22" t="n">
        <v>-1979391.399999999</v>
      </c>
      <c r="R415" s="22" t="n">
        <v>2416924.322484</v>
      </c>
      <c r="S415" s="4" t="n">
        <v>0.03</v>
      </c>
      <c r="T415" s="4" t="n">
        <v>0</v>
      </c>
      <c r="U415" s="19" t="n">
        <v>0.5184398809524856</v>
      </c>
      <c r="V415" s="19" t="n">
        <v>0.6928327645051195</v>
      </c>
      <c r="W415" s="4" t="n">
        <v>-0.3327501935590635</v>
      </c>
      <c r="X415" s="4" t="n">
        <v>-0.0905573691210253</v>
      </c>
      <c r="Y415" s="4" t="n">
        <v>-0.003393201895512732</v>
      </c>
      <c r="Z415" s="4" t="n">
        <v>0.004927612849714214</v>
      </c>
      <c r="AA415" s="4" t="n">
        <v>0.03</v>
      </c>
      <c r="AB415" s="4" t="n">
        <v>0.05</v>
      </c>
      <c r="AC415" s="4">
        <f>(AB415+2*參數!$B$7)/(AA415+AB415)</f>
        <v/>
      </c>
    </row>
    <row r="416">
      <c r="A416" s="2" t="n">
        <v>415</v>
      </c>
      <c r="B416" s="2" t="inlineStr">
        <is>
          <t>ZAMA_USDT_PERP</t>
        </is>
      </c>
      <c r="C416" s="2" t="inlineStr">
        <is>
          <t>做空</t>
        </is>
      </c>
      <c r="D416" s="7" t="n">
        <v>46288.91666666666</v>
      </c>
      <c r="E416" s="20" t="n">
        <v>0.09616</v>
      </c>
      <c r="F416" s="20" t="n">
        <v>0.09327519999999999</v>
      </c>
      <c r="G416" s="20" t="n">
        <v>0.100968</v>
      </c>
      <c r="H416" s="7" t="n">
        <v>46288.95833333334</v>
      </c>
      <c r="I416" s="20" t="n">
        <v>0.09327519999999999</v>
      </c>
      <c r="J416" s="2" t="inlineStr">
        <is>
          <t>止盈</t>
        </is>
      </c>
      <c r="K416" s="5">
        <f>(H416-D416)*24</f>
        <v/>
      </c>
      <c r="L416" s="4">
        <f>IF(C416="做多",I416/E416-1,1-I416/E416)-2*參數!$B$7</f>
        <v/>
      </c>
      <c r="M416" s="2" t="inlineStr"/>
      <c r="N416" s="4" t="n">
        <v>-0.0304496874369834</v>
      </c>
      <c r="O416" s="4" t="n">
        <v>0.03958943754447151</v>
      </c>
      <c r="P416" s="4" t="n">
        <v>-0.01215797664969931</v>
      </c>
      <c r="Q416" s="22" t="n">
        <v>-1056509</v>
      </c>
      <c r="R416" s="22" t="n">
        <v>1334522.0799</v>
      </c>
      <c r="S416" s="4" t="n">
        <v>0.03</v>
      </c>
      <c r="T416" s="4" t="n">
        <v>0</v>
      </c>
      <c r="U416" s="19" t="n">
        <v>1.733454547470302</v>
      </c>
      <c r="V416" s="19" t="n">
        <v>0.8881431767337807</v>
      </c>
      <c r="W416" s="4" t="n">
        <v>-0.05583658249766388</v>
      </c>
      <c r="X416" s="4" t="n">
        <v>-0.05589107280114192</v>
      </c>
      <c r="Y416" s="4" t="n">
        <v>-0.003393201895512732</v>
      </c>
      <c r="Z416" s="4" t="n">
        <v>0.004927612849714214</v>
      </c>
      <c r="AA416" s="4" t="n">
        <v>0.03</v>
      </c>
      <c r="AB416" s="4" t="n">
        <v>0.05</v>
      </c>
      <c r="AC416" s="4">
        <f>(AB416+2*參數!$B$7)/(AA416+AB416)</f>
        <v/>
      </c>
    </row>
    <row r="417">
      <c r="A417" s="2" t="n">
        <v>416</v>
      </c>
      <c r="B417" s="2" t="inlineStr">
        <is>
          <t>ADA_USDT_PERP</t>
        </is>
      </c>
      <c r="C417" s="2" t="inlineStr">
        <is>
          <t>做空</t>
        </is>
      </c>
      <c r="D417" s="7" t="n">
        <v>46288.95833333334</v>
      </c>
      <c r="E417" s="20" t="n">
        <v>0.24</v>
      </c>
      <c r="F417" s="20" t="n">
        <v>0.2328</v>
      </c>
      <c r="G417" s="20" t="n">
        <v>0.252</v>
      </c>
      <c r="H417" s="7" t="n">
        <v>46290.41666666666</v>
      </c>
      <c r="I417" s="20" t="n">
        <v>0.252</v>
      </c>
      <c r="J417" s="2" t="inlineStr">
        <is>
          <t>止損</t>
        </is>
      </c>
      <c r="K417" s="5">
        <f>(H417-D417)*24</f>
        <v/>
      </c>
      <c r="L417" s="4">
        <f>IF(C417="做多",I417/E417-1,1-I417/E417)-2*參數!$B$7</f>
        <v/>
      </c>
      <c r="M417" s="2" t="inlineStr"/>
      <c r="N417" s="4" t="n">
        <v>-0.03420523138832998</v>
      </c>
      <c r="O417" s="4" t="n">
        <v>0.02020642656200471</v>
      </c>
      <c r="P417" s="4" t="n">
        <v>-0.05278737049827342</v>
      </c>
      <c r="Q417" s="22" t="n">
        <v>-18346460</v>
      </c>
      <c r="R417" s="22" t="n">
        <v>27834831.4495</v>
      </c>
      <c r="S417" s="4" t="n">
        <v>0.02999999999999992</v>
      </c>
      <c r="T417" s="4" t="n">
        <v>0.05</v>
      </c>
      <c r="U417" s="19" t="n">
        <v>3.518571749670129</v>
      </c>
      <c r="V417" s="19" t="n">
        <v>0.7000000000000011</v>
      </c>
      <c r="W417" s="4" t="n">
        <v>-0.005808544343584243</v>
      </c>
      <c r="X417" s="4" t="n">
        <v>0.04268049461507772</v>
      </c>
      <c r="Y417" s="4" t="n">
        <v>0.01483761879773771</v>
      </c>
      <c r="Z417" s="4" t="n">
        <v>0.01859859890907245</v>
      </c>
      <c r="AA417" s="4" t="n">
        <v>0.03</v>
      </c>
      <c r="AB417" s="4" t="n">
        <v>0.05</v>
      </c>
      <c r="AC417" s="4">
        <f>(AB417+2*參數!$B$7)/(AA417+AB417)</f>
        <v/>
      </c>
    </row>
    <row r="418">
      <c r="A418" s="2" t="n">
        <v>417</v>
      </c>
      <c r="B418" s="2" t="inlineStr">
        <is>
          <t>AKE_USDT_PERP</t>
        </is>
      </c>
      <c r="C418" s="2" t="inlineStr">
        <is>
          <t>做空</t>
        </is>
      </c>
      <c r="D418" s="7" t="n">
        <v>46288.95833333334</v>
      </c>
      <c r="E418" s="20" t="n">
        <v>0.0471572</v>
      </c>
      <c r="F418" s="20" t="n">
        <v>0.045742484</v>
      </c>
      <c r="G418" s="20" t="n">
        <v>0.04951506000000001</v>
      </c>
      <c r="H418" s="7" t="n">
        <v>46289.04166666666</v>
      </c>
      <c r="I418" s="20" t="n">
        <v>0.045742484</v>
      </c>
      <c r="J418" s="2" t="inlineStr">
        <is>
          <t>止盈</t>
        </is>
      </c>
      <c r="K418" s="5">
        <f>(H418-D418)*24</f>
        <v/>
      </c>
      <c r="L418" s="4">
        <f>IF(C418="做多",I418/E418-1,1-I418/E418)-2*參數!$B$7</f>
        <v/>
      </c>
      <c r="M418" s="2" t="inlineStr"/>
      <c r="N418" s="4" t="n">
        <v>-0.06899628839927341</v>
      </c>
      <c r="O418" s="4" t="n">
        <v>0.08244794674234937</v>
      </c>
      <c r="P418" s="4" t="n">
        <v>-0.02242482475261154</v>
      </c>
      <c r="Q418" s="22" t="n">
        <v>-21275740</v>
      </c>
      <c r="R418" s="22" t="n">
        <v>6047373.6952406</v>
      </c>
      <c r="S418" s="4" t="n">
        <v>0.03</v>
      </c>
      <c r="T418" s="4" t="n">
        <v>0.00422841050783318</v>
      </c>
      <c r="U418" s="19" t="n">
        <v>0.7574674541425677</v>
      </c>
      <c r="V418" s="19" t="n">
        <v>0.8561237430926703</v>
      </c>
      <c r="W418" s="4" t="n">
        <v>0.1432628584014104</v>
      </c>
      <c r="X418" s="4" t="n">
        <v>0.08230371790256197</v>
      </c>
      <c r="Y418" s="4" t="n">
        <v>0.01483761879773771</v>
      </c>
      <c r="Z418" s="4" t="n">
        <v>0.01859859890907245</v>
      </c>
      <c r="AA418" s="4" t="n">
        <v>0.03</v>
      </c>
      <c r="AB418" s="4" t="n">
        <v>0.05</v>
      </c>
      <c r="AC418" s="4">
        <f>(AB418+2*參數!$B$7)/(AA418+AB418)</f>
        <v/>
      </c>
    </row>
    <row r="419">
      <c r="A419" s="2" t="n">
        <v>418</v>
      </c>
      <c r="B419" s="2" t="inlineStr">
        <is>
          <t>AVAX_USDT_PERP</t>
        </is>
      </c>
      <c r="C419" s="2" t="inlineStr">
        <is>
          <t>做空</t>
        </is>
      </c>
      <c r="D419" s="7" t="n">
        <v>46288.95833333334</v>
      </c>
      <c r="E419" s="20" t="n">
        <v>10.444</v>
      </c>
      <c r="F419" s="20" t="n">
        <v>10.13068</v>
      </c>
      <c r="G419" s="20" t="n">
        <v>10.9662</v>
      </c>
      <c r="H419" s="7" t="n">
        <v>46289.04166666666</v>
      </c>
      <c r="I419" s="20" t="n">
        <v>10.13068</v>
      </c>
      <c r="J419" s="2" t="inlineStr">
        <is>
          <t>止盈</t>
        </is>
      </c>
      <c r="K419" s="5">
        <f>(H419-D419)*24</f>
        <v/>
      </c>
      <c r="L419" s="4">
        <f>IF(C419="做多",I419/E419-1,1-I419/E419)-2*參數!$B$7</f>
        <v/>
      </c>
      <c r="M419" s="2" t="inlineStr"/>
      <c r="N419" s="4" t="n">
        <v>-0.02963857660503566</v>
      </c>
      <c r="O419" s="4" t="n">
        <v>0.02233273096238163</v>
      </c>
      <c r="P419" s="4" t="n">
        <v>-0.0563233294329718</v>
      </c>
      <c r="Q419" s="22" t="n">
        <v>-80147.09999999986</v>
      </c>
      <c r="R419" s="22" t="n">
        <v>5307630.4325</v>
      </c>
      <c r="S419" s="4" t="n">
        <v>0.03</v>
      </c>
      <c r="T419" s="4" t="n">
        <v>0.00536193029490617</v>
      </c>
      <c r="U419" s="19" t="n">
        <v>3.3005118815235</v>
      </c>
      <c r="V419" s="19" t="n">
        <v>0.5131761442441043</v>
      </c>
      <c r="W419" s="4" t="n">
        <v>0.02676761793826432</v>
      </c>
      <c r="X419" s="4" t="n">
        <v>0.05295611171563286</v>
      </c>
      <c r="Y419" s="4" t="n">
        <v>0.01483761879773771</v>
      </c>
      <c r="Z419" s="4" t="n">
        <v>0.01859859890907245</v>
      </c>
      <c r="AA419" s="4" t="n">
        <v>0.03</v>
      </c>
      <c r="AB419" s="4" t="n">
        <v>0.05</v>
      </c>
      <c r="AC419" s="4">
        <f>(AB419+2*參數!$B$7)/(AA419+AB419)</f>
        <v/>
      </c>
    </row>
    <row r="420">
      <c r="A420" s="2" t="n">
        <v>419</v>
      </c>
      <c r="B420" s="2" t="inlineStr">
        <is>
          <t>BR_USDT_PERP</t>
        </is>
      </c>
      <c r="C420" s="2" t="inlineStr">
        <is>
          <t>做空</t>
        </is>
      </c>
      <c r="D420" s="7" t="n">
        <v>46288.95833333334</v>
      </c>
      <c r="E420" s="20" t="n">
        <v>1.06596</v>
      </c>
      <c r="F420" s="20" t="n">
        <v>1.0339812</v>
      </c>
      <c r="G420" s="20" t="n">
        <v>1.119258</v>
      </c>
      <c r="H420" s="7" t="n">
        <v>46289</v>
      </c>
      <c r="I420" s="20" t="n">
        <v>1.119258</v>
      </c>
      <c r="J420" s="2" t="inlineStr">
        <is>
          <t>止損</t>
        </is>
      </c>
      <c r="K420" s="5">
        <f>(H420-D420)*24</f>
        <v/>
      </c>
      <c r="L420" s="4">
        <f>IF(C420="做多",I420/E420-1,1-I420/E420)-2*參數!$B$7</f>
        <v/>
      </c>
      <c r="M420" s="2" t="inlineStr"/>
      <c r="N420" s="4" t="n">
        <v>-0.02133676092544978</v>
      </c>
      <c r="O420" s="4" t="n">
        <v>0.05309833856864712</v>
      </c>
      <c r="P420" s="4" t="n">
        <v>-0.05211854120371229</v>
      </c>
      <c r="Q420" s="22" t="n">
        <v>-437390</v>
      </c>
      <c r="R420" s="22" t="n">
        <v>3388916.69355</v>
      </c>
      <c r="S420" s="4" t="n">
        <v>0</v>
      </c>
      <c r="T420" s="4" t="n">
        <v>0.05</v>
      </c>
      <c r="U420" s="19" t="n">
        <v>1.108488653211939</v>
      </c>
      <c r="V420" s="19" t="n">
        <v>0.499540441176471</v>
      </c>
      <c r="W420" s="4" t="n">
        <v>0.06529312797187226</v>
      </c>
      <c r="X420" s="4" t="n">
        <v>0.01590671996602633</v>
      </c>
      <c r="Y420" s="4" t="n">
        <v>0.01483761879773771</v>
      </c>
      <c r="Z420" s="4" t="n">
        <v>0.01859859890907245</v>
      </c>
      <c r="AA420" s="4" t="n">
        <v>0.03</v>
      </c>
      <c r="AB420" s="4" t="n">
        <v>0.05</v>
      </c>
      <c r="AC420" s="4">
        <f>(AB420+2*參數!$B$7)/(AA420+AB420)</f>
        <v/>
      </c>
    </row>
    <row r="421">
      <c r="A421" s="2" t="n">
        <v>420</v>
      </c>
      <c r="B421" s="2" t="inlineStr">
        <is>
          <t>DOGE_USDT_PERP</t>
        </is>
      </c>
      <c r="C421" s="2" t="inlineStr">
        <is>
          <t>做空</t>
        </is>
      </c>
      <c r="D421" s="7" t="n">
        <v>46288.95833333334</v>
      </c>
      <c r="E421" s="20" t="n">
        <v>0.09482</v>
      </c>
      <c r="F421" s="20" t="n">
        <v>0.0919754</v>
      </c>
      <c r="G421" s="20" t="n">
        <v>0.09956100000000001</v>
      </c>
      <c r="H421" s="7" t="n">
        <v>46289.04166666666</v>
      </c>
      <c r="I421" s="20" t="n">
        <v>0.0919754</v>
      </c>
      <c r="J421" s="2" t="inlineStr">
        <is>
          <t>止盈</t>
        </is>
      </c>
      <c r="K421" s="5">
        <f>(H421-D421)*24</f>
        <v/>
      </c>
      <c r="L421" s="4">
        <f>IF(C421="做多",I421/E421-1,1-I421/E421)-2*參數!$B$7</f>
        <v/>
      </c>
      <c r="M421" s="2" t="inlineStr"/>
      <c r="N421" s="4" t="n">
        <v>-0.04598048093369556</v>
      </c>
      <c r="O421" s="4" t="n">
        <v>0.0205932895557131</v>
      </c>
      <c r="P421" s="4" t="n">
        <v>-0.05687401778432044</v>
      </c>
      <c r="Q421" s="22" t="n">
        <v>-15320272</v>
      </c>
      <c r="R421" s="22" t="n">
        <v>7579270.80965</v>
      </c>
      <c r="S421" s="4" t="n">
        <v>0.03</v>
      </c>
      <c r="T421" s="4" t="n">
        <v>0.003796667369753148</v>
      </c>
      <c r="U421" s="19" t="n">
        <v>5.496605481336085</v>
      </c>
      <c r="V421" s="19" t="n">
        <v>0.7415565345080766</v>
      </c>
      <c r="W421" s="4" t="n">
        <v>-0.01179430761662803</v>
      </c>
      <c r="X421" s="4" t="n">
        <v>0.05161032206441285</v>
      </c>
      <c r="Y421" s="4" t="n">
        <v>0.01483761879773771</v>
      </c>
      <c r="Z421" s="4" t="n">
        <v>0.01859859890907245</v>
      </c>
      <c r="AA421" s="4" t="n">
        <v>0.03</v>
      </c>
      <c r="AB421" s="4" t="n">
        <v>0.05</v>
      </c>
      <c r="AC421" s="4">
        <f>(AB421+2*參數!$B$7)/(AA421+AB421)</f>
        <v/>
      </c>
    </row>
    <row r="422">
      <c r="A422" s="2" t="n">
        <v>421</v>
      </c>
      <c r="B422" s="2" t="inlineStr">
        <is>
          <t>LTC_USDT_PERP</t>
        </is>
      </c>
      <c r="C422" s="2" t="inlineStr">
        <is>
          <t>做空</t>
        </is>
      </c>
      <c r="D422" s="7" t="n">
        <v>46288.95833333334</v>
      </c>
      <c r="E422" s="20" t="n">
        <v>60.67</v>
      </c>
      <c r="F422" s="20" t="n">
        <v>58.8499</v>
      </c>
      <c r="G422" s="20" t="n">
        <v>63.70350000000001</v>
      </c>
      <c r="H422" s="7" t="n">
        <v>46289.45833333334</v>
      </c>
      <c r="I422" s="20" t="n">
        <v>63.70350000000001</v>
      </c>
      <c r="J422" s="2" t="inlineStr">
        <is>
          <t>止損</t>
        </is>
      </c>
      <c r="K422" s="5">
        <f>(H422-D422)*24</f>
        <v/>
      </c>
      <c r="L422" s="4">
        <f>IF(C422="做多",I422/E422-1,1-I422/E422)-2*參數!$B$7</f>
        <v/>
      </c>
      <c r="M422" s="2" t="inlineStr"/>
      <c r="N422" s="4" t="n">
        <v>-0.03160415003990413</v>
      </c>
      <c r="O422" s="4" t="n">
        <v>0.02013238125611912</v>
      </c>
      <c r="P422" s="4" t="n">
        <v>-0.03517699818708042</v>
      </c>
      <c r="Q422" s="22" t="n">
        <v>-28791.00500000006</v>
      </c>
      <c r="R422" s="22" t="n">
        <v>17016992.23233</v>
      </c>
      <c r="S422" s="4" t="n">
        <v>0.02867974287127084</v>
      </c>
      <c r="T422" s="4" t="n">
        <v>0.05</v>
      </c>
      <c r="U422" s="19" t="n">
        <v>3.57737360921</v>
      </c>
      <c r="V422" s="19" t="n">
        <v>0.5568720379146914</v>
      </c>
      <c r="W422" s="4" t="n">
        <v>-0.009529546252493803</v>
      </c>
      <c r="X422" s="4" t="n">
        <v>0.01188925081433223</v>
      </c>
      <c r="Y422" s="4" t="n">
        <v>0.01483761879773771</v>
      </c>
      <c r="Z422" s="4" t="n">
        <v>0.01859859890907245</v>
      </c>
      <c r="AA422" s="4" t="n">
        <v>0.03</v>
      </c>
      <c r="AB422" s="4" t="n">
        <v>0.05</v>
      </c>
      <c r="AC422" s="4">
        <f>(AB422+2*參數!$B$7)/(AA422+AB422)</f>
        <v/>
      </c>
    </row>
    <row r="423">
      <c r="A423" s="2" t="n">
        <v>422</v>
      </c>
      <c r="B423" s="2" t="inlineStr">
        <is>
          <t>PENGU_USDT_PERP</t>
        </is>
      </c>
      <c r="C423" s="2" t="inlineStr">
        <is>
          <t>做空</t>
        </is>
      </c>
      <c r="D423" s="7" t="n">
        <v>46288.95833333334</v>
      </c>
      <c r="E423" s="20" t="n">
        <v>0.009868999999999999</v>
      </c>
      <c r="F423" s="20" t="n">
        <v>0.009572929999999999</v>
      </c>
      <c r="G423" s="20" t="n">
        <v>0.01036245</v>
      </c>
      <c r="H423" s="7" t="n">
        <v>46289.04166666666</v>
      </c>
      <c r="I423" s="20" t="n">
        <v>0.009572929999999999</v>
      </c>
      <c r="J423" s="2" t="inlineStr">
        <is>
          <t>止盈</t>
        </is>
      </c>
      <c r="K423" s="5">
        <f>(H423-D423)*24</f>
        <v/>
      </c>
      <c r="L423" s="4">
        <f>IF(C423="做多",I423/E423-1,1-I423/E423)-2*參數!$B$7</f>
        <v/>
      </c>
      <c r="M423" s="2" t="inlineStr"/>
      <c r="N423" s="4" t="n">
        <v>-0.04091350826044715</v>
      </c>
      <c r="O423" s="4" t="n">
        <v>0.03816697542695859</v>
      </c>
      <c r="P423" s="4" t="n">
        <v>-0.04379420598779193</v>
      </c>
      <c r="Q423" s="22" t="n">
        <v>-15538195</v>
      </c>
      <c r="R423" s="22" t="n">
        <v>4556507.339564</v>
      </c>
      <c r="S423" s="4" t="n">
        <v>0.03</v>
      </c>
      <c r="T423" s="4" t="n">
        <v>0.01175397710001036</v>
      </c>
      <c r="U423" s="19" t="n">
        <v>3.33352152753814</v>
      </c>
      <c r="V423" s="19" t="n">
        <v>0.6170921198668151</v>
      </c>
      <c r="W423" s="4" t="n">
        <v>-0.1345256064349178</v>
      </c>
      <c r="X423" s="4" t="n">
        <v>-0.09485245174173507</v>
      </c>
      <c r="Y423" s="4" t="n">
        <v>0.01483761879773771</v>
      </c>
      <c r="Z423" s="4" t="n">
        <v>0.01859859890907245</v>
      </c>
      <c r="AA423" s="4" t="n">
        <v>0.03</v>
      </c>
      <c r="AB423" s="4" t="n">
        <v>0.05</v>
      </c>
      <c r="AC423" s="4">
        <f>(AB423+2*參數!$B$7)/(AA423+AB423)</f>
        <v/>
      </c>
    </row>
    <row r="424">
      <c r="A424" s="2" t="n">
        <v>423</v>
      </c>
      <c r="B424" s="2" t="inlineStr">
        <is>
          <t>PYTH_USDT_PERP</t>
        </is>
      </c>
      <c r="C424" s="2" t="inlineStr">
        <is>
          <t>做空</t>
        </is>
      </c>
      <c r="D424" s="7" t="n">
        <v>46288.95833333334</v>
      </c>
      <c r="E424" s="20" t="n">
        <v>0.06324</v>
      </c>
      <c r="F424" s="20" t="n">
        <v>0.0613428</v>
      </c>
      <c r="G424" s="20" t="n">
        <v>0.066402</v>
      </c>
      <c r="H424" s="7" t="n">
        <v>46289.04166666666</v>
      </c>
      <c r="I424" s="20" t="n">
        <v>0.0613428</v>
      </c>
      <c r="J424" s="2" t="inlineStr">
        <is>
          <t>止盈</t>
        </is>
      </c>
      <c r="K424" s="5">
        <f>(H424-D424)*24</f>
        <v/>
      </c>
      <c r="L424" s="4">
        <f>IF(C424="做多",I424/E424-1,1-I424/E424)-2*參數!$B$7</f>
        <v/>
      </c>
      <c r="M424" s="2" t="inlineStr"/>
      <c r="N424" s="4" t="n">
        <v>-0.04413542926239411</v>
      </c>
      <c r="O424" s="4" t="n">
        <v>0.02794887133352802</v>
      </c>
      <c r="P424" s="4" t="n">
        <v>-0.04756167354438379</v>
      </c>
      <c r="Q424" s="22" t="n">
        <v>-9476393</v>
      </c>
      <c r="R424" s="22" t="n">
        <v>2331480.00762</v>
      </c>
      <c r="S424" s="4" t="n">
        <v>0.03</v>
      </c>
      <c r="T424" s="4" t="n">
        <v>0.01122707147375079</v>
      </c>
      <c r="U424" s="19" t="n">
        <v>4.23953647101361</v>
      </c>
      <c r="V424" s="19" t="n">
        <v>0.6757812499999991</v>
      </c>
      <c r="W424" s="4" t="n">
        <v>-0.007174766481657047</v>
      </c>
      <c r="X424" s="4" t="n">
        <v>0.04167298075465964</v>
      </c>
      <c r="Y424" s="4" t="n">
        <v>0.01483761879773771</v>
      </c>
      <c r="Z424" s="4" t="n">
        <v>0.01859859890907245</v>
      </c>
      <c r="AA424" s="4" t="n">
        <v>0.03</v>
      </c>
      <c r="AB424" s="4" t="n">
        <v>0.05</v>
      </c>
      <c r="AC424" s="4">
        <f>(AB424+2*參數!$B$7)/(AA424+AB424)</f>
        <v/>
      </c>
    </row>
    <row r="425">
      <c r="A425" s="2" t="n">
        <v>424</v>
      </c>
      <c r="B425" s="2" t="inlineStr">
        <is>
          <t>SUI_USDT_PERP</t>
        </is>
      </c>
      <c r="C425" s="2" t="inlineStr">
        <is>
          <t>做空</t>
        </is>
      </c>
      <c r="D425" s="7" t="n">
        <v>46288.95833333334</v>
      </c>
      <c r="E425" s="20" t="n">
        <v>0.9802</v>
      </c>
      <c r="F425" s="20" t="n">
        <v>0.9507939999999999</v>
      </c>
      <c r="G425" s="20" t="n">
        <v>1.02921</v>
      </c>
      <c r="H425" s="7" t="n">
        <v>46289.04166666666</v>
      </c>
      <c r="I425" s="20" t="n">
        <v>0.9507939999999999</v>
      </c>
      <c r="J425" s="2" t="inlineStr">
        <is>
          <t>止盈</t>
        </is>
      </c>
      <c r="K425" s="5">
        <f>(H425-D425)*24</f>
        <v/>
      </c>
      <c r="L425" s="4">
        <f>IF(C425="做多",I425/E425-1,1-I425/E425)-2*參數!$B$7</f>
        <v/>
      </c>
      <c r="M425" s="2" t="inlineStr"/>
      <c r="N425" s="4" t="n">
        <v>-0.02622690244387038</v>
      </c>
      <c r="O425" s="4" t="n">
        <v>0.02100745273937323</v>
      </c>
      <c r="P425" s="4" t="n">
        <v>-0.03503201957107061</v>
      </c>
      <c r="Q425" s="22" t="n">
        <v>-6640704.9</v>
      </c>
      <c r="R425" s="22" t="n">
        <v>13460491.64611</v>
      </c>
      <c r="S425" s="4" t="n">
        <v>0.03</v>
      </c>
      <c r="T425" s="4" t="n">
        <v>0.00714139971434391</v>
      </c>
      <c r="U425" s="19" t="n">
        <v>3.33459341003093</v>
      </c>
      <c r="V425" s="19" t="n">
        <v>0.4785185185185185</v>
      </c>
      <c r="W425" s="4" t="n">
        <v>-0.03142358973711423</v>
      </c>
      <c r="X425" s="4" t="n">
        <v>0.02068138675192321</v>
      </c>
      <c r="Y425" s="4" t="n">
        <v>0.01483761879773771</v>
      </c>
      <c r="Z425" s="4" t="n">
        <v>0.01859859890907245</v>
      </c>
      <c r="AA425" s="4" t="n">
        <v>0.03</v>
      </c>
      <c r="AB425" s="4" t="n">
        <v>0.05</v>
      </c>
      <c r="AC425" s="4">
        <f>(AB425+2*參數!$B$7)/(AA425+AB425)</f>
        <v/>
      </c>
    </row>
    <row r="426">
      <c r="A426" s="2" t="n">
        <v>425</v>
      </c>
      <c r="B426" s="2" t="inlineStr">
        <is>
          <t>TAO_USDT_PERP</t>
        </is>
      </c>
      <c r="C426" s="2" t="inlineStr">
        <is>
          <t>做空</t>
        </is>
      </c>
      <c r="D426" s="7" t="n">
        <v>46288.95833333334</v>
      </c>
      <c r="E426" s="20" t="n">
        <v>302.65</v>
      </c>
      <c r="F426" s="20" t="n">
        <v>293.5705</v>
      </c>
      <c r="G426" s="20" t="n">
        <v>317.7825</v>
      </c>
      <c r="H426" s="7" t="n">
        <v>46289</v>
      </c>
      <c r="I426" s="20" t="n">
        <v>293.5705</v>
      </c>
      <c r="J426" s="2" t="inlineStr">
        <is>
          <t>止盈</t>
        </is>
      </c>
      <c r="K426" s="5">
        <f>(H426-D426)*24</f>
        <v/>
      </c>
      <c r="L426" s="4">
        <f>IF(C426="做多",I426/E426-1,1-I426/E426)-2*參數!$B$7</f>
        <v/>
      </c>
      <c r="M426" s="2" t="inlineStr"/>
      <c r="N426" s="4" t="n">
        <v>-0.02772423541506042</v>
      </c>
      <c r="O426" s="4" t="n">
        <v>0.02423542630629544</v>
      </c>
      <c r="P426" s="4" t="n">
        <v>-0.02715386655309027</v>
      </c>
      <c r="Q426" s="22" t="n">
        <v>-3283.490999999991</v>
      </c>
      <c r="R426" s="22" t="n">
        <v>8616429.93644</v>
      </c>
      <c r="S426" s="4" t="n">
        <v>0.03</v>
      </c>
      <c r="T426" s="4" t="n">
        <v>0</v>
      </c>
      <c r="U426" s="19" t="n">
        <v>3.702491124852876</v>
      </c>
      <c r="V426" s="19" t="n">
        <v>0.6077825818406444</v>
      </c>
      <c r="W426" s="4" t="n">
        <v>-0.05520649308493697</v>
      </c>
      <c r="X426" s="4" t="n">
        <v>0.04599041734964071</v>
      </c>
      <c r="Y426" s="4" t="n">
        <v>0.01483761879773771</v>
      </c>
      <c r="Z426" s="4" t="n">
        <v>0.01859859890907245</v>
      </c>
      <c r="AA426" s="4" t="n">
        <v>0.03</v>
      </c>
      <c r="AB426" s="4" t="n">
        <v>0.05</v>
      </c>
      <c r="AC426" s="4">
        <f>(AB426+2*參數!$B$7)/(AA426+AB426)</f>
        <v/>
      </c>
    </row>
    <row r="427">
      <c r="A427" s="2" t="n">
        <v>426</v>
      </c>
      <c r="B427" s="2" t="inlineStr">
        <is>
          <t>TIA_USDT_PERP</t>
        </is>
      </c>
      <c r="C427" s="2" t="inlineStr">
        <is>
          <t>做空</t>
        </is>
      </c>
      <c r="D427" s="7" t="n">
        <v>46288.95833333334</v>
      </c>
      <c r="E427" s="20" t="n">
        <v>0.4855</v>
      </c>
      <c r="F427" s="20" t="n">
        <v>0.470935</v>
      </c>
      <c r="G427" s="20" t="n">
        <v>0.509775</v>
      </c>
      <c r="H427" s="7" t="n">
        <v>46289</v>
      </c>
      <c r="I427" s="20" t="n">
        <v>0.470935</v>
      </c>
      <c r="J427" s="2" t="inlineStr">
        <is>
          <t>止盈</t>
        </is>
      </c>
      <c r="K427" s="5">
        <f>(H427-D427)*24</f>
        <v/>
      </c>
      <c r="L427" s="4">
        <f>IF(C427="做多",I427/E427-1,1-I427/E427)-2*參數!$B$7</f>
        <v/>
      </c>
      <c r="M427" s="2" t="inlineStr"/>
      <c r="N427" s="4" t="n">
        <v>-0.02861144457783116</v>
      </c>
      <c r="O427" s="4" t="n">
        <v>0.0322234384251673</v>
      </c>
      <c r="P427" s="4" t="n">
        <v>-0.04354764038967329</v>
      </c>
      <c r="Q427" s="22" t="n">
        <v>-730816.7999999996</v>
      </c>
      <c r="R427" s="22" t="n">
        <v>1372391.54337</v>
      </c>
      <c r="S427" s="4" t="n">
        <v>0.03</v>
      </c>
      <c r="T427" s="4" t="n">
        <v>0</v>
      </c>
      <c r="U427" s="19" t="n">
        <v>8.304861646675626</v>
      </c>
      <c r="V427" s="19" t="n">
        <v>0.621908127208481</v>
      </c>
      <c r="W427" s="4" t="n">
        <v>-0.09336996666966946</v>
      </c>
      <c r="X427" s="4" t="n">
        <v>-0.09519512745319192</v>
      </c>
      <c r="Y427" s="4" t="n">
        <v>0.01483761879773771</v>
      </c>
      <c r="Z427" s="4" t="n">
        <v>0.01859859890907245</v>
      </c>
      <c r="AA427" s="4" t="n">
        <v>0.03</v>
      </c>
      <c r="AB427" s="4" t="n">
        <v>0.05</v>
      </c>
      <c r="AC427" s="4">
        <f>(AB427+2*參數!$B$7)/(AA427+AB427)</f>
        <v/>
      </c>
    </row>
    <row r="428">
      <c r="A428" s="2" t="n">
        <v>427</v>
      </c>
      <c r="B428" s="2" t="inlineStr">
        <is>
          <t>USELESS_USDT_PERP</t>
        </is>
      </c>
      <c r="C428" s="2" t="inlineStr">
        <is>
          <t>做空</t>
        </is>
      </c>
      <c r="D428" s="7" t="n">
        <v>46288.95833333334</v>
      </c>
      <c r="E428" s="20" t="n">
        <v>0.31904</v>
      </c>
      <c r="F428" s="20" t="n">
        <v>0.3094688</v>
      </c>
      <c r="G428" s="20" t="n">
        <v>0.334992</v>
      </c>
      <c r="H428" s="7" t="n">
        <v>46289</v>
      </c>
      <c r="I428" s="20" t="n">
        <v>0.3094688</v>
      </c>
      <c r="J428" s="2" t="inlineStr">
        <is>
          <t>止盈</t>
        </is>
      </c>
      <c r="K428" s="5">
        <f>(H428-D428)*24</f>
        <v/>
      </c>
      <c r="L428" s="4">
        <f>IF(C428="做多",I428/E428-1,1-I428/E428)-2*參數!$B$7</f>
        <v/>
      </c>
      <c r="M428" s="2" t="inlineStr"/>
      <c r="N428" s="4" t="n">
        <v>-0.03473314776715475</v>
      </c>
      <c r="O428" s="4" t="n">
        <v>0.04172138921132431</v>
      </c>
      <c r="P428" s="4" t="n">
        <v>-0.05182508217476312</v>
      </c>
      <c r="Q428" s="22" t="n">
        <v>-1117422</v>
      </c>
      <c r="R428" s="22" t="n">
        <v>3958376.42324</v>
      </c>
      <c r="S428" s="4" t="n">
        <v>0.03</v>
      </c>
      <c r="T428" s="4" t="n">
        <v>0</v>
      </c>
      <c r="U428" s="19" t="n">
        <v>1.354170345468486</v>
      </c>
      <c r="V428" s="19" t="n">
        <v>0.5887465690759377</v>
      </c>
      <c r="W428" s="4" t="n">
        <v>-0.1274267114329706</v>
      </c>
      <c r="X428" s="4" t="n">
        <v>-0.03312716557106321</v>
      </c>
      <c r="Y428" s="4" t="n">
        <v>0.01483761879773771</v>
      </c>
      <c r="Z428" s="4" t="n">
        <v>0.01859859890907245</v>
      </c>
      <c r="AA428" s="4" t="n">
        <v>0.03</v>
      </c>
      <c r="AB428" s="4" t="n">
        <v>0.05</v>
      </c>
      <c r="AC428" s="4">
        <f>(AB428+2*參數!$B$7)/(AA428+AB428)</f>
        <v/>
      </c>
    </row>
    <row r="429">
      <c r="A429" s="2" t="n">
        <v>428</v>
      </c>
      <c r="B429" s="2" t="inlineStr">
        <is>
          <t>ENA_USDT_PERP</t>
        </is>
      </c>
      <c r="C429" s="2" t="inlineStr">
        <is>
          <t>做空</t>
        </is>
      </c>
      <c r="D429" s="7" t="n">
        <v>46289</v>
      </c>
      <c r="E429" s="20" t="n">
        <v>0.2019</v>
      </c>
      <c r="F429" s="20" t="n">
        <v>0.195843</v>
      </c>
      <c r="G429" s="20" t="n">
        <v>0.211995</v>
      </c>
      <c r="H429" s="7" t="n">
        <v>46289.08333333334</v>
      </c>
      <c r="I429" s="20" t="n">
        <v>0.211995</v>
      </c>
      <c r="J429" s="2" t="inlineStr">
        <is>
          <t>止損</t>
        </is>
      </c>
      <c r="K429" s="5">
        <f>(H429-D429)*24</f>
        <v/>
      </c>
      <c r="L429" s="4">
        <f>IF(C429="做多",I429/E429-1,1-I429/E429)-2*參數!$B$7</f>
        <v/>
      </c>
      <c r="M429" s="2" t="inlineStr"/>
      <c r="N429" s="4" t="n">
        <v>-0.02037845705967978</v>
      </c>
      <c r="O429" s="4" t="n">
        <v>0.02674279256312706</v>
      </c>
      <c r="P429" s="4" t="n">
        <v>-0.05375638562122143</v>
      </c>
      <c r="Q429" s="22" t="n">
        <v>-6462653</v>
      </c>
      <c r="R429" s="22" t="n">
        <v>8273291.3193</v>
      </c>
      <c r="S429" s="4" t="n">
        <v>0.01783060921248136</v>
      </c>
      <c r="T429" s="4" t="n">
        <v>0.05</v>
      </c>
      <c r="U429" s="19" t="n">
        <v>1.853042767408735</v>
      </c>
      <c r="V429" s="19" t="n">
        <v>0.9333333333333333</v>
      </c>
      <c r="W429" s="4" t="n">
        <v>0.04150169481869714</v>
      </c>
      <c r="X429" s="4" t="n">
        <v>0.02132816286960748</v>
      </c>
      <c r="Y429" s="4" t="n">
        <v>0.006117235975218627</v>
      </c>
      <c r="Z429" s="4" t="n">
        <v>0.02336816424565891</v>
      </c>
      <c r="AA429" s="4" t="n">
        <v>0.03</v>
      </c>
      <c r="AB429" s="4" t="n">
        <v>0.05</v>
      </c>
      <c r="AC429" s="4">
        <f>(AB429+2*參數!$B$7)/(AA429+AB429)</f>
        <v/>
      </c>
    </row>
    <row r="430">
      <c r="A430" s="2" t="n">
        <v>429</v>
      </c>
      <c r="B430" s="2" t="inlineStr">
        <is>
          <t>ICP_USDT_PERP</t>
        </is>
      </c>
      <c r="C430" s="2" t="inlineStr">
        <is>
          <t>做空</t>
        </is>
      </c>
      <c r="D430" s="7" t="n">
        <v>46289</v>
      </c>
      <c r="E430" s="20" t="n">
        <v>2.858</v>
      </c>
      <c r="F430" s="20" t="n">
        <v>2.77226</v>
      </c>
      <c r="G430" s="20" t="n">
        <v>3.0009</v>
      </c>
      <c r="H430" s="7" t="n">
        <v>46289.58333333334</v>
      </c>
      <c r="I430" s="20" t="n">
        <v>3.0009</v>
      </c>
      <c r="J430" s="2" t="inlineStr">
        <is>
          <t>止損</t>
        </is>
      </c>
      <c r="K430" s="5">
        <f>(H430-D430)*24</f>
        <v/>
      </c>
      <c r="L430" s="4">
        <f>IF(C430="做多",I430/E430-1,1-I430/E430)-2*參數!$B$7</f>
        <v/>
      </c>
      <c r="M430" s="2" t="inlineStr"/>
      <c r="N430" s="4" t="n">
        <v>-0.02987101154107263</v>
      </c>
      <c r="O430" s="4" t="n">
        <v>0.02735939401468456</v>
      </c>
      <c r="P430" s="4" t="n">
        <v>-0.05337595018465469</v>
      </c>
      <c r="Q430" s="22" t="n">
        <v>-183872</v>
      </c>
      <c r="R430" s="22" t="n">
        <v>7338431.59</v>
      </c>
      <c r="S430" s="4" t="n">
        <v>0.01049685094471664</v>
      </c>
      <c r="T430" s="4" t="n">
        <v>0.05</v>
      </c>
      <c r="U430" s="19" t="n">
        <v>1.127572943502486</v>
      </c>
      <c r="V430" s="19" t="n">
        <v>0.9909090909090918</v>
      </c>
      <c r="W430" s="4" t="n">
        <v>0.02407709039750594</v>
      </c>
      <c r="X430" s="4" t="n">
        <v>0.0334798782549881</v>
      </c>
      <c r="Y430" s="4" t="n">
        <v>0.006117235975218627</v>
      </c>
      <c r="Z430" s="4" t="n">
        <v>0.02336816424565891</v>
      </c>
      <c r="AA430" s="4" t="n">
        <v>0.03</v>
      </c>
      <c r="AB430" s="4" t="n">
        <v>0.05</v>
      </c>
      <c r="AC430" s="4">
        <f>(AB430+2*參數!$B$7)/(AA430+AB430)</f>
        <v/>
      </c>
    </row>
    <row r="431">
      <c r="A431" s="2" t="n">
        <v>430</v>
      </c>
      <c r="B431" s="2" t="inlineStr">
        <is>
          <t>INJ_USDT_PERP</t>
        </is>
      </c>
      <c r="C431" s="2" t="inlineStr">
        <is>
          <t>做空</t>
        </is>
      </c>
      <c r="D431" s="7" t="n">
        <v>46289</v>
      </c>
      <c r="E431" s="20" t="n">
        <v>7.655</v>
      </c>
      <c r="F431" s="20" t="n">
        <v>7.42535</v>
      </c>
      <c r="G431" s="20" t="n">
        <v>8.037750000000001</v>
      </c>
      <c r="H431" s="7" t="n">
        <v>46289.45833333334</v>
      </c>
      <c r="I431" s="20" t="n">
        <v>8.037750000000001</v>
      </c>
      <c r="J431" s="2" t="inlineStr">
        <is>
          <t>止損</t>
        </is>
      </c>
      <c r="K431" s="5">
        <f>(H431-D431)*24</f>
        <v/>
      </c>
      <c r="L431" s="4">
        <f>IF(C431="做多",I431/E431-1,1-I431/E431)-2*參數!$B$7</f>
        <v/>
      </c>
      <c r="M431" s="2" t="inlineStr"/>
      <c r="N431" s="4" t="n">
        <v>-0.04610591900311523</v>
      </c>
      <c r="O431" s="4" t="n">
        <v>0.03126428162942384</v>
      </c>
      <c r="P431" s="4" t="n">
        <v>-0.0408770555990603</v>
      </c>
      <c r="Q431" s="22" t="n">
        <v>-97052.2000000001</v>
      </c>
      <c r="R431" s="22" t="n">
        <v>3363473.6638</v>
      </c>
      <c r="S431" s="4" t="n">
        <v>0.02455911169170488</v>
      </c>
      <c r="T431" s="4" t="n">
        <v>0.05</v>
      </c>
      <c r="U431" s="19" t="n">
        <v>1.265198935275597</v>
      </c>
      <c r="V431" s="19" t="n">
        <v>0.8439560439560426</v>
      </c>
      <c r="W431" s="4" t="n">
        <v>0.01973840909498359</v>
      </c>
      <c r="X431" s="4" t="n">
        <v>0.008548115529076528</v>
      </c>
      <c r="Y431" s="4" t="n">
        <v>0.006117235975218627</v>
      </c>
      <c r="Z431" s="4" t="n">
        <v>0.02336816424565891</v>
      </c>
      <c r="AA431" s="4" t="n">
        <v>0.03</v>
      </c>
      <c r="AB431" s="4" t="n">
        <v>0.05</v>
      </c>
      <c r="AC431" s="4">
        <f>(AB431+2*參數!$B$7)/(AA431+AB431)</f>
        <v/>
      </c>
    </row>
    <row r="432">
      <c r="A432" s="2" t="n">
        <v>431</v>
      </c>
      <c r="B432" s="2" t="inlineStr">
        <is>
          <t>LSK_USDT_PERP</t>
        </is>
      </c>
      <c r="C432" s="2" t="inlineStr">
        <is>
          <t>做空</t>
        </is>
      </c>
      <c r="D432" s="7" t="n">
        <v>46289</v>
      </c>
      <c r="E432" s="20" t="n">
        <v>0.3011</v>
      </c>
      <c r="F432" s="20" t="n">
        <v>0.292067</v>
      </c>
      <c r="G432" s="20" t="n">
        <v>0.316155</v>
      </c>
      <c r="H432" s="7" t="n">
        <v>46289.16666666666</v>
      </c>
      <c r="I432" s="20" t="n">
        <v>0.316155</v>
      </c>
      <c r="J432" s="2" t="inlineStr">
        <is>
          <t>止損</t>
        </is>
      </c>
      <c r="K432" s="5">
        <f>(H432-D432)*24</f>
        <v/>
      </c>
      <c r="L432" s="4">
        <f>IF(C432="做多",I432/E432-1,1-I432/E432)-2*參數!$B$7</f>
        <v/>
      </c>
      <c r="M432" s="2" t="inlineStr"/>
      <c r="N432" s="4" t="n">
        <v>-0.02113133940182055</v>
      </c>
      <c r="O432" s="4" t="n">
        <v>0.03294207960181764</v>
      </c>
      <c r="P432" s="4" t="n">
        <v>-0.04002805630390094</v>
      </c>
      <c r="Q432" s="22" t="n">
        <v>-707854</v>
      </c>
      <c r="R432" s="22" t="n">
        <v>1506010.2269</v>
      </c>
      <c r="S432" s="4" t="n">
        <v>0.01760212553968776</v>
      </c>
      <c r="T432" s="4" t="n">
        <v>0.05</v>
      </c>
      <c r="U432" s="19" t="n">
        <v>0.5921501246519622</v>
      </c>
      <c r="V432" s="19" t="n">
        <v>0.6791044776119417</v>
      </c>
      <c r="W432" s="4" t="n">
        <v>0.1699014137315012</v>
      </c>
      <c r="X432" s="4" t="n">
        <v>0.09470835838845471</v>
      </c>
      <c r="Y432" s="4" t="n">
        <v>0.006117235975218627</v>
      </c>
      <c r="Z432" s="4" t="n">
        <v>0.02336816424565891</v>
      </c>
      <c r="AA432" s="4" t="n">
        <v>0.03</v>
      </c>
      <c r="AB432" s="4" t="n">
        <v>0.05</v>
      </c>
      <c r="AC432" s="4">
        <f>(AB432+2*參數!$B$7)/(AA432+AB432)</f>
        <v/>
      </c>
    </row>
    <row r="433">
      <c r="A433" s="2" t="n">
        <v>432</v>
      </c>
      <c r="B433" s="2" t="inlineStr">
        <is>
          <t>MARSCOIN_USDT_PERP</t>
        </is>
      </c>
      <c r="C433" s="2" t="inlineStr">
        <is>
          <t>做空</t>
        </is>
      </c>
      <c r="D433" s="7" t="n">
        <v>46289</v>
      </c>
      <c r="E433" s="20" t="n">
        <v>0.12647</v>
      </c>
      <c r="F433" s="20" t="n">
        <v>0.1226759</v>
      </c>
      <c r="G433" s="20" t="n">
        <v>0.1327935</v>
      </c>
      <c r="H433" s="7" t="n">
        <v>46289.04166666666</v>
      </c>
      <c r="I433" s="20" t="n">
        <v>0.1327935</v>
      </c>
      <c r="J433" s="2" t="inlineStr">
        <is>
          <t>止損</t>
        </is>
      </c>
      <c r="K433" s="5">
        <f>(H433-D433)*24</f>
        <v/>
      </c>
      <c r="L433" s="4">
        <f>IF(C433="做多",I433/E433-1,1-I433/E433)-2*參數!$B$7</f>
        <v/>
      </c>
      <c r="M433" s="2" t="inlineStr"/>
      <c r="N433" s="4" t="n">
        <v>-0.03934675275351307</v>
      </c>
      <c r="O433" s="4" t="n">
        <v>0.04984519826826096</v>
      </c>
      <c r="P433" s="4" t="n">
        <v>-0.05027953937018215</v>
      </c>
      <c r="Q433" s="22" t="n">
        <v>-3382177</v>
      </c>
      <c r="R433" s="22" t="n">
        <v>3037257.74583</v>
      </c>
      <c r="S433" s="4" t="n">
        <v>0</v>
      </c>
      <c r="T433" s="4" t="n">
        <v>0.05</v>
      </c>
      <c r="U433" s="19" t="n">
        <v>1.174973460931874</v>
      </c>
      <c r="V433" s="19" t="n">
        <v>0.9178674351585033</v>
      </c>
      <c r="W433" s="4" t="n">
        <v>-0.1574855829116433</v>
      </c>
      <c r="X433" s="4" t="n">
        <v>-0.03893863468331538</v>
      </c>
      <c r="Y433" s="4" t="n">
        <v>0.006117235975218627</v>
      </c>
      <c r="Z433" s="4" t="n">
        <v>0.02336816424565891</v>
      </c>
      <c r="AA433" s="4" t="n">
        <v>0.03</v>
      </c>
      <c r="AB433" s="4" t="n">
        <v>0.05</v>
      </c>
      <c r="AC433" s="4">
        <f>(AB433+2*參數!$B$7)/(AA433+AB433)</f>
        <v/>
      </c>
    </row>
    <row r="434">
      <c r="A434" s="2" t="n">
        <v>433</v>
      </c>
      <c r="B434" s="2" t="inlineStr">
        <is>
          <t>NIL_USDT_PERP</t>
        </is>
      </c>
      <c r="C434" s="2" t="inlineStr">
        <is>
          <t>做多</t>
        </is>
      </c>
      <c r="D434" s="7" t="n">
        <v>46289</v>
      </c>
      <c r="E434" s="20" t="n">
        <v>0.09558</v>
      </c>
      <c r="F434" s="20" t="n">
        <v>0.0984474</v>
      </c>
      <c r="G434" s="20" t="n">
        <v>0.09080099999999999</v>
      </c>
      <c r="H434" s="7" t="n">
        <v>46289.00347222222</v>
      </c>
      <c r="I434" s="20" t="n">
        <v>0.09080099999999999</v>
      </c>
      <c r="J434" s="2" t="inlineStr">
        <is>
          <t>止損</t>
        </is>
      </c>
      <c r="K434" s="5">
        <f>(H434-D434)*24</f>
        <v/>
      </c>
      <c r="L434" s="4">
        <f>IF(C434="做多",I434/E434-1,1-I434/E434)-2*參數!$B$7</f>
        <v/>
      </c>
      <c r="M434" s="2" t="inlineStr">
        <is>
          <t>同1h觸發；5分K判定先止損</t>
        </is>
      </c>
      <c r="N434" s="4" t="n">
        <v>0.05102265229821867</v>
      </c>
      <c r="O434" s="4" t="n">
        <v>0.06778287535435376</v>
      </c>
      <c r="P434" s="4" t="n">
        <v>0.02592725770008952</v>
      </c>
      <c r="Q434" s="22" t="n">
        <v>1427131.100000005</v>
      </c>
      <c r="R434" s="22" t="n">
        <v>2397127.716886</v>
      </c>
      <c r="S434" s="4" t="n">
        <v>0</v>
      </c>
      <c r="T434" s="4" t="n">
        <v>0.05</v>
      </c>
      <c r="U434" s="19" t="n">
        <v>1.035602191154303</v>
      </c>
      <c r="V434" s="19" t="n">
        <v>0.7023121387283232</v>
      </c>
      <c r="W434" s="4" t="n">
        <v>0.3937739513885243</v>
      </c>
      <c r="X434" s="4" t="n">
        <v>0.141799068211683</v>
      </c>
      <c r="Y434" s="4" t="n">
        <v>-0.006117235975218627</v>
      </c>
      <c r="Z434" s="4" t="n">
        <v>-0.02336816424565891</v>
      </c>
      <c r="AA434" s="4" t="n">
        <v>0.03</v>
      </c>
      <c r="AB434" s="4" t="n">
        <v>0.05</v>
      </c>
      <c r="AC434" s="4">
        <f>(AB434+2*參數!$B$7)/(AA434+AB434)</f>
        <v/>
      </c>
    </row>
    <row r="435">
      <c r="A435" s="2" t="n">
        <v>434</v>
      </c>
      <c r="B435" s="2" t="inlineStr">
        <is>
          <t>ONDO_USDT_PERP</t>
        </is>
      </c>
      <c r="C435" s="2" t="inlineStr">
        <is>
          <t>做空</t>
        </is>
      </c>
      <c r="D435" s="7" t="n">
        <v>46289</v>
      </c>
      <c r="E435" s="20" t="n">
        <v>0.4109</v>
      </c>
      <c r="F435" s="20" t="n">
        <v>0.398573</v>
      </c>
      <c r="G435" s="20" t="n">
        <v>0.431445</v>
      </c>
      <c r="H435" s="7" t="n">
        <v>46289.58333333334</v>
      </c>
      <c r="I435" s="20" t="n">
        <v>0.431445</v>
      </c>
      <c r="J435" s="2" t="inlineStr">
        <is>
          <t>止損</t>
        </is>
      </c>
      <c r="K435" s="5">
        <f>(H435-D435)*24</f>
        <v/>
      </c>
      <c r="L435" s="4">
        <f>IF(C435="做多",I435/E435-1,1-I435/E435)-2*參數!$B$7</f>
        <v/>
      </c>
      <c r="M435" s="2" t="inlineStr"/>
      <c r="N435" s="4" t="n">
        <v>-0.02189954772673175</v>
      </c>
      <c r="O435" s="4" t="n">
        <v>0.02058660767656548</v>
      </c>
      <c r="P435" s="4" t="n">
        <v>-0.05628093384320343</v>
      </c>
      <c r="Q435" s="22" t="n">
        <v>-477789.3000000017</v>
      </c>
      <c r="R435" s="22" t="n">
        <v>5699948.57945</v>
      </c>
      <c r="S435" s="4" t="n">
        <v>0.01508882939888045</v>
      </c>
      <c r="T435" s="4" t="n">
        <v>0.05</v>
      </c>
      <c r="U435" s="19" t="n">
        <v>0.669898843544379</v>
      </c>
      <c r="V435" s="19" t="n">
        <v>0.9814814814814835</v>
      </c>
      <c r="W435" s="4" t="n">
        <v>0.04710886010194471</v>
      </c>
      <c r="X435" s="4" t="n">
        <v>0.04352886405959033</v>
      </c>
      <c r="Y435" s="4" t="n">
        <v>0.006117235975218627</v>
      </c>
      <c r="Z435" s="4" t="n">
        <v>0.02336816424565891</v>
      </c>
      <c r="AA435" s="4" t="n">
        <v>0.03</v>
      </c>
      <c r="AB435" s="4" t="n">
        <v>0.05</v>
      </c>
      <c r="AC435" s="4">
        <f>(AB435+2*參數!$B$7)/(AA435+AB435)</f>
        <v/>
      </c>
    </row>
    <row r="436">
      <c r="A436" s="2" t="n">
        <v>435</v>
      </c>
      <c r="B436" s="2" t="inlineStr">
        <is>
          <t>PONS_USDT_PERP</t>
        </is>
      </c>
      <c r="C436" s="2" t="inlineStr">
        <is>
          <t>做空</t>
        </is>
      </c>
      <c r="D436" s="7" t="n">
        <v>46289</v>
      </c>
      <c r="E436" s="20" t="n">
        <v>0.6631</v>
      </c>
      <c r="F436" s="20" t="n">
        <v>0.643207</v>
      </c>
      <c r="G436" s="20" t="n">
        <v>0.6962550000000001</v>
      </c>
      <c r="H436" s="7" t="n">
        <v>46289.20833333334</v>
      </c>
      <c r="I436" s="20" t="n">
        <v>0.643207</v>
      </c>
      <c r="J436" s="2" t="inlineStr">
        <is>
          <t>止盈</t>
        </is>
      </c>
      <c r="K436" s="5">
        <f>(H436-D436)*24</f>
        <v/>
      </c>
      <c r="L436" s="4">
        <f>IF(C436="做多",I436/E436-1,1-I436/E436)-2*參數!$B$7</f>
        <v/>
      </c>
      <c r="M436" s="2" t="inlineStr"/>
      <c r="N436" s="4" t="n">
        <v>-0.02125461254612537</v>
      </c>
      <c r="O436" s="4" t="n">
        <v>0.03616590124640753</v>
      </c>
      <c r="P436" s="4" t="n">
        <v>-0.04682502605383243</v>
      </c>
      <c r="Q436" s="22" t="n">
        <v>-760348</v>
      </c>
      <c r="R436" s="22" t="n">
        <v>4664900.1479</v>
      </c>
      <c r="S436" s="4" t="n">
        <v>0.03</v>
      </c>
      <c r="T436" s="4" t="n">
        <v>0.01854923842557676</v>
      </c>
      <c r="U436" s="19" t="n">
        <v>1.462941554709758</v>
      </c>
      <c r="V436" s="19" t="n">
        <v>0.9324894514767914</v>
      </c>
      <c r="W436" s="4" t="n">
        <v>-0.0683943150015065</v>
      </c>
      <c r="X436" s="4" t="n">
        <v>-0.06436597110754416</v>
      </c>
      <c r="Y436" s="4" t="n">
        <v>0.006117235975218627</v>
      </c>
      <c r="Z436" s="4" t="n">
        <v>0.02336816424565891</v>
      </c>
      <c r="AA436" s="4" t="n">
        <v>0.03</v>
      </c>
      <c r="AB436" s="4" t="n">
        <v>0.05</v>
      </c>
      <c r="AC436" s="4">
        <f>(AB436+2*參數!$B$7)/(AA436+AB436)</f>
        <v/>
      </c>
    </row>
    <row r="437">
      <c r="A437" s="2" t="n">
        <v>436</v>
      </c>
      <c r="B437" s="2" t="inlineStr">
        <is>
          <t>MET_USDT_PERP</t>
        </is>
      </c>
      <c r="C437" s="2" t="inlineStr">
        <is>
          <t>做空</t>
        </is>
      </c>
      <c r="D437" s="7" t="n">
        <v>46289.04166666666</v>
      </c>
      <c r="E437" s="20" t="n">
        <v>0.3528</v>
      </c>
      <c r="F437" s="20" t="n">
        <v>0.342216</v>
      </c>
      <c r="G437" s="20" t="n">
        <v>0.37044</v>
      </c>
      <c r="H437" s="7" t="n">
        <v>46289.20833333334</v>
      </c>
      <c r="I437" s="20" t="n">
        <v>0.342216</v>
      </c>
      <c r="J437" s="2" t="inlineStr">
        <is>
          <t>止盈</t>
        </is>
      </c>
      <c r="K437" s="5">
        <f>(H437-D437)*24</f>
        <v/>
      </c>
      <c r="L437" s="4">
        <f>IF(C437="做多",I437/E437-1,1-I437/E437)-2*參數!$B$7</f>
        <v/>
      </c>
      <c r="M437" s="2" t="inlineStr"/>
      <c r="N437" s="4" t="n">
        <v>-0.02622136351090254</v>
      </c>
      <c r="O437" s="4" t="n">
        <v>0.04377815487237101</v>
      </c>
      <c r="P437" s="4" t="n">
        <v>-0.01474530831099197</v>
      </c>
      <c r="Q437" s="22" t="n">
        <v>-388486</v>
      </c>
      <c r="R437" s="22" t="n">
        <v>1305741.4847</v>
      </c>
      <c r="S437" s="4" t="n">
        <v>0.03</v>
      </c>
      <c r="T437" s="4" t="n">
        <v>0.01785714285714279</v>
      </c>
      <c r="U437" s="19" t="n">
        <v>1.20508212751025</v>
      </c>
      <c r="V437" s="19" t="n">
        <v>0.6645569620253156</v>
      </c>
      <c r="W437" s="4" t="n">
        <v>-0.2341187664409246</v>
      </c>
      <c r="X437" s="4" t="n">
        <v>-0.172093023255814</v>
      </c>
      <c r="Y437" s="4" t="n">
        <v>-0.0004585200164828329</v>
      </c>
      <c r="Z437" s="4" t="n">
        <v>0.02165405489951822</v>
      </c>
      <c r="AA437" s="4" t="n">
        <v>0.03</v>
      </c>
      <c r="AB437" s="4" t="n">
        <v>0.05</v>
      </c>
      <c r="AC437" s="4">
        <f>(AB437+2*參數!$B$7)/(AA437+AB437)</f>
        <v/>
      </c>
    </row>
    <row r="438">
      <c r="A438" s="2" t="n">
        <v>437</v>
      </c>
      <c r="B438" s="2" t="inlineStr">
        <is>
          <t>ZRO_USDT_PERP</t>
        </is>
      </c>
      <c r="C438" s="2" t="inlineStr">
        <is>
          <t>做多</t>
        </is>
      </c>
      <c r="D438" s="7" t="n">
        <v>46289.04166666666</v>
      </c>
      <c r="E438" s="20" t="n">
        <v>1.4611</v>
      </c>
      <c r="F438" s="20" t="n">
        <v>1.504933</v>
      </c>
      <c r="G438" s="20" t="n">
        <v>1.388045</v>
      </c>
      <c r="H438" s="7" t="n">
        <v>46289.08333333334</v>
      </c>
      <c r="I438" s="20" t="n">
        <v>1.504933</v>
      </c>
      <c r="J438" s="2" t="inlineStr">
        <is>
          <t>止盈</t>
        </is>
      </c>
      <c r="K438" s="5">
        <f>(H438-D438)*24</f>
        <v/>
      </c>
      <c r="L438" s="4">
        <f>IF(C438="做多",I438/E438-1,1-I438/E438)-2*參數!$B$7</f>
        <v/>
      </c>
      <c r="M438" s="2" t="inlineStr"/>
      <c r="N438" s="4" t="n">
        <v>0.02074891714405491</v>
      </c>
      <c r="O438" s="4" t="n">
        <v>0.04371371140095691</v>
      </c>
      <c r="P438" s="4" t="n">
        <v>0.01839751028957193</v>
      </c>
      <c r="Q438" s="22" t="n">
        <v>262113.2999999998</v>
      </c>
      <c r="R438" s="22" t="n">
        <v>2036642.10852</v>
      </c>
      <c r="S438" s="4" t="n">
        <v>0.03</v>
      </c>
      <c r="T438" s="4" t="n">
        <v>0</v>
      </c>
      <c r="U438" s="19" t="n">
        <v>3.336493247534907</v>
      </c>
      <c r="V438" s="19" t="n">
        <v>0.5246511627906981</v>
      </c>
      <c r="W438" s="4" t="n">
        <v>0.1978409185933836</v>
      </c>
      <c r="X438" s="4" t="n">
        <v>0.05410865016954047</v>
      </c>
      <c r="Y438" s="4" t="n">
        <v>0.0004585200164828329</v>
      </c>
      <c r="Z438" s="4" t="n">
        <v>-0.02165405489951822</v>
      </c>
      <c r="AA438" s="4" t="n">
        <v>0.03</v>
      </c>
      <c r="AB438" s="4" t="n">
        <v>0.05</v>
      </c>
      <c r="AC438" s="4">
        <f>(AB438+2*參數!$B$7)/(AA438+AB438)</f>
        <v/>
      </c>
    </row>
    <row r="439">
      <c r="A439" s="2" t="n">
        <v>438</v>
      </c>
      <c r="B439" s="2" t="inlineStr">
        <is>
          <t>LIT_USDT_PERP</t>
        </is>
      </c>
      <c r="C439" s="2" t="inlineStr">
        <is>
          <t>做多</t>
        </is>
      </c>
      <c r="D439" s="7" t="n">
        <v>46289.08333333334</v>
      </c>
      <c r="E439" s="20" t="n">
        <v>5.424</v>
      </c>
      <c r="F439" s="20" t="n">
        <v>5.586720000000001</v>
      </c>
      <c r="G439" s="20" t="n">
        <v>5.1528</v>
      </c>
      <c r="H439" s="7" t="n">
        <v>46289.54166666666</v>
      </c>
      <c r="I439" s="20" t="n">
        <v>5.1528</v>
      </c>
      <c r="J439" s="2" t="inlineStr">
        <is>
          <t>止損</t>
        </is>
      </c>
      <c r="K439" s="5">
        <f>(H439-D439)*24</f>
        <v/>
      </c>
      <c r="L439" s="4">
        <f>IF(C439="做多",I439/E439-1,1-I439/E439)-2*參數!$B$7</f>
        <v/>
      </c>
      <c r="M439" s="2" t="inlineStr"/>
      <c r="N439" s="4" t="n">
        <v>0.0214689265536725</v>
      </c>
      <c r="O439" s="4" t="n">
        <v>0.02870811567499218</v>
      </c>
      <c r="P439" s="4" t="n">
        <v>0.04321735618256306</v>
      </c>
      <c r="Q439" s="22" t="n">
        <v>370852.8999999998</v>
      </c>
      <c r="R439" s="22" t="n">
        <v>8938456.6841</v>
      </c>
      <c r="S439" s="4" t="n">
        <v>0.0252581120943951</v>
      </c>
      <c r="T439" s="4" t="n">
        <v>0.05</v>
      </c>
      <c r="U439" s="19" t="n">
        <v>1.132367439316593</v>
      </c>
      <c r="V439" s="19" t="n">
        <v>0.8768472906403963</v>
      </c>
      <c r="W439" s="4" t="n">
        <v>0.1089371254730465</v>
      </c>
      <c r="X439" s="4" t="n">
        <v>0.1044593769089801</v>
      </c>
      <c r="Y439" s="4" t="n">
        <v>0.003280784436034745</v>
      </c>
      <c r="Z439" s="4" t="n">
        <v>-0.01737813369945806</v>
      </c>
      <c r="AA439" s="4" t="n">
        <v>0.03</v>
      </c>
      <c r="AB439" s="4" t="n">
        <v>0.05</v>
      </c>
      <c r="AC439" s="4">
        <f>(AB439+2*參數!$B$7)/(AA439+AB439)</f>
        <v/>
      </c>
    </row>
    <row r="440">
      <c r="A440" s="2" t="n">
        <v>439</v>
      </c>
      <c r="B440" s="2" t="inlineStr">
        <is>
          <t>AR_USDT_PERP</t>
        </is>
      </c>
      <c r="C440" s="2" t="inlineStr">
        <is>
          <t>做空</t>
        </is>
      </c>
      <c r="D440" s="7" t="n">
        <v>46289.125</v>
      </c>
      <c r="E440" s="20" t="n">
        <v>4.405</v>
      </c>
      <c r="F440" s="20" t="n">
        <v>4.27285</v>
      </c>
      <c r="G440" s="20" t="n">
        <v>4.62525</v>
      </c>
      <c r="H440" s="7" t="n">
        <v>46289.33333333334</v>
      </c>
      <c r="I440" s="20" t="n">
        <v>4.27285</v>
      </c>
      <c r="J440" s="2" t="inlineStr">
        <is>
          <t>止盈</t>
        </is>
      </c>
      <c r="K440" s="5">
        <f>(H440-D440)*24</f>
        <v/>
      </c>
      <c r="L440" s="4">
        <f>IF(C440="做多",I440/E440-1,1-I440/E440)-2*參數!$B$7</f>
        <v/>
      </c>
      <c r="M440" s="2" t="inlineStr"/>
      <c r="N440" s="4" t="n">
        <v>-0.02802294792586046</v>
      </c>
      <c r="O440" s="4" t="n">
        <v>0.03280725079346426</v>
      </c>
      <c r="P440" s="4" t="n">
        <v>-0.02697090852863859</v>
      </c>
      <c r="Q440" s="22" t="n">
        <v>-139304.0000000001</v>
      </c>
      <c r="R440" s="22" t="n">
        <v>1850177.4343</v>
      </c>
      <c r="S440" s="4" t="n">
        <v>0.03</v>
      </c>
      <c r="T440" s="4" t="n">
        <v>0.0108967082860385</v>
      </c>
      <c r="U440" s="19" t="n">
        <v>1.23244951514631</v>
      </c>
      <c r="V440" s="19" t="n">
        <v>0.8124999999999987</v>
      </c>
      <c r="W440" s="4" t="n">
        <v>0.01970384151470783</v>
      </c>
      <c r="X440" s="4" t="n">
        <v>-0.01450944265315535</v>
      </c>
      <c r="Y440" s="4" t="n">
        <v>-1.423827033497638e-05</v>
      </c>
      <c r="Z440" s="4" t="n">
        <v>0.01633225453809717</v>
      </c>
      <c r="AA440" s="4" t="n">
        <v>0.03</v>
      </c>
      <c r="AB440" s="4" t="n">
        <v>0.05</v>
      </c>
      <c r="AC440" s="4">
        <f>(AB440+2*參數!$B$7)/(AA440+AB440)</f>
        <v/>
      </c>
    </row>
    <row r="441">
      <c r="A441" s="2" t="n">
        <v>440</v>
      </c>
      <c r="B441" s="2" t="inlineStr">
        <is>
          <t>AKE_USDT_PERP</t>
        </is>
      </c>
      <c r="C441" s="2" t="inlineStr">
        <is>
          <t>做空</t>
        </is>
      </c>
      <c r="D441" s="7" t="n">
        <v>46289.16666666666</v>
      </c>
      <c r="E441" s="20" t="n">
        <v>0.0457845</v>
      </c>
      <c r="F441" s="20" t="n">
        <v>0.044410965</v>
      </c>
      <c r="G441" s="20" t="n">
        <v>0.048073725</v>
      </c>
      <c r="H441" s="7" t="n">
        <v>46289.20833333334</v>
      </c>
      <c r="I441" s="20" t="n">
        <v>0.044410965</v>
      </c>
      <c r="J441" s="2" t="inlineStr">
        <is>
          <t>止盈</t>
        </is>
      </c>
      <c r="K441" s="5">
        <f>(H441-D441)*24</f>
        <v/>
      </c>
      <c r="L441" s="4">
        <f>IF(C441="做多",I441/E441-1,1-I441/E441)-2*參數!$B$7</f>
        <v/>
      </c>
      <c r="M441" s="2" t="inlineStr"/>
      <c r="N441" s="4" t="n">
        <v>-0.04891044683105183</v>
      </c>
      <c r="O441" s="4" t="n">
        <v>0.07418933946172623</v>
      </c>
      <c r="P441" s="4" t="n">
        <v>-0.0295653556241473</v>
      </c>
      <c r="Q441" s="22" t="n">
        <v>-21763762</v>
      </c>
      <c r="R441" s="22" t="n">
        <v>5858648.9970189</v>
      </c>
      <c r="S441" s="4" t="n">
        <v>0.03</v>
      </c>
      <c r="T441" s="4" t="n">
        <v>0</v>
      </c>
      <c r="U441" s="19" t="n">
        <v>0.4465892725822677</v>
      </c>
      <c r="V441" s="19" t="n">
        <v>0.9022238559088418</v>
      </c>
      <c r="W441" s="4" t="n">
        <v>0.1560941350270397</v>
      </c>
      <c r="X441" s="4" t="n">
        <v>0.09852624117664432</v>
      </c>
      <c r="Y441" s="4" t="n">
        <v>-0.002178424344247976</v>
      </c>
      <c r="Z441" s="4" t="n">
        <v>0.01321397228087018</v>
      </c>
      <c r="AA441" s="4" t="n">
        <v>0.03</v>
      </c>
      <c r="AB441" s="4" t="n">
        <v>0.05</v>
      </c>
      <c r="AC441" s="4">
        <f>(AB441+2*參數!$B$7)/(AA441+AB441)</f>
        <v/>
      </c>
    </row>
    <row r="442">
      <c r="A442" s="2" t="n">
        <v>441</v>
      </c>
      <c r="B442" s="2" t="inlineStr">
        <is>
          <t>BCH_USDT_PERP</t>
        </is>
      </c>
      <c r="C442" s="2" t="inlineStr">
        <is>
          <t>做空</t>
        </is>
      </c>
      <c r="D442" s="7" t="n">
        <v>46289.20833333334</v>
      </c>
      <c r="E442" s="20" t="n">
        <v>338.14</v>
      </c>
      <c r="F442" s="20" t="n">
        <v>327.9958</v>
      </c>
      <c r="G442" s="20" t="n">
        <v>355.047</v>
      </c>
      <c r="H442" s="7" t="n">
        <v>46289.75</v>
      </c>
      <c r="I442" s="20" t="n">
        <v>327.9958</v>
      </c>
      <c r="J442" s="2" t="inlineStr">
        <is>
          <t>止盈</t>
        </is>
      </c>
      <c r="K442" s="5">
        <f>(H442-D442)*24</f>
        <v/>
      </c>
      <c r="L442" s="4">
        <f>IF(C442="做多",I442/E442-1,1-I442/E442)-2*參數!$B$7</f>
        <v/>
      </c>
      <c r="M442" s="2" t="inlineStr"/>
      <c r="N442" s="4" t="n">
        <v>-0.02181208053691286</v>
      </c>
      <c r="O442" s="4" t="n">
        <v>0.03330948227031632</v>
      </c>
      <c r="P442" s="4" t="n">
        <v>-0.02766275592362555</v>
      </c>
      <c r="Q442" s="22" t="n">
        <v>-77.79899999999975</v>
      </c>
      <c r="R442" s="22" t="n">
        <v>3702483.45958</v>
      </c>
      <c r="S442" s="4" t="n">
        <v>0.03</v>
      </c>
      <c r="T442" s="4" t="n">
        <v>0.02425031052226889</v>
      </c>
      <c r="U442" s="19" t="n">
        <v>0.7920157884546282</v>
      </c>
      <c r="V442" s="19" t="n">
        <v>0.8395061728395063</v>
      </c>
      <c r="W442" s="4" t="n">
        <v>-0.1862908921108182</v>
      </c>
      <c r="X442" s="4" t="n">
        <v>0.00763045137054652</v>
      </c>
      <c r="Y442" s="4" t="n">
        <v>0.003153980301830117</v>
      </c>
      <c r="Z442" s="4" t="n">
        <v>0.01504611771185205</v>
      </c>
      <c r="AA442" s="4" t="n">
        <v>0.03</v>
      </c>
      <c r="AB442" s="4" t="n">
        <v>0.05</v>
      </c>
      <c r="AC442" s="4">
        <f>(AB442+2*參數!$B$7)/(AA442+AB442)</f>
        <v/>
      </c>
    </row>
    <row r="443">
      <c r="A443" s="2" t="n">
        <v>442</v>
      </c>
      <c r="B443" s="2" t="inlineStr">
        <is>
          <t>NIL_USDT_PERP</t>
        </is>
      </c>
      <c r="C443" s="2" t="inlineStr">
        <is>
          <t>做多</t>
        </is>
      </c>
      <c r="D443" s="7" t="n">
        <v>46289.25</v>
      </c>
      <c r="E443" s="20" t="n">
        <v>0.09933</v>
      </c>
      <c r="F443" s="20" t="n">
        <v>0.1023099</v>
      </c>
      <c r="G443" s="20" t="n">
        <v>0.0943635</v>
      </c>
      <c r="H443" s="7" t="n">
        <v>46289.29166666666</v>
      </c>
      <c r="I443" s="20" t="n">
        <v>0.1023099</v>
      </c>
      <c r="J443" s="2" t="inlineStr">
        <is>
          <t>止盈</t>
        </is>
      </c>
      <c r="K443" s="5">
        <f>(H443-D443)*24</f>
        <v/>
      </c>
      <c r="L443" s="4">
        <f>IF(C443="做多",I443/E443-1,1-I443/E443)-2*參數!$B$7</f>
        <v/>
      </c>
      <c r="M443" s="2" t="inlineStr"/>
      <c r="N443" s="4" t="n">
        <v>0.03404122423485312</v>
      </c>
      <c r="O443" s="4" t="n">
        <v>0.06117925487277764</v>
      </c>
      <c r="P443" s="4" t="n">
        <v>0.01370589976221326</v>
      </c>
      <c r="Q443" s="22" t="n">
        <v>1260683.500000007</v>
      </c>
      <c r="R443" s="22" t="n">
        <v>2589349.464466</v>
      </c>
      <c r="S443" s="4" t="n">
        <v>0.03</v>
      </c>
      <c r="T443" s="4" t="n">
        <v>0</v>
      </c>
      <c r="U443" s="19" t="n">
        <v>0.8958639075505965</v>
      </c>
      <c r="V443" s="19" t="n">
        <v>0.8901960784313717</v>
      </c>
      <c r="W443" s="4" t="n">
        <v>0.3888015033115637</v>
      </c>
      <c r="X443" s="4" t="n">
        <v>0.2674492790608651</v>
      </c>
      <c r="Y443" s="4" t="n">
        <v>0.002072488399409433</v>
      </c>
      <c r="Z443" s="4" t="n">
        <v>-0.01187201584887365</v>
      </c>
      <c r="AA443" s="4" t="n">
        <v>0.03</v>
      </c>
      <c r="AB443" s="4" t="n">
        <v>0.05</v>
      </c>
      <c r="AC443" s="4">
        <f>(AB443+2*參數!$B$7)/(AA443+AB443)</f>
        <v/>
      </c>
    </row>
    <row r="444">
      <c r="A444" s="2" t="n">
        <v>443</v>
      </c>
      <c r="B444" s="2" t="inlineStr">
        <is>
          <t>BR_USDT_PERP</t>
        </is>
      </c>
      <c r="C444" s="2" t="inlineStr">
        <is>
          <t>做空</t>
        </is>
      </c>
      <c r="D444" s="7" t="n">
        <v>46289.33333333334</v>
      </c>
      <c r="E444" s="20" t="n">
        <v>1.07648</v>
      </c>
      <c r="F444" s="20" t="n">
        <v>1.0441856</v>
      </c>
      <c r="G444" s="20" t="n">
        <v>1.130304</v>
      </c>
      <c r="H444" s="7" t="n">
        <v>46289.70833333334</v>
      </c>
      <c r="I444" s="20" t="n">
        <v>1.0441856</v>
      </c>
      <c r="J444" s="2" t="inlineStr">
        <is>
          <t>止盈</t>
        </is>
      </c>
      <c r="K444" s="5">
        <f>(H444-D444)*24</f>
        <v/>
      </c>
      <c r="L444" s="4">
        <f>IF(C444="做多",I444/E444-1,1-I444/E444)-2*參數!$B$7</f>
        <v/>
      </c>
      <c r="M444" s="2" t="inlineStr"/>
      <c r="N444" s="4" t="n">
        <v>-0.03059993155989404</v>
      </c>
      <c r="O444" s="4" t="n">
        <v>0.05483017616994453</v>
      </c>
      <c r="P444" s="4" t="n">
        <v>-0.01642459815652708</v>
      </c>
      <c r="Q444" s="22" t="n">
        <v>-226431</v>
      </c>
      <c r="R444" s="22" t="n">
        <v>3656956.56804</v>
      </c>
      <c r="S444" s="4" t="n">
        <v>0.03</v>
      </c>
      <c r="T444" s="4" t="n">
        <v>0.0167118757431628</v>
      </c>
      <c r="U444" s="19" t="n">
        <v>0.5741019631375132</v>
      </c>
      <c r="V444" s="19" t="n">
        <v>0.7714107105646978</v>
      </c>
      <c r="W444" s="4" t="n">
        <v>0.05508695248776552</v>
      </c>
      <c r="X444" s="4" t="n">
        <v>0.06358844099584193</v>
      </c>
      <c r="Y444" s="4" t="n">
        <v>0.001998249018030362</v>
      </c>
      <c r="Z444" s="4" t="n">
        <v>0.009588563817062523</v>
      </c>
      <c r="AA444" s="4" t="n">
        <v>0.03</v>
      </c>
      <c r="AB444" s="4" t="n">
        <v>0.05</v>
      </c>
      <c r="AC444" s="4">
        <f>(AB444+2*參數!$B$7)/(AA444+AB444)</f>
        <v/>
      </c>
    </row>
    <row r="445">
      <c r="A445" s="2" t="n">
        <v>444</v>
      </c>
      <c r="B445" s="2" t="inlineStr">
        <is>
          <t>MARSCOIN_USDT_PERP</t>
        </is>
      </c>
      <c r="C445" s="2" t="inlineStr">
        <is>
          <t>做空</t>
        </is>
      </c>
      <c r="D445" s="7" t="n">
        <v>46289.41666666666</v>
      </c>
      <c r="E445" s="20" t="n">
        <v>0.12601</v>
      </c>
      <c r="F445" s="20" t="n">
        <v>0.1222297</v>
      </c>
      <c r="G445" s="20" t="n">
        <v>0.1323105</v>
      </c>
      <c r="H445" s="7" t="n">
        <v>46289.625</v>
      </c>
      <c r="I445" s="20" t="n">
        <v>0.1222297</v>
      </c>
      <c r="J445" s="2" t="inlineStr">
        <is>
          <t>止盈</t>
        </is>
      </c>
      <c r="K445" s="5">
        <f>(H445-D445)*24</f>
        <v/>
      </c>
      <c r="L445" s="4">
        <f>IF(C445="做多",I445/E445-1,1-I445/E445)-2*參數!$B$7</f>
        <v/>
      </c>
      <c r="M445" s="2" t="inlineStr"/>
      <c r="N445" s="4" t="n">
        <v>-0.07291053560918193</v>
      </c>
      <c r="O445" s="4" t="n">
        <v>0.05134792312992966</v>
      </c>
      <c r="P445" s="4" t="n">
        <v>-0.05485884011880826</v>
      </c>
      <c r="Q445" s="22" t="n">
        <v>-1649031</v>
      </c>
      <c r="R445" s="22" t="n">
        <v>2345587.318070001</v>
      </c>
      <c r="S445" s="4" t="n">
        <v>0.03</v>
      </c>
      <c r="T445" s="4" t="n">
        <v>0.03348940560272995</v>
      </c>
      <c r="U445" s="19" t="n">
        <v>0.8980951234640033</v>
      </c>
      <c r="V445" s="19" t="n">
        <v>0.9570200573065897</v>
      </c>
      <c r="W445" s="4" t="n">
        <v>-0.1164596507176228</v>
      </c>
      <c r="X445" s="4" t="n">
        <v>0.06256509447998815</v>
      </c>
      <c r="Y445" s="4" t="n">
        <v>0.00246445115237115</v>
      </c>
      <c r="Z445" s="4" t="n">
        <v>0.009896827326949853</v>
      </c>
      <c r="AA445" s="4" t="n">
        <v>0.03</v>
      </c>
      <c r="AB445" s="4" t="n">
        <v>0.05</v>
      </c>
      <c r="AC445" s="4">
        <f>(AB445+2*參數!$B$7)/(AA445+AB445)</f>
        <v/>
      </c>
    </row>
    <row r="446">
      <c r="A446" s="2" t="n">
        <v>445</v>
      </c>
      <c r="B446" s="2" t="inlineStr">
        <is>
          <t>NEAR_USDT_PERP</t>
        </is>
      </c>
      <c r="C446" s="2" t="inlineStr">
        <is>
          <t>做多</t>
        </is>
      </c>
      <c r="D446" s="7" t="n">
        <v>46289.54166666666</v>
      </c>
      <c r="E446" s="20" t="n">
        <v>4.494</v>
      </c>
      <c r="F446" s="20" t="n">
        <v>4.62882</v>
      </c>
      <c r="G446" s="20" t="n">
        <v>4.269299999999999</v>
      </c>
      <c r="H446" s="7" t="n">
        <v>46289.625</v>
      </c>
      <c r="I446" s="20" t="n">
        <v>4.269299999999999</v>
      </c>
      <c r="J446" s="2" t="inlineStr">
        <is>
          <t>止損</t>
        </is>
      </c>
      <c r="K446" s="5">
        <f>(H446-D446)*24</f>
        <v/>
      </c>
      <c r="L446" s="4">
        <f>IF(C446="做多",I446/E446-1,1-I446/E446)-2*參數!$B$7</f>
        <v/>
      </c>
      <c r="M446" s="2" t="inlineStr"/>
      <c r="N446" s="4" t="n">
        <v>0.02908174948477216</v>
      </c>
      <c r="O446" s="4" t="n">
        <v>0.03610447918243338</v>
      </c>
      <c r="P446" s="4" t="n">
        <v>0.01080758892925004</v>
      </c>
      <c r="Q446" s="22" t="n">
        <v>839181</v>
      </c>
      <c r="R446" s="22" t="n">
        <v>30136162.013</v>
      </c>
      <c r="S446" s="4" t="n">
        <v>0.01223854027592353</v>
      </c>
      <c r="T446" s="4" t="n">
        <v>0.05</v>
      </c>
      <c r="U446" s="19" t="n">
        <v>0.3980010779409541</v>
      </c>
      <c r="V446" s="19" t="n">
        <v>0.8316831683168326</v>
      </c>
      <c r="W446" s="4" t="n">
        <v>0.06503238466296479</v>
      </c>
      <c r="X446" s="4" t="n">
        <v>0.02673063742289239</v>
      </c>
      <c r="Y446" s="4" t="n">
        <v>0.001187094990244608</v>
      </c>
      <c r="Z446" s="4" t="n">
        <v>-0.007099491758728149</v>
      </c>
      <c r="AA446" s="4" t="n">
        <v>0.03</v>
      </c>
      <c r="AB446" s="4" t="n">
        <v>0.05</v>
      </c>
      <c r="AC446" s="4">
        <f>(AB446+2*參數!$B$7)/(AA446+AB446)</f>
        <v/>
      </c>
    </row>
    <row r="447">
      <c r="A447" s="2" t="n">
        <v>446</v>
      </c>
      <c r="B447" s="2" t="inlineStr">
        <is>
          <t>RAY_USDT_PERP</t>
        </is>
      </c>
      <c r="C447" s="2" t="inlineStr">
        <is>
          <t>做多</t>
        </is>
      </c>
      <c r="D447" s="7" t="n">
        <v>46289.54166666666</v>
      </c>
      <c r="E447" s="20" t="n">
        <v>2.046</v>
      </c>
      <c r="F447" s="20" t="n">
        <v>2.10738</v>
      </c>
      <c r="G447" s="20" t="n">
        <v>1.9437</v>
      </c>
      <c r="H447" s="7" t="n">
        <v>46289.58333333334</v>
      </c>
      <c r="I447" s="20" t="n">
        <v>2.10738</v>
      </c>
      <c r="J447" s="2" t="inlineStr">
        <is>
          <t>止盈</t>
        </is>
      </c>
      <c r="K447" s="5">
        <f>(H447-D447)*24</f>
        <v/>
      </c>
      <c r="L447" s="4">
        <f>IF(C447="做多",I447/E447-1,1-I447/E447)-2*參數!$B$7</f>
        <v/>
      </c>
      <c r="M447" s="2" t="inlineStr"/>
      <c r="N447" s="4" t="n">
        <v>0.03963414634146334</v>
      </c>
      <c r="O447" s="4" t="n">
        <v>0.03165247204284181</v>
      </c>
      <c r="P447" s="4" t="n">
        <v>0.02502442323589094</v>
      </c>
      <c r="Q447" s="22" t="n">
        <v>230938.6999999997</v>
      </c>
      <c r="R447" s="22" t="n">
        <v>1636298.1658</v>
      </c>
      <c r="S447" s="4" t="n">
        <v>0.03</v>
      </c>
      <c r="T447" s="4" t="n">
        <v>0</v>
      </c>
      <c r="U447" s="19" t="n">
        <v>0.5933321061864697</v>
      </c>
      <c r="V447" s="19" t="n">
        <v>0.9473684210526281</v>
      </c>
      <c r="W447" s="4" t="n">
        <v>0.1434958781612405</v>
      </c>
      <c r="X447" s="4" t="n">
        <v>0.124175824175824</v>
      </c>
      <c r="Y447" s="4" t="n">
        <v>0.001187094990244608</v>
      </c>
      <c r="Z447" s="4" t="n">
        <v>-0.007099491758728149</v>
      </c>
      <c r="AA447" s="4" t="n">
        <v>0.03</v>
      </c>
      <c r="AB447" s="4" t="n">
        <v>0.05</v>
      </c>
      <c r="AC447" s="4">
        <f>(AB447+2*參數!$B$7)/(AA447+AB447)</f>
        <v/>
      </c>
    </row>
    <row r="448">
      <c r="A448" s="2" t="n">
        <v>447</v>
      </c>
      <c r="B448" s="2" t="inlineStr">
        <is>
          <t>LIT_USDT_PERP</t>
        </is>
      </c>
      <c r="C448" s="2" t="inlineStr">
        <is>
          <t>做多</t>
        </is>
      </c>
      <c r="D448" s="7" t="n">
        <v>46289.66666666666</v>
      </c>
      <c r="E448" s="20" t="n">
        <v>5.48</v>
      </c>
      <c r="F448" s="20" t="n">
        <v>5.644400000000001</v>
      </c>
      <c r="G448" s="20" t="n">
        <v>5.206</v>
      </c>
      <c r="H448" s="7" t="n">
        <v>46289.75</v>
      </c>
      <c r="I448" s="20" t="n">
        <v>5.206</v>
      </c>
      <c r="J448" s="2" t="inlineStr">
        <is>
          <t>止損</t>
        </is>
      </c>
      <c r="K448" s="5">
        <f>(H448-D448)*24</f>
        <v/>
      </c>
      <c r="L448" s="4">
        <f>IF(C448="做多",I448/E448-1,1-I448/E448)-2*參數!$B$7</f>
        <v/>
      </c>
      <c r="M448" s="2" t="inlineStr"/>
      <c r="N448" s="4" t="n">
        <v>0.04680038204393511</v>
      </c>
      <c r="O448" s="4" t="n">
        <v>0.02906907074769146</v>
      </c>
      <c r="P448" s="4" t="n">
        <v>0.02753532152667759</v>
      </c>
      <c r="Q448" s="22" t="n">
        <v>156787.2000000001</v>
      </c>
      <c r="R448" s="22" t="n">
        <v>9420537.3901</v>
      </c>
      <c r="S448" s="4" t="n">
        <v>0.001459854014598472</v>
      </c>
      <c r="T448" s="4" t="n">
        <v>0.05</v>
      </c>
      <c r="U448" s="19" t="n">
        <v>0.8668231548558555</v>
      </c>
      <c r="V448" s="19" t="n">
        <v>0.8950819672131175</v>
      </c>
      <c r="W448" s="4" t="n">
        <v>0.1059245670648399</v>
      </c>
      <c r="X448" s="4" t="n">
        <v>0.06078203639179258</v>
      </c>
      <c r="Y448" s="4" t="n">
        <v>0.004729369671132799</v>
      </c>
      <c r="Z448" s="4" t="n">
        <v>0.001276785558703031</v>
      </c>
      <c r="AA448" s="4" t="n">
        <v>0.03</v>
      </c>
      <c r="AB448" s="4" t="n">
        <v>0.05</v>
      </c>
      <c r="AC448" s="4">
        <f>(AB448+2*參數!$B$7)/(AA448+AB448)</f>
        <v/>
      </c>
    </row>
    <row r="449">
      <c r="A449" s="2" t="n">
        <v>448</v>
      </c>
      <c r="B449" s="2" t="inlineStr">
        <is>
          <t>ENA_USDT_PERP</t>
        </is>
      </c>
      <c r="C449" s="2" t="inlineStr">
        <is>
          <t>做空</t>
        </is>
      </c>
      <c r="D449" s="7" t="n">
        <v>46289.70833333334</v>
      </c>
      <c r="E449" s="20" t="n">
        <v>0.203</v>
      </c>
      <c r="F449" s="20" t="n">
        <v>0.19691</v>
      </c>
      <c r="G449" s="20" t="n">
        <v>0.21315</v>
      </c>
      <c r="H449" s="7" t="n">
        <v>46289.91666666666</v>
      </c>
      <c r="I449" s="20" t="n">
        <v>0.21315</v>
      </c>
      <c r="J449" s="2" t="inlineStr">
        <is>
          <t>止損</t>
        </is>
      </c>
      <c r="K449" s="5">
        <f>(H449-D449)*24</f>
        <v/>
      </c>
      <c r="L449" s="4">
        <f>IF(C449="做多",I449/E449-1,1-I449/E449)-2*參數!$B$7</f>
        <v/>
      </c>
      <c r="M449" s="2" t="inlineStr"/>
      <c r="N449" s="4" t="n">
        <v>-0.02262879152623964</v>
      </c>
      <c r="O449" s="4" t="n">
        <v>0.02454909929844816</v>
      </c>
      <c r="P449" s="4" t="n">
        <v>-0.01799535603715174</v>
      </c>
      <c r="Q449" s="22" t="n">
        <v>-2896187</v>
      </c>
      <c r="R449" s="22" t="n">
        <v>9234602.8069</v>
      </c>
      <c r="S449" s="4" t="n">
        <v>0.01871921182266023</v>
      </c>
      <c r="T449" s="4" t="n">
        <v>0.05</v>
      </c>
      <c r="U449" s="19" t="n">
        <v>0.9629617681623367</v>
      </c>
      <c r="V449" s="19" t="n">
        <v>0.7428571428571397</v>
      </c>
      <c r="W449" s="4" t="n">
        <v>0.0402118153235147</v>
      </c>
      <c r="X449" s="4" t="n">
        <v>0.04650070455612965</v>
      </c>
      <c r="Y449" s="4" t="n">
        <v>0.01009731495951127</v>
      </c>
      <c r="Z449" s="4" t="n">
        <v>0.007745485686435627</v>
      </c>
      <c r="AA449" s="4" t="n">
        <v>0.03</v>
      </c>
      <c r="AB449" s="4" t="n">
        <v>0.05</v>
      </c>
      <c r="AC449" s="4">
        <f>(AB449+2*參數!$B$7)/(AA449+AB449)</f>
        <v/>
      </c>
    </row>
    <row r="450">
      <c r="A450" s="2" t="n">
        <v>449</v>
      </c>
      <c r="B450" s="2" t="inlineStr">
        <is>
          <t>ICP_USDT_PERP</t>
        </is>
      </c>
      <c r="C450" s="2" t="inlineStr">
        <is>
          <t>做空</t>
        </is>
      </c>
      <c r="D450" s="7" t="n">
        <v>46289.70833333334</v>
      </c>
      <c r="E450" s="20" t="n">
        <v>2.912</v>
      </c>
      <c r="F450" s="20" t="n">
        <v>2.82464</v>
      </c>
      <c r="G450" s="20" t="n">
        <v>3.0576</v>
      </c>
      <c r="H450" s="7" t="n">
        <v>46289.91666666666</v>
      </c>
      <c r="I450" s="20" t="n">
        <v>3.0576</v>
      </c>
      <c r="J450" s="2" t="inlineStr">
        <is>
          <t>止損</t>
        </is>
      </c>
      <c r="K450" s="5">
        <f>(H450-D450)*24</f>
        <v/>
      </c>
      <c r="L450" s="4">
        <f>IF(C450="做多",I450/E450-1,1-I450/E450)-2*參數!$B$7</f>
        <v/>
      </c>
      <c r="M450" s="2" t="inlineStr"/>
      <c r="N450" s="4" t="n">
        <v>-0.02576112412177989</v>
      </c>
      <c r="O450" s="4" t="n">
        <v>0.02169080560793245</v>
      </c>
      <c r="P450" s="4" t="n">
        <v>-0.007193754048617551</v>
      </c>
      <c r="Q450" s="22" t="n">
        <v>-460933</v>
      </c>
      <c r="R450" s="22" t="n">
        <v>6954686.802</v>
      </c>
      <c r="S450" s="4" t="n">
        <v>0.01201923076923084</v>
      </c>
      <c r="T450" s="4" t="n">
        <v>0.05</v>
      </c>
      <c r="U450" s="19" t="n">
        <v>0.9886130612976611</v>
      </c>
      <c r="V450" s="19" t="n">
        <v>0.828828828828828</v>
      </c>
      <c r="W450" s="4" t="n">
        <v>0.009338481688751399</v>
      </c>
      <c r="X450" s="4" t="n">
        <v>0.03799141063759504</v>
      </c>
      <c r="Y450" s="4" t="n">
        <v>0.01009731495951127</v>
      </c>
      <c r="Z450" s="4" t="n">
        <v>0.007745485686435627</v>
      </c>
      <c r="AA450" s="4" t="n">
        <v>0.03</v>
      </c>
      <c r="AB450" s="4" t="n">
        <v>0.05</v>
      </c>
      <c r="AC450" s="4">
        <f>(AB450+2*參數!$B$7)/(AA450+AB450)</f>
        <v/>
      </c>
    </row>
    <row r="451">
      <c r="A451" s="2" t="n">
        <v>450</v>
      </c>
      <c r="B451" s="2" t="inlineStr">
        <is>
          <t>MET_USDT_PERP</t>
        </is>
      </c>
      <c r="C451" s="2" t="inlineStr">
        <is>
          <t>做空</t>
        </is>
      </c>
      <c r="D451" s="7" t="n">
        <v>46289.70833333334</v>
      </c>
      <c r="E451" s="20" t="n">
        <v>0.3454</v>
      </c>
      <c r="F451" s="20" t="n">
        <v>0.335038</v>
      </c>
      <c r="G451" s="20" t="n">
        <v>0.36267</v>
      </c>
      <c r="H451" s="7" t="n">
        <v>46289.75</v>
      </c>
      <c r="I451" s="20" t="n">
        <v>0.335038</v>
      </c>
      <c r="J451" s="2" t="inlineStr">
        <is>
          <t>止盈</t>
        </is>
      </c>
      <c r="K451" s="5">
        <f>(H451-D451)*24</f>
        <v/>
      </c>
      <c r="L451" s="4">
        <f>IF(C451="做多",I451/E451-1,1-I451/E451)-2*參數!$B$7</f>
        <v/>
      </c>
      <c r="M451" s="2" t="inlineStr"/>
      <c r="N451" s="4" t="n">
        <v>-0.02208380520951314</v>
      </c>
      <c r="O451" s="4" t="n">
        <v>0.03551245303501312</v>
      </c>
      <c r="P451" s="4" t="n">
        <v>-0.0122680088078011</v>
      </c>
      <c r="Q451" s="22" t="n">
        <v>-1010415</v>
      </c>
      <c r="R451" s="22" t="n">
        <v>1522278.7512</v>
      </c>
      <c r="S451" s="4" t="n">
        <v>0.03</v>
      </c>
      <c r="T451" s="4" t="n">
        <v>0</v>
      </c>
      <c r="U451" s="19" t="n">
        <v>0.7252294784419661</v>
      </c>
      <c r="V451" s="19" t="n">
        <v>0.7657657657657665</v>
      </c>
      <c r="W451" s="4" t="n">
        <v>-0.1522243868591708</v>
      </c>
      <c r="X451" s="4" t="n">
        <v>0.06724277612746432</v>
      </c>
      <c r="Y451" s="4" t="n">
        <v>0.01009731495951127</v>
      </c>
      <c r="Z451" s="4" t="n">
        <v>0.007745485686435627</v>
      </c>
      <c r="AA451" s="4" t="n">
        <v>0.03</v>
      </c>
      <c r="AB451" s="4" t="n">
        <v>0.05</v>
      </c>
      <c r="AC451" s="4">
        <f>(AB451+2*參數!$B$7)/(AA451+AB451)</f>
        <v/>
      </c>
    </row>
    <row r="452">
      <c r="A452" s="2" t="n">
        <v>451</v>
      </c>
      <c r="B452" s="2" t="inlineStr">
        <is>
          <t>NEAR_USDT_PERP</t>
        </is>
      </c>
      <c r="C452" s="2" t="inlineStr">
        <is>
          <t>做空</t>
        </is>
      </c>
      <c r="D452" s="7" t="n">
        <v>46289.70833333334</v>
      </c>
      <c r="E452" s="20" t="n">
        <v>4.25</v>
      </c>
      <c r="F452" s="20" t="n">
        <v>4.1225</v>
      </c>
      <c r="G452" s="20" t="n">
        <v>4.4625</v>
      </c>
      <c r="H452" s="7" t="n">
        <v>46289.75</v>
      </c>
      <c r="I452" s="20" t="n">
        <v>4.1225</v>
      </c>
      <c r="J452" s="2" t="inlineStr">
        <is>
          <t>止盈</t>
        </is>
      </c>
      <c r="K452" s="5">
        <f>(H452-D452)*24</f>
        <v/>
      </c>
      <c r="L452" s="4">
        <f>IF(C452="做多",I452/E452-1,1-I452/E452)-2*參數!$B$7</f>
        <v/>
      </c>
      <c r="M452" s="2" t="inlineStr"/>
      <c r="N452" s="4" t="n">
        <v>-0.02455818223548323</v>
      </c>
      <c r="O452" s="4" t="n">
        <v>0.0380818044840574</v>
      </c>
      <c r="P452" s="4" t="n">
        <v>-0.02960282214332188</v>
      </c>
      <c r="Q452" s="22" t="n">
        <v>-612988</v>
      </c>
      <c r="R452" s="22" t="n">
        <v>28681142.649</v>
      </c>
      <c r="S452" s="4" t="n">
        <v>0.03</v>
      </c>
      <c r="T452" s="4" t="n">
        <v>0</v>
      </c>
      <c r="U452" s="19" t="n">
        <v>0.5949278209534832</v>
      </c>
      <c r="V452" s="19" t="n">
        <v>0.623655913978493</v>
      </c>
      <c r="W452" s="4" t="n">
        <v>0.0003880846259688431</v>
      </c>
      <c r="X452" s="4" t="n">
        <v>0.06449482720669164</v>
      </c>
      <c r="Y452" s="4" t="n">
        <v>0.01009731495951127</v>
      </c>
      <c r="Z452" s="4" t="n">
        <v>0.007745485686435627</v>
      </c>
      <c r="AA452" s="4" t="n">
        <v>0.03</v>
      </c>
      <c r="AB452" s="4" t="n">
        <v>0.05</v>
      </c>
      <c r="AC452" s="4">
        <f>(AB452+2*參數!$B$7)/(AA452+AB452)</f>
        <v/>
      </c>
    </row>
    <row r="453">
      <c r="A453" s="2" t="n">
        <v>452</v>
      </c>
      <c r="B453" s="2" t="inlineStr">
        <is>
          <t>PONS_USDT_PERP</t>
        </is>
      </c>
      <c r="C453" s="2" t="inlineStr">
        <is>
          <t>做空</t>
        </is>
      </c>
      <c r="D453" s="7" t="n">
        <v>46289.70833333334</v>
      </c>
      <c r="E453" s="20" t="n">
        <v>0.623</v>
      </c>
      <c r="F453" s="20" t="n">
        <v>0.60431</v>
      </c>
      <c r="G453" s="20" t="n">
        <v>0.65415</v>
      </c>
      <c r="H453" s="7" t="n">
        <v>46289.83333333334</v>
      </c>
      <c r="I453" s="20" t="n">
        <v>0.60431</v>
      </c>
      <c r="J453" s="2" t="inlineStr">
        <is>
          <t>止盈</t>
        </is>
      </c>
      <c r="K453" s="5">
        <f>(H453-D453)*24</f>
        <v/>
      </c>
      <c r="L453" s="4">
        <f>IF(C453="做多",I453/E453-1,1-I453/E453)-2*參數!$B$7</f>
        <v/>
      </c>
      <c r="M453" s="2" t="inlineStr"/>
      <c r="N453" s="4" t="n">
        <v>-0.02412280701754377</v>
      </c>
      <c r="O453" s="4" t="n">
        <v>0.03108626100796166</v>
      </c>
      <c r="P453" s="4" t="n">
        <v>-0.03737696812373503</v>
      </c>
      <c r="Q453" s="22" t="n">
        <v>-430778</v>
      </c>
      <c r="R453" s="22" t="n">
        <v>2685002.5939</v>
      </c>
      <c r="S453" s="4" t="n">
        <v>0.03</v>
      </c>
      <c r="T453" s="4" t="n">
        <v>0.002407704654895815</v>
      </c>
      <c r="U453" s="19" t="n">
        <v>0.7699089250781871</v>
      </c>
      <c r="V453" s="19" t="n">
        <v>0.6296296296296297</v>
      </c>
      <c r="W453" s="4" t="n">
        <v>0.008586941991992281</v>
      </c>
      <c r="X453" s="4" t="n">
        <v>0.07388137356919866</v>
      </c>
      <c r="Y453" s="4" t="n">
        <v>0.01009731495951127</v>
      </c>
      <c r="Z453" s="4" t="n">
        <v>0.007745485686435627</v>
      </c>
      <c r="AA453" s="4" t="n">
        <v>0.03</v>
      </c>
      <c r="AB453" s="4" t="n">
        <v>0.05</v>
      </c>
      <c r="AC453" s="4">
        <f>(AB453+2*參數!$B$7)/(AA453+AB453)</f>
        <v/>
      </c>
    </row>
    <row r="454">
      <c r="A454" s="2" t="n">
        <v>453</v>
      </c>
      <c r="B454" s="2" t="inlineStr">
        <is>
          <t>PYTH_USDT_PERP</t>
        </is>
      </c>
      <c r="C454" s="2" t="inlineStr">
        <is>
          <t>做空</t>
        </is>
      </c>
      <c r="D454" s="7" t="n">
        <v>46289.70833333334</v>
      </c>
      <c r="E454" s="20" t="n">
        <v>0.06320000000000001</v>
      </c>
      <c r="F454" s="20" t="n">
        <v>0.061304</v>
      </c>
      <c r="G454" s="20" t="n">
        <v>0.06636000000000002</v>
      </c>
      <c r="H454" s="7" t="n">
        <v>46289.91666666666</v>
      </c>
      <c r="I454" s="20" t="n">
        <v>0.06636000000000002</v>
      </c>
      <c r="J454" s="2" t="inlineStr">
        <is>
          <t>止損</t>
        </is>
      </c>
      <c r="K454" s="5">
        <f>(H454-D454)*24</f>
        <v/>
      </c>
      <c r="L454" s="4">
        <f>IF(C454="做多",I454/E454-1,1-I454/E454)-2*參數!$B$7</f>
        <v/>
      </c>
      <c r="M454" s="2" t="inlineStr"/>
      <c r="N454" s="4" t="n">
        <v>-0.02604407458776381</v>
      </c>
      <c r="O454" s="4" t="n">
        <v>0.02445770905152173</v>
      </c>
      <c r="P454" s="4" t="n">
        <v>-0.001666521866188431</v>
      </c>
      <c r="Q454" s="22" t="n">
        <v>-9968676</v>
      </c>
      <c r="R454" s="22" t="n">
        <v>1998110.33657</v>
      </c>
      <c r="S454" s="4" t="n">
        <v>0.02151898734177227</v>
      </c>
      <c r="T454" s="4" t="n">
        <v>0.05</v>
      </c>
      <c r="U454" s="19" t="n">
        <v>0.5182355812408136</v>
      </c>
      <c r="V454" s="19" t="n">
        <v>0.7469879518072273</v>
      </c>
      <c r="W454" s="4" t="n">
        <v>0.001502485974427481</v>
      </c>
      <c r="X454" s="4" t="n">
        <v>0.04502870957993343</v>
      </c>
      <c r="Y454" s="4" t="n">
        <v>0.01009731495951127</v>
      </c>
      <c r="Z454" s="4" t="n">
        <v>0.007745485686435627</v>
      </c>
      <c r="AA454" s="4" t="n">
        <v>0.03</v>
      </c>
      <c r="AB454" s="4" t="n">
        <v>0.05</v>
      </c>
      <c r="AC454" s="4">
        <f>(AB454+2*參數!$B$7)/(AA454+AB454)</f>
        <v/>
      </c>
    </row>
    <row r="455">
      <c r="A455" s="2" t="n">
        <v>454</v>
      </c>
      <c r="B455" s="2" t="inlineStr">
        <is>
          <t>PEPE_USDT_PERP</t>
        </is>
      </c>
      <c r="C455" s="2" t="inlineStr">
        <is>
          <t>做空</t>
        </is>
      </c>
      <c r="D455" s="7" t="n">
        <v>46289.75</v>
      </c>
      <c r="E455" s="20" t="n">
        <v>4.2443e-06</v>
      </c>
      <c r="F455" s="20" t="n">
        <v>4.116971e-06</v>
      </c>
      <c r="G455" s="20" t="n">
        <v>4.456515000000001e-06</v>
      </c>
      <c r="H455" s="7" t="n">
        <v>46289.95833333334</v>
      </c>
      <c r="I455" s="20" t="n">
        <v>4.456515000000001e-06</v>
      </c>
      <c r="J455" s="2" t="inlineStr">
        <is>
          <t>止損</t>
        </is>
      </c>
      <c r="K455" s="5">
        <f>(H455-D455)*24</f>
        <v/>
      </c>
      <c r="L455" s="4">
        <f>IF(C455="做多",I455/E455-1,1-I455/E455)-2*參數!$B$7</f>
        <v/>
      </c>
      <c r="M455" s="2" t="inlineStr"/>
      <c r="N455" s="4" t="n">
        <v>-0.02180276106847356</v>
      </c>
      <c r="O455" s="4" t="n">
        <v>0.0205113815962869</v>
      </c>
      <c r="P455" s="4" t="n">
        <v>-0.02872207258439152</v>
      </c>
      <c r="Q455" s="22" t="n">
        <v>-249876285634</v>
      </c>
      <c r="R455" s="22" t="n">
        <v>3110959.089022235</v>
      </c>
      <c r="S455" s="4" t="n">
        <v>0.001837758876610973</v>
      </c>
      <c r="T455" s="4" t="n">
        <v>0.05</v>
      </c>
      <c r="U455" s="19" t="n">
        <v>2.085507974836852</v>
      </c>
      <c r="V455" s="19" t="n">
        <v>0.7568978374347479</v>
      </c>
      <c r="W455" s="4" t="n">
        <v>0.06404220068612931</v>
      </c>
      <c r="X455" s="4" t="n">
        <v>0.1290349059120477</v>
      </c>
      <c r="Y455" s="4" t="n">
        <v>0.004588884065198862</v>
      </c>
      <c r="Z455" s="4" t="n">
        <v>0.0108176554490903</v>
      </c>
      <c r="AA455" s="4" t="n">
        <v>0.03</v>
      </c>
      <c r="AB455" s="4" t="n">
        <v>0.05</v>
      </c>
      <c r="AC455" s="4">
        <f>(AB455+2*參數!$B$7)/(AA455+AB455)</f>
        <v/>
      </c>
    </row>
    <row r="456">
      <c r="A456" s="2" t="n">
        <v>455</v>
      </c>
      <c r="B456" s="2" t="inlineStr">
        <is>
          <t>PUMP_USDT_PERP</t>
        </is>
      </c>
      <c r="C456" s="2" t="inlineStr">
        <is>
          <t>做空</t>
        </is>
      </c>
      <c r="D456" s="7" t="n">
        <v>46289.75</v>
      </c>
      <c r="E456" s="20" t="n">
        <v>0.003843</v>
      </c>
      <c r="F456" s="20" t="n">
        <v>0.00372771</v>
      </c>
      <c r="G456" s="20" t="n">
        <v>0.00403515</v>
      </c>
      <c r="H456" s="7" t="n">
        <v>46290.75</v>
      </c>
      <c r="I456" s="20" t="n">
        <v>0.00403515</v>
      </c>
      <c r="J456" s="2" t="inlineStr">
        <is>
          <t>止損</t>
        </is>
      </c>
      <c r="K456" s="5">
        <f>(H456-D456)*24</f>
        <v/>
      </c>
      <c r="L456" s="4">
        <f>IF(C456="做多",I456/E456-1,1-I456/E456)-2*參數!$B$7</f>
        <v/>
      </c>
      <c r="M456" s="2" t="inlineStr"/>
      <c r="N456" s="4" t="n">
        <v>-0.0248667850799289</v>
      </c>
      <c r="O456" s="4" t="n">
        <v>0.02116882880371626</v>
      </c>
      <c r="P456" s="4" t="n">
        <v>-0.03627449751106537</v>
      </c>
      <c r="Q456" s="22" t="n">
        <v>-317022069</v>
      </c>
      <c r="R456" s="22" t="n">
        <v>3008930.065168</v>
      </c>
      <c r="S456" s="4" t="n">
        <v>0.02419984387197505</v>
      </c>
      <c r="T456" s="4" t="n">
        <v>0.05</v>
      </c>
      <c r="U456" s="19" t="n">
        <v>1.99873050845173</v>
      </c>
      <c r="V456" s="19" t="n">
        <v>0.8503937007874016</v>
      </c>
      <c r="W456" s="4" t="n">
        <v>0.1001538378684673</v>
      </c>
      <c r="X456" s="4" t="n">
        <v>0.1114450867052023</v>
      </c>
      <c r="Y456" s="4" t="n">
        <v>0.004588884065198862</v>
      </c>
      <c r="Z456" s="4" t="n">
        <v>0.0108176554490903</v>
      </c>
      <c r="AA456" s="4" t="n">
        <v>0.03</v>
      </c>
      <c r="AB456" s="4" t="n">
        <v>0.05</v>
      </c>
      <c r="AC456" s="4">
        <f>(AB456+2*參數!$B$7)/(AA456+AB456)</f>
        <v/>
      </c>
    </row>
    <row r="457">
      <c r="A457" s="2" t="n">
        <v>456</v>
      </c>
      <c r="B457" s="2" t="inlineStr">
        <is>
          <t>TAO_USDT_PERP</t>
        </is>
      </c>
      <c r="C457" s="2" t="inlineStr">
        <is>
          <t>做空</t>
        </is>
      </c>
      <c r="D457" s="7" t="n">
        <v>46289.75</v>
      </c>
      <c r="E457" s="20" t="n">
        <v>280.61</v>
      </c>
      <c r="F457" s="20" t="n">
        <v>272.1917</v>
      </c>
      <c r="G457" s="20" t="n">
        <v>294.6405</v>
      </c>
      <c r="H457" s="7" t="n">
        <v>46289.95833333334</v>
      </c>
      <c r="I457" s="20" t="n">
        <v>294.6405</v>
      </c>
      <c r="J457" s="2" t="inlineStr">
        <is>
          <t>止損</t>
        </is>
      </c>
      <c r="K457" s="5">
        <f>(H457-D457)*24</f>
        <v/>
      </c>
      <c r="L457" s="4">
        <f>IF(C457="做多",I457/E457-1,1-I457/E457)-2*參數!$B$7</f>
        <v/>
      </c>
      <c r="M457" s="2" t="inlineStr"/>
      <c r="N457" s="4" t="n">
        <v>-0.02345571602575258</v>
      </c>
      <c r="O457" s="4" t="n">
        <v>0.02273791706292787</v>
      </c>
      <c r="P457" s="4" t="n">
        <v>-0.02889001169720151</v>
      </c>
      <c r="Q457" s="22" t="n">
        <v>-9379.708999999995</v>
      </c>
      <c r="R457" s="22" t="n">
        <v>7655338.57987</v>
      </c>
      <c r="S457" s="4" t="n">
        <v>0.008053882612879093</v>
      </c>
      <c r="T457" s="4" t="n">
        <v>0.05</v>
      </c>
      <c r="U457" s="19" t="n">
        <v>1.446875126044874</v>
      </c>
      <c r="V457" s="19" t="n">
        <v>0.7971491228070151</v>
      </c>
      <c r="W457" s="4" t="n">
        <v>0.03741792959611401</v>
      </c>
      <c r="X457" s="4" t="n">
        <v>0.09492323571152106</v>
      </c>
      <c r="Y457" s="4" t="n">
        <v>0.004588884065198862</v>
      </c>
      <c r="Z457" s="4" t="n">
        <v>0.0108176554490903</v>
      </c>
      <c r="AA457" s="4" t="n">
        <v>0.03</v>
      </c>
      <c r="AB457" s="4" t="n">
        <v>0.05</v>
      </c>
      <c r="AC457" s="4">
        <f>(AB457+2*參數!$B$7)/(AA457+AB457)</f>
        <v/>
      </c>
    </row>
    <row r="458">
      <c r="A458" s="2" t="n">
        <v>457</v>
      </c>
      <c r="B458" s="2" t="inlineStr">
        <is>
          <t>UNI_USDT_PERP</t>
        </is>
      </c>
      <c r="C458" s="2" t="inlineStr">
        <is>
          <t>做空</t>
        </is>
      </c>
      <c r="D458" s="7" t="n">
        <v>46289.75</v>
      </c>
      <c r="E458" s="20" t="n">
        <v>8.867000000000001</v>
      </c>
      <c r="F458" s="20" t="n">
        <v>8.600990000000001</v>
      </c>
      <c r="G458" s="20" t="n">
        <v>9.310350000000001</v>
      </c>
      <c r="H458" s="7" t="n">
        <v>46289.95833333334</v>
      </c>
      <c r="I458" s="20" t="n">
        <v>9.310350000000001</v>
      </c>
      <c r="J458" s="2" t="inlineStr">
        <is>
          <t>止損</t>
        </is>
      </c>
      <c r="K458" s="5">
        <f>(H458-D458)*24</f>
        <v/>
      </c>
      <c r="L458" s="4">
        <f>IF(C458="做多",I458/E458-1,1-I458/E458)-2*參數!$B$7</f>
        <v/>
      </c>
      <c r="M458" s="2" t="inlineStr"/>
      <c r="N458" s="4" t="n">
        <v>-0.03018702832768239</v>
      </c>
      <c r="O458" s="4" t="n">
        <v>0.02470598535016387</v>
      </c>
      <c r="P458" s="4" t="n">
        <v>-0.03782716263726715</v>
      </c>
      <c r="Q458" s="22" t="n">
        <v>-288451</v>
      </c>
      <c r="R458" s="22" t="n">
        <v>13090495.049</v>
      </c>
      <c r="S458" s="4" t="n">
        <v>0.001240554866358545</v>
      </c>
      <c r="T458" s="4" t="n">
        <v>0.05</v>
      </c>
      <c r="U458" s="19" t="n">
        <v>2.132380401856325</v>
      </c>
      <c r="V458" s="19" t="n">
        <v>0.8035264483627176</v>
      </c>
      <c r="W458" s="4" t="n">
        <v>0.03284741196424579</v>
      </c>
      <c r="X458" s="4" t="n">
        <v>0.122774040364068</v>
      </c>
      <c r="Y458" s="4" t="n">
        <v>0.004588884065198862</v>
      </c>
      <c r="Z458" s="4" t="n">
        <v>0.0108176554490903</v>
      </c>
      <c r="AA458" s="4" t="n">
        <v>0.03</v>
      </c>
      <c r="AB458" s="4" t="n">
        <v>0.05</v>
      </c>
      <c r="AC458" s="4">
        <f>(AB458+2*參數!$B$7)/(AA458+AB458)</f>
        <v/>
      </c>
    </row>
    <row r="459">
      <c r="A459" s="2" t="n">
        <v>458</v>
      </c>
      <c r="B459" s="2" t="inlineStr">
        <is>
          <t>VVV_USDT_PERP</t>
        </is>
      </c>
      <c r="C459" s="2" t="inlineStr">
        <is>
          <t>做空</t>
        </is>
      </c>
      <c r="D459" s="7" t="n">
        <v>46289.75</v>
      </c>
      <c r="E459" s="20" t="n">
        <v>28.736</v>
      </c>
      <c r="F459" s="20" t="n">
        <v>27.87392</v>
      </c>
      <c r="G459" s="20" t="n">
        <v>30.1728</v>
      </c>
      <c r="H459" s="7" t="n">
        <v>46289.95833333334</v>
      </c>
      <c r="I459" s="20" t="n">
        <v>30.1728</v>
      </c>
      <c r="J459" s="2" t="inlineStr">
        <is>
          <t>止損</t>
        </is>
      </c>
      <c r="K459" s="5">
        <f>(H459-D459)*24</f>
        <v/>
      </c>
      <c r="L459" s="4">
        <f>IF(C459="做多",I459/E459-1,1-I459/E459)-2*參數!$B$7</f>
        <v/>
      </c>
      <c r="M459" s="2" t="inlineStr"/>
      <c r="N459" s="4" t="n">
        <v>-0.04433137117962016</v>
      </c>
      <c r="O459" s="4" t="n">
        <v>0.02930031790035145</v>
      </c>
      <c r="P459" s="4" t="n">
        <v>-0.05041372564570268</v>
      </c>
      <c r="Q459" s="22" t="n">
        <v>-2532.169999999984</v>
      </c>
      <c r="R459" s="22" t="n">
        <v>1635166.545910001</v>
      </c>
      <c r="S459" s="4" t="n">
        <v>0.009291481069042318</v>
      </c>
      <c r="T459" s="4" t="n">
        <v>0.05</v>
      </c>
      <c r="U459" s="19" t="n">
        <v>2.686446981569443</v>
      </c>
      <c r="V459" s="19" t="n">
        <v>0.9491322561340509</v>
      </c>
      <c r="W459" s="4" t="n">
        <v>0.07414626916645461</v>
      </c>
      <c r="X459" s="4" t="n">
        <v>0.08942265035807084</v>
      </c>
      <c r="Y459" s="4" t="n">
        <v>0.004588884065198862</v>
      </c>
      <c r="Z459" s="4" t="n">
        <v>0.0108176554490903</v>
      </c>
      <c r="AA459" s="4" t="n">
        <v>0.03</v>
      </c>
      <c r="AB459" s="4" t="n">
        <v>0.05</v>
      </c>
      <c r="AC459" s="4">
        <f>(AB459+2*參數!$B$7)/(AA459+AB459)</f>
        <v/>
      </c>
    </row>
    <row r="460">
      <c r="A460" s="2" t="n">
        <v>459</v>
      </c>
      <c r="B460" s="2" t="inlineStr">
        <is>
          <t>ZEC_USDT_PERP</t>
        </is>
      </c>
      <c r="C460" s="2" t="inlineStr">
        <is>
          <t>做空</t>
        </is>
      </c>
      <c r="D460" s="7" t="n">
        <v>46289.75</v>
      </c>
      <c r="E460" s="20" t="n">
        <v>1478.57</v>
      </c>
      <c r="F460" s="20" t="n">
        <v>1434.2129</v>
      </c>
      <c r="G460" s="20" t="n">
        <v>1552.4985</v>
      </c>
      <c r="H460" s="7" t="n">
        <v>46290.08333333334</v>
      </c>
      <c r="I460" s="20" t="n">
        <v>1552.4985</v>
      </c>
      <c r="J460" s="2" t="inlineStr">
        <is>
          <t>止損</t>
        </is>
      </c>
      <c r="K460" s="5">
        <f>(H460-D460)*24</f>
        <v/>
      </c>
      <c r="L460" s="4">
        <f>IF(C460="做多",I460/E460-1,1-I460/E460)-2*參數!$B$7</f>
        <v/>
      </c>
      <c r="M460" s="2" t="inlineStr"/>
      <c r="N460" s="4" t="n">
        <v>-0.02429093692671158</v>
      </c>
      <c r="O460" s="4" t="n">
        <v>0.02120403209693533</v>
      </c>
      <c r="P460" s="4" t="n">
        <v>-0.02607312965162278</v>
      </c>
      <c r="Q460" s="22" t="n">
        <v>-11418.07800000002</v>
      </c>
      <c r="R460" s="22" t="n">
        <v>35819211.76315</v>
      </c>
      <c r="S460" s="4" t="n">
        <v>0.01188310326869879</v>
      </c>
      <c r="T460" s="4" t="n">
        <v>0.05</v>
      </c>
      <c r="U460" s="19" t="n">
        <v>1.394552863178783</v>
      </c>
      <c r="V460" s="19" t="n">
        <v>0.63577799801784</v>
      </c>
      <c r="W460" s="4" t="n">
        <v>0.02593678737737104</v>
      </c>
      <c r="X460" s="4" t="n">
        <v>0.09051933592909034</v>
      </c>
      <c r="Y460" s="4" t="n">
        <v>0.004588884065198862</v>
      </c>
      <c r="Z460" s="4" t="n">
        <v>0.0108176554490903</v>
      </c>
      <c r="AA460" s="4" t="n">
        <v>0.03</v>
      </c>
      <c r="AB460" s="4" t="n">
        <v>0.05</v>
      </c>
      <c r="AC460" s="4">
        <f>(AB460+2*參數!$B$7)/(AA460+AB460)</f>
        <v/>
      </c>
    </row>
    <row r="461">
      <c r="A461" s="2" t="n">
        <v>460</v>
      </c>
      <c r="B461" s="2" t="inlineStr">
        <is>
          <t>AKE_USDT_PERP</t>
        </is>
      </c>
      <c r="C461" s="2" t="inlineStr">
        <is>
          <t>做空</t>
        </is>
      </c>
      <c r="D461" s="7" t="n">
        <v>46289.79166666666</v>
      </c>
      <c r="E461" s="20" t="n">
        <v>0.0416545</v>
      </c>
      <c r="F461" s="20" t="n">
        <v>0.040404865</v>
      </c>
      <c r="G461" s="20" t="n">
        <v>0.043737225</v>
      </c>
      <c r="H461" s="7" t="n">
        <v>46289.83333333334</v>
      </c>
      <c r="I461" s="20" t="n">
        <v>0.040404865</v>
      </c>
      <c r="J461" s="2" t="inlineStr">
        <is>
          <t>止盈</t>
        </is>
      </c>
      <c r="K461" s="5">
        <f>(H461-D461)*24</f>
        <v/>
      </c>
      <c r="L461" s="4">
        <f>IF(C461="做多",I461/E461-1,1-I461/E461)-2*參數!$B$7</f>
        <v/>
      </c>
      <c r="M461" s="2" t="inlineStr"/>
      <c r="N461" s="4" t="n">
        <v>-0.06905668642332896</v>
      </c>
      <c r="O461" s="4" t="n">
        <v>0.07395234453436214</v>
      </c>
      <c r="P461" s="4" t="n">
        <v>-0.05485245662462679</v>
      </c>
      <c r="Q461" s="22" t="n">
        <v>-5637755</v>
      </c>
      <c r="R461" s="22" t="n">
        <v>4411045.3959551</v>
      </c>
      <c r="S461" s="4" t="n">
        <v>0.03</v>
      </c>
      <c r="T461" s="4" t="n">
        <v>0</v>
      </c>
      <c r="U461" s="19" t="n">
        <v>3.25239333410554</v>
      </c>
      <c r="V461" s="19" t="n">
        <v>0.6875828997041125</v>
      </c>
      <c r="W461" s="4" t="n">
        <v>0.1851251262186002</v>
      </c>
      <c r="X461" s="4" t="n">
        <v>0.1215651953858159</v>
      </c>
      <c r="Y461" s="4" t="n">
        <v>-0.002909959462414458</v>
      </c>
      <c r="Z461" s="4" t="n">
        <v>0.007343993866656406</v>
      </c>
      <c r="AA461" s="4" t="n">
        <v>0.03</v>
      </c>
      <c r="AB461" s="4" t="n">
        <v>0.05</v>
      </c>
      <c r="AC461" s="4">
        <f>(AB461+2*參數!$B$7)/(AA461+AB461)</f>
        <v/>
      </c>
    </row>
    <row r="462">
      <c r="A462" s="2" t="n">
        <v>461</v>
      </c>
      <c r="B462" s="2" t="inlineStr">
        <is>
          <t>BR_USDT_PERP</t>
        </is>
      </c>
      <c r="C462" s="2" t="inlineStr">
        <is>
          <t>做多</t>
        </is>
      </c>
      <c r="D462" s="7" t="n">
        <v>46289.83333333334</v>
      </c>
      <c r="E462" s="20" t="n">
        <v>1.08909</v>
      </c>
      <c r="F462" s="20" t="n">
        <v>1.1217627</v>
      </c>
      <c r="G462" s="20" t="n">
        <v>1.0346355</v>
      </c>
      <c r="H462" s="7" t="n">
        <v>46289.95833333334</v>
      </c>
      <c r="I462" s="20" t="n">
        <v>1.0346355</v>
      </c>
      <c r="J462" s="2" t="inlineStr">
        <is>
          <t>止損</t>
        </is>
      </c>
      <c r="K462" s="5">
        <f>(H462-D462)*24</f>
        <v/>
      </c>
      <c r="L462" s="4">
        <f>IF(C462="做多",I462/E462-1,1-I462/E462)-2*參數!$B$7</f>
        <v/>
      </c>
      <c r="M462" s="2" t="inlineStr"/>
      <c r="N462" s="4" t="n">
        <v>0.05270839777296632</v>
      </c>
      <c r="O462" s="4" t="n">
        <v>0.04364444251008415</v>
      </c>
      <c r="P462" s="4" t="n">
        <v>0.01181420761473584</v>
      </c>
      <c r="Q462" s="22" t="n">
        <v>258554</v>
      </c>
      <c r="R462" s="22" t="n">
        <v>2503346.69662</v>
      </c>
      <c r="S462" s="4" t="n">
        <v>0.002525043843943031</v>
      </c>
      <c r="T462" s="4" t="n">
        <v>0.05</v>
      </c>
      <c r="U462" s="19" t="n">
        <v>1.133758796772193</v>
      </c>
      <c r="V462" s="19" t="n">
        <v>0.7201076125946575</v>
      </c>
      <c r="W462" s="4" t="n">
        <v>-0.03888072480584182</v>
      </c>
      <c r="X462" s="4" t="n">
        <v>0.04146385778355777</v>
      </c>
      <c r="Y462" s="4" t="n">
        <v>-0.0002707442832226015</v>
      </c>
      <c r="Z462" s="4" t="n">
        <v>-0.007308890664622258</v>
      </c>
      <c r="AA462" s="4" t="n">
        <v>0.03</v>
      </c>
      <c r="AB462" s="4" t="n">
        <v>0.05</v>
      </c>
      <c r="AC462" s="4">
        <f>(AB462+2*參數!$B$7)/(AA462+AB462)</f>
        <v/>
      </c>
    </row>
    <row r="463">
      <c r="A463" s="2" t="n">
        <v>462</v>
      </c>
      <c r="B463" s="2" t="inlineStr">
        <is>
          <t>NEAR_USDT_PERP</t>
        </is>
      </c>
      <c r="C463" s="2" t="inlineStr">
        <is>
          <t>做多</t>
        </is>
      </c>
      <c r="D463" s="7" t="n">
        <v>46289.875</v>
      </c>
      <c r="E463" s="20" t="n">
        <v>4.413</v>
      </c>
      <c r="F463" s="20" t="n">
        <v>4.54539</v>
      </c>
      <c r="G463" s="20" t="n">
        <v>4.19235</v>
      </c>
      <c r="H463" s="7" t="n">
        <v>46289.95833333334</v>
      </c>
      <c r="I463" s="20" t="n">
        <v>4.54539</v>
      </c>
      <c r="J463" s="2" t="inlineStr">
        <is>
          <t>止盈</t>
        </is>
      </c>
      <c r="K463" s="5">
        <f>(H463-D463)*24</f>
        <v/>
      </c>
      <c r="L463" s="4">
        <f>IF(C463="做多",I463/E463-1,1-I463/E463)-2*參數!$B$7</f>
        <v/>
      </c>
      <c r="M463" s="2" t="inlineStr"/>
      <c r="N463" s="4" t="n">
        <v>0.0205827937095282</v>
      </c>
      <c r="O463" s="4" t="n">
        <v>0.03424419778699887</v>
      </c>
      <c r="P463" s="4" t="n">
        <v>0.01692571810441179</v>
      </c>
      <c r="Q463" s="22" t="n">
        <v>123578</v>
      </c>
      <c r="R463" s="22" t="n">
        <v>24892309.174</v>
      </c>
      <c r="S463" s="4" t="n">
        <v>0.03</v>
      </c>
      <c r="T463" s="4" t="n">
        <v>0.003852254702016888</v>
      </c>
      <c r="U463" s="19" t="n">
        <v>1.027297050563328</v>
      </c>
      <c r="V463" s="19" t="n">
        <v>0.828125000000004</v>
      </c>
      <c r="W463" s="4" t="n">
        <v>0.03017456708390331</v>
      </c>
      <c r="X463" s="4" t="n">
        <v>-0.06682173821103821</v>
      </c>
      <c r="Y463" s="4" t="n">
        <v>0.001319337096020501</v>
      </c>
      <c r="Z463" s="4" t="n">
        <v>-0.005737104573459662</v>
      </c>
      <c r="AA463" s="4" t="n">
        <v>0.03</v>
      </c>
      <c r="AB463" s="4" t="n">
        <v>0.05</v>
      </c>
      <c r="AC463" s="4">
        <f>(AB463+2*參數!$B$7)/(AA463+AB463)</f>
        <v/>
      </c>
    </row>
    <row r="464">
      <c r="A464" s="2" t="n">
        <v>463</v>
      </c>
      <c r="B464" s="2" t="inlineStr">
        <is>
          <t>ZRO_USDT_PERP</t>
        </is>
      </c>
      <c r="C464" s="2" t="inlineStr">
        <is>
          <t>做空</t>
        </is>
      </c>
      <c r="D464" s="7" t="n">
        <v>46289.875</v>
      </c>
      <c r="E464" s="20" t="n">
        <v>1.4433</v>
      </c>
      <c r="F464" s="20" t="n">
        <v>1.400001</v>
      </c>
      <c r="G464" s="20" t="n">
        <v>1.515465</v>
      </c>
      <c r="H464" s="7" t="n">
        <v>46290.58333333334</v>
      </c>
      <c r="I464" s="20" t="n">
        <v>1.515465</v>
      </c>
      <c r="J464" s="2" t="inlineStr">
        <is>
          <t>止損</t>
        </is>
      </c>
      <c r="K464" s="5">
        <f>(H464-D464)*24</f>
        <v/>
      </c>
      <c r="L464" s="4">
        <f>IF(C464="做多",I464/E464-1,1-I464/E464)-2*參數!$B$7</f>
        <v/>
      </c>
      <c r="M464" s="2" t="inlineStr"/>
      <c r="N464" s="4" t="n">
        <v>-0.02479729729729729</v>
      </c>
      <c r="O464" s="4" t="n">
        <v>0.03932315584493124</v>
      </c>
      <c r="P464" s="4" t="n">
        <v>-0.04837885506123596</v>
      </c>
      <c r="Q464" s="22" t="n">
        <v>-192954.6999999998</v>
      </c>
      <c r="R464" s="22" t="n">
        <v>2209209.26148</v>
      </c>
      <c r="S464" s="4" t="n">
        <v>0.01392641862398669</v>
      </c>
      <c r="T464" s="4" t="n">
        <v>0.05</v>
      </c>
      <c r="U464" s="19" t="n">
        <v>0.5040044134934606</v>
      </c>
      <c r="V464" s="19" t="n">
        <v>0.943127962085309</v>
      </c>
      <c r="W464" s="4" t="n">
        <v>-0.109202623721858</v>
      </c>
      <c r="X464" s="4" t="n">
        <v>0.01742800735244066</v>
      </c>
      <c r="Y464" s="4" t="n">
        <v>-0.001319337096020501</v>
      </c>
      <c r="Z464" s="4" t="n">
        <v>0.005737104573459662</v>
      </c>
      <c r="AA464" s="4" t="n">
        <v>0.03</v>
      </c>
      <c r="AB464" s="4" t="n">
        <v>0.05</v>
      </c>
      <c r="AC464" s="4">
        <f>(AB464+2*參數!$B$7)/(AA464+AB464)</f>
        <v/>
      </c>
    </row>
    <row r="465">
      <c r="A465" s="2" t="n">
        <v>464</v>
      </c>
      <c r="B465" s="2" t="inlineStr">
        <is>
          <t>AKE_USDT_PERP</t>
        </is>
      </c>
      <c r="C465" s="2" t="inlineStr">
        <is>
          <t>做多</t>
        </is>
      </c>
      <c r="D465" s="7" t="n">
        <v>46289.91666666666</v>
      </c>
      <c r="E465" s="20" t="n">
        <v>0.0435322</v>
      </c>
      <c r="F465" s="20" t="n">
        <v>0.044838166</v>
      </c>
      <c r="G465" s="20" t="n">
        <v>0.04135559</v>
      </c>
      <c r="H465" s="7" t="n">
        <v>46289.95833333334</v>
      </c>
      <c r="I465" s="20" t="n">
        <v>0.044838166</v>
      </c>
      <c r="J465" s="2" t="inlineStr">
        <is>
          <t>止盈</t>
        </is>
      </c>
      <c r="K465" s="5">
        <f>(H465-D465)*24</f>
        <v/>
      </c>
      <c r="L465" s="4">
        <f>IF(C465="做多",I465/E465-1,1-I465/E465)-2*參數!$B$7</f>
        <v/>
      </c>
      <c r="M465" s="2" t="inlineStr"/>
      <c r="N465" s="4" t="n">
        <v>0.06929822406720554</v>
      </c>
      <c r="O465" s="4" t="n">
        <v>0.06717465129234079</v>
      </c>
      <c r="P465" s="4" t="n">
        <v>0.005611202492440626</v>
      </c>
      <c r="Q465" s="22" t="n">
        <v>17114666</v>
      </c>
      <c r="R465" s="22" t="n">
        <v>4453000.0568312</v>
      </c>
      <c r="S465" s="4" t="n">
        <v>0.03</v>
      </c>
      <c r="T465" s="4" t="n">
        <v>0</v>
      </c>
      <c r="U465" s="19" t="n">
        <v>2.897780437222638</v>
      </c>
      <c r="V465" s="19" t="n">
        <v>0.8866136673893833</v>
      </c>
      <c r="W465" s="4" t="n">
        <v>-0.1311484927904638</v>
      </c>
      <c r="X465" s="4" t="n">
        <v>-0.1405630577272369</v>
      </c>
      <c r="Y465" s="4" t="n">
        <v>0.007848149437956087</v>
      </c>
      <c r="Z465" s="4" t="n">
        <v>0.002103578749267365</v>
      </c>
      <c r="AA465" s="4" t="n">
        <v>0.03</v>
      </c>
      <c r="AB465" s="4" t="n">
        <v>0.05</v>
      </c>
      <c r="AC465" s="4">
        <f>(AB465+2*參數!$B$7)/(AA465+AB465)</f>
        <v/>
      </c>
    </row>
    <row r="466">
      <c r="A466" s="2" t="n">
        <v>465</v>
      </c>
      <c r="B466" s="2" t="inlineStr">
        <is>
          <t>BTW_USDT_PERP</t>
        </is>
      </c>
      <c r="C466" s="2" t="inlineStr">
        <is>
          <t>做多</t>
        </is>
      </c>
      <c r="D466" s="7" t="n">
        <v>46289.91666666666</v>
      </c>
      <c r="E466" s="20" t="n">
        <v>1.04655</v>
      </c>
      <c r="F466" s="20" t="n">
        <v>1.0779465</v>
      </c>
      <c r="G466" s="20" t="n">
        <v>0.9942225</v>
      </c>
      <c r="H466" s="7" t="n">
        <v>46290.04166666666</v>
      </c>
      <c r="I466" s="20" t="n">
        <v>1.0779465</v>
      </c>
      <c r="J466" s="2" t="inlineStr">
        <is>
          <t>止盈</t>
        </is>
      </c>
      <c r="K466" s="5">
        <f>(H466-D466)*24</f>
        <v/>
      </c>
      <c r="L466" s="4">
        <f>IF(C466="做多",I466/E466-1,1-I466/E466)-2*參數!$B$7</f>
        <v/>
      </c>
      <c r="M466" s="2" t="inlineStr"/>
      <c r="N466" s="4" t="n">
        <v>0.02207438470936496</v>
      </c>
      <c r="O466" s="4" t="n">
        <v>0.0398799549072307</v>
      </c>
      <c r="P466" s="4" t="n">
        <v>0.01046839658830434</v>
      </c>
      <c r="Q466" s="22" t="n">
        <v>174713</v>
      </c>
      <c r="R466" s="22" t="n">
        <v>1317818.61912</v>
      </c>
      <c r="S466" s="4" t="n">
        <v>0.03</v>
      </c>
      <c r="T466" s="4" t="n">
        <v>0.02183459939802224</v>
      </c>
      <c r="U466" s="19" t="n">
        <v>2.406160832314274</v>
      </c>
      <c r="V466" s="19" t="n">
        <v>0.693454128568637</v>
      </c>
      <c r="W466" s="4" t="n">
        <v>0.1880310494818025</v>
      </c>
      <c r="X466" s="4" t="n">
        <v>0.09078231359874267</v>
      </c>
      <c r="Y466" s="4" t="n">
        <v>0.007848149437956087</v>
      </c>
      <c r="Z466" s="4" t="n">
        <v>0.002103578749267365</v>
      </c>
      <c r="AA466" s="4" t="n">
        <v>0.03</v>
      </c>
      <c r="AB466" s="4" t="n">
        <v>0.05</v>
      </c>
      <c r="AC466" s="4">
        <f>(AB466+2*參數!$B$7)/(AA466+AB466)</f>
        <v/>
      </c>
    </row>
    <row r="467">
      <c r="A467" s="2" t="n">
        <v>466</v>
      </c>
      <c r="B467" s="2" t="inlineStr">
        <is>
          <t>FET_USDT_PERP</t>
        </is>
      </c>
      <c r="C467" s="2" t="inlineStr">
        <is>
          <t>做多</t>
        </is>
      </c>
      <c r="D467" s="7" t="n">
        <v>46289.91666666666</v>
      </c>
      <c r="E467" s="20" t="n">
        <v>0.2057</v>
      </c>
      <c r="F467" s="20" t="n">
        <v>0.211871</v>
      </c>
      <c r="G467" s="20" t="n">
        <v>0.195415</v>
      </c>
      <c r="H467" s="7" t="n">
        <v>46289.95833333334</v>
      </c>
      <c r="I467" s="20" t="n">
        <v>0.211871</v>
      </c>
      <c r="J467" s="2" t="inlineStr">
        <is>
          <t>止盈</t>
        </is>
      </c>
      <c r="K467" s="5">
        <f>(H467-D467)*24</f>
        <v/>
      </c>
      <c r="L467" s="4">
        <f>IF(C467="做多",I467/E467-1,1-I467/E467)-2*參數!$B$7</f>
        <v/>
      </c>
      <c r="M467" s="2" t="inlineStr"/>
      <c r="N467" s="4" t="n">
        <v>0.02695956065901139</v>
      </c>
      <c r="O467" s="4" t="n">
        <v>0.02050156468391708</v>
      </c>
      <c r="P467" s="4" t="n">
        <v>0.04445403539059134</v>
      </c>
      <c r="Q467" s="22" t="n">
        <v>863529</v>
      </c>
      <c r="R467" s="22" t="n">
        <v>2547213.1606</v>
      </c>
      <c r="S467" s="4" t="n">
        <v>0.03</v>
      </c>
      <c r="T467" s="4" t="n">
        <v>0</v>
      </c>
      <c r="U467" s="19" t="n">
        <v>2.455057982955989</v>
      </c>
      <c r="V467" s="19" t="n">
        <v>0.7941176470588217</v>
      </c>
      <c r="W467" s="4" t="n">
        <v>0.04631880932276666</v>
      </c>
      <c r="X467" s="4" t="n">
        <v>0.006852667645619093</v>
      </c>
      <c r="Y467" s="4" t="n">
        <v>0.007848149437956087</v>
      </c>
      <c r="Z467" s="4" t="n">
        <v>0.002103578749267365</v>
      </c>
      <c r="AA467" s="4" t="n">
        <v>0.03</v>
      </c>
      <c r="AB467" s="4" t="n">
        <v>0.05</v>
      </c>
      <c r="AC467" s="4">
        <f>(AB467+2*參數!$B$7)/(AA467+AB467)</f>
        <v/>
      </c>
    </row>
    <row r="468">
      <c r="A468" s="2" t="n">
        <v>467</v>
      </c>
      <c r="B468" s="2" t="inlineStr">
        <is>
          <t>RAY_USDT_PERP</t>
        </is>
      </c>
      <c r="C468" s="2" t="inlineStr">
        <is>
          <t>做多</t>
        </is>
      </c>
      <c r="D468" s="7" t="n">
        <v>46289.91666666666</v>
      </c>
      <c r="E468" s="20" t="n">
        <v>2.08</v>
      </c>
      <c r="F468" s="20" t="n">
        <v>2.1424</v>
      </c>
      <c r="G468" s="20" t="n">
        <v>1.976</v>
      </c>
      <c r="H468" s="7" t="n">
        <v>46290.125</v>
      </c>
      <c r="I468" s="20" t="n">
        <v>2.1424</v>
      </c>
      <c r="J468" s="2" t="inlineStr">
        <is>
          <t>止盈</t>
        </is>
      </c>
      <c r="K468" s="5">
        <f>(H468-D468)*24</f>
        <v/>
      </c>
      <c r="L468" s="4">
        <f>IF(C468="做多",I468/E468-1,1-I468/E468)-2*參數!$B$7</f>
        <v/>
      </c>
      <c r="M468" s="2" t="inlineStr"/>
      <c r="N468" s="4" t="n">
        <v>0.03328365623447604</v>
      </c>
      <c r="O468" s="4" t="n">
        <v>0.0318429980169869</v>
      </c>
      <c r="P468" s="4" t="n">
        <v>0.02228884574742596</v>
      </c>
      <c r="Q468" s="22" t="n">
        <v>53020.70000000019</v>
      </c>
      <c r="R468" s="22" t="n">
        <v>2538526.6319</v>
      </c>
      <c r="S468" s="4" t="n">
        <v>0.03</v>
      </c>
      <c r="T468" s="4" t="n">
        <v>0.03125</v>
      </c>
      <c r="U468" s="19" t="n">
        <v>1.734208095402272</v>
      </c>
      <c r="V468" s="19" t="n">
        <v>0.8831168831168844</v>
      </c>
      <c r="W468" s="4" t="n">
        <v>0.1397447629276101</v>
      </c>
      <c r="X468" s="4" t="n">
        <v>0.05852417302798973</v>
      </c>
      <c r="Y468" s="4" t="n">
        <v>0.007848149437956087</v>
      </c>
      <c r="Z468" s="4" t="n">
        <v>0.002103578749267365</v>
      </c>
      <c r="AA468" s="4" t="n">
        <v>0.03</v>
      </c>
      <c r="AB468" s="4" t="n">
        <v>0.05</v>
      </c>
      <c r="AC468" s="4">
        <f>(AB468+2*參數!$B$7)/(AA468+AB468)</f>
        <v/>
      </c>
    </row>
    <row r="469">
      <c r="A469" s="2" t="n">
        <v>468</v>
      </c>
      <c r="B469" s="2" t="inlineStr">
        <is>
          <t>ARB_USDT_PERP</t>
        </is>
      </c>
      <c r="C469" s="2" t="inlineStr">
        <is>
          <t>做空</t>
        </is>
      </c>
      <c r="D469" s="7" t="n">
        <v>46289.95833333334</v>
      </c>
      <c r="E469" s="20" t="n">
        <v>0.2135</v>
      </c>
      <c r="F469" s="20" t="n">
        <v>0.207095</v>
      </c>
      <c r="G469" s="20" t="n">
        <v>0.224175</v>
      </c>
      <c r="H469" s="7" t="n">
        <v>46290.83333333334</v>
      </c>
      <c r="I469" s="20" t="n">
        <v>0.224175</v>
      </c>
      <c r="J469" s="2" t="inlineStr">
        <is>
          <t>止損</t>
        </is>
      </c>
      <c r="K469" s="5">
        <f>(H469-D469)*24</f>
        <v/>
      </c>
      <c r="L469" s="4">
        <f>IF(C469="做多",I469/E469-1,1-I469/E469)-2*參數!$B$7</f>
        <v/>
      </c>
      <c r="M469" s="2" t="inlineStr"/>
      <c r="N469" s="4" t="n">
        <v>-0.0246687985381453</v>
      </c>
      <c r="O469" s="4" t="n">
        <v>0.02285155998277313</v>
      </c>
      <c r="P469" s="4" t="n">
        <v>-0.01305905466312274</v>
      </c>
      <c r="Q469" s="22" t="n">
        <v>-1877563.399999999</v>
      </c>
      <c r="R469" s="22" t="n">
        <v>2380631.63238</v>
      </c>
      <c r="S469" s="4" t="n">
        <v>0.003747072599531553</v>
      </c>
      <c r="T469" s="4" t="n">
        <v>0.05</v>
      </c>
      <c r="U469" s="19" t="n">
        <v>5.594306313809234</v>
      </c>
      <c r="V469" s="19" t="n">
        <v>0.8695652173913043</v>
      </c>
      <c r="W469" s="4" t="n">
        <v>0.03880352423700817</v>
      </c>
      <c r="X469" s="4" t="n">
        <v>0.05572755417956654</v>
      </c>
      <c r="Y469" s="4" t="n">
        <v>0.006905977303842681</v>
      </c>
      <c r="Z469" s="4" t="n">
        <v>0.004434408342318008</v>
      </c>
      <c r="AA469" s="4" t="n">
        <v>0.03</v>
      </c>
      <c r="AB469" s="4" t="n">
        <v>0.05</v>
      </c>
      <c r="AC469" s="4">
        <f>(AB469+2*參數!$B$7)/(AA469+AB469)</f>
        <v/>
      </c>
    </row>
    <row r="470">
      <c r="A470" s="2" t="n">
        <v>469</v>
      </c>
      <c r="B470" s="2" t="inlineStr">
        <is>
          <t>NOM_USDT_PERP</t>
        </is>
      </c>
      <c r="C470" s="2" t="inlineStr">
        <is>
          <t>做空</t>
        </is>
      </c>
      <c r="D470" s="7" t="n">
        <v>46289.95833333334</v>
      </c>
      <c r="E470" s="20" t="n">
        <v>0.00231</v>
      </c>
      <c r="F470" s="20" t="n">
        <v>0.0022407</v>
      </c>
      <c r="G470" s="20" t="n">
        <v>0.0024255</v>
      </c>
      <c r="H470" s="7" t="n">
        <v>46290.04166666666</v>
      </c>
      <c r="I470" s="20" t="n">
        <v>0.0024255</v>
      </c>
      <c r="J470" s="2" t="inlineStr">
        <is>
          <t>止損</t>
        </is>
      </c>
      <c r="K470" s="5">
        <f>(H470-D470)*24</f>
        <v/>
      </c>
      <c r="L470" s="4">
        <f>IF(C470="做多",I470/E470-1,1-I470/E470)-2*參數!$B$7</f>
        <v/>
      </c>
      <c r="M470" s="2" t="inlineStr"/>
      <c r="N470" s="4" t="n">
        <v>-0.08514851485148511</v>
      </c>
      <c r="O470" s="4" t="n">
        <v>0.07525866608251626</v>
      </c>
      <c r="P470" s="4" t="n">
        <v>-0.02533701820636691</v>
      </c>
      <c r="Q470" s="22" t="n">
        <v>-281997417</v>
      </c>
      <c r="R470" s="22" t="n">
        <v>2969493.322377</v>
      </c>
      <c r="S470" s="4" t="n">
        <v>0.02813852813852813</v>
      </c>
      <c r="T470" s="4" t="n">
        <v>0.05</v>
      </c>
      <c r="U470" s="19" t="n">
        <v>1.411860717339981</v>
      </c>
      <c r="V470" s="19" t="n">
        <v>0.8519855595667877</v>
      </c>
      <c r="W470" s="4" t="n">
        <v>-0.2378558835665254</v>
      </c>
      <c r="X470" s="4" t="n">
        <v>-0.3445867287543656</v>
      </c>
      <c r="Y470" s="4" t="n">
        <v>0.006905977303842681</v>
      </c>
      <c r="Z470" s="4" t="n">
        <v>0.004434408342318008</v>
      </c>
      <c r="AA470" s="4" t="n">
        <v>0.03</v>
      </c>
      <c r="AB470" s="4" t="n">
        <v>0.05</v>
      </c>
      <c r="AC470" s="4">
        <f>(AB470+2*參數!$B$7)/(AA470+AB470)</f>
        <v/>
      </c>
    </row>
    <row r="471">
      <c r="A471" s="2" t="n">
        <v>470</v>
      </c>
      <c r="B471" s="2" t="inlineStr">
        <is>
          <t>PONS_USDT_PERP</t>
        </is>
      </c>
      <c r="C471" s="2" t="inlineStr">
        <is>
          <t>做多</t>
        </is>
      </c>
      <c r="D471" s="7" t="n">
        <v>46290</v>
      </c>
      <c r="E471" s="20" t="n">
        <v>0.6308</v>
      </c>
      <c r="F471" s="20" t="n">
        <v>0.6497240000000001</v>
      </c>
      <c r="G471" s="20" t="n">
        <v>0.59926</v>
      </c>
      <c r="H471" s="7" t="n">
        <v>46290.70833333334</v>
      </c>
      <c r="I471" s="20" t="n">
        <v>0.6497240000000001</v>
      </c>
      <c r="J471" s="2" t="inlineStr">
        <is>
          <t>止盈</t>
        </is>
      </c>
      <c r="K471" s="5">
        <f>(H471-D471)*24</f>
        <v/>
      </c>
      <c r="L471" s="4">
        <f>IF(C471="做多",I471/E471-1,1-I471/E471)-2*參數!$B$7</f>
        <v/>
      </c>
      <c r="M471" s="2" t="inlineStr"/>
      <c r="N471" s="4" t="n">
        <v>0.02402597402597406</v>
      </c>
      <c r="O471" s="4" t="n">
        <v>0.02899680939445867</v>
      </c>
      <c r="P471" s="4" t="n">
        <v>0.004818605392059361</v>
      </c>
      <c r="Q471" s="22" t="n">
        <v>189491</v>
      </c>
      <c r="R471" s="22" t="n">
        <v>2095102.2901</v>
      </c>
      <c r="S471" s="4" t="n">
        <v>0.03</v>
      </c>
      <c r="T471" s="4" t="n">
        <v>0.04153455928979077</v>
      </c>
      <c r="U471" s="19" t="n">
        <v>1.192010011000049</v>
      </c>
      <c r="V471" s="19" t="n">
        <v>0.7916666666666686</v>
      </c>
      <c r="W471" s="4" t="n">
        <v>0.0002283336716055739</v>
      </c>
      <c r="X471" s="4" t="n">
        <v>-0.04871060171919772</v>
      </c>
      <c r="Y471" s="4" t="n">
        <v>0.008835981935857218</v>
      </c>
      <c r="Z471" s="4" t="n">
        <v>0.004416433377234297</v>
      </c>
      <c r="AA471" s="4" t="n">
        <v>0.03</v>
      </c>
      <c r="AB471" s="4" t="n">
        <v>0.05</v>
      </c>
      <c r="AC471" s="4">
        <f>(AB471+2*參數!$B$7)/(AA471+AB471)</f>
        <v/>
      </c>
    </row>
    <row r="472">
      <c r="A472" s="2" t="n">
        <v>471</v>
      </c>
      <c r="B472" s="2" t="inlineStr">
        <is>
          <t>USELESS_USDT_PERP</t>
        </is>
      </c>
      <c r="C472" s="2" t="inlineStr">
        <is>
          <t>做多</t>
        </is>
      </c>
      <c r="D472" s="7" t="n">
        <v>46290</v>
      </c>
      <c r="E472" s="20" t="n">
        <v>0.29391</v>
      </c>
      <c r="F472" s="20" t="n">
        <v>0.3027273</v>
      </c>
      <c r="G472" s="20" t="n">
        <v>0.2792145</v>
      </c>
      <c r="H472" s="7" t="n">
        <v>46290.04166666666</v>
      </c>
      <c r="I472" s="20" t="n">
        <v>0.3027273</v>
      </c>
      <c r="J472" s="2" t="inlineStr">
        <is>
          <t>止盈</t>
        </is>
      </c>
      <c r="K472" s="5">
        <f>(H472-D472)*24</f>
        <v/>
      </c>
      <c r="L472" s="4">
        <f>IF(C472="做多",I472/E472-1,1-I472/E472)-2*參數!$B$7</f>
        <v/>
      </c>
      <c r="M472" s="2" t="inlineStr"/>
      <c r="N472" s="4" t="n">
        <v>0.05563537102219662</v>
      </c>
      <c r="O472" s="4" t="n">
        <v>0.0422680886464745</v>
      </c>
      <c r="P472" s="4" t="n">
        <v>0.008335034419111986</v>
      </c>
      <c r="Q472" s="22" t="n">
        <v>178371</v>
      </c>
      <c r="R472" s="22" t="n">
        <v>2769002.43398</v>
      </c>
      <c r="S472" s="4" t="n">
        <v>0.03</v>
      </c>
      <c r="T472" s="4" t="n">
        <v>0</v>
      </c>
      <c r="U472" s="19" t="n">
        <v>1.327586493956245</v>
      </c>
      <c r="V472" s="19" t="n">
        <v>0.9048404840484044</v>
      </c>
      <c r="W472" s="4" t="n">
        <v>0.01004755206688435</v>
      </c>
      <c r="X472" s="4" t="n">
        <v>0.006989413094870889</v>
      </c>
      <c r="Y472" s="4" t="n">
        <v>0.008835981935857218</v>
      </c>
      <c r="Z472" s="4" t="n">
        <v>0.004416433377234297</v>
      </c>
      <c r="AA472" s="4" t="n">
        <v>0.03</v>
      </c>
      <c r="AB472" s="4" t="n">
        <v>0.05</v>
      </c>
      <c r="AC472" s="4">
        <f>(AB472+2*參數!$B$7)/(AA472+AB472)</f>
        <v/>
      </c>
    </row>
    <row r="473">
      <c r="A473" s="2" t="n">
        <v>472</v>
      </c>
      <c r="B473" s="2" t="inlineStr">
        <is>
          <t>LSK_USDT_PERP</t>
        </is>
      </c>
      <c r="C473" s="2" t="inlineStr">
        <is>
          <t>做多</t>
        </is>
      </c>
      <c r="D473" s="7" t="n">
        <v>46290.04166666666</v>
      </c>
      <c r="E473" s="20" t="n">
        <v>0.3986</v>
      </c>
      <c r="F473" s="20" t="n">
        <v>0.410558</v>
      </c>
      <c r="G473" s="20" t="n">
        <v>0.37867</v>
      </c>
      <c r="H473" s="7" t="n">
        <v>46290.125</v>
      </c>
      <c r="I473" s="20" t="n">
        <v>0.410558</v>
      </c>
      <c r="J473" s="2" t="inlineStr">
        <is>
          <t>止盈</t>
        </is>
      </c>
      <c r="K473" s="5">
        <f>(H473-D473)*24</f>
        <v/>
      </c>
      <c r="L473" s="4">
        <f>IF(C473="做多",I473/E473-1,1-I473/E473)-2*參數!$B$7</f>
        <v/>
      </c>
      <c r="M473" s="2" t="inlineStr"/>
      <c r="N473" s="4" t="n">
        <v>0.02494214451015675</v>
      </c>
      <c r="O473" s="4" t="n">
        <v>0.0595446166525628</v>
      </c>
      <c r="P473" s="4" t="n">
        <v>0.05585208534760211</v>
      </c>
      <c r="Q473" s="22" t="n">
        <v>1041316</v>
      </c>
      <c r="R473" s="22" t="n">
        <v>3556266.2393</v>
      </c>
      <c r="S473" s="4" t="n">
        <v>0.03</v>
      </c>
      <c r="T473" s="4" t="n">
        <v>0.01053687907676881</v>
      </c>
      <c r="U473" s="19" t="n">
        <v>0.4397389108666577</v>
      </c>
      <c r="V473" s="19" t="n">
        <v>0.8101265822784813</v>
      </c>
      <c r="W473" s="4" t="n">
        <v>0.1272751954207627</v>
      </c>
      <c r="X473" s="4" t="n">
        <v>0.3357908847184987</v>
      </c>
      <c r="Y473" s="4" t="n">
        <v>0.0008260809274862613</v>
      </c>
      <c r="Z473" s="4" t="n">
        <v>0.005099172665454121</v>
      </c>
      <c r="AA473" s="4" t="n">
        <v>0.03</v>
      </c>
      <c r="AB473" s="4" t="n">
        <v>0.05</v>
      </c>
      <c r="AC473" s="4">
        <f>(AB473+2*參數!$B$7)/(AA473+AB473)</f>
        <v/>
      </c>
    </row>
    <row r="474">
      <c r="A474" s="2" t="n">
        <v>473</v>
      </c>
      <c r="B474" s="2" t="inlineStr">
        <is>
          <t>LIT_USDT_PERP</t>
        </is>
      </c>
      <c r="C474" s="2" t="inlineStr">
        <is>
          <t>做多</t>
        </is>
      </c>
      <c r="D474" s="7" t="n">
        <v>46290.125</v>
      </c>
      <c r="E474" s="20" t="n">
        <v>5.401</v>
      </c>
      <c r="F474" s="20" t="n">
        <v>5.56303</v>
      </c>
      <c r="G474" s="20" t="n">
        <v>5.130949999999999</v>
      </c>
      <c r="H474" s="7" t="n">
        <v>46290.25</v>
      </c>
      <c r="I474" s="20" t="n">
        <v>5.130949999999999</v>
      </c>
      <c r="J474" s="2" t="inlineStr">
        <is>
          <t>止損</t>
        </is>
      </c>
      <c r="K474" s="5">
        <f>(H474-D474)*24</f>
        <v/>
      </c>
      <c r="L474" s="4">
        <f>IF(C474="做多",I474/E474-1,1-I474/E474)-2*參數!$B$7</f>
        <v/>
      </c>
      <c r="M474" s="2" t="inlineStr"/>
      <c r="N474" s="4" t="n">
        <v>0.02194891201513705</v>
      </c>
      <c r="O474" s="4" t="n">
        <v>0.0319402837590255</v>
      </c>
      <c r="P474" s="4" t="n">
        <v>0.02925202477370159</v>
      </c>
      <c r="Q474" s="22" t="n">
        <v>96931.70000000019</v>
      </c>
      <c r="R474" s="22" t="n">
        <v>8411378.3731</v>
      </c>
      <c r="S474" s="4" t="n">
        <v>0.01851508979818561</v>
      </c>
      <c r="T474" s="4" t="n">
        <v>0.05</v>
      </c>
      <c r="U474" s="19" t="n">
        <v>1.176937493109911</v>
      </c>
      <c r="V474" s="19" t="n">
        <v>0.9239130434782596</v>
      </c>
      <c r="W474" s="4" t="n">
        <v>0.07778360914828952</v>
      </c>
      <c r="X474" s="4" t="n">
        <v>0.0003704389701795208</v>
      </c>
      <c r="Y474" s="4" t="n">
        <v>0.004318793830226708</v>
      </c>
      <c r="Z474" s="4" t="n">
        <v>0.005252073765828813</v>
      </c>
      <c r="AA474" s="4" t="n">
        <v>0.03</v>
      </c>
      <c r="AB474" s="4" t="n">
        <v>0.05</v>
      </c>
      <c r="AC474" s="4">
        <f>(AB474+2*參數!$B$7)/(AA474+AB474)</f>
        <v/>
      </c>
    </row>
    <row r="475">
      <c r="A475" s="2" t="n">
        <v>474</v>
      </c>
      <c r="B475" s="2" t="inlineStr">
        <is>
          <t>BR_USDT_PERP</t>
        </is>
      </c>
      <c r="C475" s="2" t="inlineStr">
        <is>
          <t>做空</t>
        </is>
      </c>
      <c r="D475" s="7" t="n">
        <v>46290.20833333334</v>
      </c>
      <c r="E475" s="20" t="n">
        <v>0.9938900000000001</v>
      </c>
      <c r="F475" s="20" t="n">
        <v>0.9640733</v>
      </c>
      <c r="G475" s="20" t="n">
        <v>1.0435845</v>
      </c>
      <c r="H475" s="7" t="n">
        <v>46290.29166666666</v>
      </c>
      <c r="I475" s="20" t="n">
        <v>1.0435845</v>
      </c>
      <c r="J475" s="2" t="inlineStr">
        <is>
          <t>止損</t>
        </is>
      </c>
      <c r="K475" s="5">
        <f>(H475-D475)*24</f>
        <v/>
      </c>
      <c r="L475" s="4">
        <f>IF(C475="做多",I475/E475-1,1-I475/E475)-2*參數!$B$7</f>
        <v/>
      </c>
      <c r="M475" s="2" t="inlineStr"/>
      <c r="N475" s="4" t="n">
        <v>-0.03897698704312513</v>
      </c>
      <c r="O475" s="4" t="n">
        <v>0.04357520576966527</v>
      </c>
      <c r="P475" s="4" t="n">
        <v>-0.05290050352390496</v>
      </c>
      <c r="Q475" s="22" t="n">
        <v>-193441</v>
      </c>
      <c r="R475" s="22" t="n">
        <v>1515788.63546</v>
      </c>
      <c r="S475" s="4" t="n">
        <v>0.009659016591373359</v>
      </c>
      <c r="T475" s="4" t="n">
        <v>0.05</v>
      </c>
      <c r="U475" s="19" t="n">
        <v>1.755483444191534</v>
      </c>
      <c r="V475" s="19" t="n">
        <v>0.6123360312587216</v>
      </c>
      <c r="W475" s="4" t="n">
        <v>0.1117944675829423</v>
      </c>
      <c r="X475" s="4" t="n">
        <v>0.1162751409314815</v>
      </c>
      <c r="Y475" s="4" t="n">
        <v>0.0007217281656491936</v>
      </c>
      <c r="Z475" s="4" t="n">
        <v>-0.003811858624979791</v>
      </c>
      <c r="AA475" s="4" t="n">
        <v>0.03</v>
      </c>
      <c r="AB475" s="4" t="n">
        <v>0.05</v>
      </c>
      <c r="AC475" s="4">
        <f>(AB475+2*參數!$B$7)/(AA475+AB475)</f>
        <v/>
      </c>
    </row>
    <row r="476">
      <c r="A476" s="2" t="n">
        <v>475</v>
      </c>
      <c r="B476" s="2" t="inlineStr">
        <is>
          <t>AKE_USDT_PERP</t>
        </is>
      </c>
      <c r="C476" s="2" t="inlineStr">
        <is>
          <t>做空</t>
        </is>
      </c>
      <c r="D476" s="7" t="n">
        <v>46290.54166666666</v>
      </c>
      <c r="E476" s="20" t="n">
        <v>0.0379</v>
      </c>
      <c r="F476" s="20" t="n">
        <v>0.036763</v>
      </c>
      <c r="G476" s="20" t="n">
        <v>0.039795</v>
      </c>
      <c r="H476" s="7" t="n">
        <v>46290.55555555555</v>
      </c>
      <c r="I476" s="20" t="n">
        <v>0.036763</v>
      </c>
      <c r="J476" s="2" t="inlineStr">
        <is>
          <t>止盈</t>
        </is>
      </c>
      <c r="K476" s="5">
        <f>(H476-D476)*24</f>
        <v/>
      </c>
      <c r="L476" s="4">
        <f>IF(C476="做多",I476/E476-1,1-I476/E476)-2*參數!$B$7</f>
        <v/>
      </c>
      <c r="M476" s="2" t="inlineStr">
        <is>
          <t>同1h觸發；5分K判定先止盈</t>
        </is>
      </c>
      <c r="N476" s="4" t="n">
        <v>-0.02660776659132924</v>
      </c>
      <c r="O476" s="4" t="n">
        <v>0.063000383806915</v>
      </c>
      <c r="P476" s="4" t="n">
        <v>-0.03568610234118363</v>
      </c>
      <c r="Q476" s="22" t="n">
        <v>-16460456</v>
      </c>
      <c r="R476" s="22" t="n">
        <v>7609879.650048</v>
      </c>
      <c r="S476" s="4" t="n">
        <v>0.03</v>
      </c>
      <c r="T476" s="4" t="n">
        <v>0</v>
      </c>
      <c r="U476" s="19" t="n">
        <v>1.203433244084989</v>
      </c>
      <c r="V476" s="19" t="n">
        <v>0.5926286978365998</v>
      </c>
      <c r="W476" s="4" t="n">
        <v>0.1964968790369935</v>
      </c>
      <c r="X476" s="4" t="n">
        <v>0.07809440410600699</v>
      </c>
      <c r="Y476" s="4" t="n">
        <v>0.0003515393504360809</v>
      </c>
      <c r="Z476" s="4" t="n">
        <v>-0.0007319587156975338</v>
      </c>
      <c r="AA476" s="4" t="n">
        <v>0.03</v>
      </c>
      <c r="AB476" s="4" t="n">
        <v>0.05</v>
      </c>
      <c r="AC476" s="4">
        <f>(AB476+2*參數!$B$7)/(AA476+AB476)</f>
        <v/>
      </c>
    </row>
    <row r="477">
      <c r="A477" s="2" t="n">
        <v>476</v>
      </c>
      <c r="B477" s="2" t="inlineStr">
        <is>
          <t>BR_USDT_PERP</t>
        </is>
      </c>
      <c r="C477" s="2" t="inlineStr">
        <is>
          <t>做多</t>
        </is>
      </c>
      <c r="D477" s="7" t="n">
        <v>46290.625</v>
      </c>
      <c r="E477" s="20" t="n">
        <v>1.02364</v>
      </c>
      <c r="F477" s="20" t="n">
        <v>1.0543492</v>
      </c>
      <c r="G477" s="20" t="n">
        <v>0.972458</v>
      </c>
      <c r="H477" s="7" t="n">
        <v>46290.70833333334</v>
      </c>
      <c r="I477" s="20" t="n">
        <v>0.972458</v>
      </c>
      <c r="J477" s="2" t="inlineStr">
        <is>
          <t>止損</t>
        </is>
      </c>
      <c r="K477" s="5">
        <f>(H477-D477)*24</f>
        <v/>
      </c>
      <c r="L477" s="4">
        <f>IF(C477="做多",I477/E477-1,1-I477/E477)-2*參數!$B$7</f>
        <v/>
      </c>
      <c r="M477" s="2" t="inlineStr"/>
      <c r="N477" s="4" t="n">
        <v>0.04158653601554807</v>
      </c>
      <c r="O477" s="4" t="n">
        <v>0.05290948103258551</v>
      </c>
      <c r="P477" s="4" t="n">
        <v>0.01389545082214849</v>
      </c>
      <c r="Q477" s="22" t="n">
        <v>577884</v>
      </c>
      <c r="R477" s="22" t="n">
        <v>2055202.94727</v>
      </c>
      <c r="S477" s="4" t="n">
        <v>0.004269078973076379</v>
      </c>
      <c r="T477" s="4" t="n">
        <v>0.05</v>
      </c>
      <c r="U477" s="19" t="n">
        <v>2.294172520615029</v>
      </c>
      <c r="V477" s="19" t="n">
        <v>0.8054358013120927</v>
      </c>
      <c r="W477" s="4" t="n">
        <v>-0.06984605263397003</v>
      </c>
      <c r="X477" s="4" t="n">
        <v>-0.026328805691892</v>
      </c>
      <c r="Y477" s="4" t="n">
        <v>-0.001816948121318496</v>
      </c>
      <c r="Z477" s="4" t="n">
        <v>-0.00217444888916607</v>
      </c>
      <c r="AA477" s="4" t="n">
        <v>0.03</v>
      </c>
      <c r="AB477" s="4" t="n">
        <v>0.05</v>
      </c>
      <c r="AC477" s="4">
        <f>(AB477+2*參數!$B$7)/(AA477+AB477)</f>
        <v/>
      </c>
    </row>
    <row r="478">
      <c r="A478" s="2" t="n">
        <v>477</v>
      </c>
      <c r="B478" s="2" t="inlineStr">
        <is>
          <t>BROCCOLI_USDT_PERP</t>
        </is>
      </c>
      <c r="C478" s="2" t="inlineStr">
        <is>
          <t>做多</t>
        </is>
      </c>
      <c r="D478" s="7" t="n">
        <v>46290.66666666666</v>
      </c>
      <c r="E478" s="20" t="n">
        <v>0.03165</v>
      </c>
      <c r="F478" s="20" t="n">
        <v>0.0325995</v>
      </c>
      <c r="G478" s="20" t="n">
        <v>0.0300675</v>
      </c>
      <c r="H478" s="7" t="n">
        <v>46290.70833333334</v>
      </c>
      <c r="I478" s="20" t="n">
        <v>0.0325995</v>
      </c>
      <c r="J478" s="2" t="inlineStr">
        <is>
          <t>止盈</t>
        </is>
      </c>
      <c r="K478" s="5">
        <f>(H478-D478)*24</f>
        <v/>
      </c>
      <c r="L478" s="4">
        <f>IF(C478="做多",I478/E478-1,1-I478/E478)-2*參數!$B$7</f>
        <v/>
      </c>
      <c r="M478" s="2" t="inlineStr"/>
      <c r="N478" s="4" t="n">
        <v>0.08390410958904093</v>
      </c>
      <c r="O478" s="4" t="n">
        <v>0.04535571370866524</v>
      </c>
      <c r="P478" s="4" t="n">
        <v>0.05081425654476335</v>
      </c>
      <c r="Q478" s="22" t="n">
        <v>15519801</v>
      </c>
      <c r="R478" s="22" t="n">
        <v>1617523.05954</v>
      </c>
      <c r="S478" s="4" t="n">
        <v>0.03</v>
      </c>
      <c r="T478" s="4" t="n">
        <v>0</v>
      </c>
      <c r="U478" s="19" t="n">
        <v>1.243166835409191</v>
      </c>
      <c r="V478" s="19" t="n">
        <v>0.8025889967637539</v>
      </c>
      <c r="W478" s="4" t="n">
        <v>0.2945579483403888</v>
      </c>
      <c r="X478" s="4" t="n">
        <v>0.2554541848472827</v>
      </c>
      <c r="Y478" s="4" t="n">
        <v>-5.476242630875205e-05</v>
      </c>
      <c r="Z478" s="4" t="n">
        <v>-0.002551139462646734</v>
      </c>
      <c r="AA478" s="4" t="n">
        <v>0.03</v>
      </c>
      <c r="AB478" s="4" t="n">
        <v>0.05</v>
      </c>
      <c r="AC478" s="4">
        <f>(AB478+2*參數!$B$7)/(AA478+AB478)</f>
        <v/>
      </c>
    </row>
    <row r="479">
      <c r="A479" s="2" t="n">
        <v>478</v>
      </c>
      <c r="B479" s="2" t="inlineStr">
        <is>
          <t>ENA_USDT_PERP</t>
        </is>
      </c>
      <c r="C479" s="2" t="inlineStr">
        <is>
          <t>做多</t>
        </is>
      </c>
      <c r="D479" s="7" t="n">
        <v>46290.79166666666</v>
      </c>
      <c r="E479" s="20" t="n">
        <v>0.2287</v>
      </c>
      <c r="F479" s="20" t="n">
        <v>0.235561</v>
      </c>
      <c r="G479" s="20" t="n">
        <v>0.217265</v>
      </c>
      <c r="H479" s="7" t="n">
        <v>46290.83333333334</v>
      </c>
      <c r="I479" s="20" t="n">
        <v>0.235561</v>
      </c>
      <c r="J479" s="2" t="inlineStr">
        <is>
          <t>止盈</t>
        </is>
      </c>
      <c r="K479" s="5">
        <f>(H479-D479)*24</f>
        <v/>
      </c>
      <c r="L479" s="4">
        <f>IF(C479="做多",I479/E479-1,1-I479/E479)-2*參數!$B$7</f>
        <v/>
      </c>
      <c r="M479" s="2" t="inlineStr"/>
      <c r="N479" s="4" t="n">
        <v>0.02143814202769101</v>
      </c>
      <c r="O479" s="4" t="n">
        <v>0.02406050556280026</v>
      </c>
      <c r="P479" s="4" t="n">
        <v>0.02539960095949056</v>
      </c>
      <c r="Q479" s="22" t="n">
        <v>10106584</v>
      </c>
      <c r="R479" s="22" t="n">
        <v>10870741.7587</v>
      </c>
      <c r="S479" s="4" t="n">
        <v>0.03</v>
      </c>
      <c r="T479" s="4" t="n">
        <v>0</v>
      </c>
      <c r="U479" s="19" t="n">
        <v>0.7396802618828543</v>
      </c>
      <c r="V479" s="19" t="n">
        <v>0.9014084507042244</v>
      </c>
      <c r="W479" s="4" t="n">
        <v>0.06997155475709249</v>
      </c>
      <c r="X479" s="4" t="n">
        <v>0.1271562345983241</v>
      </c>
      <c r="Y479" s="4" t="n">
        <v>0.001717668324398014</v>
      </c>
      <c r="Z479" s="4" t="n">
        <v>0.004272448798245065</v>
      </c>
      <c r="AA479" s="4" t="n">
        <v>0.03</v>
      </c>
      <c r="AB479" s="4" t="n">
        <v>0.05</v>
      </c>
      <c r="AC479" s="4">
        <f>(AB479+2*參數!$B$7)/(AA479+AB479)</f>
        <v/>
      </c>
    </row>
    <row r="480">
      <c r="A480" s="2" t="n">
        <v>479</v>
      </c>
      <c r="B480" s="2" t="inlineStr">
        <is>
          <t>INJ_USDT_PERP</t>
        </is>
      </c>
      <c r="C480" s="2" t="inlineStr">
        <is>
          <t>做多</t>
        </is>
      </c>
      <c r="D480" s="7" t="n">
        <v>46290.83333333334</v>
      </c>
      <c r="E480" s="20" t="n">
        <v>8.26</v>
      </c>
      <c r="F480" s="20" t="n">
        <v>8.5078</v>
      </c>
      <c r="G480" s="20" t="n">
        <v>7.847</v>
      </c>
      <c r="H480" s="7" t="n">
        <v>46291.25</v>
      </c>
      <c r="I480" s="20" t="n">
        <v>7.847</v>
      </c>
      <c r="J480" s="2" t="inlineStr">
        <is>
          <t>止損</t>
        </is>
      </c>
      <c r="K480" s="5">
        <f>(H480-D480)*24</f>
        <v/>
      </c>
      <c r="L480" s="4">
        <f>IF(C480="做多",I480/E480-1,1-I480/E480)-2*參數!$B$7</f>
        <v/>
      </c>
      <c r="M480" s="2" t="inlineStr"/>
      <c r="N480" s="4" t="n">
        <v>0.02545003103662324</v>
      </c>
      <c r="O480" s="4" t="n">
        <v>0.02219678513995091</v>
      </c>
      <c r="P480" s="4" t="n">
        <v>0.02263793541038606</v>
      </c>
      <c r="Q480" s="22" t="n">
        <v>63669.59999999999</v>
      </c>
      <c r="R480" s="22" t="n">
        <v>2958524.9841</v>
      </c>
      <c r="S480" s="4" t="n">
        <v>0.01864406779661021</v>
      </c>
      <c r="T480" s="4" t="n">
        <v>0.05</v>
      </c>
      <c r="U480" s="19" t="n">
        <v>1.760937650676016</v>
      </c>
      <c r="V480" s="19" t="n">
        <v>0.8680000000000021</v>
      </c>
      <c r="W480" s="4" t="n">
        <v>0.04513833531985534</v>
      </c>
      <c r="X480" s="4" t="n">
        <v>0.04888888888888876</v>
      </c>
      <c r="Y480" s="4" t="n">
        <v>-0.001711180182903727</v>
      </c>
      <c r="Z480" s="4" t="n">
        <v>0.00245932117233183</v>
      </c>
      <c r="AA480" s="4" t="n">
        <v>0.03</v>
      </c>
      <c r="AB480" s="4" t="n">
        <v>0.05</v>
      </c>
      <c r="AC480" s="4">
        <f>(AB480+2*參數!$B$7)/(AA480+AB480)</f>
        <v/>
      </c>
    </row>
    <row r="481">
      <c r="A481" s="2" t="n">
        <v>480</v>
      </c>
      <c r="B481" s="2" t="inlineStr">
        <is>
          <t>XPL_USDT_PERP</t>
        </is>
      </c>
      <c r="C481" s="2" t="inlineStr">
        <is>
          <t>做多</t>
        </is>
      </c>
      <c r="D481" s="7" t="n">
        <v>46290.875</v>
      </c>
      <c r="E481" s="20" t="n">
        <v>0.1142</v>
      </c>
      <c r="F481" s="20" t="n">
        <v>0.117626</v>
      </c>
      <c r="G481" s="20" t="n">
        <v>0.10849</v>
      </c>
      <c r="H481" s="7" t="n">
        <v>46290.95833333334</v>
      </c>
      <c r="I481" s="20" t="n">
        <v>0.10849</v>
      </c>
      <c r="J481" s="2" t="inlineStr">
        <is>
          <t>止損</t>
        </is>
      </c>
      <c r="K481" s="5">
        <f>(H481-D481)*24</f>
        <v/>
      </c>
      <c r="L481" s="4">
        <f>IF(C481="做多",I481/E481-1,1-I481/E481)-2*參數!$B$7</f>
        <v/>
      </c>
      <c r="M481" s="2" t="inlineStr"/>
      <c r="N481" s="4" t="n">
        <v>0.02882882882882876</v>
      </c>
      <c r="O481" s="4" t="n">
        <v>0.04394487928255666</v>
      </c>
      <c r="P481" s="4" t="n">
        <v>0.01362446190032407</v>
      </c>
      <c r="Q481" s="22" t="n">
        <v>5555226</v>
      </c>
      <c r="R481" s="22" t="n">
        <v>3705571.857</v>
      </c>
      <c r="S481" s="4" t="n">
        <v>0.01050788091068311</v>
      </c>
      <c r="T481" s="4" t="n">
        <v>0.05</v>
      </c>
      <c r="U481" s="19" t="n">
        <v>0.6664775239439329</v>
      </c>
      <c r="V481" s="19" t="n">
        <v>0.9285714285714267</v>
      </c>
      <c r="W481" s="4" t="n">
        <v>0.1650921259360527</v>
      </c>
      <c r="X481" s="4" t="n">
        <v>0.2831460674157305</v>
      </c>
      <c r="Y481" s="4" t="n">
        <v>-0.001278782967699232</v>
      </c>
      <c r="Z481" s="4" t="n">
        <v>0.001188434985348596</v>
      </c>
      <c r="AA481" s="4" t="n">
        <v>0.03</v>
      </c>
      <c r="AB481" s="4" t="n">
        <v>0.05</v>
      </c>
      <c r="AC481" s="4">
        <f>(AB481+2*參數!$B$7)/(AA481+AB481)</f>
        <v/>
      </c>
    </row>
    <row r="482">
      <c r="A482" s="2" t="n">
        <v>481</v>
      </c>
      <c r="B482" s="2" t="inlineStr">
        <is>
          <t>RAY_USDT_PERP</t>
        </is>
      </c>
      <c r="C482" s="2" t="inlineStr">
        <is>
          <t>做空</t>
        </is>
      </c>
      <c r="D482" s="7" t="n">
        <v>46290.91666666666</v>
      </c>
      <c r="E482" s="20" t="n">
        <v>2.056</v>
      </c>
      <c r="F482" s="20" t="n">
        <v>1.99432</v>
      </c>
      <c r="G482" s="20" t="n">
        <v>2.1588</v>
      </c>
      <c r="H482" s="7" t="n">
        <v>46291.45833333334</v>
      </c>
      <c r="I482" s="20" t="n">
        <v>1.99432</v>
      </c>
      <c r="J482" s="2" t="inlineStr">
        <is>
          <t>止盈</t>
        </is>
      </c>
      <c r="K482" s="5">
        <f>(H482-D482)*24</f>
        <v/>
      </c>
      <c r="L482" s="4">
        <f>IF(C482="做多",I482/E482-1,1-I482/E482)-2*參數!$B$7</f>
        <v/>
      </c>
      <c r="M482" s="2" t="inlineStr"/>
      <c r="N482" s="4" t="n">
        <v>-0.02281368821292773</v>
      </c>
      <c r="O482" s="4" t="n">
        <v>0.02604428196174639</v>
      </c>
      <c r="P482" s="4" t="n">
        <v>-0.01428708409243451</v>
      </c>
      <c r="Q482" s="22" t="n">
        <v>-44169.39999999967</v>
      </c>
      <c r="R482" s="22" t="n">
        <v>1394724.4474</v>
      </c>
      <c r="S482" s="4" t="n">
        <v>0.03</v>
      </c>
      <c r="T482" s="4" t="n">
        <v>0.0325875486381324</v>
      </c>
      <c r="U482" s="19" t="n">
        <v>0.8223103764505041</v>
      </c>
      <c r="V482" s="19" t="n">
        <v>0.8666666666666639</v>
      </c>
      <c r="W482" s="4" t="n">
        <v>-0.06795208759700411</v>
      </c>
      <c r="X482" s="4" t="n">
        <v>0.0115384615384615</v>
      </c>
      <c r="Y482" s="4" t="n">
        <v>0.006367751885096085</v>
      </c>
      <c r="Z482" s="4" t="n">
        <v>0.00507680317064918</v>
      </c>
      <c r="AA482" s="4" t="n">
        <v>0.03</v>
      </c>
      <c r="AB482" s="4" t="n">
        <v>0.05</v>
      </c>
      <c r="AC482" s="4">
        <f>(AB482+2*參數!$B$7)/(AA482+AB482)</f>
        <v/>
      </c>
    </row>
    <row r="483">
      <c r="A483" s="2" t="n">
        <v>482</v>
      </c>
      <c r="B483" s="2" t="inlineStr">
        <is>
          <t>ONDO_USDT_PERP</t>
        </is>
      </c>
      <c r="C483" s="2" t="inlineStr">
        <is>
          <t>做空</t>
        </is>
      </c>
      <c r="D483" s="7" t="n">
        <v>46291</v>
      </c>
      <c r="E483" s="20" t="n">
        <v>0.5331</v>
      </c>
      <c r="F483" s="20" t="n">
        <v>0.517107</v>
      </c>
      <c r="G483" s="20" t="n">
        <v>0.559755</v>
      </c>
      <c r="H483" s="7" t="n">
        <v>46291.79166666666</v>
      </c>
      <c r="I483" s="20" t="n">
        <v>0.559755</v>
      </c>
      <c r="J483" s="2" t="inlineStr">
        <is>
          <t>止損</t>
        </is>
      </c>
      <c r="K483" s="5">
        <f>(H483-D483)*24</f>
        <v/>
      </c>
      <c r="L483" s="4">
        <f>IF(C483="做多",I483/E483-1,1-I483/E483)-2*參數!$B$7</f>
        <v/>
      </c>
      <c r="M483" s="2" t="inlineStr"/>
      <c r="N483" s="4" t="n">
        <v>-0.02039691289966927</v>
      </c>
      <c r="O483" s="4" t="n">
        <v>0.02915199436452103</v>
      </c>
      <c r="P483" s="4" t="n">
        <v>-0.00826907514719688</v>
      </c>
      <c r="Q483" s="22" t="n">
        <v>-3819633.400000002</v>
      </c>
      <c r="R483" s="22" t="n">
        <v>12172895.80578</v>
      </c>
      <c r="S483" s="4" t="n">
        <v>0</v>
      </c>
      <c r="T483" s="4" t="n">
        <v>0.05</v>
      </c>
      <c r="U483" s="19" t="n">
        <v>1.237840237035774</v>
      </c>
      <c r="V483" s="19" t="n">
        <v>0.7115384615384588</v>
      </c>
      <c r="W483" s="4" t="n">
        <v>-0.1604291694148225</v>
      </c>
      <c r="X483" s="4" t="n">
        <v>-0.03897875657766514</v>
      </c>
      <c r="Y483" s="4" t="n">
        <v>0.002459109123711611</v>
      </c>
      <c r="Z483" s="4" t="n">
        <v>0.005874121259811571</v>
      </c>
      <c r="AA483" s="4" t="n">
        <v>0.03</v>
      </c>
      <c r="AB483" s="4" t="n">
        <v>0.05</v>
      </c>
      <c r="AC483" s="4">
        <f>(AB483+2*參數!$B$7)/(AA483+AB483)</f>
        <v/>
      </c>
    </row>
    <row r="484">
      <c r="A484" s="2" t="n">
        <v>483</v>
      </c>
      <c r="B484" s="2" t="inlineStr">
        <is>
          <t>AKE_USDT_PERP</t>
        </is>
      </c>
      <c r="C484" s="2" t="inlineStr">
        <is>
          <t>做空</t>
        </is>
      </c>
      <c r="D484" s="7" t="n">
        <v>46291.04166666666</v>
      </c>
      <c r="E484" s="20" t="n">
        <v>0.0360825</v>
      </c>
      <c r="F484" s="20" t="n">
        <v>0.035000025</v>
      </c>
      <c r="G484" s="20" t="n">
        <v>0.03788662500000001</v>
      </c>
      <c r="H484" s="7" t="n">
        <v>46291.08333333334</v>
      </c>
      <c r="I484" s="20" t="n">
        <v>0.035000025</v>
      </c>
      <c r="J484" s="2" t="inlineStr">
        <is>
          <t>止盈</t>
        </is>
      </c>
      <c r="K484" s="5">
        <f>(H484-D484)*24</f>
        <v/>
      </c>
      <c r="L484" s="4">
        <f>IF(C484="做多",I484/E484-1,1-I484/E484)-2*參數!$B$7</f>
        <v/>
      </c>
      <c r="M484" s="2" t="inlineStr"/>
      <c r="N484" s="4" t="n">
        <v>-0.02767485414785953</v>
      </c>
      <c r="O484" s="4" t="n">
        <v>0.05722180691044247</v>
      </c>
      <c r="P484" s="4" t="n">
        <v>-0.002160085241924792</v>
      </c>
      <c r="Q484" s="22" t="n">
        <v>-9967712</v>
      </c>
      <c r="R484" s="22" t="n">
        <v>6005861.9962034</v>
      </c>
      <c r="S484" s="4" t="n">
        <v>0.03</v>
      </c>
      <c r="T484" s="4" t="n">
        <v>0</v>
      </c>
      <c r="U484" s="19" t="n">
        <v>1.325462817880993</v>
      </c>
      <c r="V484" s="19" t="n">
        <v>0.9577177293934663</v>
      </c>
      <c r="W484" s="4" t="n">
        <v>0.2165651807456267</v>
      </c>
      <c r="X484" s="4" t="n">
        <v>0.1431268478609339</v>
      </c>
      <c r="Y484" s="4" t="n">
        <v>0.0006100254276744099</v>
      </c>
      <c r="Z484" s="4" t="n">
        <v>0.006124352255945098</v>
      </c>
      <c r="AA484" s="4" t="n">
        <v>0.03</v>
      </c>
      <c r="AB484" s="4" t="n">
        <v>0.05</v>
      </c>
      <c r="AC484" s="4">
        <f>(AB484+2*參數!$B$7)/(AA484+AB484)</f>
        <v/>
      </c>
    </row>
    <row r="485">
      <c r="A485" s="2" t="n">
        <v>484</v>
      </c>
      <c r="B485" s="2" t="inlineStr">
        <is>
          <t>QNT_USDT_PERP</t>
        </is>
      </c>
      <c r="C485" s="2" t="inlineStr">
        <is>
          <t>做多</t>
        </is>
      </c>
      <c r="D485" s="7" t="n">
        <v>46291.04166666666</v>
      </c>
      <c r="E485" s="20" t="n">
        <v>97.95999999999999</v>
      </c>
      <c r="F485" s="20" t="n">
        <v>100.8988</v>
      </c>
      <c r="G485" s="20" t="n">
        <v>93.06199999999998</v>
      </c>
      <c r="H485" s="7" t="n">
        <v>46291.5</v>
      </c>
      <c r="I485" s="20" t="n">
        <v>100.8988</v>
      </c>
      <c r="J485" s="2" t="inlineStr">
        <is>
          <t>止盈</t>
        </is>
      </c>
      <c r="K485" s="5">
        <f>(H485-D485)*24</f>
        <v/>
      </c>
      <c r="L485" s="4">
        <f>IF(C485="做多",I485/E485-1,1-I485/E485)-2*參數!$B$7</f>
        <v/>
      </c>
      <c r="M485" s="2" t="inlineStr"/>
      <c r="N485" s="4" t="n">
        <v>0.02608149156803186</v>
      </c>
      <c r="O485" s="4" t="n">
        <v>0.03429944685470611</v>
      </c>
      <c r="P485" s="4" t="n">
        <v>0.03253823532511868</v>
      </c>
      <c r="Q485" s="22" t="n">
        <v>23845.29999999999</v>
      </c>
      <c r="R485" s="22" t="n">
        <v>7018131.49</v>
      </c>
      <c r="S485" s="4" t="n">
        <v>0.03</v>
      </c>
      <c r="T485" s="4" t="n">
        <v>0.01469987750102075</v>
      </c>
      <c r="U485" s="19" t="n">
        <v>0.7800733501806887</v>
      </c>
      <c r="V485" s="19" t="n">
        <v>0.7285714285714276</v>
      </c>
      <c r="W485" s="4" t="n">
        <v>0.2766212542582276</v>
      </c>
      <c r="X485" s="4" t="n">
        <v>0.1486866791744839</v>
      </c>
      <c r="Y485" s="4" t="n">
        <v>-0.0006100254276744099</v>
      </c>
      <c r="Z485" s="4" t="n">
        <v>-0.006124352255945098</v>
      </c>
      <c r="AA485" s="4" t="n">
        <v>0.03</v>
      </c>
      <c r="AB485" s="4" t="n">
        <v>0.05</v>
      </c>
      <c r="AC485" s="4">
        <f>(AB485+2*參數!$B$7)/(AA485+AB485)</f>
        <v/>
      </c>
    </row>
    <row r="486">
      <c r="A486" s="2" t="n">
        <v>485</v>
      </c>
      <c r="B486" s="2" t="inlineStr">
        <is>
          <t>PONS_USDT_PERP</t>
        </is>
      </c>
      <c r="C486" s="2" t="inlineStr">
        <is>
          <t>做多</t>
        </is>
      </c>
      <c r="D486" s="7" t="n">
        <v>46291.125</v>
      </c>
      <c r="E486" s="20" t="n">
        <v>0.6466</v>
      </c>
      <c r="F486" s="20" t="n">
        <v>0.665998</v>
      </c>
      <c r="G486" s="20" t="n">
        <v>0.6142699999999999</v>
      </c>
      <c r="H486" s="7" t="n">
        <v>46291.375</v>
      </c>
      <c r="I486" s="20" t="n">
        <v>0.665998</v>
      </c>
      <c r="J486" s="2" t="inlineStr">
        <is>
          <t>止盈</t>
        </is>
      </c>
      <c r="K486" s="5">
        <f>(H486-D486)*24</f>
        <v/>
      </c>
      <c r="L486" s="4">
        <f>IF(C486="做多",I486/E486-1,1-I486/E486)-2*參數!$B$7</f>
        <v/>
      </c>
      <c r="M486" s="2" t="inlineStr"/>
      <c r="N486" s="4" t="n">
        <v>0.02586070125337137</v>
      </c>
      <c r="O486" s="4" t="n">
        <v>0.02379896793648727</v>
      </c>
      <c r="P486" s="4" t="n">
        <v>0.025453968757434</v>
      </c>
      <c r="Q486" s="22" t="n">
        <v>1294521</v>
      </c>
      <c r="R486" s="22" t="n">
        <v>3089939.1094</v>
      </c>
      <c r="S486" s="4" t="n">
        <v>0.03</v>
      </c>
      <c r="T486" s="4" t="n">
        <v>0.02814723167336841</v>
      </c>
      <c r="U486" s="19" t="n">
        <v>0.3822498884388906</v>
      </c>
      <c r="V486" s="19" t="n">
        <v>0.9289617486338754</v>
      </c>
      <c r="W486" s="4" t="n">
        <v>0.01123208918109886</v>
      </c>
      <c r="X486" s="4" t="n">
        <v>0.02634920634920634</v>
      </c>
      <c r="Y486" s="4" t="n">
        <v>0.00216715900379949</v>
      </c>
      <c r="Z486" s="4" t="n">
        <v>-0.003054856944595619</v>
      </c>
      <c r="AA486" s="4" t="n">
        <v>0.03</v>
      </c>
      <c r="AB486" s="4" t="n">
        <v>0.05</v>
      </c>
      <c r="AC486" s="4">
        <f>(AB486+2*參數!$B$7)/(AA486+AB486)</f>
        <v/>
      </c>
    </row>
    <row r="487">
      <c r="A487" s="2" t="n">
        <v>486</v>
      </c>
      <c r="B487" s="2" t="inlineStr">
        <is>
          <t>XPL_USDT_PERP</t>
        </is>
      </c>
      <c r="C487" s="2" t="inlineStr">
        <is>
          <t>做多</t>
        </is>
      </c>
      <c r="D487" s="7" t="n">
        <v>46291.125</v>
      </c>
      <c r="E487" s="20" t="n">
        <v>0.1141</v>
      </c>
      <c r="F487" s="20" t="n">
        <v>0.117523</v>
      </c>
      <c r="G487" s="20" t="n">
        <v>0.108395</v>
      </c>
      <c r="H487" s="7" t="n">
        <v>46291.70833333334</v>
      </c>
      <c r="I487" s="20" t="n">
        <v>0.117523</v>
      </c>
      <c r="J487" s="2" t="inlineStr">
        <is>
          <t>止盈</t>
        </is>
      </c>
      <c r="K487" s="5">
        <f>(H487-D487)*24</f>
        <v/>
      </c>
      <c r="L487" s="4">
        <f>IF(C487="做多",I487/E487-1,1-I487/E487)-2*參數!$B$7</f>
        <v/>
      </c>
      <c r="M487" s="2" t="inlineStr"/>
      <c r="N487" s="4" t="n">
        <v>0.02515723270440251</v>
      </c>
      <c r="O487" s="4" t="n">
        <v>0.04189406918790371</v>
      </c>
      <c r="P487" s="4" t="n">
        <v>0.004445618205026758</v>
      </c>
      <c r="Q487" s="22" t="n">
        <v>4456018</v>
      </c>
      <c r="R487" s="22" t="n">
        <v>3824323.4029</v>
      </c>
      <c r="S487" s="4" t="n">
        <v>0.03</v>
      </c>
      <c r="T487" s="4" t="n">
        <v>0.03856266432953537</v>
      </c>
      <c r="U487" s="19" t="n">
        <v>0.4989795624645668</v>
      </c>
      <c r="V487" s="19" t="n">
        <v>0.953488372093022</v>
      </c>
      <c r="W487" s="4" t="n">
        <v>0.1569544011924437</v>
      </c>
      <c r="X487" s="4" t="n">
        <v>0.09186602870813387</v>
      </c>
      <c r="Y487" s="4" t="n">
        <v>0.00216715900379949</v>
      </c>
      <c r="Z487" s="4" t="n">
        <v>-0.003054856944595619</v>
      </c>
      <c r="AA487" s="4" t="n">
        <v>0.03</v>
      </c>
      <c r="AB487" s="4" t="n">
        <v>0.05</v>
      </c>
      <c r="AC487" s="4">
        <f>(AB487+2*參數!$B$7)/(AA487+AB487)</f>
        <v/>
      </c>
    </row>
    <row r="488">
      <c r="A488" s="2" t="n">
        <v>487</v>
      </c>
      <c r="B488" s="2" t="inlineStr">
        <is>
          <t>BR_USDT_PERP</t>
        </is>
      </c>
      <c r="C488" s="2" t="inlineStr">
        <is>
          <t>做多</t>
        </is>
      </c>
      <c r="D488" s="7" t="n">
        <v>46291.25</v>
      </c>
      <c r="E488" s="20" t="n">
        <v>0.93702</v>
      </c>
      <c r="F488" s="20" t="n">
        <v>0.9651305999999999</v>
      </c>
      <c r="G488" s="20" t="n">
        <v>0.8901689999999999</v>
      </c>
      <c r="H488" s="7" t="n">
        <v>46291.375</v>
      </c>
      <c r="I488" s="20" t="n">
        <v>0.9651305999999999</v>
      </c>
      <c r="J488" s="2" t="inlineStr">
        <is>
          <t>止盈</t>
        </is>
      </c>
      <c r="K488" s="5">
        <f>(H488-D488)*24</f>
        <v/>
      </c>
      <c r="L488" s="4">
        <f>IF(C488="做多",I488/E488-1,1-I488/E488)-2*參數!$B$7</f>
        <v/>
      </c>
      <c r="M488" s="2" t="inlineStr"/>
      <c r="N488" s="4" t="n">
        <v>0.02250109122653865</v>
      </c>
      <c r="O488" s="4" t="n">
        <v>0.08391143006310035</v>
      </c>
      <c r="P488" s="4" t="n">
        <v>0.003526726762747456</v>
      </c>
      <c r="Q488" s="22" t="n">
        <v>828198</v>
      </c>
      <c r="R488" s="22" t="n">
        <v>3766150.10639</v>
      </c>
      <c r="S488" s="4" t="n">
        <v>0.03</v>
      </c>
      <c r="T488" s="4" t="n">
        <v>0.032720753025549</v>
      </c>
      <c r="U488" s="19" t="n">
        <v>0.4067614262616053</v>
      </c>
      <c r="V488" s="19" t="n">
        <v>0.8142076502732239</v>
      </c>
      <c r="W488" s="4" t="n">
        <v>-0.1182826356670117</v>
      </c>
      <c r="X488" s="4" t="n">
        <v>-0.09622099191728239</v>
      </c>
      <c r="Y488" s="4" t="n">
        <v>-0.001102103180235514</v>
      </c>
      <c r="Z488" s="4" t="n">
        <v>-0.004090140418303911</v>
      </c>
      <c r="AA488" s="4" t="n">
        <v>0.03</v>
      </c>
      <c r="AB488" s="4" t="n">
        <v>0.05</v>
      </c>
      <c r="AC488" s="4">
        <f>(AB488+2*參數!$B$7)/(AA488+AB488)</f>
        <v/>
      </c>
    </row>
    <row r="489">
      <c r="A489" s="2" t="n">
        <v>488</v>
      </c>
      <c r="B489" s="2" t="inlineStr">
        <is>
          <t>ARB_USDT_PERP</t>
        </is>
      </c>
      <c r="C489" s="2" t="inlineStr">
        <is>
          <t>做多</t>
        </is>
      </c>
      <c r="D489" s="7" t="n">
        <v>46291.29166666666</v>
      </c>
      <c r="E489" s="20" t="n">
        <v>0.2287</v>
      </c>
      <c r="F489" s="20" t="n">
        <v>0.235561</v>
      </c>
      <c r="G489" s="20" t="n">
        <v>0.217265</v>
      </c>
      <c r="H489" s="7" t="n">
        <v>46291.75</v>
      </c>
      <c r="I489" s="20" t="n">
        <v>0.217265</v>
      </c>
      <c r="J489" s="2" t="inlineStr">
        <is>
          <t>止損</t>
        </is>
      </c>
      <c r="K489" s="5">
        <f>(H489-D489)*24</f>
        <v/>
      </c>
      <c r="L489" s="4">
        <f>IF(C489="做多",I489/E489-1,1-I489/E489)-2*參數!$B$7</f>
        <v/>
      </c>
      <c r="M489" s="2" t="inlineStr"/>
      <c r="N489" s="4" t="n">
        <v>0.03577898550724634</v>
      </c>
      <c r="O489" s="4" t="n">
        <v>0.02189176279024573</v>
      </c>
      <c r="P489" s="4" t="n">
        <v>0.03269213401968729</v>
      </c>
      <c r="Q489" s="22" t="n">
        <v>1689718.099999996</v>
      </c>
      <c r="R489" s="22" t="n">
        <v>3217414.12221</v>
      </c>
      <c r="S489" s="4" t="n">
        <v>0.004809794490599151</v>
      </c>
      <c r="T489" s="4" t="n">
        <v>0.05</v>
      </c>
      <c r="U489" s="19" t="n">
        <v>1.040648891688508</v>
      </c>
      <c r="V489" s="19" t="n">
        <v>0.7964601769911483</v>
      </c>
      <c r="W489" s="4" t="n">
        <v>0.02735264654486946</v>
      </c>
      <c r="X489" s="4" t="n">
        <v>0.04764086120018329</v>
      </c>
      <c r="Y489" s="4" t="n">
        <v>0.003460410066951525</v>
      </c>
      <c r="Z489" s="4" t="n">
        <v>-0.0005594396279725578</v>
      </c>
      <c r="AA489" s="4" t="n">
        <v>0.03</v>
      </c>
      <c r="AB489" s="4" t="n">
        <v>0.05</v>
      </c>
      <c r="AC489" s="4">
        <f>(AB489+2*參數!$B$7)/(AA489+AB489)</f>
        <v/>
      </c>
    </row>
    <row r="490">
      <c r="A490" s="2" t="n">
        <v>489</v>
      </c>
      <c r="B490" s="2" t="inlineStr">
        <is>
          <t>PENGU_USDT_PERP</t>
        </is>
      </c>
      <c r="C490" s="2" t="inlineStr">
        <is>
          <t>做多</t>
        </is>
      </c>
      <c r="D490" s="7" t="n">
        <v>46291.29166666666</v>
      </c>
      <c r="E490" s="20" t="n">
        <v>0.010271</v>
      </c>
      <c r="F490" s="20" t="n">
        <v>0.01057913</v>
      </c>
      <c r="G490" s="20" t="n">
        <v>0.009757450000000001</v>
      </c>
      <c r="H490" s="7" t="n">
        <v>46292.20833333334</v>
      </c>
      <c r="I490" s="20" t="n">
        <v>0.009757450000000001</v>
      </c>
      <c r="J490" s="2" t="inlineStr">
        <is>
          <t>止損</t>
        </is>
      </c>
      <c r="K490" s="5">
        <f>(H490-D490)*24</f>
        <v/>
      </c>
      <c r="L490" s="4">
        <f>IF(C490="做多",I490/E490-1,1-I490/E490)-2*參數!$B$7</f>
        <v/>
      </c>
      <c r="M490" s="2" t="inlineStr"/>
      <c r="N490" s="4" t="n">
        <v>0.02884904337373539</v>
      </c>
      <c r="O490" s="4" t="n">
        <v>0.0228009807849537</v>
      </c>
      <c r="P490" s="4" t="n">
        <v>0.04255059989037546</v>
      </c>
      <c r="Q490" s="22" t="n">
        <v>122215086</v>
      </c>
      <c r="R490" s="22" t="n">
        <v>2772925.220735</v>
      </c>
      <c r="S490" s="4" t="n">
        <v>0.01947230065232186</v>
      </c>
      <c r="T490" s="4" t="n">
        <v>0.05</v>
      </c>
      <c r="U490" s="19" t="n">
        <v>4.204265378171247</v>
      </c>
      <c r="V490" s="19" t="n">
        <v>0.7684478371501292</v>
      </c>
      <c r="W490" s="4" t="n">
        <v>0.05674160193425615</v>
      </c>
      <c r="X490" s="4" t="n">
        <v>0.05755766062602974</v>
      </c>
      <c r="Y490" s="4" t="n">
        <v>0.003460410066951525</v>
      </c>
      <c r="Z490" s="4" t="n">
        <v>-0.0005594396279725578</v>
      </c>
      <c r="AA490" s="4" t="n">
        <v>0.03</v>
      </c>
      <c r="AB490" s="4" t="n">
        <v>0.05</v>
      </c>
      <c r="AC490" s="4">
        <f>(AB490+2*參數!$B$7)/(AA490+AB490)</f>
        <v/>
      </c>
    </row>
    <row r="491">
      <c r="A491" s="2" t="n">
        <v>490</v>
      </c>
      <c r="B491" s="2" t="inlineStr">
        <is>
          <t>PUMP_USDT_PERP</t>
        </is>
      </c>
      <c r="C491" s="2" t="inlineStr">
        <is>
          <t>做多</t>
        </is>
      </c>
      <c r="D491" s="7" t="n">
        <v>46291.29166666666</v>
      </c>
      <c r="E491" s="20" t="n">
        <v>0.004187</v>
      </c>
      <c r="F491" s="20" t="n">
        <v>0.00431261</v>
      </c>
      <c r="G491" s="20" t="n">
        <v>0.003977649999999999</v>
      </c>
      <c r="H491" s="7" t="n">
        <v>46291.45833333334</v>
      </c>
      <c r="I491" s="20" t="n">
        <v>0.00431261</v>
      </c>
      <c r="J491" s="2" t="inlineStr">
        <is>
          <t>止盈</t>
        </is>
      </c>
      <c r="K491" s="5">
        <f>(H491-D491)*24</f>
        <v/>
      </c>
      <c r="L491" s="4">
        <f>IF(C491="做多",I491/E491-1,1-I491/E491)-2*參數!$B$7</f>
        <v/>
      </c>
      <c r="M491" s="2" t="inlineStr"/>
      <c r="N491" s="4" t="n">
        <v>0.02849422746253993</v>
      </c>
      <c r="O491" s="4" t="n">
        <v>0.0216883177267738</v>
      </c>
      <c r="P491" s="4" t="n">
        <v>0.02998696219035191</v>
      </c>
      <c r="Q491" s="22" t="n">
        <v>100978210</v>
      </c>
      <c r="R491" s="22" t="n">
        <v>6143652.359474</v>
      </c>
      <c r="S491" s="4" t="n">
        <v>0.03</v>
      </c>
      <c r="T491" s="4" t="n">
        <v>0.009792213995700849</v>
      </c>
      <c r="U491" s="19" t="n">
        <v>0.3552138487272078</v>
      </c>
      <c r="V491" s="19" t="n">
        <v>0.9015151515151517</v>
      </c>
      <c r="W491" s="4" t="n">
        <v>0.003751782995912611</v>
      </c>
      <c r="X491" s="4" t="n">
        <v>0.09150156412930133</v>
      </c>
      <c r="Y491" s="4" t="n">
        <v>0.003460410066951525</v>
      </c>
      <c r="Z491" s="4" t="n">
        <v>-0.0005594396279725578</v>
      </c>
      <c r="AA491" s="4" t="n">
        <v>0.03</v>
      </c>
      <c r="AB491" s="4" t="n">
        <v>0.05</v>
      </c>
      <c r="AC491" s="4">
        <f>(AB491+2*參數!$B$7)/(AA491+AB491)</f>
        <v/>
      </c>
    </row>
    <row r="492">
      <c r="A492" s="2" t="n">
        <v>491</v>
      </c>
      <c r="B492" s="2" t="inlineStr">
        <is>
          <t>AERO_USDT_PERP</t>
        </is>
      </c>
      <c r="C492" s="2" t="inlineStr">
        <is>
          <t>做多</t>
        </is>
      </c>
      <c r="D492" s="7" t="n">
        <v>46291.41666666666</v>
      </c>
      <c r="E492" s="20" t="n">
        <v>0.8534</v>
      </c>
      <c r="F492" s="20" t="n">
        <v>0.8790020000000001</v>
      </c>
      <c r="G492" s="20" t="n">
        <v>0.8107300000000001</v>
      </c>
      <c r="H492" s="7" t="n">
        <v>46291.45833333334</v>
      </c>
      <c r="I492" s="20" t="n">
        <v>0.8790020000000001</v>
      </c>
      <c r="J492" s="2" t="inlineStr">
        <is>
          <t>止盈</t>
        </is>
      </c>
      <c r="K492" s="5">
        <f>(H492-D492)*24</f>
        <v/>
      </c>
      <c r="L492" s="4">
        <f>IF(C492="做多",I492/E492-1,1-I492/E492)-2*參數!$B$7</f>
        <v/>
      </c>
      <c r="M492" s="2" t="inlineStr"/>
      <c r="N492" s="4" t="n">
        <v>0.03192261185006062</v>
      </c>
      <c r="O492" s="4" t="n">
        <v>0.0264237348643766</v>
      </c>
      <c r="P492" s="4" t="n">
        <v>0.05699918254105873</v>
      </c>
      <c r="Q492" s="22" t="n">
        <v>536971.8000000003</v>
      </c>
      <c r="R492" s="22" t="n">
        <v>1509375.48743</v>
      </c>
      <c r="S492" s="4" t="n">
        <v>0.03</v>
      </c>
      <c r="T492" s="4" t="n">
        <v>0</v>
      </c>
      <c r="U492" s="19" t="n">
        <v>0.6177384752996335</v>
      </c>
      <c r="V492" s="19" t="n">
        <v>0.9781021897810243</v>
      </c>
      <c r="W492" s="4" t="n">
        <v>0.1925756783874657</v>
      </c>
      <c r="X492" s="4" t="n">
        <v>0.2252692031586505</v>
      </c>
      <c r="Y492" s="4" t="n">
        <v>0.002054394353098399</v>
      </c>
      <c r="Z492" s="4" t="n">
        <v>-0.0001775002492379052</v>
      </c>
      <c r="AA492" s="4" t="n">
        <v>0.03</v>
      </c>
      <c r="AB492" s="4" t="n">
        <v>0.05</v>
      </c>
      <c r="AC492" s="4">
        <f>(AB492+2*參數!$B$7)/(AA492+AB492)</f>
        <v/>
      </c>
    </row>
    <row r="493">
      <c r="A493" s="2" t="n">
        <v>492</v>
      </c>
      <c r="B493" s="2" t="inlineStr">
        <is>
          <t>LYN_USDT_PERP</t>
        </is>
      </c>
      <c r="C493" s="2" t="inlineStr">
        <is>
          <t>做空</t>
        </is>
      </c>
      <c r="D493" s="7" t="n">
        <v>46291.41666666666</v>
      </c>
      <c r="E493" s="20" t="n">
        <v>0.04466</v>
      </c>
      <c r="F493" s="20" t="n">
        <v>0.0433202</v>
      </c>
      <c r="G493" s="20" t="n">
        <v>0.046893</v>
      </c>
      <c r="H493" s="7" t="n">
        <v>46291.45833333334</v>
      </c>
      <c r="I493" s="20" t="n">
        <v>0.0433202</v>
      </c>
      <c r="J493" s="2" t="inlineStr">
        <is>
          <t>止盈</t>
        </is>
      </c>
      <c r="K493" s="5">
        <f>(H493-D493)*24</f>
        <v/>
      </c>
      <c r="L493" s="4">
        <f>IF(C493="做多",I493/E493-1,1-I493/E493)-2*參數!$B$7</f>
        <v/>
      </c>
      <c r="M493" s="2" t="inlineStr"/>
      <c r="N493" s="4" t="n">
        <v>-0.08577277379733883</v>
      </c>
      <c r="O493" s="4" t="n">
        <v>0.1043489340342936</v>
      </c>
      <c r="P493" s="4" t="n">
        <v>-0.04156919973388862</v>
      </c>
      <c r="Q493" s="22" t="n">
        <v>-20200839</v>
      </c>
      <c r="R493" s="22" t="n">
        <v>2273438.35389</v>
      </c>
      <c r="S493" s="4" t="n">
        <v>0.03</v>
      </c>
      <c r="T493" s="4" t="n">
        <v>0</v>
      </c>
      <c r="U493" s="19" t="n">
        <v>2.030562396801389</v>
      </c>
      <c r="V493" s="19" t="n">
        <v>0.9286775631500741</v>
      </c>
      <c r="W493" s="4" t="n">
        <v>-0.08071483018548298</v>
      </c>
      <c r="X493" s="4" t="n">
        <v>-0.1419074405522884</v>
      </c>
      <c r="Y493" s="4" t="n">
        <v>-0.002054394353098399</v>
      </c>
      <c r="Z493" s="4" t="n">
        <v>0.0001775002492379052</v>
      </c>
      <c r="AA493" s="4" t="n">
        <v>0.03</v>
      </c>
      <c r="AB493" s="4" t="n">
        <v>0.05</v>
      </c>
      <c r="AC493" s="4">
        <f>(AB493+2*參數!$B$7)/(AA493+AB493)</f>
        <v/>
      </c>
    </row>
    <row r="494">
      <c r="A494" s="2" t="n">
        <v>493</v>
      </c>
      <c r="B494" s="2" t="inlineStr">
        <is>
          <t>FET_USDT_PERP</t>
        </is>
      </c>
      <c r="C494" s="2" t="inlineStr">
        <is>
          <t>做多</t>
        </is>
      </c>
      <c r="D494" s="7" t="n">
        <v>46291.54166666666</v>
      </c>
      <c r="E494" s="20" t="n">
        <v>0.2468</v>
      </c>
      <c r="F494" s="20" t="n">
        <v>0.254204</v>
      </c>
      <c r="G494" s="20" t="n">
        <v>0.23446</v>
      </c>
      <c r="H494" s="7" t="n">
        <v>46292</v>
      </c>
      <c r="I494" s="20" t="n">
        <v>0.254204</v>
      </c>
      <c r="J494" s="2" t="inlineStr">
        <is>
          <t>止盈</t>
        </is>
      </c>
      <c r="K494" s="5">
        <f>(H494-D494)*24</f>
        <v/>
      </c>
      <c r="L494" s="4">
        <f>IF(C494="做多",I494/E494-1,1-I494/E494)-2*參數!$B$7</f>
        <v/>
      </c>
      <c r="M494" s="2" t="inlineStr"/>
      <c r="N494" s="4" t="n">
        <v>0.02025630425795777</v>
      </c>
      <c r="O494" s="4" t="n">
        <v>0.02015143846387749</v>
      </c>
      <c r="P494" s="4" t="n">
        <v>0.02515109348065381</v>
      </c>
      <c r="Q494" s="22" t="n">
        <v>3914876</v>
      </c>
      <c r="R494" s="22" t="n">
        <v>3487444.9208</v>
      </c>
      <c r="S494" s="4" t="n">
        <v>0.03</v>
      </c>
      <c r="T494" s="4" t="n">
        <v>0.03727714748784439</v>
      </c>
      <c r="U494" s="19" t="n">
        <v>0.4044272584723388</v>
      </c>
      <c r="V494" s="19" t="n">
        <v>0.8983050847457601</v>
      </c>
      <c r="W494" s="4" t="n">
        <v>0.1481419453283461</v>
      </c>
      <c r="X494" s="4" t="n">
        <v>0.08103372755146743</v>
      </c>
      <c r="Y494" s="4" t="n">
        <v>0.000467175554323962</v>
      </c>
      <c r="Z494" s="4" t="n">
        <v>-0.0009745971047463442</v>
      </c>
      <c r="AA494" s="4" t="n">
        <v>0.03</v>
      </c>
      <c r="AB494" s="4" t="n">
        <v>0.05</v>
      </c>
      <c r="AC494" s="4">
        <f>(AB494+2*參數!$B$7)/(AA494+AB494)</f>
        <v/>
      </c>
    </row>
    <row r="495">
      <c r="A495" s="2" t="n">
        <v>494</v>
      </c>
      <c r="B495" s="2" t="inlineStr">
        <is>
          <t>QNT_USDT_PERP</t>
        </is>
      </c>
      <c r="C495" s="2" t="inlineStr">
        <is>
          <t>做多</t>
        </is>
      </c>
      <c r="D495" s="7" t="n">
        <v>46291.58333333334</v>
      </c>
      <c r="E495" s="20" t="n">
        <v>100.72</v>
      </c>
      <c r="F495" s="20" t="n">
        <v>103.7416</v>
      </c>
      <c r="G495" s="20" t="n">
        <v>95.684</v>
      </c>
      <c r="H495" s="7" t="n">
        <v>46291.625</v>
      </c>
      <c r="I495" s="20" t="n">
        <v>103.7416</v>
      </c>
      <c r="J495" s="2" t="inlineStr">
        <is>
          <t>止盈</t>
        </is>
      </c>
      <c r="K495" s="5">
        <f>(H495-D495)*24</f>
        <v/>
      </c>
      <c r="L495" s="4">
        <f>IF(C495="做多",I495/E495-1,1-I495/E495)-2*參數!$B$7</f>
        <v/>
      </c>
      <c r="M495" s="2" t="inlineStr"/>
      <c r="N495" s="4" t="n">
        <v>0.02119030720876003</v>
      </c>
      <c r="O495" s="4" t="n">
        <v>0.02532472971226432</v>
      </c>
      <c r="P495" s="4" t="n">
        <v>0.03071578053285728</v>
      </c>
      <c r="Q495" s="22" t="n">
        <v>8304.399999999998</v>
      </c>
      <c r="R495" s="22" t="n">
        <v>6282037.247</v>
      </c>
      <c r="S495" s="4" t="n">
        <v>0.03</v>
      </c>
      <c r="T495" s="4" t="n">
        <v>0</v>
      </c>
      <c r="U495" s="19" t="n">
        <v>0.6492928044213357</v>
      </c>
      <c r="V495" s="19" t="n">
        <v>0.8168498168498172</v>
      </c>
      <c r="W495" s="4" t="n">
        <v>0.2457714642638484</v>
      </c>
      <c r="X495" s="4" t="n">
        <v>0.03366174055829219</v>
      </c>
      <c r="Y495" s="4" t="n">
        <v>-0.0006349191222631001</v>
      </c>
      <c r="Z495" s="4" t="n">
        <v>-0.001229260507332075</v>
      </c>
      <c r="AA495" s="4" t="n">
        <v>0.03</v>
      </c>
      <c r="AB495" s="4" t="n">
        <v>0.05</v>
      </c>
      <c r="AC495" s="4">
        <f>(AB495+2*參數!$B$7)/(AA495+AB495)</f>
        <v/>
      </c>
    </row>
    <row r="496">
      <c r="A496" s="2" t="n">
        <v>495</v>
      </c>
      <c r="B496" s="2" t="inlineStr">
        <is>
          <t>MUBARAK_USDT_PERP</t>
        </is>
      </c>
      <c r="C496" s="2" t="inlineStr">
        <is>
          <t>做空</t>
        </is>
      </c>
      <c r="D496" s="7" t="n">
        <v>46291.625</v>
      </c>
      <c r="E496" s="20" t="n">
        <v>0.05304</v>
      </c>
      <c r="F496" s="20" t="n">
        <v>0.0514488</v>
      </c>
      <c r="G496" s="20" t="n">
        <v>0.055692</v>
      </c>
      <c r="H496" s="7" t="n">
        <v>46291.75</v>
      </c>
      <c r="I496" s="20" t="n">
        <v>0.055692</v>
      </c>
      <c r="J496" s="2" t="inlineStr">
        <is>
          <t>止損</t>
        </is>
      </c>
      <c r="K496" s="5">
        <f>(H496-D496)*24</f>
        <v/>
      </c>
      <c r="L496" s="4">
        <f>IF(C496="做多",I496/E496-1,1-I496/E496)-2*參數!$B$7</f>
        <v/>
      </c>
      <c r="M496" s="2" t="inlineStr"/>
      <c r="N496" s="4" t="n">
        <v>-0.0307017543859649</v>
      </c>
      <c r="O496" s="4" t="n">
        <v>0.05405359387261636</v>
      </c>
      <c r="P496" s="4" t="n">
        <v>-0.007057678267218481</v>
      </c>
      <c r="Q496" s="22" t="n">
        <v>-3552835</v>
      </c>
      <c r="R496" s="22" t="n">
        <v>1583241.60094</v>
      </c>
      <c r="S496" s="4" t="n">
        <v>0.01715686274509798</v>
      </c>
      <c r="T496" s="4" t="n">
        <v>0.05</v>
      </c>
      <c r="U496" s="19" t="n">
        <v>0.9170324134937781</v>
      </c>
      <c r="V496" s="19" t="n">
        <v>0.5200000000000011</v>
      </c>
      <c r="W496" s="4" t="n">
        <v>0.05583799718033067</v>
      </c>
      <c r="X496" s="4" t="n">
        <v>-0.2380952380952379</v>
      </c>
      <c r="Y496" s="4" t="n">
        <v>0.0003945436167370753</v>
      </c>
      <c r="Z496" s="4" t="n">
        <v>0.001137489756636745</v>
      </c>
      <c r="AA496" s="4" t="n">
        <v>0.03</v>
      </c>
      <c r="AB496" s="4" t="n">
        <v>0.05</v>
      </c>
      <c r="AC496" s="4">
        <f>(AB496+2*參數!$B$7)/(AA496+AB496)</f>
        <v/>
      </c>
    </row>
    <row r="497">
      <c r="A497" s="2" t="n">
        <v>496</v>
      </c>
      <c r="B497" s="2" t="inlineStr">
        <is>
          <t>AKE_USDT_PERP</t>
        </is>
      </c>
      <c r="C497" s="2" t="inlineStr">
        <is>
          <t>做多</t>
        </is>
      </c>
      <c r="D497" s="7" t="n">
        <v>46291.66666666666</v>
      </c>
      <c r="E497" s="20" t="n">
        <v>0.0360925</v>
      </c>
      <c r="F497" s="20" t="n">
        <v>0.037175275</v>
      </c>
      <c r="G497" s="20" t="n">
        <v>0.034287875</v>
      </c>
      <c r="H497" s="7" t="n">
        <v>46291.70833333334</v>
      </c>
      <c r="I497" s="20" t="n">
        <v>0.034287875</v>
      </c>
      <c r="J497" s="2" t="inlineStr">
        <is>
          <t>止損</t>
        </is>
      </c>
      <c r="K497" s="5">
        <f>(H497-D497)*24</f>
        <v/>
      </c>
      <c r="L497" s="4">
        <f>IF(C497="做多",I497/E497-1,1-I497/E497)-2*參數!$B$7</f>
        <v/>
      </c>
      <c r="M497" s="2" t="inlineStr"/>
      <c r="N497" s="4" t="n">
        <v>0.0371408045977013</v>
      </c>
      <c r="O497" s="4" t="n">
        <v>0.04376358834289845</v>
      </c>
      <c r="P497" s="4" t="n">
        <v>0.05753621092767403</v>
      </c>
      <c r="Q497" s="22" t="n">
        <v>38791</v>
      </c>
      <c r="R497" s="22" t="n">
        <v>3709484.1721084</v>
      </c>
      <c r="S497" s="4" t="n">
        <v>0</v>
      </c>
      <c r="T497" s="4" t="n">
        <v>0.05</v>
      </c>
      <c r="U497" s="19" t="n">
        <v>2.141688411708617</v>
      </c>
      <c r="V497" s="19" t="n">
        <v>0.4984609465178913</v>
      </c>
      <c r="W497" s="4" t="n">
        <v>-0.1562042698016067</v>
      </c>
      <c r="X497" s="4" t="n">
        <v>0.01558872771782704</v>
      </c>
      <c r="Y497" s="4" t="n">
        <v>0.00254825527388669</v>
      </c>
      <c r="Z497" s="4" t="n">
        <v>0.001681383112599022</v>
      </c>
      <c r="AA497" s="4" t="n">
        <v>0.03</v>
      </c>
      <c r="AB497" s="4" t="n">
        <v>0.05</v>
      </c>
      <c r="AC497" s="4">
        <f>(AB497+2*參數!$B$7)/(AA497+AB497)</f>
        <v/>
      </c>
    </row>
    <row r="498">
      <c r="A498" s="2" t="n">
        <v>497</v>
      </c>
      <c r="B498" s="2" t="inlineStr">
        <is>
          <t>ENA_USDT_PERP</t>
        </is>
      </c>
      <c r="C498" s="2" t="inlineStr">
        <is>
          <t>做多</t>
        </is>
      </c>
      <c r="D498" s="7" t="n">
        <v>46291.66666666666</v>
      </c>
      <c r="E498" s="20" t="n">
        <v>0.2716</v>
      </c>
      <c r="F498" s="20" t="n">
        <v>0.279748</v>
      </c>
      <c r="G498" s="20" t="n">
        <v>0.25802</v>
      </c>
      <c r="H498" s="7" t="n">
        <v>46291.75</v>
      </c>
      <c r="I498" s="20" t="n">
        <v>0.279748</v>
      </c>
      <c r="J498" s="2" t="inlineStr">
        <is>
          <t>止盈</t>
        </is>
      </c>
      <c r="K498" s="5">
        <f>(H498-D498)*24</f>
        <v/>
      </c>
      <c r="L498" s="4">
        <f>IF(C498="做多",I498/E498-1,1-I498/E498)-2*參數!$B$7</f>
        <v/>
      </c>
      <c r="M498" s="2" t="inlineStr"/>
      <c r="N498" s="4" t="n">
        <v>0.02143663031214738</v>
      </c>
      <c r="O498" s="4" t="n">
        <v>0.02705385502733253</v>
      </c>
      <c r="P498" s="4" t="n">
        <v>0.03474550441938451</v>
      </c>
      <c r="Q498" s="22" t="n">
        <v>21356433</v>
      </c>
      <c r="R498" s="22" t="n">
        <v>15550722.8349</v>
      </c>
      <c r="S498" s="4" t="n">
        <v>0.03</v>
      </c>
      <c r="T498" s="4" t="n">
        <v>0.0003681885125184081</v>
      </c>
      <c r="U498" s="19" t="n">
        <v>0.4511772202793475</v>
      </c>
      <c r="V498" s="19" t="n">
        <v>0.5943396226415122</v>
      </c>
      <c r="W498" s="4" t="n">
        <v>0.2158217988432682</v>
      </c>
      <c r="X498" s="4" t="n">
        <v>0.2328642759872901</v>
      </c>
      <c r="Y498" s="4" t="n">
        <v>0.00254825527388669</v>
      </c>
      <c r="Z498" s="4" t="n">
        <v>0.001681383112599022</v>
      </c>
      <c r="AA498" s="4" t="n">
        <v>0.03</v>
      </c>
      <c r="AB498" s="4" t="n">
        <v>0.05</v>
      </c>
      <c r="AC498" s="4">
        <f>(AB498+2*參數!$B$7)/(AA498+AB498)</f>
        <v/>
      </c>
    </row>
    <row r="499">
      <c r="A499" s="2" t="n">
        <v>498</v>
      </c>
      <c r="B499" s="2" t="inlineStr">
        <is>
          <t>SAGA_USDT_PERP</t>
        </is>
      </c>
      <c r="C499" s="2" t="inlineStr">
        <is>
          <t>做空</t>
        </is>
      </c>
      <c r="D499" s="7" t="n">
        <v>46291.66666666666</v>
      </c>
      <c r="E499" s="20" t="n">
        <v>0.03453</v>
      </c>
      <c r="F499" s="20" t="n">
        <v>0.0334941</v>
      </c>
      <c r="G499" s="20" t="n">
        <v>0.0362565</v>
      </c>
      <c r="H499" s="7" t="n">
        <v>46291.70833333334</v>
      </c>
      <c r="I499" s="20" t="n">
        <v>0.0334941</v>
      </c>
      <c r="J499" s="2" t="inlineStr">
        <is>
          <t>止盈</t>
        </is>
      </c>
      <c r="K499" s="5">
        <f>(H499-D499)*24</f>
        <v/>
      </c>
      <c r="L499" s="4">
        <f>IF(C499="做多",I499/E499-1,1-I499/E499)-2*參數!$B$7</f>
        <v/>
      </c>
      <c r="M499" s="2" t="inlineStr"/>
      <c r="N499" s="4" t="n">
        <v>-0.07202364955657081</v>
      </c>
      <c r="O499" s="4" t="n">
        <v>0.1068577638223083</v>
      </c>
      <c r="P499" s="4" t="n">
        <v>-0.05601574673993281</v>
      </c>
      <c r="Q499" s="22" t="n">
        <v>-7576045.099999987</v>
      </c>
      <c r="R499" s="22" t="n">
        <v>2243283.424849</v>
      </c>
      <c r="S499" s="4" t="n">
        <v>0.03</v>
      </c>
      <c r="T499" s="4" t="n">
        <v>0</v>
      </c>
      <c r="U499" s="19" t="n">
        <v>0.7568498560891384</v>
      </c>
      <c r="V499" s="19" t="n">
        <v>0.7253333333333341</v>
      </c>
      <c r="W499" s="4" t="n">
        <v>0.1916396862073083</v>
      </c>
      <c r="X499" s="4" t="n">
        <v>-0.004363001745200545</v>
      </c>
      <c r="Y499" s="4" t="n">
        <v>-0.00254825527388669</v>
      </c>
      <c r="Z499" s="4" t="n">
        <v>-0.001681383112599022</v>
      </c>
      <c r="AA499" s="4" t="n">
        <v>0.03</v>
      </c>
      <c r="AB499" s="4" t="n">
        <v>0.05</v>
      </c>
      <c r="AC499" s="4">
        <f>(AB499+2*參數!$B$7)/(AA499+AB499)</f>
        <v/>
      </c>
    </row>
    <row r="500">
      <c r="A500" s="2" t="n">
        <v>499</v>
      </c>
      <c r="B500" s="2" t="inlineStr">
        <is>
          <t>AERO_USDT_PERP</t>
        </is>
      </c>
      <c r="C500" s="2" t="inlineStr">
        <is>
          <t>做多</t>
        </is>
      </c>
      <c r="D500" s="7" t="n">
        <v>46291.70833333334</v>
      </c>
      <c r="E500" s="20" t="n">
        <v>0.9006999999999999</v>
      </c>
      <c r="F500" s="20" t="n">
        <v>0.927721</v>
      </c>
      <c r="G500" s="20" t="n">
        <v>0.8556649999999999</v>
      </c>
      <c r="H500" s="7" t="n">
        <v>46291.83333333334</v>
      </c>
      <c r="I500" s="20" t="n">
        <v>0.927721</v>
      </c>
      <c r="J500" s="2" t="inlineStr">
        <is>
          <t>止盈</t>
        </is>
      </c>
      <c r="K500" s="5">
        <f>(H500-D500)*24</f>
        <v/>
      </c>
      <c r="L500" s="4">
        <f>IF(C500="做多",I500/E500-1,1-I500/E500)-2*參數!$B$7</f>
        <v/>
      </c>
      <c r="M500" s="2" t="inlineStr"/>
      <c r="N500" s="4" t="n">
        <v>0.02760981175128352</v>
      </c>
      <c r="O500" s="4" t="n">
        <v>0.02784418497290705</v>
      </c>
      <c r="P500" s="4" t="n">
        <v>0.05456652948442509</v>
      </c>
      <c r="Q500" s="22" t="n">
        <v>587547.2000000007</v>
      </c>
      <c r="R500" s="22" t="n">
        <v>2254017.66845</v>
      </c>
      <c r="S500" s="4" t="n">
        <v>0.03</v>
      </c>
      <c r="T500" s="4" t="n">
        <v>0.0114355501276785</v>
      </c>
      <c r="U500" s="19" t="n">
        <v>0.7215711136420873</v>
      </c>
      <c r="V500" s="19" t="n">
        <v>0.816393442622949</v>
      </c>
      <c r="W500" s="4" t="n">
        <v>0.2342989012314212</v>
      </c>
      <c r="X500" s="4" t="n">
        <v>0.2012536676447052</v>
      </c>
      <c r="Y500" s="4" t="n">
        <v>0.001099018733273782</v>
      </c>
      <c r="Z500" s="4" t="n">
        <v>0.002936393434418427</v>
      </c>
      <c r="AA500" s="4" t="n">
        <v>0.03</v>
      </c>
      <c r="AB500" s="4" t="n">
        <v>0.05</v>
      </c>
      <c r="AC500" s="4">
        <f>(AB500+2*參數!$B$7)/(AA500+AB500)</f>
        <v/>
      </c>
    </row>
    <row r="501">
      <c r="A501" s="2" t="n">
        <v>500</v>
      </c>
      <c r="B501" s="2" t="inlineStr">
        <is>
          <t>USELESS_USDT_PERP</t>
        </is>
      </c>
      <c r="C501" s="2" t="inlineStr">
        <is>
          <t>做空</t>
        </is>
      </c>
      <c r="D501" s="7" t="n">
        <v>46291.70833333334</v>
      </c>
      <c r="E501" s="20" t="n">
        <v>0.28291</v>
      </c>
      <c r="F501" s="20" t="n">
        <v>0.2744227</v>
      </c>
      <c r="G501" s="20" t="n">
        <v>0.2970555</v>
      </c>
      <c r="H501" s="7" t="n">
        <v>46291.75</v>
      </c>
      <c r="I501" s="20" t="n">
        <v>0.2744227</v>
      </c>
      <c r="J501" s="2" t="inlineStr">
        <is>
          <t>止盈</t>
        </is>
      </c>
      <c r="K501" s="5">
        <f>(H501-D501)*24</f>
        <v/>
      </c>
      <c r="L501" s="4">
        <f>IF(C501="做多",I501/E501-1,1-I501/E501)-2*參數!$B$7</f>
        <v/>
      </c>
      <c r="M501" s="2" t="inlineStr"/>
      <c r="N501" s="4" t="n">
        <v>-0.02269586845377924</v>
      </c>
      <c r="O501" s="4" t="n">
        <v>0.02874113772822599</v>
      </c>
      <c r="P501" s="4" t="n">
        <v>-0.02420769258627575</v>
      </c>
      <c r="Q501" s="22" t="n">
        <v>-3295421</v>
      </c>
      <c r="R501" s="22" t="n">
        <v>2751817.14514</v>
      </c>
      <c r="S501" s="4" t="n">
        <v>0.03</v>
      </c>
      <c r="T501" s="4" t="n">
        <v>0</v>
      </c>
      <c r="U501" s="19" t="n">
        <v>1.360684736329517</v>
      </c>
      <c r="V501" s="19" t="n">
        <v>0.8853362734288877</v>
      </c>
      <c r="W501" s="4" t="n">
        <v>0.06058653986638152</v>
      </c>
      <c r="X501" s="4" t="n">
        <v>0.005518841394825724</v>
      </c>
      <c r="Y501" s="4" t="n">
        <v>-0.001099018733273782</v>
      </c>
      <c r="Z501" s="4" t="n">
        <v>-0.002936393434418427</v>
      </c>
      <c r="AA501" s="4" t="n">
        <v>0.03</v>
      </c>
      <c r="AB501" s="4" t="n">
        <v>0.05</v>
      </c>
      <c r="AC501" s="4">
        <f>(AB501+2*參數!$B$7)/(AA501+AB501)</f>
        <v/>
      </c>
    </row>
    <row r="502">
      <c r="A502" s="2" t="n">
        <v>501</v>
      </c>
      <c r="B502" s="2" t="inlineStr">
        <is>
          <t>USELESS_USDT_PERP</t>
        </is>
      </c>
      <c r="C502" s="2" t="inlineStr">
        <is>
          <t>做多</t>
        </is>
      </c>
      <c r="D502" s="7" t="n">
        <v>46291.95833333334</v>
      </c>
      <c r="E502" s="20" t="n">
        <v>0.29344</v>
      </c>
      <c r="F502" s="20" t="n">
        <v>0.3022432</v>
      </c>
      <c r="G502" s="20" t="n">
        <v>0.278768</v>
      </c>
      <c r="H502" s="7" t="n">
        <v>46292.20833333334</v>
      </c>
      <c r="I502" s="20" t="n">
        <v>0.278768</v>
      </c>
      <c r="J502" s="2" t="inlineStr">
        <is>
          <t>止損</t>
        </is>
      </c>
      <c r="K502" s="5">
        <f>(H502-D502)*24</f>
        <v/>
      </c>
      <c r="L502" s="4">
        <f>IF(C502="做多",I502/E502-1,1-I502/E502)-2*參數!$B$7</f>
        <v/>
      </c>
      <c r="M502" s="2" t="inlineStr"/>
      <c r="N502" s="4" t="n">
        <v>0.02773886242644985</v>
      </c>
      <c r="O502" s="4" t="n">
        <v>0.02714119131917923</v>
      </c>
      <c r="P502" s="4" t="n">
        <v>0.02590816681496122</v>
      </c>
      <c r="Q502" s="22" t="n">
        <v>1024608</v>
      </c>
      <c r="R502" s="22" t="n">
        <v>2323393.57515</v>
      </c>
      <c r="S502" s="4" t="n">
        <v>0.01277944383860419</v>
      </c>
      <c r="T502" s="4" t="n">
        <v>0.05</v>
      </c>
      <c r="U502" s="19" t="n">
        <v>4.33362944485502</v>
      </c>
      <c r="V502" s="19" t="n">
        <v>0.785028790786946</v>
      </c>
      <c r="W502" s="4" t="n">
        <v>-0.02411932455914279</v>
      </c>
      <c r="X502" s="4" t="n">
        <v>-0.02459779284669594</v>
      </c>
      <c r="Y502" s="4" t="n">
        <v>0.0008580887978890672</v>
      </c>
      <c r="Z502" s="4" t="n">
        <v>2.441134424913116e-05</v>
      </c>
      <c r="AA502" s="4" t="n">
        <v>0.03</v>
      </c>
      <c r="AB502" s="4" t="n">
        <v>0.05</v>
      </c>
      <c r="AC502" s="4">
        <f>(AB502+2*參數!$B$7)/(AA502+AB502)</f>
        <v/>
      </c>
    </row>
    <row r="503">
      <c r="A503" s="2" t="n">
        <v>502</v>
      </c>
      <c r="B503" s="2" t="inlineStr">
        <is>
          <t>WLD_USDT_PERP</t>
        </is>
      </c>
      <c r="C503" s="2" t="inlineStr">
        <is>
          <t>做多</t>
        </is>
      </c>
      <c r="D503" s="7" t="n">
        <v>46291.95833333334</v>
      </c>
      <c r="E503" s="20" t="n">
        <v>0.5108</v>
      </c>
      <c r="F503" s="20" t="n">
        <v>0.526124</v>
      </c>
      <c r="G503" s="20" t="n">
        <v>0.48526</v>
      </c>
      <c r="H503" s="7" t="n">
        <v>46292</v>
      </c>
      <c r="I503" s="20" t="n">
        <v>0.526124</v>
      </c>
      <c r="J503" s="2" t="inlineStr">
        <is>
          <t>止盈</t>
        </is>
      </c>
      <c r="K503" s="5">
        <f>(H503-D503)*24</f>
        <v/>
      </c>
      <c r="L503" s="4">
        <f>IF(C503="做多",I503/E503-1,1-I503/E503)-2*參數!$B$7</f>
        <v/>
      </c>
      <c r="M503" s="2" t="inlineStr"/>
      <c r="N503" s="4" t="n">
        <v>0.03715736040609152</v>
      </c>
      <c r="O503" s="4" t="n">
        <v>0.02012033948551095</v>
      </c>
      <c r="P503" s="4" t="n">
        <v>0.0546528193587017</v>
      </c>
      <c r="Q503" s="22" t="n">
        <v>162320</v>
      </c>
      <c r="R503" s="22" t="n">
        <v>1795819.3342</v>
      </c>
      <c r="S503" s="4" t="n">
        <v>0.03</v>
      </c>
      <c r="T503" s="4" t="n">
        <v>0</v>
      </c>
      <c r="U503" s="19" t="n">
        <v>2.192132916736635</v>
      </c>
      <c r="V503" s="19" t="n">
        <v>1</v>
      </c>
      <c r="W503" s="4" t="n">
        <v>0.1397257339717701</v>
      </c>
      <c r="X503" s="4" t="n">
        <v>0.1275938189845476</v>
      </c>
      <c r="Y503" s="4" t="n">
        <v>0.0008580887978890672</v>
      </c>
      <c r="Z503" s="4" t="n">
        <v>2.441134424913116e-05</v>
      </c>
      <c r="AA503" s="4" t="n">
        <v>0.03</v>
      </c>
      <c r="AB503" s="4" t="n">
        <v>0.05</v>
      </c>
      <c r="AC503" s="4">
        <f>(AB503+2*參數!$B$7)/(AA503+AB503)</f>
        <v/>
      </c>
    </row>
    <row r="504">
      <c r="A504" s="2" t="n">
        <v>503</v>
      </c>
      <c r="B504" s="2" t="inlineStr">
        <is>
          <t>AKE_USDT_PERP</t>
        </is>
      </c>
      <c r="C504" s="2" t="inlineStr">
        <is>
          <t>做多</t>
        </is>
      </c>
      <c r="D504" s="7" t="n">
        <v>46292</v>
      </c>
      <c r="E504" s="20" t="n">
        <v>0.0345245</v>
      </c>
      <c r="F504" s="20" t="n">
        <v>0.035560235</v>
      </c>
      <c r="G504" s="20" t="n">
        <v>0.03279827499999999</v>
      </c>
      <c r="H504" s="7" t="n">
        <v>46292.29166666666</v>
      </c>
      <c r="I504" s="20" t="n">
        <v>0.03279827499999999</v>
      </c>
      <c r="J504" s="2" t="inlineStr">
        <is>
          <t>止損</t>
        </is>
      </c>
      <c r="K504" s="5">
        <f>(H504-D504)*24</f>
        <v/>
      </c>
      <c r="L504" s="4">
        <f>IF(C504="做多",I504/E504-1,1-I504/E504)-2*參數!$B$7</f>
        <v/>
      </c>
      <c r="M504" s="2" t="inlineStr"/>
      <c r="N504" s="4" t="n">
        <v>0.02057436776682398</v>
      </c>
      <c r="O504" s="4" t="n">
        <v>0.04367170854440915</v>
      </c>
      <c r="P504" s="4" t="n">
        <v>0.03007811998845944</v>
      </c>
      <c r="Q504" s="22" t="n">
        <v>19543508</v>
      </c>
      <c r="R504" s="22" t="n">
        <v>3502572.2021373</v>
      </c>
      <c r="S504" s="4" t="n">
        <v>0.01453750235340112</v>
      </c>
      <c r="T504" s="4" t="n">
        <v>0.05</v>
      </c>
      <c r="U504" s="19" t="n">
        <v>0.857412711631919</v>
      </c>
      <c r="V504" s="19" t="n">
        <v>0.7702841492639491</v>
      </c>
      <c r="W504" s="4" t="n">
        <v>-0.1604778009486288</v>
      </c>
      <c r="X504" s="4" t="n">
        <v>-0.06965871272854651</v>
      </c>
      <c r="Y504" s="4" t="n">
        <v>0.001586103258656379</v>
      </c>
      <c r="Z504" s="4" t="n">
        <v>0.001523969689208649</v>
      </c>
      <c r="AA504" s="4" t="n">
        <v>0.03</v>
      </c>
      <c r="AB504" s="4" t="n">
        <v>0.05</v>
      </c>
      <c r="AC504" s="4">
        <f>(AB504+2*參數!$B$7)/(AA504+AB504)</f>
        <v/>
      </c>
    </row>
    <row r="505">
      <c r="A505" s="2" t="n">
        <v>504</v>
      </c>
      <c r="B505" s="2" t="inlineStr">
        <is>
          <t>BTW_USDT_PERP</t>
        </is>
      </c>
      <c r="C505" s="2" t="inlineStr">
        <is>
          <t>做多</t>
        </is>
      </c>
      <c r="D505" s="7" t="n">
        <v>46292</v>
      </c>
      <c r="E505" s="20" t="n">
        <v>1.057552</v>
      </c>
      <c r="F505" s="20" t="n">
        <v>1.08927856</v>
      </c>
      <c r="G505" s="20" t="n">
        <v>1.0046744</v>
      </c>
      <c r="H505" s="7" t="n">
        <v>46292.33333333334</v>
      </c>
      <c r="I505" s="20" t="n">
        <v>1.0046744</v>
      </c>
      <c r="J505" s="2" t="inlineStr">
        <is>
          <t>止損</t>
        </is>
      </c>
      <c r="K505" s="5">
        <f>(H505-D505)*24</f>
        <v/>
      </c>
      <c r="L505" s="4">
        <f>IF(C505="做多",I505/E505-1,1-I505/E505)-2*參數!$B$7</f>
        <v/>
      </c>
      <c r="M505" s="2" t="inlineStr"/>
      <c r="N505" s="4" t="n">
        <v>0.06179919678714874</v>
      </c>
      <c r="O505" s="4" t="n">
        <v>0.06782500151658741</v>
      </c>
      <c r="P505" s="4" t="n">
        <v>0.03110342385066267</v>
      </c>
      <c r="Q505" s="22" t="n">
        <v>126898</v>
      </c>
      <c r="R505" s="22" t="n">
        <v>1903258.940872</v>
      </c>
      <c r="S505" s="4" t="n">
        <v>0.02744167662677577</v>
      </c>
      <c r="T505" s="4" t="n">
        <v>0.05</v>
      </c>
      <c r="U505" s="19" t="n">
        <v>1.579798830415901</v>
      </c>
      <c r="V505" s="19" t="n">
        <v>0.9108931649815969</v>
      </c>
      <c r="W505" s="4" t="n">
        <v>0.05231673476769805</v>
      </c>
      <c r="X505" s="4" t="n">
        <v>-0.1433364574026267</v>
      </c>
      <c r="Y505" s="4" t="n">
        <v>0.001586103258656379</v>
      </c>
      <c r="Z505" s="4" t="n">
        <v>0.001523969689208649</v>
      </c>
      <c r="AA505" s="4" t="n">
        <v>0.03</v>
      </c>
      <c r="AB505" s="4" t="n">
        <v>0.05</v>
      </c>
      <c r="AC505" s="4">
        <f>(AB505+2*參數!$B$7)/(AA505+AB505)</f>
        <v/>
      </c>
    </row>
    <row r="506">
      <c r="A506" s="2" t="n">
        <v>505</v>
      </c>
      <c r="B506" s="2" t="inlineStr">
        <is>
          <t>LYN_USDT_PERP</t>
        </is>
      </c>
      <c r="C506" s="2" t="inlineStr">
        <is>
          <t>做空</t>
        </is>
      </c>
      <c r="D506" s="7" t="n">
        <v>46292</v>
      </c>
      <c r="E506" s="20" t="n">
        <v>0.04265</v>
      </c>
      <c r="F506" s="20" t="n">
        <v>0.0413705</v>
      </c>
      <c r="G506" s="20" t="n">
        <v>0.0447825</v>
      </c>
      <c r="H506" s="7" t="n">
        <v>46292.08333333334</v>
      </c>
      <c r="I506" s="20" t="n">
        <v>0.0413705</v>
      </c>
      <c r="J506" s="2" t="inlineStr">
        <is>
          <t>止盈</t>
        </is>
      </c>
      <c r="K506" s="5">
        <f>(H506-D506)*24</f>
        <v/>
      </c>
      <c r="L506" s="4">
        <f>IF(C506="做多",I506/E506-1,1-I506/E506)-2*參數!$B$7</f>
        <v/>
      </c>
      <c r="M506" s="2" t="inlineStr"/>
      <c r="N506" s="4" t="n">
        <v>-0.05662464056624639</v>
      </c>
      <c r="O506" s="4" t="n">
        <v>0.06448999931540912</v>
      </c>
      <c r="P506" s="4" t="n">
        <v>-0.05954730377834871</v>
      </c>
      <c r="Q506" s="22" t="n">
        <v>-4249878</v>
      </c>
      <c r="R506" s="22" t="n">
        <v>2519773.3679</v>
      </c>
      <c r="S506" s="4" t="n">
        <v>0.03</v>
      </c>
      <c r="T506" s="4" t="n">
        <v>0.02321219226260252</v>
      </c>
      <c r="U506" s="19" t="n">
        <v>0.8053979470157903</v>
      </c>
      <c r="V506" s="19" t="n">
        <v>0.833333333333333</v>
      </c>
      <c r="W506" s="4" t="n">
        <v>-0.01689500112061126</v>
      </c>
      <c r="X506" s="4" t="n">
        <v>0.04436477705579212</v>
      </c>
      <c r="Y506" s="4" t="n">
        <v>-0.001586103258656379</v>
      </c>
      <c r="Z506" s="4" t="n">
        <v>-0.001523969689208649</v>
      </c>
      <c r="AA506" s="4" t="n">
        <v>0.03</v>
      </c>
      <c r="AB506" s="4" t="n">
        <v>0.05</v>
      </c>
      <c r="AC506" s="4">
        <f>(AB506+2*參數!$B$7)/(AA506+AB506)</f>
        <v/>
      </c>
    </row>
    <row r="507">
      <c r="A507" s="2" t="n">
        <v>506</v>
      </c>
      <c r="B507" s="2" t="inlineStr">
        <is>
          <t>PHA_USDT_PERP</t>
        </is>
      </c>
      <c r="C507" s="2" t="inlineStr">
        <is>
          <t>做空</t>
        </is>
      </c>
      <c r="D507" s="7" t="n">
        <v>46292.04166666666</v>
      </c>
      <c r="E507" s="20" t="n">
        <v>0.07908999999999999</v>
      </c>
      <c r="F507" s="20" t="n">
        <v>0.07671729999999999</v>
      </c>
      <c r="G507" s="20" t="n">
        <v>0.08304449999999999</v>
      </c>
      <c r="H507" s="7" t="n">
        <v>46292.125</v>
      </c>
      <c r="I507" s="20" t="n">
        <v>0.08304449999999999</v>
      </c>
      <c r="J507" s="2" t="inlineStr">
        <is>
          <t>止損</t>
        </is>
      </c>
      <c r="K507" s="5">
        <f>(H507-D507)*24</f>
        <v/>
      </c>
      <c r="L507" s="4">
        <f>IF(C507="做多",I507/E507-1,1-I507/E507)-2*參數!$B$7</f>
        <v/>
      </c>
      <c r="M507" s="2" t="inlineStr"/>
      <c r="N507" s="4" t="n">
        <v>-0.04836963061003496</v>
      </c>
      <c r="O507" s="4" t="n">
        <v>0.06431794092008644</v>
      </c>
      <c r="P507" s="4" t="n">
        <v>-0.04866152245430666</v>
      </c>
      <c r="Q507" s="22" t="n">
        <v>-28818840</v>
      </c>
      <c r="R507" s="22" t="n">
        <v>8159570.02991</v>
      </c>
      <c r="S507" s="4" t="n">
        <v>0.0149197117208244</v>
      </c>
      <c r="T507" s="4" t="n">
        <v>0.05</v>
      </c>
      <c r="U507" s="19" t="n">
        <v>0.3945080474810943</v>
      </c>
      <c r="V507" s="19" t="n">
        <v>0.7750809061488688</v>
      </c>
      <c r="W507" s="4" t="n">
        <v>-0.3488668767822303</v>
      </c>
      <c r="X507" s="4" t="n">
        <v>0.01678269517652919</v>
      </c>
      <c r="Y507" s="4" t="n">
        <v>0.0005064639542708971</v>
      </c>
      <c r="Z507" s="4" t="n">
        <v>-0.0008795048581109466</v>
      </c>
      <c r="AA507" s="4" t="n">
        <v>0.03</v>
      </c>
      <c r="AB507" s="4" t="n">
        <v>0.05</v>
      </c>
      <c r="AC507" s="4">
        <f>(AB507+2*參數!$B$7)/(AA507+AB507)</f>
        <v/>
      </c>
    </row>
    <row r="508">
      <c r="A508" s="2" t="n">
        <v>507</v>
      </c>
      <c r="B508" s="2" t="inlineStr">
        <is>
          <t>NEAR_USDT_PERP</t>
        </is>
      </c>
      <c r="C508" s="2" t="inlineStr">
        <is>
          <t>做多</t>
        </is>
      </c>
      <c r="D508" s="7" t="n">
        <v>46292.25</v>
      </c>
      <c r="E508" s="20" t="n">
        <v>5.038</v>
      </c>
      <c r="F508" s="20" t="n">
        <v>5.18914</v>
      </c>
      <c r="G508" s="20" t="n">
        <v>4.7861</v>
      </c>
      <c r="H508" s="7" t="n">
        <v>46292.58333333334</v>
      </c>
      <c r="I508" s="20" t="n">
        <v>5.18914</v>
      </c>
      <c r="J508" s="2" t="inlineStr">
        <is>
          <t>止盈</t>
        </is>
      </c>
      <c r="K508" s="5">
        <f>(H508-D508)*24</f>
        <v/>
      </c>
      <c r="L508" s="4">
        <f>IF(C508="做多",I508/E508-1,1-I508/E508)-2*參數!$B$7</f>
        <v/>
      </c>
      <c r="M508" s="2" t="inlineStr"/>
      <c r="N508" s="4" t="n">
        <v>0.05221386800334171</v>
      </c>
      <c r="O508" s="4" t="n">
        <v>0.02135694382948518</v>
      </c>
      <c r="P508" s="4" t="n">
        <v>0.03510267815867607</v>
      </c>
      <c r="Q508" s="22" t="n">
        <v>46778</v>
      </c>
      <c r="R508" s="22" t="n">
        <v>13053531.872</v>
      </c>
      <c r="S508" s="4" t="n">
        <v>0.03</v>
      </c>
      <c r="T508" s="4" t="n">
        <v>0.02302500992457335</v>
      </c>
      <c r="U508" s="19" t="n">
        <v>2.997510444700372</v>
      </c>
      <c r="V508" s="19" t="n">
        <v>0.9661654135338367</v>
      </c>
      <c r="W508" s="4" t="n">
        <v>0.08762059786750376</v>
      </c>
      <c r="X508" s="4" t="n">
        <v>0.02273650020300444</v>
      </c>
      <c r="Y508" s="4" t="n">
        <v>0.001464362418983844</v>
      </c>
      <c r="Z508" s="4" t="n">
        <v>0.001209874912145859</v>
      </c>
      <c r="AA508" s="4" t="n">
        <v>0.03</v>
      </c>
      <c r="AB508" s="4" t="n">
        <v>0.05</v>
      </c>
      <c r="AC508" s="4">
        <f>(AB508+2*參數!$B$7)/(AA508+AB508)</f>
        <v/>
      </c>
    </row>
    <row r="509">
      <c r="A509" s="2" t="n">
        <v>508</v>
      </c>
      <c r="B509" s="2" t="inlineStr">
        <is>
          <t>USELESS_USDT_PERP</t>
        </is>
      </c>
      <c r="C509" s="2" t="inlineStr">
        <is>
          <t>做多</t>
        </is>
      </c>
      <c r="D509" s="7" t="n">
        <v>46292.25</v>
      </c>
      <c r="E509" s="20" t="n">
        <v>0.2916</v>
      </c>
      <c r="F509" s="20" t="n">
        <v>0.3003480000000001</v>
      </c>
      <c r="G509" s="20" t="n">
        <v>0.27702</v>
      </c>
      <c r="H509" s="7" t="n">
        <v>46292.54166666666</v>
      </c>
      <c r="I509" s="20" t="n">
        <v>0.27702</v>
      </c>
      <c r="J509" s="2" t="inlineStr">
        <is>
          <t>止損</t>
        </is>
      </c>
      <c r="K509" s="5">
        <f>(H509-D509)*24</f>
        <v/>
      </c>
      <c r="L509" s="4">
        <f>IF(C509="做多",I509/E509-1,1-I509/E509)-2*參數!$B$7</f>
        <v/>
      </c>
      <c r="M509" s="2" t="inlineStr"/>
      <c r="N509" s="4" t="n">
        <v>0.05476379946466059</v>
      </c>
      <c r="O509" s="4" t="n">
        <v>0.02737878369491019</v>
      </c>
      <c r="P509" s="4" t="n">
        <v>0.02420545926798834</v>
      </c>
      <c r="Q509" s="22" t="n">
        <v>1799092</v>
      </c>
      <c r="R509" s="22" t="n">
        <v>2398403.33632</v>
      </c>
      <c r="S509" s="4" t="n">
        <v>0.005589849108367462</v>
      </c>
      <c r="T509" s="4" t="n">
        <v>0.05</v>
      </c>
      <c r="U509" s="19" t="n">
        <v>3.734423153421144</v>
      </c>
      <c r="V509" s="19" t="n">
        <v>1</v>
      </c>
      <c r="W509" s="4" t="n">
        <v>-0.02445127893567478</v>
      </c>
      <c r="X509" s="4" t="n">
        <v>0.02090116584392399</v>
      </c>
      <c r="Y509" s="4" t="n">
        <v>0.001464362418983844</v>
      </c>
      <c r="Z509" s="4" t="n">
        <v>0.001209874912145859</v>
      </c>
      <c r="AA509" s="4" t="n">
        <v>0.03</v>
      </c>
      <c r="AB509" s="4" t="n">
        <v>0.05</v>
      </c>
      <c r="AC509" s="4">
        <f>(AB509+2*參數!$B$7)/(AA509+AB509)</f>
        <v/>
      </c>
    </row>
    <row r="510">
      <c r="A510" s="2" t="n">
        <v>509</v>
      </c>
      <c r="B510" s="2" t="inlineStr">
        <is>
          <t>2Z_USDT_PERP</t>
        </is>
      </c>
      <c r="C510" s="2" t="inlineStr">
        <is>
          <t>做空</t>
        </is>
      </c>
      <c r="D510" s="7" t="n">
        <v>46292.375</v>
      </c>
      <c r="E510" s="20" t="n">
        <v>0.06859999999999999</v>
      </c>
      <c r="F510" s="20" t="n">
        <v>0.06654199999999999</v>
      </c>
      <c r="G510" s="20" t="n">
        <v>0.07203</v>
      </c>
      <c r="H510" s="7" t="n">
        <v>46292.54166666666</v>
      </c>
      <c r="I510" s="20" t="n">
        <v>0.06654199999999999</v>
      </c>
      <c r="J510" s="2" t="inlineStr">
        <is>
          <t>止盈</t>
        </is>
      </c>
      <c r="K510" s="5">
        <f>(H510-D510)*24</f>
        <v/>
      </c>
      <c r="L510" s="4">
        <f>IF(C510="做多",I510/E510-1,1-I510/E510)-2*參數!$B$7</f>
        <v/>
      </c>
      <c r="M510" s="2" t="inlineStr"/>
      <c r="N510" s="4" t="n">
        <v>-0.04109589041095907</v>
      </c>
      <c r="O510" s="4" t="n">
        <v>0.03730083716883047</v>
      </c>
      <c r="P510" s="4" t="n">
        <v>-0.02904376380003415</v>
      </c>
      <c r="Q510" s="22" t="n">
        <v>-5248565</v>
      </c>
      <c r="R510" s="22" t="n">
        <v>1725788.78364</v>
      </c>
      <c r="S510" s="4" t="n">
        <v>0.03</v>
      </c>
      <c r="T510" s="4" t="n">
        <v>0.03702623906705549</v>
      </c>
      <c r="U510" s="19" t="n">
        <v>0.405843119331716</v>
      </c>
      <c r="V510" s="19" t="n">
        <v>0.8909090909090915</v>
      </c>
      <c r="W510" s="4" t="n">
        <v>-0.1863565537552681</v>
      </c>
      <c r="X510" s="4" t="n">
        <v>-0.1995104039167686</v>
      </c>
      <c r="Y510" s="4" t="n">
        <v>0.001629063922098717</v>
      </c>
      <c r="Z510" s="4" t="n">
        <v>-0.002327731983539527</v>
      </c>
      <c r="AA510" s="4" t="n">
        <v>0.03</v>
      </c>
      <c r="AB510" s="4" t="n">
        <v>0.05</v>
      </c>
      <c r="AC510" s="4">
        <f>(AB510+2*參數!$B$7)/(AA510+AB510)</f>
        <v/>
      </c>
    </row>
    <row r="511">
      <c r="A511" s="2" t="n">
        <v>510</v>
      </c>
      <c r="B511" s="2" t="inlineStr">
        <is>
          <t>PHA_USDT_PERP</t>
        </is>
      </c>
      <c r="C511" s="2" t="inlineStr">
        <is>
          <t>做空</t>
        </is>
      </c>
      <c r="D511" s="7" t="n">
        <v>46292.375</v>
      </c>
      <c r="E511" s="20" t="n">
        <v>0.08004</v>
      </c>
      <c r="F511" s="20" t="n">
        <v>0.07763879999999999</v>
      </c>
      <c r="G511" s="20" t="n">
        <v>0.08404200000000001</v>
      </c>
      <c r="H511" s="7" t="n">
        <v>46292.45833333334</v>
      </c>
      <c r="I511" s="20" t="n">
        <v>0.07763879999999999</v>
      </c>
      <c r="J511" s="2" t="inlineStr">
        <is>
          <t>止盈</t>
        </is>
      </c>
      <c r="K511" s="5">
        <f>(H511-D511)*24</f>
        <v/>
      </c>
      <c r="L511" s="4">
        <f>IF(C511="做多",I511/E511-1,1-I511/E511)-2*參數!$B$7</f>
        <v/>
      </c>
      <c r="M511" s="2" t="inlineStr"/>
      <c r="N511" s="4" t="n">
        <v>-0.03333333333333333</v>
      </c>
      <c r="O511" s="4" t="n">
        <v>0.05726673961723217</v>
      </c>
      <c r="P511" s="4" t="n">
        <v>-0.01230911614993058</v>
      </c>
      <c r="Q511" s="22" t="n">
        <v>-4842288</v>
      </c>
      <c r="R511" s="22" t="n">
        <v>4571265.55922</v>
      </c>
      <c r="S511" s="4" t="n">
        <v>0.03</v>
      </c>
      <c r="T511" s="4" t="n">
        <v>0.0241129435282359</v>
      </c>
      <c r="U511" s="19" t="n">
        <v>0.4953535758498118</v>
      </c>
      <c r="V511" s="19" t="n">
        <v>0.8577235772357713</v>
      </c>
      <c r="W511" s="4" t="n">
        <v>-0.3019630297154681</v>
      </c>
      <c r="X511" s="4" t="n">
        <v>0.06342148373508072</v>
      </c>
      <c r="Y511" s="4" t="n">
        <v>0.001629063922098717</v>
      </c>
      <c r="Z511" s="4" t="n">
        <v>-0.002327731983539527</v>
      </c>
      <c r="AA511" s="4" t="n">
        <v>0.03</v>
      </c>
      <c r="AB511" s="4" t="n">
        <v>0.05</v>
      </c>
      <c r="AC511" s="4">
        <f>(AB511+2*參數!$B$7)/(AA511+AB511)</f>
        <v/>
      </c>
    </row>
    <row r="512">
      <c r="A512" s="2" t="n">
        <v>511</v>
      </c>
      <c r="B512" s="2" t="inlineStr">
        <is>
          <t>AKE_USDT_PERP</t>
        </is>
      </c>
      <c r="C512" s="2" t="inlineStr">
        <is>
          <t>做多</t>
        </is>
      </c>
      <c r="D512" s="7" t="n">
        <v>46292.41666666666</v>
      </c>
      <c r="E512" s="20" t="n">
        <v>0.0342425</v>
      </c>
      <c r="F512" s="20" t="n">
        <v>0.035269775</v>
      </c>
      <c r="G512" s="20" t="n">
        <v>0.032530375</v>
      </c>
      <c r="H512" s="7" t="n">
        <v>46292.83333333334</v>
      </c>
      <c r="I512" s="20" t="n">
        <v>0.032530375</v>
      </c>
      <c r="J512" s="2" t="inlineStr">
        <is>
          <t>止損</t>
        </is>
      </c>
      <c r="K512" s="5">
        <f>(H512-D512)*24</f>
        <v/>
      </c>
      <c r="L512" s="4">
        <f>IF(C512="做多",I512/E512-1,1-I512/E512)-2*參數!$B$7</f>
        <v/>
      </c>
      <c r="M512" s="2" t="inlineStr"/>
      <c r="N512" s="4" t="n">
        <v>0.03393873514802914</v>
      </c>
      <c r="O512" s="4" t="n">
        <v>0.03570662649827622</v>
      </c>
      <c r="P512" s="4" t="n">
        <v>0.008997514523169992</v>
      </c>
      <c r="Q512" s="22" t="n">
        <v>12264318</v>
      </c>
      <c r="R512" s="22" t="n">
        <v>2515105.4931761</v>
      </c>
      <c r="S512" s="4" t="n">
        <v>0.006380959334160607</v>
      </c>
      <c r="T512" s="4" t="n">
        <v>0.05</v>
      </c>
      <c r="U512" s="19" t="n">
        <v>0.3758765172870322</v>
      </c>
      <c r="V512" s="19" t="n">
        <v>0.8161370938950377</v>
      </c>
      <c r="W512" s="4" t="n">
        <v>-0.1298370311881859</v>
      </c>
      <c r="X512" s="4" t="n">
        <v>0.02896765178718996</v>
      </c>
      <c r="Y512" s="4" t="n">
        <v>0.002235755956082386</v>
      </c>
      <c r="Z512" s="4" t="n">
        <v>0.00423375291151884</v>
      </c>
      <c r="AA512" s="4" t="n">
        <v>0.03</v>
      </c>
      <c r="AB512" s="4" t="n">
        <v>0.05</v>
      </c>
      <c r="AC512" s="4">
        <f>(AB512+2*參數!$B$7)/(AA512+AB512)</f>
        <v/>
      </c>
    </row>
    <row r="513">
      <c r="A513" s="2" t="n">
        <v>512</v>
      </c>
      <c r="B513" s="2" t="inlineStr">
        <is>
          <t>PONS_USDT_PERP</t>
        </is>
      </c>
      <c r="C513" s="2" t="inlineStr">
        <is>
          <t>做空</t>
        </is>
      </c>
      <c r="D513" s="7" t="n">
        <v>46292.54166666666</v>
      </c>
      <c r="E513" s="20" t="n">
        <v>0.6106</v>
      </c>
      <c r="F513" s="20" t="n">
        <v>0.592282</v>
      </c>
      <c r="G513" s="20" t="n">
        <v>0.6411300000000001</v>
      </c>
      <c r="H513" s="7" t="n">
        <v>46292.95833333334</v>
      </c>
      <c r="I513" s="20" t="n">
        <v>0.592282</v>
      </c>
      <c r="J513" s="2" t="inlineStr">
        <is>
          <t>止盈</t>
        </is>
      </c>
      <c r="K513" s="5">
        <f>(H513-D513)*24</f>
        <v/>
      </c>
      <c r="L513" s="4">
        <f>IF(C513="做多",I513/E513-1,1-I513/E513)-2*參數!$B$7</f>
        <v/>
      </c>
      <c r="M513" s="2" t="inlineStr"/>
      <c r="N513" s="4" t="n">
        <v>-0.02522349936143031</v>
      </c>
      <c r="O513" s="4" t="n">
        <v>0.02117979336762347</v>
      </c>
      <c r="P513" s="4" t="n">
        <v>-0.04131634519519867</v>
      </c>
      <c r="Q513" s="22" t="n">
        <v>-942762</v>
      </c>
      <c r="R513" s="22" t="n">
        <v>1222535.2831</v>
      </c>
      <c r="S513" s="4" t="n">
        <v>0.03</v>
      </c>
      <c r="T513" s="4" t="n">
        <v>0.03078938748771698</v>
      </c>
      <c r="U513" s="19" t="n">
        <v>4.319358665425859</v>
      </c>
      <c r="V513" s="19" t="n">
        <v>0.7867298578199025</v>
      </c>
      <c r="W513" s="4" t="n">
        <v>0.05130503821348276</v>
      </c>
      <c r="X513" s="4" t="n">
        <v>0.04935388447765832</v>
      </c>
      <c r="Y513" s="4" t="n">
        <v>0.0007266804336848454</v>
      </c>
      <c r="Z513" s="4" t="n">
        <v>-0.001754781261988025</v>
      </c>
      <c r="AA513" s="4" t="n">
        <v>0.03</v>
      </c>
      <c r="AB513" s="4" t="n">
        <v>0.05</v>
      </c>
      <c r="AC513" s="4">
        <f>(AB513+2*參數!$B$7)/(AA513+AB513)</f>
        <v/>
      </c>
    </row>
    <row r="514">
      <c r="A514" s="2" t="n">
        <v>513</v>
      </c>
      <c r="B514" s="2" t="inlineStr">
        <is>
          <t>MARSCOIN_USDT_PERP</t>
        </is>
      </c>
      <c r="C514" s="2" t="inlineStr">
        <is>
          <t>做多</t>
        </is>
      </c>
      <c r="D514" s="7" t="n">
        <v>46292.58333333334</v>
      </c>
      <c r="E514" s="20" t="n">
        <v>0.13033</v>
      </c>
      <c r="F514" s="20" t="n">
        <v>0.1342399</v>
      </c>
      <c r="G514" s="20" t="n">
        <v>0.1238135</v>
      </c>
      <c r="H514" s="7" t="n">
        <v>46292.79166666666</v>
      </c>
      <c r="I514" s="20" t="n">
        <v>0.1342399</v>
      </c>
      <c r="J514" s="2" t="inlineStr">
        <is>
          <t>止盈</t>
        </is>
      </c>
      <c r="K514" s="5">
        <f>(H514-D514)*24</f>
        <v/>
      </c>
      <c r="L514" s="4">
        <f>IF(C514="做多",I514/E514-1,1-I514/E514)-2*參數!$B$7</f>
        <v/>
      </c>
      <c r="M514" s="2" t="inlineStr"/>
      <c r="N514" s="4" t="n">
        <v>0.03906561428685307</v>
      </c>
      <c r="O514" s="4" t="n">
        <v>0.03759311108931272</v>
      </c>
      <c r="P514" s="4" t="n">
        <v>0.002646438847260457</v>
      </c>
      <c r="Q514" s="22" t="n">
        <v>2018715</v>
      </c>
      <c r="R514" s="22" t="n">
        <v>1627167.04759</v>
      </c>
      <c r="S514" s="4" t="n">
        <v>0.03</v>
      </c>
      <c r="T514" s="4" t="n">
        <v>0.02117701219980062</v>
      </c>
      <c r="U514" s="19" t="n">
        <v>0.7605143988982556</v>
      </c>
      <c r="V514" s="19" t="n">
        <v>0.780864197530864</v>
      </c>
      <c r="W514" s="4" t="n">
        <v>0.06004854116238523</v>
      </c>
      <c r="X514" s="4" t="n">
        <v>0.1235344827586207</v>
      </c>
      <c r="Y514" s="4" t="n">
        <v>0.001927756008963666</v>
      </c>
      <c r="Z514" s="4" t="n">
        <v>0.003399438038622637</v>
      </c>
      <c r="AA514" s="4" t="n">
        <v>0.03</v>
      </c>
      <c r="AB514" s="4" t="n">
        <v>0.05</v>
      </c>
      <c r="AC514" s="4">
        <f>(AB514+2*參數!$B$7)/(AA514+AB514)</f>
        <v/>
      </c>
    </row>
    <row r="515">
      <c r="A515" s="2" t="n">
        <v>514</v>
      </c>
      <c r="B515" s="2" t="inlineStr">
        <is>
          <t>USELESS_USDT_PERP</t>
        </is>
      </c>
      <c r="C515" s="2" t="inlineStr">
        <is>
          <t>做多</t>
        </is>
      </c>
      <c r="D515" s="7" t="n">
        <v>46292.58333333334</v>
      </c>
      <c r="E515" s="20" t="n">
        <v>0.28713</v>
      </c>
      <c r="F515" s="20" t="n">
        <v>0.2957439</v>
      </c>
      <c r="G515" s="20" t="n">
        <v>0.2727735</v>
      </c>
      <c r="H515" s="7" t="n">
        <v>46292.83333333334</v>
      </c>
      <c r="I515" s="20" t="n">
        <v>0.2957439</v>
      </c>
      <c r="J515" s="2" t="inlineStr">
        <is>
          <t>止盈</t>
        </is>
      </c>
      <c r="K515" s="5">
        <f>(H515-D515)*24</f>
        <v/>
      </c>
      <c r="L515" s="4">
        <f>IF(C515="做多",I515/E515-1,1-I515/E515)-2*參數!$B$7</f>
        <v/>
      </c>
      <c r="M515" s="2" t="inlineStr"/>
      <c r="N515" s="4" t="n">
        <v>0.03548631396732671</v>
      </c>
      <c r="O515" s="4" t="n">
        <v>0.02674984390258296</v>
      </c>
      <c r="P515" s="4" t="n">
        <v>0.006179772327866262</v>
      </c>
      <c r="Q515" s="22" t="n">
        <v>2523766</v>
      </c>
      <c r="R515" s="22" t="n">
        <v>2397788.34765</v>
      </c>
      <c r="S515" s="4" t="n">
        <v>0.03</v>
      </c>
      <c r="T515" s="4" t="n">
        <v>0.004562393340995285</v>
      </c>
      <c r="U515" s="19" t="n">
        <v>2.862832289246734</v>
      </c>
      <c r="V515" s="19" t="n">
        <v>0.8312788906009232</v>
      </c>
      <c r="W515" s="4" t="n">
        <v>-0.02456374936047834</v>
      </c>
      <c r="X515" s="4" t="n">
        <v>0.01671328918947634</v>
      </c>
      <c r="Y515" s="4" t="n">
        <v>0.001927756008963666</v>
      </c>
      <c r="Z515" s="4" t="n">
        <v>0.003399438038622637</v>
      </c>
      <c r="AA515" s="4" t="n">
        <v>0.03</v>
      </c>
      <c r="AB515" s="4" t="n">
        <v>0.05</v>
      </c>
      <c r="AC515" s="4">
        <f>(AB515+2*參數!$B$7)/(AA515+AB515)</f>
        <v/>
      </c>
    </row>
    <row r="516">
      <c r="A516" s="2" t="n">
        <v>515</v>
      </c>
      <c r="B516" s="2" t="inlineStr">
        <is>
          <t>BR_USDT_PERP</t>
        </is>
      </c>
      <c r="C516" s="2" t="inlineStr">
        <is>
          <t>做空</t>
        </is>
      </c>
      <c r="D516" s="7" t="n">
        <v>46292.625</v>
      </c>
      <c r="E516" s="20" t="n">
        <v>0.92489</v>
      </c>
      <c r="F516" s="20" t="n">
        <v>0.8971433</v>
      </c>
      <c r="G516" s="20" t="n">
        <v>0.9711345</v>
      </c>
      <c r="H516" s="7" t="n">
        <v>46292.66666666666</v>
      </c>
      <c r="I516" s="20" t="n">
        <v>0.8971433</v>
      </c>
      <c r="J516" s="2" t="inlineStr">
        <is>
          <t>止盈</t>
        </is>
      </c>
      <c r="K516" s="5">
        <f>(H516-D516)*24</f>
        <v/>
      </c>
      <c r="L516" s="4">
        <f>IF(C516="做多",I516/E516-1,1-I516/E516)-2*參數!$B$7</f>
        <v/>
      </c>
      <c r="M516" s="2" t="inlineStr"/>
      <c r="N516" s="4" t="n">
        <v>-0.02078304323889391</v>
      </c>
      <c r="O516" s="4" t="n">
        <v>0.04122733918557688</v>
      </c>
      <c r="P516" s="4" t="n">
        <v>-0.05228523766389737</v>
      </c>
      <c r="Q516" s="22" t="n">
        <v>-502895</v>
      </c>
      <c r="R516" s="22" t="n">
        <v>2521278.70328</v>
      </c>
      <c r="S516" s="4" t="n">
        <v>0.03</v>
      </c>
      <c r="T516" s="4" t="n">
        <v>0</v>
      </c>
      <c r="U516" s="19" t="n">
        <v>0.3989953284247763</v>
      </c>
      <c r="V516" s="19" t="n">
        <v>0.8492661642205468</v>
      </c>
      <c r="W516" s="4" t="n">
        <v>0.07865873016900804</v>
      </c>
      <c r="X516" s="4" t="n">
        <v>-0.08425359311622227</v>
      </c>
      <c r="Y516" s="4" t="n">
        <v>-0.0002664064960560264</v>
      </c>
      <c r="Z516" s="4" t="n">
        <v>-0.003461280341139128</v>
      </c>
      <c r="AA516" s="4" t="n">
        <v>0.03</v>
      </c>
      <c r="AB516" s="4" t="n">
        <v>0.05</v>
      </c>
      <c r="AC516" s="4">
        <f>(AB516+2*參數!$B$7)/(AA516+AB516)</f>
        <v/>
      </c>
    </row>
    <row r="517">
      <c r="A517" s="2" t="n">
        <v>516</v>
      </c>
      <c r="B517" s="2" t="inlineStr">
        <is>
          <t>WLD_USDT_PERP</t>
        </is>
      </c>
      <c r="C517" s="2" t="inlineStr">
        <is>
          <t>做多</t>
        </is>
      </c>
      <c r="D517" s="7" t="n">
        <v>46292.625</v>
      </c>
      <c r="E517" s="20" t="n">
        <v>0.5365</v>
      </c>
      <c r="F517" s="20" t="n">
        <v>0.5525949999999999</v>
      </c>
      <c r="G517" s="20" t="n">
        <v>0.509675</v>
      </c>
      <c r="H517" s="7" t="n">
        <v>46292.70833333334</v>
      </c>
      <c r="I517" s="20" t="n">
        <v>0.5525949999999999</v>
      </c>
      <c r="J517" s="2" t="inlineStr">
        <is>
          <t>止盈</t>
        </is>
      </c>
      <c r="K517" s="5">
        <f>(H517-D517)*24</f>
        <v/>
      </c>
      <c r="L517" s="4">
        <f>IF(C517="做多",I517/E517-1,1-I517/E517)-2*參數!$B$7</f>
        <v/>
      </c>
      <c r="M517" s="2" t="inlineStr"/>
      <c r="N517" s="4" t="n">
        <v>0.02326912073240517</v>
      </c>
      <c r="O517" s="4" t="n">
        <v>0.02198007141794829</v>
      </c>
      <c r="P517" s="4" t="n">
        <v>0.02952323383514188</v>
      </c>
      <c r="Q517" s="22" t="n">
        <v>670390</v>
      </c>
      <c r="R517" s="22" t="n">
        <v>2477529.9838</v>
      </c>
      <c r="S517" s="4" t="n">
        <v>0.03</v>
      </c>
      <c r="T517" s="4" t="n">
        <v>0.008760484622553411</v>
      </c>
      <c r="U517" s="19" t="n">
        <v>1.73968423504269</v>
      </c>
      <c r="V517" s="19" t="n">
        <v>0.6578947368421023</v>
      </c>
      <c r="W517" s="4" t="n">
        <v>0.1686823623721312</v>
      </c>
      <c r="X517" s="4" t="n">
        <v>0.1179412377578661</v>
      </c>
      <c r="Y517" s="4" t="n">
        <v>0.0002664064960560264</v>
      </c>
      <c r="Z517" s="4" t="n">
        <v>0.003461280341139128</v>
      </c>
      <c r="AA517" s="4" t="n">
        <v>0.03</v>
      </c>
      <c r="AB517" s="4" t="n">
        <v>0.05</v>
      </c>
      <c r="AC517" s="4">
        <f>(AB517+2*參數!$B$7)/(AA517+AB517)</f>
        <v/>
      </c>
    </row>
    <row r="518">
      <c r="A518" s="2" t="n">
        <v>517</v>
      </c>
      <c r="B518" s="2" t="inlineStr">
        <is>
          <t>DASH_USDT_PERP</t>
        </is>
      </c>
      <c r="C518" s="2" t="inlineStr">
        <is>
          <t>做空</t>
        </is>
      </c>
      <c r="D518" s="7" t="n">
        <v>46292.79166666666</v>
      </c>
      <c r="E518" s="20" t="n">
        <v>69.26000000000001</v>
      </c>
      <c r="F518" s="20" t="n">
        <v>67.18220000000001</v>
      </c>
      <c r="G518" s="20" t="n">
        <v>72.72300000000001</v>
      </c>
      <c r="H518" s="7" t="n">
        <v>46293</v>
      </c>
      <c r="I518" s="20" t="n">
        <v>67.18220000000001</v>
      </c>
      <c r="J518" s="2" t="inlineStr">
        <is>
          <t>止盈</t>
        </is>
      </c>
      <c r="K518" s="5">
        <f>(H518-D518)*24</f>
        <v/>
      </c>
      <c r="L518" s="4">
        <f>IF(C518="做多",I518/E518-1,1-I518/E518)-2*參數!$B$7</f>
        <v/>
      </c>
      <c r="M518" s="2" t="inlineStr"/>
      <c r="N518" s="4" t="n">
        <v>-0.0330866955186373</v>
      </c>
      <c r="O518" s="4" t="n">
        <v>0.02348387818705934</v>
      </c>
      <c r="P518" s="4" t="n">
        <v>-0.03146413089078448</v>
      </c>
      <c r="Q518" s="22" t="n">
        <v>-4305.707999999995</v>
      </c>
      <c r="R518" s="22" t="n">
        <v>2266200.10951</v>
      </c>
      <c r="S518" s="4" t="n">
        <v>0.03</v>
      </c>
      <c r="T518" s="4" t="n">
        <v>0</v>
      </c>
      <c r="U518" s="19" t="n">
        <v>1.95150794420327</v>
      </c>
      <c r="V518" s="19" t="n">
        <v>0.8173652694610775</v>
      </c>
      <c r="W518" s="4" t="n">
        <v>-0.08089211835191268</v>
      </c>
      <c r="X518" s="4" t="n">
        <v>-0.05082688514641198</v>
      </c>
      <c r="Y518" s="4" t="n">
        <v>0.0008408873835095143</v>
      </c>
      <c r="Z518" s="4" t="n">
        <v>-0.005806640650586337</v>
      </c>
      <c r="AA518" s="4" t="n">
        <v>0.03</v>
      </c>
      <c r="AB518" s="4" t="n">
        <v>0.05</v>
      </c>
      <c r="AC518" s="4">
        <f>(AB518+2*參數!$B$7)/(AA518+AB518)</f>
        <v/>
      </c>
    </row>
    <row r="519">
      <c r="A519" s="2" t="n">
        <v>518</v>
      </c>
      <c r="B519" s="2" t="inlineStr">
        <is>
          <t>BR_USDT_PERP</t>
        </is>
      </c>
      <c r="C519" s="2" t="inlineStr">
        <is>
          <t>做空</t>
        </is>
      </c>
      <c r="D519" s="7" t="n">
        <v>46292.83333333334</v>
      </c>
      <c r="E519" s="20" t="n">
        <v>0.90447</v>
      </c>
      <c r="F519" s="20" t="n">
        <v>0.8773358999999999</v>
      </c>
      <c r="G519" s="20" t="n">
        <v>0.9496935000000001</v>
      </c>
      <c r="H519" s="7" t="n">
        <v>46293.20833333334</v>
      </c>
      <c r="I519" s="20" t="n">
        <v>0.8773358999999999</v>
      </c>
      <c r="J519" s="2" t="inlineStr">
        <is>
          <t>止盈</t>
        </is>
      </c>
      <c r="K519" s="5">
        <f>(H519-D519)*24</f>
        <v/>
      </c>
      <c r="L519" s="4">
        <f>IF(C519="做多",I519/E519-1,1-I519/E519)-2*參數!$B$7</f>
        <v/>
      </c>
      <c r="M519" s="2" t="inlineStr"/>
      <c r="N519" s="4" t="n">
        <v>-0.03339674261531222</v>
      </c>
      <c r="O519" s="4" t="n">
        <v>0.04348658586170129</v>
      </c>
      <c r="P519" s="4" t="n">
        <v>-0.04554268422982666</v>
      </c>
      <c r="Q519" s="22" t="n">
        <v>-566251</v>
      </c>
      <c r="R519" s="22" t="n">
        <v>2080759.35901</v>
      </c>
      <c r="S519" s="4" t="n">
        <v>0.03</v>
      </c>
      <c r="T519" s="4" t="n">
        <v>0.02665649496390143</v>
      </c>
      <c r="U519" s="19" t="n">
        <v>0.5854506656431276</v>
      </c>
      <c r="V519" s="19" t="n">
        <v>1</v>
      </c>
      <c r="W519" s="4" t="n">
        <v>0.08904711268211363</v>
      </c>
      <c r="X519" s="4" t="n">
        <v>0.07496650541538397</v>
      </c>
      <c r="Y519" s="4" t="n">
        <v>-0.0002192390518973575</v>
      </c>
      <c r="Z519" s="4" t="n">
        <v>-0.005583129785429852</v>
      </c>
      <c r="AA519" s="4" t="n">
        <v>0.03</v>
      </c>
      <c r="AB519" s="4" t="n">
        <v>0.05</v>
      </c>
      <c r="AC519" s="4">
        <f>(AB519+2*參數!$B$7)/(AA519+AB519)</f>
        <v/>
      </c>
    </row>
    <row r="520">
      <c r="A520" s="2" t="n">
        <v>519</v>
      </c>
      <c r="B520" s="2" t="inlineStr">
        <is>
          <t>MARSCOIN_USDT_PERP</t>
        </is>
      </c>
      <c r="C520" s="2" t="inlineStr">
        <is>
          <t>做空</t>
        </is>
      </c>
      <c r="D520" s="7" t="n">
        <v>46292.875</v>
      </c>
      <c r="E520" s="20" t="n">
        <v>0.1329</v>
      </c>
      <c r="F520" s="20" t="n">
        <v>0.128913</v>
      </c>
      <c r="G520" s="20" t="n">
        <v>0.139545</v>
      </c>
      <c r="H520" s="7" t="n">
        <v>46292.91666666666</v>
      </c>
      <c r="I520" s="20" t="n">
        <v>0.128913</v>
      </c>
      <c r="J520" s="2" t="inlineStr">
        <is>
          <t>止盈</t>
        </is>
      </c>
      <c r="K520" s="5">
        <f>(H520-D520)*24</f>
        <v/>
      </c>
      <c r="L520" s="4">
        <f>IF(C520="做多",I520/E520-1,1-I520/E520)-2*參數!$B$7</f>
        <v/>
      </c>
      <c r="M520" s="2" t="inlineStr"/>
      <c r="N520" s="4" t="n">
        <v>-0.0268726660320715</v>
      </c>
      <c r="O520" s="4" t="n">
        <v>0.03600173980988733</v>
      </c>
      <c r="P520" s="4" t="n">
        <v>-0.01047231518951064</v>
      </c>
      <c r="Q520" s="22" t="n">
        <v>-594581</v>
      </c>
      <c r="R520" s="22" t="n">
        <v>2046985.93948</v>
      </c>
      <c r="S520" s="4" t="n">
        <v>0.03</v>
      </c>
      <c r="T520" s="4" t="n">
        <v>0</v>
      </c>
      <c r="U520" s="19" t="n">
        <v>1.160564628116445</v>
      </c>
      <c r="V520" s="19" t="n">
        <v>0.8773291925465861</v>
      </c>
      <c r="W520" s="4" t="n">
        <v>-0.08181764901244448</v>
      </c>
      <c r="X520" s="4" t="n">
        <v>-0.164257555847569</v>
      </c>
      <c r="Y520" s="4" t="n">
        <v>0.0012137996052205</v>
      </c>
      <c r="Z520" s="4" t="n">
        <v>-0.003955374154301472</v>
      </c>
      <c r="AA520" s="4" t="n">
        <v>0.03</v>
      </c>
      <c r="AB520" s="4" t="n">
        <v>0.05</v>
      </c>
      <c r="AC520" s="4">
        <f>(AB520+2*參數!$B$7)/(AA520+AB520)</f>
        <v/>
      </c>
    </row>
    <row r="521">
      <c r="A521" s="2" t="n">
        <v>520</v>
      </c>
      <c r="B521" s="2" t="inlineStr">
        <is>
          <t>MARSCOIN_USDT_PERP</t>
        </is>
      </c>
      <c r="C521" s="2" t="inlineStr">
        <is>
          <t>做空</t>
        </is>
      </c>
      <c r="D521" s="7" t="n">
        <v>46292.95833333334</v>
      </c>
      <c r="E521" s="20" t="n">
        <v>0.12733</v>
      </c>
      <c r="F521" s="20" t="n">
        <v>0.1235101</v>
      </c>
      <c r="G521" s="20" t="n">
        <v>0.1336965</v>
      </c>
      <c r="H521" s="7" t="n">
        <v>46293.25</v>
      </c>
      <c r="I521" s="20" t="n">
        <v>0.12631</v>
      </c>
      <c r="J521" s="2" t="inlineStr">
        <is>
          <t>未平倉</t>
        </is>
      </c>
      <c r="K521" s="5">
        <f>(H521-D521)*24</f>
        <v/>
      </c>
      <c r="L521" s="4">
        <f>IF(C521="做多",I521/E521-1,1-I521/E521)-2*參數!$B$7</f>
        <v/>
      </c>
      <c r="M521" s="2" t="inlineStr">
        <is>
          <t>持倉中（以最新收盤估值）</t>
        </is>
      </c>
      <c r="N521" s="4" t="n">
        <v>-0.02883075280298986</v>
      </c>
      <c r="O521" s="4" t="n">
        <v>0.03839744213990203</v>
      </c>
      <c r="P521" s="4" t="n">
        <v>-0.04437756580083008</v>
      </c>
      <c r="Q521" s="22" t="n">
        <v>-1423227</v>
      </c>
      <c r="R521" s="22" t="n">
        <v>1989071.19883</v>
      </c>
      <c r="S521" s="4" t="n">
        <v>0.01609989790308641</v>
      </c>
      <c r="T521" s="4" t="n">
        <v>0.01437210398177968</v>
      </c>
      <c r="U521" s="19" t="n">
        <v>0.8197442992713388</v>
      </c>
      <c r="V521" s="19" t="n">
        <v>0.6672325976230906</v>
      </c>
      <c r="W521" s="4" t="n">
        <v>-0.03652714157676185</v>
      </c>
      <c r="X521" s="4" t="n">
        <v>-0.003783996846669302</v>
      </c>
      <c r="Y521" s="4" t="n">
        <v>0.005928800273908408</v>
      </c>
      <c r="Z521" s="4" t="n">
        <v>3.775541568284968e-05</v>
      </c>
      <c r="AA521" s="4" t="n">
        <v>0.03</v>
      </c>
      <c r="AB521" s="4" t="n">
        <v>0.05</v>
      </c>
      <c r="AC521" s="4">
        <f>(AB521+2*參數!$B$7)/(AA521+AB521)</f>
        <v/>
      </c>
    </row>
    <row r="522">
      <c r="A522" s="2" t="n">
        <v>521</v>
      </c>
      <c r="B522" s="2" t="inlineStr">
        <is>
          <t>QNT_USDT_PERP</t>
        </is>
      </c>
      <c r="C522" s="2" t="inlineStr">
        <is>
          <t>做多</t>
        </is>
      </c>
      <c r="D522" s="7" t="n">
        <v>46292.95833333334</v>
      </c>
      <c r="E522" s="20" t="n">
        <v>167.24</v>
      </c>
      <c r="F522" s="20" t="n">
        <v>172.2572</v>
      </c>
      <c r="G522" s="20" t="n">
        <v>158.878</v>
      </c>
      <c r="H522" s="7" t="n">
        <v>46293</v>
      </c>
      <c r="I522" s="20" t="n">
        <v>172.2572</v>
      </c>
      <c r="J522" s="2" t="inlineStr">
        <is>
          <t>止盈</t>
        </is>
      </c>
      <c r="K522" s="5">
        <f>(H522-D522)*24</f>
        <v/>
      </c>
      <c r="L522" s="4">
        <f>IF(C522="做多",I522/E522-1,1-I522/E522)-2*參數!$B$7</f>
        <v/>
      </c>
      <c r="M522" s="2" t="inlineStr"/>
      <c r="N522" s="4" t="n">
        <v>0.03005666420300557</v>
      </c>
      <c r="O522" s="4" t="n">
        <v>0.06471721827041212</v>
      </c>
      <c r="P522" s="4" t="n">
        <v>0.03595553642166704</v>
      </c>
      <c r="Q522" s="22" t="n">
        <v>16499.80000000002</v>
      </c>
      <c r="R522" s="22" t="n">
        <v>21235155.248</v>
      </c>
      <c r="S522" s="4" t="n">
        <v>0.03</v>
      </c>
      <c r="T522" s="4" t="n">
        <v>0</v>
      </c>
      <c r="U522" s="19" t="n">
        <v>1.150544864223106</v>
      </c>
      <c r="V522" s="19" t="n">
        <v>0.6810126582278495</v>
      </c>
      <c r="W522" s="4" t="n">
        <v>0.6133030943508346</v>
      </c>
      <c r="X522" s="4" t="n">
        <v>0.5108862589213119</v>
      </c>
      <c r="Y522" s="4" t="n">
        <v>-0.005928800273908408</v>
      </c>
      <c r="Z522" s="4" t="n">
        <v>-3.775541568284968e-05</v>
      </c>
      <c r="AA522" s="4" t="n">
        <v>0.03</v>
      </c>
      <c r="AB522" s="4" t="n">
        <v>0.05</v>
      </c>
      <c r="AC522" s="4">
        <f>(AB522+2*參數!$B$7)/(AA522+AB522)</f>
        <v/>
      </c>
    </row>
    <row r="523">
      <c r="A523" s="2" t="n">
        <v>522</v>
      </c>
      <c r="B523" s="2" t="inlineStr">
        <is>
          <t>GRASS_USDT_PERP</t>
        </is>
      </c>
      <c r="C523" s="2" t="inlineStr">
        <is>
          <t>做多</t>
        </is>
      </c>
      <c r="D523" s="7" t="n">
        <v>46293.04166666666</v>
      </c>
      <c r="E523" s="20" t="n">
        <v>0.6299</v>
      </c>
      <c r="F523" s="20" t="n">
        <v>0.6487970000000001</v>
      </c>
      <c r="G523" s="20" t="n">
        <v>0.598405</v>
      </c>
      <c r="H523" s="7" t="n">
        <v>46293.25</v>
      </c>
      <c r="I523" s="20" t="n">
        <v>0.6487970000000001</v>
      </c>
      <c r="J523" s="2" t="inlineStr">
        <is>
          <t>止盈</t>
        </is>
      </c>
      <c r="K523" s="5">
        <f>(H523-D523)*24</f>
        <v/>
      </c>
      <c r="L523" s="4">
        <f>IF(C523="做多",I523/E523-1,1-I523/E523)-2*參數!$B$7</f>
        <v/>
      </c>
      <c r="M523" s="2" t="inlineStr"/>
      <c r="N523" s="4" t="n">
        <v>0.02489424015619912</v>
      </c>
      <c r="O523" s="4" t="n">
        <v>0.03336601129446514</v>
      </c>
      <c r="P523" s="4" t="n">
        <v>0.05605525890035468</v>
      </c>
      <c r="Q523" s="22" t="n">
        <v>623056</v>
      </c>
      <c r="R523" s="22" t="n">
        <v>1385022.098</v>
      </c>
      <c r="S523" s="4" t="n">
        <v>0.03</v>
      </c>
      <c r="T523" s="4" t="n">
        <v>0.01333545007143988</v>
      </c>
      <c r="U523" s="19" t="n">
        <v>1.55793311218756</v>
      </c>
      <c r="V523" s="19" t="n">
        <v>0.8089887640449445</v>
      </c>
      <c r="W523" s="4" t="n">
        <v>0.2502381784115089</v>
      </c>
      <c r="X523" s="4" t="n">
        <v>0.1889392223480557</v>
      </c>
      <c r="Y523" s="4" t="n">
        <v>-0.0003802101223543408</v>
      </c>
      <c r="Z523" s="4" t="n">
        <v>-0.001636575053992062</v>
      </c>
      <c r="AA523" s="4" t="n">
        <v>0.03</v>
      </c>
      <c r="AB523" s="4" t="n">
        <v>0.05</v>
      </c>
      <c r="AC523" s="4">
        <f>(AB523+2*參數!$B$7)/(AA523+AB523)</f>
        <v/>
      </c>
    </row>
    <row r="524">
      <c r="A524" s="2" t="n">
        <v>523</v>
      </c>
      <c r="B524" s="2" t="inlineStr">
        <is>
          <t>NEAR_USDT_PERP</t>
        </is>
      </c>
      <c r="C524" s="2" t="inlineStr">
        <is>
          <t>做多</t>
        </is>
      </c>
      <c r="D524" s="7" t="n">
        <v>46293.125</v>
      </c>
      <c r="E524" s="20" t="n">
        <v>5.451</v>
      </c>
      <c r="F524" s="20" t="n">
        <v>5.614529999999999</v>
      </c>
      <c r="G524" s="20" t="n">
        <v>5.17845</v>
      </c>
      <c r="H524" s="7" t="n">
        <v>46293.25</v>
      </c>
      <c r="I524" s="20" t="n">
        <v>5.551</v>
      </c>
      <c r="J524" s="2" t="inlineStr">
        <is>
          <t>未平倉</t>
        </is>
      </c>
      <c r="K524" s="5">
        <f>(H524-D524)*24</f>
        <v/>
      </c>
      <c r="L524" s="4">
        <f>IF(C524="做多",I524/E524-1,1-I524/E524)-2*參數!$B$7</f>
        <v/>
      </c>
      <c r="M524" s="2" t="inlineStr">
        <is>
          <t>持倉中（以最新收盤估值）</t>
        </is>
      </c>
      <c r="N524" s="4" t="n">
        <v>0.04046573773620921</v>
      </c>
      <c r="O524" s="4" t="n">
        <v>0.02243034377642237</v>
      </c>
      <c r="P524" s="4" t="n">
        <v>0.04570524195482228</v>
      </c>
      <c r="Q524" s="22" t="n">
        <v>340137</v>
      </c>
      <c r="R524" s="22" t="n">
        <v>24648759.998</v>
      </c>
      <c r="S524" s="4" t="n">
        <v>0.02348192992111531</v>
      </c>
      <c r="T524" s="4" t="n">
        <v>0.009172628875435684</v>
      </c>
      <c r="U524" s="19" t="n">
        <v>1.445182227769576</v>
      </c>
      <c r="V524" s="19" t="n">
        <v>0.90987124463519</v>
      </c>
      <c r="W524" s="4" t="n">
        <v>0.1388279536195549</v>
      </c>
      <c r="X524" s="4" t="n">
        <v>0.1313823163138232</v>
      </c>
      <c r="Y524" s="4" t="n">
        <v>0.002880470528113799</v>
      </c>
      <c r="Z524" s="4" t="n">
        <v>0.002338659758375883</v>
      </c>
      <c r="AA524" s="4" t="n">
        <v>0.03</v>
      </c>
      <c r="AB524" s="4" t="n">
        <v>0.05</v>
      </c>
      <c r="AC524" s="4">
        <f>(AB524+2*參數!$B$7)/(AA524+AB524)</f>
        <v/>
      </c>
    </row>
    <row r="525">
      <c r="A525" s="2" t="n">
        <v>524</v>
      </c>
      <c r="B525" s="2" t="inlineStr">
        <is>
          <t>USELESS_USDT_PERP</t>
        </is>
      </c>
      <c r="C525" s="2" t="inlineStr">
        <is>
          <t>做多</t>
        </is>
      </c>
      <c r="D525" s="7" t="n">
        <v>46293.125</v>
      </c>
      <c r="E525" s="20" t="n">
        <v>0.3012</v>
      </c>
      <c r="F525" s="20" t="n">
        <v>0.310236</v>
      </c>
      <c r="G525" s="20" t="n">
        <v>0.28614</v>
      </c>
      <c r="H525" s="7" t="n">
        <v>46293.25</v>
      </c>
      <c r="I525" s="20" t="n">
        <v>0.29002</v>
      </c>
      <c r="J525" s="2" t="inlineStr">
        <is>
          <t>未平倉</t>
        </is>
      </c>
      <c r="K525" s="5">
        <f>(H525-D525)*24</f>
        <v/>
      </c>
      <c r="L525" s="4">
        <f>IF(C525="做多",I525/E525-1,1-I525/E525)-2*參數!$B$7</f>
        <v/>
      </c>
      <c r="M525" s="2" t="inlineStr">
        <is>
          <t>持倉中（以最新收盤估值）</t>
        </is>
      </c>
      <c r="N525" s="4" t="n">
        <v>0.04329754069968828</v>
      </c>
      <c r="O525" s="4" t="n">
        <v>0.02694444768606363</v>
      </c>
      <c r="P525" s="4" t="n">
        <v>0.04173511844030275</v>
      </c>
      <c r="Q525" s="22" t="n">
        <v>1895547</v>
      </c>
      <c r="R525" s="22" t="n">
        <v>2804354.80042</v>
      </c>
      <c r="S525" s="4" t="n">
        <v>0.0006640106241699861</v>
      </c>
      <c r="T525" s="4" t="n">
        <v>0.04538512616201862</v>
      </c>
      <c r="U525" s="19" t="n">
        <v>2.038170492256046</v>
      </c>
      <c r="V525" s="19" t="n">
        <v>0.9361111111111129</v>
      </c>
      <c r="W525" s="4" t="n">
        <v>0.0420245166365858</v>
      </c>
      <c r="X525" s="4" t="n">
        <v>0.06265876375952573</v>
      </c>
      <c r="Y525" s="4" t="n">
        <v>0.002880470528113799</v>
      </c>
      <c r="Z525" s="4" t="n">
        <v>0.002338659758375883</v>
      </c>
      <c r="AA525" s="4" t="n">
        <v>0.03</v>
      </c>
      <c r="AB525" s="4" t="n">
        <v>0.05</v>
      </c>
      <c r="AC525" s="4">
        <f>(AB525+2*參數!$B$7)/(AA525+AB525)</f>
        <v/>
      </c>
    </row>
    <row r="526">
      <c r="A526" s="2" t="n">
        <v>525</v>
      </c>
      <c r="B526" s="2" t="inlineStr">
        <is>
          <t>PYTH_USDT_PERP</t>
        </is>
      </c>
      <c r="C526" s="2" t="inlineStr">
        <is>
          <t>做空</t>
        </is>
      </c>
      <c r="D526" s="7" t="n">
        <v>46293.20833333334</v>
      </c>
      <c r="E526" s="20" t="n">
        <v>0.08361</v>
      </c>
      <c r="F526" s="20" t="n">
        <v>0.0811017</v>
      </c>
      <c r="G526" s="20" t="n">
        <v>0.08779050000000001</v>
      </c>
      <c r="H526" s="7" t="n">
        <v>46293.25</v>
      </c>
      <c r="I526" s="20" t="n">
        <v>0.08447</v>
      </c>
      <c r="J526" s="2" t="inlineStr">
        <is>
          <t>未平倉</t>
        </is>
      </c>
      <c r="K526" s="5">
        <f>(H526-D526)*24</f>
        <v/>
      </c>
      <c r="L526" s="4">
        <f>IF(C526="做多",I526/E526-1,1-I526/E526)-2*參數!$B$7</f>
        <v/>
      </c>
      <c r="M526" s="2" t="inlineStr">
        <is>
          <t>持倉中（以最新收盤估值）</t>
        </is>
      </c>
      <c r="N526" s="4" t="n">
        <v>-0.02745143654763293</v>
      </c>
      <c r="O526" s="4" t="n">
        <v>0.02629803311028665</v>
      </c>
      <c r="P526" s="4" t="n">
        <v>-0.01054425391415492</v>
      </c>
      <c r="Q526" s="22" t="n">
        <v>-668415</v>
      </c>
      <c r="R526" s="22" t="n">
        <v>1915212.90539</v>
      </c>
      <c r="S526" s="4" t="n">
        <v>0.002511661284535394</v>
      </c>
      <c r="T526" s="4" t="n">
        <v>0.01124267432125348</v>
      </c>
      <c r="U526" s="19" t="n">
        <v>0.5427423634880344</v>
      </c>
      <c r="V526" s="19" t="n">
        <v>0.9646643109540626</v>
      </c>
      <c r="W526" s="4" t="n">
        <v>-0.1425049841967825</v>
      </c>
      <c r="X526" s="4" t="n">
        <v>-0.06754341164453526</v>
      </c>
      <c r="Y526" s="4" t="n">
        <v>0.002230308583087037</v>
      </c>
      <c r="Z526" s="4" t="n">
        <v>0.001173363842960184</v>
      </c>
      <c r="AA526" s="4" t="n">
        <v>0.03</v>
      </c>
      <c r="AB526" s="4" t="n">
        <v>0.05</v>
      </c>
      <c r="AC526" s="4">
        <f>(AB526+2*參數!$B$7)/(AA526+AB526)</f>
        <v/>
      </c>
    </row>
  </sheetData>
  <autoFilter ref="A1:AC526"/>
  <conditionalFormatting sqref="J2:J526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PONS_USDT_PERP</t>
        </is>
      </c>
      <c r="B2" s="2">
        <f>COUNTIFS(交易明細!$B$2:$B$526,$A2)</f>
        <v/>
      </c>
      <c r="C2" s="2">
        <f>COUNTIFS(交易明細!$B$2:$B$526,$A2,交易明細!$C$2:$C$526,"做多")</f>
        <v/>
      </c>
      <c r="D2" s="2">
        <f>COUNTIFS(交易明細!$B$2:$B$526,$A2,交易明細!$C$2:$C$526,"做空")</f>
        <v/>
      </c>
      <c r="E2" s="2">
        <f>F2+G2+COUNTIFS(交易明細!$B$2:$B$526,$A2,交易明細!$J$2:$J$526,"時間出場")</f>
        <v/>
      </c>
      <c r="F2" s="2">
        <f>COUNTIFS(交易明細!$B$2:$B$526,$A2,交易明細!$J$2:$J$526,"止盈")</f>
        <v/>
      </c>
      <c r="G2" s="2">
        <f>COUNTIFS(交易明細!$B$2:$B$526,$A2,交易明細!$J$2:$J$526,"止損")</f>
        <v/>
      </c>
      <c r="H2" s="4">
        <f>IFERROR(F2/E2,0)</f>
        <v/>
      </c>
      <c r="I2" s="4">
        <f>IFERROR(AVERAGEIFS(交易明細!$L$2:$L$526,交易明細!$B$2:$B$526,$A2,交易明細!$J$2:$J$526,"&lt;&gt;未平倉"),0)</f>
        <v/>
      </c>
      <c r="J2" s="4">
        <f>SUMIFS(交易明細!$L$2:$L$526,交易明細!$B$2:$B$526,$A2,交易明細!$J$2:$J$526,"&lt;&gt;未平倉")</f>
        <v/>
      </c>
      <c r="K2" s="5">
        <f>IFERROR(AVERAGEIFS(交易明細!$K$2:$K$526,交易明細!$B$2:$B$526,$A2,交易明細!$J$2:$J$526,"&lt;&gt;未平倉"),0)</f>
        <v/>
      </c>
      <c r="L2" s="2">
        <f>COUNTIFS(交易明細!$B$2:$B$526,$A2,交易明細!$J$2:$J$526,"未平倉")</f>
        <v/>
      </c>
    </row>
    <row r="3">
      <c r="A3" s="2" t="inlineStr">
        <is>
          <t>USELESS_USDT_PERP</t>
        </is>
      </c>
      <c r="B3" s="2">
        <f>COUNTIFS(交易明細!$B$2:$B$526,$A3)</f>
        <v/>
      </c>
      <c r="C3" s="2">
        <f>COUNTIFS(交易明細!$B$2:$B$526,$A3,交易明細!$C$2:$C$526,"做多")</f>
        <v/>
      </c>
      <c r="D3" s="2">
        <f>COUNTIFS(交易明細!$B$2:$B$526,$A3,交易明細!$C$2:$C$526,"做空")</f>
        <v/>
      </c>
      <c r="E3" s="2">
        <f>F3+G3+COUNTIFS(交易明細!$B$2:$B$526,$A3,交易明細!$J$2:$J$526,"時間出場")</f>
        <v/>
      </c>
      <c r="F3" s="2">
        <f>COUNTIFS(交易明細!$B$2:$B$526,$A3,交易明細!$J$2:$J$526,"止盈")</f>
        <v/>
      </c>
      <c r="G3" s="2">
        <f>COUNTIFS(交易明細!$B$2:$B$526,$A3,交易明細!$J$2:$J$526,"止損")</f>
        <v/>
      </c>
      <c r="H3" s="4">
        <f>IFERROR(F3/E3,0)</f>
        <v/>
      </c>
      <c r="I3" s="4">
        <f>IFERROR(AVERAGEIFS(交易明細!$L$2:$L$526,交易明細!$B$2:$B$526,$A3,交易明細!$J$2:$J$526,"&lt;&gt;未平倉"),0)</f>
        <v/>
      </c>
      <c r="J3" s="4">
        <f>SUMIFS(交易明細!$L$2:$L$526,交易明細!$B$2:$B$526,$A3,交易明細!$J$2:$J$526,"&lt;&gt;未平倉")</f>
        <v/>
      </c>
      <c r="K3" s="5">
        <f>IFERROR(AVERAGEIFS(交易明細!$K$2:$K$526,交易明細!$B$2:$B$526,$A3,交易明細!$J$2:$J$526,"&lt;&gt;未平倉"),0)</f>
        <v/>
      </c>
      <c r="L3" s="2">
        <f>COUNTIFS(交易明細!$B$2:$B$526,$A3,交易明細!$J$2:$J$526,"未平倉")</f>
        <v/>
      </c>
    </row>
    <row r="4">
      <c r="A4" s="2" t="inlineStr">
        <is>
          <t>AKE_USDT_PERP</t>
        </is>
      </c>
      <c r="B4" s="2">
        <f>COUNTIFS(交易明細!$B$2:$B$526,$A4)</f>
        <v/>
      </c>
      <c r="C4" s="2">
        <f>COUNTIFS(交易明細!$B$2:$B$526,$A4,交易明細!$C$2:$C$526,"做多")</f>
        <v/>
      </c>
      <c r="D4" s="2">
        <f>COUNTIFS(交易明細!$B$2:$B$526,$A4,交易明細!$C$2:$C$526,"做空")</f>
        <v/>
      </c>
      <c r="E4" s="2">
        <f>F4+G4+COUNTIFS(交易明細!$B$2:$B$526,$A4,交易明細!$J$2:$J$526,"時間出場")</f>
        <v/>
      </c>
      <c r="F4" s="2">
        <f>COUNTIFS(交易明細!$B$2:$B$526,$A4,交易明細!$J$2:$J$526,"止盈")</f>
        <v/>
      </c>
      <c r="G4" s="2">
        <f>COUNTIFS(交易明細!$B$2:$B$526,$A4,交易明細!$J$2:$J$526,"止損")</f>
        <v/>
      </c>
      <c r="H4" s="4">
        <f>IFERROR(F4/E4,0)</f>
        <v/>
      </c>
      <c r="I4" s="4">
        <f>IFERROR(AVERAGEIFS(交易明細!$L$2:$L$526,交易明細!$B$2:$B$526,$A4,交易明細!$J$2:$J$526,"&lt;&gt;未平倉"),0)</f>
        <v/>
      </c>
      <c r="J4" s="4">
        <f>SUMIFS(交易明細!$L$2:$L$526,交易明細!$B$2:$B$526,$A4,交易明細!$J$2:$J$526,"&lt;&gt;未平倉")</f>
        <v/>
      </c>
      <c r="K4" s="5">
        <f>IFERROR(AVERAGEIFS(交易明細!$K$2:$K$526,交易明細!$B$2:$B$526,$A4,交易明細!$J$2:$J$526,"&lt;&gt;未平倉"),0)</f>
        <v/>
      </c>
      <c r="L4" s="2">
        <f>COUNTIFS(交易明細!$B$2:$B$526,$A4,交易明細!$J$2:$J$526,"未平倉")</f>
        <v/>
      </c>
    </row>
    <row r="5">
      <c r="A5" s="2" t="inlineStr">
        <is>
          <t>PUMP_USDT_PERP</t>
        </is>
      </c>
      <c r="B5" s="2">
        <f>COUNTIFS(交易明細!$B$2:$B$526,$A5)</f>
        <v/>
      </c>
      <c r="C5" s="2">
        <f>COUNTIFS(交易明細!$B$2:$B$526,$A5,交易明細!$C$2:$C$526,"做多")</f>
        <v/>
      </c>
      <c r="D5" s="2">
        <f>COUNTIFS(交易明細!$B$2:$B$526,$A5,交易明細!$C$2:$C$526,"做空")</f>
        <v/>
      </c>
      <c r="E5" s="2">
        <f>F5+G5+COUNTIFS(交易明細!$B$2:$B$526,$A5,交易明細!$J$2:$J$526,"時間出場")</f>
        <v/>
      </c>
      <c r="F5" s="2">
        <f>COUNTIFS(交易明細!$B$2:$B$526,$A5,交易明細!$J$2:$J$526,"止盈")</f>
        <v/>
      </c>
      <c r="G5" s="2">
        <f>COUNTIFS(交易明細!$B$2:$B$526,$A5,交易明細!$J$2:$J$526,"止損")</f>
        <v/>
      </c>
      <c r="H5" s="4">
        <f>IFERROR(F5/E5,0)</f>
        <v/>
      </c>
      <c r="I5" s="4">
        <f>IFERROR(AVERAGEIFS(交易明細!$L$2:$L$526,交易明細!$B$2:$B$526,$A5,交易明細!$J$2:$J$526,"&lt;&gt;未平倉"),0)</f>
        <v/>
      </c>
      <c r="J5" s="4">
        <f>SUMIFS(交易明細!$L$2:$L$526,交易明細!$B$2:$B$526,$A5,交易明細!$J$2:$J$526,"&lt;&gt;未平倉")</f>
        <v/>
      </c>
      <c r="K5" s="5">
        <f>IFERROR(AVERAGEIFS(交易明細!$K$2:$K$526,交易明細!$B$2:$B$526,$A5,交易明細!$J$2:$J$526,"&lt;&gt;未平倉"),0)</f>
        <v/>
      </c>
      <c r="L5" s="2">
        <f>COUNTIFS(交易明細!$B$2:$B$526,$A5,交易明細!$J$2:$J$526,"未平倉")</f>
        <v/>
      </c>
    </row>
    <row r="6">
      <c r="A6" s="2" t="inlineStr">
        <is>
          <t>LIT_USDT_PERP</t>
        </is>
      </c>
      <c r="B6" s="2">
        <f>COUNTIFS(交易明細!$B$2:$B$526,$A6)</f>
        <v/>
      </c>
      <c r="C6" s="2">
        <f>COUNTIFS(交易明細!$B$2:$B$526,$A6,交易明細!$C$2:$C$526,"做多")</f>
        <v/>
      </c>
      <c r="D6" s="2">
        <f>COUNTIFS(交易明細!$B$2:$B$526,$A6,交易明細!$C$2:$C$526,"做空")</f>
        <v/>
      </c>
      <c r="E6" s="2">
        <f>F6+G6+COUNTIFS(交易明細!$B$2:$B$526,$A6,交易明細!$J$2:$J$526,"時間出場")</f>
        <v/>
      </c>
      <c r="F6" s="2">
        <f>COUNTIFS(交易明細!$B$2:$B$526,$A6,交易明細!$J$2:$J$526,"止盈")</f>
        <v/>
      </c>
      <c r="G6" s="2">
        <f>COUNTIFS(交易明細!$B$2:$B$526,$A6,交易明細!$J$2:$J$526,"止損")</f>
        <v/>
      </c>
      <c r="H6" s="4">
        <f>IFERROR(F6/E6,0)</f>
        <v/>
      </c>
      <c r="I6" s="4">
        <f>IFERROR(AVERAGEIFS(交易明細!$L$2:$L$526,交易明細!$B$2:$B$526,$A6,交易明細!$J$2:$J$526,"&lt;&gt;未平倉"),0)</f>
        <v/>
      </c>
      <c r="J6" s="4">
        <f>SUMIFS(交易明細!$L$2:$L$526,交易明細!$B$2:$B$526,$A6,交易明細!$J$2:$J$526,"&lt;&gt;未平倉")</f>
        <v/>
      </c>
      <c r="K6" s="5">
        <f>IFERROR(AVERAGEIFS(交易明細!$K$2:$K$526,交易明細!$B$2:$B$526,$A6,交易明細!$J$2:$J$526,"&lt;&gt;未平倉"),0)</f>
        <v/>
      </c>
      <c r="L6" s="2">
        <f>COUNTIFS(交易明細!$B$2:$B$526,$A6,交易明細!$J$2:$J$526,"未平倉")</f>
        <v/>
      </c>
    </row>
    <row r="7">
      <c r="A7" s="2" t="inlineStr">
        <is>
          <t>MARSCOIN_USDT_PERP</t>
        </is>
      </c>
      <c r="B7" s="2">
        <f>COUNTIFS(交易明細!$B$2:$B$526,$A7)</f>
        <v/>
      </c>
      <c r="C7" s="2">
        <f>COUNTIFS(交易明細!$B$2:$B$526,$A7,交易明細!$C$2:$C$526,"做多")</f>
        <v/>
      </c>
      <c r="D7" s="2">
        <f>COUNTIFS(交易明細!$B$2:$B$526,$A7,交易明細!$C$2:$C$526,"做空")</f>
        <v/>
      </c>
      <c r="E7" s="2">
        <f>F7+G7+COUNTIFS(交易明細!$B$2:$B$526,$A7,交易明細!$J$2:$J$526,"時間出場")</f>
        <v/>
      </c>
      <c r="F7" s="2">
        <f>COUNTIFS(交易明細!$B$2:$B$526,$A7,交易明細!$J$2:$J$526,"止盈")</f>
        <v/>
      </c>
      <c r="G7" s="2">
        <f>COUNTIFS(交易明細!$B$2:$B$526,$A7,交易明細!$J$2:$J$526,"止損")</f>
        <v/>
      </c>
      <c r="H7" s="4">
        <f>IFERROR(F7/E7,0)</f>
        <v/>
      </c>
      <c r="I7" s="4">
        <f>IFERROR(AVERAGEIFS(交易明細!$L$2:$L$526,交易明細!$B$2:$B$526,$A7,交易明細!$J$2:$J$526,"&lt;&gt;未平倉"),0)</f>
        <v/>
      </c>
      <c r="J7" s="4">
        <f>SUMIFS(交易明細!$L$2:$L$526,交易明細!$B$2:$B$526,$A7,交易明細!$J$2:$J$526,"&lt;&gt;未平倉")</f>
        <v/>
      </c>
      <c r="K7" s="5">
        <f>IFERROR(AVERAGEIFS(交易明細!$K$2:$K$526,交易明細!$B$2:$B$526,$A7,交易明細!$J$2:$J$526,"&lt;&gt;未平倉"),0)</f>
        <v/>
      </c>
      <c r="L7" s="2">
        <f>COUNTIFS(交易明細!$B$2:$B$526,$A7,交易明細!$J$2:$J$526,"未平倉")</f>
        <v/>
      </c>
    </row>
    <row r="8">
      <c r="A8" s="2" t="inlineStr">
        <is>
          <t>NEAR_USDT_PERP</t>
        </is>
      </c>
      <c r="B8" s="2">
        <f>COUNTIFS(交易明細!$B$2:$B$526,$A8)</f>
        <v/>
      </c>
      <c r="C8" s="2">
        <f>COUNTIFS(交易明細!$B$2:$B$526,$A8,交易明細!$C$2:$C$526,"做多")</f>
        <v/>
      </c>
      <c r="D8" s="2">
        <f>COUNTIFS(交易明細!$B$2:$B$526,$A8,交易明細!$C$2:$C$526,"做空")</f>
        <v/>
      </c>
      <c r="E8" s="2">
        <f>F8+G8+COUNTIFS(交易明細!$B$2:$B$526,$A8,交易明細!$J$2:$J$526,"時間出場")</f>
        <v/>
      </c>
      <c r="F8" s="2">
        <f>COUNTIFS(交易明細!$B$2:$B$526,$A8,交易明細!$J$2:$J$526,"止盈")</f>
        <v/>
      </c>
      <c r="G8" s="2">
        <f>COUNTIFS(交易明細!$B$2:$B$526,$A8,交易明細!$J$2:$J$526,"止損")</f>
        <v/>
      </c>
      <c r="H8" s="4">
        <f>IFERROR(F8/E8,0)</f>
        <v/>
      </c>
      <c r="I8" s="4">
        <f>IFERROR(AVERAGEIFS(交易明細!$L$2:$L$526,交易明細!$B$2:$B$526,$A8,交易明細!$J$2:$J$526,"&lt;&gt;未平倉"),0)</f>
        <v/>
      </c>
      <c r="J8" s="4">
        <f>SUMIFS(交易明細!$L$2:$L$526,交易明細!$B$2:$B$526,$A8,交易明細!$J$2:$J$526,"&lt;&gt;未平倉")</f>
        <v/>
      </c>
      <c r="K8" s="5">
        <f>IFERROR(AVERAGEIFS(交易明細!$K$2:$K$526,交易明細!$B$2:$B$526,$A8,交易明細!$J$2:$J$526,"&lt;&gt;未平倉"),0)</f>
        <v/>
      </c>
      <c r="L8" s="2">
        <f>COUNTIFS(交易明細!$B$2:$B$526,$A8,交易明細!$J$2:$J$526,"未平倉")</f>
        <v/>
      </c>
    </row>
    <row r="9">
      <c r="A9" s="2" t="inlineStr">
        <is>
          <t>牛来_USDT_PERP</t>
        </is>
      </c>
      <c r="B9" s="2">
        <f>COUNTIFS(交易明細!$B$2:$B$526,$A9)</f>
        <v/>
      </c>
      <c r="C9" s="2">
        <f>COUNTIFS(交易明細!$B$2:$B$526,$A9,交易明細!$C$2:$C$526,"做多")</f>
        <v/>
      </c>
      <c r="D9" s="2">
        <f>COUNTIFS(交易明細!$B$2:$B$526,$A9,交易明細!$C$2:$C$526,"做空")</f>
        <v/>
      </c>
      <c r="E9" s="2">
        <f>F9+G9+COUNTIFS(交易明細!$B$2:$B$526,$A9,交易明細!$J$2:$J$526,"時間出場")</f>
        <v/>
      </c>
      <c r="F9" s="2">
        <f>COUNTIFS(交易明細!$B$2:$B$526,$A9,交易明細!$J$2:$J$526,"止盈")</f>
        <v/>
      </c>
      <c r="G9" s="2">
        <f>COUNTIFS(交易明細!$B$2:$B$526,$A9,交易明細!$J$2:$J$526,"止損")</f>
        <v/>
      </c>
      <c r="H9" s="4">
        <f>IFERROR(F9/E9,0)</f>
        <v/>
      </c>
      <c r="I9" s="4">
        <f>IFERROR(AVERAGEIFS(交易明細!$L$2:$L$526,交易明細!$B$2:$B$526,$A9,交易明細!$J$2:$J$526,"&lt;&gt;未平倉"),0)</f>
        <v/>
      </c>
      <c r="J9" s="4">
        <f>SUMIFS(交易明細!$L$2:$L$526,交易明細!$B$2:$B$526,$A9,交易明細!$J$2:$J$526,"&lt;&gt;未平倉")</f>
        <v/>
      </c>
      <c r="K9" s="5">
        <f>IFERROR(AVERAGEIFS(交易明細!$K$2:$K$526,交易明細!$B$2:$B$526,$A9,交易明細!$J$2:$J$526,"&lt;&gt;未平倉"),0)</f>
        <v/>
      </c>
      <c r="L9" s="2">
        <f>COUNTIFS(交易明細!$B$2:$B$526,$A9,交易明細!$J$2:$J$526,"未平倉")</f>
        <v/>
      </c>
    </row>
    <row r="10">
      <c r="A10" s="2" t="inlineStr">
        <is>
          <t>BR_USDT_PERP</t>
        </is>
      </c>
      <c r="B10" s="2">
        <f>COUNTIFS(交易明細!$B$2:$B$526,$A10)</f>
        <v/>
      </c>
      <c r="C10" s="2">
        <f>COUNTIFS(交易明細!$B$2:$B$526,$A10,交易明細!$C$2:$C$526,"做多")</f>
        <v/>
      </c>
      <c r="D10" s="2">
        <f>COUNTIFS(交易明細!$B$2:$B$526,$A10,交易明細!$C$2:$C$526,"做空")</f>
        <v/>
      </c>
      <c r="E10" s="2">
        <f>F10+G10+COUNTIFS(交易明細!$B$2:$B$526,$A10,交易明細!$J$2:$J$526,"時間出場")</f>
        <v/>
      </c>
      <c r="F10" s="2">
        <f>COUNTIFS(交易明細!$B$2:$B$526,$A10,交易明細!$J$2:$J$526,"止盈")</f>
        <v/>
      </c>
      <c r="G10" s="2">
        <f>COUNTIFS(交易明細!$B$2:$B$526,$A10,交易明細!$J$2:$J$526,"止損")</f>
        <v/>
      </c>
      <c r="H10" s="4">
        <f>IFERROR(F10/E10,0)</f>
        <v/>
      </c>
      <c r="I10" s="4">
        <f>IFERROR(AVERAGEIFS(交易明細!$L$2:$L$526,交易明細!$B$2:$B$526,$A10,交易明細!$J$2:$J$526,"&lt;&gt;未平倉"),0)</f>
        <v/>
      </c>
      <c r="J10" s="4">
        <f>SUMIFS(交易明細!$L$2:$L$526,交易明細!$B$2:$B$526,$A10,交易明細!$J$2:$J$526,"&lt;&gt;未平倉")</f>
        <v/>
      </c>
      <c r="K10" s="5">
        <f>IFERROR(AVERAGEIFS(交易明細!$K$2:$K$526,交易明細!$B$2:$B$526,$A10,交易明細!$J$2:$J$526,"&lt;&gt;未平倉"),0)</f>
        <v/>
      </c>
      <c r="L10" s="2">
        <f>COUNTIFS(交易明細!$B$2:$B$526,$A10,交易明細!$J$2:$J$526,"未平倉")</f>
        <v/>
      </c>
    </row>
    <row r="11">
      <c r="A11" s="2" t="inlineStr">
        <is>
          <t>ARB_USDT_PERP</t>
        </is>
      </c>
      <c r="B11" s="2">
        <f>COUNTIFS(交易明細!$B$2:$B$526,$A11)</f>
        <v/>
      </c>
      <c r="C11" s="2">
        <f>COUNTIFS(交易明細!$B$2:$B$526,$A11,交易明細!$C$2:$C$526,"做多")</f>
        <v/>
      </c>
      <c r="D11" s="2">
        <f>COUNTIFS(交易明細!$B$2:$B$526,$A11,交易明細!$C$2:$C$526,"做空")</f>
        <v/>
      </c>
      <c r="E11" s="2">
        <f>F11+G11+COUNTIFS(交易明細!$B$2:$B$526,$A11,交易明細!$J$2:$J$526,"時間出場")</f>
        <v/>
      </c>
      <c r="F11" s="2">
        <f>COUNTIFS(交易明細!$B$2:$B$526,$A11,交易明細!$J$2:$J$526,"止盈")</f>
        <v/>
      </c>
      <c r="G11" s="2">
        <f>COUNTIFS(交易明細!$B$2:$B$526,$A11,交易明細!$J$2:$J$526,"止損")</f>
        <v/>
      </c>
      <c r="H11" s="4">
        <f>IFERROR(F11/E11,0)</f>
        <v/>
      </c>
      <c r="I11" s="4">
        <f>IFERROR(AVERAGEIFS(交易明細!$L$2:$L$526,交易明細!$B$2:$B$526,$A11,交易明細!$J$2:$J$526,"&lt;&gt;未平倉"),0)</f>
        <v/>
      </c>
      <c r="J11" s="4">
        <f>SUMIFS(交易明細!$L$2:$L$526,交易明細!$B$2:$B$526,$A11,交易明細!$J$2:$J$526,"&lt;&gt;未平倉")</f>
        <v/>
      </c>
      <c r="K11" s="5">
        <f>IFERROR(AVERAGEIFS(交易明細!$K$2:$K$526,交易明細!$B$2:$B$526,$A11,交易明細!$J$2:$J$526,"&lt;&gt;未平倉"),0)</f>
        <v/>
      </c>
      <c r="L11" s="2">
        <f>COUNTIFS(交易明細!$B$2:$B$526,$A11,交易明細!$J$2:$J$526,"未平倉")</f>
        <v/>
      </c>
    </row>
    <row r="12">
      <c r="A12" s="2" t="inlineStr">
        <is>
          <t>ENA_USDT_PERP</t>
        </is>
      </c>
      <c r="B12" s="2">
        <f>COUNTIFS(交易明細!$B$2:$B$526,$A12)</f>
        <v/>
      </c>
      <c r="C12" s="2">
        <f>COUNTIFS(交易明細!$B$2:$B$526,$A12,交易明細!$C$2:$C$526,"做多")</f>
        <v/>
      </c>
      <c r="D12" s="2">
        <f>COUNTIFS(交易明細!$B$2:$B$526,$A12,交易明細!$C$2:$C$526,"做空")</f>
        <v/>
      </c>
      <c r="E12" s="2">
        <f>F12+G12+COUNTIFS(交易明細!$B$2:$B$526,$A12,交易明細!$J$2:$J$526,"時間出場")</f>
        <v/>
      </c>
      <c r="F12" s="2">
        <f>COUNTIFS(交易明細!$B$2:$B$526,$A12,交易明細!$J$2:$J$526,"止盈")</f>
        <v/>
      </c>
      <c r="G12" s="2">
        <f>COUNTIFS(交易明細!$B$2:$B$526,$A12,交易明細!$J$2:$J$526,"止損")</f>
        <v/>
      </c>
      <c r="H12" s="4">
        <f>IFERROR(F12/E12,0)</f>
        <v/>
      </c>
      <c r="I12" s="4">
        <f>IFERROR(AVERAGEIFS(交易明細!$L$2:$L$526,交易明細!$B$2:$B$526,$A12,交易明細!$J$2:$J$526,"&lt;&gt;未平倉"),0)</f>
        <v/>
      </c>
      <c r="J12" s="4">
        <f>SUMIFS(交易明細!$L$2:$L$526,交易明細!$B$2:$B$526,$A12,交易明細!$J$2:$J$526,"&lt;&gt;未平倉")</f>
        <v/>
      </c>
      <c r="K12" s="5">
        <f>IFERROR(AVERAGEIFS(交易明細!$K$2:$K$526,交易明細!$B$2:$B$526,$A12,交易明細!$J$2:$J$526,"&lt;&gt;未平倉"),0)</f>
        <v/>
      </c>
      <c r="L12" s="2">
        <f>COUNTIFS(交易明細!$B$2:$B$526,$A12,交易明細!$J$2:$J$526,"未平倉")</f>
        <v/>
      </c>
    </row>
    <row r="13">
      <c r="A13" s="2" t="inlineStr">
        <is>
          <t>UNI_USDT_PERP</t>
        </is>
      </c>
      <c r="B13" s="2">
        <f>COUNTIFS(交易明細!$B$2:$B$526,$A13)</f>
        <v/>
      </c>
      <c r="C13" s="2">
        <f>COUNTIFS(交易明細!$B$2:$B$526,$A13,交易明細!$C$2:$C$526,"做多")</f>
        <v/>
      </c>
      <c r="D13" s="2">
        <f>COUNTIFS(交易明細!$B$2:$B$526,$A13,交易明細!$C$2:$C$526,"做空")</f>
        <v/>
      </c>
      <c r="E13" s="2">
        <f>F13+G13+COUNTIFS(交易明細!$B$2:$B$526,$A13,交易明細!$J$2:$J$526,"時間出場")</f>
        <v/>
      </c>
      <c r="F13" s="2">
        <f>COUNTIFS(交易明細!$B$2:$B$526,$A13,交易明細!$J$2:$J$526,"止盈")</f>
        <v/>
      </c>
      <c r="G13" s="2">
        <f>COUNTIFS(交易明細!$B$2:$B$526,$A13,交易明細!$J$2:$J$526,"止損")</f>
        <v/>
      </c>
      <c r="H13" s="4">
        <f>IFERROR(F13/E13,0)</f>
        <v/>
      </c>
      <c r="I13" s="4">
        <f>IFERROR(AVERAGEIFS(交易明細!$L$2:$L$526,交易明細!$B$2:$B$526,$A13,交易明細!$J$2:$J$526,"&lt;&gt;未平倉"),0)</f>
        <v/>
      </c>
      <c r="J13" s="4">
        <f>SUMIFS(交易明細!$L$2:$L$526,交易明細!$B$2:$B$526,$A13,交易明細!$J$2:$J$526,"&lt;&gt;未平倉")</f>
        <v/>
      </c>
      <c r="K13" s="5">
        <f>IFERROR(AVERAGEIFS(交易明細!$K$2:$K$526,交易明細!$B$2:$B$526,$A13,交易明細!$J$2:$J$526,"&lt;&gt;未平倉"),0)</f>
        <v/>
      </c>
      <c r="L13" s="2">
        <f>COUNTIFS(交易明細!$B$2:$B$526,$A13,交易明細!$J$2:$J$526,"未平倉")</f>
        <v/>
      </c>
    </row>
    <row r="14">
      <c r="A14" s="2" t="inlineStr">
        <is>
          <t>VVV_USDT_PERP</t>
        </is>
      </c>
      <c r="B14" s="2">
        <f>COUNTIFS(交易明細!$B$2:$B$526,$A14)</f>
        <v/>
      </c>
      <c r="C14" s="2">
        <f>COUNTIFS(交易明細!$B$2:$B$526,$A14,交易明細!$C$2:$C$526,"做多")</f>
        <v/>
      </c>
      <c r="D14" s="2">
        <f>COUNTIFS(交易明細!$B$2:$B$526,$A14,交易明細!$C$2:$C$526,"做空")</f>
        <v/>
      </c>
      <c r="E14" s="2">
        <f>F14+G14+COUNTIFS(交易明細!$B$2:$B$526,$A14,交易明細!$J$2:$J$526,"時間出場")</f>
        <v/>
      </c>
      <c r="F14" s="2">
        <f>COUNTIFS(交易明細!$B$2:$B$526,$A14,交易明細!$J$2:$J$526,"止盈")</f>
        <v/>
      </c>
      <c r="G14" s="2">
        <f>COUNTIFS(交易明細!$B$2:$B$526,$A14,交易明細!$J$2:$J$526,"止損")</f>
        <v/>
      </c>
      <c r="H14" s="4">
        <f>IFERROR(F14/E14,0)</f>
        <v/>
      </c>
      <c r="I14" s="4">
        <f>IFERROR(AVERAGEIFS(交易明細!$L$2:$L$526,交易明細!$B$2:$B$526,$A14,交易明細!$J$2:$J$526,"&lt;&gt;未平倉"),0)</f>
        <v/>
      </c>
      <c r="J14" s="4">
        <f>SUMIFS(交易明細!$L$2:$L$526,交易明細!$B$2:$B$526,$A14,交易明細!$J$2:$J$526,"&lt;&gt;未平倉")</f>
        <v/>
      </c>
      <c r="K14" s="5">
        <f>IFERROR(AVERAGEIFS(交易明細!$K$2:$K$526,交易明細!$B$2:$B$526,$A14,交易明細!$J$2:$J$526,"&lt;&gt;未平倉"),0)</f>
        <v/>
      </c>
      <c r="L14" s="2">
        <f>COUNTIFS(交易明細!$B$2:$B$526,$A14,交易明細!$J$2:$J$526,"未平倉")</f>
        <v/>
      </c>
    </row>
    <row r="15">
      <c r="A15" s="2" t="inlineStr">
        <is>
          <t>LSK_USDT_PERP</t>
        </is>
      </c>
      <c r="B15" s="2">
        <f>COUNTIFS(交易明細!$B$2:$B$526,$A15)</f>
        <v/>
      </c>
      <c r="C15" s="2">
        <f>COUNTIFS(交易明細!$B$2:$B$526,$A15,交易明細!$C$2:$C$526,"做多")</f>
        <v/>
      </c>
      <c r="D15" s="2">
        <f>COUNTIFS(交易明細!$B$2:$B$526,$A15,交易明細!$C$2:$C$526,"做空")</f>
        <v/>
      </c>
      <c r="E15" s="2">
        <f>F15+G15+COUNTIFS(交易明細!$B$2:$B$526,$A15,交易明細!$J$2:$J$526,"時間出場")</f>
        <v/>
      </c>
      <c r="F15" s="2">
        <f>COUNTIFS(交易明細!$B$2:$B$526,$A15,交易明細!$J$2:$J$526,"止盈")</f>
        <v/>
      </c>
      <c r="G15" s="2">
        <f>COUNTIFS(交易明細!$B$2:$B$526,$A15,交易明細!$J$2:$J$526,"止損")</f>
        <v/>
      </c>
      <c r="H15" s="4">
        <f>IFERROR(F15/E15,0)</f>
        <v/>
      </c>
      <c r="I15" s="4">
        <f>IFERROR(AVERAGEIFS(交易明細!$L$2:$L$526,交易明細!$B$2:$B$526,$A15,交易明細!$J$2:$J$526,"&lt;&gt;未平倉"),0)</f>
        <v/>
      </c>
      <c r="J15" s="4">
        <f>SUMIFS(交易明細!$L$2:$L$526,交易明細!$B$2:$B$526,$A15,交易明細!$J$2:$J$526,"&lt;&gt;未平倉")</f>
        <v/>
      </c>
      <c r="K15" s="5">
        <f>IFERROR(AVERAGEIFS(交易明細!$K$2:$K$526,交易明細!$B$2:$B$526,$A15,交易明細!$J$2:$J$526,"&lt;&gt;未平倉"),0)</f>
        <v/>
      </c>
      <c r="L15" s="2">
        <f>COUNTIFS(交易明細!$B$2:$B$526,$A15,交易明細!$J$2:$J$526,"未平倉")</f>
        <v/>
      </c>
    </row>
    <row r="16">
      <c r="A16" s="2" t="inlineStr">
        <is>
          <t>UAI_USDT_PERP</t>
        </is>
      </c>
      <c r="B16" s="2">
        <f>COUNTIFS(交易明細!$B$2:$B$526,$A16)</f>
        <v/>
      </c>
      <c r="C16" s="2">
        <f>COUNTIFS(交易明細!$B$2:$B$526,$A16,交易明細!$C$2:$C$526,"做多")</f>
        <v/>
      </c>
      <c r="D16" s="2">
        <f>COUNTIFS(交易明細!$B$2:$B$526,$A16,交易明細!$C$2:$C$526,"做空")</f>
        <v/>
      </c>
      <c r="E16" s="2">
        <f>F16+G16+COUNTIFS(交易明細!$B$2:$B$526,$A16,交易明細!$J$2:$J$526,"時間出場")</f>
        <v/>
      </c>
      <c r="F16" s="2">
        <f>COUNTIFS(交易明細!$B$2:$B$526,$A16,交易明細!$J$2:$J$526,"止盈")</f>
        <v/>
      </c>
      <c r="G16" s="2">
        <f>COUNTIFS(交易明細!$B$2:$B$526,$A16,交易明細!$J$2:$J$526,"止損")</f>
        <v/>
      </c>
      <c r="H16" s="4">
        <f>IFERROR(F16/E16,0)</f>
        <v/>
      </c>
      <c r="I16" s="4">
        <f>IFERROR(AVERAGEIFS(交易明細!$L$2:$L$526,交易明細!$B$2:$B$526,$A16,交易明細!$J$2:$J$526,"&lt;&gt;未平倉"),0)</f>
        <v/>
      </c>
      <c r="J16" s="4">
        <f>SUMIFS(交易明細!$L$2:$L$526,交易明細!$B$2:$B$526,$A16,交易明細!$J$2:$J$526,"&lt;&gt;未平倉")</f>
        <v/>
      </c>
      <c r="K16" s="5">
        <f>IFERROR(AVERAGEIFS(交易明細!$K$2:$K$526,交易明細!$B$2:$B$526,$A16,交易明細!$J$2:$J$526,"&lt;&gt;未平倉"),0)</f>
        <v/>
      </c>
      <c r="L16" s="2">
        <f>COUNTIFS(交易明細!$B$2:$B$526,$A16,交易明細!$J$2:$J$526,"未平倉")</f>
        <v/>
      </c>
    </row>
    <row r="17">
      <c r="A17" s="2" t="inlineStr">
        <is>
          <t>BULLA_USDT_PERP</t>
        </is>
      </c>
      <c r="B17" s="2">
        <f>COUNTIFS(交易明細!$B$2:$B$526,$A17)</f>
        <v/>
      </c>
      <c r="C17" s="2">
        <f>COUNTIFS(交易明細!$B$2:$B$526,$A17,交易明細!$C$2:$C$526,"做多")</f>
        <v/>
      </c>
      <c r="D17" s="2">
        <f>COUNTIFS(交易明細!$B$2:$B$526,$A17,交易明細!$C$2:$C$526,"做空")</f>
        <v/>
      </c>
      <c r="E17" s="2">
        <f>F17+G17+COUNTIFS(交易明細!$B$2:$B$526,$A17,交易明細!$J$2:$J$526,"時間出場")</f>
        <v/>
      </c>
      <c r="F17" s="2">
        <f>COUNTIFS(交易明細!$B$2:$B$526,$A17,交易明細!$J$2:$J$526,"止盈")</f>
        <v/>
      </c>
      <c r="G17" s="2">
        <f>COUNTIFS(交易明細!$B$2:$B$526,$A17,交易明細!$J$2:$J$526,"止損")</f>
        <v/>
      </c>
      <c r="H17" s="4">
        <f>IFERROR(F17/E17,0)</f>
        <v/>
      </c>
      <c r="I17" s="4">
        <f>IFERROR(AVERAGEIFS(交易明細!$L$2:$L$526,交易明細!$B$2:$B$526,$A17,交易明細!$J$2:$J$526,"&lt;&gt;未平倉"),0)</f>
        <v/>
      </c>
      <c r="J17" s="4">
        <f>SUMIFS(交易明細!$L$2:$L$526,交易明細!$B$2:$B$526,$A17,交易明細!$J$2:$J$526,"&lt;&gt;未平倉")</f>
        <v/>
      </c>
      <c r="K17" s="5">
        <f>IFERROR(AVERAGEIFS(交易明細!$K$2:$K$526,交易明細!$B$2:$B$526,$A17,交易明細!$J$2:$J$526,"&lt;&gt;未平倉"),0)</f>
        <v/>
      </c>
      <c r="L17" s="2">
        <f>COUNTIFS(交易明細!$B$2:$B$526,$A17,交易明細!$J$2:$J$526,"未平倉")</f>
        <v/>
      </c>
    </row>
    <row r="18">
      <c r="A18" s="2" t="inlineStr">
        <is>
          <t>HEMI_USDT_PERP</t>
        </is>
      </c>
      <c r="B18" s="2">
        <f>COUNTIFS(交易明細!$B$2:$B$526,$A18)</f>
        <v/>
      </c>
      <c r="C18" s="2">
        <f>COUNTIFS(交易明細!$B$2:$B$526,$A18,交易明細!$C$2:$C$526,"做多")</f>
        <v/>
      </c>
      <c r="D18" s="2">
        <f>COUNTIFS(交易明細!$B$2:$B$526,$A18,交易明細!$C$2:$C$526,"做空")</f>
        <v/>
      </c>
      <c r="E18" s="2">
        <f>F18+G18+COUNTIFS(交易明細!$B$2:$B$526,$A18,交易明細!$J$2:$J$526,"時間出場")</f>
        <v/>
      </c>
      <c r="F18" s="2">
        <f>COUNTIFS(交易明細!$B$2:$B$526,$A18,交易明細!$J$2:$J$526,"止盈")</f>
        <v/>
      </c>
      <c r="G18" s="2">
        <f>COUNTIFS(交易明細!$B$2:$B$526,$A18,交易明細!$J$2:$J$526,"止損")</f>
        <v/>
      </c>
      <c r="H18" s="4">
        <f>IFERROR(F18/E18,0)</f>
        <v/>
      </c>
      <c r="I18" s="4">
        <f>IFERROR(AVERAGEIFS(交易明細!$L$2:$L$526,交易明細!$B$2:$B$526,$A18,交易明細!$J$2:$J$526,"&lt;&gt;未平倉"),0)</f>
        <v/>
      </c>
      <c r="J18" s="4">
        <f>SUMIFS(交易明細!$L$2:$L$526,交易明細!$B$2:$B$526,$A18,交易明細!$J$2:$J$526,"&lt;&gt;未平倉")</f>
        <v/>
      </c>
      <c r="K18" s="5">
        <f>IFERROR(AVERAGEIFS(交易明細!$K$2:$K$526,交易明細!$B$2:$B$526,$A18,交易明細!$J$2:$J$526,"&lt;&gt;未平倉"),0)</f>
        <v/>
      </c>
      <c r="L18" s="2">
        <f>COUNTIFS(交易明細!$B$2:$B$526,$A18,交易明細!$J$2:$J$526,"未平倉")</f>
        <v/>
      </c>
    </row>
    <row r="19">
      <c r="A19" s="2" t="inlineStr">
        <is>
          <t>RAY_USDT_PERP</t>
        </is>
      </c>
      <c r="B19" s="2">
        <f>COUNTIFS(交易明細!$B$2:$B$526,$A19)</f>
        <v/>
      </c>
      <c r="C19" s="2">
        <f>COUNTIFS(交易明細!$B$2:$B$526,$A19,交易明細!$C$2:$C$526,"做多")</f>
        <v/>
      </c>
      <c r="D19" s="2">
        <f>COUNTIFS(交易明細!$B$2:$B$526,$A19,交易明細!$C$2:$C$526,"做空")</f>
        <v/>
      </c>
      <c r="E19" s="2">
        <f>F19+G19+COUNTIFS(交易明細!$B$2:$B$526,$A19,交易明細!$J$2:$J$526,"時間出場")</f>
        <v/>
      </c>
      <c r="F19" s="2">
        <f>COUNTIFS(交易明細!$B$2:$B$526,$A19,交易明細!$J$2:$J$526,"止盈")</f>
        <v/>
      </c>
      <c r="G19" s="2">
        <f>COUNTIFS(交易明細!$B$2:$B$526,$A19,交易明細!$J$2:$J$526,"止損")</f>
        <v/>
      </c>
      <c r="H19" s="4">
        <f>IFERROR(F19/E19,0)</f>
        <v/>
      </c>
      <c r="I19" s="4">
        <f>IFERROR(AVERAGEIFS(交易明細!$L$2:$L$526,交易明細!$B$2:$B$526,$A19,交易明細!$J$2:$J$526,"&lt;&gt;未平倉"),0)</f>
        <v/>
      </c>
      <c r="J19" s="4">
        <f>SUMIFS(交易明細!$L$2:$L$526,交易明細!$B$2:$B$526,$A19,交易明細!$J$2:$J$526,"&lt;&gt;未平倉")</f>
        <v/>
      </c>
      <c r="K19" s="5">
        <f>IFERROR(AVERAGEIFS(交易明細!$K$2:$K$526,交易明細!$B$2:$B$526,$A19,交易明細!$J$2:$J$526,"&lt;&gt;未平倉"),0)</f>
        <v/>
      </c>
      <c r="L19" s="2">
        <f>COUNTIFS(交易明細!$B$2:$B$526,$A19,交易明細!$J$2:$J$526,"未平倉")</f>
        <v/>
      </c>
    </row>
    <row r="20">
      <c r="A20" s="2" t="inlineStr">
        <is>
          <t>INJ_USDT_PERP</t>
        </is>
      </c>
      <c r="B20" s="2">
        <f>COUNTIFS(交易明細!$B$2:$B$526,$A20)</f>
        <v/>
      </c>
      <c r="C20" s="2">
        <f>COUNTIFS(交易明細!$B$2:$B$526,$A20,交易明細!$C$2:$C$526,"做多")</f>
        <v/>
      </c>
      <c r="D20" s="2">
        <f>COUNTIFS(交易明細!$B$2:$B$526,$A20,交易明細!$C$2:$C$526,"做空")</f>
        <v/>
      </c>
      <c r="E20" s="2">
        <f>F20+G20+COUNTIFS(交易明細!$B$2:$B$526,$A20,交易明細!$J$2:$J$526,"時間出場")</f>
        <v/>
      </c>
      <c r="F20" s="2">
        <f>COUNTIFS(交易明細!$B$2:$B$526,$A20,交易明細!$J$2:$J$526,"止盈")</f>
        <v/>
      </c>
      <c r="G20" s="2">
        <f>COUNTIFS(交易明細!$B$2:$B$526,$A20,交易明細!$J$2:$J$526,"止損")</f>
        <v/>
      </c>
      <c r="H20" s="4">
        <f>IFERROR(F20/E20,0)</f>
        <v/>
      </c>
      <c r="I20" s="4">
        <f>IFERROR(AVERAGEIFS(交易明細!$L$2:$L$526,交易明細!$B$2:$B$526,$A20,交易明細!$J$2:$J$526,"&lt;&gt;未平倉"),0)</f>
        <v/>
      </c>
      <c r="J20" s="4">
        <f>SUMIFS(交易明細!$L$2:$L$526,交易明細!$B$2:$B$526,$A20,交易明細!$J$2:$J$526,"&lt;&gt;未平倉")</f>
        <v/>
      </c>
      <c r="K20" s="5">
        <f>IFERROR(AVERAGEIFS(交易明細!$K$2:$K$526,交易明細!$B$2:$B$526,$A20,交易明細!$J$2:$J$526,"&lt;&gt;未平倉"),0)</f>
        <v/>
      </c>
      <c r="L20" s="2">
        <f>COUNTIFS(交易明細!$B$2:$B$526,$A20,交易明細!$J$2:$J$526,"未平倉")</f>
        <v/>
      </c>
    </row>
    <row r="21">
      <c r="A21" s="2" t="inlineStr">
        <is>
          <t>DASH_USDT_PERP</t>
        </is>
      </c>
      <c r="B21" s="2">
        <f>COUNTIFS(交易明細!$B$2:$B$526,$A21)</f>
        <v/>
      </c>
      <c r="C21" s="2">
        <f>COUNTIFS(交易明細!$B$2:$B$526,$A21,交易明細!$C$2:$C$526,"做多")</f>
        <v/>
      </c>
      <c r="D21" s="2">
        <f>COUNTIFS(交易明細!$B$2:$B$526,$A21,交易明細!$C$2:$C$526,"做空")</f>
        <v/>
      </c>
      <c r="E21" s="2">
        <f>F21+G21+COUNTIFS(交易明細!$B$2:$B$526,$A21,交易明細!$J$2:$J$526,"時間出場")</f>
        <v/>
      </c>
      <c r="F21" s="2">
        <f>COUNTIFS(交易明細!$B$2:$B$526,$A21,交易明細!$J$2:$J$526,"止盈")</f>
        <v/>
      </c>
      <c r="G21" s="2">
        <f>COUNTIFS(交易明細!$B$2:$B$526,$A21,交易明細!$J$2:$J$526,"止損")</f>
        <v/>
      </c>
      <c r="H21" s="4">
        <f>IFERROR(F21/E21,0)</f>
        <v/>
      </c>
      <c r="I21" s="4">
        <f>IFERROR(AVERAGEIFS(交易明細!$L$2:$L$526,交易明細!$B$2:$B$526,$A21,交易明細!$J$2:$J$526,"&lt;&gt;未平倉"),0)</f>
        <v/>
      </c>
      <c r="J21" s="4">
        <f>SUMIFS(交易明細!$L$2:$L$526,交易明細!$B$2:$B$526,$A21,交易明細!$J$2:$J$526,"&lt;&gt;未平倉")</f>
        <v/>
      </c>
      <c r="K21" s="5">
        <f>IFERROR(AVERAGEIFS(交易明細!$K$2:$K$526,交易明細!$B$2:$B$526,$A21,交易明細!$J$2:$J$526,"&lt;&gt;未平倉"),0)</f>
        <v/>
      </c>
      <c r="L21" s="2">
        <f>COUNTIFS(交易明細!$B$2:$B$526,$A21,交易明細!$J$2:$J$526,"未平倉")</f>
        <v/>
      </c>
    </row>
    <row r="22">
      <c r="A22" s="2" t="inlineStr">
        <is>
          <t>ZEC_USDT_PERP</t>
        </is>
      </c>
      <c r="B22" s="2">
        <f>COUNTIFS(交易明細!$B$2:$B$526,$A22)</f>
        <v/>
      </c>
      <c r="C22" s="2">
        <f>COUNTIFS(交易明細!$B$2:$B$526,$A22,交易明細!$C$2:$C$526,"做多")</f>
        <v/>
      </c>
      <c r="D22" s="2">
        <f>COUNTIFS(交易明細!$B$2:$B$526,$A22,交易明細!$C$2:$C$526,"做空")</f>
        <v/>
      </c>
      <c r="E22" s="2">
        <f>F22+G22+COUNTIFS(交易明細!$B$2:$B$526,$A22,交易明細!$J$2:$J$526,"時間出場")</f>
        <v/>
      </c>
      <c r="F22" s="2">
        <f>COUNTIFS(交易明細!$B$2:$B$526,$A22,交易明細!$J$2:$J$526,"止盈")</f>
        <v/>
      </c>
      <c r="G22" s="2">
        <f>COUNTIFS(交易明細!$B$2:$B$526,$A22,交易明細!$J$2:$J$526,"止損")</f>
        <v/>
      </c>
      <c r="H22" s="4">
        <f>IFERROR(F22/E22,0)</f>
        <v/>
      </c>
      <c r="I22" s="4">
        <f>IFERROR(AVERAGEIFS(交易明細!$L$2:$L$526,交易明細!$B$2:$B$526,$A22,交易明細!$J$2:$J$526,"&lt;&gt;未平倉"),0)</f>
        <v/>
      </c>
      <c r="J22" s="4">
        <f>SUMIFS(交易明細!$L$2:$L$526,交易明細!$B$2:$B$526,$A22,交易明細!$J$2:$J$526,"&lt;&gt;未平倉")</f>
        <v/>
      </c>
      <c r="K22" s="5">
        <f>IFERROR(AVERAGEIFS(交易明細!$K$2:$K$526,交易明細!$B$2:$B$526,$A22,交易明細!$J$2:$J$526,"&lt;&gt;未平倉"),0)</f>
        <v/>
      </c>
      <c r="L22" s="2">
        <f>COUNTIFS(交易明細!$B$2:$B$526,$A22,交易明細!$J$2:$J$526,"未平倉")</f>
        <v/>
      </c>
    </row>
    <row r="23">
      <c r="A23" s="2" t="inlineStr">
        <is>
          <t>ZAMA_USDT_PERP</t>
        </is>
      </c>
      <c r="B23" s="2">
        <f>COUNTIFS(交易明細!$B$2:$B$526,$A23)</f>
        <v/>
      </c>
      <c r="C23" s="2">
        <f>COUNTIFS(交易明細!$B$2:$B$526,$A23,交易明細!$C$2:$C$526,"做多")</f>
        <v/>
      </c>
      <c r="D23" s="2">
        <f>COUNTIFS(交易明細!$B$2:$B$526,$A23,交易明細!$C$2:$C$526,"做空")</f>
        <v/>
      </c>
      <c r="E23" s="2">
        <f>F23+G23+COUNTIFS(交易明細!$B$2:$B$526,$A23,交易明細!$J$2:$J$526,"時間出場")</f>
        <v/>
      </c>
      <c r="F23" s="2">
        <f>COUNTIFS(交易明細!$B$2:$B$526,$A23,交易明細!$J$2:$J$526,"止盈")</f>
        <v/>
      </c>
      <c r="G23" s="2">
        <f>COUNTIFS(交易明細!$B$2:$B$526,$A23,交易明細!$J$2:$J$526,"止損")</f>
        <v/>
      </c>
      <c r="H23" s="4">
        <f>IFERROR(F23/E23,0)</f>
        <v/>
      </c>
      <c r="I23" s="4">
        <f>IFERROR(AVERAGEIFS(交易明細!$L$2:$L$526,交易明細!$B$2:$B$526,$A23,交易明細!$J$2:$J$526,"&lt;&gt;未平倉"),0)</f>
        <v/>
      </c>
      <c r="J23" s="4">
        <f>SUMIFS(交易明細!$L$2:$L$526,交易明細!$B$2:$B$526,$A23,交易明細!$J$2:$J$526,"&lt;&gt;未平倉")</f>
        <v/>
      </c>
      <c r="K23" s="5">
        <f>IFERROR(AVERAGEIFS(交易明細!$K$2:$K$526,交易明細!$B$2:$B$526,$A23,交易明細!$J$2:$J$526,"&lt;&gt;未平倉"),0)</f>
        <v/>
      </c>
      <c r="L23" s="2">
        <f>COUNTIFS(交易明細!$B$2:$B$526,$A23,交易明細!$J$2:$J$526,"未平倉")</f>
        <v/>
      </c>
    </row>
    <row r="24">
      <c r="A24" s="2" t="inlineStr">
        <is>
          <t>WLD_USDT_PERP</t>
        </is>
      </c>
      <c r="B24" s="2">
        <f>COUNTIFS(交易明細!$B$2:$B$526,$A24)</f>
        <v/>
      </c>
      <c r="C24" s="2">
        <f>COUNTIFS(交易明細!$B$2:$B$526,$A24,交易明細!$C$2:$C$526,"做多")</f>
        <v/>
      </c>
      <c r="D24" s="2">
        <f>COUNTIFS(交易明細!$B$2:$B$526,$A24,交易明細!$C$2:$C$526,"做空")</f>
        <v/>
      </c>
      <c r="E24" s="2">
        <f>F24+G24+COUNTIFS(交易明細!$B$2:$B$526,$A24,交易明細!$J$2:$J$526,"時間出場")</f>
        <v/>
      </c>
      <c r="F24" s="2">
        <f>COUNTIFS(交易明細!$B$2:$B$526,$A24,交易明細!$J$2:$J$526,"止盈")</f>
        <v/>
      </c>
      <c r="G24" s="2">
        <f>COUNTIFS(交易明細!$B$2:$B$526,$A24,交易明細!$J$2:$J$526,"止損")</f>
        <v/>
      </c>
      <c r="H24" s="4">
        <f>IFERROR(F24/E24,0)</f>
        <v/>
      </c>
      <c r="I24" s="4">
        <f>IFERROR(AVERAGEIFS(交易明細!$L$2:$L$526,交易明細!$B$2:$B$526,$A24,交易明細!$J$2:$J$526,"&lt;&gt;未平倉"),0)</f>
        <v/>
      </c>
      <c r="J24" s="4">
        <f>SUMIFS(交易明細!$L$2:$L$526,交易明細!$B$2:$B$526,$A24,交易明細!$J$2:$J$526,"&lt;&gt;未平倉")</f>
        <v/>
      </c>
      <c r="K24" s="5">
        <f>IFERROR(AVERAGEIFS(交易明細!$K$2:$K$526,交易明細!$B$2:$B$526,$A24,交易明細!$J$2:$J$526,"&lt;&gt;未平倉"),0)</f>
        <v/>
      </c>
      <c r="L24" s="2">
        <f>COUNTIFS(交易明細!$B$2:$B$526,$A24,交易明細!$J$2:$J$526,"未平倉")</f>
        <v/>
      </c>
    </row>
    <row r="25">
      <c r="A25" s="2" t="inlineStr">
        <is>
          <t>XPL_USDT_PERP</t>
        </is>
      </c>
      <c r="B25" s="2">
        <f>COUNTIFS(交易明細!$B$2:$B$526,$A25)</f>
        <v/>
      </c>
      <c r="C25" s="2">
        <f>COUNTIFS(交易明細!$B$2:$B$526,$A25,交易明細!$C$2:$C$526,"做多")</f>
        <v/>
      </c>
      <c r="D25" s="2">
        <f>COUNTIFS(交易明細!$B$2:$B$526,$A25,交易明細!$C$2:$C$526,"做空")</f>
        <v/>
      </c>
      <c r="E25" s="2">
        <f>F25+G25+COUNTIFS(交易明細!$B$2:$B$526,$A25,交易明細!$J$2:$J$526,"時間出場")</f>
        <v/>
      </c>
      <c r="F25" s="2">
        <f>COUNTIFS(交易明細!$B$2:$B$526,$A25,交易明細!$J$2:$J$526,"止盈")</f>
        <v/>
      </c>
      <c r="G25" s="2">
        <f>COUNTIFS(交易明細!$B$2:$B$526,$A25,交易明細!$J$2:$J$526,"止損")</f>
        <v/>
      </c>
      <c r="H25" s="4">
        <f>IFERROR(F25/E25,0)</f>
        <v/>
      </c>
      <c r="I25" s="4">
        <f>IFERROR(AVERAGEIFS(交易明細!$L$2:$L$526,交易明細!$B$2:$B$526,$A25,交易明細!$J$2:$J$526,"&lt;&gt;未平倉"),0)</f>
        <v/>
      </c>
      <c r="J25" s="4">
        <f>SUMIFS(交易明細!$L$2:$L$526,交易明細!$B$2:$B$526,$A25,交易明細!$J$2:$J$526,"&lt;&gt;未平倉")</f>
        <v/>
      </c>
      <c r="K25" s="5">
        <f>IFERROR(AVERAGEIFS(交易明細!$K$2:$K$526,交易明細!$B$2:$B$526,$A25,交易明細!$J$2:$J$526,"&lt;&gt;未平倉"),0)</f>
        <v/>
      </c>
      <c r="L25" s="2">
        <f>COUNTIFS(交易明細!$B$2:$B$526,$A25,交易明細!$J$2:$J$526,"未平倉")</f>
        <v/>
      </c>
    </row>
    <row r="26">
      <c r="A26" s="2" t="inlineStr">
        <is>
          <t>PENGU_USDT_PERP</t>
        </is>
      </c>
      <c r="B26" s="2">
        <f>COUNTIFS(交易明細!$B$2:$B$526,$A26)</f>
        <v/>
      </c>
      <c r="C26" s="2">
        <f>COUNTIFS(交易明細!$B$2:$B$526,$A26,交易明細!$C$2:$C$526,"做多")</f>
        <v/>
      </c>
      <c r="D26" s="2">
        <f>COUNTIFS(交易明細!$B$2:$B$526,$A26,交易明細!$C$2:$C$526,"做空")</f>
        <v/>
      </c>
      <c r="E26" s="2">
        <f>F26+G26+COUNTIFS(交易明細!$B$2:$B$526,$A26,交易明細!$J$2:$J$526,"時間出場")</f>
        <v/>
      </c>
      <c r="F26" s="2">
        <f>COUNTIFS(交易明細!$B$2:$B$526,$A26,交易明細!$J$2:$J$526,"止盈")</f>
        <v/>
      </c>
      <c r="G26" s="2">
        <f>COUNTIFS(交易明細!$B$2:$B$526,$A26,交易明細!$J$2:$J$526,"止損")</f>
        <v/>
      </c>
      <c r="H26" s="4">
        <f>IFERROR(F26/E26,0)</f>
        <v/>
      </c>
      <c r="I26" s="4">
        <f>IFERROR(AVERAGEIFS(交易明細!$L$2:$L$526,交易明細!$B$2:$B$526,$A26,交易明細!$J$2:$J$526,"&lt;&gt;未平倉"),0)</f>
        <v/>
      </c>
      <c r="J26" s="4">
        <f>SUMIFS(交易明細!$L$2:$L$526,交易明細!$B$2:$B$526,$A26,交易明細!$J$2:$J$526,"&lt;&gt;未平倉")</f>
        <v/>
      </c>
      <c r="K26" s="5">
        <f>IFERROR(AVERAGEIFS(交易明細!$K$2:$K$526,交易明細!$B$2:$B$526,$A26,交易明細!$J$2:$J$526,"&lt;&gt;未平倉"),0)</f>
        <v/>
      </c>
      <c r="L26" s="2">
        <f>COUNTIFS(交易明細!$B$2:$B$526,$A26,交易明細!$J$2:$J$526,"未平倉")</f>
        <v/>
      </c>
    </row>
    <row r="27">
      <c r="A27" s="2" t="inlineStr">
        <is>
          <t>ONDO_USDT_PERP</t>
        </is>
      </c>
      <c r="B27" s="2">
        <f>COUNTIFS(交易明細!$B$2:$B$526,$A27)</f>
        <v/>
      </c>
      <c r="C27" s="2">
        <f>COUNTIFS(交易明細!$B$2:$B$526,$A27,交易明細!$C$2:$C$526,"做多")</f>
        <v/>
      </c>
      <c r="D27" s="2">
        <f>COUNTIFS(交易明細!$B$2:$B$526,$A27,交易明細!$C$2:$C$526,"做空")</f>
        <v/>
      </c>
      <c r="E27" s="2">
        <f>F27+G27+COUNTIFS(交易明細!$B$2:$B$526,$A27,交易明細!$J$2:$J$526,"時間出場")</f>
        <v/>
      </c>
      <c r="F27" s="2">
        <f>COUNTIFS(交易明細!$B$2:$B$526,$A27,交易明細!$J$2:$J$526,"止盈")</f>
        <v/>
      </c>
      <c r="G27" s="2">
        <f>COUNTIFS(交易明細!$B$2:$B$526,$A27,交易明細!$J$2:$J$526,"止損")</f>
        <v/>
      </c>
      <c r="H27" s="4">
        <f>IFERROR(F27/E27,0)</f>
        <v/>
      </c>
      <c r="I27" s="4">
        <f>IFERROR(AVERAGEIFS(交易明細!$L$2:$L$526,交易明細!$B$2:$B$526,$A27,交易明細!$J$2:$J$526,"&lt;&gt;未平倉"),0)</f>
        <v/>
      </c>
      <c r="J27" s="4">
        <f>SUMIFS(交易明細!$L$2:$L$526,交易明細!$B$2:$B$526,$A27,交易明細!$J$2:$J$526,"&lt;&gt;未平倉")</f>
        <v/>
      </c>
      <c r="K27" s="5">
        <f>IFERROR(AVERAGEIFS(交易明細!$K$2:$K$526,交易明細!$B$2:$B$526,$A27,交易明細!$J$2:$J$526,"&lt;&gt;未平倉"),0)</f>
        <v/>
      </c>
      <c r="L27" s="2">
        <f>COUNTIFS(交易明細!$B$2:$B$526,$A27,交易明細!$J$2:$J$526,"未平倉")</f>
        <v/>
      </c>
    </row>
    <row r="28">
      <c r="A28" s="2" t="inlineStr">
        <is>
          <t>SKR_USDT_PERP</t>
        </is>
      </c>
      <c r="B28" s="2">
        <f>COUNTIFS(交易明細!$B$2:$B$526,$A28)</f>
        <v/>
      </c>
      <c r="C28" s="2">
        <f>COUNTIFS(交易明細!$B$2:$B$526,$A28,交易明細!$C$2:$C$526,"做多")</f>
        <v/>
      </c>
      <c r="D28" s="2">
        <f>COUNTIFS(交易明細!$B$2:$B$526,$A28,交易明細!$C$2:$C$526,"做空")</f>
        <v/>
      </c>
      <c r="E28" s="2">
        <f>F28+G28+COUNTIFS(交易明細!$B$2:$B$526,$A28,交易明細!$J$2:$J$526,"時間出場")</f>
        <v/>
      </c>
      <c r="F28" s="2">
        <f>COUNTIFS(交易明細!$B$2:$B$526,$A28,交易明細!$J$2:$J$526,"止盈")</f>
        <v/>
      </c>
      <c r="G28" s="2">
        <f>COUNTIFS(交易明細!$B$2:$B$526,$A28,交易明細!$J$2:$J$526,"止損")</f>
        <v/>
      </c>
      <c r="H28" s="4">
        <f>IFERROR(F28/E28,0)</f>
        <v/>
      </c>
      <c r="I28" s="4">
        <f>IFERROR(AVERAGEIFS(交易明細!$L$2:$L$526,交易明細!$B$2:$B$526,$A28,交易明細!$J$2:$J$526,"&lt;&gt;未平倉"),0)</f>
        <v/>
      </c>
      <c r="J28" s="4">
        <f>SUMIFS(交易明細!$L$2:$L$526,交易明細!$B$2:$B$526,$A28,交易明細!$J$2:$J$526,"&lt;&gt;未平倉")</f>
        <v/>
      </c>
      <c r="K28" s="5">
        <f>IFERROR(AVERAGEIFS(交易明細!$K$2:$K$526,交易明細!$B$2:$B$526,$A28,交易明細!$J$2:$J$526,"&lt;&gt;未平倉"),0)</f>
        <v/>
      </c>
      <c r="L28" s="2">
        <f>COUNTIFS(交易明細!$B$2:$B$526,$A28,交易明細!$J$2:$J$526,"未平倉")</f>
        <v/>
      </c>
    </row>
    <row r="29">
      <c r="A29" s="2" t="inlineStr">
        <is>
          <t>IOST_USDT_PERP</t>
        </is>
      </c>
      <c r="B29" s="2">
        <f>COUNTIFS(交易明細!$B$2:$B$526,$A29)</f>
        <v/>
      </c>
      <c r="C29" s="2">
        <f>COUNTIFS(交易明細!$B$2:$B$526,$A29,交易明細!$C$2:$C$526,"做多")</f>
        <v/>
      </c>
      <c r="D29" s="2">
        <f>COUNTIFS(交易明細!$B$2:$B$526,$A29,交易明細!$C$2:$C$526,"做空")</f>
        <v/>
      </c>
      <c r="E29" s="2">
        <f>F29+G29+COUNTIFS(交易明細!$B$2:$B$526,$A29,交易明細!$J$2:$J$526,"時間出場")</f>
        <v/>
      </c>
      <c r="F29" s="2">
        <f>COUNTIFS(交易明細!$B$2:$B$526,$A29,交易明細!$J$2:$J$526,"止盈")</f>
        <v/>
      </c>
      <c r="G29" s="2">
        <f>COUNTIFS(交易明細!$B$2:$B$526,$A29,交易明細!$J$2:$J$526,"止損")</f>
        <v/>
      </c>
      <c r="H29" s="4">
        <f>IFERROR(F29/E29,0)</f>
        <v/>
      </c>
      <c r="I29" s="4">
        <f>IFERROR(AVERAGEIFS(交易明細!$L$2:$L$526,交易明細!$B$2:$B$526,$A29,交易明細!$J$2:$J$526,"&lt;&gt;未平倉"),0)</f>
        <v/>
      </c>
      <c r="J29" s="4">
        <f>SUMIFS(交易明細!$L$2:$L$526,交易明細!$B$2:$B$526,$A29,交易明細!$J$2:$J$526,"&lt;&gt;未平倉")</f>
        <v/>
      </c>
      <c r="K29" s="5">
        <f>IFERROR(AVERAGEIFS(交易明細!$K$2:$K$526,交易明細!$B$2:$B$526,$A29,交易明細!$J$2:$J$526,"&lt;&gt;未平倉"),0)</f>
        <v/>
      </c>
      <c r="L29" s="2">
        <f>COUNTIFS(交易明細!$B$2:$B$526,$A29,交易明細!$J$2:$J$526,"未平倉")</f>
        <v/>
      </c>
    </row>
    <row r="30">
      <c r="A30" s="2" t="inlineStr">
        <is>
          <t>AERO_USDT_PERP</t>
        </is>
      </c>
      <c r="B30" s="2">
        <f>COUNTIFS(交易明細!$B$2:$B$526,$A30)</f>
        <v/>
      </c>
      <c r="C30" s="2">
        <f>COUNTIFS(交易明細!$B$2:$B$526,$A30,交易明細!$C$2:$C$526,"做多")</f>
        <v/>
      </c>
      <c r="D30" s="2">
        <f>COUNTIFS(交易明細!$B$2:$B$526,$A30,交易明細!$C$2:$C$526,"做空")</f>
        <v/>
      </c>
      <c r="E30" s="2">
        <f>F30+G30+COUNTIFS(交易明細!$B$2:$B$526,$A30,交易明細!$J$2:$J$526,"時間出場")</f>
        <v/>
      </c>
      <c r="F30" s="2">
        <f>COUNTIFS(交易明細!$B$2:$B$526,$A30,交易明細!$J$2:$J$526,"止盈")</f>
        <v/>
      </c>
      <c r="G30" s="2">
        <f>COUNTIFS(交易明細!$B$2:$B$526,$A30,交易明細!$J$2:$J$526,"止損")</f>
        <v/>
      </c>
      <c r="H30" s="4">
        <f>IFERROR(F30/E30,0)</f>
        <v/>
      </c>
      <c r="I30" s="4">
        <f>IFERROR(AVERAGEIFS(交易明細!$L$2:$L$526,交易明細!$B$2:$B$526,$A30,交易明細!$J$2:$J$526,"&lt;&gt;未平倉"),0)</f>
        <v/>
      </c>
      <c r="J30" s="4">
        <f>SUMIFS(交易明細!$L$2:$L$526,交易明細!$B$2:$B$526,$A30,交易明細!$J$2:$J$526,"&lt;&gt;未平倉")</f>
        <v/>
      </c>
      <c r="K30" s="5">
        <f>IFERROR(AVERAGEIFS(交易明細!$K$2:$K$526,交易明細!$B$2:$B$526,$A30,交易明細!$J$2:$J$526,"&lt;&gt;未平倉"),0)</f>
        <v/>
      </c>
      <c r="L30" s="2">
        <f>COUNTIFS(交易明細!$B$2:$B$526,$A30,交易明細!$J$2:$J$526,"未平倉")</f>
        <v/>
      </c>
    </row>
    <row r="31">
      <c r="A31" s="2" t="inlineStr">
        <is>
          <t>LAB_USDT_PERP</t>
        </is>
      </c>
      <c r="B31" s="2">
        <f>COUNTIFS(交易明細!$B$2:$B$526,$A31)</f>
        <v/>
      </c>
      <c r="C31" s="2">
        <f>COUNTIFS(交易明細!$B$2:$B$526,$A31,交易明細!$C$2:$C$526,"做多")</f>
        <v/>
      </c>
      <c r="D31" s="2">
        <f>COUNTIFS(交易明細!$B$2:$B$526,$A31,交易明細!$C$2:$C$526,"做空")</f>
        <v/>
      </c>
      <c r="E31" s="2">
        <f>F31+G31+COUNTIFS(交易明細!$B$2:$B$526,$A31,交易明細!$J$2:$J$526,"時間出場")</f>
        <v/>
      </c>
      <c r="F31" s="2">
        <f>COUNTIFS(交易明細!$B$2:$B$526,$A31,交易明細!$J$2:$J$526,"止盈")</f>
        <v/>
      </c>
      <c r="G31" s="2">
        <f>COUNTIFS(交易明細!$B$2:$B$526,$A31,交易明細!$J$2:$J$526,"止損")</f>
        <v/>
      </c>
      <c r="H31" s="4">
        <f>IFERROR(F31/E31,0)</f>
        <v/>
      </c>
      <c r="I31" s="4">
        <f>IFERROR(AVERAGEIFS(交易明細!$L$2:$L$526,交易明細!$B$2:$B$526,$A31,交易明細!$J$2:$J$526,"&lt;&gt;未平倉"),0)</f>
        <v/>
      </c>
      <c r="J31" s="4">
        <f>SUMIFS(交易明細!$L$2:$L$526,交易明細!$B$2:$B$526,$A31,交易明細!$J$2:$J$526,"&lt;&gt;未平倉")</f>
        <v/>
      </c>
      <c r="K31" s="5">
        <f>IFERROR(AVERAGEIFS(交易明細!$K$2:$K$526,交易明細!$B$2:$B$526,$A31,交易明細!$J$2:$J$526,"&lt;&gt;未平倉"),0)</f>
        <v/>
      </c>
      <c r="L31" s="2">
        <f>COUNTIFS(交易明細!$B$2:$B$526,$A31,交易明細!$J$2:$J$526,"未平倉")</f>
        <v/>
      </c>
    </row>
    <row r="32">
      <c r="A32" s="2" t="inlineStr">
        <is>
          <t>BTW_USDT_PERP</t>
        </is>
      </c>
      <c r="B32" s="2">
        <f>COUNTIFS(交易明細!$B$2:$B$526,$A32)</f>
        <v/>
      </c>
      <c r="C32" s="2">
        <f>COUNTIFS(交易明細!$B$2:$B$526,$A32,交易明細!$C$2:$C$526,"做多")</f>
        <v/>
      </c>
      <c r="D32" s="2">
        <f>COUNTIFS(交易明細!$B$2:$B$526,$A32,交易明細!$C$2:$C$526,"做空")</f>
        <v/>
      </c>
      <c r="E32" s="2">
        <f>F32+G32+COUNTIFS(交易明細!$B$2:$B$526,$A32,交易明細!$J$2:$J$526,"時間出場")</f>
        <v/>
      </c>
      <c r="F32" s="2">
        <f>COUNTIFS(交易明細!$B$2:$B$526,$A32,交易明細!$J$2:$J$526,"止盈")</f>
        <v/>
      </c>
      <c r="G32" s="2">
        <f>COUNTIFS(交易明細!$B$2:$B$526,$A32,交易明細!$J$2:$J$526,"止損")</f>
        <v/>
      </c>
      <c r="H32" s="4">
        <f>IFERROR(F32/E32,0)</f>
        <v/>
      </c>
      <c r="I32" s="4">
        <f>IFERROR(AVERAGEIFS(交易明細!$L$2:$L$526,交易明細!$B$2:$B$526,$A32,交易明細!$J$2:$J$526,"&lt;&gt;未平倉"),0)</f>
        <v/>
      </c>
      <c r="J32" s="4">
        <f>SUMIFS(交易明細!$L$2:$L$526,交易明細!$B$2:$B$526,$A32,交易明細!$J$2:$J$526,"&lt;&gt;未平倉")</f>
        <v/>
      </c>
      <c r="K32" s="5">
        <f>IFERROR(AVERAGEIFS(交易明細!$K$2:$K$526,交易明細!$B$2:$B$526,$A32,交易明細!$J$2:$J$526,"&lt;&gt;未平倉"),0)</f>
        <v/>
      </c>
      <c r="L32" s="2">
        <f>COUNTIFS(交易明細!$B$2:$B$526,$A32,交易明細!$J$2:$J$526,"未平倉")</f>
        <v/>
      </c>
    </row>
    <row r="33">
      <c r="A33" s="2" t="inlineStr">
        <is>
          <t>AIN_USDT_PERP</t>
        </is>
      </c>
      <c r="B33" s="2">
        <f>COUNTIFS(交易明細!$B$2:$B$526,$A33)</f>
        <v/>
      </c>
      <c r="C33" s="2">
        <f>COUNTIFS(交易明細!$B$2:$B$526,$A33,交易明細!$C$2:$C$526,"做多")</f>
        <v/>
      </c>
      <c r="D33" s="2">
        <f>COUNTIFS(交易明細!$B$2:$B$526,$A33,交易明細!$C$2:$C$526,"做空")</f>
        <v/>
      </c>
      <c r="E33" s="2">
        <f>F33+G33+COUNTIFS(交易明細!$B$2:$B$526,$A33,交易明細!$J$2:$J$526,"時間出場")</f>
        <v/>
      </c>
      <c r="F33" s="2">
        <f>COUNTIFS(交易明細!$B$2:$B$526,$A33,交易明細!$J$2:$J$526,"止盈")</f>
        <v/>
      </c>
      <c r="G33" s="2">
        <f>COUNTIFS(交易明細!$B$2:$B$526,$A33,交易明細!$J$2:$J$526,"止損")</f>
        <v/>
      </c>
      <c r="H33" s="4">
        <f>IFERROR(F33/E33,0)</f>
        <v/>
      </c>
      <c r="I33" s="4">
        <f>IFERROR(AVERAGEIFS(交易明細!$L$2:$L$526,交易明細!$B$2:$B$526,$A33,交易明細!$J$2:$J$526,"&lt;&gt;未平倉"),0)</f>
        <v/>
      </c>
      <c r="J33" s="4">
        <f>SUMIFS(交易明細!$L$2:$L$526,交易明細!$B$2:$B$526,$A33,交易明細!$J$2:$J$526,"&lt;&gt;未平倉")</f>
        <v/>
      </c>
      <c r="K33" s="5">
        <f>IFERROR(AVERAGEIFS(交易明細!$K$2:$K$526,交易明細!$B$2:$B$526,$A33,交易明細!$J$2:$J$526,"&lt;&gt;未平倉"),0)</f>
        <v/>
      </c>
      <c r="L33" s="2">
        <f>COUNTIFS(交易明細!$B$2:$B$526,$A33,交易明細!$J$2:$J$526,"未平倉")</f>
        <v/>
      </c>
    </row>
    <row r="34">
      <c r="A34" s="2" t="inlineStr">
        <is>
          <t>NIL_USDT_PERP</t>
        </is>
      </c>
      <c r="B34" s="2">
        <f>COUNTIFS(交易明細!$B$2:$B$526,$A34)</f>
        <v/>
      </c>
      <c r="C34" s="2">
        <f>COUNTIFS(交易明細!$B$2:$B$526,$A34,交易明細!$C$2:$C$526,"做多")</f>
        <v/>
      </c>
      <c r="D34" s="2">
        <f>COUNTIFS(交易明細!$B$2:$B$526,$A34,交易明細!$C$2:$C$526,"做空")</f>
        <v/>
      </c>
      <c r="E34" s="2">
        <f>F34+G34+COUNTIFS(交易明細!$B$2:$B$526,$A34,交易明細!$J$2:$J$526,"時間出場")</f>
        <v/>
      </c>
      <c r="F34" s="2">
        <f>COUNTIFS(交易明細!$B$2:$B$526,$A34,交易明細!$J$2:$J$526,"止盈")</f>
        <v/>
      </c>
      <c r="G34" s="2">
        <f>COUNTIFS(交易明細!$B$2:$B$526,$A34,交易明細!$J$2:$J$526,"止損")</f>
        <v/>
      </c>
      <c r="H34" s="4">
        <f>IFERROR(F34/E34,0)</f>
        <v/>
      </c>
      <c r="I34" s="4">
        <f>IFERROR(AVERAGEIFS(交易明細!$L$2:$L$526,交易明細!$B$2:$B$526,$A34,交易明細!$J$2:$J$526,"&lt;&gt;未平倉"),0)</f>
        <v/>
      </c>
      <c r="J34" s="4">
        <f>SUMIFS(交易明細!$L$2:$L$526,交易明細!$B$2:$B$526,$A34,交易明細!$J$2:$J$526,"&lt;&gt;未平倉")</f>
        <v/>
      </c>
      <c r="K34" s="5">
        <f>IFERROR(AVERAGEIFS(交易明細!$K$2:$K$526,交易明細!$B$2:$B$526,$A34,交易明細!$J$2:$J$526,"&lt;&gt;未平倉"),0)</f>
        <v/>
      </c>
      <c r="L34" s="2">
        <f>COUNTIFS(交易明細!$B$2:$B$526,$A34,交易明細!$J$2:$J$526,"未平倉")</f>
        <v/>
      </c>
    </row>
    <row r="35">
      <c r="A35" s="2" t="inlineStr">
        <is>
          <t>FET_USDT_PERP</t>
        </is>
      </c>
      <c r="B35" s="2">
        <f>COUNTIFS(交易明細!$B$2:$B$526,$A35)</f>
        <v/>
      </c>
      <c r="C35" s="2">
        <f>COUNTIFS(交易明細!$B$2:$B$526,$A35,交易明細!$C$2:$C$526,"做多")</f>
        <v/>
      </c>
      <c r="D35" s="2">
        <f>COUNTIFS(交易明細!$B$2:$B$526,$A35,交易明細!$C$2:$C$526,"做空")</f>
        <v/>
      </c>
      <c r="E35" s="2">
        <f>F35+G35+COUNTIFS(交易明細!$B$2:$B$526,$A35,交易明細!$J$2:$J$526,"時間出場")</f>
        <v/>
      </c>
      <c r="F35" s="2">
        <f>COUNTIFS(交易明細!$B$2:$B$526,$A35,交易明細!$J$2:$J$526,"止盈")</f>
        <v/>
      </c>
      <c r="G35" s="2">
        <f>COUNTIFS(交易明細!$B$2:$B$526,$A35,交易明細!$J$2:$J$526,"止損")</f>
        <v/>
      </c>
      <c r="H35" s="4">
        <f>IFERROR(F35/E35,0)</f>
        <v/>
      </c>
      <c r="I35" s="4">
        <f>IFERROR(AVERAGEIFS(交易明細!$L$2:$L$526,交易明細!$B$2:$B$526,$A35,交易明細!$J$2:$J$526,"&lt;&gt;未平倉"),0)</f>
        <v/>
      </c>
      <c r="J35" s="4">
        <f>SUMIFS(交易明細!$L$2:$L$526,交易明細!$B$2:$B$526,$A35,交易明細!$J$2:$J$526,"&lt;&gt;未平倉")</f>
        <v/>
      </c>
      <c r="K35" s="5">
        <f>IFERROR(AVERAGEIFS(交易明細!$K$2:$K$526,交易明細!$B$2:$B$526,$A35,交易明細!$J$2:$J$526,"&lt;&gt;未平倉"),0)</f>
        <v/>
      </c>
      <c r="L35" s="2">
        <f>COUNTIFS(交易明細!$B$2:$B$526,$A35,交易明細!$J$2:$J$526,"未平倉")</f>
        <v/>
      </c>
    </row>
    <row r="36">
      <c r="A36" s="2" t="inlineStr">
        <is>
          <t>PHA_USDT_PERP</t>
        </is>
      </c>
      <c r="B36" s="2">
        <f>COUNTIFS(交易明細!$B$2:$B$526,$A36)</f>
        <v/>
      </c>
      <c r="C36" s="2">
        <f>COUNTIFS(交易明細!$B$2:$B$526,$A36,交易明細!$C$2:$C$526,"做多")</f>
        <v/>
      </c>
      <c r="D36" s="2">
        <f>COUNTIFS(交易明細!$B$2:$B$526,$A36,交易明細!$C$2:$C$526,"做空")</f>
        <v/>
      </c>
      <c r="E36" s="2">
        <f>F36+G36+COUNTIFS(交易明細!$B$2:$B$526,$A36,交易明細!$J$2:$J$526,"時間出場")</f>
        <v/>
      </c>
      <c r="F36" s="2">
        <f>COUNTIFS(交易明細!$B$2:$B$526,$A36,交易明細!$J$2:$J$526,"止盈")</f>
        <v/>
      </c>
      <c r="G36" s="2">
        <f>COUNTIFS(交易明細!$B$2:$B$526,$A36,交易明細!$J$2:$J$526,"止損")</f>
        <v/>
      </c>
      <c r="H36" s="4">
        <f>IFERROR(F36/E36,0)</f>
        <v/>
      </c>
      <c r="I36" s="4">
        <f>IFERROR(AVERAGEIFS(交易明細!$L$2:$L$526,交易明細!$B$2:$B$526,$A36,交易明細!$J$2:$J$526,"&lt;&gt;未平倉"),0)</f>
        <v/>
      </c>
      <c r="J36" s="4">
        <f>SUMIFS(交易明細!$L$2:$L$526,交易明細!$B$2:$B$526,$A36,交易明細!$J$2:$J$526,"&lt;&gt;未平倉")</f>
        <v/>
      </c>
      <c r="K36" s="5">
        <f>IFERROR(AVERAGEIFS(交易明細!$K$2:$K$526,交易明細!$B$2:$B$526,$A36,交易明細!$J$2:$J$526,"&lt;&gt;未平倉"),0)</f>
        <v/>
      </c>
      <c r="L36" s="2">
        <f>COUNTIFS(交易明細!$B$2:$B$526,$A36,交易明細!$J$2:$J$526,"未平倉")</f>
        <v/>
      </c>
    </row>
    <row r="37">
      <c r="A37" s="2" t="inlineStr">
        <is>
          <t>XMR_USDT_PERP</t>
        </is>
      </c>
      <c r="B37" s="2">
        <f>COUNTIFS(交易明細!$B$2:$B$526,$A37)</f>
        <v/>
      </c>
      <c r="C37" s="2">
        <f>COUNTIFS(交易明細!$B$2:$B$526,$A37,交易明細!$C$2:$C$526,"做多")</f>
        <v/>
      </c>
      <c r="D37" s="2">
        <f>COUNTIFS(交易明細!$B$2:$B$526,$A37,交易明細!$C$2:$C$526,"做空")</f>
        <v/>
      </c>
      <c r="E37" s="2">
        <f>F37+G37+COUNTIFS(交易明細!$B$2:$B$526,$A37,交易明細!$J$2:$J$526,"時間出場")</f>
        <v/>
      </c>
      <c r="F37" s="2">
        <f>COUNTIFS(交易明細!$B$2:$B$526,$A37,交易明細!$J$2:$J$526,"止盈")</f>
        <v/>
      </c>
      <c r="G37" s="2">
        <f>COUNTIFS(交易明細!$B$2:$B$526,$A37,交易明細!$J$2:$J$526,"止損")</f>
        <v/>
      </c>
      <c r="H37" s="4">
        <f>IFERROR(F37/E37,0)</f>
        <v/>
      </c>
      <c r="I37" s="4">
        <f>IFERROR(AVERAGEIFS(交易明細!$L$2:$L$526,交易明細!$B$2:$B$526,$A37,交易明細!$J$2:$J$526,"&lt;&gt;未平倉"),0)</f>
        <v/>
      </c>
      <c r="J37" s="4">
        <f>SUMIFS(交易明細!$L$2:$L$526,交易明細!$B$2:$B$526,$A37,交易明細!$J$2:$J$526,"&lt;&gt;未平倉")</f>
        <v/>
      </c>
      <c r="K37" s="5">
        <f>IFERROR(AVERAGEIFS(交易明細!$K$2:$K$526,交易明細!$B$2:$B$526,$A37,交易明細!$J$2:$J$526,"&lt;&gt;未平倉"),0)</f>
        <v/>
      </c>
      <c r="L37" s="2">
        <f>COUNTIFS(交易明細!$B$2:$B$526,$A37,交易明細!$J$2:$J$526,"未平倉")</f>
        <v/>
      </c>
    </row>
    <row r="38">
      <c r="A38" s="2" t="inlineStr">
        <is>
          <t>BTR_USDT_PERP</t>
        </is>
      </c>
      <c r="B38" s="2">
        <f>COUNTIFS(交易明細!$B$2:$B$526,$A38)</f>
        <v/>
      </c>
      <c r="C38" s="2">
        <f>COUNTIFS(交易明細!$B$2:$B$526,$A38,交易明細!$C$2:$C$526,"做多")</f>
        <v/>
      </c>
      <c r="D38" s="2">
        <f>COUNTIFS(交易明細!$B$2:$B$526,$A38,交易明細!$C$2:$C$526,"做空")</f>
        <v/>
      </c>
      <c r="E38" s="2">
        <f>F38+G38+COUNTIFS(交易明細!$B$2:$B$526,$A38,交易明細!$J$2:$J$526,"時間出場")</f>
        <v/>
      </c>
      <c r="F38" s="2">
        <f>COUNTIFS(交易明細!$B$2:$B$526,$A38,交易明細!$J$2:$J$526,"止盈")</f>
        <v/>
      </c>
      <c r="G38" s="2">
        <f>COUNTIFS(交易明細!$B$2:$B$526,$A38,交易明細!$J$2:$J$526,"止損")</f>
        <v/>
      </c>
      <c r="H38" s="4">
        <f>IFERROR(F38/E38,0)</f>
        <v/>
      </c>
      <c r="I38" s="4">
        <f>IFERROR(AVERAGEIFS(交易明細!$L$2:$L$526,交易明細!$B$2:$B$526,$A38,交易明細!$J$2:$J$526,"&lt;&gt;未平倉"),0)</f>
        <v/>
      </c>
      <c r="J38" s="4">
        <f>SUMIFS(交易明細!$L$2:$L$526,交易明細!$B$2:$B$526,$A38,交易明細!$J$2:$J$526,"&lt;&gt;未平倉")</f>
        <v/>
      </c>
      <c r="K38" s="5">
        <f>IFERROR(AVERAGEIFS(交易明細!$K$2:$K$526,交易明細!$B$2:$B$526,$A38,交易明細!$J$2:$J$526,"&lt;&gt;未平倉"),0)</f>
        <v/>
      </c>
      <c r="L38" s="2">
        <f>COUNTIFS(交易明細!$B$2:$B$526,$A38,交易明細!$J$2:$J$526,"未平倉")</f>
        <v/>
      </c>
    </row>
    <row r="39">
      <c r="A39" s="2" t="inlineStr">
        <is>
          <t>TAO_USDT_PERP</t>
        </is>
      </c>
      <c r="B39" s="2">
        <f>COUNTIFS(交易明細!$B$2:$B$526,$A39)</f>
        <v/>
      </c>
      <c r="C39" s="2">
        <f>COUNTIFS(交易明細!$B$2:$B$526,$A39,交易明細!$C$2:$C$526,"做多")</f>
        <v/>
      </c>
      <c r="D39" s="2">
        <f>COUNTIFS(交易明細!$B$2:$B$526,$A39,交易明細!$C$2:$C$526,"做空")</f>
        <v/>
      </c>
      <c r="E39" s="2">
        <f>F39+G39+COUNTIFS(交易明細!$B$2:$B$526,$A39,交易明細!$J$2:$J$526,"時間出場")</f>
        <v/>
      </c>
      <c r="F39" s="2">
        <f>COUNTIFS(交易明細!$B$2:$B$526,$A39,交易明細!$J$2:$J$526,"止盈")</f>
        <v/>
      </c>
      <c r="G39" s="2">
        <f>COUNTIFS(交易明細!$B$2:$B$526,$A39,交易明細!$J$2:$J$526,"止損")</f>
        <v/>
      </c>
      <c r="H39" s="4">
        <f>IFERROR(F39/E39,0)</f>
        <v/>
      </c>
      <c r="I39" s="4">
        <f>IFERROR(AVERAGEIFS(交易明細!$L$2:$L$526,交易明細!$B$2:$B$526,$A39,交易明細!$J$2:$J$526,"&lt;&gt;未平倉"),0)</f>
        <v/>
      </c>
      <c r="J39" s="4">
        <f>SUMIFS(交易明細!$L$2:$L$526,交易明細!$B$2:$B$526,$A39,交易明細!$J$2:$J$526,"&lt;&gt;未平倉")</f>
        <v/>
      </c>
      <c r="K39" s="5">
        <f>IFERROR(AVERAGEIFS(交易明細!$K$2:$K$526,交易明細!$B$2:$B$526,$A39,交易明細!$J$2:$J$526,"&lt;&gt;未平倉"),0)</f>
        <v/>
      </c>
      <c r="L39" s="2">
        <f>COUNTIFS(交易明細!$B$2:$B$526,$A39,交易明細!$J$2:$J$526,"未平倉")</f>
        <v/>
      </c>
    </row>
    <row r="40">
      <c r="A40" s="2" t="inlineStr">
        <is>
          <t>ICP_USDT_PERP</t>
        </is>
      </c>
      <c r="B40" s="2">
        <f>COUNTIFS(交易明細!$B$2:$B$526,$A40)</f>
        <v/>
      </c>
      <c r="C40" s="2">
        <f>COUNTIFS(交易明細!$B$2:$B$526,$A40,交易明細!$C$2:$C$526,"做多")</f>
        <v/>
      </c>
      <c r="D40" s="2">
        <f>COUNTIFS(交易明細!$B$2:$B$526,$A40,交易明細!$C$2:$C$526,"做空")</f>
        <v/>
      </c>
      <c r="E40" s="2">
        <f>F40+G40+COUNTIFS(交易明細!$B$2:$B$526,$A40,交易明細!$J$2:$J$526,"時間出場")</f>
        <v/>
      </c>
      <c r="F40" s="2">
        <f>COUNTIFS(交易明細!$B$2:$B$526,$A40,交易明細!$J$2:$J$526,"止盈")</f>
        <v/>
      </c>
      <c r="G40" s="2">
        <f>COUNTIFS(交易明細!$B$2:$B$526,$A40,交易明細!$J$2:$J$526,"止損")</f>
        <v/>
      </c>
      <c r="H40" s="4">
        <f>IFERROR(F40/E40,0)</f>
        <v/>
      </c>
      <c r="I40" s="4">
        <f>IFERROR(AVERAGEIFS(交易明細!$L$2:$L$526,交易明細!$B$2:$B$526,$A40,交易明細!$J$2:$J$526,"&lt;&gt;未平倉"),0)</f>
        <v/>
      </c>
      <c r="J40" s="4">
        <f>SUMIFS(交易明細!$L$2:$L$526,交易明細!$B$2:$B$526,$A40,交易明細!$J$2:$J$526,"&lt;&gt;未平倉")</f>
        <v/>
      </c>
      <c r="K40" s="5">
        <f>IFERROR(AVERAGEIFS(交易明細!$K$2:$K$526,交易明細!$B$2:$B$526,$A40,交易明細!$J$2:$J$526,"&lt;&gt;未平倉"),0)</f>
        <v/>
      </c>
      <c r="L40" s="2">
        <f>COUNTIFS(交易明細!$B$2:$B$526,$A40,交易明細!$J$2:$J$526,"未平倉")</f>
        <v/>
      </c>
    </row>
    <row r="41">
      <c r="A41" s="2" t="inlineStr">
        <is>
          <t>MET_USDT_PERP</t>
        </is>
      </c>
      <c r="B41" s="2">
        <f>COUNTIFS(交易明細!$B$2:$B$526,$A41)</f>
        <v/>
      </c>
      <c r="C41" s="2">
        <f>COUNTIFS(交易明細!$B$2:$B$526,$A41,交易明細!$C$2:$C$526,"做多")</f>
        <v/>
      </c>
      <c r="D41" s="2">
        <f>COUNTIFS(交易明細!$B$2:$B$526,$A41,交易明細!$C$2:$C$526,"做空")</f>
        <v/>
      </c>
      <c r="E41" s="2">
        <f>F41+G41+COUNTIFS(交易明細!$B$2:$B$526,$A41,交易明細!$J$2:$J$526,"時間出場")</f>
        <v/>
      </c>
      <c r="F41" s="2">
        <f>COUNTIFS(交易明細!$B$2:$B$526,$A41,交易明細!$J$2:$J$526,"止盈")</f>
        <v/>
      </c>
      <c r="G41" s="2">
        <f>COUNTIFS(交易明細!$B$2:$B$526,$A41,交易明細!$J$2:$J$526,"止損")</f>
        <v/>
      </c>
      <c r="H41" s="4">
        <f>IFERROR(F41/E41,0)</f>
        <v/>
      </c>
      <c r="I41" s="4">
        <f>IFERROR(AVERAGEIFS(交易明細!$L$2:$L$526,交易明細!$B$2:$B$526,$A41,交易明細!$J$2:$J$526,"&lt;&gt;未平倉"),0)</f>
        <v/>
      </c>
      <c r="J41" s="4">
        <f>SUMIFS(交易明細!$L$2:$L$526,交易明細!$B$2:$B$526,$A41,交易明細!$J$2:$J$526,"&lt;&gt;未平倉")</f>
        <v/>
      </c>
      <c r="K41" s="5">
        <f>IFERROR(AVERAGEIFS(交易明細!$K$2:$K$526,交易明細!$B$2:$B$526,$A41,交易明細!$J$2:$J$526,"&lt;&gt;未平倉"),0)</f>
        <v/>
      </c>
      <c r="L41" s="2">
        <f>COUNTIFS(交易明細!$B$2:$B$526,$A41,交易明細!$J$2:$J$526,"未平倉")</f>
        <v/>
      </c>
    </row>
    <row r="42">
      <c r="A42" s="2" t="inlineStr">
        <is>
          <t>FIL_USDT_PERP</t>
        </is>
      </c>
      <c r="B42" s="2">
        <f>COUNTIFS(交易明細!$B$2:$B$526,$A42)</f>
        <v/>
      </c>
      <c r="C42" s="2">
        <f>COUNTIFS(交易明細!$B$2:$B$526,$A42,交易明細!$C$2:$C$526,"做多")</f>
        <v/>
      </c>
      <c r="D42" s="2">
        <f>COUNTIFS(交易明細!$B$2:$B$526,$A42,交易明細!$C$2:$C$526,"做空")</f>
        <v/>
      </c>
      <c r="E42" s="2">
        <f>F42+G42+COUNTIFS(交易明細!$B$2:$B$526,$A42,交易明細!$J$2:$J$526,"時間出場")</f>
        <v/>
      </c>
      <c r="F42" s="2">
        <f>COUNTIFS(交易明細!$B$2:$B$526,$A42,交易明細!$J$2:$J$526,"止盈")</f>
        <v/>
      </c>
      <c r="G42" s="2">
        <f>COUNTIFS(交易明細!$B$2:$B$526,$A42,交易明細!$J$2:$J$526,"止損")</f>
        <v/>
      </c>
      <c r="H42" s="4">
        <f>IFERROR(F42/E42,0)</f>
        <v/>
      </c>
      <c r="I42" s="4">
        <f>IFERROR(AVERAGEIFS(交易明細!$L$2:$L$526,交易明細!$B$2:$B$526,$A42,交易明細!$J$2:$J$526,"&lt;&gt;未平倉"),0)</f>
        <v/>
      </c>
      <c r="J42" s="4">
        <f>SUMIFS(交易明細!$L$2:$L$526,交易明細!$B$2:$B$526,$A42,交易明細!$J$2:$J$526,"&lt;&gt;未平倉")</f>
        <v/>
      </c>
      <c r="K42" s="5">
        <f>IFERROR(AVERAGEIFS(交易明細!$K$2:$K$526,交易明細!$B$2:$B$526,$A42,交易明細!$J$2:$J$526,"&lt;&gt;未平倉"),0)</f>
        <v/>
      </c>
      <c r="L42" s="2">
        <f>COUNTIFS(交易明細!$B$2:$B$526,$A42,交易明細!$J$2:$J$526,"未平倉")</f>
        <v/>
      </c>
    </row>
    <row r="43">
      <c r="A43" s="2" t="inlineStr">
        <is>
          <t>GENIUS_USDT_PERP</t>
        </is>
      </c>
      <c r="B43" s="2">
        <f>COUNTIFS(交易明細!$B$2:$B$526,$A43)</f>
        <v/>
      </c>
      <c r="C43" s="2">
        <f>COUNTIFS(交易明細!$B$2:$B$526,$A43,交易明細!$C$2:$C$526,"做多")</f>
        <v/>
      </c>
      <c r="D43" s="2">
        <f>COUNTIFS(交易明細!$B$2:$B$526,$A43,交易明細!$C$2:$C$526,"做空")</f>
        <v/>
      </c>
      <c r="E43" s="2">
        <f>F43+G43+COUNTIFS(交易明細!$B$2:$B$526,$A43,交易明細!$J$2:$J$526,"時間出場")</f>
        <v/>
      </c>
      <c r="F43" s="2">
        <f>COUNTIFS(交易明細!$B$2:$B$526,$A43,交易明細!$J$2:$J$526,"止盈")</f>
        <v/>
      </c>
      <c r="G43" s="2">
        <f>COUNTIFS(交易明細!$B$2:$B$526,$A43,交易明細!$J$2:$J$526,"止損")</f>
        <v/>
      </c>
      <c r="H43" s="4">
        <f>IFERROR(F43/E43,0)</f>
        <v/>
      </c>
      <c r="I43" s="4">
        <f>IFERROR(AVERAGEIFS(交易明細!$L$2:$L$526,交易明細!$B$2:$B$526,$A43,交易明細!$J$2:$J$526,"&lt;&gt;未平倉"),0)</f>
        <v/>
      </c>
      <c r="J43" s="4">
        <f>SUMIFS(交易明細!$L$2:$L$526,交易明細!$B$2:$B$526,$A43,交易明細!$J$2:$J$526,"&lt;&gt;未平倉")</f>
        <v/>
      </c>
      <c r="K43" s="5">
        <f>IFERROR(AVERAGEIFS(交易明細!$K$2:$K$526,交易明細!$B$2:$B$526,$A43,交易明細!$J$2:$J$526,"&lt;&gt;未平倉"),0)</f>
        <v/>
      </c>
      <c r="L43" s="2">
        <f>COUNTIFS(交易明細!$B$2:$B$526,$A43,交易明細!$J$2:$J$526,"未平倉")</f>
        <v/>
      </c>
    </row>
    <row r="44">
      <c r="A44" s="2" t="inlineStr">
        <is>
          <t>PEPE_USDT_PERP</t>
        </is>
      </c>
      <c r="B44" s="2">
        <f>COUNTIFS(交易明細!$B$2:$B$526,$A44)</f>
        <v/>
      </c>
      <c r="C44" s="2">
        <f>COUNTIFS(交易明細!$B$2:$B$526,$A44,交易明細!$C$2:$C$526,"做多")</f>
        <v/>
      </c>
      <c r="D44" s="2">
        <f>COUNTIFS(交易明細!$B$2:$B$526,$A44,交易明細!$C$2:$C$526,"做空")</f>
        <v/>
      </c>
      <c r="E44" s="2">
        <f>F44+G44+COUNTIFS(交易明細!$B$2:$B$526,$A44,交易明細!$J$2:$J$526,"時間出場")</f>
        <v/>
      </c>
      <c r="F44" s="2">
        <f>COUNTIFS(交易明細!$B$2:$B$526,$A44,交易明細!$J$2:$J$526,"止盈")</f>
        <v/>
      </c>
      <c r="G44" s="2">
        <f>COUNTIFS(交易明細!$B$2:$B$526,$A44,交易明細!$J$2:$J$526,"止損")</f>
        <v/>
      </c>
      <c r="H44" s="4">
        <f>IFERROR(F44/E44,0)</f>
        <v/>
      </c>
      <c r="I44" s="4">
        <f>IFERROR(AVERAGEIFS(交易明細!$L$2:$L$526,交易明細!$B$2:$B$526,$A44,交易明細!$J$2:$J$526,"&lt;&gt;未平倉"),0)</f>
        <v/>
      </c>
      <c r="J44" s="4">
        <f>SUMIFS(交易明細!$L$2:$L$526,交易明細!$B$2:$B$526,$A44,交易明細!$J$2:$J$526,"&lt;&gt;未平倉")</f>
        <v/>
      </c>
      <c r="K44" s="5">
        <f>IFERROR(AVERAGEIFS(交易明細!$K$2:$K$526,交易明細!$B$2:$B$526,$A44,交易明細!$J$2:$J$526,"&lt;&gt;未平倉"),0)</f>
        <v/>
      </c>
      <c r="L44" s="2">
        <f>COUNTIFS(交易明細!$B$2:$B$526,$A44,交易明細!$J$2:$J$526,"未平倉")</f>
        <v/>
      </c>
    </row>
    <row r="45">
      <c r="A45" s="2" t="inlineStr">
        <is>
          <t>SUI_USDT_PERP</t>
        </is>
      </c>
      <c r="B45" s="2">
        <f>COUNTIFS(交易明細!$B$2:$B$526,$A45)</f>
        <v/>
      </c>
      <c r="C45" s="2">
        <f>COUNTIFS(交易明細!$B$2:$B$526,$A45,交易明細!$C$2:$C$526,"做多")</f>
        <v/>
      </c>
      <c r="D45" s="2">
        <f>COUNTIFS(交易明細!$B$2:$B$526,$A45,交易明細!$C$2:$C$526,"做空")</f>
        <v/>
      </c>
      <c r="E45" s="2">
        <f>F45+G45+COUNTIFS(交易明細!$B$2:$B$526,$A45,交易明細!$J$2:$J$526,"時間出場")</f>
        <v/>
      </c>
      <c r="F45" s="2">
        <f>COUNTIFS(交易明細!$B$2:$B$526,$A45,交易明細!$J$2:$J$526,"止盈")</f>
        <v/>
      </c>
      <c r="G45" s="2">
        <f>COUNTIFS(交易明細!$B$2:$B$526,$A45,交易明細!$J$2:$J$526,"止損")</f>
        <v/>
      </c>
      <c r="H45" s="4">
        <f>IFERROR(F45/E45,0)</f>
        <v/>
      </c>
      <c r="I45" s="4">
        <f>IFERROR(AVERAGEIFS(交易明細!$L$2:$L$526,交易明細!$B$2:$B$526,$A45,交易明細!$J$2:$J$526,"&lt;&gt;未平倉"),0)</f>
        <v/>
      </c>
      <c r="J45" s="4">
        <f>SUMIFS(交易明細!$L$2:$L$526,交易明細!$B$2:$B$526,$A45,交易明細!$J$2:$J$526,"&lt;&gt;未平倉")</f>
        <v/>
      </c>
      <c r="K45" s="5">
        <f>IFERROR(AVERAGEIFS(交易明細!$K$2:$K$526,交易明細!$B$2:$B$526,$A45,交易明細!$J$2:$J$526,"&lt;&gt;未平倉"),0)</f>
        <v/>
      </c>
      <c r="L45" s="2">
        <f>COUNTIFS(交易明細!$B$2:$B$526,$A45,交易明細!$J$2:$J$526,"未平倉")</f>
        <v/>
      </c>
    </row>
    <row r="46">
      <c r="A46" s="2" t="inlineStr">
        <is>
          <t>AVAX_USDT_PERP</t>
        </is>
      </c>
      <c r="B46" s="2">
        <f>COUNTIFS(交易明細!$B$2:$B$526,$A46)</f>
        <v/>
      </c>
      <c r="C46" s="2">
        <f>COUNTIFS(交易明細!$B$2:$B$526,$A46,交易明細!$C$2:$C$526,"做多")</f>
        <v/>
      </c>
      <c r="D46" s="2">
        <f>COUNTIFS(交易明細!$B$2:$B$526,$A46,交易明細!$C$2:$C$526,"做空")</f>
        <v/>
      </c>
      <c r="E46" s="2">
        <f>F46+G46+COUNTIFS(交易明細!$B$2:$B$526,$A46,交易明細!$J$2:$J$526,"時間出場")</f>
        <v/>
      </c>
      <c r="F46" s="2">
        <f>COUNTIFS(交易明細!$B$2:$B$526,$A46,交易明細!$J$2:$J$526,"止盈")</f>
        <v/>
      </c>
      <c r="G46" s="2">
        <f>COUNTIFS(交易明細!$B$2:$B$526,$A46,交易明細!$J$2:$J$526,"止損")</f>
        <v/>
      </c>
      <c r="H46" s="4">
        <f>IFERROR(F46/E46,0)</f>
        <v/>
      </c>
      <c r="I46" s="4">
        <f>IFERROR(AVERAGEIFS(交易明細!$L$2:$L$526,交易明細!$B$2:$B$526,$A46,交易明細!$J$2:$J$526,"&lt;&gt;未平倉"),0)</f>
        <v/>
      </c>
      <c r="J46" s="4">
        <f>SUMIFS(交易明細!$L$2:$L$526,交易明細!$B$2:$B$526,$A46,交易明細!$J$2:$J$526,"&lt;&gt;未平倉")</f>
        <v/>
      </c>
      <c r="K46" s="5">
        <f>IFERROR(AVERAGEIFS(交易明細!$K$2:$K$526,交易明細!$B$2:$B$526,$A46,交易明細!$J$2:$J$526,"&lt;&gt;未平倉"),0)</f>
        <v/>
      </c>
      <c r="L46" s="2">
        <f>COUNTIFS(交易明細!$B$2:$B$526,$A46,交易明細!$J$2:$J$526,"未平倉")</f>
        <v/>
      </c>
    </row>
    <row r="47">
      <c r="A47" s="2" t="inlineStr">
        <is>
          <t>DOGE_USDT_PERP</t>
        </is>
      </c>
      <c r="B47" s="2">
        <f>COUNTIFS(交易明細!$B$2:$B$526,$A47)</f>
        <v/>
      </c>
      <c r="C47" s="2">
        <f>COUNTIFS(交易明細!$B$2:$B$526,$A47,交易明細!$C$2:$C$526,"做多")</f>
        <v/>
      </c>
      <c r="D47" s="2">
        <f>COUNTIFS(交易明細!$B$2:$B$526,$A47,交易明細!$C$2:$C$526,"做空")</f>
        <v/>
      </c>
      <c r="E47" s="2">
        <f>F47+G47+COUNTIFS(交易明細!$B$2:$B$526,$A47,交易明細!$J$2:$J$526,"時間出場")</f>
        <v/>
      </c>
      <c r="F47" s="2">
        <f>COUNTIFS(交易明細!$B$2:$B$526,$A47,交易明細!$J$2:$J$526,"止盈")</f>
        <v/>
      </c>
      <c r="G47" s="2">
        <f>COUNTIFS(交易明細!$B$2:$B$526,$A47,交易明細!$J$2:$J$526,"止損")</f>
        <v/>
      </c>
      <c r="H47" s="4">
        <f>IFERROR(F47/E47,0)</f>
        <v/>
      </c>
      <c r="I47" s="4">
        <f>IFERROR(AVERAGEIFS(交易明細!$L$2:$L$526,交易明細!$B$2:$B$526,$A47,交易明細!$J$2:$J$526,"&lt;&gt;未平倉"),0)</f>
        <v/>
      </c>
      <c r="J47" s="4">
        <f>SUMIFS(交易明細!$L$2:$L$526,交易明細!$B$2:$B$526,$A47,交易明細!$J$2:$J$526,"&lt;&gt;未平倉")</f>
        <v/>
      </c>
      <c r="K47" s="5">
        <f>IFERROR(AVERAGEIFS(交易明細!$K$2:$K$526,交易明細!$B$2:$B$526,$A47,交易明細!$J$2:$J$526,"&lt;&gt;未平倉"),0)</f>
        <v/>
      </c>
      <c r="L47" s="2">
        <f>COUNTIFS(交易明細!$B$2:$B$526,$A47,交易明細!$J$2:$J$526,"未平倉")</f>
        <v/>
      </c>
    </row>
    <row r="48">
      <c r="A48" s="2" t="inlineStr">
        <is>
          <t>PYTH_USDT_PERP</t>
        </is>
      </c>
      <c r="B48" s="2">
        <f>COUNTIFS(交易明細!$B$2:$B$526,$A48)</f>
        <v/>
      </c>
      <c r="C48" s="2">
        <f>COUNTIFS(交易明細!$B$2:$B$526,$A48,交易明細!$C$2:$C$526,"做多")</f>
        <v/>
      </c>
      <c r="D48" s="2">
        <f>COUNTIFS(交易明細!$B$2:$B$526,$A48,交易明細!$C$2:$C$526,"做空")</f>
        <v/>
      </c>
      <c r="E48" s="2">
        <f>F48+G48+COUNTIFS(交易明細!$B$2:$B$526,$A48,交易明細!$J$2:$J$526,"時間出場")</f>
        <v/>
      </c>
      <c r="F48" s="2">
        <f>COUNTIFS(交易明細!$B$2:$B$526,$A48,交易明細!$J$2:$J$526,"止盈")</f>
        <v/>
      </c>
      <c r="G48" s="2">
        <f>COUNTIFS(交易明細!$B$2:$B$526,$A48,交易明細!$J$2:$J$526,"止損")</f>
        <v/>
      </c>
      <c r="H48" s="4">
        <f>IFERROR(F48/E48,0)</f>
        <v/>
      </c>
      <c r="I48" s="4">
        <f>IFERROR(AVERAGEIFS(交易明細!$L$2:$L$526,交易明細!$B$2:$B$526,$A48,交易明細!$J$2:$J$526,"&lt;&gt;未平倉"),0)</f>
        <v/>
      </c>
      <c r="J48" s="4">
        <f>SUMIFS(交易明細!$L$2:$L$526,交易明細!$B$2:$B$526,$A48,交易明細!$J$2:$J$526,"&lt;&gt;未平倉")</f>
        <v/>
      </c>
      <c r="K48" s="5">
        <f>IFERROR(AVERAGEIFS(交易明細!$K$2:$K$526,交易明細!$B$2:$B$526,$A48,交易明細!$J$2:$J$526,"&lt;&gt;未平倉"),0)</f>
        <v/>
      </c>
      <c r="L48" s="2">
        <f>COUNTIFS(交易明細!$B$2:$B$526,$A48,交易明細!$J$2:$J$526,"未平倉")</f>
        <v/>
      </c>
    </row>
    <row r="49">
      <c r="A49" s="2" t="inlineStr">
        <is>
          <t>QNT_USDT_PERP</t>
        </is>
      </c>
      <c r="B49" s="2">
        <f>COUNTIFS(交易明細!$B$2:$B$526,$A49)</f>
        <v/>
      </c>
      <c r="C49" s="2">
        <f>COUNTIFS(交易明細!$B$2:$B$526,$A49,交易明細!$C$2:$C$526,"做多")</f>
        <v/>
      </c>
      <c r="D49" s="2">
        <f>COUNTIFS(交易明細!$B$2:$B$526,$A49,交易明細!$C$2:$C$526,"做空")</f>
        <v/>
      </c>
      <c r="E49" s="2">
        <f>F49+G49+COUNTIFS(交易明細!$B$2:$B$526,$A49,交易明細!$J$2:$J$526,"時間出場")</f>
        <v/>
      </c>
      <c r="F49" s="2">
        <f>COUNTIFS(交易明細!$B$2:$B$526,$A49,交易明細!$J$2:$J$526,"止盈")</f>
        <v/>
      </c>
      <c r="G49" s="2">
        <f>COUNTIFS(交易明細!$B$2:$B$526,$A49,交易明細!$J$2:$J$526,"止損")</f>
        <v/>
      </c>
      <c r="H49" s="4">
        <f>IFERROR(F49/E49,0)</f>
        <v/>
      </c>
      <c r="I49" s="4">
        <f>IFERROR(AVERAGEIFS(交易明細!$L$2:$L$526,交易明細!$B$2:$B$526,$A49,交易明細!$J$2:$J$526,"&lt;&gt;未平倉"),0)</f>
        <v/>
      </c>
      <c r="J49" s="4">
        <f>SUMIFS(交易明細!$L$2:$L$526,交易明細!$B$2:$B$526,$A49,交易明細!$J$2:$J$526,"&lt;&gt;未平倉")</f>
        <v/>
      </c>
      <c r="K49" s="5">
        <f>IFERROR(AVERAGEIFS(交易明細!$K$2:$K$526,交易明細!$B$2:$B$526,$A49,交易明細!$J$2:$J$526,"&lt;&gt;未平倉"),0)</f>
        <v/>
      </c>
      <c r="L49" s="2">
        <f>COUNTIFS(交易明細!$B$2:$B$526,$A49,交易明細!$J$2:$J$526,"未平倉")</f>
        <v/>
      </c>
    </row>
    <row r="50">
      <c r="A50" s="2" t="inlineStr">
        <is>
          <t>SKYAI_USDT_PERP</t>
        </is>
      </c>
      <c r="B50" s="2">
        <f>COUNTIFS(交易明細!$B$2:$B$526,$A50)</f>
        <v/>
      </c>
      <c r="C50" s="2">
        <f>COUNTIFS(交易明細!$B$2:$B$526,$A50,交易明細!$C$2:$C$526,"做多")</f>
        <v/>
      </c>
      <c r="D50" s="2">
        <f>COUNTIFS(交易明細!$B$2:$B$526,$A50,交易明細!$C$2:$C$526,"做空")</f>
        <v/>
      </c>
      <c r="E50" s="2">
        <f>F50+G50+COUNTIFS(交易明細!$B$2:$B$526,$A50,交易明細!$J$2:$J$526,"時間出場")</f>
        <v/>
      </c>
      <c r="F50" s="2">
        <f>COUNTIFS(交易明細!$B$2:$B$526,$A50,交易明細!$J$2:$J$526,"止盈")</f>
        <v/>
      </c>
      <c r="G50" s="2">
        <f>COUNTIFS(交易明細!$B$2:$B$526,$A50,交易明細!$J$2:$J$526,"止損")</f>
        <v/>
      </c>
      <c r="H50" s="4">
        <f>IFERROR(F50/E50,0)</f>
        <v/>
      </c>
      <c r="I50" s="4">
        <f>IFERROR(AVERAGEIFS(交易明細!$L$2:$L$526,交易明細!$B$2:$B$526,$A50,交易明細!$J$2:$J$526,"&lt;&gt;未平倉"),0)</f>
        <v/>
      </c>
      <c r="J50" s="4">
        <f>SUMIFS(交易明細!$L$2:$L$526,交易明細!$B$2:$B$526,$A50,交易明細!$J$2:$J$526,"&lt;&gt;未平倉")</f>
        <v/>
      </c>
      <c r="K50" s="5">
        <f>IFERROR(AVERAGEIFS(交易明細!$K$2:$K$526,交易明細!$B$2:$B$526,$A50,交易明細!$J$2:$J$526,"&lt;&gt;未平倉"),0)</f>
        <v/>
      </c>
      <c r="L50" s="2">
        <f>COUNTIFS(交易明細!$B$2:$B$526,$A50,交易明細!$J$2:$J$526,"未平倉")</f>
        <v/>
      </c>
    </row>
    <row r="51">
      <c r="A51" s="2" t="inlineStr">
        <is>
          <t>ACE_USDT_PERP</t>
        </is>
      </c>
      <c r="B51" s="2">
        <f>COUNTIFS(交易明細!$B$2:$B$526,$A51)</f>
        <v/>
      </c>
      <c r="C51" s="2">
        <f>COUNTIFS(交易明細!$B$2:$B$526,$A51,交易明細!$C$2:$C$526,"做多")</f>
        <v/>
      </c>
      <c r="D51" s="2">
        <f>COUNTIFS(交易明細!$B$2:$B$526,$A51,交易明細!$C$2:$C$526,"做空")</f>
        <v/>
      </c>
      <c r="E51" s="2">
        <f>F51+G51+COUNTIFS(交易明細!$B$2:$B$526,$A51,交易明細!$J$2:$J$526,"時間出場")</f>
        <v/>
      </c>
      <c r="F51" s="2">
        <f>COUNTIFS(交易明細!$B$2:$B$526,$A51,交易明細!$J$2:$J$526,"止盈")</f>
        <v/>
      </c>
      <c r="G51" s="2">
        <f>COUNTIFS(交易明細!$B$2:$B$526,$A51,交易明細!$J$2:$J$526,"止損")</f>
        <v/>
      </c>
      <c r="H51" s="4">
        <f>IFERROR(F51/E51,0)</f>
        <v/>
      </c>
      <c r="I51" s="4">
        <f>IFERROR(AVERAGEIFS(交易明細!$L$2:$L$526,交易明細!$B$2:$B$526,$A51,交易明細!$J$2:$J$526,"&lt;&gt;未平倉"),0)</f>
        <v/>
      </c>
      <c r="J51" s="4">
        <f>SUMIFS(交易明細!$L$2:$L$526,交易明細!$B$2:$B$526,$A51,交易明細!$J$2:$J$526,"&lt;&gt;未平倉")</f>
        <v/>
      </c>
      <c r="K51" s="5">
        <f>IFERROR(AVERAGEIFS(交易明細!$K$2:$K$526,交易明細!$B$2:$B$526,$A51,交易明細!$J$2:$J$526,"&lt;&gt;未平倉"),0)</f>
        <v/>
      </c>
      <c r="L51" s="2">
        <f>COUNTIFS(交易明細!$B$2:$B$526,$A51,交易明細!$J$2:$J$526,"未平倉")</f>
        <v/>
      </c>
    </row>
    <row r="52">
      <c r="A52" s="2" t="inlineStr">
        <is>
          <t>EDGE_USDT_PERP</t>
        </is>
      </c>
      <c r="B52" s="2">
        <f>COUNTIFS(交易明細!$B$2:$B$526,$A52)</f>
        <v/>
      </c>
      <c r="C52" s="2">
        <f>COUNTIFS(交易明細!$B$2:$B$526,$A52,交易明細!$C$2:$C$526,"做多")</f>
        <v/>
      </c>
      <c r="D52" s="2">
        <f>COUNTIFS(交易明細!$B$2:$B$526,$A52,交易明細!$C$2:$C$526,"做空")</f>
        <v/>
      </c>
      <c r="E52" s="2">
        <f>F52+G52+COUNTIFS(交易明細!$B$2:$B$526,$A52,交易明細!$J$2:$J$526,"時間出場")</f>
        <v/>
      </c>
      <c r="F52" s="2">
        <f>COUNTIFS(交易明細!$B$2:$B$526,$A52,交易明細!$J$2:$J$526,"止盈")</f>
        <v/>
      </c>
      <c r="G52" s="2">
        <f>COUNTIFS(交易明細!$B$2:$B$526,$A52,交易明細!$J$2:$J$526,"止損")</f>
        <v/>
      </c>
      <c r="H52" s="4">
        <f>IFERROR(F52/E52,0)</f>
        <v/>
      </c>
      <c r="I52" s="4">
        <f>IFERROR(AVERAGEIFS(交易明細!$L$2:$L$526,交易明細!$B$2:$B$526,$A52,交易明細!$J$2:$J$526,"&lt;&gt;未平倉"),0)</f>
        <v/>
      </c>
      <c r="J52" s="4">
        <f>SUMIFS(交易明細!$L$2:$L$526,交易明細!$B$2:$B$526,$A52,交易明細!$J$2:$J$526,"&lt;&gt;未平倉")</f>
        <v/>
      </c>
      <c r="K52" s="5">
        <f>IFERROR(AVERAGEIFS(交易明細!$K$2:$K$526,交易明細!$B$2:$B$526,$A52,交易明細!$J$2:$J$526,"&lt;&gt;未平倉"),0)</f>
        <v/>
      </c>
      <c r="L52" s="2">
        <f>COUNTIFS(交易明細!$B$2:$B$526,$A52,交易明細!$J$2:$J$526,"未平倉")</f>
        <v/>
      </c>
    </row>
    <row r="53">
      <c r="A53" s="2" t="inlineStr">
        <is>
          <t>4_USDT_PERP</t>
        </is>
      </c>
      <c r="B53" s="2">
        <f>COUNTIFS(交易明細!$B$2:$B$526,$A53)</f>
        <v/>
      </c>
      <c r="C53" s="2">
        <f>COUNTIFS(交易明細!$B$2:$B$526,$A53,交易明細!$C$2:$C$526,"做多")</f>
        <v/>
      </c>
      <c r="D53" s="2">
        <f>COUNTIFS(交易明細!$B$2:$B$526,$A53,交易明細!$C$2:$C$526,"做空")</f>
        <v/>
      </c>
      <c r="E53" s="2">
        <f>F53+G53+COUNTIFS(交易明細!$B$2:$B$526,$A53,交易明細!$J$2:$J$526,"時間出場")</f>
        <v/>
      </c>
      <c r="F53" s="2">
        <f>COUNTIFS(交易明細!$B$2:$B$526,$A53,交易明細!$J$2:$J$526,"止盈")</f>
        <v/>
      </c>
      <c r="G53" s="2">
        <f>COUNTIFS(交易明細!$B$2:$B$526,$A53,交易明細!$J$2:$J$526,"止損")</f>
        <v/>
      </c>
      <c r="H53" s="4">
        <f>IFERROR(F53/E53,0)</f>
        <v/>
      </c>
      <c r="I53" s="4">
        <f>IFERROR(AVERAGEIFS(交易明細!$L$2:$L$526,交易明細!$B$2:$B$526,$A53,交易明細!$J$2:$J$526,"&lt;&gt;未平倉"),0)</f>
        <v/>
      </c>
      <c r="J53" s="4">
        <f>SUMIFS(交易明細!$L$2:$L$526,交易明細!$B$2:$B$526,$A53,交易明細!$J$2:$J$526,"&lt;&gt;未平倉")</f>
        <v/>
      </c>
      <c r="K53" s="5">
        <f>IFERROR(AVERAGEIFS(交易明細!$K$2:$K$526,交易明細!$B$2:$B$526,$A53,交易明細!$J$2:$J$526,"&lt;&gt;未平倉"),0)</f>
        <v/>
      </c>
      <c r="L53" s="2">
        <f>COUNTIFS(交易明細!$B$2:$B$526,$A53,交易明細!$J$2:$J$526,"未平倉")</f>
        <v/>
      </c>
    </row>
    <row r="54">
      <c r="A54" s="2" t="inlineStr">
        <is>
          <t>ZEN_USDT_PERP</t>
        </is>
      </c>
      <c r="B54" s="2">
        <f>COUNTIFS(交易明細!$B$2:$B$526,$A54)</f>
        <v/>
      </c>
      <c r="C54" s="2">
        <f>COUNTIFS(交易明細!$B$2:$B$526,$A54,交易明細!$C$2:$C$526,"做多")</f>
        <v/>
      </c>
      <c r="D54" s="2">
        <f>COUNTIFS(交易明細!$B$2:$B$526,$A54,交易明細!$C$2:$C$526,"做空")</f>
        <v/>
      </c>
      <c r="E54" s="2">
        <f>F54+G54+COUNTIFS(交易明細!$B$2:$B$526,$A54,交易明細!$J$2:$J$526,"時間出場")</f>
        <v/>
      </c>
      <c r="F54" s="2">
        <f>COUNTIFS(交易明細!$B$2:$B$526,$A54,交易明細!$J$2:$J$526,"止盈")</f>
        <v/>
      </c>
      <c r="G54" s="2">
        <f>COUNTIFS(交易明細!$B$2:$B$526,$A54,交易明細!$J$2:$J$526,"止損")</f>
        <v/>
      </c>
      <c r="H54" s="4">
        <f>IFERROR(F54/E54,0)</f>
        <v/>
      </c>
      <c r="I54" s="4">
        <f>IFERROR(AVERAGEIFS(交易明細!$L$2:$L$526,交易明細!$B$2:$B$526,$A54,交易明細!$J$2:$J$526,"&lt;&gt;未平倉"),0)</f>
        <v/>
      </c>
      <c r="J54" s="4">
        <f>SUMIFS(交易明細!$L$2:$L$526,交易明細!$B$2:$B$526,$A54,交易明細!$J$2:$J$526,"&lt;&gt;未平倉")</f>
        <v/>
      </c>
      <c r="K54" s="5">
        <f>IFERROR(AVERAGEIFS(交易明細!$K$2:$K$526,交易明細!$B$2:$B$526,$A54,交易明細!$J$2:$J$526,"&lt;&gt;未平倉"),0)</f>
        <v/>
      </c>
      <c r="L54" s="2">
        <f>COUNTIFS(交易明細!$B$2:$B$526,$A54,交易明細!$J$2:$J$526,"未平倉")</f>
        <v/>
      </c>
    </row>
    <row r="55">
      <c r="A55" s="2" t="inlineStr">
        <is>
          <t>DOT_USDT_PERP</t>
        </is>
      </c>
      <c r="B55" s="2">
        <f>COUNTIFS(交易明細!$B$2:$B$526,$A55)</f>
        <v/>
      </c>
      <c r="C55" s="2">
        <f>COUNTIFS(交易明細!$B$2:$B$526,$A55,交易明細!$C$2:$C$526,"做多")</f>
        <v/>
      </c>
      <c r="D55" s="2">
        <f>COUNTIFS(交易明細!$B$2:$B$526,$A55,交易明細!$C$2:$C$526,"做空")</f>
        <v/>
      </c>
      <c r="E55" s="2">
        <f>F55+G55+COUNTIFS(交易明細!$B$2:$B$526,$A55,交易明細!$J$2:$J$526,"時間出場")</f>
        <v/>
      </c>
      <c r="F55" s="2">
        <f>COUNTIFS(交易明細!$B$2:$B$526,$A55,交易明細!$J$2:$J$526,"止盈")</f>
        <v/>
      </c>
      <c r="G55" s="2">
        <f>COUNTIFS(交易明細!$B$2:$B$526,$A55,交易明細!$J$2:$J$526,"止損")</f>
        <v/>
      </c>
      <c r="H55" s="4">
        <f>IFERROR(F55/E55,0)</f>
        <v/>
      </c>
      <c r="I55" s="4">
        <f>IFERROR(AVERAGEIFS(交易明細!$L$2:$L$526,交易明細!$B$2:$B$526,$A55,交易明細!$J$2:$J$526,"&lt;&gt;未平倉"),0)</f>
        <v/>
      </c>
      <c r="J55" s="4">
        <f>SUMIFS(交易明細!$L$2:$L$526,交易明細!$B$2:$B$526,$A55,交易明細!$J$2:$J$526,"&lt;&gt;未平倉")</f>
        <v/>
      </c>
      <c r="K55" s="5">
        <f>IFERROR(AVERAGEIFS(交易明細!$K$2:$K$526,交易明細!$B$2:$B$526,$A55,交易明細!$J$2:$J$526,"&lt;&gt;未平倉"),0)</f>
        <v/>
      </c>
      <c r="L55" s="2">
        <f>COUNTIFS(交易明細!$B$2:$B$526,$A55,交易明細!$J$2:$J$526,"未平倉")</f>
        <v/>
      </c>
    </row>
    <row r="56">
      <c r="A56" s="2" t="inlineStr">
        <is>
          <t>RIVER_USDT_PERP</t>
        </is>
      </c>
      <c r="B56" s="2">
        <f>COUNTIFS(交易明細!$B$2:$B$526,$A56)</f>
        <v/>
      </c>
      <c r="C56" s="2">
        <f>COUNTIFS(交易明細!$B$2:$B$526,$A56,交易明細!$C$2:$C$526,"做多")</f>
        <v/>
      </c>
      <c r="D56" s="2">
        <f>COUNTIFS(交易明細!$B$2:$B$526,$A56,交易明細!$C$2:$C$526,"做空")</f>
        <v/>
      </c>
      <c r="E56" s="2">
        <f>F56+G56+COUNTIFS(交易明細!$B$2:$B$526,$A56,交易明細!$J$2:$J$526,"時間出場")</f>
        <v/>
      </c>
      <c r="F56" s="2">
        <f>COUNTIFS(交易明細!$B$2:$B$526,$A56,交易明細!$J$2:$J$526,"止盈")</f>
        <v/>
      </c>
      <c r="G56" s="2">
        <f>COUNTIFS(交易明細!$B$2:$B$526,$A56,交易明細!$J$2:$J$526,"止損")</f>
        <v/>
      </c>
      <c r="H56" s="4">
        <f>IFERROR(F56/E56,0)</f>
        <v/>
      </c>
      <c r="I56" s="4">
        <f>IFERROR(AVERAGEIFS(交易明細!$L$2:$L$526,交易明細!$B$2:$B$526,$A56,交易明細!$J$2:$J$526,"&lt;&gt;未平倉"),0)</f>
        <v/>
      </c>
      <c r="J56" s="4">
        <f>SUMIFS(交易明細!$L$2:$L$526,交易明細!$B$2:$B$526,$A56,交易明細!$J$2:$J$526,"&lt;&gt;未平倉")</f>
        <v/>
      </c>
      <c r="K56" s="5">
        <f>IFERROR(AVERAGEIFS(交易明細!$K$2:$K$526,交易明細!$B$2:$B$526,$A56,交易明細!$J$2:$J$526,"&lt;&gt;未平倉"),0)</f>
        <v/>
      </c>
      <c r="L56" s="2">
        <f>COUNTIFS(交易明細!$B$2:$B$526,$A56,交易明細!$J$2:$J$526,"未平倉")</f>
        <v/>
      </c>
    </row>
    <row r="57">
      <c r="A57" s="2" t="inlineStr">
        <is>
          <t>POWER_USDT_PERP</t>
        </is>
      </c>
      <c r="B57" s="2">
        <f>COUNTIFS(交易明細!$B$2:$B$526,$A57)</f>
        <v/>
      </c>
      <c r="C57" s="2">
        <f>COUNTIFS(交易明細!$B$2:$B$526,$A57,交易明細!$C$2:$C$526,"做多")</f>
        <v/>
      </c>
      <c r="D57" s="2">
        <f>COUNTIFS(交易明細!$B$2:$B$526,$A57,交易明細!$C$2:$C$526,"做空")</f>
        <v/>
      </c>
      <c r="E57" s="2">
        <f>F57+G57+COUNTIFS(交易明細!$B$2:$B$526,$A57,交易明細!$J$2:$J$526,"時間出場")</f>
        <v/>
      </c>
      <c r="F57" s="2">
        <f>COUNTIFS(交易明細!$B$2:$B$526,$A57,交易明細!$J$2:$J$526,"止盈")</f>
        <v/>
      </c>
      <c r="G57" s="2">
        <f>COUNTIFS(交易明細!$B$2:$B$526,$A57,交易明細!$J$2:$J$526,"止損")</f>
        <v/>
      </c>
      <c r="H57" s="4">
        <f>IFERROR(F57/E57,0)</f>
        <v/>
      </c>
      <c r="I57" s="4">
        <f>IFERROR(AVERAGEIFS(交易明細!$L$2:$L$526,交易明細!$B$2:$B$526,$A57,交易明細!$J$2:$J$526,"&lt;&gt;未平倉"),0)</f>
        <v/>
      </c>
      <c r="J57" s="4">
        <f>SUMIFS(交易明細!$L$2:$L$526,交易明細!$B$2:$B$526,$A57,交易明細!$J$2:$J$526,"&lt;&gt;未平倉")</f>
        <v/>
      </c>
      <c r="K57" s="5">
        <f>IFERROR(AVERAGEIFS(交易明細!$K$2:$K$526,交易明細!$B$2:$B$526,$A57,交易明細!$J$2:$J$526,"&lt;&gt;未平倉"),0)</f>
        <v/>
      </c>
      <c r="L57" s="2">
        <f>COUNTIFS(交易明細!$B$2:$B$526,$A57,交易明細!$J$2:$J$526,"未平倉")</f>
        <v/>
      </c>
    </row>
    <row r="58">
      <c r="A58" s="2" t="inlineStr">
        <is>
          <t>PIEVERSE_USDT_PERP</t>
        </is>
      </c>
      <c r="B58" s="2">
        <f>COUNTIFS(交易明細!$B$2:$B$526,$A58)</f>
        <v/>
      </c>
      <c r="C58" s="2">
        <f>COUNTIFS(交易明細!$B$2:$B$526,$A58,交易明細!$C$2:$C$526,"做多")</f>
        <v/>
      </c>
      <c r="D58" s="2">
        <f>COUNTIFS(交易明細!$B$2:$B$526,$A58,交易明細!$C$2:$C$526,"做空")</f>
        <v/>
      </c>
      <c r="E58" s="2">
        <f>F58+G58+COUNTIFS(交易明細!$B$2:$B$526,$A58,交易明細!$J$2:$J$526,"時間出場")</f>
        <v/>
      </c>
      <c r="F58" s="2">
        <f>COUNTIFS(交易明細!$B$2:$B$526,$A58,交易明細!$J$2:$J$526,"止盈")</f>
        <v/>
      </c>
      <c r="G58" s="2">
        <f>COUNTIFS(交易明細!$B$2:$B$526,$A58,交易明細!$J$2:$J$526,"止損")</f>
        <v/>
      </c>
      <c r="H58" s="4">
        <f>IFERROR(F58/E58,0)</f>
        <v/>
      </c>
      <c r="I58" s="4">
        <f>IFERROR(AVERAGEIFS(交易明細!$L$2:$L$526,交易明細!$B$2:$B$526,$A58,交易明細!$J$2:$J$526,"&lt;&gt;未平倉"),0)</f>
        <v/>
      </c>
      <c r="J58" s="4">
        <f>SUMIFS(交易明細!$L$2:$L$526,交易明細!$B$2:$B$526,$A58,交易明細!$J$2:$J$526,"&lt;&gt;未平倉")</f>
        <v/>
      </c>
      <c r="K58" s="5">
        <f>IFERROR(AVERAGEIFS(交易明細!$K$2:$K$526,交易明細!$B$2:$B$526,$A58,交易明細!$J$2:$J$526,"&lt;&gt;未平倉"),0)</f>
        <v/>
      </c>
      <c r="L58" s="2">
        <f>COUNTIFS(交易明細!$B$2:$B$526,$A58,交易明細!$J$2:$J$526,"未平倉")</f>
        <v/>
      </c>
    </row>
    <row r="59">
      <c r="A59" s="2" t="inlineStr">
        <is>
          <t>AR_USDT_PERP</t>
        </is>
      </c>
      <c r="B59" s="2">
        <f>COUNTIFS(交易明細!$B$2:$B$526,$A59)</f>
        <v/>
      </c>
      <c r="C59" s="2">
        <f>COUNTIFS(交易明細!$B$2:$B$526,$A59,交易明細!$C$2:$C$526,"做多")</f>
        <v/>
      </c>
      <c r="D59" s="2">
        <f>COUNTIFS(交易明細!$B$2:$B$526,$A59,交易明細!$C$2:$C$526,"做空")</f>
        <v/>
      </c>
      <c r="E59" s="2">
        <f>F59+G59+COUNTIFS(交易明細!$B$2:$B$526,$A59,交易明細!$J$2:$J$526,"時間出場")</f>
        <v/>
      </c>
      <c r="F59" s="2">
        <f>COUNTIFS(交易明細!$B$2:$B$526,$A59,交易明細!$J$2:$J$526,"止盈")</f>
        <v/>
      </c>
      <c r="G59" s="2">
        <f>COUNTIFS(交易明細!$B$2:$B$526,$A59,交易明細!$J$2:$J$526,"止損")</f>
        <v/>
      </c>
      <c r="H59" s="4">
        <f>IFERROR(F59/E59,0)</f>
        <v/>
      </c>
      <c r="I59" s="4">
        <f>IFERROR(AVERAGEIFS(交易明細!$L$2:$L$526,交易明細!$B$2:$B$526,$A59,交易明細!$J$2:$J$526,"&lt;&gt;未平倉"),0)</f>
        <v/>
      </c>
      <c r="J59" s="4">
        <f>SUMIFS(交易明細!$L$2:$L$526,交易明細!$B$2:$B$526,$A59,交易明細!$J$2:$J$526,"&lt;&gt;未平倉")</f>
        <v/>
      </c>
      <c r="K59" s="5">
        <f>IFERROR(AVERAGEIFS(交易明細!$K$2:$K$526,交易明細!$B$2:$B$526,$A59,交易明細!$J$2:$J$526,"&lt;&gt;未平倉"),0)</f>
        <v/>
      </c>
      <c r="L59" s="2">
        <f>COUNTIFS(交易明細!$B$2:$B$526,$A59,交易明細!$J$2:$J$526,"未平倉")</f>
        <v/>
      </c>
    </row>
    <row r="60">
      <c r="A60" s="2" t="inlineStr">
        <is>
          <t>ZETA_USDT_PERP</t>
        </is>
      </c>
      <c r="B60" s="2">
        <f>COUNTIFS(交易明細!$B$2:$B$526,$A60)</f>
        <v/>
      </c>
      <c r="C60" s="2">
        <f>COUNTIFS(交易明細!$B$2:$B$526,$A60,交易明細!$C$2:$C$526,"做多")</f>
        <v/>
      </c>
      <c r="D60" s="2">
        <f>COUNTIFS(交易明細!$B$2:$B$526,$A60,交易明細!$C$2:$C$526,"做空")</f>
        <v/>
      </c>
      <c r="E60" s="2">
        <f>F60+G60+COUNTIFS(交易明細!$B$2:$B$526,$A60,交易明細!$J$2:$J$526,"時間出場")</f>
        <v/>
      </c>
      <c r="F60" s="2">
        <f>COUNTIFS(交易明細!$B$2:$B$526,$A60,交易明細!$J$2:$J$526,"止盈")</f>
        <v/>
      </c>
      <c r="G60" s="2">
        <f>COUNTIFS(交易明細!$B$2:$B$526,$A60,交易明細!$J$2:$J$526,"止損")</f>
        <v/>
      </c>
      <c r="H60" s="4">
        <f>IFERROR(F60/E60,0)</f>
        <v/>
      </c>
      <c r="I60" s="4">
        <f>IFERROR(AVERAGEIFS(交易明細!$L$2:$L$526,交易明細!$B$2:$B$526,$A60,交易明細!$J$2:$J$526,"&lt;&gt;未平倉"),0)</f>
        <v/>
      </c>
      <c r="J60" s="4">
        <f>SUMIFS(交易明細!$L$2:$L$526,交易明細!$B$2:$B$526,$A60,交易明細!$J$2:$J$526,"&lt;&gt;未平倉")</f>
        <v/>
      </c>
      <c r="K60" s="5">
        <f>IFERROR(AVERAGEIFS(交易明細!$K$2:$K$526,交易明細!$B$2:$B$526,$A60,交易明細!$J$2:$J$526,"&lt;&gt;未平倉"),0)</f>
        <v/>
      </c>
      <c r="L60" s="2">
        <f>COUNTIFS(交易明細!$B$2:$B$526,$A60,交易明細!$J$2:$J$526,"未平倉")</f>
        <v/>
      </c>
    </row>
    <row r="61">
      <c r="A61" s="2" t="inlineStr">
        <is>
          <t>WIF_USDT_PERP</t>
        </is>
      </c>
      <c r="B61" s="2">
        <f>COUNTIFS(交易明細!$B$2:$B$526,$A61)</f>
        <v/>
      </c>
      <c r="C61" s="2">
        <f>COUNTIFS(交易明細!$B$2:$B$526,$A61,交易明細!$C$2:$C$526,"做多")</f>
        <v/>
      </c>
      <c r="D61" s="2">
        <f>COUNTIFS(交易明細!$B$2:$B$526,$A61,交易明細!$C$2:$C$526,"做空")</f>
        <v/>
      </c>
      <c r="E61" s="2">
        <f>F61+G61+COUNTIFS(交易明細!$B$2:$B$526,$A61,交易明細!$J$2:$J$526,"時間出場")</f>
        <v/>
      </c>
      <c r="F61" s="2">
        <f>COUNTIFS(交易明細!$B$2:$B$526,$A61,交易明細!$J$2:$J$526,"止盈")</f>
        <v/>
      </c>
      <c r="G61" s="2">
        <f>COUNTIFS(交易明細!$B$2:$B$526,$A61,交易明細!$J$2:$J$526,"止損")</f>
        <v/>
      </c>
      <c r="H61" s="4">
        <f>IFERROR(F61/E61,0)</f>
        <v/>
      </c>
      <c r="I61" s="4">
        <f>IFERROR(AVERAGEIFS(交易明細!$L$2:$L$526,交易明細!$B$2:$B$526,$A61,交易明細!$J$2:$J$526,"&lt;&gt;未平倉"),0)</f>
        <v/>
      </c>
      <c r="J61" s="4">
        <f>SUMIFS(交易明細!$L$2:$L$526,交易明細!$B$2:$B$526,$A61,交易明細!$J$2:$J$526,"&lt;&gt;未平倉")</f>
        <v/>
      </c>
      <c r="K61" s="5">
        <f>IFERROR(AVERAGEIFS(交易明細!$K$2:$K$526,交易明細!$B$2:$B$526,$A61,交易明細!$J$2:$J$526,"&lt;&gt;未平倉"),0)</f>
        <v/>
      </c>
      <c r="L61" s="2">
        <f>COUNTIFS(交易明細!$B$2:$B$526,$A61,交易明細!$J$2:$J$526,"未平倉")</f>
        <v/>
      </c>
    </row>
    <row r="62">
      <c r="A62" s="2" t="inlineStr">
        <is>
          <t>BCH_USDT_PERP</t>
        </is>
      </c>
      <c r="B62" s="2">
        <f>COUNTIFS(交易明細!$B$2:$B$526,$A62)</f>
        <v/>
      </c>
      <c r="C62" s="2">
        <f>COUNTIFS(交易明細!$B$2:$B$526,$A62,交易明細!$C$2:$C$526,"做多")</f>
        <v/>
      </c>
      <c r="D62" s="2">
        <f>COUNTIFS(交易明細!$B$2:$B$526,$A62,交易明細!$C$2:$C$526,"做空")</f>
        <v/>
      </c>
      <c r="E62" s="2">
        <f>F62+G62+COUNTIFS(交易明細!$B$2:$B$526,$A62,交易明細!$J$2:$J$526,"時間出場")</f>
        <v/>
      </c>
      <c r="F62" s="2">
        <f>COUNTIFS(交易明細!$B$2:$B$526,$A62,交易明細!$J$2:$J$526,"止盈")</f>
        <v/>
      </c>
      <c r="G62" s="2">
        <f>COUNTIFS(交易明細!$B$2:$B$526,$A62,交易明細!$J$2:$J$526,"止損")</f>
        <v/>
      </c>
      <c r="H62" s="4">
        <f>IFERROR(F62/E62,0)</f>
        <v/>
      </c>
      <c r="I62" s="4">
        <f>IFERROR(AVERAGEIFS(交易明細!$L$2:$L$526,交易明細!$B$2:$B$526,$A62,交易明細!$J$2:$J$526,"&lt;&gt;未平倉"),0)</f>
        <v/>
      </c>
      <c r="J62" s="4">
        <f>SUMIFS(交易明細!$L$2:$L$526,交易明細!$B$2:$B$526,$A62,交易明細!$J$2:$J$526,"&lt;&gt;未平倉")</f>
        <v/>
      </c>
      <c r="K62" s="5">
        <f>IFERROR(AVERAGEIFS(交易明細!$K$2:$K$526,交易明細!$B$2:$B$526,$A62,交易明細!$J$2:$J$526,"&lt;&gt;未平倉"),0)</f>
        <v/>
      </c>
      <c r="L62" s="2">
        <f>COUNTIFS(交易明細!$B$2:$B$526,$A62,交易明細!$J$2:$J$526,"未平倉")</f>
        <v/>
      </c>
    </row>
    <row r="63">
      <c r="A63" s="2" t="inlineStr">
        <is>
          <t>ZRO_USDT_PERP</t>
        </is>
      </c>
      <c r="B63" s="2">
        <f>COUNTIFS(交易明細!$B$2:$B$526,$A63)</f>
        <v/>
      </c>
      <c r="C63" s="2">
        <f>COUNTIFS(交易明細!$B$2:$B$526,$A63,交易明細!$C$2:$C$526,"做多")</f>
        <v/>
      </c>
      <c r="D63" s="2">
        <f>COUNTIFS(交易明細!$B$2:$B$526,$A63,交易明細!$C$2:$C$526,"做空")</f>
        <v/>
      </c>
      <c r="E63" s="2">
        <f>F63+G63+COUNTIFS(交易明細!$B$2:$B$526,$A63,交易明細!$J$2:$J$526,"時間出場")</f>
        <v/>
      </c>
      <c r="F63" s="2">
        <f>COUNTIFS(交易明細!$B$2:$B$526,$A63,交易明細!$J$2:$J$526,"止盈")</f>
        <v/>
      </c>
      <c r="G63" s="2">
        <f>COUNTIFS(交易明細!$B$2:$B$526,$A63,交易明細!$J$2:$J$526,"止損")</f>
        <v/>
      </c>
      <c r="H63" s="4">
        <f>IFERROR(F63/E63,0)</f>
        <v/>
      </c>
      <c r="I63" s="4">
        <f>IFERROR(AVERAGEIFS(交易明細!$L$2:$L$526,交易明細!$B$2:$B$526,$A63,交易明細!$J$2:$J$526,"&lt;&gt;未平倉"),0)</f>
        <v/>
      </c>
      <c r="J63" s="4">
        <f>SUMIFS(交易明細!$L$2:$L$526,交易明細!$B$2:$B$526,$A63,交易明細!$J$2:$J$526,"&lt;&gt;未平倉")</f>
        <v/>
      </c>
      <c r="K63" s="5">
        <f>IFERROR(AVERAGEIFS(交易明細!$K$2:$K$526,交易明細!$B$2:$B$526,$A63,交易明細!$J$2:$J$526,"&lt;&gt;未平倉"),0)</f>
        <v/>
      </c>
      <c r="L63" s="2">
        <f>COUNTIFS(交易明細!$B$2:$B$526,$A63,交易明細!$J$2:$J$526,"未平倉")</f>
        <v/>
      </c>
    </row>
    <row r="64">
      <c r="A64" s="2" t="inlineStr">
        <is>
          <t>LYN_USDT_PERP</t>
        </is>
      </c>
      <c r="B64" s="2">
        <f>COUNTIFS(交易明細!$B$2:$B$526,$A64)</f>
        <v/>
      </c>
      <c r="C64" s="2">
        <f>COUNTIFS(交易明細!$B$2:$B$526,$A64,交易明細!$C$2:$C$526,"做多")</f>
        <v/>
      </c>
      <c r="D64" s="2">
        <f>COUNTIFS(交易明細!$B$2:$B$526,$A64,交易明細!$C$2:$C$526,"做空")</f>
        <v/>
      </c>
      <c r="E64" s="2">
        <f>F64+G64+COUNTIFS(交易明細!$B$2:$B$526,$A64,交易明細!$J$2:$J$526,"時間出場")</f>
        <v/>
      </c>
      <c r="F64" s="2">
        <f>COUNTIFS(交易明細!$B$2:$B$526,$A64,交易明細!$J$2:$J$526,"止盈")</f>
        <v/>
      </c>
      <c r="G64" s="2">
        <f>COUNTIFS(交易明細!$B$2:$B$526,$A64,交易明細!$J$2:$J$526,"止損")</f>
        <v/>
      </c>
      <c r="H64" s="4">
        <f>IFERROR(F64/E64,0)</f>
        <v/>
      </c>
      <c r="I64" s="4">
        <f>IFERROR(AVERAGEIFS(交易明細!$L$2:$L$526,交易明細!$B$2:$B$526,$A64,交易明細!$J$2:$J$526,"&lt;&gt;未平倉"),0)</f>
        <v/>
      </c>
      <c r="J64" s="4">
        <f>SUMIFS(交易明細!$L$2:$L$526,交易明細!$B$2:$B$526,$A64,交易明細!$J$2:$J$526,"&lt;&gt;未平倉")</f>
        <v/>
      </c>
      <c r="K64" s="5">
        <f>IFERROR(AVERAGEIFS(交易明細!$K$2:$K$526,交易明細!$B$2:$B$526,$A64,交易明細!$J$2:$J$526,"&lt;&gt;未平倉"),0)</f>
        <v/>
      </c>
      <c r="L64" s="2">
        <f>COUNTIFS(交易明細!$B$2:$B$526,$A64,交易明細!$J$2:$J$526,"未平倉")</f>
        <v/>
      </c>
    </row>
    <row r="65">
      <c r="A65" s="2" t="inlineStr">
        <is>
          <t>CRV_USDT_PERP</t>
        </is>
      </c>
      <c r="B65" s="2">
        <f>COUNTIFS(交易明細!$B$2:$B$526,$A65)</f>
        <v/>
      </c>
      <c r="C65" s="2">
        <f>COUNTIFS(交易明細!$B$2:$B$526,$A65,交易明細!$C$2:$C$526,"做多")</f>
        <v/>
      </c>
      <c r="D65" s="2">
        <f>COUNTIFS(交易明細!$B$2:$B$526,$A65,交易明細!$C$2:$C$526,"做空")</f>
        <v/>
      </c>
      <c r="E65" s="2">
        <f>F65+G65+COUNTIFS(交易明細!$B$2:$B$526,$A65,交易明細!$J$2:$J$526,"時間出場")</f>
        <v/>
      </c>
      <c r="F65" s="2">
        <f>COUNTIFS(交易明細!$B$2:$B$526,$A65,交易明細!$J$2:$J$526,"止盈")</f>
        <v/>
      </c>
      <c r="G65" s="2">
        <f>COUNTIFS(交易明細!$B$2:$B$526,$A65,交易明細!$J$2:$J$526,"止損")</f>
        <v/>
      </c>
      <c r="H65" s="4">
        <f>IFERROR(F65/E65,0)</f>
        <v/>
      </c>
      <c r="I65" s="4">
        <f>IFERROR(AVERAGEIFS(交易明細!$L$2:$L$526,交易明細!$B$2:$B$526,$A65,交易明細!$J$2:$J$526,"&lt;&gt;未平倉"),0)</f>
        <v/>
      </c>
      <c r="J65" s="4">
        <f>SUMIFS(交易明細!$L$2:$L$526,交易明細!$B$2:$B$526,$A65,交易明細!$J$2:$J$526,"&lt;&gt;未平倉")</f>
        <v/>
      </c>
      <c r="K65" s="5">
        <f>IFERROR(AVERAGEIFS(交易明細!$K$2:$K$526,交易明細!$B$2:$B$526,$A65,交易明細!$J$2:$J$526,"&lt;&gt;未平倉"),0)</f>
        <v/>
      </c>
      <c r="L65" s="2">
        <f>COUNTIFS(交易明細!$B$2:$B$526,$A65,交易明細!$J$2:$J$526,"未平倉")</f>
        <v/>
      </c>
    </row>
    <row r="66">
      <c r="A66" s="2" t="inlineStr">
        <is>
          <t>MAGMA_USDT_PERP</t>
        </is>
      </c>
      <c r="B66" s="2">
        <f>COUNTIFS(交易明細!$B$2:$B$526,$A66)</f>
        <v/>
      </c>
      <c r="C66" s="2">
        <f>COUNTIFS(交易明細!$B$2:$B$526,$A66,交易明細!$C$2:$C$526,"做多")</f>
        <v/>
      </c>
      <c r="D66" s="2">
        <f>COUNTIFS(交易明細!$B$2:$B$526,$A66,交易明細!$C$2:$C$526,"做空")</f>
        <v/>
      </c>
      <c r="E66" s="2">
        <f>F66+G66+COUNTIFS(交易明細!$B$2:$B$526,$A66,交易明細!$J$2:$J$526,"時間出場")</f>
        <v/>
      </c>
      <c r="F66" s="2">
        <f>COUNTIFS(交易明細!$B$2:$B$526,$A66,交易明細!$J$2:$J$526,"止盈")</f>
        <v/>
      </c>
      <c r="G66" s="2">
        <f>COUNTIFS(交易明細!$B$2:$B$526,$A66,交易明細!$J$2:$J$526,"止損")</f>
        <v/>
      </c>
      <c r="H66" s="4">
        <f>IFERROR(F66/E66,0)</f>
        <v/>
      </c>
      <c r="I66" s="4">
        <f>IFERROR(AVERAGEIFS(交易明細!$L$2:$L$526,交易明細!$B$2:$B$526,$A66,交易明細!$J$2:$J$526,"&lt;&gt;未平倉"),0)</f>
        <v/>
      </c>
      <c r="J66" s="4">
        <f>SUMIFS(交易明細!$L$2:$L$526,交易明細!$B$2:$B$526,$A66,交易明細!$J$2:$J$526,"&lt;&gt;未平倉")</f>
        <v/>
      </c>
      <c r="K66" s="5">
        <f>IFERROR(AVERAGEIFS(交易明細!$K$2:$K$526,交易明細!$B$2:$B$526,$A66,交易明細!$J$2:$J$526,"&lt;&gt;未平倉"),0)</f>
        <v/>
      </c>
      <c r="L66" s="2">
        <f>COUNTIFS(交易明細!$B$2:$B$526,$A66,交易明細!$J$2:$J$526,"未平倉")</f>
        <v/>
      </c>
    </row>
    <row r="67">
      <c r="A67" s="2" t="inlineStr">
        <is>
          <t>TRUMP_USDT_PERP</t>
        </is>
      </c>
      <c r="B67" s="2">
        <f>COUNTIFS(交易明細!$B$2:$B$526,$A67)</f>
        <v/>
      </c>
      <c r="C67" s="2">
        <f>COUNTIFS(交易明細!$B$2:$B$526,$A67,交易明細!$C$2:$C$526,"做多")</f>
        <v/>
      </c>
      <c r="D67" s="2">
        <f>COUNTIFS(交易明細!$B$2:$B$526,$A67,交易明細!$C$2:$C$526,"做空")</f>
        <v/>
      </c>
      <c r="E67" s="2">
        <f>F67+G67+COUNTIFS(交易明細!$B$2:$B$526,$A67,交易明細!$J$2:$J$526,"時間出場")</f>
        <v/>
      </c>
      <c r="F67" s="2">
        <f>COUNTIFS(交易明細!$B$2:$B$526,$A67,交易明細!$J$2:$J$526,"止盈")</f>
        <v/>
      </c>
      <c r="G67" s="2">
        <f>COUNTIFS(交易明細!$B$2:$B$526,$A67,交易明細!$J$2:$J$526,"止損")</f>
        <v/>
      </c>
      <c r="H67" s="4">
        <f>IFERROR(F67/E67,0)</f>
        <v/>
      </c>
      <c r="I67" s="4">
        <f>IFERROR(AVERAGEIFS(交易明細!$L$2:$L$526,交易明細!$B$2:$B$526,$A67,交易明細!$J$2:$J$526,"&lt;&gt;未平倉"),0)</f>
        <v/>
      </c>
      <c r="J67" s="4">
        <f>SUMIFS(交易明細!$L$2:$L$526,交易明細!$B$2:$B$526,$A67,交易明細!$J$2:$J$526,"&lt;&gt;未平倉")</f>
        <v/>
      </c>
      <c r="K67" s="5">
        <f>IFERROR(AVERAGEIFS(交易明細!$K$2:$K$526,交易明細!$B$2:$B$526,$A67,交易明細!$J$2:$J$526,"&lt;&gt;未平倉"),0)</f>
        <v/>
      </c>
      <c r="L67" s="2">
        <f>COUNTIFS(交易明細!$B$2:$B$526,$A67,交易明細!$J$2:$J$526,"未平倉")</f>
        <v/>
      </c>
    </row>
    <row r="68">
      <c r="A68" s="2" t="inlineStr">
        <is>
          <t>CHIP_USDT_PERP</t>
        </is>
      </c>
      <c r="B68" s="2">
        <f>COUNTIFS(交易明細!$B$2:$B$526,$A68)</f>
        <v/>
      </c>
      <c r="C68" s="2">
        <f>COUNTIFS(交易明細!$B$2:$B$526,$A68,交易明細!$C$2:$C$526,"做多")</f>
        <v/>
      </c>
      <c r="D68" s="2">
        <f>COUNTIFS(交易明細!$B$2:$B$526,$A68,交易明細!$C$2:$C$526,"做空")</f>
        <v/>
      </c>
      <c r="E68" s="2">
        <f>F68+G68+COUNTIFS(交易明細!$B$2:$B$526,$A68,交易明細!$J$2:$J$526,"時間出場")</f>
        <v/>
      </c>
      <c r="F68" s="2">
        <f>COUNTIFS(交易明細!$B$2:$B$526,$A68,交易明細!$J$2:$J$526,"止盈")</f>
        <v/>
      </c>
      <c r="G68" s="2">
        <f>COUNTIFS(交易明細!$B$2:$B$526,$A68,交易明細!$J$2:$J$526,"止損")</f>
        <v/>
      </c>
      <c r="H68" s="4">
        <f>IFERROR(F68/E68,0)</f>
        <v/>
      </c>
      <c r="I68" s="4">
        <f>IFERROR(AVERAGEIFS(交易明細!$L$2:$L$526,交易明細!$B$2:$B$526,$A68,交易明細!$J$2:$J$526,"&lt;&gt;未平倉"),0)</f>
        <v/>
      </c>
      <c r="J68" s="4">
        <f>SUMIFS(交易明細!$L$2:$L$526,交易明細!$B$2:$B$526,$A68,交易明細!$J$2:$J$526,"&lt;&gt;未平倉")</f>
        <v/>
      </c>
      <c r="K68" s="5">
        <f>IFERROR(AVERAGEIFS(交易明細!$K$2:$K$526,交易明細!$B$2:$B$526,$A68,交易明細!$J$2:$J$526,"&lt;&gt;未平倉"),0)</f>
        <v/>
      </c>
      <c r="L68" s="2">
        <f>COUNTIFS(交易明細!$B$2:$B$526,$A68,交易明細!$J$2:$J$526,"未平倉")</f>
        <v/>
      </c>
    </row>
    <row r="69">
      <c r="A69" s="2" t="inlineStr">
        <is>
          <t>FARTCOIN_USDT_PERP</t>
        </is>
      </c>
      <c r="B69" s="2">
        <f>COUNTIFS(交易明細!$B$2:$B$526,$A69)</f>
        <v/>
      </c>
      <c r="C69" s="2">
        <f>COUNTIFS(交易明細!$B$2:$B$526,$A69,交易明細!$C$2:$C$526,"做多")</f>
        <v/>
      </c>
      <c r="D69" s="2">
        <f>COUNTIFS(交易明細!$B$2:$B$526,$A69,交易明細!$C$2:$C$526,"做空")</f>
        <v/>
      </c>
      <c r="E69" s="2">
        <f>F69+G69+COUNTIFS(交易明細!$B$2:$B$526,$A69,交易明細!$J$2:$J$526,"時間出場")</f>
        <v/>
      </c>
      <c r="F69" s="2">
        <f>COUNTIFS(交易明細!$B$2:$B$526,$A69,交易明細!$J$2:$J$526,"止盈")</f>
        <v/>
      </c>
      <c r="G69" s="2">
        <f>COUNTIFS(交易明細!$B$2:$B$526,$A69,交易明細!$J$2:$J$526,"止損")</f>
        <v/>
      </c>
      <c r="H69" s="4">
        <f>IFERROR(F69/E69,0)</f>
        <v/>
      </c>
      <c r="I69" s="4">
        <f>IFERROR(AVERAGEIFS(交易明細!$L$2:$L$526,交易明細!$B$2:$B$526,$A69,交易明細!$J$2:$J$526,"&lt;&gt;未平倉"),0)</f>
        <v/>
      </c>
      <c r="J69" s="4">
        <f>SUMIFS(交易明細!$L$2:$L$526,交易明細!$B$2:$B$526,$A69,交易明細!$J$2:$J$526,"&lt;&gt;未平倉")</f>
        <v/>
      </c>
      <c r="K69" s="5">
        <f>IFERROR(AVERAGEIFS(交易明細!$K$2:$K$526,交易明細!$B$2:$B$526,$A69,交易明細!$J$2:$J$526,"&lt;&gt;未平倉"),0)</f>
        <v/>
      </c>
      <c r="L69" s="2">
        <f>COUNTIFS(交易明細!$B$2:$B$526,$A69,交易明細!$J$2:$J$526,"未平倉")</f>
        <v/>
      </c>
    </row>
    <row r="70">
      <c r="A70" s="2" t="inlineStr">
        <is>
          <t>TRIA_USDT_PERP</t>
        </is>
      </c>
      <c r="B70" s="2">
        <f>COUNTIFS(交易明細!$B$2:$B$526,$A70)</f>
        <v/>
      </c>
      <c r="C70" s="2">
        <f>COUNTIFS(交易明細!$B$2:$B$526,$A70,交易明細!$C$2:$C$526,"做多")</f>
        <v/>
      </c>
      <c r="D70" s="2">
        <f>COUNTIFS(交易明細!$B$2:$B$526,$A70,交易明細!$C$2:$C$526,"做空")</f>
        <v/>
      </c>
      <c r="E70" s="2">
        <f>F70+G70+COUNTIFS(交易明細!$B$2:$B$526,$A70,交易明細!$J$2:$J$526,"時間出場")</f>
        <v/>
      </c>
      <c r="F70" s="2">
        <f>COUNTIFS(交易明細!$B$2:$B$526,$A70,交易明細!$J$2:$J$526,"止盈")</f>
        <v/>
      </c>
      <c r="G70" s="2">
        <f>COUNTIFS(交易明細!$B$2:$B$526,$A70,交易明細!$J$2:$J$526,"止損")</f>
        <v/>
      </c>
      <c r="H70" s="4">
        <f>IFERROR(F70/E70,0)</f>
        <v/>
      </c>
      <c r="I70" s="4">
        <f>IFERROR(AVERAGEIFS(交易明細!$L$2:$L$526,交易明細!$B$2:$B$526,$A70,交易明細!$J$2:$J$526,"&lt;&gt;未平倉"),0)</f>
        <v/>
      </c>
      <c r="J70" s="4">
        <f>SUMIFS(交易明細!$L$2:$L$526,交易明細!$B$2:$B$526,$A70,交易明細!$J$2:$J$526,"&lt;&gt;未平倉")</f>
        <v/>
      </c>
      <c r="K70" s="5">
        <f>IFERROR(AVERAGEIFS(交易明細!$K$2:$K$526,交易明細!$B$2:$B$526,$A70,交易明細!$J$2:$J$526,"&lt;&gt;未平倉"),0)</f>
        <v/>
      </c>
      <c r="L70" s="2">
        <f>COUNTIFS(交易明細!$B$2:$B$526,$A70,交易明細!$J$2:$J$526,"未平倉")</f>
        <v/>
      </c>
    </row>
    <row r="71">
      <c r="A71" s="2" t="inlineStr">
        <is>
          <t>KAS_USDT_PERP</t>
        </is>
      </c>
      <c r="B71" s="2">
        <f>COUNTIFS(交易明細!$B$2:$B$526,$A71)</f>
        <v/>
      </c>
      <c r="C71" s="2">
        <f>COUNTIFS(交易明細!$B$2:$B$526,$A71,交易明細!$C$2:$C$526,"做多")</f>
        <v/>
      </c>
      <c r="D71" s="2">
        <f>COUNTIFS(交易明細!$B$2:$B$526,$A71,交易明細!$C$2:$C$526,"做空")</f>
        <v/>
      </c>
      <c r="E71" s="2">
        <f>F71+G71+COUNTIFS(交易明細!$B$2:$B$526,$A71,交易明細!$J$2:$J$526,"時間出場")</f>
        <v/>
      </c>
      <c r="F71" s="2">
        <f>COUNTIFS(交易明細!$B$2:$B$526,$A71,交易明細!$J$2:$J$526,"止盈")</f>
        <v/>
      </c>
      <c r="G71" s="2">
        <f>COUNTIFS(交易明細!$B$2:$B$526,$A71,交易明細!$J$2:$J$526,"止損")</f>
        <v/>
      </c>
      <c r="H71" s="4">
        <f>IFERROR(F71/E71,0)</f>
        <v/>
      </c>
      <c r="I71" s="4">
        <f>IFERROR(AVERAGEIFS(交易明細!$L$2:$L$526,交易明細!$B$2:$B$526,$A71,交易明細!$J$2:$J$526,"&lt;&gt;未平倉"),0)</f>
        <v/>
      </c>
      <c r="J71" s="4">
        <f>SUMIFS(交易明細!$L$2:$L$526,交易明細!$B$2:$B$526,$A71,交易明細!$J$2:$J$526,"&lt;&gt;未平倉")</f>
        <v/>
      </c>
      <c r="K71" s="5">
        <f>IFERROR(AVERAGEIFS(交易明細!$K$2:$K$526,交易明細!$B$2:$B$526,$A71,交易明細!$J$2:$J$526,"&lt;&gt;未平倉"),0)</f>
        <v/>
      </c>
      <c r="L71" s="2">
        <f>COUNTIFS(交易明細!$B$2:$B$526,$A71,交易明細!$J$2:$J$526,"未平倉")</f>
        <v/>
      </c>
    </row>
    <row r="72">
      <c r="A72" s="2" t="inlineStr">
        <is>
          <t>CASHCAT_USDT_PERP</t>
        </is>
      </c>
      <c r="B72" s="2">
        <f>COUNTIFS(交易明細!$B$2:$B$526,$A72)</f>
        <v/>
      </c>
      <c r="C72" s="2">
        <f>COUNTIFS(交易明細!$B$2:$B$526,$A72,交易明細!$C$2:$C$526,"做多")</f>
        <v/>
      </c>
      <c r="D72" s="2">
        <f>COUNTIFS(交易明細!$B$2:$B$526,$A72,交易明細!$C$2:$C$526,"做空")</f>
        <v/>
      </c>
      <c r="E72" s="2">
        <f>F72+G72+COUNTIFS(交易明細!$B$2:$B$526,$A72,交易明細!$J$2:$J$526,"時間出場")</f>
        <v/>
      </c>
      <c r="F72" s="2">
        <f>COUNTIFS(交易明細!$B$2:$B$526,$A72,交易明細!$J$2:$J$526,"止盈")</f>
        <v/>
      </c>
      <c r="G72" s="2">
        <f>COUNTIFS(交易明細!$B$2:$B$526,$A72,交易明細!$J$2:$J$526,"止損")</f>
        <v/>
      </c>
      <c r="H72" s="4">
        <f>IFERROR(F72/E72,0)</f>
        <v/>
      </c>
      <c r="I72" s="4">
        <f>IFERROR(AVERAGEIFS(交易明細!$L$2:$L$526,交易明細!$B$2:$B$526,$A72,交易明細!$J$2:$J$526,"&lt;&gt;未平倉"),0)</f>
        <v/>
      </c>
      <c r="J72" s="4">
        <f>SUMIFS(交易明細!$L$2:$L$526,交易明細!$B$2:$B$526,$A72,交易明細!$J$2:$J$526,"&lt;&gt;未平倉")</f>
        <v/>
      </c>
      <c r="K72" s="5">
        <f>IFERROR(AVERAGEIFS(交易明細!$K$2:$K$526,交易明細!$B$2:$B$526,$A72,交易明細!$J$2:$J$526,"&lt;&gt;未平倉"),0)</f>
        <v/>
      </c>
      <c r="L72" s="2">
        <f>COUNTIFS(交易明細!$B$2:$B$526,$A72,交易明細!$J$2:$J$526,"未平倉")</f>
        <v/>
      </c>
    </row>
    <row r="73">
      <c r="A73" s="2" t="inlineStr">
        <is>
          <t>FF_USDT_PERP</t>
        </is>
      </c>
      <c r="B73" s="2">
        <f>COUNTIFS(交易明細!$B$2:$B$526,$A73)</f>
        <v/>
      </c>
      <c r="C73" s="2">
        <f>COUNTIFS(交易明細!$B$2:$B$526,$A73,交易明細!$C$2:$C$526,"做多")</f>
        <v/>
      </c>
      <c r="D73" s="2">
        <f>COUNTIFS(交易明細!$B$2:$B$526,$A73,交易明細!$C$2:$C$526,"做空")</f>
        <v/>
      </c>
      <c r="E73" s="2">
        <f>F73+G73+COUNTIFS(交易明細!$B$2:$B$526,$A73,交易明細!$J$2:$J$526,"時間出場")</f>
        <v/>
      </c>
      <c r="F73" s="2">
        <f>COUNTIFS(交易明細!$B$2:$B$526,$A73,交易明細!$J$2:$J$526,"止盈")</f>
        <v/>
      </c>
      <c r="G73" s="2">
        <f>COUNTIFS(交易明細!$B$2:$B$526,$A73,交易明細!$J$2:$J$526,"止損")</f>
        <v/>
      </c>
      <c r="H73" s="4">
        <f>IFERROR(F73/E73,0)</f>
        <v/>
      </c>
      <c r="I73" s="4">
        <f>IFERROR(AVERAGEIFS(交易明細!$L$2:$L$526,交易明細!$B$2:$B$526,$A73,交易明細!$J$2:$J$526,"&lt;&gt;未平倉"),0)</f>
        <v/>
      </c>
      <c r="J73" s="4">
        <f>SUMIFS(交易明細!$L$2:$L$526,交易明細!$B$2:$B$526,$A73,交易明細!$J$2:$J$526,"&lt;&gt;未平倉")</f>
        <v/>
      </c>
      <c r="K73" s="5">
        <f>IFERROR(AVERAGEIFS(交易明細!$K$2:$K$526,交易明細!$B$2:$B$526,$A73,交易明細!$J$2:$J$526,"&lt;&gt;未平倉"),0)</f>
        <v/>
      </c>
      <c r="L73" s="2">
        <f>COUNTIFS(交易明細!$B$2:$B$526,$A73,交易明細!$J$2:$J$526,"未平倉")</f>
        <v/>
      </c>
    </row>
    <row r="74">
      <c r="A74" s="2" t="inlineStr">
        <is>
          <t>KAT_USDT_PERP</t>
        </is>
      </c>
      <c r="B74" s="2">
        <f>COUNTIFS(交易明細!$B$2:$B$526,$A74)</f>
        <v/>
      </c>
      <c r="C74" s="2">
        <f>COUNTIFS(交易明細!$B$2:$B$526,$A74,交易明細!$C$2:$C$526,"做多")</f>
        <v/>
      </c>
      <c r="D74" s="2">
        <f>COUNTIFS(交易明細!$B$2:$B$526,$A74,交易明細!$C$2:$C$526,"做空")</f>
        <v/>
      </c>
      <c r="E74" s="2">
        <f>F74+G74+COUNTIFS(交易明細!$B$2:$B$526,$A74,交易明細!$J$2:$J$526,"時間出場")</f>
        <v/>
      </c>
      <c r="F74" s="2">
        <f>COUNTIFS(交易明細!$B$2:$B$526,$A74,交易明細!$J$2:$J$526,"止盈")</f>
        <v/>
      </c>
      <c r="G74" s="2">
        <f>COUNTIFS(交易明細!$B$2:$B$526,$A74,交易明細!$J$2:$J$526,"止損")</f>
        <v/>
      </c>
      <c r="H74" s="4">
        <f>IFERROR(F74/E74,0)</f>
        <v/>
      </c>
      <c r="I74" s="4">
        <f>IFERROR(AVERAGEIFS(交易明細!$L$2:$L$526,交易明細!$B$2:$B$526,$A74,交易明細!$J$2:$J$526,"&lt;&gt;未平倉"),0)</f>
        <v/>
      </c>
      <c r="J74" s="4">
        <f>SUMIFS(交易明細!$L$2:$L$526,交易明細!$B$2:$B$526,$A74,交易明細!$J$2:$J$526,"&lt;&gt;未平倉")</f>
        <v/>
      </c>
      <c r="K74" s="5">
        <f>IFERROR(AVERAGEIFS(交易明細!$K$2:$K$526,交易明細!$B$2:$B$526,$A74,交易明細!$J$2:$J$526,"&lt;&gt;未平倉"),0)</f>
        <v/>
      </c>
      <c r="L74" s="2">
        <f>COUNTIFS(交易明細!$B$2:$B$526,$A74,交易明細!$J$2:$J$526,"未平倉")</f>
        <v/>
      </c>
    </row>
    <row r="75">
      <c r="A75" s="2" t="inlineStr">
        <is>
          <t>CAP_USDT_PERP</t>
        </is>
      </c>
      <c r="B75" s="2">
        <f>COUNTIFS(交易明細!$B$2:$B$526,$A75)</f>
        <v/>
      </c>
      <c r="C75" s="2">
        <f>COUNTIFS(交易明細!$B$2:$B$526,$A75,交易明細!$C$2:$C$526,"做多")</f>
        <v/>
      </c>
      <c r="D75" s="2">
        <f>COUNTIFS(交易明細!$B$2:$B$526,$A75,交易明細!$C$2:$C$526,"做空")</f>
        <v/>
      </c>
      <c r="E75" s="2">
        <f>F75+G75+COUNTIFS(交易明細!$B$2:$B$526,$A75,交易明細!$J$2:$J$526,"時間出場")</f>
        <v/>
      </c>
      <c r="F75" s="2">
        <f>COUNTIFS(交易明細!$B$2:$B$526,$A75,交易明細!$J$2:$J$526,"止盈")</f>
        <v/>
      </c>
      <c r="G75" s="2">
        <f>COUNTIFS(交易明細!$B$2:$B$526,$A75,交易明細!$J$2:$J$526,"止損")</f>
        <v/>
      </c>
      <c r="H75" s="4">
        <f>IFERROR(F75/E75,0)</f>
        <v/>
      </c>
      <c r="I75" s="4">
        <f>IFERROR(AVERAGEIFS(交易明細!$L$2:$L$526,交易明細!$B$2:$B$526,$A75,交易明細!$J$2:$J$526,"&lt;&gt;未平倉"),0)</f>
        <v/>
      </c>
      <c r="J75" s="4">
        <f>SUMIFS(交易明細!$L$2:$L$526,交易明細!$B$2:$B$526,$A75,交易明細!$J$2:$J$526,"&lt;&gt;未平倉")</f>
        <v/>
      </c>
      <c r="K75" s="5">
        <f>IFERROR(AVERAGEIFS(交易明細!$K$2:$K$526,交易明細!$B$2:$B$526,$A75,交易明細!$J$2:$J$526,"&lt;&gt;未平倉"),0)</f>
        <v/>
      </c>
      <c r="L75" s="2">
        <f>COUNTIFS(交易明細!$B$2:$B$526,$A75,交易明細!$J$2:$J$526,"未平倉")</f>
        <v/>
      </c>
    </row>
    <row r="76">
      <c r="A76" s="2" t="inlineStr">
        <is>
          <t>XRP_USDT_PERP</t>
        </is>
      </c>
      <c r="B76" s="2">
        <f>COUNTIFS(交易明細!$B$2:$B$526,$A76)</f>
        <v/>
      </c>
      <c r="C76" s="2">
        <f>COUNTIFS(交易明細!$B$2:$B$526,$A76,交易明細!$C$2:$C$526,"做多")</f>
        <v/>
      </c>
      <c r="D76" s="2">
        <f>COUNTIFS(交易明細!$B$2:$B$526,$A76,交易明細!$C$2:$C$526,"做空")</f>
        <v/>
      </c>
      <c r="E76" s="2">
        <f>F76+G76+COUNTIFS(交易明細!$B$2:$B$526,$A76,交易明細!$J$2:$J$526,"時間出場")</f>
        <v/>
      </c>
      <c r="F76" s="2">
        <f>COUNTIFS(交易明細!$B$2:$B$526,$A76,交易明細!$J$2:$J$526,"止盈")</f>
        <v/>
      </c>
      <c r="G76" s="2">
        <f>COUNTIFS(交易明細!$B$2:$B$526,$A76,交易明細!$J$2:$J$526,"止損")</f>
        <v/>
      </c>
      <c r="H76" s="4">
        <f>IFERROR(F76/E76,0)</f>
        <v/>
      </c>
      <c r="I76" s="4">
        <f>IFERROR(AVERAGEIFS(交易明細!$L$2:$L$526,交易明細!$B$2:$B$526,$A76,交易明細!$J$2:$J$526,"&lt;&gt;未平倉"),0)</f>
        <v/>
      </c>
      <c r="J76" s="4">
        <f>SUMIFS(交易明細!$L$2:$L$526,交易明細!$B$2:$B$526,$A76,交易明細!$J$2:$J$526,"&lt;&gt;未平倉")</f>
        <v/>
      </c>
      <c r="K76" s="5">
        <f>IFERROR(AVERAGEIFS(交易明細!$K$2:$K$526,交易明細!$B$2:$B$526,$A76,交易明細!$J$2:$J$526,"&lt;&gt;未平倉"),0)</f>
        <v/>
      </c>
      <c r="L76" s="2">
        <f>COUNTIFS(交易明細!$B$2:$B$526,$A76,交易明細!$J$2:$J$526,"未平倉")</f>
        <v/>
      </c>
    </row>
    <row r="77">
      <c r="A77" s="2" t="inlineStr">
        <is>
          <t>CROSS_USDT_PERP</t>
        </is>
      </c>
      <c r="B77" s="2">
        <f>COUNTIFS(交易明細!$B$2:$B$526,$A77)</f>
        <v/>
      </c>
      <c r="C77" s="2">
        <f>COUNTIFS(交易明細!$B$2:$B$526,$A77,交易明細!$C$2:$C$526,"做多")</f>
        <v/>
      </c>
      <c r="D77" s="2">
        <f>COUNTIFS(交易明細!$B$2:$B$526,$A77,交易明細!$C$2:$C$526,"做空")</f>
        <v/>
      </c>
      <c r="E77" s="2">
        <f>F77+G77+COUNTIFS(交易明細!$B$2:$B$526,$A77,交易明細!$J$2:$J$526,"時間出場")</f>
        <v/>
      </c>
      <c r="F77" s="2">
        <f>COUNTIFS(交易明細!$B$2:$B$526,$A77,交易明細!$J$2:$J$526,"止盈")</f>
        <v/>
      </c>
      <c r="G77" s="2">
        <f>COUNTIFS(交易明細!$B$2:$B$526,$A77,交易明細!$J$2:$J$526,"止損")</f>
        <v/>
      </c>
      <c r="H77" s="4">
        <f>IFERROR(F77/E77,0)</f>
        <v/>
      </c>
      <c r="I77" s="4">
        <f>IFERROR(AVERAGEIFS(交易明細!$L$2:$L$526,交易明細!$B$2:$B$526,$A77,交易明細!$J$2:$J$526,"&lt;&gt;未平倉"),0)</f>
        <v/>
      </c>
      <c r="J77" s="4">
        <f>SUMIFS(交易明細!$L$2:$L$526,交易明細!$B$2:$B$526,$A77,交易明細!$J$2:$J$526,"&lt;&gt;未平倉")</f>
        <v/>
      </c>
      <c r="K77" s="5">
        <f>IFERROR(AVERAGEIFS(交易明細!$K$2:$K$526,交易明細!$B$2:$B$526,$A77,交易明細!$J$2:$J$526,"&lt;&gt;未平倉"),0)</f>
        <v/>
      </c>
      <c r="L77" s="2">
        <f>COUNTIFS(交易明細!$B$2:$B$526,$A77,交易明細!$J$2:$J$526,"未平倉")</f>
        <v/>
      </c>
    </row>
    <row r="78">
      <c r="A78" s="2" t="inlineStr">
        <is>
          <t>MYX_USDT_PERP</t>
        </is>
      </c>
      <c r="B78" s="2">
        <f>COUNTIFS(交易明細!$B$2:$B$526,$A78)</f>
        <v/>
      </c>
      <c r="C78" s="2">
        <f>COUNTIFS(交易明細!$B$2:$B$526,$A78,交易明細!$C$2:$C$526,"做多")</f>
        <v/>
      </c>
      <c r="D78" s="2">
        <f>COUNTIFS(交易明細!$B$2:$B$526,$A78,交易明細!$C$2:$C$526,"做空")</f>
        <v/>
      </c>
      <c r="E78" s="2">
        <f>F78+G78+COUNTIFS(交易明細!$B$2:$B$526,$A78,交易明細!$J$2:$J$526,"時間出場")</f>
        <v/>
      </c>
      <c r="F78" s="2">
        <f>COUNTIFS(交易明細!$B$2:$B$526,$A78,交易明細!$J$2:$J$526,"止盈")</f>
        <v/>
      </c>
      <c r="G78" s="2">
        <f>COUNTIFS(交易明細!$B$2:$B$526,$A78,交易明細!$J$2:$J$526,"止損")</f>
        <v/>
      </c>
      <c r="H78" s="4">
        <f>IFERROR(F78/E78,0)</f>
        <v/>
      </c>
      <c r="I78" s="4">
        <f>IFERROR(AVERAGEIFS(交易明細!$L$2:$L$526,交易明細!$B$2:$B$526,$A78,交易明細!$J$2:$J$526,"&lt;&gt;未平倉"),0)</f>
        <v/>
      </c>
      <c r="J78" s="4">
        <f>SUMIFS(交易明細!$L$2:$L$526,交易明細!$B$2:$B$526,$A78,交易明細!$J$2:$J$526,"&lt;&gt;未平倉")</f>
        <v/>
      </c>
      <c r="K78" s="5">
        <f>IFERROR(AVERAGEIFS(交易明細!$K$2:$K$526,交易明細!$B$2:$B$526,$A78,交易明細!$J$2:$J$526,"&lt;&gt;未平倉"),0)</f>
        <v/>
      </c>
      <c r="L78" s="2">
        <f>COUNTIFS(交易明細!$B$2:$B$526,$A78,交易明細!$J$2:$J$526,"未平倉")</f>
        <v/>
      </c>
    </row>
    <row r="79">
      <c r="A79" s="2" t="inlineStr">
        <is>
          <t>BANK_USDT_PERP</t>
        </is>
      </c>
      <c r="B79" s="2">
        <f>COUNTIFS(交易明細!$B$2:$B$526,$A79)</f>
        <v/>
      </c>
      <c r="C79" s="2">
        <f>COUNTIFS(交易明細!$B$2:$B$526,$A79,交易明細!$C$2:$C$526,"做多")</f>
        <v/>
      </c>
      <c r="D79" s="2">
        <f>COUNTIFS(交易明細!$B$2:$B$526,$A79,交易明細!$C$2:$C$526,"做空")</f>
        <v/>
      </c>
      <c r="E79" s="2">
        <f>F79+G79+COUNTIFS(交易明細!$B$2:$B$526,$A79,交易明細!$J$2:$J$526,"時間出場")</f>
        <v/>
      </c>
      <c r="F79" s="2">
        <f>COUNTIFS(交易明細!$B$2:$B$526,$A79,交易明細!$J$2:$J$526,"止盈")</f>
        <v/>
      </c>
      <c r="G79" s="2">
        <f>COUNTIFS(交易明細!$B$2:$B$526,$A79,交易明細!$J$2:$J$526,"止損")</f>
        <v/>
      </c>
      <c r="H79" s="4">
        <f>IFERROR(F79/E79,0)</f>
        <v/>
      </c>
      <c r="I79" s="4">
        <f>IFERROR(AVERAGEIFS(交易明細!$L$2:$L$526,交易明細!$B$2:$B$526,$A79,交易明細!$J$2:$J$526,"&lt;&gt;未平倉"),0)</f>
        <v/>
      </c>
      <c r="J79" s="4">
        <f>SUMIFS(交易明細!$L$2:$L$526,交易明細!$B$2:$B$526,$A79,交易明細!$J$2:$J$526,"&lt;&gt;未平倉")</f>
        <v/>
      </c>
      <c r="K79" s="5">
        <f>IFERROR(AVERAGEIFS(交易明細!$K$2:$K$526,交易明細!$B$2:$B$526,$A79,交易明細!$J$2:$J$526,"&lt;&gt;未平倉"),0)</f>
        <v/>
      </c>
      <c r="L79" s="2">
        <f>COUNTIFS(交易明細!$B$2:$B$526,$A79,交易明細!$J$2:$J$526,"未平倉")</f>
        <v/>
      </c>
    </row>
    <row r="80">
      <c r="A80" s="2" t="inlineStr">
        <is>
          <t>ETHFI_USDT_PERP</t>
        </is>
      </c>
      <c r="B80" s="2">
        <f>COUNTIFS(交易明細!$B$2:$B$526,$A80)</f>
        <v/>
      </c>
      <c r="C80" s="2">
        <f>COUNTIFS(交易明細!$B$2:$B$526,$A80,交易明細!$C$2:$C$526,"做多")</f>
        <v/>
      </c>
      <c r="D80" s="2">
        <f>COUNTIFS(交易明細!$B$2:$B$526,$A80,交易明細!$C$2:$C$526,"做空")</f>
        <v/>
      </c>
      <c r="E80" s="2">
        <f>F80+G80+COUNTIFS(交易明細!$B$2:$B$526,$A80,交易明細!$J$2:$J$526,"時間出場")</f>
        <v/>
      </c>
      <c r="F80" s="2">
        <f>COUNTIFS(交易明細!$B$2:$B$526,$A80,交易明細!$J$2:$J$526,"止盈")</f>
        <v/>
      </c>
      <c r="G80" s="2">
        <f>COUNTIFS(交易明細!$B$2:$B$526,$A80,交易明細!$J$2:$J$526,"止損")</f>
        <v/>
      </c>
      <c r="H80" s="4">
        <f>IFERROR(F80/E80,0)</f>
        <v/>
      </c>
      <c r="I80" s="4">
        <f>IFERROR(AVERAGEIFS(交易明細!$L$2:$L$526,交易明細!$B$2:$B$526,$A80,交易明細!$J$2:$J$526,"&lt;&gt;未平倉"),0)</f>
        <v/>
      </c>
      <c r="J80" s="4">
        <f>SUMIFS(交易明細!$L$2:$L$526,交易明細!$B$2:$B$526,$A80,交易明細!$J$2:$J$526,"&lt;&gt;未平倉")</f>
        <v/>
      </c>
      <c r="K80" s="5">
        <f>IFERROR(AVERAGEIFS(交易明細!$K$2:$K$526,交易明細!$B$2:$B$526,$A80,交易明細!$J$2:$J$526,"&lt;&gt;未平倉"),0)</f>
        <v/>
      </c>
      <c r="L80" s="2">
        <f>COUNTIFS(交易明細!$B$2:$B$526,$A80,交易明細!$J$2:$J$526,"未平倉")</f>
        <v/>
      </c>
    </row>
    <row r="81">
      <c r="A81" s="2" t="inlineStr">
        <is>
          <t>HBAR_USDT_PERP</t>
        </is>
      </c>
      <c r="B81" s="2">
        <f>COUNTIFS(交易明細!$B$2:$B$526,$A81)</f>
        <v/>
      </c>
      <c r="C81" s="2">
        <f>COUNTIFS(交易明細!$B$2:$B$526,$A81,交易明細!$C$2:$C$526,"做多")</f>
        <v/>
      </c>
      <c r="D81" s="2">
        <f>COUNTIFS(交易明細!$B$2:$B$526,$A81,交易明細!$C$2:$C$526,"做空")</f>
        <v/>
      </c>
      <c r="E81" s="2">
        <f>F81+G81+COUNTIFS(交易明細!$B$2:$B$526,$A81,交易明細!$J$2:$J$526,"時間出場")</f>
        <v/>
      </c>
      <c r="F81" s="2">
        <f>COUNTIFS(交易明細!$B$2:$B$526,$A81,交易明細!$J$2:$J$526,"止盈")</f>
        <v/>
      </c>
      <c r="G81" s="2">
        <f>COUNTIFS(交易明細!$B$2:$B$526,$A81,交易明細!$J$2:$J$526,"止損")</f>
        <v/>
      </c>
      <c r="H81" s="4">
        <f>IFERROR(F81/E81,0)</f>
        <v/>
      </c>
      <c r="I81" s="4">
        <f>IFERROR(AVERAGEIFS(交易明細!$L$2:$L$526,交易明細!$B$2:$B$526,$A81,交易明細!$J$2:$J$526,"&lt;&gt;未平倉"),0)</f>
        <v/>
      </c>
      <c r="J81" s="4">
        <f>SUMIFS(交易明細!$L$2:$L$526,交易明細!$B$2:$B$526,$A81,交易明細!$J$2:$J$526,"&lt;&gt;未平倉")</f>
        <v/>
      </c>
      <c r="K81" s="5">
        <f>IFERROR(AVERAGEIFS(交易明細!$K$2:$K$526,交易明細!$B$2:$B$526,$A81,交易明細!$J$2:$J$526,"&lt;&gt;未平倉"),0)</f>
        <v/>
      </c>
      <c r="L81" s="2">
        <f>COUNTIFS(交易明細!$B$2:$B$526,$A81,交易明細!$J$2:$J$526,"未平倉")</f>
        <v/>
      </c>
    </row>
    <row r="82">
      <c r="A82" s="2" t="inlineStr">
        <is>
          <t>KITE_USDT_PERP</t>
        </is>
      </c>
      <c r="B82" s="2">
        <f>COUNTIFS(交易明細!$B$2:$B$526,$A82)</f>
        <v/>
      </c>
      <c r="C82" s="2">
        <f>COUNTIFS(交易明細!$B$2:$B$526,$A82,交易明細!$C$2:$C$526,"做多")</f>
        <v/>
      </c>
      <c r="D82" s="2">
        <f>COUNTIFS(交易明細!$B$2:$B$526,$A82,交易明細!$C$2:$C$526,"做空")</f>
        <v/>
      </c>
      <c r="E82" s="2">
        <f>F82+G82+COUNTIFS(交易明細!$B$2:$B$526,$A82,交易明細!$J$2:$J$526,"時間出場")</f>
        <v/>
      </c>
      <c r="F82" s="2">
        <f>COUNTIFS(交易明細!$B$2:$B$526,$A82,交易明細!$J$2:$J$526,"止盈")</f>
        <v/>
      </c>
      <c r="G82" s="2">
        <f>COUNTIFS(交易明細!$B$2:$B$526,$A82,交易明細!$J$2:$J$526,"止損")</f>
        <v/>
      </c>
      <c r="H82" s="4">
        <f>IFERROR(F82/E82,0)</f>
        <v/>
      </c>
      <c r="I82" s="4">
        <f>IFERROR(AVERAGEIFS(交易明細!$L$2:$L$526,交易明細!$B$2:$B$526,$A82,交易明細!$J$2:$J$526,"&lt;&gt;未平倉"),0)</f>
        <v/>
      </c>
      <c r="J82" s="4">
        <f>SUMIFS(交易明細!$L$2:$L$526,交易明細!$B$2:$B$526,$A82,交易明細!$J$2:$J$526,"&lt;&gt;未平倉")</f>
        <v/>
      </c>
      <c r="K82" s="5">
        <f>IFERROR(AVERAGEIFS(交易明細!$K$2:$K$526,交易明細!$B$2:$B$526,$A82,交易明細!$J$2:$J$526,"&lt;&gt;未平倉"),0)</f>
        <v/>
      </c>
      <c r="L82" s="2">
        <f>COUNTIFS(交易明細!$B$2:$B$526,$A82,交易明細!$J$2:$J$526,"未平倉")</f>
        <v/>
      </c>
    </row>
    <row r="83">
      <c r="A83" s="2" t="inlineStr">
        <is>
          <t>ADA_USDT_PERP</t>
        </is>
      </c>
      <c r="B83" s="2">
        <f>COUNTIFS(交易明細!$B$2:$B$526,$A83)</f>
        <v/>
      </c>
      <c r="C83" s="2">
        <f>COUNTIFS(交易明細!$B$2:$B$526,$A83,交易明細!$C$2:$C$526,"做多")</f>
        <v/>
      </c>
      <c r="D83" s="2">
        <f>COUNTIFS(交易明細!$B$2:$B$526,$A83,交易明細!$C$2:$C$526,"做空")</f>
        <v/>
      </c>
      <c r="E83" s="2">
        <f>F83+G83+COUNTIFS(交易明細!$B$2:$B$526,$A83,交易明細!$J$2:$J$526,"時間出場")</f>
        <v/>
      </c>
      <c r="F83" s="2">
        <f>COUNTIFS(交易明細!$B$2:$B$526,$A83,交易明細!$J$2:$J$526,"止盈")</f>
        <v/>
      </c>
      <c r="G83" s="2">
        <f>COUNTIFS(交易明細!$B$2:$B$526,$A83,交易明細!$J$2:$J$526,"止損")</f>
        <v/>
      </c>
      <c r="H83" s="4">
        <f>IFERROR(F83/E83,0)</f>
        <v/>
      </c>
      <c r="I83" s="4">
        <f>IFERROR(AVERAGEIFS(交易明細!$L$2:$L$526,交易明細!$B$2:$B$526,$A83,交易明細!$J$2:$J$526,"&lt;&gt;未平倉"),0)</f>
        <v/>
      </c>
      <c r="J83" s="4">
        <f>SUMIFS(交易明細!$L$2:$L$526,交易明細!$B$2:$B$526,$A83,交易明細!$J$2:$J$526,"&lt;&gt;未平倉")</f>
        <v/>
      </c>
      <c r="K83" s="5">
        <f>IFERROR(AVERAGEIFS(交易明細!$K$2:$K$526,交易明細!$B$2:$B$526,$A83,交易明細!$J$2:$J$526,"&lt;&gt;未平倉"),0)</f>
        <v/>
      </c>
      <c r="L83" s="2">
        <f>COUNTIFS(交易明細!$B$2:$B$526,$A83,交易明細!$J$2:$J$526,"未平倉")</f>
        <v/>
      </c>
    </row>
    <row r="84">
      <c r="A84" s="2" t="inlineStr">
        <is>
          <t>LTC_USDT_PERP</t>
        </is>
      </c>
      <c r="B84" s="2">
        <f>COUNTIFS(交易明細!$B$2:$B$526,$A84)</f>
        <v/>
      </c>
      <c r="C84" s="2">
        <f>COUNTIFS(交易明細!$B$2:$B$526,$A84,交易明細!$C$2:$C$526,"做多")</f>
        <v/>
      </c>
      <c r="D84" s="2">
        <f>COUNTIFS(交易明細!$B$2:$B$526,$A84,交易明細!$C$2:$C$526,"做空")</f>
        <v/>
      </c>
      <c r="E84" s="2">
        <f>F84+G84+COUNTIFS(交易明細!$B$2:$B$526,$A84,交易明細!$J$2:$J$526,"時間出場")</f>
        <v/>
      </c>
      <c r="F84" s="2">
        <f>COUNTIFS(交易明細!$B$2:$B$526,$A84,交易明細!$J$2:$J$526,"止盈")</f>
        <v/>
      </c>
      <c r="G84" s="2">
        <f>COUNTIFS(交易明細!$B$2:$B$526,$A84,交易明細!$J$2:$J$526,"止損")</f>
        <v/>
      </c>
      <c r="H84" s="4">
        <f>IFERROR(F84/E84,0)</f>
        <v/>
      </c>
      <c r="I84" s="4">
        <f>IFERROR(AVERAGEIFS(交易明細!$L$2:$L$526,交易明細!$B$2:$B$526,$A84,交易明細!$J$2:$J$526,"&lt;&gt;未平倉"),0)</f>
        <v/>
      </c>
      <c r="J84" s="4">
        <f>SUMIFS(交易明細!$L$2:$L$526,交易明細!$B$2:$B$526,$A84,交易明細!$J$2:$J$526,"&lt;&gt;未平倉")</f>
        <v/>
      </c>
      <c r="K84" s="5">
        <f>IFERROR(AVERAGEIFS(交易明細!$K$2:$K$526,交易明細!$B$2:$B$526,$A84,交易明細!$J$2:$J$526,"&lt;&gt;未平倉"),0)</f>
        <v/>
      </c>
      <c r="L84" s="2">
        <f>COUNTIFS(交易明細!$B$2:$B$526,$A84,交易明細!$J$2:$J$526,"未平倉")</f>
        <v/>
      </c>
    </row>
    <row r="85">
      <c r="A85" s="2" t="inlineStr">
        <is>
          <t>TIA_USDT_PERP</t>
        </is>
      </c>
      <c r="B85" s="2">
        <f>COUNTIFS(交易明細!$B$2:$B$526,$A85)</f>
        <v/>
      </c>
      <c r="C85" s="2">
        <f>COUNTIFS(交易明細!$B$2:$B$526,$A85,交易明細!$C$2:$C$526,"做多")</f>
        <v/>
      </c>
      <c r="D85" s="2">
        <f>COUNTIFS(交易明細!$B$2:$B$526,$A85,交易明細!$C$2:$C$526,"做空")</f>
        <v/>
      </c>
      <c r="E85" s="2">
        <f>F85+G85+COUNTIFS(交易明細!$B$2:$B$526,$A85,交易明細!$J$2:$J$526,"時間出場")</f>
        <v/>
      </c>
      <c r="F85" s="2">
        <f>COUNTIFS(交易明細!$B$2:$B$526,$A85,交易明細!$J$2:$J$526,"止盈")</f>
        <v/>
      </c>
      <c r="G85" s="2">
        <f>COUNTIFS(交易明細!$B$2:$B$526,$A85,交易明細!$J$2:$J$526,"止損")</f>
        <v/>
      </c>
      <c r="H85" s="4">
        <f>IFERROR(F85/E85,0)</f>
        <v/>
      </c>
      <c r="I85" s="4">
        <f>IFERROR(AVERAGEIFS(交易明細!$L$2:$L$526,交易明細!$B$2:$B$526,$A85,交易明細!$J$2:$J$526,"&lt;&gt;未平倉"),0)</f>
        <v/>
      </c>
      <c r="J85" s="4">
        <f>SUMIFS(交易明細!$L$2:$L$526,交易明細!$B$2:$B$526,$A85,交易明細!$J$2:$J$526,"&lt;&gt;未平倉")</f>
        <v/>
      </c>
      <c r="K85" s="5">
        <f>IFERROR(AVERAGEIFS(交易明細!$K$2:$K$526,交易明細!$B$2:$B$526,$A85,交易明細!$J$2:$J$526,"&lt;&gt;未平倉"),0)</f>
        <v/>
      </c>
      <c r="L85" s="2">
        <f>COUNTIFS(交易明細!$B$2:$B$526,$A85,交易明細!$J$2:$J$526,"未平倉")</f>
        <v/>
      </c>
    </row>
    <row r="86">
      <c r="A86" s="2" t="inlineStr">
        <is>
          <t>NOM_USDT_PERP</t>
        </is>
      </c>
      <c r="B86" s="2">
        <f>COUNTIFS(交易明細!$B$2:$B$526,$A86)</f>
        <v/>
      </c>
      <c r="C86" s="2">
        <f>COUNTIFS(交易明細!$B$2:$B$526,$A86,交易明細!$C$2:$C$526,"做多")</f>
        <v/>
      </c>
      <c r="D86" s="2">
        <f>COUNTIFS(交易明細!$B$2:$B$526,$A86,交易明細!$C$2:$C$526,"做空")</f>
        <v/>
      </c>
      <c r="E86" s="2">
        <f>F86+G86+COUNTIFS(交易明細!$B$2:$B$526,$A86,交易明細!$J$2:$J$526,"時間出場")</f>
        <v/>
      </c>
      <c r="F86" s="2">
        <f>COUNTIFS(交易明細!$B$2:$B$526,$A86,交易明細!$J$2:$J$526,"止盈")</f>
        <v/>
      </c>
      <c r="G86" s="2">
        <f>COUNTIFS(交易明細!$B$2:$B$526,$A86,交易明細!$J$2:$J$526,"止損")</f>
        <v/>
      </c>
      <c r="H86" s="4">
        <f>IFERROR(F86/E86,0)</f>
        <v/>
      </c>
      <c r="I86" s="4">
        <f>IFERROR(AVERAGEIFS(交易明細!$L$2:$L$526,交易明細!$B$2:$B$526,$A86,交易明細!$J$2:$J$526,"&lt;&gt;未平倉"),0)</f>
        <v/>
      </c>
      <c r="J86" s="4">
        <f>SUMIFS(交易明細!$L$2:$L$526,交易明細!$B$2:$B$526,$A86,交易明細!$J$2:$J$526,"&lt;&gt;未平倉")</f>
        <v/>
      </c>
      <c r="K86" s="5">
        <f>IFERROR(AVERAGEIFS(交易明細!$K$2:$K$526,交易明細!$B$2:$B$526,$A86,交易明細!$J$2:$J$526,"&lt;&gt;未平倉"),0)</f>
        <v/>
      </c>
      <c r="L86" s="2">
        <f>COUNTIFS(交易明細!$B$2:$B$526,$A86,交易明細!$J$2:$J$526,"未平倉")</f>
        <v/>
      </c>
    </row>
    <row r="87">
      <c r="A87" s="2" t="inlineStr">
        <is>
          <t>BROCCOLI_USDT_PERP</t>
        </is>
      </c>
      <c r="B87" s="2">
        <f>COUNTIFS(交易明細!$B$2:$B$526,$A87)</f>
        <v/>
      </c>
      <c r="C87" s="2">
        <f>COUNTIFS(交易明細!$B$2:$B$526,$A87,交易明細!$C$2:$C$526,"做多")</f>
        <v/>
      </c>
      <c r="D87" s="2">
        <f>COUNTIFS(交易明細!$B$2:$B$526,$A87,交易明細!$C$2:$C$526,"做空")</f>
        <v/>
      </c>
      <c r="E87" s="2">
        <f>F87+G87+COUNTIFS(交易明細!$B$2:$B$526,$A87,交易明細!$J$2:$J$526,"時間出場")</f>
        <v/>
      </c>
      <c r="F87" s="2">
        <f>COUNTIFS(交易明細!$B$2:$B$526,$A87,交易明細!$J$2:$J$526,"止盈")</f>
        <v/>
      </c>
      <c r="G87" s="2">
        <f>COUNTIFS(交易明細!$B$2:$B$526,$A87,交易明細!$J$2:$J$526,"止損")</f>
        <v/>
      </c>
      <c r="H87" s="4">
        <f>IFERROR(F87/E87,0)</f>
        <v/>
      </c>
      <c r="I87" s="4">
        <f>IFERROR(AVERAGEIFS(交易明細!$L$2:$L$526,交易明細!$B$2:$B$526,$A87,交易明細!$J$2:$J$526,"&lt;&gt;未平倉"),0)</f>
        <v/>
      </c>
      <c r="J87" s="4">
        <f>SUMIFS(交易明細!$L$2:$L$526,交易明細!$B$2:$B$526,$A87,交易明細!$J$2:$J$526,"&lt;&gt;未平倉")</f>
        <v/>
      </c>
      <c r="K87" s="5">
        <f>IFERROR(AVERAGEIFS(交易明細!$K$2:$K$526,交易明細!$B$2:$B$526,$A87,交易明細!$J$2:$J$526,"&lt;&gt;未平倉"),0)</f>
        <v/>
      </c>
      <c r="L87" s="2">
        <f>COUNTIFS(交易明細!$B$2:$B$526,$A87,交易明細!$J$2:$J$526,"未平倉")</f>
        <v/>
      </c>
    </row>
    <row r="88">
      <c r="A88" s="2" t="inlineStr">
        <is>
          <t>MUBARAK_USDT_PERP</t>
        </is>
      </c>
      <c r="B88" s="2">
        <f>COUNTIFS(交易明細!$B$2:$B$526,$A88)</f>
        <v/>
      </c>
      <c r="C88" s="2">
        <f>COUNTIFS(交易明細!$B$2:$B$526,$A88,交易明細!$C$2:$C$526,"做多")</f>
        <v/>
      </c>
      <c r="D88" s="2">
        <f>COUNTIFS(交易明細!$B$2:$B$526,$A88,交易明細!$C$2:$C$526,"做空")</f>
        <v/>
      </c>
      <c r="E88" s="2">
        <f>F88+G88+COUNTIFS(交易明細!$B$2:$B$526,$A88,交易明細!$J$2:$J$526,"時間出場")</f>
        <v/>
      </c>
      <c r="F88" s="2">
        <f>COUNTIFS(交易明細!$B$2:$B$526,$A88,交易明細!$J$2:$J$526,"止盈")</f>
        <v/>
      </c>
      <c r="G88" s="2">
        <f>COUNTIFS(交易明細!$B$2:$B$526,$A88,交易明細!$J$2:$J$526,"止損")</f>
        <v/>
      </c>
      <c r="H88" s="4">
        <f>IFERROR(F88/E88,0)</f>
        <v/>
      </c>
      <c r="I88" s="4">
        <f>IFERROR(AVERAGEIFS(交易明細!$L$2:$L$526,交易明細!$B$2:$B$526,$A88,交易明細!$J$2:$J$526,"&lt;&gt;未平倉"),0)</f>
        <v/>
      </c>
      <c r="J88" s="4">
        <f>SUMIFS(交易明細!$L$2:$L$526,交易明細!$B$2:$B$526,$A88,交易明細!$J$2:$J$526,"&lt;&gt;未平倉")</f>
        <v/>
      </c>
      <c r="K88" s="5">
        <f>IFERROR(AVERAGEIFS(交易明細!$K$2:$K$526,交易明細!$B$2:$B$526,$A88,交易明細!$J$2:$J$526,"&lt;&gt;未平倉"),0)</f>
        <v/>
      </c>
      <c r="L88" s="2">
        <f>COUNTIFS(交易明細!$B$2:$B$526,$A88,交易明細!$J$2:$J$526,"未平倉")</f>
        <v/>
      </c>
    </row>
    <row r="89">
      <c r="A89" s="2" t="inlineStr">
        <is>
          <t>SAGA_USDT_PERP</t>
        </is>
      </c>
      <c r="B89" s="2">
        <f>COUNTIFS(交易明細!$B$2:$B$526,$A89)</f>
        <v/>
      </c>
      <c r="C89" s="2">
        <f>COUNTIFS(交易明細!$B$2:$B$526,$A89,交易明細!$C$2:$C$526,"做多")</f>
        <v/>
      </c>
      <c r="D89" s="2">
        <f>COUNTIFS(交易明細!$B$2:$B$526,$A89,交易明細!$C$2:$C$526,"做空")</f>
        <v/>
      </c>
      <c r="E89" s="2">
        <f>F89+G89+COUNTIFS(交易明細!$B$2:$B$526,$A89,交易明細!$J$2:$J$526,"時間出場")</f>
        <v/>
      </c>
      <c r="F89" s="2">
        <f>COUNTIFS(交易明細!$B$2:$B$526,$A89,交易明細!$J$2:$J$526,"止盈")</f>
        <v/>
      </c>
      <c r="G89" s="2">
        <f>COUNTIFS(交易明細!$B$2:$B$526,$A89,交易明細!$J$2:$J$526,"止損")</f>
        <v/>
      </c>
      <c r="H89" s="4">
        <f>IFERROR(F89/E89,0)</f>
        <v/>
      </c>
      <c r="I89" s="4">
        <f>IFERROR(AVERAGEIFS(交易明細!$L$2:$L$526,交易明細!$B$2:$B$526,$A89,交易明細!$J$2:$J$526,"&lt;&gt;未平倉"),0)</f>
        <v/>
      </c>
      <c r="J89" s="4">
        <f>SUMIFS(交易明細!$L$2:$L$526,交易明細!$B$2:$B$526,$A89,交易明細!$J$2:$J$526,"&lt;&gt;未平倉")</f>
        <v/>
      </c>
      <c r="K89" s="5">
        <f>IFERROR(AVERAGEIFS(交易明細!$K$2:$K$526,交易明細!$B$2:$B$526,$A89,交易明細!$J$2:$J$526,"&lt;&gt;未平倉"),0)</f>
        <v/>
      </c>
      <c r="L89" s="2">
        <f>COUNTIFS(交易明細!$B$2:$B$526,$A89,交易明細!$J$2:$J$526,"未平倉")</f>
        <v/>
      </c>
    </row>
    <row r="90">
      <c r="A90" s="2" t="inlineStr">
        <is>
          <t>2Z_USDT_PERP</t>
        </is>
      </c>
      <c r="B90" s="2">
        <f>COUNTIFS(交易明細!$B$2:$B$526,$A90)</f>
        <v/>
      </c>
      <c r="C90" s="2">
        <f>COUNTIFS(交易明細!$B$2:$B$526,$A90,交易明細!$C$2:$C$526,"做多")</f>
        <v/>
      </c>
      <c r="D90" s="2">
        <f>COUNTIFS(交易明細!$B$2:$B$526,$A90,交易明細!$C$2:$C$526,"做空")</f>
        <v/>
      </c>
      <c r="E90" s="2">
        <f>F90+G90+COUNTIFS(交易明細!$B$2:$B$526,$A90,交易明細!$J$2:$J$526,"時間出場")</f>
        <v/>
      </c>
      <c r="F90" s="2">
        <f>COUNTIFS(交易明細!$B$2:$B$526,$A90,交易明細!$J$2:$J$526,"止盈")</f>
        <v/>
      </c>
      <c r="G90" s="2">
        <f>COUNTIFS(交易明細!$B$2:$B$526,$A90,交易明細!$J$2:$J$526,"止損")</f>
        <v/>
      </c>
      <c r="H90" s="4">
        <f>IFERROR(F90/E90,0)</f>
        <v/>
      </c>
      <c r="I90" s="4">
        <f>IFERROR(AVERAGEIFS(交易明細!$L$2:$L$526,交易明細!$B$2:$B$526,$A90,交易明細!$J$2:$J$526,"&lt;&gt;未平倉"),0)</f>
        <v/>
      </c>
      <c r="J90" s="4">
        <f>SUMIFS(交易明細!$L$2:$L$526,交易明細!$B$2:$B$526,$A90,交易明細!$J$2:$J$526,"&lt;&gt;未平倉")</f>
        <v/>
      </c>
      <c r="K90" s="5">
        <f>IFERROR(AVERAGEIFS(交易明細!$K$2:$K$526,交易明細!$B$2:$B$526,$A90,交易明細!$J$2:$J$526,"&lt;&gt;未平倉"),0)</f>
        <v/>
      </c>
      <c r="L90" s="2">
        <f>COUNTIFS(交易明細!$B$2:$B$526,$A90,交易明細!$J$2:$J$526,"未平倉")</f>
        <v/>
      </c>
    </row>
    <row r="91">
      <c r="A91" s="2" t="inlineStr">
        <is>
          <t>GRASS_USDT_PERP</t>
        </is>
      </c>
      <c r="B91" s="2">
        <f>COUNTIFS(交易明細!$B$2:$B$526,$A91)</f>
        <v/>
      </c>
      <c r="C91" s="2">
        <f>COUNTIFS(交易明細!$B$2:$B$526,$A91,交易明細!$C$2:$C$526,"做多")</f>
        <v/>
      </c>
      <c r="D91" s="2">
        <f>COUNTIFS(交易明細!$B$2:$B$526,$A91,交易明細!$C$2:$C$526,"做空")</f>
        <v/>
      </c>
      <c r="E91" s="2">
        <f>F91+G91+COUNTIFS(交易明細!$B$2:$B$526,$A91,交易明細!$J$2:$J$526,"時間出場")</f>
        <v/>
      </c>
      <c r="F91" s="2">
        <f>COUNTIFS(交易明細!$B$2:$B$526,$A91,交易明細!$J$2:$J$526,"止盈")</f>
        <v/>
      </c>
      <c r="G91" s="2">
        <f>COUNTIFS(交易明細!$B$2:$B$526,$A91,交易明細!$J$2:$J$526,"止損")</f>
        <v/>
      </c>
      <c r="H91" s="4">
        <f>IFERROR(F91/E91,0)</f>
        <v/>
      </c>
      <c r="I91" s="4">
        <f>IFERROR(AVERAGEIFS(交易明細!$L$2:$L$526,交易明細!$B$2:$B$526,$A91,交易明細!$J$2:$J$526,"&lt;&gt;未平倉"),0)</f>
        <v/>
      </c>
      <c r="J91" s="4">
        <f>SUMIFS(交易明細!$L$2:$L$526,交易明細!$B$2:$B$526,$A91,交易明細!$J$2:$J$526,"&lt;&gt;未平倉")</f>
        <v/>
      </c>
      <c r="K91" s="5">
        <f>IFERROR(AVERAGEIFS(交易明細!$K$2:$K$526,交易明細!$B$2:$B$526,$A91,交易明細!$J$2:$J$526,"&lt;&gt;未平倉"),0)</f>
        <v/>
      </c>
      <c r="L91" s="2">
        <f>COUNTIFS(交易明細!$B$2:$B$526,$A91,交易明細!$J$2:$J$526,"未平倉")</f>
        <v/>
      </c>
    </row>
  </sheetData>
  <autoFilter ref="A1:L9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>
        <is>
          <t>持倉中</t>
        </is>
      </c>
      <c r="D231" s="2" t="n"/>
      <c r="E231" s="20" t="n"/>
      <c r="F231" s="20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>
        <is>
          <t>持倉中</t>
        </is>
      </c>
      <c r="D255" s="2" t="n"/>
      <c r="E255" s="20" t="n"/>
      <c r="F255" s="20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>
        <is>
          <t>持倉中</t>
        </is>
      </c>
      <c r="D308" s="2" t="n"/>
      <c r="E308" s="20" t="n"/>
      <c r="F308" s="20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>
        <is>
          <t>持倉中</t>
        </is>
      </c>
      <c r="D397" s="2" t="n"/>
      <c r="E397" s="20" t="n"/>
      <c r="F397" s="20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20" t="n"/>
      <c r="F444" s="20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2026-09-27T22:20:19Z</dcterms:created>
  <dcterms:modified xsi:type="dcterms:W3CDTF">2026-09-27T22:20:20Z</dcterms:modified>
</cp:coreProperties>
</file>