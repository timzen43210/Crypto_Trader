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'資金明細'!$A$1:$Z$502</definedName>
    <definedName name="_xlnm._FilterDatabase" localSheetId="5" hidden="1">'交易明細'!$A$1:$AC$254</definedName>
    <definedName name="_xlnm._FilterDatabase" localSheetId="6" hidden="1">'幣種統計'!$A$1:$L$55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04:13（Dry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COUNTIFS(交易明細!$B$2:$B$254,"&lt;&gt;")</f>
        <v/>
      </c>
      <c r="C5" s="2">
        <f>D5+E5+F5</f>
        <v/>
      </c>
      <c r="D5" s="2">
        <f>COUNTIFS(交易明細!$J$2:$J$254,"止盈")</f>
        <v/>
      </c>
      <c r="E5" s="2">
        <f>COUNTIFS(交易明細!$J$2:$J$254,"止損")</f>
        <v/>
      </c>
      <c r="F5" s="2">
        <f>COUNTIFS(交易明細!$J$2:$J$254,"時間出場")</f>
        <v/>
      </c>
      <c r="G5" s="2">
        <f>COUNTIFS(交易明細!$J$2:$J$254,"未平倉")</f>
        <v/>
      </c>
      <c r="H5" s="4">
        <f>IFERROR(D5/C5,0)</f>
        <v/>
      </c>
      <c r="I5" s="4">
        <f>IFERROR(AVERAGEIFS(交易明細!$AC$2:$AC$254,交易明細!$J$2:$J$254,"&lt;&gt;未平倉"),參數!$B$16)</f>
        <v/>
      </c>
      <c r="J5" s="4">
        <f>IFERROR(AVERAGEIFS(交易明細!$L$2:$L$254,交易明細!$J$2:$J$254,"&lt;&gt;未平倉"),0)</f>
        <v/>
      </c>
      <c r="K5" s="4">
        <f>SUMIFS(交易明細!$L$2:$L$254,交易明細!$J$2:$J$254,"&lt;&gt;未平倉")</f>
        <v/>
      </c>
      <c r="L5" s="5">
        <f>IFERROR(AVERAGEIFS(交易明細!$K$2:$K$254,交易明細!$J$2:$J$254,"&lt;&gt;未平倉"),0)</f>
        <v/>
      </c>
      <c r="M5" s="5">
        <f>IFERROR(AVERAGEIFS(交易明細!$K$2:$K$254,交易明細!$J$2:$J$254,"止盈"),0)</f>
        <v/>
      </c>
      <c r="N5" s="5">
        <f>IFERROR(AVERAGEIFS(交易明細!$K$2:$K$254,交易明細!$J$2:$J$254,"止損"),0)</f>
        <v/>
      </c>
      <c r="O5" s="4">
        <f>IFERROR(AVERAGEIFS(交易明細!$L$2:$L$254,交易明細!$J$2:$J$254,"時間出場"),0)</f>
        <v/>
      </c>
      <c r="P5" s="4">
        <f>IFERROR(COUNTIFS(交易明細!$J$2:$J$254,"&lt;&gt;未平倉",交易明細!$L$2:$L$254,"&gt;0")/C5,0)</f>
        <v/>
      </c>
    </row>
    <row r="6">
      <c r="A6" s="2" t="inlineStr">
        <is>
          <t>做多</t>
        </is>
      </c>
      <c r="B6" s="2">
        <f>COUNTIFS(交易明細!$C$2:$C$254,"做多",交易明細!$B$2:$B$254,"&lt;&gt;")</f>
        <v/>
      </c>
      <c r="C6" s="2">
        <f>D6+E6+F6</f>
        <v/>
      </c>
      <c r="D6" s="2">
        <f>COUNTIFS(交易明細!$C$2:$C$254,"做多",交易明細!$J$2:$J$254,"止盈")</f>
        <v/>
      </c>
      <c r="E6" s="2">
        <f>COUNTIFS(交易明細!$C$2:$C$254,"做多",交易明細!$J$2:$J$254,"止損")</f>
        <v/>
      </c>
      <c r="F6" s="2">
        <f>COUNTIFS(交易明細!$C$2:$C$254,"做多",交易明細!$J$2:$J$254,"時間出場")</f>
        <v/>
      </c>
      <c r="G6" s="2">
        <f>COUNTIFS(交易明細!$C$2:$C$254,"做多",交易明細!$J$2:$J$254,"未平倉")</f>
        <v/>
      </c>
      <c r="H6" s="4">
        <f>IFERROR(D6/C6,0)</f>
        <v/>
      </c>
      <c r="I6" s="4">
        <f>IFERROR(AVERAGEIFS(交易明細!$AC$2:$AC$254,交易明細!$C$2:$C$254,"做多",交易明細!$J$2:$J$254,"&lt;&gt;未平倉"),參數!$B$16)</f>
        <v/>
      </c>
      <c r="J6" s="4">
        <f>IFERROR(AVERAGEIFS(交易明細!$L$2:$L$254,交易明細!$C$2:$C$254,"做多",交易明細!$J$2:$J$254,"&lt;&gt;未平倉"),0)</f>
        <v/>
      </c>
      <c r="K6" s="4">
        <f>SUMIFS(交易明細!$L$2:$L$254,交易明細!$C$2:$C$254,"做多",交易明細!$J$2:$J$254,"&lt;&gt;未平倉")</f>
        <v/>
      </c>
      <c r="L6" s="5">
        <f>IFERROR(AVERAGEIFS(交易明細!$K$2:$K$254,交易明細!$C$2:$C$254,"做多",交易明細!$J$2:$J$254,"&lt;&gt;未平倉"),0)</f>
        <v/>
      </c>
      <c r="M6" s="5">
        <f>IFERROR(AVERAGEIFS(交易明細!$K$2:$K$254,交易明細!$C$2:$C$254,"做多",交易明細!$J$2:$J$254,"止盈"),0)</f>
        <v/>
      </c>
      <c r="N6" s="5">
        <f>IFERROR(AVERAGEIFS(交易明細!$K$2:$K$254,交易明細!$C$2:$C$254,"做多",交易明細!$J$2:$J$254,"止損"),0)</f>
        <v/>
      </c>
      <c r="O6" s="4">
        <f>IFERROR(AVERAGEIFS(交易明細!$L$2:$L$254,交易明細!$C$2:$C$254,"做多",交易明細!$J$2:$J$254,"時間出場"),0)</f>
        <v/>
      </c>
      <c r="P6" s="4">
        <f>IFERROR(COUNTIFS(交易明細!$C$2:$C$254,"做多",交易明細!$J$2:$J$254,"&lt;&gt;未平倉",交易明細!$L$2:$L$254,"&gt;0")/C6,0)</f>
        <v/>
      </c>
    </row>
    <row r="7">
      <c r="A7" s="2" t="inlineStr">
        <is>
          <t>做空</t>
        </is>
      </c>
      <c r="B7" s="2">
        <f>COUNTIFS(交易明細!$C$2:$C$254,"做空",交易明細!$B$2:$B$254,"&lt;&gt;")</f>
        <v/>
      </c>
      <c r="C7" s="2">
        <f>D7+E7+F7</f>
        <v/>
      </c>
      <c r="D7" s="2">
        <f>COUNTIFS(交易明細!$C$2:$C$254,"做空",交易明細!$J$2:$J$254,"止盈")</f>
        <v/>
      </c>
      <c r="E7" s="2">
        <f>COUNTIFS(交易明細!$C$2:$C$254,"做空",交易明細!$J$2:$J$254,"止損")</f>
        <v/>
      </c>
      <c r="F7" s="2">
        <f>COUNTIFS(交易明細!$C$2:$C$254,"做空",交易明細!$J$2:$J$254,"時間出場")</f>
        <v/>
      </c>
      <c r="G7" s="2">
        <f>COUNTIFS(交易明細!$C$2:$C$254,"做空",交易明細!$J$2:$J$254,"未平倉")</f>
        <v/>
      </c>
      <c r="H7" s="4">
        <f>IFERROR(D7/C7,0)</f>
        <v/>
      </c>
      <c r="I7" s="4">
        <f>IFERROR(AVERAGEIFS(交易明細!$AC$2:$AC$254,交易明細!$C$2:$C$254,"做空",交易明細!$J$2:$J$254,"&lt;&gt;未平倉"),參數!$B$16)</f>
        <v/>
      </c>
      <c r="J7" s="4">
        <f>IFERROR(AVERAGEIFS(交易明細!$L$2:$L$254,交易明細!$C$2:$C$254,"做空",交易明細!$J$2:$J$254,"&lt;&gt;未平倉"),0)</f>
        <v/>
      </c>
      <c r="K7" s="4">
        <f>SUMIFS(交易明細!$L$2:$L$254,交易明細!$C$2:$C$254,"做空",交易明細!$J$2:$J$254,"&lt;&gt;未平倉")</f>
        <v/>
      </c>
      <c r="L7" s="5">
        <f>IFERROR(AVERAGEIFS(交易明細!$K$2:$K$254,交易明細!$C$2:$C$254,"做空",交易明細!$J$2:$J$254,"&lt;&gt;未平倉"),0)</f>
        <v/>
      </c>
      <c r="M7" s="5">
        <f>IFERROR(AVERAGEIFS(交易明細!$K$2:$K$254,交易明細!$C$2:$C$254,"做空",交易明細!$J$2:$J$254,"止盈"),0)</f>
        <v/>
      </c>
      <c r="N7" s="5">
        <f>IFERROR(AVERAGEIFS(交易明細!$K$2:$K$254,交易明細!$C$2:$C$254,"做空",交易明細!$J$2:$J$254,"止損"),0)</f>
        <v/>
      </c>
      <c r="O7" s="4">
        <f>IFERROR(AVERAGEIFS(交易明細!$L$2:$L$254,交易明細!$C$2:$C$254,"做空",交易明細!$J$2:$J$254,"時間出場"),0)</f>
        <v/>
      </c>
      <c r="P7" s="4">
        <f>IFERROR(COUNTIFS(交易明細!$C$2:$C$254,"做空",交易明細!$J$2:$J$254,"&lt;&gt;未平倉",交易明細!$L$2:$L$254,"&gt;0")/C7,0)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46282.17576607639</v>
      </c>
      <c r="B2" s="7" t="n">
        <v>46282.125</v>
      </c>
      <c r="C2" s="2" t="n">
        <v>440</v>
      </c>
      <c r="D2" s="2" t="n">
        <v>6</v>
      </c>
      <c r="E2" s="2" t="n">
        <v>1</v>
      </c>
      <c r="F2" s="2" t="n">
        <v>0</v>
      </c>
      <c r="G2" s="2" t="n">
        <v>67</v>
      </c>
    </row>
    <row r="3">
      <c r="A3" s="7" t="n">
        <v>46282.04552453704</v>
      </c>
      <c r="B3" s="7" t="n">
        <v>46282</v>
      </c>
      <c r="C3" s="2" t="n">
        <v>440</v>
      </c>
      <c r="D3" s="2" t="n">
        <v>2</v>
      </c>
      <c r="E3" s="2" t="n">
        <v>4</v>
      </c>
      <c r="F3" s="2" t="n">
        <v>0</v>
      </c>
      <c r="G3" s="2" t="n">
        <v>52.9</v>
      </c>
    </row>
    <row r="4">
      <c r="A4" s="7" t="n">
        <v>46281.82298537037</v>
      </c>
      <c r="B4" s="7" t="n">
        <v>46281.75</v>
      </c>
      <c r="C4" s="2" t="n">
        <v>440</v>
      </c>
      <c r="D4" s="2" t="n">
        <v>2</v>
      </c>
      <c r="E4" s="2" t="n">
        <v>4</v>
      </c>
      <c r="F4" s="2" t="n">
        <v>0</v>
      </c>
      <c r="G4" s="2" t="n">
        <v>65.7</v>
      </c>
    </row>
    <row r="5">
      <c r="A5" s="7" t="n">
        <v>46281.58829054398</v>
      </c>
      <c r="B5" s="7" t="n">
        <v>46281.54166666666</v>
      </c>
      <c r="C5" s="2" t="n">
        <v>440</v>
      </c>
      <c r="D5" s="2" t="n">
        <v>7</v>
      </c>
      <c r="E5" s="2" t="n">
        <v>3</v>
      </c>
      <c r="F5" s="2" t="n">
        <v>0</v>
      </c>
      <c r="G5" s="2" t="n">
        <v>54.5</v>
      </c>
    </row>
    <row r="6">
      <c r="A6" s="7" t="n">
        <v>46281.35205523148</v>
      </c>
      <c r="B6" s="7" t="n">
        <v>46281.29166666666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66.90000000000001</v>
      </c>
    </row>
    <row r="7">
      <c r="A7" s="7" t="n">
        <v>46281.22963460648</v>
      </c>
      <c r="B7" s="7" t="n">
        <v>46281.16666666666</v>
      </c>
      <c r="C7" s="2" t="n">
        <v>442</v>
      </c>
      <c r="D7" s="2" t="n">
        <v>3</v>
      </c>
      <c r="E7" s="2" t="n">
        <v>2</v>
      </c>
      <c r="F7" s="2" t="n">
        <v>0</v>
      </c>
      <c r="G7" s="2" t="n">
        <v>61.9</v>
      </c>
    </row>
    <row r="8">
      <c r="A8" s="7" t="n">
        <v>46281.094529375</v>
      </c>
      <c r="B8" s="7" t="n">
        <v>46281.04166666666</v>
      </c>
      <c r="C8" s="2" t="n">
        <v>442</v>
      </c>
      <c r="D8" s="2" t="n">
        <v>6</v>
      </c>
      <c r="E8" s="2" t="n">
        <v>6</v>
      </c>
      <c r="F8" s="2" t="n">
        <v>0</v>
      </c>
      <c r="G8" s="2" t="n">
        <v>46.5</v>
      </c>
    </row>
    <row r="9">
      <c r="A9" s="7" t="n">
        <v>46280.9017994676</v>
      </c>
      <c r="B9" s="7" t="n">
        <v>46280.83333333334</v>
      </c>
      <c r="C9" s="2" t="n">
        <v>442</v>
      </c>
      <c r="D9" s="2" t="n">
        <v>2</v>
      </c>
      <c r="E9" s="2" t="n">
        <v>4</v>
      </c>
      <c r="F9" s="2" t="n">
        <v>0</v>
      </c>
      <c r="G9" s="2" t="n">
        <v>56.7</v>
      </c>
    </row>
    <row r="10">
      <c r="A10" s="7" t="n">
        <v>46280.66002480324</v>
      </c>
      <c r="B10" s="7" t="n">
        <v>46280.58333333334</v>
      </c>
      <c r="C10" s="2" t="n">
        <v>442</v>
      </c>
      <c r="D10" s="2" t="n">
        <v>2</v>
      </c>
      <c r="E10" s="2" t="n">
        <v>3</v>
      </c>
      <c r="F10" s="2" t="n">
        <v>0</v>
      </c>
      <c r="G10" s="2" t="n">
        <v>67.40000000000001</v>
      </c>
    </row>
    <row r="11">
      <c r="A11" s="7" t="n">
        <v>46280.4778358449</v>
      </c>
      <c r="B11" s="7" t="n">
        <v>46280.41666666666</v>
      </c>
      <c r="C11" s="2" t="n">
        <v>442</v>
      </c>
      <c r="D11" s="2" t="n">
        <v>1</v>
      </c>
      <c r="E11" s="2" t="n">
        <v>0</v>
      </c>
      <c r="F11" s="2" t="n">
        <v>0</v>
      </c>
      <c r="G11" s="2" t="n">
        <v>61.2</v>
      </c>
    </row>
    <row r="12">
      <c r="A12" s="7" t="n">
        <v>46280.39795681713</v>
      </c>
      <c r="B12" s="7" t="n">
        <v>46280.33333333334</v>
      </c>
      <c r="C12" s="2" t="n">
        <v>442</v>
      </c>
      <c r="D12" s="2" t="n">
        <v>0</v>
      </c>
      <c r="E12" s="2" t="n">
        <v>1</v>
      </c>
      <c r="F12" s="2" t="n">
        <v>0</v>
      </c>
      <c r="G12" s="2" t="n">
        <v>66.90000000000001</v>
      </c>
    </row>
    <row r="13">
      <c r="A13" s="7" t="n">
        <v>46280.29983445602</v>
      </c>
      <c r="B13" s="7" t="n">
        <v>46280.25</v>
      </c>
      <c r="C13" s="2" t="n">
        <v>442</v>
      </c>
      <c r="D13" s="2" t="n">
        <v>1</v>
      </c>
      <c r="E13" s="2" t="n">
        <v>1</v>
      </c>
      <c r="F13" s="2" t="n">
        <v>0</v>
      </c>
      <c r="G13" s="2" t="n">
        <v>51.6</v>
      </c>
    </row>
    <row r="14">
      <c r="A14" s="7" t="n">
        <v>46280.14350143519</v>
      </c>
      <c r="B14" s="7" t="n">
        <v>46280.08333333334</v>
      </c>
      <c r="C14" s="2" t="n">
        <v>442</v>
      </c>
      <c r="D14" s="2" t="n">
        <v>3</v>
      </c>
      <c r="E14" s="2" t="n">
        <v>1</v>
      </c>
      <c r="F14" s="2" t="n">
        <v>0</v>
      </c>
      <c r="G14" s="2" t="n">
        <v>57.3</v>
      </c>
    </row>
    <row r="15">
      <c r="A15" s="7" t="n">
        <v>46279.92418226852</v>
      </c>
      <c r="B15" s="7" t="n">
        <v>46279.875</v>
      </c>
      <c r="C15" s="2" t="n">
        <v>442</v>
      </c>
      <c r="D15" s="2" t="n">
        <v>6</v>
      </c>
      <c r="E15" s="2" t="n">
        <v>7</v>
      </c>
      <c r="F15" s="2" t="n">
        <v>0</v>
      </c>
      <c r="G15" s="2" t="n">
        <v>48.1</v>
      </c>
    </row>
    <row r="16">
      <c r="A16" s="7" t="n">
        <v>46279.59996445602</v>
      </c>
      <c r="B16" s="7" t="n">
        <v>46279.54166666666</v>
      </c>
      <c r="C16" s="2" t="n">
        <v>442</v>
      </c>
      <c r="D16" s="2" t="n">
        <v>2</v>
      </c>
      <c r="E16" s="2" t="n">
        <v>3</v>
      </c>
      <c r="F16" s="2" t="n">
        <v>0</v>
      </c>
      <c r="G16" s="2" t="n">
        <v>61</v>
      </c>
    </row>
    <row r="17">
      <c r="A17" s="7" t="n">
        <v>46279.38316741898</v>
      </c>
      <c r="B17" s="7" t="n">
        <v>46279.33333333334</v>
      </c>
      <c r="C17" s="2" t="n">
        <v>442</v>
      </c>
      <c r="D17" s="2" t="n">
        <v>2</v>
      </c>
      <c r="E17" s="2" t="n">
        <v>2</v>
      </c>
      <c r="F17" s="2" t="n">
        <v>0</v>
      </c>
      <c r="G17" s="2" t="n">
        <v>59.9</v>
      </c>
    </row>
    <row r="18">
      <c r="A18" s="7" t="n">
        <v>46279.26932584491</v>
      </c>
      <c r="B18" s="7" t="n">
        <v>46279.20833333334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61.1</v>
      </c>
    </row>
    <row r="19">
      <c r="A19" s="7" t="n">
        <v>46279.14665413195</v>
      </c>
      <c r="B19" s="7" t="n">
        <v>46279.08333333334</v>
      </c>
      <c r="C19" s="2" t="n">
        <v>442</v>
      </c>
      <c r="D19" s="2" t="n">
        <v>1</v>
      </c>
      <c r="E19" s="2" t="n">
        <v>0</v>
      </c>
      <c r="F19" s="2" t="n">
        <v>0</v>
      </c>
      <c r="G19" s="2" t="n">
        <v>55.1</v>
      </c>
    </row>
    <row r="20">
      <c r="A20" s="7" t="n">
        <v>46279.01733591435</v>
      </c>
      <c r="B20" s="7" t="n">
        <v>46278.95833333334</v>
      </c>
      <c r="C20" s="2" t="n">
        <v>442</v>
      </c>
      <c r="D20" s="2" t="n">
        <v>2</v>
      </c>
      <c r="E20" s="2" t="n">
        <v>4</v>
      </c>
      <c r="F20" s="2" t="n">
        <v>0</v>
      </c>
      <c r="G20" s="2" t="n">
        <v>59.7</v>
      </c>
    </row>
    <row r="21">
      <c r="A21" s="7" t="n">
        <v>46278.83725055555</v>
      </c>
      <c r="B21" s="7" t="n">
        <v>46278.79166666666</v>
      </c>
      <c r="C21" s="2" t="n">
        <v>442</v>
      </c>
      <c r="D21" s="2" t="n">
        <v>0</v>
      </c>
      <c r="E21" s="2" t="n">
        <v>3</v>
      </c>
      <c r="F21" s="2" t="n">
        <v>0</v>
      </c>
      <c r="G21" s="2" t="n">
        <v>65.40000000000001</v>
      </c>
    </row>
    <row r="22">
      <c r="A22" s="7" t="n">
        <v>46278.71111972223</v>
      </c>
      <c r="B22" s="7" t="n">
        <v>46278.66666666666</v>
      </c>
      <c r="C22" s="2" t="n">
        <v>442</v>
      </c>
      <c r="D22" s="2" t="n">
        <v>3</v>
      </c>
      <c r="E22" s="2" t="n">
        <v>1</v>
      </c>
      <c r="F22" s="2" t="n">
        <v>0</v>
      </c>
      <c r="G22" s="2" t="n">
        <v>63.6</v>
      </c>
    </row>
    <row r="23">
      <c r="A23" s="7" t="n">
        <v>46278.68053923611</v>
      </c>
      <c r="B23" s="7" t="n">
        <v>46278.625</v>
      </c>
      <c r="C23" s="2" t="n">
        <v>442</v>
      </c>
      <c r="D23" s="2" t="n">
        <v>9</v>
      </c>
      <c r="E23" s="2" t="n">
        <v>10</v>
      </c>
      <c r="F23" s="2" t="n">
        <v>0</v>
      </c>
      <c r="G23" s="2" t="n">
        <v>63.6</v>
      </c>
    </row>
    <row r="24">
      <c r="A24" s="7" t="n">
        <v>46278.07354997685</v>
      </c>
      <c r="B24" s="7" t="n">
        <v>46278</v>
      </c>
      <c r="C24" s="2" t="n">
        <v>442</v>
      </c>
      <c r="D24" s="2" t="n">
        <v>3</v>
      </c>
      <c r="E24" s="2" t="n">
        <v>1</v>
      </c>
      <c r="F24" s="2" t="n">
        <v>0</v>
      </c>
      <c r="G24" s="2" t="n">
        <v>50.2</v>
      </c>
    </row>
    <row r="25">
      <c r="A25" s="7" t="n">
        <v>46277.94390239583</v>
      </c>
      <c r="B25" s="7" t="n">
        <v>46277.875</v>
      </c>
      <c r="C25" s="2" t="n">
        <v>442</v>
      </c>
      <c r="D25" s="2" t="n">
        <v>190</v>
      </c>
      <c r="E25" s="2" t="n">
        <v>186</v>
      </c>
      <c r="F25" s="2" t="n">
        <v>0</v>
      </c>
      <c r="G2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資金明細!R502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MAX(資金明細!$R$2:$R$502)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MIN(資金明細!$R$2:$R$502)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MIN(資金明細!$X$2:$X$502)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COUNTIFS(資金明細!$C$2:$C$502,"進場",資金明細!$N$2:$N$502,"已下單")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COUNTIFS(資金明細!$C$2:$C$502,"進場",資金明細!$N$2:$N$502,"資金不足略過")</f>
        <v/>
      </c>
    </row>
    <row r="11">
      <c r="D11" s="2" t="inlineStr">
        <is>
          <t>止盈筆數</t>
        </is>
      </c>
      <c r="E11" s="15">
        <f>COUNTIFS(資金明細!$C$2:$C$502,"出場",資金明細!$N$2:$N$502,"已下單",資金明細!$K$2:$K$502,"止盈")</f>
        <v/>
      </c>
    </row>
    <row r="12">
      <c r="A12" s="2" t="inlineStr">
        <is>
          <t>每筆止損約虧本金</t>
        </is>
      </c>
      <c r="B12" s="4">
        <f>B5*B7*IFERROR(AVERAGE(交易明細!$AB$2:$AB$254),參數!B6)</f>
        <v/>
      </c>
      <c r="D12" s="2" t="inlineStr">
        <is>
          <t>止損筆數</t>
        </is>
      </c>
      <c r="E12" s="15">
        <f>COUNTIFS(資金明細!$C$2:$C$502,"出場",資金明細!$N$2:$N$502,"已下單",資金明細!$K$2:$K$502,"止損")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IFERROR(E11/COUNTIFS(資金明細!$C$2:$C$502,"出場",資金明細!$N$2:$N$502,"已下單"),0)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MAX(資金明細!$U$2:$U$502)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MAX(資金明細!$S$2:$S$502)</f>
        <v/>
      </c>
    </row>
    <row r="16">
      <c r="D16" s="2" t="inlineStr">
        <is>
          <t>期末下單金額</t>
        </is>
      </c>
      <c r="E16" s="16">
        <f>B5*資金明細!V502</f>
        <v/>
      </c>
    </row>
    <row r="17">
      <c r="D17" s="2" t="inlineStr">
        <is>
          <t>未平倉浮動損益（未計入）</t>
        </is>
      </c>
      <c r="E17" s="10">
        <f>IF(資金明細!N497="已下單",資金明細!O497*交易明細!L249,0)+IF(資金明細!N498="已下單",資金明細!O498*交易明細!L250,0)+IF(資金明細!N499="已下單",資金明細!O499*交易明細!L251,0)+IF(資金明細!N500="已下單",資金明細!O500*交易明細!L252,0)+IF(資金明細!N501="已下單",資金明細!O501*交易明細!L253,0)+IF(資金明細!N502="已下單",資金明細!O502*交易明細!L254,0)</f>
        <v/>
      </c>
    </row>
    <row r="18">
      <c r="D18" s="2" t="inlineStr">
        <is>
          <t>最大總曝險倍數</t>
        </is>
      </c>
      <c r="E18" s="16">
        <f>MAX(資金明細!$Y$2:$Y$502)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IFERROR(INDEX(資金明細!$B$2:$B$502,MATCH(1,資金明細!$Z$2:$Z$502,0)),"未觸發")</f>
        <v/>
      </c>
    </row>
    <row r="21">
      <c r="D21" s="2" t="inlineStr">
        <is>
          <t>停止後略過筆數</t>
        </is>
      </c>
      <c r="E21" s="15">
        <f>COUNTIFS(資金明細!$C$2:$C$502,"進場",資金明細!$N$2:$N$502,"已停止")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n"/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n"/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n"/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17" t="n">
        <v>0.06694</v>
      </c>
      <c r="H409" s="17" t="n">
        <v>0.0649318</v>
      </c>
      <c r="I409" s="17" t="n">
        <v>0.070287</v>
      </c>
      <c r="J409" s="17" t="n">
        <v>0.0649318</v>
      </c>
      <c r="K409" s="2" t="inlineStr">
        <is>
          <t>止盈</t>
        </is>
      </c>
      <c r="L409" s="5">
        <f>交易明細!K204</f>
        <v/>
      </c>
      <c r="M409" s="16">
        <f>M403</f>
        <v/>
      </c>
      <c r="N409" s="2">
        <f>N403</f>
        <v/>
      </c>
      <c r="O409" s="16">
        <f>O403</f>
        <v/>
      </c>
      <c r="P409" s="4">
        <f>交易明細!L204</f>
        <v/>
      </c>
      <c r="Q409" s="10">
        <f>IF(N409="已下單",O409*P409,0)</f>
        <v/>
      </c>
      <c r="R409" s="10">
        <f>R408+Q409</f>
        <v/>
      </c>
      <c r="S409" s="16">
        <f>S408-IF(N409="已下單",M409,0)</f>
        <v/>
      </c>
      <c r="T409" s="16">
        <f>R409-S409</f>
        <v/>
      </c>
      <c r="U409" s="2">
        <f>U408-IF(N409="已下單",1,0)</f>
        <v/>
      </c>
      <c r="V409" s="16">
        <f>IF(資金模擬!$B$9=2,MAX(R409,0),MAX(V408,FLOOR(MAX(R409,0),資金模擬!$B$6)))</f>
        <v/>
      </c>
      <c r="W409" s="10">
        <f>MAX(W408,R409)</f>
        <v/>
      </c>
      <c r="X409" s="4">
        <f>IF(W409&gt;0,R409/W409-1,-1)</f>
        <v/>
      </c>
      <c r="Y409" s="16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17" t="n">
        <v>0.1418</v>
      </c>
      <c r="H410" s="17" t="n">
        <v>0.137546</v>
      </c>
      <c r="I410" s="17" t="n">
        <v>0.14889</v>
      </c>
      <c r="J410" s="17" t="n">
        <v>0.137546</v>
      </c>
      <c r="K410" s="2" t="inlineStr">
        <is>
          <t>止盈</t>
        </is>
      </c>
      <c r="L410" s="5">
        <f>交易明細!K179</f>
        <v/>
      </c>
      <c r="M410" s="16">
        <f>M355</f>
        <v/>
      </c>
      <c r="N410" s="2">
        <f>N355</f>
        <v/>
      </c>
      <c r="O410" s="16">
        <f>O355</f>
        <v/>
      </c>
      <c r="P410" s="4">
        <f>交易明細!L179</f>
        <v/>
      </c>
      <c r="Q410" s="10">
        <f>IF(N410="已下單",O410*P410,0)</f>
        <v/>
      </c>
      <c r="R410" s="10">
        <f>R409+Q410</f>
        <v/>
      </c>
      <c r="S410" s="16">
        <f>S409-IF(N410="已下單",M410,0)</f>
        <v/>
      </c>
      <c r="T410" s="16">
        <f>R410-S410</f>
        <v/>
      </c>
      <c r="U410" s="2">
        <f>U409-IF(N410="已下單",1,0)</f>
        <v/>
      </c>
      <c r="V410" s="16">
        <f>IF(資金模擬!$B$9=2,MAX(R410,0),MAX(V409,FLOOR(MAX(R410,0),資金模擬!$B$6)))</f>
        <v/>
      </c>
      <c r="W410" s="10">
        <f>MAX(W409,R410)</f>
        <v/>
      </c>
      <c r="X410" s="4">
        <f>IF(W410&gt;0,R410/W410-1,-1)</f>
        <v/>
      </c>
      <c r="Y410" s="16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17" t="n">
        <v>22.673</v>
      </c>
      <c r="H411" s="17" t="n">
        <v>21.99281</v>
      </c>
      <c r="I411" s="17" t="n">
        <v>23.80665</v>
      </c>
      <c r="J411" s="17" t="n">
        <v>21.99281</v>
      </c>
      <c r="K411" s="2" t="inlineStr">
        <is>
          <t>止盈</t>
        </is>
      </c>
      <c r="L411" s="5">
        <f>交易明細!K205</f>
        <v/>
      </c>
      <c r="M411" s="16">
        <f>M404</f>
        <v/>
      </c>
      <c r="N411" s="2">
        <f>N404</f>
        <v/>
      </c>
      <c r="O411" s="16">
        <f>O404</f>
        <v/>
      </c>
      <c r="P411" s="4">
        <f>交易明細!L205</f>
        <v/>
      </c>
      <c r="Q411" s="10">
        <f>IF(N411="已下單",O411*P411,0)</f>
        <v/>
      </c>
      <c r="R411" s="10">
        <f>R410+Q411</f>
        <v/>
      </c>
      <c r="S411" s="16">
        <f>S410-IF(N411="已下單",M411,0)</f>
        <v/>
      </c>
      <c r="T411" s="16">
        <f>R411-S411</f>
        <v/>
      </c>
      <c r="U411" s="2">
        <f>U410-IF(N411="已下單",1,0)</f>
        <v/>
      </c>
      <c r="V411" s="16">
        <f>IF(資金模擬!$B$9=2,MAX(R411,0),MAX(V410,FLOOR(MAX(R411,0),資金模擬!$B$6)))</f>
        <v/>
      </c>
      <c r="W411" s="10">
        <f>MAX(W410,R411)</f>
        <v/>
      </c>
      <c r="X411" s="4">
        <f>IF(W411&gt;0,R411/W411-1,-1)</f>
        <v/>
      </c>
      <c r="Y411" s="16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17" t="n">
        <v>0.06630999999999999</v>
      </c>
      <c r="H412" s="17" t="n">
        <v>0.06432069999999999</v>
      </c>
      <c r="I412" s="17" t="n">
        <v>0.06962549999999999</v>
      </c>
      <c r="J412" s="17" t="n"/>
      <c r="K412" s="2" t="n"/>
      <c r="L412" s="5" t="n"/>
      <c r="M412" s="16">
        <f>資金模擬!$B$5*V411</f>
        <v/>
      </c>
      <c r="N412" s="2">
        <f>IF(Z411=1,"已停止",IF(T411&gt;=M412,"已下單","資金不足略過"))</f>
        <v/>
      </c>
      <c r="O412" s="16">
        <f>IF(N412="已下單",M412*資金模擬!$B$7,0)</f>
        <v/>
      </c>
      <c r="P412" s="4" t="n"/>
      <c r="Q412" s="10" t="n">
        <v>0</v>
      </c>
      <c r="R412" s="10">
        <f>R411+Q412</f>
        <v/>
      </c>
      <c r="S412" s="16">
        <f>S411+IF(N412="已下單",M412,0)</f>
        <v/>
      </c>
      <c r="T412" s="16">
        <f>R412-S412</f>
        <v/>
      </c>
      <c r="U412" s="2">
        <f>U411+IF(N412="已下單",1,0)</f>
        <v/>
      </c>
      <c r="V412" s="16">
        <f>IF(資金模擬!$B$9=2,MAX(R412,0),MAX(V411,FLOOR(MAX(R412,0),資金模擬!$B$6)))</f>
        <v/>
      </c>
      <c r="W412" s="10">
        <f>MAX(W411,R412)</f>
        <v/>
      </c>
      <c r="X412" s="4">
        <f>IF(W412&gt;0,R412/W412-1,-1)</f>
        <v/>
      </c>
      <c r="Y412" s="16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17" t="n">
        <v>0.06630999999999999</v>
      </c>
      <c r="H413" s="17" t="n">
        <v>0.06432069999999999</v>
      </c>
      <c r="I413" s="17" t="n">
        <v>0.06962549999999999</v>
      </c>
      <c r="J413" s="17" t="n">
        <v>0.06962549999999999</v>
      </c>
      <c r="K413" s="2" t="inlineStr">
        <is>
          <t>止損</t>
        </is>
      </c>
      <c r="L413" s="5">
        <f>交易明細!K207</f>
        <v/>
      </c>
      <c r="M413" s="16">
        <f>M412</f>
        <v/>
      </c>
      <c r="N413" s="2">
        <f>N412</f>
        <v/>
      </c>
      <c r="O413" s="16">
        <f>O412</f>
        <v/>
      </c>
      <c r="P413" s="4">
        <f>交易明細!L207</f>
        <v/>
      </c>
      <c r="Q413" s="10">
        <f>IF(N413="已下單",O413*P413,0)</f>
        <v/>
      </c>
      <c r="R413" s="10">
        <f>R412+Q413</f>
        <v/>
      </c>
      <c r="S413" s="16">
        <f>S412-IF(N413="已下單",M413,0)</f>
        <v/>
      </c>
      <c r="T413" s="16">
        <f>R413-S413</f>
        <v/>
      </c>
      <c r="U413" s="2">
        <f>U412-IF(N413="已下單",1,0)</f>
        <v/>
      </c>
      <c r="V413" s="16">
        <f>IF(資金模擬!$B$9=2,MAX(R413,0),MAX(V412,FLOOR(MAX(R413,0),資金模擬!$B$6)))</f>
        <v/>
      </c>
      <c r="W413" s="10">
        <f>MAX(W412,R413)</f>
        <v/>
      </c>
      <c r="X413" s="4">
        <f>IF(W413&gt;0,R413/W413-1,-1)</f>
        <v/>
      </c>
      <c r="Y413" s="16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17" t="n">
        <v>0.003569</v>
      </c>
      <c r="H414" s="17" t="n">
        <v>0.00346193</v>
      </c>
      <c r="I414" s="17" t="n">
        <v>0.00374745</v>
      </c>
      <c r="J414" s="17" t="n"/>
      <c r="K414" s="2" t="n"/>
      <c r="L414" s="5" t="n"/>
      <c r="M414" s="16">
        <f>資金模擬!$B$5*V413</f>
        <v/>
      </c>
      <c r="N414" s="2">
        <f>IF(Z413=1,"已停止",IF(T413&gt;=M414,"已下單","資金不足略過"))</f>
        <v/>
      </c>
      <c r="O414" s="16">
        <f>IF(N414="已下單",M414*資金模擬!$B$7,0)</f>
        <v/>
      </c>
      <c r="P414" s="4" t="n"/>
      <c r="Q414" s="10" t="n">
        <v>0</v>
      </c>
      <c r="R414" s="10">
        <f>R413+Q414</f>
        <v/>
      </c>
      <c r="S414" s="16">
        <f>S413+IF(N414="已下單",M414,0)</f>
        <v/>
      </c>
      <c r="T414" s="16">
        <f>R414-S414</f>
        <v/>
      </c>
      <c r="U414" s="2">
        <f>U413+IF(N414="已下單",1,0)</f>
        <v/>
      </c>
      <c r="V414" s="16">
        <f>IF(資金模擬!$B$9=2,MAX(R414,0),MAX(V413,FLOOR(MAX(R414,0),資金模擬!$B$6)))</f>
        <v/>
      </c>
      <c r="W414" s="10">
        <f>MAX(W413,R414)</f>
        <v/>
      </c>
      <c r="X414" s="4">
        <f>IF(W414&gt;0,R414/W414-1,-1)</f>
        <v/>
      </c>
      <c r="Y414" s="16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17" t="n">
        <v>0.06729</v>
      </c>
      <c r="H415" s="17" t="n">
        <v>0.0652713</v>
      </c>
      <c r="I415" s="17" t="n">
        <v>0.07065450000000001</v>
      </c>
      <c r="J415" s="17" t="n"/>
      <c r="K415" s="2" t="n"/>
      <c r="L415" s="5" t="n"/>
      <c r="M415" s="16">
        <f>資金模擬!$B$5*V414</f>
        <v/>
      </c>
      <c r="N415" s="2">
        <f>IF(Z414=1,"已停止",IF(T414&gt;=M415,"已下單","資金不足略過"))</f>
        <v/>
      </c>
      <c r="O415" s="16">
        <f>IF(N415="已下單",M415*資金模擬!$B$7,0)</f>
        <v/>
      </c>
      <c r="P415" s="4" t="n"/>
      <c r="Q415" s="10" t="n">
        <v>0</v>
      </c>
      <c r="R415" s="10">
        <f>R414+Q415</f>
        <v/>
      </c>
      <c r="S415" s="16">
        <f>S414+IF(N415="已下單",M415,0)</f>
        <v/>
      </c>
      <c r="T415" s="16">
        <f>R415-S415</f>
        <v/>
      </c>
      <c r="U415" s="2">
        <f>U414+IF(N415="已下單",1,0)</f>
        <v/>
      </c>
      <c r="V415" s="16">
        <f>IF(資金模擬!$B$9=2,MAX(R415,0),MAX(V414,FLOOR(MAX(R415,0),資金模擬!$B$6)))</f>
        <v/>
      </c>
      <c r="W415" s="10">
        <f>MAX(W414,R415)</f>
        <v/>
      </c>
      <c r="X415" s="4">
        <f>IF(W415&gt;0,R415/W415-1,-1)</f>
        <v/>
      </c>
      <c r="Y415" s="16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17" t="n">
        <v>0.06729</v>
      </c>
      <c r="H416" s="17" t="n">
        <v>0.0652713</v>
      </c>
      <c r="I416" s="17" t="n">
        <v>0.07065450000000001</v>
      </c>
      <c r="J416" s="17" t="n">
        <v>0.0652713</v>
      </c>
      <c r="K416" s="2" t="inlineStr">
        <is>
          <t>止盈</t>
        </is>
      </c>
      <c r="L416" s="5">
        <f>交易明細!K209</f>
        <v/>
      </c>
      <c r="M416" s="16">
        <f>M415</f>
        <v/>
      </c>
      <c r="N416" s="2">
        <f>N415</f>
        <v/>
      </c>
      <c r="O416" s="16">
        <f>O415</f>
        <v/>
      </c>
      <c r="P416" s="4">
        <f>交易明細!L209</f>
        <v/>
      </c>
      <c r="Q416" s="10">
        <f>IF(N416="已下單",O416*P416,0)</f>
        <v/>
      </c>
      <c r="R416" s="10">
        <f>R415+Q416</f>
        <v/>
      </c>
      <c r="S416" s="16">
        <f>S415-IF(N416="已下單",M416,0)</f>
        <v/>
      </c>
      <c r="T416" s="16">
        <f>R416-S416</f>
        <v/>
      </c>
      <c r="U416" s="2">
        <f>U415-IF(N416="已下單",1,0)</f>
        <v/>
      </c>
      <c r="V416" s="16">
        <f>IF(資金模擬!$B$9=2,MAX(R416,0),MAX(V415,FLOOR(MAX(R416,0),資金模擬!$B$6)))</f>
        <v/>
      </c>
      <c r="W416" s="10">
        <f>MAX(W415,R416)</f>
        <v/>
      </c>
      <c r="X416" s="4">
        <f>IF(W416&gt;0,R416/W416-1,-1)</f>
        <v/>
      </c>
      <c r="Y416" s="16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17" t="n">
        <v>0.21683</v>
      </c>
      <c r="H417" s="17" t="n">
        <v>0.2103251</v>
      </c>
      <c r="I417" s="17" t="n">
        <v>0.2276715</v>
      </c>
      <c r="J417" s="17" t="n"/>
      <c r="K417" s="2" t="n"/>
      <c r="L417" s="5" t="n"/>
      <c r="M417" s="16">
        <f>資金模擬!$B$5*V416</f>
        <v/>
      </c>
      <c r="N417" s="2">
        <f>IF(Z416=1,"已停止",IF(T416&gt;=M417,"已下單","資金不足略過"))</f>
        <v/>
      </c>
      <c r="O417" s="16">
        <f>IF(N417="已下單",M417*資金模擬!$B$7,0)</f>
        <v/>
      </c>
      <c r="P417" s="4" t="n"/>
      <c r="Q417" s="10" t="n">
        <v>0</v>
      </c>
      <c r="R417" s="10">
        <f>R416+Q417</f>
        <v/>
      </c>
      <c r="S417" s="16">
        <f>S416+IF(N417="已下單",M417,0)</f>
        <v/>
      </c>
      <c r="T417" s="16">
        <f>R417-S417</f>
        <v/>
      </c>
      <c r="U417" s="2">
        <f>U416+IF(N417="已下單",1,0)</f>
        <v/>
      </c>
      <c r="V417" s="16">
        <f>IF(資金模擬!$B$9=2,MAX(R417,0),MAX(V416,FLOOR(MAX(R417,0),資金模擬!$B$6)))</f>
        <v/>
      </c>
      <c r="W417" s="10">
        <f>MAX(W416,R417)</f>
        <v/>
      </c>
      <c r="X417" s="4">
        <f>IF(W417&gt;0,R417/W417-1,-1)</f>
        <v/>
      </c>
      <c r="Y417" s="16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17" t="n">
        <v>21.468</v>
      </c>
      <c r="H418" s="17" t="n">
        <v>20.82396</v>
      </c>
      <c r="I418" s="17" t="n">
        <v>22.5414</v>
      </c>
      <c r="J418" s="17" t="n"/>
      <c r="K418" s="2" t="n"/>
      <c r="L418" s="5" t="n"/>
      <c r="M418" s="16">
        <f>資金模擬!$B$5*V417</f>
        <v/>
      </c>
      <c r="N418" s="2">
        <f>IF(Z417=1,"已停止",IF(T417&gt;=M418,"已下單","資金不足略過"))</f>
        <v/>
      </c>
      <c r="O418" s="16">
        <f>IF(N418="已下單",M418*資金模擬!$B$7,0)</f>
        <v/>
      </c>
      <c r="P418" s="4" t="n"/>
      <c r="Q418" s="10" t="n">
        <v>0</v>
      </c>
      <c r="R418" s="10">
        <f>R417+Q418</f>
        <v/>
      </c>
      <c r="S418" s="16">
        <f>S417+IF(N418="已下單",M418,0)</f>
        <v/>
      </c>
      <c r="T418" s="16">
        <f>R418-S418</f>
        <v/>
      </c>
      <c r="U418" s="2">
        <f>U417+IF(N418="已下單",1,0)</f>
        <v/>
      </c>
      <c r="V418" s="16">
        <f>IF(資金模擬!$B$9=2,MAX(R418,0),MAX(V417,FLOOR(MAX(R418,0),資金模擬!$B$6)))</f>
        <v/>
      </c>
      <c r="W418" s="10">
        <f>MAX(W417,R418)</f>
        <v/>
      </c>
      <c r="X418" s="4">
        <f>IF(W418&gt;0,R418/W418-1,-1)</f>
        <v/>
      </c>
      <c r="Y418" s="16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17" t="n">
        <v>0.003569</v>
      </c>
      <c r="H419" s="17" t="n">
        <v>0.00346193</v>
      </c>
      <c r="I419" s="17" t="n">
        <v>0.00374745</v>
      </c>
      <c r="J419" s="17" t="n">
        <v>0.00346193</v>
      </c>
      <c r="K419" s="2" t="inlineStr">
        <is>
          <t>止盈</t>
        </is>
      </c>
      <c r="L419" s="5">
        <f>交易明細!K208</f>
        <v/>
      </c>
      <c r="M419" s="16">
        <f>M414</f>
        <v/>
      </c>
      <c r="N419" s="2">
        <f>N414</f>
        <v/>
      </c>
      <c r="O419" s="16">
        <f>O414</f>
        <v/>
      </c>
      <c r="P419" s="4">
        <f>交易明細!L208</f>
        <v/>
      </c>
      <c r="Q419" s="10">
        <f>IF(N419="已下單",O419*P419,0)</f>
        <v/>
      </c>
      <c r="R419" s="10">
        <f>R418+Q419</f>
        <v/>
      </c>
      <c r="S419" s="16">
        <f>S418-IF(N419="已下單",M419,0)</f>
        <v/>
      </c>
      <c r="T419" s="16">
        <f>R419-S419</f>
        <v/>
      </c>
      <c r="U419" s="2">
        <f>U418-IF(N419="已下單",1,0)</f>
        <v/>
      </c>
      <c r="V419" s="16">
        <f>IF(資金模擬!$B$9=2,MAX(R419,0),MAX(V418,FLOOR(MAX(R419,0),資金模擬!$B$6)))</f>
        <v/>
      </c>
      <c r="W419" s="10">
        <f>MAX(W418,R419)</f>
        <v/>
      </c>
      <c r="X419" s="4">
        <f>IF(W419&gt;0,R419/W419-1,-1)</f>
        <v/>
      </c>
      <c r="Y419" s="16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17" t="n">
        <v>0.21683</v>
      </c>
      <c r="H420" s="17" t="n">
        <v>0.2103251</v>
      </c>
      <c r="I420" s="17" t="n">
        <v>0.2276715</v>
      </c>
      <c r="J420" s="17" t="n">
        <v>0.2103251</v>
      </c>
      <c r="K420" s="2" t="inlineStr">
        <is>
          <t>止盈</t>
        </is>
      </c>
      <c r="L420" s="5">
        <f>交易明細!K210</f>
        <v/>
      </c>
      <c r="M420" s="16">
        <f>M417</f>
        <v/>
      </c>
      <c r="N420" s="2">
        <f>N417</f>
        <v/>
      </c>
      <c r="O420" s="16">
        <f>O417</f>
        <v/>
      </c>
      <c r="P420" s="4">
        <f>交易明細!L210</f>
        <v/>
      </c>
      <c r="Q420" s="10">
        <f>IF(N420="已下單",O420*P420,0)</f>
        <v/>
      </c>
      <c r="R420" s="10">
        <f>R419+Q420</f>
        <v/>
      </c>
      <c r="S420" s="16">
        <f>S419-IF(N420="已下單",M420,0)</f>
        <v/>
      </c>
      <c r="T420" s="16">
        <f>R420-S420</f>
        <v/>
      </c>
      <c r="U420" s="2">
        <f>U419-IF(N420="已下單",1,0)</f>
        <v/>
      </c>
      <c r="V420" s="16">
        <f>IF(資金模擬!$B$9=2,MAX(R420,0),MAX(V419,FLOOR(MAX(R420,0),資金模擬!$B$6)))</f>
        <v/>
      </c>
      <c r="W420" s="10">
        <f>MAX(W419,R420)</f>
        <v/>
      </c>
      <c r="X420" s="4">
        <f>IF(W420&gt;0,R420/W420-1,-1)</f>
        <v/>
      </c>
      <c r="Y420" s="16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17" t="n">
        <v>0.70762</v>
      </c>
      <c r="H421" s="17" t="n">
        <v>0.7288486000000001</v>
      </c>
      <c r="I421" s="17" t="n">
        <v>0.672239</v>
      </c>
      <c r="J421" s="17" t="n"/>
      <c r="K421" s="2" t="n"/>
      <c r="L421" s="5" t="n"/>
      <c r="M421" s="16">
        <f>資金模擬!$B$5*V420</f>
        <v/>
      </c>
      <c r="N421" s="2">
        <f>IF(Z420=1,"已停止",IF(T420&gt;=M421,"已下單","資金不足略過"))</f>
        <v/>
      </c>
      <c r="O421" s="16">
        <f>IF(N421="已下單",M421*資金模擬!$B$7,0)</f>
        <v/>
      </c>
      <c r="P421" s="4" t="n"/>
      <c r="Q421" s="10" t="n">
        <v>0</v>
      </c>
      <c r="R421" s="10">
        <f>R420+Q421</f>
        <v/>
      </c>
      <c r="S421" s="16">
        <f>S420+IF(N421="已下單",M421,0)</f>
        <v/>
      </c>
      <c r="T421" s="16">
        <f>R421-S421</f>
        <v/>
      </c>
      <c r="U421" s="2">
        <f>U420+IF(N421="已下單",1,0)</f>
        <v/>
      </c>
      <c r="V421" s="16">
        <f>IF(資金模擬!$B$9=2,MAX(R421,0),MAX(V420,FLOOR(MAX(R421,0),資金模擬!$B$6)))</f>
        <v/>
      </c>
      <c r="W421" s="10">
        <f>MAX(W420,R421)</f>
        <v/>
      </c>
      <c r="X421" s="4">
        <f>IF(W421&gt;0,R421/W421-1,-1)</f>
        <v/>
      </c>
      <c r="Y421" s="16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17" t="n">
        <v>21.468</v>
      </c>
      <c r="H422" s="17" t="n">
        <v>20.82396</v>
      </c>
      <c r="I422" s="17" t="n">
        <v>22.5414</v>
      </c>
      <c r="J422" s="17" t="n">
        <v>22.5414</v>
      </c>
      <c r="K422" s="2" t="inlineStr">
        <is>
          <t>止損</t>
        </is>
      </c>
      <c r="L422" s="5">
        <f>交易明細!K211</f>
        <v/>
      </c>
      <c r="M422" s="16">
        <f>M418</f>
        <v/>
      </c>
      <c r="N422" s="2">
        <f>N418</f>
        <v/>
      </c>
      <c r="O422" s="16">
        <f>O418</f>
        <v/>
      </c>
      <c r="P422" s="4">
        <f>交易明細!L211</f>
        <v/>
      </c>
      <c r="Q422" s="10">
        <f>IF(N422="已下單",O422*P422,0)</f>
        <v/>
      </c>
      <c r="R422" s="10">
        <f>R421+Q422</f>
        <v/>
      </c>
      <c r="S422" s="16">
        <f>S421-IF(N422="已下單",M422,0)</f>
        <v/>
      </c>
      <c r="T422" s="16">
        <f>R422-S422</f>
        <v/>
      </c>
      <c r="U422" s="2">
        <f>U421-IF(N422="已下單",1,0)</f>
        <v/>
      </c>
      <c r="V422" s="16">
        <f>IF(資金模擬!$B$9=2,MAX(R422,0),MAX(V421,FLOOR(MAX(R422,0),資金模擬!$B$6)))</f>
        <v/>
      </c>
      <c r="W422" s="10">
        <f>MAX(W421,R422)</f>
        <v/>
      </c>
      <c r="X422" s="4">
        <f>IF(W422&gt;0,R422/W422-1,-1)</f>
        <v/>
      </c>
      <c r="Y422" s="16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17" t="n">
        <v>0.70762</v>
      </c>
      <c r="H423" s="17" t="n">
        <v>0.7288486000000001</v>
      </c>
      <c r="I423" s="17" t="n">
        <v>0.672239</v>
      </c>
      <c r="J423" s="17" t="n">
        <v>0.672239</v>
      </c>
      <c r="K423" s="2" t="inlineStr">
        <is>
          <t>止損</t>
        </is>
      </c>
      <c r="L423" s="5">
        <f>交易明細!K212</f>
        <v/>
      </c>
      <c r="M423" s="16">
        <f>M421</f>
        <v/>
      </c>
      <c r="N423" s="2">
        <f>N421</f>
        <v/>
      </c>
      <c r="O423" s="16">
        <f>O421</f>
        <v/>
      </c>
      <c r="P423" s="4">
        <f>交易明細!L212</f>
        <v/>
      </c>
      <c r="Q423" s="10">
        <f>IF(N423="已下單",O423*P423,0)</f>
        <v/>
      </c>
      <c r="R423" s="10">
        <f>R422+Q423</f>
        <v/>
      </c>
      <c r="S423" s="16">
        <f>S422-IF(N423="已下單",M423,0)</f>
        <v/>
      </c>
      <c r="T423" s="16">
        <f>R423-S423</f>
        <v/>
      </c>
      <c r="U423" s="2">
        <f>U422-IF(N423="已下單",1,0)</f>
        <v/>
      </c>
      <c r="V423" s="16">
        <f>IF(資金模擬!$B$9=2,MAX(R423,0),MAX(V422,FLOOR(MAX(R423,0),資金模擬!$B$6)))</f>
        <v/>
      </c>
      <c r="W423" s="10">
        <f>MAX(W422,R423)</f>
        <v/>
      </c>
      <c r="X423" s="4">
        <f>IF(W423&gt;0,R423/W423-1,-1)</f>
        <v/>
      </c>
      <c r="Y423" s="16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17" t="n">
        <v>0.11776</v>
      </c>
      <c r="H424" s="17" t="n">
        <v>0.1142272</v>
      </c>
      <c r="I424" s="17" t="n">
        <v>0.123648</v>
      </c>
      <c r="J424" s="17" t="n"/>
      <c r="K424" s="2" t="n"/>
      <c r="L424" s="5" t="n"/>
      <c r="M424" s="16">
        <f>資金模擬!$B$5*V423</f>
        <v/>
      </c>
      <c r="N424" s="2">
        <f>IF(Z423=1,"已停止",IF(T423&gt;=M424,"已下單","資金不足略過"))</f>
        <v/>
      </c>
      <c r="O424" s="16">
        <f>IF(N424="已下單",M424*資金模擬!$B$7,0)</f>
        <v/>
      </c>
      <c r="P424" s="4" t="n"/>
      <c r="Q424" s="10" t="n">
        <v>0</v>
      </c>
      <c r="R424" s="10">
        <f>R423+Q424</f>
        <v/>
      </c>
      <c r="S424" s="16">
        <f>S423+IF(N424="已下單",M424,0)</f>
        <v/>
      </c>
      <c r="T424" s="16">
        <f>R424-S424</f>
        <v/>
      </c>
      <c r="U424" s="2">
        <f>U423+IF(N424="已下單",1,0)</f>
        <v/>
      </c>
      <c r="V424" s="16">
        <f>IF(資金模擬!$B$9=2,MAX(R424,0),MAX(V423,FLOOR(MAX(R424,0),資金模擬!$B$6)))</f>
        <v/>
      </c>
      <c r="W424" s="10">
        <f>MAX(W423,R424)</f>
        <v/>
      </c>
      <c r="X424" s="4">
        <f>IF(W424&gt;0,R424/W424-1,-1)</f>
        <v/>
      </c>
      <c r="Y424" s="16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17" t="n">
        <v>0.11776</v>
      </c>
      <c r="H425" s="17" t="n">
        <v>0.1142272</v>
      </c>
      <c r="I425" s="17" t="n">
        <v>0.123648</v>
      </c>
      <c r="J425" s="17" t="n">
        <v>0.123648</v>
      </c>
      <c r="K425" s="2" t="inlineStr">
        <is>
          <t>止損</t>
        </is>
      </c>
      <c r="L425" s="5">
        <f>交易明細!K213</f>
        <v/>
      </c>
      <c r="M425" s="16">
        <f>M424</f>
        <v/>
      </c>
      <c r="N425" s="2">
        <f>N424</f>
        <v/>
      </c>
      <c r="O425" s="16">
        <f>O424</f>
        <v/>
      </c>
      <c r="P425" s="4">
        <f>交易明細!L213</f>
        <v/>
      </c>
      <c r="Q425" s="10">
        <f>IF(N425="已下單",O425*P425,0)</f>
        <v/>
      </c>
      <c r="R425" s="10">
        <f>R424+Q425</f>
        <v/>
      </c>
      <c r="S425" s="16">
        <f>S424-IF(N425="已下單",M425,0)</f>
        <v/>
      </c>
      <c r="T425" s="16">
        <f>R425-S425</f>
        <v/>
      </c>
      <c r="U425" s="2">
        <f>U424-IF(N425="已下單",1,0)</f>
        <v/>
      </c>
      <c r="V425" s="16">
        <f>IF(資金模擬!$B$9=2,MAX(R425,0),MAX(V424,FLOOR(MAX(R425,0),資金模擬!$B$6)))</f>
        <v/>
      </c>
      <c r="W425" s="10">
        <f>MAX(W424,R425)</f>
        <v/>
      </c>
      <c r="X425" s="4">
        <f>IF(W425&gt;0,R425/W425-1,-1)</f>
        <v/>
      </c>
      <c r="Y425" s="16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17" t="n">
        <v>0.996</v>
      </c>
      <c r="H426" s="17" t="n">
        <v>1.02588</v>
      </c>
      <c r="I426" s="17" t="n">
        <v>0.9461999999999999</v>
      </c>
      <c r="J426" s="17" t="n"/>
      <c r="K426" s="2" t="n"/>
      <c r="L426" s="5" t="n"/>
      <c r="M426" s="16">
        <f>資金模擬!$B$5*V425</f>
        <v/>
      </c>
      <c r="N426" s="2">
        <f>IF(Z425=1,"已停止",IF(T425&gt;=M426,"已下單","資金不足略過"))</f>
        <v/>
      </c>
      <c r="O426" s="16">
        <f>IF(N426="已下單",M426*資金模擬!$B$7,0)</f>
        <v/>
      </c>
      <c r="P426" s="4" t="n"/>
      <c r="Q426" s="10" t="n">
        <v>0</v>
      </c>
      <c r="R426" s="10">
        <f>R425+Q426</f>
        <v/>
      </c>
      <c r="S426" s="16">
        <f>S425+IF(N426="已下單",M426,0)</f>
        <v/>
      </c>
      <c r="T426" s="16">
        <f>R426-S426</f>
        <v/>
      </c>
      <c r="U426" s="2">
        <f>U425+IF(N426="已下單",1,0)</f>
        <v/>
      </c>
      <c r="V426" s="16">
        <f>IF(資金模擬!$B$9=2,MAX(R426,0),MAX(V425,FLOOR(MAX(R426,0),資金模擬!$B$6)))</f>
        <v/>
      </c>
      <c r="W426" s="10">
        <f>MAX(W425,R426)</f>
        <v/>
      </c>
      <c r="X426" s="4">
        <f>IF(W426&gt;0,R426/W426-1,-1)</f>
        <v/>
      </c>
      <c r="Y426" s="16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17" t="n">
        <v>0.9222</v>
      </c>
      <c r="H427" s="17" t="n">
        <v>0.9498660000000001</v>
      </c>
      <c r="I427" s="17" t="n">
        <v>0.8760899999999999</v>
      </c>
      <c r="J427" s="17" t="n"/>
      <c r="K427" s="2" t="n"/>
      <c r="L427" s="5" t="n"/>
      <c r="M427" s="16">
        <f>資金模擬!$B$5*V426</f>
        <v/>
      </c>
      <c r="N427" s="2">
        <f>IF(Z426=1,"已停止",IF(T426&gt;=M427,"已下單","資金不足略過"))</f>
        <v/>
      </c>
      <c r="O427" s="16">
        <f>IF(N427="已下單",M427*資金模擬!$B$7,0)</f>
        <v/>
      </c>
      <c r="P427" s="4" t="n"/>
      <c r="Q427" s="10" t="n">
        <v>0</v>
      </c>
      <c r="R427" s="10">
        <f>R426+Q427</f>
        <v/>
      </c>
      <c r="S427" s="16">
        <f>S426+IF(N427="已下單",M427,0)</f>
        <v/>
      </c>
      <c r="T427" s="16">
        <f>R427-S427</f>
        <v/>
      </c>
      <c r="U427" s="2">
        <f>U426+IF(N427="已下單",1,0)</f>
        <v/>
      </c>
      <c r="V427" s="16">
        <f>IF(資金模擬!$B$9=2,MAX(R427,0),MAX(V426,FLOOR(MAX(R427,0),資金模擬!$B$6)))</f>
        <v/>
      </c>
      <c r="W427" s="10">
        <f>MAX(W426,R427)</f>
        <v/>
      </c>
      <c r="X427" s="4">
        <f>IF(W427&gt;0,R427/W427-1,-1)</f>
        <v/>
      </c>
      <c r="Y427" s="16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17" t="n">
        <v>0.5661</v>
      </c>
      <c r="H428" s="17" t="n">
        <v>0.583083</v>
      </c>
      <c r="I428" s="17" t="n">
        <v>0.537795</v>
      </c>
      <c r="J428" s="17" t="n"/>
      <c r="K428" s="2" t="n"/>
      <c r="L428" s="5" t="n"/>
      <c r="M428" s="16">
        <f>資金模擬!$B$5*V427</f>
        <v/>
      </c>
      <c r="N428" s="2">
        <f>IF(Z427=1,"已停止",IF(T427&gt;=M428,"已下單","資金不足略過"))</f>
        <v/>
      </c>
      <c r="O428" s="16">
        <f>IF(N428="已下單",M428*資金模擬!$B$7,0)</f>
        <v/>
      </c>
      <c r="P428" s="4" t="n"/>
      <c r="Q428" s="10" t="n">
        <v>0</v>
      </c>
      <c r="R428" s="10">
        <f>R427+Q428</f>
        <v/>
      </c>
      <c r="S428" s="16">
        <f>S427+IF(N428="已下單",M428,0)</f>
        <v/>
      </c>
      <c r="T428" s="16">
        <f>R428-S428</f>
        <v/>
      </c>
      <c r="U428" s="2">
        <f>U427+IF(N428="已下單",1,0)</f>
        <v/>
      </c>
      <c r="V428" s="16">
        <f>IF(資金模擬!$B$9=2,MAX(R428,0),MAX(V427,FLOOR(MAX(R428,0),資金模擬!$B$6)))</f>
        <v/>
      </c>
      <c r="W428" s="10">
        <f>MAX(W427,R428)</f>
        <v/>
      </c>
      <c r="X428" s="4">
        <f>IF(W428&gt;0,R428/W428-1,-1)</f>
        <v/>
      </c>
      <c r="Y428" s="16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17" t="n">
        <v>0.12014</v>
      </c>
      <c r="H429" s="17" t="n">
        <v>0.1165358</v>
      </c>
      <c r="I429" s="17" t="n">
        <v>0.126147</v>
      </c>
      <c r="J429" s="17" t="n"/>
      <c r="K429" s="2" t="n"/>
      <c r="L429" s="5" t="n"/>
      <c r="M429" s="16">
        <f>資金模擬!$B$5*V428</f>
        <v/>
      </c>
      <c r="N429" s="2">
        <f>IF(Z428=1,"已停止",IF(T428&gt;=M429,"已下單","資金不足略過"))</f>
        <v/>
      </c>
      <c r="O429" s="16">
        <f>IF(N429="已下單",M429*資金模擬!$B$7,0)</f>
        <v/>
      </c>
      <c r="P429" s="4" t="n"/>
      <c r="Q429" s="10" t="n">
        <v>0</v>
      </c>
      <c r="R429" s="10">
        <f>R428+Q429</f>
        <v/>
      </c>
      <c r="S429" s="16">
        <f>S428+IF(N429="已下單",M429,0)</f>
        <v/>
      </c>
      <c r="T429" s="16">
        <f>R429-S429</f>
        <v/>
      </c>
      <c r="U429" s="2">
        <f>U428+IF(N429="已下單",1,0)</f>
        <v/>
      </c>
      <c r="V429" s="16">
        <f>IF(資金模擬!$B$9=2,MAX(R429,0),MAX(V428,FLOOR(MAX(R429,0),資金模擬!$B$6)))</f>
        <v/>
      </c>
      <c r="W429" s="10">
        <f>MAX(W428,R429)</f>
        <v/>
      </c>
      <c r="X429" s="4">
        <f>IF(W429&gt;0,R429/W429-1,-1)</f>
        <v/>
      </c>
      <c r="Y429" s="16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17" t="n">
        <v>0.9222</v>
      </c>
      <c r="H430" s="17" t="n">
        <v>0.9498660000000001</v>
      </c>
      <c r="I430" s="17" t="n">
        <v>0.8760899999999999</v>
      </c>
      <c r="J430" s="17" t="n">
        <v>0.9498660000000001</v>
      </c>
      <c r="K430" s="2" t="inlineStr">
        <is>
          <t>止盈</t>
        </is>
      </c>
      <c r="L430" s="5">
        <f>交易明細!K215</f>
        <v/>
      </c>
      <c r="M430" s="16">
        <f>M427</f>
        <v/>
      </c>
      <c r="N430" s="2">
        <f>N427</f>
        <v/>
      </c>
      <c r="O430" s="16">
        <f>O427</f>
        <v/>
      </c>
      <c r="P430" s="4">
        <f>交易明細!L215</f>
        <v/>
      </c>
      <c r="Q430" s="10">
        <f>IF(N430="已下單",O430*P430,0)</f>
        <v/>
      </c>
      <c r="R430" s="10">
        <f>R429+Q430</f>
        <v/>
      </c>
      <c r="S430" s="16">
        <f>S429-IF(N430="已下單",M430,0)</f>
        <v/>
      </c>
      <c r="T430" s="16">
        <f>R430-S430</f>
        <v/>
      </c>
      <c r="U430" s="2">
        <f>U429-IF(N430="已下單",1,0)</f>
        <v/>
      </c>
      <c r="V430" s="16">
        <f>IF(資金模擬!$B$9=2,MAX(R430,0),MAX(V429,FLOOR(MAX(R430,0),資金模擬!$B$6)))</f>
        <v/>
      </c>
      <c r="W430" s="10">
        <f>MAX(W429,R430)</f>
        <v/>
      </c>
      <c r="X430" s="4">
        <f>IF(W430&gt;0,R430/W430-1,-1)</f>
        <v/>
      </c>
      <c r="Y430" s="16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17" t="n">
        <v>0.12014</v>
      </c>
      <c r="H431" s="17" t="n">
        <v>0.1165358</v>
      </c>
      <c r="I431" s="17" t="n">
        <v>0.126147</v>
      </c>
      <c r="J431" s="17" t="n">
        <v>0.1165358</v>
      </c>
      <c r="K431" s="2" t="inlineStr">
        <is>
          <t>止盈</t>
        </is>
      </c>
      <c r="L431" s="5">
        <f>交易明細!K217</f>
        <v/>
      </c>
      <c r="M431" s="16">
        <f>M429</f>
        <v/>
      </c>
      <c r="N431" s="2">
        <f>N429</f>
        <v/>
      </c>
      <c r="O431" s="16">
        <f>O429</f>
        <v/>
      </c>
      <c r="P431" s="4">
        <f>交易明細!L217</f>
        <v/>
      </c>
      <c r="Q431" s="10">
        <f>IF(N431="已下單",O431*P431,0)</f>
        <v/>
      </c>
      <c r="R431" s="10">
        <f>R430+Q431</f>
        <v/>
      </c>
      <c r="S431" s="16">
        <f>S430-IF(N431="已下單",M431,0)</f>
        <v/>
      </c>
      <c r="T431" s="16">
        <f>R431-S431</f>
        <v/>
      </c>
      <c r="U431" s="2">
        <f>U430-IF(N431="已下單",1,0)</f>
        <v/>
      </c>
      <c r="V431" s="16">
        <f>IF(資金模擬!$B$9=2,MAX(R431,0),MAX(V430,FLOOR(MAX(R431,0),資金模擬!$B$6)))</f>
        <v/>
      </c>
      <c r="W431" s="10">
        <f>MAX(W430,R431)</f>
        <v/>
      </c>
      <c r="X431" s="4">
        <f>IF(W431&gt;0,R431/W431-1,-1)</f>
        <v/>
      </c>
      <c r="Y431" s="16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17" t="n">
        <v>0.20271</v>
      </c>
      <c r="H432" s="17" t="n">
        <v>0.1966287</v>
      </c>
      <c r="I432" s="17" t="n">
        <v>0.2128455</v>
      </c>
      <c r="J432" s="17" t="n"/>
      <c r="K432" s="2" t="n"/>
      <c r="L432" s="5" t="n"/>
      <c r="M432" s="16">
        <f>資金模擬!$B$5*V431</f>
        <v/>
      </c>
      <c r="N432" s="2">
        <f>IF(Z431=1,"已停止",IF(T431&gt;=M432,"已下單","資金不足略過"))</f>
        <v/>
      </c>
      <c r="O432" s="16">
        <f>IF(N432="已下單",M432*資金模擬!$B$7,0)</f>
        <v/>
      </c>
      <c r="P432" s="4" t="n"/>
      <c r="Q432" s="10" t="n">
        <v>0</v>
      </c>
      <c r="R432" s="10">
        <f>R431+Q432</f>
        <v/>
      </c>
      <c r="S432" s="16">
        <f>S431+IF(N432="已下單",M432,0)</f>
        <v/>
      </c>
      <c r="T432" s="16">
        <f>R432-S432</f>
        <v/>
      </c>
      <c r="U432" s="2">
        <f>U431+IF(N432="已下單",1,0)</f>
        <v/>
      </c>
      <c r="V432" s="16">
        <f>IF(資金模擬!$B$9=2,MAX(R432,0),MAX(V431,FLOOR(MAX(R432,0),資金模擬!$B$6)))</f>
        <v/>
      </c>
      <c r="W432" s="10">
        <f>MAX(W431,R432)</f>
        <v/>
      </c>
      <c r="X432" s="4">
        <f>IF(W432&gt;0,R432/W432-1,-1)</f>
        <v/>
      </c>
      <c r="Y432" s="16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17" t="n">
        <v>0.996</v>
      </c>
      <c r="H433" s="17" t="n">
        <v>1.02588</v>
      </c>
      <c r="I433" s="17" t="n">
        <v>0.9461999999999999</v>
      </c>
      <c r="J433" s="17" t="n">
        <v>1.02588</v>
      </c>
      <c r="K433" s="2" t="inlineStr">
        <is>
          <t>止盈</t>
        </is>
      </c>
      <c r="L433" s="5">
        <f>交易明細!K214</f>
        <v/>
      </c>
      <c r="M433" s="16">
        <f>M426</f>
        <v/>
      </c>
      <c r="N433" s="2">
        <f>N426</f>
        <v/>
      </c>
      <c r="O433" s="16">
        <f>O426</f>
        <v/>
      </c>
      <c r="P433" s="4">
        <f>交易明細!L214</f>
        <v/>
      </c>
      <c r="Q433" s="10">
        <f>IF(N433="已下單",O433*P433,0)</f>
        <v/>
      </c>
      <c r="R433" s="10">
        <f>R432+Q433</f>
        <v/>
      </c>
      <c r="S433" s="16">
        <f>S432-IF(N433="已下單",M433,0)</f>
        <v/>
      </c>
      <c r="T433" s="16">
        <f>R433-S433</f>
        <v/>
      </c>
      <c r="U433" s="2">
        <f>U432-IF(N433="已下單",1,0)</f>
        <v/>
      </c>
      <c r="V433" s="16">
        <f>IF(資金模擬!$B$9=2,MAX(R433,0),MAX(V432,FLOOR(MAX(R433,0),資金模擬!$B$6)))</f>
        <v/>
      </c>
      <c r="W433" s="10">
        <f>MAX(W432,R433)</f>
        <v/>
      </c>
      <c r="X433" s="4">
        <f>IF(W433&gt;0,R433/W433-1,-1)</f>
        <v/>
      </c>
      <c r="Y433" s="16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17" t="n">
        <v>0.8768</v>
      </c>
      <c r="H434" s="17" t="n">
        <v>0.850496</v>
      </c>
      <c r="I434" s="17" t="n">
        <v>0.92064</v>
      </c>
      <c r="J434" s="17" t="n"/>
      <c r="K434" s="2" t="n"/>
      <c r="L434" s="5" t="n"/>
      <c r="M434" s="16">
        <f>資金模擬!$B$5*V433</f>
        <v/>
      </c>
      <c r="N434" s="2">
        <f>IF(Z433=1,"已停止",IF(T433&gt;=M434,"已下單","資金不足略過"))</f>
        <v/>
      </c>
      <c r="O434" s="16">
        <f>IF(N434="已下單",M434*資金模擬!$B$7,0)</f>
        <v/>
      </c>
      <c r="P434" s="4" t="n"/>
      <c r="Q434" s="10" t="n">
        <v>0</v>
      </c>
      <c r="R434" s="10">
        <f>R433+Q434</f>
        <v/>
      </c>
      <c r="S434" s="16">
        <f>S433+IF(N434="已下單",M434,0)</f>
        <v/>
      </c>
      <c r="T434" s="16">
        <f>R434-S434</f>
        <v/>
      </c>
      <c r="U434" s="2">
        <f>U433+IF(N434="已下單",1,0)</f>
        <v/>
      </c>
      <c r="V434" s="16">
        <f>IF(資金模擬!$B$9=2,MAX(R434,0),MAX(V433,FLOOR(MAX(R434,0),資金模擬!$B$6)))</f>
        <v/>
      </c>
      <c r="W434" s="10">
        <f>MAX(W433,R434)</f>
        <v/>
      </c>
      <c r="X434" s="4">
        <f>IF(W434&gt;0,R434/W434-1,-1)</f>
        <v/>
      </c>
      <c r="Y434" s="16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17" t="n">
        <v>0.8768</v>
      </c>
      <c r="H435" s="17" t="n">
        <v>0.850496</v>
      </c>
      <c r="I435" s="17" t="n">
        <v>0.92064</v>
      </c>
      <c r="J435" s="17" t="n">
        <v>0.850496</v>
      </c>
      <c r="K435" s="2" t="inlineStr">
        <is>
          <t>止盈</t>
        </is>
      </c>
      <c r="L435" s="5">
        <f>交易明細!K219</f>
        <v/>
      </c>
      <c r="M435" s="16">
        <f>M434</f>
        <v/>
      </c>
      <c r="N435" s="2">
        <f>N434</f>
        <v/>
      </c>
      <c r="O435" s="16">
        <f>O434</f>
        <v/>
      </c>
      <c r="P435" s="4">
        <f>交易明細!L219</f>
        <v/>
      </c>
      <c r="Q435" s="10">
        <f>IF(N435="已下單",O435*P435,0)</f>
        <v/>
      </c>
      <c r="R435" s="10">
        <f>R434+Q435</f>
        <v/>
      </c>
      <c r="S435" s="16">
        <f>S434-IF(N435="已下單",M435,0)</f>
        <v/>
      </c>
      <c r="T435" s="16">
        <f>R435-S435</f>
        <v/>
      </c>
      <c r="U435" s="2">
        <f>U434-IF(N435="已下單",1,0)</f>
        <v/>
      </c>
      <c r="V435" s="16">
        <f>IF(資金模擬!$B$9=2,MAX(R435,0),MAX(V434,FLOOR(MAX(R435,0),資金模擬!$B$6)))</f>
        <v/>
      </c>
      <c r="W435" s="10">
        <f>MAX(W434,R435)</f>
        <v/>
      </c>
      <c r="X435" s="4">
        <f>IF(W435&gt;0,R435/W435-1,-1)</f>
        <v/>
      </c>
      <c r="Y435" s="16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17" t="n">
        <v>0.20271</v>
      </c>
      <c r="H436" s="17" t="n">
        <v>0.1966287</v>
      </c>
      <c r="I436" s="17" t="n">
        <v>0.2128455</v>
      </c>
      <c r="J436" s="17" t="n">
        <v>0.1966287</v>
      </c>
      <c r="K436" s="2" t="inlineStr">
        <is>
          <t>止盈</t>
        </is>
      </c>
      <c r="L436" s="5">
        <f>交易明細!K218</f>
        <v/>
      </c>
      <c r="M436" s="16">
        <f>M432</f>
        <v/>
      </c>
      <c r="N436" s="2">
        <f>N432</f>
        <v/>
      </c>
      <c r="O436" s="16">
        <f>O432</f>
        <v/>
      </c>
      <c r="P436" s="4">
        <f>交易明細!L218</f>
        <v/>
      </c>
      <c r="Q436" s="10">
        <f>IF(N436="已下單",O436*P436,0)</f>
        <v/>
      </c>
      <c r="R436" s="10">
        <f>R435+Q436</f>
        <v/>
      </c>
      <c r="S436" s="16">
        <f>S435-IF(N436="已下單",M436,0)</f>
        <v/>
      </c>
      <c r="T436" s="16">
        <f>R436-S436</f>
        <v/>
      </c>
      <c r="U436" s="2">
        <f>U435-IF(N436="已下單",1,0)</f>
        <v/>
      </c>
      <c r="V436" s="16">
        <f>IF(資金模擬!$B$9=2,MAX(R436,0),MAX(V435,FLOOR(MAX(R436,0),資金模擬!$B$6)))</f>
        <v/>
      </c>
      <c r="W436" s="10">
        <f>MAX(W435,R436)</f>
        <v/>
      </c>
      <c r="X436" s="4">
        <f>IF(W436&gt;0,R436/W436-1,-1)</f>
        <v/>
      </c>
      <c r="Y436" s="16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17" t="n">
        <v>0.5661</v>
      </c>
      <c r="H437" s="17" t="n">
        <v>0.583083</v>
      </c>
      <c r="I437" s="17" t="n">
        <v>0.537795</v>
      </c>
      <c r="J437" s="17" t="n">
        <v>0.537795</v>
      </c>
      <c r="K437" s="2" t="inlineStr">
        <is>
          <t>止損</t>
        </is>
      </c>
      <c r="L437" s="5">
        <f>交易明細!K216</f>
        <v/>
      </c>
      <c r="M437" s="16">
        <f>M428</f>
        <v/>
      </c>
      <c r="N437" s="2">
        <f>N428</f>
        <v/>
      </c>
      <c r="O437" s="16">
        <f>O428</f>
        <v/>
      </c>
      <c r="P437" s="4">
        <f>交易明細!L216</f>
        <v/>
      </c>
      <c r="Q437" s="10">
        <f>IF(N437="已下單",O437*P437,0)</f>
        <v/>
      </c>
      <c r="R437" s="10">
        <f>R436+Q437</f>
        <v/>
      </c>
      <c r="S437" s="16">
        <f>S436-IF(N437="已下單",M437,0)</f>
        <v/>
      </c>
      <c r="T437" s="16">
        <f>R437-S437</f>
        <v/>
      </c>
      <c r="U437" s="2">
        <f>U436-IF(N437="已下單",1,0)</f>
        <v/>
      </c>
      <c r="V437" s="16">
        <f>IF(資金模擬!$B$9=2,MAX(R437,0),MAX(V436,FLOOR(MAX(R437,0),資金模擬!$B$6)))</f>
        <v/>
      </c>
      <c r="W437" s="10">
        <f>MAX(W436,R437)</f>
        <v/>
      </c>
      <c r="X437" s="4">
        <f>IF(W437&gt;0,R437/W437-1,-1)</f>
        <v/>
      </c>
      <c r="Y437" s="16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17" t="n">
        <v>0.5794</v>
      </c>
      <c r="H438" s="17" t="n">
        <v>0.596782</v>
      </c>
      <c r="I438" s="17" t="n">
        <v>0.55043</v>
      </c>
      <c r="J438" s="17" t="n"/>
      <c r="K438" s="2" t="n"/>
      <c r="L438" s="5" t="n"/>
      <c r="M438" s="16">
        <f>資金模擬!$B$5*V437</f>
        <v/>
      </c>
      <c r="N438" s="2">
        <f>IF(Z437=1,"已停止",IF(T437&gt;=M438,"已下單","資金不足略過"))</f>
        <v/>
      </c>
      <c r="O438" s="16">
        <f>IF(N438="已下單",M438*資金模擬!$B$7,0)</f>
        <v/>
      </c>
      <c r="P438" s="4" t="n"/>
      <c r="Q438" s="10" t="n">
        <v>0</v>
      </c>
      <c r="R438" s="10">
        <f>R437+Q438</f>
        <v/>
      </c>
      <c r="S438" s="16">
        <f>S437+IF(N438="已下單",M438,0)</f>
        <v/>
      </c>
      <c r="T438" s="16">
        <f>R438-S438</f>
        <v/>
      </c>
      <c r="U438" s="2">
        <f>U437+IF(N438="已下單",1,0)</f>
        <v/>
      </c>
      <c r="V438" s="16">
        <f>IF(資金模擬!$B$9=2,MAX(R438,0),MAX(V437,FLOOR(MAX(R438,0),資金模擬!$B$6)))</f>
        <v/>
      </c>
      <c r="W438" s="10">
        <f>MAX(W437,R438)</f>
        <v/>
      </c>
      <c r="X438" s="4">
        <f>IF(W438&gt;0,R438/W438-1,-1)</f>
        <v/>
      </c>
      <c r="Y438" s="16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17" t="n">
        <v>0.5794</v>
      </c>
      <c r="H439" s="17" t="n">
        <v>0.596782</v>
      </c>
      <c r="I439" s="17" t="n">
        <v>0.55043</v>
      </c>
      <c r="J439" s="17" t="n">
        <v>0.596782</v>
      </c>
      <c r="K439" s="2" t="inlineStr">
        <is>
          <t>止盈</t>
        </is>
      </c>
      <c r="L439" s="5">
        <f>交易明細!K220</f>
        <v/>
      </c>
      <c r="M439" s="16">
        <f>M438</f>
        <v/>
      </c>
      <c r="N439" s="2">
        <f>N438</f>
        <v/>
      </c>
      <c r="O439" s="16">
        <f>O438</f>
        <v/>
      </c>
      <c r="P439" s="4">
        <f>交易明細!L220</f>
        <v/>
      </c>
      <c r="Q439" s="10">
        <f>IF(N439="已下單",O439*P439,0)</f>
        <v/>
      </c>
      <c r="R439" s="10">
        <f>R438+Q439</f>
        <v/>
      </c>
      <c r="S439" s="16">
        <f>S438-IF(N439="已下單",M439,0)</f>
        <v/>
      </c>
      <c r="T439" s="16">
        <f>R439-S439</f>
        <v/>
      </c>
      <c r="U439" s="2">
        <f>U438-IF(N439="已下單",1,0)</f>
        <v/>
      </c>
      <c r="V439" s="16">
        <f>IF(資金模擬!$B$9=2,MAX(R439,0),MAX(V438,FLOOR(MAX(R439,0),資金模擬!$B$6)))</f>
        <v/>
      </c>
      <c r="W439" s="10">
        <f>MAX(W438,R439)</f>
        <v/>
      </c>
      <c r="X439" s="4">
        <f>IF(W439&gt;0,R439/W439-1,-1)</f>
        <v/>
      </c>
      <c r="Y439" s="16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17" t="n">
        <v>0.953</v>
      </c>
      <c r="H440" s="17" t="n">
        <v>0.92441</v>
      </c>
      <c r="I440" s="17" t="n">
        <v>1.00065</v>
      </c>
      <c r="J440" s="17" t="n"/>
      <c r="K440" s="2" t="n"/>
      <c r="L440" s="5" t="n"/>
      <c r="M440" s="16">
        <f>資金模擬!$B$5*V439</f>
        <v/>
      </c>
      <c r="N440" s="2">
        <f>IF(Z439=1,"已停止",IF(T439&gt;=M440,"已下單","資金不足略過"))</f>
        <v/>
      </c>
      <c r="O440" s="16">
        <f>IF(N440="已下單",M440*資金模擬!$B$7,0)</f>
        <v/>
      </c>
      <c r="P440" s="4" t="n"/>
      <c r="Q440" s="10" t="n">
        <v>0</v>
      </c>
      <c r="R440" s="10">
        <f>R439+Q440</f>
        <v/>
      </c>
      <c r="S440" s="16">
        <f>S439+IF(N440="已下單",M440,0)</f>
        <v/>
      </c>
      <c r="T440" s="16">
        <f>R440-S440</f>
        <v/>
      </c>
      <c r="U440" s="2">
        <f>U439+IF(N440="已下單",1,0)</f>
        <v/>
      </c>
      <c r="V440" s="16">
        <f>IF(資金模擬!$B$9=2,MAX(R440,0),MAX(V439,FLOOR(MAX(R440,0),資金模擬!$B$6)))</f>
        <v/>
      </c>
      <c r="W440" s="10">
        <f>MAX(W439,R440)</f>
        <v/>
      </c>
      <c r="X440" s="4">
        <f>IF(W440&gt;0,R440/W440-1,-1)</f>
        <v/>
      </c>
      <c r="Y440" s="16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17" t="n">
        <v>0.21527</v>
      </c>
      <c r="H441" s="17" t="n">
        <v>0.2217281</v>
      </c>
      <c r="I441" s="17" t="n">
        <v>0.2045065</v>
      </c>
      <c r="J441" s="17" t="n"/>
      <c r="K441" s="2" t="n"/>
      <c r="L441" s="5" t="n"/>
      <c r="M441" s="16">
        <f>資金模擬!$B$5*V440</f>
        <v/>
      </c>
      <c r="N441" s="2">
        <f>IF(Z440=1,"已停止",IF(T440&gt;=M441,"已下單","資金不足略過"))</f>
        <v/>
      </c>
      <c r="O441" s="16">
        <f>IF(N441="已下單",M441*資金模擬!$B$7,0)</f>
        <v/>
      </c>
      <c r="P441" s="4" t="n"/>
      <c r="Q441" s="10" t="n">
        <v>0</v>
      </c>
      <c r="R441" s="10">
        <f>R440+Q441</f>
        <v/>
      </c>
      <c r="S441" s="16">
        <f>S440+IF(N441="已下單",M441,0)</f>
        <v/>
      </c>
      <c r="T441" s="16">
        <f>R441-S441</f>
        <v/>
      </c>
      <c r="U441" s="2">
        <f>U440+IF(N441="已下單",1,0)</f>
        <v/>
      </c>
      <c r="V441" s="16">
        <f>IF(資金模擬!$B$9=2,MAX(R441,0),MAX(V440,FLOOR(MAX(R441,0),資金模擬!$B$6)))</f>
        <v/>
      </c>
      <c r="W441" s="10">
        <f>MAX(W440,R441)</f>
        <v/>
      </c>
      <c r="X441" s="4">
        <f>IF(W441&gt;0,R441/W441-1,-1)</f>
        <v/>
      </c>
      <c r="Y441" s="16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17" t="n">
        <v>4.538</v>
      </c>
      <c r="H442" s="17" t="n">
        <v>4.67414</v>
      </c>
      <c r="I442" s="17" t="n">
        <v>4.3111</v>
      </c>
      <c r="J442" s="17" t="n"/>
      <c r="K442" s="2" t="n"/>
      <c r="L442" s="5" t="n"/>
      <c r="M442" s="16">
        <f>資金模擬!$B$5*V441</f>
        <v/>
      </c>
      <c r="N442" s="2">
        <f>IF(Z441=1,"已停止",IF(T441&gt;=M442,"已下單","資金不足略過"))</f>
        <v/>
      </c>
      <c r="O442" s="16">
        <f>IF(N442="已下單",M442*資金模擬!$B$7,0)</f>
        <v/>
      </c>
      <c r="P442" s="4" t="n"/>
      <c r="Q442" s="10" t="n">
        <v>0</v>
      </c>
      <c r="R442" s="10">
        <f>R441+Q442</f>
        <v/>
      </c>
      <c r="S442" s="16">
        <f>S441+IF(N442="已下單",M442,0)</f>
        <v/>
      </c>
      <c r="T442" s="16">
        <f>R442-S442</f>
        <v/>
      </c>
      <c r="U442" s="2">
        <f>U441+IF(N442="已下單",1,0)</f>
        <v/>
      </c>
      <c r="V442" s="16">
        <f>IF(資金模擬!$B$9=2,MAX(R442,0),MAX(V441,FLOOR(MAX(R442,0),資金模擬!$B$6)))</f>
        <v/>
      </c>
      <c r="W442" s="10">
        <f>MAX(W441,R442)</f>
        <v/>
      </c>
      <c r="X442" s="4">
        <f>IF(W442&gt;0,R442/W442-1,-1)</f>
        <v/>
      </c>
      <c r="Y442" s="16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17" t="n">
        <v>0.21527</v>
      </c>
      <c r="H443" s="17" t="n">
        <v>0.2217281</v>
      </c>
      <c r="I443" s="17" t="n">
        <v>0.2045065</v>
      </c>
      <c r="J443" s="17" t="n">
        <v>0.2045065</v>
      </c>
      <c r="K443" s="2" t="inlineStr">
        <is>
          <t>止損</t>
        </is>
      </c>
      <c r="L443" s="5">
        <f>交易明細!K222</f>
        <v/>
      </c>
      <c r="M443" s="16">
        <f>M441</f>
        <v/>
      </c>
      <c r="N443" s="2">
        <f>N441</f>
        <v/>
      </c>
      <c r="O443" s="16">
        <f>O441</f>
        <v/>
      </c>
      <c r="P443" s="4">
        <f>交易明細!L222</f>
        <v/>
      </c>
      <c r="Q443" s="10">
        <f>IF(N443="已下單",O443*P443,0)</f>
        <v/>
      </c>
      <c r="R443" s="10">
        <f>R442+Q443</f>
        <v/>
      </c>
      <c r="S443" s="16">
        <f>S442-IF(N443="已下單",M443,0)</f>
        <v/>
      </c>
      <c r="T443" s="16">
        <f>R443-S443</f>
        <v/>
      </c>
      <c r="U443" s="2">
        <f>U442-IF(N443="已下單",1,0)</f>
        <v/>
      </c>
      <c r="V443" s="16">
        <f>IF(資金模擬!$B$9=2,MAX(R443,0),MAX(V442,FLOOR(MAX(R443,0),資金模擬!$B$6)))</f>
        <v/>
      </c>
      <c r="W443" s="10">
        <f>MAX(W442,R443)</f>
        <v/>
      </c>
      <c r="X443" s="4">
        <f>IF(W443&gt;0,R443/W443-1,-1)</f>
        <v/>
      </c>
      <c r="Y443" s="16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17" t="n">
        <v>0.953</v>
      </c>
      <c r="H444" s="17" t="n">
        <v>0.92441</v>
      </c>
      <c r="I444" s="17" t="n">
        <v>1.00065</v>
      </c>
      <c r="J444" s="17" t="n">
        <v>0.92441</v>
      </c>
      <c r="K444" s="2" t="inlineStr">
        <is>
          <t>止盈</t>
        </is>
      </c>
      <c r="L444" s="5">
        <f>交易明細!K221</f>
        <v/>
      </c>
      <c r="M444" s="16">
        <f>M440</f>
        <v/>
      </c>
      <c r="N444" s="2">
        <f>N440</f>
        <v/>
      </c>
      <c r="O444" s="16">
        <f>O440</f>
        <v/>
      </c>
      <c r="P444" s="4">
        <f>交易明細!L221</f>
        <v/>
      </c>
      <c r="Q444" s="10">
        <f>IF(N444="已下單",O444*P444,0)</f>
        <v/>
      </c>
      <c r="R444" s="10">
        <f>R443+Q444</f>
        <v/>
      </c>
      <c r="S444" s="16">
        <f>S443-IF(N444="已下單",M444,0)</f>
        <v/>
      </c>
      <c r="T444" s="16">
        <f>R444-S444</f>
        <v/>
      </c>
      <c r="U444" s="2">
        <f>U443-IF(N444="已下單",1,0)</f>
        <v/>
      </c>
      <c r="V444" s="16">
        <f>IF(資金模擬!$B$9=2,MAX(R444,0),MAX(V443,FLOOR(MAX(R444,0),資金模擬!$B$6)))</f>
        <v/>
      </c>
      <c r="W444" s="10">
        <f>MAX(W443,R444)</f>
        <v/>
      </c>
      <c r="X444" s="4">
        <f>IF(W444&gt;0,R444/W444-1,-1)</f>
        <v/>
      </c>
      <c r="Y444" s="16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17" t="n">
        <v>0.1125</v>
      </c>
      <c r="H445" s="17" t="n">
        <v>0.109125</v>
      </c>
      <c r="I445" s="17" t="n">
        <v>0.118125</v>
      </c>
      <c r="J445" s="17" t="n"/>
      <c r="K445" s="2" t="n"/>
      <c r="L445" s="5" t="n"/>
      <c r="M445" s="16">
        <f>資金模擬!$B$5*V444</f>
        <v/>
      </c>
      <c r="N445" s="2">
        <f>IF(Z444=1,"已停止",IF(T444&gt;=M445,"已下單","資金不足略過"))</f>
        <v/>
      </c>
      <c r="O445" s="16">
        <f>IF(N445="已下單",M445*資金模擬!$B$7,0)</f>
        <v/>
      </c>
      <c r="P445" s="4" t="n"/>
      <c r="Q445" s="10" t="n">
        <v>0</v>
      </c>
      <c r="R445" s="10">
        <f>R444+Q445</f>
        <v/>
      </c>
      <c r="S445" s="16">
        <f>S444+IF(N445="已下單",M445,0)</f>
        <v/>
      </c>
      <c r="T445" s="16">
        <f>R445-S445</f>
        <v/>
      </c>
      <c r="U445" s="2">
        <f>U444+IF(N445="已下單",1,0)</f>
        <v/>
      </c>
      <c r="V445" s="16">
        <f>IF(資金模擬!$B$9=2,MAX(R445,0),MAX(V444,FLOOR(MAX(R445,0),資金模擬!$B$6)))</f>
        <v/>
      </c>
      <c r="W445" s="10">
        <f>MAX(W444,R445)</f>
        <v/>
      </c>
      <c r="X445" s="4">
        <f>IF(W445&gt;0,R445/W445-1,-1)</f>
        <v/>
      </c>
      <c r="Y445" s="16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17" t="n">
        <v>4.538</v>
      </c>
      <c r="H446" s="17" t="n">
        <v>4.67414</v>
      </c>
      <c r="I446" s="17" t="n">
        <v>4.3111</v>
      </c>
      <c r="J446" s="17" t="n">
        <v>4.3111</v>
      </c>
      <c r="K446" s="2" t="inlineStr">
        <is>
          <t>止損</t>
        </is>
      </c>
      <c r="L446" s="5">
        <f>交易明細!K223</f>
        <v/>
      </c>
      <c r="M446" s="16">
        <f>M442</f>
        <v/>
      </c>
      <c r="N446" s="2">
        <f>N442</f>
        <v/>
      </c>
      <c r="O446" s="16">
        <f>O442</f>
        <v/>
      </c>
      <c r="P446" s="4">
        <f>交易明細!L223</f>
        <v/>
      </c>
      <c r="Q446" s="10">
        <f>IF(N446="已下單",O446*P446,0)</f>
        <v/>
      </c>
      <c r="R446" s="10">
        <f>R445+Q446</f>
        <v/>
      </c>
      <c r="S446" s="16">
        <f>S445-IF(N446="已下單",M446,0)</f>
        <v/>
      </c>
      <c r="T446" s="16">
        <f>R446-S446</f>
        <v/>
      </c>
      <c r="U446" s="2">
        <f>U445-IF(N446="已下單",1,0)</f>
        <v/>
      </c>
      <c r="V446" s="16">
        <f>IF(資金模擬!$B$9=2,MAX(R446,0),MAX(V445,FLOOR(MAX(R446,0),資金模擬!$B$6)))</f>
        <v/>
      </c>
      <c r="W446" s="10">
        <f>MAX(W445,R446)</f>
        <v/>
      </c>
      <c r="X446" s="4">
        <f>IF(W446&gt;0,R446/W446-1,-1)</f>
        <v/>
      </c>
      <c r="Y446" s="16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17" t="n">
        <v>0.1125</v>
      </c>
      <c r="H447" s="17" t="n">
        <v>0.109125</v>
      </c>
      <c r="I447" s="17" t="n">
        <v>0.118125</v>
      </c>
      <c r="J447" s="17" t="n">
        <v>0.109125</v>
      </c>
      <c r="K447" s="2" t="inlineStr">
        <is>
          <t>止盈</t>
        </is>
      </c>
      <c r="L447" s="5">
        <f>交易明細!K224</f>
        <v/>
      </c>
      <c r="M447" s="16">
        <f>M445</f>
        <v/>
      </c>
      <c r="N447" s="2">
        <f>N445</f>
        <v/>
      </c>
      <c r="O447" s="16">
        <f>O445</f>
        <v/>
      </c>
      <c r="P447" s="4">
        <f>交易明細!L224</f>
        <v/>
      </c>
      <c r="Q447" s="10">
        <f>IF(N447="已下單",O447*P447,0)</f>
        <v/>
      </c>
      <c r="R447" s="10">
        <f>R446+Q447</f>
        <v/>
      </c>
      <c r="S447" s="16">
        <f>S446-IF(N447="已下單",M447,0)</f>
        <v/>
      </c>
      <c r="T447" s="16">
        <f>R447-S447</f>
        <v/>
      </c>
      <c r="U447" s="2">
        <f>U446-IF(N447="已下單",1,0)</f>
        <v/>
      </c>
      <c r="V447" s="16">
        <f>IF(資金模擬!$B$9=2,MAX(R447,0),MAX(V446,FLOOR(MAX(R447,0),資金模擬!$B$6)))</f>
        <v/>
      </c>
      <c r="W447" s="10">
        <f>MAX(W446,R447)</f>
        <v/>
      </c>
      <c r="X447" s="4">
        <f>IF(W447&gt;0,R447/W447-1,-1)</f>
        <v/>
      </c>
      <c r="Y447" s="16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17" t="n">
        <v>0.5694</v>
      </c>
      <c r="H448" s="17" t="n">
        <v>0.552318</v>
      </c>
      <c r="I448" s="17" t="n">
        <v>0.59787</v>
      </c>
      <c r="J448" s="17" t="n">
        <v>0.552318</v>
      </c>
      <c r="K448" s="2" t="inlineStr">
        <is>
          <t>止盈</t>
        </is>
      </c>
      <c r="L448" s="5">
        <f>交易明細!K184</f>
        <v/>
      </c>
      <c r="M448" s="16">
        <f>M364</f>
        <v/>
      </c>
      <c r="N448" s="2">
        <f>N364</f>
        <v/>
      </c>
      <c r="O448" s="16">
        <f>O364</f>
        <v/>
      </c>
      <c r="P448" s="4">
        <f>交易明細!L184</f>
        <v/>
      </c>
      <c r="Q448" s="10">
        <f>IF(N448="已下單",O448*P448,0)</f>
        <v/>
      </c>
      <c r="R448" s="10">
        <f>R447+Q448</f>
        <v/>
      </c>
      <c r="S448" s="16">
        <f>S447-IF(N448="已下單",M448,0)</f>
        <v/>
      </c>
      <c r="T448" s="16">
        <f>R448-S448</f>
        <v/>
      </c>
      <c r="U448" s="2">
        <f>U447-IF(N448="已下單",1,0)</f>
        <v/>
      </c>
      <c r="V448" s="16">
        <f>IF(資金模擬!$B$9=2,MAX(R448,0),MAX(V447,FLOOR(MAX(R448,0),資金模擬!$B$6)))</f>
        <v/>
      </c>
      <c r="W448" s="10">
        <f>MAX(W447,R448)</f>
        <v/>
      </c>
      <c r="X448" s="4">
        <f>IF(W448&gt;0,R448/W448-1,-1)</f>
        <v/>
      </c>
      <c r="Y448" s="16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17" t="n">
        <v>0.6313</v>
      </c>
      <c r="H449" s="17" t="n">
        <v>0.650239</v>
      </c>
      <c r="I449" s="17" t="n">
        <v>0.5997349999999999</v>
      </c>
      <c r="J449" s="17" t="n"/>
      <c r="K449" s="2" t="n"/>
      <c r="L449" s="5" t="n"/>
      <c r="M449" s="16">
        <f>資金模擬!$B$5*V448</f>
        <v/>
      </c>
      <c r="N449" s="2">
        <f>IF(Z448=1,"已停止",IF(T448&gt;=M449,"已下單","資金不足略過"))</f>
        <v/>
      </c>
      <c r="O449" s="16">
        <f>IF(N449="已下單",M449*資金模擬!$B$7,0)</f>
        <v/>
      </c>
      <c r="P449" s="4" t="n"/>
      <c r="Q449" s="10" t="n">
        <v>0</v>
      </c>
      <c r="R449" s="10">
        <f>R448+Q449</f>
        <v/>
      </c>
      <c r="S449" s="16">
        <f>S448+IF(N449="已下單",M449,0)</f>
        <v/>
      </c>
      <c r="T449" s="16">
        <f>R449-S449</f>
        <v/>
      </c>
      <c r="U449" s="2">
        <f>U448+IF(N449="已下單",1,0)</f>
        <v/>
      </c>
      <c r="V449" s="16">
        <f>IF(資金模擬!$B$9=2,MAX(R449,0),MAX(V448,FLOOR(MAX(R449,0),資金模擬!$B$6)))</f>
        <v/>
      </c>
      <c r="W449" s="10">
        <f>MAX(W448,R449)</f>
        <v/>
      </c>
      <c r="X449" s="4">
        <f>IF(W449&gt;0,R449/W449-1,-1)</f>
        <v/>
      </c>
      <c r="Y449" s="16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17" t="n">
        <v>0.20512</v>
      </c>
      <c r="H450" s="17" t="n">
        <v>0.2112736</v>
      </c>
      <c r="I450" s="17" t="n">
        <v>0.194864</v>
      </c>
      <c r="J450" s="17" t="n"/>
      <c r="K450" s="2" t="n"/>
      <c r="L450" s="5" t="n"/>
      <c r="M450" s="16">
        <f>資金模擬!$B$5*V449</f>
        <v/>
      </c>
      <c r="N450" s="2">
        <f>IF(Z449=1,"已停止",IF(T449&gt;=M450,"已下單","資金不足略過"))</f>
        <v/>
      </c>
      <c r="O450" s="16">
        <f>IF(N450="已下單",M450*資金模擬!$B$7,0)</f>
        <v/>
      </c>
      <c r="P450" s="4" t="n"/>
      <c r="Q450" s="10" t="n">
        <v>0</v>
      </c>
      <c r="R450" s="10">
        <f>R449+Q450</f>
        <v/>
      </c>
      <c r="S450" s="16">
        <f>S449+IF(N450="已下單",M450,0)</f>
        <v/>
      </c>
      <c r="T450" s="16">
        <f>R450-S450</f>
        <v/>
      </c>
      <c r="U450" s="2">
        <f>U449+IF(N450="已下單",1,0)</f>
        <v/>
      </c>
      <c r="V450" s="16">
        <f>IF(資金模擬!$B$9=2,MAX(R450,0),MAX(V449,FLOOR(MAX(R450,0),資金模擬!$B$6)))</f>
        <v/>
      </c>
      <c r="W450" s="10">
        <f>MAX(W449,R450)</f>
        <v/>
      </c>
      <c r="X450" s="4">
        <f>IF(W450&gt;0,R450/W450-1,-1)</f>
        <v/>
      </c>
      <c r="Y450" s="16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17" t="n">
        <v>0.6313</v>
      </c>
      <c r="H451" s="17" t="n">
        <v>0.650239</v>
      </c>
      <c r="I451" s="17" t="n">
        <v>0.5997349999999999</v>
      </c>
      <c r="J451" s="17" t="n">
        <v>0.5997349999999999</v>
      </c>
      <c r="K451" s="2" t="inlineStr">
        <is>
          <t>止損</t>
        </is>
      </c>
      <c r="L451" s="5">
        <f>交易明細!K225</f>
        <v/>
      </c>
      <c r="M451" s="16">
        <f>M449</f>
        <v/>
      </c>
      <c r="N451" s="2">
        <f>N449</f>
        <v/>
      </c>
      <c r="O451" s="16">
        <f>O449</f>
        <v/>
      </c>
      <c r="P451" s="4">
        <f>交易明細!L225</f>
        <v/>
      </c>
      <c r="Q451" s="10">
        <f>IF(N451="已下單",O451*P451,0)</f>
        <v/>
      </c>
      <c r="R451" s="10">
        <f>R450+Q451</f>
        <v/>
      </c>
      <c r="S451" s="16">
        <f>S450-IF(N451="已下單",M451,0)</f>
        <v/>
      </c>
      <c r="T451" s="16">
        <f>R451-S451</f>
        <v/>
      </c>
      <c r="U451" s="2">
        <f>U450-IF(N451="已下單",1,0)</f>
        <v/>
      </c>
      <c r="V451" s="16">
        <f>IF(資金模擬!$B$9=2,MAX(R451,0),MAX(V450,FLOOR(MAX(R451,0),資金模擬!$B$6)))</f>
        <v/>
      </c>
      <c r="W451" s="10">
        <f>MAX(W450,R451)</f>
        <v/>
      </c>
      <c r="X451" s="4">
        <f>IF(W451&gt;0,R451/W451-1,-1)</f>
        <v/>
      </c>
      <c r="Y451" s="16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17" t="n">
        <v>0.3894</v>
      </c>
      <c r="H452" s="17" t="n">
        <v>0.377718</v>
      </c>
      <c r="I452" s="17" t="n">
        <v>0.4088700000000001</v>
      </c>
      <c r="J452" s="17" t="n"/>
      <c r="K452" s="2" t="n"/>
      <c r="L452" s="5" t="n"/>
      <c r="M452" s="16">
        <f>資金模擬!$B$5*V451</f>
        <v/>
      </c>
      <c r="N452" s="2">
        <f>IF(Z451=1,"已停止",IF(T451&gt;=M452,"已下單","資金不足略過"))</f>
        <v/>
      </c>
      <c r="O452" s="16">
        <f>IF(N452="已下單",M452*資金模擬!$B$7,0)</f>
        <v/>
      </c>
      <c r="P452" s="4" t="n"/>
      <c r="Q452" s="10" t="n">
        <v>0</v>
      </c>
      <c r="R452" s="10">
        <f>R451+Q452</f>
        <v/>
      </c>
      <c r="S452" s="16">
        <f>S451+IF(N452="已下單",M452,0)</f>
        <v/>
      </c>
      <c r="T452" s="16">
        <f>R452-S452</f>
        <v/>
      </c>
      <c r="U452" s="2">
        <f>U451+IF(N452="已下單",1,0)</f>
        <v/>
      </c>
      <c r="V452" s="16">
        <f>IF(資金模擬!$B$9=2,MAX(R452,0),MAX(V451,FLOOR(MAX(R452,0),資金模擬!$B$6)))</f>
        <v/>
      </c>
      <c r="W452" s="10">
        <f>MAX(W451,R452)</f>
        <v/>
      </c>
      <c r="X452" s="4">
        <f>IF(W452&gt;0,R452/W452-1,-1)</f>
        <v/>
      </c>
      <c r="Y452" s="16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17" t="n">
        <v>0.3894</v>
      </c>
      <c r="H453" s="17" t="n">
        <v>0.377718</v>
      </c>
      <c r="I453" s="17" t="n">
        <v>0.4088700000000001</v>
      </c>
      <c r="J453" s="17" t="n">
        <v>0.377718</v>
      </c>
      <c r="K453" s="2" t="inlineStr">
        <is>
          <t>止盈</t>
        </is>
      </c>
      <c r="L453" s="5">
        <f>交易明細!K227</f>
        <v/>
      </c>
      <c r="M453" s="16">
        <f>M452</f>
        <v/>
      </c>
      <c r="N453" s="2">
        <f>N452</f>
        <v/>
      </c>
      <c r="O453" s="16">
        <f>O452</f>
        <v/>
      </c>
      <c r="P453" s="4">
        <f>交易明細!L227</f>
        <v/>
      </c>
      <c r="Q453" s="10">
        <f>IF(N453="已下單",O453*P453,0)</f>
        <v/>
      </c>
      <c r="R453" s="10">
        <f>R452+Q453</f>
        <v/>
      </c>
      <c r="S453" s="16">
        <f>S452-IF(N453="已下單",M453,0)</f>
        <v/>
      </c>
      <c r="T453" s="16">
        <f>R453-S453</f>
        <v/>
      </c>
      <c r="U453" s="2">
        <f>U452-IF(N453="已下單",1,0)</f>
        <v/>
      </c>
      <c r="V453" s="16">
        <f>IF(資金模擬!$B$9=2,MAX(R453,0),MAX(V452,FLOOR(MAX(R453,0),資金模擬!$B$6)))</f>
        <v/>
      </c>
      <c r="W453" s="10">
        <f>MAX(W452,R453)</f>
        <v/>
      </c>
      <c r="X453" s="4">
        <f>IF(W453&gt;0,R453/W453-1,-1)</f>
        <v/>
      </c>
      <c r="Y453" s="16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17" t="n">
        <v>0.06137</v>
      </c>
      <c r="H454" s="17" t="n">
        <v>0.0595289</v>
      </c>
      <c r="I454" s="17" t="n">
        <v>0.06443850000000001</v>
      </c>
      <c r="J454" s="17" t="n"/>
      <c r="K454" s="2" t="n"/>
      <c r="L454" s="5" t="n"/>
      <c r="M454" s="16">
        <f>資金模擬!$B$5*V453</f>
        <v/>
      </c>
      <c r="N454" s="2">
        <f>IF(Z453=1,"已停止",IF(T453&gt;=M454,"已下單","資金不足略過"))</f>
        <v/>
      </c>
      <c r="O454" s="16">
        <f>IF(N454="已下單",M454*資金模擬!$B$7,0)</f>
        <v/>
      </c>
      <c r="P454" s="4" t="n"/>
      <c r="Q454" s="10" t="n">
        <v>0</v>
      </c>
      <c r="R454" s="10">
        <f>R453+Q454</f>
        <v/>
      </c>
      <c r="S454" s="16">
        <f>S453+IF(N454="已下單",M454,0)</f>
        <v/>
      </c>
      <c r="T454" s="16">
        <f>R454-S454</f>
        <v/>
      </c>
      <c r="U454" s="2">
        <f>U453+IF(N454="已下單",1,0)</f>
        <v/>
      </c>
      <c r="V454" s="16">
        <f>IF(資金模擬!$B$9=2,MAX(R454,0),MAX(V453,FLOOR(MAX(R454,0),資金模擬!$B$6)))</f>
        <v/>
      </c>
      <c r="W454" s="10">
        <f>MAX(W453,R454)</f>
        <v/>
      </c>
      <c r="X454" s="4">
        <f>IF(W454&gt;0,R454/W454-1,-1)</f>
        <v/>
      </c>
      <c r="Y454" s="16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17" t="n">
        <v>0.20512</v>
      </c>
      <c r="H455" s="17" t="n">
        <v>0.2112736</v>
      </c>
      <c r="I455" s="17" t="n">
        <v>0.194864</v>
      </c>
      <c r="J455" s="17" t="n">
        <v>0.2112736</v>
      </c>
      <c r="K455" s="2" t="inlineStr">
        <is>
          <t>止盈</t>
        </is>
      </c>
      <c r="L455" s="5">
        <f>交易明細!K226</f>
        <v/>
      </c>
      <c r="M455" s="16">
        <f>M450</f>
        <v/>
      </c>
      <c r="N455" s="2">
        <f>N450</f>
        <v/>
      </c>
      <c r="O455" s="16">
        <f>O450</f>
        <v/>
      </c>
      <c r="P455" s="4">
        <f>交易明細!L226</f>
        <v/>
      </c>
      <c r="Q455" s="10">
        <f>IF(N455="已下單",O455*P455,0)</f>
        <v/>
      </c>
      <c r="R455" s="10">
        <f>R454+Q455</f>
        <v/>
      </c>
      <c r="S455" s="16">
        <f>S454-IF(N455="已下單",M455,0)</f>
        <v/>
      </c>
      <c r="T455" s="16">
        <f>R455-S455</f>
        <v/>
      </c>
      <c r="U455" s="2">
        <f>U454-IF(N455="已下單",1,0)</f>
        <v/>
      </c>
      <c r="V455" s="16">
        <f>IF(資金模擬!$B$9=2,MAX(R455,0),MAX(V454,FLOOR(MAX(R455,0),資金模擬!$B$6)))</f>
        <v/>
      </c>
      <c r="W455" s="10">
        <f>MAX(W454,R455)</f>
        <v/>
      </c>
      <c r="X455" s="4">
        <f>IF(W455&gt;0,R455/W455-1,-1)</f>
        <v/>
      </c>
      <c r="Y455" s="16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17" t="n">
        <v>0.06137</v>
      </c>
      <c r="H456" s="17" t="n">
        <v>0.0595289</v>
      </c>
      <c r="I456" s="17" t="n">
        <v>0.06443850000000001</v>
      </c>
      <c r="J456" s="17" t="n">
        <v>0.06443850000000001</v>
      </c>
      <c r="K456" s="2" t="inlineStr">
        <is>
          <t>止損</t>
        </is>
      </c>
      <c r="L456" s="5">
        <f>交易明細!K228</f>
        <v/>
      </c>
      <c r="M456" s="16">
        <f>M454</f>
        <v/>
      </c>
      <c r="N456" s="2">
        <f>N454</f>
        <v/>
      </c>
      <c r="O456" s="16">
        <f>O454</f>
        <v/>
      </c>
      <c r="P456" s="4">
        <f>交易明細!L228</f>
        <v/>
      </c>
      <c r="Q456" s="10">
        <f>IF(N456="已下單",O456*P456,0)</f>
        <v/>
      </c>
      <c r="R456" s="10">
        <f>R455+Q456</f>
        <v/>
      </c>
      <c r="S456" s="16">
        <f>S455-IF(N456="已下單",M456,0)</f>
        <v/>
      </c>
      <c r="T456" s="16">
        <f>R456-S456</f>
        <v/>
      </c>
      <c r="U456" s="2">
        <f>U455-IF(N456="已下單",1,0)</f>
        <v/>
      </c>
      <c r="V456" s="16">
        <f>IF(資金模擬!$B$9=2,MAX(R456,0),MAX(V455,FLOOR(MAX(R456,0),資金模擬!$B$6)))</f>
        <v/>
      </c>
      <c r="W456" s="10">
        <f>MAX(W455,R456)</f>
        <v/>
      </c>
      <c r="X456" s="4">
        <f>IF(W456&gt;0,R456/W456-1,-1)</f>
        <v/>
      </c>
      <c r="Y456" s="16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17" t="n">
        <v>0.11513</v>
      </c>
      <c r="H457" s="17" t="n">
        <v>0.1116761</v>
      </c>
      <c r="I457" s="17" t="n">
        <v>0.1208865</v>
      </c>
      <c r="J457" s="17" t="n"/>
      <c r="K457" s="2" t="n"/>
      <c r="L457" s="5" t="n"/>
      <c r="M457" s="16">
        <f>資金模擬!$B$5*V456</f>
        <v/>
      </c>
      <c r="N457" s="2">
        <f>IF(Z456=1,"已停止",IF(T456&gt;=M457,"已下單","資金不足略過"))</f>
        <v/>
      </c>
      <c r="O457" s="16">
        <f>IF(N457="已下單",M457*資金模擬!$B$7,0)</f>
        <v/>
      </c>
      <c r="P457" s="4" t="n"/>
      <c r="Q457" s="10" t="n">
        <v>0</v>
      </c>
      <c r="R457" s="10">
        <f>R456+Q457</f>
        <v/>
      </c>
      <c r="S457" s="16">
        <f>S456+IF(N457="已下單",M457,0)</f>
        <v/>
      </c>
      <c r="T457" s="16">
        <f>R457-S457</f>
        <v/>
      </c>
      <c r="U457" s="2">
        <f>U456+IF(N457="已下單",1,0)</f>
        <v/>
      </c>
      <c r="V457" s="16">
        <f>IF(資金模擬!$B$9=2,MAX(R457,0),MAX(V456,FLOOR(MAX(R457,0),資金模擬!$B$6)))</f>
        <v/>
      </c>
      <c r="W457" s="10">
        <f>MAX(W456,R457)</f>
        <v/>
      </c>
      <c r="X457" s="4">
        <f>IF(W457&gt;0,R457/W457-1,-1)</f>
        <v/>
      </c>
      <c r="Y457" s="16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17" t="n">
        <v>0.11513</v>
      </c>
      <c r="H458" s="17" t="n">
        <v>0.1116761</v>
      </c>
      <c r="I458" s="17" t="n">
        <v>0.1208865</v>
      </c>
      <c r="J458" s="17" t="n">
        <v>0.1116761</v>
      </c>
      <c r="K458" s="2" t="inlineStr">
        <is>
          <t>止盈</t>
        </is>
      </c>
      <c r="L458" s="5">
        <f>交易明細!K229</f>
        <v/>
      </c>
      <c r="M458" s="16">
        <f>M457</f>
        <v/>
      </c>
      <c r="N458" s="2">
        <f>N457</f>
        <v/>
      </c>
      <c r="O458" s="16">
        <f>O457</f>
        <v/>
      </c>
      <c r="P458" s="4">
        <f>交易明細!L229</f>
        <v/>
      </c>
      <c r="Q458" s="10">
        <f>IF(N458="已下單",O458*P458,0)</f>
        <v/>
      </c>
      <c r="R458" s="10">
        <f>R457+Q458</f>
        <v/>
      </c>
      <c r="S458" s="16">
        <f>S457-IF(N458="已下單",M458,0)</f>
        <v/>
      </c>
      <c r="T458" s="16">
        <f>R458-S458</f>
        <v/>
      </c>
      <c r="U458" s="2">
        <f>U457-IF(N458="已下單",1,0)</f>
        <v/>
      </c>
      <c r="V458" s="16">
        <f>IF(資金模擬!$B$9=2,MAX(R458,0),MAX(V457,FLOOR(MAX(R458,0),資金模擬!$B$6)))</f>
        <v/>
      </c>
      <c r="W458" s="10">
        <f>MAX(W457,R458)</f>
        <v/>
      </c>
      <c r="X458" s="4">
        <f>IF(W458&gt;0,R458/W458-1,-1)</f>
        <v/>
      </c>
      <c r="Y458" s="16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17" t="n">
        <v>4.209</v>
      </c>
      <c r="H459" s="17" t="n">
        <v>4.08273</v>
      </c>
      <c r="I459" s="17" t="n">
        <v>4.419449999999999</v>
      </c>
      <c r="J459" s="17" t="n"/>
      <c r="K459" s="2" t="n"/>
      <c r="L459" s="5" t="n"/>
      <c r="M459" s="16">
        <f>資金模擬!$B$5*V458</f>
        <v/>
      </c>
      <c r="N459" s="2">
        <f>IF(Z458=1,"已停止",IF(T458&gt;=M459,"已下單","資金不足略過"))</f>
        <v/>
      </c>
      <c r="O459" s="16">
        <f>IF(N459="已下單",M459*資金模擬!$B$7,0)</f>
        <v/>
      </c>
      <c r="P459" s="4" t="n"/>
      <c r="Q459" s="10" t="n">
        <v>0</v>
      </c>
      <c r="R459" s="10">
        <f>R458+Q459</f>
        <v/>
      </c>
      <c r="S459" s="16">
        <f>S458+IF(N459="已下單",M459,0)</f>
        <v/>
      </c>
      <c r="T459" s="16">
        <f>R459-S459</f>
        <v/>
      </c>
      <c r="U459" s="2">
        <f>U458+IF(N459="已下單",1,0)</f>
        <v/>
      </c>
      <c r="V459" s="16">
        <f>IF(資金模擬!$B$9=2,MAX(R459,0),MAX(V458,FLOOR(MAX(R459,0),資金模擬!$B$6)))</f>
        <v/>
      </c>
      <c r="W459" s="10">
        <f>MAX(W458,R459)</f>
        <v/>
      </c>
      <c r="X459" s="4">
        <f>IF(W459&gt;0,R459/W459-1,-1)</f>
        <v/>
      </c>
      <c r="Y459" s="16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17" t="n">
        <v>0.6319</v>
      </c>
      <c r="H460" s="17" t="n">
        <v>0.612943</v>
      </c>
      <c r="I460" s="17" t="n">
        <v>0.6634950000000001</v>
      </c>
      <c r="J460" s="17" t="n"/>
      <c r="K460" s="2" t="n"/>
      <c r="L460" s="5" t="n"/>
      <c r="M460" s="16">
        <f>資金模擬!$B$5*V459</f>
        <v/>
      </c>
      <c r="N460" s="2">
        <f>IF(Z459=1,"已停止",IF(T459&gt;=M460,"已下單","資金不足略過"))</f>
        <v/>
      </c>
      <c r="O460" s="16">
        <f>IF(N460="已下單",M460*資金模擬!$B$7,0)</f>
        <v/>
      </c>
      <c r="P460" s="4" t="n"/>
      <c r="Q460" s="10" t="n">
        <v>0</v>
      </c>
      <c r="R460" s="10">
        <f>R459+Q460</f>
        <v/>
      </c>
      <c r="S460" s="16">
        <f>S459+IF(N460="已下單",M460,0)</f>
        <v/>
      </c>
      <c r="T460" s="16">
        <f>R460-S460</f>
        <v/>
      </c>
      <c r="U460" s="2">
        <f>U459+IF(N460="已下單",1,0)</f>
        <v/>
      </c>
      <c r="V460" s="16">
        <f>IF(資金模擬!$B$9=2,MAX(R460,0),MAX(V459,FLOOR(MAX(R460,0),資金模擬!$B$6)))</f>
        <v/>
      </c>
      <c r="W460" s="10">
        <f>MAX(W459,R460)</f>
        <v/>
      </c>
      <c r="X460" s="4">
        <f>IF(W460&gt;0,R460/W460-1,-1)</f>
        <v/>
      </c>
      <c r="Y460" s="16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17" t="n">
        <v>6.252</v>
      </c>
      <c r="H461" s="17" t="n">
        <v>6.064439999999999</v>
      </c>
      <c r="I461" s="17" t="n">
        <v>6.5646</v>
      </c>
      <c r="J461" s="17" t="n"/>
      <c r="K461" s="2" t="n"/>
      <c r="L461" s="5" t="n"/>
      <c r="M461" s="16">
        <f>資金模擬!$B$5*V460</f>
        <v/>
      </c>
      <c r="N461" s="2">
        <f>IF(Z460=1,"已停止",IF(T460&gt;=M461,"已下單","資金不足略過"))</f>
        <v/>
      </c>
      <c r="O461" s="16">
        <f>IF(N461="已下單",M461*資金模擬!$B$7,0)</f>
        <v/>
      </c>
      <c r="P461" s="4" t="n"/>
      <c r="Q461" s="10" t="n">
        <v>0</v>
      </c>
      <c r="R461" s="10">
        <f>R460+Q461</f>
        <v/>
      </c>
      <c r="S461" s="16">
        <f>S460+IF(N461="已下單",M461,0)</f>
        <v/>
      </c>
      <c r="T461" s="16">
        <f>R461-S461</f>
        <v/>
      </c>
      <c r="U461" s="2">
        <f>U460+IF(N461="已下單",1,0)</f>
        <v/>
      </c>
      <c r="V461" s="16">
        <f>IF(資金模擬!$B$9=2,MAX(R461,0),MAX(V460,FLOOR(MAX(R461,0),資金模擬!$B$6)))</f>
        <v/>
      </c>
      <c r="W461" s="10">
        <f>MAX(W460,R461)</f>
        <v/>
      </c>
      <c r="X461" s="4">
        <f>IF(W461&gt;0,R461/W461-1,-1)</f>
        <v/>
      </c>
      <c r="Y461" s="16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17" t="n">
        <v>0.17359</v>
      </c>
      <c r="H462" s="17" t="n">
        <v>0.1787977</v>
      </c>
      <c r="I462" s="17" t="n">
        <v>0.1649105</v>
      </c>
      <c r="J462" s="17" t="n"/>
      <c r="K462" s="2" t="n"/>
      <c r="L462" s="5" t="n"/>
      <c r="M462" s="16">
        <f>資金模擬!$B$5*V461</f>
        <v/>
      </c>
      <c r="N462" s="2">
        <f>IF(Z461=1,"已停止",IF(T461&gt;=M462,"已下單","資金不足略過"))</f>
        <v/>
      </c>
      <c r="O462" s="16">
        <f>IF(N462="已下單",M462*資金模擬!$B$7,0)</f>
        <v/>
      </c>
      <c r="P462" s="4" t="n"/>
      <c r="Q462" s="10" t="n">
        <v>0</v>
      </c>
      <c r="R462" s="10">
        <f>R461+Q462</f>
        <v/>
      </c>
      <c r="S462" s="16">
        <f>S461+IF(N462="已下單",M462,0)</f>
        <v/>
      </c>
      <c r="T462" s="16">
        <f>R462-S462</f>
        <v/>
      </c>
      <c r="U462" s="2">
        <f>U461+IF(N462="已下單",1,0)</f>
        <v/>
      </c>
      <c r="V462" s="16">
        <f>IF(資金模擬!$B$9=2,MAX(R462,0),MAX(V461,FLOOR(MAX(R462,0),資金模擬!$B$6)))</f>
        <v/>
      </c>
      <c r="W462" s="10">
        <f>MAX(W461,R462)</f>
        <v/>
      </c>
      <c r="X462" s="4">
        <f>IF(W462&gt;0,R462/W462-1,-1)</f>
        <v/>
      </c>
      <c r="Y462" s="16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17" t="n">
        <v>4.209</v>
      </c>
      <c r="H463" s="17" t="n">
        <v>4.08273</v>
      </c>
      <c r="I463" s="17" t="n">
        <v>4.419449999999999</v>
      </c>
      <c r="J463" s="17" t="n">
        <v>4.08273</v>
      </c>
      <c r="K463" s="2" t="inlineStr">
        <is>
          <t>止盈</t>
        </is>
      </c>
      <c r="L463" s="5">
        <f>交易明細!K230</f>
        <v/>
      </c>
      <c r="M463" s="16">
        <f>M459</f>
        <v/>
      </c>
      <c r="N463" s="2">
        <f>N459</f>
        <v/>
      </c>
      <c r="O463" s="16">
        <f>O459</f>
        <v/>
      </c>
      <c r="P463" s="4">
        <f>交易明細!L230</f>
        <v/>
      </c>
      <c r="Q463" s="10">
        <f>IF(N463="已下單",O463*P463,0)</f>
        <v/>
      </c>
      <c r="R463" s="10">
        <f>R462+Q463</f>
        <v/>
      </c>
      <c r="S463" s="16">
        <f>S462-IF(N463="已下單",M463,0)</f>
        <v/>
      </c>
      <c r="T463" s="16">
        <f>R463-S463</f>
        <v/>
      </c>
      <c r="U463" s="2">
        <f>U462-IF(N463="已下單",1,0)</f>
        <v/>
      </c>
      <c r="V463" s="16">
        <f>IF(資金模擬!$B$9=2,MAX(R463,0),MAX(V462,FLOOR(MAX(R463,0),資金模擬!$B$6)))</f>
        <v/>
      </c>
      <c r="W463" s="10">
        <f>MAX(W462,R463)</f>
        <v/>
      </c>
      <c r="X463" s="4">
        <f>IF(W463&gt;0,R463/W463-1,-1)</f>
        <v/>
      </c>
      <c r="Y463" s="16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17" t="n">
        <v>0.6319</v>
      </c>
      <c r="H464" s="17" t="n">
        <v>0.612943</v>
      </c>
      <c r="I464" s="17" t="n">
        <v>0.6634950000000001</v>
      </c>
      <c r="J464" s="17" t="n">
        <v>0.6634950000000001</v>
      </c>
      <c r="K464" s="2" t="inlineStr">
        <is>
          <t>止損</t>
        </is>
      </c>
      <c r="L464" s="5">
        <f>交易明細!K231</f>
        <v/>
      </c>
      <c r="M464" s="16">
        <f>M460</f>
        <v/>
      </c>
      <c r="N464" s="2">
        <f>N460</f>
        <v/>
      </c>
      <c r="O464" s="16">
        <f>O460</f>
        <v/>
      </c>
      <c r="P464" s="4">
        <f>交易明細!L231</f>
        <v/>
      </c>
      <c r="Q464" s="10">
        <f>IF(N464="已下單",O464*P464,0)</f>
        <v/>
      </c>
      <c r="R464" s="10">
        <f>R463+Q464</f>
        <v/>
      </c>
      <c r="S464" s="16">
        <f>S463-IF(N464="已下單",M464,0)</f>
        <v/>
      </c>
      <c r="T464" s="16">
        <f>R464-S464</f>
        <v/>
      </c>
      <c r="U464" s="2">
        <f>U463-IF(N464="已下單",1,0)</f>
        <v/>
      </c>
      <c r="V464" s="16">
        <f>IF(資金模擬!$B$9=2,MAX(R464,0),MAX(V463,FLOOR(MAX(R464,0),資金模擬!$B$6)))</f>
        <v/>
      </c>
      <c r="W464" s="10">
        <f>MAX(W463,R464)</f>
        <v/>
      </c>
      <c r="X464" s="4">
        <f>IF(W464&gt;0,R464/W464-1,-1)</f>
        <v/>
      </c>
      <c r="Y464" s="16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17" t="n">
        <v>0.17359</v>
      </c>
      <c r="H465" s="17" t="n">
        <v>0.1787977</v>
      </c>
      <c r="I465" s="17" t="n">
        <v>0.1649105</v>
      </c>
      <c r="J465" s="17" t="n">
        <v>0.1787977</v>
      </c>
      <c r="K465" s="2" t="inlineStr">
        <is>
          <t>止盈</t>
        </is>
      </c>
      <c r="L465" s="5">
        <f>交易明細!K233</f>
        <v/>
      </c>
      <c r="M465" s="16">
        <f>M462</f>
        <v/>
      </c>
      <c r="N465" s="2">
        <f>N462</f>
        <v/>
      </c>
      <c r="O465" s="16">
        <f>O462</f>
        <v/>
      </c>
      <c r="P465" s="4">
        <f>交易明細!L233</f>
        <v/>
      </c>
      <c r="Q465" s="10">
        <f>IF(N465="已下單",O465*P465,0)</f>
        <v/>
      </c>
      <c r="R465" s="10">
        <f>R464+Q465</f>
        <v/>
      </c>
      <c r="S465" s="16">
        <f>S464-IF(N465="已下單",M465,0)</f>
        <v/>
      </c>
      <c r="T465" s="16">
        <f>R465-S465</f>
        <v/>
      </c>
      <c r="U465" s="2">
        <f>U464-IF(N465="已下單",1,0)</f>
        <v/>
      </c>
      <c r="V465" s="16">
        <f>IF(資金模擬!$B$9=2,MAX(R465,0),MAX(V464,FLOOR(MAX(R465,0),資金模擬!$B$6)))</f>
        <v/>
      </c>
      <c r="W465" s="10">
        <f>MAX(W464,R465)</f>
        <v/>
      </c>
      <c r="X465" s="4">
        <f>IF(W465&gt;0,R465/W465-1,-1)</f>
        <v/>
      </c>
      <c r="Y465" s="16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17" t="n">
        <v>0.21036</v>
      </c>
      <c r="H466" s="17" t="n">
        <v>0.2166708</v>
      </c>
      <c r="I466" s="17" t="n">
        <v>0.199842</v>
      </c>
      <c r="J466" s="17" t="n"/>
      <c r="K466" s="2" t="n"/>
      <c r="L466" s="5" t="n"/>
      <c r="M466" s="16">
        <f>資金模擬!$B$5*V465</f>
        <v/>
      </c>
      <c r="N466" s="2">
        <f>IF(Z465=1,"已停止",IF(T465&gt;=M466,"已下單","資金不足略過"))</f>
        <v/>
      </c>
      <c r="O466" s="16">
        <f>IF(N466="已下單",M466*資金模擬!$B$7,0)</f>
        <v/>
      </c>
      <c r="P466" s="4" t="n"/>
      <c r="Q466" s="10" t="n">
        <v>0</v>
      </c>
      <c r="R466" s="10">
        <f>R465+Q466</f>
        <v/>
      </c>
      <c r="S466" s="16">
        <f>S465+IF(N466="已下單",M466,0)</f>
        <v/>
      </c>
      <c r="T466" s="16">
        <f>R466-S466</f>
        <v/>
      </c>
      <c r="U466" s="2">
        <f>U465+IF(N466="已下單",1,0)</f>
        <v/>
      </c>
      <c r="V466" s="16">
        <f>IF(資金模擬!$B$9=2,MAX(R466,0),MAX(V465,FLOOR(MAX(R466,0),資金模擬!$B$6)))</f>
        <v/>
      </c>
      <c r="W466" s="10">
        <f>MAX(W465,R466)</f>
        <v/>
      </c>
      <c r="X466" s="4">
        <f>IF(W466&gt;0,R466/W466-1,-1)</f>
        <v/>
      </c>
      <c r="Y466" s="16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17" t="n">
        <v>6.252</v>
      </c>
      <c r="H467" s="17" t="n">
        <v>6.064439999999999</v>
      </c>
      <c r="I467" s="17" t="n">
        <v>6.5646</v>
      </c>
      <c r="J467" s="17" t="n">
        <v>6.5646</v>
      </c>
      <c r="K467" s="2" t="inlineStr">
        <is>
          <t>止損</t>
        </is>
      </c>
      <c r="L467" s="5">
        <f>交易明細!K232</f>
        <v/>
      </c>
      <c r="M467" s="16">
        <f>M461</f>
        <v/>
      </c>
      <c r="N467" s="2">
        <f>N461</f>
        <v/>
      </c>
      <c r="O467" s="16">
        <f>O461</f>
        <v/>
      </c>
      <c r="P467" s="4">
        <f>交易明細!L232</f>
        <v/>
      </c>
      <c r="Q467" s="10">
        <f>IF(N467="已下單",O467*P467,0)</f>
        <v/>
      </c>
      <c r="R467" s="10">
        <f>R466+Q467</f>
        <v/>
      </c>
      <c r="S467" s="16">
        <f>S466-IF(N467="已下單",M467,0)</f>
        <v/>
      </c>
      <c r="T467" s="16">
        <f>R467-S467</f>
        <v/>
      </c>
      <c r="U467" s="2">
        <f>U466-IF(N467="已下單",1,0)</f>
        <v/>
      </c>
      <c r="V467" s="16">
        <f>IF(資金模擬!$B$9=2,MAX(R467,0),MAX(V466,FLOOR(MAX(R467,0),資金模擬!$B$6)))</f>
        <v/>
      </c>
      <c r="W467" s="10">
        <f>MAX(W466,R467)</f>
        <v/>
      </c>
      <c r="X467" s="4">
        <f>IF(W467&gt;0,R467/W467-1,-1)</f>
        <v/>
      </c>
      <c r="Y467" s="16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17" t="n">
        <v>0.21036</v>
      </c>
      <c r="H468" s="17" t="n">
        <v>0.2166708</v>
      </c>
      <c r="I468" s="17" t="n">
        <v>0.199842</v>
      </c>
      <c r="J468" s="17" t="n">
        <v>0.2166708</v>
      </c>
      <c r="K468" s="2" t="inlineStr">
        <is>
          <t>止盈</t>
        </is>
      </c>
      <c r="L468" s="5">
        <f>交易明細!K234</f>
        <v/>
      </c>
      <c r="M468" s="16">
        <f>M466</f>
        <v/>
      </c>
      <c r="N468" s="2">
        <f>N466</f>
        <v/>
      </c>
      <c r="O468" s="16">
        <f>O466</f>
        <v/>
      </c>
      <c r="P468" s="4">
        <f>交易明細!L234</f>
        <v/>
      </c>
      <c r="Q468" s="10">
        <f>IF(N468="已下單",O468*P468,0)</f>
        <v/>
      </c>
      <c r="R468" s="10">
        <f>R467+Q468</f>
        <v/>
      </c>
      <c r="S468" s="16">
        <f>S467-IF(N468="已下單",M468,0)</f>
        <v/>
      </c>
      <c r="T468" s="16">
        <f>R468-S468</f>
        <v/>
      </c>
      <c r="U468" s="2">
        <f>U467-IF(N468="已下單",1,0)</f>
        <v/>
      </c>
      <c r="V468" s="16">
        <f>IF(資金模擬!$B$9=2,MAX(R468,0),MAX(V467,FLOOR(MAX(R468,0),資金模擬!$B$6)))</f>
        <v/>
      </c>
      <c r="W468" s="10">
        <f>MAX(W467,R468)</f>
        <v/>
      </c>
      <c r="X468" s="4">
        <f>IF(W468&gt;0,R468/W468-1,-1)</f>
        <v/>
      </c>
      <c r="Y468" s="16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17" t="n">
        <v>1.3237</v>
      </c>
      <c r="H469" s="17" t="n">
        <v>1.283989</v>
      </c>
      <c r="I469" s="17" t="n">
        <v>1.389885</v>
      </c>
      <c r="J469" s="17" t="n"/>
      <c r="K469" s="2" t="n"/>
      <c r="L469" s="5" t="n"/>
      <c r="M469" s="16">
        <f>資金模擬!$B$5*V468</f>
        <v/>
      </c>
      <c r="N469" s="2">
        <f>IF(Z468=1,"已停止",IF(T468&gt;=M469,"已下單","資金不足略過"))</f>
        <v/>
      </c>
      <c r="O469" s="16">
        <f>IF(N469="已下單",M469*資金模擬!$B$7,0)</f>
        <v/>
      </c>
      <c r="P469" s="4" t="n"/>
      <c r="Q469" s="10" t="n">
        <v>0</v>
      </c>
      <c r="R469" s="10">
        <f>R468+Q469</f>
        <v/>
      </c>
      <c r="S469" s="16">
        <f>S468+IF(N469="已下單",M469,0)</f>
        <v/>
      </c>
      <c r="T469" s="16">
        <f>R469-S469</f>
        <v/>
      </c>
      <c r="U469" s="2">
        <f>U468+IF(N469="已下單",1,0)</f>
        <v/>
      </c>
      <c r="V469" s="16">
        <f>IF(資金模擬!$B$9=2,MAX(R469,0),MAX(V468,FLOOR(MAX(R469,0),資金模擬!$B$6)))</f>
        <v/>
      </c>
      <c r="W469" s="10">
        <f>MAX(W468,R469)</f>
        <v/>
      </c>
      <c r="X469" s="4">
        <f>IF(W469&gt;0,R469/W469-1,-1)</f>
        <v/>
      </c>
      <c r="Y469" s="16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17" t="n">
        <v>4.163</v>
      </c>
      <c r="H470" s="17" t="n">
        <v>4.038110000000001</v>
      </c>
      <c r="I470" s="17" t="n">
        <v>4.37115</v>
      </c>
      <c r="J470" s="17" t="n"/>
      <c r="K470" s="2" t="n"/>
      <c r="L470" s="5" t="n"/>
      <c r="M470" s="16">
        <f>資金模擬!$B$5*V469</f>
        <v/>
      </c>
      <c r="N470" s="2">
        <f>IF(Z469=1,"已停止",IF(T469&gt;=M470,"已下單","資金不足略過"))</f>
        <v/>
      </c>
      <c r="O470" s="16">
        <f>IF(N470="已下單",M470*資金模擬!$B$7,0)</f>
        <v/>
      </c>
      <c r="P470" s="4" t="n"/>
      <c r="Q470" s="10" t="n">
        <v>0</v>
      </c>
      <c r="R470" s="10">
        <f>R469+Q470</f>
        <v/>
      </c>
      <c r="S470" s="16">
        <f>S469+IF(N470="已下單",M470,0)</f>
        <v/>
      </c>
      <c r="T470" s="16">
        <f>R470-S470</f>
        <v/>
      </c>
      <c r="U470" s="2">
        <f>U469+IF(N470="已下單",1,0)</f>
        <v/>
      </c>
      <c r="V470" s="16">
        <f>IF(資金模擬!$B$9=2,MAX(R470,0),MAX(V469,FLOOR(MAX(R470,0),資金模擬!$B$6)))</f>
        <v/>
      </c>
      <c r="W470" s="10">
        <f>MAX(W469,R470)</f>
        <v/>
      </c>
      <c r="X470" s="4">
        <f>IF(W470&gt;0,R470/W470-1,-1)</f>
        <v/>
      </c>
      <c r="Y470" s="16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17" t="n">
        <v>1.3237</v>
      </c>
      <c r="H471" s="17" t="n">
        <v>1.283989</v>
      </c>
      <c r="I471" s="17" t="n">
        <v>1.389885</v>
      </c>
      <c r="J471" s="17" t="n">
        <v>1.283989</v>
      </c>
      <c r="K471" s="2" t="inlineStr">
        <is>
          <t>止盈</t>
        </is>
      </c>
      <c r="L471" s="5">
        <f>交易明細!K235</f>
        <v/>
      </c>
      <c r="M471" s="16">
        <f>M469</f>
        <v/>
      </c>
      <c r="N471" s="2">
        <f>N469</f>
        <v/>
      </c>
      <c r="O471" s="16">
        <f>O469</f>
        <v/>
      </c>
      <c r="P471" s="4">
        <f>交易明細!L235</f>
        <v/>
      </c>
      <c r="Q471" s="10">
        <f>IF(N471="已下單",O471*P471,0)</f>
        <v/>
      </c>
      <c r="R471" s="10">
        <f>R470+Q471</f>
        <v/>
      </c>
      <c r="S471" s="16">
        <f>S470-IF(N471="已下單",M471,0)</f>
        <v/>
      </c>
      <c r="T471" s="16">
        <f>R471-S471</f>
        <v/>
      </c>
      <c r="U471" s="2">
        <f>U470-IF(N471="已下單",1,0)</f>
        <v/>
      </c>
      <c r="V471" s="16">
        <f>IF(資金模擬!$B$9=2,MAX(R471,0),MAX(V470,FLOOR(MAX(R471,0),資金模擬!$B$6)))</f>
        <v/>
      </c>
      <c r="W471" s="10">
        <f>MAX(W470,R471)</f>
        <v/>
      </c>
      <c r="X471" s="4">
        <f>IF(W471&gt;0,R471/W471-1,-1)</f>
        <v/>
      </c>
      <c r="Y471" s="16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17" t="n">
        <v>4.163</v>
      </c>
      <c r="H472" s="17" t="n">
        <v>4.038110000000001</v>
      </c>
      <c r="I472" s="17" t="n">
        <v>4.37115</v>
      </c>
      <c r="J472" s="17" t="n">
        <v>4.038110000000001</v>
      </c>
      <c r="K472" s="2" t="inlineStr">
        <is>
          <t>止盈</t>
        </is>
      </c>
      <c r="L472" s="5">
        <f>交易明細!K236</f>
        <v/>
      </c>
      <c r="M472" s="16">
        <f>M470</f>
        <v/>
      </c>
      <c r="N472" s="2">
        <f>N470</f>
        <v/>
      </c>
      <c r="O472" s="16">
        <f>O470</f>
        <v/>
      </c>
      <c r="P472" s="4">
        <f>交易明細!L236</f>
        <v/>
      </c>
      <c r="Q472" s="10">
        <f>IF(N472="已下單",O472*P472,0)</f>
        <v/>
      </c>
      <c r="R472" s="10">
        <f>R471+Q472</f>
        <v/>
      </c>
      <c r="S472" s="16">
        <f>S471-IF(N472="已下單",M472,0)</f>
        <v/>
      </c>
      <c r="T472" s="16">
        <f>R472-S472</f>
        <v/>
      </c>
      <c r="U472" s="2">
        <f>U471-IF(N472="已下單",1,0)</f>
        <v/>
      </c>
      <c r="V472" s="16">
        <f>IF(資金模擬!$B$9=2,MAX(R472,0),MAX(V471,FLOOR(MAX(R472,0),資金模擬!$B$6)))</f>
        <v/>
      </c>
      <c r="W472" s="10">
        <f>MAX(W471,R472)</f>
        <v/>
      </c>
      <c r="X472" s="4">
        <f>IF(W472&gt;0,R472/W472-1,-1)</f>
        <v/>
      </c>
      <c r="Y472" s="16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17" t="n">
        <v>0.05174</v>
      </c>
      <c r="H473" s="17" t="n">
        <v>0.0501878</v>
      </c>
      <c r="I473" s="17" t="n">
        <v>0.054327</v>
      </c>
      <c r="J473" s="17" t="n"/>
      <c r="K473" s="2" t="n"/>
      <c r="L473" s="5" t="n"/>
      <c r="M473" s="16">
        <f>資金模擬!$B$5*V472</f>
        <v/>
      </c>
      <c r="N473" s="2">
        <f>IF(Z472=1,"已停止",IF(T472&gt;=M473,"已下單","資金不足略過"))</f>
        <v/>
      </c>
      <c r="O473" s="16">
        <f>IF(N473="已下單",M473*資金模擬!$B$7,0)</f>
        <v/>
      </c>
      <c r="P473" s="4" t="n"/>
      <c r="Q473" s="10" t="n">
        <v>0</v>
      </c>
      <c r="R473" s="10">
        <f>R472+Q473</f>
        <v/>
      </c>
      <c r="S473" s="16">
        <f>S472+IF(N473="已下單",M473,0)</f>
        <v/>
      </c>
      <c r="T473" s="16">
        <f>R473-S473</f>
        <v/>
      </c>
      <c r="U473" s="2">
        <f>U472+IF(N473="已下單",1,0)</f>
        <v/>
      </c>
      <c r="V473" s="16">
        <f>IF(資金模擬!$B$9=2,MAX(R473,0),MAX(V472,FLOOR(MAX(R473,0),資金模擬!$B$6)))</f>
        <v/>
      </c>
      <c r="W473" s="10">
        <f>MAX(W472,R473)</f>
        <v/>
      </c>
      <c r="X473" s="4">
        <f>IF(W473&gt;0,R473/W473-1,-1)</f>
        <v/>
      </c>
      <c r="Y473" s="16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17" t="n">
        <v>0.22015</v>
      </c>
      <c r="H474" s="17" t="n">
        <v>0.2267545</v>
      </c>
      <c r="I474" s="17" t="n">
        <v>0.2091425</v>
      </c>
      <c r="J474" s="17" t="n"/>
      <c r="K474" s="2" t="n"/>
      <c r="L474" s="5" t="n"/>
      <c r="M474" s="16">
        <f>資金模擬!$B$5*V473</f>
        <v/>
      </c>
      <c r="N474" s="2">
        <f>IF(Z473=1,"已停止",IF(T473&gt;=M474,"已下單","資金不足略過"))</f>
        <v/>
      </c>
      <c r="O474" s="16">
        <f>IF(N474="已下單",M474*資金模擬!$B$7,0)</f>
        <v/>
      </c>
      <c r="P474" s="4" t="n"/>
      <c r="Q474" s="10" t="n">
        <v>0</v>
      </c>
      <c r="R474" s="10">
        <f>R473+Q474</f>
        <v/>
      </c>
      <c r="S474" s="16">
        <f>S473+IF(N474="已下單",M474,0)</f>
        <v/>
      </c>
      <c r="T474" s="16">
        <f>R474-S474</f>
        <v/>
      </c>
      <c r="U474" s="2">
        <f>U473+IF(N474="已下單",1,0)</f>
        <v/>
      </c>
      <c r="V474" s="16">
        <f>IF(資金模擬!$B$9=2,MAX(R474,0),MAX(V473,FLOOR(MAX(R474,0),資金模擬!$B$6)))</f>
        <v/>
      </c>
      <c r="W474" s="10">
        <f>MAX(W473,R474)</f>
        <v/>
      </c>
      <c r="X474" s="4">
        <f>IF(W474&gt;0,R474/W474-1,-1)</f>
        <v/>
      </c>
      <c r="Y474" s="16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17" t="n">
        <v>0.6093</v>
      </c>
      <c r="H475" s="17" t="n">
        <v>0.5910209999999999</v>
      </c>
      <c r="I475" s="17" t="n">
        <v>0.639765</v>
      </c>
      <c r="J475" s="17" t="n"/>
      <c r="K475" s="2" t="n"/>
      <c r="L475" s="5" t="n"/>
      <c r="M475" s="16">
        <f>資金模擬!$B$5*V474</f>
        <v/>
      </c>
      <c r="N475" s="2">
        <f>IF(Z474=1,"已停止",IF(T474&gt;=M475,"已下單","資金不足略過"))</f>
        <v/>
      </c>
      <c r="O475" s="16">
        <f>IF(N475="已下單",M475*資金模擬!$B$7,0)</f>
        <v/>
      </c>
      <c r="P475" s="4" t="n"/>
      <c r="Q475" s="10" t="n">
        <v>0</v>
      </c>
      <c r="R475" s="10">
        <f>R474+Q475</f>
        <v/>
      </c>
      <c r="S475" s="16">
        <f>S474+IF(N475="已下單",M475,0)</f>
        <v/>
      </c>
      <c r="T475" s="16">
        <f>R475-S475</f>
        <v/>
      </c>
      <c r="U475" s="2">
        <f>U474+IF(N475="已下單",1,0)</f>
        <v/>
      </c>
      <c r="V475" s="16">
        <f>IF(資金模擬!$B$9=2,MAX(R475,0),MAX(V474,FLOOR(MAX(R475,0),資金模擬!$B$6)))</f>
        <v/>
      </c>
      <c r="W475" s="10">
        <f>MAX(W474,R475)</f>
        <v/>
      </c>
      <c r="X475" s="4">
        <f>IF(W475&gt;0,R475/W475-1,-1)</f>
        <v/>
      </c>
      <c r="Y475" s="16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17" t="n">
        <v>0.003404</v>
      </c>
      <c r="H476" s="17" t="n">
        <v>0.00330188</v>
      </c>
      <c r="I476" s="17" t="n">
        <v>0.0035742</v>
      </c>
      <c r="J476" s="17" t="n"/>
      <c r="K476" s="2" t="n"/>
      <c r="L476" s="5" t="n"/>
      <c r="M476" s="16">
        <f>資金模擬!$B$5*V475</f>
        <v/>
      </c>
      <c r="N476" s="2">
        <f>IF(Z475=1,"已停止",IF(T475&gt;=M476,"已下單","資金不足略過"))</f>
        <v/>
      </c>
      <c r="O476" s="16">
        <f>IF(N476="已下單",M476*資金模擬!$B$7,0)</f>
        <v/>
      </c>
      <c r="P476" s="4" t="n"/>
      <c r="Q476" s="10" t="n">
        <v>0</v>
      </c>
      <c r="R476" s="10">
        <f>R475+Q476</f>
        <v/>
      </c>
      <c r="S476" s="16">
        <f>S475+IF(N476="已下單",M476,0)</f>
        <v/>
      </c>
      <c r="T476" s="16">
        <f>R476-S476</f>
        <v/>
      </c>
      <c r="U476" s="2">
        <f>U475+IF(N476="已下單",1,0)</f>
        <v/>
      </c>
      <c r="V476" s="16">
        <f>IF(資金模擬!$B$9=2,MAX(R476,0),MAX(V475,FLOOR(MAX(R476,0),資金模擬!$B$6)))</f>
        <v/>
      </c>
      <c r="W476" s="10">
        <f>MAX(W475,R476)</f>
        <v/>
      </c>
      <c r="X476" s="4">
        <f>IF(W476&gt;0,R476/W476-1,-1)</f>
        <v/>
      </c>
      <c r="Y476" s="16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17" t="n">
        <v>6.241</v>
      </c>
      <c r="H477" s="17" t="n">
        <v>6.053769999999999</v>
      </c>
      <c r="I477" s="17" t="n">
        <v>6.55305</v>
      </c>
      <c r="J477" s="17" t="n"/>
      <c r="K477" s="2" t="n"/>
      <c r="L477" s="5" t="n"/>
      <c r="M477" s="16">
        <f>資金模擬!$B$5*V476</f>
        <v/>
      </c>
      <c r="N477" s="2">
        <f>IF(Z476=1,"已停止",IF(T476&gt;=M477,"已下單","資金不足略過"))</f>
        <v/>
      </c>
      <c r="O477" s="16">
        <f>IF(N477="已下單",M477*資金模擬!$B$7,0)</f>
        <v/>
      </c>
      <c r="P477" s="4" t="n"/>
      <c r="Q477" s="10" t="n">
        <v>0</v>
      </c>
      <c r="R477" s="10">
        <f>R476+Q477</f>
        <v/>
      </c>
      <c r="S477" s="16">
        <f>S476+IF(N477="已下單",M477,0)</f>
        <v/>
      </c>
      <c r="T477" s="16">
        <f>R477-S477</f>
        <v/>
      </c>
      <c r="U477" s="2">
        <f>U476+IF(N477="已下單",1,0)</f>
        <v/>
      </c>
      <c r="V477" s="16">
        <f>IF(資金模擬!$B$9=2,MAX(R477,0),MAX(V476,FLOOR(MAX(R477,0),資金模擬!$B$6)))</f>
        <v/>
      </c>
      <c r="W477" s="10">
        <f>MAX(W476,R477)</f>
        <v/>
      </c>
      <c r="X477" s="4">
        <f>IF(W477&gt;0,R477/W477-1,-1)</f>
        <v/>
      </c>
      <c r="Y477" s="16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17" t="n">
        <v>0.11407</v>
      </c>
      <c r="H478" s="17" t="n">
        <v>0.1106479</v>
      </c>
      <c r="I478" s="17" t="n">
        <v>0.1197735</v>
      </c>
      <c r="J478" s="17" t="n"/>
      <c r="K478" s="2" t="n"/>
      <c r="L478" s="5" t="n"/>
      <c r="M478" s="16">
        <f>資金模擬!$B$5*V477</f>
        <v/>
      </c>
      <c r="N478" s="2">
        <f>IF(Z477=1,"已停止",IF(T477&gt;=M478,"已下單","資金不足略過"))</f>
        <v/>
      </c>
      <c r="O478" s="16">
        <f>IF(N478="已下單",M478*資金模擬!$B$7,0)</f>
        <v/>
      </c>
      <c r="P478" s="4" t="n"/>
      <c r="Q478" s="10" t="n">
        <v>0</v>
      </c>
      <c r="R478" s="10">
        <f>R477+Q478</f>
        <v/>
      </c>
      <c r="S478" s="16">
        <f>S477+IF(N478="已下單",M478,0)</f>
        <v/>
      </c>
      <c r="T478" s="16">
        <f>R478-S478</f>
        <v/>
      </c>
      <c r="U478" s="2">
        <f>U477+IF(N478="已下單",1,0)</f>
        <v/>
      </c>
      <c r="V478" s="16">
        <f>IF(資金模擬!$B$9=2,MAX(R478,0),MAX(V477,FLOOR(MAX(R478,0),資金模擬!$B$6)))</f>
        <v/>
      </c>
      <c r="W478" s="10">
        <f>MAX(W477,R478)</f>
        <v/>
      </c>
      <c r="X478" s="4">
        <f>IF(W478&gt;0,R478/W478-1,-1)</f>
        <v/>
      </c>
      <c r="Y478" s="16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17" t="n">
        <v>0.16882</v>
      </c>
      <c r="H479" s="17" t="n">
        <v>0.1637554</v>
      </c>
      <c r="I479" s="17" t="n">
        <v>0.177261</v>
      </c>
      <c r="J479" s="17" t="n"/>
      <c r="K479" s="2" t="n"/>
      <c r="L479" s="5" t="n"/>
      <c r="M479" s="16">
        <f>資金模擬!$B$5*V478</f>
        <v/>
      </c>
      <c r="N479" s="2">
        <f>IF(Z478=1,"已停止",IF(T478&gt;=M479,"已下單","資金不足略過"))</f>
        <v/>
      </c>
      <c r="O479" s="16">
        <f>IF(N479="已下單",M479*資金模擬!$B$7,0)</f>
        <v/>
      </c>
      <c r="P479" s="4" t="n"/>
      <c r="Q479" s="10" t="n">
        <v>0</v>
      </c>
      <c r="R479" s="10">
        <f>R478+Q479</f>
        <v/>
      </c>
      <c r="S479" s="16">
        <f>S478+IF(N479="已下單",M479,0)</f>
        <v/>
      </c>
      <c r="T479" s="16">
        <f>R479-S479</f>
        <v/>
      </c>
      <c r="U479" s="2">
        <f>U478+IF(N479="已下單",1,0)</f>
        <v/>
      </c>
      <c r="V479" s="16">
        <f>IF(資金模擬!$B$9=2,MAX(R479,0),MAX(V478,FLOOR(MAX(R479,0),資金模擬!$B$6)))</f>
        <v/>
      </c>
      <c r="W479" s="10">
        <f>MAX(W478,R479)</f>
        <v/>
      </c>
      <c r="X479" s="4">
        <f>IF(W479&gt;0,R479/W479-1,-1)</f>
        <v/>
      </c>
      <c r="Y479" s="16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17" t="n">
        <v>0.6093</v>
      </c>
      <c r="H480" s="17" t="n">
        <v>0.5910209999999999</v>
      </c>
      <c r="I480" s="17" t="n">
        <v>0.639765</v>
      </c>
      <c r="J480" s="17" t="n">
        <v>0.5910209999999999</v>
      </c>
      <c r="K480" s="2" t="inlineStr">
        <is>
          <t>止盈</t>
        </is>
      </c>
      <c r="L480" s="5">
        <f>交易明細!K239</f>
        <v/>
      </c>
      <c r="M480" s="16">
        <f>M475</f>
        <v/>
      </c>
      <c r="N480" s="2">
        <f>N475</f>
        <v/>
      </c>
      <c r="O480" s="16">
        <f>O475</f>
        <v/>
      </c>
      <c r="P480" s="4">
        <f>交易明細!L239</f>
        <v/>
      </c>
      <c r="Q480" s="10">
        <f>IF(N480="已下單",O480*P480,0)</f>
        <v/>
      </c>
      <c r="R480" s="10">
        <f>R479+Q480</f>
        <v/>
      </c>
      <c r="S480" s="16">
        <f>S479-IF(N480="已下單",M480,0)</f>
        <v/>
      </c>
      <c r="T480" s="16">
        <f>R480-S480</f>
        <v/>
      </c>
      <c r="U480" s="2">
        <f>U479-IF(N480="已下單",1,0)</f>
        <v/>
      </c>
      <c r="V480" s="16">
        <f>IF(資金模擬!$B$9=2,MAX(R480,0),MAX(V479,FLOOR(MAX(R480,0),資金模擬!$B$6)))</f>
        <v/>
      </c>
      <c r="W480" s="10">
        <f>MAX(W479,R480)</f>
        <v/>
      </c>
      <c r="X480" s="4">
        <f>IF(W480&gt;0,R480/W480-1,-1)</f>
        <v/>
      </c>
      <c r="Y480" s="16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17" t="n">
        <v>0.16882</v>
      </c>
      <c r="H481" s="17" t="n">
        <v>0.1637554</v>
      </c>
      <c r="I481" s="17" t="n">
        <v>0.177261</v>
      </c>
      <c r="J481" s="17" t="n">
        <v>0.1637554</v>
      </c>
      <c r="K481" s="2" t="inlineStr">
        <is>
          <t>止盈</t>
        </is>
      </c>
      <c r="L481" s="5">
        <f>交易明細!K243</f>
        <v/>
      </c>
      <c r="M481" s="16">
        <f>M479</f>
        <v/>
      </c>
      <c r="N481" s="2">
        <f>N479</f>
        <v/>
      </c>
      <c r="O481" s="16">
        <f>O479</f>
        <v/>
      </c>
      <c r="P481" s="4">
        <f>交易明細!L243</f>
        <v/>
      </c>
      <c r="Q481" s="10">
        <f>IF(N481="已下單",O481*P481,0)</f>
        <v/>
      </c>
      <c r="R481" s="10">
        <f>R480+Q481</f>
        <v/>
      </c>
      <c r="S481" s="16">
        <f>S480-IF(N481="已下單",M481,0)</f>
        <v/>
      </c>
      <c r="T481" s="16">
        <f>R481-S481</f>
        <v/>
      </c>
      <c r="U481" s="2">
        <f>U480-IF(N481="已下單",1,0)</f>
        <v/>
      </c>
      <c r="V481" s="16">
        <f>IF(資金模擬!$B$9=2,MAX(R481,0),MAX(V480,FLOOR(MAX(R481,0),資金模擬!$B$6)))</f>
        <v/>
      </c>
      <c r="W481" s="10">
        <f>MAX(W480,R481)</f>
        <v/>
      </c>
      <c r="X481" s="4">
        <f>IF(W481&gt;0,R481/W481-1,-1)</f>
        <v/>
      </c>
      <c r="Y481" s="16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17" t="n">
        <v>0.22015</v>
      </c>
      <c r="H482" s="17" t="n">
        <v>0.2267545</v>
      </c>
      <c r="I482" s="17" t="n">
        <v>0.2091425</v>
      </c>
      <c r="J482" s="17" t="n">
        <v>0.2267545</v>
      </c>
      <c r="K482" s="2" t="inlineStr">
        <is>
          <t>止盈</t>
        </is>
      </c>
      <c r="L482" s="5">
        <f>交易明細!K238</f>
        <v/>
      </c>
      <c r="M482" s="16">
        <f>M474</f>
        <v/>
      </c>
      <c r="N482" s="2">
        <f>N474</f>
        <v/>
      </c>
      <c r="O482" s="16">
        <f>O474</f>
        <v/>
      </c>
      <c r="P482" s="4">
        <f>交易明細!L238</f>
        <v/>
      </c>
      <c r="Q482" s="10">
        <f>IF(N482="已下單",O482*P482,0)</f>
        <v/>
      </c>
      <c r="R482" s="10">
        <f>R481+Q482</f>
        <v/>
      </c>
      <c r="S482" s="16">
        <f>S481-IF(N482="已下單",M482,0)</f>
        <v/>
      </c>
      <c r="T482" s="16">
        <f>R482-S482</f>
        <v/>
      </c>
      <c r="U482" s="2">
        <f>U481-IF(N482="已下單",1,0)</f>
        <v/>
      </c>
      <c r="V482" s="16">
        <f>IF(資金模擬!$B$9=2,MAX(R482,0),MAX(V481,FLOOR(MAX(R482,0),資金模擬!$B$6)))</f>
        <v/>
      </c>
      <c r="W482" s="10">
        <f>MAX(W481,R482)</f>
        <v/>
      </c>
      <c r="X482" s="4">
        <f>IF(W482&gt;0,R482/W482-1,-1)</f>
        <v/>
      </c>
      <c r="Y482" s="16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17" t="n">
        <v>0.0280655</v>
      </c>
      <c r="H483" s="17" t="n">
        <v>0.028907465</v>
      </c>
      <c r="I483" s="17" t="n">
        <v>0.026662225</v>
      </c>
      <c r="J483" s="17" t="n"/>
      <c r="K483" s="2" t="n"/>
      <c r="L483" s="5" t="n"/>
      <c r="M483" s="16">
        <f>資金模擬!$B$5*V482</f>
        <v/>
      </c>
      <c r="N483" s="2">
        <f>IF(Z482=1,"已停止",IF(T482&gt;=M483,"已下單","資金不足略過"))</f>
        <v/>
      </c>
      <c r="O483" s="16">
        <f>IF(N483="已下單",M483*資金模擬!$B$7,0)</f>
        <v/>
      </c>
      <c r="P483" s="4" t="n"/>
      <c r="Q483" s="10" t="n">
        <v>0</v>
      </c>
      <c r="R483" s="10">
        <f>R482+Q483</f>
        <v/>
      </c>
      <c r="S483" s="16">
        <f>S482+IF(N483="已下單",M483,0)</f>
        <v/>
      </c>
      <c r="T483" s="16">
        <f>R483-S483</f>
        <v/>
      </c>
      <c r="U483" s="2">
        <f>U482+IF(N483="已下單",1,0)</f>
        <v/>
      </c>
      <c r="V483" s="16">
        <f>IF(資金模擬!$B$9=2,MAX(R483,0),MAX(V482,FLOOR(MAX(R483,0),資金模擬!$B$6)))</f>
        <v/>
      </c>
      <c r="W483" s="10">
        <f>MAX(W482,R483)</f>
        <v/>
      </c>
      <c r="X483" s="4">
        <f>IF(W483&gt;0,R483/W483-1,-1)</f>
        <v/>
      </c>
      <c r="Y483" s="16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17" t="n">
        <v>0.0280655</v>
      </c>
      <c r="H484" s="17" t="n">
        <v>0.028907465</v>
      </c>
      <c r="I484" s="17" t="n">
        <v>0.026662225</v>
      </c>
      <c r="J484" s="17" t="n">
        <v>0.026662225</v>
      </c>
      <c r="K484" s="2" t="inlineStr">
        <is>
          <t>止損</t>
        </is>
      </c>
      <c r="L484" s="5">
        <f>交易明細!K244</f>
        <v/>
      </c>
      <c r="M484" s="16">
        <f>M483</f>
        <v/>
      </c>
      <c r="N484" s="2">
        <f>N483</f>
        <v/>
      </c>
      <c r="O484" s="16">
        <f>O483</f>
        <v/>
      </c>
      <c r="P484" s="4">
        <f>交易明細!L244</f>
        <v/>
      </c>
      <c r="Q484" s="10">
        <f>IF(N484="已下單",O484*P484,0)</f>
        <v/>
      </c>
      <c r="R484" s="10">
        <f>R483+Q484</f>
        <v/>
      </c>
      <c r="S484" s="16">
        <f>S483-IF(N484="已下單",M484,0)</f>
        <v/>
      </c>
      <c r="T484" s="16">
        <f>R484-S484</f>
        <v/>
      </c>
      <c r="U484" s="2">
        <f>U483-IF(N484="已下單",1,0)</f>
        <v/>
      </c>
      <c r="V484" s="16">
        <f>IF(資金模擬!$B$9=2,MAX(R484,0),MAX(V483,FLOOR(MAX(R484,0),資金模擬!$B$6)))</f>
        <v/>
      </c>
      <c r="W484" s="10">
        <f>MAX(W483,R484)</f>
        <v/>
      </c>
      <c r="X484" s="4">
        <f>IF(W484&gt;0,R484/W484-1,-1)</f>
        <v/>
      </c>
      <c r="Y484" s="16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17" t="n">
        <v>1187.67</v>
      </c>
      <c r="H485" s="17" t="n">
        <v>1223.3001</v>
      </c>
      <c r="I485" s="17" t="n">
        <v>1128.2865</v>
      </c>
      <c r="J485" s="17" t="n"/>
      <c r="K485" s="2" t="n"/>
      <c r="L485" s="5" t="n"/>
      <c r="M485" s="16">
        <f>資金模擬!$B$5*V484</f>
        <v/>
      </c>
      <c r="N485" s="2">
        <f>IF(Z484=1,"已停止",IF(T484&gt;=M485,"已下單","資金不足略過"))</f>
        <v/>
      </c>
      <c r="O485" s="16">
        <f>IF(N485="已下單",M485*資金模擬!$B$7,0)</f>
        <v/>
      </c>
      <c r="P485" s="4" t="n"/>
      <c r="Q485" s="10" t="n">
        <v>0</v>
      </c>
      <c r="R485" s="10">
        <f>R484+Q485</f>
        <v/>
      </c>
      <c r="S485" s="16">
        <f>S484+IF(N485="已下單",M485,0)</f>
        <v/>
      </c>
      <c r="T485" s="16">
        <f>R485-S485</f>
        <v/>
      </c>
      <c r="U485" s="2">
        <f>U484+IF(N485="已下單",1,0)</f>
        <v/>
      </c>
      <c r="V485" s="16">
        <f>IF(資金模擬!$B$9=2,MAX(R485,0),MAX(V484,FLOOR(MAX(R485,0),資金模擬!$B$6)))</f>
        <v/>
      </c>
      <c r="W485" s="10">
        <f>MAX(W484,R485)</f>
        <v/>
      </c>
      <c r="X485" s="4">
        <f>IF(W485&gt;0,R485/W485-1,-1)</f>
        <v/>
      </c>
      <c r="Y485" s="16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17" t="n">
        <v>0.05174</v>
      </c>
      <c r="H486" s="17" t="n">
        <v>0.0501878</v>
      </c>
      <c r="I486" s="17" t="n">
        <v>0.054327</v>
      </c>
      <c r="J486" s="17" t="n">
        <v>0.054327</v>
      </c>
      <c r="K486" s="2" t="inlineStr">
        <is>
          <t>止損</t>
        </is>
      </c>
      <c r="L486" s="5">
        <f>交易明細!K237</f>
        <v/>
      </c>
      <c r="M486" s="16">
        <f>M473</f>
        <v/>
      </c>
      <c r="N486" s="2">
        <f>N473</f>
        <v/>
      </c>
      <c r="O486" s="16">
        <f>O473</f>
        <v/>
      </c>
      <c r="P486" s="4">
        <f>交易明細!L237</f>
        <v/>
      </c>
      <c r="Q486" s="10">
        <f>IF(N486="已下單",O486*P486,0)</f>
        <v/>
      </c>
      <c r="R486" s="10">
        <f>R485+Q486</f>
        <v/>
      </c>
      <c r="S486" s="16">
        <f>S485-IF(N486="已下單",M486,0)</f>
        <v/>
      </c>
      <c r="T486" s="16">
        <f>R486-S486</f>
        <v/>
      </c>
      <c r="U486" s="2">
        <f>U485-IF(N486="已下單",1,0)</f>
        <v/>
      </c>
      <c r="V486" s="16">
        <f>IF(資金模擬!$B$9=2,MAX(R486,0),MAX(V485,FLOOR(MAX(R486,0),資金模擬!$B$6)))</f>
        <v/>
      </c>
      <c r="W486" s="10">
        <f>MAX(W485,R486)</f>
        <v/>
      </c>
      <c r="X486" s="4">
        <f>IF(W486&gt;0,R486/W486-1,-1)</f>
        <v/>
      </c>
      <c r="Y486" s="16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17" t="n">
        <v>0.11407</v>
      </c>
      <c r="H487" s="17" t="n">
        <v>0.1106479</v>
      </c>
      <c r="I487" s="17" t="n">
        <v>0.1197735</v>
      </c>
      <c r="J487" s="17" t="n">
        <v>0.1106479</v>
      </c>
      <c r="K487" s="2" t="inlineStr">
        <is>
          <t>止盈</t>
        </is>
      </c>
      <c r="L487" s="5">
        <f>交易明細!K242</f>
        <v/>
      </c>
      <c r="M487" s="16">
        <f>M478</f>
        <v/>
      </c>
      <c r="N487" s="2">
        <f>N478</f>
        <v/>
      </c>
      <c r="O487" s="16">
        <f>O478</f>
        <v/>
      </c>
      <c r="P487" s="4">
        <f>交易明細!L242</f>
        <v/>
      </c>
      <c r="Q487" s="10">
        <f>IF(N487="已下單",O487*P487,0)</f>
        <v/>
      </c>
      <c r="R487" s="10">
        <f>R486+Q487</f>
        <v/>
      </c>
      <c r="S487" s="16">
        <f>S486-IF(N487="已下單",M487,0)</f>
        <v/>
      </c>
      <c r="T487" s="16">
        <f>R487-S487</f>
        <v/>
      </c>
      <c r="U487" s="2">
        <f>U486-IF(N487="已下單",1,0)</f>
        <v/>
      </c>
      <c r="V487" s="16">
        <f>IF(資金模擬!$B$9=2,MAX(R487,0),MAX(V486,FLOOR(MAX(R487,0),資金模擬!$B$6)))</f>
        <v/>
      </c>
      <c r="W487" s="10">
        <f>MAX(W486,R487)</f>
        <v/>
      </c>
      <c r="X487" s="4">
        <f>IF(W487&gt;0,R487/W487-1,-1)</f>
        <v/>
      </c>
      <c r="Y487" s="16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17" t="n">
        <v>0.003404</v>
      </c>
      <c r="H488" s="17" t="n">
        <v>0.00330188</v>
      </c>
      <c r="I488" s="17" t="n">
        <v>0.0035742</v>
      </c>
      <c r="J488" s="17" t="n">
        <v>0.0035742</v>
      </c>
      <c r="K488" s="2" t="inlineStr">
        <is>
          <t>止損</t>
        </is>
      </c>
      <c r="L488" s="5">
        <f>交易明細!K240</f>
        <v/>
      </c>
      <c r="M488" s="16">
        <f>M476</f>
        <v/>
      </c>
      <c r="N488" s="2">
        <f>N476</f>
        <v/>
      </c>
      <c r="O488" s="16">
        <f>O476</f>
        <v/>
      </c>
      <c r="P488" s="4">
        <f>交易明細!L240</f>
        <v/>
      </c>
      <c r="Q488" s="10">
        <f>IF(N488="已下單",O488*P488,0)</f>
        <v/>
      </c>
      <c r="R488" s="10">
        <f>R487+Q488</f>
        <v/>
      </c>
      <c r="S488" s="16">
        <f>S487-IF(N488="已下單",M488,0)</f>
        <v/>
      </c>
      <c r="T488" s="16">
        <f>R488-S488</f>
        <v/>
      </c>
      <c r="U488" s="2">
        <f>U487-IF(N488="已下單",1,0)</f>
        <v/>
      </c>
      <c r="V488" s="16">
        <f>IF(資金模擬!$B$9=2,MAX(R488,0),MAX(V487,FLOOR(MAX(R488,0),資金模擬!$B$6)))</f>
        <v/>
      </c>
      <c r="W488" s="10">
        <f>MAX(W487,R488)</f>
        <v/>
      </c>
      <c r="X488" s="4">
        <f>IF(W488&gt;0,R488/W488-1,-1)</f>
        <v/>
      </c>
      <c r="Y488" s="16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17" t="n">
        <v>0.0287685</v>
      </c>
      <c r="H489" s="17" t="n">
        <v>0.029631555</v>
      </c>
      <c r="I489" s="17" t="n">
        <v>0.027330075</v>
      </c>
      <c r="J489" s="17" t="n"/>
      <c r="K489" s="2" t="n"/>
      <c r="L489" s="5" t="n"/>
      <c r="M489" s="16">
        <f>資金模擬!$B$5*V488</f>
        <v/>
      </c>
      <c r="N489" s="2">
        <f>IF(Z488=1,"已停止",IF(T488&gt;=M489,"已下單","資金不足略過"))</f>
        <v/>
      </c>
      <c r="O489" s="16">
        <f>IF(N489="已下單",M489*資金模擬!$B$7,0)</f>
        <v/>
      </c>
      <c r="P489" s="4" t="n"/>
      <c r="Q489" s="10" t="n">
        <v>0</v>
      </c>
      <c r="R489" s="10">
        <f>R488+Q489</f>
        <v/>
      </c>
      <c r="S489" s="16">
        <f>S488+IF(N489="已下單",M489,0)</f>
        <v/>
      </c>
      <c r="T489" s="16">
        <f>R489-S489</f>
        <v/>
      </c>
      <c r="U489" s="2">
        <f>U488+IF(N489="已下單",1,0)</f>
        <v/>
      </c>
      <c r="V489" s="16">
        <f>IF(資金模擬!$B$9=2,MAX(R489,0),MAX(V488,FLOOR(MAX(R489,0),資金模擬!$B$6)))</f>
        <v/>
      </c>
      <c r="W489" s="10">
        <f>MAX(W488,R489)</f>
        <v/>
      </c>
      <c r="X489" s="4">
        <f>IF(W489&gt;0,R489/W489-1,-1)</f>
        <v/>
      </c>
      <c r="Y489" s="16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17" t="n">
        <v>1187.67</v>
      </c>
      <c r="H490" s="17" t="n">
        <v>1223.3001</v>
      </c>
      <c r="I490" s="17" t="n">
        <v>1128.2865</v>
      </c>
      <c r="J490" s="17" t="n">
        <v>1223.3001</v>
      </c>
      <c r="K490" s="2" t="inlineStr">
        <is>
          <t>止盈</t>
        </is>
      </c>
      <c r="L490" s="5">
        <f>交易明細!K245</f>
        <v/>
      </c>
      <c r="M490" s="16">
        <f>M485</f>
        <v/>
      </c>
      <c r="N490" s="2">
        <f>N485</f>
        <v/>
      </c>
      <c r="O490" s="16">
        <f>O485</f>
        <v/>
      </c>
      <c r="P490" s="4">
        <f>交易明細!L245</f>
        <v/>
      </c>
      <c r="Q490" s="10">
        <f>IF(N490="已下單",O490*P490,0)</f>
        <v/>
      </c>
      <c r="R490" s="10">
        <f>R489+Q490</f>
        <v/>
      </c>
      <c r="S490" s="16">
        <f>S489-IF(N490="已下單",M490,0)</f>
        <v/>
      </c>
      <c r="T490" s="16">
        <f>R490-S490</f>
        <v/>
      </c>
      <c r="U490" s="2">
        <f>U489-IF(N490="已下單",1,0)</f>
        <v/>
      </c>
      <c r="V490" s="16">
        <f>IF(資金模擬!$B$9=2,MAX(R490,0),MAX(V489,FLOOR(MAX(R490,0),資金模擬!$B$6)))</f>
        <v/>
      </c>
      <c r="W490" s="10">
        <f>MAX(W489,R490)</f>
        <v/>
      </c>
      <c r="X490" s="4">
        <f>IF(W490&gt;0,R490/W490-1,-1)</f>
        <v/>
      </c>
      <c r="Y490" s="16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17" t="n">
        <v>0.0287685</v>
      </c>
      <c r="H491" s="17" t="n">
        <v>0.029631555</v>
      </c>
      <c r="I491" s="17" t="n">
        <v>0.027330075</v>
      </c>
      <c r="J491" s="17" t="n">
        <v>0.027330075</v>
      </c>
      <c r="K491" s="2" t="inlineStr">
        <is>
          <t>止損</t>
        </is>
      </c>
      <c r="L491" s="5">
        <f>交易明細!K246</f>
        <v/>
      </c>
      <c r="M491" s="16">
        <f>M489</f>
        <v/>
      </c>
      <c r="N491" s="2">
        <f>N489</f>
        <v/>
      </c>
      <c r="O491" s="16">
        <f>O489</f>
        <v/>
      </c>
      <c r="P491" s="4">
        <f>交易明細!L246</f>
        <v/>
      </c>
      <c r="Q491" s="10">
        <f>IF(N491="已下單",O491*P491,0)</f>
        <v/>
      </c>
      <c r="R491" s="10">
        <f>R490+Q491</f>
        <v/>
      </c>
      <c r="S491" s="16">
        <f>S490-IF(N491="已下單",M491,0)</f>
        <v/>
      </c>
      <c r="T491" s="16">
        <f>R491-S491</f>
        <v/>
      </c>
      <c r="U491" s="2">
        <f>U490-IF(N491="已下單",1,0)</f>
        <v/>
      </c>
      <c r="V491" s="16">
        <f>IF(資金模擬!$B$9=2,MAX(R491,0),MAX(V490,FLOOR(MAX(R491,0),資金模擬!$B$6)))</f>
        <v/>
      </c>
      <c r="W491" s="10">
        <f>MAX(W490,R491)</f>
        <v/>
      </c>
      <c r="X491" s="4">
        <f>IF(W491&gt;0,R491/W491-1,-1)</f>
        <v/>
      </c>
      <c r="Y491" s="16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17" t="n">
        <v>0.10822</v>
      </c>
      <c r="H492" s="17" t="n">
        <v>0.1049734</v>
      </c>
      <c r="I492" s="17" t="n">
        <v>0.113631</v>
      </c>
      <c r="J492" s="17" t="n"/>
      <c r="K492" s="2" t="n"/>
      <c r="L492" s="5" t="n"/>
      <c r="M492" s="16">
        <f>資金模擬!$B$5*V491</f>
        <v/>
      </c>
      <c r="N492" s="2">
        <f>IF(Z491=1,"已停止",IF(T491&gt;=M492,"已下單","資金不足略過"))</f>
        <v/>
      </c>
      <c r="O492" s="16">
        <f>IF(N492="已下單",M492*資金模擬!$B$7,0)</f>
        <v/>
      </c>
      <c r="P492" s="4" t="n"/>
      <c r="Q492" s="10" t="n">
        <v>0</v>
      </c>
      <c r="R492" s="10">
        <f>R491+Q492</f>
        <v/>
      </c>
      <c r="S492" s="16">
        <f>S491+IF(N492="已下單",M492,0)</f>
        <v/>
      </c>
      <c r="T492" s="16">
        <f>R492-S492</f>
        <v/>
      </c>
      <c r="U492" s="2">
        <f>U491+IF(N492="已下單",1,0)</f>
        <v/>
      </c>
      <c r="V492" s="16">
        <f>IF(資金模擬!$B$9=2,MAX(R492,0),MAX(V491,FLOOR(MAX(R492,0),資金模擬!$B$6)))</f>
        <v/>
      </c>
      <c r="W492" s="10">
        <f>MAX(W491,R492)</f>
        <v/>
      </c>
      <c r="X492" s="4">
        <f>IF(W492&gt;0,R492/W492-1,-1)</f>
        <v/>
      </c>
      <c r="Y492" s="16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17" t="n">
        <v>6.241</v>
      </c>
      <c r="H493" s="17" t="n">
        <v>6.053769999999999</v>
      </c>
      <c r="I493" s="17" t="n">
        <v>6.55305</v>
      </c>
      <c r="J493" s="17" t="n">
        <v>6.053769999999999</v>
      </c>
      <c r="K493" s="2" t="inlineStr">
        <is>
          <t>止盈</t>
        </is>
      </c>
      <c r="L493" s="5">
        <f>交易明細!K241</f>
        <v/>
      </c>
      <c r="M493" s="16">
        <f>M477</f>
        <v/>
      </c>
      <c r="N493" s="2">
        <f>N477</f>
        <v/>
      </c>
      <c r="O493" s="16">
        <f>O477</f>
        <v/>
      </c>
      <c r="P493" s="4">
        <f>交易明細!L241</f>
        <v/>
      </c>
      <c r="Q493" s="10">
        <f>IF(N493="已下單",O493*P493,0)</f>
        <v/>
      </c>
      <c r="R493" s="10">
        <f>R492+Q493</f>
        <v/>
      </c>
      <c r="S493" s="16">
        <f>S492-IF(N493="已下單",M493,0)</f>
        <v/>
      </c>
      <c r="T493" s="16">
        <f>R493-S493</f>
        <v/>
      </c>
      <c r="U493" s="2">
        <f>U492-IF(N493="已下單",1,0)</f>
        <v/>
      </c>
      <c r="V493" s="16">
        <f>IF(資金模擬!$B$9=2,MAX(R493,0),MAX(V492,FLOOR(MAX(R493,0),資金模擬!$B$6)))</f>
        <v/>
      </c>
      <c r="W493" s="10">
        <f>MAX(W492,R493)</f>
        <v/>
      </c>
      <c r="X493" s="4">
        <f>IF(W493&gt;0,R493/W493-1,-1)</f>
        <v/>
      </c>
      <c r="Y493" s="16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17" t="n">
        <v>0.10822</v>
      </c>
      <c r="H494" s="17" t="n">
        <v>0.1049734</v>
      </c>
      <c r="I494" s="17" t="n">
        <v>0.113631</v>
      </c>
      <c r="J494" s="17" t="n">
        <v>0.1049734</v>
      </c>
      <c r="K494" s="2" t="inlineStr">
        <is>
          <t>止盈</t>
        </is>
      </c>
      <c r="L494" s="5">
        <f>交易明細!K247</f>
        <v/>
      </c>
      <c r="M494" s="16">
        <f>M492</f>
        <v/>
      </c>
      <c r="N494" s="2">
        <f>N492</f>
        <v/>
      </c>
      <c r="O494" s="16">
        <f>O492</f>
        <v/>
      </c>
      <c r="P494" s="4">
        <f>交易明細!L247</f>
        <v/>
      </c>
      <c r="Q494" s="10">
        <f>IF(N494="已下單",O494*P494,0)</f>
        <v/>
      </c>
      <c r="R494" s="10">
        <f>R493+Q494</f>
        <v/>
      </c>
      <c r="S494" s="16">
        <f>S493-IF(N494="已下單",M494,0)</f>
        <v/>
      </c>
      <c r="T494" s="16">
        <f>R494-S494</f>
        <v/>
      </c>
      <c r="U494" s="2">
        <f>U493-IF(N494="已下單",1,0)</f>
        <v/>
      </c>
      <c r="V494" s="16">
        <f>IF(資金模擬!$B$9=2,MAX(R494,0),MAX(V493,FLOOR(MAX(R494,0),資金模擬!$B$6)))</f>
        <v/>
      </c>
      <c r="W494" s="10">
        <f>MAX(W493,R494)</f>
        <v/>
      </c>
      <c r="X494" s="4">
        <f>IF(W494&gt;0,R494/W494-1,-1)</f>
        <v/>
      </c>
      <c r="Y494" s="16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17" t="n">
        <v>0.225</v>
      </c>
      <c r="H495" s="17" t="n">
        <v>0.21825</v>
      </c>
      <c r="I495" s="17" t="n">
        <v>0.23625</v>
      </c>
      <c r="J495" s="17" t="n"/>
      <c r="K495" s="2" t="n"/>
      <c r="L495" s="5" t="n"/>
      <c r="M495" s="16">
        <f>資金模擬!$B$5*V494</f>
        <v/>
      </c>
      <c r="N495" s="2">
        <f>IF(Z494=1,"已停止",IF(T494&gt;=M495,"已下單","資金不足略過"))</f>
        <v/>
      </c>
      <c r="O495" s="16">
        <f>IF(N495="已下單",M495*資金模擬!$B$7,0)</f>
        <v/>
      </c>
      <c r="P495" s="4" t="n"/>
      <c r="Q495" s="10" t="n">
        <v>0</v>
      </c>
      <c r="R495" s="10">
        <f>R494+Q495</f>
        <v/>
      </c>
      <c r="S495" s="16">
        <f>S494+IF(N495="已下單",M495,0)</f>
        <v/>
      </c>
      <c r="T495" s="16">
        <f>R495-S495</f>
        <v/>
      </c>
      <c r="U495" s="2">
        <f>U494+IF(N495="已下單",1,0)</f>
        <v/>
      </c>
      <c r="V495" s="16">
        <f>IF(資金模擬!$B$9=2,MAX(R495,0),MAX(V494,FLOOR(MAX(R495,0),資金模擬!$B$6)))</f>
        <v/>
      </c>
      <c r="W495" s="10">
        <f>MAX(W494,R495)</f>
        <v/>
      </c>
      <c r="X495" s="4">
        <f>IF(W495&gt;0,R495/W495-1,-1)</f>
        <v/>
      </c>
      <c r="Y495" s="16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17" t="n">
        <v>0.225</v>
      </c>
      <c r="H496" s="17" t="n">
        <v>0.21825</v>
      </c>
      <c r="I496" s="17" t="n">
        <v>0.23625</v>
      </c>
      <c r="J496" s="17" t="n">
        <v>0.23625</v>
      </c>
      <c r="K496" s="2" t="inlineStr">
        <is>
          <t>止損</t>
        </is>
      </c>
      <c r="L496" s="5">
        <f>交易明細!K248</f>
        <v/>
      </c>
      <c r="M496" s="16">
        <f>M495</f>
        <v/>
      </c>
      <c r="N496" s="2">
        <f>N495</f>
        <v/>
      </c>
      <c r="O496" s="16">
        <f>O495</f>
        <v/>
      </c>
      <c r="P496" s="4">
        <f>交易明細!L248</f>
        <v/>
      </c>
      <c r="Q496" s="10">
        <f>IF(N496="已下單",O496*P496,0)</f>
        <v/>
      </c>
      <c r="R496" s="10">
        <f>R495+Q496</f>
        <v/>
      </c>
      <c r="S496" s="16">
        <f>S495-IF(N496="已下單",M496,0)</f>
        <v/>
      </c>
      <c r="T496" s="16">
        <f>R496-S496</f>
        <v/>
      </c>
      <c r="U496" s="2">
        <f>U495-IF(N496="已下單",1,0)</f>
        <v/>
      </c>
      <c r="V496" s="16">
        <f>IF(資金模擬!$B$9=2,MAX(R496,0),MAX(V495,FLOOR(MAX(R496,0),資金模擬!$B$6)))</f>
        <v/>
      </c>
      <c r="W496" s="10">
        <f>MAX(W495,R496)</f>
        <v/>
      </c>
      <c r="X496" s="4">
        <f>IF(W496&gt;0,R496/W496-1,-1)</f>
        <v/>
      </c>
      <c r="Y496" s="16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17" t="n">
        <v>0.1633</v>
      </c>
      <c r="H497" s="17" t="n">
        <v>0.168199</v>
      </c>
      <c r="I497" s="17" t="n">
        <v>0.155135</v>
      </c>
      <c r="J497" s="17" t="n"/>
      <c r="K497" s="2" t="inlineStr">
        <is>
          <t>未平倉</t>
        </is>
      </c>
      <c r="L497" s="5" t="n"/>
      <c r="M497" s="16">
        <f>資金模擬!$B$5*V496</f>
        <v/>
      </c>
      <c r="N497" s="2">
        <f>IF(Z496=1,"已停止",IF(T496&gt;=M497,"已下單","資金不足略過"))</f>
        <v/>
      </c>
      <c r="O497" s="16">
        <f>IF(N497="已下單",M497*資金模擬!$B$7,0)</f>
        <v/>
      </c>
      <c r="P497" s="4" t="n"/>
      <c r="Q497" s="10" t="n">
        <v>0</v>
      </c>
      <c r="R497" s="10">
        <f>R496+Q497</f>
        <v/>
      </c>
      <c r="S497" s="16">
        <f>S496+IF(N497="已下單",M497,0)</f>
        <v/>
      </c>
      <c r="T497" s="16">
        <f>R497-S497</f>
        <v/>
      </c>
      <c r="U497" s="2">
        <f>U496+IF(N497="已下單",1,0)</f>
        <v/>
      </c>
      <c r="V497" s="16">
        <f>IF(資金模擬!$B$9=2,MAX(R497,0),MAX(V496,FLOOR(MAX(R497,0),資金模擬!$B$6)))</f>
        <v/>
      </c>
      <c r="W497" s="10">
        <f>MAX(W496,R497)</f>
        <v/>
      </c>
      <c r="X497" s="4">
        <f>IF(W497&gt;0,R497/W497-1,-1)</f>
        <v/>
      </c>
      <c r="Y497" s="16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17" t="n">
        <v>0.1469</v>
      </c>
      <c r="H498" s="17" t="n">
        <v>0.151307</v>
      </c>
      <c r="I498" s="17" t="n">
        <v>0.139555</v>
      </c>
      <c r="J498" s="17" t="n"/>
      <c r="K498" s="2" t="inlineStr">
        <is>
          <t>未平倉</t>
        </is>
      </c>
      <c r="L498" s="5" t="n"/>
      <c r="M498" s="16">
        <f>資金模擬!$B$5*V497</f>
        <v/>
      </c>
      <c r="N498" s="2">
        <f>IF(Z497=1,"已停止",IF(T497&gt;=M498,"已下單","資金不足略過"))</f>
        <v/>
      </c>
      <c r="O498" s="16">
        <f>IF(N498="已下單",M498*資金模擬!$B$7,0)</f>
        <v/>
      </c>
      <c r="P498" s="4" t="n"/>
      <c r="Q498" s="10" t="n">
        <v>0</v>
      </c>
      <c r="R498" s="10">
        <f>R497+Q498</f>
        <v/>
      </c>
      <c r="S498" s="16">
        <f>S497+IF(N498="已下單",M498,0)</f>
        <v/>
      </c>
      <c r="T498" s="16">
        <f>R498-S498</f>
        <v/>
      </c>
      <c r="U498" s="2">
        <f>U497+IF(N498="已下單",1,0)</f>
        <v/>
      </c>
      <c r="V498" s="16">
        <f>IF(資金模擬!$B$9=2,MAX(R498,0),MAX(V497,FLOOR(MAX(R498,0),資金模擬!$B$6)))</f>
        <v/>
      </c>
      <c r="W498" s="10">
        <f>MAX(W497,R498)</f>
        <v/>
      </c>
      <c r="X498" s="4">
        <f>IF(W498&gt;0,R498/W498-1,-1)</f>
        <v/>
      </c>
      <c r="Y498" s="16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17" t="n">
        <v>6.296</v>
      </c>
      <c r="H499" s="17" t="n">
        <v>6.48488</v>
      </c>
      <c r="I499" s="17" t="n">
        <v>5.9812</v>
      </c>
      <c r="J499" s="17" t="n"/>
      <c r="K499" s="2" t="inlineStr">
        <is>
          <t>未平倉</t>
        </is>
      </c>
      <c r="L499" s="5" t="n"/>
      <c r="M499" s="16">
        <f>資金模擬!$B$5*V498</f>
        <v/>
      </c>
      <c r="N499" s="2">
        <f>IF(Z498=1,"已停止",IF(T498&gt;=M499,"已下單","資金不足略過"))</f>
        <v/>
      </c>
      <c r="O499" s="16">
        <f>IF(N499="已下單",M499*資金模擬!$B$7,0)</f>
        <v/>
      </c>
      <c r="P499" s="4" t="n"/>
      <c r="Q499" s="10" t="n">
        <v>0</v>
      </c>
      <c r="R499" s="10">
        <f>R498+Q499</f>
        <v/>
      </c>
      <c r="S499" s="16">
        <f>S498+IF(N499="已下單",M499,0)</f>
        <v/>
      </c>
      <c r="T499" s="16">
        <f>R499-S499</f>
        <v/>
      </c>
      <c r="U499" s="2">
        <f>U498+IF(N499="已下單",1,0)</f>
        <v/>
      </c>
      <c r="V499" s="16">
        <f>IF(資金模擬!$B$9=2,MAX(R499,0),MAX(V498,FLOOR(MAX(R499,0),資金模擬!$B$6)))</f>
        <v/>
      </c>
      <c r="W499" s="10">
        <f>MAX(W498,R499)</f>
        <v/>
      </c>
      <c r="X499" s="4">
        <f>IF(W499&gt;0,R499/W499-1,-1)</f>
        <v/>
      </c>
      <c r="Y499" s="16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17" t="n">
        <v>23.266</v>
      </c>
      <c r="H500" s="17" t="n">
        <v>23.96398</v>
      </c>
      <c r="I500" s="17" t="n">
        <v>22.1027</v>
      </c>
      <c r="J500" s="17" t="n"/>
      <c r="K500" s="2" t="inlineStr">
        <is>
          <t>未平倉</t>
        </is>
      </c>
      <c r="L500" s="5" t="n"/>
      <c r="M500" s="16">
        <f>資金模擬!$B$5*V499</f>
        <v/>
      </c>
      <c r="N500" s="2">
        <f>IF(Z499=1,"已停止",IF(T499&gt;=M500,"已下單","資金不足略過"))</f>
        <v/>
      </c>
      <c r="O500" s="16">
        <f>IF(N500="已下單",M500*資金模擬!$B$7,0)</f>
        <v/>
      </c>
      <c r="P500" s="4" t="n"/>
      <c r="Q500" s="10" t="n">
        <v>0</v>
      </c>
      <c r="R500" s="10">
        <f>R499+Q500</f>
        <v/>
      </c>
      <c r="S500" s="16">
        <f>S499+IF(N500="已下單",M500,0)</f>
        <v/>
      </c>
      <c r="T500" s="16">
        <f>R500-S500</f>
        <v/>
      </c>
      <c r="U500" s="2">
        <f>U499+IF(N500="已下單",1,0)</f>
        <v/>
      </c>
      <c r="V500" s="16">
        <f>IF(資金模擬!$B$9=2,MAX(R500,0),MAX(V499,FLOOR(MAX(R500,0),資金模擬!$B$6)))</f>
        <v/>
      </c>
      <c r="W500" s="10">
        <f>MAX(W499,R500)</f>
        <v/>
      </c>
      <c r="X500" s="4">
        <f>IF(W500&gt;0,R500/W500-1,-1)</f>
        <v/>
      </c>
      <c r="Y500" s="16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17" t="n">
        <v>6.741</v>
      </c>
      <c r="H501" s="17" t="n">
        <v>6.94323</v>
      </c>
      <c r="I501" s="17" t="n">
        <v>6.403949999999999</v>
      </c>
      <c r="J501" s="17" t="n"/>
      <c r="K501" s="2" t="inlineStr">
        <is>
          <t>未平倉</t>
        </is>
      </c>
      <c r="L501" s="5" t="n"/>
      <c r="M501" s="16">
        <f>資金模擬!$B$5*V500</f>
        <v/>
      </c>
      <c r="N501" s="2">
        <f>IF(Z500=1,"已停止",IF(T500&gt;=M501,"已下單","資金不足略過"))</f>
        <v/>
      </c>
      <c r="O501" s="16">
        <f>IF(N501="已下單",M501*資金模擬!$B$7,0)</f>
        <v/>
      </c>
      <c r="P501" s="4" t="n"/>
      <c r="Q501" s="10" t="n">
        <v>0</v>
      </c>
      <c r="R501" s="10">
        <f>R500+Q501</f>
        <v/>
      </c>
      <c r="S501" s="16">
        <f>S500+IF(N501="已下單",M501,0)</f>
        <v/>
      </c>
      <c r="T501" s="16">
        <f>R501-S501</f>
        <v/>
      </c>
      <c r="U501" s="2">
        <f>U500+IF(N501="已下單",1,0)</f>
        <v/>
      </c>
      <c r="V501" s="16">
        <f>IF(資金模擬!$B$9=2,MAX(R501,0),MAX(V500,FLOOR(MAX(R501,0),資金模擬!$B$6)))</f>
        <v/>
      </c>
      <c r="W501" s="10">
        <f>MAX(W500,R501)</f>
        <v/>
      </c>
      <c r="X501" s="4">
        <f>IF(W501&gt;0,R501/W501-1,-1)</f>
        <v/>
      </c>
      <c r="Y501" s="16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17" t="n">
        <v>2.547</v>
      </c>
      <c r="H502" s="17" t="n">
        <v>2.62341</v>
      </c>
      <c r="I502" s="17" t="n">
        <v>2.41965</v>
      </c>
      <c r="J502" s="17" t="n"/>
      <c r="K502" s="2" t="inlineStr">
        <is>
          <t>未平倉</t>
        </is>
      </c>
      <c r="L502" s="5" t="n"/>
      <c r="M502" s="16">
        <f>資金模擬!$B$5*V501</f>
        <v/>
      </c>
      <c r="N502" s="2">
        <f>IF(Z501=1,"已停止",IF(T501&gt;=M502,"已下單","資金不足略過"))</f>
        <v/>
      </c>
      <c r="O502" s="16">
        <f>IF(N502="已下單",M502*資金模擬!$B$7,0)</f>
        <v/>
      </c>
      <c r="P502" s="4" t="n"/>
      <c r="Q502" s="10" t="n">
        <v>0</v>
      </c>
      <c r="R502" s="10">
        <f>R501+Q502</f>
        <v/>
      </c>
      <c r="S502" s="16">
        <f>S501+IF(N502="已下單",M502,0)</f>
        <v/>
      </c>
      <c r="T502" s="16">
        <f>R502-S502</f>
        <v/>
      </c>
      <c r="U502" s="2">
        <f>U501+IF(N502="已下單",1,0)</f>
        <v/>
      </c>
      <c r="V502" s="16">
        <f>IF(資金模擬!$B$9=2,MAX(R502,0),MAX(V501,FLOOR(MAX(R502,0),資金模擬!$B$6)))</f>
        <v/>
      </c>
      <c r="W502" s="10">
        <f>MAX(W501,R502)</f>
        <v/>
      </c>
      <c r="X502" s="4">
        <f>IF(W502&gt;0,R502/W502-1,-1)</f>
        <v/>
      </c>
      <c r="Y502" s="16">
        <f>IF(R502&gt;0,S502*資金模擬!$B$7/R502,0)</f>
        <v/>
      </c>
      <c r="Z502" s="2">
        <f>IF(OR(Z501=1,R502&lt;=資金模擬!$B$10),1,0)</f>
        <v/>
      </c>
    </row>
  </sheetData>
  <autoFilter ref="A1:Z502"/>
  <conditionalFormatting sqref="K2:K50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0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0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04:13（Dry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IFERROR(AVERAGE(交易明細!$AC$2:$AC$254),(B6+2*B7)/(B5+B6))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5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46278.91666666666</v>
      </c>
      <c r="I179" s="17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0.03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46280.54166666666</v>
      </c>
      <c r="I184" s="17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0.03</v>
      </c>
      <c r="T184" s="4" t="n">
        <v>0.0277485072005621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46278.875</v>
      </c>
      <c r="I204" s="17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46278.91666666666</v>
      </c>
      <c r="I205" s="17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0.03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17" t="n">
        <v>0.06630999999999999</v>
      </c>
      <c r="F207" s="17" t="n">
        <v>0.06432069999999999</v>
      </c>
      <c r="G207" s="17" t="n">
        <v>0.06962549999999999</v>
      </c>
      <c r="H207" s="7" t="n">
        <v>46278.95833333334</v>
      </c>
      <c r="I207" s="17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19" t="n">
        <v>-3247400</v>
      </c>
      <c r="R207" s="19" t="n">
        <v>2692569.84842</v>
      </c>
      <c r="S207" s="4" t="n">
        <v>0</v>
      </c>
      <c r="T207" s="4" t="n">
        <v>0.05</v>
      </c>
      <c r="U207" s="16" t="n">
        <v>0.3851967586724329</v>
      </c>
      <c r="V207" s="16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17" t="n">
        <v>0.003569</v>
      </c>
      <c r="F208" s="17" t="n">
        <v>0.00346193</v>
      </c>
      <c r="G208" s="17" t="n">
        <v>0.00374745</v>
      </c>
      <c r="H208" s="7" t="n">
        <v>46279.375</v>
      </c>
      <c r="I208" s="17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19" t="n">
        <v>-126643814</v>
      </c>
      <c r="R208" s="19" t="n">
        <v>2834501.678442</v>
      </c>
      <c r="S208" s="4" t="n">
        <v>0.03</v>
      </c>
      <c r="T208" s="4" t="n">
        <v>0.02577752871952921</v>
      </c>
      <c r="U208" s="16" t="n">
        <v>1.170633405432124</v>
      </c>
      <c r="V208" s="16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17" t="n">
        <v>0.06729</v>
      </c>
      <c r="F209" s="17" t="n">
        <v>0.0652713</v>
      </c>
      <c r="G209" s="17" t="n">
        <v>0.07065450000000001</v>
      </c>
      <c r="H209" s="7" t="n">
        <v>46279.29166666666</v>
      </c>
      <c r="I209" s="17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19" t="n">
        <v>-158654</v>
      </c>
      <c r="R209" s="19" t="n">
        <v>2639902.52603</v>
      </c>
      <c r="S209" s="4" t="n">
        <v>0.03</v>
      </c>
      <c r="T209" s="4" t="n">
        <v>0.0306137613315498</v>
      </c>
      <c r="U209" s="16" t="n">
        <v>3.057108558523112</v>
      </c>
      <c r="V209" s="16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17" t="n">
        <v>0.21683</v>
      </c>
      <c r="F210" s="17" t="n">
        <v>0.2103251</v>
      </c>
      <c r="G210" s="17" t="n">
        <v>0.2276715</v>
      </c>
      <c r="H210" s="7" t="n">
        <v>46279.41666666666</v>
      </c>
      <c r="I210" s="17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19" t="n">
        <v>-3175872</v>
      </c>
      <c r="R210" s="19" t="n">
        <v>2128113.32288</v>
      </c>
      <c r="S210" s="4" t="n">
        <v>0.03</v>
      </c>
      <c r="T210" s="4" t="n">
        <v>0.01000784024350887</v>
      </c>
      <c r="U210" s="16" t="n">
        <v>0.5672975038799286</v>
      </c>
      <c r="V210" s="16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17" t="n">
        <v>21.468</v>
      </c>
      <c r="F211" s="17" t="n">
        <v>20.82396</v>
      </c>
      <c r="G211" s="17" t="n">
        <v>22.5414</v>
      </c>
      <c r="H211" s="7" t="n">
        <v>46279.5</v>
      </c>
      <c r="I211" s="17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19" t="n">
        <v>-14412.56</v>
      </c>
      <c r="R211" s="19" t="n">
        <v>1369833.00885</v>
      </c>
      <c r="S211" s="4" t="n">
        <v>0.01276318241103036</v>
      </c>
      <c r="T211" s="4" t="n">
        <v>0.05</v>
      </c>
      <c r="U211" s="16" t="n">
        <v>0.6271932459439219</v>
      </c>
      <c r="V211" s="16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17" t="n">
        <v>0.70762</v>
      </c>
      <c r="F212" s="17" t="n">
        <v>0.7288486000000001</v>
      </c>
      <c r="G212" s="17" t="n">
        <v>0.672239</v>
      </c>
      <c r="H212" s="7" t="n">
        <v>46279.5</v>
      </c>
      <c r="I212" s="17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19" t="n">
        <v>29072</v>
      </c>
      <c r="R212" s="19" t="n">
        <v>1249265.946402</v>
      </c>
      <c r="S212" s="4" t="n">
        <v>0</v>
      </c>
      <c r="T212" s="4" t="n">
        <v>0.05</v>
      </c>
      <c r="U212" s="16" t="n">
        <v>0.5619089762421139</v>
      </c>
      <c r="V212" s="16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17" t="n">
        <v>0.11776</v>
      </c>
      <c r="F213" s="17" t="n">
        <v>0.1142272</v>
      </c>
      <c r="G213" s="17" t="n">
        <v>0.123648</v>
      </c>
      <c r="H213" s="7" t="n">
        <v>46279.625</v>
      </c>
      <c r="I213" s="17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19" t="n">
        <v>-7024900</v>
      </c>
      <c r="R213" s="19" t="n">
        <v>2030342.06041</v>
      </c>
      <c r="S213" s="4" t="n">
        <v>0.02734375</v>
      </c>
      <c r="T213" s="4" t="n">
        <v>0.05</v>
      </c>
      <c r="U213" s="16" t="n">
        <v>0.4761997968648705</v>
      </c>
      <c r="V213" s="16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17" t="n">
        <v>0.996</v>
      </c>
      <c r="F214" s="17" t="n">
        <v>1.02588</v>
      </c>
      <c r="G214" s="17" t="n">
        <v>0.9461999999999999</v>
      </c>
      <c r="H214" s="7" t="n">
        <v>46279.75</v>
      </c>
      <c r="I214" s="17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19" t="n">
        <v>135858.4000000001</v>
      </c>
      <c r="R214" s="19" t="n">
        <v>2098980.9254</v>
      </c>
      <c r="S214" s="4" t="n">
        <v>0.03</v>
      </c>
      <c r="T214" s="4" t="n">
        <v>0.008032128514056214</v>
      </c>
      <c r="U214" s="16" t="n">
        <v>0.6920262478472113</v>
      </c>
      <c r="V214" s="16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17" t="n">
        <v>0.9222</v>
      </c>
      <c r="F215" s="17" t="n">
        <v>0.9498660000000001</v>
      </c>
      <c r="G215" s="17" t="n">
        <v>0.8760899999999999</v>
      </c>
      <c r="H215" s="7" t="n">
        <v>46279.70833333334</v>
      </c>
      <c r="I215" s="17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19" t="n">
        <v>1655425</v>
      </c>
      <c r="R215" s="19" t="n">
        <v>21319541.3692</v>
      </c>
      <c r="S215" s="4" t="n">
        <v>0.03</v>
      </c>
      <c r="T215" s="4" t="n">
        <v>0</v>
      </c>
      <c r="U215" s="16" t="n">
        <v>0.845950323524046</v>
      </c>
      <c r="V215" s="16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17" t="n">
        <v>0.5661</v>
      </c>
      <c r="F216" s="17" t="n">
        <v>0.583083</v>
      </c>
      <c r="G216" s="17" t="n">
        <v>0.537795</v>
      </c>
      <c r="H216" s="7" t="n">
        <v>46279.91666666666</v>
      </c>
      <c r="I216" s="17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19" t="n">
        <v>605808</v>
      </c>
      <c r="R216" s="19" t="n">
        <v>1677042.4063</v>
      </c>
      <c r="S216" s="4" t="n">
        <v>0.02402402402402393</v>
      </c>
      <c r="T216" s="4" t="n">
        <v>0.05</v>
      </c>
      <c r="U216" s="16" t="n">
        <v>1.433584458164734</v>
      </c>
      <c r="V216" s="16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17" t="n">
        <v>0.12014</v>
      </c>
      <c r="F217" s="17" t="n">
        <v>0.1165358</v>
      </c>
      <c r="G217" s="17" t="n">
        <v>0.126147</v>
      </c>
      <c r="H217" s="7" t="n">
        <v>46279.70833333334</v>
      </c>
      <c r="I217" s="17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19" t="n">
        <v>-2286112</v>
      </c>
      <c r="R217" s="19" t="n">
        <v>1877770.83223</v>
      </c>
      <c r="S217" s="4" t="n">
        <v>0.03</v>
      </c>
      <c r="T217" s="4" t="n">
        <v>0</v>
      </c>
      <c r="U217" s="16" t="n">
        <v>0.6989090661339149</v>
      </c>
      <c r="V217" s="16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17" t="n">
        <v>0.20271</v>
      </c>
      <c r="F218" s="17" t="n">
        <v>0.1966287</v>
      </c>
      <c r="G218" s="17" t="n">
        <v>0.2128455</v>
      </c>
      <c r="H218" s="7" t="n">
        <v>46279.83333333334</v>
      </c>
      <c r="I218" s="17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19" t="n">
        <v>-887001</v>
      </c>
      <c r="R218" s="19" t="n">
        <v>1992329.76383</v>
      </c>
      <c r="S218" s="4" t="n">
        <v>0.03</v>
      </c>
      <c r="T218" s="4" t="n">
        <v>0.02989492378274394</v>
      </c>
      <c r="U218" s="16" t="n">
        <v>1.088276490112146</v>
      </c>
      <c r="V218" s="16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17" t="n">
        <v>0.8768</v>
      </c>
      <c r="F219" s="17" t="n">
        <v>0.850496</v>
      </c>
      <c r="G219" s="17" t="n">
        <v>0.92064</v>
      </c>
      <c r="H219" s="7" t="n">
        <v>46279.79166666666</v>
      </c>
      <c r="I219" s="17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19" t="n">
        <v>-1081120</v>
      </c>
      <c r="R219" s="19" t="n">
        <v>21256200.9232</v>
      </c>
      <c r="S219" s="4" t="n">
        <v>0.03</v>
      </c>
      <c r="T219" s="4" t="n">
        <v>0</v>
      </c>
      <c r="U219" s="16" t="n">
        <v>0.8150563760825439</v>
      </c>
      <c r="V219" s="16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17" t="n">
        <v>0.5794</v>
      </c>
      <c r="F220" s="17" t="n">
        <v>0.596782</v>
      </c>
      <c r="G220" s="17" t="n">
        <v>0.55043</v>
      </c>
      <c r="H220" s="7" t="n">
        <v>46280</v>
      </c>
      <c r="I220" s="17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19" t="n">
        <v>593268</v>
      </c>
      <c r="R220" s="19" t="n">
        <v>1954273.9413</v>
      </c>
      <c r="S220" s="4" t="n">
        <v>0.03</v>
      </c>
      <c r="T220" s="4" t="n">
        <v>0</v>
      </c>
      <c r="U220" s="16" t="n">
        <v>2.871295855203831</v>
      </c>
      <c r="V220" s="16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17" t="n">
        <v>0.953</v>
      </c>
      <c r="F221" s="17" t="n">
        <v>0.92441</v>
      </c>
      <c r="G221" s="17" t="n">
        <v>1.00065</v>
      </c>
      <c r="H221" s="7" t="n">
        <v>46280.375</v>
      </c>
      <c r="I221" s="17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19" t="n">
        <v>-483300.7</v>
      </c>
      <c r="R221" s="19" t="n">
        <v>2616142.9346</v>
      </c>
      <c r="S221" s="4" t="n">
        <v>0.03</v>
      </c>
      <c r="T221" s="4" t="n">
        <v>0.01888772298006303</v>
      </c>
      <c r="U221" s="16" t="n">
        <v>1.332575490212957</v>
      </c>
      <c r="V221" s="16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17" t="n">
        <v>0.21527</v>
      </c>
      <c r="F222" s="17" t="n">
        <v>0.2217281</v>
      </c>
      <c r="G222" s="17" t="n">
        <v>0.2045065</v>
      </c>
      <c r="H222" s="7" t="n">
        <v>46280.25</v>
      </c>
      <c r="I222" s="17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19" t="n">
        <v>57563</v>
      </c>
      <c r="R222" s="19" t="n">
        <v>2142958.19727</v>
      </c>
      <c r="S222" s="4" t="n">
        <v>0.02870813397129202</v>
      </c>
      <c r="T222" s="4" t="n">
        <v>0.05</v>
      </c>
      <c r="U222" s="16" t="n">
        <v>2.695897368776979</v>
      </c>
      <c r="V222" s="16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17" t="n">
        <v>4.538</v>
      </c>
      <c r="F223" s="17" t="n">
        <v>4.67414</v>
      </c>
      <c r="G223" s="17" t="n">
        <v>4.3111</v>
      </c>
      <c r="H223" s="7" t="n">
        <v>46280.5</v>
      </c>
      <c r="I223" s="17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19" t="n">
        <v>44747.19999999972</v>
      </c>
      <c r="R223" s="19" t="n">
        <v>3149491.7076</v>
      </c>
      <c r="S223" s="4" t="n">
        <v>0.0202732481269281</v>
      </c>
      <c r="T223" s="4" t="n">
        <v>0.05</v>
      </c>
      <c r="U223" s="16" t="n">
        <v>1.101212313974368</v>
      </c>
      <c r="V223" s="16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17" t="n">
        <v>0.1125</v>
      </c>
      <c r="F224" s="17" t="n">
        <v>0.109125</v>
      </c>
      <c r="G224" s="17" t="n">
        <v>0.118125</v>
      </c>
      <c r="H224" s="7" t="n">
        <v>46280.5</v>
      </c>
      <c r="I224" s="17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19" t="n">
        <v>-4340925</v>
      </c>
      <c r="R224" s="19" t="n">
        <v>3147065.65734</v>
      </c>
      <c r="S224" s="4" t="n">
        <v>0.03</v>
      </c>
      <c r="T224" s="4" t="n">
        <v>0</v>
      </c>
      <c r="U224" s="16" t="n">
        <v>1.315326619284867</v>
      </c>
      <c r="V224" s="16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17" t="n">
        <v>0.6313</v>
      </c>
      <c r="F225" s="17" t="n">
        <v>0.650239</v>
      </c>
      <c r="G225" s="17" t="n">
        <v>0.5997349999999999</v>
      </c>
      <c r="H225" s="7" t="n">
        <v>46280.66666666666</v>
      </c>
      <c r="I225" s="17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19" t="n">
        <v>497440</v>
      </c>
      <c r="R225" s="19" t="n">
        <v>2733460.7658</v>
      </c>
      <c r="S225" s="4" t="n">
        <v>0.01092982734040882</v>
      </c>
      <c r="T225" s="4" t="n">
        <v>0.05</v>
      </c>
      <c r="U225" s="16" t="n">
        <v>0.8348760476846643</v>
      </c>
      <c r="V225" s="16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17" t="n">
        <v>0.20512</v>
      </c>
      <c r="F226" s="17" t="n">
        <v>0.2112736</v>
      </c>
      <c r="G226" s="17" t="n">
        <v>0.194864</v>
      </c>
      <c r="H226" s="7" t="n">
        <v>46280.875</v>
      </c>
      <c r="I226" s="17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19" t="n">
        <v>1093709</v>
      </c>
      <c r="R226" s="19" t="n">
        <v>1884084.0024</v>
      </c>
      <c r="S226" s="4" t="n">
        <v>0.03</v>
      </c>
      <c r="T226" s="4" t="n">
        <v>0.04051287051482055</v>
      </c>
      <c r="U226" s="16" t="n">
        <v>0.6198819809527375</v>
      </c>
      <c r="V226" s="16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17" t="n">
        <v>0.3894</v>
      </c>
      <c r="F227" s="17" t="n">
        <v>0.377718</v>
      </c>
      <c r="G227" s="17" t="n">
        <v>0.4088700000000001</v>
      </c>
      <c r="H227" s="7" t="n">
        <v>46280.79166666666</v>
      </c>
      <c r="I227" s="17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19" t="n">
        <v>-6448703</v>
      </c>
      <c r="R227" s="19" t="n">
        <v>15364261.8638</v>
      </c>
      <c r="S227" s="4" t="n">
        <v>0.03</v>
      </c>
      <c r="T227" s="4" t="n">
        <v>0</v>
      </c>
      <c r="U227" s="16" t="n">
        <v>0.6187481295028492</v>
      </c>
      <c r="V227" s="16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17" t="n">
        <v>0.06137</v>
      </c>
      <c r="F228" s="17" t="n">
        <v>0.0595289</v>
      </c>
      <c r="G228" s="17" t="n">
        <v>0.06443850000000001</v>
      </c>
      <c r="H228" s="7" t="n">
        <v>46280.875</v>
      </c>
      <c r="I228" s="17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19" t="n">
        <v>-2519277</v>
      </c>
      <c r="R228" s="19" t="n">
        <v>1798381.06354</v>
      </c>
      <c r="S228" s="4" t="n">
        <v>0.002770083102493159</v>
      </c>
      <c r="T228" s="4" t="n">
        <v>0.05</v>
      </c>
      <c r="U228" s="16" t="n">
        <v>0.7600169040732216</v>
      </c>
      <c r="V228" s="16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17" t="n">
        <v>0.11513</v>
      </c>
      <c r="F229" s="17" t="n">
        <v>0.1116761</v>
      </c>
      <c r="G229" s="17" t="n">
        <v>0.1208865</v>
      </c>
      <c r="H229" s="7" t="n">
        <v>46280.95833333334</v>
      </c>
      <c r="I229" s="17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19" t="n">
        <v>-13335483</v>
      </c>
      <c r="R229" s="19" t="n">
        <v>3947406.29375</v>
      </c>
      <c r="S229" s="4" t="n">
        <v>0.03</v>
      </c>
      <c r="T229" s="4" t="n">
        <v>0</v>
      </c>
      <c r="U229" s="16" t="n">
        <v>3.572201315293682</v>
      </c>
      <c r="V229" s="16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17" t="n">
        <v>4.209</v>
      </c>
      <c r="F230" s="17" t="n">
        <v>4.08273</v>
      </c>
      <c r="G230" s="17" t="n">
        <v>4.419449999999999</v>
      </c>
      <c r="H230" s="7" t="n">
        <v>46281.04166666666</v>
      </c>
      <c r="I230" s="17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19" t="n">
        <v>-382515.8999999999</v>
      </c>
      <c r="R230" s="19" t="n">
        <v>3309147.8667</v>
      </c>
      <c r="S230" s="4" t="n">
        <v>0.03</v>
      </c>
      <c r="T230" s="4" t="n">
        <v>0.0168686148728916</v>
      </c>
      <c r="U230" s="16" t="n">
        <v>3.199325144880385</v>
      </c>
      <c r="V230" s="16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17" t="n">
        <v>0.6319</v>
      </c>
      <c r="F231" s="17" t="n">
        <v>0.612943</v>
      </c>
      <c r="G231" s="17" t="n">
        <v>0.6634950000000001</v>
      </c>
      <c r="H231" s="7" t="n">
        <v>46281.04166666666</v>
      </c>
      <c r="I231" s="17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19" t="n">
        <v>-188505</v>
      </c>
      <c r="R231" s="19" t="n">
        <v>3708159.2401</v>
      </c>
      <c r="S231" s="4" t="n">
        <v>0.008229150181990774</v>
      </c>
      <c r="T231" s="4" t="n">
        <v>0.05</v>
      </c>
      <c r="U231" s="16" t="n">
        <v>2.135001569503176</v>
      </c>
      <c r="V231" s="16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17" t="n">
        <v>6.252</v>
      </c>
      <c r="F232" s="17" t="n">
        <v>6.064439999999999</v>
      </c>
      <c r="G232" s="17" t="n">
        <v>6.5646</v>
      </c>
      <c r="H232" s="7" t="n">
        <v>46281.08333333334</v>
      </c>
      <c r="I232" s="17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19" t="n">
        <v>-51002</v>
      </c>
      <c r="R232" s="19" t="n">
        <v>4383325.914</v>
      </c>
      <c r="S232" s="4" t="n">
        <v>0.00175943698016634</v>
      </c>
      <c r="T232" s="4" t="n">
        <v>0.05</v>
      </c>
      <c r="U232" s="16" t="n">
        <v>2.137314918319816</v>
      </c>
      <c r="V232" s="16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17" t="n">
        <v>0.17359</v>
      </c>
      <c r="F233" s="17" t="n">
        <v>0.1787977</v>
      </c>
      <c r="G233" s="17" t="n">
        <v>0.1649105</v>
      </c>
      <c r="H233" s="7" t="n">
        <v>46281.04166666666</v>
      </c>
      <c r="I233" s="17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19" t="n">
        <v>1254089</v>
      </c>
      <c r="R233" s="19" t="n">
        <v>3359749.00031</v>
      </c>
      <c r="S233" s="4" t="n">
        <v>0.03</v>
      </c>
      <c r="T233" s="4" t="n">
        <v>0</v>
      </c>
      <c r="U233" s="16" t="n">
        <v>0.4716771758509334</v>
      </c>
      <c r="V233" s="16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17" t="n">
        <v>0.21036</v>
      </c>
      <c r="F234" s="17" t="n">
        <v>0.2166708</v>
      </c>
      <c r="G234" s="17" t="n">
        <v>0.199842</v>
      </c>
      <c r="H234" s="7" t="n">
        <v>46281.08333333334</v>
      </c>
      <c r="I234" s="17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19" t="n">
        <v>295930</v>
      </c>
      <c r="R234" s="19" t="n">
        <v>1737965.62072</v>
      </c>
      <c r="S234" s="4" t="n">
        <v>0.03</v>
      </c>
      <c r="T234" s="4" t="n">
        <v>0</v>
      </c>
      <c r="U234" s="16" t="n">
        <v>1.905555903024474</v>
      </c>
      <c r="V234" s="16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17" t="n">
        <v>1.3237</v>
      </c>
      <c r="F235" s="17" t="n">
        <v>1.283989</v>
      </c>
      <c r="G235" s="17" t="n">
        <v>1.389885</v>
      </c>
      <c r="H235" s="7" t="n">
        <v>46281.20833333334</v>
      </c>
      <c r="I235" s="17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19" t="n">
        <v>-8152403</v>
      </c>
      <c r="R235" s="19" t="n">
        <v>32885063.0137</v>
      </c>
      <c r="S235" s="4" t="n">
        <v>0.03</v>
      </c>
      <c r="T235" s="4" t="n">
        <v>0.004003928382563915</v>
      </c>
      <c r="U235" s="16" t="n">
        <v>7.440720345189181</v>
      </c>
      <c r="V235" s="16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17" t="n">
        <v>4.163</v>
      </c>
      <c r="F236" s="17" t="n">
        <v>4.038110000000001</v>
      </c>
      <c r="G236" s="17" t="n">
        <v>4.37115</v>
      </c>
      <c r="H236" s="7" t="n">
        <v>46281.20833333334</v>
      </c>
      <c r="I236" s="17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19" t="n">
        <v>-243584.8999999997</v>
      </c>
      <c r="R236" s="19" t="n">
        <v>3360436.3019</v>
      </c>
      <c r="S236" s="4" t="n">
        <v>0.03</v>
      </c>
      <c r="T236" s="4" t="n">
        <v>0</v>
      </c>
      <c r="U236" s="16" t="n">
        <v>1.195482518921788</v>
      </c>
      <c r="V236" s="16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17" t="n">
        <v>0.05174</v>
      </c>
      <c r="F237" s="17" t="n">
        <v>0.0501878</v>
      </c>
      <c r="G237" s="17" t="n">
        <v>0.054327</v>
      </c>
      <c r="H237" s="7" t="n">
        <v>46281.70833333334</v>
      </c>
      <c r="I237" s="17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19" t="n">
        <v>-2201927</v>
      </c>
      <c r="R237" s="19" t="n">
        <v>1761581.08637</v>
      </c>
      <c r="S237" s="4" t="n">
        <v>0.009277155005798288</v>
      </c>
      <c r="T237" s="4" t="n">
        <v>0.05</v>
      </c>
      <c r="U237" s="16" t="n">
        <v>0.8701492201962129</v>
      </c>
      <c r="V237" s="16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17" t="n">
        <v>0.22015</v>
      </c>
      <c r="F238" s="17" t="n">
        <v>0.2267545</v>
      </c>
      <c r="G238" s="17" t="n">
        <v>0.2091425</v>
      </c>
      <c r="H238" s="7" t="n">
        <v>46281.54166666666</v>
      </c>
      <c r="I238" s="17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19" t="n">
        <v>581393</v>
      </c>
      <c r="R238" s="19" t="n">
        <v>1734895.76827</v>
      </c>
      <c r="S238" s="4" t="n">
        <v>0.03</v>
      </c>
      <c r="T238" s="4" t="n">
        <v>0.02243924596865776</v>
      </c>
      <c r="U238" s="16" t="n">
        <v>0.7511306159793725</v>
      </c>
      <c r="V238" s="16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17" t="n">
        <v>0.6093</v>
      </c>
      <c r="F239" s="17" t="n">
        <v>0.5910209999999999</v>
      </c>
      <c r="G239" s="17" t="n">
        <v>0.639765</v>
      </c>
      <c r="H239" s="7" t="n">
        <v>46281.5</v>
      </c>
      <c r="I239" s="17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19" t="n">
        <v>-522329</v>
      </c>
      <c r="R239" s="19" t="n">
        <v>3799658.9706</v>
      </c>
      <c r="S239" s="4" t="n">
        <v>0.03</v>
      </c>
      <c r="T239" s="4" t="n">
        <v>0.008042015427539795</v>
      </c>
      <c r="U239" s="16" t="n">
        <v>0.4664810909990809</v>
      </c>
      <c r="V239" s="16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17" t="n">
        <v>0.003404</v>
      </c>
      <c r="F240" s="17" t="n">
        <v>0.00330188</v>
      </c>
      <c r="G240" s="17" t="n">
        <v>0.0035742</v>
      </c>
      <c r="H240" s="7" t="n">
        <v>46281.75</v>
      </c>
      <c r="I240" s="17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19" t="n">
        <v>-20457617</v>
      </c>
      <c r="R240" s="19" t="n">
        <v>2582208.096545</v>
      </c>
      <c r="S240" s="4" t="n">
        <v>0.001175088131609936</v>
      </c>
      <c r="T240" s="4" t="n">
        <v>0.05</v>
      </c>
      <c r="U240" s="16" t="n">
        <v>1.872317074448306</v>
      </c>
      <c r="V240" s="16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17" t="n">
        <v>6.241</v>
      </c>
      <c r="F241" s="17" t="n">
        <v>6.053769999999999</v>
      </c>
      <c r="G241" s="17" t="n">
        <v>6.55305</v>
      </c>
      <c r="H241" s="7" t="n">
        <v>46281.95833333334</v>
      </c>
      <c r="I241" s="17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19" t="n">
        <v>-8309</v>
      </c>
      <c r="R241" s="19" t="n">
        <v>4628640.403</v>
      </c>
      <c r="S241" s="4" t="n">
        <v>0.03</v>
      </c>
      <c r="T241" s="4" t="n">
        <v>0.03573145329274174</v>
      </c>
      <c r="U241" s="16" t="n">
        <v>0.7170819771843435</v>
      </c>
      <c r="V241" s="16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17" t="n">
        <v>0.11407</v>
      </c>
      <c r="F242" s="17" t="n">
        <v>0.1106479</v>
      </c>
      <c r="G242" s="17" t="n">
        <v>0.1197735</v>
      </c>
      <c r="H242" s="7" t="n">
        <v>46281.70833333334</v>
      </c>
      <c r="I242" s="17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19" t="n">
        <v>-6985142</v>
      </c>
      <c r="R242" s="19" t="n">
        <v>2887294.37661</v>
      </c>
      <c r="S242" s="4" t="n">
        <v>0.03</v>
      </c>
      <c r="T242" s="4" t="n">
        <v>0.01981239589725603</v>
      </c>
      <c r="U242" s="16" t="n">
        <v>0.7082025381006778</v>
      </c>
      <c r="V242" s="16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17" t="n">
        <v>0.16882</v>
      </c>
      <c r="F243" s="17" t="n">
        <v>0.1637554</v>
      </c>
      <c r="G243" s="17" t="n">
        <v>0.177261</v>
      </c>
      <c r="H243" s="7" t="n">
        <v>46281.5</v>
      </c>
      <c r="I243" s="17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19" t="n">
        <v>-5918706</v>
      </c>
      <c r="R243" s="19" t="n">
        <v>4059428.69729</v>
      </c>
      <c r="S243" s="4" t="n">
        <v>0.03</v>
      </c>
      <c r="T243" s="4" t="n">
        <v>0</v>
      </c>
      <c r="U243" s="16" t="n">
        <v>4.658083192416719</v>
      </c>
      <c r="V243" s="16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17" t="n">
        <v>0.0280655</v>
      </c>
      <c r="F244" s="17" t="n">
        <v>0.028907465</v>
      </c>
      <c r="G244" s="17" t="n">
        <v>0.026662225</v>
      </c>
      <c r="H244" s="7" t="n">
        <v>46281.625</v>
      </c>
      <c r="I244" s="17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19" t="n">
        <v>152267858</v>
      </c>
      <c r="R244" s="19" t="n">
        <v>12370801.771743</v>
      </c>
      <c r="S244" s="4" t="n">
        <v>0.02044146728189422</v>
      </c>
      <c r="T244" s="4" t="n">
        <v>0.05</v>
      </c>
      <c r="U244" s="16" t="n">
        <v>0.6997433505358437</v>
      </c>
      <c r="V244" s="16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17" t="n">
        <v>1187.67</v>
      </c>
      <c r="F245" s="17" t="n">
        <v>1223.3001</v>
      </c>
      <c r="G245" s="17" t="n">
        <v>1128.2865</v>
      </c>
      <c r="H245" s="7" t="n">
        <v>46281.83333333334</v>
      </c>
      <c r="I245" s="17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19" t="n">
        <v>2618.917999999991</v>
      </c>
      <c r="R245" s="19" t="n">
        <v>25970903.79783</v>
      </c>
      <c r="S245" s="4" t="n">
        <v>0.03</v>
      </c>
      <c r="T245" s="4" t="n">
        <v>0.01571985484183325</v>
      </c>
      <c r="U245" s="16" t="n">
        <v>0.9711796671273036</v>
      </c>
      <c r="V245" s="16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17" t="n">
        <v>0.0287685</v>
      </c>
      <c r="F246" s="17" t="n">
        <v>0.029631555</v>
      </c>
      <c r="G246" s="17" t="n">
        <v>0.027330075</v>
      </c>
      <c r="H246" s="7" t="n">
        <v>46281.875</v>
      </c>
      <c r="I246" s="17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19" t="n">
        <v>16989750</v>
      </c>
      <c r="R246" s="19" t="n">
        <v>11434612.3498025</v>
      </c>
      <c r="S246" s="4" t="n">
        <v>0.01709161061577769</v>
      </c>
      <c r="T246" s="4" t="n">
        <v>0.05</v>
      </c>
      <c r="U246" s="16" t="n">
        <v>0.6044001920117454</v>
      </c>
      <c r="V246" s="16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17" t="n">
        <v>0.10822</v>
      </c>
      <c r="F247" s="17" t="n">
        <v>0.1049734</v>
      </c>
      <c r="G247" s="17" t="n">
        <v>0.113631</v>
      </c>
      <c r="H247" s="7" t="n">
        <v>46282</v>
      </c>
      <c r="I247" s="17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19" t="n">
        <v>-1313029</v>
      </c>
      <c r="R247" s="19" t="n">
        <v>3530687.4792</v>
      </c>
      <c r="S247" s="4" t="n">
        <v>0.03</v>
      </c>
      <c r="T247" s="4" t="n">
        <v>0.01561633709111065</v>
      </c>
      <c r="U247" s="16" t="n">
        <v>4.678764547478839</v>
      </c>
      <c r="V247" s="16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17" t="n">
        <v>0.225</v>
      </c>
      <c r="F248" s="17" t="n">
        <v>0.21825</v>
      </c>
      <c r="G248" s="17" t="n">
        <v>0.23625</v>
      </c>
      <c r="H248" s="7" t="n">
        <v>46282.125</v>
      </c>
      <c r="I248" s="17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19" t="n">
        <v>-778608</v>
      </c>
      <c r="R248" s="19" t="n">
        <v>2914314.34629</v>
      </c>
      <c r="S248" s="4" t="n">
        <v>0.01364444444444457</v>
      </c>
      <c r="T248" s="4" t="n">
        <v>0.05</v>
      </c>
      <c r="U248" s="16" t="n">
        <v>1.22830388521858</v>
      </c>
      <c r="V248" s="16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17" t="n">
        <v>0.1633</v>
      </c>
      <c r="F249" s="17" t="n">
        <v>0.168199</v>
      </c>
      <c r="G249" s="17" t="n">
        <v>0.155135</v>
      </c>
      <c r="H249" s="7" t="n">
        <v>46282.16666666666</v>
      </c>
      <c r="I249" s="17" t="n">
        <v>0.1609</v>
      </c>
      <c r="J249" s="2" t="inlineStr">
        <is>
          <t>未平倉</t>
        </is>
      </c>
      <c r="K249" s="5">
        <f>(H249-D249)*24</f>
        <v/>
      </c>
      <c r="L249" s="4">
        <f>IF(C249="做多",I249/E249-1,1-I249/E249)-2*參數!$B$7</f>
        <v/>
      </c>
      <c r="M249" s="2" t="inlineStr">
        <is>
          <t>持倉中（以最新收盤估值）</t>
        </is>
      </c>
      <c r="N249" s="4" t="n">
        <v>0.0501607717041801</v>
      </c>
      <c r="O249" s="4" t="n">
        <v>0.03317999061526898</v>
      </c>
      <c r="P249" s="4" t="n">
        <v>0.04285075675330474</v>
      </c>
      <c r="Q249" s="19" t="n">
        <v>4728317.000000002</v>
      </c>
      <c r="R249" s="19" t="n">
        <v>4536947.58375</v>
      </c>
      <c r="S249" s="4" t="n">
        <v>0.01102265768524191</v>
      </c>
      <c r="T249" s="4" t="n">
        <v>0.03919167176974891</v>
      </c>
      <c r="U249" s="16" t="n">
        <v>1.68259846757864</v>
      </c>
      <c r="V249" s="16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17" t="n">
        <v>0.1469</v>
      </c>
      <c r="F250" s="17" t="n">
        <v>0.151307</v>
      </c>
      <c r="G250" s="17" t="n">
        <v>0.139555</v>
      </c>
      <c r="H250" s="7" t="n">
        <v>46282.16666666666</v>
      </c>
      <c r="I250" s="17" t="n">
        <v>0.1465</v>
      </c>
      <c r="J250" s="2" t="inlineStr">
        <is>
          <t>未平倉</t>
        </is>
      </c>
      <c r="K250" s="5">
        <f>(H250-D250)*24</f>
        <v/>
      </c>
      <c r="L250" s="4">
        <f>IF(C250="做多",I250/E250-1,1-I250/E250)-2*參數!$B$7</f>
        <v/>
      </c>
      <c r="M250" s="2" t="inlineStr">
        <is>
          <t>持倉中（以最新收盤估值）</t>
        </is>
      </c>
      <c r="N250" s="4" t="n">
        <v>0.02943237561317447</v>
      </c>
      <c r="O250" s="4" t="n">
        <v>0.02301681333527623</v>
      </c>
      <c r="P250" s="4" t="n">
        <v>0.03622191655204055</v>
      </c>
      <c r="Q250" s="19" t="n">
        <v>9489715</v>
      </c>
      <c r="R250" s="19" t="n">
        <v>4292644.2501</v>
      </c>
      <c r="S250" s="4" t="n">
        <v>0.01837985023825728</v>
      </c>
      <c r="T250" s="4" t="n">
        <v>0.02178352620830504</v>
      </c>
      <c r="U250" s="16" t="n">
        <v>2.765192083529199</v>
      </c>
      <c r="V250" s="16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17" t="n">
        <v>6.296</v>
      </c>
      <c r="F251" s="17" t="n">
        <v>6.48488</v>
      </c>
      <c r="G251" s="17" t="n">
        <v>5.9812</v>
      </c>
      <c r="H251" s="7" t="n">
        <v>46282.16666666666</v>
      </c>
      <c r="I251" s="17" t="n">
        <v>6.366</v>
      </c>
      <c r="J251" s="2" t="inlineStr">
        <is>
          <t>未平倉</t>
        </is>
      </c>
      <c r="K251" s="5">
        <f>(H251-D251)*24</f>
        <v/>
      </c>
      <c r="L251" s="4">
        <f>IF(C251="做多",I251/E251-1,1-I251/E251)-2*參數!$B$7</f>
        <v/>
      </c>
      <c r="M251" s="2" t="inlineStr">
        <is>
          <t>持倉中（以最新收盤估值）</t>
        </is>
      </c>
      <c r="N251" s="4" t="n">
        <v>0.02340702210663204</v>
      </c>
      <c r="O251" s="4" t="n">
        <v>0.02436587511532557</v>
      </c>
      <c r="P251" s="4" t="n">
        <v>0.002539788695949952</v>
      </c>
      <c r="Q251" s="19" t="n">
        <v>31842</v>
      </c>
      <c r="R251" s="19" t="n">
        <v>3831093.943</v>
      </c>
      <c r="S251" s="4" t="n">
        <v>0.01715374841168993</v>
      </c>
      <c r="T251" s="4" t="n">
        <v>0.01254764930114372</v>
      </c>
      <c r="U251" s="16" t="n">
        <v>4.174686847950839</v>
      </c>
      <c r="V251" s="16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17" t="n">
        <v>23.266</v>
      </c>
      <c r="F252" s="17" t="n">
        <v>23.96398</v>
      </c>
      <c r="G252" s="17" t="n">
        <v>22.1027</v>
      </c>
      <c r="H252" s="7" t="n">
        <v>46282.16666666666</v>
      </c>
      <c r="I252" s="17" t="n">
        <v>22.722</v>
      </c>
      <c r="J252" s="2" t="inlineStr">
        <is>
          <t>未平倉</t>
        </is>
      </c>
      <c r="K252" s="5">
        <f>(H252-D252)*24</f>
        <v/>
      </c>
      <c r="L252" s="4">
        <f>IF(C252="做多",I252/E252-1,1-I252/E252)-2*參數!$B$7</f>
        <v/>
      </c>
      <c r="M252" s="2" t="inlineStr">
        <is>
          <t>持倉中（以最新收盤估值）</t>
        </is>
      </c>
      <c r="N252" s="4" t="n">
        <v>0.04182339244133959</v>
      </c>
      <c r="O252" s="4" t="n">
        <v>0.02567802891555657</v>
      </c>
      <c r="P252" s="4" t="n">
        <v>0.05087716128566</v>
      </c>
      <c r="Q252" s="19" t="n">
        <v>24756.23000000003</v>
      </c>
      <c r="R252" s="19" t="n">
        <v>1607833.34184</v>
      </c>
      <c r="S252" s="4" t="n">
        <v>0.007521705492994135</v>
      </c>
      <c r="T252" s="4" t="n">
        <v>0.0467635175793002</v>
      </c>
      <c r="U252" s="16" t="n">
        <v>4.424885051501956</v>
      </c>
      <c r="V252" s="16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17" t="n">
        <v>6.741</v>
      </c>
      <c r="F253" s="17" t="n">
        <v>6.94323</v>
      </c>
      <c r="G253" s="17" t="n">
        <v>6.403949999999999</v>
      </c>
      <c r="H253" s="7" t="n">
        <v>46282.16666666666</v>
      </c>
      <c r="I253" s="17" t="n">
        <v>6.656</v>
      </c>
      <c r="J253" s="2" t="inlineStr">
        <is>
          <t>未平倉</t>
        </is>
      </c>
      <c r="K253" s="5">
        <f>(H253-D253)*24</f>
        <v/>
      </c>
      <c r="L253" s="4">
        <f>IF(C253="做多",I253/E253-1,1-I253/E253)-2*參數!$B$7</f>
        <v/>
      </c>
      <c r="M253" s="2" t="inlineStr">
        <is>
          <t>持倉中（以最新收盤估值）</t>
        </is>
      </c>
      <c r="N253" s="4" t="n">
        <v>0.03596127247579539</v>
      </c>
      <c r="O253" s="4" t="n">
        <v>0.02228641893368193</v>
      </c>
      <c r="P253" s="4" t="n">
        <v>0.05414597912349972</v>
      </c>
      <c r="Q253" s="19" t="n">
        <v>161895.5</v>
      </c>
      <c r="R253" s="19" t="n">
        <v>1210685.2987</v>
      </c>
      <c r="S253" s="4" t="n">
        <v>0.02284527518172386</v>
      </c>
      <c r="T253" s="4" t="n">
        <v>0.02329031300993922</v>
      </c>
      <c r="U253" s="16" t="n">
        <v>1.771923740229836</v>
      </c>
      <c r="V253" s="16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17" t="n">
        <v>2.547</v>
      </c>
      <c r="F254" s="17" t="n">
        <v>2.62341</v>
      </c>
      <c r="G254" s="17" t="n">
        <v>2.41965</v>
      </c>
      <c r="H254" s="7" t="n">
        <v>46282.16666666666</v>
      </c>
      <c r="I254" s="17" t="n">
        <v>2.547</v>
      </c>
      <c r="J254" s="2" t="inlineStr">
        <is>
          <t>未平倉</t>
        </is>
      </c>
      <c r="K254" s="5">
        <f>(H254-D254)*24</f>
        <v/>
      </c>
      <c r="L254" s="4">
        <f>IF(C254="做多",I254/E254-1,1-I254/E254)-2*參數!$B$7</f>
        <v/>
      </c>
      <c r="M254" s="2" t="inlineStr">
        <is>
          <t>持倉中（以最新收盤估值）</t>
        </is>
      </c>
      <c r="N254" s="4" t="n">
        <v>0.02002402883460164</v>
      </c>
      <c r="O254" s="4" t="n">
        <v>0.02105222326682982</v>
      </c>
      <c r="P254" s="4" t="n">
        <v>0.05699997925009859</v>
      </c>
      <c r="Q254" s="19" t="n">
        <v>395901</v>
      </c>
      <c r="R254" s="19" t="n">
        <v>4474252.094000001</v>
      </c>
      <c r="S254" s="4" t="n">
        <v>0</v>
      </c>
      <c r="T254" s="4" t="n">
        <v>0</v>
      </c>
      <c r="U254" s="16" t="n">
        <v>3.612551793805155</v>
      </c>
      <c r="V254" s="16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</sheetData>
  <autoFilter ref="A1:AC254"/>
  <conditionalFormatting sqref="J2:J25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COUNTIFS(交易明細!$B$2:$B$254,$A2)</f>
        <v/>
      </c>
      <c r="C2" s="2">
        <f>COUNTIFS(交易明細!$B$2:$B$254,$A2,交易明細!$C$2:$C$254,"做多")</f>
        <v/>
      </c>
      <c r="D2" s="2">
        <f>COUNTIFS(交易明細!$B$2:$B$254,$A2,交易明細!$C$2:$C$254,"做空")</f>
        <v/>
      </c>
      <c r="E2" s="2">
        <f>F2+G2+COUNTIFS(交易明細!$B$2:$B$254,$A2,交易明細!$J$2:$J$254,"時間出場")</f>
        <v/>
      </c>
      <c r="F2" s="2">
        <f>COUNTIFS(交易明細!$B$2:$B$254,$A2,交易明細!$J$2:$J$254,"止盈")</f>
        <v/>
      </c>
      <c r="G2" s="2">
        <f>COUNTIFS(交易明細!$B$2:$B$254,$A2,交易明細!$J$2:$J$254,"止損")</f>
        <v/>
      </c>
      <c r="H2" s="4">
        <f>IFERROR(F2/E2,0)</f>
        <v/>
      </c>
      <c r="I2" s="4">
        <f>IFERROR(AVERAGEIFS(交易明細!$L$2:$L$254,交易明細!$B$2:$B$254,$A2,交易明細!$J$2:$J$254,"&lt;&gt;未平倉"),0)</f>
        <v/>
      </c>
      <c r="J2" s="4">
        <f>SUMIFS(交易明細!$L$2:$L$254,交易明細!$B$2:$B$254,$A2,交易明細!$J$2:$J$254,"&lt;&gt;未平倉")</f>
        <v/>
      </c>
      <c r="K2" s="5">
        <f>IFERROR(AVERAGEIFS(交易明細!$K$2:$K$254,交易明細!$B$2:$B$254,$A2,交易明細!$J$2:$J$254,"&lt;&gt;未平倉"),0)</f>
        <v/>
      </c>
      <c r="L2" s="2">
        <f>COUNTIFS(交易明細!$B$2:$B$254,$A2,交易明細!$J$2:$J$254,"未平倉")</f>
        <v/>
      </c>
    </row>
    <row r="3">
      <c r="A3" s="2" t="inlineStr">
        <is>
          <t>PONS_USDT_PERP</t>
        </is>
      </c>
      <c r="B3" s="2">
        <f>COUNTIFS(交易明細!$B$2:$B$254,$A3)</f>
        <v/>
      </c>
      <c r="C3" s="2">
        <f>COUNTIFS(交易明細!$B$2:$B$254,$A3,交易明細!$C$2:$C$254,"做多")</f>
        <v/>
      </c>
      <c r="D3" s="2">
        <f>COUNTIFS(交易明細!$B$2:$B$254,$A3,交易明細!$C$2:$C$254,"做空")</f>
        <v/>
      </c>
      <c r="E3" s="2">
        <f>F3+G3+COUNTIFS(交易明細!$B$2:$B$254,$A3,交易明細!$J$2:$J$254,"時間出場")</f>
        <v/>
      </c>
      <c r="F3" s="2">
        <f>COUNTIFS(交易明細!$B$2:$B$254,$A3,交易明細!$J$2:$J$254,"止盈")</f>
        <v/>
      </c>
      <c r="G3" s="2">
        <f>COUNTIFS(交易明細!$B$2:$B$254,$A3,交易明細!$J$2:$J$254,"止損")</f>
        <v/>
      </c>
      <c r="H3" s="4">
        <f>IFERROR(F3/E3,0)</f>
        <v/>
      </c>
      <c r="I3" s="4">
        <f>IFERROR(AVERAGEIFS(交易明細!$L$2:$L$254,交易明細!$B$2:$B$254,$A3,交易明細!$J$2:$J$254,"&lt;&gt;未平倉"),0)</f>
        <v/>
      </c>
      <c r="J3" s="4">
        <f>SUMIFS(交易明細!$L$2:$L$254,交易明細!$B$2:$B$254,$A3,交易明細!$J$2:$J$254,"&lt;&gt;未平倉")</f>
        <v/>
      </c>
      <c r="K3" s="5">
        <f>IFERROR(AVERAGEIFS(交易明細!$K$2:$K$254,交易明細!$B$2:$B$254,$A3,交易明細!$J$2:$J$254,"&lt;&gt;未平倉"),0)</f>
        <v/>
      </c>
      <c r="L3" s="2">
        <f>COUNTIFS(交易明細!$B$2:$B$254,$A3,交易明細!$J$2:$J$254,"未平倉")</f>
        <v/>
      </c>
    </row>
    <row r="4">
      <c r="A4" s="2" t="inlineStr">
        <is>
          <t>PUMP_USDT_PERP</t>
        </is>
      </c>
      <c r="B4" s="2">
        <f>COUNTIFS(交易明細!$B$2:$B$254,$A4)</f>
        <v/>
      </c>
      <c r="C4" s="2">
        <f>COUNTIFS(交易明細!$B$2:$B$254,$A4,交易明細!$C$2:$C$254,"做多")</f>
        <v/>
      </c>
      <c r="D4" s="2">
        <f>COUNTIFS(交易明細!$B$2:$B$254,$A4,交易明細!$C$2:$C$254,"做空")</f>
        <v/>
      </c>
      <c r="E4" s="2">
        <f>F4+G4+COUNTIFS(交易明細!$B$2:$B$254,$A4,交易明細!$J$2:$J$254,"時間出場")</f>
        <v/>
      </c>
      <c r="F4" s="2">
        <f>COUNTIFS(交易明細!$B$2:$B$254,$A4,交易明細!$J$2:$J$254,"止盈")</f>
        <v/>
      </c>
      <c r="G4" s="2">
        <f>COUNTIFS(交易明細!$B$2:$B$254,$A4,交易明細!$J$2:$J$254,"止損")</f>
        <v/>
      </c>
      <c r="H4" s="4">
        <f>IFERROR(F4/E4,0)</f>
        <v/>
      </c>
      <c r="I4" s="4">
        <f>IFERROR(AVERAGEIFS(交易明細!$L$2:$L$254,交易明細!$B$2:$B$254,$A4,交易明細!$J$2:$J$254,"&lt;&gt;未平倉"),0)</f>
        <v/>
      </c>
      <c r="J4" s="4">
        <f>SUMIFS(交易明細!$L$2:$L$254,交易明細!$B$2:$B$254,$A4,交易明細!$J$2:$J$254,"&lt;&gt;未平倉")</f>
        <v/>
      </c>
      <c r="K4" s="5">
        <f>IFERROR(AVERAGEIFS(交易明細!$K$2:$K$254,交易明細!$B$2:$B$254,$A4,交易明細!$J$2:$J$254,"&lt;&gt;未平倉"),0)</f>
        <v/>
      </c>
      <c r="L4" s="2">
        <f>COUNTIFS(交易明細!$B$2:$B$254,$A4,交易明細!$J$2:$J$254,"未平倉")</f>
        <v/>
      </c>
    </row>
    <row r="5">
      <c r="A5" s="2" t="inlineStr">
        <is>
          <t>牛来_USDT_PERP</t>
        </is>
      </c>
      <c r="B5" s="2">
        <f>COUNTIFS(交易明細!$B$2:$B$254,$A5)</f>
        <v/>
      </c>
      <c r="C5" s="2">
        <f>COUNTIFS(交易明細!$B$2:$B$254,$A5,交易明細!$C$2:$C$254,"做多")</f>
        <v/>
      </c>
      <c r="D5" s="2">
        <f>COUNTIFS(交易明細!$B$2:$B$254,$A5,交易明細!$C$2:$C$254,"做空")</f>
        <v/>
      </c>
      <c r="E5" s="2">
        <f>F5+G5+COUNTIFS(交易明細!$B$2:$B$254,$A5,交易明細!$J$2:$J$254,"時間出場")</f>
        <v/>
      </c>
      <c r="F5" s="2">
        <f>COUNTIFS(交易明細!$B$2:$B$254,$A5,交易明細!$J$2:$J$254,"止盈")</f>
        <v/>
      </c>
      <c r="G5" s="2">
        <f>COUNTIFS(交易明細!$B$2:$B$254,$A5,交易明細!$J$2:$J$254,"止損")</f>
        <v/>
      </c>
      <c r="H5" s="4">
        <f>IFERROR(F5/E5,0)</f>
        <v/>
      </c>
      <c r="I5" s="4">
        <f>IFERROR(AVERAGEIFS(交易明細!$L$2:$L$254,交易明細!$B$2:$B$254,$A5,交易明細!$J$2:$J$254,"&lt;&gt;未平倉"),0)</f>
        <v/>
      </c>
      <c r="J5" s="4">
        <f>SUMIFS(交易明細!$L$2:$L$254,交易明細!$B$2:$B$254,$A5,交易明細!$J$2:$J$254,"&lt;&gt;未平倉")</f>
        <v/>
      </c>
      <c r="K5" s="5">
        <f>IFERROR(AVERAGEIFS(交易明細!$K$2:$K$254,交易明細!$B$2:$B$254,$A5,交易明細!$J$2:$J$254,"&lt;&gt;未平倉"),0)</f>
        <v/>
      </c>
      <c r="L5" s="2">
        <f>COUNTIFS(交易明細!$B$2:$B$254,$A5,交易明細!$J$2:$J$254,"未平倉")</f>
        <v/>
      </c>
    </row>
    <row r="6">
      <c r="A6" s="2" t="inlineStr">
        <is>
          <t>LIT_USDT_PERP</t>
        </is>
      </c>
      <c r="B6" s="2">
        <f>COUNTIFS(交易明細!$B$2:$B$254,$A6)</f>
        <v/>
      </c>
      <c r="C6" s="2">
        <f>COUNTIFS(交易明細!$B$2:$B$254,$A6,交易明細!$C$2:$C$254,"做多")</f>
        <v/>
      </c>
      <c r="D6" s="2">
        <f>COUNTIFS(交易明細!$B$2:$B$254,$A6,交易明細!$C$2:$C$254,"做空")</f>
        <v/>
      </c>
      <c r="E6" s="2">
        <f>F6+G6+COUNTIFS(交易明細!$B$2:$B$254,$A6,交易明細!$J$2:$J$254,"時間出場")</f>
        <v/>
      </c>
      <c r="F6" s="2">
        <f>COUNTIFS(交易明細!$B$2:$B$254,$A6,交易明細!$J$2:$J$254,"止盈")</f>
        <v/>
      </c>
      <c r="G6" s="2">
        <f>COUNTIFS(交易明細!$B$2:$B$254,$A6,交易明細!$J$2:$J$254,"止損")</f>
        <v/>
      </c>
      <c r="H6" s="4">
        <f>IFERROR(F6/E6,0)</f>
        <v/>
      </c>
      <c r="I6" s="4">
        <f>IFERROR(AVERAGEIFS(交易明細!$L$2:$L$254,交易明細!$B$2:$B$254,$A6,交易明細!$J$2:$J$254,"&lt;&gt;未平倉"),0)</f>
        <v/>
      </c>
      <c r="J6" s="4">
        <f>SUMIFS(交易明細!$L$2:$L$254,交易明細!$B$2:$B$254,$A6,交易明細!$J$2:$J$254,"&lt;&gt;未平倉")</f>
        <v/>
      </c>
      <c r="K6" s="5">
        <f>IFERROR(AVERAGEIFS(交易明細!$K$2:$K$254,交易明細!$B$2:$B$254,$A6,交易明細!$J$2:$J$254,"&lt;&gt;未平倉"),0)</f>
        <v/>
      </c>
      <c r="L6" s="2">
        <f>COUNTIFS(交易明細!$B$2:$B$254,$A6,交易明細!$J$2:$J$254,"未平倉")</f>
        <v/>
      </c>
    </row>
    <row r="7">
      <c r="A7" s="2" t="inlineStr">
        <is>
          <t>UAI_USDT_PERP</t>
        </is>
      </c>
      <c r="B7" s="2">
        <f>COUNTIFS(交易明細!$B$2:$B$254,$A7)</f>
        <v/>
      </c>
      <c r="C7" s="2">
        <f>COUNTIFS(交易明細!$B$2:$B$254,$A7,交易明細!$C$2:$C$254,"做多")</f>
        <v/>
      </c>
      <c r="D7" s="2">
        <f>COUNTIFS(交易明細!$B$2:$B$254,$A7,交易明細!$C$2:$C$254,"做空")</f>
        <v/>
      </c>
      <c r="E7" s="2">
        <f>F7+G7+COUNTIFS(交易明細!$B$2:$B$254,$A7,交易明細!$J$2:$J$254,"時間出場")</f>
        <v/>
      </c>
      <c r="F7" s="2">
        <f>COUNTIFS(交易明細!$B$2:$B$254,$A7,交易明細!$J$2:$J$254,"止盈")</f>
        <v/>
      </c>
      <c r="G7" s="2">
        <f>COUNTIFS(交易明細!$B$2:$B$254,$A7,交易明細!$J$2:$J$254,"止損")</f>
        <v/>
      </c>
      <c r="H7" s="4">
        <f>IFERROR(F7/E7,0)</f>
        <v/>
      </c>
      <c r="I7" s="4">
        <f>IFERROR(AVERAGEIFS(交易明細!$L$2:$L$254,交易明細!$B$2:$B$254,$A7,交易明細!$J$2:$J$254,"&lt;&gt;未平倉"),0)</f>
        <v/>
      </c>
      <c r="J7" s="4">
        <f>SUMIFS(交易明細!$L$2:$L$254,交易明細!$B$2:$B$254,$A7,交易明細!$J$2:$J$254,"&lt;&gt;未平倉")</f>
        <v/>
      </c>
      <c r="K7" s="5">
        <f>IFERROR(AVERAGEIFS(交易明細!$K$2:$K$254,交易明細!$B$2:$B$254,$A7,交易明細!$J$2:$J$254,"&lt;&gt;未平倉"),0)</f>
        <v/>
      </c>
      <c r="L7" s="2">
        <f>COUNTIFS(交易明細!$B$2:$B$254,$A7,交易明細!$J$2:$J$254,"未平倉")</f>
        <v/>
      </c>
    </row>
    <row r="8">
      <c r="A8" s="2" t="inlineStr">
        <is>
          <t>MARSCOIN_USDT_PERP</t>
        </is>
      </c>
      <c r="B8" s="2">
        <f>COUNTIFS(交易明細!$B$2:$B$254,$A8)</f>
        <v/>
      </c>
      <c r="C8" s="2">
        <f>COUNTIFS(交易明細!$B$2:$B$254,$A8,交易明細!$C$2:$C$254,"做多")</f>
        <v/>
      </c>
      <c r="D8" s="2">
        <f>COUNTIFS(交易明細!$B$2:$B$254,$A8,交易明細!$C$2:$C$254,"做空")</f>
        <v/>
      </c>
      <c r="E8" s="2">
        <f>F8+G8+COUNTIFS(交易明細!$B$2:$B$254,$A8,交易明細!$J$2:$J$254,"時間出場")</f>
        <v/>
      </c>
      <c r="F8" s="2">
        <f>COUNTIFS(交易明細!$B$2:$B$254,$A8,交易明細!$J$2:$J$254,"止盈")</f>
        <v/>
      </c>
      <c r="G8" s="2">
        <f>COUNTIFS(交易明細!$B$2:$B$254,$A8,交易明細!$J$2:$J$254,"止損")</f>
        <v/>
      </c>
      <c r="H8" s="4">
        <f>IFERROR(F8/E8,0)</f>
        <v/>
      </c>
      <c r="I8" s="4">
        <f>IFERROR(AVERAGEIFS(交易明細!$L$2:$L$254,交易明細!$B$2:$B$254,$A8,交易明細!$J$2:$J$254,"&lt;&gt;未平倉"),0)</f>
        <v/>
      </c>
      <c r="J8" s="4">
        <f>SUMIFS(交易明細!$L$2:$L$254,交易明細!$B$2:$B$254,$A8,交易明細!$J$2:$J$254,"&lt;&gt;未平倉")</f>
        <v/>
      </c>
      <c r="K8" s="5">
        <f>IFERROR(AVERAGEIFS(交易明細!$K$2:$K$254,交易明細!$B$2:$B$254,$A8,交易明細!$J$2:$J$254,"&lt;&gt;未平倉"),0)</f>
        <v/>
      </c>
      <c r="L8" s="2">
        <f>COUNTIFS(交易明細!$B$2:$B$254,$A8,交易明細!$J$2:$J$254,"未平倉")</f>
        <v/>
      </c>
    </row>
    <row r="9">
      <c r="A9" s="2" t="inlineStr">
        <is>
          <t>BULLA_USDT_PERP</t>
        </is>
      </c>
      <c r="B9" s="2">
        <f>COUNTIFS(交易明細!$B$2:$B$254,$A9)</f>
        <v/>
      </c>
      <c r="C9" s="2">
        <f>COUNTIFS(交易明細!$B$2:$B$254,$A9,交易明細!$C$2:$C$254,"做多")</f>
        <v/>
      </c>
      <c r="D9" s="2">
        <f>COUNTIFS(交易明細!$B$2:$B$254,$A9,交易明細!$C$2:$C$254,"做空")</f>
        <v/>
      </c>
      <c r="E9" s="2">
        <f>F9+G9+COUNTIFS(交易明細!$B$2:$B$254,$A9,交易明細!$J$2:$J$254,"時間出場")</f>
        <v/>
      </c>
      <c r="F9" s="2">
        <f>COUNTIFS(交易明細!$B$2:$B$254,$A9,交易明細!$J$2:$J$254,"止盈")</f>
        <v/>
      </c>
      <c r="G9" s="2">
        <f>COUNTIFS(交易明細!$B$2:$B$254,$A9,交易明細!$J$2:$J$254,"止損")</f>
        <v/>
      </c>
      <c r="H9" s="4">
        <f>IFERROR(F9/E9,0)</f>
        <v/>
      </c>
      <c r="I9" s="4">
        <f>IFERROR(AVERAGEIFS(交易明細!$L$2:$L$254,交易明細!$B$2:$B$254,$A9,交易明細!$J$2:$J$254,"&lt;&gt;未平倉"),0)</f>
        <v/>
      </c>
      <c r="J9" s="4">
        <f>SUMIFS(交易明細!$L$2:$L$254,交易明細!$B$2:$B$254,$A9,交易明細!$J$2:$J$254,"&lt;&gt;未平倉")</f>
        <v/>
      </c>
      <c r="K9" s="5">
        <f>IFERROR(AVERAGEIFS(交易明細!$K$2:$K$254,交易明細!$B$2:$B$254,$A9,交易明細!$J$2:$J$254,"&lt;&gt;未平倉"),0)</f>
        <v/>
      </c>
      <c r="L9" s="2">
        <f>COUNTIFS(交易明細!$B$2:$B$254,$A9,交易明細!$J$2:$J$254,"未平倉")</f>
        <v/>
      </c>
    </row>
    <row r="10">
      <c r="A10" s="2" t="inlineStr">
        <is>
          <t>HEMI_USDT_PERP</t>
        </is>
      </c>
      <c r="B10" s="2">
        <f>COUNTIFS(交易明細!$B$2:$B$254,$A10)</f>
        <v/>
      </c>
      <c r="C10" s="2">
        <f>COUNTIFS(交易明細!$B$2:$B$254,$A10,交易明細!$C$2:$C$254,"做多")</f>
        <v/>
      </c>
      <c r="D10" s="2">
        <f>COUNTIFS(交易明細!$B$2:$B$254,$A10,交易明細!$C$2:$C$254,"做空")</f>
        <v/>
      </c>
      <c r="E10" s="2">
        <f>F10+G10+COUNTIFS(交易明細!$B$2:$B$254,$A10,交易明細!$J$2:$J$254,"時間出場")</f>
        <v/>
      </c>
      <c r="F10" s="2">
        <f>COUNTIFS(交易明細!$B$2:$B$254,$A10,交易明細!$J$2:$J$254,"止盈")</f>
        <v/>
      </c>
      <c r="G10" s="2">
        <f>COUNTIFS(交易明細!$B$2:$B$254,$A10,交易明細!$J$2:$J$254,"止損")</f>
        <v/>
      </c>
      <c r="H10" s="4">
        <f>IFERROR(F10/E10,0)</f>
        <v/>
      </c>
      <c r="I10" s="4">
        <f>IFERROR(AVERAGEIFS(交易明細!$L$2:$L$254,交易明細!$B$2:$B$254,$A10,交易明細!$J$2:$J$254,"&lt;&gt;未平倉"),0)</f>
        <v/>
      </c>
      <c r="J10" s="4">
        <f>SUMIFS(交易明細!$L$2:$L$254,交易明細!$B$2:$B$254,$A10,交易明細!$J$2:$J$254,"&lt;&gt;未平倉")</f>
        <v/>
      </c>
      <c r="K10" s="5">
        <f>IFERROR(AVERAGEIFS(交易明細!$K$2:$K$254,交易明細!$B$2:$B$254,$A10,交易明細!$J$2:$J$254,"&lt;&gt;未平倉"),0)</f>
        <v/>
      </c>
      <c r="L10" s="2">
        <f>COUNTIFS(交易明細!$B$2:$B$254,$A10,交易明細!$J$2:$J$254,"未平倉")</f>
        <v/>
      </c>
    </row>
    <row r="11">
      <c r="A11" s="2" t="inlineStr">
        <is>
          <t>AKE_USDT_PERP</t>
        </is>
      </c>
      <c r="B11" s="2">
        <f>COUNTIFS(交易明細!$B$2:$B$254,$A11)</f>
        <v/>
      </c>
      <c r="C11" s="2">
        <f>COUNTIFS(交易明細!$B$2:$B$254,$A11,交易明細!$C$2:$C$254,"做多")</f>
        <v/>
      </c>
      <c r="D11" s="2">
        <f>COUNTIFS(交易明細!$B$2:$B$254,$A11,交易明細!$C$2:$C$254,"做空")</f>
        <v/>
      </c>
      <c r="E11" s="2">
        <f>F11+G11+COUNTIFS(交易明細!$B$2:$B$254,$A11,交易明細!$J$2:$J$254,"時間出場")</f>
        <v/>
      </c>
      <c r="F11" s="2">
        <f>COUNTIFS(交易明細!$B$2:$B$254,$A11,交易明細!$J$2:$J$254,"止盈")</f>
        <v/>
      </c>
      <c r="G11" s="2">
        <f>COUNTIFS(交易明細!$B$2:$B$254,$A11,交易明細!$J$2:$J$254,"止損")</f>
        <v/>
      </c>
      <c r="H11" s="4">
        <f>IFERROR(F11/E11,0)</f>
        <v/>
      </c>
      <c r="I11" s="4">
        <f>IFERROR(AVERAGEIFS(交易明細!$L$2:$L$254,交易明細!$B$2:$B$254,$A11,交易明細!$J$2:$J$254,"&lt;&gt;未平倉"),0)</f>
        <v/>
      </c>
      <c r="J11" s="4">
        <f>SUMIFS(交易明細!$L$2:$L$254,交易明細!$B$2:$B$254,$A11,交易明細!$J$2:$J$254,"&lt;&gt;未平倉")</f>
        <v/>
      </c>
      <c r="K11" s="5">
        <f>IFERROR(AVERAGEIFS(交易明細!$K$2:$K$254,交易明細!$B$2:$B$254,$A11,交易明細!$J$2:$J$254,"&lt;&gt;未平倉"),0)</f>
        <v/>
      </c>
      <c r="L11" s="2">
        <f>COUNTIFS(交易明細!$B$2:$B$254,$A11,交易明細!$J$2:$J$254,"未平倉")</f>
        <v/>
      </c>
    </row>
    <row r="12">
      <c r="A12" s="2" t="inlineStr">
        <is>
          <t>VVV_USDT_PERP</t>
        </is>
      </c>
      <c r="B12" s="2">
        <f>COUNTIFS(交易明細!$B$2:$B$254,$A12)</f>
        <v/>
      </c>
      <c r="C12" s="2">
        <f>COUNTIFS(交易明細!$B$2:$B$254,$A12,交易明細!$C$2:$C$254,"做多")</f>
        <v/>
      </c>
      <c r="D12" s="2">
        <f>COUNTIFS(交易明細!$B$2:$B$254,$A12,交易明細!$C$2:$C$254,"做空")</f>
        <v/>
      </c>
      <c r="E12" s="2">
        <f>F12+G12+COUNTIFS(交易明細!$B$2:$B$254,$A12,交易明細!$J$2:$J$254,"時間出場")</f>
        <v/>
      </c>
      <c r="F12" s="2">
        <f>COUNTIFS(交易明細!$B$2:$B$254,$A12,交易明細!$J$2:$J$254,"止盈")</f>
        <v/>
      </c>
      <c r="G12" s="2">
        <f>COUNTIFS(交易明細!$B$2:$B$254,$A12,交易明細!$J$2:$J$254,"止損")</f>
        <v/>
      </c>
      <c r="H12" s="4">
        <f>IFERROR(F12/E12,0)</f>
        <v/>
      </c>
      <c r="I12" s="4">
        <f>IFERROR(AVERAGEIFS(交易明細!$L$2:$L$254,交易明細!$B$2:$B$254,$A12,交易明細!$J$2:$J$254,"&lt;&gt;未平倉"),0)</f>
        <v/>
      </c>
      <c r="J12" s="4">
        <f>SUMIFS(交易明細!$L$2:$L$254,交易明細!$B$2:$B$254,$A12,交易明細!$J$2:$J$254,"&lt;&gt;未平倉")</f>
        <v/>
      </c>
      <c r="K12" s="5">
        <f>IFERROR(AVERAGEIFS(交易明細!$K$2:$K$254,交易明細!$B$2:$B$254,$A12,交易明細!$J$2:$J$254,"&lt;&gt;未平倉"),0)</f>
        <v/>
      </c>
      <c r="L12" s="2">
        <f>COUNTIFS(交易明細!$B$2:$B$254,$A12,交易明細!$J$2:$J$254,"未平倉")</f>
        <v/>
      </c>
    </row>
    <row r="13">
      <c r="A13" s="2" t="inlineStr">
        <is>
          <t>UNI_USDT_PERP</t>
        </is>
      </c>
      <c r="B13" s="2">
        <f>COUNTIFS(交易明細!$B$2:$B$254,$A13)</f>
        <v/>
      </c>
      <c r="C13" s="2">
        <f>COUNTIFS(交易明細!$B$2:$B$254,$A13,交易明細!$C$2:$C$254,"做多")</f>
        <v/>
      </c>
      <c r="D13" s="2">
        <f>COUNTIFS(交易明細!$B$2:$B$254,$A13,交易明細!$C$2:$C$254,"做空")</f>
        <v/>
      </c>
      <c r="E13" s="2">
        <f>F13+G13+COUNTIFS(交易明細!$B$2:$B$254,$A13,交易明細!$J$2:$J$254,"時間出場")</f>
        <v/>
      </c>
      <c r="F13" s="2">
        <f>COUNTIFS(交易明細!$B$2:$B$254,$A13,交易明細!$J$2:$J$254,"止盈")</f>
        <v/>
      </c>
      <c r="G13" s="2">
        <f>COUNTIFS(交易明細!$B$2:$B$254,$A13,交易明細!$J$2:$J$254,"止損")</f>
        <v/>
      </c>
      <c r="H13" s="4">
        <f>IFERROR(F13/E13,0)</f>
        <v/>
      </c>
      <c r="I13" s="4">
        <f>IFERROR(AVERAGEIFS(交易明細!$L$2:$L$254,交易明細!$B$2:$B$254,$A13,交易明細!$J$2:$J$254,"&lt;&gt;未平倉"),0)</f>
        <v/>
      </c>
      <c r="J13" s="4">
        <f>SUMIFS(交易明細!$L$2:$L$254,交易明細!$B$2:$B$254,$A13,交易明細!$J$2:$J$254,"&lt;&gt;未平倉")</f>
        <v/>
      </c>
      <c r="K13" s="5">
        <f>IFERROR(AVERAGEIFS(交易明細!$K$2:$K$254,交易明細!$B$2:$B$254,$A13,交易明細!$J$2:$J$254,"&lt;&gt;未平倉"),0)</f>
        <v/>
      </c>
      <c r="L13" s="2">
        <f>COUNTIFS(交易明細!$B$2:$B$254,$A13,交易明細!$J$2:$J$254,"未平倉")</f>
        <v/>
      </c>
    </row>
    <row r="14">
      <c r="A14" s="2" t="inlineStr">
        <is>
          <t>ARB_USDT_PERP</t>
        </is>
      </c>
      <c r="B14" s="2">
        <f>COUNTIFS(交易明細!$B$2:$B$254,$A14)</f>
        <v/>
      </c>
      <c r="C14" s="2">
        <f>COUNTIFS(交易明細!$B$2:$B$254,$A14,交易明細!$C$2:$C$254,"做多")</f>
        <v/>
      </c>
      <c r="D14" s="2">
        <f>COUNTIFS(交易明細!$B$2:$B$254,$A14,交易明細!$C$2:$C$254,"做空")</f>
        <v/>
      </c>
      <c r="E14" s="2">
        <f>F14+G14+COUNTIFS(交易明細!$B$2:$B$254,$A14,交易明細!$J$2:$J$254,"時間出場")</f>
        <v/>
      </c>
      <c r="F14" s="2">
        <f>COUNTIFS(交易明細!$B$2:$B$254,$A14,交易明細!$J$2:$J$254,"止盈")</f>
        <v/>
      </c>
      <c r="G14" s="2">
        <f>COUNTIFS(交易明細!$B$2:$B$254,$A14,交易明細!$J$2:$J$254,"止損")</f>
        <v/>
      </c>
      <c r="H14" s="4">
        <f>IFERROR(F14/E14,0)</f>
        <v/>
      </c>
      <c r="I14" s="4">
        <f>IFERROR(AVERAGEIFS(交易明細!$L$2:$L$254,交易明細!$B$2:$B$254,$A14,交易明細!$J$2:$J$254,"&lt;&gt;未平倉"),0)</f>
        <v/>
      </c>
      <c r="J14" s="4">
        <f>SUMIFS(交易明細!$L$2:$L$254,交易明細!$B$2:$B$254,$A14,交易明細!$J$2:$J$254,"&lt;&gt;未平倉")</f>
        <v/>
      </c>
      <c r="K14" s="5">
        <f>IFERROR(AVERAGEIFS(交易明細!$K$2:$K$254,交易明細!$B$2:$B$254,$A14,交易明細!$J$2:$J$254,"&lt;&gt;未平倉"),0)</f>
        <v/>
      </c>
      <c r="L14" s="2">
        <f>COUNTIFS(交易明細!$B$2:$B$254,$A14,交易明細!$J$2:$J$254,"未平倉")</f>
        <v/>
      </c>
    </row>
    <row r="15">
      <c r="A15" s="2" t="inlineStr">
        <is>
          <t>NEAR_USDT_PERP</t>
        </is>
      </c>
      <c r="B15" s="2">
        <f>COUNTIFS(交易明細!$B$2:$B$254,$A15)</f>
        <v/>
      </c>
      <c r="C15" s="2">
        <f>COUNTIFS(交易明細!$B$2:$B$254,$A15,交易明細!$C$2:$C$254,"做多")</f>
        <v/>
      </c>
      <c r="D15" s="2">
        <f>COUNTIFS(交易明細!$B$2:$B$254,$A15,交易明細!$C$2:$C$254,"做空")</f>
        <v/>
      </c>
      <c r="E15" s="2">
        <f>F15+G15+COUNTIFS(交易明細!$B$2:$B$254,$A15,交易明細!$J$2:$J$254,"時間出場")</f>
        <v/>
      </c>
      <c r="F15" s="2">
        <f>COUNTIFS(交易明細!$B$2:$B$254,$A15,交易明細!$J$2:$J$254,"止盈")</f>
        <v/>
      </c>
      <c r="G15" s="2">
        <f>COUNTIFS(交易明細!$B$2:$B$254,$A15,交易明細!$J$2:$J$254,"止損")</f>
        <v/>
      </c>
      <c r="H15" s="4">
        <f>IFERROR(F15/E15,0)</f>
        <v/>
      </c>
      <c r="I15" s="4">
        <f>IFERROR(AVERAGEIFS(交易明細!$L$2:$L$254,交易明細!$B$2:$B$254,$A15,交易明細!$J$2:$J$254,"&lt;&gt;未平倉"),0)</f>
        <v/>
      </c>
      <c r="J15" s="4">
        <f>SUMIFS(交易明細!$L$2:$L$254,交易明細!$B$2:$B$254,$A15,交易明細!$J$2:$J$254,"&lt;&gt;未平倉")</f>
        <v/>
      </c>
      <c r="K15" s="5">
        <f>IFERROR(AVERAGEIFS(交易明細!$K$2:$K$254,交易明細!$B$2:$B$254,$A15,交易明細!$J$2:$J$254,"&lt;&gt;未平倉"),0)</f>
        <v/>
      </c>
      <c r="L15" s="2">
        <f>COUNTIFS(交易明細!$B$2:$B$254,$A15,交易明細!$J$2:$J$254,"未平倉")</f>
        <v/>
      </c>
    </row>
    <row r="16">
      <c r="A16" s="2" t="inlineStr">
        <is>
          <t>RAY_USDT_PERP</t>
        </is>
      </c>
      <c r="B16" s="2">
        <f>COUNTIFS(交易明細!$B$2:$B$254,$A16)</f>
        <v/>
      </c>
      <c r="C16" s="2">
        <f>COUNTIFS(交易明細!$B$2:$B$254,$A16,交易明細!$C$2:$C$254,"做多")</f>
        <v/>
      </c>
      <c r="D16" s="2">
        <f>COUNTIFS(交易明細!$B$2:$B$254,$A16,交易明細!$C$2:$C$254,"做空")</f>
        <v/>
      </c>
      <c r="E16" s="2">
        <f>F16+G16+COUNTIFS(交易明細!$B$2:$B$254,$A16,交易明細!$J$2:$J$254,"時間出場")</f>
        <v/>
      </c>
      <c r="F16" s="2">
        <f>COUNTIFS(交易明細!$B$2:$B$254,$A16,交易明細!$J$2:$J$254,"止盈")</f>
        <v/>
      </c>
      <c r="G16" s="2">
        <f>COUNTIFS(交易明細!$B$2:$B$254,$A16,交易明細!$J$2:$J$254,"止損")</f>
        <v/>
      </c>
      <c r="H16" s="4">
        <f>IFERROR(F16/E16,0)</f>
        <v/>
      </c>
      <c r="I16" s="4">
        <f>IFERROR(AVERAGEIFS(交易明細!$L$2:$L$254,交易明細!$B$2:$B$254,$A16,交易明細!$J$2:$J$254,"&lt;&gt;未平倉"),0)</f>
        <v/>
      </c>
      <c r="J16" s="4">
        <f>SUMIFS(交易明細!$L$2:$L$254,交易明細!$B$2:$B$254,$A16,交易明細!$J$2:$J$254,"&lt;&gt;未平倉")</f>
        <v/>
      </c>
      <c r="K16" s="5">
        <f>IFERROR(AVERAGEIFS(交易明細!$K$2:$K$254,交易明細!$B$2:$B$254,$A16,交易明細!$J$2:$J$254,"&lt;&gt;未平倉"),0)</f>
        <v/>
      </c>
      <c r="L16" s="2">
        <f>COUNTIFS(交易明細!$B$2:$B$254,$A16,交易明細!$J$2:$J$254,"未平倉")</f>
        <v/>
      </c>
    </row>
    <row r="17">
      <c r="A17" s="2" t="inlineStr">
        <is>
          <t>DASH_USDT_PERP</t>
        </is>
      </c>
      <c r="B17" s="2">
        <f>COUNTIFS(交易明細!$B$2:$B$254,$A17)</f>
        <v/>
      </c>
      <c r="C17" s="2">
        <f>COUNTIFS(交易明細!$B$2:$B$254,$A17,交易明細!$C$2:$C$254,"做多")</f>
        <v/>
      </c>
      <c r="D17" s="2">
        <f>COUNTIFS(交易明細!$B$2:$B$254,$A17,交易明細!$C$2:$C$254,"做空")</f>
        <v/>
      </c>
      <c r="E17" s="2">
        <f>F17+G17+COUNTIFS(交易明細!$B$2:$B$254,$A17,交易明細!$J$2:$J$254,"時間出場")</f>
        <v/>
      </c>
      <c r="F17" s="2">
        <f>COUNTIFS(交易明細!$B$2:$B$254,$A17,交易明細!$J$2:$J$254,"止盈")</f>
        <v/>
      </c>
      <c r="G17" s="2">
        <f>COUNTIFS(交易明細!$B$2:$B$254,$A17,交易明細!$J$2:$J$254,"止損")</f>
        <v/>
      </c>
      <c r="H17" s="4">
        <f>IFERROR(F17/E17,0)</f>
        <v/>
      </c>
      <c r="I17" s="4">
        <f>IFERROR(AVERAGEIFS(交易明細!$L$2:$L$254,交易明細!$B$2:$B$254,$A17,交易明細!$J$2:$J$254,"&lt;&gt;未平倉"),0)</f>
        <v/>
      </c>
      <c r="J17" s="4">
        <f>SUMIFS(交易明細!$L$2:$L$254,交易明細!$B$2:$B$254,$A17,交易明細!$J$2:$J$254,"&lt;&gt;未平倉")</f>
        <v/>
      </c>
      <c r="K17" s="5">
        <f>IFERROR(AVERAGEIFS(交易明細!$K$2:$K$254,交易明細!$B$2:$B$254,$A17,交易明細!$J$2:$J$254,"&lt;&gt;未平倉"),0)</f>
        <v/>
      </c>
      <c r="L17" s="2">
        <f>COUNTIFS(交易明細!$B$2:$B$254,$A17,交易明細!$J$2:$J$254,"未平倉")</f>
        <v/>
      </c>
    </row>
    <row r="18">
      <c r="A18" s="2" t="inlineStr">
        <is>
          <t>SKR_USDT_PERP</t>
        </is>
      </c>
      <c r="B18" s="2">
        <f>COUNTIFS(交易明細!$B$2:$B$254,$A18)</f>
        <v/>
      </c>
      <c r="C18" s="2">
        <f>COUNTIFS(交易明細!$B$2:$B$254,$A18,交易明細!$C$2:$C$254,"做多")</f>
        <v/>
      </c>
      <c r="D18" s="2">
        <f>COUNTIFS(交易明細!$B$2:$B$254,$A18,交易明細!$C$2:$C$254,"做空")</f>
        <v/>
      </c>
      <c r="E18" s="2">
        <f>F18+G18+COUNTIFS(交易明細!$B$2:$B$254,$A18,交易明細!$J$2:$J$254,"時間出場")</f>
        <v/>
      </c>
      <c r="F18" s="2">
        <f>COUNTIFS(交易明細!$B$2:$B$254,$A18,交易明細!$J$2:$J$254,"止盈")</f>
        <v/>
      </c>
      <c r="G18" s="2">
        <f>COUNTIFS(交易明細!$B$2:$B$254,$A18,交易明細!$J$2:$J$254,"止損")</f>
        <v/>
      </c>
      <c r="H18" s="4">
        <f>IFERROR(F18/E18,0)</f>
        <v/>
      </c>
      <c r="I18" s="4">
        <f>IFERROR(AVERAGEIFS(交易明細!$L$2:$L$254,交易明細!$B$2:$B$254,$A18,交易明細!$J$2:$J$254,"&lt;&gt;未平倉"),0)</f>
        <v/>
      </c>
      <c r="J18" s="4">
        <f>SUMIFS(交易明細!$L$2:$L$254,交易明細!$B$2:$B$254,$A18,交易明細!$J$2:$J$254,"&lt;&gt;未平倉")</f>
        <v/>
      </c>
      <c r="K18" s="5">
        <f>IFERROR(AVERAGEIFS(交易明細!$K$2:$K$254,交易明細!$B$2:$B$254,$A18,交易明細!$J$2:$J$254,"&lt;&gt;未平倉"),0)</f>
        <v/>
      </c>
      <c r="L18" s="2">
        <f>COUNTIFS(交易明細!$B$2:$B$254,$A18,交易明細!$J$2:$J$254,"未平倉")</f>
        <v/>
      </c>
    </row>
    <row r="19">
      <c r="A19" s="2" t="inlineStr">
        <is>
          <t>ENA_USDT_PERP</t>
        </is>
      </c>
      <c r="B19" s="2">
        <f>COUNTIFS(交易明細!$B$2:$B$254,$A19)</f>
        <v/>
      </c>
      <c r="C19" s="2">
        <f>COUNTIFS(交易明細!$B$2:$B$254,$A19,交易明細!$C$2:$C$254,"做多")</f>
        <v/>
      </c>
      <c r="D19" s="2">
        <f>COUNTIFS(交易明細!$B$2:$B$254,$A19,交易明細!$C$2:$C$254,"做空")</f>
        <v/>
      </c>
      <c r="E19" s="2">
        <f>F19+G19+COUNTIFS(交易明細!$B$2:$B$254,$A19,交易明細!$J$2:$J$254,"時間出場")</f>
        <v/>
      </c>
      <c r="F19" s="2">
        <f>COUNTIFS(交易明細!$B$2:$B$254,$A19,交易明細!$J$2:$J$254,"止盈")</f>
        <v/>
      </c>
      <c r="G19" s="2">
        <f>COUNTIFS(交易明細!$B$2:$B$254,$A19,交易明細!$J$2:$J$254,"止損")</f>
        <v/>
      </c>
      <c r="H19" s="4">
        <f>IFERROR(F19/E19,0)</f>
        <v/>
      </c>
      <c r="I19" s="4">
        <f>IFERROR(AVERAGEIFS(交易明細!$L$2:$L$254,交易明細!$B$2:$B$254,$A19,交易明細!$J$2:$J$254,"&lt;&gt;未平倉"),0)</f>
        <v/>
      </c>
      <c r="J19" s="4">
        <f>SUMIFS(交易明細!$L$2:$L$254,交易明細!$B$2:$B$254,$A19,交易明細!$J$2:$J$254,"&lt;&gt;未平倉")</f>
        <v/>
      </c>
      <c r="K19" s="5">
        <f>IFERROR(AVERAGEIFS(交易明細!$K$2:$K$254,交易明細!$B$2:$B$254,$A19,交易明細!$J$2:$J$254,"&lt;&gt;未平倉"),0)</f>
        <v/>
      </c>
      <c r="L19" s="2">
        <f>COUNTIFS(交易明細!$B$2:$B$254,$A19,交易明細!$J$2:$J$254,"未平倉")</f>
        <v/>
      </c>
    </row>
    <row r="20">
      <c r="A20" s="2" t="inlineStr">
        <is>
          <t>IOST_USDT_PERP</t>
        </is>
      </c>
      <c r="B20" s="2">
        <f>COUNTIFS(交易明細!$B$2:$B$254,$A20)</f>
        <v/>
      </c>
      <c r="C20" s="2">
        <f>COUNTIFS(交易明細!$B$2:$B$254,$A20,交易明細!$C$2:$C$254,"做多")</f>
        <v/>
      </c>
      <c r="D20" s="2">
        <f>COUNTIFS(交易明細!$B$2:$B$254,$A20,交易明細!$C$2:$C$254,"做空")</f>
        <v/>
      </c>
      <c r="E20" s="2">
        <f>F20+G20+COUNTIFS(交易明細!$B$2:$B$254,$A20,交易明細!$J$2:$J$254,"時間出場")</f>
        <v/>
      </c>
      <c r="F20" s="2">
        <f>COUNTIFS(交易明細!$B$2:$B$254,$A20,交易明細!$J$2:$J$254,"止盈")</f>
        <v/>
      </c>
      <c r="G20" s="2">
        <f>COUNTIFS(交易明細!$B$2:$B$254,$A20,交易明細!$J$2:$J$254,"止損")</f>
        <v/>
      </c>
      <c r="H20" s="4">
        <f>IFERROR(F20/E20,0)</f>
        <v/>
      </c>
      <c r="I20" s="4">
        <f>IFERROR(AVERAGEIFS(交易明細!$L$2:$L$254,交易明細!$B$2:$B$254,$A20,交易明細!$J$2:$J$254,"&lt;&gt;未平倉"),0)</f>
        <v/>
      </c>
      <c r="J20" s="4">
        <f>SUMIFS(交易明細!$L$2:$L$254,交易明細!$B$2:$B$254,$A20,交易明細!$J$2:$J$254,"&lt;&gt;未平倉")</f>
        <v/>
      </c>
      <c r="K20" s="5">
        <f>IFERROR(AVERAGEIFS(交易明細!$K$2:$K$254,交易明細!$B$2:$B$254,$A20,交易明細!$J$2:$J$254,"&lt;&gt;未平倉"),0)</f>
        <v/>
      </c>
      <c r="L20" s="2">
        <f>COUNTIFS(交易明細!$B$2:$B$254,$A20,交易明細!$J$2:$J$254,"未平倉")</f>
        <v/>
      </c>
    </row>
    <row r="21">
      <c r="A21" s="2" t="inlineStr">
        <is>
          <t>LAB_USDT_PERP</t>
        </is>
      </c>
      <c r="B21" s="2">
        <f>COUNTIFS(交易明細!$B$2:$B$254,$A21)</f>
        <v/>
      </c>
      <c r="C21" s="2">
        <f>COUNTIFS(交易明細!$B$2:$B$254,$A21,交易明細!$C$2:$C$254,"做多")</f>
        <v/>
      </c>
      <c r="D21" s="2">
        <f>COUNTIFS(交易明細!$B$2:$B$254,$A21,交易明細!$C$2:$C$254,"做空")</f>
        <v/>
      </c>
      <c r="E21" s="2">
        <f>F21+G21+COUNTIFS(交易明細!$B$2:$B$254,$A21,交易明細!$J$2:$J$254,"時間出場")</f>
        <v/>
      </c>
      <c r="F21" s="2">
        <f>COUNTIFS(交易明細!$B$2:$B$254,$A21,交易明細!$J$2:$J$254,"止盈")</f>
        <v/>
      </c>
      <c r="G21" s="2">
        <f>COUNTIFS(交易明細!$B$2:$B$254,$A21,交易明細!$J$2:$J$254,"止損")</f>
        <v/>
      </c>
      <c r="H21" s="4">
        <f>IFERROR(F21/E21,0)</f>
        <v/>
      </c>
      <c r="I21" s="4">
        <f>IFERROR(AVERAGEIFS(交易明細!$L$2:$L$254,交易明細!$B$2:$B$254,$A21,交易明細!$J$2:$J$254,"&lt;&gt;未平倉"),0)</f>
        <v/>
      </c>
      <c r="J21" s="4">
        <f>SUMIFS(交易明細!$L$2:$L$254,交易明細!$B$2:$B$254,$A21,交易明細!$J$2:$J$254,"&lt;&gt;未平倉")</f>
        <v/>
      </c>
      <c r="K21" s="5">
        <f>IFERROR(AVERAGEIFS(交易明細!$K$2:$K$254,交易明細!$B$2:$B$254,$A21,交易明細!$J$2:$J$254,"&lt;&gt;未平倉"),0)</f>
        <v/>
      </c>
      <c r="L21" s="2">
        <f>COUNTIFS(交易明細!$B$2:$B$254,$A21,交易明細!$J$2:$J$254,"未平倉")</f>
        <v/>
      </c>
    </row>
    <row r="22">
      <c r="A22" s="2" t="inlineStr">
        <is>
          <t>BTR_USDT_PERP</t>
        </is>
      </c>
      <c r="B22" s="2">
        <f>COUNTIFS(交易明細!$B$2:$B$254,$A22)</f>
        <v/>
      </c>
      <c r="C22" s="2">
        <f>COUNTIFS(交易明細!$B$2:$B$254,$A22,交易明細!$C$2:$C$254,"做多")</f>
        <v/>
      </c>
      <c r="D22" s="2">
        <f>COUNTIFS(交易明細!$B$2:$B$254,$A22,交易明細!$C$2:$C$254,"做空")</f>
        <v/>
      </c>
      <c r="E22" s="2">
        <f>F22+G22+COUNTIFS(交易明細!$B$2:$B$254,$A22,交易明細!$J$2:$J$254,"時間出場")</f>
        <v/>
      </c>
      <c r="F22" s="2">
        <f>COUNTIFS(交易明細!$B$2:$B$254,$A22,交易明細!$J$2:$J$254,"止盈")</f>
        <v/>
      </c>
      <c r="G22" s="2">
        <f>COUNTIFS(交易明細!$B$2:$B$254,$A22,交易明細!$J$2:$J$254,"止損")</f>
        <v/>
      </c>
      <c r="H22" s="4">
        <f>IFERROR(F22/E22,0)</f>
        <v/>
      </c>
      <c r="I22" s="4">
        <f>IFERROR(AVERAGEIFS(交易明細!$L$2:$L$254,交易明細!$B$2:$B$254,$A22,交易明細!$J$2:$J$254,"&lt;&gt;未平倉"),0)</f>
        <v/>
      </c>
      <c r="J22" s="4">
        <f>SUMIFS(交易明細!$L$2:$L$254,交易明細!$B$2:$B$254,$A22,交易明細!$J$2:$J$254,"&lt;&gt;未平倉")</f>
        <v/>
      </c>
      <c r="K22" s="5">
        <f>IFERROR(AVERAGEIFS(交易明細!$K$2:$K$254,交易明細!$B$2:$B$254,$A22,交易明細!$J$2:$J$254,"&lt;&gt;未平倉"),0)</f>
        <v/>
      </c>
      <c r="L22" s="2">
        <f>COUNTIFS(交易明細!$B$2:$B$254,$A22,交易明細!$J$2:$J$254,"未平倉")</f>
        <v/>
      </c>
    </row>
    <row r="23">
      <c r="A23" s="2" t="inlineStr">
        <is>
          <t>XPL_USDT_PERP</t>
        </is>
      </c>
      <c r="B23" s="2">
        <f>COUNTIFS(交易明細!$B$2:$B$254,$A23)</f>
        <v/>
      </c>
      <c r="C23" s="2">
        <f>COUNTIFS(交易明細!$B$2:$B$254,$A23,交易明細!$C$2:$C$254,"做多")</f>
        <v/>
      </c>
      <c r="D23" s="2">
        <f>COUNTIFS(交易明細!$B$2:$B$254,$A23,交易明細!$C$2:$C$254,"做空")</f>
        <v/>
      </c>
      <c r="E23" s="2">
        <f>F23+G23+COUNTIFS(交易明細!$B$2:$B$254,$A23,交易明細!$J$2:$J$254,"時間出場")</f>
        <v/>
      </c>
      <c r="F23" s="2">
        <f>COUNTIFS(交易明細!$B$2:$B$254,$A23,交易明細!$J$2:$J$254,"止盈")</f>
        <v/>
      </c>
      <c r="G23" s="2">
        <f>COUNTIFS(交易明細!$B$2:$B$254,$A23,交易明細!$J$2:$J$254,"止損")</f>
        <v/>
      </c>
      <c r="H23" s="4">
        <f>IFERROR(F23/E23,0)</f>
        <v/>
      </c>
      <c r="I23" s="4">
        <f>IFERROR(AVERAGEIFS(交易明細!$L$2:$L$254,交易明細!$B$2:$B$254,$A23,交易明細!$J$2:$J$254,"&lt;&gt;未平倉"),0)</f>
        <v/>
      </c>
      <c r="J23" s="4">
        <f>SUMIFS(交易明細!$L$2:$L$254,交易明細!$B$2:$B$254,$A23,交易明細!$J$2:$J$254,"&lt;&gt;未平倉")</f>
        <v/>
      </c>
      <c r="K23" s="5">
        <f>IFERROR(AVERAGEIFS(交易明細!$K$2:$K$254,交易明細!$B$2:$B$254,$A23,交易明細!$J$2:$J$254,"&lt;&gt;未平倉"),0)</f>
        <v/>
      </c>
      <c r="L23" s="2">
        <f>COUNTIFS(交易明細!$B$2:$B$254,$A23,交易明細!$J$2:$J$254,"未平倉")</f>
        <v/>
      </c>
    </row>
    <row r="24">
      <c r="A24" s="2" t="inlineStr">
        <is>
          <t>ZEC_USDT_PERP</t>
        </is>
      </c>
      <c r="B24" s="2">
        <f>COUNTIFS(交易明細!$B$2:$B$254,$A24)</f>
        <v/>
      </c>
      <c r="C24" s="2">
        <f>COUNTIFS(交易明細!$B$2:$B$254,$A24,交易明細!$C$2:$C$254,"做多")</f>
        <v/>
      </c>
      <c r="D24" s="2">
        <f>COUNTIFS(交易明細!$B$2:$B$254,$A24,交易明細!$C$2:$C$254,"做空")</f>
        <v/>
      </c>
      <c r="E24" s="2">
        <f>F24+G24+COUNTIFS(交易明細!$B$2:$B$254,$A24,交易明細!$J$2:$J$254,"時間出場")</f>
        <v/>
      </c>
      <c r="F24" s="2">
        <f>COUNTIFS(交易明細!$B$2:$B$254,$A24,交易明細!$J$2:$J$254,"止盈")</f>
        <v/>
      </c>
      <c r="G24" s="2">
        <f>COUNTIFS(交易明細!$B$2:$B$254,$A24,交易明細!$J$2:$J$254,"止損")</f>
        <v/>
      </c>
      <c r="H24" s="4">
        <f>IFERROR(F24/E24,0)</f>
        <v/>
      </c>
      <c r="I24" s="4">
        <f>IFERROR(AVERAGEIFS(交易明細!$L$2:$L$254,交易明細!$B$2:$B$254,$A24,交易明細!$J$2:$J$254,"&lt;&gt;未平倉"),0)</f>
        <v/>
      </c>
      <c r="J24" s="4">
        <f>SUMIFS(交易明細!$L$2:$L$254,交易明細!$B$2:$B$254,$A24,交易明細!$J$2:$J$254,"&lt;&gt;未平倉")</f>
        <v/>
      </c>
      <c r="K24" s="5">
        <f>IFERROR(AVERAGEIFS(交易明細!$K$2:$K$254,交易明細!$B$2:$B$254,$A24,交易明細!$J$2:$J$254,"&lt;&gt;未平倉"),0)</f>
        <v/>
      </c>
      <c r="L24" s="2">
        <f>COUNTIFS(交易明細!$B$2:$B$254,$A24,交易明細!$J$2:$J$254,"未平倉")</f>
        <v/>
      </c>
    </row>
    <row r="25">
      <c r="A25" s="2" t="inlineStr">
        <is>
          <t>LSK_USDT_PERP</t>
        </is>
      </c>
      <c r="B25" s="2">
        <f>COUNTIFS(交易明細!$B$2:$B$254,$A25)</f>
        <v/>
      </c>
      <c r="C25" s="2">
        <f>COUNTIFS(交易明細!$B$2:$B$254,$A25,交易明細!$C$2:$C$254,"做多")</f>
        <v/>
      </c>
      <c r="D25" s="2">
        <f>COUNTIFS(交易明細!$B$2:$B$254,$A25,交易明細!$C$2:$C$254,"做空")</f>
        <v/>
      </c>
      <c r="E25" s="2">
        <f>F25+G25+COUNTIFS(交易明細!$B$2:$B$254,$A25,交易明細!$J$2:$J$254,"時間出場")</f>
        <v/>
      </c>
      <c r="F25" s="2">
        <f>COUNTIFS(交易明細!$B$2:$B$254,$A25,交易明細!$J$2:$J$254,"止盈")</f>
        <v/>
      </c>
      <c r="G25" s="2">
        <f>COUNTIFS(交易明細!$B$2:$B$254,$A25,交易明細!$J$2:$J$254,"止損")</f>
        <v/>
      </c>
      <c r="H25" s="4">
        <f>IFERROR(F25/E25,0)</f>
        <v/>
      </c>
      <c r="I25" s="4">
        <f>IFERROR(AVERAGEIFS(交易明細!$L$2:$L$254,交易明細!$B$2:$B$254,$A25,交易明細!$J$2:$J$254,"&lt;&gt;未平倉"),0)</f>
        <v/>
      </c>
      <c r="J25" s="4">
        <f>SUMIFS(交易明細!$L$2:$L$254,交易明細!$B$2:$B$254,$A25,交易明細!$J$2:$J$254,"&lt;&gt;未平倉")</f>
        <v/>
      </c>
      <c r="K25" s="5">
        <f>IFERROR(AVERAGEIFS(交易明細!$K$2:$K$254,交易明細!$B$2:$B$254,$A25,交易明細!$J$2:$J$254,"&lt;&gt;未平倉"),0)</f>
        <v/>
      </c>
      <c r="L25" s="2">
        <f>COUNTIFS(交易明細!$B$2:$B$254,$A25,交易明細!$J$2:$J$254,"未平倉")</f>
        <v/>
      </c>
    </row>
    <row r="26">
      <c r="A26" s="2" t="inlineStr">
        <is>
          <t>SKYAI_USDT_PERP</t>
        </is>
      </c>
      <c r="B26" s="2">
        <f>COUNTIFS(交易明細!$B$2:$B$254,$A26)</f>
        <v/>
      </c>
      <c r="C26" s="2">
        <f>COUNTIFS(交易明細!$B$2:$B$254,$A26,交易明細!$C$2:$C$254,"做多")</f>
        <v/>
      </c>
      <c r="D26" s="2">
        <f>COUNTIFS(交易明細!$B$2:$B$254,$A26,交易明細!$C$2:$C$254,"做空")</f>
        <v/>
      </c>
      <c r="E26" s="2">
        <f>F26+G26+COUNTIFS(交易明細!$B$2:$B$254,$A26,交易明細!$J$2:$J$254,"時間出場")</f>
        <v/>
      </c>
      <c r="F26" s="2">
        <f>COUNTIFS(交易明細!$B$2:$B$254,$A26,交易明細!$J$2:$J$254,"止盈")</f>
        <v/>
      </c>
      <c r="G26" s="2">
        <f>COUNTIFS(交易明細!$B$2:$B$254,$A26,交易明細!$J$2:$J$254,"止損")</f>
        <v/>
      </c>
      <c r="H26" s="4">
        <f>IFERROR(F26/E26,0)</f>
        <v/>
      </c>
      <c r="I26" s="4">
        <f>IFERROR(AVERAGEIFS(交易明細!$L$2:$L$254,交易明細!$B$2:$B$254,$A26,交易明細!$J$2:$J$254,"&lt;&gt;未平倉"),0)</f>
        <v/>
      </c>
      <c r="J26" s="4">
        <f>SUMIFS(交易明細!$L$2:$L$254,交易明細!$B$2:$B$254,$A26,交易明細!$J$2:$J$254,"&lt;&gt;未平倉")</f>
        <v/>
      </c>
      <c r="K26" s="5">
        <f>IFERROR(AVERAGEIFS(交易明細!$K$2:$K$254,交易明細!$B$2:$B$254,$A26,交易明細!$J$2:$J$254,"&lt;&gt;未平倉"),0)</f>
        <v/>
      </c>
      <c r="L26" s="2">
        <f>COUNTIFS(交易明細!$B$2:$B$254,$A26,交易明細!$J$2:$J$254,"未平倉")</f>
        <v/>
      </c>
    </row>
    <row r="27">
      <c r="A27" s="2" t="inlineStr">
        <is>
          <t>ACE_USDT_PERP</t>
        </is>
      </c>
      <c r="B27" s="2">
        <f>COUNTIFS(交易明細!$B$2:$B$254,$A27)</f>
        <v/>
      </c>
      <c r="C27" s="2">
        <f>COUNTIFS(交易明細!$B$2:$B$254,$A27,交易明細!$C$2:$C$254,"做多")</f>
        <v/>
      </c>
      <c r="D27" s="2">
        <f>COUNTIFS(交易明細!$B$2:$B$254,$A27,交易明細!$C$2:$C$254,"做空")</f>
        <v/>
      </c>
      <c r="E27" s="2">
        <f>F27+G27+COUNTIFS(交易明細!$B$2:$B$254,$A27,交易明細!$J$2:$J$254,"時間出場")</f>
        <v/>
      </c>
      <c r="F27" s="2">
        <f>COUNTIFS(交易明細!$B$2:$B$254,$A27,交易明細!$J$2:$J$254,"止盈")</f>
        <v/>
      </c>
      <c r="G27" s="2">
        <f>COUNTIFS(交易明細!$B$2:$B$254,$A27,交易明細!$J$2:$J$254,"止損")</f>
        <v/>
      </c>
      <c r="H27" s="4">
        <f>IFERROR(F27/E27,0)</f>
        <v/>
      </c>
      <c r="I27" s="4">
        <f>IFERROR(AVERAGEIFS(交易明細!$L$2:$L$254,交易明細!$B$2:$B$254,$A27,交易明細!$J$2:$J$254,"&lt;&gt;未平倉"),0)</f>
        <v/>
      </c>
      <c r="J27" s="4">
        <f>SUMIFS(交易明細!$L$2:$L$254,交易明細!$B$2:$B$254,$A27,交易明細!$J$2:$J$254,"&lt;&gt;未平倉")</f>
        <v/>
      </c>
      <c r="K27" s="5">
        <f>IFERROR(AVERAGEIFS(交易明細!$K$2:$K$254,交易明細!$B$2:$B$254,$A27,交易明細!$J$2:$J$254,"&lt;&gt;未平倉"),0)</f>
        <v/>
      </c>
      <c r="L27" s="2">
        <f>COUNTIFS(交易明細!$B$2:$B$254,$A27,交易明細!$J$2:$J$254,"未平倉")</f>
        <v/>
      </c>
    </row>
    <row r="28">
      <c r="A28" s="2" t="inlineStr">
        <is>
          <t>EDGE_USDT_PERP</t>
        </is>
      </c>
      <c r="B28" s="2">
        <f>COUNTIFS(交易明細!$B$2:$B$254,$A28)</f>
        <v/>
      </c>
      <c r="C28" s="2">
        <f>COUNTIFS(交易明細!$B$2:$B$254,$A28,交易明細!$C$2:$C$254,"做多")</f>
        <v/>
      </c>
      <c r="D28" s="2">
        <f>COUNTIFS(交易明細!$B$2:$B$254,$A28,交易明細!$C$2:$C$254,"做空")</f>
        <v/>
      </c>
      <c r="E28" s="2">
        <f>F28+G28+COUNTIFS(交易明細!$B$2:$B$254,$A28,交易明細!$J$2:$J$254,"時間出場")</f>
        <v/>
      </c>
      <c r="F28" s="2">
        <f>COUNTIFS(交易明細!$B$2:$B$254,$A28,交易明細!$J$2:$J$254,"止盈")</f>
        <v/>
      </c>
      <c r="G28" s="2">
        <f>COUNTIFS(交易明細!$B$2:$B$254,$A28,交易明細!$J$2:$J$254,"止損")</f>
        <v/>
      </c>
      <c r="H28" s="4">
        <f>IFERROR(F28/E28,0)</f>
        <v/>
      </c>
      <c r="I28" s="4">
        <f>IFERROR(AVERAGEIFS(交易明細!$L$2:$L$254,交易明細!$B$2:$B$254,$A28,交易明細!$J$2:$J$254,"&lt;&gt;未平倉"),0)</f>
        <v/>
      </c>
      <c r="J28" s="4">
        <f>SUMIFS(交易明細!$L$2:$L$254,交易明細!$B$2:$B$254,$A28,交易明細!$J$2:$J$254,"&lt;&gt;未平倉")</f>
        <v/>
      </c>
      <c r="K28" s="5">
        <f>IFERROR(AVERAGEIFS(交易明細!$K$2:$K$254,交易明細!$B$2:$B$254,$A28,交易明細!$J$2:$J$254,"&lt;&gt;未平倉"),0)</f>
        <v/>
      </c>
      <c r="L28" s="2">
        <f>COUNTIFS(交易明細!$B$2:$B$254,$A28,交易明細!$J$2:$J$254,"未平倉")</f>
        <v/>
      </c>
    </row>
    <row r="29">
      <c r="A29" s="2" t="inlineStr">
        <is>
          <t>4_USDT_PERP</t>
        </is>
      </c>
      <c r="B29" s="2">
        <f>COUNTIFS(交易明細!$B$2:$B$254,$A29)</f>
        <v/>
      </c>
      <c r="C29" s="2">
        <f>COUNTIFS(交易明細!$B$2:$B$254,$A29,交易明細!$C$2:$C$254,"做多")</f>
        <v/>
      </c>
      <c r="D29" s="2">
        <f>COUNTIFS(交易明細!$B$2:$B$254,$A29,交易明細!$C$2:$C$254,"做空")</f>
        <v/>
      </c>
      <c r="E29" s="2">
        <f>F29+G29+COUNTIFS(交易明細!$B$2:$B$254,$A29,交易明細!$J$2:$J$254,"時間出場")</f>
        <v/>
      </c>
      <c r="F29" s="2">
        <f>COUNTIFS(交易明細!$B$2:$B$254,$A29,交易明細!$J$2:$J$254,"止盈")</f>
        <v/>
      </c>
      <c r="G29" s="2">
        <f>COUNTIFS(交易明細!$B$2:$B$254,$A29,交易明細!$J$2:$J$254,"止損")</f>
        <v/>
      </c>
      <c r="H29" s="4">
        <f>IFERROR(F29/E29,0)</f>
        <v/>
      </c>
      <c r="I29" s="4">
        <f>IFERROR(AVERAGEIFS(交易明細!$L$2:$L$254,交易明細!$B$2:$B$254,$A29,交易明細!$J$2:$J$254,"&lt;&gt;未平倉"),0)</f>
        <v/>
      </c>
      <c r="J29" s="4">
        <f>SUMIFS(交易明細!$L$2:$L$254,交易明細!$B$2:$B$254,$A29,交易明細!$J$2:$J$254,"&lt;&gt;未平倉")</f>
        <v/>
      </c>
      <c r="K29" s="5">
        <f>IFERROR(AVERAGEIFS(交易明細!$K$2:$K$254,交易明細!$B$2:$B$254,$A29,交易明細!$J$2:$J$254,"&lt;&gt;未平倉"),0)</f>
        <v/>
      </c>
      <c r="L29" s="2">
        <f>COUNTIFS(交易明細!$B$2:$B$254,$A29,交易明細!$J$2:$J$254,"未平倉")</f>
        <v/>
      </c>
    </row>
    <row r="30">
      <c r="A30" s="2" t="inlineStr">
        <is>
          <t>ZEN_USDT_PERP</t>
        </is>
      </c>
      <c r="B30" s="2">
        <f>COUNTIFS(交易明細!$B$2:$B$254,$A30)</f>
        <v/>
      </c>
      <c r="C30" s="2">
        <f>COUNTIFS(交易明細!$B$2:$B$254,$A30,交易明細!$C$2:$C$254,"做多")</f>
        <v/>
      </c>
      <c r="D30" s="2">
        <f>COUNTIFS(交易明細!$B$2:$B$254,$A30,交易明細!$C$2:$C$254,"做空")</f>
        <v/>
      </c>
      <c r="E30" s="2">
        <f>F30+G30+COUNTIFS(交易明細!$B$2:$B$254,$A30,交易明細!$J$2:$J$254,"時間出場")</f>
        <v/>
      </c>
      <c r="F30" s="2">
        <f>COUNTIFS(交易明細!$B$2:$B$254,$A30,交易明細!$J$2:$J$254,"止盈")</f>
        <v/>
      </c>
      <c r="G30" s="2">
        <f>COUNTIFS(交易明細!$B$2:$B$254,$A30,交易明細!$J$2:$J$254,"止損")</f>
        <v/>
      </c>
      <c r="H30" s="4">
        <f>IFERROR(F30/E30,0)</f>
        <v/>
      </c>
      <c r="I30" s="4">
        <f>IFERROR(AVERAGEIFS(交易明細!$L$2:$L$254,交易明細!$B$2:$B$254,$A30,交易明細!$J$2:$J$254,"&lt;&gt;未平倉"),0)</f>
        <v/>
      </c>
      <c r="J30" s="4">
        <f>SUMIFS(交易明細!$L$2:$L$254,交易明細!$B$2:$B$254,$A30,交易明細!$J$2:$J$254,"&lt;&gt;未平倉")</f>
        <v/>
      </c>
      <c r="K30" s="5">
        <f>IFERROR(AVERAGEIFS(交易明細!$K$2:$K$254,交易明細!$B$2:$B$254,$A30,交易明細!$J$2:$J$254,"&lt;&gt;未平倉"),0)</f>
        <v/>
      </c>
      <c r="L30" s="2">
        <f>COUNTIFS(交易明細!$B$2:$B$254,$A30,交易明細!$J$2:$J$254,"未平倉")</f>
        <v/>
      </c>
    </row>
    <row r="31">
      <c r="A31" s="2" t="inlineStr">
        <is>
          <t>WLD_USDT_PERP</t>
        </is>
      </c>
      <c r="B31" s="2">
        <f>COUNTIFS(交易明細!$B$2:$B$254,$A31)</f>
        <v/>
      </c>
      <c r="C31" s="2">
        <f>COUNTIFS(交易明細!$B$2:$B$254,$A31,交易明細!$C$2:$C$254,"做多")</f>
        <v/>
      </c>
      <c r="D31" s="2">
        <f>COUNTIFS(交易明細!$B$2:$B$254,$A31,交易明細!$C$2:$C$254,"做空")</f>
        <v/>
      </c>
      <c r="E31" s="2">
        <f>F31+G31+COUNTIFS(交易明細!$B$2:$B$254,$A31,交易明細!$J$2:$J$254,"時間出場")</f>
        <v/>
      </c>
      <c r="F31" s="2">
        <f>COUNTIFS(交易明細!$B$2:$B$254,$A31,交易明細!$J$2:$J$254,"止盈")</f>
        <v/>
      </c>
      <c r="G31" s="2">
        <f>COUNTIFS(交易明細!$B$2:$B$254,$A31,交易明細!$J$2:$J$254,"止損")</f>
        <v/>
      </c>
      <c r="H31" s="4">
        <f>IFERROR(F31/E31,0)</f>
        <v/>
      </c>
      <c r="I31" s="4">
        <f>IFERROR(AVERAGEIFS(交易明細!$L$2:$L$254,交易明細!$B$2:$B$254,$A31,交易明細!$J$2:$J$254,"&lt;&gt;未平倉"),0)</f>
        <v/>
      </c>
      <c r="J31" s="4">
        <f>SUMIFS(交易明細!$L$2:$L$254,交易明細!$B$2:$B$254,$A31,交易明細!$J$2:$J$254,"&lt;&gt;未平倉")</f>
        <v/>
      </c>
      <c r="K31" s="5">
        <f>IFERROR(AVERAGEIFS(交易明細!$K$2:$K$254,交易明細!$B$2:$B$254,$A31,交易明細!$J$2:$J$254,"&lt;&gt;未平倉"),0)</f>
        <v/>
      </c>
      <c r="L31" s="2">
        <f>COUNTIFS(交易明細!$B$2:$B$254,$A31,交易明細!$J$2:$J$254,"未平倉")</f>
        <v/>
      </c>
    </row>
    <row r="32">
      <c r="A32" s="2" t="inlineStr">
        <is>
          <t>AERO_USDT_PERP</t>
        </is>
      </c>
      <c r="B32" s="2">
        <f>COUNTIFS(交易明細!$B$2:$B$254,$A32)</f>
        <v/>
      </c>
      <c r="C32" s="2">
        <f>COUNTIFS(交易明細!$B$2:$B$254,$A32,交易明細!$C$2:$C$254,"做多")</f>
        <v/>
      </c>
      <c r="D32" s="2">
        <f>COUNTIFS(交易明細!$B$2:$B$254,$A32,交易明細!$C$2:$C$254,"做空")</f>
        <v/>
      </c>
      <c r="E32" s="2">
        <f>F32+G32+COUNTIFS(交易明細!$B$2:$B$254,$A32,交易明細!$J$2:$J$254,"時間出場")</f>
        <v/>
      </c>
      <c r="F32" s="2">
        <f>COUNTIFS(交易明細!$B$2:$B$254,$A32,交易明細!$J$2:$J$254,"止盈")</f>
        <v/>
      </c>
      <c r="G32" s="2">
        <f>COUNTIFS(交易明細!$B$2:$B$254,$A32,交易明細!$J$2:$J$254,"止損")</f>
        <v/>
      </c>
      <c r="H32" s="4">
        <f>IFERROR(F32/E32,0)</f>
        <v/>
      </c>
      <c r="I32" s="4">
        <f>IFERROR(AVERAGEIFS(交易明細!$L$2:$L$254,交易明細!$B$2:$B$254,$A32,交易明細!$J$2:$J$254,"&lt;&gt;未平倉"),0)</f>
        <v/>
      </c>
      <c r="J32" s="4">
        <f>SUMIFS(交易明細!$L$2:$L$254,交易明細!$B$2:$B$254,$A32,交易明細!$J$2:$J$254,"&lt;&gt;未平倉")</f>
        <v/>
      </c>
      <c r="K32" s="5">
        <f>IFERROR(AVERAGEIFS(交易明細!$K$2:$K$254,交易明細!$B$2:$B$254,$A32,交易明細!$J$2:$J$254,"&lt;&gt;未平倉"),0)</f>
        <v/>
      </c>
      <c r="L32" s="2">
        <f>COUNTIFS(交易明細!$B$2:$B$254,$A32,交易明細!$J$2:$J$254,"未平倉")</f>
        <v/>
      </c>
    </row>
    <row r="33">
      <c r="A33" s="2" t="inlineStr">
        <is>
          <t>DOT_USDT_PERP</t>
        </is>
      </c>
      <c r="B33" s="2">
        <f>COUNTIFS(交易明細!$B$2:$B$254,$A33)</f>
        <v/>
      </c>
      <c r="C33" s="2">
        <f>COUNTIFS(交易明細!$B$2:$B$254,$A33,交易明細!$C$2:$C$254,"做多")</f>
        <v/>
      </c>
      <c r="D33" s="2">
        <f>COUNTIFS(交易明細!$B$2:$B$254,$A33,交易明細!$C$2:$C$254,"做空")</f>
        <v/>
      </c>
      <c r="E33" s="2">
        <f>F33+G33+COUNTIFS(交易明細!$B$2:$B$254,$A33,交易明細!$J$2:$J$254,"時間出場")</f>
        <v/>
      </c>
      <c r="F33" s="2">
        <f>COUNTIFS(交易明細!$B$2:$B$254,$A33,交易明細!$J$2:$J$254,"止盈")</f>
        <v/>
      </c>
      <c r="G33" s="2">
        <f>COUNTIFS(交易明細!$B$2:$B$254,$A33,交易明細!$J$2:$J$254,"止損")</f>
        <v/>
      </c>
      <c r="H33" s="4">
        <f>IFERROR(F33/E33,0)</f>
        <v/>
      </c>
      <c r="I33" s="4">
        <f>IFERROR(AVERAGEIFS(交易明細!$L$2:$L$254,交易明細!$B$2:$B$254,$A33,交易明細!$J$2:$J$254,"&lt;&gt;未平倉"),0)</f>
        <v/>
      </c>
      <c r="J33" s="4">
        <f>SUMIFS(交易明細!$L$2:$L$254,交易明細!$B$2:$B$254,$A33,交易明細!$J$2:$J$254,"&lt;&gt;未平倉")</f>
        <v/>
      </c>
      <c r="K33" s="5">
        <f>IFERROR(AVERAGEIFS(交易明細!$K$2:$K$254,交易明細!$B$2:$B$254,$A33,交易明細!$J$2:$J$254,"&lt;&gt;未平倉"),0)</f>
        <v/>
      </c>
      <c r="L33" s="2">
        <f>COUNTIFS(交易明細!$B$2:$B$254,$A33,交易明細!$J$2:$J$254,"未平倉")</f>
        <v/>
      </c>
    </row>
    <row r="34">
      <c r="A34" s="2" t="inlineStr">
        <is>
          <t>RIVER_USDT_PERP</t>
        </is>
      </c>
      <c r="B34" s="2">
        <f>COUNTIFS(交易明細!$B$2:$B$254,$A34)</f>
        <v/>
      </c>
      <c r="C34" s="2">
        <f>COUNTIFS(交易明細!$B$2:$B$254,$A34,交易明細!$C$2:$C$254,"做多")</f>
        <v/>
      </c>
      <c r="D34" s="2">
        <f>COUNTIFS(交易明細!$B$2:$B$254,$A34,交易明細!$C$2:$C$254,"做空")</f>
        <v/>
      </c>
      <c r="E34" s="2">
        <f>F34+G34+COUNTIFS(交易明細!$B$2:$B$254,$A34,交易明細!$J$2:$J$254,"時間出場")</f>
        <v/>
      </c>
      <c r="F34" s="2">
        <f>COUNTIFS(交易明細!$B$2:$B$254,$A34,交易明細!$J$2:$J$254,"止盈")</f>
        <v/>
      </c>
      <c r="G34" s="2">
        <f>COUNTIFS(交易明細!$B$2:$B$254,$A34,交易明細!$J$2:$J$254,"止損")</f>
        <v/>
      </c>
      <c r="H34" s="4">
        <f>IFERROR(F34/E34,0)</f>
        <v/>
      </c>
      <c r="I34" s="4">
        <f>IFERROR(AVERAGEIFS(交易明細!$L$2:$L$254,交易明細!$B$2:$B$254,$A34,交易明細!$J$2:$J$254,"&lt;&gt;未平倉"),0)</f>
        <v/>
      </c>
      <c r="J34" s="4">
        <f>SUMIFS(交易明細!$L$2:$L$254,交易明細!$B$2:$B$254,$A34,交易明細!$J$2:$J$254,"&lt;&gt;未平倉")</f>
        <v/>
      </c>
      <c r="K34" s="5">
        <f>IFERROR(AVERAGEIFS(交易明細!$K$2:$K$254,交易明細!$B$2:$B$254,$A34,交易明細!$J$2:$J$254,"&lt;&gt;未平倉"),0)</f>
        <v/>
      </c>
      <c r="L34" s="2">
        <f>COUNTIFS(交易明細!$B$2:$B$254,$A34,交易明細!$J$2:$J$254,"未平倉")</f>
        <v/>
      </c>
    </row>
    <row r="35">
      <c r="A35" s="2" t="inlineStr">
        <is>
          <t>FIL_USDT_PERP</t>
        </is>
      </c>
      <c r="B35" s="2">
        <f>COUNTIFS(交易明細!$B$2:$B$254,$A35)</f>
        <v/>
      </c>
      <c r="C35" s="2">
        <f>COUNTIFS(交易明細!$B$2:$B$254,$A35,交易明細!$C$2:$C$254,"做多")</f>
        <v/>
      </c>
      <c r="D35" s="2">
        <f>COUNTIFS(交易明細!$B$2:$B$254,$A35,交易明細!$C$2:$C$254,"做空")</f>
        <v/>
      </c>
      <c r="E35" s="2">
        <f>F35+G35+COUNTIFS(交易明細!$B$2:$B$254,$A35,交易明細!$J$2:$J$254,"時間出場")</f>
        <v/>
      </c>
      <c r="F35" s="2">
        <f>COUNTIFS(交易明細!$B$2:$B$254,$A35,交易明細!$J$2:$J$254,"止盈")</f>
        <v/>
      </c>
      <c r="G35" s="2">
        <f>COUNTIFS(交易明細!$B$2:$B$254,$A35,交易明細!$J$2:$J$254,"止損")</f>
        <v/>
      </c>
      <c r="H35" s="4">
        <f>IFERROR(F35/E35,0)</f>
        <v/>
      </c>
      <c r="I35" s="4">
        <f>IFERROR(AVERAGEIFS(交易明細!$L$2:$L$254,交易明細!$B$2:$B$254,$A35,交易明細!$J$2:$J$254,"&lt;&gt;未平倉"),0)</f>
        <v/>
      </c>
      <c r="J35" s="4">
        <f>SUMIFS(交易明細!$L$2:$L$254,交易明細!$B$2:$B$254,$A35,交易明細!$J$2:$J$254,"&lt;&gt;未平倉")</f>
        <v/>
      </c>
      <c r="K35" s="5">
        <f>IFERROR(AVERAGEIFS(交易明細!$K$2:$K$254,交易明細!$B$2:$B$254,$A35,交易明細!$J$2:$J$254,"&lt;&gt;未平倉"),0)</f>
        <v/>
      </c>
      <c r="L35" s="2">
        <f>COUNTIFS(交易明細!$B$2:$B$254,$A35,交易明細!$J$2:$J$254,"未平倉")</f>
        <v/>
      </c>
    </row>
    <row r="36">
      <c r="A36" s="2" t="inlineStr">
        <is>
          <t>POWER_USDT_PERP</t>
        </is>
      </c>
      <c r="B36" s="2">
        <f>COUNTIFS(交易明細!$B$2:$B$254,$A36)</f>
        <v/>
      </c>
      <c r="C36" s="2">
        <f>COUNTIFS(交易明細!$B$2:$B$254,$A36,交易明細!$C$2:$C$254,"做多")</f>
        <v/>
      </c>
      <c r="D36" s="2">
        <f>COUNTIFS(交易明細!$B$2:$B$254,$A36,交易明細!$C$2:$C$254,"做空")</f>
        <v/>
      </c>
      <c r="E36" s="2">
        <f>F36+G36+COUNTIFS(交易明細!$B$2:$B$254,$A36,交易明細!$J$2:$J$254,"時間出場")</f>
        <v/>
      </c>
      <c r="F36" s="2">
        <f>COUNTIFS(交易明細!$B$2:$B$254,$A36,交易明細!$J$2:$J$254,"止盈")</f>
        <v/>
      </c>
      <c r="G36" s="2">
        <f>COUNTIFS(交易明細!$B$2:$B$254,$A36,交易明細!$J$2:$J$254,"止損")</f>
        <v/>
      </c>
      <c r="H36" s="4">
        <f>IFERROR(F36/E36,0)</f>
        <v/>
      </c>
      <c r="I36" s="4">
        <f>IFERROR(AVERAGEIFS(交易明細!$L$2:$L$254,交易明細!$B$2:$B$254,$A36,交易明細!$J$2:$J$254,"&lt;&gt;未平倉"),0)</f>
        <v/>
      </c>
      <c r="J36" s="4">
        <f>SUMIFS(交易明細!$L$2:$L$254,交易明細!$B$2:$B$254,$A36,交易明細!$J$2:$J$254,"&lt;&gt;未平倉")</f>
        <v/>
      </c>
      <c r="K36" s="5">
        <f>IFERROR(AVERAGEIFS(交易明細!$K$2:$K$254,交易明細!$B$2:$B$254,$A36,交易明細!$J$2:$J$254,"&lt;&gt;未平倉"),0)</f>
        <v/>
      </c>
      <c r="L36" s="2">
        <f>COUNTIFS(交易明細!$B$2:$B$254,$A36,交易明細!$J$2:$J$254,"未平倉")</f>
        <v/>
      </c>
    </row>
    <row r="37">
      <c r="A37" s="2" t="inlineStr">
        <is>
          <t>XMR_USDT_PERP</t>
        </is>
      </c>
      <c r="B37" s="2">
        <f>COUNTIFS(交易明細!$B$2:$B$254,$A37)</f>
        <v/>
      </c>
      <c r="C37" s="2">
        <f>COUNTIFS(交易明細!$B$2:$B$254,$A37,交易明細!$C$2:$C$254,"做多")</f>
        <v/>
      </c>
      <c r="D37" s="2">
        <f>COUNTIFS(交易明細!$B$2:$B$254,$A37,交易明細!$C$2:$C$254,"做空")</f>
        <v/>
      </c>
      <c r="E37" s="2">
        <f>F37+G37+COUNTIFS(交易明細!$B$2:$B$254,$A37,交易明細!$J$2:$J$254,"時間出場")</f>
        <v/>
      </c>
      <c r="F37" s="2">
        <f>COUNTIFS(交易明細!$B$2:$B$254,$A37,交易明細!$J$2:$J$254,"止盈")</f>
        <v/>
      </c>
      <c r="G37" s="2">
        <f>COUNTIFS(交易明細!$B$2:$B$254,$A37,交易明細!$J$2:$J$254,"止損")</f>
        <v/>
      </c>
      <c r="H37" s="4">
        <f>IFERROR(F37/E37,0)</f>
        <v/>
      </c>
      <c r="I37" s="4">
        <f>IFERROR(AVERAGEIFS(交易明細!$L$2:$L$254,交易明細!$B$2:$B$254,$A37,交易明細!$J$2:$J$254,"&lt;&gt;未平倉"),0)</f>
        <v/>
      </c>
      <c r="J37" s="4">
        <f>SUMIFS(交易明細!$L$2:$L$254,交易明細!$B$2:$B$254,$A37,交易明細!$J$2:$J$254,"&lt;&gt;未平倉")</f>
        <v/>
      </c>
      <c r="K37" s="5">
        <f>IFERROR(AVERAGEIFS(交易明細!$K$2:$K$254,交易明細!$B$2:$B$254,$A37,交易明細!$J$2:$J$254,"&lt;&gt;未平倉"),0)</f>
        <v/>
      </c>
      <c r="L37" s="2">
        <f>COUNTIFS(交易明細!$B$2:$B$254,$A37,交易明細!$J$2:$J$254,"未平倉")</f>
        <v/>
      </c>
    </row>
    <row r="38">
      <c r="A38" s="2" t="inlineStr">
        <is>
          <t>CRV_USDT_PERP</t>
        </is>
      </c>
      <c r="B38" s="2">
        <f>COUNTIFS(交易明細!$B$2:$B$254,$A38)</f>
        <v/>
      </c>
      <c r="C38" s="2">
        <f>COUNTIFS(交易明細!$B$2:$B$254,$A38,交易明細!$C$2:$C$254,"做多")</f>
        <v/>
      </c>
      <c r="D38" s="2">
        <f>COUNTIFS(交易明細!$B$2:$B$254,$A38,交易明細!$C$2:$C$254,"做空")</f>
        <v/>
      </c>
      <c r="E38" s="2">
        <f>F38+G38+COUNTIFS(交易明細!$B$2:$B$254,$A38,交易明細!$J$2:$J$254,"時間出場")</f>
        <v/>
      </c>
      <c r="F38" s="2">
        <f>COUNTIFS(交易明細!$B$2:$B$254,$A38,交易明細!$J$2:$J$254,"止盈")</f>
        <v/>
      </c>
      <c r="G38" s="2">
        <f>COUNTIFS(交易明細!$B$2:$B$254,$A38,交易明細!$J$2:$J$254,"止損")</f>
        <v/>
      </c>
      <c r="H38" s="4">
        <f>IFERROR(F38/E38,0)</f>
        <v/>
      </c>
      <c r="I38" s="4">
        <f>IFERROR(AVERAGEIFS(交易明細!$L$2:$L$254,交易明細!$B$2:$B$254,$A38,交易明細!$J$2:$J$254,"&lt;&gt;未平倉"),0)</f>
        <v/>
      </c>
      <c r="J38" s="4">
        <f>SUMIFS(交易明細!$L$2:$L$254,交易明細!$B$2:$B$254,$A38,交易明細!$J$2:$J$254,"&lt;&gt;未平倉")</f>
        <v/>
      </c>
      <c r="K38" s="5">
        <f>IFERROR(AVERAGEIFS(交易明細!$K$2:$K$254,交易明細!$B$2:$B$254,$A38,交易明細!$J$2:$J$254,"&lt;&gt;未平倉"),0)</f>
        <v/>
      </c>
      <c r="L38" s="2">
        <f>COUNTIFS(交易明細!$B$2:$B$254,$A38,交易明細!$J$2:$J$254,"未平倉")</f>
        <v/>
      </c>
    </row>
    <row r="39">
      <c r="A39" s="2" t="inlineStr">
        <is>
          <t>MAGMA_USDT_PERP</t>
        </is>
      </c>
      <c r="B39" s="2">
        <f>COUNTIFS(交易明細!$B$2:$B$254,$A39)</f>
        <v/>
      </c>
      <c r="C39" s="2">
        <f>COUNTIFS(交易明細!$B$2:$B$254,$A39,交易明細!$C$2:$C$254,"做多")</f>
        <v/>
      </c>
      <c r="D39" s="2">
        <f>COUNTIFS(交易明細!$B$2:$B$254,$A39,交易明細!$C$2:$C$254,"做空")</f>
        <v/>
      </c>
      <c r="E39" s="2">
        <f>F39+G39+COUNTIFS(交易明細!$B$2:$B$254,$A39,交易明細!$J$2:$J$254,"時間出場")</f>
        <v/>
      </c>
      <c r="F39" s="2">
        <f>COUNTIFS(交易明細!$B$2:$B$254,$A39,交易明細!$J$2:$J$254,"止盈")</f>
        <v/>
      </c>
      <c r="G39" s="2">
        <f>COUNTIFS(交易明細!$B$2:$B$254,$A39,交易明細!$J$2:$J$254,"止損")</f>
        <v/>
      </c>
      <c r="H39" s="4">
        <f>IFERROR(F39/E39,0)</f>
        <v/>
      </c>
      <c r="I39" s="4">
        <f>IFERROR(AVERAGEIFS(交易明細!$L$2:$L$254,交易明細!$B$2:$B$254,$A39,交易明細!$J$2:$J$254,"&lt;&gt;未平倉"),0)</f>
        <v/>
      </c>
      <c r="J39" s="4">
        <f>SUMIFS(交易明細!$L$2:$L$254,交易明細!$B$2:$B$254,$A39,交易明細!$J$2:$J$254,"&lt;&gt;未平倉")</f>
        <v/>
      </c>
      <c r="K39" s="5">
        <f>IFERROR(AVERAGEIFS(交易明細!$K$2:$K$254,交易明細!$B$2:$B$254,$A39,交易明細!$J$2:$J$254,"&lt;&gt;未平倉"),0)</f>
        <v/>
      </c>
      <c r="L39" s="2">
        <f>COUNTIFS(交易明細!$B$2:$B$254,$A39,交易明細!$J$2:$J$254,"未平倉")</f>
        <v/>
      </c>
    </row>
    <row r="40">
      <c r="A40" s="2" t="inlineStr">
        <is>
          <t>TRUMP_USDT_PERP</t>
        </is>
      </c>
      <c r="B40" s="2">
        <f>COUNTIFS(交易明細!$B$2:$B$254,$A40)</f>
        <v/>
      </c>
      <c r="C40" s="2">
        <f>COUNTIFS(交易明細!$B$2:$B$254,$A40,交易明細!$C$2:$C$254,"做多")</f>
        <v/>
      </c>
      <c r="D40" s="2">
        <f>COUNTIFS(交易明細!$B$2:$B$254,$A40,交易明細!$C$2:$C$254,"做空")</f>
        <v/>
      </c>
      <c r="E40" s="2">
        <f>F40+G40+COUNTIFS(交易明細!$B$2:$B$254,$A40,交易明細!$J$2:$J$254,"時間出場")</f>
        <v/>
      </c>
      <c r="F40" s="2">
        <f>COUNTIFS(交易明細!$B$2:$B$254,$A40,交易明細!$J$2:$J$254,"止盈")</f>
        <v/>
      </c>
      <c r="G40" s="2">
        <f>COUNTIFS(交易明細!$B$2:$B$254,$A40,交易明細!$J$2:$J$254,"止損")</f>
        <v/>
      </c>
      <c r="H40" s="4">
        <f>IFERROR(F40/E40,0)</f>
        <v/>
      </c>
      <c r="I40" s="4">
        <f>IFERROR(AVERAGEIFS(交易明細!$L$2:$L$254,交易明細!$B$2:$B$254,$A40,交易明細!$J$2:$J$254,"&lt;&gt;未平倉"),0)</f>
        <v/>
      </c>
      <c r="J40" s="4">
        <f>SUMIFS(交易明細!$L$2:$L$254,交易明細!$B$2:$B$254,$A40,交易明細!$J$2:$J$254,"&lt;&gt;未平倉")</f>
        <v/>
      </c>
      <c r="K40" s="5">
        <f>IFERROR(AVERAGEIFS(交易明細!$K$2:$K$254,交易明細!$B$2:$B$254,$A40,交易明細!$J$2:$J$254,"&lt;&gt;未平倉"),0)</f>
        <v/>
      </c>
      <c r="L40" s="2">
        <f>COUNTIFS(交易明細!$B$2:$B$254,$A40,交易明細!$J$2:$J$254,"未平倉")</f>
        <v/>
      </c>
    </row>
    <row r="41">
      <c r="A41" s="2" t="inlineStr">
        <is>
          <t>CHIP_USDT_PERP</t>
        </is>
      </c>
      <c r="B41" s="2">
        <f>COUNTIFS(交易明細!$B$2:$B$254,$A41)</f>
        <v/>
      </c>
      <c r="C41" s="2">
        <f>COUNTIFS(交易明細!$B$2:$B$254,$A41,交易明細!$C$2:$C$254,"做多")</f>
        <v/>
      </c>
      <c r="D41" s="2">
        <f>COUNTIFS(交易明細!$B$2:$B$254,$A41,交易明細!$C$2:$C$254,"做空")</f>
        <v/>
      </c>
      <c r="E41" s="2">
        <f>F41+G41+COUNTIFS(交易明細!$B$2:$B$254,$A41,交易明細!$J$2:$J$254,"時間出場")</f>
        <v/>
      </c>
      <c r="F41" s="2">
        <f>COUNTIFS(交易明細!$B$2:$B$254,$A41,交易明細!$J$2:$J$254,"止盈")</f>
        <v/>
      </c>
      <c r="G41" s="2">
        <f>COUNTIFS(交易明細!$B$2:$B$254,$A41,交易明細!$J$2:$J$254,"止損")</f>
        <v/>
      </c>
      <c r="H41" s="4">
        <f>IFERROR(F41/E41,0)</f>
        <v/>
      </c>
      <c r="I41" s="4">
        <f>IFERROR(AVERAGEIFS(交易明細!$L$2:$L$254,交易明細!$B$2:$B$254,$A41,交易明細!$J$2:$J$254,"&lt;&gt;未平倉"),0)</f>
        <v/>
      </c>
      <c r="J41" s="4">
        <f>SUMIFS(交易明細!$L$2:$L$254,交易明細!$B$2:$B$254,$A41,交易明細!$J$2:$J$254,"&lt;&gt;未平倉")</f>
        <v/>
      </c>
      <c r="K41" s="5">
        <f>IFERROR(AVERAGEIFS(交易明細!$K$2:$K$254,交易明細!$B$2:$B$254,$A41,交易明細!$J$2:$J$254,"&lt;&gt;未平倉"),0)</f>
        <v/>
      </c>
      <c r="L41" s="2">
        <f>COUNTIFS(交易明細!$B$2:$B$254,$A41,交易明細!$J$2:$J$254,"未平倉")</f>
        <v/>
      </c>
    </row>
    <row r="42">
      <c r="A42" s="2" t="inlineStr">
        <is>
          <t>PENGU_USDT_PERP</t>
        </is>
      </c>
      <c r="B42" s="2">
        <f>COUNTIFS(交易明細!$B$2:$B$254,$A42)</f>
        <v/>
      </c>
      <c r="C42" s="2">
        <f>COUNTIFS(交易明細!$B$2:$B$254,$A42,交易明細!$C$2:$C$254,"做多")</f>
        <v/>
      </c>
      <c r="D42" s="2">
        <f>COUNTIFS(交易明細!$B$2:$B$254,$A42,交易明細!$C$2:$C$254,"做空")</f>
        <v/>
      </c>
      <c r="E42" s="2">
        <f>F42+G42+COUNTIFS(交易明細!$B$2:$B$254,$A42,交易明細!$J$2:$J$254,"時間出場")</f>
        <v/>
      </c>
      <c r="F42" s="2">
        <f>COUNTIFS(交易明細!$B$2:$B$254,$A42,交易明細!$J$2:$J$254,"止盈")</f>
        <v/>
      </c>
      <c r="G42" s="2">
        <f>COUNTIFS(交易明細!$B$2:$B$254,$A42,交易明細!$J$2:$J$254,"止損")</f>
        <v/>
      </c>
      <c r="H42" s="4">
        <f>IFERROR(F42/E42,0)</f>
        <v/>
      </c>
      <c r="I42" s="4">
        <f>IFERROR(AVERAGEIFS(交易明細!$L$2:$L$254,交易明細!$B$2:$B$254,$A42,交易明細!$J$2:$J$254,"&lt;&gt;未平倉"),0)</f>
        <v/>
      </c>
      <c r="J42" s="4">
        <f>SUMIFS(交易明細!$L$2:$L$254,交易明細!$B$2:$B$254,$A42,交易明細!$J$2:$J$254,"&lt;&gt;未平倉")</f>
        <v/>
      </c>
      <c r="K42" s="5">
        <f>IFERROR(AVERAGEIFS(交易明細!$K$2:$K$254,交易明細!$B$2:$B$254,$A42,交易明細!$J$2:$J$254,"&lt;&gt;未平倉"),0)</f>
        <v/>
      </c>
      <c r="L42" s="2">
        <f>COUNTIFS(交易明細!$B$2:$B$254,$A42,交易明細!$J$2:$J$254,"未平倉")</f>
        <v/>
      </c>
    </row>
    <row r="43">
      <c r="A43" s="2" t="inlineStr">
        <is>
          <t>FARTCOIN_USDT_PERP</t>
        </is>
      </c>
      <c r="B43" s="2">
        <f>COUNTIFS(交易明細!$B$2:$B$254,$A43)</f>
        <v/>
      </c>
      <c r="C43" s="2">
        <f>COUNTIFS(交易明細!$B$2:$B$254,$A43,交易明細!$C$2:$C$254,"做多")</f>
        <v/>
      </c>
      <c r="D43" s="2">
        <f>COUNTIFS(交易明細!$B$2:$B$254,$A43,交易明細!$C$2:$C$254,"做空")</f>
        <v/>
      </c>
      <c r="E43" s="2">
        <f>F43+G43+COUNTIFS(交易明細!$B$2:$B$254,$A43,交易明細!$J$2:$J$254,"時間出場")</f>
        <v/>
      </c>
      <c r="F43" s="2">
        <f>COUNTIFS(交易明細!$B$2:$B$254,$A43,交易明細!$J$2:$J$254,"止盈")</f>
        <v/>
      </c>
      <c r="G43" s="2">
        <f>COUNTIFS(交易明細!$B$2:$B$254,$A43,交易明細!$J$2:$J$254,"止損")</f>
        <v/>
      </c>
      <c r="H43" s="4">
        <f>IFERROR(F43/E43,0)</f>
        <v/>
      </c>
      <c r="I43" s="4">
        <f>IFERROR(AVERAGEIFS(交易明細!$L$2:$L$254,交易明細!$B$2:$B$254,$A43,交易明細!$J$2:$J$254,"&lt;&gt;未平倉"),0)</f>
        <v/>
      </c>
      <c r="J43" s="4">
        <f>SUMIFS(交易明細!$L$2:$L$254,交易明細!$B$2:$B$254,$A43,交易明細!$J$2:$J$254,"&lt;&gt;未平倉")</f>
        <v/>
      </c>
      <c r="K43" s="5">
        <f>IFERROR(AVERAGEIFS(交易明細!$K$2:$K$254,交易明細!$B$2:$B$254,$A43,交易明細!$J$2:$J$254,"&lt;&gt;未平倉"),0)</f>
        <v/>
      </c>
      <c r="L43" s="2">
        <f>COUNTIFS(交易明細!$B$2:$B$254,$A43,交易明細!$J$2:$J$254,"未平倉")</f>
        <v/>
      </c>
    </row>
    <row r="44">
      <c r="A44" s="2" t="inlineStr">
        <is>
          <t>TRIA_USDT_PERP</t>
        </is>
      </c>
      <c r="B44" s="2">
        <f>COUNTIFS(交易明細!$B$2:$B$254,$A44)</f>
        <v/>
      </c>
      <c r="C44" s="2">
        <f>COUNTIFS(交易明細!$B$2:$B$254,$A44,交易明細!$C$2:$C$254,"做多")</f>
        <v/>
      </c>
      <c r="D44" s="2">
        <f>COUNTIFS(交易明細!$B$2:$B$254,$A44,交易明細!$C$2:$C$254,"做空")</f>
        <v/>
      </c>
      <c r="E44" s="2">
        <f>F44+G44+COUNTIFS(交易明細!$B$2:$B$254,$A44,交易明細!$J$2:$J$254,"時間出場")</f>
        <v/>
      </c>
      <c r="F44" s="2">
        <f>COUNTIFS(交易明細!$B$2:$B$254,$A44,交易明細!$J$2:$J$254,"止盈")</f>
        <v/>
      </c>
      <c r="G44" s="2">
        <f>COUNTIFS(交易明細!$B$2:$B$254,$A44,交易明細!$J$2:$J$254,"止損")</f>
        <v/>
      </c>
      <c r="H44" s="4">
        <f>IFERROR(F44/E44,0)</f>
        <v/>
      </c>
      <c r="I44" s="4">
        <f>IFERROR(AVERAGEIFS(交易明細!$L$2:$L$254,交易明細!$B$2:$B$254,$A44,交易明細!$J$2:$J$254,"&lt;&gt;未平倉"),0)</f>
        <v/>
      </c>
      <c r="J44" s="4">
        <f>SUMIFS(交易明細!$L$2:$L$254,交易明細!$B$2:$B$254,$A44,交易明細!$J$2:$J$254,"&lt;&gt;未平倉")</f>
        <v/>
      </c>
      <c r="K44" s="5">
        <f>IFERROR(AVERAGEIFS(交易明細!$K$2:$K$254,交易明細!$B$2:$B$254,$A44,交易明細!$J$2:$J$254,"&lt;&gt;未平倉"),0)</f>
        <v/>
      </c>
      <c r="L44" s="2">
        <f>COUNTIFS(交易明細!$B$2:$B$254,$A44,交易明細!$J$2:$J$254,"未平倉")</f>
        <v/>
      </c>
    </row>
    <row r="45">
      <c r="A45" s="2" t="inlineStr">
        <is>
          <t>TAO_USDT_PERP</t>
        </is>
      </c>
      <c r="B45" s="2">
        <f>COUNTIFS(交易明細!$B$2:$B$254,$A45)</f>
        <v/>
      </c>
      <c r="C45" s="2">
        <f>COUNTIFS(交易明細!$B$2:$B$254,$A45,交易明細!$C$2:$C$254,"做多")</f>
        <v/>
      </c>
      <c r="D45" s="2">
        <f>COUNTIFS(交易明細!$B$2:$B$254,$A45,交易明細!$C$2:$C$254,"做空")</f>
        <v/>
      </c>
      <c r="E45" s="2">
        <f>F45+G45+COUNTIFS(交易明細!$B$2:$B$254,$A45,交易明細!$J$2:$J$254,"時間出場")</f>
        <v/>
      </c>
      <c r="F45" s="2">
        <f>COUNTIFS(交易明細!$B$2:$B$254,$A45,交易明細!$J$2:$J$254,"止盈")</f>
        <v/>
      </c>
      <c r="G45" s="2">
        <f>COUNTIFS(交易明細!$B$2:$B$254,$A45,交易明細!$J$2:$J$254,"止損")</f>
        <v/>
      </c>
      <c r="H45" s="4">
        <f>IFERROR(F45/E45,0)</f>
        <v/>
      </c>
      <c r="I45" s="4">
        <f>IFERROR(AVERAGEIFS(交易明細!$L$2:$L$254,交易明細!$B$2:$B$254,$A45,交易明細!$J$2:$J$254,"&lt;&gt;未平倉"),0)</f>
        <v/>
      </c>
      <c r="J45" s="4">
        <f>SUMIFS(交易明細!$L$2:$L$254,交易明細!$B$2:$B$254,$A45,交易明細!$J$2:$J$254,"&lt;&gt;未平倉")</f>
        <v/>
      </c>
      <c r="K45" s="5">
        <f>IFERROR(AVERAGEIFS(交易明細!$K$2:$K$254,交易明細!$B$2:$B$254,$A45,交易明細!$J$2:$J$254,"&lt;&gt;未平倉"),0)</f>
        <v/>
      </c>
      <c r="L45" s="2">
        <f>COUNTIFS(交易明細!$B$2:$B$254,$A45,交易明細!$J$2:$J$254,"未平倉")</f>
        <v/>
      </c>
    </row>
    <row r="46">
      <c r="A46" s="2" t="inlineStr">
        <is>
          <t>KAS_USDT_PERP</t>
        </is>
      </c>
      <c r="B46" s="2">
        <f>COUNTIFS(交易明細!$B$2:$B$254,$A46)</f>
        <v/>
      </c>
      <c r="C46" s="2">
        <f>COUNTIFS(交易明細!$B$2:$B$254,$A46,交易明細!$C$2:$C$254,"做多")</f>
        <v/>
      </c>
      <c r="D46" s="2">
        <f>COUNTIFS(交易明細!$B$2:$B$254,$A46,交易明細!$C$2:$C$254,"做空")</f>
        <v/>
      </c>
      <c r="E46" s="2">
        <f>F46+G46+COUNTIFS(交易明細!$B$2:$B$254,$A46,交易明細!$J$2:$J$254,"時間出場")</f>
        <v/>
      </c>
      <c r="F46" s="2">
        <f>COUNTIFS(交易明細!$B$2:$B$254,$A46,交易明細!$J$2:$J$254,"止盈")</f>
        <v/>
      </c>
      <c r="G46" s="2">
        <f>COUNTIFS(交易明細!$B$2:$B$254,$A46,交易明細!$J$2:$J$254,"止損")</f>
        <v/>
      </c>
      <c r="H46" s="4">
        <f>IFERROR(F46/E46,0)</f>
        <v/>
      </c>
      <c r="I46" s="4">
        <f>IFERROR(AVERAGEIFS(交易明細!$L$2:$L$254,交易明細!$B$2:$B$254,$A46,交易明細!$J$2:$J$254,"&lt;&gt;未平倉"),0)</f>
        <v/>
      </c>
      <c r="J46" s="4">
        <f>SUMIFS(交易明細!$L$2:$L$254,交易明細!$B$2:$B$254,$A46,交易明細!$J$2:$J$254,"&lt;&gt;未平倉")</f>
        <v/>
      </c>
      <c r="K46" s="5">
        <f>IFERROR(AVERAGEIFS(交易明細!$K$2:$K$254,交易明細!$B$2:$B$254,$A46,交易明細!$J$2:$J$254,"&lt;&gt;未平倉"),0)</f>
        <v/>
      </c>
      <c r="L46" s="2">
        <f>COUNTIFS(交易明細!$B$2:$B$254,$A46,交易明細!$J$2:$J$254,"未平倉")</f>
        <v/>
      </c>
    </row>
    <row r="47">
      <c r="A47" s="2" t="inlineStr">
        <is>
          <t>CASHCAT_USDT_PERP</t>
        </is>
      </c>
      <c r="B47" s="2">
        <f>COUNTIFS(交易明細!$B$2:$B$254,$A47)</f>
        <v/>
      </c>
      <c r="C47" s="2">
        <f>COUNTIFS(交易明細!$B$2:$B$254,$A47,交易明細!$C$2:$C$254,"做多")</f>
        <v/>
      </c>
      <c r="D47" s="2">
        <f>COUNTIFS(交易明細!$B$2:$B$254,$A47,交易明細!$C$2:$C$254,"做空")</f>
        <v/>
      </c>
      <c r="E47" s="2">
        <f>F47+G47+COUNTIFS(交易明細!$B$2:$B$254,$A47,交易明細!$J$2:$J$254,"時間出場")</f>
        <v/>
      </c>
      <c r="F47" s="2">
        <f>COUNTIFS(交易明細!$B$2:$B$254,$A47,交易明細!$J$2:$J$254,"止盈")</f>
        <v/>
      </c>
      <c r="G47" s="2">
        <f>COUNTIFS(交易明細!$B$2:$B$254,$A47,交易明細!$J$2:$J$254,"止損")</f>
        <v/>
      </c>
      <c r="H47" s="4">
        <f>IFERROR(F47/E47,0)</f>
        <v/>
      </c>
      <c r="I47" s="4">
        <f>IFERROR(AVERAGEIFS(交易明細!$L$2:$L$254,交易明細!$B$2:$B$254,$A47,交易明細!$J$2:$J$254,"&lt;&gt;未平倉"),0)</f>
        <v/>
      </c>
      <c r="J47" s="4">
        <f>SUMIFS(交易明細!$L$2:$L$254,交易明細!$B$2:$B$254,$A47,交易明細!$J$2:$J$254,"&lt;&gt;未平倉")</f>
        <v/>
      </c>
      <c r="K47" s="5">
        <f>IFERROR(AVERAGEIFS(交易明細!$K$2:$K$254,交易明細!$B$2:$B$254,$A47,交易明細!$J$2:$J$254,"&lt;&gt;未平倉"),0)</f>
        <v/>
      </c>
      <c r="L47" s="2">
        <f>COUNTIFS(交易明細!$B$2:$B$254,$A47,交易明細!$J$2:$J$254,"未平倉")</f>
        <v/>
      </c>
    </row>
    <row r="48">
      <c r="A48" s="2" t="inlineStr">
        <is>
          <t>INJ_USDT_PERP</t>
        </is>
      </c>
      <c r="B48" s="2">
        <f>COUNTIFS(交易明細!$B$2:$B$254,$A48)</f>
        <v/>
      </c>
      <c r="C48" s="2">
        <f>COUNTIFS(交易明細!$B$2:$B$254,$A48,交易明細!$C$2:$C$254,"做多")</f>
        <v/>
      </c>
      <c r="D48" s="2">
        <f>COUNTIFS(交易明細!$B$2:$B$254,$A48,交易明細!$C$2:$C$254,"做空")</f>
        <v/>
      </c>
      <c r="E48" s="2">
        <f>F48+G48+COUNTIFS(交易明細!$B$2:$B$254,$A48,交易明細!$J$2:$J$254,"時間出場")</f>
        <v/>
      </c>
      <c r="F48" s="2">
        <f>COUNTIFS(交易明細!$B$2:$B$254,$A48,交易明細!$J$2:$J$254,"止盈")</f>
        <v/>
      </c>
      <c r="G48" s="2">
        <f>COUNTIFS(交易明細!$B$2:$B$254,$A48,交易明細!$J$2:$J$254,"止損")</f>
        <v/>
      </c>
      <c r="H48" s="4">
        <f>IFERROR(F48/E48,0)</f>
        <v/>
      </c>
      <c r="I48" s="4">
        <f>IFERROR(AVERAGEIFS(交易明細!$L$2:$L$254,交易明細!$B$2:$B$254,$A48,交易明細!$J$2:$J$254,"&lt;&gt;未平倉"),0)</f>
        <v/>
      </c>
      <c r="J48" s="4">
        <f>SUMIFS(交易明細!$L$2:$L$254,交易明細!$B$2:$B$254,$A48,交易明細!$J$2:$J$254,"&lt;&gt;未平倉")</f>
        <v/>
      </c>
      <c r="K48" s="5">
        <f>IFERROR(AVERAGEIFS(交易明細!$K$2:$K$254,交易明細!$B$2:$B$254,$A48,交易明細!$J$2:$J$254,"&lt;&gt;未平倉"),0)</f>
        <v/>
      </c>
      <c r="L48" s="2">
        <f>COUNTIFS(交易明細!$B$2:$B$254,$A48,交易明細!$J$2:$J$254,"未平倉")</f>
        <v/>
      </c>
    </row>
    <row r="49">
      <c r="A49" s="2" t="inlineStr">
        <is>
          <t>ICP_USDT_PERP</t>
        </is>
      </c>
      <c r="B49" s="2">
        <f>COUNTIFS(交易明細!$B$2:$B$254,$A49)</f>
        <v/>
      </c>
      <c r="C49" s="2">
        <f>COUNTIFS(交易明細!$B$2:$B$254,$A49,交易明細!$C$2:$C$254,"做多")</f>
        <v/>
      </c>
      <c r="D49" s="2">
        <f>COUNTIFS(交易明細!$B$2:$B$254,$A49,交易明細!$C$2:$C$254,"做空")</f>
        <v/>
      </c>
      <c r="E49" s="2">
        <f>F49+G49+COUNTIFS(交易明細!$B$2:$B$254,$A49,交易明細!$J$2:$J$254,"時間出場")</f>
        <v/>
      </c>
      <c r="F49" s="2">
        <f>COUNTIFS(交易明細!$B$2:$B$254,$A49,交易明細!$J$2:$J$254,"止盈")</f>
        <v/>
      </c>
      <c r="G49" s="2">
        <f>COUNTIFS(交易明細!$B$2:$B$254,$A49,交易明細!$J$2:$J$254,"止損")</f>
        <v/>
      </c>
      <c r="H49" s="4">
        <f>IFERROR(F49/E49,0)</f>
        <v/>
      </c>
      <c r="I49" s="4">
        <f>IFERROR(AVERAGEIFS(交易明細!$L$2:$L$254,交易明細!$B$2:$B$254,$A49,交易明細!$J$2:$J$254,"&lt;&gt;未平倉"),0)</f>
        <v/>
      </c>
      <c r="J49" s="4">
        <f>SUMIFS(交易明細!$L$2:$L$254,交易明細!$B$2:$B$254,$A49,交易明細!$J$2:$J$254,"&lt;&gt;未平倉")</f>
        <v/>
      </c>
      <c r="K49" s="5">
        <f>IFERROR(AVERAGEIFS(交易明細!$K$2:$K$254,交易明細!$B$2:$B$254,$A49,交易明細!$J$2:$J$254,"&lt;&gt;未平倉"),0)</f>
        <v/>
      </c>
      <c r="L49" s="2">
        <f>COUNTIFS(交易明細!$B$2:$B$254,$A49,交易明細!$J$2:$J$254,"未平倉")</f>
        <v/>
      </c>
    </row>
    <row r="50">
      <c r="A50" s="2" t="inlineStr">
        <is>
          <t>FF_USDT_PERP</t>
        </is>
      </c>
      <c r="B50" s="2">
        <f>COUNTIFS(交易明細!$B$2:$B$254,$A50)</f>
        <v/>
      </c>
      <c r="C50" s="2">
        <f>COUNTIFS(交易明細!$B$2:$B$254,$A50,交易明細!$C$2:$C$254,"做多")</f>
        <v/>
      </c>
      <c r="D50" s="2">
        <f>COUNTIFS(交易明細!$B$2:$B$254,$A50,交易明細!$C$2:$C$254,"做空")</f>
        <v/>
      </c>
      <c r="E50" s="2">
        <f>F50+G50+COUNTIFS(交易明細!$B$2:$B$254,$A50,交易明細!$J$2:$J$254,"時間出場")</f>
        <v/>
      </c>
      <c r="F50" s="2">
        <f>COUNTIFS(交易明細!$B$2:$B$254,$A50,交易明細!$J$2:$J$254,"止盈")</f>
        <v/>
      </c>
      <c r="G50" s="2">
        <f>COUNTIFS(交易明細!$B$2:$B$254,$A50,交易明細!$J$2:$J$254,"止損")</f>
        <v/>
      </c>
      <c r="H50" s="4">
        <f>IFERROR(F50/E50,0)</f>
        <v/>
      </c>
      <c r="I50" s="4">
        <f>IFERROR(AVERAGEIFS(交易明細!$L$2:$L$254,交易明細!$B$2:$B$254,$A50,交易明細!$J$2:$J$254,"&lt;&gt;未平倉"),0)</f>
        <v/>
      </c>
      <c r="J50" s="4">
        <f>SUMIFS(交易明細!$L$2:$L$254,交易明細!$B$2:$B$254,$A50,交易明細!$J$2:$J$254,"&lt;&gt;未平倉")</f>
        <v/>
      </c>
      <c r="K50" s="5">
        <f>IFERROR(AVERAGEIFS(交易明細!$K$2:$K$254,交易明細!$B$2:$B$254,$A50,交易明細!$J$2:$J$254,"&lt;&gt;未平倉"),0)</f>
        <v/>
      </c>
      <c r="L50" s="2">
        <f>COUNTIFS(交易明細!$B$2:$B$254,$A50,交易明細!$J$2:$J$254,"未平倉")</f>
        <v/>
      </c>
    </row>
    <row r="51">
      <c r="A51" s="2" t="inlineStr">
        <is>
          <t>KAT_USDT_PERP</t>
        </is>
      </c>
      <c r="B51" s="2">
        <f>COUNTIFS(交易明細!$B$2:$B$254,$A51)</f>
        <v/>
      </c>
      <c r="C51" s="2">
        <f>COUNTIFS(交易明細!$B$2:$B$254,$A51,交易明細!$C$2:$C$254,"做多")</f>
        <v/>
      </c>
      <c r="D51" s="2">
        <f>COUNTIFS(交易明細!$B$2:$B$254,$A51,交易明細!$C$2:$C$254,"做空")</f>
        <v/>
      </c>
      <c r="E51" s="2">
        <f>F51+G51+COUNTIFS(交易明細!$B$2:$B$254,$A51,交易明細!$J$2:$J$254,"時間出場")</f>
        <v/>
      </c>
      <c r="F51" s="2">
        <f>COUNTIFS(交易明細!$B$2:$B$254,$A51,交易明細!$J$2:$J$254,"止盈")</f>
        <v/>
      </c>
      <c r="G51" s="2">
        <f>COUNTIFS(交易明細!$B$2:$B$254,$A51,交易明細!$J$2:$J$254,"止損")</f>
        <v/>
      </c>
      <c r="H51" s="4">
        <f>IFERROR(F51/E51,0)</f>
        <v/>
      </c>
      <c r="I51" s="4">
        <f>IFERROR(AVERAGEIFS(交易明細!$L$2:$L$254,交易明細!$B$2:$B$254,$A51,交易明細!$J$2:$J$254,"&lt;&gt;未平倉"),0)</f>
        <v/>
      </c>
      <c r="J51" s="4">
        <f>SUMIFS(交易明細!$L$2:$L$254,交易明細!$B$2:$B$254,$A51,交易明細!$J$2:$J$254,"&lt;&gt;未平倉")</f>
        <v/>
      </c>
      <c r="K51" s="5">
        <f>IFERROR(AVERAGEIFS(交易明細!$K$2:$K$254,交易明細!$B$2:$B$254,$A51,交易明細!$J$2:$J$254,"&lt;&gt;未平倉"),0)</f>
        <v/>
      </c>
      <c r="L51" s="2">
        <f>COUNTIFS(交易明細!$B$2:$B$254,$A51,交易明細!$J$2:$J$254,"未平倉")</f>
        <v/>
      </c>
    </row>
    <row r="52">
      <c r="A52" s="2" t="inlineStr">
        <is>
          <t>MET_USDT_PERP</t>
        </is>
      </c>
      <c r="B52" s="2">
        <f>COUNTIFS(交易明細!$B$2:$B$254,$A52)</f>
        <v/>
      </c>
      <c r="C52" s="2">
        <f>COUNTIFS(交易明細!$B$2:$B$254,$A52,交易明細!$C$2:$C$254,"做多")</f>
        <v/>
      </c>
      <c r="D52" s="2">
        <f>COUNTIFS(交易明細!$B$2:$B$254,$A52,交易明細!$C$2:$C$254,"做空")</f>
        <v/>
      </c>
      <c r="E52" s="2">
        <f>F52+G52+COUNTIFS(交易明細!$B$2:$B$254,$A52,交易明細!$J$2:$J$254,"時間出場")</f>
        <v/>
      </c>
      <c r="F52" s="2">
        <f>COUNTIFS(交易明細!$B$2:$B$254,$A52,交易明細!$J$2:$J$254,"止盈")</f>
        <v/>
      </c>
      <c r="G52" s="2">
        <f>COUNTIFS(交易明細!$B$2:$B$254,$A52,交易明細!$J$2:$J$254,"止損")</f>
        <v/>
      </c>
      <c r="H52" s="4">
        <f>IFERROR(F52/E52,0)</f>
        <v/>
      </c>
      <c r="I52" s="4">
        <f>IFERROR(AVERAGEIFS(交易明細!$L$2:$L$254,交易明細!$B$2:$B$254,$A52,交易明細!$J$2:$J$254,"&lt;&gt;未平倉"),0)</f>
        <v/>
      </c>
      <c r="J52" s="4">
        <f>SUMIFS(交易明細!$L$2:$L$254,交易明細!$B$2:$B$254,$A52,交易明細!$J$2:$J$254,"&lt;&gt;未平倉")</f>
        <v/>
      </c>
      <c r="K52" s="5">
        <f>IFERROR(AVERAGEIFS(交易明細!$K$2:$K$254,交易明細!$B$2:$B$254,$A52,交易明細!$J$2:$J$254,"&lt;&gt;未平倉"),0)</f>
        <v/>
      </c>
      <c r="L52" s="2">
        <f>COUNTIFS(交易明細!$B$2:$B$254,$A52,交易明細!$J$2:$J$254,"未平倉")</f>
        <v/>
      </c>
    </row>
    <row r="53">
      <c r="A53" s="2" t="inlineStr">
        <is>
          <t>BTW_USDT_PERP</t>
        </is>
      </c>
      <c r="B53" s="2">
        <f>COUNTIFS(交易明細!$B$2:$B$254,$A53)</f>
        <v/>
      </c>
      <c r="C53" s="2">
        <f>COUNTIFS(交易明細!$B$2:$B$254,$A53,交易明細!$C$2:$C$254,"做多")</f>
        <v/>
      </c>
      <c r="D53" s="2">
        <f>COUNTIFS(交易明細!$B$2:$B$254,$A53,交易明細!$C$2:$C$254,"做空")</f>
        <v/>
      </c>
      <c r="E53" s="2">
        <f>F53+G53+COUNTIFS(交易明細!$B$2:$B$254,$A53,交易明細!$J$2:$J$254,"時間出場")</f>
        <v/>
      </c>
      <c r="F53" s="2">
        <f>COUNTIFS(交易明細!$B$2:$B$254,$A53,交易明細!$J$2:$J$254,"止盈")</f>
        <v/>
      </c>
      <c r="G53" s="2">
        <f>COUNTIFS(交易明細!$B$2:$B$254,$A53,交易明細!$J$2:$J$254,"止損")</f>
        <v/>
      </c>
      <c r="H53" s="4">
        <f>IFERROR(F53/E53,0)</f>
        <v/>
      </c>
      <c r="I53" s="4">
        <f>IFERROR(AVERAGEIFS(交易明細!$L$2:$L$254,交易明細!$B$2:$B$254,$A53,交易明細!$J$2:$J$254,"&lt;&gt;未平倉"),0)</f>
        <v/>
      </c>
      <c r="J53" s="4">
        <f>SUMIFS(交易明細!$L$2:$L$254,交易明細!$B$2:$B$254,$A53,交易明細!$J$2:$J$254,"&lt;&gt;未平倉")</f>
        <v/>
      </c>
      <c r="K53" s="5">
        <f>IFERROR(AVERAGEIFS(交易明細!$K$2:$K$254,交易明細!$B$2:$B$254,$A53,交易明細!$J$2:$J$254,"&lt;&gt;未平倉"),0)</f>
        <v/>
      </c>
      <c r="L53" s="2">
        <f>COUNTIFS(交易明細!$B$2:$B$254,$A53,交易明細!$J$2:$J$254,"未平倉")</f>
        <v/>
      </c>
    </row>
    <row r="54">
      <c r="A54" s="2" t="inlineStr">
        <is>
          <t>CAP_USDT_PERP</t>
        </is>
      </c>
      <c r="B54" s="2">
        <f>COUNTIFS(交易明細!$B$2:$B$254,$A54)</f>
        <v/>
      </c>
      <c r="C54" s="2">
        <f>COUNTIFS(交易明細!$B$2:$B$254,$A54,交易明細!$C$2:$C$254,"做多")</f>
        <v/>
      </c>
      <c r="D54" s="2">
        <f>COUNTIFS(交易明細!$B$2:$B$254,$A54,交易明細!$C$2:$C$254,"做空")</f>
        <v/>
      </c>
      <c r="E54" s="2">
        <f>F54+G54+COUNTIFS(交易明細!$B$2:$B$254,$A54,交易明細!$J$2:$J$254,"時間出場")</f>
        <v/>
      </c>
      <c r="F54" s="2">
        <f>COUNTIFS(交易明細!$B$2:$B$254,$A54,交易明細!$J$2:$J$254,"止盈")</f>
        <v/>
      </c>
      <c r="G54" s="2">
        <f>COUNTIFS(交易明細!$B$2:$B$254,$A54,交易明細!$J$2:$J$254,"止損")</f>
        <v/>
      </c>
      <c r="H54" s="4">
        <f>IFERROR(F54/E54,0)</f>
        <v/>
      </c>
      <c r="I54" s="4">
        <f>IFERROR(AVERAGEIFS(交易明細!$L$2:$L$254,交易明細!$B$2:$B$254,$A54,交易明細!$J$2:$J$254,"&lt;&gt;未平倉"),0)</f>
        <v/>
      </c>
      <c r="J54" s="4">
        <f>SUMIFS(交易明細!$L$2:$L$254,交易明細!$B$2:$B$254,$A54,交易明細!$J$2:$J$254,"&lt;&gt;未平倉")</f>
        <v/>
      </c>
      <c r="K54" s="5">
        <f>IFERROR(AVERAGEIFS(交易明細!$K$2:$K$254,交易明細!$B$2:$B$254,$A54,交易明細!$J$2:$J$254,"&lt;&gt;未平倉"),0)</f>
        <v/>
      </c>
      <c r="L54" s="2">
        <f>COUNTIFS(交易明細!$B$2:$B$254,$A54,交易明細!$J$2:$J$254,"未平倉")</f>
        <v/>
      </c>
    </row>
    <row r="55">
      <c r="A55" s="2" t="inlineStr">
        <is>
          <t>XRP_USDT_PERP</t>
        </is>
      </c>
      <c r="B55" s="2">
        <f>COUNTIFS(交易明細!$B$2:$B$254,$A55)</f>
        <v/>
      </c>
      <c r="C55" s="2">
        <f>COUNTIFS(交易明細!$B$2:$B$254,$A55,交易明細!$C$2:$C$254,"做多")</f>
        <v/>
      </c>
      <c r="D55" s="2">
        <f>COUNTIFS(交易明細!$B$2:$B$254,$A55,交易明細!$C$2:$C$254,"做空")</f>
        <v/>
      </c>
      <c r="E55" s="2">
        <f>F55+G55+COUNTIFS(交易明細!$B$2:$B$254,$A55,交易明細!$J$2:$J$254,"時間出場")</f>
        <v/>
      </c>
      <c r="F55" s="2">
        <f>COUNTIFS(交易明細!$B$2:$B$254,$A55,交易明細!$J$2:$J$254,"止盈")</f>
        <v/>
      </c>
      <c r="G55" s="2">
        <f>COUNTIFS(交易明細!$B$2:$B$254,$A55,交易明細!$J$2:$J$254,"止損")</f>
        <v/>
      </c>
      <c r="H55" s="4">
        <f>IFERROR(F55/E55,0)</f>
        <v/>
      </c>
      <c r="I55" s="4">
        <f>IFERROR(AVERAGEIFS(交易明細!$L$2:$L$254,交易明細!$B$2:$B$254,$A55,交易明細!$J$2:$J$254,"&lt;&gt;未平倉"),0)</f>
        <v/>
      </c>
      <c r="J55" s="4">
        <f>SUMIFS(交易明細!$L$2:$L$254,交易明細!$B$2:$B$254,$A55,交易明細!$J$2:$J$254,"&lt;&gt;未平倉")</f>
        <v/>
      </c>
      <c r="K55" s="5">
        <f>IFERROR(AVERAGEIFS(交易明細!$K$2:$K$254,交易明細!$B$2:$B$254,$A55,交易明細!$J$2:$J$254,"&lt;&gt;未平倉"),0)</f>
        <v/>
      </c>
      <c r="L55" s="2">
        <f>COUNTIFS(交易明細!$B$2:$B$254,$A55,交易明細!$J$2:$J$254,"未平倉")</f>
        <v/>
      </c>
    </row>
  </sheetData>
  <autoFilter ref="A1:L5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>
        <is>
          <t>持倉中</t>
        </is>
      </c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>
        <is>
          <t>持倉中</t>
        </is>
      </c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>
        <is>
          <t>持倉中</t>
        </is>
      </c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>
        <is>
          <t>持倉中</t>
        </is>
      </c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2026-09-16T20:14:13Z</dcterms:created>
  <dcterms:modified xsi:type="dcterms:W3CDTF">2026-09-16T20:14:13Z</dcterms:modified>
</cp:coreProperties>
</file>