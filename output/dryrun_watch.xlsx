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'資金明細'!$A$1:$Z$443</definedName>
    <definedName name="_xlnm._FilterDatabase" localSheetId="5" hidden="1">'交易明細'!$A$1:$AC$223</definedName>
    <definedName name="_xlnm._FilterDatabase" localSheetId="6" hidden="1">'幣種統計'!$A$1:$L$52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2026-09-15 07:11（Dry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COUNTIFS(交易明細!$B$2:$B$223,"&lt;&gt;")</f>
        <v/>
      </c>
      <c r="C5" s="2">
        <f>D5+E5+F5</f>
        <v/>
      </c>
      <c r="D5" s="2">
        <f>COUNTIFS(交易明細!$J$2:$J$223,"止盈")</f>
        <v/>
      </c>
      <c r="E5" s="2">
        <f>COUNTIFS(交易明細!$J$2:$J$223,"止損")</f>
        <v/>
      </c>
      <c r="F5" s="2">
        <f>COUNTIFS(交易明細!$J$2:$J$223,"時間出場")</f>
        <v/>
      </c>
      <c r="G5" s="2">
        <f>COUNTIFS(交易明細!$J$2:$J$223,"未平倉")</f>
        <v/>
      </c>
      <c r="H5" s="4">
        <f>IFERROR(D5/C5,0)</f>
        <v/>
      </c>
      <c r="I5" s="4">
        <f>IFERROR(AVERAGEIFS(交易明細!$AC$2:$AC$223,交易明細!$J$2:$J$223,"&lt;&gt;未平倉"),參數!$B$16)</f>
        <v/>
      </c>
      <c r="J5" s="4">
        <f>IFERROR(AVERAGEIFS(交易明細!$L$2:$L$223,交易明細!$J$2:$J$223,"&lt;&gt;未平倉"),0)</f>
        <v/>
      </c>
      <c r="K5" s="4">
        <f>SUMIFS(交易明細!$L$2:$L$223,交易明細!$J$2:$J$223,"&lt;&gt;未平倉")</f>
        <v/>
      </c>
      <c r="L5" s="5">
        <f>IFERROR(AVERAGEIFS(交易明細!$K$2:$K$223,交易明細!$J$2:$J$223,"&lt;&gt;未平倉"),0)</f>
        <v/>
      </c>
      <c r="M5" s="5">
        <f>IFERROR(AVERAGEIFS(交易明細!$K$2:$K$223,交易明細!$J$2:$J$223,"止盈"),0)</f>
        <v/>
      </c>
      <c r="N5" s="5">
        <f>IFERROR(AVERAGEIFS(交易明細!$K$2:$K$223,交易明細!$J$2:$J$223,"止損"),0)</f>
        <v/>
      </c>
      <c r="O5" s="4">
        <f>IFERROR(AVERAGEIFS(交易明細!$L$2:$L$223,交易明細!$J$2:$J$223,"時間出場"),0)</f>
        <v/>
      </c>
      <c r="P5" s="4">
        <f>IFERROR(COUNTIFS(交易明細!$J$2:$J$223,"&lt;&gt;未平倉",交易明細!$L$2:$L$223,"&gt;0")/C5,0)</f>
        <v/>
      </c>
    </row>
    <row r="6">
      <c r="A6" s="2" t="inlineStr">
        <is>
          <t>做多</t>
        </is>
      </c>
      <c r="B6" s="2">
        <f>COUNTIFS(交易明細!$C$2:$C$223,"做多",交易明細!$B$2:$B$223,"&lt;&gt;")</f>
        <v/>
      </c>
      <c r="C6" s="2">
        <f>D6+E6+F6</f>
        <v/>
      </c>
      <c r="D6" s="2">
        <f>COUNTIFS(交易明細!$C$2:$C$223,"做多",交易明細!$J$2:$J$223,"止盈")</f>
        <v/>
      </c>
      <c r="E6" s="2">
        <f>COUNTIFS(交易明細!$C$2:$C$223,"做多",交易明細!$J$2:$J$223,"止損")</f>
        <v/>
      </c>
      <c r="F6" s="2">
        <f>COUNTIFS(交易明細!$C$2:$C$223,"做多",交易明細!$J$2:$J$223,"時間出場")</f>
        <v/>
      </c>
      <c r="G6" s="2">
        <f>COUNTIFS(交易明細!$C$2:$C$223,"做多",交易明細!$J$2:$J$223,"未平倉")</f>
        <v/>
      </c>
      <c r="H6" s="4">
        <f>IFERROR(D6/C6,0)</f>
        <v/>
      </c>
      <c r="I6" s="4">
        <f>IFERROR(AVERAGEIFS(交易明細!$AC$2:$AC$223,交易明細!$C$2:$C$223,"做多",交易明細!$J$2:$J$223,"&lt;&gt;未平倉"),參數!$B$16)</f>
        <v/>
      </c>
      <c r="J6" s="4">
        <f>IFERROR(AVERAGEIFS(交易明細!$L$2:$L$223,交易明細!$C$2:$C$223,"做多",交易明細!$J$2:$J$223,"&lt;&gt;未平倉"),0)</f>
        <v/>
      </c>
      <c r="K6" s="4">
        <f>SUMIFS(交易明細!$L$2:$L$223,交易明細!$C$2:$C$223,"做多",交易明細!$J$2:$J$223,"&lt;&gt;未平倉")</f>
        <v/>
      </c>
      <c r="L6" s="5">
        <f>IFERROR(AVERAGEIFS(交易明細!$K$2:$K$223,交易明細!$C$2:$C$223,"做多",交易明細!$J$2:$J$223,"&lt;&gt;未平倉"),0)</f>
        <v/>
      </c>
      <c r="M6" s="5">
        <f>IFERROR(AVERAGEIFS(交易明細!$K$2:$K$223,交易明細!$C$2:$C$223,"做多",交易明細!$J$2:$J$223,"止盈"),0)</f>
        <v/>
      </c>
      <c r="N6" s="5">
        <f>IFERROR(AVERAGEIFS(交易明細!$K$2:$K$223,交易明細!$C$2:$C$223,"做多",交易明細!$J$2:$J$223,"止損"),0)</f>
        <v/>
      </c>
      <c r="O6" s="4">
        <f>IFERROR(AVERAGEIFS(交易明細!$L$2:$L$223,交易明細!$C$2:$C$223,"做多",交易明細!$J$2:$J$223,"時間出場"),0)</f>
        <v/>
      </c>
      <c r="P6" s="4">
        <f>IFERROR(COUNTIFS(交易明細!$C$2:$C$223,"做多",交易明細!$J$2:$J$223,"&lt;&gt;未平倉",交易明細!$L$2:$L$223,"&gt;0")/C6,0)</f>
        <v/>
      </c>
    </row>
    <row r="7">
      <c r="A7" s="2" t="inlineStr">
        <is>
          <t>做空</t>
        </is>
      </c>
      <c r="B7" s="2">
        <f>COUNTIFS(交易明細!$C$2:$C$223,"做空",交易明細!$B$2:$B$223,"&lt;&gt;")</f>
        <v/>
      </c>
      <c r="C7" s="2">
        <f>D7+E7+F7</f>
        <v/>
      </c>
      <c r="D7" s="2">
        <f>COUNTIFS(交易明細!$C$2:$C$223,"做空",交易明細!$J$2:$J$223,"止盈")</f>
        <v/>
      </c>
      <c r="E7" s="2">
        <f>COUNTIFS(交易明細!$C$2:$C$223,"做空",交易明細!$J$2:$J$223,"止損")</f>
        <v/>
      </c>
      <c r="F7" s="2">
        <f>COUNTIFS(交易明細!$C$2:$C$223,"做空",交易明細!$J$2:$J$223,"時間出場")</f>
        <v/>
      </c>
      <c r="G7" s="2">
        <f>COUNTIFS(交易明細!$C$2:$C$223,"做空",交易明細!$J$2:$J$223,"未平倉")</f>
        <v/>
      </c>
      <c r="H7" s="4">
        <f>IFERROR(D7/C7,0)</f>
        <v/>
      </c>
      <c r="I7" s="4">
        <f>IFERROR(AVERAGEIFS(交易明細!$AC$2:$AC$223,交易明細!$C$2:$C$223,"做空",交易明細!$J$2:$J$223,"&lt;&gt;未平倉"),參數!$B$16)</f>
        <v/>
      </c>
      <c r="J7" s="4">
        <f>IFERROR(AVERAGEIFS(交易明細!$L$2:$L$223,交易明細!$C$2:$C$223,"做空",交易明細!$J$2:$J$223,"&lt;&gt;未平倉"),0)</f>
        <v/>
      </c>
      <c r="K7" s="4">
        <f>SUMIFS(交易明細!$L$2:$L$223,交易明細!$C$2:$C$223,"做空",交易明細!$J$2:$J$223,"&lt;&gt;未平倉")</f>
        <v/>
      </c>
      <c r="L7" s="5">
        <f>IFERROR(AVERAGEIFS(交易明細!$K$2:$K$223,交易明細!$C$2:$C$223,"做空",交易明細!$J$2:$J$223,"&lt;&gt;未平倉"),0)</f>
        <v/>
      </c>
      <c r="M7" s="5">
        <f>IFERROR(AVERAGEIFS(交易明細!$K$2:$K$223,交易明細!$C$2:$C$223,"做空",交易明細!$J$2:$J$223,"止盈"),0)</f>
        <v/>
      </c>
      <c r="N7" s="5">
        <f>IFERROR(AVERAGEIFS(交易明細!$K$2:$K$223,交易明細!$C$2:$C$223,"做空",交易明細!$J$2:$J$223,"止損"),0)</f>
        <v/>
      </c>
      <c r="O7" s="4">
        <f>IFERROR(AVERAGEIFS(交易明細!$L$2:$L$223,交易明細!$C$2:$C$223,"做空",交易明細!$J$2:$J$223,"時間出場"),0)</f>
        <v/>
      </c>
      <c r="P7" s="4">
        <f>IFERROR(COUNTIFS(交易明細!$C$2:$C$223,"做空",交易明細!$J$2:$J$223,"&lt;&gt;未平倉",交易明細!$L$2:$L$223,"&gt;0")/C7,0)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46280.29983445602</v>
      </c>
      <c r="B2" s="7" t="n">
        <v>46280.25</v>
      </c>
      <c r="C2" s="2" t="n">
        <v>442</v>
      </c>
      <c r="D2" s="2" t="n">
        <v>1</v>
      </c>
      <c r="E2" s="2" t="n">
        <v>1</v>
      </c>
      <c r="F2" s="2" t="n">
        <v>0</v>
      </c>
      <c r="G2" s="2" t="n">
        <v>51.6</v>
      </c>
    </row>
    <row r="3">
      <c r="A3" s="7" t="n">
        <v>46280.14350143519</v>
      </c>
      <c r="B3" s="7" t="n">
        <v>46280.08333333334</v>
      </c>
      <c r="C3" s="2" t="n">
        <v>442</v>
      </c>
      <c r="D3" s="2" t="n">
        <v>3</v>
      </c>
      <c r="E3" s="2" t="n">
        <v>1</v>
      </c>
      <c r="F3" s="2" t="n">
        <v>0</v>
      </c>
      <c r="G3" s="2" t="n">
        <v>57.3</v>
      </c>
    </row>
    <row r="4">
      <c r="A4" s="7" t="n">
        <v>46279.92418226852</v>
      </c>
      <c r="B4" s="7" t="n">
        <v>46279.875</v>
      </c>
      <c r="C4" s="2" t="n">
        <v>442</v>
      </c>
      <c r="D4" s="2" t="n">
        <v>6</v>
      </c>
      <c r="E4" s="2" t="n">
        <v>7</v>
      </c>
      <c r="F4" s="2" t="n">
        <v>0</v>
      </c>
      <c r="G4" s="2" t="n">
        <v>48.1</v>
      </c>
    </row>
    <row r="5">
      <c r="A5" s="7" t="n">
        <v>46279.59996445602</v>
      </c>
      <c r="B5" s="7" t="n">
        <v>46279.54166666666</v>
      </c>
      <c r="C5" s="2" t="n">
        <v>442</v>
      </c>
      <c r="D5" s="2" t="n">
        <v>2</v>
      </c>
      <c r="E5" s="2" t="n">
        <v>3</v>
      </c>
      <c r="F5" s="2" t="n">
        <v>0</v>
      </c>
      <c r="G5" s="2" t="n">
        <v>61</v>
      </c>
    </row>
    <row r="6">
      <c r="A6" s="7" t="n">
        <v>46279.38316741898</v>
      </c>
      <c r="B6" s="7" t="n">
        <v>46279.33333333334</v>
      </c>
      <c r="C6" s="2" t="n">
        <v>442</v>
      </c>
      <c r="D6" s="2" t="n">
        <v>2</v>
      </c>
      <c r="E6" s="2" t="n">
        <v>2</v>
      </c>
      <c r="F6" s="2" t="n">
        <v>0</v>
      </c>
      <c r="G6" s="2" t="n">
        <v>59.9</v>
      </c>
    </row>
    <row r="7">
      <c r="A7" s="7" t="n">
        <v>46279.26932584491</v>
      </c>
      <c r="B7" s="7" t="n">
        <v>46279.20833333334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61.1</v>
      </c>
    </row>
    <row r="8">
      <c r="A8" s="7" t="n">
        <v>46279.14665413195</v>
      </c>
      <c r="B8" s="7" t="n">
        <v>46279.08333333334</v>
      </c>
      <c r="C8" s="2" t="n">
        <v>442</v>
      </c>
      <c r="D8" s="2" t="n">
        <v>1</v>
      </c>
      <c r="E8" s="2" t="n">
        <v>0</v>
      </c>
      <c r="F8" s="2" t="n">
        <v>0</v>
      </c>
      <c r="G8" s="2" t="n">
        <v>55.1</v>
      </c>
    </row>
    <row r="9">
      <c r="A9" s="7" t="n">
        <v>46279.01733591435</v>
      </c>
      <c r="B9" s="7" t="n">
        <v>46278.95833333334</v>
      </c>
      <c r="C9" s="2" t="n">
        <v>442</v>
      </c>
      <c r="D9" s="2" t="n">
        <v>2</v>
      </c>
      <c r="E9" s="2" t="n">
        <v>4</v>
      </c>
      <c r="F9" s="2" t="n">
        <v>0</v>
      </c>
      <c r="G9" s="2" t="n">
        <v>59.7</v>
      </c>
    </row>
    <row r="10">
      <c r="A10" s="7" t="n">
        <v>46278.83725055555</v>
      </c>
      <c r="B10" s="7" t="n">
        <v>46278.79166666666</v>
      </c>
      <c r="C10" s="2" t="n">
        <v>442</v>
      </c>
      <c r="D10" s="2" t="n">
        <v>0</v>
      </c>
      <c r="E10" s="2" t="n">
        <v>3</v>
      </c>
      <c r="F10" s="2" t="n">
        <v>0</v>
      </c>
      <c r="G10" s="2" t="n">
        <v>65.40000000000001</v>
      </c>
    </row>
    <row r="11">
      <c r="A11" s="7" t="n">
        <v>46278.71111972223</v>
      </c>
      <c r="B11" s="7" t="n">
        <v>46278.66666666666</v>
      </c>
      <c r="C11" s="2" t="n">
        <v>442</v>
      </c>
      <c r="D11" s="2" t="n">
        <v>3</v>
      </c>
      <c r="E11" s="2" t="n">
        <v>1</v>
      </c>
      <c r="F11" s="2" t="n">
        <v>0</v>
      </c>
      <c r="G11" s="2" t="n">
        <v>63.6</v>
      </c>
    </row>
    <row r="12">
      <c r="A12" s="7" t="n">
        <v>46278.68053923611</v>
      </c>
      <c r="B12" s="7" t="n">
        <v>46278.625</v>
      </c>
      <c r="C12" s="2" t="n">
        <v>442</v>
      </c>
      <c r="D12" s="2" t="n">
        <v>9</v>
      </c>
      <c r="E12" s="2" t="n">
        <v>10</v>
      </c>
      <c r="F12" s="2" t="n">
        <v>0</v>
      </c>
      <c r="G12" s="2" t="n">
        <v>63.6</v>
      </c>
    </row>
    <row r="13">
      <c r="A13" s="7" t="n">
        <v>46278.07354997685</v>
      </c>
      <c r="B13" s="7" t="n">
        <v>46278</v>
      </c>
      <c r="C13" s="2" t="n">
        <v>442</v>
      </c>
      <c r="D13" s="2" t="n">
        <v>3</v>
      </c>
      <c r="E13" s="2" t="n">
        <v>1</v>
      </c>
      <c r="F13" s="2" t="n">
        <v>0</v>
      </c>
      <c r="G13" s="2" t="n">
        <v>50.2</v>
      </c>
    </row>
    <row r="14">
      <c r="A14" s="7" t="n">
        <v>46277.94390239583</v>
      </c>
      <c r="B14" s="7" t="n">
        <v>46277.875</v>
      </c>
      <c r="C14" s="2" t="n">
        <v>442</v>
      </c>
      <c r="D14" s="2" t="n">
        <v>190</v>
      </c>
      <c r="E14" s="2" t="n">
        <v>186</v>
      </c>
      <c r="F14" s="2" t="n">
        <v>0</v>
      </c>
      <c r="G1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資金明細!R443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MAX(資金明細!$R$2:$R$443)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MIN(資金明細!$R$2:$R$443)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MIN(資金明細!$X$2:$X$443)</f>
        <v/>
      </c>
    </row>
    <row r="9">
      <c r="A9" s="2" t="inlineStr">
        <is>
          <t>下單基準模式</t>
        </is>
      </c>
      <c r="B9" s="12" t="n">
        <v>1</v>
      </c>
      <c r="D9" s="2" t="inlineStr">
        <is>
          <t>已下單筆數</t>
        </is>
      </c>
      <c r="E9" s="15">
        <f>COUNTIFS(資金明細!$C$2:$C$443,"進場",資金明細!$N$2:$N$443,"已下單")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COUNTIFS(資金明細!$C$2:$C$443,"進場",資金明細!$N$2:$N$443,"資金不足略過")</f>
        <v/>
      </c>
    </row>
    <row r="11">
      <c r="D11" s="2" t="inlineStr">
        <is>
          <t>止盈筆數</t>
        </is>
      </c>
      <c r="E11" s="15">
        <f>COUNTIFS(資金明細!$C$2:$C$443,"出場",資金明細!$N$2:$N$443,"已下單",資金明細!$K$2:$K$443,"止盈")</f>
        <v/>
      </c>
    </row>
    <row r="12">
      <c r="A12" s="2" t="inlineStr">
        <is>
          <t>每筆止損約虧本金</t>
        </is>
      </c>
      <c r="B12" s="4">
        <f>B5*B7*IFERROR(AVERAGE(交易明細!$AB$2:$AB$223),參數!B6)</f>
        <v/>
      </c>
      <c r="D12" s="2" t="inlineStr">
        <is>
          <t>止損筆數</t>
        </is>
      </c>
      <c r="E12" s="15">
        <f>COUNTIFS(資金明細!$C$2:$C$443,"出場",資金明細!$N$2:$N$443,"已下單",資金明細!$K$2:$K$443,"止損")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IFERROR(E11/COUNTIFS(資金明細!$C$2:$C$443,"出場",資金明細!$N$2:$N$443,"已下單"),0)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MAX(資金明細!$U$2:$U$443)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MAX(資金明細!$S$2:$S$443)</f>
        <v/>
      </c>
    </row>
    <row r="16">
      <c r="D16" s="2" t="inlineStr">
        <is>
          <t>期末下單金額</t>
        </is>
      </c>
      <c r="E16" s="16">
        <f>B5*資金明細!V443</f>
        <v/>
      </c>
    </row>
    <row r="17">
      <c r="D17" s="2" t="inlineStr">
        <is>
          <t>未平倉浮動損益（未計入）</t>
        </is>
      </c>
      <c r="E17" s="10">
        <f>IF(資金明細!N364="已下單",資金明細!O364*交易明細!L184,0)+IF(資金明細!N440="已下單",資金明細!O440*交易明細!L221,0)+IF(資金明細!N442="已下單",資金明細!O442*交易明細!L223,0)</f>
        <v/>
      </c>
    </row>
    <row r="18">
      <c r="D18" s="2" t="inlineStr">
        <is>
          <t>最大總曝險倍數</t>
        </is>
      </c>
      <c r="E18" s="16">
        <f>MAX(資金明細!$Y$2:$Y$443)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IFERROR(INDEX(資金明細!$B$2:$B$443,MATCH(1,資金明細!$Z$2:$Z$443,0)),"未觸發")</f>
        <v/>
      </c>
    </row>
    <row r="21">
      <c r="D21" s="2" t="inlineStr">
        <is>
          <t>停止後略過筆數</t>
        </is>
      </c>
      <c r="E21" s="15">
        <f>COUNTIFS(資金明細!$C$2:$C$443,"進場",資金明細!$N$2:$N$443,"已停止")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inlineStr">
        <is>
          <t>未平倉</t>
        </is>
      </c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n"/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n"/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17" t="n">
        <v>0.003537</v>
      </c>
      <c r="H383" s="17" t="n">
        <v>0.00343089</v>
      </c>
      <c r="I383" s="17" t="n">
        <v>0.00371385</v>
      </c>
      <c r="J383" s="17" t="n">
        <v>0.00371385</v>
      </c>
      <c r="K383" s="2" t="inlineStr">
        <is>
          <t>止損</t>
        </is>
      </c>
      <c r="L383" s="5">
        <f>交易明細!K181</f>
        <v/>
      </c>
      <c r="M383" s="16">
        <f>M357</f>
        <v/>
      </c>
      <c r="N383" s="2">
        <f>N357</f>
        <v/>
      </c>
      <c r="O383" s="16">
        <f>O357</f>
        <v/>
      </c>
      <c r="P383" s="4">
        <f>交易明細!L181</f>
        <v/>
      </c>
      <c r="Q383" s="10">
        <f>IF(N383="已下單",O383*P383,0)</f>
        <v/>
      </c>
      <c r="R383" s="10">
        <f>R382+Q383</f>
        <v/>
      </c>
      <c r="S383" s="16">
        <f>S382-IF(N383="已下單",M383,0)</f>
        <v/>
      </c>
      <c r="T383" s="16">
        <f>R383-S383</f>
        <v/>
      </c>
      <c r="U383" s="2">
        <f>U382-IF(N383="已下單",1,0)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17" t="n">
        <v>0.13578</v>
      </c>
      <c r="H384" s="17" t="n">
        <v>0.1398534</v>
      </c>
      <c r="I384" s="17" t="n">
        <v>0.128991</v>
      </c>
      <c r="J384" s="17" t="n">
        <v>0.128991</v>
      </c>
      <c r="K384" s="2" t="inlineStr">
        <is>
          <t>止損</t>
        </is>
      </c>
      <c r="L384" s="5">
        <f>交易明細!K192</f>
        <v/>
      </c>
      <c r="M384" s="16">
        <f>M380</f>
        <v/>
      </c>
      <c r="N384" s="2">
        <f>N380</f>
        <v/>
      </c>
      <c r="O384" s="16">
        <f>O380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17" t="n">
        <v>1.412</v>
      </c>
      <c r="H385" s="17" t="n">
        <v>1.45436</v>
      </c>
      <c r="I385" s="17" t="n">
        <v>1.3414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17" t="n">
        <v>0.23269</v>
      </c>
      <c r="H386" s="17" t="n">
        <v>0.2396707</v>
      </c>
      <c r="I386" s="17" t="n">
        <v>0.2210555</v>
      </c>
      <c r="J386" s="17" t="n"/>
      <c r="K386" s="2" t="n"/>
      <c r="L386" s="5" t="n"/>
      <c r="M386" s="16">
        <f>資金模擬!$B$5*V385</f>
        <v/>
      </c>
      <c r="N386" s="2">
        <f>IF(Z385=1,"已停止",IF(T385&gt;=M386,"已下單","資金不足略過"))</f>
        <v/>
      </c>
      <c r="O386" s="16">
        <f>IF(N386="已下單",M386*資金模擬!$B$7,0)</f>
        <v/>
      </c>
      <c r="P386" s="4" t="n"/>
      <c r="Q386" s="10" t="n">
        <v>0</v>
      </c>
      <c r="R386" s="10">
        <f>R385+Q386</f>
        <v/>
      </c>
      <c r="S386" s="16">
        <f>S385+IF(N386="已下單",M386,0)</f>
        <v/>
      </c>
      <c r="T386" s="16">
        <f>R386-S386</f>
        <v/>
      </c>
      <c r="U386" s="2">
        <f>U385+IF(N386="已下單",1,0)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17" t="n">
        <v>0.6118</v>
      </c>
      <c r="H387" s="17" t="n">
        <v>0.593446</v>
      </c>
      <c r="I387" s="17" t="n">
        <v>0.64239</v>
      </c>
      <c r="J387" s="17" t="n">
        <v>0.593446</v>
      </c>
      <c r="K387" s="2" t="inlineStr">
        <is>
          <t>止盈</t>
        </is>
      </c>
      <c r="L387" s="5">
        <f>交易明細!K194</f>
        <v/>
      </c>
      <c r="M387" s="16">
        <f>M382</f>
        <v/>
      </c>
      <c r="N387" s="2">
        <f>N382</f>
        <v/>
      </c>
      <c r="O387" s="16">
        <f>O382</f>
        <v/>
      </c>
      <c r="P387" s="4">
        <f>交易明細!L194</f>
        <v/>
      </c>
      <c r="Q387" s="10">
        <f>IF(N387="已下單",O387*P387,0)</f>
        <v/>
      </c>
      <c r="R387" s="10">
        <f>R386+Q387</f>
        <v/>
      </c>
      <c r="S387" s="16">
        <f>S386-IF(N387="已下單",M387,0)</f>
        <v/>
      </c>
      <c r="T387" s="16">
        <f>R387-S387</f>
        <v/>
      </c>
      <c r="U387" s="2">
        <f>U386-IF(N387="已下單",1,0)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17" t="n">
        <v>1.412</v>
      </c>
      <c r="H388" s="17" t="n">
        <v>1.45436</v>
      </c>
      <c r="I388" s="17" t="n">
        <v>1.3414</v>
      </c>
      <c r="J388" s="17" t="n">
        <v>1.45436</v>
      </c>
      <c r="K388" s="2" t="inlineStr">
        <is>
          <t>止盈</t>
        </is>
      </c>
      <c r="L388" s="5">
        <f>交易明細!K195</f>
        <v/>
      </c>
      <c r="M388" s="16">
        <f>M385</f>
        <v/>
      </c>
      <c r="N388" s="2">
        <f>N385</f>
        <v/>
      </c>
      <c r="O388" s="16">
        <f>O385</f>
        <v/>
      </c>
      <c r="P388" s="4">
        <f>交易明細!L195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17" t="n">
        <v>23.956</v>
      </c>
      <c r="H389" s="17" t="n">
        <v>24.67468</v>
      </c>
      <c r="I389" s="17" t="n">
        <v>22.7582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17" t="n">
        <v>23.956</v>
      </c>
      <c r="H390" s="17" t="n">
        <v>24.67468</v>
      </c>
      <c r="I390" s="17" t="n">
        <v>22.7582</v>
      </c>
      <c r="J390" s="17" t="n">
        <v>24.67468</v>
      </c>
      <c r="K390" s="2" t="inlineStr">
        <is>
          <t>止盈</t>
        </is>
      </c>
      <c r="L390" s="5">
        <f>交易明細!K197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交易明細!L197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17" t="n">
        <v>0.11779</v>
      </c>
      <c r="H391" s="17" t="n">
        <v>0.1142563</v>
      </c>
      <c r="I391" s="17" t="n">
        <v>0.1236795</v>
      </c>
      <c r="J391" s="17" t="n">
        <v>0.1236795</v>
      </c>
      <c r="K391" s="2" t="inlineStr">
        <is>
          <t>止損</t>
        </is>
      </c>
      <c r="L391" s="5">
        <f>交易明細!K193</f>
        <v/>
      </c>
      <c r="M391" s="16">
        <f>M381</f>
        <v/>
      </c>
      <c r="N391" s="2">
        <f>N381</f>
        <v/>
      </c>
      <c r="O391" s="16">
        <f>O381</f>
        <v/>
      </c>
      <c r="P391" s="4">
        <f>交易明細!L193</f>
        <v/>
      </c>
      <c r="Q391" s="10">
        <f>IF(N391="已下單",O391*P391,0)</f>
        <v/>
      </c>
      <c r="R391" s="10">
        <f>R390+Q391</f>
        <v/>
      </c>
      <c r="S391" s="16">
        <f>S390-IF(N391="已下單",M391,0)</f>
        <v/>
      </c>
      <c r="T391" s="16">
        <f>R391-S391</f>
        <v/>
      </c>
      <c r="U391" s="2">
        <f>U390-IF(N391="已下單",1,0)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17" t="n">
        <v>0.0164847</v>
      </c>
      <c r="H392" s="17" t="n">
        <v>0.016979241</v>
      </c>
      <c r="I392" s="17" t="n">
        <v>0.015660465</v>
      </c>
      <c r="J392" s="17" t="n"/>
      <c r="K392" s="2" t="n"/>
      <c r="L392" s="5" t="n"/>
      <c r="M392" s="16">
        <f>資金模擬!$B$5*V391</f>
        <v/>
      </c>
      <c r="N392" s="2">
        <f>IF(Z391=1,"已停止",IF(T391&gt;=M392,"已下單","資金不足略過"))</f>
        <v/>
      </c>
      <c r="O392" s="16">
        <f>IF(N392="已下單",M392*資金模擬!$B$7,0)</f>
        <v/>
      </c>
      <c r="P392" s="4" t="n"/>
      <c r="Q392" s="10" t="n">
        <v>0</v>
      </c>
      <c r="R392" s="10">
        <f>R391+Q392</f>
        <v/>
      </c>
      <c r="S392" s="16">
        <f>S391+IF(N392="已下單",M392,0)</f>
        <v/>
      </c>
      <c r="T392" s="16">
        <f>R392-S392</f>
        <v/>
      </c>
      <c r="U392" s="2">
        <f>U391+IF(N392="已下單",1,0)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17" t="n">
        <v>0.5901999999999999</v>
      </c>
      <c r="H393" s="17" t="n">
        <v>0.5724939999999999</v>
      </c>
      <c r="I393" s="17" t="n">
        <v>0.61971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17" t="n">
        <v>0.23269</v>
      </c>
      <c r="H394" s="17" t="n">
        <v>0.2396707</v>
      </c>
      <c r="I394" s="17" t="n">
        <v>0.2210555</v>
      </c>
      <c r="J394" s="17" t="n">
        <v>0.2396707</v>
      </c>
      <c r="K394" s="2" t="inlineStr">
        <is>
          <t>止盈</t>
        </is>
      </c>
      <c r="L394" s="5">
        <f>交易明細!K196</f>
        <v/>
      </c>
      <c r="M394" s="16">
        <f>M386</f>
        <v/>
      </c>
      <c r="N394" s="2">
        <f>N386</f>
        <v/>
      </c>
      <c r="O394" s="16">
        <f>O386</f>
        <v/>
      </c>
      <c r="P394" s="4">
        <f>交易明細!L196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17" t="n">
        <v>0.11416</v>
      </c>
      <c r="H395" s="17" t="n">
        <v>0.1107352</v>
      </c>
      <c r="I395" s="17" t="n">
        <v>0.119868</v>
      </c>
      <c r="J395" s="17" t="n"/>
      <c r="K395" s="2" t="n"/>
      <c r="L395" s="5" t="n"/>
      <c r="M395" s="16">
        <f>資金模擬!$B$5*V394</f>
        <v/>
      </c>
      <c r="N395" s="2">
        <f>IF(Z394=1,"已停止",IF(T394&gt;=M395,"已下單","資金不足略過"))</f>
        <v/>
      </c>
      <c r="O395" s="16">
        <f>IF(N395="已下單",M395*資金模擬!$B$7,0)</f>
        <v/>
      </c>
      <c r="P395" s="4" t="n"/>
      <c r="Q395" s="10" t="n">
        <v>0</v>
      </c>
      <c r="R395" s="10">
        <f>R394+Q395</f>
        <v/>
      </c>
      <c r="S395" s="16">
        <f>S394+IF(N395="已下單",M395,0)</f>
        <v/>
      </c>
      <c r="T395" s="16">
        <f>R395-S395</f>
        <v/>
      </c>
      <c r="U395" s="2">
        <f>U394+IF(N395="已下單",1,0)</f>
        <v/>
      </c>
      <c r="V395" s="16">
        <f>IF(資金模擬!$B$9=2,MAX(R395,0),MAX(V394,FLOOR(MAX(R395,0),資金模擬!$B$6)))</f>
        <v/>
      </c>
      <c r="W395" s="10">
        <f>MAX(W394,R395)</f>
        <v/>
      </c>
      <c r="X395" s="4">
        <f>IF(W395&gt;0,R395/W395-1,-1)</f>
        <v/>
      </c>
      <c r="Y395" s="16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17" t="n">
        <v>1.261</v>
      </c>
      <c r="H396" s="17" t="n">
        <v>1.22317</v>
      </c>
      <c r="I396" s="17" t="n">
        <v>1.32405</v>
      </c>
      <c r="J396" s="17" t="n"/>
      <c r="K396" s="2" t="n"/>
      <c r="L396" s="5" t="n"/>
      <c r="M396" s="16">
        <f>資金模擬!$B$5*V395</f>
        <v/>
      </c>
      <c r="N396" s="2">
        <f>IF(Z395=1,"已停止",IF(T395&gt;=M396,"已下單","資金不足略過"))</f>
        <v/>
      </c>
      <c r="O396" s="16">
        <f>IF(N396="已下單",M396*資金模擬!$B$7,0)</f>
        <v/>
      </c>
      <c r="P396" s="4" t="n"/>
      <c r="Q396" s="10" t="n">
        <v>0</v>
      </c>
      <c r="R396" s="10">
        <f>R395+Q396</f>
        <v/>
      </c>
      <c r="S396" s="16">
        <f>S395+IF(N396="已下單",M396,0)</f>
        <v/>
      </c>
      <c r="T396" s="16">
        <f>R396-S396</f>
        <v/>
      </c>
      <c r="U396" s="2">
        <f>U395+IF(N396="已下單",1,0)</f>
        <v/>
      </c>
      <c r="V396" s="16">
        <f>IF(資金模擬!$B$9=2,MAX(R396,0),MAX(V395,FLOOR(MAX(R396,0),資金模擬!$B$6)))</f>
        <v/>
      </c>
      <c r="W396" s="10">
        <f>MAX(W395,R396)</f>
        <v/>
      </c>
      <c r="X396" s="4">
        <f>IF(W396&gt;0,R396/W396-1,-1)</f>
        <v/>
      </c>
      <c r="Y396" s="16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17" t="n">
        <v>0.0164847</v>
      </c>
      <c r="H397" s="17" t="n">
        <v>0.016979241</v>
      </c>
      <c r="I397" s="17" t="n">
        <v>0.015660465</v>
      </c>
      <c r="J397" s="17" t="n">
        <v>0.015660465</v>
      </c>
      <c r="K397" s="2" t="inlineStr">
        <is>
          <t>止損</t>
        </is>
      </c>
      <c r="L397" s="5">
        <f>交易明細!K198</f>
        <v/>
      </c>
      <c r="M397" s="16">
        <f>M392</f>
        <v/>
      </c>
      <c r="N397" s="2">
        <f>N392</f>
        <v/>
      </c>
      <c r="O397" s="16">
        <f>O392</f>
        <v/>
      </c>
      <c r="P397" s="4">
        <f>交易明細!L198</f>
        <v/>
      </c>
      <c r="Q397" s="10">
        <f>IF(N397="已下單",O397*P397,0)</f>
        <v/>
      </c>
      <c r="R397" s="10">
        <f>R396+Q397</f>
        <v/>
      </c>
      <c r="S397" s="16">
        <f>S396-IF(N397="已下單",M397,0)</f>
        <v/>
      </c>
      <c r="T397" s="16">
        <f>R397-S397</f>
        <v/>
      </c>
      <c r="U397" s="2">
        <f>U396-IF(N397="已下單",1,0)</f>
        <v/>
      </c>
      <c r="V397" s="16">
        <f>IF(資金模擬!$B$9=2,MAX(R397,0),MAX(V396,FLOOR(MAX(R397,0),資金模擬!$B$6)))</f>
        <v/>
      </c>
      <c r="W397" s="10">
        <f>MAX(W396,R397)</f>
        <v/>
      </c>
      <c r="X397" s="4">
        <f>IF(W397&gt;0,R397/W397-1,-1)</f>
        <v/>
      </c>
      <c r="Y397" s="16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17" t="n">
        <v>0.5901999999999999</v>
      </c>
      <c r="H398" s="17" t="n">
        <v>0.5724939999999999</v>
      </c>
      <c r="I398" s="17" t="n">
        <v>0.61971</v>
      </c>
      <c r="J398" s="17" t="n">
        <v>0.5724939999999999</v>
      </c>
      <c r="K398" s="2" t="inlineStr">
        <is>
          <t>止盈</t>
        </is>
      </c>
      <c r="L398" s="5">
        <f>交易明細!K199</f>
        <v/>
      </c>
      <c r="M398" s="16">
        <f>M393</f>
        <v/>
      </c>
      <c r="N398" s="2">
        <f>N393</f>
        <v/>
      </c>
      <c r="O398" s="16">
        <f>O393</f>
        <v/>
      </c>
      <c r="P398" s="4">
        <f>交易明細!L199</f>
        <v/>
      </c>
      <c r="Q398" s="10">
        <f>IF(N398="已下單",O398*P398,0)</f>
        <v/>
      </c>
      <c r="R398" s="10">
        <f>R397+Q398</f>
        <v/>
      </c>
      <c r="S398" s="16">
        <f>S397-IF(N398="已下單",M398,0)</f>
        <v/>
      </c>
      <c r="T398" s="16">
        <f>R398-S398</f>
        <v/>
      </c>
      <c r="U398" s="2">
        <f>U397-IF(N398="已下單",1,0)</f>
        <v/>
      </c>
      <c r="V398" s="16">
        <f>IF(資金模擬!$B$9=2,MAX(R398,0),MAX(V397,FLOOR(MAX(R398,0),資金模擬!$B$6)))</f>
        <v/>
      </c>
      <c r="W398" s="10">
        <f>MAX(W397,R398)</f>
        <v/>
      </c>
      <c r="X398" s="4">
        <f>IF(W398&gt;0,R398/W398-1,-1)</f>
        <v/>
      </c>
      <c r="Y398" s="16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17" t="n">
        <v>0.11416</v>
      </c>
      <c r="H399" s="17" t="n">
        <v>0.1107352</v>
      </c>
      <c r="I399" s="17" t="n">
        <v>0.119868</v>
      </c>
      <c r="J399" s="17" t="n">
        <v>0.119868</v>
      </c>
      <c r="K399" s="2" t="inlineStr">
        <is>
          <t>止損</t>
        </is>
      </c>
      <c r="L399" s="5">
        <f>交易明細!K200</f>
        <v/>
      </c>
      <c r="M399" s="16">
        <f>M395</f>
        <v/>
      </c>
      <c r="N399" s="2">
        <f>N395</f>
        <v/>
      </c>
      <c r="O399" s="16">
        <f>O395</f>
        <v/>
      </c>
      <c r="P399" s="4">
        <f>交易明細!L200</f>
        <v/>
      </c>
      <c r="Q399" s="10">
        <f>IF(N399="已下單",O399*P399,0)</f>
        <v/>
      </c>
      <c r="R399" s="10">
        <f>R398+Q399</f>
        <v/>
      </c>
      <c r="S399" s="16">
        <f>S398-IF(N399="已下單",M399,0)</f>
        <v/>
      </c>
      <c r="T399" s="16">
        <f>R399-S399</f>
        <v/>
      </c>
      <c r="U399" s="2">
        <f>U398-IF(N399="已下單",1,0)</f>
        <v/>
      </c>
      <c r="V399" s="16">
        <f>IF(資金模擬!$B$9=2,MAX(R399,0),MAX(V398,FLOOR(MAX(R399,0),資金模擬!$B$6)))</f>
        <v/>
      </c>
      <c r="W399" s="10">
        <f>MAX(W398,R399)</f>
        <v/>
      </c>
      <c r="X399" s="4">
        <f>IF(W399&gt;0,R399/W399-1,-1)</f>
        <v/>
      </c>
      <c r="Y399" s="16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17" t="n">
        <v>0.003747</v>
      </c>
      <c r="H400" s="17" t="n">
        <v>0.00363459</v>
      </c>
      <c r="I400" s="17" t="n">
        <v>0.00393435</v>
      </c>
      <c r="J400" s="17" t="n"/>
      <c r="K400" s="2" t="n"/>
      <c r="L400" s="5" t="n"/>
      <c r="M400" s="16">
        <f>資金模擬!$B$5*V399</f>
        <v/>
      </c>
      <c r="N400" s="2">
        <f>IF(Z399=1,"已停止",IF(T399&gt;=M400,"已下單","資金不足略過"))</f>
        <v/>
      </c>
      <c r="O400" s="16">
        <f>IF(N400="已下單",M400*資金模擬!$B$7,0)</f>
        <v/>
      </c>
      <c r="P400" s="4" t="n"/>
      <c r="Q400" s="10" t="n">
        <v>0</v>
      </c>
      <c r="R400" s="10">
        <f>R399+Q400</f>
        <v/>
      </c>
      <c r="S400" s="16">
        <f>S399+IF(N400="已下單",M400,0)</f>
        <v/>
      </c>
      <c r="T400" s="16">
        <f>R400-S400</f>
        <v/>
      </c>
      <c r="U400" s="2">
        <f>U399+IF(N400="已下單",1,0)</f>
        <v/>
      </c>
      <c r="V400" s="16">
        <f>IF(資金模擬!$B$9=2,MAX(R400,0),MAX(V399,FLOOR(MAX(R400,0),資金模擬!$B$6)))</f>
        <v/>
      </c>
      <c r="W400" s="10">
        <f>MAX(W399,R400)</f>
        <v/>
      </c>
      <c r="X400" s="4">
        <f>IF(W400&gt;0,R400/W400-1,-1)</f>
        <v/>
      </c>
      <c r="Y400" s="16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17" t="n">
        <v>0.22444</v>
      </c>
      <c r="H401" s="17" t="n">
        <v>0.2177068</v>
      </c>
      <c r="I401" s="17" t="n">
        <v>0.235662</v>
      </c>
      <c r="J401" s="17" t="n"/>
      <c r="K401" s="2" t="n"/>
      <c r="L401" s="5" t="n"/>
      <c r="M401" s="16">
        <f>資金模擬!$B$5*V400</f>
        <v/>
      </c>
      <c r="N401" s="2">
        <f>IF(Z400=1,"已停止",IF(T400&gt;=M401,"已下單","資金不足略過"))</f>
        <v/>
      </c>
      <c r="O401" s="16">
        <f>IF(N401="已下單",M401*資金模擬!$B$7,0)</f>
        <v/>
      </c>
      <c r="P401" s="4" t="n"/>
      <c r="Q401" s="10" t="n">
        <v>0</v>
      </c>
      <c r="R401" s="10">
        <f>R400+Q401</f>
        <v/>
      </c>
      <c r="S401" s="16">
        <f>S400+IF(N401="已下單",M401,0)</f>
        <v/>
      </c>
      <c r="T401" s="16">
        <f>R401-S401</f>
        <v/>
      </c>
      <c r="U401" s="2">
        <f>U400+IF(N401="已下單",1,0)</f>
        <v/>
      </c>
      <c r="V401" s="16">
        <f>IF(資金模擬!$B$9=2,MAX(R401,0),MAX(V400,FLOOR(MAX(R401,0),資金模擬!$B$6)))</f>
        <v/>
      </c>
      <c r="W401" s="10">
        <f>MAX(W400,R401)</f>
        <v/>
      </c>
      <c r="X401" s="4">
        <f>IF(W401&gt;0,R401/W401-1,-1)</f>
        <v/>
      </c>
      <c r="Y401" s="16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17" t="n">
        <v>1.261</v>
      </c>
      <c r="H402" s="17" t="n">
        <v>1.22317</v>
      </c>
      <c r="I402" s="17" t="n">
        <v>1.32405</v>
      </c>
      <c r="J402" s="17" t="n">
        <v>1.22317</v>
      </c>
      <c r="K402" s="2" t="inlineStr">
        <is>
          <t>止盈</t>
        </is>
      </c>
      <c r="L402" s="5">
        <f>交易明細!K201</f>
        <v/>
      </c>
      <c r="M402" s="16">
        <f>M396</f>
        <v/>
      </c>
      <c r="N402" s="2">
        <f>N396</f>
        <v/>
      </c>
      <c r="O402" s="16">
        <f>O396</f>
        <v/>
      </c>
      <c r="P402" s="4">
        <f>交易明細!L201</f>
        <v/>
      </c>
      <c r="Q402" s="10">
        <f>IF(N402="已下單",O402*P402,0)</f>
        <v/>
      </c>
      <c r="R402" s="10">
        <f>R401+Q402</f>
        <v/>
      </c>
      <c r="S402" s="16">
        <f>S401-IF(N402="已下單",M402,0)</f>
        <v/>
      </c>
      <c r="T402" s="16">
        <f>R402-S402</f>
        <v/>
      </c>
      <c r="U402" s="2">
        <f>U401-IF(N402="已下單",1,0)</f>
        <v/>
      </c>
      <c r="V402" s="16">
        <f>IF(資金模擬!$B$9=2,MAX(R402,0),MAX(V401,FLOOR(MAX(R402,0),資金模擬!$B$6)))</f>
        <v/>
      </c>
      <c r="W402" s="10">
        <f>MAX(W401,R402)</f>
        <v/>
      </c>
      <c r="X402" s="4">
        <f>IF(W402&gt;0,R402/W402-1,-1)</f>
        <v/>
      </c>
      <c r="Y402" s="16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17" t="n">
        <v>0.06694</v>
      </c>
      <c r="H403" s="17" t="n">
        <v>0.0649318</v>
      </c>
      <c r="I403" s="17" t="n">
        <v>0.070287</v>
      </c>
      <c r="J403" s="17" t="n"/>
      <c r="K403" s="2" t="n"/>
      <c r="L403" s="5" t="n"/>
      <c r="M403" s="16">
        <f>資金模擬!$B$5*V402</f>
        <v/>
      </c>
      <c r="N403" s="2">
        <f>IF(Z402=1,"已停止",IF(T402&gt;=M403,"已下單","資金不足略過"))</f>
        <v/>
      </c>
      <c r="O403" s="16">
        <f>IF(N403="已下單",M403*資金模擬!$B$7,0)</f>
        <v/>
      </c>
      <c r="P403" s="4" t="n"/>
      <c r="Q403" s="10" t="n">
        <v>0</v>
      </c>
      <c r="R403" s="10">
        <f>R402+Q403</f>
        <v/>
      </c>
      <c r="S403" s="16">
        <f>S402+IF(N403="已下單",M403,0)</f>
        <v/>
      </c>
      <c r="T403" s="16">
        <f>R403-S403</f>
        <v/>
      </c>
      <c r="U403" s="2">
        <f>U402+IF(N403="已下單",1,0)</f>
        <v/>
      </c>
      <c r="V403" s="16">
        <f>IF(資金模擬!$B$9=2,MAX(R403,0),MAX(V402,FLOOR(MAX(R403,0),資金模擬!$B$6)))</f>
        <v/>
      </c>
      <c r="W403" s="10">
        <f>MAX(W402,R403)</f>
        <v/>
      </c>
      <c r="X403" s="4">
        <f>IF(W403&gt;0,R403/W403-1,-1)</f>
        <v/>
      </c>
      <c r="Y403" s="16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17" t="n">
        <v>22.673</v>
      </c>
      <c r="H404" s="17" t="n">
        <v>21.99281</v>
      </c>
      <c r="I404" s="17" t="n">
        <v>23.80665</v>
      </c>
      <c r="J404" s="17" t="n"/>
      <c r="K404" s="2" t="n"/>
      <c r="L404" s="5" t="n"/>
      <c r="M404" s="16">
        <f>資金模擬!$B$5*V403</f>
        <v/>
      </c>
      <c r="N404" s="2">
        <f>IF(Z403=1,"已停止",IF(T403&gt;=M404,"已下單","資金不足略過"))</f>
        <v/>
      </c>
      <c r="O404" s="16">
        <f>IF(N404="已下單",M404*資金模擬!$B$7,0)</f>
        <v/>
      </c>
      <c r="P404" s="4" t="n"/>
      <c r="Q404" s="10" t="n">
        <v>0</v>
      </c>
      <c r="R404" s="10">
        <f>R403+Q404</f>
        <v/>
      </c>
      <c r="S404" s="16">
        <f>S403+IF(N404="已下單",M404,0)</f>
        <v/>
      </c>
      <c r="T404" s="16">
        <f>R404-S404</f>
        <v/>
      </c>
      <c r="U404" s="2">
        <f>U403+IF(N404="已下單",1,0)</f>
        <v/>
      </c>
      <c r="V404" s="16">
        <f>IF(資金模擬!$B$9=2,MAX(R404,0),MAX(V403,FLOOR(MAX(R404,0),資金模擬!$B$6)))</f>
        <v/>
      </c>
      <c r="W404" s="10">
        <f>MAX(W403,R404)</f>
        <v/>
      </c>
      <c r="X404" s="4">
        <f>IF(W404&gt;0,R404/W404-1,-1)</f>
        <v/>
      </c>
      <c r="Y404" s="16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17" t="n">
        <v>0.13497</v>
      </c>
      <c r="H405" s="17" t="n">
        <v>0.1309209</v>
      </c>
      <c r="I405" s="17" t="n">
        <v>0.1417185</v>
      </c>
      <c r="J405" s="17" t="n"/>
      <c r="K405" s="2" t="n"/>
      <c r="L405" s="5" t="n"/>
      <c r="M405" s="16">
        <f>資金模擬!$B$5*V404</f>
        <v/>
      </c>
      <c r="N405" s="2">
        <f>IF(Z404=1,"已停止",IF(T404&gt;=M405,"已下單","資金不足略過"))</f>
        <v/>
      </c>
      <c r="O405" s="16">
        <f>IF(N405="已下單",M405*資金模擬!$B$7,0)</f>
        <v/>
      </c>
      <c r="P405" s="4" t="n"/>
      <c r="Q405" s="10" t="n">
        <v>0</v>
      </c>
      <c r="R405" s="10">
        <f>R404+Q405</f>
        <v/>
      </c>
      <c r="S405" s="16">
        <f>S404+IF(N405="已下單",M405,0)</f>
        <v/>
      </c>
      <c r="T405" s="16">
        <f>R405-S405</f>
        <v/>
      </c>
      <c r="U405" s="2">
        <f>U404+IF(N405="已下單",1,0)</f>
        <v/>
      </c>
      <c r="V405" s="16">
        <f>IF(資金模擬!$B$9=2,MAX(R405,0),MAX(V404,FLOOR(MAX(R405,0),資金模擬!$B$6)))</f>
        <v/>
      </c>
      <c r="W405" s="10">
        <f>MAX(W404,R405)</f>
        <v/>
      </c>
      <c r="X405" s="4">
        <f>IF(W405&gt;0,R405/W405-1,-1)</f>
        <v/>
      </c>
      <c r="Y405" s="16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17" t="n">
        <v>0.003747</v>
      </c>
      <c r="H406" s="17" t="n">
        <v>0.00363459</v>
      </c>
      <c r="I406" s="17" t="n">
        <v>0.00393435</v>
      </c>
      <c r="J406" s="17" t="n">
        <v>0.00363459</v>
      </c>
      <c r="K406" s="2" t="inlineStr">
        <is>
          <t>止盈</t>
        </is>
      </c>
      <c r="L406" s="5">
        <f>交易明細!K202</f>
        <v/>
      </c>
      <c r="M406" s="16">
        <f>M400</f>
        <v/>
      </c>
      <c r="N406" s="2">
        <f>N400</f>
        <v/>
      </c>
      <c r="O406" s="16">
        <f>O400</f>
        <v/>
      </c>
      <c r="P406" s="4">
        <f>交易明細!L202</f>
        <v/>
      </c>
      <c r="Q406" s="10">
        <f>IF(N406="已下單",O406*P406,0)</f>
        <v/>
      </c>
      <c r="R406" s="10">
        <f>R405+Q406</f>
        <v/>
      </c>
      <c r="S406" s="16">
        <f>S405-IF(N406="已下單",M406,0)</f>
        <v/>
      </c>
      <c r="T406" s="16">
        <f>R406-S406</f>
        <v/>
      </c>
      <c r="U406" s="2">
        <f>U405-IF(N406="已下單",1,0)</f>
        <v/>
      </c>
      <c r="V406" s="16">
        <f>IF(資金模擬!$B$9=2,MAX(R406,0),MAX(V405,FLOOR(MAX(R406,0),資金模擬!$B$6)))</f>
        <v/>
      </c>
      <c r="W406" s="10">
        <f>MAX(W405,R406)</f>
        <v/>
      </c>
      <c r="X406" s="4">
        <f>IF(W406&gt;0,R406/W406-1,-1)</f>
        <v/>
      </c>
      <c r="Y406" s="16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17" t="n">
        <v>0.13497</v>
      </c>
      <c r="H407" s="17" t="n">
        <v>0.1309209</v>
      </c>
      <c r="I407" s="17" t="n">
        <v>0.1417185</v>
      </c>
      <c r="J407" s="17" t="n">
        <v>0.1309209</v>
      </c>
      <c r="K407" s="2" t="inlineStr">
        <is>
          <t>止盈</t>
        </is>
      </c>
      <c r="L407" s="5">
        <f>交易明細!K206</f>
        <v/>
      </c>
      <c r="M407" s="16">
        <f>M405</f>
        <v/>
      </c>
      <c r="N407" s="2">
        <f>N405</f>
        <v/>
      </c>
      <c r="O407" s="16">
        <f>O405</f>
        <v/>
      </c>
      <c r="P407" s="4">
        <f>交易明細!L206</f>
        <v/>
      </c>
      <c r="Q407" s="10">
        <f>IF(N407="已下單",O407*P407,0)</f>
        <v/>
      </c>
      <c r="R407" s="10">
        <f>R406+Q407</f>
        <v/>
      </c>
      <c r="S407" s="16">
        <f>S406-IF(N407="已下單",M407,0)</f>
        <v/>
      </c>
      <c r="T407" s="16">
        <f>R407-S407</f>
        <v/>
      </c>
      <c r="U407" s="2">
        <f>U406-IF(N407="已下單",1,0)</f>
        <v/>
      </c>
      <c r="V407" s="16">
        <f>IF(資金模擬!$B$9=2,MAX(R407,0),MAX(V406,FLOOR(MAX(R407,0),資金模擬!$B$6)))</f>
        <v/>
      </c>
      <c r="W407" s="10">
        <f>MAX(W406,R407)</f>
        <v/>
      </c>
      <c r="X407" s="4">
        <f>IF(W407&gt;0,R407/W407-1,-1)</f>
        <v/>
      </c>
      <c r="Y407" s="16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17" t="n">
        <v>0.22444</v>
      </c>
      <c r="H408" s="17" t="n">
        <v>0.2177068</v>
      </c>
      <c r="I408" s="17" t="n">
        <v>0.235662</v>
      </c>
      <c r="J408" s="17" t="n">
        <v>0.2177068</v>
      </c>
      <c r="K408" s="2" t="inlineStr">
        <is>
          <t>止盈</t>
        </is>
      </c>
      <c r="L408" s="5">
        <f>交易明細!K203</f>
        <v/>
      </c>
      <c r="M408" s="16">
        <f>M401</f>
        <v/>
      </c>
      <c r="N408" s="2">
        <f>N401</f>
        <v/>
      </c>
      <c r="O408" s="16">
        <f>O401</f>
        <v/>
      </c>
      <c r="P408" s="4">
        <f>交易明細!L203</f>
        <v/>
      </c>
      <c r="Q408" s="10">
        <f>IF(N408="已下單",O408*P408,0)</f>
        <v/>
      </c>
      <c r="R408" s="10">
        <f>R407+Q408</f>
        <v/>
      </c>
      <c r="S408" s="16">
        <f>S407-IF(N408="已下單",M408,0)</f>
        <v/>
      </c>
      <c r="T408" s="16">
        <f>R408-S408</f>
        <v/>
      </c>
      <c r="U408" s="2">
        <f>U407-IF(N408="已下單",1,0)</f>
        <v/>
      </c>
      <c r="V408" s="16">
        <f>IF(資金模擬!$B$9=2,MAX(R408,0),MAX(V407,FLOOR(MAX(R408,0),資金模擬!$B$6)))</f>
        <v/>
      </c>
      <c r="W408" s="10">
        <f>MAX(W407,R408)</f>
        <v/>
      </c>
      <c r="X408" s="4">
        <f>IF(W408&gt;0,R408/W408-1,-1)</f>
        <v/>
      </c>
      <c r="Y408" s="16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17" t="n">
        <v>0.06694</v>
      </c>
      <c r="H409" s="17" t="n">
        <v>0.0649318</v>
      </c>
      <c r="I409" s="17" t="n">
        <v>0.070287</v>
      </c>
      <c r="J409" s="17" t="n">
        <v>0.0649318</v>
      </c>
      <c r="K409" s="2" t="inlineStr">
        <is>
          <t>止盈</t>
        </is>
      </c>
      <c r="L409" s="5">
        <f>交易明細!K204</f>
        <v/>
      </c>
      <c r="M409" s="16">
        <f>M403</f>
        <v/>
      </c>
      <c r="N409" s="2">
        <f>N403</f>
        <v/>
      </c>
      <c r="O409" s="16">
        <f>O403</f>
        <v/>
      </c>
      <c r="P409" s="4">
        <f>交易明細!L204</f>
        <v/>
      </c>
      <c r="Q409" s="10">
        <f>IF(N409="已下單",O409*P409,0)</f>
        <v/>
      </c>
      <c r="R409" s="10">
        <f>R408+Q409</f>
        <v/>
      </c>
      <c r="S409" s="16">
        <f>S408-IF(N409="已下單",M409,0)</f>
        <v/>
      </c>
      <c r="T409" s="16">
        <f>R409-S409</f>
        <v/>
      </c>
      <c r="U409" s="2">
        <f>U408-IF(N409="已下單",1,0)</f>
        <v/>
      </c>
      <c r="V409" s="16">
        <f>IF(資金模擬!$B$9=2,MAX(R409,0),MAX(V408,FLOOR(MAX(R409,0),資金模擬!$B$6)))</f>
        <v/>
      </c>
      <c r="W409" s="10">
        <f>MAX(W408,R409)</f>
        <v/>
      </c>
      <c r="X409" s="4">
        <f>IF(W409&gt;0,R409/W409-1,-1)</f>
        <v/>
      </c>
      <c r="Y409" s="16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17" t="n">
        <v>0.1418</v>
      </c>
      <c r="H410" s="17" t="n">
        <v>0.137546</v>
      </c>
      <c r="I410" s="17" t="n">
        <v>0.14889</v>
      </c>
      <c r="J410" s="17" t="n">
        <v>0.137546</v>
      </c>
      <c r="K410" s="2" t="inlineStr">
        <is>
          <t>止盈</t>
        </is>
      </c>
      <c r="L410" s="5">
        <f>交易明細!K179</f>
        <v/>
      </c>
      <c r="M410" s="16">
        <f>M355</f>
        <v/>
      </c>
      <c r="N410" s="2">
        <f>N355</f>
        <v/>
      </c>
      <c r="O410" s="16">
        <f>O355</f>
        <v/>
      </c>
      <c r="P410" s="4">
        <f>交易明細!L179</f>
        <v/>
      </c>
      <c r="Q410" s="10">
        <f>IF(N410="已下單",O410*P410,0)</f>
        <v/>
      </c>
      <c r="R410" s="10">
        <f>R409+Q410</f>
        <v/>
      </c>
      <c r="S410" s="16">
        <f>S409-IF(N410="已下單",M410,0)</f>
        <v/>
      </c>
      <c r="T410" s="16">
        <f>R410-S410</f>
        <v/>
      </c>
      <c r="U410" s="2">
        <f>U409-IF(N410="已下單",1,0)</f>
        <v/>
      </c>
      <c r="V410" s="16">
        <f>IF(資金模擬!$B$9=2,MAX(R410,0),MAX(V409,FLOOR(MAX(R410,0),資金模擬!$B$6)))</f>
        <v/>
      </c>
      <c r="W410" s="10">
        <f>MAX(W409,R410)</f>
        <v/>
      </c>
      <c r="X410" s="4">
        <f>IF(W410&gt;0,R410/W410-1,-1)</f>
        <v/>
      </c>
      <c r="Y410" s="16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17" t="n">
        <v>22.673</v>
      </c>
      <c r="H411" s="17" t="n">
        <v>21.99281</v>
      </c>
      <c r="I411" s="17" t="n">
        <v>23.80665</v>
      </c>
      <c r="J411" s="17" t="n">
        <v>21.99281</v>
      </c>
      <c r="K411" s="2" t="inlineStr">
        <is>
          <t>止盈</t>
        </is>
      </c>
      <c r="L411" s="5">
        <f>交易明細!K205</f>
        <v/>
      </c>
      <c r="M411" s="16">
        <f>M404</f>
        <v/>
      </c>
      <c r="N411" s="2">
        <f>N404</f>
        <v/>
      </c>
      <c r="O411" s="16">
        <f>O404</f>
        <v/>
      </c>
      <c r="P411" s="4">
        <f>交易明細!L205</f>
        <v/>
      </c>
      <c r="Q411" s="10">
        <f>IF(N411="已下單",O411*P411,0)</f>
        <v/>
      </c>
      <c r="R411" s="10">
        <f>R410+Q411</f>
        <v/>
      </c>
      <c r="S411" s="16">
        <f>S410-IF(N411="已下單",M411,0)</f>
        <v/>
      </c>
      <c r="T411" s="16">
        <f>R411-S411</f>
        <v/>
      </c>
      <c r="U411" s="2">
        <f>U410-IF(N411="已下單",1,0)</f>
        <v/>
      </c>
      <c r="V411" s="16">
        <f>IF(資金模擬!$B$9=2,MAX(R411,0),MAX(V410,FLOOR(MAX(R411,0),資金模擬!$B$6)))</f>
        <v/>
      </c>
      <c r="W411" s="10">
        <f>MAX(W410,R411)</f>
        <v/>
      </c>
      <c r="X411" s="4">
        <f>IF(W411&gt;0,R411/W411-1,-1)</f>
        <v/>
      </c>
      <c r="Y411" s="16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17" t="n">
        <v>0.06630999999999999</v>
      </c>
      <c r="H412" s="17" t="n">
        <v>0.06432069999999999</v>
      </c>
      <c r="I412" s="17" t="n">
        <v>0.06962549999999999</v>
      </c>
      <c r="J412" s="17" t="n"/>
      <c r="K412" s="2" t="n"/>
      <c r="L412" s="5" t="n"/>
      <c r="M412" s="16">
        <f>資金模擬!$B$5*V411</f>
        <v/>
      </c>
      <c r="N412" s="2">
        <f>IF(Z411=1,"已停止",IF(T411&gt;=M412,"已下單","資金不足略過"))</f>
        <v/>
      </c>
      <c r="O412" s="16">
        <f>IF(N412="已下單",M412*資金模擬!$B$7,0)</f>
        <v/>
      </c>
      <c r="P412" s="4" t="n"/>
      <c r="Q412" s="10" t="n">
        <v>0</v>
      </c>
      <c r="R412" s="10">
        <f>R411+Q412</f>
        <v/>
      </c>
      <c r="S412" s="16">
        <f>S411+IF(N412="已下單",M412,0)</f>
        <v/>
      </c>
      <c r="T412" s="16">
        <f>R412-S412</f>
        <v/>
      </c>
      <c r="U412" s="2">
        <f>U411+IF(N412="已下單",1,0)</f>
        <v/>
      </c>
      <c r="V412" s="16">
        <f>IF(資金模擬!$B$9=2,MAX(R412,0),MAX(V411,FLOOR(MAX(R412,0),資金模擬!$B$6)))</f>
        <v/>
      </c>
      <c r="W412" s="10">
        <f>MAX(W411,R412)</f>
        <v/>
      </c>
      <c r="X412" s="4">
        <f>IF(W412&gt;0,R412/W412-1,-1)</f>
        <v/>
      </c>
      <c r="Y412" s="16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17" t="n">
        <v>0.06630999999999999</v>
      </c>
      <c r="H413" s="17" t="n">
        <v>0.06432069999999999</v>
      </c>
      <c r="I413" s="17" t="n">
        <v>0.06962549999999999</v>
      </c>
      <c r="J413" s="17" t="n">
        <v>0.06962549999999999</v>
      </c>
      <c r="K413" s="2" t="inlineStr">
        <is>
          <t>止損</t>
        </is>
      </c>
      <c r="L413" s="5">
        <f>交易明細!K207</f>
        <v/>
      </c>
      <c r="M413" s="16">
        <f>M412</f>
        <v/>
      </c>
      <c r="N413" s="2">
        <f>N412</f>
        <v/>
      </c>
      <c r="O413" s="16">
        <f>O412</f>
        <v/>
      </c>
      <c r="P413" s="4">
        <f>交易明細!L207</f>
        <v/>
      </c>
      <c r="Q413" s="10">
        <f>IF(N413="已下單",O413*P413,0)</f>
        <v/>
      </c>
      <c r="R413" s="10">
        <f>R412+Q413</f>
        <v/>
      </c>
      <c r="S413" s="16">
        <f>S412-IF(N413="已下單",M413,0)</f>
        <v/>
      </c>
      <c r="T413" s="16">
        <f>R413-S413</f>
        <v/>
      </c>
      <c r="U413" s="2">
        <f>U412-IF(N413="已下單",1,0)</f>
        <v/>
      </c>
      <c r="V413" s="16">
        <f>IF(資金模擬!$B$9=2,MAX(R413,0),MAX(V412,FLOOR(MAX(R413,0),資金模擬!$B$6)))</f>
        <v/>
      </c>
      <c r="W413" s="10">
        <f>MAX(W412,R413)</f>
        <v/>
      </c>
      <c r="X413" s="4">
        <f>IF(W413&gt;0,R413/W413-1,-1)</f>
        <v/>
      </c>
      <c r="Y413" s="16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17" t="n">
        <v>0.003569</v>
      </c>
      <c r="H414" s="17" t="n">
        <v>0.00346193</v>
      </c>
      <c r="I414" s="17" t="n">
        <v>0.00374745</v>
      </c>
      <c r="J414" s="17" t="n"/>
      <c r="K414" s="2" t="n"/>
      <c r="L414" s="5" t="n"/>
      <c r="M414" s="16">
        <f>資金模擬!$B$5*V413</f>
        <v/>
      </c>
      <c r="N414" s="2">
        <f>IF(Z413=1,"已停止",IF(T413&gt;=M414,"已下單","資金不足略過"))</f>
        <v/>
      </c>
      <c r="O414" s="16">
        <f>IF(N414="已下單",M414*資金模擬!$B$7,0)</f>
        <v/>
      </c>
      <c r="P414" s="4" t="n"/>
      <c r="Q414" s="10" t="n">
        <v>0</v>
      </c>
      <c r="R414" s="10">
        <f>R413+Q414</f>
        <v/>
      </c>
      <c r="S414" s="16">
        <f>S413+IF(N414="已下單",M414,0)</f>
        <v/>
      </c>
      <c r="T414" s="16">
        <f>R414-S414</f>
        <v/>
      </c>
      <c r="U414" s="2">
        <f>U413+IF(N414="已下單",1,0)</f>
        <v/>
      </c>
      <c r="V414" s="16">
        <f>IF(資金模擬!$B$9=2,MAX(R414,0),MAX(V413,FLOOR(MAX(R414,0),資金模擬!$B$6)))</f>
        <v/>
      </c>
      <c r="W414" s="10">
        <f>MAX(W413,R414)</f>
        <v/>
      </c>
      <c r="X414" s="4">
        <f>IF(W414&gt;0,R414/W414-1,-1)</f>
        <v/>
      </c>
      <c r="Y414" s="16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17" t="n">
        <v>0.06729</v>
      </c>
      <c r="H415" s="17" t="n">
        <v>0.0652713</v>
      </c>
      <c r="I415" s="17" t="n">
        <v>0.07065450000000001</v>
      </c>
      <c r="J415" s="17" t="n"/>
      <c r="K415" s="2" t="n"/>
      <c r="L415" s="5" t="n"/>
      <c r="M415" s="16">
        <f>資金模擬!$B$5*V414</f>
        <v/>
      </c>
      <c r="N415" s="2">
        <f>IF(Z414=1,"已停止",IF(T414&gt;=M415,"已下單","資金不足略過"))</f>
        <v/>
      </c>
      <c r="O415" s="16">
        <f>IF(N415="已下單",M415*資金模擬!$B$7,0)</f>
        <v/>
      </c>
      <c r="P415" s="4" t="n"/>
      <c r="Q415" s="10" t="n">
        <v>0</v>
      </c>
      <c r="R415" s="10">
        <f>R414+Q415</f>
        <v/>
      </c>
      <c r="S415" s="16">
        <f>S414+IF(N415="已下單",M415,0)</f>
        <v/>
      </c>
      <c r="T415" s="16">
        <f>R415-S415</f>
        <v/>
      </c>
      <c r="U415" s="2">
        <f>U414+IF(N415="已下單",1,0)</f>
        <v/>
      </c>
      <c r="V415" s="16">
        <f>IF(資金模擬!$B$9=2,MAX(R415,0),MAX(V414,FLOOR(MAX(R415,0),資金模擬!$B$6)))</f>
        <v/>
      </c>
      <c r="W415" s="10">
        <f>MAX(W414,R415)</f>
        <v/>
      </c>
      <c r="X415" s="4">
        <f>IF(W415&gt;0,R415/W415-1,-1)</f>
        <v/>
      </c>
      <c r="Y415" s="16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17" t="n">
        <v>0.06729</v>
      </c>
      <c r="H416" s="17" t="n">
        <v>0.0652713</v>
      </c>
      <c r="I416" s="17" t="n">
        <v>0.07065450000000001</v>
      </c>
      <c r="J416" s="17" t="n">
        <v>0.0652713</v>
      </c>
      <c r="K416" s="2" t="inlineStr">
        <is>
          <t>止盈</t>
        </is>
      </c>
      <c r="L416" s="5">
        <f>交易明細!K209</f>
        <v/>
      </c>
      <c r="M416" s="16">
        <f>M415</f>
        <v/>
      </c>
      <c r="N416" s="2">
        <f>N415</f>
        <v/>
      </c>
      <c r="O416" s="16">
        <f>O415</f>
        <v/>
      </c>
      <c r="P416" s="4">
        <f>交易明細!L209</f>
        <v/>
      </c>
      <c r="Q416" s="10">
        <f>IF(N416="已下單",O416*P416,0)</f>
        <v/>
      </c>
      <c r="R416" s="10">
        <f>R415+Q416</f>
        <v/>
      </c>
      <c r="S416" s="16">
        <f>S415-IF(N416="已下單",M416,0)</f>
        <v/>
      </c>
      <c r="T416" s="16">
        <f>R416-S416</f>
        <v/>
      </c>
      <c r="U416" s="2">
        <f>U415-IF(N416="已下單",1,0)</f>
        <v/>
      </c>
      <c r="V416" s="16">
        <f>IF(資金模擬!$B$9=2,MAX(R416,0),MAX(V415,FLOOR(MAX(R416,0),資金模擬!$B$6)))</f>
        <v/>
      </c>
      <c r="W416" s="10">
        <f>MAX(W415,R416)</f>
        <v/>
      </c>
      <c r="X416" s="4">
        <f>IF(W416&gt;0,R416/W416-1,-1)</f>
        <v/>
      </c>
      <c r="Y416" s="16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17" t="n">
        <v>0.21683</v>
      </c>
      <c r="H417" s="17" t="n">
        <v>0.2103251</v>
      </c>
      <c r="I417" s="17" t="n">
        <v>0.2276715</v>
      </c>
      <c r="J417" s="17" t="n"/>
      <c r="K417" s="2" t="n"/>
      <c r="L417" s="5" t="n"/>
      <c r="M417" s="16">
        <f>資金模擬!$B$5*V416</f>
        <v/>
      </c>
      <c r="N417" s="2">
        <f>IF(Z416=1,"已停止",IF(T416&gt;=M417,"已下單","資金不足略過"))</f>
        <v/>
      </c>
      <c r="O417" s="16">
        <f>IF(N417="已下單",M417*資金模擬!$B$7,0)</f>
        <v/>
      </c>
      <c r="P417" s="4" t="n"/>
      <c r="Q417" s="10" t="n">
        <v>0</v>
      </c>
      <c r="R417" s="10">
        <f>R416+Q417</f>
        <v/>
      </c>
      <c r="S417" s="16">
        <f>S416+IF(N417="已下單",M417,0)</f>
        <v/>
      </c>
      <c r="T417" s="16">
        <f>R417-S417</f>
        <v/>
      </c>
      <c r="U417" s="2">
        <f>U416+IF(N417="已下單",1,0)</f>
        <v/>
      </c>
      <c r="V417" s="16">
        <f>IF(資金模擬!$B$9=2,MAX(R417,0),MAX(V416,FLOOR(MAX(R417,0),資金模擬!$B$6)))</f>
        <v/>
      </c>
      <c r="W417" s="10">
        <f>MAX(W416,R417)</f>
        <v/>
      </c>
      <c r="X417" s="4">
        <f>IF(W417&gt;0,R417/W417-1,-1)</f>
        <v/>
      </c>
      <c r="Y417" s="16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17" t="n">
        <v>21.468</v>
      </c>
      <c r="H418" s="17" t="n">
        <v>20.82396</v>
      </c>
      <c r="I418" s="17" t="n">
        <v>22.5414</v>
      </c>
      <c r="J418" s="17" t="n"/>
      <c r="K418" s="2" t="n"/>
      <c r="L418" s="5" t="n"/>
      <c r="M418" s="16">
        <f>資金模擬!$B$5*V417</f>
        <v/>
      </c>
      <c r="N418" s="2">
        <f>IF(Z417=1,"已停止",IF(T417&gt;=M418,"已下單","資金不足略過"))</f>
        <v/>
      </c>
      <c r="O418" s="16">
        <f>IF(N418="已下單",M418*資金模擬!$B$7,0)</f>
        <v/>
      </c>
      <c r="P418" s="4" t="n"/>
      <c r="Q418" s="10" t="n">
        <v>0</v>
      </c>
      <c r="R418" s="10">
        <f>R417+Q418</f>
        <v/>
      </c>
      <c r="S418" s="16">
        <f>S417+IF(N418="已下單",M418,0)</f>
        <v/>
      </c>
      <c r="T418" s="16">
        <f>R418-S418</f>
        <v/>
      </c>
      <c r="U418" s="2">
        <f>U417+IF(N418="已下單",1,0)</f>
        <v/>
      </c>
      <c r="V418" s="16">
        <f>IF(資金模擬!$B$9=2,MAX(R418,0),MAX(V417,FLOOR(MAX(R418,0),資金模擬!$B$6)))</f>
        <v/>
      </c>
      <c r="W418" s="10">
        <f>MAX(W417,R418)</f>
        <v/>
      </c>
      <c r="X418" s="4">
        <f>IF(W418&gt;0,R418/W418-1,-1)</f>
        <v/>
      </c>
      <c r="Y418" s="16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17" t="n">
        <v>0.003569</v>
      </c>
      <c r="H419" s="17" t="n">
        <v>0.00346193</v>
      </c>
      <c r="I419" s="17" t="n">
        <v>0.00374745</v>
      </c>
      <c r="J419" s="17" t="n">
        <v>0.00346193</v>
      </c>
      <c r="K419" s="2" t="inlineStr">
        <is>
          <t>止盈</t>
        </is>
      </c>
      <c r="L419" s="5">
        <f>交易明細!K208</f>
        <v/>
      </c>
      <c r="M419" s="16">
        <f>M414</f>
        <v/>
      </c>
      <c r="N419" s="2">
        <f>N414</f>
        <v/>
      </c>
      <c r="O419" s="16">
        <f>O414</f>
        <v/>
      </c>
      <c r="P419" s="4">
        <f>交易明細!L208</f>
        <v/>
      </c>
      <c r="Q419" s="10">
        <f>IF(N419="已下單",O419*P419,0)</f>
        <v/>
      </c>
      <c r="R419" s="10">
        <f>R418+Q419</f>
        <v/>
      </c>
      <c r="S419" s="16">
        <f>S418-IF(N419="已下單",M419,0)</f>
        <v/>
      </c>
      <c r="T419" s="16">
        <f>R419-S419</f>
        <v/>
      </c>
      <c r="U419" s="2">
        <f>U418-IF(N419="已下單",1,0)</f>
        <v/>
      </c>
      <c r="V419" s="16">
        <f>IF(資金模擬!$B$9=2,MAX(R419,0),MAX(V418,FLOOR(MAX(R419,0),資金模擬!$B$6)))</f>
        <v/>
      </c>
      <c r="W419" s="10">
        <f>MAX(W418,R419)</f>
        <v/>
      </c>
      <c r="X419" s="4">
        <f>IF(W419&gt;0,R419/W419-1,-1)</f>
        <v/>
      </c>
      <c r="Y419" s="16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17" t="n">
        <v>0.21683</v>
      </c>
      <c r="H420" s="17" t="n">
        <v>0.2103251</v>
      </c>
      <c r="I420" s="17" t="n">
        <v>0.2276715</v>
      </c>
      <c r="J420" s="17" t="n">
        <v>0.2103251</v>
      </c>
      <c r="K420" s="2" t="inlineStr">
        <is>
          <t>止盈</t>
        </is>
      </c>
      <c r="L420" s="5">
        <f>交易明細!K210</f>
        <v/>
      </c>
      <c r="M420" s="16">
        <f>M417</f>
        <v/>
      </c>
      <c r="N420" s="2">
        <f>N417</f>
        <v/>
      </c>
      <c r="O420" s="16">
        <f>O417</f>
        <v/>
      </c>
      <c r="P420" s="4">
        <f>交易明細!L210</f>
        <v/>
      </c>
      <c r="Q420" s="10">
        <f>IF(N420="已下單",O420*P420,0)</f>
        <v/>
      </c>
      <c r="R420" s="10">
        <f>R419+Q420</f>
        <v/>
      </c>
      <c r="S420" s="16">
        <f>S419-IF(N420="已下單",M420,0)</f>
        <v/>
      </c>
      <c r="T420" s="16">
        <f>R420-S420</f>
        <v/>
      </c>
      <c r="U420" s="2">
        <f>U419-IF(N420="已下單",1,0)</f>
        <v/>
      </c>
      <c r="V420" s="16">
        <f>IF(資金模擬!$B$9=2,MAX(R420,0),MAX(V419,FLOOR(MAX(R420,0),資金模擬!$B$6)))</f>
        <v/>
      </c>
      <c r="W420" s="10">
        <f>MAX(W419,R420)</f>
        <v/>
      </c>
      <c r="X420" s="4">
        <f>IF(W420&gt;0,R420/W420-1,-1)</f>
        <v/>
      </c>
      <c r="Y420" s="16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17" t="n">
        <v>0.70762</v>
      </c>
      <c r="H421" s="17" t="n">
        <v>0.7288486000000001</v>
      </c>
      <c r="I421" s="17" t="n">
        <v>0.672239</v>
      </c>
      <c r="J421" s="17" t="n"/>
      <c r="K421" s="2" t="n"/>
      <c r="L421" s="5" t="n"/>
      <c r="M421" s="16">
        <f>資金模擬!$B$5*V420</f>
        <v/>
      </c>
      <c r="N421" s="2">
        <f>IF(Z420=1,"已停止",IF(T420&gt;=M421,"已下單","資金不足略過"))</f>
        <v/>
      </c>
      <c r="O421" s="16">
        <f>IF(N421="已下單",M421*資金模擬!$B$7,0)</f>
        <v/>
      </c>
      <c r="P421" s="4" t="n"/>
      <c r="Q421" s="10" t="n">
        <v>0</v>
      </c>
      <c r="R421" s="10">
        <f>R420+Q421</f>
        <v/>
      </c>
      <c r="S421" s="16">
        <f>S420+IF(N421="已下單",M421,0)</f>
        <v/>
      </c>
      <c r="T421" s="16">
        <f>R421-S421</f>
        <v/>
      </c>
      <c r="U421" s="2">
        <f>U420+IF(N421="已下單",1,0)</f>
        <v/>
      </c>
      <c r="V421" s="16">
        <f>IF(資金模擬!$B$9=2,MAX(R421,0),MAX(V420,FLOOR(MAX(R421,0),資金模擬!$B$6)))</f>
        <v/>
      </c>
      <c r="W421" s="10">
        <f>MAX(W420,R421)</f>
        <v/>
      </c>
      <c r="X421" s="4">
        <f>IF(W421&gt;0,R421/W421-1,-1)</f>
        <v/>
      </c>
      <c r="Y421" s="16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17" t="n">
        <v>21.468</v>
      </c>
      <c r="H422" s="17" t="n">
        <v>20.82396</v>
      </c>
      <c r="I422" s="17" t="n">
        <v>22.5414</v>
      </c>
      <c r="J422" s="17" t="n">
        <v>22.5414</v>
      </c>
      <c r="K422" s="2" t="inlineStr">
        <is>
          <t>止損</t>
        </is>
      </c>
      <c r="L422" s="5">
        <f>交易明細!K211</f>
        <v/>
      </c>
      <c r="M422" s="16">
        <f>M418</f>
        <v/>
      </c>
      <c r="N422" s="2">
        <f>N418</f>
        <v/>
      </c>
      <c r="O422" s="16">
        <f>O418</f>
        <v/>
      </c>
      <c r="P422" s="4">
        <f>交易明細!L211</f>
        <v/>
      </c>
      <c r="Q422" s="10">
        <f>IF(N422="已下單",O422*P422,0)</f>
        <v/>
      </c>
      <c r="R422" s="10">
        <f>R421+Q422</f>
        <v/>
      </c>
      <c r="S422" s="16">
        <f>S421-IF(N422="已下單",M422,0)</f>
        <v/>
      </c>
      <c r="T422" s="16">
        <f>R422-S422</f>
        <v/>
      </c>
      <c r="U422" s="2">
        <f>U421-IF(N422="已下單",1,0)</f>
        <v/>
      </c>
      <c r="V422" s="16">
        <f>IF(資金模擬!$B$9=2,MAX(R422,0),MAX(V421,FLOOR(MAX(R422,0),資金模擬!$B$6)))</f>
        <v/>
      </c>
      <c r="W422" s="10">
        <f>MAX(W421,R422)</f>
        <v/>
      </c>
      <c r="X422" s="4">
        <f>IF(W422&gt;0,R422/W422-1,-1)</f>
        <v/>
      </c>
      <c r="Y422" s="16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17" t="n">
        <v>0.70762</v>
      </c>
      <c r="H423" s="17" t="n">
        <v>0.7288486000000001</v>
      </c>
      <c r="I423" s="17" t="n">
        <v>0.672239</v>
      </c>
      <c r="J423" s="17" t="n">
        <v>0.672239</v>
      </c>
      <c r="K423" s="2" t="inlineStr">
        <is>
          <t>止損</t>
        </is>
      </c>
      <c r="L423" s="5">
        <f>交易明細!K212</f>
        <v/>
      </c>
      <c r="M423" s="16">
        <f>M421</f>
        <v/>
      </c>
      <c r="N423" s="2">
        <f>N421</f>
        <v/>
      </c>
      <c r="O423" s="16">
        <f>O421</f>
        <v/>
      </c>
      <c r="P423" s="4">
        <f>交易明細!L212</f>
        <v/>
      </c>
      <c r="Q423" s="10">
        <f>IF(N423="已下單",O423*P423,0)</f>
        <v/>
      </c>
      <c r="R423" s="10">
        <f>R422+Q423</f>
        <v/>
      </c>
      <c r="S423" s="16">
        <f>S422-IF(N423="已下單",M423,0)</f>
        <v/>
      </c>
      <c r="T423" s="16">
        <f>R423-S423</f>
        <v/>
      </c>
      <c r="U423" s="2">
        <f>U422-IF(N423="已下單",1,0)</f>
        <v/>
      </c>
      <c r="V423" s="16">
        <f>IF(資金模擬!$B$9=2,MAX(R423,0),MAX(V422,FLOOR(MAX(R423,0),資金模擬!$B$6)))</f>
        <v/>
      </c>
      <c r="W423" s="10">
        <f>MAX(W422,R423)</f>
        <v/>
      </c>
      <c r="X423" s="4">
        <f>IF(W423&gt;0,R423/W423-1,-1)</f>
        <v/>
      </c>
      <c r="Y423" s="16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17" t="n">
        <v>0.11776</v>
      </c>
      <c r="H424" s="17" t="n">
        <v>0.1142272</v>
      </c>
      <c r="I424" s="17" t="n">
        <v>0.123648</v>
      </c>
      <c r="J424" s="17" t="n"/>
      <c r="K424" s="2" t="n"/>
      <c r="L424" s="5" t="n"/>
      <c r="M424" s="16">
        <f>資金模擬!$B$5*V423</f>
        <v/>
      </c>
      <c r="N424" s="2">
        <f>IF(Z423=1,"已停止",IF(T423&gt;=M424,"已下單","資金不足略過"))</f>
        <v/>
      </c>
      <c r="O424" s="16">
        <f>IF(N424="已下單",M424*資金模擬!$B$7,0)</f>
        <v/>
      </c>
      <c r="P424" s="4" t="n"/>
      <c r="Q424" s="10" t="n">
        <v>0</v>
      </c>
      <c r="R424" s="10">
        <f>R423+Q424</f>
        <v/>
      </c>
      <c r="S424" s="16">
        <f>S423+IF(N424="已下單",M424,0)</f>
        <v/>
      </c>
      <c r="T424" s="16">
        <f>R424-S424</f>
        <v/>
      </c>
      <c r="U424" s="2">
        <f>U423+IF(N424="已下單",1,0)</f>
        <v/>
      </c>
      <c r="V424" s="16">
        <f>IF(資金模擬!$B$9=2,MAX(R424,0),MAX(V423,FLOOR(MAX(R424,0),資金模擬!$B$6)))</f>
        <v/>
      </c>
      <c r="W424" s="10">
        <f>MAX(W423,R424)</f>
        <v/>
      </c>
      <c r="X424" s="4">
        <f>IF(W424&gt;0,R424/W424-1,-1)</f>
        <v/>
      </c>
      <c r="Y424" s="16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17" t="n">
        <v>0.11776</v>
      </c>
      <c r="H425" s="17" t="n">
        <v>0.1142272</v>
      </c>
      <c r="I425" s="17" t="n">
        <v>0.123648</v>
      </c>
      <c r="J425" s="17" t="n">
        <v>0.123648</v>
      </c>
      <c r="K425" s="2" t="inlineStr">
        <is>
          <t>止損</t>
        </is>
      </c>
      <c r="L425" s="5">
        <f>交易明細!K213</f>
        <v/>
      </c>
      <c r="M425" s="16">
        <f>M424</f>
        <v/>
      </c>
      <c r="N425" s="2">
        <f>N424</f>
        <v/>
      </c>
      <c r="O425" s="16">
        <f>O424</f>
        <v/>
      </c>
      <c r="P425" s="4">
        <f>交易明細!L213</f>
        <v/>
      </c>
      <c r="Q425" s="10">
        <f>IF(N425="已下單",O425*P425,0)</f>
        <v/>
      </c>
      <c r="R425" s="10">
        <f>R424+Q425</f>
        <v/>
      </c>
      <c r="S425" s="16">
        <f>S424-IF(N425="已下單",M425,0)</f>
        <v/>
      </c>
      <c r="T425" s="16">
        <f>R425-S425</f>
        <v/>
      </c>
      <c r="U425" s="2">
        <f>U424-IF(N425="已下單",1,0)</f>
        <v/>
      </c>
      <c r="V425" s="16">
        <f>IF(資金模擬!$B$9=2,MAX(R425,0),MAX(V424,FLOOR(MAX(R425,0),資金模擬!$B$6)))</f>
        <v/>
      </c>
      <c r="W425" s="10">
        <f>MAX(W424,R425)</f>
        <v/>
      </c>
      <c r="X425" s="4">
        <f>IF(W425&gt;0,R425/W425-1,-1)</f>
        <v/>
      </c>
      <c r="Y425" s="16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17" t="n">
        <v>0.996</v>
      </c>
      <c r="H426" s="17" t="n">
        <v>1.02588</v>
      </c>
      <c r="I426" s="17" t="n">
        <v>0.9461999999999999</v>
      </c>
      <c r="J426" s="17" t="n"/>
      <c r="K426" s="2" t="n"/>
      <c r="L426" s="5" t="n"/>
      <c r="M426" s="16">
        <f>資金模擬!$B$5*V425</f>
        <v/>
      </c>
      <c r="N426" s="2">
        <f>IF(Z425=1,"已停止",IF(T425&gt;=M426,"已下單","資金不足略過"))</f>
        <v/>
      </c>
      <c r="O426" s="16">
        <f>IF(N426="已下單",M426*資金模擬!$B$7,0)</f>
        <v/>
      </c>
      <c r="P426" s="4" t="n"/>
      <c r="Q426" s="10" t="n">
        <v>0</v>
      </c>
      <c r="R426" s="10">
        <f>R425+Q426</f>
        <v/>
      </c>
      <c r="S426" s="16">
        <f>S425+IF(N426="已下單",M426,0)</f>
        <v/>
      </c>
      <c r="T426" s="16">
        <f>R426-S426</f>
        <v/>
      </c>
      <c r="U426" s="2">
        <f>U425+IF(N426="已下單",1,0)</f>
        <v/>
      </c>
      <c r="V426" s="16">
        <f>IF(資金模擬!$B$9=2,MAX(R426,0),MAX(V425,FLOOR(MAX(R426,0),資金模擬!$B$6)))</f>
        <v/>
      </c>
      <c r="W426" s="10">
        <f>MAX(W425,R426)</f>
        <v/>
      </c>
      <c r="X426" s="4">
        <f>IF(W426&gt;0,R426/W426-1,-1)</f>
        <v/>
      </c>
      <c r="Y426" s="16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17" t="n">
        <v>0.9222</v>
      </c>
      <c r="H427" s="17" t="n">
        <v>0.9498660000000001</v>
      </c>
      <c r="I427" s="17" t="n">
        <v>0.8760899999999999</v>
      </c>
      <c r="J427" s="17" t="n"/>
      <c r="K427" s="2" t="n"/>
      <c r="L427" s="5" t="n"/>
      <c r="M427" s="16">
        <f>資金模擬!$B$5*V426</f>
        <v/>
      </c>
      <c r="N427" s="2">
        <f>IF(Z426=1,"已停止",IF(T426&gt;=M427,"已下單","資金不足略過"))</f>
        <v/>
      </c>
      <c r="O427" s="16">
        <f>IF(N427="已下單",M427*資金模擬!$B$7,0)</f>
        <v/>
      </c>
      <c r="P427" s="4" t="n"/>
      <c r="Q427" s="10" t="n">
        <v>0</v>
      </c>
      <c r="R427" s="10">
        <f>R426+Q427</f>
        <v/>
      </c>
      <c r="S427" s="16">
        <f>S426+IF(N427="已下單",M427,0)</f>
        <v/>
      </c>
      <c r="T427" s="16">
        <f>R427-S427</f>
        <v/>
      </c>
      <c r="U427" s="2">
        <f>U426+IF(N427="已下單",1,0)</f>
        <v/>
      </c>
      <c r="V427" s="16">
        <f>IF(資金模擬!$B$9=2,MAX(R427,0),MAX(V426,FLOOR(MAX(R427,0),資金模擬!$B$6)))</f>
        <v/>
      </c>
      <c r="W427" s="10">
        <f>MAX(W426,R427)</f>
        <v/>
      </c>
      <c r="X427" s="4">
        <f>IF(W427&gt;0,R427/W427-1,-1)</f>
        <v/>
      </c>
      <c r="Y427" s="16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17" t="n">
        <v>0.5661</v>
      </c>
      <c r="H428" s="17" t="n">
        <v>0.583083</v>
      </c>
      <c r="I428" s="17" t="n">
        <v>0.537795</v>
      </c>
      <c r="J428" s="17" t="n"/>
      <c r="K428" s="2" t="n"/>
      <c r="L428" s="5" t="n"/>
      <c r="M428" s="16">
        <f>資金模擬!$B$5*V427</f>
        <v/>
      </c>
      <c r="N428" s="2">
        <f>IF(Z427=1,"已停止",IF(T427&gt;=M428,"已下單","資金不足略過"))</f>
        <v/>
      </c>
      <c r="O428" s="16">
        <f>IF(N428="已下單",M428*資金模擬!$B$7,0)</f>
        <v/>
      </c>
      <c r="P428" s="4" t="n"/>
      <c r="Q428" s="10" t="n">
        <v>0</v>
      </c>
      <c r="R428" s="10">
        <f>R427+Q428</f>
        <v/>
      </c>
      <c r="S428" s="16">
        <f>S427+IF(N428="已下單",M428,0)</f>
        <v/>
      </c>
      <c r="T428" s="16">
        <f>R428-S428</f>
        <v/>
      </c>
      <c r="U428" s="2">
        <f>U427+IF(N428="已下單",1,0)</f>
        <v/>
      </c>
      <c r="V428" s="16">
        <f>IF(資金模擬!$B$9=2,MAX(R428,0),MAX(V427,FLOOR(MAX(R428,0),資金模擬!$B$6)))</f>
        <v/>
      </c>
      <c r="W428" s="10">
        <f>MAX(W427,R428)</f>
        <v/>
      </c>
      <c r="X428" s="4">
        <f>IF(W428&gt;0,R428/W428-1,-1)</f>
        <v/>
      </c>
      <c r="Y428" s="16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17" t="n">
        <v>0.12014</v>
      </c>
      <c r="H429" s="17" t="n">
        <v>0.1165358</v>
      </c>
      <c r="I429" s="17" t="n">
        <v>0.126147</v>
      </c>
      <c r="J429" s="17" t="n"/>
      <c r="K429" s="2" t="n"/>
      <c r="L429" s="5" t="n"/>
      <c r="M429" s="16">
        <f>資金模擬!$B$5*V428</f>
        <v/>
      </c>
      <c r="N429" s="2">
        <f>IF(Z428=1,"已停止",IF(T428&gt;=M429,"已下單","資金不足略過"))</f>
        <v/>
      </c>
      <c r="O429" s="16">
        <f>IF(N429="已下單",M429*資金模擬!$B$7,0)</f>
        <v/>
      </c>
      <c r="P429" s="4" t="n"/>
      <c r="Q429" s="10" t="n">
        <v>0</v>
      </c>
      <c r="R429" s="10">
        <f>R428+Q429</f>
        <v/>
      </c>
      <c r="S429" s="16">
        <f>S428+IF(N429="已下單",M429,0)</f>
        <v/>
      </c>
      <c r="T429" s="16">
        <f>R429-S429</f>
        <v/>
      </c>
      <c r="U429" s="2">
        <f>U428+IF(N429="已下單",1,0)</f>
        <v/>
      </c>
      <c r="V429" s="16">
        <f>IF(資金模擬!$B$9=2,MAX(R429,0),MAX(V428,FLOOR(MAX(R429,0),資金模擬!$B$6)))</f>
        <v/>
      </c>
      <c r="W429" s="10">
        <f>MAX(W428,R429)</f>
        <v/>
      </c>
      <c r="X429" s="4">
        <f>IF(W429&gt;0,R429/W429-1,-1)</f>
        <v/>
      </c>
      <c r="Y429" s="16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17" t="n">
        <v>0.9222</v>
      </c>
      <c r="H430" s="17" t="n">
        <v>0.9498660000000001</v>
      </c>
      <c r="I430" s="17" t="n">
        <v>0.8760899999999999</v>
      </c>
      <c r="J430" s="17" t="n">
        <v>0.9498660000000001</v>
      </c>
      <c r="K430" s="2" t="inlineStr">
        <is>
          <t>止盈</t>
        </is>
      </c>
      <c r="L430" s="5">
        <f>交易明細!K215</f>
        <v/>
      </c>
      <c r="M430" s="16">
        <f>M427</f>
        <v/>
      </c>
      <c r="N430" s="2">
        <f>N427</f>
        <v/>
      </c>
      <c r="O430" s="16">
        <f>O427</f>
        <v/>
      </c>
      <c r="P430" s="4">
        <f>交易明細!L215</f>
        <v/>
      </c>
      <c r="Q430" s="10">
        <f>IF(N430="已下單",O430*P430,0)</f>
        <v/>
      </c>
      <c r="R430" s="10">
        <f>R429+Q430</f>
        <v/>
      </c>
      <c r="S430" s="16">
        <f>S429-IF(N430="已下單",M430,0)</f>
        <v/>
      </c>
      <c r="T430" s="16">
        <f>R430-S430</f>
        <v/>
      </c>
      <c r="U430" s="2">
        <f>U429-IF(N430="已下單",1,0)</f>
        <v/>
      </c>
      <c r="V430" s="16">
        <f>IF(資金模擬!$B$9=2,MAX(R430,0),MAX(V429,FLOOR(MAX(R430,0),資金模擬!$B$6)))</f>
        <v/>
      </c>
      <c r="W430" s="10">
        <f>MAX(W429,R430)</f>
        <v/>
      </c>
      <c r="X430" s="4">
        <f>IF(W430&gt;0,R430/W430-1,-1)</f>
        <v/>
      </c>
      <c r="Y430" s="16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17" t="n">
        <v>0.12014</v>
      </c>
      <c r="H431" s="17" t="n">
        <v>0.1165358</v>
      </c>
      <c r="I431" s="17" t="n">
        <v>0.126147</v>
      </c>
      <c r="J431" s="17" t="n">
        <v>0.1165358</v>
      </c>
      <c r="K431" s="2" t="inlineStr">
        <is>
          <t>止盈</t>
        </is>
      </c>
      <c r="L431" s="5">
        <f>交易明細!K217</f>
        <v/>
      </c>
      <c r="M431" s="16">
        <f>M429</f>
        <v/>
      </c>
      <c r="N431" s="2">
        <f>N429</f>
        <v/>
      </c>
      <c r="O431" s="16">
        <f>O429</f>
        <v/>
      </c>
      <c r="P431" s="4">
        <f>交易明細!L217</f>
        <v/>
      </c>
      <c r="Q431" s="10">
        <f>IF(N431="已下單",O431*P431,0)</f>
        <v/>
      </c>
      <c r="R431" s="10">
        <f>R430+Q431</f>
        <v/>
      </c>
      <c r="S431" s="16">
        <f>S430-IF(N431="已下單",M431,0)</f>
        <v/>
      </c>
      <c r="T431" s="16">
        <f>R431-S431</f>
        <v/>
      </c>
      <c r="U431" s="2">
        <f>U430-IF(N431="已下單",1,0)</f>
        <v/>
      </c>
      <c r="V431" s="16">
        <f>IF(資金模擬!$B$9=2,MAX(R431,0),MAX(V430,FLOOR(MAX(R431,0),資金模擬!$B$6)))</f>
        <v/>
      </c>
      <c r="W431" s="10">
        <f>MAX(W430,R431)</f>
        <v/>
      </c>
      <c r="X431" s="4">
        <f>IF(W431&gt;0,R431/W431-1,-1)</f>
        <v/>
      </c>
      <c r="Y431" s="16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17" t="n">
        <v>0.20271</v>
      </c>
      <c r="H432" s="17" t="n">
        <v>0.1966287</v>
      </c>
      <c r="I432" s="17" t="n">
        <v>0.2128455</v>
      </c>
      <c r="J432" s="17" t="n"/>
      <c r="K432" s="2" t="n"/>
      <c r="L432" s="5" t="n"/>
      <c r="M432" s="16">
        <f>資金模擬!$B$5*V431</f>
        <v/>
      </c>
      <c r="N432" s="2">
        <f>IF(Z431=1,"已停止",IF(T431&gt;=M432,"已下單","資金不足略過"))</f>
        <v/>
      </c>
      <c r="O432" s="16">
        <f>IF(N432="已下單",M432*資金模擬!$B$7,0)</f>
        <v/>
      </c>
      <c r="P432" s="4" t="n"/>
      <c r="Q432" s="10" t="n">
        <v>0</v>
      </c>
      <c r="R432" s="10">
        <f>R431+Q432</f>
        <v/>
      </c>
      <c r="S432" s="16">
        <f>S431+IF(N432="已下單",M432,0)</f>
        <v/>
      </c>
      <c r="T432" s="16">
        <f>R432-S432</f>
        <v/>
      </c>
      <c r="U432" s="2">
        <f>U431+IF(N432="已下單",1,0)</f>
        <v/>
      </c>
      <c r="V432" s="16">
        <f>IF(資金模擬!$B$9=2,MAX(R432,0),MAX(V431,FLOOR(MAX(R432,0),資金模擬!$B$6)))</f>
        <v/>
      </c>
      <c r="W432" s="10">
        <f>MAX(W431,R432)</f>
        <v/>
      </c>
      <c r="X432" s="4">
        <f>IF(W432&gt;0,R432/W432-1,-1)</f>
        <v/>
      </c>
      <c r="Y432" s="16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17" t="n">
        <v>0.996</v>
      </c>
      <c r="H433" s="17" t="n">
        <v>1.02588</v>
      </c>
      <c r="I433" s="17" t="n">
        <v>0.9461999999999999</v>
      </c>
      <c r="J433" s="17" t="n">
        <v>1.02588</v>
      </c>
      <c r="K433" s="2" t="inlineStr">
        <is>
          <t>止盈</t>
        </is>
      </c>
      <c r="L433" s="5">
        <f>交易明細!K214</f>
        <v/>
      </c>
      <c r="M433" s="16">
        <f>M426</f>
        <v/>
      </c>
      <c r="N433" s="2">
        <f>N426</f>
        <v/>
      </c>
      <c r="O433" s="16">
        <f>O426</f>
        <v/>
      </c>
      <c r="P433" s="4">
        <f>交易明細!L214</f>
        <v/>
      </c>
      <c r="Q433" s="10">
        <f>IF(N433="已下單",O433*P433,0)</f>
        <v/>
      </c>
      <c r="R433" s="10">
        <f>R432+Q433</f>
        <v/>
      </c>
      <c r="S433" s="16">
        <f>S432-IF(N433="已下單",M433,0)</f>
        <v/>
      </c>
      <c r="T433" s="16">
        <f>R433-S433</f>
        <v/>
      </c>
      <c r="U433" s="2">
        <f>U432-IF(N433="已下單",1,0)</f>
        <v/>
      </c>
      <c r="V433" s="16">
        <f>IF(資金模擬!$B$9=2,MAX(R433,0),MAX(V432,FLOOR(MAX(R433,0),資金模擬!$B$6)))</f>
        <v/>
      </c>
      <c r="W433" s="10">
        <f>MAX(W432,R433)</f>
        <v/>
      </c>
      <c r="X433" s="4">
        <f>IF(W433&gt;0,R433/W433-1,-1)</f>
        <v/>
      </c>
      <c r="Y433" s="16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17" t="n">
        <v>0.8768</v>
      </c>
      <c r="H434" s="17" t="n">
        <v>0.850496</v>
      </c>
      <c r="I434" s="17" t="n">
        <v>0.92064</v>
      </c>
      <c r="J434" s="17" t="n"/>
      <c r="K434" s="2" t="n"/>
      <c r="L434" s="5" t="n"/>
      <c r="M434" s="16">
        <f>資金模擬!$B$5*V433</f>
        <v/>
      </c>
      <c r="N434" s="2">
        <f>IF(Z433=1,"已停止",IF(T433&gt;=M434,"已下單","資金不足略過"))</f>
        <v/>
      </c>
      <c r="O434" s="16">
        <f>IF(N434="已下單",M434*資金模擬!$B$7,0)</f>
        <v/>
      </c>
      <c r="P434" s="4" t="n"/>
      <c r="Q434" s="10" t="n">
        <v>0</v>
      </c>
      <c r="R434" s="10">
        <f>R433+Q434</f>
        <v/>
      </c>
      <c r="S434" s="16">
        <f>S433+IF(N434="已下單",M434,0)</f>
        <v/>
      </c>
      <c r="T434" s="16">
        <f>R434-S434</f>
        <v/>
      </c>
      <c r="U434" s="2">
        <f>U433+IF(N434="已下單",1,0)</f>
        <v/>
      </c>
      <c r="V434" s="16">
        <f>IF(資金模擬!$B$9=2,MAX(R434,0),MAX(V433,FLOOR(MAX(R434,0),資金模擬!$B$6)))</f>
        <v/>
      </c>
      <c r="W434" s="10">
        <f>MAX(W433,R434)</f>
        <v/>
      </c>
      <c r="X434" s="4">
        <f>IF(W434&gt;0,R434/W434-1,-1)</f>
        <v/>
      </c>
      <c r="Y434" s="16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17" t="n">
        <v>0.8768</v>
      </c>
      <c r="H435" s="17" t="n">
        <v>0.850496</v>
      </c>
      <c r="I435" s="17" t="n">
        <v>0.92064</v>
      </c>
      <c r="J435" s="17" t="n">
        <v>0.850496</v>
      </c>
      <c r="K435" s="2" t="inlineStr">
        <is>
          <t>止盈</t>
        </is>
      </c>
      <c r="L435" s="5">
        <f>交易明細!K219</f>
        <v/>
      </c>
      <c r="M435" s="16">
        <f>M434</f>
        <v/>
      </c>
      <c r="N435" s="2">
        <f>N434</f>
        <v/>
      </c>
      <c r="O435" s="16">
        <f>O434</f>
        <v/>
      </c>
      <c r="P435" s="4">
        <f>交易明細!L219</f>
        <v/>
      </c>
      <c r="Q435" s="10">
        <f>IF(N435="已下單",O435*P435,0)</f>
        <v/>
      </c>
      <c r="R435" s="10">
        <f>R434+Q435</f>
        <v/>
      </c>
      <c r="S435" s="16">
        <f>S434-IF(N435="已下單",M435,0)</f>
        <v/>
      </c>
      <c r="T435" s="16">
        <f>R435-S435</f>
        <v/>
      </c>
      <c r="U435" s="2">
        <f>U434-IF(N435="已下單",1,0)</f>
        <v/>
      </c>
      <c r="V435" s="16">
        <f>IF(資金模擬!$B$9=2,MAX(R435,0),MAX(V434,FLOOR(MAX(R435,0),資金模擬!$B$6)))</f>
        <v/>
      </c>
      <c r="W435" s="10">
        <f>MAX(W434,R435)</f>
        <v/>
      </c>
      <c r="X435" s="4">
        <f>IF(W435&gt;0,R435/W435-1,-1)</f>
        <v/>
      </c>
      <c r="Y435" s="16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17" t="n">
        <v>0.20271</v>
      </c>
      <c r="H436" s="17" t="n">
        <v>0.1966287</v>
      </c>
      <c r="I436" s="17" t="n">
        <v>0.2128455</v>
      </c>
      <c r="J436" s="17" t="n">
        <v>0.1966287</v>
      </c>
      <c r="K436" s="2" t="inlineStr">
        <is>
          <t>止盈</t>
        </is>
      </c>
      <c r="L436" s="5">
        <f>交易明細!K218</f>
        <v/>
      </c>
      <c r="M436" s="16">
        <f>M432</f>
        <v/>
      </c>
      <c r="N436" s="2">
        <f>N432</f>
        <v/>
      </c>
      <c r="O436" s="16">
        <f>O432</f>
        <v/>
      </c>
      <c r="P436" s="4">
        <f>交易明細!L218</f>
        <v/>
      </c>
      <c r="Q436" s="10">
        <f>IF(N436="已下單",O436*P436,0)</f>
        <v/>
      </c>
      <c r="R436" s="10">
        <f>R435+Q436</f>
        <v/>
      </c>
      <c r="S436" s="16">
        <f>S435-IF(N436="已下單",M436,0)</f>
        <v/>
      </c>
      <c r="T436" s="16">
        <f>R436-S436</f>
        <v/>
      </c>
      <c r="U436" s="2">
        <f>U435-IF(N436="已下單",1,0)</f>
        <v/>
      </c>
      <c r="V436" s="16">
        <f>IF(資金模擬!$B$9=2,MAX(R436,0),MAX(V435,FLOOR(MAX(R436,0),資金模擬!$B$6)))</f>
        <v/>
      </c>
      <c r="W436" s="10">
        <f>MAX(W435,R436)</f>
        <v/>
      </c>
      <c r="X436" s="4">
        <f>IF(W436&gt;0,R436/W436-1,-1)</f>
        <v/>
      </c>
      <c r="Y436" s="16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17" t="n">
        <v>0.5661</v>
      </c>
      <c r="H437" s="17" t="n">
        <v>0.583083</v>
      </c>
      <c r="I437" s="17" t="n">
        <v>0.537795</v>
      </c>
      <c r="J437" s="17" t="n">
        <v>0.537795</v>
      </c>
      <c r="K437" s="2" t="inlineStr">
        <is>
          <t>止損</t>
        </is>
      </c>
      <c r="L437" s="5">
        <f>交易明細!K216</f>
        <v/>
      </c>
      <c r="M437" s="16">
        <f>M428</f>
        <v/>
      </c>
      <c r="N437" s="2">
        <f>N428</f>
        <v/>
      </c>
      <c r="O437" s="16">
        <f>O428</f>
        <v/>
      </c>
      <c r="P437" s="4">
        <f>交易明細!L216</f>
        <v/>
      </c>
      <c r="Q437" s="10">
        <f>IF(N437="已下單",O437*P437,0)</f>
        <v/>
      </c>
      <c r="R437" s="10">
        <f>R436+Q437</f>
        <v/>
      </c>
      <c r="S437" s="16">
        <f>S436-IF(N437="已下單",M437,0)</f>
        <v/>
      </c>
      <c r="T437" s="16">
        <f>R437-S437</f>
        <v/>
      </c>
      <c r="U437" s="2">
        <f>U436-IF(N437="已下單",1,0)</f>
        <v/>
      </c>
      <c r="V437" s="16">
        <f>IF(資金模擬!$B$9=2,MAX(R437,0),MAX(V436,FLOOR(MAX(R437,0),資金模擬!$B$6)))</f>
        <v/>
      </c>
      <c r="W437" s="10">
        <f>MAX(W436,R437)</f>
        <v/>
      </c>
      <c r="X437" s="4">
        <f>IF(W437&gt;0,R437/W437-1,-1)</f>
        <v/>
      </c>
      <c r="Y437" s="16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17" t="n">
        <v>0.5794</v>
      </c>
      <c r="H438" s="17" t="n">
        <v>0.596782</v>
      </c>
      <c r="I438" s="17" t="n">
        <v>0.55043</v>
      </c>
      <c r="J438" s="17" t="n"/>
      <c r="K438" s="2" t="n"/>
      <c r="L438" s="5" t="n"/>
      <c r="M438" s="16">
        <f>資金模擬!$B$5*V437</f>
        <v/>
      </c>
      <c r="N438" s="2">
        <f>IF(Z437=1,"已停止",IF(T437&gt;=M438,"已下單","資金不足略過"))</f>
        <v/>
      </c>
      <c r="O438" s="16">
        <f>IF(N438="已下單",M438*資金模擬!$B$7,0)</f>
        <v/>
      </c>
      <c r="P438" s="4" t="n"/>
      <c r="Q438" s="10" t="n">
        <v>0</v>
      </c>
      <c r="R438" s="10">
        <f>R437+Q438</f>
        <v/>
      </c>
      <c r="S438" s="16">
        <f>S437+IF(N438="已下單",M438,0)</f>
        <v/>
      </c>
      <c r="T438" s="16">
        <f>R438-S438</f>
        <v/>
      </c>
      <c r="U438" s="2">
        <f>U437+IF(N438="已下單",1,0)</f>
        <v/>
      </c>
      <c r="V438" s="16">
        <f>IF(資金模擬!$B$9=2,MAX(R438,0),MAX(V437,FLOOR(MAX(R438,0),資金模擬!$B$6)))</f>
        <v/>
      </c>
      <c r="W438" s="10">
        <f>MAX(W437,R438)</f>
        <v/>
      </c>
      <c r="X438" s="4">
        <f>IF(W438&gt;0,R438/W438-1,-1)</f>
        <v/>
      </c>
      <c r="Y438" s="16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17" t="n">
        <v>0.5794</v>
      </c>
      <c r="H439" s="17" t="n">
        <v>0.596782</v>
      </c>
      <c r="I439" s="17" t="n">
        <v>0.55043</v>
      </c>
      <c r="J439" s="17" t="n">
        <v>0.596782</v>
      </c>
      <c r="K439" s="2" t="inlineStr">
        <is>
          <t>止盈</t>
        </is>
      </c>
      <c r="L439" s="5">
        <f>交易明細!K220</f>
        <v/>
      </c>
      <c r="M439" s="16">
        <f>M438</f>
        <v/>
      </c>
      <c r="N439" s="2">
        <f>N438</f>
        <v/>
      </c>
      <c r="O439" s="16">
        <f>O438</f>
        <v/>
      </c>
      <c r="P439" s="4">
        <f>交易明細!L220</f>
        <v/>
      </c>
      <c r="Q439" s="10">
        <f>IF(N439="已下單",O439*P439,0)</f>
        <v/>
      </c>
      <c r="R439" s="10">
        <f>R438+Q439</f>
        <v/>
      </c>
      <c r="S439" s="16">
        <f>S438-IF(N439="已下單",M439,0)</f>
        <v/>
      </c>
      <c r="T439" s="16">
        <f>R439-S439</f>
        <v/>
      </c>
      <c r="U439" s="2">
        <f>U438-IF(N439="已下單",1,0)</f>
        <v/>
      </c>
      <c r="V439" s="16">
        <f>IF(資金模擬!$B$9=2,MAX(R439,0),MAX(V438,FLOOR(MAX(R439,0),資金模擬!$B$6)))</f>
        <v/>
      </c>
      <c r="W439" s="10">
        <f>MAX(W438,R439)</f>
        <v/>
      </c>
      <c r="X439" s="4">
        <f>IF(W439&gt;0,R439/W439-1,-1)</f>
        <v/>
      </c>
      <c r="Y439" s="16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17" t="n">
        <v>0.953</v>
      </c>
      <c r="H440" s="17" t="n">
        <v>0.92441</v>
      </c>
      <c r="I440" s="17" t="n">
        <v>1.00065</v>
      </c>
      <c r="J440" s="17" t="n"/>
      <c r="K440" s="2" t="inlineStr">
        <is>
          <t>未平倉</t>
        </is>
      </c>
      <c r="L440" s="5" t="n"/>
      <c r="M440" s="16">
        <f>資金模擬!$B$5*V439</f>
        <v/>
      </c>
      <c r="N440" s="2">
        <f>IF(Z439=1,"已停止",IF(T439&gt;=M440,"已下單","資金不足略過"))</f>
        <v/>
      </c>
      <c r="O440" s="16">
        <f>IF(N440="已下單",M440*資金模擬!$B$7,0)</f>
        <v/>
      </c>
      <c r="P440" s="4" t="n"/>
      <c r="Q440" s="10" t="n">
        <v>0</v>
      </c>
      <c r="R440" s="10">
        <f>R439+Q440</f>
        <v/>
      </c>
      <c r="S440" s="16">
        <f>S439+IF(N440="已下單",M440,0)</f>
        <v/>
      </c>
      <c r="T440" s="16">
        <f>R440-S440</f>
        <v/>
      </c>
      <c r="U440" s="2">
        <f>U439+IF(N440="已下單",1,0)</f>
        <v/>
      </c>
      <c r="V440" s="16">
        <f>IF(資金模擬!$B$9=2,MAX(R440,0),MAX(V439,FLOOR(MAX(R440,0),資金模擬!$B$6)))</f>
        <v/>
      </c>
      <c r="W440" s="10">
        <f>MAX(W439,R440)</f>
        <v/>
      </c>
      <c r="X440" s="4">
        <f>IF(W440&gt;0,R440/W440-1,-1)</f>
        <v/>
      </c>
      <c r="Y440" s="16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17" t="n">
        <v>0.21527</v>
      </c>
      <c r="H441" s="17" t="n">
        <v>0.2217281</v>
      </c>
      <c r="I441" s="17" t="n">
        <v>0.2045065</v>
      </c>
      <c r="J441" s="17" t="n"/>
      <c r="K441" s="2" t="n"/>
      <c r="L441" s="5" t="n"/>
      <c r="M441" s="16">
        <f>資金模擬!$B$5*V440</f>
        <v/>
      </c>
      <c r="N441" s="2">
        <f>IF(Z440=1,"已停止",IF(T440&gt;=M441,"已下單","資金不足略過"))</f>
        <v/>
      </c>
      <c r="O441" s="16">
        <f>IF(N441="已下單",M441*資金模擬!$B$7,0)</f>
        <v/>
      </c>
      <c r="P441" s="4" t="n"/>
      <c r="Q441" s="10" t="n">
        <v>0</v>
      </c>
      <c r="R441" s="10">
        <f>R440+Q441</f>
        <v/>
      </c>
      <c r="S441" s="16">
        <f>S440+IF(N441="已下單",M441,0)</f>
        <v/>
      </c>
      <c r="T441" s="16">
        <f>R441-S441</f>
        <v/>
      </c>
      <c r="U441" s="2">
        <f>U440+IF(N441="已下單",1,0)</f>
        <v/>
      </c>
      <c r="V441" s="16">
        <f>IF(資金模擬!$B$9=2,MAX(R441,0),MAX(V440,FLOOR(MAX(R441,0),資金模擬!$B$6)))</f>
        <v/>
      </c>
      <c r="W441" s="10">
        <f>MAX(W440,R441)</f>
        <v/>
      </c>
      <c r="X441" s="4">
        <f>IF(W441&gt;0,R441/W441-1,-1)</f>
        <v/>
      </c>
      <c r="Y441" s="16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17" t="n">
        <v>4.538</v>
      </c>
      <c r="H442" s="17" t="n">
        <v>4.67414</v>
      </c>
      <c r="I442" s="17" t="n">
        <v>4.3111</v>
      </c>
      <c r="J442" s="17" t="n"/>
      <c r="K442" s="2" t="inlineStr">
        <is>
          <t>未平倉</t>
        </is>
      </c>
      <c r="L442" s="5" t="n"/>
      <c r="M442" s="16">
        <f>資金模擬!$B$5*V441</f>
        <v/>
      </c>
      <c r="N442" s="2">
        <f>IF(Z441=1,"已停止",IF(T441&gt;=M442,"已下單","資金不足略過"))</f>
        <v/>
      </c>
      <c r="O442" s="16">
        <f>IF(N442="已下單",M442*資金模擬!$B$7,0)</f>
        <v/>
      </c>
      <c r="P442" s="4" t="n"/>
      <c r="Q442" s="10" t="n">
        <v>0</v>
      </c>
      <c r="R442" s="10">
        <f>R441+Q442</f>
        <v/>
      </c>
      <c r="S442" s="16">
        <f>S441+IF(N442="已下單",M442,0)</f>
        <v/>
      </c>
      <c r="T442" s="16">
        <f>R442-S442</f>
        <v/>
      </c>
      <c r="U442" s="2">
        <f>U441+IF(N442="已下單",1,0)</f>
        <v/>
      </c>
      <c r="V442" s="16">
        <f>IF(資金模擬!$B$9=2,MAX(R442,0),MAX(V441,FLOOR(MAX(R442,0),資金模擬!$B$6)))</f>
        <v/>
      </c>
      <c r="W442" s="10">
        <f>MAX(W441,R442)</f>
        <v/>
      </c>
      <c r="X442" s="4">
        <f>IF(W442&gt;0,R442/W442-1,-1)</f>
        <v/>
      </c>
      <c r="Y442" s="16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17" t="n">
        <v>0.21527</v>
      </c>
      <c r="H443" s="17" t="n">
        <v>0.2217281</v>
      </c>
      <c r="I443" s="17" t="n">
        <v>0.2045065</v>
      </c>
      <c r="J443" s="17" t="n">
        <v>0.2045065</v>
      </c>
      <c r="K443" s="2" t="inlineStr">
        <is>
          <t>止損</t>
        </is>
      </c>
      <c r="L443" s="5">
        <f>交易明細!K222</f>
        <v/>
      </c>
      <c r="M443" s="16">
        <f>M441</f>
        <v/>
      </c>
      <c r="N443" s="2">
        <f>N441</f>
        <v/>
      </c>
      <c r="O443" s="16">
        <f>O441</f>
        <v/>
      </c>
      <c r="P443" s="4">
        <f>交易明細!L222</f>
        <v/>
      </c>
      <c r="Q443" s="10">
        <f>IF(N443="已下單",O443*P443,0)</f>
        <v/>
      </c>
      <c r="R443" s="10">
        <f>R442+Q443</f>
        <v/>
      </c>
      <c r="S443" s="16">
        <f>S442-IF(N443="已下單",M443,0)</f>
        <v/>
      </c>
      <c r="T443" s="16">
        <f>R443-S443</f>
        <v/>
      </c>
      <c r="U443" s="2">
        <f>U442-IF(N443="已下單",1,0)</f>
        <v/>
      </c>
      <c r="V443" s="16">
        <f>IF(資金模擬!$B$9=2,MAX(R443,0),MAX(V442,FLOOR(MAX(R443,0),資金模擬!$B$6)))</f>
        <v/>
      </c>
      <c r="W443" s="10">
        <f>MAX(W442,R443)</f>
        <v/>
      </c>
      <c r="X443" s="4">
        <f>IF(W443&gt;0,R443/W443-1,-1)</f>
        <v/>
      </c>
      <c r="Y443" s="16">
        <f>IF(R443&gt;0,S443*資金模擬!$B$7/R443,0)</f>
        <v/>
      </c>
      <c r="Z443" s="2">
        <f>IF(OR(Z442=1,R443&lt;=資金模擬!$B$10),1,0)</f>
        <v/>
      </c>
    </row>
  </sheetData>
  <autoFilter ref="A1:Z443"/>
  <conditionalFormatting sqref="K2:K44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4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4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2026-09-15 07:11（Dry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1M/5M/15M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IFERROR(AVERAGE(交易明細!$AC$2:$AC$223),(B6+2*B7)/(B5+B6))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46278.91666666666</v>
      </c>
      <c r="I179" s="17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0.03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46278.08333333334</v>
      </c>
      <c r="I181" s="17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0.05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46280.29166666666</v>
      </c>
      <c r="I184" s="17" t="n">
        <v>0.5736</v>
      </c>
      <c r="J184" s="2" t="inlineStr">
        <is>
          <t>未平倉</t>
        </is>
      </c>
      <c r="K184" s="5">
        <f>(H184-D184)*24</f>
        <v/>
      </c>
      <c r="L184" s="4">
        <f>IF(C184="做多",I184/E184-1,1-I184/E184)-2*參數!$B$7</f>
        <v/>
      </c>
      <c r="M184" s="2" t="inlineStr">
        <is>
          <t>持倉中（以最新收盤估值）</t>
        </is>
      </c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0.02792413066385668</v>
      </c>
      <c r="T184" s="4" t="n">
        <v>0.0277485072005621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46278.08333333334</v>
      </c>
      <c r="I192" s="17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0.05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46278.45833333334</v>
      </c>
      <c r="I193" s="17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0.02385601494184575</v>
      </c>
      <c r="T193" s="4" t="n">
        <v>0.05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46278.125</v>
      </c>
      <c r="I194" s="17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0.03</v>
      </c>
      <c r="T194" s="4" t="n">
        <v>0.003269042170644054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17" t="n">
        <v>1.412</v>
      </c>
      <c r="F195" s="17" t="n">
        <v>1.45436</v>
      </c>
      <c r="G195" s="17" t="n">
        <v>1.3414</v>
      </c>
      <c r="H195" s="7" t="n">
        <v>46278.125</v>
      </c>
      <c r="I195" s="17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19" t="n">
        <v>358363.9</v>
      </c>
      <c r="R195" s="19" t="n">
        <v>2323206.5163</v>
      </c>
      <c r="S195" s="4" t="n">
        <v>0.03</v>
      </c>
      <c r="T195" s="4" t="n">
        <v>0</v>
      </c>
      <c r="U195" s="16" t="n">
        <v>1.628344958438214</v>
      </c>
      <c r="V195" s="16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17" t="n">
        <v>0.23269</v>
      </c>
      <c r="F196" s="17" t="n">
        <v>0.2396707</v>
      </c>
      <c r="G196" s="17" t="n">
        <v>0.2210555</v>
      </c>
      <c r="H196" s="7" t="n">
        <v>46278.5</v>
      </c>
      <c r="I196" s="17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19" t="n">
        <v>1450242</v>
      </c>
      <c r="R196" s="19" t="n">
        <v>3111990.00034</v>
      </c>
      <c r="S196" s="4" t="n">
        <v>0.03</v>
      </c>
      <c r="T196" s="4" t="n">
        <v>0.0336928961278955</v>
      </c>
      <c r="U196" s="16" t="n">
        <v>0.3783995304245745</v>
      </c>
      <c r="V196" s="16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17" t="n">
        <v>23.956</v>
      </c>
      <c r="F197" s="17" t="n">
        <v>24.67468</v>
      </c>
      <c r="G197" s="17" t="n">
        <v>22.7582</v>
      </c>
      <c r="H197" s="7" t="n">
        <v>46278.29166666666</v>
      </c>
      <c r="I197" s="17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19" t="n">
        <v>19198.86</v>
      </c>
      <c r="R197" s="19" t="n">
        <v>2454827.49017</v>
      </c>
      <c r="S197" s="4" t="n">
        <v>0.03</v>
      </c>
      <c r="T197" s="4" t="n">
        <v>0.004550008348639056</v>
      </c>
      <c r="U197" s="16" t="n">
        <v>2.355414085223603</v>
      </c>
      <c r="V197" s="16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17" t="n">
        <v>0.0164847</v>
      </c>
      <c r="F198" s="17" t="n">
        <v>0.016979241</v>
      </c>
      <c r="G198" s="17" t="n">
        <v>0.015660465</v>
      </c>
      <c r="H198" s="7" t="n">
        <v>46278.58333333334</v>
      </c>
      <c r="I198" s="17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19" t="n">
        <v>16627395</v>
      </c>
      <c r="R198" s="19" t="n">
        <v>1279492.2116761</v>
      </c>
      <c r="S198" s="4" t="n">
        <v>0.006266416737944702</v>
      </c>
      <c r="T198" s="4" t="n">
        <v>0.05</v>
      </c>
      <c r="U198" s="16" t="n">
        <v>1.16641888456675</v>
      </c>
      <c r="V198" s="16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17" t="n">
        <v>0.5901999999999999</v>
      </c>
      <c r="F199" s="17" t="n">
        <v>0.5724939999999999</v>
      </c>
      <c r="G199" s="17" t="n">
        <v>0.61971</v>
      </c>
      <c r="H199" s="7" t="n">
        <v>46278.625</v>
      </c>
      <c r="I199" s="17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19" t="n">
        <v>-538336</v>
      </c>
      <c r="R199" s="19" t="n">
        <v>1769968.569</v>
      </c>
      <c r="S199" s="4" t="n">
        <v>0.03</v>
      </c>
      <c r="T199" s="4" t="n">
        <v>0.01745171128431044</v>
      </c>
      <c r="U199" s="16" t="n">
        <v>0.684186904308496</v>
      </c>
      <c r="V199" s="16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17" t="n">
        <v>0.11416</v>
      </c>
      <c r="F200" s="17" t="n">
        <v>0.1107352</v>
      </c>
      <c r="G200" s="17" t="n">
        <v>0.119868</v>
      </c>
      <c r="H200" s="7" t="n">
        <v>46278.625</v>
      </c>
      <c r="I200" s="17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19" t="n">
        <v>-2353397</v>
      </c>
      <c r="R200" s="19" t="n">
        <v>1260378.77313</v>
      </c>
      <c r="S200" s="4" t="n">
        <v>0.01673090399439381</v>
      </c>
      <c r="T200" s="4" t="n">
        <v>0.05</v>
      </c>
      <c r="U200" s="16" t="n">
        <v>0.6845291252500373</v>
      </c>
      <c r="V200" s="16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17" t="n">
        <v>1.261</v>
      </c>
      <c r="F201" s="17" t="n">
        <v>1.22317</v>
      </c>
      <c r="G201" s="17" t="n">
        <v>1.32405</v>
      </c>
      <c r="H201" s="7" t="n">
        <v>46278.70833333334</v>
      </c>
      <c r="I201" s="17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19" t="n">
        <v>-166098.5</v>
      </c>
      <c r="R201" s="19" t="n">
        <v>1633132.5949</v>
      </c>
      <c r="S201" s="4" t="n">
        <v>0.03</v>
      </c>
      <c r="T201" s="4" t="n">
        <v>0.04203013481364004</v>
      </c>
      <c r="U201" s="16" t="n">
        <v>2.452428134930138</v>
      </c>
      <c r="V201" s="16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17" t="n">
        <v>0.003747</v>
      </c>
      <c r="F202" s="17" t="n">
        <v>0.00363459</v>
      </c>
      <c r="G202" s="17" t="n">
        <v>0.00393435</v>
      </c>
      <c r="H202" s="7" t="n">
        <v>46278.75</v>
      </c>
      <c r="I202" s="17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19" t="n">
        <v>-41085587</v>
      </c>
      <c r="R202" s="19" t="n">
        <v>2666544.507709</v>
      </c>
      <c r="S202" s="4" t="n">
        <v>0.03</v>
      </c>
      <c r="T202" s="4" t="n">
        <v>0.004536962903656239</v>
      </c>
      <c r="U202" s="16" t="n">
        <v>0.823158869101001</v>
      </c>
      <c r="V202" s="16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17" t="n">
        <v>0.22444</v>
      </c>
      <c r="F203" s="17" t="n">
        <v>0.2177068</v>
      </c>
      <c r="G203" s="17" t="n">
        <v>0.235662</v>
      </c>
      <c r="H203" s="7" t="n">
        <v>46278.83333333334</v>
      </c>
      <c r="I203" s="17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19" t="n">
        <v>-987624</v>
      </c>
      <c r="R203" s="19" t="n">
        <v>1943593.26169</v>
      </c>
      <c r="S203" s="4" t="n">
        <v>0.03</v>
      </c>
      <c r="T203" s="4" t="n">
        <v>0.03199073248975215</v>
      </c>
      <c r="U203" s="16" t="n">
        <v>1.125300022122543</v>
      </c>
      <c r="V203" s="16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17" t="n">
        <v>0.06694</v>
      </c>
      <c r="F204" s="17" t="n">
        <v>0.0649318</v>
      </c>
      <c r="G204" s="17" t="n">
        <v>0.070287</v>
      </c>
      <c r="H204" s="7" t="n">
        <v>46278.875</v>
      </c>
      <c r="I204" s="17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19" t="n">
        <v>-12550292</v>
      </c>
      <c r="R204" s="19" t="n">
        <v>3660542.31503</v>
      </c>
      <c r="S204" s="4" t="n">
        <v>0.03</v>
      </c>
      <c r="T204" s="4" t="n">
        <v>0.01210038840752925</v>
      </c>
      <c r="U204" s="16" t="n">
        <v>0.6170410304977394</v>
      </c>
      <c r="V204" s="16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17" t="n">
        <v>22.673</v>
      </c>
      <c r="F205" s="17" t="n">
        <v>21.99281</v>
      </c>
      <c r="G205" s="17" t="n">
        <v>23.80665</v>
      </c>
      <c r="H205" s="7" t="n">
        <v>46278.91666666666</v>
      </c>
      <c r="I205" s="17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19" t="n">
        <v>-7973.100000000006</v>
      </c>
      <c r="R205" s="19" t="n">
        <v>1862546.13313</v>
      </c>
      <c r="S205" s="4" t="n">
        <v>0.03</v>
      </c>
      <c r="T205" s="4" t="n">
        <v>0.0170246548758437</v>
      </c>
      <c r="U205" s="16" t="n">
        <v>1.542546484066931</v>
      </c>
      <c r="V205" s="16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17" t="n">
        <v>0.13497</v>
      </c>
      <c r="F206" s="17" t="n">
        <v>0.1309209</v>
      </c>
      <c r="G206" s="17" t="n">
        <v>0.1417185</v>
      </c>
      <c r="H206" s="7" t="n">
        <v>46278.75</v>
      </c>
      <c r="I206" s="17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19" t="n">
        <v>-4457033</v>
      </c>
      <c r="R206" s="19" t="n">
        <v>2751747.85932</v>
      </c>
      <c r="S206" s="4" t="n">
        <v>0.03</v>
      </c>
      <c r="T206" s="4" t="n">
        <v>0</v>
      </c>
      <c r="U206" s="16" t="n">
        <v>3.10622767745523</v>
      </c>
      <c r="V206" s="16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17" t="n">
        <v>0.06630999999999999</v>
      </c>
      <c r="F207" s="17" t="n">
        <v>0.06432069999999999</v>
      </c>
      <c r="G207" s="17" t="n">
        <v>0.06962549999999999</v>
      </c>
      <c r="H207" s="7" t="n">
        <v>46278.95833333334</v>
      </c>
      <c r="I207" s="17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19" t="n">
        <v>-3247400</v>
      </c>
      <c r="R207" s="19" t="n">
        <v>2692569.84842</v>
      </c>
      <c r="S207" s="4" t="n">
        <v>0</v>
      </c>
      <c r="T207" s="4" t="n">
        <v>0.05</v>
      </c>
      <c r="U207" s="16" t="n">
        <v>0.3851967586724329</v>
      </c>
      <c r="V207" s="16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17" t="n">
        <v>0.003569</v>
      </c>
      <c r="F208" s="17" t="n">
        <v>0.00346193</v>
      </c>
      <c r="G208" s="17" t="n">
        <v>0.00374745</v>
      </c>
      <c r="H208" s="7" t="n">
        <v>46279.375</v>
      </c>
      <c r="I208" s="17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19" t="n">
        <v>-126643814</v>
      </c>
      <c r="R208" s="19" t="n">
        <v>2834501.678442</v>
      </c>
      <c r="S208" s="4" t="n">
        <v>0.03</v>
      </c>
      <c r="T208" s="4" t="n">
        <v>0.02577752871952921</v>
      </c>
      <c r="U208" s="16" t="n">
        <v>1.170633405432124</v>
      </c>
      <c r="V208" s="16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17" t="n">
        <v>0.06729</v>
      </c>
      <c r="F209" s="17" t="n">
        <v>0.0652713</v>
      </c>
      <c r="G209" s="17" t="n">
        <v>0.07065450000000001</v>
      </c>
      <c r="H209" s="7" t="n">
        <v>46279.29166666666</v>
      </c>
      <c r="I209" s="17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19" t="n">
        <v>-158654</v>
      </c>
      <c r="R209" s="19" t="n">
        <v>2639902.52603</v>
      </c>
      <c r="S209" s="4" t="n">
        <v>0.03</v>
      </c>
      <c r="T209" s="4" t="n">
        <v>0.0306137613315498</v>
      </c>
      <c r="U209" s="16" t="n">
        <v>3.057108558523112</v>
      </c>
      <c r="V209" s="16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17" t="n">
        <v>0.21683</v>
      </c>
      <c r="F210" s="17" t="n">
        <v>0.2103251</v>
      </c>
      <c r="G210" s="17" t="n">
        <v>0.2276715</v>
      </c>
      <c r="H210" s="7" t="n">
        <v>46279.41666666666</v>
      </c>
      <c r="I210" s="17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19" t="n">
        <v>-3175872</v>
      </c>
      <c r="R210" s="19" t="n">
        <v>2128113.32288</v>
      </c>
      <c r="S210" s="4" t="n">
        <v>0.03</v>
      </c>
      <c r="T210" s="4" t="n">
        <v>0.01000784024350887</v>
      </c>
      <c r="U210" s="16" t="n">
        <v>0.5672975038799286</v>
      </c>
      <c r="V210" s="16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17" t="n">
        <v>21.468</v>
      </c>
      <c r="F211" s="17" t="n">
        <v>20.82396</v>
      </c>
      <c r="G211" s="17" t="n">
        <v>22.5414</v>
      </c>
      <c r="H211" s="7" t="n">
        <v>46279.5</v>
      </c>
      <c r="I211" s="17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19" t="n">
        <v>-14412.56</v>
      </c>
      <c r="R211" s="19" t="n">
        <v>1369833.00885</v>
      </c>
      <c r="S211" s="4" t="n">
        <v>0.01276318241103036</v>
      </c>
      <c r="T211" s="4" t="n">
        <v>0.05</v>
      </c>
      <c r="U211" s="16" t="n">
        <v>0.6271932459439219</v>
      </c>
      <c r="V211" s="16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17" t="n">
        <v>0.70762</v>
      </c>
      <c r="F212" s="17" t="n">
        <v>0.7288486000000001</v>
      </c>
      <c r="G212" s="17" t="n">
        <v>0.672239</v>
      </c>
      <c r="H212" s="7" t="n">
        <v>46279.5</v>
      </c>
      <c r="I212" s="17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19" t="n">
        <v>29072</v>
      </c>
      <c r="R212" s="19" t="n">
        <v>1249265.946402</v>
      </c>
      <c r="S212" s="4" t="n">
        <v>0</v>
      </c>
      <c r="T212" s="4" t="n">
        <v>0.05</v>
      </c>
      <c r="U212" s="16" t="n">
        <v>0.5619089762421139</v>
      </c>
      <c r="V212" s="16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17" t="n">
        <v>0.11776</v>
      </c>
      <c r="F213" s="17" t="n">
        <v>0.1142272</v>
      </c>
      <c r="G213" s="17" t="n">
        <v>0.123648</v>
      </c>
      <c r="H213" s="7" t="n">
        <v>46279.625</v>
      </c>
      <c r="I213" s="17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19" t="n">
        <v>-7024900</v>
      </c>
      <c r="R213" s="19" t="n">
        <v>2030342.06041</v>
      </c>
      <c r="S213" s="4" t="n">
        <v>0.02734375</v>
      </c>
      <c r="T213" s="4" t="n">
        <v>0.05</v>
      </c>
      <c r="U213" s="16" t="n">
        <v>0.4761997968648705</v>
      </c>
      <c r="V213" s="16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17" t="n">
        <v>0.996</v>
      </c>
      <c r="F214" s="17" t="n">
        <v>1.02588</v>
      </c>
      <c r="G214" s="17" t="n">
        <v>0.9461999999999999</v>
      </c>
      <c r="H214" s="7" t="n">
        <v>46279.75</v>
      </c>
      <c r="I214" s="17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19" t="n">
        <v>135858.4000000001</v>
      </c>
      <c r="R214" s="19" t="n">
        <v>2098980.9254</v>
      </c>
      <c r="S214" s="4" t="n">
        <v>0.03</v>
      </c>
      <c r="T214" s="4" t="n">
        <v>0.008032128514056214</v>
      </c>
      <c r="U214" s="16" t="n">
        <v>0.6920262478472113</v>
      </c>
      <c r="V214" s="16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17" t="n">
        <v>0.9222</v>
      </c>
      <c r="F215" s="17" t="n">
        <v>0.9498660000000001</v>
      </c>
      <c r="G215" s="17" t="n">
        <v>0.8760899999999999</v>
      </c>
      <c r="H215" s="7" t="n">
        <v>46279.70833333334</v>
      </c>
      <c r="I215" s="17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19" t="n">
        <v>1655425</v>
      </c>
      <c r="R215" s="19" t="n">
        <v>21319541.3692</v>
      </c>
      <c r="S215" s="4" t="n">
        <v>0.03</v>
      </c>
      <c r="T215" s="4" t="n">
        <v>0</v>
      </c>
      <c r="U215" s="16" t="n">
        <v>0.845950323524046</v>
      </c>
      <c r="V215" s="16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17" t="n">
        <v>0.5661</v>
      </c>
      <c r="F216" s="17" t="n">
        <v>0.583083</v>
      </c>
      <c r="G216" s="17" t="n">
        <v>0.537795</v>
      </c>
      <c r="H216" s="7" t="n">
        <v>46279.91666666666</v>
      </c>
      <c r="I216" s="17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19" t="n">
        <v>605808</v>
      </c>
      <c r="R216" s="19" t="n">
        <v>1677042.4063</v>
      </c>
      <c r="S216" s="4" t="n">
        <v>0.02402402402402393</v>
      </c>
      <c r="T216" s="4" t="n">
        <v>0.05</v>
      </c>
      <c r="U216" s="16" t="n">
        <v>1.433584458164734</v>
      </c>
      <c r="V216" s="16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17" t="n">
        <v>0.12014</v>
      </c>
      <c r="F217" s="17" t="n">
        <v>0.1165358</v>
      </c>
      <c r="G217" s="17" t="n">
        <v>0.126147</v>
      </c>
      <c r="H217" s="7" t="n">
        <v>46279.70833333334</v>
      </c>
      <c r="I217" s="17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19" t="n">
        <v>-2286112</v>
      </c>
      <c r="R217" s="19" t="n">
        <v>1877770.83223</v>
      </c>
      <c r="S217" s="4" t="n">
        <v>0.03</v>
      </c>
      <c r="T217" s="4" t="n">
        <v>0</v>
      </c>
      <c r="U217" s="16" t="n">
        <v>0.6989090661339149</v>
      </c>
      <c r="V217" s="16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17" t="n">
        <v>0.20271</v>
      </c>
      <c r="F218" s="17" t="n">
        <v>0.1966287</v>
      </c>
      <c r="G218" s="17" t="n">
        <v>0.2128455</v>
      </c>
      <c r="H218" s="7" t="n">
        <v>46279.83333333334</v>
      </c>
      <c r="I218" s="17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19" t="n">
        <v>-887001</v>
      </c>
      <c r="R218" s="19" t="n">
        <v>1992329.76383</v>
      </c>
      <c r="S218" s="4" t="n">
        <v>0.03</v>
      </c>
      <c r="T218" s="4" t="n">
        <v>0.02989492378274394</v>
      </c>
      <c r="U218" s="16" t="n">
        <v>1.088276490112146</v>
      </c>
      <c r="V218" s="16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17" t="n">
        <v>0.8768</v>
      </c>
      <c r="F219" s="17" t="n">
        <v>0.850496</v>
      </c>
      <c r="G219" s="17" t="n">
        <v>0.92064</v>
      </c>
      <c r="H219" s="7" t="n">
        <v>46279.79166666666</v>
      </c>
      <c r="I219" s="17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19" t="n">
        <v>-1081120</v>
      </c>
      <c r="R219" s="19" t="n">
        <v>21256200.9232</v>
      </c>
      <c r="S219" s="4" t="n">
        <v>0.03</v>
      </c>
      <c r="T219" s="4" t="n">
        <v>0</v>
      </c>
      <c r="U219" s="16" t="n">
        <v>0.8150563760825439</v>
      </c>
      <c r="V219" s="16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17" t="n">
        <v>0.5794</v>
      </c>
      <c r="F220" s="17" t="n">
        <v>0.596782</v>
      </c>
      <c r="G220" s="17" t="n">
        <v>0.55043</v>
      </c>
      <c r="H220" s="7" t="n">
        <v>46280</v>
      </c>
      <c r="I220" s="17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19" t="n">
        <v>593268</v>
      </c>
      <c r="R220" s="19" t="n">
        <v>1954273.9413</v>
      </c>
      <c r="S220" s="4" t="n">
        <v>0.03</v>
      </c>
      <c r="T220" s="4" t="n">
        <v>0</v>
      </c>
      <c r="U220" s="16" t="n">
        <v>2.871295855203831</v>
      </c>
      <c r="V220" s="16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17" t="n">
        <v>0.953</v>
      </c>
      <c r="F221" s="17" t="n">
        <v>0.92441</v>
      </c>
      <c r="G221" s="17" t="n">
        <v>1.00065</v>
      </c>
      <c r="H221" s="7" t="n">
        <v>46280.29166666666</v>
      </c>
      <c r="I221" s="17" t="n">
        <v>0.9350000000000001</v>
      </c>
      <c r="J221" s="2" t="inlineStr">
        <is>
          <t>未平倉</t>
        </is>
      </c>
      <c r="K221" s="5">
        <f>(H221-D221)*24</f>
        <v/>
      </c>
      <c r="L221" s="4">
        <f>IF(C221="做多",I221/E221-1,1-I221/E221)-2*參數!$B$7</f>
        <v/>
      </c>
      <c r="M221" s="2" t="inlineStr">
        <is>
          <t>持倉中（以最新收盤估值）</t>
        </is>
      </c>
      <c r="N221" s="4" t="n">
        <v>-0.03248730964467006</v>
      </c>
      <c r="O221" s="4" t="n">
        <v>0.03394151974486471</v>
      </c>
      <c r="P221" s="4" t="n">
        <v>-0.03061743464550915</v>
      </c>
      <c r="Q221" s="19" t="n">
        <v>-483300.7</v>
      </c>
      <c r="R221" s="19" t="n">
        <v>2616142.9346</v>
      </c>
      <c r="S221" s="4" t="n">
        <v>0.02203567681007335</v>
      </c>
      <c r="T221" s="4" t="n">
        <v>0.01888772298006303</v>
      </c>
      <c r="U221" s="16" t="n">
        <v>1.332575490212957</v>
      </c>
      <c r="V221" s="16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17" t="n">
        <v>0.21527</v>
      </c>
      <c r="F222" s="17" t="n">
        <v>0.2217281</v>
      </c>
      <c r="G222" s="17" t="n">
        <v>0.2045065</v>
      </c>
      <c r="H222" s="7" t="n">
        <v>46280.25</v>
      </c>
      <c r="I222" s="17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19" t="n">
        <v>57563</v>
      </c>
      <c r="R222" s="19" t="n">
        <v>2142958.19727</v>
      </c>
      <c r="S222" s="4" t="n">
        <v>0.02870813397129202</v>
      </c>
      <c r="T222" s="4" t="n">
        <v>0.05</v>
      </c>
      <c r="U222" s="16" t="n">
        <v>2.695897368776979</v>
      </c>
      <c r="V222" s="16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17" t="n">
        <v>4.538</v>
      </c>
      <c r="F223" s="17" t="n">
        <v>4.67414</v>
      </c>
      <c r="G223" s="17" t="n">
        <v>4.3111</v>
      </c>
      <c r="H223" s="7" t="n">
        <v>46280.29166666666</v>
      </c>
      <c r="I223" s="17" t="n">
        <v>4.449</v>
      </c>
      <c r="J223" s="2" t="inlineStr">
        <is>
          <t>未平倉</t>
        </is>
      </c>
      <c r="K223" s="5">
        <f>(H223-D223)*24</f>
        <v/>
      </c>
      <c r="L223" s="4">
        <f>IF(C223="做多",I223/E223-1,1-I223/E223)-2*參數!$B$7</f>
        <v/>
      </c>
      <c r="M223" s="2" t="inlineStr">
        <is>
          <t>持倉中（以最新收盤估值）</t>
        </is>
      </c>
      <c r="N223" s="4" t="n">
        <v>0.02437923250564356</v>
      </c>
      <c r="O223" s="4" t="n">
        <v>0.02074968406070711</v>
      </c>
      <c r="P223" s="4" t="n">
        <v>0.01550786582227492</v>
      </c>
      <c r="Q223" s="19" t="n">
        <v>44747.19999999972</v>
      </c>
      <c r="R223" s="19" t="n">
        <v>3149491.7076</v>
      </c>
      <c r="S223" s="4" t="n">
        <v>0.0202732481269281</v>
      </c>
      <c r="T223" s="4" t="n">
        <v>0.02578228294402818</v>
      </c>
      <c r="U223" s="16" t="n">
        <v>1.101212313974368</v>
      </c>
      <c r="V223" s="16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</sheetData>
  <autoFilter ref="A1:AC223"/>
  <conditionalFormatting sqref="J2:J22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COUNTIFS(交易明細!$B$2:$B$223,$A2)</f>
        <v/>
      </c>
      <c r="C2" s="2">
        <f>COUNTIFS(交易明細!$B$2:$B$223,$A2,交易明細!$C$2:$C$223,"做多")</f>
        <v/>
      </c>
      <c r="D2" s="2">
        <f>COUNTIFS(交易明細!$B$2:$B$223,$A2,交易明細!$C$2:$C$223,"做空")</f>
        <v/>
      </c>
      <c r="E2" s="2">
        <f>F2+G2+COUNTIFS(交易明細!$B$2:$B$223,$A2,交易明細!$J$2:$J$223,"時間出場")</f>
        <v/>
      </c>
      <c r="F2" s="2">
        <f>COUNTIFS(交易明細!$B$2:$B$223,$A2,交易明細!$J$2:$J$223,"止盈")</f>
        <v/>
      </c>
      <c r="G2" s="2">
        <f>COUNTIFS(交易明細!$B$2:$B$223,$A2,交易明細!$J$2:$J$223,"止損")</f>
        <v/>
      </c>
      <c r="H2" s="4">
        <f>IFERROR(F2/E2,0)</f>
        <v/>
      </c>
      <c r="I2" s="4">
        <f>IFERROR(AVERAGEIFS(交易明細!$L$2:$L$223,交易明細!$B$2:$B$223,$A2,交易明細!$J$2:$J$223,"&lt;&gt;未平倉"),0)</f>
        <v/>
      </c>
      <c r="J2" s="4">
        <f>SUMIFS(交易明細!$L$2:$L$223,交易明細!$B$2:$B$223,$A2,交易明細!$J$2:$J$223,"&lt;&gt;未平倉")</f>
        <v/>
      </c>
      <c r="K2" s="5">
        <f>IFERROR(AVERAGEIFS(交易明細!$K$2:$K$223,交易明細!$B$2:$B$223,$A2,交易明細!$J$2:$J$223,"&lt;&gt;未平倉"),0)</f>
        <v/>
      </c>
      <c r="L2" s="2">
        <f>COUNTIFS(交易明細!$B$2:$B$223,$A2,交易明細!$J$2:$J$223,"未平倉")</f>
        <v/>
      </c>
    </row>
    <row r="3">
      <c r="A3" s="2" t="inlineStr">
        <is>
          <t>PONS_USDT_PERP</t>
        </is>
      </c>
      <c r="B3" s="2">
        <f>COUNTIFS(交易明細!$B$2:$B$223,$A3)</f>
        <v/>
      </c>
      <c r="C3" s="2">
        <f>COUNTIFS(交易明細!$B$2:$B$223,$A3,交易明細!$C$2:$C$223,"做多")</f>
        <v/>
      </c>
      <c r="D3" s="2">
        <f>COUNTIFS(交易明細!$B$2:$B$223,$A3,交易明細!$C$2:$C$223,"做空")</f>
        <v/>
      </c>
      <c r="E3" s="2">
        <f>F3+G3+COUNTIFS(交易明細!$B$2:$B$223,$A3,交易明細!$J$2:$J$223,"時間出場")</f>
        <v/>
      </c>
      <c r="F3" s="2">
        <f>COUNTIFS(交易明細!$B$2:$B$223,$A3,交易明細!$J$2:$J$223,"止盈")</f>
        <v/>
      </c>
      <c r="G3" s="2">
        <f>COUNTIFS(交易明細!$B$2:$B$223,$A3,交易明細!$J$2:$J$223,"止損")</f>
        <v/>
      </c>
      <c r="H3" s="4">
        <f>IFERROR(F3/E3,0)</f>
        <v/>
      </c>
      <c r="I3" s="4">
        <f>IFERROR(AVERAGEIFS(交易明細!$L$2:$L$223,交易明細!$B$2:$B$223,$A3,交易明細!$J$2:$J$223,"&lt;&gt;未平倉"),0)</f>
        <v/>
      </c>
      <c r="J3" s="4">
        <f>SUMIFS(交易明細!$L$2:$L$223,交易明細!$B$2:$B$223,$A3,交易明細!$J$2:$J$223,"&lt;&gt;未平倉")</f>
        <v/>
      </c>
      <c r="K3" s="5">
        <f>IFERROR(AVERAGEIFS(交易明細!$K$2:$K$223,交易明細!$B$2:$B$223,$A3,交易明細!$J$2:$J$223,"&lt;&gt;未平倉"),0)</f>
        <v/>
      </c>
      <c r="L3" s="2">
        <f>COUNTIFS(交易明細!$B$2:$B$223,$A3,交易明細!$J$2:$J$223,"未平倉")</f>
        <v/>
      </c>
    </row>
    <row r="4">
      <c r="A4" s="2" t="inlineStr">
        <is>
          <t>PUMP_USDT_PERP</t>
        </is>
      </c>
      <c r="B4" s="2">
        <f>COUNTIFS(交易明細!$B$2:$B$223,$A4)</f>
        <v/>
      </c>
      <c r="C4" s="2">
        <f>COUNTIFS(交易明細!$B$2:$B$223,$A4,交易明細!$C$2:$C$223,"做多")</f>
        <v/>
      </c>
      <c r="D4" s="2">
        <f>COUNTIFS(交易明細!$B$2:$B$223,$A4,交易明細!$C$2:$C$223,"做空")</f>
        <v/>
      </c>
      <c r="E4" s="2">
        <f>F4+G4+COUNTIFS(交易明細!$B$2:$B$223,$A4,交易明細!$J$2:$J$223,"時間出場")</f>
        <v/>
      </c>
      <c r="F4" s="2">
        <f>COUNTIFS(交易明細!$B$2:$B$223,$A4,交易明細!$J$2:$J$223,"止盈")</f>
        <v/>
      </c>
      <c r="G4" s="2">
        <f>COUNTIFS(交易明細!$B$2:$B$223,$A4,交易明細!$J$2:$J$223,"止損")</f>
        <v/>
      </c>
      <c r="H4" s="4">
        <f>IFERROR(F4/E4,0)</f>
        <v/>
      </c>
      <c r="I4" s="4">
        <f>IFERROR(AVERAGEIFS(交易明細!$L$2:$L$223,交易明細!$B$2:$B$223,$A4,交易明細!$J$2:$J$223,"&lt;&gt;未平倉"),0)</f>
        <v/>
      </c>
      <c r="J4" s="4">
        <f>SUMIFS(交易明細!$L$2:$L$223,交易明細!$B$2:$B$223,$A4,交易明細!$J$2:$J$223,"&lt;&gt;未平倉")</f>
        <v/>
      </c>
      <c r="K4" s="5">
        <f>IFERROR(AVERAGEIFS(交易明細!$K$2:$K$223,交易明細!$B$2:$B$223,$A4,交易明細!$J$2:$J$223,"&lt;&gt;未平倉"),0)</f>
        <v/>
      </c>
      <c r="L4" s="2">
        <f>COUNTIFS(交易明細!$B$2:$B$223,$A4,交易明細!$J$2:$J$223,"未平倉")</f>
        <v/>
      </c>
    </row>
    <row r="5">
      <c r="A5" s="2" t="inlineStr">
        <is>
          <t>UAI_USDT_PERP</t>
        </is>
      </c>
      <c r="B5" s="2">
        <f>COUNTIFS(交易明細!$B$2:$B$223,$A5)</f>
        <v/>
      </c>
      <c r="C5" s="2">
        <f>COUNTIFS(交易明細!$B$2:$B$223,$A5,交易明細!$C$2:$C$223,"做多")</f>
        <v/>
      </c>
      <c r="D5" s="2">
        <f>COUNTIFS(交易明細!$B$2:$B$223,$A5,交易明細!$C$2:$C$223,"做空")</f>
        <v/>
      </c>
      <c r="E5" s="2">
        <f>F5+G5+COUNTIFS(交易明細!$B$2:$B$223,$A5,交易明細!$J$2:$J$223,"時間出場")</f>
        <v/>
      </c>
      <c r="F5" s="2">
        <f>COUNTIFS(交易明細!$B$2:$B$223,$A5,交易明細!$J$2:$J$223,"止盈")</f>
        <v/>
      </c>
      <c r="G5" s="2">
        <f>COUNTIFS(交易明細!$B$2:$B$223,$A5,交易明細!$J$2:$J$223,"止損")</f>
        <v/>
      </c>
      <c r="H5" s="4">
        <f>IFERROR(F5/E5,0)</f>
        <v/>
      </c>
      <c r="I5" s="4">
        <f>IFERROR(AVERAGEIFS(交易明細!$L$2:$L$223,交易明細!$B$2:$B$223,$A5,交易明細!$J$2:$J$223,"&lt;&gt;未平倉"),0)</f>
        <v/>
      </c>
      <c r="J5" s="4">
        <f>SUMIFS(交易明細!$L$2:$L$223,交易明細!$B$2:$B$223,$A5,交易明細!$J$2:$J$223,"&lt;&gt;未平倉")</f>
        <v/>
      </c>
      <c r="K5" s="5">
        <f>IFERROR(AVERAGEIFS(交易明細!$K$2:$K$223,交易明細!$B$2:$B$223,$A5,交易明細!$J$2:$J$223,"&lt;&gt;未平倉"),0)</f>
        <v/>
      </c>
      <c r="L5" s="2">
        <f>COUNTIFS(交易明細!$B$2:$B$223,$A5,交易明細!$J$2:$J$223,"未平倉")</f>
        <v/>
      </c>
    </row>
    <row r="6">
      <c r="A6" s="2" t="inlineStr">
        <is>
          <t>LIT_USDT_PERP</t>
        </is>
      </c>
      <c r="B6" s="2">
        <f>COUNTIFS(交易明細!$B$2:$B$223,$A6)</f>
        <v/>
      </c>
      <c r="C6" s="2">
        <f>COUNTIFS(交易明細!$B$2:$B$223,$A6,交易明細!$C$2:$C$223,"做多")</f>
        <v/>
      </c>
      <c r="D6" s="2">
        <f>COUNTIFS(交易明細!$B$2:$B$223,$A6,交易明細!$C$2:$C$223,"做空")</f>
        <v/>
      </c>
      <c r="E6" s="2">
        <f>F6+G6+COUNTIFS(交易明細!$B$2:$B$223,$A6,交易明細!$J$2:$J$223,"時間出場")</f>
        <v/>
      </c>
      <c r="F6" s="2">
        <f>COUNTIFS(交易明細!$B$2:$B$223,$A6,交易明細!$J$2:$J$223,"止盈")</f>
        <v/>
      </c>
      <c r="G6" s="2">
        <f>COUNTIFS(交易明細!$B$2:$B$223,$A6,交易明細!$J$2:$J$223,"止損")</f>
        <v/>
      </c>
      <c r="H6" s="4">
        <f>IFERROR(F6/E6,0)</f>
        <v/>
      </c>
      <c r="I6" s="4">
        <f>IFERROR(AVERAGEIFS(交易明細!$L$2:$L$223,交易明細!$B$2:$B$223,$A6,交易明細!$J$2:$J$223,"&lt;&gt;未平倉"),0)</f>
        <v/>
      </c>
      <c r="J6" s="4">
        <f>SUMIFS(交易明細!$L$2:$L$223,交易明細!$B$2:$B$223,$A6,交易明細!$J$2:$J$223,"&lt;&gt;未平倉")</f>
        <v/>
      </c>
      <c r="K6" s="5">
        <f>IFERROR(AVERAGEIFS(交易明細!$K$2:$K$223,交易明細!$B$2:$B$223,$A6,交易明細!$J$2:$J$223,"&lt;&gt;未平倉"),0)</f>
        <v/>
      </c>
      <c r="L6" s="2">
        <f>COUNTIFS(交易明細!$B$2:$B$223,$A6,交易明細!$J$2:$J$223,"未平倉")</f>
        <v/>
      </c>
    </row>
    <row r="7">
      <c r="A7" s="2" t="inlineStr">
        <is>
          <t>MARSCOIN_USDT_PERP</t>
        </is>
      </c>
      <c r="B7" s="2">
        <f>COUNTIFS(交易明細!$B$2:$B$223,$A7)</f>
        <v/>
      </c>
      <c r="C7" s="2">
        <f>COUNTIFS(交易明細!$B$2:$B$223,$A7,交易明細!$C$2:$C$223,"做多")</f>
        <v/>
      </c>
      <c r="D7" s="2">
        <f>COUNTIFS(交易明細!$B$2:$B$223,$A7,交易明細!$C$2:$C$223,"做空")</f>
        <v/>
      </c>
      <c r="E7" s="2">
        <f>F7+G7+COUNTIFS(交易明細!$B$2:$B$223,$A7,交易明細!$J$2:$J$223,"時間出場")</f>
        <v/>
      </c>
      <c r="F7" s="2">
        <f>COUNTIFS(交易明細!$B$2:$B$223,$A7,交易明細!$J$2:$J$223,"止盈")</f>
        <v/>
      </c>
      <c r="G7" s="2">
        <f>COUNTIFS(交易明細!$B$2:$B$223,$A7,交易明細!$J$2:$J$223,"止損")</f>
        <v/>
      </c>
      <c r="H7" s="4">
        <f>IFERROR(F7/E7,0)</f>
        <v/>
      </c>
      <c r="I7" s="4">
        <f>IFERROR(AVERAGEIFS(交易明細!$L$2:$L$223,交易明細!$B$2:$B$223,$A7,交易明細!$J$2:$J$223,"&lt;&gt;未平倉"),0)</f>
        <v/>
      </c>
      <c r="J7" s="4">
        <f>SUMIFS(交易明細!$L$2:$L$223,交易明細!$B$2:$B$223,$A7,交易明細!$J$2:$J$223,"&lt;&gt;未平倉")</f>
        <v/>
      </c>
      <c r="K7" s="5">
        <f>IFERROR(AVERAGEIFS(交易明細!$K$2:$K$223,交易明細!$B$2:$B$223,$A7,交易明細!$J$2:$J$223,"&lt;&gt;未平倉"),0)</f>
        <v/>
      </c>
      <c r="L7" s="2">
        <f>COUNTIFS(交易明細!$B$2:$B$223,$A7,交易明細!$J$2:$J$223,"未平倉")</f>
        <v/>
      </c>
    </row>
    <row r="8">
      <c r="A8" s="2" t="inlineStr">
        <is>
          <t>BULLA_USDT_PERP</t>
        </is>
      </c>
      <c r="B8" s="2">
        <f>COUNTIFS(交易明細!$B$2:$B$223,$A8)</f>
        <v/>
      </c>
      <c r="C8" s="2">
        <f>COUNTIFS(交易明細!$B$2:$B$223,$A8,交易明細!$C$2:$C$223,"做多")</f>
        <v/>
      </c>
      <c r="D8" s="2">
        <f>COUNTIFS(交易明細!$B$2:$B$223,$A8,交易明細!$C$2:$C$223,"做空")</f>
        <v/>
      </c>
      <c r="E8" s="2">
        <f>F8+G8+COUNTIFS(交易明細!$B$2:$B$223,$A8,交易明細!$J$2:$J$223,"時間出場")</f>
        <v/>
      </c>
      <c r="F8" s="2">
        <f>COUNTIFS(交易明細!$B$2:$B$223,$A8,交易明細!$J$2:$J$223,"止盈")</f>
        <v/>
      </c>
      <c r="G8" s="2">
        <f>COUNTIFS(交易明細!$B$2:$B$223,$A8,交易明細!$J$2:$J$223,"止損")</f>
        <v/>
      </c>
      <c r="H8" s="4">
        <f>IFERROR(F8/E8,0)</f>
        <v/>
      </c>
      <c r="I8" s="4">
        <f>IFERROR(AVERAGEIFS(交易明細!$L$2:$L$223,交易明細!$B$2:$B$223,$A8,交易明細!$J$2:$J$223,"&lt;&gt;未平倉"),0)</f>
        <v/>
      </c>
      <c r="J8" s="4">
        <f>SUMIFS(交易明細!$L$2:$L$223,交易明細!$B$2:$B$223,$A8,交易明細!$J$2:$J$223,"&lt;&gt;未平倉")</f>
        <v/>
      </c>
      <c r="K8" s="5">
        <f>IFERROR(AVERAGEIFS(交易明細!$K$2:$K$223,交易明細!$B$2:$B$223,$A8,交易明細!$J$2:$J$223,"&lt;&gt;未平倉"),0)</f>
        <v/>
      </c>
      <c r="L8" s="2">
        <f>COUNTIFS(交易明細!$B$2:$B$223,$A8,交易明細!$J$2:$J$223,"未平倉")</f>
        <v/>
      </c>
    </row>
    <row r="9">
      <c r="A9" s="2" t="inlineStr">
        <is>
          <t>HEMI_USDT_PERP</t>
        </is>
      </c>
      <c r="B9" s="2">
        <f>COUNTIFS(交易明細!$B$2:$B$223,$A9)</f>
        <v/>
      </c>
      <c r="C9" s="2">
        <f>COUNTIFS(交易明細!$B$2:$B$223,$A9,交易明細!$C$2:$C$223,"做多")</f>
        <v/>
      </c>
      <c r="D9" s="2">
        <f>COUNTIFS(交易明細!$B$2:$B$223,$A9,交易明細!$C$2:$C$223,"做空")</f>
        <v/>
      </c>
      <c r="E9" s="2">
        <f>F9+G9+COUNTIFS(交易明細!$B$2:$B$223,$A9,交易明細!$J$2:$J$223,"時間出場")</f>
        <v/>
      </c>
      <c r="F9" s="2">
        <f>COUNTIFS(交易明細!$B$2:$B$223,$A9,交易明細!$J$2:$J$223,"止盈")</f>
        <v/>
      </c>
      <c r="G9" s="2">
        <f>COUNTIFS(交易明細!$B$2:$B$223,$A9,交易明細!$J$2:$J$223,"止損")</f>
        <v/>
      </c>
      <c r="H9" s="4">
        <f>IFERROR(F9/E9,0)</f>
        <v/>
      </c>
      <c r="I9" s="4">
        <f>IFERROR(AVERAGEIFS(交易明細!$L$2:$L$223,交易明細!$B$2:$B$223,$A9,交易明細!$J$2:$J$223,"&lt;&gt;未平倉"),0)</f>
        <v/>
      </c>
      <c r="J9" s="4">
        <f>SUMIFS(交易明細!$L$2:$L$223,交易明細!$B$2:$B$223,$A9,交易明細!$J$2:$J$223,"&lt;&gt;未平倉")</f>
        <v/>
      </c>
      <c r="K9" s="5">
        <f>IFERROR(AVERAGEIFS(交易明細!$K$2:$K$223,交易明細!$B$2:$B$223,$A9,交易明細!$J$2:$J$223,"&lt;&gt;未平倉"),0)</f>
        <v/>
      </c>
      <c r="L9" s="2">
        <f>COUNTIFS(交易明細!$B$2:$B$223,$A9,交易明細!$J$2:$J$223,"未平倉")</f>
        <v/>
      </c>
    </row>
    <row r="10">
      <c r="A10" s="2" t="inlineStr">
        <is>
          <t>牛来_USDT_PERP</t>
        </is>
      </c>
      <c r="B10" s="2">
        <f>COUNTIFS(交易明細!$B$2:$B$223,$A10)</f>
        <v/>
      </c>
      <c r="C10" s="2">
        <f>COUNTIFS(交易明細!$B$2:$B$223,$A10,交易明細!$C$2:$C$223,"做多")</f>
        <v/>
      </c>
      <c r="D10" s="2">
        <f>COUNTIFS(交易明細!$B$2:$B$223,$A10,交易明細!$C$2:$C$223,"做空")</f>
        <v/>
      </c>
      <c r="E10" s="2">
        <f>F10+G10+COUNTIFS(交易明細!$B$2:$B$223,$A10,交易明細!$J$2:$J$223,"時間出場")</f>
        <v/>
      </c>
      <c r="F10" s="2">
        <f>COUNTIFS(交易明細!$B$2:$B$223,$A10,交易明細!$J$2:$J$223,"止盈")</f>
        <v/>
      </c>
      <c r="G10" s="2">
        <f>COUNTIFS(交易明細!$B$2:$B$223,$A10,交易明細!$J$2:$J$223,"止損")</f>
        <v/>
      </c>
      <c r="H10" s="4">
        <f>IFERROR(F10/E10,0)</f>
        <v/>
      </c>
      <c r="I10" s="4">
        <f>IFERROR(AVERAGEIFS(交易明細!$L$2:$L$223,交易明細!$B$2:$B$223,$A10,交易明細!$J$2:$J$223,"&lt;&gt;未平倉"),0)</f>
        <v/>
      </c>
      <c r="J10" s="4">
        <f>SUMIFS(交易明細!$L$2:$L$223,交易明細!$B$2:$B$223,$A10,交易明細!$J$2:$J$223,"&lt;&gt;未平倉")</f>
        <v/>
      </c>
      <c r="K10" s="5">
        <f>IFERROR(AVERAGEIFS(交易明細!$K$2:$K$223,交易明細!$B$2:$B$223,$A10,交易明細!$J$2:$J$223,"&lt;&gt;未平倉"),0)</f>
        <v/>
      </c>
      <c r="L10" s="2">
        <f>COUNTIFS(交易明細!$B$2:$B$223,$A10,交易明細!$J$2:$J$223,"未平倉")</f>
        <v/>
      </c>
    </row>
    <row r="11">
      <c r="A11" s="2" t="inlineStr">
        <is>
          <t>AKE_USDT_PERP</t>
        </is>
      </c>
      <c r="B11" s="2">
        <f>COUNTIFS(交易明細!$B$2:$B$223,$A11)</f>
        <v/>
      </c>
      <c r="C11" s="2">
        <f>COUNTIFS(交易明細!$B$2:$B$223,$A11,交易明細!$C$2:$C$223,"做多")</f>
        <v/>
      </c>
      <c r="D11" s="2">
        <f>COUNTIFS(交易明細!$B$2:$B$223,$A11,交易明細!$C$2:$C$223,"做空")</f>
        <v/>
      </c>
      <c r="E11" s="2">
        <f>F11+G11+COUNTIFS(交易明細!$B$2:$B$223,$A11,交易明細!$J$2:$J$223,"時間出場")</f>
        <v/>
      </c>
      <c r="F11" s="2">
        <f>COUNTIFS(交易明細!$B$2:$B$223,$A11,交易明細!$J$2:$J$223,"止盈")</f>
        <v/>
      </c>
      <c r="G11" s="2">
        <f>COUNTIFS(交易明細!$B$2:$B$223,$A11,交易明細!$J$2:$J$223,"止損")</f>
        <v/>
      </c>
      <c r="H11" s="4">
        <f>IFERROR(F11/E11,0)</f>
        <v/>
      </c>
      <c r="I11" s="4">
        <f>IFERROR(AVERAGEIFS(交易明細!$L$2:$L$223,交易明細!$B$2:$B$223,$A11,交易明細!$J$2:$J$223,"&lt;&gt;未平倉"),0)</f>
        <v/>
      </c>
      <c r="J11" s="4">
        <f>SUMIFS(交易明細!$L$2:$L$223,交易明細!$B$2:$B$223,$A11,交易明細!$J$2:$J$223,"&lt;&gt;未平倉")</f>
        <v/>
      </c>
      <c r="K11" s="5">
        <f>IFERROR(AVERAGEIFS(交易明細!$K$2:$K$223,交易明細!$B$2:$B$223,$A11,交易明細!$J$2:$J$223,"&lt;&gt;未平倉"),0)</f>
        <v/>
      </c>
      <c r="L11" s="2">
        <f>COUNTIFS(交易明細!$B$2:$B$223,$A11,交易明細!$J$2:$J$223,"未平倉")</f>
        <v/>
      </c>
    </row>
    <row r="12">
      <c r="A12" s="2" t="inlineStr">
        <is>
          <t>VVV_USDT_PERP</t>
        </is>
      </c>
      <c r="B12" s="2">
        <f>COUNTIFS(交易明細!$B$2:$B$223,$A12)</f>
        <v/>
      </c>
      <c r="C12" s="2">
        <f>COUNTIFS(交易明細!$B$2:$B$223,$A12,交易明細!$C$2:$C$223,"做多")</f>
        <v/>
      </c>
      <c r="D12" s="2">
        <f>COUNTIFS(交易明細!$B$2:$B$223,$A12,交易明細!$C$2:$C$223,"做空")</f>
        <v/>
      </c>
      <c r="E12" s="2">
        <f>F12+G12+COUNTIFS(交易明細!$B$2:$B$223,$A12,交易明細!$J$2:$J$223,"時間出場")</f>
        <v/>
      </c>
      <c r="F12" s="2">
        <f>COUNTIFS(交易明細!$B$2:$B$223,$A12,交易明細!$J$2:$J$223,"止盈")</f>
        <v/>
      </c>
      <c r="G12" s="2">
        <f>COUNTIFS(交易明細!$B$2:$B$223,$A12,交易明細!$J$2:$J$223,"止損")</f>
        <v/>
      </c>
      <c r="H12" s="4">
        <f>IFERROR(F12/E12,0)</f>
        <v/>
      </c>
      <c r="I12" s="4">
        <f>IFERROR(AVERAGEIFS(交易明細!$L$2:$L$223,交易明細!$B$2:$B$223,$A12,交易明細!$J$2:$J$223,"&lt;&gt;未平倉"),0)</f>
        <v/>
      </c>
      <c r="J12" s="4">
        <f>SUMIFS(交易明細!$L$2:$L$223,交易明細!$B$2:$B$223,$A12,交易明細!$J$2:$J$223,"&lt;&gt;未平倉")</f>
        <v/>
      </c>
      <c r="K12" s="5">
        <f>IFERROR(AVERAGEIFS(交易明細!$K$2:$K$223,交易明細!$B$2:$B$223,$A12,交易明細!$J$2:$J$223,"&lt;&gt;未平倉"),0)</f>
        <v/>
      </c>
      <c r="L12" s="2">
        <f>COUNTIFS(交易明細!$B$2:$B$223,$A12,交易明細!$J$2:$J$223,"未平倉")</f>
        <v/>
      </c>
    </row>
    <row r="13">
      <c r="A13" s="2" t="inlineStr">
        <is>
          <t>ARB_USDT_PERP</t>
        </is>
      </c>
      <c r="B13" s="2">
        <f>COUNTIFS(交易明細!$B$2:$B$223,$A13)</f>
        <v/>
      </c>
      <c r="C13" s="2">
        <f>COUNTIFS(交易明細!$B$2:$B$223,$A13,交易明細!$C$2:$C$223,"做多")</f>
        <v/>
      </c>
      <c r="D13" s="2">
        <f>COUNTIFS(交易明細!$B$2:$B$223,$A13,交易明細!$C$2:$C$223,"做空")</f>
        <v/>
      </c>
      <c r="E13" s="2">
        <f>F13+G13+COUNTIFS(交易明細!$B$2:$B$223,$A13,交易明細!$J$2:$J$223,"時間出場")</f>
        <v/>
      </c>
      <c r="F13" s="2">
        <f>COUNTIFS(交易明細!$B$2:$B$223,$A13,交易明細!$J$2:$J$223,"止盈")</f>
        <v/>
      </c>
      <c r="G13" s="2">
        <f>COUNTIFS(交易明細!$B$2:$B$223,$A13,交易明細!$J$2:$J$223,"止損")</f>
        <v/>
      </c>
      <c r="H13" s="4">
        <f>IFERROR(F13/E13,0)</f>
        <v/>
      </c>
      <c r="I13" s="4">
        <f>IFERROR(AVERAGEIFS(交易明細!$L$2:$L$223,交易明細!$B$2:$B$223,$A13,交易明細!$J$2:$J$223,"&lt;&gt;未平倉"),0)</f>
        <v/>
      </c>
      <c r="J13" s="4">
        <f>SUMIFS(交易明細!$L$2:$L$223,交易明細!$B$2:$B$223,$A13,交易明細!$J$2:$J$223,"&lt;&gt;未平倉")</f>
        <v/>
      </c>
      <c r="K13" s="5">
        <f>IFERROR(AVERAGEIFS(交易明細!$K$2:$K$223,交易明細!$B$2:$B$223,$A13,交易明細!$J$2:$J$223,"&lt;&gt;未平倉"),0)</f>
        <v/>
      </c>
      <c r="L13" s="2">
        <f>COUNTIFS(交易明細!$B$2:$B$223,$A13,交易明細!$J$2:$J$223,"未平倉")</f>
        <v/>
      </c>
    </row>
    <row r="14">
      <c r="A14" s="2" t="inlineStr">
        <is>
          <t>NEAR_USDT_PERP</t>
        </is>
      </c>
      <c r="B14" s="2">
        <f>COUNTIFS(交易明細!$B$2:$B$223,$A14)</f>
        <v/>
      </c>
      <c r="C14" s="2">
        <f>COUNTIFS(交易明細!$B$2:$B$223,$A14,交易明細!$C$2:$C$223,"做多")</f>
        <v/>
      </c>
      <c r="D14" s="2">
        <f>COUNTIFS(交易明細!$B$2:$B$223,$A14,交易明細!$C$2:$C$223,"做空")</f>
        <v/>
      </c>
      <c r="E14" s="2">
        <f>F14+G14+COUNTIFS(交易明細!$B$2:$B$223,$A14,交易明細!$J$2:$J$223,"時間出場")</f>
        <v/>
      </c>
      <c r="F14" s="2">
        <f>COUNTIFS(交易明細!$B$2:$B$223,$A14,交易明細!$J$2:$J$223,"止盈")</f>
        <v/>
      </c>
      <c r="G14" s="2">
        <f>COUNTIFS(交易明細!$B$2:$B$223,$A14,交易明細!$J$2:$J$223,"止損")</f>
        <v/>
      </c>
      <c r="H14" s="4">
        <f>IFERROR(F14/E14,0)</f>
        <v/>
      </c>
      <c r="I14" s="4">
        <f>IFERROR(AVERAGEIFS(交易明細!$L$2:$L$223,交易明細!$B$2:$B$223,$A14,交易明細!$J$2:$J$223,"&lt;&gt;未平倉"),0)</f>
        <v/>
      </c>
      <c r="J14" s="4">
        <f>SUMIFS(交易明細!$L$2:$L$223,交易明細!$B$2:$B$223,$A14,交易明細!$J$2:$J$223,"&lt;&gt;未平倉")</f>
        <v/>
      </c>
      <c r="K14" s="5">
        <f>IFERROR(AVERAGEIFS(交易明細!$K$2:$K$223,交易明細!$B$2:$B$223,$A14,交易明細!$J$2:$J$223,"&lt;&gt;未平倉"),0)</f>
        <v/>
      </c>
      <c r="L14" s="2">
        <f>COUNTIFS(交易明細!$B$2:$B$223,$A14,交易明細!$J$2:$J$223,"未平倉")</f>
        <v/>
      </c>
    </row>
    <row r="15">
      <c r="A15" s="2" t="inlineStr">
        <is>
          <t>RAY_USDT_PERP</t>
        </is>
      </c>
      <c r="B15" s="2">
        <f>COUNTIFS(交易明細!$B$2:$B$223,$A15)</f>
        <v/>
      </c>
      <c r="C15" s="2">
        <f>COUNTIFS(交易明細!$B$2:$B$223,$A15,交易明細!$C$2:$C$223,"做多")</f>
        <v/>
      </c>
      <c r="D15" s="2">
        <f>COUNTIFS(交易明細!$B$2:$B$223,$A15,交易明細!$C$2:$C$223,"做空")</f>
        <v/>
      </c>
      <c r="E15" s="2">
        <f>F15+G15+COUNTIFS(交易明細!$B$2:$B$223,$A15,交易明細!$J$2:$J$223,"時間出場")</f>
        <v/>
      </c>
      <c r="F15" s="2">
        <f>COUNTIFS(交易明細!$B$2:$B$223,$A15,交易明細!$J$2:$J$223,"止盈")</f>
        <v/>
      </c>
      <c r="G15" s="2">
        <f>COUNTIFS(交易明細!$B$2:$B$223,$A15,交易明細!$J$2:$J$223,"止損")</f>
        <v/>
      </c>
      <c r="H15" s="4">
        <f>IFERROR(F15/E15,0)</f>
        <v/>
      </c>
      <c r="I15" s="4">
        <f>IFERROR(AVERAGEIFS(交易明細!$L$2:$L$223,交易明細!$B$2:$B$223,$A15,交易明細!$J$2:$J$223,"&lt;&gt;未平倉"),0)</f>
        <v/>
      </c>
      <c r="J15" s="4">
        <f>SUMIFS(交易明細!$L$2:$L$223,交易明細!$B$2:$B$223,$A15,交易明細!$J$2:$J$223,"&lt;&gt;未平倉")</f>
        <v/>
      </c>
      <c r="K15" s="5">
        <f>IFERROR(AVERAGEIFS(交易明細!$K$2:$K$223,交易明細!$B$2:$B$223,$A15,交易明細!$J$2:$J$223,"&lt;&gt;未平倉"),0)</f>
        <v/>
      </c>
      <c r="L15" s="2">
        <f>COUNTIFS(交易明細!$B$2:$B$223,$A15,交易明細!$J$2:$J$223,"未平倉")</f>
        <v/>
      </c>
    </row>
    <row r="16">
      <c r="A16" s="2" t="inlineStr">
        <is>
          <t>UNI_USDT_PERP</t>
        </is>
      </c>
      <c r="B16" s="2">
        <f>COUNTIFS(交易明細!$B$2:$B$223,$A16)</f>
        <v/>
      </c>
      <c r="C16" s="2">
        <f>COUNTIFS(交易明細!$B$2:$B$223,$A16,交易明細!$C$2:$C$223,"做多")</f>
        <v/>
      </c>
      <c r="D16" s="2">
        <f>COUNTIFS(交易明細!$B$2:$B$223,$A16,交易明細!$C$2:$C$223,"做空")</f>
        <v/>
      </c>
      <c r="E16" s="2">
        <f>F16+G16+COUNTIFS(交易明細!$B$2:$B$223,$A16,交易明細!$J$2:$J$223,"時間出場")</f>
        <v/>
      </c>
      <c r="F16" s="2">
        <f>COUNTIFS(交易明細!$B$2:$B$223,$A16,交易明細!$J$2:$J$223,"止盈")</f>
        <v/>
      </c>
      <c r="G16" s="2">
        <f>COUNTIFS(交易明細!$B$2:$B$223,$A16,交易明細!$J$2:$J$223,"止損")</f>
        <v/>
      </c>
      <c r="H16" s="4">
        <f>IFERROR(F16/E16,0)</f>
        <v/>
      </c>
      <c r="I16" s="4">
        <f>IFERROR(AVERAGEIFS(交易明細!$L$2:$L$223,交易明細!$B$2:$B$223,$A16,交易明細!$J$2:$J$223,"&lt;&gt;未平倉"),0)</f>
        <v/>
      </c>
      <c r="J16" s="4">
        <f>SUMIFS(交易明細!$L$2:$L$223,交易明細!$B$2:$B$223,$A16,交易明細!$J$2:$J$223,"&lt;&gt;未平倉")</f>
        <v/>
      </c>
      <c r="K16" s="5">
        <f>IFERROR(AVERAGEIFS(交易明細!$K$2:$K$223,交易明細!$B$2:$B$223,$A16,交易明細!$J$2:$J$223,"&lt;&gt;未平倉"),0)</f>
        <v/>
      </c>
      <c r="L16" s="2">
        <f>COUNTIFS(交易明細!$B$2:$B$223,$A16,交易明細!$J$2:$J$223,"未平倉")</f>
        <v/>
      </c>
    </row>
    <row r="17">
      <c r="A17" s="2" t="inlineStr">
        <is>
          <t>DASH_USDT_PERP</t>
        </is>
      </c>
      <c r="B17" s="2">
        <f>COUNTIFS(交易明細!$B$2:$B$223,$A17)</f>
        <v/>
      </c>
      <c r="C17" s="2">
        <f>COUNTIFS(交易明細!$B$2:$B$223,$A17,交易明細!$C$2:$C$223,"做多")</f>
        <v/>
      </c>
      <c r="D17" s="2">
        <f>COUNTIFS(交易明細!$B$2:$B$223,$A17,交易明細!$C$2:$C$223,"做空")</f>
        <v/>
      </c>
      <c r="E17" s="2">
        <f>F17+G17+COUNTIFS(交易明細!$B$2:$B$223,$A17,交易明細!$J$2:$J$223,"時間出場")</f>
        <v/>
      </c>
      <c r="F17" s="2">
        <f>COUNTIFS(交易明細!$B$2:$B$223,$A17,交易明細!$J$2:$J$223,"止盈")</f>
        <v/>
      </c>
      <c r="G17" s="2">
        <f>COUNTIFS(交易明細!$B$2:$B$223,$A17,交易明細!$J$2:$J$223,"止損")</f>
        <v/>
      </c>
      <c r="H17" s="4">
        <f>IFERROR(F17/E17,0)</f>
        <v/>
      </c>
      <c r="I17" s="4">
        <f>IFERROR(AVERAGEIFS(交易明細!$L$2:$L$223,交易明細!$B$2:$B$223,$A17,交易明細!$J$2:$J$223,"&lt;&gt;未平倉"),0)</f>
        <v/>
      </c>
      <c r="J17" s="4">
        <f>SUMIFS(交易明細!$L$2:$L$223,交易明細!$B$2:$B$223,$A17,交易明細!$J$2:$J$223,"&lt;&gt;未平倉")</f>
        <v/>
      </c>
      <c r="K17" s="5">
        <f>IFERROR(AVERAGEIFS(交易明細!$K$2:$K$223,交易明細!$B$2:$B$223,$A17,交易明細!$J$2:$J$223,"&lt;&gt;未平倉"),0)</f>
        <v/>
      </c>
      <c r="L17" s="2">
        <f>COUNTIFS(交易明細!$B$2:$B$223,$A17,交易明細!$J$2:$J$223,"未平倉")</f>
        <v/>
      </c>
    </row>
    <row r="18">
      <c r="A18" s="2" t="inlineStr">
        <is>
          <t>SKR_USDT_PERP</t>
        </is>
      </c>
      <c r="B18" s="2">
        <f>COUNTIFS(交易明細!$B$2:$B$223,$A18)</f>
        <v/>
      </c>
      <c r="C18" s="2">
        <f>COUNTIFS(交易明細!$B$2:$B$223,$A18,交易明細!$C$2:$C$223,"做多")</f>
        <v/>
      </c>
      <c r="D18" s="2">
        <f>COUNTIFS(交易明細!$B$2:$B$223,$A18,交易明細!$C$2:$C$223,"做空")</f>
        <v/>
      </c>
      <c r="E18" s="2">
        <f>F18+G18+COUNTIFS(交易明細!$B$2:$B$223,$A18,交易明細!$J$2:$J$223,"時間出場")</f>
        <v/>
      </c>
      <c r="F18" s="2">
        <f>COUNTIFS(交易明細!$B$2:$B$223,$A18,交易明細!$J$2:$J$223,"止盈")</f>
        <v/>
      </c>
      <c r="G18" s="2">
        <f>COUNTIFS(交易明細!$B$2:$B$223,$A18,交易明細!$J$2:$J$223,"止損")</f>
        <v/>
      </c>
      <c r="H18" s="4">
        <f>IFERROR(F18/E18,0)</f>
        <v/>
      </c>
      <c r="I18" s="4">
        <f>IFERROR(AVERAGEIFS(交易明細!$L$2:$L$223,交易明細!$B$2:$B$223,$A18,交易明細!$J$2:$J$223,"&lt;&gt;未平倉"),0)</f>
        <v/>
      </c>
      <c r="J18" s="4">
        <f>SUMIFS(交易明細!$L$2:$L$223,交易明細!$B$2:$B$223,$A18,交易明細!$J$2:$J$223,"&lt;&gt;未平倉")</f>
        <v/>
      </c>
      <c r="K18" s="5">
        <f>IFERROR(AVERAGEIFS(交易明細!$K$2:$K$223,交易明細!$B$2:$B$223,$A18,交易明細!$J$2:$J$223,"&lt;&gt;未平倉"),0)</f>
        <v/>
      </c>
      <c r="L18" s="2">
        <f>COUNTIFS(交易明細!$B$2:$B$223,$A18,交易明細!$J$2:$J$223,"未平倉")</f>
        <v/>
      </c>
    </row>
    <row r="19">
      <c r="A19" s="2" t="inlineStr">
        <is>
          <t>IOST_USDT_PERP</t>
        </is>
      </c>
      <c r="B19" s="2">
        <f>COUNTIFS(交易明細!$B$2:$B$223,$A19)</f>
        <v/>
      </c>
      <c r="C19" s="2">
        <f>COUNTIFS(交易明細!$B$2:$B$223,$A19,交易明細!$C$2:$C$223,"做多")</f>
        <v/>
      </c>
      <c r="D19" s="2">
        <f>COUNTIFS(交易明細!$B$2:$B$223,$A19,交易明細!$C$2:$C$223,"做空")</f>
        <v/>
      </c>
      <c r="E19" s="2">
        <f>F19+G19+COUNTIFS(交易明細!$B$2:$B$223,$A19,交易明細!$J$2:$J$223,"時間出場")</f>
        <v/>
      </c>
      <c r="F19" s="2">
        <f>COUNTIFS(交易明細!$B$2:$B$223,$A19,交易明細!$J$2:$J$223,"止盈")</f>
        <v/>
      </c>
      <c r="G19" s="2">
        <f>COUNTIFS(交易明細!$B$2:$B$223,$A19,交易明細!$J$2:$J$223,"止損")</f>
        <v/>
      </c>
      <c r="H19" s="4">
        <f>IFERROR(F19/E19,0)</f>
        <v/>
      </c>
      <c r="I19" s="4">
        <f>IFERROR(AVERAGEIFS(交易明細!$L$2:$L$223,交易明細!$B$2:$B$223,$A19,交易明細!$J$2:$J$223,"&lt;&gt;未平倉"),0)</f>
        <v/>
      </c>
      <c r="J19" s="4">
        <f>SUMIFS(交易明細!$L$2:$L$223,交易明細!$B$2:$B$223,$A19,交易明細!$J$2:$J$223,"&lt;&gt;未平倉")</f>
        <v/>
      </c>
      <c r="K19" s="5">
        <f>IFERROR(AVERAGEIFS(交易明細!$K$2:$K$223,交易明細!$B$2:$B$223,$A19,交易明細!$J$2:$J$223,"&lt;&gt;未平倉"),0)</f>
        <v/>
      </c>
      <c r="L19" s="2">
        <f>COUNTIFS(交易明細!$B$2:$B$223,$A19,交易明細!$J$2:$J$223,"未平倉")</f>
        <v/>
      </c>
    </row>
    <row r="20">
      <c r="A20" s="2" t="inlineStr">
        <is>
          <t>LAB_USDT_PERP</t>
        </is>
      </c>
      <c r="B20" s="2">
        <f>COUNTIFS(交易明細!$B$2:$B$223,$A20)</f>
        <v/>
      </c>
      <c r="C20" s="2">
        <f>COUNTIFS(交易明細!$B$2:$B$223,$A20,交易明細!$C$2:$C$223,"做多")</f>
        <v/>
      </c>
      <c r="D20" s="2">
        <f>COUNTIFS(交易明細!$B$2:$B$223,$A20,交易明細!$C$2:$C$223,"做空")</f>
        <v/>
      </c>
      <c r="E20" s="2">
        <f>F20+G20+COUNTIFS(交易明細!$B$2:$B$223,$A20,交易明細!$J$2:$J$223,"時間出場")</f>
        <v/>
      </c>
      <c r="F20" s="2">
        <f>COUNTIFS(交易明細!$B$2:$B$223,$A20,交易明細!$J$2:$J$223,"止盈")</f>
        <v/>
      </c>
      <c r="G20" s="2">
        <f>COUNTIFS(交易明細!$B$2:$B$223,$A20,交易明細!$J$2:$J$223,"止損")</f>
        <v/>
      </c>
      <c r="H20" s="4">
        <f>IFERROR(F20/E20,0)</f>
        <v/>
      </c>
      <c r="I20" s="4">
        <f>IFERROR(AVERAGEIFS(交易明細!$L$2:$L$223,交易明細!$B$2:$B$223,$A20,交易明細!$J$2:$J$223,"&lt;&gt;未平倉"),0)</f>
        <v/>
      </c>
      <c r="J20" s="4">
        <f>SUMIFS(交易明細!$L$2:$L$223,交易明細!$B$2:$B$223,$A20,交易明細!$J$2:$J$223,"&lt;&gt;未平倉")</f>
        <v/>
      </c>
      <c r="K20" s="5">
        <f>IFERROR(AVERAGEIFS(交易明細!$K$2:$K$223,交易明細!$B$2:$B$223,$A20,交易明細!$J$2:$J$223,"&lt;&gt;未平倉"),0)</f>
        <v/>
      </c>
      <c r="L20" s="2">
        <f>COUNTIFS(交易明細!$B$2:$B$223,$A20,交易明細!$J$2:$J$223,"未平倉")</f>
        <v/>
      </c>
    </row>
    <row r="21">
      <c r="A21" s="2" t="inlineStr">
        <is>
          <t>BTR_USDT_PERP</t>
        </is>
      </c>
      <c r="B21" s="2">
        <f>COUNTIFS(交易明細!$B$2:$B$223,$A21)</f>
        <v/>
      </c>
      <c r="C21" s="2">
        <f>COUNTIFS(交易明細!$B$2:$B$223,$A21,交易明細!$C$2:$C$223,"做多")</f>
        <v/>
      </c>
      <c r="D21" s="2">
        <f>COUNTIFS(交易明細!$B$2:$B$223,$A21,交易明細!$C$2:$C$223,"做空")</f>
        <v/>
      </c>
      <c r="E21" s="2">
        <f>F21+G21+COUNTIFS(交易明細!$B$2:$B$223,$A21,交易明細!$J$2:$J$223,"時間出場")</f>
        <v/>
      </c>
      <c r="F21" s="2">
        <f>COUNTIFS(交易明細!$B$2:$B$223,$A21,交易明細!$J$2:$J$223,"止盈")</f>
        <v/>
      </c>
      <c r="G21" s="2">
        <f>COUNTIFS(交易明細!$B$2:$B$223,$A21,交易明細!$J$2:$J$223,"止損")</f>
        <v/>
      </c>
      <c r="H21" s="4">
        <f>IFERROR(F21/E21,0)</f>
        <v/>
      </c>
      <c r="I21" s="4">
        <f>IFERROR(AVERAGEIFS(交易明細!$L$2:$L$223,交易明細!$B$2:$B$223,$A21,交易明細!$J$2:$J$223,"&lt;&gt;未平倉"),0)</f>
        <v/>
      </c>
      <c r="J21" s="4">
        <f>SUMIFS(交易明細!$L$2:$L$223,交易明細!$B$2:$B$223,$A21,交易明細!$J$2:$J$223,"&lt;&gt;未平倉")</f>
        <v/>
      </c>
      <c r="K21" s="5">
        <f>IFERROR(AVERAGEIFS(交易明細!$K$2:$K$223,交易明細!$B$2:$B$223,$A21,交易明細!$J$2:$J$223,"&lt;&gt;未平倉"),0)</f>
        <v/>
      </c>
      <c r="L21" s="2">
        <f>COUNTIFS(交易明細!$B$2:$B$223,$A21,交易明細!$J$2:$J$223,"未平倉")</f>
        <v/>
      </c>
    </row>
    <row r="22">
      <c r="A22" s="2" t="inlineStr">
        <is>
          <t>XPL_USDT_PERP</t>
        </is>
      </c>
      <c r="B22" s="2">
        <f>COUNTIFS(交易明細!$B$2:$B$223,$A22)</f>
        <v/>
      </c>
      <c r="C22" s="2">
        <f>COUNTIFS(交易明細!$B$2:$B$223,$A22,交易明細!$C$2:$C$223,"做多")</f>
        <v/>
      </c>
      <c r="D22" s="2">
        <f>COUNTIFS(交易明細!$B$2:$B$223,$A22,交易明細!$C$2:$C$223,"做空")</f>
        <v/>
      </c>
      <c r="E22" s="2">
        <f>F22+G22+COUNTIFS(交易明細!$B$2:$B$223,$A22,交易明細!$J$2:$J$223,"時間出場")</f>
        <v/>
      </c>
      <c r="F22" s="2">
        <f>COUNTIFS(交易明細!$B$2:$B$223,$A22,交易明細!$J$2:$J$223,"止盈")</f>
        <v/>
      </c>
      <c r="G22" s="2">
        <f>COUNTIFS(交易明細!$B$2:$B$223,$A22,交易明細!$J$2:$J$223,"止損")</f>
        <v/>
      </c>
      <c r="H22" s="4">
        <f>IFERROR(F22/E22,0)</f>
        <v/>
      </c>
      <c r="I22" s="4">
        <f>IFERROR(AVERAGEIFS(交易明細!$L$2:$L$223,交易明細!$B$2:$B$223,$A22,交易明細!$J$2:$J$223,"&lt;&gt;未平倉"),0)</f>
        <v/>
      </c>
      <c r="J22" s="4">
        <f>SUMIFS(交易明細!$L$2:$L$223,交易明細!$B$2:$B$223,$A22,交易明細!$J$2:$J$223,"&lt;&gt;未平倉")</f>
        <v/>
      </c>
      <c r="K22" s="5">
        <f>IFERROR(AVERAGEIFS(交易明細!$K$2:$K$223,交易明細!$B$2:$B$223,$A22,交易明細!$J$2:$J$223,"&lt;&gt;未平倉"),0)</f>
        <v/>
      </c>
      <c r="L22" s="2">
        <f>COUNTIFS(交易明細!$B$2:$B$223,$A22,交易明細!$J$2:$J$223,"未平倉")</f>
        <v/>
      </c>
    </row>
    <row r="23">
      <c r="A23" s="2" t="inlineStr">
        <is>
          <t>ENA_USDT_PERP</t>
        </is>
      </c>
      <c r="B23" s="2">
        <f>COUNTIFS(交易明細!$B$2:$B$223,$A23)</f>
        <v/>
      </c>
      <c r="C23" s="2">
        <f>COUNTIFS(交易明細!$B$2:$B$223,$A23,交易明細!$C$2:$C$223,"做多")</f>
        <v/>
      </c>
      <c r="D23" s="2">
        <f>COUNTIFS(交易明細!$B$2:$B$223,$A23,交易明細!$C$2:$C$223,"做空")</f>
        <v/>
      </c>
      <c r="E23" s="2">
        <f>F23+G23+COUNTIFS(交易明細!$B$2:$B$223,$A23,交易明細!$J$2:$J$223,"時間出場")</f>
        <v/>
      </c>
      <c r="F23" s="2">
        <f>COUNTIFS(交易明細!$B$2:$B$223,$A23,交易明細!$J$2:$J$223,"止盈")</f>
        <v/>
      </c>
      <c r="G23" s="2">
        <f>COUNTIFS(交易明細!$B$2:$B$223,$A23,交易明細!$J$2:$J$223,"止損")</f>
        <v/>
      </c>
      <c r="H23" s="4">
        <f>IFERROR(F23/E23,0)</f>
        <v/>
      </c>
      <c r="I23" s="4">
        <f>IFERROR(AVERAGEIFS(交易明細!$L$2:$L$223,交易明細!$B$2:$B$223,$A23,交易明細!$J$2:$J$223,"&lt;&gt;未平倉"),0)</f>
        <v/>
      </c>
      <c r="J23" s="4">
        <f>SUMIFS(交易明細!$L$2:$L$223,交易明細!$B$2:$B$223,$A23,交易明細!$J$2:$J$223,"&lt;&gt;未平倉")</f>
        <v/>
      </c>
      <c r="K23" s="5">
        <f>IFERROR(AVERAGEIFS(交易明細!$K$2:$K$223,交易明細!$B$2:$B$223,$A23,交易明細!$J$2:$J$223,"&lt;&gt;未平倉"),0)</f>
        <v/>
      </c>
      <c r="L23" s="2">
        <f>COUNTIFS(交易明細!$B$2:$B$223,$A23,交易明細!$J$2:$J$223,"未平倉")</f>
        <v/>
      </c>
    </row>
    <row r="24">
      <c r="A24" s="2" t="inlineStr">
        <is>
          <t>ACE_USDT_PERP</t>
        </is>
      </c>
      <c r="B24" s="2">
        <f>COUNTIFS(交易明細!$B$2:$B$223,$A24)</f>
        <v/>
      </c>
      <c r="C24" s="2">
        <f>COUNTIFS(交易明細!$B$2:$B$223,$A24,交易明細!$C$2:$C$223,"做多")</f>
        <v/>
      </c>
      <c r="D24" s="2">
        <f>COUNTIFS(交易明細!$B$2:$B$223,$A24,交易明細!$C$2:$C$223,"做空")</f>
        <v/>
      </c>
      <c r="E24" s="2">
        <f>F24+G24+COUNTIFS(交易明細!$B$2:$B$223,$A24,交易明細!$J$2:$J$223,"時間出場")</f>
        <v/>
      </c>
      <c r="F24" s="2">
        <f>COUNTIFS(交易明細!$B$2:$B$223,$A24,交易明細!$J$2:$J$223,"止盈")</f>
        <v/>
      </c>
      <c r="G24" s="2">
        <f>COUNTIFS(交易明細!$B$2:$B$223,$A24,交易明細!$J$2:$J$223,"止損")</f>
        <v/>
      </c>
      <c r="H24" s="4">
        <f>IFERROR(F24/E24,0)</f>
        <v/>
      </c>
      <c r="I24" s="4">
        <f>IFERROR(AVERAGEIFS(交易明細!$L$2:$L$223,交易明細!$B$2:$B$223,$A24,交易明細!$J$2:$J$223,"&lt;&gt;未平倉"),0)</f>
        <v/>
      </c>
      <c r="J24" s="4">
        <f>SUMIFS(交易明細!$L$2:$L$223,交易明細!$B$2:$B$223,$A24,交易明細!$J$2:$J$223,"&lt;&gt;未平倉")</f>
        <v/>
      </c>
      <c r="K24" s="5">
        <f>IFERROR(AVERAGEIFS(交易明細!$K$2:$K$223,交易明細!$B$2:$B$223,$A24,交易明細!$J$2:$J$223,"&lt;&gt;未平倉"),0)</f>
        <v/>
      </c>
      <c r="L24" s="2">
        <f>COUNTIFS(交易明細!$B$2:$B$223,$A24,交易明細!$J$2:$J$223,"未平倉")</f>
        <v/>
      </c>
    </row>
    <row r="25">
      <c r="A25" s="2" t="inlineStr">
        <is>
          <t>EDGE_USDT_PERP</t>
        </is>
      </c>
      <c r="B25" s="2">
        <f>COUNTIFS(交易明細!$B$2:$B$223,$A25)</f>
        <v/>
      </c>
      <c r="C25" s="2">
        <f>COUNTIFS(交易明細!$B$2:$B$223,$A25,交易明細!$C$2:$C$223,"做多")</f>
        <v/>
      </c>
      <c r="D25" s="2">
        <f>COUNTIFS(交易明細!$B$2:$B$223,$A25,交易明細!$C$2:$C$223,"做空")</f>
        <v/>
      </c>
      <c r="E25" s="2">
        <f>F25+G25+COUNTIFS(交易明細!$B$2:$B$223,$A25,交易明細!$J$2:$J$223,"時間出場")</f>
        <v/>
      </c>
      <c r="F25" s="2">
        <f>COUNTIFS(交易明細!$B$2:$B$223,$A25,交易明細!$J$2:$J$223,"止盈")</f>
        <v/>
      </c>
      <c r="G25" s="2">
        <f>COUNTIFS(交易明細!$B$2:$B$223,$A25,交易明細!$J$2:$J$223,"止損")</f>
        <v/>
      </c>
      <c r="H25" s="4">
        <f>IFERROR(F25/E25,0)</f>
        <v/>
      </c>
      <c r="I25" s="4">
        <f>IFERROR(AVERAGEIFS(交易明細!$L$2:$L$223,交易明細!$B$2:$B$223,$A25,交易明細!$J$2:$J$223,"&lt;&gt;未平倉"),0)</f>
        <v/>
      </c>
      <c r="J25" s="4">
        <f>SUMIFS(交易明細!$L$2:$L$223,交易明細!$B$2:$B$223,$A25,交易明細!$J$2:$J$223,"&lt;&gt;未平倉")</f>
        <v/>
      </c>
      <c r="K25" s="5">
        <f>IFERROR(AVERAGEIFS(交易明細!$K$2:$K$223,交易明細!$B$2:$B$223,$A25,交易明細!$J$2:$J$223,"&lt;&gt;未平倉"),0)</f>
        <v/>
      </c>
      <c r="L25" s="2">
        <f>COUNTIFS(交易明細!$B$2:$B$223,$A25,交易明細!$J$2:$J$223,"未平倉")</f>
        <v/>
      </c>
    </row>
    <row r="26">
      <c r="A26" s="2" t="inlineStr">
        <is>
          <t>4_USDT_PERP</t>
        </is>
      </c>
      <c r="B26" s="2">
        <f>COUNTIFS(交易明細!$B$2:$B$223,$A26)</f>
        <v/>
      </c>
      <c r="C26" s="2">
        <f>COUNTIFS(交易明細!$B$2:$B$223,$A26,交易明細!$C$2:$C$223,"做多")</f>
        <v/>
      </c>
      <c r="D26" s="2">
        <f>COUNTIFS(交易明細!$B$2:$B$223,$A26,交易明細!$C$2:$C$223,"做空")</f>
        <v/>
      </c>
      <c r="E26" s="2">
        <f>F26+G26+COUNTIFS(交易明細!$B$2:$B$223,$A26,交易明細!$J$2:$J$223,"時間出場")</f>
        <v/>
      </c>
      <c r="F26" s="2">
        <f>COUNTIFS(交易明細!$B$2:$B$223,$A26,交易明細!$J$2:$J$223,"止盈")</f>
        <v/>
      </c>
      <c r="G26" s="2">
        <f>COUNTIFS(交易明細!$B$2:$B$223,$A26,交易明細!$J$2:$J$223,"止損")</f>
        <v/>
      </c>
      <c r="H26" s="4">
        <f>IFERROR(F26/E26,0)</f>
        <v/>
      </c>
      <c r="I26" s="4">
        <f>IFERROR(AVERAGEIFS(交易明細!$L$2:$L$223,交易明細!$B$2:$B$223,$A26,交易明細!$J$2:$J$223,"&lt;&gt;未平倉"),0)</f>
        <v/>
      </c>
      <c r="J26" s="4">
        <f>SUMIFS(交易明細!$L$2:$L$223,交易明細!$B$2:$B$223,$A26,交易明細!$J$2:$J$223,"&lt;&gt;未平倉")</f>
        <v/>
      </c>
      <c r="K26" s="5">
        <f>IFERROR(AVERAGEIFS(交易明細!$K$2:$K$223,交易明細!$B$2:$B$223,$A26,交易明細!$J$2:$J$223,"&lt;&gt;未平倉"),0)</f>
        <v/>
      </c>
      <c r="L26" s="2">
        <f>COUNTIFS(交易明細!$B$2:$B$223,$A26,交易明細!$J$2:$J$223,"未平倉")</f>
        <v/>
      </c>
    </row>
    <row r="27">
      <c r="A27" s="2" t="inlineStr">
        <is>
          <t>ZEC_USDT_PERP</t>
        </is>
      </c>
      <c r="B27" s="2">
        <f>COUNTIFS(交易明細!$B$2:$B$223,$A27)</f>
        <v/>
      </c>
      <c r="C27" s="2">
        <f>COUNTIFS(交易明細!$B$2:$B$223,$A27,交易明細!$C$2:$C$223,"做多")</f>
        <v/>
      </c>
      <c r="D27" s="2">
        <f>COUNTIFS(交易明細!$B$2:$B$223,$A27,交易明細!$C$2:$C$223,"做空")</f>
        <v/>
      </c>
      <c r="E27" s="2">
        <f>F27+G27+COUNTIFS(交易明細!$B$2:$B$223,$A27,交易明細!$J$2:$J$223,"時間出場")</f>
        <v/>
      </c>
      <c r="F27" s="2">
        <f>COUNTIFS(交易明細!$B$2:$B$223,$A27,交易明細!$J$2:$J$223,"止盈")</f>
        <v/>
      </c>
      <c r="G27" s="2">
        <f>COUNTIFS(交易明細!$B$2:$B$223,$A27,交易明細!$J$2:$J$223,"止損")</f>
        <v/>
      </c>
      <c r="H27" s="4">
        <f>IFERROR(F27/E27,0)</f>
        <v/>
      </c>
      <c r="I27" s="4">
        <f>IFERROR(AVERAGEIFS(交易明細!$L$2:$L$223,交易明細!$B$2:$B$223,$A27,交易明細!$J$2:$J$223,"&lt;&gt;未平倉"),0)</f>
        <v/>
      </c>
      <c r="J27" s="4">
        <f>SUMIFS(交易明細!$L$2:$L$223,交易明細!$B$2:$B$223,$A27,交易明細!$J$2:$J$223,"&lt;&gt;未平倉")</f>
        <v/>
      </c>
      <c r="K27" s="5">
        <f>IFERROR(AVERAGEIFS(交易明細!$K$2:$K$223,交易明細!$B$2:$B$223,$A27,交易明細!$J$2:$J$223,"&lt;&gt;未平倉"),0)</f>
        <v/>
      </c>
      <c r="L27" s="2">
        <f>COUNTIFS(交易明細!$B$2:$B$223,$A27,交易明細!$J$2:$J$223,"未平倉")</f>
        <v/>
      </c>
    </row>
    <row r="28">
      <c r="A28" s="2" t="inlineStr">
        <is>
          <t>WLD_USDT_PERP</t>
        </is>
      </c>
      <c r="B28" s="2">
        <f>COUNTIFS(交易明細!$B$2:$B$223,$A28)</f>
        <v/>
      </c>
      <c r="C28" s="2">
        <f>COUNTIFS(交易明細!$B$2:$B$223,$A28,交易明細!$C$2:$C$223,"做多")</f>
        <v/>
      </c>
      <c r="D28" s="2">
        <f>COUNTIFS(交易明細!$B$2:$B$223,$A28,交易明細!$C$2:$C$223,"做空")</f>
        <v/>
      </c>
      <c r="E28" s="2">
        <f>F28+G28+COUNTIFS(交易明細!$B$2:$B$223,$A28,交易明細!$J$2:$J$223,"時間出場")</f>
        <v/>
      </c>
      <c r="F28" s="2">
        <f>COUNTIFS(交易明細!$B$2:$B$223,$A28,交易明細!$J$2:$J$223,"止盈")</f>
        <v/>
      </c>
      <c r="G28" s="2">
        <f>COUNTIFS(交易明細!$B$2:$B$223,$A28,交易明細!$J$2:$J$223,"止損")</f>
        <v/>
      </c>
      <c r="H28" s="4">
        <f>IFERROR(F28/E28,0)</f>
        <v/>
      </c>
      <c r="I28" s="4">
        <f>IFERROR(AVERAGEIFS(交易明細!$L$2:$L$223,交易明細!$B$2:$B$223,$A28,交易明細!$J$2:$J$223,"&lt;&gt;未平倉"),0)</f>
        <v/>
      </c>
      <c r="J28" s="4">
        <f>SUMIFS(交易明細!$L$2:$L$223,交易明細!$B$2:$B$223,$A28,交易明細!$J$2:$J$223,"&lt;&gt;未平倉")</f>
        <v/>
      </c>
      <c r="K28" s="5">
        <f>IFERROR(AVERAGEIFS(交易明細!$K$2:$K$223,交易明細!$B$2:$B$223,$A28,交易明細!$J$2:$J$223,"&lt;&gt;未平倉"),0)</f>
        <v/>
      </c>
      <c r="L28" s="2">
        <f>COUNTIFS(交易明細!$B$2:$B$223,$A28,交易明細!$J$2:$J$223,"未平倉")</f>
        <v/>
      </c>
    </row>
    <row r="29">
      <c r="A29" s="2" t="inlineStr">
        <is>
          <t>AERO_USDT_PERP</t>
        </is>
      </c>
      <c r="B29" s="2">
        <f>COUNTIFS(交易明細!$B$2:$B$223,$A29)</f>
        <v/>
      </c>
      <c r="C29" s="2">
        <f>COUNTIFS(交易明細!$B$2:$B$223,$A29,交易明細!$C$2:$C$223,"做多")</f>
        <v/>
      </c>
      <c r="D29" s="2">
        <f>COUNTIFS(交易明細!$B$2:$B$223,$A29,交易明細!$C$2:$C$223,"做空")</f>
        <v/>
      </c>
      <c r="E29" s="2">
        <f>F29+G29+COUNTIFS(交易明細!$B$2:$B$223,$A29,交易明細!$J$2:$J$223,"時間出場")</f>
        <v/>
      </c>
      <c r="F29" s="2">
        <f>COUNTIFS(交易明細!$B$2:$B$223,$A29,交易明細!$J$2:$J$223,"止盈")</f>
        <v/>
      </c>
      <c r="G29" s="2">
        <f>COUNTIFS(交易明細!$B$2:$B$223,$A29,交易明細!$J$2:$J$223,"止損")</f>
        <v/>
      </c>
      <c r="H29" s="4">
        <f>IFERROR(F29/E29,0)</f>
        <v/>
      </c>
      <c r="I29" s="4">
        <f>IFERROR(AVERAGEIFS(交易明細!$L$2:$L$223,交易明細!$B$2:$B$223,$A29,交易明細!$J$2:$J$223,"&lt;&gt;未平倉"),0)</f>
        <v/>
      </c>
      <c r="J29" s="4">
        <f>SUMIFS(交易明細!$L$2:$L$223,交易明細!$B$2:$B$223,$A29,交易明細!$J$2:$J$223,"&lt;&gt;未平倉")</f>
        <v/>
      </c>
      <c r="K29" s="5">
        <f>IFERROR(AVERAGEIFS(交易明細!$K$2:$K$223,交易明細!$B$2:$B$223,$A29,交易明細!$J$2:$J$223,"&lt;&gt;未平倉"),0)</f>
        <v/>
      </c>
      <c r="L29" s="2">
        <f>COUNTIFS(交易明細!$B$2:$B$223,$A29,交易明細!$J$2:$J$223,"未平倉")</f>
        <v/>
      </c>
    </row>
    <row r="30">
      <c r="A30" s="2" t="inlineStr">
        <is>
          <t>DOT_USDT_PERP</t>
        </is>
      </c>
      <c r="B30" s="2">
        <f>COUNTIFS(交易明細!$B$2:$B$223,$A30)</f>
        <v/>
      </c>
      <c r="C30" s="2">
        <f>COUNTIFS(交易明細!$B$2:$B$223,$A30,交易明細!$C$2:$C$223,"做多")</f>
        <v/>
      </c>
      <c r="D30" s="2">
        <f>COUNTIFS(交易明細!$B$2:$B$223,$A30,交易明細!$C$2:$C$223,"做空")</f>
        <v/>
      </c>
      <c r="E30" s="2">
        <f>F30+G30+COUNTIFS(交易明細!$B$2:$B$223,$A30,交易明細!$J$2:$J$223,"時間出場")</f>
        <v/>
      </c>
      <c r="F30" s="2">
        <f>COUNTIFS(交易明細!$B$2:$B$223,$A30,交易明細!$J$2:$J$223,"止盈")</f>
        <v/>
      </c>
      <c r="G30" s="2">
        <f>COUNTIFS(交易明細!$B$2:$B$223,$A30,交易明細!$J$2:$J$223,"止損")</f>
        <v/>
      </c>
      <c r="H30" s="4">
        <f>IFERROR(F30/E30,0)</f>
        <v/>
      </c>
      <c r="I30" s="4">
        <f>IFERROR(AVERAGEIFS(交易明細!$L$2:$L$223,交易明細!$B$2:$B$223,$A30,交易明細!$J$2:$J$223,"&lt;&gt;未平倉"),0)</f>
        <v/>
      </c>
      <c r="J30" s="4">
        <f>SUMIFS(交易明細!$L$2:$L$223,交易明細!$B$2:$B$223,$A30,交易明細!$J$2:$J$223,"&lt;&gt;未平倉")</f>
        <v/>
      </c>
      <c r="K30" s="5">
        <f>IFERROR(AVERAGEIFS(交易明細!$K$2:$K$223,交易明細!$B$2:$B$223,$A30,交易明細!$J$2:$J$223,"&lt;&gt;未平倉"),0)</f>
        <v/>
      </c>
      <c r="L30" s="2">
        <f>COUNTIFS(交易明細!$B$2:$B$223,$A30,交易明細!$J$2:$J$223,"未平倉")</f>
        <v/>
      </c>
    </row>
    <row r="31">
      <c r="A31" s="2" t="inlineStr">
        <is>
          <t>RIVER_USDT_PERP</t>
        </is>
      </c>
      <c r="B31" s="2">
        <f>COUNTIFS(交易明細!$B$2:$B$223,$A31)</f>
        <v/>
      </c>
      <c r="C31" s="2">
        <f>COUNTIFS(交易明細!$B$2:$B$223,$A31,交易明細!$C$2:$C$223,"做多")</f>
        <v/>
      </c>
      <c r="D31" s="2">
        <f>COUNTIFS(交易明細!$B$2:$B$223,$A31,交易明細!$C$2:$C$223,"做空")</f>
        <v/>
      </c>
      <c r="E31" s="2">
        <f>F31+G31+COUNTIFS(交易明細!$B$2:$B$223,$A31,交易明細!$J$2:$J$223,"時間出場")</f>
        <v/>
      </c>
      <c r="F31" s="2">
        <f>COUNTIFS(交易明細!$B$2:$B$223,$A31,交易明細!$J$2:$J$223,"止盈")</f>
        <v/>
      </c>
      <c r="G31" s="2">
        <f>COUNTIFS(交易明細!$B$2:$B$223,$A31,交易明細!$J$2:$J$223,"止損")</f>
        <v/>
      </c>
      <c r="H31" s="4">
        <f>IFERROR(F31/E31,0)</f>
        <v/>
      </c>
      <c r="I31" s="4">
        <f>IFERROR(AVERAGEIFS(交易明細!$L$2:$L$223,交易明細!$B$2:$B$223,$A31,交易明細!$J$2:$J$223,"&lt;&gt;未平倉"),0)</f>
        <v/>
      </c>
      <c r="J31" s="4">
        <f>SUMIFS(交易明細!$L$2:$L$223,交易明細!$B$2:$B$223,$A31,交易明細!$J$2:$J$223,"&lt;&gt;未平倉")</f>
        <v/>
      </c>
      <c r="K31" s="5">
        <f>IFERROR(AVERAGEIFS(交易明細!$K$2:$K$223,交易明細!$B$2:$B$223,$A31,交易明細!$J$2:$J$223,"&lt;&gt;未平倉"),0)</f>
        <v/>
      </c>
      <c r="L31" s="2">
        <f>COUNTIFS(交易明細!$B$2:$B$223,$A31,交易明細!$J$2:$J$223,"未平倉")</f>
        <v/>
      </c>
    </row>
    <row r="32">
      <c r="A32" s="2" t="inlineStr">
        <is>
          <t>FIL_USDT_PERP</t>
        </is>
      </c>
      <c r="B32" s="2">
        <f>COUNTIFS(交易明細!$B$2:$B$223,$A32)</f>
        <v/>
      </c>
      <c r="C32" s="2">
        <f>COUNTIFS(交易明細!$B$2:$B$223,$A32,交易明細!$C$2:$C$223,"做多")</f>
        <v/>
      </c>
      <c r="D32" s="2">
        <f>COUNTIFS(交易明細!$B$2:$B$223,$A32,交易明細!$C$2:$C$223,"做空")</f>
        <v/>
      </c>
      <c r="E32" s="2">
        <f>F32+G32+COUNTIFS(交易明細!$B$2:$B$223,$A32,交易明細!$J$2:$J$223,"時間出場")</f>
        <v/>
      </c>
      <c r="F32" s="2">
        <f>COUNTIFS(交易明細!$B$2:$B$223,$A32,交易明細!$J$2:$J$223,"止盈")</f>
        <v/>
      </c>
      <c r="G32" s="2">
        <f>COUNTIFS(交易明細!$B$2:$B$223,$A32,交易明細!$J$2:$J$223,"止損")</f>
        <v/>
      </c>
      <c r="H32" s="4">
        <f>IFERROR(F32/E32,0)</f>
        <v/>
      </c>
      <c r="I32" s="4">
        <f>IFERROR(AVERAGEIFS(交易明細!$L$2:$L$223,交易明細!$B$2:$B$223,$A32,交易明細!$J$2:$J$223,"&lt;&gt;未平倉"),0)</f>
        <v/>
      </c>
      <c r="J32" s="4">
        <f>SUMIFS(交易明細!$L$2:$L$223,交易明細!$B$2:$B$223,$A32,交易明細!$J$2:$J$223,"&lt;&gt;未平倉")</f>
        <v/>
      </c>
      <c r="K32" s="5">
        <f>IFERROR(AVERAGEIFS(交易明細!$K$2:$K$223,交易明細!$B$2:$B$223,$A32,交易明細!$J$2:$J$223,"&lt;&gt;未平倉"),0)</f>
        <v/>
      </c>
      <c r="L32" s="2">
        <f>COUNTIFS(交易明細!$B$2:$B$223,$A32,交易明細!$J$2:$J$223,"未平倉")</f>
        <v/>
      </c>
    </row>
    <row r="33">
      <c r="A33" s="2" t="inlineStr">
        <is>
          <t>LSK_USDT_PERP</t>
        </is>
      </c>
      <c r="B33" s="2">
        <f>COUNTIFS(交易明細!$B$2:$B$223,$A33)</f>
        <v/>
      </c>
      <c r="C33" s="2">
        <f>COUNTIFS(交易明細!$B$2:$B$223,$A33,交易明細!$C$2:$C$223,"做多")</f>
        <v/>
      </c>
      <c r="D33" s="2">
        <f>COUNTIFS(交易明細!$B$2:$B$223,$A33,交易明細!$C$2:$C$223,"做空")</f>
        <v/>
      </c>
      <c r="E33" s="2">
        <f>F33+G33+COUNTIFS(交易明細!$B$2:$B$223,$A33,交易明細!$J$2:$J$223,"時間出場")</f>
        <v/>
      </c>
      <c r="F33" s="2">
        <f>COUNTIFS(交易明細!$B$2:$B$223,$A33,交易明細!$J$2:$J$223,"止盈")</f>
        <v/>
      </c>
      <c r="G33" s="2">
        <f>COUNTIFS(交易明細!$B$2:$B$223,$A33,交易明細!$J$2:$J$223,"止損")</f>
        <v/>
      </c>
      <c r="H33" s="4">
        <f>IFERROR(F33/E33,0)</f>
        <v/>
      </c>
      <c r="I33" s="4">
        <f>IFERROR(AVERAGEIFS(交易明細!$L$2:$L$223,交易明細!$B$2:$B$223,$A33,交易明細!$J$2:$J$223,"&lt;&gt;未平倉"),0)</f>
        <v/>
      </c>
      <c r="J33" s="4">
        <f>SUMIFS(交易明細!$L$2:$L$223,交易明細!$B$2:$B$223,$A33,交易明細!$J$2:$J$223,"&lt;&gt;未平倉")</f>
        <v/>
      </c>
      <c r="K33" s="5">
        <f>IFERROR(AVERAGEIFS(交易明細!$K$2:$K$223,交易明細!$B$2:$B$223,$A33,交易明細!$J$2:$J$223,"&lt;&gt;未平倉"),0)</f>
        <v/>
      </c>
      <c r="L33" s="2">
        <f>COUNTIFS(交易明細!$B$2:$B$223,$A33,交易明細!$J$2:$J$223,"未平倉")</f>
        <v/>
      </c>
    </row>
    <row r="34">
      <c r="A34" s="2" t="inlineStr">
        <is>
          <t>SKYAI_USDT_PERP</t>
        </is>
      </c>
      <c r="B34" s="2">
        <f>COUNTIFS(交易明細!$B$2:$B$223,$A34)</f>
        <v/>
      </c>
      <c r="C34" s="2">
        <f>COUNTIFS(交易明細!$B$2:$B$223,$A34,交易明細!$C$2:$C$223,"做多")</f>
        <v/>
      </c>
      <c r="D34" s="2">
        <f>COUNTIFS(交易明細!$B$2:$B$223,$A34,交易明細!$C$2:$C$223,"做空")</f>
        <v/>
      </c>
      <c r="E34" s="2">
        <f>F34+G34+COUNTIFS(交易明細!$B$2:$B$223,$A34,交易明細!$J$2:$J$223,"時間出場")</f>
        <v/>
      </c>
      <c r="F34" s="2">
        <f>COUNTIFS(交易明細!$B$2:$B$223,$A34,交易明細!$J$2:$J$223,"止盈")</f>
        <v/>
      </c>
      <c r="G34" s="2">
        <f>COUNTIFS(交易明細!$B$2:$B$223,$A34,交易明細!$J$2:$J$223,"止損")</f>
        <v/>
      </c>
      <c r="H34" s="4">
        <f>IFERROR(F34/E34,0)</f>
        <v/>
      </c>
      <c r="I34" s="4">
        <f>IFERROR(AVERAGEIFS(交易明細!$L$2:$L$223,交易明細!$B$2:$B$223,$A34,交易明細!$J$2:$J$223,"&lt;&gt;未平倉"),0)</f>
        <v/>
      </c>
      <c r="J34" s="4">
        <f>SUMIFS(交易明細!$L$2:$L$223,交易明細!$B$2:$B$223,$A34,交易明細!$J$2:$J$223,"&lt;&gt;未平倉")</f>
        <v/>
      </c>
      <c r="K34" s="5">
        <f>IFERROR(AVERAGEIFS(交易明細!$K$2:$K$223,交易明細!$B$2:$B$223,$A34,交易明細!$J$2:$J$223,"&lt;&gt;未平倉"),0)</f>
        <v/>
      </c>
      <c r="L34" s="2">
        <f>COUNTIFS(交易明細!$B$2:$B$223,$A34,交易明細!$J$2:$J$223,"未平倉")</f>
        <v/>
      </c>
    </row>
    <row r="35">
      <c r="A35" s="2" t="inlineStr">
        <is>
          <t>XMR_USDT_PERP</t>
        </is>
      </c>
      <c r="B35" s="2">
        <f>COUNTIFS(交易明細!$B$2:$B$223,$A35)</f>
        <v/>
      </c>
      <c r="C35" s="2">
        <f>COUNTIFS(交易明細!$B$2:$B$223,$A35,交易明細!$C$2:$C$223,"做多")</f>
        <v/>
      </c>
      <c r="D35" s="2">
        <f>COUNTIFS(交易明細!$B$2:$B$223,$A35,交易明細!$C$2:$C$223,"做空")</f>
        <v/>
      </c>
      <c r="E35" s="2">
        <f>F35+G35+COUNTIFS(交易明細!$B$2:$B$223,$A35,交易明細!$J$2:$J$223,"時間出場")</f>
        <v/>
      </c>
      <c r="F35" s="2">
        <f>COUNTIFS(交易明細!$B$2:$B$223,$A35,交易明細!$J$2:$J$223,"止盈")</f>
        <v/>
      </c>
      <c r="G35" s="2">
        <f>COUNTIFS(交易明細!$B$2:$B$223,$A35,交易明細!$J$2:$J$223,"止損")</f>
        <v/>
      </c>
      <c r="H35" s="4">
        <f>IFERROR(F35/E35,0)</f>
        <v/>
      </c>
      <c r="I35" s="4">
        <f>IFERROR(AVERAGEIFS(交易明細!$L$2:$L$223,交易明細!$B$2:$B$223,$A35,交易明細!$J$2:$J$223,"&lt;&gt;未平倉"),0)</f>
        <v/>
      </c>
      <c r="J35" s="4">
        <f>SUMIFS(交易明細!$L$2:$L$223,交易明細!$B$2:$B$223,$A35,交易明細!$J$2:$J$223,"&lt;&gt;未平倉")</f>
        <v/>
      </c>
      <c r="K35" s="5">
        <f>IFERROR(AVERAGEIFS(交易明細!$K$2:$K$223,交易明細!$B$2:$B$223,$A35,交易明細!$J$2:$J$223,"&lt;&gt;未平倉"),0)</f>
        <v/>
      </c>
      <c r="L35" s="2">
        <f>COUNTIFS(交易明細!$B$2:$B$223,$A35,交易明細!$J$2:$J$223,"未平倉")</f>
        <v/>
      </c>
    </row>
    <row r="36">
      <c r="A36" s="2" t="inlineStr">
        <is>
          <t>CRV_USDT_PERP</t>
        </is>
      </c>
      <c r="B36" s="2">
        <f>COUNTIFS(交易明細!$B$2:$B$223,$A36)</f>
        <v/>
      </c>
      <c r="C36" s="2">
        <f>COUNTIFS(交易明細!$B$2:$B$223,$A36,交易明細!$C$2:$C$223,"做多")</f>
        <v/>
      </c>
      <c r="D36" s="2">
        <f>COUNTIFS(交易明細!$B$2:$B$223,$A36,交易明細!$C$2:$C$223,"做空")</f>
        <v/>
      </c>
      <c r="E36" s="2">
        <f>F36+G36+COUNTIFS(交易明細!$B$2:$B$223,$A36,交易明細!$J$2:$J$223,"時間出場")</f>
        <v/>
      </c>
      <c r="F36" s="2">
        <f>COUNTIFS(交易明細!$B$2:$B$223,$A36,交易明細!$J$2:$J$223,"止盈")</f>
        <v/>
      </c>
      <c r="G36" s="2">
        <f>COUNTIFS(交易明細!$B$2:$B$223,$A36,交易明細!$J$2:$J$223,"止損")</f>
        <v/>
      </c>
      <c r="H36" s="4">
        <f>IFERROR(F36/E36,0)</f>
        <v/>
      </c>
      <c r="I36" s="4">
        <f>IFERROR(AVERAGEIFS(交易明細!$L$2:$L$223,交易明細!$B$2:$B$223,$A36,交易明細!$J$2:$J$223,"&lt;&gt;未平倉"),0)</f>
        <v/>
      </c>
      <c r="J36" s="4">
        <f>SUMIFS(交易明細!$L$2:$L$223,交易明細!$B$2:$B$223,$A36,交易明細!$J$2:$J$223,"&lt;&gt;未平倉")</f>
        <v/>
      </c>
      <c r="K36" s="5">
        <f>IFERROR(AVERAGEIFS(交易明細!$K$2:$K$223,交易明細!$B$2:$B$223,$A36,交易明細!$J$2:$J$223,"&lt;&gt;未平倉"),0)</f>
        <v/>
      </c>
      <c r="L36" s="2">
        <f>COUNTIFS(交易明細!$B$2:$B$223,$A36,交易明細!$J$2:$J$223,"未平倉")</f>
        <v/>
      </c>
    </row>
    <row r="37">
      <c r="A37" s="2" t="inlineStr">
        <is>
          <t>MAGMA_USDT_PERP</t>
        </is>
      </c>
      <c r="B37" s="2">
        <f>COUNTIFS(交易明細!$B$2:$B$223,$A37)</f>
        <v/>
      </c>
      <c r="C37" s="2">
        <f>COUNTIFS(交易明細!$B$2:$B$223,$A37,交易明細!$C$2:$C$223,"做多")</f>
        <v/>
      </c>
      <c r="D37" s="2">
        <f>COUNTIFS(交易明細!$B$2:$B$223,$A37,交易明細!$C$2:$C$223,"做空")</f>
        <v/>
      </c>
      <c r="E37" s="2">
        <f>F37+G37+COUNTIFS(交易明細!$B$2:$B$223,$A37,交易明細!$J$2:$J$223,"時間出場")</f>
        <v/>
      </c>
      <c r="F37" s="2">
        <f>COUNTIFS(交易明細!$B$2:$B$223,$A37,交易明細!$J$2:$J$223,"止盈")</f>
        <v/>
      </c>
      <c r="G37" s="2">
        <f>COUNTIFS(交易明細!$B$2:$B$223,$A37,交易明細!$J$2:$J$223,"止損")</f>
        <v/>
      </c>
      <c r="H37" s="4">
        <f>IFERROR(F37/E37,0)</f>
        <v/>
      </c>
      <c r="I37" s="4">
        <f>IFERROR(AVERAGEIFS(交易明細!$L$2:$L$223,交易明細!$B$2:$B$223,$A37,交易明細!$J$2:$J$223,"&lt;&gt;未平倉"),0)</f>
        <v/>
      </c>
      <c r="J37" s="4">
        <f>SUMIFS(交易明細!$L$2:$L$223,交易明細!$B$2:$B$223,$A37,交易明細!$J$2:$J$223,"&lt;&gt;未平倉")</f>
        <v/>
      </c>
      <c r="K37" s="5">
        <f>IFERROR(AVERAGEIFS(交易明細!$K$2:$K$223,交易明細!$B$2:$B$223,$A37,交易明細!$J$2:$J$223,"&lt;&gt;未平倉"),0)</f>
        <v/>
      </c>
      <c r="L37" s="2">
        <f>COUNTIFS(交易明細!$B$2:$B$223,$A37,交易明細!$J$2:$J$223,"未平倉")</f>
        <v/>
      </c>
    </row>
    <row r="38">
      <c r="A38" s="2" t="inlineStr">
        <is>
          <t>TRUMP_USDT_PERP</t>
        </is>
      </c>
      <c r="B38" s="2">
        <f>COUNTIFS(交易明細!$B$2:$B$223,$A38)</f>
        <v/>
      </c>
      <c r="C38" s="2">
        <f>COUNTIFS(交易明細!$B$2:$B$223,$A38,交易明細!$C$2:$C$223,"做多")</f>
        <v/>
      </c>
      <c r="D38" s="2">
        <f>COUNTIFS(交易明細!$B$2:$B$223,$A38,交易明細!$C$2:$C$223,"做空")</f>
        <v/>
      </c>
      <c r="E38" s="2">
        <f>F38+G38+COUNTIFS(交易明細!$B$2:$B$223,$A38,交易明細!$J$2:$J$223,"時間出場")</f>
        <v/>
      </c>
      <c r="F38" s="2">
        <f>COUNTIFS(交易明細!$B$2:$B$223,$A38,交易明細!$J$2:$J$223,"止盈")</f>
        <v/>
      </c>
      <c r="G38" s="2">
        <f>COUNTIFS(交易明細!$B$2:$B$223,$A38,交易明細!$J$2:$J$223,"止損")</f>
        <v/>
      </c>
      <c r="H38" s="4">
        <f>IFERROR(F38/E38,0)</f>
        <v/>
      </c>
      <c r="I38" s="4">
        <f>IFERROR(AVERAGEIFS(交易明細!$L$2:$L$223,交易明細!$B$2:$B$223,$A38,交易明細!$J$2:$J$223,"&lt;&gt;未平倉"),0)</f>
        <v/>
      </c>
      <c r="J38" s="4">
        <f>SUMIFS(交易明細!$L$2:$L$223,交易明細!$B$2:$B$223,$A38,交易明細!$J$2:$J$223,"&lt;&gt;未平倉")</f>
        <v/>
      </c>
      <c r="K38" s="5">
        <f>IFERROR(AVERAGEIFS(交易明細!$K$2:$K$223,交易明細!$B$2:$B$223,$A38,交易明細!$J$2:$J$223,"&lt;&gt;未平倉"),0)</f>
        <v/>
      </c>
      <c r="L38" s="2">
        <f>COUNTIFS(交易明細!$B$2:$B$223,$A38,交易明細!$J$2:$J$223,"未平倉")</f>
        <v/>
      </c>
    </row>
    <row r="39">
      <c r="A39" s="2" t="inlineStr">
        <is>
          <t>CHIP_USDT_PERP</t>
        </is>
      </c>
      <c r="B39" s="2">
        <f>COUNTIFS(交易明細!$B$2:$B$223,$A39)</f>
        <v/>
      </c>
      <c r="C39" s="2">
        <f>COUNTIFS(交易明細!$B$2:$B$223,$A39,交易明細!$C$2:$C$223,"做多")</f>
        <v/>
      </c>
      <c r="D39" s="2">
        <f>COUNTIFS(交易明細!$B$2:$B$223,$A39,交易明細!$C$2:$C$223,"做空")</f>
        <v/>
      </c>
      <c r="E39" s="2">
        <f>F39+G39+COUNTIFS(交易明細!$B$2:$B$223,$A39,交易明細!$J$2:$J$223,"時間出場")</f>
        <v/>
      </c>
      <c r="F39" s="2">
        <f>COUNTIFS(交易明細!$B$2:$B$223,$A39,交易明細!$J$2:$J$223,"止盈")</f>
        <v/>
      </c>
      <c r="G39" s="2">
        <f>COUNTIFS(交易明細!$B$2:$B$223,$A39,交易明細!$J$2:$J$223,"止損")</f>
        <v/>
      </c>
      <c r="H39" s="4">
        <f>IFERROR(F39/E39,0)</f>
        <v/>
      </c>
      <c r="I39" s="4">
        <f>IFERROR(AVERAGEIFS(交易明細!$L$2:$L$223,交易明細!$B$2:$B$223,$A39,交易明細!$J$2:$J$223,"&lt;&gt;未平倉"),0)</f>
        <v/>
      </c>
      <c r="J39" s="4">
        <f>SUMIFS(交易明細!$L$2:$L$223,交易明細!$B$2:$B$223,$A39,交易明細!$J$2:$J$223,"&lt;&gt;未平倉")</f>
        <v/>
      </c>
      <c r="K39" s="5">
        <f>IFERROR(AVERAGEIFS(交易明細!$K$2:$K$223,交易明細!$B$2:$B$223,$A39,交易明細!$J$2:$J$223,"&lt;&gt;未平倉"),0)</f>
        <v/>
      </c>
      <c r="L39" s="2">
        <f>COUNTIFS(交易明細!$B$2:$B$223,$A39,交易明細!$J$2:$J$223,"未平倉")</f>
        <v/>
      </c>
    </row>
    <row r="40">
      <c r="A40" s="2" t="inlineStr">
        <is>
          <t>PENGU_USDT_PERP</t>
        </is>
      </c>
      <c r="B40" s="2">
        <f>COUNTIFS(交易明細!$B$2:$B$223,$A40)</f>
        <v/>
      </c>
      <c r="C40" s="2">
        <f>COUNTIFS(交易明細!$B$2:$B$223,$A40,交易明細!$C$2:$C$223,"做多")</f>
        <v/>
      </c>
      <c r="D40" s="2">
        <f>COUNTIFS(交易明細!$B$2:$B$223,$A40,交易明細!$C$2:$C$223,"做空")</f>
        <v/>
      </c>
      <c r="E40" s="2">
        <f>F40+G40+COUNTIFS(交易明細!$B$2:$B$223,$A40,交易明細!$J$2:$J$223,"時間出場")</f>
        <v/>
      </c>
      <c r="F40" s="2">
        <f>COUNTIFS(交易明細!$B$2:$B$223,$A40,交易明細!$J$2:$J$223,"止盈")</f>
        <v/>
      </c>
      <c r="G40" s="2">
        <f>COUNTIFS(交易明細!$B$2:$B$223,$A40,交易明細!$J$2:$J$223,"止損")</f>
        <v/>
      </c>
      <c r="H40" s="4">
        <f>IFERROR(F40/E40,0)</f>
        <v/>
      </c>
      <c r="I40" s="4">
        <f>IFERROR(AVERAGEIFS(交易明細!$L$2:$L$223,交易明細!$B$2:$B$223,$A40,交易明細!$J$2:$J$223,"&lt;&gt;未平倉"),0)</f>
        <v/>
      </c>
      <c r="J40" s="4">
        <f>SUMIFS(交易明細!$L$2:$L$223,交易明細!$B$2:$B$223,$A40,交易明細!$J$2:$J$223,"&lt;&gt;未平倉")</f>
        <v/>
      </c>
      <c r="K40" s="5">
        <f>IFERROR(AVERAGEIFS(交易明細!$K$2:$K$223,交易明細!$B$2:$B$223,$A40,交易明細!$J$2:$J$223,"&lt;&gt;未平倉"),0)</f>
        <v/>
      </c>
      <c r="L40" s="2">
        <f>COUNTIFS(交易明細!$B$2:$B$223,$A40,交易明細!$J$2:$J$223,"未平倉")</f>
        <v/>
      </c>
    </row>
    <row r="41">
      <c r="A41" s="2" t="inlineStr">
        <is>
          <t>FARTCOIN_USDT_PERP</t>
        </is>
      </c>
      <c r="B41" s="2">
        <f>COUNTIFS(交易明細!$B$2:$B$223,$A41)</f>
        <v/>
      </c>
      <c r="C41" s="2">
        <f>COUNTIFS(交易明細!$B$2:$B$223,$A41,交易明細!$C$2:$C$223,"做多")</f>
        <v/>
      </c>
      <c r="D41" s="2">
        <f>COUNTIFS(交易明細!$B$2:$B$223,$A41,交易明細!$C$2:$C$223,"做空")</f>
        <v/>
      </c>
      <c r="E41" s="2">
        <f>F41+G41+COUNTIFS(交易明細!$B$2:$B$223,$A41,交易明細!$J$2:$J$223,"時間出場")</f>
        <v/>
      </c>
      <c r="F41" s="2">
        <f>COUNTIFS(交易明細!$B$2:$B$223,$A41,交易明細!$J$2:$J$223,"止盈")</f>
        <v/>
      </c>
      <c r="G41" s="2">
        <f>COUNTIFS(交易明細!$B$2:$B$223,$A41,交易明細!$J$2:$J$223,"止損")</f>
        <v/>
      </c>
      <c r="H41" s="4">
        <f>IFERROR(F41/E41,0)</f>
        <v/>
      </c>
      <c r="I41" s="4">
        <f>IFERROR(AVERAGEIFS(交易明細!$L$2:$L$223,交易明細!$B$2:$B$223,$A41,交易明細!$J$2:$J$223,"&lt;&gt;未平倉"),0)</f>
        <v/>
      </c>
      <c r="J41" s="4">
        <f>SUMIFS(交易明細!$L$2:$L$223,交易明細!$B$2:$B$223,$A41,交易明細!$J$2:$J$223,"&lt;&gt;未平倉")</f>
        <v/>
      </c>
      <c r="K41" s="5">
        <f>IFERROR(AVERAGEIFS(交易明細!$K$2:$K$223,交易明細!$B$2:$B$223,$A41,交易明細!$J$2:$J$223,"&lt;&gt;未平倉"),0)</f>
        <v/>
      </c>
      <c r="L41" s="2">
        <f>COUNTIFS(交易明細!$B$2:$B$223,$A41,交易明細!$J$2:$J$223,"未平倉")</f>
        <v/>
      </c>
    </row>
    <row r="42">
      <c r="A42" s="2" t="inlineStr">
        <is>
          <t>TRIA_USDT_PERP</t>
        </is>
      </c>
      <c r="B42" s="2">
        <f>COUNTIFS(交易明細!$B$2:$B$223,$A42)</f>
        <v/>
      </c>
      <c r="C42" s="2">
        <f>COUNTIFS(交易明細!$B$2:$B$223,$A42,交易明細!$C$2:$C$223,"做多")</f>
        <v/>
      </c>
      <c r="D42" s="2">
        <f>COUNTIFS(交易明細!$B$2:$B$223,$A42,交易明細!$C$2:$C$223,"做空")</f>
        <v/>
      </c>
      <c r="E42" s="2">
        <f>F42+G42+COUNTIFS(交易明細!$B$2:$B$223,$A42,交易明細!$J$2:$J$223,"時間出場")</f>
        <v/>
      </c>
      <c r="F42" s="2">
        <f>COUNTIFS(交易明細!$B$2:$B$223,$A42,交易明細!$J$2:$J$223,"止盈")</f>
        <v/>
      </c>
      <c r="G42" s="2">
        <f>COUNTIFS(交易明細!$B$2:$B$223,$A42,交易明細!$J$2:$J$223,"止損")</f>
        <v/>
      </c>
      <c r="H42" s="4">
        <f>IFERROR(F42/E42,0)</f>
        <v/>
      </c>
      <c r="I42" s="4">
        <f>IFERROR(AVERAGEIFS(交易明細!$L$2:$L$223,交易明細!$B$2:$B$223,$A42,交易明細!$J$2:$J$223,"&lt;&gt;未平倉"),0)</f>
        <v/>
      </c>
      <c r="J42" s="4">
        <f>SUMIFS(交易明細!$L$2:$L$223,交易明細!$B$2:$B$223,$A42,交易明細!$J$2:$J$223,"&lt;&gt;未平倉")</f>
        <v/>
      </c>
      <c r="K42" s="5">
        <f>IFERROR(AVERAGEIFS(交易明細!$K$2:$K$223,交易明細!$B$2:$B$223,$A42,交易明細!$J$2:$J$223,"&lt;&gt;未平倉"),0)</f>
        <v/>
      </c>
      <c r="L42" s="2">
        <f>COUNTIFS(交易明細!$B$2:$B$223,$A42,交易明細!$J$2:$J$223,"未平倉")</f>
        <v/>
      </c>
    </row>
    <row r="43">
      <c r="A43" s="2" t="inlineStr">
        <is>
          <t>ZEN_USDT_PERP</t>
        </is>
      </c>
      <c r="B43" s="2">
        <f>COUNTIFS(交易明細!$B$2:$B$223,$A43)</f>
        <v/>
      </c>
      <c r="C43" s="2">
        <f>COUNTIFS(交易明細!$B$2:$B$223,$A43,交易明細!$C$2:$C$223,"做多")</f>
        <v/>
      </c>
      <c r="D43" s="2">
        <f>COUNTIFS(交易明細!$B$2:$B$223,$A43,交易明細!$C$2:$C$223,"做空")</f>
        <v/>
      </c>
      <c r="E43" s="2">
        <f>F43+G43+COUNTIFS(交易明細!$B$2:$B$223,$A43,交易明細!$J$2:$J$223,"時間出場")</f>
        <v/>
      </c>
      <c r="F43" s="2">
        <f>COUNTIFS(交易明細!$B$2:$B$223,$A43,交易明細!$J$2:$J$223,"止盈")</f>
        <v/>
      </c>
      <c r="G43" s="2">
        <f>COUNTIFS(交易明細!$B$2:$B$223,$A43,交易明細!$J$2:$J$223,"止損")</f>
        <v/>
      </c>
      <c r="H43" s="4">
        <f>IFERROR(F43/E43,0)</f>
        <v/>
      </c>
      <c r="I43" s="4">
        <f>IFERROR(AVERAGEIFS(交易明細!$L$2:$L$223,交易明細!$B$2:$B$223,$A43,交易明細!$J$2:$J$223,"&lt;&gt;未平倉"),0)</f>
        <v/>
      </c>
      <c r="J43" s="4">
        <f>SUMIFS(交易明細!$L$2:$L$223,交易明細!$B$2:$B$223,$A43,交易明細!$J$2:$J$223,"&lt;&gt;未平倉")</f>
        <v/>
      </c>
      <c r="K43" s="5">
        <f>IFERROR(AVERAGEIFS(交易明細!$K$2:$K$223,交易明細!$B$2:$B$223,$A43,交易明細!$J$2:$J$223,"&lt;&gt;未平倉"),0)</f>
        <v/>
      </c>
      <c r="L43" s="2">
        <f>COUNTIFS(交易明細!$B$2:$B$223,$A43,交易明細!$J$2:$J$223,"未平倉")</f>
        <v/>
      </c>
    </row>
    <row r="44">
      <c r="A44" s="2" t="inlineStr">
        <is>
          <t>TAO_USDT_PERP</t>
        </is>
      </c>
      <c r="B44" s="2">
        <f>COUNTIFS(交易明細!$B$2:$B$223,$A44)</f>
        <v/>
      </c>
      <c r="C44" s="2">
        <f>COUNTIFS(交易明細!$B$2:$B$223,$A44,交易明細!$C$2:$C$223,"做多")</f>
        <v/>
      </c>
      <c r="D44" s="2">
        <f>COUNTIFS(交易明細!$B$2:$B$223,$A44,交易明細!$C$2:$C$223,"做空")</f>
        <v/>
      </c>
      <c r="E44" s="2">
        <f>F44+G44+COUNTIFS(交易明細!$B$2:$B$223,$A44,交易明細!$J$2:$J$223,"時間出場")</f>
        <v/>
      </c>
      <c r="F44" s="2">
        <f>COUNTIFS(交易明細!$B$2:$B$223,$A44,交易明細!$J$2:$J$223,"止盈")</f>
        <v/>
      </c>
      <c r="G44" s="2">
        <f>COUNTIFS(交易明細!$B$2:$B$223,$A44,交易明細!$J$2:$J$223,"止損")</f>
        <v/>
      </c>
      <c r="H44" s="4">
        <f>IFERROR(F44/E44,0)</f>
        <v/>
      </c>
      <c r="I44" s="4">
        <f>IFERROR(AVERAGEIFS(交易明細!$L$2:$L$223,交易明細!$B$2:$B$223,$A44,交易明細!$J$2:$J$223,"&lt;&gt;未平倉"),0)</f>
        <v/>
      </c>
      <c r="J44" s="4">
        <f>SUMIFS(交易明細!$L$2:$L$223,交易明細!$B$2:$B$223,$A44,交易明細!$J$2:$J$223,"&lt;&gt;未平倉")</f>
        <v/>
      </c>
      <c r="K44" s="5">
        <f>IFERROR(AVERAGEIFS(交易明細!$K$2:$K$223,交易明細!$B$2:$B$223,$A44,交易明細!$J$2:$J$223,"&lt;&gt;未平倉"),0)</f>
        <v/>
      </c>
      <c r="L44" s="2">
        <f>COUNTIFS(交易明細!$B$2:$B$223,$A44,交易明細!$J$2:$J$223,"未平倉")</f>
        <v/>
      </c>
    </row>
    <row r="45">
      <c r="A45" s="2" t="inlineStr">
        <is>
          <t>KAS_USDT_PERP</t>
        </is>
      </c>
      <c r="B45" s="2">
        <f>COUNTIFS(交易明細!$B$2:$B$223,$A45)</f>
        <v/>
      </c>
      <c r="C45" s="2">
        <f>COUNTIFS(交易明細!$B$2:$B$223,$A45,交易明細!$C$2:$C$223,"做多")</f>
        <v/>
      </c>
      <c r="D45" s="2">
        <f>COUNTIFS(交易明細!$B$2:$B$223,$A45,交易明細!$C$2:$C$223,"做空")</f>
        <v/>
      </c>
      <c r="E45" s="2">
        <f>F45+G45+COUNTIFS(交易明細!$B$2:$B$223,$A45,交易明細!$J$2:$J$223,"時間出場")</f>
        <v/>
      </c>
      <c r="F45" s="2">
        <f>COUNTIFS(交易明細!$B$2:$B$223,$A45,交易明細!$J$2:$J$223,"止盈")</f>
        <v/>
      </c>
      <c r="G45" s="2">
        <f>COUNTIFS(交易明細!$B$2:$B$223,$A45,交易明細!$J$2:$J$223,"止損")</f>
        <v/>
      </c>
      <c r="H45" s="4">
        <f>IFERROR(F45/E45,0)</f>
        <v/>
      </c>
      <c r="I45" s="4">
        <f>IFERROR(AVERAGEIFS(交易明細!$L$2:$L$223,交易明細!$B$2:$B$223,$A45,交易明細!$J$2:$J$223,"&lt;&gt;未平倉"),0)</f>
        <v/>
      </c>
      <c r="J45" s="4">
        <f>SUMIFS(交易明細!$L$2:$L$223,交易明細!$B$2:$B$223,$A45,交易明細!$J$2:$J$223,"&lt;&gt;未平倉")</f>
        <v/>
      </c>
      <c r="K45" s="5">
        <f>IFERROR(AVERAGEIFS(交易明細!$K$2:$K$223,交易明細!$B$2:$B$223,$A45,交易明細!$J$2:$J$223,"&lt;&gt;未平倉"),0)</f>
        <v/>
      </c>
      <c r="L45" s="2">
        <f>COUNTIFS(交易明細!$B$2:$B$223,$A45,交易明細!$J$2:$J$223,"未平倉")</f>
        <v/>
      </c>
    </row>
    <row r="46">
      <c r="A46" s="2" t="inlineStr">
        <is>
          <t>CASHCAT_USDT_PERP</t>
        </is>
      </c>
      <c r="B46" s="2">
        <f>COUNTIFS(交易明細!$B$2:$B$223,$A46)</f>
        <v/>
      </c>
      <c r="C46" s="2">
        <f>COUNTIFS(交易明細!$B$2:$B$223,$A46,交易明細!$C$2:$C$223,"做多")</f>
        <v/>
      </c>
      <c r="D46" s="2">
        <f>COUNTIFS(交易明細!$B$2:$B$223,$A46,交易明細!$C$2:$C$223,"做空")</f>
        <v/>
      </c>
      <c r="E46" s="2">
        <f>F46+G46+COUNTIFS(交易明細!$B$2:$B$223,$A46,交易明細!$J$2:$J$223,"時間出場")</f>
        <v/>
      </c>
      <c r="F46" s="2">
        <f>COUNTIFS(交易明細!$B$2:$B$223,$A46,交易明細!$J$2:$J$223,"止盈")</f>
        <v/>
      </c>
      <c r="G46" s="2">
        <f>COUNTIFS(交易明細!$B$2:$B$223,$A46,交易明細!$J$2:$J$223,"止損")</f>
        <v/>
      </c>
      <c r="H46" s="4">
        <f>IFERROR(F46/E46,0)</f>
        <v/>
      </c>
      <c r="I46" s="4">
        <f>IFERROR(AVERAGEIFS(交易明細!$L$2:$L$223,交易明細!$B$2:$B$223,$A46,交易明細!$J$2:$J$223,"&lt;&gt;未平倉"),0)</f>
        <v/>
      </c>
      <c r="J46" s="4">
        <f>SUMIFS(交易明細!$L$2:$L$223,交易明細!$B$2:$B$223,$A46,交易明細!$J$2:$J$223,"&lt;&gt;未平倉")</f>
        <v/>
      </c>
      <c r="K46" s="5">
        <f>IFERROR(AVERAGEIFS(交易明細!$K$2:$K$223,交易明細!$B$2:$B$223,$A46,交易明細!$J$2:$J$223,"&lt;&gt;未平倉"),0)</f>
        <v/>
      </c>
      <c r="L46" s="2">
        <f>COUNTIFS(交易明細!$B$2:$B$223,$A46,交易明細!$J$2:$J$223,"未平倉")</f>
        <v/>
      </c>
    </row>
    <row r="47">
      <c r="A47" s="2" t="inlineStr">
        <is>
          <t>INJ_USDT_PERP</t>
        </is>
      </c>
      <c r="B47" s="2">
        <f>COUNTIFS(交易明細!$B$2:$B$223,$A47)</f>
        <v/>
      </c>
      <c r="C47" s="2">
        <f>COUNTIFS(交易明細!$B$2:$B$223,$A47,交易明細!$C$2:$C$223,"做多")</f>
        <v/>
      </c>
      <c r="D47" s="2">
        <f>COUNTIFS(交易明細!$B$2:$B$223,$A47,交易明細!$C$2:$C$223,"做空")</f>
        <v/>
      </c>
      <c r="E47" s="2">
        <f>F47+G47+COUNTIFS(交易明細!$B$2:$B$223,$A47,交易明細!$J$2:$J$223,"時間出場")</f>
        <v/>
      </c>
      <c r="F47" s="2">
        <f>COUNTIFS(交易明細!$B$2:$B$223,$A47,交易明細!$J$2:$J$223,"止盈")</f>
        <v/>
      </c>
      <c r="G47" s="2">
        <f>COUNTIFS(交易明細!$B$2:$B$223,$A47,交易明細!$J$2:$J$223,"止損")</f>
        <v/>
      </c>
      <c r="H47" s="4">
        <f>IFERROR(F47/E47,0)</f>
        <v/>
      </c>
      <c r="I47" s="4">
        <f>IFERROR(AVERAGEIFS(交易明細!$L$2:$L$223,交易明細!$B$2:$B$223,$A47,交易明細!$J$2:$J$223,"&lt;&gt;未平倉"),0)</f>
        <v/>
      </c>
      <c r="J47" s="4">
        <f>SUMIFS(交易明細!$L$2:$L$223,交易明細!$B$2:$B$223,$A47,交易明細!$J$2:$J$223,"&lt;&gt;未平倉")</f>
        <v/>
      </c>
      <c r="K47" s="5">
        <f>IFERROR(AVERAGEIFS(交易明細!$K$2:$K$223,交易明細!$B$2:$B$223,$A47,交易明細!$J$2:$J$223,"&lt;&gt;未平倉"),0)</f>
        <v/>
      </c>
      <c r="L47" s="2">
        <f>COUNTIFS(交易明細!$B$2:$B$223,$A47,交易明細!$J$2:$J$223,"未平倉")</f>
        <v/>
      </c>
    </row>
    <row r="48">
      <c r="A48" s="2" t="inlineStr">
        <is>
          <t>ICP_USDT_PERP</t>
        </is>
      </c>
      <c r="B48" s="2">
        <f>COUNTIFS(交易明細!$B$2:$B$223,$A48)</f>
        <v/>
      </c>
      <c r="C48" s="2">
        <f>COUNTIFS(交易明細!$B$2:$B$223,$A48,交易明細!$C$2:$C$223,"做多")</f>
        <v/>
      </c>
      <c r="D48" s="2">
        <f>COUNTIFS(交易明細!$B$2:$B$223,$A48,交易明細!$C$2:$C$223,"做空")</f>
        <v/>
      </c>
      <c r="E48" s="2">
        <f>F48+G48+COUNTIFS(交易明細!$B$2:$B$223,$A48,交易明細!$J$2:$J$223,"時間出場")</f>
        <v/>
      </c>
      <c r="F48" s="2">
        <f>COUNTIFS(交易明細!$B$2:$B$223,$A48,交易明細!$J$2:$J$223,"止盈")</f>
        <v/>
      </c>
      <c r="G48" s="2">
        <f>COUNTIFS(交易明細!$B$2:$B$223,$A48,交易明細!$J$2:$J$223,"止損")</f>
        <v/>
      </c>
      <c r="H48" s="4">
        <f>IFERROR(F48/E48,0)</f>
        <v/>
      </c>
      <c r="I48" s="4">
        <f>IFERROR(AVERAGEIFS(交易明細!$L$2:$L$223,交易明細!$B$2:$B$223,$A48,交易明細!$J$2:$J$223,"&lt;&gt;未平倉"),0)</f>
        <v/>
      </c>
      <c r="J48" s="4">
        <f>SUMIFS(交易明細!$L$2:$L$223,交易明細!$B$2:$B$223,$A48,交易明細!$J$2:$J$223,"&lt;&gt;未平倉")</f>
        <v/>
      </c>
      <c r="K48" s="5">
        <f>IFERROR(AVERAGEIFS(交易明細!$K$2:$K$223,交易明細!$B$2:$B$223,$A48,交易明細!$J$2:$J$223,"&lt;&gt;未平倉"),0)</f>
        <v/>
      </c>
      <c r="L48" s="2">
        <f>COUNTIFS(交易明細!$B$2:$B$223,$A48,交易明細!$J$2:$J$223,"未平倉")</f>
        <v/>
      </c>
    </row>
    <row r="49">
      <c r="A49" s="2" t="inlineStr">
        <is>
          <t>FF_USDT_PERP</t>
        </is>
      </c>
      <c r="B49" s="2">
        <f>COUNTIFS(交易明細!$B$2:$B$223,$A49)</f>
        <v/>
      </c>
      <c r="C49" s="2">
        <f>COUNTIFS(交易明細!$B$2:$B$223,$A49,交易明細!$C$2:$C$223,"做多")</f>
        <v/>
      </c>
      <c r="D49" s="2">
        <f>COUNTIFS(交易明細!$B$2:$B$223,$A49,交易明細!$C$2:$C$223,"做空")</f>
        <v/>
      </c>
      <c r="E49" s="2">
        <f>F49+G49+COUNTIFS(交易明細!$B$2:$B$223,$A49,交易明細!$J$2:$J$223,"時間出場")</f>
        <v/>
      </c>
      <c r="F49" s="2">
        <f>COUNTIFS(交易明細!$B$2:$B$223,$A49,交易明細!$J$2:$J$223,"止盈")</f>
        <v/>
      </c>
      <c r="G49" s="2">
        <f>COUNTIFS(交易明細!$B$2:$B$223,$A49,交易明細!$J$2:$J$223,"止損")</f>
        <v/>
      </c>
      <c r="H49" s="4">
        <f>IFERROR(F49/E49,0)</f>
        <v/>
      </c>
      <c r="I49" s="4">
        <f>IFERROR(AVERAGEIFS(交易明細!$L$2:$L$223,交易明細!$B$2:$B$223,$A49,交易明細!$J$2:$J$223,"&lt;&gt;未平倉"),0)</f>
        <v/>
      </c>
      <c r="J49" s="4">
        <f>SUMIFS(交易明細!$L$2:$L$223,交易明細!$B$2:$B$223,$A49,交易明細!$J$2:$J$223,"&lt;&gt;未平倉")</f>
        <v/>
      </c>
      <c r="K49" s="5">
        <f>IFERROR(AVERAGEIFS(交易明細!$K$2:$K$223,交易明細!$B$2:$B$223,$A49,交易明細!$J$2:$J$223,"&lt;&gt;未平倉"),0)</f>
        <v/>
      </c>
      <c r="L49" s="2">
        <f>COUNTIFS(交易明細!$B$2:$B$223,$A49,交易明細!$J$2:$J$223,"未平倉")</f>
        <v/>
      </c>
    </row>
    <row r="50">
      <c r="A50" s="2" t="inlineStr">
        <is>
          <t>KAT_USDT_PERP</t>
        </is>
      </c>
      <c r="B50" s="2">
        <f>COUNTIFS(交易明細!$B$2:$B$223,$A50)</f>
        <v/>
      </c>
      <c r="C50" s="2">
        <f>COUNTIFS(交易明細!$B$2:$B$223,$A50,交易明細!$C$2:$C$223,"做多")</f>
        <v/>
      </c>
      <c r="D50" s="2">
        <f>COUNTIFS(交易明細!$B$2:$B$223,$A50,交易明細!$C$2:$C$223,"做空")</f>
        <v/>
      </c>
      <c r="E50" s="2">
        <f>F50+G50+COUNTIFS(交易明細!$B$2:$B$223,$A50,交易明細!$J$2:$J$223,"時間出場")</f>
        <v/>
      </c>
      <c r="F50" s="2">
        <f>COUNTIFS(交易明細!$B$2:$B$223,$A50,交易明細!$J$2:$J$223,"止盈")</f>
        <v/>
      </c>
      <c r="G50" s="2">
        <f>COUNTIFS(交易明細!$B$2:$B$223,$A50,交易明細!$J$2:$J$223,"止損")</f>
        <v/>
      </c>
      <c r="H50" s="4">
        <f>IFERROR(F50/E50,0)</f>
        <v/>
      </c>
      <c r="I50" s="4">
        <f>IFERROR(AVERAGEIFS(交易明細!$L$2:$L$223,交易明細!$B$2:$B$223,$A50,交易明細!$J$2:$J$223,"&lt;&gt;未平倉"),0)</f>
        <v/>
      </c>
      <c r="J50" s="4">
        <f>SUMIFS(交易明細!$L$2:$L$223,交易明細!$B$2:$B$223,$A50,交易明細!$J$2:$J$223,"&lt;&gt;未平倉")</f>
        <v/>
      </c>
      <c r="K50" s="5">
        <f>IFERROR(AVERAGEIFS(交易明細!$K$2:$K$223,交易明細!$B$2:$B$223,$A50,交易明細!$J$2:$J$223,"&lt;&gt;未平倉"),0)</f>
        <v/>
      </c>
      <c r="L50" s="2">
        <f>COUNTIFS(交易明細!$B$2:$B$223,$A50,交易明細!$J$2:$J$223,"未平倉")</f>
        <v/>
      </c>
    </row>
    <row r="51">
      <c r="A51" s="2" t="inlineStr">
        <is>
          <t>MET_USDT_PERP</t>
        </is>
      </c>
      <c r="B51" s="2">
        <f>COUNTIFS(交易明細!$B$2:$B$223,$A51)</f>
        <v/>
      </c>
      <c r="C51" s="2">
        <f>COUNTIFS(交易明細!$B$2:$B$223,$A51,交易明細!$C$2:$C$223,"做多")</f>
        <v/>
      </c>
      <c r="D51" s="2">
        <f>COUNTIFS(交易明細!$B$2:$B$223,$A51,交易明細!$C$2:$C$223,"做空")</f>
        <v/>
      </c>
      <c r="E51" s="2">
        <f>F51+G51+COUNTIFS(交易明細!$B$2:$B$223,$A51,交易明細!$J$2:$J$223,"時間出場")</f>
        <v/>
      </c>
      <c r="F51" s="2">
        <f>COUNTIFS(交易明細!$B$2:$B$223,$A51,交易明細!$J$2:$J$223,"止盈")</f>
        <v/>
      </c>
      <c r="G51" s="2">
        <f>COUNTIFS(交易明細!$B$2:$B$223,$A51,交易明細!$J$2:$J$223,"止損")</f>
        <v/>
      </c>
      <c r="H51" s="4">
        <f>IFERROR(F51/E51,0)</f>
        <v/>
      </c>
      <c r="I51" s="4">
        <f>IFERROR(AVERAGEIFS(交易明細!$L$2:$L$223,交易明細!$B$2:$B$223,$A51,交易明細!$J$2:$J$223,"&lt;&gt;未平倉"),0)</f>
        <v/>
      </c>
      <c r="J51" s="4">
        <f>SUMIFS(交易明細!$L$2:$L$223,交易明細!$B$2:$B$223,$A51,交易明細!$J$2:$J$223,"&lt;&gt;未平倉")</f>
        <v/>
      </c>
      <c r="K51" s="5">
        <f>IFERROR(AVERAGEIFS(交易明細!$K$2:$K$223,交易明細!$B$2:$B$223,$A51,交易明細!$J$2:$J$223,"&lt;&gt;未平倉"),0)</f>
        <v/>
      </c>
      <c r="L51" s="2">
        <f>COUNTIFS(交易明細!$B$2:$B$223,$A51,交易明細!$J$2:$J$223,"未平倉")</f>
        <v/>
      </c>
    </row>
    <row r="52">
      <c r="A52" s="2" t="inlineStr">
        <is>
          <t>BTW_USDT_PERP</t>
        </is>
      </c>
      <c r="B52" s="2">
        <f>COUNTIFS(交易明細!$B$2:$B$223,$A52)</f>
        <v/>
      </c>
      <c r="C52" s="2">
        <f>COUNTIFS(交易明細!$B$2:$B$223,$A52,交易明細!$C$2:$C$223,"做多")</f>
        <v/>
      </c>
      <c r="D52" s="2">
        <f>COUNTIFS(交易明細!$B$2:$B$223,$A52,交易明細!$C$2:$C$223,"做空")</f>
        <v/>
      </c>
      <c r="E52" s="2">
        <f>F52+G52+COUNTIFS(交易明細!$B$2:$B$223,$A52,交易明細!$J$2:$J$223,"時間出場")</f>
        <v/>
      </c>
      <c r="F52" s="2">
        <f>COUNTIFS(交易明細!$B$2:$B$223,$A52,交易明細!$J$2:$J$223,"止盈")</f>
        <v/>
      </c>
      <c r="G52" s="2">
        <f>COUNTIFS(交易明細!$B$2:$B$223,$A52,交易明細!$J$2:$J$223,"止損")</f>
        <v/>
      </c>
      <c r="H52" s="4">
        <f>IFERROR(F52/E52,0)</f>
        <v/>
      </c>
      <c r="I52" s="4">
        <f>IFERROR(AVERAGEIFS(交易明細!$L$2:$L$223,交易明細!$B$2:$B$223,$A52,交易明細!$J$2:$J$223,"&lt;&gt;未平倉"),0)</f>
        <v/>
      </c>
      <c r="J52" s="4">
        <f>SUMIFS(交易明細!$L$2:$L$223,交易明細!$B$2:$B$223,$A52,交易明細!$J$2:$J$223,"&lt;&gt;未平倉")</f>
        <v/>
      </c>
      <c r="K52" s="5">
        <f>IFERROR(AVERAGEIFS(交易明細!$K$2:$K$223,交易明細!$B$2:$B$223,$A52,交易明細!$J$2:$J$223,"&lt;&gt;未平倉"),0)</f>
        <v/>
      </c>
      <c r="L52" s="2">
        <f>COUNTIFS(交易明細!$B$2:$B$223,$A52,交易明細!$J$2:$J$223,"未平倉")</f>
        <v/>
      </c>
    </row>
  </sheetData>
  <autoFilter ref="A1:L5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>
        <is>
          <t>持倉中</t>
        </is>
      </c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>
        <is>
          <t>持倉中</t>
        </is>
      </c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2026-09-14T23:12:37Z</dcterms:created>
  <dcterms:modified xsi:type="dcterms:W3CDTF">2026-09-14T23:12:37Z</dcterms:modified>
</cp:coreProperties>
</file>