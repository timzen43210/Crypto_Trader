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'資金明細'!$A$1:$Z$1292</definedName>
    <definedName name="_xlnm._FilterDatabase" localSheetId="6" hidden="1">'交易明細'!$A$1:$AC$648</definedName>
    <definedName name="_xlnm._FilterDatabase" localSheetId="7" hidden="1">'幣種統計'!$A$1:$L$103</definedName>
    <definedName name="_xlnm._FilterDatabase" localSheetId="8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'資金明細'!$R$2:$R$1292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2026-10-04 21:39（Dry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COUNTIFS(交易明細!$B$2:$B$648,"&lt;&gt;")</f>
        <v/>
      </c>
      <c r="C5" s="2">
        <f>D5+E5+F5</f>
        <v/>
      </c>
      <c r="D5" s="2">
        <f>COUNTIFS(交易明細!$J$2:$J$648,"止盈")</f>
        <v/>
      </c>
      <c r="E5" s="2">
        <f>COUNTIFS(交易明細!$J$2:$J$648,"止損")</f>
        <v/>
      </c>
      <c r="F5" s="2">
        <f>COUNTIFS(交易明細!$J$2:$J$648,"時間出場")</f>
        <v/>
      </c>
      <c r="G5" s="2">
        <f>COUNTIFS(交易明細!$J$2:$J$648,"未平倉")</f>
        <v/>
      </c>
      <c r="H5" s="4">
        <f>IFERROR(D5/C5,0)</f>
        <v/>
      </c>
      <c r="I5" s="4">
        <f>IFERROR(AVERAGEIFS(交易明細!$AC$2:$AC$648,交易明細!$J$2:$J$648,"&lt;&gt;未平倉"),參數!$B$16)</f>
        <v/>
      </c>
      <c r="J5" s="4">
        <f>IFERROR(AVERAGEIFS(交易明細!$L$2:$L$648,交易明細!$J$2:$J$648,"&lt;&gt;未平倉"),0)</f>
        <v/>
      </c>
      <c r="K5" s="4">
        <f>SUMIFS(交易明細!$L$2:$L$648,交易明細!$J$2:$J$648,"&lt;&gt;未平倉")</f>
        <v/>
      </c>
      <c r="L5" s="5">
        <f>IFERROR(AVERAGEIFS(交易明細!$K$2:$K$648,交易明細!$J$2:$J$648,"&lt;&gt;未平倉"),0)</f>
        <v/>
      </c>
      <c r="M5" s="5">
        <f>IFERROR(AVERAGEIFS(交易明細!$K$2:$K$648,交易明細!$J$2:$J$648,"止盈"),0)</f>
        <v/>
      </c>
      <c r="N5" s="5">
        <f>IFERROR(AVERAGEIFS(交易明細!$K$2:$K$648,交易明細!$J$2:$J$648,"止損"),0)</f>
        <v/>
      </c>
      <c r="O5" s="4">
        <f>IFERROR(AVERAGEIFS(交易明細!$L$2:$L$648,交易明細!$J$2:$J$648,"時間出場"),0)</f>
        <v/>
      </c>
      <c r="P5" s="4">
        <f>IFERROR(COUNTIFS(交易明細!$J$2:$J$648,"&lt;&gt;未平倉",交易明細!$L$2:$L$648,"&gt;0")/C5,0)</f>
        <v/>
      </c>
    </row>
    <row r="6">
      <c r="A6" s="2" t="inlineStr">
        <is>
          <t>做多</t>
        </is>
      </c>
      <c r="B6" s="2">
        <f>COUNTIFS(交易明細!$C$2:$C$648,"做多",交易明細!$B$2:$B$648,"&lt;&gt;")</f>
        <v/>
      </c>
      <c r="C6" s="2">
        <f>D6+E6+F6</f>
        <v/>
      </c>
      <c r="D6" s="2">
        <f>COUNTIFS(交易明細!$C$2:$C$648,"做多",交易明細!$J$2:$J$648,"止盈")</f>
        <v/>
      </c>
      <c r="E6" s="2">
        <f>COUNTIFS(交易明細!$C$2:$C$648,"做多",交易明細!$J$2:$J$648,"止損")</f>
        <v/>
      </c>
      <c r="F6" s="2">
        <f>COUNTIFS(交易明細!$C$2:$C$648,"做多",交易明細!$J$2:$J$648,"時間出場")</f>
        <v/>
      </c>
      <c r="G6" s="2">
        <f>COUNTIFS(交易明細!$C$2:$C$648,"做多",交易明細!$J$2:$J$648,"未平倉")</f>
        <v/>
      </c>
      <c r="H6" s="4">
        <f>IFERROR(D6/C6,0)</f>
        <v/>
      </c>
      <c r="I6" s="4">
        <f>IFERROR(AVERAGEIFS(交易明細!$AC$2:$AC$648,交易明細!$C$2:$C$648,"做多",交易明細!$J$2:$J$648,"&lt;&gt;未平倉"),參數!$B$16)</f>
        <v/>
      </c>
      <c r="J6" s="4">
        <f>IFERROR(AVERAGEIFS(交易明細!$L$2:$L$648,交易明細!$C$2:$C$648,"做多",交易明細!$J$2:$J$648,"&lt;&gt;未平倉"),0)</f>
        <v/>
      </c>
      <c r="K6" s="4">
        <f>SUMIFS(交易明細!$L$2:$L$648,交易明細!$C$2:$C$648,"做多",交易明細!$J$2:$J$648,"&lt;&gt;未平倉")</f>
        <v/>
      </c>
      <c r="L6" s="5">
        <f>IFERROR(AVERAGEIFS(交易明細!$K$2:$K$648,交易明細!$C$2:$C$648,"做多",交易明細!$J$2:$J$648,"&lt;&gt;未平倉"),0)</f>
        <v/>
      </c>
      <c r="M6" s="5">
        <f>IFERROR(AVERAGEIFS(交易明細!$K$2:$K$648,交易明細!$C$2:$C$648,"做多",交易明細!$J$2:$J$648,"止盈"),0)</f>
        <v/>
      </c>
      <c r="N6" s="5">
        <f>IFERROR(AVERAGEIFS(交易明細!$K$2:$K$648,交易明細!$C$2:$C$648,"做多",交易明細!$J$2:$J$648,"止損"),0)</f>
        <v/>
      </c>
      <c r="O6" s="4">
        <f>IFERROR(AVERAGEIFS(交易明細!$L$2:$L$648,交易明細!$C$2:$C$648,"做多",交易明細!$J$2:$J$648,"時間出場"),0)</f>
        <v/>
      </c>
      <c r="P6" s="4">
        <f>IFERROR(COUNTIFS(交易明細!$C$2:$C$648,"做多",交易明細!$J$2:$J$648,"&lt;&gt;未平倉",交易明細!$L$2:$L$648,"&gt;0")/C6,0)</f>
        <v/>
      </c>
    </row>
    <row r="7">
      <c r="A7" s="2" t="inlineStr">
        <is>
          <t>做空</t>
        </is>
      </c>
      <c r="B7" s="2">
        <f>COUNTIFS(交易明細!$C$2:$C$648,"做空",交易明細!$B$2:$B$648,"&lt;&gt;")</f>
        <v/>
      </c>
      <c r="C7" s="2">
        <f>D7+E7+F7</f>
        <v/>
      </c>
      <c r="D7" s="2">
        <f>COUNTIFS(交易明細!$C$2:$C$648,"做空",交易明細!$J$2:$J$648,"止盈")</f>
        <v/>
      </c>
      <c r="E7" s="2">
        <f>COUNTIFS(交易明細!$C$2:$C$648,"做空",交易明細!$J$2:$J$648,"止損")</f>
        <v/>
      </c>
      <c r="F7" s="2">
        <f>COUNTIFS(交易明細!$C$2:$C$648,"做空",交易明細!$J$2:$J$648,"時間出場")</f>
        <v/>
      </c>
      <c r="G7" s="2">
        <f>COUNTIFS(交易明細!$C$2:$C$648,"做空",交易明細!$J$2:$J$648,"未平倉")</f>
        <v/>
      </c>
      <c r="H7" s="4">
        <f>IFERROR(D7/C7,0)</f>
        <v/>
      </c>
      <c r="I7" s="4">
        <f>IFERROR(AVERAGEIFS(交易明細!$AC$2:$AC$648,交易明細!$C$2:$C$648,"做空",交易明細!$J$2:$J$648,"&lt;&gt;未平倉"),參數!$B$16)</f>
        <v/>
      </c>
      <c r="J7" s="4">
        <f>IFERROR(AVERAGEIFS(交易明細!$L$2:$L$648,交易明細!$C$2:$C$648,"做空",交易明細!$J$2:$J$648,"&lt;&gt;未平倉"),0)</f>
        <v/>
      </c>
      <c r="K7" s="4">
        <f>SUMIFS(交易明細!$L$2:$L$648,交易明細!$C$2:$C$648,"做空",交易明細!$J$2:$J$648,"&lt;&gt;未平倉")</f>
        <v/>
      </c>
      <c r="L7" s="5">
        <f>IFERROR(AVERAGEIFS(交易明細!$K$2:$K$648,交易明細!$C$2:$C$648,"做空",交易明細!$J$2:$J$648,"&lt;&gt;未平倉"),0)</f>
        <v/>
      </c>
      <c r="M7" s="5">
        <f>IFERROR(AVERAGEIFS(交易明細!$K$2:$K$648,交易明細!$C$2:$C$648,"做空",交易明細!$J$2:$J$648,"止盈"),0)</f>
        <v/>
      </c>
      <c r="N7" s="5">
        <f>IFERROR(AVERAGEIFS(交易明細!$K$2:$K$648,交易明細!$C$2:$C$648,"做空",交易明細!$J$2:$J$648,"止損"),0)</f>
        <v/>
      </c>
      <c r="O7" s="4">
        <f>IFERROR(AVERAGEIFS(交易明細!$L$2:$L$648,交易明細!$C$2:$C$648,"做空",交易明細!$J$2:$J$648,"時間出場"),0)</f>
        <v/>
      </c>
      <c r="P7" s="4">
        <f>IFERROR(COUNTIFS(交易明細!$C$2:$C$648,"做空",交易明細!$J$2:$J$648,"&lt;&gt;未平倉",交易明細!$L$2:$L$648,"&gt;0")/C7,0)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46299.90213123843</v>
      </c>
      <c r="B2" s="7" t="n">
        <v>46299.90138888889</v>
      </c>
      <c r="C2" s="2" t="n">
        <v>435</v>
      </c>
      <c r="D2" s="2" t="n">
        <v>3</v>
      </c>
      <c r="E2" s="2" t="n">
        <v>1</v>
      </c>
      <c r="F2" s="2" t="n">
        <v>0</v>
      </c>
      <c r="G2" s="2" t="n">
        <v>188.2</v>
      </c>
    </row>
    <row r="3">
      <c r="A3" s="7" t="n">
        <v>46299.74574608796</v>
      </c>
      <c r="B3" s="7" t="n">
        <v>46299.74444444444</v>
      </c>
      <c r="C3" s="2" t="n">
        <v>435</v>
      </c>
      <c r="D3" s="2" t="n">
        <v>1</v>
      </c>
      <c r="E3" s="2" t="n">
        <v>1</v>
      </c>
      <c r="F3" s="2" t="n">
        <v>1</v>
      </c>
      <c r="G3" s="2" t="n">
        <v>187.4</v>
      </c>
    </row>
    <row r="4">
      <c r="A4" s="7" t="n">
        <v>46299.48719824074</v>
      </c>
      <c r="B4" s="7" t="n">
        <v>46299.48611111111</v>
      </c>
      <c r="C4" s="2" t="n">
        <v>435</v>
      </c>
      <c r="D4" s="2" t="n">
        <v>0</v>
      </c>
      <c r="E4" s="2" t="n">
        <v>0</v>
      </c>
      <c r="F4" s="2" t="n">
        <v>1</v>
      </c>
      <c r="G4" s="2" t="n">
        <v>184.7</v>
      </c>
    </row>
    <row r="5">
      <c r="A5" s="7" t="n">
        <v>46299.44683753472</v>
      </c>
      <c r="B5" s="7" t="n">
        <v>46299.44583333333</v>
      </c>
      <c r="C5" s="2" t="n">
        <v>435</v>
      </c>
      <c r="D5" s="2" t="n">
        <v>0</v>
      </c>
      <c r="E5" s="2" t="n">
        <v>2</v>
      </c>
      <c r="F5" s="2" t="n">
        <v>1</v>
      </c>
      <c r="G5" s="2" t="n">
        <v>189.6</v>
      </c>
    </row>
    <row r="6">
      <c r="A6" s="7" t="n">
        <v>46299.29732329861</v>
      </c>
      <c r="B6" s="7" t="n">
        <v>46299.29652777778</v>
      </c>
      <c r="C6" s="2" t="n">
        <v>435</v>
      </c>
      <c r="D6" s="2" t="n">
        <v>0</v>
      </c>
      <c r="E6" s="2" t="n">
        <v>1</v>
      </c>
      <c r="F6" s="2" t="n">
        <v>1</v>
      </c>
      <c r="G6" s="2" t="n">
        <v>186.6</v>
      </c>
    </row>
    <row r="7">
      <c r="A7" s="7" t="n">
        <v>46299.16534118055</v>
      </c>
      <c r="B7" s="7" t="n">
        <v>46299.16458333333</v>
      </c>
      <c r="C7" s="2" t="n">
        <v>435</v>
      </c>
      <c r="D7" s="2" t="n">
        <v>1</v>
      </c>
      <c r="E7" s="2" t="n">
        <v>2</v>
      </c>
      <c r="F7" s="2" t="n">
        <v>1</v>
      </c>
      <c r="G7" s="2" t="n">
        <v>160.2</v>
      </c>
    </row>
    <row r="8">
      <c r="A8" s="7" t="n">
        <v>46299.01924309028</v>
      </c>
      <c r="B8" s="7" t="n">
        <v>46299.01805555556</v>
      </c>
      <c r="C8" s="2" t="n">
        <v>435</v>
      </c>
      <c r="D8" s="2" t="n">
        <v>2</v>
      </c>
      <c r="E8" s="2" t="n">
        <v>0</v>
      </c>
      <c r="F8" s="2" t="n">
        <v>1</v>
      </c>
      <c r="G8" s="2" t="n">
        <v>194</v>
      </c>
    </row>
    <row r="9">
      <c r="A9" s="7" t="n">
        <v>46298.82413289352</v>
      </c>
      <c r="B9" s="7" t="n">
        <v>46298.82291666666</v>
      </c>
      <c r="C9" s="2" t="n">
        <v>435</v>
      </c>
      <c r="D9" s="2" t="n">
        <v>1</v>
      </c>
      <c r="E9" s="2" t="n">
        <v>0</v>
      </c>
      <c r="F9" s="2" t="n">
        <v>1</v>
      </c>
      <c r="G9" s="2" t="n">
        <v>180.1</v>
      </c>
    </row>
    <row r="10">
      <c r="A10" s="7" t="n">
        <v>46298.64104893518</v>
      </c>
      <c r="B10" s="7" t="n">
        <v>46298.64027777778</v>
      </c>
      <c r="C10" s="2" t="n">
        <v>435</v>
      </c>
      <c r="D10" s="2" t="n">
        <v>0</v>
      </c>
      <c r="E10" s="2" t="n">
        <v>1</v>
      </c>
      <c r="F10" s="2" t="n">
        <v>1</v>
      </c>
      <c r="G10" s="2" t="n">
        <v>180.1</v>
      </c>
    </row>
    <row r="11">
      <c r="A11" s="7" t="n">
        <v>46298.55905060185</v>
      </c>
      <c r="B11" s="7" t="n">
        <v>46298.55833333333</v>
      </c>
      <c r="C11" s="2" t="n">
        <v>435</v>
      </c>
      <c r="D11" s="2" t="n">
        <v>2</v>
      </c>
      <c r="E11" s="2" t="n">
        <v>2</v>
      </c>
      <c r="F11" s="2" t="n">
        <v>1</v>
      </c>
      <c r="G11" s="2" t="n">
        <v>159.7</v>
      </c>
    </row>
    <row r="12">
      <c r="A12" s="7" t="n">
        <v>46298.32651334491</v>
      </c>
      <c r="B12" s="7" t="n">
        <v>46298.32569444444</v>
      </c>
      <c r="C12" s="2" t="n">
        <v>435</v>
      </c>
      <c r="D12" s="2" t="n">
        <v>0</v>
      </c>
      <c r="E12" s="2" t="n">
        <v>2</v>
      </c>
      <c r="F12" s="2" t="n">
        <v>2</v>
      </c>
      <c r="G12" s="2" t="n">
        <v>189.1</v>
      </c>
    </row>
    <row r="13">
      <c r="A13" s="7" t="n">
        <v>46298.14088650463</v>
      </c>
      <c r="B13" s="7" t="n">
        <v>46298.13958333333</v>
      </c>
      <c r="C13" s="2" t="n">
        <v>435</v>
      </c>
      <c r="D13" s="2" t="n">
        <v>6</v>
      </c>
      <c r="E13" s="2" t="n">
        <v>2</v>
      </c>
      <c r="F13" s="2" t="n">
        <v>2</v>
      </c>
      <c r="G13" s="2" t="n">
        <v>195.5</v>
      </c>
    </row>
    <row r="14">
      <c r="A14" s="7" t="n">
        <v>46298.00826386574</v>
      </c>
      <c r="B14" s="7" t="n">
        <v>46298.00694444445</v>
      </c>
      <c r="C14" s="2" t="n">
        <v>435</v>
      </c>
      <c r="D14" s="2" t="n">
        <v>1</v>
      </c>
      <c r="E14" s="2" t="n">
        <v>2</v>
      </c>
      <c r="F14" s="2" t="n">
        <v>2</v>
      </c>
      <c r="G14" s="2" t="n">
        <v>190.7</v>
      </c>
    </row>
    <row r="15">
      <c r="A15" s="7" t="n">
        <v>46297.91349550926</v>
      </c>
      <c r="B15" s="7" t="n">
        <v>46297.9125</v>
      </c>
      <c r="C15" s="2" t="n">
        <v>435</v>
      </c>
      <c r="D15" s="2" t="n">
        <v>0</v>
      </c>
      <c r="E15" s="2" t="n">
        <v>0</v>
      </c>
      <c r="F15" s="2" t="n">
        <v>3</v>
      </c>
      <c r="G15" s="2" t="n">
        <v>179.2</v>
      </c>
    </row>
    <row r="16">
      <c r="A16" s="7" t="n">
        <v>46297.90064986111</v>
      </c>
      <c r="B16" s="7" t="n">
        <v>46297.89930555555</v>
      </c>
      <c r="C16" s="2" t="n">
        <v>435</v>
      </c>
      <c r="D16" s="2" t="n">
        <v>0</v>
      </c>
      <c r="E16" s="2" t="n">
        <v>3</v>
      </c>
      <c r="F16" s="2" t="n">
        <v>3</v>
      </c>
      <c r="G16" s="2" t="n">
        <v>180.1</v>
      </c>
    </row>
    <row r="17">
      <c r="A17" s="7" t="n">
        <v>46297.75623421296</v>
      </c>
      <c r="B17" s="7" t="n">
        <v>46297.75486111111</v>
      </c>
      <c r="C17" s="2" t="n">
        <v>435</v>
      </c>
      <c r="D17" s="2" t="n">
        <v>1</v>
      </c>
      <c r="E17" s="2" t="n">
        <v>0</v>
      </c>
      <c r="F17" s="2" t="n">
        <v>3</v>
      </c>
      <c r="G17" s="2" t="n">
        <v>199.1</v>
      </c>
    </row>
    <row r="18">
      <c r="A18" s="7" t="n">
        <v>46297.70907445602</v>
      </c>
      <c r="B18" s="7" t="n">
        <v>46297.70833333334</v>
      </c>
      <c r="C18" s="2" t="n">
        <v>435</v>
      </c>
      <c r="D18" s="2" t="n">
        <v>0</v>
      </c>
      <c r="E18" s="2" t="n">
        <v>2</v>
      </c>
      <c r="F18" s="2" t="n">
        <v>3</v>
      </c>
      <c r="G18" s="2" t="n">
        <v>148.2</v>
      </c>
    </row>
    <row r="19">
      <c r="A19" s="7" t="n">
        <v>46297.62748648148</v>
      </c>
      <c r="B19" s="7" t="n">
        <v>46297.62638888889</v>
      </c>
      <c r="C19" s="2" t="n">
        <v>435</v>
      </c>
      <c r="D19" s="2" t="n">
        <v>0</v>
      </c>
      <c r="E19" s="2" t="n">
        <v>1</v>
      </c>
      <c r="F19" s="2" t="n">
        <v>3</v>
      </c>
      <c r="G19" s="2" t="n">
        <v>188.8</v>
      </c>
    </row>
    <row r="20">
      <c r="A20" s="7" t="n">
        <v>46297.59146636574</v>
      </c>
      <c r="B20" s="7" t="n">
        <v>46297.59027777778</v>
      </c>
      <c r="C20" s="2" t="n">
        <v>435</v>
      </c>
      <c r="D20" s="2" t="n">
        <v>3</v>
      </c>
      <c r="E20" s="2" t="n">
        <v>1</v>
      </c>
      <c r="F20" s="2" t="n">
        <v>3</v>
      </c>
      <c r="G20" s="2" t="n">
        <v>188.7</v>
      </c>
    </row>
    <row r="21">
      <c r="A21" s="7" t="n">
        <v>46297.47377153935</v>
      </c>
      <c r="B21" s="7" t="n">
        <v>46297.47291666667</v>
      </c>
      <c r="C21" s="2" t="n">
        <v>435</v>
      </c>
      <c r="D21" s="2" t="n">
        <v>0</v>
      </c>
      <c r="E21" s="2" t="n">
        <v>0</v>
      </c>
      <c r="F21" s="2" t="n">
        <v>4</v>
      </c>
      <c r="G21" s="2" t="n">
        <v>159.9</v>
      </c>
    </row>
    <row r="22">
      <c r="A22" s="7" t="n">
        <v>46297.43863659722</v>
      </c>
      <c r="B22" s="7" t="n">
        <v>46297.4375</v>
      </c>
      <c r="C22" s="2" t="n">
        <v>435</v>
      </c>
      <c r="D22" s="2" t="n">
        <v>1</v>
      </c>
      <c r="E22" s="2" t="n">
        <v>0</v>
      </c>
      <c r="F22" s="2" t="n">
        <v>4</v>
      </c>
      <c r="G22" s="2" t="n">
        <v>181.3</v>
      </c>
    </row>
    <row r="23">
      <c r="A23" s="7" t="n">
        <v>46297.36902693287</v>
      </c>
      <c r="B23" s="7" t="n">
        <v>46297.36805555555</v>
      </c>
      <c r="C23" s="2" t="n">
        <v>434</v>
      </c>
      <c r="D23" s="2" t="n">
        <v>0</v>
      </c>
      <c r="E23" s="2" t="n">
        <v>0</v>
      </c>
      <c r="F23" s="2" t="n">
        <v>1</v>
      </c>
      <c r="G23" s="2" t="n">
        <v>191.7</v>
      </c>
    </row>
    <row r="24">
      <c r="A24" s="7" t="n">
        <v>46297.34984872685</v>
      </c>
      <c r="B24" s="7" t="n">
        <v>46297.34861111111</v>
      </c>
      <c r="C24" s="2" t="n">
        <v>434</v>
      </c>
      <c r="D24" s="2" t="n">
        <v>0</v>
      </c>
      <c r="E24" s="2" t="n">
        <v>2</v>
      </c>
      <c r="F24" s="2" t="n">
        <v>1</v>
      </c>
      <c r="G24" s="2" t="n">
        <v>185.3</v>
      </c>
    </row>
    <row r="25">
      <c r="A25" s="7" t="n">
        <v>46297.18230064815</v>
      </c>
      <c r="B25" s="7" t="n">
        <v>46297.18125</v>
      </c>
      <c r="C25" s="2" t="n">
        <v>434</v>
      </c>
      <c r="D25" s="2" t="n">
        <v>4</v>
      </c>
      <c r="E25" s="2" t="n">
        <v>3</v>
      </c>
      <c r="F25" s="2" t="n">
        <v>1</v>
      </c>
      <c r="G25" s="2" t="n">
        <v>159.5</v>
      </c>
    </row>
    <row r="26">
      <c r="A26" s="7" t="n">
        <v>46297.01546863426</v>
      </c>
      <c r="B26" s="7" t="n">
        <v>46297.01458333333</v>
      </c>
      <c r="C26" s="2" t="n">
        <v>434</v>
      </c>
      <c r="D26" s="2" t="n">
        <v>1</v>
      </c>
      <c r="E26" s="2" t="n">
        <v>0</v>
      </c>
      <c r="F26" s="2" t="n">
        <v>2</v>
      </c>
      <c r="G26" s="2" t="n">
        <v>179.4</v>
      </c>
    </row>
    <row r="27">
      <c r="A27" s="7" t="n">
        <v>46296.99918069445</v>
      </c>
      <c r="B27" s="7" t="n">
        <v>46296.99791666667</v>
      </c>
      <c r="C27" s="2" t="n">
        <v>434</v>
      </c>
      <c r="D27" s="2" t="n">
        <v>2</v>
      </c>
      <c r="E27" s="2" t="n">
        <v>1</v>
      </c>
      <c r="F27" s="2" t="n">
        <v>2</v>
      </c>
      <c r="G27" s="2" t="n">
        <v>167.2</v>
      </c>
    </row>
    <row r="28">
      <c r="A28" s="7" t="n">
        <v>46296.94003458333</v>
      </c>
      <c r="B28" s="7" t="n">
        <v>46296.93888888889</v>
      </c>
      <c r="C28" s="2" t="n">
        <v>434</v>
      </c>
      <c r="D28" s="2" t="n">
        <v>1</v>
      </c>
      <c r="E28" s="2" t="n">
        <v>3</v>
      </c>
      <c r="F28" s="2" t="n">
        <v>2</v>
      </c>
      <c r="G28" s="2" t="n">
        <v>189.5</v>
      </c>
    </row>
    <row r="29">
      <c r="A29" s="7" t="n">
        <v>46296.7419153125</v>
      </c>
      <c r="B29" s="7" t="n">
        <v>46296.74097222222</v>
      </c>
      <c r="C29" s="2" t="n">
        <v>434</v>
      </c>
      <c r="D29" s="2" t="n">
        <v>5</v>
      </c>
      <c r="E29" s="2" t="n">
        <v>2</v>
      </c>
      <c r="F29" s="2" t="n">
        <v>2</v>
      </c>
      <c r="G29" s="2" t="n">
        <v>150</v>
      </c>
    </row>
    <row r="30">
      <c r="A30" s="7" t="n">
        <v>46296.63539230324</v>
      </c>
      <c r="B30" s="7" t="n">
        <v>46296.63402777778</v>
      </c>
      <c r="C30" s="2" t="n">
        <v>434</v>
      </c>
      <c r="D30" s="2" t="n">
        <v>1</v>
      </c>
      <c r="E30" s="2" t="n">
        <v>0</v>
      </c>
      <c r="F30" s="2" t="n">
        <v>2</v>
      </c>
      <c r="G30" s="2" t="n">
        <v>195</v>
      </c>
    </row>
    <row r="31">
      <c r="A31" s="7" t="n">
        <v>46296.6196469213</v>
      </c>
      <c r="B31" s="7" t="n">
        <v>46296.61875</v>
      </c>
      <c r="C31" s="2" t="n">
        <v>434</v>
      </c>
      <c r="D31" s="2" t="n">
        <v>0</v>
      </c>
      <c r="E31" s="2" t="n">
        <v>0</v>
      </c>
      <c r="F31" s="2" t="n">
        <v>2</v>
      </c>
      <c r="G31" s="2" t="n">
        <v>190.6</v>
      </c>
    </row>
    <row r="32">
      <c r="A32" s="7" t="n">
        <v>46296.55481784722</v>
      </c>
      <c r="B32" s="7" t="n">
        <v>46296.55347222222</v>
      </c>
      <c r="C32" s="2" t="n">
        <v>434</v>
      </c>
      <c r="D32" s="2" t="n">
        <v>1</v>
      </c>
      <c r="E32" s="2" t="n">
        <v>3</v>
      </c>
      <c r="F32" s="2" t="n">
        <v>2</v>
      </c>
      <c r="G32" s="2" t="n">
        <v>189.9</v>
      </c>
    </row>
    <row r="33">
      <c r="A33" s="7" t="n">
        <v>46296.49238505787</v>
      </c>
      <c r="B33" s="7" t="n">
        <v>46296.49166666667</v>
      </c>
      <c r="C33" s="2" t="n">
        <v>434</v>
      </c>
      <c r="D33" s="2" t="n">
        <v>1</v>
      </c>
      <c r="E33" s="2" t="n">
        <v>1</v>
      </c>
      <c r="F33" s="2" t="n">
        <v>3</v>
      </c>
      <c r="G33" s="2" t="n">
        <v>189.7</v>
      </c>
    </row>
    <row r="34">
      <c r="A34" s="7" t="n">
        <v>46296.35809899306</v>
      </c>
      <c r="B34" s="7" t="n">
        <v>46296.35694444444</v>
      </c>
      <c r="C34" s="2" t="n">
        <v>434</v>
      </c>
      <c r="D34" s="2" t="n">
        <v>2</v>
      </c>
      <c r="E34" s="2" t="n">
        <v>0</v>
      </c>
      <c r="F34" s="2" t="n">
        <v>3</v>
      </c>
      <c r="G34" s="2" t="n">
        <v>152.4</v>
      </c>
    </row>
    <row r="35">
      <c r="A35" s="7" t="n">
        <v>46296.20216918981</v>
      </c>
      <c r="B35" s="7" t="n">
        <v>46296.20138888889</v>
      </c>
      <c r="C35" s="2" t="n">
        <v>434</v>
      </c>
      <c r="D35" s="2" t="n">
        <v>3</v>
      </c>
      <c r="E35" s="2" t="n">
        <v>7</v>
      </c>
      <c r="F35" s="2" t="n">
        <v>3</v>
      </c>
      <c r="G35" s="2" t="n">
        <v>180</v>
      </c>
    </row>
    <row r="36">
      <c r="A36" s="7" t="n">
        <v>46295.99840958334</v>
      </c>
      <c r="B36" s="7" t="n">
        <v>46295.99722222222</v>
      </c>
      <c r="C36" s="2" t="n">
        <v>434</v>
      </c>
      <c r="D36" s="2" t="n">
        <v>4</v>
      </c>
      <c r="E36" s="2" t="n">
        <v>2</v>
      </c>
      <c r="F36" s="2" t="n">
        <v>3</v>
      </c>
      <c r="G36" s="2" t="n">
        <v>187.6</v>
      </c>
    </row>
    <row r="37">
      <c r="A37" s="7" t="n">
        <v>46295.94423819445</v>
      </c>
      <c r="B37" s="7" t="n">
        <v>46295.94305555556</v>
      </c>
      <c r="C37" s="2" t="n">
        <v>434</v>
      </c>
      <c r="D37" s="2" t="n">
        <v>0</v>
      </c>
      <c r="E37" s="2" t="n">
        <v>0</v>
      </c>
      <c r="F37" s="2" t="n">
        <v>3</v>
      </c>
      <c r="G37" s="2" t="n">
        <v>150.7</v>
      </c>
    </row>
    <row r="38">
      <c r="A38" s="7" t="n">
        <v>46295.91675143519</v>
      </c>
      <c r="B38" s="7" t="n">
        <v>46295.91597222222</v>
      </c>
      <c r="C38" s="2" t="n">
        <v>434</v>
      </c>
      <c r="D38" s="2" t="n">
        <v>1</v>
      </c>
      <c r="E38" s="2" t="n">
        <v>4</v>
      </c>
      <c r="F38" s="2" t="n">
        <v>3</v>
      </c>
      <c r="G38" s="2" t="n">
        <v>189.9</v>
      </c>
    </row>
    <row r="39">
      <c r="A39" s="7" t="n">
        <v>46295.87897131944</v>
      </c>
      <c r="B39" s="7" t="n">
        <v>46295.87777777778</v>
      </c>
      <c r="C39" s="2" t="n">
        <v>434</v>
      </c>
      <c r="D39" s="2" t="n">
        <v>2</v>
      </c>
      <c r="E39" s="2" t="n">
        <v>1</v>
      </c>
      <c r="F39" s="2" t="n">
        <v>3</v>
      </c>
      <c r="G39" s="2" t="n">
        <v>187.8</v>
      </c>
    </row>
    <row r="40">
      <c r="A40" s="7" t="n">
        <v>46295.84232043981</v>
      </c>
      <c r="B40" s="7" t="n">
        <v>46295.84097222222</v>
      </c>
      <c r="C40" s="2" t="n">
        <v>434</v>
      </c>
      <c r="D40" s="2" t="n">
        <v>1</v>
      </c>
      <c r="E40" s="2" t="n">
        <v>2</v>
      </c>
      <c r="F40" s="2" t="n">
        <v>3</v>
      </c>
      <c r="G40" s="2" t="n">
        <v>147.8</v>
      </c>
    </row>
    <row r="41">
      <c r="A41" s="7" t="n">
        <v>46295.76311292824</v>
      </c>
      <c r="B41" s="7" t="n">
        <v>46295.76180555556</v>
      </c>
      <c r="C41" s="2" t="n">
        <v>434</v>
      </c>
      <c r="D41" s="2" t="n">
        <v>1</v>
      </c>
      <c r="E41" s="2" t="n">
        <v>1</v>
      </c>
      <c r="F41" s="2" t="n">
        <v>3</v>
      </c>
      <c r="G41" s="2" t="n">
        <v>188</v>
      </c>
    </row>
    <row r="42">
      <c r="A42" s="7" t="n">
        <v>46295.71942712963</v>
      </c>
      <c r="B42" s="7" t="n">
        <v>46295.71805555555</v>
      </c>
      <c r="C42" s="2" t="n">
        <v>434</v>
      </c>
      <c r="D42" s="2" t="n">
        <v>0</v>
      </c>
      <c r="E42" s="2" t="n">
        <v>0</v>
      </c>
      <c r="F42" s="2" t="n">
        <v>3</v>
      </c>
      <c r="G42" s="2" t="n">
        <v>163.9</v>
      </c>
    </row>
    <row r="43">
      <c r="A43" s="7" t="n">
        <v>46295.69435030092</v>
      </c>
      <c r="B43" s="7" t="n">
        <v>46295.69305555556</v>
      </c>
      <c r="C43" s="2" t="n">
        <v>434</v>
      </c>
      <c r="D43" s="2" t="n">
        <v>1</v>
      </c>
      <c r="E43" s="2" t="n">
        <v>3</v>
      </c>
      <c r="F43" s="2" t="n">
        <v>3</v>
      </c>
      <c r="G43" s="2" t="n">
        <v>141.1</v>
      </c>
    </row>
    <row r="44">
      <c r="A44" s="7" t="n">
        <v>46295.5782999537</v>
      </c>
      <c r="B44" s="7" t="n">
        <v>46295.57708333333</v>
      </c>
      <c r="C44" s="2" t="n">
        <v>434</v>
      </c>
      <c r="D44" s="2" t="n">
        <v>1</v>
      </c>
      <c r="E44" s="2" t="n">
        <v>0</v>
      </c>
      <c r="F44" s="2" t="n">
        <v>5</v>
      </c>
      <c r="G44" s="2" t="n">
        <v>191.3</v>
      </c>
    </row>
    <row r="45">
      <c r="A45" s="7" t="n">
        <v>46295.51228863426</v>
      </c>
      <c r="B45" s="7" t="n">
        <v>46295.51111111111</v>
      </c>
      <c r="C45" s="2" t="n">
        <v>434</v>
      </c>
      <c r="D45" s="2" t="n">
        <v>1</v>
      </c>
      <c r="E45" s="2" t="n">
        <v>1</v>
      </c>
      <c r="F45" s="2" t="n">
        <v>5</v>
      </c>
      <c r="G45" s="2" t="n">
        <v>188.8</v>
      </c>
    </row>
    <row r="46">
      <c r="A46" s="7" t="n">
        <v>46295.44308225694</v>
      </c>
      <c r="B46" s="7" t="n">
        <v>46295.44236111111</v>
      </c>
      <c r="C46" s="2" t="n">
        <v>433</v>
      </c>
      <c r="D46" s="2" t="n">
        <v>0</v>
      </c>
      <c r="E46" s="2" t="n">
        <v>0</v>
      </c>
      <c r="F46" s="2" t="n">
        <v>2</v>
      </c>
      <c r="G46" s="2" t="n">
        <v>167.1</v>
      </c>
    </row>
    <row r="47">
      <c r="A47" s="7" t="n">
        <v>46295.42368403935</v>
      </c>
      <c r="B47" s="7" t="n">
        <v>46295.42291666667</v>
      </c>
      <c r="C47" s="2" t="n">
        <v>433</v>
      </c>
      <c r="D47" s="2" t="n">
        <v>5</v>
      </c>
      <c r="E47" s="2" t="n">
        <v>3</v>
      </c>
      <c r="F47" s="2" t="n">
        <v>2</v>
      </c>
      <c r="G47" s="2" t="n">
        <v>150.9</v>
      </c>
    </row>
    <row r="48">
      <c r="A48" s="7" t="n">
        <v>46295.29174006944</v>
      </c>
      <c r="B48" s="7" t="n">
        <v>46295.29097222222</v>
      </c>
      <c r="C48" s="2" t="n">
        <v>433</v>
      </c>
      <c r="D48" s="2" t="n">
        <v>2</v>
      </c>
      <c r="E48" s="2" t="n">
        <v>4</v>
      </c>
      <c r="F48" s="2" t="n">
        <v>2</v>
      </c>
      <c r="G48" s="2" t="n">
        <v>191.4</v>
      </c>
    </row>
    <row r="49">
      <c r="A49" s="7" t="n">
        <v>46295.11156024306</v>
      </c>
      <c r="B49" s="7" t="n">
        <v>46295.11041666667</v>
      </c>
      <c r="C49" s="2" t="n">
        <v>433</v>
      </c>
      <c r="D49" s="2" t="n">
        <v>7</v>
      </c>
      <c r="E49" s="2" t="n">
        <v>9</v>
      </c>
      <c r="F49" s="2" t="n">
        <v>2</v>
      </c>
      <c r="G49" s="2" t="n">
        <v>185.8</v>
      </c>
    </row>
    <row r="50">
      <c r="A50" s="7" t="n">
        <v>46294.99800613426</v>
      </c>
      <c r="B50" s="7" t="n">
        <v>46294.99722222222</v>
      </c>
      <c r="C50" s="2" t="n">
        <v>433</v>
      </c>
      <c r="D50" s="2" t="n">
        <v>3</v>
      </c>
      <c r="E50" s="2" t="n">
        <v>0</v>
      </c>
      <c r="F50" s="2" t="n">
        <v>2</v>
      </c>
      <c r="G50" s="2" t="n">
        <v>153.7</v>
      </c>
    </row>
    <row r="51">
      <c r="A51" s="7" t="n">
        <v>46294.95333178241</v>
      </c>
      <c r="B51" s="7" t="n">
        <v>46294.95208333333</v>
      </c>
      <c r="C51" s="2" t="n">
        <v>433</v>
      </c>
      <c r="D51" s="2" t="n">
        <v>0</v>
      </c>
      <c r="E51" s="2" t="n">
        <v>1</v>
      </c>
      <c r="F51" s="2" t="n">
        <v>2</v>
      </c>
      <c r="G51" s="2" t="n">
        <v>177.4</v>
      </c>
    </row>
    <row r="52">
      <c r="A52" s="7" t="n">
        <v>46294.87612561342</v>
      </c>
      <c r="B52" s="7" t="n">
        <v>46294.875</v>
      </c>
      <c r="C52" s="2" t="n">
        <v>433</v>
      </c>
      <c r="D52" s="2" t="n">
        <v>5</v>
      </c>
      <c r="E52" s="2" t="n">
        <v>7</v>
      </c>
      <c r="F52" s="2" t="n">
        <v>2</v>
      </c>
      <c r="G52" s="2" t="n">
        <v>196.6</v>
      </c>
    </row>
    <row r="53">
      <c r="A53" s="7" t="n">
        <v>46294.76526767361</v>
      </c>
      <c r="B53" s="7" t="n">
        <v>46294.76388888889</v>
      </c>
      <c r="C53" s="2" t="n">
        <v>433</v>
      </c>
      <c r="D53" s="2" t="n">
        <v>2</v>
      </c>
      <c r="E53" s="2" t="n">
        <v>2</v>
      </c>
      <c r="F53" s="2" t="n">
        <v>2</v>
      </c>
      <c r="G53" s="2" t="n">
        <v>182.5</v>
      </c>
    </row>
    <row r="54">
      <c r="A54" s="7" t="n">
        <v>46294.66075324074</v>
      </c>
      <c r="B54" s="7" t="n">
        <v>46294.65972222222</v>
      </c>
      <c r="C54" s="2" t="n">
        <v>433</v>
      </c>
      <c r="D54" s="2" t="n">
        <v>5</v>
      </c>
      <c r="E54" s="2" t="n">
        <v>5</v>
      </c>
      <c r="F54" s="2" t="n">
        <v>3</v>
      </c>
      <c r="G54" s="2" t="n">
        <v>174</v>
      </c>
    </row>
    <row r="55">
      <c r="A55" s="7" t="n">
        <v>46294.57647584491</v>
      </c>
      <c r="B55" s="7" t="n">
        <v>46294.57569444444</v>
      </c>
      <c r="C55" s="2" t="n">
        <v>432</v>
      </c>
      <c r="D55" s="2" t="n">
        <v>4</v>
      </c>
      <c r="E55" s="2" t="n">
        <v>1</v>
      </c>
      <c r="F55" s="2" t="n">
        <v>0</v>
      </c>
      <c r="G55" s="2" t="n">
        <v>147.5</v>
      </c>
    </row>
    <row r="56">
      <c r="A56" s="7" t="n">
        <v>46294.46163141204</v>
      </c>
      <c r="B56" s="7" t="n">
        <v>46294.46041666667</v>
      </c>
      <c r="C56" s="2" t="n">
        <v>432</v>
      </c>
      <c r="D56" s="2" t="n">
        <v>4</v>
      </c>
      <c r="E56" s="2" t="n">
        <v>6</v>
      </c>
      <c r="F56" s="2" t="n">
        <v>0</v>
      </c>
      <c r="G56" s="2" t="n">
        <v>193.3</v>
      </c>
    </row>
    <row r="57">
      <c r="A57" s="7" t="n">
        <v>46294.30606211806</v>
      </c>
      <c r="B57" s="7" t="n">
        <v>46294.30486111111</v>
      </c>
      <c r="C57" s="2" t="n">
        <v>432</v>
      </c>
      <c r="D57" s="2" t="n">
        <v>5</v>
      </c>
      <c r="E57" s="2" t="n">
        <v>5</v>
      </c>
      <c r="F57" s="2" t="n">
        <v>0</v>
      </c>
      <c r="G57" s="2" t="n">
        <v>165.6</v>
      </c>
    </row>
    <row r="58">
      <c r="A58" s="7" t="n">
        <v>46294.07080519676</v>
      </c>
      <c r="B58" s="7" t="n">
        <v>46294.06944444445</v>
      </c>
      <c r="C58" s="2" t="n">
        <v>432</v>
      </c>
      <c r="D58" s="2" t="n">
        <v>3</v>
      </c>
      <c r="E58" s="2" t="n">
        <v>3</v>
      </c>
      <c r="F58" s="2" t="n">
        <v>0</v>
      </c>
      <c r="G58" s="2" t="n">
        <v>193.3</v>
      </c>
    </row>
    <row r="59">
      <c r="A59" s="7" t="n">
        <v>46293.99403509259</v>
      </c>
      <c r="B59" s="7" t="n">
        <v>46293.99305555555</v>
      </c>
      <c r="C59" s="2" t="n">
        <v>432</v>
      </c>
      <c r="D59" s="2" t="n">
        <v>8</v>
      </c>
      <c r="E59" s="2" t="n">
        <v>1</v>
      </c>
      <c r="F59" s="2" t="n">
        <v>0</v>
      </c>
      <c r="G59" s="2" t="n">
        <v>153.6</v>
      </c>
    </row>
    <row r="60">
      <c r="A60" s="7" t="n">
        <v>46293.9460828588</v>
      </c>
      <c r="B60" s="7" t="n">
        <v>46293.94513888889</v>
      </c>
      <c r="C60" s="2" t="n">
        <v>432</v>
      </c>
      <c r="D60" s="2" t="n">
        <v>1</v>
      </c>
      <c r="E60" s="2" t="n">
        <v>3</v>
      </c>
      <c r="F60" s="2" t="n">
        <v>0</v>
      </c>
      <c r="G60" s="2" t="n">
        <v>197.9</v>
      </c>
    </row>
    <row r="61">
      <c r="A61" s="7" t="n">
        <v>46293.85933717593</v>
      </c>
      <c r="B61" s="7" t="n">
        <v>46293.85833333333</v>
      </c>
      <c r="C61" s="2" t="n">
        <v>432</v>
      </c>
      <c r="D61" s="2" t="n">
        <v>4</v>
      </c>
      <c r="E61" s="2" t="n">
        <v>3</v>
      </c>
      <c r="F61" s="2" t="n">
        <v>0</v>
      </c>
      <c r="G61" s="2" t="n">
        <v>185</v>
      </c>
    </row>
    <row r="62">
      <c r="A62" s="7" t="n">
        <v>46293.69837709491</v>
      </c>
      <c r="B62" s="7" t="n">
        <v>46293.69722222222</v>
      </c>
      <c r="C62" s="2" t="n">
        <v>432</v>
      </c>
      <c r="D62" s="2" t="n">
        <v>0</v>
      </c>
      <c r="E62" s="2" t="n">
        <v>0</v>
      </c>
      <c r="F62" s="2" t="n">
        <v>0</v>
      </c>
      <c r="G62" s="2" t="n">
        <v>144.9</v>
      </c>
    </row>
    <row r="63">
      <c r="A63" s="7" t="n">
        <v>46293.67139270833</v>
      </c>
      <c r="B63" s="7" t="n">
        <v>46293.67013888889</v>
      </c>
      <c r="C63" s="2" t="n">
        <v>432</v>
      </c>
      <c r="D63" s="2" t="n">
        <v>4</v>
      </c>
      <c r="E63" s="2" t="n">
        <v>3</v>
      </c>
      <c r="F63" s="2" t="n">
        <v>0</v>
      </c>
      <c r="G63" s="2" t="n">
        <v>186.3</v>
      </c>
    </row>
    <row r="64">
      <c r="A64" s="7" t="n">
        <v>46293.54465268519</v>
      </c>
      <c r="B64" s="7" t="n">
        <v>46293.54375</v>
      </c>
      <c r="C64" s="2" t="n">
        <v>432</v>
      </c>
      <c r="D64" s="2" t="n">
        <v>2</v>
      </c>
      <c r="E64" s="2" t="n">
        <v>5</v>
      </c>
      <c r="F64" s="2" t="n">
        <v>0</v>
      </c>
      <c r="G64" s="2" t="n">
        <v>150</v>
      </c>
    </row>
    <row r="65">
      <c r="A65" s="7" t="n">
        <v>46293.46449744213</v>
      </c>
      <c r="B65" s="7" t="n">
        <v>46293.46319444444</v>
      </c>
      <c r="C65" s="2" t="n">
        <v>432</v>
      </c>
      <c r="D65" s="2" t="n">
        <v>3</v>
      </c>
      <c r="E65" s="2" t="n">
        <v>0</v>
      </c>
      <c r="F65" s="2" t="n">
        <v>0</v>
      </c>
      <c r="G65" s="2" t="n">
        <v>193.4</v>
      </c>
    </row>
    <row r="66">
      <c r="A66" s="7" t="n">
        <v>46293.40532865741</v>
      </c>
      <c r="B66" s="7" t="n">
        <v>46293.40416666667</v>
      </c>
      <c r="C66" s="2" t="n">
        <v>433</v>
      </c>
      <c r="D66" s="2" t="n">
        <v>0</v>
      </c>
      <c r="E66" s="2" t="n">
        <v>2</v>
      </c>
      <c r="F66" s="2" t="n">
        <v>0</v>
      </c>
      <c r="G66" s="2" t="n">
        <v>194.7</v>
      </c>
    </row>
    <row r="67">
      <c r="A67" s="7" t="n">
        <v>46293.26205886574</v>
      </c>
      <c r="B67" s="7" t="n">
        <v>46293.26111111111</v>
      </c>
      <c r="C67" s="2" t="n">
        <v>433</v>
      </c>
      <c r="D67" s="2" t="n">
        <v>1</v>
      </c>
      <c r="E67" s="2" t="n">
        <v>2</v>
      </c>
      <c r="F67" s="2" t="n">
        <v>0</v>
      </c>
      <c r="G67" s="2" t="n">
        <v>178</v>
      </c>
    </row>
    <row r="68">
      <c r="A68" s="7" t="n">
        <v>46293.12570534722</v>
      </c>
      <c r="B68" s="7" t="n">
        <v>46293.125</v>
      </c>
      <c r="C68" s="2" t="n">
        <v>433</v>
      </c>
      <c r="D68" s="2" t="n">
        <v>2</v>
      </c>
      <c r="E68" s="2" t="n">
        <v>0</v>
      </c>
      <c r="F68" s="2" t="n">
        <v>0</v>
      </c>
      <c r="G68" s="2" t="n">
        <v>193.1</v>
      </c>
    </row>
    <row r="69">
      <c r="A69" s="7" t="n">
        <v>46293.08172232639</v>
      </c>
      <c r="B69" s="7" t="n">
        <v>46293.08055555556</v>
      </c>
      <c r="C69" s="2" t="n">
        <v>433</v>
      </c>
      <c r="D69" s="2" t="n">
        <v>1</v>
      </c>
      <c r="E69" s="2" t="n">
        <v>2</v>
      </c>
      <c r="F69" s="2" t="n">
        <v>0</v>
      </c>
      <c r="G69" s="2" t="n">
        <v>148.9</v>
      </c>
    </row>
    <row r="70">
      <c r="A70" s="7" t="n">
        <v>46292.9814453588</v>
      </c>
      <c r="B70" s="7" t="n">
        <v>46292.98055555556</v>
      </c>
      <c r="C70" s="2" t="n">
        <v>433</v>
      </c>
      <c r="D70" s="2" t="n">
        <v>2</v>
      </c>
      <c r="E70" s="2" t="n">
        <v>1</v>
      </c>
      <c r="F70" s="2" t="n">
        <v>0</v>
      </c>
      <c r="G70" s="2" t="n">
        <v>186</v>
      </c>
    </row>
    <row r="71">
      <c r="A71" s="7" t="n">
        <v>46292.9472603125</v>
      </c>
      <c r="B71" s="7" t="n">
        <v>46292.94652777778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192.1</v>
      </c>
    </row>
    <row r="72">
      <c r="A72" s="7" t="n">
        <v>46292.919814375</v>
      </c>
      <c r="B72" s="7" t="n">
        <v>46292.91875</v>
      </c>
      <c r="C72" s="2" t="n">
        <v>433</v>
      </c>
      <c r="D72" s="2" t="n">
        <v>2</v>
      </c>
      <c r="E72" s="2" t="n">
        <v>3</v>
      </c>
      <c r="F72" s="2" t="n">
        <v>0</v>
      </c>
      <c r="G72" s="2" t="n">
        <v>192.5</v>
      </c>
    </row>
    <row r="73">
      <c r="A73" s="7" t="n">
        <v>46292.81065981482</v>
      </c>
      <c r="B73" s="7" t="n">
        <v>46292.80972222222</v>
      </c>
      <c r="C73" s="2" t="n">
        <v>433</v>
      </c>
      <c r="D73" s="2" t="n">
        <v>1</v>
      </c>
      <c r="E73" s="2" t="n">
        <v>1</v>
      </c>
      <c r="F73" s="2" t="n">
        <v>0</v>
      </c>
      <c r="G73" s="2" t="n">
        <v>177.2</v>
      </c>
    </row>
    <row r="74">
      <c r="A74" s="7" t="n">
        <v>46292.73704342593</v>
      </c>
      <c r="B74" s="7" t="n">
        <v>46292.73611111111</v>
      </c>
      <c r="C74" s="2" t="n">
        <v>433</v>
      </c>
      <c r="D74" s="2" t="n">
        <v>0</v>
      </c>
      <c r="E74" s="2" t="n">
        <v>1</v>
      </c>
      <c r="F74" s="2" t="n">
        <v>0</v>
      </c>
      <c r="G74" s="2" t="n">
        <v>147.3</v>
      </c>
    </row>
    <row r="75">
      <c r="A75" s="7" t="n">
        <v>46292.67926077546</v>
      </c>
      <c r="B75" s="7" t="n">
        <v>46292.67847222222</v>
      </c>
      <c r="C75" s="2" t="n">
        <v>433</v>
      </c>
      <c r="D75" s="2" t="n">
        <v>0</v>
      </c>
      <c r="E75" s="2" t="n">
        <v>1</v>
      </c>
      <c r="F75" s="2" t="n">
        <v>0</v>
      </c>
      <c r="G75" s="2" t="n">
        <v>197.6</v>
      </c>
    </row>
    <row r="76">
      <c r="A76" s="7" t="n">
        <v>46292.6274472338</v>
      </c>
      <c r="B76" s="7" t="n">
        <v>46292.62638888889</v>
      </c>
      <c r="C76" s="2" t="n">
        <v>433</v>
      </c>
      <c r="D76" s="2" t="n">
        <v>5</v>
      </c>
      <c r="E76" s="2" t="n">
        <v>3</v>
      </c>
      <c r="F76" s="2" t="n">
        <v>0</v>
      </c>
      <c r="G76" s="2" t="n">
        <v>192.4</v>
      </c>
    </row>
    <row r="77">
      <c r="A77" s="7" t="n">
        <v>46292.50599667824</v>
      </c>
      <c r="B77" s="7" t="n">
        <v>46292.50486111111</v>
      </c>
      <c r="C77" s="2" t="n">
        <v>433</v>
      </c>
      <c r="D77" s="2" t="n">
        <v>1</v>
      </c>
      <c r="E77" s="2" t="n">
        <v>1</v>
      </c>
      <c r="F77" s="2" t="n">
        <v>0</v>
      </c>
      <c r="G77" s="2" t="n">
        <v>191.3</v>
      </c>
    </row>
    <row r="78">
      <c r="A78" s="7" t="n">
        <v>46292.39740747685</v>
      </c>
      <c r="B78" s="7" t="n">
        <v>46292.39652777778</v>
      </c>
      <c r="C78" s="2" t="n">
        <v>433</v>
      </c>
      <c r="D78" s="2" t="n">
        <v>2</v>
      </c>
      <c r="E78" s="2" t="n">
        <v>2</v>
      </c>
      <c r="F78" s="2" t="n">
        <v>0</v>
      </c>
      <c r="G78" s="2" t="n">
        <v>150.9</v>
      </c>
    </row>
    <row r="79">
      <c r="A79" s="7" t="n">
        <v>46292.28951247685</v>
      </c>
      <c r="B79" s="7" t="n">
        <v>46292.28819444445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163.9</v>
      </c>
    </row>
    <row r="80">
      <c r="A80" s="7" t="n">
        <v>46292.28563091435</v>
      </c>
      <c r="B80" s="7" t="n">
        <v>46292.28472222222</v>
      </c>
      <c r="C80" s="2" t="n">
        <v>433</v>
      </c>
      <c r="D80" s="2" t="n">
        <v>2</v>
      </c>
      <c r="E80" s="2" t="n">
        <v>2</v>
      </c>
      <c r="F80" s="2" t="n">
        <v>0</v>
      </c>
      <c r="G80" s="2" t="n">
        <v>186.1</v>
      </c>
    </row>
    <row r="81">
      <c r="A81" s="7" t="n">
        <v>46292.16453692129</v>
      </c>
      <c r="B81" s="7" t="n">
        <v>46292.16319444445</v>
      </c>
      <c r="C81" s="2" t="n">
        <v>433</v>
      </c>
      <c r="D81" s="2" t="n">
        <v>0</v>
      </c>
      <c r="E81" s="2" t="n">
        <v>2</v>
      </c>
      <c r="F81" s="2" t="n">
        <v>0</v>
      </c>
      <c r="G81" s="2" t="n">
        <v>183.8</v>
      </c>
    </row>
    <row r="82">
      <c r="A82" s="7" t="n">
        <v>46292.05207142361</v>
      </c>
      <c r="B82" s="7" t="n">
        <v>46292.05069444444</v>
      </c>
      <c r="C82" s="2" t="n">
        <v>433</v>
      </c>
      <c r="D82" s="2" t="n">
        <v>4</v>
      </c>
      <c r="E82" s="2" t="n">
        <v>2</v>
      </c>
      <c r="F82" s="2" t="n">
        <v>0</v>
      </c>
      <c r="G82" s="2" t="n">
        <v>160.8</v>
      </c>
    </row>
    <row r="83">
      <c r="A83" s="7" t="n">
        <v>46291.98017201389</v>
      </c>
      <c r="B83" s="7" t="n">
        <v>46291.97916666666</v>
      </c>
      <c r="C83" s="2" t="n">
        <v>433</v>
      </c>
      <c r="D83" s="2" t="n">
        <v>2</v>
      </c>
      <c r="E83" s="2" t="n">
        <v>0</v>
      </c>
      <c r="F83" s="2" t="n">
        <v>0</v>
      </c>
      <c r="G83" s="2" t="n">
        <v>148.2</v>
      </c>
    </row>
    <row r="84">
      <c r="A84" s="7" t="n">
        <v>46291.93749069444</v>
      </c>
      <c r="B84" s="7" t="n">
        <v>46291.93611111111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163.1</v>
      </c>
    </row>
    <row r="85">
      <c r="A85" s="7" t="n">
        <v>46291.88266193287</v>
      </c>
      <c r="B85" s="7" t="n">
        <v>46291.88194444445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140.5</v>
      </c>
    </row>
    <row r="86">
      <c r="A86" s="7" t="n">
        <v>46291.83751681713</v>
      </c>
      <c r="B86" s="7" t="n">
        <v>46291.83680555555</v>
      </c>
      <c r="C86" s="2" t="n">
        <v>433</v>
      </c>
      <c r="D86" s="2" t="n">
        <v>0</v>
      </c>
      <c r="E86" s="2" t="n">
        <v>2</v>
      </c>
      <c r="F86" s="2" t="n">
        <v>0</v>
      </c>
      <c r="G86" s="2" t="n">
        <v>186.6</v>
      </c>
    </row>
    <row r="87">
      <c r="A87" s="7" t="n">
        <v>46291.78589450232</v>
      </c>
      <c r="B87" s="7" t="n">
        <v>46291.78472222222</v>
      </c>
      <c r="C87" s="2" t="n">
        <v>433</v>
      </c>
      <c r="D87" s="2" t="n">
        <v>5</v>
      </c>
      <c r="E87" s="2" t="n">
        <v>7</v>
      </c>
      <c r="F87" s="2" t="n">
        <v>0</v>
      </c>
      <c r="G87" s="2" t="n">
        <v>157.8</v>
      </c>
    </row>
    <row r="88">
      <c r="A88" s="7" t="n">
        <v>46291.65882908565</v>
      </c>
      <c r="B88" s="7" t="n">
        <v>46291.65763888889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175.7</v>
      </c>
    </row>
    <row r="89">
      <c r="A89" s="7" t="n">
        <v>46291.63896155093</v>
      </c>
      <c r="B89" s="7" t="n">
        <v>46291.63819444444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177.9</v>
      </c>
    </row>
    <row r="90">
      <c r="A90" s="7" t="n">
        <v>46291.63155474537</v>
      </c>
      <c r="B90" s="7" t="n">
        <v>46291.63055555556</v>
      </c>
      <c r="C90" s="2" t="n">
        <v>433</v>
      </c>
      <c r="D90" s="2" t="n">
        <v>1</v>
      </c>
      <c r="E90" s="2" t="n">
        <v>1</v>
      </c>
      <c r="F90" s="2" t="n">
        <v>0</v>
      </c>
      <c r="G90" s="2" t="n">
        <v>172.6</v>
      </c>
    </row>
    <row r="91">
      <c r="A91" s="7" t="n">
        <v>46291.58748165509</v>
      </c>
      <c r="B91" s="7" t="n">
        <v>46291.58611111111</v>
      </c>
      <c r="C91" s="2" t="n">
        <v>433</v>
      </c>
      <c r="D91" s="2" t="n">
        <v>2</v>
      </c>
      <c r="E91" s="2" t="n">
        <v>0</v>
      </c>
      <c r="F91" s="2" t="n">
        <v>0</v>
      </c>
      <c r="G91" s="2" t="n">
        <v>148</v>
      </c>
    </row>
    <row r="92">
      <c r="A92" s="7" t="n">
        <v>46291.52177836806</v>
      </c>
      <c r="B92" s="7" t="n">
        <v>46291.52083333334</v>
      </c>
      <c r="C92" s="2" t="n">
        <v>433</v>
      </c>
      <c r="D92" s="2" t="n">
        <v>2</v>
      </c>
      <c r="E92" s="2" t="n">
        <v>5</v>
      </c>
      <c r="F92" s="2" t="n">
        <v>0</v>
      </c>
      <c r="G92" s="2" t="n">
        <v>187.5</v>
      </c>
    </row>
    <row r="93">
      <c r="A93" s="7" t="n">
        <v>46291.40186751157</v>
      </c>
      <c r="B93" s="7" t="n">
        <v>46291.40069444444</v>
      </c>
      <c r="C93" s="2" t="n">
        <v>433</v>
      </c>
      <c r="D93" s="2" t="n">
        <v>0</v>
      </c>
      <c r="E93" s="2" t="n">
        <v>2</v>
      </c>
      <c r="F93" s="2" t="n">
        <v>0</v>
      </c>
      <c r="G93" s="2" t="n">
        <v>188.1</v>
      </c>
    </row>
    <row r="94">
      <c r="A94" s="7" t="n">
        <v>46291.36540915509</v>
      </c>
      <c r="B94" s="7" t="n">
        <v>46291.36458333334</v>
      </c>
      <c r="C94" s="2" t="n">
        <v>433</v>
      </c>
      <c r="D94" s="2" t="n">
        <v>3</v>
      </c>
      <c r="E94" s="2" t="n">
        <v>0</v>
      </c>
      <c r="F94" s="2" t="n">
        <v>0</v>
      </c>
      <c r="G94" s="2" t="n">
        <v>163.5</v>
      </c>
    </row>
    <row r="95">
      <c r="A95" s="7" t="n">
        <v>46291.26887001158</v>
      </c>
      <c r="B95" s="7" t="n">
        <v>46291.26805555556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184.5</v>
      </c>
    </row>
    <row r="96">
      <c r="A96" s="7" t="n">
        <v>46291.2560487963</v>
      </c>
      <c r="B96" s="7" t="n">
        <v>46291.25486111111</v>
      </c>
      <c r="C96" s="2" t="n">
        <v>433</v>
      </c>
      <c r="D96" s="2" t="n">
        <v>3</v>
      </c>
      <c r="E96" s="2" t="n">
        <v>1</v>
      </c>
      <c r="F96" s="2" t="n">
        <v>0</v>
      </c>
      <c r="G96" s="2" t="n">
        <v>191.6</v>
      </c>
    </row>
    <row r="97">
      <c r="A97" s="7" t="n">
        <v>46291.11246790509</v>
      </c>
      <c r="B97" s="7" t="n">
        <v>46291.11111111111</v>
      </c>
      <c r="C97" s="2" t="n">
        <v>433</v>
      </c>
      <c r="D97" s="2" t="n">
        <v>2</v>
      </c>
      <c r="E97" s="2" t="n">
        <v>1</v>
      </c>
      <c r="F97" s="2" t="n">
        <v>0</v>
      </c>
      <c r="G97" s="2" t="n">
        <v>182.3</v>
      </c>
    </row>
    <row r="98">
      <c r="A98" s="7" t="n">
        <v>46291.02308788194</v>
      </c>
      <c r="B98" s="7" t="n">
        <v>46291.02222222222</v>
      </c>
      <c r="C98" s="2" t="n">
        <v>433</v>
      </c>
      <c r="D98" s="2" t="n">
        <v>1</v>
      </c>
      <c r="E98" s="2" t="n">
        <v>0</v>
      </c>
      <c r="F98" s="2" t="n">
        <v>0</v>
      </c>
      <c r="G98" s="2" t="n">
        <v>140.5</v>
      </c>
    </row>
    <row r="99">
      <c r="A99" s="7" t="n">
        <v>46290.9990443287</v>
      </c>
      <c r="B99" s="7" t="n">
        <v>46290.99791666667</v>
      </c>
      <c r="C99" s="2" t="n">
        <v>433</v>
      </c>
      <c r="D99" s="2" t="n">
        <v>1</v>
      </c>
      <c r="E99" s="2" t="n">
        <v>1</v>
      </c>
      <c r="F99" s="2" t="n">
        <v>0</v>
      </c>
      <c r="G99" s="2" t="n">
        <v>197.5</v>
      </c>
    </row>
    <row r="100">
      <c r="A100" s="7" t="n">
        <v>46290.91267655093</v>
      </c>
      <c r="B100" s="7" t="n">
        <v>46290.91180555556</v>
      </c>
      <c r="C100" s="2" t="n">
        <v>433</v>
      </c>
      <c r="D100" s="2" t="n">
        <v>2</v>
      </c>
      <c r="E100" s="2" t="n">
        <v>2</v>
      </c>
      <c r="F100" s="2" t="n">
        <v>0</v>
      </c>
      <c r="G100" s="2" t="n">
        <v>193.4</v>
      </c>
    </row>
    <row r="101">
      <c r="A101" s="7" t="n">
        <v>46290.82088560185</v>
      </c>
      <c r="B101" s="7" t="n">
        <v>46290.82013888889</v>
      </c>
      <c r="C101" s="2" t="n">
        <v>433</v>
      </c>
      <c r="D101" s="2" t="n">
        <v>1</v>
      </c>
      <c r="E101" s="2" t="n">
        <v>0</v>
      </c>
      <c r="F101" s="2" t="n">
        <v>0</v>
      </c>
      <c r="G101" s="2" t="n">
        <v>174.9</v>
      </c>
    </row>
    <row r="102">
      <c r="A102" s="7" t="n">
        <v>46290.76820827546</v>
      </c>
      <c r="B102" s="7" t="n">
        <v>46290.76736111111</v>
      </c>
      <c r="C102" s="2" t="n">
        <v>433</v>
      </c>
      <c r="D102" s="2" t="n">
        <v>0</v>
      </c>
      <c r="E102" s="2" t="n">
        <v>1</v>
      </c>
      <c r="F102" s="2" t="n">
        <v>0</v>
      </c>
      <c r="G102" s="2" t="n">
        <v>187</v>
      </c>
    </row>
    <row r="103">
      <c r="A103" s="7" t="n">
        <v>46290.709303125</v>
      </c>
      <c r="B103" s="7" t="n">
        <v>46290.70833333334</v>
      </c>
      <c r="C103" s="2" t="n">
        <v>433</v>
      </c>
      <c r="D103" s="2" t="n">
        <v>1</v>
      </c>
      <c r="E103" s="2" t="n">
        <v>3</v>
      </c>
      <c r="F103" s="2" t="n">
        <v>0</v>
      </c>
      <c r="G103" s="2" t="n">
        <v>187.6</v>
      </c>
    </row>
    <row r="104">
      <c r="A104" s="7" t="n">
        <v>46290.66382769676</v>
      </c>
      <c r="B104" s="7" t="n">
        <v>46290.6625</v>
      </c>
      <c r="C104" s="2" t="n">
        <v>433</v>
      </c>
      <c r="D104" s="2" t="n">
        <v>1</v>
      </c>
      <c r="E104" s="2" t="n">
        <v>0</v>
      </c>
      <c r="F104" s="2" t="n">
        <v>0</v>
      </c>
      <c r="G104" s="2" t="n">
        <v>185.1</v>
      </c>
    </row>
    <row r="105">
      <c r="A105" s="7" t="n">
        <v>46290.61757802084</v>
      </c>
      <c r="B105" s="7" t="n">
        <v>46290.61666666667</v>
      </c>
      <c r="C105" s="2" t="n">
        <v>433</v>
      </c>
      <c r="D105" s="2" t="n">
        <v>0</v>
      </c>
      <c r="E105" s="2" t="n">
        <v>2</v>
      </c>
      <c r="F105" s="2" t="n">
        <v>0</v>
      </c>
      <c r="G105" s="2" t="n">
        <v>178.9</v>
      </c>
    </row>
    <row r="106">
      <c r="A106" s="7" t="n">
        <v>46290.55632820602</v>
      </c>
      <c r="B106" s="7" t="n">
        <v>46290.55555555555</v>
      </c>
      <c r="C106" s="2" t="n">
        <v>433</v>
      </c>
      <c r="D106" s="2" t="n">
        <v>1</v>
      </c>
      <c r="E106" s="2" t="n">
        <v>0</v>
      </c>
      <c r="F106" s="2" t="n">
        <v>0</v>
      </c>
      <c r="G106" s="2" t="n">
        <v>179.4</v>
      </c>
    </row>
    <row r="107">
      <c r="A107" s="7" t="n">
        <v>46290.50409561343</v>
      </c>
      <c r="B107" s="7" t="n">
        <v>46290.50277777778</v>
      </c>
      <c r="C107" s="2" t="n">
        <v>433</v>
      </c>
      <c r="D107" s="2" t="n">
        <v>0</v>
      </c>
      <c r="E107" s="2" t="n">
        <v>1</v>
      </c>
      <c r="F107" s="2" t="n">
        <v>0</v>
      </c>
      <c r="G107" s="2" t="n">
        <v>174.5</v>
      </c>
    </row>
    <row r="108">
      <c r="A108" s="7" t="n">
        <v>46290.39966920139</v>
      </c>
      <c r="B108" s="7" t="n">
        <v>46290.39861111111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189.8</v>
      </c>
    </row>
    <row r="109">
      <c r="A109" s="7" t="n">
        <v>46290.3483633912</v>
      </c>
      <c r="B109" s="7" t="n">
        <v>46290.34722222222</v>
      </c>
      <c r="C109" s="2" t="n">
        <v>433</v>
      </c>
      <c r="D109" s="2" t="n">
        <v>0</v>
      </c>
      <c r="E109" s="2" t="n">
        <v>1</v>
      </c>
      <c r="F109" s="2" t="n">
        <v>0</v>
      </c>
      <c r="G109" s="2" t="n">
        <v>163.4</v>
      </c>
    </row>
    <row r="110">
      <c r="A110" s="7" t="n">
        <v>46290.27195019676</v>
      </c>
      <c r="B110" s="7" t="n">
        <v>46290.27083333334</v>
      </c>
      <c r="C110" s="2" t="n">
        <v>433</v>
      </c>
      <c r="D110" s="2" t="n">
        <v>1</v>
      </c>
      <c r="E110" s="2" t="n">
        <v>1</v>
      </c>
      <c r="F110" s="2" t="n">
        <v>1</v>
      </c>
      <c r="G110" s="2" t="n">
        <v>182.9</v>
      </c>
    </row>
    <row r="111">
      <c r="A111" s="7" t="n">
        <v>46290.13587655093</v>
      </c>
      <c r="B111" s="7" t="n">
        <v>46290.13472222222</v>
      </c>
      <c r="C111" s="2" t="n">
        <v>433</v>
      </c>
      <c r="D111" s="2" t="n">
        <v>2</v>
      </c>
      <c r="E111" s="2" t="n">
        <v>6</v>
      </c>
      <c r="F111" s="2" t="n">
        <v>1</v>
      </c>
      <c r="G111" s="2" t="n">
        <v>191.6</v>
      </c>
    </row>
    <row r="112">
      <c r="A112" s="7" t="n">
        <v>46290.02908936342</v>
      </c>
      <c r="B112" s="7" t="n">
        <v>46290.02777777778</v>
      </c>
      <c r="C112" s="2" t="n">
        <v>433</v>
      </c>
      <c r="D112" s="2" t="n">
        <v>2</v>
      </c>
      <c r="E112" s="2" t="n">
        <v>0</v>
      </c>
      <c r="F112" s="2" t="n">
        <v>1</v>
      </c>
      <c r="G112" s="2" t="n">
        <v>166.2</v>
      </c>
    </row>
    <row r="113">
      <c r="A113" s="7" t="n">
        <v>46289.96715996528</v>
      </c>
      <c r="B113" s="7" t="n">
        <v>46289.96597222222</v>
      </c>
      <c r="C113" s="2" t="n">
        <v>433</v>
      </c>
      <c r="D113" s="2" t="n">
        <v>2</v>
      </c>
      <c r="E113" s="2" t="n">
        <v>8</v>
      </c>
      <c r="F113" s="2" t="n">
        <v>1</v>
      </c>
      <c r="G113" s="2" t="n">
        <v>190.1</v>
      </c>
    </row>
    <row r="114">
      <c r="A114" s="7" t="n">
        <v>46289.95004011574</v>
      </c>
      <c r="B114" s="7" t="n">
        <v>46289.94930555556</v>
      </c>
      <c r="C114" s="2" t="n">
        <v>433</v>
      </c>
      <c r="D114" s="2" t="n">
        <v>0</v>
      </c>
      <c r="E114" s="2" t="n">
        <v>0</v>
      </c>
      <c r="F114" s="2" t="n">
        <v>1</v>
      </c>
      <c r="G114" s="2" t="n">
        <v>178.4</v>
      </c>
    </row>
    <row r="115">
      <c r="A115" s="7" t="n">
        <v>46289.94135959491</v>
      </c>
      <c r="B115" s="7" t="n">
        <v>46289.94027777778</v>
      </c>
      <c r="C115" s="2" t="n">
        <v>433</v>
      </c>
      <c r="D115" s="2" t="n">
        <v>0</v>
      </c>
      <c r="E115" s="2" t="n">
        <v>0</v>
      </c>
      <c r="F115" s="2" t="n">
        <v>1</v>
      </c>
      <c r="G115" s="2" t="n">
        <v>183.8</v>
      </c>
    </row>
    <row r="116">
      <c r="A116" s="7" t="n">
        <v>46289.92565313658</v>
      </c>
      <c r="B116" s="7" t="n">
        <v>46289.92430555556</v>
      </c>
      <c r="C116" s="2" t="n">
        <v>433</v>
      </c>
      <c r="D116" s="2" t="n">
        <v>6</v>
      </c>
      <c r="E116" s="2" t="n">
        <v>3</v>
      </c>
      <c r="F116" s="2" t="n">
        <v>1</v>
      </c>
      <c r="G116" s="2" t="n">
        <v>226.2</v>
      </c>
    </row>
    <row r="117">
      <c r="A117" s="7" t="n">
        <v>46289.84896370371</v>
      </c>
      <c r="B117" s="7" t="n">
        <v>46289.84791666667</v>
      </c>
      <c r="C117" s="2" t="n">
        <v>433</v>
      </c>
      <c r="D117" s="2" t="n">
        <v>2</v>
      </c>
      <c r="E117" s="2" t="n">
        <v>2</v>
      </c>
      <c r="F117" s="2" t="n">
        <v>1</v>
      </c>
      <c r="G117" s="2" t="n">
        <v>147.5</v>
      </c>
    </row>
    <row r="118">
      <c r="A118" s="7" t="n">
        <v>46289.78526427083</v>
      </c>
      <c r="B118" s="7" t="n">
        <v>46289.78402777778</v>
      </c>
      <c r="C118" s="2" t="n">
        <v>433</v>
      </c>
      <c r="D118" s="2" t="n">
        <v>0</v>
      </c>
      <c r="E118" s="2" t="n">
        <v>0</v>
      </c>
      <c r="F118" s="2" t="n">
        <v>1</v>
      </c>
      <c r="G118" s="2" t="n">
        <v>186.8</v>
      </c>
    </row>
    <row r="119">
      <c r="A119" s="7" t="n">
        <v>46289.75543116898</v>
      </c>
      <c r="B119" s="7" t="n">
        <v>46289.75</v>
      </c>
      <c r="C119" s="2" t="n">
        <v>433</v>
      </c>
      <c r="D119" s="2" t="n">
        <v>15</v>
      </c>
      <c r="E119" s="2" t="n">
        <v>11</v>
      </c>
      <c r="F119" s="2" t="n">
        <v>1</v>
      </c>
      <c r="G119" s="2" t="n">
        <v>109.8</v>
      </c>
    </row>
    <row r="120">
      <c r="A120" s="7" t="n">
        <v>46289.54138961805</v>
      </c>
      <c r="B120" s="7" t="n">
        <v>46289.53472222222</v>
      </c>
      <c r="C120" s="2" t="n">
        <v>433</v>
      </c>
      <c r="D120" s="2" t="n">
        <v>2</v>
      </c>
      <c r="E120" s="2" t="n">
        <v>3</v>
      </c>
      <c r="F120" s="2" t="n">
        <v>1</v>
      </c>
      <c r="G120" s="2" t="n">
        <v>125.8</v>
      </c>
    </row>
    <row r="121">
      <c r="A121" s="7" t="n">
        <v>46289.32358565972</v>
      </c>
      <c r="B121" s="7" t="n">
        <v>46289.31944444445</v>
      </c>
      <c r="C121" s="2" t="n">
        <v>433</v>
      </c>
      <c r="D121" s="2" t="n">
        <v>2</v>
      </c>
      <c r="E121" s="2" t="n">
        <v>4</v>
      </c>
      <c r="F121" s="2" t="n">
        <v>1</v>
      </c>
      <c r="G121" s="2" t="n">
        <v>130.2</v>
      </c>
    </row>
    <row r="122">
      <c r="A122" s="7" t="n">
        <v>46289.18599210648</v>
      </c>
      <c r="B122" s="7" t="n">
        <v>46289.18055555555</v>
      </c>
      <c r="C122" s="2" t="n">
        <v>433</v>
      </c>
      <c r="D122" s="2" t="n">
        <v>3</v>
      </c>
      <c r="E122" s="2" t="n">
        <v>4</v>
      </c>
      <c r="F122" s="2" t="n">
        <v>1</v>
      </c>
      <c r="G122" s="2" t="n">
        <v>129.3</v>
      </c>
    </row>
    <row r="123">
      <c r="A123" s="7" t="n">
        <v>46289.04908521991</v>
      </c>
      <c r="B123" s="7" t="n">
        <v>46289.04513888889</v>
      </c>
      <c r="C123" s="2" t="n">
        <v>433</v>
      </c>
      <c r="D123" s="2" t="n">
        <v>2</v>
      </c>
      <c r="E123" s="2" t="n">
        <v>8</v>
      </c>
      <c r="F123" s="2" t="n">
        <v>1</v>
      </c>
      <c r="G123" s="2" t="n">
        <v>96.90000000000001</v>
      </c>
    </row>
    <row r="124">
      <c r="A124" s="7" t="n">
        <v>46289.00944646991</v>
      </c>
      <c r="B124" s="7" t="n">
        <v>46289.00347222222</v>
      </c>
      <c r="C124" s="2" t="n">
        <v>433</v>
      </c>
      <c r="D124" s="2" t="n">
        <v>26</v>
      </c>
      <c r="E124" s="2" t="n">
        <v>15</v>
      </c>
      <c r="F124" s="2" t="n">
        <v>1</v>
      </c>
      <c r="G124" s="2" t="n">
        <v>127</v>
      </c>
    </row>
    <row r="125">
      <c r="A125" s="7" t="n">
        <v>46288.82408041666</v>
      </c>
      <c r="B125" s="7" t="n">
        <v>46288.81944444445</v>
      </c>
      <c r="C125" s="2" t="n">
        <v>433</v>
      </c>
      <c r="D125" s="2" t="n">
        <v>1</v>
      </c>
      <c r="E125" s="2" t="n">
        <v>2</v>
      </c>
      <c r="F125" s="2" t="n">
        <v>2</v>
      </c>
      <c r="G125" s="2" t="n">
        <v>118.2</v>
      </c>
    </row>
    <row r="126">
      <c r="A126" s="7" t="n">
        <v>46288.75275025463</v>
      </c>
      <c r="B126" s="7" t="n">
        <v>46288.74652777778</v>
      </c>
      <c r="C126" s="2" t="n">
        <v>433</v>
      </c>
      <c r="D126" s="2" t="n">
        <v>4</v>
      </c>
      <c r="E126" s="2" t="n">
        <v>3</v>
      </c>
      <c r="F126" s="2" t="n">
        <v>2</v>
      </c>
      <c r="G126" s="2" t="n">
        <v>125.5</v>
      </c>
    </row>
    <row r="127">
      <c r="A127" s="7" t="n">
        <v>46288.58577883102</v>
      </c>
      <c r="B127" s="7" t="n">
        <v>46288.57986111111</v>
      </c>
      <c r="C127" s="2" t="n">
        <v>433</v>
      </c>
      <c r="D127" s="2" t="n">
        <v>0</v>
      </c>
      <c r="E127" s="2" t="n">
        <v>0</v>
      </c>
      <c r="F127" s="2" t="n">
        <v>2</v>
      </c>
      <c r="G127" s="2" t="n">
        <v>112.8</v>
      </c>
    </row>
    <row r="128">
      <c r="A128" s="7" t="n">
        <v>46288.57218969907</v>
      </c>
      <c r="B128" s="7" t="n">
        <v>46288.56597222222</v>
      </c>
      <c r="C128" s="2" t="n">
        <v>433</v>
      </c>
      <c r="D128" s="2" t="n">
        <v>4</v>
      </c>
      <c r="E128" s="2" t="n">
        <v>5</v>
      </c>
      <c r="F128" s="2" t="n">
        <v>2</v>
      </c>
      <c r="G128" s="2" t="n">
        <v>99.7</v>
      </c>
    </row>
    <row r="129">
      <c r="A129" s="7" t="n">
        <v>46288.36332482639</v>
      </c>
      <c r="B129" s="7" t="n">
        <v>46288.35763888889</v>
      </c>
      <c r="C129" s="2" t="n">
        <v>441</v>
      </c>
      <c r="D129" s="2" t="n">
        <v>2</v>
      </c>
      <c r="E129" s="2" t="n">
        <v>4</v>
      </c>
      <c r="F129" s="2" t="n">
        <v>2</v>
      </c>
      <c r="G129" s="2" t="n">
        <v>94.40000000000001</v>
      </c>
    </row>
    <row r="130">
      <c r="A130" s="7" t="n">
        <v>46288.26120461806</v>
      </c>
      <c r="B130" s="7" t="n">
        <v>46288.25694444445</v>
      </c>
      <c r="C130" s="2" t="n">
        <v>441</v>
      </c>
      <c r="D130" s="2" t="n">
        <v>0</v>
      </c>
      <c r="E130" s="2" t="n">
        <v>3</v>
      </c>
      <c r="F130" s="2" t="n">
        <v>2</v>
      </c>
      <c r="G130" s="2" t="n">
        <v>103.1</v>
      </c>
    </row>
    <row r="131">
      <c r="A131" s="7" t="n">
        <v>46288.12397528935</v>
      </c>
      <c r="B131" s="7" t="n">
        <v>46288.11805555555</v>
      </c>
      <c r="C131" s="2" t="n">
        <v>441</v>
      </c>
      <c r="D131" s="2" t="n">
        <v>7</v>
      </c>
      <c r="E131" s="2" t="n">
        <v>1</v>
      </c>
      <c r="F131" s="2" t="n">
        <v>2</v>
      </c>
      <c r="G131" s="2" t="n">
        <v>114.4</v>
      </c>
    </row>
    <row r="132">
      <c r="A132" s="7" t="n">
        <v>46287.95840076389</v>
      </c>
      <c r="B132" s="7" t="n">
        <v>46287.95486111111</v>
      </c>
      <c r="C132" s="2" t="n">
        <v>441</v>
      </c>
      <c r="D132" s="2" t="n">
        <v>6</v>
      </c>
      <c r="E132" s="2" t="n">
        <v>5</v>
      </c>
      <c r="F132" s="2" t="n">
        <v>2</v>
      </c>
      <c r="G132" s="2" t="n">
        <v>135.1</v>
      </c>
    </row>
    <row r="133">
      <c r="A133" s="7" t="n">
        <v>46287.75277884259</v>
      </c>
      <c r="B133" s="7" t="n">
        <v>46287.74652777778</v>
      </c>
      <c r="C133" s="2" t="n">
        <v>440</v>
      </c>
      <c r="D133" s="2" t="n">
        <v>1</v>
      </c>
      <c r="E133" s="2" t="n">
        <v>3</v>
      </c>
      <c r="F133" s="2" t="n">
        <v>0</v>
      </c>
      <c r="G133" s="2" t="n">
        <v>130.3</v>
      </c>
    </row>
    <row r="134">
      <c r="A134" s="7" t="n">
        <v>46287.6758560301</v>
      </c>
      <c r="B134" s="7" t="n">
        <v>46287.67013888889</v>
      </c>
      <c r="C134" s="2" t="n">
        <v>440</v>
      </c>
      <c r="D134" s="2" t="n">
        <v>4</v>
      </c>
      <c r="E134" s="2" t="n">
        <v>3</v>
      </c>
      <c r="F134" s="2" t="n">
        <v>0</v>
      </c>
      <c r="G134" s="2" t="n">
        <v>91.7</v>
      </c>
    </row>
    <row r="135">
      <c r="A135" s="7" t="n">
        <v>46287.54602564815</v>
      </c>
      <c r="B135" s="7" t="n">
        <v>46287.54166666666</v>
      </c>
      <c r="C135" s="2" t="n">
        <v>440</v>
      </c>
      <c r="D135" s="2" t="n">
        <v>1</v>
      </c>
      <c r="E135" s="2" t="n">
        <v>3</v>
      </c>
      <c r="F135" s="2" t="n">
        <v>0</v>
      </c>
      <c r="G135" s="2" t="n">
        <v>125.4</v>
      </c>
    </row>
    <row r="136">
      <c r="A136" s="7" t="n">
        <v>46287.51247143518</v>
      </c>
      <c r="B136" s="7" t="n">
        <v>46287.50694444445</v>
      </c>
      <c r="C136" s="2" t="n">
        <v>440</v>
      </c>
      <c r="D136" s="2" t="n">
        <v>7</v>
      </c>
      <c r="E136" s="2" t="n">
        <v>8</v>
      </c>
      <c r="F136" s="2" t="n">
        <v>0</v>
      </c>
      <c r="G136" s="2" t="n">
        <v>102.8</v>
      </c>
    </row>
    <row r="137">
      <c r="A137" s="7" t="n">
        <v>46287.30635083334</v>
      </c>
      <c r="B137" s="7" t="n">
        <v>46287.30208333334</v>
      </c>
      <c r="C137" s="2" t="n">
        <v>440</v>
      </c>
      <c r="D137" s="2" t="n">
        <v>9</v>
      </c>
      <c r="E137" s="2" t="n">
        <v>5</v>
      </c>
      <c r="F137" s="2" t="n">
        <v>0</v>
      </c>
      <c r="G137" s="2" t="n">
        <v>135.9</v>
      </c>
    </row>
    <row r="138">
      <c r="A138" s="7" t="n">
        <v>46287.14961865741</v>
      </c>
      <c r="B138" s="7" t="n">
        <v>46287.14583333334</v>
      </c>
      <c r="C138" s="2" t="n">
        <v>440</v>
      </c>
      <c r="D138" s="2" t="n">
        <v>6</v>
      </c>
      <c r="E138" s="2" t="n">
        <v>5</v>
      </c>
      <c r="F138" s="2" t="n">
        <v>0</v>
      </c>
      <c r="G138" s="2" t="n">
        <v>130.5</v>
      </c>
    </row>
    <row r="139">
      <c r="A139" s="7" t="n">
        <v>46286.92852005787</v>
      </c>
      <c r="B139" s="7" t="n">
        <v>46286.92361111111</v>
      </c>
      <c r="C139" s="2" t="n">
        <v>440</v>
      </c>
      <c r="D139" s="2" t="n">
        <v>2</v>
      </c>
      <c r="E139" s="2" t="n">
        <v>3</v>
      </c>
      <c r="F139" s="2" t="n">
        <v>0</v>
      </c>
      <c r="G139" s="2" t="n">
        <v>112.2</v>
      </c>
    </row>
    <row r="140">
      <c r="A140" s="7" t="n">
        <v>46286.83222814815</v>
      </c>
      <c r="B140" s="7" t="n">
        <v>46286.82638888889</v>
      </c>
      <c r="C140" s="2" t="n">
        <v>440</v>
      </c>
      <c r="D140" s="2" t="n">
        <v>5</v>
      </c>
      <c r="E140" s="2" t="n">
        <v>7</v>
      </c>
      <c r="F140" s="2" t="n">
        <v>0</v>
      </c>
      <c r="G140" s="2" t="n">
        <v>126.4</v>
      </c>
    </row>
    <row r="141">
      <c r="A141" s="7" t="n">
        <v>46286.60261268519</v>
      </c>
      <c r="B141" s="7" t="n">
        <v>46286.59722222222</v>
      </c>
      <c r="C141" s="2" t="n">
        <v>440</v>
      </c>
      <c r="D141" s="2" t="n">
        <v>8</v>
      </c>
      <c r="E141" s="2" t="n">
        <v>5</v>
      </c>
      <c r="F141" s="2" t="n">
        <v>0</v>
      </c>
      <c r="G141" s="2" t="n">
        <v>111.5</v>
      </c>
    </row>
    <row r="142">
      <c r="A142" s="7" t="n">
        <v>46286.38294268519</v>
      </c>
      <c r="B142" s="7" t="n">
        <v>46286.37847222222</v>
      </c>
      <c r="C142" s="2" t="n">
        <v>440</v>
      </c>
      <c r="D142" s="2" t="n">
        <v>3</v>
      </c>
      <c r="E142" s="2" t="n">
        <v>6</v>
      </c>
      <c r="F142" s="2" t="n">
        <v>0</v>
      </c>
      <c r="G142" s="2" t="n">
        <v>102.4</v>
      </c>
    </row>
    <row r="143">
      <c r="A143" s="7" t="n">
        <v>46286.27148542824</v>
      </c>
      <c r="B143" s="7" t="n">
        <v>46286.26736111111</v>
      </c>
      <c r="C143" s="2" t="n">
        <v>440</v>
      </c>
      <c r="D143" s="2" t="n">
        <v>2</v>
      </c>
      <c r="E143" s="2" t="n">
        <v>2</v>
      </c>
      <c r="F143" s="2" t="n">
        <v>0</v>
      </c>
      <c r="G143" s="2" t="n">
        <v>126.7</v>
      </c>
    </row>
    <row r="144">
      <c r="A144" s="7" t="n">
        <v>46286.14641391204</v>
      </c>
      <c r="B144" s="7" t="n">
        <v>46286.14236111111</v>
      </c>
      <c r="C144" s="2" t="n">
        <v>440</v>
      </c>
      <c r="D144" s="2" t="n">
        <v>4</v>
      </c>
      <c r="E144" s="2" t="n">
        <v>4</v>
      </c>
      <c r="F144" s="2" t="n">
        <v>0</v>
      </c>
      <c r="G144" s="2" t="n">
        <v>131.3</v>
      </c>
    </row>
    <row r="145">
      <c r="A145" s="7" t="n">
        <v>46286.03573545139</v>
      </c>
      <c r="B145" s="7" t="n">
        <v>46286.03125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127.3</v>
      </c>
    </row>
    <row r="146">
      <c r="A146" s="7" t="n">
        <v>46286.00283136574</v>
      </c>
      <c r="B146" s="7" t="n">
        <v>46285.99652777778</v>
      </c>
      <c r="C146" s="2" t="n">
        <v>440</v>
      </c>
      <c r="D146" s="2" t="n">
        <v>5</v>
      </c>
      <c r="E146" s="2" t="n">
        <v>5</v>
      </c>
      <c r="F146" s="2" t="n">
        <v>0</v>
      </c>
      <c r="G146" s="2" t="n">
        <v>101.9</v>
      </c>
    </row>
    <row r="147">
      <c r="A147" s="7" t="n">
        <v>46285.85245594908</v>
      </c>
      <c r="B147" s="7" t="n">
        <v>46285.84722222222</v>
      </c>
      <c r="C147" s="2" t="n">
        <v>440</v>
      </c>
      <c r="D147" s="2" t="n">
        <v>7</v>
      </c>
      <c r="E147" s="2" t="n">
        <v>6</v>
      </c>
      <c r="F147" s="2" t="n">
        <v>0</v>
      </c>
      <c r="G147" s="2" t="n">
        <v>100.6</v>
      </c>
    </row>
    <row r="148">
      <c r="A148" s="7" t="n">
        <v>46285.60105145833</v>
      </c>
      <c r="B148" s="7" t="n">
        <v>46285.59722222222</v>
      </c>
      <c r="C148" s="2" t="n">
        <v>440</v>
      </c>
      <c r="D148" s="2" t="n">
        <v>9</v>
      </c>
      <c r="E148" s="2" t="n">
        <v>5</v>
      </c>
      <c r="F148" s="2" t="n">
        <v>0</v>
      </c>
      <c r="G148" s="2" t="n">
        <v>129.1</v>
      </c>
    </row>
    <row r="149">
      <c r="A149" s="7" t="n">
        <v>46285.38559789352</v>
      </c>
      <c r="B149" s="7" t="n">
        <v>46285.38194444445</v>
      </c>
      <c r="C149" s="2" t="n">
        <v>440</v>
      </c>
      <c r="D149" s="2" t="n">
        <v>1</v>
      </c>
      <c r="E149" s="2" t="n">
        <v>1</v>
      </c>
      <c r="F149" s="2" t="n">
        <v>0</v>
      </c>
      <c r="G149" s="2" t="n">
        <v>112.5</v>
      </c>
    </row>
    <row r="150">
      <c r="A150" s="7" t="n">
        <v>46285.29994834491</v>
      </c>
      <c r="B150" s="7" t="n">
        <v>46285.29513888889</v>
      </c>
      <c r="C150" s="2" t="n">
        <v>440</v>
      </c>
      <c r="D150" s="2" t="n">
        <v>1</v>
      </c>
      <c r="E150" s="2" t="n">
        <v>3</v>
      </c>
      <c r="F150" s="2" t="n">
        <v>0</v>
      </c>
      <c r="G150" s="2" t="n">
        <v>128.1</v>
      </c>
    </row>
    <row r="151">
      <c r="A151" s="7" t="n">
        <v>46285.19964518519</v>
      </c>
      <c r="B151" s="7" t="n">
        <v>46285.19444444445</v>
      </c>
      <c r="C151" s="2" t="n">
        <v>440</v>
      </c>
      <c r="D151" s="2" t="n">
        <v>2</v>
      </c>
      <c r="E151" s="2" t="n">
        <v>3</v>
      </c>
      <c r="F151" s="2" t="n">
        <v>0</v>
      </c>
      <c r="G151" s="2" t="n">
        <v>110.6</v>
      </c>
    </row>
    <row r="152">
      <c r="A152" s="7" t="n">
        <v>46285.08704527777</v>
      </c>
      <c r="B152" s="7" t="n">
        <v>46285.08333333334</v>
      </c>
      <c r="C152" s="2" t="n">
        <v>440</v>
      </c>
      <c r="D152" s="2" t="n">
        <v>3</v>
      </c>
      <c r="E152" s="2" t="n">
        <v>3</v>
      </c>
      <c r="F152" s="2" t="n">
        <v>0</v>
      </c>
      <c r="G152" s="2" t="n">
        <v>95.09999999999999</v>
      </c>
    </row>
    <row r="153">
      <c r="A153" s="7" t="n">
        <v>46284.93748335648</v>
      </c>
      <c r="B153" s="7" t="n">
        <v>46284.93055555555</v>
      </c>
      <c r="C153" s="2" t="n">
        <v>440</v>
      </c>
      <c r="D153" s="2" t="n">
        <v>2</v>
      </c>
      <c r="E153" s="2" t="n">
        <v>2</v>
      </c>
      <c r="F153" s="2" t="n">
        <v>0</v>
      </c>
      <c r="G153" s="2" t="n">
        <v>128.7</v>
      </c>
    </row>
    <row r="154">
      <c r="A154" s="7" t="n">
        <v>46284.79727659722</v>
      </c>
      <c r="B154" s="7" t="n">
        <v>46284.79166666666</v>
      </c>
      <c r="C154" s="2" t="n">
        <v>440</v>
      </c>
      <c r="D154" s="2" t="n">
        <v>4</v>
      </c>
      <c r="E154" s="2" t="n">
        <v>5</v>
      </c>
      <c r="F154" s="2" t="n">
        <v>0</v>
      </c>
      <c r="G154" s="2" t="n">
        <v>109.7</v>
      </c>
    </row>
    <row r="155">
      <c r="A155" s="7" t="n">
        <v>46284.58365538195</v>
      </c>
      <c r="B155" s="7" t="n">
        <v>46284.57986111111</v>
      </c>
      <c r="C155" s="2" t="n">
        <v>440</v>
      </c>
      <c r="D155" s="2" t="n">
        <v>5</v>
      </c>
      <c r="E155" s="2" t="n">
        <v>4</v>
      </c>
      <c r="F155" s="2" t="n">
        <v>0</v>
      </c>
      <c r="G155" s="2" t="n">
        <v>101.8</v>
      </c>
    </row>
    <row r="156">
      <c r="A156" s="7" t="n">
        <v>46284.38530752315</v>
      </c>
      <c r="B156" s="7" t="n">
        <v>46284.37847222222</v>
      </c>
      <c r="C156" s="2" t="n">
        <v>440</v>
      </c>
      <c r="D156" s="2" t="n">
        <v>2</v>
      </c>
      <c r="E156" s="2" t="n">
        <v>4</v>
      </c>
      <c r="F156" s="2" t="n">
        <v>0</v>
      </c>
      <c r="G156" s="2" t="n">
        <v>130.8</v>
      </c>
    </row>
    <row r="157">
      <c r="A157" s="7" t="n">
        <v>46284.27664920139</v>
      </c>
      <c r="B157" s="7" t="n">
        <v>46284.27083333334</v>
      </c>
      <c r="C157" s="2" t="n">
        <v>440</v>
      </c>
      <c r="D157" s="2" t="n">
        <v>4</v>
      </c>
      <c r="E157" s="2" t="n">
        <v>1</v>
      </c>
      <c r="F157" s="2" t="n">
        <v>0</v>
      </c>
      <c r="G157" s="2" t="n">
        <v>127.8</v>
      </c>
    </row>
    <row r="158">
      <c r="A158" s="7" t="n">
        <v>46284.15392047453</v>
      </c>
      <c r="B158" s="7" t="n">
        <v>46284.14930555555</v>
      </c>
      <c r="C158" s="2" t="n">
        <v>440</v>
      </c>
      <c r="D158" s="2" t="n">
        <v>3</v>
      </c>
      <c r="E158" s="2" t="n">
        <v>2</v>
      </c>
      <c r="F158" s="2" t="n">
        <v>0</v>
      </c>
      <c r="G158" s="2" t="n">
        <v>135.6</v>
      </c>
    </row>
    <row r="159">
      <c r="A159" s="7" t="n">
        <v>46284.02123533565</v>
      </c>
      <c r="B159" s="7" t="n">
        <v>46284.01736111111</v>
      </c>
      <c r="C159" s="2" t="n">
        <v>440</v>
      </c>
      <c r="D159" s="2" t="n">
        <v>2</v>
      </c>
      <c r="E159" s="2" t="n">
        <v>1</v>
      </c>
      <c r="F159" s="2" t="n">
        <v>0</v>
      </c>
      <c r="G159" s="2" t="n">
        <v>102.8</v>
      </c>
    </row>
    <row r="160">
      <c r="A160" s="7" t="n">
        <v>46283.99753837963</v>
      </c>
      <c r="B160" s="7" t="n">
        <v>46283.99305555555</v>
      </c>
      <c r="C160" s="2" t="n">
        <v>440</v>
      </c>
      <c r="D160" s="2" t="n">
        <v>1</v>
      </c>
      <c r="E160" s="2" t="n">
        <v>3</v>
      </c>
      <c r="F160" s="2" t="n">
        <v>0</v>
      </c>
      <c r="G160" s="2" t="n">
        <v>129.8</v>
      </c>
    </row>
    <row r="161">
      <c r="A161" s="7" t="n">
        <v>46283.80859936342</v>
      </c>
      <c r="B161" s="7" t="n">
        <v>46283.80208333334</v>
      </c>
      <c r="C161" s="2" t="n">
        <v>440</v>
      </c>
      <c r="D161" s="2" t="n">
        <v>0</v>
      </c>
      <c r="E161" s="2" t="n">
        <v>1</v>
      </c>
      <c r="F161" s="2" t="n">
        <v>0</v>
      </c>
      <c r="G161" s="2" t="n">
        <v>127.7</v>
      </c>
    </row>
    <row r="162">
      <c r="A162" s="7" t="n">
        <v>46283.78916202546</v>
      </c>
      <c r="B162" s="7" t="n">
        <v>46283.78472222222</v>
      </c>
      <c r="C162" s="2" t="n">
        <v>440</v>
      </c>
      <c r="D162" s="2" t="n">
        <v>4</v>
      </c>
      <c r="E162" s="2" t="n">
        <v>3</v>
      </c>
      <c r="F162" s="2" t="n">
        <v>0</v>
      </c>
      <c r="G162" s="2" t="n">
        <v>119.1</v>
      </c>
    </row>
    <row r="163">
      <c r="A163" s="7" t="n">
        <v>46283.58323265046</v>
      </c>
      <c r="B163" s="7" t="n">
        <v>46283.57638888889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126.7</v>
      </c>
    </row>
    <row r="164">
      <c r="A164" s="7" t="n">
        <v>46283.57323743056</v>
      </c>
      <c r="B164" s="7" t="n">
        <v>46283.56944444445</v>
      </c>
      <c r="C164" s="2" t="n">
        <v>440</v>
      </c>
      <c r="D164" s="2" t="n">
        <v>4</v>
      </c>
      <c r="E164" s="2" t="n">
        <v>6</v>
      </c>
      <c r="F164" s="2" t="n">
        <v>0</v>
      </c>
      <c r="G164" s="2" t="n">
        <v>94.3</v>
      </c>
    </row>
    <row r="165">
      <c r="A165" s="7" t="n">
        <v>46283.45181144676</v>
      </c>
      <c r="B165" s="7" t="n">
        <v>46283.44791666666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132.3</v>
      </c>
    </row>
    <row r="166">
      <c r="A166" s="7" t="n">
        <v>46283.44134394676</v>
      </c>
      <c r="B166" s="7" t="n">
        <v>46283.4375</v>
      </c>
      <c r="C166" s="2" t="n">
        <v>440</v>
      </c>
      <c r="D166" s="2" t="n">
        <v>4</v>
      </c>
      <c r="E166" s="2" t="n">
        <v>2</v>
      </c>
      <c r="F166" s="2" t="n">
        <v>0</v>
      </c>
      <c r="G166" s="2" t="n">
        <v>373.5</v>
      </c>
    </row>
    <row r="167">
      <c r="A167" s="7" t="n">
        <v>46283.35273409722</v>
      </c>
      <c r="B167" s="7" t="n">
        <v>46283.34722222222</v>
      </c>
      <c r="C167" s="2" t="n">
        <v>440</v>
      </c>
      <c r="D167" s="2" t="n">
        <v>2</v>
      </c>
      <c r="E167" s="2" t="n">
        <v>1</v>
      </c>
      <c r="F167" s="2" t="n">
        <v>0</v>
      </c>
      <c r="G167" s="2" t="n">
        <v>132.3</v>
      </c>
    </row>
    <row r="168">
      <c r="A168" s="7" t="n">
        <v>46283.26014016203</v>
      </c>
      <c r="B168" s="7" t="n">
        <v>46283.25347222222</v>
      </c>
      <c r="C168" s="2" t="n">
        <v>440</v>
      </c>
      <c r="D168" s="2" t="n">
        <v>2</v>
      </c>
      <c r="E168" s="2" t="n">
        <v>0</v>
      </c>
      <c r="F168" s="2" t="n">
        <v>0</v>
      </c>
      <c r="G168" s="2" t="n">
        <v>129.5</v>
      </c>
    </row>
    <row r="169">
      <c r="A169" s="7" t="n">
        <v>46283.09637409722</v>
      </c>
      <c r="B169" s="7" t="n">
        <v>46283.09027777778</v>
      </c>
      <c r="C169" s="2" t="n">
        <v>440</v>
      </c>
      <c r="D169" s="2" t="n">
        <v>6</v>
      </c>
      <c r="E169" s="2" t="n">
        <v>8</v>
      </c>
      <c r="F169" s="2" t="n">
        <v>0</v>
      </c>
      <c r="G169" s="2" t="n">
        <v>131.2</v>
      </c>
    </row>
    <row r="170">
      <c r="A170" s="7" t="n">
        <v>46282.89824439815</v>
      </c>
      <c r="B170" s="7" t="n">
        <v>46282.89236111111</v>
      </c>
      <c r="C170" s="2" t="n">
        <v>440</v>
      </c>
      <c r="D170" s="2" t="n">
        <v>3</v>
      </c>
      <c r="E170" s="2" t="n">
        <v>1</v>
      </c>
      <c r="F170" s="2" t="n">
        <v>0</v>
      </c>
      <c r="G170" s="2" t="n">
        <v>137</v>
      </c>
    </row>
    <row r="171">
      <c r="A171" s="7" t="n">
        <v>46282.65711792824</v>
      </c>
      <c r="B171" s="7" t="n">
        <v>46282.65277777778</v>
      </c>
      <c r="C171" s="2" t="n">
        <v>440</v>
      </c>
      <c r="D171" s="2" t="n">
        <v>2</v>
      </c>
      <c r="E171" s="2" t="n">
        <v>2</v>
      </c>
      <c r="F171" s="2" t="n">
        <v>0</v>
      </c>
      <c r="G171" s="2" t="n">
        <v>126.6</v>
      </c>
    </row>
    <row r="172">
      <c r="A172" s="7" t="n">
        <v>46282.40350203704</v>
      </c>
      <c r="B172" s="7" t="n">
        <v>46282.39930555555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323.7</v>
      </c>
    </row>
    <row r="173">
      <c r="A173" s="7" t="n">
        <v>46282.39577758102</v>
      </c>
      <c r="B173" s="7" t="n">
        <v>46282.33333333334</v>
      </c>
      <c r="C173" s="2" t="n">
        <v>440</v>
      </c>
      <c r="D173" s="2" t="n">
        <v>0</v>
      </c>
      <c r="E173" s="2" t="n">
        <v>6</v>
      </c>
      <c r="F173" s="2" t="n">
        <v>0</v>
      </c>
      <c r="G173" s="2" t="n">
        <v>50.5</v>
      </c>
    </row>
    <row r="174">
      <c r="A174" s="7" t="n">
        <v>46282.29222982639</v>
      </c>
      <c r="B174" s="7" t="n">
        <v>46282.25</v>
      </c>
      <c r="C174" s="2" t="n">
        <v>440</v>
      </c>
      <c r="D174" s="2" t="n">
        <v>2</v>
      </c>
      <c r="E174" s="2" t="n">
        <v>1</v>
      </c>
      <c r="F174" s="2" t="n">
        <v>0</v>
      </c>
      <c r="G174" s="2" t="n">
        <v>66.2</v>
      </c>
    </row>
    <row r="175">
      <c r="A175" s="7" t="n">
        <v>46282.17576607639</v>
      </c>
      <c r="B175" s="7" t="n">
        <v>46282.125</v>
      </c>
      <c r="C175" s="2" t="n">
        <v>440</v>
      </c>
      <c r="D175" s="2" t="n">
        <v>6</v>
      </c>
      <c r="E175" s="2" t="n">
        <v>1</v>
      </c>
      <c r="F175" s="2" t="n">
        <v>0</v>
      </c>
      <c r="G175" s="2" t="n">
        <v>67</v>
      </c>
    </row>
    <row r="176">
      <c r="A176" s="7" t="n">
        <v>46282.04552453704</v>
      </c>
      <c r="B176" s="7" t="n">
        <v>46282</v>
      </c>
      <c r="C176" s="2" t="n">
        <v>440</v>
      </c>
      <c r="D176" s="2" t="n">
        <v>2</v>
      </c>
      <c r="E176" s="2" t="n">
        <v>4</v>
      </c>
      <c r="F176" s="2" t="n">
        <v>0</v>
      </c>
      <c r="G176" s="2" t="n">
        <v>52.9</v>
      </c>
    </row>
    <row r="177">
      <c r="A177" s="7" t="n">
        <v>46281.82298537037</v>
      </c>
      <c r="B177" s="7" t="n">
        <v>46281.75</v>
      </c>
      <c r="C177" s="2" t="n">
        <v>440</v>
      </c>
      <c r="D177" s="2" t="n">
        <v>2</v>
      </c>
      <c r="E177" s="2" t="n">
        <v>4</v>
      </c>
      <c r="F177" s="2" t="n">
        <v>0</v>
      </c>
      <c r="G177" s="2" t="n">
        <v>65.7</v>
      </c>
    </row>
    <row r="178">
      <c r="A178" s="7" t="n">
        <v>46281.58829054398</v>
      </c>
      <c r="B178" s="7" t="n">
        <v>46281.54166666666</v>
      </c>
      <c r="C178" s="2" t="n">
        <v>440</v>
      </c>
      <c r="D178" s="2" t="n">
        <v>7</v>
      </c>
      <c r="E178" s="2" t="n">
        <v>3</v>
      </c>
      <c r="F178" s="2" t="n">
        <v>0</v>
      </c>
      <c r="G178" s="2" t="n">
        <v>54.5</v>
      </c>
    </row>
    <row r="179">
      <c r="A179" s="7" t="n">
        <v>46281.35205523148</v>
      </c>
      <c r="B179" s="7" t="n">
        <v>46281.29166666666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66.90000000000001</v>
      </c>
    </row>
    <row r="180">
      <c r="A180" s="7" t="n">
        <v>46281.22963460648</v>
      </c>
      <c r="B180" s="7" t="n">
        <v>46281.16666666666</v>
      </c>
      <c r="C180" s="2" t="n">
        <v>442</v>
      </c>
      <c r="D180" s="2" t="n">
        <v>3</v>
      </c>
      <c r="E180" s="2" t="n">
        <v>2</v>
      </c>
      <c r="F180" s="2" t="n">
        <v>0</v>
      </c>
      <c r="G180" s="2" t="n">
        <v>61.9</v>
      </c>
    </row>
    <row r="181">
      <c r="A181" s="7" t="n">
        <v>46281.094529375</v>
      </c>
      <c r="B181" s="7" t="n">
        <v>46281.04166666666</v>
      </c>
      <c r="C181" s="2" t="n">
        <v>442</v>
      </c>
      <c r="D181" s="2" t="n">
        <v>6</v>
      </c>
      <c r="E181" s="2" t="n">
        <v>6</v>
      </c>
      <c r="F181" s="2" t="n">
        <v>0</v>
      </c>
      <c r="G181" s="2" t="n">
        <v>46.5</v>
      </c>
    </row>
    <row r="182">
      <c r="A182" s="7" t="n">
        <v>46280.9017994676</v>
      </c>
      <c r="B182" s="7" t="n">
        <v>46280.83333333334</v>
      </c>
      <c r="C182" s="2" t="n">
        <v>442</v>
      </c>
      <c r="D182" s="2" t="n">
        <v>2</v>
      </c>
      <c r="E182" s="2" t="n">
        <v>4</v>
      </c>
      <c r="F182" s="2" t="n">
        <v>0</v>
      </c>
      <c r="G182" s="2" t="n">
        <v>56.7</v>
      </c>
    </row>
    <row r="183">
      <c r="A183" s="7" t="n">
        <v>46280.66002480324</v>
      </c>
      <c r="B183" s="7" t="n">
        <v>46280.58333333334</v>
      </c>
      <c r="C183" s="2" t="n">
        <v>442</v>
      </c>
      <c r="D183" s="2" t="n">
        <v>2</v>
      </c>
      <c r="E183" s="2" t="n">
        <v>3</v>
      </c>
      <c r="F183" s="2" t="n">
        <v>0</v>
      </c>
      <c r="G183" s="2" t="n">
        <v>67.40000000000001</v>
      </c>
    </row>
    <row r="184">
      <c r="A184" s="7" t="n">
        <v>46280.4778358449</v>
      </c>
      <c r="B184" s="7" t="n">
        <v>46280.41666666666</v>
      </c>
      <c r="C184" s="2" t="n">
        <v>442</v>
      </c>
      <c r="D184" s="2" t="n">
        <v>1</v>
      </c>
      <c r="E184" s="2" t="n">
        <v>0</v>
      </c>
      <c r="F184" s="2" t="n">
        <v>0</v>
      </c>
      <c r="G184" s="2" t="n">
        <v>61.2</v>
      </c>
    </row>
    <row r="185">
      <c r="A185" s="7" t="n">
        <v>46280.39795681713</v>
      </c>
      <c r="B185" s="7" t="n">
        <v>46280.33333333334</v>
      </c>
      <c r="C185" s="2" t="n">
        <v>442</v>
      </c>
      <c r="D185" s="2" t="n">
        <v>0</v>
      </c>
      <c r="E185" s="2" t="n">
        <v>1</v>
      </c>
      <c r="F185" s="2" t="n">
        <v>0</v>
      </c>
      <c r="G185" s="2" t="n">
        <v>66.90000000000001</v>
      </c>
    </row>
    <row r="186">
      <c r="A186" s="7" t="n">
        <v>46280.29983445602</v>
      </c>
      <c r="B186" s="7" t="n">
        <v>46280.25</v>
      </c>
      <c r="C186" s="2" t="n">
        <v>442</v>
      </c>
      <c r="D186" s="2" t="n">
        <v>1</v>
      </c>
      <c r="E186" s="2" t="n">
        <v>1</v>
      </c>
      <c r="F186" s="2" t="n">
        <v>0</v>
      </c>
      <c r="G186" s="2" t="n">
        <v>51.6</v>
      </c>
    </row>
    <row r="187">
      <c r="A187" s="7" t="n">
        <v>46280.14350143519</v>
      </c>
      <c r="B187" s="7" t="n">
        <v>46280.08333333334</v>
      </c>
      <c r="C187" s="2" t="n">
        <v>442</v>
      </c>
      <c r="D187" s="2" t="n">
        <v>3</v>
      </c>
      <c r="E187" s="2" t="n">
        <v>1</v>
      </c>
      <c r="F187" s="2" t="n">
        <v>0</v>
      </c>
      <c r="G187" s="2" t="n">
        <v>57.3</v>
      </c>
    </row>
    <row r="188">
      <c r="A188" s="7" t="n">
        <v>46279.92418226852</v>
      </c>
      <c r="B188" s="7" t="n">
        <v>46279.875</v>
      </c>
      <c r="C188" s="2" t="n">
        <v>442</v>
      </c>
      <c r="D188" s="2" t="n">
        <v>6</v>
      </c>
      <c r="E188" s="2" t="n">
        <v>7</v>
      </c>
      <c r="F188" s="2" t="n">
        <v>0</v>
      </c>
      <c r="G188" s="2" t="n">
        <v>48.1</v>
      </c>
    </row>
    <row r="189">
      <c r="A189" s="7" t="n">
        <v>46279.59996445602</v>
      </c>
      <c r="B189" s="7" t="n">
        <v>46279.54166666666</v>
      </c>
      <c r="C189" s="2" t="n">
        <v>442</v>
      </c>
      <c r="D189" s="2" t="n">
        <v>2</v>
      </c>
      <c r="E189" s="2" t="n">
        <v>3</v>
      </c>
      <c r="F189" s="2" t="n">
        <v>0</v>
      </c>
      <c r="G189" s="2" t="n">
        <v>61</v>
      </c>
    </row>
    <row r="190">
      <c r="A190" s="7" t="n">
        <v>46279.38316741898</v>
      </c>
      <c r="B190" s="7" t="n">
        <v>46279.33333333334</v>
      </c>
      <c r="C190" s="2" t="n">
        <v>442</v>
      </c>
      <c r="D190" s="2" t="n">
        <v>2</v>
      </c>
      <c r="E190" s="2" t="n">
        <v>2</v>
      </c>
      <c r="F190" s="2" t="n">
        <v>0</v>
      </c>
      <c r="G190" s="2" t="n">
        <v>59.9</v>
      </c>
    </row>
    <row r="191">
      <c r="A191" s="7" t="n">
        <v>46279.26932584491</v>
      </c>
      <c r="B191" s="7" t="n">
        <v>46279.20833333334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61.1</v>
      </c>
    </row>
    <row r="192">
      <c r="A192" s="7" t="n">
        <v>46279.14665413195</v>
      </c>
      <c r="B192" s="7" t="n">
        <v>46279.08333333334</v>
      </c>
      <c r="C192" s="2" t="n">
        <v>442</v>
      </c>
      <c r="D192" s="2" t="n">
        <v>1</v>
      </c>
      <c r="E192" s="2" t="n">
        <v>0</v>
      </c>
      <c r="F192" s="2" t="n">
        <v>0</v>
      </c>
      <c r="G192" s="2" t="n">
        <v>55.1</v>
      </c>
    </row>
    <row r="193">
      <c r="A193" s="7" t="n">
        <v>46279.01733591435</v>
      </c>
      <c r="B193" s="7" t="n">
        <v>46278.95833333334</v>
      </c>
      <c r="C193" s="2" t="n">
        <v>442</v>
      </c>
      <c r="D193" s="2" t="n">
        <v>2</v>
      </c>
      <c r="E193" s="2" t="n">
        <v>4</v>
      </c>
      <c r="F193" s="2" t="n">
        <v>0</v>
      </c>
      <c r="G193" s="2" t="n">
        <v>59.7</v>
      </c>
    </row>
    <row r="194">
      <c r="A194" s="7" t="n">
        <v>46278.83725055555</v>
      </c>
      <c r="B194" s="7" t="n">
        <v>46278.79166666666</v>
      </c>
      <c r="C194" s="2" t="n">
        <v>442</v>
      </c>
      <c r="D194" s="2" t="n">
        <v>0</v>
      </c>
      <c r="E194" s="2" t="n">
        <v>3</v>
      </c>
      <c r="F194" s="2" t="n">
        <v>0</v>
      </c>
      <c r="G194" s="2" t="n">
        <v>65.40000000000001</v>
      </c>
    </row>
    <row r="195">
      <c r="A195" s="7" t="n">
        <v>46278.71111972223</v>
      </c>
      <c r="B195" s="7" t="n">
        <v>46278.66666666666</v>
      </c>
      <c r="C195" s="2" t="n">
        <v>442</v>
      </c>
      <c r="D195" s="2" t="n">
        <v>3</v>
      </c>
      <c r="E195" s="2" t="n">
        <v>1</v>
      </c>
      <c r="F195" s="2" t="n">
        <v>0</v>
      </c>
      <c r="G195" s="2" t="n">
        <v>63.6</v>
      </c>
    </row>
    <row r="196">
      <c r="A196" s="7" t="n">
        <v>46278.68053923611</v>
      </c>
      <c r="B196" s="7" t="n">
        <v>46278.625</v>
      </c>
      <c r="C196" s="2" t="n">
        <v>442</v>
      </c>
      <c r="D196" s="2" t="n">
        <v>9</v>
      </c>
      <c r="E196" s="2" t="n">
        <v>10</v>
      </c>
      <c r="F196" s="2" t="n">
        <v>0</v>
      </c>
      <c r="G196" s="2" t="n">
        <v>63.6</v>
      </c>
    </row>
    <row r="197">
      <c r="A197" s="7" t="n">
        <v>46278.07354997685</v>
      </c>
      <c r="B197" s="7" t="n">
        <v>46278</v>
      </c>
      <c r="C197" s="2" t="n">
        <v>442</v>
      </c>
      <c r="D197" s="2" t="n">
        <v>3</v>
      </c>
      <c r="E197" s="2" t="n">
        <v>1</v>
      </c>
      <c r="F197" s="2" t="n">
        <v>0</v>
      </c>
      <c r="G197" s="2" t="n">
        <v>50.2</v>
      </c>
    </row>
    <row r="198">
      <c r="A198" s="7" t="n">
        <v>46277.94390239583</v>
      </c>
      <c r="B198" s="7" t="n">
        <v>46277.875</v>
      </c>
      <c r="C198" s="2" t="n">
        <v>442</v>
      </c>
      <c r="D198" s="2" t="n">
        <v>190</v>
      </c>
      <c r="E198" s="2" t="n">
        <v>186</v>
      </c>
      <c r="F198" s="2" t="n">
        <v>0</v>
      </c>
      <c r="G19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118</v>
      </c>
      <c r="F6" s="10" t="n">
        <v>0.6440677966101694</v>
      </c>
      <c r="G6" s="4" t="n">
        <v>0.0005254237288135533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20</v>
      </c>
      <c r="C7" s="10" t="n">
        <v>0.5</v>
      </c>
      <c r="D7" s="4" t="n">
        <v>-0.01100000000000002</v>
      </c>
      <c r="E7" s="2" t="n">
        <v>7</v>
      </c>
      <c r="F7" s="10" t="n">
        <v>0.2857142857142857</v>
      </c>
      <c r="G7" s="4" t="n">
        <v>-0.02814285714285717</v>
      </c>
      <c r="H7" s="2" t="n">
        <v>11</v>
      </c>
      <c r="I7" s="10" t="n">
        <v>0.7272727272727273</v>
      </c>
      <c r="J7" s="4" t="n">
        <v>0.007181818181818198</v>
      </c>
      <c r="K7" s="2" t="n">
        <v>0</v>
      </c>
      <c r="L7" s="10" t="n"/>
      <c r="M7" s="4" t="n"/>
      <c r="N7" s="2" t="n">
        <v>1</v>
      </c>
      <c r="O7" s="10" t="n">
        <v>0</v>
      </c>
      <c r="P7" s="4" t="n">
        <v>-0.05100000000000005</v>
      </c>
      <c r="Q7" s="2" t="n">
        <v>0</v>
      </c>
      <c r="R7" s="10" t="n"/>
      <c r="S7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資金明細!R1292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MAX(資金明細!$R$2:$R$1292)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MIN(資金明細!$R$2:$R$1292)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MIN(資金明細!$X$2:$X$1292)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COUNTIFS(資金明細!$C$2:$C$1292,"進場",資金明細!$N$2:$N$1292,"已下單")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COUNTIFS(資金明細!$C$2:$C$1292,"進場",資金明細!$N$2:$N$1292,"資金不足略過")</f>
        <v/>
      </c>
    </row>
    <row r="11">
      <c r="D11" s="2" t="inlineStr">
        <is>
          <t>止盈筆數</t>
        </is>
      </c>
      <c r="E11" s="18">
        <f>COUNTIFS(資金明細!$C$2:$C$1292,"出場",資金明細!$N$2:$N$1292,"已下單",資金明細!$K$2:$K$1292,"止盈")</f>
        <v/>
      </c>
    </row>
    <row r="12">
      <c r="A12" s="2" t="inlineStr">
        <is>
          <t>每筆止損約虧本金</t>
        </is>
      </c>
      <c r="B12" s="4">
        <f>B5*B7*IFERROR(AVERAGE(交易明細!$AB$2:$AB$648),參數!B6)</f>
        <v/>
      </c>
      <c r="D12" s="2" t="inlineStr">
        <is>
          <t>止損筆數</t>
        </is>
      </c>
      <c r="E12" s="18">
        <f>COUNTIFS(資金明細!$C$2:$C$1292,"出場",資金明細!$N$2:$N$1292,"已下單",資金明細!$K$2:$K$1292,"止損")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IFERROR(E11/COUNTIFS(資金明細!$C$2:$C$1292,"出場",資金明細!$N$2:$N$1292,"已下單"),0)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MAX(資金明細!$U$2:$U$1292)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MAX(資金明細!$S$2:$S$1292)</f>
        <v/>
      </c>
    </row>
    <row r="16">
      <c r="D16" s="2" t="inlineStr">
        <is>
          <t>期末下單金額</t>
        </is>
      </c>
      <c r="E16" s="19">
        <f>B5*資金明細!V1292</f>
        <v/>
      </c>
    </row>
    <row r="17">
      <c r="D17" s="2" t="inlineStr">
        <is>
          <t>未平倉浮動損益（未計入）</t>
        </is>
      </c>
      <c r="E17" s="13">
        <f>IF(資金明細!N1270="已下單",資金明細!O1270*交易明細!L638,0)+IF(資金明細!N1289="已下單",資金明細!O1289*交易明細!L646,0)+IF(資金明細!N1291="已下單",資金明細!O1291*交易明細!L647,0)+IF(資金明細!N1292="已下單",資金明細!O1292*交易明細!L648,0)</f>
        <v/>
      </c>
    </row>
    <row r="18">
      <c r="D18" s="2" t="inlineStr">
        <is>
          <t>最大總曝險倍數</t>
        </is>
      </c>
      <c r="E18" s="19">
        <f>MAX(資金明細!$Y$2:$Y$1292)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IFERROR(INDEX(資金明細!$B$2:$B$1292,MATCH(1,資金明細!$Z$2:$Z$1292,0)),"未觸發")</f>
        <v/>
      </c>
    </row>
    <row r="21">
      <c r="D21" s="2" t="inlineStr">
        <is>
          <t>停止後略過筆數</t>
        </is>
      </c>
      <c r="E21" s="18">
        <f>COUNTIFS(資金明細!$C$2:$C$1292,"進場",資金明細!$N$2:$N$1292,"已停止")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29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n"/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n"/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n"/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n"/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  <row r="1217">
      <c r="A1217" s="2" t="n">
        <v>1215</v>
      </c>
      <c r="B1217" s="7" t="n">
        <v>46296.375</v>
      </c>
      <c r="C1217" s="2" t="inlineStr">
        <is>
          <t>進場</t>
        </is>
      </c>
      <c r="D1217" s="2" t="n">
        <v>610</v>
      </c>
      <c r="E1217" s="2" t="inlineStr">
        <is>
          <t>QNT_USDT_PERP</t>
        </is>
      </c>
      <c r="F1217" s="2" t="inlineStr">
        <is>
          <t>做多</t>
        </is>
      </c>
      <c r="G1217" s="20" t="n">
        <v>293.05</v>
      </c>
      <c r="H1217" s="20" t="n">
        <v>301.8415</v>
      </c>
      <c r="I1217" s="20" t="n">
        <v>278.3975</v>
      </c>
      <c r="J1217" s="20" t="n"/>
      <c r="K1217" s="2" t="n"/>
      <c r="L1217" s="5" t="n"/>
      <c r="M1217" s="19">
        <f>資金模擬!$B$5*V1216</f>
        <v/>
      </c>
      <c r="N1217" s="2">
        <f>IF(Z1216=1,"已停止",IF(T1216&gt;=M1217,"已下單","資金不足略過"))</f>
        <v/>
      </c>
      <c r="O1217" s="19">
        <f>IF(N1217="已下單",M1217*資金模擬!$B$7,0)</f>
        <v/>
      </c>
      <c r="P1217" s="4" t="n"/>
      <c r="Q1217" s="13" t="n">
        <v>0</v>
      </c>
      <c r="R1217" s="13">
        <f>R1216+Q1217</f>
        <v/>
      </c>
      <c r="S1217" s="19">
        <f>S1216+IF(N1217="已下單",M1217,0)</f>
        <v/>
      </c>
      <c r="T1217" s="19">
        <f>R1217-S1217</f>
        <v/>
      </c>
      <c r="U1217" s="2">
        <f>U1216+IF(N1217="已下單",1,0)</f>
        <v/>
      </c>
      <c r="V1217" s="19">
        <f>IF(資金模擬!$B$9=2,MAX(R1217,0),MAX(V1216,FLOOR(MAX(R1217,0),資金模擬!$B$6)))</f>
        <v/>
      </c>
      <c r="W1217" s="13">
        <f>MAX(W1216,R1217)</f>
        <v/>
      </c>
      <c r="X1217" s="4">
        <f>IF(W1217&gt;0,R1217/W1217-1,-1)</f>
        <v/>
      </c>
      <c r="Y1217" s="19">
        <f>IF(R1217&gt;0,S1217*資金模擬!$B$7/R1217,0)</f>
        <v/>
      </c>
      <c r="Z1217" s="2">
        <f>IF(OR(Z1216=1,R1217&lt;=資金模擬!$B$10),1,0)</f>
        <v/>
      </c>
    </row>
    <row r="1218">
      <c r="A1218" s="2" t="n">
        <v>1216</v>
      </c>
      <c r="B1218" s="7" t="n">
        <v>46296.45833333334</v>
      </c>
      <c r="C1218" s="2" t="inlineStr">
        <is>
          <t>出場</t>
        </is>
      </c>
      <c r="D1218" s="2" t="n">
        <v>602</v>
      </c>
      <c r="E1218" s="2" t="inlineStr">
        <is>
          <t>USELESS_USDT_PERP</t>
        </is>
      </c>
      <c r="F1218" s="2" t="inlineStr">
        <is>
          <t>做空</t>
        </is>
      </c>
      <c r="G1218" s="20" t="n">
        <v>0.24081</v>
      </c>
      <c r="H1218" s="20" t="n">
        <v>0.2335857</v>
      </c>
      <c r="I1218" s="20" t="n">
        <v>0.2528505</v>
      </c>
      <c r="J1218" s="20" t="n">
        <v>0.2335857</v>
      </c>
      <c r="K1218" s="2" t="inlineStr">
        <is>
          <t>止盈</t>
        </is>
      </c>
      <c r="L1218" s="5">
        <f>交易明細!K603</f>
        <v/>
      </c>
      <c r="M1218" s="19">
        <f>M1202</f>
        <v/>
      </c>
      <c r="N1218" s="2">
        <f>N1202</f>
        <v/>
      </c>
      <c r="O1218" s="19">
        <f>O1202</f>
        <v/>
      </c>
      <c r="P1218" s="4">
        <f>交易明細!L603</f>
        <v/>
      </c>
      <c r="Q1218" s="13">
        <f>IF(N1218="已下單",O1218*P1218,0)</f>
        <v/>
      </c>
      <c r="R1218" s="13">
        <f>R1217+Q1218</f>
        <v/>
      </c>
      <c r="S1218" s="19">
        <f>S1217-IF(N1218="已下單",M1218,0)</f>
        <v/>
      </c>
      <c r="T1218" s="19">
        <f>R1218-S1218</f>
        <v/>
      </c>
      <c r="U1218" s="2">
        <f>U1217-IF(N1218="已下單",1,0)</f>
        <v/>
      </c>
      <c r="V1218" s="19">
        <f>IF(資金模擬!$B$9=2,MAX(R1218,0),MAX(V1217,FLOOR(MAX(R1218,0),資金模擬!$B$6)))</f>
        <v/>
      </c>
      <c r="W1218" s="13">
        <f>MAX(W1217,R1218)</f>
        <v/>
      </c>
      <c r="X1218" s="4">
        <f>IF(W1218&gt;0,R1218/W1218-1,-1)</f>
        <v/>
      </c>
      <c r="Y1218" s="19">
        <f>IF(R1218&gt;0,S1218*資金模擬!$B$7/R1218,0)</f>
        <v/>
      </c>
      <c r="Z1218" s="2">
        <f>IF(OR(Z1217=1,R1218&lt;=資金模擬!$B$10),1,0)</f>
        <v/>
      </c>
    </row>
    <row r="1219">
      <c r="A1219" s="2" t="n">
        <v>1217</v>
      </c>
      <c r="B1219" s="7" t="n">
        <v>46296.5</v>
      </c>
      <c r="C1219" s="2" t="inlineStr">
        <is>
          <t>出場</t>
        </is>
      </c>
      <c r="D1219" s="2" t="n">
        <v>610</v>
      </c>
      <c r="E1219" s="2" t="inlineStr">
        <is>
          <t>QNT_USDT_PERP</t>
        </is>
      </c>
      <c r="F1219" s="2" t="inlineStr">
        <is>
          <t>做多</t>
        </is>
      </c>
      <c r="G1219" s="20" t="n">
        <v>293.05</v>
      </c>
      <c r="H1219" s="20" t="n">
        <v>301.8415</v>
      </c>
      <c r="I1219" s="20" t="n">
        <v>278.3975</v>
      </c>
      <c r="J1219" s="20" t="n">
        <v>301.8415</v>
      </c>
      <c r="K1219" s="2" t="inlineStr">
        <is>
          <t>止盈</t>
        </is>
      </c>
      <c r="L1219" s="5">
        <f>交易明細!K611</f>
        <v/>
      </c>
      <c r="M1219" s="19">
        <f>M1217</f>
        <v/>
      </c>
      <c r="N1219" s="2">
        <f>N1217</f>
        <v/>
      </c>
      <c r="O1219" s="19">
        <f>O1217</f>
        <v/>
      </c>
      <c r="P1219" s="4">
        <f>交易明細!L611</f>
        <v/>
      </c>
      <c r="Q1219" s="13">
        <f>IF(N1219="已下單",O1219*P1219,0)</f>
        <v/>
      </c>
      <c r="R1219" s="13">
        <f>R1218+Q1219</f>
        <v/>
      </c>
      <c r="S1219" s="19">
        <f>S1218-IF(N1219="已下單",M1219,0)</f>
        <v/>
      </c>
      <c r="T1219" s="19">
        <f>R1219-S1219</f>
        <v/>
      </c>
      <c r="U1219" s="2">
        <f>U1218-IF(N1219="已下單",1,0)</f>
        <v/>
      </c>
      <c r="V1219" s="19">
        <f>IF(資金模擬!$B$9=2,MAX(R1219,0),MAX(V1218,FLOOR(MAX(R1219,0),資金模擬!$B$6)))</f>
        <v/>
      </c>
      <c r="W1219" s="13">
        <f>MAX(W1218,R1219)</f>
        <v/>
      </c>
      <c r="X1219" s="4">
        <f>IF(W1219&gt;0,R1219/W1219-1,-1)</f>
        <v/>
      </c>
      <c r="Y1219" s="19">
        <f>IF(R1219&gt;0,S1219*資金模擬!$B$7/R1219,0)</f>
        <v/>
      </c>
      <c r="Z1219" s="2">
        <f>IF(OR(Z1218=1,R1219&lt;=資金模擬!$B$10),1,0)</f>
        <v/>
      </c>
    </row>
    <row r="1220">
      <c r="A1220" s="2" t="n">
        <v>1218</v>
      </c>
      <c r="B1220" s="7" t="n">
        <v>46296.5</v>
      </c>
      <c r="C1220" s="2" t="inlineStr">
        <is>
          <t>進場</t>
        </is>
      </c>
      <c r="D1220" s="2" t="n">
        <v>611</v>
      </c>
      <c r="E1220" s="2" t="inlineStr">
        <is>
          <t>GRASS_USDT_PERP</t>
        </is>
      </c>
      <c r="F1220" s="2" t="inlineStr">
        <is>
          <t>做多</t>
        </is>
      </c>
      <c r="G1220" s="20" t="n">
        <v>0.7151999999999999</v>
      </c>
      <c r="H1220" s="20" t="n">
        <v>0.736656</v>
      </c>
      <c r="I1220" s="20" t="n">
        <v>0.6794399999999999</v>
      </c>
      <c r="J1220" s="20" t="n"/>
      <c r="K1220" s="2" t="n"/>
      <c r="L1220" s="5" t="n"/>
      <c r="M1220" s="19">
        <f>資金模擬!$B$5*V1219</f>
        <v/>
      </c>
      <c r="N1220" s="2">
        <f>IF(Z1219=1,"已停止",IF(T1219&gt;=M1220,"已下單","資金不足略過"))</f>
        <v/>
      </c>
      <c r="O1220" s="19">
        <f>IF(N1220="已下單",M1220*資金模擬!$B$7,0)</f>
        <v/>
      </c>
      <c r="P1220" s="4" t="n"/>
      <c r="Q1220" s="13" t="n">
        <v>0</v>
      </c>
      <c r="R1220" s="13">
        <f>R1219+Q1220</f>
        <v/>
      </c>
      <c r="S1220" s="19">
        <f>S1219+IF(N1220="已下單",M1220,0)</f>
        <v/>
      </c>
      <c r="T1220" s="19">
        <f>R1220-S1220</f>
        <v/>
      </c>
      <c r="U1220" s="2">
        <f>U1219+IF(N1220="已下單",1,0)</f>
        <v/>
      </c>
      <c r="V1220" s="19">
        <f>IF(資金模擬!$B$9=2,MAX(R1220,0),MAX(V1219,FLOOR(MAX(R1220,0),資金模擬!$B$6)))</f>
        <v/>
      </c>
      <c r="W1220" s="13">
        <f>MAX(W1219,R1220)</f>
        <v/>
      </c>
      <c r="X1220" s="4">
        <f>IF(W1220&gt;0,R1220/W1220-1,-1)</f>
        <v/>
      </c>
      <c r="Y1220" s="19">
        <f>IF(R1220&gt;0,S1220*資金模擬!$B$7/R1220,0)</f>
        <v/>
      </c>
      <c r="Z1220" s="2">
        <f>IF(OR(Z1219=1,R1220&lt;=資金模擬!$B$10),1,0)</f>
        <v/>
      </c>
    </row>
    <row r="1221">
      <c r="A1221" s="2" t="n">
        <v>1219</v>
      </c>
      <c r="B1221" s="7" t="n">
        <v>46296.54166666666</v>
      </c>
      <c r="C1221" s="2" t="inlineStr">
        <is>
          <t>出場</t>
        </is>
      </c>
      <c r="D1221" s="2" t="n">
        <v>607</v>
      </c>
      <c r="E1221" s="2" t="inlineStr">
        <is>
          <t>MARSCOIN_USDT_PERP</t>
        </is>
      </c>
      <c r="F1221" s="2" t="inlineStr">
        <is>
          <t>做空</t>
        </is>
      </c>
      <c r="G1221" s="20" t="n">
        <v>0.13691</v>
      </c>
      <c r="H1221" s="20" t="n">
        <v>0.1328027</v>
      </c>
      <c r="I1221" s="20" t="n">
        <v>0.1437555</v>
      </c>
      <c r="J1221" s="20" t="n">
        <v>0.1437555</v>
      </c>
      <c r="K1221" s="2" t="inlineStr">
        <is>
          <t>止損</t>
        </is>
      </c>
      <c r="L1221" s="5">
        <f>交易明細!K608</f>
        <v/>
      </c>
      <c r="M1221" s="19">
        <f>M1211</f>
        <v/>
      </c>
      <c r="N1221" s="2">
        <f>N1211</f>
        <v/>
      </c>
      <c r="O1221" s="19">
        <f>O1211</f>
        <v/>
      </c>
      <c r="P1221" s="4">
        <f>交易明細!L608</f>
        <v/>
      </c>
      <c r="Q1221" s="13">
        <f>IF(N1221="已下單",O1221*P1221,0)</f>
        <v/>
      </c>
      <c r="R1221" s="13">
        <f>R1220+Q1221</f>
        <v/>
      </c>
      <c r="S1221" s="19">
        <f>S1220-IF(N1221="已下單",M1221,0)</f>
        <v/>
      </c>
      <c r="T1221" s="19">
        <f>R1221-S1221</f>
        <v/>
      </c>
      <c r="U1221" s="2">
        <f>U1220-IF(N1221="已下單",1,0)</f>
        <v/>
      </c>
      <c r="V1221" s="19">
        <f>IF(資金模擬!$B$9=2,MAX(R1221,0),MAX(V1220,FLOOR(MAX(R1221,0),資金模擬!$B$6)))</f>
        <v/>
      </c>
      <c r="W1221" s="13">
        <f>MAX(W1220,R1221)</f>
        <v/>
      </c>
      <c r="X1221" s="4">
        <f>IF(W1221&gt;0,R1221/W1221-1,-1)</f>
        <v/>
      </c>
      <c r="Y1221" s="19">
        <f>IF(R1221&gt;0,S1221*資金模擬!$B$7/R1221,0)</f>
        <v/>
      </c>
      <c r="Z1221" s="2">
        <f>IF(OR(Z1220=1,R1221&lt;=資金模擬!$B$10),1,0)</f>
        <v/>
      </c>
    </row>
    <row r="1222">
      <c r="A1222" s="2" t="n">
        <v>1220</v>
      </c>
      <c r="B1222" s="7" t="n">
        <v>46296.54166666666</v>
      </c>
      <c r="C1222" s="2" t="inlineStr">
        <is>
          <t>出場</t>
        </is>
      </c>
      <c r="D1222" s="2" t="n">
        <v>609</v>
      </c>
      <c r="E1222" s="2" t="inlineStr">
        <is>
          <t>ENA_USDT_PERP</t>
        </is>
      </c>
      <c r="F1222" s="2" t="inlineStr">
        <is>
          <t>做多</t>
        </is>
      </c>
      <c r="G1222" s="20" t="n">
        <v>0.2673</v>
      </c>
      <c r="H1222" s="20" t="n">
        <v>0.275319</v>
      </c>
      <c r="I1222" s="20" t="n">
        <v>0.253935</v>
      </c>
      <c r="J1222" s="20" t="n">
        <v>0.275319</v>
      </c>
      <c r="K1222" s="2" t="inlineStr">
        <is>
          <t>止盈</t>
        </is>
      </c>
      <c r="L1222" s="5">
        <f>交易明細!K610</f>
        <v/>
      </c>
      <c r="M1222" s="19">
        <f>M1216</f>
        <v/>
      </c>
      <c r="N1222" s="2">
        <f>N1216</f>
        <v/>
      </c>
      <c r="O1222" s="19">
        <f>O1216</f>
        <v/>
      </c>
      <c r="P1222" s="4">
        <f>交易明細!L610</f>
        <v/>
      </c>
      <c r="Q1222" s="13">
        <f>IF(N1222="已下單",O1222*P1222,0)</f>
        <v/>
      </c>
      <c r="R1222" s="13">
        <f>R1221+Q1222</f>
        <v/>
      </c>
      <c r="S1222" s="19">
        <f>S1221-IF(N1222="已下單",M1222,0)</f>
        <v/>
      </c>
      <c r="T1222" s="19">
        <f>R1222-S1222</f>
        <v/>
      </c>
      <c r="U1222" s="2">
        <f>U1221-IF(N1222="已下單",1,0)</f>
        <v/>
      </c>
      <c r="V1222" s="19">
        <f>IF(資金模擬!$B$9=2,MAX(R1222,0),MAX(V1221,FLOOR(MAX(R1222,0),資金模擬!$B$6)))</f>
        <v/>
      </c>
      <c r="W1222" s="13">
        <f>MAX(W1221,R1222)</f>
        <v/>
      </c>
      <c r="X1222" s="4">
        <f>IF(W1222&gt;0,R1222/W1222-1,-1)</f>
        <v/>
      </c>
      <c r="Y1222" s="19">
        <f>IF(R1222&gt;0,S1222*資金模擬!$B$7/R1222,0)</f>
        <v/>
      </c>
      <c r="Z1222" s="2">
        <f>IF(OR(Z1221=1,R1222&lt;=資金模擬!$B$10),1,0)</f>
        <v/>
      </c>
    </row>
    <row r="1223">
      <c r="A1223" s="2" t="n">
        <v>1221</v>
      </c>
      <c r="B1223" s="7" t="n">
        <v>46296.625</v>
      </c>
      <c r="C1223" s="2" t="inlineStr">
        <is>
          <t>進場</t>
        </is>
      </c>
      <c r="D1223" s="2" t="n">
        <v>612</v>
      </c>
      <c r="E1223" s="2" t="inlineStr">
        <is>
          <t>QNT_USDT_PERP</t>
        </is>
      </c>
      <c r="F1223" s="2" t="inlineStr">
        <is>
          <t>做多</t>
        </is>
      </c>
      <c r="G1223" s="20" t="n">
        <v>295.9</v>
      </c>
      <c r="H1223" s="20" t="n">
        <v>304.777</v>
      </c>
      <c r="I1223" s="20" t="n">
        <v>281.105</v>
      </c>
      <c r="J1223" s="20" t="n"/>
      <c r="K1223" s="2" t="n"/>
      <c r="L1223" s="5" t="n"/>
      <c r="M1223" s="19">
        <f>資金模擬!$B$5*V1222</f>
        <v/>
      </c>
      <c r="N1223" s="2">
        <f>IF(Z1222=1,"已停止",IF(T1222&gt;=M1223,"已下單","資金不足略過"))</f>
        <v/>
      </c>
      <c r="O1223" s="19">
        <f>IF(N1223="已下單",M1223*資金模擬!$B$7,0)</f>
        <v/>
      </c>
      <c r="P1223" s="4" t="n"/>
      <c r="Q1223" s="13" t="n">
        <v>0</v>
      </c>
      <c r="R1223" s="13">
        <f>R1222+Q1223</f>
        <v/>
      </c>
      <c r="S1223" s="19">
        <f>S1222+IF(N1223="已下單",M1223,0)</f>
        <v/>
      </c>
      <c r="T1223" s="19">
        <f>R1223-S1223</f>
        <v/>
      </c>
      <c r="U1223" s="2">
        <f>U1222+IF(N1223="已下單",1,0)</f>
        <v/>
      </c>
      <c r="V1223" s="19">
        <f>IF(資金模擬!$B$9=2,MAX(R1223,0),MAX(V1222,FLOOR(MAX(R1223,0),資金模擬!$B$6)))</f>
        <v/>
      </c>
      <c r="W1223" s="13">
        <f>MAX(W1222,R1223)</f>
        <v/>
      </c>
      <c r="X1223" s="4">
        <f>IF(W1223&gt;0,R1223/W1223-1,-1)</f>
        <v/>
      </c>
      <c r="Y1223" s="19">
        <f>IF(R1223&gt;0,S1223*資金模擬!$B$7/R1223,0)</f>
        <v/>
      </c>
      <c r="Z1223" s="2">
        <f>IF(OR(Z1222=1,R1223&lt;=資金模擬!$B$10),1,0)</f>
        <v/>
      </c>
    </row>
    <row r="1224">
      <c r="A1224" s="2" t="n">
        <v>1222</v>
      </c>
      <c r="B1224" s="7" t="n">
        <v>46296.66666666666</v>
      </c>
      <c r="C1224" s="2" t="inlineStr">
        <is>
          <t>進場</t>
        </is>
      </c>
      <c r="D1224" s="2" t="n">
        <v>613</v>
      </c>
      <c r="E1224" s="2" t="inlineStr">
        <is>
          <t>PENGU_USDT_PERP</t>
        </is>
      </c>
      <c r="F1224" s="2" t="inlineStr">
        <is>
          <t>做空</t>
        </is>
      </c>
      <c r="G1224" s="20" t="n">
        <v>0.009639</v>
      </c>
      <c r="H1224" s="20" t="n">
        <v>0.00934983</v>
      </c>
      <c r="I1224" s="20" t="n">
        <v>0.01012095</v>
      </c>
      <c r="J1224" s="20" t="n"/>
      <c r="K1224" s="2" t="n"/>
      <c r="L1224" s="5" t="n"/>
      <c r="M1224" s="19">
        <f>資金模擬!$B$5*V1223</f>
        <v/>
      </c>
      <c r="N1224" s="2">
        <f>IF(Z1223=1,"已停止",IF(T1223&gt;=M1224,"已下單","資金不足略過"))</f>
        <v/>
      </c>
      <c r="O1224" s="19">
        <f>IF(N1224="已下單",M1224*資金模擬!$B$7,0)</f>
        <v/>
      </c>
      <c r="P1224" s="4" t="n"/>
      <c r="Q1224" s="13" t="n">
        <v>0</v>
      </c>
      <c r="R1224" s="13">
        <f>R1223+Q1224</f>
        <v/>
      </c>
      <c r="S1224" s="19">
        <f>S1223+IF(N1224="已下單",M1224,0)</f>
        <v/>
      </c>
      <c r="T1224" s="19">
        <f>R1224-S1224</f>
        <v/>
      </c>
      <c r="U1224" s="2">
        <f>U1223+IF(N1224="已下單",1,0)</f>
        <v/>
      </c>
      <c r="V1224" s="19">
        <f>IF(資金模擬!$B$9=2,MAX(R1224,0),MAX(V1223,FLOOR(MAX(R1224,0),資金模擬!$B$6)))</f>
        <v/>
      </c>
      <c r="W1224" s="13">
        <f>MAX(W1223,R1224)</f>
        <v/>
      </c>
      <c r="X1224" s="4">
        <f>IF(W1224&gt;0,R1224/W1224-1,-1)</f>
        <v/>
      </c>
      <c r="Y1224" s="19">
        <f>IF(R1224&gt;0,S1224*資金模擬!$B$7/R1224,0)</f>
        <v/>
      </c>
      <c r="Z1224" s="2">
        <f>IF(OR(Z1223=1,R1224&lt;=資金模擬!$B$10),1,0)</f>
        <v/>
      </c>
    </row>
    <row r="1225">
      <c r="A1225" s="2" t="n">
        <v>1223</v>
      </c>
      <c r="B1225" s="7" t="n">
        <v>46296.66666666666</v>
      </c>
      <c r="C1225" s="2" t="inlineStr">
        <is>
          <t>進場</t>
        </is>
      </c>
      <c r="D1225" s="2" t="n">
        <v>614</v>
      </c>
      <c r="E1225" s="2" t="inlineStr">
        <is>
          <t>TRUMP_USDT_PERP</t>
        </is>
      </c>
      <c r="F1225" s="2" t="inlineStr">
        <is>
          <t>做空</t>
        </is>
      </c>
      <c r="G1225" s="20" t="n">
        <v>2.048</v>
      </c>
      <c r="H1225" s="20" t="n">
        <v>1.98656</v>
      </c>
      <c r="I1225" s="20" t="n">
        <v>2.1504</v>
      </c>
      <c r="J1225" s="20" t="n"/>
      <c r="K1225" s="2" t="n"/>
      <c r="L1225" s="5" t="n"/>
      <c r="M1225" s="19">
        <f>資金模擬!$B$5*V1224</f>
        <v/>
      </c>
      <c r="N1225" s="2">
        <f>IF(Z1224=1,"已停止",IF(T1224&gt;=M1225,"已下單","資金不足略過"))</f>
        <v/>
      </c>
      <c r="O1225" s="19">
        <f>IF(N1225="已下單",M1225*資金模擬!$B$7,0)</f>
        <v/>
      </c>
      <c r="P1225" s="4" t="n"/>
      <c r="Q1225" s="13" t="n">
        <v>0</v>
      </c>
      <c r="R1225" s="13">
        <f>R1224+Q1225</f>
        <v/>
      </c>
      <c r="S1225" s="19">
        <f>S1224+IF(N1225="已下單",M1225,0)</f>
        <v/>
      </c>
      <c r="T1225" s="19">
        <f>R1225-S1225</f>
        <v/>
      </c>
      <c r="U1225" s="2">
        <f>U1224+IF(N1225="已下單",1,0)</f>
        <v/>
      </c>
      <c r="V1225" s="19">
        <f>IF(資金模擬!$B$9=2,MAX(R1225,0),MAX(V1224,FLOOR(MAX(R1225,0),資金模擬!$B$6)))</f>
        <v/>
      </c>
      <c r="W1225" s="13">
        <f>MAX(W1224,R1225)</f>
        <v/>
      </c>
      <c r="X1225" s="4">
        <f>IF(W1225&gt;0,R1225/W1225-1,-1)</f>
        <v/>
      </c>
      <c r="Y1225" s="19">
        <f>IF(R1225&gt;0,S1225*資金模擬!$B$7/R1225,0)</f>
        <v/>
      </c>
      <c r="Z1225" s="2">
        <f>IF(OR(Z1224=1,R1225&lt;=資金模擬!$B$10),1,0)</f>
        <v/>
      </c>
    </row>
    <row r="1226">
      <c r="A1226" s="2" t="n">
        <v>1224</v>
      </c>
      <c r="B1226" s="7" t="n">
        <v>46296.66666666666</v>
      </c>
      <c r="C1226" s="2" t="inlineStr">
        <is>
          <t>進場</t>
        </is>
      </c>
      <c r="D1226" s="2" t="n">
        <v>615</v>
      </c>
      <c r="E1226" s="2" t="inlineStr">
        <is>
          <t>USELESS_USDT_PERP</t>
        </is>
      </c>
      <c r="F1226" s="2" t="inlineStr">
        <is>
          <t>做空</t>
        </is>
      </c>
      <c r="G1226" s="20" t="n">
        <v>0.23537</v>
      </c>
      <c r="H1226" s="20" t="n">
        <v>0.2283089</v>
      </c>
      <c r="I1226" s="20" t="n">
        <v>0.2471385</v>
      </c>
      <c r="J1226" s="20" t="n"/>
      <c r="K1226" s="2" t="n"/>
      <c r="L1226" s="5" t="n"/>
      <c r="M1226" s="19">
        <f>資金模擬!$B$5*V1225</f>
        <v/>
      </c>
      <c r="N1226" s="2">
        <f>IF(Z1225=1,"已停止",IF(T1225&gt;=M1226,"已下單","資金不足略過"))</f>
        <v/>
      </c>
      <c r="O1226" s="19">
        <f>IF(N1226="已下單",M1226*資金模擬!$B$7,0)</f>
        <v/>
      </c>
      <c r="P1226" s="4" t="n"/>
      <c r="Q1226" s="13" t="n">
        <v>0</v>
      </c>
      <c r="R1226" s="13">
        <f>R1225+Q1226</f>
        <v/>
      </c>
      <c r="S1226" s="19">
        <f>S1225+IF(N1226="已下單",M1226,0)</f>
        <v/>
      </c>
      <c r="T1226" s="19">
        <f>R1226-S1226</f>
        <v/>
      </c>
      <c r="U1226" s="2">
        <f>U1225+IF(N1226="已下單",1,0)</f>
        <v/>
      </c>
      <c r="V1226" s="19">
        <f>IF(資金模擬!$B$9=2,MAX(R1226,0),MAX(V1225,FLOOR(MAX(R1226,0),資金模擬!$B$6)))</f>
        <v/>
      </c>
      <c r="W1226" s="13">
        <f>MAX(W1225,R1226)</f>
        <v/>
      </c>
      <c r="X1226" s="4">
        <f>IF(W1226&gt;0,R1226/W1226-1,-1)</f>
        <v/>
      </c>
      <c r="Y1226" s="19">
        <f>IF(R1226&gt;0,S1226*資金模擬!$B$7/R1226,0)</f>
        <v/>
      </c>
      <c r="Z1226" s="2">
        <f>IF(OR(Z1225=1,R1226&lt;=資金模擬!$B$10),1,0)</f>
        <v/>
      </c>
    </row>
    <row r="1227">
      <c r="A1227" s="2" t="n">
        <v>1225</v>
      </c>
      <c r="B1227" s="7" t="n">
        <v>46296.66666666666</v>
      </c>
      <c r="C1227" s="2" t="inlineStr">
        <is>
          <t>進場</t>
        </is>
      </c>
      <c r="D1227" s="2" t="n">
        <v>616</v>
      </c>
      <c r="E1227" s="2" t="inlineStr">
        <is>
          <t>ZRO_USDT_PERP</t>
        </is>
      </c>
      <c r="F1227" s="2" t="inlineStr">
        <is>
          <t>做空</t>
        </is>
      </c>
      <c r="G1227" s="20" t="n">
        <v>1.6874</v>
      </c>
      <c r="H1227" s="20" t="n">
        <v>1.636778</v>
      </c>
      <c r="I1227" s="20" t="n">
        <v>1.77177</v>
      </c>
      <c r="J1227" s="20" t="n"/>
      <c r="K1227" s="2" t="n"/>
      <c r="L1227" s="5" t="n"/>
      <c r="M1227" s="19">
        <f>資金模擬!$B$5*V1226</f>
        <v/>
      </c>
      <c r="N1227" s="2">
        <f>IF(Z1226=1,"已停止",IF(T1226&gt;=M1227,"已下單","資金不足略過"))</f>
        <v/>
      </c>
      <c r="O1227" s="19">
        <f>IF(N1227="已下單",M1227*資金模擬!$B$7,0)</f>
        <v/>
      </c>
      <c r="P1227" s="4" t="n"/>
      <c r="Q1227" s="13" t="n">
        <v>0</v>
      </c>
      <c r="R1227" s="13">
        <f>R1226+Q1227</f>
        <v/>
      </c>
      <c r="S1227" s="19">
        <f>S1226+IF(N1227="已下單",M1227,0)</f>
        <v/>
      </c>
      <c r="T1227" s="19">
        <f>R1227-S1227</f>
        <v/>
      </c>
      <c r="U1227" s="2">
        <f>U1226+IF(N1227="已下單",1,0)</f>
        <v/>
      </c>
      <c r="V1227" s="19">
        <f>IF(資金模擬!$B$9=2,MAX(R1227,0),MAX(V1226,FLOOR(MAX(R1227,0),資金模擬!$B$6)))</f>
        <v/>
      </c>
      <c r="W1227" s="13">
        <f>MAX(W1226,R1227)</f>
        <v/>
      </c>
      <c r="X1227" s="4">
        <f>IF(W1227&gt;0,R1227/W1227-1,-1)</f>
        <v/>
      </c>
      <c r="Y1227" s="19">
        <f>IF(R1227&gt;0,S1227*資金模擬!$B$7/R1227,0)</f>
        <v/>
      </c>
      <c r="Z1227" s="2">
        <f>IF(OR(Z1226=1,R1227&lt;=資金模擬!$B$10),1,0)</f>
        <v/>
      </c>
    </row>
    <row r="1228">
      <c r="A1228" s="2" t="n">
        <v>1226</v>
      </c>
      <c r="B1228" s="7" t="n">
        <v>46296.70833333334</v>
      </c>
      <c r="C1228" s="2" t="inlineStr">
        <is>
          <t>出場</t>
        </is>
      </c>
      <c r="D1228" s="2" t="n">
        <v>612</v>
      </c>
      <c r="E1228" s="2" t="inlineStr">
        <is>
          <t>QNT_USDT_PERP</t>
        </is>
      </c>
      <c r="F1228" s="2" t="inlineStr">
        <is>
          <t>做多</t>
        </is>
      </c>
      <c r="G1228" s="20" t="n">
        <v>295.9</v>
      </c>
      <c r="H1228" s="20" t="n">
        <v>304.777</v>
      </c>
      <c r="I1228" s="20" t="n">
        <v>281.105</v>
      </c>
      <c r="J1228" s="20" t="n">
        <v>304.777</v>
      </c>
      <c r="K1228" s="2" t="inlineStr">
        <is>
          <t>止盈</t>
        </is>
      </c>
      <c r="L1228" s="5">
        <f>交易明細!K613</f>
        <v/>
      </c>
      <c r="M1228" s="19">
        <f>M1223</f>
        <v/>
      </c>
      <c r="N1228" s="2">
        <f>N1223</f>
        <v/>
      </c>
      <c r="O1228" s="19">
        <f>O1223</f>
        <v/>
      </c>
      <c r="P1228" s="4">
        <f>交易明細!L613</f>
        <v/>
      </c>
      <c r="Q1228" s="13">
        <f>IF(N1228="已下單",O1228*P1228,0)</f>
        <v/>
      </c>
      <c r="R1228" s="13">
        <f>R1227+Q1228</f>
        <v/>
      </c>
      <c r="S1228" s="19">
        <f>S1227-IF(N1228="已下單",M1228,0)</f>
        <v/>
      </c>
      <c r="T1228" s="19">
        <f>R1228-S1228</f>
        <v/>
      </c>
      <c r="U1228" s="2">
        <f>U1227-IF(N1228="已下單",1,0)</f>
        <v/>
      </c>
      <c r="V1228" s="19">
        <f>IF(資金模擬!$B$9=2,MAX(R1228,0),MAX(V1227,FLOOR(MAX(R1228,0),資金模擬!$B$6)))</f>
        <v/>
      </c>
      <c r="W1228" s="13">
        <f>MAX(W1227,R1228)</f>
        <v/>
      </c>
      <c r="X1228" s="4">
        <f>IF(W1228&gt;0,R1228/W1228-1,-1)</f>
        <v/>
      </c>
      <c r="Y1228" s="19">
        <f>IF(R1228&gt;0,S1228*資金模擬!$B$7/R1228,0)</f>
        <v/>
      </c>
      <c r="Z1228" s="2">
        <f>IF(OR(Z1227=1,R1228&lt;=資金模擬!$B$10),1,0)</f>
        <v/>
      </c>
    </row>
    <row r="1229">
      <c r="A1229" s="2" t="n">
        <v>1227</v>
      </c>
      <c r="B1229" s="7" t="n">
        <v>46296.70833333334</v>
      </c>
      <c r="C1229" s="2" t="inlineStr">
        <is>
          <t>出場</t>
        </is>
      </c>
      <c r="D1229" s="2" t="n">
        <v>615</v>
      </c>
      <c r="E1229" s="2" t="inlineStr">
        <is>
          <t>USELESS_USDT_PERP</t>
        </is>
      </c>
      <c r="F1229" s="2" t="inlineStr">
        <is>
          <t>做空</t>
        </is>
      </c>
      <c r="G1229" s="20" t="n">
        <v>0.23537</v>
      </c>
      <c r="H1229" s="20" t="n">
        <v>0.2283089</v>
      </c>
      <c r="I1229" s="20" t="n">
        <v>0.2471385</v>
      </c>
      <c r="J1229" s="20" t="n">
        <v>0.2283089</v>
      </c>
      <c r="K1229" s="2" t="inlineStr">
        <is>
          <t>止盈</t>
        </is>
      </c>
      <c r="L1229" s="5">
        <f>交易明細!K616</f>
        <v/>
      </c>
      <c r="M1229" s="19">
        <f>M1226</f>
        <v/>
      </c>
      <c r="N1229" s="2">
        <f>N1226</f>
        <v/>
      </c>
      <c r="O1229" s="19">
        <f>O1226</f>
        <v/>
      </c>
      <c r="P1229" s="4">
        <f>交易明細!L616</f>
        <v/>
      </c>
      <c r="Q1229" s="13">
        <f>IF(N1229="已下單",O1229*P1229,0)</f>
        <v/>
      </c>
      <c r="R1229" s="13">
        <f>R1228+Q1229</f>
        <v/>
      </c>
      <c r="S1229" s="19">
        <f>S1228-IF(N1229="已下單",M1229,0)</f>
        <v/>
      </c>
      <c r="T1229" s="19">
        <f>R1229-S1229</f>
        <v/>
      </c>
      <c r="U1229" s="2">
        <f>U1228-IF(N1229="已下單",1,0)</f>
        <v/>
      </c>
      <c r="V1229" s="19">
        <f>IF(資金模擬!$B$9=2,MAX(R1229,0),MAX(V1228,FLOOR(MAX(R1229,0),資金模擬!$B$6)))</f>
        <v/>
      </c>
      <c r="W1229" s="13">
        <f>MAX(W1228,R1229)</f>
        <v/>
      </c>
      <c r="X1229" s="4">
        <f>IF(W1229&gt;0,R1229/W1229-1,-1)</f>
        <v/>
      </c>
      <c r="Y1229" s="19">
        <f>IF(R1229&gt;0,S1229*資金模擬!$B$7/R1229,0)</f>
        <v/>
      </c>
      <c r="Z1229" s="2">
        <f>IF(OR(Z1228=1,R1229&lt;=資金模擬!$B$10),1,0)</f>
        <v/>
      </c>
    </row>
    <row r="1230">
      <c r="A1230" s="2" t="n">
        <v>1228</v>
      </c>
      <c r="B1230" s="7" t="n">
        <v>46296.70833333334</v>
      </c>
      <c r="C1230" s="2" t="inlineStr">
        <is>
          <t>進場</t>
        </is>
      </c>
      <c r="D1230" s="2" t="n">
        <v>617</v>
      </c>
      <c r="E1230" s="2" t="inlineStr">
        <is>
          <t>PUMP_USDT_PERP</t>
        </is>
      </c>
      <c r="F1230" s="2" t="inlineStr">
        <is>
          <t>做空</t>
        </is>
      </c>
      <c r="G1230" s="20" t="n">
        <v>0.005504</v>
      </c>
      <c r="H1230" s="20" t="n">
        <v>0.00533888</v>
      </c>
      <c r="I1230" s="20" t="n">
        <v>0.005779200000000001</v>
      </c>
      <c r="J1230" s="20" t="n"/>
      <c r="K1230" s="2" t="n"/>
      <c r="L1230" s="5" t="n"/>
      <c r="M1230" s="19">
        <f>資金模擬!$B$5*V1229</f>
        <v/>
      </c>
      <c r="N1230" s="2">
        <f>IF(Z1229=1,"已停止",IF(T1229&gt;=M1230,"已下單","資金不足略過"))</f>
        <v/>
      </c>
      <c r="O1230" s="19">
        <f>IF(N1230="已下單",M1230*資金模擬!$B$7,0)</f>
        <v/>
      </c>
      <c r="P1230" s="4" t="n"/>
      <c r="Q1230" s="13" t="n">
        <v>0</v>
      </c>
      <c r="R1230" s="13">
        <f>R1229+Q1230</f>
        <v/>
      </c>
      <c r="S1230" s="19">
        <f>S1229+IF(N1230="已下單",M1230,0)</f>
        <v/>
      </c>
      <c r="T1230" s="19">
        <f>R1230-S1230</f>
        <v/>
      </c>
      <c r="U1230" s="2">
        <f>U1229+IF(N1230="已下單",1,0)</f>
        <v/>
      </c>
      <c r="V1230" s="19">
        <f>IF(資金模擬!$B$9=2,MAX(R1230,0),MAX(V1229,FLOOR(MAX(R1230,0),資金模擬!$B$6)))</f>
        <v/>
      </c>
      <c r="W1230" s="13">
        <f>MAX(W1229,R1230)</f>
        <v/>
      </c>
      <c r="X1230" s="4">
        <f>IF(W1230&gt;0,R1230/W1230-1,-1)</f>
        <v/>
      </c>
      <c r="Y1230" s="19">
        <f>IF(R1230&gt;0,S1230*資金模擬!$B$7/R1230,0)</f>
        <v/>
      </c>
      <c r="Z1230" s="2">
        <f>IF(OR(Z1229=1,R1230&lt;=資金模擬!$B$10),1,0)</f>
        <v/>
      </c>
    </row>
    <row r="1231">
      <c r="A1231" s="2" t="n">
        <v>1229</v>
      </c>
      <c r="B1231" s="7" t="n">
        <v>46296.75</v>
      </c>
      <c r="C1231" s="2" t="inlineStr">
        <is>
          <t>出場</t>
        </is>
      </c>
      <c r="D1231" s="2" t="n">
        <v>611</v>
      </c>
      <c r="E1231" s="2" t="inlineStr">
        <is>
          <t>GRASS_USDT_PERP</t>
        </is>
      </c>
      <c r="F1231" s="2" t="inlineStr">
        <is>
          <t>做多</t>
        </is>
      </c>
      <c r="G1231" s="20" t="n">
        <v>0.7151999999999999</v>
      </c>
      <c r="H1231" s="20" t="n">
        <v>0.736656</v>
      </c>
      <c r="I1231" s="20" t="n">
        <v>0.6794399999999999</v>
      </c>
      <c r="J1231" s="20" t="n">
        <v>0.6794399999999999</v>
      </c>
      <c r="K1231" s="2" t="inlineStr">
        <is>
          <t>止損</t>
        </is>
      </c>
      <c r="L1231" s="5">
        <f>交易明細!K612</f>
        <v/>
      </c>
      <c r="M1231" s="19">
        <f>M1220</f>
        <v/>
      </c>
      <c r="N1231" s="2">
        <f>N1220</f>
        <v/>
      </c>
      <c r="O1231" s="19">
        <f>O1220</f>
        <v/>
      </c>
      <c r="P1231" s="4">
        <f>交易明細!L612</f>
        <v/>
      </c>
      <c r="Q1231" s="13">
        <f>IF(N1231="已下單",O1231*P1231,0)</f>
        <v/>
      </c>
      <c r="R1231" s="13">
        <f>R1230+Q1231</f>
        <v/>
      </c>
      <c r="S1231" s="19">
        <f>S1230-IF(N1231="已下單",M1231,0)</f>
        <v/>
      </c>
      <c r="T1231" s="19">
        <f>R1231-S1231</f>
        <v/>
      </c>
      <c r="U1231" s="2">
        <f>U1230-IF(N1231="已下單",1,0)</f>
        <v/>
      </c>
      <c r="V1231" s="19">
        <f>IF(資金模擬!$B$9=2,MAX(R1231,0),MAX(V1230,FLOOR(MAX(R1231,0),資金模擬!$B$6)))</f>
        <v/>
      </c>
      <c r="W1231" s="13">
        <f>MAX(W1230,R1231)</f>
        <v/>
      </c>
      <c r="X1231" s="4">
        <f>IF(W1231&gt;0,R1231/W1231-1,-1)</f>
        <v/>
      </c>
      <c r="Y1231" s="19">
        <f>IF(R1231&gt;0,S1231*資金模擬!$B$7/R1231,0)</f>
        <v/>
      </c>
      <c r="Z1231" s="2">
        <f>IF(OR(Z1230=1,R1231&lt;=資金模擬!$B$10),1,0)</f>
        <v/>
      </c>
    </row>
    <row r="1232">
      <c r="A1232" s="2" t="n">
        <v>1230</v>
      </c>
      <c r="B1232" s="7" t="n">
        <v>46296.75</v>
      </c>
      <c r="C1232" s="2" t="inlineStr">
        <is>
          <t>出場</t>
        </is>
      </c>
      <c r="D1232" s="2" t="n">
        <v>616</v>
      </c>
      <c r="E1232" s="2" t="inlineStr">
        <is>
          <t>ZRO_USDT_PERP</t>
        </is>
      </c>
      <c r="F1232" s="2" t="inlineStr">
        <is>
          <t>做空</t>
        </is>
      </c>
      <c r="G1232" s="20" t="n">
        <v>1.6874</v>
      </c>
      <c r="H1232" s="20" t="n">
        <v>1.636778</v>
      </c>
      <c r="I1232" s="20" t="n">
        <v>1.77177</v>
      </c>
      <c r="J1232" s="20" t="n">
        <v>1.636778</v>
      </c>
      <c r="K1232" s="2" t="inlineStr">
        <is>
          <t>止盈</t>
        </is>
      </c>
      <c r="L1232" s="5">
        <f>交易明細!K617</f>
        <v/>
      </c>
      <c r="M1232" s="19">
        <f>M1227</f>
        <v/>
      </c>
      <c r="N1232" s="2">
        <f>N1227</f>
        <v/>
      </c>
      <c r="O1232" s="19">
        <f>O1227</f>
        <v/>
      </c>
      <c r="P1232" s="4">
        <f>交易明細!L617</f>
        <v/>
      </c>
      <c r="Q1232" s="13">
        <f>IF(N1232="已下單",O1232*P1232,0)</f>
        <v/>
      </c>
      <c r="R1232" s="13">
        <f>R1231+Q1232</f>
        <v/>
      </c>
      <c r="S1232" s="19">
        <f>S1231-IF(N1232="已下單",M1232,0)</f>
        <v/>
      </c>
      <c r="T1232" s="19">
        <f>R1232-S1232</f>
        <v/>
      </c>
      <c r="U1232" s="2">
        <f>U1231-IF(N1232="已下單",1,0)</f>
        <v/>
      </c>
      <c r="V1232" s="19">
        <f>IF(資金模擬!$B$9=2,MAX(R1232,0),MAX(V1231,FLOOR(MAX(R1232,0),資金模擬!$B$6)))</f>
        <v/>
      </c>
      <c r="W1232" s="13">
        <f>MAX(W1231,R1232)</f>
        <v/>
      </c>
      <c r="X1232" s="4">
        <f>IF(W1232&gt;0,R1232/W1232-1,-1)</f>
        <v/>
      </c>
      <c r="Y1232" s="19">
        <f>IF(R1232&gt;0,S1232*資金模擬!$B$7/R1232,0)</f>
        <v/>
      </c>
      <c r="Z1232" s="2">
        <f>IF(OR(Z1231=1,R1232&lt;=資金模擬!$B$10),1,0)</f>
        <v/>
      </c>
    </row>
    <row r="1233">
      <c r="A1233" s="2" t="n">
        <v>1231</v>
      </c>
      <c r="B1233" s="7" t="n">
        <v>46296.79166666666</v>
      </c>
      <c r="C1233" s="2" t="inlineStr">
        <is>
          <t>進場</t>
        </is>
      </c>
      <c r="D1233" s="2" t="n">
        <v>618</v>
      </c>
      <c r="E1233" s="2" t="inlineStr">
        <is>
          <t>QNT_USDT_PERP</t>
        </is>
      </c>
      <c r="F1233" s="2" t="inlineStr">
        <is>
          <t>做空</t>
        </is>
      </c>
      <c r="G1233" s="20" t="n">
        <v>280.07</v>
      </c>
      <c r="H1233" s="20" t="n">
        <v>271.6679</v>
      </c>
      <c r="I1233" s="20" t="n">
        <v>294.0735</v>
      </c>
      <c r="J1233" s="20" t="n"/>
      <c r="K1233" s="2" t="n"/>
      <c r="L1233" s="5" t="n"/>
      <c r="M1233" s="19">
        <f>資金模擬!$B$5*V1232</f>
        <v/>
      </c>
      <c r="N1233" s="2">
        <f>IF(Z1232=1,"已停止",IF(T1232&gt;=M1233,"已下單","資金不足略過"))</f>
        <v/>
      </c>
      <c r="O1233" s="19">
        <f>IF(N1233="已下單",M1233*資金模擬!$B$7,0)</f>
        <v/>
      </c>
      <c r="P1233" s="4" t="n"/>
      <c r="Q1233" s="13" t="n">
        <v>0</v>
      </c>
      <c r="R1233" s="13">
        <f>R1232+Q1233</f>
        <v/>
      </c>
      <c r="S1233" s="19">
        <f>S1232+IF(N1233="已下單",M1233,0)</f>
        <v/>
      </c>
      <c r="T1233" s="19">
        <f>R1233-S1233</f>
        <v/>
      </c>
      <c r="U1233" s="2">
        <f>U1232+IF(N1233="已下單",1,0)</f>
        <v/>
      </c>
      <c r="V1233" s="19">
        <f>IF(資金模擬!$B$9=2,MAX(R1233,0),MAX(V1232,FLOOR(MAX(R1233,0),資金模擬!$B$6)))</f>
        <v/>
      </c>
      <c r="W1233" s="13">
        <f>MAX(W1232,R1233)</f>
        <v/>
      </c>
      <c r="X1233" s="4">
        <f>IF(W1233&gt;0,R1233/W1233-1,-1)</f>
        <v/>
      </c>
      <c r="Y1233" s="19">
        <f>IF(R1233&gt;0,S1233*資金模擬!$B$7/R1233,0)</f>
        <v/>
      </c>
      <c r="Z1233" s="2">
        <f>IF(OR(Z1232=1,R1233&lt;=資金模擬!$B$10),1,0)</f>
        <v/>
      </c>
    </row>
    <row r="1234">
      <c r="A1234" s="2" t="n">
        <v>1232</v>
      </c>
      <c r="B1234" s="7" t="n">
        <v>46296.83333333334</v>
      </c>
      <c r="C1234" s="2" t="inlineStr">
        <is>
          <t>出場</t>
        </is>
      </c>
      <c r="D1234" s="2" t="n">
        <v>618</v>
      </c>
      <c r="E1234" s="2" t="inlineStr">
        <is>
          <t>QNT_USDT_PERP</t>
        </is>
      </c>
      <c r="F1234" s="2" t="inlineStr">
        <is>
          <t>做空</t>
        </is>
      </c>
      <c r="G1234" s="20" t="n">
        <v>280.07</v>
      </c>
      <c r="H1234" s="20" t="n">
        <v>271.6679</v>
      </c>
      <c r="I1234" s="20" t="n">
        <v>294.0735</v>
      </c>
      <c r="J1234" s="20" t="n">
        <v>271.6679</v>
      </c>
      <c r="K1234" s="2" t="inlineStr">
        <is>
          <t>止盈</t>
        </is>
      </c>
      <c r="L1234" s="5">
        <f>交易明細!K619</f>
        <v/>
      </c>
      <c r="M1234" s="19">
        <f>M1233</f>
        <v/>
      </c>
      <c r="N1234" s="2">
        <f>N1233</f>
        <v/>
      </c>
      <c r="O1234" s="19">
        <f>O1233</f>
        <v/>
      </c>
      <c r="P1234" s="4">
        <f>交易明細!L619</f>
        <v/>
      </c>
      <c r="Q1234" s="13">
        <f>IF(N1234="已下單",O1234*P1234,0)</f>
        <v/>
      </c>
      <c r="R1234" s="13">
        <f>R1233+Q1234</f>
        <v/>
      </c>
      <c r="S1234" s="19">
        <f>S1233-IF(N1234="已下單",M1234,0)</f>
        <v/>
      </c>
      <c r="T1234" s="19">
        <f>R1234-S1234</f>
        <v/>
      </c>
      <c r="U1234" s="2">
        <f>U1233-IF(N1234="已下單",1,0)</f>
        <v/>
      </c>
      <c r="V1234" s="19">
        <f>IF(資金模擬!$B$9=2,MAX(R1234,0),MAX(V1233,FLOOR(MAX(R1234,0),資金模擬!$B$6)))</f>
        <v/>
      </c>
      <c r="W1234" s="13">
        <f>MAX(W1233,R1234)</f>
        <v/>
      </c>
      <c r="X1234" s="4">
        <f>IF(W1234&gt;0,R1234/W1234-1,-1)</f>
        <v/>
      </c>
      <c r="Y1234" s="19">
        <f>IF(R1234&gt;0,S1234*資金模擬!$B$7/R1234,0)</f>
        <v/>
      </c>
      <c r="Z1234" s="2">
        <f>IF(OR(Z1233=1,R1234&lt;=資金模擬!$B$10),1,0)</f>
        <v/>
      </c>
    </row>
    <row r="1235">
      <c r="A1235" s="2" t="n">
        <v>1233</v>
      </c>
      <c r="B1235" s="7" t="n">
        <v>46296.95833333334</v>
      </c>
      <c r="C1235" s="2" t="inlineStr">
        <is>
          <t>出場</t>
        </is>
      </c>
      <c r="D1235" s="2" t="n">
        <v>613</v>
      </c>
      <c r="E1235" s="2" t="inlineStr">
        <is>
          <t>PENGU_USDT_PERP</t>
        </is>
      </c>
      <c r="F1235" s="2" t="inlineStr">
        <is>
          <t>做空</t>
        </is>
      </c>
      <c r="G1235" s="20" t="n">
        <v>0.009639</v>
      </c>
      <c r="H1235" s="20" t="n">
        <v>0.00934983</v>
      </c>
      <c r="I1235" s="20" t="n">
        <v>0.01012095</v>
      </c>
      <c r="J1235" s="20" t="n">
        <v>0.00934983</v>
      </c>
      <c r="K1235" s="2" t="inlineStr">
        <is>
          <t>止盈</t>
        </is>
      </c>
      <c r="L1235" s="5">
        <f>交易明細!K614</f>
        <v/>
      </c>
      <c r="M1235" s="19">
        <f>M1224</f>
        <v/>
      </c>
      <c r="N1235" s="2">
        <f>N1224</f>
        <v/>
      </c>
      <c r="O1235" s="19">
        <f>O1224</f>
        <v/>
      </c>
      <c r="P1235" s="4">
        <f>交易明細!L614</f>
        <v/>
      </c>
      <c r="Q1235" s="13">
        <f>IF(N1235="已下單",O1235*P1235,0)</f>
        <v/>
      </c>
      <c r="R1235" s="13">
        <f>R1234+Q1235</f>
        <v/>
      </c>
      <c r="S1235" s="19">
        <f>S1234-IF(N1235="已下單",M1235,0)</f>
        <v/>
      </c>
      <c r="T1235" s="19">
        <f>R1235-S1235</f>
        <v/>
      </c>
      <c r="U1235" s="2">
        <f>U1234-IF(N1235="已下單",1,0)</f>
        <v/>
      </c>
      <c r="V1235" s="19">
        <f>IF(資金模擬!$B$9=2,MAX(R1235,0),MAX(V1234,FLOOR(MAX(R1235,0),資金模擬!$B$6)))</f>
        <v/>
      </c>
      <c r="W1235" s="13">
        <f>MAX(W1234,R1235)</f>
        <v/>
      </c>
      <c r="X1235" s="4">
        <f>IF(W1235&gt;0,R1235/W1235-1,-1)</f>
        <v/>
      </c>
      <c r="Y1235" s="19">
        <f>IF(R1235&gt;0,S1235*資金模擬!$B$7/R1235,0)</f>
        <v/>
      </c>
      <c r="Z1235" s="2">
        <f>IF(OR(Z1234=1,R1235&lt;=資金模擬!$B$10),1,0)</f>
        <v/>
      </c>
    </row>
    <row r="1236">
      <c r="A1236" s="2" t="n">
        <v>1234</v>
      </c>
      <c r="B1236" s="7" t="n">
        <v>46296.95833333334</v>
      </c>
      <c r="C1236" s="2" t="inlineStr">
        <is>
          <t>進場</t>
        </is>
      </c>
      <c r="D1236" s="2" t="n">
        <v>619</v>
      </c>
      <c r="E1236" s="2" t="inlineStr">
        <is>
          <t>ENA_USDT_PERP</t>
        </is>
      </c>
      <c r="F1236" s="2" t="inlineStr">
        <is>
          <t>做空</t>
        </is>
      </c>
      <c r="G1236" s="20" t="n">
        <v>0.2507</v>
      </c>
      <c r="H1236" s="20" t="n">
        <v>0.243179</v>
      </c>
      <c r="I1236" s="20" t="n">
        <v>0.263235</v>
      </c>
      <c r="J1236" s="20" t="n"/>
      <c r="K1236" s="2" t="n"/>
      <c r="L1236" s="5" t="n"/>
      <c r="M1236" s="19">
        <f>資金模擬!$B$5*V1235</f>
        <v/>
      </c>
      <c r="N1236" s="2">
        <f>IF(Z1235=1,"已停止",IF(T1235&gt;=M1236,"已下單","資金不足略過"))</f>
        <v/>
      </c>
      <c r="O1236" s="19">
        <f>IF(N1236="已下單",M1236*資金模擬!$B$7,0)</f>
        <v/>
      </c>
      <c r="P1236" s="4" t="n"/>
      <c r="Q1236" s="13" t="n">
        <v>0</v>
      </c>
      <c r="R1236" s="13">
        <f>R1235+Q1236</f>
        <v/>
      </c>
      <c r="S1236" s="19">
        <f>S1235+IF(N1236="已下單",M1236,0)</f>
        <v/>
      </c>
      <c r="T1236" s="19">
        <f>R1236-S1236</f>
        <v/>
      </c>
      <c r="U1236" s="2">
        <f>U1235+IF(N1236="已下單",1,0)</f>
        <v/>
      </c>
      <c r="V1236" s="19">
        <f>IF(資金模擬!$B$9=2,MAX(R1236,0),MAX(V1235,FLOOR(MAX(R1236,0),資金模擬!$B$6)))</f>
        <v/>
      </c>
      <c r="W1236" s="13">
        <f>MAX(W1235,R1236)</f>
        <v/>
      </c>
      <c r="X1236" s="4">
        <f>IF(W1236&gt;0,R1236/W1236-1,-1)</f>
        <v/>
      </c>
      <c r="Y1236" s="19">
        <f>IF(R1236&gt;0,S1236*資金模擬!$B$7/R1236,0)</f>
        <v/>
      </c>
      <c r="Z1236" s="2">
        <f>IF(OR(Z1235=1,R1236&lt;=資金模擬!$B$10),1,0)</f>
        <v/>
      </c>
    </row>
    <row r="1237">
      <c r="A1237" s="2" t="n">
        <v>1235</v>
      </c>
      <c r="B1237" s="7" t="n">
        <v>46296.95833333334</v>
      </c>
      <c r="C1237" s="2" t="inlineStr">
        <is>
          <t>進場</t>
        </is>
      </c>
      <c r="D1237" s="2" t="n">
        <v>620</v>
      </c>
      <c r="E1237" s="2" t="inlineStr">
        <is>
          <t>USELESS_USDT_PERP</t>
        </is>
      </c>
      <c r="F1237" s="2" t="inlineStr">
        <is>
          <t>做空</t>
        </is>
      </c>
      <c r="G1237" s="20" t="n">
        <v>0.22404</v>
      </c>
      <c r="H1237" s="20" t="n">
        <v>0.2173188</v>
      </c>
      <c r="I1237" s="20" t="n">
        <v>0.235242</v>
      </c>
      <c r="J1237" s="20" t="n"/>
      <c r="K1237" s="2" t="n"/>
      <c r="L1237" s="5" t="n"/>
      <c r="M1237" s="19">
        <f>資金模擬!$B$5*V1236</f>
        <v/>
      </c>
      <c r="N1237" s="2">
        <f>IF(Z1236=1,"已停止",IF(T1236&gt;=M1237,"已下單","資金不足略過"))</f>
        <v/>
      </c>
      <c r="O1237" s="19">
        <f>IF(N1237="已下單",M1237*資金模擬!$B$7,0)</f>
        <v/>
      </c>
      <c r="P1237" s="4" t="n"/>
      <c r="Q1237" s="13" t="n">
        <v>0</v>
      </c>
      <c r="R1237" s="13">
        <f>R1236+Q1237</f>
        <v/>
      </c>
      <c r="S1237" s="19">
        <f>S1236+IF(N1237="已下單",M1237,0)</f>
        <v/>
      </c>
      <c r="T1237" s="19">
        <f>R1237-S1237</f>
        <v/>
      </c>
      <c r="U1237" s="2">
        <f>U1236+IF(N1237="已下單",1,0)</f>
        <v/>
      </c>
      <c r="V1237" s="19">
        <f>IF(資金模擬!$B$9=2,MAX(R1237,0),MAX(V1236,FLOOR(MAX(R1237,0),資金模擬!$B$6)))</f>
        <v/>
      </c>
      <c r="W1237" s="13">
        <f>MAX(W1236,R1237)</f>
        <v/>
      </c>
      <c r="X1237" s="4">
        <f>IF(W1237&gt;0,R1237/W1237-1,-1)</f>
        <v/>
      </c>
      <c r="Y1237" s="19">
        <f>IF(R1237&gt;0,S1237*資金模擬!$B$7/R1237,0)</f>
        <v/>
      </c>
      <c r="Z1237" s="2">
        <f>IF(OR(Z1236=1,R1237&lt;=資金模擬!$B$10),1,0)</f>
        <v/>
      </c>
    </row>
    <row r="1238">
      <c r="A1238" s="2" t="n">
        <v>1236</v>
      </c>
      <c r="B1238" s="7" t="n">
        <v>46297</v>
      </c>
      <c r="C1238" s="2" t="inlineStr">
        <is>
          <t>進場</t>
        </is>
      </c>
      <c r="D1238" s="2" t="n">
        <v>621</v>
      </c>
      <c r="E1238" s="2" t="inlineStr">
        <is>
          <t>MON_USDT_PERP</t>
        </is>
      </c>
      <c r="F1238" s="2" t="inlineStr">
        <is>
          <t>做多</t>
        </is>
      </c>
      <c r="G1238" s="20" t="n">
        <v>0.03282</v>
      </c>
      <c r="H1238" s="20" t="n">
        <v>0.0338046</v>
      </c>
      <c r="I1238" s="20" t="n">
        <v>0.031179</v>
      </c>
      <c r="J1238" s="20" t="n"/>
      <c r="K1238" s="2" t="n"/>
      <c r="L1238" s="5" t="n"/>
      <c r="M1238" s="19">
        <f>資金模擬!$B$5*V1237</f>
        <v/>
      </c>
      <c r="N1238" s="2">
        <f>IF(Z1237=1,"已停止",IF(T1237&gt;=M1238,"已下單","資金不足略過"))</f>
        <v/>
      </c>
      <c r="O1238" s="19">
        <f>IF(N1238="已下單",M1238*資金模擬!$B$7,0)</f>
        <v/>
      </c>
      <c r="P1238" s="4" t="n"/>
      <c r="Q1238" s="13" t="n">
        <v>0</v>
      </c>
      <c r="R1238" s="13">
        <f>R1237+Q1238</f>
        <v/>
      </c>
      <c r="S1238" s="19">
        <f>S1237+IF(N1238="已下單",M1238,0)</f>
        <v/>
      </c>
      <c r="T1238" s="19">
        <f>R1238-S1238</f>
        <v/>
      </c>
      <c r="U1238" s="2">
        <f>U1237+IF(N1238="已下單",1,0)</f>
        <v/>
      </c>
      <c r="V1238" s="19">
        <f>IF(資金模擬!$B$9=2,MAX(R1238,0),MAX(V1237,FLOOR(MAX(R1238,0),資金模擬!$B$6)))</f>
        <v/>
      </c>
      <c r="W1238" s="13">
        <f>MAX(W1237,R1238)</f>
        <v/>
      </c>
      <c r="X1238" s="4">
        <f>IF(W1238&gt;0,R1238/W1238-1,-1)</f>
        <v/>
      </c>
      <c r="Y1238" s="19">
        <f>IF(R1238&gt;0,S1238*資金模擬!$B$7/R1238,0)</f>
        <v/>
      </c>
      <c r="Z1238" s="2">
        <f>IF(OR(Z1237=1,R1238&lt;=資金模擬!$B$10),1,0)</f>
        <v/>
      </c>
    </row>
    <row r="1239">
      <c r="A1239" s="2" t="n">
        <v>1237</v>
      </c>
      <c r="B1239" s="7" t="n">
        <v>46297.04166666666</v>
      </c>
      <c r="C1239" s="2" t="inlineStr">
        <is>
          <t>進場</t>
        </is>
      </c>
      <c r="D1239" s="2" t="n">
        <v>622</v>
      </c>
      <c r="E1239" s="2" t="inlineStr">
        <is>
          <t>ZEC_USDT_PERP</t>
        </is>
      </c>
      <c r="F1239" s="2" t="inlineStr">
        <is>
          <t>做空</t>
        </is>
      </c>
      <c r="G1239" s="20" t="n">
        <v>1342.99</v>
      </c>
      <c r="H1239" s="20" t="n">
        <v>1302.7003</v>
      </c>
      <c r="I1239" s="20" t="n">
        <v>1410.1395</v>
      </c>
      <c r="J1239" s="20" t="n"/>
      <c r="K1239" s="2" t="n"/>
      <c r="L1239" s="5" t="n"/>
      <c r="M1239" s="19">
        <f>資金模擬!$B$5*V1238</f>
        <v/>
      </c>
      <c r="N1239" s="2">
        <f>IF(Z1238=1,"已停止",IF(T1238&gt;=M1239,"已下單","資金不足略過"))</f>
        <v/>
      </c>
      <c r="O1239" s="19">
        <f>IF(N1239="已下單",M1239*資金模擬!$B$7,0)</f>
        <v/>
      </c>
      <c r="P1239" s="4" t="n"/>
      <c r="Q1239" s="13" t="n">
        <v>0</v>
      </c>
      <c r="R1239" s="13">
        <f>R1238+Q1239</f>
        <v/>
      </c>
      <c r="S1239" s="19">
        <f>S1238+IF(N1239="已下單",M1239,0)</f>
        <v/>
      </c>
      <c r="T1239" s="19">
        <f>R1239-S1239</f>
        <v/>
      </c>
      <c r="U1239" s="2">
        <f>U1238+IF(N1239="已下單",1,0)</f>
        <v/>
      </c>
      <c r="V1239" s="19">
        <f>IF(資金模擬!$B$9=2,MAX(R1239,0),MAX(V1238,FLOOR(MAX(R1239,0),資金模擬!$B$6)))</f>
        <v/>
      </c>
      <c r="W1239" s="13">
        <f>MAX(W1238,R1239)</f>
        <v/>
      </c>
      <c r="X1239" s="4">
        <f>IF(W1239&gt;0,R1239/W1239-1,-1)</f>
        <v/>
      </c>
      <c r="Y1239" s="19">
        <f>IF(R1239&gt;0,S1239*資金模擬!$B$7/R1239,0)</f>
        <v/>
      </c>
      <c r="Z1239" s="2">
        <f>IF(OR(Z1238=1,R1239&lt;=資金模擬!$B$10),1,0)</f>
        <v/>
      </c>
    </row>
    <row r="1240">
      <c r="A1240" s="2" t="n">
        <v>1238</v>
      </c>
      <c r="B1240" s="7" t="n">
        <v>46297.08333333334</v>
      </c>
      <c r="C1240" s="2" t="inlineStr">
        <is>
          <t>出場</t>
        </is>
      </c>
      <c r="D1240" s="2" t="n">
        <v>617</v>
      </c>
      <c r="E1240" s="2" t="inlineStr">
        <is>
          <t>PUMP_USDT_PERP</t>
        </is>
      </c>
      <c r="F1240" s="2" t="inlineStr">
        <is>
          <t>做空</t>
        </is>
      </c>
      <c r="G1240" s="20" t="n">
        <v>0.005504</v>
      </c>
      <c r="H1240" s="20" t="n">
        <v>0.00533888</v>
      </c>
      <c r="I1240" s="20" t="n">
        <v>0.005779200000000001</v>
      </c>
      <c r="J1240" s="20" t="n">
        <v>0.005779200000000001</v>
      </c>
      <c r="K1240" s="2" t="inlineStr">
        <is>
          <t>止損</t>
        </is>
      </c>
      <c r="L1240" s="5">
        <f>交易明細!K618</f>
        <v/>
      </c>
      <c r="M1240" s="19">
        <f>M1230</f>
        <v/>
      </c>
      <c r="N1240" s="2">
        <f>N1230</f>
        <v/>
      </c>
      <c r="O1240" s="19">
        <f>O1230</f>
        <v/>
      </c>
      <c r="P1240" s="4">
        <f>交易明細!L618</f>
        <v/>
      </c>
      <c r="Q1240" s="13">
        <f>IF(N1240="已下單",O1240*P1240,0)</f>
        <v/>
      </c>
      <c r="R1240" s="13">
        <f>R1239+Q1240</f>
        <v/>
      </c>
      <c r="S1240" s="19">
        <f>S1239-IF(N1240="已下單",M1240,0)</f>
        <v/>
      </c>
      <c r="T1240" s="19">
        <f>R1240-S1240</f>
        <v/>
      </c>
      <c r="U1240" s="2">
        <f>U1239-IF(N1240="已下單",1,0)</f>
        <v/>
      </c>
      <c r="V1240" s="19">
        <f>IF(資金模擬!$B$9=2,MAX(R1240,0),MAX(V1239,FLOOR(MAX(R1240,0),資金模擬!$B$6)))</f>
        <v/>
      </c>
      <c r="W1240" s="13">
        <f>MAX(W1239,R1240)</f>
        <v/>
      </c>
      <c r="X1240" s="4">
        <f>IF(W1240&gt;0,R1240/W1240-1,-1)</f>
        <v/>
      </c>
      <c r="Y1240" s="19">
        <f>IF(R1240&gt;0,S1240*資金模擬!$B$7/R1240,0)</f>
        <v/>
      </c>
      <c r="Z1240" s="2">
        <f>IF(OR(Z1239=1,R1240&lt;=資金模擬!$B$10),1,0)</f>
        <v/>
      </c>
    </row>
    <row r="1241">
      <c r="A1241" s="2" t="n">
        <v>1239</v>
      </c>
      <c r="B1241" s="7" t="n">
        <v>46297.08333333334</v>
      </c>
      <c r="C1241" s="2" t="inlineStr">
        <is>
          <t>出場</t>
        </is>
      </c>
      <c r="D1241" s="2" t="n">
        <v>620</v>
      </c>
      <c r="E1241" s="2" t="inlineStr">
        <is>
          <t>USELESS_USDT_PERP</t>
        </is>
      </c>
      <c r="F1241" s="2" t="inlineStr">
        <is>
          <t>做空</t>
        </is>
      </c>
      <c r="G1241" s="20" t="n">
        <v>0.22404</v>
      </c>
      <c r="H1241" s="20" t="n">
        <v>0.2173188</v>
      </c>
      <c r="I1241" s="20" t="n">
        <v>0.235242</v>
      </c>
      <c r="J1241" s="20" t="n">
        <v>0.235242</v>
      </c>
      <c r="K1241" s="2" t="inlineStr">
        <is>
          <t>止損</t>
        </is>
      </c>
      <c r="L1241" s="5">
        <f>交易明細!K621</f>
        <v/>
      </c>
      <c r="M1241" s="19">
        <f>M1237</f>
        <v/>
      </c>
      <c r="N1241" s="2">
        <f>N1237</f>
        <v/>
      </c>
      <c r="O1241" s="19">
        <f>O1237</f>
        <v/>
      </c>
      <c r="P1241" s="4">
        <f>交易明細!L621</f>
        <v/>
      </c>
      <c r="Q1241" s="13">
        <f>IF(N1241="已下單",O1241*P1241,0)</f>
        <v/>
      </c>
      <c r="R1241" s="13">
        <f>R1240+Q1241</f>
        <v/>
      </c>
      <c r="S1241" s="19">
        <f>S1240-IF(N1241="已下單",M1241,0)</f>
        <v/>
      </c>
      <c r="T1241" s="19">
        <f>R1241-S1241</f>
        <v/>
      </c>
      <c r="U1241" s="2">
        <f>U1240-IF(N1241="已下單",1,0)</f>
        <v/>
      </c>
      <c r="V1241" s="19">
        <f>IF(資金模擬!$B$9=2,MAX(R1241,0),MAX(V1240,FLOOR(MAX(R1241,0),資金模擬!$B$6)))</f>
        <v/>
      </c>
      <c r="W1241" s="13">
        <f>MAX(W1240,R1241)</f>
        <v/>
      </c>
      <c r="X1241" s="4">
        <f>IF(W1241&gt;0,R1241/W1241-1,-1)</f>
        <v/>
      </c>
      <c r="Y1241" s="19">
        <f>IF(R1241&gt;0,S1241*資金模擬!$B$7/R1241,0)</f>
        <v/>
      </c>
      <c r="Z1241" s="2">
        <f>IF(OR(Z1240=1,R1241&lt;=資金模擬!$B$10),1,0)</f>
        <v/>
      </c>
    </row>
    <row r="1242">
      <c r="A1242" s="2" t="n">
        <v>1240</v>
      </c>
      <c r="B1242" s="7" t="n">
        <v>46297.08333333334</v>
      </c>
      <c r="C1242" s="2" t="inlineStr">
        <is>
          <t>出場</t>
        </is>
      </c>
      <c r="D1242" s="2" t="n">
        <v>621</v>
      </c>
      <c r="E1242" s="2" t="inlineStr">
        <is>
          <t>MON_USDT_PERP</t>
        </is>
      </c>
      <c r="F1242" s="2" t="inlineStr">
        <is>
          <t>做多</t>
        </is>
      </c>
      <c r="G1242" s="20" t="n">
        <v>0.03282</v>
      </c>
      <c r="H1242" s="20" t="n">
        <v>0.0338046</v>
      </c>
      <c r="I1242" s="20" t="n">
        <v>0.031179</v>
      </c>
      <c r="J1242" s="20" t="n">
        <v>0.0338046</v>
      </c>
      <c r="K1242" s="2" t="inlineStr">
        <is>
          <t>止盈</t>
        </is>
      </c>
      <c r="L1242" s="5">
        <f>交易明細!K622</f>
        <v/>
      </c>
      <c r="M1242" s="19">
        <f>M1238</f>
        <v/>
      </c>
      <c r="N1242" s="2">
        <f>N1238</f>
        <v/>
      </c>
      <c r="O1242" s="19">
        <f>O1238</f>
        <v/>
      </c>
      <c r="P1242" s="4">
        <f>交易明細!L622</f>
        <v/>
      </c>
      <c r="Q1242" s="13">
        <f>IF(N1242="已下單",O1242*P1242,0)</f>
        <v/>
      </c>
      <c r="R1242" s="13">
        <f>R1241+Q1242</f>
        <v/>
      </c>
      <c r="S1242" s="19">
        <f>S1241-IF(N1242="已下單",M1242,0)</f>
        <v/>
      </c>
      <c r="T1242" s="19">
        <f>R1242-S1242</f>
        <v/>
      </c>
      <c r="U1242" s="2">
        <f>U1241-IF(N1242="已下單",1,0)</f>
        <v/>
      </c>
      <c r="V1242" s="19">
        <f>IF(資金模擬!$B$9=2,MAX(R1242,0),MAX(V1241,FLOOR(MAX(R1242,0),資金模擬!$B$6)))</f>
        <v/>
      </c>
      <c r="W1242" s="13">
        <f>MAX(W1241,R1242)</f>
        <v/>
      </c>
      <c r="X1242" s="4">
        <f>IF(W1242&gt;0,R1242/W1242-1,-1)</f>
        <v/>
      </c>
      <c r="Y1242" s="19">
        <f>IF(R1242&gt;0,S1242*資金模擬!$B$7/R1242,0)</f>
        <v/>
      </c>
      <c r="Z1242" s="2">
        <f>IF(OR(Z1241=1,R1242&lt;=資金模擬!$B$10),1,0)</f>
        <v/>
      </c>
    </row>
    <row r="1243">
      <c r="A1243" s="2" t="n">
        <v>1241</v>
      </c>
      <c r="B1243" s="7" t="n">
        <v>46297.08333333334</v>
      </c>
      <c r="C1243" s="2" t="inlineStr">
        <is>
          <t>進場</t>
        </is>
      </c>
      <c r="D1243" s="2" t="n">
        <v>623</v>
      </c>
      <c r="E1243" s="2" t="inlineStr">
        <is>
          <t>FET_USDT_PERP</t>
        </is>
      </c>
      <c r="F1243" s="2" t="inlineStr">
        <is>
          <t>做多</t>
        </is>
      </c>
      <c r="G1243" s="20" t="n">
        <v>0.2334</v>
      </c>
      <c r="H1243" s="20" t="n">
        <v>0.240402</v>
      </c>
      <c r="I1243" s="20" t="n">
        <v>0.22173</v>
      </c>
      <c r="J1243" s="20" t="n"/>
      <c r="K1243" s="2" t="n"/>
      <c r="L1243" s="5" t="n"/>
      <c r="M1243" s="19">
        <f>資金模擬!$B$5*V1242</f>
        <v/>
      </c>
      <c r="N1243" s="2">
        <f>IF(Z1242=1,"已停止",IF(T1242&gt;=M1243,"已下單","資金不足略過"))</f>
        <v/>
      </c>
      <c r="O1243" s="19">
        <f>IF(N1243="已下單",M1243*資金模擬!$B$7,0)</f>
        <v/>
      </c>
      <c r="P1243" s="4" t="n"/>
      <c r="Q1243" s="13" t="n">
        <v>0</v>
      </c>
      <c r="R1243" s="13">
        <f>R1242+Q1243</f>
        <v/>
      </c>
      <c r="S1243" s="19">
        <f>S1242+IF(N1243="已下單",M1243,0)</f>
        <v/>
      </c>
      <c r="T1243" s="19">
        <f>R1243-S1243</f>
        <v/>
      </c>
      <c r="U1243" s="2">
        <f>U1242+IF(N1243="已下單",1,0)</f>
        <v/>
      </c>
      <c r="V1243" s="19">
        <f>IF(資金模擬!$B$9=2,MAX(R1243,0),MAX(V1242,FLOOR(MAX(R1243,0),資金模擬!$B$6)))</f>
        <v/>
      </c>
      <c r="W1243" s="13">
        <f>MAX(W1242,R1243)</f>
        <v/>
      </c>
      <c r="X1243" s="4">
        <f>IF(W1243&gt;0,R1243/W1243-1,-1)</f>
        <v/>
      </c>
      <c r="Y1243" s="19">
        <f>IF(R1243&gt;0,S1243*資金模擬!$B$7/R1243,0)</f>
        <v/>
      </c>
      <c r="Z1243" s="2">
        <f>IF(OR(Z1242=1,R1243&lt;=資金模擬!$B$10),1,0)</f>
        <v/>
      </c>
    </row>
    <row r="1244">
      <c r="A1244" s="2" t="n">
        <v>1242</v>
      </c>
      <c r="B1244" s="7" t="n">
        <v>46297.08333333334</v>
      </c>
      <c r="C1244" s="2" t="inlineStr">
        <is>
          <t>進場</t>
        </is>
      </c>
      <c r="D1244" s="2" t="n">
        <v>624</v>
      </c>
      <c r="E1244" s="2" t="inlineStr">
        <is>
          <t>SUI_USDT_PERP</t>
        </is>
      </c>
      <c r="F1244" s="2" t="inlineStr">
        <is>
          <t>做多</t>
        </is>
      </c>
      <c r="G1244" s="20" t="n">
        <v>1.1891</v>
      </c>
      <c r="H1244" s="20" t="n">
        <v>1.224773</v>
      </c>
      <c r="I1244" s="20" t="n">
        <v>1.129645</v>
      </c>
      <c r="J1244" s="20" t="n"/>
      <c r="K1244" s="2" t="n"/>
      <c r="L1244" s="5" t="n"/>
      <c r="M1244" s="19">
        <f>資金模擬!$B$5*V1243</f>
        <v/>
      </c>
      <c r="N1244" s="2">
        <f>IF(Z1243=1,"已停止",IF(T1243&gt;=M1244,"已下單","資金不足略過"))</f>
        <v/>
      </c>
      <c r="O1244" s="19">
        <f>IF(N1244="已下單",M1244*資金模擬!$B$7,0)</f>
        <v/>
      </c>
      <c r="P1244" s="4" t="n"/>
      <c r="Q1244" s="13" t="n">
        <v>0</v>
      </c>
      <c r="R1244" s="13">
        <f>R1243+Q1244</f>
        <v/>
      </c>
      <c r="S1244" s="19">
        <f>S1243+IF(N1244="已下單",M1244,0)</f>
        <v/>
      </c>
      <c r="T1244" s="19">
        <f>R1244-S1244</f>
        <v/>
      </c>
      <c r="U1244" s="2">
        <f>U1243+IF(N1244="已下單",1,0)</f>
        <v/>
      </c>
      <c r="V1244" s="19">
        <f>IF(資金模擬!$B$9=2,MAX(R1244,0),MAX(V1243,FLOOR(MAX(R1244,0),資金模擬!$B$6)))</f>
        <v/>
      </c>
      <c r="W1244" s="13">
        <f>MAX(W1243,R1244)</f>
        <v/>
      </c>
      <c r="X1244" s="4">
        <f>IF(W1244&gt;0,R1244/W1244-1,-1)</f>
        <v/>
      </c>
      <c r="Y1244" s="19">
        <f>IF(R1244&gt;0,S1244*資金模擬!$B$7/R1244,0)</f>
        <v/>
      </c>
      <c r="Z1244" s="2">
        <f>IF(OR(Z1243=1,R1244&lt;=資金模擬!$B$10),1,0)</f>
        <v/>
      </c>
    </row>
    <row r="1245">
      <c r="A1245" s="2" t="n">
        <v>1243</v>
      </c>
      <c r="B1245" s="7" t="n">
        <v>46297.16666666666</v>
      </c>
      <c r="C1245" s="2" t="inlineStr">
        <is>
          <t>進場</t>
        </is>
      </c>
      <c r="D1245" s="2" t="n">
        <v>625</v>
      </c>
      <c r="E1245" s="2" t="inlineStr">
        <is>
          <t>PUMP_USDT_PERP</t>
        </is>
      </c>
      <c r="F1245" s="2" t="inlineStr">
        <is>
          <t>做多</t>
        </is>
      </c>
      <c r="G1245" s="20" t="n">
        <v>0.005866</v>
      </c>
      <c r="H1245" s="20" t="n">
        <v>0.00604198</v>
      </c>
      <c r="I1245" s="20" t="n">
        <v>0.005572699999999999</v>
      </c>
      <c r="J1245" s="20" t="n"/>
      <c r="K1245" s="2" t="n"/>
      <c r="L1245" s="5" t="n"/>
      <c r="M1245" s="19">
        <f>資金模擬!$B$5*V1244</f>
        <v/>
      </c>
      <c r="N1245" s="2">
        <f>IF(Z1244=1,"已停止",IF(T1244&gt;=M1245,"已下單","資金不足略過"))</f>
        <v/>
      </c>
      <c r="O1245" s="19">
        <f>IF(N1245="已下單",M1245*資金模擬!$B$7,0)</f>
        <v/>
      </c>
      <c r="P1245" s="4" t="n"/>
      <c r="Q1245" s="13" t="n">
        <v>0</v>
      </c>
      <c r="R1245" s="13">
        <f>R1244+Q1245</f>
        <v/>
      </c>
      <c r="S1245" s="19">
        <f>S1244+IF(N1245="已下單",M1245,0)</f>
        <v/>
      </c>
      <c r="T1245" s="19">
        <f>R1245-S1245</f>
        <v/>
      </c>
      <c r="U1245" s="2">
        <f>U1244+IF(N1245="已下單",1,0)</f>
        <v/>
      </c>
      <c r="V1245" s="19">
        <f>IF(資金模擬!$B$9=2,MAX(R1245,0),MAX(V1244,FLOOR(MAX(R1245,0),資金模擬!$B$6)))</f>
        <v/>
      </c>
      <c r="W1245" s="13">
        <f>MAX(W1244,R1245)</f>
        <v/>
      </c>
      <c r="X1245" s="4">
        <f>IF(W1245&gt;0,R1245/W1245-1,-1)</f>
        <v/>
      </c>
      <c r="Y1245" s="19">
        <f>IF(R1245&gt;0,S1245*資金模擬!$B$7/R1245,0)</f>
        <v/>
      </c>
      <c r="Z1245" s="2">
        <f>IF(OR(Z1244=1,R1245&lt;=資金模擬!$B$10),1,0)</f>
        <v/>
      </c>
    </row>
    <row r="1246">
      <c r="A1246" s="2" t="n">
        <v>1244</v>
      </c>
      <c r="B1246" s="7" t="n">
        <v>46297.25</v>
      </c>
      <c r="C1246" s="2" t="inlineStr">
        <is>
          <t>出場</t>
        </is>
      </c>
      <c r="D1246" s="2" t="n">
        <v>608</v>
      </c>
      <c r="E1246" s="2" t="inlineStr">
        <is>
          <t>LIT_USDT_PERP</t>
        </is>
      </c>
      <c r="F1246" s="2" t="inlineStr">
        <is>
          <t>做多</t>
        </is>
      </c>
      <c r="G1246" s="20" t="n">
        <v>4.002</v>
      </c>
      <c r="H1246" s="20" t="n">
        <v>4.12206</v>
      </c>
      <c r="I1246" s="20" t="n">
        <v>3.801899999999999</v>
      </c>
      <c r="J1246" s="20" t="n">
        <v>3.801899999999999</v>
      </c>
      <c r="K1246" s="2" t="inlineStr">
        <is>
          <t>止損</t>
        </is>
      </c>
      <c r="L1246" s="5">
        <f>交易明細!K609</f>
        <v/>
      </c>
      <c r="M1246" s="19">
        <f>M1215</f>
        <v/>
      </c>
      <c r="N1246" s="2">
        <f>N1215</f>
        <v/>
      </c>
      <c r="O1246" s="19">
        <f>O1215</f>
        <v/>
      </c>
      <c r="P1246" s="4">
        <f>交易明細!L609</f>
        <v/>
      </c>
      <c r="Q1246" s="13">
        <f>IF(N1246="已下單",O1246*P1246,0)</f>
        <v/>
      </c>
      <c r="R1246" s="13">
        <f>R1245+Q1246</f>
        <v/>
      </c>
      <c r="S1246" s="19">
        <f>S1245-IF(N1246="已下單",M1246,0)</f>
        <v/>
      </c>
      <c r="T1246" s="19">
        <f>R1246-S1246</f>
        <v/>
      </c>
      <c r="U1246" s="2">
        <f>U1245-IF(N1246="已下單",1,0)</f>
        <v/>
      </c>
      <c r="V1246" s="19">
        <f>IF(資金模擬!$B$9=2,MAX(R1246,0),MAX(V1245,FLOOR(MAX(R1246,0),資金模擬!$B$6)))</f>
        <v/>
      </c>
      <c r="W1246" s="13">
        <f>MAX(W1245,R1246)</f>
        <v/>
      </c>
      <c r="X1246" s="4">
        <f>IF(W1246&gt;0,R1246/W1246-1,-1)</f>
        <v/>
      </c>
      <c r="Y1246" s="19">
        <f>IF(R1246&gt;0,S1246*資金模擬!$B$7/R1246,0)</f>
        <v/>
      </c>
      <c r="Z1246" s="2">
        <f>IF(OR(Z1245=1,R1246&lt;=資金模擬!$B$10),1,0)</f>
        <v/>
      </c>
    </row>
    <row r="1247">
      <c r="A1247" s="2" t="n">
        <v>1245</v>
      </c>
      <c r="B1247" s="7" t="n">
        <v>46297.25</v>
      </c>
      <c r="C1247" s="2" t="inlineStr">
        <is>
          <t>出場</t>
        </is>
      </c>
      <c r="D1247" s="2" t="n">
        <v>619</v>
      </c>
      <c r="E1247" s="2" t="inlineStr">
        <is>
          <t>ENA_USDT_PERP</t>
        </is>
      </c>
      <c r="F1247" s="2" t="inlineStr">
        <is>
          <t>做空</t>
        </is>
      </c>
      <c r="G1247" s="20" t="n">
        <v>0.2507</v>
      </c>
      <c r="H1247" s="20" t="n">
        <v>0.243179</v>
      </c>
      <c r="I1247" s="20" t="n">
        <v>0.263235</v>
      </c>
      <c r="J1247" s="20" t="n">
        <v>0.243179</v>
      </c>
      <c r="K1247" s="2" t="inlineStr">
        <is>
          <t>止盈</t>
        </is>
      </c>
      <c r="L1247" s="5">
        <f>交易明細!K620</f>
        <v/>
      </c>
      <c r="M1247" s="19">
        <f>M1236</f>
        <v/>
      </c>
      <c r="N1247" s="2">
        <f>N1236</f>
        <v/>
      </c>
      <c r="O1247" s="19">
        <f>O1236</f>
        <v/>
      </c>
      <c r="P1247" s="4">
        <f>交易明細!L620</f>
        <v/>
      </c>
      <c r="Q1247" s="13">
        <f>IF(N1247="已下單",O1247*P1247,0)</f>
        <v/>
      </c>
      <c r="R1247" s="13">
        <f>R1246+Q1247</f>
        <v/>
      </c>
      <c r="S1247" s="19">
        <f>S1246-IF(N1247="已下單",M1247,0)</f>
        <v/>
      </c>
      <c r="T1247" s="19">
        <f>R1247-S1247</f>
        <v/>
      </c>
      <c r="U1247" s="2">
        <f>U1246-IF(N1247="已下單",1,0)</f>
        <v/>
      </c>
      <c r="V1247" s="19">
        <f>IF(資金模擬!$B$9=2,MAX(R1247,0),MAX(V1246,FLOOR(MAX(R1247,0),資金模擬!$B$6)))</f>
        <v/>
      </c>
      <c r="W1247" s="13">
        <f>MAX(W1246,R1247)</f>
        <v/>
      </c>
      <c r="X1247" s="4">
        <f>IF(W1247&gt;0,R1247/W1247-1,-1)</f>
        <v/>
      </c>
      <c r="Y1247" s="19">
        <f>IF(R1247&gt;0,S1247*資金模擬!$B$7/R1247,0)</f>
        <v/>
      </c>
      <c r="Z1247" s="2">
        <f>IF(OR(Z1246=1,R1247&lt;=資金模擬!$B$10),1,0)</f>
        <v/>
      </c>
    </row>
    <row r="1248">
      <c r="A1248" s="2" t="n">
        <v>1246</v>
      </c>
      <c r="B1248" s="7" t="n">
        <v>46297.41666666666</v>
      </c>
      <c r="C1248" s="2" t="inlineStr">
        <is>
          <t>進場</t>
        </is>
      </c>
      <c r="D1248" s="2" t="n">
        <v>626</v>
      </c>
      <c r="E1248" s="2" t="inlineStr">
        <is>
          <t>SOON_USDT_PERP</t>
        </is>
      </c>
      <c r="F1248" s="2" t="inlineStr">
        <is>
          <t>做空</t>
        </is>
      </c>
      <c r="G1248" s="20" t="n">
        <v>0.4203</v>
      </c>
      <c r="H1248" s="20" t="n">
        <v>0.407691</v>
      </c>
      <c r="I1248" s="20" t="n">
        <v>0.441315</v>
      </c>
      <c r="J1248" s="20" t="n"/>
      <c r="K1248" s="2" t="n"/>
      <c r="L1248" s="5" t="n"/>
      <c r="M1248" s="19">
        <f>資金模擬!$B$5*V1247</f>
        <v/>
      </c>
      <c r="N1248" s="2">
        <f>IF(Z1247=1,"已停止",IF(T1247&gt;=M1248,"已下單","資金不足略過"))</f>
        <v/>
      </c>
      <c r="O1248" s="19">
        <f>IF(N1248="已下單",M1248*資金模擬!$B$7,0)</f>
        <v/>
      </c>
      <c r="P1248" s="4" t="n"/>
      <c r="Q1248" s="13" t="n">
        <v>0</v>
      </c>
      <c r="R1248" s="13">
        <f>R1247+Q1248</f>
        <v/>
      </c>
      <c r="S1248" s="19">
        <f>S1247+IF(N1248="已下單",M1248,0)</f>
        <v/>
      </c>
      <c r="T1248" s="19">
        <f>R1248-S1248</f>
        <v/>
      </c>
      <c r="U1248" s="2">
        <f>U1247+IF(N1248="已下單",1,0)</f>
        <v/>
      </c>
      <c r="V1248" s="19">
        <f>IF(資金模擬!$B$9=2,MAX(R1248,0),MAX(V1247,FLOOR(MAX(R1248,0),資金模擬!$B$6)))</f>
        <v/>
      </c>
      <c r="W1248" s="13">
        <f>MAX(W1247,R1248)</f>
        <v/>
      </c>
      <c r="X1248" s="4">
        <f>IF(W1248&gt;0,R1248/W1248-1,-1)</f>
        <v/>
      </c>
      <c r="Y1248" s="19">
        <f>IF(R1248&gt;0,S1248*資金模擬!$B$7/R1248,0)</f>
        <v/>
      </c>
      <c r="Z1248" s="2">
        <f>IF(OR(Z1247=1,R1248&lt;=資金模擬!$B$10),1,0)</f>
        <v/>
      </c>
    </row>
    <row r="1249">
      <c r="A1249" s="2" t="n">
        <v>1247</v>
      </c>
      <c r="B1249" s="7" t="n">
        <v>46297.54166666666</v>
      </c>
      <c r="C1249" s="2" t="inlineStr">
        <is>
          <t>出場</t>
        </is>
      </c>
      <c r="D1249" s="2" t="n">
        <v>623</v>
      </c>
      <c r="E1249" s="2" t="inlineStr">
        <is>
          <t>FET_USDT_PERP</t>
        </is>
      </c>
      <c r="F1249" s="2" t="inlineStr">
        <is>
          <t>做多</t>
        </is>
      </c>
      <c r="G1249" s="20" t="n">
        <v>0.2334</v>
      </c>
      <c r="H1249" s="20" t="n">
        <v>0.240402</v>
      </c>
      <c r="I1249" s="20" t="n">
        <v>0.22173</v>
      </c>
      <c r="J1249" s="20" t="n">
        <v>0.240402</v>
      </c>
      <c r="K1249" s="2" t="inlineStr">
        <is>
          <t>止盈</t>
        </is>
      </c>
      <c r="L1249" s="5">
        <f>交易明細!K624</f>
        <v/>
      </c>
      <c r="M1249" s="19">
        <f>M1243</f>
        <v/>
      </c>
      <c r="N1249" s="2">
        <f>N1243</f>
        <v/>
      </c>
      <c r="O1249" s="19">
        <f>O1243</f>
        <v/>
      </c>
      <c r="P1249" s="4">
        <f>交易明細!L624</f>
        <v/>
      </c>
      <c r="Q1249" s="13">
        <f>IF(N1249="已下單",O1249*P1249,0)</f>
        <v/>
      </c>
      <c r="R1249" s="13">
        <f>R1248+Q1249</f>
        <v/>
      </c>
      <c r="S1249" s="19">
        <f>S1248-IF(N1249="已下單",M1249,0)</f>
        <v/>
      </c>
      <c r="T1249" s="19">
        <f>R1249-S1249</f>
        <v/>
      </c>
      <c r="U1249" s="2">
        <f>U1248-IF(N1249="已下單",1,0)</f>
        <v/>
      </c>
      <c r="V1249" s="19">
        <f>IF(資金模擬!$B$9=2,MAX(R1249,0),MAX(V1248,FLOOR(MAX(R1249,0),資金模擬!$B$6)))</f>
        <v/>
      </c>
      <c r="W1249" s="13">
        <f>MAX(W1248,R1249)</f>
        <v/>
      </c>
      <c r="X1249" s="4">
        <f>IF(W1249&gt;0,R1249/W1249-1,-1)</f>
        <v/>
      </c>
      <c r="Y1249" s="19">
        <f>IF(R1249&gt;0,S1249*資金模擬!$B$7/R1249,0)</f>
        <v/>
      </c>
      <c r="Z1249" s="2">
        <f>IF(OR(Z1248=1,R1249&lt;=資金模擬!$B$10),1,0)</f>
        <v/>
      </c>
    </row>
    <row r="1250">
      <c r="A1250" s="2" t="n">
        <v>1248</v>
      </c>
      <c r="B1250" s="7" t="n">
        <v>46297.54166666666</v>
      </c>
      <c r="C1250" s="2" t="inlineStr">
        <is>
          <t>進場</t>
        </is>
      </c>
      <c r="D1250" s="2" t="n">
        <v>627</v>
      </c>
      <c r="E1250" s="2" t="inlineStr">
        <is>
          <t>BTW_USDT_PERP</t>
        </is>
      </c>
      <c r="F1250" s="2" t="inlineStr">
        <is>
          <t>做多</t>
        </is>
      </c>
      <c r="G1250" s="20" t="n">
        <v>1.478098</v>
      </c>
      <c r="H1250" s="20" t="n">
        <v>1.52244094</v>
      </c>
      <c r="I1250" s="20" t="n">
        <v>1.4041931</v>
      </c>
      <c r="J1250" s="20" t="n"/>
      <c r="K1250" s="2" t="n"/>
      <c r="L1250" s="5" t="n"/>
      <c r="M1250" s="19">
        <f>資金模擬!$B$5*V1249</f>
        <v/>
      </c>
      <c r="N1250" s="2">
        <f>IF(Z1249=1,"已停止",IF(T1249&gt;=M1250,"已下單","資金不足略過"))</f>
        <v/>
      </c>
      <c r="O1250" s="19">
        <f>IF(N1250="已下單",M1250*資金模擬!$B$7,0)</f>
        <v/>
      </c>
      <c r="P1250" s="4" t="n"/>
      <c r="Q1250" s="13" t="n">
        <v>0</v>
      </c>
      <c r="R1250" s="13">
        <f>R1249+Q1250</f>
        <v/>
      </c>
      <c r="S1250" s="19">
        <f>S1249+IF(N1250="已下單",M1250,0)</f>
        <v/>
      </c>
      <c r="T1250" s="19">
        <f>R1250-S1250</f>
        <v/>
      </c>
      <c r="U1250" s="2">
        <f>U1249+IF(N1250="已下單",1,0)</f>
        <v/>
      </c>
      <c r="V1250" s="19">
        <f>IF(資金模擬!$B$9=2,MAX(R1250,0),MAX(V1249,FLOOR(MAX(R1250,0),資金模擬!$B$6)))</f>
        <v/>
      </c>
      <c r="W1250" s="13">
        <f>MAX(W1249,R1250)</f>
        <v/>
      </c>
      <c r="X1250" s="4">
        <f>IF(W1250&gt;0,R1250/W1250-1,-1)</f>
        <v/>
      </c>
      <c r="Y1250" s="19">
        <f>IF(R1250&gt;0,S1250*資金模擬!$B$7/R1250,0)</f>
        <v/>
      </c>
      <c r="Z1250" s="2">
        <f>IF(OR(Z1249=1,R1250&lt;=資金模擬!$B$10),1,0)</f>
        <v/>
      </c>
    </row>
    <row r="1251">
      <c r="A1251" s="2" t="n">
        <v>1249</v>
      </c>
      <c r="B1251" s="7" t="n">
        <v>46297.54166666666</v>
      </c>
      <c r="C1251" s="2" t="inlineStr">
        <is>
          <t>進場</t>
        </is>
      </c>
      <c r="D1251" s="2" t="n">
        <v>628</v>
      </c>
      <c r="E1251" s="2" t="inlineStr">
        <is>
          <t>GRASS_USDT_PERP</t>
        </is>
      </c>
      <c r="F1251" s="2" t="inlineStr">
        <is>
          <t>做多</t>
        </is>
      </c>
      <c r="G1251" s="20" t="n">
        <v>0.7277</v>
      </c>
      <c r="H1251" s="20" t="n">
        <v>0.7495310000000001</v>
      </c>
      <c r="I1251" s="20" t="n">
        <v>0.691315</v>
      </c>
      <c r="J1251" s="20" t="n"/>
      <c r="K1251" s="2" t="n"/>
      <c r="L1251" s="5" t="n"/>
      <c r="M1251" s="19">
        <f>資金模擬!$B$5*V1250</f>
        <v/>
      </c>
      <c r="N1251" s="2">
        <f>IF(Z1250=1,"已停止",IF(T1250&gt;=M1251,"已下單","資金不足略過"))</f>
        <v/>
      </c>
      <c r="O1251" s="19">
        <f>IF(N1251="已下單",M1251*資金模擬!$B$7,0)</f>
        <v/>
      </c>
      <c r="P1251" s="4" t="n"/>
      <c r="Q1251" s="13" t="n">
        <v>0</v>
      </c>
      <c r="R1251" s="13">
        <f>R1250+Q1251</f>
        <v/>
      </c>
      <c r="S1251" s="19">
        <f>S1250+IF(N1251="已下單",M1251,0)</f>
        <v/>
      </c>
      <c r="T1251" s="19">
        <f>R1251-S1251</f>
        <v/>
      </c>
      <c r="U1251" s="2">
        <f>U1250+IF(N1251="已下單",1,0)</f>
        <v/>
      </c>
      <c r="V1251" s="19">
        <f>IF(資金模擬!$B$9=2,MAX(R1251,0),MAX(V1250,FLOOR(MAX(R1251,0),資金模擬!$B$6)))</f>
        <v/>
      </c>
      <c r="W1251" s="13">
        <f>MAX(W1250,R1251)</f>
        <v/>
      </c>
      <c r="X1251" s="4">
        <f>IF(W1251&gt;0,R1251/W1251-1,-1)</f>
        <v/>
      </c>
      <c r="Y1251" s="19">
        <f>IF(R1251&gt;0,S1251*資金模擬!$B$7/R1251,0)</f>
        <v/>
      </c>
      <c r="Z1251" s="2">
        <f>IF(OR(Z1250=1,R1251&lt;=資金模擬!$B$10),1,0)</f>
        <v/>
      </c>
    </row>
    <row r="1252">
      <c r="A1252" s="2" t="n">
        <v>1250</v>
      </c>
      <c r="B1252" s="7" t="n">
        <v>46297.58333333334</v>
      </c>
      <c r="C1252" s="2" t="inlineStr">
        <is>
          <t>進場</t>
        </is>
      </c>
      <c r="D1252" s="2" t="n">
        <v>629</v>
      </c>
      <c r="E1252" s="2" t="inlineStr">
        <is>
          <t>QNT_USDT_PERP</t>
        </is>
      </c>
      <c r="F1252" s="2" t="inlineStr">
        <is>
          <t>做空</t>
        </is>
      </c>
      <c r="G1252" s="20" t="n">
        <v>246.02</v>
      </c>
      <c r="H1252" s="20" t="n">
        <v>238.6394</v>
      </c>
      <c r="I1252" s="20" t="n">
        <v>258.321</v>
      </c>
      <c r="J1252" s="20" t="n"/>
      <c r="K1252" s="2" t="n"/>
      <c r="L1252" s="5" t="n"/>
      <c r="M1252" s="19">
        <f>資金模擬!$B$5*V1251</f>
        <v/>
      </c>
      <c r="N1252" s="2">
        <f>IF(Z1251=1,"已停止",IF(T1251&gt;=M1252,"已下單","資金不足略過"))</f>
        <v/>
      </c>
      <c r="O1252" s="19">
        <f>IF(N1252="已下單",M1252*資金模擬!$B$7,0)</f>
        <v/>
      </c>
      <c r="P1252" s="4" t="n"/>
      <c r="Q1252" s="13" t="n">
        <v>0</v>
      </c>
      <c r="R1252" s="13">
        <f>R1251+Q1252</f>
        <v/>
      </c>
      <c r="S1252" s="19">
        <f>S1251+IF(N1252="已下單",M1252,0)</f>
        <v/>
      </c>
      <c r="T1252" s="19">
        <f>R1252-S1252</f>
        <v/>
      </c>
      <c r="U1252" s="2">
        <f>U1251+IF(N1252="已下單",1,0)</f>
        <v/>
      </c>
      <c r="V1252" s="19">
        <f>IF(資金模擬!$B$9=2,MAX(R1252,0),MAX(V1251,FLOOR(MAX(R1252,0),資金模擬!$B$6)))</f>
        <v/>
      </c>
      <c r="W1252" s="13">
        <f>MAX(W1251,R1252)</f>
        <v/>
      </c>
      <c r="X1252" s="4">
        <f>IF(W1252&gt;0,R1252/W1252-1,-1)</f>
        <v/>
      </c>
      <c r="Y1252" s="19">
        <f>IF(R1252&gt;0,S1252*資金模擬!$B$7/R1252,0)</f>
        <v/>
      </c>
      <c r="Z1252" s="2">
        <f>IF(OR(Z1251=1,R1252&lt;=資金模擬!$B$10),1,0)</f>
        <v/>
      </c>
    </row>
    <row r="1253">
      <c r="A1253" s="2" t="n">
        <v>1251</v>
      </c>
      <c r="B1253" s="7" t="n">
        <v>46297.625</v>
      </c>
      <c r="C1253" s="2" t="inlineStr">
        <is>
          <t>出場</t>
        </is>
      </c>
      <c r="D1253" s="2" t="n">
        <v>629</v>
      </c>
      <c r="E1253" s="2" t="inlineStr">
        <is>
          <t>QNT_USDT_PERP</t>
        </is>
      </c>
      <c r="F1253" s="2" t="inlineStr">
        <is>
          <t>做空</t>
        </is>
      </c>
      <c r="G1253" s="20" t="n">
        <v>246.02</v>
      </c>
      <c r="H1253" s="20" t="n">
        <v>238.6394</v>
      </c>
      <c r="I1253" s="20" t="n">
        <v>258.321</v>
      </c>
      <c r="J1253" s="20" t="n">
        <v>238.6394</v>
      </c>
      <c r="K1253" s="2" t="inlineStr">
        <is>
          <t>止盈</t>
        </is>
      </c>
      <c r="L1253" s="5">
        <f>交易明細!K630</f>
        <v/>
      </c>
      <c r="M1253" s="19">
        <f>M1252</f>
        <v/>
      </c>
      <c r="N1253" s="2">
        <f>N1252</f>
        <v/>
      </c>
      <c r="O1253" s="19">
        <f>O1252</f>
        <v/>
      </c>
      <c r="P1253" s="4">
        <f>交易明細!L630</f>
        <v/>
      </c>
      <c r="Q1253" s="13">
        <f>IF(N1253="已下單",O1253*P1253,0)</f>
        <v/>
      </c>
      <c r="R1253" s="13">
        <f>R1252+Q1253</f>
        <v/>
      </c>
      <c r="S1253" s="19">
        <f>S1252-IF(N1253="已下單",M1253,0)</f>
        <v/>
      </c>
      <c r="T1253" s="19">
        <f>R1253-S1253</f>
        <v/>
      </c>
      <c r="U1253" s="2">
        <f>U1252-IF(N1253="已下單",1,0)</f>
        <v/>
      </c>
      <c r="V1253" s="19">
        <f>IF(資金模擬!$B$9=2,MAX(R1253,0),MAX(V1252,FLOOR(MAX(R1253,0),資金模擬!$B$6)))</f>
        <v/>
      </c>
      <c r="W1253" s="13">
        <f>MAX(W1252,R1253)</f>
        <v/>
      </c>
      <c r="X1253" s="4">
        <f>IF(W1253&gt;0,R1253/W1253-1,-1)</f>
        <v/>
      </c>
      <c r="Y1253" s="19">
        <f>IF(R1253&gt;0,S1253*資金模擬!$B$7/R1253,0)</f>
        <v/>
      </c>
      <c r="Z1253" s="2">
        <f>IF(OR(Z1252=1,R1253&lt;=資金模擬!$B$10),1,0)</f>
        <v/>
      </c>
    </row>
    <row r="1254">
      <c r="A1254" s="2" t="n">
        <v>1252</v>
      </c>
      <c r="B1254" s="7" t="n">
        <v>46297.66666666666</v>
      </c>
      <c r="C1254" s="2" t="inlineStr">
        <is>
          <t>出場</t>
        </is>
      </c>
      <c r="D1254" s="2" t="n">
        <v>625</v>
      </c>
      <c r="E1254" s="2" t="inlineStr">
        <is>
          <t>PUMP_USDT_PERP</t>
        </is>
      </c>
      <c r="F1254" s="2" t="inlineStr">
        <is>
          <t>做多</t>
        </is>
      </c>
      <c r="G1254" s="20" t="n">
        <v>0.005866</v>
      </c>
      <c r="H1254" s="20" t="n">
        <v>0.00604198</v>
      </c>
      <c r="I1254" s="20" t="n">
        <v>0.005572699999999999</v>
      </c>
      <c r="J1254" s="20" t="n">
        <v>0.00604198</v>
      </c>
      <c r="K1254" s="2" t="inlineStr">
        <is>
          <t>止盈</t>
        </is>
      </c>
      <c r="L1254" s="5">
        <f>交易明細!K626</f>
        <v/>
      </c>
      <c r="M1254" s="19">
        <f>M1245</f>
        <v/>
      </c>
      <c r="N1254" s="2">
        <f>N1245</f>
        <v/>
      </c>
      <c r="O1254" s="19">
        <f>O1245</f>
        <v/>
      </c>
      <c r="P1254" s="4">
        <f>交易明細!L626</f>
        <v/>
      </c>
      <c r="Q1254" s="13">
        <f>IF(N1254="已下單",O1254*P1254,0)</f>
        <v/>
      </c>
      <c r="R1254" s="13">
        <f>R1253+Q1254</f>
        <v/>
      </c>
      <c r="S1254" s="19">
        <f>S1253-IF(N1254="已下單",M1254,0)</f>
        <v/>
      </c>
      <c r="T1254" s="19">
        <f>R1254-S1254</f>
        <v/>
      </c>
      <c r="U1254" s="2">
        <f>U1253-IF(N1254="已下單",1,0)</f>
        <v/>
      </c>
      <c r="V1254" s="19">
        <f>IF(資金模擬!$B$9=2,MAX(R1254,0),MAX(V1253,FLOOR(MAX(R1254,0),資金模擬!$B$6)))</f>
        <v/>
      </c>
      <c r="W1254" s="13">
        <f>MAX(W1253,R1254)</f>
        <v/>
      </c>
      <c r="X1254" s="4">
        <f>IF(W1254&gt;0,R1254/W1254-1,-1)</f>
        <v/>
      </c>
      <c r="Y1254" s="19">
        <f>IF(R1254&gt;0,S1254*資金模擬!$B$7/R1254,0)</f>
        <v/>
      </c>
      <c r="Z1254" s="2">
        <f>IF(OR(Z1253=1,R1254&lt;=資金模擬!$B$10),1,0)</f>
        <v/>
      </c>
    </row>
    <row r="1255">
      <c r="A1255" s="2" t="n">
        <v>1253</v>
      </c>
      <c r="B1255" s="7" t="n">
        <v>46297.66666666666</v>
      </c>
      <c r="C1255" s="2" t="inlineStr">
        <is>
          <t>出場</t>
        </is>
      </c>
      <c r="D1255" s="2" t="n">
        <v>626</v>
      </c>
      <c r="E1255" s="2" t="inlineStr">
        <is>
          <t>SOON_USDT_PERP</t>
        </is>
      </c>
      <c r="F1255" s="2" t="inlineStr">
        <is>
          <t>做空</t>
        </is>
      </c>
      <c r="G1255" s="20" t="n">
        <v>0.4203</v>
      </c>
      <c r="H1255" s="20" t="n">
        <v>0.407691</v>
      </c>
      <c r="I1255" s="20" t="n">
        <v>0.441315</v>
      </c>
      <c r="J1255" s="20" t="n">
        <v>0.407691</v>
      </c>
      <c r="K1255" s="2" t="inlineStr">
        <is>
          <t>止盈</t>
        </is>
      </c>
      <c r="L1255" s="5">
        <f>交易明細!K627</f>
        <v/>
      </c>
      <c r="M1255" s="19">
        <f>M1248</f>
        <v/>
      </c>
      <c r="N1255" s="2">
        <f>N1248</f>
        <v/>
      </c>
      <c r="O1255" s="19">
        <f>O1248</f>
        <v/>
      </c>
      <c r="P1255" s="4">
        <f>交易明細!L627</f>
        <v/>
      </c>
      <c r="Q1255" s="13">
        <f>IF(N1255="已下單",O1255*P1255,0)</f>
        <v/>
      </c>
      <c r="R1255" s="13">
        <f>R1254+Q1255</f>
        <v/>
      </c>
      <c r="S1255" s="19">
        <f>S1254-IF(N1255="已下單",M1255,0)</f>
        <v/>
      </c>
      <c r="T1255" s="19">
        <f>R1255-S1255</f>
        <v/>
      </c>
      <c r="U1255" s="2">
        <f>U1254-IF(N1255="已下單",1,0)</f>
        <v/>
      </c>
      <c r="V1255" s="19">
        <f>IF(資金模擬!$B$9=2,MAX(R1255,0),MAX(V1254,FLOOR(MAX(R1255,0),資金模擬!$B$6)))</f>
        <v/>
      </c>
      <c r="W1255" s="13">
        <f>MAX(W1254,R1255)</f>
        <v/>
      </c>
      <c r="X1255" s="4">
        <f>IF(W1255&gt;0,R1255/W1255-1,-1)</f>
        <v/>
      </c>
      <c r="Y1255" s="19">
        <f>IF(R1255&gt;0,S1255*資金模擬!$B$7/R1255,0)</f>
        <v/>
      </c>
      <c r="Z1255" s="2">
        <f>IF(OR(Z1254=1,R1255&lt;=資金模擬!$B$10),1,0)</f>
        <v/>
      </c>
    </row>
    <row r="1256">
      <c r="A1256" s="2" t="n">
        <v>1254</v>
      </c>
      <c r="B1256" s="7" t="n">
        <v>46297.75</v>
      </c>
      <c r="C1256" s="2" t="inlineStr">
        <is>
          <t>進場</t>
        </is>
      </c>
      <c r="D1256" s="2" t="n">
        <v>630</v>
      </c>
      <c r="E1256" s="2" t="inlineStr">
        <is>
          <t>AKE_USDT_PERP</t>
        </is>
      </c>
      <c r="F1256" s="2" t="inlineStr">
        <is>
          <t>做多</t>
        </is>
      </c>
      <c r="G1256" s="20" t="n">
        <v>0.0322171</v>
      </c>
      <c r="H1256" s="20" t="n">
        <v>0.033183613</v>
      </c>
      <c r="I1256" s="20" t="n">
        <v>0.030606245</v>
      </c>
      <c r="J1256" s="20" t="n"/>
      <c r="K1256" s="2" t="n"/>
      <c r="L1256" s="5" t="n"/>
      <c r="M1256" s="19">
        <f>資金模擬!$B$5*V1255</f>
        <v/>
      </c>
      <c r="N1256" s="2">
        <f>IF(Z1255=1,"已停止",IF(T1255&gt;=M1256,"已下單","資金不足略過"))</f>
        <v/>
      </c>
      <c r="O1256" s="19">
        <f>IF(N1256="已下單",M1256*資金模擬!$B$7,0)</f>
        <v/>
      </c>
      <c r="P1256" s="4" t="n"/>
      <c r="Q1256" s="13" t="n">
        <v>0</v>
      </c>
      <c r="R1256" s="13">
        <f>R1255+Q1256</f>
        <v/>
      </c>
      <c r="S1256" s="19">
        <f>S1255+IF(N1256="已下單",M1256,0)</f>
        <v/>
      </c>
      <c r="T1256" s="19">
        <f>R1256-S1256</f>
        <v/>
      </c>
      <c r="U1256" s="2">
        <f>U1255+IF(N1256="已下單",1,0)</f>
        <v/>
      </c>
      <c r="V1256" s="19">
        <f>IF(資金模擬!$B$9=2,MAX(R1256,0),MAX(V1255,FLOOR(MAX(R1256,0),資金模擬!$B$6)))</f>
        <v/>
      </c>
      <c r="W1256" s="13">
        <f>MAX(W1255,R1256)</f>
        <v/>
      </c>
      <c r="X1256" s="4">
        <f>IF(W1256&gt;0,R1256/W1256-1,-1)</f>
        <v/>
      </c>
      <c r="Y1256" s="19">
        <f>IF(R1256&gt;0,S1256*資金模擬!$B$7/R1256,0)</f>
        <v/>
      </c>
      <c r="Z1256" s="2">
        <f>IF(OR(Z1255=1,R1256&lt;=資金模擬!$B$10),1,0)</f>
        <v/>
      </c>
    </row>
    <row r="1257">
      <c r="A1257" s="2" t="n">
        <v>1255</v>
      </c>
      <c r="B1257" s="7" t="n">
        <v>46297.79166666666</v>
      </c>
      <c r="C1257" s="2" t="inlineStr">
        <is>
          <t>出場</t>
        </is>
      </c>
      <c r="D1257" s="2" t="n">
        <v>628</v>
      </c>
      <c r="E1257" s="2" t="inlineStr">
        <is>
          <t>GRASS_USDT_PERP</t>
        </is>
      </c>
      <c r="F1257" s="2" t="inlineStr">
        <is>
          <t>做多</t>
        </is>
      </c>
      <c r="G1257" s="20" t="n">
        <v>0.7277</v>
      </c>
      <c r="H1257" s="20" t="n">
        <v>0.7495310000000001</v>
      </c>
      <c r="I1257" s="20" t="n">
        <v>0.691315</v>
      </c>
      <c r="J1257" s="20" t="n">
        <v>0.691315</v>
      </c>
      <c r="K1257" s="2" t="inlineStr">
        <is>
          <t>止損</t>
        </is>
      </c>
      <c r="L1257" s="5">
        <f>交易明細!K629</f>
        <v/>
      </c>
      <c r="M1257" s="19">
        <f>M1251</f>
        <v/>
      </c>
      <c r="N1257" s="2">
        <f>N1251</f>
        <v/>
      </c>
      <c r="O1257" s="19">
        <f>O1251</f>
        <v/>
      </c>
      <c r="P1257" s="4">
        <f>交易明細!L629</f>
        <v/>
      </c>
      <c r="Q1257" s="13">
        <f>IF(N1257="已下單",O1257*P1257,0)</f>
        <v/>
      </c>
      <c r="R1257" s="13">
        <f>R1256+Q1257</f>
        <v/>
      </c>
      <c r="S1257" s="19">
        <f>S1256-IF(N1257="已下單",M1257,0)</f>
        <v/>
      </c>
      <c r="T1257" s="19">
        <f>R1257-S1257</f>
        <v/>
      </c>
      <c r="U1257" s="2">
        <f>U1256-IF(N1257="已下單",1,0)</f>
        <v/>
      </c>
      <c r="V1257" s="19">
        <f>IF(資金模擬!$B$9=2,MAX(R1257,0),MAX(V1256,FLOOR(MAX(R1257,0),資金模擬!$B$6)))</f>
        <v/>
      </c>
      <c r="W1257" s="13">
        <f>MAX(W1256,R1257)</f>
        <v/>
      </c>
      <c r="X1257" s="4">
        <f>IF(W1257&gt;0,R1257/W1257-1,-1)</f>
        <v/>
      </c>
      <c r="Y1257" s="19">
        <f>IF(R1257&gt;0,S1257*資金模擬!$B$7/R1257,0)</f>
        <v/>
      </c>
      <c r="Z1257" s="2">
        <f>IF(OR(Z1256=1,R1257&lt;=資金模擬!$B$10),1,0)</f>
        <v/>
      </c>
    </row>
    <row r="1258">
      <c r="A1258" s="2" t="n">
        <v>1256</v>
      </c>
      <c r="B1258" s="7" t="n">
        <v>46297.83333333334</v>
      </c>
      <c r="C1258" s="2" t="inlineStr">
        <is>
          <t>出場</t>
        </is>
      </c>
      <c r="D1258" s="2" t="n">
        <v>614</v>
      </c>
      <c r="E1258" s="2" t="inlineStr">
        <is>
          <t>TRUMP_USDT_PERP</t>
        </is>
      </c>
      <c r="F1258" s="2" t="inlineStr">
        <is>
          <t>做空</t>
        </is>
      </c>
      <c r="G1258" s="20" t="n">
        <v>2.048</v>
      </c>
      <c r="H1258" s="20" t="n">
        <v>1.98656</v>
      </c>
      <c r="I1258" s="20" t="n">
        <v>2.1504</v>
      </c>
      <c r="J1258" s="20" t="n">
        <v>2.1504</v>
      </c>
      <c r="K1258" s="2" t="inlineStr">
        <is>
          <t>止損</t>
        </is>
      </c>
      <c r="L1258" s="5">
        <f>交易明細!K615</f>
        <v/>
      </c>
      <c r="M1258" s="19">
        <f>M1225</f>
        <v/>
      </c>
      <c r="N1258" s="2">
        <f>N1225</f>
        <v/>
      </c>
      <c r="O1258" s="19">
        <f>O1225</f>
        <v/>
      </c>
      <c r="P1258" s="4">
        <f>交易明細!L615</f>
        <v/>
      </c>
      <c r="Q1258" s="13">
        <f>IF(N1258="已下單",O1258*P1258,0)</f>
        <v/>
      </c>
      <c r="R1258" s="13">
        <f>R1257+Q1258</f>
        <v/>
      </c>
      <c r="S1258" s="19">
        <f>S1257-IF(N1258="已下單",M1258,0)</f>
        <v/>
      </c>
      <c r="T1258" s="19">
        <f>R1258-S1258</f>
        <v/>
      </c>
      <c r="U1258" s="2">
        <f>U1257-IF(N1258="已下單",1,0)</f>
        <v/>
      </c>
      <c r="V1258" s="19">
        <f>IF(資金模擬!$B$9=2,MAX(R1258,0),MAX(V1257,FLOOR(MAX(R1258,0),資金模擬!$B$6)))</f>
        <v/>
      </c>
      <c r="W1258" s="13">
        <f>MAX(W1257,R1258)</f>
        <v/>
      </c>
      <c r="X1258" s="4">
        <f>IF(W1258&gt;0,R1258/W1258-1,-1)</f>
        <v/>
      </c>
      <c r="Y1258" s="19">
        <f>IF(R1258&gt;0,S1258*資金模擬!$B$7/R1258,0)</f>
        <v/>
      </c>
      <c r="Z1258" s="2">
        <f>IF(OR(Z1257=1,R1258&lt;=資金模擬!$B$10),1,0)</f>
        <v/>
      </c>
    </row>
    <row r="1259">
      <c r="A1259" s="2" t="n">
        <v>1257</v>
      </c>
      <c r="B1259" s="7" t="n">
        <v>46297.83333333334</v>
      </c>
      <c r="C1259" s="2" t="inlineStr">
        <is>
          <t>出場</t>
        </is>
      </c>
      <c r="D1259" s="2" t="n">
        <v>627</v>
      </c>
      <c r="E1259" s="2" t="inlineStr">
        <is>
          <t>BTW_USDT_PERP</t>
        </is>
      </c>
      <c r="F1259" s="2" t="inlineStr">
        <is>
          <t>做多</t>
        </is>
      </c>
      <c r="G1259" s="20" t="n">
        <v>1.478098</v>
      </c>
      <c r="H1259" s="20" t="n">
        <v>1.52244094</v>
      </c>
      <c r="I1259" s="20" t="n">
        <v>1.4041931</v>
      </c>
      <c r="J1259" s="20" t="n">
        <v>1.4041931</v>
      </c>
      <c r="K1259" s="2" t="inlineStr">
        <is>
          <t>止損</t>
        </is>
      </c>
      <c r="L1259" s="5">
        <f>交易明細!K628</f>
        <v/>
      </c>
      <c r="M1259" s="19">
        <f>M1250</f>
        <v/>
      </c>
      <c r="N1259" s="2">
        <f>N1250</f>
        <v/>
      </c>
      <c r="O1259" s="19">
        <f>O1250</f>
        <v/>
      </c>
      <c r="P1259" s="4">
        <f>交易明細!L628</f>
        <v/>
      </c>
      <c r="Q1259" s="13">
        <f>IF(N1259="已下單",O1259*P1259,0)</f>
        <v/>
      </c>
      <c r="R1259" s="13">
        <f>R1258+Q1259</f>
        <v/>
      </c>
      <c r="S1259" s="19">
        <f>S1258-IF(N1259="已下單",M1259,0)</f>
        <v/>
      </c>
      <c r="T1259" s="19">
        <f>R1259-S1259</f>
        <v/>
      </c>
      <c r="U1259" s="2">
        <f>U1258-IF(N1259="已下單",1,0)</f>
        <v/>
      </c>
      <c r="V1259" s="19">
        <f>IF(資金模擬!$B$9=2,MAX(R1259,0),MAX(V1258,FLOOR(MAX(R1259,0),資金模擬!$B$6)))</f>
        <v/>
      </c>
      <c r="W1259" s="13">
        <f>MAX(W1258,R1259)</f>
        <v/>
      </c>
      <c r="X1259" s="4">
        <f>IF(W1259&gt;0,R1259/W1259-1,-1)</f>
        <v/>
      </c>
      <c r="Y1259" s="19">
        <f>IF(R1259&gt;0,S1259*資金模擬!$B$7/R1259,0)</f>
        <v/>
      </c>
      <c r="Z1259" s="2">
        <f>IF(OR(Z1258=1,R1259&lt;=資金模擬!$B$10),1,0)</f>
        <v/>
      </c>
    </row>
    <row r="1260">
      <c r="A1260" s="2" t="n">
        <v>1258</v>
      </c>
      <c r="B1260" s="7" t="n">
        <v>46297.91666666666</v>
      </c>
      <c r="C1260" s="2" t="inlineStr">
        <is>
          <t>出場</t>
        </is>
      </c>
      <c r="D1260" s="2" t="n">
        <v>622</v>
      </c>
      <c r="E1260" s="2" t="inlineStr">
        <is>
          <t>ZEC_USDT_PERP</t>
        </is>
      </c>
      <c r="F1260" s="2" t="inlineStr">
        <is>
          <t>做空</t>
        </is>
      </c>
      <c r="G1260" s="20" t="n">
        <v>1342.99</v>
      </c>
      <c r="H1260" s="20" t="n">
        <v>1302.7003</v>
      </c>
      <c r="I1260" s="20" t="n">
        <v>1410.1395</v>
      </c>
      <c r="J1260" s="20" t="n">
        <v>1410.1395</v>
      </c>
      <c r="K1260" s="2" t="inlineStr">
        <is>
          <t>止損</t>
        </is>
      </c>
      <c r="L1260" s="5">
        <f>交易明細!K623</f>
        <v/>
      </c>
      <c r="M1260" s="19">
        <f>M1239</f>
        <v/>
      </c>
      <c r="N1260" s="2">
        <f>N1239</f>
        <v/>
      </c>
      <c r="O1260" s="19">
        <f>O1239</f>
        <v/>
      </c>
      <c r="P1260" s="4">
        <f>交易明細!L623</f>
        <v/>
      </c>
      <c r="Q1260" s="13">
        <f>IF(N1260="已下單",O1260*P1260,0)</f>
        <v/>
      </c>
      <c r="R1260" s="13">
        <f>R1259+Q1260</f>
        <v/>
      </c>
      <c r="S1260" s="19">
        <f>S1259-IF(N1260="已下單",M1260,0)</f>
        <v/>
      </c>
      <c r="T1260" s="19">
        <f>R1260-S1260</f>
        <v/>
      </c>
      <c r="U1260" s="2">
        <f>U1259-IF(N1260="已下單",1,0)</f>
        <v/>
      </c>
      <c r="V1260" s="19">
        <f>IF(資金模擬!$B$9=2,MAX(R1260,0),MAX(V1259,FLOOR(MAX(R1260,0),資金模擬!$B$6)))</f>
        <v/>
      </c>
      <c r="W1260" s="13">
        <f>MAX(W1259,R1260)</f>
        <v/>
      </c>
      <c r="X1260" s="4">
        <f>IF(W1260&gt;0,R1260/W1260-1,-1)</f>
        <v/>
      </c>
      <c r="Y1260" s="19">
        <f>IF(R1260&gt;0,S1260*資金模擬!$B$7/R1260,0)</f>
        <v/>
      </c>
      <c r="Z1260" s="2">
        <f>IF(OR(Z1259=1,R1260&lt;=資金模擬!$B$10),1,0)</f>
        <v/>
      </c>
    </row>
    <row r="1261">
      <c r="A1261" s="2" t="n">
        <v>1259</v>
      </c>
      <c r="B1261" s="7" t="n">
        <v>46297.91666666666</v>
      </c>
      <c r="C1261" s="2" t="inlineStr">
        <is>
          <t>進場</t>
        </is>
      </c>
      <c r="D1261" s="2" t="n">
        <v>631</v>
      </c>
      <c r="E1261" s="2" t="inlineStr">
        <is>
          <t>PUMP_USDT_PERP</t>
        </is>
      </c>
      <c r="F1261" s="2" t="inlineStr">
        <is>
          <t>做多</t>
        </is>
      </c>
      <c r="G1261" s="20" t="n">
        <v>0.006062</v>
      </c>
      <c r="H1261" s="20" t="n">
        <v>0.00624386</v>
      </c>
      <c r="I1261" s="20" t="n">
        <v>0.005758899999999999</v>
      </c>
      <c r="J1261" s="20" t="n"/>
      <c r="K1261" s="2" t="n"/>
      <c r="L1261" s="5" t="n"/>
      <c r="M1261" s="19">
        <f>資金模擬!$B$5*V1260</f>
        <v/>
      </c>
      <c r="N1261" s="2">
        <f>IF(Z1260=1,"已停止",IF(T1260&gt;=M1261,"已下單","資金不足略過"))</f>
        <v/>
      </c>
      <c r="O1261" s="19">
        <f>IF(N1261="已下單",M1261*資金模擬!$B$7,0)</f>
        <v/>
      </c>
      <c r="P1261" s="4" t="n"/>
      <c r="Q1261" s="13" t="n">
        <v>0</v>
      </c>
      <c r="R1261" s="13">
        <f>R1260+Q1261</f>
        <v/>
      </c>
      <c r="S1261" s="19">
        <f>S1260+IF(N1261="已下單",M1261,0)</f>
        <v/>
      </c>
      <c r="T1261" s="19">
        <f>R1261-S1261</f>
        <v/>
      </c>
      <c r="U1261" s="2">
        <f>U1260+IF(N1261="已下單",1,0)</f>
        <v/>
      </c>
      <c r="V1261" s="19">
        <f>IF(資金模擬!$B$9=2,MAX(R1261,0),MAX(V1260,FLOOR(MAX(R1261,0),資金模擬!$B$6)))</f>
        <v/>
      </c>
      <c r="W1261" s="13">
        <f>MAX(W1260,R1261)</f>
        <v/>
      </c>
      <c r="X1261" s="4">
        <f>IF(W1261&gt;0,R1261/W1261-1,-1)</f>
        <v/>
      </c>
      <c r="Y1261" s="19">
        <f>IF(R1261&gt;0,S1261*資金模擬!$B$7/R1261,0)</f>
        <v/>
      </c>
      <c r="Z1261" s="2">
        <f>IF(OR(Z1260=1,R1261&lt;=資金模擬!$B$10),1,0)</f>
        <v/>
      </c>
    </row>
    <row r="1262">
      <c r="A1262" s="2" t="n">
        <v>1260</v>
      </c>
      <c r="B1262" s="7" t="n">
        <v>46298</v>
      </c>
      <c r="C1262" s="2" t="inlineStr">
        <is>
          <t>出場</t>
        </is>
      </c>
      <c r="D1262" s="2" t="n">
        <v>630</v>
      </c>
      <c r="E1262" s="2" t="inlineStr">
        <is>
          <t>AKE_USDT_PERP</t>
        </is>
      </c>
      <c r="F1262" s="2" t="inlineStr">
        <is>
          <t>做多</t>
        </is>
      </c>
      <c r="G1262" s="20" t="n">
        <v>0.0322171</v>
      </c>
      <c r="H1262" s="20" t="n">
        <v>0.033183613</v>
      </c>
      <c r="I1262" s="20" t="n">
        <v>0.030606245</v>
      </c>
      <c r="J1262" s="20" t="n">
        <v>0.033183613</v>
      </c>
      <c r="K1262" s="2" t="inlineStr">
        <is>
          <t>止盈</t>
        </is>
      </c>
      <c r="L1262" s="5">
        <f>交易明細!K631</f>
        <v/>
      </c>
      <c r="M1262" s="19">
        <f>M1256</f>
        <v/>
      </c>
      <c r="N1262" s="2">
        <f>N1256</f>
        <v/>
      </c>
      <c r="O1262" s="19">
        <f>O1256</f>
        <v/>
      </c>
      <c r="P1262" s="4">
        <f>交易明細!L631</f>
        <v/>
      </c>
      <c r="Q1262" s="13">
        <f>IF(N1262="已下單",O1262*P1262,0)</f>
        <v/>
      </c>
      <c r="R1262" s="13">
        <f>R1261+Q1262</f>
        <v/>
      </c>
      <c r="S1262" s="19">
        <f>S1261-IF(N1262="已下單",M1262,0)</f>
        <v/>
      </c>
      <c r="T1262" s="19">
        <f>R1262-S1262</f>
        <v/>
      </c>
      <c r="U1262" s="2">
        <f>U1261-IF(N1262="已下單",1,0)</f>
        <v/>
      </c>
      <c r="V1262" s="19">
        <f>IF(資金模擬!$B$9=2,MAX(R1262,0),MAX(V1261,FLOOR(MAX(R1262,0),資金模擬!$B$6)))</f>
        <v/>
      </c>
      <c r="W1262" s="13">
        <f>MAX(W1261,R1262)</f>
        <v/>
      </c>
      <c r="X1262" s="4">
        <f>IF(W1262&gt;0,R1262/W1262-1,-1)</f>
        <v/>
      </c>
      <c r="Y1262" s="19">
        <f>IF(R1262&gt;0,S1262*資金模擬!$B$7/R1262,0)</f>
        <v/>
      </c>
      <c r="Z1262" s="2">
        <f>IF(OR(Z1261=1,R1262&lt;=資金模擬!$B$10),1,0)</f>
        <v/>
      </c>
    </row>
    <row r="1263">
      <c r="A1263" s="2" t="n">
        <v>1261</v>
      </c>
      <c r="B1263" s="7" t="n">
        <v>46298.125</v>
      </c>
      <c r="C1263" s="2" t="inlineStr">
        <is>
          <t>出場</t>
        </is>
      </c>
      <c r="D1263" s="2" t="n">
        <v>624</v>
      </c>
      <c r="E1263" s="2" t="inlineStr">
        <is>
          <t>SUI_USDT_PERP</t>
        </is>
      </c>
      <c r="F1263" s="2" t="inlineStr">
        <is>
          <t>做多</t>
        </is>
      </c>
      <c r="G1263" s="20" t="n">
        <v>1.1891</v>
      </c>
      <c r="H1263" s="20" t="n">
        <v>1.224773</v>
      </c>
      <c r="I1263" s="20" t="n">
        <v>1.129645</v>
      </c>
      <c r="J1263" s="20" t="n">
        <v>1.129645</v>
      </c>
      <c r="K1263" s="2" t="inlineStr">
        <is>
          <t>止損</t>
        </is>
      </c>
      <c r="L1263" s="5">
        <f>交易明細!K625</f>
        <v/>
      </c>
      <c r="M1263" s="19">
        <f>M1244</f>
        <v/>
      </c>
      <c r="N1263" s="2">
        <f>N1244</f>
        <v/>
      </c>
      <c r="O1263" s="19">
        <f>O1244</f>
        <v/>
      </c>
      <c r="P1263" s="4">
        <f>交易明細!L625</f>
        <v/>
      </c>
      <c r="Q1263" s="13">
        <f>IF(N1263="已下單",O1263*P1263,0)</f>
        <v/>
      </c>
      <c r="R1263" s="13">
        <f>R1262+Q1263</f>
        <v/>
      </c>
      <c r="S1263" s="19">
        <f>S1262-IF(N1263="已下單",M1263,0)</f>
        <v/>
      </c>
      <c r="T1263" s="19">
        <f>R1263-S1263</f>
        <v/>
      </c>
      <c r="U1263" s="2">
        <f>U1262-IF(N1263="已下單",1,0)</f>
        <v/>
      </c>
      <c r="V1263" s="19">
        <f>IF(資金模擬!$B$9=2,MAX(R1263,0),MAX(V1262,FLOOR(MAX(R1263,0),資金模擬!$B$6)))</f>
        <v/>
      </c>
      <c r="W1263" s="13">
        <f>MAX(W1262,R1263)</f>
        <v/>
      </c>
      <c r="X1263" s="4">
        <f>IF(W1263&gt;0,R1263/W1263-1,-1)</f>
        <v/>
      </c>
      <c r="Y1263" s="19">
        <f>IF(R1263&gt;0,S1263*資金模擬!$B$7/R1263,0)</f>
        <v/>
      </c>
      <c r="Z1263" s="2">
        <f>IF(OR(Z1262=1,R1263&lt;=資金模擬!$B$10),1,0)</f>
        <v/>
      </c>
    </row>
    <row r="1264">
      <c r="A1264" s="2" t="n">
        <v>1262</v>
      </c>
      <c r="B1264" s="7" t="n">
        <v>46298.125</v>
      </c>
      <c r="C1264" s="2" t="inlineStr">
        <is>
          <t>出場</t>
        </is>
      </c>
      <c r="D1264" s="2" t="n">
        <v>631</v>
      </c>
      <c r="E1264" s="2" t="inlineStr">
        <is>
          <t>PUMP_USDT_PERP</t>
        </is>
      </c>
      <c r="F1264" s="2" t="inlineStr">
        <is>
          <t>做多</t>
        </is>
      </c>
      <c r="G1264" s="20" t="n">
        <v>0.006062</v>
      </c>
      <c r="H1264" s="20" t="n">
        <v>0.00624386</v>
      </c>
      <c r="I1264" s="20" t="n">
        <v>0.005758899999999999</v>
      </c>
      <c r="J1264" s="20" t="n">
        <v>0.005758899999999999</v>
      </c>
      <c r="K1264" s="2" t="inlineStr">
        <is>
          <t>止損</t>
        </is>
      </c>
      <c r="L1264" s="5">
        <f>交易明細!K632</f>
        <v/>
      </c>
      <c r="M1264" s="19">
        <f>M1261</f>
        <v/>
      </c>
      <c r="N1264" s="2">
        <f>N1261</f>
        <v/>
      </c>
      <c r="O1264" s="19">
        <f>O1261</f>
        <v/>
      </c>
      <c r="P1264" s="4">
        <f>交易明細!L632</f>
        <v/>
      </c>
      <c r="Q1264" s="13">
        <f>IF(N1264="已下單",O1264*P1264,0)</f>
        <v/>
      </c>
      <c r="R1264" s="13">
        <f>R1263+Q1264</f>
        <v/>
      </c>
      <c r="S1264" s="19">
        <f>S1263-IF(N1264="已下單",M1264,0)</f>
        <v/>
      </c>
      <c r="T1264" s="19">
        <f>R1264-S1264</f>
        <v/>
      </c>
      <c r="U1264" s="2">
        <f>U1263-IF(N1264="已下單",1,0)</f>
        <v/>
      </c>
      <c r="V1264" s="19">
        <f>IF(資金模擬!$B$9=2,MAX(R1264,0),MAX(V1263,FLOOR(MAX(R1264,0),資金模擬!$B$6)))</f>
        <v/>
      </c>
      <c r="W1264" s="13">
        <f>MAX(W1263,R1264)</f>
        <v/>
      </c>
      <c r="X1264" s="4">
        <f>IF(W1264&gt;0,R1264/W1264-1,-1)</f>
        <v/>
      </c>
      <c r="Y1264" s="19">
        <f>IF(R1264&gt;0,S1264*資金模擬!$B$7/R1264,0)</f>
        <v/>
      </c>
      <c r="Z1264" s="2">
        <f>IF(OR(Z1263=1,R1264&lt;=資金模擬!$B$10),1,0)</f>
        <v/>
      </c>
    </row>
    <row r="1265">
      <c r="A1265" s="2" t="n">
        <v>1263</v>
      </c>
      <c r="B1265" s="7" t="n">
        <v>46298.125</v>
      </c>
      <c r="C1265" s="2" t="inlineStr">
        <is>
          <t>進場</t>
        </is>
      </c>
      <c r="D1265" s="2" t="n">
        <v>632</v>
      </c>
      <c r="E1265" s="2" t="inlineStr">
        <is>
          <t>ENA_USDT_PERP</t>
        </is>
      </c>
      <c r="F1265" s="2" t="inlineStr">
        <is>
          <t>做空</t>
        </is>
      </c>
      <c r="G1265" s="20" t="n">
        <v>0.2357</v>
      </c>
      <c r="H1265" s="20" t="n">
        <v>0.228629</v>
      </c>
      <c r="I1265" s="20" t="n">
        <v>0.247485</v>
      </c>
      <c r="J1265" s="20" t="n"/>
      <c r="K1265" s="2" t="n"/>
      <c r="L1265" s="5" t="n"/>
      <c r="M1265" s="19">
        <f>資金模擬!$B$5*V1264</f>
        <v/>
      </c>
      <c r="N1265" s="2">
        <f>IF(Z1264=1,"已停止",IF(T1264&gt;=M1265,"已下單","資金不足略過"))</f>
        <v/>
      </c>
      <c r="O1265" s="19">
        <f>IF(N1265="已下單",M1265*資金模擬!$B$7,0)</f>
        <v/>
      </c>
      <c r="P1265" s="4" t="n"/>
      <c r="Q1265" s="13" t="n">
        <v>0</v>
      </c>
      <c r="R1265" s="13">
        <f>R1264+Q1265</f>
        <v/>
      </c>
      <c r="S1265" s="19">
        <f>S1264+IF(N1265="已下單",M1265,0)</f>
        <v/>
      </c>
      <c r="T1265" s="19">
        <f>R1265-S1265</f>
        <v/>
      </c>
      <c r="U1265" s="2">
        <f>U1264+IF(N1265="已下單",1,0)</f>
        <v/>
      </c>
      <c r="V1265" s="19">
        <f>IF(資金模擬!$B$9=2,MAX(R1265,0),MAX(V1264,FLOOR(MAX(R1265,0),資金模擬!$B$6)))</f>
        <v/>
      </c>
      <c r="W1265" s="13">
        <f>MAX(W1264,R1265)</f>
        <v/>
      </c>
      <c r="X1265" s="4">
        <f>IF(W1265&gt;0,R1265/W1265-1,-1)</f>
        <v/>
      </c>
      <c r="Y1265" s="19">
        <f>IF(R1265&gt;0,S1265*資金模擬!$B$7/R1265,0)</f>
        <v/>
      </c>
      <c r="Z1265" s="2">
        <f>IF(OR(Z1264=1,R1265&lt;=資金模擬!$B$10),1,0)</f>
        <v/>
      </c>
    </row>
    <row r="1266">
      <c r="A1266" s="2" t="n">
        <v>1264</v>
      </c>
      <c r="B1266" s="7" t="n">
        <v>46298.125</v>
      </c>
      <c r="C1266" s="2" t="inlineStr">
        <is>
          <t>進場</t>
        </is>
      </c>
      <c r="D1266" s="2" t="n">
        <v>633</v>
      </c>
      <c r="E1266" s="2" t="inlineStr">
        <is>
          <t>GRASS_USDT_PERP</t>
        </is>
      </c>
      <c r="F1266" s="2" t="inlineStr">
        <is>
          <t>做空</t>
        </is>
      </c>
      <c r="G1266" s="20" t="n">
        <v>0.6742</v>
      </c>
      <c r="H1266" s="20" t="n">
        <v>0.6539740000000001</v>
      </c>
      <c r="I1266" s="20" t="n">
        <v>0.70791</v>
      </c>
      <c r="J1266" s="20" t="n"/>
      <c r="K1266" s="2" t="n"/>
      <c r="L1266" s="5" t="n"/>
      <c r="M1266" s="19">
        <f>資金模擬!$B$5*V1265</f>
        <v/>
      </c>
      <c r="N1266" s="2">
        <f>IF(Z1265=1,"已停止",IF(T1265&gt;=M1266,"已下單","資金不足略過"))</f>
        <v/>
      </c>
      <c r="O1266" s="19">
        <f>IF(N1266="已下單",M1266*資金模擬!$B$7,0)</f>
        <v/>
      </c>
      <c r="P1266" s="4" t="n"/>
      <c r="Q1266" s="13" t="n">
        <v>0</v>
      </c>
      <c r="R1266" s="13">
        <f>R1265+Q1266</f>
        <v/>
      </c>
      <c r="S1266" s="19">
        <f>S1265+IF(N1266="已下單",M1266,0)</f>
        <v/>
      </c>
      <c r="T1266" s="19">
        <f>R1266-S1266</f>
        <v/>
      </c>
      <c r="U1266" s="2">
        <f>U1265+IF(N1266="已下單",1,0)</f>
        <v/>
      </c>
      <c r="V1266" s="19">
        <f>IF(資金模擬!$B$9=2,MAX(R1266,0),MAX(V1265,FLOOR(MAX(R1266,0),資金模擬!$B$6)))</f>
        <v/>
      </c>
      <c r="W1266" s="13">
        <f>MAX(W1265,R1266)</f>
        <v/>
      </c>
      <c r="X1266" s="4">
        <f>IF(W1266&gt;0,R1266/W1266-1,-1)</f>
        <v/>
      </c>
      <c r="Y1266" s="19">
        <f>IF(R1266&gt;0,S1266*資金模擬!$B$7/R1266,0)</f>
        <v/>
      </c>
      <c r="Z1266" s="2">
        <f>IF(OR(Z1265=1,R1266&lt;=資金模擬!$B$10),1,0)</f>
        <v/>
      </c>
    </row>
    <row r="1267">
      <c r="A1267" s="2" t="n">
        <v>1265</v>
      </c>
      <c r="B1267" s="7" t="n">
        <v>46298.125</v>
      </c>
      <c r="C1267" s="2" t="inlineStr">
        <is>
          <t>進場</t>
        </is>
      </c>
      <c r="D1267" s="2" t="n">
        <v>634</v>
      </c>
      <c r="E1267" s="2" t="inlineStr">
        <is>
          <t>NEAR_USDT_PERP</t>
        </is>
      </c>
      <c r="F1267" s="2" t="inlineStr">
        <is>
          <t>做空</t>
        </is>
      </c>
      <c r="G1267" s="20" t="n">
        <v>4.641</v>
      </c>
      <c r="H1267" s="20" t="n">
        <v>4.50177</v>
      </c>
      <c r="I1267" s="20" t="n">
        <v>4.87305</v>
      </c>
      <c r="J1267" s="20" t="n"/>
      <c r="K1267" s="2" t="n"/>
      <c r="L1267" s="5" t="n"/>
      <c r="M1267" s="19">
        <f>資金模擬!$B$5*V1266</f>
        <v/>
      </c>
      <c r="N1267" s="2">
        <f>IF(Z1266=1,"已停止",IF(T1266&gt;=M1267,"已下單","資金不足略過"))</f>
        <v/>
      </c>
      <c r="O1267" s="19">
        <f>IF(N1267="已下單",M1267*資金模擬!$B$7,0)</f>
        <v/>
      </c>
      <c r="P1267" s="4" t="n"/>
      <c r="Q1267" s="13" t="n">
        <v>0</v>
      </c>
      <c r="R1267" s="13">
        <f>R1266+Q1267</f>
        <v/>
      </c>
      <c r="S1267" s="19">
        <f>S1266+IF(N1267="已下單",M1267,0)</f>
        <v/>
      </c>
      <c r="T1267" s="19">
        <f>R1267-S1267</f>
        <v/>
      </c>
      <c r="U1267" s="2">
        <f>U1266+IF(N1267="已下單",1,0)</f>
        <v/>
      </c>
      <c r="V1267" s="19">
        <f>IF(資金模擬!$B$9=2,MAX(R1267,0),MAX(V1266,FLOOR(MAX(R1267,0),資金模擬!$B$6)))</f>
        <v/>
      </c>
      <c r="W1267" s="13">
        <f>MAX(W1266,R1267)</f>
        <v/>
      </c>
      <c r="X1267" s="4">
        <f>IF(W1267&gt;0,R1267/W1267-1,-1)</f>
        <v/>
      </c>
      <c r="Y1267" s="19">
        <f>IF(R1267&gt;0,S1267*資金模擬!$B$7/R1267,0)</f>
        <v/>
      </c>
      <c r="Z1267" s="2">
        <f>IF(OR(Z1266=1,R1267&lt;=資金模擬!$B$10),1,0)</f>
        <v/>
      </c>
    </row>
    <row r="1268">
      <c r="A1268" s="2" t="n">
        <v>1266</v>
      </c>
      <c r="B1268" s="7" t="n">
        <v>46298.125</v>
      </c>
      <c r="C1268" s="2" t="inlineStr">
        <is>
          <t>進場</t>
        </is>
      </c>
      <c r="D1268" s="2" t="n">
        <v>635</v>
      </c>
      <c r="E1268" s="2" t="inlineStr">
        <is>
          <t>ONDO_USDT_PERP</t>
        </is>
      </c>
      <c r="F1268" s="2" t="inlineStr">
        <is>
          <t>做空</t>
        </is>
      </c>
      <c r="G1268" s="20" t="n">
        <v>0.4785</v>
      </c>
      <c r="H1268" s="20" t="n">
        <v>0.464145</v>
      </c>
      <c r="I1268" s="20" t="n">
        <v>0.502425</v>
      </c>
      <c r="J1268" s="20" t="n"/>
      <c r="K1268" s="2" t="n"/>
      <c r="L1268" s="5" t="n"/>
      <c r="M1268" s="19">
        <f>資金模擬!$B$5*V1267</f>
        <v/>
      </c>
      <c r="N1268" s="2">
        <f>IF(Z1267=1,"已停止",IF(T1267&gt;=M1268,"已下單","資金不足略過"))</f>
        <v/>
      </c>
      <c r="O1268" s="19">
        <f>IF(N1268="已下單",M1268*資金模擬!$B$7,0)</f>
        <v/>
      </c>
      <c r="P1268" s="4" t="n"/>
      <c r="Q1268" s="13" t="n">
        <v>0</v>
      </c>
      <c r="R1268" s="13">
        <f>R1267+Q1268</f>
        <v/>
      </c>
      <c r="S1268" s="19">
        <f>S1267+IF(N1268="已下單",M1268,0)</f>
        <v/>
      </c>
      <c r="T1268" s="19">
        <f>R1268-S1268</f>
        <v/>
      </c>
      <c r="U1268" s="2">
        <f>U1267+IF(N1268="已下單",1,0)</f>
        <v/>
      </c>
      <c r="V1268" s="19">
        <f>IF(資金模擬!$B$9=2,MAX(R1268,0),MAX(V1267,FLOOR(MAX(R1268,0),資金模擬!$B$6)))</f>
        <v/>
      </c>
      <c r="W1268" s="13">
        <f>MAX(W1267,R1268)</f>
        <v/>
      </c>
      <c r="X1268" s="4">
        <f>IF(W1268&gt;0,R1268/W1268-1,-1)</f>
        <v/>
      </c>
      <c r="Y1268" s="19">
        <f>IF(R1268&gt;0,S1268*資金模擬!$B$7/R1268,0)</f>
        <v/>
      </c>
      <c r="Z1268" s="2">
        <f>IF(OR(Z1267=1,R1268&lt;=資金模擬!$B$10),1,0)</f>
        <v/>
      </c>
    </row>
    <row r="1269">
      <c r="A1269" s="2" t="n">
        <v>1267</v>
      </c>
      <c r="B1269" s="7" t="n">
        <v>46298.125</v>
      </c>
      <c r="C1269" s="2" t="inlineStr">
        <is>
          <t>進場</t>
        </is>
      </c>
      <c r="D1269" s="2" t="n">
        <v>636</v>
      </c>
      <c r="E1269" s="2" t="inlineStr">
        <is>
          <t>QNT_USDT_PERP</t>
        </is>
      </c>
      <c r="F1269" s="2" t="inlineStr">
        <is>
          <t>做空</t>
        </is>
      </c>
      <c r="G1269" s="20" t="n">
        <v>236.04</v>
      </c>
      <c r="H1269" s="20" t="n">
        <v>228.9588</v>
      </c>
      <c r="I1269" s="20" t="n">
        <v>247.842</v>
      </c>
      <c r="J1269" s="20" t="n"/>
      <c r="K1269" s="2" t="n"/>
      <c r="L1269" s="5" t="n"/>
      <c r="M1269" s="19">
        <f>資金模擬!$B$5*V1268</f>
        <v/>
      </c>
      <c r="N1269" s="2">
        <f>IF(Z1268=1,"已停止",IF(T1268&gt;=M1269,"已下單","資金不足略過"))</f>
        <v/>
      </c>
      <c r="O1269" s="19">
        <f>IF(N1269="已下單",M1269*資金模擬!$B$7,0)</f>
        <v/>
      </c>
      <c r="P1269" s="4" t="n"/>
      <c r="Q1269" s="13" t="n">
        <v>0</v>
      </c>
      <c r="R1269" s="13">
        <f>R1268+Q1269</f>
        <v/>
      </c>
      <c r="S1269" s="19">
        <f>S1268+IF(N1269="已下單",M1269,0)</f>
        <v/>
      </c>
      <c r="T1269" s="19">
        <f>R1269-S1269</f>
        <v/>
      </c>
      <c r="U1269" s="2">
        <f>U1268+IF(N1269="已下單",1,0)</f>
        <v/>
      </c>
      <c r="V1269" s="19">
        <f>IF(資金模擬!$B$9=2,MAX(R1269,0),MAX(V1268,FLOOR(MAX(R1269,0),資金模擬!$B$6)))</f>
        <v/>
      </c>
      <c r="W1269" s="13">
        <f>MAX(W1268,R1269)</f>
        <v/>
      </c>
      <c r="X1269" s="4">
        <f>IF(W1269&gt;0,R1269/W1269-1,-1)</f>
        <v/>
      </c>
      <c r="Y1269" s="19">
        <f>IF(R1269&gt;0,S1269*資金模擬!$B$7/R1269,0)</f>
        <v/>
      </c>
      <c r="Z1269" s="2">
        <f>IF(OR(Z1268=1,R1269&lt;=資金模擬!$B$10),1,0)</f>
        <v/>
      </c>
    </row>
    <row r="1270">
      <c r="A1270" s="2" t="n">
        <v>1268</v>
      </c>
      <c r="B1270" s="7" t="n">
        <v>46298.125</v>
      </c>
      <c r="C1270" s="2" t="inlineStr">
        <is>
          <t>進場</t>
        </is>
      </c>
      <c r="D1270" s="2" t="n">
        <v>637</v>
      </c>
      <c r="E1270" s="2" t="inlineStr">
        <is>
          <t>ZEC_USDT_PERP</t>
        </is>
      </c>
      <c r="F1270" s="2" t="inlineStr">
        <is>
          <t>做空</t>
        </is>
      </c>
      <c r="G1270" s="20" t="n">
        <v>1304.61</v>
      </c>
      <c r="H1270" s="20" t="n">
        <v>1265.4717</v>
      </c>
      <c r="I1270" s="20" t="n">
        <v>1369.8405</v>
      </c>
      <c r="J1270" s="20" t="n"/>
      <c r="K1270" s="2" t="inlineStr">
        <is>
          <t>未平倉</t>
        </is>
      </c>
      <c r="L1270" s="5" t="n"/>
      <c r="M1270" s="19">
        <f>資金模擬!$B$5*V1269</f>
        <v/>
      </c>
      <c r="N1270" s="2">
        <f>IF(Z1269=1,"已停止",IF(T1269&gt;=M1270,"已下單","資金不足略過"))</f>
        <v/>
      </c>
      <c r="O1270" s="19">
        <f>IF(N1270="已下單",M1270*資金模擬!$B$7,0)</f>
        <v/>
      </c>
      <c r="P1270" s="4" t="n"/>
      <c r="Q1270" s="13" t="n">
        <v>0</v>
      </c>
      <c r="R1270" s="13">
        <f>R1269+Q1270</f>
        <v/>
      </c>
      <c r="S1270" s="19">
        <f>S1269+IF(N1270="已下單",M1270,0)</f>
        <v/>
      </c>
      <c r="T1270" s="19">
        <f>R1270-S1270</f>
        <v/>
      </c>
      <c r="U1270" s="2">
        <f>U1269+IF(N1270="已下單",1,0)</f>
        <v/>
      </c>
      <c r="V1270" s="19">
        <f>IF(資金模擬!$B$9=2,MAX(R1270,0),MAX(V1269,FLOOR(MAX(R1270,0),資金模擬!$B$6)))</f>
        <v/>
      </c>
      <c r="W1270" s="13">
        <f>MAX(W1269,R1270)</f>
        <v/>
      </c>
      <c r="X1270" s="4">
        <f>IF(W1270&gt;0,R1270/W1270-1,-1)</f>
        <v/>
      </c>
      <c r="Y1270" s="19">
        <f>IF(R1270&gt;0,S1270*資金模擬!$B$7/R1270,0)</f>
        <v/>
      </c>
      <c r="Z1270" s="2">
        <f>IF(OR(Z1269=1,R1270&lt;=資金模擬!$B$10),1,0)</f>
        <v/>
      </c>
    </row>
    <row r="1271">
      <c r="A1271" s="2" t="n">
        <v>1269</v>
      </c>
      <c r="B1271" s="7" t="n">
        <v>46298.16666666666</v>
      </c>
      <c r="C1271" s="2" t="inlineStr">
        <is>
          <t>出場</t>
        </is>
      </c>
      <c r="D1271" s="2" t="n">
        <v>636</v>
      </c>
      <c r="E1271" s="2" t="inlineStr">
        <is>
          <t>QNT_USDT_PERP</t>
        </is>
      </c>
      <c r="F1271" s="2" t="inlineStr">
        <is>
          <t>做空</t>
        </is>
      </c>
      <c r="G1271" s="20" t="n">
        <v>236.04</v>
      </c>
      <c r="H1271" s="20" t="n">
        <v>228.9588</v>
      </c>
      <c r="I1271" s="20" t="n">
        <v>247.842</v>
      </c>
      <c r="J1271" s="20" t="n">
        <v>228.9588</v>
      </c>
      <c r="K1271" s="2" t="inlineStr">
        <is>
          <t>止盈</t>
        </is>
      </c>
      <c r="L1271" s="5">
        <f>交易明細!K637</f>
        <v/>
      </c>
      <c r="M1271" s="19">
        <f>M1269</f>
        <v/>
      </c>
      <c r="N1271" s="2">
        <f>N1269</f>
        <v/>
      </c>
      <c r="O1271" s="19">
        <f>O1269</f>
        <v/>
      </c>
      <c r="P1271" s="4">
        <f>交易明細!L637</f>
        <v/>
      </c>
      <c r="Q1271" s="13">
        <f>IF(N1271="已下單",O1271*P1271,0)</f>
        <v/>
      </c>
      <c r="R1271" s="13">
        <f>R1270+Q1271</f>
        <v/>
      </c>
      <c r="S1271" s="19">
        <f>S1270-IF(N1271="已下單",M1271,0)</f>
        <v/>
      </c>
      <c r="T1271" s="19">
        <f>R1271-S1271</f>
        <v/>
      </c>
      <c r="U1271" s="2">
        <f>U1270-IF(N1271="已下單",1,0)</f>
        <v/>
      </c>
      <c r="V1271" s="19">
        <f>IF(資金模擬!$B$9=2,MAX(R1271,0),MAX(V1270,FLOOR(MAX(R1271,0),資金模擬!$B$6)))</f>
        <v/>
      </c>
      <c r="W1271" s="13">
        <f>MAX(W1270,R1271)</f>
        <v/>
      </c>
      <c r="X1271" s="4">
        <f>IF(W1271&gt;0,R1271/W1271-1,-1)</f>
        <v/>
      </c>
      <c r="Y1271" s="19">
        <f>IF(R1271&gt;0,S1271*資金模擬!$B$7/R1271,0)</f>
        <v/>
      </c>
      <c r="Z1271" s="2">
        <f>IF(OR(Z1270=1,R1271&lt;=資金模擬!$B$10),1,0)</f>
        <v/>
      </c>
    </row>
    <row r="1272">
      <c r="A1272" s="2" t="n">
        <v>1270</v>
      </c>
      <c r="B1272" s="7" t="n">
        <v>46298.29166666666</v>
      </c>
      <c r="C1272" s="2" t="inlineStr">
        <is>
          <t>出場</t>
        </is>
      </c>
      <c r="D1272" s="2" t="n">
        <v>632</v>
      </c>
      <c r="E1272" s="2" t="inlineStr">
        <is>
          <t>ENA_USDT_PERP</t>
        </is>
      </c>
      <c r="F1272" s="2" t="inlineStr">
        <is>
          <t>做空</t>
        </is>
      </c>
      <c r="G1272" s="20" t="n">
        <v>0.2357</v>
      </c>
      <c r="H1272" s="20" t="n">
        <v>0.228629</v>
      </c>
      <c r="I1272" s="20" t="n">
        <v>0.247485</v>
      </c>
      <c r="J1272" s="20" t="n">
        <v>0.228629</v>
      </c>
      <c r="K1272" s="2" t="inlineStr">
        <is>
          <t>止盈</t>
        </is>
      </c>
      <c r="L1272" s="5">
        <f>交易明細!K633</f>
        <v/>
      </c>
      <c r="M1272" s="19">
        <f>M1265</f>
        <v/>
      </c>
      <c r="N1272" s="2">
        <f>N1265</f>
        <v/>
      </c>
      <c r="O1272" s="19">
        <f>O1265</f>
        <v/>
      </c>
      <c r="P1272" s="4">
        <f>交易明細!L633</f>
        <v/>
      </c>
      <c r="Q1272" s="13">
        <f>IF(N1272="已下單",O1272*P1272,0)</f>
        <v/>
      </c>
      <c r="R1272" s="13">
        <f>R1271+Q1272</f>
        <v/>
      </c>
      <c r="S1272" s="19">
        <f>S1271-IF(N1272="已下單",M1272,0)</f>
        <v/>
      </c>
      <c r="T1272" s="19">
        <f>R1272-S1272</f>
        <v/>
      </c>
      <c r="U1272" s="2">
        <f>U1271-IF(N1272="已下單",1,0)</f>
        <v/>
      </c>
      <c r="V1272" s="19">
        <f>IF(資金模擬!$B$9=2,MAX(R1272,0),MAX(V1271,FLOOR(MAX(R1272,0),資金模擬!$B$6)))</f>
        <v/>
      </c>
      <c r="W1272" s="13">
        <f>MAX(W1271,R1272)</f>
        <v/>
      </c>
      <c r="X1272" s="4">
        <f>IF(W1272&gt;0,R1272/W1272-1,-1)</f>
        <v/>
      </c>
      <c r="Y1272" s="19">
        <f>IF(R1272&gt;0,S1272*資金模擬!$B$7/R1272,0)</f>
        <v/>
      </c>
      <c r="Z1272" s="2">
        <f>IF(OR(Z1271=1,R1272&lt;=資金模擬!$B$10),1,0)</f>
        <v/>
      </c>
    </row>
    <row r="1273">
      <c r="A1273" s="2" t="n">
        <v>1271</v>
      </c>
      <c r="B1273" s="7" t="n">
        <v>46298.33333333334</v>
      </c>
      <c r="C1273" s="2" t="inlineStr">
        <is>
          <t>進場</t>
        </is>
      </c>
      <c r="D1273" s="2" t="n">
        <v>638</v>
      </c>
      <c r="E1273" s="2" t="inlineStr">
        <is>
          <t>WLD_USDT_PERP</t>
        </is>
      </c>
      <c r="F1273" s="2" t="inlineStr">
        <is>
          <t>做多</t>
        </is>
      </c>
      <c r="G1273" s="20" t="n">
        <v>0.5565</v>
      </c>
      <c r="H1273" s="20" t="n">
        <v>0.573195</v>
      </c>
      <c r="I1273" s="20" t="n">
        <v>0.528675</v>
      </c>
      <c r="J1273" s="20" t="n"/>
      <c r="K1273" s="2" t="n"/>
      <c r="L1273" s="5" t="n"/>
      <c r="M1273" s="19">
        <f>資金模擬!$B$5*V1272</f>
        <v/>
      </c>
      <c r="N1273" s="2">
        <f>IF(Z1272=1,"已停止",IF(T1272&gt;=M1273,"已下單","資金不足略過"))</f>
        <v/>
      </c>
      <c r="O1273" s="19">
        <f>IF(N1273="已下單",M1273*資金模擬!$B$7,0)</f>
        <v/>
      </c>
      <c r="P1273" s="4" t="n"/>
      <c r="Q1273" s="13" t="n">
        <v>0</v>
      </c>
      <c r="R1273" s="13">
        <f>R1272+Q1273</f>
        <v/>
      </c>
      <c r="S1273" s="19">
        <f>S1272+IF(N1273="已下單",M1273,0)</f>
        <v/>
      </c>
      <c r="T1273" s="19">
        <f>R1273-S1273</f>
        <v/>
      </c>
      <c r="U1273" s="2">
        <f>U1272+IF(N1273="已下單",1,0)</f>
        <v/>
      </c>
      <c r="V1273" s="19">
        <f>IF(資金模擬!$B$9=2,MAX(R1273,0),MAX(V1272,FLOOR(MAX(R1273,0),資金模擬!$B$6)))</f>
        <v/>
      </c>
      <c r="W1273" s="13">
        <f>MAX(W1272,R1273)</f>
        <v/>
      </c>
      <c r="X1273" s="4">
        <f>IF(W1273&gt;0,R1273/W1273-1,-1)</f>
        <v/>
      </c>
      <c r="Y1273" s="19">
        <f>IF(R1273&gt;0,S1273*資金模擬!$B$7/R1273,0)</f>
        <v/>
      </c>
      <c r="Z1273" s="2">
        <f>IF(OR(Z1272=1,R1273&lt;=資金模擬!$B$10),1,0)</f>
        <v/>
      </c>
    </row>
    <row r="1274">
      <c r="A1274" s="2" t="n">
        <v>1272</v>
      </c>
      <c r="B1274" s="7" t="n">
        <v>46298.375</v>
      </c>
      <c r="C1274" s="2" t="inlineStr">
        <is>
          <t>出場</t>
        </is>
      </c>
      <c r="D1274" s="2" t="n">
        <v>633</v>
      </c>
      <c r="E1274" s="2" t="inlineStr">
        <is>
          <t>GRASS_USDT_PERP</t>
        </is>
      </c>
      <c r="F1274" s="2" t="inlineStr">
        <is>
          <t>做空</t>
        </is>
      </c>
      <c r="G1274" s="20" t="n">
        <v>0.6742</v>
      </c>
      <c r="H1274" s="20" t="n">
        <v>0.6539740000000001</v>
      </c>
      <c r="I1274" s="20" t="n">
        <v>0.70791</v>
      </c>
      <c r="J1274" s="20" t="n">
        <v>0.70791</v>
      </c>
      <c r="K1274" s="2" t="inlineStr">
        <is>
          <t>止損</t>
        </is>
      </c>
      <c r="L1274" s="5">
        <f>交易明細!K634</f>
        <v/>
      </c>
      <c r="M1274" s="19">
        <f>M1266</f>
        <v/>
      </c>
      <c r="N1274" s="2">
        <f>N1266</f>
        <v/>
      </c>
      <c r="O1274" s="19">
        <f>O1266</f>
        <v/>
      </c>
      <c r="P1274" s="4">
        <f>交易明細!L634</f>
        <v/>
      </c>
      <c r="Q1274" s="13">
        <f>IF(N1274="已下單",O1274*P1274,0)</f>
        <v/>
      </c>
      <c r="R1274" s="13">
        <f>R1273+Q1274</f>
        <v/>
      </c>
      <c r="S1274" s="19">
        <f>S1273-IF(N1274="已下單",M1274,0)</f>
        <v/>
      </c>
      <c r="T1274" s="19">
        <f>R1274-S1274</f>
        <v/>
      </c>
      <c r="U1274" s="2">
        <f>U1273-IF(N1274="已下單",1,0)</f>
        <v/>
      </c>
      <c r="V1274" s="19">
        <f>IF(資金模擬!$B$9=2,MAX(R1274,0),MAX(V1273,FLOOR(MAX(R1274,0),資金模擬!$B$6)))</f>
        <v/>
      </c>
      <c r="W1274" s="13">
        <f>MAX(W1273,R1274)</f>
        <v/>
      </c>
      <c r="X1274" s="4">
        <f>IF(W1274&gt;0,R1274/W1274-1,-1)</f>
        <v/>
      </c>
      <c r="Y1274" s="19">
        <f>IF(R1274&gt;0,S1274*資金模擬!$B$7/R1274,0)</f>
        <v/>
      </c>
      <c r="Z1274" s="2">
        <f>IF(OR(Z1273=1,R1274&lt;=資金模擬!$B$10),1,0)</f>
        <v/>
      </c>
    </row>
    <row r="1275">
      <c r="A1275" s="2" t="n">
        <v>1273</v>
      </c>
      <c r="B1275" s="7" t="n">
        <v>46298.41666666666</v>
      </c>
      <c r="C1275" s="2" t="inlineStr">
        <is>
          <t>進場</t>
        </is>
      </c>
      <c r="D1275" s="2" t="n">
        <v>639</v>
      </c>
      <c r="E1275" s="2" t="inlineStr">
        <is>
          <t>PUMP_USDT_PERP</t>
        </is>
      </c>
      <c r="F1275" s="2" t="inlineStr">
        <is>
          <t>做空</t>
        </is>
      </c>
      <c r="G1275" s="20" t="n">
        <v>0.005555</v>
      </c>
      <c r="H1275" s="20" t="n">
        <v>0.00538835</v>
      </c>
      <c r="I1275" s="20" t="n">
        <v>0.00583275</v>
      </c>
      <c r="J1275" s="20" t="n"/>
      <c r="K1275" s="2" t="n"/>
      <c r="L1275" s="5" t="n"/>
      <c r="M1275" s="19">
        <f>資金模擬!$B$5*V1274</f>
        <v/>
      </c>
      <c r="N1275" s="2">
        <f>IF(Z1274=1,"已停止",IF(T1274&gt;=M1275,"已下單","資金不足略過"))</f>
        <v/>
      </c>
      <c r="O1275" s="19">
        <f>IF(N1275="已下單",M1275*資金模擬!$B$7,0)</f>
        <v/>
      </c>
      <c r="P1275" s="4" t="n"/>
      <c r="Q1275" s="13" t="n">
        <v>0</v>
      </c>
      <c r="R1275" s="13">
        <f>R1274+Q1275</f>
        <v/>
      </c>
      <c r="S1275" s="19">
        <f>S1274+IF(N1275="已下單",M1275,0)</f>
        <v/>
      </c>
      <c r="T1275" s="19">
        <f>R1275-S1275</f>
        <v/>
      </c>
      <c r="U1275" s="2">
        <f>U1274+IF(N1275="已下單",1,0)</f>
        <v/>
      </c>
      <c r="V1275" s="19">
        <f>IF(資金模擬!$B$9=2,MAX(R1275,0),MAX(V1274,FLOOR(MAX(R1275,0),資金模擬!$B$6)))</f>
        <v/>
      </c>
      <c r="W1275" s="13">
        <f>MAX(W1274,R1275)</f>
        <v/>
      </c>
      <c r="X1275" s="4">
        <f>IF(W1275&gt;0,R1275/W1275-1,-1)</f>
        <v/>
      </c>
      <c r="Y1275" s="19">
        <f>IF(R1275&gt;0,S1275*資金模擬!$B$7/R1275,0)</f>
        <v/>
      </c>
      <c r="Z1275" s="2">
        <f>IF(OR(Z1274=1,R1275&lt;=資金模擬!$B$10),1,0)</f>
        <v/>
      </c>
    </row>
    <row r="1276">
      <c r="A1276" s="2" t="n">
        <v>1274</v>
      </c>
      <c r="B1276" s="7" t="n">
        <v>46298.45833333334</v>
      </c>
      <c r="C1276" s="2" t="inlineStr">
        <is>
          <t>出場</t>
        </is>
      </c>
      <c r="D1276" s="2" t="n">
        <v>638</v>
      </c>
      <c r="E1276" s="2" t="inlineStr">
        <is>
          <t>WLD_USDT_PERP</t>
        </is>
      </c>
      <c r="F1276" s="2" t="inlineStr">
        <is>
          <t>做多</t>
        </is>
      </c>
      <c r="G1276" s="20" t="n">
        <v>0.5565</v>
      </c>
      <c r="H1276" s="20" t="n">
        <v>0.573195</v>
      </c>
      <c r="I1276" s="20" t="n">
        <v>0.528675</v>
      </c>
      <c r="J1276" s="20" t="n">
        <v>0.573195</v>
      </c>
      <c r="K1276" s="2" t="inlineStr">
        <is>
          <t>止盈</t>
        </is>
      </c>
      <c r="L1276" s="5">
        <f>交易明細!K639</f>
        <v/>
      </c>
      <c r="M1276" s="19">
        <f>M1273</f>
        <v/>
      </c>
      <c r="N1276" s="2">
        <f>N1273</f>
        <v/>
      </c>
      <c r="O1276" s="19">
        <f>O1273</f>
        <v/>
      </c>
      <c r="P1276" s="4">
        <f>交易明細!L639</f>
        <v/>
      </c>
      <c r="Q1276" s="13">
        <f>IF(N1276="已下單",O1276*P1276,0)</f>
        <v/>
      </c>
      <c r="R1276" s="13">
        <f>R1275+Q1276</f>
        <v/>
      </c>
      <c r="S1276" s="19">
        <f>S1275-IF(N1276="已下單",M1276,0)</f>
        <v/>
      </c>
      <c r="T1276" s="19">
        <f>R1276-S1276</f>
        <v/>
      </c>
      <c r="U1276" s="2">
        <f>U1275-IF(N1276="已下單",1,0)</f>
        <v/>
      </c>
      <c r="V1276" s="19">
        <f>IF(資金模擬!$B$9=2,MAX(R1276,0),MAX(V1275,FLOOR(MAX(R1276,0),資金模擬!$B$6)))</f>
        <v/>
      </c>
      <c r="W1276" s="13">
        <f>MAX(W1275,R1276)</f>
        <v/>
      </c>
      <c r="X1276" s="4">
        <f>IF(W1276&gt;0,R1276/W1276-1,-1)</f>
        <v/>
      </c>
      <c r="Y1276" s="19">
        <f>IF(R1276&gt;0,S1276*資金模擬!$B$7/R1276,0)</f>
        <v/>
      </c>
      <c r="Z1276" s="2">
        <f>IF(OR(Z1275=1,R1276&lt;=資金模擬!$B$10),1,0)</f>
        <v/>
      </c>
    </row>
    <row r="1277">
      <c r="A1277" s="2" t="n">
        <v>1275</v>
      </c>
      <c r="B1277" s="7" t="n">
        <v>46298.58333333334</v>
      </c>
      <c r="C1277" s="2" t="inlineStr">
        <is>
          <t>出場</t>
        </is>
      </c>
      <c r="D1277" s="2" t="n">
        <v>639</v>
      </c>
      <c r="E1277" s="2" t="inlineStr">
        <is>
          <t>PUMP_USDT_PERP</t>
        </is>
      </c>
      <c r="F1277" s="2" t="inlineStr">
        <is>
          <t>做空</t>
        </is>
      </c>
      <c r="G1277" s="20" t="n">
        <v>0.005555</v>
      </c>
      <c r="H1277" s="20" t="n">
        <v>0.00538835</v>
      </c>
      <c r="I1277" s="20" t="n">
        <v>0.00583275</v>
      </c>
      <c r="J1277" s="20" t="n">
        <v>0.00538835</v>
      </c>
      <c r="K1277" s="2" t="inlineStr">
        <is>
          <t>止盈</t>
        </is>
      </c>
      <c r="L1277" s="5">
        <f>交易明細!K640</f>
        <v/>
      </c>
      <c r="M1277" s="19">
        <f>M1275</f>
        <v/>
      </c>
      <c r="N1277" s="2">
        <f>N1275</f>
        <v/>
      </c>
      <c r="O1277" s="19">
        <f>O1275</f>
        <v/>
      </c>
      <c r="P1277" s="4">
        <f>交易明細!L640</f>
        <v/>
      </c>
      <c r="Q1277" s="13">
        <f>IF(N1277="已下單",O1277*P1277,0)</f>
        <v/>
      </c>
      <c r="R1277" s="13">
        <f>R1276+Q1277</f>
        <v/>
      </c>
      <c r="S1277" s="19">
        <f>S1276-IF(N1277="已下單",M1277,0)</f>
        <v/>
      </c>
      <c r="T1277" s="19">
        <f>R1277-S1277</f>
        <v/>
      </c>
      <c r="U1277" s="2">
        <f>U1276-IF(N1277="已下單",1,0)</f>
        <v/>
      </c>
      <c r="V1277" s="19">
        <f>IF(資金模擬!$B$9=2,MAX(R1277,0),MAX(V1276,FLOOR(MAX(R1277,0),資金模擬!$B$6)))</f>
        <v/>
      </c>
      <c r="W1277" s="13">
        <f>MAX(W1276,R1277)</f>
        <v/>
      </c>
      <c r="X1277" s="4">
        <f>IF(W1277&gt;0,R1277/W1277-1,-1)</f>
        <v/>
      </c>
      <c r="Y1277" s="19">
        <f>IF(R1277&gt;0,S1277*資金模擬!$B$7/R1277,0)</f>
        <v/>
      </c>
      <c r="Z1277" s="2">
        <f>IF(OR(Z1276=1,R1277&lt;=資金模擬!$B$10),1,0)</f>
        <v/>
      </c>
    </row>
    <row r="1278">
      <c r="A1278" s="2" t="n">
        <v>1276</v>
      </c>
      <c r="B1278" s="7" t="n">
        <v>46298.79166666666</v>
      </c>
      <c r="C1278" s="2" t="inlineStr">
        <is>
          <t>進場</t>
        </is>
      </c>
      <c r="D1278" s="2" t="n">
        <v>640</v>
      </c>
      <c r="E1278" s="2" t="inlineStr">
        <is>
          <t>NIGHT_USDT_PERP</t>
        </is>
      </c>
      <c r="F1278" s="2" t="inlineStr">
        <is>
          <t>做多</t>
        </is>
      </c>
      <c r="G1278" s="20" t="n">
        <v>0.05079</v>
      </c>
      <c r="H1278" s="20" t="n">
        <v>0.0523137</v>
      </c>
      <c r="I1278" s="20" t="n">
        <v>0.0482505</v>
      </c>
      <c r="J1278" s="20" t="n"/>
      <c r="K1278" s="2" t="n"/>
      <c r="L1278" s="5" t="n"/>
      <c r="M1278" s="19">
        <f>資金模擬!$B$5*V1277</f>
        <v/>
      </c>
      <c r="N1278" s="2">
        <f>IF(Z1277=1,"已停止",IF(T1277&gt;=M1278,"已下單","資金不足略過"))</f>
        <v/>
      </c>
      <c r="O1278" s="19">
        <f>IF(N1278="已下單",M1278*資金模擬!$B$7,0)</f>
        <v/>
      </c>
      <c r="P1278" s="4" t="n"/>
      <c r="Q1278" s="13" t="n">
        <v>0</v>
      </c>
      <c r="R1278" s="13">
        <f>R1277+Q1278</f>
        <v/>
      </c>
      <c r="S1278" s="19">
        <f>S1277+IF(N1278="已下單",M1278,0)</f>
        <v/>
      </c>
      <c r="T1278" s="19">
        <f>R1278-S1278</f>
        <v/>
      </c>
      <c r="U1278" s="2">
        <f>U1277+IF(N1278="已下單",1,0)</f>
        <v/>
      </c>
      <c r="V1278" s="19">
        <f>IF(資金模擬!$B$9=2,MAX(R1278,0),MAX(V1277,FLOOR(MAX(R1278,0),資金模擬!$B$6)))</f>
        <v/>
      </c>
      <c r="W1278" s="13">
        <f>MAX(W1277,R1278)</f>
        <v/>
      </c>
      <c r="X1278" s="4">
        <f>IF(W1278&gt;0,R1278/W1278-1,-1)</f>
        <v/>
      </c>
      <c r="Y1278" s="19">
        <f>IF(R1278&gt;0,S1278*資金模擬!$B$7/R1278,0)</f>
        <v/>
      </c>
      <c r="Z1278" s="2">
        <f>IF(OR(Z1277=1,R1278&lt;=資金模擬!$B$10),1,0)</f>
        <v/>
      </c>
    </row>
    <row r="1279">
      <c r="A1279" s="2" t="n">
        <v>1277</v>
      </c>
      <c r="B1279" s="7" t="n">
        <v>46298.95833333334</v>
      </c>
      <c r="C1279" s="2" t="inlineStr">
        <is>
          <t>進場</t>
        </is>
      </c>
      <c r="D1279" s="2" t="n">
        <v>641</v>
      </c>
      <c r="E1279" s="2" t="inlineStr">
        <is>
          <t>MOVR_USDT_PERP</t>
        </is>
      </c>
      <c r="F1279" s="2" t="inlineStr">
        <is>
          <t>做空</t>
        </is>
      </c>
      <c r="G1279" s="20" t="n">
        <v>1.833</v>
      </c>
      <c r="H1279" s="20" t="n">
        <v>1.77801</v>
      </c>
      <c r="I1279" s="20" t="n">
        <v>1.92465</v>
      </c>
      <c r="J1279" s="20" t="n"/>
      <c r="K1279" s="2" t="n"/>
      <c r="L1279" s="5" t="n"/>
      <c r="M1279" s="19">
        <f>資金模擬!$B$5*V1278</f>
        <v/>
      </c>
      <c r="N1279" s="2">
        <f>IF(Z1278=1,"已停止",IF(T1278&gt;=M1279,"已下單","資金不足略過"))</f>
        <v/>
      </c>
      <c r="O1279" s="19">
        <f>IF(N1279="已下單",M1279*資金模擬!$B$7,0)</f>
        <v/>
      </c>
      <c r="P1279" s="4" t="n"/>
      <c r="Q1279" s="13" t="n">
        <v>0</v>
      </c>
      <c r="R1279" s="13">
        <f>R1278+Q1279</f>
        <v/>
      </c>
      <c r="S1279" s="19">
        <f>S1278+IF(N1279="已下單",M1279,0)</f>
        <v/>
      </c>
      <c r="T1279" s="19">
        <f>R1279-S1279</f>
        <v/>
      </c>
      <c r="U1279" s="2">
        <f>U1278+IF(N1279="已下單",1,0)</f>
        <v/>
      </c>
      <c r="V1279" s="19">
        <f>IF(資金模擬!$B$9=2,MAX(R1279,0),MAX(V1278,FLOOR(MAX(R1279,0),資金模擬!$B$6)))</f>
        <v/>
      </c>
      <c r="W1279" s="13">
        <f>MAX(W1278,R1279)</f>
        <v/>
      </c>
      <c r="X1279" s="4">
        <f>IF(W1279&gt;0,R1279/W1279-1,-1)</f>
        <v/>
      </c>
      <c r="Y1279" s="19">
        <f>IF(R1279&gt;0,S1279*資金模擬!$B$7/R1279,0)</f>
        <v/>
      </c>
      <c r="Z1279" s="2">
        <f>IF(OR(Z1278=1,R1279&lt;=資金模擬!$B$10),1,0)</f>
        <v/>
      </c>
    </row>
    <row r="1280">
      <c r="A1280" s="2" t="n">
        <v>1278</v>
      </c>
      <c r="B1280" s="7" t="n">
        <v>46298.95833333334</v>
      </c>
      <c r="C1280" s="2" t="inlineStr">
        <is>
          <t>進場</t>
        </is>
      </c>
      <c r="D1280" s="2" t="n">
        <v>642</v>
      </c>
      <c r="E1280" s="2" t="inlineStr">
        <is>
          <t>QNT_USDT_PERP</t>
        </is>
      </c>
      <c r="F1280" s="2" t="inlineStr">
        <is>
          <t>做空</t>
        </is>
      </c>
      <c r="G1280" s="20" t="n">
        <v>248.45</v>
      </c>
      <c r="H1280" s="20" t="n">
        <v>240.9965</v>
      </c>
      <c r="I1280" s="20" t="n">
        <v>260.8725</v>
      </c>
      <c r="J1280" s="20" t="n"/>
      <c r="K1280" s="2" t="n"/>
      <c r="L1280" s="5" t="n"/>
      <c r="M1280" s="19">
        <f>資金模擬!$B$5*V1279</f>
        <v/>
      </c>
      <c r="N1280" s="2">
        <f>IF(Z1279=1,"已停止",IF(T1279&gt;=M1280,"已下單","資金不足略過"))</f>
        <v/>
      </c>
      <c r="O1280" s="19">
        <f>IF(N1280="已下單",M1280*資金模擬!$B$7,0)</f>
        <v/>
      </c>
      <c r="P1280" s="4" t="n"/>
      <c r="Q1280" s="13" t="n">
        <v>0</v>
      </c>
      <c r="R1280" s="13">
        <f>R1279+Q1280</f>
        <v/>
      </c>
      <c r="S1280" s="19">
        <f>S1279+IF(N1280="已下單",M1280,0)</f>
        <v/>
      </c>
      <c r="T1280" s="19">
        <f>R1280-S1280</f>
        <v/>
      </c>
      <c r="U1280" s="2">
        <f>U1279+IF(N1280="已下單",1,0)</f>
        <v/>
      </c>
      <c r="V1280" s="19">
        <f>IF(資金模擬!$B$9=2,MAX(R1280,0),MAX(V1279,FLOOR(MAX(R1280,0),資金模擬!$B$6)))</f>
        <v/>
      </c>
      <c r="W1280" s="13">
        <f>MAX(W1279,R1280)</f>
        <v/>
      </c>
      <c r="X1280" s="4">
        <f>IF(W1280&gt;0,R1280/W1280-1,-1)</f>
        <v/>
      </c>
      <c r="Y1280" s="19">
        <f>IF(R1280&gt;0,S1280*資金模擬!$B$7/R1280,0)</f>
        <v/>
      </c>
      <c r="Z1280" s="2">
        <f>IF(OR(Z1279=1,R1280&lt;=資金模擬!$B$10),1,0)</f>
        <v/>
      </c>
    </row>
    <row r="1281">
      <c r="A1281" s="2" t="n">
        <v>1279</v>
      </c>
      <c r="B1281" s="7" t="n">
        <v>46299.04166666666</v>
      </c>
      <c r="C1281" s="2" t="inlineStr">
        <is>
          <t>出場</t>
        </is>
      </c>
      <c r="D1281" s="2" t="n">
        <v>641</v>
      </c>
      <c r="E1281" s="2" t="inlineStr">
        <is>
          <t>MOVR_USDT_PERP</t>
        </is>
      </c>
      <c r="F1281" s="2" t="inlineStr">
        <is>
          <t>做空</t>
        </is>
      </c>
      <c r="G1281" s="20" t="n">
        <v>1.833</v>
      </c>
      <c r="H1281" s="20" t="n">
        <v>1.77801</v>
      </c>
      <c r="I1281" s="20" t="n">
        <v>1.92465</v>
      </c>
      <c r="J1281" s="20" t="n">
        <v>1.92465</v>
      </c>
      <c r="K1281" s="2" t="inlineStr">
        <is>
          <t>止損</t>
        </is>
      </c>
      <c r="L1281" s="5">
        <f>交易明細!K642</f>
        <v/>
      </c>
      <c r="M1281" s="19">
        <f>M1279</f>
        <v/>
      </c>
      <c r="N1281" s="2">
        <f>N1279</f>
        <v/>
      </c>
      <c r="O1281" s="19">
        <f>O1279</f>
        <v/>
      </c>
      <c r="P1281" s="4">
        <f>交易明細!L642</f>
        <v/>
      </c>
      <c r="Q1281" s="13">
        <f>IF(N1281="已下單",O1281*P1281,0)</f>
        <v/>
      </c>
      <c r="R1281" s="13">
        <f>R1280+Q1281</f>
        <v/>
      </c>
      <c r="S1281" s="19">
        <f>S1280-IF(N1281="已下單",M1281,0)</f>
        <v/>
      </c>
      <c r="T1281" s="19">
        <f>R1281-S1281</f>
        <v/>
      </c>
      <c r="U1281" s="2">
        <f>U1280-IF(N1281="已下單",1,0)</f>
        <v/>
      </c>
      <c r="V1281" s="19">
        <f>IF(資金模擬!$B$9=2,MAX(R1281,0),MAX(V1280,FLOOR(MAX(R1281,0),資金模擬!$B$6)))</f>
        <v/>
      </c>
      <c r="W1281" s="13">
        <f>MAX(W1280,R1281)</f>
        <v/>
      </c>
      <c r="X1281" s="4">
        <f>IF(W1281&gt;0,R1281/W1281-1,-1)</f>
        <v/>
      </c>
      <c r="Y1281" s="19">
        <f>IF(R1281&gt;0,S1281*資金模擬!$B$7/R1281,0)</f>
        <v/>
      </c>
      <c r="Z1281" s="2">
        <f>IF(OR(Z1280=1,R1281&lt;=資金模擬!$B$10),1,0)</f>
        <v/>
      </c>
    </row>
    <row r="1282">
      <c r="A1282" s="2" t="n">
        <v>1280</v>
      </c>
      <c r="B1282" s="7" t="n">
        <v>46299.04166666666</v>
      </c>
      <c r="C1282" s="2" t="inlineStr">
        <is>
          <t>進場</t>
        </is>
      </c>
      <c r="D1282" s="2" t="n">
        <v>643</v>
      </c>
      <c r="E1282" s="2" t="inlineStr">
        <is>
          <t>PONS_USDT_PERP</t>
        </is>
      </c>
      <c r="F1282" s="2" t="inlineStr">
        <is>
          <t>做空</t>
        </is>
      </c>
      <c r="G1282" s="20" t="n">
        <v>0.409</v>
      </c>
      <c r="H1282" s="20" t="n">
        <v>0.39673</v>
      </c>
      <c r="I1282" s="20" t="n">
        <v>0.42945</v>
      </c>
      <c r="J1282" s="20" t="n"/>
      <c r="K1282" s="2" t="n"/>
      <c r="L1282" s="5" t="n"/>
      <c r="M1282" s="19">
        <f>資金模擬!$B$5*V1281</f>
        <v/>
      </c>
      <c r="N1282" s="2">
        <f>IF(Z1281=1,"已停止",IF(T1281&gt;=M1282,"已下單","資金不足略過"))</f>
        <v/>
      </c>
      <c r="O1282" s="19">
        <f>IF(N1282="已下單",M1282*資金模擬!$B$7,0)</f>
        <v/>
      </c>
      <c r="P1282" s="4" t="n"/>
      <c r="Q1282" s="13" t="n">
        <v>0</v>
      </c>
      <c r="R1282" s="13">
        <f>R1281+Q1282</f>
        <v/>
      </c>
      <c r="S1282" s="19">
        <f>S1281+IF(N1282="已下單",M1282,0)</f>
        <v/>
      </c>
      <c r="T1282" s="19">
        <f>R1282-S1282</f>
        <v/>
      </c>
      <c r="U1282" s="2">
        <f>U1281+IF(N1282="已下單",1,0)</f>
        <v/>
      </c>
      <c r="V1282" s="19">
        <f>IF(資金模擬!$B$9=2,MAX(R1282,0),MAX(V1281,FLOOR(MAX(R1282,0),資金模擬!$B$6)))</f>
        <v/>
      </c>
      <c r="W1282" s="13">
        <f>MAX(W1281,R1282)</f>
        <v/>
      </c>
      <c r="X1282" s="4">
        <f>IF(W1282&gt;0,R1282/W1282-1,-1)</f>
        <v/>
      </c>
      <c r="Y1282" s="19">
        <f>IF(R1282&gt;0,S1282*資金模擬!$B$7/R1282,0)</f>
        <v/>
      </c>
      <c r="Z1282" s="2">
        <f>IF(OR(Z1281=1,R1282&lt;=資金模擬!$B$10),1,0)</f>
        <v/>
      </c>
    </row>
    <row r="1283">
      <c r="A1283" s="2" t="n">
        <v>1281</v>
      </c>
      <c r="B1283" s="7" t="n">
        <v>46299.125</v>
      </c>
      <c r="C1283" s="2" t="inlineStr">
        <is>
          <t>出場</t>
        </is>
      </c>
      <c r="D1283" s="2" t="n">
        <v>640</v>
      </c>
      <c r="E1283" s="2" t="inlineStr">
        <is>
          <t>NIGHT_USDT_PERP</t>
        </is>
      </c>
      <c r="F1283" s="2" t="inlineStr">
        <is>
          <t>做多</t>
        </is>
      </c>
      <c r="G1283" s="20" t="n">
        <v>0.05079</v>
      </c>
      <c r="H1283" s="20" t="n">
        <v>0.0523137</v>
      </c>
      <c r="I1283" s="20" t="n">
        <v>0.0482505</v>
      </c>
      <c r="J1283" s="20" t="n">
        <v>0.0482505</v>
      </c>
      <c r="K1283" s="2" t="inlineStr">
        <is>
          <t>止損</t>
        </is>
      </c>
      <c r="L1283" s="5">
        <f>交易明細!K641</f>
        <v/>
      </c>
      <c r="M1283" s="19">
        <f>M1278</f>
        <v/>
      </c>
      <c r="N1283" s="2">
        <f>N1278</f>
        <v/>
      </c>
      <c r="O1283" s="19">
        <f>O1278</f>
        <v/>
      </c>
      <c r="P1283" s="4">
        <f>交易明細!L641</f>
        <v/>
      </c>
      <c r="Q1283" s="13">
        <f>IF(N1283="已下單",O1283*P1283,0)</f>
        <v/>
      </c>
      <c r="R1283" s="13">
        <f>R1282+Q1283</f>
        <v/>
      </c>
      <c r="S1283" s="19">
        <f>S1282-IF(N1283="已下單",M1283,0)</f>
        <v/>
      </c>
      <c r="T1283" s="19">
        <f>R1283-S1283</f>
        <v/>
      </c>
      <c r="U1283" s="2">
        <f>U1282-IF(N1283="已下單",1,0)</f>
        <v/>
      </c>
      <c r="V1283" s="19">
        <f>IF(資金模擬!$B$9=2,MAX(R1283,0),MAX(V1282,FLOOR(MAX(R1283,0),資金模擬!$B$6)))</f>
        <v/>
      </c>
      <c r="W1283" s="13">
        <f>MAX(W1282,R1283)</f>
        <v/>
      </c>
      <c r="X1283" s="4">
        <f>IF(W1283&gt;0,R1283/W1283-1,-1)</f>
        <v/>
      </c>
      <c r="Y1283" s="19">
        <f>IF(R1283&gt;0,S1283*資金模擬!$B$7/R1283,0)</f>
        <v/>
      </c>
      <c r="Z1283" s="2">
        <f>IF(OR(Z1282=1,R1283&lt;=資金模擬!$B$10),1,0)</f>
        <v/>
      </c>
    </row>
    <row r="1284">
      <c r="A1284" s="2" t="n">
        <v>1282</v>
      </c>
      <c r="B1284" s="7" t="n">
        <v>46299.20833333334</v>
      </c>
      <c r="C1284" s="2" t="inlineStr">
        <is>
          <t>出場</t>
        </is>
      </c>
      <c r="D1284" s="2" t="n">
        <v>642</v>
      </c>
      <c r="E1284" s="2" t="inlineStr">
        <is>
          <t>QNT_USDT_PERP</t>
        </is>
      </c>
      <c r="F1284" s="2" t="inlineStr">
        <is>
          <t>做空</t>
        </is>
      </c>
      <c r="G1284" s="20" t="n">
        <v>248.45</v>
      </c>
      <c r="H1284" s="20" t="n">
        <v>240.9965</v>
      </c>
      <c r="I1284" s="20" t="n">
        <v>260.8725</v>
      </c>
      <c r="J1284" s="20" t="n">
        <v>260.8725</v>
      </c>
      <c r="K1284" s="2" t="inlineStr">
        <is>
          <t>止損</t>
        </is>
      </c>
      <c r="L1284" s="5">
        <f>交易明細!K643</f>
        <v/>
      </c>
      <c r="M1284" s="19">
        <f>M1280</f>
        <v/>
      </c>
      <c r="N1284" s="2">
        <f>N1280</f>
        <v/>
      </c>
      <c r="O1284" s="19">
        <f>O1280</f>
        <v/>
      </c>
      <c r="P1284" s="4">
        <f>交易明細!L643</f>
        <v/>
      </c>
      <c r="Q1284" s="13">
        <f>IF(N1284="已下單",O1284*P1284,0)</f>
        <v/>
      </c>
      <c r="R1284" s="13">
        <f>R1283+Q1284</f>
        <v/>
      </c>
      <c r="S1284" s="19">
        <f>S1283-IF(N1284="已下單",M1284,0)</f>
        <v/>
      </c>
      <c r="T1284" s="19">
        <f>R1284-S1284</f>
        <v/>
      </c>
      <c r="U1284" s="2">
        <f>U1283-IF(N1284="已下單",1,0)</f>
        <v/>
      </c>
      <c r="V1284" s="19">
        <f>IF(資金模擬!$B$9=2,MAX(R1284,0),MAX(V1283,FLOOR(MAX(R1284,0),資金模擬!$B$6)))</f>
        <v/>
      </c>
      <c r="W1284" s="13">
        <f>MAX(W1283,R1284)</f>
        <v/>
      </c>
      <c r="X1284" s="4">
        <f>IF(W1284&gt;0,R1284/W1284-1,-1)</f>
        <v/>
      </c>
      <c r="Y1284" s="19">
        <f>IF(R1284&gt;0,S1284*資金模擬!$B$7/R1284,0)</f>
        <v/>
      </c>
      <c r="Z1284" s="2">
        <f>IF(OR(Z1283=1,R1284&lt;=資金模擬!$B$10),1,0)</f>
        <v/>
      </c>
    </row>
    <row r="1285">
      <c r="A1285" s="2" t="n">
        <v>1283</v>
      </c>
      <c r="B1285" s="7" t="n">
        <v>46299.33333333334</v>
      </c>
      <c r="C1285" s="2" t="inlineStr">
        <is>
          <t>出場</t>
        </is>
      </c>
      <c r="D1285" s="2" t="n">
        <v>635</v>
      </c>
      <c r="E1285" s="2" t="inlineStr">
        <is>
          <t>ONDO_USDT_PERP</t>
        </is>
      </c>
      <c r="F1285" s="2" t="inlineStr">
        <is>
          <t>做空</t>
        </is>
      </c>
      <c r="G1285" s="20" t="n">
        <v>0.4785</v>
      </c>
      <c r="H1285" s="20" t="n">
        <v>0.464145</v>
      </c>
      <c r="I1285" s="20" t="n">
        <v>0.502425</v>
      </c>
      <c r="J1285" s="20" t="n">
        <v>0.502425</v>
      </c>
      <c r="K1285" s="2" t="inlineStr">
        <is>
          <t>止損</t>
        </is>
      </c>
      <c r="L1285" s="5">
        <f>交易明細!K636</f>
        <v/>
      </c>
      <c r="M1285" s="19">
        <f>M1268</f>
        <v/>
      </c>
      <c r="N1285" s="2">
        <f>N1268</f>
        <v/>
      </c>
      <c r="O1285" s="19">
        <f>O1268</f>
        <v/>
      </c>
      <c r="P1285" s="4">
        <f>交易明細!L636</f>
        <v/>
      </c>
      <c r="Q1285" s="13">
        <f>IF(N1285="已下單",O1285*P1285,0)</f>
        <v/>
      </c>
      <c r="R1285" s="13">
        <f>R1284+Q1285</f>
        <v/>
      </c>
      <c r="S1285" s="19">
        <f>S1284-IF(N1285="已下單",M1285,0)</f>
        <v/>
      </c>
      <c r="T1285" s="19">
        <f>R1285-S1285</f>
        <v/>
      </c>
      <c r="U1285" s="2">
        <f>U1284-IF(N1285="已下單",1,0)</f>
        <v/>
      </c>
      <c r="V1285" s="19">
        <f>IF(資金模擬!$B$9=2,MAX(R1285,0),MAX(V1284,FLOOR(MAX(R1285,0),資金模擬!$B$6)))</f>
        <v/>
      </c>
      <c r="W1285" s="13">
        <f>MAX(W1284,R1285)</f>
        <v/>
      </c>
      <c r="X1285" s="4">
        <f>IF(W1285&gt;0,R1285/W1285-1,-1)</f>
        <v/>
      </c>
      <c r="Y1285" s="19">
        <f>IF(R1285&gt;0,S1285*資金模擬!$B$7/R1285,0)</f>
        <v/>
      </c>
      <c r="Z1285" s="2">
        <f>IF(OR(Z1284=1,R1285&lt;=資金模擬!$B$10),1,0)</f>
        <v/>
      </c>
    </row>
    <row r="1286">
      <c r="A1286" s="2" t="n">
        <v>1284</v>
      </c>
      <c r="B1286" s="7" t="n">
        <v>46299.375</v>
      </c>
      <c r="C1286" s="2" t="inlineStr">
        <is>
          <t>出場</t>
        </is>
      </c>
      <c r="D1286" s="2" t="n">
        <v>634</v>
      </c>
      <c r="E1286" s="2" t="inlineStr">
        <is>
          <t>NEAR_USDT_PERP</t>
        </is>
      </c>
      <c r="F1286" s="2" t="inlineStr">
        <is>
          <t>做空</t>
        </is>
      </c>
      <c r="G1286" s="20" t="n">
        <v>4.641</v>
      </c>
      <c r="H1286" s="20" t="n">
        <v>4.50177</v>
      </c>
      <c r="I1286" s="20" t="n">
        <v>4.87305</v>
      </c>
      <c r="J1286" s="20" t="n">
        <v>4.87305</v>
      </c>
      <c r="K1286" s="2" t="inlineStr">
        <is>
          <t>止損</t>
        </is>
      </c>
      <c r="L1286" s="5">
        <f>交易明細!K635</f>
        <v/>
      </c>
      <c r="M1286" s="19">
        <f>M1267</f>
        <v/>
      </c>
      <c r="N1286" s="2">
        <f>N1267</f>
        <v/>
      </c>
      <c r="O1286" s="19">
        <f>O1267</f>
        <v/>
      </c>
      <c r="P1286" s="4">
        <f>交易明細!L635</f>
        <v/>
      </c>
      <c r="Q1286" s="13">
        <f>IF(N1286="已下單",O1286*P1286,0)</f>
        <v/>
      </c>
      <c r="R1286" s="13">
        <f>R1285+Q1286</f>
        <v/>
      </c>
      <c r="S1286" s="19">
        <f>S1285-IF(N1286="已下單",M1286,0)</f>
        <v/>
      </c>
      <c r="T1286" s="19">
        <f>R1286-S1286</f>
        <v/>
      </c>
      <c r="U1286" s="2">
        <f>U1285-IF(N1286="已下單",1,0)</f>
        <v/>
      </c>
      <c r="V1286" s="19">
        <f>IF(資金模擬!$B$9=2,MAX(R1286,0),MAX(V1285,FLOOR(MAX(R1286,0),資金模擬!$B$6)))</f>
        <v/>
      </c>
      <c r="W1286" s="13">
        <f>MAX(W1285,R1286)</f>
        <v/>
      </c>
      <c r="X1286" s="4">
        <f>IF(W1286&gt;0,R1286/W1286-1,-1)</f>
        <v/>
      </c>
      <c r="Y1286" s="19">
        <f>IF(R1286&gt;0,S1286*資金模擬!$B$7/R1286,0)</f>
        <v/>
      </c>
      <c r="Z1286" s="2">
        <f>IF(OR(Z1285=1,R1286&lt;=資金模擬!$B$10),1,0)</f>
        <v/>
      </c>
    </row>
    <row r="1287">
      <c r="A1287" s="2" t="n">
        <v>1285</v>
      </c>
      <c r="B1287" s="7" t="n">
        <v>46299.625</v>
      </c>
      <c r="C1287" s="2" t="inlineStr">
        <is>
          <t>出場</t>
        </is>
      </c>
      <c r="D1287" s="2" t="n">
        <v>643</v>
      </c>
      <c r="E1287" s="2" t="inlineStr">
        <is>
          <t>PONS_USDT_PERP</t>
        </is>
      </c>
      <c r="F1287" s="2" t="inlineStr">
        <is>
          <t>做空</t>
        </is>
      </c>
      <c r="G1287" s="20" t="n">
        <v>0.409</v>
      </c>
      <c r="H1287" s="20" t="n">
        <v>0.39673</v>
      </c>
      <c r="I1287" s="20" t="n">
        <v>0.42945</v>
      </c>
      <c r="J1287" s="20" t="n">
        <v>0.42945</v>
      </c>
      <c r="K1287" s="2" t="inlineStr">
        <is>
          <t>止損</t>
        </is>
      </c>
      <c r="L1287" s="5">
        <f>交易明細!K644</f>
        <v/>
      </c>
      <c r="M1287" s="19">
        <f>M1282</f>
        <v/>
      </c>
      <c r="N1287" s="2">
        <f>N1282</f>
        <v/>
      </c>
      <c r="O1287" s="19">
        <f>O1282</f>
        <v/>
      </c>
      <c r="P1287" s="4">
        <f>交易明細!L644</f>
        <v/>
      </c>
      <c r="Q1287" s="13">
        <f>IF(N1287="已下單",O1287*P1287,0)</f>
        <v/>
      </c>
      <c r="R1287" s="13">
        <f>R1286+Q1287</f>
        <v/>
      </c>
      <c r="S1287" s="19">
        <f>S1286-IF(N1287="已下單",M1287,0)</f>
        <v/>
      </c>
      <c r="T1287" s="19">
        <f>R1287-S1287</f>
        <v/>
      </c>
      <c r="U1287" s="2">
        <f>U1286-IF(N1287="已下單",1,0)</f>
        <v/>
      </c>
      <c r="V1287" s="19">
        <f>IF(資金模擬!$B$9=2,MAX(R1287,0),MAX(V1286,FLOOR(MAX(R1287,0),資金模擬!$B$6)))</f>
        <v/>
      </c>
      <c r="W1287" s="13">
        <f>MAX(W1286,R1287)</f>
        <v/>
      </c>
      <c r="X1287" s="4">
        <f>IF(W1287&gt;0,R1287/W1287-1,-1)</f>
        <v/>
      </c>
      <c r="Y1287" s="19">
        <f>IF(R1287&gt;0,S1287*資金模擬!$B$7/R1287,0)</f>
        <v/>
      </c>
      <c r="Z1287" s="2">
        <f>IF(OR(Z1286=1,R1287&lt;=資金模擬!$B$10),1,0)</f>
        <v/>
      </c>
    </row>
    <row r="1288">
      <c r="A1288" s="2" t="n">
        <v>1286</v>
      </c>
      <c r="B1288" s="7" t="n">
        <v>46299.70833333334</v>
      </c>
      <c r="C1288" s="2" t="inlineStr">
        <is>
          <t>進場</t>
        </is>
      </c>
      <c r="D1288" s="2" t="n">
        <v>644</v>
      </c>
      <c r="E1288" s="2" t="inlineStr">
        <is>
          <t>SAND_USDT_PERP</t>
        </is>
      </c>
      <c r="F1288" s="2" t="inlineStr">
        <is>
          <t>做空</t>
        </is>
      </c>
      <c r="G1288" s="20" t="n">
        <v>0.07376000000000001</v>
      </c>
      <c r="H1288" s="20" t="n">
        <v>0.07154720000000001</v>
      </c>
      <c r="I1288" s="20" t="n">
        <v>0.077448</v>
      </c>
      <c r="J1288" s="20" t="n"/>
      <c r="K1288" s="2" t="n"/>
      <c r="L1288" s="5" t="n"/>
      <c r="M1288" s="19">
        <f>資金模擬!$B$5*V1287</f>
        <v/>
      </c>
      <c r="N1288" s="2">
        <f>IF(Z1287=1,"已停止",IF(T1287&gt;=M1288,"已下單","資金不足略過"))</f>
        <v/>
      </c>
      <c r="O1288" s="19">
        <f>IF(N1288="已下單",M1288*資金模擬!$B$7,0)</f>
        <v/>
      </c>
      <c r="P1288" s="4" t="n"/>
      <c r="Q1288" s="13" t="n">
        <v>0</v>
      </c>
      <c r="R1288" s="13">
        <f>R1287+Q1288</f>
        <v/>
      </c>
      <c r="S1288" s="19">
        <f>S1287+IF(N1288="已下單",M1288,0)</f>
        <v/>
      </c>
      <c r="T1288" s="19">
        <f>R1288-S1288</f>
        <v/>
      </c>
      <c r="U1288" s="2">
        <f>U1287+IF(N1288="已下單",1,0)</f>
        <v/>
      </c>
      <c r="V1288" s="19">
        <f>IF(資金模擬!$B$9=2,MAX(R1288,0),MAX(V1287,FLOOR(MAX(R1288,0),資金模擬!$B$6)))</f>
        <v/>
      </c>
      <c r="W1288" s="13">
        <f>MAX(W1287,R1288)</f>
        <v/>
      </c>
      <c r="X1288" s="4">
        <f>IF(W1288&gt;0,R1288/W1288-1,-1)</f>
        <v/>
      </c>
      <c r="Y1288" s="19">
        <f>IF(R1288&gt;0,S1288*資金模擬!$B$7/R1288,0)</f>
        <v/>
      </c>
      <c r="Z1288" s="2">
        <f>IF(OR(Z1287=1,R1288&lt;=資金模擬!$B$10),1,0)</f>
        <v/>
      </c>
    </row>
    <row r="1289">
      <c r="A1289" s="2" t="n">
        <v>1287</v>
      </c>
      <c r="B1289" s="7" t="n">
        <v>46299.79166666666</v>
      </c>
      <c r="C1289" s="2" t="inlineStr">
        <is>
          <t>進場</t>
        </is>
      </c>
      <c r="D1289" s="2" t="n">
        <v>645</v>
      </c>
      <c r="E1289" s="2" t="inlineStr">
        <is>
          <t>ZRO_USDT_PERP</t>
        </is>
      </c>
      <c r="F1289" s="2" t="inlineStr">
        <is>
          <t>做空</t>
        </is>
      </c>
      <c r="G1289" s="20" t="n">
        <v>1.9861</v>
      </c>
      <c r="H1289" s="20" t="n">
        <v>1.926517</v>
      </c>
      <c r="I1289" s="20" t="n">
        <v>2.085405</v>
      </c>
      <c r="J1289" s="20" t="n"/>
      <c r="K1289" s="2" t="inlineStr">
        <is>
          <t>未平倉</t>
        </is>
      </c>
      <c r="L1289" s="5" t="n"/>
      <c r="M1289" s="19">
        <f>資金模擬!$B$5*V1288</f>
        <v/>
      </c>
      <c r="N1289" s="2">
        <f>IF(Z1288=1,"已停止",IF(T1288&gt;=M1289,"已下單","資金不足略過"))</f>
        <v/>
      </c>
      <c r="O1289" s="19">
        <f>IF(N1289="已下單",M1289*資金模擬!$B$7,0)</f>
        <v/>
      </c>
      <c r="P1289" s="4" t="n"/>
      <c r="Q1289" s="13" t="n">
        <v>0</v>
      </c>
      <c r="R1289" s="13">
        <f>R1288+Q1289</f>
        <v/>
      </c>
      <c r="S1289" s="19">
        <f>S1288+IF(N1289="已下單",M1289,0)</f>
        <v/>
      </c>
      <c r="T1289" s="19">
        <f>R1289-S1289</f>
        <v/>
      </c>
      <c r="U1289" s="2">
        <f>U1288+IF(N1289="已下單",1,0)</f>
        <v/>
      </c>
      <c r="V1289" s="19">
        <f>IF(資金模擬!$B$9=2,MAX(R1289,0),MAX(V1288,FLOOR(MAX(R1289,0),資金模擬!$B$6)))</f>
        <v/>
      </c>
      <c r="W1289" s="13">
        <f>MAX(W1288,R1289)</f>
        <v/>
      </c>
      <c r="X1289" s="4">
        <f>IF(W1289&gt;0,R1289/W1289-1,-1)</f>
        <v/>
      </c>
      <c r="Y1289" s="19">
        <f>IF(R1289&gt;0,S1289*資金模擬!$B$7/R1289,0)</f>
        <v/>
      </c>
      <c r="Z1289" s="2">
        <f>IF(OR(Z1288=1,R1289&lt;=資金模擬!$B$10),1,0)</f>
        <v/>
      </c>
    </row>
    <row r="1290">
      <c r="A1290" s="2" t="n">
        <v>1288</v>
      </c>
      <c r="B1290" s="7" t="n">
        <v>46299.83333333334</v>
      </c>
      <c r="C1290" s="2" t="inlineStr">
        <is>
          <t>出場</t>
        </is>
      </c>
      <c r="D1290" s="2" t="n">
        <v>644</v>
      </c>
      <c r="E1290" s="2" t="inlineStr">
        <is>
          <t>SAND_USDT_PERP</t>
        </is>
      </c>
      <c r="F1290" s="2" t="inlineStr">
        <is>
          <t>做空</t>
        </is>
      </c>
      <c r="G1290" s="20" t="n">
        <v>0.07376000000000001</v>
      </c>
      <c r="H1290" s="20" t="n">
        <v>0.07154720000000001</v>
      </c>
      <c r="I1290" s="20" t="n">
        <v>0.077448</v>
      </c>
      <c r="J1290" s="20" t="n">
        <v>0.077448</v>
      </c>
      <c r="K1290" s="2" t="inlineStr">
        <is>
          <t>止損</t>
        </is>
      </c>
      <c r="L1290" s="5">
        <f>交易明細!K645</f>
        <v/>
      </c>
      <c r="M1290" s="19">
        <f>M1288</f>
        <v/>
      </c>
      <c r="N1290" s="2">
        <f>N1288</f>
        <v/>
      </c>
      <c r="O1290" s="19">
        <f>O1288</f>
        <v/>
      </c>
      <c r="P1290" s="4">
        <f>交易明細!L645</f>
        <v/>
      </c>
      <c r="Q1290" s="13">
        <f>IF(N1290="已下單",O1290*P1290,0)</f>
        <v/>
      </c>
      <c r="R1290" s="13">
        <f>R1289+Q1290</f>
        <v/>
      </c>
      <c r="S1290" s="19">
        <f>S1289-IF(N1290="已下單",M1290,0)</f>
        <v/>
      </c>
      <c r="T1290" s="19">
        <f>R1290-S1290</f>
        <v/>
      </c>
      <c r="U1290" s="2">
        <f>U1289-IF(N1290="已下單",1,0)</f>
        <v/>
      </c>
      <c r="V1290" s="19">
        <f>IF(資金模擬!$B$9=2,MAX(R1290,0),MAX(V1289,FLOOR(MAX(R1290,0),資金模擬!$B$6)))</f>
        <v/>
      </c>
      <c r="W1290" s="13">
        <f>MAX(W1289,R1290)</f>
        <v/>
      </c>
      <c r="X1290" s="4">
        <f>IF(W1290&gt;0,R1290/W1290-1,-1)</f>
        <v/>
      </c>
      <c r="Y1290" s="19">
        <f>IF(R1290&gt;0,S1290*資金模擬!$B$7/R1290,0)</f>
        <v/>
      </c>
      <c r="Z1290" s="2">
        <f>IF(OR(Z1289=1,R1290&lt;=資金模擬!$B$10),1,0)</f>
        <v/>
      </c>
    </row>
    <row r="1291">
      <c r="A1291" s="2" t="n">
        <v>1289</v>
      </c>
      <c r="B1291" s="7" t="n">
        <v>46299.83333333334</v>
      </c>
      <c r="C1291" s="2" t="inlineStr">
        <is>
          <t>進場</t>
        </is>
      </c>
      <c r="D1291" s="2" t="n">
        <v>646</v>
      </c>
      <c r="E1291" s="2" t="inlineStr">
        <is>
          <t>AKE_USDT_PERP</t>
        </is>
      </c>
      <c r="F1291" s="2" t="inlineStr">
        <is>
          <t>做多</t>
        </is>
      </c>
      <c r="G1291" s="20" t="n">
        <v>0.0354325</v>
      </c>
      <c r="H1291" s="20" t="n">
        <v>0.036495475</v>
      </c>
      <c r="I1291" s="20" t="n">
        <v>0.033660875</v>
      </c>
      <c r="J1291" s="20" t="n"/>
      <c r="K1291" s="2" t="inlineStr">
        <is>
          <t>未平倉</t>
        </is>
      </c>
      <c r="L1291" s="5" t="n"/>
      <c r="M1291" s="19">
        <f>資金模擬!$B$5*V1290</f>
        <v/>
      </c>
      <c r="N1291" s="2">
        <f>IF(Z1290=1,"已停止",IF(T1290&gt;=M1291,"已下單","資金不足略過"))</f>
        <v/>
      </c>
      <c r="O1291" s="19">
        <f>IF(N1291="已下單",M1291*資金模擬!$B$7,0)</f>
        <v/>
      </c>
      <c r="P1291" s="4" t="n"/>
      <c r="Q1291" s="13" t="n">
        <v>0</v>
      </c>
      <c r="R1291" s="13">
        <f>R1290+Q1291</f>
        <v/>
      </c>
      <c r="S1291" s="19">
        <f>S1290+IF(N1291="已下單",M1291,0)</f>
        <v/>
      </c>
      <c r="T1291" s="19">
        <f>R1291-S1291</f>
        <v/>
      </c>
      <c r="U1291" s="2">
        <f>U1290+IF(N1291="已下單",1,0)</f>
        <v/>
      </c>
      <c r="V1291" s="19">
        <f>IF(資金模擬!$B$9=2,MAX(R1291,0),MAX(V1290,FLOOR(MAX(R1291,0),資金模擬!$B$6)))</f>
        <v/>
      </c>
      <c r="W1291" s="13">
        <f>MAX(W1290,R1291)</f>
        <v/>
      </c>
      <c r="X1291" s="4">
        <f>IF(W1291&gt;0,R1291/W1291-1,-1)</f>
        <v/>
      </c>
      <c r="Y1291" s="19">
        <f>IF(R1291&gt;0,S1291*資金模擬!$B$7/R1291,0)</f>
        <v/>
      </c>
      <c r="Z1291" s="2">
        <f>IF(OR(Z1290=1,R1291&lt;=資金模擬!$B$10),1,0)</f>
        <v/>
      </c>
    </row>
    <row r="1292">
      <c r="A1292" s="2" t="n">
        <v>1290</v>
      </c>
      <c r="B1292" s="7" t="n">
        <v>46299.83333333334</v>
      </c>
      <c r="C1292" s="2" t="inlineStr">
        <is>
          <t>進場</t>
        </is>
      </c>
      <c r="D1292" s="2" t="n">
        <v>647</v>
      </c>
      <c r="E1292" s="2" t="inlineStr">
        <is>
          <t>STRK_USDT_PERP</t>
        </is>
      </c>
      <c r="F1292" s="2" t="inlineStr">
        <is>
          <t>做多</t>
        </is>
      </c>
      <c r="G1292" s="20" t="n">
        <v>0.0551</v>
      </c>
      <c r="H1292" s="20" t="n">
        <v>0.056753</v>
      </c>
      <c r="I1292" s="20" t="n">
        <v>0.052345</v>
      </c>
      <c r="J1292" s="20" t="n"/>
      <c r="K1292" s="2" t="inlineStr">
        <is>
          <t>未平倉</t>
        </is>
      </c>
      <c r="L1292" s="5" t="n"/>
      <c r="M1292" s="19">
        <f>資金模擬!$B$5*V1291</f>
        <v/>
      </c>
      <c r="N1292" s="2">
        <f>IF(Z1291=1,"已停止",IF(T1291&gt;=M1292,"已下單","資金不足略過"))</f>
        <v/>
      </c>
      <c r="O1292" s="19">
        <f>IF(N1292="已下單",M1292*資金模擬!$B$7,0)</f>
        <v/>
      </c>
      <c r="P1292" s="4" t="n"/>
      <c r="Q1292" s="13" t="n">
        <v>0</v>
      </c>
      <c r="R1292" s="13">
        <f>R1291+Q1292</f>
        <v/>
      </c>
      <c r="S1292" s="19">
        <f>S1291+IF(N1292="已下單",M1292,0)</f>
        <v/>
      </c>
      <c r="T1292" s="19">
        <f>R1292-S1292</f>
        <v/>
      </c>
      <c r="U1292" s="2">
        <f>U1291+IF(N1292="已下單",1,0)</f>
        <v/>
      </c>
      <c r="V1292" s="19">
        <f>IF(資金模擬!$B$9=2,MAX(R1292,0),MAX(V1291,FLOOR(MAX(R1292,0),資金模擬!$B$6)))</f>
        <v/>
      </c>
      <c r="W1292" s="13">
        <f>MAX(W1291,R1292)</f>
        <v/>
      </c>
      <c r="X1292" s="4">
        <f>IF(W1292&gt;0,R1292/W1292-1,-1)</f>
        <v/>
      </c>
      <c r="Y1292" s="19">
        <f>IF(R1292&gt;0,S1292*資金模擬!$B$7/R1292,0)</f>
        <v/>
      </c>
      <c r="Z1292" s="2">
        <f>IF(OR(Z1291=1,R1292&lt;=資金模擬!$B$10),1,0)</f>
        <v/>
      </c>
    </row>
  </sheetData>
  <autoFilter ref="A1:Z1292"/>
  <conditionalFormatting sqref="K2:K129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29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29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2026-10-04 21:39（Dry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IFERROR(AVERAGE(交易明細!$AC$2:$AC$648),(B6+2*B7)/(B5+B6))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4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46296.45833333334</v>
      </c>
      <c r="I603" s="20" t="n">
        <v>0.2335857</v>
      </c>
      <c r="J603" s="2" t="inlineStr">
        <is>
          <t>止盈</t>
        </is>
      </c>
      <c r="K603" s="5">
        <f>(H603-D603)*24</f>
        <v/>
      </c>
      <c r="L603" s="4">
        <f>IF(C603="做多",I603/E603-1,1-I603/E603)-2*參數!$B$7</f>
        <v/>
      </c>
      <c r="M603" s="2" t="inlineStr"/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46296.54166666666</v>
      </c>
      <c r="I608" s="20" t="n">
        <v>0.1437555</v>
      </c>
      <c r="J608" s="2" t="inlineStr">
        <is>
          <t>止損</t>
        </is>
      </c>
      <c r="K608" s="5">
        <f>(H608-D608)*24</f>
        <v/>
      </c>
      <c r="L608" s="4">
        <f>IF(C608="做多",I608/E608-1,1-I608/E608)-2*參數!$B$7</f>
        <v/>
      </c>
      <c r="M608" s="2" t="inlineStr"/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0.02351910013877734</v>
      </c>
      <c r="T608" s="4" t="n">
        <v>0.05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46297.25</v>
      </c>
      <c r="I609" s="20" t="n">
        <v>3.801899999999999</v>
      </c>
      <c r="J609" s="2" t="inlineStr">
        <is>
          <t>止損</t>
        </is>
      </c>
      <c r="K609" s="5">
        <f>(H609-D609)*24</f>
        <v/>
      </c>
      <c r="L609" s="4">
        <f>IF(C609="做多",I609/E609-1,1-I609/E609)-2*參數!$B$7</f>
        <v/>
      </c>
      <c r="M609" s="2" t="inlineStr"/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0.02748625687156436</v>
      </c>
      <c r="T609" s="4" t="n">
        <v>0.05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46296.54166666666</v>
      </c>
      <c r="I610" s="20" t="n">
        <v>0.275319</v>
      </c>
      <c r="J610" s="2" t="inlineStr">
        <is>
          <t>止盈</t>
        </is>
      </c>
      <c r="K610" s="5">
        <f>(H610-D610)*24</f>
        <v/>
      </c>
      <c r="L610" s="4">
        <f>IF(C610="做多",I610/E610-1,1-I610/E610)-2*參數!$B$7</f>
        <v/>
      </c>
      <c r="M610" s="2" t="inlineStr"/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0.03</v>
      </c>
      <c r="T610" s="4" t="n">
        <v>0.02020202020202011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  <row r="611">
      <c r="A611" s="2" t="n">
        <v>610</v>
      </c>
      <c r="B611" s="2" t="inlineStr">
        <is>
          <t>QNT_USDT_PERP</t>
        </is>
      </c>
      <c r="C611" s="2" t="inlineStr">
        <is>
          <t>做多</t>
        </is>
      </c>
      <c r="D611" s="7" t="n">
        <v>46296.375</v>
      </c>
      <c r="E611" s="20" t="n">
        <v>293.05</v>
      </c>
      <c r="F611" s="20" t="n">
        <v>301.8415</v>
      </c>
      <c r="G611" s="20" t="n">
        <v>278.3975</v>
      </c>
      <c r="H611" s="7" t="n">
        <v>46296.5</v>
      </c>
      <c r="I611" s="20" t="n">
        <v>301.8415</v>
      </c>
      <c r="J611" s="2" t="inlineStr">
        <is>
          <t>止盈</t>
        </is>
      </c>
      <c r="K611" s="5">
        <f>(H611-D611)*24</f>
        <v/>
      </c>
      <c r="L611" s="4">
        <f>IF(C611="做多",I611/E611-1,1-I611/E611)-2*參數!$B$7</f>
        <v/>
      </c>
      <c r="M611" s="2" t="inlineStr"/>
      <c r="N611" s="4" t="n">
        <v>0.02157847033396076</v>
      </c>
      <c r="O611" s="4" t="n">
        <v>0.04820280603049324</v>
      </c>
      <c r="P611" s="4" t="n">
        <v>0.001168399907074624</v>
      </c>
      <c r="Q611" s="22" t="n">
        <v>16260.10000000002</v>
      </c>
      <c r="R611" s="22" t="n">
        <v>38135637.675</v>
      </c>
      <c r="S611" s="4" t="n">
        <v>0.03</v>
      </c>
      <c r="T611" s="4" t="n">
        <v>0.013717795598021</v>
      </c>
      <c r="U611" s="19" t="n">
        <v>0.6294021237891406</v>
      </c>
      <c r="V611" s="19" t="n">
        <v>0.812977099236644</v>
      </c>
      <c r="W611" s="4" t="n">
        <v>0.2139506772730455</v>
      </c>
      <c r="X611" s="4" t="n">
        <v>0.08040849432237129</v>
      </c>
      <c r="Y611" s="4" t="n">
        <v>-0.001398711845019274</v>
      </c>
      <c r="Z611" s="4" t="n">
        <v>-0.003797053908234482</v>
      </c>
      <c r="AA611" s="4" t="n">
        <v>0.03</v>
      </c>
      <c r="AB611" s="4" t="n">
        <v>0.05</v>
      </c>
      <c r="AC611" s="4">
        <f>(AB611+2*參數!$B$7)/(AA611+AB611)</f>
        <v/>
      </c>
    </row>
    <row r="612">
      <c r="A612" s="2" t="n">
        <v>611</v>
      </c>
      <c r="B612" s="2" t="inlineStr">
        <is>
          <t>GRASS_USDT_PERP</t>
        </is>
      </c>
      <c r="C612" s="2" t="inlineStr">
        <is>
          <t>做多</t>
        </is>
      </c>
      <c r="D612" s="7" t="n">
        <v>46296.5</v>
      </c>
      <c r="E612" s="20" t="n">
        <v>0.7151999999999999</v>
      </c>
      <c r="F612" s="20" t="n">
        <v>0.736656</v>
      </c>
      <c r="G612" s="20" t="n">
        <v>0.6794399999999999</v>
      </c>
      <c r="H612" s="7" t="n">
        <v>46296.75</v>
      </c>
      <c r="I612" s="20" t="n">
        <v>0.6794399999999999</v>
      </c>
      <c r="J612" s="2" t="inlineStr">
        <is>
          <t>止損</t>
        </is>
      </c>
      <c r="K612" s="5">
        <f>(H612-D612)*24</f>
        <v/>
      </c>
      <c r="L612" s="4">
        <f>IF(C612="做多",I612/E612-1,1-I612/E612)-2*參數!$B$7</f>
        <v/>
      </c>
      <c r="M612" s="2" t="inlineStr"/>
      <c r="N612" s="4" t="n">
        <v>0.03547126103952514</v>
      </c>
      <c r="O612" s="4" t="n">
        <v>0.03083937424143357</v>
      </c>
      <c r="P612" s="4" t="n">
        <v>0.004184100418409775</v>
      </c>
      <c r="Q612" s="22" t="n">
        <v>184896</v>
      </c>
      <c r="R612" s="22" t="n">
        <v>1662701.7606</v>
      </c>
      <c r="S612" s="4" t="n">
        <v>0.01691834451901575</v>
      </c>
      <c r="T612" s="4" t="n">
        <v>0.05</v>
      </c>
      <c r="U612" s="19" t="n">
        <v>0.5759402686391357</v>
      </c>
      <c r="V612" s="19" t="n">
        <v>0.919413919413916</v>
      </c>
      <c r="W612" s="4" t="n">
        <v>0.0895396877627872</v>
      </c>
      <c r="X612" s="4" t="n">
        <v>-0.01378929950358521</v>
      </c>
      <c r="Y612" s="4" t="n">
        <v>0.003254741004823369</v>
      </c>
      <c r="Z612" s="4" t="n">
        <v>-0.001317614056283611</v>
      </c>
      <c r="AA612" s="4" t="n">
        <v>0.03</v>
      </c>
      <c r="AB612" s="4" t="n">
        <v>0.05</v>
      </c>
      <c r="AC612" s="4">
        <f>(AB612+2*參數!$B$7)/(AA612+AB612)</f>
        <v/>
      </c>
    </row>
    <row r="613">
      <c r="A613" s="2" t="n">
        <v>612</v>
      </c>
      <c r="B613" s="2" t="inlineStr">
        <is>
          <t>QNT_USDT_PERP</t>
        </is>
      </c>
      <c r="C613" s="2" t="inlineStr">
        <is>
          <t>做多</t>
        </is>
      </c>
      <c r="D613" s="7" t="n">
        <v>46296.625</v>
      </c>
      <c r="E613" s="20" t="n">
        <v>295.9</v>
      </c>
      <c r="F613" s="20" t="n">
        <v>304.777</v>
      </c>
      <c r="G613" s="20" t="n">
        <v>281.105</v>
      </c>
      <c r="H613" s="7" t="n">
        <v>46296.70833333334</v>
      </c>
      <c r="I613" s="20" t="n">
        <v>304.777</v>
      </c>
      <c r="J613" s="2" t="inlineStr">
        <is>
          <t>止盈</t>
        </is>
      </c>
      <c r="K613" s="5">
        <f>(H613-D613)*24</f>
        <v/>
      </c>
      <c r="L613" s="4">
        <f>IF(C613="做多",I613/E613-1,1-I613/E613)-2*參數!$B$7</f>
        <v/>
      </c>
      <c r="M613" s="2" t="inlineStr"/>
      <c r="N613" s="4" t="n">
        <v>0.02511692360990825</v>
      </c>
      <c r="O613" s="4" t="n">
        <v>0.04408760138668844</v>
      </c>
      <c r="P613" s="4" t="n">
        <v>0.003595170261836866</v>
      </c>
      <c r="Q613" s="22" t="n">
        <v>3146.900000000023</v>
      </c>
      <c r="R613" s="22" t="n">
        <v>33065153.294</v>
      </c>
      <c r="S613" s="4" t="n">
        <v>0.03</v>
      </c>
      <c r="T613" s="4" t="n">
        <v>0.01784386617100364</v>
      </c>
      <c r="U613" s="19" t="n">
        <v>0.7273659376127977</v>
      </c>
      <c r="V613" s="19" t="n">
        <v>0.9544383346425734</v>
      </c>
      <c r="W613" s="4" t="n">
        <v>0.1849869086779166</v>
      </c>
      <c r="X613" s="4" t="n">
        <v>0.03689946385394394</v>
      </c>
      <c r="Y613" s="4" t="n">
        <v>-0.002108950995669323</v>
      </c>
      <c r="Z613" s="4" t="n">
        <v>0.001865580276251722</v>
      </c>
      <c r="AA613" s="4" t="n">
        <v>0.03</v>
      </c>
      <c r="AB613" s="4" t="n">
        <v>0.05</v>
      </c>
      <c r="AC613" s="4">
        <f>(AB613+2*參數!$B$7)/(AA613+AB613)</f>
        <v/>
      </c>
    </row>
    <row r="614">
      <c r="A614" s="2" t="n">
        <v>613</v>
      </c>
      <c r="B614" s="2" t="inlineStr">
        <is>
          <t>PENGU_USDT_PERP</t>
        </is>
      </c>
      <c r="C614" s="2" t="inlineStr">
        <is>
          <t>做空</t>
        </is>
      </c>
      <c r="D614" s="7" t="n">
        <v>46296.66666666666</v>
      </c>
      <c r="E614" s="20" t="n">
        <v>0.009639</v>
      </c>
      <c r="F614" s="20" t="n">
        <v>0.00934983</v>
      </c>
      <c r="G614" s="20" t="n">
        <v>0.01012095</v>
      </c>
      <c r="H614" s="7" t="n">
        <v>46296.95833333334</v>
      </c>
      <c r="I614" s="20" t="n">
        <v>0.00934983</v>
      </c>
      <c r="J614" s="2" t="inlineStr">
        <is>
          <t>止盈</t>
        </is>
      </c>
      <c r="K614" s="5">
        <f>(H614-D614)*24</f>
        <v/>
      </c>
      <c r="L614" s="4">
        <f>IF(C614="做多",I614/E614-1,1-I614/E614)-2*參數!$B$7</f>
        <v/>
      </c>
      <c r="M614" s="2" t="inlineStr"/>
      <c r="N614" s="4" t="n">
        <v>-0.02161997563946405</v>
      </c>
      <c r="O614" s="4" t="n">
        <v>0.02050352338629812</v>
      </c>
      <c r="P614" s="4" t="n">
        <v>-0.0178016446396364</v>
      </c>
      <c r="Q614" s="22" t="n">
        <v>-31659152</v>
      </c>
      <c r="R614" s="22" t="n">
        <v>1320444.247704</v>
      </c>
      <c r="S614" s="4" t="n">
        <v>0.03</v>
      </c>
      <c r="T614" s="4" t="n">
        <v>0.01442058304803395</v>
      </c>
      <c r="U614" s="19" t="n">
        <v>1.04965760807159</v>
      </c>
      <c r="V614" s="19" t="n">
        <v>0.8407407407407417</v>
      </c>
      <c r="W614" s="4" t="n">
        <v>0.01772357259612845</v>
      </c>
      <c r="X614" s="4" t="n">
        <v>0.02389873417721522</v>
      </c>
      <c r="Y614" s="4" t="n">
        <v>0.008332322417824334</v>
      </c>
      <c r="Z614" s="4" t="n">
        <v>0.006185358368606564</v>
      </c>
      <c r="AA614" s="4" t="n">
        <v>0.03</v>
      </c>
      <c r="AB614" s="4" t="n">
        <v>0.05</v>
      </c>
      <c r="AC614" s="4">
        <f>(AB614+2*參數!$B$7)/(AA614+AB614)</f>
        <v/>
      </c>
    </row>
    <row r="615">
      <c r="A615" s="2" t="n">
        <v>614</v>
      </c>
      <c r="B615" s="2" t="inlineStr">
        <is>
          <t>TRUMP_USDT_PERP</t>
        </is>
      </c>
      <c r="C615" s="2" t="inlineStr">
        <is>
          <t>做空</t>
        </is>
      </c>
      <c r="D615" s="7" t="n">
        <v>46296.66666666666</v>
      </c>
      <c r="E615" s="20" t="n">
        <v>2.048</v>
      </c>
      <c r="F615" s="20" t="n">
        <v>1.98656</v>
      </c>
      <c r="G615" s="20" t="n">
        <v>2.1504</v>
      </c>
      <c r="H615" s="7" t="n">
        <v>46297.83333333334</v>
      </c>
      <c r="I615" s="20" t="n">
        <v>2.1504</v>
      </c>
      <c r="J615" s="2" t="inlineStr">
        <is>
          <t>止損</t>
        </is>
      </c>
      <c r="K615" s="5">
        <f>(H615-D615)*24</f>
        <v/>
      </c>
      <c r="L615" s="4">
        <f>IF(C615="做多",I615/E615-1,1-I615/E615)-2*參數!$B$7</f>
        <v/>
      </c>
      <c r="M615" s="2" t="inlineStr"/>
      <c r="N615" s="4" t="n">
        <v>-0.04254324450677871</v>
      </c>
      <c r="O615" s="4" t="n">
        <v>0.02403038778066662</v>
      </c>
      <c r="P615" s="4" t="n">
        <v>-0.0184989935780695</v>
      </c>
      <c r="Q615" s="22" t="n">
        <v>-242850.9000000004</v>
      </c>
      <c r="R615" s="22" t="n">
        <v>1228935.616</v>
      </c>
      <c r="S615" s="4" t="n">
        <v>0.013671875</v>
      </c>
      <c r="T615" s="4" t="n">
        <v>0.05</v>
      </c>
      <c r="U615" s="19" t="n">
        <v>6.1409279877125</v>
      </c>
      <c r="V615" s="19" t="n">
        <v>0.8225806451612885</v>
      </c>
      <c r="W615" s="4" t="n">
        <v>0.004331740328940126</v>
      </c>
      <c r="X615" s="4" t="n">
        <v>-0.004413928396272526</v>
      </c>
      <c r="Y615" s="4" t="n">
        <v>0.008332322417824334</v>
      </c>
      <c r="Z615" s="4" t="n">
        <v>0.006185358368606564</v>
      </c>
      <c r="AA615" s="4" t="n">
        <v>0.03</v>
      </c>
      <c r="AB615" s="4" t="n">
        <v>0.05</v>
      </c>
      <c r="AC615" s="4">
        <f>(AB615+2*參數!$B$7)/(AA615+AB615)</f>
        <v/>
      </c>
    </row>
    <row r="616">
      <c r="A616" s="2" t="n">
        <v>615</v>
      </c>
      <c r="B616" s="2" t="inlineStr">
        <is>
          <t>USELESS_USDT_PERP</t>
        </is>
      </c>
      <c r="C616" s="2" t="inlineStr">
        <is>
          <t>做空</t>
        </is>
      </c>
      <c r="D616" s="7" t="n">
        <v>46296.66666666666</v>
      </c>
      <c r="E616" s="20" t="n">
        <v>0.23537</v>
      </c>
      <c r="F616" s="20" t="n">
        <v>0.2283089</v>
      </c>
      <c r="G616" s="20" t="n">
        <v>0.2471385</v>
      </c>
      <c r="H616" s="7" t="n">
        <v>46296.70833333334</v>
      </c>
      <c r="I616" s="20" t="n">
        <v>0.2283089</v>
      </c>
      <c r="J616" s="2" t="inlineStr">
        <is>
          <t>止盈</t>
        </is>
      </c>
      <c r="K616" s="5">
        <f>(H616-D616)*24</f>
        <v/>
      </c>
      <c r="L616" s="4">
        <f>IF(C616="做多",I616/E616-1,1-I616/E616)-2*參數!$B$7</f>
        <v/>
      </c>
      <c r="M616" s="2" t="inlineStr"/>
      <c r="N616" s="4" t="n">
        <v>-0.0371446103497648</v>
      </c>
      <c r="O616" s="4" t="n">
        <v>0.02953282516135427</v>
      </c>
      <c r="P616" s="4" t="n">
        <v>-0.02719570159123774</v>
      </c>
      <c r="Q616" s="22" t="n">
        <v>-1305590</v>
      </c>
      <c r="R616" s="22" t="n">
        <v>2238830.43097</v>
      </c>
      <c r="S616" s="4" t="n">
        <v>0.03</v>
      </c>
      <c r="T616" s="4" t="n">
        <v>0</v>
      </c>
      <c r="U616" s="19" t="n">
        <v>1.677514771788916</v>
      </c>
      <c r="V616" s="19" t="n">
        <v>0.936477382098172</v>
      </c>
      <c r="W616" s="4" t="n">
        <v>0.06716292209421271</v>
      </c>
      <c r="X616" s="4" t="n">
        <v>0.01084261399453668</v>
      </c>
      <c r="Y616" s="4" t="n">
        <v>0.008332322417824334</v>
      </c>
      <c r="Z616" s="4" t="n">
        <v>0.006185358368606564</v>
      </c>
      <c r="AA616" s="4" t="n">
        <v>0.03</v>
      </c>
      <c r="AB616" s="4" t="n">
        <v>0.05</v>
      </c>
      <c r="AC616" s="4">
        <f>(AB616+2*參數!$B$7)/(AA616+AB616)</f>
        <v/>
      </c>
    </row>
    <row r="617">
      <c r="A617" s="2" t="n">
        <v>616</v>
      </c>
      <c r="B617" s="2" t="inlineStr">
        <is>
          <t>ZRO_USDT_PERP</t>
        </is>
      </c>
      <c r="C617" s="2" t="inlineStr">
        <is>
          <t>做空</t>
        </is>
      </c>
      <c r="D617" s="7" t="n">
        <v>46296.66666666666</v>
      </c>
      <c r="E617" s="20" t="n">
        <v>1.6874</v>
      </c>
      <c r="F617" s="20" t="n">
        <v>1.636778</v>
      </c>
      <c r="G617" s="20" t="n">
        <v>1.77177</v>
      </c>
      <c r="H617" s="7" t="n">
        <v>46296.75</v>
      </c>
      <c r="I617" s="20" t="n">
        <v>1.636778</v>
      </c>
      <c r="J617" s="2" t="inlineStr">
        <is>
          <t>止盈</t>
        </is>
      </c>
      <c r="K617" s="5">
        <f>(H617-D617)*24</f>
        <v/>
      </c>
      <c r="L617" s="4">
        <f>IF(C617="做多",I617/E617-1,1-I617/E617)-2*參數!$B$7</f>
        <v/>
      </c>
      <c r="M617" s="2" t="inlineStr"/>
      <c r="N617" s="4" t="n">
        <v>-0.0219671941111691</v>
      </c>
      <c r="O617" s="4" t="n">
        <v>0.02701523057419197</v>
      </c>
      <c r="P617" s="4" t="n">
        <v>-0.01774565817851581</v>
      </c>
      <c r="Q617" s="22" t="n">
        <v>-62364.30000000016</v>
      </c>
      <c r="R617" s="22" t="n">
        <v>1236074.44238</v>
      </c>
      <c r="S617" s="4" t="n">
        <v>0.03</v>
      </c>
      <c r="T617" s="4" t="n">
        <v>0.006044802654972203</v>
      </c>
      <c r="U617" s="19" t="n">
        <v>0.6674984871732903</v>
      </c>
      <c r="V617" s="19" t="n">
        <v>0.5929878048780488</v>
      </c>
      <c r="W617" s="4" t="n">
        <v>-0.02868791995815512</v>
      </c>
      <c r="X617" s="4" t="n">
        <v>0.0582654314097556</v>
      </c>
      <c r="Y617" s="4" t="n">
        <v>0.008332322417824334</v>
      </c>
      <c r="Z617" s="4" t="n">
        <v>0.006185358368606564</v>
      </c>
      <c r="AA617" s="4" t="n">
        <v>0.03</v>
      </c>
      <c r="AB617" s="4" t="n">
        <v>0.05</v>
      </c>
      <c r="AC617" s="4">
        <f>(AB617+2*參數!$B$7)/(AA617+AB617)</f>
        <v/>
      </c>
    </row>
    <row r="618">
      <c r="A618" s="2" t="n">
        <v>617</v>
      </c>
      <c r="B618" s="2" t="inlineStr">
        <is>
          <t>PUMP_USDT_PERP</t>
        </is>
      </c>
      <c r="C618" s="2" t="inlineStr">
        <is>
          <t>做空</t>
        </is>
      </c>
      <c r="D618" s="7" t="n">
        <v>46296.70833333334</v>
      </c>
      <c r="E618" s="20" t="n">
        <v>0.005504</v>
      </c>
      <c r="F618" s="20" t="n">
        <v>0.00533888</v>
      </c>
      <c r="G618" s="20" t="n">
        <v>0.005779200000000001</v>
      </c>
      <c r="H618" s="7" t="n">
        <v>46297.08333333334</v>
      </c>
      <c r="I618" s="20" t="n">
        <v>0.005779200000000001</v>
      </c>
      <c r="J618" s="2" t="inlineStr">
        <is>
          <t>止損</t>
        </is>
      </c>
      <c r="K618" s="5">
        <f>(H618-D618)*24</f>
        <v/>
      </c>
      <c r="L618" s="4">
        <f>IF(C618="做多",I618/E618-1,1-I618/E618)-2*參數!$B$7</f>
        <v/>
      </c>
      <c r="M618" s="2" t="inlineStr"/>
      <c r="N618" s="4" t="n">
        <v>-0.02029191883232462</v>
      </c>
      <c r="O618" s="4" t="n">
        <v>0.02806889175827834</v>
      </c>
      <c r="P618" s="4" t="n">
        <v>-0.04864790120042517</v>
      </c>
      <c r="Q618" s="22" t="n">
        <v>-180207104</v>
      </c>
      <c r="R618" s="22" t="n">
        <v>10618427.763089</v>
      </c>
      <c r="S618" s="4" t="n">
        <v>0.02125726744186041</v>
      </c>
      <c r="T618" s="4" t="n">
        <v>0.05</v>
      </c>
      <c r="U618" s="19" t="n">
        <v>1.134272917785697</v>
      </c>
      <c r="V618" s="19" t="n">
        <v>0.9415204678362546</v>
      </c>
      <c r="W618" s="4" t="n">
        <v>-0.0357273237061877</v>
      </c>
      <c r="X618" s="4" t="n">
        <v>0.0475860875584011</v>
      </c>
      <c r="Y618" s="4" t="n">
        <v>-0.0017210031949495</v>
      </c>
      <c r="Z618" s="4" t="n">
        <v>0.003444777961438827</v>
      </c>
      <c r="AA618" s="4" t="n">
        <v>0.03</v>
      </c>
      <c r="AB618" s="4" t="n">
        <v>0.05</v>
      </c>
      <c r="AC618" s="4">
        <f>(AB618+2*參數!$B$7)/(AA618+AB618)</f>
        <v/>
      </c>
    </row>
    <row r="619">
      <c r="A619" s="2" t="n">
        <v>618</v>
      </c>
      <c r="B619" s="2" t="inlineStr">
        <is>
          <t>QNT_USDT_PERP</t>
        </is>
      </c>
      <c r="C619" s="2" t="inlineStr">
        <is>
          <t>做空</t>
        </is>
      </c>
      <c r="D619" s="7" t="n">
        <v>46296.79166666666</v>
      </c>
      <c r="E619" s="20" t="n">
        <v>280.07</v>
      </c>
      <c r="F619" s="20" t="n">
        <v>271.6679</v>
      </c>
      <c r="G619" s="20" t="n">
        <v>294.0735</v>
      </c>
      <c r="H619" s="7" t="n">
        <v>46296.83333333334</v>
      </c>
      <c r="I619" s="20" t="n">
        <v>271.6679</v>
      </c>
      <c r="J619" s="2" t="inlineStr">
        <is>
          <t>止盈</t>
        </is>
      </c>
      <c r="K619" s="5">
        <f>(H619-D619)*24</f>
        <v/>
      </c>
      <c r="L619" s="4">
        <f>IF(C619="做多",I619/E619-1,1-I619/E619)-2*參數!$B$7</f>
        <v/>
      </c>
      <c r="M619" s="2" t="inlineStr"/>
      <c r="N619" s="4" t="n">
        <v>-0.02797348419116374</v>
      </c>
      <c r="O619" s="4" t="n">
        <v>0.04426659132489046</v>
      </c>
      <c r="P619" s="4" t="n">
        <v>-0.04283114464162141</v>
      </c>
      <c r="Q619" s="22" t="n">
        <v>-7734.300000000017</v>
      </c>
      <c r="R619" s="22" t="n">
        <v>32409389.735</v>
      </c>
      <c r="S619" s="4" t="n">
        <v>0.03</v>
      </c>
      <c r="T619" s="4" t="n">
        <v>0</v>
      </c>
      <c r="U619" s="19" t="n">
        <v>1.135062622714911</v>
      </c>
      <c r="V619" s="19" t="n">
        <v>0.927007299270074</v>
      </c>
      <c r="W619" s="4" t="n">
        <v>-0.101418862825432</v>
      </c>
      <c r="X619" s="4" t="n">
        <v>0.05378560086489415</v>
      </c>
      <c r="Y619" s="4" t="n">
        <v>-0.002209068644718482</v>
      </c>
      <c r="Z619" s="4" t="n">
        <v>-0.001810895655993017</v>
      </c>
      <c r="AA619" s="4" t="n">
        <v>0.03</v>
      </c>
      <c r="AB619" s="4" t="n">
        <v>0.05</v>
      </c>
      <c r="AC619" s="4">
        <f>(AB619+2*參數!$B$7)/(AA619+AB619)</f>
        <v/>
      </c>
    </row>
    <row r="620">
      <c r="A620" s="2" t="n">
        <v>619</v>
      </c>
      <c r="B620" s="2" t="inlineStr">
        <is>
          <t>ENA_USDT_PERP</t>
        </is>
      </c>
      <c r="C620" s="2" t="inlineStr">
        <is>
          <t>做空</t>
        </is>
      </c>
      <c r="D620" s="7" t="n">
        <v>46296.95833333334</v>
      </c>
      <c r="E620" s="20" t="n">
        <v>0.2507</v>
      </c>
      <c r="F620" s="20" t="n">
        <v>0.243179</v>
      </c>
      <c r="G620" s="20" t="n">
        <v>0.263235</v>
      </c>
      <c r="H620" s="7" t="n">
        <v>46297.25</v>
      </c>
      <c r="I620" s="20" t="n">
        <v>0.243179</v>
      </c>
      <c r="J620" s="2" t="inlineStr">
        <is>
          <t>止盈</t>
        </is>
      </c>
      <c r="K620" s="5">
        <f>(H620-D620)*24</f>
        <v/>
      </c>
      <c r="L620" s="4">
        <f>IF(C620="做多",I620/E620-1,1-I620/E620)-2*參數!$B$7</f>
        <v/>
      </c>
      <c r="M620" s="2" t="inlineStr"/>
      <c r="N620" s="4" t="n">
        <v>-0.03241991509069864</v>
      </c>
      <c r="O620" s="4" t="n">
        <v>0.02486364784281831</v>
      </c>
      <c r="P620" s="4" t="n">
        <v>-0.04937054451691203</v>
      </c>
      <c r="Q620" s="22" t="n">
        <v>-12281195</v>
      </c>
      <c r="R620" s="22" t="n">
        <v>9186359.7991</v>
      </c>
      <c r="S620" s="4" t="n">
        <v>0.03</v>
      </c>
      <c r="T620" s="4" t="n">
        <v>0.007179896290387067</v>
      </c>
      <c r="U620" s="19" t="n">
        <v>1.531604081042404</v>
      </c>
      <c r="V620" s="19" t="n">
        <v>1</v>
      </c>
      <c r="W620" s="4" t="n">
        <v>0.04023949986792286</v>
      </c>
      <c r="X620" s="4" t="n">
        <v>0.05037878787878802</v>
      </c>
      <c r="Y620" s="4" t="n">
        <v>-0.001201269913909009</v>
      </c>
      <c r="Z620" s="4" t="n">
        <v>-0.003280617273379471</v>
      </c>
      <c r="AA620" s="4" t="n">
        <v>0.03</v>
      </c>
      <c r="AB620" s="4" t="n">
        <v>0.05</v>
      </c>
      <c r="AC620" s="4">
        <f>(AB620+2*參數!$B$7)/(AA620+AB620)</f>
        <v/>
      </c>
    </row>
    <row r="621">
      <c r="A621" s="2" t="n">
        <v>620</v>
      </c>
      <c r="B621" s="2" t="inlineStr">
        <is>
          <t>USELESS_USDT_PERP</t>
        </is>
      </c>
      <c r="C621" s="2" t="inlineStr">
        <is>
          <t>做空</t>
        </is>
      </c>
      <c r="D621" s="7" t="n">
        <v>46296.95833333334</v>
      </c>
      <c r="E621" s="20" t="n">
        <v>0.22404</v>
      </c>
      <c r="F621" s="20" t="n">
        <v>0.2173188</v>
      </c>
      <c r="G621" s="20" t="n">
        <v>0.235242</v>
      </c>
      <c r="H621" s="7" t="n">
        <v>46297.08333333334</v>
      </c>
      <c r="I621" s="20" t="n">
        <v>0.235242</v>
      </c>
      <c r="J621" s="2" t="inlineStr">
        <is>
          <t>止損</t>
        </is>
      </c>
      <c r="K621" s="5">
        <f>(H621-D621)*24</f>
        <v/>
      </c>
      <c r="L621" s="4">
        <f>IF(C621="做多",I621/E621-1,1-I621/E621)-2*參數!$B$7</f>
        <v/>
      </c>
      <c r="M621" s="2" t="inlineStr"/>
      <c r="N621" s="4" t="n">
        <v>-0.02506527415143611</v>
      </c>
      <c r="O621" s="4" t="n">
        <v>0.03021868644588973</v>
      </c>
      <c r="P621" s="4" t="n">
        <v>-0.04716945022136609</v>
      </c>
      <c r="Q621" s="22" t="n">
        <v>-739065</v>
      </c>
      <c r="R621" s="22" t="n">
        <v>1557590.7416</v>
      </c>
      <c r="S621" s="4" t="n">
        <v>0.008837707552222684</v>
      </c>
      <c r="T621" s="4" t="n">
        <v>0.05</v>
      </c>
      <c r="U621" s="19" t="n">
        <v>1.266894690015044</v>
      </c>
      <c r="V621" s="19" t="n">
        <v>0.94291986827662</v>
      </c>
      <c r="W621" s="4" t="n">
        <v>0.09703452984453242</v>
      </c>
      <c r="X621" s="4" t="n">
        <v>0.06963996511772774</v>
      </c>
      <c r="Y621" s="4" t="n">
        <v>-0.001201269913909009</v>
      </c>
      <c r="Z621" s="4" t="n">
        <v>-0.003280617273379471</v>
      </c>
      <c r="AA621" s="4" t="n">
        <v>0.03</v>
      </c>
      <c r="AB621" s="4" t="n">
        <v>0.05</v>
      </c>
      <c r="AC621" s="4">
        <f>(AB621+2*參數!$B$7)/(AA621+AB621)</f>
        <v/>
      </c>
    </row>
    <row r="622">
      <c r="A622" s="2" t="n">
        <v>621</v>
      </c>
      <c r="B622" s="2" t="inlineStr">
        <is>
          <t>MON_USDT_PERP</t>
        </is>
      </c>
      <c r="C622" s="2" t="inlineStr">
        <is>
          <t>做多</t>
        </is>
      </c>
      <c r="D622" s="7" t="n">
        <v>46297</v>
      </c>
      <c r="E622" s="20" t="n">
        <v>0.03282</v>
      </c>
      <c r="F622" s="20" t="n">
        <v>0.0338046</v>
      </c>
      <c r="G622" s="20" t="n">
        <v>0.031179</v>
      </c>
      <c r="H622" s="7" t="n">
        <v>46297.08333333334</v>
      </c>
      <c r="I622" s="20" t="n">
        <v>0.0338046</v>
      </c>
      <c r="J622" s="2" t="inlineStr">
        <is>
          <t>止盈</t>
        </is>
      </c>
      <c r="K622" s="5">
        <f>(H622-D622)*24</f>
        <v/>
      </c>
      <c r="L622" s="4">
        <f>IF(C622="做多",I622/E622-1,1-I622/E622)-2*參數!$B$7</f>
        <v/>
      </c>
      <c r="M622" s="2" t="inlineStr"/>
      <c r="N622" s="4" t="n">
        <v>0.02755165936130233</v>
      </c>
      <c r="O622" s="4" t="n">
        <v>0.03146297420511188</v>
      </c>
      <c r="P622" s="4" t="n">
        <v>0.02378538563518684</v>
      </c>
      <c r="Q622" s="22" t="n">
        <v>10030048</v>
      </c>
      <c r="R622" s="22" t="n">
        <v>1344335.34283</v>
      </c>
      <c r="S622" s="4" t="n">
        <v>0.03</v>
      </c>
      <c r="T622" s="4" t="n">
        <v>0.01035953686776359</v>
      </c>
      <c r="U622" s="19" t="n">
        <v>0.9041390822741897</v>
      </c>
      <c r="V622" s="19" t="n">
        <v>0.9568965517241368</v>
      </c>
      <c r="W622" s="4" t="n">
        <v>0.1449542820662206</v>
      </c>
      <c r="X622" s="4" t="n">
        <v>0.1827027027027028</v>
      </c>
      <c r="Y622" s="4" t="n">
        <v>0.00135575870113791</v>
      </c>
      <c r="Z622" s="4" t="n">
        <v>0.004301707987046877</v>
      </c>
      <c r="AA622" s="4" t="n">
        <v>0.03</v>
      </c>
      <c r="AB622" s="4" t="n">
        <v>0.05</v>
      </c>
      <c r="AC622" s="4">
        <f>(AB622+2*參數!$B$7)/(AA622+AB622)</f>
        <v/>
      </c>
    </row>
    <row r="623">
      <c r="A623" s="2" t="n">
        <v>622</v>
      </c>
      <c r="B623" s="2" t="inlineStr">
        <is>
          <t>ZEC_USDT_PERP</t>
        </is>
      </c>
      <c r="C623" s="2" t="inlineStr">
        <is>
          <t>做空</t>
        </is>
      </c>
      <c r="D623" s="7" t="n">
        <v>46297.04166666666</v>
      </c>
      <c r="E623" s="20" t="n">
        <v>1342.99</v>
      </c>
      <c r="F623" s="20" t="n">
        <v>1302.7003</v>
      </c>
      <c r="G623" s="20" t="n">
        <v>1410.1395</v>
      </c>
      <c r="H623" s="7" t="n">
        <v>46297.91666666666</v>
      </c>
      <c r="I623" s="20" t="n">
        <v>1410.1395</v>
      </c>
      <c r="J623" s="2" t="inlineStr">
        <is>
          <t>止損</t>
        </is>
      </c>
      <c r="K623" s="5">
        <f>(H623-D623)*24</f>
        <v/>
      </c>
      <c r="L623" s="4">
        <f>IF(C623="做多",I623/E623-1,1-I623/E623)-2*參數!$B$7</f>
        <v/>
      </c>
      <c r="M623" s="2" t="inlineStr"/>
      <c r="N623" s="4" t="n">
        <v>-0.02549124894784194</v>
      </c>
      <c r="O623" s="4" t="n">
        <v>0.02012359621363647</v>
      </c>
      <c r="P623" s="4" t="n">
        <v>-0.04719742351183787</v>
      </c>
      <c r="Q623" s="22" t="n">
        <v>-3314.648999999983</v>
      </c>
      <c r="R623" s="22" t="n">
        <v>23236863.09183</v>
      </c>
      <c r="S623" s="4" t="n">
        <v>0.02798978398945628</v>
      </c>
      <c r="T623" s="4" t="n">
        <v>0.05</v>
      </c>
      <c r="U623" s="19" t="n">
        <v>1.909541995997852</v>
      </c>
      <c r="V623" s="19" t="n">
        <v>0.8067721751932275</v>
      </c>
      <c r="W623" s="4" t="n">
        <v>0.08283345791092767</v>
      </c>
      <c r="X623" s="4" t="n">
        <v>0.08540588395532556</v>
      </c>
      <c r="Y623" s="4" t="n">
        <v>-0.0004707230472422719</v>
      </c>
      <c r="Z623" s="4" t="n">
        <v>-0.004456626981526934</v>
      </c>
      <c r="AA623" s="4" t="n">
        <v>0.03</v>
      </c>
      <c r="AB623" s="4" t="n">
        <v>0.05</v>
      </c>
      <c r="AC623" s="4">
        <f>(AB623+2*參數!$B$7)/(AA623+AB623)</f>
        <v/>
      </c>
    </row>
    <row r="624">
      <c r="A624" s="2" t="n">
        <v>623</v>
      </c>
      <c r="B624" s="2" t="inlineStr">
        <is>
          <t>FET_USDT_PERP</t>
        </is>
      </c>
      <c r="C624" s="2" t="inlineStr">
        <is>
          <t>做多</t>
        </is>
      </c>
      <c r="D624" s="7" t="n">
        <v>46297.08333333334</v>
      </c>
      <c r="E624" s="20" t="n">
        <v>0.2334</v>
      </c>
      <c r="F624" s="20" t="n">
        <v>0.240402</v>
      </c>
      <c r="G624" s="20" t="n">
        <v>0.22173</v>
      </c>
      <c r="H624" s="7" t="n">
        <v>46297.54166666666</v>
      </c>
      <c r="I624" s="20" t="n">
        <v>0.240402</v>
      </c>
      <c r="J624" s="2" t="inlineStr">
        <is>
          <t>止盈</t>
        </is>
      </c>
      <c r="K624" s="5">
        <f>(H624-D624)*24</f>
        <v/>
      </c>
      <c r="L624" s="4">
        <f>IF(C624="做多",I624/E624-1,1-I624/E624)-2*參數!$B$7</f>
        <v/>
      </c>
      <c r="M624" s="2" t="inlineStr"/>
      <c r="N624" s="4" t="n">
        <v>0.03964365256124713</v>
      </c>
      <c r="O624" s="4" t="n">
        <v>0.02487624612930435</v>
      </c>
      <c r="P624" s="4" t="n">
        <v>0.005731029430775081</v>
      </c>
      <c r="Q624" s="22" t="n">
        <v>1723274</v>
      </c>
      <c r="R624" s="22" t="n">
        <v>2140001.84</v>
      </c>
      <c r="S624" s="4" t="n">
        <v>0.03</v>
      </c>
      <c r="T624" s="4" t="n">
        <v>0.02956298200514129</v>
      </c>
      <c r="U624" s="19" t="n">
        <v>2.652663548979065</v>
      </c>
      <c r="V624" s="19" t="n">
        <v>0.9684210526315794</v>
      </c>
      <c r="W624" s="4" t="n">
        <v>0.01698460144138192</v>
      </c>
      <c r="X624" s="4" t="n">
        <v>0.04804669959586882</v>
      </c>
      <c r="Y624" s="4" t="n">
        <v>0.008322887643987142</v>
      </c>
      <c r="Z624" s="4" t="n">
        <v>0.01212447988577603</v>
      </c>
      <c r="AA624" s="4" t="n">
        <v>0.03</v>
      </c>
      <c r="AB624" s="4" t="n">
        <v>0.05</v>
      </c>
      <c r="AC624" s="4">
        <f>(AB624+2*參數!$B$7)/(AA624+AB624)</f>
        <v/>
      </c>
    </row>
    <row r="625">
      <c r="A625" s="2" t="n">
        <v>624</v>
      </c>
      <c r="B625" s="2" t="inlineStr">
        <is>
          <t>SUI_USDT_PERP</t>
        </is>
      </c>
      <c r="C625" s="2" t="inlineStr">
        <is>
          <t>做多</t>
        </is>
      </c>
      <c r="D625" s="7" t="n">
        <v>46297.08333333334</v>
      </c>
      <c r="E625" s="20" t="n">
        <v>1.1891</v>
      </c>
      <c r="F625" s="20" t="n">
        <v>1.224773</v>
      </c>
      <c r="G625" s="20" t="n">
        <v>1.129645</v>
      </c>
      <c r="H625" s="7" t="n">
        <v>46298.125</v>
      </c>
      <c r="I625" s="20" t="n">
        <v>1.129645</v>
      </c>
      <c r="J625" s="2" t="inlineStr">
        <is>
          <t>止損</t>
        </is>
      </c>
      <c r="K625" s="5">
        <f>(H625-D625)*24</f>
        <v/>
      </c>
      <c r="L625" s="4">
        <f>IF(C625="做多",I625/E625-1,1-I625/E625)-2*參數!$B$7</f>
        <v/>
      </c>
      <c r="M625" s="2" t="inlineStr"/>
      <c r="N625" s="4" t="n">
        <v>0.0376090750436302</v>
      </c>
      <c r="O625" s="4" t="n">
        <v>0.02031872003666682</v>
      </c>
      <c r="P625" s="4" t="n">
        <v>0.02151530640734345</v>
      </c>
      <c r="Q625" s="22" t="n">
        <v>45567.5</v>
      </c>
      <c r="R625" s="22" t="n">
        <v>13779979.05593</v>
      </c>
      <c r="S625" s="4" t="n">
        <v>0.02455638718358411</v>
      </c>
      <c r="T625" s="4" t="n">
        <v>0.05</v>
      </c>
      <c r="U625" s="19" t="n">
        <v>1.136496834382209</v>
      </c>
      <c r="V625" s="19" t="n">
        <v>0.8263358778625977</v>
      </c>
      <c r="W625" s="4" t="n">
        <v>0.0125868694962783</v>
      </c>
      <c r="X625" s="4" t="n">
        <v>0.0134662916560131</v>
      </c>
      <c r="Y625" s="4" t="n">
        <v>0.008322887643987142</v>
      </c>
      <c r="Z625" s="4" t="n">
        <v>0.01212447988577603</v>
      </c>
      <c r="AA625" s="4" t="n">
        <v>0.03</v>
      </c>
      <c r="AB625" s="4" t="n">
        <v>0.05</v>
      </c>
      <c r="AC625" s="4">
        <f>(AB625+2*參數!$B$7)/(AA625+AB625)</f>
        <v/>
      </c>
    </row>
    <row r="626">
      <c r="A626" s="2" t="n">
        <v>625</v>
      </c>
      <c r="B626" s="2" t="inlineStr">
        <is>
          <t>PUMP_USDT_PERP</t>
        </is>
      </c>
      <c r="C626" s="2" t="inlineStr">
        <is>
          <t>做多</t>
        </is>
      </c>
      <c r="D626" s="7" t="n">
        <v>46297.16666666666</v>
      </c>
      <c r="E626" s="20" t="n">
        <v>0.005866</v>
      </c>
      <c r="F626" s="20" t="n">
        <v>0.00604198</v>
      </c>
      <c r="G626" s="20" t="n">
        <v>0.005572699999999999</v>
      </c>
      <c r="H626" s="7" t="n">
        <v>46297.66666666666</v>
      </c>
      <c r="I626" s="20" t="n">
        <v>0.00604198</v>
      </c>
      <c r="J626" s="2" t="inlineStr">
        <is>
          <t>止盈</t>
        </is>
      </c>
      <c r="K626" s="5">
        <f>(H626-D626)*24</f>
        <v/>
      </c>
      <c r="L626" s="4">
        <f>IF(C626="做多",I626/E626-1,1-I626/E626)-2*參數!$B$7</f>
        <v/>
      </c>
      <c r="M626" s="2" t="inlineStr"/>
      <c r="N626" s="4" t="n">
        <v>0.02409217877094982</v>
      </c>
      <c r="O626" s="4" t="n">
        <v>0.02787154617308079</v>
      </c>
      <c r="P626" s="4" t="n">
        <v>0.03138461538461534</v>
      </c>
      <c r="Q626" s="22" t="n">
        <v>681369684</v>
      </c>
      <c r="R626" s="22" t="n">
        <v>17299082.696639</v>
      </c>
      <c r="S626" s="4" t="n">
        <v>0.03</v>
      </c>
      <c r="T626" s="4" t="n">
        <v>0.04261847937265584</v>
      </c>
      <c r="U626" s="19" t="n">
        <v>0.9852371179053044</v>
      </c>
      <c r="V626" s="19" t="n">
        <v>0.8625592417061595</v>
      </c>
      <c r="W626" s="4" t="n">
        <v>0.07931274310295966</v>
      </c>
      <c r="X626" s="4" t="n">
        <v>0.01681400589356907</v>
      </c>
      <c r="Y626" s="4" t="n">
        <v>-0.001545449183035452</v>
      </c>
      <c r="Z626" s="4" t="n">
        <v>0.008050744374498819</v>
      </c>
      <c r="AA626" s="4" t="n">
        <v>0.03</v>
      </c>
      <c r="AB626" s="4" t="n">
        <v>0.05</v>
      </c>
      <c r="AC626" s="4">
        <f>(AB626+2*參數!$B$7)/(AA626+AB626)</f>
        <v/>
      </c>
    </row>
    <row r="627">
      <c r="A627" s="2" t="n">
        <v>626</v>
      </c>
      <c r="B627" s="2" t="inlineStr">
        <is>
          <t>SOON_USDT_PERP</t>
        </is>
      </c>
      <c r="C627" s="2" t="inlineStr">
        <is>
          <t>做空</t>
        </is>
      </c>
      <c r="D627" s="7" t="n">
        <v>46297.41666666666</v>
      </c>
      <c r="E627" s="20" t="n">
        <v>0.4203</v>
      </c>
      <c r="F627" s="20" t="n">
        <v>0.407691</v>
      </c>
      <c r="G627" s="20" t="n">
        <v>0.441315</v>
      </c>
      <c r="H627" s="7" t="n">
        <v>46297.66666666666</v>
      </c>
      <c r="I627" s="20" t="n">
        <v>0.407691</v>
      </c>
      <c r="J627" s="2" t="inlineStr">
        <is>
          <t>止盈</t>
        </is>
      </c>
      <c r="K627" s="5">
        <f>(H627-D627)*24</f>
        <v/>
      </c>
      <c r="L627" s="4">
        <f>IF(C627="做多",I627/E627-1,1-I627/E627)-2*參數!$B$7</f>
        <v/>
      </c>
      <c r="M627" s="2" t="inlineStr"/>
      <c r="N627" s="4" t="n">
        <v>-0.03578802477632481</v>
      </c>
      <c r="O627" s="4" t="n">
        <v>0.04611682119041084</v>
      </c>
      <c r="P627" s="4" t="n">
        <v>-0.03743315508021405</v>
      </c>
      <c r="Q627" s="22" t="n">
        <v>-108859</v>
      </c>
      <c r="R627" s="22" t="n">
        <v>1540108.0758</v>
      </c>
      <c r="S627" s="4" t="n">
        <v>0.03</v>
      </c>
      <c r="T627" s="4" t="n">
        <v>0.04639543183440398</v>
      </c>
      <c r="U627" s="19" t="n">
        <v>1.075287445162872</v>
      </c>
      <c r="V627" s="19" t="n">
        <v>0.7583081570996978</v>
      </c>
      <c r="W627" s="4" t="n">
        <v>-0.0624448618164446</v>
      </c>
      <c r="X627" s="4" t="n">
        <v>0.1632490543499899</v>
      </c>
      <c r="Y627" s="4" t="n">
        <v>-0.001397035311719419</v>
      </c>
      <c r="Z627" s="4" t="n">
        <v>-0.007369454399954289</v>
      </c>
      <c r="AA627" s="4" t="n">
        <v>0.03</v>
      </c>
      <c r="AB627" s="4" t="n">
        <v>0.05</v>
      </c>
      <c r="AC627" s="4">
        <f>(AB627+2*參數!$B$7)/(AA627+AB627)</f>
        <v/>
      </c>
    </row>
    <row r="628">
      <c r="A628" s="2" t="n">
        <v>627</v>
      </c>
      <c r="B628" s="2" t="inlineStr">
        <is>
          <t>BTW_USDT_PERP</t>
        </is>
      </c>
      <c r="C628" s="2" t="inlineStr">
        <is>
          <t>做多</t>
        </is>
      </c>
      <c r="D628" s="7" t="n">
        <v>46297.54166666666</v>
      </c>
      <c r="E628" s="20" t="n">
        <v>1.478098</v>
      </c>
      <c r="F628" s="20" t="n">
        <v>1.52244094</v>
      </c>
      <c r="G628" s="20" t="n">
        <v>1.4041931</v>
      </c>
      <c r="H628" s="7" t="n">
        <v>46297.83333333334</v>
      </c>
      <c r="I628" s="20" t="n">
        <v>1.4041931</v>
      </c>
      <c r="J628" s="2" t="inlineStr">
        <is>
          <t>止損</t>
        </is>
      </c>
      <c r="K628" s="5">
        <f>(H628-D628)*24</f>
        <v/>
      </c>
      <c r="L628" s="4">
        <f>IF(C628="做多",I628/E628-1,1-I628/E628)-2*參數!$B$7</f>
        <v/>
      </c>
      <c r="M628" s="2" t="inlineStr"/>
      <c r="N628" s="4" t="n">
        <v>0.026635179718701</v>
      </c>
      <c r="O628" s="4" t="n">
        <v>0.02553007596447025</v>
      </c>
      <c r="P628" s="4" t="n">
        <v>0.0333800525779393</v>
      </c>
      <c r="Q628" s="22" t="n">
        <v>573845</v>
      </c>
      <c r="R628" s="22" t="n">
        <v>1927302.809079</v>
      </c>
      <c r="S628" s="4" t="n">
        <v>0.006187681736935069</v>
      </c>
      <c r="T628" s="4" t="n">
        <v>0.05</v>
      </c>
      <c r="U628" s="19" t="n">
        <v>0.8613149507078793</v>
      </c>
      <c r="V628" s="19" t="n">
        <v>0.8472285995408316</v>
      </c>
      <c r="W628" s="4" t="n">
        <v>0.1436031479868187</v>
      </c>
      <c r="X628" s="4" t="n">
        <v>0.08108633928062048</v>
      </c>
      <c r="Y628" s="4" t="n">
        <v>0.01346450373552521</v>
      </c>
      <c r="Z628" s="4" t="n">
        <v>0.02442271528693785</v>
      </c>
      <c r="AA628" s="4" t="n">
        <v>0.03</v>
      </c>
      <c r="AB628" s="4" t="n">
        <v>0.05</v>
      </c>
      <c r="AC628" s="4">
        <f>(AB628+2*參數!$B$7)/(AA628+AB628)</f>
        <v/>
      </c>
    </row>
    <row r="629">
      <c r="A629" s="2" t="n">
        <v>628</v>
      </c>
      <c r="B629" s="2" t="inlineStr">
        <is>
          <t>GRASS_USDT_PERP</t>
        </is>
      </c>
      <c r="C629" s="2" t="inlineStr">
        <is>
          <t>做多</t>
        </is>
      </c>
      <c r="D629" s="7" t="n">
        <v>46297.54166666666</v>
      </c>
      <c r="E629" s="20" t="n">
        <v>0.7277</v>
      </c>
      <c r="F629" s="20" t="n">
        <v>0.7495310000000001</v>
      </c>
      <c r="G629" s="20" t="n">
        <v>0.691315</v>
      </c>
      <c r="H629" s="7" t="n">
        <v>46297.79166666666</v>
      </c>
      <c r="I629" s="20" t="n">
        <v>0.691315</v>
      </c>
      <c r="J629" s="2" t="inlineStr">
        <is>
          <t>止損</t>
        </is>
      </c>
      <c r="K629" s="5">
        <f>(H629-D629)*24</f>
        <v/>
      </c>
      <c r="L629" s="4">
        <f>IF(C629="做多",I629/E629-1,1-I629/E629)-2*參數!$B$7</f>
        <v/>
      </c>
      <c r="M629" s="2" t="inlineStr"/>
      <c r="N629" s="4" t="n">
        <v>0.02651996050218663</v>
      </c>
      <c r="O629" s="4" t="n">
        <v>0.03071202938370978</v>
      </c>
      <c r="P629" s="4" t="n">
        <v>0.04502046384720315</v>
      </c>
      <c r="Q629" s="22" t="n">
        <v>83837</v>
      </c>
      <c r="R629" s="22" t="n">
        <v>1628120.136</v>
      </c>
      <c r="S629" s="4" t="n">
        <v>0.001923869726535576</v>
      </c>
      <c r="T629" s="4" t="n">
        <v>0.05</v>
      </c>
      <c r="U629" s="19" t="n">
        <v>2.027289500222116</v>
      </c>
      <c r="V629" s="19" t="n">
        <v>0.8941979522184303</v>
      </c>
      <c r="W629" s="4" t="n">
        <v>0.07281015226031684</v>
      </c>
      <c r="X629" s="4" t="n">
        <v>0.02927864214992937</v>
      </c>
      <c r="Y629" s="4" t="n">
        <v>0.01346450373552521</v>
      </c>
      <c r="Z629" s="4" t="n">
        <v>0.02442271528693785</v>
      </c>
      <c r="AA629" s="4" t="n">
        <v>0.03</v>
      </c>
      <c r="AB629" s="4" t="n">
        <v>0.05</v>
      </c>
      <c r="AC629" s="4">
        <f>(AB629+2*參數!$B$7)/(AA629+AB629)</f>
        <v/>
      </c>
    </row>
    <row r="630">
      <c r="A630" s="2" t="n">
        <v>629</v>
      </c>
      <c r="B630" s="2" t="inlineStr">
        <is>
          <t>QNT_USDT_PERP</t>
        </is>
      </c>
      <c r="C630" s="2" t="inlineStr">
        <is>
          <t>做空</t>
        </is>
      </c>
      <c r="D630" s="7" t="n">
        <v>46297.58333333334</v>
      </c>
      <c r="E630" s="20" t="n">
        <v>246.02</v>
      </c>
      <c r="F630" s="20" t="n">
        <v>238.6394</v>
      </c>
      <c r="G630" s="20" t="n">
        <v>258.321</v>
      </c>
      <c r="H630" s="7" t="n">
        <v>46297.625</v>
      </c>
      <c r="I630" s="20" t="n">
        <v>238.6394</v>
      </c>
      <c r="J630" s="2" t="inlineStr">
        <is>
          <t>止盈</t>
        </is>
      </c>
      <c r="K630" s="5">
        <f>(H630-D630)*24</f>
        <v/>
      </c>
      <c r="L630" s="4">
        <f>IF(C630="做多",I630/E630-1,1-I630/E630)-2*參數!$B$7</f>
        <v/>
      </c>
      <c r="M630" s="2" t="inlineStr"/>
      <c r="N630" s="4" t="n">
        <v>-0.02954518559425656</v>
      </c>
      <c r="O630" s="4" t="n">
        <v>0.04417834052277191</v>
      </c>
      <c r="P630" s="4" t="n">
        <v>-0.04802258247381808</v>
      </c>
      <c r="Q630" s="22" t="n">
        <v>-27203.10000000003</v>
      </c>
      <c r="R630" s="22" t="n">
        <v>24350392.272</v>
      </c>
      <c r="S630" s="4" t="n">
        <v>0.03</v>
      </c>
      <c r="T630" s="4" t="n">
        <v>0</v>
      </c>
      <c r="U630" s="19" t="n">
        <v>0.808141204731194</v>
      </c>
      <c r="V630" s="19" t="n">
        <v>0.8127530364372451</v>
      </c>
      <c r="W630" s="4" t="n">
        <v>0.07039977872779069</v>
      </c>
      <c r="X630" s="4" t="n">
        <v>0.1476875108262601</v>
      </c>
      <c r="Y630" s="4" t="n">
        <v>0.007651150038959997</v>
      </c>
      <c r="Z630" s="4" t="n">
        <v>-0.01525264012076555</v>
      </c>
      <c r="AA630" s="4" t="n">
        <v>0.03</v>
      </c>
      <c r="AB630" s="4" t="n">
        <v>0.05</v>
      </c>
      <c r="AC630" s="4">
        <f>(AB630+2*參數!$B$7)/(AA630+AB630)</f>
        <v/>
      </c>
    </row>
    <row r="631">
      <c r="A631" s="2" t="n">
        <v>630</v>
      </c>
      <c r="B631" s="2" t="inlineStr">
        <is>
          <t>AKE_USDT_PERP</t>
        </is>
      </c>
      <c r="C631" s="2" t="inlineStr">
        <is>
          <t>做多</t>
        </is>
      </c>
      <c r="D631" s="7" t="n">
        <v>46297.75</v>
      </c>
      <c r="E631" s="20" t="n">
        <v>0.0322171</v>
      </c>
      <c r="F631" s="20" t="n">
        <v>0.033183613</v>
      </c>
      <c r="G631" s="20" t="n">
        <v>0.030606245</v>
      </c>
      <c r="H631" s="7" t="n">
        <v>46298</v>
      </c>
      <c r="I631" s="20" t="n">
        <v>0.033183613</v>
      </c>
      <c r="J631" s="2" t="inlineStr">
        <is>
          <t>止盈</t>
        </is>
      </c>
      <c r="K631" s="5">
        <f>(H631-D631)*24</f>
        <v/>
      </c>
      <c r="L631" s="4">
        <f>IF(C631="做多",I631/E631-1,1-I631/E631)-2*參數!$B$7</f>
        <v/>
      </c>
      <c r="M631" s="2" t="inlineStr"/>
      <c r="N631" s="4" t="n">
        <v>0.02824907442869917</v>
      </c>
      <c r="O631" s="4" t="n">
        <v>0.02258548123517901</v>
      </c>
      <c r="P631" s="4" t="n">
        <v>0.02186745801386514</v>
      </c>
      <c r="Q631" s="22" t="n">
        <v>772397</v>
      </c>
      <c r="R631" s="22" t="n">
        <v>1216142.9776951</v>
      </c>
      <c r="S631" s="4" t="n">
        <v>0.03</v>
      </c>
      <c r="T631" s="4" t="n">
        <v>0.01352077002585583</v>
      </c>
      <c r="U631" s="19" t="n">
        <v>3.164695856171438</v>
      </c>
      <c r="V631" s="19" t="n">
        <v>0.4859905195475651</v>
      </c>
      <c r="W631" s="4" t="n">
        <v>0.02252058333226481</v>
      </c>
      <c r="X631" s="4" t="n">
        <v>-0.01929621624912481</v>
      </c>
      <c r="Y631" s="4" t="n">
        <v>0.001382748816485257</v>
      </c>
      <c r="Z631" s="4" t="n">
        <v>0.01403937594107019</v>
      </c>
      <c r="AA631" s="4" t="n">
        <v>0.03</v>
      </c>
      <c r="AB631" s="4" t="n">
        <v>0.05</v>
      </c>
      <c r="AC631" s="4">
        <f>(AB631+2*參數!$B$7)/(AA631+AB631)</f>
        <v/>
      </c>
    </row>
    <row r="632">
      <c r="A632" s="2" t="n">
        <v>631</v>
      </c>
      <c r="B632" s="2" t="inlineStr">
        <is>
          <t>PUMP_USDT_PERP</t>
        </is>
      </c>
      <c r="C632" s="2" t="inlineStr">
        <is>
          <t>做多</t>
        </is>
      </c>
      <c r="D632" s="7" t="n">
        <v>46297.91666666666</v>
      </c>
      <c r="E632" s="20" t="n">
        <v>0.006062</v>
      </c>
      <c r="F632" s="20" t="n">
        <v>0.00624386</v>
      </c>
      <c r="G632" s="20" t="n">
        <v>0.005758899999999999</v>
      </c>
      <c r="H632" s="7" t="n">
        <v>46298.125</v>
      </c>
      <c r="I632" s="20" t="n">
        <v>0.005758899999999999</v>
      </c>
      <c r="J632" s="2" t="inlineStr">
        <is>
          <t>止損</t>
        </is>
      </c>
      <c r="K632" s="5">
        <f>(H632-D632)*24</f>
        <v/>
      </c>
      <c r="L632" s="4">
        <f>IF(C632="做多",I632/E632-1,1-I632/E632)-2*參數!$B$7</f>
        <v/>
      </c>
      <c r="M632" s="2" t="inlineStr"/>
      <c r="N632" s="4" t="n">
        <v>0.02019522046448996</v>
      </c>
      <c r="O632" s="4" t="n">
        <v>0.02753290947813887</v>
      </c>
      <c r="P632" s="4" t="n">
        <v>0.03846713890482989</v>
      </c>
      <c r="Q632" s="22" t="n">
        <v>36579717</v>
      </c>
      <c r="R632" s="22" t="n">
        <v>22639599.01511</v>
      </c>
      <c r="S632" s="4" t="n">
        <v>0.02045529528208512</v>
      </c>
      <c r="T632" s="4" t="n">
        <v>0.05</v>
      </c>
      <c r="U632" s="19" t="n">
        <v>2.075885252796168</v>
      </c>
      <c r="V632" s="19" t="n">
        <v>0.6714285714285693</v>
      </c>
      <c r="W632" s="4" t="n">
        <v>0.086015976724646</v>
      </c>
      <c r="X632" s="4" t="n">
        <v>0.08288674526616657</v>
      </c>
      <c r="Y632" s="4" t="n">
        <v>-0.002817833138178738</v>
      </c>
      <c r="Z632" s="4" t="n">
        <v>0.01119144676459061</v>
      </c>
      <c r="AA632" s="4" t="n">
        <v>0.03</v>
      </c>
      <c r="AB632" s="4" t="n">
        <v>0.05</v>
      </c>
      <c r="AC632" s="4">
        <f>(AB632+2*參數!$B$7)/(AA632+AB632)</f>
        <v/>
      </c>
    </row>
    <row r="633">
      <c r="A633" s="2" t="n">
        <v>632</v>
      </c>
      <c r="B633" s="2" t="inlineStr">
        <is>
          <t>ENA_USDT_PERP</t>
        </is>
      </c>
      <c r="C633" s="2" t="inlineStr">
        <is>
          <t>做空</t>
        </is>
      </c>
      <c r="D633" s="7" t="n">
        <v>46298.125</v>
      </c>
      <c r="E633" s="20" t="n">
        <v>0.2357</v>
      </c>
      <c r="F633" s="20" t="n">
        <v>0.228629</v>
      </c>
      <c r="G633" s="20" t="n">
        <v>0.247485</v>
      </c>
      <c r="H633" s="7" t="n">
        <v>46298.29166666666</v>
      </c>
      <c r="I633" s="20" t="n">
        <v>0.228629</v>
      </c>
      <c r="J633" s="2" t="inlineStr">
        <is>
          <t>止盈</t>
        </is>
      </c>
      <c r="K633" s="5">
        <f>(H633-D633)*24</f>
        <v/>
      </c>
      <c r="L633" s="4">
        <f>IF(C633="做多",I633/E633-1,1-I633/E633)-2*參數!$B$7</f>
        <v/>
      </c>
      <c r="M633" s="2" t="inlineStr"/>
      <c r="N633" s="4" t="n">
        <v>-0.02804123711340212</v>
      </c>
      <c r="O633" s="4" t="n">
        <v>0.02034399481287853</v>
      </c>
      <c r="P633" s="4" t="n">
        <v>-0.03534082305032016</v>
      </c>
      <c r="Q633" s="22" t="n">
        <v>-1504339</v>
      </c>
      <c r="R633" s="22" t="n">
        <v>5214511.7783</v>
      </c>
      <c r="S633" s="4" t="n">
        <v>0.03</v>
      </c>
      <c r="T633" s="4" t="n">
        <v>0.008061094611794717</v>
      </c>
      <c r="U633" s="19" t="n">
        <v>1.888381614590556</v>
      </c>
      <c r="V633" s="19" t="n">
        <v>0.6785714285714289</v>
      </c>
      <c r="W633" s="4" t="n">
        <v>0.0711220231175147</v>
      </c>
      <c r="X633" s="4" t="n">
        <v>0.04148027653517694</v>
      </c>
      <c r="Y633" s="4" t="n">
        <v>0.006200772884155881</v>
      </c>
      <c r="Z633" s="4" t="n">
        <v>0.01678035433241143</v>
      </c>
      <c r="AA633" s="4" t="n">
        <v>0.03</v>
      </c>
      <c r="AB633" s="4" t="n">
        <v>0.05</v>
      </c>
      <c r="AC633" s="4">
        <f>(AB633+2*參數!$B$7)/(AA633+AB633)</f>
        <v/>
      </c>
    </row>
    <row r="634">
      <c r="A634" s="2" t="n">
        <v>633</v>
      </c>
      <c r="B634" s="2" t="inlineStr">
        <is>
          <t>GRASS_USDT_PERP</t>
        </is>
      </c>
      <c r="C634" s="2" t="inlineStr">
        <is>
          <t>做空</t>
        </is>
      </c>
      <c r="D634" s="7" t="n">
        <v>46298.125</v>
      </c>
      <c r="E634" s="20" t="n">
        <v>0.6742</v>
      </c>
      <c r="F634" s="20" t="n">
        <v>0.6539740000000001</v>
      </c>
      <c r="G634" s="20" t="n">
        <v>0.70791</v>
      </c>
      <c r="H634" s="7" t="n">
        <v>46298.375</v>
      </c>
      <c r="I634" s="20" t="n">
        <v>0.70791</v>
      </c>
      <c r="J634" s="2" t="inlineStr">
        <is>
          <t>止損</t>
        </is>
      </c>
      <c r="K634" s="5">
        <f>(H634-D634)*24</f>
        <v/>
      </c>
      <c r="L634" s="4">
        <f>IF(C634="做多",I634/E634-1,1-I634/E634)-2*參數!$B$7</f>
        <v/>
      </c>
      <c r="M634" s="2" t="inlineStr"/>
      <c r="N634" s="4" t="n">
        <v>-0.02304013911027392</v>
      </c>
      <c r="O634" s="4" t="n">
        <v>0.02960103414913232</v>
      </c>
      <c r="P634" s="4" t="n">
        <v>-0.04195530924722013</v>
      </c>
      <c r="Q634" s="22" t="n">
        <v>-416129</v>
      </c>
      <c r="R634" s="22" t="n">
        <v>1243559.6297</v>
      </c>
      <c r="S634" s="4" t="n">
        <v>0.0261050133491546</v>
      </c>
      <c r="T634" s="4" t="n">
        <v>0.05</v>
      </c>
      <c r="U634" s="19" t="n">
        <v>1.560922508996538</v>
      </c>
      <c r="V634" s="19" t="n">
        <v>0.6413994169096215</v>
      </c>
      <c r="W634" s="4" t="n">
        <v>0.02313781117378499</v>
      </c>
      <c r="X634" s="4" t="n">
        <v>0.03644419036730018</v>
      </c>
      <c r="Y634" s="4" t="n">
        <v>0.006200772884155881</v>
      </c>
      <c r="Z634" s="4" t="n">
        <v>0.01678035433241143</v>
      </c>
      <c r="AA634" s="4" t="n">
        <v>0.03</v>
      </c>
      <c r="AB634" s="4" t="n">
        <v>0.05</v>
      </c>
      <c r="AC634" s="4">
        <f>(AB634+2*參數!$B$7)/(AA634+AB634)</f>
        <v/>
      </c>
    </row>
    <row r="635">
      <c r="A635" s="2" t="n">
        <v>634</v>
      </c>
      <c r="B635" s="2" t="inlineStr">
        <is>
          <t>NEAR_USDT_PERP</t>
        </is>
      </c>
      <c r="C635" s="2" t="inlineStr">
        <is>
          <t>做空</t>
        </is>
      </c>
      <c r="D635" s="7" t="n">
        <v>46298.125</v>
      </c>
      <c r="E635" s="20" t="n">
        <v>4.641</v>
      </c>
      <c r="F635" s="20" t="n">
        <v>4.50177</v>
      </c>
      <c r="G635" s="20" t="n">
        <v>4.87305</v>
      </c>
      <c r="H635" s="7" t="n">
        <v>46299.375</v>
      </c>
      <c r="I635" s="20" t="n">
        <v>4.87305</v>
      </c>
      <c r="J635" s="2" t="inlineStr">
        <is>
          <t>止損</t>
        </is>
      </c>
      <c r="K635" s="5">
        <f>(H635-D635)*24</f>
        <v/>
      </c>
      <c r="L635" s="4">
        <f>IF(C635="做多",I635/E635-1,1-I635/E635)-2*參數!$B$7</f>
        <v/>
      </c>
      <c r="M635" s="2" t="inlineStr"/>
      <c r="N635" s="4" t="n">
        <v>-0.02785923753665687</v>
      </c>
      <c r="O635" s="4" t="n">
        <v>0.02357143945843483</v>
      </c>
      <c r="P635" s="4" t="n">
        <v>-0.05005577672933448</v>
      </c>
      <c r="Q635" s="22" t="n">
        <v>-736827</v>
      </c>
      <c r="R635" s="22" t="n">
        <v>14583033.332</v>
      </c>
      <c r="S635" s="4" t="n">
        <v>0.01077354018530485</v>
      </c>
      <c r="T635" s="4" t="n">
        <v>0.05</v>
      </c>
      <c r="U635" s="19" t="n">
        <v>2.34821120666669</v>
      </c>
      <c r="V635" s="19" t="n">
        <v>0.7988826815642474</v>
      </c>
      <c r="W635" s="4" t="n">
        <v>0.0699286965374335</v>
      </c>
      <c r="X635" s="4" t="n">
        <v>0.05092024539877293</v>
      </c>
      <c r="Y635" s="4" t="n">
        <v>0.006200772884155881</v>
      </c>
      <c r="Z635" s="4" t="n">
        <v>0.01678035433241143</v>
      </c>
      <c r="AA635" s="4" t="n">
        <v>0.03</v>
      </c>
      <c r="AB635" s="4" t="n">
        <v>0.05</v>
      </c>
      <c r="AC635" s="4">
        <f>(AB635+2*參數!$B$7)/(AA635+AB635)</f>
        <v/>
      </c>
    </row>
    <row r="636">
      <c r="A636" s="2" t="n">
        <v>635</v>
      </c>
      <c r="B636" s="2" t="inlineStr">
        <is>
          <t>ONDO_USDT_PERP</t>
        </is>
      </c>
      <c r="C636" s="2" t="inlineStr">
        <is>
          <t>做空</t>
        </is>
      </c>
      <c r="D636" s="7" t="n">
        <v>46298.125</v>
      </c>
      <c r="E636" s="20" t="n">
        <v>0.4785</v>
      </c>
      <c r="F636" s="20" t="n">
        <v>0.464145</v>
      </c>
      <c r="G636" s="20" t="n">
        <v>0.502425</v>
      </c>
      <c r="H636" s="7" t="n">
        <v>46299.33333333334</v>
      </c>
      <c r="I636" s="20" t="n">
        <v>0.502425</v>
      </c>
      <c r="J636" s="2" t="inlineStr">
        <is>
          <t>止損</t>
        </is>
      </c>
      <c r="K636" s="5">
        <f>(H636-D636)*24</f>
        <v/>
      </c>
      <c r="L636" s="4">
        <f>IF(C636="做多",I636/E636-1,1-I636/E636)-2*參數!$B$7</f>
        <v/>
      </c>
      <c r="M636" s="2" t="inlineStr"/>
      <c r="N636" s="4" t="n">
        <v>-0.043573855686588</v>
      </c>
      <c r="O636" s="4" t="n">
        <v>0.02013264771409454</v>
      </c>
      <c r="P636" s="4" t="n">
        <v>-0.0465658437443961</v>
      </c>
      <c r="Q636" s="22" t="n">
        <v>-1369624.600000001</v>
      </c>
      <c r="R636" s="22" t="n">
        <v>2630021.9239</v>
      </c>
      <c r="S636" s="4" t="n">
        <v>0.01400208986415885</v>
      </c>
      <c r="T636" s="4" t="n">
        <v>0.05</v>
      </c>
      <c r="U636" s="19" t="n">
        <v>3.067194507791859</v>
      </c>
      <c r="V636" s="19" t="n">
        <v>0.8020833333333343</v>
      </c>
      <c r="W636" s="4" t="n">
        <v>0.0519758922521566</v>
      </c>
      <c r="X636" s="4" t="n">
        <v>0.03333333333333333</v>
      </c>
      <c r="Y636" s="4" t="n">
        <v>0.006200772884155881</v>
      </c>
      <c r="Z636" s="4" t="n">
        <v>0.01678035433241143</v>
      </c>
      <c r="AA636" s="4" t="n">
        <v>0.03</v>
      </c>
      <c r="AB636" s="4" t="n">
        <v>0.05</v>
      </c>
      <c r="AC636" s="4">
        <f>(AB636+2*參數!$B$7)/(AA636+AB636)</f>
        <v/>
      </c>
    </row>
    <row r="637">
      <c r="A637" s="2" t="n">
        <v>636</v>
      </c>
      <c r="B637" s="2" t="inlineStr">
        <is>
          <t>QNT_USDT_PERP</t>
        </is>
      </c>
      <c r="C637" s="2" t="inlineStr">
        <is>
          <t>做空</t>
        </is>
      </c>
      <c r="D637" s="7" t="n">
        <v>46298.125</v>
      </c>
      <c r="E637" s="20" t="n">
        <v>236.04</v>
      </c>
      <c r="F637" s="20" t="n">
        <v>228.9588</v>
      </c>
      <c r="G637" s="20" t="n">
        <v>247.842</v>
      </c>
      <c r="H637" s="7" t="n">
        <v>46298.16666666666</v>
      </c>
      <c r="I637" s="20" t="n">
        <v>228.9588</v>
      </c>
      <c r="J637" s="2" t="inlineStr">
        <is>
          <t>止盈</t>
        </is>
      </c>
      <c r="K637" s="5">
        <f>(H637-D637)*24</f>
        <v/>
      </c>
      <c r="L637" s="4">
        <f>IF(C637="做多",I637/E637-1,1-I637/E637)-2*參數!$B$7</f>
        <v/>
      </c>
      <c r="M637" s="2" t="inlineStr"/>
      <c r="N637" s="4" t="n">
        <v>-0.03242467718794839</v>
      </c>
      <c r="O637" s="4" t="n">
        <v>0.04090266259757121</v>
      </c>
      <c r="P637" s="4" t="n">
        <v>-0.03148772741820338</v>
      </c>
      <c r="Q637" s="22" t="n">
        <v>-24841.60000000005</v>
      </c>
      <c r="R637" s="22" t="n">
        <v>24701097.613</v>
      </c>
      <c r="S637" s="4" t="n">
        <v>0.03</v>
      </c>
      <c r="T637" s="4" t="n">
        <v>0</v>
      </c>
      <c r="U637" s="19" t="n">
        <v>1.051931759713719</v>
      </c>
      <c r="V637" s="19" t="n">
        <v>0.8109090909090924</v>
      </c>
      <c r="W637" s="4" t="n">
        <v>0.1041271863088287</v>
      </c>
      <c r="X637" s="4" t="n">
        <v>0.1018264840182649</v>
      </c>
      <c r="Y637" s="4" t="n">
        <v>0.006200772884155881</v>
      </c>
      <c r="Z637" s="4" t="n">
        <v>0.01678035433241143</v>
      </c>
      <c r="AA637" s="4" t="n">
        <v>0.03</v>
      </c>
      <c r="AB637" s="4" t="n">
        <v>0.05</v>
      </c>
      <c r="AC637" s="4">
        <f>(AB637+2*參數!$B$7)/(AA637+AB637)</f>
        <v/>
      </c>
    </row>
    <row r="638">
      <c r="A638" s="2" t="n">
        <v>637</v>
      </c>
      <c r="B638" s="2" t="inlineStr">
        <is>
          <t>ZEC_USDT_PERP</t>
        </is>
      </c>
      <c r="C638" s="2" t="inlineStr">
        <is>
          <t>做空</t>
        </is>
      </c>
      <c r="D638" s="7" t="n">
        <v>46298.125</v>
      </c>
      <c r="E638" s="20" t="n">
        <v>1304.61</v>
      </c>
      <c r="F638" s="20" t="n">
        <v>1265.4717</v>
      </c>
      <c r="G638" s="20" t="n">
        <v>1369.8405</v>
      </c>
      <c r="H638" s="7" t="n">
        <v>46299.875</v>
      </c>
      <c r="I638" s="20" t="n">
        <v>1327.63</v>
      </c>
      <c r="J638" s="2" t="inlineStr">
        <is>
          <t>未平倉</t>
        </is>
      </c>
      <c r="K638" s="5">
        <f>(H638-D638)*24</f>
        <v/>
      </c>
      <c r="L638" s="4">
        <f>IF(C638="做多",I638/E638-1,1-I638/E638)-2*參數!$B$7</f>
        <v/>
      </c>
      <c r="M638" s="2" t="inlineStr">
        <is>
          <t>持倉中（以最新收盤估值）</t>
        </is>
      </c>
      <c r="N638" s="4" t="n">
        <v>-0.04429777009406044</v>
      </c>
      <c r="O638" s="4" t="n">
        <v>0.02267004471775878</v>
      </c>
      <c r="P638" s="4" t="n">
        <v>-0.04459872135685572</v>
      </c>
      <c r="Q638" s="22" t="n">
        <v>-6960.476000000017</v>
      </c>
      <c r="R638" s="22" t="n">
        <v>26918687.01739</v>
      </c>
      <c r="S638" s="4" t="n">
        <v>0.02111742206483158</v>
      </c>
      <c r="T638" s="4" t="n">
        <v>0.03148067238485086</v>
      </c>
      <c r="U638" s="19" t="n">
        <v>1.844577413789034</v>
      </c>
      <c r="V638" s="19" t="n">
        <v>0.6648615510370909</v>
      </c>
      <c r="W638" s="4" t="n">
        <v>0.07308728202513615</v>
      </c>
      <c r="X638" s="4" t="n">
        <v>0.02611246724744143</v>
      </c>
      <c r="Y638" s="4" t="n">
        <v>0.006200772884155881</v>
      </c>
      <c r="Z638" s="4" t="n">
        <v>0.01678035433241143</v>
      </c>
      <c r="AA638" s="4" t="n">
        <v>0.03</v>
      </c>
      <c r="AB638" s="4" t="n">
        <v>0.05</v>
      </c>
      <c r="AC638" s="4">
        <f>(AB638+2*參數!$B$7)/(AA638+AB638)</f>
        <v/>
      </c>
    </row>
    <row r="639">
      <c r="A639" s="2" t="n">
        <v>638</v>
      </c>
      <c r="B639" s="2" t="inlineStr">
        <is>
          <t>WLD_USDT_PERP</t>
        </is>
      </c>
      <c r="C639" s="2" t="inlineStr">
        <is>
          <t>做多</t>
        </is>
      </c>
      <c r="D639" s="7" t="n">
        <v>46298.33333333334</v>
      </c>
      <c r="E639" s="20" t="n">
        <v>0.5565</v>
      </c>
      <c r="F639" s="20" t="n">
        <v>0.573195</v>
      </c>
      <c r="G639" s="20" t="n">
        <v>0.528675</v>
      </c>
      <c r="H639" s="7" t="n">
        <v>46298.45833333334</v>
      </c>
      <c r="I639" s="20" t="n">
        <v>0.573195</v>
      </c>
      <c r="J639" s="2" t="inlineStr">
        <is>
          <t>止盈</t>
        </is>
      </c>
      <c r="K639" s="5">
        <f>(H639-D639)*24</f>
        <v/>
      </c>
      <c r="L639" s="4">
        <f>IF(C639="做多",I639/E639-1,1-I639/E639)-2*參數!$B$7</f>
        <v/>
      </c>
      <c r="M639" s="2" t="inlineStr"/>
      <c r="N639" s="4" t="n">
        <v>0.03227601558152471</v>
      </c>
      <c r="O639" s="4" t="n">
        <v>0.02840419537602715</v>
      </c>
      <c r="P639" s="4" t="n">
        <v>0.01514045968624611</v>
      </c>
      <c r="Q639" s="22" t="n">
        <v>361168</v>
      </c>
      <c r="R639" s="22" t="n">
        <v>2029332.3822</v>
      </c>
      <c r="S639" s="4" t="n">
        <v>0.03</v>
      </c>
      <c r="T639" s="4" t="n">
        <v>0.0005390835579514031</v>
      </c>
      <c r="U639" s="19" t="n">
        <v>0.4773580813643464</v>
      </c>
      <c r="V639" s="19" t="n">
        <v>0.8584474885844755</v>
      </c>
      <c r="W639" s="4" t="n">
        <v>0.07871414947314559</v>
      </c>
      <c r="X639" s="4" t="n">
        <v>0.1006724683544302</v>
      </c>
      <c r="Y639" s="4" t="n">
        <v>-0.0003857285181161352</v>
      </c>
      <c r="Z639" s="4" t="n">
        <v>-0.01205659133048753</v>
      </c>
      <c r="AA639" s="4" t="n">
        <v>0.03</v>
      </c>
      <c r="AB639" s="4" t="n">
        <v>0.05</v>
      </c>
      <c r="AC639" s="4">
        <f>(AB639+2*參數!$B$7)/(AA639+AB639)</f>
        <v/>
      </c>
    </row>
    <row r="640">
      <c r="A640" s="2" t="n">
        <v>639</v>
      </c>
      <c r="B640" s="2" t="inlineStr">
        <is>
          <t>PUMP_USDT_PERP</t>
        </is>
      </c>
      <c r="C640" s="2" t="inlineStr">
        <is>
          <t>做空</t>
        </is>
      </c>
      <c r="D640" s="7" t="n">
        <v>46298.41666666666</v>
      </c>
      <c r="E640" s="20" t="n">
        <v>0.005555</v>
      </c>
      <c r="F640" s="20" t="n">
        <v>0.00538835</v>
      </c>
      <c r="G640" s="20" t="n">
        <v>0.00583275</v>
      </c>
      <c r="H640" s="7" t="n">
        <v>46298.58333333334</v>
      </c>
      <c r="I640" s="20" t="n">
        <v>0.00538835</v>
      </c>
      <c r="J640" s="2" t="inlineStr">
        <is>
          <t>止盈</t>
        </is>
      </c>
      <c r="K640" s="5">
        <f>(H640-D640)*24</f>
        <v/>
      </c>
      <c r="L640" s="4">
        <f>IF(C640="做多",I640/E640-1,1-I640/E640)-2*參數!$B$7</f>
        <v/>
      </c>
      <c r="M640" s="2" t="inlineStr"/>
      <c r="N640" s="4" t="n">
        <v>-0.02475421348314599</v>
      </c>
      <c r="O640" s="4" t="n">
        <v>0.03618849398975257</v>
      </c>
      <c r="P640" s="4" t="n">
        <v>-0.02644630995986608</v>
      </c>
      <c r="Q640" s="22" t="n">
        <v>-1713693714</v>
      </c>
      <c r="R640" s="22" t="n">
        <v>29548753.853471</v>
      </c>
      <c r="S640" s="4" t="n">
        <v>0.03</v>
      </c>
      <c r="T640" s="4" t="n">
        <v>0.008280828082808389</v>
      </c>
      <c r="U640" s="19" t="n">
        <v>0.703892591469981</v>
      </c>
      <c r="V640" s="19" t="n">
        <v>0.9437229437229439</v>
      </c>
      <c r="W640" s="4" t="n">
        <v>0.01433866649159554</v>
      </c>
      <c r="X640" s="4" t="n">
        <v>0.03357689631176053</v>
      </c>
      <c r="Y640" s="4" t="n">
        <v>0.0001181893393216171</v>
      </c>
      <c r="Z640" s="4" t="n">
        <v>0.008725732747653536</v>
      </c>
      <c r="AA640" s="4" t="n">
        <v>0.03</v>
      </c>
      <c r="AB640" s="4" t="n">
        <v>0.05</v>
      </c>
      <c r="AC640" s="4">
        <f>(AB640+2*參數!$B$7)/(AA640+AB640)</f>
        <v/>
      </c>
    </row>
    <row r="641">
      <c r="A641" s="2" t="n">
        <v>640</v>
      </c>
      <c r="B641" s="2" t="inlineStr">
        <is>
          <t>NIGHT_USDT_PERP</t>
        </is>
      </c>
      <c r="C641" s="2" t="inlineStr">
        <is>
          <t>做多</t>
        </is>
      </c>
      <c r="D641" s="7" t="n">
        <v>46298.79166666666</v>
      </c>
      <c r="E641" s="20" t="n">
        <v>0.05079</v>
      </c>
      <c r="F641" s="20" t="n">
        <v>0.0523137</v>
      </c>
      <c r="G641" s="20" t="n">
        <v>0.0482505</v>
      </c>
      <c r="H641" s="7" t="n">
        <v>46299.125</v>
      </c>
      <c r="I641" s="20" t="n">
        <v>0.0482505</v>
      </c>
      <c r="J641" s="2" t="inlineStr">
        <is>
          <t>止損</t>
        </is>
      </c>
      <c r="K641" s="5">
        <f>(H641-D641)*24</f>
        <v/>
      </c>
      <c r="L641" s="4">
        <f>IF(C641="做多",I641/E641-1,1-I641/E641)-2*參數!$B$7</f>
        <v/>
      </c>
      <c r="M641" s="2" t="inlineStr"/>
      <c r="N641" s="4" t="n">
        <v>0.02399193548387113</v>
      </c>
      <c r="O641" s="4" t="n">
        <v>0.04052618803456381</v>
      </c>
      <c r="P641" s="4" t="n">
        <v>0.03207583593265784</v>
      </c>
      <c r="Q641" s="22" t="n">
        <v>2438290</v>
      </c>
      <c r="R641" s="22" t="n">
        <v>1899975.63755</v>
      </c>
      <c r="S641" s="4" t="n">
        <v>0.003740893876747364</v>
      </c>
      <c r="T641" s="4" t="n">
        <v>0.05</v>
      </c>
      <c r="U641" s="19" t="n">
        <v>1.228907720209728</v>
      </c>
      <c r="V641" s="19" t="n">
        <v>0.645569620253165</v>
      </c>
      <c r="W641" s="4" t="n">
        <v>0.2745646680334966</v>
      </c>
      <c r="X641" s="4" t="n">
        <v>0.1370047011417059</v>
      </c>
      <c r="Y641" s="4" t="n">
        <v>0.000497921974089266</v>
      </c>
      <c r="Z641" s="4" t="n">
        <v>-1.743602383008636e-05</v>
      </c>
      <c r="AA641" s="4" t="n">
        <v>0.03</v>
      </c>
      <c r="AB641" s="4" t="n">
        <v>0.05</v>
      </c>
      <c r="AC641" s="4">
        <f>(AB641+2*參數!$B$7)/(AA641+AB641)</f>
        <v/>
      </c>
    </row>
    <row r="642">
      <c r="A642" s="2" t="n">
        <v>641</v>
      </c>
      <c r="B642" s="2" t="inlineStr">
        <is>
          <t>MOVR_USDT_PERP</t>
        </is>
      </c>
      <c r="C642" s="2" t="inlineStr">
        <is>
          <t>做空</t>
        </is>
      </c>
      <c r="D642" s="7" t="n">
        <v>46298.95833333334</v>
      </c>
      <c r="E642" s="20" t="n">
        <v>1.833</v>
      </c>
      <c r="F642" s="20" t="n">
        <v>1.77801</v>
      </c>
      <c r="G642" s="20" t="n">
        <v>1.92465</v>
      </c>
      <c r="H642" s="7" t="n">
        <v>46299.04166666666</v>
      </c>
      <c r="I642" s="20" t="n">
        <v>1.92465</v>
      </c>
      <c r="J642" s="2" t="inlineStr">
        <is>
          <t>止損</t>
        </is>
      </c>
      <c r="K642" s="5">
        <f>(H642-D642)*24</f>
        <v/>
      </c>
      <c r="L642" s="4">
        <f>IF(C642="做多",I642/E642-1,1-I642/E642)-2*參數!$B$7</f>
        <v/>
      </c>
      <c r="M642" s="2" t="inlineStr"/>
      <c r="N642" s="4" t="n">
        <v>-0.04181913225300582</v>
      </c>
      <c r="O642" s="4" t="n">
        <v>0.07432794399974541</v>
      </c>
      <c r="P642" s="4" t="n">
        <v>-0.02463683286330021</v>
      </c>
      <c r="Q642" s="22" t="n">
        <v>-235028.99</v>
      </c>
      <c r="R642" s="22" t="n">
        <v>1729143.69055</v>
      </c>
      <c r="S642" s="4" t="n">
        <v>0.02018548827059463</v>
      </c>
      <c r="T642" s="4" t="n">
        <v>0.05</v>
      </c>
      <c r="U642" s="19" t="n">
        <v>1.838209994791279</v>
      </c>
      <c r="V642" s="19" t="n">
        <v>0.9062500000000009</v>
      </c>
      <c r="W642" s="4" t="n">
        <v>0.096585952478351</v>
      </c>
      <c r="X642" s="4" t="n">
        <v>0.1813309513175525</v>
      </c>
      <c r="Y642" s="4" t="n">
        <v>8.370203490248862e-05</v>
      </c>
      <c r="Z642" s="4" t="n">
        <v>-0.002794354540752497</v>
      </c>
      <c r="AA642" s="4" t="n">
        <v>0.03</v>
      </c>
      <c r="AB642" s="4" t="n">
        <v>0.05</v>
      </c>
      <c r="AC642" s="4">
        <f>(AB642+2*參數!$B$7)/(AA642+AB642)</f>
        <v/>
      </c>
    </row>
    <row r="643">
      <c r="A643" s="2" t="n">
        <v>642</v>
      </c>
      <c r="B643" s="2" t="inlineStr">
        <is>
          <t>QNT_USDT_PERP</t>
        </is>
      </c>
      <c r="C643" s="2" t="inlineStr">
        <is>
          <t>做空</t>
        </is>
      </c>
      <c r="D643" s="7" t="n">
        <v>46298.95833333334</v>
      </c>
      <c r="E643" s="20" t="n">
        <v>248.45</v>
      </c>
      <c r="F643" s="20" t="n">
        <v>240.9965</v>
      </c>
      <c r="G643" s="20" t="n">
        <v>260.8725</v>
      </c>
      <c r="H643" s="7" t="n">
        <v>46299.20833333334</v>
      </c>
      <c r="I643" s="20" t="n">
        <v>260.8725</v>
      </c>
      <c r="J643" s="2" t="inlineStr">
        <is>
          <t>止損</t>
        </is>
      </c>
      <c r="K643" s="5">
        <f>(H643-D643)*24</f>
        <v/>
      </c>
      <c r="L643" s="4">
        <f>IF(C643="做多",I643/E643-1,1-I643/E643)-2*參數!$B$7</f>
        <v/>
      </c>
      <c r="M643" s="2" t="inlineStr"/>
      <c r="N643" s="4" t="n">
        <v>-0.02311956906381485</v>
      </c>
      <c r="O643" s="4" t="n">
        <v>0.03185029683463876</v>
      </c>
      <c r="P643" s="4" t="n">
        <v>-0.007182888939949672</v>
      </c>
      <c r="Q643" s="22" t="n">
        <v>-12128.59999999999</v>
      </c>
      <c r="R643" s="22" t="n">
        <v>21266438.911</v>
      </c>
      <c r="S643" s="4" t="n">
        <v>0.00768766351378547</v>
      </c>
      <c r="T643" s="4" t="n">
        <v>0.05</v>
      </c>
      <c r="U643" s="19" t="n">
        <v>0.9778231379303013</v>
      </c>
      <c r="V643" s="19" t="n">
        <v>0.8600583090379036</v>
      </c>
      <c r="W643" s="4" t="n">
        <v>0.0642780177081006</v>
      </c>
      <c r="X643" s="4" t="n">
        <v>0.004328136897367107</v>
      </c>
      <c r="Y643" s="4" t="n">
        <v>8.370203490248862e-05</v>
      </c>
      <c r="Z643" s="4" t="n">
        <v>-0.002794354540752497</v>
      </c>
      <c r="AA643" s="4" t="n">
        <v>0.03</v>
      </c>
      <c r="AB643" s="4" t="n">
        <v>0.05</v>
      </c>
      <c r="AC643" s="4">
        <f>(AB643+2*參數!$B$7)/(AA643+AB643)</f>
        <v/>
      </c>
    </row>
    <row r="644">
      <c r="A644" s="2" t="n">
        <v>643</v>
      </c>
      <c r="B644" s="2" t="inlineStr">
        <is>
          <t>PONS_USDT_PERP</t>
        </is>
      </c>
      <c r="C644" s="2" t="inlineStr">
        <is>
          <t>做空</t>
        </is>
      </c>
      <c r="D644" s="7" t="n">
        <v>46299.04166666666</v>
      </c>
      <c r="E644" s="20" t="n">
        <v>0.409</v>
      </c>
      <c r="F644" s="20" t="n">
        <v>0.39673</v>
      </c>
      <c r="G644" s="20" t="n">
        <v>0.42945</v>
      </c>
      <c r="H644" s="7" t="n">
        <v>46299.625</v>
      </c>
      <c r="I644" s="20" t="n">
        <v>0.42945</v>
      </c>
      <c r="J644" s="2" t="inlineStr">
        <is>
          <t>止損</t>
        </is>
      </c>
      <c r="K644" s="5">
        <f>(H644-D644)*24</f>
        <v/>
      </c>
      <c r="L644" s="4">
        <f>IF(C644="做多",I644/E644-1,1-I644/E644)-2*參數!$B$7</f>
        <v/>
      </c>
      <c r="M644" s="2" t="inlineStr"/>
      <c r="N644" s="4" t="n">
        <v>-0.02246653919694075</v>
      </c>
      <c r="O644" s="4" t="n">
        <v>0.02611360616223982</v>
      </c>
      <c r="P644" s="4" t="n">
        <v>-0.04655337203067811</v>
      </c>
      <c r="Q644" s="22" t="n">
        <v>-1731597</v>
      </c>
      <c r="R644" s="22" t="n">
        <v>1820779.0469</v>
      </c>
      <c r="S644" s="4" t="n">
        <v>0.01833740831295827</v>
      </c>
      <c r="T644" s="4" t="n">
        <v>0.05</v>
      </c>
      <c r="U644" s="19" t="n">
        <v>3.067784356543565</v>
      </c>
      <c r="V644" s="19" t="n">
        <v>0.7034482758620713</v>
      </c>
      <c r="W644" s="4" t="n">
        <v>0.1959344558796066</v>
      </c>
      <c r="X644" s="4" t="n">
        <v>0.2056710040784619</v>
      </c>
      <c r="Y644" s="4" t="n">
        <v>0.0001296633115303036</v>
      </c>
      <c r="Z644" s="4" t="n">
        <v>-0.002294460398875486</v>
      </c>
      <c r="AA644" s="4" t="n">
        <v>0.03</v>
      </c>
      <c r="AB644" s="4" t="n">
        <v>0.05</v>
      </c>
      <c r="AC644" s="4">
        <f>(AB644+2*參數!$B$7)/(AA644+AB644)</f>
        <v/>
      </c>
    </row>
    <row r="645">
      <c r="A645" s="2" t="n">
        <v>644</v>
      </c>
      <c r="B645" s="2" t="inlineStr">
        <is>
          <t>SAND_USDT_PERP</t>
        </is>
      </c>
      <c r="C645" s="2" t="inlineStr">
        <is>
          <t>做空</t>
        </is>
      </c>
      <c r="D645" s="7" t="n">
        <v>46299.70833333334</v>
      </c>
      <c r="E645" s="20" t="n">
        <v>0.07376000000000001</v>
      </c>
      <c r="F645" s="20" t="n">
        <v>0.07154720000000001</v>
      </c>
      <c r="G645" s="20" t="n">
        <v>0.077448</v>
      </c>
      <c r="H645" s="7" t="n">
        <v>46299.83333333334</v>
      </c>
      <c r="I645" s="20" t="n">
        <v>0.077448</v>
      </c>
      <c r="J645" s="2" t="inlineStr">
        <is>
          <t>止損</t>
        </is>
      </c>
      <c r="K645" s="5">
        <f>(H645-D645)*24</f>
        <v/>
      </c>
      <c r="L645" s="4">
        <f>IF(C645="做多",I645/E645-1,1-I645/E645)-2*參數!$B$7</f>
        <v/>
      </c>
      <c r="M645" s="2" t="inlineStr"/>
      <c r="N645" s="4" t="n">
        <v>-0.02947368421052621</v>
      </c>
      <c r="O645" s="4" t="n">
        <v>0.04125918282275797</v>
      </c>
      <c r="P645" s="4" t="n">
        <v>-0.01329694732054465</v>
      </c>
      <c r="Q645" s="22" t="n">
        <v>-17241278</v>
      </c>
      <c r="R645" s="22" t="n">
        <v>5964581.82923</v>
      </c>
      <c r="S645" s="4" t="n">
        <v>0.01043926247288507</v>
      </c>
      <c r="T645" s="4" t="n">
        <v>0.05</v>
      </c>
      <c r="U645" s="19" t="n">
        <v>0.4724709462305032</v>
      </c>
      <c r="V645" s="19" t="n">
        <v>0.9033333333333293</v>
      </c>
      <c r="W645" s="4" t="n">
        <v>-0.2807957047501963</v>
      </c>
      <c r="X645" s="4" t="n">
        <v>-0.004083855159270566</v>
      </c>
      <c r="Y645" s="4" t="n">
        <v>7.993426582131313e-05</v>
      </c>
      <c r="Z645" s="4" t="n">
        <v>-0.002732068285852263</v>
      </c>
      <c r="AA645" s="4" t="n">
        <v>0.03</v>
      </c>
      <c r="AB645" s="4" t="n">
        <v>0.05</v>
      </c>
      <c r="AC645" s="4">
        <f>(AB645+2*參數!$B$7)/(AA645+AB645)</f>
        <v/>
      </c>
    </row>
    <row r="646">
      <c r="A646" s="2" t="n">
        <v>645</v>
      </c>
      <c r="B646" s="2" t="inlineStr">
        <is>
          <t>ZRO_USDT_PERP</t>
        </is>
      </c>
      <c r="C646" s="2" t="inlineStr">
        <is>
          <t>做空</t>
        </is>
      </c>
      <c r="D646" s="7" t="n">
        <v>46299.79166666666</v>
      </c>
      <c r="E646" s="20" t="n">
        <v>1.9861</v>
      </c>
      <c r="F646" s="20" t="n">
        <v>1.926517</v>
      </c>
      <c r="G646" s="20" t="n">
        <v>2.085405</v>
      </c>
      <c r="H646" s="7" t="n">
        <v>46299.875</v>
      </c>
      <c r="I646" s="20" t="n">
        <v>2.02</v>
      </c>
      <c r="J646" s="2" t="inlineStr">
        <is>
          <t>未平倉</t>
        </is>
      </c>
      <c r="K646" s="5">
        <f>(H646-D646)*24</f>
        <v/>
      </c>
      <c r="L646" s="4">
        <f>IF(C646="做多",I646/E646-1,1-I646/E646)-2*參數!$B$7</f>
        <v/>
      </c>
      <c r="M646" s="2" t="inlineStr">
        <is>
          <t>持倉中（以最新收盤估值）</t>
        </is>
      </c>
      <c r="N646" s="4" t="n">
        <v>-0.0230693556320708</v>
      </c>
      <c r="O646" s="4" t="n">
        <v>0.02512629811057469</v>
      </c>
      <c r="P646" s="4" t="n">
        <v>-0.02187376109016692</v>
      </c>
      <c r="Q646" s="22" t="n">
        <v>-55541.40000000026</v>
      </c>
      <c r="R646" s="22" t="n">
        <v>1394504.78729</v>
      </c>
      <c r="S646" s="4" t="n">
        <v>0.00735109007602841</v>
      </c>
      <c r="T646" s="4" t="n">
        <v>0.01888122451034691</v>
      </c>
      <c r="U646" s="19" t="n">
        <v>1.430390735278891</v>
      </c>
      <c r="V646" s="19" t="n">
        <v>0.8898601398601402</v>
      </c>
      <c r="W646" s="4" t="n">
        <v>-0.08181037788468237</v>
      </c>
      <c r="X646" s="4" t="n">
        <v>-0.006537603892154742</v>
      </c>
      <c r="Y646" s="4" t="n">
        <v>-0.0003873707736967713</v>
      </c>
      <c r="Z646" s="4" t="n">
        <v>-0.004157660719049217</v>
      </c>
      <c r="AA646" s="4" t="n">
        <v>0.03</v>
      </c>
      <c r="AB646" s="4" t="n">
        <v>0.05</v>
      </c>
      <c r="AC646" s="4">
        <f>(AB646+2*參數!$B$7)/(AA646+AB646)</f>
        <v/>
      </c>
    </row>
    <row r="647">
      <c r="A647" s="2" t="n">
        <v>646</v>
      </c>
      <c r="B647" s="2" t="inlineStr">
        <is>
          <t>AKE_USDT_PERP</t>
        </is>
      </c>
      <c r="C647" s="2" t="inlineStr">
        <is>
          <t>做多</t>
        </is>
      </c>
      <c r="D647" s="7" t="n">
        <v>46299.83333333334</v>
      </c>
      <c r="E647" s="20" t="n">
        <v>0.0354325</v>
      </c>
      <c r="F647" s="20" t="n">
        <v>0.036495475</v>
      </c>
      <c r="G647" s="20" t="n">
        <v>0.033660875</v>
      </c>
      <c r="H647" s="7" t="n">
        <v>46299.875</v>
      </c>
      <c r="I647" s="20" t="n">
        <v>0.0346515</v>
      </c>
      <c r="J647" s="2" t="inlineStr">
        <is>
          <t>未平倉</t>
        </is>
      </c>
      <c r="K647" s="5">
        <f>(H647-D647)*24</f>
        <v/>
      </c>
      <c r="L647" s="4">
        <f>IF(C647="做多",I647/E647-1,1-I647/E647)-2*參數!$B$7</f>
        <v/>
      </c>
      <c r="M647" s="2" t="inlineStr">
        <is>
          <t>持倉中（以最新收盤估值）</t>
        </is>
      </c>
      <c r="N647" s="4" t="n">
        <v>0.03089859036092002</v>
      </c>
      <c r="O647" s="4" t="n">
        <v>0.02193759066353424</v>
      </c>
      <c r="P647" s="4" t="n">
        <v>0.03355521261717631</v>
      </c>
      <c r="Q647" s="22" t="n">
        <v>10880485</v>
      </c>
      <c r="R647" s="22" t="n">
        <v>1420854.4899258</v>
      </c>
      <c r="S647" s="4" t="n">
        <v>0.004622874479644379</v>
      </c>
      <c r="T647" s="4" t="n">
        <v>0.02652084950257538</v>
      </c>
      <c r="U647" s="19" t="n">
        <v>2.298384857236499</v>
      </c>
      <c r="V647" s="19" t="n">
        <v>0.8098987626546655</v>
      </c>
      <c r="W647" s="4" t="n">
        <v>0.08527370644226062</v>
      </c>
      <c r="X647" s="4" t="n">
        <v>0.08890732801671808</v>
      </c>
      <c r="Y647" s="4" t="n">
        <v>0.0004822658751717501</v>
      </c>
      <c r="Z647" s="4" t="n">
        <v>0.004388260159833957</v>
      </c>
      <c r="AA647" s="4" t="n">
        <v>0.03</v>
      </c>
      <c r="AB647" s="4" t="n">
        <v>0.05</v>
      </c>
      <c r="AC647" s="4">
        <f>(AB647+2*參數!$B$7)/(AA647+AB647)</f>
        <v/>
      </c>
    </row>
    <row r="648">
      <c r="A648" s="2" t="n">
        <v>647</v>
      </c>
      <c r="B648" s="2" t="inlineStr">
        <is>
          <t>STRK_USDT_PERP</t>
        </is>
      </c>
      <c r="C648" s="2" t="inlineStr">
        <is>
          <t>做多</t>
        </is>
      </c>
      <c r="D648" s="7" t="n">
        <v>46299.83333333334</v>
      </c>
      <c r="E648" s="20" t="n">
        <v>0.0551</v>
      </c>
      <c r="F648" s="20" t="n">
        <v>0.056753</v>
      </c>
      <c r="G648" s="20" t="n">
        <v>0.052345</v>
      </c>
      <c r="H648" s="7" t="n">
        <v>46299.875</v>
      </c>
      <c r="I648" s="20" t="n">
        <v>0.055</v>
      </c>
      <c r="J648" s="2" t="inlineStr">
        <is>
          <t>未平倉</t>
        </is>
      </c>
      <c r="K648" s="5">
        <f>(H648-D648)*24</f>
        <v/>
      </c>
      <c r="L648" s="4">
        <f>IF(C648="做多",I648/E648-1,1-I648/E648)-2*參數!$B$7</f>
        <v/>
      </c>
      <c r="M648" s="2" t="inlineStr">
        <is>
          <t>持倉中（以最新收盤估值）</t>
        </is>
      </c>
      <c r="N648" s="4" t="n">
        <v>0.02416356877323422</v>
      </c>
      <c r="O648" s="4" t="n">
        <v>0.03194809171041452</v>
      </c>
      <c r="P648" s="4" t="n">
        <v>0.03795799189978322</v>
      </c>
      <c r="Q648" s="22" t="n">
        <v>7326853.399999999</v>
      </c>
      <c r="R648" s="22" t="n">
        <v>1454753.21715</v>
      </c>
      <c r="S648" s="4" t="n">
        <v>0.007259528130671544</v>
      </c>
      <c r="T648" s="4" t="n">
        <v>0.01088929219600732</v>
      </c>
      <c r="U648" s="19" t="n">
        <v>0.8167406049323216</v>
      </c>
      <c r="V648" s="19" t="n">
        <v>0.6842105263157912</v>
      </c>
      <c r="W648" s="4" t="n">
        <v>0.2233298550209808</v>
      </c>
      <c r="X648" s="4" t="n">
        <v>0.2494331065759638</v>
      </c>
      <c r="Y648" s="4" t="n">
        <v>0.0004822658751717501</v>
      </c>
      <c r="Z648" s="4" t="n">
        <v>0.004388260159833957</v>
      </c>
      <c r="AA648" s="4" t="n">
        <v>0.03</v>
      </c>
      <c r="AB648" s="4" t="n">
        <v>0.05</v>
      </c>
      <c r="AC648" s="4">
        <f>(AB648+2*參數!$B$7)/(AA648+AB648)</f>
        <v/>
      </c>
    </row>
  </sheetData>
  <autoFilter ref="A1:AC648"/>
  <conditionalFormatting sqref="J2:J64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COUNTIFS(交易明細!$B$2:$B$648,$A2)</f>
        <v/>
      </c>
      <c r="C2" s="2">
        <f>COUNTIFS(交易明細!$B$2:$B$648,$A2,交易明細!$C$2:$C$648,"做多")</f>
        <v/>
      </c>
      <c r="D2" s="2">
        <f>COUNTIFS(交易明細!$B$2:$B$648,$A2,交易明細!$C$2:$C$648,"做空")</f>
        <v/>
      </c>
      <c r="E2" s="2">
        <f>F2+G2+COUNTIFS(交易明細!$B$2:$B$648,$A2,交易明細!$J$2:$J$648,"時間出場")</f>
        <v/>
      </c>
      <c r="F2" s="2">
        <f>COUNTIFS(交易明細!$B$2:$B$648,$A2,交易明細!$J$2:$J$648,"止盈")</f>
        <v/>
      </c>
      <c r="G2" s="2">
        <f>COUNTIFS(交易明細!$B$2:$B$648,$A2,交易明細!$J$2:$J$648,"止損")</f>
        <v/>
      </c>
      <c r="H2" s="4">
        <f>IFERROR(F2/E2,0)</f>
        <v/>
      </c>
      <c r="I2" s="4">
        <f>IFERROR(AVERAGEIFS(交易明細!$L$2:$L$648,交易明細!$B$2:$B$648,$A2,交易明細!$J$2:$J$648,"&lt;&gt;未平倉"),0)</f>
        <v/>
      </c>
      <c r="J2" s="4">
        <f>SUMIFS(交易明細!$L$2:$L$648,交易明細!$B$2:$B$648,$A2,交易明細!$J$2:$J$648,"&lt;&gt;未平倉")</f>
        <v/>
      </c>
      <c r="K2" s="5">
        <f>IFERROR(AVERAGEIFS(交易明細!$K$2:$K$648,交易明細!$B$2:$B$648,$A2,交易明細!$J$2:$J$648,"&lt;&gt;未平倉"),0)</f>
        <v/>
      </c>
      <c r="L2" s="2">
        <f>COUNTIFS(交易明細!$B$2:$B$648,$A2,交易明細!$J$2:$J$648,"未平倉")</f>
        <v/>
      </c>
    </row>
    <row r="3">
      <c r="A3" s="2" t="inlineStr">
        <is>
          <t>PONS_USDT_PERP</t>
        </is>
      </c>
      <c r="B3" s="2">
        <f>COUNTIFS(交易明細!$B$2:$B$648,$A3)</f>
        <v/>
      </c>
      <c r="C3" s="2">
        <f>COUNTIFS(交易明細!$B$2:$B$648,$A3,交易明細!$C$2:$C$648,"做多")</f>
        <v/>
      </c>
      <c r="D3" s="2">
        <f>COUNTIFS(交易明細!$B$2:$B$648,$A3,交易明細!$C$2:$C$648,"做空")</f>
        <v/>
      </c>
      <c r="E3" s="2">
        <f>F3+G3+COUNTIFS(交易明細!$B$2:$B$648,$A3,交易明細!$J$2:$J$648,"時間出場")</f>
        <v/>
      </c>
      <c r="F3" s="2">
        <f>COUNTIFS(交易明細!$B$2:$B$648,$A3,交易明細!$J$2:$J$648,"止盈")</f>
        <v/>
      </c>
      <c r="G3" s="2">
        <f>COUNTIFS(交易明細!$B$2:$B$648,$A3,交易明細!$J$2:$J$648,"止損")</f>
        <v/>
      </c>
      <c r="H3" s="4">
        <f>IFERROR(F3/E3,0)</f>
        <v/>
      </c>
      <c r="I3" s="4">
        <f>IFERROR(AVERAGEIFS(交易明細!$L$2:$L$648,交易明細!$B$2:$B$648,$A3,交易明細!$J$2:$J$648,"&lt;&gt;未平倉"),0)</f>
        <v/>
      </c>
      <c r="J3" s="4">
        <f>SUMIFS(交易明細!$L$2:$L$648,交易明細!$B$2:$B$648,$A3,交易明細!$J$2:$J$648,"&lt;&gt;未平倉")</f>
        <v/>
      </c>
      <c r="K3" s="5">
        <f>IFERROR(AVERAGEIFS(交易明細!$K$2:$K$648,交易明細!$B$2:$B$648,$A3,交易明細!$J$2:$J$648,"&lt;&gt;未平倉"),0)</f>
        <v/>
      </c>
      <c r="L3" s="2">
        <f>COUNTIFS(交易明細!$B$2:$B$648,$A3,交易明細!$J$2:$J$648,"未平倉")</f>
        <v/>
      </c>
    </row>
    <row r="4">
      <c r="A4" s="2" t="inlineStr">
        <is>
          <t>PUMP_USDT_PERP</t>
        </is>
      </c>
      <c r="B4" s="2">
        <f>COUNTIFS(交易明細!$B$2:$B$648,$A4)</f>
        <v/>
      </c>
      <c r="C4" s="2">
        <f>COUNTIFS(交易明細!$B$2:$B$648,$A4,交易明細!$C$2:$C$648,"做多")</f>
        <v/>
      </c>
      <c r="D4" s="2">
        <f>COUNTIFS(交易明細!$B$2:$B$648,$A4,交易明細!$C$2:$C$648,"做空")</f>
        <v/>
      </c>
      <c r="E4" s="2">
        <f>F4+G4+COUNTIFS(交易明細!$B$2:$B$648,$A4,交易明細!$J$2:$J$648,"時間出場")</f>
        <v/>
      </c>
      <c r="F4" s="2">
        <f>COUNTIFS(交易明細!$B$2:$B$648,$A4,交易明細!$J$2:$J$648,"止盈")</f>
        <v/>
      </c>
      <c r="G4" s="2">
        <f>COUNTIFS(交易明細!$B$2:$B$648,$A4,交易明細!$J$2:$J$648,"止損")</f>
        <v/>
      </c>
      <c r="H4" s="4">
        <f>IFERROR(F4/E4,0)</f>
        <v/>
      </c>
      <c r="I4" s="4">
        <f>IFERROR(AVERAGEIFS(交易明細!$L$2:$L$648,交易明細!$B$2:$B$648,$A4,交易明細!$J$2:$J$648,"&lt;&gt;未平倉"),0)</f>
        <v/>
      </c>
      <c r="J4" s="4">
        <f>SUMIFS(交易明細!$L$2:$L$648,交易明細!$B$2:$B$648,$A4,交易明細!$J$2:$J$648,"&lt;&gt;未平倉")</f>
        <v/>
      </c>
      <c r="K4" s="5">
        <f>IFERROR(AVERAGEIFS(交易明細!$K$2:$K$648,交易明細!$B$2:$B$648,$A4,交易明細!$J$2:$J$648,"&lt;&gt;未平倉"),0)</f>
        <v/>
      </c>
      <c r="L4" s="2">
        <f>COUNTIFS(交易明細!$B$2:$B$648,$A4,交易明細!$J$2:$J$648,"未平倉")</f>
        <v/>
      </c>
    </row>
    <row r="5">
      <c r="A5" s="2" t="inlineStr">
        <is>
          <t>MARSCOIN_USDT_PERP</t>
        </is>
      </c>
      <c r="B5" s="2">
        <f>COUNTIFS(交易明細!$B$2:$B$648,$A5)</f>
        <v/>
      </c>
      <c r="C5" s="2">
        <f>COUNTIFS(交易明細!$B$2:$B$648,$A5,交易明細!$C$2:$C$648,"做多")</f>
        <v/>
      </c>
      <c r="D5" s="2">
        <f>COUNTIFS(交易明細!$B$2:$B$648,$A5,交易明細!$C$2:$C$648,"做空")</f>
        <v/>
      </c>
      <c r="E5" s="2">
        <f>F5+G5+COUNTIFS(交易明細!$B$2:$B$648,$A5,交易明細!$J$2:$J$648,"時間出場")</f>
        <v/>
      </c>
      <c r="F5" s="2">
        <f>COUNTIFS(交易明細!$B$2:$B$648,$A5,交易明細!$J$2:$J$648,"止盈")</f>
        <v/>
      </c>
      <c r="G5" s="2">
        <f>COUNTIFS(交易明細!$B$2:$B$648,$A5,交易明細!$J$2:$J$648,"止損")</f>
        <v/>
      </c>
      <c r="H5" s="4">
        <f>IFERROR(F5/E5,0)</f>
        <v/>
      </c>
      <c r="I5" s="4">
        <f>IFERROR(AVERAGEIFS(交易明細!$L$2:$L$648,交易明細!$B$2:$B$648,$A5,交易明細!$J$2:$J$648,"&lt;&gt;未平倉"),0)</f>
        <v/>
      </c>
      <c r="J5" s="4">
        <f>SUMIFS(交易明細!$L$2:$L$648,交易明細!$B$2:$B$648,$A5,交易明細!$J$2:$J$648,"&lt;&gt;未平倉")</f>
        <v/>
      </c>
      <c r="K5" s="5">
        <f>IFERROR(AVERAGEIFS(交易明細!$K$2:$K$648,交易明細!$B$2:$B$648,$A5,交易明細!$J$2:$J$648,"&lt;&gt;未平倉"),0)</f>
        <v/>
      </c>
      <c r="L5" s="2">
        <f>COUNTIFS(交易明細!$B$2:$B$648,$A5,交易明細!$J$2:$J$648,"未平倉")</f>
        <v/>
      </c>
    </row>
    <row r="6">
      <c r="A6" s="2" t="inlineStr">
        <is>
          <t>AKE_USDT_PERP</t>
        </is>
      </c>
      <c r="B6" s="2">
        <f>COUNTIFS(交易明細!$B$2:$B$648,$A6)</f>
        <v/>
      </c>
      <c r="C6" s="2">
        <f>COUNTIFS(交易明細!$B$2:$B$648,$A6,交易明細!$C$2:$C$648,"做多")</f>
        <v/>
      </c>
      <c r="D6" s="2">
        <f>COUNTIFS(交易明細!$B$2:$B$648,$A6,交易明細!$C$2:$C$648,"做空")</f>
        <v/>
      </c>
      <c r="E6" s="2">
        <f>F6+G6+COUNTIFS(交易明細!$B$2:$B$648,$A6,交易明細!$J$2:$J$648,"時間出場")</f>
        <v/>
      </c>
      <c r="F6" s="2">
        <f>COUNTIFS(交易明細!$B$2:$B$648,$A6,交易明細!$J$2:$J$648,"止盈")</f>
        <v/>
      </c>
      <c r="G6" s="2">
        <f>COUNTIFS(交易明細!$B$2:$B$648,$A6,交易明細!$J$2:$J$648,"止損")</f>
        <v/>
      </c>
      <c r="H6" s="4">
        <f>IFERROR(F6/E6,0)</f>
        <v/>
      </c>
      <c r="I6" s="4">
        <f>IFERROR(AVERAGEIFS(交易明細!$L$2:$L$648,交易明細!$B$2:$B$648,$A6,交易明細!$J$2:$J$648,"&lt;&gt;未平倉"),0)</f>
        <v/>
      </c>
      <c r="J6" s="4">
        <f>SUMIFS(交易明細!$L$2:$L$648,交易明細!$B$2:$B$648,$A6,交易明細!$J$2:$J$648,"&lt;&gt;未平倉")</f>
        <v/>
      </c>
      <c r="K6" s="5">
        <f>IFERROR(AVERAGEIFS(交易明細!$K$2:$K$648,交易明細!$B$2:$B$648,$A6,交易明細!$J$2:$J$648,"&lt;&gt;未平倉"),0)</f>
        <v/>
      </c>
      <c r="L6" s="2">
        <f>COUNTIFS(交易明細!$B$2:$B$648,$A6,交易明細!$J$2:$J$648,"未平倉")</f>
        <v/>
      </c>
    </row>
    <row r="7">
      <c r="A7" s="2" t="inlineStr">
        <is>
          <t>NEAR_USDT_PERP</t>
        </is>
      </c>
      <c r="B7" s="2">
        <f>COUNTIFS(交易明細!$B$2:$B$648,$A7)</f>
        <v/>
      </c>
      <c r="C7" s="2">
        <f>COUNTIFS(交易明細!$B$2:$B$648,$A7,交易明細!$C$2:$C$648,"做多")</f>
        <v/>
      </c>
      <c r="D7" s="2">
        <f>COUNTIFS(交易明細!$B$2:$B$648,$A7,交易明細!$C$2:$C$648,"做空")</f>
        <v/>
      </c>
      <c r="E7" s="2">
        <f>F7+G7+COUNTIFS(交易明細!$B$2:$B$648,$A7,交易明細!$J$2:$J$648,"時間出場")</f>
        <v/>
      </c>
      <c r="F7" s="2">
        <f>COUNTIFS(交易明細!$B$2:$B$648,$A7,交易明細!$J$2:$J$648,"止盈")</f>
        <v/>
      </c>
      <c r="G7" s="2">
        <f>COUNTIFS(交易明細!$B$2:$B$648,$A7,交易明細!$J$2:$J$648,"止損")</f>
        <v/>
      </c>
      <c r="H7" s="4">
        <f>IFERROR(F7/E7,0)</f>
        <v/>
      </c>
      <c r="I7" s="4">
        <f>IFERROR(AVERAGEIFS(交易明細!$L$2:$L$648,交易明細!$B$2:$B$648,$A7,交易明細!$J$2:$J$648,"&lt;&gt;未平倉"),0)</f>
        <v/>
      </c>
      <c r="J7" s="4">
        <f>SUMIFS(交易明細!$L$2:$L$648,交易明細!$B$2:$B$648,$A7,交易明細!$J$2:$J$648,"&lt;&gt;未平倉")</f>
        <v/>
      </c>
      <c r="K7" s="5">
        <f>IFERROR(AVERAGEIFS(交易明細!$K$2:$K$648,交易明細!$B$2:$B$648,$A7,交易明細!$J$2:$J$648,"&lt;&gt;未平倉"),0)</f>
        <v/>
      </c>
      <c r="L7" s="2">
        <f>COUNTIFS(交易明細!$B$2:$B$648,$A7,交易明細!$J$2:$J$648,"未平倉")</f>
        <v/>
      </c>
    </row>
    <row r="8">
      <c r="A8" s="2" t="inlineStr">
        <is>
          <t>LIT_USDT_PERP</t>
        </is>
      </c>
      <c r="B8" s="2">
        <f>COUNTIFS(交易明細!$B$2:$B$648,$A8)</f>
        <v/>
      </c>
      <c r="C8" s="2">
        <f>COUNTIFS(交易明細!$B$2:$B$648,$A8,交易明細!$C$2:$C$648,"做多")</f>
        <v/>
      </c>
      <c r="D8" s="2">
        <f>COUNTIFS(交易明細!$B$2:$B$648,$A8,交易明細!$C$2:$C$648,"做空")</f>
        <v/>
      </c>
      <c r="E8" s="2">
        <f>F8+G8+COUNTIFS(交易明細!$B$2:$B$648,$A8,交易明細!$J$2:$J$648,"時間出場")</f>
        <v/>
      </c>
      <c r="F8" s="2">
        <f>COUNTIFS(交易明細!$B$2:$B$648,$A8,交易明細!$J$2:$J$648,"止盈")</f>
        <v/>
      </c>
      <c r="G8" s="2">
        <f>COUNTIFS(交易明細!$B$2:$B$648,$A8,交易明細!$J$2:$J$648,"止損")</f>
        <v/>
      </c>
      <c r="H8" s="4">
        <f>IFERROR(F8/E8,0)</f>
        <v/>
      </c>
      <c r="I8" s="4">
        <f>IFERROR(AVERAGEIFS(交易明細!$L$2:$L$648,交易明細!$B$2:$B$648,$A8,交易明細!$J$2:$J$648,"&lt;&gt;未平倉"),0)</f>
        <v/>
      </c>
      <c r="J8" s="4">
        <f>SUMIFS(交易明細!$L$2:$L$648,交易明細!$B$2:$B$648,$A8,交易明細!$J$2:$J$648,"&lt;&gt;未平倉")</f>
        <v/>
      </c>
      <c r="K8" s="5">
        <f>IFERROR(AVERAGEIFS(交易明細!$K$2:$K$648,交易明細!$B$2:$B$648,$A8,交易明細!$J$2:$J$648,"&lt;&gt;未平倉"),0)</f>
        <v/>
      </c>
      <c r="L8" s="2">
        <f>COUNTIFS(交易明細!$B$2:$B$648,$A8,交易明細!$J$2:$J$648,"未平倉")</f>
        <v/>
      </c>
    </row>
    <row r="9">
      <c r="A9" s="2" t="inlineStr">
        <is>
          <t>ENA_USDT_PERP</t>
        </is>
      </c>
      <c r="B9" s="2">
        <f>COUNTIFS(交易明細!$B$2:$B$648,$A9)</f>
        <v/>
      </c>
      <c r="C9" s="2">
        <f>COUNTIFS(交易明細!$B$2:$B$648,$A9,交易明細!$C$2:$C$648,"做多")</f>
        <v/>
      </c>
      <c r="D9" s="2">
        <f>COUNTIFS(交易明細!$B$2:$B$648,$A9,交易明細!$C$2:$C$648,"做空")</f>
        <v/>
      </c>
      <c r="E9" s="2">
        <f>F9+G9+COUNTIFS(交易明細!$B$2:$B$648,$A9,交易明細!$J$2:$J$648,"時間出場")</f>
        <v/>
      </c>
      <c r="F9" s="2">
        <f>COUNTIFS(交易明細!$B$2:$B$648,$A9,交易明細!$J$2:$J$648,"止盈")</f>
        <v/>
      </c>
      <c r="G9" s="2">
        <f>COUNTIFS(交易明細!$B$2:$B$648,$A9,交易明細!$J$2:$J$648,"止損")</f>
        <v/>
      </c>
      <c r="H9" s="4">
        <f>IFERROR(F9/E9,0)</f>
        <v/>
      </c>
      <c r="I9" s="4">
        <f>IFERROR(AVERAGEIFS(交易明細!$L$2:$L$648,交易明細!$B$2:$B$648,$A9,交易明細!$J$2:$J$648,"&lt;&gt;未平倉"),0)</f>
        <v/>
      </c>
      <c r="J9" s="4">
        <f>SUMIFS(交易明細!$L$2:$L$648,交易明細!$B$2:$B$648,$A9,交易明細!$J$2:$J$648,"&lt;&gt;未平倉")</f>
        <v/>
      </c>
      <c r="K9" s="5">
        <f>IFERROR(AVERAGEIFS(交易明細!$K$2:$K$648,交易明細!$B$2:$B$648,$A9,交易明細!$J$2:$J$648,"&lt;&gt;未平倉"),0)</f>
        <v/>
      </c>
      <c r="L9" s="2">
        <f>COUNTIFS(交易明細!$B$2:$B$648,$A9,交易明細!$J$2:$J$648,"未平倉")</f>
        <v/>
      </c>
    </row>
    <row r="10">
      <c r="A10" s="2" t="inlineStr">
        <is>
          <t>牛来_USDT_PERP</t>
        </is>
      </c>
      <c r="B10" s="2">
        <f>COUNTIFS(交易明細!$B$2:$B$648,$A10)</f>
        <v/>
      </c>
      <c r="C10" s="2">
        <f>COUNTIFS(交易明細!$B$2:$B$648,$A10,交易明細!$C$2:$C$648,"做多")</f>
        <v/>
      </c>
      <c r="D10" s="2">
        <f>COUNTIFS(交易明細!$B$2:$B$648,$A10,交易明細!$C$2:$C$648,"做空")</f>
        <v/>
      </c>
      <c r="E10" s="2">
        <f>F10+G10+COUNTIFS(交易明細!$B$2:$B$648,$A10,交易明細!$J$2:$J$648,"時間出場")</f>
        <v/>
      </c>
      <c r="F10" s="2">
        <f>COUNTIFS(交易明細!$B$2:$B$648,$A10,交易明細!$J$2:$J$648,"止盈")</f>
        <v/>
      </c>
      <c r="G10" s="2">
        <f>COUNTIFS(交易明細!$B$2:$B$648,$A10,交易明細!$J$2:$J$648,"止損")</f>
        <v/>
      </c>
      <c r="H10" s="4">
        <f>IFERROR(F10/E10,0)</f>
        <v/>
      </c>
      <c r="I10" s="4">
        <f>IFERROR(AVERAGEIFS(交易明細!$L$2:$L$648,交易明細!$B$2:$B$648,$A10,交易明細!$J$2:$J$648,"&lt;&gt;未平倉"),0)</f>
        <v/>
      </c>
      <c r="J10" s="4">
        <f>SUMIFS(交易明細!$L$2:$L$648,交易明細!$B$2:$B$648,$A10,交易明細!$J$2:$J$648,"&lt;&gt;未平倉")</f>
        <v/>
      </c>
      <c r="K10" s="5">
        <f>IFERROR(AVERAGEIFS(交易明細!$K$2:$K$648,交易明細!$B$2:$B$648,$A10,交易明細!$J$2:$J$648,"&lt;&gt;未平倉"),0)</f>
        <v/>
      </c>
      <c r="L10" s="2">
        <f>COUNTIFS(交易明細!$B$2:$B$648,$A10,交易明細!$J$2:$J$648,"未平倉")</f>
        <v/>
      </c>
    </row>
    <row r="11">
      <c r="A11" s="2" t="inlineStr">
        <is>
          <t>ARB_USDT_PERP</t>
        </is>
      </c>
      <c r="B11" s="2">
        <f>COUNTIFS(交易明細!$B$2:$B$648,$A11)</f>
        <v/>
      </c>
      <c r="C11" s="2">
        <f>COUNTIFS(交易明細!$B$2:$B$648,$A11,交易明細!$C$2:$C$648,"做多")</f>
        <v/>
      </c>
      <c r="D11" s="2">
        <f>COUNTIFS(交易明細!$B$2:$B$648,$A11,交易明細!$C$2:$C$648,"做空")</f>
        <v/>
      </c>
      <c r="E11" s="2">
        <f>F11+G11+COUNTIFS(交易明細!$B$2:$B$648,$A11,交易明細!$J$2:$J$648,"時間出場")</f>
        <v/>
      </c>
      <c r="F11" s="2">
        <f>COUNTIFS(交易明細!$B$2:$B$648,$A11,交易明細!$J$2:$J$648,"止盈")</f>
        <v/>
      </c>
      <c r="G11" s="2">
        <f>COUNTIFS(交易明細!$B$2:$B$648,$A11,交易明細!$J$2:$J$648,"止損")</f>
        <v/>
      </c>
      <c r="H11" s="4">
        <f>IFERROR(F11/E11,0)</f>
        <v/>
      </c>
      <c r="I11" s="4">
        <f>IFERROR(AVERAGEIFS(交易明細!$L$2:$L$648,交易明細!$B$2:$B$648,$A11,交易明細!$J$2:$J$648,"&lt;&gt;未平倉"),0)</f>
        <v/>
      </c>
      <c r="J11" s="4">
        <f>SUMIFS(交易明細!$L$2:$L$648,交易明細!$B$2:$B$648,$A11,交易明細!$J$2:$J$648,"&lt;&gt;未平倉")</f>
        <v/>
      </c>
      <c r="K11" s="5">
        <f>IFERROR(AVERAGEIFS(交易明細!$K$2:$K$648,交易明細!$B$2:$B$648,$A11,交易明細!$J$2:$J$648,"&lt;&gt;未平倉"),0)</f>
        <v/>
      </c>
      <c r="L11" s="2">
        <f>COUNTIFS(交易明細!$B$2:$B$648,$A11,交易明細!$J$2:$J$648,"未平倉")</f>
        <v/>
      </c>
    </row>
    <row r="12">
      <c r="A12" s="2" t="inlineStr">
        <is>
          <t>BR_USDT_PERP</t>
        </is>
      </c>
      <c r="B12" s="2">
        <f>COUNTIFS(交易明細!$B$2:$B$648,$A12)</f>
        <v/>
      </c>
      <c r="C12" s="2">
        <f>COUNTIFS(交易明細!$B$2:$B$648,$A12,交易明細!$C$2:$C$648,"做多")</f>
        <v/>
      </c>
      <c r="D12" s="2">
        <f>COUNTIFS(交易明細!$B$2:$B$648,$A12,交易明細!$C$2:$C$648,"做空")</f>
        <v/>
      </c>
      <c r="E12" s="2">
        <f>F12+G12+COUNTIFS(交易明細!$B$2:$B$648,$A12,交易明細!$J$2:$J$648,"時間出場")</f>
        <v/>
      </c>
      <c r="F12" s="2">
        <f>COUNTIFS(交易明細!$B$2:$B$648,$A12,交易明細!$J$2:$J$648,"止盈")</f>
        <v/>
      </c>
      <c r="G12" s="2">
        <f>COUNTIFS(交易明細!$B$2:$B$648,$A12,交易明細!$J$2:$J$648,"止損")</f>
        <v/>
      </c>
      <c r="H12" s="4">
        <f>IFERROR(F12/E12,0)</f>
        <v/>
      </c>
      <c r="I12" s="4">
        <f>IFERROR(AVERAGEIFS(交易明細!$L$2:$L$648,交易明細!$B$2:$B$648,$A12,交易明細!$J$2:$J$648,"&lt;&gt;未平倉"),0)</f>
        <v/>
      </c>
      <c r="J12" s="4">
        <f>SUMIFS(交易明細!$L$2:$L$648,交易明細!$B$2:$B$648,$A12,交易明細!$J$2:$J$648,"&lt;&gt;未平倉")</f>
        <v/>
      </c>
      <c r="K12" s="5">
        <f>IFERROR(AVERAGEIFS(交易明細!$K$2:$K$648,交易明細!$B$2:$B$648,$A12,交易明細!$J$2:$J$648,"&lt;&gt;未平倉"),0)</f>
        <v/>
      </c>
      <c r="L12" s="2">
        <f>COUNTIFS(交易明細!$B$2:$B$648,$A12,交易明細!$J$2:$J$648,"未平倉")</f>
        <v/>
      </c>
    </row>
    <row r="13">
      <c r="A13" s="2" t="inlineStr">
        <is>
          <t>UNI_USDT_PERP</t>
        </is>
      </c>
      <c r="B13" s="2">
        <f>COUNTIFS(交易明細!$B$2:$B$648,$A13)</f>
        <v/>
      </c>
      <c r="C13" s="2">
        <f>COUNTIFS(交易明細!$B$2:$B$648,$A13,交易明細!$C$2:$C$648,"做多")</f>
        <v/>
      </c>
      <c r="D13" s="2">
        <f>COUNTIFS(交易明細!$B$2:$B$648,$A13,交易明細!$C$2:$C$648,"做空")</f>
        <v/>
      </c>
      <c r="E13" s="2">
        <f>F13+G13+COUNTIFS(交易明細!$B$2:$B$648,$A13,交易明細!$J$2:$J$648,"時間出場")</f>
        <v/>
      </c>
      <c r="F13" s="2">
        <f>COUNTIFS(交易明細!$B$2:$B$648,$A13,交易明細!$J$2:$J$648,"止盈")</f>
        <v/>
      </c>
      <c r="G13" s="2">
        <f>COUNTIFS(交易明細!$B$2:$B$648,$A13,交易明細!$J$2:$J$648,"止損")</f>
        <v/>
      </c>
      <c r="H13" s="4">
        <f>IFERROR(F13/E13,0)</f>
        <v/>
      </c>
      <c r="I13" s="4">
        <f>IFERROR(AVERAGEIFS(交易明細!$L$2:$L$648,交易明細!$B$2:$B$648,$A13,交易明細!$J$2:$J$648,"&lt;&gt;未平倉"),0)</f>
        <v/>
      </c>
      <c r="J13" s="4">
        <f>SUMIFS(交易明細!$L$2:$L$648,交易明細!$B$2:$B$648,$A13,交易明細!$J$2:$J$648,"&lt;&gt;未平倉")</f>
        <v/>
      </c>
      <c r="K13" s="5">
        <f>IFERROR(AVERAGEIFS(交易明細!$K$2:$K$648,交易明細!$B$2:$B$648,$A13,交易明細!$J$2:$J$648,"&lt;&gt;未平倉"),0)</f>
        <v/>
      </c>
      <c r="L13" s="2">
        <f>COUNTIFS(交易明細!$B$2:$B$648,$A13,交易明細!$J$2:$J$648,"未平倉")</f>
        <v/>
      </c>
    </row>
    <row r="14">
      <c r="A14" s="2" t="inlineStr">
        <is>
          <t>VVV_USDT_PERP</t>
        </is>
      </c>
      <c r="B14" s="2">
        <f>COUNTIFS(交易明細!$B$2:$B$648,$A14)</f>
        <v/>
      </c>
      <c r="C14" s="2">
        <f>COUNTIFS(交易明細!$B$2:$B$648,$A14,交易明細!$C$2:$C$648,"做多")</f>
        <v/>
      </c>
      <c r="D14" s="2">
        <f>COUNTIFS(交易明細!$B$2:$B$648,$A14,交易明細!$C$2:$C$648,"做空")</f>
        <v/>
      </c>
      <c r="E14" s="2">
        <f>F14+G14+COUNTIFS(交易明細!$B$2:$B$648,$A14,交易明細!$J$2:$J$648,"時間出場")</f>
        <v/>
      </c>
      <c r="F14" s="2">
        <f>COUNTIFS(交易明細!$B$2:$B$648,$A14,交易明細!$J$2:$J$648,"止盈")</f>
        <v/>
      </c>
      <c r="G14" s="2">
        <f>COUNTIFS(交易明細!$B$2:$B$648,$A14,交易明細!$J$2:$J$648,"止損")</f>
        <v/>
      </c>
      <c r="H14" s="4">
        <f>IFERROR(F14/E14,0)</f>
        <v/>
      </c>
      <c r="I14" s="4">
        <f>IFERROR(AVERAGEIFS(交易明細!$L$2:$L$648,交易明細!$B$2:$B$648,$A14,交易明細!$J$2:$J$648,"&lt;&gt;未平倉"),0)</f>
        <v/>
      </c>
      <c r="J14" s="4">
        <f>SUMIFS(交易明細!$L$2:$L$648,交易明細!$B$2:$B$648,$A14,交易明細!$J$2:$J$648,"&lt;&gt;未平倉")</f>
        <v/>
      </c>
      <c r="K14" s="5">
        <f>IFERROR(AVERAGEIFS(交易明細!$K$2:$K$648,交易明細!$B$2:$B$648,$A14,交易明細!$J$2:$J$648,"&lt;&gt;未平倉"),0)</f>
        <v/>
      </c>
      <c r="L14" s="2">
        <f>COUNTIFS(交易明細!$B$2:$B$648,$A14,交易明細!$J$2:$J$648,"未平倉")</f>
        <v/>
      </c>
    </row>
    <row r="15">
      <c r="A15" s="2" t="inlineStr">
        <is>
          <t>LSK_USDT_PERP</t>
        </is>
      </c>
      <c r="B15" s="2">
        <f>COUNTIFS(交易明細!$B$2:$B$648,$A15)</f>
        <v/>
      </c>
      <c r="C15" s="2">
        <f>COUNTIFS(交易明細!$B$2:$B$648,$A15,交易明細!$C$2:$C$648,"做多")</f>
        <v/>
      </c>
      <c r="D15" s="2">
        <f>COUNTIFS(交易明細!$B$2:$B$648,$A15,交易明細!$C$2:$C$648,"做空")</f>
        <v/>
      </c>
      <c r="E15" s="2">
        <f>F15+G15+COUNTIFS(交易明細!$B$2:$B$648,$A15,交易明細!$J$2:$J$648,"時間出場")</f>
        <v/>
      </c>
      <c r="F15" s="2">
        <f>COUNTIFS(交易明細!$B$2:$B$648,$A15,交易明細!$J$2:$J$648,"止盈")</f>
        <v/>
      </c>
      <c r="G15" s="2">
        <f>COUNTIFS(交易明細!$B$2:$B$648,$A15,交易明細!$J$2:$J$648,"止損")</f>
        <v/>
      </c>
      <c r="H15" s="4">
        <f>IFERROR(F15/E15,0)</f>
        <v/>
      </c>
      <c r="I15" s="4">
        <f>IFERROR(AVERAGEIFS(交易明細!$L$2:$L$648,交易明細!$B$2:$B$648,$A15,交易明細!$J$2:$J$648,"&lt;&gt;未平倉"),0)</f>
        <v/>
      </c>
      <c r="J15" s="4">
        <f>SUMIFS(交易明細!$L$2:$L$648,交易明細!$B$2:$B$648,$A15,交易明細!$J$2:$J$648,"&lt;&gt;未平倉")</f>
        <v/>
      </c>
      <c r="K15" s="5">
        <f>IFERROR(AVERAGEIFS(交易明細!$K$2:$K$648,交易明細!$B$2:$B$648,$A15,交易明細!$J$2:$J$648,"&lt;&gt;未平倉"),0)</f>
        <v/>
      </c>
      <c r="L15" s="2">
        <f>COUNTIFS(交易明細!$B$2:$B$648,$A15,交易明細!$J$2:$J$648,"未平倉")</f>
        <v/>
      </c>
    </row>
    <row r="16">
      <c r="A16" s="2" t="inlineStr">
        <is>
          <t>QNT_USDT_PERP</t>
        </is>
      </c>
      <c r="B16" s="2">
        <f>COUNTIFS(交易明細!$B$2:$B$648,$A16)</f>
        <v/>
      </c>
      <c r="C16" s="2">
        <f>COUNTIFS(交易明細!$B$2:$B$648,$A16,交易明細!$C$2:$C$648,"做多")</f>
        <v/>
      </c>
      <c r="D16" s="2">
        <f>COUNTIFS(交易明細!$B$2:$B$648,$A16,交易明細!$C$2:$C$648,"做空")</f>
        <v/>
      </c>
      <c r="E16" s="2">
        <f>F16+G16+COUNTIFS(交易明細!$B$2:$B$648,$A16,交易明細!$J$2:$J$648,"時間出場")</f>
        <v/>
      </c>
      <c r="F16" s="2">
        <f>COUNTIFS(交易明細!$B$2:$B$648,$A16,交易明細!$J$2:$J$648,"止盈")</f>
        <v/>
      </c>
      <c r="G16" s="2">
        <f>COUNTIFS(交易明細!$B$2:$B$648,$A16,交易明細!$J$2:$J$648,"止損")</f>
        <v/>
      </c>
      <c r="H16" s="4">
        <f>IFERROR(F16/E16,0)</f>
        <v/>
      </c>
      <c r="I16" s="4">
        <f>IFERROR(AVERAGEIFS(交易明細!$L$2:$L$648,交易明細!$B$2:$B$648,$A16,交易明細!$J$2:$J$648,"&lt;&gt;未平倉"),0)</f>
        <v/>
      </c>
      <c r="J16" s="4">
        <f>SUMIFS(交易明細!$L$2:$L$648,交易明細!$B$2:$B$648,$A16,交易明細!$J$2:$J$648,"&lt;&gt;未平倉")</f>
        <v/>
      </c>
      <c r="K16" s="5">
        <f>IFERROR(AVERAGEIFS(交易明細!$K$2:$K$648,交易明細!$B$2:$B$648,$A16,交易明細!$J$2:$J$648,"&lt;&gt;未平倉"),0)</f>
        <v/>
      </c>
      <c r="L16" s="2">
        <f>COUNTIFS(交易明細!$B$2:$B$648,$A16,交易明細!$J$2:$J$648,"未平倉")</f>
        <v/>
      </c>
    </row>
    <row r="17">
      <c r="A17" s="2" t="inlineStr">
        <is>
          <t>UAI_USDT_PERP</t>
        </is>
      </c>
      <c r="B17" s="2">
        <f>COUNTIFS(交易明細!$B$2:$B$648,$A17)</f>
        <v/>
      </c>
      <c r="C17" s="2">
        <f>COUNTIFS(交易明細!$B$2:$B$648,$A17,交易明細!$C$2:$C$648,"做多")</f>
        <v/>
      </c>
      <c r="D17" s="2">
        <f>COUNTIFS(交易明細!$B$2:$B$648,$A17,交易明細!$C$2:$C$648,"做空")</f>
        <v/>
      </c>
      <c r="E17" s="2">
        <f>F17+G17+COUNTIFS(交易明細!$B$2:$B$648,$A17,交易明細!$J$2:$J$648,"時間出場")</f>
        <v/>
      </c>
      <c r="F17" s="2">
        <f>COUNTIFS(交易明細!$B$2:$B$648,$A17,交易明細!$J$2:$J$648,"止盈")</f>
        <v/>
      </c>
      <c r="G17" s="2">
        <f>COUNTIFS(交易明細!$B$2:$B$648,$A17,交易明細!$J$2:$J$648,"止損")</f>
        <v/>
      </c>
      <c r="H17" s="4">
        <f>IFERROR(F17/E17,0)</f>
        <v/>
      </c>
      <c r="I17" s="4">
        <f>IFERROR(AVERAGEIFS(交易明細!$L$2:$L$648,交易明細!$B$2:$B$648,$A17,交易明細!$J$2:$J$648,"&lt;&gt;未平倉"),0)</f>
        <v/>
      </c>
      <c r="J17" s="4">
        <f>SUMIFS(交易明細!$L$2:$L$648,交易明細!$B$2:$B$648,$A17,交易明細!$J$2:$J$648,"&lt;&gt;未平倉")</f>
        <v/>
      </c>
      <c r="K17" s="5">
        <f>IFERROR(AVERAGEIFS(交易明細!$K$2:$K$648,交易明細!$B$2:$B$648,$A17,交易明細!$J$2:$J$648,"&lt;&gt;未平倉"),0)</f>
        <v/>
      </c>
      <c r="L17" s="2">
        <f>COUNTIFS(交易明細!$B$2:$B$648,$A17,交易明細!$J$2:$J$648,"未平倉")</f>
        <v/>
      </c>
    </row>
    <row r="18">
      <c r="A18" s="2" t="inlineStr">
        <is>
          <t>BULLA_USDT_PERP</t>
        </is>
      </c>
      <c r="B18" s="2">
        <f>COUNTIFS(交易明細!$B$2:$B$648,$A18)</f>
        <v/>
      </c>
      <c r="C18" s="2">
        <f>COUNTIFS(交易明細!$B$2:$B$648,$A18,交易明細!$C$2:$C$648,"做多")</f>
        <v/>
      </c>
      <c r="D18" s="2">
        <f>COUNTIFS(交易明細!$B$2:$B$648,$A18,交易明細!$C$2:$C$648,"做空")</f>
        <v/>
      </c>
      <c r="E18" s="2">
        <f>F18+G18+COUNTIFS(交易明細!$B$2:$B$648,$A18,交易明細!$J$2:$J$648,"時間出場")</f>
        <v/>
      </c>
      <c r="F18" s="2">
        <f>COUNTIFS(交易明細!$B$2:$B$648,$A18,交易明細!$J$2:$J$648,"止盈")</f>
        <v/>
      </c>
      <c r="G18" s="2">
        <f>COUNTIFS(交易明細!$B$2:$B$648,$A18,交易明細!$J$2:$J$648,"止損")</f>
        <v/>
      </c>
      <c r="H18" s="4">
        <f>IFERROR(F18/E18,0)</f>
        <v/>
      </c>
      <c r="I18" s="4">
        <f>IFERROR(AVERAGEIFS(交易明細!$L$2:$L$648,交易明細!$B$2:$B$648,$A18,交易明細!$J$2:$J$648,"&lt;&gt;未平倉"),0)</f>
        <v/>
      </c>
      <c r="J18" s="4">
        <f>SUMIFS(交易明細!$L$2:$L$648,交易明細!$B$2:$B$648,$A18,交易明細!$J$2:$J$648,"&lt;&gt;未平倉")</f>
        <v/>
      </c>
      <c r="K18" s="5">
        <f>IFERROR(AVERAGEIFS(交易明細!$K$2:$K$648,交易明細!$B$2:$B$648,$A18,交易明細!$J$2:$J$648,"&lt;&gt;未平倉"),0)</f>
        <v/>
      </c>
      <c r="L18" s="2">
        <f>COUNTIFS(交易明細!$B$2:$B$648,$A18,交易明細!$J$2:$J$648,"未平倉")</f>
        <v/>
      </c>
    </row>
    <row r="19">
      <c r="A19" s="2" t="inlineStr">
        <is>
          <t>PENGU_USDT_PERP</t>
        </is>
      </c>
      <c r="B19" s="2">
        <f>COUNTIFS(交易明細!$B$2:$B$648,$A19)</f>
        <v/>
      </c>
      <c r="C19" s="2">
        <f>COUNTIFS(交易明細!$B$2:$B$648,$A19,交易明細!$C$2:$C$648,"做多")</f>
        <v/>
      </c>
      <c r="D19" s="2">
        <f>COUNTIFS(交易明細!$B$2:$B$648,$A19,交易明細!$C$2:$C$648,"做空")</f>
        <v/>
      </c>
      <c r="E19" s="2">
        <f>F19+G19+COUNTIFS(交易明細!$B$2:$B$648,$A19,交易明細!$J$2:$J$648,"時間出場")</f>
        <v/>
      </c>
      <c r="F19" s="2">
        <f>COUNTIFS(交易明細!$B$2:$B$648,$A19,交易明細!$J$2:$J$648,"止盈")</f>
        <v/>
      </c>
      <c r="G19" s="2">
        <f>COUNTIFS(交易明細!$B$2:$B$648,$A19,交易明細!$J$2:$J$648,"止損")</f>
        <v/>
      </c>
      <c r="H19" s="4">
        <f>IFERROR(F19/E19,0)</f>
        <v/>
      </c>
      <c r="I19" s="4">
        <f>IFERROR(AVERAGEIFS(交易明細!$L$2:$L$648,交易明細!$B$2:$B$648,$A19,交易明細!$J$2:$J$648,"&lt;&gt;未平倉"),0)</f>
        <v/>
      </c>
      <c r="J19" s="4">
        <f>SUMIFS(交易明細!$L$2:$L$648,交易明細!$B$2:$B$648,$A19,交易明細!$J$2:$J$648,"&lt;&gt;未平倉")</f>
        <v/>
      </c>
      <c r="K19" s="5">
        <f>IFERROR(AVERAGEIFS(交易明細!$K$2:$K$648,交易明細!$B$2:$B$648,$A19,交易明細!$J$2:$J$648,"&lt;&gt;未平倉"),0)</f>
        <v/>
      </c>
      <c r="L19" s="2">
        <f>COUNTIFS(交易明細!$B$2:$B$648,$A19,交易明細!$J$2:$J$648,"未平倉")</f>
        <v/>
      </c>
    </row>
    <row r="20">
      <c r="A20" s="2" t="inlineStr">
        <is>
          <t>HEMI_USDT_PERP</t>
        </is>
      </c>
      <c r="B20" s="2">
        <f>COUNTIFS(交易明細!$B$2:$B$648,$A20)</f>
        <v/>
      </c>
      <c r="C20" s="2">
        <f>COUNTIFS(交易明細!$B$2:$B$648,$A20,交易明細!$C$2:$C$648,"做多")</f>
        <v/>
      </c>
      <c r="D20" s="2">
        <f>COUNTIFS(交易明細!$B$2:$B$648,$A20,交易明細!$C$2:$C$648,"做空")</f>
        <v/>
      </c>
      <c r="E20" s="2">
        <f>F20+G20+COUNTIFS(交易明細!$B$2:$B$648,$A20,交易明細!$J$2:$J$648,"時間出場")</f>
        <v/>
      </c>
      <c r="F20" s="2">
        <f>COUNTIFS(交易明細!$B$2:$B$648,$A20,交易明細!$J$2:$J$648,"止盈")</f>
        <v/>
      </c>
      <c r="G20" s="2">
        <f>COUNTIFS(交易明細!$B$2:$B$648,$A20,交易明細!$J$2:$J$648,"止損")</f>
        <v/>
      </c>
      <c r="H20" s="4">
        <f>IFERROR(F20/E20,0)</f>
        <v/>
      </c>
      <c r="I20" s="4">
        <f>IFERROR(AVERAGEIFS(交易明細!$L$2:$L$648,交易明細!$B$2:$B$648,$A20,交易明細!$J$2:$J$648,"&lt;&gt;未平倉"),0)</f>
        <v/>
      </c>
      <c r="J20" s="4">
        <f>SUMIFS(交易明細!$L$2:$L$648,交易明細!$B$2:$B$648,$A20,交易明細!$J$2:$J$648,"&lt;&gt;未平倉")</f>
        <v/>
      </c>
      <c r="K20" s="5">
        <f>IFERROR(AVERAGEIFS(交易明細!$K$2:$K$648,交易明細!$B$2:$B$648,$A20,交易明細!$J$2:$J$648,"&lt;&gt;未平倉"),0)</f>
        <v/>
      </c>
      <c r="L20" s="2">
        <f>COUNTIFS(交易明細!$B$2:$B$648,$A20,交易明細!$J$2:$J$648,"未平倉")</f>
        <v/>
      </c>
    </row>
    <row r="21">
      <c r="A21" s="2" t="inlineStr">
        <is>
          <t>ZEC_USDT_PERP</t>
        </is>
      </c>
      <c r="B21" s="2">
        <f>COUNTIFS(交易明細!$B$2:$B$648,$A21)</f>
        <v/>
      </c>
      <c r="C21" s="2">
        <f>COUNTIFS(交易明細!$B$2:$B$648,$A21,交易明細!$C$2:$C$648,"做多")</f>
        <v/>
      </c>
      <c r="D21" s="2">
        <f>COUNTIFS(交易明細!$B$2:$B$648,$A21,交易明細!$C$2:$C$648,"做空")</f>
        <v/>
      </c>
      <c r="E21" s="2">
        <f>F21+G21+COUNTIFS(交易明細!$B$2:$B$648,$A21,交易明細!$J$2:$J$648,"時間出場")</f>
        <v/>
      </c>
      <c r="F21" s="2">
        <f>COUNTIFS(交易明細!$B$2:$B$648,$A21,交易明細!$J$2:$J$648,"止盈")</f>
        <v/>
      </c>
      <c r="G21" s="2">
        <f>COUNTIFS(交易明細!$B$2:$B$648,$A21,交易明細!$J$2:$J$648,"止損")</f>
        <v/>
      </c>
      <c r="H21" s="4">
        <f>IFERROR(F21/E21,0)</f>
        <v/>
      </c>
      <c r="I21" s="4">
        <f>IFERROR(AVERAGEIFS(交易明細!$L$2:$L$648,交易明細!$B$2:$B$648,$A21,交易明細!$J$2:$J$648,"&lt;&gt;未平倉"),0)</f>
        <v/>
      </c>
      <c r="J21" s="4">
        <f>SUMIFS(交易明細!$L$2:$L$648,交易明細!$B$2:$B$648,$A21,交易明細!$J$2:$J$648,"&lt;&gt;未平倉")</f>
        <v/>
      </c>
      <c r="K21" s="5">
        <f>IFERROR(AVERAGEIFS(交易明細!$K$2:$K$648,交易明細!$B$2:$B$648,$A21,交易明細!$J$2:$J$648,"&lt;&gt;未平倉"),0)</f>
        <v/>
      </c>
      <c r="L21" s="2">
        <f>COUNTIFS(交易明細!$B$2:$B$648,$A21,交易明細!$J$2:$J$648,"未平倉")</f>
        <v/>
      </c>
    </row>
    <row r="22">
      <c r="A22" s="2" t="inlineStr">
        <is>
          <t>WLD_USDT_PERP</t>
        </is>
      </c>
      <c r="B22" s="2">
        <f>COUNTIFS(交易明細!$B$2:$B$648,$A22)</f>
        <v/>
      </c>
      <c r="C22" s="2">
        <f>COUNTIFS(交易明細!$B$2:$B$648,$A22,交易明細!$C$2:$C$648,"做多")</f>
        <v/>
      </c>
      <c r="D22" s="2">
        <f>COUNTIFS(交易明細!$B$2:$B$648,$A22,交易明細!$C$2:$C$648,"做空")</f>
        <v/>
      </c>
      <c r="E22" s="2">
        <f>F22+G22+COUNTIFS(交易明細!$B$2:$B$648,$A22,交易明細!$J$2:$J$648,"時間出場")</f>
        <v/>
      </c>
      <c r="F22" s="2">
        <f>COUNTIFS(交易明細!$B$2:$B$648,$A22,交易明細!$J$2:$J$648,"止盈")</f>
        <v/>
      </c>
      <c r="G22" s="2">
        <f>COUNTIFS(交易明細!$B$2:$B$648,$A22,交易明細!$J$2:$J$648,"止損")</f>
        <v/>
      </c>
      <c r="H22" s="4">
        <f>IFERROR(F22/E22,0)</f>
        <v/>
      </c>
      <c r="I22" s="4">
        <f>IFERROR(AVERAGEIFS(交易明細!$L$2:$L$648,交易明細!$B$2:$B$648,$A22,交易明細!$J$2:$J$648,"&lt;&gt;未平倉"),0)</f>
        <v/>
      </c>
      <c r="J22" s="4">
        <f>SUMIFS(交易明細!$L$2:$L$648,交易明細!$B$2:$B$648,$A22,交易明細!$J$2:$J$648,"&lt;&gt;未平倉")</f>
        <v/>
      </c>
      <c r="K22" s="5">
        <f>IFERROR(AVERAGEIFS(交易明細!$K$2:$K$648,交易明細!$B$2:$B$648,$A22,交易明細!$J$2:$J$648,"&lt;&gt;未平倉"),0)</f>
        <v/>
      </c>
      <c r="L22" s="2">
        <f>COUNTIFS(交易明細!$B$2:$B$648,$A22,交易明細!$J$2:$J$648,"未平倉")</f>
        <v/>
      </c>
    </row>
    <row r="23">
      <c r="A23" s="2" t="inlineStr">
        <is>
          <t>XPL_USDT_PERP</t>
        </is>
      </c>
      <c r="B23" s="2">
        <f>COUNTIFS(交易明細!$B$2:$B$648,$A23)</f>
        <v/>
      </c>
      <c r="C23" s="2">
        <f>COUNTIFS(交易明細!$B$2:$B$648,$A23,交易明細!$C$2:$C$648,"做多")</f>
        <v/>
      </c>
      <c r="D23" s="2">
        <f>COUNTIFS(交易明細!$B$2:$B$648,$A23,交易明細!$C$2:$C$648,"做空")</f>
        <v/>
      </c>
      <c r="E23" s="2">
        <f>F23+G23+COUNTIFS(交易明細!$B$2:$B$648,$A23,交易明細!$J$2:$J$648,"時間出場")</f>
        <v/>
      </c>
      <c r="F23" s="2">
        <f>COUNTIFS(交易明細!$B$2:$B$648,$A23,交易明細!$J$2:$J$648,"止盈")</f>
        <v/>
      </c>
      <c r="G23" s="2">
        <f>COUNTIFS(交易明細!$B$2:$B$648,$A23,交易明細!$J$2:$J$648,"止損")</f>
        <v/>
      </c>
      <c r="H23" s="4">
        <f>IFERROR(F23/E23,0)</f>
        <v/>
      </c>
      <c r="I23" s="4">
        <f>IFERROR(AVERAGEIFS(交易明細!$L$2:$L$648,交易明細!$B$2:$B$648,$A23,交易明細!$J$2:$J$648,"&lt;&gt;未平倉"),0)</f>
        <v/>
      </c>
      <c r="J23" s="4">
        <f>SUMIFS(交易明細!$L$2:$L$648,交易明細!$B$2:$B$648,$A23,交易明細!$J$2:$J$648,"&lt;&gt;未平倉")</f>
        <v/>
      </c>
      <c r="K23" s="5">
        <f>IFERROR(AVERAGEIFS(交易明細!$K$2:$K$648,交易明細!$B$2:$B$648,$A23,交易明細!$J$2:$J$648,"&lt;&gt;未平倉"),0)</f>
        <v/>
      </c>
      <c r="L23" s="2">
        <f>COUNTIFS(交易明細!$B$2:$B$648,$A23,交易明細!$J$2:$J$648,"未平倉")</f>
        <v/>
      </c>
    </row>
    <row r="24">
      <c r="A24" s="2" t="inlineStr">
        <is>
          <t>RAY_USDT_PERP</t>
        </is>
      </c>
      <c r="B24" s="2">
        <f>COUNTIFS(交易明細!$B$2:$B$648,$A24)</f>
        <v/>
      </c>
      <c r="C24" s="2">
        <f>COUNTIFS(交易明細!$B$2:$B$648,$A24,交易明細!$C$2:$C$648,"做多")</f>
        <v/>
      </c>
      <c r="D24" s="2">
        <f>COUNTIFS(交易明細!$B$2:$B$648,$A24,交易明細!$C$2:$C$648,"做空")</f>
        <v/>
      </c>
      <c r="E24" s="2">
        <f>F24+G24+COUNTIFS(交易明細!$B$2:$B$648,$A24,交易明細!$J$2:$J$648,"時間出場")</f>
        <v/>
      </c>
      <c r="F24" s="2">
        <f>COUNTIFS(交易明細!$B$2:$B$648,$A24,交易明細!$J$2:$J$648,"止盈")</f>
        <v/>
      </c>
      <c r="G24" s="2">
        <f>COUNTIFS(交易明細!$B$2:$B$648,$A24,交易明細!$J$2:$J$648,"止損")</f>
        <v/>
      </c>
      <c r="H24" s="4">
        <f>IFERROR(F24/E24,0)</f>
        <v/>
      </c>
      <c r="I24" s="4">
        <f>IFERROR(AVERAGEIFS(交易明細!$L$2:$L$648,交易明細!$B$2:$B$648,$A24,交易明細!$J$2:$J$648,"&lt;&gt;未平倉"),0)</f>
        <v/>
      </c>
      <c r="J24" s="4">
        <f>SUMIFS(交易明細!$L$2:$L$648,交易明細!$B$2:$B$648,$A24,交易明細!$J$2:$J$648,"&lt;&gt;未平倉")</f>
        <v/>
      </c>
      <c r="K24" s="5">
        <f>IFERROR(AVERAGEIFS(交易明細!$K$2:$K$648,交易明細!$B$2:$B$648,$A24,交易明細!$J$2:$J$648,"&lt;&gt;未平倉"),0)</f>
        <v/>
      </c>
      <c r="L24" s="2">
        <f>COUNTIFS(交易明細!$B$2:$B$648,$A24,交易明細!$J$2:$J$648,"未平倉")</f>
        <v/>
      </c>
    </row>
    <row r="25">
      <c r="A25" s="2" t="inlineStr">
        <is>
          <t>INJ_USDT_PERP</t>
        </is>
      </c>
      <c r="B25" s="2">
        <f>COUNTIFS(交易明細!$B$2:$B$648,$A25)</f>
        <v/>
      </c>
      <c r="C25" s="2">
        <f>COUNTIFS(交易明細!$B$2:$B$648,$A25,交易明細!$C$2:$C$648,"做多")</f>
        <v/>
      </c>
      <c r="D25" s="2">
        <f>COUNTIFS(交易明細!$B$2:$B$648,$A25,交易明細!$C$2:$C$648,"做空")</f>
        <v/>
      </c>
      <c r="E25" s="2">
        <f>F25+G25+COUNTIFS(交易明細!$B$2:$B$648,$A25,交易明細!$J$2:$J$648,"時間出場")</f>
        <v/>
      </c>
      <c r="F25" s="2">
        <f>COUNTIFS(交易明細!$B$2:$B$648,$A25,交易明細!$J$2:$J$648,"止盈")</f>
        <v/>
      </c>
      <c r="G25" s="2">
        <f>COUNTIFS(交易明細!$B$2:$B$648,$A25,交易明細!$J$2:$J$648,"止損")</f>
        <v/>
      </c>
      <c r="H25" s="4">
        <f>IFERROR(F25/E25,0)</f>
        <v/>
      </c>
      <c r="I25" s="4">
        <f>IFERROR(AVERAGEIFS(交易明細!$L$2:$L$648,交易明細!$B$2:$B$648,$A25,交易明細!$J$2:$J$648,"&lt;&gt;未平倉"),0)</f>
        <v/>
      </c>
      <c r="J25" s="4">
        <f>SUMIFS(交易明細!$L$2:$L$648,交易明細!$B$2:$B$648,$A25,交易明細!$J$2:$J$648,"&lt;&gt;未平倉")</f>
        <v/>
      </c>
      <c r="K25" s="5">
        <f>IFERROR(AVERAGEIFS(交易明細!$K$2:$K$648,交易明細!$B$2:$B$648,$A25,交易明細!$J$2:$J$648,"&lt;&gt;未平倉"),0)</f>
        <v/>
      </c>
      <c r="L25" s="2">
        <f>COUNTIFS(交易明細!$B$2:$B$648,$A25,交易明細!$J$2:$J$648,"未平倉")</f>
        <v/>
      </c>
    </row>
    <row r="26">
      <c r="A26" s="2" t="inlineStr">
        <is>
          <t>DASH_USDT_PERP</t>
        </is>
      </c>
      <c r="B26" s="2">
        <f>COUNTIFS(交易明細!$B$2:$B$648,$A26)</f>
        <v/>
      </c>
      <c r="C26" s="2">
        <f>COUNTIFS(交易明細!$B$2:$B$648,$A26,交易明細!$C$2:$C$648,"做多")</f>
        <v/>
      </c>
      <c r="D26" s="2">
        <f>COUNTIFS(交易明細!$B$2:$B$648,$A26,交易明細!$C$2:$C$648,"做空")</f>
        <v/>
      </c>
      <c r="E26" s="2">
        <f>F26+G26+COUNTIFS(交易明細!$B$2:$B$648,$A26,交易明細!$J$2:$J$648,"時間出場")</f>
        <v/>
      </c>
      <c r="F26" s="2">
        <f>COUNTIFS(交易明細!$B$2:$B$648,$A26,交易明細!$J$2:$J$648,"止盈")</f>
        <v/>
      </c>
      <c r="G26" s="2">
        <f>COUNTIFS(交易明細!$B$2:$B$648,$A26,交易明細!$J$2:$J$648,"止損")</f>
        <v/>
      </c>
      <c r="H26" s="4">
        <f>IFERROR(F26/E26,0)</f>
        <v/>
      </c>
      <c r="I26" s="4">
        <f>IFERROR(AVERAGEIFS(交易明細!$L$2:$L$648,交易明細!$B$2:$B$648,$A26,交易明細!$J$2:$J$648,"&lt;&gt;未平倉"),0)</f>
        <v/>
      </c>
      <c r="J26" s="4">
        <f>SUMIFS(交易明細!$L$2:$L$648,交易明細!$B$2:$B$648,$A26,交易明細!$J$2:$J$648,"&lt;&gt;未平倉")</f>
        <v/>
      </c>
      <c r="K26" s="5">
        <f>IFERROR(AVERAGEIFS(交易明細!$K$2:$K$648,交易明細!$B$2:$B$648,$A26,交易明細!$J$2:$J$648,"&lt;&gt;未平倉"),0)</f>
        <v/>
      </c>
      <c r="L26" s="2">
        <f>COUNTIFS(交易明細!$B$2:$B$648,$A26,交易明細!$J$2:$J$648,"未平倉")</f>
        <v/>
      </c>
    </row>
    <row r="27">
      <c r="A27" s="2" t="inlineStr">
        <is>
          <t>ONDO_USDT_PERP</t>
        </is>
      </c>
      <c r="B27" s="2">
        <f>COUNTIFS(交易明細!$B$2:$B$648,$A27)</f>
        <v/>
      </c>
      <c r="C27" s="2">
        <f>COUNTIFS(交易明細!$B$2:$B$648,$A27,交易明細!$C$2:$C$648,"做多")</f>
        <v/>
      </c>
      <c r="D27" s="2">
        <f>COUNTIFS(交易明細!$B$2:$B$648,$A27,交易明細!$C$2:$C$648,"做空")</f>
        <v/>
      </c>
      <c r="E27" s="2">
        <f>F27+G27+COUNTIFS(交易明細!$B$2:$B$648,$A27,交易明細!$J$2:$J$648,"時間出場")</f>
        <v/>
      </c>
      <c r="F27" s="2">
        <f>COUNTIFS(交易明細!$B$2:$B$648,$A27,交易明細!$J$2:$J$648,"止盈")</f>
        <v/>
      </c>
      <c r="G27" s="2">
        <f>COUNTIFS(交易明細!$B$2:$B$648,$A27,交易明細!$J$2:$J$648,"止損")</f>
        <v/>
      </c>
      <c r="H27" s="4">
        <f>IFERROR(F27/E27,0)</f>
        <v/>
      </c>
      <c r="I27" s="4">
        <f>IFERROR(AVERAGEIFS(交易明細!$L$2:$L$648,交易明細!$B$2:$B$648,$A27,交易明細!$J$2:$J$648,"&lt;&gt;未平倉"),0)</f>
        <v/>
      </c>
      <c r="J27" s="4">
        <f>SUMIFS(交易明細!$L$2:$L$648,交易明細!$B$2:$B$648,$A27,交易明細!$J$2:$J$648,"&lt;&gt;未平倉")</f>
        <v/>
      </c>
      <c r="K27" s="5">
        <f>IFERROR(AVERAGEIFS(交易明細!$K$2:$K$648,交易明細!$B$2:$B$648,$A27,交易明細!$J$2:$J$648,"&lt;&gt;未平倉"),0)</f>
        <v/>
      </c>
      <c r="L27" s="2">
        <f>COUNTIFS(交易明細!$B$2:$B$648,$A27,交易明細!$J$2:$J$648,"未平倉")</f>
        <v/>
      </c>
    </row>
    <row r="28">
      <c r="A28" s="2" t="inlineStr">
        <is>
          <t>ZAMA_USDT_PERP</t>
        </is>
      </c>
      <c r="B28" s="2">
        <f>COUNTIFS(交易明細!$B$2:$B$648,$A28)</f>
        <v/>
      </c>
      <c r="C28" s="2">
        <f>COUNTIFS(交易明細!$B$2:$B$648,$A28,交易明細!$C$2:$C$648,"做多")</f>
        <v/>
      </c>
      <c r="D28" s="2">
        <f>COUNTIFS(交易明細!$B$2:$B$648,$A28,交易明細!$C$2:$C$648,"做空")</f>
        <v/>
      </c>
      <c r="E28" s="2">
        <f>F28+G28+COUNTIFS(交易明細!$B$2:$B$648,$A28,交易明細!$J$2:$J$648,"時間出場")</f>
        <v/>
      </c>
      <c r="F28" s="2">
        <f>COUNTIFS(交易明細!$B$2:$B$648,$A28,交易明細!$J$2:$J$648,"止盈")</f>
        <v/>
      </c>
      <c r="G28" s="2">
        <f>COUNTIFS(交易明細!$B$2:$B$648,$A28,交易明細!$J$2:$J$648,"止損")</f>
        <v/>
      </c>
      <c r="H28" s="4">
        <f>IFERROR(F28/E28,0)</f>
        <v/>
      </c>
      <c r="I28" s="4">
        <f>IFERROR(AVERAGEIFS(交易明細!$L$2:$L$648,交易明細!$B$2:$B$648,$A28,交易明細!$J$2:$J$648,"&lt;&gt;未平倉"),0)</f>
        <v/>
      </c>
      <c r="J28" s="4">
        <f>SUMIFS(交易明細!$L$2:$L$648,交易明細!$B$2:$B$648,$A28,交易明細!$J$2:$J$648,"&lt;&gt;未平倉")</f>
        <v/>
      </c>
      <c r="K28" s="5">
        <f>IFERROR(AVERAGEIFS(交易明細!$K$2:$K$648,交易明細!$B$2:$B$648,$A28,交易明細!$J$2:$J$648,"&lt;&gt;未平倉"),0)</f>
        <v/>
      </c>
      <c r="L28" s="2">
        <f>COUNTIFS(交易明細!$B$2:$B$648,$A28,交易明細!$J$2:$J$648,"未平倉")</f>
        <v/>
      </c>
    </row>
    <row r="29">
      <c r="A29" s="2" t="inlineStr">
        <is>
          <t>FET_USDT_PERP</t>
        </is>
      </c>
      <c r="B29" s="2">
        <f>COUNTIFS(交易明細!$B$2:$B$648,$A29)</f>
        <v/>
      </c>
      <c r="C29" s="2">
        <f>COUNTIFS(交易明細!$B$2:$B$648,$A29,交易明細!$C$2:$C$648,"做多")</f>
        <v/>
      </c>
      <c r="D29" s="2">
        <f>COUNTIFS(交易明細!$B$2:$B$648,$A29,交易明細!$C$2:$C$648,"做空")</f>
        <v/>
      </c>
      <c r="E29" s="2">
        <f>F29+G29+COUNTIFS(交易明細!$B$2:$B$648,$A29,交易明細!$J$2:$J$648,"時間出場")</f>
        <v/>
      </c>
      <c r="F29" s="2">
        <f>COUNTIFS(交易明細!$B$2:$B$648,$A29,交易明細!$J$2:$J$648,"止盈")</f>
        <v/>
      </c>
      <c r="G29" s="2">
        <f>COUNTIFS(交易明細!$B$2:$B$648,$A29,交易明細!$J$2:$J$648,"止損")</f>
        <v/>
      </c>
      <c r="H29" s="4">
        <f>IFERROR(F29/E29,0)</f>
        <v/>
      </c>
      <c r="I29" s="4">
        <f>IFERROR(AVERAGEIFS(交易明細!$L$2:$L$648,交易明細!$B$2:$B$648,$A29,交易明細!$J$2:$J$648,"&lt;&gt;未平倉"),0)</f>
        <v/>
      </c>
      <c r="J29" s="4">
        <f>SUMIFS(交易明細!$L$2:$L$648,交易明細!$B$2:$B$648,$A29,交易明細!$J$2:$J$648,"&lt;&gt;未平倉")</f>
        <v/>
      </c>
      <c r="K29" s="5">
        <f>IFERROR(AVERAGEIFS(交易明細!$K$2:$K$648,交易明細!$B$2:$B$648,$A29,交易明細!$J$2:$J$648,"&lt;&gt;未平倉"),0)</f>
        <v/>
      </c>
      <c r="L29" s="2">
        <f>COUNTIFS(交易明細!$B$2:$B$648,$A29,交易明細!$J$2:$J$648,"未平倉")</f>
        <v/>
      </c>
    </row>
    <row r="30">
      <c r="A30" s="2" t="inlineStr">
        <is>
          <t>GRASS_USDT_PERP</t>
        </is>
      </c>
      <c r="B30" s="2">
        <f>COUNTIFS(交易明細!$B$2:$B$648,$A30)</f>
        <v/>
      </c>
      <c r="C30" s="2">
        <f>COUNTIFS(交易明細!$B$2:$B$648,$A30,交易明細!$C$2:$C$648,"做多")</f>
        <v/>
      </c>
      <c r="D30" s="2">
        <f>COUNTIFS(交易明細!$B$2:$B$648,$A30,交易明細!$C$2:$C$648,"做空")</f>
        <v/>
      </c>
      <c r="E30" s="2">
        <f>F30+G30+COUNTIFS(交易明細!$B$2:$B$648,$A30,交易明細!$J$2:$J$648,"時間出場")</f>
        <v/>
      </c>
      <c r="F30" s="2">
        <f>COUNTIFS(交易明細!$B$2:$B$648,$A30,交易明細!$J$2:$J$648,"止盈")</f>
        <v/>
      </c>
      <c r="G30" s="2">
        <f>COUNTIFS(交易明細!$B$2:$B$648,$A30,交易明細!$J$2:$J$648,"止損")</f>
        <v/>
      </c>
      <c r="H30" s="4">
        <f>IFERROR(F30/E30,0)</f>
        <v/>
      </c>
      <c r="I30" s="4">
        <f>IFERROR(AVERAGEIFS(交易明細!$L$2:$L$648,交易明細!$B$2:$B$648,$A30,交易明細!$J$2:$J$648,"&lt;&gt;未平倉"),0)</f>
        <v/>
      </c>
      <c r="J30" s="4">
        <f>SUMIFS(交易明細!$L$2:$L$648,交易明細!$B$2:$B$648,$A30,交易明細!$J$2:$J$648,"&lt;&gt;未平倉")</f>
        <v/>
      </c>
      <c r="K30" s="5">
        <f>IFERROR(AVERAGEIFS(交易明細!$K$2:$K$648,交易明細!$B$2:$B$648,$A30,交易明細!$J$2:$J$648,"&lt;&gt;未平倉"),0)</f>
        <v/>
      </c>
      <c r="L30" s="2">
        <f>COUNTIFS(交易明細!$B$2:$B$648,$A30,交易明細!$J$2:$J$648,"未平倉")</f>
        <v/>
      </c>
    </row>
    <row r="31">
      <c r="A31" s="2" t="inlineStr">
        <is>
          <t>BTW_USDT_PERP</t>
        </is>
      </c>
      <c r="B31" s="2">
        <f>COUNTIFS(交易明細!$B$2:$B$648,$A31)</f>
        <v/>
      </c>
      <c r="C31" s="2">
        <f>COUNTIFS(交易明細!$B$2:$B$648,$A31,交易明細!$C$2:$C$648,"做多")</f>
        <v/>
      </c>
      <c r="D31" s="2">
        <f>COUNTIFS(交易明細!$B$2:$B$648,$A31,交易明細!$C$2:$C$648,"做空")</f>
        <v/>
      </c>
      <c r="E31" s="2">
        <f>F31+G31+COUNTIFS(交易明細!$B$2:$B$648,$A31,交易明細!$J$2:$J$648,"時間出場")</f>
        <v/>
      </c>
      <c r="F31" s="2">
        <f>COUNTIFS(交易明細!$B$2:$B$648,$A31,交易明細!$J$2:$J$648,"止盈")</f>
        <v/>
      </c>
      <c r="G31" s="2">
        <f>COUNTIFS(交易明細!$B$2:$B$648,$A31,交易明細!$J$2:$J$648,"止損")</f>
        <v/>
      </c>
      <c r="H31" s="4">
        <f>IFERROR(F31/E31,0)</f>
        <v/>
      </c>
      <c r="I31" s="4">
        <f>IFERROR(AVERAGEIFS(交易明細!$L$2:$L$648,交易明細!$B$2:$B$648,$A31,交易明細!$J$2:$J$648,"&lt;&gt;未平倉"),0)</f>
        <v/>
      </c>
      <c r="J31" s="4">
        <f>SUMIFS(交易明細!$L$2:$L$648,交易明細!$B$2:$B$648,$A31,交易明細!$J$2:$J$648,"&lt;&gt;未平倉")</f>
        <v/>
      </c>
      <c r="K31" s="5">
        <f>IFERROR(AVERAGEIFS(交易明細!$K$2:$K$648,交易明細!$B$2:$B$648,$A31,交易明細!$J$2:$J$648,"&lt;&gt;未平倉"),0)</f>
        <v/>
      </c>
      <c r="L31" s="2">
        <f>COUNTIFS(交易明細!$B$2:$B$648,$A31,交易明細!$J$2:$J$648,"未平倉")</f>
        <v/>
      </c>
    </row>
    <row r="32">
      <c r="A32" s="2" t="inlineStr">
        <is>
          <t>SUI_USDT_PERP</t>
        </is>
      </c>
      <c r="B32" s="2">
        <f>COUNTIFS(交易明細!$B$2:$B$648,$A32)</f>
        <v/>
      </c>
      <c r="C32" s="2">
        <f>COUNTIFS(交易明細!$B$2:$B$648,$A32,交易明細!$C$2:$C$648,"做多")</f>
        <v/>
      </c>
      <c r="D32" s="2">
        <f>COUNTIFS(交易明細!$B$2:$B$648,$A32,交易明細!$C$2:$C$648,"做空")</f>
        <v/>
      </c>
      <c r="E32" s="2">
        <f>F32+G32+COUNTIFS(交易明細!$B$2:$B$648,$A32,交易明細!$J$2:$J$648,"時間出場")</f>
        <v/>
      </c>
      <c r="F32" s="2">
        <f>COUNTIFS(交易明細!$B$2:$B$648,$A32,交易明細!$J$2:$J$648,"止盈")</f>
        <v/>
      </c>
      <c r="G32" s="2">
        <f>COUNTIFS(交易明細!$B$2:$B$648,$A32,交易明細!$J$2:$J$648,"止損")</f>
        <v/>
      </c>
      <c r="H32" s="4">
        <f>IFERROR(F32/E32,0)</f>
        <v/>
      </c>
      <c r="I32" s="4">
        <f>IFERROR(AVERAGEIFS(交易明細!$L$2:$L$648,交易明細!$B$2:$B$648,$A32,交易明細!$J$2:$J$648,"&lt;&gt;未平倉"),0)</f>
        <v/>
      </c>
      <c r="J32" s="4">
        <f>SUMIFS(交易明細!$L$2:$L$648,交易明細!$B$2:$B$648,$A32,交易明細!$J$2:$J$648,"&lt;&gt;未平倉")</f>
        <v/>
      </c>
      <c r="K32" s="5">
        <f>IFERROR(AVERAGEIFS(交易明細!$K$2:$K$648,交易明細!$B$2:$B$648,$A32,交易明細!$J$2:$J$648,"&lt;&gt;未平倉"),0)</f>
        <v/>
      </c>
      <c r="L32" s="2">
        <f>COUNTIFS(交易明細!$B$2:$B$648,$A32,交易明細!$J$2:$J$648,"未平倉")</f>
        <v/>
      </c>
    </row>
    <row r="33">
      <c r="A33" s="2" t="inlineStr">
        <is>
          <t>ZRO_USDT_PERP</t>
        </is>
      </c>
      <c r="B33" s="2">
        <f>COUNTIFS(交易明細!$B$2:$B$648,$A33)</f>
        <v/>
      </c>
      <c r="C33" s="2">
        <f>COUNTIFS(交易明細!$B$2:$B$648,$A33,交易明細!$C$2:$C$648,"做多")</f>
        <v/>
      </c>
      <c r="D33" s="2">
        <f>COUNTIFS(交易明細!$B$2:$B$648,$A33,交易明細!$C$2:$C$648,"做空")</f>
        <v/>
      </c>
      <c r="E33" s="2">
        <f>F33+G33+COUNTIFS(交易明細!$B$2:$B$648,$A33,交易明細!$J$2:$J$648,"時間出場")</f>
        <v/>
      </c>
      <c r="F33" s="2">
        <f>COUNTIFS(交易明細!$B$2:$B$648,$A33,交易明細!$J$2:$J$648,"止盈")</f>
        <v/>
      </c>
      <c r="G33" s="2">
        <f>COUNTIFS(交易明細!$B$2:$B$648,$A33,交易明細!$J$2:$J$648,"止損")</f>
        <v/>
      </c>
      <c r="H33" s="4">
        <f>IFERROR(F33/E33,0)</f>
        <v/>
      </c>
      <c r="I33" s="4">
        <f>IFERROR(AVERAGEIFS(交易明細!$L$2:$L$648,交易明細!$B$2:$B$648,$A33,交易明細!$J$2:$J$648,"&lt;&gt;未平倉"),0)</f>
        <v/>
      </c>
      <c r="J33" s="4">
        <f>SUMIFS(交易明細!$L$2:$L$648,交易明細!$B$2:$B$648,$A33,交易明細!$J$2:$J$648,"&lt;&gt;未平倉")</f>
        <v/>
      </c>
      <c r="K33" s="5">
        <f>IFERROR(AVERAGEIFS(交易明細!$K$2:$K$648,交易明細!$B$2:$B$648,$A33,交易明細!$J$2:$J$648,"&lt;&gt;未平倉"),0)</f>
        <v/>
      </c>
      <c r="L33" s="2">
        <f>COUNTIFS(交易明細!$B$2:$B$648,$A33,交易明細!$J$2:$J$648,"未平倉")</f>
        <v/>
      </c>
    </row>
    <row r="34">
      <c r="A34" s="2" t="inlineStr">
        <is>
          <t>AERO_USDT_PERP</t>
        </is>
      </c>
      <c r="B34" s="2">
        <f>COUNTIFS(交易明細!$B$2:$B$648,$A34)</f>
        <v/>
      </c>
      <c r="C34" s="2">
        <f>COUNTIFS(交易明細!$B$2:$B$648,$A34,交易明細!$C$2:$C$648,"做多")</f>
        <v/>
      </c>
      <c r="D34" s="2">
        <f>COUNTIFS(交易明細!$B$2:$B$648,$A34,交易明細!$C$2:$C$648,"做空")</f>
        <v/>
      </c>
      <c r="E34" s="2">
        <f>F34+G34+COUNTIFS(交易明細!$B$2:$B$648,$A34,交易明細!$J$2:$J$648,"時間出場")</f>
        <v/>
      </c>
      <c r="F34" s="2">
        <f>COUNTIFS(交易明細!$B$2:$B$648,$A34,交易明細!$J$2:$J$648,"止盈")</f>
        <v/>
      </c>
      <c r="G34" s="2">
        <f>COUNTIFS(交易明細!$B$2:$B$648,$A34,交易明細!$J$2:$J$648,"止損")</f>
        <v/>
      </c>
      <c r="H34" s="4">
        <f>IFERROR(F34/E34,0)</f>
        <v/>
      </c>
      <c r="I34" s="4">
        <f>IFERROR(AVERAGEIFS(交易明細!$L$2:$L$648,交易明細!$B$2:$B$648,$A34,交易明細!$J$2:$J$648,"&lt;&gt;未平倉"),0)</f>
        <v/>
      </c>
      <c r="J34" s="4">
        <f>SUMIFS(交易明細!$L$2:$L$648,交易明細!$B$2:$B$648,$A34,交易明細!$J$2:$J$648,"&lt;&gt;未平倉")</f>
        <v/>
      </c>
      <c r="K34" s="5">
        <f>IFERROR(AVERAGEIFS(交易明細!$K$2:$K$648,交易明細!$B$2:$B$648,$A34,交易明細!$J$2:$J$648,"&lt;&gt;未平倉"),0)</f>
        <v/>
      </c>
      <c r="L34" s="2">
        <f>COUNTIFS(交易明細!$B$2:$B$648,$A34,交易明細!$J$2:$J$648,"未平倉")</f>
        <v/>
      </c>
    </row>
    <row r="35">
      <c r="A35" s="2" t="inlineStr">
        <is>
          <t>ICP_USDT_PERP</t>
        </is>
      </c>
      <c r="B35" s="2">
        <f>COUNTIFS(交易明細!$B$2:$B$648,$A35)</f>
        <v/>
      </c>
      <c r="C35" s="2">
        <f>COUNTIFS(交易明細!$B$2:$B$648,$A35,交易明細!$C$2:$C$648,"做多")</f>
        <v/>
      </c>
      <c r="D35" s="2">
        <f>COUNTIFS(交易明細!$B$2:$B$648,$A35,交易明細!$C$2:$C$648,"做空")</f>
        <v/>
      </c>
      <c r="E35" s="2">
        <f>F35+G35+COUNTIFS(交易明細!$B$2:$B$648,$A35,交易明細!$J$2:$J$648,"時間出場")</f>
        <v/>
      </c>
      <c r="F35" s="2">
        <f>COUNTIFS(交易明細!$B$2:$B$648,$A35,交易明細!$J$2:$J$648,"止盈")</f>
        <v/>
      </c>
      <c r="G35" s="2">
        <f>COUNTIFS(交易明細!$B$2:$B$648,$A35,交易明細!$J$2:$J$648,"止損")</f>
        <v/>
      </c>
      <c r="H35" s="4">
        <f>IFERROR(F35/E35,0)</f>
        <v/>
      </c>
      <c r="I35" s="4">
        <f>IFERROR(AVERAGEIFS(交易明細!$L$2:$L$648,交易明細!$B$2:$B$648,$A35,交易明細!$J$2:$J$648,"&lt;&gt;未平倉"),0)</f>
        <v/>
      </c>
      <c r="J35" s="4">
        <f>SUMIFS(交易明細!$L$2:$L$648,交易明細!$B$2:$B$648,$A35,交易明細!$J$2:$J$648,"&lt;&gt;未平倉")</f>
        <v/>
      </c>
      <c r="K35" s="5">
        <f>IFERROR(AVERAGEIFS(交易明細!$K$2:$K$648,交易明細!$B$2:$B$648,$A35,交易明細!$J$2:$J$648,"&lt;&gt;未平倉"),0)</f>
        <v/>
      </c>
      <c r="L35" s="2">
        <f>COUNTIFS(交易明細!$B$2:$B$648,$A35,交易明細!$J$2:$J$648,"未平倉")</f>
        <v/>
      </c>
    </row>
    <row r="36">
      <c r="A36" s="2" t="inlineStr">
        <is>
          <t>PHA_USDT_PERP</t>
        </is>
      </c>
      <c r="B36" s="2">
        <f>COUNTIFS(交易明細!$B$2:$B$648,$A36)</f>
        <v/>
      </c>
      <c r="C36" s="2">
        <f>COUNTIFS(交易明細!$B$2:$B$648,$A36,交易明細!$C$2:$C$648,"做多")</f>
        <v/>
      </c>
      <c r="D36" s="2">
        <f>COUNTIFS(交易明細!$B$2:$B$648,$A36,交易明細!$C$2:$C$648,"做空")</f>
        <v/>
      </c>
      <c r="E36" s="2">
        <f>F36+G36+COUNTIFS(交易明細!$B$2:$B$648,$A36,交易明細!$J$2:$J$648,"時間出場")</f>
        <v/>
      </c>
      <c r="F36" s="2">
        <f>COUNTIFS(交易明細!$B$2:$B$648,$A36,交易明細!$J$2:$J$648,"止盈")</f>
        <v/>
      </c>
      <c r="G36" s="2">
        <f>COUNTIFS(交易明細!$B$2:$B$648,$A36,交易明細!$J$2:$J$648,"止損")</f>
        <v/>
      </c>
      <c r="H36" s="4">
        <f>IFERROR(F36/E36,0)</f>
        <v/>
      </c>
      <c r="I36" s="4">
        <f>IFERROR(AVERAGEIFS(交易明細!$L$2:$L$648,交易明細!$B$2:$B$648,$A36,交易明細!$J$2:$J$648,"&lt;&gt;未平倉"),0)</f>
        <v/>
      </c>
      <c r="J36" s="4">
        <f>SUMIFS(交易明細!$L$2:$L$648,交易明細!$B$2:$B$648,$A36,交易明細!$J$2:$J$648,"&lt;&gt;未平倉")</f>
        <v/>
      </c>
      <c r="K36" s="5">
        <f>IFERROR(AVERAGEIFS(交易明細!$K$2:$K$648,交易明細!$B$2:$B$648,$A36,交易明細!$J$2:$J$648,"&lt;&gt;未平倉"),0)</f>
        <v/>
      </c>
      <c r="L36" s="2">
        <f>COUNTIFS(交易明細!$B$2:$B$648,$A36,交易明細!$J$2:$J$648,"未平倉")</f>
        <v/>
      </c>
    </row>
    <row r="37">
      <c r="A37" s="2" t="inlineStr">
        <is>
          <t>SKR_USDT_PERP</t>
        </is>
      </c>
      <c r="B37" s="2">
        <f>COUNTIFS(交易明細!$B$2:$B$648,$A37)</f>
        <v/>
      </c>
      <c r="C37" s="2">
        <f>COUNTIFS(交易明細!$B$2:$B$648,$A37,交易明細!$C$2:$C$648,"做多")</f>
        <v/>
      </c>
      <c r="D37" s="2">
        <f>COUNTIFS(交易明細!$B$2:$B$648,$A37,交易明細!$C$2:$C$648,"做空")</f>
        <v/>
      </c>
      <c r="E37" s="2">
        <f>F37+G37+COUNTIFS(交易明細!$B$2:$B$648,$A37,交易明細!$J$2:$J$648,"時間出場")</f>
        <v/>
      </c>
      <c r="F37" s="2">
        <f>COUNTIFS(交易明細!$B$2:$B$648,$A37,交易明細!$J$2:$J$648,"止盈")</f>
        <v/>
      </c>
      <c r="G37" s="2">
        <f>COUNTIFS(交易明細!$B$2:$B$648,$A37,交易明細!$J$2:$J$648,"止損")</f>
        <v/>
      </c>
      <c r="H37" s="4">
        <f>IFERROR(F37/E37,0)</f>
        <v/>
      </c>
      <c r="I37" s="4">
        <f>IFERROR(AVERAGEIFS(交易明細!$L$2:$L$648,交易明細!$B$2:$B$648,$A37,交易明細!$J$2:$J$648,"&lt;&gt;未平倉"),0)</f>
        <v/>
      </c>
      <c r="J37" s="4">
        <f>SUMIFS(交易明細!$L$2:$L$648,交易明細!$B$2:$B$648,$A37,交易明細!$J$2:$J$648,"&lt;&gt;未平倉")</f>
        <v/>
      </c>
      <c r="K37" s="5">
        <f>IFERROR(AVERAGEIFS(交易明細!$K$2:$K$648,交易明細!$B$2:$B$648,$A37,交易明細!$J$2:$J$648,"&lt;&gt;未平倉"),0)</f>
        <v/>
      </c>
      <c r="L37" s="2">
        <f>COUNTIFS(交易明細!$B$2:$B$648,$A37,交易明細!$J$2:$J$648,"未平倉")</f>
        <v/>
      </c>
    </row>
    <row r="38">
      <c r="A38" s="2" t="inlineStr">
        <is>
          <t>IOST_USDT_PERP</t>
        </is>
      </c>
      <c r="B38" s="2">
        <f>COUNTIFS(交易明細!$B$2:$B$648,$A38)</f>
        <v/>
      </c>
      <c r="C38" s="2">
        <f>COUNTIFS(交易明細!$B$2:$B$648,$A38,交易明細!$C$2:$C$648,"做多")</f>
        <v/>
      </c>
      <c r="D38" s="2">
        <f>COUNTIFS(交易明細!$B$2:$B$648,$A38,交易明細!$C$2:$C$648,"做空")</f>
        <v/>
      </c>
      <c r="E38" s="2">
        <f>F38+G38+COUNTIFS(交易明細!$B$2:$B$648,$A38,交易明細!$J$2:$J$648,"時間出場")</f>
        <v/>
      </c>
      <c r="F38" s="2">
        <f>COUNTIFS(交易明細!$B$2:$B$648,$A38,交易明細!$J$2:$J$648,"止盈")</f>
        <v/>
      </c>
      <c r="G38" s="2">
        <f>COUNTIFS(交易明細!$B$2:$B$648,$A38,交易明細!$J$2:$J$648,"止損")</f>
        <v/>
      </c>
      <c r="H38" s="4">
        <f>IFERROR(F38/E38,0)</f>
        <v/>
      </c>
      <c r="I38" s="4">
        <f>IFERROR(AVERAGEIFS(交易明細!$L$2:$L$648,交易明細!$B$2:$B$648,$A38,交易明細!$J$2:$J$648,"&lt;&gt;未平倉"),0)</f>
        <v/>
      </c>
      <c r="J38" s="4">
        <f>SUMIFS(交易明細!$L$2:$L$648,交易明細!$B$2:$B$648,$A38,交易明細!$J$2:$J$648,"&lt;&gt;未平倉")</f>
        <v/>
      </c>
      <c r="K38" s="5">
        <f>IFERROR(AVERAGEIFS(交易明細!$K$2:$K$648,交易明細!$B$2:$B$648,$A38,交易明細!$J$2:$J$648,"&lt;&gt;未平倉"),0)</f>
        <v/>
      </c>
      <c r="L38" s="2">
        <f>COUNTIFS(交易明細!$B$2:$B$648,$A38,交易明細!$J$2:$J$648,"未平倉")</f>
        <v/>
      </c>
    </row>
    <row r="39">
      <c r="A39" s="2" t="inlineStr">
        <is>
          <t>LAB_USDT_PERP</t>
        </is>
      </c>
      <c r="B39" s="2">
        <f>COUNTIFS(交易明細!$B$2:$B$648,$A39)</f>
        <v/>
      </c>
      <c r="C39" s="2">
        <f>COUNTIFS(交易明細!$B$2:$B$648,$A39,交易明細!$C$2:$C$648,"做多")</f>
        <v/>
      </c>
      <c r="D39" s="2">
        <f>COUNTIFS(交易明細!$B$2:$B$648,$A39,交易明細!$C$2:$C$648,"做空")</f>
        <v/>
      </c>
      <c r="E39" s="2">
        <f>F39+G39+COUNTIFS(交易明細!$B$2:$B$648,$A39,交易明細!$J$2:$J$648,"時間出場")</f>
        <v/>
      </c>
      <c r="F39" s="2">
        <f>COUNTIFS(交易明細!$B$2:$B$648,$A39,交易明細!$J$2:$J$648,"止盈")</f>
        <v/>
      </c>
      <c r="G39" s="2">
        <f>COUNTIFS(交易明細!$B$2:$B$648,$A39,交易明細!$J$2:$J$648,"止損")</f>
        <v/>
      </c>
      <c r="H39" s="4">
        <f>IFERROR(F39/E39,0)</f>
        <v/>
      </c>
      <c r="I39" s="4">
        <f>IFERROR(AVERAGEIFS(交易明細!$L$2:$L$648,交易明細!$B$2:$B$648,$A39,交易明細!$J$2:$J$648,"&lt;&gt;未平倉"),0)</f>
        <v/>
      </c>
      <c r="J39" s="4">
        <f>SUMIFS(交易明細!$L$2:$L$648,交易明細!$B$2:$B$648,$A39,交易明細!$J$2:$J$648,"&lt;&gt;未平倉")</f>
        <v/>
      </c>
      <c r="K39" s="5">
        <f>IFERROR(AVERAGEIFS(交易明細!$K$2:$K$648,交易明細!$B$2:$B$648,$A39,交易明細!$J$2:$J$648,"&lt;&gt;未平倉"),0)</f>
        <v/>
      </c>
      <c r="L39" s="2">
        <f>COUNTIFS(交易明細!$B$2:$B$648,$A39,交易明細!$J$2:$J$648,"未平倉")</f>
        <v/>
      </c>
    </row>
    <row r="40">
      <c r="A40" s="2" t="inlineStr">
        <is>
          <t>AIN_USDT_PERP</t>
        </is>
      </c>
      <c r="B40" s="2">
        <f>COUNTIFS(交易明細!$B$2:$B$648,$A40)</f>
        <v/>
      </c>
      <c r="C40" s="2">
        <f>COUNTIFS(交易明細!$B$2:$B$648,$A40,交易明細!$C$2:$C$648,"做多")</f>
        <v/>
      </c>
      <c r="D40" s="2">
        <f>COUNTIFS(交易明細!$B$2:$B$648,$A40,交易明細!$C$2:$C$648,"做空")</f>
        <v/>
      </c>
      <c r="E40" s="2">
        <f>F40+G40+COUNTIFS(交易明細!$B$2:$B$648,$A40,交易明細!$J$2:$J$648,"時間出場")</f>
        <v/>
      </c>
      <c r="F40" s="2">
        <f>COUNTIFS(交易明細!$B$2:$B$648,$A40,交易明細!$J$2:$J$648,"止盈")</f>
        <v/>
      </c>
      <c r="G40" s="2">
        <f>COUNTIFS(交易明細!$B$2:$B$648,$A40,交易明細!$J$2:$J$648,"止損")</f>
        <v/>
      </c>
      <c r="H40" s="4">
        <f>IFERROR(F40/E40,0)</f>
        <v/>
      </c>
      <c r="I40" s="4">
        <f>IFERROR(AVERAGEIFS(交易明細!$L$2:$L$648,交易明細!$B$2:$B$648,$A40,交易明細!$J$2:$J$648,"&lt;&gt;未平倉"),0)</f>
        <v/>
      </c>
      <c r="J40" s="4">
        <f>SUMIFS(交易明細!$L$2:$L$648,交易明細!$B$2:$B$648,$A40,交易明細!$J$2:$J$648,"&lt;&gt;未平倉")</f>
        <v/>
      </c>
      <c r="K40" s="5">
        <f>IFERROR(AVERAGEIFS(交易明細!$K$2:$K$648,交易明細!$B$2:$B$648,$A40,交易明細!$J$2:$J$648,"&lt;&gt;未平倉"),0)</f>
        <v/>
      </c>
      <c r="L40" s="2">
        <f>COUNTIFS(交易明細!$B$2:$B$648,$A40,交易明細!$J$2:$J$648,"未平倉")</f>
        <v/>
      </c>
    </row>
    <row r="41">
      <c r="A41" s="2" t="inlineStr">
        <is>
          <t>NIL_USDT_PERP</t>
        </is>
      </c>
      <c r="B41" s="2">
        <f>COUNTIFS(交易明細!$B$2:$B$648,$A41)</f>
        <v/>
      </c>
      <c r="C41" s="2">
        <f>COUNTIFS(交易明細!$B$2:$B$648,$A41,交易明細!$C$2:$C$648,"做多")</f>
        <v/>
      </c>
      <c r="D41" s="2">
        <f>COUNTIFS(交易明細!$B$2:$B$648,$A41,交易明細!$C$2:$C$648,"做空")</f>
        <v/>
      </c>
      <c r="E41" s="2">
        <f>F41+G41+COUNTIFS(交易明細!$B$2:$B$648,$A41,交易明細!$J$2:$J$648,"時間出場")</f>
        <v/>
      </c>
      <c r="F41" s="2">
        <f>COUNTIFS(交易明細!$B$2:$B$648,$A41,交易明細!$J$2:$J$648,"止盈")</f>
        <v/>
      </c>
      <c r="G41" s="2">
        <f>COUNTIFS(交易明細!$B$2:$B$648,$A41,交易明細!$J$2:$J$648,"止損")</f>
        <v/>
      </c>
      <c r="H41" s="4">
        <f>IFERROR(F41/E41,0)</f>
        <v/>
      </c>
      <c r="I41" s="4">
        <f>IFERROR(AVERAGEIFS(交易明細!$L$2:$L$648,交易明細!$B$2:$B$648,$A41,交易明細!$J$2:$J$648,"&lt;&gt;未平倉"),0)</f>
        <v/>
      </c>
      <c r="J41" s="4">
        <f>SUMIFS(交易明細!$L$2:$L$648,交易明細!$B$2:$B$648,$A41,交易明細!$J$2:$J$648,"&lt;&gt;未平倉")</f>
        <v/>
      </c>
      <c r="K41" s="5">
        <f>IFERROR(AVERAGEIFS(交易明細!$K$2:$K$648,交易明細!$B$2:$B$648,$A41,交易明細!$J$2:$J$648,"&lt;&gt;未平倉"),0)</f>
        <v/>
      </c>
      <c r="L41" s="2">
        <f>COUNTIFS(交易明細!$B$2:$B$648,$A41,交易明細!$J$2:$J$648,"未平倉")</f>
        <v/>
      </c>
    </row>
    <row r="42">
      <c r="A42" s="2" t="inlineStr">
        <is>
          <t>XMR_USDT_PERP</t>
        </is>
      </c>
      <c r="B42" s="2">
        <f>COUNTIFS(交易明細!$B$2:$B$648,$A42)</f>
        <v/>
      </c>
      <c r="C42" s="2">
        <f>COUNTIFS(交易明細!$B$2:$B$648,$A42,交易明細!$C$2:$C$648,"做多")</f>
        <v/>
      </c>
      <c r="D42" s="2">
        <f>COUNTIFS(交易明細!$B$2:$B$648,$A42,交易明細!$C$2:$C$648,"做空")</f>
        <v/>
      </c>
      <c r="E42" s="2">
        <f>F42+G42+COUNTIFS(交易明細!$B$2:$B$648,$A42,交易明細!$J$2:$J$648,"時間出場")</f>
        <v/>
      </c>
      <c r="F42" s="2">
        <f>COUNTIFS(交易明細!$B$2:$B$648,$A42,交易明細!$J$2:$J$648,"止盈")</f>
        <v/>
      </c>
      <c r="G42" s="2">
        <f>COUNTIFS(交易明細!$B$2:$B$648,$A42,交易明細!$J$2:$J$648,"止損")</f>
        <v/>
      </c>
      <c r="H42" s="4">
        <f>IFERROR(F42/E42,0)</f>
        <v/>
      </c>
      <c r="I42" s="4">
        <f>IFERROR(AVERAGEIFS(交易明細!$L$2:$L$648,交易明細!$B$2:$B$648,$A42,交易明細!$J$2:$J$648,"&lt;&gt;未平倉"),0)</f>
        <v/>
      </c>
      <c r="J42" s="4">
        <f>SUMIFS(交易明細!$L$2:$L$648,交易明細!$B$2:$B$648,$A42,交易明細!$J$2:$J$648,"&lt;&gt;未平倉")</f>
        <v/>
      </c>
      <c r="K42" s="5">
        <f>IFERROR(AVERAGEIFS(交易明細!$K$2:$K$648,交易明細!$B$2:$B$648,$A42,交易明細!$J$2:$J$648,"&lt;&gt;未平倉"),0)</f>
        <v/>
      </c>
      <c r="L42" s="2">
        <f>COUNTIFS(交易明細!$B$2:$B$648,$A42,交易明細!$J$2:$J$648,"未平倉")</f>
        <v/>
      </c>
    </row>
    <row r="43">
      <c r="A43" s="2" t="inlineStr">
        <is>
          <t>CRV_USDT_PERP</t>
        </is>
      </c>
      <c r="B43" s="2">
        <f>COUNTIFS(交易明細!$B$2:$B$648,$A43)</f>
        <v/>
      </c>
      <c r="C43" s="2">
        <f>COUNTIFS(交易明細!$B$2:$B$648,$A43,交易明細!$C$2:$C$648,"做多")</f>
        <v/>
      </c>
      <c r="D43" s="2">
        <f>COUNTIFS(交易明細!$B$2:$B$648,$A43,交易明細!$C$2:$C$648,"做空")</f>
        <v/>
      </c>
      <c r="E43" s="2">
        <f>F43+G43+COUNTIFS(交易明細!$B$2:$B$648,$A43,交易明細!$J$2:$J$648,"時間出場")</f>
        <v/>
      </c>
      <c r="F43" s="2">
        <f>COUNTIFS(交易明細!$B$2:$B$648,$A43,交易明細!$J$2:$J$648,"止盈")</f>
        <v/>
      </c>
      <c r="G43" s="2">
        <f>COUNTIFS(交易明細!$B$2:$B$648,$A43,交易明細!$J$2:$J$648,"止損")</f>
        <v/>
      </c>
      <c r="H43" s="4">
        <f>IFERROR(F43/E43,0)</f>
        <v/>
      </c>
      <c r="I43" s="4">
        <f>IFERROR(AVERAGEIFS(交易明細!$L$2:$L$648,交易明細!$B$2:$B$648,$A43,交易明細!$J$2:$J$648,"&lt;&gt;未平倉"),0)</f>
        <v/>
      </c>
      <c r="J43" s="4">
        <f>SUMIFS(交易明細!$L$2:$L$648,交易明細!$B$2:$B$648,$A43,交易明細!$J$2:$J$648,"&lt;&gt;未平倉")</f>
        <v/>
      </c>
      <c r="K43" s="5">
        <f>IFERROR(AVERAGEIFS(交易明細!$K$2:$K$648,交易明細!$B$2:$B$648,$A43,交易明細!$J$2:$J$648,"&lt;&gt;未平倉"),0)</f>
        <v/>
      </c>
      <c r="L43" s="2">
        <f>COUNTIFS(交易明細!$B$2:$B$648,$A43,交易明細!$J$2:$J$648,"未平倉")</f>
        <v/>
      </c>
    </row>
    <row r="44">
      <c r="A44" s="2" t="inlineStr">
        <is>
          <t>BTR_USDT_PERP</t>
        </is>
      </c>
      <c r="B44" s="2">
        <f>COUNTIFS(交易明細!$B$2:$B$648,$A44)</f>
        <v/>
      </c>
      <c r="C44" s="2">
        <f>COUNTIFS(交易明細!$B$2:$B$648,$A44,交易明細!$C$2:$C$648,"做多")</f>
        <v/>
      </c>
      <c r="D44" s="2">
        <f>COUNTIFS(交易明細!$B$2:$B$648,$A44,交易明細!$C$2:$C$648,"做空")</f>
        <v/>
      </c>
      <c r="E44" s="2">
        <f>F44+G44+COUNTIFS(交易明細!$B$2:$B$648,$A44,交易明細!$J$2:$J$648,"時間出場")</f>
        <v/>
      </c>
      <c r="F44" s="2">
        <f>COUNTIFS(交易明細!$B$2:$B$648,$A44,交易明細!$J$2:$J$648,"止盈")</f>
        <v/>
      </c>
      <c r="G44" s="2">
        <f>COUNTIFS(交易明細!$B$2:$B$648,$A44,交易明細!$J$2:$J$648,"止損")</f>
        <v/>
      </c>
      <c r="H44" s="4">
        <f>IFERROR(F44/E44,0)</f>
        <v/>
      </c>
      <c r="I44" s="4">
        <f>IFERROR(AVERAGEIFS(交易明細!$L$2:$L$648,交易明細!$B$2:$B$648,$A44,交易明細!$J$2:$J$648,"&lt;&gt;未平倉"),0)</f>
        <v/>
      </c>
      <c r="J44" s="4">
        <f>SUMIFS(交易明細!$L$2:$L$648,交易明細!$B$2:$B$648,$A44,交易明細!$J$2:$J$648,"&lt;&gt;未平倉")</f>
        <v/>
      </c>
      <c r="K44" s="5">
        <f>IFERROR(AVERAGEIFS(交易明細!$K$2:$K$648,交易明細!$B$2:$B$648,$A44,交易明細!$J$2:$J$648,"&lt;&gt;未平倉"),0)</f>
        <v/>
      </c>
      <c r="L44" s="2">
        <f>COUNTIFS(交易明細!$B$2:$B$648,$A44,交易明細!$J$2:$J$648,"未平倉")</f>
        <v/>
      </c>
    </row>
    <row r="45">
      <c r="A45" s="2" t="inlineStr">
        <is>
          <t>TAO_USDT_PERP</t>
        </is>
      </c>
      <c r="B45" s="2">
        <f>COUNTIFS(交易明細!$B$2:$B$648,$A45)</f>
        <v/>
      </c>
      <c r="C45" s="2">
        <f>COUNTIFS(交易明細!$B$2:$B$648,$A45,交易明細!$C$2:$C$648,"做多")</f>
        <v/>
      </c>
      <c r="D45" s="2">
        <f>COUNTIFS(交易明細!$B$2:$B$648,$A45,交易明細!$C$2:$C$648,"做空")</f>
        <v/>
      </c>
      <c r="E45" s="2">
        <f>F45+G45+COUNTIFS(交易明細!$B$2:$B$648,$A45,交易明細!$J$2:$J$648,"時間出場")</f>
        <v/>
      </c>
      <c r="F45" s="2">
        <f>COUNTIFS(交易明細!$B$2:$B$648,$A45,交易明細!$J$2:$J$648,"止盈")</f>
        <v/>
      </c>
      <c r="G45" s="2">
        <f>COUNTIFS(交易明細!$B$2:$B$648,$A45,交易明細!$J$2:$J$648,"止損")</f>
        <v/>
      </c>
      <c r="H45" s="4">
        <f>IFERROR(F45/E45,0)</f>
        <v/>
      </c>
      <c r="I45" s="4">
        <f>IFERROR(AVERAGEIFS(交易明細!$L$2:$L$648,交易明細!$B$2:$B$648,$A45,交易明細!$J$2:$J$648,"&lt;&gt;未平倉"),0)</f>
        <v/>
      </c>
      <c r="J45" s="4">
        <f>SUMIFS(交易明細!$L$2:$L$648,交易明細!$B$2:$B$648,$A45,交易明細!$J$2:$J$648,"&lt;&gt;未平倉")</f>
        <v/>
      </c>
      <c r="K45" s="5">
        <f>IFERROR(AVERAGEIFS(交易明細!$K$2:$K$648,交易明細!$B$2:$B$648,$A45,交易明細!$J$2:$J$648,"&lt;&gt;未平倉"),0)</f>
        <v/>
      </c>
      <c r="L45" s="2">
        <f>COUNTIFS(交易明細!$B$2:$B$648,$A45,交易明細!$J$2:$J$648,"未平倉")</f>
        <v/>
      </c>
    </row>
    <row r="46">
      <c r="A46" s="2" t="inlineStr">
        <is>
          <t>DOT_USDT_PERP</t>
        </is>
      </c>
      <c r="B46" s="2">
        <f>COUNTIFS(交易明細!$B$2:$B$648,$A46)</f>
        <v/>
      </c>
      <c r="C46" s="2">
        <f>COUNTIFS(交易明細!$B$2:$B$648,$A46,交易明細!$C$2:$C$648,"做多")</f>
        <v/>
      </c>
      <c r="D46" s="2">
        <f>COUNTIFS(交易明細!$B$2:$B$648,$A46,交易明細!$C$2:$C$648,"做空")</f>
        <v/>
      </c>
      <c r="E46" s="2">
        <f>F46+G46+COUNTIFS(交易明細!$B$2:$B$648,$A46,交易明細!$J$2:$J$648,"時間出場")</f>
        <v/>
      </c>
      <c r="F46" s="2">
        <f>COUNTIFS(交易明細!$B$2:$B$648,$A46,交易明細!$J$2:$J$648,"止盈")</f>
        <v/>
      </c>
      <c r="G46" s="2">
        <f>COUNTIFS(交易明細!$B$2:$B$648,$A46,交易明細!$J$2:$J$648,"止損")</f>
        <v/>
      </c>
      <c r="H46" s="4">
        <f>IFERROR(F46/E46,0)</f>
        <v/>
      </c>
      <c r="I46" s="4">
        <f>IFERROR(AVERAGEIFS(交易明細!$L$2:$L$648,交易明細!$B$2:$B$648,$A46,交易明細!$J$2:$J$648,"&lt;&gt;未平倉"),0)</f>
        <v/>
      </c>
      <c r="J46" s="4">
        <f>SUMIFS(交易明細!$L$2:$L$648,交易明細!$B$2:$B$648,$A46,交易明細!$J$2:$J$648,"&lt;&gt;未平倉")</f>
        <v/>
      </c>
      <c r="K46" s="5">
        <f>IFERROR(AVERAGEIFS(交易明細!$K$2:$K$648,交易明細!$B$2:$B$648,$A46,交易明細!$J$2:$J$648,"&lt;&gt;未平倉"),0)</f>
        <v/>
      </c>
      <c r="L46" s="2">
        <f>COUNTIFS(交易明細!$B$2:$B$648,$A46,交易明細!$J$2:$J$648,"未平倉")</f>
        <v/>
      </c>
    </row>
    <row r="47">
      <c r="A47" s="2" t="inlineStr">
        <is>
          <t>MET_USDT_PERP</t>
        </is>
      </c>
      <c r="B47" s="2">
        <f>COUNTIFS(交易明細!$B$2:$B$648,$A47)</f>
        <v/>
      </c>
      <c r="C47" s="2">
        <f>COUNTIFS(交易明細!$B$2:$B$648,$A47,交易明細!$C$2:$C$648,"做多")</f>
        <v/>
      </c>
      <c r="D47" s="2">
        <f>COUNTIFS(交易明細!$B$2:$B$648,$A47,交易明細!$C$2:$C$648,"做空")</f>
        <v/>
      </c>
      <c r="E47" s="2">
        <f>F47+G47+COUNTIFS(交易明細!$B$2:$B$648,$A47,交易明細!$J$2:$J$648,"時間出場")</f>
        <v/>
      </c>
      <c r="F47" s="2">
        <f>COUNTIFS(交易明細!$B$2:$B$648,$A47,交易明細!$J$2:$J$648,"止盈")</f>
        <v/>
      </c>
      <c r="G47" s="2">
        <f>COUNTIFS(交易明細!$B$2:$B$648,$A47,交易明細!$J$2:$J$648,"止損")</f>
        <v/>
      </c>
      <c r="H47" s="4">
        <f>IFERROR(F47/E47,0)</f>
        <v/>
      </c>
      <c r="I47" s="4">
        <f>IFERROR(AVERAGEIFS(交易明細!$L$2:$L$648,交易明細!$B$2:$B$648,$A47,交易明細!$J$2:$J$648,"&lt;&gt;未平倉"),0)</f>
        <v/>
      </c>
      <c r="J47" s="4">
        <f>SUMIFS(交易明細!$L$2:$L$648,交易明細!$B$2:$B$648,$A47,交易明細!$J$2:$J$648,"&lt;&gt;未平倉")</f>
        <v/>
      </c>
      <c r="K47" s="5">
        <f>IFERROR(AVERAGEIFS(交易明細!$K$2:$K$648,交易明細!$B$2:$B$648,$A47,交易明細!$J$2:$J$648,"&lt;&gt;未平倉"),0)</f>
        <v/>
      </c>
      <c r="L47" s="2">
        <f>COUNTIFS(交易明細!$B$2:$B$648,$A47,交易明細!$J$2:$J$648,"未平倉")</f>
        <v/>
      </c>
    </row>
    <row r="48">
      <c r="A48" s="2" t="inlineStr">
        <is>
          <t>FIL_USDT_PERP</t>
        </is>
      </c>
      <c r="B48" s="2">
        <f>COUNTIFS(交易明細!$B$2:$B$648,$A48)</f>
        <v/>
      </c>
      <c r="C48" s="2">
        <f>COUNTIFS(交易明細!$B$2:$B$648,$A48,交易明細!$C$2:$C$648,"做多")</f>
        <v/>
      </c>
      <c r="D48" s="2">
        <f>COUNTIFS(交易明細!$B$2:$B$648,$A48,交易明細!$C$2:$C$648,"做空")</f>
        <v/>
      </c>
      <c r="E48" s="2">
        <f>F48+G48+COUNTIFS(交易明細!$B$2:$B$648,$A48,交易明細!$J$2:$J$648,"時間出場")</f>
        <v/>
      </c>
      <c r="F48" s="2">
        <f>COUNTIFS(交易明細!$B$2:$B$648,$A48,交易明細!$J$2:$J$648,"止盈")</f>
        <v/>
      </c>
      <c r="G48" s="2">
        <f>COUNTIFS(交易明細!$B$2:$B$648,$A48,交易明細!$J$2:$J$648,"止損")</f>
        <v/>
      </c>
      <c r="H48" s="4">
        <f>IFERROR(F48/E48,0)</f>
        <v/>
      </c>
      <c r="I48" s="4">
        <f>IFERROR(AVERAGEIFS(交易明細!$L$2:$L$648,交易明細!$B$2:$B$648,$A48,交易明細!$J$2:$J$648,"&lt;&gt;未平倉"),0)</f>
        <v/>
      </c>
      <c r="J48" s="4">
        <f>SUMIFS(交易明細!$L$2:$L$648,交易明細!$B$2:$B$648,$A48,交易明細!$J$2:$J$648,"&lt;&gt;未平倉")</f>
        <v/>
      </c>
      <c r="K48" s="5">
        <f>IFERROR(AVERAGEIFS(交易明細!$K$2:$K$648,交易明細!$B$2:$B$648,$A48,交易明細!$J$2:$J$648,"&lt;&gt;未平倉"),0)</f>
        <v/>
      </c>
      <c r="L48" s="2">
        <f>COUNTIFS(交易明細!$B$2:$B$648,$A48,交易明細!$J$2:$J$648,"未平倉")</f>
        <v/>
      </c>
    </row>
    <row r="49">
      <c r="A49" s="2" t="inlineStr">
        <is>
          <t>GENIUS_USDT_PERP</t>
        </is>
      </c>
      <c r="B49" s="2">
        <f>COUNTIFS(交易明細!$B$2:$B$648,$A49)</f>
        <v/>
      </c>
      <c r="C49" s="2">
        <f>COUNTIFS(交易明細!$B$2:$B$648,$A49,交易明細!$C$2:$C$648,"做多")</f>
        <v/>
      </c>
      <c r="D49" s="2">
        <f>COUNTIFS(交易明細!$B$2:$B$648,$A49,交易明細!$C$2:$C$648,"做空")</f>
        <v/>
      </c>
      <c r="E49" s="2">
        <f>F49+G49+COUNTIFS(交易明細!$B$2:$B$648,$A49,交易明細!$J$2:$J$648,"時間出場")</f>
        <v/>
      </c>
      <c r="F49" s="2">
        <f>COUNTIFS(交易明細!$B$2:$B$648,$A49,交易明細!$J$2:$J$648,"止盈")</f>
        <v/>
      </c>
      <c r="G49" s="2">
        <f>COUNTIFS(交易明細!$B$2:$B$648,$A49,交易明細!$J$2:$J$648,"止損")</f>
        <v/>
      </c>
      <c r="H49" s="4">
        <f>IFERROR(F49/E49,0)</f>
        <v/>
      </c>
      <c r="I49" s="4">
        <f>IFERROR(AVERAGEIFS(交易明細!$L$2:$L$648,交易明細!$B$2:$B$648,$A49,交易明細!$J$2:$J$648,"&lt;&gt;未平倉"),0)</f>
        <v/>
      </c>
      <c r="J49" s="4">
        <f>SUMIFS(交易明細!$L$2:$L$648,交易明細!$B$2:$B$648,$A49,交易明細!$J$2:$J$648,"&lt;&gt;未平倉")</f>
        <v/>
      </c>
      <c r="K49" s="5">
        <f>IFERROR(AVERAGEIFS(交易明細!$K$2:$K$648,交易明細!$B$2:$B$648,$A49,交易明細!$J$2:$J$648,"&lt;&gt;未平倉"),0)</f>
        <v/>
      </c>
      <c r="L49" s="2">
        <f>COUNTIFS(交易明細!$B$2:$B$648,$A49,交易明細!$J$2:$J$648,"未平倉")</f>
        <v/>
      </c>
    </row>
    <row r="50">
      <c r="A50" s="2" t="inlineStr">
        <is>
          <t>PEPE_USDT_PERP</t>
        </is>
      </c>
      <c r="B50" s="2">
        <f>COUNTIFS(交易明細!$B$2:$B$648,$A50)</f>
        <v/>
      </c>
      <c r="C50" s="2">
        <f>COUNTIFS(交易明細!$B$2:$B$648,$A50,交易明細!$C$2:$C$648,"做多")</f>
        <v/>
      </c>
      <c r="D50" s="2">
        <f>COUNTIFS(交易明細!$B$2:$B$648,$A50,交易明細!$C$2:$C$648,"做空")</f>
        <v/>
      </c>
      <c r="E50" s="2">
        <f>F50+G50+COUNTIFS(交易明細!$B$2:$B$648,$A50,交易明細!$J$2:$J$648,"時間出場")</f>
        <v/>
      </c>
      <c r="F50" s="2">
        <f>COUNTIFS(交易明細!$B$2:$B$648,$A50,交易明細!$J$2:$J$648,"止盈")</f>
        <v/>
      </c>
      <c r="G50" s="2">
        <f>COUNTIFS(交易明細!$B$2:$B$648,$A50,交易明細!$J$2:$J$648,"止損")</f>
        <v/>
      </c>
      <c r="H50" s="4">
        <f>IFERROR(F50/E50,0)</f>
        <v/>
      </c>
      <c r="I50" s="4">
        <f>IFERROR(AVERAGEIFS(交易明細!$L$2:$L$648,交易明細!$B$2:$B$648,$A50,交易明細!$J$2:$J$648,"&lt;&gt;未平倉"),0)</f>
        <v/>
      </c>
      <c r="J50" s="4">
        <f>SUMIFS(交易明細!$L$2:$L$648,交易明細!$B$2:$B$648,$A50,交易明細!$J$2:$J$648,"&lt;&gt;未平倉")</f>
        <v/>
      </c>
      <c r="K50" s="5">
        <f>IFERROR(AVERAGEIFS(交易明細!$K$2:$K$648,交易明細!$B$2:$B$648,$A50,交易明細!$J$2:$J$648,"&lt;&gt;未平倉"),0)</f>
        <v/>
      </c>
      <c r="L50" s="2">
        <f>COUNTIFS(交易明細!$B$2:$B$648,$A50,交易明細!$J$2:$J$648,"未平倉")</f>
        <v/>
      </c>
    </row>
    <row r="51">
      <c r="A51" s="2" t="inlineStr">
        <is>
          <t>AVAX_USDT_PERP</t>
        </is>
      </c>
      <c r="B51" s="2">
        <f>COUNTIFS(交易明細!$B$2:$B$648,$A51)</f>
        <v/>
      </c>
      <c r="C51" s="2">
        <f>COUNTIFS(交易明細!$B$2:$B$648,$A51,交易明細!$C$2:$C$648,"做多")</f>
        <v/>
      </c>
      <c r="D51" s="2">
        <f>COUNTIFS(交易明細!$B$2:$B$648,$A51,交易明細!$C$2:$C$648,"做空")</f>
        <v/>
      </c>
      <c r="E51" s="2">
        <f>F51+G51+COUNTIFS(交易明細!$B$2:$B$648,$A51,交易明細!$J$2:$J$648,"時間出場")</f>
        <v/>
      </c>
      <c r="F51" s="2">
        <f>COUNTIFS(交易明細!$B$2:$B$648,$A51,交易明細!$J$2:$J$648,"止盈")</f>
        <v/>
      </c>
      <c r="G51" s="2">
        <f>COUNTIFS(交易明細!$B$2:$B$648,$A51,交易明細!$J$2:$J$648,"止損")</f>
        <v/>
      </c>
      <c r="H51" s="4">
        <f>IFERROR(F51/E51,0)</f>
        <v/>
      </c>
      <c r="I51" s="4">
        <f>IFERROR(AVERAGEIFS(交易明細!$L$2:$L$648,交易明細!$B$2:$B$648,$A51,交易明細!$J$2:$J$648,"&lt;&gt;未平倉"),0)</f>
        <v/>
      </c>
      <c r="J51" s="4">
        <f>SUMIFS(交易明細!$L$2:$L$648,交易明細!$B$2:$B$648,$A51,交易明細!$J$2:$J$648,"&lt;&gt;未平倉")</f>
        <v/>
      </c>
      <c r="K51" s="5">
        <f>IFERROR(AVERAGEIFS(交易明細!$K$2:$K$648,交易明細!$B$2:$B$648,$A51,交易明細!$J$2:$J$648,"&lt;&gt;未平倉"),0)</f>
        <v/>
      </c>
      <c r="L51" s="2">
        <f>COUNTIFS(交易明細!$B$2:$B$648,$A51,交易明細!$J$2:$J$648,"未平倉")</f>
        <v/>
      </c>
    </row>
    <row r="52">
      <c r="A52" s="2" t="inlineStr">
        <is>
          <t>DOGE_USDT_PERP</t>
        </is>
      </c>
      <c r="B52" s="2">
        <f>COUNTIFS(交易明細!$B$2:$B$648,$A52)</f>
        <v/>
      </c>
      <c r="C52" s="2">
        <f>COUNTIFS(交易明細!$B$2:$B$648,$A52,交易明細!$C$2:$C$648,"做多")</f>
        <v/>
      </c>
      <c r="D52" s="2">
        <f>COUNTIFS(交易明細!$B$2:$B$648,$A52,交易明細!$C$2:$C$648,"做空")</f>
        <v/>
      </c>
      <c r="E52" s="2">
        <f>F52+G52+COUNTIFS(交易明細!$B$2:$B$648,$A52,交易明細!$J$2:$J$648,"時間出場")</f>
        <v/>
      </c>
      <c r="F52" s="2">
        <f>COUNTIFS(交易明細!$B$2:$B$648,$A52,交易明細!$J$2:$J$648,"止盈")</f>
        <v/>
      </c>
      <c r="G52" s="2">
        <f>COUNTIFS(交易明細!$B$2:$B$648,$A52,交易明細!$J$2:$J$648,"止損")</f>
        <v/>
      </c>
      <c r="H52" s="4">
        <f>IFERROR(F52/E52,0)</f>
        <v/>
      </c>
      <c r="I52" s="4">
        <f>IFERROR(AVERAGEIFS(交易明細!$L$2:$L$648,交易明細!$B$2:$B$648,$A52,交易明細!$J$2:$J$648,"&lt;&gt;未平倉"),0)</f>
        <v/>
      </c>
      <c r="J52" s="4">
        <f>SUMIFS(交易明細!$L$2:$L$648,交易明細!$B$2:$B$648,$A52,交易明細!$J$2:$J$648,"&lt;&gt;未平倉")</f>
        <v/>
      </c>
      <c r="K52" s="5">
        <f>IFERROR(AVERAGEIFS(交易明細!$K$2:$K$648,交易明細!$B$2:$B$648,$A52,交易明細!$J$2:$J$648,"&lt;&gt;未平倉"),0)</f>
        <v/>
      </c>
      <c r="L52" s="2">
        <f>COUNTIFS(交易明細!$B$2:$B$648,$A52,交易明細!$J$2:$J$648,"未平倉")</f>
        <v/>
      </c>
    </row>
    <row r="53">
      <c r="A53" s="2" t="inlineStr">
        <is>
          <t>PYTH_USDT_PERP</t>
        </is>
      </c>
      <c r="B53" s="2">
        <f>COUNTIFS(交易明細!$B$2:$B$648,$A53)</f>
        <v/>
      </c>
      <c r="C53" s="2">
        <f>COUNTIFS(交易明細!$B$2:$B$648,$A53,交易明細!$C$2:$C$648,"做多")</f>
        <v/>
      </c>
      <c r="D53" s="2">
        <f>COUNTIFS(交易明細!$B$2:$B$648,$A53,交易明細!$C$2:$C$648,"做空")</f>
        <v/>
      </c>
      <c r="E53" s="2">
        <f>F53+G53+COUNTIFS(交易明細!$B$2:$B$648,$A53,交易明細!$J$2:$J$648,"時間出場")</f>
        <v/>
      </c>
      <c r="F53" s="2">
        <f>COUNTIFS(交易明細!$B$2:$B$648,$A53,交易明細!$J$2:$J$648,"止盈")</f>
        <v/>
      </c>
      <c r="G53" s="2">
        <f>COUNTIFS(交易明細!$B$2:$B$648,$A53,交易明細!$J$2:$J$648,"止損")</f>
        <v/>
      </c>
      <c r="H53" s="4">
        <f>IFERROR(F53/E53,0)</f>
        <v/>
      </c>
      <c r="I53" s="4">
        <f>IFERROR(AVERAGEIFS(交易明細!$L$2:$L$648,交易明細!$B$2:$B$648,$A53,交易明細!$J$2:$J$648,"&lt;&gt;未平倉"),0)</f>
        <v/>
      </c>
      <c r="J53" s="4">
        <f>SUMIFS(交易明細!$L$2:$L$648,交易明細!$B$2:$B$648,$A53,交易明細!$J$2:$J$648,"&lt;&gt;未平倉")</f>
        <v/>
      </c>
      <c r="K53" s="5">
        <f>IFERROR(AVERAGEIFS(交易明細!$K$2:$K$648,交易明細!$B$2:$B$648,$A53,交易明細!$J$2:$J$648,"&lt;&gt;未平倉"),0)</f>
        <v/>
      </c>
      <c r="L53" s="2">
        <f>COUNTIFS(交易明細!$B$2:$B$648,$A53,交易明細!$J$2:$J$648,"未平倉")</f>
        <v/>
      </c>
    </row>
    <row r="54">
      <c r="A54" s="2" t="inlineStr">
        <is>
          <t>SAGA_USDT_PERP</t>
        </is>
      </c>
      <c r="B54" s="2">
        <f>COUNTIFS(交易明細!$B$2:$B$648,$A54)</f>
        <v/>
      </c>
      <c r="C54" s="2">
        <f>COUNTIFS(交易明細!$B$2:$B$648,$A54,交易明細!$C$2:$C$648,"做多")</f>
        <v/>
      </c>
      <c r="D54" s="2">
        <f>COUNTIFS(交易明細!$B$2:$B$648,$A54,交易明細!$C$2:$C$648,"做空")</f>
        <v/>
      </c>
      <c r="E54" s="2">
        <f>F54+G54+COUNTIFS(交易明細!$B$2:$B$648,$A54,交易明細!$J$2:$J$648,"時間出場")</f>
        <v/>
      </c>
      <c r="F54" s="2">
        <f>COUNTIFS(交易明細!$B$2:$B$648,$A54,交易明細!$J$2:$J$648,"止盈")</f>
        <v/>
      </c>
      <c r="G54" s="2">
        <f>COUNTIFS(交易明細!$B$2:$B$648,$A54,交易明細!$J$2:$J$648,"止損")</f>
        <v/>
      </c>
      <c r="H54" s="4">
        <f>IFERROR(F54/E54,0)</f>
        <v/>
      </c>
      <c r="I54" s="4">
        <f>IFERROR(AVERAGEIFS(交易明細!$L$2:$L$648,交易明細!$B$2:$B$648,$A54,交易明細!$J$2:$J$648,"&lt;&gt;未平倉"),0)</f>
        <v/>
      </c>
      <c r="J54" s="4">
        <f>SUMIFS(交易明細!$L$2:$L$648,交易明細!$B$2:$B$648,$A54,交易明細!$J$2:$J$648,"&lt;&gt;未平倉")</f>
        <v/>
      </c>
      <c r="K54" s="5">
        <f>IFERROR(AVERAGEIFS(交易明細!$K$2:$K$648,交易明細!$B$2:$B$648,$A54,交易明細!$J$2:$J$648,"&lt;&gt;未平倉"),0)</f>
        <v/>
      </c>
      <c r="L54" s="2">
        <f>COUNTIFS(交易明細!$B$2:$B$648,$A54,交易明細!$J$2:$J$648,"未平倉")</f>
        <v/>
      </c>
    </row>
    <row r="55">
      <c r="A55" s="2" t="inlineStr">
        <is>
          <t>SOON_USDT_PERP</t>
        </is>
      </c>
      <c r="B55" s="2">
        <f>COUNTIFS(交易明細!$B$2:$B$648,$A55)</f>
        <v/>
      </c>
      <c r="C55" s="2">
        <f>COUNTIFS(交易明細!$B$2:$B$648,$A55,交易明細!$C$2:$C$648,"做多")</f>
        <v/>
      </c>
      <c r="D55" s="2">
        <f>COUNTIFS(交易明細!$B$2:$B$648,$A55,交易明細!$C$2:$C$648,"做空")</f>
        <v/>
      </c>
      <c r="E55" s="2">
        <f>F55+G55+COUNTIFS(交易明細!$B$2:$B$648,$A55,交易明細!$J$2:$J$648,"時間出場")</f>
        <v/>
      </c>
      <c r="F55" s="2">
        <f>COUNTIFS(交易明細!$B$2:$B$648,$A55,交易明細!$J$2:$J$648,"止盈")</f>
        <v/>
      </c>
      <c r="G55" s="2">
        <f>COUNTIFS(交易明細!$B$2:$B$648,$A55,交易明細!$J$2:$J$648,"止損")</f>
        <v/>
      </c>
      <c r="H55" s="4">
        <f>IFERROR(F55/E55,0)</f>
        <v/>
      </c>
      <c r="I55" s="4">
        <f>IFERROR(AVERAGEIFS(交易明細!$L$2:$L$648,交易明細!$B$2:$B$648,$A55,交易明細!$J$2:$J$648,"&lt;&gt;未平倉"),0)</f>
        <v/>
      </c>
      <c r="J55" s="4">
        <f>SUMIFS(交易明細!$L$2:$L$648,交易明細!$B$2:$B$648,$A55,交易明細!$J$2:$J$648,"&lt;&gt;未平倉")</f>
        <v/>
      </c>
      <c r="K55" s="5">
        <f>IFERROR(AVERAGEIFS(交易明細!$K$2:$K$648,交易明細!$B$2:$B$648,$A55,交易明細!$J$2:$J$648,"&lt;&gt;未平倉"),0)</f>
        <v/>
      </c>
      <c r="L55" s="2">
        <f>COUNTIFS(交易明細!$B$2:$B$648,$A55,交易明細!$J$2:$J$648,"未平倉")</f>
        <v/>
      </c>
    </row>
    <row r="56">
      <c r="A56" s="2" t="inlineStr">
        <is>
          <t>SKYAI_USDT_PERP</t>
        </is>
      </c>
      <c r="B56" s="2">
        <f>COUNTIFS(交易明細!$B$2:$B$648,$A56)</f>
        <v/>
      </c>
      <c r="C56" s="2">
        <f>COUNTIFS(交易明細!$B$2:$B$648,$A56,交易明細!$C$2:$C$648,"做多")</f>
        <v/>
      </c>
      <c r="D56" s="2">
        <f>COUNTIFS(交易明細!$B$2:$B$648,$A56,交易明細!$C$2:$C$648,"做空")</f>
        <v/>
      </c>
      <c r="E56" s="2">
        <f>F56+G56+COUNTIFS(交易明細!$B$2:$B$648,$A56,交易明細!$J$2:$J$648,"時間出場")</f>
        <v/>
      </c>
      <c r="F56" s="2">
        <f>COUNTIFS(交易明細!$B$2:$B$648,$A56,交易明細!$J$2:$J$648,"止盈")</f>
        <v/>
      </c>
      <c r="G56" s="2">
        <f>COUNTIFS(交易明細!$B$2:$B$648,$A56,交易明細!$J$2:$J$648,"止損")</f>
        <v/>
      </c>
      <c r="H56" s="4">
        <f>IFERROR(F56/E56,0)</f>
        <v/>
      </c>
      <c r="I56" s="4">
        <f>IFERROR(AVERAGEIFS(交易明細!$L$2:$L$648,交易明細!$B$2:$B$648,$A56,交易明細!$J$2:$J$648,"&lt;&gt;未平倉"),0)</f>
        <v/>
      </c>
      <c r="J56" s="4">
        <f>SUMIFS(交易明細!$L$2:$L$648,交易明細!$B$2:$B$648,$A56,交易明細!$J$2:$J$648,"&lt;&gt;未平倉")</f>
        <v/>
      </c>
      <c r="K56" s="5">
        <f>IFERROR(AVERAGEIFS(交易明細!$K$2:$K$648,交易明細!$B$2:$B$648,$A56,交易明細!$J$2:$J$648,"&lt;&gt;未平倉"),0)</f>
        <v/>
      </c>
      <c r="L56" s="2">
        <f>COUNTIFS(交易明細!$B$2:$B$648,$A56,交易明細!$J$2:$J$648,"未平倉")</f>
        <v/>
      </c>
    </row>
    <row r="57">
      <c r="A57" s="2" t="inlineStr">
        <is>
          <t>ACE_USDT_PERP</t>
        </is>
      </c>
      <c r="B57" s="2">
        <f>COUNTIFS(交易明細!$B$2:$B$648,$A57)</f>
        <v/>
      </c>
      <c r="C57" s="2">
        <f>COUNTIFS(交易明細!$B$2:$B$648,$A57,交易明細!$C$2:$C$648,"做多")</f>
        <v/>
      </c>
      <c r="D57" s="2">
        <f>COUNTIFS(交易明細!$B$2:$B$648,$A57,交易明細!$C$2:$C$648,"做空")</f>
        <v/>
      </c>
      <c r="E57" s="2">
        <f>F57+G57+COUNTIFS(交易明細!$B$2:$B$648,$A57,交易明細!$J$2:$J$648,"時間出場")</f>
        <v/>
      </c>
      <c r="F57" s="2">
        <f>COUNTIFS(交易明細!$B$2:$B$648,$A57,交易明細!$J$2:$J$648,"止盈")</f>
        <v/>
      </c>
      <c r="G57" s="2">
        <f>COUNTIFS(交易明細!$B$2:$B$648,$A57,交易明細!$J$2:$J$648,"止損")</f>
        <v/>
      </c>
      <c r="H57" s="4">
        <f>IFERROR(F57/E57,0)</f>
        <v/>
      </c>
      <c r="I57" s="4">
        <f>IFERROR(AVERAGEIFS(交易明細!$L$2:$L$648,交易明細!$B$2:$B$648,$A57,交易明細!$J$2:$J$648,"&lt;&gt;未平倉"),0)</f>
        <v/>
      </c>
      <c r="J57" s="4">
        <f>SUMIFS(交易明細!$L$2:$L$648,交易明細!$B$2:$B$648,$A57,交易明細!$J$2:$J$648,"&lt;&gt;未平倉")</f>
        <v/>
      </c>
      <c r="K57" s="5">
        <f>IFERROR(AVERAGEIFS(交易明細!$K$2:$K$648,交易明細!$B$2:$B$648,$A57,交易明細!$J$2:$J$648,"&lt;&gt;未平倉"),0)</f>
        <v/>
      </c>
      <c r="L57" s="2">
        <f>COUNTIFS(交易明細!$B$2:$B$648,$A57,交易明細!$J$2:$J$648,"未平倉")</f>
        <v/>
      </c>
    </row>
    <row r="58">
      <c r="A58" s="2" t="inlineStr">
        <is>
          <t>TRUMP_USDT_PERP</t>
        </is>
      </c>
      <c r="B58" s="2">
        <f>COUNTIFS(交易明細!$B$2:$B$648,$A58)</f>
        <v/>
      </c>
      <c r="C58" s="2">
        <f>COUNTIFS(交易明細!$B$2:$B$648,$A58,交易明細!$C$2:$C$648,"做多")</f>
        <v/>
      </c>
      <c r="D58" s="2">
        <f>COUNTIFS(交易明細!$B$2:$B$648,$A58,交易明細!$C$2:$C$648,"做空")</f>
        <v/>
      </c>
      <c r="E58" s="2">
        <f>F58+G58+COUNTIFS(交易明細!$B$2:$B$648,$A58,交易明細!$J$2:$J$648,"時間出場")</f>
        <v/>
      </c>
      <c r="F58" s="2">
        <f>COUNTIFS(交易明細!$B$2:$B$648,$A58,交易明細!$J$2:$J$648,"止盈")</f>
        <v/>
      </c>
      <c r="G58" s="2">
        <f>COUNTIFS(交易明細!$B$2:$B$648,$A58,交易明細!$J$2:$J$648,"止損")</f>
        <v/>
      </c>
      <c r="H58" s="4">
        <f>IFERROR(F58/E58,0)</f>
        <v/>
      </c>
      <c r="I58" s="4">
        <f>IFERROR(AVERAGEIFS(交易明細!$L$2:$L$648,交易明細!$B$2:$B$648,$A58,交易明細!$J$2:$J$648,"&lt;&gt;未平倉"),0)</f>
        <v/>
      </c>
      <c r="J58" s="4">
        <f>SUMIFS(交易明細!$L$2:$L$648,交易明細!$B$2:$B$648,$A58,交易明細!$J$2:$J$648,"&lt;&gt;未平倉")</f>
        <v/>
      </c>
      <c r="K58" s="5">
        <f>IFERROR(AVERAGEIFS(交易明細!$K$2:$K$648,交易明細!$B$2:$B$648,$A58,交易明細!$J$2:$J$648,"&lt;&gt;未平倉"),0)</f>
        <v/>
      </c>
      <c r="L58" s="2">
        <f>COUNTIFS(交易明細!$B$2:$B$648,$A58,交易明細!$J$2:$J$648,"未平倉")</f>
        <v/>
      </c>
    </row>
    <row r="59">
      <c r="A59" s="2" t="inlineStr">
        <is>
          <t>EDGE_USDT_PERP</t>
        </is>
      </c>
      <c r="B59" s="2">
        <f>COUNTIFS(交易明細!$B$2:$B$648,$A59)</f>
        <v/>
      </c>
      <c r="C59" s="2">
        <f>COUNTIFS(交易明細!$B$2:$B$648,$A59,交易明細!$C$2:$C$648,"做多")</f>
        <v/>
      </c>
      <c r="D59" s="2">
        <f>COUNTIFS(交易明細!$B$2:$B$648,$A59,交易明細!$C$2:$C$648,"做空")</f>
        <v/>
      </c>
      <c r="E59" s="2">
        <f>F59+G59+COUNTIFS(交易明細!$B$2:$B$648,$A59,交易明細!$J$2:$J$648,"時間出場")</f>
        <v/>
      </c>
      <c r="F59" s="2">
        <f>COUNTIFS(交易明細!$B$2:$B$648,$A59,交易明細!$J$2:$J$648,"止盈")</f>
        <v/>
      </c>
      <c r="G59" s="2">
        <f>COUNTIFS(交易明細!$B$2:$B$648,$A59,交易明細!$J$2:$J$648,"止損")</f>
        <v/>
      </c>
      <c r="H59" s="4">
        <f>IFERROR(F59/E59,0)</f>
        <v/>
      </c>
      <c r="I59" s="4">
        <f>IFERROR(AVERAGEIFS(交易明細!$L$2:$L$648,交易明細!$B$2:$B$648,$A59,交易明細!$J$2:$J$648,"&lt;&gt;未平倉"),0)</f>
        <v/>
      </c>
      <c r="J59" s="4">
        <f>SUMIFS(交易明細!$L$2:$L$648,交易明細!$B$2:$B$648,$A59,交易明細!$J$2:$J$648,"&lt;&gt;未平倉")</f>
        <v/>
      </c>
      <c r="K59" s="5">
        <f>IFERROR(AVERAGEIFS(交易明細!$K$2:$K$648,交易明細!$B$2:$B$648,$A59,交易明細!$J$2:$J$648,"&lt;&gt;未平倉"),0)</f>
        <v/>
      </c>
      <c r="L59" s="2">
        <f>COUNTIFS(交易明細!$B$2:$B$648,$A59,交易明細!$J$2:$J$648,"未平倉")</f>
        <v/>
      </c>
    </row>
    <row r="60">
      <c r="A60" s="2" t="inlineStr">
        <is>
          <t>4_USDT_PERP</t>
        </is>
      </c>
      <c r="B60" s="2">
        <f>COUNTIFS(交易明細!$B$2:$B$648,$A60)</f>
        <v/>
      </c>
      <c r="C60" s="2">
        <f>COUNTIFS(交易明細!$B$2:$B$648,$A60,交易明細!$C$2:$C$648,"做多")</f>
        <v/>
      </c>
      <c r="D60" s="2">
        <f>COUNTIFS(交易明細!$B$2:$B$648,$A60,交易明細!$C$2:$C$648,"做空")</f>
        <v/>
      </c>
      <c r="E60" s="2">
        <f>F60+G60+COUNTIFS(交易明細!$B$2:$B$648,$A60,交易明細!$J$2:$J$648,"時間出場")</f>
        <v/>
      </c>
      <c r="F60" s="2">
        <f>COUNTIFS(交易明細!$B$2:$B$648,$A60,交易明細!$J$2:$J$648,"止盈")</f>
        <v/>
      </c>
      <c r="G60" s="2">
        <f>COUNTIFS(交易明細!$B$2:$B$648,$A60,交易明細!$J$2:$J$648,"止損")</f>
        <v/>
      </c>
      <c r="H60" s="4">
        <f>IFERROR(F60/E60,0)</f>
        <v/>
      </c>
      <c r="I60" s="4">
        <f>IFERROR(AVERAGEIFS(交易明細!$L$2:$L$648,交易明細!$B$2:$B$648,$A60,交易明細!$J$2:$J$648,"&lt;&gt;未平倉"),0)</f>
        <v/>
      </c>
      <c r="J60" s="4">
        <f>SUMIFS(交易明細!$L$2:$L$648,交易明細!$B$2:$B$648,$A60,交易明細!$J$2:$J$648,"&lt;&gt;未平倉")</f>
        <v/>
      </c>
      <c r="K60" s="5">
        <f>IFERROR(AVERAGEIFS(交易明細!$K$2:$K$648,交易明細!$B$2:$B$648,$A60,交易明細!$J$2:$J$648,"&lt;&gt;未平倉"),0)</f>
        <v/>
      </c>
      <c r="L60" s="2">
        <f>COUNTIFS(交易明細!$B$2:$B$648,$A60,交易明細!$J$2:$J$648,"未平倉")</f>
        <v/>
      </c>
    </row>
    <row r="61">
      <c r="A61" s="2" t="inlineStr">
        <is>
          <t>ZEN_USDT_PERP</t>
        </is>
      </c>
      <c r="B61" s="2">
        <f>COUNTIFS(交易明細!$B$2:$B$648,$A61)</f>
        <v/>
      </c>
      <c r="C61" s="2">
        <f>COUNTIFS(交易明細!$B$2:$B$648,$A61,交易明細!$C$2:$C$648,"做多")</f>
        <v/>
      </c>
      <c r="D61" s="2">
        <f>COUNTIFS(交易明細!$B$2:$B$648,$A61,交易明細!$C$2:$C$648,"做空")</f>
        <v/>
      </c>
      <c r="E61" s="2">
        <f>F61+G61+COUNTIFS(交易明細!$B$2:$B$648,$A61,交易明細!$J$2:$J$648,"時間出場")</f>
        <v/>
      </c>
      <c r="F61" s="2">
        <f>COUNTIFS(交易明細!$B$2:$B$648,$A61,交易明細!$J$2:$J$648,"止盈")</f>
        <v/>
      </c>
      <c r="G61" s="2">
        <f>COUNTIFS(交易明細!$B$2:$B$648,$A61,交易明細!$J$2:$J$648,"止損")</f>
        <v/>
      </c>
      <c r="H61" s="4">
        <f>IFERROR(F61/E61,0)</f>
        <v/>
      </c>
      <c r="I61" s="4">
        <f>IFERROR(AVERAGEIFS(交易明細!$L$2:$L$648,交易明細!$B$2:$B$648,$A61,交易明細!$J$2:$J$648,"&lt;&gt;未平倉"),0)</f>
        <v/>
      </c>
      <c r="J61" s="4">
        <f>SUMIFS(交易明細!$L$2:$L$648,交易明細!$B$2:$B$648,$A61,交易明細!$J$2:$J$648,"&lt;&gt;未平倉")</f>
        <v/>
      </c>
      <c r="K61" s="5">
        <f>IFERROR(AVERAGEIFS(交易明細!$K$2:$K$648,交易明細!$B$2:$B$648,$A61,交易明細!$J$2:$J$648,"&lt;&gt;未平倉"),0)</f>
        <v/>
      </c>
      <c r="L61" s="2">
        <f>COUNTIFS(交易明細!$B$2:$B$648,$A61,交易明細!$J$2:$J$648,"未平倉")</f>
        <v/>
      </c>
    </row>
    <row r="62">
      <c r="A62" s="2" t="inlineStr">
        <is>
          <t>KAS_USDT_PERP</t>
        </is>
      </c>
      <c r="B62" s="2">
        <f>COUNTIFS(交易明細!$B$2:$B$648,$A62)</f>
        <v/>
      </c>
      <c r="C62" s="2">
        <f>COUNTIFS(交易明細!$B$2:$B$648,$A62,交易明細!$C$2:$C$648,"做多")</f>
        <v/>
      </c>
      <c r="D62" s="2">
        <f>COUNTIFS(交易明細!$B$2:$B$648,$A62,交易明細!$C$2:$C$648,"做空")</f>
        <v/>
      </c>
      <c r="E62" s="2">
        <f>F62+G62+COUNTIFS(交易明細!$B$2:$B$648,$A62,交易明細!$J$2:$J$648,"時間出場")</f>
        <v/>
      </c>
      <c r="F62" s="2">
        <f>COUNTIFS(交易明細!$B$2:$B$648,$A62,交易明細!$J$2:$J$648,"止盈")</f>
        <v/>
      </c>
      <c r="G62" s="2">
        <f>COUNTIFS(交易明細!$B$2:$B$648,$A62,交易明細!$J$2:$J$648,"止損")</f>
        <v/>
      </c>
      <c r="H62" s="4">
        <f>IFERROR(F62/E62,0)</f>
        <v/>
      </c>
      <c r="I62" s="4">
        <f>IFERROR(AVERAGEIFS(交易明細!$L$2:$L$648,交易明細!$B$2:$B$648,$A62,交易明細!$J$2:$J$648,"&lt;&gt;未平倉"),0)</f>
        <v/>
      </c>
      <c r="J62" s="4">
        <f>SUMIFS(交易明細!$L$2:$L$648,交易明細!$B$2:$B$648,$A62,交易明細!$J$2:$J$648,"&lt;&gt;未平倉")</f>
        <v/>
      </c>
      <c r="K62" s="5">
        <f>IFERROR(AVERAGEIFS(交易明細!$K$2:$K$648,交易明細!$B$2:$B$648,$A62,交易明細!$J$2:$J$648,"&lt;&gt;未平倉"),0)</f>
        <v/>
      </c>
      <c r="L62" s="2">
        <f>COUNTIFS(交易明細!$B$2:$B$648,$A62,交易明細!$J$2:$J$648,"未平倉")</f>
        <v/>
      </c>
    </row>
    <row r="63">
      <c r="A63" s="2" t="inlineStr">
        <is>
          <t>RIVER_USDT_PERP</t>
        </is>
      </c>
      <c r="B63" s="2">
        <f>COUNTIFS(交易明細!$B$2:$B$648,$A63)</f>
        <v/>
      </c>
      <c r="C63" s="2">
        <f>COUNTIFS(交易明細!$B$2:$B$648,$A63,交易明細!$C$2:$C$648,"做多")</f>
        <v/>
      </c>
      <c r="D63" s="2">
        <f>COUNTIFS(交易明細!$B$2:$B$648,$A63,交易明細!$C$2:$C$648,"做空")</f>
        <v/>
      </c>
      <c r="E63" s="2">
        <f>F63+G63+COUNTIFS(交易明細!$B$2:$B$648,$A63,交易明細!$J$2:$J$648,"時間出場")</f>
        <v/>
      </c>
      <c r="F63" s="2">
        <f>COUNTIFS(交易明細!$B$2:$B$648,$A63,交易明細!$J$2:$J$648,"止盈")</f>
        <v/>
      </c>
      <c r="G63" s="2">
        <f>COUNTIFS(交易明細!$B$2:$B$648,$A63,交易明細!$J$2:$J$648,"止損")</f>
        <v/>
      </c>
      <c r="H63" s="4">
        <f>IFERROR(F63/E63,0)</f>
        <v/>
      </c>
      <c r="I63" s="4">
        <f>IFERROR(AVERAGEIFS(交易明細!$L$2:$L$648,交易明細!$B$2:$B$648,$A63,交易明細!$J$2:$J$648,"&lt;&gt;未平倉"),0)</f>
        <v/>
      </c>
      <c r="J63" s="4">
        <f>SUMIFS(交易明細!$L$2:$L$648,交易明細!$B$2:$B$648,$A63,交易明細!$J$2:$J$648,"&lt;&gt;未平倉")</f>
        <v/>
      </c>
      <c r="K63" s="5">
        <f>IFERROR(AVERAGEIFS(交易明細!$K$2:$K$648,交易明細!$B$2:$B$648,$A63,交易明細!$J$2:$J$648,"&lt;&gt;未平倉"),0)</f>
        <v/>
      </c>
      <c r="L63" s="2">
        <f>COUNTIFS(交易明細!$B$2:$B$648,$A63,交易明細!$J$2:$J$648,"未平倉")</f>
        <v/>
      </c>
    </row>
    <row r="64">
      <c r="A64" s="2" t="inlineStr">
        <is>
          <t>POWER_USDT_PERP</t>
        </is>
      </c>
      <c r="B64" s="2">
        <f>COUNTIFS(交易明細!$B$2:$B$648,$A64)</f>
        <v/>
      </c>
      <c r="C64" s="2">
        <f>COUNTIFS(交易明細!$B$2:$B$648,$A64,交易明細!$C$2:$C$648,"做多")</f>
        <v/>
      </c>
      <c r="D64" s="2">
        <f>COUNTIFS(交易明細!$B$2:$B$648,$A64,交易明細!$C$2:$C$648,"做空")</f>
        <v/>
      </c>
      <c r="E64" s="2">
        <f>F64+G64+COUNTIFS(交易明細!$B$2:$B$648,$A64,交易明細!$J$2:$J$648,"時間出場")</f>
        <v/>
      </c>
      <c r="F64" s="2">
        <f>COUNTIFS(交易明細!$B$2:$B$648,$A64,交易明細!$J$2:$J$648,"止盈")</f>
        <v/>
      </c>
      <c r="G64" s="2">
        <f>COUNTIFS(交易明細!$B$2:$B$648,$A64,交易明細!$J$2:$J$648,"止損")</f>
        <v/>
      </c>
      <c r="H64" s="4">
        <f>IFERROR(F64/E64,0)</f>
        <v/>
      </c>
      <c r="I64" s="4">
        <f>IFERROR(AVERAGEIFS(交易明細!$L$2:$L$648,交易明細!$B$2:$B$648,$A64,交易明細!$J$2:$J$648,"&lt;&gt;未平倉"),0)</f>
        <v/>
      </c>
      <c r="J64" s="4">
        <f>SUMIFS(交易明細!$L$2:$L$648,交易明細!$B$2:$B$648,$A64,交易明細!$J$2:$J$648,"&lt;&gt;未平倉")</f>
        <v/>
      </c>
      <c r="K64" s="5">
        <f>IFERROR(AVERAGEIFS(交易明細!$K$2:$K$648,交易明細!$B$2:$B$648,$A64,交易明細!$J$2:$J$648,"&lt;&gt;未平倉"),0)</f>
        <v/>
      </c>
      <c r="L64" s="2">
        <f>COUNTIFS(交易明細!$B$2:$B$648,$A64,交易明細!$J$2:$J$648,"未平倉")</f>
        <v/>
      </c>
    </row>
    <row r="65">
      <c r="A65" s="2" t="inlineStr">
        <is>
          <t>PIEVERSE_USDT_PERP</t>
        </is>
      </c>
      <c r="B65" s="2">
        <f>COUNTIFS(交易明細!$B$2:$B$648,$A65)</f>
        <v/>
      </c>
      <c r="C65" s="2">
        <f>COUNTIFS(交易明細!$B$2:$B$648,$A65,交易明細!$C$2:$C$648,"做多")</f>
        <v/>
      </c>
      <c r="D65" s="2">
        <f>COUNTIFS(交易明細!$B$2:$B$648,$A65,交易明細!$C$2:$C$648,"做空")</f>
        <v/>
      </c>
      <c r="E65" s="2">
        <f>F65+G65+COUNTIFS(交易明細!$B$2:$B$648,$A65,交易明細!$J$2:$J$648,"時間出場")</f>
        <v/>
      </c>
      <c r="F65" s="2">
        <f>COUNTIFS(交易明細!$B$2:$B$648,$A65,交易明細!$J$2:$J$648,"止盈")</f>
        <v/>
      </c>
      <c r="G65" s="2">
        <f>COUNTIFS(交易明細!$B$2:$B$648,$A65,交易明細!$J$2:$J$648,"止損")</f>
        <v/>
      </c>
      <c r="H65" s="4">
        <f>IFERROR(F65/E65,0)</f>
        <v/>
      </c>
      <c r="I65" s="4">
        <f>IFERROR(AVERAGEIFS(交易明細!$L$2:$L$648,交易明細!$B$2:$B$648,$A65,交易明細!$J$2:$J$648,"&lt;&gt;未平倉"),0)</f>
        <v/>
      </c>
      <c r="J65" s="4">
        <f>SUMIFS(交易明細!$L$2:$L$648,交易明細!$B$2:$B$648,$A65,交易明細!$J$2:$J$648,"&lt;&gt;未平倉")</f>
        <v/>
      </c>
      <c r="K65" s="5">
        <f>IFERROR(AVERAGEIFS(交易明細!$K$2:$K$648,交易明細!$B$2:$B$648,$A65,交易明細!$J$2:$J$648,"&lt;&gt;未平倉"),0)</f>
        <v/>
      </c>
      <c r="L65" s="2">
        <f>COUNTIFS(交易明細!$B$2:$B$648,$A65,交易明細!$J$2:$J$648,"未平倉")</f>
        <v/>
      </c>
    </row>
    <row r="66">
      <c r="A66" s="2" t="inlineStr">
        <is>
          <t>AR_USDT_PERP</t>
        </is>
      </c>
      <c r="B66" s="2">
        <f>COUNTIFS(交易明細!$B$2:$B$648,$A66)</f>
        <v/>
      </c>
      <c r="C66" s="2">
        <f>COUNTIFS(交易明細!$B$2:$B$648,$A66,交易明細!$C$2:$C$648,"做多")</f>
        <v/>
      </c>
      <c r="D66" s="2">
        <f>COUNTIFS(交易明細!$B$2:$B$648,$A66,交易明細!$C$2:$C$648,"做空")</f>
        <v/>
      </c>
      <c r="E66" s="2">
        <f>F66+G66+COUNTIFS(交易明細!$B$2:$B$648,$A66,交易明細!$J$2:$J$648,"時間出場")</f>
        <v/>
      </c>
      <c r="F66" s="2">
        <f>COUNTIFS(交易明細!$B$2:$B$648,$A66,交易明細!$J$2:$J$648,"止盈")</f>
        <v/>
      </c>
      <c r="G66" s="2">
        <f>COUNTIFS(交易明細!$B$2:$B$648,$A66,交易明細!$J$2:$J$648,"止損")</f>
        <v/>
      </c>
      <c r="H66" s="4">
        <f>IFERROR(F66/E66,0)</f>
        <v/>
      </c>
      <c r="I66" s="4">
        <f>IFERROR(AVERAGEIFS(交易明細!$L$2:$L$648,交易明細!$B$2:$B$648,$A66,交易明細!$J$2:$J$648,"&lt;&gt;未平倉"),0)</f>
        <v/>
      </c>
      <c r="J66" s="4">
        <f>SUMIFS(交易明細!$L$2:$L$648,交易明細!$B$2:$B$648,$A66,交易明細!$J$2:$J$648,"&lt;&gt;未平倉")</f>
        <v/>
      </c>
      <c r="K66" s="5">
        <f>IFERROR(AVERAGEIFS(交易明細!$K$2:$K$648,交易明細!$B$2:$B$648,$A66,交易明細!$J$2:$J$648,"&lt;&gt;未平倉"),0)</f>
        <v/>
      </c>
      <c r="L66" s="2">
        <f>COUNTIFS(交易明細!$B$2:$B$648,$A66,交易明細!$J$2:$J$648,"未平倉")</f>
        <v/>
      </c>
    </row>
    <row r="67">
      <c r="A67" s="2" t="inlineStr">
        <is>
          <t>ZETA_USDT_PERP</t>
        </is>
      </c>
      <c r="B67" s="2">
        <f>COUNTIFS(交易明細!$B$2:$B$648,$A67)</f>
        <v/>
      </c>
      <c r="C67" s="2">
        <f>COUNTIFS(交易明細!$B$2:$B$648,$A67,交易明細!$C$2:$C$648,"做多")</f>
        <v/>
      </c>
      <c r="D67" s="2">
        <f>COUNTIFS(交易明細!$B$2:$B$648,$A67,交易明細!$C$2:$C$648,"做空")</f>
        <v/>
      </c>
      <c r="E67" s="2">
        <f>F67+G67+COUNTIFS(交易明細!$B$2:$B$648,$A67,交易明細!$J$2:$J$648,"時間出場")</f>
        <v/>
      </c>
      <c r="F67" s="2">
        <f>COUNTIFS(交易明細!$B$2:$B$648,$A67,交易明細!$J$2:$J$648,"止盈")</f>
        <v/>
      </c>
      <c r="G67" s="2">
        <f>COUNTIFS(交易明細!$B$2:$B$648,$A67,交易明細!$J$2:$J$648,"止損")</f>
        <v/>
      </c>
      <c r="H67" s="4">
        <f>IFERROR(F67/E67,0)</f>
        <v/>
      </c>
      <c r="I67" s="4">
        <f>IFERROR(AVERAGEIFS(交易明細!$L$2:$L$648,交易明細!$B$2:$B$648,$A67,交易明細!$J$2:$J$648,"&lt;&gt;未平倉"),0)</f>
        <v/>
      </c>
      <c r="J67" s="4">
        <f>SUMIFS(交易明細!$L$2:$L$648,交易明細!$B$2:$B$648,$A67,交易明細!$J$2:$J$648,"&lt;&gt;未平倉")</f>
        <v/>
      </c>
      <c r="K67" s="5">
        <f>IFERROR(AVERAGEIFS(交易明細!$K$2:$K$648,交易明細!$B$2:$B$648,$A67,交易明細!$J$2:$J$648,"&lt;&gt;未平倉"),0)</f>
        <v/>
      </c>
      <c r="L67" s="2">
        <f>COUNTIFS(交易明細!$B$2:$B$648,$A67,交易明細!$J$2:$J$648,"未平倉")</f>
        <v/>
      </c>
    </row>
    <row r="68">
      <c r="A68" s="2" t="inlineStr">
        <is>
          <t>WIF_USDT_PERP</t>
        </is>
      </c>
      <c r="B68" s="2">
        <f>COUNTIFS(交易明細!$B$2:$B$648,$A68)</f>
        <v/>
      </c>
      <c r="C68" s="2">
        <f>COUNTIFS(交易明細!$B$2:$B$648,$A68,交易明細!$C$2:$C$648,"做多")</f>
        <v/>
      </c>
      <c r="D68" s="2">
        <f>COUNTIFS(交易明細!$B$2:$B$648,$A68,交易明細!$C$2:$C$648,"做空")</f>
        <v/>
      </c>
      <c r="E68" s="2">
        <f>F68+G68+COUNTIFS(交易明細!$B$2:$B$648,$A68,交易明細!$J$2:$J$648,"時間出場")</f>
        <v/>
      </c>
      <c r="F68" s="2">
        <f>COUNTIFS(交易明細!$B$2:$B$648,$A68,交易明細!$J$2:$J$648,"止盈")</f>
        <v/>
      </c>
      <c r="G68" s="2">
        <f>COUNTIFS(交易明細!$B$2:$B$648,$A68,交易明細!$J$2:$J$648,"止損")</f>
        <v/>
      </c>
      <c r="H68" s="4">
        <f>IFERROR(F68/E68,0)</f>
        <v/>
      </c>
      <c r="I68" s="4">
        <f>IFERROR(AVERAGEIFS(交易明細!$L$2:$L$648,交易明細!$B$2:$B$648,$A68,交易明細!$J$2:$J$648,"&lt;&gt;未平倉"),0)</f>
        <v/>
      </c>
      <c r="J68" s="4">
        <f>SUMIFS(交易明細!$L$2:$L$648,交易明細!$B$2:$B$648,$A68,交易明細!$J$2:$J$648,"&lt;&gt;未平倉")</f>
        <v/>
      </c>
      <c r="K68" s="5">
        <f>IFERROR(AVERAGEIFS(交易明細!$K$2:$K$648,交易明細!$B$2:$B$648,$A68,交易明細!$J$2:$J$648,"&lt;&gt;未平倉"),0)</f>
        <v/>
      </c>
      <c r="L68" s="2">
        <f>COUNTIFS(交易明細!$B$2:$B$648,$A68,交易明細!$J$2:$J$648,"未平倉")</f>
        <v/>
      </c>
    </row>
    <row r="69">
      <c r="A69" s="2" t="inlineStr">
        <is>
          <t>HBAR_USDT_PERP</t>
        </is>
      </c>
      <c r="B69" s="2">
        <f>COUNTIFS(交易明細!$B$2:$B$648,$A69)</f>
        <v/>
      </c>
      <c r="C69" s="2">
        <f>COUNTIFS(交易明細!$B$2:$B$648,$A69,交易明細!$C$2:$C$648,"做多")</f>
        <v/>
      </c>
      <c r="D69" s="2">
        <f>COUNTIFS(交易明細!$B$2:$B$648,$A69,交易明細!$C$2:$C$648,"做空")</f>
        <v/>
      </c>
      <c r="E69" s="2">
        <f>F69+G69+COUNTIFS(交易明細!$B$2:$B$648,$A69,交易明細!$J$2:$J$648,"時間出場")</f>
        <v/>
      </c>
      <c r="F69" s="2">
        <f>COUNTIFS(交易明細!$B$2:$B$648,$A69,交易明細!$J$2:$J$648,"止盈")</f>
        <v/>
      </c>
      <c r="G69" s="2">
        <f>COUNTIFS(交易明細!$B$2:$B$648,$A69,交易明細!$J$2:$J$648,"止損")</f>
        <v/>
      </c>
      <c r="H69" s="4">
        <f>IFERROR(F69/E69,0)</f>
        <v/>
      </c>
      <c r="I69" s="4">
        <f>IFERROR(AVERAGEIFS(交易明細!$L$2:$L$648,交易明細!$B$2:$B$648,$A69,交易明細!$J$2:$J$648,"&lt;&gt;未平倉"),0)</f>
        <v/>
      </c>
      <c r="J69" s="4">
        <f>SUMIFS(交易明細!$L$2:$L$648,交易明細!$B$2:$B$648,$A69,交易明細!$J$2:$J$648,"&lt;&gt;未平倉")</f>
        <v/>
      </c>
      <c r="K69" s="5">
        <f>IFERROR(AVERAGEIFS(交易明細!$K$2:$K$648,交易明細!$B$2:$B$648,$A69,交易明細!$J$2:$J$648,"&lt;&gt;未平倉"),0)</f>
        <v/>
      </c>
      <c r="L69" s="2">
        <f>COUNTIFS(交易明細!$B$2:$B$648,$A69,交易明細!$J$2:$J$648,"未平倉")</f>
        <v/>
      </c>
    </row>
    <row r="70">
      <c r="A70" s="2" t="inlineStr">
        <is>
          <t>BCH_USDT_PERP</t>
        </is>
      </c>
      <c r="B70" s="2">
        <f>COUNTIFS(交易明細!$B$2:$B$648,$A70)</f>
        <v/>
      </c>
      <c r="C70" s="2">
        <f>COUNTIFS(交易明細!$B$2:$B$648,$A70,交易明細!$C$2:$C$648,"做多")</f>
        <v/>
      </c>
      <c r="D70" s="2">
        <f>COUNTIFS(交易明細!$B$2:$B$648,$A70,交易明細!$C$2:$C$648,"做空")</f>
        <v/>
      </c>
      <c r="E70" s="2">
        <f>F70+G70+COUNTIFS(交易明細!$B$2:$B$648,$A70,交易明細!$J$2:$J$648,"時間出場")</f>
        <v/>
      </c>
      <c r="F70" s="2">
        <f>COUNTIFS(交易明細!$B$2:$B$648,$A70,交易明細!$J$2:$J$648,"止盈")</f>
        <v/>
      </c>
      <c r="G70" s="2">
        <f>COUNTIFS(交易明細!$B$2:$B$648,$A70,交易明細!$J$2:$J$648,"止損")</f>
        <v/>
      </c>
      <c r="H70" s="4">
        <f>IFERROR(F70/E70,0)</f>
        <v/>
      </c>
      <c r="I70" s="4">
        <f>IFERROR(AVERAGEIFS(交易明細!$L$2:$L$648,交易明細!$B$2:$B$648,$A70,交易明細!$J$2:$J$648,"&lt;&gt;未平倉"),0)</f>
        <v/>
      </c>
      <c r="J70" s="4">
        <f>SUMIFS(交易明細!$L$2:$L$648,交易明細!$B$2:$B$648,$A70,交易明細!$J$2:$J$648,"&lt;&gt;未平倉")</f>
        <v/>
      </c>
      <c r="K70" s="5">
        <f>IFERROR(AVERAGEIFS(交易明細!$K$2:$K$648,交易明細!$B$2:$B$648,$A70,交易明細!$J$2:$J$648,"&lt;&gt;未平倉"),0)</f>
        <v/>
      </c>
      <c r="L70" s="2">
        <f>COUNTIFS(交易明細!$B$2:$B$648,$A70,交易明細!$J$2:$J$648,"未平倉")</f>
        <v/>
      </c>
    </row>
    <row r="71">
      <c r="A71" s="2" t="inlineStr">
        <is>
          <t>LYN_USDT_PERP</t>
        </is>
      </c>
      <c r="B71" s="2">
        <f>COUNTIFS(交易明細!$B$2:$B$648,$A71)</f>
        <v/>
      </c>
      <c r="C71" s="2">
        <f>COUNTIFS(交易明細!$B$2:$B$648,$A71,交易明細!$C$2:$C$648,"做多")</f>
        <v/>
      </c>
      <c r="D71" s="2">
        <f>COUNTIFS(交易明細!$B$2:$B$648,$A71,交易明細!$C$2:$C$648,"做空")</f>
        <v/>
      </c>
      <c r="E71" s="2">
        <f>F71+G71+COUNTIFS(交易明細!$B$2:$B$648,$A71,交易明細!$J$2:$J$648,"時間出場")</f>
        <v/>
      </c>
      <c r="F71" s="2">
        <f>COUNTIFS(交易明細!$B$2:$B$648,$A71,交易明細!$J$2:$J$648,"止盈")</f>
        <v/>
      </c>
      <c r="G71" s="2">
        <f>COUNTIFS(交易明細!$B$2:$B$648,$A71,交易明細!$J$2:$J$648,"止損")</f>
        <v/>
      </c>
      <c r="H71" s="4">
        <f>IFERROR(F71/E71,0)</f>
        <v/>
      </c>
      <c r="I71" s="4">
        <f>IFERROR(AVERAGEIFS(交易明細!$L$2:$L$648,交易明細!$B$2:$B$648,$A71,交易明細!$J$2:$J$648,"&lt;&gt;未平倉"),0)</f>
        <v/>
      </c>
      <c r="J71" s="4">
        <f>SUMIFS(交易明細!$L$2:$L$648,交易明細!$B$2:$B$648,$A71,交易明細!$J$2:$J$648,"&lt;&gt;未平倉")</f>
        <v/>
      </c>
      <c r="K71" s="5">
        <f>IFERROR(AVERAGEIFS(交易明細!$K$2:$K$648,交易明細!$B$2:$B$648,$A71,交易明細!$J$2:$J$648,"&lt;&gt;未平倉"),0)</f>
        <v/>
      </c>
      <c r="L71" s="2">
        <f>COUNTIFS(交易明細!$B$2:$B$648,$A71,交易明細!$J$2:$J$648,"未平倉")</f>
        <v/>
      </c>
    </row>
    <row r="72">
      <c r="A72" s="2" t="inlineStr">
        <is>
          <t>GRAM_USDT_PERP</t>
        </is>
      </c>
      <c r="B72" s="2">
        <f>COUNTIFS(交易明細!$B$2:$B$648,$A72)</f>
        <v/>
      </c>
      <c r="C72" s="2">
        <f>COUNTIFS(交易明細!$B$2:$B$648,$A72,交易明細!$C$2:$C$648,"做多")</f>
        <v/>
      </c>
      <c r="D72" s="2">
        <f>COUNTIFS(交易明細!$B$2:$B$648,$A72,交易明細!$C$2:$C$648,"做空")</f>
        <v/>
      </c>
      <c r="E72" s="2">
        <f>F72+G72+COUNTIFS(交易明細!$B$2:$B$648,$A72,交易明細!$J$2:$J$648,"時間出場")</f>
        <v/>
      </c>
      <c r="F72" s="2">
        <f>COUNTIFS(交易明細!$B$2:$B$648,$A72,交易明細!$J$2:$J$648,"止盈")</f>
        <v/>
      </c>
      <c r="G72" s="2">
        <f>COUNTIFS(交易明細!$B$2:$B$648,$A72,交易明細!$J$2:$J$648,"止損")</f>
        <v/>
      </c>
      <c r="H72" s="4">
        <f>IFERROR(F72/E72,0)</f>
        <v/>
      </c>
      <c r="I72" s="4">
        <f>IFERROR(AVERAGEIFS(交易明細!$L$2:$L$648,交易明細!$B$2:$B$648,$A72,交易明細!$J$2:$J$648,"&lt;&gt;未平倉"),0)</f>
        <v/>
      </c>
      <c r="J72" s="4">
        <f>SUMIFS(交易明細!$L$2:$L$648,交易明細!$B$2:$B$648,$A72,交易明細!$J$2:$J$648,"&lt;&gt;未平倉")</f>
        <v/>
      </c>
      <c r="K72" s="5">
        <f>IFERROR(AVERAGEIFS(交易明細!$K$2:$K$648,交易明細!$B$2:$B$648,$A72,交易明細!$J$2:$J$648,"&lt;&gt;未平倉"),0)</f>
        <v/>
      </c>
      <c r="L72" s="2">
        <f>COUNTIFS(交易明細!$B$2:$B$648,$A72,交易明細!$J$2:$J$648,"未平倉")</f>
        <v/>
      </c>
    </row>
    <row r="73">
      <c r="A73" s="2" t="inlineStr">
        <is>
          <t>ALGO_USDT_PERP</t>
        </is>
      </c>
      <c r="B73" s="2">
        <f>COUNTIFS(交易明細!$B$2:$B$648,$A73)</f>
        <v/>
      </c>
      <c r="C73" s="2">
        <f>COUNTIFS(交易明細!$B$2:$B$648,$A73,交易明細!$C$2:$C$648,"做多")</f>
        <v/>
      </c>
      <c r="D73" s="2">
        <f>COUNTIFS(交易明細!$B$2:$B$648,$A73,交易明細!$C$2:$C$648,"做空")</f>
        <v/>
      </c>
      <c r="E73" s="2">
        <f>F73+G73+COUNTIFS(交易明細!$B$2:$B$648,$A73,交易明細!$J$2:$J$648,"時間出場")</f>
        <v/>
      </c>
      <c r="F73" s="2">
        <f>COUNTIFS(交易明細!$B$2:$B$648,$A73,交易明細!$J$2:$J$648,"止盈")</f>
        <v/>
      </c>
      <c r="G73" s="2">
        <f>COUNTIFS(交易明細!$B$2:$B$648,$A73,交易明細!$J$2:$J$648,"止損")</f>
        <v/>
      </c>
      <c r="H73" s="4">
        <f>IFERROR(F73/E73,0)</f>
        <v/>
      </c>
      <c r="I73" s="4">
        <f>IFERROR(AVERAGEIFS(交易明細!$L$2:$L$648,交易明細!$B$2:$B$648,$A73,交易明細!$J$2:$J$648,"&lt;&gt;未平倉"),0)</f>
        <v/>
      </c>
      <c r="J73" s="4">
        <f>SUMIFS(交易明細!$L$2:$L$648,交易明細!$B$2:$B$648,$A73,交易明細!$J$2:$J$648,"&lt;&gt;未平倉")</f>
        <v/>
      </c>
      <c r="K73" s="5">
        <f>IFERROR(AVERAGEIFS(交易明細!$K$2:$K$648,交易明細!$B$2:$B$648,$A73,交易明細!$J$2:$J$648,"&lt;&gt;未平倉"),0)</f>
        <v/>
      </c>
      <c r="L73" s="2">
        <f>COUNTIFS(交易明細!$B$2:$B$648,$A73,交易明細!$J$2:$J$648,"未平倉")</f>
        <v/>
      </c>
    </row>
    <row r="74">
      <c r="A74" s="2" t="inlineStr">
        <is>
          <t>NMR_USDT_PERP</t>
        </is>
      </c>
      <c r="B74" s="2">
        <f>COUNTIFS(交易明細!$B$2:$B$648,$A74)</f>
        <v/>
      </c>
      <c r="C74" s="2">
        <f>COUNTIFS(交易明細!$B$2:$B$648,$A74,交易明細!$C$2:$C$648,"做多")</f>
        <v/>
      </c>
      <c r="D74" s="2">
        <f>COUNTIFS(交易明細!$B$2:$B$648,$A74,交易明細!$C$2:$C$648,"做空")</f>
        <v/>
      </c>
      <c r="E74" s="2">
        <f>F74+G74+COUNTIFS(交易明細!$B$2:$B$648,$A74,交易明細!$J$2:$J$648,"時間出場")</f>
        <v/>
      </c>
      <c r="F74" s="2">
        <f>COUNTIFS(交易明細!$B$2:$B$648,$A74,交易明細!$J$2:$J$648,"止盈")</f>
        <v/>
      </c>
      <c r="G74" s="2">
        <f>COUNTIFS(交易明細!$B$2:$B$648,$A74,交易明細!$J$2:$J$648,"止損")</f>
        <v/>
      </c>
      <c r="H74" s="4">
        <f>IFERROR(F74/E74,0)</f>
        <v/>
      </c>
      <c r="I74" s="4">
        <f>IFERROR(AVERAGEIFS(交易明細!$L$2:$L$648,交易明細!$B$2:$B$648,$A74,交易明細!$J$2:$J$648,"&lt;&gt;未平倉"),0)</f>
        <v/>
      </c>
      <c r="J74" s="4">
        <f>SUMIFS(交易明細!$L$2:$L$648,交易明細!$B$2:$B$648,$A74,交易明細!$J$2:$J$648,"&lt;&gt;未平倉")</f>
        <v/>
      </c>
      <c r="K74" s="5">
        <f>IFERROR(AVERAGEIFS(交易明細!$K$2:$K$648,交易明細!$B$2:$B$648,$A74,交易明細!$J$2:$J$648,"&lt;&gt;未平倉"),0)</f>
        <v/>
      </c>
      <c r="L74" s="2">
        <f>COUNTIFS(交易明細!$B$2:$B$648,$A74,交易明細!$J$2:$J$648,"未平倉")</f>
        <v/>
      </c>
    </row>
    <row r="75">
      <c r="A75" s="2" t="inlineStr">
        <is>
          <t>0G_USDT_PERP</t>
        </is>
      </c>
      <c r="B75" s="2">
        <f>COUNTIFS(交易明細!$B$2:$B$648,$A75)</f>
        <v/>
      </c>
      <c r="C75" s="2">
        <f>COUNTIFS(交易明細!$B$2:$B$648,$A75,交易明細!$C$2:$C$648,"做多")</f>
        <v/>
      </c>
      <c r="D75" s="2">
        <f>COUNTIFS(交易明細!$B$2:$B$648,$A75,交易明細!$C$2:$C$648,"做空")</f>
        <v/>
      </c>
      <c r="E75" s="2">
        <f>F75+G75+COUNTIFS(交易明細!$B$2:$B$648,$A75,交易明細!$J$2:$J$648,"時間出場")</f>
        <v/>
      </c>
      <c r="F75" s="2">
        <f>COUNTIFS(交易明細!$B$2:$B$648,$A75,交易明細!$J$2:$J$648,"止盈")</f>
        <v/>
      </c>
      <c r="G75" s="2">
        <f>COUNTIFS(交易明細!$B$2:$B$648,$A75,交易明細!$J$2:$J$648,"止損")</f>
        <v/>
      </c>
      <c r="H75" s="4">
        <f>IFERROR(F75/E75,0)</f>
        <v/>
      </c>
      <c r="I75" s="4">
        <f>IFERROR(AVERAGEIFS(交易明細!$L$2:$L$648,交易明細!$B$2:$B$648,$A75,交易明細!$J$2:$J$648,"&lt;&gt;未平倉"),0)</f>
        <v/>
      </c>
      <c r="J75" s="4">
        <f>SUMIFS(交易明細!$L$2:$L$648,交易明細!$B$2:$B$648,$A75,交易明細!$J$2:$J$648,"&lt;&gt;未平倉")</f>
        <v/>
      </c>
      <c r="K75" s="5">
        <f>IFERROR(AVERAGEIFS(交易明細!$K$2:$K$648,交易明細!$B$2:$B$648,$A75,交易明細!$J$2:$J$648,"&lt;&gt;未平倉"),0)</f>
        <v/>
      </c>
      <c r="L75" s="2">
        <f>COUNTIFS(交易明細!$B$2:$B$648,$A75,交易明細!$J$2:$J$648,"未平倉")</f>
        <v/>
      </c>
    </row>
    <row r="76">
      <c r="A76" s="2" t="inlineStr">
        <is>
          <t>MAGMA_USDT_PERP</t>
        </is>
      </c>
      <c r="B76" s="2">
        <f>COUNTIFS(交易明細!$B$2:$B$648,$A76)</f>
        <v/>
      </c>
      <c r="C76" s="2">
        <f>COUNTIFS(交易明細!$B$2:$B$648,$A76,交易明細!$C$2:$C$648,"做多")</f>
        <v/>
      </c>
      <c r="D76" s="2">
        <f>COUNTIFS(交易明細!$B$2:$B$648,$A76,交易明細!$C$2:$C$648,"做空")</f>
        <v/>
      </c>
      <c r="E76" s="2">
        <f>F76+G76+COUNTIFS(交易明細!$B$2:$B$648,$A76,交易明細!$J$2:$J$648,"時間出場")</f>
        <v/>
      </c>
      <c r="F76" s="2">
        <f>COUNTIFS(交易明細!$B$2:$B$648,$A76,交易明細!$J$2:$J$648,"止盈")</f>
        <v/>
      </c>
      <c r="G76" s="2">
        <f>COUNTIFS(交易明細!$B$2:$B$648,$A76,交易明細!$J$2:$J$648,"止損")</f>
        <v/>
      </c>
      <c r="H76" s="4">
        <f>IFERROR(F76/E76,0)</f>
        <v/>
      </c>
      <c r="I76" s="4">
        <f>IFERROR(AVERAGEIFS(交易明細!$L$2:$L$648,交易明細!$B$2:$B$648,$A76,交易明細!$J$2:$J$648,"&lt;&gt;未平倉"),0)</f>
        <v/>
      </c>
      <c r="J76" s="4">
        <f>SUMIFS(交易明細!$L$2:$L$648,交易明細!$B$2:$B$648,$A76,交易明細!$J$2:$J$648,"&lt;&gt;未平倉")</f>
        <v/>
      </c>
      <c r="K76" s="5">
        <f>IFERROR(AVERAGEIFS(交易明細!$K$2:$K$648,交易明細!$B$2:$B$648,$A76,交易明細!$J$2:$J$648,"&lt;&gt;未平倉"),0)</f>
        <v/>
      </c>
      <c r="L76" s="2">
        <f>COUNTIFS(交易明細!$B$2:$B$648,$A76,交易明細!$J$2:$J$648,"未平倉")</f>
        <v/>
      </c>
    </row>
    <row r="77">
      <c r="A77" s="2" t="inlineStr">
        <is>
          <t>CHIP_USDT_PERP</t>
        </is>
      </c>
      <c r="B77" s="2">
        <f>COUNTIFS(交易明細!$B$2:$B$648,$A77)</f>
        <v/>
      </c>
      <c r="C77" s="2">
        <f>COUNTIFS(交易明細!$B$2:$B$648,$A77,交易明細!$C$2:$C$648,"做多")</f>
        <v/>
      </c>
      <c r="D77" s="2">
        <f>COUNTIFS(交易明細!$B$2:$B$648,$A77,交易明細!$C$2:$C$648,"做空")</f>
        <v/>
      </c>
      <c r="E77" s="2">
        <f>F77+G77+COUNTIFS(交易明細!$B$2:$B$648,$A77,交易明細!$J$2:$J$648,"時間出場")</f>
        <v/>
      </c>
      <c r="F77" s="2">
        <f>COUNTIFS(交易明細!$B$2:$B$648,$A77,交易明細!$J$2:$J$648,"止盈")</f>
        <v/>
      </c>
      <c r="G77" s="2">
        <f>COUNTIFS(交易明細!$B$2:$B$648,$A77,交易明細!$J$2:$J$648,"止損")</f>
        <v/>
      </c>
      <c r="H77" s="4">
        <f>IFERROR(F77/E77,0)</f>
        <v/>
      </c>
      <c r="I77" s="4">
        <f>IFERROR(AVERAGEIFS(交易明細!$L$2:$L$648,交易明細!$B$2:$B$648,$A77,交易明細!$J$2:$J$648,"&lt;&gt;未平倉"),0)</f>
        <v/>
      </c>
      <c r="J77" s="4">
        <f>SUMIFS(交易明細!$L$2:$L$648,交易明細!$B$2:$B$648,$A77,交易明細!$J$2:$J$648,"&lt;&gt;未平倉")</f>
        <v/>
      </c>
      <c r="K77" s="5">
        <f>IFERROR(AVERAGEIFS(交易明細!$K$2:$K$648,交易明細!$B$2:$B$648,$A77,交易明細!$J$2:$J$648,"&lt;&gt;未平倉"),0)</f>
        <v/>
      </c>
      <c r="L77" s="2">
        <f>COUNTIFS(交易明細!$B$2:$B$648,$A77,交易明細!$J$2:$J$648,"未平倉")</f>
        <v/>
      </c>
    </row>
    <row r="78">
      <c r="A78" s="2" t="inlineStr">
        <is>
          <t>FARTCOIN_USDT_PERP</t>
        </is>
      </c>
      <c r="B78" s="2">
        <f>COUNTIFS(交易明細!$B$2:$B$648,$A78)</f>
        <v/>
      </c>
      <c r="C78" s="2">
        <f>COUNTIFS(交易明細!$B$2:$B$648,$A78,交易明細!$C$2:$C$648,"做多")</f>
        <v/>
      </c>
      <c r="D78" s="2">
        <f>COUNTIFS(交易明細!$B$2:$B$648,$A78,交易明細!$C$2:$C$648,"做空")</f>
        <v/>
      </c>
      <c r="E78" s="2">
        <f>F78+G78+COUNTIFS(交易明細!$B$2:$B$648,$A78,交易明細!$J$2:$J$648,"時間出場")</f>
        <v/>
      </c>
      <c r="F78" s="2">
        <f>COUNTIFS(交易明細!$B$2:$B$648,$A78,交易明細!$J$2:$J$648,"止盈")</f>
        <v/>
      </c>
      <c r="G78" s="2">
        <f>COUNTIFS(交易明細!$B$2:$B$648,$A78,交易明細!$J$2:$J$648,"止損")</f>
        <v/>
      </c>
      <c r="H78" s="4">
        <f>IFERROR(F78/E78,0)</f>
        <v/>
      </c>
      <c r="I78" s="4">
        <f>IFERROR(AVERAGEIFS(交易明細!$L$2:$L$648,交易明細!$B$2:$B$648,$A78,交易明細!$J$2:$J$648,"&lt;&gt;未平倉"),0)</f>
        <v/>
      </c>
      <c r="J78" s="4">
        <f>SUMIFS(交易明細!$L$2:$L$648,交易明細!$B$2:$B$648,$A78,交易明細!$J$2:$J$648,"&lt;&gt;未平倉")</f>
        <v/>
      </c>
      <c r="K78" s="5">
        <f>IFERROR(AVERAGEIFS(交易明細!$K$2:$K$648,交易明細!$B$2:$B$648,$A78,交易明細!$J$2:$J$648,"&lt;&gt;未平倉"),0)</f>
        <v/>
      </c>
      <c r="L78" s="2">
        <f>COUNTIFS(交易明細!$B$2:$B$648,$A78,交易明細!$J$2:$J$648,"未平倉")</f>
        <v/>
      </c>
    </row>
    <row r="79">
      <c r="A79" s="2" t="inlineStr">
        <is>
          <t>TRIA_USDT_PERP</t>
        </is>
      </c>
      <c r="B79" s="2">
        <f>COUNTIFS(交易明細!$B$2:$B$648,$A79)</f>
        <v/>
      </c>
      <c r="C79" s="2">
        <f>COUNTIFS(交易明細!$B$2:$B$648,$A79,交易明細!$C$2:$C$648,"做多")</f>
        <v/>
      </c>
      <c r="D79" s="2">
        <f>COUNTIFS(交易明細!$B$2:$B$648,$A79,交易明細!$C$2:$C$648,"做空")</f>
        <v/>
      </c>
      <c r="E79" s="2">
        <f>F79+G79+COUNTIFS(交易明細!$B$2:$B$648,$A79,交易明細!$J$2:$J$648,"時間出場")</f>
        <v/>
      </c>
      <c r="F79" s="2">
        <f>COUNTIFS(交易明細!$B$2:$B$648,$A79,交易明細!$J$2:$J$648,"止盈")</f>
        <v/>
      </c>
      <c r="G79" s="2">
        <f>COUNTIFS(交易明細!$B$2:$B$648,$A79,交易明細!$J$2:$J$648,"止損")</f>
        <v/>
      </c>
      <c r="H79" s="4">
        <f>IFERROR(F79/E79,0)</f>
        <v/>
      </c>
      <c r="I79" s="4">
        <f>IFERROR(AVERAGEIFS(交易明細!$L$2:$L$648,交易明細!$B$2:$B$648,$A79,交易明細!$J$2:$J$648,"&lt;&gt;未平倉"),0)</f>
        <v/>
      </c>
      <c r="J79" s="4">
        <f>SUMIFS(交易明細!$L$2:$L$648,交易明細!$B$2:$B$648,$A79,交易明細!$J$2:$J$648,"&lt;&gt;未平倉")</f>
        <v/>
      </c>
      <c r="K79" s="5">
        <f>IFERROR(AVERAGEIFS(交易明細!$K$2:$K$648,交易明細!$B$2:$B$648,$A79,交易明細!$J$2:$J$648,"&lt;&gt;未平倉"),0)</f>
        <v/>
      </c>
      <c r="L79" s="2">
        <f>COUNTIFS(交易明細!$B$2:$B$648,$A79,交易明細!$J$2:$J$648,"未平倉")</f>
        <v/>
      </c>
    </row>
    <row r="80">
      <c r="A80" s="2" t="inlineStr">
        <is>
          <t>CASHCAT_USDT_PERP</t>
        </is>
      </c>
      <c r="B80" s="2">
        <f>COUNTIFS(交易明細!$B$2:$B$648,$A80)</f>
        <v/>
      </c>
      <c r="C80" s="2">
        <f>COUNTIFS(交易明細!$B$2:$B$648,$A80,交易明細!$C$2:$C$648,"做多")</f>
        <v/>
      </c>
      <c r="D80" s="2">
        <f>COUNTIFS(交易明細!$B$2:$B$648,$A80,交易明細!$C$2:$C$648,"做空")</f>
        <v/>
      </c>
      <c r="E80" s="2">
        <f>F80+G80+COUNTIFS(交易明細!$B$2:$B$648,$A80,交易明細!$J$2:$J$648,"時間出場")</f>
        <v/>
      </c>
      <c r="F80" s="2">
        <f>COUNTIFS(交易明細!$B$2:$B$648,$A80,交易明細!$J$2:$J$648,"止盈")</f>
        <v/>
      </c>
      <c r="G80" s="2">
        <f>COUNTIFS(交易明細!$B$2:$B$648,$A80,交易明細!$J$2:$J$648,"止損")</f>
        <v/>
      </c>
      <c r="H80" s="4">
        <f>IFERROR(F80/E80,0)</f>
        <v/>
      </c>
      <c r="I80" s="4">
        <f>IFERROR(AVERAGEIFS(交易明細!$L$2:$L$648,交易明細!$B$2:$B$648,$A80,交易明細!$J$2:$J$648,"&lt;&gt;未平倉"),0)</f>
        <v/>
      </c>
      <c r="J80" s="4">
        <f>SUMIFS(交易明細!$L$2:$L$648,交易明細!$B$2:$B$648,$A80,交易明細!$J$2:$J$648,"&lt;&gt;未平倉")</f>
        <v/>
      </c>
      <c r="K80" s="5">
        <f>IFERROR(AVERAGEIFS(交易明細!$K$2:$K$648,交易明細!$B$2:$B$648,$A80,交易明細!$J$2:$J$648,"&lt;&gt;未平倉"),0)</f>
        <v/>
      </c>
      <c r="L80" s="2">
        <f>COUNTIFS(交易明細!$B$2:$B$648,$A80,交易明細!$J$2:$J$648,"未平倉")</f>
        <v/>
      </c>
    </row>
    <row r="81">
      <c r="A81" s="2" t="inlineStr">
        <is>
          <t>FF_USDT_PERP</t>
        </is>
      </c>
      <c r="B81" s="2">
        <f>COUNTIFS(交易明細!$B$2:$B$648,$A81)</f>
        <v/>
      </c>
      <c r="C81" s="2">
        <f>COUNTIFS(交易明細!$B$2:$B$648,$A81,交易明細!$C$2:$C$648,"做多")</f>
        <v/>
      </c>
      <c r="D81" s="2">
        <f>COUNTIFS(交易明細!$B$2:$B$648,$A81,交易明細!$C$2:$C$648,"做空")</f>
        <v/>
      </c>
      <c r="E81" s="2">
        <f>F81+G81+COUNTIFS(交易明細!$B$2:$B$648,$A81,交易明細!$J$2:$J$648,"時間出場")</f>
        <v/>
      </c>
      <c r="F81" s="2">
        <f>COUNTIFS(交易明細!$B$2:$B$648,$A81,交易明細!$J$2:$J$648,"止盈")</f>
        <v/>
      </c>
      <c r="G81" s="2">
        <f>COUNTIFS(交易明細!$B$2:$B$648,$A81,交易明細!$J$2:$J$648,"止損")</f>
        <v/>
      </c>
      <c r="H81" s="4">
        <f>IFERROR(F81/E81,0)</f>
        <v/>
      </c>
      <c r="I81" s="4">
        <f>IFERROR(AVERAGEIFS(交易明細!$L$2:$L$648,交易明細!$B$2:$B$648,$A81,交易明細!$J$2:$J$648,"&lt;&gt;未平倉"),0)</f>
        <v/>
      </c>
      <c r="J81" s="4">
        <f>SUMIFS(交易明細!$L$2:$L$648,交易明細!$B$2:$B$648,$A81,交易明細!$J$2:$J$648,"&lt;&gt;未平倉")</f>
        <v/>
      </c>
      <c r="K81" s="5">
        <f>IFERROR(AVERAGEIFS(交易明細!$K$2:$K$648,交易明細!$B$2:$B$648,$A81,交易明細!$J$2:$J$648,"&lt;&gt;未平倉"),0)</f>
        <v/>
      </c>
      <c r="L81" s="2">
        <f>COUNTIFS(交易明細!$B$2:$B$648,$A81,交易明細!$J$2:$J$648,"未平倉")</f>
        <v/>
      </c>
    </row>
    <row r="82">
      <c r="A82" s="2" t="inlineStr">
        <is>
          <t>KAT_USDT_PERP</t>
        </is>
      </c>
      <c r="B82" s="2">
        <f>COUNTIFS(交易明細!$B$2:$B$648,$A82)</f>
        <v/>
      </c>
      <c r="C82" s="2">
        <f>COUNTIFS(交易明細!$B$2:$B$648,$A82,交易明細!$C$2:$C$648,"做多")</f>
        <v/>
      </c>
      <c r="D82" s="2">
        <f>COUNTIFS(交易明細!$B$2:$B$648,$A82,交易明細!$C$2:$C$648,"做空")</f>
        <v/>
      </c>
      <c r="E82" s="2">
        <f>F82+G82+COUNTIFS(交易明細!$B$2:$B$648,$A82,交易明細!$J$2:$J$648,"時間出場")</f>
        <v/>
      </c>
      <c r="F82" s="2">
        <f>COUNTIFS(交易明細!$B$2:$B$648,$A82,交易明細!$J$2:$J$648,"止盈")</f>
        <v/>
      </c>
      <c r="G82" s="2">
        <f>COUNTIFS(交易明細!$B$2:$B$648,$A82,交易明細!$J$2:$J$648,"止損")</f>
        <v/>
      </c>
      <c r="H82" s="4">
        <f>IFERROR(F82/E82,0)</f>
        <v/>
      </c>
      <c r="I82" s="4">
        <f>IFERROR(AVERAGEIFS(交易明細!$L$2:$L$648,交易明細!$B$2:$B$648,$A82,交易明細!$J$2:$J$648,"&lt;&gt;未平倉"),0)</f>
        <v/>
      </c>
      <c r="J82" s="4">
        <f>SUMIFS(交易明細!$L$2:$L$648,交易明細!$B$2:$B$648,$A82,交易明細!$J$2:$J$648,"&lt;&gt;未平倉")</f>
        <v/>
      </c>
      <c r="K82" s="5">
        <f>IFERROR(AVERAGEIFS(交易明細!$K$2:$K$648,交易明細!$B$2:$B$648,$A82,交易明細!$J$2:$J$648,"&lt;&gt;未平倉"),0)</f>
        <v/>
      </c>
      <c r="L82" s="2">
        <f>COUNTIFS(交易明細!$B$2:$B$648,$A82,交易明細!$J$2:$J$648,"未平倉")</f>
        <v/>
      </c>
    </row>
    <row r="83">
      <c r="A83" s="2" t="inlineStr">
        <is>
          <t>CAP_USDT_PERP</t>
        </is>
      </c>
      <c r="B83" s="2">
        <f>COUNTIFS(交易明細!$B$2:$B$648,$A83)</f>
        <v/>
      </c>
      <c r="C83" s="2">
        <f>COUNTIFS(交易明細!$B$2:$B$648,$A83,交易明細!$C$2:$C$648,"做多")</f>
        <v/>
      </c>
      <c r="D83" s="2">
        <f>COUNTIFS(交易明細!$B$2:$B$648,$A83,交易明細!$C$2:$C$648,"做空")</f>
        <v/>
      </c>
      <c r="E83" s="2">
        <f>F83+G83+COUNTIFS(交易明細!$B$2:$B$648,$A83,交易明細!$J$2:$J$648,"時間出場")</f>
        <v/>
      </c>
      <c r="F83" s="2">
        <f>COUNTIFS(交易明細!$B$2:$B$648,$A83,交易明細!$J$2:$J$648,"止盈")</f>
        <v/>
      </c>
      <c r="G83" s="2">
        <f>COUNTIFS(交易明細!$B$2:$B$648,$A83,交易明細!$J$2:$J$648,"止損")</f>
        <v/>
      </c>
      <c r="H83" s="4">
        <f>IFERROR(F83/E83,0)</f>
        <v/>
      </c>
      <c r="I83" s="4">
        <f>IFERROR(AVERAGEIFS(交易明細!$L$2:$L$648,交易明細!$B$2:$B$648,$A83,交易明細!$J$2:$J$648,"&lt;&gt;未平倉"),0)</f>
        <v/>
      </c>
      <c r="J83" s="4">
        <f>SUMIFS(交易明細!$L$2:$L$648,交易明細!$B$2:$B$648,$A83,交易明細!$J$2:$J$648,"&lt;&gt;未平倉")</f>
        <v/>
      </c>
      <c r="K83" s="5">
        <f>IFERROR(AVERAGEIFS(交易明細!$K$2:$K$648,交易明細!$B$2:$B$648,$A83,交易明細!$J$2:$J$648,"&lt;&gt;未平倉"),0)</f>
        <v/>
      </c>
      <c r="L83" s="2">
        <f>COUNTIFS(交易明細!$B$2:$B$648,$A83,交易明細!$J$2:$J$648,"未平倉")</f>
        <v/>
      </c>
    </row>
    <row r="84">
      <c r="A84" s="2" t="inlineStr">
        <is>
          <t>XRP_USDT_PERP</t>
        </is>
      </c>
      <c r="B84" s="2">
        <f>COUNTIFS(交易明細!$B$2:$B$648,$A84)</f>
        <v/>
      </c>
      <c r="C84" s="2">
        <f>COUNTIFS(交易明細!$B$2:$B$648,$A84,交易明細!$C$2:$C$648,"做多")</f>
        <v/>
      </c>
      <c r="D84" s="2">
        <f>COUNTIFS(交易明細!$B$2:$B$648,$A84,交易明細!$C$2:$C$648,"做空")</f>
        <v/>
      </c>
      <c r="E84" s="2">
        <f>F84+G84+COUNTIFS(交易明細!$B$2:$B$648,$A84,交易明細!$J$2:$J$648,"時間出場")</f>
        <v/>
      </c>
      <c r="F84" s="2">
        <f>COUNTIFS(交易明細!$B$2:$B$648,$A84,交易明細!$J$2:$J$648,"止盈")</f>
        <v/>
      </c>
      <c r="G84" s="2">
        <f>COUNTIFS(交易明細!$B$2:$B$648,$A84,交易明細!$J$2:$J$648,"止損")</f>
        <v/>
      </c>
      <c r="H84" s="4">
        <f>IFERROR(F84/E84,0)</f>
        <v/>
      </c>
      <c r="I84" s="4">
        <f>IFERROR(AVERAGEIFS(交易明細!$L$2:$L$648,交易明細!$B$2:$B$648,$A84,交易明細!$J$2:$J$648,"&lt;&gt;未平倉"),0)</f>
        <v/>
      </c>
      <c r="J84" s="4">
        <f>SUMIFS(交易明細!$L$2:$L$648,交易明細!$B$2:$B$648,$A84,交易明細!$J$2:$J$648,"&lt;&gt;未平倉")</f>
        <v/>
      </c>
      <c r="K84" s="5">
        <f>IFERROR(AVERAGEIFS(交易明細!$K$2:$K$648,交易明細!$B$2:$B$648,$A84,交易明細!$J$2:$J$648,"&lt;&gt;未平倉"),0)</f>
        <v/>
      </c>
      <c r="L84" s="2">
        <f>COUNTIFS(交易明細!$B$2:$B$648,$A84,交易明細!$J$2:$J$648,"未平倉")</f>
        <v/>
      </c>
    </row>
    <row r="85">
      <c r="A85" s="2" t="inlineStr">
        <is>
          <t>CROSS_USDT_PERP</t>
        </is>
      </c>
      <c r="B85" s="2">
        <f>COUNTIFS(交易明細!$B$2:$B$648,$A85)</f>
        <v/>
      </c>
      <c r="C85" s="2">
        <f>COUNTIFS(交易明細!$B$2:$B$648,$A85,交易明細!$C$2:$C$648,"做多")</f>
        <v/>
      </c>
      <c r="D85" s="2">
        <f>COUNTIFS(交易明細!$B$2:$B$648,$A85,交易明細!$C$2:$C$648,"做空")</f>
        <v/>
      </c>
      <c r="E85" s="2">
        <f>F85+G85+COUNTIFS(交易明細!$B$2:$B$648,$A85,交易明細!$J$2:$J$648,"時間出場")</f>
        <v/>
      </c>
      <c r="F85" s="2">
        <f>COUNTIFS(交易明細!$B$2:$B$648,$A85,交易明細!$J$2:$J$648,"止盈")</f>
        <v/>
      </c>
      <c r="G85" s="2">
        <f>COUNTIFS(交易明細!$B$2:$B$648,$A85,交易明細!$J$2:$J$648,"止損")</f>
        <v/>
      </c>
      <c r="H85" s="4">
        <f>IFERROR(F85/E85,0)</f>
        <v/>
      </c>
      <c r="I85" s="4">
        <f>IFERROR(AVERAGEIFS(交易明細!$L$2:$L$648,交易明細!$B$2:$B$648,$A85,交易明細!$J$2:$J$648,"&lt;&gt;未平倉"),0)</f>
        <v/>
      </c>
      <c r="J85" s="4">
        <f>SUMIFS(交易明細!$L$2:$L$648,交易明細!$B$2:$B$648,$A85,交易明細!$J$2:$J$648,"&lt;&gt;未平倉")</f>
        <v/>
      </c>
      <c r="K85" s="5">
        <f>IFERROR(AVERAGEIFS(交易明細!$K$2:$K$648,交易明細!$B$2:$B$648,$A85,交易明細!$J$2:$J$648,"&lt;&gt;未平倉"),0)</f>
        <v/>
      </c>
      <c r="L85" s="2">
        <f>COUNTIFS(交易明細!$B$2:$B$648,$A85,交易明細!$J$2:$J$648,"未平倉")</f>
        <v/>
      </c>
    </row>
    <row r="86">
      <c r="A86" s="2" t="inlineStr">
        <is>
          <t>MYX_USDT_PERP</t>
        </is>
      </c>
      <c r="B86" s="2">
        <f>COUNTIFS(交易明細!$B$2:$B$648,$A86)</f>
        <v/>
      </c>
      <c r="C86" s="2">
        <f>COUNTIFS(交易明細!$B$2:$B$648,$A86,交易明細!$C$2:$C$648,"做多")</f>
        <v/>
      </c>
      <c r="D86" s="2">
        <f>COUNTIFS(交易明細!$B$2:$B$648,$A86,交易明細!$C$2:$C$648,"做空")</f>
        <v/>
      </c>
      <c r="E86" s="2">
        <f>F86+G86+COUNTIFS(交易明細!$B$2:$B$648,$A86,交易明細!$J$2:$J$648,"時間出場")</f>
        <v/>
      </c>
      <c r="F86" s="2">
        <f>COUNTIFS(交易明細!$B$2:$B$648,$A86,交易明細!$J$2:$J$648,"止盈")</f>
        <v/>
      </c>
      <c r="G86" s="2">
        <f>COUNTIFS(交易明細!$B$2:$B$648,$A86,交易明細!$J$2:$J$648,"止損")</f>
        <v/>
      </c>
      <c r="H86" s="4">
        <f>IFERROR(F86/E86,0)</f>
        <v/>
      </c>
      <c r="I86" s="4">
        <f>IFERROR(AVERAGEIFS(交易明細!$L$2:$L$648,交易明細!$B$2:$B$648,$A86,交易明細!$J$2:$J$648,"&lt;&gt;未平倉"),0)</f>
        <v/>
      </c>
      <c r="J86" s="4">
        <f>SUMIFS(交易明細!$L$2:$L$648,交易明細!$B$2:$B$648,$A86,交易明細!$J$2:$J$648,"&lt;&gt;未平倉")</f>
        <v/>
      </c>
      <c r="K86" s="5">
        <f>IFERROR(AVERAGEIFS(交易明細!$K$2:$K$648,交易明細!$B$2:$B$648,$A86,交易明細!$J$2:$J$648,"&lt;&gt;未平倉"),0)</f>
        <v/>
      </c>
      <c r="L86" s="2">
        <f>COUNTIFS(交易明細!$B$2:$B$648,$A86,交易明細!$J$2:$J$648,"未平倉")</f>
        <v/>
      </c>
    </row>
    <row r="87">
      <c r="A87" s="2" t="inlineStr">
        <is>
          <t>BANK_USDT_PERP</t>
        </is>
      </c>
      <c r="B87" s="2">
        <f>COUNTIFS(交易明細!$B$2:$B$648,$A87)</f>
        <v/>
      </c>
      <c r="C87" s="2">
        <f>COUNTIFS(交易明細!$B$2:$B$648,$A87,交易明細!$C$2:$C$648,"做多")</f>
        <v/>
      </c>
      <c r="D87" s="2">
        <f>COUNTIFS(交易明細!$B$2:$B$648,$A87,交易明細!$C$2:$C$648,"做空")</f>
        <v/>
      </c>
      <c r="E87" s="2">
        <f>F87+G87+COUNTIFS(交易明細!$B$2:$B$648,$A87,交易明細!$J$2:$J$648,"時間出場")</f>
        <v/>
      </c>
      <c r="F87" s="2">
        <f>COUNTIFS(交易明細!$B$2:$B$648,$A87,交易明細!$J$2:$J$648,"止盈")</f>
        <v/>
      </c>
      <c r="G87" s="2">
        <f>COUNTIFS(交易明細!$B$2:$B$648,$A87,交易明細!$J$2:$J$648,"止損")</f>
        <v/>
      </c>
      <c r="H87" s="4">
        <f>IFERROR(F87/E87,0)</f>
        <v/>
      </c>
      <c r="I87" s="4">
        <f>IFERROR(AVERAGEIFS(交易明細!$L$2:$L$648,交易明細!$B$2:$B$648,$A87,交易明細!$J$2:$J$648,"&lt;&gt;未平倉"),0)</f>
        <v/>
      </c>
      <c r="J87" s="4">
        <f>SUMIFS(交易明細!$L$2:$L$648,交易明細!$B$2:$B$648,$A87,交易明細!$J$2:$J$648,"&lt;&gt;未平倉")</f>
        <v/>
      </c>
      <c r="K87" s="5">
        <f>IFERROR(AVERAGEIFS(交易明細!$K$2:$K$648,交易明細!$B$2:$B$648,$A87,交易明細!$J$2:$J$648,"&lt;&gt;未平倉"),0)</f>
        <v/>
      </c>
      <c r="L87" s="2">
        <f>COUNTIFS(交易明細!$B$2:$B$648,$A87,交易明細!$J$2:$J$648,"未平倉")</f>
        <v/>
      </c>
    </row>
    <row r="88">
      <c r="A88" s="2" t="inlineStr">
        <is>
          <t>ETHFI_USDT_PERP</t>
        </is>
      </c>
      <c r="B88" s="2">
        <f>COUNTIFS(交易明細!$B$2:$B$648,$A88)</f>
        <v/>
      </c>
      <c r="C88" s="2">
        <f>COUNTIFS(交易明細!$B$2:$B$648,$A88,交易明細!$C$2:$C$648,"做多")</f>
        <v/>
      </c>
      <c r="D88" s="2">
        <f>COUNTIFS(交易明細!$B$2:$B$648,$A88,交易明細!$C$2:$C$648,"做空")</f>
        <v/>
      </c>
      <c r="E88" s="2">
        <f>F88+G88+COUNTIFS(交易明細!$B$2:$B$648,$A88,交易明細!$J$2:$J$648,"時間出場")</f>
        <v/>
      </c>
      <c r="F88" s="2">
        <f>COUNTIFS(交易明細!$B$2:$B$648,$A88,交易明細!$J$2:$J$648,"止盈")</f>
        <v/>
      </c>
      <c r="G88" s="2">
        <f>COUNTIFS(交易明細!$B$2:$B$648,$A88,交易明細!$J$2:$J$648,"止損")</f>
        <v/>
      </c>
      <c r="H88" s="4">
        <f>IFERROR(F88/E88,0)</f>
        <v/>
      </c>
      <c r="I88" s="4">
        <f>IFERROR(AVERAGEIFS(交易明細!$L$2:$L$648,交易明細!$B$2:$B$648,$A88,交易明細!$J$2:$J$648,"&lt;&gt;未平倉"),0)</f>
        <v/>
      </c>
      <c r="J88" s="4">
        <f>SUMIFS(交易明細!$L$2:$L$648,交易明細!$B$2:$B$648,$A88,交易明細!$J$2:$J$648,"&lt;&gt;未平倉")</f>
        <v/>
      </c>
      <c r="K88" s="5">
        <f>IFERROR(AVERAGEIFS(交易明細!$K$2:$K$648,交易明細!$B$2:$B$648,$A88,交易明細!$J$2:$J$648,"&lt;&gt;未平倉"),0)</f>
        <v/>
      </c>
      <c r="L88" s="2">
        <f>COUNTIFS(交易明細!$B$2:$B$648,$A88,交易明細!$J$2:$J$648,"未平倉")</f>
        <v/>
      </c>
    </row>
    <row r="89">
      <c r="A89" s="2" t="inlineStr">
        <is>
          <t>KITE_USDT_PERP</t>
        </is>
      </c>
      <c r="B89" s="2">
        <f>COUNTIFS(交易明細!$B$2:$B$648,$A89)</f>
        <v/>
      </c>
      <c r="C89" s="2">
        <f>COUNTIFS(交易明細!$B$2:$B$648,$A89,交易明細!$C$2:$C$648,"做多")</f>
        <v/>
      </c>
      <c r="D89" s="2">
        <f>COUNTIFS(交易明細!$B$2:$B$648,$A89,交易明細!$C$2:$C$648,"做空")</f>
        <v/>
      </c>
      <c r="E89" s="2">
        <f>F89+G89+COUNTIFS(交易明細!$B$2:$B$648,$A89,交易明細!$J$2:$J$648,"時間出場")</f>
        <v/>
      </c>
      <c r="F89" s="2">
        <f>COUNTIFS(交易明細!$B$2:$B$648,$A89,交易明細!$J$2:$J$648,"止盈")</f>
        <v/>
      </c>
      <c r="G89" s="2">
        <f>COUNTIFS(交易明細!$B$2:$B$648,$A89,交易明細!$J$2:$J$648,"止損")</f>
        <v/>
      </c>
      <c r="H89" s="4">
        <f>IFERROR(F89/E89,0)</f>
        <v/>
      </c>
      <c r="I89" s="4">
        <f>IFERROR(AVERAGEIFS(交易明細!$L$2:$L$648,交易明細!$B$2:$B$648,$A89,交易明細!$J$2:$J$648,"&lt;&gt;未平倉"),0)</f>
        <v/>
      </c>
      <c r="J89" s="4">
        <f>SUMIFS(交易明細!$L$2:$L$648,交易明細!$B$2:$B$648,$A89,交易明細!$J$2:$J$648,"&lt;&gt;未平倉")</f>
        <v/>
      </c>
      <c r="K89" s="5">
        <f>IFERROR(AVERAGEIFS(交易明細!$K$2:$K$648,交易明細!$B$2:$B$648,$A89,交易明細!$J$2:$J$648,"&lt;&gt;未平倉"),0)</f>
        <v/>
      </c>
      <c r="L89" s="2">
        <f>COUNTIFS(交易明細!$B$2:$B$648,$A89,交易明細!$J$2:$J$648,"未平倉")</f>
        <v/>
      </c>
    </row>
    <row r="90">
      <c r="A90" s="2" t="inlineStr">
        <is>
          <t>ADA_USDT_PERP</t>
        </is>
      </c>
      <c r="B90" s="2">
        <f>COUNTIFS(交易明細!$B$2:$B$648,$A90)</f>
        <v/>
      </c>
      <c r="C90" s="2">
        <f>COUNTIFS(交易明細!$B$2:$B$648,$A90,交易明細!$C$2:$C$648,"做多")</f>
        <v/>
      </c>
      <c r="D90" s="2">
        <f>COUNTIFS(交易明細!$B$2:$B$648,$A90,交易明細!$C$2:$C$648,"做空")</f>
        <v/>
      </c>
      <c r="E90" s="2">
        <f>F90+G90+COUNTIFS(交易明細!$B$2:$B$648,$A90,交易明細!$J$2:$J$648,"時間出場")</f>
        <v/>
      </c>
      <c r="F90" s="2">
        <f>COUNTIFS(交易明細!$B$2:$B$648,$A90,交易明細!$J$2:$J$648,"止盈")</f>
        <v/>
      </c>
      <c r="G90" s="2">
        <f>COUNTIFS(交易明細!$B$2:$B$648,$A90,交易明細!$J$2:$J$648,"止損")</f>
        <v/>
      </c>
      <c r="H90" s="4">
        <f>IFERROR(F90/E90,0)</f>
        <v/>
      </c>
      <c r="I90" s="4">
        <f>IFERROR(AVERAGEIFS(交易明細!$L$2:$L$648,交易明細!$B$2:$B$648,$A90,交易明細!$J$2:$J$648,"&lt;&gt;未平倉"),0)</f>
        <v/>
      </c>
      <c r="J90" s="4">
        <f>SUMIFS(交易明細!$L$2:$L$648,交易明細!$B$2:$B$648,$A90,交易明細!$J$2:$J$648,"&lt;&gt;未平倉")</f>
        <v/>
      </c>
      <c r="K90" s="5">
        <f>IFERROR(AVERAGEIFS(交易明細!$K$2:$K$648,交易明細!$B$2:$B$648,$A90,交易明細!$J$2:$J$648,"&lt;&gt;未平倉"),0)</f>
        <v/>
      </c>
      <c r="L90" s="2">
        <f>COUNTIFS(交易明細!$B$2:$B$648,$A90,交易明細!$J$2:$J$648,"未平倉")</f>
        <v/>
      </c>
    </row>
    <row r="91">
      <c r="A91" s="2" t="inlineStr">
        <is>
          <t>LTC_USDT_PERP</t>
        </is>
      </c>
      <c r="B91" s="2">
        <f>COUNTIFS(交易明細!$B$2:$B$648,$A91)</f>
        <v/>
      </c>
      <c r="C91" s="2">
        <f>COUNTIFS(交易明細!$B$2:$B$648,$A91,交易明細!$C$2:$C$648,"做多")</f>
        <v/>
      </c>
      <c r="D91" s="2">
        <f>COUNTIFS(交易明細!$B$2:$B$648,$A91,交易明細!$C$2:$C$648,"做空")</f>
        <v/>
      </c>
      <c r="E91" s="2">
        <f>F91+G91+COUNTIFS(交易明細!$B$2:$B$648,$A91,交易明細!$J$2:$J$648,"時間出場")</f>
        <v/>
      </c>
      <c r="F91" s="2">
        <f>COUNTIFS(交易明細!$B$2:$B$648,$A91,交易明細!$J$2:$J$648,"止盈")</f>
        <v/>
      </c>
      <c r="G91" s="2">
        <f>COUNTIFS(交易明細!$B$2:$B$648,$A91,交易明細!$J$2:$J$648,"止損")</f>
        <v/>
      </c>
      <c r="H91" s="4">
        <f>IFERROR(F91/E91,0)</f>
        <v/>
      </c>
      <c r="I91" s="4">
        <f>IFERROR(AVERAGEIFS(交易明細!$L$2:$L$648,交易明細!$B$2:$B$648,$A91,交易明細!$J$2:$J$648,"&lt;&gt;未平倉"),0)</f>
        <v/>
      </c>
      <c r="J91" s="4">
        <f>SUMIFS(交易明細!$L$2:$L$648,交易明細!$B$2:$B$648,$A91,交易明細!$J$2:$J$648,"&lt;&gt;未平倉")</f>
        <v/>
      </c>
      <c r="K91" s="5">
        <f>IFERROR(AVERAGEIFS(交易明細!$K$2:$K$648,交易明細!$B$2:$B$648,$A91,交易明細!$J$2:$J$648,"&lt;&gt;未平倉"),0)</f>
        <v/>
      </c>
      <c r="L91" s="2">
        <f>COUNTIFS(交易明細!$B$2:$B$648,$A91,交易明細!$J$2:$J$648,"未平倉")</f>
        <v/>
      </c>
    </row>
    <row r="92">
      <c r="A92" s="2" t="inlineStr">
        <is>
          <t>TIA_USDT_PERP</t>
        </is>
      </c>
      <c r="B92" s="2">
        <f>COUNTIFS(交易明細!$B$2:$B$648,$A92)</f>
        <v/>
      </c>
      <c r="C92" s="2">
        <f>COUNTIFS(交易明細!$B$2:$B$648,$A92,交易明細!$C$2:$C$648,"做多")</f>
        <v/>
      </c>
      <c r="D92" s="2">
        <f>COUNTIFS(交易明細!$B$2:$B$648,$A92,交易明細!$C$2:$C$648,"做空")</f>
        <v/>
      </c>
      <c r="E92" s="2">
        <f>F92+G92+COUNTIFS(交易明細!$B$2:$B$648,$A92,交易明細!$J$2:$J$648,"時間出場")</f>
        <v/>
      </c>
      <c r="F92" s="2">
        <f>COUNTIFS(交易明細!$B$2:$B$648,$A92,交易明細!$J$2:$J$648,"止盈")</f>
        <v/>
      </c>
      <c r="G92" s="2">
        <f>COUNTIFS(交易明細!$B$2:$B$648,$A92,交易明細!$J$2:$J$648,"止損")</f>
        <v/>
      </c>
      <c r="H92" s="4">
        <f>IFERROR(F92/E92,0)</f>
        <v/>
      </c>
      <c r="I92" s="4">
        <f>IFERROR(AVERAGEIFS(交易明細!$L$2:$L$648,交易明細!$B$2:$B$648,$A92,交易明細!$J$2:$J$648,"&lt;&gt;未平倉"),0)</f>
        <v/>
      </c>
      <c r="J92" s="4">
        <f>SUMIFS(交易明細!$L$2:$L$648,交易明細!$B$2:$B$648,$A92,交易明細!$J$2:$J$648,"&lt;&gt;未平倉")</f>
        <v/>
      </c>
      <c r="K92" s="5">
        <f>IFERROR(AVERAGEIFS(交易明細!$K$2:$K$648,交易明細!$B$2:$B$648,$A92,交易明細!$J$2:$J$648,"&lt;&gt;未平倉"),0)</f>
        <v/>
      </c>
      <c r="L92" s="2">
        <f>COUNTIFS(交易明細!$B$2:$B$648,$A92,交易明細!$J$2:$J$648,"未平倉")</f>
        <v/>
      </c>
    </row>
    <row r="93">
      <c r="A93" s="2" t="inlineStr">
        <is>
          <t>NOM_USDT_PERP</t>
        </is>
      </c>
      <c r="B93" s="2">
        <f>COUNTIFS(交易明細!$B$2:$B$648,$A93)</f>
        <v/>
      </c>
      <c r="C93" s="2">
        <f>COUNTIFS(交易明細!$B$2:$B$648,$A93,交易明細!$C$2:$C$648,"做多")</f>
        <v/>
      </c>
      <c r="D93" s="2">
        <f>COUNTIFS(交易明細!$B$2:$B$648,$A93,交易明細!$C$2:$C$648,"做空")</f>
        <v/>
      </c>
      <c r="E93" s="2">
        <f>F93+G93+COUNTIFS(交易明細!$B$2:$B$648,$A93,交易明細!$J$2:$J$648,"時間出場")</f>
        <v/>
      </c>
      <c r="F93" s="2">
        <f>COUNTIFS(交易明細!$B$2:$B$648,$A93,交易明細!$J$2:$J$648,"止盈")</f>
        <v/>
      </c>
      <c r="G93" s="2">
        <f>COUNTIFS(交易明細!$B$2:$B$648,$A93,交易明細!$J$2:$J$648,"止損")</f>
        <v/>
      </c>
      <c r="H93" s="4">
        <f>IFERROR(F93/E93,0)</f>
        <v/>
      </c>
      <c r="I93" s="4">
        <f>IFERROR(AVERAGEIFS(交易明細!$L$2:$L$648,交易明細!$B$2:$B$648,$A93,交易明細!$J$2:$J$648,"&lt;&gt;未平倉"),0)</f>
        <v/>
      </c>
      <c r="J93" s="4">
        <f>SUMIFS(交易明細!$L$2:$L$648,交易明細!$B$2:$B$648,$A93,交易明細!$J$2:$J$648,"&lt;&gt;未平倉")</f>
        <v/>
      </c>
      <c r="K93" s="5">
        <f>IFERROR(AVERAGEIFS(交易明細!$K$2:$K$648,交易明細!$B$2:$B$648,$A93,交易明細!$J$2:$J$648,"&lt;&gt;未平倉"),0)</f>
        <v/>
      </c>
      <c r="L93" s="2">
        <f>COUNTIFS(交易明細!$B$2:$B$648,$A93,交易明細!$J$2:$J$648,"未平倉")</f>
        <v/>
      </c>
    </row>
    <row r="94">
      <c r="A94" s="2" t="inlineStr">
        <is>
          <t>BROCCOLI_USDT_PERP</t>
        </is>
      </c>
      <c r="B94" s="2">
        <f>COUNTIFS(交易明細!$B$2:$B$648,$A94)</f>
        <v/>
      </c>
      <c r="C94" s="2">
        <f>COUNTIFS(交易明細!$B$2:$B$648,$A94,交易明細!$C$2:$C$648,"做多")</f>
        <v/>
      </c>
      <c r="D94" s="2">
        <f>COUNTIFS(交易明細!$B$2:$B$648,$A94,交易明細!$C$2:$C$648,"做空")</f>
        <v/>
      </c>
      <c r="E94" s="2">
        <f>F94+G94+COUNTIFS(交易明細!$B$2:$B$648,$A94,交易明細!$J$2:$J$648,"時間出場")</f>
        <v/>
      </c>
      <c r="F94" s="2">
        <f>COUNTIFS(交易明細!$B$2:$B$648,$A94,交易明細!$J$2:$J$648,"止盈")</f>
        <v/>
      </c>
      <c r="G94" s="2">
        <f>COUNTIFS(交易明細!$B$2:$B$648,$A94,交易明細!$J$2:$J$648,"止損")</f>
        <v/>
      </c>
      <c r="H94" s="4">
        <f>IFERROR(F94/E94,0)</f>
        <v/>
      </c>
      <c r="I94" s="4">
        <f>IFERROR(AVERAGEIFS(交易明細!$L$2:$L$648,交易明細!$B$2:$B$648,$A94,交易明細!$J$2:$J$648,"&lt;&gt;未平倉"),0)</f>
        <v/>
      </c>
      <c r="J94" s="4">
        <f>SUMIFS(交易明細!$L$2:$L$648,交易明細!$B$2:$B$648,$A94,交易明細!$J$2:$J$648,"&lt;&gt;未平倉")</f>
        <v/>
      </c>
      <c r="K94" s="5">
        <f>IFERROR(AVERAGEIFS(交易明細!$K$2:$K$648,交易明細!$B$2:$B$648,$A94,交易明細!$J$2:$J$648,"&lt;&gt;未平倉"),0)</f>
        <v/>
      </c>
      <c r="L94" s="2">
        <f>COUNTIFS(交易明細!$B$2:$B$648,$A94,交易明細!$J$2:$J$648,"未平倉")</f>
        <v/>
      </c>
    </row>
    <row r="95">
      <c r="A95" s="2" t="inlineStr">
        <is>
          <t>MUBARAK_USDT_PERP</t>
        </is>
      </c>
      <c r="B95" s="2">
        <f>COUNTIFS(交易明細!$B$2:$B$648,$A95)</f>
        <v/>
      </c>
      <c r="C95" s="2">
        <f>COUNTIFS(交易明細!$B$2:$B$648,$A95,交易明細!$C$2:$C$648,"做多")</f>
        <v/>
      </c>
      <c r="D95" s="2">
        <f>COUNTIFS(交易明細!$B$2:$B$648,$A95,交易明細!$C$2:$C$648,"做空")</f>
        <v/>
      </c>
      <c r="E95" s="2">
        <f>F95+G95+COUNTIFS(交易明細!$B$2:$B$648,$A95,交易明細!$J$2:$J$648,"時間出場")</f>
        <v/>
      </c>
      <c r="F95" s="2">
        <f>COUNTIFS(交易明細!$B$2:$B$648,$A95,交易明細!$J$2:$J$648,"止盈")</f>
        <v/>
      </c>
      <c r="G95" s="2">
        <f>COUNTIFS(交易明細!$B$2:$B$648,$A95,交易明細!$J$2:$J$648,"止損")</f>
        <v/>
      </c>
      <c r="H95" s="4">
        <f>IFERROR(F95/E95,0)</f>
        <v/>
      </c>
      <c r="I95" s="4">
        <f>IFERROR(AVERAGEIFS(交易明細!$L$2:$L$648,交易明細!$B$2:$B$648,$A95,交易明細!$J$2:$J$648,"&lt;&gt;未平倉"),0)</f>
        <v/>
      </c>
      <c r="J95" s="4">
        <f>SUMIFS(交易明細!$L$2:$L$648,交易明細!$B$2:$B$648,$A95,交易明細!$J$2:$J$648,"&lt;&gt;未平倉")</f>
        <v/>
      </c>
      <c r="K95" s="5">
        <f>IFERROR(AVERAGEIFS(交易明細!$K$2:$K$648,交易明細!$B$2:$B$648,$A95,交易明細!$J$2:$J$648,"&lt;&gt;未平倉"),0)</f>
        <v/>
      </c>
      <c r="L95" s="2">
        <f>COUNTIFS(交易明細!$B$2:$B$648,$A95,交易明細!$J$2:$J$648,"未平倉")</f>
        <v/>
      </c>
    </row>
    <row r="96">
      <c r="A96" s="2" t="inlineStr">
        <is>
          <t>2Z_USDT_PERP</t>
        </is>
      </c>
      <c r="B96" s="2">
        <f>COUNTIFS(交易明細!$B$2:$B$648,$A96)</f>
        <v/>
      </c>
      <c r="C96" s="2">
        <f>COUNTIFS(交易明細!$B$2:$B$648,$A96,交易明細!$C$2:$C$648,"做多")</f>
        <v/>
      </c>
      <c r="D96" s="2">
        <f>COUNTIFS(交易明細!$B$2:$B$648,$A96,交易明細!$C$2:$C$648,"做空")</f>
        <v/>
      </c>
      <c r="E96" s="2">
        <f>F96+G96+COUNTIFS(交易明細!$B$2:$B$648,$A96,交易明細!$J$2:$J$648,"時間出場")</f>
        <v/>
      </c>
      <c r="F96" s="2">
        <f>COUNTIFS(交易明細!$B$2:$B$648,$A96,交易明細!$J$2:$J$648,"止盈")</f>
        <v/>
      </c>
      <c r="G96" s="2">
        <f>COUNTIFS(交易明細!$B$2:$B$648,$A96,交易明細!$J$2:$J$648,"止損")</f>
        <v/>
      </c>
      <c r="H96" s="4">
        <f>IFERROR(F96/E96,0)</f>
        <v/>
      </c>
      <c r="I96" s="4">
        <f>IFERROR(AVERAGEIFS(交易明細!$L$2:$L$648,交易明細!$B$2:$B$648,$A96,交易明細!$J$2:$J$648,"&lt;&gt;未平倉"),0)</f>
        <v/>
      </c>
      <c r="J96" s="4">
        <f>SUMIFS(交易明細!$L$2:$L$648,交易明細!$B$2:$B$648,$A96,交易明細!$J$2:$J$648,"&lt;&gt;未平倉")</f>
        <v/>
      </c>
      <c r="K96" s="5">
        <f>IFERROR(AVERAGEIFS(交易明細!$K$2:$K$648,交易明細!$B$2:$B$648,$A96,交易明細!$J$2:$J$648,"&lt;&gt;未平倉"),0)</f>
        <v/>
      </c>
      <c r="L96" s="2">
        <f>COUNTIFS(交易明細!$B$2:$B$648,$A96,交易明細!$J$2:$J$648,"未平倉")</f>
        <v/>
      </c>
    </row>
    <row r="97">
      <c r="A97" s="2" t="inlineStr">
        <is>
          <t>XLM_USDT_PERP</t>
        </is>
      </c>
      <c r="B97" s="2">
        <f>COUNTIFS(交易明細!$B$2:$B$648,$A97)</f>
        <v/>
      </c>
      <c r="C97" s="2">
        <f>COUNTIFS(交易明細!$B$2:$B$648,$A97,交易明細!$C$2:$C$648,"做多")</f>
        <v/>
      </c>
      <c r="D97" s="2">
        <f>COUNTIFS(交易明細!$B$2:$B$648,$A97,交易明細!$C$2:$C$648,"做空")</f>
        <v/>
      </c>
      <c r="E97" s="2">
        <f>F97+G97+COUNTIFS(交易明細!$B$2:$B$648,$A97,交易明細!$J$2:$J$648,"時間出場")</f>
        <v/>
      </c>
      <c r="F97" s="2">
        <f>COUNTIFS(交易明細!$B$2:$B$648,$A97,交易明細!$J$2:$J$648,"止盈")</f>
        <v/>
      </c>
      <c r="G97" s="2">
        <f>COUNTIFS(交易明細!$B$2:$B$648,$A97,交易明細!$J$2:$J$648,"止損")</f>
        <v/>
      </c>
      <c r="H97" s="4">
        <f>IFERROR(F97/E97,0)</f>
        <v/>
      </c>
      <c r="I97" s="4">
        <f>IFERROR(AVERAGEIFS(交易明細!$L$2:$L$648,交易明細!$B$2:$B$648,$A97,交易明細!$J$2:$J$648,"&lt;&gt;未平倉"),0)</f>
        <v/>
      </c>
      <c r="J97" s="4">
        <f>SUMIFS(交易明細!$L$2:$L$648,交易明細!$B$2:$B$648,$A97,交易明細!$J$2:$J$648,"&lt;&gt;未平倉")</f>
        <v/>
      </c>
      <c r="K97" s="5">
        <f>IFERROR(AVERAGEIFS(交易明細!$K$2:$K$648,交易明細!$B$2:$B$648,$A97,交易明細!$J$2:$J$648,"&lt;&gt;未平倉"),0)</f>
        <v/>
      </c>
      <c r="L97" s="2">
        <f>COUNTIFS(交易明細!$B$2:$B$648,$A97,交易明細!$J$2:$J$648,"未平倉")</f>
        <v/>
      </c>
    </row>
    <row r="98">
      <c r="A98" s="2" t="inlineStr">
        <is>
          <t>Q_USDT_PERP</t>
        </is>
      </c>
      <c r="B98" s="2">
        <f>COUNTIFS(交易明細!$B$2:$B$648,$A98)</f>
        <v/>
      </c>
      <c r="C98" s="2">
        <f>COUNTIFS(交易明細!$B$2:$B$648,$A98,交易明細!$C$2:$C$648,"做多")</f>
        <v/>
      </c>
      <c r="D98" s="2">
        <f>COUNTIFS(交易明細!$B$2:$B$648,$A98,交易明細!$C$2:$C$648,"做空")</f>
        <v/>
      </c>
      <c r="E98" s="2">
        <f>F98+G98+COUNTIFS(交易明細!$B$2:$B$648,$A98,交易明細!$J$2:$J$648,"時間出場")</f>
        <v/>
      </c>
      <c r="F98" s="2">
        <f>COUNTIFS(交易明細!$B$2:$B$648,$A98,交易明細!$J$2:$J$648,"止盈")</f>
        <v/>
      </c>
      <c r="G98" s="2">
        <f>COUNTIFS(交易明細!$B$2:$B$648,$A98,交易明細!$J$2:$J$648,"止損")</f>
        <v/>
      </c>
      <c r="H98" s="4">
        <f>IFERROR(F98/E98,0)</f>
        <v/>
      </c>
      <c r="I98" s="4">
        <f>IFERROR(AVERAGEIFS(交易明細!$L$2:$L$648,交易明細!$B$2:$B$648,$A98,交易明細!$J$2:$J$648,"&lt;&gt;未平倉"),0)</f>
        <v/>
      </c>
      <c r="J98" s="4">
        <f>SUMIFS(交易明細!$L$2:$L$648,交易明細!$B$2:$B$648,$A98,交易明細!$J$2:$J$648,"&lt;&gt;未平倉")</f>
        <v/>
      </c>
      <c r="K98" s="5">
        <f>IFERROR(AVERAGEIFS(交易明細!$K$2:$K$648,交易明細!$B$2:$B$648,$A98,交易明細!$J$2:$J$648,"&lt;&gt;未平倉"),0)</f>
        <v/>
      </c>
      <c r="L98" s="2">
        <f>COUNTIFS(交易明細!$B$2:$B$648,$A98,交易明細!$J$2:$J$648,"未平倉")</f>
        <v/>
      </c>
    </row>
    <row r="99">
      <c r="A99" s="2" t="inlineStr">
        <is>
          <t>MON_USDT_PERP</t>
        </is>
      </c>
      <c r="B99" s="2">
        <f>COUNTIFS(交易明細!$B$2:$B$648,$A99)</f>
        <v/>
      </c>
      <c r="C99" s="2">
        <f>COUNTIFS(交易明細!$B$2:$B$648,$A99,交易明細!$C$2:$C$648,"做多")</f>
        <v/>
      </c>
      <c r="D99" s="2">
        <f>COUNTIFS(交易明細!$B$2:$B$648,$A99,交易明細!$C$2:$C$648,"做空")</f>
        <v/>
      </c>
      <c r="E99" s="2">
        <f>F99+G99+COUNTIFS(交易明細!$B$2:$B$648,$A99,交易明細!$J$2:$J$648,"時間出場")</f>
        <v/>
      </c>
      <c r="F99" s="2">
        <f>COUNTIFS(交易明細!$B$2:$B$648,$A99,交易明細!$J$2:$J$648,"止盈")</f>
        <v/>
      </c>
      <c r="G99" s="2">
        <f>COUNTIFS(交易明細!$B$2:$B$648,$A99,交易明細!$J$2:$J$648,"止損")</f>
        <v/>
      </c>
      <c r="H99" s="4">
        <f>IFERROR(F99/E99,0)</f>
        <v/>
      </c>
      <c r="I99" s="4">
        <f>IFERROR(AVERAGEIFS(交易明細!$L$2:$L$648,交易明細!$B$2:$B$648,$A99,交易明細!$J$2:$J$648,"&lt;&gt;未平倉"),0)</f>
        <v/>
      </c>
      <c r="J99" s="4">
        <f>SUMIFS(交易明細!$L$2:$L$648,交易明細!$B$2:$B$648,$A99,交易明細!$J$2:$J$648,"&lt;&gt;未平倉")</f>
        <v/>
      </c>
      <c r="K99" s="5">
        <f>IFERROR(AVERAGEIFS(交易明細!$K$2:$K$648,交易明細!$B$2:$B$648,$A99,交易明細!$J$2:$J$648,"&lt;&gt;未平倉"),0)</f>
        <v/>
      </c>
      <c r="L99" s="2">
        <f>COUNTIFS(交易明細!$B$2:$B$648,$A99,交易明細!$J$2:$J$648,"未平倉")</f>
        <v/>
      </c>
    </row>
    <row r="100">
      <c r="A100" s="2" t="inlineStr">
        <is>
          <t>NIGHT_USDT_PERP</t>
        </is>
      </c>
      <c r="B100" s="2">
        <f>COUNTIFS(交易明細!$B$2:$B$648,$A100)</f>
        <v/>
      </c>
      <c r="C100" s="2">
        <f>COUNTIFS(交易明細!$B$2:$B$648,$A100,交易明細!$C$2:$C$648,"做多")</f>
        <v/>
      </c>
      <c r="D100" s="2">
        <f>COUNTIFS(交易明細!$B$2:$B$648,$A100,交易明細!$C$2:$C$648,"做空")</f>
        <v/>
      </c>
      <c r="E100" s="2">
        <f>F100+G100+COUNTIFS(交易明細!$B$2:$B$648,$A100,交易明細!$J$2:$J$648,"時間出場")</f>
        <v/>
      </c>
      <c r="F100" s="2">
        <f>COUNTIFS(交易明細!$B$2:$B$648,$A100,交易明細!$J$2:$J$648,"止盈")</f>
        <v/>
      </c>
      <c r="G100" s="2">
        <f>COUNTIFS(交易明細!$B$2:$B$648,$A100,交易明細!$J$2:$J$648,"止損")</f>
        <v/>
      </c>
      <c r="H100" s="4">
        <f>IFERROR(F100/E100,0)</f>
        <v/>
      </c>
      <c r="I100" s="4">
        <f>IFERROR(AVERAGEIFS(交易明細!$L$2:$L$648,交易明細!$B$2:$B$648,$A100,交易明細!$J$2:$J$648,"&lt;&gt;未平倉"),0)</f>
        <v/>
      </c>
      <c r="J100" s="4">
        <f>SUMIFS(交易明細!$L$2:$L$648,交易明細!$B$2:$B$648,$A100,交易明細!$J$2:$J$648,"&lt;&gt;未平倉")</f>
        <v/>
      </c>
      <c r="K100" s="5">
        <f>IFERROR(AVERAGEIFS(交易明細!$K$2:$K$648,交易明細!$B$2:$B$648,$A100,交易明細!$J$2:$J$648,"&lt;&gt;未平倉"),0)</f>
        <v/>
      </c>
      <c r="L100" s="2">
        <f>COUNTIFS(交易明細!$B$2:$B$648,$A100,交易明細!$J$2:$J$648,"未平倉")</f>
        <v/>
      </c>
    </row>
    <row r="101">
      <c r="A101" s="2" t="inlineStr">
        <is>
          <t>MOVR_USDT_PERP</t>
        </is>
      </c>
      <c r="B101" s="2">
        <f>COUNTIFS(交易明細!$B$2:$B$648,$A101)</f>
        <v/>
      </c>
      <c r="C101" s="2">
        <f>COUNTIFS(交易明細!$B$2:$B$648,$A101,交易明細!$C$2:$C$648,"做多")</f>
        <v/>
      </c>
      <c r="D101" s="2">
        <f>COUNTIFS(交易明細!$B$2:$B$648,$A101,交易明細!$C$2:$C$648,"做空")</f>
        <v/>
      </c>
      <c r="E101" s="2">
        <f>F101+G101+COUNTIFS(交易明細!$B$2:$B$648,$A101,交易明細!$J$2:$J$648,"時間出場")</f>
        <v/>
      </c>
      <c r="F101" s="2">
        <f>COUNTIFS(交易明細!$B$2:$B$648,$A101,交易明細!$J$2:$J$648,"止盈")</f>
        <v/>
      </c>
      <c r="G101" s="2">
        <f>COUNTIFS(交易明細!$B$2:$B$648,$A101,交易明細!$J$2:$J$648,"止損")</f>
        <v/>
      </c>
      <c r="H101" s="4">
        <f>IFERROR(F101/E101,0)</f>
        <v/>
      </c>
      <c r="I101" s="4">
        <f>IFERROR(AVERAGEIFS(交易明細!$L$2:$L$648,交易明細!$B$2:$B$648,$A101,交易明細!$J$2:$J$648,"&lt;&gt;未平倉"),0)</f>
        <v/>
      </c>
      <c r="J101" s="4">
        <f>SUMIFS(交易明細!$L$2:$L$648,交易明細!$B$2:$B$648,$A101,交易明細!$J$2:$J$648,"&lt;&gt;未平倉")</f>
        <v/>
      </c>
      <c r="K101" s="5">
        <f>IFERROR(AVERAGEIFS(交易明細!$K$2:$K$648,交易明細!$B$2:$B$648,$A101,交易明細!$J$2:$J$648,"&lt;&gt;未平倉"),0)</f>
        <v/>
      </c>
      <c r="L101" s="2">
        <f>COUNTIFS(交易明細!$B$2:$B$648,$A101,交易明細!$J$2:$J$648,"未平倉")</f>
        <v/>
      </c>
    </row>
    <row r="102">
      <c r="A102" s="2" t="inlineStr">
        <is>
          <t>SAND_USDT_PERP</t>
        </is>
      </c>
      <c r="B102" s="2">
        <f>COUNTIFS(交易明細!$B$2:$B$648,$A102)</f>
        <v/>
      </c>
      <c r="C102" s="2">
        <f>COUNTIFS(交易明細!$B$2:$B$648,$A102,交易明細!$C$2:$C$648,"做多")</f>
        <v/>
      </c>
      <c r="D102" s="2">
        <f>COUNTIFS(交易明細!$B$2:$B$648,$A102,交易明細!$C$2:$C$648,"做空")</f>
        <v/>
      </c>
      <c r="E102" s="2">
        <f>F102+G102+COUNTIFS(交易明細!$B$2:$B$648,$A102,交易明細!$J$2:$J$648,"時間出場")</f>
        <v/>
      </c>
      <c r="F102" s="2">
        <f>COUNTIFS(交易明細!$B$2:$B$648,$A102,交易明細!$J$2:$J$648,"止盈")</f>
        <v/>
      </c>
      <c r="G102" s="2">
        <f>COUNTIFS(交易明細!$B$2:$B$648,$A102,交易明細!$J$2:$J$648,"止損")</f>
        <v/>
      </c>
      <c r="H102" s="4">
        <f>IFERROR(F102/E102,0)</f>
        <v/>
      </c>
      <c r="I102" s="4">
        <f>IFERROR(AVERAGEIFS(交易明細!$L$2:$L$648,交易明細!$B$2:$B$648,$A102,交易明細!$J$2:$J$648,"&lt;&gt;未平倉"),0)</f>
        <v/>
      </c>
      <c r="J102" s="4">
        <f>SUMIFS(交易明細!$L$2:$L$648,交易明細!$B$2:$B$648,$A102,交易明細!$J$2:$J$648,"&lt;&gt;未平倉")</f>
        <v/>
      </c>
      <c r="K102" s="5">
        <f>IFERROR(AVERAGEIFS(交易明細!$K$2:$K$648,交易明細!$B$2:$B$648,$A102,交易明細!$J$2:$J$648,"&lt;&gt;未平倉"),0)</f>
        <v/>
      </c>
      <c r="L102" s="2">
        <f>COUNTIFS(交易明細!$B$2:$B$648,$A102,交易明細!$J$2:$J$648,"未平倉")</f>
        <v/>
      </c>
    </row>
    <row r="103">
      <c r="A103" s="2" t="inlineStr">
        <is>
          <t>STRK_USDT_PERP</t>
        </is>
      </c>
      <c r="B103" s="2">
        <f>COUNTIFS(交易明細!$B$2:$B$648,$A103)</f>
        <v/>
      </c>
      <c r="C103" s="2">
        <f>COUNTIFS(交易明細!$B$2:$B$648,$A103,交易明細!$C$2:$C$648,"做多")</f>
        <v/>
      </c>
      <c r="D103" s="2">
        <f>COUNTIFS(交易明細!$B$2:$B$648,$A103,交易明細!$C$2:$C$648,"做空")</f>
        <v/>
      </c>
      <c r="E103" s="2">
        <f>F103+G103+COUNTIFS(交易明細!$B$2:$B$648,$A103,交易明細!$J$2:$J$648,"時間出場")</f>
        <v/>
      </c>
      <c r="F103" s="2">
        <f>COUNTIFS(交易明細!$B$2:$B$648,$A103,交易明細!$J$2:$J$648,"止盈")</f>
        <v/>
      </c>
      <c r="G103" s="2">
        <f>COUNTIFS(交易明細!$B$2:$B$648,$A103,交易明細!$J$2:$J$648,"止損")</f>
        <v/>
      </c>
      <c r="H103" s="4">
        <f>IFERROR(F103/E103,0)</f>
        <v/>
      </c>
      <c r="I103" s="4">
        <f>IFERROR(AVERAGEIFS(交易明細!$L$2:$L$648,交易明細!$B$2:$B$648,$A103,交易明細!$J$2:$J$648,"&lt;&gt;未平倉"),0)</f>
        <v/>
      </c>
      <c r="J103" s="4">
        <f>SUMIFS(交易明細!$L$2:$L$648,交易明細!$B$2:$B$648,$A103,交易明細!$J$2:$J$648,"&lt;&gt;未平倉")</f>
        <v/>
      </c>
      <c r="K103" s="5">
        <f>IFERROR(AVERAGEIFS(交易明細!$K$2:$K$648,交易明細!$B$2:$B$648,$A103,交易明細!$J$2:$J$648,"&lt;&gt;未平倉"),0)</f>
        <v/>
      </c>
      <c r="L103" s="2">
        <f>COUNTIFS(交易明細!$B$2:$B$648,$A103,交易明細!$J$2:$J$648,"未平倉")</f>
        <v/>
      </c>
    </row>
  </sheetData>
  <autoFilter ref="A1:L10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>
        <is>
          <t>持倉中</t>
        </is>
      </c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>
        <is>
          <t>持倉中</t>
        </is>
      </c>
      <c r="D362" s="2" t="n"/>
      <c r="E362" s="20" t="n"/>
      <c r="F362" s="20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>
        <is>
          <t>持倉中</t>
        </is>
      </c>
      <c r="D432" s="2" t="n"/>
      <c r="E432" s="20" t="n"/>
      <c r="F432" s="20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>
        <is>
          <t>持倉中</t>
        </is>
      </c>
      <c r="D442" s="2" t="n"/>
      <c r="E442" s="20" t="n"/>
      <c r="F442" s="20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20" t="n"/>
      <c r="F445" s="20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20" t="n"/>
      <c r="F446" s="20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20" t="n"/>
      <c r="F447" s="20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2026-10-04T13:42:12Z</dcterms:created>
  <dcterms:modified xsi:type="dcterms:W3CDTF">2026-10-04T13:42:12Z</dcterms:modified>
</cp:coreProperties>
</file>