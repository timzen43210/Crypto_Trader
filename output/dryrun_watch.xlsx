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'資金明細'!$A$1:$Z$1381</definedName>
    <definedName name="_xlnm._FilterDatabase" localSheetId="6" hidden="1">'交易明細'!$A$1:$AC$692</definedName>
    <definedName name="_xlnm._FilterDatabase" localSheetId="7" hidden="1">'幣種統計'!$A$1:$L$107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'資金明細'!$R$2:$R$1381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2026-10-08 10:01（Dry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COUNTIFS(交易明細!$B$2:$B$692,"&lt;&gt;")</f>
        <v/>
      </c>
      <c r="C5" s="2">
        <f>D5+E5+F5</f>
        <v/>
      </c>
      <c r="D5" s="2">
        <f>COUNTIFS(交易明細!$J$2:$J$692,"止盈")</f>
        <v/>
      </c>
      <c r="E5" s="2">
        <f>COUNTIFS(交易明細!$J$2:$J$692,"止損")</f>
        <v/>
      </c>
      <c r="F5" s="2">
        <f>COUNTIFS(交易明細!$J$2:$J$692,"時間出場")</f>
        <v/>
      </c>
      <c r="G5" s="2">
        <f>COUNTIFS(交易明細!$J$2:$J$692,"未平倉")</f>
        <v/>
      </c>
      <c r="H5" s="4">
        <f>IFERROR(D5/C5,0)</f>
        <v/>
      </c>
      <c r="I5" s="4">
        <f>IFERROR(AVERAGEIFS(交易明細!$AC$2:$AC$692,交易明細!$J$2:$J$692,"&lt;&gt;未平倉"),參數!$B$16)</f>
        <v/>
      </c>
      <c r="J5" s="4">
        <f>IFERROR(AVERAGEIFS(交易明細!$L$2:$L$692,交易明細!$J$2:$J$692,"&lt;&gt;未平倉"),0)</f>
        <v/>
      </c>
      <c r="K5" s="4">
        <f>SUMIFS(交易明細!$L$2:$L$692,交易明細!$J$2:$J$692,"&lt;&gt;未平倉")</f>
        <v/>
      </c>
      <c r="L5" s="5">
        <f>IFERROR(AVERAGEIFS(交易明細!$K$2:$K$692,交易明細!$J$2:$J$692,"&lt;&gt;未平倉"),0)</f>
        <v/>
      </c>
      <c r="M5" s="5">
        <f>IFERROR(AVERAGEIFS(交易明細!$K$2:$K$692,交易明細!$J$2:$J$692,"止盈"),0)</f>
        <v/>
      </c>
      <c r="N5" s="5">
        <f>IFERROR(AVERAGEIFS(交易明細!$K$2:$K$692,交易明細!$J$2:$J$692,"止損"),0)</f>
        <v/>
      </c>
      <c r="O5" s="4">
        <f>IFERROR(AVERAGEIFS(交易明細!$L$2:$L$692,交易明細!$J$2:$J$692,"時間出場"),0)</f>
        <v/>
      </c>
      <c r="P5" s="4">
        <f>IFERROR(COUNTIFS(交易明細!$J$2:$J$692,"&lt;&gt;未平倉",交易明細!$L$2:$L$692,"&gt;0")/C5,0)</f>
        <v/>
      </c>
    </row>
    <row r="6">
      <c r="A6" s="2" t="inlineStr">
        <is>
          <t>做多</t>
        </is>
      </c>
      <c r="B6" s="2">
        <f>COUNTIFS(交易明細!$C$2:$C$692,"做多",交易明細!$B$2:$B$692,"&lt;&gt;")</f>
        <v/>
      </c>
      <c r="C6" s="2">
        <f>D6+E6+F6</f>
        <v/>
      </c>
      <c r="D6" s="2">
        <f>COUNTIFS(交易明細!$C$2:$C$692,"做多",交易明細!$J$2:$J$692,"止盈")</f>
        <v/>
      </c>
      <c r="E6" s="2">
        <f>COUNTIFS(交易明細!$C$2:$C$692,"做多",交易明細!$J$2:$J$692,"止損")</f>
        <v/>
      </c>
      <c r="F6" s="2">
        <f>COUNTIFS(交易明細!$C$2:$C$692,"做多",交易明細!$J$2:$J$692,"時間出場")</f>
        <v/>
      </c>
      <c r="G6" s="2">
        <f>COUNTIFS(交易明細!$C$2:$C$692,"做多",交易明細!$J$2:$J$692,"未平倉")</f>
        <v/>
      </c>
      <c r="H6" s="4">
        <f>IFERROR(D6/C6,0)</f>
        <v/>
      </c>
      <c r="I6" s="4">
        <f>IFERROR(AVERAGEIFS(交易明細!$AC$2:$AC$692,交易明細!$C$2:$C$692,"做多",交易明細!$J$2:$J$692,"&lt;&gt;未平倉"),參數!$B$16)</f>
        <v/>
      </c>
      <c r="J6" s="4">
        <f>IFERROR(AVERAGEIFS(交易明細!$L$2:$L$692,交易明細!$C$2:$C$692,"做多",交易明細!$J$2:$J$692,"&lt;&gt;未平倉"),0)</f>
        <v/>
      </c>
      <c r="K6" s="4">
        <f>SUMIFS(交易明細!$L$2:$L$692,交易明細!$C$2:$C$692,"做多",交易明細!$J$2:$J$692,"&lt;&gt;未平倉")</f>
        <v/>
      </c>
      <c r="L6" s="5">
        <f>IFERROR(AVERAGEIFS(交易明細!$K$2:$K$692,交易明細!$C$2:$C$692,"做多",交易明細!$J$2:$J$692,"&lt;&gt;未平倉"),0)</f>
        <v/>
      </c>
      <c r="M6" s="5">
        <f>IFERROR(AVERAGEIFS(交易明細!$K$2:$K$692,交易明細!$C$2:$C$692,"做多",交易明細!$J$2:$J$692,"止盈"),0)</f>
        <v/>
      </c>
      <c r="N6" s="5">
        <f>IFERROR(AVERAGEIFS(交易明細!$K$2:$K$692,交易明細!$C$2:$C$692,"做多",交易明細!$J$2:$J$692,"止損"),0)</f>
        <v/>
      </c>
      <c r="O6" s="4">
        <f>IFERROR(AVERAGEIFS(交易明細!$L$2:$L$692,交易明細!$C$2:$C$692,"做多",交易明細!$J$2:$J$692,"時間出場"),0)</f>
        <v/>
      </c>
      <c r="P6" s="4">
        <f>IFERROR(COUNTIFS(交易明細!$C$2:$C$692,"做多",交易明細!$J$2:$J$692,"&lt;&gt;未平倉",交易明細!$L$2:$L$692,"&gt;0")/C6,0)</f>
        <v/>
      </c>
    </row>
    <row r="7">
      <c r="A7" s="2" t="inlineStr">
        <is>
          <t>做空</t>
        </is>
      </c>
      <c r="B7" s="2">
        <f>COUNTIFS(交易明細!$C$2:$C$692,"做空",交易明細!$B$2:$B$692,"&lt;&gt;")</f>
        <v/>
      </c>
      <c r="C7" s="2">
        <f>D7+E7+F7</f>
        <v/>
      </c>
      <c r="D7" s="2">
        <f>COUNTIFS(交易明細!$C$2:$C$692,"做空",交易明細!$J$2:$J$692,"止盈")</f>
        <v/>
      </c>
      <c r="E7" s="2">
        <f>COUNTIFS(交易明細!$C$2:$C$692,"做空",交易明細!$J$2:$J$692,"止損")</f>
        <v/>
      </c>
      <c r="F7" s="2">
        <f>COUNTIFS(交易明細!$C$2:$C$692,"做空",交易明細!$J$2:$J$692,"時間出場")</f>
        <v/>
      </c>
      <c r="G7" s="2">
        <f>COUNTIFS(交易明細!$C$2:$C$692,"做空",交易明細!$J$2:$J$692,"未平倉")</f>
        <v/>
      </c>
      <c r="H7" s="4">
        <f>IFERROR(D7/C7,0)</f>
        <v/>
      </c>
      <c r="I7" s="4">
        <f>IFERROR(AVERAGEIFS(交易明細!$AC$2:$AC$692,交易明細!$C$2:$C$692,"做空",交易明細!$J$2:$J$692,"&lt;&gt;未平倉"),參數!$B$16)</f>
        <v/>
      </c>
      <c r="J7" s="4">
        <f>IFERROR(AVERAGEIFS(交易明細!$L$2:$L$692,交易明細!$C$2:$C$692,"做空",交易明細!$J$2:$J$692,"&lt;&gt;未平倉"),0)</f>
        <v/>
      </c>
      <c r="K7" s="4">
        <f>SUMIFS(交易明細!$L$2:$L$692,交易明細!$C$2:$C$692,"做空",交易明細!$J$2:$J$692,"&lt;&gt;未平倉")</f>
        <v/>
      </c>
      <c r="L7" s="5">
        <f>IFERROR(AVERAGEIFS(交易明細!$K$2:$K$692,交易明細!$C$2:$C$692,"做空",交易明細!$J$2:$J$692,"&lt;&gt;未平倉"),0)</f>
        <v/>
      </c>
      <c r="M7" s="5">
        <f>IFERROR(AVERAGEIFS(交易明細!$K$2:$K$692,交易明細!$C$2:$C$692,"做空",交易明細!$J$2:$J$692,"止盈"),0)</f>
        <v/>
      </c>
      <c r="N7" s="5">
        <f>IFERROR(AVERAGEIFS(交易明細!$K$2:$K$692,交易明細!$C$2:$C$692,"做空",交易明細!$J$2:$J$692,"止損"),0)</f>
        <v/>
      </c>
      <c r="O7" s="4">
        <f>IFERROR(AVERAGEIFS(交易明細!$L$2:$L$692,交易明細!$C$2:$C$692,"做空",交易明細!$J$2:$J$692,"時間出場"),0)</f>
        <v/>
      </c>
      <c r="P7" s="4">
        <f>IFERROR(COUNTIFS(交易明細!$C$2:$C$692,"做空",交易明細!$J$2:$J$692,"&lt;&gt;未平倉",交易明細!$L$2:$L$692,"&gt;0")/C7,0)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46303.41768807871</v>
      </c>
      <c r="B2" s="7" t="n">
        <v>46303.41666666666</v>
      </c>
      <c r="C2" s="2" t="n">
        <v>434</v>
      </c>
      <c r="D2" s="2" t="n">
        <v>3</v>
      </c>
      <c r="E2" s="2" t="n">
        <v>0</v>
      </c>
      <c r="F2" s="2" t="n">
        <v>0</v>
      </c>
      <c r="G2" s="2" t="n">
        <v>194.5</v>
      </c>
    </row>
    <row r="3">
      <c r="A3" s="7" t="n">
        <v>46303.22279260417</v>
      </c>
      <c r="B3" s="7" t="n">
        <v>46303.22152777778</v>
      </c>
      <c r="C3" s="2" t="n">
        <v>434</v>
      </c>
      <c r="D3" s="2" t="n">
        <v>1</v>
      </c>
      <c r="E3" s="2" t="n">
        <v>4</v>
      </c>
      <c r="F3" s="2" t="n">
        <v>0</v>
      </c>
      <c r="G3" s="2" t="n">
        <v>192.9</v>
      </c>
    </row>
    <row r="4">
      <c r="A4" s="7" t="n">
        <v>46302.98345733796</v>
      </c>
      <c r="B4" s="7" t="n">
        <v>46302.98263888889</v>
      </c>
      <c r="C4" s="2" t="n">
        <v>434</v>
      </c>
      <c r="D4" s="2" t="n">
        <v>2</v>
      </c>
      <c r="E4" s="2" t="n">
        <v>1</v>
      </c>
      <c r="F4" s="2" t="n">
        <v>0</v>
      </c>
      <c r="G4" s="2" t="n">
        <v>189.7</v>
      </c>
    </row>
    <row r="5">
      <c r="A5" s="7" t="n">
        <v>46302.91855568287</v>
      </c>
      <c r="B5" s="7" t="n">
        <v>46302.91736111111</v>
      </c>
      <c r="C5" s="2" t="n">
        <v>434</v>
      </c>
      <c r="D5" s="2" t="n">
        <v>5</v>
      </c>
      <c r="E5" s="2" t="n">
        <v>8</v>
      </c>
      <c r="F5" s="2" t="n">
        <v>0</v>
      </c>
      <c r="G5" s="2" t="n">
        <v>195.1</v>
      </c>
    </row>
    <row r="6">
      <c r="A6" s="7" t="n">
        <v>46302.63748732639</v>
      </c>
      <c r="B6" s="7" t="n">
        <v>46302.63611111111</v>
      </c>
      <c r="C6" s="2" t="n">
        <v>434</v>
      </c>
      <c r="D6" s="2" t="n">
        <v>7</v>
      </c>
      <c r="E6" s="2" t="n">
        <v>4</v>
      </c>
      <c r="F6" s="2" t="n">
        <v>0</v>
      </c>
      <c r="G6" s="2" t="n">
        <v>149.8</v>
      </c>
    </row>
    <row r="7">
      <c r="A7" s="7" t="n">
        <v>46302.36557295139</v>
      </c>
      <c r="B7" s="7" t="n">
        <v>46302.36458333334</v>
      </c>
      <c r="C7" s="2" t="n">
        <v>434</v>
      </c>
      <c r="D7" s="2" t="n">
        <v>1</v>
      </c>
      <c r="E7" s="2" t="n">
        <v>0</v>
      </c>
      <c r="F7" s="2" t="n">
        <v>0</v>
      </c>
      <c r="G7" s="2" t="n">
        <v>187.2</v>
      </c>
    </row>
    <row r="8">
      <c r="A8" s="7" t="n">
        <v>46302.18334195602</v>
      </c>
      <c r="B8" s="7" t="n">
        <v>46302.18263888889</v>
      </c>
      <c r="C8" s="2" t="n">
        <v>434</v>
      </c>
      <c r="D8" s="2" t="n">
        <v>0</v>
      </c>
      <c r="E8" s="2" t="n">
        <v>2</v>
      </c>
      <c r="F8" s="2" t="n">
        <v>0</v>
      </c>
      <c r="G8" s="2" t="n">
        <v>143.5</v>
      </c>
    </row>
    <row r="9">
      <c r="A9" s="7" t="n">
        <v>46301.96957728009</v>
      </c>
      <c r="B9" s="7" t="n">
        <v>46301.96875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153.4</v>
      </c>
    </row>
    <row r="10">
      <c r="A10" s="7" t="n">
        <v>46301.81112700231</v>
      </c>
      <c r="B10" s="7" t="n">
        <v>46301.81041666667</v>
      </c>
      <c r="C10" s="2" t="n">
        <v>434</v>
      </c>
      <c r="D10" s="2" t="n">
        <v>2</v>
      </c>
      <c r="E10" s="2" t="n">
        <v>3</v>
      </c>
      <c r="F10" s="2" t="n">
        <v>0</v>
      </c>
      <c r="G10" s="2" t="n">
        <v>163.5</v>
      </c>
    </row>
    <row r="11">
      <c r="A11" s="7" t="n">
        <v>46301.65108299768</v>
      </c>
      <c r="B11" s="7" t="n">
        <v>46301.65</v>
      </c>
      <c r="C11" s="2" t="n">
        <v>434</v>
      </c>
      <c r="D11" s="2" t="n">
        <v>4</v>
      </c>
      <c r="E11" s="2" t="n">
        <v>3</v>
      </c>
      <c r="F11" s="2" t="n">
        <v>0</v>
      </c>
      <c r="G11" s="2" t="n">
        <v>163.9</v>
      </c>
    </row>
    <row r="12">
      <c r="A12" s="7" t="n">
        <v>46301.36894638889</v>
      </c>
      <c r="B12" s="7" t="n">
        <v>46301.36805555555</v>
      </c>
      <c r="C12" s="2" t="n">
        <v>434</v>
      </c>
      <c r="D12" s="2" t="n">
        <v>1</v>
      </c>
      <c r="E12" s="2" t="n">
        <v>0</v>
      </c>
      <c r="F12" s="2" t="n">
        <v>0</v>
      </c>
      <c r="G12" s="2" t="n">
        <v>163.9</v>
      </c>
    </row>
    <row r="13">
      <c r="A13" s="7" t="n">
        <v>46301.10619697917</v>
      </c>
      <c r="B13" s="7" t="n">
        <v>46301.10486111111</v>
      </c>
      <c r="C13" s="2" t="n">
        <v>434</v>
      </c>
      <c r="D13" s="2" t="n">
        <v>3</v>
      </c>
      <c r="E13" s="2" t="n">
        <v>3</v>
      </c>
      <c r="F13" s="2" t="n">
        <v>0</v>
      </c>
      <c r="G13" s="2" t="n">
        <v>185.1</v>
      </c>
    </row>
    <row r="14">
      <c r="A14" s="7" t="n">
        <v>46300.94284798611</v>
      </c>
      <c r="B14" s="7" t="n">
        <v>46300.94166666667</v>
      </c>
      <c r="C14" s="2" t="n">
        <v>434</v>
      </c>
      <c r="D14" s="2" t="n">
        <v>2</v>
      </c>
      <c r="E14" s="2" t="n">
        <v>5</v>
      </c>
      <c r="F14" s="2" t="n">
        <v>0</v>
      </c>
      <c r="G14" s="2" t="n">
        <v>178.3</v>
      </c>
    </row>
    <row r="15">
      <c r="A15" s="7" t="n">
        <v>46300.71639594907</v>
      </c>
      <c r="B15" s="7" t="n">
        <v>46300.71527777778</v>
      </c>
      <c r="C15" s="2" t="n">
        <v>434</v>
      </c>
      <c r="D15" s="2" t="n">
        <v>6</v>
      </c>
      <c r="E15" s="2" t="n">
        <v>5</v>
      </c>
      <c r="F15" s="2" t="n">
        <v>0</v>
      </c>
      <c r="G15" s="2" t="n">
        <v>191.4</v>
      </c>
    </row>
    <row r="16">
      <c r="A16" s="7" t="n">
        <v>46300.42120295139</v>
      </c>
      <c r="B16" s="7" t="n">
        <v>46300.42013888889</v>
      </c>
      <c r="C16" s="2" t="n">
        <v>435</v>
      </c>
      <c r="D16" s="2" t="n">
        <v>1</v>
      </c>
      <c r="E16" s="2" t="n">
        <v>1</v>
      </c>
      <c r="F16" s="2" t="n">
        <v>0</v>
      </c>
      <c r="G16" s="2" t="n">
        <v>186</v>
      </c>
    </row>
    <row r="17">
      <c r="A17" s="7" t="n">
        <v>46300.30229967592</v>
      </c>
      <c r="B17" s="7" t="n">
        <v>46300.30138888889</v>
      </c>
      <c r="C17" s="2" t="n">
        <v>435</v>
      </c>
      <c r="D17" s="2" t="n">
        <v>4</v>
      </c>
      <c r="E17" s="2" t="n">
        <v>3</v>
      </c>
      <c r="F17" s="2" t="n">
        <v>0</v>
      </c>
      <c r="G17" s="2" t="n">
        <v>186.7</v>
      </c>
    </row>
    <row r="18">
      <c r="A18" s="7" t="n">
        <v>46300.1536875926</v>
      </c>
      <c r="B18" s="7" t="n">
        <v>46300.15277777778</v>
      </c>
      <c r="C18" s="2" t="n">
        <v>435</v>
      </c>
      <c r="D18" s="2" t="n">
        <v>1</v>
      </c>
      <c r="E18" s="2" t="n">
        <v>2</v>
      </c>
      <c r="F18" s="2" t="n">
        <v>0</v>
      </c>
      <c r="G18" s="2" t="n">
        <v>149.8</v>
      </c>
    </row>
    <row r="19">
      <c r="A19" s="7" t="n">
        <v>46299.97588962963</v>
      </c>
      <c r="B19" s="7" t="n">
        <v>46299.975</v>
      </c>
      <c r="C19" s="2" t="n">
        <v>435</v>
      </c>
      <c r="D19" s="2" t="n">
        <v>1</v>
      </c>
      <c r="E19" s="2" t="n">
        <v>1</v>
      </c>
      <c r="F19" s="2" t="n">
        <v>0</v>
      </c>
      <c r="G19" s="2" t="n">
        <v>191.9</v>
      </c>
    </row>
    <row r="20">
      <c r="A20" s="7" t="n">
        <v>46299.90213123843</v>
      </c>
      <c r="B20" s="7" t="n">
        <v>46299.90138888889</v>
      </c>
      <c r="C20" s="2" t="n">
        <v>435</v>
      </c>
      <c r="D20" s="2" t="n">
        <v>3</v>
      </c>
      <c r="E20" s="2" t="n">
        <v>1</v>
      </c>
      <c r="F20" s="2" t="n">
        <v>0</v>
      </c>
      <c r="G20" s="2" t="n">
        <v>188.2</v>
      </c>
    </row>
    <row r="21">
      <c r="A21" s="7" t="n">
        <v>46299.74574608796</v>
      </c>
      <c r="B21" s="7" t="n">
        <v>46299.74444444444</v>
      </c>
      <c r="C21" s="2" t="n">
        <v>435</v>
      </c>
      <c r="D21" s="2" t="n">
        <v>1</v>
      </c>
      <c r="E21" s="2" t="n">
        <v>1</v>
      </c>
      <c r="F21" s="2" t="n">
        <v>1</v>
      </c>
      <c r="G21" s="2" t="n">
        <v>187.4</v>
      </c>
    </row>
    <row r="22">
      <c r="A22" s="7" t="n">
        <v>46299.48719824074</v>
      </c>
      <c r="B22" s="7" t="n">
        <v>46299.48611111111</v>
      </c>
      <c r="C22" s="2" t="n">
        <v>435</v>
      </c>
      <c r="D22" s="2" t="n">
        <v>0</v>
      </c>
      <c r="E22" s="2" t="n">
        <v>0</v>
      </c>
      <c r="F22" s="2" t="n">
        <v>1</v>
      </c>
      <c r="G22" s="2" t="n">
        <v>184.7</v>
      </c>
    </row>
    <row r="23">
      <c r="A23" s="7" t="n">
        <v>46299.44683753472</v>
      </c>
      <c r="B23" s="7" t="n">
        <v>46299.44583333333</v>
      </c>
      <c r="C23" s="2" t="n">
        <v>435</v>
      </c>
      <c r="D23" s="2" t="n">
        <v>0</v>
      </c>
      <c r="E23" s="2" t="n">
        <v>2</v>
      </c>
      <c r="F23" s="2" t="n">
        <v>1</v>
      </c>
      <c r="G23" s="2" t="n">
        <v>189.6</v>
      </c>
    </row>
    <row r="24">
      <c r="A24" s="7" t="n">
        <v>46299.29732329861</v>
      </c>
      <c r="B24" s="7" t="n">
        <v>46299.29652777778</v>
      </c>
      <c r="C24" s="2" t="n">
        <v>435</v>
      </c>
      <c r="D24" s="2" t="n">
        <v>0</v>
      </c>
      <c r="E24" s="2" t="n">
        <v>1</v>
      </c>
      <c r="F24" s="2" t="n">
        <v>1</v>
      </c>
      <c r="G24" s="2" t="n">
        <v>186.6</v>
      </c>
    </row>
    <row r="25">
      <c r="A25" s="7" t="n">
        <v>46299.16534118055</v>
      </c>
      <c r="B25" s="7" t="n">
        <v>46299.16458333333</v>
      </c>
      <c r="C25" s="2" t="n">
        <v>435</v>
      </c>
      <c r="D25" s="2" t="n">
        <v>1</v>
      </c>
      <c r="E25" s="2" t="n">
        <v>2</v>
      </c>
      <c r="F25" s="2" t="n">
        <v>1</v>
      </c>
      <c r="G25" s="2" t="n">
        <v>160.2</v>
      </c>
    </row>
    <row r="26">
      <c r="A26" s="7" t="n">
        <v>46299.01924309028</v>
      </c>
      <c r="B26" s="7" t="n">
        <v>46299.01805555556</v>
      </c>
      <c r="C26" s="2" t="n">
        <v>435</v>
      </c>
      <c r="D26" s="2" t="n">
        <v>2</v>
      </c>
      <c r="E26" s="2" t="n">
        <v>0</v>
      </c>
      <c r="F26" s="2" t="n">
        <v>1</v>
      </c>
      <c r="G26" s="2" t="n">
        <v>194</v>
      </c>
    </row>
    <row r="27">
      <c r="A27" s="7" t="n">
        <v>46298.82413289352</v>
      </c>
      <c r="B27" s="7" t="n">
        <v>46298.82291666666</v>
      </c>
      <c r="C27" s="2" t="n">
        <v>435</v>
      </c>
      <c r="D27" s="2" t="n">
        <v>1</v>
      </c>
      <c r="E27" s="2" t="n">
        <v>0</v>
      </c>
      <c r="F27" s="2" t="n">
        <v>1</v>
      </c>
      <c r="G27" s="2" t="n">
        <v>180.1</v>
      </c>
    </row>
    <row r="28">
      <c r="A28" s="7" t="n">
        <v>46298.64104893518</v>
      </c>
      <c r="B28" s="7" t="n">
        <v>46298.64027777778</v>
      </c>
      <c r="C28" s="2" t="n">
        <v>435</v>
      </c>
      <c r="D28" s="2" t="n">
        <v>0</v>
      </c>
      <c r="E28" s="2" t="n">
        <v>1</v>
      </c>
      <c r="F28" s="2" t="n">
        <v>1</v>
      </c>
      <c r="G28" s="2" t="n">
        <v>180.1</v>
      </c>
    </row>
    <row r="29">
      <c r="A29" s="7" t="n">
        <v>46298.55905060185</v>
      </c>
      <c r="B29" s="7" t="n">
        <v>46298.55833333333</v>
      </c>
      <c r="C29" s="2" t="n">
        <v>435</v>
      </c>
      <c r="D29" s="2" t="n">
        <v>2</v>
      </c>
      <c r="E29" s="2" t="n">
        <v>2</v>
      </c>
      <c r="F29" s="2" t="n">
        <v>1</v>
      </c>
      <c r="G29" s="2" t="n">
        <v>159.7</v>
      </c>
    </row>
    <row r="30">
      <c r="A30" s="7" t="n">
        <v>46298.32651334491</v>
      </c>
      <c r="B30" s="7" t="n">
        <v>46298.32569444444</v>
      </c>
      <c r="C30" s="2" t="n">
        <v>435</v>
      </c>
      <c r="D30" s="2" t="n">
        <v>0</v>
      </c>
      <c r="E30" s="2" t="n">
        <v>2</v>
      </c>
      <c r="F30" s="2" t="n">
        <v>2</v>
      </c>
      <c r="G30" s="2" t="n">
        <v>189.1</v>
      </c>
    </row>
    <row r="31">
      <c r="A31" s="7" t="n">
        <v>46298.14088650463</v>
      </c>
      <c r="B31" s="7" t="n">
        <v>46298.13958333333</v>
      </c>
      <c r="C31" s="2" t="n">
        <v>435</v>
      </c>
      <c r="D31" s="2" t="n">
        <v>6</v>
      </c>
      <c r="E31" s="2" t="n">
        <v>2</v>
      </c>
      <c r="F31" s="2" t="n">
        <v>2</v>
      </c>
      <c r="G31" s="2" t="n">
        <v>195.5</v>
      </c>
    </row>
    <row r="32">
      <c r="A32" s="7" t="n">
        <v>46298.00826386574</v>
      </c>
      <c r="B32" s="7" t="n">
        <v>46298.00694444445</v>
      </c>
      <c r="C32" s="2" t="n">
        <v>435</v>
      </c>
      <c r="D32" s="2" t="n">
        <v>1</v>
      </c>
      <c r="E32" s="2" t="n">
        <v>2</v>
      </c>
      <c r="F32" s="2" t="n">
        <v>2</v>
      </c>
      <c r="G32" s="2" t="n">
        <v>190.7</v>
      </c>
    </row>
    <row r="33">
      <c r="A33" s="7" t="n">
        <v>46297.91349550926</v>
      </c>
      <c r="B33" s="7" t="n">
        <v>46297.9125</v>
      </c>
      <c r="C33" s="2" t="n">
        <v>435</v>
      </c>
      <c r="D33" s="2" t="n">
        <v>0</v>
      </c>
      <c r="E33" s="2" t="n">
        <v>0</v>
      </c>
      <c r="F33" s="2" t="n">
        <v>3</v>
      </c>
      <c r="G33" s="2" t="n">
        <v>179.2</v>
      </c>
    </row>
    <row r="34">
      <c r="A34" s="7" t="n">
        <v>46297.90064986111</v>
      </c>
      <c r="B34" s="7" t="n">
        <v>46297.89930555555</v>
      </c>
      <c r="C34" s="2" t="n">
        <v>435</v>
      </c>
      <c r="D34" s="2" t="n">
        <v>0</v>
      </c>
      <c r="E34" s="2" t="n">
        <v>3</v>
      </c>
      <c r="F34" s="2" t="n">
        <v>3</v>
      </c>
      <c r="G34" s="2" t="n">
        <v>180.1</v>
      </c>
    </row>
    <row r="35">
      <c r="A35" s="7" t="n">
        <v>46297.75623421296</v>
      </c>
      <c r="B35" s="7" t="n">
        <v>46297.75486111111</v>
      </c>
      <c r="C35" s="2" t="n">
        <v>435</v>
      </c>
      <c r="D35" s="2" t="n">
        <v>1</v>
      </c>
      <c r="E35" s="2" t="n">
        <v>0</v>
      </c>
      <c r="F35" s="2" t="n">
        <v>3</v>
      </c>
      <c r="G35" s="2" t="n">
        <v>199.1</v>
      </c>
    </row>
    <row r="36">
      <c r="A36" s="7" t="n">
        <v>46297.70907445602</v>
      </c>
      <c r="B36" s="7" t="n">
        <v>46297.70833333334</v>
      </c>
      <c r="C36" s="2" t="n">
        <v>435</v>
      </c>
      <c r="D36" s="2" t="n">
        <v>0</v>
      </c>
      <c r="E36" s="2" t="n">
        <v>2</v>
      </c>
      <c r="F36" s="2" t="n">
        <v>3</v>
      </c>
      <c r="G36" s="2" t="n">
        <v>148.2</v>
      </c>
    </row>
    <row r="37">
      <c r="A37" s="7" t="n">
        <v>46297.62748648148</v>
      </c>
      <c r="B37" s="7" t="n">
        <v>46297.62638888889</v>
      </c>
      <c r="C37" s="2" t="n">
        <v>435</v>
      </c>
      <c r="D37" s="2" t="n">
        <v>0</v>
      </c>
      <c r="E37" s="2" t="n">
        <v>1</v>
      </c>
      <c r="F37" s="2" t="n">
        <v>3</v>
      </c>
      <c r="G37" s="2" t="n">
        <v>188.8</v>
      </c>
    </row>
    <row r="38">
      <c r="A38" s="7" t="n">
        <v>46297.59146636574</v>
      </c>
      <c r="B38" s="7" t="n">
        <v>46297.59027777778</v>
      </c>
      <c r="C38" s="2" t="n">
        <v>435</v>
      </c>
      <c r="D38" s="2" t="n">
        <v>3</v>
      </c>
      <c r="E38" s="2" t="n">
        <v>1</v>
      </c>
      <c r="F38" s="2" t="n">
        <v>3</v>
      </c>
      <c r="G38" s="2" t="n">
        <v>188.7</v>
      </c>
    </row>
    <row r="39">
      <c r="A39" s="7" t="n">
        <v>46297.47377153935</v>
      </c>
      <c r="B39" s="7" t="n">
        <v>46297.47291666667</v>
      </c>
      <c r="C39" s="2" t="n">
        <v>435</v>
      </c>
      <c r="D39" s="2" t="n">
        <v>0</v>
      </c>
      <c r="E39" s="2" t="n">
        <v>0</v>
      </c>
      <c r="F39" s="2" t="n">
        <v>4</v>
      </c>
      <c r="G39" s="2" t="n">
        <v>159.9</v>
      </c>
    </row>
    <row r="40">
      <c r="A40" s="7" t="n">
        <v>46297.43863659722</v>
      </c>
      <c r="B40" s="7" t="n">
        <v>46297.4375</v>
      </c>
      <c r="C40" s="2" t="n">
        <v>435</v>
      </c>
      <c r="D40" s="2" t="n">
        <v>1</v>
      </c>
      <c r="E40" s="2" t="n">
        <v>0</v>
      </c>
      <c r="F40" s="2" t="n">
        <v>4</v>
      </c>
      <c r="G40" s="2" t="n">
        <v>181.3</v>
      </c>
    </row>
    <row r="41">
      <c r="A41" s="7" t="n">
        <v>46297.36902693287</v>
      </c>
      <c r="B41" s="7" t="n">
        <v>46297.36805555555</v>
      </c>
      <c r="C41" s="2" t="n">
        <v>434</v>
      </c>
      <c r="D41" s="2" t="n">
        <v>0</v>
      </c>
      <c r="E41" s="2" t="n">
        <v>0</v>
      </c>
      <c r="F41" s="2" t="n">
        <v>1</v>
      </c>
      <c r="G41" s="2" t="n">
        <v>191.7</v>
      </c>
    </row>
    <row r="42">
      <c r="A42" s="7" t="n">
        <v>46297.34984872685</v>
      </c>
      <c r="B42" s="7" t="n">
        <v>46297.34861111111</v>
      </c>
      <c r="C42" s="2" t="n">
        <v>434</v>
      </c>
      <c r="D42" s="2" t="n">
        <v>0</v>
      </c>
      <c r="E42" s="2" t="n">
        <v>2</v>
      </c>
      <c r="F42" s="2" t="n">
        <v>1</v>
      </c>
      <c r="G42" s="2" t="n">
        <v>185.3</v>
      </c>
    </row>
    <row r="43">
      <c r="A43" s="7" t="n">
        <v>46297.18230064815</v>
      </c>
      <c r="B43" s="7" t="n">
        <v>46297.18125</v>
      </c>
      <c r="C43" s="2" t="n">
        <v>434</v>
      </c>
      <c r="D43" s="2" t="n">
        <v>4</v>
      </c>
      <c r="E43" s="2" t="n">
        <v>3</v>
      </c>
      <c r="F43" s="2" t="n">
        <v>1</v>
      </c>
      <c r="G43" s="2" t="n">
        <v>159.5</v>
      </c>
    </row>
    <row r="44">
      <c r="A44" s="7" t="n">
        <v>46297.01546863426</v>
      </c>
      <c r="B44" s="7" t="n">
        <v>46297.01458333333</v>
      </c>
      <c r="C44" s="2" t="n">
        <v>434</v>
      </c>
      <c r="D44" s="2" t="n">
        <v>1</v>
      </c>
      <c r="E44" s="2" t="n">
        <v>0</v>
      </c>
      <c r="F44" s="2" t="n">
        <v>2</v>
      </c>
      <c r="G44" s="2" t="n">
        <v>179.4</v>
      </c>
    </row>
    <row r="45">
      <c r="A45" s="7" t="n">
        <v>46296.99918069445</v>
      </c>
      <c r="B45" s="7" t="n">
        <v>46296.99791666667</v>
      </c>
      <c r="C45" s="2" t="n">
        <v>434</v>
      </c>
      <c r="D45" s="2" t="n">
        <v>2</v>
      </c>
      <c r="E45" s="2" t="n">
        <v>1</v>
      </c>
      <c r="F45" s="2" t="n">
        <v>2</v>
      </c>
      <c r="G45" s="2" t="n">
        <v>167.2</v>
      </c>
    </row>
    <row r="46">
      <c r="A46" s="7" t="n">
        <v>46296.94003458333</v>
      </c>
      <c r="B46" s="7" t="n">
        <v>46296.93888888889</v>
      </c>
      <c r="C46" s="2" t="n">
        <v>434</v>
      </c>
      <c r="D46" s="2" t="n">
        <v>1</v>
      </c>
      <c r="E46" s="2" t="n">
        <v>3</v>
      </c>
      <c r="F46" s="2" t="n">
        <v>2</v>
      </c>
      <c r="G46" s="2" t="n">
        <v>189.5</v>
      </c>
    </row>
    <row r="47">
      <c r="A47" s="7" t="n">
        <v>46296.7419153125</v>
      </c>
      <c r="B47" s="7" t="n">
        <v>46296.74097222222</v>
      </c>
      <c r="C47" s="2" t="n">
        <v>434</v>
      </c>
      <c r="D47" s="2" t="n">
        <v>5</v>
      </c>
      <c r="E47" s="2" t="n">
        <v>2</v>
      </c>
      <c r="F47" s="2" t="n">
        <v>2</v>
      </c>
      <c r="G47" s="2" t="n">
        <v>150</v>
      </c>
    </row>
    <row r="48">
      <c r="A48" s="7" t="n">
        <v>46296.63539230324</v>
      </c>
      <c r="B48" s="7" t="n">
        <v>46296.63402777778</v>
      </c>
      <c r="C48" s="2" t="n">
        <v>434</v>
      </c>
      <c r="D48" s="2" t="n">
        <v>1</v>
      </c>
      <c r="E48" s="2" t="n">
        <v>0</v>
      </c>
      <c r="F48" s="2" t="n">
        <v>2</v>
      </c>
      <c r="G48" s="2" t="n">
        <v>195</v>
      </c>
    </row>
    <row r="49">
      <c r="A49" s="7" t="n">
        <v>46296.6196469213</v>
      </c>
      <c r="B49" s="7" t="n">
        <v>46296.61875</v>
      </c>
      <c r="C49" s="2" t="n">
        <v>434</v>
      </c>
      <c r="D49" s="2" t="n">
        <v>0</v>
      </c>
      <c r="E49" s="2" t="n">
        <v>0</v>
      </c>
      <c r="F49" s="2" t="n">
        <v>2</v>
      </c>
      <c r="G49" s="2" t="n">
        <v>190.6</v>
      </c>
    </row>
    <row r="50">
      <c r="A50" s="7" t="n">
        <v>46296.55481784722</v>
      </c>
      <c r="B50" s="7" t="n">
        <v>46296.55347222222</v>
      </c>
      <c r="C50" s="2" t="n">
        <v>434</v>
      </c>
      <c r="D50" s="2" t="n">
        <v>1</v>
      </c>
      <c r="E50" s="2" t="n">
        <v>3</v>
      </c>
      <c r="F50" s="2" t="n">
        <v>2</v>
      </c>
      <c r="G50" s="2" t="n">
        <v>189.9</v>
      </c>
    </row>
    <row r="51">
      <c r="A51" s="7" t="n">
        <v>46296.49238505787</v>
      </c>
      <c r="B51" s="7" t="n">
        <v>46296.49166666667</v>
      </c>
      <c r="C51" s="2" t="n">
        <v>434</v>
      </c>
      <c r="D51" s="2" t="n">
        <v>1</v>
      </c>
      <c r="E51" s="2" t="n">
        <v>1</v>
      </c>
      <c r="F51" s="2" t="n">
        <v>3</v>
      </c>
      <c r="G51" s="2" t="n">
        <v>189.7</v>
      </c>
    </row>
    <row r="52">
      <c r="A52" s="7" t="n">
        <v>46296.35809899306</v>
      </c>
      <c r="B52" s="7" t="n">
        <v>46296.35694444444</v>
      </c>
      <c r="C52" s="2" t="n">
        <v>434</v>
      </c>
      <c r="D52" s="2" t="n">
        <v>2</v>
      </c>
      <c r="E52" s="2" t="n">
        <v>0</v>
      </c>
      <c r="F52" s="2" t="n">
        <v>3</v>
      </c>
      <c r="G52" s="2" t="n">
        <v>152.4</v>
      </c>
    </row>
    <row r="53">
      <c r="A53" s="7" t="n">
        <v>46296.20216918981</v>
      </c>
      <c r="B53" s="7" t="n">
        <v>46296.20138888889</v>
      </c>
      <c r="C53" s="2" t="n">
        <v>434</v>
      </c>
      <c r="D53" s="2" t="n">
        <v>3</v>
      </c>
      <c r="E53" s="2" t="n">
        <v>7</v>
      </c>
      <c r="F53" s="2" t="n">
        <v>3</v>
      </c>
      <c r="G53" s="2" t="n">
        <v>180</v>
      </c>
    </row>
    <row r="54">
      <c r="A54" s="7" t="n">
        <v>46295.99840958334</v>
      </c>
      <c r="B54" s="7" t="n">
        <v>46295.99722222222</v>
      </c>
      <c r="C54" s="2" t="n">
        <v>434</v>
      </c>
      <c r="D54" s="2" t="n">
        <v>4</v>
      </c>
      <c r="E54" s="2" t="n">
        <v>2</v>
      </c>
      <c r="F54" s="2" t="n">
        <v>3</v>
      </c>
      <c r="G54" s="2" t="n">
        <v>187.6</v>
      </c>
    </row>
    <row r="55">
      <c r="A55" s="7" t="n">
        <v>46295.94423819445</v>
      </c>
      <c r="B55" s="7" t="n">
        <v>46295.94305555556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150.7</v>
      </c>
    </row>
    <row r="56">
      <c r="A56" s="7" t="n">
        <v>46295.91675143519</v>
      </c>
      <c r="B56" s="7" t="n">
        <v>46295.91597222222</v>
      </c>
      <c r="C56" s="2" t="n">
        <v>434</v>
      </c>
      <c r="D56" s="2" t="n">
        <v>1</v>
      </c>
      <c r="E56" s="2" t="n">
        <v>4</v>
      </c>
      <c r="F56" s="2" t="n">
        <v>3</v>
      </c>
      <c r="G56" s="2" t="n">
        <v>189.9</v>
      </c>
    </row>
    <row r="57">
      <c r="A57" s="7" t="n">
        <v>46295.87897131944</v>
      </c>
      <c r="B57" s="7" t="n">
        <v>46295.87777777778</v>
      </c>
      <c r="C57" s="2" t="n">
        <v>434</v>
      </c>
      <c r="D57" s="2" t="n">
        <v>2</v>
      </c>
      <c r="E57" s="2" t="n">
        <v>1</v>
      </c>
      <c r="F57" s="2" t="n">
        <v>3</v>
      </c>
      <c r="G57" s="2" t="n">
        <v>187.8</v>
      </c>
    </row>
    <row r="58">
      <c r="A58" s="7" t="n">
        <v>46295.84232043981</v>
      </c>
      <c r="B58" s="7" t="n">
        <v>46295.84097222222</v>
      </c>
      <c r="C58" s="2" t="n">
        <v>434</v>
      </c>
      <c r="D58" s="2" t="n">
        <v>1</v>
      </c>
      <c r="E58" s="2" t="n">
        <v>2</v>
      </c>
      <c r="F58" s="2" t="n">
        <v>3</v>
      </c>
      <c r="G58" s="2" t="n">
        <v>147.8</v>
      </c>
    </row>
    <row r="59">
      <c r="A59" s="7" t="n">
        <v>46295.76311292824</v>
      </c>
      <c r="B59" s="7" t="n">
        <v>46295.76180555556</v>
      </c>
      <c r="C59" s="2" t="n">
        <v>434</v>
      </c>
      <c r="D59" s="2" t="n">
        <v>1</v>
      </c>
      <c r="E59" s="2" t="n">
        <v>1</v>
      </c>
      <c r="F59" s="2" t="n">
        <v>3</v>
      </c>
      <c r="G59" s="2" t="n">
        <v>188</v>
      </c>
    </row>
    <row r="60">
      <c r="A60" s="7" t="n">
        <v>46295.71942712963</v>
      </c>
      <c r="B60" s="7" t="n">
        <v>46295.71805555555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163.9</v>
      </c>
    </row>
    <row r="61">
      <c r="A61" s="7" t="n">
        <v>46295.69435030092</v>
      </c>
      <c r="B61" s="7" t="n">
        <v>46295.69305555556</v>
      </c>
      <c r="C61" s="2" t="n">
        <v>434</v>
      </c>
      <c r="D61" s="2" t="n">
        <v>1</v>
      </c>
      <c r="E61" s="2" t="n">
        <v>3</v>
      </c>
      <c r="F61" s="2" t="n">
        <v>3</v>
      </c>
      <c r="G61" s="2" t="n">
        <v>141.1</v>
      </c>
    </row>
    <row r="62">
      <c r="A62" s="7" t="n">
        <v>46295.5782999537</v>
      </c>
      <c r="B62" s="7" t="n">
        <v>46295.57708333333</v>
      </c>
      <c r="C62" s="2" t="n">
        <v>434</v>
      </c>
      <c r="D62" s="2" t="n">
        <v>1</v>
      </c>
      <c r="E62" s="2" t="n">
        <v>0</v>
      </c>
      <c r="F62" s="2" t="n">
        <v>5</v>
      </c>
      <c r="G62" s="2" t="n">
        <v>191.3</v>
      </c>
    </row>
    <row r="63">
      <c r="A63" s="7" t="n">
        <v>46295.51228863426</v>
      </c>
      <c r="B63" s="7" t="n">
        <v>46295.51111111111</v>
      </c>
      <c r="C63" s="2" t="n">
        <v>434</v>
      </c>
      <c r="D63" s="2" t="n">
        <v>1</v>
      </c>
      <c r="E63" s="2" t="n">
        <v>1</v>
      </c>
      <c r="F63" s="2" t="n">
        <v>5</v>
      </c>
      <c r="G63" s="2" t="n">
        <v>188.8</v>
      </c>
    </row>
    <row r="64">
      <c r="A64" s="7" t="n">
        <v>46295.44308225694</v>
      </c>
      <c r="B64" s="7" t="n">
        <v>46295.44236111111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167.1</v>
      </c>
    </row>
    <row r="65">
      <c r="A65" s="7" t="n">
        <v>46295.42368403935</v>
      </c>
      <c r="B65" s="7" t="n">
        <v>46295.42291666667</v>
      </c>
      <c r="C65" s="2" t="n">
        <v>433</v>
      </c>
      <c r="D65" s="2" t="n">
        <v>5</v>
      </c>
      <c r="E65" s="2" t="n">
        <v>3</v>
      </c>
      <c r="F65" s="2" t="n">
        <v>2</v>
      </c>
      <c r="G65" s="2" t="n">
        <v>150.9</v>
      </c>
    </row>
    <row r="66">
      <c r="A66" s="7" t="n">
        <v>46295.29174006944</v>
      </c>
      <c r="B66" s="7" t="n">
        <v>46295.29097222222</v>
      </c>
      <c r="C66" s="2" t="n">
        <v>433</v>
      </c>
      <c r="D66" s="2" t="n">
        <v>2</v>
      </c>
      <c r="E66" s="2" t="n">
        <v>4</v>
      </c>
      <c r="F66" s="2" t="n">
        <v>2</v>
      </c>
      <c r="G66" s="2" t="n">
        <v>191.4</v>
      </c>
    </row>
    <row r="67">
      <c r="A67" s="7" t="n">
        <v>46295.11156024306</v>
      </c>
      <c r="B67" s="7" t="n">
        <v>46295.11041666667</v>
      </c>
      <c r="C67" s="2" t="n">
        <v>433</v>
      </c>
      <c r="D67" s="2" t="n">
        <v>7</v>
      </c>
      <c r="E67" s="2" t="n">
        <v>9</v>
      </c>
      <c r="F67" s="2" t="n">
        <v>2</v>
      </c>
      <c r="G67" s="2" t="n">
        <v>185.8</v>
      </c>
    </row>
    <row r="68">
      <c r="A68" s="7" t="n">
        <v>46294.99800613426</v>
      </c>
      <c r="B68" s="7" t="n">
        <v>46294.99722222222</v>
      </c>
      <c r="C68" s="2" t="n">
        <v>433</v>
      </c>
      <c r="D68" s="2" t="n">
        <v>3</v>
      </c>
      <c r="E68" s="2" t="n">
        <v>0</v>
      </c>
      <c r="F68" s="2" t="n">
        <v>2</v>
      </c>
      <c r="G68" s="2" t="n">
        <v>153.7</v>
      </c>
    </row>
    <row r="69">
      <c r="A69" s="7" t="n">
        <v>46294.95333178241</v>
      </c>
      <c r="B69" s="7" t="n">
        <v>46294.95208333333</v>
      </c>
      <c r="C69" s="2" t="n">
        <v>433</v>
      </c>
      <c r="D69" s="2" t="n">
        <v>0</v>
      </c>
      <c r="E69" s="2" t="n">
        <v>1</v>
      </c>
      <c r="F69" s="2" t="n">
        <v>2</v>
      </c>
      <c r="G69" s="2" t="n">
        <v>177.4</v>
      </c>
    </row>
    <row r="70">
      <c r="A70" s="7" t="n">
        <v>46294.87612561342</v>
      </c>
      <c r="B70" s="7" t="n">
        <v>46294.875</v>
      </c>
      <c r="C70" s="2" t="n">
        <v>433</v>
      </c>
      <c r="D70" s="2" t="n">
        <v>5</v>
      </c>
      <c r="E70" s="2" t="n">
        <v>7</v>
      </c>
      <c r="F70" s="2" t="n">
        <v>2</v>
      </c>
      <c r="G70" s="2" t="n">
        <v>196.6</v>
      </c>
    </row>
    <row r="71">
      <c r="A71" s="7" t="n">
        <v>46294.76526767361</v>
      </c>
      <c r="B71" s="7" t="n">
        <v>46294.76388888889</v>
      </c>
      <c r="C71" s="2" t="n">
        <v>433</v>
      </c>
      <c r="D71" s="2" t="n">
        <v>2</v>
      </c>
      <c r="E71" s="2" t="n">
        <v>2</v>
      </c>
      <c r="F71" s="2" t="n">
        <v>2</v>
      </c>
      <c r="G71" s="2" t="n">
        <v>182.5</v>
      </c>
    </row>
    <row r="72">
      <c r="A72" s="7" t="n">
        <v>46294.66075324074</v>
      </c>
      <c r="B72" s="7" t="n">
        <v>46294.65972222222</v>
      </c>
      <c r="C72" s="2" t="n">
        <v>433</v>
      </c>
      <c r="D72" s="2" t="n">
        <v>5</v>
      </c>
      <c r="E72" s="2" t="n">
        <v>5</v>
      </c>
      <c r="F72" s="2" t="n">
        <v>3</v>
      </c>
      <c r="G72" s="2" t="n">
        <v>174</v>
      </c>
    </row>
    <row r="73">
      <c r="A73" s="7" t="n">
        <v>46294.57647584491</v>
      </c>
      <c r="B73" s="7" t="n">
        <v>46294.57569444444</v>
      </c>
      <c r="C73" s="2" t="n">
        <v>432</v>
      </c>
      <c r="D73" s="2" t="n">
        <v>4</v>
      </c>
      <c r="E73" s="2" t="n">
        <v>1</v>
      </c>
      <c r="F73" s="2" t="n">
        <v>0</v>
      </c>
      <c r="G73" s="2" t="n">
        <v>147.5</v>
      </c>
    </row>
    <row r="74">
      <c r="A74" s="7" t="n">
        <v>46294.46163141204</v>
      </c>
      <c r="B74" s="7" t="n">
        <v>46294.46041666667</v>
      </c>
      <c r="C74" s="2" t="n">
        <v>432</v>
      </c>
      <c r="D74" s="2" t="n">
        <v>4</v>
      </c>
      <c r="E74" s="2" t="n">
        <v>6</v>
      </c>
      <c r="F74" s="2" t="n">
        <v>0</v>
      </c>
      <c r="G74" s="2" t="n">
        <v>193.3</v>
      </c>
    </row>
    <row r="75">
      <c r="A75" s="7" t="n">
        <v>46294.30606211806</v>
      </c>
      <c r="B75" s="7" t="n">
        <v>46294.30486111111</v>
      </c>
      <c r="C75" s="2" t="n">
        <v>432</v>
      </c>
      <c r="D75" s="2" t="n">
        <v>5</v>
      </c>
      <c r="E75" s="2" t="n">
        <v>5</v>
      </c>
      <c r="F75" s="2" t="n">
        <v>0</v>
      </c>
      <c r="G75" s="2" t="n">
        <v>165.6</v>
      </c>
    </row>
    <row r="76">
      <c r="A76" s="7" t="n">
        <v>46294.07080519676</v>
      </c>
      <c r="B76" s="7" t="n">
        <v>46294.06944444445</v>
      </c>
      <c r="C76" s="2" t="n">
        <v>432</v>
      </c>
      <c r="D76" s="2" t="n">
        <v>3</v>
      </c>
      <c r="E76" s="2" t="n">
        <v>3</v>
      </c>
      <c r="F76" s="2" t="n">
        <v>0</v>
      </c>
      <c r="G76" s="2" t="n">
        <v>193.3</v>
      </c>
    </row>
    <row r="77">
      <c r="A77" s="7" t="n">
        <v>46293.99403509259</v>
      </c>
      <c r="B77" s="7" t="n">
        <v>46293.99305555555</v>
      </c>
      <c r="C77" s="2" t="n">
        <v>432</v>
      </c>
      <c r="D77" s="2" t="n">
        <v>8</v>
      </c>
      <c r="E77" s="2" t="n">
        <v>1</v>
      </c>
      <c r="F77" s="2" t="n">
        <v>0</v>
      </c>
      <c r="G77" s="2" t="n">
        <v>153.6</v>
      </c>
    </row>
    <row r="78">
      <c r="A78" s="7" t="n">
        <v>46293.9460828588</v>
      </c>
      <c r="B78" s="7" t="n">
        <v>46293.94513888889</v>
      </c>
      <c r="C78" s="2" t="n">
        <v>432</v>
      </c>
      <c r="D78" s="2" t="n">
        <v>1</v>
      </c>
      <c r="E78" s="2" t="n">
        <v>3</v>
      </c>
      <c r="F78" s="2" t="n">
        <v>0</v>
      </c>
      <c r="G78" s="2" t="n">
        <v>197.9</v>
      </c>
    </row>
    <row r="79">
      <c r="A79" s="7" t="n">
        <v>46293.85933717593</v>
      </c>
      <c r="B79" s="7" t="n">
        <v>46293.85833333333</v>
      </c>
      <c r="C79" s="2" t="n">
        <v>432</v>
      </c>
      <c r="D79" s="2" t="n">
        <v>4</v>
      </c>
      <c r="E79" s="2" t="n">
        <v>3</v>
      </c>
      <c r="F79" s="2" t="n">
        <v>0</v>
      </c>
      <c r="G79" s="2" t="n">
        <v>185</v>
      </c>
    </row>
    <row r="80">
      <c r="A80" s="7" t="n">
        <v>46293.69837709491</v>
      </c>
      <c r="B80" s="7" t="n">
        <v>46293.69722222222</v>
      </c>
      <c r="C80" s="2" t="n">
        <v>432</v>
      </c>
      <c r="D80" s="2" t="n">
        <v>0</v>
      </c>
      <c r="E80" s="2" t="n">
        <v>0</v>
      </c>
      <c r="F80" s="2" t="n">
        <v>0</v>
      </c>
      <c r="G80" s="2" t="n">
        <v>144.9</v>
      </c>
    </row>
    <row r="81">
      <c r="A81" s="7" t="n">
        <v>46293.67139270833</v>
      </c>
      <c r="B81" s="7" t="n">
        <v>46293.67013888889</v>
      </c>
      <c r="C81" s="2" t="n">
        <v>432</v>
      </c>
      <c r="D81" s="2" t="n">
        <v>4</v>
      </c>
      <c r="E81" s="2" t="n">
        <v>3</v>
      </c>
      <c r="F81" s="2" t="n">
        <v>0</v>
      </c>
      <c r="G81" s="2" t="n">
        <v>186.3</v>
      </c>
    </row>
    <row r="82">
      <c r="A82" s="7" t="n">
        <v>46293.54465268519</v>
      </c>
      <c r="B82" s="7" t="n">
        <v>46293.54375</v>
      </c>
      <c r="C82" s="2" t="n">
        <v>432</v>
      </c>
      <c r="D82" s="2" t="n">
        <v>2</v>
      </c>
      <c r="E82" s="2" t="n">
        <v>5</v>
      </c>
      <c r="F82" s="2" t="n">
        <v>0</v>
      </c>
      <c r="G82" s="2" t="n">
        <v>150</v>
      </c>
    </row>
    <row r="83">
      <c r="A83" s="7" t="n">
        <v>46293.46449744213</v>
      </c>
      <c r="B83" s="7" t="n">
        <v>46293.46319444444</v>
      </c>
      <c r="C83" s="2" t="n">
        <v>432</v>
      </c>
      <c r="D83" s="2" t="n">
        <v>3</v>
      </c>
      <c r="E83" s="2" t="n">
        <v>0</v>
      </c>
      <c r="F83" s="2" t="n">
        <v>0</v>
      </c>
      <c r="G83" s="2" t="n">
        <v>193.4</v>
      </c>
    </row>
    <row r="84">
      <c r="A84" s="7" t="n">
        <v>46293.40532865741</v>
      </c>
      <c r="B84" s="7" t="n">
        <v>46293.40416666667</v>
      </c>
      <c r="C84" s="2" t="n">
        <v>433</v>
      </c>
      <c r="D84" s="2" t="n">
        <v>0</v>
      </c>
      <c r="E84" s="2" t="n">
        <v>2</v>
      </c>
      <c r="F84" s="2" t="n">
        <v>0</v>
      </c>
      <c r="G84" s="2" t="n">
        <v>194.7</v>
      </c>
    </row>
    <row r="85">
      <c r="A85" s="7" t="n">
        <v>46293.26205886574</v>
      </c>
      <c r="B85" s="7" t="n">
        <v>46293.26111111111</v>
      </c>
      <c r="C85" s="2" t="n">
        <v>433</v>
      </c>
      <c r="D85" s="2" t="n">
        <v>1</v>
      </c>
      <c r="E85" s="2" t="n">
        <v>2</v>
      </c>
      <c r="F85" s="2" t="n">
        <v>0</v>
      </c>
      <c r="G85" s="2" t="n">
        <v>178</v>
      </c>
    </row>
    <row r="86">
      <c r="A86" s="7" t="n">
        <v>46293.12570534722</v>
      </c>
      <c r="B86" s="7" t="n">
        <v>46293.125</v>
      </c>
      <c r="C86" s="2" t="n">
        <v>433</v>
      </c>
      <c r="D86" s="2" t="n">
        <v>2</v>
      </c>
      <c r="E86" s="2" t="n">
        <v>0</v>
      </c>
      <c r="F86" s="2" t="n">
        <v>0</v>
      </c>
      <c r="G86" s="2" t="n">
        <v>193.1</v>
      </c>
    </row>
    <row r="87">
      <c r="A87" s="7" t="n">
        <v>46293.08172232639</v>
      </c>
      <c r="B87" s="7" t="n">
        <v>46293.08055555556</v>
      </c>
      <c r="C87" s="2" t="n">
        <v>433</v>
      </c>
      <c r="D87" s="2" t="n">
        <v>1</v>
      </c>
      <c r="E87" s="2" t="n">
        <v>2</v>
      </c>
      <c r="F87" s="2" t="n">
        <v>0</v>
      </c>
      <c r="G87" s="2" t="n">
        <v>148.9</v>
      </c>
    </row>
    <row r="88">
      <c r="A88" s="7" t="n">
        <v>46292.9814453588</v>
      </c>
      <c r="B88" s="7" t="n">
        <v>46292.98055555556</v>
      </c>
      <c r="C88" s="2" t="n">
        <v>433</v>
      </c>
      <c r="D88" s="2" t="n">
        <v>2</v>
      </c>
      <c r="E88" s="2" t="n">
        <v>1</v>
      </c>
      <c r="F88" s="2" t="n">
        <v>0</v>
      </c>
      <c r="G88" s="2" t="n">
        <v>186</v>
      </c>
    </row>
    <row r="89">
      <c r="A89" s="7" t="n">
        <v>46292.9472603125</v>
      </c>
      <c r="B89" s="7" t="n">
        <v>46292.94652777778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192.1</v>
      </c>
    </row>
    <row r="90">
      <c r="A90" s="7" t="n">
        <v>46292.919814375</v>
      </c>
      <c r="B90" s="7" t="n">
        <v>46292.91875</v>
      </c>
      <c r="C90" s="2" t="n">
        <v>433</v>
      </c>
      <c r="D90" s="2" t="n">
        <v>2</v>
      </c>
      <c r="E90" s="2" t="n">
        <v>3</v>
      </c>
      <c r="F90" s="2" t="n">
        <v>0</v>
      </c>
      <c r="G90" s="2" t="n">
        <v>192.5</v>
      </c>
    </row>
    <row r="91">
      <c r="A91" s="7" t="n">
        <v>46292.81065981482</v>
      </c>
      <c r="B91" s="7" t="n">
        <v>46292.80972222222</v>
      </c>
      <c r="C91" s="2" t="n">
        <v>433</v>
      </c>
      <c r="D91" s="2" t="n">
        <v>1</v>
      </c>
      <c r="E91" s="2" t="n">
        <v>1</v>
      </c>
      <c r="F91" s="2" t="n">
        <v>0</v>
      </c>
      <c r="G91" s="2" t="n">
        <v>177.2</v>
      </c>
    </row>
    <row r="92">
      <c r="A92" s="7" t="n">
        <v>46292.73704342593</v>
      </c>
      <c r="B92" s="7" t="n">
        <v>46292.73611111111</v>
      </c>
      <c r="C92" s="2" t="n">
        <v>433</v>
      </c>
      <c r="D92" s="2" t="n">
        <v>0</v>
      </c>
      <c r="E92" s="2" t="n">
        <v>1</v>
      </c>
      <c r="F92" s="2" t="n">
        <v>0</v>
      </c>
      <c r="G92" s="2" t="n">
        <v>147.3</v>
      </c>
    </row>
    <row r="93">
      <c r="A93" s="7" t="n">
        <v>46292.67926077546</v>
      </c>
      <c r="B93" s="7" t="n">
        <v>46292.67847222222</v>
      </c>
      <c r="C93" s="2" t="n">
        <v>433</v>
      </c>
      <c r="D93" s="2" t="n">
        <v>0</v>
      </c>
      <c r="E93" s="2" t="n">
        <v>1</v>
      </c>
      <c r="F93" s="2" t="n">
        <v>0</v>
      </c>
      <c r="G93" s="2" t="n">
        <v>197.6</v>
      </c>
    </row>
    <row r="94">
      <c r="A94" s="7" t="n">
        <v>46292.6274472338</v>
      </c>
      <c r="B94" s="7" t="n">
        <v>46292.62638888889</v>
      </c>
      <c r="C94" s="2" t="n">
        <v>433</v>
      </c>
      <c r="D94" s="2" t="n">
        <v>5</v>
      </c>
      <c r="E94" s="2" t="n">
        <v>3</v>
      </c>
      <c r="F94" s="2" t="n">
        <v>0</v>
      </c>
      <c r="G94" s="2" t="n">
        <v>192.4</v>
      </c>
    </row>
    <row r="95">
      <c r="A95" s="7" t="n">
        <v>46292.50599667824</v>
      </c>
      <c r="B95" s="7" t="n">
        <v>46292.50486111111</v>
      </c>
      <c r="C95" s="2" t="n">
        <v>433</v>
      </c>
      <c r="D95" s="2" t="n">
        <v>1</v>
      </c>
      <c r="E95" s="2" t="n">
        <v>1</v>
      </c>
      <c r="F95" s="2" t="n">
        <v>0</v>
      </c>
      <c r="G95" s="2" t="n">
        <v>191.3</v>
      </c>
    </row>
    <row r="96">
      <c r="A96" s="7" t="n">
        <v>46292.39740747685</v>
      </c>
      <c r="B96" s="7" t="n">
        <v>46292.39652777778</v>
      </c>
      <c r="C96" s="2" t="n">
        <v>433</v>
      </c>
      <c r="D96" s="2" t="n">
        <v>2</v>
      </c>
      <c r="E96" s="2" t="n">
        <v>2</v>
      </c>
      <c r="F96" s="2" t="n">
        <v>0</v>
      </c>
      <c r="G96" s="2" t="n">
        <v>150.9</v>
      </c>
    </row>
    <row r="97">
      <c r="A97" s="7" t="n">
        <v>46292.28951247685</v>
      </c>
      <c r="B97" s="7" t="n">
        <v>46292.28819444445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163.9</v>
      </c>
    </row>
    <row r="98">
      <c r="A98" s="7" t="n">
        <v>46292.28563091435</v>
      </c>
      <c r="B98" s="7" t="n">
        <v>46292.28472222222</v>
      </c>
      <c r="C98" s="2" t="n">
        <v>433</v>
      </c>
      <c r="D98" s="2" t="n">
        <v>2</v>
      </c>
      <c r="E98" s="2" t="n">
        <v>2</v>
      </c>
      <c r="F98" s="2" t="n">
        <v>0</v>
      </c>
      <c r="G98" s="2" t="n">
        <v>186.1</v>
      </c>
    </row>
    <row r="99">
      <c r="A99" s="7" t="n">
        <v>46292.16453692129</v>
      </c>
      <c r="B99" s="7" t="n">
        <v>46292.16319444445</v>
      </c>
      <c r="C99" s="2" t="n">
        <v>433</v>
      </c>
      <c r="D99" s="2" t="n">
        <v>0</v>
      </c>
      <c r="E99" s="2" t="n">
        <v>2</v>
      </c>
      <c r="F99" s="2" t="n">
        <v>0</v>
      </c>
      <c r="G99" s="2" t="n">
        <v>183.8</v>
      </c>
    </row>
    <row r="100">
      <c r="A100" s="7" t="n">
        <v>46292.05207142361</v>
      </c>
      <c r="B100" s="7" t="n">
        <v>46292.05069444444</v>
      </c>
      <c r="C100" s="2" t="n">
        <v>433</v>
      </c>
      <c r="D100" s="2" t="n">
        <v>4</v>
      </c>
      <c r="E100" s="2" t="n">
        <v>2</v>
      </c>
      <c r="F100" s="2" t="n">
        <v>0</v>
      </c>
      <c r="G100" s="2" t="n">
        <v>160.8</v>
      </c>
    </row>
    <row r="101">
      <c r="A101" s="7" t="n">
        <v>46291.98017201389</v>
      </c>
      <c r="B101" s="7" t="n">
        <v>46291.97916666666</v>
      </c>
      <c r="C101" s="2" t="n">
        <v>433</v>
      </c>
      <c r="D101" s="2" t="n">
        <v>2</v>
      </c>
      <c r="E101" s="2" t="n">
        <v>0</v>
      </c>
      <c r="F101" s="2" t="n">
        <v>0</v>
      </c>
      <c r="G101" s="2" t="n">
        <v>148.2</v>
      </c>
    </row>
    <row r="102">
      <c r="A102" s="7" t="n">
        <v>46291.93749069444</v>
      </c>
      <c r="B102" s="7" t="n">
        <v>46291.93611111111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163.1</v>
      </c>
    </row>
    <row r="103">
      <c r="A103" s="7" t="n">
        <v>46291.88266193287</v>
      </c>
      <c r="B103" s="7" t="n">
        <v>46291.88194444445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140.5</v>
      </c>
    </row>
    <row r="104">
      <c r="A104" s="7" t="n">
        <v>46291.83751681713</v>
      </c>
      <c r="B104" s="7" t="n">
        <v>46291.83680555555</v>
      </c>
      <c r="C104" s="2" t="n">
        <v>433</v>
      </c>
      <c r="D104" s="2" t="n">
        <v>0</v>
      </c>
      <c r="E104" s="2" t="n">
        <v>2</v>
      </c>
      <c r="F104" s="2" t="n">
        <v>0</v>
      </c>
      <c r="G104" s="2" t="n">
        <v>186.6</v>
      </c>
    </row>
    <row r="105">
      <c r="A105" s="7" t="n">
        <v>46291.78589450232</v>
      </c>
      <c r="B105" s="7" t="n">
        <v>46291.78472222222</v>
      </c>
      <c r="C105" s="2" t="n">
        <v>433</v>
      </c>
      <c r="D105" s="2" t="n">
        <v>5</v>
      </c>
      <c r="E105" s="2" t="n">
        <v>7</v>
      </c>
      <c r="F105" s="2" t="n">
        <v>0</v>
      </c>
      <c r="G105" s="2" t="n">
        <v>157.8</v>
      </c>
    </row>
    <row r="106">
      <c r="A106" s="7" t="n">
        <v>46291.65882908565</v>
      </c>
      <c r="B106" s="7" t="n">
        <v>46291.65763888889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175.7</v>
      </c>
    </row>
    <row r="107">
      <c r="A107" s="7" t="n">
        <v>46291.63896155093</v>
      </c>
      <c r="B107" s="7" t="n">
        <v>46291.63819444444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177.9</v>
      </c>
    </row>
    <row r="108">
      <c r="A108" s="7" t="n">
        <v>46291.63155474537</v>
      </c>
      <c r="B108" s="7" t="n">
        <v>46291.63055555556</v>
      </c>
      <c r="C108" s="2" t="n">
        <v>433</v>
      </c>
      <c r="D108" s="2" t="n">
        <v>1</v>
      </c>
      <c r="E108" s="2" t="n">
        <v>1</v>
      </c>
      <c r="F108" s="2" t="n">
        <v>0</v>
      </c>
      <c r="G108" s="2" t="n">
        <v>172.6</v>
      </c>
    </row>
    <row r="109">
      <c r="A109" s="7" t="n">
        <v>46291.58748165509</v>
      </c>
      <c r="B109" s="7" t="n">
        <v>46291.58611111111</v>
      </c>
      <c r="C109" s="2" t="n">
        <v>433</v>
      </c>
      <c r="D109" s="2" t="n">
        <v>2</v>
      </c>
      <c r="E109" s="2" t="n">
        <v>0</v>
      </c>
      <c r="F109" s="2" t="n">
        <v>0</v>
      </c>
      <c r="G109" s="2" t="n">
        <v>148</v>
      </c>
    </row>
    <row r="110">
      <c r="A110" s="7" t="n">
        <v>46291.52177836806</v>
      </c>
      <c r="B110" s="7" t="n">
        <v>46291.52083333334</v>
      </c>
      <c r="C110" s="2" t="n">
        <v>433</v>
      </c>
      <c r="D110" s="2" t="n">
        <v>2</v>
      </c>
      <c r="E110" s="2" t="n">
        <v>5</v>
      </c>
      <c r="F110" s="2" t="n">
        <v>0</v>
      </c>
      <c r="G110" s="2" t="n">
        <v>187.5</v>
      </c>
    </row>
    <row r="111">
      <c r="A111" s="7" t="n">
        <v>46291.40186751157</v>
      </c>
      <c r="B111" s="7" t="n">
        <v>46291.40069444444</v>
      </c>
      <c r="C111" s="2" t="n">
        <v>433</v>
      </c>
      <c r="D111" s="2" t="n">
        <v>0</v>
      </c>
      <c r="E111" s="2" t="n">
        <v>2</v>
      </c>
      <c r="F111" s="2" t="n">
        <v>0</v>
      </c>
      <c r="G111" s="2" t="n">
        <v>188.1</v>
      </c>
    </row>
    <row r="112">
      <c r="A112" s="7" t="n">
        <v>46291.36540915509</v>
      </c>
      <c r="B112" s="7" t="n">
        <v>46291.36458333334</v>
      </c>
      <c r="C112" s="2" t="n">
        <v>433</v>
      </c>
      <c r="D112" s="2" t="n">
        <v>3</v>
      </c>
      <c r="E112" s="2" t="n">
        <v>0</v>
      </c>
      <c r="F112" s="2" t="n">
        <v>0</v>
      </c>
      <c r="G112" s="2" t="n">
        <v>163.5</v>
      </c>
    </row>
    <row r="113">
      <c r="A113" s="7" t="n">
        <v>46291.26887001158</v>
      </c>
      <c r="B113" s="7" t="n">
        <v>46291.26805555556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184.5</v>
      </c>
    </row>
    <row r="114">
      <c r="A114" s="7" t="n">
        <v>46291.2560487963</v>
      </c>
      <c r="B114" s="7" t="n">
        <v>46291.25486111111</v>
      </c>
      <c r="C114" s="2" t="n">
        <v>433</v>
      </c>
      <c r="D114" s="2" t="n">
        <v>3</v>
      </c>
      <c r="E114" s="2" t="n">
        <v>1</v>
      </c>
      <c r="F114" s="2" t="n">
        <v>0</v>
      </c>
      <c r="G114" s="2" t="n">
        <v>191.6</v>
      </c>
    </row>
    <row r="115">
      <c r="A115" s="7" t="n">
        <v>46291.11246790509</v>
      </c>
      <c r="B115" s="7" t="n">
        <v>46291.11111111111</v>
      </c>
      <c r="C115" s="2" t="n">
        <v>433</v>
      </c>
      <c r="D115" s="2" t="n">
        <v>2</v>
      </c>
      <c r="E115" s="2" t="n">
        <v>1</v>
      </c>
      <c r="F115" s="2" t="n">
        <v>0</v>
      </c>
      <c r="G115" s="2" t="n">
        <v>182.3</v>
      </c>
    </row>
    <row r="116">
      <c r="A116" s="7" t="n">
        <v>46291.02308788194</v>
      </c>
      <c r="B116" s="7" t="n">
        <v>46291.02222222222</v>
      </c>
      <c r="C116" s="2" t="n">
        <v>433</v>
      </c>
      <c r="D116" s="2" t="n">
        <v>1</v>
      </c>
      <c r="E116" s="2" t="n">
        <v>0</v>
      </c>
      <c r="F116" s="2" t="n">
        <v>0</v>
      </c>
      <c r="G116" s="2" t="n">
        <v>140.5</v>
      </c>
    </row>
    <row r="117">
      <c r="A117" s="7" t="n">
        <v>46290.9990443287</v>
      </c>
      <c r="B117" s="7" t="n">
        <v>46290.99791666667</v>
      </c>
      <c r="C117" s="2" t="n">
        <v>433</v>
      </c>
      <c r="D117" s="2" t="n">
        <v>1</v>
      </c>
      <c r="E117" s="2" t="n">
        <v>1</v>
      </c>
      <c r="F117" s="2" t="n">
        <v>0</v>
      </c>
      <c r="G117" s="2" t="n">
        <v>197.5</v>
      </c>
    </row>
    <row r="118">
      <c r="A118" s="7" t="n">
        <v>46290.91267655093</v>
      </c>
      <c r="B118" s="7" t="n">
        <v>46290.91180555556</v>
      </c>
      <c r="C118" s="2" t="n">
        <v>433</v>
      </c>
      <c r="D118" s="2" t="n">
        <v>2</v>
      </c>
      <c r="E118" s="2" t="n">
        <v>2</v>
      </c>
      <c r="F118" s="2" t="n">
        <v>0</v>
      </c>
      <c r="G118" s="2" t="n">
        <v>193.4</v>
      </c>
    </row>
    <row r="119">
      <c r="A119" s="7" t="n">
        <v>46290.82088560185</v>
      </c>
      <c r="B119" s="7" t="n">
        <v>46290.82013888889</v>
      </c>
      <c r="C119" s="2" t="n">
        <v>433</v>
      </c>
      <c r="D119" s="2" t="n">
        <v>1</v>
      </c>
      <c r="E119" s="2" t="n">
        <v>0</v>
      </c>
      <c r="F119" s="2" t="n">
        <v>0</v>
      </c>
      <c r="G119" s="2" t="n">
        <v>174.9</v>
      </c>
    </row>
    <row r="120">
      <c r="A120" s="7" t="n">
        <v>46290.76820827546</v>
      </c>
      <c r="B120" s="7" t="n">
        <v>46290.76736111111</v>
      </c>
      <c r="C120" s="2" t="n">
        <v>433</v>
      </c>
      <c r="D120" s="2" t="n">
        <v>0</v>
      </c>
      <c r="E120" s="2" t="n">
        <v>1</v>
      </c>
      <c r="F120" s="2" t="n">
        <v>0</v>
      </c>
      <c r="G120" s="2" t="n">
        <v>187</v>
      </c>
    </row>
    <row r="121">
      <c r="A121" s="7" t="n">
        <v>46290.709303125</v>
      </c>
      <c r="B121" s="7" t="n">
        <v>46290.70833333334</v>
      </c>
      <c r="C121" s="2" t="n">
        <v>433</v>
      </c>
      <c r="D121" s="2" t="n">
        <v>1</v>
      </c>
      <c r="E121" s="2" t="n">
        <v>3</v>
      </c>
      <c r="F121" s="2" t="n">
        <v>0</v>
      </c>
      <c r="G121" s="2" t="n">
        <v>187.6</v>
      </c>
    </row>
    <row r="122">
      <c r="A122" s="7" t="n">
        <v>46290.66382769676</v>
      </c>
      <c r="B122" s="7" t="n">
        <v>46290.6625</v>
      </c>
      <c r="C122" s="2" t="n">
        <v>433</v>
      </c>
      <c r="D122" s="2" t="n">
        <v>1</v>
      </c>
      <c r="E122" s="2" t="n">
        <v>0</v>
      </c>
      <c r="F122" s="2" t="n">
        <v>0</v>
      </c>
      <c r="G122" s="2" t="n">
        <v>185.1</v>
      </c>
    </row>
    <row r="123">
      <c r="A123" s="7" t="n">
        <v>46290.61757802084</v>
      </c>
      <c r="B123" s="7" t="n">
        <v>46290.61666666667</v>
      </c>
      <c r="C123" s="2" t="n">
        <v>433</v>
      </c>
      <c r="D123" s="2" t="n">
        <v>0</v>
      </c>
      <c r="E123" s="2" t="n">
        <v>2</v>
      </c>
      <c r="F123" s="2" t="n">
        <v>0</v>
      </c>
      <c r="G123" s="2" t="n">
        <v>178.9</v>
      </c>
    </row>
    <row r="124">
      <c r="A124" s="7" t="n">
        <v>46290.55632820602</v>
      </c>
      <c r="B124" s="7" t="n">
        <v>46290.55555555555</v>
      </c>
      <c r="C124" s="2" t="n">
        <v>433</v>
      </c>
      <c r="D124" s="2" t="n">
        <v>1</v>
      </c>
      <c r="E124" s="2" t="n">
        <v>0</v>
      </c>
      <c r="F124" s="2" t="n">
        <v>0</v>
      </c>
      <c r="G124" s="2" t="n">
        <v>179.4</v>
      </c>
    </row>
    <row r="125">
      <c r="A125" s="7" t="n">
        <v>46290.50409561343</v>
      </c>
      <c r="B125" s="7" t="n">
        <v>46290.50277777778</v>
      </c>
      <c r="C125" s="2" t="n">
        <v>433</v>
      </c>
      <c r="D125" s="2" t="n">
        <v>0</v>
      </c>
      <c r="E125" s="2" t="n">
        <v>1</v>
      </c>
      <c r="F125" s="2" t="n">
        <v>0</v>
      </c>
      <c r="G125" s="2" t="n">
        <v>174.5</v>
      </c>
    </row>
    <row r="126">
      <c r="A126" s="7" t="n">
        <v>46290.39966920139</v>
      </c>
      <c r="B126" s="7" t="n">
        <v>46290.39861111111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189.8</v>
      </c>
    </row>
    <row r="127">
      <c r="A127" s="7" t="n">
        <v>46290.3483633912</v>
      </c>
      <c r="B127" s="7" t="n">
        <v>46290.34722222222</v>
      </c>
      <c r="C127" s="2" t="n">
        <v>433</v>
      </c>
      <c r="D127" s="2" t="n">
        <v>0</v>
      </c>
      <c r="E127" s="2" t="n">
        <v>1</v>
      </c>
      <c r="F127" s="2" t="n">
        <v>0</v>
      </c>
      <c r="G127" s="2" t="n">
        <v>163.4</v>
      </c>
    </row>
    <row r="128">
      <c r="A128" s="7" t="n">
        <v>46290.27195019676</v>
      </c>
      <c r="B128" s="7" t="n">
        <v>46290.27083333334</v>
      </c>
      <c r="C128" s="2" t="n">
        <v>433</v>
      </c>
      <c r="D128" s="2" t="n">
        <v>1</v>
      </c>
      <c r="E128" s="2" t="n">
        <v>1</v>
      </c>
      <c r="F128" s="2" t="n">
        <v>1</v>
      </c>
      <c r="G128" s="2" t="n">
        <v>182.9</v>
      </c>
    </row>
    <row r="129">
      <c r="A129" s="7" t="n">
        <v>46290.13587655093</v>
      </c>
      <c r="B129" s="7" t="n">
        <v>46290.13472222222</v>
      </c>
      <c r="C129" s="2" t="n">
        <v>433</v>
      </c>
      <c r="D129" s="2" t="n">
        <v>2</v>
      </c>
      <c r="E129" s="2" t="n">
        <v>6</v>
      </c>
      <c r="F129" s="2" t="n">
        <v>1</v>
      </c>
      <c r="G129" s="2" t="n">
        <v>191.6</v>
      </c>
    </row>
    <row r="130">
      <c r="A130" s="7" t="n">
        <v>46290.02908936342</v>
      </c>
      <c r="B130" s="7" t="n">
        <v>46290.02777777778</v>
      </c>
      <c r="C130" s="2" t="n">
        <v>433</v>
      </c>
      <c r="D130" s="2" t="n">
        <v>2</v>
      </c>
      <c r="E130" s="2" t="n">
        <v>0</v>
      </c>
      <c r="F130" s="2" t="n">
        <v>1</v>
      </c>
      <c r="G130" s="2" t="n">
        <v>166.2</v>
      </c>
    </row>
    <row r="131">
      <c r="A131" s="7" t="n">
        <v>46289.96715996528</v>
      </c>
      <c r="B131" s="7" t="n">
        <v>46289.96597222222</v>
      </c>
      <c r="C131" s="2" t="n">
        <v>433</v>
      </c>
      <c r="D131" s="2" t="n">
        <v>2</v>
      </c>
      <c r="E131" s="2" t="n">
        <v>8</v>
      </c>
      <c r="F131" s="2" t="n">
        <v>1</v>
      </c>
      <c r="G131" s="2" t="n">
        <v>190.1</v>
      </c>
    </row>
    <row r="132">
      <c r="A132" s="7" t="n">
        <v>46289.95004011574</v>
      </c>
      <c r="B132" s="7" t="n">
        <v>46289.94930555556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178.4</v>
      </c>
    </row>
    <row r="133">
      <c r="A133" s="7" t="n">
        <v>46289.94135959491</v>
      </c>
      <c r="B133" s="7" t="n">
        <v>46289.94027777778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183.8</v>
      </c>
    </row>
    <row r="134">
      <c r="A134" s="7" t="n">
        <v>46289.92565313658</v>
      </c>
      <c r="B134" s="7" t="n">
        <v>46289.92430555556</v>
      </c>
      <c r="C134" s="2" t="n">
        <v>433</v>
      </c>
      <c r="D134" s="2" t="n">
        <v>6</v>
      </c>
      <c r="E134" s="2" t="n">
        <v>3</v>
      </c>
      <c r="F134" s="2" t="n">
        <v>1</v>
      </c>
      <c r="G134" s="2" t="n">
        <v>226.2</v>
      </c>
    </row>
    <row r="135">
      <c r="A135" s="7" t="n">
        <v>46289.84896370371</v>
      </c>
      <c r="B135" s="7" t="n">
        <v>46289.84791666667</v>
      </c>
      <c r="C135" s="2" t="n">
        <v>433</v>
      </c>
      <c r="D135" s="2" t="n">
        <v>2</v>
      </c>
      <c r="E135" s="2" t="n">
        <v>2</v>
      </c>
      <c r="F135" s="2" t="n">
        <v>1</v>
      </c>
      <c r="G135" s="2" t="n">
        <v>147.5</v>
      </c>
    </row>
    <row r="136">
      <c r="A136" s="7" t="n">
        <v>46289.78526427083</v>
      </c>
      <c r="B136" s="7" t="n">
        <v>46289.78402777778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186.8</v>
      </c>
    </row>
    <row r="137">
      <c r="A137" s="7" t="n">
        <v>46289.75543116898</v>
      </c>
      <c r="B137" s="7" t="n">
        <v>46289.75</v>
      </c>
      <c r="C137" s="2" t="n">
        <v>433</v>
      </c>
      <c r="D137" s="2" t="n">
        <v>15</v>
      </c>
      <c r="E137" s="2" t="n">
        <v>11</v>
      </c>
      <c r="F137" s="2" t="n">
        <v>1</v>
      </c>
      <c r="G137" s="2" t="n">
        <v>109.8</v>
      </c>
    </row>
    <row r="138">
      <c r="A138" s="7" t="n">
        <v>46289.54138961805</v>
      </c>
      <c r="B138" s="7" t="n">
        <v>46289.53472222222</v>
      </c>
      <c r="C138" s="2" t="n">
        <v>433</v>
      </c>
      <c r="D138" s="2" t="n">
        <v>2</v>
      </c>
      <c r="E138" s="2" t="n">
        <v>3</v>
      </c>
      <c r="F138" s="2" t="n">
        <v>1</v>
      </c>
      <c r="G138" s="2" t="n">
        <v>125.8</v>
      </c>
    </row>
    <row r="139">
      <c r="A139" s="7" t="n">
        <v>46289.32358565972</v>
      </c>
      <c r="B139" s="7" t="n">
        <v>46289.31944444445</v>
      </c>
      <c r="C139" s="2" t="n">
        <v>433</v>
      </c>
      <c r="D139" s="2" t="n">
        <v>2</v>
      </c>
      <c r="E139" s="2" t="n">
        <v>4</v>
      </c>
      <c r="F139" s="2" t="n">
        <v>1</v>
      </c>
      <c r="G139" s="2" t="n">
        <v>130.2</v>
      </c>
    </row>
    <row r="140">
      <c r="A140" s="7" t="n">
        <v>46289.18599210648</v>
      </c>
      <c r="B140" s="7" t="n">
        <v>46289.18055555555</v>
      </c>
      <c r="C140" s="2" t="n">
        <v>433</v>
      </c>
      <c r="D140" s="2" t="n">
        <v>3</v>
      </c>
      <c r="E140" s="2" t="n">
        <v>4</v>
      </c>
      <c r="F140" s="2" t="n">
        <v>1</v>
      </c>
      <c r="G140" s="2" t="n">
        <v>129.3</v>
      </c>
    </row>
    <row r="141">
      <c r="A141" s="7" t="n">
        <v>46289.04908521991</v>
      </c>
      <c r="B141" s="7" t="n">
        <v>46289.04513888889</v>
      </c>
      <c r="C141" s="2" t="n">
        <v>433</v>
      </c>
      <c r="D141" s="2" t="n">
        <v>2</v>
      </c>
      <c r="E141" s="2" t="n">
        <v>8</v>
      </c>
      <c r="F141" s="2" t="n">
        <v>1</v>
      </c>
      <c r="G141" s="2" t="n">
        <v>96.90000000000001</v>
      </c>
    </row>
    <row r="142">
      <c r="A142" s="7" t="n">
        <v>46289.00944646991</v>
      </c>
      <c r="B142" s="7" t="n">
        <v>46289.00347222222</v>
      </c>
      <c r="C142" s="2" t="n">
        <v>433</v>
      </c>
      <c r="D142" s="2" t="n">
        <v>26</v>
      </c>
      <c r="E142" s="2" t="n">
        <v>15</v>
      </c>
      <c r="F142" s="2" t="n">
        <v>1</v>
      </c>
      <c r="G142" s="2" t="n">
        <v>127</v>
      </c>
    </row>
    <row r="143">
      <c r="A143" s="7" t="n">
        <v>46288.82408041666</v>
      </c>
      <c r="B143" s="7" t="n">
        <v>46288.81944444445</v>
      </c>
      <c r="C143" s="2" t="n">
        <v>433</v>
      </c>
      <c r="D143" s="2" t="n">
        <v>1</v>
      </c>
      <c r="E143" s="2" t="n">
        <v>2</v>
      </c>
      <c r="F143" s="2" t="n">
        <v>2</v>
      </c>
      <c r="G143" s="2" t="n">
        <v>118.2</v>
      </c>
    </row>
    <row r="144">
      <c r="A144" s="7" t="n">
        <v>46288.75275025463</v>
      </c>
      <c r="B144" s="7" t="n">
        <v>46288.74652777778</v>
      </c>
      <c r="C144" s="2" t="n">
        <v>433</v>
      </c>
      <c r="D144" s="2" t="n">
        <v>4</v>
      </c>
      <c r="E144" s="2" t="n">
        <v>3</v>
      </c>
      <c r="F144" s="2" t="n">
        <v>2</v>
      </c>
      <c r="G144" s="2" t="n">
        <v>125.5</v>
      </c>
    </row>
    <row r="145">
      <c r="A145" s="7" t="n">
        <v>46288.58577883102</v>
      </c>
      <c r="B145" s="7" t="n">
        <v>46288.57986111111</v>
      </c>
      <c r="C145" s="2" t="n">
        <v>433</v>
      </c>
      <c r="D145" s="2" t="n">
        <v>0</v>
      </c>
      <c r="E145" s="2" t="n">
        <v>0</v>
      </c>
      <c r="F145" s="2" t="n">
        <v>2</v>
      </c>
      <c r="G145" s="2" t="n">
        <v>112.8</v>
      </c>
    </row>
    <row r="146">
      <c r="A146" s="7" t="n">
        <v>46288.57218969907</v>
      </c>
      <c r="B146" s="7" t="n">
        <v>46288.56597222222</v>
      </c>
      <c r="C146" s="2" t="n">
        <v>433</v>
      </c>
      <c r="D146" s="2" t="n">
        <v>4</v>
      </c>
      <c r="E146" s="2" t="n">
        <v>5</v>
      </c>
      <c r="F146" s="2" t="n">
        <v>2</v>
      </c>
      <c r="G146" s="2" t="n">
        <v>99.7</v>
      </c>
    </row>
    <row r="147">
      <c r="A147" s="7" t="n">
        <v>46288.36332482639</v>
      </c>
      <c r="B147" s="7" t="n">
        <v>46288.35763888889</v>
      </c>
      <c r="C147" s="2" t="n">
        <v>441</v>
      </c>
      <c r="D147" s="2" t="n">
        <v>2</v>
      </c>
      <c r="E147" s="2" t="n">
        <v>4</v>
      </c>
      <c r="F147" s="2" t="n">
        <v>2</v>
      </c>
      <c r="G147" s="2" t="n">
        <v>94.40000000000001</v>
      </c>
    </row>
    <row r="148">
      <c r="A148" s="7" t="n">
        <v>46288.26120461806</v>
      </c>
      <c r="B148" s="7" t="n">
        <v>46288.25694444445</v>
      </c>
      <c r="C148" s="2" t="n">
        <v>441</v>
      </c>
      <c r="D148" s="2" t="n">
        <v>0</v>
      </c>
      <c r="E148" s="2" t="n">
        <v>3</v>
      </c>
      <c r="F148" s="2" t="n">
        <v>2</v>
      </c>
      <c r="G148" s="2" t="n">
        <v>103.1</v>
      </c>
    </row>
    <row r="149">
      <c r="A149" s="7" t="n">
        <v>46288.12397528935</v>
      </c>
      <c r="B149" s="7" t="n">
        <v>46288.11805555555</v>
      </c>
      <c r="C149" s="2" t="n">
        <v>441</v>
      </c>
      <c r="D149" s="2" t="n">
        <v>7</v>
      </c>
      <c r="E149" s="2" t="n">
        <v>1</v>
      </c>
      <c r="F149" s="2" t="n">
        <v>2</v>
      </c>
      <c r="G149" s="2" t="n">
        <v>114.4</v>
      </c>
    </row>
    <row r="150">
      <c r="A150" s="7" t="n">
        <v>46287.95840076389</v>
      </c>
      <c r="B150" s="7" t="n">
        <v>46287.95486111111</v>
      </c>
      <c r="C150" s="2" t="n">
        <v>441</v>
      </c>
      <c r="D150" s="2" t="n">
        <v>6</v>
      </c>
      <c r="E150" s="2" t="n">
        <v>5</v>
      </c>
      <c r="F150" s="2" t="n">
        <v>2</v>
      </c>
      <c r="G150" s="2" t="n">
        <v>135.1</v>
      </c>
    </row>
    <row r="151">
      <c r="A151" s="7" t="n">
        <v>46287.75277884259</v>
      </c>
      <c r="B151" s="7" t="n">
        <v>46287.74652777778</v>
      </c>
      <c r="C151" s="2" t="n">
        <v>440</v>
      </c>
      <c r="D151" s="2" t="n">
        <v>1</v>
      </c>
      <c r="E151" s="2" t="n">
        <v>3</v>
      </c>
      <c r="F151" s="2" t="n">
        <v>0</v>
      </c>
      <c r="G151" s="2" t="n">
        <v>130.3</v>
      </c>
    </row>
    <row r="152">
      <c r="A152" s="7" t="n">
        <v>46287.6758560301</v>
      </c>
      <c r="B152" s="7" t="n">
        <v>46287.67013888889</v>
      </c>
      <c r="C152" s="2" t="n">
        <v>440</v>
      </c>
      <c r="D152" s="2" t="n">
        <v>4</v>
      </c>
      <c r="E152" s="2" t="n">
        <v>3</v>
      </c>
      <c r="F152" s="2" t="n">
        <v>0</v>
      </c>
      <c r="G152" s="2" t="n">
        <v>91.7</v>
      </c>
    </row>
    <row r="153">
      <c r="A153" s="7" t="n">
        <v>46287.54602564815</v>
      </c>
      <c r="B153" s="7" t="n">
        <v>46287.54166666666</v>
      </c>
      <c r="C153" s="2" t="n">
        <v>440</v>
      </c>
      <c r="D153" s="2" t="n">
        <v>1</v>
      </c>
      <c r="E153" s="2" t="n">
        <v>3</v>
      </c>
      <c r="F153" s="2" t="n">
        <v>0</v>
      </c>
      <c r="G153" s="2" t="n">
        <v>125.4</v>
      </c>
    </row>
    <row r="154">
      <c r="A154" s="7" t="n">
        <v>46287.51247143518</v>
      </c>
      <c r="B154" s="7" t="n">
        <v>46287.50694444445</v>
      </c>
      <c r="C154" s="2" t="n">
        <v>440</v>
      </c>
      <c r="D154" s="2" t="n">
        <v>7</v>
      </c>
      <c r="E154" s="2" t="n">
        <v>8</v>
      </c>
      <c r="F154" s="2" t="n">
        <v>0</v>
      </c>
      <c r="G154" s="2" t="n">
        <v>102.8</v>
      </c>
    </row>
    <row r="155">
      <c r="A155" s="7" t="n">
        <v>46287.30635083334</v>
      </c>
      <c r="B155" s="7" t="n">
        <v>46287.30208333334</v>
      </c>
      <c r="C155" s="2" t="n">
        <v>440</v>
      </c>
      <c r="D155" s="2" t="n">
        <v>9</v>
      </c>
      <c r="E155" s="2" t="n">
        <v>5</v>
      </c>
      <c r="F155" s="2" t="n">
        <v>0</v>
      </c>
      <c r="G155" s="2" t="n">
        <v>135.9</v>
      </c>
    </row>
    <row r="156">
      <c r="A156" s="7" t="n">
        <v>46287.14961865741</v>
      </c>
      <c r="B156" s="7" t="n">
        <v>46287.14583333334</v>
      </c>
      <c r="C156" s="2" t="n">
        <v>440</v>
      </c>
      <c r="D156" s="2" t="n">
        <v>6</v>
      </c>
      <c r="E156" s="2" t="n">
        <v>5</v>
      </c>
      <c r="F156" s="2" t="n">
        <v>0</v>
      </c>
      <c r="G156" s="2" t="n">
        <v>130.5</v>
      </c>
    </row>
    <row r="157">
      <c r="A157" s="7" t="n">
        <v>46286.92852005787</v>
      </c>
      <c r="B157" s="7" t="n">
        <v>46286.92361111111</v>
      </c>
      <c r="C157" s="2" t="n">
        <v>440</v>
      </c>
      <c r="D157" s="2" t="n">
        <v>2</v>
      </c>
      <c r="E157" s="2" t="n">
        <v>3</v>
      </c>
      <c r="F157" s="2" t="n">
        <v>0</v>
      </c>
      <c r="G157" s="2" t="n">
        <v>112.2</v>
      </c>
    </row>
    <row r="158">
      <c r="A158" s="7" t="n">
        <v>46286.83222814815</v>
      </c>
      <c r="B158" s="7" t="n">
        <v>46286.82638888889</v>
      </c>
      <c r="C158" s="2" t="n">
        <v>440</v>
      </c>
      <c r="D158" s="2" t="n">
        <v>5</v>
      </c>
      <c r="E158" s="2" t="n">
        <v>7</v>
      </c>
      <c r="F158" s="2" t="n">
        <v>0</v>
      </c>
      <c r="G158" s="2" t="n">
        <v>126.4</v>
      </c>
    </row>
    <row r="159">
      <c r="A159" s="7" t="n">
        <v>46286.60261268519</v>
      </c>
      <c r="B159" s="7" t="n">
        <v>46286.59722222222</v>
      </c>
      <c r="C159" s="2" t="n">
        <v>440</v>
      </c>
      <c r="D159" s="2" t="n">
        <v>8</v>
      </c>
      <c r="E159" s="2" t="n">
        <v>5</v>
      </c>
      <c r="F159" s="2" t="n">
        <v>0</v>
      </c>
      <c r="G159" s="2" t="n">
        <v>111.5</v>
      </c>
    </row>
    <row r="160">
      <c r="A160" s="7" t="n">
        <v>46286.38294268519</v>
      </c>
      <c r="B160" s="7" t="n">
        <v>46286.37847222222</v>
      </c>
      <c r="C160" s="2" t="n">
        <v>440</v>
      </c>
      <c r="D160" s="2" t="n">
        <v>3</v>
      </c>
      <c r="E160" s="2" t="n">
        <v>6</v>
      </c>
      <c r="F160" s="2" t="n">
        <v>0</v>
      </c>
      <c r="G160" s="2" t="n">
        <v>102.4</v>
      </c>
    </row>
    <row r="161">
      <c r="A161" s="7" t="n">
        <v>46286.27148542824</v>
      </c>
      <c r="B161" s="7" t="n">
        <v>46286.26736111111</v>
      </c>
      <c r="C161" s="2" t="n">
        <v>440</v>
      </c>
      <c r="D161" s="2" t="n">
        <v>2</v>
      </c>
      <c r="E161" s="2" t="n">
        <v>2</v>
      </c>
      <c r="F161" s="2" t="n">
        <v>0</v>
      </c>
      <c r="G161" s="2" t="n">
        <v>126.7</v>
      </c>
    </row>
    <row r="162">
      <c r="A162" s="7" t="n">
        <v>46286.14641391204</v>
      </c>
      <c r="B162" s="7" t="n">
        <v>46286.14236111111</v>
      </c>
      <c r="C162" s="2" t="n">
        <v>440</v>
      </c>
      <c r="D162" s="2" t="n">
        <v>4</v>
      </c>
      <c r="E162" s="2" t="n">
        <v>4</v>
      </c>
      <c r="F162" s="2" t="n">
        <v>0</v>
      </c>
      <c r="G162" s="2" t="n">
        <v>131.3</v>
      </c>
    </row>
    <row r="163">
      <c r="A163" s="7" t="n">
        <v>46286.03573545139</v>
      </c>
      <c r="B163" s="7" t="n">
        <v>46286.03125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127.3</v>
      </c>
    </row>
    <row r="164">
      <c r="A164" s="7" t="n">
        <v>46286.00283136574</v>
      </c>
      <c r="B164" s="7" t="n">
        <v>46285.99652777778</v>
      </c>
      <c r="C164" s="2" t="n">
        <v>440</v>
      </c>
      <c r="D164" s="2" t="n">
        <v>5</v>
      </c>
      <c r="E164" s="2" t="n">
        <v>5</v>
      </c>
      <c r="F164" s="2" t="n">
        <v>0</v>
      </c>
      <c r="G164" s="2" t="n">
        <v>101.9</v>
      </c>
    </row>
    <row r="165">
      <c r="A165" s="7" t="n">
        <v>46285.85245594908</v>
      </c>
      <c r="B165" s="7" t="n">
        <v>46285.84722222222</v>
      </c>
      <c r="C165" s="2" t="n">
        <v>440</v>
      </c>
      <c r="D165" s="2" t="n">
        <v>7</v>
      </c>
      <c r="E165" s="2" t="n">
        <v>6</v>
      </c>
      <c r="F165" s="2" t="n">
        <v>0</v>
      </c>
      <c r="G165" s="2" t="n">
        <v>100.6</v>
      </c>
    </row>
    <row r="166">
      <c r="A166" s="7" t="n">
        <v>46285.60105145833</v>
      </c>
      <c r="B166" s="7" t="n">
        <v>46285.59722222222</v>
      </c>
      <c r="C166" s="2" t="n">
        <v>440</v>
      </c>
      <c r="D166" s="2" t="n">
        <v>9</v>
      </c>
      <c r="E166" s="2" t="n">
        <v>5</v>
      </c>
      <c r="F166" s="2" t="n">
        <v>0</v>
      </c>
      <c r="G166" s="2" t="n">
        <v>129.1</v>
      </c>
    </row>
    <row r="167">
      <c r="A167" s="7" t="n">
        <v>46285.38559789352</v>
      </c>
      <c r="B167" s="7" t="n">
        <v>46285.38194444445</v>
      </c>
      <c r="C167" s="2" t="n">
        <v>440</v>
      </c>
      <c r="D167" s="2" t="n">
        <v>1</v>
      </c>
      <c r="E167" s="2" t="n">
        <v>1</v>
      </c>
      <c r="F167" s="2" t="n">
        <v>0</v>
      </c>
      <c r="G167" s="2" t="n">
        <v>112.5</v>
      </c>
    </row>
    <row r="168">
      <c r="A168" s="7" t="n">
        <v>46285.29994834491</v>
      </c>
      <c r="B168" s="7" t="n">
        <v>46285.29513888889</v>
      </c>
      <c r="C168" s="2" t="n">
        <v>440</v>
      </c>
      <c r="D168" s="2" t="n">
        <v>1</v>
      </c>
      <c r="E168" s="2" t="n">
        <v>3</v>
      </c>
      <c r="F168" s="2" t="n">
        <v>0</v>
      </c>
      <c r="G168" s="2" t="n">
        <v>128.1</v>
      </c>
    </row>
    <row r="169">
      <c r="A169" s="7" t="n">
        <v>46285.19964518519</v>
      </c>
      <c r="B169" s="7" t="n">
        <v>46285.19444444445</v>
      </c>
      <c r="C169" s="2" t="n">
        <v>440</v>
      </c>
      <c r="D169" s="2" t="n">
        <v>2</v>
      </c>
      <c r="E169" s="2" t="n">
        <v>3</v>
      </c>
      <c r="F169" s="2" t="n">
        <v>0</v>
      </c>
      <c r="G169" s="2" t="n">
        <v>110.6</v>
      </c>
    </row>
    <row r="170">
      <c r="A170" s="7" t="n">
        <v>46285.08704527777</v>
      </c>
      <c r="B170" s="7" t="n">
        <v>46285.08333333334</v>
      </c>
      <c r="C170" s="2" t="n">
        <v>440</v>
      </c>
      <c r="D170" s="2" t="n">
        <v>3</v>
      </c>
      <c r="E170" s="2" t="n">
        <v>3</v>
      </c>
      <c r="F170" s="2" t="n">
        <v>0</v>
      </c>
      <c r="G170" s="2" t="n">
        <v>95.09999999999999</v>
      </c>
    </row>
    <row r="171">
      <c r="A171" s="7" t="n">
        <v>46284.93748335648</v>
      </c>
      <c r="B171" s="7" t="n">
        <v>46284.93055555555</v>
      </c>
      <c r="C171" s="2" t="n">
        <v>440</v>
      </c>
      <c r="D171" s="2" t="n">
        <v>2</v>
      </c>
      <c r="E171" s="2" t="n">
        <v>2</v>
      </c>
      <c r="F171" s="2" t="n">
        <v>0</v>
      </c>
      <c r="G171" s="2" t="n">
        <v>128.7</v>
      </c>
    </row>
    <row r="172">
      <c r="A172" s="7" t="n">
        <v>46284.79727659722</v>
      </c>
      <c r="B172" s="7" t="n">
        <v>46284.79166666666</v>
      </c>
      <c r="C172" s="2" t="n">
        <v>440</v>
      </c>
      <c r="D172" s="2" t="n">
        <v>4</v>
      </c>
      <c r="E172" s="2" t="n">
        <v>5</v>
      </c>
      <c r="F172" s="2" t="n">
        <v>0</v>
      </c>
      <c r="G172" s="2" t="n">
        <v>109.7</v>
      </c>
    </row>
    <row r="173">
      <c r="A173" s="7" t="n">
        <v>46284.58365538195</v>
      </c>
      <c r="B173" s="7" t="n">
        <v>46284.57986111111</v>
      </c>
      <c r="C173" s="2" t="n">
        <v>440</v>
      </c>
      <c r="D173" s="2" t="n">
        <v>5</v>
      </c>
      <c r="E173" s="2" t="n">
        <v>4</v>
      </c>
      <c r="F173" s="2" t="n">
        <v>0</v>
      </c>
      <c r="G173" s="2" t="n">
        <v>101.8</v>
      </c>
    </row>
    <row r="174">
      <c r="A174" s="7" t="n">
        <v>46284.38530752315</v>
      </c>
      <c r="B174" s="7" t="n">
        <v>46284.37847222222</v>
      </c>
      <c r="C174" s="2" t="n">
        <v>440</v>
      </c>
      <c r="D174" s="2" t="n">
        <v>2</v>
      </c>
      <c r="E174" s="2" t="n">
        <v>4</v>
      </c>
      <c r="F174" s="2" t="n">
        <v>0</v>
      </c>
      <c r="G174" s="2" t="n">
        <v>130.8</v>
      </c>
    </row>
    <row r="175">
      <c r="A175" s="7" t="n">
        <v>46284.27664920139</v>
      </c>
      <c r="B175" s="7" t="n">
        <v>46284.27083333334</v>
      </c>
      <c r="C175" s="2" t="n">
        <v>440</v>
      </c>
      <c r="D175" s="2" t="n">
        <v>4</v>
      </c>
      <c r="E175" s="2" t="n">
        <v>1</v>
      </c>
      <c r="F175" s="2" t="n">
        <v>0</v>
      </c>
      <c r="G175" s="2" t="n">
        <v>127.8</v>
      </c>
    </row>
    <row r="176">
      <c r="A176" s="7" t="n">
        <v>46284.15392047453</v>
      </c>
      <c r="B176" s="7" t="n">
        <v>46284.14930555555</v>
      </c>
      <c r="C176" s="2" t="n">
        <v>440</v>
      </c>
      <c r="D176" s="2" t="n">
        <v>3</v>
      </c>
      <c r="E176" s="2" t="n">
        <v>2</v>
      </c>
      <c r="F176" s="2" t="n">
        <v>0</v>
      </c>
      <c r="G176" s="2" t="n">
        <v>135.6</v>
      </c>
    </row>
    <row r="177">
      <c r="A177" s="7" t="n">
        <v>46284.02123533565</v>
      </c>
      <c r="B177" s="7" t="n">
        <v>46284.01736111111</v>
      </c>
      <c r="C177" s="2" t="n">
        <v>440</v>
      </c>
      <c r="D177" s="2" t="n">
        <v>2</v>
      </c>
      <c r="E177" s="2" t="n">
        <v>1</v>
      </c>
      <c r="F177" s="2" t="n">
        <v>0</v>
      </c>
      <c r="G177" s="2" t="n">
        <v>102.8</v>
      </c>
    </row>
    <row r="178">
      <c r="A178" s="7" t="n">
        <v>46283.99753837963</v>
      </c>
      <c r="B178" s="7" t="n">
        <v>46283.99305555555</v>
      </c>
      <c r="C178" s="2" t="n">
        <v>440</v>
      </c>
      <c r="D178" s="2" t="n">
        <v>1</v>
      </c>
      <c r="E178" s="2" t="n">
        <v>3</v>
      </c>
      <c r="F178" s="2" t="n">
        <v>0</v>
      </c>
      <c r="G178" s="2" t="n">
        <v>129.8</v>
      </c>
    </row>
    <row r="179">
      <c r="A179" s="7" t="n">
        <v>46283.80859936342</v>
      </c>
      <c r="B179" s="7" t="n">
        <v>46283.80208333334</v>
      </c>
      <c r="C179" s="2" t="n">
        <v>440</v>
      </c>
      <c r="D179" s="2" t="n">
        <v>0</v>
      </c>
      <c r="E179" s="2" t="n">
        <v>1</v>
      </c>
      <c r="F179" s="2" t="n">
        <v>0</v>
      </c>
      <c r="G179" s="2" t="n">
        <v>127.7</v>
      </c>
    </row>
    <row r="180">
      <c r="A180" s="7" t="n">
        <v>46283.78916202546</v>
      </c>
      <c r="B180" s="7" t="n">
        <v>46283.78472222222</v>
      </c>
      <c r="C180" s="2" t="n">
        <v>440</v>
      </c>
      <c r="D180" s="2" t="n">
        <v>4</v>
      </c>
      <c r="E180" s="2" t="n">
        <v>3</v>
      </c>
      <c r="F180" s="2" t="n">
        <v>0</v>
      </c>
      <c r="G180" s="2" t="n">
        <v>119.1</v>
      </c>
    </row>
    <row r="181">
      <c r="A181" s="7" t="n">
        <v>46283.58323265046</v>
      </c>
      <c r="B181" s="7" t="n">
        <v>46283.57638888889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126.7</v>
      </c>
    </row>
    <row r="182">
      <c r="A182" s="7" t="n">
        <v>46283.57323743056</v>
      </c>
      <c r="B182" s="7" t="n">
        <v>46283.56944444445</v>
      </c>
      <c r="C182" s="2" t="n">
        <v>440</v>
      </c>
      <c r="D182" s="2" t="n">
        <v>4</v>
      </c>
      <c r="E182" s="2" t="n">
        <v>6</v>
      </c>
      <c r="F182" s="2" t="n">
        <v>0</v>
      </c>
      <c r="G182" s="2" t="n">
        <v>94.3</v>
      </c>
    </row>
    <row r="183">
      <c r="A183" s="7" t="n">
        <v>46283.45181144676</v>
      </c>
      <c r="B183" s="7" t="n">
        <v>46283.44791666666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132.3</v>
      </c>
    </row>
    <row r="184">
      <c r="A184" s="7" t="n">
        <v>46283.44134394676</v>
      </c>
      <c r="B184" s="7" t="n">
        <v>46283.4375</v>
      </c>
      <c r="C184" s="2" t="n">
        <v>440</v>
      </c>
      <c r="D184" s="2" t="n">
        <v>4</v>
      </c>
      <c r="E184" s="2" t="n">
        <v>2</v>
      </c>
      <c r="F184" s="2" t="n">
        <v>0</v>
      </c>
      <c r="G184" s="2" t="n">
        <v>373.5</v>
      </c>
    </row>
    <row r="185">
      <c r="A185" s="7" t="n">
        <v>46283.35273409722</v>
      </c>
      <c r="B185" s="7" t="n">
        <v>46283.34722222222</v>
      </c>
      <c r="C185" s="2" t="n">
        <v>440</v>
      </c>
      <c r="D185" s="2" t="n">
        <v>2</v>
      </c>
      <c r="E185" s="2" t="n">
        <v>1</v>
      </c>
      <c r="F185" s="2" t="n">
        <v>0</v>
      </c>
      <c r="G185" s="2" t="n">
        <v>132.3</v>
      </c>
    </row>
    <row r="186">
      <c r="A186" s="7" t="n">
        <v>46283.26014016203</v>
      </c>
      <c r="B186" s="7" t="n">
        <v>46283.25347222222</v>
      </c>
      <c r="C186" s="2" t="n">
        <v>440</v>
      </c>
      <c r="D186" s="2" t="n">
        <v>2</v>
      </c>
      <c r="E186" s="2" t="n">
        <v>0</v>
      </c>
      <c r="F186" s="2" t="n">
        <v>0</v>
      </c>
      <c r="G186" s="2" t="n">
        <v>129.5</v>
      </c>
    </row>
    <row r="187">
      <c r="A187" s="7" t="n">
        <v>46283.09637409722</v>
      </c>
      <c r="B187" s="7" t="n">
        <v>46283.09027777778</v>
      </c>
      <c r="C187" s="2" t="n">
        <v>440</v>
      </c>
      <c r="D187" s="2" t="n">
        <v>6</v>
      </c>
      <c r="E187" s="2" t="n">
        <v>8</v>
      </c>
      <c r="F187" s="2" t="n">
        <v>0</v>
      </c>
      <c r="G187" s="2" t="n">
        <v>131.2</v>
      </c>
    </row>
    <row r="188">
      <c r="A188" s="7" t="n">
        <v>46282.89824439815</v>
      </c>
      <c r="B188" s="7" t="n">
        <v>46282.89236111111</v>
      </c>
      <c r="C188" s="2" t="n">
        <v>440</v>
      </c>
      <c r="D188" s="2" t="n">
        <v>3</v>
      </c>
      <c r="E188" s="2" t="n">
        <v>1</v>
      </c>
      <c r="F188" s="2" t="n">
        <v>0</v>
      </c>
      <c r="G188" s="2" t="n">
        <v>137</v>
      </c>
    </row>
    <row r="189">
      <c r="A189" s="7" t="n">
        <v>46282.65711792824</v>
      </c>
      <c r="B189" s="7" t="n">
        <v>46282.65277777778</v>
      </c>
      <c r="C189" s="2" t="n">
        <v>440</v>
      </c>
      <c r="D189" s="2" t="n">
        <v>2</v>
      </c>
      <c r="E189" s="2" t="n">
        <v>2</v>
      </c>
      <c r="F189" s="2" t="n">
        <v>0</v>
      </c>
      <c r="G189" s="2" t="n">
        <v>126.6</v>
      </c>
    </row>
    <row r="190">
      <c r="A190" s="7" t="n">
        <v>46282.40350203704</v>
      </c>
      <c r="B190" s="7" t="n">
        <v>46282.39930555555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323.7</v>
      </c>
    </row>
    <row r="191">
      <c r="A191" s="7" t="n">
        <v>46282.39577758102</v>
      </c>
      <c r="B191" s="7" t="n">
        <v>46282.33333333334</v>
      </c>
      <c r="C191" s="2" t="n">
        <v>440</v>
      </c>
      <c r="D191" s="2" t="n">
        <v>0</v>
      </c>
      <c r="E191" s="2" t="n">
        <v>6</v>
      </c>
      <c r="F191" s="2" t="n">
        <v>0</v>
      </c>
      <c r="G191" s="2" t="n">
        <v>50.5</v>
      </c>
    </row>
    <row r="192">
      <c r="A192" s="7" t="n">
        <v>46282.29222982639</v>
      </c>
      <c r="B192" s="7" t="n">
        <v>46282.25</v>
      </c>
      <c r="C192" s="2" t="n">
        <v>440</v>
      </c>
      <c r="D192" s="2" t="n">
        <v>2</v>
      </c>
      <c r="E192" s="2" t="n">
        <v>1</v>
      </c>
      <c r="F192" s="2" t="n">
        <v>0</v>
      </c>
      <c r="G192" s="2" t="n">
        <v>66.2</v>
      </c>
    </row>
    <row r="193">
      <c r="A193" s="7" t="n">
        <v>46282.17576607639</v>
      </c>
      <c r="B193" s="7" t="n">
        <v>46282.125</v>
      </c>
      <c r="C193" s="2" t="n">
        <v>440</v>
      </c>
      <c r="D193" s="2" t="n">
        <v>6</v>
      </c>
      <c r="E193" s="2" t="n">
        <v>1</v>
      </c>
      <c r="F193" s="2" t="n">
        <v>0</v>
      </c>
      <c r="G193" s="2" t="n">
        <v>67</v>
      </c>
    </row>
    <row r="194">
      <c r="A194" s="7" t="n">
        <v>46282.04552453704</v>
      </c>
      <c r="B194" s="7" t="n">
        <v>46282</v>
      </c>
      <c r="C194" s="2" t="n">
        <v>440</v>
      </c>
      <c r="D194" s="2" t="n">
        <v>2</v>
      </c>
      <c r="E194" s="2" t="n">
        <v>4</v>
      </c>
      <c r="F194" s="2" t="n">
        <v>0</v>
      </c>
      <c r="G194" s="2" t="n">
        <v>52.9</v>
      </c>
    </row>
    <row r="195">
      <c r="A195" s="7" t="n">
        <v>46281.82298537037</v>
      </c>
      <c r="B195" s="7" t="n">
        <v>46281.75</v>
      </c>
      <c r="C195" s="2" t="n">
        <v>440</v>
      </c>
      <c r="D195" s="2" t="n">
        <v>2</v>
      </c>
      <c r="E195" s="2" t="n">
        <v>4</v>
      </c>
      <c r="F195" s="2" t="n">
        <v>0</v>
      </c>
      <c r="G195" s="2" t="n">
        <v>65.7</v>
      </c>
    </row>
    <row r="196">
      <c r="A196" s="7" t="n">
        <v>46281.58829054398</v>
      </c>
      <c r="B196" s="7" t="n">
        <v>46281.54166666666</v>
      </c>
      <c r="C196" s="2" t="n">
        <v>440</v>
      </c>
      <c r="D196" s="2" t="n">
        <v>7</v>
      </c>
      <c r="E196" s="2" t="n">
        <v>3</v>
      </c>
      <c r="F196" s="2" t="n">
        <v>0</v>
      </c>
      <c r="G196" s="2" t="n">
        <v>54.5</v>
      </c>
    </row>
    <row r="197">
      <c r="A197" s="7" t="n">
        <v>46281.35205523148</v>
      </c>
      <c r="B197" s="7" t="n">
        <v>46281.29166666666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66.90000000000001</v>
      </c>
    </row>
    <row r="198">
      <c r="A198" s="7" t="n">
        <v>46281.22963460648</v>
      </c>
      <c r="B198" s="7" t="n">
        <v>46281.16666666666</v>
      </c>
      <c r="C198" s="2" t="n">
        <v>442</v>
      </c>
      <c r="D198" s="2" t="n">
        <v>3</v>
      </c>
      <c r="E198" s="2" t="n">
        <v>2</v>
      </c>
      <c r="F198" s="2" t="n">
        <v>0</v>
      </c>
      <c r="G198" s="2" t="n">
        <v>61.9</v>
      </c>
    </row>
    <row r="199">
      <c r="A199" s="7" t="n">
        <v>46281.094529375</v>
      </c>
      <c r="B199" s="7" t="n">
        <v>46281.04166666666</v>
      </c>
      <c r="C199" s="2" t="n">
        <v>442</v>
      </c>
      <c r="D199" s="2" t="n">
        <v>6</v>
      </c>
      <c r="E199" s="2" t="n">
        <v>6</v>
      </c>
      <c r="F199" s="2" t="n">
        <v>0</v>
      </c>
      <c r="G199" s="2" t="n">
        <v>46.5</v>
      </c>
    </row>
    <row r="200">
      <c r="A200" s="7" t="n">
        <v>46280.9017994676</v>
      </c>
      <c r="B200" s="7" t="n">
        <v>46280.83333333334</v>
      </c>
      <c r="C200" s="2" t="n">
        <v>442</v>
      </c>
      <c r="D200" s="2" t="n">
        <v>2</v>
      </c>
      <c r="E200" s="2" t="n">
        <v>4</v>
      </c>
      <c r="F200" s="2" t="n">
        <v>0</v>
      </c>
      <c r="G200" s="2" t="n">
        <v>56.7</v>
      </c>
    </row>
    <row r="201">
      <c r="A201" s="7" t="n">
        <v>46280.66002480324</v>
      </c>
      <c r="B201" s="7" t="n">
        <v>46280.58333333334</v>
      </c>
      <c r="C201" s="2" t="n">
        <v>442</v>
      </c>
      <c r="D201" s="2" t="n">
        <v>2</v>
      </c>
      <c r="E201" s="2" t="n">
        <v>3</v>
      </c>
      <c r="F201" s="2" t="n">
        <v>0</v>
      </c>
      <c r="G201" s="2" t="n">
        <v>67.40000000000001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+0.64%）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40</v>
      </c>
      <c r="C7" s="10" t="n">
        <v>0.525</v>
      </c>
      <c r="D7" s="4" t="n">
        <v>-0.009000000000000003</v>
      </c>
      <c r="E7" s="2" t="n">
        <v>17</v>
      </c>
      <c r="F7" s="10" t="n">
        <v>0.6470588235294118</v>
      </c>
      <c r="G7" s="4" t="n">
        <v>0.0007647058823529419</v>
      </c>
      <c r="H7" s="2" t="n">
        <v>14</v>
      </c>
      <c r="I7" s="10" t="n">
        <v>0.7857142857142857</v>
      </c>
      <c r="J7" s="4" t="n">
        <v>0.01185714285714288</v>
      </c>
      <c r="K7" s="2" t="n">
        <v>5</v>
      </c>
      <c r="L7" s="10" t="n">
        <v>0.6</v>
      </c>
      <c r="M7" s="4" t="n">
        <v>-0.003000000000000025</v>
      </c>
      <c r="N7" s="2" t="n">
        <v>5</v>
      </c>
      <c r="O7" s="10" t="n">
        <v>0.6</v>
      </c>
      <c r="P7" s="4" t="n">
        <v>-0.002999999999999981</v>
      </c>
      <c r="Q7" s="2" t="n">
        <v>3</v>
      </c>
      <c r="R7" s="10" t="n">
        <v>0.3333333333333333</v>
      </c>
      <c r="S7" s="4" t="n">
        <v>-0.02433333333333336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資金明細!R1381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MAX(資金明細!$R$2:$R$1381)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MIN(資金明細!$R$2:$R$1381)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MIN(資金明細!$X$2:$X$1381)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COUNTIFS(資金明細!$C$2:$C$1381,"進場",資金明細!$N$2:$N$1381,"已下單")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COUNTIFS(資金明細!$C$2:$C$1381,"進場",資金明細!$N$2:$N$1381,"資金不足略過")</f>
        <v/>
      </c>
    </row>
    <row r="11">
      <c r="D11" s="2" t="inlineStr">
        <is>
          <t>止盈筆數</t>
        </is>
      </c>
      <c r="E11" s="18">
        <f>COUNTIFS(資金明細!$C$2:$C$1381,"出場",資金明細!$N$2:$N$1381,"已下單",資金明細!$K$2:$K$1381,"止盈")</f>
        <v/>
      </c>
    </row>
    <row r="12">
      <c r="A12" s="2" t="inlineStr">
        <is>
          <t>每筆止損約虧本金</t>
        </is>
      </c>
      <c r="B12" s="4">
        <f>B5*B7*IFERROR(AVERAGE(交易明細!$AB$2:$AB$692),參數!B6)</f>
        <v/>
      </c>
      <c r="D12" s="2" t="inlineStr">
        <is>
          <t>止損筆數</t>
        </is>
      </c>
      <c r="E12" s="18">
        <f>COUNTIFS(資金明細!$C$2:$C$1381,"出場",資金明細!$N$2:$N$1381,"已下單",資金明細!$K$2:$K$1381,"止損")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IFERROR(E11/COUNTIFS(資金明細!$C$2:$C$1381,"出場",資金明細!$N$2:$N$1381,"已下單"),0)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MAX(資金明細!$U$2:$U$1381)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MAX(資金明細!$S$2:$S$1381)</f>
        <v/>
      </c>
    </row>
    <row r="16">
      <c r="D16" s="2" t="inlineStr">
        <is>
          <t>期末下單金額</t>
        </is>
      </c>
      <c r="E16" s="19">
        <f>B5*資金明細!V1381</f>
        <v/>
      </c>
    </row>
    <row r="17">
      <c r="D17" s="2" t="inlineStr">
        <is>
          <t>未平倉浮動損益（未計入）</t>
        </is>
      </c>
      <c r="E17" s="13">
        <f>IF(資金明細!N1379="已下單",資金明細!O1379*交易明細!L690,0)+IF(資金明細!N1380="已下單",資金明細!O1380*交易明細!L691,0)+IF(資金明細!N1381="已下單",資金明細!O1381*交易明細!L692,0)</f>
        <v/>
      </c>
    </row>
    <row r="18">
      <c r="D18" s="2" t="inlineStr">
        <is>
          <t>最大總曝險倍數</t>
        </is>
      </c>
      <c r="E18" s="19">
        <f>MAX(資金明細!$Y$2:$Y$1381)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IFERROR(INDEX(資金明細!$B$2:$B$1381,MATCH(1,資金明細!$Z$2:$Z$1381,0)),"未觸發")</f>
        <v/>
      </c>
    </row>
    <row r="21">
      <c r="D21" s="2" t="inlineStr">
        <is>
          <t>停止後略過筆數</t>
        </is>
      </c>
      <c r="E21" s="18">
        <f>COUNTIFS(資金明細!$C$2:$C$1381,"進場",資金明細!$N$2:$N$1381,"已停止")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38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n"/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n"/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n"/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n"/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n"/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  <row r="1318">
      <c r="A1318" s="2" t="n">
        <v>1316</v>
      </c>
      <c r="B1318" s="7" t="n">
        <v>46300.75</v>
      </c>
      <c r="C1318" s="2" t="inlineStr">
        <is>
          <t>出場</t>
        </is>
      </c>
      <c r="D1318" s="2" t="n">
        <v>657</v>
      </c>
      <c r="E1318" s="2" t="inlineStr">
        <is>
          <t>BR_USDT_PERP</t>
        </is>
      </c>
      <c r="F1318" s="2" t="inlineStr">
        <is>
          <t>做空</t>
        </is>
      </c>
      <c r="G1318" s="20" t="n">
        <v>0.42459</v>
      </c>
      <c r="H1318" s="20" t="n">
        <v>0.4118523</v>
      </c>
      <c r="I1318" s="20" t="n">
        <v>0.4458195</v>
      </c>
      <c r="J1318" s="20" t="n">
        <v>0.4118523</v>
      </c>
      <c r="K1318" s="2" t="inlineStr">
        <is>
          <t>止盈</t>
        </is>
      </c>
      <c r="L1318" s="5">
        <f>交易明細!K658</f>
        <v/>
      </c>
      <c r="M1318" s="19">
        <f>M1313</f>
        <v/>
      </c>
      <c r="N1318" s="2">
        <f>N1313</f>
        <v/>
      </c>
      <c r="O1318" s="19">
        <f>O1313</f>
        <v/>
      </c>
      <c r="P1318" s="4">
        <f>交易明細!L658</f>
        <v/>
      </c>
      <c r="Q1318" s="13">
        <f>IF(N1318="已下單",O1318*P1318,0)</f>
        <v/>
      </c>
      <c r="R1318" s="13">
        <f>R1317+Q1318</f>
        <v/>
      </c>
      <c r="S1318" s="19">
        <f>S1317-IF(N1318="已下單",M1318,0)</f>
        <v/>
      </c>
      <c r="T1318" s="19">
        <f>R1318-S1318</f>
        <v/>
      </c>
      <c r="U1318" s="2">
        <f>U1317-IF(N1318="已下單",1,0)</f>
        <v/>
      </c>
      <c r="V1318" s="19">
        <f>IF(資金模擬!$B$9=2,MAX(R1318,0),MAX(V1317,FLOOR(MAX(R1318,0),資金模擬!$B$6)))</f>
        <v/>
      </c>
      <c r="W1318" s="13">
        <f>MAX(W1317,R1318)</f>
        <v/>
      </c>
      <c r="X1318" s="4">
        <f>IF(W1318&gt;0,R1318/W1318-1,-1)</f>
        <v/>
      </c>
      <c r="Y1318" s="19">
        <f>IF(R1318&gt;0,S1318*資金模擬!$B$7/R1318,0)</f>
        <v/>
      </c>
      <c r="Z1318" s="2">
        <f>IF(OR(Z1317=1,R1318&lt;=資金模擬!$B$10),1,0)</f>
        <v/>
      </c>
    </row>
    <row r="1319">
      <c r="A1319" s="2" t="n">
        <v>1317</v>
      </c>
      <c r="B1319" s="7" t="n">
        <v>46300.75</v>
      </c>
      <c r="C1319" s="2" t="inlineStr">
        <is>
          <t>出場</t>
        </is>
      </c>
      <c r="D1319" s="2" t="n">
        <v>658</v>
      </c>
      <c r="E1319" s="2" t="inlineStr">
        <is>
          <t>AIN_USDT_PERP</t>
        </is>
      </c>
      <c r="F1319" s="2" t="inlineStr">
        <is>
          <t>做空</t>
        </is>
      </c>
      <c r="G1319" s="20" t="n">
        <v>0.05491</v>
      </c>
      <c r="H1319" s="20" t="n">
        <v>0.0532627</v>
      </c>
      <c r="I1319" s="20" t="n">
        <v>0.05765550000000001</v>
      </c>
      <c r="J1319" s="20" t="n">
        <v>0.05765550000000001</v>
      </c>
      <c r="K1319" s="2" t="inlineStr">
        <is>
          <t>止損</t>
        </is>
      </c>
      <c r="L1319" s="5">
        <f>交易明細!K659</f>
        <v/>
      </c>
      <c r="M1319" s="19">
        <f>M1314</f>
        <v/>
      </c>
      <c r="N1319" s="2">
        <f>N1314</f>
        <v/>
      </c>
      <c r="O1319" s="19">
        <f>O1314</f>
        <v/>
      </c>
      <c r="P1319" s="4">
        <f>交易明細!L659</f>
        <v/>
      </c>
      <c r="Q1319" s="13">
        <f>IF(N1319="已下單",O1319*P1319,0)</f>
        <v/>
      </c>
      <c r="R1319" s="13">
        <f>R1318+Q1319</f>
        <v/>
      </c>
      <c r="S1319" s="19">
        <f>S1318-IF(N1319="已下單",M1319,0)</f>
        <v/>
      </c>
      <c r="T1319" s="19">
        <f>R1319-S1319</f>
        <v/>
      </c>
      <c r="U1319" s="2">
        <f>U1318-IF(N1319="已下單",1,0)</f>
        <v/>
      </c>
      <c r="V1319" s="19">
        <f>IF(資金模擬!$B$9=2,MAX(R1319,0),MAX(V1318,FLOOR(MAX(R1319,0),資金模擬!$B$6)))</f>
        <v/>
      </c>
      <c r="W1319" s="13">
        <f>MAX(W1318,R1319)</f>
        <v/>
      </c>
      <c r="X1319" s="4">
        <f>IF(W1319&gt;0,R1319/W1319-1,-1)</f>
        <v/>
      </c>
      <c r="Y1319" s="19">
        <f>IF(R1319&gt;0,S1319*資金模擬!$B$7/R1319,0)</f>
        <v/>
      </c>
      <c r="Z1319" s="2">
        <f>IF(OR(Z1318=1,R1319&lt;=資金模擬!$B$10),1,0)</f>
        <v/>
      </c>
    </row>
    <row r="1320">
      <c r="A1320" s="2" t="n">
        <v>1318</v>
      </c>
      <c r="B1320" s="7" t="n">
        <v>46300.75</v>
      </c>
      <c r="C1320" s="2" t="inlineStr">
        <is>
          <t>進場</t>
        </is>
      </c>
      <c r="D1320" s="2" t="n">
        <v>661</v>
      </c>
      <c r="E1320" s="2" t="inlineStr">
        <is>
          <t>BTW_USDT_PERP</t>
        </is>
      </c>
      <c r="F1320" s="2" t="inlineStr">
        <is>
          <t>做多</t>
        </is>
      </c>
      <c r="G1320" s="20" t="n">
        <v>1.189999</v>
      </c>
      <c r="H1320" s="20" t="n">
        <v>1.22569897</v>
      </c>
      <c r="I1320" s="20" t="n">
        <v>1.13049905</v>
      </c>
      <c r="J1320" s="20" t="n"/>
      <c r="K1320" s="2" t="n"/>
      <c r="L1320" s="5" t="n"/>
      <c r="M1320" s="19">
        <f>資金模擬!$B$5*V1319</f>
        <v/>
      </c>
      <c r="N1320" s="2">
        <f>IF(Z1319=1,"已停止",IF(T1319&gt;=M1320,"已下單","資金不足略過"))</f>
        <v/>
      </c>
      <c r="O1320" s="19">
        <f>IF(N1320="已下單",M1320*資金模擬!$B$7,0)</f>
        <v/>
      </c>
      <c r="P1320" s="4" t="n"/>
      <c r="Q1320" s="13" t="n">
        <v>0</v>
      </c>
      <c r="R1320" s="13">
        <f>R1319+Q1320</f>
        <v/>
      </c>
      <c r="S1320" s="19">
        <f>S1319+IF(N1320="已下單",M1320,0)</f>
        <v/>
      </c>
      <c r="T1320" s="19">
        <f>R1320-S1320</f>
        <v/>
      </c>
      <c r="U1320" s="2">
        <f>U1319+IF(N1320="已下單",1,0)</f>
        <v/>
      </c>
      <c r="V1320" s="19">
        <f>IF(資金模擬!$B$9=2,MAX(R1320,0),MAX(V1319,FLOOR(MAX(R1320,0),資金模擬!$B$6)))</f>
        <v/>
      </c>
      <c r="W1320" s="13">
        <f>MAX(W1319,R1320)</f>
        <v/>
      </c>
      <c r="X1320" s="4">
        <f>IF(W1320&gt;0,R1320/W1320-1,-1)</f>
        <v/>
      </c>
      <c r="Y1320" s="19">
        <f>IF(R1320&gt;0,S1320*資金模擬!$B$7/R1320,0)</f>
        <v/>
      </c>
      <c r="Z1320" s="2">
        <f>IF(OR(Z1319=1,R1320&lt;=資金模擬!$B$10),1,0)</f>
        <v/>
      </c>
    </row>
    <row r="1321">
      <c r="A1321" s="2" t="n">
        <v>1319</v>
      </c>
      <c r="B1321" s="7" t="n">
        <v>46300.83333333334</v>
      </c>
      <c r="C1321" s="2" t="inlineStr">
        <is>
          <t>出場</t>
        </is>
      </c>
      <c r="D1321" s="2" t="n">
        <v>661</v>
      </c>
      <c r="E1321" s="2" t="inlineStr">
        <is>
          <t>BTW_USDT_PERP</t>
        </is>
      </c>
      <c r="F1321" s="2" t="inlineStr">
        <is>
          <t>做多</t>
        </is>
      </c>
      <c r="G1321" s="20" t="n">
        <v>1.189999</v>
      </c>
      <c r="H1321" s="20" t="n">
        <v>1.22569897</v>
      </c>
      <c r="I1321" s="20" t="n">
        <v>1.13049905</v>
      </c>
      <c r="J1321" s="20" t="n">
        <v>1.22569897</v>
      </c>
      <c r="K1321" s="2" t="inlineStr">
        <is>
          <t>止盈</t>
        </is>
      </c>
      <c r="L1321" s="5">
        <f>交易明細!K662</f>
        <v/>
      </c>
      <c r="M1321" s="19">
        <f>M1320</f>
        <v/>
      </c>
      <c r="N1321" s="2">
        <f>N1320</f>
        <v/>
      </c>
      <c r="O1321" s="19">
        <f>O1320</f>
        <v/>
      </c>
      <c r="P1321" s="4">
        <f>交易明細!L662</f>
        <v/>
      </c>
      <c r="Q1321" s="13">
        <f>IF(N1321="已下單",O1321*P1321,0)</f>
        <v/>
      </c>
      <c r="R1321" s="13">
        <f>R1320+Q1321</f>
        <v/>
      </c>
      <c r="S1321" s="19">
        <f>S1320-IF(N1321="已下單",M1321,0)</f>
        <v/>
      </c>
      <c r="T1321" s="19">
        <f>R1321-S1321</f>
        <v/>
      </c>
      <c r="U1321" s="2">
        <f>U1320-IF(N1321="已下單",1,0)</f>
        <v/>
      </c>
      <c r="V1321" s="19">
        <f>IF(資金模擬!$B$9=2,MAX(R1321,0),MAX(V1320,FLOOR(MAX(R1321,0),資金模擬!$B$6)))</f>
        <v/>
      </c>
      <c r="W1321" s="13">
        <f>MAX(W1320,R1321)</f>
        <v/>
      </c>
      <c r="X1321" s="4">
        <f>IF(W1321&gt;0,R1321/W1321-1,-1)</f>
        <v/>
      </c>
      <c r="Y1321" s="19">
        <f>IF(R1321&gt;0,S1321*資金模擬!$B$7/R1321,0)</f>
        <v/>
      </c>
      <c r="Z1321" s="2">
        <f>IF(OR(Z1320=1,R1321&lt;=資金模擬!$B$10),1,0)</f>
        <v/>
      </c>
    </row>
    <row r="1322">
      <c r="A1322" s="2" t="n">
        <v>1320</v>
      </c>
      <c r="B1322" s="7" t="n">
        <v>46300.875</v>
      </c>
      <c r="C1322" s="2" t="inlineStr">
        <is>
          <t>出場</t>
        </is>
      </c>
      <c r="D1322" s="2" t="n">
        <v>651</v>
      </c>
      <c r="E1322" s="2" t="inlineStr">
        <is>
          <t>QNT_USDT_PERP</t>
        </is>
      </c>
      <c r="F1322" s="2" t="inlineStr">
        <is>
          <t>做空</t>
        </is>
      </c>
      <c r="G1322" s="20" t="n">
        <v>249.63</v>
      </c>
      <c r="H1322" s="20" t="n">
        <v>242.1411</v>
      </c>
      <c r="I1322" s="20" t="n">
        <v>262.1115</v>
      </c>
      <c r="J1322" s="20" t="n">
        <v>262.1115</v>
      </c>
      <c r="K1322" s="2" t="inlineStr">
        <is>
          <t>止損</t>
        </is>
      </c>
      <c r="L1322" s="5">
        <f>交易明細!K652</f>
        <v/>
      </c>
      <c r="M1322" s="19">
        <f>M1300</f>
        <v/>
      </c>
      <c r="N1322" s="2">
        <f>N1300</f>
        <v/>
      </c>
      <c r="O1322" s="19">
        <f>O1300</f>
        <v/>
      </c>
      <c r="P1322" s="4">
        <f>交易明細!L652</f>
        <v/>
      </c>
      <c r="Q1322" s="13">
        <f>IF(N1322="已下單",O1322*P1322,0)</f>
        <v/>
      </c>
      <c r="R1322" s="13">
        <f>R1321+Q1322</f>
        <v/>
      </c>
      <c r="S1322" s="19">
        <f>S1321-IF(N1322="已下單",M1322,0)</f>
        <v/>
      </c>
      <c r="T1322" s="19">
        <f>R1322-S1322</f>
        <v/>
      </c>
      <c r="U1322" s="2">
        <f>U1321-IF(N1322="已下單",1,0)</f>
        <v/>
      </c>
      <c r="V1322" s="19">
        <f>IF(資金模擬!$B$9=2,MAX(R1322,0),MAX(V1321,FLOOR(MAX(R1322,0),資金模擬!$B$6)))</f>
        <v/>
      </c>
      <c r="W1322" s="13">
        <f>MAX(W1321,R1322)</f>
        <v/>
      </c>
      <c r="X1322" s="4">
        <f>IF(W1322&gt;0,R1322/W1322-1,-1)</f>
        <v/>
      </c>
      <c r="Y1322" s="19">
        <f>IF(R1322&gt;0,S1322*資金模擬!$B$7/R1322,0)</f>
        <v/>
      </c>
      <c r="Z1322" s="2">
        <f>IF(OR(Z1321=1,R1322&lt;=資金模擬!$B$10),1,0)</f>
        <v/>
      </c>
    </row>
    <row r="1323">
      <c r="A1323" s="2" t="n">
        <v>1321</v>
      </c>
      <c r="B1323" s="7" t="n">
        <v>46300.875</v>
      </c>
      <c r="C1323" s="2" t="inlineStr">
        <is>
          <t>出場</t>
        </is>
      </c>
      <c r="D1323" s="2" t="n">
        <v>660</v>
      </c>
      <c r="E1323" s="2" t="inlineStr">
        <is>
          <t>STRK_USDT_PERP</t>
        </is>
      </c>
      <c r="F1323" s="2" t="inlineStr">
        <is>
          <t>做多</t>
        </is>
      </c>
      <c r="G1323" s="20" t="n">
        <v>0.059</v>
      </c>
      <c r="H1323" s="20" t="n">
        <v>0.06077</v>
      </c>
      <c r="I1323" s="20" t="n">
        <v>0.05605</v>
      </c>
      <c r="J1323" s="20" t="n">
        <v>0.05605</v>
      </c>
      <c r="K1323" s="2" t="inlineStr">
        <is>
          <t>止損</t>
        </is>
      </c>
      <c r="L1323" s="5">
        <f>交易明細!K661</f>
        <v/>
      </c>
      <c r="M1323" s="19">
        <f>M1317</f>
        <v/>
      </c>
      <c r="N1323" s="2">
        <f>N1317</f>
        <v/>
      </c>
      <c r="O1323" s="19">
        <f>O1317</f>
        <v/>
      </c>
      <c r="P1323" s="4">
        <f>交易明細!L661</f>
        <v/>
      </c>
      <c r="Q1323" s="13">
        <f>IF(N1323="已下單",O1323*P1323,0)</f>
        <v/>
      </c>
      <c r="R1323" s="13">
        <f>R1322+Q1323</f>
        <v/>
      </c>
      <c r="S1323" s="19">
        <f>S1322-IF(N1323="已下單",M1323,0)</f>
        <v/>
      </c>
      <c r="T1323" s="19">
        <f>R1323-S1323</f>
        <v/>
      </c>
      <c r="U1323" s="2">
        <f>U1322-IF(N1323="已下單",1,0)</f>
        <v/>
      </c>
      <c r="V1323" s="19">
        <f>IF(資金模擬!$B$9=2,MAX(R1323,0),MAX(V1322,FLOOR(MAX(R1323,0),資金模擬!$B$6)))</f>
        <v/>
      </c>
      <c r="W1323" s="13">
        <f>MAX(W1322,R1323)</f>
        <v/>
      </c>
      <c r="X1323" s="4">
        <f>IF(W1323&gt;0,R1323/W1323-1,-1)</f>
        <v/>
      </c>
      <c r="Y1323" s="19">
        <f>IF(R1323&gt;0,S1323*資金模擬!$B$7/R1323,0)</f>
        <v/>
      </c>
      <c r="Z1323" s="2">
        <f>IF(OR(Z1322=1,R1323&lt;=資金模擬!$B$10),1,0)</f>
        <v/>
      </c>
    </row>
    <row r="1324">
      <c r="A1324" s="2" t="n">
        <v>1322</v>
      </c>
      <c r="B1324" s="7" t="n">
        <v>46300.91666666666</v>
      </c>
      <c r="C1324" s="2" t="inlineStr">
        <is>
          <t>進場</t>
        </is>
      </c>
      <c r="D1324" s="2" t="n">
        <v>662</v>
      </c>
      <c r="E1324" s="2" t="inlineStr">
        <is>
          <t>NIL_USDT_PERP</t>
        </is>
      </c>
      <c r="F1324" s="2" t="inlineStr">
        <is>
          <t>做多</t>
        </is>
      </c>
      <c r="G1324" s="20" t="n">
        <v>0.09872</v>
      </c>
      <c r="H1324" s="20" t="n">
        <v>0.1016816</v>
      </c>
      <c r="I1324" s="20" t="n">
        <v>0.09378399999999999</v>
      </c>
      <c r="J1324" s="20" t="n"/>
      <c r="K1324" s="2" t="n"/>
      <c r="L1324" s="5" t="n"/>
      <c r="M1324" s="19">
        <f>資金模擬!$B$5*V1323</f>
        <v/>
      </c>
      <c r="N1324" s="2">
        <f>IF(Z1323=1,"已停止",IF(T1323&gt;=M1324,"已下單","資金不足略過"))</f>
        <v/>
      </c>
      <c r="O1324" s="19">
        <f>IF(N1324="已下單",M1324*資金模擬!$B$7,0)</f>
        <v/>
      </c>
      <c r="P1324" s="4" t="n"/>
      <c r="Q1324" s="13" t="n">
        <v>0</v>
      </c>
      <c r="R1324" s="13">
        <f>R1323+Q1324</f>
        <v/>
      </c>
      <c r="S1324" s="19">
        <f>S1323+IF(N1324="已下單",M1324,0)</f>
        <v/>
      </c>
      <c r="T1324" s="19">
        <f>R1324-S1324</f>
        <v/>
      </c>
      <c r="U1324" s="2">
        <f>U1323+IF(N1324="已下單",1,0)</f>
        <v/>
      </c>
      <c r="V1324" s="19">
        <f>IF(資金模擬!$B$9=2,MAX(R1324,0),MAX(V1323,FLOOR(MAX(R1324,0),資金模擬!$B$6)))</f>
        <v/>
      </c>
      <c r="W1324" s="13">
        <f>MAX(W1323,R1324)</f>
        <v/>
      </c>
      <c r="X1324" s="4">
        <f>IF(W1324&gt;0,R1324/W1324-1,-1)</f>
        <v/>
      </c>
      <c r="Y1324" s="19">
        <f>IF(R1324&gt;0,S1324*資金模擬!$B$7/R1324,0)</f>
        <v/>
      </c>
      <c r="Z1324" s="2">
        <f>IF(OR(Z1323=1,R1324&lt;=資金模擬!$B$10),1,0)</f>
        <v/>
      </c>
    </row>
    <row r="1325">
      <c r="A1325" s="2" t="n">
        <v>1323</v>
      </c>
      <c r="B1325" s="7" t="n">
        <v>46300.95833333334</v>
      </c>
      <c r="C1325" s="2" t="inlineStr">
        <is>
          <t>進場</t>
        </is>
      </c>
      <c r="D1325" s="2" t="n">
        <v>663</v>
      </c>
      <c r="E1325" s="2" t="inlineStr">
        <is>
          <t>FET_USDT_PERP</t>
        </is>
      </c>
      <c r="F1325" s="2" t="inlineStr">
        <is>
          <t>做空</t>
        </is>
      </c>
      <c r="G1325" s="20" t="n">
        <v>0.2492</v>
      </c>
      <c r="H1325" s="20" t="n">
        <v>0.241724</v>
      </c>
      <c r="I1325" s="20" t="n">
        <v>0.26166</v>
      </c>
      <c r="J1325" s="20" t="n"/>
      <c r="K1325" s="2" t="n"/>
      <c r="L1325" s="5" t="n"/>
      <c r="M1325" s="19">
        <f>資金模擬!$B$5*V1324</f>
        <v/>
      </c>
      <c r="N1325" s="2">
        <f>IF(Z1324=1,"已停止",IF(T1324&gt;=M1325,"已下單","資金不足略過"))</f>
        <v/>
      </c>
      <c r="O1325" s="19">
        <f>IF(N1325="已下單",M1325*資金模擬!$B$7,0)</f>
        <v/>
      </c>
      <c r="P1325" s="4" t="n"/>
      <c r="Q1325" s="13" t="n">
        <v>0</v>
      </c>
      <c r="R1325" s="13">
        <f>R1324+Q1325</f>
        <v/>
      </c>
      <c r="S1325" s="19">
        <f>S1324+IF(N1325="已下單",M1325,0)</f>
        <v/>
      </c>
      <c r="T1325" s="19">
        <f>R1325-S1325</f>
        <v/>
      </c>
      <c r="U1325" s="2">
        <f>U1324+IF(N1325="已下單",1,0)</f>
        <v/>
      </c>
      <c r="V1325" s="19">
        <f>IF(資金模擬!$B$9=2,MAX(R1325,0),MAX(V1324,FLOOR(MAX(R1325,0),資金模擬!$B$6)))</f>
        <v/>
      </c>
      <c r="W1325" s="13">
        <f>MAX(W1324,R1325)</f>
        <v/>
      </c>
      <c r="X1325" s="4">
        <f>IF(W1325&gt;0,R1325/W1325-1,-1)</f>
        <v/>
      </c>
      <c r="Y1325" s="19">
        <f>IF(R1325&gt;0,S1325*資金模擬!$B$7/R1325,0)</f>
        <v/>
      </c>
      <c r="Z1325" s="2">
        <f>IF(OR(Z1324=1,R1325&lt;=資金模擬!$B$10),1,0)</f>
        <v/>
      </c>
    </row>
    <row r="1326">
      <c r="A1326" s="2" t="n">
        <v>1324</v>
      </c>
      <c r="B1326" s="7" t="n">
        <v>46300.95833333334</v>
      </c>
      <c r="C1326" s="2" t="inlineStr">
        <is>
          <t>進場</t>
        </is>
      </c>
      <c r="D1326" s="2" t="n">
        <v>664</v>
      </c>
      <c r="E1326" s="2" t="inlineStr">
        <is>
          <t>SAND_USDT_PERP</t>
        </is>
      </c>
      <c r="F1326" s="2" t="inlineStr">
        <is>
          <t>做空</t>
        </is>
      </c>
      <c r="G1326" s="20" t="n">
        <v>0.06942</v>
      </c>
      <c r="H1326" s="20" t="n">
        <v>0.06733739999999999</v>
      </c>
      <c r="I1326" s="20" t="n">
        <v>0.072891</v>
      </c>
      <c r="J1326" s="20" t="n"/>
      <c r="K1326" s="2" t="n"/>
      <c r="L1326" s="5" t="n"/>
      <c r="M1326" s="19">
        <f>資金模擬!$B$5*V1325</f>
        <v/>
      </c>
      <c r="N1326" s="2">
        <f>IF(Z1325=1,"已停止",IF(T1325&gt;=M1326,"已下單","資金不足略過"))</f>
        <v/>
      </c>
      <c r="O1326" s="19">
        <f>IF(N1326="已下單",M1326*資金模擬!$B$7,0)</f>
        <v/>
      </c>
      <c r="P1326" s="4" t="n"/>
      <c r="Q1326" s="13" t="n">
        <v>0</v>
      </c>
      <c r="R1326" s="13">
        <f>R1325+Q1326</f>
        <v/>
      </c>
      <c r="S1326" s="19">
        <f>S1325+IF(N1326="已下單",M1326,0)</f>
        <v/>
      </c>
      <c r="T1326" s="19">
        <f>R1326-S1326</f>
        <v/>
      </c>
      <c r="U1326" s="2">
        <f>U1325+IF(N1326="已下單",1,0)</f>
        <v/>
      </c>
      <c r="V1326" s="19">
        <f>IF(資金模擬!$B$9=2,MAX(R1326,0),MAX(V1325,FLOOR(MAX(R1326,0),資金模擬!$B$6)))</f>
        <v/>
      </c>
      <c r="W1326" s="13">
        <f>MAX(W1325,R1326)</f>
        <v/>
      </c>
      <c r="X1326" s="4">
        <f>IF(W1326&gt;0,R1326/W1326-1,-1)</f>
        <v/>
      </c>
      <c r="Y1326" s="19">
        <f>IF(R1326&gt;0,S1326*資金模擬!$B$7/R1326,0)</f>
        <v/>
      </c>
      <c r="Z1326" s="2">
        <f>IF(OR(Z1325=1,R1326&lt;=資金模擬!$B$10),1,0)</f>
        <v/>
      </c>
    </row>
    <row r="1327">
      <c r="A1327" s="2" t="n">
        <v>1325</v>
      </c>
      <c r="B1327" s="7" t="n">
        <v>46301</v>
      </c>
      <c r="C1327" s="2" t="inlineStr">
        <is>
          <t>出場</t>
        </is>
      </c>
      <c r="D1327" s="2" t="n">
        <v>662</v>
      </c>
      <c r="E1327" s="2" t="inlineStr">
        <is>
          <t>NIL_USDT_PERP</t>
        </is>
      </c>
      <c r="F1327" s="2" t="inlineStr">
        <is>
          <t>做多</t>
        </is>
      </c>
      <c r="G1327" s="20" t="n">
        <v>0.09872</v>
      </c>
      <c r="H1327" s="20" t="n">
        <v>0.1016816</v>
      </c>
      <c r="I1327" s="20" t="n">
        <v>0.09378399999999999</v>
      </c>
      <c r="J1327" s="20" t="n">
        <v>0.1016816</v>
      </c>
      <c r="K1327" s="2" t="inlineStr">
        <is>
          <t>止盈</t>
        </is>
      </c>
      <c r="L1327" s="5">
        <f>交易明細!K663</f>
        <v/>
      </c>
      <c r="M1327" s="19">
        <f>M1324</f>
        <v/>
      </c>
      <c r="N1327" s="2">
        <f>N1324</f>
        <v/>
      </c>
      <c r="O1327" s="19">
        <f>O1324</f>
        <v/>
      </c>
      <c r="P1327" s="4">
        <f>交易明細!L663</f>
        <v/>
      </c>
      <c r="Q1327" s="13">
        <f>IF(N1327="已下單",O1327*P1327,0)</f>
        <v/>
      </c>
      <c r="R1327" s="13">
        <f>R1326+Q1327</f>
        <v/>
      </c>
      <c r="S1327" s="19">
        <f>S1326-IF(N1327="已下單",M1327,0)</f>
        <v/>
      </c>
      <c r="T1327" s="19">
        <f>R1327-S1327</f>
        <v/>
      </c>
      <c r="U1327" s="2">
        <f>U1326-IF(N1327="已下單",1,0)</f>
        <v/>
      </c>
      <c r="V1327" s="19">
        <f>IF(資金模擬!$B$9=2,MAX(R1327,0),MAX(V1326,FLOOR(MAX(R1327,0),資金模擬!$B$6)))</f>
        <v/>
      </c>
      <c r="W1327" s="13">
        <f>MAX(W1326,R1327)</f>
        <v/>
      </c>
      <c r="X1327" s="4">
        <f>IF(W1327&gt;0,R1327/W1327-1,-1)</f>
        <v/>
      </c>
      <c r="Y1327" s="19">
        <f>IF(R1327&gt;0,S1327*資金模擬!$B$7/R1327,0)</f>
        <v/>
      </c>
      <c r="Z1327" s="2">
        <f>IF(OR(Z1326=1,R1327&lt;=資金模擬!$B$10),1,0)</f>
        <v/>
      </c>
    </row>
    <row r="1328">
      <c r="A1328" s="2" t="n">
        <v>1326</v>
      </c>
      <c r="B1328" s="7" t="n">
        <v>46301</v>
      </c>
      <c r="C1328" s="2" t="inlineStr">
        <is>
          <t>出場</t>
        </is>
      </c>
      <c r="D1328" s="2" t="n">
        <v>664</v>
      </c>
      <c r="E1328" s="2" t="inlineStr">
        <is>
          <t>SAND_USDT_PERP</t>
        </is>
      </c>
      <c r="F1328" s="2" t="inlineStr">
        <is>
          <t>做空</t>
        </is>
      </c>
      <c r="G1328" s="20" t="n">
        <v>0.06942</v>
      </c>
      <c r="H1328" s="20" t="n">
        <v>0.06733739999999999</v>
      </c>
      <c r="I1328" s="20" t="n">
        <v>0.072891</v>
      </c>
      <c r="J1328" s="20" t="n">
        <v>0.06733739999999999</v>
      </c>
      <c r="K1328" s="2" t="inlineStr">
        <is>
          <t>止盈</t>
        </is>
      </c>
      <c r="L1328" s="5">
        <f>交易明細!K665</f>
        <v/>
      </c>
      <c r="M1328" s="19">
        <f>M1326</f>
        <v/>
      </c>
      <c r="N1328" s="2">
        <f>N1326</f>
        <v/>
      </c>
      <c r="O1328" s="19">
        <f>O1326</f>
        <v/>
      </c>
      <c r="P1328" s="4">
        <f>交易明細!L665</f>
        <v/>
      </c>
      <c r="Q1328" s="13">
        <f>IF(N1328="已下單",O1328*P1328,0)</f>
        <v/>
      </c>
      <c r="R1328" s="13">
        <f>R1327+Q1328</f>
        <v/>
      </c>
      <c r="S1328" s="19">
        <f>S1327-IF(N1328="已下單",M1328,0)</f>
        <v/>
      </c>
      <c r="T1328" s="19">
        <f>R1328-S1328</f>
        <v/>
      </c>
      <c r="U1328" s="2">
        <f>U1327-IF(N1328="已下單",1,0)</f>
        <v/>
      </c>
      <c r="V1328" s="19">
        <f>IF(資金模擬!$B$9=2,MAX(R1328,0),MAX(V1327,FLOOR(MAX(R1328,0),資金模擬!$B$6)))</f>
        <v/>
      </c>
      <c r="W1328" s="13">
        <f>MAX(W1327,R1328)</f>
        <v/>
      </c>
      <c r="X1328" s="4">
        <f>IF(W1328&gt;0,R1328/W1328-1,-1)</f>
        <v/>
      </c>
      <c r="Y1328" s="19">
        <f>IF(R1328&gt;0,S1328*資金模擬!$B$7/R1328,0)</f>
        <v/>
      </c>
      <c r="Z1328" s="2">
        <f>IF(OR(Z1327=1,R1328&lt;=資金模擬!$B$10),1,0)</f>
        <v/>
      </c>
    </row>
    <row r="1329">
      <c r="A1329" s="2" t="n">
        <v>1327</v>
      </c>
      <c r="B1329" s="7" t="n">
        <v>46301</v>
      </c>
      <c r="C1329" s="2" t="inlineStr">
        <is>
          <t>進場</t>
        </is>
      </c>
      <c r="D1329" s="2" t="n">
        <v>665</v>
      </c>
      <c r="E1329" s="2" t="inlineStr">
        <is>
          <t>BTW_USDT_PERP</t>
        </is>
      </c>
      <c r="F1329" s="2" t="inlineStr">
        <is>
          <t>做多</t>
        </is>
      </c>
      <c r="G1329" s="20" t="n">
        <v>1.209897</v>
      </c>
      <c r="H1329" s="20" t="n">
        <v>1.24619391</v>
      </c>
      <c r="I1329" s="20" t="n">
        <v>1.14940215</v>
      </c>
      <c r="J1329" s="20" t="n"/>
      <c r="K1329" s="2" t="n"/>
      <c r="L1329" s="5" t="n"/>
      <c r="M1329" s="19">
        <f>資金模擬!$B$5*V1328</f>
        <v/>
      </c>
      <c r="N1329" s="2">
        <f>IF(Z1328=1,"已停止",IF(T1328&gt;=M1329,"已下單","資金不足略過"))</f>
        <v/>
      </c>
      <c r="O1329" s="19">
        <f>IF(N1329="已下單",M1329*資金模擬!$B$7,0)</f>
        <v/>
      </c>
      <c r="P1329" s="4" t="n"/>
      <c r="Q1329" s="13" t="n">
        <v>0</v>
      </c>
      <c r="R1329" s="13">
        <f>R1328+Q1329</f>
        <v/>
      </c>
      <c r="S1329" s="19">
        <f>S1328+IF(N1329="已下單",M1329,0)</f>
        <v/>
      </c>
      <c r="T1329" s="19">
        <f>R1329-S1329</f>
        <v/>
      </c>
      <c r="U1329" s="2">
        <f>U1328+IF(N1329="已下單",1,0)</f>
        <v/>
      </c>
      <c r="V1329" s="19">
        <f>IF(資金模擬!$B$9=2,MAX(R1329,0),MAX(V1328,FLOOR(MAX(R1329,0),資金模擬!$B$6)))</f>
        <v/>
      </c>
      <c r="W1329" s="13">
        <f>MAX(W1328,R1329)</f>
        <v/>
      </c>
      <c r="X1329" s="4">
        <f>IF(W1329&gt;0,R1329/W1329-1,-1)</f>
        <v/>
      </c>
      <c r="Y1329" s="19">
        <f>IF(R1329&gt;0,S1329*資金模擬!$B$7/R1329,0)</f>
        <v/>
      </c>
      <c r="Z1329" s="2">
        <f>IF(OR(Z1328=1,R1329&lt;=資金模擬!$B$10),1,0)</f>
        <v/>
      </c>
    </row>
    <row r="1330">
      <c r="A1330" s="2" t="n">
        <v>1328</v>
      </c>
      <c r="B1330" s="7" t="n">
        <v>46301.08333333334</v>
      </c>
      <c r="C1330" s="2" t="inlineStr">
        <is>
          <t>出場</t>
        </is>
      </c>
      <c r="D1330" s="2" t="n">
        <v>665</v>
      </c>
      <c r="E1330" s="2" t="inlineStr">
        <is>
          <t>BTW_USDT_PERP</t>
        </is>
      </c>
      <c r="F1330" s="2" t="inlineStr">
        <is>
          <t>做多</t>
        </is>
      </c>
      <c r="G1330" s="20" t="n">
        <v>1.209897</v>
      </c>
      <c r="H1330" s="20" t="n">
        <v>1.24619391</v>
      </c>
      <c r="I1330" s="20" t="n">
        <v>1.14940215</v>
      </c>
      <c r="J1330" s="20" t="n">
        <v>1.24619391</v>
      </c>
      <c r="K1330" s="2" t="inlineStr">
        <is>
          <t>止盈</t>
        </is>
      </c>
      <c r="L1330" s="5">
        <f>交易明細!K666</f>
        <v/>
      </c>
      <c r="M1330" s="19">
        <f>M1329</f>
        <v/>
      </c>
      <c r="N1330" s="2">
        <f>N1329</f>
        <v/>
      </c>
      <c r="O1330" s="19">
        <f>O1329</f>
        <v/>
      </c>
      <c r="P1330" s="4">
        <f>交易明細!L666</f>
        <v/>
      </c>
      <c r="Q1330" s="13">
        <f>IF(N1330="已下單",O1330*P1330,0)</f>
        <v/>
      </c>
      <c r="R1330" s="13">
        <f>R1329+Q1330</f>
        <v/>
      </c>
      <c r="S1330" s="19">
        <f>S1329-IF(N1330="已下單",M1330,0)</f>
        <v/>
      </c>
      <c r="T1330" s="19">
        <f>R1330-S1330</f>
        <v/>
      </c>
      <c r="U1330" s="2">
        <f>U1329-IF(N1330="已下單",1,0)</f>
        <v/>
      </c>
      <c r="V1330" s="19">
        <f>IF(資金模擬!$B$9=2,MAX(R1330,0),MAX(V1329,FLOOR(MAX(R1330,0),資金模擬!$B$6)))</f>
        <v/>
      </c>
      <c r="W1330" s="13">
        <f>MAX(W1329,R1330)</f>
        <v/>
      </c>
      <c r="X1330" s="4">
        <f>IF(W1330&gt;0,R1330/W1330-1,-1)</f>
        <v/>
      </c>
      <c r="Y1330" s="19">
        <f>IF(R1330&gt;0,S1330*資金模擬!$B$7/R1330,0)</f>
        <v/>
      </c>
      <c r="Z1330" s="2">
        <f>IF(OR(Z1329=1,R1330&lt;=資金模擬!$B$10),1,0)</f>
        <v/>
      </c>
    </row>
    <row r="1331">
      <c r="A1331" s="2" t="n">
        <v>1329</v>
      </c>
      <c r="B1331" s="7" t="n">
        <v>46301.25</v>
      </c>
      <c r="C1331" s="2" t="inlineStr">
        <is>
          <t>進場</t>
        </is>
      </c>
      <c r="D1331" s="2" t="n">
        <v>666</v>
      </c>
      <c r="E1331" s="2" t="inlineStr">
        <is>
          <t>QNT_USDT_PERP</t>
        </is>
      </c>
      <c r="F1331" s="2" t="inlineStr">
        <is>
          <t>做多</t>
        </is>
      </c>
      <c r="G1331" s="20" t="n">
        <v>258.78</v>
      </c>
      <c r="H1331" s="20" t="n">
        <v>266.5434</v>
      </c>
      <c r="I1331" s="20" t="n">
        <v>245.841</v>
      </c>
      <c r="J1331" s="20" t="n"/>
      <c r="K1331" s="2" t="n"/>
      <c r="L1331" s="5" t="n"/>
      <c r="M1331" s="19">
        <f>資金模擬!$B$5*V1330</f>
        <v/>
      </c>
      <c r="N1331" s="2">
        <f>IF(Z1330=1,"已停止",IF(T1330&gt;=M1331,"已下單","資金不足略過"))</f>
        <v/>
      </c>
      <c r="O1331" s="19">
        <f>IF(N1331="已下單",M1331*資金模擬!$B$7,0)</f>
        <v/>
      </c>
      <c r="P1331" s="4" t="n"/>
      <c r="Q1331" s="13" t="n">
        <v>0</v>
      </c>
      <c r="R1331" s="13">
        <f>R1330+Q1331</f>
        <v/>
      </c>
      <c r="S1331" s="19">
        <f>S1330+IF(N1331="已下單",M1331,0)</f>
        <v/>
      </c>
      <c r="T1331" s="19">
        <f>R1331-S1331</f>
        <v/>
      </c>
      <c r="U1331" s="2">
        <f>U1330+IF(N1331="已下單",1,0)</f>
        <v/>
      </c>
      <c r="V1331" s="19">
        <f>IF(資金模擬!$B$9=2,MAX(R1331,0),MAX(V1330,FLOOR(MAX(R1331,0),資金模擬!$B$6)))</f>
        <v/>
      </c>
      <c r="W1331" s="13">
        <f>MAX(W1330,R1331)</f>
        <v/>
      </c>
      <c r="X1331" s="4">
        <f>IF(W1331&gt;0,R1331/W1331-1,-1)</f>
        <v/>
      </c>
      <c r="Y1331" s="19">
        <f>IF(R1331&gt;0,S1331*資金模擬!$B$7/R1331,0)</f>
        <v/>
      </c>
      <c r="Z1331" s="2">
        <f>IF(OR(Z1330=1,R1331&lt;=資金模擬!$B$10),1,0)</f>
        <v/>
      </c>
    </row>
    <row r="1332">
      <c r="A1332" s="2" t="n">
        <v>1330</v>
      </c>
      <c r="B1332" s="7" t="n">
        <v>46301.375</v>
      </c>
      <c r="C1332" s="2" t="inlineStr">
        <is>
          <t>出場</t>
        </is>
      </c>
      <c r="D1332" s="2" t="n">
        <v>666</v>
      </c>
      <c r="E1332" s="2" t="inlineStr">
        <is>
          <t>QNT_USDT_PERP</t>
        </is>
      </c>
      <c r="F1332" s="2" t="inlineStr">
        <is>
          <t>做多</t>
        </is>
      </c>
      <c r="G1332" s="20" t="n">
        <v>258.78</v>
      </c>
      <c r="H1332" s="20" t="n">
        <v>266.5434</v>
      </c>
      <c r="I1332" s="20" t="n">
        <v>245.841</v>
      </c>
      <c r="J1332" s="20" t="n">
        <v>266.5434</v>
      </c>
      <c r="K1332" s="2" t="inlineStr">
        <is>
          <t>止盈</t>
        </is>
      </c>
      <c r="L1332" s="5">
        <f>交易明細!K667</f>
        <v/>
      </c>
      <c r="M1332" s="19">
        <f>M1331</f>
        <v/>
      </c>
      <c r="N1332" s="2">
        <f>N1331</f>
        <v/>
      </c>
      <c r="O1332" s="19">
        <f>O1331</f>
        <v/>
      </c>
      <c r="P1332" s="4">
        <f>交易明細!L667</f>
        <v/>
      </c>
      <c r="Q1332" s="13">
        <f>IF(N1332="已下單",O1332*P1332,0)</f>
        <v/>
      </c>
      <c r="R1332" s="13">
        <f>R1331+Q1332</f>
        <v/>
      </c>
      <c r="S1332" s="19">
        <f>S1331-IF(N1332="已下單",M1332,0)</f>
        <v/>
      </c>
      <c r="T1332" s="19">
        <f>R1332-S1332</f>
        <v/>
      </c>
      <c r="U1332" s="2">
        <f>U1331-IF(N1332="已下單",1,0)</f>
        <v/>
      </c>
      <c r="V1332" s="19">
        <f>IF(資金模擬!$B$9=2,MAX(R1332,0),MAX(V1331,FLOOR(MAX(R1332,0),資金模擬!$B$6)))</f>
        <v/>
      </c>
      <c r="W1332" s="13">
        <f>MAX(W1331,R1332)</f>
        <v/>
      </c>
      <c r="X1332" s="4">
        <f>IF(W1332&gt;0,R1332/W1332-1,-1)</f>
        <v/>
      </c>
      <c r="Y1332" s="19">
        <f>IF(R1332&gt;0,S1332*資金模擬!$B$7/R1332,0)</f>
        <v/>
      </c>
      <c r="Z1332" s="2">
        <f>IF(OR(Z1331=1,R1332&lt;=資金模擬!$B$10),1,0)</f>
        <v/>
      </c>
    </row>
    <row r="1333">
      <c r="A1333" s="2" t="n">
        <v>1331</v>
      </c>
      <c r="B1333" s="7" t="n">
        <v>46301.375</v>
      </c>
      <c r="C1333" s="2" t="inlineStr">
        <is>
          <t>進場</t>
        </is>
      </c>
      <c r="D1333" s="2" t="n">
        <v>667</v>
      </c>
      <c r="E1333" s="2" t="inlineStr">
        <is>
          <t>SAND_USDT_PERP</t>
        </is>
      </c>
      <c r="F1333" s="2" t="inlineStr">
        <is>
          <t>做空</t>
        </is>
      </c>
      <c r="G1333" s="20" t="n">
        <v>0.06743</v>
      </c>
      <c r="H1333" s="20" t="n">
        <v>0.0654071</v>
      </c>
      <c r="I1333" s="20" t="n">
        <v>0.0708015</v>
      </c>
      <c r="J1333" s="20" t="n"/>
      <c r="K1333" s="2" t="n"/>
      <c r="L1333" s="5" t="n"/>
      <c r="M1333" s="19">
        <f>資金模擬!$B$5*V1332</f>
        <v/>
      </c>
      <c r="N1333" s="2">
        <f>IF(Z1332=1,"已停止",IF(T1332&gt;=M1333,"已下單","資金不足略過"))</f>
        <v/>
      </c>
      <c r="O1333" s="19">
        <f>IF(N1333="已下單",M1333*資金模擬!$B$7,0)</f>
        <v/>
      </c>
      <c r="P1333" s="4" t="n"/>
      <c r="Q1333" s="13" t="n">
        <v>0</v>
      </c>
      <c r="R1333" s="13">
        <f>R1332+Q1333</f>
        <v/>
      </c>
      <c r="S1333" s="19">
        <f>S1332+IF(N1333="已下單",M1333,0)</f>
        <v/>
      </c>
      <c r="T1333" s="19">
        <f>R1333-S1333</f>
        <v/>
      </c>
      <c r="U1333" s="2">
        <f>U1332+IF(N1333="已下單",1,0)</f>
        <v/>
      </c>
      <c r="V1333" s="19">
        <f>IF(資金模擬!$B$9=2,MAX(R1333,0),MAX(V1332,FLOOR(MAX(R1333,0),資金模擬!$B$6)))</f>
        <v/>
      </c>
      <c r="W1333" s="13">
        <f>MAX(W1332,R1333)</f>
        <v/>
      </c>
      <c r="X1333" s="4">
        <f>IF(W1333&gt;0,R1333/W1333-1,-1)</f>
        <v/>
      </c>
      <c r="Y1333" s="19">
        <f>IF(R1333&gt;0,S1333*資金模擬!$B$7/R1333,0)</f>
        <v/>
      </c>
      <c r="Z1333" s="2">
        <f>IF(OR(Z1332=1,R1333&lt;=資金模擬!$B$10),1,0)</f>
        <v/>
      </c>
    </row>
    <row r="1334">
      <c r="A1334" s="2" t="n">
        <v>1332</v>
      </c>
      <c r="B1334" s="7" t="n">
        <v>46301.45833333334</v>
      </c>
      <c r="C1334" s="2" t="inlineStr">
        <is>
          <t>進場</t>
        </is>
      </c>
      <c r="D1334" s="2" t="n">
        <v>668</v>
      </c>
      <c r="E1334" s="2" t="inlineStr">
        <is>
          <t>BR_USDT_PERP</t>
        </is>
      </c>
      <c r="F1334" s="2" t="inlineStr">
        <is>
          <t>做空</t>
        </is>
      </c>
      <c r="G1334" s="20" t="n">
        <v>0.40543</v>
      </c>
      <c r="H1334" s="20" t="n">
        <v>0.3932671</v>
      </c>
      <c r="I1334" s="20" t="n">
        <v>0.4257015</v>
      </c>
      <c r="J1334" s="20" t="n"/>
      <c r="K1334" s="2" t="n"/>
      <c r="L1334" s="5" t="n"/>
      <c r="M1334" s="19">
        <f>資金模擬!$B$5*V1333</f>
        <v/>
      </c>
      <c r="N1334" s="2">
        <f>IF(Z1333=1,"已停止",IF(T1333&gt;=M1334,"已下單","資金不足略過"))</f>
        <v/>
      </c>
      <c r="O1334" s="19">
        <f>IF(N1334="已下單",M1334*資金模擬!$B$7,0)</f>
        <v/>
      </c>
      <c r="P1334" s="4" t="n"/>
      <c r="Q1334" s="13" t="n">
        <v>0</v>
      </c>
      <c r="R1334" s="13">
        <f>R1333+Q1334</f>
        <v/>
      </c>
      <c r="S1334" s="19">
        <f>S1333+IF(N1334="已下單",M1334,0)</f>
        <v/>
      </c>
      <c r="T1334" s="19">
        <f>R1334-S1334</f>
        <v/>
      </c>
      <c r="U1334" s="2">
        <f>U1333+IF(N1334="已下單",1,0)</f>
        <v/>
      </c>
      <c r="V1334" s="19">
        <f>IF(資金模擬!$B$9=2,MAX(R1334,0),MAX(V1333,FLOOR(MAX(R1334,0),資金模擬!$B$6)))</f>
        <v/>
      </c>
      <c r="W1334" s="13">
        <f>MAX(W1333,R1334)</f>
        <v/>
      </c>
      <c r="X1334" s="4">
        <f>IF(W1334&gt;0,R1334/W1334-1,-1)</f>
        <v/>
      </c>
      <c r="Y1334" s="19">
        <f>IF(R1334&gt;0,S1334*資金模擬!$B$7/R1334,0)</f>
        <v/>
      </c>
      <c r="Z1334" s="2">
        <f>IF(OR(Z1333=1,R1334&lt;=資金模擬!$B$10),1,0)</f>
        <v/>
      </c>
    </row>
    <row r="1335">
      <c r="A1335" s="2" t="n">
        <v>1333</v>
      </c>
      <c r="B1335" s="7" t="n">
        <v>46301.5</v>
      </c>
      <c r="C1335" s="2" t="inlineStr">
        <is>
          <t>進場</t>
        </is>
      </c>
      <c r="D1335" s="2" t="n">
        <v>669</v>
      </c>
      <c r="E1335" s="2" t="inlineStr">
        <is>
          <t>NIL_USDT_PERP</t>
        </is>
      </c>
      <c r="F1335" s="2" t="inlineStr">
        <is>
          <t>做空</t>
        </is>
      </c>
      <c r="G1335" s="20" t="n">
        <v>0.10057</v>
      </c>
      <c r="H1335" s="20" t="n">
        <v>0.0975529</v>
      </c>
      <c r="I1335" s="20" t="n">
        <v>0.1055985</v>
      </c>
      <c r="J1335" s="20" t="n"/>
      <c r="K1335" s="2" t="n"/>
      <c r="L1335" s="5" t="n"/>
      <c r="M1335" s="19">
        <f>資金模擬!$B$5*V1334</f>
        <v/>
      </c>
      <c r="N1335" s="2">
        <f>IF(Z1334=1,"已停止",IF(T1334&gt;=M1335,"已下單","資金不足略過"))</f>
        <v/>
      </c>
      <c r="O1335" s="19">
        <f>IF(N1335="已下單",M1335*資金模擬!$B$7,0)</f>
        <v/>
      </c>
      <c r="P1335" s="4" t="n"/>
      <c r="Q1335" s="13" t="n">
        <v>0</v>
      </c>
      <c r="R1335" s="13">
        <f>R1334+Q1335</f>
        <v/>
      </c>
      <c r="S1335" s="19">
        <f>S1334+IF(N1335="已下單",M1335,0)</f>
        <v/>
      </c>
      <c r="T1335" s="19">
        <f>R1335-S1335</f>
        <v/>
      </c>
      <c r="U1335" s="2">
        <f>U1334+IF(N1335="已下單",1,0)</f>
        <v/>
      </c>
      <c r="V1335" s="19">
        <f>IF(資金模擬!$B$9=2,MAX(R1335,0),MAX(V1334,FLOOR(MAX(R1335,0),資金模擬!$B$6)))</f>
        <v/>
      </c>
      <c r="W1335" s="13">
        <f>MAX(W1334,R1335)</f>
        <v/>
      </c>
      <c r="X1335" s="4">
        <f>IF(W1335&gt;0,R1335/W1335-1,-1)</f>
        <v/>
      </c>
      <c r="Y1335" s="19">
        <f>IF(R1335&gt;0,S1335*資金模擬!$B$7/R1335,0)</f>
        <v/>
      </c>
      <c r="Z1335" s="2">
        <f>IF(OR(Z1334=1,R1335&lt;=資金模擬!$B$10),1,0)</f>
        <v/>
      </c>
    </row>
    <row r="1336">
      <c r="A1336" s="2" t="n">
        <v>1334</v>
      </c>
      <c r="B1336" s="7" t="n">
        <v>46301.54166666666</v>
      </c>
      <c r="C1336" s="2" t="inlineStr">
        <is>
          <t>出場</t>
        </is>
      </c>
      <c r="D1336" s="2" t="n">
        <v>668</v>
      </c>
      <c r="E1336" s="2" t="inlineStr">
        <is>
          <t>BR_USDT_PERP</t>
        </is>
      </c>
      <c r="F1336" s="2" t="inlineStr">
        <is>
          <t>做空</t>
        </is>
      </c>
      <c r="G1336" s="20" t="n">
        <v>0.40543</v>
      </c>
      <c r="H1336" s="20" t="n">
        <v>0.3932671</v>
      </c>
      <c r="I1336" s="20" t="n">
        <v>0.4257015</v>
      </c>
      <c r="J1336" s="20" t="n">
        <v>0.3932671</v>
      </c>
      <c r="K1336" s="2" t="inlineStr">
        <is>
          <t>止盈</t>
        </is>
      </c>
      <c r="L1336" s="5">
        <f>交易明細!K669</f>
        <v/>
      </c>
      <c r="M1336" s="19">
        <f>M1334</f>
        <v/>
      </c>
      <c r="N1336" s="2">
        <f>N1334</f>
        <v/>
      </c>
      <c r="O1336" s="19">
        <f>O1334</f>
        <v/>
      </c>
      <c r="P1336" s="4">
        <f>交易明細!L669</f>
        <v/>
      </c>
      <c r="Q1336" s="13">
        <f>IF(N1336="已下單",O1336*P1336,0)</f>
        <v/>
      </c>
      <c r="R1336" s="13">
        <f>R1335+Q1336</f>
        <v/>
      </c>
      <c r="S1336" s="19">
        <f>S1335-IF(N1336="已下單",M1336,0)</f>
        <v/>
      </c>
      <c r="T1336" s="19">
        <f>R1336-S1336</f>
        <v/>
      </c>
      <c r="U1336" s="2">
        <f>U1335-IF(N1336="已下單",1,0)</f>
        <v/>
      </c>
      <c r="V1336" s="19">
        <f>IF(資金模擬!$B$9=2,MAX(R1336,0),MAX(V1335,FLOOR(MAX(R1336,0),資金模擬!$B$6)))</f>
        <v/>
      </c>
      <c r="W1336" s="13">
        <f>MAX(W1335,R1336)</f>
        <v/>
      </c>
      <c r="X1336" s="4">
        <f>IF(W1336&gt;0,R1336/W1336-1,-1)</f>
        <v/>
      </c>
      <c r="Y1336" s="19">
        <f>IF(R1336&gt;0,S1336*資金模擬!$B$7/R1336,0)</f>
        <v/>
      </c>
      <c r="Z1336" s="2">
        <f>IF(OR(Z1335=1,R1336&lt;=資金模擬!$B$10),1,0)</f>
        <v/>
      </c>
    </row>
    <row r="1337">
      <c r="A1337" s="2" t="n">
        <v>1335</v>
      </c>
      <c r="B1337" s="7" t="n">
        <v>46301.58333333334</v>
      </c>
      <c r="C1337" s="2" t="inlineStr">
        <is>
          <t>出場</t>
        </is>
      </c>
      <c r="D1337" s="2" t="n">
        <v>667</v>
      </c>
      <c r="E1337" s="2" t="inlineStr">
        <is>
          <t>SAND_USDT_PERP</t>
        </is>
      </c>
      <c r="F1337" s="2" t="inlineStr">
        <is>
          <t>做空</t>
        </is>
      </c>
      <c r="G1337" s="20" t="n">
        <v>0.06743</v>
      </c>
      <c r="H1337" s="20" t="n">
        <v>0.0654071</v>
      </c>
      <c r="I1337" s="20" t="n">
        <v>0.0708015</v>
      </c>
      <c r="J1337" s="20" t="n">
        <v>0.0654071</v>
      </c>
      <c r="K1337" s="2" t="inlineStr">
        <is>
          <t>止盈</t>
        </is>
      </c>
      <c r="L1337" s="5">
        <f>交易明細!K668</f>
        <v/>
      </c>
      <c r="M1337" s="19">
        <f>M1333</f>
        <v/>
      </c>
      <c r="N1337" s="2">
        <f>N1333</f>
        <v/>
      </c>
      <c r="O1337" s="19">
        <f>O1333</f>
        <v/>
      </c>
      <c r="P1337" s="4">
        <f>交易明細!L668</f>
        <v/>
      </c>
      <c r="Q1337" s="13">
        <f>IF(N1337="已下單",O1337*P1337,0)</f>
        <v/>
      </c>
      <c r="R1337" s="13">
        <f>R1336+Q1337</f>
        <v/>
      </c>
      <c r="S1337" s="19">
        <f>S1336-IF(N1337="已下單",M1337,0)</f>
        <v/>
      </c>
      <c r="T1337" s="19">
        <f>R1337-S1337</f>
        <v/>
      </c>
      <c r="U1337" s="2">
        <f>U1336-IF(N1337="已下單",1,0)</f>
        <v/>
      </c>
      <c r="V1337" s="19">
        <f>IF(資金模擬!$B$9=2,MAX(R1337,0),MAX(V1336,FLOOR(MAX(R1337,0),資金模擬!$B$6)))</f>
        <v/>
      </c>
      <c r="W1337" s="13">
        <f>MAX(W1336,R1337)</f>
        <v/>
      </c>
      <c r="X1337" s="4">
        <f>IF(W1337&gt;0,R1337/W1337-1,-1)</f>
        <v/>
      </c>
      <c r="Y1337" s="19">
        <f>IF(R1337&gt;0,S1337*資金模擬!$B$7/R1337,0)</f>
        <v/>
      </c>
      <c r="Z1337" s="2">
        <f>IF(OR(Z1336=1,R1337&lt;=資金模擬!$B$10),1,0)</f>
        <v/>
      </c>
    </row>
    <row r="1338">
      <c r="A1338" s="2" t="n">
        <v>1336</v>
      </c>
      <c r="B1338" s="7" t="n">
        <v>46301.58333333334</v>
      </c>
      <c r="C1338" s="2" t="inlineStr">
        <is>
          <t>進場</t>
        </is>
      </c>
      <c r="D1338" s="2" t="n">
        <v>670</v>
      </c>
      <c r="E1338" s="2" t="inlineStr">
        <is>
          <t>MUBARAK_USDT_PERP</t>
        </is>
      </c>
      <c r="F1338" s="2" t="inlineStr">
        <is>
          <t>做空</t>
        </is>
      </c>
      <c r="G1338" s="20" t="n">
        <v>0.07226</v>
      </c>
      <c r="H1338" s="20" t="n">
        <v>0.07009220000000001</v>
      </c>
      <c r="I1338" s="20" t="n">
        <v>0.07587300000000001</v>
      </c>
      <c r="J1338" s="20" t="n"/>
      <c r="K1338" s="2" t="n"/>
      <c r="L1338" s="5" t="n"/>
      <c r="M1338" s="19">
        <f>資金模擬!$B$5*V1337</f>
        <v/>
      </c>
      <c r="N1338" s="2">
        <f>IF(Z1337=1,"已停止",IF(T1337&gt;=M1338,"已下單","資金不足略過"))</f>
        <v/>
      </c>
      <c r="O1338" s="19">
        <f>IF(N1338="已下單",M1338*資金模擬!$B$7,0)</f>
        <v/>
      </c>
      <c r="P1338" s="4" t="n"/>
      <c r="Q1338" s="13" t="n">
        <v>0</v>
      </c>
      <c r="R1338" s="13">
        <f>R1337+Q1338</f>
        <v/>
      </c>
      <c r="S1338" s="19">
        <f>S1337+IF(N1338="已下單",M1338,0)</f>
        <v/>
      </c>
      <c r="T1338" s="19">
        <f>R1338-S1338</f>
        <v/>
      </c>
      <c r="U1338" s="2">
        <f>U1337+IF(N1338="已下單",1,0)</f>
        <v/>
      </c>
      <c r="V1338" s="19">
        <f>IF(資金模擬!$B$9=2,MAX(R1338,0),MAX(V1337,FLOOR(MAX(R1338,0),資金模擬!$B$6)))</f>
        <v/>
      </c>
      <c r="W1338" s="13">
        <f>MAX(W1337,R1338)</f>
        <v/>
      </c>
      <c r="X1338" s="4">
        <f>IF(W1338&gt;0,R1338/W1338-1,-1)</f>
        <v/>
      </c>
      <c r="Y1338" s="19">
        <f>IF(R1338&gt;0,S1338*資金模擬!$B$7/R1338,0)</f>
        <v/>
      </c>
      <c r="Z1338" s="2">
        <f>IF(OR(Z1337=1,R1338&lt;=資金模擬!$B$10),1,0)</f>
        <v/>
      </c>
    </row>
    <row r="1339">
      <c r="A1339" s="2" t="n">
        <v>1337</v>
      </c>
      <c r="B1339" s="7" t="n">
        <v>46301.70833333334</v>
      </c>
      <c r="C1339" s="2" t="inlineStr">
        <is>
          <t>出場</t>
        </is>
      </c>
      <c r="D1339" s="2" t="n">
        <v>670</v>
      </c>
      <c r="E1339" s="2" t="inlineStr">
        <is>
          <t>MUBARAK_USDT_PERP</t>
        </is>
      </c>
      <c r="F1339" s="2" t="inlineStr">
        <is>
          <t>做空</t>
        </is>
      </c>
      <c r="G1339" s="20" t="n">
        <v>0.07226</v>
      </c>
      <c r="H1339" s="20" t="n">
        <v>0.07009220000000001</v>
      </c>
      <c r="I1339" s="20" t="n">
        <v>0.07587300000000001</v>
      </c>
      <c r="J1339" s="20" t="n">
        <v>0.07009220000000001</v>
      </c>
      <c r="K1339" s="2" t="inlineStr">
        <is>
          <t>止盈</t>
        </is>
      </c>
      <c r="L1339" s="5">
        <f>交易明細!K671</f>
        <v/>
      </c>
      <c r="M1339" s="19">
        <f>M1338</f>
        <v/>
      </c>
      <c r="N1339" s="2">
        <f>N1338</f>
        <v/>
      </c>
      <c r="O1339" s="19">
        <f>O1338</f>
        <v/>
      </c>
      <c r="P1339" s="4">
        <f>交易明細!L671</f>
        <v/>
      </c>
      <c r="Q1339" s="13">
        <f>IF(N1339="已下單",O1339*P1339,0)</f>
        <v/>
      </c>
      <c r="R1339" s="13">
        <f>R1338+Q1339</f>
        <v/>
      </c>
      <c r="S1339" s="19">
        <f>S1338-IF(N1339="已下單",M1339,0)</f>
        <v/>
      </c>
      <c r="T1339" s="19">
        <f>R1339-S1339</f>
        <v/>
      </c>
      <c r="U1339" s="2">
        <f>U1338-IF(N1339="已下單",1,0)</f>
        <v/>
      </c>
      <c r="V1339" s="19">
        <f>IF(資金模擬!$B$9=2,MAX(R1339,0),MAX(V1338,FLOOR(MAX(R1339,0),資金模擬!$B$6)))</f>
        <v/>
      </c>
      <c r="W1339" s="13">
        <f>MAX(W1338,R1339)</f>
        <v/>
      </c>
      <c r="X1339" s="4">
        <f>IF(W1339&gt;0,R1339/W1339-1,-1)</f>
        <v/>
      </c>
      <c r="Y1339" s="19">
        <f>IF(R1339&gt;0,S1339*資金模擬!$B$7/R1339,0)</f>
        <v/>
      </c>
      <c r="Z1339" s="2">
        <f>IF(OR(Z1338=1,R1339&lt;=資金模擬!$B$10),1,0)</f>
        <v/>
      </c>
    </row>
    <row r="1340">
      <c r="A1340" s="2" t="n">
        <v>1338</v>
      </c>
      <c r="B1340" s="7" t="n">
        <v>46301.70833333334</v>
      </c>
      <c r="C1340" s="2" t="inlineStr">
        <is>
          <t>進場</t>
        </is>
      </c>
      <c r="D1340" s="2" t="n">
        <v>671</v>
      </c>
      <c r="E1340" s="2" t="inlineStr">
        <is>
          <t>AIN_USDT_PERP</t>
        </is>
      </c>
      <c r="F1340" s="2" t="inlineStr">
        <is>
          <t>做空</t>
        </is>
      </c>
      <c r="G1340" s="20" t="n">
        <v>0.05618</v>
      </c>
      <c r="H1340" s="20" t="n">
        <v>0.0544946</v>
      </c>
      <c r="I1340" s="20" t="n">
        <v>0.05898900000000001</v>
      </c>
      <c r="J1340" s="20" t="n"/>
      <c r="K1340" s="2" t="n"/>
      <c r="L1340" s="5" t="n"/>
      <c r="M1340" s="19">
        <f>資金模擬!$B$5*V1339</f>
        <v/>
      </c>
      <c r="N1340" s="2">
        <f>IF(Z1339=1,"已停止",IF(T1339&gt;=M1340,"已下單","資金不足略過"))</f>
        <v/>
      </c>
      <c r="O1340" s="19">
        <f>IF(N1340="已下單",M1340*資金模擬!$B$7,0)</f>
        <v/>
      </c>
      <c r="P1340" s="4" t="n"/>
      <c r="Q1340" s="13" t="n">
        <v>0</v>
      </c>
      <c r="R1340" s="13">
        <f>R1339+Q1340</f>
        <v/>
      </c>
      <c r="S1340" s="19">
        <f>S1339+IF(N1340="已下單",M1340,0)</f>
        <v/>
      </c>
      <c r="T1340" s="19">
        <f>R1340-S1340</f>
        <v/>
      </c>
      <c r="U1340" s="2">
        <f>U1339+IF(N1340="已下單",1,0)</f>
        <v/>
      </c>
      <c r="V1340" s="19">
        <f>IF(資金模擬!$B$9=2,MAX(R1340,0),MAX(V1339,FLOOR(MAX(R1340,0),資金模擬!$B$6)))</f>
        <v/>
      </c>
      <c r="W1340" s="13">
        <f>MAX(W1339,R1340)</f>
        <v/>
      </c>
      <c r="X1340" s="4">
        <f>IF(W1340&gt;0,R1340/W1340-1,-1)</f>
        <v/>
      </c>
      <c r="Y1340" s="19">
        <f>IF(R1340&gt;0,S1340*資金模擬!$B$7/R1340,0)</f>
        <v/>
      </c>
      <c r="Z1340" s="2">
        <f>IF(OR(Z1339=1,R1340&lt;=資金模擬!$B$10),1,0)</f>
        <v/>
      </c>
    </row>
    <row r="1341">
      <c r="A1341" s="2" t="n">
        <v>1339</v>
      </c>
      <c r="B1341" s="7" t="n">
        <v>46301.75</v>
      </c>
      <c r="C1341" s="2" t="inlineStr">
        <is>
          <t>出場</t>
        </is>
      </c>
      <c r="D1341" s="2" t="n">
        <v>637</v>
      </c>
      <c r="E1341" s="2" t="inlineStr">
        <is>
          <t>ZEC_USDT_PERP</t>
        </is>
      </c>
      <c r="F1341" s="2" t="inlineStr">
        <is>
          <t>做空</t>
        </is>
      </c>
      <c r="G1341" s="20" t="n">
        <v>1304.61</v>
      </c>
      <c r="H1341" s="20" t="n">
        <v>1265.4717</v>
      </c>
      <c r="I1341" s="20" t="n">
        <v>1369.8405</v>
      </c>
      <c r="J1341" s="20" t="n">
        <v>1369.8405</v>
      </c>
      <c r="K1341" s="2" t="inlineStr">
        <is>
          <t>止損</t>
        </is>
      </c>
      <c r="L1341" s="5">
        <f>交易明細!K638</f>
        <v/>
      </c>
      <c r="M1341" s="19">
        <f>M1270</f>
        <v/>
      </c>
      <c r="N1341" s="2">
        <f>N1270</f>
        <v/>
      </c>
      <c r="O1341" s="19">
        <f>O1270</f>
        <v/>
      </c>
      <c r="P1341" s="4">
        <f>交易明細!L638</f>
        <v/>
      </c>
      <c r="Q1341" s="13">
        <f>IF(N1341="已下單",O1341*P1341,0)</f>
        <v/>
      </c>
      <c r="R1341" s="13">
        <f>R1340+Q1341</f>
        <v/>
      </c>
      <c r="S1341" s="19">
        <f>S1340-IF(N1341="已下單",M1341,0)</f>
        <v/>
      </c>
      <c r="T1341" s="19">
        <f>R1341-S1341</f>
        <v/>
      </c>
      <c r="U1341" s="2">
        <f>U1340-IF(N1341="已下單",1,0)</f>
        <v/>
      </c>
      <c r="V1341" s="19">
        <f>IF(資金模擬!$B$9=2,MAX(R1341,0),MAX(V1340,FLOOR(MAX(R1341,0),資金模擬!$B$6)))</f>
        <v/>
      </c>
      <c r="W1341" s="13">
        <f>MAX(W1340,R1341)</f>
        <v/>
      </c>
      <c r="X1341" s="4">
        <f>IF(W1341&gt;0,R1341/W1341-1,-1)</f>
        <v/>
      </c>
      <c r="Y1341" s="19">
        <f>IF(R1341&gt;0,S1341*資金模擬!$B$7/R1341,0)</f>
        <v/>
      </c>
      <c r="Z1341" s="2">
        <f>IF(OR(Z1340=1,R1341&lt;=資金模擬!$B$10),1,0)</f>
        <v/>
      </c>
    </row>
    <row r="1342">
      <c r="A1342" s="2" t="n">
        <v>1340</v>
      </c>
      <c r="B1342" s="7" t="n">
        <v>46301.75</v>
      </c>
      <c r="C1342" s="2" t="inlineStr">
        <is>
          <t>出場</t>
        </is>
      </c>
      <c r="D1342" s="2" t="n">
        <v>671</v>
      </c>
      <c r="E1342" s="2" t="inlineStr">
        <is>
          <t>AIN_USDT_PERP</t>
        </is>
      </c>
      <c r="F1342" s="2" t="inlineStr">
        <is>
          <t>做空</t>
        </is>
      </c>
      <c r="G1342" s="20" t="n">
        <v>0.05618</v>
      </c>
      <c r="H1342" s="20" t="n">
        <v>0.0544946</v>
      </c>
      <c r="I1342" s="20" t="n">
        <v>0.05898900000000001</v>
      </c>
      <c r="J1342" s="20" t="n">
        <v>0.0544946</v>
      </c>
      <c r="K1342" s="2" t="inlineStr">
        <is>
          <t>止盈</t>
        </is>
      </c>
      <c r="L1342" s="5">
        <f>交易明細!K672</f>
        <v/>
      </c>
      <c r="M1342" s="19">
        <f>M1340</f>
        <v/>
      </c>
      <c r="N1342" s="2">
        <f>N1340</f>
        <v/>
      </c>
      <c r="O1342" s="19">
        <f>O1340</f>
        <v/>
      </c>
      <c r="P1342" s="4">
        <f>交易明細!L672</f>
        <v/>
      </c>
      <c r="Q1342" s="13">
        <f>IF(N1342="已下單",O1342*P1342,0)</f>
        <v/>
      </c>
      <c r="R1342" s="13">
        <f>R1341+Q1342</f>
        <v/>
      </c>
      <c r="S1342" s="19">
        <f>S1341-IF(N1342="已下單",M1342,0)</f>
        <v/>
      </c>
      <c r="T1342" s="19">
        <f>R1342-S1342</f>
        <v/>
      </c>
      <c r="U1342" s="2">
        <f>U1341-IF(N1342="已下單",1,0)</f>
        <v/>
      </c>
      <c r="V1342" s="19">
        <f>IF(資金模擬!$B$9=2,MAX(R1342,0),MAX(V1341,FLOOR(MAX(R1342,0),資金模擬!$B$6)))</f>
        <v/>
      </c>
      <c r="W1342" s="13">
        <f>MAX(W1341,R1342)</f>
        <v/>
      </c>
      <c r="X1342" s="4">
        <f>IF(W1342&gt;0,R1342/W1342-1,-1)</f>
        <v/>
      </c>
      <c r="Y1342" s="19">
        <f>IF(R1342&gt;0,S1342*資金模擬!$B$7/R1342,0)</f>
        <v/>
      </c>
      <c r="Z1342" s="2">
        <f>IF(OR(Z1341=1,R1342&lt;=資金模擬!$B$10),1,0)</f>
        <v/>
      </c>
    </row>
    <row r="1343">
      <c r="A1343" s="2" t="n">
        <v>1341</v>
      </c>
      <c r="B1343" s="7" t="n">
        <v>46301.75</v>
      </c>
      <c r="C1343" s="2" t="inlineStr">
        <is>
          <t>進場</t>
        </is>
      </c>
      <c r="D1343" s="2" t="n">
        <v>672</v>
      </c>
      <c r="E1343" s="2" t="inlineStr">
        <is>
          <t>MUBARAK_USDT_PERP</t>
        </is>
      </c>
      <c r="F1343" s="2" t="inlineStr">
        <is>
          <t>做多</t>
        </is>
      </c>
      <c r="G1343" s="20" t="n">
        <v>0.07776</v>
      </c>
      <c r="H1343" s="20" t="n">
        <v>0.08009279999999999</v>
      </c>
      <c r="I1343" s="20" t="n">
        <v>0.07387199999999999</v>
      </c>
      <c r="J1343" s="20" t="n"/>
      <c r="K1343" s="2" t="n"/>
      <c r="L1343" s="5" t="n"/>
      <c r="M1343" s="19">
        <f>資金模擬!$B$5*V1342</f>
        <v/>
      </c>
      <c r="N1343" s="2">
        <f>IF(Z1342=1,"已停止",IF(T1342&gt;=M1343,"已下單","資金不足略過"))</f>
        <v/>
      </c>
      <c r="O1343" s="19">
        <f>IF(N1343="已下單",M1343*資金模擬!$B$7,0)</f>
        <v/>
      </c>
      <c r="P1343" s="4" t="n"/>
      <c r="Q1343" s="13" t="n">
        <v>0</v>
      </c>
      <c r="R1343" s="13">
        <f>R1342+Q1343</f>
        <v/>
      </c>
      <c r="S1343" s="19">
        <f>S1342+IF(N1343="已下單",M1343,0)</f>
        <v/>
      </c>
      <c r="T1343" s="19">
        <f>R1343-S1343</f>
        <v/>
      </c>
      <c r="U1343" s="2">
        <f>U1342+IF(N1343="已下單",1,0)</f>
        <v/>
      </c>
      <c r="V1343" s="19">
        <f>IF(資金模擬!$B$9=2,MAX(R1343,0),MAX(V1342,FLOOR(MAX(R1343,0),資金模擬!$B$6)))</f>
        <v/>
      </c>
      <c r="W1343" s="13">
        <f>MAX(W1342,R1343)</f>
        <v/>
      </c>
      <c r="X1343" s="4">
        <f>IF(W1343&gt;0,R1343/W1343-1,-1)</f>
        <v/>
      </c>
      <c r="Y1343" s="19">
        <f>IF(R1343&gt;0,S1343*資金模擬!$B$7/R1343,0)</f>
        <v/>
      </c>
      <c r="Z1343" s="2">
        <f>IF(OR(Z1342=1,R1343&lt;=資金模擬!$B$10),1,0)</f>
        <v/>
      </c>
    </row>
    <row r="1344">
      <c r="A1344" s="2" t="n">
        <v>1342</v>
      </c>
      <c r="B1344" s="7" t="n">
        <v>46302.125</v>
      </c>
      <c r="C1344" s="2" t="inlineStr">
        <is>
          <t>出場</t>
        </is>
      </c>
      <c r="D1344" s="2" t="n">
        <v>663</v>
      </c>
      <c r="E1344" s="2" t="inlineStr">
        <is>
          <t>FET_USDT_PERP</t>
        </is>
      </c>
      <c r="F1344" s="2" t="inlineStr">
        <is>
          <t>做空</t>
        </is>
      </c>
      <c r="G1344" s="20" t="n">
        <v>0.2492</v>
      </c>
      <c r="H1344" s="20" t="n">
        <v>0.241724</v>
      </c>
      <c r="I1344" s="20" t="n">
        <v>0.26166</v>
      </c>
      <c r="J1344" s="20" t="n">
        <v>0.241724</v>
      </c>
      <c r="K1344" s="2" t="inlineStr">
        <is>
          <t>止盈</t>
        </is>
      </c>
      <c r="L1344" s="5">
        <f>交易明細!K664</f>
        <v/>
      </c>
      <c r="M1344" s="19">
        <f>M1325</f>
        <v/>
      </c>
      <c r="N1344" s="2">
        <f>N1325</f>
        <v/>
      </c>
      <c r="O1344" s="19">
        <f>O1325</f>
        <v/>
      </c>
      <c r="P1344" s="4">
        <f>交易明細!L664</f>
        <v/>
      </c>
      <c r="Q1344" s="13">
        <f>IF(N1344="已下單",O1344*P1344,0)</f>
        <v/>
      </c>
      <c r="R1344" s="13">
        <f>R1343+Q1344</f>
        <v/>
      </c>
      <c r="S1344" s="19">
        <f>S1343-IF(N1344="已下單",M1344,0)</f>
        <v/>
      </c>
      <c r="T1344" s="19">
        <f>R1344-S1344</f>
        <v/>
      </c>
      <c r="U1344" s="2">
        <f>U1343-IF(N1344="已下單",1,0)</f>
        <v/>
      </c>
      <c r="V1344" s="19">
        <f>IF(資金模擬!$B$9=2,MAX(R1344,0),MAX(V1343,FLOOR(MAX(R1344,0),資金模擬!$B$6)))</f>
        <v/>
      </c>
      <c r="W1344" s="13">
        <f>MAX(W1343,R1344)</f>
        <v/>
      </c>
      <c r="X1344" s="4">
        <f>IF(W1344&gt;0,R1344/W1344-1,-1)</f>
        <v/>
      </c>
      <c r="Y1344" s="19">
        <f>IF(R1344&gt;0,S1344*資金模擬!$B$7/R1344,0)</f>
        <v/>
      </c>
      <c r="Z1344" s="2">
        <f>IF(OR(Z1343=1,R1344&lt;=資金模擬!$B$10),1,0)</f>
        <v/>
      </c>
    </row>
    <row r="1345">
      <c r="A1345" s="2" t="n">
        <v>1343</v>
      </c>
      <c r="B1345" s="7" t="n">
        <v>46302.16666666666</v>
      </c>
      <c r="C1345" s="2" t="inlineStr">
        <is>
          <t>出場</t>
        </is>
      </c>
      <c r="D1345" s="2" t="n">
        <v>669</v>
      </c>
      <c r="E1345" s="2" t="inlineStr">
        <is>
          <t>NIL_USDT_PERP</t>
        </is>
      </c>
      <c r="F1345" s="2" t="inlineStr">
        <is>
          <t>做空</t>
        </is>
      </c>
      <c r="G1345" s="20" t="n">
        <v>0.10057</v>
      </c>
      <c r="H1345" s="20" t="n">
        <v>0.0975529</v>
      </c>
      <c r="I1345" s="20" t="n">
        <v>0.1055985</v>
      </c>
      <c r="J1345" s="20" t="n">
        <v>0.0975529</v>
      </c>
      <c r="K1345" s="2" t="inlineStr">
        <is>
          <t>止盈</t>
        </is>
      </c>
      <c r="L1345" s="5">
        <f>交易明細!K670</f>
        <v/>
      </c>
      <c r="M1345" s="19">
        <f>M1335</f>
        <v/>
      </c>
      <c r="N1345" s="2">
        <f>N1335</f>
        <v/>
      </c>
      <c r="O1345" s="19">
        <f>O1335</f>
        <v/>
      </c>
      <c r="P1345" s="4">
        <f>交易明細!L670</f>
        <v/>
      </c>
      <c r="Q1345" s="13">
        <f>IF(N1345="已下單",O1345*P1345,0)</f>
        <v/>
      </c>
      <c r="R1345" s="13">
        <f>R1344+Q1345</f>
        <v/>
      </c>
      <c r="S1345" s="19">
        <f>S1344-IF(N1345="已下單",M1345,0)</f>
        <v/>
      </c>
      <c r="T1345" s="19">
        <f>R1345-S1345</f>
        <v/>
      </c>
      <c r="U1345" s="2">
        <f>U1344-IF(N1345="已下單",1,0)</f>
        <v/>
      </c>
      <c r="V1345" s="19">
        <f>IF(資金模擬!$B$9=2,MAX(R1345,0),MAX(V1344,FLOOR(MAX(R1345,0),資金模擬!$B$6)))</f>
        <v/>
      </c>
      <c r="W1345" s="13">
        <f>MAX(W1344,R1345)</f>
        <v/>
      </c>
      <c r="X1345" s="4">
        <f>IF(W1345&gt;0,R1345/W1345-1,-1)</f>
        <v/>
      </c>
      <c r="Y1345" s="19">
        <f>IF(R1345&gt;0,S1345*資金模擬!$B$7/R1345,0)</f>
        <v/>
      </c>
      <c r="Z1345" s="2">
        <f>IF(OR(Z1344=1,R1345&lt;=資金模擬!$B$10),1,0)</f>
        <v/>
      </c>
    </row>
    <row r="1346">
      <c r="A1346" s="2" t="n">
        <v>1344</v>
      </c>
      <c r="B1346" s="7" t="n">
        <v>46302.20833333334</v>
      </c>
      <c r="C1346" s="2" t="inlineStr">
        <is>
          <t>進場</t>
        </is>
      </c>
      <c r="D1346" s="2" t="n">
        <v>673</v>
      </c>
      <c r="E1346" s="2" t="inlineStr">
        <is>
          <t>PUMP_USDT_PERP</t>
        </is>
      </c>
      <c r="F1346" s="2" t="inlineStr">
        <is>
          <t>做空</t>
        </is>
      </c>
      <c r="G1346" s="20" t="n">
        <v>0.006211</v>
      </c>
      <c r="H1346" s="20" t="n">
        <v>0.00602467</v>
      </c>
      <c r="I1346" s="20" t="n">
        <v>0.006521550000000001</v>
      </c>
      <c r="J1346" s="20" t="n"/>
      <c r="K1346" s="2" t="n"/>
      <c r="L1346" s="5" t="n"/>
      <c r="M1346" s="19">
        <f>資金模擬!$B$5*V1345</f>
        <v/>
      </c>
      <c r="N1346" s="2">
        <f>IF(Z1345=1,"已停止",IF(T1345&gt;=M1346,"已下單","資金不足略過"))</f>
        <v/>
      </c>
      <c r="O1346" s="19">
        <f>IF(N1346="已下單",M1346*資金模擬!$B$7,0)</f>
        <v/>
      </c>
      <c r="P1346" s="4" t="n"/>
      <c r="Q1346" s="13" t="n">
        <v>0</v>
      </c>
      <c r="R1346" s="13">
        <f>R1345+Q1346</f>
        <v/>
      </c>
      <c r="S1346" s="19">
        <f>S1345+IF(N1346="已下單",M1346,0)</f>
        <v/>
      </c>
      <c r="T1346" s="19">
        <f>R1346-S1346</f>
        <v/>
      </c>
      <c r="U1346" s="2">
        <f>U1345+IF(N1346="已下單",1,0)</f>
        <v/>
      </c>
      <c r="V1346" s="19">
        <f>IF(資金模擬!$B$9=2,MAX(R1346,0),MAX(V1345,FLOOR(MAX(R1346,0),資金模擬!$B$6)))</f>
        <v/>
      </c>
      <c r="W1346" s="13">
        <f>MAX(W1345,R1346)</f>
        <v/>
      </c>
      <c r="X1346" s="4">
        <f>IF(W1346&gt;0,R1346/W1346-1,-1)</f>
        <v/>
      </c>
      <c r="Y1346" s="19">
        <f>IF(R1346&gt;0,S1346*資金模擬!$B$7/R1346,0)</f>
        <v/>
      </c>
      <c r="Z1346" s="2">
        <f>IF(OR(Z1345=1,R1346&lt;=資金模擬!$B$10),1,0)</f>
        <v/>
      </c>
    </row>
    <row r="1347">
      <c r="A1347" s="2" t="n">
        <v>1345</v>
      </c>
      <c r="B1347" s="7" t="n">
        <v>46302.375</v>
      </c>
      <c r="C1347" s="2" t="inlineStr">
        <is>
          <t>進場</t>
        </is>
      </c>
      <c r="D1347" s="2" t="n">
        <v>674</v>
      </c>
      <c r="E1347" s="2" t="inlineStr">
        <is>
          <t>BR_USDT_PERP</t>
        </is>
      </c>
      <c r="F1347" s="2" t="inlineStr">
        <is>
          <t>做多</t>
        </is>
      </c>
      <c r="G1347" s="20" t="n">
        <v>0.60021</v>
      </c>
      <c r="H1347" s="20" t="n">
        <v>0.6182163000000001</v>
      </c>
      <c r="I1347" s="20" t="n">
        <v>0.5701995</v>
      </c>
      <c r="J1347" s="20" t="n"/>
      <c r="K1347" s="2" t="n"/>
      <c r="L1347" s="5" t="n"/>
      <c r="M1347" s="19">
        <f>資金模擬!$B$5*V1346</f>
        <v/>
      </c>
      <c r="N1347" s="2">
        <f>IF(Z1346=1,"已停止",IF(T1346&gt;=M1347,"已下單","資金不足略過"))</f>
        <v/>
      </c>
      <c r="O1347" s="19">
        <f>IF(N1347="已下單",M1347*資金模擬!$B$7,0)</f>
        <v/>
      </c>
      <c r="P1347" s="4" t="n"/>
      <c r="Q1347" s="13" t="n">
        <v>0</v>
      </c>
      <c r="R1347" s="13">
        <f>R1346+Q1347</f>
        <v/>
      </c>
      <c r="S1347" s="19">
        <f>S1346+IF(N1347="已下單",M1347,0)</f>
        <v/>
      </c>
      <c r="T1347" s="19">
        <f>R1347-S1347</f>
        <v/>
      </c>
      <c r="U1347" s="2">
        <f>U1346+IF(N1347="已下單",1,0)</f>
        <v/>
      </c>
      <c r="V1347" s="19">
        <f>IF(資金模擬!$B$9=2,MAX(R1347,0),MAX(V1346,FLOOR(MAX(R1347,0),資金模擬!$B$6)))</f>
        <v/>
      </c>
      <c r="W1347" s="13">
        <f>MAX(W1346,R1347)</f>
        <v/>
      </c>
      <c r="X1347" s="4">
        <f>IF(W1347&gt;0,R1347/W1347-1,-1)</f>
        <v/>
      </c>
      <c r="Y1347" s="19">
        <f>IF(R1347&gt;0,S1347*資金模擬!$B$7/R1347,0)</f>
        <v/>
      </c>
      <c r="Z1347" s="2">
        <f>IF(OR(Z1346=1,R1347&lt;=資金模擬!$B$10),1,0)</f>
        <v/>
      </c>
    </row>
    <row r="1348">
      <c r="A1348" s="2" t="n">
        <v>1346</v>
      </c>
      <c r="B1348" s="7" t="n">
        <v>46302.41666666666</v>
      </c>
      <c r="C1348" s="2" t="inlineStr">
        <is>
          <t>出場</t>
        </is>
      </c>
      <c r="D1348" s="2" t="n">
        <v>674</v>
      </c>
      <c r="E1348" s="2" t="inlineStr">
        <is>
          <t>BR_USDT_PERP</t>
        </is>
      </c>
      <c r="F1348" s="2" t="inlineStr">
        <is>
          <t>做多</t>
        </is>
      </c>
      <c r="G1348" s="20" t="n">
        <v>0.60021</v>
      </c>
      <c r="H1348" s="20" t="n">
        <v>0.6182163000000001</v>
      </c>
      <c r="I1348" s="20" t="n">
        <v>0.5701995</v>
      </c>
      <c r="J1348" s="20" t="n">
        <v>0.5701995</v>
      </c>
      <c r="K1348" s="2" t="inlineStr">
        <is>
          <t>止損</t>
        </is>
      </c>
      <c r="L1348" s="5">
        <f>交易明細!K675</f>
        <v/>
      </c>
      <c r="M1348" s="19">
        <f>M1347</f>
        <v/>
      </c>
      <c r="N1348" s="2">
        <f>N1347</f>
        <v/>
      </c>
      <c r="O1348" s="19">
        <f>O1347</f>
        <v/>
      </c>
      <c r="P1348" s="4">
        <f>交易明細!L675</f>
        <v/>
      </c>
      <c r="Q1348" s="13">
        <f>IF(N1348="已下單",O1348*P1348,0)</f>
        <v/>
      </c>
      <c r="R1348" s="13">
        <f>R1347+Q1348</f>
        <v/>
      </c>
      <c r="S1348" s="19">
        <f>S1347-IF(N1348="已下單",M1348,0)</f>
        <v/>
      </c>
      <c r="T1348" s="19">
        <f>R1348-S1348</f>
        <v/>
      </c>
      <c r="U1348" s="2">
        <f>U1347-IF(N1348="已下單",1,0)</f>
        <v/>
      </c>
      <c r="V1348" s="19">
        <f>IF(資金模擬!$B$9=2,MAX(R1348,0),MAX(V1347,FLOOR(MAX(R1348,0),資金模擬!$B$6)))</f>
        <v/>
      </c>
      <c r="W1348" s="13">
        <f>MAX(W1347,R1348)</f>
        <v/>
      </c>
      <c r="X1348" s="4">
        <f>IF(W1348&gt;0,R1348/W1348-1,-1)</f>
        <v/>
      </c>
      <c r="Y1348" s="19">
        <f>IF(R1348&gt;0,S1348*資金模擬!$B$7/R1348,0)</f>
        <v/>
      </c>
      <c r="Z1348" s="2">
        <f>IF(OR(Z1347=1,R1348&lt;=資金模擬!$B$10),1,0)</f>
        <v/>
      </c>
    </row>
    <row r="1349">
      <c r="A1349" s="2" t="n">
        <v>1347</v>
      </c>
      <c r="B1349" s="7" t="n">
        <v>46302.41666666666</v>
      </c>
      <c r="C1349" s="2" t="inlineStr">
        <is>
          <t>進場</t>
        </is>
      </c>
      <c r="D1349" s="2" t="n">
        <v>675</v>
      </c>
      <c r="E1349" s="2" t="inlineStr">
        <is>
          <t>API3_USDT_PERP</t>
        </is>
      </c>
      <c r="F1349" s="2" t="inlineStr">
        <is>
          <t>做空</t>
        </is>
      </c>
      <c r="G1349" s="20" t="n">
        <v>0.3407</v>
      </c>
      <c r="H1349" s="20" t="n">
        <v>0.330479</v>
      </c>
      <c r="I1349" s="20" t="n">
        <v>0.357735</v>
      </c>
      <c r="J1349" s="20" t="n"/>
      <c r="K1349" s="2" t="n"/>
      <c r="L1349" s="5" t="n"/>
      <c r="M1349" s="19">
        <f>資金模擬!$B$5*V1348</f>
        <v/>
      </c>
      <c r="N1349" s="2">
        <f>IF(Z1348=1,"已停止",IF(T1348&gt;=M1349,"已下單","資金不足略過"))</f>
        <v/>
      </c>
      <c r="O1349" s="19">
        <f>IF(N1349="已下單",M1349*資金模擬!$B$7,0)</f>
        <v/>
      </c>
      <c r="P1349" s="4" t="n"/>
      <c r="Q1349" s="13" t="n">
        <v>0</v>
      </c>
      <c r="R1349" s="13">
        <f>R1348+Q1349</f>
        <v/>
      </c>
      <c r="S1349" s="19">
        <f>S1348+IF(N1349="已下單",M1349,0)</f>
        <v/>
      </c>
      <c r="T1349" s="19">
        <f>R1349-S1349</f>
        <v/>
      </c>
      <c r="U1349" s="2">
        <f>U1348+IF(N1349="已下單",1,0)</f>
        <v/>
      </c>
      <c r="V1349" s="19">
        <f>IF(資金模擬!$B$9=2,MAX(R1349,0),MAX(V1348,FLOOR(MAX(R1349,0),資金模擬!$B$6)))</f>
        <v/>
      </c>
      <c r="W1349" s="13">
        <f>MAX(W1348,R1349)</f>
        <v/>
      </c>
      <c r="X1349" s="4">
        <f>IF(W1349&gt;0,R1349/W1349-1,-1)</f>
        <v/>
      </c>
      <c r="Y1349" s="19">
        <f>IF(R1349&gt;0,S1349*資金模擬!$B$7/R1349,0)</f>
        <v/>
      </c>
      <c r="Z1349" s="2">
        <f>IF(OR(Z1348=1,R1349&lt;=資金模擬!$B$10),1,0)</f>
        <v/>
      </c>
    </row>
    <row r="1350">
      <c r="A1350" s="2" t="n">
        <v>1348</v>
      </c>
      <c r="B1350" s="7" t="n">
        <v>46302.45833333334</v>
      </c>
      <c r="C1350" s="2" t="inlineStr">
        <is>
          <t>出場</t>
        </is>
      </c>
      <c r="D1350" s="2" t="n">
        <v>673</v>
      </c>
      <c r="E1350" s="2" t="inlineStr">
        <is>
          <t>PUMP_USDT_PERP</t>
        </is>
      </c>
      <c r="F1350" s="2" t="inlineStr">
        <is>
          <t>做空</t>
        </is>
      </c>
      <c r="G1350" s="20" t="n">
        <v>0.006211</v>
      </c>
      <c r="H1350" s="20" t="n">
        <v>0.00602467</v>
      </c>
      <c r="I1350" s="20" t="n">
        <v>0.006521550000000001</v>
      </c>
      <c r="J1350" s="20" t="n">
        <v>0.00602467</v>
      </c>
      <c r="K1350" s="2" t="inlineStr">
        <is>
          <t>止盈</t>
        </is>
      </c>
      <c r="L1350" s="5">
        <f>交易明細!K674</f>
        <v/>
      </c>
      <c r="M1350" s="19">
        <f>M1346</f>
        <v/>
      </c>
      <c r="N1350" s="2">
        <f>N1346</f>
        <v/>
      </c>
      <c r="O1350" s="19">
        <f>O1346</f>
        <v/>
      </c>
      <c r="P1350" s="4">
        <f>交易明細!L674</f>
        <v/>
      </c>
      <c r="Q1350" s="13">
        <f>IF(N1350="已下單",O1350*P1350,0)</f>
        <v/>
      </c>
      <c r="R1350" s="13">
        <f>R1349+Q1350</f>
        <v/>
      </c>
      <c r="S1350" s="19">
        <f>S1349-IF(N1350="已下單",M1350,0)</f>
        <v/>
      </c>
      <c r="T1350" s="19">
        <f>R1350-S1350</f>
        <v/>
      </c>
      <c r="U1350" s="2">
        <f>U1349-IF(N1350="已下單",1,0)</f>
        <v/>
      </c>
      <c r="V1350" s="19">
        <f>IF(資金模擬!$B$9=2,MAX(R1350,0),MAX(V1349,FLOOR(MAX(R1350,0),資金模擬!$B$6)))</f>
        <v/>
      </c>
      <c r="W1350" s="13">
        <f>MAX(W1349,R1350)</f>
        <v/>
      </c>
      <c r="X1350" s="4">
        <f>IF(W1350&gt;0,R1350/W1350-1,-1)</f>
        <v/>
      </c>
      <c r="Y1350" s="19">
        <f>IF(R1350&gt;0,S1350*資金模擬!$B$7/R1350,0)</f>
        <v/>
      </c>
      <c r="Z1350" s="2">
        <f>IF(OR(Z1349=1,R1350&lt;=資金模擬!$B$10),1,0)</f>
        <v/>
      </c>
    </row>
    <row r="1351">
      <c r="A1351" s="2" t="n">
        <v>1349</v>
      </c>
      <c r="B1351" s="7" t="n">
        <v>46302.45833333334</v>
      </c>
      <c r="C1351" s="2" t="inlineStr">
        <is>
          <t>出場</t>
        </is>
      </c>
      <c r="D1351" s="2" t="n">
        <v>675</v>
      </c>
      <c r="E1351" s="2" t="inlineStr">
        <is>
          <t>API3_USDT_PERP</t>
        </is>
      </c>
      <c r="F1351" s="2" t="inlineStr">
        <is>
          <t>做空</t>
        </is>
      </c>
      <c r="G1351" s="20" t="n">
        <v>0.3407</v>
      </c>
      <c r="H1351" s="20" t="n">
        <v>0.330479</v>
      </c>
      <c r="I1351" s="20" t="n">
        <v>0.357735</v>
      </c>
      <c r="J1351" s="20" t="n">
        <v>0.330479</v>
      </c>
      <c r="K1351" s="2" t="inlineStr">
        <is>
          <t>止盈</t>
        </is>
      </c>
      <c r="L1351" s="5">
        <f>交易明細!K676</f>
        <v/>
      </c>
      <c r="M1351" s="19">
        <f>M1349</f>
        <v/>
      </c>
      <c r="N1351" s="2">
        <f>N1349</f>
        <v/>
      </c>
      <c r="O1351" s="19">
        <f>O1349</f>
        <v/>
      </c>
      <c r="P1351" s="4">
        <f>交易明細!L676</f>
        <v/>
      </c>
      <c r="Q1351" s="13">
        <f>IF(N1351="已下單",O1351*P1351,0)</f>
        <v/>
      </c>
      <c r="R1351" s="13">
        <f>R1350+Q1351</f>
        <v/>
      </c>
      <c r="S1351" s="19">
        <f>S1350-IF(N1351="已下單",M1351,0)</f>
        <v/>
      </c>
      <c r="T1351" s="19">
        <f>R1351-S1351</f>
        <v/>
      </c>
      <c r="U1351" s="2">
        <f>U1350-IF(N1351="已下單",1,0)</f>
        <v/>
      </c>
      <c r="V1351" s="19">
        <f>IF(資金模擬!$B$9=2,MAX(R1351,0),MAX(V1350,FLOOR(MAX(R1351,0),資金模擬!$B$6)))</f>
        <v/>
      </c>
      <c r="W1351" s="13">
        <f>MAX(W1350,R1351)</f>
        <v/>
      </c>
      <c r="X1351" s="4">
        <f>IF(W1351&gt;0,R1351/W1351-1,-1)</f>
        <v/>
      </c>
      <c r="Y1351" s="19">
        <f>IF(R1351&gt;0,S1351*資金模擬!$B$7/R1351,0)</f>
        <v/>
      </c>
      <c r="Z1351" s="2">
        <f>IF(OR(Z1350=1,R1351&lt;=資金模擬!$B$10),1,0)</f>
        <v/>
      </c>
    </row>
    <row r="1352">
      <c r="A1352" s="2" t="n">
        <v>1350</v>
      </c>
      <c r="B1352" s="7" t="n">
        <v>46302.5</v>
      </c>
      <c r="C1352" s="2" t="inlineStr">
        <is>
          <t>進場</t>
        </is>
      </c>
      <c r="D1352" s="2" t="n">
        <v>676</v>
      </c>
      <c r="E1352" s="2" t="inlineStr">
        <is>
          <t>PONS_USDT_PERP</t>
        </is>
      </c>
      <c r="F1352" s="2" t="inlineStr">
        <is>
          <t>做多</t>
        </is>
      </c>
      <c r="G1352" s="20" t="n">
        <v>0.413</v>
      </c>
      <c r="H1352" s="20" t="n">
        <v>0.42539</v>
      </c>
      <c r="I1352" s="20" t="n">
        <v>0.39235</v>
      </c>
      <c r="J1352" s="20" t="n"/>
      <c r="K1352" s="2" t="n"/>
      <c r="L1352" s="5" t="n"/>
      <c r="M1352" s="19">
        <f>資金模擬!$B$5*V1351</f>
        <v/>
      </c>
      <c r="N1352" s="2">
        <f>IF(Z1351=1,"已停止",IF(T1351&gt;=M1352,"已下單","資金不足略過"))</f>
        <v/>
      </c>
      <c r="O1352" s="19">
        <f>IF(N1352="已下單",M1352*資金模擬!$B$7,0)</f>
        <v/>
      </c>
      <c r="P1352" s="4" t="n"/>
      <c r="Q1352" s="13" t="n">
        <v>0</v>
      </c>
      <c r="R1352" s="13">
        <f>R1351+Q1352</f>
        <v/>
      </c>
      <c r="S1352" s="19">
        <f>S1351+IF(N1352="已下單",M1352,0)</f>
        <v/>
      </c>
      <c r="T1352" s="19">
        <f>R1352-S1352</f>
        <v/>
      </c>
      <c r="U1352" s="2">
        <f>U1351+IF(N1352="已下單",1,0)</f>
        <v/>
      </c>
      <c r="V1352" s="19">
        <f>IF(資金模擬!$B$9=2,MAX(R1352,0),MAX(V1351,FLOOR(MAX(R1352,0),資金模擬!$B$6)))</f>
        <v/>
      </c>
      <c r="W1352" s="13">
        <f>MAX(W1351,R1352)</f>
        <v/>
      </c>
      <c r="X1352" s="4">
        <f>IF(W1352&gt;0,R1352/W1352-1,-1)</f>
        <v/>
      </c>
      <c r="Y1352" s="19">
        <f>IF(R1352&gt;0,S1352*資金模擬!$B$7/R1352,0)</f>
        <v/>
      </c>
      <c r="Z1352" s="2">
        <f>IF(OR(Z1351=1,R1352&lt;=資金模擬!$B$10),1,0)</f>
        <v/>
      </c>
    </row>
    <row r="1353">
      <c r="A1353" s="2" t="n">
        <v>1351</v>
      </c>
      <c r="B1353" s="7" t="n">
        <v>46302.5</v>
      </c>
      <c r="C1353" s="2" t="inlineStr">
        <is>
          <t>進場</t>
        </is>
      </c>
      <c r="D1353" s="2" t="n">
        <v>677</v>
      </c>
      <c r="E1353" s="2" t="inlineStr">
        <is>
          <t>ZRO_USDT_PERP</t>
        </is>
      </c>
      <c r="F1353" s="2" t="inlineStr">
        <is>
          <t>做空</t>
        </is>
      </c>
      <c r="G1353" s="20" t="n">
        <v>2.1723</v>
      </c>
      <c r="H1353" s="20" t="n">
        <v>2.107131</v>
      </c>
      <c r="I1353" s="20" t="n">
        <v>2.280915</v>
      </c>
      <c r="J1353" s="20" t="n"/>
      <c r="K1353" s="2" t="n"/>
      <c r="L1353" s="5" t="n"/>
      <c r="M1353" s="19">
        <f>資金模擬!$B$5*V1352</f>
        <v/>
      </c>
      <c r="N1353" s="2">
        <f>IF(Z1352=1,"已停止",IF(T1352&gt;=M1353,"已下單","資金不足略過"))</f>
        <v/>
      </c>
      <c r="O1353" s="19">
        <f>IF(N1353="已下單",M1353*資金模擬!$B$7,0)</f>
        <v/>
      </c>
      <c r="P1353" s="4" t="n"/>
      <c r="Q1353" s="13" t="n">
        <v>0</v>
      </c>
      <c r="R1353" s="13">
        <f>R1352+Q1353</f>
        <v/>
      </c>
      <c r="S1353" s="19">
        <f>S1352+IF(N1353="已下單",M1353,0)</f>
        <v/>
      </c>
      <c r="T1353" s="19">
        <f>R1353-S1353</f>
        <v/>
      </c>
      <c r="U1353" s="2">
        <f>U1352+IF(N1353="已下單",1,0)</f>
        <v/>
      </c>
      <c r="V1353" s="19">
        <f>IF(資金模擬!$B$9=2,MAX(R1353,0),MAX(V1352,FLOOR(MAX(R1353,0),資金模擬!$B$6)))</f>
        <v/>
      </c>
      <c r="W1353" s="13">
        <f>MAX(W1352,R1353)</f>
        <v/>
      </c>
      <c r="X1353" s="4">
        <f>IF(W1353&gt;0,R1353/W1353-1,-1)</f>
        <v/>
      </c>
      <c r="Y1353" s="19">
        <f>IF(R1353&gt;0,S1353*資金模擬!$B$7/R1353,0)</f>
        <v/>
      </c>
      <c r="Z1353" s="2">
        <f>IF(OR(Z1352=1,R1353&lt;=資金模擬!$B$10),1,0)</f>
        <v/>
      </c>
    </row>
    <row r="1354">
      <c r="A1354" s="2" t="n">
        <v>1352</v>
      </c>
      <c r="B1354" s="7" t="n">
        <v>46302.58333333334</v>
      </c>
      <c r="C1354" s="2" t="inlineStr">
        <is>
          <t>進場</t>
        </is>
      </c>
      <c r="D1354" s="2" t="n">
        <v>678</v>
      </c>
      <c r="E1354" s="2" t="inlineStr">
        <is>
          <t>BR_USDT_PERP</t>
        </is>
      </c>
      <c r="F1354" s="2" t="inlineStr">
        <is>
          <t>做多</t>
        </is>
      </c>
      <c r="G1354" s="20" t="n">
        <v>0.59982</v>
      </c>
      <c r="H1354" s="20" t="n">
        <v>0.6178146</v>
      </c>
      <c r="I1354" s="20" t="n">
        <v>0.569829</v>
      </c>
      <c r="J1354" s="20" t="n"/>
      <c r="K1354" s="2" t="n"/>
      <c r="L1354" s="5" t="n"/>
      <c r="M1354" s="19">
        <f>資金模擬!$B$5*V1353</f>
        <v/>
      </c>
      <c r="N1354" s="2">
        <f>IF(Z1353=1,"已停止",IF(T1353&gt;=M1354,"已下單","資金不足略過"))</f>
        <v/>
      </c>
      <c r="O1354" s="19">
        <f>IF(N1354="已下單",M1354*資金模擬!$B$7,0)</f>
        <v/>
      </c>
      <c r="P1354" s="4" t="n"/>
      <c r="Q1354" s="13" t="n">
        <v>0</v>
      </c>
      <c r="R1354" s="13">
        <f>R1353+Q1354</f>
        <v/>
      </c>
      <c r="S1354" s="19">
        <f>S1353+IF(N1354="已下單",M1354,0)</f>
        <v/>
      </c>
      <c r="T1354" s="19">
        <f>R1354-S1354</f>
        <v/>
      </c>
      <c r="U1354" s="2">
        <f>U1353+IF(N1354="已下單",1,0)</f>
        <v/>
      </c>
      <c r="V1354" s="19">
        <f>IF(資金模擬!$B$9=2,MAX(R1354,0),MAX(V1353,FLOOR(MAX(R1354,0),資金模擬!$B$6)))</f>
        <v/>
      </c>
      <c r="W1354" s="13">
        <f>MAX(W1353,R1354)</f>
        <v/>
      </c>
      <c r="X1354" s="4">
        <f>IF(W1354&gt;0,R1354/W1354-1,-1)</f>
        <v/>
      </c>
      <c r="Y1354" s="19">
        <f>IF(R1354&gt;0,S1354*資金模擬!$B$7/R1354,0)</f>
        <v/>
      </c>
      <c r="Z1354" s="2">
        <f>IF(OR(Z1353=1,R1354&lt;=資金模擬!$B$10),1,0)</f>
        <v/>
      </c>
    </row>
    <row r="1355">
      <c r="A1355" s="2" t="n">
        <v>1353</v>
      </c>
      <c r="B1355" s="7" t="n">
        <v>46302.58333333334</v>
      </c>
      <c r="C1355" s="2" t="inlineStr">
        <is>
          <t>進場</t>
        </is>
      </c>
      <c r="D1355" s="2" t="n">
        <v>679</v>
      </c>
      <c r="E1355" s="2" t="inlineStr">
        <is>
          <t>PUMP_USDT_PERP</t>
        </is>
      </c>
      <c r="F1355" s="2" t="inlineStr">
        <is>
          <t>做多</t>
        </is>
      </c>
      <c r="G1355" s="20" t="n">
        <v>0.006498</v>
      </c>
      <c r="H1355" s="20" t="n">
        <v>0.006692940000000001</v>
      </c>
      <c r="I1355" s="20" t="n">
        <v>0.0061731</v>
      </c>
      <c r="J1355" s="20" t="n"/>
      <c r="K1355" s="2" t="n"/>
      <c r="L1355" s="5" t="n"/>
      <c r="M1355" s="19">
        <f>資金模擬!$B$5*V1354</f>
        <v/>
      </c>
      <c r="N1355" s="2">
        <f>IF(Z1354=1,"已停止",IF(T1354&gt;=M1355,"已下單","資金不足略過"))</f>
        <v/>
      </c>
      <c r="O1355" s="19">
        <f>IF(N1355="已下單",M1355*資金模擬!$B$7,0)</f>
        <v/>
      </c>
      <c r="P1355" s="4" t="n"/>
      <c r="Q1355" s="13" t="n">
        <v>0</v>
      </c>
      <c r="R1355" s="13">
        <f>R1354+Q1355</f>
        <v/>
      </c>
      <c r="S1355" s="19">
        <f>S1354+IF(N1355="已下單",M1355,0)</f>
        <v/>
      </c>
      <c r="T1355" s="19">
        <f>R1355-S1355</f>
        <v/>
      </c>
      <c r="U1355" s="2">
        <f>U1354+IF(N1355="已下單",1,0)</f>
        <v/>
      </c>
      <c r="V1355" s="19">
        <f>IF(資金模擬!$B$9=2,MAX(R1355,0),MAX(V1354,FLOOR(MAX(R1355,0),資金模擬!$B$6)))</f>
        <v/>
      </c>
      <c r="W1355" s="13">
        <f>MAX(W1354,R1355)</f>
        <v/>
      </c>
      <c r="X1355" s="4">
        <f>IF(W1355&gt;0,R1355/W1355-1,-1)</f>
        <v/>
      </c>
      <c r="Y1355" s="19">
        <f>IF(R1355&gt;0,S1355*資金模擬!$B$7/R1355,0)</f>
        <v/>
      </c>
      <c r="Z1355" s="2">
        <f>IF(OR(Z1354=1,R1355&lt;=資金模擬!$B$10),1,0)</f>
        <v/>
      </c>
    </row>
    <row r="1356">
      <c r="A1356" s="2" t="n">
        <v>1354</v>
      </c>
      <c r="B1356" s="7" t="n">
        <v>46302.625</v>
      </c>
      <c r="C1356" s="2" t="inlineStr">
        <is>
          <t>出場</t>
        </is>
      </c>
      <c r="D1356" s="2" t="n">
        <v>678</v>
      </c>
      <c r="E1356" s="2" t="inlineStr">
        <is>
          <t>BR_USDT_PERP</t>
        </is>
      </c>
      <c r="F1356" s="2" t="inlineStr">
        <is>
          <t>做多</t>
        </is>
      </c>
      <c r="G1356" s="20" t="n">
        <v>0.59982</v>
      </c>
      <c r="H1356" s="20" t="n">
        <v>0.6178146</v>
      </c>
      <c r="I1356" s="20" t="n">
        <v>0.569829</v>
      </c>
      <c r="J1356" s="20" t="n">
        <v>0.569829</v>
      </c>
      <c r="K1356" s="2" t="inlineStr">
        <is>
          <t>止損</t>
        </is>
      </c>
      <c r="L1356" s="5">
        <f>交易明細!K679</f>
        <v/>
      </c>
      <c r="M1356" s="19">
        <f>M1354</f>
        <v/>
      </c>
      <c r="N1356" s="2">
        <f>N1354</f>
        <v/>
      </c>
      <c r="O1356" s="19">
        <f>O1354</f>
        <v/>
      </c>
      <c r="P1356" s="4">
        <f>交易明細!L679</f>
        <v/>
      </c>
      <c r="Q1356" s="13">
        <f>IF(N1356="已下單",O1356*P1356,0)</f>
        <v/>
      </c>
      <c r="R1356" s="13">
        <f>R1355+Q1356</f>
        <v/>
      </c>
      <c r="S1356" s="19">
        <f>S1355-IF(N1356="已下單",M1356,0)</f>
        <v/>
      </c>
      <c r="T1356" s="19">
        <f>R1356-S1356</f>
        <v/>
      </c>
      <c r="U1356" s="2">
        <f>U1355-IF(N1356="已下單",1,0)</f>
        <v/>
      </c>
      <c r="V1356" s="19">
        <f>IF(資金模擬!$B$9=2,MAX(R1356,0),MAX(V1355,FLOOR(MAX(R1356,0),資金模擬!$B$6)))</f>
        <v/>
      </c>
      <c r="W1356" s="13">
        <f>MAX(W1355,R1356)</f>
        <v/>
      </c>
      <c r="X1356" s="4">
        <f>IF(W1356&gt;0,R1356/W1356-1,-1)</f>
        <v/>
      </c>
      <c r="Y1356" s="19">
        <f>IF(R1356&gt;0,S1356*資金模擬!$B$7/R1356,0)</f>
        <v/>
      </c>
      <c r="Z1356" s="2">
        <f>IF(OR(Z1355=1,R1356&lt;=資金模擬!$B$10),1,0)</f>
        <v/>
      </c>
    </row>
    <row r="1357">
      <c r="A1357" s="2" t="n">
        <v>1355</v>
      </c>
      <c r="B1357" s="7" t="n">
        <v>46302.625</v>
      </c>
      <c r="C1357" s="2" t="inlineStr">
        <is>
          <t>進場</t>
        </is>
      </c>
      <c r="D1357" s="2" t="n">
        <v>680</v>
      </c>
      <c r="E1357" s="2" t="inlineStr">
        <is>
          <t>US_USDT_PERP</t>
        </is>
      </c>
      <c r="F1357" s="2" t="inlineStr">
        <is>
          <t>做多</t>
        </is>
      </c>
      <c r="G1357" s="20" t="n">
        <v>0.01482</v>
      </c>
      <c r="H1357" s="20" t="n">
        <v>0.0152646</v>
      </c>
      <c r="I1357" s="20" t="n">
        <v>0.014079</v>
      </c>
      <c r="J1357" s="20" t="n"/>
      <c r="K1357" s="2" t="n"/>
      <c r="L1357" s="5" t="n"/>
      <c r="M1357" s="19">
        <f>資金模擬!$B$5*V1356</f>
        <v/>
      </c>
      <c r="N1357" s="2">
        <f>IF(Z1356=1,"已停止",IF(T1356&gt;=M1357,"已下單","資金不足略過"))</f>
        <v/>
      </c>
      <c r="O1357" s="19">
        <f>IF(N1357="已下單",M1357*資金模擬!$B$7,0)</f>
        <v/>
      </c>
      <c r="P1357" s="4" t="n"/>
      <c r="Q1357" s="13" t="n">
        <v>0</v>
      </c>
      <c r="R1357" s="13">
        <f>R1356+Q1357</f>
        <v/>
      </c>
      <c r="S1357" s="19">
        <f>S1356+IF(N1357="已下單",M1357,0)</f>
        <v/>
      </c>
      <c r="T1357" s="19">
        <f>R1357-S1357</f>
        <v/>
      </c>
      <c r="U1357" s="2">
        <f>U1356+IF(N1357="已下單",1,0)</f>
        <v/>
      </c>
      <c r="V1357" s="19">
        <f>IF(資金模擬!$B$9=2,MAX(R1357,0),MAX(V1356,FLOOR(MAX(R1357,0),資金模擬!$B$6)))</f>
        <v/>
      </c>
      <c r="W1357" s="13">
        <f>MAX(W1356,R1357)</f>
        <v/>
      </c>
      <c r="X1357" s="4">
        <f>IF(W1357&gt;0,R1357/W1357-1,-1)</f>
        <v/>
      </c>
      <c r="Y1357" s="19">
        <f>IF(R1357&gt;0,S1357*資金模擬!$B$7/R1357,0)</f>
        <v/>
      </c>
      <c r="Z1357" s="2">
        <f>IF(OR(Z1356=1,R1357&lt;=資金模擬!$B$10),1,0)</f>
        <v/>
      </c>
    </row>
    <row r="1358">
      <c r="A1358" s="2" t="n">
        <v>1356</v>
      </c>
      <c r="B1358" s="7" t="n">
        <v>46302.66666666666</v>
      </c>
      <c r="C1358" s="2" t="inlineStr">
        <is>
          <t>進場</t>
        </is>
      </c>
      <c r="D1358" s="2" t="n">
        <v>681</v>
      </c>
      <c r="E1358" s="2" t="inlineStr">
        <is>
          <t>NMR_USDT_PERP</t>
        </is>
      </c>
      <c r="F1358" s="2" t="inlineStr">
        <is>
          <t>做多</t>
        </is>
      </c>
      <c r="G1358" s="20" t="n">
        <v>16.872</v>
      </c>
      <c r="H1358" s="20" t="n">
        <v>17.37816</v>
      </c>
      <c r="I1358" s="20" t="n">
        <v>16.0284</v>
      </c>
      <c r="J1358" s="20" t="n"/>
      <c r="K1358" s="2" t="n"/>
      <c r="L1358" s="5" t="n"/>
      <c r="M1358" s="19">
        <f>資金模擬!$B$5*V1357</f>
        <v/>
      </c>
      <c r="N1358" s="2">
        <f>IF(Z1357=1,"已停止",IF(T1357&gt;=M1358,"已下單","資金不足略過"))</f>
        <v/>
      </c>
      <c r="O1358" s="19">
        <f>IF(N1358="已下單",M1358*資金模擬!$B$7,0)</f>
        <v/>
      </c>
      <c r="P1358" s="4" t="n"/>
      <c r="Q1358" s="13" t="n">
        <v>0</v>
      </c>
      <c r="R1358" s="13">
        <f>R1357+Q1358</f>
        <v/>
      </c>
      <c r="S1358" s="19">
        <f>S1357+IF(N1358="已下單",M1358,0)</f>
        <v/>
      </c>
      <c r="T1358" s="19">
        <f>R1358-S1358</f>
        <v/>
      </c>
      <c r="U1358" s="2">
        <f>U1357+IF(N1358="已下單",1,0)</f>
        <v/>
      </c>
      <c r="V1358" s="19">
        <f>IF(資金模擬!$B$9=2,MAX(R1358,0),MAX(V1357,FLOOR(MAX(R1358,0),資金模擬!$B$6)))</f>
        <v/>
      </c>
      <c r="W1358" s="13">
        <f>MAX(W1357,R1358)</f>
        <v/>
      </c>
      <c r="X1358" s="4">
        <f>IF(W1358&gt;0,R1358/W1358-1,-1)</f>
        <v/>
      </c>
      <c r="Y1358" s="19">
        <f>IF(R1358&gt;0,S1358*資金模擬!$B$7/R1358,0)</f>
        <v/>
      </c>
      <c r="Z1358" s="2">
        <f>IF(OR(Z1357=1,R1358&lt;=資金模擬!$B$10),1,0)</f>
        <v/>
      </c>
    </row>
    <row r="1359">
      <c r="A1359" s="2" t="n">
        <v>1357</v>
      </c>
      <c r="B1359" s="7" t="n">
        <v>46302.75</v>
      </c>
      <c r="C1359" s="2" t="inlineStr">
        <is>
          <t>進場</t>
        </is>
      </c>
      <c r="D1359" s="2" t="n">
        <v>682</v>
      </c>
      <c r="E1359" s="2" t="inlineStr">
        <is>
          <t>NEAR_USDT_PERP</t>
        </is>
      </c>
      <c r="F1359" s="2" t="inlineStr">
        <is>
          <t>做空</t>
        </is>
      </c>
      <c r="G1359" s="20" t="n">
        <v>4.979</v>
      </c>
      <c r="H1359" s="20" t="n">
        <v>4.82963</v>
      </c>
      <c r="I1359" s="20" t="n">
        <v>5.22795</v>
      </c>
      <c r="J1359" s="20" t="n"/>
      <c r="K1359" s="2" t="n"/>
      <c r="L1359" s="5" t="n"/>
      <c r="M1359" s="19">
        <f>資金模擬!$B$5*V1358</f>
        <v/>
      </c>
      <c r="N1359" s="2">
        <f>IF(Z1358=1,"已停止",IF(T1358&gt;=M1359,"已下單","資金不足略過"))</f>
        <v/>
      </c>
      <c r="O1359" s="19">
        <f>IF(N1359="已下單",M1359*資金模擬!$B$7,0)</f>
        <v/>
      </c>
      <c r="P1359" s="4" t="n"/>
      <c r="Q1359" s="13" t="n">
        <v>0</v>
      </c>
      <c r="R1359" s="13">
        <f>R1358+Q1359</f>
        <v/>
      </c>
      <c r="S1359" s="19">
        <f>S1358+IF(N1359="已下單",M1359,0)</f>
        <v/>
      </c>
      <c r="T1359" s="19">
        <f>R1359-S1359</f>
        <v/>
      </c>
      <c r="U1359" s="2">
        <f>U1358+IF(N1359="已下單",1,0)</f>
        <v/>
      </c>
      <c r="V1359" s="19">
        <f>IF(資金模擬!$B$9=2,MAX(R1359,0),MAX(V1358,FLOOR(MAX(R1359,0),資金模擬!$B$6)))</f>
        <v/>
      </c>
      <c r="W1359" s="13">
        <f>MAX(W1358,R1359)</f>
        <v/>
      </c>
      <c r="X1359" s="4">
        <f>IF(W1359&gt;0,R1359/W1359-1,-1)</f>
        <v/>
      </c>
      <c r="Y1359" s="19">
        <f>IF(R1359&gt;0,S1359*資金模擬!$B$7/R1359,0)</f>
        <v/>
      </c>
      <c r="Z1359" s="2">
        <f>IF(OR(Z1358=1,R1359&lt;=資金模擬!$B$10),1,0)</f>
        <v/>
      </c>
    </row>
    <row r="1360">
      <c r="A1360" s="2" t="n">
        <v>1358</v>
      </c>
      <c r="B1360" s="7" t="n">
        <v>46302.75</v>
      </c>
      <c r="C1360" s="2" t="inlineStr">
        <is>
          <t>進場</t>
        </is>
      </c>
      <c r="D1360" s="2" t="n">
        <v>683</v>
      </c>
      <c r="E1360" s="2" t="inlineStr">
        <is>
          <t>ORCA_USDT_PERP</t>
        </is>
      </c>
      <c r="F1360" s="2" t="inlineStr">
        <is>
          <t>做空</t>
        </is>
      </c>
      <c r="G1360" s="20" t="n">
        <v>2.841</v>
      </c>
      <c r="H1360" s="20" t="n">
        <v>2.75577</v>
      </c>
      <c r="I1360" s="20" t="n">
        <v>2.98305</v>
      </c>
      <c r="J1360" s="20" t="n"/>
      <c r="K1360" s="2" t="n"/>
      <c r="L1360" s="5" t="n"/>
      <c r="M1360" s="19">
        <f>資金模擬!$B$5*V1359</f>
        <v/>
      </c>
      <c r="N1360" s="2">
        <f>IF(Z1359=1,"已停止",IF(T1359&gt;=M1360,"已下單","資金不足略過"))</f>
        <v/>
      </c>
      <c r="O1360" s="19">
        <f>IF(N1360="已下單",M1360*資金模擬!$B$7,0)</f>
        <v/>
      </c>
      <c r="P1360" s="4" t="n"/>
      <c r="Q1360" s="13" t="n">
        <v>0</v>
      </c>
      <c r="R1360" s="13">
        <f>R1359+Q1360</f>
        <v/>
      </c>
      <c r="S1360" s="19">
        <f>S1359+IF(N1360="已下單",M1360,0)</f>
        <v/>
      </c>
      <c r="T1360" s="19">
        <f>R1360-S1360</f>
        <v/>
      </c>
      <c r="U1360" s="2">
        <f>U1359+IF(N1360="已下單",1,0)</f>
        <v/>
      </c>
      <c r="V1360" s="19">
        <f>IF(資金模擬!$B$9=2,MAX(R1360,0),MAX(V1359,FLOOR(MAX(R1360,0),資金模擬!$B$6)))</f>
        <v/>
      </c>
      <c r="W1360" s="13">
        <f>MAX(W1359,R1360)</f>
        <v/>
      </c>
      <c r="X1360" s="4">
        <f>IF(W1360&gt;0,R1360/W1360-1,-1)</f>
        <v/>
      </c>
      <c r="Y1360" s="19">
        <f>IF(R1360&gt;0,S1360*資金模擬!$B$7/R1360,0)</f>
        <v/>
      </c>
      <c r="Z1360" s="2">
        <f>IF(OR(Z1359=1,R1360&lt;=資金模擬!$B$10),1,0)</f>
        <v/>
      </c>
    </row>
    <row r="1361">
      <c r="A1361" s="2" t="n">
        <v>1359</v>
      </c>
      <c r="B1361" s="7" t="n">
        <v>46302.75</v>
      </c>
      <c r="C1361" s="2" t="inlineStr">
        <is>
          <t>進場</t>
        </is>
      </c>
      <c r="D1361" s="2" t="n">
        <v>684</v>
      </c>
      <c r="E1361" s="2" t="inlineStr">
        <is>
          <t>QNT_USDT_PERP</t>
        </is>
      </c>
      <c r="F1361" s="2" t="inlineStr">
        <is>
          <t>做空</t>
        </is>
      </c>
      <c r="G1361" s="20" t="n">
        <v>243.64</v>
      </c>
      <c r="H1361" s="20" t="n">
        <v>236.3308</v>
      </c>
      <c r="I1361" s="20" t="n">
        <v>255.822</v>
      </c>
      <c r="J1361" s="20" t="n"/>
      <c r="K1361" s="2" t="n"/>
      <c r="L1361" s="5" t="n"/>
      <c r="M1361" s="19">
        <f>資金模擬!$B$5*V1360</f>
        <v/>
      </c>
      <c r="N1361" s="2">
        <f>IF(Z1360=1,"已停止",IF(T1360&gt;=M1361,"已下單","資金不足略過"))</f>
        <v/>
      </c>
      <c r="O1361" s="19">
        <f>IF(N1361="已下單",M1361*資金模擬!$B$7,0)</f>
        <v/>
      </c>
      <c r="P1361" s="4" t="n"/>
      <c r="Q1361" s="13" t="n">
        <v>0</v>
      </c>
      <c r="R1361" s="13">
        <f>R1360+Q1361</f>
        <v/>
      </c>
      <c r="S1361" s="19">
        <f>S1360+IF(N1361="已下單",M1361,0)</f>
        <v/>
      </c>
      <c r="T1361" s="19">
        <f>R1361-S1361</f>
        <v/>
      </c>
      <c r="U1361" s="2">
        <f>U1360+IF(N1361="已下單",1,0)</f>
        <v/>
      </c>
      <c r="V1361" s="19">
        <f>IF(資金模擬!$B$9=2,MAX(R1361,0),MAX(V1360,FLOOR(MAX(R1361,0),資金模擬!$B$6)))</f>
        <v/>
      </c>
      <c r="W1361" s="13">
        <f>MAX(W1360,R1361)</f>
        <v/>
      </c>
      <c r="X1361" s="4">
        <f>IF(W1361&gt;0,R1361/W1361-1,-1)</f>
        <v/>
      </c>
      <c r="Y1361" s="19">
        <f>IF(R1361&gt;0,S1361*資金模擬!$B$7/R1361,0)</f>
        <v/>
      </c>
      <c r="Z1361" s="2">
        <f>IF(OR(Z1360=1,R1361&lt;=資金模擬!$B$10),1,0)</f>
        <v/>
      </c>
    </row>
    <row r="1362">
      <c r="A1362" s="2" t="n">
        <v>1360</v>
      </c>
      <c r="B1362" s="7" t="n">
        <v>46302.79166666666</v>
      </c>
      <c r="C1362" s="2" t="inlineStr">
        <is>
          <t>出場</t>
        </is>
      </c>
      <c r="D1362" s="2" t="n">
        <v>681</v>
      </c>
      <c r="E1362" s="2" t="inlineStr">
        <is>
          <t>NMR_USDT_PERP</t>
        </is>
      </c>
      <c r="F1362" s="2" t="inlineStr">
        <is>
          <t>做多</t>
        </is>
      </c>
      <c r="G1362" s="20" t="n">
        <v>16.872</v>
      </c>
      <c r="H1362" s="20" t="n">
        <v>17.37816</v>
      </c>
      <c r="I1362" s="20" t="n">
        <v>16.0284</v>
      </c>
      <c r="J1362" s="20" t="n">
        <v>16.0284</v>
      </c>
      <c r="K1362" s="2" t="inlineStr">
        <is>
          <t>止損</t>
        </is>
      </c>
      <c r="L1362" s="5">
        <f>交易明細!K682</f>
        <v/>
      </c>
      <c r="M1362" s="19">
        <f>M1358</f>
        <v/>
      </c>
      <c r="N1362" s="2">
        <f>N1358</f>
        <v/>
      </c>
      <c r="O1362" s="19">
        <f>O1358</f>
        <v/>
      </c>
      <c r="P1362" s="4">
        <f>交易明細!L682</f>
        <v/>
      </c>
      <c r="Q1362" s="13">
        <f>IF(N1362="已下單",O1362*P1362,0)</f>
        <v/>
      </c>
      <c r="R1362" s="13">
        <f>R1361+Q1362</f>
        <v/>
      </c>
      <c r="S1362" s="19">
        <f>S1361-IF(N1362="已下單",M1362,0)</f>
        <v/>
      </c>
      <c r="T1362" s="19">
        <f>R1362-S1362</f>
        <v/>
      </c>
      <c r="U1362" s="2">
        <f>U1361-IF(N1362="已下單",1,0)</f>
        <v/>
      </c>
      <c r="V1362" s="19">
        <f>IF(資金模擬!$B$9=2,MAX(R1362,0),MAX(V1361,FLOOR(MAX(R1362,0),資金模擬!$B$6)))</f>
        <v/>
      </c>
      <c r="W1362" s="13">
        <f>MAX(W1361,R1362)</f>
        <v/>
      </c>
      <c r="X1362" s="4">
        <f>IF(W1362&gt;0,R1362/W1362-1,-1)</f>
        <v/>
      </c>
      <c r="Y1362" s="19">
        <f>IF(R1362&gt;0,S1362*資金模擬!$B$7/R1362,0)</f>
        <v/>
      </c>
      <c r="Z1362" s="2">
        <f>IF(OR(Z1361=1,R1362&lt;=資金模擬!$B$10),1,0)</f>
        <v/>
      </c>
    </row>
    <row r="1363">
      <c r="A1363" s="2" t="n">
        <v>1361</v>
      </c>
      <c r="B1363" s="7" t="n">
        <v>46302.83333333334</v>
      </c>
      <c r="C1363" s="2" t="inlineStr">
        <is>
          <t>出場</t>
        </is>
      </c>
      <c r="D1363" s="2" t="n">
        <v>677</v>
      </c>
      <c r="E1363" s="2" t="inlineStr">
        <is>
          <t>ZRO_USDT_PERP</t>
        </is>
      </c>
      <c r="F1363" s="2" t="inlineStr">
        <is>
          <t>做空</t>
        </is>
      </c>
      <c r="G1363" s="20" t="n">
        <v>2.1723</v>
      </c>
      <c r="H1363" s="20" t="n">
        <v>2.107131</v>
      </c>
      <c r="I1363" s="20" t="n">
        <v>2.280915</v>
      </c>
      <c r="J1363" s="20" t="n">
        <v>2.107131</v>
      </c>
      <c r="K1363" s="2" t="inlineStr">
        <is>
          <t>止盈</t>
        </is>
      </c>
      <c r="L1363" s="5">
        <f>交易明細!K678</f>
        <v/>
      </c>
      <c r="M1363" s="19">
        <f>M1353</f>
        <v/>
      </c>
      <c r="N1363" s="2">
        <f>N1353</f>
        <v/>
      </c>
      <c r="O1363" s="19">
        <f>O1353</f>
        <v/>
      </c>
      <c r="P1363" s="4">
        <f>交易明細!L678</f>
        <v/>
      </c>
      <c r="Q1363" s="13">
        <f>IF(N1363="已下單",O1363*P1363,0)</f>
        <v/>
      </c>
      <c r="R1363" s="13">
        <f>R1362+Q1363</f>
        <v/>
      </c>
      <c r="S1363" s="19">
        <f>S1362-IF(N1363="已下單",M1363,0)</f>
        <v/>
      </c>
      <c r="T1363" s="19">
        <f>R1363-S1363</f>
        <v/>
      </c>
      <c r="U1363" s="2">
        <f>U1362-IF(N1363="已下單",1,0)</f>
        <v/>
      </c>
      <c r="V1363" s="19">
        <f>IF(資金模擬!$B$9=2,MAX(R1363,0),MAX(V1362,FLOOR(MAX(R1363,0),資金模擬!$B$6)))</f>
        <v/>
      </c>
      <c r="W1363" s="13">
        <f>MAX(W1362,R1363)</f>
        <v/>
      </c>
      <c r="X1363" s="4">
        <f>IF(W1363&gt;0,R1363/W1363-1,-1)</f>
        <v/>
      </c>
      <c r="Y1363" s="19">
        <f>IF(R1363&gt;0,S1363*資金模擬!$B$7/R1363,0)</f>
        <v/>
      </c>
      <c r="Z1363" s="2">
        <f>IF(OR(Z1362=1,R1363&lt;=資金模擬!$B$10),1,0)</f>
        <v/>
      </c>
    </row>
    <row r="1364">
      <c r="A1364" s="2" t="n">
        <v>1362</v>
      </c>
      <c r="B1364" s="7" t="n">
        <v>46302.83333333334</v>
      </c>
      <c r="C1364" s="2" t="inlineStr">
        <is>
          <t>出場</t>
        </is>
      </c>
      <c r="D1364" s="2" t="n">
        <v>680</v>
      </c>
      <c r="E1364" s="2" t="inlineStr">
        <is>
          <t>US_USDT_PERP</t>
        </is>
      </c>
      <c r="F1364" s="2" t="inlineStr">
        <is>
          <t>做多</t>
        </is>
      </c>
      <c r="G1364" s="20" t="n">
        <v>0.01482</v>
      </c>
      <c r="H1364" s="20" t="n">
        <v>0.0152646</v>
      </c>
      <c r="I1364" s="20" t="n">
        <v>0.014079</v>
      </c>
      <c r="J1364" s="20" t="n">
        <v>0.014079</v>
      </c>
      <c r="K1364" s="2" t="inlineStr">
        <is>
          <t>止損</t>
        </is>
      </c>
      <c r="L1364" s="5">
        <f>交易明細!K681</f>
        <v/>
      </c>
      <c r="M1364" s="19">
        <f>M1357</f>
        <v/>
      </c>
      <c r="N1364" s="2">
        <f>N1357</f>
        <v/>
      </c>
      <c r="O1364" s="19">
        <f>O1357</f>
        <v/>
      </c>
      <c r="P1364" s="4">
        <f>交易明細!L681</f>
        <v/>
      </c>
      <c r="Q1364" s="13">
        <f>IF(N1364="已下單",O1364*P1364,0)</f>
        <v/>
      </c>
      <c r="R1364" s="13">
        <f>R1363+Q1364</f>
        <v/>
      </c>
      <c r="S1364" s="19">
        <f>S1363-IF(N1364="已下單",M1364,0)</f>
        <v/>
      </c>
      <c r="T1364" s="19">
        <f>R1364-S1364</f>
        <v/>
      </c>
      <c r="U1364" s="2">
        <f>U1363-IF(N1364="已下單",1,0)</f>
        <v/>
      </c>
      <c r="V1364" s="19">
        <f>IF(資金模擬!$B$9=2,MAX(R1364,0),MAX(V1363,FLOOR(MAX(R1364,0),資金模擬!$B$6)))</f>
        <v/>
      </c>
      <c r="W1364" s="13">
        <f>MAX(W1363,R1364)</f>
        <v/>
      </c>
      <c r="X1364" s="4">
        <f>IF(W1364&gt;0,R1364/W1364-1,-1)</f>
        <v/>
      </c>
      <c r="Y1364" s="19">
        <f>IF(R1364&gt;0,S1364*資金模擬!$B$7/R1364,0)</f>
        <v/>
      </c>
      <c r="Z1364" s="2">
        <f>IF(OR(Z1363=1,R1364&lt;=資金模擬!$B$10),1,0)</f>
        <v/>
      </c>
    </row>
    <row r="1365">
      <c r="A1365" s="2" t="n">
        <v>1363</v>
      </c>
      <c r="B1365" s="7" t="n">
        <v>46302.83333333334</v>
      </c>
      <c r="C1365" s="2" t="inlineStr">
        <is>
          <t>出場</t>
        </is>
      </c>
      <c r="D1365" s="2" t="n">
        <v>683</v>
      </c>
      <c r="E1365" s="2" t="inlineStr">
        <is>
          <t>ORCA_USDT_PERP</t>
        </is>
      </c>
      <c r="F1365" s="2" t="inlineStr">
        <is>
          <t>做空</t>
        </is>
      </c>
      <c r="G1365" s="20" t="n">
        <v>2.841</v>
      </c>
      <c r="H1365" s="20" t="n">
        <v>2.75577</v>
      </c>
      <c r="I1365" s="20" t="n">
        <v>2.98305</v>
      </c>
      <c r="J1365" s="20" t="n">
        <v>2.75577</v>
      </c>
      <c r="K1365" s="2" t="inlineStr">
        <is>
          <t>止盈</t>
        </is>
      </c>
      <c r="L1365" s="5">
        <f>交易明細!K684</f>
        <v/>
      </c>
      <c r="M1365" s="19">
        <f>M1360</f>
        <v/>
      </c>
      <c r="N1365" s="2">
        <f>N1360</f>
        <v/>
      </c>
      <c r="O1365" s="19">
        <f>O1360</f>
        <v/>
      </c>
      <c r="P1365" s="4">
        <f>交易明細!L684</f>
        <v/>
      </c>
      <c r="Q1365" s="13">
        <f>IF(N1365="已下單",O1365*P1365,0)</f>
        <v/>
      </c>
      <c r="R1365" s="13">
        <f>R1364+Q1365</f>
        <v/>
      </c>
      <c r="S1365" s="19">
        <f>S1364-IF(N1365="已下單",M1365,0)</f>
        <v/>
      </c>
      <c r="T1365" s="19">
        <f>R1365-S1365</f>
        <v/>
      </c>
      <c r="U1365" s="2">
        <f>U1364-IF(N1365="已下單",1,0)</f>
        <v/>
      </c>
      <c r="V1365" s="19">
        <f>IF(資金模擬!$B$9=2,MAX(R1365,0),MAX(V1364,FLOOR(MAX(R1365,0),資金模擬!$B$6)))</f>
        <v/>
      </c>
      <c r="W1365" s="13">
        <f>MAX(W1364,R1365)</f>
        <v/>
      </c>
      <c r="X1365" s="4">
        <f>IF(W1365&gt;0,R1365/W1365-1,-1)</f>
        <v/>
      </c>
      <c r="Y1365" s="19">
        <f>IF(R1365&gt;0,S1365*資金模擬!$B$7/R1365,0)</f>
        <v/>
      </c>
      <c r="Z1365" s="2">
        <f>IF(OR(Z1364=1,R1365&lt;=資金模擬!$B$10),1,0)</f>
        <v/>
      </c>
    </row>
    <row r="1366">
      <c r="A1366" s="2" t="n">
        <v>1364</v>
      </c>
      <c r="B1366" s="7" t="n">
        <v>46302.83333333334</v>
      </c>
      <c r="C1366" s="2" t="inlineStr">
        <is>
          <t>進場</t>
        </is>
      </c>
      <c r="D1366" s="2" t="n">
        <v>685</v>
      </c>
      <c r="E1366" s="2" t="inlineStr">
        <is>
          <t>NMR_USDT_PERP</t>
        </is>
      </c>
      <c r="F1366" s="2" t="inlineStr">
        <is>
          <t>做空</t>
        </is>
      </c>
      <c r="G1366" s="20" t="n">
        <v>16.218</v>
      </c>
      <c r="H1366" s="20" t="n">
        <v>15.73146</v>
      </c>
      <c r="I1366" s="20" t="n">
        <v>17.0289</v>
      </c>
      <c r="J1366" s="20" t="n"/>
      <c r="K1366" s="2" t="n"/>
      <c r="L1366" s="5" t="n"/>
      <c r="M1366" s="19">
        <f>資金模擬!$B$5*V1365</f>
        <v/>
      </c>
      <c r="N1366" s="2">
        <f>IF(Z1365=1,"已停止",IF(T1365&gt;=M1366,"已下單","資金不足略過"))</f>
        <v/>
      </c>
      <c r="O1366" s="19">
        <f>IF(N1366="已下單",M1366*資金模擬!$B$7,0)</f>
        <v/>
      </c>
      <c r="P1366" s="4" t="n"/>
      <c r="Q1366" s="13" t="n">
        <v>0</v>
      </c>
      <c r="R1366" s="13">
        <f>R1365+Q1366</f>
        <v/>
      </c>
      <c r="S1366" s="19">
        <f>S1365+IF(N1366="已下單",M1366,0)</f>
        <v/>
      </c>
      <c r="T1366" s="19">
        <f>R1366-S1366</f>
        <v/>
      </c>
      <c r="U1366" s="2">
        <f>U1365+IF(N1366="已下單",1,0)</f>
        <v/>
      </c>
      <c r="V1366" s="19">
        <f>IF(資金模擬!$B$9=2,MAX(R1366,0),MAX(V1365,FLOOR(MAX(R1366,0),資金模擬!$B$6)))</f>
        <v/>
      </c>
      <c r="W1366" s="13">
        <f>MAX(W1365,R1366)</f>
        <v/>
      </c>
      <c r="X1366" s="4">
        <f>IF(W1366&gt;0,R1366/W1366-1,-1)</f>
        <v/>
      </c>
      <c r="Y1366" s="19">
        <f>IF(R1366&gt;0,S1366*資金模擬!$B$7/R1366,0)</f>
        <v/>
      </c>
      <c r="Z1366" s="2">
        <f>IF(OR(Z1365=1,R1366&lt;=資金模擬!$B$10),1,0)</f>
        <v/>
      </c>
    </row>
    <row r="1367">
      <c r="A1367" s="2" t="n">
        <v>1365</v>
      </c>
      <c r="B1367" s="7" t="n">
        <v>46302.875</v>
      </c>
      <c r="C1367" s="2" t="inlineStr">
        <is>
          <t>出場</t>
        </is>
      </c>
      <c r="D1367" s="2" t="n">
        <v>685</v>
      </c>
      <c r="E1367" s="2" t="inlineStr">
        <is>
          <t>NMR_USDT_PERP</t>
        </is>
      </c>
      <c r="F1367" s="2" t="inlineStr">
        <is>
          <t>做空</t>
        </is>
      </c>
      <c r="G1367" s="20" t="n">
        <v>16.218</v>
      </c>
      <c r="H1367" s="20" t="n">
        <v>15.73146</v>
      </c>
      <c r="I1367" s="20" t="n">
        <v>17.0289</v>
      </c>
      <c r="J1367" s="20" t="n">
        <v>15.73146</v>
      </c>
      <c r="K1367" s="2" t="inlineStr">
        <is>
          <t>止盈</t>
        </is>
      </c>
      <c r="L1367" s="5">
        <f>交易明細!K686</f>
        <v/>
      </c>
      <c r="M1367" s="19">
        <f>M1366</f>
        <v/>
      </c>
      <c r="N1367" s="2">
        <f>N1366</f>
        <v/>
      </c>
      <c r="O1367" s="19">
        <f>O1366</f>
        <v/>
      </c>
      <c r="P1367" s="4">
        <f>交易明細!L686</f>
        <v/>
      </c>
      <c r="Q1367" s="13">
        <f>IF(N1367="已下單",O1367*P1367,0)</f>
        <v/>
      </c>
      <c r="R1367" s="13">
        <f>R1366+Q1367</f>
        <v/>
      </c>
      <c r="S1367" s="19">
        <f>S1366-IF(N1367="已下單",M1367,0)</f>
        <v/>
      </c>
      <c r="T1367" s="19">
        <f>R1367-S1367</f>
        <v/>
      </c>
      <c r="U1367" s="2">
        <f>U1366-IF(N1367="已下單",1,0)</f>
        <v/>
      </c>
      <c r="V1367" s="19">
        <f>IF(資金模擬!$B$9=2,MAX(R1367,0),MAX(V1366,FLOOR(MAX(R1367,0),資金模擬!$B$6)))</f>
        <v/>
      </c>
      <c r="W1367" s="13">
        <f>MAX(W1366,R1367)</f>
        <v/>
      </c>
      <c r="X1367" s="4">
        <f>IF(W1367&gt;0,R1367/W1367-1,-1)</f>
        <v/>
      </c>
      <c r="Y1367" s="19">
        <f>IF(R1367&gt;0,S1367*資金模擬!$B$7/R1367,0)</f>
        <v/>
      </c>
      <c r="Z1367" s="2">
        <f>IF(OR(Z1366=1,R1367&lt;=資金模擬!$B$10),1,0)</f>
        <v/>
      </c>
    </row>
    <row r="1368">
      <c r="A1368" s="2" t="n">
        <v>1366</v>
      </c>
      <c r="B1368" s="7" t="n">
        <v>46302.91666666666</v>
      </c>
      <c r="C1368" s="2" t="inlineStr">
        <is>
          <t>出場</t>
        </is>
      </c>
      <c r="D1368" s="2" t="n">
        <v>676</v>
      </c>
      <c r="E1368" s="2" t="inlineStr">
        <is>
          <t>PONS_USDT_PERP</t>
        </is>
      </c>
      <c r="F1368" s="2" t="inlineStr">
        <is>
          <t>做多</t>
        </is>
      </c>
      <c r="G1368" s="20" t="n">
        <v>0.413</v>
      </c>
      <c r="H1368" s="20" t="n">
        <v>0.42539</v>
      </c>
      <c r="I1368" s="20" t="n">
        <v>0.39235</v>
      </c>
      <c r="J1368" s="20" t="n">
        <v>0.39235</v>
      </c>
      <c r="K1368" s="2" t="inlineStr">
        <is>
          <t>止損</t>
        </is>
      </c>
      <c r="L1368" s="5">
        <f>交易明細!K677</f>
        <v/>
      </c>
      <c r="M1368" s="19">
        <f>M1352</f>
        <v/>
      </c>
      <c r="N1368" s="2">
        <f>N1352</f>
        <v/>
      </c>
      <c r="O1368" s="19">
        <f>O1352</f>
        <v/>
      </c>
      <c r="P1368" s="4">
        <f>交易明細!L677</f>
        <v/>
      </c>
      <c r="Q1368" s="13">
        <f>IF(N1368="已下單",O1368*P1368,0)</f>
        <v/>
      </c>
      <c r="R1368" s="13">
        <f>R1367+Q1368</f>
        <v/>
      </c>
      <c r="S1368" s="19">
        <f>S1367-IF(N1368="已下單",M1368,0)</f>
        <v/>
      </c>
      <c r="T1368" s="19">
        <f>R1368-S1368</f>
        <v/>
      </c>
      <c r="U1368" s="2">
        <f>U1367-IF(N1368="已下單",1,0)</f>
        <v/>
      </c>
      <c r="V1368" s="19">
        <f>IF(資金模擬!$B$9=2,MAX(R1368,0),MAX(V1367,FLOOR(MAX(R1368,0),資金模擬!$B$6)))</f>
        <v/>
      </c>
      <c r="W1368" s="13">
        <f>MAX(W1367,R1368)</f>
        <v/>
      </c>
      <c r="X1368" s="4">
        <f>IF(W1368&gt;0,R1368/W1368-1,-1)</f>
        <v/>
      </c>
      <c r="Y1368" s="19">
        <f>IF(R1368&gt;0,S1368*資金模擬!$B$7/R1368,0)</f>
        <v/>
      </c>
      <c r="Z1368" s="2">
        <f>IF(OR(Z1367=1,R1368&lt;=資金模擬!$B$10),1,0)</f>
        <v/>
      </c>
    </row>
    <row r="1369">
      <c r="A1369" s="2" t="n">
        <v>1367</v>
      </c>
      <c r="B1369" s="7" t="n">
        <v>46302.91666666666</v>
      </c>
      <c r="C1369" s="2" t="inlineStr">
        <is>
          <t>出場</t>
        </is>
      </c>
      <c r="D1369" s="2" t="n">
        <v>679</v>
      </c>
      <c r="E1369" s="2" t="inlineStr">
        <is>
          <t>PUMP_USDT_PERP</t>
        </is>
      </c>
      <c r="F1369" s="2" t="inlineStr">
        <is>
          <t>做多</t>
        </is>
      </c>
      <c r="G1369" s="20" t="n">
        <v>0.006498</v>
      </c>
      <c r="H1369" s="20" t="n">
        <v>0.006692940000000001</v>
      </c>
      <c r="I1369" s="20" t="n">
        <v>0.0061731</v>
      </c>
      <c r="J1369" s="20" t="n">
        <v>0.0061731</v>
      </c>
      <c r="K1369" s="2" t="inlineStr">
        <is>
          <t>止損</t>
        </is>
      </c>
      <c r="L1369" s="5">
        <f>交易明細!K680</f>
        <v/>
      </c>
      <c r="M1369" s="19">
        <f>M1355</f>
        <v/>
      </c>
      <c r="N1369" s="2">
        <f>N1355</f>
        <v/>
      </c>
      <c r="O1369" s="19">
        <f>O1355</f>
        <v/>
      </c>
      <c r="P1369" s="4">
        <f>交易明細!L680</f>
        <v/>
      </c>
      <c r="Q1369" s="13">
        <f>IF(N1369="已下單",O1369*P1369,0)</f>
        <v/>
      </c>
      <c r="R1369" s="13">
        <f>R1368+Q1369</f>
        <v/>
      </c>
      <c r="S1369" s="19">
        <f>S1368-IF(N1369="已下單",M1369,0)</f>
        <v/>
      </c>
      <c r="T1369" s="19">
        <f>R1369-S1369</f>
        <v/>
      </c>
      <c r="U1369" s="2">
        <f>U1368-IF(N1369="已下單",1,0)</f>
        <v/>
      </c>
      <c r="V1369" s="19">
        <f>IF(資金模擬!$B$9=2,MAX(R1369,0),MAX(V1368,FLOOR(MAX(R1369,0),資金模擬!$B$6)))</f>
        <v/>
      </c>
      <c r="W1369" s="13">
        <f>MAX(W1368,R1369)</f>
        <v/>
      </c>
      <c r="X1369" s="4">
        <f>IF(W1369&gt;0,R1369/W1369-1,-1)</f>
        <v/>
      </c>
      <c r="Y1369" s="19">
        <f>IF(R1369&gt;0,S1369*資金模擬!$B$7/R1369,0)</f>
        <v/>
      </c>
      <c r="Z1369" s="2">
        <f>IF(OR(Z1368=1,R1369&lt;=資金模擬!$B$10),1,0)</f>
        <v/>
      </c>
    </row>
    <row r="1370">
      <c r="A1370" s="2" t="n">
        <v>1368</v>
      </c>
      <c r="B1370" s="7" t="n">
        <v>46302.91666666666</v>
      </c>
      <c r="C1370" s="2" t="inlineStr">
        <is>
          <t>出場</t>
        </is>
      </c>
      <c r="D1370" s="2" t="n">
        <v>684</v>
      </c>
      <c r="E1370" s="2" t="inlineStr">
        <is>
          <t>QNT_USDT_PERP</t>
        </is>
      </c>
      <c r="F1370" s="2" t="inlineStr">
        <is>
          <t>做空</t>
        </is>
      </c>
      <c r="G1370" s="20" t="n">
        <v>243.64</v>
      </c>
      <c r="H1370" s="20" t="n">
        <v>236.3308</v>
      </c>
      <c r="I1370" s="20" t="n">
        <v>255.822</v>
      </c>
      <c r="J1370" s="20" t="n">
        <v>236.3308</v>
      </c>
      <c r="K1370" s="2" t="inlineStr">
        <is>
          <t>止盈</t>
        </is>
      </c>
      <c r="L1370" s="5">
        <f>交易明細!K685</f>
        <v/>
      </c>
      <c r="M1370" s="19">
        <f>M1361</f>
        <v/>
      </c>
      <c r="N1370" s="2">
        <f>N1361</f>
        <v/>
      </c>
      <c r="O1370" s="19">
        <f>O1361</f>
        <v/>
      </c>
      <c r="P1370" s="4">
        <f>交易明細!L685</f>
        <v/>
      </c>
      <c r="Q1370" s="13">
        <f>IF(N1370="已下單",O1370*P1370,0)</f>
        <v/>
      </c>
      <c r="R1370" s="13">
        <f>R1369+Q1370</f>
        <v/>
      </c>
      <c r="S1370" s="19">
        <f>S1369-IF(N1370="已下單",M1370,0)</f>
        <v/>
      </c>
      <c r="T1370" s="19">
        <f>R1370-S1370</f>
        <v/>
      </c>
      <c r="U1370" s="2">
        <f>U1369-IF(N1370="已下單",1,0)</f>
        <v/>
      </c>
      <c r="V1370" s="19">
        <f>IF(資金模擬!$B$9=2,MAX(R1370,0),MAX(V1369,FLOOR(MAX(R1370,0),資金模擬!$B$6)))</f>
        <v/>
      </c>
      <c r="W1370" s="13">
        <f>MAX(W1369,R1370)</f>
        <v/>
      </c>
      <c r="X1370" s="4">
        <f>IF(W1370&gt;0,R1370/W1370-1,-1)</f>
        <v/>
      </c>
      <c r="Y1370" s="19">
        <f>IF(R1370&gt;0,S1370*資金模擬!$B$7/R1370,0)</f>
        <v/>
      </c>
      <c r="Z1370" s="2">
        <f>IF(OR(Z1369=1,R1370&lt;=資金模擬!$B$10),1,0)</f>
        <v/>
      </c>
    </row>
    <row r="1371">
      <c r="A1371" s="2" t="n">
        <v>1369</v>
      </c>
      <c r="B1371" s="7" t="n">
        <v>46302.95833333334</v>
      </c>
      <c r="C1371" s="2" t="inlineStr">
        <is>
          <t>出場</t>
        </is>
      </c>
      <c r="D1371" s="2" t="n">
        <v>672</v>
      </c>
      <c r="E1371" s="2" t="inlineStr">
        <is>
          <t>MUBARAK_USDT_PERP</t>
        </is>
      </c>
      <c r="F1371" s="2" t="inlineStr">
        <is>
          <t>做多</t>
        </is>
      </c>
      <c r="G1371" s="20" t="n">
        <v>0.07776</v>
      </c>
      <c r="H1371" s="20" t="n">
        <v>0.08009279999999999</v>
      </c>
      <c r="I1371" s="20" t="n">
        <v>0.07387199999999999</v>
      </c>
      <c r="J1371" s="20" t="n">
        <v>0.07387199999999999</v>
      </c>
      <c r="K1371" s="2" t="inlineStr">
        <is>
          <t>止損</t>
        </is>
      </c>
      <c r="L1371" s="5">
        <f>交易明細!K673</f>
        <v/>
      </c>
      <c r="M1371" s="19">
        <f>M1343</f>
        <v/>
      </c>
      <c r="N1371" s="2">
        <f>N1343</f>
        <v/>
      </c>
      <c r="O1371" s="19">
        <f>O1343</f>
        <v/>
      </c>
      <c r="P1371" s="4">
        <f>交易明細!L673</f>
        <v/>
      </c>
      <c r="Q1371" s="13">
        <f>IF(N1371="已下單",O1371*P1371,0)</f>
        <v/>
      </c>
      <c r="R1371" s="13">
        <f>R1370+Q1371</f>
        <v/>
      </c>
      <c r="S1371" s="19">
        <f>S1370-IF(N1371="已下單",M1371,0)</f>
        <v/>
      </c>
      <c r="T1371" s="19">
        <f>R1371-S1371</f>
        <v/>
      </c>
      <c r="U1371" s="2">
        <f>U1370-IF(N1371="已下單",1,0)</f>
        <v/>
      </c>
      <c r="V1371" s="19">
        <f>IF(資金模擬!$B$9=2,MAX(R1371,0),MAX(V1370,FLOOR(MAX(R1371,0),資金模擬!$B$6)))</f>
        <v/>
      </c>
      <c r="W1371" s="13">
        <f>MAX(W1370,R1371)</f>
        <v/>
      </c>
      <c r="X1371" s="4">
        <f>IF(W1371&gt;0,R1371/W1371-1,-1)</f>
        <v/>
      </c>
      <c r="Y1371" s="19">
        <f>IF(R1371&gt;0,S1371*資金模擬!$B$7/R1371,0)</f>
        <v/>
      </c>
      <c r="Z1371" s="2">
        <f>IF(OR(Z1370=1,R1371&lt;=資金模擬!$B$10),1,0)</f>
        <v/>
      </c>
    </row>
    <row r="1372">
      <c r="A1372" s="2" t="n">
        <v>1370</v>
      </c>
      <c r="B1372" s="7" t="n">
        <v>46302.95833333334</v>
      </c>
      <c r="C1372" s="2" t="inlineStr">
        <is>
          <t>進場</t>
        </is>
      </c>
      <c r="D1372" s="2" t="n">
        <v>686</v>
      </c>
      <c r="E1372" s="2" t="inlineStr">
        <is>
          <t>PUMP_USDT_PERP</t>
        </is>
      </c>
      <c r="F1372" s="2" t="inlineStr">
        <is>
          <t>做空</t>
        </is>
      </c>
      <c r="G1372" s="20" t="n">
        <v>0.006048</v>
      </c>
      <c r="H1372" s="20" t="n">
        <v>0.00586656</v>
      </c>
      <c r="I1372" s="20" t="n">
        <v>0.006350400000000001</v>
      </c>
      <c r="J1372" s="20" t="n"/>
      <c r="K1372" s="2" t="n"/>
      <c r="L1372" s="5" t="n"/>
      <c r="M1372" s="19">
        <f>資金模擬!$B$5*V1371</f>
        <v/>
      </c>
      <c r="N1372" s="2">
        <f>IF(Z1371=1,"已停止",IF(T1371&gt;=M1372,"已下單","資金不足略過"))</f>
        <v/>
      </c>
      <c r="O1372" s="19">
        <f>IF(N1372="已下單",M1372*資金模擬!$B$7,0)</f>
        <v/>
      </c>
      <c r="P1372" s="4" t="n"/>
      <c r="Q1372" s="13" t="n">
        <v>0</v>
      </c>
      <c r="R1372" s="13">
        <f>R1371+Q1372</f>
        <v/>
      </c>
      <c r="S1372" s="19">
        <f>S1371+IF(N1372="已下單",M1372,0)</f>
        <v/>
      </c>
      <c r="T1372" s="19">
        <f>R1372-S1372</f>
        <v/>
      </c>
      <c r="U1372" s="2">
        <f>U1371+IF(N1372="已下單",1,0)</f>
        <v/>
      </c>
      <c r="V1372" s="19">
        <f>IF(資金模擬!$B$9=2,MAX(R1372,0),MAX(V1371,FLOOR(MAX(R1372,0),資金模擬!$B$6)))</f>
        <v/>
      </c>
      <c r="W1372" s="13">
        <f>MAX(W1371,R1372)</f>
        <v/>
      </c>
      <c r="X1372" s="4">
        <f>IF(W1372&gt;0,R1372/W1372-1,-1)</f>
        <v/>
      </c>
      <c r="Y1372" s="19">
        <f>IF(R1372&gt;0,S1372*資金模擬!$B$7/R1372,0)</f>
        <v/>
      </c>
      <c r="Z1372" s="2">
        <f>IF(OR(Z1371=1,R1372&lt;=資金模擬!$B$10),1,0)</f>
        <v/>
      </c>
    </row>
    <row r="1373">
      <c r="A1373" s="2" t="n">
        <v>1371</v>
      </c>
      <c r="B1373" s="7" t="n">
        <v>46302.95833333334</v>
      </c>
      <c r="C1373" s="2" t="inlineStr">
        <is>
          <t>進場</t>
        </is>
      </c>
      <c r="D1373" s="2" t="n">
        <v>687</v>
      </c>
      <c r="E1373" s="2" t="inlineStr">
        <is>
          <t>SAND_USDT_PERP</t>
        </is>
      </c>
      <c r="F1373" s="2" t="inlineStr">
        <is>
          <t>做多</t>
        </is>
      </c>
      <c r="G1373" s="20" t="n">
        <v>0.07385</v>
      </c>
      <c r="H1373" s="20" t="n">
        <v>0.07606549999999999</v>
      </c>
      <c r="I1373" s="20" t="n">
        <v>0.0701575</v>
      </c>
      <c r="J1373" s="20" t="n"/>
      <c r="K1373" s="2" t="n"/>
      <c r="L1373" s="5" t="n"/>
      <c r="M1373" s="19">
        <f>資金模擬!$B$5*V1372</f>
        <v/>
      </c>
      <c r="N1373" s="2">
        <f>IF(Z1372=1,"已停止",IF(T1372&gt;=M1373,"已下單","資金不足略過"))</f>
        <v/>
      </c>
      <c r="O1373" s="19">
        <f>IF(N1373="已下單",M1373*資金模擬!$B$7,0)</f>
        <v/>
      </c>
      <c r="P1373" s="4" t="n"/>
      <c r="Q1373" s="13" t="n">
        <v>0</v>
      </c>
      <c r="R1373" s="13">
        <f>R1372+Q1373</f>
        <v/>
      </c>
      <c r="S1373" s="19">
        <f>S1372+IF(N1373="已下單",M1373,0)</f>
        <v/>
      </c>
      <c r="T1373" s="19">
        <f>R1373-S1373</f>
        <v/>
      </c>
      <c r="U1373" s="2">
        <f>U1372+IF(N1373="已下單",1,0)</f>
        <v/>
      </c>
      <c r="V1373" s="19">
        <f>IF(資金模擬!$B$9=2,MAX(R1373,0),MAX(V1372,FLOOR(MAX(R1373,0),資金模擬!$B$6)))</f>
        <v/>
      </c>
      <c r="W1373" s="13">
        <f>MAX(W1372,R1373)</f>
        <v/>
      </c>
      <c r="X1373" s="4">
        <f>IF(W1373&gt;0,R1373/W1373-1,-1)</f>
        <v/>
      </c>
      <c r="Y1373" s="19">
        <f>IF(R1373&gt;0,S1373*資金模擬!$B$7/R1373,0)</f>
        <v/>
      </c>
      <c r="Z1373" s="2">
        <f>IF(OR(Z1372=1,R1373&lt;=資金模擬!$B$10),1,0)</f>
        <v/>
      </c>
    </row>
    <row r="1374">
      <c r="A1374" s="2" t="n">
        <v>1372</v>
      </c>
      <c r="B1374" s="7" t="n">
        <v>46303</v>
      </c>
      <c r="C1374" s="2" t="inlineStr">
        <is>
          <t>出場</t>
        </is>
      </c>
      <c r="D1374" s="2" t="n">
        <v>687</v>
      </c>
      <c r="E1374" s="2" t="inlineStr">
        <is>
          <t>SAND_USDT_PERP</t>
        </is>
      </c>
      <c r="F1374" s="2" t="inlineStr">
        <is>
          <t>做多</t>
        </is>
      </c>
      <c r="G1374" s="20" t="n">
        <v>0.07385</v>
      </c>
      <c r="H1374" s="20" t="n">
        <v>0.07606549999999999</v>
      </c>
      <c r="I1374" s="20" t="n">
        <v>0.0701575</v>
      </c>
      <c r="J1374" s="20" t="n">
        <v>0.07606549999999999</v>
      </c>
      <c r="K1374" s="2" t="inlineStr">
        <is>
          <t>止盈</t>
        </is>
      </c>
      <c r="L1374" s="5">
        <f>交易明細!K688</f>
        <v/>
      </c>
      <c r="M1374" s="19">
        <f>M1373</f>
        <v/>
      </c>
      <c r="N1374" s="2">
        <f>N1373</f>
        <v/>
      </c>
      <c r="O1374" s="19">
        <f>O1373</f>
        <v/>
      </c>
      <c r="P1374" s="4">
        <f>交易明細!L688</f>
        <v/>
      </c>
      <c r="Q1374" s="13">
        <f>IF(N1374="已下單",O1374*P1374,0)</f>
        <v/>
      </c>
      <c r="R1374" s="13">
        <f>R1373+Q1374</f>
        <v/>
      </c>
      <c r="S1374" s="19">
        <f>S1373-IF(N1374="已下單",M1374,0)</f>
        <v/>
      </c>
      <c r="T1374" s="19">
        <f>R1374-S1374</f>
        <v/>
      </c>
      <c r="U1374" s="2">
        <f>U1373-IF(N1374="已下單",1,0)</f>
        <v/>
      </c>
      <c r="V1374" s="19">
        <f>IF(資金模擬!$B$9=2,MAX(R1374,0),MAX(V1373,FLOOR(MAX(R1374,0),資金模擬!$B$6)))</f>
        <v/>
      </c>
      <c r="W1374" s="13">
        <f>MAX(W1373,R1374)</f>
        <v/>
      </c>
      <c r="X1374" s="4">
        <f>IF(W1374&gt;0,R1374/W1374-1,-1)</f>
        <v/>
      </c>
      <c r="Y1374" s="19">
        <f>IF(R1374&gt;0,S1374*資金模擬!$B$7/R1374,0)</f>
        <v/>
      </c>
      <c r="Z1374" s="2">
        <f>IF(OR(Z1373=1,R1374&lt;=資金模擬!$B$10),1,0)</f>
        <v/>
      </c>
    </row>
    <row r="1375">
      <c r="A1375" s="2" t="n">
        <v>1373</v>
      </c>
      <c r="B1375" s="7" t="n">
        <v>46303</v>
      </c>
      <c r="C1375" s="2" t="inlineStr">
        <is>
          <t>進場</t>
        </is>
      </c>
      <c r="D1375" s="2" t="n">
        <v>688</v>
      </c>
      <c r="E1375" s="2" t="inlineStr">
        <is>
          <t>PONS_USDT_PERP</t>
        </is>
      </c>
      <c r="F1375" s="2" t="inlineStr">
        <is>
          <t>做多</t>
        </is>
      </c>
      <c r="G1375" s="20" t="n">
        <v>0.4106</v>
      </c>
      <c r="H1375" s="20" t="n">
        <v>0.422918</v>
      </c>
      <c r="I1375" s="20" t="n">
        <v>0.39007</v>
      </c>
      <c r="J1375" s="20" t="n"/>
      <c r="K1375" s="2" t="n"/>
      <c r="L1375" s="5" t="n"/>
      <c r="M1375" s="19">
        <f>資金模擬!$B$5*V1374</f>
        <v/>
      </c>
      <c r="N1375" s="2">
        <f>IF(Z1374=1,"已停止",IF(T1374&gt;=M1375,"已下單","資金不足略過"))</f>
        <v/>
      </c>
      <c r="O1375" s="19">
        <f>IF(N1375="已下單",M1375*資金模擬!$B$7,0)</f>
        <v/>
      </c>
      <c r="P1375" s="4" t="n"/>
      <c r="Q1375" s="13" t="n">
        <v>0</v>
      </c>
      <c r="R1375" s="13">
        <f>R1374+Q1375</f>
        <v/>
      </c>
      <c r="S1375" s="19">
        <f>S1374+IF(N1375="已下單",M1375,0)</f>
        <v/>
      </c>
      <c r="T1375" s="19">
        <f>R1375-S1375</f>
        <v/>
      </c>
      <c r="U1375" s="2">
        <f>U1374+IF(N1375="已下單",1,0)</f>
        <v/>
      </c>
      <c r="V1375" s="19">
        <f>IF(資金模擬!$B$9=2,MAX(R1375,0),MAX(V1374,FLOOR(MAX(R1375,0),資金模擬!$B$6)))</f>
        <v/>
      </c>
      <c r="W1375" s="13">
        <f>MAX(W1374,R1375)</f>
        <v/>
      </c>
      <c r="X1375" s="4">
        <f>IF(W1375&gt;0,R1375/W1375-1,-1)</f>
        <v/>
      </c>
      <c r="Y1375" s="19">
        <f>IF(R1375&gt;0,S1375*資金模擬!$B$7/R1375,0)</f>
        <v/>
      </c>
      <c r="Z1375" s="2">
        <f>IF(OR(Z1374=1,R1375&lt;=資金模擬!$B$10),1,0)</f>
        <v/>
      </c>
    </row>
    <row r="1376">
      <c r="A1376" s="2" t="n">
        <v>1374</v>
      </c>
      <c r="B1376" s="7" t="n">
        <v>46303.125</v>
      </c>
      <c r="C1376" s="2" t="inlineStr">
        <is>
          <t>出場</t>
        </is>
      </c>
      <c r="D1376" s="2" t="n">
        <v>682</v>
      </c>
      <c r="E1376" s="2" t="inlineStr">
        <is>
          <t>NEAR_USDT_PERP</t>
        </is>
      </c>
      <c r="F1376" s="2" t="inlineStr">
        <is>
          <t>做空</t>
        </is>
      </c>
      <c r="G1376" s="20" t="n">
        <v>4.979</v>
      </c>
      <c r="H1376" s="20" t="n">
        <v>4.82963</v>
      </c>
      <c r="I1376" s="20" t="n">
        <v>5.22795</v>
      </c>
      <c r="J1376" s="20" t="n">
        <v>5.22795</v>
      </c>
      <c r="K1376" s="2" t="inlineStr">
        <is>
          <t>止損</t>
        </is>
      </c>
      <c r="L1376" s="5">
        <f>交易明細!K683</f>
        <v/>
      </c>
      <c r="M1376" s="19">
        <f>M1359</f>
        <v/>
      </c>
      <c r="N1376" s="2">
        <f>N1359</f>
        <v/>
      </c>
      <c r="O1376" s="19">
        <f>O1359</f>
        <v/>
      </c>
      <c r="P1376" s="4">
        <f>交易明細!L683</f>
        <v/>
      </c>
      <c r="Q1376" s="13">
        <f>IF(N1376="已下單",O1376*P1376,0)</f>
        <v/>
      </c>
      <c r="R1376" s="13">
        <f>R1375+Q1376</f>
        <v/>
      </c>
      <c r="S1376" s="19">
        <f>S1375-IF(N1376="已下單",M1376,0)</f>
        <v/>
      </c>
      <c r="T1376" s="19">
        <f>R1376-S1376</f>
        <v/>
      </c>
      <c r="U1376" s="2">
        <f>U1375-IF(N1376="已下單",1,0)</f>
        <v/>
      </c>
      <c r="V1376" s="19">
        <f>IF(資金模擬!$B$9=2,MAX(R1376,0),MAX(V1375,FLOOR(MAX(R1376,0),資金模擬!$B$6)))</f>
        <v/>
      </c>
      <c r="W1376" s="13">
        <f>MAX(W1375,R1376)</f>
        <v/>
      </c>
      <c r="X1376" s="4">
        <f>IF(W1376&gt;0,R1376/W1376-1,-1)</f>
        <v/>
      </c>
      <c r="Y1376" s="19">
        <f>IF(R1376&gt;0,S1376*資金模擬!$B$7/R1376,0)</f>
        <v/>
      </c>
      <c r="Z1376" s="2">
        <f>IF(OR(Z1375=1,R1376&lt;=資金模擬!$B$10),1,0)</f>
        <v/>
      </c>
    </row>
    <row r="1377">
      <c r="A1377" s="2" t="n">
        <v>1375</v>
      </c>
      <c r="B1377" s="7" t="n">
        <v>46303.125</v>
      </c>
      <c r="C1377" s="2" t="inlineStr">
        <is>
          <t>出場</t>
        </is>
      </c>
      <c r="D1377" s="2" t="n">
        <v>686</v>
      </c>
      <c r="E1377" s="2" t="inlineStr">
        <is>
          <t>PUMP_USDT_PERP</t>
        </is>
      </c>
      <c r="F1377" s="2" t="inlineStr">
        <is>
          <t>做空</t>
        </is>
      </c>
      <c r="G1377" s="20" t="n">
        <v>0.006048</v>
      </c>
      <c r="H1377" s="20" t="n">
        <v>0.00586656</v>
      </c>
      <c r="I1377" s="20" t="n">
        <v>0.006350400000000001</v>
      </c>
      <c r="J1377" s="20" t="n">
        <v>0.006350400000000001</v>
      </c>
      <c r="K1377" s="2" t="inlineStr">
        <is>
          <t>止損</t>
        </is>
      </c>
      <c r="L1377" s="5">
        <f>交易明細!K687</f>
        <v/>
      </c>
      <c r="M1377" s="19">
        <f>M1372</f>
        <v/>
      </c>
      <c r="N1377" s="2">
        <f>N1372</f>
        <v/>
      </c>
      <c r="O1377" s="19">
        <f>O1372</f>
        <v/>
      </c>
      <c r="P1377" s="4">
        <f>交易明細!L687</f>
        <v/>
      </c>
      <c r="Q1377" s="13">
        <f>IF(N1377="已下單",O1377*P1377,0)</f>
        <v/>
      </c>
      <c r="R1377" s="13">
        <f>R1376+Q1377</f>
        <v/>
      </c>
      <c r="S1377" s="19">
        <f>S1376-IF(N1377="已下單",M1377,0)</f>
        <v/>
      </c>
      <c r="T1377" s="19">
        <f>R1377-S1377</f>
        <v/>
      </c>
      <c r="U1377" s="2">
        <f>U1376-IF(N1377="已下單",1,0)</f>
        <v/>
      </c>
      <c r="V1377" s="19">
        <f>IF(資金模擬!$B$9=2,MAX(R1377,0),MAX(V1376,FLOOR(MAX(R1377,0),資金模擬!$B$6)))</f>
        <v/>
      </c>
      <c r="W1377" s="13">
        <f>MAX(W1376,R1377)</f>
        <v/>
      </c>
      <c r="X1377" s="4">
        <f>IF(W1377&gt;0,R1377/W1377-1,-1)</f>
        <v/>
      </c>
      <c r="Y1377" s="19">
        <f>IF(R1377&gt;0,S1377*資金模擬!$B$7/R1377,0)</f>
        <v/>
      </c>
      <c r="Z1377" s="2">
        <f>IF(OR(Z1376=1,R1377&lt;=資金模擬!$B$10),1,0)</f>
        <v/>
      </c>
    </row>
    <row r="1378">
      <c r="A1378" s="2" t="n">
        <v>1376</v>
      </c>
      <c r="B1378" s="7" t="n">
        <v>46303.20833333334</v>
      </c>
      <c r="C1378" s="2" t="inlineStr">
        <is>
          <t>出場</t>
        </is>
      </c>
      <c r="D1378" s="2" t="n">
        <v>688</v>
      </c>
      <c r="E1378" s="2" t="inlineStr">
        <is>
          <t>PONS_USDT_PERP</t>
        </is>
      </c>
      <c r="F1378" s="2" t="inlineStr">
        <is>
          <t>做多</t>
        </is>
      </c>
      <c r="G1378" s="20" t="n">
        <v>0.4106</v>
      </c>
      <c r="H1378" s="20" t="n">
        <v>0.422918</v>
      </c>
      <c r="I1378" s="20" t="n">
        <v>0.39007</v>
      </c>
      <c r="J1378" s="20" t="n">
        <v>0.39007</v>
      </c>
      <c r="K1378" s="2" t="inlineStr">
        <is>
          <t>止損</t>
        </is>
      </c>
      <c r="L1378" s="5">
        <f>交易明細!K689</f>
        <v/>
      </c>
      <c r="M1378" s="19">
        <f>M1375</f>
        <v/>
      </c>
      <c r="N1378" s="2">
        <f>N1375</f>
        <v/>
      </c>
      <c r="O1378" s="19">
        <f>O1375</f>
        <v/>
      </c>
      <c r="P1378" s="4">
        <f>交易明細!L689</f>
        <v/>
      </c>
      <c r="Q1378" s="13">
        <f>IF(N1378="已下單",O1378*P1378,0)</f>
        <v/>
      </c>
      <c r="R1378" s="13">
        <f>R1377+Q1378</f>
        <v/>
      </c>
      <c r="S1378" s="19">
        <f>S1377-IF(N1378="已下單",M1378,0)</f>
        <v/>
      </c>
      <c r="T1378" s="19">
        <f>R1378-S1378</f>
        <v/>
      </c>
      <c r="U1378" s="2">
        <f>U1377-IF(N1378="已下單",1,0)</f>
        <v/>
      </c>
      <c r="V1378" s="19">
        <f>IF(資金模擬!$B$9=2,MAX(R1378,0),MAX(V1377,FLOOR(MAX(R1378,0),資金模擬!$B$6)))</f>
        <v/>
      </c>
      <c r="W1378" s="13">
        <f>MAX(W1377,R1378)</f>
        <v/>
      </c>
      <c r="X1378" s="4">
        <f>IF(W1378&gt;0,R1378/W1378-1,-1)</f>
        <v/>
      </c>
      <c r="Y1378" s="19">
        <f>IF(R1378&gt;0,S1378*資金模擬!$B$7/R1378,0)</f>
        <v/>
      </c>
      <c r="Z1378" s="2">
        <f>IF(OR(Z1377=1,R1378&lt;=資金模擬!$B$10),1,0)</f>
        <v/>
      </c>
    </row>
    <row r="1379">
      <c r="A1379" s="2" t="n">
        <v>1377</v>
      </c>
      <c r="B1379" s="7" t="n">
        <v>46303.25</v>
      </c>
      <c r="C1379" s="2" t="inlineStr">
        <is>
          <t>進場</t>
        </is>
      </c>
      <c r="D1379" s="2" t="n">
        <v>689</v>
      </c>
      <c r="E1379" s="2" t="inlineStr">
        <is>
          <t>PUMP_USDT_PERP</t>
        </is>
      </c>
      <c r="F1379" s="2" t="inlineStr">
        <is>
          <t>做空</t>
        </is>
      </c>
      <c r="G1379" s="20" t="n">
        <v>0.006115</v>
      </c>
      <c r="H1379" s="20" t="n">
        <v>0.00593155</v>
      </c>
      <c r="I1379" s="20" t="n">
        <v>0.00642075</v>
      </c>
      <c r="J1379" s="20" t="n"/>
      <c r="K1379" s="2" t="inlineStr">
        <is>
          <t>未平倉</t>
        </is>
      </c>
      <c r="L1379" s="5" t="n"/>
      <c r="M1379" s="19">
        <f>資金模擬!$B$5*V1378</f>
        <v/>
      </c>
      <c r="N1379" s="2">
        <f>IF(Z1378=1,"已停止",IF(T1378&gt;=M1379,"已下單","資金不足略過"))</f>
        <v/>
      </c>
      <c r="O1379" s="19">
        <f>IF(N1379="已下單",M1379*資金模擬!$B$7,0)</f>
        <v/>
      </c>
      <c r="P1379" s="4" t="n"/>
      <c r="Q1379" s="13" t="n">
        <v>0</v>
      </c>
      <c r="R1379" s="13">
        <f>R1378+Q1379</f>
        <v/>
      </c>
      <c r="S1379" s="19">
        <f>S1378+IF(N1379="已下單",M1379,0)</f>
        <v/>
      </c>
      <c r="T1379" s="19">
        <f>R1379-S1379</f>
        <v/>
      </c>
      <c r="U1379" s="2">
        <f>U1378+IF(N1379="已下單",1,0)</f>
        <v/>
      </c>
      <c r="V1379" s="19">
        <f>IF(資金模擬!$B$9=2,MAX(R1379,0),MAX(V1378,FLOOR(MAX(R1379,0),資金模擬!$B$6)))</f>
        <v/>
      </c>
      <c r="W1379" s="13">
        <f>MAX(W1378,R1379)</f>
        <v/>
      </c>
      <c r="X1379" s="4">
        <f>IF(W1379&gt;0,R1379/W1379-1,-1)</f>
        <v/>
      </c>
      <c r="Y1379" s="19">
        <f>IF(R1379&gt;0,S1379*資金模擬!$B$7/R1379,0)</f>
        <v/>
      </c>
      <c r="Z1379" s="2">
        <f>IF(OR(Z1378=1,R1379&lt;=資金模擬!$B$10),1,0)</f>
        <v/>
      </c>
    </row>
    <row r="1380">
      <c r="A1380" s="2" t="n">
        <v>1378</v>
      </c>
      <c r="B1380" s="7" t="n">
        <v>46303.29166666666</v>
      </c>
      <c r="C1380" s="2" t="inlineStr">
        <is>
          <t>進場</t>
        </is>
      </c>
      <c r="D1380" s="2" t="n">
        <v>690</v>
      </c>
      <c r="E1380" s="2" t="inlineStr">
        <is>
          <t>ZRO_USDT_PERP</t>
        </is>
      </c>
      <c r="F1380" s="2" t="inlineStr">
        <is>
          <t>做多</t>
        </is>
      </c>
      <c r="G1380" s="20" t="n">
        <v>2.227</v>
      </c>
      <c r="H1380" s="20" t="n">
        <v>2.29381</v>
      </c>
      <c r="I1380" s="20" t="n">
        <v>2.11565</v>
      </c>
      <c r="J1380" s="20" t="n"/>
      <c r="K1380" s="2" t="inlineStr">
        <is>
          <t>未平倉</t>
        </is>
      </c>
      <c r="L1380" s="5" t="n"/>
      <c r="M1380" s="19">
        <f>資金模擬!$B$5*V1379</f>
        <v/>
      </c>
      <c r="N1380" s="2">
        <f>IF(Z1379=1,"已停止",IF(T1379&gt;=M1380,"已下單","資金不足略過"))</f>
        <v/>
      </c>
      <c r="O1380" s="19">
        <f>IF(N1380="已下單",M1380*資金模擬!$B$7,0)</f>
        <v/>
      </c>
      <c r="P1380" s="4" t="n"/>
      <c r="Q1380" s="13" t="n">
        <v>0</v>
      </c>
      <c r="R1380" s="13">
        <f>R1379+Q1380</f>
        <v/>
      </c>
      <c r="S1380" s="19">
        <f>S1379+IF(N1380="已下單",M1380,0)</f>
        <v/>
      </c>
      <c r="T1380" s="19">
        <f>R1380-S1380</f>
        <v/>
      </c>
      <c r="U1380" s="2">
        <f>U1379+IF(N1380="已下單",1,0)</f>
        <v/>
      </c>
      <c r="V1380" s="19">
        <f>IF(資金模擬!$B$9=2,MAX(R1380,0),MAX(V1379,FLOOR(MAX(R1380,0),資金模擬!$B$6)))</f>
        <v/>
      </c>
      <c r="W1380" s="13">
        <f>MAX(W1379,R1380)</f>
        <v/>
      </c>
      <c r="X1380" s="4">
        <f>IF(W1380&gt;0,R1380/W1380-1,-1)</f>
        <v/>
      </c>
      <c r="Y1380" s="19">
        <f>IF(R1380&gt;0,S1380*資金模擬!$B$7/R1380,0)</f>
        <v/>
      </c>
      <c r="Z1380" s="2">
        <f>IF(OR(Z1379=1,R1380&lt;=資金模擬!$B$10),1,0)</f>
        <v/>
      </c>
    </row>
    <row r="1381">
      <c r="A1381" s="2" t="n">
        <v>1379</v>
      </c>
      <c r="B1381" s="7" t="n">
        <v>46303.41666666666</v>
      </c>
      <c r="C1381" s="2" t="inlineStr">
        <is>
          <t>進場</t>
        </is>
      </c>
      <c r="D1381" s="2" t="n">
        <v>691</v>
      </c>
      <c r="E1381" s="2" t="inlineStr">
        <is>
          <t>PONS_USDT_PERP</t>
        </is>
      </c>
      <c r="F1381" s="2" t="inlineStr">
        <is>
          <t>做空</t>
        </is>
      </c>
      <c r="G1381" s="20" t="n">
        <v>0.3795</v>
      </c>
      <c r="H1381" s="20" t="n">
        <v>0.368115</v>
      </c>
      <c r="I1381" s="20" t="n">
        <v>0.398475</v>
      </c>
      <c r="J1381" s="20" t="n"/>
      <c r="K1381" s="2" t="inlineStr">
        <is>
          <t>未平倉</t>
        </is>
      </c>
      <c r="L1381" s="5" t="n"/>
      <c r="M1381" s="19">
        <f>資金模擬!$B$5*V1380</f>
        <v/>
      </c>
      <c r="N1381" s="2">
        <f>IF(Z1380=1,"已停止",IF(T1380&gt;=M1381,"已下單","資金不足略過"))</f>
        <v/>
      </c>
      <c r="O1381" s="19">
        <f>IF(N1381="已下單",M1381*資金模擬!$B$7,0)</f>
        <v/>
      </c>
      <c r="P1381" s="4" t="n"/>
      <c r="Q1381" s="13" t="n">
        <v>0</v>
      </c>
      <c r="R1381" s="13">
        <f>R1380+Q1381</f>
        <v/>
      </c>
      <c r="S1381" s="19">
        <f>S1380+IF(N1381="已下單",M1381,0)</f>
        <v/>
      </c>
      <c r="T1381" s="19">
        <f>R1381-S1381</f>
        <v/>
      </c>
      <c r="U1381" s="2">
        <f>U1380+IF(N1381="已下單",1,0)</f>
        <v/>
      </c>
      <c r="V1381" s="19">
        <f>IF(資金模擬!$B$9=2,MAX(R1381,0),MAX(V1380,FLOOR(MAX(R1381,0),資金模擬!$B$6)))</f>
        <v/>
      </c>
      <c r="W1381" s="13">
        <f>MAX(W1380,R1381)</f>
        <v/>
      </c>
      <c r="X1381" s="4">
        <f>IF(W1381&gt;0,R1381/W1381-1,-1)</f>
        <v/>
      </c>
      <c r="Y1381" s="19">
        <f>IF(R1381&gt;0,S1381*資金模擬!$B$7/R1381,0)</f>
        <v/>
      </c>
      <c r="Z1381" s="2">
        <f>IF(OR(Z1380=1,R1381&lt;=資金模擬!$B$10),1,0)</f>
        <v/>
      </c>
    </row>
  </sheetData>
  <autoFilter ref="A1:Z1381"/>
  <conditionalFormatting sqref="K2:K138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38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38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2026-10-08 10:01（Dry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IFERROR(AVERAGE(交易明細!$AC$2:$AC$692),(B6+2*B7)/(B5+B6))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9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46301.75</v>
      </c>
      <c r="I638" s="20" t="n">
        <v>1369.8405</v>
      </c>
      <c r="J638" s="2" t="inlineStr">
        <is>
          <t>止損</t>
        </is>
      </c>
      <c r="K638" s="5">
        <f>(H638-D638)*24</f>
        <v/>
      </c>
      <c r="L638" s="4">
        <f>IF(C638="做多",I638/E638-1,1-I638/E638)-2*參數!$B$7</f>
        <v/>
      </c>
      <c r="M638" s="2" t="inlineStr"/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0.05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46300.875</v>
      </c>
      <c r="I652" s="20" t="n">
        <v>262.1115</v>
      </c>
      <c r="J652" s="2" t="inlineStr">
        <is>
          <t>止損</t>
        </is>
      </c>
      <c r="K652" s="5">
        <f>(H652-D652)*24</f>
        <v/>
      </c>
      <c r="L652" s="4">
        <f>IF(C652="做多",I652/E652-1,1-I652/E652)-2*參數!$B$7</f>
        <v/>
      </c>
      <c r="M652" s="2" t="inlineStr"/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46300.75</v>
      </c>
      <c r="I658" s="20" t="n">
        <v>0.4118523</v>
      </c>
      <c r="J658" s="2" t="inlineStr">
        <is>
          <t>止盈</t>
        </is>
      </c>
      <c r="K658" s="5">
        <f>(H658-D658)*24</f>
        <v/>
      </c>
      <c r="L658" s="4">
        <f>IF(C658="做多",I658/E658-1,1-I658/E658)-2*參數!$B$7</f>
        <v/>
      </c>
      <c r="M658" s="2" t="inlineStr"/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0.03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46300.75</v>
      </c>
      <c r="I659" s="20" t="n">
        <v>0.05765550000000001</v>
      </c>
      <c r="J659" s="2" t="inlineStr">
        <is>
          <t>止損</t>
        </is>
      </c>
      <c r="K659" s="5">
        <f>(H659-D659)*24</f>
        <v/>
      </c>
      <c r="L659" s="4">
        <f>IF(C659="做多",I659/E659-1,1-I659/E659)-2*參數!$B$7</f>
        <v/>
      </c>
      <c r="M659" s="2" t="inlineStr"/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0.05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46300.875</v>
      </c>
      <c r="I661" s="20" t="n">
        <v>0.05605</v>
      </c>
      <c r="J661" s="2" t="inlineStr">
        <is>
          <t>止損</t>
        </is>
      </c>
      <c r="K661" s="5">
        <f>(H661-D661)*24</f>
        <v/>
      </c>
      <c r="L661" s="4">
        <f>IF(C661="做多",I661/E661-1,1-I661/E661)-2*參數!$B$7</f>
        <v/>
      </c>
      <c r="M661" s="2" t="inlineStr"/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0.005084745762711895</v>
      </c>
      <c r="T661" s="4" t="n">
        <v>0.05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  <row r="662">
      <c r="A662" s="2" t="n">
        <v>661</v>
      </c>
      <c r="B662" s="2" t="inlineStr">
        <is>
          <t>BTW_USDT_PERP</t>
        </is>
      </c>
      <c r="C662" s="2" t="inlineStr">
        <is>
          <t>做多</t>
        </is>
      </c>
      <c r="D662" s="7" t="n">
        <v>46300.75</v>
      </c>
      <c r="E662" s="20" t="n">
        <v>1.189999</v>
      </c>
      <c r="F662" s="20" t="n">
        <v>1.22569897</v>
      </c>
      <c r="G662" s="20" t="n">
        <v>1.13049905</v>
      </c>
      <c r="H662" s="7" t="n">
        <v>46300.83333333334</v>
      </c>
      <c r="I662" s="20" t="n">
        <v>1.22569897</v>
      </c>
      <c r="J662" s="2" t="inlineStr">
        <is>
          <t>止盈</t>
        </is>
      </c>
      <c r="K662" s="5">
        <f>(H662-D662)*24</f>
        <v/>
      </c>
      <c r="L662" s="4">
        <f>IF(C662="做多",I662/E662-1,1-I662/E662)-2*參數!$B$7</f>
        <v/>
      </c>
      <c r="M662" s="2" t="inlineStr"/>
      <c r="N662" s="4" t="n">
        <v>0.02224984494432602</v>
      </c>
      <c r="O662" s="4" t="n">
        <v>0.06814372353023643</v>
      </c>
      <c r="P662" s="4" t="n">
        <v>0.008757463222070605</v>
      </c>
      <c r="Q662" s="22" t="n">
        <v>331179</v>
      </c>
      <c r="R662" s="22" t="n">
        <v>2588578.428845</v>
      </c>
      <c r="S662" s="4" t="n">
        <v>0.03</v>
      </c>
      <c r="T662" s="4" t="n">
        <v>0.00637563560977783</v>
      </c>
      <c r="U662" s="19" t="n">
        <v>1.335092149082703</v>
      </c>
      <c r="V662" s="19" t="n">
        <v>0.9497215643602385</v>
      </c>
      <c r="W662" s="4" t="n">
        <v>-0.09925889230156504</v>
      </c>
      <c r="X662" s="4" t="n">
        <v>0.01362086118663597</v>
      </c>
      <c r="Y662" s="4" t="n">
        <v>-0.002934269576880366</v>
      </c>
      <c r="Z662" s="4" t="n">
        <v>0.0005360378328145288</v>
      </c>
      <c r="AA662" s="4" t="n">
        <v>0.03</v>
      </c>
      <c r="AB662" s="4" t="n">
        <v>0.05</v>
      </c>
      <c r="AC662" s="4">
        <f>(AB662+2*參數!$B$7)/(AA662+AB662)</f>
        <v/>
      </c>
    </row>
    <row r="663">
      <c r="A663" s="2" t="n">
        <v>662</v>
      </c>
      <c r="B663" s="2" t="inlineStr">
        <is>
          <t>NIL_USDT_PERP</t>
        </is>
      </c>
      <c r="C663" s="2" t="inlineStr">
        <is>
          <t>做多</t>
        </is>
      </c>
      <c r="D663" s="7" t="n">
        <v>46300.91666666666</v>
      </c>
      <c r="E663" s="20" t="n">
        <v>0.09872</v>
      </c>
      <c r="F663" s="20" t="n">
        <v>0.1016816</v>
      </c>
      <c r="G663" s="20" t="n">
        <v>0.09378399999999999</v>
      </c>
      <c r="H663" s="7" t="n">
        <v>46301</v>
      </c>
      <c r="I663" s="20" t="n">
        <v>0.1016816</v>
      </c>
      <c r="J663" s="2" t="inlineStr">
        <is>
          <t>止盈</t>
        </is>
      </c>
      <c r="K663" s="5">
        <f>(H663-D663)*24</f>
        <v/>
      </c>
      <c r="L663" s="4">
        <f>IF(C663="做多",I663/E663-1,1-I663/E663)-2*參數!$B$7</f>
        <v/>
      </c>
      <c r="M663" s="2" t="inlineStr"/>
      <c r="N663" s="4" t="n">
        <v>0.02608876416172956</v>
      </c>
      <c r="O663" s="4" t="n">
        <v>0.03792984992778904</v>
      </c>
      <c r="P663" s="4" t="n">
        <v>0.02580088739258279</v>
      </c>
      <c r="Q663" s="22" t="n">
        <v>3467356.699999999</v>
      </c>
      <c r="R663" s="22" t="n">
        <v>3033692.393848</v>
      </c>
      <c r="S663" s="4" t="n">
        <v>0.03</v>
      </c>
      <c r="T663" s="4" t="n">
        <v>0.01448541329011344</v>
      </c>
      <c r="U663" s="19" t="n">
        <v>1.107020625597417</v>
      </c>
      <c r="V663" s="19" t="n">
        <v>0.7514970059880244</v>
      </c>
      <c r="W663" s="4" t="n">
        <v>0.14928076817405</v>
      </c>
      <c r="X663" s="4" t="n">
        <v>0.131461318051576</v>
      </c>
      <c r="Y663" s="4" t="n">
        <v>0.006156885263659317</v>
      </c>
      <c r="Z663" s="4" t="n">
        <v>0.003760396225520601</v>
      </c>
      <c r="AA663" s="4" t="n">
        <v>0.03</v>
      </c>
      <c r="AB663" s="4" t="n">
        <v>0.05</v>
      </c>
      <c r="AC663" s="4">
        <f>(AB663+2*參數!$B$7)/(AA663+AB663)</f>
        <v/>
      </c>
    </row>
    <row r="664">
      <c r="A664" s="2" t="n">
        <v>663</v>
      </c>
      <c r="B664" s="2" t="inlineStr">
        <is>
          <t>FET_USDT_PERP</t>
        </is>
      </c>
      <c r="C664" s="2" t="inlineStr">
        <is>
          <t>做空</t>
        </is>
      </c>
      <c r="D664" s="7" t="n">
        <v>46300.95833333334</v>
      </c>
      <c r="E664" s="20" t="n">
        <v>0.2492</v>
      </c>
      <c r="F664" s="20" t="n">
        <v>0.241724</v>
      </c>
      <c r="G664" s="20" t="n">
        <v>0.26166</v>
      </c>
      <c r="H664" s="7" t="n">
        <v>46302.125</v>
      </c>
      <c r="I664" s="20" t="n">
        <v>0.241724</v>
      </c>
      <c r="J664" s="2" t="inlineStr">
        <is>
          <t>止盈</t>
        </is>
      </c>
      <c r="K664" s="5">
        <f>(H664-D664)*24</f>
        <v/>
      </c>
      <c r="L664" s="4">
        <f>IF(C664="做多",I664/E664-1,1-I664/E664)-2*參數!$B$7</f>
        <v/>
      </c>
      <c r="M664" s="2" t="inlineStr"/>
      <c r="N664" s="4" t="n">
        <v>-0.03110419906687389</v>
      </c>
      <c r="O664" s="4" t="n">
        <v>0.02594514528957778</v>
      </c>
      <c r="P664" s="4" t="n">
        <v>-0.03364032961706243</v>
      </c>
      <c r="Q664" s="22" t="n">
        <v>-335045</v>
      </c>
      <c r="R664" s="22" t="n">
        <v>5889252.235499999</v>
      </c>
      <c r="S664" s="4" t="n">
        <v>0.03</v>
      </c>
      <c r="T664" s="4" t="n">
        <v>0.02929373996789719</v>
      </c>
      <c r="U664" s="19" t="n">
        <v>0.6141870481091037</v>
      </c>
      <c r="V664" s="19" t="n">
        <v>0.9299999999999995</v>
      </c>
      <c r="W664" s="4" t="n">
        <v>-0.06347567064687665</v>
      </c>
      <c r="X664" s="4" t="n">
        <v>-0.03790087463556846</v>
      </c>
      <c r="Y664" s="4" t="n">
        <v>0.009100096430229243</v>
      </c>
      <c r="Z664" s="4" t="n">
        <v>0.005547712277368722</v>
      </c>
      <c r="AA664" s="4" t="n">
        <v>0.03</v>
      </c>
      <c r="AB664" s="4" t="n">
        <v>0.05</v>
      </c>
      <c r="AC664" s="4">
        <f>(AB664+2*參數!$B$7)/(AA664+AB664)</f>
        <v/>
      </c>
    </row>
    <row r="665">
      <c r="A665" s="2" t="n">
        <v>664</v>
      </c>
      <c r="B665" s="2" t="inlineStr">
        <is>
          <t>SAND_USDT_PERP</t>
        </is>
      </c>
      <c r="C665" s="2" t="inlineStr">
        <is>
          <t>做空</t>
        </is>
      </c>
      <c r="D665" s="7" t="n">
        <v>46300.95833333334</v>
      </c>
      <c r="E665" s="20" t="n">
        <v>0.06942</v>
      </c>
      <c r="F665" s="20" t="n">
        <v>0.06733739999999999</v>
      </c>
      <c r="G665" s="20" t="n">
        <v>0.072891</v>
      </c>
      <c r="H665" s="7" t="n">
        <v>46301</v>
      </c>
      <c r="I665" s="20" t="n">
        <v>0.06733739999999999</v>
      </c>
      <c r="J665" s="2" t="inlineStr">
        <is>
          <t>止盈</t>
        </is>
      </c>
      <c r="K665" s="5">
        <f>(H665-D665)*24</f>
        <v/>
      </c>
      <c r="L665" s="4">
        <f>IF(C665="做多",I665/E665-1,1-I665/E665)-2*參數!$B$7</f>
        <v/>
      </c>
      <c r="M665" s="2" t="inlineStr"/>
      <c r="N665" s="4" t="n">
        <v>-0.02936241610738266</v>
      </c>
      <c r="O665" s="4" t="n">
        <v>0.02789387942735251</v>
      </c>
      <c r="P665" s="4" t="n">
        <v>-0.0499260962391197</v>
      </c>
      <c r="Q665" s="22" t="n">
        <v>-11032780</v>
      </c>
      <c r="R665" s="22" t="n">
        <v>2595442.1574</v>
      </c>
      <c r="S665" s="4" t="n">
        <v>0.03</v>
      </c>
      <c r="T665" s="4" t="n">
        <v>0</v>
      </c>
      <c r="U665" s="19" t="n">
        <v>2.405828911445115</v>
      </c>
      <c r="V665" s="19" t="n">
        <v>0.6919540229885066</v>
      </c>
      <c r="W665" s="4" t="n">
        <v>-0.04200595903724769</v>
      </c>
      <c r="X665" s="4" t="n">
        <v>0.1129568106312292</v>
      </c>
      <c r="Y665" s="4" t="n">
        <v>0.009100096430229243</v>
      </c>
      <c r="Z665" s="4" t="n">
        <v>0.005547712277368722</v>
      </c>
      <c r="AA665" s="4" t="n">
        <v>0.03</v>
      </c>
      <c r="AB665" s="4" t="n">
        <v>0.05</v>
      </c>
      <c r="AC665" s="4">
        <f>(AB665+2*參數!$B$7)/(AA665+AB665)</f>
        <v/>
      </c>
    </row>
    <row r="666">
      <c r="A666" s="2" t="n">
        <v>665</v>
      </c>
      <c r="B666" s="2" t="inlineStr">
        <is>
          <t>BTW_USDT_PERP</t>
        </is>
      </c>
      <c r="C666" s="2" t="inlineStr">
        <is>
          <t>做多</t>
        </is>
      </c>
      <c r="D666" s="7" t="n">
        <v>46301</v>
      </c>
      <c r="E666" s="20" t="n">
        <v>1.209897</v>
      </c>
      <c r="F666" s="20" t="n">
        <v>1.24619391</v>
      </c>
      <c r="G666" s="20" t="n">
        <v>1.14940215</v>
      </c>
      <c r="H666" s="7" t="n">
        <v>46301.08333333334</v>
      </c>
      <c r="I666" s="20" t="n">
        <v>1.24619391</v>
      </c>
      <c r="J666" s="2" t="inlineStr">
        <is>
          <t>止盈</t>
        </is>
      </c>
      <c r="K666" s="5">
        <f>(H666-D666)*24</f>
        <v/>
      </c>
      <c r="L666" s="4">
        <f>IF(C666="做多",I666/E666-1,1-I666/E666)-2*參數!$B$7</f>
        <v/>
      </c>
      <c r="M666" s="2" t="inlineStr"/>
      <c r="N666" s="4" t="n">
        <v>0.04243053461422486</v>
      </c>
      <c r="O666" s="4" t="n">
        <v>0.05545621001758195</v>
      </c>
      <c r="P666" s="4" t="n">
        <v>0.03209460489739868</v>
      </c>
      <c r="Q666" s="22" t="n">
        <v>70476</v>
      </c>
      <c r="R666" s="22" t="n">
        <v>2788289.443381</v>
      </c>
      <c r="S666" s="4" t="n">
        <v>0.03</v>
      </c>
      <c r="T666" s="4" t="n">
        <v>0.01647826219917903</v>
      </c>
      <c r="U666" s="19" t="n">
        <v>0.7276550161250628</v>
      </c>
      <c r="V666" s="19" t="n">
        <v>0.8109424142280132</v>
      </c>
      <c r="W666" s="4" t="n">
        <v>-0.07562517238957123</v>
      </c>
      <c r="X666" s="4" t="n">
        <v>0.01014067197606172</v>
      </c>
      <c r="Y666" s="4" t="n">
        <v>-0.004409002121554928</v>
      </c>
      <c r="Z666" s="4" t="n">
        <v>-0.009836085383021276</v>
      </c>
      <c r="AA666" s="4" t="n">
        <v>0.03</v>
      </c>
      <c r="AB666" s="4" t="n">
        <v>0.05</v>
      </c>
      <c r="AC666" s="4">
        <f>(AB666+2*參數!$B$7)/(AA666+AB666)</f>
        <v/>
      </c>
    </row>
    <row r="667">
      <c r="A667" s="2" t="n">
        <v>666</v>
      </c>
      <c r="B667" s="2" t="inlineStr">
        <is>
          <t>QNT_USDT_PERP</t>
        </is>
      </c>
      <c r="C667" s="2" t="inlineStr">
        <is>
          <t>做多</t>
        </is>
      </c>
      <c r="D667" s="7" t="n">
        <v>46301.25</v>
      </c>
      <c r="E667" s="20" t="n">
        <v>258.78</v>
      </c>
      <c r="F667" s="20" t="n">
        <v>266.5434</v>
      </c>
      <c r="G667" s="20" t="n">
        <v>245.841</v>
      </c>
      <c r="H667" s="7" t="n">
        <v>46301.375</v>
      </c>
      <c r="I667" s="20" t="n">
        <v>266.5434</v>
      </c>
      <c r="J667" s="2" t="inlineStr">
        <is>
          <t>止盈</t>
        </is>
      </c>
      <c r="K667" s="5">
        <f>(H667-D667)*24</f>
        <v/>
      </c>
      <c r="L667" s="4">
        <f>IF(C667="做多",I667/E667-1,1-I667/E667)-2*參數!$B$7</f>
        <v/>
      </c>
      <c r="M667" s="2" t="inlineStr"/>
      <c r="N667" s="4" t="n">
        <v>0.02248212098462976</v>
      </c>
      <c r="O667" s="4" t="n">
        <v>0.02287789572550736</v>
      </c>
      <c r="P667" s="4" t="n">
        <v>0.02154973334228094</v>
      </c>
      <c r="Q667" s="22" t="n">
        <v>3737.899999999987</v>
      </c>
      <c r="R667" s="22" t="n">
        <v>15098777.699</v>
      </c>
      <c r="S667" s="4" t="n">
        <v>0.03</v>
      </c>
      <c r="T667" s="4" t="n">
        <v>0.01425921632274507</v>
      </c>
      <c r="U667" s="19" t="n">
        <v>1.186573843456004</v>
      </c>
      <c r="V667" s="19" t="n">
        <v>0.7438307873090471</v>
      </c>
      <c r="W667" s="4" t="n">
        <v>0.02489848245478199</v>
      </c>
      <c r="X667" s="4" t="n">
        <v>0.04233294397228815</v>
      </c>
      <c r="Y667" s="4" t="n">
        <v>0.001937387734154639</v>
      </c>
      <c r="Z667" s="4" t="n">
        <v>0.0004580089103551899</v>
      </c>
      <c r="AA667" s="4" t="n">
        <v>0.03</v>
      </c>
      <c r="AB667" s="4" t="n">
        <v>0.05</v>
      </c>
      <c r="AC667" s="4">
        <f>(AB667+2*參數!$B$7)/(AA667+AB667)</f>
        <v/>
      </c>
    </row>
    <row r="668">
      <c r="A668" s="2" t="n">
        <v>667</v>
      </c>
      <c r="B668" s="2" t="inlineStr">
        <is>
          <t>SAND_USDT_PERP</t>
        </is>
      </c>
      <c r="C668" s="2" t="inlineStr">
        <is>
          <t>做空</t>
        </is>
      </c>
      <c r="D668" s="7" t="n">
        <v>46301.375</v>
      </c>
      <c r="E668" s="20" t="n">
        <v>0.06743</v>
      </c>
      <c r="F668" s="20" t="n">
        <v>0.0654071</v>
      </c>
      <c r="G668" s="20" t="n">
        <v>0.0708015</v>
      </c>
      <c r="H668" s="7" t="n">
        <v>46301.58333333334</v>
      </c>
      <c r="I668" s="20" t="n">
        <v>0.0654071</v>
      </c>
      <c r="J668" s="2" t="inlineStr">
        <is>
          <t>止盈</t>
        </is>
      </c>
      <c r="K668" s="5">
        <f>(H668-D668)*24</f>
        <v/>
      </c>
      <c r="L668" s="4">
        <f>IF(C668="做多",I668/E668-1,1-I668/E668)-2*參數!$B$7</f>
        <v/>
      </c>
      <c r="M668" s="2" t="inlineStr"/>
      <c r="N668" s="4" t="n">
        <v>-0.03159557661927326</v>
      </c>
      <c r="O668" s="4" t="n">
        <v>0.02424621650972385</v>
      </c>
      <c r="P668" s="4" t="n">
        <v>-0.03945868945868936</v>
      </c>
      <c r="Q668" s="22" t="n">
        <v>-9335301</v>
      </c>
      <c r="R668" s="22" t="n">
        <v>1616872.34639</v>
      </c>
      <c r="S668" s="4" t="n">
        <v>0.03</v>
      </c>
      <c r="T668" s="4" t="n">
        <v>0.003855850511641723</v>
      </c>
      <c r="U668" s="19" t="n">
        <v>0.9210553274219884</v>
      </c>
      <c r="V668" s="19" t="n">
        <v>0.9543726235741412</v>
      </c>
      <c r="W668" s="4" t="n">
        <v>0.02386980684405793</v>
      </c>
      <c r="X668" s="4" t="n">
        <v>0.08569491525423722</v>
      </c>
      <c r="Y668" s="4" t="n">
        <v>-0.001810605106093099</v>
      </c>
      <c r="Z668" s="4" t="n">
        <v>-0.0004670735297698236</v>
      </c>
      <c r="AA668" s="4" t="n">
        <v>0.03</v>
      </c>
      <c r="AB668" s="4" t="n">
        <v>0.05</v>
      </c>
      <c r="AC668" s="4">
        <f>(AB668+2*參數!$B$7)/(AA668+AB668)</f>
        <v/>
      </c>
    </row>
    <row r="669">
      <c r="A669" s="2" t="n">
        <v>668</v>
      </c>
      <c r="B669" s="2" t="inlineStr">
        <is>
          <t>BR_USDT_PERP</t>
        </is>
      </c>
      <c r="C669" s="2" t="inlineStr">
        <is>
          <t>做空</t>
        </is>
      </c>
      <c r="D669" s="7" t="n">
        <v>46301.45833333334</v>
      </c>
      <c r="E669" s="20" t="n">
        <v>0.40543</v>
      </c>
      <c r="F669" s="20" t="n">
        <v>0.3932671</v>
      </c>
      <c r="G669" s="20" t="n">
        <v>0.4257015</v>
      </c>
      <c r="H669" s="7" t="n">
        <v>46301.54166666666</v>
      </c>
      <c r="I669" s="20" t="n">
        <v>0.3932671</v>
      </c>
      <c r="J669" s="2" t="inlineStr">
        <is>
          <t>止盈</t>
        </is>
      </c>
      <c r="K669" s="5">
        <f>(H669-D669)*24</f>
        <v/>
      </c>
      <c r="L669" s="4">
        <f>IF(C669="做多",I669/E669-1,1-I669/E669)-2*參數!$B$7</f>
        <v/>
      </c>
      <c r="M669" s="2" t="inlineStr"/>
      <c r="N669" s="4" t="n">
        <v>-0.04117396651215588</v>
      </c>
      <c r="O669" s="4" t="n">
        <v>0.06702498958243375</v>
      </c>
      <c r="P669" s="4" t="n">
        <v>-0.03334291017597135</v>
      </c>
      <c r="Q669" s="22" t="n">
        <v>-675711</v>
      </c>
      <c r="R669" s="22" t="n">
        <v>1632203.68484</v>
      </c>
      <c r="S669" s="4" t="n">
        <v>0.03</v>
      </c>
      <c r="T669" s="4" t="n">
        <v>0.02034876550822573</v>
      </c>
      <c r="U669" s="19" t="n">
        <v>1.042713757344873</v>
      </c>
      <c r="V669" s="19" t="n">
        <v>0.9679460143399393</v>
      </c>
      <c r="W669" s="4" t="n">
        <v>0.2448973814368014</v>
      </c>
      <c r="X669" s="4" t="n">
        <v>0.05153698591681088</v>
      </c>
      <c r="Y669" s="4" t="n">
        <v>0.001564941571621792</v>
      </c>
      <c r="Z669" s="4" t="n">
        <v>0.003480269294688143</v>
      </c>
      <c r="AA669" s="4" t="n">
        <v>0.03</v>
      </c>
      <c r="AB669" s="4" t="n">
        <v>0.05</v>
      </c>
      <c r="AC669" s="4">
        <f>(AB669+2*參數!$B$7)/(AA669+AB669)</f>
        <v/>
      </c>
    </row>
    <row r="670">
      <c r="A670" s="2" t="n">
        <v>669</v>
      </c>
      <c r="B670" s="2" t="inlineStr">
        <is>
          <t>NIL_USDT_PERP</t>
        </is>
      </c>
      <c r="C670" s="2" t="inlineStr">
        <is>
          <t>做空</t>
        </is>
      </c>
      <c r="D670" s="7" t="n">
        <v>46301.5</v>
      </c>
      <c r="E670" s="20" t="n">
        <v>0.10057</v>
      </c>
      <c r="F670" s="20" t="n">
        <v>0.0975529</v>
      </c>
      <c r="G670" s="20" t="n">
        <v>0.1055985</v>
      </c>
      <c r="H670" s="7" t="n">
        <v>46302.16666666666</v>
      </c>
      <c r="I670" s="20" t="n">
        <v>0.0975529</v>
      </c>
      <c r="J670" s="2" t="inlineStr">
        <is>
          <t>止盈</t>
        </is>
      </c>
      <c r="K670" s="5">
        <f>(H670-D670)*24</f>
        <v/>
      </c>
      <c r="L670" s="4">
        <f>IF(C670="做多",I670/E670-1,1-I670/E670)-2*參數!$B$7</f>
        <v/>
      </c>
      <c r="M670" s="2" t="inlineStr"/>
      <c r="N670" s="4" t="n">
        <v>-0.02264334305150628</v>
      </c>
      <c r="O670" s="4" t="n">
        <v>0.04425505301749631</v>
      </c>
      <c r="P670" s="4" t="n">
        <v>-0.0345171865924897</v>
      </c>
      <c r="Q670" s="22" t="n">
        <v>-2504527.200000001</v>
      </c>
      <c r="R670" s="22" t="n">
        <v>5850223.11494</v>
      </c>
      <c r="S670" s="4" t="n">
        <v>0.03</v>
      </c>
      <c r="T670" s="4" t="n">
        <v>0.037884060853137</v>
      </c>
      <c r="U670" s="19" t="n">
        <v>0.3721253351349912</v>
      </c>
      <c r="V670" s="19" t="n">
        <v>0.8823529411764683</v>
      </c>
      <c r="W670" s="4" t="n">
        <v>-0.1276711689791197</v>
      </c>
      <c r="X670" s="4" t="n">
        <v>-0.004996502448286311</v>
      </c>
      <c r="Y670" s="4" t="n">
        <v>0.0002023576419837303</v>
      </c>
      <c r="Z670" s="4" t="n">
        <v>0.003248149578605974</v>
      </c>
      <c r="AA670" s="4" t="n">
        <v>0.03</v>
      </c>
      <c r="AB670" s="4" t="n">
        <v>0.05</v>
      </c>
      <c r="AC670" s="4">
        <f>(AB670+2*參數!$B$7)/(AA670+AB670)</f>
        <v/>
      </c>
    </row>
    <row r="671">
      <c r="A671" s="2" t="n">
        <v>670</v>
      </c>
      <c r="B671" s="2" t="inlineStr">
        <is>
          <t>MUBARAK_USDT_PERP</t>
        </is>
      </c>
      <c r="C671" s="2" t="inlineStr">
        <is>
          <t>做空</t>
        </is>
      </c>
      <c r="D671" s="7" t="n">
        <v>46301.58333333334</v>
      </c>
      <c r="E671" s="20" t="n">
        <v>0.07226</v>
      </c>
      <c r="F671" s="20" t="n">
        <v>0.07009220000000001</v>
      </c>
      <c r="G671" s="20" t="n">
        <v>0.07587300000000001</v>
      </c>
      <c r="H671" s="7" t="n">
        <v>46301.70833333334</v>
      </c>
      <c r="I671" s="20" t="n">
        <v>0.07009220000000001</v>
      </c>
      <c r="J671" s="2" t="inlineStr">
        <is>
          <t>止盈</t>
        </is>
      </c>
      <c r="K671" s="5">
        <f>(H671-D671)*24</f>
        <v/>
      </c>
      <c r="L671" s="4">
        <f>IF(C671="做多",I671/E671-1,1-I671/E671)-2*參數!$B$7</f>
        <v/>
      </c>
      <c r="M671" s="2" t="inlineStr"/>
      <c r="N671" s="4" t="n">
        <v>-0.03666177842954255</v>
      </c>
      <c r="O671" s="4" t="n">
        <v>0.03216257948182671</v>
      </c>
      <c r="P671" s="4" t="n">
        <v>-0.03857795754362392</v>
      </c>
      <c r="Q671" s="22" t="n">
        <v>-2362488</v>
      </c>
      <c r="R671" s="22" t="n">
        <v>1780119.04581</v>
      </c>
      <c r="S671" s="4" t="n">
        <v>0.03</v>
      </c>
      <c r="T671" s="4" t="n">
        <v>0.0305840022142263</v>
      </c>
      <c r="U671" s="19" t="n">
        <v>0.3996870573702052</v>
      </c>
      <c r="V671" s="19" t="n">
        <v>0.7922606924643569</v>
      </c>
      <c r="W671" s="4" t="n">
        <v>-0.07129143545046568</v>
      </c>
      <c r="X671" s="4" t="n">
        <v>0.07144692881007453</v>
      </c>
      <c r="Y671" s="4" t="n">
        <v>0.001236209487265216</v>
      </c>
      <c r="Z671" s="4" t="n">
        <v>0.002590128689635374</v>
      </c>
      <c r="AA671" s="4" t="n">
        <v>0.03</v>
      </c>
      <c r="AB671" s="4" t="n">
        <v>0.05</v>
      </c>
      <c r="AC671" s="4">
        <f>(AB671+2*參數!$B$7)/(AA671+AB671)</f>
        <v/>
      </c>
    </row>
    <row r="672">
      <c r="A672" s="2" t="n">
        <v>671</v>
      </c>
      <c r="B672" s="2" t="inlineStr">
        <is>
          <t>AIN_USDT_PERP</t>
        </is>
      </c>
      <c r="C672" s="2" t="inlineStr">
        <is>
          <t>做空</t>
        </is>
      </c>
      <c r="D672" s="7" t="n">
        <v>46301.70833333334</v>
      </c>
      <c r="E672" s="20" t="n">
        <v>0.05618</v>
      </c>
      <c r="F672" s="20" t="n">
        <v>0.0544946</v>
      </c>
      <c r="G672" s="20" t="n">
        <v>0.05898900000000001</v>
      </c>
      <c r="H672" s="7" t="n">
        <v>46301.75</v>
      </c>
      <c r="I672" s="20" t="n">
        <v>0.0544946</v>
      </c>
      <c r="J672" s="2" t="inlineStr">
        <is>
          <t>止盈</t>
        </is>
      </c>
      <c r="K672" s="5">
        <f>(H672-D672)*24</f>
        <v/>
      </c>
      <c r="L672" s="4">
        <f>IF(C672="做多",I672/E672-1,1-I672/E672)-2*參數!$B$7</f>
        <v/>
      </c>
      <c r="M672" s="2" t="inlineStr"/>
      <c r="N672" s="4" t="n">
        <v>-0.03586751330015447</v>
      </c>
      <c r="O672" s="4" t="n">
        <v>0.06484578401135765</v>
      </c>
      <c r="P672" s="4" t="n">
        <v>-0.008392830351863556</v>
      </c>
      <c r="Q672" s="22" t="n">
        <v>-2140082</v>
      </c>
      <c r="R672" s="22" t="n">
        <v>3483162.63301</v>
      </c>
      <c r="S672" s="4" t="n">
        <v>0.03</v>
      </c>
      <c r="T672" s="4" t="n">
        <v>0</v>
      </c>
      <c r="U672" s="19" t="n">
        <v>0.453834765963818</v>
      </c>
      <c r="V672" s="19" t="n">
        <v>0.8750000000000007</v>
      </c>
      <c r="W672" s="4" t="n">
        <v>-0.2707331030723334</v>
      </c>
      <c r="X672" s="4" t="n">
        <v>-0.007171029042667643</v>
      </c>
      <c r="Y672" s="4" t="n">
        <v>-0.00535945664020665</v>
      </c>
      <c r="Z672" s="4" t="n">
        <v>-0.003942049064421527</v>
      </c>
      <c r="AA672" s="4" t="n">
        <v>0.03</v>
      </c>
      <c r="AB672" s="4" t="n">
        <v>0.05</v>
      </c>
      <c r="AC672" s="4">
        <f>(AB672+2*參數!$B$7)/(AA672+AB672)</f>
        <v/>
      </c>
    </row>
    <row r="673">
      <c r="A673" s="2" t="n">
        <v>672</v>
      </c>
      <c r="B673" s="2" t="inlineStr">
        <is>
          <t>MUBARAK_USDT_PERP</t>
        </is>
      </c>
      <c r="C673" s="2" t="inlineStr">
        <is>
          <t>做多</t>
        </is>
      </c>
      <c r="D673" s="7" t="n">
        <v>46301.75</v>
      </c>
      <c r="E673" s="20" t="n">
        <v>0.07776</v>
      </c>
      <c r="F673" s="20" t="n">
        <v>0.08009279999999999</v>
      </c>
      <c r="G673" s="20" t="n">
        <v>0.07387199999999999</v>
      </c>
      <c r="H673" s="7" t="n">
        <v>46302.95833333334</v>
      </c>
      <c r="I673" s="20" t="n">
        <v>0.07387199999999999</v>
      </c>
      <c r="J673" s="2" t="inlineStr">
        <is>
          <t>止損</t>
        </is>
      </c>
      <c r="K673" s="5">
        <f>(H673-D673)*24</f>
        <v/>
      </c>
      <c r="L673" s="4">
        <f>IF(C673="做多",I673/E673-1,1-I673/E673)-2*參數!$B$7</f>
        <v/>
      </c>
      <c r="M673" s="2" t="inlineStr"/>
      <c r="N673" s="4" t="n">
        <v>0.05209038019212553</v>
      </c>
      <c r="O673" s="4" t="n">
        <v>0.0359636158351773</v>
      </c>
      <c r="P673" s="4" t="n">
        <v>0.04071308118525652</v>
      </c>
      <c r="Q673" s="22" t="n">
        <v>95617</v>
      </c>
      <c r="R673" s="22" t="n">
        <v>1384508.19077</v>
      </c>
      <c r="S673" s="4" t="n">
        <v>0.004372427983539096</v>
      </c>
      <c r="T673" s="4" t="n">
        <v>0.05</v>
      </c>
      <c r="U673" s="19" t="n">
        <v>1.252468485880023</v>
      </c>
      <c r="V673" s="19" t="n">
        <v>0.9831932773109221</v>
      </c>
      <c r="W673" s="4" t="n">
        <v>0.1461588349743528</v>
      </c>
      <c r="X673" s="4" t="n">
        <v>0.04445936870382794</v>
      </c>
      <c r="Y673" s="4" t="n">
        <v>-0.0002489220164543227</v>
      </c>
      <c r="Z673" s="4" t="n">
        <v>0.003946786999536656</v>
      </c>
      <c r="AA673" s="4" t="n">
        <v>0.03</v>
      </c>
      <c r="AB673" s="4" t="n">
        <v>0.05</v>
      </c>
      <c r="AC673" s="4">
        <f>(AB673+2*參數!$B$7)/(AA673+AB673)</f>
        <v/>
      </c>
    </row>
    <row r="674">
      <c r="A674" s="2" t="n">
        <v>673</v>
      </c>
      <c r="B674" s="2" t="inlineStr">
        <is>
          <t>PUMP_USDT_PERP</t>
        </is>
      </c>
      <c r="C674" s="2" t="inlineStr">
        <is>
          <t>做空</t>
        </is>
      </c>
      <c r="D674" s="7" t="n">
        <v>46302.20833333334</v>
      </c>
      <c r="E674" s="20" t="n">
        <v>0.006211</v>
      </c>
      <c r="F674" s="20" t="n">
        <v>0.00602467</v>
      </c>
      <c r="G674" s="20" t="n">
        <v>0.006521550000000001</v>
      </c>
      <c r="H674" s="7" t="n">
        <v>46302.45833333334</v>
      </c>
      <c r="I674" s="20" t="n">
        <v>0.00602467</v>
      </c>
      <c r="J674" s="2" t="inlineStr">
        <is>
          <t>止盈</t>
        </is>
      </c>
      <c r="K674" s="5">
        <f>(H674-D674)*24</f>
        <v/>
      </c>
      <c r="L674" s="4">
        <f>IF(C674="做多",I674/E674-1,1-I674/E674)-2*參數!$B$7</f>
        <v/>
      </c>
      <c r="M674" s="2" t="inlineStr"/>
      <c r="N674" s="4" t="n">
        <v>-0.02111899133175721</v>
      </c>
      <c r="O674" s="4" t="n">
        <v>0.02098837967533907</v>
      </c>
      <c r="P674" s="4" t="n">
        <v>-0.01555677072188788</v>
      </c>
      <c r="Q674" s="22" t="n">
        <v>-161934167</v>
      </c>
      <c r="R674" s="22" t="n">
        <v>9943483.202306999</v>
      </c>
      <c r="S674" s="4" t="n">
        <v>0.03</v>
      </c>
      <c r="T674" s="4" t="n">
        <v>0.005796168088874509</v>
      </c>
      <c r="U674" s="19" t="n">
        <v>0.652755851158441</v>
      </c>
      <c r="V674" s="19" t="n">
        <v>0.9622641509433912</v>
      </c>
      <c r="W674" s="4" t="n">
        <v>-0.006669530053404982</v>
      </c>
      <c r="X674" s="4" t="n">
        <v>0.04475545985850504</v>
      </c>
      <c r="Y674" s="4" t="n">
        <v>-7.713064645997747e-05</v>
      </c>
      <c r="Z674" s="4" t="n">
        <v>0.002147100679472991</v>
      </c>
      <c r="AA674" s="4" t="n">
        <v>0.03</v>
      </c>
      <c r="AB674" s="4" t="n">
        <v>0.05</v>
      </c>
      <c r="AC674" s="4">
        <f>(AB674+2*參數!$B$7)/(AA674+AB674)</f>
        <v/>
      </c>
    </row>
    <row r="675">
      <c r="A675" s="2" t="n">
        <v>674</v>
      </c>
      <c r="B675" s="2" t="inlineStr">
        <is>
          <t>BR_USDT_PERP</t>
        </is>
      </c>
      <c r="C675" s="2" t="inlineStr">
        <is>
          <t>做多</t>
        </is>
      </c>
      <c r="D675" s="7" t="n">
        <v>46302.375</v>
      </c>
      <c r="E675" s="20" t="n">
        <v>0.60021</v>
      </c>
      <c r="F675" s="20" t="n">
        <v>0.6182163000000001</v>
      </c>
      <c r="G675" s="20" t="n">
        <v>0.5701995</v>
      </c>
      <c r="H675" s="7" t="n">
        <v>46302.41666666666</v>
      </c>
      <c r="I675" s="20" t="n">
        <v>0.5701995</v>
      </c>
      <c r="J675" s="2" t="inlineStr">
        <is>
          <t>止損</t>
        </is>
      </c>
      <c r="K675" s="5">
        <f>(H675-D675)*24</f>
        <v/>
      </c>
      <c r="L675" s="4">
        <f>IF(C675="做多",I675/E675-1,1-I675/E675)-2*參數!$B$7</f>
        <v/>
      </c>
      <c r="M675" s="2" t="inlineStr"/>
      <c r="N675" s="4" t="n">
        <v>0.04679270291952986</v>
      </c>
      <c r="O675" s="4" t="n">
        <v>0.08154678582586401</v>
      </c>
      <c r="P675" s="4" t="n">
        <v>0.05683706016845402</v>
      </c>
      <c r="Q675" s="22" t="n">
        <v>825664</v>
      </c>
      <c r="R675" s="22" t="n">
        <v>10612672.46913</v>
      </c>
      <c r="S675" s="4" t="n">
        <v>0</v>
      </c>
      <c r="T675" s="4" t="n">
        <v>0.05</v>
      </c>
      <c r="U675" s="19" t="n">
        <v>0.372549125435927</v>
      </c>
      <c r="V675" s="19" t="n">
        <v>0.8673437980917225</v>
      </c>
      <c r="W675" s="4" t="n">
        <v>0.1815455192571782</v>
      </c>
      <c r="X675" s="4" t="n">
        <v>0.2508283838699594</v>
      </c>
      <c r="Y675" s="4" t="n">
        <v>-7.835542488521252e-05</v>
      </c>
      <c r="Z675" s="4" t="n">
        <v>-0.002954423767254744</v>
      </c>
      <c r="AA675" s="4" t="n">
        <v>0.03</v>
      </c>
      <c r="AB675" s="4" t="n">
        <v>0.05</v>
      </c>
      <c r="AC675" s="4">
        <f>(AB675+2*參數!$B$7)/(AA675+AB675)</f>
        <v/>
      </c>
    </row>
    <row r="676">
      <c r="A676" s="2" t="n">
        <v>675</v>
      </c>
      <c r="B676" s="2" t="inlineStr">
        <is>
          <t>API3_USDT_PERP</t>
        </is>
      </c>
      <c r="C676" s="2" t="inlineStr">
        <is>
          <t>做空</t>
        </is>
      </c>
      <c r="D676" s="7" t="n">
        <v>46302.41666666666</v>
      </c>
      <c r="E676" s="20" t="n">
        <v>0.3407</v>
      </c>
      <c r="F676" s="20" t="n">
        <v>0.330479</v>
      </c>
      <c r="G676" s="20" t="n">
        <v>0.357735</v>
      </c>
      <c r="H676" s="7" t="n">
        <v>46302.45833333334</v>
      </c>
      <c r="I676" s="20" t="n">
        <v>0.330479</v>
      </c>
      <c r="J676" s="2" t="inlineStr">
        <is>
          <t>止盈</t>
        </is>
      </c>
      <c r="K676" s="5">
        <f>(H676-D676)*24</f>
        <v/>
      </c>
      <c r="L676" s="4">
        <f>IF(C676="做多",I676/E676-1,1-I676/E676)-2*參數!$B$7</f>
        <v/>
      </c>
      <c r="M676" s="2" t="inlineStr"/>
      <c r="N676" s="4" t="n">
        <v>-0.02378223495702003</v>
      </c>
      <c r="O676" s="4" t="n">
        <v>0.03409255830445387</v>
      </c>
      <c r="P676" s="4" t="n">
        <v>-0.01573040199916231</v>
      </c>
      <c r="Q676" s="22" t="n">
        <v>-2122217</v>
      </c>
      <c r="R676" s="22" t="n">
        <v>2340633.18171</v>
      </c>
      <c r="S676" s="4" t="n">
        <v>0.03</v>
      </c>
      <c r="T676" s="4" t="n">
        <v>0</v>
      </c>
      <c r="U676" s="19" t="n">
        <v>0.6123144429689111</v>
      </c>
      <c r="V676" s="19" t="n">
        <v>1</v>
      </c>
      <c r="W676" s="4" t="n">
        <v>-0.1156701388775188</v>
      </c>
      <c r="X676" s="4" t="n">
        <v>-0.1000968679367131</v>
      </c>
      <c r="Y676" s="4" t="n">
        <v>0.01368403447441024</v>
      </c>
      <c r="Z676" s="4" t="n">
        <v>0.01593974777906682</v>
      </c>
      <c r="AA676" s="4" t="n">
        <v>0.03</v>
      </c>
      <c r="AB676" s="4" t="n">
        <v>0.05</v>
      </c>
      <c r="AC676" s="4">
        <f>(AB676+2*參數!$B$7)/(AA676+AB676)</f>
        <v/>
      </c>
    </row>
    <row r="677">
      <c r="A677" s="2" t="n">
        <v>676</v>
      </c>
      <c r="B677" s="2" t="inlineStr">
        <is>
          <t>PONS_USDT_PERP</t>
        </is>
      </c>
      <c r="C677" s="2" t="inlineStr">
        <is>
          <t>做多</t>
        </is>
      </c>
      <c r="D677" s="7" t="n">
        <v>46302.5</v>
      </c>
      <c r="E677" s="20" t="n">
        <v>0.413</v>
      </c>
      <c r="F677" s="20" t="n">
        <v>0.42539</v>
      </c>
      <c r="G677" s="20" t="n">
        <v>0.39235</v>
      </c>
      <c r="H677" s="7" t="n">
        <v>46302.91666666666</v>
      </c>
      <c r="I677" s="20" t="n">
        <v>0.39235</v>
      </c>
      <c r="J677" s="2" t="inlineStr">
        <is>
          <t>止損</t>
        </is>
      </c>
      <c r="K677" s="5">
        <f>(H677-D677)*24</f>
        <v/>
      </c>
      <c r="L677" s="4">
        <f>IF(C677="做多",I677/E677-1,1-I677/E677)-2*參數!$B$7</f>
        <v/>
      </c>
      <c r="M677" s="2" t="inlineStr"/>
      <c r="N677" s="4" t="n">
        <v>0.03146853146853146</v>
      </c>
      <c r="O677" s="4" t="n">
        <v>0.02945083497750937</v>
      </c>
      <c r="P677" s="4" t="n">
        <v>0.026801253045597</v>
      </c>
      <c r="Q677" s="22" t="n">
        <v>625915</v>
      </c>
      <c r="R677" s="22" t="n">
        <v>1654317.789</v>
      </c>
      <c r="S677" s="4" t="n">
        <v>0.008716707021791947</v>
      </c>
      <c r="T677" s="4" t="n">
        <v>0.05</v>
      </c>
      <c r="U677" s="19" t="n">
        <v>1.211084584077962</v>
      </c>
      <c r="V677" s="19" t="n">
        <v>0.6984126984126968</v>
      </c>
      <c r="W677" s="4" t="n">
        <v>0.02504281353155768</v>
      </c>
      <c r="X677" s="4" t="n">
        <v>0.08827404479578393</v>
      </c>
      <c r="Y677" s="4" t="n">
        <v>0.003452817852523715</v>
      </c>
      <c r="Z677" s="4" t="n">
        <v>-0.01693845260934435</v>
      </c>
      <c r="AA677" s="4" t="n">
        <v>0.03</v>
      </c>
      <c r="AB677" s="4" t="n">
        <v>0.05</v>
      </c>
      <c r="AC677" s="4">
        <f>(AB677+2*參數!$B$7)/(AA677+AB677)</f>
        <v/>
      </c>
    </row>
    <row r="678">
      <c r="A678" s="2" t="n">
        <v>677</v>
      </c>
      <c r="B678" s="2" t="inlineStr">
        <is>
          <t>ZRO_USDT_PERP</t>
        </is>
      </c>
      <c r="C678" s="2" t="inlineStr">
        <is>
          <t>做空</t>
        </is>
      </c>
      <c r="D678" s="7" t="n">
        <v>46302.5</v>
      </c>
      <c r="E678" s="20" t="n">
        <v>2.1723</v>
      </c>
      <c r="F678" s="20" t="n">
        <v>2.107131</v>
      </c>
      <c r="G678" s="20" t="n">
        <v>2.280915</v>
      </c>
      <c r="H678" s="7" t="n">
        <v>46302.83333333334</v>
      </c>
      <c r="I678" s="20" t="n">
        <v>2.107131</v>
      </c>
      <c r="J678" s="2" t="inlineStr">
        <is>
          <t>止盈</t>
        </is>
      </c>
      <c r="K678" s="5">
        <f>(H678-D678)*24</f>
        <v/>
      </c>
      <c r="L678" s="4">
        <f>IF(C678="做多",I678/E678-1,1-I678/E678)-2*參數!$B$7</f>
        <v/>
      </c>
      <c r="M678" s="2" t="inlineStr"/>
      <c r="N678" s="4" t="n">
        <v>-0.02175087814104304</v>
      </c>
      <c r="O678" s="4" t="n">
        <v>0.02248499223832428</v>
      </c>
      <c r="P678" s="4" t="n">
        <v>-0.01948128153972528</v>
      </c>
      <c r="Q678" s="22" t="n">
        <v>-39728.19999999995</v>
      </c>
      <c r="R678" s="22" t="n">
        <v>1489504.71986</v>
      </c>
      <c r="S678" s="4" t="n">
        <v>0.03</v>
      </c>
      <c r="T678" s="4" t="n">
        <v>0.03843852138286596</v>
      </c>
      <c r="U678" s="19" t="n">
        <v>1.397934502453033</v>
      </c>
      <c r="V678" s="19" t="n">
        <v>0.9731182795698915</v>
      </c>
      <c r="W678" s="4" t="n">
        <v>-0.06801562863361532</v>
      </c>
      <c r="X678" s="4" t="n">
        <v>-0.01499859826184458</v>
      </c>
      <c r="Y678" s="4" t="n">
        <v>-0.003452817852523715</v>
      </c>
      <c r="Z678" s="4" t="n">
        <v>0.01693845260934435</v>
      </c>
      <c r="AA678" s="4" t="n">
        <v>0.03</v>
      </c>
      <c r="AB678" s="4" t="n">
        <v>0.05</v>
      </c>
      <c r="AC678" s="4">
        <f>(AB678+2*參數!$B$7)/(AA678+AB678)</f>
        <v/>
      </c>
    </row>
    <row r="679">
      <c r="A679" s="2" t="n">
        <v>678</v>
      </c>
      <c r="B679" s="2" t="inlineStr">
        <is>
          <t>BR_USDT_PERP</t>
        </is>
      </c>
      <c r="C679" s="2" t="inlineStr">
        <is>
          <t>做多</t>
        </is>
      </c>
      <c r="D679" s="7" t="n">
        <v>46302.58333333334</v>
      </c>
      <c r="E679" s="20" t="n">
        <v>0.59982</v>
      </c>
      <c r="F679" s="20" t="n">
        <v>0.6178146</v>
      </c>
      <c r="G679" s="20" t="n">
        <v>0.569829</v>
      </c>
      <c r="H679" s="7" t="n">
        <v>46302.625</v>
      </c>
      <c r="I679" s="20" t="n">
        <v>0.569829</v>
      </c>
      <c r="J679" s="2" t="inlineStr">
        <is>
          <t>止損</t>
        </is>
      </c>
      <c r="K679" s="5">
        <f>(H679-D679)*24</f>
        <v/>
      </c>
      <c r="L679" s="4">
        <f>IF(C679="做多",I679/E679-1,1-I679/E679)-2*參數!$B$7</f>
        <v/>
      </c>
      <c r="M679" s="2" t="inlineStr"/>
      <c r="N679" s="4" t="n">
        <v>0.03127417774186347</v>
      </c>
      <c r="O679" s="4" t="n">
        <v>0.07718059390269948</v>
      </c>
      <c r="P679" s="4" t="n">
        <v>0.02245473001651765</v>
      </c>
      <c r="Q679" s="22" t="n">
        <v>995373</v>
      </c>
      <c r="R679" s="22" t="n">
        <v>11705856.50736</v>
      </c>
      <c r="S679" s="4" t="n">
        <v>0</v>
      </c>
      <c r="T679" s="4" t="n">
        <v>0.05</v>
      </c>
      <c r="U679" s="19" t="n">
        <v>1.289437895413672</v>
      </c>
      <c r="V679" s="19" t="n">
        <v>0.8505074160811866</v>
      </c>
      <c r="W679" s="4" t="n">
        <v>0.1897021797520948</v>
      </c>
      <c r="X679" s="4" t="n">
        <v>0.5143145670285281</v>
      </c>
      <c r="Y679" s="4" t="n">
        <v>0.002720669234667517</v>
      </c>
      <c r="Z679" s="4" t="n">
        <v>-0.01272857669772443</v>
      </c>
      <c r="AA679" s="4" t="n">
        <v>0.03</v>
      </c>
      <c r="AB679" s="4" t="n">
        <v>0.05</v>
      </c>
      <c r="AC679" s="4">
        <f>(AB679+2*參數!$B$7)/(AA679+AB679)</f>
        <v/>
      </c>
    </row>
    <row r="680">
      <c r="A680" s="2" t="n">
        <v>679</v>
      </c>
      <c r="B680" s="2" t="inlineStr">
        <is>
          <t>PUMP_USDT_PERP</t>
        </is>
      </c>
      <c r="C680" s="2" t="inlineStr">
        <is>
          <t>做多</t>
        </is>
      </c>
      <c r="D680" s="7" t="n">
        <v>46302.58333333334</v>
      </c>
      <c r="E680" s="20" t="n">
        <v>0.006498</v>
      </c>
      <c r="F680" s="20" t="n">
        <v>0.006692940000000001</v>
      </c>
      <c r="G680" s="20" t="n">
        <v>0.0061731</v>
      </c>
      <c r="H680" s="7" t="n">
        <v>46302.91666666666</v>
      </c>
      <c r="I680" s="20" t="n">
        <v>0.0061731</v>
      </c>
      <c r="J680" s="2" t="inlineStr">
        <is>
          <t>止損</t>
        </is>
      </c>
      <c r="K680" s="5">
        <f>(H680-D680)*24</f>
        <v/>
      </c>
      <c r="L680" s="4">
        <f>IF(C680="做多",I680/E680-1,1-I680/E680)-2*參數!$B$7</f>
        <v/>
      </c>
      <c r="M680" s="2" t="inlineStr"/>
      <c r="N680" s="4" t="n">
        <v>0.03603316326530615</v>
      </c>
      <c r="O680" s="4" t="n">
        <v>0.02121035954782538</v>
      </c>
      <c r="P680" s="4" t="n">
        <v>0.03705831657569658</v>
      </c>
      <c r="Q680" s="22" t="n">
        <v>338538618</v>
      </c>
      <c r="R680" s="22" t="n">
        <v>10992336.601592</v>
      </c>
      <c r="S680" s="4" t="n">
        <v>0.02493074792243766</v>
      </c>
      <c r="T680" s="4" t="n">
        <v>0.05</v>
      </c>
      <c r="U680" s="19" t="n">
        <v>1.552336287700203</v>
      </c>
      <c r="V680" s="19" t="n">
        <v>0.8901960784313749</v>
      </c>
      <c r="W680" s="4" t="n">
        <v>0.041125915671685</v>
      </c>
      <c r="X680" s="4" t="n">
        <v>0.03389021479713605</v>
      </c>
      <c r="Y680" s="4" t="n">
        <v>0.002720669234667517</v>
      </c>
      <c r="Z680" s="4" t="n">
        <v>-0.01272857669772443</v>
      </c>
      <c r="AA680" s="4" t="n">
        <v>0.03</v>
      </c>
      <c r="AB680" s="4" t="n">
        <v>0.05</v>
      </c>
      <c r="AC680" s="4">
        <f>(AB680+2*參數!$B$7)/(AA680+AB680)</f>
        <v/>
      </c>
    </row>
    <row r="681">
      <c r="A681" s="2" t="n">
        <v>680</v>
      </c>
      <c r="B681" s="2" t="inlineStr">
        <is>
          <t>US_USDT_PERP</t>
        </is>
      </c>
      <c r="C681" s="2" t="inlineStr">
        <is>
          <t>做多</t>
        </is>
      </c>
      <c r="D681" s="7" t="n">
        <v>46302.625</v>
      </c>
      <c r="E681" s="20" t="n">
        <v>0.01482</v>
      </c>
      <c r="F681" s="20" t="n">
        <v>0.0152646</v>
      </c>
      <c r="G681" s="20" t="n">
        <v>0.014079</v>
      </c>
      <c r="H681" s="7" t="n">
        <v>46302.83333333334</v>
      </c>
      <c r="I681" s="20" t="n">
        <v>0.014079</v>
      </c>
      <c r="J681" s="2" t="inlineStr">
        <is>
          <t>止損</t>
        </is>
      </c>
      <c r="K681" s="5">
        <f>(H681-D681)*24</f>
        <v/>
      </c>
      <c r="L681" s="4">
        <f>IF(C681="做多",I681/E681-1,1-I681/E681)-2*參數!$B$7</f>
        <v/>
      </c>
      <c r="M681" s="2" t="inlineStr"/>
      <c r="N681" s="4" t="n">
        <v>0.03636363636363638</v>
      </c>
      <c r="O681" s="4" t="n">
        <v>0.05713596659952648</v>
      </c>
      <c r="P681" s="4" t="n">
        <v>0.01170768338055095</v>
      </c>
      <c r="Q681" s="22" t="n">
        <v>3957945</v>
      </c>
      <c r="R681" s="22" t="n">
        <v>1225691.72392</v>
      </c>
      <c r="S681" s="4" t="n">
        <v>0.01821862348178138</v>
      </c>
      <c r="T681" s="4" t="n">
        <v>0.05</v>
      </c>
      <c r="U681" s="19" t="n">
        <v>0.57596212901949</v>
      </c>
      <c r="V681" s="19" t="n">
        <v>0.8034188034188039</v>
      </c>
      <c r="W681" s="4" t="n">
        <v>-0.0603780044762019</v>
      </c>
      <c r="X681" s="4" t="n">
        <v>0.3243967828418231</v>
      </c>
      <c r="Y681" s="4" t="n">
        <v>-0.001262325169743561</v>
      </c>
      <c r="Z681" s="4" t="n">
        <v>-0.01285536532589182</v>
      </c>
      <c r="AA681" s="4" t="n">
        <v>0.03</v>
      </c>
      <c r="AB681" s="4" t="n">
        <v>0.05</v>
      </c>
      <c r="AC681" s="4">
        <f>(AB681+2*參數!$B$7)/(AA681+AB681)</f>
        <v/>
      </c>
    </row>
    <row r="682">
      <c r="A682" s="2" t="n">
        <v>681</v>
      </c>
      <c r="B682" s="2" t="inlineStr">
        <is>
          <t>NMR_USDT_PERP</t>
        </is>
      </c>
      <c r="C682" s="2" t="inlineStr">
        <is>
          <t>做多</t>
        </is>
      </c>
      <c r="D682" s="7" t="n">
        <v>46302.66666666666</v>
      </c>
      <c r="E682" s="20" t="n">
        <v>16.872</v>
      </c>
      <c r="F682" s="20" t="n">
        <v>17.37816</v>
      </c>
      <c r="G682" s="20" t="n">
        <v>16.0284</v>
      </c>
      <c r="H682" s="7" t="n">
        <v>46302.79166666666</v>
      </c>
      <c r="I682" s="20" t="n">
        <v>16.0284</v>
      </c>
      <c r="J682" s="2" t="inlineStr">
        <is>
          <t>止損</t>
        </is>
      </c>
      <c r="K682" s="5">
        <f>(H682-D682)*24</f>
        <v/>
      </c>
      <c r="L682" s="4">
        <f>IF(C682="做多",I682/E682-1,1-I682/E682)-2*參數!$B$7</f>
        <v/>
      </c>
      <c r="M682" s="2" t="inlineStr"/>
      <c r="N682" s="4" t="n">
        <v>0.02328966521106257</v>
      </c>
      <c r="O682" s="4" t="n">
        <v>0.05078668393412098</v>
      </c>
      <c r="P682" s="4" t="n">
        <v>0.03781709027384772</v>
      </c>
      <c r="Q682" s="22" t="n">
        <v>76195.70000000001</v>
      </c>
      <c r="R682" s="22" t="n">
        <v>3639898.9194</v>
      </c>
      <c r="S682" s="4" t="n">
        <v>0.01019440493124701</v>
      </c>
      <c r="T682" s="4" t="n">
        <v>0.05</v>
      </c>
      <c r="U682" s="19" t="n">
        <v>0.7032717546372286</v>
      </c>
      <c r="V682" s="19" t="n">
        <v>0.5714285714285714</v>
      </c>
      <c r="W682" s="4" t="n">
        <v>0.3335072140748558</v>
      </c>
      <c r="X682" s="4" t="n">
        <v>0.3963419680542912</v>
      </c>
      <c r="Y682" s="4" t="n">
        <v>-0.001042972114156826</v>
      </c>
      <c r="Z682" s="4" t="n">
        <v>-0.01265982549042122</v>
      </c>
      <c r="AA682" s="4" t="n">
        <v>0.03</v>
      </c>
      <c r="AB682" s="4" t="n">
        <v>0.05</v>
      </c>
      <c r="AC682" s="4">
        <f>(AB682+2*參數!$B$7)/(AA682+AB682)</f>
        <v/>
      </c>
    </row>
    <row r="683">
      <c r="A683" s="2" t="n">
        <v>682</v>
      </c>
      <c r="B683" s="2" t="inlineStr">
        <is>
          <t>NEAR_USDT_PERP</t>
        </is>
      </c>
      <c r="C683" s="2" t="inlineStr">
        <is>
          <t>做空</t>
        </is>
      </c>
      <c r="D683" s="7" t="n">
        <v>46302.75</v>
      </c>
      <c r="E683" s="20" t="n">
        <v>4.979</v>
      </c>
      <c r="F683" s="20" t="n">
        <v>4.82963</v>
      </c>
      <c r="G683" s="20" t="n">
        <v>5.22795</v>
      </c>
      <c r="H683" s="7" t="n">
        <v>46303.125</v>
      </c>
      <c r="I683" s="20" t="n">
        <v>5.22795</v>
      </c>
      <c r="J683" s="2" t="inlineStr">
        <is>
          <t>止損</t>
        </is>
      </c>
      <c r="K683" s="5">
        <f>(H683-D683)*24</f>
        <v/>
      </c>
      <c r="L683" s="4">
        <f>IF(C683="做多",I683/E683-1,1-I683/E683)-2*參數!$B$7</f>
        <v/>
      </c>
      <c r="M683" s="2" t="inlineStr"/>
      <c r="N683" s="4" t="n">
        <v>-0.03282828282828276</v>
      </c>
      <c r="O683" s="4" t="n">
        <v>0.02095428543381231</v>
      </c>
      <c r="P683" s="4" t="n">
        <v>-0.01940896692302396</v>
      </c>
      <c r="Q683" s="22" t="n">
        <v>-1073545</v>
      </c>
      <c r="R683" s="22" t="n">
        <v>12021332.71</v>
      </c>
      <c r="S683" s="4" t="n">
        <v>0.005623619200642804</v>
      </c>
      <c r="T683" s="4" t="n">
        <v>0.05</v>
      </c>
      <c r="U683" s="19" t="n">
        <v>0.9673362479055525</v>
      </c>
      <c r="V683" s="19" t="n">
        <v>0.9259259259259247</v>
      </c>
      <c r="W683" s="4" t="n">
        <v>-0.0001305653479566349</v>
      </c>
      <c r="X683" s="4" t="n">
        <v>0.0532420612283705</v>
      </c>
      <c r="Y683" s="4" t="n">
        <v>0.001743536817467195</v>
      </c>
      <c r="Z683" s="4" t="n">
        <v>0.01378162112215664</v>
      </c>
      <c r="AA683" s="4" t="n">
        <v>0.03</v>
      </c>
      <c r="AB683" s="4" t="n">
        <v>0.05</v>
      </c>
      <c r="AC683" s="4">
        <f>(AB683+2*參數!$B$7)/(AA683+AB683)</f>
        <v/>
      </c>
    </row>
    <row r="684">
      <c r="A684" s="2" t="n">
        <v>683</v>
      </c>
      <c r="B684" s="2" t="inlineStr">
        <is>
          <t>ORCA_USDT_PERP</t>
        </is>
      </c>
      <c r="C684" s="2" t="inlineStr">
        <is>
          <t>做空</t>
        </is>
      </c>
      <c r="D684" s="7" t="n">
        <v>46302.75</v>
      </c>
      <c r="E684" s="20" t="n">
        <v>2.841</v>
      </c>
      <c r="F684" s="20" t="n">
        <v>2.75577</v>
      </c>
      <c r="G684" s="20" t="n">
        <v>2.98305</v>
      </c>
      <c r="H684" s="7" t="n">
        <v>46302.83333333334</v>
      </c>
      <c r="I684" s="20" t="n">
        <v>2.75577</v>
      </c>
      <c r="J684" s="2" t="inlineStr">
        <is>
          <t>止盈</t>
        </is>
      </c>
      <c r="K684" s="5">
        <f>(H684-D684)*24</f>
        <v/>
      </c>
      <c r="L684" s="4">
        <f>IF(C684="做多",I684/E684-1,1-I684/E684)-2*參數!$B$7</f>
        <v/>
      </c>
      <c r="M684" s="2" t="inlineStr"/>
      <c r="N684" s="4" t="n">
        <v>-0.02068252326783859</v>
      </c>
      <c r="O684" s="4" t="n">
        <v>0.05680458546534</v>
      </c>
      <c r="P684" s="4" t="n">
        <v>-0.03039197283322803</v>
      </c>
      <c r="Q684" s="22" t="n">
        <v>-396614.6</v>
      </c>
      <c r="R684" s="22" t="n">
        <v>5652967.892</v>
      </c>
      <c r="S684" s="4" t="n">
        <v>0.03</v>
      </c>
      <c r="T684" s="4" t="n">
        <v>0.01302358324533603</v>
      </c>
      <c r="U684" s="19" t="n">
        <v>0.8760831130245141</v>
      </c>
      <c r="V684" s="19" t="n">
        <v>0.6428571428571409</v>
      </c>
      <c r="W684" s="4" t="n">
        <v>-0.2954620070769345</v>
      </c>
      <c r="X684" s="4" t="n">
        <v>-0.1115023474178405</v>
      </c>
      <c r="Y684" s="4" t="n">
        <v>0.001743536817467195</v>
      </c>
      <c r="Z684" s="4" t="n">
        <v>0.01378162112215664</v>
      </c>
      <c r="AA684" s="4" t="n">
        <v>0.03</v>
      </c>
      <c r="AB684" s="4" t="n">
        <v>0.05</v>
      </c>
      <c r="AC684" s="4">
        <f>(AB684+2*參數!$B$7)/(AA684+AB684)</f>
        <v/>
      </c>
    </row>
    <row r="685">
      <c r="A685" s="2" t="n">
        <v>684</v>
      </c>
      <c r="B685" s="2" t="inlineStr">
        <is>
          <t>QNT_USDT_PERP</t>
        </is>
      </c>
      <c r="C685" s="2" t="inlineStr">
        <is>
          <t>做空</t>
        </is>
      </c>
      <c r="D685" s="7" t="n">
        <v>46302.75</v>
      </c>
      <c r="E685" s="20" t="n">
        <v>243.64</v>
      </c>
      <c r="F685" s="20" t="n">
        <v>236.3308</v>
      </c>
      <c r="G685" s="20" t="n">
        <v>255.822</v>
      </c>
      <c r="H685" s="7" t="n">
        <v>46302.91666666666</v>
      </c>
      <c r="I685" s="20" t="n">
        <v>236.3308</v>
      </c>
      <c r="J685" s="2" t="inlineStr">
        <is>
          <t>止盈</t>
        </is>
      </c>
      <c r="K685" s="5">
        <f>(H685-D685)*24</f>
        <v/>
      </c>
      <c r="L685" s="4">
        <f>IF(C685="做多",I685/E685-1,1-I685/E685)-2*參數!$B$7</f>
        <v/>
      </c>
      <c r="M685" s="2" t="inlineStr"/>
      <c r="N685" s="4" t="n">
        <v>-0.03524194187059482</v>
      </c>
      <c r="O685" s="4" t="n">
        <v>0.02342984028772711</v>
      </c>
      <c r="P685" s="4" t="n">
        <v>-0.05418887495681268</v>
      </c>
      <c r="Q685" s="22" t="n">
        <v>-9880.599999999991</v>
      </c>
      <c r="R685" s="22" t="n">
        <v>14125728.225</v>
      </c>
      <c r="S685" s="4" t="n">
        <v>0.03</v>
      </c>
      <c r="T685" s="4" t="n">
        <v>0.00939911344606803</v>
      </c>
      <c r="U685" s="19" t="n">
        <v>1.100979497576834</v>
      </c>
      <c r="V685" s="19" t="n">
        <v>0.8221024258760117</v>
      </c>
      <c r="W685" s="4" t="n">
        <v>0.05212200719506477</v>
      </c>
      <c r="X685" s="4" t="n">
        <v>0.04108942065491195</v>
      </c>
      <c r="Y685" s="4" t="n">
        <v>0.001743536817467195</v>
      </c>
      <c r="Z685" s="4" t="n">
        <v>0.01378162112215664</v>
      </c>
      <c r="AA685" s="4" t="n">
        <v>0.03</v>
      </c>
      <c r="AB685" s="4" t="n">
        <v>0.05</v>
      </c>
      <c r="AC685" s="4">
        <f>(AB685+2*參數!$B$7)/(AA685+AB685)</f>
        <v/>
      </c>
    </row>
    <row r="686">
      <c r="A686" s="2" t="n">
        <v>685</v>
      </c>
      <c r="B686" s="2" t="inlineStr">
        <is>
          <t>NMR_USDT_PERP</t>
        </is>
      </c>
      <c r="C686" s="2" t="inlineStr">
        <is>
          <t>做空</t>
        </is>
      </c>
      <c r="D686" s="7" t="n">
        <v>46302.83333333334</v>
      </c>
      <c r="E686" s="20" t="n">
        <v>16.218</v>
      </c>
      <c r="F686" s="20" t="n">
        <v>15.73146</v>
      </c>
      <c r="G686" s="20" t="n">
        <v>17.0289</v>
      </c>
      <c r="H686" s="7" t="n">
        <v>46302.875</v>
      </c>
      <c r="I686" s="20" t="n">
        <v>15.73146</v>
      </c>
      <c r="J686" s="2" t="inlineStr">
        <is>
          <t>止盈</t>
        </is>
      </c>
      <c r="K686" s="5">
        <f>(H686-D686)*24</f>
        <v/>
      </c>
      <c r="L686" s="4">
        <f>IF(C686="做多",I686/E686-1,1-I686/E686)-2*參數!$B$7</f>
        <v/>
      </c>
      <c r="M686" s="2" t="inlineStr"/>
      <c r="N686" s="4" t="n">
        <v>-0.03950251702694707</v>
      </c>
      <c r="O686" s="4" t="n">
        <v>0.05214511647282047</v>
      </c>
      <c r="P686" s="4" t="n">
        <v>-0.003456380478363164</v>
      </c>
      <c r="Q686" s="22" t="n">
        <v>-10356.59999999998</v>
      </c>
      <c r="R686" s="22" t="n">
        <v>3911760.4664</v>
      </c>
      <c r="S686" s="4" t="n">
        <v>0.03</v>
      </c>
      <c r="T686" s="4" t="n">
        <v>0</v>
      </c>
      <c r="U686" s="19" t="n">
        <v>1.105568009991615</v>
      </c>
      <c r="V686" s="19" t="n">
        <v>0.7581300813008131</v>
      </c>
      <c r="W686" s="4" t="n">
        <v>-0.2619008344200611</v>
      </c>
      <c r="X686" s="4" t="n">
        <v>-0.04108357940685581</v>
      </c>
      <c r="Y686" s="4" t="n">
        <v>1.19463608397874e-05</v>
      </c>
      <c r="Z686" s="4" t="n">
        <v>0.0116469017300268</v>
      </c>
      <c r="AA686" s="4" t="n">
        <v>0.03</v>
      </c>
      <c r="AB686" s="4" t="n">
        <v>0.05</v>
      </c>
      <c r="AC686" s="4">
        <f>(AB686+2*參數!$B$7)/(AA686+AB686)</f>
        <v/>
      </c>
    </row>
    <row r="687">
      <c r="A687" s="2" t="n">
        <v>686</v>
      </c>
      <c r="B687" s="2" t="inlineStr">
        <is>
          <t>PUMP_USDT_PERP</t>
        </is>
      </c>
      <c r="C687" s="2" t="inlineStr">
        <is>
          <t>做空</t>
        </is>
      </c>
      <c r="D687" s="7" t="n">
        <v>46302.95833333334</v>
      </c>
      <c r="E687" s="20" t="n">
        <v>0.006048</v>
      </c>
      <c r="F687" s="20" t="n">
        <v>0.00586656</v>
      </c>
      <c r="G687" s="20" t="n">
        <v>0.006350400000000001</v>
      </c>
      <c r="H687" s="7" t="n">
        <v>46303.125</v>
      </c>
      <c r="I687" s="20" t="n">
        <v>0.006350400000000001</v>
      </c>
      <c r="J687" s="2" t="inlineStr">
        <is>
          <t>止損</t>
        </is>
      </c>
      <c r="K687" s="5">
        <f>(H687-D687)*24</f>
        <v/>
      </c>
      <c r="L687" s="4">
        <f>IF(C687="做多",I687/E687-1,1-I687/E687)-2*參數!$B$7</f>
        <v/>
      </c>
      <c r="M687" s="2" t="inlineStr"/>
      <c r="N687" s="4" t="n">
        <v>-0.02796528447444546</v>
      </c>
      <c r="O687" s="4" t="n">
        <v>0.02707655146292992</v>
      </c>
      <c r="P687" s="4" t="n">
        <v>-0.04134667966428107</v>
      </c>
      <c r="Q687" s="22" t="n">
        <v>-3224504674</v>
      </c>
      <c r="R687" s="22" t="n">
        <v>33372174.457005</v>
      </c>
      <c r="S687" s="4" t="n">
        <v>0.004960317460317554</v>
      </c>
      <c r="T687" s="4" t="n">
        <v>0.05</v>
      </c>
      <c r="U687" s="19" t="n">
        <v>3.493174710273188</v>
      </c>
      <c r="V687" s="19" t="n">
        <v>0.9185185185185174</v>
      </c>
      <c r="W687" s="4" t="n">
        <v>0.04324385891643578</v>
      </c>
      <c r="X687" s="4" t="n">
        <v>0.05233469131933555</v>
      </c>
      <c r="Y687" s="4" t="n">
        <v>0.002008536883111534</v>
      </c>
      <c r="Z687" s="4" t="n">
        <v>0.01612510413447976</v>
      </c>
      <c r="AA687" s="4" t="n">
        <v>0.03</v>
      </c>
      <c r="AB687" s="4" t="n">
        <v>0.05</v>
      </c>
      <c r="AC687" s="4">
        <f>(AB687+2*參數!$B$7)/(AA687+AB687)</f>
        <v/>
      </c>
    </row>
    <row r="688">
      <c r="A688" s="2" t="n">
        <v>687</v>
      </c>
      <c r="B688" s="2" t="inlineStr">
        <is>
          <t>SAND_USDT_PERP</t>
        </is>
      </c>
      <c r="C688" s="2" t="inlineStr">
        <is>
          <t>做多</t>
        </is>
      </c>
      <c r="D688" s="7" t="n">
        <v>46302.95833333334</v>
      </c>
      <c r="E688" s="20" t="n">
        <v>0.07385</v>
      </c>
      <c r="F688" s="20" t="n">
        <v>0.07606549999999999</v>
      </c>
      <c r="G688" s="20" t="n">
        <v>0.0701575</v>
      </c>
      <c r="H688" s="7" t="n">
        <v>46303</v>
      </c>
      <c r="I688" s="20" t="n">
        <v>0.07606549999999999</v>
      </c>
      <c r="J688" s="2" t="inlineStr">
        <is>
          <t>止盈</t>
        </is>
      </c>
      <c r="K688" s="5">
        <f>(H688-D688)*24</f>
        <v/>
      </c>
      <c r="L688" s="4">
        <f>IF(C688="做多",I688/E688-1,1-I688/E688)-2*參數!$B$7</f>
        <v/>
      </c>
      <c r="M688" s="2" t="inlineStr"/>
      <c r="N688" s="4" t="n">
        <v>0.05575411007862763</v>
      </c>
      <c r="O688" s="4" t="n">
        <v>0.02882930073134663</v>
      </c>
      <c r="P688" s="4" t="n">
        <v>0.05436737957225679</v>
      </c>
      <c r="Q688" s="22" t="n">
        <v>1181540</v>
      </c>
      <c r="R688" s="22" t="n">
        <v>2081119.82239</v>
      </c>
      <c r="S688" s="4" t="n">
        <v>0.03</v>
      </c>
      <c r="T688" s="4" t="n">
        <v>0</v>
      </c>
      <c r="U688" s="19" t="n">
        <v>1.994457281787416</v>
      </c>
      <c r="V688" s="19" t="n">
        <v>0.9444444444444458</v>
      </c>
      <c r="W688" s="4" t="n">
        <v>0.03508206371676459</v>
      </c>
      <c r="X688" s="4" t="n">
        <v>0.1201274078568177</v>
      </c>
      <c r="Y688" s="4" t="n">
        <v>-0.002008536883111534</v>
      </c>
      <c r="Z688" s="4" t="n">
        <v>-0.01612510413447976</v>
      </c>
      <c r="AA688" s="4" t="n">
        <v>0.03</v>
      </c>
      <c r="AB688" s="4" t="n">
        <v>0.05</v>
      </c>
      <c r="AC688" s="4">
        <f>(AB688+2*參數!$B$7)/(AA688+AB688)</f>
        <v/>
      </c>
    </row>
    <row r="689">
      <c r="A689" s="2" t="n">
        <v>688</v>
      </c>
      <c r="B689" s="2" t="inlineStr">
        <is>
          <t>PONS_USDT_PERP</t>
        </is>
      </c>
      <c r="C689" s="2" t="inlineStr">
        <is>
          <t>做多</t>
        </is>
      </c>
      <c r="D689" s="7" t="n">
        <v>46303</v>
      </c>
      <c r="E689" s="20" t="n">
        <v>0.4106</v>
      </c>
      <c r="F689" s="20" t="n">
        <v>0.422918</v>
      </c>
      <c r="G689" s="20" t="n">
        <v>0.39007</v>
      </c>
      <c r="H689" s="7" t="n">
        <v>46303.20833333334</v>
      </c>
      <c r="I689" s="20" t="n">
        <v>0.39007</v>
      </c>
      <c r="J689" s="2" t="inlineStr">
        <is>
          <t>止損</t>
        </is>
      </c>
      <c r="K689" s="5">
        <f>(H689-D689)*24</f>
        <v/>
      </c>
      <c r="L689" s="4">
        <f>IF(C689="做多",I689/E689-1,1-I689/E689)-2*參數!$B$7</f>
        <v/>
      </c>
      <c r="M689" s="2" t="inlineStr"/>
      <c r="N689" s="4" t="n">
        <v>0.04107505070993933</v>
      </c>
      <c r="O689" s="4" t="n">
        <v>0.02923286650864818</v>
      </c>
      <c r="P689" s="4" t="n">
        <v>0.02032702151980548</v>
      </c>
      <c r="Q689" s="22" t="n">
        <v>682400</v>
      </c>
      <c r="R689" s="22" t="n">
        <v>1652287.0612</v>
      </c>
      <c r="S689" s="4" t="n">
        <v>0.0289819775937652</v>
      </c>
      <c r="T689" s="4" t="n">
        <v>0.05</v>
      </c>
      <c r="U689" s="19" t="n">
        <v>1.584058437195894</v>
      </c>
      <c r="V689" s="19" t="n">
        <v>0.8063241106719382</v>
      </c>
      <c r="W689" s="4" t="n">
        <v>0.02670790835144121</v>
      </c>
      <c r="X689" s="4" t="n">
        <v>0.009093143278446902</v>
      </c>
      <c r="Y689" s="4" t="n">
        <v>0.005220654606456376</v>
      </c>
      <c r="Z689" s="4" t="n">
        <v>-0.009721813454727779</v>
      </c>
      <c r="AA689" s="4" t="n">
        <v>0.03</v>
      </c>
      <c r="AB689" s="4" t="n">
        <v>0.05</v>
      </c>
      <c r="AC689" s="4">
        <f>(AB689+2*參數!$B$7)/(AA689+AB689)</f>
        <v/>
      </c>
    </row>
    <row r="690">
      <c r="A690" s="2" t="n">
        <v>689</v>
      </c>
      <c r="B690" s="2" t="inlineStr">
        <is>
          <t>PUMP_USDT_PERP</t>
        </is>
      </c>
      <c r="C690" s="2" t="inlineStr">
        <is>
          <t>做空</t>
        </is>
      </c>
      <c r="D690" s="7" t="n">
        <v>46303.25</v>
      </c>
      <c r="E690" s="20" t="n">
        <v>0.006115</v>
      </c>
      <c r="F690" s="20" t="n">
        <v>0.00593155</v>
      </c>
      <c r="G690" s="20" t="n">
        <v>0.00642075</v>
      </c>
      <c r="H690" s="7" t="n">
        <v>46303.41666666666</v>
      </c>
      <c r="I690" s="20" t="n">
        <v>0.006224</v>
      </c>
      <c r="J690" s="2" t="inlineStr">
        <is>
          <t>未平倉</t>
        </is>
      </c>
      <c r="K690" s="5">
        <f>(H690-D690)*24</f>
        <v/>
      </c>
      <c r="L690" s="4">
        <f>IF(C690="做多",I690/E690-1,1-I690/E690)-2*參數!$B$7</f>
        <v/>
      </c>
      <c r="M690" s="2" t="inlineStr">
        <is>
          <t>持倉中（以最新收盤估值）</t>
        </is>
      </c>
      <c r="N690" s="4" t="n">
        <v>-0.03579312519709876</v>
      </c>
      <c r="O690" s="4" t="n">
        <v>0.03029703094626046</v>
      </c>
      <c r="P690" s="4" t="n">
        <v>-0.03350719140192815</v>
      </c>
      <c r="Q690" s="22" t="n">
        <v>-2661861942</v>
      </c>
      <c r="R690" s="22" t="n">
        <v>40166653.548618</v>
      </c>
      <c r="S690" s="4" t="n">
        <v>0.002780049059689205</v>
      </c>
      <c r="T690" s="4" t="n">
        <v>0.03466884709730178</v>
      </c>
      <c r="U690" s="19" t="n">
        <v>0.6825683596420122</v>
      </c>
      <c r="V690" s="19" t="n">
        <v>0.8413284132841339</v>
      </c>
      <c r="W690" s="4" t="n">
        <v>0.03688805378936899</v>
      </c>
      <c r="X690" s="4" t="n">
        <v>0.005691056910569148</v>
      </c>
      <c r="Y690" s="4" t="n">
        <v>0.003181657916008107</v>
      </c>
      <c r="Z690" s="4" t="n">
        <v>0.005974397761642991</v>
      </c>
      <c r="AA690" s="4" t="n">
        <v>0.03</v>
      </c>
      <c r="AB690" s="4" t="n">
        <v>0.05</v>
      </c>
      <c r="AC690" s="4">
        <f>(AB690+2*參數!$B$7)/(AA690+AB690)</f>
        <v/>
      </c>
    </row>
    <row r="691">
      <c r="A691" s="2" t="n">
        <v>690</v>
      </c>
      <c r="B691" s="2" t="inlineStr">
        <is>
          <t>ZRO_USDT_PERP</t>
        </is>
      </c>
      <c r="C691" s="2" t="inlineStr">
        <is>
          <t>做多</t>
        </is>
      </c>
      <c r="D691" s="7" t="n">
        <v>46303.29166666666</v>
      </c>
      <c r="E691" s="20" t="n">
        <v>2.227</v>
      </c>
      <c r="F691" s="20" t="n">
        <v>2.29381</v>
      </c>
      <c r="G691" s="20" t="n">
        <v>2.11565</v>
      </c>
      <c r="H691" s="7" t="n">
        <v>46303.41666666666</v>
      </c>
      <c r="I691" s="20" t="n">
        <v>2.2311</v>
      </c>
      <c r="J691" s="2" t="inlineStr">
        <is>
          <t>未平倉</t>
        </is>
      </c>
      <c r="K691" s="5">
        <f>(H691-D691)*24</f>
        <v/>
      </c>
      <c r="L691" s="4">
        <f>IF(C691="做多",I691/E691-1,1-I691/E691)-2*參數!$B$7</f>
        <v/>
      </c>
      <c r="M691" s="2" t="inlineStr">
        <is>
          <t>持倉中（以最新收盤估值）</t>
        </is>
      </c>
      <c r="N691" s="4" t="n">
        <v>0.02395512437353431</v>
      </c>
      <c r="O691" s="4" t="n">
        <v>0.02321954260160883</v>
      </c>
      <c r="P691" s="4" t="n">
        <v>0.02601668716857164</v>
      </c>
      <c r="Q691" s="22" t="n">
        <v>45655.29999999999</v>
      </c>
      <c r="R691" s="22" t="n">
        <v>1617227.84274</v>
      </c>
      <c r="S691" s="4" t="n">
        <v>0.02047597665020229</v>
      </c>
      <c r="T691" s="4" t="n">
        <v>0.01701841041760221</v>
      </c>
      <c r="U691" s="19" t="n">
        <v>0.9377502230902405</v>
      </c>
      <c r="V691" s="19" t="n">
        <v>0.833827893175073</v>
      </c>
      <c r="W691" s="4" t="n">
        <v>0.06834685437333787</v>
      </c>
      <c r="X691" s="4" t="n">
        <v>-0.01394731016161177</v>
      </c>
      <c r="Y691" s="4" t="n">
        <v>0.0009263837707187417</v>
      </c>
      <c r="Z691" s="4" t="n">
        <v>-0.004684732409403258</v>
      </c>
      <c r="AA691" s="4" t="n">
        <v>0.03</v>
      </c>
      <c r="AB691" s="4" t="n">
        <v>0.05</v>
      </c>
      <c r="AC691" s="4">
        <f>(AB691+2*參數!$B$7)/(AA691+AB691)</f>
        <v/>
      </c>
    </row>
    <row r="692">
      <c r="A692" s="2" t="n">
        <v>691</v>
      </c>
      <c r="B692" s="2" t="inlineStr">
        <is>
          <t>PONS_USDT_PERP</t>
        </is>
      </c>
      <c r="C692" s="2" t="inlineStr">
        <is>
          <t>做空</t>
        </is>
      </c>
      <c r="D692" s="7" t="n">
        <v>46303.41666666666</v>
      </c>
      <c r="E692" s="20" t="n">
        <v>0.3795</v>
      </c>
      <c r="F692" s="20" t="n">
        <v>0.368115</v>
      </c>
      <c r="G692" s="20" t="n">
        <v>0.398475</v>
      </c>
      <c r="H692" s="7" t="n">
        <v>46303.41666666666</v>
      </c>
      <c r="I692" s="20" t="n">
        <v>0.3795</v>
      </c>
      <c r="J692" s="2" t="inlineStr">
        <is>
          <t>未平倉</t>
        </is>
      </c>
      <c r="K692" s="5">
        <f>(H692-D692)*24</f>
        <v/>
      </c>
      <c r="L692" s="4">
        <f>IF(C692="做多",I692/E692-1,1-I692/E692)-2*參數!$B$7</f>
        <v/>
      </c>
      <c r="M692" s="2" t="inlineStr">
        <is>
          <t>持倉中（以最新收盤估值）</t>
        </is>
      </c>
      <c r="N692" s="4" t="n">
        <v>-0.02341739577972202</v>
      </c>
      <c r="O692" s="4" t="n">
        <v>0.03060136328300481</v>
      </c>
      <c r="P692" s="4" t="n">
        <v>-0.04242837137125777</v>
      </c>
      <c r="Q692" s="22" t="n">
        <v>-378034</v>
      </c>
      <c r="R692" s="22" t="n">
        <v>1566960.5064</v>
      </c>
      <c r="S692" s="4" t="n">
        <v>0</v>
      </c>
      <c r="T692" s="4" t="n">
        <v>0</v>
      </c>
      <c r="U692" s="19" t="n">
        <v>0.5700581799886529</v>
      </c>
      <c r="V692" s="19" t="n">
        <v>0.926470588235294</v>
      </c>
      <c r="W692" s="4" t="n">
        <v>0.04511005767082321</v>
      </c>
      <c r="X692" s="4" t="n">
        <v>0.01988636363636365</v>
      </c>
      <c r="Y692" s="4" t="n">
        <v>0.003222051552824845</v>
      </c>
      <c r="Z692" s="4" t="n">
        <v>0.004615413191225937</v>
      </c>
      <c r="AA692" s="4" t="n">
        <v>0.03</v>
      </c>
      <c r="AB692" s="4" t="n">
        <v>0.05</v>
      </c>
      <c r="AC692" s="4">
        <f>(AB692+2*參數!$B$7)/(AA692+AB692)</f>
        <v/>
      </c>
    </row>
  </sheetData>
  <autoFilter ref="A1:AC692"/>
  <conditionalFormatting sqref="J2:J69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COUNTIFS(交易明細!$B$2:$B$692,$A2)</f>
        <v/>
      </c>
      <c r="C2" s="2">
        <f>COUNTIFS(交易明細!$B$2:$B$692,$A2,交易明細!$C$2:$C$692,"做多")</f>
        <v/>
      </c>
      <c r="D2" s="2">
        <f>COUNTIFS(交易明細!$B$2:$B$692,$A2,交易明細!$C$2:$C$692,"做空")</f>
        <v/>
      </c>
      <c r="E2" s="2">
        <f>F2+G2+COUNTIFS(交易明細!$B$2:$B$692,$A2,交易明細!$J$2:$J$692,"時間出場")</f>
        <v/>
      </c>
      <c r="F2" s="2">
        <f>COUNTIFS(交易明細!$B$2:$B$692,$A2,交易明細!$J$2:$J$692,"止盈")</f>
        <v/>
      </c>
      <c r="G2" s="2">
        <f>COUNTIFS(交易明細!$B$2:$B$692,$A2,交易明細!$J$2:$J$692,"止損")</f>
        <v/>
      </c>
      <c r="H2" s="4">
        <f>IFERROR(F2/E2,0)</f>
        <v/>
      </c>
      <c r="I2" s="4">
        <f>IFERROR(AVERAGEIFS(交易明細!$L$2:$L$692,交易明細!$B$2:$B$692,$A2,交易明細!$J$2:$J$692,"&lt;&gt;未平倉"),0)</f>
        <v/>
      </c>
      <c r="J2" s="4">
        <f>SUMIFS(交易明細!$L$2:$L$692,交易明細!$B$2:$B$692,$A2,交易明細!$J$2:$J$692,"&lt;&gt;未平倉")</f>
        <v/>
      </c>
      <c r="K2" s="5">
        <f>IFERROR(AVERAGEIFS(交易明細!$K$2:$K$692,交易明細!$B$2:$B$692,$A2,交易明細!$J$2:$J$692,"&lt;&gt;未平倉"),0)</f>
        <v/>
      </c>
      <c r="L2" s="2">
        <f>COUNTIFS(交易明細!$B$2:$B$692,$A2,交易明細!$J$2:$J$692,"未平倉")</f>
        <v/>
      </c>
    </row>
    <row r="3">
      <c r="A3" s="2" t="inlineStr">
        <is>
          <t>USELESS_USDT_PERP</t>
        </is>
      </c>
      <c r="B3" s="2">
        <f>COUNTIFS(交易明細!$B$2:$B$692,$A3)</f>
        <v/>
      </c>
      <c r="C3" s="2">
        <f>COUNTIFS(交易明細!$B$2:$B$692,$A3,交易明細!$C$2:$C$692,"做多")</f>
        <v/>
      </c>
      <c r="D3" s="2">
        <f>COUNTIFS(交易明細!$B$2:$B$692,$A3,交易明細!$C$2:$C$692,"做空")</f>
        <v/>
      </c>
      <c r="E3" s="2">
        <f>F3+G3+COUNTIFS(交易明細!$B$2:$B$692,$A3,交易明細!$J$2:$J$692,"時間出場")</f>
        <v/>
      </c>
      <c r="F3" s="2">
        <f>COUNTIFS(交易明細!$B$2:$B$692,$A3,交易明細!$J$2:$J$692,"止盈")</f>
        <v/>
      </c>
      <c r="G3" s="2">
        <f>COUNTIFS(交易明細!$B$2:$B$692,$A3,交易明細!$J$2:$J$692,"止損")</f>
        <v/>
      </c>
      <c r="H3" s="4">
        <f>IFERROR(F3/E3,0)</f>
        <v/>
      </c>
      <c r="I3" s="4">
        <f>IFERROR(AVERAGEIFS(交易明細!$L$2:$L$692,交易明細!$B$2:$B$692,$A3,交易明細!$J$2:$J$692,"&lt;&gt;未平倉"),0)</f>
        <v/>
      </c>
      <c r="J3" s="4">
        <f>SUMIFS(交易明細!$L$2:$L$692,交易明細!$B$2:$B$692,$A3,交易明細!$J$2:$J$692,"&lt;&gt;未平倉")</f>
        <v/>
      </c>
      <c r="K3" s="5">
        <f>IFERROR(AVERAGEIFS(交易明細!$K$2:$K$692,交易明細!$B$2:$B$692,$A3,交易明細!$J$2:$J$692,"&lt;&gt;未平倉"),0)</f>
        <v/>
      </c>
      <c r="L3" s="2">
        <f>COUNTIFS(交易明細!$B$2:$B$692,$A3,交易明細!$J$2:$J$692,"未平倉")</f>
        <v/>
      </c>
    </row>
    <row r="4">
      <c r="A4" s="2" t="inlineStr">
        <is>
          <t>PUMP_USDT_PERP</t>
        </is>
      </c>
      <c r="B4" s="2">
        <f>COUNTIFS(交易明細!$B$2:$B$692,$A4)</f>
        <v/>
      </c>
      <c r="C4" s="2">
        <f>COUNTIFS(交易明細!$B$2:$B$692,$A4,交易明細!$C$2:$C$692,"做多")</f>
        <v/>
      </c>
      <c r="D4" s="2">
        <f>COUNTIFS(交易明細!$B$2:$B$692,$A4,交易明細!$C$2:$C$692,"做空")</f>
        <v/>
      </c>
      <c r="E4" s="2">
        <f>F4+G4+COUNTIFS(交易明細!$B$2:$B$692,$A4,交易明細!$J$2:$J$692,"時間出場")</f>
        <v/>
      </c>
      <c r="F4" s="2">
        <f>COUNTIFS(交易明細!$B$2:$B$692,$A4,交易明細!$J$2:$J$692,"止盈")</f>
        <v/>
      </c>
      <c r="G4" s="2">
        <f>COUNTIFS(交易明細!$B$2:$B$692,$A4,交易明細!$J$2:$J$692,"止損")</f>
        <v/>
      </c>
      <c r="H4" s="4">
        <f>IFERROR(F4/E4,0)</f>
        <v/>
      </c>
      <c r="I4" s="4">
        <f>IFERROR(AVERAGEIFS(交易明細!$L$2:$L$692,交易明細!$B$2:$B$692,$A4,交易明細!$J$2:$J$692,"&lt;&gt;未平倉"),0)</f>
        <v/>
      </c>
      <c r="J4" s="4">
        <f>SUMIFS(交易明細!$L$2:$L$692,交易明細!$B$2:$B$692,$A4,交易明細!$J$2:$J$692,"&lt;&gt;未平倉")</f>
        <v/>
      </c>
      <c r="K4" s="5">
        <f>IFERROR(AVERAGEIFS(交易明細!$K$2:$K$692,交易明細!$B$2:$B$692,$A4,交易明細!$J$2:$J$692,"&lt;&gt;未平倉"),0)</f>
        <v/>
      </c>
      <c r="L4" s="2">
        <f>COUNTIFS(交易明細!$B$2:$B$692,$A4,交易明細!$J$2:$J$692,"未平倉")</f>
        <v/>
      </c>
    </row>
    <row r="5">
      <c r="A5" s="2" t="inlineStr">
        <is>
          <t>MARSCOIN_USDT_PERP</t>
        </is>
      </c>
      <c r="B5" s="2">
        <f>COUNTIFS(交易明細!$B$2:$B$692,$A5)</f>
        <v/>
      </c>
      <c r="C5" s="2">
        <f>COUNTIFS(交易明細!$B$2:$B$692,$A5,交易明細!$C$2:$C$692,"做多")</f>
        <v/>
      </c>
      <c r="D5" s="2">
        <f>COUNTIFS(交易明細!$B$2:$B$692,$A5,交易明細!$C$2:$C$692,"做空")</f>
        <v/>
      </c>
      <c r="E5" s="2">
        <f>F5+G5+COUNTIFS(交易明細!$B$2:$B$692,$A5,交易明細!$J$2:$J$692,"時間出場")</f>
        <v/>
      </c>
      <c r="F5" s="2">
        <f>COUNTIFS(交易明細!$B$2:$B$692,$A5,交易明細!$J$2:$J$692,"止盈")</f>
        <v/>
      </c>
      <c r="G5" s="2">
        <f>COUNTIFS(交易明細!$B$2:$B$692,$A5,交易明細!$J$2:$J$692,"止損")</f>
        <v/>
      </c>
      <c r="H5" s="4">
        <f>IFERROR(F5/E5,0)</f>
        <v/>
      </c>
      <c r="I5" s="4">
        <f>IFERROR(AVERAGEIFS(交易明細!$L$2:$L$692,交易明細!$B$2:$B$692,$A5,交易明細!$J$2:$J$692,"&lt;&gt;未平倉"),0)</f>
        <v/>
      </c>
      <c r="J5" s="4">
        <f>SUMIFS(交易明細!$L$2:$L$692,交易明細!$B$2:$B$692,$A5,交易明細!$J$2:$J$692,"&lt;&gt;未平倉")</f>
        <v/>
      </c>
      <c r="K5" s="5">
        <f>IFERROR(AVERAGEIFS(交易明細!$K$2:$K$692,交易明細!$B$2:$B$692,$A5,交易明細!$J$2:$J$692,"&lt;&gt;未平倉"),0)</f>
        <v/>
      </c>
      <c r="L5" s="2">
        <f>COUNTIFS(交易明細!$B$2:$B$692,$A5,交易明細!$J$2:$J$692,"未平倉")</f>
        <v/>
      </c>
    </row>
    <row r="6">
      <c r="A6" s="2" t="inlineStr">
        <is>
          <t>AKE_USDT_PERP</t>
        </is>
      </c>
      <c r="B6" s="2">
        <f>COUNTIFS(交易明細!$B$2:$B$692,$A6)</f>
        <v/>
      </c>
      <c r="C6" s="2">
        <f>COUNTIFS(交易明細!$B$2:$B$692,$A6,交易明細!$C$2:$C$692,"做多")</f>
        <v/>
      </c>
      <c r="D6" s="2">
        <f>COUNTIFS(交易明細!$B$2:$B$692,$A6,交易明細!$C$2:$C$692,"做空")</f>
        <v/>
      </c>
      <c r="E6" s="2">
        <f>F6+G6+COUNTIFS(交易明細!$B$2:$B$692,$A6,交易明細!$J$2:$J$692,"時間出場")</f>
        <v/>
      </c>
      <c r="F6" s="2">
        <f>COUNTIFS(交易明細!$B$2:$B$692,$A6,交易明細!$J$2:$J$692,"止盈")</f>
        <v/>
      </c>
      <c r="G6" s="2">
        <f>COUNTIFS(交易明細!$B$2:$B$692,$A6,交易明細!$J$2:$J$692,"止損")</f>
        <v/>
      </c>
      <c r="H6" s="4">
        <f>IFERROR(F6/E6,0)</f>
        <v/>
      </c>
      <c r="I6" s="4">
        <f>IFERROR(AVERAGEIFS(交易明細!$L$2:$L$692,交易明細!$B$2:$B$692,$A6,交易明細!$J$2:$J$692,"&lt;&gt;未平倉"),0)</f>
        <v/>
      </c>
      <c r="J6" s="4">
        <f>SUMIFS(交易明細!$L$2:$L$692,交易明細!$B$2:$B$692,$A6,交易明細!$J$2:$J$692,"&lt;&gt;未平倉")</f>
        <v/>
      </c>
      <c r="K6" s="5">
        <f>IFERROR(AVERAGEIFS(交易明細!$K$2:$K$692,交易明細!$B$2:$B$692,$A6,交易明細!$J$2:$J$692,"&lt;&gt;未平倉"),0)</f>
        <v/>
      </c>
      <c r="L6" s="2">
        <f>COUNTIFS(交易明細!$B$2:$B$692,$A6,交易明細!$J$2:$J$692,"未平倉")</f>
        <v/>
      </c>
    </row>
    <row r="7">
      <c r="A7" s="2" t="inlineStr">
        <is>
          <t>NEAR_USDT_PERP</t>
        </is>
      </c>
      <c r="B7" s="2">
        <f>COUNTIFS(交易明細!$B$2:$B$692,$A7)</f>
        <v/>
      </c>
      <c r="C7" s="2">
        <f>COUNTIFS(交易明細!$B$2:$B$692,$A7,交易明細!$C$2:$C$692,"做多")</f>
        <v/>
      </c>
      <c r="D7" s="2">
        <f>COUNTIFS(交易明細!$B$2:$B$692,$A7,交易明細!$C$2:$C$692,"做空")</f>
        <v/>
      </c>
      <c r="E7" s="2">
        <f>F7+G7+COUNTIFS(交易明細!$B$2:$B$692,$A7,交易明細!$J$2:$J$692,"時間出場")</f>
        <v/>
      </c>
      <c r="F7" s="2">
        <f>COUNTIFS(交易明細!$B$2:$B$692,$A7,交易明細!$J$2:$J$692,"止盈")</f>
        <v/>
      </c>
      <c r="G7" s="2">
        <f>COUNTIFS(交易明細!$B$2:$B$692,$A7,交易明細!$J$2:$J$692,"止損")</f>
        <v/>
      </c>
      <c r="H7" s="4">
        <f>IFERROR(F7/E7,0)</f>
        <v/>
      </c>
      <c r="I7" s="4">
        <f>IFERROR(AVERAGEIFS(交易明細!$L$2:$L$692,交易明細!$B$2:$B$692,$A7,交易明細!$J$2:$J$692,"&lt;&gt;未平倉"),0)</f>
        <v/>
      </c>
      <c r="J7" s="4">
        <f>SUMIFS(交易明細!$L$2:$L$692,交易明細!$B$2:$B$692,$A7,交易明細!$J$2:$J$692,"&lt;&gt;未平倉")</f>
        <v/>
      </c>
      <c r="K7" s="5">
        <f>IFERROR(AVERAGEIFS(交易明細!$K$2:$K$692,交易明細!$B$2:$B$692,$A7,交易明細!$J$2:$J$692,"&lt;&gt;未平倉"),0)</f>
        <v/>
      </c>
      <c r="L7" s="2">
        <f>COUNTIFS(交易明細!$B$2:$B$692,$A7,交易明細!$J$2:$J$692,"未平倉")</f>
        <v/>
      </c>
    </row>
    <row r="8">
      <c r="A8" s="2" t="inlineStr">
        <is>
          <t>LIT_USDT_PERP</t>
        </is>
      </c>
      <c r="B8" s="2">
        <f>COUNTIFS(交易明細!$B$2:$B$692,$A8)</f>
        <v/>
      </c>
      <c r="C8" s="2">
        <f>COUNTIFS(交易明細!$B$2:$B$692,$A8,交易明細!$C$2:$C$692,"做多")</f>
        <v/>
      </c>
      <c r="D8" s="2">
        <f>COUNTIFS(交易明細!$B$2:$B$692,$A8,交易明細!$C$2:$C$692,"做空")</f>
        <v/>
      </c>
      <c r="E8" s="2">
        <f>F8+G8+COUNTIFS(交易明細!$B$2:$B$692,$A8,交易明細!$J$2:$J$692,"時間出場")</f>
        <v/>
      </c>
      <c r="F8" s="2">
        <f>COUNTIFS(交易明細!$B$2:$B$692,$A8,交易明細!$J$2:$J$692,"止盈")</f>
        <v/>
      </c>
      <c r="G8" s="2">
        <f>COUNTIFS(交易明細!$B$2:$B$692,$A8,交易明細!$J$2:$J$692,"止損")</f>
        <v/>
      </c>
      <c r="H8" s="4">
        <f>IFERROR(F8/E8,0)</f>
        <v/>
      </c>
      <c r="I8" s="4">
        <f>IFERROR(AVERAGEIFS(交易明細!$L$2:$L$692,交易明細!$B$2:$B$692,$A8,交易明細!$J$2:$J$692,"&lt;&gt;未平倉"),0)</f>
        <v/>
      </c>
      <c r="J8" s="4">
        <f>SUMIFS(交易明細!$L$2:$L$692,交易明細!$B$2:$B$692,$A8,交易明細!$J$2:$J$692,"&lt;&gt;未平倉")</f>
        <v/>
      </c>
      <c r="K8" s="5">
        <f>IFERROR(AVERAGEIFS(交易明細!$K$2:$K$692,交易明細!$B$2:$B$692,$A8,交易明細!$J$2:$J$692,"&lt;&gt;未平倉"),0)</f>
        <v/>
      </c>
      <c r="L8" s="2">
        <f>COUNTIFS(交易明細!$B$2:$B$692,$A8,交易明細!$J$2:$J$692,"未平倉")</f>
        <v/>
      </c>
    </row>
    <row r="9">
      <c r="A9" s="2" t="inlineStr">
        <is>
          <t>ENA_USDT_PERP</t>
        </is>
      </c>
      <c r="B9" s="2">
        <f>COUNTIFS(交易明細!$B$2:$B$692,$A9)</f>
        <v/>
      </c>
      <c r="C9" s="2">
        <f>COUNTIFS(交易明細!$B$2:$B$692,$A9,交易明細!$C$2:$C$692,"做多")</f>
        <v/>
      </c>
      <c r="D9" s="2">
        <f>COUNTIFS(交易明細!$B$2:$B$692,$A9,交易明細!$C$2:$C$692,"做空")</f>
        <v/>
      </c>
      <c r="E9" s="2">
        <f>F9+G9+COUNTIFS(交易明細!$B$2:$B$692,$A9,交易明細!$J$2:$J$692,"時間出場")</f>
        <v/>
      </c>
      <c r="F9" s="2">
        <f>COUNTIFS(交易明細!$B$2:$B$692,$A9,交易明細!$J$2:$J$692,"止盈")</f>
        <v/>
      </c>
      <c r="G9" s="2">
        <f>COUNTIFS(交易明細!$B$2:$B$692,$A9,交易明細!$J$2:$J$692,"止損")</f>
        <v/>
      </c>
      <c r="H9" s="4">
        <f>IFERROR(F9/E9,0)</f>
        <v/>
      </c>
      <c r="I9" s="4">
        <f>IFERROR(AVERAGEIFS(交易明細!$L$2:$L$692,交易明細!$B$2:$B$692,$A9,交易明細!$J$2:$J$692,"&lt;&gt;未平倉"),0)</f>
        <v/>
      </c>
      <c r="J9" s="4">
        <f>SUMIFS(交易明細!$L$2:$L$692,交易明細!$B$2:$B$692,$A9,交易明細!$J$2:$J$692,"&lt;&gt;未平倉")</f>
        <v/>
      </c>
      <c r="K9" s="5">
        <f>IFERROR(AVERAGEIFS(交易明細!$K$2:$K$692,交易明細!$B$2:$B$692,$A9,交易明細!$J$2:$J$692,"&lt;&gt;未平倉"),0)</f>
        <v/>
      </c>
      <c r="L9" s="2">
        <f>COUNTIFS(交易明細!$B$2:$B$692,$A9,交易明細!$J$2:$J$692,"未平倉")</f>
        <v/>
      </c>
    </row>
    <row r="10">
      <c r="A10" s="2" t="inlineStr">
        <is>
          <t>BR_USDT_PERP</t>
        </is>
      </c>
      <c r="B10" s="2">
        <f>COUNTIFS(交易明細!$B$2:$B$692,$A10)</f>
        <v/>
      </c>
      <c r="C10" s="2">
        <f>COUNTIFS(交易明細!$B$2:$B$692,$A10,交易明細!$C$2:$C$692,"做多")</f>
        <v/>
      </c>
      <c r="D10" s="2">
        <f>COUNTIFS(交易明細!$B$2:$B$692,$A10,交易明細!$C$2:$C$692,"做空")</f>
        <v/>
      </c>
      <c r="E10" s="2">
        <f>F10+G10+COUNTIFS(交易明細!$B$2:$B$692,$A10,交易明細!$J$2:$J$692,"時間出場")</f>
        <v/>
      </c>
      <c r="F10" s="2">
        <f>COUNTIFS(交易明細!$B$2:$B$692,$A10,交易明細!$J$2:$J$692,"止盈")</f>
        <v/>
      </c>
      <c r="G10" s="2">
        <f>COUNTIFS(交易明細!$B$2:$B$692,$A10,交易明細!$J$2:$J$692,"止損")</f>
        <v/>
      </c>
      <c r="H10" s="4">
        <f>IFERROR(F10/E10,0)</f>
        <v/>
      </c>
      <c r="I10" s="4">
        <f>IFERROR(AVERAGEIFS(交易明細!$L$2:$L$692,交易明細!$B$2:$B$692,$A10,交易明細!$J$2:$J$692,"&lt;&gt;未平倉"),0)</f>
        <v/>
      </c>
      <c r="J10" s="4">
        <f>SUMIFS(交易明細!$L$2:$L$692,交易明細!$B$2:$B$692,$A10,交易明細!$J$2:$J$692,"&lt;&gt;未平倉")</f>
        <v/>
      </c>
      <c r="K10" s="5">
        <f>IFERROR(AVERAGEIFS(交易明細!$K$2:$K$692,交易明細!$B$2:$B$692,$A10,交易明細!$J$2:$J$692,"&lt;&gt;未平倉"),0)</f>
        <v/>
      </c>
      <c r="L10" s="2">
        <f>COUNTIFS(交易明細!$B$2:$B$692,$A10,交易明細!$J$2:$J$692,"未平倉")</f>
        <v/>
      </c>
    </row>
    <row r="11">
      <c r="A11" s="2" t="inlineStr">
        <is>
          <t>牛来_USDT_PERP</t>
        </is>
      </c>
      <c r="B11" s="2">
        <f>COUNTIFS(交易明細!$B$2:$B$692,$A11)</f>
        <v/>
      </c>
      <c r="C11" s="2">
        <f>COUNTIFS(交易明細!$B$2:$B$692,$A11,交易明細!$C$2:$C$692,"做多")</f>
        <v/>
      </c>
      <c r="D11" s="2">
        <f>COUNTIFS(交易明細!$B$2:$B$692,$A11,交易明細!$C$2:$C$692,"做空")</f>
        <v/>
      </c>
      <c r="E11" s="2">
        <f>F11+G11+COUNTIFS(交易明細!$B$2:$B$692,$A11,交易明細!$J$2:$J$692,"時間出場")</f>
        <v/>
      </c>
      <c r="F11" s="2">
        <f>COUNTIFS(交易明細!$B$2:$B$692,$A11,交易明細!$J$2:$J$692,"止盈")</f>
        <v/>
      </c>
      <c r="G11" s="2">
        <f>COUNTIFS(交易明細!$B$2:$B$692,$A11,交易明細!$J$2:$J$692,"止損")</f>
        <v/>
      </c>
      <c r="H11" s="4">
        <f>IFERROR(F11/E11,0)</f>
        <v/>
      </c>
      <c r="I11" s="4">
        <f>IFERROR(AVERAGEIFS(交易明細!$L$2:$L$692,交易明細!$B$2:$B$692,$A11,交易明細!$J$2:$J$692,"&lt;&gt;未平倉"),0)</f>
        <v/>
      </c>
      <c r="J11" s="4">
        <f>SUMIFS(交易明細!$L$2:$L$692,交易明細!$B$2:$B$692,$A11,交易明細!$J$2:$J$692,"&lt;&gt;未平倉")</f>
        <v/>
      </c>
      <c r="K11" s="5">
        <f>IFERROR(AVERAGEIFS(交易明細!$K$2:$K$692,交易明細!$B$2:$B$692,$A11,交易明細!$J$2:$J$692,"&lt;&gt;未平倉"),0)</f>
        <v/>
      </c>
      <c r="L11" s="2">
        <f>COUNTIFS(交易明細!$B$2:$B$692,$A11,交易明細!$J$2:$J$692,"未平倉")</f>
        <v/>
      </c>
    </row>
    <row r="12">
      <c r="A12" s="2" t="inlineStr">
        <is>
          <t>ARB_USDT_PERP</t>
        </is>
      </c>
      <c r="B12" s="2">
        <f>COUNTIFS(交易明細!$B$2:$B$692,$A12)</f>
        <v/>
      </c>
      <c r="C12" s="2">
        <f>COUNTIFS(交易明細!$B$2:$B$692,$A12,交易明細!$C$2:$C$692,"做多")</f>
        <v/>
      </c>
      <c r="D12" s="2">
        <f>COUNTIFS(交易明細!$B$2:$B$692,$A12,交易明細!$C$2:$C$692,"做空")</f>
        <v/>
      </c>
      <c r="E12" s="2">
        <f>F12+G12+COUNTIFS(交易明細!$B$2:$B$692,$A12,交易明細!$J$2:$J$692,"時間出場")</f>
        <v/>
      </c>
      <c r="F12" s="2">
        <f>COUNTIFS(交易明細!$B$2:$B$692,$A12,交易明細!$J$2:$J$692,"止盈")</f>
        <v/>
      </c>
      <c r="G12" s="2">
        <f>COUNTIFS(交易明細!$B$2:$B$692,$A12,交易明細!$J$2:$J$692,"止損")</f>
        <v/>
      </c>
      <c r="H12" s="4">
        <f>IFERROR(F12/E12,0)</f>
        <v/>
      </c>
      <c r="I12" s="4">
        <f>IFERROR(AVERAGEIFS(交易明細!$L$2:$L$692,交易明細!$B$2:$B$692,$A12,交易明細!$J$2:$J$692,"&lt;&gt;未平倉"),0)</f>
        <v/>
      </c>
      <c r="J12" s="4">
        <f>SUMIFS(交易明細!$L$2:$L$692,交易明細!$B$2:$B$692,$A12,交易明細!$J$2:$J$692,"&lt;&gt;未平倉")</f>
        <v/>
      </c>
      <c r="K12" s="5">
        <f>IFERROR(AVERAGEIFS(交易明細!$K$2:$K$692,交易明細!$B$2:$B$692,$A12,交易明細!$J$2:$J$692,"&lt;&gt;未平倉"),0)</f>
        <v/>
      </c>
      <c r="L12" s="2">
        <f>COUNTIFS(交易明細!$B$2:$B$692,$A12,交易明細!$J$2:$J$692,"未平倉")</f>
        <v/>
      </c>
    </row>
    <row r="13">
      <c r="A13" s="2" t="inlineStr">
        <is>
          <t>QNT_USDT_PERP</t>
        </is>
      </c>
      <c r="B13" s="2">
        <f>COUNTIFS(交易明細!$B$2:$B$692,$A13)</f>
        <v/>
      </c>
      <c r="C13" s="2">
        <f>COUNTIFS(交易明細!$B$2:$B$692,$A13,交易明細!$C$2:$C$692,"做多")</f>
        <v/>
      </c>
      <c r="D13" s="2">
        <f>COUNTIFS(交易明細!$B$2:$B$692,$A13,交易明細!$C$2:$C$692,"做空")</f>
        <v/>
      </c>
      <c r="E13" s="2">
        <f>F13+G13+COUNTIFS(交易明細!$B$2:$B$692,$A13,交易明細!$J$2:$J$692,"時間出場")</f>
        <v/>
      </c>
      <c r="F13" s="2">
        <f>COUNTIFS(交易明細!$B$2:$B$692,$A13,交易明細!$J$2:$J$692,"止盈")</f>
        <v/>
      </c>
      <c r="G13" s="2">
        <f>COUNTIFS(交易明細!$B$2:$B$692,$A13,交易明細!$J$2:$J$692,"止損")</f>
        <v/>
      </c>
      <c r="H13" s="4">
        <f>IFERROR(F13/E13,0)</f>
        <v/>
      </c>
      <c r="I13" s="4">
        <f>IFERROR(AVERAGEIFS(交易明細!$L$2:$L$692,交易明細!$B$2:$B$692,$A13,交易明細!$J$2:$J$692,"&lt;&gt;未平倉"),0)</f>
        <v/>
      </c>
      <c r="J13" s="4">
        <f>SUMIFS(交易明細!$L$2:$L$692,交易明細!$B$2:$B$692,$A13,交易明細!$J$2:$J$692,"&lt;&gt;未平倉")</f>
        <v/>
      </c>
      <c r="K13" s="5">
        <f>IFERROR(AVERAGEIFS(交易明細!$K$2:$K$692,交易明細!$B$2:$B$692,$A13,交易明細!$J$2:$J$692,"&lt;&gt;未平倉"),0)</f>
        <v/>
      </c>
      <c r="L13" s="2">
        <f>COUNTIFS(交易明細!$B$2:$B$692,$A13,交易明細!$J$2:$J$692,"未平倉")</f>
        <v/>
      </c>
    </row>
    <row r="14">
      <c r="A14" s="2" t="inlineStr">
        <is>
          <t>UNI_USDT_PERP</t>
        </is>
      </c>
      <c r="B14" s="2">
        <f>COUNTIFS(交易明細!$B$2:$B$692,$A14)</f>
        <v/>
      </c>
      <c r="C14" s="2">
        <f>COUNTIFS(交易明細!$B$2:$B$692,$A14,交易明細!$C$2:$C$692,"做多")</f>
        <v/>
      </c>
      <c r="D14" s="2">
        <f>COUNTIFS(交易明細!$B$2:$B$692,$A14,交易明細!$C$2:$C$692,"做空")</f>
        <v/>
      </c>
      <c r="E14" s="2">
        <f>F14+G14+COUNTIFS(交易明細!$B$2:$B$692,$A14,交易明細!$J$2:$J$692,"時間出場")</f>
        <v/>
      </c>
      <c r="F14" s="2">
        <f>COUNTIFS(交易明細!$B$2:$B$692,$A14,交易明細!$J$2:$J$692,"止盈")</f>
        <v/>
      </c>
      <c r="G14" s="2">
        <f>COUNTIFS(交易明細!$B$2:$B$692,$A14,交易明細!$J$2:$J$692,"止損")</f>
        <v/>
      </c>
      <c r="H14" s="4">
        <f>IFERROR(F14/E14,0)</f>
        <v/>
      </c>
      <c r="I14" s="4">
        <f>IFERROR(AVERAGEIFS(交易明細!$L$2:$L$692,交易明細!$B$2:$B$692,$A14,交易明細!$J$2:$J$692,"&lt;&gt;未平倉"),0)</f>
        <v/>
      </c>
      <c r="J14" s="4">
        <f>SUMIFS(交易明細!$L$2:$L$692,交易明細!$B$2:$B$692,$A14,交易明細!$J$2:$J$692,"&lt;&gt;未平倉")</f>
        <v/>
      </c>
      <c r="K14" s="5">
        <f>IFERROR(AVERAGEIFS(交易明細!$K$2:$K$692,交易明細!$B$2:$B$692,$A14,交易明細!$J$2:$J$692,"&lt;&gt;未平倉"),0)</f>
        <v/>
      </c>
      <c r="L14" s="2">
        <f>COUNTIFS(交易明細!$B$2:$B$692,$A14,交易明細!$J$2:$J$692,"未平倉")</f>
        <v/>
      </c>
    </row>
    <row r="15">
      <c r="A15" s="2" t="inlineStr">
        <is>
          <t>VVV_USDT_PERP</t>
        </is>
      </c>
      <c r="B15" s="2">
        <f>COUNTIFS(交易明細!$B$2:$B$692,$A15)</f>
        <v/>
      </c>
      <c r="C15" s="2">
        <f>COUNTIFS(交易明細!$B$2:$B$692,$A15,交易明細!$C$2:$C$692,"做多")</f>
        <v/>
      </c>
      <c r="D15" s="2">
        <f>COUNTIFS(交易明細!$B$2:$B$692,$A15,交易明細!$C$2:$C$692,"做空")</f>
        <v/>
      </c>
      <c r="E15" s="2">
        <f>F15+G15+COUNTIFS(交易明細!$B$2:$B$692,$A15,交易明細!$J$2:$J$692,"時間出場")</f>
        <v/>
      </c>
      <c r="F15" s="2">
        <f>COUNTIFS(交易明細!$B$2:$B$692,$A15,交易明細!$J$2:$J$692,"止盈")</f>
        <v/>
      </c>
      <c r="G15" s="2">
        <f>COUNTIFS(交易明細!$B$2:$B$692,$A15,交易明細!$J$2:$J$692,"止損")</f>
        <v/>
      </c>
      <c r="H15" s="4">
        <f>IFERROR(F15/E15,0)</f>
        <v/>
      </c>
      <c r="I15" s="4">
        <f>IFERROR(AVERAGEIFS(交易明細!$L$2:$L$692,交易明細!$B$2:$B$692,$A15,交易明細!$J$2:$J$692,"&lt;&gt;未平倉"),0)</f>
        <v/>
      </c>
      <c r="J15" s="4">
        <f>SUMIFS(交易明細!$L$2:$L$692,交易明細!$B$2:$B$692,$A15,交易明細!$J$2:$J$692,"&lt;&gt;未平倉")</f>
        <v/>
      </c>
      <c r="K15" s="5">
        <f>IFERROR(AVERAGEIFS(交易明細!$K$2:$K$692,交易明細!$B$2:$B$692,$A15,交易明細!$J$2:$J$692,"&lt;&gt;未平倉"),0)</f>
        <v/>
      </c>
      <c r="L15" s="2">
        <f>COUNTIFS(交易明細!$B$2:$B$692,$A15,交易明細!$J$2:$J$692,"未平倉")</f>
        <v/>
      </c>
    </row>
    <row r="16">
      <c r="A16" s="2" t="inlineStr">
        <is>
          <t>LSK_USDT_PERP</t>
        </is>
      </c>
      <c r="B16" s="2">
        <f>COUNTIFS(交易明細!$B$2:$B$692,$A16)</f>
        <v/>
      </c>
      <c r="C16" s="2">
        <f>COUNTIFS(交易明細!$B$2:$B$692,$A16,交易明細!$C$2:$C$692,"做多")</f>
        <v/>
      </c>
      <c r="D16" s="2">
        <f>COUNTIFS(交易明細!$B$2:$B$692,$A16,交易明細!$C$2:$C$692,"做空")</f>
        <v/>
      </c>
      <c r="E16" s="2">
        <f>F16+G16+COUNTIFS(交易明細!$B$2:$B$692,$A16,交易明細!$J$2:$J$692,"時間出場")</f>
        <v/>
      </c>
      <c r="F16" s="2">
        <f>COUNTIFS(交易明細!$B$2:$B$692,$A16,交易明細!$J$2:$J$692,"止盈")</f>
        <v/>
      </c>
      <c r="G16" s="2">
        <f>COUNTIFS(交易明細!$B$2:$B$692,$A16,交易明細!$J$2:$J$692,"止損")</f>
        <v/>
      </c>
      <c r="H16" s="4">
        <f>IFERROR(F16/E16,0)</f>
        <v/>
      </c>
      <c r="I16" s="4">
        <f>IFERROR(AVERAGEIFS(交易明細!$L$2:$L$692,交易明細!$B$2:$B$692,$A16,交易明細!$J$2:$J$692,"&lt;&gt;未平倉"),0)</f>
        <v/>
      </c>
      <c r="J16" s="4">
        <f>SUMIFS(交易明細!$L$2:$L$692,交易明細!$B$2:$B$692,$A16,交易明細!$J$2:$J$692,"&lt;&gt;未平倉")</f>
        <v/>
      </c>
      <c r="K16" s="5">
        <f>IFERROR(AVERAGEIFS(交易明細!$K$2:$K$692,交易明細!$B$2:$B$692,$A16,交易明細!$J$2:$J$692,"&lt;&gt;未平倉"),0)</f>
        <v/>
      </c>
      <c r="L16" s="2">
        <f>COUNTIFS(交易明細!$B$2:$B$692,$A16,交易明細!$J$2:$J$692,"未平倉")</f>
        <v/>
      </c>
    </row>
    <row r="17">
      <c r="A17" s="2" t="inlineStr">
        <is>
          <t>UAI_USDT_PERP</t>
        </is>
      </c>
      <c r="B17" s="2">
        <f>COUNTIFS(交易明細!$B$2:$B$692,$A17)</f>
        <v/>
      </c>
      <c r="C17" s="2">
        <f>COUNTIFS(交易明細!$B$2:$B$692,$A17,交易明細!$C$2:$C$692,"做多")</f>
        <v/>
      </c>
      <c r="D17" s="2">
        <f>COUNTIFS(交易明細!$B$2:$B$692,$A17,交易明細!$C$2:$C$692,"做空")</f>
        <v/>
      </c>
      <c r="E17" s="2">
        <f>F17+G17+COUNTIFS(交易明細!$B$2:$B$692,$A17,交易明細!$J$2:$J$692,"時間出場")</f>
        <v/>
      </c>
      <c r="F17" s="2">
        <f>COUNTIFS(交易明細!$B$2:$B$692,$A17,交易明細!$J$2:$J$692,"止盈")</f>
        <v/>
      </c>
      <c r="G17" s="2">
        <f>COUNTIFS(交易明細!$B$2:$B$692,$A17,交易明細!$J$2:$J$692,"止損")</f>
        <v/>
      </c>
      <c r="H17" s="4">
        <f>IFERROR(F17/E17,0)</f>
        <v/>
      </c>
      <c r="I17" s="4">
        <f>IFERROR(AVERAGEIFS(交易明細!$L$2:$L$692,交易明細!$B$2:$B$692,$A17,交易明細!$J$2:$J$692,"&lt;&gt;未平倉"),0)</f>
        <v/>
      </c>
      <c r="J17" s="4">
        <f>SUMIFS(交易明細!$L$2:$L$692,交易明細!$B$2:$B$692,$A17,交易明細!$J$2:$J$692,"&lt;&gt;未平倉")</f>
        <v/>
      </c>
      <c r="K17" s="5">
        <f>IFERROR(AVERAGEIFS(交易明細!$K$2:$K$692,交易明細!$B$2:$B$692,$A17,交易明細!$J$2:$J$692,"&lt;&gt;未平倉"),0)</f>
        <v/>
      </c>
      <c r="L17" s="2">
        <f>COUNTIFS(交易明細!$B$2:$B$692,$A17,交易明細!$J$2:$J$692,"未平倉")</f>
        <v/>
      </c>
    </row>
    <row r="18">
      <c r="A18" s="2" t="inlineStr">
        <is>
          <t>BULLA_USDT_PERP</t>
        </is>
      </c>
      <c r="B18" s="2">
        <f>COUNTIFS(交易明細!$B$2:$B$692,$A18)</f>
        <v/>
      </c>
      <c r="C18" s="2">
        <f>COUNTIFS(交易明細!$B$2:$B$692,$A18,交易明細!$C$2:$C$692,"做多")</f>
        <v/>
      </c>
      <c r="D18" s="2">
        <f>COUNTIFS(交易明細!$B$2:$B$692,$A18,交易明細!$C$2:$C$692,"做空")</f>
        <v/>
      </c>
      <c r="E18" s="2">
        <f>F18+G18+COUNTIFS(交易明細!$B$2:$B$692,$A18,交易明細!$J$2:$J$692,"時間出場")</f>
        <v/>
      </c>
      <c r="F18" s="2">
        <f>COUNTIFS(交易明細!$B$2:$B$692,$A18,交易明細!$J$2:$J$692,"止盈")</f>
        <v/>
      </c>
      <c r="G18" s="2">
        <f>COUNTIFS(交易明細!$B$2:$B$692,$A18,交易明細!$J$2:$J$692,"止損")</f>
        <v/>
      </c>
      <c r="H18" s="4">
        <f>IFERROR(F18/E18,0)</f>
        <v/>
      </c>
      <c r="I18" s="4">
        <f>IFERROR(AVERAGEIFS(交易明細!$L$2:$L$692,交易明細!$B$2:$B$692,$A18,交易明細!$J$2:$J$692,"&lt;&gt;未平倉"),0)</f>
        <v/>
      </c>
      <c r="J18" s="4">
        <f>SUMIFS(交易明細!$L$2:$L$692,交易明細!$B$2:$B$692,$A18,交易明細!$J$2:$J$692,"&lt;&gt;未平倉")</f>
        <v/>
      </c>
      <c r="K18" s="5">
        <f>IFERROR(AVERAGEIFS(交易明細!$K$2:$K$692,交易明細!$B$2:$B$692,$A18,交易明細!$J$2:$J$692,"&lt;&gt;未平倉"),0)</f>
        <v/>
      </c>
      <c r="L18" s="2">
        <f>COUNTIFS(交易明細!$B$2:$B$692,$A18,交易明細!$J$2:$J$692,"未平倉")</f>
        <v/>
      </c>
    </row>
    <row r="19">
      <c r="A19" s="2" t="inlineStr">
        <is>
          <t>PENGU_USDT_PERP</t>
        </is>
      </c>
      <c r="B19" s="2">
        <f>COUNTIFS(交易明細!$B$2:$B$692,$A19)</f>
        <v/>
      </c>
      <c r="C19" s="2">
        <f>COUNTIFS(交易明細!$B$2:$B$692,$A19,交易明細!$C$2:$C$692,"做多")</f>
        <v/>
      </c>
      <c r="D19" s="2">
        <f>COUNTIFS(交易明細!$B$2:$B$692,$A19,交易明細!$C$2:$C$692,"做空")</f>
        <v/>
      </c>
      <c r="E19" s="2">
        <f>F19+G19+COUNTIFS(交易明細!$B$2:$B$692,$A19,交易明細!$J$2:$J$692,"時間出場")</f>
        <v/>
      </c>
      <c r="F19" s="2">
        <f>COUNTIFS(交易明細!$B$2:$B$692,$A19,交易明細!$J$2:$J$692,"止盈")</f>
        <v/>
      </c>
      <c r="G19" s="2">
        <f>COUNTIFS(交易明細!$B$2:$B$692,$A19,交易明細!$J$2:$J$692,"止損")</f>
        <v/>
      </c>
      <c r="H19" s="4">
        <f>IFERROR(F19/E19,0)</f>
        <v/>
      </c>
      <c r="I19" s="4">
        <f>IFERROR(AVERAGEIFS(交易明細!$L$2:$L$692,交易明細!$B$2:$B$692,$A19,交易明細!$J$2:$J$692,"&lt;&gt;未平倉"),0)</f>
        <v/>
      </c>
      <c r="J19" s="4">
        <f>SUMIFS(交易明細!$L$2:$L$692,交易明細!$B$2:$B$692,$A19,交易明細!$J$2:$J$692,"&lt;&gt;未平倉")</f>
        <v/>
      </c>
      <c r="K19" s="5">
        <f>IFERROR(AVERAGEIFS(交易明細!$K$2:$K$692,交易明細!$B$2:$B$692,$A19,交易明細!$J$2:$J$692,"&lt;&gt;未平倉"),0)</f>
        <v/>
      </c>
      <c r="L19" s="2">
        <f>COUNTIFS(交易明細!$B$2:$B$692,$A19,交易明細!$J$2:$J$692,"未平倉")</f>
        <v/>
      </c>
    </row>
    <row r="20">
      <c r="A20" s="2" t="inlineStr">
        <is>
          <t>HEMI_USDT_PERP</t>
        </is>
      </c>
      <c r="B20" s="2">
        <f>COUNTIFS(交易明細!$B$2:$B$692,$A20)</f>
        <v/>
      </c>
      <c r="C20" s="2">
        <f>COUNTIFS(交易明細!$B$2:$B$692,$A20,交易明細!$C$2:$C$692,"做多")</f>
        <v/>
      </c>
      <c r="D20" s="2">
        <f>COUNTIFS(交易明細!$B$2:$B$692,$A20,交易明細!$C$2:$C$692,"做空")</f>
        <v/>
      </c>
      <c r="E20" s="2">
        <f>F20+G20+COUNTIFS(交易明細!$B$2:$B$692,$A20,交易明細!$J$2:$J$692,"時間出場")</f>
        <v/>
      </c>
      <c r="F20" s="2">
        <f>COUNTIFS(交易明細!$B$2:$B$692,$A20,交易明細!$J$2:$J$692,"止盈")</f>
        <v/>
      </c>
      <c r="G20" s="2">
        <f>COUNTIFS(交易明細!$B$2:$B$692,$A20,交易明細!$J$2:$J$692,"止損")</f>
        <v/>
      </c>
      <c r="H20" s="4">
        <f>IFERROR(F20/E20,0)</f>
        <v/>
      </c>
      <c r="I20" s="4">
        <f>IFERROR(AVERAGEIFS(交易明細!$L$2:$L$692,交易明細!$B$2:$B$692,$A20,交易明細!$J$2:$J$692,"&lt;&gt;未平倉"),0)</f>
        <v/>
      </c>
      <c r="J20" s="4">
        <f>SUMIFS(交易明細!$L$2:$L$692,交易明細!$B$2:$B$692,$A20,交易明細!$J$2:$J$692,"&lt;&gt;未平倉")</f>
        <v/>
      </c>
      <c r="K20" s="5">
        <f>IFERROR(AVERAGEIFS(交易明細!$K$2:$K$692,交易明細!$B$2:$B$692,$A20,交易明細!$J$2:$J$692,"&lt;&gt;未平倉"),0)</f>
        <v/>
      </c>
      <c r="L20" s="2">
        <f>COUNTIFS(交易明細!$B$2:$B$692,$A20,交易明細!$J$2:$J$692,"未平倉")</f>
        <v/>
      </c>
    </row>
    <row r="21">
      <c r="A21" s="2" t="inlineStr">
        <is>
          <t>ZEC_USDT_PERP</t>
        </is>
      </c>
      <c r="B21" s="2">
        <f>COUNTIFS(交易明細!$B$2:$B$692,$A21)</f>
        <v/>
      </c>
      <c r="C21" s="2">
        <f>COUNTIFS(交易明細!$B$2:$B$692,$A21,交易明細!$C$2:$C$692,"做多")</f>
        <v/>
      </c>
      <c r="D21" s="2">
        <f>COUNTIFS(交易明細!$B$2:$B$692,$A21,交易明細!$C$2:$C$692,"做空")</f>
        <v/>
      </c>
      <c r="E21" s="2">
        <f>F21+G21+COUNTIFS(交易明細!$B$2:$B$692,$A21,交易明細!$J$2:$J$692,"時間出場")</f>
        <v/>
      </c>
      <c r="F21" s="2">
        <f>COUNTIFS(交易明細!$B$2:$B$692,$A21,交易明細!$J$2:$J$692,"止盈")</f>
        <v/>
      </c>
      <c r="G21" s="2">
        <f>COUNTIFS(交易明細!$B$2:$B$692,$A21,交易明細!$J$2:$J$692,"止損")</f>
        <v/>
      </c>
      <c r="H21" s="4">
        <f>IFERROR(F21/E21,0)</f>
        <v/>
      </c>
      <c r="I21" s="4">
        <f>IFERROR(AVERAGEIFS(交易明細!$L$2:$L$692,交易明細!$B$2:$B$692,$A21,交易明細!$J$2:$J$692,"&lt;&gt;未平倉"),0)</f>
        <v/>
      </c>
      <c r="J21" s="4">
        <f>SUMIFS(交易明細!$L$2:$L$692,交易明細!$B$2:$B$692,$A21,交易明細!$J$2:$J$692,"&lt;&gt;未平倉")</f>
        <v/>
      </c>
      <c r="K21" s="5">
        <f>IFERROR(AVERAGEIFS(交易明細!$K$2:$K$692,交易明細!$B$2:$B$692,$A21,交易明細!$J$2:$J$692,"&lt;&gt;未平倉"),0)</f>
        <v/>
      </c>
      <c r="L21" s="2">
        <f>COUNTIFS(交易明細!$B$2:$B$692,$A21,交易明細!$J$2:$J$692,"未平倉")</f>
        <v/>
      </c>
    </row>
    <row r="22">
      <c r="A22" s="2" t="inlineStr">
        <is>
          <t>WLD_USDT_PERP</t>
        </is>
      </c>
      <c r="B22" s="2">
        <f>COUNTIFS(交易明細!$B$2:$B$692,$A22)</f>
        <v/>
      </c>
      <c r="C22" s="2">
        <f>COUNTIFS(交易明細!$B$2:$B$692,$A22,交易明細!$C$2:$C$692,"做多")</f>
        <v/>
      </c>
      <c r="D22" s="2">
        <f>COUNTIFS(交易明細!$B$2:$B$692,$A22,交易明細!$C$2:$C$692,"做空")</f>
        <v/>
      </c>
      <c r="E22" s="2">
        <f>F22+G22+COUNTIFS(交易明細!$B$2:$B$692,$A22,交易明細!$J$2:$J$692,"時間出場")</f>
        <v/>
      </c>
      <c r="F22" s="2">
        <f>COUNTIFS(交易明細!$B$2:$B$692,$A22,交易明細!$J$2:$J$692,"止盈")</f>
        <v/>
      </c>
      <c r="G22" s="2">
        <f>COUNTIFS(交易明細!$B$2:$B$692,$A22,交易明細!$J$2:$J$692,"止損")</f>
        <v/>
      </c>
      <c r="H22" s="4">
        <f>IFERROR(F22/E22,0)</f>
        <v/>
      </c>
      <c r="I22" s="4">
        <f>IFERROR(AVERAGEIFS(交易明細!$L$2:$L$692,交易明細!$B$2:$B$692,$A22,交易明細!$J$2:$J$692,"&lt;&gt;未平倉"),0)</f>
        <v/>
      </c>
      <c r="J22" s="4">
        <f>SUMIFS(交易明細!$L$2:$L$692,交易明細!$B$2:$B$692,$A22,交易明細!$J$2:$J$692,"&lt;&gt;未平倉")</f>
        <v/>
      </c>
      <c r="K22" s="5">
        <f>IFERROR(AVERAGEIFS(交易明細!$K$2:$K$692,交易明細!$B$2:$B$692,$A22,交易明細!$J$2:$J$692,"&lt;&gt;未平倉"),0)</f>
        <v/>
      </c>
      <c r="L22" s="2">
        <f>COUNTIFS(交易明細!$B$2:$B$692,$A22,交易明細!$J$2:$J$692,"未平倉")</f>
        <v/>
      </c>
    </row>
    <row r="23">
      <c r="A23" s="2" t="inlineStr">
        <is>
          <t>XPL_USDT_PERP</t>
        </is>
      </c>
      <c r="B23" s="2">
        <f>COUNTIFS(交易明細!$B$2:$B$692,$A23)</f>
        <v/>
      </c>
      <c r="C23" s="2">
        <f>COUNTIFS(交易明細!$B$2:$B$692,$A23,交易明細!$C$2:$C$692,"做多")</f>
        <v/>
      </c>
      <c r="D23" s="2">
        <f>COUNTIFS(交易明細!$B$2:$B$692,$A23,交易明細!$C$2:$C$692,"做空")</f>
        <v/>
      </c>
      <c r="E23" s="2">
        <f>F23+G23+COUNTIFS(交易明細!$B$2:$B$692,$A23,交易明細!$J$2:$J$692,"時間出場")</f>
        <v/>
      </c>
      <c r="F23" s="2">
        <f>COUNTIFS(交易明細!$B$2:$B$692,$A23,交易明細!$J$2:$J$692,"止盈")</f>
        <v/>
      </c>
      <c r="G23" s="2">
        <f>COUNTIFS(交易明細!$B$2:$B$692,$A23,交易明細!$J$2:$J$692,"止損")</f>
        <v/>
      </c>
      <c r="H23" s="4">
        <f>IFERROR(F23/E23,0)</f>
        <v/>
      </c>
      <c r="I23" s="4">
        <f>IFERROR(AVERAGEIFS(交易明細!$L$2:$L$692,交易明細!$B$2:$B$692,$A23,交易明細!$J$2:$J$692,"&lt;&gt;未平倉"),0)</f>
        <v/>
      </c>
      <c r="J23" s="4">
        <f>SUMIFS(交易明細!$L$2:$L$692,交易明細!$B$2:$B$692,$A23,交易明細!$J$2:$J$692,"&lt;&gt;未平倉")</f>
        <v/>
      </c>
      <c r="K23" s="5">
        <f>IFERROR(AVERAGEIFS(交易明細!$K$2:$K$692,交易明細!$B$2:$B$692,$A23,交易明細!$J$2:$J$692,"&lt;&gt;未平倉"),0)</f>
        <v/>
      </c>
      <c r="L23" s="2">
        <f>COUNTIFS(交易明細!$B$2:$B$692,$A23,交易明細!$J$2:$J$692,"未平倉")</f>
        <v/>
      </c>
    </row>
    <row r="24">
      <c r="A24" s="2" t="inlineStr">
        <is>
          <t>RAY_USDT_PERP</t>
        </is>
      </c>
      <c r="B24" s="2">
        <f>COUNTIFS(交易明細!$B$2:$B$692,$A24)</f>
        <v/>
      </c>
      <c r="C24" s="2">
        <f>COUNTIFS(交易明細!$B$2:$B$692,$A24,交易明細!$C$2:$C$692,"做多")</f>
        <v/>
      </c>
      <c r="D24" s="2">
        <f>COUNTIFS(交易明細!$B$2:$B$692,$A24,交易明細!$C$2:$C$692,"做空")</f>
        <v/>
      </c>
      <c r="E24" s="2">
        <f>F24+G24+COUNTIFS(交易明細!$B$2:$B$692,$A24,交易明細!$J$2:$J$692,"時間出場")</f>
        <v/>
      </c>
      <c r="F24" s="2">
        <f>COUNTIFS(交易明細!$B$2:$B$692,$A24,交易明細!$J$2:$J$692,"止盈")</f>
        <v/>
      </c>
      <c r="G24" s="2">
        <f>COUNTIFS(交易明細!$B$2:$B$692,$A24,交易明細!$J$2:$J$692,"止損")</f>
        <v/>
      </c>
      <c r="H24" s="4">
        <f>IFERROR(F24/E24,0)</f>
        <v/>
      </c>
      <c r="I24" s="4">
        <f>IFERROR(AVERAGEIFS(交易明細!$L$2:$L$692,交易明細!$B$2:$B$692,$A24,交易明細!$J$2:$J$692,"&lt;&gt;未平倉"),0)</f>
        <v/>
      </c>
      <c r="J24" s="4">
        <f>SUMIFS(交易明細!$L$2:$L$692,交易明細!$B$2:$B$692,$A24,交易明細!$J$2:$J$692,"&lt;&gt;未平倉")</f>
        <v/>
      </c>
      <c r="K24" s="5">
        <f>IFERROR(AVERAGEIFS(交易明細!$K$2:$K$692,交易明細!$B$2:$B$692,$A24,交易明細!$J$2:$J$692,"&lt;&gt;未平倉"),0)</f>
        <v/>
      </c>
      <c r="L24" s="2">
        <f>COUNTIFS(交易明細!$B$2:$B$692,$A24,交易明細!$J$2:$J$692,"未平倉")</f>
        <v/>
      </c>
    </row>
    <row r="25">
      <c r="A25" s="2" t="inlineStr">
        <is>
          <t>INJ_USDT_PERP</t>
        </is>
      </c>
      <c r="B25" s="2">
        <f>COUNTIFS(交易明細!$B$2:$B$692,$A25)</f>
        <v/>
      </c>
      <c r="C25" s="2">
        <f>COUNTIFS(交易明細!$B$2:$B$692,$A25,交易明細!$C$2:$C$692,"做多")</f>
        <v/>
      </c>
      <c r="D25" s="2">
        <f>COUNTIFS(交易明細!$B$2:$B$692,$A25,交易明細!$C$2:$C$692,"做空")</f>
        <v/>
      </c>
      <c r="E25" s="2">
        <f>F25+G25+COUNTIFS(交易明細!$B$2:$B$692,$A25,交易明細!$J$2:$J$692,"時間出場")</f>
        <v/>
      </c>
      <c r="F25" s="2">
        <f>COUNTIFS(交易明細!$B$2:$B$692,$A25,交易明細!$J$2:$J$692,"止盈")</f>
        <v/>
      </c>
      <c r="G25" s="2">
        <f>COUNTIFS(交易明細!$B$2:$B$692,$A25,交易明細!$J$2:$J$692,"止損")</f>
        <v/>
      </c>
      <c r="H25" s="4">
        <f>IFERROR(F25/E25,0)</f>
        <v/>
      </c>
      <c r="I25" s="4">
        <f>IFERROR(AVERAGEIFS(交易明細!$L$2:$L$692,交易明細!$B$2:$B$692,$A25,交易明細!$J$2:$J$692,"&lt;&gt;未平倉"),0)</f>
        <v/>
      </c>
      <c r="J25" s="4">
        <f>SUMIFS(交易明細!$L$2:$L$692,交易明細!$B$2:$B$692,$A25,交易明細!$J$2:$J$692,"&lt;&gt;未平倉")</f>
        <v/>
      </c>
      <c r="K25" s="5">
        <f>IFERROR(AVERAGEIFS(交易明細!$K$2:$K$692,交易明細!$B$2:$B$692,$A25,交易明細!$J$2:$J$692,"&lt;&gt;未平倉"),0)</f>
        <v/>
      </c>
      <c r="L25" s="2">
        <f>COUNTIFS(交易明細!$B$2:$B$692,$A25,交易明細!$J$2:$J$692,"未平倉")</f>
        <v/>
      </c>
    </row>
    <row r="26">
      <c r="A26" s="2" t="inlineStr">
        <is>
          <t>FET_USDT_PERP</t>
        </is>
      </c>
      <c r="B26" s="2">
        <f>COUNTIFS(交易明細!$B$2:$B$692,$A26)</f>
        <v/>
      </c>
      <c r="C26" s="2">
        <f>COUNTIFS(交易明細!$B$2:$B$692,$A26,交易明細!$C$2:$C$692,"做多")</f>
        <v/>
      </c>
      <c r="D26" s="2">
        <f>COUNTIFS(交易明細!$B$2:$B$692,$A26,交易明細!$C$2:$C$692,"做空")</f>
        <v/>
      </c>
      <c r="E26" s="2">
        <f>F26+G26+COUNTIFS(交易明細!$B$2:$B$692,$A26,交易明細!$J$2:$J$692,"時間出場")</f>
        <v/>
      </c>
      <c r="F26" s="2">
        <f>COUNTIFS(交易明細!$B$2:$B$692,$A26,交易明細!$J$2:$J$692,"止盈")</f>
        <v/>
      </c>
      <c r="G26" s="2">
        <f>COUNTIFS(交易明細!$B$2:$B$692,$A26,交易明細!$J$2:$J$692,"止損")</f>
        <v/>
      </c>
      <c r="H26" s="4">
        <f>IFERROR(F26/E26,0)</f>
        <v/>
      </c>
      <c r="I26" s="4">
        <f>IFERROR(AVERAGEIFS(交易明細!$L$2:$L$692,交易明細!$B$2:$B$692,$A26,交易明細!$J$2:$J$692,"&lt;&gt;未平倉"),0)</f>
        <v/>
      </c>
      <c r="J26" s="4">
        <f>SUMIFS(交易明細!$L$2:$L$692,交易明細!$B$2:$B$692,$A26,交易明細!$J$2:$J$692,"&lt;&gt;未平倉")</f>
        <v/>
      </c>
      <c r="K26" s="5">
        <f>IFERROR(AVERAGEIFS(交易明細!$K$2:$K$692,交易明細!$B$2:$B$692,$A26,交易明細!$J$2:$J$692,"&lt;&gt;未平倉"),0)</f>
        <v/>
      </c>
      <c r="L26" s="2">
        <f>COUNTIFS(交易明細!$B$2:$B$692,$A26,交易明細!$J$2:$J$692,"未平倉")</f>
        <v/>
      </c>
    </row>
    <row r="27">
      <c r="A27" s="2" t="inlineStr">
        <is>
          <t>DASH_USDT_PERP</t>
        </is>
      </c>
      <c r="B27" s="2">
        <f>COUNTIFS(交易明細!$B$2:$B$692,$A27)</f>
        <v/>
      </c>
      <c r="C27" s="2">
        <f>COUNTIFS(交易明細!$B$2:$B$692,$A27,交易明細!$C$2:$C$692,"做多")</f>
        <v/>
      </c>
      <c r="D27" s="2">
        <f>COUNTIFS(交易明細!$B$2:$B$692,$A27,交易明細!$C$2:$C$692,"做空")</f>
        <v/>
      </c>
      <c r="E27" s="2">
        <f>F27+G27+COUNTIFS(交易明細!$B$2:$B$692,$A27,交易明細!$J$2:$J$692,"時間出場")</f>
        <v/>
      </c>
      <c r="F27" s="2">
        <f>COUNTIFS(交易明細!$B$2:$B$692,$A27,交易明細!$J$2:$J$692,"止盈")</f>
        <v/>
      </c>
      <c r="G27" s="2">
        <f>COUNTIFS(交易明細!$B$2:$B$692,$A27,交易明細!$J$2:$J$692,"止損")</f>
        <v/>
      </c>
      <c r="H27" s="4">
        <f>IFERROR(F27/E27,0)</f>
        <v/>
      </c>
      <c r="I27" s="4">
        <f>IFERROR(AVERAGEIFS(交易明細!$L$2:$L$692,交易明細!$B$2:$B$692,$A27,交易明細!$J$2:$J$692,"&lt;&gt;未平倉"),0)</f>
        <v/>
      </c>
      <c r="J27" s="4">
        <f>SUMIFS(交易明細!$L$2:$L$692,交易明細!$B$2:$B$692,$A27,交易明細!$J$2:$J$692,"&lt;&gt;未平倉")</f>
        <v/>
      </c>
      <c r="K27" s="5">
        <f>IFERROR(AVERAGEIFS(交易明細!$K$2:$K$692,交易明細!$B$2:$B$692,$A27,交易明細!$J$2:$J$692,"&lt;&gt;未平倉"),0)</f>
        <v/>
      </c>
      <c r="L27" s="2">
        <f>COUNTIFS(交易明細!$B$2:$B$692,$A27,交易明細!$J$2:$J$692,"未平倉")</f>
        <v/>
      </c>
    </row>
    <row r="28">
      <c r="A28" s="2" t="inlineStr">
        <is>
          <t>BTW_USDT_PERP</t>
        </is>
      </c>
      <c r="B28" s="2">
        <f>COUNTIFS(交易明細!$B$2:$B$692,$A28)</f>
        <v/>
      </c>
      <c r="C28" s="2">
        <f>COUNTIFS(交易明細!$B$2:$B$692,$A28,交易明細!$C$2:$C$692,"做多")</f>
        <v/>
      </c>
      <c r="D28" s="2">
        <f>COUNTIFS(交易明細!$B$2:$B$692,$A28,交易明細!$C$2:$C$692,"做空")</f>
        <v/>
      </c>
      <c r="E28" s="2">
        <f>F28+G28+COUNTIFS(交易明細!$B$2:$B$692,$A28,交易明細!$J$2:$J$692,"時間出場")</f>
        <v/>
      </c>
      <c r="F28" s="2">
        <f>COUNTIFS(交易明細!$B$2:$B$692,$A28,交易明細!$J$2:$J$692,"止盈")</f>
        <v/>
      </c>
      <c r="G28" s="2">
        <f>COUNTIFS(交易明細!$B$2:$B$692,$A28,交易明細!$J$2:$J$692,"止損")</f>
        <v/>
      </c>
      <c r="H28" s="4">
        <f>IFERROR(F28/E28,0)</f>
        <v/>
      </c>
      <c r="I28" s="4">
        <f>IFERROR(AVERAGEIFS(交易明細!$L$2:$L$692,交易明細!$B$2:$B$692,$A28,交易明細!$J$2:$J$692,"&lt;&gt;未平倉"),0)</f>
        <v/>
      </c>
      <c r="J28" s="4">
        <f>SUMIFS(交易明細!$L$2:$L$692,交易明細!$B$2:$B$692,$A28,交易明細!$J$2:$J$692,"&lt;&gt;未平倉")</f>
        <v/>
      </c>
      <c r="K28" s="5">
        <f>IFERROR(AVERAGEIFS(交易明細!$K$2:$K$692,交易明細!$B$2:$B$692,$A28,交易明細!$J$2:$J$692,"&lt;&gt;未平倉"),0)</f>
        <v/>
      </c>
      <c r="L28" s="2">
        <f>COUNTIFS(交易明細!$B$2:$B$692,$A28,交易明細!$J$2:$J$692,"未平倉")</f>
        <v/>
      </c>
    </row>
    <row r="29">
      <c r="A29" s="2" t="inlineStr">
        <is>
          <t>ONDO_USDT_PERP</t>
        </is>
      </c>
      <c r="B29" s="2">
        <f>COUNTIFS(交易明細!$B$2:$B$692,$A29)</f>
        <v/>
      </c>
      <c r="C29" s="2">
        <f>COUNTIFS(交易明細!$B$2:$B$692,$A29,交易明細!$C$2:$C$692,"做多")</f>
        <v/>
      </c>
      <c r="D29" s="2">
        <f>COUNTIFS(交易明細!$B$2:$B$692,$A29,交易明細!$C$2:$C$692,"做空")</f>
        <v/>
      </c>
      <c r="E29" s="2">
        <f>F29+G29+COUNTIFS(交易明細!$B$2:$B$692,$A29,交易明細!$J$2:$J$692,"時間出場")</f>
        <v/>
      </c>
      <c r="F29" s="2">
        <f>COUNTIFS(交易明細!$B$2:$B$692,$A29,交易明細!$J$2:$J$692,"止盈")</f>
        <v/>
      </c>
      <c r="G29" s="2">
        <f>COUNTIFS(交易明細!$B$2:$B$692,$A29,交易明細!$J$2:$J$692,"止損")</f>
        <v/>
      </c>
      <c r="H29" s="4">
        <f>IFERROR(F29/E29,0)</f>
        <v/>
      </c>
      <c r="I29" s="4">
        <f>IFERROR(AVERAGEIFS(交易明細!$L$2:$L$692,交易明細!$B$2:$B$692,$A29,交易明細!$J$2:$J$692,"&lt;&gt;未平倉"),0)</f>
        <v/>
      </c>
      <c r="J29" s="4">
        <f>SUMIFS(交易明細!$L$2:$L$692,交易明細!$B$2:$B$692,$A29,交易明細!$J$2:$J$692,"&lt;&gt;未平倉")</f>
        <v/>
      </c>
      <c r="K29" s="5">
        <f>IFERROR(AVERAGEIFS(交易明細!$K$2:$K$692,交易明細!$B$2:$B$692,$A29,交易明細!$J$2:$J$692,"&lt;&gt;未平倉"),0)</f>
        <v/>
      </c>
      <c r="L29" s="2">
        <f>COUNTIFS(交易明細!$B$2:$B$692,$A29,交易明細!$J$2:$J$692,"未平倉")</f>
        <v/>
      </c>
    </row>
    <row r="30">
      <c r="A30" s="2" t="inlineStr">
        <is>
          <t>ZRO_USDT_PERP</t>
        </is>
      </c>
      <c r="B30" s="2">
        <f>COUNTIFS(交易明細!$B$2:$B$692,$A30)</f>
        <v/>
      </c>
      <c r="C30" s="2">
        <f>COUNTIFS(交易明細!$B$2:$B$692,$A30,交易明細!$C$2:$C$692,"做多")</f>
        <v/>
      </c>
      <c r="D30" s="2">
        <f>COUNTIFS(交易明細!$B$2:$B$692,$A30,交易明細!$C$2:$C$692,"做空")</f>
        <v/>
      </c>
      <c r="E30" s="2">
        <f>F30+G30+COUNTIFS(交易明細!$B$2:$B$692,$A30,交易明細!$J$2:$J$692,"時間出場")</f>
        <v/>
      </c>
      <c r="F30" s="2">
        <f>COUNTIFS(交易明細!$B$2:$B$692,$A30,交易明細!$J$2:$J$692,"止盈")</f>
        <v/>
      </c>
      <c r="G30" s="2">
        <f>COUNTIFS(交易明細!$B$2:$B$692,$A30,交易明細!$J$2:$J$692,"止損")</f>
        <v/>
      </c>
      <c r="H30" s="4">
        <f>IFERROR(F30/E30,0)</f>
        <v/>
      </c>
      <c r="I30" s="4">
        <f>IFERROR(AVERAGEIFS(交易明細!$L$2:$L$692,交易明細!$B$2:$B$692,$A30,交易明細!$J$2:$J$692,"&lt;&gt;未平倉"),0)</f>
        <v/>
      </c>
      <c r="J30" s="4">
        <f>SUMIFS(交易明細!$L$2:$L$692,交易明細!$B$2:$B$692,$A30,交易明細!$J$2:$J$692,"&lt;&gt;未平倉")</f>
        <v/>
      </c>
      <c r="K30" s="5">
        <f>IFERROR(AVERAGEIFS(交易明細!$K$2:$K$692,交易明細!$B$2:$B$692,$A30,交易明細!$J$2:$J$692,"&lt;&gt;未平倉"),0)</f>
        <v/>
      </c>
      <c r="L30" s="2">
        <f>COUNTIFS(交易明細!$B$2:$B$692,$A30,交易明細!$J$2:$J$692,"未平倉")</f>
        <v/>
      </c>
    </row>
    <row r="31">
      <c r="A31" s="2" t="inlineStr">
        <is>
          <t>AIN_USDT_PERP</t>
        </is>
      </c>
      <c r="B31" s="2">
        <f>COUNTIFS(交易明細!$B$2:$B$692,$A31)</f>
        <v/>
      </c>
      <c r="C31" s="2">
        <f>COUNTIFS(交易明細!$B$2:$B$692,$A31,交易明細!$C$2:$C$692,"做多")</f>
        <v/>
      </c>
      <c r="D31" s="2">
        <f>COUNTIFS(交易明細!$B$2:$B$692,$A31,交易明細!$C$2:$C$692,"做空")</f>
        <v/>
      </c>
      <c r="E31" s="2">
        <f>F31+G31+COUNTIFS(交易明細!$B$2:$B$692,$A31,交易明細!$J$2:$J$692,"時間出場")</f>
        <v/>
      </c>
      <c r="F31" s="2">
        <f>COUNTIFS(交易明細!$B$2:$B$692,$A31,交易明細!$J$2:$J$692,"止盈")</f>
        <v/>
      </c>
      <c r="G31" s="2">
        <f>COUNTIFS(交易明細!$B$2:$B$692,$A31,交易明細!$J$2:$J$692,"止損")</f>
        <v/>
      </c>
      <c r="H31" s="4">
        <f>IFERROR(F31/E31,0)</f>
        <v/>
      </c>
      <c r="I31" s="4">
        <f>IFERROR(AVERAGEIFS(交易明細!$L$2:$L$692,交易明細!$B$2:$B$692,$A31,交易明細!$J$2:$J$692,"&lt;&gt;未平倉"),0)</f>
        <v/>
      </c>
      <c r="J31" s="4">
        <f>SUMIFS(交易明細!$L$2:$L$692,交易明細!$B$2:$B$692,$A31,交易明細!$J$2:$J$692,"&lt;&gt;未平倉")</f>
        <v/>
      </c>
      <c r="K31" s="5">
        <f>IFERROR(AVERAGEIFS(交易明細!$K$2:$K$692,交易明細!$B$2:$B$692,$A31,交易明細!$J$2:$J$692,"&lt;&gt;未平倉"),0)</f>
        <v/>
      </c>
      <c r="L31" s="2">
        <f>COUNTIFS(交易明細!$B$2:$B$692,$A31,交易明細!$J$2:$J$692,"未平倉")</f>
        <v/>
      </c>
    </row>
    <row r="32">
      <c r="A32" s="2" t="inlineStr">
        <is>
          <t>ZAMA_USDT_PERP</t>
        </is>
      </c>
      <c r="B32" s="2">
        <f>COUNTIFS(交易明細!$B$2:$B$692,$A32)</f>
        <v/>
      </c>
      <c r="C32" s="2">
        <f>COUNTIFS(交易明細!$B$2:$B$692,$A32,交易明細!$C$2:$C$692,"做多")</f>
        <v/>
      </c>
      <c r="D32" s="2">
        <f>COUNTIFS(交易明細!$B$2:$B$692,$A32,交易明細!$C$2:$C$692,"做空")</f>
        <v/>
      </c>
      <c r="E32" s="2">
        <f>F32+G32+COUNTIFS(交易明細!$B$2:$B$692,$A32,交易明細!$J$2:$J$692,"時間出場")</f>
        <v/>
      </c>
      <c r="F32" s="2">
        <f>COUNTIFS(交易明細!$B$2:$B$692,$A32,交易明細!$J$2:$J$692,"止盈")</f>
        <v/>
      </c>
      <c r="G32" s="2">
        <f>COUNTIFS(交易明細!$B$2:$B$692,$A32,交易明細!$J$2:$J$692,"止損")</f>
        <v/>
      </c>
      <c r="H32" s="4">
        <f>IFERROR(F32/E32,0)</f>
        <v/>
      </c>
      <c r="I32" s="4">
        <f>IFERROR(AVERAGEIFS(交易明細!$L$2:$L$692,交易明細!$B$2:$B$692,$A32,交易明細!$J$2:$J$692,"&lt;&gt;未平倉"),0)</f>
        <v/>
      </c>
      <c r="J32" s="4">
        <f>SUMIFS(交易明細!$L$2:$L$692,交易明細!$B$2:$B$692,$A32,交易明細!$J$2:$J$692,"&lt;&gt;未平倉")</f>
        <v/>
      </c>
      <c r="K32" s="5">
        <f>IFERROR(AVERAGEIFS(交易明細!$K$2:$K$692,交易明細!$B$2:$B$692,$A32,交易明細!$J$2:$J$692,"&lt;&gt;未平倉"),0)</f>
        <v/>
      </c>
      <c r="L32" s="2">
        <f>COUNTIFS(交易明細!$B$2:$B$692,$A32,交易明細!$J$2:$J$692,"未平倉")</f>
        <v/>
      </c>
    </row>
    <row r="33">
      <c r="A33" s="2" t="inlineStr">
        <is>
          <t>GRASS_USDT_PERP</t>
        </is>
      </c>
      <c r="B33" s="2">
        <f>COUNTIFS(交易明細!$B$2:$B$692,$A33)</f>
        <v/>
      </c>
      <c r="C33" s="2">
        <f>COUNTIFS(交易明細!$B$2:$B$692,$A33,交易明細!$C$2:$C$692,"做多")</f>
        <v/>
      </c>
      <c r="D33" s="2">
        <f>COUNTIFS(交易明細!$B$2:$B$692,$A33,交易明細!$C$2:$C$692,"做空")</f>
        <v/>
      </c>
      <c r="E33" s="2">
        <f>F33+G33+COUNTIFS(交易明細!$B$2:$B$692,$A33,交易明細!$J$2:$J$692,"時間出場")</f>
        <v/>
      </c>
      <c r="F33" s="2">
        <f>COUNTIFS(交易明細!$B$2:$B$692,$A33,交易明細!$J$2:$J$692,"止盈")</f>
        <v/>
      </c>
      <c r="G33" s="2">
        <f>COUNTIFS(交易明細!$B$2:$B$692,$A33,交易明細!$J$2:$J$692,"止損")</f>
        <v/>
      </c>
      <c r="H33" s="4">
        <f>IFERROR(F33/E33,0)</f>
        <v/>
      </c>
      <c r="I33" s="4">
        <f>IFERROR(AVERAGEIFS(交易明細!$L$2:$L$692,交易明細!$B$2:$B$692,$A33,交易明細!$J$2:$J$692,"&lt;&gt;未平倉"),0)</f>
        <v/>
      </c>
      <c r="J33" s="4">
        <f>SUMIFS(交易明細!$L$2:$L$692,交易明細!$B$2:$B$692,$A33,交易明細!$J$2:$J$692,"&lt;&gt;未平倉")</f>
        <v/>
      </c>
      <c r="K33" s="5">
        <f>IFERROR(AVERAGEIFS(交易明細!$K$2:$K$692,交易明細!$B$2:$B$692,$A33,交易明細!$J$2:$J$692,"&lt;&gt;未平倉"),0)</f>
        <v/>
      </c>
      <c r="L33" s="2">
        <f>COUNTIFS(交易明細!$B$2:$B$692,$A33,交易明細!$J$2:$J$692,"未平倉")</f>
        <v/>
      </c>
    </row>
    <row r="34">
      <c r="A34" s="2" t="inlineStr">
        <is>
          <t>SUI_USDT_PERP</t>
        </is>
      </c>
      <c r="B34" s="2">
        <f>COUNTIFS(交易明細!$B$2:$B$692,$A34)</f>
        <v/>
      </c>
      <c r="C34" s="2">
        <f>COUNTIFS(交易明細!$B$2:$B$692,$A34,交易明細!$C$2:$C$692,"做多")</f>
        <v/>
      </c>
      <c r="D34" s="2">
        <f>COUNTIFS(交易明細!$B$2:$B$692,$A34,交易明細!$C$2:$C$692,"做空")</f>
        <v/>
      </c>
      <c r="E34" s="2">
        <f>F34+G34+COUNTIFS(交易明細!$B$2:$B$692,$A34,交易明細!$J$2:$J$692,"時間出場")</f>
        <v/>
      </c>
      <c r="F34" s="2">
        <f>COUNTIFS(交易明細!$B$2:$B$692,$A34,交易明細!$J$2:$J$692,"止盈")</f>
        <v/>
      </c>
      <c r="G34" s="2">
        <f>COUNTIFS(交易明細!$B$2:$B$692,$A34,交易明細!$J$2:$J$692,"止損")</f>
        <v/>
      </c>
      <c r="H34" s="4">
        <f>IFERROR(F34/E34,0)</f>
        <v/>
      </c>
      <c r="I34" s="4">
        <f>IFERROR(AVERAGEIFS(交易明細!$L$2:$L$692,交易明細!$B$2:$B$692,$A34,交易明細!$J$2:$J$692,"&lt;&gt;未平倉"),0)</f>
        <v/>
      </c>
      <c r="J34" s="4">
        <f>SUMIFS(交易明細!$L$2:$L$692,交易明細!$B$2:$B$692,$A34,交易明細!$J$2:$J$692,"&lt;&gt;未平倉")</f>
        <v/>
      </c>
      <c r="K34" s="5">
        <f>IFERROR(AVERAGEIFS(交易明細!$K$2:$K$692,交易明細!$B$2:$B$692,$A34,交易明細!$J$2:$J$692,"&lt;&gt;未平倉"),0)</f>
        <v/>
      </c>
      <c r="L34" s="2">
        <f>COUNTIFS(交易明細!$B$2:$B$692,$A34,交易明細!$J$2:$J$692,"未平倉")</f>
        <v/>
      </c>
    </row>
    <row r="35">
      <c r="A35" s="2" t="inlineStr">
        <is>
          <t>NIL_USDT_PERP</t>
        </is>
      </c>
      <c r="B35" s="2">
        <f>COUNTIFS(交易明細!$B$2:$B$692,$A35)</f>
        <v/>
      </c>
      <c r="C35" s="2">
        <f>COUNTIFS(交易明細!$B$2:$B$692,$A35,交易明細!$C$2:$C$692,"做多")</f>
        <v/>
      </c>
      <c r="D35" s="2">
        <f>COUNTIFS(交易明細!$B$2:$B$692,$A35,交易明細!$C$2:$C$692,"做空")</f>
        <v/>
      </c>
      <c r="E35" s="2">
        <f>F35+G35+COUNTIFS(交易明細!$B$2:$B$692,$A35,交易明細!$J$2:$J$692,"時間出場")</f>
        <v/>
      </c>
      <c r="F35" s="2">
        <f>COUNTIFS(交易明細!$B$2:$B$692,$A35,交易明細!$J$2:$J$692,"止盈")</f>
        <v/>
      </c>
      <c r="G35" s="2">
        <f>COUNTIFS(交易明細!$B$2:$B$692,$A35,交易明細!$J$2:$J$692,"止損")</f>
        <v/>
      </c>
      <c r="H35" s="4">
        <f>IFERROR(F35/E35,0)</f>
        <v/>
      </c>
      <c r="I35" s="4">
        <f>IFERROR(AVERAGEIFS(交易明細!$L$2:$L$692,交易明細!$B$2:$B$692,$A35,交易明細!$J$2:$J$692,"&lt;&gt;未平倉"),0)</f>
        <v/>
      </c>
      <c r="J35" s="4">
        <f>SUMIFS(交易明細!$L$2:$L$692,交易明細!$B$2:$B$692,$A35,交易明細!$J$2:$J$692,"&lt;&gt;未平倉")</f>
        <v/>
      </c>
      <c r="K35" s="5">
        <f>IFERROR(AVERAGEIFS(交易明細!$K$2:$K$692,交易明細!$B$2:$B$692,$A35,交易明細!$J$2:$J$692,"&lt;&gt;未平倉"),0)</f>
        <v/>
      </c>
      <c r="L35" s="2">
        <f>COUNTIFS(交易明細!$B$2:$B$692,$A35,交易明細!$J$2:$J$692,"未平倉")</f>
        <v/>
      </c>
    </row>
    <row r="36">
      <c r="A36" s="2" t="inlineStr">
        <is>
          <t>AERO_USDT_PERP</t>
        </is>
      </c>
      <c r="B36" s="2">
        <f>COUNTIFS(交易明細!$B$2:$B$692,$A36)</f>
        <v/>
      </c>
      <c r="C36" s="2">
        <f>COUNTIFS(交易明細!$B$2:$B$692,$A36,交易明細!$C$2:$C$692,"做多")</f>
        <v/>
      </c>
      <c r="D36" s="2">
        <f>COUNTIFS(交易明細!$B$2:$B$692,$A36,交易明細!$C$2:$C$692,"做空")</f>
        <v/>
      </c>
      <c r="E36" s="2">
        <f>F36+G36+COUNTIFS(交易明細!$B$2:$B$692,$A36,交易明細!$J$2:$J$692,"時間出場")</f>
        <v/>
      </c>
      <c r="F36" s="2">
        <f>COUNTIFS(交易明細!$B$2:$B$692,$A36,交易明細!$J$2:$J$692,"止盈")</f>
        <v/>
      </c>
      <c r="G36" s="2">
        <f>COUNTIFS(交易明細!$B$2:$B$692,$A36,交易明細!$J$2:$J$692,"止損")</f>
        <v/>
      </c>
      <c r="H36" s="4">
        <f>IFERROR(F36/E36,0)</f>
        <v/>
      </c>
      <c r="I36" s="4">
        <f>IFERROR(AVERAGEIFS(交易明細!$L$2:$L$692,交易明細!$B$2:$B$692,$A36,交易明細!$J$2:$J$692,"&lt;&gt;未平倉"),0)</f>
        <v/>
      </c>
      <c r="J36" s="4">
        <f>SUMIFS(交易明細!$L$2:$L$692,交易明細!$B$2:$B$692,$A36,交易明細!$J$2:$J$692,"&lt;&gt;未平倉")</f>
        <v/>
      </c>
      <c r="K36" s="5">
        <f>IFERROR(AVERAGEIFS(交易明細!$K$2:$K$692,交易明細!$B$2:$B$692,$A36,交易明細!$J$2:$J$692,"&lt;&gt;未平倉"),0)</f>
        <v/>
      </c>
      <c r="L36" s="2">
        <f>COUNTIFS(交易明細!$B$2:$B$692,$A36,交易明細!$J$2:$J$692,"未平倉")</f>
        <v/>
      </c>
    </row>
    <row r="37">
      <c r="A37" s="2" t="inlineStr">
        <is>
          <t>ICP_USDT_PERP</t>
        </is>
      </c>
      <c r="B37" s="2">
        <f>COUNTIFS(交易明細!$B$2:$B$692,$A37)</f>
        <v/>
      </c>
      <c r="C37" s="2">
        <f>COUNTIFS(交易明細!$B$2:$B$692,$A37,交易明細!$C$2:$C$692,"做多")</f>
        <v/>
      </c>
      <c r="D37" s="2">
        <f>COUNTIFS(交易明細!$B$2:$B$692,$A37,交易明細!$C$2:$C$692,"做空")</f>
        <v/>
      </c>
      <c r="E37" s="2">
        <f>F37+G37+COUNTIFS(交易明細!$B$2:$B$692,$A37,交易明細!$J$2:$J$692,"時間出場")</f>
        <v/>
      </c>
      <c r="F37" s="2">
        <f>COUNTIFS(交易明細!$B$2:$B$692,$A37,交易明細!$J$2:$J$692,"止盈")</f>
        <v/>
      </c>
      <c r="G37" s="2">
        <f>COUNTIFS(交易明細!$B$2:$B$692,$A37,交易明細!$J$2:$J$692,"止損")</f>
        <v/>
      </c>
      <c r="H37" s="4">
        <f>IFERROR(F37/E37,0)</f>
        <v/>
      </c>
      <c r="I37" s="4">
        <f>IFERROR(AVERAGEIFS(交易明細!$L$2:$L$692,交易明細!$B$2:$B$692,$A37,交易明細!$J$2:$J$692,"&lt;&gt;未平倉"),0)</f>
        <v/>
      </c>
      <c r="J37" s="4">
        <f>SUMIFS(交易明細!$L$2:$L$692,交易明細!$B$2:$B$692,$A37,交易明細!$J$2:$J$692,"&lt;&gt;未平倉")</f>
        <v/>
      </c>
      <c r="K37" s="5">
        <f>IFERROR(AVERAGEIFS(交易明細!$K$2:$K$692,交易明細!$B$2:$B$692,$A37,交易明細!$J$2:$J$692,"&lt;&gt;未平倉"),0)</f>
        <v/>
      </c>
      <c r="L37" s="2">
        <f>COUNTIFS(交易明細!$B$2:$B$692,$A37,交易明細!$J$2:$J$692,"未平倉")</f>
        <v/>
      </c>
    </row>
    <row r="38">
      <c r="A38" s="2" t="inlineStr">
        <is>
          <t>PHA_USDT_PERP</t>
        </is>
      </c>
      <c r="B38" s="2">
        <f>COUNTIFS(交易明細!$B$2:$B$692,$A38)</f>
        <v/>
      </c>
      <c r="C38" s="2">
        <f>COUNTIFS(交易明細!$B$2:$B$692,$A38,交易明細!$C$2:$C$692,"做多")</f>
        <v/>
      </c>
      <c r="D38" s="2">
        <f>COUNTIFS(交易明細!$B$2:$B$692,$A38,交易明細!$C$2:$C$692,"做空")</f>
        <v/>
      </c>
      <c r="E38" s="2">
        <f>F38+G38+COUNTIFS(交易明細!$B$2:$B$692,$A38,交易明細!$J$2:$J$692,"時間出場")</f>
        <v/>
      </c>
      <c r="F38" s="2">
        <f>COUNTIFS(交易明細!$B$2:$B$692,$A38,交易明細!$J$2:$J$692,"止盈")</f>
        <v/>
      </c>
      <c r="G38" s="2">
        <f>COUNTIFS(交易明細!$B$2:$B$692,$A38,交易明細!$J$2:$J$692,"止損")</f>
        <v/>
      </c>
      <c r="H38" s="4">
        <f>IFERROR(F38/E38,0)</f>
        <v/>
      </c>
      <c r="I38" s="4">
        <f>IFERROR(AVERAGEIFS(交易明細!$L$2:$L$692,交易明細!$B$2:$B$692,$A38,交易明細!$J$2:$J$692,"&lt;&gt;未平倉"),0)</f>
        <v/>
      </c>
      <c r="J38" s="4">
        <f>SUMIFS(交易明細!$L$2:$L$692,交易明細!$B$2:$B$692,$A38,交易明細!$J$2:$J$692,"&lt;&gt;未平倉")</f>
        <v/>
      </c>
      <c r="K38" s="5">
        <f>IFERROR(AVERAGEIFS(交易明細!$K$2:$K$692,交易明細!$B$2:$B$692,$A38,交易明細!$J$2:$J$692,"&lt;&gt;未平倉"),0)</f>
        <v/>
      </c>
      <c r="L38" s="2">
        <f>COUNTIFS(交易明細!$B$2:$B$692,$A38,交易明細!$J$2:$J$692,"未平倉")</f>
        <v/>
      </c>
    </row>
    <row r="39">
      <c r="A39" s="2" t="inlineStr">
        <is>
          <t>MUBARAK_USDT_PERP</t>
        </is>
      </c>
      <c r="B39" s="2">
        <f>COUNTIFS(交易明細!$B$2:$B$692,$A39)</f>
        <v/>
      </c>
      <c r="C39" s="2">
        <f>COUNTIFS(交易明細!$B$2:$B$692,$A39,交易明細!$C$2:$C$692,"做多")</f>
        <v/>
      </c>
      <c r="D39" s="2">
        <f>COUNTIFS(交易明細!$B$2:$B$692,$A39,交易明細!$C$2:$C$692,"做空")</f>
        <v/>
      </c>
      <c r="E39" s="2">
        <f>F39+G39+COUNTIFS(交易明細!$B$2:$B$692,$A39,交易明細!$J$2:$J$692,"時間出場")</f>
        <v/>
      </c>
      <c r="F39" s="2">
        <f>COUNTIFS(交易明細!$B$2:$B$692,$A39,交易明細!$J$2:$J$692,"止盈")</f>
        <v/>
      </c>
      <c r="G39" s="2">
        <f>COUNTIFS(交易明細!$B$2:$B$692,$A39,交易明細!$J$2:$J$692,"止損")</f>
        <v/>
      </c>
      <c r="H39" s="4">
        <f>IFERROR(F39/E39,0)</f>
        <v/>
      </c>
      <c r="I39" s="4">
        <f>IFERROR(AVERAGEIFS(交易明細!$L$2:$L$692,交易明細!$B$2:$B$692,$A39,交易明細!$J$2:$J$692,"&lt;&gt;未平倉"),0)</f>
        <v/>
      </c>
      <c r="J39" s="4">
        <f>SUMIFS(交易明細!$L$2:$L$692,交易明細!$B$2:$B$692,$A39,交易明細!$J$2:$J$692,"&lt;&gt;未平倉")</f>
        <v/>
      </c>
      <c r="K39" s="5">
        <f>IFERROR(AVERAGEIFS(交易明細!$K$2:$K$692,交易明細!$B$2:$B$692,$A39,交易明細!$J$2:$J$692,"&lt;&gt;未平倉"),0)</f>
        <v/>
      </c>
      <c r="L39" s="2">
        <f>COUNTIFS(交易明細!$B$2:$B$692,$A39,交易明細!$J$2:$J$692,"未平倉")</f>
        <v/>
      </c>
    </row>
    <row r="40">
      <c r="A40" s="2" t="inlineStr">
        <is>
          <t>SAND_USDT_PERP</t>
        </is>
      </c>
      <c r="B40" s="2">
        <f>COUNTIFS(交易明細!$B$2:$B$692,$A40)</f>
        <v/>
      </c>
      <c r="C40" s="2">
        <f>COUNTIFS(交易明細!$B$2:$B$692,$A40,交易明細!$C$2:$C$692,"做多")</f>
        <v/>
      </c>
      <c r="D40" s="2">
        <f>COUNTIFS(交易明細!$B$2:$B$692,$A40,交易明細!$C$2:$C$692,"做空")</f>
        <v/>
      </c>
      <c r="E40" s="2">
        <f>F40+G40+COUNTIFS(交易明細!$B$2:$B$692,$A40,交易明細!$J$2:$J$692,"時間出場")</f>
        <v/>
      </c>
      <c r="F40" s="2">
        <f>COUNTIFS(交易明細!$B$2:$B$692,$A40,交易明細!$J$2:$J$692,"止盈")</f>
        <v/>
      </c>
      <c r="G40" s="2">
        <f>COUNTIFS(交易明細!$B$2:$B$692,$A40,交易明細!$J$2:$J$692,"止損")</f>
        <v/>
      </c>
      <c r="H40" s="4">
        <f>IFERROR(F40/E40,0)</f>
        <v/>
      </c>
      <c r="I40" s="4">
        <f>IFERROR(AVERAGEIFS(交易明細!$L$2:$L$692,交易明細!$B$2:$B$692,$A40,交易明細!$J$2:$J$692,"&lt;&gt;未平倉"),0)</f>
        <v/>
      </c>
      <c r="J40" s="4">
        <f>SUMIFS(交易明細!$L$2:$L$692,交易明細!$B$2:$B$692,$A40,交易明細!$J$2:$J$692,"&lt;&gt;未平倉")</f>
        <v/>
      </c>
      <c r="K40" s="5">
        <f>IFERROR(AVERAGEIFS(交易明細!$K$2:$K$692,交易明細!$B$2:$B$692,$A40,交易明細!$J$2:$J$692,"&lt;&gt;未平倉"),0)</f>
        <v/>
      </c>
      <c r="L40" s="2">
        <f>COUNTIFS(交易明細!$B$2:$B$692,$A40,交易明細!$J$2:$J$692,"未平倉")</f>
        <v/>
      </c>
    </row>
    <row r="41">
      <c r="A41" s="2" t="inlineStr">
        <is>
          <t>SKR_USDT_PERP</t>
        </is>
      </c>
      <c r="B41" s="2">
        <f>COUNTIFS(交易明細!$B$2:$B$692,$A41)</f>
        <v/>
      </c>
      <c r="C41" s="2">
        <f>COUNTIFS(交易明細!$B$2:$B$692,$A41,交易明細!$C$2:$C$692,"做多")</f>
        <v/>
      </c>
      <c r="D41" s="2">
        <f>COUNTIFS(交易明細!$B$2:$B$692,$A41,交易明細!$C$2:$C$692,"做空")</f>
        <v/>
      </c>
      <c r="E41" s="2">
        <f>F41+G41+COUNTIFS(交易明細!$B$2:$B$692,$A41,交易明細!$J$2:$J$692,"時間出場")</f>
        <v/>
      </c>
      <c r="F41" s="2">
        <f>COUNTIFS(交易明細!$B$2:$B$692,$A41,交易明細!$J$2:$J$692,"止盈")</f>
        <v/>
      </c>
      <c r="G41" s="2">
        <f>COUNTIFS(交易明細!$B$2:$B$692,$A41,交易明細!$J$2:$J$692,"止損")</f>
        <v/>
      </c>
      <c r="H41" s="4">
        <f>IFERROR(F41/E41,0)</f>
        <v/>
      </c>
      <c r="I41" s="4">
        <f>IFERROR(AVERAGEIFS(交易明細!$L$2:$L$692,交易明細!$B$2:$B$692,$A41,交易明細!$J$2:$J$692,"&lt;&gt;未平倉"),0)</f>
        <v/>
      </c>
      <c r="J41" s="4">
        <f>SUMIFS(交易明細!$L$2:$L$692,交易明細!$B$2:$B$692,$A41,交易明細!$J$2:$J$692,"&lt;&gt;未平倉")</f>
        <v/>
      </c>
      <c r="K41" s="5">
        <f>IFERROR(AVERAGEIFS(交易明細!$K$2:$K$692,交易明細!$B$2:$B$692,$A41,交易明細!$J$2:$J$692,"&lt;&gt;未平倉"),0)</f>
        <v/>
      </c>
      <c r="L41" s="2">
        <f>COUNTIFS(交易明細!$B$2:$B$692,$A41,交易明細!$J$2:$J$692,"未平倉")</f>
        <v/>
      </c>
    </row>
    <row r="42">
      <c r="A42" s="2" t="inlineStr">
        <is>
          <t>IOST_USDT_PERP</t>
        </is>
      </c>
      <c r="B42" s="2">
        <f>COUNTIFS(交易明細!$B$2:$B$692,$A42)</f>
        <v/>
      </c>
      <c r="C42" s="2">
        <f>COUNTIFS(交易明細!$B$2:$B$692,$A42,交易明細!$C$2:$C$692,"做多")</f>
        <v/>
      </c>
      <c r="D42" s="2">
        <f>COUNTIFS(交易明細!$B$2:$B$692,$A42,交易明細!$C$2:$C$692,"做空")</f>
        <v/>
      </c>
      <c r="E42" s="2">
        <f>F42+G42+COUNTIFS(交易明細!$B$2:$B$692,$A42,交易明細!$J$2:$J$692,"時間出場")</f>
        <v/>
      </c>
      <c r="F42" s="2">
        <f>COUNTIFS(交易明細!$B$2:$B$692,$A42,交易明細!$J$2:$J$692,"止盈")</f>
        <v/>
      </c>
      <c r="G42" s="2">
        <f>COUNTIFS(交易明細!$B$2:$B$692,$A42,交易明細!$J$2:$J$692,"止損")</f>
        <v/>
      </c>
      <c r="H42" s="4">
        <f>IFERROR(F42/E42,0)</f>
        <v/>
      </c>
      <c r="I42" s="4">
        <f>IFERROR(AVERAGEIFS(交易明細!$L$2:$L$692,交易明細!$B$2:$B$692,$A42,交易明細!$J$2:$J$692,"&lt;&gt;未平倉"),0)</f>
        <v/>
      </c>
      <c r="J42" s="4">
        <f>SUMIFS(交易明細!$L$2:$L$692,交易明細!$B$2:$B$692,$A42,交易明細!$J$2:$J$692,"&lt;&gt;未平倉")</f>
        <v/>
      </c>
      <c r="K42" s="5">
        <f>IFERROR(AVERAGEIFS(交易明細!$K$2:$K$692,交易明細!$B$2:$B$692,$A42,交易明細!$J$2:$J$692,"&lt;&gt;未平倉"),0)</f>
        <v/>
      </c>
      <c r="L42" s="2">
        <f>COUNTIFS(交易明細!$B$2:$B$692,$A42,交易明細!$J$2:$J$692,"未平倉")</f>
        <v/>
      </c>
    </row>
    <row r="43">
      <c r="A43" s="2" t="inlineStr">
        <is>
          <t>LAB_USDT_PERP</t>
        </is>
      </c>
      <c r="B43" s="2">
        <f>COUNTIFS(交易明細!$B$2:$B$692,$A43)</f>
        <v/>
      </c>
      <c r="C43" s="2">
        <f>COUNTIFS(交易明細!$B$2:$B$692,$A43,交易明細!$C$2:$C$692,"做多")</f>
        <v/>
      </c>
      <c r="D43" s="2">
        <f>COUNTIFS(交易明細!$B$2:$B$692,$A43,交易明細!$C$2:$C$692,"做空")</f>
        <v/>
      </c>
      <c r="E43" s="2">
        <f>F43+G43+COUNTIFS(交易明細!$B$2:$B$692,$A43,交易明細!$J$2:$J$692,"時間出場")</f>
        <v/>
      </c>
      <c r="F43" s="2">
        <f>COUNTIFS(交易明細!$B$2:$B$692,$A43,交易明細!$J$2:$J$692,"止盈")</f>
        <v/>
      </c>
      <c r="G43" s="2">
        <f>COUNTIFS(交易明細!$B$2:$B$692,$A43,交易明細!$J$2:$J$692,"止損")</f>
        <v/>
      </c>
      <c r="H43" s="4">
        <f>IFERROR(F43/E43,0)</f>
        <v/>
      </c>
      <c r="I43" s="4">
        <f>IFERROR(AVERAGEIFS(交易明細!$L$2:$L$692,交易明細!$B$2:$B$692,$A43,交易明細!$J$2:$J$692,"&lt;&gt;未平倉"),0)</f>
        <v/>
      </c>
      <c r="J43" s="4">
        <f>SUMIFS(交易明細!$L$2:$L$692,交易明細!$B$2:$B$692,$A43,交易明細!$J$2:$J$692,"&lt;&gt;未平倉")</f>
        <v/>
      </c>
      <c r="K43" s="5">
        <f>IFERROR(AVERAGEIFS(交易明細!$K$2:$K$692,交易明細!$B$2:$B$692,$A43,交易明細!$J$2:$J$692,"&lt;&gt;未平倉"),0)</f>
        <v/>
      </c>
      <c r="L43" s="2">
        <f>COUNTIFS(交易明細!$B$2:$B$692,$A43,交易明細!$J$2:$J$692,"未平倉")</f>
        <v/>
      </c>
    </row>
    <row r="44">
      <c r="A44" s="2" t="inlineStr">
        <is>
          <t>NMR_USDT_PERP</t>
        </is>
      </c>
      <c r="B44" s="2">
        <f>COUNTIFS(交易明細!$B$2:$B$692,$A44)</f>
        <v/>
      </c>
      <c r="C44" s="2">
        <f>COUNTIFS(交易明細!$B$2:$B$692,$A44,交易明細!$C$2:$C$692,"做多")</f>
        <v/>
      </c>
      <c r="D44" s="2">
        <f>COUNTIFS(交易明細!$B$2:$B$692,$A44,交易明細!$C$2:$C$692,"做空")</f>
        <v/>
      </c>
      <c r="E44" s="2">
        <f>F44+G44+COUNTIFS(交易明細!$B$2:$B$692,$A44,交易明細!$J$2:$J$692,"時間出場")</f>
        <v/>
      </c>
      <c r="F44" s="2">
        <f>COUNTIFS(交易明細!$B$2:$B$692,$A44,交易明細!$J$2:$J$692,"止盈")</f>
        <v/>
      </c>
      <c r="G44" s="2">
        <f>COUNTIFS(交易明細!$B$2:$B$692,$A44,交易明細!$J$2:$J$692,"止損")</f>
        <v/>
      </c>
      <c r="H44" s="4">
        <f>IFERROR(F44/E44,0)</f>
        <v/>
      </c>
      <c r="I44" s="4">
        <f>IFERROR(AVERAGEIFS(交易明細!$L$2:$L$692,交易明細!$B$2:$B$692,$A44,交易明細!$J$2:$J$692,"&lt;&gt;未平倉"),0)</f>
        <v/>
      </c>
      <c r="J44" s="4">
        <f>SUMIFS(交易明細!$L$2:$L$692,交易明細!$B$2:$B$692,$A44,交易明細!$J$2:$J$692,"&lt;&gt;未平倉")</f>
        <v/>
      </c>
      <c r="K44" s="5">
        <f>IFERROR(AVERAGEIFS(交易明細!$K$2:$K$692,交易明細!$B$2:$B$692,$A44,交易明細!$J$2:$J$692,"&lt;&gt;未平倉"),0)</f>
        <v/>
      </c>
      <c r="L44" s="2">
        <f>COUNTIFS(交易明細!$B$2:$B$692,$A44,交易明細!$J$2:$J$692,"未平倉")</f>
        <v/>
      </c>
    </row>
    <row r="45">
      <c r="A45" s="2" t="inlineStr">
        <is>
          <t>XMR_USDT_PERP</t>
        </is>
      </c>
      <c r="B45" s="2">
        <f>COUNTIFS(交易明細!$B$2:$B$692,$A45)</f>
        <v/>
      </c>
      <c r="C45" s="2">
        <f>COUNTIFS(交易明細!$B$2:$B$692,$A45,交易明細!$C$2:$C$692,"做多")</f>
        <v/>
      </c>
      <c r="D45" s="2">
        <f>COUNTIFS(交易明細!$B$2:$B$692,$A45,交易明細!$C$2:$C$692,"做空")</f>
        <v/>
      </c>
      <c r="E45" s="2">
        <f>F45+G45+COUNTIFS(交易明細!$B$2:$B$692,$A45,交易明細!$J$2:$J$692,"時間出場")</f>
        <v/>
      </c>
      <c r="F45" s="2">
        <f>COUNTIFS(交易明細!$B$2:$B$692,$A45,交易明細!$J$2:$J$692,"止盈")</f>
        <v/>
      </c>
      <c r="G45" s="2">
        <f>COUNTIFS(交易明細!$B$2:$B$692,$A45,交易明細!$J$2:$J$692,"止損")</f>
        <v/>
      </c>
      <c r="H45" s="4">
        <f>IFERROR(F45/E45,0)</f>
        <v/>
      </c>
      <c r="I45" s="4">
        <f>IFERROR(AVERAGEIFS(交易明細!$L$2:$L$692,交易明細!$B$2:$B$692,$A45,交易明細!$J$2:$J$692,"&lt;&gt;未平倉"),0)</f>
        <v/>
      </c>
      <c r="J45" s="4">
        <f>SUMIFS(交易明細!$L$2:$L$692,交易明細!$B$2:$B$692,$A45,交易明細!$J$2:$J$692,"&lt;&gt;未平倉")</f>
        <v/>
      </c>
      <c r="K45" s="5">
        <f>IFERROR(AVERAGEIFS(交易明細!$K$2:$K$692,交易明細!$B$2:$B$692,$A45,交易明細!$J$2:$J$692,"&lt;&gt;未平倉"),0)</f>
        <v/>
      </c>
      <c r="L45" s="2">
        <f>COUNTIFS(交易明細!$B$2:$B$692,$A45,交易明細!$J$2:$J$692,"未平倉")</f>
        <v/>
      </c>
    </row>
    <row r="46">
      <c r="A46" s="2" t="inlineStr">
        <is>
          <t>CRV_USDT_PERP</t>
        </is>
      </c>
      <c r="B46" s="2">
        <f>COUNTIFS(交易明細!$B$2:$B$692,$A46)</f>
        <v/>
      </c>
      <c r="C46" s="2">
        <f>COUNTIFS(交易明細!$B$2:$B$692,$A46,交易明細!$C$2:$C$692,"做多")</f>
        <v/>
      </c>
      <c r="D46" s="2">
        <f>COUNTIFS(交易明細!$B$2:$B$692,$A46,交易明細!$C$2:$C$692,"做空")</f>
        <v/>
      </c>
      <c r="E46" s="2">
        <f>F46+G46+COUNTIFS(交易明細!$B$2:$B$692,$A46,交易明細!$J$2:$J$692,"時間出場")</f>
        <v/>
      </c>
      <c r="F46" s="2">
        <f>COUNTIFS(交易明細!$B$2:$B$692,$A46,交易明細!$J$2:$J$692,"止盈")</f>
        <v/>
      </c>
      <c r="G46" s="2">
        <f>COUNTIFS(交易明細!$B$2:$B$692,$A46,交易明細!$J$2:$J$692,"止損")</f>
        <v/>
      </c>
      <c r="H46" s="4">
        <f>IFERROR(F46/E46,0)</f>
        <v/>
      </c>
      <c r="I46" s="4">
        <f>IFERROR(AVERAGEIFS(交易明細!$L$2:$L$692,交易明細!$B$2:$B$692,$A46,交易明細!$J$2:$J$692,"&lt;&gt;未平倉"),0)</f>
        <v/>
      </c>
      <c r="J46" s="4">
        <f>SUMIFS(交易明細!$L$2:$L$692,交易明細!$B$2:$B$692,$A46,交易明細!$J$2:$J$692,"&lt;&gt;未平倉")</f>
        <v/>
      </c>
      <c r="K46" s="5">
        <f>IFERROR(AVERAGEIFS(交易明細!$K$2:$K$692,交易明細!$B$2:$B$692,$A46,交易明細!$J$2:$J$692,"&lt;&gt;未平倉"),0)</f>
        <v/>
      </c>
      <c r="L46" s="2">
        <f>COUNTIFS(交易明細!$B$2:$B$692,$A46,交易明細!$J$2:$J$692,"未平倉")</f>
        <v/>
      </c>
    </row>
    <row r="47">
      <c r="A47" s="2" t="inlineStr">
        <is>
          <t>BTR_USDT_PERP</t>
        </is>
      </c>
      <c r="B47" s="2">
        <f>COUNTIFS(交易明細!$B$2:$B$692,$A47)</f>
        <v/>
      </c>
      <c r="C47" s="2">
        <f>COUNTIFS(交易明細!$B$2:$B$692,$A47,交易明細!$C$2:$C$692,"做多")</f>
        <v/>
      </c>
      <c r="D47" s="2">
        <f>COUNTIFS(交易明細!$B$2:$B$692,$A47,交易明細!$C$2:$C$692,"做空")</f>
        <v/>
      </c>
      <c r="E47" s="2">
        <f>F47+G47+COUNTIFS(交易明細!$B$2:$B$692,$A47,交易明細!$J$2:$J$692,"時間出場")</f>
        <v/>
      </c>
      <c r="F47" s="2">
        <f>COUNTIFS(交易明細!$B$2:$B$692,$A47,交易明細!$J$2:$J$692,"止盈")</f>
        <v/>
      </c>
      <c r="G47" s="2">
        <f>COUNTIFS(交易明細!$B$2:$B$692,$A47,交易明細!$J$2:$J$692,"止損")</f>
        <v/>
      </c>
      <c r="H47" s="4">
        <f>IFERROR(F47/E47,0)</f>
        <v/>
      </c>
      <c r="I47" s="4">
        <f>IFERROR(AVERAGEIFS(交易明細!$L$2:$L$692,交易明細!$B$2:$B$692,$A47,交易明細!$J$2:$J$692,"&lt;&gt;未平倉"),0)</f>
        <v/>
      </c>
      <c r="J47" s="4">
        <f>SUMIFS(交易明細!$L$2:$L$692,交易明細!$B$2:$B$692,$A47,交易明細!$J$2:$J$692,"&lt;&gt;未平倉")</f>
        <v/>
      </c>
      <c r="K47" s="5">
        <f>IFERROR(AVERAGEIFS(交易明細!$K$2:$K$692,交易明細!$B$2:$B$692,$A47,交易明細!$J$2:$J$692,"&lt;&gt;未平倉"),0)</f>
        <v/>
      </c>
      <c r="L47" s="2">
        <f>COUNTIFS(交易明細!$B$2:$B$692,$A47,交易明細!$J$2:$J$692,"未平倉")</f>
        <v/>
      </c>
    </row>
    <row r="48">
      <c r="A48" s="2" t="inlineStr">
        <is>
          <t>TAO_USDT_PERP</t>
        </is>
      </c>
      <c r="B48" s="2">
        <f>COUNTIFS(交易明細!$B$2:$B$692,$A48)</f>
        <v/>
      </c>
      <c r="C48" s="2">
        <f>COUNTIFS(交易明細!$B$2:$B$692,$A48,交易明細!$C$2:$C$692,"做多")</f>
        <v/>
      </c>
      <c r="D48" s="2">
        <f>COUNTIFS(交易明細!$B$2:$B$692,$A48,交易明細!$C$2:$C$692,"做空")</f>
        <v/>
      </c>
      <c r="E48" s="2">
        <f>F48+G48+COUNTIFS(交易明細!$B$2:$B$692,$A48,交易明細!$J$2:$J$692,"時間出場")</f>
        <v/>
      </c>
      <c r="F48" s="2">
        <f>COUNTIFS(交易明細!$B$2:$B$692,$A48,交易明細!$J$2:$J$692,"止盈")</f>
        <v/>
      </c>
      <c r="G48" s="2">
        <f>COUNTIFS(交易明細!$B$2:$B$692,$A48,交易明細!$J$2:$J$692,"止損")</f>
        <v/>
      </c>
      <c r="H48" s="4">
        <f>IFERROR(F48/E48,0)</f>
        <v/>
      </c>
      <c r="I48" s="4">
        <f>IFERROR(AVERAGEIFS(交易明細!$L$2:$L$692,交易明細!$B$2:$B$692,$A48,交易明細!$J$2:$J$692,"&lt;&gt;未平倉"),0)</f>
        <v/>
      </c>
      <c r="J48" s="4">
        <f>SUMIFS(交易明細!$L$2:$L$692,交易明細!$B$2:$B$692,$A48,交易明細!$J$2:$J$692,"&lt;&gt;未平倉")</f>
        <v/>
      </c>
      <c r="K48" s="5">
        <f>IFERROR(AVERAGEIFS(交易明細!$K$2:$K$692,交易明細!$B$2:$B$692,$A48,交易明細!$J$2:$J$692,"&lt;&gt;未平倉"),0)</f>
        <v/>
      </c>
      <c r="L48" s="2">
        <f>COUNTIFS(交易明細!$B$2:$B$692,$A48,交易明細!$J$2:$J$692,"未平倉")</f>
        <v/>
      </c>
    </row>
    <row r="49">
      <c r="A49" s="2" t="inlineStr">
        <is>
          <t>DOT_USDT_PERP</t>
        </is>
      </c>
      <c r="B49" s="2">
        <f>COUNTIFS(交易明細!$B$2:$B$692,$A49)</f>
        <v/>
      </c>
      <c r="C49" s="2">
        <f>COUNTIFS(交易明細!$B$2:$B$692,$A49,交易明細!$C$2:$C$692,"做多")</f>
        <v/>
      </c>
      <c r="D49" s="2">
        <f>COUNTIFS(交易明細!$B$2:$B$692,$A49,交易明細!$C$2:$C$692,"做空")</f>
        <v/>
      </c>
      <c r="E49" s="2">
        <f>F49+G49+COUNTIFS(交易明細!$B$2:$B$692,$A49,交易明細!$J$2:$J$692,"時間出場")</f>
        <v/>
      </c>
      <c r="F49" s="2">
        <f>COUNTIFS(交易明細!$B$2:$B$692,$A49,交易明細!$J$2:$J$692,"止盈")</f>
        <v/>
      </c>
      <c r="G49" s="2">
        <f>COUNTIFS(交易明細!$B$2:$B$692,$A49,交易明細!$J$2:$J$692,"止損")</f>
        <v/>
      </c>
      <c r="H49" s="4">
        <f>IFERROR(F49/E49,0)</f>
        <v/>
      </c>
      <c r="I49" s="4">
        <f>IFERROR(AVERAGEIFS(交易明細!$L$2:$L$692,交易明細!$B$2:$B$692,$A49,交易明細!$J$2:$J$692,"&lt;&gt;未平倉"),0)</f>
        <v/>
      </c>
      <c r="J49" s="4">
        <f>SUMIFS(交易明細!$L$2:$L$692,交易明細!$B$2:$B$692,$A49,交易明細!$J$2:$J$692,"&lt;&gt;未平倉")</f>
        <v/>
      </c>
      <c r="K49" s="5">
        <f>IFERROR(AVERAGEIFS(交易明細!$K$2:$K$692,交易明細!$B$2:$B$692,$A49,交易明細!$J$2:$J$692,"&lt;&gt;未平倉"),0)</f>
        <v/>
      </c>
      <c r="L49" s="2">
        <f>COUNTIFS(交易明細!$B$2:$B$692,$A49,交易明細!$J$2:$J$692,"未平倉")</f>
        <v/>
      </c>
    </row>
    <row r="50">
      <c r="A50" s="2" t="inlineStr">
        <is>
          <t>MET_USDT_PERP</t>
        </is>
      </c>
      <c r="B50" s="2">
        <f>COUNTIFS(交易明細!$B$2:$B$692,$A50)</f>
        <v/>
      </c>
      <c r="C50" s="2">
        <f>COUNTIFS(交易明細!$B$2:$B$692,$A50,交易明細!$C$2:$C$692,"做多")</f>
        <v/>
      </c>
      <c r="D50" s="2">
        <f>COUNTIFS(交易明細!$B$2:$B$692,$A50,交易明細!$C$2:$C$692,"做空")</f>
        <v/>
      </c>
      <c r="E50" s="2">
        <f>F50+G50+COUNTIFS(交易明細!$B$2:$B$692,$A50,交易明細!$J$2:$J$692,"時間出場")</f>
        <v/>
      </c>
      <c r="F50" s="2">
        <f>COUNTIFS(交易明細!$B$2:$B$692,$A50,交易明細!$J$2:$J$692,"止盈")</f>
        <v/>
      </c>
      <c r="G50" s="2">
        <f>COUNTIFS(交易明細!$B$2:$B$692,$A50,交易明細!$J$2:$J$692,"止損")</f>
        <v/>
      </c>
      <c r="H50" s="4">
        <f>IFERROR(F50/E50,0)</f>
        <v/>
      </c>
      <c r="I50" s="4">
        <f>IFERROR(AVERAGEIFS(交易明細!$L$2:$L$692,交易明細!$B$2:$B$692,$A50,交易明細!$J$2:$J$692,"&lt;&gt;未平倉"),0)</f>
        <v/>
      </c>
      <c r="J50" s="4">
        <f>SUMIFS(交易明細!$L$2:$L$692,交易明細!$B$2:$B$692,$A50,交易明細!$J$2:$J$692,"&lt;&gt;未平倉")</f>
        <v/>
      </c>
      <c r="K50" s="5">
        <f>IFERROR(AVERAGEIFS(交易明細!$K$2:$K$692,交易明細!$B$2:$B$692,$A50,交易明細!$J$2:$J$692,"&lt;&gt;未平倉"),0)</f>
        <v/>
      </c>
      <c r="L50" s="2">
        <f>COUNTIFS(交易明細!$B$2:$B$692,$A50,交易明細!$J$2:$J$692,"未平倉")</f>
        <v/>
      </c>
    </row>
    <row r="51">
      <c r="A51" s="2" t="inlineStr">
        <is>
          <t>FIL_USDT_PERP</t>
        </is>
      </c>
      <c r="B51" s="2">
        <f>COUNTIFS(交易明細!$B$2:$B$692,$A51)</f>
        <v/>
      </c>
      <c r="C51" s="2">
        <f>COUNTIFS(交易明細!$B$2:$B$692,$A51,交易明細!$C$2:$C$692,"做多")</f>
        <v/>
      </c>
      <c r="D51" s="2">
        <f>COUNTIFS(交易明細!$B$2:$B$692,$A51,交易明細!$C$2:$C$692,"做空")</f>
        <v/>
      </c>
      <c r="E51" s="2">
        <f>F51+G51+COUNTIFS(交易明細!$B$2:$B$692,$A51,交易明細!$J$2:$J$692,"時間出場")</f>
        <v/>
      </c>
      <c r="F51" s="2">
        <f>COUNTIFS(交易明細!$B$2:$B$692,$A51,交易明細!$J$2:$J$692,"止盈")</f>
        <v/>
      </c>
      <c r="G51" s="2">
        <f>COUNTIFS(交易明細!$B$2:$B$692,$A51,交易明細!$J$2:$J$692,"止損")</f>
        <v/>
      </c>
      <c r="H51" s="4">
        <f>IFERROR(F51/E51,0)</f>
        <v/>
      </c>
      <c r="I51" s="4">
        <f>IFERROR(AVERAGEIFS(交易明細!$L$2:$L$692,交易明細!$B$2:$B$692,$A51,交易明細!$J$2:$J$692,"&lt;&gt;未平倉"),0)</f>
        <v/>
      </c>
      <c r="J51" s="4">
        <f>SUMIFS(交易明細!$L$2:$L$692,交易明細!$B$2:$B$692,$A51,交易明細!$J$2:$J$692,"&lt;&gt;未平倉")</f>
        <v/>
      </c>
      <c r="K51" s="5">
        <f>IFERROR(AVERAGEIFS(交易明細!$K$2:$K$692,交易明細!$B$2:$B$692,$A51,交易明細!$J$2:$J$692,"&lt;&gt;未平倉"),0)</f>
        <v/>
      </c>
      <c r="L51" s="2">
        <f>COUNTIFS(交易明細!$B$2:$B$692,$A51,交易明細!$J$2:$J$692,"未平倉")</f>
        <v/>
      </c>
    </row>
    <row r="52">
      <c r="A52" s="2" t="inlineStr">
        <is>
          <t>GENIUS_USDT_PERP</t>
        </is>
      </c>
      <c r="B52" s="2">
        <f>COUNTIFS(交易明細!$B$2:$B$692,$A52)</f>
        <v/>
      </c>
      <c r="C52" s="2">
        <f>COUNTIFS(交易明細!$B$2:$B$692,$A52,交易明細!$C$2:$C$692,"做多")</f>
        <v/>
      </c>
      <c r="D52" s="2">
        <f>COUNTIFS(交易明細!$B$2:$B$692,$A52,交易明細!$C$2:$C$692,"做空")</f>
        <v/>
      </c>
      <c r="E52" s="2">
        <f>F52+G52+COUNTIFS(交易明細!$B$2:$B$692,$A52,交易明細!$J$2:$J$692,"時間出場")</f>
        <v/>
      </c>
      <c r="F52" s="2">
        <f>COUNTIFS(交易明細!$B$2:$B$692,$A52,交易明細!$J$2:$J$692,"止盈")</f>
        <v/>
      </c>
      <c r="G52" s="2">
        <f>COUNTIFS(交易明細!$B$2:$B$692,$A52,交易明細!$J$2:$J$692,"止損")</f>
        <v/>
      </c>
      <c r="H52" s="4">
        <f>IFERROR(F52/E52,0)</f>
        <v/>
      </c>
      <c r="I52" s="4">
        <f>IFERROR(AVERAGEIFS(交易明細!$L$2:$L$692,交易明細!$B$2:$B$692,$A52,交易明細!$J$2:$J$692,"&lt;&gt;未平倉"),0)</f>
        <v/>
      </c>
      <c r="J52" s="4">
        <f>SUMIFS(交易明細!$L$2:$L$692,交易明細!$B$2:$B$692,$A52,交易明細!$J$2:$J$692,"&lt;&gt;未平倉")</f>
        <v/>
      </c>
      <c r="K52" s="5">
        <f>IFERROR(AVERAGEIFS(交易明細!$K$2:$K$692,交易明細!$B$2:$B$692,$A52,交易明細!$J$2:$J$692,"&lt;&gt;未平倉"),0)</f>
        <v/>
      </c>
      <c r="L52" s="2">
        <f>COUNTIFS(交易明細!$B$2:$B$692,$A52,交易明細!$J$2:$J$692,"未平倉")</f>
        <v/>
      </c>
    </row>
    <row r="53">
      <c r="A53" s="2" t="inlineStr">
        <is>
          <t>PEPE_USDT_PERP</t>
        </is>
      </c>
      <c r="B53" s="2">
        <f>COUNTIFS(交易明細!$B$2:$B$692,$A53)</f>
        <v/>
      </c>
      <c r="C53" s="2">
        <f>COUNTIFS(交易明細!$B$2:$B$692,$A53,交易明細!$C$2:$C$692,"做多")</f>
        <v/>
      </c>
      <c r="D53" s="2">
        <f>COUNTIFS(交易明細!$B$2:$B$692,$A53,交易明細!$C$2:$C$692,"做空")</f>
        <v/>
      </c>
      <c r="E53" s="2">
        <f>F53+G53+COUNTIFS(交易明細!$B$2:$B$692,$A53,交易明細!$J$2:$J$692,"時間出場")</f>
        <v/>
      </c>
      <c r="F53" s="2">
        <f>COUNTIFS(交易明細!$B$2:$B$692,$A53,交易明細!$J$2:$J$692,"止盈")</f>
        <v/>
      </c>
      <c r="G53" s="2">
        <f>COUNTIFS(交易明細!$B$2:$B$692,$A53,交易明細!$J$2:$J$692,"止損")</f>
        <v/>
      </c>
      <c r="H53" s="4">
        <f>IFERROR(F53/E53,0)</f>
        <v/>
      </c>
      <c r="I53" s="4">
        <f>IFERROR(AVERAGEIFS(交易明細!$L$2:$L$692,交易明細!$B$2:$B$692,$A53,交易明細!$J$2:$J$692,"&lt;&gt;未平倉"),0)</f>
        <v/>
      </c>
      <c r="J53" s="4">
        <f>SUMIFS(交易明細!$L$2:$L$692,交易明細!$B$2:$B$692,$A53,交易明細!$J$2:$J$692,"&lt;&gt;未平倉")</f>
        <v/>
      </c>
      <c r="K53" s="5">
        <f>IFERROR(AVERAGEIFS(交易明細!$K$2:$K$692,交易明細!$B$2:$B$692,$A53,交易明細!$J$2:$J$692,"&lt;&gt;未平倉"),0)</f>
        <v/>
      </c>
      <c r="L53" s="2">
        <f>COUNTIFS(交易明細!$B$2:$B$692,$A53,交易明細!$J$2:$J$692,"未平倉")</f>
        <v/>
      </c>
    </row>
    <row r="54">
      <c r="A54" s="2" t="inlineStr">
        <is>
          <t>AVAX_USDT_PERP</t>
        </is>
      </c>
      <c r="B54" s="2">
        <f>COUNTIFS(交易明細!$B$2:$B$692,$A54)</f>
        <v/>
      </c>
      <c r="C54" s="2">
        <f>COUNTIFS(交易明細!$B$2:$B$692,$A54,交易明細!$C$2:$C$692,"做多")</f>
        <v/>
      </c>
      <c r="D54" s="2">
        <f>COUNTIFS(交易明細!$B$2:$B$692,$A54,交易明細!$C$2:$C$692,"做空")</f>
        <v/>
      </c>
      <c r="E54" s="2">
        <f>F54+G54+COUNTIFS(交易明細!$B$2:$B$692,$A54,交易明細!$J$2:$J$692,"時間出場")</f>
        <v/>
      </c>
      <c r="F54" s="2">
        <f>COUNTIFS(交易明細!$B$2:$B$692,$A54,交易明細!$J$2:$J$692,"止盈")</f>
        <v/>
      </c>
      <c r="G54" s="2">
        <f>COUNTIFS(交易明細!$B$2:$B$692,$A54,交易明細!$J$2:$J$692,"止損")</f>
        <v/>
      </c>
      <c r="H54" s="4">
        <f>IFERROR(F54/E54,0)</f>
        <v/>
      </c>
      <c r="I54" s="4">
        <f>IFERROR(AVERAGEIFS(交易明細!$L$2:$L$692,交易明細!$B$2:$B$692,$A54,交易明細!$J$2:$J$692,"&lt;&gt;未平倉"),0)</f>
        <v/>
      </c>
      <c r="J54" s="4">
        <f>SUMIFS(交易明細!$L$2:$L$692,交易明細!$B$2:$B$692,$A54,交易明細!$J$2:$J$692,"&lt;&gt;未平倉")</f>
        <v/>
      </c>
      <c r="K54" s="5">
        <f>IFERROR(AVERAGEIFS(交易明細!$K$2:$K$692,交易明細!$B$2:$B$692,$A54,交易明細!$J$2:$J$692,"&lt;&gt;未平倉"),0)</f>
        <v/>
      </c>
      <c r="L54" s="2">
        <f>COUNTIFS(交易明細!$B$2:$B$692,$A54,交易明細!$J$2:$J$692,"未平倉")</f>
        <v/>
      </c>
    </row>
    <row r="55">
      <c r="A55" s="2" t="inlineStr">
        <is>
          <t>DOGE_USDT_PERP</t>
        </is>
      </c>
      <c r="B55" s="2">
        <f>COUNTIFS(交易明細!$B$2:$B$692,$A55)</f>
        <v/>
      </c>
      <c r="C55" s="2">
        <f>COUNTIFS(交易明細!$B$2:$B$692,$A55,交易明細!$C$2:$C$692,"做多")</f>
        <v/>
      </c>
      <c r="D55" s="2">
        <f>COUNTIFS(交易明細!$B$2:$B$692,$A55,交易明細!$C$2:$C$692,"做空")</f>
        <v/>
      </c>
      <c r="E55" s="2">
        <f>F55+G55+COUNTIFS(交易明細!$B$2:$B$692,$A55,交易明細!$J$2:$J$692,"時間出場")</f>
        <v/>
      </c>
      <c r="F55" s="2">
        <f>COUNTIFS(交易明細!$B$2:$B$692,$A55,交易明細!$J$2:$J$692,"止盈")</f>
        <v/>
      </c>
      <c r="G55" s="2">
        <f>COUNTIFS(交易明細!$B$2:$B$692,$A55,交易明細!$J$2:$J$692,"止損")</f>
        <v/>
      </c>
      <c r="H55" s="4">
        <f>IFERROR(F55/E55,0)</f>
        <v/>
      </c>
      <c r="I55" s="4">
        <f>IFERROR(AVERAGEIFS(交易明細!$L$2:$L$692,交易明細!$B$2:$B$692,$A55,交易明細!$J$2:$J$692,"&lt;&gt;未平倉"),0)</f>
        <v/>
      </c>
      <c r="J55" s="4">
        <f>SUMIFS(交易明細!$L$2:$L$692,交易明細!$B$2:$B$692,$A55,交易明細!$J$2:$J$692,"&lt;&gt;未平倉")</f>
        <v/>
      </c>
      <c r="K55" s="5">
        <f>IFERROR(AVERAGEIFS(交易明細!$K$2:$K$692,交易明細!$B$2:$B$692,$A55,交易明細!$J$2:$J$692,"&lt;&gt;未平倉"),0)</f>
        <v/>
      </c>
      <c r="L55" s="2">
        <f>COUNTIFS(交易明細!$B$2:$B$692,$A55,交易明細!$J$2:$J$692,"未平倉")</f>
        <v/>
      </c>
    </row>
    <row r="56">
      <c r="A56" s="2" t="inlineStr">
        <is>
          <t>PYTH_USDT_PERP</t>
        </is>
      </c>
      <c r="B56" s="2">
        <f>COUNTIFS(交易明細!$B$2:$B$692,$A56)</f>
        <v/>
      </c>
      <c r="C56" s="2">
        <f>COUNTIFS(交易明細!$B$2:$B$692,$A56,交易明細!$C$2:$C$692,"做多")</f>
        <v/>
      </c>
      <c r="D56" s="2">
        <f>COUNTIFS(交易明細!$B$2:$B$692,$A56,交易明細!$C$2:$C$692,"做空")</f>
        <v/>
      </c>
      <c r="E56" s="2">
        <f>F56+G56+COUNTIFS(交易明細!$B$2:$B$692,$A56,交易明細!$J$2:$J$692,"時間出場")</f>
        <v/>
      </c>
      <c r="F56" s="2">
        <f>COUNTIFS(交易明細!$B$2:$B$692,$A56,交易明細!$J$2:$J$692,"止盈")</f>
        <v/>
      </c>
      <c r="G56" s="2">
        <f>COUNTIFS(交易明細!$B$2:$B$692,$A56,交易明細!$J$2:$J$692,"止損")</f>
        <v/>
      </c>
      <c r="H56" s="4">
        <f>IFERROR(F56/E56,0)</f>
        <v/>
      </c>
      <c r="I56" s="4">
        <f>IFERROR(AVERAGEIFS(交易明細!$L$2:$L$692,交易明細!$B$2:$B$692,$A56,交易明細!$J$2:$J$692,"&lt;&gt;未平倉"),0)</f>
        <v/>
      </c>
      <c r="J56" s="4">
        <f>SUMIFS(交易明細!$L$2:$L$692,交易明細!$B$2:$B$692,$A56,交易明細!$J$2:$J$692,"&lt;&gt;未平倉")</f>
        <v/>
      </c>
      <c r="K56" s="5">
        <f>IFERROR(AVERAGEIFS(交易明細!$K$2:$K$692,交易明細!$B$2:$B$692,$A56,交易明細!$J$2:$J$692,"&lt;&gt;未平倉"),0)</f>
        <v/>
      </c>
      <c r="L56" s="2">
        <f>COUNTIFS(交易明細!$B$2:$B$692,$A56,交易明細!$J$2:$J$692,"未平倉")</f>
        <v/>
      </c>
    </row>
    <row r="57">
      <c r="A57" s="2" t="inlineStr">
        <is>
          <t>SAGA_USDT_PERP</t>
        </is>
      </c>
      <c r="B57" s="2">
        <f>COUNTIFS(交易明細!$B$2:$B$692,$A57)</f>
        <v/>
      </c>
      <c r="C57" s="2">
        <f>COUNTIFS(交易明細!$B$2:$B$692,$A57,交易明細!$C$2:$C$692,"做多")</f>
        <v/>
      </c>
      <c r="D57" s="2">
        <f>COUNTIFS(交易明細!$B$2:$B$692,$A57,交易明細!$C$2:$C$692,"做空")</f>
        <v/>
      </c>
      <c r="E57" s="2">
        <f>F57+G57+COUNTIFS(交易明細!$B$2:$B$692,$A57,交易明細!$J$2:$J$692,"時間出場")</f>
        <v/>
      </c>
      <c r="F57" s="2">
        <f>COUNTIFS(交易明細!$B$2:$B$692,$A57,交易明細!$J$2:$J$692,"止盈")</f>
        <v/>
      </c>
      <c r="G57" s="2">
        <f>COUNTIFS(交易明細!$B$2:$B$692,$A57,交易明細!$J$2:$J$692,"止損")</f>
        <v/>
      </c>
      <c r="H57" s="4">
        <f>IFERROR(F57/E57,0)</f>
        <v/>
      </c>
      <c r="I57" s="4">
        <f>IFERROR(AVERAGEIFS(交易明細!$L$2:$L$692,交易明細!$B$2:$B$692,$A57,交易明細!$J$2:$J$692,"&lt;&gt;未平倉"),0)</f>
        <v/>
      </c>
      <c r="J57" s="4">
        <f>SUMIFS(交易明細!$L$2:$L$692,交易明細!$B$2:$B$692,$A57,交易明細!$J$2:$J$692,"&lt;&gt;未平倉")</f>
        <v/>
      </c>
      <c r="K57" s="5">
        <f>IFERROR(AVERAGEIFS(交易明細!$K$2:$K$692,交易明細!$B$2:$B$692,$A57,交易明細!$J$2:$J$692,"&lt;&gt;未平倉"),0)</f>
        <v/>
      </c>
      <c r="L57" s="2">
        <f>COUNTIFS(交易明細!$B$2:$B$692,$A57,交易明細!$J$2:$J$692,"未平倉")</f>
        <v/>
      </c>
    </row>
    <row r="58">
      <c r="A58" s="2" t="inlineStr">
        <is>
          <t>SOON_USDT_PERP</t>
        </is>
      </c>
      <c r="B58" s="2">
        <f>COUNTIFS(交易明細!$B$2:$B$692,$A58)</f>
        <v/>
      </c>
      <c r="C58" s="2">
        <f>COUNTIFS(交易明細!$B$2:$B$692,$A58,交易明細!$C$2:$C$692,"做多")</f>
        <v/>
      </c>
      <c r="D58" s="2">
        <f>COUNTIFS(交易明細!$B$2:$B$692,$A58,交易明細!$C$2:$C$692,"做空")</f>
        <v/>
      </c>
      <c r="E58" s="2">
        <f>F58+G58+COUNTIFS(交易明細!$B$2:$B$692,$A58,交易明細!$J$2:$J$692,"時間出場")</f>
        <v/>
      </c>
      <c r="F58" s="2">
        <f>COUNTIFS(交易明細!$B$2:$B$692,$A58,交易明細!$J$2:$J$692,"止盈")</f>
        <v/>
      </c>
      <c r="G58" s="2">
        <f>COUNTIFS(交易明細!$B$2:$B$692,$A58,交易明細!$J$2:$J$692,"止損")</f>
        <v/>
      </c>
      <c r="H58" s="4">
        <f>IFERROR(F58/E58,0)</f>
        <v/>
      </c>
      <c r="I58" s="4">
        <f>IFERROR(AVERAGEIFS(交易明細!$L$2:$L$692,交易明細!$B$2:$B$692,$A58,交易明細!$J$2:$J$692,"&lt;&gt;未平倉"),0)</f>
        <v/>
      </c>
      <c r="J58" s="4">
        <f>SUMIFS(交易明細!$L$2:$L$692,交易明細!$B$2:$B$692,$A58,交易明細!$J$2:$J$692,"&lt;&gt;未平倉")</f>
        <v/>
      </c>
      <c r="K58" s="5">
        <f>IFERROR(AVERAGEIFS(交易明細!$K$2:$K$692,交易明細!$B$2:$B$692,$A58,交易明細!$J$2:$J$692,"&lt;&gt;未平倉"),0)</f>
        <v/>
      </c>
      <c r="L58" s="2">
        <f>COUNTIFS(交易明細!$B$2:$B$692,$A58,交易明細!$J$2:$J$692,"未平倉")</f>
        <v/>
      </c>
    </row>
    <row r="59">
      <c r="A59" s="2" t="inlineStr">
        <is>
          <t>STRK_USDT_PERP</t>
        </is>
      </c>
      <c r="B59" s="2">
        <f>COUNTIFS(交易明細!$B$2:$B$692,$A59)</f>
        <v/>
      </c>
      <c r="C59" s="2">
        <f>COUNTIFS(交易明細!$B$2:$B$692,$A59,交易明細!$C$2:$C$692,"做多")</f>
        <v/>
      </c>
      <c r="D59" s="2">
        <f>COUNTIFS(交易明細!$B$2:$B$692,$A59,交易明細!$C$2:$C$692,"做空")</f>
        <v/>
      </c>
      <c r="E59" s="2">
        <f>F59+G59+COUNTIFS(交易明細!$B$2:$B$692,$A59,交易明細!$J$2:$J$692,"時間出場")</f>
        <v/>
      </c>
      <c r="F59" s="2">
        <f>COUNTIFS(交易明細!$B$2:$B$692,$A59,交易明細!$J$2:$J$692,"止盈")</f>
        <v/>
      </c>
      <c r="G59" s="2">
        <f>COUNTIFS(交易明細!$B$2:$B$692,$A59,交易明細!$J$2:$J$692,"止損")</f>
        <v/>
      </c>
      <c r="H59" s="4">
        <f>IFERROR(F59/E59,0)</f>
        <v/>
      </c>
      <c r="I59" s="4">
        <f>IFERROR(AVERAGEIFS(交易明細!$L$2:$L$692,交易明細!$B$2:$B$692,$A59,交易明細!$J$2:$J$692,"&lt;&gt;未平倉"),0)</f>
        <v/>
      </c>
      <c r="J59" s="4">
        <f>SUMIFS(交易明細!$L$2:$L$692,交易明細!$B$2:$B$692,$A59,交易明細!$J$2:$J$692,"&lt;&gt;未平倉")</f>
        <v/>
      </c>
      <c r="K59" s="5">
        <f>IFERROR(AVERAGEIFS(交易明細!$K$2:$K$692,交易明細!$B$2:$B$692,$A59,交易明細!$J$2:$J$692,"&lt;&gt;未平倉"),0)</f>
        <v/>
      </c>
      <c r="L59" s="2">
        <f>COUNTIFS(交易明細!$B$2:$B$692,$A59,交易明細!$J$2:$J$692,"未平倉")</f>
        <v/>
      </c>
    </row>
    <row r="60">
      <c r="A60" s="2" t="inlineStr">
        <is>
          <t>SKYAI_USDT_PERP</t>
        </is>
      </c>
      <c r="B60" s="2">
        <f>COUNTIFS(交易明細!$B$2:$B$692,$A60)</f>
        <v/>
      </c>
      <c r="C60" s="2">
        <f>COUNTIFS(交易明細!$B$2:$B$692,$A60,交易明細!$C$2:$C$692,"做多")</f>
        <v/>
      </c>
      <c r="D60" s="2">
        <f>COUNTIFS(交易明細!$B$2:$B$692,$A60,交易明細!$C$2:$C$692,"做空")</f>
        <v/>
      </c>
      <c r="E60" s="2">
        <f>F60+G60+COUNTIFS(交易明細!$B$2:$B$692,$A60,交易明細!$J$2:$J$692,"時間出場")</f>
        <v/>
      </c>
      <c r="F60" s="2">
        <f>COUNTIFS(交易明細!$B$2:$B$692,$A60,交易明細!$J$2:$J$692,"止盈")</f>
        <v/>
      </c>
      <c r="G60" s="2">
        <f>COUNTIFS(交易明細!$B$2:$B$692,$A60,交易明細!$J$2:$J$692,"止損")</f>
        <v/>
      </c>
      <c r="H60" s="4">
        <f>IFERROR(F60/E60,0)</f>
        <v/>
      </c>
      <c r="I60" s="4">
        <f>IFERROR(AVERAGEIFS(交易明細!$L$2:$L$692,交易明細!$B$2:$B$692,$A60,交易明細!$J$2:$J$692,"&lt;&gt;未平倉"),0)</f>
        <v/>
      </c>
      <c r="J60" s="4">
        <f>SUMIFS(交易明細!$L$2:$L$692,交易明細!$B$2:$B$692,$A60,交易明細!$J$2:$J$692,"&lt;&gt;未平倉")</f>
        <v/>
      </c>
      <c r="K60" s="5">
        <f>IFERROR(AVERAGEIFS(交易明細!$K$2:$K$692,交易明細!$B$2:$B$692,$A60,交易明細!$J$2:$J$692,"&lt;&gt;未平倉"),0)</f>
        <v/>
      </c>
      <c r="L60" s="2">
        <f>COUNTIFS(交易明細!$B$2:$B$692,$A60,交易明細!$J$2:$J$692,"未平倉")</f>
        <v/>
      </c>
    </row>
    <row r="61">
      <c r="A61" s="2" t="inlineStr">
        <is>
          <t>ACE_USDT_PERP</t>
        </is>
      </c>
      <c r="B61" s="2">
        <f>COUNTIFS(交易明細!$B$2:$B$692,$A61)</f>
        <v/>
      </c>
      <c r="C61" s="2">
        <f>COUNTIFS(交易明細!$B$2:$B$692,$A61,交易明細!$C$2:$C$692,"做多")</f>
        <v/>
      </c>
      <c r="D61" s="2">
        <f>COUNTIFS(交易明細!$B$2:$B$692,$A61,交易明細!$C$2:$C$692,"做空")</f>
        <v/>
      </c>
      <c r="E61" s="2">
        <f>F61+G61+COUNTIFS(交易明細!$B$2:$B$692,$A61,交易明細!$J$2:$J$692,"時間出場")</f>
        <v/>
      </c>
      <c r="F61" s="2">
        <f>COUNTIFS(交易明細!$B$2:$B$692,$A61,交易明細!$J$2:$J$692,"止盈")</f>
        <v/>
      </c>
      <c r="G61" s="2">
        <f>COUNTIFS(交易明細!$B$2:$B$692,$A61,交易明細!$J$2:$J$692,"止損")</f>
        <v/>
      </c>
      <c r="H61" s="4">
        <f>IFERROR(F61/E61,0)</f>
        <v/>
      </c>
      <c r="I61" s="4">
        <f>IFERROR(AVERAGEIFS(交易明細!$L$2:$L$692,交易明細!$B$2:$B$692,$A61,交易明細!$J$2:$J$692,"&lt;&gt;未平倉"),0)</f>
        <v/>
      </c>
      <c r="J61" s="4">
        <f>SUMIFS(交易明細!$L$2:$L$692,交易明細!$B$2:$B$692,$A61,交易明細!$J$2:$J$692,"&lt;&gt;未平倉")</f>
        <v/>
      </c>
      <c r="K61" s="5">
        <f>IFERROR(AVERAGEIFS(交易明細!$K$2:$K$692,交易明細!$B$2:$B$692,$A61,交易明細!$J$2:$J$692,"&lt;&gt;未平倉"),0)</f>
        <v/>
      </c>
      <c r="L61" s="2">
        <f>COUNTIFS(交易明細!$B$2:$B$692,$A61,交易明細!$J$2:$J$692,"未平倉")</f>
        <v/>
      </c>
    </row>
    <row r="62">
      <c r="A62" s="2" t="inlineStr">
        <is>
          <t>TRUMP_USDT_PERP</t>
        </is>
      </c>
      <c r="B62" s="2">
        <f>COUNTIFS(交易明細!$B$2:$B$692,$A62)</f>
        <v/>
      </c>
      <c r="C62" s="2">
        <f>COUNTIFS(交易明細!$B$2:$B$692,$A62,交易明細!$C$2:$C$692,"做多")</f>
        <v/>
      </c>
      <c r="D62" s="2">
        <f>COUNTIFS(交易明細!$B$2:$B$692,$A62,交易明細!$C$2:$C$692,"做空")</f>
        <v/>
      </c>
      <c r="E62" s="2">
        <f>F62+G62+COUNTIFS(交易明細!$B$2:$B$692,$A62,交易明細!$J$2:$J$692,"時間出場")</f>
        <v/>
      </c>
      <c r="F62" s="2">
        <f>COUNTIFS(交易明細!$B$2:$B$692,$A62,交易明細!$J$2:$J$692,"止盈")</f>
        <v/>
      </c>
      <c r="G62" s="2">
        <f>COUNTIFS(交易明細!$B$2:$B$692,$A62,交易明細!$J$2:$J$692,"止損")</f>
        <v/>
      </c>
      <c r="H62" s="4">
        <f>IFERROR(F62/E62,0)</f>
        <v/>
      </c>
      <c r="I62" s="4">
        <f>IFERROR(AVERAGEIFS(交易明細!$L$2:$L$692,交易明細!$B$2:$B$692,$A62,交易明細!$J$2:$J$692,"&lt;&gt;未平倉"),0)</f>
        <v/>
      </c>
      <c r="J62" s="4">
        <f>SUMIFS(交易明細!$L$2:$L$692,交易明細!$B$2:$B$692,$A62,交易明細!$J$2:$J$692,"&lt;&gt;未平倉")</f>
        <v/>
      </c>
      <c r="K62" s="5">
        <f>IFERROR(AVERAGEIFS(交易明細!$K$2:$K$692,交易明細!$B$2:$B$692,$A62,交易明細!$J$2:$J$692,"&lt;&gt;未平倉"),0)</f>
        <v/>
      </c>
      <c r="L62" s="2">
        <f>COUNTIFS(交易明細!$B$2:$B$692,$A62,交易明細!$J$2:$J$692,"未平倉")</f>
        <v/>
      </c>
    </row>
    <row r="63">
      <c r="A63" s="2" t="inlineStr">
        <is>
          <t>EDGE_USDT_PERP</t>
        </is>
      </c>
      <c r="B63" s="2">
        <f>COUNTIFS(交易明細!$B$2:$B$692,$A63)</f>
        <v/>
      </c>
      <c r="C63" s="2">
        <f>COUNTIFS(交易明細!$B$2:$B$692,$A63,交易明細!$C$2:$C$692,"做多")</f>
        <v/>
      </c>
      <c r="D63" s="2">
        <f>COUNTIFS(交易明細!$B$2:$B$692,$A63,交易明細!$C$2:$C$692,"做空")</f>
        <v/>
      </c>
      <c r="E63" s="2">
        <f>F63+G63+COUNTIFS(交易明細!$B$2:$B$692,$A63,交易明細!$J$2:$J$692,"時間出場")</f>
        <v/>
      </c>
      <c r="F63" s="2">
        <f>COUNTIFS(交易明細!$B$2:$B$692,$A63,交易明細!$J$2:$J$692,"止盈")</f>
        <v/>
      </c>
      <c r="G63" s="2">
        <f>COUNTIFS(交易明細!$B$2:$B$692,$A63,交易明細!$J$2:$J$692,"止損")</f>
        <v/>
      </c>
      <c r="H63" s="4">
        <f>IFERROR(F63/E63,0)</f>
        <v/>
      </c>
      <c r="I63" s="4">
        <f>IFERROR(AVERAGEIFS(交易明細!$L$2:$L$692,交易明細!$B$2:$B$692,$A63,交易明細!$J$2:$J$692,"&lt;&gt;未平倉"),0)</f>
        <v/>
      </c>
      <c r="J63" s="4">
        <f>SUMIFS(交易明細!$L$2:$L$692,交易明細!$B$2:$B$692,$A63,交易明細!$J$2:$J$692,"&lt;&gt;未平倉")</f>
        <v/>
      </c>
      <c r="K63" s="5">
        <f>IFERROR(AVERAGEIFS(交易明細!$K$2:$K$692,交易明細!$B$2:$B$692,$A63,交易明細!$J$2:$J$692,"&lt;&gt;未平倉"),0)</f>
        <v/>
      </c>
      <c r="L63" s="2">
        <f>COUNTIFS(交易明細!$B$2:$B$692,$A63,交易明細!$J$2:$J$692,"未平倉")</f>
        <v/>
      </c>
    </row>
    <row r="64">
      <c r="A64" s="2" t="inlineStr">
        <is>
          <t>4_USDT_PERP</t>
        </is>
      </c>
      <c r="B64" s="2">
        <f>COUNTIFS(交易明細!$B$2:$B$692,$A64)</f>
        <v/>
      </c>
      <c r="C64" s="2">
        <f>COUNTIFS(交易明細!$B$2:$B$692,$A64,交易明細!$C$2:$C$692,"做多")</f>
        <v/>
      </c>
      <c r="D64" s="2">
        <f>COUNTIFS(交易明細!$B$2:$B$692,$A64,交易明細!$C$2:$C$692,"做空")</f>
        <v/>
      </c>
      <c r="E64" s="2">
        <f>F64+G64+COUNTIFS(交易明細!$B$2:$B$692,$A64,交易明細!$J$2:$J$692,"時間出場")</f>
        <v/>
      </c>
      <c r="F64" s="2">
        <f>COUNTIFS(交易明細!$B$2:$B$692,$A64,交易明細!$J$2:$J$692,"止盈")</f>
        <v/>
      </c>
      <c r="G64" s="2">
        <f>COUNTIFS(交易明細!$B$2:$B$692,$A64,交易明細!$J$2:$J$692,"止損")</f>
        <v/>
      </c>
      <c r="H64" s="4">
        <f>IFERROR(F64/E64,0)</f>
        <v/>
      </c>
      <c r="I64" s="4">
        <f>IFERROR(AVERAGEIFS(交易明細!$L$2:$L$692,交易明細!$B$2:$B$692,$A64,交易明細!$J$2:$J$692,"&lt;&gt;未平倉"),0)</f>
        <v/>
      </c>
      <c r="J64" s="4">
        <f>SUMIFS(交易明細!$L$2:$L$692,交易明細!$B$2:$B$692,$A64,交易明細!$J$2:$J$692,"&lt;&gt;未平倉")</f>
        <v/>
      </c>
      <c r="K64" s="5">
        <f>IFERROR(AVERAGEIFS(交易明細!$K$2:$K$692,交易明細!$B$2:$B$692,$A64,交易明細!$J$2:$J$692,"&lt;&gt;未平倉"),0)</f>
        <v/>
      </c>
      <c r="L64" s="2">
        <f>COUNTIFS(交易明細!$B$2:$B$692,$A64,交易明細!$J$2:$J$692,"未平倉")</f>
        <v/>
      </c>
    </row>
    <row r="65">
      <c r="A65" s="2" t="inlineStr">
        <is>
          <t>ZEN_USDT_PERP</t>
        </is>
      </c>
      <c r="B65" s="2">
        <f>COUNTIFS(交易明細!$B$2:$B$692,$A65)</f>
        <v/>
      </c>
      <c r="C65" s="2">
        <f>COUNTIFS(交易明細!$B$2:$B$692,$A65,交易明細!$C$2:$C$692,"做多")</f>
        <v/>
      </c>
      <c r="D65" s="2">
        <f>COUNTIFS(交易明細!$B$2:$B$692,$A65,交易明細!$C$2:$C$692,"做空")</f>
        <v/>
      </c>
      <c r="E65" s="2">
        <f>F65+G65+COUNTIFS(交易明細!$B$2:$B$692,$A65,交易明細!$J$2:$J$692,"時間出場")</f>
        <v/>
      </c>
      <c r="F65" s="2">
        <f>COUNTIFS(交易明細!$B$2:$B$692,$A65,交易明細!$J$2:$J$692,"止盈")</f>
        <v/>
      </c>
      <c r="G65" s="2">
        <f>COUNTIFS(交易明細!$B$2:$B$692,$A65,交易明細!$J$2:$J$692,"止損")</f>
        <v/>
      </c>
      <c r="H65" s="4">
        <f>IFERROR(F65/E65,0)</f>
        <v/>
      </c>
      <c r="I65" s="4">
        <f>IFERROR(AVERAGEIFS(交易明細!$L$2:$L$692,交易明細!$B$2:$B$692,$A65,交易明細!$J$2:$J$692,"&lt;&gt;未平倉"),0)</f>
        <v/>
      </c>
      <c r="J65" s="4">
        <f>SUMIFS(交易明細!$L$2:$L$692,交易明細!$B$2:$B$692,$A65,交易明細!$J$2:$J$692,"&lt;&gt;未平倉")</f>
        <v/>
      </c>
      <c r="K65" s="5">
        <f>IFERROR(AVERAGEIFS(交易明細!$K$2:$K$692,交易明細!$B$2:$B$692,$A65,交易明細!$J$2:$J$692,"&lt;&gt;未平倉"),0)</f>
        <v/>
      </c>
      <c r="L65" s="2">
        <f>COUNTIFS(交易明細!$B$2:$B$692,$A65,交易明細!$J$2:$J$692,"未平倉")</f>
        <v/>
      </c>
    </row>
    <row r="66">
      <c r="A66" s="2" t="inlineStr">
        <is>
          <t>KAS_USDT_PERP</t>
        </is>
      </c>
      <c r="B66" s="2">
        <f>COUNTIFS(交易明細!$B$2:$B$692,$A66)</f>
        <v/>
      </c>
      <c r="C66" s="2">
        <f>COUNTIFS(交易明細!$B$2:$B$692,$A66,交易明細!$C$2:$C$692,"做多")</f>
        <v/>
      </c>
      <c r="D66" s="2">
        <f>COUNTIFS(交易明細!$B$2:$B$692,$A66,交易明細!$C$2:$C$692,"做空")</f>
        <v/>
      </c>
      <c r="E66" s="2">
        <f>F66+G66+COUNTIFS(交易明細!$B$2:$B$692,$A66,交易明細!$J$2:$J$692,"時間出場")</f>
        <v/>
      </c>
      <c r="F66" s="2">
        <f>COUNTIFS(交易明細!$B$2:$B$692,$A66,交易明細!$J$2:$J$692,"止盈")</f>
        <v/>
      </c>
      <c r="G66" s="2">
        <f>COUNTIFS(交易明細!$B$2:$B$692,$A66,交易明細!$J$2:$J$692,"止損")</f>
        <v/>
      </c>
      <c r="H66" s="4">
        <f>IFERROR(F66/E66,0)</f>
        <v/>
      </c>
      <c r="I66" s="4">
        <f>IFERROR(AVERAGEIFS(交易明細!$L$2:$L$692,交易明細!$B$2:$B$692,$A66,交易明細!$J$2:$J$692,"&lt;&gt;未平倉"),0)</f>
        <v/>
      </c>
      <c r="J66" s="4">
        <f>SUMIFS(交易明細!$L$2:$L$692,交易明細!$B$2:$B$692,$A66,交易明細!$J$2:$J$692,"&lt;&gt;未平倉")</f>
        <v/>
      </c>
      <c r="K66" s="5">
        <f>IFERROR(AVERAGEIFS(交易明細!$K$2:$K$692,交易明細!$B$2:$B$692,$A66,交易明細!$J$2:$J$692,"&lt;&gt;未平倉"),0)</f>
        <v/>
      </c>
      <c r="L66" s="2">
        <f>COUNTIFS(交易明細!$B$2:$B$692,$A66,交易明細!$J$2:$J$692,"未平倉")</f>
        <v/>
      </c>
    </row>
    <row r="67">
      <c r="A67" s="2" t="inlineStr">
        <is>
          <t>RIVER_USDT_PERP</t>
        </is>
      </c>
      <c r="B67" s="2">
        <f>COUNTIFS(交易明細!$B$2:$B$692,$A67)</f>
        <v/>
      </c>
      <c r="C67" s="2">
        <f>COUNTIFS(交易明細!$B$2:$B$692,$A67,交易明細!$C$2:$C$692,"做多")</f>
        <v/>
      </c>
      <c r="D67" s="2">
        <f>COUNTIFS(交易明細!$B$2:$B$692,$A67,交易明細!$C$2:$C$692,"做空")</f>
        <v/>
      </c>
      <c r="E67" s="2">
        <f>F67+G67+COUNTIFS(交易明細!$B$2:$B$692,$A67,交易明細!$J$2:$J$692,"時間出場")</f>
        <v/>
      </c>
      <c r="F67" s="2">
        <f>COUNTIFS(交易明細!$B$2:$B$692,$A67,交易明細!$J$2:$J$692,"止盈")</f>
        <v/>
      </c>
      <c r="G67" s="2">
        <f>COUNTIFS(交易明細!$B$2:$B$692,$A67,交易明細!$J$2:$J$692,"止損")</f>
        <v/>
      </c>
      <c r="H67" s="4">
        <f>IFERROR(F67/E67,0)</f>
        <v/>
      </c>
      <c r="I67" s="4">
        <f>IFERROR(AVERAGEIFS(交易明細!$L$2:$L$692,交易明細!$B$2:$B$692,$A67,交易明細!$J$2:$J$692,"&lt;&gt;未平倉"),0)</f>
        <v/>
      </c>
      <c r="J67" s="4">
        <f>SUMIFS(交易明細!$L$2:$L$692,交易明細!$B$2:$B$692,$A67,交易明細!$J$2:$J$692,"&lt;&gt;未平倉")</f>
        <v/>
      </c>
      <c r="K67" s="5">
        <f>IFERROR(AVERAGEIFS(交易明細!$K$2:$K$692,交易明細!$B$2:$B$692,$A67,交易明細!$J$2:$J$692,"&lt;&gt;未平倉"),0)</f>
        <v/>
      </c>
      <c r="L67" s="2">
        <f>COUNTIFS(交易明細!$B$2:$B$692,$A67,交易明細!$J$2:$J$692,"未平倉")</f>
        <v/>
      </c>
    </row>
    <row r="68">
      <c r="A68" s="2" t="inlineStr">
        <is>
          <t>POWER_USDT_PERP</t>
        </is>
      </c>
      <c r="B68" s="2">
        <f>COUNTIFS(交易明細!$B$2:$B$692,$A68)</f>
        <v/>
      </c>
      <c r="C68" s="2">
        <f>COUNTIFS(交易明細!$B$2:$B$692,$A68,交易明細!$C$2:$C$692,"做多")</f>
        <v/>
      </c>
      <c r="D68" s="2">
        <f>COUNTIFS(交易明細!$B$2:$B$692,$A68,交易明細!$C$2:$C$692,"做空")</f>
        <v/>
      </c>
      <c r="E68" s="2">
        <f>F68+G68+COUNTIFS(交易明細!$B$2:$B$692,$A68,交易明細!$J$2:$J$692,"時間出場")</f>
        <v/>
      </c>
      <c r="F68" s="2">
        <f>COUNTIFS(交易明細!$B$2:$B$692,$A68,交易明細!$J$2:$J$692,"止盈")</f>
        <v/>
      </c>
      <c r="G68" s="2">
        <f>COUNTIFS(交易明細!$B$2:$B$692,$A68,交易明細!$J$2:$J$692,"止損")</f>
        <v/>
      </c>
      <c r="H68" s="4">
        <f>IFERROR(F68/E68,0)</f>
        <v/>
      </c>
      <c r="I68" s="4">
        <f>IFERROR(AVERAGEIFS(交易明細!$L$2:$L$692,交易明細!$B$2:$B$692,$A68,交易明細!$J$2:$J$692,"&lt;&gt;未平倉"),0)</f>
        <v/>
      </c>
      <c r="J68" s="4">
        <f>SUMIFS(交易明細!$L$2:$L$692,交易明細!$B$2:$B$692,$A68,交易明細!$J$2:$J$692,"&lt;&gt;未平倉")</f>
        <v/>
      </c>
      <c r="K68" s="5">
        <f>IFERROR(AVERAGEIFS(交易明細!$K$2:$K$692,交易明細!$B$2:$B$692,$A68,交易明細!$J$2:$J$692,"&lt;&gt;未平倉"),0)</f>
        <v/>
      </c>
      <c r="L68" s="2">
        <f>COUNTIFS(交易明細!$B$2:$B$692,$A68,交易明細!$J$2:$J$692,"未平倉")</f>
        <v/>
      </c>
    </row>
    <row r="69">
      <c r="A69" s="2" t="inlineStr">
        <is>
          <t>PIEVERSE_USDT_PERP</t>
        </is>
      </c>
      <c r="B69" s="2">
        <f>COUNTIFS(交易明細!$B$2:$B$692,$A69)</f>
        <v/>
      </c>
      <c r="C69" s="2">
        <f>COUNTIFS(交易明細!$B$2:$B$692,$A69,交易明細!$C$2:$C$692,"做多")</f>
        <v/>
      </c>
      <c r="D69" s="2">
        <f>COUNTIFS(交易明細!$B$2:$B$692,$A69,交易明細!$C$2:$C$692,"做空")</f>
        <v/>
      </c>
      <c r="E69" s="2">
        <f>F69+G69+COUNTIFS(交易明細!$B$2:$B$692,$A69,交易明細!$J$2:$J$692,"時間出場")</f>
        <v/>
      </c>
      <c r="F69" s="2">
        <f>COUNTIFS(交易明細!$B$2:$B$692,$A69,交易明細!$J$2:$J$692,"止盈")</f>
        <v/>
      </c>
      <c r="G69" s="2">
        <f>COUNTIFS(交易明細!$B$2:$B$692,$A69,交易明細!$J$2:$J$692,"止損")</f>
        <v/>
      </c>
      <c r="H69" s="4">
        <f>IFERROR(F69/E69,0)</f>
        <v/>
      </c>
      <c r="I69" s="4">
        <f>IFERROR(AVERAGEIFS(交易明細!$L$2:$L$692,交易明細!$B$2:$B$692,$A69,交易明細!$J$2:$J$692,"&lt;&gt;未平倉"),0)</f>
        <v/>
      </c>
      <c r="J69" s="4">
        <f>SUMIFS(交易明細!$L$2:$L$692,交易明細!$B$2:$B$692,$A69,交易明細!$J$2:$J$692,"&lt;&gt;未平倉")</f>
        <v/>
      </c>
      <c r="K69" s="5">
        <f>IFERROR(AVERAGEIFS(交易明細!$K$2:$K$692,交易明細!$B$2:$B$692,$A69,交易明細!$J$2:$J$692,"&lt;&gt;未平倉"),0)</f>
        <v/>
      </c>
      <c r="L69" s="2">
        <f>COUNTIFS(交易明細!$B$2:$B$692,$A69,交易明細!$J$2:$J$692,"未平倉")</f>
        <v/>
      </c>
    </row>
    <row r="70">
      <c r="A70" s="2" t="inlineStr">
        <is>
          <t>AR_USDT_PERP</t>
        </is>
      </c>
      <c r="B70" s="2">
        <f>COUNTIFS(交易明細!$B$2:$B$692,$A70)</f>
        <v/>
      </c>
      <c r="C70" s="2">
        <f>COUNTIFS(交易明細!$B$2:$B$692,$A70,交易明細!$C$2:$C$692,"做多")</f>
        <v/>
      </c>
      <c r="D70" s="2">
        <f>COUNTIFS(交易明細!$B$2:$B$692,$A70,交易明細!$C$2:$C$692,"做空")</f>
        <v/>
      </c>
      <c r="E70" s="2">
        <f>F70+G70+COUNTIFS(交易明細!$B$2:$B$692,$A70,交易明細!$J$2:$J$692,"時間出場")</f>
        <v/>
      </c>
      <c r="F70" s="2">
        <f>COUNTIFS(交易明細!$B$2:$B$692,$A70,交易明細!$J$2:$J$692,"止盈")</f>
        <v/>
      </c>
      <c r="G70" s="2">
        <f>COUNTIFS(交易明細!$B$2:$B$692,$A70,交易明細!$J$2:$J$692,"止損")</f>
        <v/>
      </c>
      <c r="H70" s="4">
        <f>IFERROR(F70/E70,0)</f>
        <v/>
      </c>
      <c r="I70" s="4">
        <f>IFERROR(AVERAGEIFS(交易明細!$L$2:$L$692,交易明細!$B$2:$B$692,$A70,交易明細!$J$2:$J$692,"&lt;&gt;未平倉"),0)</f>
        <v/>
      </c>
      <c r="J70" s="4">
        <f>SUMIFS(交易明細!$L$2:$L$692,交易明細!$B$2:$B$692,$A70,交易明細!$J$2:$J$692,"&lt;&gt;未平倉")</f>
        <v/>
      </c>
      <c r="K70" s="5">
        <f>IFERROR(AVERAGEIFS(交易明細!$K$2:$K$692,交易明細!$B$2:$B$692,$A70,交易明細!$J$2:$J$692,"&lt;&gt;未平倉"),0)</f>
        <v/>
      </c>
      <c r="L70" s="2">
        <f>COUNTIFS(交易明細!$B$2:$B$692,$A70,交易明細!$J$2:$J$692,"未平倉")</f>
        <v/>
      </c>
    </row>
    <row r="71">
      <c r="A71" s="2" t="inlineStr">
        <is>
          <t>ZETA_USDT_PERP</t>
        </is>
      </c>
      <c r="B71" s="2">
        <f>COUNTIFS(交易明細!$B$2:$B$692,$A71)</f>
        <v/>
      </c>
      <c r="C71" s="2">
        <f>COUNTIFS(交易明細!$B$2:$B$692,$A71,交易明細!$C$2:$C$692,"做多")</f>
        <v/>
      </c>
      <c r="D71" s="2">
        <f>COUNTIFS(交易明細!$B$2:$B$692,$A71,交易明細!$C$2:$C$692,"做空")</f>
        <v/>
      </c>
      <c r="E71" s="2">
        <f>F71+G71+COUNTIFS(交易明細!$B$2:$B$692,$A71,交易明細!$J$2:$J$692,"時間出場")</f>
        <v/>
      </c>
      <c r="F71" s="2">
        <f>COUNTIFS(交易明細!$B$2:$B$692,$A71,交易明細!$J$2:$J$692,"止盈")</f>
        <v/>
      </c>
      <c r="G71" s="2">
        <f>COUNTIFS(交易明細!$B$2:$B$692,$A71,交易明細!$J$2:$J$692,"止損")</f>
        <v/>
      </c>
      <c r="H71" s="4">
        <f>IFERROR(F71/E71,0)</f>
        <v/>
      </c>
      <c r="I71" s="4">
        <f>IFERROR(AVERAGEIFS(交易明細!$L$2:$L$692,交易明細!$B$2:$B$692,$A71,交易明細!$J$2:$J$692,"&lt;&gt;未平倉"),0)</f>
        <v/>
      </c>
      <c r="J71" s="4">
        <f>SUMIFS(交易明細!$L$2:$L$692,交易明細!$B$2:$B$692,$A71,交易明細!$J$2:$J$692,"&lt;&gt;未平倉")</f>
        <v/>
      </c>
      <c r="K71" s="5">
        <f>IFERROR(AVERAGEIFS(交易明細!$K$2:$K$692,交易明細!$B$2:$B$692,$A71,交易明細!$J$2:$J$692,"&lt;&gt;未平倉"),0)</f>
        <v/>
      </c>
      <c r="L71" s="2">
        <f>COUNTIFS(交易明細!$B$2:$B$692,$A71,交易明細!$J$2:$J$692,"未平倉")</f>
        <v/>
      </c>
    </row>
    <row r="72">
      <c r="A72" s="2" t="inlineStr">
        <is>
          <t>WIF_USDT_PERP</t>
        </is>
      </c>
      <c r="B72" s="2">
        <f>COUNTIFS(交易明細!$B$2:$B$692,$A72)</f>
        <v/>
      </c>
      <c r="C72" s="2">
        <f>COUNTIFS(交易明細!$B$2:$B$692,$A72,交易明細!$C$2:$C$692,"做多")</f>
        <v/>
      </c>
      <c r="D72" s="2">
        <f>COUNTIFS(交易明細!$B$2:$B$692,$A72,交易明細!$C$2:$C$692,"做空")</f>
        <v/>
      </c>
      <c r="E72" s="2">
        <f>F72+G72+COUNTIFS(交易明細!$B$2:$B$692,$A72,交易明細!$J$2:$J$692,"時間出場")</f>
        <v/>
      </c>
      <c r="F72" s="2">
        <f>COUNTIFS(交易明細!$B$2:$B$692,$A72,交易明細!$J$2:$J$692,"止盈")</f>
        <v/>
      </c>
      <c r="G72" s="2">
        <f>COUNTIFS(交易明細!$B$2:$B$692,$A72,交易明細!$J$2:$J$692,"止損")</f>
        <v/>
      </c>
      <c r="H72" s="4">
        <f>IFERROR(F72/E72,0)</f>
        <v/>
      </c>
      <c r="I72" s="4">
        <f>IFERROR(AVERAGEIFS(交易明細!$L$2:$L$692,交易明細!$B$2:$B$692,$A72,交易明細!$J$2:$J$692,"&lt;&gt;未平倉"),0)</f>
        <v/>
      </c>
      <c r="J72" s="4">
        <f>SUMIFS(交易明細!$L$2:$L$692,交易明細!$B$2:$B$692,$A72,交易明細!$J$2:$J$692,"&lt;&gt;未平倉")</f>
        <v/>
      </c>
      <c r="K72" s="5">
        <f>IFERROR(AVERAGEIFS(交易明細!$K$2:$K$692,交易明細!$B$2:$B$692,$A72,交易明細!$J$2:$J$692,"&lt;&gt;未平倉"),0)</f>
        <v/>
      </c>
      <c r="L72" s="2">
        <f>COUNTIFS(交易明細!$B$2:$B$692,$A72,交易明細!$J$2:$J$692,"未平倉")</f>
        <v/>
      </c>
    </row>
    <row r="73">
      <c r="A73" s="2" t="inlineStr">
        <is>
          <t>HBAR_USDT_PERP</t>
        </is>
      </c>
      <c r="B73" s="2">
        <f>COUNTIFS(交易明細!$B$2:$B$692,$A73)</f>
        <v/>
      </c>
      <c r="C73" s="2">
        <f>COUNTIFS(交易明細!$B$2:$B$692,$A73,交易明細!$C$2:$C$692,"做多")</f>
        <v/>
      </c>
      <c r="D73" s="2">
        <f>COUNTIFS(交易明細!$B$2:$B$692,$A73,交易明細!$C$2:$C$692,"做空")</f>
        <v/>
      </c>
      <c r="E73" s="2">
        <f>F73+G73+COUNTIFS(交易明細!$B$2:$B$692,$A73,交易明細!$J$2:$J$692,"時間出場")</f>
        <v/>
      </c>
      <c r="F73" s="2">
        <f>COUNTIFS(交易明細!$B$2:$B$692,$A73,交易明細!$J$2:$J$692,"止盈")</f>
        <v/>
      </c>
      <c r="G73" s="2">
        <f>COUNTIFS(交易明細!$B$2:$B$692,$A73,交易明細!$J$2:$J$692,"止損")</f>
        <v/>
      </c>
      <c r="H73" s="4">
        <f>IFERROR(F73/E73,0)</f>
        <v/>
      </c>
      <c r="I73" s="4">
        <f>IFERROR(AVERAGEIFS(交易明細!$L$2:$L$692,交易明細!$B$2:$B$692,$A73,交易明細!$J$2:$J$692,"&lt;&gt;未平倉"),0)</f>
        <v/>
      </c>
      <c r="J73" s="4">
        <f>SUMIFS(交易明細!$L$2:$L$692,交易明細!$B$2:$B$692,$A73,交易明細!$J$2:$J$692,"&lt;&gt;未平倉")</f>
        <v/>
      </c>
      <c r="K73" s="5">
        <f>IFERROR(AVERAGEIFS(交易明細!$K$2:$K$692,交易明細!$B$2:$B$692,$A73,交易明細!$J$2:$J$692,"&lt;&gt;未平倉"),0)</f>
        <v/>
      </c>
      <c r="L73" s="2">
        <f>COUNTIFS(交易明細!$B$2:$B$692,$A73,交易明細!$J$2:$J$692,"未平倉")</f>
        <v/>
      </c>
    </row>
    <row r="74">
      <c r="A74" s="2" t="inlineStr">
        <is>
          <t>BCH_USDT_PERP</t>
        </is>
      </c>
      <c r="B74" s="2">
        <f>COUNTIFS(交易明細!$B$2:$B$692,$A74)</f>
        <v/>
      </c>
      <c r="C74" s="2">
        <f>COUNTIFS(交易明細!$B$2:$B$692,$A74,交易明細!$C$2:$C$692,"做多")</f>
        <v/>
      </c>
      <c r="D74" s="2">
        <f>COUNTIFS(交易明細!$B$2:$B$692,$A74,交易明細!$C$2:$C$692,"做空")</f>
        <v/>
      </c>
      <c r="E74" s="2">
        <f>F74+G74+COUNTIFS(交易明細!$B$2:$B$692,$A74,交易明細!$J$2:$J$692,"時間出場")</f>
        <v/>
      </c>
      <c r="F74" s="2">
        <f>COUNTIFS(交易明細!$B$2:$B$692,$A74,交易明細!$J$2:$J$692,"止盈")</f>
        <v/>
      </c>
      <c r="G74" s="2">
        <f>COUNTIFS(交易明細!$B$2:$B$692,$A74,交易明細!$J$2:$J$692,"止損")</f>
        <v/>
      </c>
      <c r="H74" s="4">
        <f>IFERROR(F74/E74,0)</f>
        <v/>
      </c>
      <c r="I74" s="4">
        <f>IFERROR(AVERAGEIFS(交易明細!$L$2:$L$692,交易明細!$B$2:$B$692,$A74,交易明細!$J$2:$J$692,"&lt;&gt;未平倉"),0)</f>
        <v/>
      </c>
      <c r="J74" s="4">
        <f>SUMIFS(交易明細!$L$2:$L$692,交易明細!$B$2:$B$692,$A74,交易明細!$J$2:$J$692,"&lt;&gt;未平倉")</f>
        <v/>
      </c>
      <c r="K74" s="5">
        <f>IFERROR(AVERAGEIFS(交易明細!$K$2:$K$692,交易明細!$B$2:$B$692,$A74,交易明細!$J$2:$J$692,"&lt;&gt;未平倉"),0)</f>
        <v/>
      </c>
      <c r="L74" s="2">
        <f>COUNTIFS(交易明細!$B$2:$B$692,$A74,交易明細!$J$2:$J$692,"未平倉")</f>
        <v/>
      </c>
    </row>
    <row r="75">
      <c r="A75" s="2" t="inlineStr">
        <is>
          <t>LYN_USDT_PERP</t>
        </is>
      </c>
      <c r="B75" s="2">
        <f>COUNTIFS(交易明細!$B$2:$B$692,$A75)</f>
        <v/>
      </c>
      <c r="C75" s="2">
        <f>COUNTIFS(交易明細!$B$2:$B$692,$A75,交易明細!$C$2:$C$692,"做多")</f>
        <v/>
      </c>
      <c r="D75" s="2">
        <f>COUNTIFS(交易明細!$B$2:$B$692,$A75,交易明細!$C$2:$C$692,"做空")</f>
        <v/>
      </c>
      <c r="E75" s="2">
        <f>F75+G75+COUNTIFS(交易明細!$B$2:$B$692,$A75,交易明細!$J$2:$J$692,"時間出場")</f>
        <v/>
      </c>
      <c r="F75" s="2">
        <f>COUNTIFS(交易明細!$B$2:$B$692,$A75,交易明細!$J$2:$J$692,"止盈")</f>
        <v/>
      </c>
      <c r="G75" s="2">
        <f>COUNTIFS(交易明細!$B$2:$B$692,$A75,交易明細!$J$2:$J$692,"止損")</f>
        <v/>
      </c>
      <c r="H75" s="4">
        <f>IFERROR(F75/E75,0)</f>
        <v/>
      </c>
      <c r="I75" s="4">
        <f>IFERROR(AVERAGEIFS(交易明細!$L$2:$L$692,交易明細!$B$2:$B$692,$A75,交易明細!$J$2:$J$692,"&lt;&gt;未平倉"),0)</f>
        <v/>
      </c>
      <c r="J75" s="4">
        <f>SUMIFS(交易明細!$L$2:$L$692,交易明細!$B$2:$B$692,$A75,交易明細!$J$2:$J$692,"&lt;&gt;未平倉")</f>
        <v/>
      </c>
      <c r="K75" s="5">
        <f>IFERROR(AVERAGEIFS(交易明細!$K$2:$K$692,交易明細!$B$2:$B$692,$A75,交易明細!$J$2:$J$692,"&lt;&gt;未平倉"),0)</f>
        <v/>
      </c>
      <c r="L75" s="2">
        <f>COUNTIFS(交易明細!$B$2:$B$692,$A75,交易明細!$J$2:$J$692,"未平倉")</f>
        <v/>
      </c>
    </row>
    <row r="76">
      <c r="A76" s="2" t="inlineStr">
        <is>
          <t>GRAM_USDT_PERP</t>
        </is>
      </c>
      <c r="B76" s="2">
        <f>COUNTIFS(交易明細!$B$2:$B$692,$A76)</f>
        <v/>
      </c>
      <c r="C76" s="2">
        <f>COUNTIFS(交易明細!$B$2:$B$692,$A76,交易明細!$C$2:$C$692,"做多")</f>
        <v/>
      </c>
      <c r="D76" s="2">
        <f>COUNTIFS(交易明細!$B$2:$B$692,$A76,交易明細!$C$2:$C$692,"做空")</f>
        <v/>
      </c>
      <c r="E76" s="2">
        <f>F76+G76+COUNTIFS(交易明細!$B$2:$B$692,$A76,交易明細!$J$2:$J$692,"時間出場")</f>
        <v/>
      </c>
      <c r="F76" s="2">
        <f>COUNTIFS(交易明細!$B$2:$B$692,$A76,交易明細!$J$2:$J$692,"止盈")</f>
        <v/>
      </c>
      <c r="G76" s="2">
        <f>COUNTIFS(交易明細!$B$2:$B$692,$A76,交易明細!$J$2:$J$692,"止損")</f>
        <v/>
      </c>
      <c r="H76" s="4">
        <f>IFERROR(F76/E76,0)</f>
        <v/>
      </c>
      <c r="I76" s="4">
        <f>IFERROR(AVERAGEIFS(交易明細!$L$2:$L$692,交易明細!$B$2:$B$692,$A76,交易明細!$J$2:$J$692,"&lt;&gt;未平倉"),0)</f>
        <v/>
      </c>
      <c r="J76" s="4">
        <f>SUMIFS(交易明細!$L$2:$L$692,交易明細!$B$2:$B$692,$A76,交易明細!$J$2:$J$692,"&lt;&gt;未平倉")</f>
        <v/>
      </c>
      <c r="K76" s="5">
        <f>IFERROR(AVERAGEIFS(交易明細!$K$2:$K$692,交易明細!$B$2:$B$692,$A76,交易明細!$J$2:$J$692,"&lt;&gt;未平倉"),0)</f>
        <v/>
      </c>
      <c r="L76" s="2">
        <f>COUNTIFS(交易明細!$B$2:$B$692,$A76,交易明細!$J$2:$J$692,"未平倉")</f>
        <v/>
      </c>
    </row>
    <row r="77">
      <c r="A77" s="2" t="inlineStr">
        <is>
          <t>ALGO_USDT_PERP</t>
        </is>
      </c>
      <c r="B77" s="2">
        <f>COUNTIFS(交易明細!$B$2:$B$692,$A77)</f>
        <v/>
      </c>
      <c r="C77" s="2">
        <f>COUNTIFS(交易明細!$B$2:$B$692,$A77,交易明細!$C$2:$C$692,"做多")</f>
        <v/>
      </c>
      <c r="D77" s="2">
        <f>COUNTIFS(交易明細!$B$2:$B$692,$A77,交易明細!$C$2:$C$692,"做空")</f>
        <v/>
      </c>
      <c r="E77" s="2">
        <f>F77+G77+COUNTIFS(交易明細!$B$2:$B$692,$A77,交易明細!$J$2:$J$692,"時間出場")</f>
        <v/>
      </c>
      <c r="F77" s="2">
        <f>COUNTIFS(交易明細!$B$2:$B$692,$A77,交易明細!$J$2:$J$692,"止盈")</f>
        <v/>
      </c>
      <c r="G77" s="2">
        <f>COUNTIFS(交易明細!$B$2:$B$692,$A77,交易明細!$J$2:$J$692,"止損")</f>
        <v/>
      </c>
      <c r="H77" s="4">
        <f>IFERROR(F77/E77,0)</f>
        <v/>
      </c>
      <c r="I77" s="4">
        <f>IFERROR(AVERAGEIFS(交易明細!$L$2:$L$692,交易明細!$B$2:$B$692,$A77,交易明細!$J$2:$J$692,"&lt;&gt;未平倉"),0)</f>
        <v/>
      </c>
      <c r="J77" s="4">
        <f>SUMIFS(交易明細!$L$2:$L$692,交易明細!$B$2:$B$692,$A77,交易明細!$J$2:$J$692,"&lt;&gt;未平倉")</f>
        <v/>
      </c>
      <c r="K77" s="5">
        <f>IFERROR(AVERAGEIFS(交易明細!$K$2:$K$692,交易明細!$B$2:$B$692,$A77,交易明細!$J$2:$J$692,"&lt;&gt;未平倉"),0)</f>
        <v/>
      </c>
      <c r="L77" s="2">
        <f>COUNTIFS(交易明細!$B$2:$B$692,$A77,交易明細!$J$2:$J$692,"未平倉")</f>
        <v/>
      </c>
    </row>
    <row r="78">
      <c r="A78" s="2" t="inlineStr">
        <is>
          <t>0G_USDT_PERP</t>
        </is>
      </c>
      <c r="B78" s="2">
        <f>COUNTIFS(交易明細!$B$2:$B$692,$A78)</f>
        <v/>
      </c>
      <c r="C78" s="2">
        <f>COUNTIFS(交易明細!$B$2:$B$692,$A78,交易明細!$C$2:$C$692,"做多")</f>
        <v/>
      </c>
      <c r="D78" s="2">
        <f>COUNTIFS(交易明細!$B$2:$B$692,$A78,交易明細!$C$2:$C$692,"做空")</f>
        <v/>
      </c>
      <c r="E78" s="2">
        <f>F78+G78+COUNTIFS(交易明細!$B$2:$B$692,$A78,交易明細!$J$2:$J$692,"時間出場")</f>
        <v/>
      </c>
      <c r="F78" s="2">
        <f>COUNTIFS(交易明細!$B$2:$B$692,$A78,交易明細!$J$2:$J$692,"止盈")</f>
        <v/>
      </c>
      <c r="G78" s="2">
        <f>COUNTIFS(交易明細!$B$2:$B$692,$A78,交易明細!$J$2:$J$692,"止損")</f>
        <v/>
      </c>
      <c r="H78" s="4">
        <f>IFERROR(F78/E78,0)</f>
        <v/>
      </c>
      <c r="I78" s="4">
        <f>IFERROR(AVERAGEIFS(交易明細!$L$2:$L$692,交易明細!$B$2:$B$692,$A78,交易明細!$J$2:$J$692,"&lt;&gt;未平倉"),0)</f>
        <v/>
      </c>
      <c r="J78" s="4">
        <f>SUMIFS(交易明細!$L$2:$L$692,交易明細!$B$2:$B$692,$A78,交易明細!$J$2:$J$692,"&lt;&gt;未平倉")</f>
        <v/>
      </c>
      <c r="K78" s="5">
        <f>IFERROR(AVERAGEIFS(交易明細!$K$2:$K$692,交易明細!$B$2:$B$692,$A78,交易明細!$J$2:$J$692,"&lt;&gt;未平倉"),0)</f>
        <v/>
      </c>
      <c r="L78" s="2">
        <f>COUNTIFS(交易明細!$B$2:$B$692,$A78,交易明細!$J$2:$J$692,"未平倉")</f>
        <v/>
      </c>
    </row>
    <row r="79">
      <c r="A79" s="2" t="inlineStr">
        <is>
          <t>MAGMA_USDT_PERP</t>
        </is>
      </c>
      <c r="B79" s="2">
        <f>COUNTIFS(交易明細!$B$2:$B$692,$A79)</f>
        <v/>
      </c>
      <c r="C79" s="2">
        <f>COUNTIFS(交易明細!$B$2:$B$692,$A79,交易明細!$C$2:$C$692,"做多")</f>
        <v/>
      </c>
      <c r="D79" s="2">
        <f>COUNTIFS(交易明細!$B$2:$B$692,$A79,交易明細!$C$2:$C$692,"做空")</f>
        <v/>
      </c>
      <c r="E79" s="2">
        <f>F79+G79+COUNTIFS(交易明細!$B$2:$B$692,$A79,交易明細!$J$2:$J$692,"時間出場")</f>
        <v/>
      </c>
      <c r="F79" s="2">
        <f>COUNTIFS(交易明細!$B$2:$B$692,$A79,交易明細!$J$2:$J$692,"止盈")</f>
        <v/>
      </c>
      <c r="G79" s="2">
        <f>COUNTIFS(交易明細!$B$2:$B$692,$A79,交易明細!$J$2:$J$692,"止損")</f>
        <v/>
      </c>
      <c r="H79" s="4">
        <f>IFERROR(F79/E79,0)</f>
        <v/>
      </c>
      <c r="I79" s="4">
        <f>IFERROR(AVERAGEIFS(交易明細!$L$2:$L$692,交易明細!$B$2:$B$692,$A79,交易明細!$J$2:$J$692,"&lt;&gt;未平倉"),0)</f>
        <v/>
      </c>
      <c r="J79" s="4">
        <f>SUMIFS(交易明細!$L$2:$L$692,交易明細!$B$2:$B$692,$A79,交易明細!$J$2:$J$692,"&lt;&gt;未平倉")</f>
        <v/>
      </c>
      <c r="K79" s="5">
        <f>IFERROR(AVERAGEIFS(交易明細!$K$2:$K$692,交易明細!$B$2:$B$692,$A79,交易明細!$J$2:$J$692,"&lt;&gt;未平倉"),0)</f>
        <v/>
      </c>
      <c r="L79" s="2">
        <f>COUNTIFS(交易明細!$B$2:$B$692,$A79,交易明細!$J$2:$J$692,"未平倉")</f>
        <v/>
      </c>
    </row>
    <row r="80">
      <c r="A80" s="2" t="inlineStr">
        <is>
          <t>CHIP_USDT_PERP</t>
        </is>
      </c>
      <c r="B80" s="2">
        <f>COUNTIFS(交易明細!$B$2:$B$692,$A80)</f>
        <v/>
      </c>
      <c r="C80" s="2">
        <f>COUNTIFS(交易明細!$B$2:$B$692,$A80,交易明細!$C$2:$C$692,"做多")</f>
        <v/>
      </c>
      <c r="D80" s="2">
        <f>COUNTIFS(交易明細!$B$2:$B$692,$A80,交易明細!$C$2:$C$692,"做空")</f>
        <v/>
      </c>
      <c r="E80" s="2">
        <f>F80+G80+COUNTIFS(交易明細!$B$2:$B$692,$A80,交易明細!$J$2:$J$692,"時間出場")</f>
        <v/>
      </c>
      <c r="F80" s="2">
        <f>COUNTIFS(交易明細!$B$2:$B$692,$A80,交易明細!$J$2:$J$692,"止盈")</f>
        <v/>
      </c>
      <c r="G80" s="2">
        <f>COUNTIFS(交易明細!$B$2:$B$692,$A80,交易明細!$J$2:$J$692,"止損")</f>
        <v/>
      </c>
      <c r="H80" s="4">
        <f>IFERROR(F80/E80,0)</f>
        <v/>
      </c>
      <c r="I80" s="4">
        <f>IFERROR(AVERAGEIFS(交易明細!$L$2:$L$692,交易明細!$B$2:$B$692,$A80,交易明細!$J$2:$J$692,"&lt;&gt;未平倉"),0)</f>
        <v/>
      </c>
      <c r="J80" s="4">
        <f>SUMIFS(交易明細!$L$2:$L$692,交易明細!$B$2:$B$692,$A80,交易明細!$J$2:$J$692,"&lt;&gt;未平倉")</f>
        <v/>
      </c>
      <c r="K80" s="5">
        <f>IFERROR(AVERAGEIFS(交易明細!$K$2:$K$692,交易明細!$B$2:$B$692,$A80,交易明細!$J$2:$J$692,"&lt;&gt;未平倉"),0)</f>
        <v/>
      </c>
      <c r="L80" s="2">
        <f>COUNTIFS(交易明細!$B$2:$B$692,$A80,交易明細!$J$2:$J$692,"未平倉")</f>
        <v/>
      </c>
    </row>
    <row r="81">
      <c r="A81" s="2" t="inlineStr">
        <is>
          <t>FARTCOIN_USDT_PERP</t>
        </is>
      </c>
      <c r="B81" s="2">
        <f>COUNTIFS(交易明細!$B$2:$B$692,$A81)</f>
        <v/>
      </c>
      <c r="C81" s="2">
        <f>COUNTIFS(交易明細!$B$2:$B$692,$A81,交易明細!$C$2:$C$692,"做多")</f>
        <v/>
      </c>
      <c r="D81" s="2">
        <f>COUNTIFS(交易明細!$B$2:$B$692,$A81,交易明細!$C$2:$C$692,"做空")</f>
        <v/>
      </c>
      <c r="E81" s="2">
        <f>F81+G81+COUNTIFS(交易明細!$B$2:$B$692,$A81,交易明細!$J$2:$J$692,"時間出場")</f>
        <v/>
      </c>
      <c r="F81" s="2">
        <f>COUNTIFS(交易明細!$B$2:$B$692,$A81,交易明細!$J$2:$J$692,"止盈")</f>
        <v/>
      </c>
      <c r="G81" s="2">
        <f>COUNTIFS(交易明細!$B$2:$B$692,$A81,交易明細!$J$2:$J$692,"止損")</f>
        <v/>
      </c>
      <c r="H81" s="4">
        <f>IFERROR(F81/E81,0)</f>
        <v/>
      </c>
      <c r="I81" s="4">
        <f>IFERROR(AVERAGEIFS(交易明細!$L$2:$L$692,交易明細!$B$2:$B$692,$A81,交易明細!$J$2:$J$692,"&lt;&gt;未平倉"),0)</f>
        <v/>
      </c>
      <c r="J81" s="4">
        <f>SUMIFS(交易明細!$L$2:$L$692,交易明細!$B$2:$B$692,$A81,交易明細!$J$2:$J$692,"&lt;&gt;未平倉")</f>
        <v/>
      </c>
      <c r="K81" s="5">
        <f>IFERROR(AVERAGEIFS(交易明細!$K$2:$K$692,交易明細!$B$2:$B$692,$A81,交易明細!$J$2:$J$692,"&lt;&gt;未平倉"),0)</f>
        <v/>
      </c>
      <c r="L81" s="2">
        <f>COUNTIFS(交易明細!$B$2:$B$692,$A81,交易明細!$J$2:$J$692,"未平倉")</f>
        <v/>
      </c>
    </row>
    <row r="82">
      <c r="A82" s="2" t="inlineStr">
        <is>
          <t>TRIA_USDT_PERP</t>
        </is>
      </c>
      <c r="B82" s="2">
        <f>COUNTIFS(交易明細!$B$2:$B$692,$A82)</f>
        <v/>
      </c>
      <c r="C82" s="2">
        <f>COUNTIFS(交易明細!$B$2:$B$692,$A82,交易明細!$C$2:$C$692,"做多")</f>
        <v/>
      </c>
      <c r="D82" s="2">
        <f>COUNTIFS(交易明細!$B$2:$B$692,$A82,交易明細!$C$2:$C$692,"做空")</f>
        <v/>
      </c>
      <c r="E82" s="2">
        <f>F82+G82+COUNTIFS(交易明細!$B$2:$B$692,$A82,交易明細!$J$2:$J$692,"時間出場")</f>
        <v/>
      </c>
      <c r="F82" s="2">
        <f>COUNTIFS(交易明細!$B$2:$B$692,$A82,交易明細!$J$2:$J$692,"止盈")</f>
        <v/>
      </c>
      <c r="G82" s="2">
        <f>COUNTIFS(交易明細!$B$2:$B$692,$A82,交易明細!$J$2:$J$692,"止損")</f>
        <v/>
      </c>
      <c r="H82" s="4">
        <f>IFERROR(F82/E82,0)</f>
        <v/>
      </c>
      <c r="I82" s="4">
        <f>IFERROR(AVERAGEIFS(交易明細!$L$2:$L$692,交易明細!$B$2:$B$692,$A82,交易明細!$J$2:$J$692,"&lt;&gt;未平倉"),0)</f>
        <v/>
      </c>
      <c r="J82" s="4">
        <f>SUMIFS(交易明細!$L$2:$L$692,交易明細!$B$2:$B$692,$A82,交易明細!$J$2:$J$692,"&lt;&gt;未平倉")</f>
        <v/>
      </c>
      <c r="K82" s="5">
        <f>IFERROR(AVERAGEIFS(交易明細!$K$2:$K$692,交易明細!$B$2:$B$692,$A82,交易明細!$J$2:$J$692,"&lt;&gt;未平倉"),0)</f>
        <v/>
      </c>
      <c r="L82" s="2">
        <f>COUNTIFS(交易明細!$B$2:$B$692,$A82,交易明細!$J$2:$J$692,"未平倉")</f>
        <v/>
      </c>
    </row>
    <row r="83">
      <c r="A83" s="2" t="inlineStr">
        <is>
          <t>CASHCAT_USDT_PERP</t>
        </is>
      </c>
      <c r="B83" s="2">
        <f>COUNTIFS(交易明細!$B$2:$B$692,$A83)</f>
        <v/>
      </c>
      <c r="C83" s="2">
        <f>COUNTIFS(交易明細!$B$2:$B$692,$A83,交易明細!$C$2:$C$692,"做多")</f>
        <v/>
      </c>
      <c r="D83" s="2">
        <f>COUNTIFS(交易明細!$B$2:$B$692,$A83,交易明細!$C$2:$C$692,"做空")</f>
        <v/>
      </c>
      <c r="E83" s="2">
        <f>F83+G83+COUNTIFS(交易明細!$B$2:$B$692,$A83,交易明細!$J$2:$J$692,"時間出場")</f>
        <v/>
      </c>
      <c r="F83" s="2">
        <f>COUNTIFS(交易明細!$B$2:$B$692,$A83,交易明細!$J$2:$J$692,"止盈")</f>
        <v/>
      </c>
      <c r="G83" s="2">
        <f>COUNTIFS(交易明細!$B$2:$B$692,$A83,交易明細!$J$2:$J$692,"止損")</f>
        <v/>
      </c>
      <c r="H83" s="4">
        <f>IFERROR(F83/E83,0)</f>
        <v/>
      </c>
      <c r="I83" s="4">
        <f>IFERROR(AVERAGEIFS(交易明細!$L$2:$L$692,交易明細!$B$2:$B$692,$A83,交易明細!$J$2:$J$692,"&lt;&gt;未平倉"),0)</f>
        <v/>
      </c>
      <c r="J83" s="4">
        <f>SUMIFS(交易明細!$L$2:$L$692,交易明細!$B$2:$B$692,$A83,交易明細!$J$2:$J$692,"&lt;&gt;未平倉")</f>
        <v/>
      </c>
      <c r="K83" s="5">
        <f>IFERROR(AVERAGEIFS(交易明細!$K$2:$K$692,交易明細!$B$2:$B$692,$A83,交易明細!$J$2:$J$692,"&lt;&gt;未平倉"),0)</f>
        <v/>
      </c>
      <c r="L83" s="2">
        <f>COUNTIFS(交易明細!$B$2:$B$692,$A83,交易明細!$J$2:$J$692,"未平倉")</f>
        <v/>
      </c>
    </row>
    <row r="84">
      <c r="A84" s="2" t="inlineStr">
        <is>
          <t>FF_USDT_PERP</t>
        </is>
      </c>
      <c r="B84" s="2">
        <f>COUNTIFS(交易明細!$B$2:$B$692,$A84)</f>
        <v/>
      </c>
      <c r="C84" s="2">
        <f>COUNTIFS(交易明細!$B$2:$B$692,$A84,交易明細!$C$2:$C$692,"做多")</f>
        <v/>
      </c>
      <c r="D84" s="2">
        <f>COUNTIFS(交易明細!$B$2:$B$692,$A84,交易明細!$C$2:$C$692,"做空")</f>
        <v/>
      </c>
      <c r="E84" s="2">
        <f>F84+G84+COUNTIFS(交易明細!$B$2:$B$692,$A84,交易明細!$J$2:$J$692,"時間出場")</f>
        <v/>
      </c>
      <c r="F84" s="2">
        <f>COUNTIFS(交易明細!$B$2:$B$692,$A84,交易明細!$J$2:$J$692,"止盈")</f>
        <v/>
      </c>
      <c r="G84" s="2">
        <f>COUNTIFS(交易明細!$B$2:$B$692,$A84,交易明細!$J$2:$J$692,"止損")</f>
        <v/>
      </c>
      <c r="H84" s="4">
        <f>IFERROR(F84/E84,0)</f>
        <v/>
      </c>
      <c r="I84" s="4">
        <f>IFERROR(AVERAGEIFS(交易明細!$L$2:$L$692,交易明細!$B$2:$B$692,$A84,交易明細!$J$2:$J$692,"&lt;&gt;未平倉"),0)</f>
        <v/>
      </c>
      <c r="J84" s="4">
        <f>SUMIFS(交易明細!$L$2:$L$692,交易明細!$B$2:$B$692,$A84,交易明細!$J$2:$J$692,"&lt;&gt;未平倉")</f>
        <v/>
      </c>
      <c r="K84" s="5">
        <f>IFERROR(AVERAGEIFS(交易明細!$K$2:$K$692,交易明細!$B$2:$B$692,$A84,交易明細!$J$2:$J$692,"&lt;&gt;未平倉"),0)</f>
        <v/>
      </c>
      <c r="L84" s="2">
        <f>COUNTIFS(交易明細!$B$2:$B$692,$A84,交易明細!$J$2:$J$692,"未平倉")</f>
        <v/>
      </c>
    </row>
    <row r="85">
      <c r="A85" s="2" t="inlineStr">
        <is>
          <t>KAT_USDT_PERP</t>
        </is>
      </c>
      <c r="B85" s="2">
        <f>COUNTIFS(交易明細!$B$2:$B$692,$A85)</f>
        <v/>
      </c>
      <c r="C85" s="2">
        <f>COUNTIFS(交易明細!$B$2:$B$692,$A85,交易明細!$C$2:$C$692,"做多")</f>
        <v/>
      </c>
      <c r="D85" s="2">
        <f>COUNTIFS(交易明細!$B$2:$B$692,$A85,交易明細!$C$2:$C$692,"做空")</f>
        <v/>
      </c>
      <c r="E85" s="2">
        <f>F85+G85+COUNTIFS(交易明細!$B$2:$B$692,$A85,交易明細!$J$2:$J$692,"時間出場")</f>
        <v/>
      </c>
      <c r="F85" s="2">
        <f>COUNTIFS(交易明細!$B$2:$B$692,$A85,交易明細!$J$2:$J$692,"止盈")</f>
        <v/>
      </c>
      <c r="G85" s="2">
        <f>COUNTIFS(交易明細!$B$2:$B$692,$A85,交易明細!$J$2:$J$692,"止損")</f>
        <v/>
      </c>
      <c r="H85" s="4">
        <f>IFERROR(F85/E85,0)</f>
        <v/>
      </c>
      <c r="I85" s="4">
        <f>IFERROR(AVERAGEIFS(交易明細!$L$2:$L$692,交易明細!$B$2:$B$692,$A85,交易明細!$J$2:$J$692,"&lt;&gt;未平倉"),0)</f>
        <v/>
      </c>
      <c r="J85" s="4">
        <f>SUMIFS(交易明細!$L$2:$L$692,交易明細!$B$2:$B$692,$A85,交易明細!$J$2:$J$692,"&lt;&gt;未平倉")</f>
        <v/>
      </c>
      <c r="K85" s="5">
        <f>IFERROR(AVERAGEIFS(交易明細!$K$2:$K$692,交易明細!$B$2:$B$692,$A85,交易明細!$J$2:$J$692,"&lt;&gt;未平倉"),0)</f>
        <v/>
      </c>
      <c r="L85" s="2">
        <f>COUNTIFS(交易明細!$B$2:$B$692,$A85,交易明細!$J$2:$J$692,"未平倉")</f>
        <v/>
      </c>
    </row>
    <row r="86">
      <c r="A86" s="2" t="inlineStr">
        <is>
          <t>CAP_USDT_PERP</t>
        </is>
      </c>
      <c r="B86" s="2">
        <f>COUNTIFS(交易明細!$B$2:$B$692,$A86)</f>
        <v/>
      </c>
      <c r="C86" s="2">
        <f>COUNTIFS(交易明細!$B$2:$B$692,$A86,交易明細!$C$2:$C$692,"做多")</f>
        <v/>
      </c>
      <c r="D86" s="2">
        <f>COUNTIFS(交易明細!$B$2:$B$692,$A86,交易明細!$C$2:$C$692,"做空")</f>
        <v/>
      </c>
      <c r="E86" s="2">
        <f>F86+G86+COUNTIFS(交易明細!$B$2:$B$692,$A86,交易明細!$J$2:$J$692,"時間出場")</f>
        <v/>
      </c>
      <c r="F86" s="2">
        <f>COUNTIFS(交易明細!$B$2:$B$692,$A86,交易明細!$J$2:$J$692,"止盈")</f>
        <v/>
      </c>
      <c r="G86" s="2">
        <f>COUNTIFS(交易明細!$B$2:$B$692,$A86,交易明細!$J$2:$J$692,"止損")</f>
        <v/>
      </c>
      <c r="H86" s="4">
        <f>IFERROR(F86/E86,0)</f>
        <v/>
      </c>
      <c r="I86" s="4">
        <f>IFERROR(AVERAGEIFS(交易明細!$L$2:$L$692,交易明細!$B$2:$B$692,$A86,交易明細!$J$2:$J$692,"&lt;&gt;未平倉"),0)</f>
        <v/>
      </c>
      <c r="J86" s="4">
        <f>SUMIFS(交易明細!$L$2:$L$692,交易明細!$B$2:$B$692,$A86,交易明細!$J$2:$J$692,"&lt;&gt;未平倉")</f>
        <v/>
      </c>
      <c r="K86" s="5">
        <f>IFERROR(AVERAGEIFS(交易明細!$K$2:$K$692,交易明細!$B$2:$B$692,$A86,交易明細!$J$2:$J$692,"&lt;&gt;未平倉"),0)</f>
        <v/>
      </c>
      <c r="L86" s="2">
        <f>COUNTIFS(交易明細!$B$2:$B$692,$A86,交易明細!$J$2:$J$692,"未平倉")</f>
        <v/>
      </c>
    </row>
    <row r="87">
      <c r="A87" s="2" t="inlineStr">
        <is>
          <t>XRP_USDT_PERP</t>
        </is>
      </c>
      <c r="B87" s="2">
        <f>COUNTIFS(交易明細!$B$2:$B$692,$A87)</f>
        <v/>
      </c>
      <c r="C87" s="2">
        <f>COUNTIFS(交易明細!$B$2:$B$692,$A87,交易明細!$C$2:$C$692,"做多")</f>
        <v/>
      </c>
      <c r="D87" s="2">
        <f>COUNTIFS(交易明細!$B$2:$B$692,$A87,交易明細!$C$2:$C$692,"做空")</f>
        <v/>
      </c>
      <c r="E87" s="2">
        <f>F87+G87+COUNTIFS(交易明細!$B$2:$B$692,$A87,交易明細!$J$2:$J$692,"時間出場")</f>
        <v/>
      </c>
      <c r="F87" s="2">
        <f>COUNTIFS(交易明細!$B$2:$B$692,$A87,交易明細!$J$2:$J$692,"止盈")</f>
        <v/>
      </c>
      <c r="G87" s="2">
        <f>COUNTIFS(交易明細!$B$2:$B$692,$A87,交易明細!$J$2:$J$692,"止損")</f>
        <v/>
      </c>
      <c r="H87" s="4">
        <f>IFERROR(F87/E87,0)</f>
        <v/>
      </c>
      <c r="I87" s="4">
        <f>IFERROR(AVERAGEIFS(交易明細!$L$2:$L$692,交易明細!$B$2:$B$692,$A87,交易明細!$J$2:$J$692,"&lt;&gt;未平倉"),0)</f>
        <v/>
      </c>
      <c r="J87" s="4">
        <f>SUMIFS(交易明細!$L$2:$L$692,交易明細!$B$2:$B$692,$A87,交易明細!$J$2:$J$692,"&lt;&gt;未平倉")</f>
        <v/>
      </c>
      <c r="K87" s="5">
        <f>IFERROR(AVERAGEIFS(交易明細!$K$2:$K$692,交易明細!$B$2:$B$692,$A87,交易明細!$J$2:$J$692,"&lt;&gt;未平倉"),0)</f>
        <v/>
      </c>
      <c r="L87" s="2">
        <f>COUNTIFS(交易明細!$B$2:$B$692,$A87,交易明細!$J$2:$J$692,"未平倉")</f>
        <v/>
      </c>
    </row>
    <row r="88">
      <c r="A88" s="2" t="inlineStr">
        <is>
          <t>CROSS_USDT_PERP</t>
        </is>
      </c>
      <c r="B88" s="2">
        <f>COUNTIFS(交易明細!$B$2:$B$692,$A88)</f>
        <v/>
      </c>
      <c r="C88" s="2">
        <f>COUNTIFS(交易明細!$B$2:$B$692,$A88,交易明細!$C$2:$C$692,"做多")</f>
        <v/>
      </c>
      <c r="D88" s="2">
        <f>COUNTIFS(交易明細!$B$2:$B$692,$A88,交易明細!$C$2:$C$692,"做空")</f>
        <v/>
      </c>
      <c r="E88" s="2">
        <f>F88+G88+COUNTIFS(交易明細!$B$2:$B$692,$A88,交易明細!$J$2:$J$692,"時間出場")</f>
        <v/>
      </c>
      <c r="F88" s="2">
        <f>COUNTIFS(交易明細!$B$2:$B$692,$A88,交易明細!$J$2:$J$692,"止盈")</f>
        <v/>
      </c>
      <c r="G88" s="2">
        <f>COUNTIFS(交易明細!$B$2:$B$692,$A88,交易明細!$J$2:$J$692,"止損")</f>
        <v/>
      </c>
      <c r="H88" s="4">
        <f>IFERROR(F88/E88,0)</f>
        <v/>
      </c>
      <c r="I88" s="4">
        <f>IFERROR(AVERAGEIFS(交易明細!$L$2:$L$692,交易明細!$B$2:$B$692,$A88,交易明細!$J$2:$J$692,"&lt;&gt;未平倉"),0)</f>
        <v/>
      </c>
      <c r="J88" s="4">
        <f>SUMIFS(交易明細!$L$2:$L$692,交易明細!$B$2:$B$692,$A88,交易明細!$J$2:$J$692,"&lt;&gt;未平倉")</f>
        <v/>
      </c>
      <c r="K88" s="5">
        <f>IFERROR(AVERAGEIFS(交易明細!$K$2:$K$692,交易明細!$B$2:$B$692,$A88,交易明細!$J$2:$J$692,"&lt;&gt;未平倉"),0)</f>
        <v/>
      </c>
      <c r="L88" s="2">
        <f>COUNTIFS(交易明細!$B$2:$B$692,$A88,交易明細!$J$2:$J$692,"未平倉")</f>
        <v/>
      </c>
    </row>
    <row r="89">
      <c r="A89" s="2" t="inlineStr">
        <is>
          <t>MYX_USDT_PERP</t>
        </is>
      </c>
      <c r="B89" s="2">
        <f>COUNTIFS(交易明細!$B$2:$B$692,$A89)</f>
        <v/>
      </c>
      <c r="C89" s="2">
        <f>COUNTIFS(交易明細!$B$2:$B$692,$A89,交易明細!$C$2:$C$692,"做多")</f>
        <v/>
      </c>
      <c r="D89" s="2">
        <f>COUNTIFS(交易明細!$B$2:$B$692,$A89,交易明細!$C$2:$C$692,"做空")</f>
        <v/>
      </c>
      <c r="E89" s="2">
        <f>F89+G89+COUNTIFS(交易明細!$B$2:$B$692,$A89,交易明細!$J$2:$J$692,"時間出場")</f>
        <v/>
      </c>
      <c r="F89" s="2">
        <f>COUNTIFS(交易明細!$B$2:$B$692,$A89,交易明細!$J$2:$J$692,"止盈")</f>
        <v/>
      </c>
      <c r="G89" s="2">
        <f>COUNTIFS(交易明細!$B$2:$B$692,$A89,交易明細!$J$2:$J$692,"止損")</f>
        <v/>
      </c>
      <c r="H89" s="4">
        <f>IFERROR(F89/E89,0)</f>
        <v/>
      </c>
      <c r="I89" s="4">
        <f>IFERROR(AVERAGEIFS(交易明細!$L$2:$L$692,交易明細!$B$2:$B$692,$A89,交易明細!$J$2:$J$692,"&lt;&gt;未平倉"),0)</f>
        <v/>
      </c>
      <c r="J89" s="4">
        <f>SUMIFS(交易明細!$L$2:$L$692,交易明細!$B$2:$B$692,$A89,交易明細!$J$2:$J$692,"&lt;&gt;未平倉")</f>
        <v/>
      </c>
      <c r="K89" s="5">
        <f>IFERROR(AVERAGEIFS(交易明細!$K$2:$K$692,交易明細!$B$2:$B$692,$A89,交易明細!$J$2:$J$692,"&lt;&gt;未平倉"),0)</f>
        <v/>
      </c>
      <c r="L89" s="2">
        <f>COUNTIFS(交易明細!$B$2:$B$692,$A89,交易明細!$J$2:$J$692,"未平倉")</f>
        <v/>
      </c>
    </row>
    <row r="90">
      <c r="A90" s="2" t="inlineStr">
        <is>
          <t>BANK_USDT_PERP</t>
        </is>
      </c>
      <c r="B90" s="2">
        <f>COUNTIFS(交易明細!$B$2:$B$692,$A90)</f>
        <v/>
      </c>
      <c r="C90" s="2">
        <f>COUNTIFS(交易明細!$B$2:$B$692,$A90,交易明細!$C$2:$C$692,"做多")</f>
        <v/>
      </c>
      <c r="D90" s="2">
        <f>COUNTIFS(交易明細!$B$2:$B$692,$A90,交易明細!$C$2:$C$692,"做空")</f>
        <v/>
      </c>
      <c r="E90" s="2">
        <f>F90+G90+COUNTIFS(交易明細!$B$2:$B$692,$A90,交易明細!$J$2:$J$692,"時間出場")</f>
        <v/>
      </c>
      <c r="F90" s="2">
        <f>COUNTIFS(交易明細!$B$2:$B$692,$A90,交易明細!$J$2:$J$692,"止盈")</f>
        <v/>
      </c>
      <c r="G90" s="2">
        <f>COUNTIFS(交易明細!$B$2:$B$692,$A90,交易明細!$J$2:$J$692,"止損")</f>
        <v/>
      </c>
      <c r="H90" s="4">
        <f>IFERROR(F90/E90,0)</f>
        <v/>
      </c>
      <c r="I90" s="4">
        <f>IFERROR(AVERAGEIFS(交易明細!$L$2:$L$692,交易明細!$B$2:$B$692,$A90,交易明細!$J$2:$J$692,"&lt;&gt;未平倉"),0)</f>
        <v/>
      </c>
      <c r="J90" s="4">
        <f>SUMIFS(交易明細!$L$2:$L$692,交易明細!$B$2:$B$692,$A90,交易明細!$J$2:$J$692,"&lt;&gt;未平倉")</f>
        <v/>
      </c>
      <c r="K90" s="5">
        <f>IFERROR(AVERAGEIFS(交易明細!$K$2:$K$692,交易明細!$B$2:$B$692,$A90,交易明細!$J$2:$J$692,"&lt;&gt;未平倉"),0)</f>
        <v/>
      </c>
      <c r="L90" s="2">
        <f>COUNTIFS(交易明細!$B$2:$B$692,$A90,交易明細!$J$2:$J$692,"未平倉")</f>
        <v/>
      </c>
    </row>
    <row r="91">
      <c r="A91" s="2" t="inlineStr">
        <is>
          <t>ETHFI_USDT_PERP</t>
        </is>
      </c>
      <c r="B91" s="2">
        <f>COUNTIFS(交易明細!$B$2:$B$692,$A91)</f>
        <v/>
      </c>
      <c r="C91" s="2">
        <f>COUNTIFS(交易明細!$B$2:$B$692,$A91,交易明細!$C$2:$C$692,"做多")</f>
        <v/>
      </c>
      <c r="D91" s="2">
        <f>COUNTIFS(交易明細!$B$2:$B$692,$A91,交易明細!$C$2:$C$692,"做空")</f>
        <v/>
      </c>
      <c r="E91" s="2">
        <f>F91+G91+COUNTIFS(交易明細!$B$2:$B$692,$A91,交易明細!$J$2:$J$692,"時間出場")</f>
        <v/>
      </c>
      <c r="F91" s="2">
        <f>COUNTIFS(交易明細!$B$2:$B$692,$A91,交易明細!$J$2:$J$692,"止盈")</f>
        <v/>
      </c>
      <c r="G91" s="2">
        <f>COUNTIFS(交易明細!$B$2:$B$692,$A91,交易明細!$J$2:$J$692,"止損")</f>
        <v/>
      </c>
      <c r="H91" s="4">
        <f>IFERROR(F91/E91,0)</f>
        <v/>
      </c>
      <c r="I91" s="4">
        <f>IFERROR(AVERAGEIFS(交易明細!$L$2:$L$692,交易明細!$B$2:$B$692,$A91,交易明細!$J$2:$J$692,"&lt;&gt;未平倉"),0)</f>
        <v/>
      </c>
      <c r="J91" s="4">
        <f>SUMIFS(交易明細!$L$2:$L$692,交易明細!$B$2:$B$692,$A91,交易明細!$J$2:$J$692,"&lt;&gt;未平倉")</f>
        <v/>
      </c>
      <c r="K91" s="5">
        <f>IFERROR(AVERAGEIFS(交易明細!$K$2:$K$692,交易明細!$B$2:$B$692,$A91,交易明細!$J$2:$J$692,"&lt;&gt;未平倉"),0)</f>
        <v/>
      </c>
      <c r="L91" s="2">
        <f>COUNTIFS(交易明細!$B$2:$B$692,$A91,交易明細!$J$2:$J$692,"未平倉")</f>
        <v/>
      </c>
    </row>
    <row r="92">
      <c r="A92" s="2" t="inlineStr">
        <is>
          <t>KITE_USDT_PERP</t>
        </is>
      </c>
      <c r="B92" s="2">
        <f>COUNTIFS(交易明細!$B$2:$B$692,$A92)</f>
        <v/>
      </c>
      <c r="C92" s="2">
        <f>COUNTIFS(交易明細!$B$2:$B$692,$A92,交易明細!$C$2:$C$692,"做多")</f>
        <v/>
      </c>
      <c r="D92" s="2">
        <f>COUNTIFS(交易明細!$B$2:$B$692,$A92,交易明細!$C$2:$C$692,"做空")</f>
        <v/>
      </c>
      <c r="E92" s="2">
        <f>F92+G92+COUNTIFS(交易明細!$B$2:$B$692,$A92,交易明細!$J$2:$J$692,"時間出場")</f>
        <v/>
      </c>
      <c r="F92" s="2">
        <f>COUNTIFS(交易明細!$B$2:$B$692,$A92,交易明細!$J$2:$J$692,"止盈")</f>
        <v/>
      </c>
      <c r="G92" s="2">
        <f>COUNTIFS(交易明細!$B$2:$B$692,$A92,交易明細!$J$2:$J$692,"止損")</f>
        <v/>
      </c>
      <c r="H92" s="4">
        <f>IFERROR(F92/E92,0)</f>
        <v/>
      </c>
      <c r="I92" s="4">
        <f>IFERROR(AVERAGEIFS(交易明細!$L$2:$L$692,交易明細!$B$2:$B$692,$A92,交易明細!$J$2:$J$692,"&lt;&gt;未平倉"),0)</f>
        <v/>
      </c>
      <c r="J92" s="4">
        <f>SUMIFS(交易明細!$L$2:$L$692,交易明細!$B$2:$B$692,$A92,交易明細!$J$2:$J$692,"&lt;&gt;未平倉")</f>
        <v/>
      </c>
      <c r="K92" s="5">
        <f>IFERROR(AVERAGEIFS(交易明細!$K$2:$K$692,交易明細!$B$2:$B$692,$A92,交易明細!$J$2:$J$692,"&lt;&gt;未平倉"),0)</f>
        <v/>
      </c>
      <c r="L92" s="2">
        <f>COUNTIFS(交易明細!$B$2:$B$692,$A92,交易明細!$J$2:$J$692,"未平倉")</f>
        <v/>
      </c>
    </row>
    <row r="93">
      <c r="A93" s="2" t="inlineStr">
        <is>
          <t>ADA_USDT_PERP</t>
        </is>
      </c>
      <c r="B93" s="2">
        <f>COUNTIFS(交易明細!$B$2:$B$692,$A93)</f>
        <v/>
      </c>
      <c r="C93" s="2">
        <f>COUNTIFS(交易明細!$B$2:$B$692,$A93,交易明細!$C$2:$C$692,"做多")</f>
        <v/>
      </c>
      <c r="D93" s="2">
        <f>COUNTIFS(交易明細!$B$2:$B$692,$A93,交易明細!$C$2:$C$692,"做空")</f>
        <v/>
      </c>
      <c r="E93" s="2">
        <f>F93+G93+COUNTIFS(交易明細!$B$2:$B$692,$A93,交易明細!$J$2:$J$692,"時間出場")</f>
        <v/>
      </c>
      <c r="F93" s="2">
        <f>COUNTIFS(交易明細!$B$2:$B$692,$A93,交易明細!$J$2:$J$692,"止盈")</f>
        <v/>
      </c>
      <c r="G93" s="2">
        <f>COUNTIFS(交易明細!$B$2:$B$692,$A93,交易明細!$J$2:$J$692,"止損")</f>
        <v/>
      </c>
      <c r="H93" s="4">
        <f>IFERROR(F93/E93,0)</f>
        <v/>
      </c>
      <c r="I93" s="4">
        <f>IFERROR(AVERAGEIFS(交易明細!$L$2:$L$692,交易明細!$B$2:$B$692,$A93,交易明細!$J$2:$J$692,"&lt;&gt;未平倉"),0)</f>
        <v/>
      </c>
      <c r="J93" s="4">
        <f>SUMIFS(交易明細!$L$2:$L$692,交易明細!$B$2:$B$692,$A93,交易明細!$J$2:$J$692,"&lt;&gt;未平倉")</f>
        <v/>
      </c>
      <c r="K93" s="5">
        <f>IFERROR(AVERAGEIFS(交易明細!$K$2:$K$692,交易明細!$B$2:$B$692,$A93,交易明細!$J$2:$J$692,"&lt;&gt;未平倉"),0)</f>
        <v/>
      </c>
      <c r="L93" s="2">
        <f>COUNTIFS(交易明細!$B$2:$B$692,$A93,交易明細!$J$2:$J$692,"未平倉")</f>
        <v/>
      </c>
    </row>
    <row r="94">
      <c r="A94" s="2" t="inlineStr">
        <is>
          <t>LTC_USDT_PERP</t>
        </is>
      </c>
      <c r="B94" s="2">
        <f>COUNTIFS(交易明細!$B$2:$B$692,$A94)</f>
        <v/>
      </c>
      <c r="C94" s="2">
        <f>COUNTIFS(交易明細!$B$2:$B$692,$A94,交易明細!$C$2:$C$692,"做多")</f>
        <v/>
      </c>
      <c r="D94" s="2">
        <f>COUNTIFS(交易明細!$B$2:$B$692,$A94,交易明細!$C$2:$C$692,"做空")</f>
        <v/>
      </c>
      <c r="E94" s="2">
        <f>F94+G94+COUNTIFS(交易明細!$B$2:$B$692,$A94,交易明細!$J$2:$J$692,"時間出場")</f>
        <v/>
      </c>
      <c r="F94" s="2">
        <f>COUNTIFS(交易明細!$B$2:$B$692,$A94,交易明細!$J$2:$J$692,"止盈")</f>
        <v/>
      </c>
      <c r="G94" s="2">
        <f>COUNTIFS(交易明細!$B$2:$B$692,$A94,交易明細!$J$2:$J$692,"止損")</f>
        <v/>
      </c>
      <c r="H94" s="4">
        <f>IFERROR(F94/E94,0)</f>
        <v/>
      </c>
      <c r="I94" s="4">
        <f>IFERROR(AVERAGEIFS(交易明細!$L$2:$L$692,交易明細!$B$2:$B$692,$A94,交易明細!$J$2:$J$692,"&lt;&gt;未平倉"),0)</f>
        <v/>
      </c>
      <c r="J94" s="4">
        <f>SUMIFS(交易明細!$L$2:$L$692,交易明細!$B$2:$B$692,$A94,交易明細!$J$2:$J$692,"&lt;&gt;未平倉")</f>
        <v/>
      </c>
      <c r="K94" s="5">
        <f>IFERROR(AVERAGEIFS(交易明細!$K$2:$K$692,交易明細!$B$2:$B$692,$A94,交易明細!$J$2:$J$692,"&lt;&gt;未平倉"),0)</f>
        <v/>
      </c>
      <c r="L94" s="2">
        <f>COUNTIFS(交易明細!$B$2:$B$692,$A94,交易明細!$J$2:$J$692,"未平倉")</f>
        <v/>
      </c>
    </row>
    <row r="95">
      <c r="A95" s="2" t="inlineStr">
        <is>
          <t>TIA_USDT_PERP</t>
        </is>
      </c>
      <c r="B95" s="2">
        <f>COUNTIFS(交易明細!$B$2:$B$692,$A95)</f>
        <v/>
      </c>
      <c r="C95" s="2">
        <f>COUNTIFS(交易明細!$B$2:$B$692,$A95,交易明細!$C$2:$C$692,"做多")</f>
        <v/>
      </c>
      <c r="D95" s="2">
        <f>COUNTIFS(交易明細!$B$2:$B$692,$A95,交易明細!$C$2:$C$692,"做空")</f>
        <v/>
      </c>
      <c r="E95" s="2">
        <f>F95+G95+COUNTIFS(交易明細!$B$2:$B$692,$A95,交易明細!$J$2:$J$692,"時間出場")</f>
        <v/>
      </c>
      <c r="F95" s="2">
        <f>COUNTIFS(交易明細!$B$2:$B$692,$A95,交易明細!$J$2:$J$692,"止盈")</f>
        <v/>
      </c>
      <c r="G95" s="2">
        <f>COUNTIFS(交易明細!$B$2:$B$692,$A95,交易明細!$J$2:$J$692,"止損")</f>
        <v/>
      </c>
      <c r="H95" s="4">
        <f>IFERROR(F95/E95,0)</f>
        <v/>
      </c>
      <c r="I95" s="4">
        <f>IFERROR(AVERAGEIFS(交易明細!$L$2:$L$692,交易明細!$B$2:$B$692,$A95,交易明細!$J$2:$J$692,"&lt;&gt;未平倉"),0)</f>
        <v/>
      </c>
      <c r="J95" s="4">
        <f>SUMIFS(交易明細!$L$2:$L$692,交易明細!$B$2:$B$692,$A95,交易明細!$J$2:$J$692,"&lt;&gt;未平倉")</f>
        <v/>
      </c>
      <c r="K95" s="5">
        <f>IFERROR(AVERAGEIFS(交易明細!$K$2:$K$692,交易明細!$B$2:$B$692,$A95,交易明細!$J$2:$J$692,"&lt;&gt;未平倉"),0)</f>
        <v/>
      </c>
      <c r="L95" s="2">
        <f>COUNTIFS(交易明細!$B$2:$B$692,$A95,交易明細!$J$2:$J$692,"未平倉")</f>
        <v/>
      </c>
    </row>
    <row r="96">
      <c r="A96" s="2" t="inlineStr">
        <is>
          <t>NOM_USDT_PERP</t>
        </is>
      </c>
      <c r="B96" s="2">
        <f>COUNTIFS(交易明細!$B$2:$B$692,$A96)</f>
        <v/>
      </c>
      <c r="C96" s="2">
        <f>COUNTIFS(交易明細!$B$2:$B$692,$A96,交易明細!$C$2:$C$692,"做多")</f>
        <v/>
      </c>
      <c r="D96" s="2">
        <f>COUNTIFS(交易明細!$B$2:$B$692,$A96,交易明細!$C$2:$C$692,"做空")</f>
        <v/>
      </c>
      <c r="E96" s="2">
        <f>F96+G96+COUNTIFS(交易明細!$B$2:$B$692,$A96,交易明細!$J$2:$J$692,"時間出場")</f>
        <v/>
      </c>
      <c r="F96" s="2">
        <f>COUNTIFS(交易明細!$B$2:$B$692,$A96,交易明細!$J$2:$J$692,"止盈")</f>
        <v/>
      </c>
      <c r="G96" s="2">
        <f>COUNTIFS(交易明細!$B$2:$B$692,$A96,交易明細!$J$2:$J$692,"止損")</f>
        <v/>
      </c>
      <c r="H96" s="4">
        <f>IFERROR(F96/E96,0)</f>
        <v/>
      </c>
      <c r="I96" s="4">
        <f>IFERROR(AVERAGEIFS(交易明細!$L$2:$L$692,交易明細!$B$2:$B$692,$A96,交易明細!$J$2:$J$692,"&lt;&gt;未平倉"),0)</f>
        <v/>
      </c>
      <c r="J96" s="4">
        <f>SUMIFS(交易明細!$L$2:$L$692,交易明細!$B$2:$B$692,$A96,交易明細!$J$2:$J$692,"&lt;&gt;未平倉")</f>
        <v/>
      </c>
      <c r="K96" s="5">
        <f>IFERROR(AVERAGEIFS(交易明細!$K$2:$K$692,交易明細!$B$2:$B$692,$A96,交易明細!$J$2:$J$692,"&lt;&gt;未平倉"),0)</f>
        <v/>
      </c>
      <c r="L96" s="2">
        <f>COUNTIFS(交易明細!$B$2:$B$692,$A96,交易明細!$J$2:$J$692,"未平倉")</f>
        <v/>
      </c>
    </row>
    <row r="97">
      <c r="A97" s="2" t="inlineStr">
        <is>
          <t>BROCCOLI_USDT_PERP</t>
        </is>
      </c>
      <c r="B97" s="2">
        <f>COUNTIFS(交易明細!$B$2:$B$692,$A97)</f>
        <v/>
      </c>
      <c r="C97" s="2">
        <f>COUNTIFS(交易明細!$B$2:$B$692,$A97,交易明細!$C$2:$C$692,"做多")</f>
        <v/>
      </c>
      <c r="D97" s="2">
        <f>COUNTIFS(交易明細!$B$2:$B$692,$A97,交易明細!$C$2:$C$692,"做空")</f>
        <v/>
      </c>
      <c r="E97" s="2">
        <f>F97+G97+COUNTIFS(交易明細!$B$2:$B$692,$A97,交易明細!$J$2:$J$692,"時間出場")</f>
        <v/>
      </c>
      <c r="F97" s="2">
        <f>COUNTIFS(交易明細!$B$2:$B$692,$A97,交易明細!$J$2:$J$692,"止盈")</f>
        <v/>
      </c>
      <c r="G97" s="2">
        <f>COUNTIFS(交易明細!$B$2:$B$692,$A97,交易明細!$J$2:$J$692,"止損")</f>
        <v/>
      </c>
      <c r="H97" s="4">
        <f>IFERROR(F97/E97,0)</f>
        <v/>
      </c>
      <c r="I97" s="4">
        <f>IFERROR(AVERAGEIFS(交易明細!$L$2:$L$692,交易明細!$B$2:$B$692,$A97,交易明細!$J$2:$J$692,"&lt;&gt;未平倉"),0)</f>
        <v/>
      </c>
      <c r="J97" s="4">
        <f>SUMIFS(交易明細!$L$2:$L$692,交易明細!$B$2:$B$692,$A97,交易明細!$J$2:$J$692,"&lt;&gt;未平倉")</f>
        <v/>
      </c>
      <c r="K97" s="5">
        <f>IFERROR(AVERAGEIFS(交易明細!$K$2:$K$692,交易明細!$B$2:$B$692,$A97,交易明細!$J$2:$J$692,"&lt;&gt;未平倉"),0)</f>
        <v/>
      </c>
      <c r="L97" s="2">
        <f>COUNTIFS(交易明細!$B$2:$B$692,$A97,交易明細!$J$2:$J$692,"未平倉")</f>
        <v/>
      </c>
    </row>
    <row r="98">
      <c r="A98" s="2" t="inlineStr">
        <is>
          <t>2Z_USDT_PERP</t>
        </is>
      </c>
      <c r="B98" s="2">
        <f>COUNTIFS(交易明細!$B$2:$B$692,$A98)</f>
        <v/>
      </c>
      <c r="C98" s="2">
        <f>COUNTIFS(交易明細!$B$2:$B$692,$A98,交易明細!$C$2:$C$692,"做多")</f>
        <v/>
      </c>
      <c r="D98" s="2">
        <f>COUNTIFS(交易明細!$B$2:$B$692,$A98,交易明細!$C$2:$C$692,"做空")</f>
        <v/>
      </c>
      <c r="E98" s="2">
        <f>F98+G98+COUNTIFS(交易明細!$B$2:$B$692,$A98,交易明細!$J$2:$J$692,"時間出場")</f>
        <v/>
      </c>
      <c r="F98" s="2">
        <f>COUNTIFS(交易明細!$B$2:$B$692,$A98,交易明細!$J$2:$J$692,"止盈")</f>
        <v/>
      </c>
      <c r="G98" s="2">
        <f>COUNTIFS(交易明細!$B$2:$B$692,$A98,交易明細!$J$2:$J$692,"止損")</f>
        <v/>
      </c>
      <c r="H98" s="4">
        <f>IFERROR(F98/E98,0)</f>
        <v/>
      </c>
      <c r="I98" s="4">
        <f>IFERROR(AVERAGEIFS(交易明細!$L$2:$L$692,交易明細!$B$2:$B$692,$A98,交易明細!$J$2:$J$692,"&lt;&gt;未平倉"),0)</f>
        <v/>
      </c>
      <c r="J98" s="4">
        <f>SUMIFS(交易明細!$L$2:$L$692,交易明細!$B$2:$B$692,$A98,交易明細!$J$2:$J$692,"&lt;&gt;未平倉")</f>
        <v/>
      </c>
      <c r="K98" s="5">
        <f>IFERROR(AVERAGEIFS(交易明細!$K$2:$K$692,交易明細!$B$2:$B$692,$A98,交易明細!$J$2:$J$692,"&lt;&gt;未平倉"),0)</f>
        <v/>
      </c>
      <c r="L98" s="2">
        <f>COUNTIFS(交易明細!$B$2:$B$692,$A98,交易明細!$J$2:$J$692,"未平倉")</f>
        <v/>
      </c>
    </row>
    <row r="99">
      <c r="A99" s="2" t="inlineStr">
        <is>
          <t>XLM_USDT_PERP</t>
        </is>
      </c>
      <c r="B99" s="2">
        <f>COUNTIFS(交易明細!$B$2:$B$692,$A99)</f>
        <v/>
      </c>
      <c r="C99" s="2">
        <f>COUNTIFS(交易明細!$B$2:$B$692,$A99,交易明細!$C$2:$C$692,"做多")</f>
        <v/>
      </c>
      <c r="D99" s="2">
        <f>COUNTIFS(交易明細!$B$2:$B$692,$A99,交易明細!$C$2:$C$692,"做空")</f>
        <v/>
      </c>
      <c r="E99" s="2">
        <f>F99+G99+COUNTIFS(交易明細!$B$2:$B$692,$A99,交易明細!$J$2:$J$692,"時間出場")</f>
        <v/>
      </c>
      <c r="F99" s="2">
        <f>COUNTIFS(交易明細!$B$2:$B$692,$A99,交易明細!$J$2:$J$692,"止盈")</f>
        <v/>
      </c>
      <c r="G99" s="2">
        <f>COUNTIFS(交易明細!$B$2:$B$692,$A99,交易明細!$J$2:$J$692,"止損")</f>
        <v/>
      </c>
      <c r="H99" s="4">
        <f>IFERROR(F99/E99,0)</f>
        <v/>
      </c>
      <c r="I99" s="4">
        <f>IFERROR(AVERAGEIFS(交易明細!$L$2:$L$692,交易明細!$B$2:$B$692,$A99,交易明細!$J$2:$J$692,"&lt;&gt;未平倉"),0)</f>
        <v/>
      </c>
      <c r="J99" s="4">
        <f>SUMIFS(交易明細!$L$2:$L$692,交易明細!$B$2:$B$692,$A99,交易明細!$J$2:$J$692,"&lt;&gt;未平倉")</f>
        <v/>
      </c>
      <c r="K99" s="5">
        <f>IFERROR(AVERAGEIFS(交易明細!$K$2:$K$692,交易明細!$B$2:$B$692,$A99,交易明細!$J$2:$J$692,"&lt;&gt;未平倉"),0)</f>
        <v/>
      </c>
      <c r="L99" s="2">
        <f>COUNTIFS(交易明細!$B$2:$B$692,$A99,交易明細!$J$2:$J$692,"未平倉")</f>
        <v/>
      </c>
    </row>
    <row r="100">
      <c r="A100" s="2" t="inlineStr">
        <is>
          <t>Q_USDT_PERP</t>
        </is>
      </c>
      <c r="B100" s="2">
        <f>COUNTIFS(交易明細!$B$2:$B$692,$A100)</f>
        <v/>
      </c>
      <c r="C100" s="2">
        <f>COUNTIFS(交易明細!$B$2:$B$692,$A100,交易明細!$C$2:$C$692,"做多")</f>
        <v/>
      </c>
      <c r="D100" s="2">
        <f>COUNTIFS(交易明細!$B$2:$B$692,$A100,交易明細!$C$2:$C$692,"做空")</f>
        <v/>
      </c>
      <c r="E100" s="2">
        <f>F100+G100+COUNTIFS(交易明細!$B$2:$B$692,$A100,交易明細!$J$2:$J$692,"時間出場")</f>
        <v/>
      </c>
      <c r="F100" s="2">
        <f>COUNTIFS(交易明細!$B$2:$B$692,$A100,交易明細!$J$2:$J$692,"止盈")</f>
        <v/>
      </c>
      <c r="G100" s="2">
        <f>COUNTIFS(交易明細!$B$2:$B$692,$A100,交易明細!$J$2:$J$692,"止損")</f>
        <v/>
      </c>
      <c r="H100" s="4">
        <f>IFERROR(F100/E100,0)</f>
        <v/>
      </c>
      <c r="I100" s="4">
        <f>IFERROR(AVERAGEIFS(交易明細!$L$2:$L$692,交易明細!$B$2:$B$692,$A100,交易明細!$J$2:$J$692,"&lt;&gt;未平倉"),0)</f>
        <v/>
      </c>
      <c r="J100" s="4">
        <f>SUMIFS(交易明細!$L$2:$L$692,交易明細!$B$2:$B$692,$A100,交易明細!$J$2:$J$692,"&lt;&gt;未平倉")</f>
        <v/>
      </c>
      <c r="K100" s="5">
        <f>IFERROR(AVERAGEIFS(交易明細!$K$2:$K$692,交易明細!$B$2:$B$692,$A100,交易明細!$J$2:$J$692,"&lt;&gt;未平倉"),0)</f>
        <v/>
      </c>
      <c r="L100" s="2">
        <f>COUNTIFS(交易明細!$B$2:$B$692,$A100,交易明細!$J$2:$J$692,"未平倉")</f>
        <v/>
      </c>
    </row>
    <row r="101">
      <c r="A101" s="2" t="inlineStr">
        <is>
          <t>MON_USDT_PERP</t>
        </is>
      </c>
      <c r="B101" s="2">
        <f>COUNTIFS(交易明細!$B$2:$B$692,$A101)</f>
        <v/>
      </c>
      <c r="C101" s="2">
        <f>COUNTIFS(交易明細!$B$2:$B$692,$A101,交易明細!$C$2:$C$692,"做多")</f>
        <v/>
      </c>
      <c r="D101" s="2">
        <f>COUNTIFS(交易明細!$B$2:$B$692,$A101,交易明細!$C$2:$C$692,"做空")</f>
        <v/>
      </c>
      <c r="E101" s="2">
        <f>F101+G101+COUNTIFS(交易明細!$B$2:$B$692,$A101,交易明細!$J$2:$J$692,"時間出場")</f>
        <v/>
      </c>
      <c r="F101" s="2">
        <f>COUNTIFS(交易明細!$B$2:$B$692,$A101,交易明細!$J$2:$J$692,"止盈")</f>
        <v/>
      </c>
      <c r="G101" s="2">
        <f>COUNTIFS(交易明細!$B$2:$B$692,$A101,交易明細!$J$2:$J$692,"止損")</f>
        <v/>
      </c>
      <c r="H101" s="4">
        <f>IFERROR(F101/E101,0)</f>
        <v/>
      </c>
      <c r="I101" s="4">
        <f>IFERROR(AVERAGEIFS(交易明細!$L$2:$L$692,交易明細!$B$2:$B$692,$A101,交易明細!$J$2:$J$692,"&lt;&gt;未平倉"),0)</f>
        <v/>
      </c>
      <c r="J101" s="4">
        <f>SUMIFS(交易明細!$L$2:$L$692,交易明細!$B$2:$B$692,$A101,交易明細!$J$2:$J$692,"&lt;&gt;未平倉")</f>
        <v/>
      </c>
      <c r="K101" s="5">
        <f>IFERROR(AVERAGEIFS(交易明細!$K$2:$K$692,交易明細!$B$2:$B$692,$A101,交易明細!$J$2:$J$692,"&lt;&gt;未平倉"),0)</f>
        <v/>
      </c>
      <c r="L101" s="2">
        <f>COUNTIFS(交易明細!$B$2:$B$692,$A101,交易明細!$J$2:$J$692,"未平倉")</f>
        <v/>
      </c>
    </row>
    <row r="102">
      <c r="A102" s="2" t="inlineStr">
        <is>
          <t>NIGHT_USDT_PERP</t>
        </is>
      </c>
      <c r="B102" s="2">
        <f>COUNTIFS(交易明細!$B$2:$B$692,$A102)</f>
        <v/>
      </c>
      <c r="C102" s="2">
        <f>COUNTIFS(交易明細!$B$2:$B$692,$A102,交易明細!$C$2:$C$692,"做多")</f>
        <v/>
      </c>
      <c r="D102" s="2">
        <f>COUNTIFS(交易明細!$B$2:$B$692,$A102,交易明細!$C$2:$C$692,"做空")</f>
        <v/>
      </c>
      <c r="E102" s="2">
        <f>F102+G102+COUNTIFS(交易明細!$B$2:$B$692,$A102,交易明細!$J$2:$J$692,"時間出場")</f>
        <v/>
      </c>
      <c r="F102" s="2">
        <f>COUNTIFS(交易明細!$B$2:$B$692,$A102,交易明細!$J$2:$J$692,"止盈")</f>
        <v/>
      </c>
      <c r="G102" s="2">
        <f>COUNTIFS(交易明細!$B$2:$B$692,$A102,交易明細!$J$2:$J$692,"止損")</f>
        <v/>
      </c>
      <c r="H102" s="4">
        <f>IFERROR(F102/E102,0)</f>
        <v/>
      </c>
      <c r="I102" s="4">
        <f>IFERROR(AVERAGEIFS(交易明細!$L$2:$L$692,交易明細!$B$2:$B$692,$A102,交易明細!$J$2:$J$692,"&lt;&gt;未平倉"),0)</f>
        <v/>
      </c>
      <c r="J102" s="4">
        <f>SUMIFS(交易明細!$L$2:$L$692,交易明細!$B$2:$B$692,$A102,交易明細!$J$2:$J$692,"&lt;&gt;未平倉")</f>
        <v/>
      </c>
      <c r="K102" s="5">
        <f>IFERROR(AVERAGEIFS(交易明細!$K$2:$K$692,交易明細!$B$2:$B$692,$A102,交易明細!$J$2:$J$692,"&lt;&gt;未平倉"),0)</f>
        <v/>
      </c>
      <c r="L102" s="2">
        <f>COUNTIFS(交易明細!$B$2:$B$692,$A102,交易明細!$J$2:$J$692,"未平倉")</f>
        <v/>
      </c>
    </row>
    <row r="103">
      <c r="A103" s="2" t="inlineStr">
        <is>
          <t>MOVR_USDT_PERP</t>
        </is>
      </c>
      <c r="B103" s="2">
        <f>COUNTIFS(交易明細!$B$2:$B$692,$A103)</f>
        <v/>
      </c>
      <c r="C103" s="2">
        <f>COUNTIFS(交易明細!$B$2:$B$692,$A103,交易明細!$C$2:$C$692,"做多")</f>
        <v/>
      </c>
      <c r="D103" s="2">
        <f>COUNTIFS(交易明細!$B$2:$B$692,$A103,交易明細!$C$2:$C$692,"做空")</f>
        <v/>
      </c>
      <c r="E103" s="2">
        <f>F103+G103+COUNTIFS(交易明細!$B$2:$B$692,$A103,交易明細!$J$2:$J$692,"時間出場")</f>
        <v/>
      </c>
      <c r="F103" s="2">
        <f>COUNTIFS(交易明細!$B$2:$B$692,$A103,交易明細!$J$2:$J$692,"止盈")</f>
        <v/>
      </c>
      <c r="G103" s="2">
        <f>COUNTIFS(交易明細!$B$2:$B$692,$A103,交易明細!$J$2:$J$692,"止損")</f>
        <v/>
      </c>
      <c r="H103" s="4">
        <f>IFERROR(F103/E103,0)</f>
        <v/>
      </c>
      <c r="I103" s="4">
        <f>IFERROR(AVERAGEIFS(交易明細!$L$2:$L$692,交易明細!$B$2:$B$692,$A103,交易明細!$J$2:$J$692,"&lt;&gt;未平倉"),0)</f>
        <v/>
      </c>
      <c r="J103" s="4">
        <f>SUMIFS(交易明細!$L$2:$L$692,交易明細!$B$2:$B$692,$A103,交易明細!$J$2:$J$692,"&lt;&gt;未平倉")</f>
        <v/>
      </c>
      <c r="K103" s="5">
        <f>IFERROR(AVERAGEIFS(交易明細!$K$2:$K$692,交易明細!$B$2:$B$692,$A103,交易明細!$J$2:$J$692,"&lt;&gt;未平倉"),0)</f>
        <v/>
      </c>
      <c r="L103" s="2">
        <f>COUNTIFS(交易明細!$B$2:$B$692,$A103,交易明細!$J$2:$J$692,"未平倉")</f>
        <v/>
      </c>
    </row>
    <row r="104">
      <c r="A104" s="2" t="inlineStr">
        <is>
          <t>BEAMX_USDT_PERP</t>
        </is>
      </c>
      <c r="B104" s="2">
        <f>COUNTIFS(交易明細!$B$2:$B$692,$A104)</f>
        <v/>
      </c>
      <c r="C104" s="2">
        <f>COUNTIFS(交易明細!$B$2:$B$692,$A104,交易明細!$C$2:$C$692,"做多")</f>
        <v/>
      </c>
      <c r="D104" s="2">
        <f>COUNTIFS(交易明細!$B$2:$B$692,$A104,交易明細!$C$2:$C$692,"做空")</f>
        <v/>
      </c>
      <c r="E104" s="2">
        <f>F104+G104+COUNTIFS(交易明細!$B$2:$B$692,$A104,交易明細!$J$2:$J$692,"時間出場")</f>
        <v/>
      </c>
      <c r="F104" s="2">
        <f>COUNTIFS(交易明細!$B$2:$B$692,$A104,交易明細!$J$2:$J$692,"止盈")</f>
        <v/>
      </c>
      <c r="G104" s="2">
        <f>COUNTIFS(交易明細!$B$2:$B$692,$A104,交易明細!$J$2:$J$692,"止損")</f>
        <v/>
      </c>
      <c r="H104" s="4">
        <f>IFERROR(F104/E104,0)</f>
        <v/>
      </c>
      <c r="I104" s="4">
        <f>IFERROR(AVERAGEIFS(交易明細!$L$2:$L$692,交易明細!$B$2:$B$692,$A104,交易明細!$J$2:$J$692,"&lt;&gt;未平倉"),0)</f>
        <v/>
      </c>
      <c r="J104" s="4">
        <f>SUMIFS(交易明細!$L$2:$L$692,交易明細!$B$2:$B$692,$A104,交易明細!$J$2:$J$692,"&lt;&gt;未平倉")</f>
        <v/>
      </c>
      <c r="K104" s="5">
        <f>IFERROR(AVERAGEIFS(交易明細!$K$2:$K$692,交易明細!$B$2:$B$692,$A104,交易明細!$J$2:$J$692,"&lt;&gt;未平倉"),0)</f>
        <v/>
      </c>
      <c r="L104" s="2">
        <f>COUNTIFS(交易明細!$B$2:$B$692,$A104,交易明細!$J$2:$J$692,"未平倉")</f>
        <v/>
      </c>
    </row>
    <row r="105">
      <c r="A105" s="2" t="inlineStr">
        <is>
          <t>API3_USDT_PERP</t>
        </is>
      </c>
      <c r="B105" s="2">
        <f>COUNTIFS(交易明細!$B$2:$B$692,$A105)</f>
        <v/>
      </c>
      <c r="C105" s="2">
        <f>COUNTIFS(交易明細!$B$2:$B$692,$A105,交易明細!$C$2:$C$692,"做多")</f>
        <v/>
      </c>
      <c r="D105" s="2">
        <f>COUNTIFS(交易明細!$B$2:$B$692,$A105,交易明細!$C$2:$C$692,"做空")</f>
        <v/>
      </c>
      <c r="E105" s="2">
        <f>F105+G105+COUNTIFS(交易明細!$B$2:$B$692,$A105,交易明細!$J$2:$J$692,"時間出場")</f>
        <v/>
      </c>
      <c r="F105" s="2">
        <f>COUNTIFS(交易明細!$B$2:$B$692,$A105,交易明細!$J$2:$J$692,"止盈")</f>
        <v/>
      </c>
      <c r="G105" s="2">
        <f>COUNTIFS(交易明細!$B$2:$B$692,$A105,交易明細!$J$2:$J$692,"止損")</f>
        <v/>
      </c>
      <c r="H105" s="4">
        <f>IFERROR(F105/E105,0)</f>
        <v/>
      </c>
      <c r="I105" s="4">
        <f>IFERROR(AVERAGEIFS(交易明細!$L$2:$L$692,交易明細!$B$2:$B$692,$A105,交易明細!$J$2:$J$692,"&lt;&gt;未平倉"),0)</f>
        <v/>
      </c>
      <c r="J105" s="4">
        <f>SUMIFS(交易明細!$L$2:$L$692,交易明細!$B$2:$B$692,$A105,交易明細!$J$2:$J$692,"&lt;&gt;未平倉")</f>
        <v/>
      </c>
      <c r="K105" s="5">
        <f>IFERROR(AVERAGEIFS(交易明細!$K$2:$K$692,交易明細!$B$2:$B$692,$A105,交易明細!$J$2:$J$692,"&lt;&gt;未平倉"),0)</f>
        <v/>
      </c>
      <c r="L105" s="2">
        <f>COUNTIFS(交易明細!$B$2:$B$692,$A105,交易明細!$J$2:$J$692,"未平倉")</f>
        <v/>
      </c>
    </row>
    <row r="106">
      <c r="A106" s="2" t="inlineStr">
        <is>
          <t>US_USDT_PERP</t>
        </is>
      </c>
      <c r="B106" s="2">
        <f>COUNTIFS(交易明細!$B$2:$B$692,$A106)</f>
        <v/>
      </c>
      <c r="C106" s="2">
        <f>COUNTIFS(交易明細!$B$2:$B$692,$A106,交易明細!$C$2:$C$692,"做多")</f>
        <v/>
      </c>
      <c r="D106" s="2">
        <f>COUNTIFS(交易明細!$B$2:$B$692,$A106,交易明細!$C$2:$C$692,"做空")</f>
        <v/>
      </c>
      <c r="E106" s="2">
        <f>F106+G106+COUNTIFS(交易明細!$B$2:$B$692,$A106,交易明細!$J$2:$J$692,"時間出場")</f>
        <v/>
      </c>
      <c r="F106" s="2">
        <f>COUNTIFS(交易明細!$B$2:$B$692,$A106,交易明細!$J$2:$J$692,"止盈")</f>
        <v/>
      </c>
      <c r="G106" s="2">
        <f>COUNTIFS(交易明細!$B$2:$B$692,$A106,交易明細!$J$2:$J$692,"止損")</f>
        <v/>
      </c>
      <c r="H106" s="4">
        <f>IFERROR(F106/E106,0)</f>
        <v/>
      </c>
      <c r="I106" s="4">
        <f>IFERROR(AVERAGEIFS(交易明細!$L$2:$L$692,交易明細!$B$2:$B$692,$A106,交易明細!$J$2:$J$692,"&lt;&gt;未平倉"),0)</f>
        <v/>
      </c>
      <c r="J106" s="4">
        <f>SUMIFS(交易明細!$L$2:$L$692,交易明細!$B$2:$B$692,$A106,交易明細!$J$2:$J$692,"&lt;&gt;未平倉")</f>
        <v/>
      </c>
      <c r="K106" s="5">
        <f>IFERROR(AVERAGEIFS(交易明細!$K$2:$K$692,交易明細!$B$2:$B$692,$A106,交易明細!$J$2:$J$692,"&lt;&gt;未平倉"),0)</f>
        <v/>
      </c>
      <c r="L106" s="2">
        <f>COUNTIFS(交易明細!$B$2:$B$692,$A106,交易明細!$J$2:$J$692,"未平倉")</f>
        <v/>
      </c>
    </row>
    <row r="107">
      <c r="A107" s="2" t="inlineStr">
        <is>
          <t>ORCA_USDT_PERP</t>
        </is>
      </c>
      <c r="B107" s="2">
        <f>COUNTIFS(交易明細!$B$2:$B$692,$A107)</f>
        <v/>
      </c>
      <c r="C107" s="2">
        <f>COUNTIFS(交易明細!$B$2:$B$692,$A107,交易明細!$C$2:$C$692,"做多")</f>
        <v/>
      </c>
      <c r="D107" s="2">
        <f>COUNTIFS(交易明細!$B$2:$B$692,$A107,交易明細!$C$2:$C$692,"做空")</f>
        <v/>
      </c>
      <c r="E107" s="2">
        <f>F107+G107+COUNTIFS(交易明細!$B$2:$B$692,$A107,交易明細!$J$2:$J$692,"時間出場")</f>
        <v/>
      </c>
      <c r="F107" s="2">
        <f>COUNTIFS(交易明細!$B$2:$B$692,$A107,交易明細!$J$2:$J$692,"止盈")</f>
        <v/>
      </c>
      <c r="G107" s="2">
        <f>COUNTIFS(交易明細!$B$2:$B$692,$A107,交易明細!$J$2:$J$692,"止損")</f>
        <v/>
      </c>
      <c r="H107" s="4">
        <f>IFERROR(F107/E107,0)</f>
        <v/>
      </c>
      <c r="I107" s="4">
        <f>IFERROR(AVERAGEIFS(交易明細!$L$2:$L$692,交易明細!$B$2:$B$692,$A107,交易明細!$J$2:$J$692,"&lt;&gt;未平倉"),0)</f>
        <v/>
      </c>
      <c r="J107" s="4">
        <f>SUMIFS(交易明細!$L$2:$L$692,交易明細!$B$2:$B$692,$A107,交易明細!$J$2:$J$692,"&lt;&gt;未平倉")</f>
        <v/>
      </c>
      <c r="K107" s="5">
        <f>IFERROR(AVERAGEIFS(交易明細!$K$2:$K$692,交易明細!$B$2:$B$692,$A107,交易明細!$J$2:$J$692,"&lt;&gt;未平倉"),0)</f>
        <v/>
      </c>
      <c r="L107" s="2">
        <f>COUNTIFS(交易明細!$B$2:$B$692,$A107,交易明細!$J$2:$J$692,"未平倉")</f>
        <v/>
      </c>
    </row>
  </sheetData>
  <autoFilter ref="A1:L10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>
        <is>
          <t>持倉中</t>
        </is>
      </c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>
        <is>
          <t>持倉中</t>
        </is>
      </c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>
        <is>
          <t>持倉中</t>
        </is>
      </c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2026-10-08T02:04:42Z</dcterms:created>
  <dcterms:modified xsi:type="dcterms:W3CDTF">2026-10-08T02:04:43Z</dcterms:modified>
</cp:coreProperties>
</file>