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'資金明細'!$A$1:$Z$419</definedName>
    <definedName name="_xlnm._FilterDatabase" localSheetId="5" hidden="1">'交易明細'!$A$1:$AC$211</definedName>
    <definedName name="_xlnm._FilterDatabase" localSheetId="6" hidden="1">'幣種統計'!$A$1:$L$49</definedName>
    <definedName name="_xlnm._FilterDatabase" localSheetId="7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'資金明細'!$R$2:$R$419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2026-09-14 09:11（Dry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COUNTIFS(交易明細!$B$2:$B$211,"&lt;&gt;")</f>
        <v/>
      </c>
      <c r="C5" s="2">
        <f>D5+E5+F5</f>
        <v/>
      </c>
      <c r="D5" s="2">
        <f>COUNTIFS(交易明細!$J$2:$J$211,"止盈")</f>
        <v/>
      </c>
      <c r="E5" s="2">
        <f>COUNTIFS(交易明細!$J$2:$J$211,"止損")</f>
        <v/>
      </c>
      <c r="F5" s="2">
        <f>COUNTIFS(交易明細!$J$2:$J$211,"時間出場")</f>
        <v/>
      </c>
      <c r="G5" s="2">
        <f>COUNTIFS(交易明細!$J$2:$J$211,"未平倉")</f>
        <v/>
      </c>
      <c r="H5" s="4">
        <f>IFERROR(D5/C5,0)</f>
        <v/>
      </c>
      <c r="I5" s="4">
        <f>IFERROR(AVERAGEIFS(交易明細!$AC$2:$AC$211,交易明細!$J$2:$J$211,"&lt;&gt;未平倉"),參數!$B$16)</f>
        <v/>
      </c>
      <c r="J5" s="4">
        <f>IFERROR(AVERAGEIFS(交易明細!$L$2:$L$211,交易明細!$J$2:$J$211,"&lt;&gt;未平倉"),0)</f>
        <v/>
      </c>
      <c r="K5" s="4">
        <f>SUMIFS(交易明細!$L$2:$L$211,交易明細!$J$2:$J$211,"&lt;&gt;未平倉")</f>
        <v/>
      </c>
      <c r="L5" s="5">
        <f>IFERROR(AVERAGEIFS(交易明細!$K$2:$K$211,交易明細!$J$2:$J$211,"&lt;&gt;未平倉"),0)</f>
        <v/>
      </c>
      <c r="M5" s="5">
        <f>IFERROR(AVERAGEIFS(交易明細!$K$2:$K$211,交易明細!$J$2:$J$211,"止盈"),0)</f>
        <v/>
      </c>
      <c r="N5" s="5">
        <f>IFERROR(AVERAGEIFS(交易明細!$K$2:$K$211,交易明細!$J$2:$J$211,"止損"),0)</f>
        <v/>
      </c>
      <c r="O5" s="4">
        <f>IFERROR(AVERAGEIFS(交易明細!$L$2:$L$211,交易明細!$J$2:$J$211,"時間出場"),0)</f>
        <v/>
      </c>
      <c r="P5" s="4">
        <f>IFERROR(COUNTIFS(交易明細!$J$2:$J$211,"&lt;&gt;未平倉",交易明細!$L$2:$L$211,"&gt;0")/C5,0)</f>
        <v/>
      </c>
    </row>
    <row r="6">
      <c r="A6" s="2" t="inlineStr">
        <is>
          <t>做多</t>
        </is>
      </c>
      <c r="B6" s="2">
        <f>COUNTIFS(交易明細!$C$2:$C$211,"做多",交易明細!$B$2:$B$211,"&lt;&gt;")</f>
        <v/>
      </c>
      <c r="C6" s="2">
        <f>D6+E6+F6</f>
        <v/>
      </c>
      <c r="D6" s="2">
        <f>COUNTIFS(交易明細!$C$2:$C$211,"做多",交易明細!$J$2:$J$211,"止盈")</f>
        <v/>
      </c>
      <c r="E6" s="2">
        <f>COUNTIFS(交易明細!$C$2:$C$211,"做多",交易明細!$J$2:$J$211,"止損")</f>
        <v/>
      </c>
      <c r="F6" s="2">
        <f>COUNTIFS(交易明細!$C$2:$C$211,"做多",交易明細!$J$2:$J$211,"時間出場")</f>
        <v/>
      </c>
      <c r="G6" s="2">
        <f>COUNTIFS(交易明細!$C$2:$C$211,"做多",交易明細!$J$2:$J$211,"未平倉")</f>
        <v/>
      </c>
      <c r="H6" s="4">
        <f>IFERROR(D6/C6,0)</f>
        <v/>
      </c>
      <c r="I6" s="4">
        <f>IFERROR(AVERAGEIFS(交易明細!$AC$2:$AC$211,交易明細!$C$2:$C$211,"做多",交易明細!$J$2:$J$211,"&lt;&gt;未平倉"),參數!$B$16)</f>
        <v/>
      </c>
      <c r="J6" s="4">
        <f>IFERROR(AVERAGEIFS(交易明細!$L$2:$L$211,交易明細!$C$2:$C$211,"做多",交易明細!$J$2:$J$211,"&lt;&gt;未平倉"),0)</f>
        <v/>
      </c>
      <c r="K6" s="4">
        <f>SUMIFS(交易明細!$L$2:$L$211,交易明細!$C$2:$C$211,"做多",交易明細!$J$2:$J$211,"&lt;&gt;未平倉")</f>
        <v/>
      </c>
      <c r="L6" s="5">
        <f>IFERROR(AVERAGEIFS(交易明細!$K$2:$K$211,交易明細!$C$2:$C$211,"做多",交易明細!$J$2:$J$211,"&lt;&gt;未平倉"),0)</f>
        <v/>
      </c>
      <c r="M6" s="5">
        <f>IFERROR(AVERAGEIFS(交易明細!$K$2:$K$211,交易明細!$C$2:$C$211,"做多",交易明細!$J$2:$J$211,"止盈"),0)</f>
        <v/>
      </c>
      <c r="N6" s="5">
        <f>IFERROR(AVERAGEIFS(交易明細!$K$2:$K$211,交易明細!$C$2:$C$211,"做多",交易明細!$J$2:$J$211,"止損"),0)</f>
        <v/>
      </c>
      <c r="O6" s="4">
        <f>IFERROR(AVERAGEIFS(交易明細!$L$2:$L$211,交易明細!$C$2:$C$211,"做多",交易明細!$J$2:$J$211,"時間出場"),0)</f>
        <v/>
      </c>
      <c r="P6" s="4">
        <f>IFERROR(COUNTIFS(交易明細!$C$2:$C$211,"做多",交易明細!$J$2:$J$211,"&lt;&gt;未平倉",交易明細!$L$2:$L$211,"&gt;0")/C6,0)</f>
        <v/>
      </c>
    </row>
    <row r="7">
      <c r="A7" s="2" t="inlineStr">
        <is>
          <t>做空</t>
        </is>
      </c>
      <c r="B7" s="2">
        <f>COUNTIFS(交易明細!$C$2:$C$211,"做空",交易明細!$B$2:$B$211,"&lt;&gt;")</f>
        <v/>
      </c>
      <c r="C7" s="2">
        <f>D7+E7+F7</f>
        <v/>
      </c>
      <c r="D7" s="2">
        <f>COUNTIFS(交易明細!$C$2:$C$211,"做空",交易明細!$J$2:$J$211,"止盈")</f>
        <v/>
      </c>
      <c r="E7" s="2">
        <f>COUNTIFS(交易明細!$C$2:$C$211,"做空",交易明細!$J$2:$J$211,"止損")</f>
        <v/>
      </c>
      <c r="F7" s="2">
        <f>COUNTIFS(交易明細!$C$2:$C$211,"做空",交易明細!$J$2:$J$211,"時間出場")</f>
        <v/>
      </c>
      <c r="G7" s="2">
        <f>COUNTIFS(交易明細!$C$2:$C$211,"做空",交易明細!$J$2:$J$211,"未平倉")</f>
        <v/>
      </c>
      <c r="H7" s="4">
        <f>IFERROR(D7/C7,0)</f>
        <v/>
      </c>
      <c r="I7" s="4">
        <f>IFERROR(AVERAGEIFS(交易明細!$AC$2:$AC$211,交易明細!$C$2:$C$211,"做空",交易明細!$J$2:$J$211,"&lt;&gt;未平倉"),參數!$B$16)</f>
        <v/>
      </c>
      <c r="J7" s="4">
        <f>IFERROR(AVERAGEIFS(交易明細!$L$2:$L$211,交易明細!$C$2:$C$211,"做空",交易明細!$J$2:$J$211,"&lt;&gt;未平倉"),0)</f>
        <v/>
      </c>
      <c r="K7" s="4">
        <f>SUMIFS(交易明細!$L$2:$L$211,交易明細!$C$2:$C$211,"做空",交易明細!$J$2:$J$211,"&lt;&gt;未平倉")</f>
        <v/>
      </c>
      <c r="L7" s="5">
        <f>IFERROR(AVERAGEIFS(交易明細!$K$2:$K$211,交易明細!$C$2:$C$211,"做空",交易明細!$J$2:$J$211,"&lt;&gt;未平倉"),0)</f>
        <v/>
      </c>
      <c r="M7" s="5">
        <f>IFERROR(AVERAGEIFS(交易明細!$K$2:$K$211,交易明細!$C$2:$C$211,"做空",交易明細!$J$2:$J$211,"止盈"),0)</f>
        <v/>
      </c>
      <c r="N7" s="5">
        <f>IFERROR(AVERAGEIFS(交易明細!$K$2:$K$211,交易明細!$C$2:$C$211,"做空",交易明細!$J$2:$J$211,"止損"),0)</f>
        <v/>
      </c>
      <c r="O7" s="4">
        <f>IFERROR(AVERAGEIFS(交易明細!$L$2:$L$211,交易明細!$C$2:$C$211,"做空",交易明細!$J$2:$J$211,"時間出場"),0)</f>
        <v/>
      </c>
      <c r="P7" s="4">
        <f>IFERROR(COUNTIFS(交易明細!$C$2:$C$211,"做空",交易明細!$J$2:$J$211,"&lt;&gt;未平倉",交易明細!$L$2:$L$211,"&gt;0")/C7,0)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・持倉時間以1小時K棒為精度（觸價當根收盤計），5分K判定的交易精度為5分鐘。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46279.38316741898</v>
      </c>
      <c r="B2" s="7" t="n">
        <v>46279.33333333334</v>
      </c>
      <c r="C2" s="2" t="n">
        <v>442</v>
      </c>
      <c r="D2" s="2" t="n">
        <v>2</v>
      </c>
      <c r="E2" s="2" t="n">
        <v>2</v>
      </c>
      <c r="F2" s="2" t="n">
        <v>0</v>
      </c>
      <c r="G2" s="2" t="n">
        <v>59.9</v>
      </c>
    </row>
    <row r="3">
      <c r="A3" s="7" t="n">
        <v>46279.26932584491</v>
      </c>
      <c r="B3" s="7" t="n">
        <v>46279.20833333334</v>
      </c>
      <c r="C3" s="2" t="n">
        <v>442</v>
      </c>
      <c r="D3" s="2" t="n">
        <v>0</v>
      </c>
      <c r="E3" s="2" t="n">
        <v>0</v>
      </c>
      <c r="F3" s="2" t="n">
        <v>0</v>
      </c>
      <c r="G3" s="2" t="n">
        <v>61.1</v>
      </c>
    </row>
    <row r="4">
      <c r="A4" s="7" t="n">
        <v>46279.14665413195</v>
      </c>
      <c r="B4" s="7" t="n">
        <v>46279.08333333334</v>
      </c>
      <c r="C4" s="2" t="n">
        <v>442</v>
      </c>
      <c r="D4" s="2" t="n">
        <v>1</v>
      </c>
      <c r="E4" s="2" t="n">
        <v>0</v>
      </c>
      <c r="F4" s="2" t="n">
        <v>0</v>
      </c>
      <c r="G4" s="2" t="n">
        <v>55.1</v>
      </c>
    </row>
    <row r="5">
      <c r="A5" s="7" t="n">
        <v>46279.01733591435</v>
      </c>
      <c r="B5" s="7" t="n">
        <v>46278.95833333334</v>
      </c>
      <c r="C5" s="2" t="n">
        <v>442</v>
      </c>
      <c r="D5" s="2" t="n">
        <v>2</v>
      </c>
      <c r="E5" s="2" t="n">
        <v>4</v>
      </c>
      <c r="F5" s="2" t="n">
        <v>0</v>
      </c>
      <c r="G5" s="2" t="n">
        <v>59.7</v>
      </c>
    </row>
    <row r="6">
      <c r="A6" s="7" t="n">
        <v>46278.83725055555</v>
      </c>
      <c r="B6" s="7" t="n">
        <v>46278.79166666666</v>
      </c>
      <c r="C6" s="2" t="n">
        <v>442</v>
      </c>
      <c r="D6" s="2" t="n">
        <v>0</v>
      </c>
      <c r="E6" s="2" t="n">
        <v>3</v>
      </c>
      <c r="F6" s="2" t="n">
        <v>0</v>
      </c>
      <c r="G6" s="2" t="n">
        <v>65.40000000000001</v>
      </c>
    </row>
    <row r="7">
      <c r="A7" s="7" t="n">
        <v>46278.71111972223</v>
      </c>
      <c r="B7" s="7" t="n">
        <v>46278.66666666666</v>
      </c>
      <c r="C7" s="2" t="n">
        <v>442</v>
      </c>
      <c r="D7" s="2" t="n">
        <v>3</v>
      </c>
      <c r="E7" s="2" t="n">
        <v>1</v>
      </c>
      <c r="F7" s="2" t="n">
        <v>0</v>
      </c>
      <c r="G7" s="2" t="n">
        <v>63.6</v>
      </c>
    </row>
    <row r="8">
      <c r="A8" s="7" t="n">
        <v>46278.68053923611</v>
      </c>
      <c r="B8" s="7" t="n">
        <v>46278.625</v>
      </c>
      <c r="C8" s="2" t="n">
        <v>442</v>
      </c>
      <c r="D8" s="2" t="n">
        <v>9</v>
      </c>
      <c r="E8" s="2" t="n">
        <v>10</v>
      </c>
      <c r="F8" s="2" t="n">
        <v>0</v>
      </c>
      <c r="G8" s="2" t="n">
        <v>63.6</v>
      </c>
    </row>
    <row r="9">
      <c r="A9" s="7" t="n">
        <v>46278.07354997685</v>
      </c>
      <c r="B9" s="7" t="n">
        <v>46278</v>
      </c>
      <c r="C9" s="2" t="n">
        <v>442</v>
      </c>
      <c r="D9" s="2" t="n">
        <v>3</v>
      </c>
      <c r="E9" s="2" t="n">
        <v>1</v>
      </c>
      <c r="F9" s="2" t="n">
        <v>0</v>
      </c>
      <c r="G9" s="2" t="n">
        <v>50.2</v>
      </c>
    </row>
    <row r="10">
      <c r="A10" s="7" t="n">
        <v>46277.94390239583</v>
      </c>
      <c r="B10" s="7" t="n">
        <v>46277.875</v>
      </c>
      <c r="C10" s="2" t="n">
        <v>442</v>
      </c>
      <c r="D10" s="2" t="n">
        <v>190</v>
      </c>
      <c r="E10" s="2" t="n">
        <v>186</v>
      </c>
      <c r="F10" s="2" t="n">
        <v>0</v>
      </c>
      <c r="G10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資金明細!R419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MAX(資金明細!$R$2:$R$419)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MIN(資金明細!$R$2:$R$419)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MIN(資金明細!$X$2:$X$419)</f>
        <v/>
      </c>
    </row>
    <row r="9">
      <c r="A9" s="2" t="inlineStr">
        <is>
          <t>下單基準模式</t>
        </is>
      </c>
      <c r="B9" s="12" t="n">
        <v>1</v>
      </c>
      <c r="D9" s="2" t="inlineStr">
        <is>
          <t>已下單筆數</t>
        </is>
      </c>
      <c r="E9" s="15">
        <f>COUNTIFS(資金明細!$C$2:$C$419,"進場",資金明細!$N$2:$N$419,"已下單")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COUNTIFS(資金明細!$C$2:$C$419,"進場",資金明細!$N$2:$N$419,"資金不足略過")</f>
        <v/>
      </c>
    </row>
    <row r="11">
      <c r="D11" s="2" t="inlineStr">
        <is>
          <t>止盈筆數</t>
        </is>
      </c>
      <c r="E11" s="15">
        <f>COUNTIFS(資金明細!$C$2:$C$419,"出場",資金明細!$N$2:$N$419,"已下單",資金明細!$K$2:$K$419,"止盈")</f>
        <v/>
      </c>
    </row>
    <row r="12">
      <c r="A12" s="2" t="inlineStr">
        <is>
          <t>每筆止損約虧本金</t>
        </is>
      </c>
      <c r="B12" s="4">
        <f>B5*B7*IFERROR(AVERAGE(交易明細!$AB$2:$AB$211),參數!B6)</f>
        <v/>
      </c>
      <c r="D12" s="2" t="inlineStr">
        <is>
          <t>止損筆數</t>
        </is>
      </c>
      <c r="E12" s="15">
        <f>COUNTIFS(資金明細!$C$2:$C$419,"出場",資金明細!$N$2:$N$419,"已下單",資金明細!$K$2:$K$419,"止損")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IFERROR(E11/COUNTIFS(資金明細!$C$2:$C$419,"出場",資金明細!$N$2:$N$419,"已下單"),0)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MAX(資金明細!$U$2:$U$419)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MAX(資金明細!$S$2:$S$419)</f>
        <v/>
      </c>
    </row>
    <row r="16">
      <c r="D16" s="2" t="inlineStr">
        <is>
          <t>期末下單金額</t>
        </is>
      </c>
      <c r="E16" s="16">
        <f>B5*資金明細!V419</f>
        <v/>
      </c>
    </row>
    <row r="17">
      <c r="D17" s="2" t="inlineStr">
        <is>
          <t>未平倉浮動損益（未計入）</t>
        </is>
      </c>
      <c r="E17" s="10">
        <f>IF(資金明細!N364="已下單",資金明細!O364*交易明細!L184,0)+IF(資金明細!N417="已下單",資金明細!O417*交易明細!L210,0)+IF(資金明細!N418="已下單",資金明細!O418*交易明細!L211,0)</f>
        <v/>
      </c>
    </row>
    <row r="18">
      <c r="D18" s="2" t="inlineStr">
        <is>
          <t>最大總曝險倍數</t>
        </is>
      </c>
      <c r="E18" s="16">
        <f>MAX(資金明細!$Y$2:$Y$419)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IFERROR(INDEX(資金明細!$B$2:$B$419,MATCH(1,資金明細!$Z$2:$Z$419,0)),"未觸發")</f>
        <v/>
      </c>
    </row>
    <row r="21">
      <c r="D21" s="2" t="inlineStr">
        <is>
          <t>停止後略過筆數</t>
        </is>
      </c>
      <c r="E21" s="15">
        <f>COUNTIFS(資金明細!$C$2:$C$419,"進場",資金明細!$N$2:$N$419,"已停止")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419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46266.04166666666</v>
      </c>
      <c r="C3" s="2" t="inlineStr">
        <is>
          <t>進場</t>
        </is>
      </c>
      <c r="D3" s="2" t="n">
        <v>1</v>
      </c>
      <c r="E3" s="2" t="inlineStr">
        <is>
          <t>HEMI_USDT_PERP</t>
        </is>
      </c>
      <c r="F3" s="2" t="inlineStr">
        <is>
          <t>做多</t>
        </is>
      </c>
      <c r="G3" s="17" t="n">
        <v>0.01515</v>
      </c>
      <c r="H3" s="17" t="n">
        <v>0.0156045</v>
      </c>
      <c r="I3" s="17" t="n">
        <v>0.0143925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46266.04166666666</v>
      </c>
      <c r="C4" s="2" t="inlineStr">
        <is>
          <t>進場</t>
        </is>
      </c>
      <c r="D4" s="2" t="n">
        <v>2</v>
      </c>
      <c r="E4" s="2" t="inlineStr">
        <is>
          <t>SKYAI_USDT_PERP</t>
        </is>
      </c>
      <c r="F4" s="2" t="inlineStr">
        <is>
          <t>做空</t>
        </is>
      </c>
      <c r="G4" s="17" t="n">
        <v>0.0548</v>
      </c>
      <c r="H4" s="17" t="n">
        <v>0.053156</v>
      </c>
      <c r="I4" s="17" t="n">
        <v>0.05754</v>
      </c>
      <c r="J4" s="17" t="n"/>
      <c r="K4" s="2" t="n"/>
      <c r="L4" s="5" t="n"/>
      <c r="M4" s="16">
        <f>資金模擬!$B$5*V3</f>
        <v/>
      </c>
      <c r="N4" s="2">
        <f>IF(Z3=1,"已停止",IF(T3&gt;=M4,"已下單","資金不足略過"))</f>
        <v/>
      </c>
      <c r="O4" s="16">
        <f>IF(N4="已下單",M4*資金模擬!$B$7,0)</f>
        <v/>
      </c>
      <c r="P4" s="4" t="n"/>
      <c r="Q4" s="10" t="n">
        <v>0</v>
      </c>
      <c r="R4" s="10">
        <f>R3+Q4</f>
        <v/>
      </c>
      <c r="S4" s="16">
        <f>S3+IF(N4="已下單",M4,0)</f>
        <v/>
      </c>
      <c r="T4" s="16">
        <f>R4-S4</f>
        <v/>
      </c>
      <c r="U4" s="2">
        <f>U3+IF(N4="已下單",1,0)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46266.08333333334</v>
      </c>
      <c r="C5" s="2" t="inlineStr">
        <is>
          <t>出場</t>
        </is>
      </c>
      <c r="D5" s="2" t="n">
        <v>1</v>
      </c>
      <c r="E5" s="2" t="inlineStr">
        <is>
          <t>HEMI_USDT_PERP</t>
        </is>
      </c>
      <c r="F5" s="2" t="inlineStr">
        <is>
          <t>做多</t>
        </is>
      </c>
      <c r="G5" s="17" t="n">
        <v>0.01515</v>
      </c>
      <c r="H5" s="17" t="n">
        <v>0.0156045</v>
      </c>
      <c r="I5" s="17" t="n">
        <v>0.0143925</v>
      </c>
      <c r="J5" s="17" t="n">
        <v>0.0156045</v>
      </c>
      <c r="K5" s="2" t="inlineStr">
        <is>
          <t>止盈</t>
        </is>
      </c>
      <c r="L5" s="5">
        <f>交易明細!K2</f>
        <v/>
      </c>
      <c r="M5" s="16">
        <f>M3</f>
        <v/>
      </c>
      <c r="N5" s="2">
        <f>N3</f>
        <v/>
      </c>
      <c r="O5" s="16">
        <f>O3</f>
        <v/>
      </c>
      <c r="P5" s="4">
        <f>交易明細!L2</f>
        <v/>
      </c>
      <c r="Q5" s="10">
        <f>IF(N5="已下單",O5*P5,0)</f>
        <v/>
      </c>
      <c r="R5" s="10">
        <f>R4+Q5</f>
        <v/>
      </c>
      <c r="S5" s="16">
        <f>S4-IF(N5="已下單",M5,0)</f>
        <v/>
      </c>
      <c r="T5" s="16">
        <f>R5-S5</f>
        <v/>
      </c>
      <c r="U5" s="2">
        <f>U4-IF(N5="已下單",1,0)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46266.125</v>
      </c>
      <c r="C6" s="2" t="inlineStr">
        <is>
          <t>進場</t>
        </is>
      </c>
      <c r="D6" s="2" t="n">
        <v>3</v>
      </c>
      <c r="E6" s="2" t="inlineStr">
        <is>
          <t>XMR_USDT_PERP</t>
        </is>
      </c>
      <c r="F6" s="2" t="inlineStr">
        <is>
          <t>做多</t>
        </is>
      </c>
      <c r="G6" s="17" t="n">
        <v>531.58</v>
      </c>
      <c r="H6" s="17" t="n">
        <v>547.5274000000001</v>
      </c>
      <c r="I6" s="17" t="n">
        <v>505.001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46266.25</v>
      </c>
      <c r="C7" s="2" t="inlineStr">
        <is>
          <t>進場</t>
        </is>
      </c>
      <c r="D7" s="2" t="n">
        <v>4</v>
      </c>
      <c r="E7" s="2" t="inlineStr">
        <is>
          <t>SKR_USDT_PERP</t>
        </is>
      </c>
      <c r="F7" s="2" t="inlineStr">
        <is>
          <t>做多</t>
        </is>
      </c>
      <c r="G7" s="17" t="n">
        <v>0.028369</v>
      </c>
      <c r="H7" s="17" t="n">
        <v>0.02922007</v>
      </c>
      <c r="I7" s="17" t="n">
        <v>0.02695055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46266.29166666666</v>
      </c>
      <c r="C8" s="2" t="inlineStr">
        <is>
          <t>出場</t>
        </is>
      </c>
      <c r="D8" s="2" t="n">
        <v>4</v>
      </c>
      <c r="E8" s="2" t="inlineStr">
        <is>
          <t>SKR_USDT_PERP</t>
        </is>
      </c>
      <c r="F8" s="2" t="inlineStr">
        <is>
          <t>做多</t>
        </is>
      </c>
      <c r="G8" s="17" t="n">
        <v>0.028369</v>
      </c>
      <c r="H8" s="17" t="n">
        <v>0.02922007</v>
      </c>
      <c r="I8" s="17" t="n">
        <v>0.02695055</v>
      </c>
      <c r="J8" s="17" t="n">
        <v>0.02922007</v>
      </c>
      <c r="K8" s="2" t="inlineStr">
        <is>
          <t>止盈</t>
        </is>
      </c>
      <c r="L8" s="5">
        <f>交易明細!K5</f>
        <v/>
      </c>
      <c r="M8" s="16">
        <f>M7</f>
        <v/>
      </c>
      <c r="N8" s="2">
        <f>N7</f>
        <v/>
      </c>
      <c r="O8" s="16">
        <f>O7</f>
        <v/>
      </c>
      <c r="P8" s="4">
        <f>交易明細!L5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46266.33333333334</v>
      </c>
      <c r="C9" s="2" t="inlineStr">
        <is>
          <t>出場</t>
        </is>
      </c>
      <c r="D9" s="2" t="n">
        <v>2</v>
      </c>
      <c r="E9" s="2" t="inlineStr">
        <is>
          <t>SKYAI_USDT_PERP</t>
        </is>
      </c>
      <c r="F9" s="2" t="inlineStr">
        <is>
          <t>做空</t>
        </is>
      </c>
      <c r="G9" s="17" t="n">
        <v>0.0548</v>
      </c>
      <c r="H9" s="17" t="n">
        <v>0.053156</v>
      </c>
      <c r="I9" s="17" t="n">
        <v>0.05754</v>
      </c>
      <c r="J9" s="17" t="n">
        <v>0.053156</v>
      </c>
      <c r="K9" s="2" t="inlineStr">
        <is>
          <t>止盈</t>
        </is>
      </c>
      <c r="L9" s="5">
        <f>交易明細!K3</f>
        <v/>
      </c>
      <c r="M9" s="16">
        <f>M4</f>
        <v/>
      </c>
      <c r="N9" s="2">
        <f>N4</f>
        <v/>
      </c>
      <c r="O9" s="16">
        <f>O4</f>
        <v/>
      </c>
      <c r="P9" s="4">
        <f>交易明細!L3</f>
        <v/>
      </c>
      <c r="Q9" s="10">
        <f>IF(N9="已下單",O9*P9,0)</f>
        <v/>
      </c>
      <c r="R9" s="10">
        <f>R8+Q9</f>
        <v/>
      </c>
      <c r="S9" s="16">
        <f>S8-IF(N9="已下單",M9,0)</f>
        <v/>
      </c>
      <c r="T9" s="16">
        <f>R9-S9</f>
        <v/>
      </c>
      <c r="U9" s="2">
        <f>U8-IF(N9="已下單",1,0)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46266.375</v>
      </c>
      <c r="C10" s="2" t="inlineStr">
        <is>
          <t>進場</t>
        </is>
      </c>
      <c r="D10" s="2" t="n">
        <v>5</v>
      </c>
      <c r="E10" s="2" t="inlineStr">
        <is>
          <t>PUMP_USDT_PERP</t>
        </is>
      </c>
      <c r="F10" s="2" t="inlineStr">
        <is>
          <t>做多</t>
        </is>
      </c>
      <c r="G10" s="17" t="n">
        <v>0.004605</v>
      </c>
      <c r="H10" s="17" t="n">
        <v>0.00474315</v>
      </c>
      <c r="I10" s="17" t="n">
        <v>0.004374749999999999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46266.75</v>
      </c>
      <c r="C11" s="2" t="inlineStr">
        <is>
          <t>出場</t>
        </is>
      </c>
      <c r="D11" s="2" t="n">
        <v>5</v>
      </c>
      <c r="E11" s="2" t="inlineStr">
        <is>
          <t>PUMP_USDT_PERP</t>
        </is>
      </c>
      <c r="F11" s="2" t="inlineStr">
        <is>
          <t>做多</t>
        </is>
      </c>
      <c r="G11" s="17" t="n">
        <v>0.004605</v>
      </c>
      <c r="H11" s="17" t="n">
        <v>0.00474315</v>
      </c>
      <c r="I11" s="17" t="n">
        <v>0.004374749999999999</v>
      </c>
      <c r="J11" s="17" t="n">
        <v>0.004374749999999999</v>
      </c>
      <c r="K11" s="2" t="inlineStr">
        <is>
          <t>止損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46266.75</v>
      </c>
      <c r="C12" s="2" t="inlineStr">
        <is>
          <t>進場</t>
        </is>
      </c>
      <c r="D12" s="2" t="n">
        <v>6</v>
      </c>
      <c r="E12" s="2" t="inlineStr">
        <is>
          <t>ARB_USDT_PERP</t>
        </is>
      </c>
      <c r="F12" s="2" t="inlineStr">
        <is>
          <t>做多</t>
        </is>
      </c>
      <c r="G12" s="17" t="n">
        <v>0.1099</v>
      </c>
      <c r="H12" s="17" t="n">
        <v>0.113197</v>
      </c>
      <c r="I12" s="17" t="n">
        <v>0.104405</v>
      </c>
      <c r="J12" s="17" t="n"/>
      <c r="K12" s="2" t="n"/>
      <c r="L12" s="5" t="n"/>
      <c r="M12" s="16">
        <f>資金模擬!$B$5*V11</f>
        <v/>
      </c>
      <c r="N12" s="2">
        <f>IF(Z11=1,"已停止",IF(T11&gt;=M12,"已下單","資金不足略過"))</f>
        <v/>
      </c>
      <c r="O12" s="16">
        <f>IF(N12="已下單",M12*資金模擬!$B$7,0)</f>
        <v/>
      </c>
      <c r="P12" s="4" t="n"/>
      <c r="Q12" s="10" t="n">
        <v>0</v>
      </c>
      <c r="R12" s="10">
        <f>R11+Q12</f>
        <v/>
      </c>
      <c r="S12" s="16">
        <f>S11+IF(N12="已下單",M12,0)</f>
        <v/>
      </c>
      <c r="T12" s="16">
        <f>R12-S12</f>
        <v/>
      </c>
      <c r="U12" s="2">
        <f>U11+IF(N12="已下單",1,0)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46266.75</v>
      </c>
      <c r="C13" s="2" t="inlineStr">
        <is>
          <t>進場</t>
        </is>
      </c>
      <c r="D13" s="2" t="n">
        <v>7</v>
      </c>
      <c r="E13" s="2" t="inlineStr">
        <is>
          <t>USELESS_USDT_PERP</t>
        </is>
      </c>
      <c r="F13" s="2" t="inlineStr">
        <is>
          <t>做多</t>
        </is>
      </c>
      <c r="G13" s="17" t="n">
        <v>0.09113</v>
      </c>
      <c r="H13" s="17" t="n">
        <v>0.0938639</v>
      </c>
      <c r="I13" s="17" t="n">
        <v>0.0865735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46266.79166666666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做多</t>
        </is>
      </c>
      <c r="G14" s="17" t="n">
        <v>0.1099</v>
      </c>
      <c r="H14" s="17" t="n">
        <v>0.113197</v>
      </c>
      <c r="I14" s="17" t="n">
        <v>0.104405</v>
      </c>
      <c r="J14" s="17" t="n">
        <v>0.113197</v>
      </c>
      <c r="K14" s="2" t="inlineStr">
        <is>
          <t>止盈</t>
        </is>
      </c>
      <c r="L14" s="5">
        <f>交易明細!K7</f>
        <v/>
      </c>
      <c r="M14" s="16">
        <f>M12</f>
        <v/>
      </c>
      <c r="N14" s="2">
        <f>N12</f>
        <v/>
      </c>
      <c r="O14" s="16">
        <f>O12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46266.79166666666</v>
      </c>
      <c r="C15" s="2" t="inlineStr">
        <is>
          <t>出場</t>
        </is>
      </c>
      <c r="D15" s="2" t="n">
        <v>7</v>
      </c>
      <c r="E15" s="2" t="inlineStr">
        <is>
          <t>USELESS_USDT_PERP</t>
        </is>
      </c>
      <c r="F15" s="2" t="inlineStr">
        <is>
          <t>做多</t>
        </is>
      </c>
      <c r="G15" s="17" t="n">
        <v>0.09113</v>
      </c>
      <c r="H15" s="17" t="n">
        <v>0.0938639</v>
      </c>
      <c r="I15" s="17" t="n">
        <v>0.0865735</v>
      </c>
      <c r="J15" s="17" t="n">
        <v>0.0938639</v>
      </c>
      <c r="K15" s="2" t="inlineStr">
        <is>
          <t>止盈</t>
        </is>
      </c>
      <c r="L15" s="5">
        <f>交易明細!K8</f>
        <v/>
      </c>
      <c r="M15" s="16">
        <f>M13</f>
        <v/>
      </c>
      <c r="N15" s="2">
        <f>N13</f>
        <v/>
      </c>
      <c r="O15" s="16">
        <f>O13</f>
        <v/>
      </c>
      <c r="P15" s="4">
        <f>交易明細!L8</f>
        <v/>
      </c>
      <c r="Q15" s="10">
        <f>IF(N15="已下單",O15*P15,0)</f>
        <v/>
      </c>
      <c r="R15" s="10">
        <f>R14+Q15</f>
        <v/>
      </c>
      <c r="S15" s="16">
        <f>S14-IF(N15="已下單",M15,0)</f>
        <v/>
      </c>
      <c r="T15" s="16">
        <f>R15-S15</f>
        <v/>
      </c>
      <c r="U15" s="2">
        <f>U14-IF(N15="已下單",1,0)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46266.83333333334</v>
      </c>
      <c r="C16" s="2" t="inlineStr">
        <is>
          <t>進場</t>
        </is>
      </c>
      <c r="D16" s="2" t="n">
        <v>8</v>
      </c>
      <c r="E16" s="2" t="inlineStr">
        <is>
          <t>HEMI_USDT_PERP</t>
        </is>
      </c>
      <c r="F16" s="2" t="inlineStr">
        <is>
          <t>做多</t>
        </is>
      </c>
      <c r="G16" s="17" t="n">
        <v>0.0161</v>
      </c>
      <c r="H16" s="17" t="n">
        <v>0.016583</v>
      </c>
      <c r="I16" s="17" t="n">
        <v>0.015295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46266.91666666666</v>
      </c>
      <c r="C17" s="2" t="inlineStr">
        <is>
          <t>進場</t>
        </is>
      </c>
      <c r="D17" s="2" t="n">
        <v>9</v>
      </c>
      <c r="E17" s="2" t="inlineStr">
        <is>
          <t>PUMP_USDT_PERP</t>
        </is>
      </c>
      <c r="F17" s="2" t="inlineStr">
        <is>
          <t>做多</t>
        </is>
      </c>
      <c r="G17" s="17" t="n">
        <v>0.004467</v>
      </c>
      <c r="H17" s="17" t="n">
        <v>0.00460101</v>
      </c>
      <c r="I17" s="17" t="n">
        <v>0.00424365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</v>
      </c>
      <c r="C18" s="2" t="inlineStr">
        <is>
          <t>出場</t>
        </is>
      </c>
      <c r="D18" s="2" t="n">
        <v>3</v>
      </c>
      <c r="E18" s="2" t="inlineStr">
        <is>
          <t>XMR_USDT_PERP</t>
        </is>
      </c>
      <c r="F18" s="2" t="inlineStr">
        <is>
          <t>做多</t>
        </is>
      </c>
      <c r="G18" s="17" t="n">
        <v>531.58</v>
      </c>
      <c r="H18" s="17" t="n">
        <v>547.5274000000001</v>
      </c>
      <c r="I18" s="17" t="n">
        <v>505.001</v>
      </c>
      <c r="J18" s="17" t="n">
        <v>505.001</v>
      </c>
      <c r="K18" s="2" t="inlineStr">
        <is>
          <t>止損</t>
        </is>
      </c>
      <c r="L18" s="5">
        <f>交易明細!K4</f>
        <v/>
      </c>
      <c r="M18" s="16">
        <f>M6</f>
        <v/>
      </c>
      <c r="N18" s="2">
        <f>N6</f>
        <v/>
      </c>
      <c r="O18" s="16">
        <f>O6</f>
        <v/>
      </c>
      <c r="P18" s="4">
        <f>交易明細!L4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</v>
      </c>
      <c r="C19" s="2" t="inlineStr">
        <is>
          <t>出場</t>
        </is>
      </c>
      <c r="D19" s="2" t="n">
        <v>8</v>
      </c>
      <c r="E19" s="2" t="inlineStr">
        <is>
          <t>HEMI_USDT_PERP</t>
        </is>
      </c>
      <c r="F19" s="2" t="inlineStr">
        <is>
          <t>做多</t>
        </is>
      </c>
      <c r="G19" s="17" t="n">
        <v>0.0161</v>
      </c>
      <c r="H19" s="17" t="n">
        <v>0.016583</v>
      </c>
      <c r="I19" s="17" t="n">
        <v>0.015295</v>
      </c>
      <c r="J19" s="17" t="n">
        <v>0.016583</v>
      </c>
      <c r="K19" s="2" t="inlineStr">
        <is>
          <t>止盈</t>
        </is>
      </c>
      <c r="L19" s="5">
        <f>交易明細!K9</f>
        <v/>
      </c>
      <c r="M19" s="16">
        <f>M16</f>
        <v/>
      </c>
      <c r="N19" s="2">
        <f>N16</f>
        <v/>
      </c>
      <c r="O19" s="16">
        <f>O16</f>
        <v/>
      </c>
      <c r="P19" s="4">
        <f>交易明細!L9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46267.08333333334</v>
      </c>
      <c r="C20" s="2" t="inlineStr">
        <is>
          <t>進場</t>
        </is>
      </c>
      <c r="D20" s="2" t="n">
        <v>10</v>
      </c>
      <c r="E20" s="2" t="inlineStr">
        <is>
          <t>HEMI_USDT_PERP</t>
        </is>
      </c>
      <c r="F20" s="2" t="inlineStr">
        <is>
          <t>做空</t>
        </is>
      </c>
      <c r="G20" s="17" t="n">
        <v>0.01546</v>
      </c>
      <c r="H20" s="17" t="n">
        <v>0.0149962</v>
      </c>
      <c r="I20" s="17" t="n">
        <v>0.016233</v>
      </c>
      <c r="J20" s="17" t="n"/>
      <c r="K20" s="2" t="n"/>
      <c r="L20" s="5" t="n"/>
      <c r="M20" s="16">
        <f>資金模擬!$B$5*V19</f>
        <v/>
      </c>
      <c r="N20" s="2">
        <f>IF(Z19=1,"已停止",IF(T19&gt;=M20,"已下單","資金不足略過"))</f>
        <v/>
      </c>
      <c r="O20" s="16">
        <f>IF(N20="已下單",M20*資金模擬!$B$7,0)</f>
        <v/>
      </c>
      <c r="P20" s="4" t="n"/>
      <c r="Q20" s="10" t="n">
        <v>0</v>
      </c>
      <c r="R20" s="10">
        <f>R19+Q20</f>
        <v/>
      </c>
      <c r="S20" s="16">
        <f>S19+IF(N20="已下單",M20,0)</f>
        <v/>
      </c>
      <c r="T20" s="16">
        <f>R20-S20</f>
        <v/>
      </c>
      <c r="U20" s="2">
        <f>U19+IF(N20="已下單",1,0)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46267.125</v>
      </c>
      <c r="C21" s="2" t="inlineStr">
        <is>
          <t>出場</t>
        </is>
      </c>
      <c r="D21" s="2" t="n">
        <v>9</v>
      </c>
      <c r="E21" s="2" t="inlineStr">
        <is>
          <t>PUMP_USDT_PERP</t>
        </is>
      </c>
      <c r="F21" s="2" t="inlineStr">
        <is>
          <t>做多</t>
        </is>
      </c>
      <c r="G21" s="17" t="n">
        <v>0.004467</v>
      </c>
      <c r="H21" s="17" t="n">
        <v>0.00460101</v>
      </c>
      <c r="I21" s="17" t="n">
        <v>0.00424365</v>
      </c>
      <c r="J21" s="17" t="n">
        <v>0.00424365</v>
      </c>
      <c r="K21" s="2" t="inlineStr">
        <is>
          <t>止損</t>
        </is>
      </c>
      <c r="L21" s="5">
        <f>交易明細!K10</f>
        <v/>
      </c>
      <c r="M21" s="16">
        <f>M17</f>
        <v/>
      </c>
      <c r="N21" s="2">
        <f>N17</f>
        <v/>
      </c>
      <c r="O21" s="16">
        <f>O17</f>
        <v/>
      </c>
      <c r="P21" s="4">
        <f>交易明細!L10</f>
        <v/>
      </c>
      <c r="Q21" s="10">
        <f>IF(N21="已下單",O21*P21,0)</f>
        <v/>
      </c>
      <c r="R21" s="10">
        <f>R20+Q21</f>
        <v/>
      </c>
      <c r="S21" s="16">
        <f>S20-IF(N21="已下單",M21,0)</f>
        <v/>
      </c>
      <c r="T21" s="16">
        <f>R21-S21</f>
        <v/>
      </c>
      <c r="U21" s="2">
        <f>U20-IF(N21="已下單",1,0)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46267.16666666666</v>
      </c>
      <c r="C22" s="2" t="inlineStr">
        <is>
          <t>出場</t>
        </is>
      </c>
      <c r="D22" s="2" t="n">
        <v>10</v>
      </c>
      <c r="E22" s="2" t="inlineStr">
        <is>
          <t>HEMI_USDT_PERP</t>
        </is>
      </c>
      <c r="F22" s="2" t="inlineStr">
        <is>
          <t>做空</t>
        </is>
      </c>
      <c r="G22" s="17" t="n">
        <v>0.01546</v>
      </c>
      <c r="H22" s="17" t="n">
        <v>0.0149962</v>
      </c>
      <c r="I22" s="17" t="n">
        <v>0.016233</v>
      </c>
      <c r="J22" s="17" t="n">
        <v>0.0149962</v>
      </c>
      <c r="K22" s="2" t="inlineStr">
        <is>
          <t>止盈</t>
        </is>
      </c>
      <c r="L22" s="5">
        <f>交易明細!K11</f>
        <v/>
      </c>
      <c r="M22" s="16">
        <f>M20</f>
        <v/>
      </c>
      <c r="N22" s="2">
        <f>N20</f>
        <v/>
      </c>
      <c r="O22" s="16">
        <f>O20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46267.41666666666</v>
      </c>
      <c r="C23" s="2" t="inlineStr">
        <is>
          <t>進場</t>
        </is>
      </c>
      <c r="D23" s="2" t="n">
        <v>11</v>
      </c>
      <c r="E23" s="2" t="inlineStr">
        <is>
          <t>PUMP_USDT_PERP</t>
        </is>
      </c>
      <c r="F23" s="2" t="inlineStr">
        <is>
          <t>做空</t>
        </is>
      </c>
      <c r="G23" s="17" t="n">
        <v>0.004146</v>
      </c>
      <c r="H23" s="17" t="n">
        <v>0.00402162</v>
      </c>
      <c r="I23" s="17" t="n">
        <v>0.004353300000000001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46267.41666666666</v>
      </c>
      <c r="C24" s="2" t="inlineStr">
        <is>
          <t>進場</t>
        </is>
      </c>
      <c r="D24" s="2" t="n">
        <v>12</v>
      </c>
      <c r="E24" s="2" t="inlineStr">
        <is>
          <t>牛来_USDT_PERP</t>
        </is>
      </c>
      <c r="F24" s="2" t="inlineStr">
        <is>
          <t>做空</t>
        </is>
      </c>
      <c r="G24" s="17" t="n">
        <v>0.08327</v>
      </c>
      <c r="H24" s="17" t="n">
        <v>0.08077189999999999</v>
      </c>
      <c r="I24" s="17" t="n">
        <v>0.0874335</v>
      </c>
      <c r="J24" s="17" t="n"/>
      <c r="K24" s="2" t="n"/>
      <c r="L24" s="5" t="n"/>
      <c r="M24" s="16">
        <f>資金模擬!$B$5*V23</f>
        <v/>
      </c>
      <c r="N24" s="2">
        <f>IF(Z23=1,"已停止",IF(T23&gt;=M24,"已下單","資金不足略過"))</f>
        <v/>
      </c>
      <c r="O24" s="16">
        <f>IF(N24="已下單",M24*資金模擬!$B$7,0)</f>
        <v/>
      </c>
      <c r="P24" s="4" t="n"/>
      <c r="Q24" s="10" t="n">
        <v>0</v>
      </c>
      <c r="R24" s="10">
        <f>R23+Q24</f>
        <v/>
      </c>
      <c r="S24" s="16">
        <f>S23+IF(N24="已下單",M24,0)</f>
        <v/>
      </c>
      <c r="T24" s="16">
        <f>R24-S24</f>
        <v/>
      </c>
      <c r="U24" s="2">
        <f>U23+IF(N24="已下單",1,0)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46267.45833333334</v>
      </c>
      <c r="C25" s="2" t="inlineStr">
        <is>
          <t>出場</t>
        </is>
      </c>
      <c r="D25" s="2" t="n">
        <v>12</v>
      </c>
      <c r="E25" s="2" t="inlineStr">
        <is>
          <t>牛来_USDT_PERP</t>
        </is>
      </c>
      <c r="F25" s="2" t="inlineStr">
        <is>
          <t>做空</t>
        </is>
      </c>
      <c r="G25" s="17" t="n">
        <v>0.08327</v>
      </c>
      <c r="H25" s="17" t="n">
        <v>0.08077189999999999</v>
      </c>
      <c r="I25" s="17" t="n">
        <v>0.0874335</v>
      </c>
      <c r="J25" s="17" t="n">
        <v>0.08077189999999999</v>
      </c>
      <c r="K25" s="2" t="inlineStr">
        <is>
          <t>止盈</t>
        </is>
      </c>
      <c r="L25" s="5">
        <f>交易明細!K13</f>
        <v/>
      </c>
      <c r="M25" s="16">
        <f>M24</f>
        <v/>
      </c>
      <c r="N25" s="2">
        <f>N24</f>
        <v/>
      </c>
      <c r="O25" s="16">
        <f>O24</f>
        <v/>
      </c>
      <c r="P25" s="4">
        <f>交易明細!L13</f>
        <v/>
      </c>
      <c r="Q25" s="10">
        <f>IF(N25="已下單",O25*P25,0)</f>
        <v/>
      </c>
      <c r="R25" s="10">
        <f>R24+Q25</f>
        <v/>
      </c>
      <c r="S25" s="16">
        <f>S24-IF(N25="已下單",M25,0)</f>
        <v/>
      </c>
      <c r="T25" s="16">
        <f>R25-S25</f>
        <v/>
      </c>
      <c r="U25" s="2">
        <f>U24-IF(N25="已下單",1,0)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46267.45833333334</v>
      </c>
      <c r="C26" s="2" t="inlineStr">
        <is>
          <t>進場</t>
        </is>
      </c>
      <c r="D26" s="2" t="n">
        <v>13</v>
      </c>
      <c r="E26" s="2" t="inlineStr">
        <is>
          <t>UNI_USDT_PERP</t>
        </is>
      </c>
      <c r="F26" s="2" t="inlineStr">
        <is>
          <t>做多</t>
        </is>
      </c>
      <c r="G26" s="17" t="n">
        <v>6.019</v>
      </c>
      <c r="H26" s="17" t="n">
        <v>6.19957</v>
      </c>
      <c r="I26" s="17" t="n">
        <v>5.71805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46267.5</v>
      </c>
      <c r="C27" s="2" t="inlineStr">
        <is>
          <t>進場</t>
        </is>
      </c>
      <c r="D27" s="2" t="n">
        <v>14</v>
      </c>
      <c r="E27" s="2" t="inlineStr">
        <is>
          <t>CRV_USDT_PERP</t>
        </is>
      </c>
      <c r="F27" s="2" t="inlineStr">
        <is>
          <t>做多</t>
        </is>
      </c>
      <c r="G27" s="17" t="n">
        <v>0.3838</v>
      </c>
      <c r="H27" s="17" t="n">
        <v>0.395314</v>
      </c>
      <c r="I27" s="17" t="n">
        <v>0.3646099999999999</v>
      </c>
      <c r="J27" s="17" t="n"/>
      <c r="K27" s="2" t="n"/>
      <c r="L27" s="5" t="n"/>
      <c r="M27" s="16">
        <f>資金模擬!$B$5*V26</f>
        <v/>
      </c>
      <c r="N27" s="2">
        <f>IF(Z26=1,"已停止",IF(T26&gt;=M27,"已下單","資金不足略過"))</f>
        <v/>
      </c>
      <c r="O27" s="16">
        <f>IF(N27="已下單",M27*資金模擬!$B$7,0)</f>
        <v/>
      </c>
      <c r="P27" s="4" t="n"/>
      <c r="Q27" s="10" t="n">
        <v>0</v>
      </c>
      <c r="R27" s="10">
        <f>R26+Q27</f>
        <v/>
      </c>
      <c r="S27" s="16">
        <f>S26+IF(N27="已下單",M27,0)</f>
        <v/>
      </c>
      <c r="T27" s="16">
        <f>R27-S27</f>
        <v/>
      </c>
      <c r="U27" s="2">
        <f>U26+IF(N27="已下單",1,0)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46267.5</v>
      </c>
      <c r="C28" s="2" t="inlineStr">
        <is>
          <t>進場</t>
        </is>
      </c>
      <c r="D28" s="2" t="n">
        <v>15</v>
      </c>
      <c r="E28" s="2" t="inlineStr">
        <is>
          <t>SKR_USDT_PERP</t>
        </is>
      </c>
      <c r="F28" s="2" t="inlineStr">
        <is>
          <t>做空</t>
        </is>
      </c>
      <c r="G28" s="17" t="n">
        <v>0.022381</v>
      </c>
      <c r="H28" s="17" t="n">
        <v>0.02170957</v>
      </c>
      <c r="I28" s="17" t="n">
        <v>0.02350005</v>
      </c>
      <c r="J28" s="17" t="n"/>
      <c r="K28" s="2" t="n"/>
      <c r="L28" s="5" t="n"/>
      <c r="M28" s="16">
        <f>資金模擬!$B$5*V27</f>
        <v/>
      </c>
      <c r="N28" s="2">
        <f>IF(Z27=1,"已停止",IF(T27&gt;=M28,"已下單","資金不足略過"))</f>
        <v/>
      </c>
      <c r="O28" s="16">
        <f>IF(N28="已下單",M28*資金模擬!$B$7,0)</f>
        <v/>
      </c>
      <c r="P28" s="4" t="n"/>
      <c r="Q28" s="10" t="n">
        <v>0</v>
      </c>
      <c r="R28" s="10">
        <f>R27+Q28</f>
        <v/>
      </c>
      <c r="S28" s="16">
        <f>S27+IF(N28="已下單",M28,0)</f>
        <v/>
      </c>
      <c r="T28" s="16">
        <f>R28-S28</f>
        <v/>
      </c>
      <c r="U28" s="2">
        <f>U27+IF(N28="已下單",1,0)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46267.54166666666</v>
      </c>
      <c r="C29" s="2" t="inlineStr">
        <is>
          <t>出場</t>
        </is>
      </c>
      <c r="D29" s="2" t="n">
        <v>13</v>
      </c>
      <c r="E29" s="2" t="inlineStr">
        <is>
          <t>UNI_USDT_PERP</t>
        </is>
      </c>
      <c r="F29" s="2" t="inlineStr">
        <is>
          <t>做多</t>
        </is>
      </c>
      <c r="G29" s="17" t="n">
        <v>6.019</v>
      </c>
      <c r="H29" s="17" t="n">
        <v>6.19957</v>
      </c>
      <c r="I29" s="17" t="n">
        <v>5.71805</v>
      </c>
      <c r="J29" s="17" t="n">
        <v>6.19957</v>
      </c>
      <c r="K29" s="2" t="inlineStr">
        <is>
          <t>止盈</t>
        </is>
      </c>
      <c r="L29" s="5">
        <f>交易明細!K14</f>
        <v/>
      </c>
      <c r="M29" s="16">
        <f>M26</f>
        <v/>
      </c>
      <c r="N29" s="2">
        <f>N26</f>
        <v/>
      </c>
      <c r="O29" s="16">
        <f>O26</f>
        <v/>
      </c>
      <c r="P29" s="4">
        <f>交易明細!L14</f>
        <v/>
      </c>
      <c r="Q29" s="10">
        <f>IF(N29="已下單",O29*P29,0)</f>
        <v/>
      </c>
      <c r="R29" s="10">
        <f>R28+Q29</f>
        <v/>
      </c>
      <c r="S29" s="16">
        <f>S28-IF(N29="已下單",M29,0)</f>
        <v/>
      </c>
      <c r="T29" s="16">
        <f>R29-S29</f>
        <v/>
      </c>
      <c r="U29" s="2">
        <f>U28-IF(N29="已下單",1,0)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46267.54166666666</v>
      </c>
      <c r="C30" s="2" t="inlineStr">
        <is>
          <t>進場</t>
        </is>
      </c>
      <c r="D30" s="2" t="n">
        <v>16</v>
      </c>
      <c r="E30" s="2" t="inlineStr">
        <is>
          <t>牛来_USDT_PERP</t>
        </is>
      </c>
      <c r="F30" s="2" t="inlineStr">
        <is>
          <t>做多</t>
        </is>
      </c>
      <c r="G30" s="17" t="n">
        <v>0.08776</v>
      </c>
      <c r="H30" s="17" t="n">
        <v>0.09039280000000001</v>
      </c>
      <c r="I30" s="17" t="n">
        <v>0.083372</v>
      </c>
      <c r="J30" s="17" t="n"/>
      <c r="K30" s="2" t="n"/>
      <c r="L30" s="5" t="n"/>
      <c r="M30" s="16">
        <f>資金模擬!$B$5*V29</f>
        <v/>
      </c>
      <c r="N30" s="2">
        <f>IF(Z29=1,"已停止",IF(T29&gt;=M30,"已下單","資金不足略過"))</f>
        <v/>
      </c>
      <c r="O30" s="16">
        <f>IF(N30="已下單",M30*資金模擬!$B$7,0)</f>
        <v/>
      </c>
      <c r="P30" s="4" t="n"/>
      <c r="Q30" s="10" t="n">
        <v>0</v>
      </c>
      <c r="R30" s="10">
        <f>R29+Q30</f>
        <v/>
      </c>
      <c r="S30" s="16">
        <f>S29+IF(N30="已下單",M30,0)</f>
        <v/>
      </c>
      <c r="T30" s="16">
        <f>R30-S30</f>
        <v/>
      </c>
      <c r="U30" s="2">
        <f>U29+IF(N30="已下單",1,0)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46267.58333333334</v>
      </c>
      <c r="C31" s="2" t="inlineStr">
        <is>
          <t>出場</t>
        </is>
      </c>
      <c r="D31" s="2" t="n">
        <v>15</v>
      </c>
      <c r="E31" s="2" t="inlineStr">
        <is>
          <t>SKR_USDT_PERP</t>
        </is>
      </c>
      <c r="F31" s="2" t="inlineStr">
        <is>
          <t>做空</t>
        </is>
      </c>
      <c r="G31" s="17" t="n">
        <v>0.022381</v>
      </c>
      <c r="H31" s="17" t="n">
        <v>0.02170957</v>
      </c>
      <c r="I31" s="17" t="n">
        <v>0.02350005</v>
      </c>
      <c r="J31" s="17" t="n">
        <v>0.02350005</v>
      </c>
      <c r="K31" s="2" t="inlineStr">
        <is>
          <t>止損</t>
        </is>
      </c>
      <c r="L31" s="5">
        <f>交易明細!K16</f>
        <v/>
      </c>
      <c r="M31" s="16">
        <f>M28</f>
        <v/>
      </c>
      <c r="N31" s="2">
        <f>N28</f>
        <v/>
      </c>
      <c r="O31" s="16">
        <f>O28</f>
        <v/>
      </c>
      <c r="P31" s="4">
        <f>交易明細!L16</f>
        <v/>
      </c>
      <c r="Q31" s="10">
        <f>IF(N31="已下單",O31*P31,0)</f>
        <v/>
      </c>
      <c r="R31" s="10">
        <f>R30+Q31</f>
        <v/>
      </c>
      <c r="S31" s="16">
        <f>S30-IF(N31="已下單",M31,0)</f>
        <v/>
      </c>
      <c r="T31" s="16">
        <f>R31-S31</f>
        <v/>
      </c>
      <c r="U31" s="2">
        <f>U30-IF(N31="已下單",1,0)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46267.58333333334</v>
      </c>
      <c r="C32" s="2" t="inlineStr">
        <is>
          <t>出場</t>
        </is>
      </c>
      <c r="D32" s="2" t="n">
        <v>16</v>
      </c>
      <c r="E32" s="2" t="inlineStr">
        <is>
          <t>牛来_USDT_PERP</t>
        </is>
      </c>
      <c r="F32" s="2" t="inlineStr">
        <is>
          <t>做多</t>
        </is>
      </c>
      <c r="G32" s="17" t="n">
        <v>0.08776</v>
      </c>
      <c r="H32" s="17" t="n">
        <v>0.09039280000000001</v>
      </c>
      <c r="I32" s="17" t="n">
        <v>0.083372</v>
      </c>
      <c r="J32" s="17" t="n">
        <v>0.09039280000000001</v>
      </c>
      <c r="K32" s="2" t="inlineStr">
        <is>
          <t>止盈</t>
        </is>
      </c>
      <c r="L32" s="5">
        <f>交易明細!K17</f>
        <v/>
      </c>
      <c r="M32" s="16">
        <f>M30</f>
        <v/>
      </c>
      <c r="N32" s="2">
        <f>N30</f>
        <v/>
      </c>
      <c r="O32" s="16">
        <f>O30</f>
        <v/>
      </c>
      <c r="P32" s="4">
        <f>交易明細!L17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46267.58333333334</v>
      </c>
      <c r="C33" s="2" t="inlineStr">
        <is>
          <t>進場</t>
        </is>
      </c>
      <c r="D33" s="2" t="n">
        <v>17</v>
      </c>
      <c r="E33" s="2" t="inlineStr">
        <is>
          <t>PONS_USDT_PERP</t>
        </is>
      </c>
      <c r="F33" s="2" t="inlineStr">
        <is>
          <t>做多</t>
        </is>
      </c>
      <c r="G33" s="17" t="n">
        <v>0.4351</v>
      </c>
      <c r="H33" s="17" t="n">
        <v>0.448153</v>
      </c>
      <c r="I33" s="17" t="n">
        <v>0.413345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46267.625</v>
      </c>
      <c r="C34" s="2" t="inlineStr">
        <is>
          <t>進場</t>
        </is>
      </c>
      <c r="D34" s="2" t="n">
        <v>18</v>
      </c>
      <c r="E34" s="2" t="inlineStr">
        <is>
          <t>HEMI_USDT_PERP</t>
        </is>
      </c>
      <c r="F34" s="2" t="inlineStr">
        <is>
          <t>做空</t>
        </is>
      </c>
      <c r="G34" s="17" t="n">
        <v>0.01439</v>
      </c>
      <c r="H34" s="17" t="n">
        <v>0.0139583</v>
      </c>
      <c r="I34" s="17" t="n">
        <v>0.0151095</v>
      </c>
      <c r="J34" s="17" t="n"/>
      <c r="K34" s="2" t="n"/>
      <c r="L34" s="5" t="n"/>
      <c r="M34" s="16">
        <f>資金模擬!$B$5*V33</f>
        <v/>
      </c>
      <c r="N34" s="2">
        <f>IF(Z33=1,"已停止",IF(T33&gt;=M34,"已下單","資金不足略過"))</f>
        <v/>
      </c>
      <c r="O34" s="16">
        <f>IF(N34="已下單",M34*資金模擬!$B$7,0)</f>
        <v/>
      </c>
      <c r="P34" s="4" t="n"/>
      <c r="Q34" s="10" t="n">
        <v>0</v>
      </c>
      <c r="R34" s="10">
        <f>R33+Q34</f>
        <v/>
      </c>
      <c r="S34" s="16">
        <f>S33+IF(N34="已下單",M34,0)</f>
        <v/>
      </c>
      <c r="T34" s="16">
        <f>R34-S34</f>
        <v/>
      </c>
      <c r="U34" s="2">
        <f>U33+IF(N34="已下單",1,0)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46267.625</v>
      </c>
      <c r="C35" s="2" t="inlineStr">
        <is>
          <t>進場</t>
        </is>
      </c>
      <c r="D35" s="2" t="n">
        <v>19</v>
      </c>
      <c r="E35" s="2" t="inlineStr">
        <is>
          <t>SKR_USDT_PERP</t>
        </is>
      </c>
      <c r="F35" s="2" t="inlineStr">
        <is>
          <t>做空</t>
        </is>
      </c>
      <c r="G35" s="17" t="n">
        <v>0.02203</v>
      </c>
      <c r="H35" s="17" t="n">
        <v>0.0213691</v>
      </c>
      <c r="I35" s="17" t="n">
        <v>0.0231315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46267.66666666666</v>
      </c>
      <c r="C36" s="2" t="inlineStr">
        <is>
          <t>出場</t>
        </is>
      </c>
      <c r="D36" s="2" t="n">
        <v>17</v>
      </c>
      <c r="E36" s="2" t="inlineStr">
        <is>
          <t>PONS_USDT_PERP</t>
        </is>
      </c>
      <c r="F36" s="2" t="inlineStr">
        <is>
          <t>做多</t>
        </is>
      </c>
      <c r="G36" s="17" t="n">
        <v>0.4351</v>
      </c>
      <c r="H36" s="17" t="n">
        <v>0.448153</v>
      </c>
      <c r="I36" s="17" t="n">
        <v>0.413345</v>
      </c>
      <c r="J36" s="17" t="n">
        <v>0.413345</v>
      </c>
      <c r="K36" s="2" t="inlineStr">
        <is>
          <t>止損</t>
        </is>
      </c>
      <c r="L36" s="5">
        <f>交易明細!K18</f>
        <v/>
      </c>
      <c r="M36" s="16">
        <f>M33</f>
        <v/>
      </c>
      <c r="N36" s="2">
        <f>N33</f>
        <v/>
      </c>
      <c r="O36" s="16">
        <f>O33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46267.66666666666</v>
      </c>
      <c r="C37" s="2" t="inlineStr">
        <is>
          <t>出場</t>
        </is>
      </c>
      <c r="D37" s="2" t="n">
        <v>18</v>
      </c>
      <c r="E37" s="2" t="inlineStr">
        <is>
          <t>HEMI_USDT_PERP</t>
        </is>
      </c>
      <c r="F37" s="2" t="inlineStr">
        <is>
          <t>做空</t>
        </is>
      </c>
      <c r="G37" s="17" t="n">
        <v>0.01439</v>
      </c>
      <c r="H37" s="17" t="n">
        <v>0.0139583</v>
      </c>
      <c r="I37" s="17" t="n">
        <v>0.0151095</v>
      </c>
      <c r="J37" s="17" t="n">
        <v>0.0151095</v>
      </c>
      <c r="K37" s="2" t="inlineStr">
        <is>
          <t>止損</t>
        </is>
      </c>
      <c r="L37" s="5">
        <f>交易明細!K19</f>
        <v/>
      </c>
      <c r="M37" s="16">
        <f>M34</f>
        <v/>
      </c>
      <c r="N37" s="2">
        <f>N34</f>
        <v/>
      </c>
      <c r="O37" s="16">
        <f>O34</f>
        <v/>
      </c>
      <c r="P37" s="4">
        <f>交易明細!L19</f>
        <v/>
      </c>
      <c r="Q37" s="10">
        <f>IF(N37="已下單",O37*P37,0)</f>
        <v/>
      </c>
      <c r="R37" s="10">
        <f>R36+Q37</f>
        <v/>
      </c>
      <c r="S37" s="16">
        <f>S36-IF(N37="已下單",M37,0)</f>
        <v/>
      </c>
      <c r="T37" s="16">
        <f>R37-S37</f>
        <v/>
      </c>
      <c r="U37" s="2">
        <f>U36-IF(N37="已下單",1,0)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46267.66666666666</v>
      </c>
      <c r="C38" s="2" t="inlineStr">
        <is>
          <t>出場</t>
        </is>
      </c>
      <c r="D38" s="2" t="n">
        <v>19</v>
      </c>
      <c r="E38" s="2" t="inlineStr">
        <is>
          <t>SKR_USDT_PERP</t>
        </is>
      </c>
      <c r="F38" s="2" t="inlineStr">
        <is>
          <t>做空</t>
        </is>
      </c>
      <c r="G38" s="17" t="n">
        <v>0.02203</v>
      </c>
      <c r="H38" s="17" t="n">
        <v>0.0213691</v>
      </c>
      <c r="I38" s="17" t="n">
        <v>0.0231315</v>
      </c>
      <c r="J38" s="17" t="n">
        <v>0.0213691</v>
      </c>
      <c r="K38" s="2" t="inlineStr">
        <is>
          <t>止盈</t>
        </is>
      </c>
      <c r="L38" s="5">
        <f>交易明細!K20</f>
        <v/>
      </c>
      <c r="M38" s="16">
        <f>M35</f>
        <v/>
      </c>
      <c r="N38" s="2">
        <f>N35</f>
        <v/>
      </c>
      <c r="O38" s="16">
        <f>O35</f>
        <v/>
      </c>
      <c r="P38" s="4">
        <f>交易明細!L20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46267.75</v>
      </c>
      <c r="C39" s="2" t="inlineStr">
        <is>
          <t>進場</t>
        </is>
      </c>
      <c r="D39" s="2" t="n">
        <v>20</v>
      </c>
      <c r="E39" s="2" t="inlineStr">
        <is>
          <t>USELESS_USDT_PERP</t>
        </is>
      </c>
      <c r="F39" s="2" t="inlineStr">
        <is>
          <t>做空</t>
        </is>
      </c>
      <c r="G39" s="17" t="n">
        <v>0.10669</v>
      </c>
      <c r="H39" s="17" t="n">
        <v>0.1034893</v>
      </c>
      <c r="I39" s="17" t="n">
        <v>0.1120245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46267.79166666666</v>
      </c>
      <c r="C40" s="2" t="inlineStr">
        <is>
          <t>出場</t>
        </is>
      </c>
      <c r="D40" s="2" t="n">
        <v>14</v>
      </c>
      <c r="E40" s="2" t="inlineStr">
        <is>
          <t>CRV_USDT_PERP</t>
        </is>
      </c>
      <c r="F40" s="2" t="inlineStr">
        <is>
          <t>做多</t>
        </is>
      </c>
      <c r="G40" s="17" t="n">
        <v>0.3838</v>
      </c>
      <c r="H40" s="17" t="n">
        <v>0.395314</v>
      </c>
      <c r="I40" s="17" t="n">
        <v>0.3646099999999999</v>
      </c>
      <c r="J40" s="17" t="n">
        <v>0.3646099999999999</v>
      </c>
      <c r="K40" s="2" t="inlineStr">
        <is>
          <t>止損</t>
        </is>
      </c>
      <c r="L40" s="5">
        <f>交易明細!K15</f>
        <v/>
      </c>
      <c r="M40" s="16">
        <f>M27</f>
        <v/>
      </c>
      <c r="N40" s="2">
        <f>N27</f>
        <v/>
      </c>
      <c r="O40" s="16">
        <f>O27</f>
        <v/>
      </c>
      <c r="P40" s="4">
        <f>交易明細!L15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46267.79166666666</v>
      </c>
      <c r="C41" s="2" t="inlineStr">
        <is>
          <t>出場</t>
        </is>
      </c>
      <c r="D41" s="2" t="n">
        <v>20</v>
      </c>
      <c r="E41" s="2" t="inlineStr">
        <is>
          <t>USELESS_USDT_PERP</t>
        </is>
      </c>
      <c r="F41" s="2" t="inlineStr">
        <is>
          <t>做空</t>
        </is>
      </c>
      <c r="G41" s="17" t="n">
        <v>0.10669</v>
      </c>
      <c r="H41" s="17" t="n">
        <v>0.1034893</v>
      </c>
      <c r="I41" s="17" t="n">
        <v>0.1120245</v>
      </c>
      <c r="J41" s="17" t="n">
        <v>0.1034893</v>
      </c>
      <c r="K41" s="2" t="inlineStr">
        <is>
          <t>止盈</t>
        </is>
      </c>
      <c r="L41" s="5">
        <f>交易明細!K21</f>
        <v/>
      </c>
      <c r="M41" s="16">
        <f>M39</f>
        <v/>
      </c>
      <c r="N41" s="2">
        <f>N39</f>
        <v/>
      </c>
      <c r="O41" s="16">
        <f>O39</f>
        <v/>
      </c>
      <c r="P41" s="4">
        <f>交易明細!L21</f>
        <v/>
      </c>
      <c r="Q41" s="10">
        <f>IF(N41="已下單",O41*P41,0)</f>
        <v/>
      </c>
      <c r="R41" s="10">
        <f>R40+Q41</f>
        <v/>
      </c>
      <c r="S41" s="16">
        <f>S40-IF(N41="已下單",M41,0)</f>
        <v/>
      </c>
      <c r="T41" s="16">
        <f>R41-S41</f>
        <v/>
      </c>
      <c r="U41" s="2">
        <f>U40-IF(N41="已下單",1,0)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46267.79166666666</v>
      </c>
      <c r="C42" s="2" t="inlineStr">
        <is>
          <t>進場</t>
        </is>
      </c>
      <c r="D42" s="2" t="n">
        <v>21</v>
      </c>
      <c r="E42" s="2" t="inlineStr">
        <is>
          <t>UAI_USDT_PERP</t>
        </is>
      </c>
      <c r="F42" s="2" t="inlineStr">
        <is>
          <t>做空</t>
        </is>
      </c>
      <c r="G42" s="17" t="n">
        <v>0.5241</v>
      </c>
      <c r="H42" s="17" t="n">
        <v>0.508377</v>
      </c>
      <c r="I42" s="17" t="n">
        <v>0.550305</v>
      </c>
      <c r="J42" s="17" t="n"/>
      <c r="K42" s="2" t="n"/>
      <c r="L42" s="5" t="n"/>
      <c r="M42" s="16">
        <f>資金模擬!$B$5*V41</f>
        <v/>
      </c>
      <c r="N42" s="2">
        <f>IF(Z41=1,"已停止",IF(T41&gt;=M42,"已下單","資金不足略過"))</f>
        <v/>
      </c>
      <c r="O42" s="16">
        <f>IF(N42="已下單",M42*資金模擬!$B$7,0)</f>
        <v/>
      </c>
      <c r="P42" s="4" t="n"/>
      <c r="Q42" s="10" t="n">
        <v>0</v>
      </c>
      <c r="R42" s="10">
        <f>R41+Q42</f>
        <v/>
      </c>
      <c r="S42" s="16">
        <f>S41+IF(N42="已下單",M42,0)</f>
        <v/>
      </c>
      <c r="T42" s="16">
        <f>R42-S42</f>
        <v/>
      </c>
      <c r="U42" s="2">
        <f>U41+IF(N42="已下單",1,0)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46267.83333333334</v>
      </c>
      <c r="C43" s="2" t="inlineStr">
        <is>
          <t>進場</t>
        </is>
      </c>
      <c r="D43" s="2" t="n">
        <v>22</v>
      </c>
      <c r="E43" s="2" t="inlineStr">
        <is>
          <t>ACE_USDT_PERP</t>
        </is>
      </c>
      <c r="F43" s="2" t="inlineStr">
        <is>
          <t>做空</t>
        </is>
      </c>
      <c r="G43" s="17" t="n">
        <v>0.19257</v>
      </c>
      <c r="H43" s="17" t="n">
        <v>0.1867929</v>
      </c>
      <c r="I43" s="17" t="n">
        <v>0.2021985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46267.83333333334</v>
      </c>
      <c r="C44" s="2" t="inlineStr">
        <is>
          <t>進場</t>
        </is>
      </c>
      <c r="D44" s="2" t="n">
        <v>23</v>
      </c>
      <c r="E44" s="2" t="inlineStr">
        <is>
          <t>ARB_USDT_PERP</t>
        </is>
      </c>
      <c r="F44" s="2" t="inlineStr">
        <is>
          <t>做空</t>
        </is>
      </c>
      <c r="G44" s="17" t="n">
        <v>0.1076</v>
      </c>
      <c r="H44" s="17" t="n">
        <v>0.104372</v>
      </c>
      <c r="I44" s="17" t="n">
        <v>0.11298</v>
      </c>
      <c r="J44" s="17" t="n"/>
      <c r="K44" s="2" t="n"/>
      <c r="L44" s="5" t="n"/>
      <c r="M44" s="16">
        <f>資金模擬!$B$5*V43</f>
        <v/>
      </c>
      <c r="N44" s="2">
        <f>IF(Z43=1,"已停止",IF(T43&gt;=M44,"已下單","資金不足略過"))</f>
        <v/>
      </c>
      <c r="O44" s="16">
        <f>IF(N44="已下單",M44*資金模擬!$B$7,0)</f>
        <v/>
      </c>
      <c r="P44" s="4" t="n"/>
      <c r="Q44" s="10" t="n">
        <v>0</v>
      </c>
      <c r="R44" s="10">
        <f>R43+Q44</f>
        <v/>
      </c>
      <c r="S44" s="16">
        <f>S43+IF(N44="已下單",M44,0)</f>
        <v/>
      </c>
      <c r="T44" s="16">
        <f>R44-S44</f>
        <v/>
      </c>
      <c r="U44" s="2">
        <f>U43+IF(N44="已下單",1,0)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46267.83333333334</v>
      </c>
      <c r="C45" s="2" t="inlineStr">
        <is>
          <t>進場</t>
        </is>
      </c>
      <c r="D45" s="2" t="n">
        <v>24</v>
      </c>
      <c r="E45" s="2" t="inlineStr">
        <is>
          <t>UNI_USDT_PERP</t>
        </is>
      </c>
      <c r="F45" s="2" t="inlineStr">
        <is>
          <t>做空</t>
        </is>
      </c>
      <c r="G45" s="17" t="n">
        <v>5.744</v>
      </c>
      <c r="H45" s="17" t="n">
        <v>5.57168</v>
      </c>
      <c r="I45" s="17" t="n">
        <v>6.0312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46267.875</v>
      </c>
      <c r="C46" s="2" t="inlineStr">
        <is>
          <t>出場</t>
        </is>
      </c>
      <c r="D46" s="2" t="n">
        <v>21</v>
      </c>
      <c r="E46" s="2" t="inlineStr">
        <is>
          <t>UAI_USDT_PERP</t>
        </is>
      </c>
      <c r="F46" s="2" t="inlineStr">
        <is>
          <t>做空</t>
        </is>
      </c>
      <c r="G46" s="17" t="n">
        <v>0.5241</v>
      </c>
      <c r="H46" s="17" t="n">
        <v>0.508377</v>
      </c>
      <c r="I46" s="17" t="n">
        <v>0.550305</v>
      </c>
      <c r="J46" s="17" t="n">
        <v>0.550305</v>
      </c>
      <c r="K46" s="2" t="inlineStr">
        <is>
          <t>止損</t>
        </is>
      </c>
      <c r="L46" s="5">
        <f>交易明細!K22</f>
        <v/>
      </c>
      <c r="M46" s="16">
        <f>M42</f>
        <v/>
      </c>
      <c r="N46" s="2">
        <f>N42</f>
        <v/>
      </c>
      <c r="O46" s="16">
        <f>O42</f>
        <v/>
      </c>
      <c r="P46" s="4">
        <f>交易明細!L22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46267.875</v>
      </c>
      <c r="C47" s="2" t="inlineStr">
        <is>
          <t>出場</t>
        </is>
      </c>
      <c r="D47" s="2" t="n">
        <v>22</v>
      </c>
      <c r="E47" s="2" t="inlineStr">
        <is>
          <t>ACE_USDT_PERP</t>
        </is>
      </c>
      <c r="F47" s="2" t="inlineStr">
        <is>
          <t>做空</t>
        </is>
      </c>
      <c r="G47" s="17" t="n">
        <v>0.19257</v>
      </c>
      <c r="H47" s="17" t="n">
        <v>0.1867929</v>
      </c>
      <c r="I47" s="17" t="n">
        <v>0.2021985</v>
      </c>
      <c r="J47" s="17" t="n">
        <v>0.1867929</v>
      </c>
      <c r="K47" s="2" t="inlineStr">
        <is>
          <t>止盈</t>
        </is>
      </c>
      <c r="L47" s="5">
        <f>交易明細!K23</f>
        <v/>
      </c>
      <c r="M47" s="16">
        <f>M43</f>
        <v/>
      </c>
      <c r="N47" s="2">
        <f>N43</f>
        <v/>
      </c>
      <c r="O47" s="16">
        <f>O43</f>
        <v/>
      </c>
      <c r="P47" s="4">
        <f>交易明細!L23</f>
        <v/>
      </c>
      <c r="Q47" s="10">
        <f>IF(N47="已下單",O47*P47,0)</f>
        <v/>
      </c>
      <c r="R47" s="10">
        <f>R46+Q47</f>
        <v/>
      </c>
      <c r="S47" s="16">
        <f>S46-IF(N47="已下單",M47,0)</f>
        <v/>
      </c>
      <c r="T47" s="16">
        <f>R47-S47</f>
        <v/>
      </c>
      <c r="U47" s="2">
        <f>U46-IF(N47="已下單",1,0)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46267.91666666666</v>
      </c>
      <c r="C48" s="2" t="inlineStr">
        <is>
          <t>進場</t>
        </is>
      </c>
      <c r="D48" s="2" t="n">
        <v>25</v>
      </c>
      <c r="E48" s="2" t="inlineStr">
        <is>
          <t>PONS_USDT_PERP</t>
        </is>
      </c>
      <c r="F48" s="2" t="inlineStr">
        <is>
          <t>做多</t>
        </is>
      </c>
      <c r="G48" s="17" t="n">
        <v>0.415</v>
      </c>
      <c r="H48" s="17" t="n">
        <v>0.42745</v>
      </c>
      <c r="I48" s="17" t="n">
        <v>0.39425</v>
      </c>
      <c r="J48" s="17" t="n"/>
      <c r="K48" s="2" t="n"/>
      <c r="L48" s="5" t="n"/>
      <c r="M48" s="16">
        <f>資金模擬!$B$5*V47</f>
        <v/>
      </c>
      <c r="N48" s="2">
        <f>IF(Z47=1,"已停止",IF(T47&gt;=M48,"已下單","資金不足略過"))</f>
        <v/>
      </c>
      <c r="O48" s="16">
        <f>IF(N48="已下單",M48*資金模擬!$B$7,0)</f>
        <v/>
      </c>
      <c r="P48" s="4" t="n"/>
      <c r="Q48" s="10" t="n">
        <v>0</v>
      </c>
      <c r="R48" s="10">
        <f>R47+Q48</f>
        <v/>
      </c>
      <c r="S48" s="16">
        <f>S47+IF(N48="已下單",M48,0)</f>
        <v/>
      </c>
      <c r="T48" s="16">
        <f>R48-S48</f>
        <v/>
      </c>
      <c r="U48" s="2">
        <f>U47+IF(N48="已下單",1,0)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46267.95833333334</v>
      </c>
      <c r="C49" s="2" t="inlineStr">
        <is>
          <t>出場</t>
        </is>
      </c>
      <c r="D49" s="2" t="n">
        <v>23</v>
      </c>
      <c r="E49" s="2" t="inlineStr">
        <is>
          <t>ARB_USDT_PERP</t>
        </is>
      </c>
      <c r="F49" s="2" t="inlineStr">
        <is>
          <t>做空</t>
        </is>
      </c>
      <c r="G49" s="17" t="n">
        <v>0.1076</v>
      </c>
      <c r="H49" s="17" t="n">
        <v>0.104372</v>
      </c>
      <c r="I49" s="17" t="n">
        <v>0.11298</v>
      </c>
      <c r="J49" s="17" t="n">
        <v>0.11298</v>
      </c>
      <c r="K49" s="2" t="inlineStr">
        <is>
          <t>止損</t>
        </is>
      </c>
      <c r="L49" s="5">
        <f>交易明細!K24</f>
        <v/>
      </c>
      <c r="M49" s="16">
        <f>M44</f>
        <v/>
      </c>
      <c r="N49" s="2">
        <f>N44</f>
        <v/>
      </c>
      <c r="O49" s="16">
        <f>O44</f>
        <v/>
      </c>
      <c r="P49" s="4">
        <f>交易明細!L24</f>
        <v/>
      </c>
      <c r="Q49" s="10">
        <f>IF(N49="已下單",O49*P49,0)</f>
        <v/>
      </c>
      <c r="R49" s="10">
        <f>R48+Q49</f>
        <v/>
      </c>
      <c r="S49" s="16">
        <f>S48-IF(N49="已下單",M49,0)</f>
        <v/>
      </c>
      <c r="T49" s="16">
        <f>R49-S49</f>
        <v/>
      </c>
      <c r="U49" s="2">
        <f>U48-IF(N49="已下單",1,0)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46267.95833333334</v>
      </c>
      <c r="C50" s="2" t="inlineStr">
        <is>
          <t>出場</t>
        </is>
      </c>
      <c r="D50" s="2" t="n">
        <v>25</v>
      </c>
      <c r="E50" s="2" t="inlineStr">
        <is>
          <t>PONS_USDT_PERP</t>
        </is>
      </c>
      <c r="F50" s="2" t="inlineStr">
        <is>
          <t>做多</t>
        </is>
      </c>
      <c r="G50" s="17" t="n">
        <v>0.415</v>
      </c>
      <c r="H50" s="17" t="n">
        <v>0.42745</v>
      </c>
      <c r="I50" s="17" t="n">
        <v>0.39425</v>
      </c>
      <c r="J50" s="17" t="n">
        <v>0.39425</v>
      </c>
      <c r="K50" s="2" t="inlineStr">
        <is>
          <t>止損</t>
        </is>
      </c>
      <c r="L50" s="5">
        <f>交易明細!K26</f>
        <v/>
      </c>
      <c r="M50" s="16">
        <f>M48</f>
        <v/>
      </c>
      <c r="N50" s="2">
        <f>N48</f>
        <v/>
      </c>
      <c r="O50" s="16">
        <f>O48</f>
        <v/>
      </c>
      <c r="P50" s="4">
        <f>交易明細!L26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46268</v>
      </c>
      <c r="C51" s="2" t="inlineStr">
        <is>
          <t>進場</t>
        </is>
      </c>
      <c r="D51" s="2" t="n">
        <v>26</v>
      </c>
      <c r="E51" s="2" t="inlineStr">
        <is>
          <t>LIT_USDT_PERP</t>
        </is>
      </c>
      <c r="F51" s="2" t="inlineStr">
        <is>
          <t>做多</t>
        </is>
      </c>
      <c r="G51" s="17" t="n">
        <v>3.672</v>
      </c>
      <c r="H51" s="17" t="n">
        <v>3.78216</v>
      </c>
      <c r="I51" s="17" t="n">
        <v>3.4884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46268.04166666666</v>
      </c>
      <c r="C52" s="2" t="inlineStr">
        <is>
          <t>進場</t>
        </is>
      </c>
      <c r="D52" s="2" t="n">
        <v>27</v>
      </c>
      <c r="E52" s="2" t="inlineStr">
        <is>
          <t>HEMI_USDT_PERP</t>
        </is>
      </c>
      <c r="F52" s="2" t="inlineStr">
        <is>
          <t>做多</t>
        </is>
      </c>
      <c r="G52" s="17" t="n">
        <v>0.01528</v>
      </c>
      <c r="H52" s="17" t="n">
        <v>0.0157384</v>
      </c>
      <c r="I52" s="17" t="n">
        <v>0.014516</v>
      </c>
      <c r="J52" s="17" t="n"/>
      <c r="K52" s="2" t="n"/>
      <c r="L52" s="5" t="n"/>
      <c r="M52" s="16">
        <f>資金模擬!$B$5*V51</f>
        <v/>
      </c>
      <c r="N52" s="2">
        <f>IF(Z51=1,"已停止",IF(T51&gt;=M52,"已下單","資金不足略過"))</f>
        <v/>
      </c>
      <c r="O52" s="16">
        <f>IF(N52="已下單",M52*資金模擬!$B$7,0)</f>
        <v/>
      </c>
      <c r="P52" s="4" t="n"/>
      <c r="Q52" s="10" t="n">
        <v>0</v>
      </c>
      <c r="R52" s="10">
        <f>R51+Q52</f>
        <v/>
      </c>
      <c r="S52" s="16">
        <f>S51+IF(N52="已下單",M52,0)</f>
        <v/>
      </c>
      <c r="T52" s="16">
        <f>R52-S52</f>
        <v/>
      </c>
      <c r="U52" s="2">
        <f>U51+IF(N52="已下單",1,0)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46268.08333333334</v>
      </c>
      <c r="C53" s="2" t="inlineStr">
        <is>
          <t>出場</t>
        </is>
      </c>
      <c r="D53" s="2" t="n">
        <v>26</v>
      </c>
      <c r="E53" s="2" t="inlineStr">
        <is>
          <t>LIT_USDT_PERP</t>
        </is>
      </c>
      <c r="F53" s="2" t="inlineStr">
        <is>
          <t>做多</t>
        </is>
      </c>
      <c r="G53" s="17" t="n">
        <v>3.672</v>
      </c>
      <c r="H53" s="17" t="n">
        <v>3.78216</v>
      </c>
      <c r="I53" s="17" t="n">
        <v>3.4884</v>
      </c>
      <c r="J53" s="17" t="n">
        <v>3.78216</v>
      </c>
      <c r="K53" s="2" t="inlineStr">
        <is>
          <t>止盈</t>
        </is>
      </c>
      <c r="L53" s="5">
        <f>交易明細!K27</f>
        <v/>
      </c>
      <c r="M53" s="16">
        <f>M51</f>
        <v/>
      </c>
      <c r="N53" s="2">
        <f>N51</f>
        <v/>
      </c>
      <c r="O53" s="16">
        <f>O51</f>
        <v/>
      </c>
      <c r="P53" s="4">
        <f>交易明細!L27</f>
        <v/>
      </c>
      <c r="Q53" s="10">
        <f>IF(N53="已下單",O53*P53,0)</f>
        <v/>
      </c>
      <c r="R53" s="10">
        <f>R52+Q53</f>
        <v/>
      </c>
      <c r="S53" s="16">
        <f>S52-IF(N53="已下單",M53,0)</f>
        <v/>
      </c>
      <c r="T53" s="16">
        <f>R53-S53</f>
        <v/>
      </c>
      <c r="U53" s="2">
        <f>U52-IF(N53="已下單",1,0)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46268.08333333334</v>
      </c>
      <c r="C54" s="2" t="inlineStr">
        <is>
          <t>出場</t>
        </is>
      </c>
      <c r="D54" s="2" t="n">
        <v>27</v>
      </c>
      <c r="E54" s="2" t="inlineStr">
        <is>
          <t>HEMI_USDT_PERP</t>
        </is>
      </c>
      <c r="F54" s="2" t="inlineStr">
        <is>
          <t>做多</t>
        </is>
      </c>
      <c r="G54" s="17" t="n">
        <v>0.01528</v>
      </c>
      <c r="H54" s="17" t="n">
        <v>0.0157384</v>
      </c>
      <c r="I54" s="17" t="n">
        <v>0.014516</v>
      </c>
      <c r="J54" s="17" t="n">
        <v>0.0157384</v>
      </c>
      <c r="K54" s="2" t="inlineStr">
        <is>
          <t>止盈</t>
        </is>
      </c>
      <c r="L54" s="5">
        <f>交易明細!K28</f>
        <v/>
      </c>
      <c r="M54" s="16">
        <f>M52</f>
        <v/>
      </c>
      <c r="N54" s="2">
        <f>N52</f>
        <v/>
      </c>
      <c r="O54" s="16">
        <f>O52</f>
        <v/>
      </c>
      <c r="P54" s="4">
        <f>交易明細!L28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46268.125</v>
      </c>
      <c r="C55" s="2" t="inlineStr">
        <is>
          <t>進場</t>
        </is>
      </c>
      <c r="D55" s="2" t="n">
        <v>28</v>
      </c>
      <c r="E55" s="2" t="inlineStr">
        <is>
          <t>HEMI_USDT_PERP</t>
        </is>
      </c>
      <c r="F55" s="2" t="inlineStr">
        <is>
          <t>做空</t>
        </is>
      </c>
      <c r="G55" s="17" t="n">
        <v>0.01431</v>
      </c>
      <c r="H55" s="17" t="n">
        <v>0.0138807</v>
      </c>
      <c r="I55" s="17" t="n">
        <v>0.0150255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46268.16666666666</v>
      </c>
      <c r="C56" s="2" t="inlineStr">
        <is>
          <t>出場</t>
        </is>
      </c>
      <c r="D56" s="2" t="n">
        <v>28</v>
      </c>
      <c r="E56" s="2" t="inlineStr">
        <is>
          <t>HEMI_USDT_PERP</t>
        </is>
      </c>
      <c r="F56" s="2" t="inlineStr">
        <is>
          <t>做空</t>
        </is>
      </c>
      <c r="G56" s="17" t="n">
        <v>0.01431</v>
      </c>
      <c r="H56" s="17" t="n">
        <v>0.0138807</v>
      </c>
      <c r="I56" s="17" t="n">
        <v>0.0150255</v>
      </c>
      <c r="J56" s="17" t="n">
        <v>0.0138807</v>
      </c>
      <c r="K56" s="2" t="inlineStr">
        <is>
          <t>止盈</t>
        </is>
      </c>
      <c r="L56" s="5">
        <f>交易明細!K29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交易明細!L29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46268.25</v>
      </c>
      <c r="C57" s="2" t="inlineStr">
        <is>
          <t>進場</t>
        </is>
      </c>
      <c r="D57" s="2" t="n">
        <v>29</v>
      </c>
      <c r="E57" s="2" t="inlineStr">
        <is>
          <t>MARSCOIN_USDT_PERP</t>
        </is>
      </c>
      <c r="F57" s="2" t="inlineStr">
        <is>
          <t>做空</t>
        </is>
      </c>
      <c r="G57" s="17" t="n">
        <v>0.06269</v>
      </c>
      <c r="H57" s="17" t="n">
        <v>0.0608093</v>
      </c>
      <c r="I57" s="17" t="n">
        <v>0.06582449999999999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46268.29166666666</v>
      </c>
      <c r="C58" s="2" t="inlineStr">
        <is>
          <t>出場</t>
        </is>
      </c>
      <c r="D58" s="2" t="n">
        <v>11</v>
      </c>
      <c r="E58" s="2" t="inlineStr">
        <is>
          <t>PUMP_USDT_PERP</t>
        </is>
      </c>
      <c r="F58" s="2" t="inlineStr">
        <is>
          <t>做空</t>
        </is>
      </c>
      <c r="G58" s="17" t="n">
        <v>0.004146</v>
      </c>
      <c r="H58" s="17" t="n">
        <v>0.00402162</v>
      </c>
      <c r="I58" s="17" t="n">
        <v>0.004353300000000001</v>
      </c>
      <c r="J58" s="17" t="n">
        <v>0.00402162</v>
      </c>
      <c r="K58" s="2" t="inlineStr">
        <is>
          <t>止盈</t>
        </is>
      </c>
      <c r="L58" s="5">
        <f>交易明細!K12</f>
        <v/>
      </c>
      <c r="M58" s="16">
        <f>M23</f>
        <v/>
      </c>
      <c r="N58" s="2">
        <f>N23</f>
        <v/>
      </c>
      <c r="O58" s="16">
        <f>O23</f>
        <v/>
      </c>
      <c r="P58" s="4">
        <f>交易明細!L12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46268.29166666666</v>
      </c>
      <c r="C59" s="2" t="inlineStr">
        <is>
          <t>進場</t>
        </is>
      </c>
      <c r="D59" s="2" t="n">
        <v>30</v>
      </c>
      <c r="E59" s="2" t="inlineStr">
        <is>
          <t>MAGMA_USDT_PERP</t>
        </is>
      </c>
      <c r="F59" s="2" t="inlineStr">
        <is>
          <t>做空</t>
        </is>
      </c>
      <c r="G59" s="17" t="n">
        <v>0.51536</v>
      </c>
      <c r="H59" s="17" t="n">
        <v>0.4998992</v>
      </c>
      <c r="I59" s="17" t="n">
        <v>0.5411280000000001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46268.33333333334</v>
      </c>
      <c r="C60" s="2" t="inlineStr">
        <is>
          <t>出場</t>
        </is>
      </c>
      <c r="D60" s="2" t="n">
        <v>30</v>
      </c>
      <c r="E60" s="2" t="inlineStr">
        <is>
          <t>MAGMA_USDT_PERP</t>
        </is>
      </c>
      <c r="F60" s="2" t="inlineStr">
        <is>
          <t>做空</t>
        </is>
      </c>
      <c r="G60" s="17" t="n">
        <v>0.51536</v>
      </c>
      <c r="H60" s="17" t="n">
        <v>0.4998992</v>
      </c>
      <c r="I60" s="17" t="n">
        <v>0.5411280000000001</v>
      </c>
      <c r="J60" s="17" t="n">
        <v>0.4998992</v>
      </c>
      <c r="K60" s="2" t="inlineStr">
        <is>
          <t>止盈</t>
        </is>
      </c>
      <c r="L60" s="5">
        <f>交易明細!K31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交易明細!L31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46268.33333333334</v>
      </c>
      <c r="C61" s="2" t="inlineStr">
        <is>
          <t>進場</t>
        </is>
      </c>
      <c r="D61" s="2" t="n">
        <v>31</v>
      </c>
      <c r="E61" s="2" t="inlineStr">
        <is>
          <t>LIT_USDT_PERP</t>
        </is>
      </c>
      <c r="F61" s="2" t="inlineStr">
        <is>
          <t>做多</t>
        </is>
      </c>
      <c r="G61" s="17" t="n">
        <v>3.783</v>
      </c>
      <c r="H61" s="17" t="n">
        <v>3.89649</v>
      </c>
      <c r="I61" s="17" t="n">
        <v>3.59385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46268.375</v>
      </c>
      <c r="C62" s="2" t="inlineStr">
        <is>
          <t>出場</t>
        </is>
      </c>
      <c r="D62" s="2" t="n">
        <v>29</v>
      </c>
      <c r="E62" s="2" t="inlineStr">
        <is>
          <t>MARSCOIN_USDT_PERP</t>
        </is>
      </c>
      <c r="F62" s="2" t="inlineStr">
        <is>
          <t>做空</t>
        </is>
      </c>
      <c r="G62" s="17" t="n">
        <v>0.06269</v>
      </c>
      <c r="H62" s="17" t="n">
        <v>0.0608093</v>
      </c>
      <c r="I62" s="17" t="n">
        <v>0.06582449999999999</v>
      </c>
      <c r="J62" s="17" t="n">
        <v>0.0608093</v>
      </c>
      <c r="K62" s="2" t="inlineStr">
        <is>
          <t>止盈</t>
        </is>
      </c>
      <c r="L62" s="5">
        <f>交易明細!K30</f>
        <v/>
      </c>
      <c r="M62" s="16">
        <f>M57</f>
        <v/>
      </c>
      <c r="N62" s="2">
        <f>N57</f>
        <v/>
      </c>
      <c r="O62" s="16">
        <f>O57</f>
        <v/>
      </c>
      <c r="P62" s="4">
        <f>交易明細!L30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46268.375</v>
      </c>
      <c r="C63" s="2" t="inlineStr">
        <is>
          <t>出場</t>
        </is>
      </c>
      <c r="D63" s="2" t="n">
        <v>31</v>
      </c>
      <c r="E63" s="2" t="inlineStr">
        <is>
          <t>LIT_USDT_PERP</t>
        </is>
      </c>
      <c r="F63" s="2" t="inlineStr">
        <is>
          <t>做多</t>
        </is>
      </c>
      <c r="G63" s="17" t="n">
        <v>3.783</v>
      </c>
      <c r="H63" s="17" t="n">
        <v>3.89649</v>
      </c>
      <c r="I63" s="17" t="n">
        <v>3.59385</v>
      </c>
      <c r="J63" s="17" t="n">
        <v>3.89649</v>
      </c>
      <c r="K63" s="2" t="inlineStr">
        <is>
          <t>止盈</t>
        </is>
      </c>
      <c r="L63" s="5">
        <f>交易明細!K32</f>
        <v/>
      </c>
      <c r="M63" s="16">
        <f>M61</f>
        <v/>
      </c>
      <c r="N63" s="2">
        <f>N61</f>
        <v/>
      </c>
      <c r="O63" s="16">
        <f>O61</f>
        <v/>
      </c>
      <c r="P63" s="4">
        <f>交易明細!L32</f>
        <v/>
      </c>
      <c r="Q63" s="10">
        <f>IF(N63="已下單",O63*P63,0)</f>
        <v/>
      </c>
      <c r="R63" s="10">
        <f>R62+Q63</f>
        <v/>
      </c>
      <c r="S63" s="16">
        <f>S62-IF(N63="已下單",M63,0)</f>
        <v/>
      </c>
      <c r="T63" s="16">
        <f>R63-S63</f>
        <v/>
      </c>
      <c r="U63" s="2">
        <f>U62-IF(N63="已下單",1,0)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46268.41666666666</v>
      </c>
      <c r="C64" s="2" t="inlineStr">
        <is>
          <t>進場</t>
        </is>
      </c>
      <c r="D64" s="2" t="n">
        <v>32</v>
      </c>
      <c r="E64" s="2" t="inlineStr">
        <is>
          <t>SKR_USDT_PERP</t>
        </is>
      </c>
      <c r="F64" s="2" t="inlineStr">
        <is>
          <t>做空</t>
        </is>
      </c>
      <c r="G64" s="17" t="n">
        <v>0.022336</v>
      </c>
      <c r="H64" s="17" t="n">
        <v>0.02166592</v>
      </c>
      <c r="I64" s="17" t="n">
        <v>0.0234528</v>
      </c>
      <c r="J64" s="17" t="n"/>
      <c r="K64" s="2" t="n"/>
      <c r="L64" s="5" t="n"/>
      <c r="M64" s="16">
        <f>資金模擬!$B$5*V63</f>
        <v/>
      </c>
      <c r="N64" s="2">
        <f>IF(Z63=1,"已停止",IF(T63&gt;=M64,"已下單","資金不足略過"))</f>
        <v/>
      </c>
      <c r="O64" s="16">
        <f>IF(N64="已下單",M64*資金模擬!$B$7,0)</f>
        <v/>
      </c>
      <c r="P64" s="4" t="n"/>
      <c r="Q64" s="10" t="n">
        <v>0</v>
      </c>
      <c r="R64" s="10">
        <f>R63+Q64</f>
        <v/>
      </c>
      <c r="S64" s="16">
        <f>S63+IF(N64="已下單",M64,0)</f>
        <v/>
      </c>
      <c r="T64" s="16">
        <f>R64-S64</f>
        <v/>
      </c>
      <c r="U64" s="2">
        <f>U63+IF(N64="已下單",1,0)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46268.45833333334</v>
      </c>
      <c r="C65" s="2" t="inlineStr">
        <is>
          <t>出場</t>
        </is>
      </c>
      <c r="D65" s="2" t="n">
        <v>32</v>
      </c>
      <c r="E65" s="2" t="inlineStr">
        <is>
          <t>SKR_USDT_PERP</t>
        </is>
      </c>
      <c r="F65" s="2" t="inlineStr">
        <is>
          <t>做空</t>
        </is>
      </c>
      <c r="G65" s="17" t="n">
        <v>0.022336</v>
      </c>
      <c r="H65" s="17" t="n">
        <v>0.02166592</v>
      </c>
      <c r="I65" s="17" t="n">
        <v>0.0234528</v>
      </c>
      <c r="J65" s="17" t="n">
        <v>0.02166592</v>
      </c>
      <c r="K65" s="2" t="inlineStr">
        <is>
          <t>止盈</t>
        </is>
      </c>
      <c r="L65" s="5">
        <f>交易明細!K33</f>
        <v/>
      </c>
      <c r="M65" s="16">
        <f>M64</f>
        <v/>
      </c>
      <c r="N65" s="2">
        <f>N64</f>
        <v/>
      </c>
      <c r="O65" s="16">
        <f>O64</f>
        <v/>
      </c>
      <c r="P65" s="4">
        <f>交易明細!L33</f>
        <v/>
      </c>
      <c r="Q65" s="10">
        <f>IF(N65="已下單",O65*P65,0)</f>
        <v/>
      </c>
      <c r="R65" s="10">
        <f>R64+Q65</f>
        <v/>
      </c>
      <c r="S65" s="16">
        <f>S64-IF(N65="已下單",M65,0)</f>
        <v/>
      </c>
      <c r="T65" s="16">
        <f>R65-S65</f>
        <v/>
      </c>
      <c r="U65" s="2">
        <f>U64-IF(N65="已下單",1,0)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46268.75</v>
      </c>
      <c r="C66" s="2" t="inlineStr">
        <is>
          <t>出場</t>
        </is>
      </c>
      <c r="D66" s="2" t="n">
        <v>24</v>
      </c>
      <c r="E66" s="2" t="inlineStr">
        <is>
          <t>UNI_USDT_PERP</t>
        </is>
      </c>
      <c r="F66" s="2" t="inlineStr">
        <is>
          <t>做空</t>
        </is>
      </c>
      <c r="G66" s="17" t="n">
        <v>5.744</v>
      </c>
      <c r="H66" s="17" t="n">
        <v>5.57168</v>
      </c>
      <c r="I66" s="17" t="n">
        <v>6.0312</v>
      </c>
      <c r="J66" s="17" t="n">
        <v>6.0312</v>
      </c>
      <c r="K66" s="2" t="inlineStr">
        <is>
          <t>止損</t>
        </is>
      </c>
      <c r="L66" s="5">
        <f>交易明細!K25</f>
        <v/>
      </c>
      <c r="M66" s="16">
        <f>M45</f>
        <v/>
      </c>
      <c r="N66" s="2">
        <f>N45</f>
        <v/>
      </c>
      <c r="O66" s="16">
        <f>O45</f>
        <v/>
      </c>
      <c r="P66" s="4">
        <f>交易明細!L25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46268.75</v>
      </c>
      <c r="C67" s="2" t="inlineStr">
        <is>
          <t>進場</t>
        </is>
      </c>
      <c r="D67" s="2" t="n">
        <v>33</v>
      </c>
      <c r="E67" s="2" t="inlineStr">
        <is>
          <t>HEMI_USDT_PERP</t>
        </is>
      </c>
      <c r="F67" s="2" t="inlineStr">
        <is>
          <t>做多</t>
        </is>
      </c>
      <c r="G67" s="17" t="n">
        <v>0.01608</v>
      </c>
      <c r="H67" s="17" t="n">
        <v>0.0165624</v>
      </c>
      <c r="I67" s="17" t="n">
        <v>0.015276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46268.79166666666</v>
      </c>
      <c r="C68" s="2" t="inlineStr">
        <is>
          <t>出場</t>
        </is>
      </c>
      <c r="D68" s="2" t="n">
        <v>33</v>
      </c>
      <c r="E68" s="2" t="inlineStr">
        <is>
          <t>HEMI_USDT_PERP</t>
        </is>
      </c>
      <c r="F68" s="2" t="inlineStr">
        <is>
          <t>做多</t>
        </is>
      </c>
      <c r="G68" s="17" t="n">
        <v>0.01608</v>
      </c>
      <c r="H68" s="17" t="n">
        <v>0.0165624</v>
      </c>
      <c r="I68" s="17" t="n">
        <v>0.015276</v>
      </c>
      <c r="J68" s="17" t="n">
        <v>0.0165624</v>
      </c>
      <c r="K68" s="2" t="inlineStr">
        <is>
          <t>止盈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46268.83333333334</v>
      </c>
      <c r="C69" s="2" t="inlineStr">
        <is>
          <t>進場</t>
        </is>
      </c>
      <c r="D69" s="2" t="n">
        <v>34</v>
      </c>
      <c r="E69" s="2" t="inlineStr">
        <is>
          <t>LIT_USDT_PERP</t>
        </is>
      </c>
      <c r="F69" s="2" t="inlineStr">
        <is>
          <t>做多</t>
        </is>
      </c>
      <c r="G69" s="17" t="n">
        <v>3.935</v>
      </c>
      <c r="H69" s="17" t="n">
        <v>4.05305</v>
      </c>
      <c r="I69" s="17" t="n">
        <v>3.73825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46268.91666666666</v>
      </c>
      <c r="C70" s="2" t="inlineStr">
        <is>
          <t>進場</t>
        </is>
      </c>
      <c r="D70" s="2" t="n">
        <v>35</v>
      </c>
      <c r="E70" s="2" t="inlineStr">
        <is>
          <t>BTR_USDT_PERP</t>
        </is>
      </c>
      <c r="F70" s="2" t="inlineStr">
        <is>
          <t>做多</t>
        </is>
      </c>
      <c r="G70" s="17" t="n">
        <v>0.04945</v>
      </c>
      <c r="H70" s="17" t="n">
        <v>0.0509335</v>
      </c>
      <c r="I70" s="17" t="n">
        <v>0.0469775</v>
      </c>
      <c r="J70" s="17" t="n"/>
      <c r="K70" s="2" t="n"/>
      <c r="L70" s="5" t="n"/>
      <c r="M70" s="16">
        <f>資金模擬!$B$5*V69</f>
        <v/>
      </c>
      <c r="N70" s="2">
        <f>IF(Z69=1,"已停止",IF(T69&gt;=M70,"已下單","資金不足略過"))</f>
        <v/>
      </c>
      <c r="O70" s="16">
        <f>IF(N70="已下單",M70*資金模擬!$B$7,0)</f>
        <v/>
      </c>
      <c r="P70" s="4" t="n"/>
      <c r="Q70" s="10" t="n">
        <v>0</v>
      </c>
      <c r="R70" s="10">
        <f>R69+Q70</f>
        <v/>
      </c>
      <c r="S70" s="16">
        <f>S69+IF(N70="已下單",M70,0)</f>
        <v/>
      </c>
      <c r="T70" s="16">
        <f>R70-S70</f>
        <v/>
      </c>
      <c r="U70" s="2">
        <f>U69+IF(N70="已下單",1,0)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46269</v>
      </c>
      <c r="C71" s="2" t="inlineStr">
        <is>
          <t>出場</t>
        </is>
      </c>
      <c r="D71" s="2" t="n">
        <v>34</v>
      </c>
      <c r="E71" s="2" t="inlineStr">
        <is>
          <t>LIT_USDT_PERP</t>
        </is>
      </c>
      <c r="F71" s="2" t="inlineStr">
        <is>
          <t>做多</t>
        </is>
      </c>
      <c r="G71" s="17" t="n">
        <v>3.935</v>
      </c>
      <c r="H71" s="17" t="n">
        <v>4.05305</v>
      </c>
      <c r="I71" s="17" t="n">
        <v>3.73825</v>
      </c>
      <c r="J71" s="17" t="n">
        <v>4.05305</v>
      </c>
      <c r="K71" s="2" t="inlineStr">
        <is>
          <t>止盈</t>
        </is>
      </c>
      <c r="L71" s="5">
        <f>交易明細!K35</f>
        <v/>
      </c>
      <c r="M71" s="16">
        <f>M69</f>
        <v/>
      </c>
      <c r="N71" s="2">
        <f>N69</f>
        <v/>
      </c>
      <c r="O71" s="16">
        <f>O69</f>
        <v/>
      </c>
      <c r="P71" s="4">
        <f>交易明細!L35</f>
        <v/>
      </c>
      <c r="Q71" s="10">
        <f>IF(N71="已下單",O71*P71,0)</f>
        <v/>
      </c>
      <c r="R71" s="10">
        <f>R70+Q71</f>
        <v/>
      </c>
      <c r="S71" s="16">
        <f>S70-IF(N71="已下單",M71,0)</f>
        <v/>
      </c>
      <c r="T71" s="16">
        <f>R71-S71</f>
        <v/>
      </c>
      <c r="U71" s="2">
        <f>U70-IF(N71="已下單",1,0)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46269</v>
      </c>
      <c r="C72" s="2" t="inlineStr">
        <is>
          <t>出場</t>
        </is>
      </c>
      <c r="D72" s="2" t="n">
        <v>35</v>
      </c>
      <c r="E72" s="2" t="inlineStr">
        <is>
          <t>BTR_USDT_PERP</t>
        </is>
      </c>
      <c r="F72" s="2" t="inlineStr">
        <is>
          <t>做多</t>
        </is>
      </c>
      <c r="G72" s="17" t="n">
        <v>0.04945</v>
      </c>
      <c r="H72" s="17" t="n">
        <v>0.0509335</v>
      </c>
      <c r="I72" s="17" t="n">
        <v>0.0469775</v>
      </c>
      <c r="J72" s="17" t="n">
        <v>0.0469775</v>
      </c>
      <c r="K72" s="2" t="inlineStr">
        <is>
          <t>止損</t>
        </is>
      </c>
      <c r="L72" s="5">
        <f>交易明細!K36</f>
        <v/>
      </c>
      <c r="M72" s="16">
        <f>M70</f>
        <v/>
      </c>
      <c r="N72" s="2">
        <f>N70</f>
        <v/>
      </c>
      <c r="O72" s="16">
        <f>O70</f>
        <v/>
      </c>
      <c r="P72" s="4">
        <f>交易明細!L36</f>
        <v/>
      </c>
      <c r="Q72" s="10">
        <f>IF(N72="已下單",O72*P72,0)</f>
        <v/>
      </c>
      <c r="R72" s="10">
        <f>R71+Q72</f>
        <v/>
      </c>
      <c r="S72" s="16">
        <f>S71-IF(N72="已下單",M72,0)</f>
        <v/>
      </c>
      <c r="T72" s="16">
        <f>R72-S72</f>
        <v/>
      </c>
      <c r="U72" s="2">
        <f>U71-IF(N72="已下單",1,0)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46269</v>
      </c>
      <c r="C73" s="2" t="inlineStr">
        <is>
          <t>進場</t>
        </is>
      </c>
      <c r="D73" s="2" t="n">
        <v>36</v>
      </c>
      <c r="E73" s="2" t="inlineStr">
        <is>
          <t>HEMI_USDT_PERP</t>
        </is>
      </c>
      <c r="F73" s="2" t="inlineStr">
        <is>
          <t>做多</t>
        </is>
      </c>
      <c r="G73" s="17" t="n">
        <v>0.01679</v>
      </c>
      <c r="H73" s="17" t="n">
        <v>0.0172937</v>
      </c>
      <c r="I73" s="17" t="n">
        <v>0.0159505</v>
      </c>
      <c r="J73" s="17" t="n"/>
      <c r="K73" s="2" t="n"/>
      <c r="L73" s="5" t="n"/>
      <c r="M73" s="16">
        <f>資金模擬!$B$5*V72</f>
        <v/>
      </c>
      <c r="N73" s="2">
        <f>IF(Z72=1,"已停止",IF(T72&gt;=M73,"已下單","資金不足略過"))</f>
        <v/>
      </c>
      <c r="O73" s="16">
        <f>IF(N73="已下單",M73*資金模擬!$B$7,0)</f>
        <v/>
      </c>
      <c r="P73" s="4" t="n"/>
      <c r="Q73" s="10" t="n">
        <v>0</v>
      </c>
      <c r="R73" s="10">
        <f>R72+Q73</f>
        <v/>
      </c>
      <c r="S73" s="16">
        <f>S72+IF(N73="已下單",M73,0)</f>
        <v/>
      </c>
      <c r="T73" s="16">
        <f>R73-S73</f>
        <v/>
      </c>
      <c r="U73" s="2">
        <f>U72+IF(N73="已下單",1,0)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46269.04166666666</v>
      </c>
      <c r="C74" s="2" t="inlineStr">
        <is>
          <t>出場</t>
        </is>
      </c>
      <c r="D74" s="2" t="n">
        <v>36</v>
      </c>
      <c r="E74" s="2" t="inlineStr">
        <is>
          <t>HEMI_USDT_PERP</t>
        </is>
      </c>
      <c r="F74" s="2" t="inlineStr">
        <is>
          <t>做多</t>
        </is>
      </c>
      <c r="G74" s="17" t="n">
        <v>0.01679</v>
      </c>
      <c r="H74" s="17" t="n">
        <v>0.0172937</v>
      </c>
      <c r="I74" s="17" t="n">
        <v>0.0159505</v>
      </c>
      <c r="J74" s="17" t="n">
        <v>0.0159505</v>
      </c>
      <c r="K74" s="2" t="inlineStr">
        <is>
          <t>止損</t>
        </is>
      </c>
      <c r="L74" s="5">
        <f>交易明細!K37</f>
        <v/>
      </c>
      <c r="M74" s="16">
        <f>M73</f>
        <v/>
      </c>
      <c r="N74" s="2">
        <f>N73</f>
        <v/>
      </c>
      <c r="O74" s="16">
        <f>O73</f>
        <v/>
      </c>
      <c r="P74" s="4">
        <f>交易明細!L37</f>
        <v/>
      </c>
      <c r="Q74" s="10">
        <f>IF(N74="已下單",O74*P74,0)</f>
        <v/>
      </c>
      <c r="R74" s="10">
        <f>R73+Q74</f>
        <v/>
      </c>
      <c r="S74" s="16">
        <f>S73-IF(N74="已下單",M74,0)</f>
        <v/>
      </c>
      <c r="T74" s="16">
        <f>R74-S74</f>
        <v/>
      </c>
      <c r="U74" s="2">
        <f>U73-IF(N74="已下單",1,0)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46269.125</v>
      </c>
      <c r="C75" s="2" t="inlineStr">
        <is>
          <t>進場</t>
        </is>
      </c>
      <c r="D75" s="2" t="n">
        <v>37</v>
      </c>
      <c r="E75" s="2" t="inlineStr">
        <is>
          <t>UNI_USDT_PERP</t>
        </is>
      </c>
      <c r="F75" s="2" t="inlineStr">
        <is>
          <t>做多</t>
        </is>
      </c>
      <c r="G75" s="17" t="n">
        <v>6.266</v>
      </c>
      <c r="H75" s="17" t="n">
        <v>6.45398</v>
      </c>
      <c r="I75" s="17" t="n">
        <v>5.9527</v>
      </c>
      <c r="J75" s="17" t="n"/>
      <c r="K75" s="2" t="n"/>
      <c r="L75" s="5" t="n"/>
      <c r="M75" s="16">
        <f>資金模擬!$B$5*V74</f>
        <v/>
      </c>
      <c r="N75" s="2">
        <f>IF(Z74=1,"已停止",IF(T74&gt;=M75,"已下單","資金不足略過"))</f>
        <v/>
      </c>
      <c r="O75" s="16">
        <f>IF(N75="已下單",M75*資金模擬!$B$7,0)</f>
        <v/>
      </c>
      <c r="P75" s="4" t="n"/>
      <c r="Q75" s="10" t="n">
        <v>0</v>
      </c>
      <c r="R75" s="10">
        <f>R74+Q75</f>
        <v/>
      </c>
      <c r="S75" s="16">
        <f>S74+IF(N75="已下單",M75,0)</f>
        <v/>
      </c>
      <c r="T75" s="16">
        <f>R75-S75</f>
        <v/>
      </c>
      <c r="U75" s="2">
        <f>U74+IF(N75="已下單",1,0)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46269.25</v>
      </c>
      <c r="C76" s="2" t="inlineStr">
        <is>
          <t>出場</t>
        </is>
      </c>
      <c r="D76" s="2" t="n">
        <v>37</v>
      </c>
      <c r="E76" s="2" t="inlineStr">
        <is>
          <t>UNI_USDT_PERP</t>
        </is>
      </c>
      <c r="F76" s="2" t="inlineStr">
        <is>
          <t>做多</t>
        </is>
      </c>
      <c r="G76" s="17" t="n">
        <v>6.266</v>
      </c>
      <c r="H76" s="17" t="n">
        <v>6.45398</v>
      </c>
      <c r="I76" s="17" t="n">
        <v>5.9527</v>
      </c>
      <c r="J76" s="17" t="n">
        <v>6.45398</v>
      </c>
      <c r="K76" s="2" t="inlineStr">
        <is>
          <t>止盈</t>
        </is>
      </c>
      <c r="L76" s="5">
        <f>交易明細!K38</f>
        <v/>
      </c>
      <c r="M76" s="16">
        <f>M75</f>
        <v/>
      </c>
      <c r="N76" s="2">
        <f>N75</f>
        <v/>
      </c>
      <c r="O76" s="16">
        <f>O75</f>
        <v/>
      </c>
      <c r="P76" s="4">
        <f>交易明細!L38</f>
        <v/>
      </c>
      <c r="Q76" s="10">
        <f>IF(N76="已下單",O76*P76,0)</f>
        <v/>
      </c>
      <c r="R76" s="10">
        <f>R75+Q76</f>
        <v/>
      </c>
      <c r="S76" s="16">
        <f>S75-IF(N76="已下單",M76,0)</f>
        <v/>
      </c>
      <c r="T76" s="16">
        <f>R76-S76</f>
        <v/>
      </c>
      <c r="U76" s="2">
        <f>U75-IF(N76="已下單",1,0)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46269.29166666666</v>
      </c>
      <c r="C77" s="2" t="inlineStr">
        <is>
          <t>進場</t>
        </is>
      </c>
      <c r="D77" s="2" t="n">
        <v>38</v>
      </c>
      <c r="E77" s="2" t="inlineStr">
        <is>
          <t>PUMP_USDT_PERP</t>
        </is>
      </c>
      <c r="F77" s="2" t="inlineStr">
        <is>
          <t>做空</t>
        </is>
      </c>
      <c r="G77" s="17" t="n">
        <v>0.004273</v>
      </c>
      <c r="H77" s="17" t="n">
        <v>0.00414481</v>
      </c>
      <c r="I77" s="17" t="n">
        <v>0.00448665</v>
      </c>
      <c r="J77" s="17" t="n"/>
      <c r="K77" s="2" t="n"/>
      <c r="L77" s="5" t="n"/>
      <c r="M77" s="16">
        <f>資金模擬!$B$5*V76</f>
        <v/>
      </c>
      <c r="N77" s="2">
        <f>IF(Z76=1,"已停止",IF(T76&gt;=M77,"已下單","資金不足略過"))</f>
        <v/>
      </c>
      <c r="O77" s="16">
        <f>IF(N77="已下單",M77*資金模擬!$B$7,0)</f>
        <v/>
      </c>
      <c r="P77" s="4" t="n"/>
      <c r="Q77" s="10" t="n">
        <v>0</v>
      </c>
      <c r="R77" s="10">
        <f>R76+Q77</f>
        <v/>
      </c>
      <c r="S77" s="16">
        <f>S76+IF(N77="已下單",M77,0)</f>
        <v/>
      </c>
      <c r="T77" s="16">
        <f>R77-S77</f>
        <v/>
      </c>
      <c r="U77" s="2">
        <f>U76+IF(N77="已下單",1,0)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46269.375</v>
      </c>
      <c r="C78" s="2" t="inlineStr">
        <is>
          <t>出場</t>
        </is>
      </c>
      <c r="D78" s="2" t="n">
        <v>38</v>
      </c>
      <c r="E78" s="2" t="inlineStr">
        <is>
          <t>PUMP_USDT_PERP</t>
        </is>
      </c>
      <c r="F78" s="2" t="inlineStr">
        <is>
          <t>做空</t>
        </is>
      </c>
      <c r="G78" s="17" t="n">
        <v>0.004273</v>
      </c>
      <c r="H78" s="17" t="n">
        <v>0.00414481</v>
      </c>
      <c r="I78" s="17" t="n">
        <v>0.00448665</v>
      </c>
      <c r="J78" s="17" t="n">
        <v>0.00414481</v>
      </c>
      <c r="K78" s="2" t="inlineStr">
        <is>
          <t>止盈</t>
        </is>
      </c>
      <c r="L78" s="5">
        <f>交易明細!K39</f>
        <v/>
      </c>
      <c r="M78" s="16">
        <f>M77</f>
        <v/>
      </c>
      <c r="N78" s="2">
        <f>N77</f>
        <v/>
      </c>
      <c r="O78" s="16">
        <f>O77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46269.375</v>
      </c>
      <c r="C79" s="2" t="inlineStr">
        <is>
          <t>進場</t>
        </is>
      </c>
      <c r="D79" s="2" t="n">
        <v>39</v>
      </c>
      <c r="E79" s="2" t="inlineStr">
        <is>
          <t>TRUMP_USDT_PERP</t>
        </is>
      </c>
      <c r="F79" s="2" t="inlineStr">
        <is>
          <t>做空</t>
        </is>
      </c>
      <c r="G79" s="17" t="n">
        <v>2.334</v>
      </c>
      <c r="H79" s="17" t="n">
        <v>2.26398</v>
      </c>
      <c r="I79" s="17" t="n">
        <v>2.4507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46269.58333333334</v>
      </c>
      <c r="C80" s="2" t="inlineStr">
        <is>
          <t>進場</t>
        </is>
      </c>
      <c r="D80" s="2" t="n">
        <v>40</v>
      </c>
      <c r="E80" s="2" t="inlineStr">
        <is>
          <t>UAI_USDT_PERP</t>
        </is>
      </c>
      <c r="F80" s="2" t="inlineStr">
        <is>
          <t>做多</t>
        </is>
      </c>
      <c r="G80" s="17" t="n">
        <v>0.3675</v>
      </c>
      <c r="H80" s="17" t="n">
        <v>0.378525</v>
      </c>
      <c r="I80" s="17" t="n">
        <v>0.349125</v>
      </c>
      <c r="J80" s="17" t="n"/>
      <c r="K80" s="2" t="n"/>
      <c r="L80" s="5" t="n"/>
      <c r="M80" s="16">
        <f>資金模擬!$B$5*V79</f>
        <v/>
      </c>
      <c r="N80" s="2">
        <f>IF(Z79=1,"已停止",IF(T79&gt;=M80,"已下單","資金不足略過"))</f>
        <v/>
      </c>
      <c r="O80" s="16">
        <f>IF(N80="已下單",M80*資金模擬!$B$7,0)</f>
        <v/>
      </c>
      <c r="P80" s="4" t="n"/>
      <c r="Q80" s="10" t="n">
        <v>0</v>
      </c>
      <c r="R80" s="10">
        <f>R79+Q80</f>
        <v/>
      </c>
      <c r="S80" s="16">
        <f>S79+IF(N80="已下單",M80,0)</f>
        <v/>
      </c>
      <c r="T80" s="16">
        <f>R80-S80</f>
        <v/>
      </c>
      <c r="U80" s="2">
        <f>U79+IF(N80="已下單",1,0)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46269.625</v>
      </c>
      <c r="C81" s="2" t="inlineStr">
        <is>
          <t>出場</t>
        </is>
      </c>
      <c r="D81" s="2" t="n">
        <v>40</v>
      </c>
      <c r="E81" s="2" t="inlineStr">
        <is>
          <t>UAI_USDT_PERP</t>
        </is>
      </c>
      <c r="F81" s="2" t="inlineStr">
        <is>
          <t>做多</t>
        </is>
      </c>
      <c r="G81" s="17" t="n">
        <v>0.3675</v>
      </c>
      <c r="H81" s="17" t="n">
        <v>0.378525</v>
      </c>
      <c r="I81" s="17" t="n">
        <v>0.349125</v>
      </c>
      <c r="J81" s="17" t="n">
        <v>0.378525</v>
      </c>
      <c r="K81" s="2" t="inlineStr">
        <is>
          <t>止盈</t>
        </is>
      </c>
      <c r="L81" s="5">
        <f>交易明細!K41</f>
        <v/>
      </c>
      <c r="M81" s="16">
        <f>M80</f>
        <v/>
      </c>
      <c r="N81" s="2">
        <f>N80</f>
        <v/>
      </c>
      <c r="O81" s="16">
        <f>O80</f>
        <v/>
      </c>
      <c r="P81" s="4">
        <f>交易明細!L41</f>
        <v/>
      </c>
      <c r="Q81" s="10">
        <f>IF(N81="已下單",O81*P81,0)</f>
        <v/>
      </c>
      <c r="R81" s="10">
        <f>R80+Q81</f>
        <v/>
      </c>
      <c r="S81" s="16">
        <f>S80-IF(N81="已下單",M81,0)</f>
        <v/>
      </c>
      <c r="T81" s="16">
        <f>R81-S81</f>
        <v/>
      </c>
      <c r="U81" s="2">
        <f>U80-IF(N81="已下單",1,0)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46269.625</v>
      </c>
      <c r="C82" s="2" t="inlineStr">
        <is>
          <t>進場</t>
        </is>
      </c>
      <c r="D82" s="2" t="n">
        <v>41</v>
      </c>
      <c r="E82" s="2" t="inlineStr">
        <is>
          <t>CHIP_USDT_PERP</t>
        </is>
      </c>
      <c r="F82" s="2" t="inlineStr">
        <is>
          <t>做空</t>
        </is>
      </c>
      <c r="G82" s="17" t="n">
        <v>0.0548</v>
      </c>
      <c r="H82" s="17" t="n">
        <v>0.053156</v>
      </c>
      <c r="I82" s="17" t="n">
        <v>0.05754</v>
      </c>
      <c r="J82" s="17" t="n"/>
      <c r="K82" s="2" t="n"/>
      <c r="L82" s="5" t="n"/>
      <c r="M82" s="16">
        <f>資金模擬!$B$5*V81</f>
        <v/>
      </c>
      <c r="N82" s="2">
        <f>IF(Z81=1,"已停止",IF(T81&gt;=M82,"已下單","資金不足略過"))</f>
        <v/>
      </c>
      <c r="O82" s="16">
        <f>IF(N82="已下單",M82*資金模擬!$B$7,0)</f>
        <v/>
      </c>
      <c r="P82" s="4" t="n"/>
      <c r="Q82" s="10" t="n">
        <v>0</v>
      </c>
      <c r="R82" s="10">
        <f>R81+Q82</f>
        <v/>
      </c>
      <c r="S82" s="16">
        <f>S81+IF(N82="已下單",M82,0)</f>
        <v/>
      </c>
      <c r="T82" s="16">
        <f>R82-S82</f>
        <v/>
      </c>
      <c r="U82" s="2">
        <f>U81+IF(N82="已下單",1,0)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46269.66666666666</v>
      </c>
      <c r="C83" s="2" t="inlineStr">
        <is>
          <t>進場</t>
        </is>
      </c>
      <c r="D83" s="2" t="n">
        <v>42</v>
      </c>
      <c r="E83" s="2" t="inlineStr">
        <is>
          <t>PONS_USDT_PERP</t>
        </is>
      </c>
      <c r="F83" s="2" t="inlineStr">
        <is>
          <t>做多</t>
        </is>
      </c>
      <c r="G83" s="17" t="n">
        <v>0.6479</v>
      </c>
      <c r="H83" s="17" t="n">
        <v>0.6673370000000001</v>
      </c>
      <c r="I83" s="17" t="n">
        <v>0.615505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46269.66666666666</v>
      </c>
      <c r="C84" s="2" t="inlineStr">
        <is>
          <t>進場</t>
        </is>
      </c>
      <c r="D84" s="2" t="n">
        <v>43</v>
      </c>
      <c r="E84" s="2" t="inlineStr">
        <is>
          <t>UAI_USDT_PERP</t>
        </is>
      </c>
      <c r="F84" s="2" t="inlineStr">
        <is>
          <t>做空</t>
        </is>
      </c>
      <c r="G84" s="17" t="n">
        <v>0.3446</v>
      </c>
      <c r="H84" s="17" t="n">
        <v>0.334262</v>
      </c>
      <c r="I84" s="17" t="n">
        <v>0.36183</v>
      </c>
      <c r="J84" s="17" t="n"/>
      <c r="K84" s="2" t="n"/>
      <c r="L84" s="5" t="n"/>
      <c r="M84" s="16">
        <f>資金模擬!$B$5*V83</f>
        <v/>
      </c>
      <c r="N84" s="2">
        <f>IF(Z83=1,"已停止",IF(T83&gt;=M84,"已下單","資金不足略過"))</f>
        <v/>
      </c>
      <c r="O84" s="16">
        <f>IF(N84="已下單",M84*資金模擬!$B$7,0)</f>
        <v/>
      </c>
      <c r="P84" s="4" t="n"/>
      <c r="Q84" s="10" t="n">
        <v>0</v>
      </c>
      <c r="R84" s="10">
        <f>R83+Q84</f>
        <v/>
      </c>
      <c r="S84" s="16">
        <f>S83+IF(N84="已下單",M84,0)</f>
        <v/>
      </c>
      <c r="T84" s="16">
        <f>R84-S84</f>
        <v/>
      </c>
      <c r="U84" s="2">
        <f>U83+IF(N84="已下單",1,0)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46269.70833333334</v>
      </c>
      <c r="C85" s="2" t="inlineStr">
        <is>
          <t>出場</t>
        </is>
      </c>
      <c r="D85" s="2" t="n">
        <v>42</v>
      </c>
      <c r="E85" s="2" t="inlineStr">
        <is>
          <t>PONS_USDT_PERP</t>
        </is>
      </c>
      <c r="F85" s="2" t="inlineStr">
        <is>
          <t>做多</t>
        </is>
      </c>
      <c r="G85" s="17" t="n">
        <v>0.6479</v>
      </c>
      <c r="H85" s="17" t="n">
        <v>0.6673370000000001</v>
      </c>
      <c r="I85" s="17" t="n">
        <v>0.615505</v>
      </c>
      <c r="J85" s="17" t="n">
        <v>0.6673370000000001</v>
      </c>
      <c r="K85" s="2" t="inlineStr">
        <is>
          <t>止盈</t>
        </is>
      </c>
      <c r="L85" s="5">
        <f>交易明細!K43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交易明細!L43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46269.70833333334</v>
      </c>
      <c r="C86" s="2" t="inlineStr">
        <is>
          <t>出場</t>
        </is>
      </c>
      <c r="D86" s="2" t="n">
        <v>43</v>
      </c>
      <c r="E86" s="2" t="inlineStr">
        <is>
          <t>UAI_USDT_PERP</t>
        </is>
      </c>
      <c r="F86" s="2" t="inlineStr">
        <is>
          <t>做空</t>
        </is>
      </c>
      <c r="G86" s="17" t="n">
        <v>0.3446</v>
      </c>
      <c r="H86" s="17" t="n">
        <v>0.334262</v>
      </c>
      <c r="I86" s="17" t="n">
        <v>0.36183</v>
      </c>
      <c r="J86" s="17" t="n">
        <v>0.36183</v>
      </c>
      <c r="K86" s="2" t="inlineStr">
        <is>
          <t>止損</t>
        </is>
      </c>
      <c r="L86" s="5">
        <f>交易明細!K44</f>
        <v/>
      </c>
      <c r="M86" s="16">
        <f>M84</f>
        <v/>
      </c>
      <c r="N86" s="2">
        <f>N84</f>
        <v/>
      </c>
      <c r="O86" s="16">
        <f>O84</f>
        <v/>
      </c>
      <c r="P86" s="4">
        <f>交易明細!L44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46269.70833333334</v>
      </c>
      <c r="C87" s="2" t="inlineStr">
        <is>
          <t>進場</t>
        </is>
      </c>
      <c r="D87" s="2" t="n">
        <v>44</v>
      </c>
      <c r="E87" s="2" t="inlineStr">
        <is>
          <t>BULLA_USDT_PERP</t>
        </is>
      </c>
      <c r="F87" s="2" t="inlineStr">
        <is>
          <t>做多</t>
        </is>
      </c>
      <c r="G87" s="17" t="n">
        <v>0.03347</v>
      </c>
      <c r="H87" s="17" t="n">
        <v>0.0344741</v>
      </c>
      <c r="I87" s="17" t="n">
        <v>0.0317965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46269.70833333334</v>
      </c>
      <c r="C88" s="2" t="inlineStr">
        <is>
          <t>進場</t>
        </is>
      </c>
      <c r="D88" s="2" t="n">
        <v>45</v>
      </c>
      <c r="E88" s="2" t="inlineStr">
        <is>
          <t>UNI_USDT_PERP</t>
        </is>
      </c>
      <c r="F88" s="2" t="inlineStr">
        <is>
          <t>做多</t>
        </is>
      </c>
      <c r="G88" s="17" t="n">
        <v>6.366</v>
      </c>
      <c r="H88" s="17" t="n">
        <v>6.55698</v>
      </c>
      <c r="I88" s="17" t="n">
        <v>6.047699999999999</v>
      </c>
      <c r="J88" s="17" t="n"/>
      <c r="K88" s="2" t="n"/>
      <c r="L88" s="5" t="n"/>
      <c r="M88" s="16">
        <f>資金模擬!$B$5*V87</f>
        <v/>
      </c>
      <c r="N88" s="2">
        <f>IF(Z87=1,"已停止",IF(T87&gt;=M88,"已下單","資金不足略過"))</f>
        <v/>
      </c>
      <c r="O88" s="16">
        <f>IF(N88="已下單",M88*資金模擬!$B$7,0)</f>
        <v/>
      </c>
      <c r="P88" s="4" t="n"/>
      <c r="Q88" s="10" t="n">
        <v>0</v>
      </c>
      <c r="R88" s="10">
        <f>R87+Q88</f>
        <v/>
      </c>
      <c r="S88" s="16">
        <f>S87+IF(N88="已下單",M88,0)</f>
        <v/>
      </c>
      <c r="T88" s="16">
        <f>R88-S88</f>
        <v/>
      </c>
      <c r="U88" s="2">
        <f>U87+IF(N88="已下單",1,0)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46269.70833333334</v>
      </c>
      <c r="C89" s="2" t="inlineStr">
        <is>
          <t>進場</t>
        </is>
      </c>
      <c r="D89" s="2" t="n">
        <v>46</v>
      </c>
      <c r="E89" s="2" t="inlineStr">
        <is>
          <t>XPL_USDT_PERP</t>
        </is>
      </c>
      <c r="F89" s="2" t="inlineStr">
        <is>
          <t>做多</t>
        </is>
      </c>
      <c r="G89" s="17" t="n">
        <v>0.096</v>
      </c>
      <c r="H89" s="17" t="n">
        <v>0.09888000000000001</v>
      </c>
      <c r="I89" s="17" t="n">
        <v>0.0912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46269.75</v>
      </c>
      <c r="C90" s="2" t="inlineStr">
        <is>
          <t>出場</t>
        </is>
      </c>
      <c r="D90" s="2" t="n">
        <v>41</v>
      </c>
      <c r="E90" s="2" t="inlineStr">
        <is>
          <t>CHIP_USDT_PERP</t>
        </is>
      </c>
      <c r="F90" s="2" t="inlineStr">
        <is>
          <t>做空</t>
        </is>
      </c>
      <c r="G90" s="17" t="n">
        <v>0.0548</v>
      </c>
      <c r="H90" s="17" t="n">
        <v>0.053156</v>
      </c>
      <c r="I90" s="17" t="n">
        <v>0.05754</v>
      </c>
      <c r="J90" s="17" t="n">
        <v>0.05754</v>
      </c>
      <c r="K90" s="2" t="inlineStr">
        <is>
          <t>止損</t>
        </is>
      </c>
      <c r="L90" s="5">
        <f>交易明細!K42</f>
        <v/>
      </c>
      <c r="M90" s="16">
        <f>M82</f>
        <v/>
      </c>
      <c r="N90" s="2">
        <f>N82</f>
        <v/>
      </c>
      <c r="O90" s="16">
        <f>O82</f>
        <v/>
      </c>
      <c r="P90" s="4">
        <f>交易明細!L42</f>
        <v/>
      </c>
      <c r="Q90" s="10">
        <f>IF(N90="已下單",O90*P90,0)</f>
        <v/>
      </c>
      <c r="R90" s="10">
        <f>R89+Q90</f>
        <v/>
      </c>
      <c r="S90" s="16">
        <f>S89-IF(N90="已下單",M90,0)</f>
        <v/>
      </c>
      <c r="T90" s="16">
        <f>R90-S90</f>
        <v/>
      </c>
      <c r="U90" s="2">
        <f>U89-IF(N90="已下單",1,0)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46269.75</v>
      </c>
      <c r="C91" s="2" t="inlineStr">
        <is>
          <t>出場</t>
        </is>
      </c>
      <c r="D91" s="2" t="n">
        <v>44</v>
      </c>
      <c r="E91" s="2" t="inlineStr">
        <is>
          <t>BULLA_USDT_PERP</t>
        </is>
      </c>
      <c r="F91" s="2" t="inlineStr">
        <is>
          <t>做多</t>
        </is>
      </c>
      <c r="G91" s="17" t="n">
        <v>0.03347</v>
      </c>
      <c r="H91" s="17" t="n">
        <v>0.0344741</v>
      </c>
      <c r="I91" s="17" t="n">
        <v>0.0317965</v>
      </c>
      <c r="J91" s="17" t="n">
        <v>0.0344741</v>
      </c>
      <c r="K91" s="2" t="inlineStr">
        <is>
          <t>止盈</t>
        </is>
      </c>
      <c r="L91" s="5">
        <f>交易明細!K45</f>
        <v/>
      </c>
      <c r="M91" s="16">
        <f>M87</f>
        <v/>
      </c>
      <c r="N91" s="2">
        <f>N87</f>
        <v/>
      </c>
      <c r="O91" s="16">
        <f>O87</f>
        <v/>
      </c>
      <c r="P91" s="4">
        <f>交易明細!L45</f>
        <v/>
      </c>
      <c r="Q91" s="10">
        <f>IF(N91="已下單",O91*P91,0)</f>
        <v/>
      </c>
      <c r="R91" s="10">
        <f>R90+Q91</f>
        <v/>
      </c>
      <c r="S91" s="16">
        <f>S90-IF(N91="已下單",M91,0)</f>
        <v/>
      </c>
      <c r="T91" s="16">
        <f>R91-S91</f>
        <v/>
      </c>
      <c r="U91" s="2">
        <f>U90-IF(N91="已下單",1,0)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46269.75</v>
      </c>
      <c r="C92" s="2" t="inlineStr">
        <is>
          <t>進場</t>
        </is>
      </c>
      <c r="D92" s="2" t="n">
        <v>47</v>
      </c>
      <c r="E92" s="2" t="inlineStr">
        <is>
          <t>ARB_USDT_PERP</t>
        </is>
      </c>
      <c r="F92" s="2" t="inlineStr">
        <is>
          <t>做多</t>
        </is>
      </c>
      <c r="G92" s="17" t="n">
        <v>0.1404</v>
      </c>
      <c r="H92" s="17" t="n">
        <v>0.144612</v>
      </c>
      <c r="I92" s="17" t="n">
        <v>0.13338</v>
      </c>
      <c r="J92" s="17" t="n"/>
      <c r="K92" s="2" t="n"/>
      <c r="L92" s="5" t="n"/>
      <c r="M92" s="16">
        <f>資金模擬!$B$5*V91</f>
        <v/>
      </c>
      <c r="N92" s="2">
        <f>IF(Z91=1,"已停止",IF(T91&gt;=M92,"已下單","資金不足略過"))</f>
        <v/>
      </c>
      <c r="O92" s="16">
        <f>IF(N92="已下單",M92*資金模擬!$B$7,0)</f>
        <v/>
      </c>
      <c r="P92" s="4" t="n"/>
      <c r="Q92" s="10" t="n">
        <v>0</v>
      </c>
      <c r="R92" s="10">
        <f>R91+Q92</f>
        <v/>
      </c>
      <c r="S92" s="16">
        <f>S91+IF(N92="已下單",M92,0)</f>
        <v/>
      </c>
      <c r="T92" s="16">
        <f>R92-S92</f>
        <v/>
      </c>
      <c r="U92" s="2">
        <f>U91+IF(N92="已下單",1,0)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46269.75</v>
      </c>
      <c r="C93" s="2" t="inlineStr">
        <is>
          <t>進場</t>
        </is>
      </c>
      <c r="D93" s="2" t="n">
        <v>48</v>
      </c>
      <c r="E93" s="2" t="inlineStr">
        <is>
          <t>BTR_USDT_PERP</t>
        </is>
      </c>
      <c r="F93" s="2" t="inlineStr">
        <is>
          <t>做多</t>
        </is>
      </c>
      <c r="G93" s="17" t="n">
        <v>0.05138</v>
      </c>
      <c r="H93" s="17" t="n">
        <v>0.0529214</v>
      </c>
      <c r="I93" s="17" t="n">
        <v>0.048811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46269.75</v>
      </c>
      <c r="C94" s="2" t="inlineStr">
        <is>
          <t>進場</t>
        </is>
      </c>
      <c r="D94" s="2" t="n">
        <v>49</v>
      </c>
      <c r="E94" s="2" t="inlineStr">
        <is>
          <t>EDGE_USDT_PERP</t>
        </is>
      </c>
      <c r="F94" s="2" t="inlineStr">
        <is>
          <t>做空</t>
        </is>
      </c>
      <c r="G94" s="17" t="n">
        <v>0.6109</v>
      </c>
      <c r="H94" s="17" t="n">
        <v>0.592573</v>
      </c>
      <c r="I94" s="17" t="n">
        <v>0.641445</v>
      </c>
      <c r="J94" s="17" t="n"/>
      <c r="K94" s="2" t="n"/>
      <c r="L94" s="5" t="n"/>
      <c r="M94" s="16">
        <f>資金模擬!$B$5*V93</f>
        <v/>
      </c>
      <c r="N94" s="2">
        <f>IF(Z93=1,"已停止",IF(T93&gt;=M94,"已下單","資金不足略過"))</f>
        <v/>
      </c>
      <c r="O94" s="16">
        <f>IF(N94="已下單",M94*資金模擬!$B$7,0)</f>
        <v/>
      </c>
      <c r="P94" s="4" t="n"/>
      <c r="Q94" s="10" t="n">
        <v>0</v>
      </c>
      <c r="R94" s="10">
        <f>R93+Q94</f>
        <v/>
      </c>
      <c r="S94" s="16">
        <f>S93+IF(N94="已下單",M94,0)</f>
        <v/>
      </c>
      <c r="T94" s="16">
        <f>R94-S94</f>
        <v/>
      </c>
      <c r="U94" s="2">
        <f>U93+IF(N94="已下單",1,0)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46269.79166666666</v>
      </c>
      <c r="C95" s="2" t="inlineStr">
        <is>
          <t>進場</t>
        </is>
      </c>
      <c r="D95" s="2" t="n">
        <v>50</v>
      </c>
      <c r="E95" s="2" t="inlineStr">
        <is>
          <t>BULLA_USDT_PERP</t>
        </is>
      </c>
      <c r="F95" s="2" t="inlineStr">
        <is>
          <t>做多</t>
        </is>
      </c>
      <c r="G95" s="17" t="n">
        <v>0.03417</v>
      </c>
      <c r="H95" s="17" t="n">
        <v>0.0351951</v>
      </c>
      <c r="I95" s="17" t="n">
        <v>0.0324615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46269.83333333334</v>
      </c>
      <c r="C96" s="2" t="inlineStr">
        <is>
          <t>出場</t>
        </is>
      </c>
      <c r="D96" s="2" t="n">
        <v>46</v>
      </c>
      <c r="E96" s="2" t="inlineStr">
        <is>
          <t>XPL_USDT_PERP</t>
        </is>
      </c>
      <c r="F96" s="2" t="inlineStr">
        <is>
          <t>做多</t>
        </is>
      </c>
      <c r="G96" s="17" t="n">
        <v>0.096</v>
      </c>
      <c r="H96" s="17" t="n">
        <v>0.09888000000000001</v>
      </c>
      <c r="I96" s="17" t="n">
        <v>0.0912</v>
      </c>
      <c r="J96" s="17" t="n">
        <v>0.09888000000000001</v>
      </c>
      <c r="K96" s="2" t="inlineStr">
        <is>
          <t>止盈</t>
        </is>
      </c>
      <c r="L96" s="5">
        <f>交易明細!K47</f>
        <v/>
      </c>
      <c r="M96" s="16">
        <f>M89</f>
        <v/>
      </c>
      <c r="N96" s="2">
        <f>N89</f>
        <v/>
      </c>
      <c r="O96" s="16">
        <f>O89</f>
        <v/>
      </c>
      <c r="P96" s="4">
        <f>交易明細!L47</f>
        <v/>
      </c>
      <c r="Q96" s="10">
        <f>IF(N96="已下單",O96*P96,0)</f>
        <v/>
      </c>
      <c r="R96" s="10">
        <f>R95+Q96</f>
        <v/>
      </c>
      <c r="S96" s="16">
        <f>S95-IF(N96="已下單",M96,0)</f>
        <v/>
      </c>
      <c r="T96" s="16">
        <f>R96-S96</f>
        <v/>
      </c>
      <c r="U96" s="2">
        <f>U95-IF(N96="已下單",1,0)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46269.83333333334</v>
      </c>
      <c r="C97" s="2" t="inlineStr">
        <is>
          <t>出場</t>
        </is>
      </c>
      <c r="D97" s="2" t="n">
        <v>50</v>
      </c>
      <c r="E97" s="2" t="inlineStr">
        <is>
          <t>BULLA_USDT_PERP</t>
        </is>
      </c>
      <c r="F97" s="2" t="inlineStr">
        <is>
          <t>做多</t>
        </is>
      </c>
      <c r="G97" s="17" t="n">
        <v>0.03417</v>
      </c>
      <c r="H97" s="17" t="n">
        <v>0.0351951</v>
      </c>
      <c r="I97" s="17" t="n">
        <v>0.0324615</v>
      </c>
      <c r="J97" s="17" t="n">
        <v>0.0351951</v>
      </c>
      <c r="K97" s="2" t="inlineStr">
        <is>
          <t>止盈</t>
        </is>
      </c>
      <c r="L97" s="5">
        <f>交易明細!K51</f>
        <v/>
      </c>
      <c r="M97" s="16">
        <f>M95</f>
        <v/>
      </c>
      <c r="N97" s="2">
        <f>N95</f>
        <v/>
      </c>
      <c r="O97" s="16">
        <f>O95</f>
        <v/>
      </c>
      <c r="P97" s="4">
        <f>交易明細!L51</f>
        <v/>
      </c>
      <c r="Q97" s="10">
        <f>IF(N97="已下單",O97*P97,0)</f>
        <v/>
      </c>
      <c r="R97" s="10">
        <f>R96+Q97</f>
        <v/>
      </c>
      <c r="S97" s="16">
        <f>S96-IF(N97="已下單",M97,0)</f>
        <v/>
      </c>
      <c r="T97" s="16">
        <f>R97-S97</f>
        <v/>
      </c>
      <c r="U97" s="2">
        <f>U96-IF(N97="已下單",1,0)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46269.875</v>
      </c>
      <c r="C98" s="2" t="inlineStr">
        <is>
          <t>出場</t>
        </is>
      </c>
      <c r="D98" s="2" t="n">
        <v>39</v>
      </c>
      <c r="E98" s="2" t="inlineStr">
        <is>
          <t>TRUMP_USDT_PERP</t>
        </is>
      </c>
      <c r="F98" s="2" t="inlineStr">
        <is>
          <t>做空</t>
        </is>
      </c>
      <c r="G98" s="17" t="n">
        <v>2.334</v>
      </c>
      <c r="H98" s="17" t="n">
        <v>2.26398</v>
      </c>
      <c r="I98" s="17" t="n">
        <v>2.4507</v>
      </c>
      <c r="J98" s="17" t="n">
        <v>2.26398</v>
      </c>
      <c r="K98" s="2" t="inlineStr">
        <is>
          <t>止盈</t>
        </is>
      </c>
      <c r="L98" s="5">
        <f>交易明細!K40</f>
        <v/>
      </c>
      <c r="M98" s="16">
        <f>M79</f>
        <v/>
      </c>
      <c r="N98" s="2">
        <f>N79</f>
        <v/>
      </c>
      <c r="O98" s="16">
        <f>O79</f>
        <v/>
      </c>
      <c r="P98" s="4">
        <f>交易明細!L40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46269.875</v>
      </c>
      <c r="C99" s="2" t="inlineStr">
        <is>
          <t>出場</t>
        </is>
      </c>
      <c r="D99" s="2" t="n">
        <v>47</v>
      </c>
      <c r="E99" s="2" t="inlineStr">
        <is>
          <t>ARB_USDT_PERP</t>
        </is>
      </c>
      <c r="F99" s="2" t="inlineStr">
        <is>
          <t>做多</t>
        </is>
      </c>
      <c r="G99" s="17" t="n">
        <v>0.1404</v>
      </c>
      <c r="H99" s="17" t="n">
        <v>0.144612</v>
      </c>
      <c r="I99" s="17" t="n">
        <v>0.13338</v>
      </c>
      <c r="J99" s="17" t="n">
        <v>0.13338</v>
      </c>
      <c r="K99" s="2" t="inlineStr">
        <is>
          <t>止損</t>
        </is>
      </c>
      <c r="L99" s="5">
        <f>交易明細!K48</f>
        <v/>
      </c>
      <c r="M99" s="16">
        <f>M92</f>
        <v/>
      </c>
      <c r="N99" s="2">
        <f>N92</f>
        <v/>
      </c>
      <c r="O99" s="16">
        <f>O92</f>
        <v/>
      </c>
      <c r="P99" s="4">
        <f>交易明細!L48</f>
        <v/>
      </c>
      <c r="Q99" s="10">
        <f>IF(N99="已下單",O99*P99,0)</f>
        <v/>
      </c>
      <c r="R99" s="10">
        <f>R98+Q99</f>
        <v/>
      </c>
      <c r="S99" s="16">
        <f>S98-IF(N99="已下單",M99,0)</f>
        <v/>
      </c>
      <c r="T99" s="16">
        <f>R99-S99</f>
        <v/>
      </c>
      <c r="U99" s="2">
        <f>U98-IF(N99="已下單",1,0)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46269.875</v>
      </c>
      <c r="C100" s="2" t="inlineStr">
        <is>
          <t>出場</t>
        </is>
      </c>
      <c r="D100" s="2" t="n">
        <v>48</v>
      </c>
      <c r="E100" s="2" t="inlineStr">
        <is>
          <t>BTR_USDT_PERP</t>
        </is>
      </c>
      <c r="F100" s="2" t="inlineStr">
        <is>
          <t>做多</t>
        </is>
      </c>
      <c r="G100" s="17" t="n">
        <v>0.05138</v>
      </c>
      <c r="H100" s="17" t="n">
        <v>0.0529214</v>
      </c>
      <c r="I100" s="17" t="n">
        <v>0.048811</v>
      </c>
      <c r="J100" s="17" t="n">
        <v>0.048811</v>
      </c>
      <c r="K100" s="2" t="inlineStr">
        <is>
          <t>止損</t>
        </is>
      </c>
      <c r="L100" s="5">
        <f>交易明細!K49</f>
        <v/>
      </c>
      <c r="M100" s="16">
        <f>M93</f>
        <v/>
      </c>
      <c r="N100" s="2">
        <f>N93</f>
        <v/>
      </c>
      <c r="O100" s="16">
        <f>O93</f>
        <v/>
      </c>
      <c r="P100" s="4">
        <f>交易明細!L49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46269.875</v>
      </c>
      <c r="C101" s="2" t="inlineStr">
        <is>
          <t>出場</t>
        </is>
      </c>
      <c r="D101" s="2" t="n">
        <v>49</v>
      </c>
      <c r="E101" s="2" t="inlineStr">
        <is>
          <t>EDGE_USDT_PERP</t>
        </is>
      </c>
      <c r="F101" s="2" t="inlineStr">
        <is>
          <t>做空</t>
        </is>
      </c>
      <c r="G101" s="17" t="n">
        <v>0.6109</v>
      </c>
      <c r="H101" s="17" t="n">
        <v>0.592573</v>
      </c>
      <c r="I101" s="17" t="n">
        <v>0.641445</v>
      </c>
      <c r="J101" s="17" t="n">
        <v>0.641445</v>
      </c>
      <c r="K101" s="2" t="inlineStr">
        <is>
          <t>止損</t>
        </is>
      </c>
      <c r="L101" s="5">
        <f>交易明細!K50</f>
        <v/>
      </c>
      <c r="M101" s="16">
        <f>M94</f>
        <v/>
      </c>
      <c r="N101" s="2">
        <f>N94</f>
        <v/>
      </c>
      <c r="O101" s="16">
        <f>O94</f>
        <v/>
      </c>
      <c r="P101" s="4">
        <f>交易明細!L50</f>
        <v/>
      </c>
      <c r="Q101" s="10">
        <f>IF(N101="已下單",O101*P101,0)</f>
        <v/>
      </c>
      <c r="R101" s="10">
        <f>R100+Q101</f>
        <v/>
      </c>
      <c r="S101" s="16">
        <f>S100-IF(N101="已下單",M101,0)</f>
        <v/>
      </c>
      <c r="T101" s="16">
        <f>R101-S101</f>
        <v/>
      </c>
      <c r="U101" s="2">
        <f>U100-IF(N101="已下單",1,0)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46269.875</v>
      </c>
      <c r="C102" s="2" t="inlineStr">
        <is>
          <t>進場</t>
        </is>
      </c>
      <c r="D102" s="2" t="n">
        <v>51</v>
      </c>
      <c r="E102" s="2" t="inlineStr">
        <is>
          <t>ENA_USDT_PERP</t>
        </is>
      </c>
      <c r="F102" s="2" t="inlineStr">
        <is>
          <t>做空</t>
        </is>
      </c>
      <c r="G102" s="17" t="n">
        <v>0.1636</v>
      </c>
      <c r="H102" s="17" t="n">
        <v>0.158692</v>
      </c>
      <c r="I102" s="17" t="n">
        <v>0.17178</v>
      </c>
      <c r="J102" s="17" t="n"/>
      <c r="K102" s="2" t="n"/>
      <c r="L102" s="5" t="n"/>
      <c r="M102" s="16">
        <f>資金模擬!$B$5*V101</f>
        <v/>
      </c>
      <c r="N102" s="2">
        <f>IF(Z101=1,"已停止",IF(T101&gt;=M102,"已下單","資金不足略過"))</f>
        <v/>
      </c>
      <c r="O102" s="16">
        <f>IF(N102="已下單",M102*資金模擬!$B$7,0)</f>
        <v/>
      </c>
      <c r="P102" s="4" t="n"/>
      <c r="Q102" s="10" t="n">
        <v>0</v>
      </c>
      <c r="R102" s="10">
        <f>R101+Q102</f>
        <v/>
      </c>
      <c r="S102" s="16">
        <f>S101+IF(N102="已下單",M102,0)</f>
        <v/>
      </c>
      <c r="T102" s="16">
        <f>R102-S102</f>
        <v/>
      </c>
      <c r="U102" s="2">
        <f>U101+IF(N102="已下單",1,0)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46269.875</v>
      </c>
      <c r="C103" s="2" t="inlineStr">
        <is>
          <t>進場</t>
        </is>
      </c>
      <c r="D103" s="2" t="n">
        <v>52</v>
      </c>
      <c r="E103" s="2" t="inlineStr">
        <is>
          <t>PENGU_USDT_PERP</t>
        </is>
      </c>
      <c r="F103" s="2" t="inlineStr">
        <is>
          <t>做空</t>
        </is>
      </c>
      <c r="G103" s="17" t="n">
        <v>0.008347</v>
      </c>
      <c r="H103" s="17" t="n">
        <v>0.008096590000000001</v>
      </c>
      <c r="I103" s="17" t="n">
        <v>0.008764350000000001</v>
      </c>
      <c r="J103" s="17" t="n"/>
      <c r="K103" s="2" t="n"/>
      <c r="L103" s="5" t="n"/>
      <c r="M103" s="16">
        <f>資金模擬!$B$5*V102</f>
        <v/>
      </c>
      <c r="N103" s="2">
        <f>IF(Z102=1,"已停止",IF(T102&gt;=M103,"已下單","資金不足略過"))</f>
        <v/>
      </c>
      <c r="O103" s="16">
        <f>IF(N103="已下單",M103*資金模擬!$B$7,0)</f>
        <v/>
      </c>
      <c r="P103" s="4" t="n"/>
      <c r="Q103" s="10" t="n">
        <v>0</v>
      </c>
      <c r="R103" s="10">
        <f>R102+Q103</f>
        <v/>
      </c>
      <c r="S103" s="16">
        <f>S102+IF(N103="已下單",M103,0)</f>
        <v/>
      </c>
      <c r="T103" s="16">
        <f>R103-S103</f>
        <v/>
      </c>
      <c r="U103" s="2">
        <f>U102+IF(N103="已下單",1,0)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46269.875</v>
      </c>
      <c r="C104" s="2" t="inlineStr">
        <is>
          <t>進場</t>
        </is>
      </c>
      <c r="D104" s="2" t="n">
        <v>53</v>
      </c>
      <c r="E104" s="2" t="inlineStr">
        <is>
          <t>PUMP_USDT_PERP</t>
        </is>
      </c>
      <c r="F104" s="2" t="inlineStr">
        <is>
          <t>做空</t>
        </is>
      </c>
      <c r="G104" s="17" t="n">
        <v>0.004101</v>
      </c>
      <c r="H104" s="17" t="n">
        <v>0.00397797</v>
      </c>
      <c r="I104" s="17" t="n">
        <v>0.00430605</v>
      </c>
      <c r="J104" s="17" t="n"/>
      <c r="K104" s="2" t="n"/>
      <c r="L104" s="5" t="n"/>
      <c r="M104" s="16">
        <f>資金模擬!$B$5*V103</f>
        <v/>
      </c>
      <c r="N104" s="2">
        <f>IF(Z103=1,"已停止",IF(T103&gt;=M104,"已下單","資金不足略過"))</f>
        <v/>
      </c>
      <c r="O104" s="16">
        <f>IF(N104="已下單",M104*資金模擬!$B$7,0)</f>
        <v/>
      </c>
      <c r="P104" s="4" t="n"/>
      <c r="Q104" s="10" t="n">
        <v>0</v>
      </c>
      <c r="R104" s="10">
        <f>R103+Q104</f>
        <v/>
      </c>
      <c r="S104" s="16">
        <f>S103+IF(N104="已下單",M104,0)</f>
        <v/>
      </c>
      <c r="T104" s="16">
        <f>R104-S104</f>
        <v/>
      </c>
      <c r="U104" s="2">
        <f>U103+IF(N104="已下單",1,0)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46269.875</v>
      </c>
      <c r="C105" s="2" t="inlineStr">
        <is>
          <t>進場</t>
        </is>
      </c>
      <c r="D105" s="2" t="n">
        <v>54</v>
      </c>
      <c r="E105" s="2" t="inlineStr">
        <is>
          <t>XPL_USDT_PERP</t>
        </is>
      </c>
      <c r="F105" s="2" t="inlineStr">
        <is>
          <t>做空</t>
        </is>
      </c>
      <c r="G105" s="17" t="n">
        <v>0.092</v>
      </c>
      <c r="H105" s="17" t="n">
        <v>0.08924</v>
      </c>
      <c r="I105" s="17" t="n">
        <v>0.09660000000000001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46269.91666666666</v>
      </c>
      <c r="C106" s="2" t="inlineStr">
        <is>
          <t>出場</t>
        </is>
      </c>
      <c r="D106" s="2" t="n">
        <v>45</v>
      </c>
      <c r="E106" s="2" t="inlineStr">
        <is>
          <t>UNI_USDT_PERP</t>
        </is>
      </c>
      <c r="F106" s="2" t="inlineStr">
        <is>
          <t>做多</t>
        </is>
      </c>
      <c r="G106" s="17" t="n">
        <v>6.366</v>
      </c>
      <c r="H106" s="17" t="n">
        <v>6.55698</v>
      </c>
      <c r="I106" s="17" t="n">
        <v>6.047699999999999</v>
      </c>
      <c r="J106" s="17" t="n">
        <v>6.047699999999999</v>
      </c>
      <c r="K106" s="2" t="inlineStr">
        <is>
          <t>止損</t>
        </is>
      </c>
      <c r="L106" s="5">
        <f>交易明細!K46</f>
        <v/>
      </c>
      <c r="M106" s="16">
        <f>M88</f>
        <v/>
      </c>
      <c r="N106" s="2">
        <f>N88</f>
        <v/>
      </c>
      <c r="O106" s="16">
        <f>O88</f>
        <v/>
      </c>
      <c r="P106" s="4">
        <f>交易明細!L46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46269.91666666666</v>
      </c>
      <c r="C107" s="2" t="inlineStr">
        <is>
          <t>出場</t>
        </is>
      </c>
      <c r="D107" s="2" t="n">
        <v>53</v>
      </c>
      <c r="E107" s="2" t="inlineStr">
        <is>
          <t>PUMP_USDT_PERP</t>
        </is>
      </c>
      <c r="F107" s="2" t="inlineStr">
        <is>
          <t>做空</t>
        </is>
      </c>
      <c r="G107" s="17" t="n">
        <v>0.004101</v>
      </c>
      <c r="H107" s="17" t="n">
        <v>0.00397797</v>
      </c>
      <c r="I107" s="17" t="n">
        <v>0.00430605</v>
      </c>
      <c r="J107" s="17" t="n">
        <v>0.00430605</v>
      </c>
      <c r="K107" s="2" t="inlineStr">
        <is>
          <t>止損</t>
        </is>
      </c>
      <c r="L107" s="5">
        <f>交易明細!K54</f>
        <v/>
      </c>
      <c r="M107" s="16">
        <f>M104</f>
        <v/>
      </c>
      <c r="N107" s="2">
        <f>N104</f>
        <v/>
      </c>
      <c r="O107" s="16">
        <f>O104</f>
        <v/>
      </c>
      <c r="P107" s="4">
        <f>交易明細!L54</f>
        <v/>
      </c>
      <c r="Q107" s="10">
        <f>IF(N107="已下單",O107*P107,0)</f>
        <v/>
      </c>
      <c r="R107" s="10">
        <f>R106+Q107</f>
        <v/>
      </c>
      <c r="S107" s="16">
        <f>S106-IF(N107="已下單",M107,0)</f>
        <v/>
      </c>
      <c r="T107" s="16">
        <f>R107-S107</f>
        <v/>
      </c>
      <c r="U107" s="2">
        <f>U106-IF(N107="已下單",1,0)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46269.95833333334</v>
      </c>
      <c r="C108" s="2" t="inlineStr">
        <is>
          <t>進場</t>
        </is>
      </c>
      <c r="D108" s="2" t="n">
        <v>55</v>
      </c>
      <c r="E108" s="2" t="inlineStr">
        <is>
          <t>ARB_USDT_PERP</t>
        </is>
      </c>
      <c r="F108" s="2" t="inlineStr">
        <is>
          <t>做空</t>
        </is>
      </c>
      <c r="G108" s="17" t="n">
        <v>0.1319</v>
      </c>
      <c r="H108" s="17" t="n">
        <v>0.127943</v>
      </c>
      <c r="I108" s="17" t="n">
        <v>0.138495</v>
      </c>
      <c r="J108" s="17" t="n"/>
      <c r="K108" s="2" t="n"/>
      <c r="L108" s="5" t="n"/>
      <c r="M108" s="16">
        <f>資金模擬!$B$5*V107</f>
        <v/>
      </c>
      <c r="N108" s="2">
        <f>IF(Z107=1,"已停止",IF(T107&gt;=M108,"已下單","資金不足略過"))</f>
        <v/>
      </c>
      <c r="O108" s="16">
        <f>IF(N108="已下單",M108*資金模擬!$B$7,0)</f>
        <v/>
      </c>
      <c r="P108" s="4" t="n"/>
      <c r="Q108" s="10" t="n">
        <v>0</v>
      </c>
      <c r="R108" s="10">
        <f>R107+Q108</f>
        <v/>
      </c>
      <c r="S108" s="16">
        <f>S107+IF(N108="已下單",M108,0)</f>
        <v/>
      </c>
      <c r="T108" s="16">
        <f>R108-S108</f>
        <v/>
      </c>
      <c r="U108" s="2">
        <f>U107+IF(N108="已下單",1,0)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46269.95833333334</v>
      </c>
      <c r="C109" s="2" t="inlineStr">
        <is>
          <t>進場</t>
        </is>
      </c>
      <c r="D109" s="2" t="n">
        <v>56</v>
      </c>
      <c r="E109" s="2" t="inlineStr">
        <is>
          <t>BTR_USDT_PERP</t>
        </is>
      </c>
      <c r="F109" s="2" t="inlineStr">
        <is>
          <t>做多</t>
        </is>
      </c>
      <c r="G109" s="17" t="n">
        <v>0.05085</v>
      </c>
      <c r="H109" s="17" t="n">
        <v>0.0523755</v>
      </c>
      <c r="I109" s="17" t="n">
        <v>0.0483075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46269.95833333334</v>
      </c>
      <c r="C110" s="2" t="inlineStr">
        <is>
          <t>進場</t>
        </is>
      </c>
      <c r="D110" s="2" t="n">
        <v>57</v>
      </c>
      <c r="E110" s="2" t="inlineStr">
        <is>
          <t>EDGE_USDT_PERP</t>
        </is>
      </c>
      <c r="F110" s="2" t="inlineStr">
        <is>
          <t>做空</t>
        </is>
      </c>
      <c r="G110" s="17" t="n">
        <v>0.6034</v>
      </c>
      <c r="H110" s="17" t="n">
        <v>0.585298</v>
      </c>
      <c r="I110" s="17" t="n">
        <v>0.6335700000000001</v>
      </c>
      <c r="J110" s="17" t="n"/>
      <c r="K110" s="2" t="n"/>
      <c r="L110" s="5" t="n"/>
      <c r="M110" s="16">
        <f>資金模擬!$B$5*V109</f>
        <v/>
      </c>
      <c r="N110" s="2">
        <f>IF(Z109=1,"已停止",IF(T109&gt;=M110,"已下單","資金不足略過"))</f>
        <v/>
      </c>
      <c r="O110" s="16">
        <f>IF(N110="已下單",M110*資金模擬!$B$7,0)</f>
        <v/>
      </c>
      <c r="P110" s="4" t="n"/>
      <c r="Q110" s="10" t="n">
        <v>0</v>
      </c>
      <c r="R110" s="10">
        <f>R109+Q110</f>
        <v/>
      </c>
      <c r="S110" s="16">
        <f>S109+IF(N110="已下單",M110,0)</f>
        <v/>
      </c>
      <c r="T110" s="16">
        <f>R110-S110</f>
        <v/>
      </c>
      <c r="U110" s="2">
        <f>U109+IF(N110="已下單",1,0)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46269.95833333334</v>
      </c>
      <c r="C111" s="2" t="inlineStr">
        <is>
          <t>進場</t>
        </is>
      </c>
      <c r="D111" s="2" t="n">
        <v>58</v>
      </c>
      <c r="E111" s="2" t="inlineStr">
        <is>
          <t>FARTCOIN_USDT_PERP</t>
        </is>
      </c>
      <c r="F111" s="2" t="inlineStr">
        <is>
          <t>做空</t>
        </is>
      </c>
      <c r="G111" s="17" t="n">
        <v>0.1626</v>
      </c>
      <c r="H111" s="17" t="n">
        <v>0.157722</v>
      </c>
      <c r="I111" s="17" t="n">
        <v>0.17073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46269.95833333334</v>
      </c>
      <c r="C112" s="2" t="inlineStr">
        <is>
          <t>進場</t>
        </is>
      </c>
      <c r="D112" s="2" t="n">
        <v>59</v>
      </c>
      <c r="E112" s="2" t="inlineStr">
        <is>
          <t>PUMP_USDT_PERP</t>
        </is>
      </c>
      <c r="F112" s="2" t="inlineStr">
        <is>
          <t>做空</t>
        </is>
      </c>
      <c r="G112" s="17" t="n">
        <v>0.004196</v>
      </c>
      <c r="H112" s="17" t="n">
        <v>0.00407012</v>
      </c>
      <c r="I112" s="17" t="n">
        <v>0.004405800000000001</v>
      </c>
      <c r="J112" s="17" t="n"/>
      <c r="K112" s="2" t="n"/>
      <c r="L112" s="5" t="n"/>
      <c r="M112" s="16">
        <f>資金模擬!$B$5*V111</f>
        <v/>
      </c>
      <c r="N112" s="2">
        <f>IF(Z111=1,"已停止",IF(T111&gt;=M112,"已下單","資金不足略過"))</f>
        <v/>
      </c>
      <c r="O112" s="16">
        <f>IF(N112="已下單",M112*資金模擬!$B$7,0)</f>
        <v/>
      </c>
      <c r="P112" s="4" t="n"/>
      <c r="Q112" s="10" t="n">
        <v>0</v>
      </c>
      <c r="R112" s="10">
        <f>R111+Q112</f>
        <v/>
      </c>
      <c r="S112" s="16">
        <f>S111+IF(N112="已下單",M112,0)</f>
        <v/>
      </c>
      <c r="T112" s="16">
        <f>R112-S112</f>
        <v/>
      </c>
      <c r="U112" s="2">
        <f>U111+IF(N112="已下單",1,0)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46270.04166666666</v>
      </c>
      <c r="C113" s="2" t="inlineStr">
        <is>
          <t>出場</t>
        </is>
      </c>
      <c r="D113" s="2" t="n">
        <v>57</v>
      </c>
      <c r="E113" s="2" t="inlineStr">
        <is>
          <t>EDGE_USDT_PERP</t>
        </is>
      </c>
      <c r="F113" s="2" t="inlineStr">
        <is>
          <t>做空</t>
        </is>
      </c>
      <c r="G113" s="17" t="n">
        <v>0.6034</v>
      </c>
      <c r="H113" s="17" t="n">
        <v>0.585298</v>
      </c>
      <c r="I113" s="17" t="n">
        <v>0.6335700000000001</v>
      </c>
      <c r="J113" s="17" t="n">
        <v>0.585298</v>
      </c>
      <c r="K113" s="2" t="inlineStr">
        <is>
          <t>止盈</t>
        </is>
      </c>
      <c r="L113" s="5">
        <f>交易明細!K58</f>
        <v/>
      </c>
      <c r="M113" s="16">
        <f>M110</f>
        <v/>
      </c>
      <c r="N113" s="2">
        <f>N110</f>
        <v/>
      </c>
      <c r="O113" s="16">
        <f>O110</f>
        <v/>
      </c>
      <c r="P113" s="4">
        <f>交易明細!L58</f>
        <v/>
      </c>
      <c r="Q113" s="10">
        <f>IF(N113="已下單",O113*P113,0)</f>
        <v/>
      </c>
      <c r="R113" s="10">
        <f>R112+Q113</f>
        <v/>
      </c>
      <c r="S113" s="16">
        <f>S112-IF(N113="已下單",M113,0)</f>
        <v/>
      </c>
      <c r="T113" s="16">
        <f>R113-S113</f>
        <v/>
      </c>
      <c r="U113" s="2">
        <f>U112-IF(N113="已下單",1,0)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46270.04166666666</v>
      </c>
      <c r="C114" s="2" t="inlineStr">
        <is>
          <t>出場</t>
        </is>
      </c>
      <c r="D114" s="2" t="n">
        <v>59</v>
      </c>
      <c r="E114" s="2" t="inlineStr">
        <is>
          <t>PUMP_USDT_PERP</t>
        </is>
      </c>
      <c r="F114" s="2" t="inlineStr">
        <is>
          <t>做空</t>
        </is>
      </c>
      <c r="G114" s="17" t="n">
        <v>0.004196</v>
      </c>
      <c r="H114" s="17" t="n">
        <v>0.00407012</v>
      </c>
      <c r="I114" s="17" t="n">
        <v>0.004405800000000001</v>
      </c>
      <c r="J114" s="17" t="n">
        <v>0.004405800000000001</v>
      </c>
      <c r="K114" s="2" t="inlineStr">
        <is>
          <t>止損</t>
        </is>
      </c>
      <c r="L114" s="5">
        <f>交易明細!K60</f>
        <v/>
      </c>
      <c r="M114" s="16">
        <f>M112</f>
        <v/>
      </c>
      <c r="N114" s="2">
        <f>N112</f>
        <v/>
      </c>
      <c r="O114" s="16">
        <f>O112</f>
        <v/>
      </c>
      <c r="P114" s="4">
        <f>交易明細!L60</f>
        <v/>
      </c>
      <c r="Q114" s="10">
        <f>IF(N114="已下單",O114*P114,0)</f>
        <v/>
      </c>
      <c r="R114" s="10">
        <f>R113+Q114</f>
        <v/>
      </c>
      <c r="S114" s="16">
        <f>S113-IF(N114="已下單",M114,0)</f>
        <v/>
      </c>
      <c r="T114" s="16">
        <f>R114-S114</f>
        <v/>
      </c>
      <c r="U114" s="2">
        <f>U113-IF(N114="已下單",1,0)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46270.04166666666</v>
      </c>
      <c r="C115" s="2" t="inlineStr">
        <is>
          <t>進場</t>
        </is>
      </c>
      <c r="D115" s="2" t="n">
        <v>60</v>
      </c>
      <c r="E115" s="2" t="inlineStr">
        <is>
          <t>USELESS_USDT_PERP</t>
        </is>
      </c>
      <c r="F115" s="2" t="inlineStr">
        <is>
          <t>做多</t>
        </is>
      </c>
      <c r="G115" s="17" t="n">
        <v>0.23932</v>
      </c>
      <c r="H115" s="17" t="n">
        <v>0.2464996</v>
      </c>
      <c r="I115" s="17" t="n">
        <v>0.227354</v>
      </c>
      <c r="J115" s="17" t="n"/>
      <c r="K115" s="2" t="n"/>
      <c r="L115" s="5" t="n"/>
      <c r="M115" s="16">
        <f>資金模擬!$B$5*V114</f>
        <v/>
      </c>
      <c r="N115" s="2">
        <f>IF(Z114=1,"已停止",IF(T114&gt;=M115,"已下單","資金不足略過"))</f>
        <v/>
      </c>
      <c r="O115" s="16">
        <f>IF(N115="已下單",M115*資金模擬!$B$7,0)</f>
        <v/>
      </c>
      <c r="P115" s="4" t="n"/>
      <c r="Q115" s="10" t="n">
        <v>0</v>
      </c>
      <c r="R115" s="10">
        <f>R114+Q115</f>
        <v/>
      </c>
      <c r="S115" s="16">
        <f>S114+IF(N115="已下單",M115,0)</f>
        <v/>
      </c>
      <c r="T115" s="16">
        <f>R115-S115</f>
        <v/>
      </c>
      <c r="U115" s="2">
        <f>U114+IF(N115="已下單",1,0)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46270.125</v>
      </c>
      <c r="C116" s="2" t="inlineStr">
        <is>
          <t>出場</t>
        </is>
      </c>
      <c r="D116" s="2" t="n">
        <v>60</v>
      </c>
      <c r="E116" s="2" t="inlineStr">
        <is>
          <t>USELESS_USDT_PERP</t>
        </is>
      </c>
      <c r="F116" s="2" t="inlineStr">
        <is>
          <t>做多</t>
        </is>
      </c>
      <c r="G116" s="17" t="n">
        <v>0.23932</v>
      </c>
      <c r="H116" s="17" t="n">
        <v>0.2464996</v>
      </c>
      <c r="I116" s="17" t="n">
        <v>0.227354</v>
      </c>
      <c r="J116" s="17" t="n">
        <v>0.2464996</v>
      </c>
      <c r="K116" s="2" t="inlineStr">
        <is>
          <t>止盈</t>
        </is>
      </c>
      <c r="L116" s="5">
        <f>交易明細!K61</f>
        <v/>
      </c>
      <c r="M116" s="16">
        <f>M115</f>
        <v/>
      </c>
      <c r="N116" s="2">
        <f>N115</f>
        <v/>
      </c>
      <c r="O116" s="16">
        <f>O115</f>
        <v/>
      </c>
      <c r="P116" s="4">
        <f>交易明細!L61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46270.125</v>
      </c>
      <c r="C117" s="2" t="inlineStr">
        <is>
          <t>進場</t>
        </is>
      </c>
      <c r="D117" s="2" t="n">
        <v>61</v>
      </c>
      <c r="E117" s="2" t="inlineStr">
        <is>
          <t>TRIA_USDT_PERP</t>
        </is>
      </c>
      <c r="F117" s="2" t="inlineStr">
        <is>
          <t>做多</t>
        </is>
      </c>
      <c r="G117" s="17" t="n">
        <v>0.0049</v>
      </c>
      <c r="H117" s="17" t="n">
        <v>0.005047</v>
      </c>
      <c r="I117" s="17" t="n">
        <v>0.004654999999999999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46270.16666666666</v>
      </c>
      <c r="C118" s="2" t="inlineStr">
        <is>
          <t>出場</t>
        </is>
      </c>
      <c r="D118" s="2" t="n">
        <v>56</v>
      </c>
      <c r="E118" s="2" t="inlineStr">
        <is>
          <t>BTR_USDT_PERP</t>
        </is>
      </c>
      <c r="F118" s="2" t="inlineStr">
        <is>
          <t>做多</t>
        </is>
      </c>
      <c r="G118" s="17" t="n">
        <v>0.05085</v>
      </c>
      <c r="H118" s="17" t="n">
        <v>0.0523755</v>
      </c>
      <c r="I118" s="17" t="n">
        <v>0.0483075</v>
      </c>
      <c r="J118" s="17" t="n">
        <v>0.0523755</v>
      </c>
      <c r="K118" s="2" t="inlineStr">
        <is>
          <t>止盈</t>
        </is>
      </c>
      <c r="L118" s="5">
        <f>交易明細!K57</f>
        <v/>
      </c>
      <c r="M118" s="16">
        <f>M109</f>
        <v/>
      </c>
      <c r="N118" s="2">
        <f>N109</f>
        <v/>
      </c>
      <c r="O118" s="16">
        <f>O109</f>
        <v/>
      </c>
      <c r="P118" s="4">
        <f>交易明細!L57</f>
        <v/>
      </c>
      <c r="Q118" s="10">
        <f>IF(N118="已下單",O118*P118,0)</f>
        <v/>
      </c>
      <c r="R118" s="10">
        <f>R117+Q118</f>
        <v/>
      </c>
      <c r="S118" s="16">
        <f>S117-IF(N118="已下單",M118,0)</f>
        <v/>
      </c>
      <c r="T118" s="16">
        <f>R118-S118</f>
        <v/>
      </c>
      <c r="U118" s="2">
        <f>U117-IF(N118="已下單",1,0)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46270.20833333334</v>
      </c>
      <c r="C119" s="2" t="inlineStr">
        <is>
          <t>進場</t>
        </is>
      </c>
      <c r="D119" s="2" t="n">
        <v>62</v>
      </c>
      <c r="E119" s="2" t="inlineStr">
        <is>
          <t>PONS_USDT_PERP</t>
        </is>
      </c>
      <c r="F119" s="2" t="inlineStr">
        <is>
          <t>做空</t>
        </is>
      </c>
      <c r="G119" s="17" t="n">
        <v>0.6736</v>
      </c>
      <c r="H119" s="17" t="n">
        <v>0.653392</v>
      </c>
      <c r="I119" s="17" t="n">
        <v>0.70728</v>
      </c>
      <c r="J119" s="17" t="n"/>
      <c r="K119" s="2" t="n"/>
      <c r="L119" s="5" t="n"/>
      <c r="M119" s="16">
        <f>資金模擬!$B$5*V118</f>
        <v/>
      </c>
      <c r="N119" s="2">
        <f>IF(Z118=1,"已停止",IF(T118&gt;=M119,"已下單","資金不足略過"))</f>
        <v/>
      </c>
      <c r="O119" s="16">
        <f>IF(N119="已下單",M119*資金模擬!$B$7,0)</f>
        <v/>
      </c>
      <c r="P119" s="4" t="n"/>
      <c r="Q119" s="10" t="n">
        <v>0</v>
      </c>
      <c r="R119" s="10">
        <f>R118+Q119</f>
        <v/>
      </c>
      <c r="S119" s="16">
        <f>S118+IF(N119="已下單",M119,0)</f>
        <v/>
      </c>
      <c r="T119" s="16">
        <f>R119-S119</f>
        <v/>
      </c>
      <c r="U119" s="2">
        <f>U118+IF(N119="已下單",1,0)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46270.33333333334</v>
      </c>
      <c r="C120" s="2" t="inlineStr">
        <is>
          <t>出場</t>
        </is>
      </c>
      <c r="D120" s="2" t="n">
        <v>61</v>
      </c>
      <c r="E120" s="2" t="inlineStr">
        <is>
          <t>TRIA_USDT_PERP</t>
        </is>
      </c>
      <c r="F120" s="2" t="inlineStr">
        <is>
          <t>做多</t>
        </is>
      </c>
      <c r="G120" s="17" t="n">
        <v>0.0049</v>
      </c>
      <c r="H120" s="17" t="n">
        <v>0.005047</v>
      </c>
      <c r="I120" s="17" t="n">
        <v>0.004654999999999999</v>
      </c>
      <c r="J120" s="17" t="n">
        <v>0.005047</v>
      </c>
      <c r="K120" s="2" t="inlineStr">
        <is>
          <t>止盈</t>
        </is>
      </c>
      <c r="L120" s="5">
        <f>交易明細!K62</f>
        <v/>
      </c>
      <c r="M120" s="16">
        <f>M117</f>
        <v/>
      </c>
      <c r="N120" s="2">
        <f>N117</f>
        <v/>
      </c>
      <c r="O120" s="16">
        <f>O117</f>
        <v/>
      </c>
      <c r="P120" s="4">
        <f>交易明細!L62</f>
        <v/>
      </c>
      <c r="Q120" s="10">
        <f>IF(N120="已下單",O120*P120,0)</f>
        <v/>
      </c>
      <c r="R120" s="10">
        <f>R119+Q120</f>
        <v/>
      </c>
      <c r="S120" s="16">
        <f>S119-IF(N120="已下單",M120,0)</f>
        <v/>
      </c>
      <c r="T120" s="16">
        <f>R120-S120</f>
        <v/>
      </c>
      <c r="U120" s="2">
        <f>U119-IF(N120="已下單",1,0)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46270.33333333334</v>
      </c>
      <c r="C121" s="2" t="inlineStr">
        <is>
          <t>出場</t>
        </is>
      </c>
      <c r="D121" s="2" t="n">
        <v>62</v>
      </c>
      <c r="E121" s="2" t="inlineStr">
        <is>
          <t>PONS_USDT_PERP</t>
        </is>
      </c>
      <c r="F121" s="2" t="inlineStr">
        <is>
          <t>做空</t>
        </is>
      </c>
      <c r="G121" s="17" t="n">
        <v>0.6736</v>
      </c>
      <c r="H121" s="17" t="n">
        <v>0.653392</v>
      </c>
      <c r="I121" s="17" t="n">
        <v>0.70728</v>
      </c>
      <c r="J121" s="17" t="n">
        <v>0.70728</v>
      </c>
      <c r="K121" s="2" t="inlineStr">
        <is>
          <t>止損</t>
        </is>
      </c>
      <c r="L121" s="5">
        <f>交易明細!K63</f>
        <v/>
      </c>
      <c r="M121" s="16">
        <f>M119</f>
        <v/>
      </c>
      <c r="N121" s="2">
        <f>N119</f>
        <v/>
      </c>
      <c r="O121" s="16">
        <f>O119</f>
        <v/>
      </c>
      <c r="P121" s="4">
        <f>交易明細!L63</f>
        <v/>
      </c>
      <c r="Q121" s="10">
        <f>IF(N121="已下單",O121*P121,0)</f>
        <v/>
      </c>
      <c r="R121" s="10">
        <f>R120+Q121</f>
        <v/>
      </c>
      <c r="S121" s="16">
        <f>S120-IF(N121="已下單",M121,0)</f>
        <v/>
      </c>
      <c r="T121" s="16">
        <f>R121-S121</f>
        <v/>
      </c>
      <c r="U121" s="2">
        <f>U120-IF(N121="已下單",1,0)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46270.33333333334</v>
      </c>
      <c r="C122" s="2" t="inlineStr">
        <is>
          <t>進場</t>
        </is>
      </c>
      <c r="D122" s="2" t="n">
        <v>63</v>
      </c>
      <c r="E122" s="2" t="inlineStr">
        <is>
          <t>LIT_USDT_PERP</t>
        </is>
      </c>
      <c r="F122" s="2" t="inlineStr">
        <is>
          <t>做多</t>
        </is>
      </c>
      <c r="G122" s="17" t="n">
        <v>4.817</v>
      </c>
      <c r="H122" s="17" t="n">
        <v>4.961510000000001</v>
      </c>
      <c r="I122" s="17" t="n">
        <v>4.57615</v>
      </c>
      <c r="J122" s="17" t="n"/>
      <c r="K122" s="2" t="n"/>
      <c r="L122" s="5" t="n"/>
      <c r="M122" s="16">
        <f>資金模擬!$B$5*V121</f>
        <v/>
      </c>
      <c r="N122" s="2">
        <f>IF(Z121=1,"已停止",IF(T121&gt;=M122,"已下單","資金不足略過"))</f>
        <v/>
      </c>
      <c r="O122" s="16">
        <f>IF(N122="已下單",M122*資金模擬!$B$7,0)</f>
        <v/>
      </c>
      <c r="P122" s="4" t="n"/>
      <c r="Q122" s="10" t="n">
        <v>0</v>
      </c>
      <c r="R122" s="10">
        <f>R121+Q122</f>
        <v/>
      </c>
      <c r="S122" s="16">
        <f>S121+IF(N122="已下單",M122,0)</f>
        <v/>
      </c>
      <c r="T122" s="16">
        <f>R122-S122</f>
        <v/>
      </c>
      <c r="U122" s="2">
        <f>U121+IF(N122="已下單",1,0)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46270.54166666666</v>
      </c>
      <c r="C123" s="2" t="inlineStr">
        <is>
          <t>進場</t>
        </is>
      </c>
      <c r="D123" s="2" t="n">
        <v>64</v>
      </c>
      <c r="E123" s="2" t="inlineStr">
        <is>
          <t>UAI_USDT_PERP</t>
        </is>
      </c>
      <c r="F123" s="2" t="inlineStr">
        <is>
          <t>做空</t>
        </is>
      </c>
      <c r="G123" s="17" t="n">
        <v>0.443</v>
      </c>
      <c r="H123" s="17" t="n">
        <v>0.42971</v>
      </c>
      <c r="I123" s="17" t="n">
        <v>0.46515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46270.70833333334</v>
      </c>
      <c r="C124" s="2" t="inlineStr">
        <is>
          <t>出場</t>
        </is>
      </c>
      <c r="D124" s="2" t="n">
        <v>64</v>
      </c>
      <c r="E124" s="2" t="inlineStr">
        <is>
          <t>UAI_USDT_PERP</t>
        </is>
      </c>
      <c r="F124" s="2" t="inlineStr">
        <is>
          <t>做空</t>
        </is>
      </c>
      <c r="G124" s="17" t="n">
        <v>0.443</v>
      </c>
      <c r="H124" s="17" t="n">
        <v>0.42971</v>
      </c>
      <c r="I124" s="17" t="n">
        <v>0.46515</v>
      </c>
      <c r="J124" s="17" t="n">
        <v>0.46515</v>
      </c>
      <c r="K124" s="2" t="inlineStr">
        <is>
          <t>止損</t>
        </is>
      </c>
      <c r="L124" s="5">
        <f>交易明細!K65</f>
        <v/>
      </c>
      <c r="M124" s="16">
        <f>M123</f>
        <v/>
      </c>
      <c r="N124" s="2">
        <f>N123</f>
        <v/>
      </c>
      <c r="O124" s="16">
        <f>O123</f>
        <v/>
      </c>
      <c r="P124" s="4">
        <f>交易明細!L65</f>
        <v/>
      </c>
      <c r="Q124" s="10">
        <f>IF(N124="已下單",O124*P124,0)</f>
        <v/>
      </c>
      <c r="R124" s="10">
        <f>R123+Q124</f>
        <v/>
      </c>
      <c r="S124" s="16">
        <f>S123-IF(N124="已下單",M124,0)</f>
        <v/>
      </c>
      <c r="T124" s="16">
        <f>R124-S124</f>
        <v/>
      </c>
      <c r="U124" s="2">
        <f>U123-IF(N124="已下單",1,0)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46270.70833333334</v>
      </c>
      <c r="C125" s="2" t="inlineStr">
        <is>
          <t>進場</t>
        </is>
      </c>
      <c r="D125" s="2" t="n">
        <v>65</v>
      </c>
      <c r="E125" s="2" t="inlineStr">
        <is>
          <t>MARSCOIN_USDT_PERP</t>
        </is>
      </c>
      <c r="F125" s="2" t="inlineStr">
        <is>
          <t>做多</t>
        </is>
      </c>
      <c r="G125" s="17" t="n">
        <v>0.19456</v>
      </c>
      <c r="H125" s="17" t="n">
        <v>0.2003968</v>
      </c>
      <c r="I125" s="17" t="n">
        <v>0.184832</v>
      </c>
      <c r="J125" s="17" t="n"/>
      <c r="K125" s="2" t="n"/>
      <c r="L125" s="5" t="n"/>
      <c r="M125" s="16">
        <f>資金模擬!$B$5*V124</f>
        <v/>
      </c>
      <c r="N125" s="2">
        <f>IF(Z124=1,"已停止",IF(T124&gt;=M125,"已下單","資金不足略過"))</f>
        <v/>
      </c>
      <c r="O125" s="16">
        <f>IF(N125="已下單",M125*資金模擬!$B$7,0)</f>
        <v/>
      </c>
      <c r="P125" s="4" t="n"/>
      <c r="Q125" s="10" t="n">
        <v>0</v>
      </c>
      <c r="R125" s="10">
        <f>R124+Q125</f>
        <v/>
      </c>
      <c r="S125" s="16">
        <f>S124+IF(N125="已下單",M125,0)</f>
        <v/>
      </c>
      <c r="T125" s="16">
        <f>R125-S125</f>
        <v/>
      </c>
      <c r="U125" s="2">
        <f>U124+IF(N125="已下單",1,0)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46270.75</v>
      </c>
      <c r="C126" s="2" t="inlineStr">
        <is>
          <t>出場</t>
        </is>
      </c>
      <c r="D126" s="2" t="n">
        <v>65</v>
      </c>
      <c r="E126" s="2" t="inlineStr">
        <is>
          <t>MARSCOIN_USDT_PERP</t>
        </is>
      </c>
      <c r="F126" s="2" t="inlineStr">
        <is>
          <t>做多</t>
        </is>
      </c>
      <c r="G126" s="17" t="n">
        <v>0.19456</v>
      </c>
      <c r="H126" s="17" t="n">
        <v>0.2003968</v>
      </c>
      <c r="I126" s="17" t="n">
        <v>0.184832</v>
      </c>
      <c r="J126" s="17" t="n">
        <v>0.2003968</v>
      </c>
      <c r="K126" s="2" t="inlineStr">
        <is>
          <t>止盈</t>
        </is>
      </c>
      <c r="L126" s="5">
        <f>交易明細!K66</f>
        <v/>
      </c>
      <c r="M126" s="16">
        <f>M125</f>
        <v/>
      </c>
      <c r="N126" s="2">
        <f>N125</f>
        <v/>
      </c>
      <c r="O126" s="16">
        <f>O125</f>
        <v/>
      </c>
      <c r="P126" s="4">
        <f>交易明細!L66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46270.79166666666</v>
      </c>
      <c r="C127" s="2" t="inlineStr">
        <is>
          <t>進場</t>
        </is>
      </c>
      <c r="D127" s="2" t="n">
        <v>66</v>
      </c>
      <c r="E127" s="2" t="inlineStr">
        <is>
          <t>USELESS_USDT_PERP</t>
        </is>
      </c>
      <c r="F127" s="2" t="inlineStr">
        <is>
          <t>做空</t>
        </is>
      </c>
      <c r="G127" s="17" t="n">
        <v>0.23397</v>
      </c>
      <c r="H127" s="17" t="n">
        <v>0.2269509</v>
      </c>
      <c r="I127" s="17" t="n">
        <v>0.2456685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46270.875</v>
      </c>
      <c r="C128" s="2" t="inlineStr">
        <is>
          <t>進場</t>
        </is>
      </c>
      <c r="D128" s="2" t="n">
        <v>67</v>
      </c>
      <c r="E128" s="2" t="inlineStr">
        <is>
          <t>4_USDT_PERP</t>
        </is>
      </c>
      <c r="F128" s="2" t="inlineStr">
        <is>
          <t>做多</t>
        </is>
      </c>
      <c r="G128" s="17" t="n">
        <v>0.02597</v>
      </c>
      <c r="H128" s="17" t="n">
        <v>0.0267491</v>
      </c>
      <c r="I128" s="17" t="n">
        <v>0.0246715</v>
      </c>
      <c r="J128" s="17" t="n"/>
      <c r="K128" s="2" t="n"/>
      <c r="L128" s="5" t="n"/>
      <c r="M128" s="16">
        <f>資金模擬!$B$5*V127</f>
        <v/>
      </c>
      <c r="N128" s="2">
        <f>IF(Z127=1,"已停止",IF(T127&gt;=M128,"已下單","資金不足略過"))</f>
        <v/>
      </c>
      <c r="O128" s="16">
        <f>IF(N128="已下單",M128*資金模擬!$B$7,0)</f>
        <v/>
      </c>
      <c r="P128" s="4" t="n"/>
      <c r="Q128" s="10" t="n">
        <v>0</v>
      </c>
      <c r="R128" s="10">
        <f>R127+Q128</f>
        <v/>
      </c>
      <c r="S128" s="16">
        <f>S127+IF(N128="已下單",M128,0)</f>
        <v/>
      </c>
      <c r="T128" s="16">
        <f>R128-S128</f>
        <v/>
      </c>
      <c r="U128" s="2">
        <f>U127+IF(N128="已下單",1,0)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46270.91666666666</v>
      </c>
      <c r="C129" s="2" t="inlineStr">
        <is>
          <t>出場</t>
        </is>
      </c>
      <c r="D129" s="2" t="n">
        <v>66</v>
      </c>
      <c r="E129" s="2" t="inlineStr">
        <is>
          <t>USELESS_USDT_PERP</t>
        </is>
      </c>
      <c r="F129" s="2" t="inlineStr">
        <is>
          <t>做空</t>
        </is>
      </c>
      <c r="G129" s="17" t="n">
        <v>0.23397</v>
      </c>
      <c r="H129" s="17" t="n">
        <v>0.2269509</v>
      </c>
      <c r="I129" s="17" t="n">
        <v>0.2456685</v>
      </c>
      <c r="J129" s="17" t="n">
        <v>0.2456685</v>
      </c>
      <c r="K129" s="2" t="inlineStr">
        <is>
          <t>止損</t>
        </is>
      </c>
      <c r="L129" s="5">
        <f>交易明細!K67</f>
        <v/>
      </c>
      <c r="M129" s="16">
        <f>M127</f>
        <v/>
      </c>
      <c r="N129" s="2">
        <f>N127</f>
        <v/>
      </c>
      <c r="O129" s="16">
        <f>O127</f>
        <v/>
      </c>
      <c r="P129" s="4">
        <f>交易明細!L67</f>
        <v/>
      </c>
      <c r="Q129" s="10">
        <f>IF(N129="已下單",O129*P129,0)</f>
        <v/>
      </c>
      <c r="R129" s="10">
        <f>R128+Q129</f>
        <v/>
      </c>
      <c r="S129" s="16">
        <f>S128-IF(N129="已下單",M129,0)</f>
        <v/>
      </c>
      <c r="T129" s="16">
        <f>R129-S129</f>
        <v/>
      </c>
      <c r="U129" s="2">
        <f>U128-IF(N129="已下單",1,0)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46270.91666666666</v>
      </c>
      <c r="C130" s="2" t="inlineStr">
        <is>
          <t>出場</t>
        </is>
      </c>
      <c r="D130" s="2" t="n">
        <v>67</v>
      </c>
      <c r="E130" s="2" t="inlineStr">
        <is>
          <t>4_USDT_PERP</t>
        </is>
      </c>
      <c r="F130" s="2" t="inlineStr">
        <is>
          <t>做多</t>
        </is>
      </c>
      <c r="G130" s="17" t="n">
        <v>0.02597</v>
      </c>
      <c r="H130" s="17" t="n">
        <v>0.0267491</v>
      </c>
      <c r="I130" s="17" t="n">
        <v>0.0246715</v>
      </c>
      <c r="J130" s="17" t="n">
        <v>0.0267491</v>
      </c>
      <c r="K130" s="2" t="inlineStr">
        <is>
          <t>止盈</t>
        </is>
      </c>
      <c r="L130" s="5">
        <f>交易明細!K68</f>
        <v/>
      </c>
      <c r="M130" s="16">
        <f>M128</f>
        <v/>
      </c>
      <c r="N130" s="2">
        <f>N128</f>
        <v/>
      </c>
      <c r="O130" s="16">
        <f>O128</f>
        <v/>
      </c>
      <c r="P130" s="4">
        <f>交易明細!L68</f>
        <v/>
      </c>
      <c r="Q130" s="10">
        <f>IF(N130="已下單",O130*P130,0)</f>
        <v/>
      </c>
      <c r="R130" s="10">
        <f>R129+Q130</f>
        <v/>
      </c>
      <c r="S130" s="16">
        <f>S129-IF(N130="已下單",M130,0)</f>
        <v/>
      </c>
      <c r="T130" s="16">
        <f>R130-S130</f>
        <v/>
      </c>
      <c r="U130" s="2">
        <f>U129-IF(N130="已下單",1,0)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46271</v>
      </c>
      <c r="C131" s="2" t="inlineStr">
        <is>
          <t>進場</t>
        </is>
      </c>
      <c r="D131" s="2" t="n">
        <v>68</v>
      </c>
      <c r="E131" s="2" t="inlineStr">
        <is>
          <t>4_USDT_PERP</t>
        </is>
      </c>
      <c r="F131" s="2" t="inlineStr">
        <is>
          <t>做多</t>
        </is>
      </c>
      <c r="G131" s="17" t="n">
        <v>0.02716</v>
      </c>
      <c r="H131" s="17" t="n">
        <v>0.0279748</v>
      </c>
      <c r="I131" s="17" t="n">
        <v>0.025802</v>
      </c>
      <c r="J131" s="17" t="n"/>
      <c r="K131" s="2" t="n"/>
      <c r="L131" s="5" t="n"/>
      <c r="M131" s="16">
        <f>資金模擬!$B$5*V130</f>
        <v/>
      </c>
      <c r="N131" s="2">
        <f>IF(Z130=1,"已停止",IF(T130&gt;=M131,"已下單","資金不足略過"))</f>
        <v/>
      </c>
      <c r="O131" s="16">
        <f>IF(N131="已下單",M131*資金模擬!$B$7,0)</f>
        <v/>
      </c>
      <c r="P131" s="4" t="n"/>
      <c r="Q131" s="10" t="n">
        <v>0</v>
      </c>
      <c r="R131" s="10">
        <f>R130+Q131</f>
        <v/>
      </c>
      <c r="S131" s="16">
        <f>S130+IF(N131="已下單",M131,0)</f>
        <v/>
      </c>
      <c r="T131" s="16">
        <f>R131-S131</f>
        <v/>
      </c>
      <c r="U131" s="2">
        <f>U130+IF(N131="已下單",1,0)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46271.04166666666</v>
      </c>
      <c r="C132" s="2" t="inlineStr">
        <is>
          <t>出場</t>
        </is>
      </c>
      <c r="D132" s="2" t="n">
        <v>58</v>
      </c>
      <c r="E132" s="2" t="inlineStr">
        <is>
          <t>FARTCOIN_USDT_PERP</t>
        </is>
      </c>
      <c r="F132" s="2" t="inlineStr">
        <is>
          <t>做空</t>
        </is>
      </c>
      <c r="G132" s="17" t="n">
        <v>0.1626</v>
      </c>
      <c r="H132" s="17" t="n">
        <v>0.157722</v>
      </c>
      <c r="I132" s="17" t="n">
        <v>0.17073</v>
      </c>
      <c r="J132" s="17" t="n">
        <v>0.17073</v>
      </c>
      <c r="K132" s="2" t="inlineStr">
        <is>
          <t>止損</t>
        </is>
      </c>
      <c r="L132" s="5">
        <f>交易明細!K59</f>
        <v/>
      </c>
      <c r="M132" s="16">
        <f>M111</f>
        <v/>
      </c>
      <c r="N132" s="2">
        <f>N111</f>
        <v/>
      </c>
      <c r="O132" s="16">
        <f>O111</f>
        <v/>
      </c>
      <c r="P132" s="4">
        <f>交易明細!L59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46271.04166666666</v>
      </c>
      <c r="C133" s="2" t="inlineStr">
        <is>
          <t>出場</t>
        </is>
      </c>
      <c r="D133" s="2" t="n">
        <v>68</v>
      </c>
      <c r="E133" s="2" t="inlineStr">
        <is>
          <t>4_USDT_PERP</t>
        </is>
      </c>
      <c r="F133" s="2" t="inlineStr">
        <is>
          <t>做多</t>
        </is>
      </c>
      <c r="G133" s="17" t="n">
        <v>0.02716</v>
      </c>
      <c r="H133" s="17" t="n">
        <v>0.0279748</v>
      </c>
      <c r="I133" s="17" t="n">
        <v>0.025802</v>
      </c>
      <c r="J133" s="17" t="n">
        <v>0.0279748</v>
      </c>
      <c r="K133" s="2" t="inlineStr">
        <is>
          <t>止盈</t>
        </is>
      </c>
      <c r="L133" s="5">
        <f>交易明細!K69</f>
        <v/>
      </c>
      <c r="M133" s="16">
        <f>M131</f>
        <v/>
      </c>
      <c r="N133" s="2">
        <f>N131</f>
        <v/>
      </c>
      <c r="O133" s="16">
        <f>O131</f>
        <v/>
      </c>
      <c r="P133" s="4">
        <f>交易明細!L69</f>
        <v/>
      </c>
      <c r="Q133" s="10">
        <f>IF(N133="已下單",O133*P133,0)</f>
        <v/>
      </c>
      <c r="R133" s="10">
        <f>R132+Q133</f>
        <v/>
      </c>
      <c r="S133" s="16">
        <f>S132-IF(N133="已下單",M133,0)</f>
        <v/>
      </c>
      <c r="T133" s="16">
        <f>R133-S133</f>
        <v/>
      </c>
      <c r="U133" s="2">
        <f>U132-IF(N133="已下單",1,0)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46271.08333333334</v>
      </c>
      <c r="C134" s="2" t="inlineStr">
        <is>
          <t>出場</t>
        </is>
      </c>
      <c r="D134" s="2" t="n">
        <v>55</v>
      </c>
      <c r="E134" s="2" t="inlineStr">
        <is>
          <t>ARB_USDT_PERP</t>
        </is>
      </c>
      <c r="F134" s="2" t="inlineStr">
        <is>
          <t>做空</t>
        </is>
      </c>
      <c r="G134" s="17" t="n">
        <v>0.1319</v>
      </c>
      <c r="H134" s="17" t="n">
        <v>0.127943</v>
      </c>
      <c r="I134" s="17" t="n">
        <v>0.138495</v>
      </c>
      <c r="J134" s="17" t="n">
        <v>0.138495</v>
      </c>
      <c r="K134" s="2" t="inlineStr">
        <is>
          <t>止損</t>
        </is>
      </c>
      <c r="L134" s="5">
        <f>交易明細!K56</f>
        <v/>
      </c>
      <c r="M134" s="16">
        <f>M108</f>
        <v/>
      </c>
      <c r="N134" s="2">
        <f>N108</f>
        <v/>
      </c>
      <c r="O134" s="16">
        <f>O108</f>
        <v/>
      </c>
      <c r="P134" s="4">
        <f>交易明細!L56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46271.08333333334</v>
      </c>
      <c r="C135" s="2" t="inlineStr">
        <is>
          <t>進場</t>
        </is>
      </c>
      <c r="D135" s="2" t="n">
        <v>69</v>
      </c>
      <c r="E135" s="2" t="inlineStr">
        <is>
          <t>NEAR_USDT_PERP</t>
        </is>
      </c>
      <c r="F135" s="2" t="inlineStr">
        <is>
          <t>做多</t>
        </is>
      </c>
      <c r="G135" s="17" t="n">
        <v>2.251</v>
      </c>
      <c r="H135" s="17" t="n">
        <v>2.31853</v>
      </c>
      <c r="I135" s="17" t="n">
        <v>2.13845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46271.125</v>
      </c>
      <c r="C136" s="2" t="inlineStr">
        <is>
          <t>進場</t>
        </is>
      </c>
      <c r="D136" s="2" t="n">
        <v>70</v>
      </c>
      <c r="E136" s="2" t="inlineStr">
        <is>
          <t>ZEN_USDT_PERP</t>
        </is>
      </c>
      <c r="F136" s="2" t="inlineStr">
        <is>
          <t>做空</t>
        </is>
      </c>
      <c r="G136" s="17" t="n">
        <v>6.91</v>
      </c>
      <c r="H136" s="17" t="n">
        <v>6.7027</v>
      </c>
      <c r="I136" s="17" t="n">
        <v>7.255500000000001</v>
      </c>
      <c r="J136" s="17" t="n"/>
      <c r="K136" s="2" t="n"/>
      <c r="L136" s="5" t="n"/>
      <c r="M136" s="16">
        <f>資金模擬!$B$5*V135</f>
        <v/>
      </c>
      <c r="N136" s="2">
        <f>IF(Z135=1,"已停止",IF(T135&gt;=M136,"已下單","資金不足略過"))</f>
        <v/>
      </c>
      <c r="O136" s="16">
        <f>IF(N136="已下單",M136*資金模擬!$B$7,0)</f>
        <v/>
      </c>
      <c r="P136" s="4" t="n"/>
      <c r="Q136" s="10" t="n">
        <v>0</v>
      </c>
      <c r="R136" s="10">
        <f>R135+Q136</f>
        <v/>
      </c>
      <c r="S136" s="16">
        <f>S135+IF(N136="已下單",M136,0)</f>
        <v/>
      </c>
      <c r="T136" s="16">
        <f>R136-S136</f>
        <v/>
      </c>
      <c r="U136" s="2">
        <f>U135+IF(N136="已下單",1,0)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46271.16666666666</v>
      </c>
      <c r="C137" s="2" t="inlineStr">
        <is>
          <t>進場</t>
        </is>
      </c>
      <c r="D137" s="2" t="n">
        <v>71</v>
      </c>
      <c r="E137" s="2" t="inlineStr">
        <is>
          <t>AKE_USDT_PERP</t>
        </is>
      </c>
      <c r="F137" s="2" t="inlineStr">
        <is>
          <t>做多</t>
        </is>
      </c>
      <c r="G137" s="17" t="n">
        <v>0.019459</v>
      </c>
      <c r="H137" s="17" t="n">
        <v>0.02004277</v>
      </c>
      <c r="I137" s="17" t="n">
        <v>0.01848605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46271.25</v>
      </c>
      <c r="C138" s="2" t="inlineStr">
        <is>
          <t>出場</t>
        </is>
      </c>
      <c r="D138" s="2" t="n">
        <v>51</v>
      </c>
      <c r="E138" s="2" t="inlineStr">
        <is>
          <t>ENA_USDT_PERP</t>
        </is>
      </c>
      <c r="F138" s="2" t="inlineStr">
        <is>
          <t>做空</t>
        </is>
      </c>
      <c r="G138" s="17" t="n">
        <v>0.1636</v>
      </c>
      <c r="H138" s="17" t="n">
        <v>0.158692</v>
      </c>
      <c r="I138" s="17" t="n">
        <v>0.17178</v>
      </c>
      <c r="J138" s="17" t="n">
        <v>0.17178</v>
      </c>
      <c r="K138" s="2" t="inlineStr">
        <is>
          <t>止損</t>
        </is>
      </c>
      <c r="L138" s="5">
        <f>交易明細!K52</f>
        <v/>
      </c>
      <c r="M138" s="16">
        <f>M102</f>
        <v/>
      </c>
      <c r="N138" s="2">
        <f>N102</f>
        <v/>
      </c>
      <c r="O138" s="16">
        <f>O102</f>
        <v/>
      </c>
      <c r="P138" s="4">
        <f>交易明細!L52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46271.25</v>
      </c>
      <c r="C139" s="2" t="inlineStr">
        <is>
          <t>進場</t>
        </is>
      </c>
      <c r="D139" s="2" t="n">
        <v>72</v>
      </c>
      <c r="E139" s="2" t="inlineStr">
        <is>
          <t>牛来_USDT_PERP</t>
        </is>
      </c>
      <c r="F139" s="2" t="inlineStr">
        <is>
          <t>做多</t>
        </is>
      </c>
      <c r="G139" s="17" t="n">
        <v>0.11871</v>
      </c>
      <c r="H139" s="17" t="n">
        <v>0.1222713</v>
      </c>
      <c r="I139" s="17" t="n">
        <v>0.1127745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46271.29166666666</v>
      </c>
      <c r="C140" s="2" t="inlineStr">
        <is>
          <t>出場</t>
        </is>
      </c>
      <c r="D140" s="2" t="n">
        <v>71</v>
      </c>
      <c r="E140" s="2" t="inlineStr">
        <is>
          <t>AKE_USDT_PERP</t>
        </is>
      </c>
      <c r="F140" s="2" t="inlineStr">
        <is>
          <t>做多</t>
        </is>
      </c>
      <c r="G140" s="17" t="n">
        <v>0.019459</v>
      </c>
      <c r="H140" s="17" t="n">
        <v>0.02004277</v>
      </c>
      <c r="I140" s="17" t="n">
        <v>0.01848605</v>
      </c>
      <c r="J140" s="17" t="n">
        <v>0.01848605</v>
      </c>
      <c r="K140" s="2" t="inlineStr">
        <is>
          <t>止損</t>
        </is>
      </c>
      <c r="L140" s="5">
        <f>交易明細!K72</f>
        <v/>
      </c>
      <c r="M140" s="16">
        <f>M137</f>
        <v/>
      </c>
      <c r="N140" s="2">
        <f>N137</f>
        <v/>
      </c>
      <c r="O140" s="16">
        <f>O137</f>
        <v/>
      </c>
      <c r="P140" s="4">
        <f>交易明細!L72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46271.29166666666</v>
      </c>
      <c r="C141" s="2" t="inlineStr">
        <is>
          <t>出場</t>
        </is>
      </c>
      <c r="D141" s="2" t="n">
        <v>72</v>
      </c>
      <c r="E141" s="2" t="inlineStr">
        <is>
          <t>牛来_USDT_PERP</t>
        </is>
      </c>
      <c r="F141" s="2" t="inlineStr">
        <is>
          <t>做多</t>
        </is>
      </c>
      <c r="G141" s="17" t="n">
        <v>0.11871</v>
      </c>
      <c r="H141" s="17" t="n">
        <v>0.1222713</v>
      </c>
      <c r="I141" s="17" t="n">
        <v>0.1127745</v>
      </c>
      <c r="J141" s="17" t="n">
        <v>0.1222713</v>
      </c>
      <c r="K141" s="2" t="inlineStr">
        <is>
          <t>止盈</t>
        </is>
      </c>
      <c r="L141" s="5">
        <f>交易明細!K73</f>
        <v/>
      </c>
      <c r="M141" s="16">
        <f>M139</f>
        <v/>
      </c>
      <c r="N141" s="2">
        <f>N139</f>
        <v/>
      </c>
      <c r="O141" s="16">
        <f>O139</f>
        <v/>
      </c>
      <c r="P141" s="4">
        <f>交易明細!L73</f>
        <v/>
      </c>
      <c r="Q141" s="10">
        <f>IF(N141="已下單",O141*P141,0)</f>
        <v/>
      </c>
      <c r="R141" s="10">
        <f>R140+Q141</f>
        <v/>
      </c>
      <c r="S141" s="16">
        <f>S140-IF(N141="已下單",M141,0)</f>
        <v/>
      </c>
      <c r="T141" s="16">
        <f>R141-S141</f>
        <v/>
      </c>
      <c r="U141" s="2">
        <f>U140-IF(N141="已下單",1,0)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46271.375</v>
      </c>
      <c r="C142" s="2" t="inlineStr">
        <is>
          <t>出場</t>
        </is>
      </c>
      <c r="D142" s="2" t="n">
        <v>52</v>
      </c>
      <c r="E142" s="2" t="inlineStr">
        <is>
          <t>PENGU_USDT_PERP</t>
        </is>
      </c>
      <c r="F142" s="2" t="inlineStr">
        <is>
          <t>做空</t>
        </is>
      </c>
      <c r="G142" s="17" t="n">
        <v>0.008347</v>
      </c>
      <c r="H142" s="17" t="n">
        <v>0.008096590000000001</v>
      </c>
      <c r="I142" s="17" t="n">
        <v>0.008764350000000001</v>
      </c>
      <c r="J142" s="17" t="n">
        <v>0.008764350000000001</v>
      </c>
      <c r="K142" s="2" t="inlineStr">
        <is>
          <t>止損</t>
        </is>
      </c>
      <c r="L142" s="5">
        <f>交易明細!K53</f>
        <v/>
      </c>
      <c r="M142" s="16">
        <f>M103</f>
        <v/>
      </c>
      <c r="N142" s="2">
        <f>N103</f>
        <v/>
      </c>
      <c r="O142" s="16">
        <f>O103</f>
        <v/>
      </c>
      <c r="P142" s="4">
        <f>交易明細!L53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46271.45833333334</v>
      </c>
      <c r="C143" s="2" t="inlineStr">
        <is>
          <t>進場</t>
        </is>
      </c>
      <c r="D143" s="2" t="n">
        <v>73</v>
      </c>
      <c r="E143" s="2" t="inlineStr">
        <is>
          <t>DASH_USDT_PERP</t>
        </is>
      </c>
      <c r="F143" s="2" t="inlineStr">
        <is>
          <t>做多</t>
        </is>
      </c>
      <c r="G143" s="17" t="n">
        <v>69.19</v>
      </c>
      <c r="H143" s="17" t="n">
        <v>71.2657</v>
      </c>
      <c r="I143" s="17" t="n">
        <v>65.73049999999999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46271.5</v>
      </c>
      <c r="C144" s="2" t="inlineStr">
        <is>
          <t>進場</t>
        </is>
      </c>
      <c r="D144" s="2" t="n">
        <v>74</v>
      </c>
      <c r="E144" s="2" t="inlineStr">
        <is>
          <t>HEMI_USDT_PERP</t>
        </is>
      </c>
      <c r="F144" s="2" t="inlineStr">
        <is>
          <t>做空</t>
        </is>
      </c>
      <c r="G144" s="17" t="n">
        <v>0.01166</v>
      </c>
      <c r="H144" s="17" t="n">
        <v>0.0113102</v>
      </c>
      <c r="I144" s="17" t="n">
        <v>0.012243</v>
      </c>
      <c r="J144" s="17" t="n"/>
      <c r="K144" s="2" t="n"/>
      <c r="L144" s="5" t="n"/>
      <c r="M144" s="16">
        <f>資金模擬!$B$5*V143</f>
        <v/>
      </c>
      <c r="N144" s="2">
        <f>IF(Z143=1,"已停止",IF(T143&gt;=M144,"已下單","資金不足略過"))</f>
        <v/>
      </c>
      <c r="O144" s="16">
        <f>IF(N144="已下單",M144*資金模擬!$B$7,0)</f>
        <v/>
      </c>
      <c r="P144" s="4" t="n"/>
      <c r="Q144" s="10" t="n">
        <v>0</v>
      </c>
      <c r="R144" s="10">
        <f>R143+Q144</f>
        <v/>
      </c>
      <c r="S144" s="16">
        <f>S143+IF(N144="已下單",M144,0)</f>
        <v/>
      </c>
      <c r="T144" s="16">
        <f>R144-S144</f>
        <v/>
      </c>
      <c r="U144" s="2">
        <f>U143+IF(N144="已下單",1,0)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46271.54166666666</v>
      </c>
      <c r="C145" s="2" t="inlineStr">
        <is>
          <t>出場</t>
        </is>
      </c>
      <c r="D145" s="2" t="n">
        <v>70</v>
      </c>
      <c r="E145" s="2" t="inlineStr">
        <is>
          <t>ZEN_USDT_PERP</t>
        </is>
      </c>
      <c r="F145" s="2" t="inlineStr">
        <is>
          <t>做空</t>
        </is>
      </c>
      <c r="G145" s="17" t="n">
        <v>6.91</v>
      </c>
      <c r="H145" s="17" t="n">
        <v>6.7027</v>
      </c>
      <c r="I145" s="17" t="n">
        <v>7.255500000000001</v>
      </c>
      <c r="J145" s="17" t="n">
        <v>7.255500000000001</v>
      </c>
      <c r="K145" s="2" t="inlineStr">
        <is>
          <t>止損</t>
        </is>
      </c>
      <c r="L145" s="5">
        <f>交易明細!K71</f>
        <v/>
      </c>
      <c r="M145" s="16">
        <f>M136</f>
        <v/>
      </c>
      <c r="N145" s="2">
        <f>N136</f>
        <v/>
      </c>
      <c r="O145" s="16">
        <f>O136</f>
        <v/>
      </c>
      <c r="P145" s="4">
        <f>交易明細!L71</f>
        <v/>
      </c>
      <c r="Q145" s="10">
        <f>IF(N145="已下單",O145*P145,0)</f>
        <v/>
      </c>
      <c r="R145" s="10">
        <f>R144+Q145</f>
        <v/>
      </c>
      <c r="S145" s="16">
        <f>S144-IF(N145="已下單",M145,0)</f>
        <v/>
      </c>
      <c r="T145" s="16">
        <f>R145-S145</f>
        <v/>
      </c>
      <c r="U145" s="2">
        <f>U144-IF(N145="已下單",1,0)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46271.54166666666</v>
      </c>
      <c r="C146" s="2" t="inlineStr">
        <is>
          <t>出場</t>
        </is>
      </c>
      <c r="D146" s="2" t="n">
        <v>73</v>
      </c>
      <c r="E146" s="2" t="inlineStr">
        <is>
          <t>DASH_USDT_PERP</t>
        </is>
      </c>
      <c r="F146" s="2" t="inlineStr">
        <is>
          <t>做多</t>
        </is>
      </c>
      <c r="G146" s="17" t="n">
        <v>69.19</v>
      </c>
      <c r="H146" s="17" t="n">
        <v>71.2657</v>
      </c>
      <c r="I146" s="17" t="n">
        <v>65.73049999999999</v>
      </c>
      <c r="J146" s="17" t="n">
        <v>71.2657</v>
      </c>
      <c r="K146" s="2" t="inlineStr">
        <is>
          <t>止盈</t>
        </is>
      </c>
      <c r="L146" s="5">
        <f>交易明細!K74</f>
        <v/>
      </c>
      <c r="M146" s="16">
        <f>M143</f>
        <v/>
      </c>
      <c r="N146" s="2">
        <f>N143</f>
        <v/>
      </c>
      <c r="O146" s="16">
        <f>O143</f>
        <v/>
      </c>
      <c r="P146" s="4">
        <f>交易明細!L74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46271.54166666666</v>
      </c>
      <c r="C147" s="2" t="inlineStr">
        <is>
          <t>出場</t>
        </is>
      </c>
      <c r="D147" s="2" t="n">
        <v>74</v>
      </c>
      <c r="E147" s="2" t="inlineStr">
        <is>
          <t>HEMI_USDT_PERP</t>
        </is>
      </c>
      <c r="F147" s="2" t="inlineStr">
        <is>
          <t>做空</t>
        </is>
      </c>
      <c r="G147" s="17" t="n">
        <v>0.01166</v>
      </c>
      <c r="H147" s="17" t="n">
        <v>0.0113102</v>
      </c>
      <c r="I147" s="17" t="n">
        <v>0.012243</v>
      </c>
      <c r="J147" s="17" t="n">
        <v>0.0113102</v>
      </c>
      <c r="K147" s="2" t="inlineStr">
        <is>
          <t>止盈</t>
        </is>
      </c>
      <c r="L147" s="5">
        <f>交易明細!K75</f>
        <v/>
      </c>
      <c r="M147" s="16">
        <f>M144</f>
        <v/>
      </c>
      <c r="N147" s="2">
        <f>N144</f>
        <v/>
      </c>
      <c r="O147" s="16">
        <f>O144</f>
        <v/>
      </c>
      <c r="P147" s="4">
        <f>交易明細!L75</f>
        <v/>
      </c>
      <c r="Q147" s="10">
        <f>IF(N147="已下單",O147*P147,0)</f>
        <v/>
      </c>
      <c r="R147" s="10">
        <f>R146+Q147</f>
        <v/>
      </c>
      <c r="S147" s="16">
        <f>S146-IF(N147="已下單",M147,0)</f>
        <v/>
      </c>
      <c r="T147" s="16">
        <f>R147-S147</f>
        <v/>
      </c>
      <c r="U147" s="2">
        <f>U146-IF(N147="已下單",1,0)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46271.58333333334</v>
      </c>
      <c r="C148" s="2" t="inlineStr">
        <is>
          <t>進場</t>
        </is>
      </c>
      <c r="D148" s="2" t="n">
        <v>75</v>
      </c>
      <c r="E148" s="2" t="inlineStr">
        <is>
          <t>HEMI_USDT_PERP</t>
        </is>
      </c>
      <c r="F148" s="2" t="inlineStr">
        <is>
          <t>做空</t>
        </is>
      </c>
      <c r="G148" s="17" t="n">
        <v>0.01128</v>
      </c>
      <c r="H148" s="17" t="n">
        <v>0.0109416</v>
      </c>
      <c r="I148" s="17" t="n">
        <v>0.011844</v>
      </c>
      <c r="J148" s="17" t="n"/>
      <c r="K148" s="2" t="n"/>
      <c r="L148" s="5" t="n"/>
      <c r="M148" s="16">
        <f>資金模擬!$B$5*V147</f>
        <v/>
      </c>
      <c r="N148" s="2">
        <f>IF(Z147=1,"已停止",IF(T147&gt;=M148,"已下單","資金不足略過"))</f>
        <v/>
      </c>
      <c r="O148" s="16">
        <f>IF(N148="已下單",M148*資金模擬!$B$7,0)</f>
        <v/>
      </c>
      <c r="P148" s="4" t="n"/>
      <c r="Q148" s="10" t="n">
        <v>0</v>
      </c>
      <c r="R148" s="10">
        <f>R147+Q148</f>
        <v/>
      </c>
      <c r="S148" s="16">
        <f>S147+IF(N148="已下單",M148,0)</f>
        <v/>
      </c>
      <c r="T148" s="16">
        <f>R148-S148</f>
        <v/>
      </c>
      <c r="U148" s="2">
        <f>U147+IF(N148="已下單",1,0)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46271.66666666666</v>
      </c>
      <c r="C149" s="2" t="inlineStr">
        <is>
          <t>進場</t>
        </is>
      </c>
      <c r="D149" s="2" t="n">
        <v>76</v>
      </c>
      <c r="E149" s="2" t="inlineStr">
        <is>
          <t>PONS_USDT_PERP</t>
        </is>
      </c>
      <c r="F149" s="2" t="inlineStr">
        <is>
          <t>做多</t>
        </is>
      </c>
      <c r="G149" s="17" t="n">
        <v>0.9263</v>
      </c>
      <c r="H149" s="17" t="n">
        <v>0.9540890000000001</v>
      </c>
      <c r="I149" s="17" t="n">
        <v>0.879985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46271.70833333334</v>
      </c>
      <c r="C150" s="2" t="inlineStr">
        <is>
          <t>出場</t>
        </is>
      </c>
      <c r="D150" s="2" t="n">
        <v>69</v>
      </c>
      <c r="E150" s="2" t="inlineStr">
        <is>
          <t>NEAR_USDT_PERP</t>
        </is>
      </c>
      <c r="F150" s="2" t="inlineStr">
        <is>
          <t>做多</t>
        </is>
      </c>
      <c r="G150" s="17" t="n">
        <v>2.251</v>
      </c>
      <c r="H150" s="17" t="n">
        <v>2.31853</v>
      </c>
      <c r="I150" s="17" t="n">
        <v>2.13845</v>
      </c>
      <c r="J150" s="17" t="n">
        <v>2.31853</v>
      </c>
      <c r="K150" s="2" t="inlineStr">
        <is>
          <t>止盈</t>
        </is>
      </c>
      <c r="L150" s="5">
        <f>交易明細!K70</f>
        <v/>
      </c>
      <c r="M150" s="16">
        <f>M135</f>
        <v/>
      </c>
      <c r="N150" s="2">
        <f>N135</f>
        <v/>
      </c>
      <c r="O150" s="16">
        <f>O135</f>
        <v/>
      </c>
      <c r="P150" s="4">
        <f>交易明細!L70</f>
        <v/>
      </c>
      <c r="Q150" s="10">
        <f>IF(N150="已下單",O150*P150,0)</f>
        <v/>
      </c>
      <c r="R150" s="10">
        <f>R149+Q150</f>
        <v/>
      </c>
      <c r="S150" s="16">
        <f>S149-IF(N150="已下單",M150,0)</f>
        <v/>
      </c>
      <c r="T150" s="16">
        <f>R150-S150</f>
        <v/>
      </c>
      <c r="U150" s="2">
        <f>U149-IF(N150="已下單",1,0)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46271.75</v>
      </c>
      <c r="C151" s="2" t="inlineStr">
        <is>
          <t>出場</t>
        </is>
      </c>
      <c r="D151" s="2" t="n">
        <v>63</v>
      </c>
      <c r="E151" s="2" t="inlineStr">
        <is>
          <t>LIT_USDT_PERP</t>
        </is>
      </c>
      <c r="F151" s="2" t="inlineStr">
        <is>
          <t>做多</t>
        </is>
      </c>
      <c r="G151" s="17" t="n">
        <v>4.817</v>
      </c>
      <c r="H151" s="17" t="n">
        <v>4.961510000000001</v>
      </c>
      <c r="I151" s="17" t="n">
        <v>4.57615</v>
      </c>
      <c r="J151" s="17" t="n">
        <v>4.57615</v>
      </c>
      <c r="K151" s="2" t="inlineStr">
        <is>
          <t>止損</t>
        </is>
      </c>
      <c r="L151" s="5">
        <f>交易明細!K64</f>
        <v/>
      </c>
      <c r="M151" s="16">
        <f>M122</f>
        <v/>
      </c>
      <c r="N151" s="2">
        <f>N122</f>
        <v/>
      </c>
      <c r="O151" s="16">
        <f>O122</f>
        <v/>
      </c>
      <c r="P151" s="4">
        <f>交易明細!L64</f>
        <v/>
      </c>
      <c r="Q151" s="10">
        <f>IF(N151="已下單",O151*P151,0)</f>
        <v/>
      </c>
      <c r="R151" s="10">
        <f>R150+Q151</f>
        <v/>
      </c>
      <c r="S151" s="16">
        <f>S150-IF(N151="已下單",M151,0)</f>
        <v/>
      </c>
      <c r="T151" s="16">
        <f>R151-S151</f>
        <v/>
      </c>
      <c r="U151" s="2">
        <f>U150-IF(N151="已下單",1,0)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46271.75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17" t="n">
        <v>0.01128</v>
      </c>
      <c r="H152" s="17" t="n">
        <v>0.0109416</v>
      </c>
      <c r="I152" s="17" t="n">
        <v>0.011844</v>
      </c>
      <c r="J152" s="17" t="n">
        <v>0.011844</v>
      </c>
      <c r="K152" s="2" t="inlineStr">
        <is>
          <t>止損</t>
        </is>
      </c>
      <c r="L152" s="5">
        <f>交易明細!K76</f>
        <v/>
      </c>
      <c r="M152" s="16">
        <f>M148</f>
        <v/>
      </c>
      <c r="N152" s="2">
        <f>N148</f>
        <v/>
      </c>
      <c r="O152" s="16">
        <f>O148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46271.75</v>
      </c>
      <c r="C153" s="2" t="inlineStr">
        <is>
          <t>進場</t>
        </is>
      </c>
      <c r="D153" s="2" t="n">
        <v>77</v>
      </c>
      <c r="E153" s="2" t="inlineStr">
        <is>
          <t>UAI_USDT_PERP</t>
        </is>
      </c>
      <c r="F153" s="2" t="inlineStr">
        <is>
          <t>做空</t>
        </is>
      </c>
      <c r="G153" s="17" t="n">
        <v>0.5347</v>
      </c>
      <c r="H153" s="17" t="n">
        <v>0.518659</v>
      </c>
      <c r="I153" s="17" t="n">
        <v>0.561435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46271.83333333334</v>
      </c>
      <c r="C154" s="2" t="inlineStr">
        <is>
          <t>出場</t>
        </is>
      </c>
      <c r="D154" s="2" t="n">
        <v>76</v>
      </c>
      <c r="E154" s="2" t="inlineStr">
        <is>
          <t>PONS_USDT_PERP</t>
        </is>
      </c>
      <c r="F154" s="2" t="inlineStr">
        <is>
          <t>做多</t>
        </is>
      </c>
      <c r="G154" s="17" t="n">
        <v>0.9263</v>
      </c>
      <c r="H154" s="17" t="n">
        <v>0.9540890000000001</v>
      </c>
      <c r="I154" s="17" t="n">
        <v>0.879985</v>
      </c>
      <c r="J154" s="17" t="n">
        <v>0.9540890000000001</v>
      </c>
      <c r="K154" s="2" t="inlineStr">
        <is>
          <t>止盈</t>
        </is>
      </c>
      <c r="L154" s="5">
        <f>交易明細!K77</f>
        <v/>
      </c>
      <c r="M154" s="16">
        <f>M149</f>
        <v/>
      </c>
      <c r="N154" s="2">
        <f>N149</f>
        <v/>
      </c>
      <c r="O154" s="16">
        <f>O149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46271.875</v>
      </c>
      <c r="C155" s="2" t="inlineStr">
        <is>
          <t>進場</t>
        </is>
      </c>
      <c r="D155" s="2" t="n">
        <v>78</v>
      </c>
      <c r="E155" s="2" t="inlineStr">
        <is>
          <t>LIT_USDT_PERP</t>
        </is>
      </c>
      <c r="F155" s="2" t="inlineStr">
        <is>
          <t>做空</t>
        </is>
      </c>
      <c r="G155" s="17" t="n">
        <v>4.533</v>
      </c>
      <c r="H155" s="17" t="n">
        <v>4.39701</v>
      </c>
      <c r="I155" s="17" t="n">
        <v>4.759650000000001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46271.95833333334</v>
      </c>
      <c r="C156" s="2" t="inlineStr">
        <is>
          <t>出場</t>
        </is>
      </c>
      <c r="D156" s="2" t="n">
        <v>77</v>
      </c>
      <c r="E156" s="2" t="inlineStr">
        <is>
          <t>UAI_USDT_PERP</t>
        </is>
      </c>
      <c r="F156" s="2" t="inlineStr">
        <is>
          <t>做空</t>
        </is>
      </c>
      <c r="G156" s="17" t="n">
        <v>0.5347</v>
      </c>
      <c r="H156" s="17" t="n">
        <v>0.518659</v>
      </c>
      <c r="I156" s="17" t="n">
        <v>0.561435</v>
      </c>
      <c r="J156" s="17" t="n">
        <v>0.561435</v>
      </c>
      <c r="K156" s="2" t="inlineStr">
        <is>
          <t>止損</t>
        </is>
      </c>
      <c r="L156" s="5">
        <f>交易明細!K78</f>
        <v/>
      </c>
      <c r="M156" s="16">
        <f>M153</f>
        <v/>
      </c>
      <c r="N156" s="2">
        <f>N153</f>
        <v/>
      </c>
      <c r="O156" s="16">
        <f>O153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46271.95833333334</v>
      </c>
      <c r="C157" s="2" t="inlineStr">
        <is>
          <t>進場</t>
        </is>
      </c>
      <c r="D157" s="2" t="n">
        <v>79</v>
      </c>
      <c r="E157" s="2" t="inlineStr">
        <is>
          <t>ARB_USDT_PERP</t>
        </is>
      </c>
      <c r="F157" s="2" t="inlineStr">
        <is>
          <t>做空</t>
        </is>
      </c>
      <c r="G157" s="17" t="n">
        <v>0.1862</v>
      </c>
      <c r="H157" s="17" t="n">
        <v>0.180614</v>
      </c>
      <c r="I157" s="17" t="n">
        <v>0.19551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46271.95833333334</v>
      </c>
      <c r="C158" s="2" t="inlineStr">
        <is>
          <t>進場</t>
        </is>
      </c>
      <c r="D158" s="2" t="n">
        <v>80</v>
      </c>
      <c r="E158" s="2" t="inlineStr">
        <is>
          <t>DASH_USDT_PERP</t>
        </is>
      </c>
      <c r="F158" s="2" t="inlineStr">
        <is>
          <t>做空</t>
        </is>
      </c>
      <c r="G158" s="17" t="n">
        <v>67.53</v>
      </c>
      <c r="H158" s="17" t="n">
        <v>65.50409999999999</v>
      </c>
      <c r="I158" s="17" t="n">
        <v>70.90650000000001</v>
      </c>
      <c r="J158" s="17" t="n"/>
      <c r="K158" s="2" t="n"/>
      <c r="L158" s="5" t="n"/>
      <c r="M158" s="16">
        <f>資金模擬!$B$5*V157</f>
        <v/>
      </c>
      <c r="N158" s="2">
        <f>IF(Z157=1,"已停止",IF(T157&gt;=M158,"已下單","資金不足略過"))</f>
        <v/>
      </c>
      <c r="O158" s="16">
        <f>IF(N158="已下單",M158*資金模擬!$B$7,0)</f>
        <v/>
      </c>
      <c r="P158" s="4" t="n"/>
      <c r="Q158" s="10" t="n">
        <v>0</v>
      </c>
      <c r="R158" s="10">
        <f>R157+Q158</f>
        <v/>
      </c>
      <c r="S158" s="16">
        <f>S157+IF(N158="已下單",M158,0)</f>
        <v/>
      </c>
      <c r="T158" s="16">
        <f>R158-S158</f>
        <v/>
      </c>
      <c r="U158" s="2">
        <f>U157+IF(N158="已下單",1,0)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46272</v>
      </c>
      <c r="C159" s="2" t="inlineStr">
        <is>
          <t>進場</t>
        </is>
      </c>
      <c r="D159" s="2" t="n">
        <v>81</v>
      </c>
      <c r="E159" s="2" t="inlineStr">
        <is>
          <t>BULLA_USDT_PERP</t>
        </is>
      </c>
      <c r="F159" s="2" t="inlineStr">
        <is>
          <t>做空</t>
        </is>
      </c>
      <c r="G159" s="17" t="n">
        <v>0.0756</v>
      </c>
      <c r="H159" s="17" t="n">
        <v>0.07333199999999999</v>
      </c>
      <c r="I159" s="17" t="n">
        <v>0.07938000000000001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46272.08333333334</v>
      </c>
      <c r="C160" s="2" t="inlineStr">
        <is>
          <t>出場</t>
        </is>
      </c>
      <c r="D160" s="2" t="n">
        <v>81</v>
      </c>
      <c r="E160" s="2" t="inlineStr">
        <is>
          <t>BULLA_USDT_PERP</t>
        </is>
      </c>
      <c r="F160" s="2" t="inlineStr">
        <is>
          <t>做空</t>
        </is>
      </c>
      <c r="G160" s="17" t="n">
        <v>0.0756</v>
      </c>
      <c r="H160" s="17" t="n">
        <v>0.07333199999999999</v>
      </c>
      <c r="I160" s="17" t="n">
        <v>0.07938000000000001</v>
      </c>
      <c r="J160" s="17" t="n">
        <v>0.07333199999999999</v>
      </c>
      <c r="K160" s="2" t="inlineStr">
        <is>
          <t>止盈</t>
        </is>
      </c>
      <c r="L160" s="5">
        <f>交易明細!K82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交易明細!L82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46272.125</v>
      </c>
      <c r="C161" s="2" t="inlineStr">
        <is>
          <t>出場</t>
        </is>
      </c>
      <c r="D161" s="2" t="n">
        <v>80</v>
      </c>
      <c r="E161" s="2" t="inlineStr">
        <is>
          <t>DASH_USDT_PERP</t>
        </is>
      </c>
      <c r="F161" s="2" t="inlineStr">
        <is>
          <t>做空</t>
        </is>
      </c>
      <c r="G161" s="17" t="n">
        <v>67.53</v>
      </c>
      <c r="H161" s="17" t="n">
        <v>65.50409999999999</v>
      </c>
      <c r="I161" s="17" t="n">
        <v>70.90650000000001</v>
      </c>
      <c r="J161" s="17" t="n">
        <v>70.90650000000001</v>
      </c>
      <c r="K161" s="2" t="inlineStr">
        <is>
          <t>止損</t>
        </is>
      </c>
      <c r="L161" s="5">
        <f>交易明細!K81</f>
        <v/>
      </c>
      <c r="M161" s="16">
        <f>M158</f>
        <v/>
      </c>
      <c r="N161" s="2">
        <f>N158</f>
        <v/>
      </c>
      <c r="O161" s="16">
        <f>O158</f>
        <v/>
      </c>
      <c r="P161" s="4">
        <f>交易明細!L81</f>
        <v/>
      </c>
      <c r="Q161" s="10">
        <f>IF(N161="已下單",O161*P161,0)</f>
        <v/>
      </c>
      <c r="R161" s="10">
        <f>R160+Q161</f>
        <v/>
      </c>
      <c r="S161" s="16">
        <f>S160-IF(N161="已下單",M161,0)</f>
        <v/>
      </c>
      <c r="T161" s="16">
        <f>R161-S161</f>
        <v/>
      </c>
      <c r="U161" s="2">
        <f>U160-IF(N161="已下單",1,0)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46272.125</v>
      </c>
      <c r="C162" s="2" t="inlineStr">
        <is>
          <t>進場</t>
        </is>
      </c>
      <c r="D162" s="2" t="n">
        <v>82</v>
      </c>
      <c r="E162" s="2" t="inlineStr">
        <is>
          <t>NEAR_USDT_PERP</t>
        </is>
      </c>
      <c r="F162" s="2" t="inlineStr">
        <is>
          <t>做多</t>
        </is>
      </c>
      <c r="G162" s="17" t="n">
        <v>2.427</v>
      </c>
      <c r="H162" s="17" t="n">
        <v>2.49981</v>
      </c>
      <c r="I162" s="17" t="n">
        <v>2.30565</v>
      </c>
      <c r="J162" s="17" t="n"/>
      <c r="K162" s="2" t="n"/>
      <c r="L162" s="5" t="n"/>
      <c r="M162" s="16">
        <f>資金模擬!$B$5*V161</f>
        <v/>
      </c>
      <c r="N162" s="2">
        <f>IF(Z161=1,"已停止",IF(T161&gt;=M162,"已下單","資金不足略過"))</f>
        <v/>
      </c>
      <c r="O162" s="16">
        <f>IF(N162="已下單",M162*資金模擬!$B$7,0)</f>
        <v/>
      </c>
      <c r="P162" s="4" t="n"/>
      <c r="Q162" s="10" t="n">
        <v>0</v>
      </c>
      <c r="R162" s="10">
        <f>R161+Q162</f>
        <v/>
      </c>
      <c r="S162" s="16">
        <f>S161+IF(N162="已下單",M162,0)</f>
        <v/>
      </c>
      <c r="T162" s="16">
        <f>R162-S162</f>
        <v/>
      </c>
      <c r="U162" s="2">
        <f>U161+IF(N162="已下單",1,0)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46272.16666666666</v>
      </c>
      <c r="C163" s="2" t="inlineStr">
        <is>
          <t>進場</t>
        </is>
      </c>
      <c r="D163" s="2" t="n">
        <v>83</v>
      </c>
      <c r="E163" s="2" t="inlineStr">
        <is>
          <t>AKE_USDT_PERP</t>
        </is>
      </c>
      <c r="F163" s="2" t="inlineStr">
        <is>
          <t>做空</t>
        </is>
      </c>
      <c r="G163" s="17" t="n">
        <v>0.0145755</v>
      </c>
      <c r="H163" s="17" t="n">
        <v>0.014138235</v>
      </c>
      <c r="I163" s="17" t="n">
        <v>0.015304275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46272.25</v>
      </c>
      <c r="C164" s="2" t="inlineStr">
        <is>
          <t>出場</t>
        </is>
      </c>
      <c r="D164" s="2" t="n">
        <v>54</v>
      </c>
      <c r="E164" s="2" t="inlineStr">
        <is>
          <t>XPL_USDT_PERP</t>
        </is>
      </c>
      <c r="F164" s="2" t="inlineStr">
        <is>
          <t>做空</t>
        </is>
      </c>
      <c r="G164" s="17" t="n">
        <v>0.092</v>
      </c>
      <c r="H164" s="17" t="n">
        <v>0.08924</v>
      </c>
      <c r="I164" s="17" t="n">
        <v>0.09660000000000001</v>
      </c>
      <c r="J164" s="17" t="n">
        <v>0.08924</v>
      </c>
      <c r="K164" s="2" t="inlineStr">
        <is>
          <t>止盈</t>
        </is>
      </c>
      <c r="L164" s="5">
        <f>交易明細!K55</f>
        <v/>
      </c>
      <c r="M164" s="16">
        <f>M105</f>
        <v/>
      </c>
      <c r="N164" s="2">
        <f>N105</f>
        <v/>
      </c>
      <c r="O164" s="16">
        <f>O105</f>
        <v/>
      </c>
      <c r="P164" s="4">
        <f>交易明細!L55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46272.25</v>
      </c>
      <c r="C165" s="2" t="inlineStr">
        <is>
          <t>進場</t>
        </is>
      </c>
      <c r="D165" s="2" t="n">
        <v>84</v>
      </c>
      <c r="E165" s="2" t="inlineStr">
        <is>
          <t>RAY_USDT_PERP</t>
        </is>
      </c>
      <c r="F165" s="2" t="inlineStr">
        <is>
          <t>做多</t>
        </is>
      </c>
      <c r="G165" s="17" t="n">
        <v>1.253</v>
      </c>
      <c r="H165" s="17" t="n">
        <v>1.29059</v>
      </c>
      <c r="I165" s="17" t="n">
        <v>1.19035</v>
      </c>
      <c r="J165" s="17" t="n"/>
      <c r="K165" s="2" t="n"/>
      <c r="L165" s="5" t="n"/>
      <c r="M165" s="16">
        <f>資金模擬!$B$5*V164</f>
        <v/>
      </c>
      <c r="N165" s="2">
        <f>IF(Z164=1,"已停止",IF(T164&gt;=M165,"已下單","資金不足略過"))</f>
        <v/>
      </c>
      <c r="O165" s="16">
        <f>IF(N165="已下單",M165*資金模擬!$B$7,0)</f>
        <v/>
      </c>
      <c r="P165" s="4" t="n"/>
      <c r="Q165" s="10" t="n">
        <v>0</v>
      </c>
      <c r="R165" s="10">
        <f>R164+Q165</f>
        <v/>
      </c>
      <c r="S165" s="16">
        <f>S164+IF(N165="已下單",M165,0)</f>
        <v/>
      </c>
      <c r="T165" s="16">
        <f>R165-S165</f>
        <v/>
      </c>
      <c r="U165" s="2">
        <f>U164+IF(N165="已下單",1,0)</f>
        <v/>
      </c>
      <c r="V165" s="16">
        <f>IF(資金模擬!$B$9=2,MAX(R165,0),MAX(V164,FLOOR(MAX(R165,0),資金模擬!$B$6)))</f>
        <v/>
      </c>
      <c r="W165" s="10">
        <f>MAX(W164,R165)</f>
        <v/>
      </c>
      <c r="X165" s="4">
        <f>IF(W165&gt;0,R165/W165-1,-1)</f>
        <v/>
      </c>
      <c r="Y165" s="16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46272.29166666666</v>
      </c>
      <c r="C166" s="2" t="inlineStr">
        <is>
          <t>出場</t>
        </is>
      </c>
      <c r="D166" s="2" t="n">
        <v>83</v>
      </c>
      <c r="E166" s="2" t="inlineStr">
        <is>
          <t>AKE_USDT_PERP</t>
        </is>
      </c>
      <c r="F166" s="2" t="inlineStr">
        <is>
          <t>做空</t>
        </is>
      </c>
      <c r="G166" s="17" t="n">
        <v>0.0145755</v>
      </c>
      <c r="H166" s="17" t="n">
        <v>0.014138235</v>
      </c>
      <c r="I166" s="17" t="n">
        <v>0.015304275</v>
      </c>
      <c r="J166" s="17" t="n">
        <v>0.014138235</v>
      </c>
      <c r="K166" s="2" t="inlineStr">
        <is>
          <t>止盈</t>
        </is>
      </c>
      <c r="L166" s="5">
        <f>交易明細!K84</f>
        <v/>
      </c>
      <c r="M166" s="16">
        <f>M163</f>
        <v/>
      </c>
      <c r="N166" s="2">
        <f>N163</f>
        <v/>
      </c>
      <c r="O166" s="16">
        <f>O163</f>
        <v/>
      </c>
      <c r="P166" s="4">
        <f>交易明細!L84</f>
        <v/>
      </c>
      <c r="Q166" s="10">
        <f>IF(N166="已下單",O166*P166,0)</f>
        <v/>
      </c>
      <c r="R166" s="10">
        <f>R165+Q166</f>
        <v/>
      </c>
      <c r="S166" s="16">
        <f>S165-IF(N166="已下單",M166,0)</f>
        <v/>
      </c>
      <c r="T166" s="16">
        <f>R166-S166</f>
        <v/>
      </c>
      <c r="U166" s="2">
        <f>U165-IF(N166="已下單",1,0)</f>
        <v/>
      </c>
      <c r="V166" s="16">
        <f>IF(資金模擬!$B$9=2,MAX(R166,0),MAX(V165,FLOOR(MAX(R166,0),資金模擬!$B$6)))</f>
        <v/>
      </c>
      <c r="W166" s="10">
        <f>MAX(W165,R166)</f>
        <v/>
      </c>
      <c r="X166" s="4">
        <f>IF(W166&gt;0,R166/W166-1,-1)</f>
        <v/>
      </c>
      <c r="Y166" s="16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46272.33333333334</v>
      </c>
      <c r="C167" s="2" t="inlineStr">
        <is>
          <t>出場</t>
        </is>
      </c>
      <c r="D167" s="2" t="n">
        <v>84</v>
      </c>
      <c r="E167" s="2" t="inlineStr">
        <is>
          <t>RAY_USDT_PERP</t>
        </is>
      </c>
      <c r="F167" s="2" t="inlineStr">
        <is>
          <t>做多</t>
        </is>
      </c>
      <c r="G167" s="17" t="n">
        <v>1.253</v>
      </c>
      <c r="H167" s="17" t="n">
        <v>1.29059</v>
      </c>
      <c r="I167" s="17" t="n">
        <v>1.19035</v>
      </c>
      <c r="J167" s="17" t="n">
        <v>1.29059</v>
      </c>
      <c r="K167" s="2" t="inlineStr">
        <is>
          <t>止盈</t>
        </is>
      </c>
      <c r="L167" s="5">
        <f>交易明細!K85</f>
        <v/>
      </c>
      <c r="M167" s="16">
        <f>M165</f>
        <v/>
      </c>
      <c r="N167" s="2">
        <f>N165</f>
        <v/>
      </c>
      <c r="O167" s="16">
        <f>O165</f>
        <v/>
      </c>
      <c r="P167" s="4">
        <f>交易明細!L85</f>
        <v/>
      </c>
      <c r="Q167" s="10">
        <f>IF(N167="已下單",O167*P167,0)</f>
        <v/>
      </c>
      <c r="R167" s="10">
        <f>R166+Q167</f>
        <v/>
      </c>
      <c r="S167" s="16">
        <f>S166-IF(N167="已下單",M167,0)</f>
        <v/>
      </c>
      <c r="T167" s="16">
        <f>R167-S167</f>
        <v/>
      </c>
      <c r="U167" s="2">
        <f>U166-IF(N167="已下單",1,0)</f>
        <v/>
      </c>
      <c r="V167" s="16">
        <f>IF(資金模擬!$B$9=2,MAX(R167,0),MAX(V166,FLOOR(MAX(R167,0),資金模擬!$B$6)))</f>
        <v/>
      </c>
      <c r="W167" s="10">
        <f>MAX(W166,R167)</f>
        <v/>
      </c>
      <c r="X167" s="4">
        <f>IF(W167&gt;0,R167/W167-1,-1)</f>
        <v/>
      </c>
      <c r="Y167" s="16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46272.375</v>
      </c>
      <c r="C168" s="2" t="inlineStr">
        <is>
          <t>進場</t>
        </is>
      </c>
      <c r="D168" s="2" t="n">
        <v>85</v>
      </c>
      <c r="E168" s="2" t="inlineStr">
        <is>
          <t>BULLA_USDT_PERP</t>
        </is>
      </c>
      <c r="F168" s="2" t="inlineStr">
        <is>
          <t>做空</t>
        </is>
      </c>
      <c r="G168" s="17" t="n">
        <v>0.07263</v>
      </c>
      <c r="H168" s="17" t="n">
        <v>0.0704511</v>
      </c>
      <c r="I168" s="17" t="n">
        <v>0.07626150000000001</v>
      </c>
      <c r="J168" s="17" t="n"/>
      <c r="K168" s="2" t="n"/>
      <c r="L168" s="5" t="n"/>
      <c r="M168" s="16">
        <f>資金模擬!$B$5*V167</f>
        <v/>
      </c>
      <c r="N168" s="2">
        <f>IF(Z167=1,"已停止",IF(T167&gt;=M168,"已下單","資金不足略過"))</f>
        <v/>
      </c>
      <c r="O168" s="16">
        <f>IF(N168="已下單",M168*資金模擬!$B$7,0)</f>
        <v/>
      </c>
      <c r="P168" s="4" t="n"/>
      <c r="Q168" s="10" t="n">
        <v>0</v>
      </c>
      <c r="R168" s="10">
        <f>R167+Q168</f>
        <v/>
      </c>
      <c r="S168" s="16">
        <f>S167+IF(N168="已下單",M168,0)</f>
        <v/>
      </c>
      <c r="T168" s="16">
        <f>R168-S168</f>
        <v/>
      </c>
      <c r="U168" s="2">
        <f>U167+IF(N168="已下單",1,0)</f>
        <v/>
      </c>
      <c r="V168" s="16">
        <f>IF(資金模擬!$B$9=2,MAX(R168,0),MAX(V167,FLOOR(MAX(R168,0),資金模擬!$B$6)))</f>
        <v/>
      </c>
      <c r="W168" s="10">
        <f>MAX(W167,R168)</f>
        <v/>
      </c>
      <c r="X168" s="4">
        <f>IF(W168&gt;0,R168/W168-1,-1)</f>
        <v/>
      </c>
      <c r="Y168" s="16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46272.5</v>
      </c>
      <c r="C169" s="2" t="inlineStr">
        <is>
          <t>出場</t>
        </is>
      </c>
      <c r="D169" s="2" t="n">
        <v>79</v>
      </c>
      <c r="E169" s="2" t="inlineStr">
        <is>
          <t>ARB_USDT_PERP</t>
        </is>
      </c>
      <c r="F169" s="2" t="inlineStr">
        <is>
          <t>做空</t>
        </is>
      </c>
      <c r="G169" s="17" t="n">
        <v>0.1862</v>
      </c>
      <c r="H169" s="17" t="n">
        <v>0.180614</v>
      </c>
      <c r="I169" s="17" t="n">
        <v>0.19551</v>
      </c>
      <c r="J169" s="17" t="n">
        <v>0.180614</v>
      </c>
      <c r="K169" s="2" t="inlineStr">
        <is>
          <t>止盈</t>
        </is>
      </c>
      <c r="L169" s="5">
        <f>交易明細!K80</f>
        <v/>
      </c>
      <c r="M169" s="16">
        <f>M157</f>
        <v/>
      </c>
      <c r="N169" s="2">
        <f>N157</f>
        <v/>
      </c>
      <c r="O169" s="16">
        <f>O157</f>
        <v/>
      </c>
      <c r="P169" s="4">
        <f>交易明細!L80</f>
        <v/>
      </c>
      <c r="Q169" s="10">
        <f>IF(N169="已下單",O169*P169,0)</f>
        <v/>
      </c>
      <c r="R169" s="10">
        <f>R168+Q169</f>
        <v/>
      </c>
      <c r="S169" s="16">
        <f>S168-IF(N169="已下單",M169,0)</f>
        <v/>
      </c>
      <c r="T169" s="16">
        <f>R169-S169</f>
        <v/>
      </c>
      <c r="U169" s="2">
        <f>U168-IF(N169="已下單",1,0)</f>
        <v/>
      </c>
      <c r="V169" s="16">
        <f>IF(資金模擬!$B$9=2,MAX(R169,0),MAX(V168,FLOOR(MAX(R169,0),資金模擬!$B$6)))</f>
        <v/>
      </c>
      <c r="W169" s="10">
        <f>MAX(W168,R169)</f>
        <v/>
      </c>
      <c r="X169" s="4">
        <f>IF(W169&gt;0,R169/W169-1,-1)</f>
        <v/>
      </c>
      <c r="Y169" s="16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46272.5</v>
      </c>
      <c r="C170" s="2" t="inlineStr">
        <is>
          <t>出場</t>
        </is>
      </c>
      <c r="D170" s="2" t="n">
        <v>85</v>
      </c>
      <c r="E170" s="2" t="inlineStr">
        <is>
          <t>BULLA_USDT_PERP</t>
        </is>
      </c>
      <c r="F170" s="2" t="inlineStr">
        <is>
          <t>做空</t>
        </is>
      </c>
      <c r="G170" s="17" t="n">
        <v>0.07263</v>
      </c>
      <c r="H170" s="17" t="n">
        <v>0.0704511</v>
      </c>
      <c r="I170" s="17" t="n">
        <v>0.07626150000000001</v>
      </c>
      <c r="J170" s="17" t="n">
        <v>0.07626150000000001</v>
      </c>
      <c r="K170" s="2" t="inlineStr">
        <is>
          <t>止損</t>
        </is>
      </c>
      <c r="L170" s="5">
        <f>交易明細!K86</f>
        <v/>
      </c>
      <c r="M170" s="16">
        <f>M168</f>
        <v/>
      </c>
      <c r="N170" s="2">
        <f>N168</f>
        <v/>
      </c>
      <c r="O170" s="16">
        <f>O168</f>
        <v/>
      </c>
      <c r="P170" s="4">
        <f>交易明細!L86</f>
        <v/>
      </c>
      <c r="Q170" s="10">
        <f>IF(N170="已下單",O170*P170,0)</f>
        <v/>
      </c>
      <c r="R170" s="10">
        <f>R169+Q170</f>
        <v/>
      </c>
      <c r="S170" s="16">
        <f>S169-IF(N170="已下單",M170,0)</f>
        <v/>
      </c>
      <c r="T170" s="16">
        <f>R170-S170</f>
        <v/>
      </c>
      <c r="U170" s="2">
        <f>U169-IF(N170="已下單",1,0)</f>
        <v/>
      </c>
      <c r="V170" s="16">
        <f>IF(資金模擬!$B$9=2,MAX(R170,0),MAX(V169,FLOOR(MAX(R170,0),資金模擬!$B$6)))</f>
        <v/>
      </c>
      <c r="W170" s="10">
        <f>MAX(W169,R170)</f>
        <v/>
      </c>
      <c r="X170" s="4">
        <f>IF(W170&gt;0,R170/W170-1,-1)</f>
        <v/>
      </c>
      <c r="Y170" s="16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46272.54166666666</v>
      </c>
      <c r="C171" s="2" t="inlineStr">
        <is>
          <t>出場</t>
        </is>
      </c>
      <c r="D171" s="2" t="n">
        <v>78</v>
      </c>
      <c r="E171" s="2" t="inlineStr">
        <is>
          <t>LIT_USDT_PERP</t>
        </is>
      </c>
      <c r="F171" s="2" t="inlineStr">
        <is>
          <t>做空</t>
        </is>
      </c>
      <c r="G171" s="17" t="n">
        <v>4.533</v>
      </c>
      <c r="H171" s="17" t="n">
        <v>4.39701</v>
      </c>
      <c r="I171" s="17" t="n">
        <v>4.759650000000001</v>
      </c>
      <c r="J171" s="17" t="n">
        <v>4.39701</v>
      </c>
      <c r="K171" s="2" t="inlineStr">
        <is>
          <t>止盈</t>
        </is>
      </c>
      <c r="L171" s="5">
        <f>交易明細!K79</f>
        <v/>
      </c>
      <c r="M171" s="16">
        <f>M155</f>
        <v/>
      </c>
      <c r="N171" s="2">
        <f>N155</f>
        <v/>
      </c>
      <c r="O171" s="16">
        <f>O155</f>
        <v/>
      </c>
      <c r="P171" s="4">
        <f>交易明細!L79</f>
        <v/>
      </c>
      <c r="Q171" s="10">
        <f>IF(N171="已下單",O171*P171,0)</f>
        <v/>
      </c>
      <c r="R171" s="10">
        <f>R170+Q171</f>
        <v/>
      </c>
      <c r="S171" s="16">
        <f>S170-IF(N171="已下單",M171,0)</f>
        <v/>
      </c>
      <c r="T171" s="16">
        <f>R171-S171</f>
        <v/>
      </c>
      <c r="U171" s="2">
        <f>U170-IF(N171="已下單",1,0)</f>
        <v/>
      </c>
      <c r="V171" s="16">
        <f>IF(資金模擬!$B$9=2,MAX(R171,0),MAX(V170,FLOOR(MAX(R171,0),資金模擬!$B$6)))</f>
        <v/>
      </c>
      <c r="W171" s="10">
        <f>MAX(W170,R171)</f>
        <v/>
      </c>
      <c r="X171" s="4">
        <f>IF(W171&gt;0,R171/W171-1,-1)</f>
        <v/>
      </c>
      <c r="Y171" s="16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46272.58333333334</v>
      </c>
      <c r="C172" s="2" t="inlineStr">
        <is>
          <t>進場</t>
        </is>
      </c>
      <c r="D172" s="2" t="n">
        <v>86</v>
      </c>
      <c r="E172" s="2" t="inlineStr">
        <is>
          <t>DASH_USDT_PERP</t>
        </is>
      </c>
      <c r="F172" s="2" t="inlineStr">
        <is>
          <t>做空</t>
        </is>
      </c>
      <c r="G172" s="17" t="n">
        <v>67.29000000000001</v>
      </c>
      <c r="H172" s="17" t="n">
        <v>65.27130000000001</v>
      </c>
      <c r="I172" s="17" t="n">
        <v>70.65450000000001</v>
      </c>
      <c r="J172" s="17" t="n"/>
      <c r="K172" s="2" t="n"/>
      <c r="L172" s="5" t="n"/>
      <c r="M172" s="16">
        <f>資金模擬!$B$5*V171</f>
        <v/>
      </c>
      <c r="N172" s="2">
        <f>IF(Z171=1,"已停止",IF(T171&gt;=M172,"已下單","資金不足略過"))</f>
        <v/>
      </c>
      <c r="O172" s="16">
        <f>IF(N172="已下單",M172*資金模擬!$B$7,0)</f>
        <v/>
      </c>
      <c r="P172" s="4" t="n"/>
      <c r="Q172" s="10" t="n">
        <v>0</v>
      </c>
      <c r="R172" s="10">
        <f>R171+Q172</f>
        <v/>
      </c>
      <c r="S172" s="16">
        <f>S171+IF(N172="已下單",M172,0)</f>
        <v/>
      </c>
      <c r="T172" s="16">
        <f>R172-S172</f>
        <v/>
      </c>
      <c r="U172" s="2">
        <f>U171+IF(N172="已下單",1,0)</f>
        <v/>
      </c>
      <c r="V172" s="16">
        <f>IF(資金模擬!$B$9=2,MAX(R172,0),MAX(V171,FLOOR(MAX(R172,0),資金模擬!$B$6)))</f>
        <v/>
      </c>
      <c r="W172" s="10">
        <f>MAX(W171,R172)</f>
        <v/>
      </c>
      <c r="X172" s="4">
        <f>IF(W172&gt;0,R172/W172-1,-1)</f>
        <v/>
      </c>
      <c r="Y172" s="16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46272.625</v>
      </c>
      <c r="C173" s="2" t="inlineStr">
        <is>
          <t>進場</t>
        </is>
      </c>
      <c r="D173" s="2" t="n">
        <v>87</v>
      </c>
      <c r="E173" s="2" t="inlineStr">
        <is>
          <t>UAI_USDT_PERP</t>
        </is>
      </c>
      <c r="F173" s="2" t="inlineStr">
        <is>
          <t>做多</t>
        </is>
      </c>
      <c r="G173" s="17" t="n">
        <v>0.6192</v>
      </c>
      <c r="H173" s="17" t="n">
        <v>0.637776</v>
      </c>
      <c r="I173" s="17" t="n">
        <v>0.58824</v>
      </c>
      <c r="J173" s="17" t="n"/>
      <c r="K173" s="2" t="n"/>
      <c r="L173" s="5" t="n"/>
      <c r="M173" s="16">
        <f>資金模擬!$B$5*V172</f>
        <v/>
      </c>
      <c r="N173" s="2">
        <f>IF(Z172=1,"已停止",IF(T172&gt;=M173,"已下單","資金不足略過"))</f>
        <v/>
      </c>
      <c r="O173" s="16">
        <f>IF(N173="已下單",M173*資金模擬!$B$7,0)</f>
        <v/>
      </c>
      <c r="P173" s="4" t="n"/>
      <c r="Q173" s="10" t="n">
        <v>0</v>
      </c>
      <c r="R173" s="10">
        <f>R172+Q173</f>
        <v/>
      </c>
      <c r="S173" s="16">
        <f>S172+IF(N173="已下單",M173,0)</f>
        <v/>
      </c>
      <c r="T173" s="16">
        <f>R173-S173</f>
        <v/>
      </c>
      <c r="U173" s="2">
        <f>U172+IF(N173="已下單",1,0)</f>
        <v/>
      </c>
      <c r="V173" s="16">
        <f>IF(資金模擬!$B$9=2,MAX(R173,0),MAX(V172,FLOOR(MAX(R173,0),資金模擬!$B$6)))</f>
        <v/>
      </c>
      <c r="W173" s="10">
        <f>MAX(W172,R173)</f>
        <v/>
      </c>
      <c r="X173" s="4">
        <f>IF(W173&gt;0,R173/W173-1,-1)</f>
        <v/>
      </c>
      <c r="Y173" s="16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46272.62569444445</v>
      </c>
      <c r="C174" s="2" t="inlineStr">
        <is>
          <t>出場</t>
        </is>
      </c>
      <c r="D174" s="2" t="n">
        <v>87</v>
      </c>
      <c r="E174" s="2" t="inlineStr">
        <is>
          <t>UAI_USDT_PERP</t>
        </is>
      </c>
      <c r="F174" s="2" t="inlineStr">
        <is>
          <t>做多</t>
        </is>
      </c>
      <c r="G174" s="17" t="n">
        <v>0.6192</v>
      </c>
      <c r="H174" s="17" t="n">
        <v>0.637776</v>
      </c>
      <c r="I174" s="17" t="n">
        <v>0.58824</v>
      </c>
      <c r="J174" s="17" t="n">
        <v>0.637776</v>
      </c>
      <c r="K174" s="2" t="inlineStr">
        <is>
          <t>止盈</t>
        </is>
      </c>
      <c r="L174" s="5">
        <f>交易明細!K88</f>
        <v/>
      </c>
      <c r="M174" s="16">
        <f>M173</f>
        <v/>
      </c>
      <c r="N174" s="2">
        <f>N173</f>
        <v/>
      </c>
      <c r="O174" s="16">
        <f>O173</f>
        <v/>
      </c>
      <c r="P174" s="4">
        <f>交易明細!L88</f>
        <v/>
      </c>
      <c r="Q174" s="10">
        <f>IF(N174="已下單",O174*P174,0)</f>
        <v/>
      </c>
      <c r="R174" s="10">
        <f>R173+Q174</f>
        <v/>
      </c>
      <c r="S174" s="16">
        <f>S173-IF(N174="已下單",M174,0)</f>
        <v/>
      </c>
      <c r="T174" s="16">
        <f>R174-S174</f>
        <v/>
      </c>
      <c r="U174" s="2">
        <f>U173-IF(N174="已下單",1,0)</f>
        <v/>
      </c>
      <c r="V174" s="16">
        <f>IF(資金模擬!$B$9=2,MAX(R174,0),MAX(V173,FLOOR(MAX(R174,0),資金模擬!$B$6)))</f>
        <v/>
      </c>
      <c r="W174" s="10">
        <f>MAX(W173,R174)</f>
        <v/>
      </c>
      <c r="X174" s="4">
        <f>IF(W174&gt;0,R174/W174-1,-1)</f>
        <v/>
      </c>
      <c r="Y174" s="16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46272.66666666666</v>
      </c>
      <c r="C175" s="2" t="inlineStr">
        <is>
          <t>出場</t>
        </is>
      </c>
      <c r="D175" s="2" t="n">
        <v>82</v>
      </c>
      <c r="E175" s="2" t="inlineStr">
        <is>
          <t>NEAR_USDT_PERP</t>
        </is>
      </c>
      <c r="F175" s="2" t="inlineStr">
        <is>
          <t>做多</t>
        </is>
      </c>
      <c r="G175" s="17" t="n">
        <v>2.427</v>
      </c>
      <c r="H175" s="17" t="n">
        <v>2.49981</v>
      </c>
      <c r="I175" s="17" t="n">
        <v>2.30565</v>
      </c>
      <c r="J175" s="17" t="n">
        <v>2.30565</v>
      </c>
      <c r="K175" s="2" t="inlineStr">
        <is>
          <t>止損</t>
        </is>
      </c>
      <c r="L175" s="5">
        <f>交易明細!K83</f>
        <v/>
      </c>
      <c r="M175" s="16">
        <f>M162</f>
        <v/>
      </c>
      <c r="N175" s="2">
        <f>N162</f>
        <v/>
      </c>
      <c r="O175" s="16">
        <f>O162</f>
        <v/>
      </c>
      <c r="P175" s="4">
        <f>交易明細!L83</f>
        <v/>
      </c>
      <c r="Q175" s="10">
        <f>IF(N175="已下單",O175*P175,0)</f>
        <v/>
      </c>
      <c r="R175" s="10">
        <f>R174+Q175</f>
        <v/>
      </c>
      <c r="S175" s="16">
        <f>S174-IF(N175="已下單",M175,0)</f>
        <v/>
      </c>
      <c r="T175" s="16">
        <f>R175-S175</f>
        <v/>
      </c>
      <c r="U175" s="2">
        <f>U174-IF(N175="已下單",1,0)</f>
        <v/>
      </c>
      <c r="V175" s="16">
        <f>IF(資金模擬!$B$9=2,MAX(R175,0),MAX(V174,FLOOR(MAX(R175,0),資金模擬!$B$6)))</f>
        <v/>
      </c>
      <c r="W175" s="10">
        <f>MAX(W174,R175)</f>
        <v/>
      </c>
      <c r="X175" s="4">
        <f>IF(W175&gt;0,R175/W175-1,-1)</f>
        <v/>
      </c>
      <c r="Y175" s="16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46272.75</v>
      </c>
      <c r="C176" s="2" t="inlineStr">
        <is>
          <t>進場</t>
        </is>
      </c>
      <c r="D176" s="2" t="n">
        <v>88</v>
      </c>
      <c r="E176" s="2" t="inlineStr">
        <is>
          <t>UAI_USDT_PERP</t>
        </is>
      </c>
      <c r="F176" s="2" t="inlineStr">
        <is>
          <t>做多</t>
        </is>
      </c>
      <c r="G176" s="17" t="n">
        <v>0.6352</v>
      </c>
      <c r="H176" s="17" t="n">
        <v>0.6542559999999999</v>
      </c>
      <c r="I176" s="17" t="n">
        <v>0.60344</v>
      </c>
      <c r="J176" s="17" t="n"/>
      <c r="K176" s="2" t="n"/>
      <c r="L176" s="5" t="n"/>
      <c r="M176" s="16">
        <f>資金模擬!$B$5*V175</f>
        <v/>
      </c>
      <c r="N176" s="2">
        <f>IF(Z175=1,"已停止",IF(T175&gt;=M176,"已下單","資金不足略過"))</f>
        <v/>
      </c>
      <c r="O176" s="16">
        <f>IF(N176="已下單",M176*資金模擬!$B$7,0)</f>
        <v/>
      </c>
      <c r="P176" s="4" t="n"/>
      <c r="Q176" s="10" t="n">
        <v>0</v>
      </c>
      <c r="R176" s="10">
        <f>R175+Q176</f>
        <v/>
      </c>
      <c r="S176" s="16">
        <f>S175+IF(N176="已下單",M176,0)</f>
        <v/>
      </c>
      <c r="T176" s="16">
        <f>R176-S176</f>
        <v/>
      </c>
      <c r="U176" s="2">
        <f>U175+IF(N176="已下單",1,0)</f>
        <v/>
      </c>
      <c r="V176" s="16">
        <f>IF(資金模擬!$B$9=2,MAX(R176,0),MAX(V175,FLOOR(MAX(R176,0),資金模擬!$B$6)))</f>
        <v/>
      </c>
      <c r="W176" s="10">
        <f>MAX(W175,R176)</f>
        <v/>
      </c>
      <c r="X176" s="4">
        <f>IF(W176&gt;0,R176/W176-1,-1)</f>
        <v/>
      </c>
      <c r="Y176" s="16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46272.75</v>
      </c>
      <c r="C177" s="2" t="inlineStr">
        <is>
          <t>進場</t>
        </is>
      </c>
      <c r="D177" s="2" t="n">
        <v>89</v>
      </c>
      <c r="E177" s="2" t="inlineStr">
        <is>
          <t>USELESS_USDT_PERP</t>
        </is>
      </c>
      <c r="F177" s="2" t="inlineStr">
        <is>
          <t>做多</t>
        </is>
      </c>
      <c r="G177" s="17" t="n">
        <v>0.22899</v>
      </c>
      <c r="H177" s="17" t="n">
        <v>0.2358597</v>
      </c>
      <c r="I177" s="17" t="n">
        <v>0.2175405</v>
      </c>
      <c r="J177" s="17" t="n"/>
      <c r="K177" s="2" t="n"/>
      <c r="L177" s="5" t="n"/>
      <c r="M177" s="16">
        <f>資金模擬!$B$5*V176</f>
        <v/>
      </c>
      <c r="N177" s="2">
        <f>IF(Z176=1,"已停止",IF(T176&gt;=M177,"已下單","資金不足略過"))</f>
        <v/>
      </c>
      <c r="O177" s="16">
        <f>IF(N177="已下單",M177*資金模擬!$B$7,0)</f>
        <v/>
      </c>
      <c r="P177" s="4" t="n"/>
      <c r="Q177" s="10" t="n">
        <v>0</v>
      </c>
      <c r="R177" s="10">
        <f>R176+Q177</f>
        <v/>
      </c>
      <c r="S177" s="16">
        <f>S176+IF(N177="已下單",M177,0)</f>
        <v/>
      </c>
      <c r="T177" s="16">
        <f>R177-S177</f>
        <v/>
      </c>
      <c r="U177" s="2">
        <f>U176+IF(N177="已下單",1,0)</f>
        <v/>
      </c>
      <c r="V177" s="16">
        <f>IF(資金模擬!$B$9=2,MAX(R177,0),MAX(V176,FLOOR(MAX(R177,0),資金模擬!$B$6)))</f>
        <v/>
      </c>
      <c r="W177" s="10">
        <f>MAX(W176,R177)</f>
        <v/>
      </c>
      <c r="X177" s="4">
        <f>IF(W177&gt;0,R177/W177-1,-1)</f>
        <v/>
      </c>
      <c r="Y177" s="16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46272.79166666666</v>
      </c>
      <c r="C178" s="2" t="inlineStr">
        <is>
          <t>出場</t>
        </is>
      </c>
      <c r="D178" s="2" t="n">
        <v>89</v>
      </c>
      <c r="E178" s="2" t="inlineStr">
        <is>
          <t>USELESS_USDT_PERP</t>
        </is>
      </c>
      <c r="F178" s="2" t="inlineStr">
        <is>
          <t>做多</t>
        </is>
      </c>
      <c r="G178" s="17" t="n">
        <v>0.22899</v>
      </c>
      <c r="H178" s="17" t="n">
        <v>0.2358597</v>
      </c>
      <c r="I178" s="17" t="n">
        <v>0.2175405</v>
      </c>
      <c r="J178" s="17" t="n">
        <v>0.2358597</v>
      </c>
      <c r="K178" s="2" t="inlineStr">
        <is>
          <t>止盈</t>
        </is>
      </c>
      <c r="L178" s="5">
        <f>交易明細!K90</f>
        <v/>
      </c>
      <c r="M178" s="16">
        <f>M177</f>
        <v/>
      </c>
      <c r="N178" s="2">
        <f>N177</f>
        <v/>
      </c>
      <c r="O178" s="16">
        <f>O177</f>
        <v/>
      </c>
      <c r="P178" s="4">
        <f>交易明細!L90</f>
        <v/>
      </c>
      <c r="Q178" s="10">
        <f>IF(N178="已下單",O178*P178,0)</f>
        <v/>
      </c>
      <c r="R178" s="10">
        <f>R177+Q178</f>
        <v/>
      </c>
      <c r="S178" s="16">
        <f>S177-IF(N178="已下單",M178,0)</f>
        <v/>
      </c>
      <c r="T178" s="16">
        <f>R178-S178</f>
        <v/>
      </c>
      <c r="U178" s="2">
        <f>U177-IF(N178="已下單",1,0)</f>
        <v/>
      </c>
      <c r="V178" s="16">
        <f>IF(資金模擬!$B$9=2,MAX(R178,0),MAX(V177,FLOOR(MAX(R178,0),資金模擬!$B$6)))</f>
        <v/>
      </c>
      <c r="W178" s="10">
        <f>MAX(W177,R178)</f>
        <v/>
      </c>
      <c r="X178" s="4">
        <f>IF(W178&gt;0,R178/W178-1,-1)</f>
        <v/>
      </c>
      <c r="Y178" s="16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46272.875</v>
      </c>
      <c r="C179" s="2" t="inlineStr">
        <is>
          <t>出場</t>
        </is>
      </c>
      <c r="D179" s="2" t="n">
        <v>88</v>
      </c>
      <c r="E179" s="2" t="inlineStr">
        <is>
          <t>UAI_USDT_PERP</t>
        </is>
      </c>
      <c r="F179" s="2" t="inlineStr">
        <is>
          <t>做多</t>
        </is>
      </c>
      <c r="G179" s="17" t="n">
        <v>0.6352</v>
      </c>
      <c r="H179" s="17" t="n">
        <v>0.6542559999999999</v>
      </c>
      <c r="I179" s="17" t="n">
        <v>0.60344</v>
      </c>
      <c r="J179" s="17" t="n">
        <v>0.6542559999999999</v>
      </c>
      <c r="K179" s="2" t="inlineStr">
        <is>
          <t>止盈</t>
        </is>
      </c>
      <c r="L179" s="5">
        <f>交易明細!K89</f>
        <v/>
      </c>
      <c r="M179" s="16">
        <f>M176</f>
        <v/>
      </c>
      <c r="N179" s="2">
        <f>N176</f>
        <v/>
      </c>
      <c r="O179" s="16">
        <f>O176</f>
        <v/>
      </c>
      <c r="P179" s="4">
        <f>交易明細!L89</f>
        <v/>
      </c>
      <c r="Q179" s="10">
        <f>IF(N179="已下單",O179*P179,0)</f>
        <v/>
      </c>
      <c r="R179" s="10">
        <f>R178+Q179</f>
        <v/>
      </c>
      <c r="S179" s="16">
        <f>S178-IF(N179="已下單",M179,0)</f>
        <v/>
      </c>
      <c r="T179" s="16">
        <f>R179-S179</f>
        <v/>
      </c>
      <c r="U179" s="2">
        <f>U178-IF(N179="已下單",1,0)</f>
        <v/>
      </c>
      <c r="V179" s="16">
        <f>IF(資金模擬!$B$9=2,MAX(R179,0),MAX(V178,FLOOR(MAX(R179,0),資金模擬!$B$6)))</f>
        <v/>
      </c>
      <c r="W179" s="10">
        <f>MAX(W178,R179)</f>
        <v/>
      </c>
      <c r="X179" s="4">
        <f>IF(W179&gt;0,R179/W179-1,-1)</f>
        <v/>
      </c>
      <c r="Y179" s="16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46272.875</v>
      </c>
      <c r="C180" s="2" t="inlineStr">
        <is>
          <t>進場</t>
        </is>
      </c>
      <c r="D180" s="2" t="n">
        <v>90</v>
      </c>
      <c r="E180" s="2" t="inlineStr">
        <is>
          <t>USELESS_USDT_PERP</t>
        </is>
      </c>
      <c r="F180" s="2" t="inlineStr">
        <is>
          <t>做多</t>
        </is>
      </c>
      <c r="G180" s="17" t="n">
        <v>0.2333</v>
      </c>
      <c r="H180" s="17" t="n">
        <v>0.240299</v>
      </c>
      <c r="I180" s="17" t="n">
        <v>0.221635</v>
      </c>
      <c r="J180" s="17" t="n"/>
      <c r="K180" s="2" t="n"/>
      <c r="L180" s="5" t="n"/>
      <c r="M180" s="16">
        <f>資金模擬!$B$5*V179</f>
        <v/>
      </c>
      <c r="N180" s="2">
        <f>IF(Z179=1,"已停止",IF(T179&gt;=M180,"已下單","資金不足略過"))</f>
        <v/>
      </c>
      <c r="O180" s="16">
        <f>IF(N180="已下單",M180*資金模擬!$B$7,0)</f>
        <v/>
      </c>
      <c r="P180" s="4" t="n"/>
      <c r="Q180" s="10" t="n">
        <v>0</v>
      </c>
      <c r="R180" s="10">
        <f>R179+Q180</f>
        <v/>
      </c>
      <c r="S180" s="16">
        <f>S179+IF(N180="已下單",M180,0)</f>
        <v/>
      </c>
      <c r="T180" s="16">
        <f>R180-S180</f>
        <v/>
      </c>
      <c r="U180" s="2">
        <f>U179+IF(N180="已下單",1,0)</f>
        <v/>
      </c>
      <c r="V180" s="16">
        <f>IF(資金模擬!$B$9=2,MAX(R180,0),MAX(V179,FLOOR(MAX(R180,0),資金模擬!$B$6)))</f>
        <v/>
      </c>
      <c r="W180" s="10">
        <f>MAX(W179,R180)</f>
        <v/>
      </c>
      <c r="X180" s="4">
        <f>IF(W180&gt;0,R180/W180-1,-1)</f>
        <v/>
      </c>
      <c r="Y180" s="16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46272.91666666666</v>
      </c>
      <c r="C181" s="2" t="inlineStr">
        <is>
          <t>進場</t>
        </is>
      </c>
      <c r="D181" s="2" t="n">
        <v>91</v>
      </c>
      <c r="E181" s="2" t="inlineStr">
        <is>
          <t>RAY_USDT_PERP</t>
        </is>
      </c>
      <c r="F181" s="2" t="inlineStr">
        <is>
          <t>做空</t>
        </is>
      </c>
      <c r="G181" s="17" t="n">
        <v>1.177</v>
      </c>
      <c r="H181" s="17" t="n">
        <v>1.14169</v>
      </c>
      <c r="I181" s="17" t="n">
        <v>1.23585</v>
      </c>
      <c r="J181" s="17" t="n"/>
      <c r="K181" s="2" t="n"/>
      <c r="L181" s="5" t="n"/>
      <c r="M181" s="16">
        <f>資金模擬!$B$5*V180</f>
        <v/>
      </c>
      <c r="N181" s="2">
        <f>IF(Z180=1,"已停止",IF(T180&gt;=M181,"已下單","資金不足略過"))</f>
        <v/>
      </c>
      <c r="O181" s="16">
        <f>IF(N181="已下單",M181*資金模擬!$B$7,0)</f>
        <v/>
      </c>
      <c r="P181" s="4" t="n"/>
      <c r="Q181" s="10" t="n">
        <v>0</v>
      </c>
      <c r="R181" s="10">
        <f>R180+Q181</f>
        <v/>
      </c>
      <c r="S181" s="16">
        <f>S180+IF(N181="已下單",M181,0)</f>
        <v/>
      </c>
      <c r="T181" s="16">
        <f>R181-S181</f>
        <v/>
      </c>
      <c r="U181" s="2">
        <f>U180+IF(N181="已下單",1,0)</f>
        <v/>
      </c>
      <c r="V181" s="16">
        <f>IF(資金模擬!$B$9=2,MAX(R181,0),MAX(V180,FLOOR(MAX(R181,0),資金模擬!$B$6)))</f>
        <v/>
      </c>
      <c r="W181" s="10">
        <f>MAX(W180,R181)</f>
        <v/>
      </c>
      <c r="X181" s="4">
        <f>IF(W181&gt;0,R181/W181-1,-1)</f>
        <v/>
      </c>
      <c r="Y181" s="16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46272.95833333334</v>
      </c>
      <c r="C182" s="2" t="inlineStr">
        <is>
          <t>進場</t>
        </is>
      </c>
      <c r="D182" s="2" t="n">
        <v>92</v>
      </c>
      <c r="E182" s="2" t="inlineStr">
        <is>
          <t>BULLA_USDT_PERP</t>
        </is>
      </c>
      <c r="F182" s="2" t="inlineStr">
        <is>
          <t>做多</t>
        </is>
      </c>
      <c r="G182" s="17" t="n">
        <v>0.08132</v>
      </c>
      <c r="H182" s="17" t="n">
        <v>0.0837596</v>
      </c>
      <c r="I182" s="17" t="n">
        <v>0.077254</v>
      </c>
      <c r="J182" s="17" t="n"/>
      <c r="K182" s="2" t="n"/>
      <c r="L182" s="5" t="n"/>
      <c r="M182" s="16">
        <f>資金模擬!$B$5*V181</f>
        <v/>
      </c>
      <c r="N182" s="2">
        <f>IF(Z181=1,"已停止",IF(T181&gt;=M182,"已下單","資金不足略過"))</f>
        <v/>
      </c>
      <c r="O182" s="16">
        <f>IF(N182="已下單",M182*資金模擬!$B$7,0)</f>
        <v/>
      </c>
      <c r="P182" s="4" t="n"/>
      <c r="Q182" s="10" t="n">
        <v>0</v>
      </c>
      <c r="R182" s="10">
        <f>R181+Q182</f>
        <v/>
      </c>
      <c r="S182" s="16">
        <f>S181+IF(N182="已下單",M182,0)</f>
        <v/>
      </c>
      <c r="T182" s="16">
        <f>R182-S182</f>
        <v/>
      </c>
      <c r="U182" s="2">
        <f>U181+IF(N182="已下單",1,0)</f>
        <v/>
      </c>
      <c r="V182" s="16">
        <f>IF(資金模擬!$B$9=2,MAX(R182,0),MAX(V181,FLOOR(MAX(R182,0),資金模擬!$B$6)))</f>
        <v/>
      </c>
      <c r="W182" s="10">
        <f>MAX(W181,R182)</f>
        <v/>
      </c>
      <c r="X182" s="4">
        <f>IF(W182&gt;0,R182/W182-1,-1)</f>
        <v/>
      </c>
      <c r="Y182" s="16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46272.95833333334</v>
      </c>
      <c r="C183" s="2" t="inlineStr">
        <is>
          <t>進場</t>
        </is>
      </c>
      <c r="D183" s="2" t="n">
        <v>93</v>
      </c>
      <c r="E183" s="2" t="inlineStr">
        <is>
          <t>MARSCOIN_USDT_PERP</t>
        </is>
      </c>
      <c r="F183" s="2" t="inlineStr">
        <is>
          <t>做空</t>
        </is>
      </c>
      <c r="G183" s="17" t="n">
        <v>0.16448</v>
      </c>
      <c r="H183" s="17" t="n">
        <v>0.1595456</v>
      </c>
      <c r="I183" s="17" t="n">
        <v>0.172704</v>
      </c>
      <c r="J183" s="17" t="n"/>
      <c r="K183" s="2" t="n"/>
      <c r="L183" s="5" t="n"/>
      <c r="M183" s="16">
        <f>資金模擬!$B$5*V182</f>
        <v/>
      </c>
      <c r="N183" s="2">
        <f>IF(Z182=1,"已停止",IF(T182&gt;=M183,"已下單","資金不足略過"))</f>
        <v/>
      </c>
      <c r="O183" s="16">
        <f>IF(N183="已下單",M183*資金模擬!$B$7,0)</f>
        <v/>
      </c>
      <c r="P183" s="4" t="n"/>
      <c r="Q183" s="10" t="n">
        <v>0</v>
      </c>
      <c r="R183" s="10">
        <f>R182+Q183</f>
        <v/>
      </c>
      <c r="S183" s="16">
        <f>S182+IF(N183="已下單",M183,0)</f>
        <v/>
      </c>
      <c r="T183" s="16">
        <f>R183-S183</f>
        <v/>
      </c>
      <c r="U183" s="2">
        <f>U182+IF(N183="已下單",1,0)</f>
        <v/>
      </c>
      <c r="V183" s="16">
        <f>IF(資金模擬!$B$9=2,MAX(R183,0),MAX(V182,FLOOR(MAX(R183,0),資金模擬!$B$6)))</f>
        <v/>
      </c>
      <c r="W183" s="10">
        <f>MAX(W182,R183)</f>
        <v/>
      </c>
      <c r="X183" s="4">
        <f>IF(W183&gt;0,R183/W183-1,-1)</f>
        <v/>
      </c>
      <c r="Y183" s="16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46272.95833333334</v>
      </c>
      <c r="C184" s="2" t="inlineStr">
        <is>
          <t>進場</t>
        </is>
      </c>
      <c r="D184" s="2" t="n">
        <v>94</v>
      </c>
      <c r="E184" s="2" t="inlineStr">
        <is>
          <t>PONS_USDT_PERP</t>
        </is>
      </c>
      <c r="F184" s="2" t="inlineStr">
        <is>
          <t>做空</t>
        </is>
      </c>
      <c r="G184" s="17" t="n">
        <v>0.7688</v>
      </c>
      <c r="H184" s="17" t="n">
        <v>0.7457360000000001</v>
      </c>
      <c r="I184" s="17" t="n">
        <v>0.8072400000000001</v>
      </c>
      <c r="J184" s="17" t="n"/>
      <c r="K184" s="2" t="n"/>
      <c r="L184" s="5" t="n"/>
      <c r="M184" s="16">
        <f>資金模擬!$B$5*V183</f>
        <v/>
      </c>
      <c r="N184" s="2">
        <f>IF(Z183=1,"已停止",IF(T183&gt;=M184,"已下單","資金不足略過"))</f>
        <v/>
      </c>
      <c r="O184" s="16">
        <f>IF(N184="已下單",M184*資金模擬!$B$7,0)</f>
        <v/>
      </c>
      <c r="P184" s="4" t="n"/>
      <c r="Q184" s="10" t="n">
        <v>0</v>
      </c>
      <c r="R184" s="10">
        <f>R183+Q184</f>
        <v/>
      </c>
      <c r="S184" s="16">
        <f>S183+IF(N184="已下單",M184,0)</f>
        <v/>
      </c>
      <c r="T184" s="16">
        <f>R184-S184</f>
        <v/>
      </c>
      <c r="U184" s="2">
        <f>U183+IF(N184="已下單",1,0)</f>
        <v/>
      </c>
      <c r="V184" s="16">
        <f>IF(資金模擬!$B$9=2,MAX(R184,0),MAX(V183,FLOOR(MAX(R184,0),資金模擬!$B$6)))</f>
        <v/>
      </c>
      <c r="W184" s="10">
        <f>MAX(W183,R184)</f>
        <v/>
      </c>
      <c r="X184" s="4">
        <f>IF(W184&gt;0,R184/W184-1,-1)</f>
        <v/>
      </c>
      <c r="Y184" s="16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46273</v>
      </c>
      <c r="C185" s="2" t="inlineStr">
        <is>
          <t>出場</t>
        </is>
      </c>
      <c r="D185" s="2" t="n">
        <v>86</v>
      </c>
      <c r="E185" s="2" t="inlineStr">
        <is>
          <t>DASH_USDT_PERP</t>
        </is>
      </c>
      <c r="F185" s="2" t="inlineStr">
        <is>
          <t>做空</t>
        </is>
      </c>
      <c r="G185" s="17" t="n">
        <v>67.29000000000001</v>
      </c>
      <c r="H185" s="17" t="n">
        <v>65.27130000000001</v>
      </c>
      <c r="I185" s="17" t="n">
        <v>70.65450000000001</v>
      </c>
      <c r="J185" s="17" t="n">
        <v>65.27130000000001</v>
      </c>
      <c r="K185" s="2" t="inlineStr">
        <is>
          <t>止盈</t>
        </is>
      </c>
      <c r="L185" s="5">
        <f>交易明細!K87</f>
        <v/>
      </c>
      <c r="M185" s="16">
        <f>M172</f>
        <v/>
      </c>
      <c r="N185" s="2">
        <f>N172</f>
        <v/>
      </c>
      <c r="O185" s="16">
        <f>O172</f>
        <v/>
      </c>
      <c r="P185" s="4">
        <f>交易明細!L87</f>
        <v/>
      </c>
      <c r="Q185" s="10">
        <f>IF(N185="已下單",O185*P185,0)</f>
        <v/>
      </c>
      <c r="R185" s="10">
        <f>R184+Q185</f>
        <v/>
      </c>
      <c r="S185" s="16">
        <f>S184-IF(N185="已下單",M185,0)</f>
        <v/>
      </c>
      <c r="T185" s="16">
        <f>R185-S185</f>
        <v/>
      </c>
      <c r="U185" s="2">
        <f>U184-IF(N185="已下單",1,0)</f>
        <v/>
      </c>
      <c r="V185" s="16">
        <f>IF(資金模擬!$B$9=2,MAX(R185,0),MAX(V184,FLOOR(MAX(R185,0),資金模擬!$B$6)))</f>
        <v/>
      </c>
      <c r="W185" s="10">
        <f>MAX(W184,R185)</f>
        <v/>
      </c>
      <c r="X185" s="4">
        <f>IF(W185&gt;0,R185/W185-1,-1)</f>
        <v/>
      </c>
      <c r="Y185" s="16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46273</v>
      </c>
      <c r="C186" s="2" t="inlineStr">
        <is>
          <t>出場</t>
        </is>
      </c>
      <c r="D186" s="2" t="n">
        <v>90</v>
      </c>
      <c r="E186" s="2" t="inlineStr">
        <is>
          <t>USELESS_USDT_PERP</t>
        </is>
      </c>
      <c r="F186" s="2" t="inlineStr">
        <is>
          <t>做多</t>
        </is>
      </c>
      <c r="G186" s="17" t="n">
        <v>0.2333</v>
      </c>
      <c r="H186" s="17" t="n">
        <v>0.240299</v>
      </c>
      <c r="I186" s="17" t="n">
        <v>0.221635</v>
      </c>
      <c r="J186" s="17" t="n">
        <v>0.221635</v>
      </c>
      <c r="K186" s="2" t="inlineStr">
        <is>
          <t>止損</t>
        </is>
      </c>
      <c r="L186" s="5">
        <f>交易明細!K91</f>
        <v/>
      </c>
      <c r="M186" s="16">
        <f>M180</f>
        <v/>
      </c>
      <c r="N186" s="2">
        <f>N180</f>
        <v/>
      </c>
      <c r="O186" s="16">
        <f>O180</f>
        <v/>
      </c>
      <c r="P186" s="4">
        <f>交易明細!L91</f>
        <v/>
      </c>
      <c r="Q186" s="10">
        <f>IF(N186="已下單",O186*P186,0)</f>
        <v/>
      </c>
      <c r="R186" s="10">
        <f>R185+Q186</f>
        <v/>
      </c>
      <c r="S186" s="16">
        <f>S185-IF(N186="已下單",M186,0)</f>
        <v/>
      </c>
      <c r="T186" s="16">
        <f>R186-S186</f>
        <v/>
      </c>
      <c r="U186" s="2">
        <f>U185-IF(N186="已下單",1,0)</f>
        <v/>
      </c>
      <c r="V186" s="16">
        <f>IF(資金模擬!$B$9=2,MAX(R186,0),MAX(V185,FLOOR(MAX(R186,0),資金模擬!$B$6)))</f>
        <v/>
      </c>
      <c r="W186" s="10">
        <f>MAX(W185,R186)</f>
        <v/>
      </c>
      <c r="X186" s="4">
        <f>IF(W186&gt;0,R186/W186-1,-1)</f>
        <v/>
      </c>
      <c r="Y186" s="16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46273</v>
      </c>
      <c r="C187" s="2" t="inlineStr">
        <is>
          <t>出場</t>
        </is>
      </c>
      <c r="D187" s="2" t="n">
        <v>93</v>
      </c>
      <c r="E187" s="2" t="inlineStr">
        <is>
          <t>MARSCOIN_USDT_PERP</t>
        </is>
      </c>
      <c r="F187" s="2" t="inlineStr">
        <is>
          <t>做空</t>
        </is>
      </c>
      <c r="G187" s="17" t="n">
        <v>0.16448</v>
      </c>
      <c r="H187" s="17" t="n">
        <v>0.1595456</v>
      </c>
      <c r="I187" s="17" t="n">
        <v>0.172704</v>
      </c>
      <c r="J187" s="17" t="n">
        <v>0.1595456</v>
      </c>
      <c r="K187" s="2" t="inlineStr">
        <is>
          <t>止盈</t>
        </is>
      </c>
      <c r="L187" s="5">
        <f>交易明細!K94</f>
        <v/>
      </c>
      <c r="M187" s="16">
        <f>M183</f>
        <v/>
      </c>
      <c r="N187" s="2">
        <f>N183</f>
        <v/>
      </c>
      <c r="O187" s="16">
        <f>O183</f>
        <v/>
      </c>
      <c r="P187" s="4">
        <f>交易明細!L94</f>
        <v/>
      </c>
      <c r="Q187" s="10">
        <f>IF(N187="已下單",O187*P187,0)</f>
        <v/>
      </c>
      <c r="R187" s="10">
        <f>R186+Q187</f>
        <v/>
      </c>
      <c r="S187" s="16">
        <f>S186-IF(N187="已下單",M187,0)</f>
        <v/>
      </c>
      <c r="T187" s="16">
        <f>R187-S187</f>
        <v/>
      </c>
      <c r="U187" s="2">
        <f>U186-IF(N187="已下單",1,0)</f>
        <v/>
      </c>
      <c r="V187" s="16">
        <f>IF(資金模擬!$B$9=2,MAX(R187,0),MAX(V186,FLOOR(MAX(R187,0),資金模擬!$B$6)))</f>
        <v/>
      </c>
      <c r="W187" s="10">
        <f>MAX(W186,R187)</f>
        <v/>
      </c>
      <c r="X187" s="4">
        <f>IF(W187&gt;0,R187/W187-1,-1)</f>
        <v/>
      </c>
      <c r="Y187" s="16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46273</v>
      </c>
      <c r="C188" s="2" t="inlineStr">
        <is>
          <t>出場</t>
        </is>
      </c>
      <c r="D188" s="2" t="n">
        <v>94</v>
      </c>
      <c r="E188" s="2" t="inlineStr">
        <is>
          <t>PONS_USDT_PERP</t>
        </is>
      </c>
      <c r="F188" s="2" t="inlineStr">
        <is>
          <t>做空</t>
        </is>
      </c>
      <c r="G188" s="17" t="n">
        <v>0.7688</v>
      </c>
      <c r="H188" s="17" t="n">
        <v>0.7457360000000001</v>
      </c>
      <c r="I188" s="17" t="n">
        <v>0.8072400000000001</v>
      </c>
      <c r="J188" s="17" t="n">
        <v>0.7457360000000001</v>
      </c>
      <c r="K188" s="2" t="inlineStr">
        <is>
          <t>止盈</t>
        </is>
      </c>
      <c r="L188" s="5">
        <f>交易明細!K95</f>
        <v/>
      </c>
      <c r="M188" s="16">
        <f>M184</f>
        <v/>
      </c>
      <c r="N188" s="2">
        <f>N184</f>
        <v/>
      </c>
      <c r="O188" s="16">
        <f>O184</f>
        <v/>
      </c>
      <c r="P188" s="4">
        <f>交易明細!L95</f>
        <v/>
      </c>
      <c r="Q188" s="10">
        <f>IF(N188="已下單",O188*P188,0)</f>
        <v/>
      </c>
      <c r="R188" s="10">
        <f>R187+Q188</f>
        <v/>
      </c>
      <c r="S188" s="16">
        <f>S187-IF(N188="已下單",M188,0)</f>
        <v/>
      </c>
      <c r="T188" s="16">
        <f>R188-S188</f>
        <v/>
      </c>
      <c r="U188" s="2">
        <f>U187-IF(N188="已下單",1,0)</f>
        <v/>
      </c>
      <c r="V188" s="16">
        <f>IF(資金模擬!$B$9=2,MAX(R188,0),MAX(V187,FLOOR(MAX(R188,0),資金模擬!$B$6)))</f>
        <v/>
      </c>
      <c r="W188" s="10">
        <f>MAX(W187,R188)</f>
        <v/>
      </c>
      <c r="X188" s="4">
        <f>IF(W188&gt;0,R188/W188-1,-1)</f>
        <v/>
      </c>
      <c r="Y188" s="16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46273</v>
      </c>
      <c r="C189" s="2" t="inlineStr">
        <is>
          <t>進場</t>
        </is>
      </c>
      <c r="D189" s="2" t="n">
        <v>95</v>
      </c>
      <c r="E189" s="2" t="inlineStr">
        <is>
          <t>NEAR_USDT_PERP</t>
        </is>
      </c>
      <c r="F189" s="2" t="inlineStr">
        <is>
          <t>做空</t>
        </is>
      </c>
      <c r="G189" s="17" t="n">
        <v>2.293</v>
      </c>
      <c r="H189" s="17" t="n">
        <v>2.22421</v>
      </c>
      <c r="I189" s="17" t="n">
        <v>2.40765</v>
      </c>
      <c r="J189" s="17" t="n"/>
      <c r="K189" s="2" t="n"/>
      <c r="L189" s="5" t="n"/>
      <c r="M189" s="16">
        <f>資金模擬!$B$5*V188</f>
        <v/>
      </c>
      <c r="N189" s="2">
        <f>IF(Z188=1,"已停止",IF(T188&gt;=M189,"已下單","資金不足略過"))</f>
        <v/>
      </c>
      <c r="O189" s="16">
        <f>IF(N189="已下單",M189*資金模擬!$B$7,0)</f>
        <v/>
      </c>
      <c r="P189" s="4" t="n"/>
      <c r="Q189" s="10" t="n">
        <v>0</v>
      </c>
      <c r="R189" s="10">
        <f>R188+Q189</f>
        <v/>
      </c>
      <c r="S189" s="16">
        <f>S188+IF(N189="已下單",M189,0)</f>
        <v/>
      </c>
      <c r="T189" s="16">
        <f>R189-S189</f>
        <v/>
      </c>
      <c r="U189" s="2">
        <f>U188+IF(N189="已下單",1,0)</f>
        <v/>
      </c>
      <c r="V189" s="16">
        <f>IF(資金模擬!$B$9=2,MAX(R189,0),MAX(V188,FLOOR(MAX(R189,0),資金模擬!$B$6)))</f>
        <v/>
      </c>
      <c r="W189" s="10">
        <f>MAX(W188,R189)</f>
        <v/>
      </c>
      <c r="X189" s="4">
        <f>IF(W189&gt;0,R189/W189-1,-1)</f>
        <v/>
      </c>
      <c r="Y189" s="16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46273</v>
      </c>
      <c r="C190" s="2" t="inlineStr">
        <is>
          <t>進場</t>
        </is>
      </c>
      <c r="D190" s="2" t="n">
        <v>96</v>
      </c>
      <c r="E190" s="2" t="inlineStr">
        <is>
          <t>TAO_USDT_PERP</t>
        </is>
      </c>
      <c r="F190" s="2" t="inlineStr">
        <is>
          <t>做空</t>
        </is>
      </c>
      <c r="G190" s="17" t="n">
        <v>256.91</v>
      </c>
      <c r="H190" s="17" t="n">
        <v>249.2027</v>
      </c>
      <c r="I190" s="17" t="n">
        <v>269.7555</v>
      </c>
      <c r="J190" s="17" t="n"/>
      <c r="K190" s="2" t="n"/>
      <c r="L190" s="5" t="n"/>
      <c r="M190" s="16">
        <f>資金模擬!$B$5*V189</f>
        <v/>
      </c>
      <c r="N190" s="2">
        <f>IF(Z189=1,"已停止",IF(T189&gt;=M190,"已下單","資金不足略過"))</f>
        <v/>
      </c>
      <c r="O190" s="16">
        <f>IF(N190="已下單",M190*資金模擬!$B$7,0)</f>
        <v/>
      </c>
      <c r="P190" s="4" t="n"/>
      <c r="Q190" s="10" t="n">
        <v>0</v>
      </c>
      <c r="R190" s="10">
        <f>R189+Q190</f>
        <v/>
      </c>
      <c r="S190" s="16">
        <f>S189+IF(N190="已下單",M190,0)</f>
        <v/>
      </c>
      <c r="T190" s="16">
        <f>R190-S190</f>
        <v/>
      </c>
      <c r="U190" s="2">
        <f>U189+IF(N190="已下單",1,0)</f>
        <v/>
      </c>
      <c r="V190" s="16">
        <f>IF(資金模擬!$B$9=2,MAX(R190,0),MAX(V189,FLOOR(MAX(R190,0),資金模擬!$B$6)))</f>
        <v/>
      </c>
      <c r="W190" s="10">
        <f>MAX(W189,R190)</f>
        <v/>
      </c>
      <c r="X190" s="4">
        <f>IF(W190&gt;0,R190/W190-1,-1)</f>
        <v/>
      </c>
      <c r="Y190" s="16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46273</v>
      </c>
      <c r="C191" s="2" t="inlineStr">
        <is>
          <t>進場</t>
        </is>
      </c>
      <c r="D191" s="2" t="n">
        <v>97</v>
      </c>
      <c r="E191" s="2" t="inlineStr">
        <is>
          <t>UNI_USDT_PERP</t>
        </is>
      </c>
      <c r="F191" s="2" t="inlineStr">
        <is>
          <t>做空</t>
        </is>
      </c>
      <c r="G191" s="17" t="n">
        <v>6.779</v>
      </c>
      <c r="H191" s="17" t="n">
        <v>6.575629999999999</v>
      </c>
      <c r="I191" s="17" t="n">
        <v>7.11795</v>
      </c>
      <c r="J191" s="17" t="n"/>
      <c r="K191" s="2" t="n"/>
      <c r="L191" s="5" t="n"/>
      <c r="M191" s="16">
        <f>資金模擬!$B$5*V190</f>
        <v/>
      </c>
      <c r="N191" s="2">
        <f>IF(Z190=1,"已停止",IF(T190&gt;=M191,"已下單","資金不足略過"))</f>
        <v/>
      </c>
      <c r="O191" s="16">
        <f>IF(N191="已下單",M191*資金模擬!$B$7,0)</f>
        <v/>
      </c>
      <c r="P191" s="4" t="n"/>
      <c r="Q191" s="10" t="n">
        <v>0</v>
      </c>
      <c r="R191" s="10">
        <f>R190+Q191</f>
        <v/>
      </c>
      <c r="S191" s="16">
        <f>S190+IF(N191="已下單",M191,0)</f>
        <v/>
      </c>
      <c r="T191" s="16">
        <f>R191-S191</f>
        <v/>
      </c>
      <c r="U191" s="2">
        <f>U190+IF(N191="已下單",1,0)</f>
        <v/>
      </c>
      <c r="V191" s="16">
        <f>IF(資金模擬!$B$9=2,MAX(R191,0),MAX(V190,FLOOR(MAX(R191,0),資金模擬!$B$6)))</f>
        <v/>
      </c>
      <c r="W191" s="10">
        <f>MAX(W190,R191)</f>
        <v/>
      </c>
      <c r="X191" s="4">
        <f>IF(W191&gt;0,R191/W191-1,-1)</f>
        <v/>
      </c>
      <c r="Y191" s="16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46273</v>
      </c>
      <c r="C192" s="2" t="inlineStr">
        <is>
          <t>進場</t>
        </is>
      </c>
      <c r="D192" s="2" t="n">
        <v>98</v>
      </c>
      <c r="E192" s="2" t="inlineStr">
        <is>
          <t>ZEC_USDT_PERP</t>
        </is>
      </c>
      <c r="F192" s="2" t="inlineStr">
        <is>
          <t>做空</t>
        </is>
      </c>
      <c r="G192" s="17" t="n">
        <v>1146.22</v>
      </c>
      <c r="H192" s="17" t="n">
        <v>1111.8334</v>
      </c>
      <c r="I192" s="17" t="n">
        <v>1203.531</v>
      </c>
      <c r="J192" s="17" t="n"/>
      <c r="K192" s="2" t="n"/>
      <c r="L192" s="5" t="n"/>
      <c r="M192" s="16">
        <f>資金模擬!$B$5*V191</f>
        <v/>
      </c>
      <c r="N192" s="2">
        <f>IF(Z191=1,"已停止",IF(T191&gt;=M192,"已下單","資金不足略過"))</f>
        <v/>
      </c>
      <c r="O192" s="16">
        <f>IF(N192="已下單",M192*資金模擬!$B$7,0)</f>
        <v/>
      </c>
      <c r="P192" s="4" t="n"/>
      <c r="Q192" s="10" t="n">
        <v>0</v>
      </c>
      <c r="R192" s="10">
        <f>R191+Q192</f>
        <v/>
      </c>
      <c r="S192" s="16">
        <f>S191+IF(N192="已下單",M192,0)</f>
        <v/>
      </c>
      <c r="T192" s="16">
        <f>R192-S192</f>
        <v/>
      </c>
      <c r="U192" s="2">
        <f>U191+IF(N192="已下單",1,0)</f>
        <v/>
      </c>
      <c r="V192" s="16">
        <f>IF(資金模擬!$B$9=2,MAX(R192,0),MAX(V191,FLOOR(MAX(R192,0),資金模擬!$B$6)))</f>
        <v/>
      </c>
      <c r="W192" s="10">
        <f>MAX(W191,R192)</f>
        <v/>
      </c>
      <c r="X192" s="4">
        <f>IF(W192&gt;0,R192/W192-1,-1)</f>
        <v/>
      </c>
      <c r="Y192" s="16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46273.08333333334</v>
      </c>
      <c r="C193" s="2" t="inlineStr">
        <is>
          <t>出場</t>
        </is>
      </c>
      <c r="D193" s="2" t="n">
        <v>92</v>
      </c>
      <c r="E193" s="2" t="inlineStr">
        <is>
          <t>BULLA_USDT_PERP</t>
        </is>
      </c>
      <c r="F193" s="2" t="inlineStr">
        <is>
          <t>做多</t>
        </is>
      </c>
      <c r="G193" s="17" t="n">
        <v>0.08132</v>
      </c>
      <c r="H193" s="17" t="n">
        <v>0.0837596</v>
      </c>
      <c r="I193" s="17" t="n">
        <v>0.077254</v>
      </c>
      <c r="J193" s="17" t="n">
        <v>0.077254</v>
      </c>
      <c r="K193" s="2" t="inlineStr">
        <is>
          <t>止損</t>
        </is>
      </c>
      <c r="L193" s="5">
        <f>交易明細!K93</f>
        <v/>
      </c>
      <c r="M193" s="16">
        <f>M182</f>
        <v/>
      </c>
      <c r="N193" s="2">
        <f>N182</f>
        <v/>
      </c>
      <c r="O193" s="16">
        <f>O182</f>
        <v/>
      </c>
      <c r="P193" s="4">
        <f>交易明細!L93</f>
        <v/>
      </c>
      <c r="Q193" s="10">
        <f>IF(N193="已下單",O193*P193,0)</f>
        <v/>
      </c>
      <c r="R193" s="10">
        <f>R192+Q193</f>
        <v/>
      </c>
      <c r="S193" s="16">
        <f>S192-IF(N193="已下單",M193,0)</f>
        <v/>
      </c>
      <c r="T193" s="16">
        <f>R193-S193</f>
        <v/>
      </c>
      <c r="U193" s="2">
        <f>U192-IF(N193="已下單",1,0)</f>
        <v/>
      </c>
      <c r="V193" s="16">
        <f>IF(資金模擬!$B$9=2,MAX(R193,0),MAX(V192,FLOOR(MAX(R193,0),資金模擬!$B$6)))</f>
        <v/>
      </c>
      <c r="W193" s="10">
        <f>MAX(W192,R193)</f>
        <v/>
      </c>
      <c r="X193" s="4">
        <f>IF(W193&gt;0,R193/W193-1,-1)</f>
        <v/>
      </c>
      <c r="Y193" s="16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46273.08333333334</v>
      </c>
      <c r="C194" s="2" t="inlineStr">
        <is>
          <t>進場</t>
        </is>
      </c>
      <c r="D194" s="2" t="n">
        <v>99</v>
      </c>
      <c r="E194" s="2" t="inlineStr">
        <is>
          <t>PUMP_USDT_PERP</t>
        </is>
      </c>
      <c r="F194" s="2" t="inlineStr">
        <is>
          <t>做多</t>
        </is>
      </c>
      <c r="G194" s="17" t="n">
        <v>0.004388</v>
      </c>
      <c r="H194" s="17" t="n">
        <v>0.00451964</v>
      </c>
      <c r="I194" s="17" t="n">
        <v>0.004168600000000001</v>
      </c>
      <c r="J194" s="17" t="n"/>
      <c r="K194" s="2" t="n"/>
      <c r="L194" s="5" t="n"/>
      <c r="M194" s="16">
        <f>資金模擬!$B$5*V193</f>
        <v/>
      </c>
      <c r="N194" s="2">
        <f>IF(Z193=1,"已停止",IF(T193&gt;=M194,"已下單","資金不足略過"))</f>
        <v/>
      </c>
      <c r="O194" s="16">
        <f>IF(N194="已下單",M194*資金模擬!$B$7,0)</f>
        <v/>
      </c>
      <c r="P194" s="4" t="n"/>
      <c r="Q194" s="10" t="n">
        <v>0</v>
      </c>
      <c r="R194" s="10">
        <f>R193+Q194</f>
        <v/>
      </c>
      <c r="S194" s="16">
        <f>S193+IF(N194="已下單",M194,0)</f>
        <v/>
      </c>
      <c r="T194" s="16">
        <f>R194-S194</f>
        <v/>
      </c>
      <c r="U194" s="2">
        <f>U193+IF(N194="已下單",1,0)</f>
        <v/>
      </c>
      <c r="V194" s="16">
        <f>IF(資金模擬!$B$9=2,MAX(R194,0),MAX(V193,FLOOR(MAX(R194,0),資金模擬!$B$6)))</f>
        <v/>
      </c>
      <c r="W194" s="10">
        <f>MAX(W193,R194)</f>
        <v/>
      </c>
      <c r="X194" s="4">
        <f>IF(W194&gt;0,R194/W194-1,-1)</f>
        <v/>
      </c>
      <c r="Y194" s="16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46273.125</v>
      </c>
      <c r="C195" s="2" t="inlineStr">
        <is>
          <t>進場</t>
        </is>
      </c>
      <c r="D195" s="2" t="n">
        <v>100</v>
      </c>
      <c r="E195" s="2" t="inlineStr">
        <is>
          <t>DASH_USDT_PERP</t>
        </is>
      </c>
      <c r="F195" s="2" t="inlineStr">
        <is>
          <t>做空</t>
        </is>
      </c>
      <c r="G195" s="17" t="n">
        <v>63.95</v>
      </c>
      <c r="H195" s="17" t="n">
        <v>62.0315</v>
      </c>
      <c r="I195" s="17" t="n">
        <v>67.14750000000001</v>
      </c>
      <c r="J195" s="17" t="n"/>
      <c r="K195" s="2" t="n"/>
      <c r="L195" s="5" t="n"/>
      <c r="M195" s="16">
        <f>資金模擬!$B$5*V194</f>
        <v/>
      </c>
      <c r="N195" s="2">
        <f>IF(Z194=1,"已停止",IF(T194&gt;=M195,"已下單","資金不足略過"))</f>
        <v/>
      </c>
      <c r="O195" s="16">
        <f>IF(N195="已下單",M195*資金模擬!$B$7,0)</f>
        <v/>
      </c>
      <c r="P195" s="4" t="n"/>
      <c r="Q195" s="10" t="n">
        <v>0</v>
      </c>
      <c r="R195" s="10">
        <f>R194+Q195</f>
        <v/>
      </c>
      <c r="S195" s="16">
        <f>S194+IF(N195="已下單",M195,0)</f>
        <v/>
      </c>
      <c r="T195" s="16">
        <f>R195-S195</f>
        <v/>
      </c>
      <c r="U195" s="2">
        <f>U194+IF(N195="已下單",1,0)</f>
        <v/>
      </c>
      <c r="V195" s="16">
        <f>IF(資金模擬!$B$9=2,MAX(R195,0),MAX(V194,FLOOR(MAX(R195,0),資金模擬!$B$6)))</f>
        <v/>
      </c>
      <c r="W195" s="10">
        <f>MAX(W194,R195)</f>
        <v/>
      </c>
      <c r="X195" s="4">
        <f>IF(W195&gt;0,R195/W195-1,-1)</f>
        <v/>
      </c>
      <c r="Y195" s="16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46273.25</v>
      </c>
      <c r="C196" s="2" t="inlineStr">
        <is>
          <t>進場</t>
        </is>
      </c>
      <c r="D196" s="2" t="n">
        <v>101</v>
      </c>
      <c r="E196" s="2" t="inlineStr">
        <is>
          <t>USELESS_USDT_PERP</t>
        </is>
      </c>
      <c r="F196" s="2" t="inlineStr">
        <is>
          <t>做多</t>
        </is>
      </c>
      <c r="G196" s="17" t="n">
        <v>0.23052</v>
      </c>
      <c r="H196" s="17" t="n">
        <v>0.2374356</v>
      </c>
      <c r="I196" s="17" t="n">
        <v>0.218994</v>
      </c>
      <c r="J196" s="17" t="n"/>
      <c r="K196" s="2" t="n"/>
      <c r="L196" s="5" t="n"/>
      <c r="M196" s="16">
        <f>資金模擬!$B$5*V195</f>
        <v/>
      </c>
      <c r="N196" s="2">
        <f>IF(Z195=1,"已停止",IF(T195&gt;=M196,"已下單","資金不足略過"))</f>
        <v/>
      </c>
      <c r="O196" s="16">
        <f>IF(N196="已下單",M196*資金模擬!$B$7,0)</f>
        <v/>
      </c>
      <c r="P196" s="4" t="n"/>
      <c r="Q196" s="10" t="n">
        <v>0</v>
      </c>
      <c r="R196" s="10">
        <f>R195+Q196</f>
        <v/>
      </c>
      <c r="S196" s="16">
        <f>S195+IF(N196="已下單",M196,0)</f>
        <v/>
      </c>
      <c r="T196" s="16">
        <f>R196-S196</f>
        <v/>
      </c>
      <c r="U196" s="2">
        <f>U195+IF(N196="已下單",1,0)</f>
        <v/>
      </c>
      <c r="V196" s="16">
        <f>IF(資金模擬!$B$9=2,MAX(R196,0),MAX(V195,FLOOR(MAX(R196,0),資金模擬!$B$6)))</f>
        <v/>
      </c>
      <c r="W196" s="10">
        <f>MAX(W195,R196)</f>
        <v/>
      </c>
      <c r="X196" s="4">
        <f>IF(W196&gt;0,R196/W196-1,-1)</f>
        <v/>
      </c>
      <c r="Y196" s="16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46273.29166666666</v>
      </c>
      <c r="C197" s="2" t="inlineStr">
        <is>
          <t>出場</t>
        </is>
      </c>
      <c r="D197" s="2" t="n">
        <v>98</v>
      </c>
      <c r="E197" s="2" t="inlineStr">
        <is>
          <t>ZEC_USDT_PERP</t>
        </is>
      </c>
      <c r="F197" s="2" t="inlineStr">
        <is>
          <t>做空</t>
        </is>
      </c>
      <c r="G197" s="17" t="n">
        <v>1146.22</v>
      </c>
      <c r="H197" s="17" t="n">
        <v>1111.8334</v>
      </c>
      <c r="I197" s="17" t="n">
        <v>1203.531</v>
      </c>
      <c r="J197" s="17" t="n">
        <v>1111.8334</v>
      </c>
      <c r="K197" s="2" t="inlineStr">
        <is>
          <t>止盈</t>
        </is>
      </c>
      <c r="L197" s="5">
        <f>交易明細!K99</f>
        <v/>
      </c>
      <c r="M197" s="16">
        <f>M192</f>
        <v/>
      </c>
      <c r="N197" s="2">
        <f>N192</f>
        <v/>
      </c>
      <c r="O197" s="16">
        <f>O192</f>
        <v/>
      </c>
      <c r="P197" s="4">
        <f>交易明細!L99</f>
        <v/>
      </c>
      <c r="Q197" s="10">
        <f>IF(N197="已下單",O197*P197,0)</f>
        <v/>
      </c>
      <c r="R197" s="10">
        <f>R196+Q197</f>
        <v/>
      </c>
      <c r="S197" s="16">
        <f>S196-IF(N197="已下單",M197,0)</f>
        <v/>
      </c>
      <c r="T197" s="16">
        <f>R197-S197</f>
        <v/>
      </c>
      <c r="U197" s="2">
        <f>U196-IF(N197="已下單",1,0)</f>
        <v/>
      </c>
      <c r="V197" s="16">
        <f>IF(資金模擬!$B$9=2,MAX(R197,0),MAX(V196,FLOOR(MAX(R197,0),資金模擬!$B$6)))</f>
        <v/>
      </c>
      <c r="W197" s="10">
        <f>MAX(W196,R197)</f>
        <v/>
      </c>
      <c r="X197" s="4">
        <f>IF(W197&gt;0,R197/W197-1,-1)</f>
        <v/>
      </c>
      <c r="Y197" s="16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46273.375</v>
      </c>
      <c r="C198" s="2" t="inlineStr">
        <is>
          <t>進場</t>
        </is>
      </c>
      <c r="D198" s="2" t="n">
        <v>102</v>
      </c>
      <c r="E198" s="2" t="inlineStr">
        <is>
          <t>MARSCOIN_USDT_PERP</t>
        </is>
      </c>
      <c r="F198" s="2" t="inlineStr">
        <is>
          <t>做空</t>
        </is>
      </c>
      <c r="G198" s="17" t="n">
        <v>0.15102</v>
      </c>
      <c r="H198" s="17" t="n">
        <v>0.1464894</v>
      </c>
      <c r="I198" s="17" t="n">
        <v>0.158571</v>
      </c>
      <c r="J198" s="17" t="n"/>
      <c r="K198" s="2" t="n"/>
      <c r="L198" s="5" t="n"/>
      <c r="M198" s="16">
        <f>資金模擬!$B$5*V197</f>
        <v/>
      </c>
      <c r="N198" s="2">
        <f>IF(Z197=1,"已停止",IF(T197&gt;=M198,"已下單","資金不足略過"))</f>
        <v/>
      </c>
      <c r="O198" s="16">
        <f>IF(N198="已下單",M198*資金模擬!$B$7,0)</f>
        <v/>
      </c>
      <c r="P198" s="4" t="n"/>
      <c r="Q198" s="10" t="n">
        <v>0</v>
      </c>
      <c r="R198" s="10">
        <f>R197+Q198</f>
        <v/>
      </c>
      <c r="S198" s="16">
        <f>S197+IF(N198="已下單",M198,0)</f>
        <v/>
      </c>
      <c r="T198" s="16">
        <f>R198-S198</f>
        <v/>
      </c>
      <c r="U198" s="2">
        <f>U197+IF(N198="已下單",1,0)</f>
        <v/>
      </c>
      <c r="V198" s="16">
        <f>IF(資金模擬!$B$9=2,MAX(R198,0),MAX(V197,FLOOR(MAX(R198,0),資金模擬!$B$6)))</f>
        <v/>
      </c>
      <c r="W198" s="10">
        <f>MAX(W197,R198)</f>
        <v/>
      </c>
      <c r="X198" s="4">
        <f>IF(W198&gt;0,R198/W198-1,-1)</f>
        <v/>
      </c>
      <c r="Y198" s="16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46273.41666666666</v>
      </c>
      <c r="C199" s="2" t="inlineStr">
        <is>
          <t>出場</t>
        </is>
      </c>
      <c r="D199" s="2" t="n">
        <v>97</v>
      </c>
      <c r="E199" s="2" t="inlineStr">
        <is>
          <t>UNI_USDT_PERP</t>
        </is>
      </c>
      <c r="F199" s="2" t="inlineStr">
        <is>
          <t>做空</t>
        </is>
      </c>
      <c r="G199" s="17" t="n">
        <v>6.779</v>
      </c>
      <c r="H199" s="17" t="n">
        <v>6.575629999999999</v>
      </c>
      <c r="I199" s="17" t="n">
        <v>7.11795</v>
      </c>
      <c r="J199" s="17" t="n">
        <v>7.11795</v>
      </c>
      <c r="K199" s="2" t="inlineStr">
        <is>
          <t>止損</t>
        </is>
      </c>
      <c r="L199" s="5">
        <f>交易明細!K98</f>
        <v/>
      </c>
      <c r="M199" s="16">
        <f>M191</f>
        <v/>
      </c>
      <c r="N199" s="2">
        <f>N191</f>
        <v/>
      </c>
      <c r="O199" s="16">
        <f>O191</f>
        <v/>
      </c>
      <c r="P199" s="4">
        <f>交易明細!L98</f>
        <v/>
      </c>
      <c r="Q199" s="10">
        <f>IF(N199="已下單",O199*P199,0)</f>
        <v/>
      </c>
      <c r="R199" s="10">
        <f>R198+Q199</f>
        <v/>
      </c>
      <c r="S199" s="16">
        <f>S198-IF(N199="已下單",M199,0)</f>
        <v/>
      </c>
      <c r="T199" s="16">
        <f>R199-S199</f>
        <v/>
      </c>
      <c r="U199" s="2">
        <f>U198-IF(N199="已下單",1,0)</f>
        <v/>
      </c>
      <c r="V199" s="16">
        <f>IF(資金模擬!$B$9=2,MAX(R199,0),MAX(V198,FLOOR(MAX(R199,0),資金模擬!$B$6)))</f>
        <v/>
      </c>
      <c r="W199" s="10">
        <f>MAX(W198,R199)</f>
        <v/>
      </c>
      <c r="X199" s="4">
        <f>IF(W199&gt;0,R199/W199-1,-1)</f>
        <v/>
      </c>
      <c r="Y199" s="16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46273.41666666666</v>
      </c>
      <c r="C200" s="2" t="inlineStr">
        <is>
          <t>出場</t>
        </is>
      </c>
      <c r="D200" s="2" t="n">
        <v>99</v>
      </c>
      <c r="E200" s="2" t="inlineStr">
        <is>
          <t>PUMP_USDT_PERP</t>
        </is>
      </c>
      <c r="F200" s="2" t="inlineStr">
        <is>
          <t>做多</t>
        </is>
      </c>
      <c r="G200" s="17" t="n">
        <v>0.004388</v>
      </c>
      <c r="H200" s="17" t="n">
        <v>0.00451964</v>
      </c>
      <c r="I200" s="17" t="n">
        <v>0.004168600000000001</v>
      </c>
      <c r="J200" s="17" t="n">
        <v>0.00451964</v>
      </c>
      <c r="K200" s="2" t="inlineStr">
        <is>
          <t>止盈</t>
        </is>
      </c>
      <c r="L200" s="5">
        <f>交易明細!K100</f>
        <v/>
      </c>
      <c r="M200" s="16">
        <f>M194</f>
        <v/>
      </c>
      <c r="N200" s="2">
        <f>N194</f>
        <v/>
      </c>
      <c r="O200" s="16">
        <f>O194</f>
        <v/>
      </c>
      <c r="P200" s="4">
        <f>交易明細!L100</f>
        <v/>
      </c>
      <c r="Q200" s="10">
        <f>IF(N200="已下單",O200*P200,0)</f>
        <v/>
      </c>
      <c r="R200" s="10">
        <f>R199+Q200</f>
        <v/>
      </c>
      <c r="S200" s="16">
        <f>S199-IF(N200="已下單",M200,0)</f>
        <v/>
      </c>
      <c r="T200" s="16">
        <f>R200-S200</f>
        <v/>
      </c>
      <c r="U200" s="2">
        <f>U199-IF(N200="已下單",1,0)</f>
        <v/>
      </c>
      <c r="V200" s="16">
        <f>IF(資金模擬!$B$9=2,MAX(R200,0),MAX(V199,FLOOR(MAX(R200,0),資金模擬!$B$6)))</f>
        <v/>
      </c>
      <c r="W200" s="10">
        <f>MAX(W199,R200)</f>
        <v/>
      </c>
      <c r="X200" s="4">
        <f>IF(W200&gt;0,R200/W200-1,-1)</f>
        <v/>
      </c>
      <c r="Y200" s="16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46273.41666666666</v>
      </c>
      <c r="C201" s="2" t="inlineStr">
        <is>
          <t>進場</t>
        </is>
      </c>
      <c r="D201" s="2" t="n">
        <v>103</v>
      </c>
      <c r="E201" s="2" t="inlineStr">
        <is>
          <t>BULLA_USDT_PERP</t>
        </is>
      </c>
      <c r="F201" s="2" t="inlineStr">
        <is>
          <t>做多</t>
        </is>
      </c>
      <c r="G201" s="17" t="n">
        <v>0.08141</v>
      </c>
      <c r="H201" s="17" t="n">
        <v>0.0838523</v>
      </c>
      <c r="I201" s="17" t="n">
        <v>0.07733949999999999</v>
      </c>
      <c r="J201" s="17" t="n"/>
      <c r="K201" s="2" t="n"/>
      <c r="L201" s="5" t="n"/>
      <c r="M201" s="16">
        <f>資金模擬!$B$5*V200</f>
        <v/>
      </c>
      <c r="N201" s="2">
        <f>IF(Z200=1,"已停止",IF(T200&gt;=M201,"已下單","資金不足略過"))</f>
        <v/>
      </c>
      <c r="O201" s="16">
        <f>IF(N201="已下單",M201*資金模擬!$B$7,0)</f>
        <v/>
      </c>
      <c r="P201" s="4" t="n"/>
      <c r="Q201" s="10" t="n">
        <v>0</v>
      </c>
      <c r="R201" s="10">
        <f>R200+Q201</f>
        <v/>
      </c>
      <c r="S201" s="16">
        <f>S200+IF(N201="已下單",M201,0)</f>
        <v/>
      </c>
      <c r="T201" s="16">
        <f>R201-S201</f>
        <v/>
      </c>
      <c r="U201" s="2">
        <f>U200+IF(N201="已下單",1,0)</f>
        <v/>
      </c>
      <c r="V201" s="16">
        <f>IF(資金模擬!$B$9=2,MAX(R201,0),MAX(V200,FLOOR(MAX(R201,0),資金模擬!$B$6)))</f>
        <v/>
      </c>
      <c r="W201" s="10">
        <f>MAX(W200,R201)</f>
        <v/>
      </c>
      <c r="X201" s="4">
        <f>IF(W201&gt;0,R201/W201-1,-1)</f>
        <v/>
      </c>
      <c r="Y201" s="16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46273.41666666666</v>
      </c>
      <c r="C202" s="2" t="inlineStr">
        <is>
          <t>進場</t>
        </is>
      </c>
      <c r="D202" s="2" t="n">
        <v>104</v>
      </c>
      <c r="E202" s="2" t="inlineStr">
        <is>
          <t>IOST_USDT_PERP</t>
        </is>
      </c>
      <c r="F202" s="2" t="inlineStr">
        <is>
          <t>做多</t>
        </is>
      </c>
      <c r="G202" s="17" t="n">
        <v>0.000941</v>
      </c>
      <c r="H202" s="17" t="n">
        <v>0.0009692300000000001</v>
      </c>
      <c r="I202" s="17" t="n">
        <v>0.0008939499999999999</v>
      </c>
      <c r="J202" s="17" t="n"/>
      <c r="K202" s="2" t="n"/>
      <c r="L202" s="5" t="n"/>
      <c r="M202" s="16">
        <f>資金模擬!$B$5*V201</f>
        <v/>
      </c>
      <c r="N202" s="2">
        <f>IF(Z201=1,"已停止",IF(T201&gt;=M202,"已下單","資金不足略過"))</f>
        <v/>
      </c>
      <c r="O202" s="16">
        <f>IF(N202="已下單",M202*資金模擬!$B$7,0)</f>
        <v/>
      </c>
      <c r="P202" s="4" t="n"/>
      <c r="Q202" s="10" t="n">
        <v>0</v>
      </c>
      <c r="R202" s="10">
        <f>R201+Q202</f>
        <v/>
      </c>
      <c r="S202" s="16">
        <f>S201+IF(N202="已下單",M202,0)</f>
        <v/>
      </c>
      <c r="T202" s="16">
        <f>R202-S202</f>
        <v/>
      </c>
      <c r="U202" s="2">
        <f>U201+IF(N202="已下單",1,0)</f>
        <v/>
      </c>
      <c r="V202" s="16">
        <f>IF(資金模擬!$B$9=2,MAX(R202,0),MAX(V201,FLOOR(MAX(R202,0),資金模擬!$B$6)))</f>
        <v/>
      </c>
      <c r="W202" s="10">
        <f>MAX(W201,R202)</f>
        <v/>
      </c>
      <c r="X202" s="4">
        <f>IF(W202&gt;0,R202/W202-1,-1)</f>
        <v/>
      </c>
      <c r="Y202" s="16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46273.45833333334</v>
      </c>
      <c r="C203" s="2" t="inlineStr">
        <is>
          <t>出場</t>
        </is>
      </c>
      <c r="D203" s="2" t="n">
        <v>101</v>
      </c>
      <c r="E203" s="2" t="inlineStr">
        <is>
          <t>USELESS_USDT_PERP</t>
        </is>
      </c>
      <c r="F203" s="2" t="inlineStr">
        <is>
          <t>做多</t>
        </is>
      </c>
      <c r="G203" s="17" t="n">
        <v>0.23052</v>
      </c>
      <c r="H203" s="17" t="n">
        <v>0.2374356</v>
      </c>
      <c r="I203" s="17" t="n">
        <v>0.218994</v>
      </c>
      <c r="J203" s="17" t="n">
        <v>0.2374356</v>
      </c>
      <c r="K203" s="2" t="inlineStr">
        <is>
          <t>止盈</t>
        </is>
      </c>
      <c r="L203" s="5">
        <f>交易明細!K102</f>
        <v/>
      </c>
      <c r="M203" s="16">
        <f>M196</f>
        <v/>
      </c>
      <c r="N203" s="2">
        <f>N196</f>
        <v/>
      </c>
      <c r="O203" s="16">
        <f>O196</f>
        <v/>
      </c>
      <c r="P203" s="4">
        <f>交易明細!L102</f>
        <v/>
      </c>
      <c r="Q203" s="10">
        <f>IF(N203="已下單",O203*P203,0)</f>
        <v/>
      </c>
      <c r="R203" s="10">
        <f>R202+Q203</f>
        <v/>
      </c>
      <c r="S203" s="16">
        <f>S202-IF(N203="已下單",M203,0)</f>
        <v/>
      </c>
      <c r="T203" s="16">
        <f>R203-S203</f>
        <v/>
      </c>
      <c r="U203" s="2">
        <f>U202-IF(N203="已下單",1,0)</f>
        <v/>
      </c>
      <c r="V203" s="16">
        <f>IF(資金模擬!$B$9=2,MAX(R203,0),MAX(V202,FLOOR(MAX(R203,0),資金模擬!$B$6)))</f>
        <v/>
      </c>
      <c r="W203" s="10">
        <f>MAX(W202,R203)</f>
        <v/>
      </c>
      <c r="X203" s="4">
        <f>IF(W203&gt;0,R203/W203-1,-1)</f>
        <v/>
      </c>
      <c r="Y203" s="16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46273.45833333334</v>
      </c>
      <c r="C204" s="2" t="inlineStr">
        <is>
          <t>進場</t>
        </is>
      </c>
      <c r="D204" s="2" t="n">
        <v>105</v>
      </c>
      <c r="E204" s="2" t="inlineStr">
        <is>
          <t>AKE_USDT_PERP</t>
        </is>
      </c>
      <c r="F204" s="2" t="inlineStr">
        <is>
          <t>做多</t>
        </is>
      </c>
      <c r="G204" s="17" t="n">
        <v>0.0169276</v>
      </c>
      <c r="H204" s="17" t="n">
        <v>0.017435428</v>
      </c>
      <c r="I204" s="17" t="n">
        <v>0.01608122</v>
      </c>
      <c r="J204" s="17" t="n"/>
      <c r="K204" s="2" t="n"/>
      <c r="L204" s="5" t="n"/>
      <c r="M204" s="16">
        <f>資金模擬!$B$5*V203</f>
        <v/>
      </c>
      <c r="N204" s="2">
        <f>IF(Z203=1,"已停止",IF(T203&gt;=M204,"已下單","資金不足略過"))</f>
        <v/>
      </c>
      <c r="O204" s="16">
        <f>IF(N204="已下單",M204*資金模擬!$B$7,0)</f>
        <v/>
      </c>
      <c r="P204" s="4" t="n"/>
      <c r="Q204" s="10" t="n">
        <v>0</v>
      </c>
      <c r="R204" s="10">
        <f>R203+Q204</f>
        <v/>
      </c>
      <c r="S204" s="16">
        <f>S203+IF(N204="已下單",M204,0)</f>
        <v/>
      </c>
      <c r="T204" s="16">
        <f>R204-S204</f>
        <v/>
      </c>
      <c r="U204" s="2">
        <f>U203+IF(N204="已下單",1,0)</f>
        <v/>
      </c>
      <c r="V204" s="16">
        <f>IF(資金模擬!$B$9=2,MAX(R204,0),MAX(V203,FLOOR(MAX(R204,0),資金模擬!$B$6)))</f>
        <v/>
      </c>
      <c r="W204" s="10">
        <f>MAX(W203,R204)</f>
        <v/>
      </c>
      <c r="X204" s="4">
        <f>IF(W204&gt;0,R204/W204-1,-1)</f>
        <v/>
      </c>
      <c r="Y204" s="16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46273.45833333334</v>
      </c>
      <c r="C205" s="2" t="inlineStr">
        <is>
          <t>進場</t>
        </is>
      </c>
      <c r="D205" s="2" t="n">
        <v>106</v>
      </c>
      <c r="E205" s="2" t="inlineStr">
        <is>
          <t>PONS_USDT_PERP</t>
        </is>
      </c>
      <c r="F205" s="2" t="inlineStr">
        <is>
          <t>做空</t>
        </is>
      </c>
      <c r="G205" s="17" t="n">
        <v>0.7033</v>
      </c>
      <c r="H205" s="17" t="n">
        <v>0.6822010000000001</v>
      </c>
      <c r="I205" s="17" t="n">
        <v>0.738465</v>
      </c>
      <c r="J205" s="17" t="n"/>
      <c r="K205" s="2" t="n"/>
      <c r="L205" s="5" t="n"/>
      <c r="M205" s="16">
        <f>資金模擬!$B$5*V204</f>
        <v/>
      </c>
      <c r="N205" s="2">
        <f>IF(Z204=1,"已停止",IF(T204&gt;=M205,"已下單","資金不足略過"))</f>
        <v/>
      </c>
      <c r="O205" s="16">
        <f>IF(N205="已下單",M205*資金模擬!$B$7,0)</f>
        <v/>
      </c>
      <c r="P205" s="4" t="n"/>
      <c r="Q205" s="10" t="n">
        <v>0</v>
      </c>
      <c r="R205" s="10">
        <f>R204+Q205</f>
        <v/>
      </c>
      <c r="S205" s="16">
        <f>S204+IF(N205="已下單",M205,0)</f>
        <v/>
      </c>
      <c r="T205" s="16">
        <f>R205-S205</f>
        <v/>
      </c>
      <c r="U205" s="2">
        <f>U204+IF(N205="已下單",1,0)</f>
        <v/>
      </c>
      <c r="V205" s="16">
        <f>IF(資金模擬!$B$9=2,MAX(R205,0),MAX(V204,FLOOR(MAX(R205,0),資金模擬!$B$6)))</f>
        <v/>
      </c>
      <c r="W205" s="10">
        <f>MAX(W204,R205)</f>
        <v/>
      </c>
      <c r="X205" s="4">
        <f>IF(W205&gt;0,R205/W205-1,-1)</f>
        <v/>
      </c>
      <c r="Y205" s="16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46273.5</v>
      </c>
      <c r="C206" s="2" t="inlineStr">
        <is>
          <t>出場</t>
        </is>
      </c>
      <c r="D206" s="2" t="n">
        <v>91</v>
      </c>
      <c r="E206" s="2" t="inlineStr">
        <is>
          <t>RAY_USDT_PERP</t>
        </is>
      </c>
      <c r="F206" s="2" t="inlineStr">
        <is>
          <t>做空</t>
        </is>
      </c>
      <c r="G206" s="17" t="n">
        <v>1.177</v>
      </c>
      <c r="H206" s="17" t="n">
        <v>1.14169</v>
      </c>
      <c r="I206" s="17" t="n">
        <v>1.23585</v>
      </c>
      <c r="J206" s="17" t="n">
        <v>1.23585</v>
      </c>
      <c r="K206" s="2" t="inlineStr">
        <is>
          <t>止損</t>
        </is>
      </c>
      <c r="L206" s="5">
        <f>交易明細!K92</f>
        <v/>
      </c>
      <c r="M206" s="16">
        <f>M181</f>
        <v/>
      </c>
      <c r="N206" s="2">
        <f>N181</f>
        <v/>
      </c>
      <c r="O206" s="16">
        <f>O181</f>
        <v/>
      </c>
      <c r="P206" s="4">
        <f>交易明細!L92</f>
        <v/>
      </c>
      <c r="Q206" s="10">
        <f>IF(N206="已下單",O206*P206,0)</f>
        <v/>
      </c>
      <c r="R206" s="10">
        <f>R205+Q206</f>
        <v/>
      </c>
      <c r="S206" s="16">
        <f>S205-IF(N206="已下單",M206,0)</f>
        <v/>
      </c>
      <c r="T206" s="16">
        <f>R206-S206</f>
        <v/>
      </c>
      <c r="U206" s="2">
        <f>U205-IF(N206="已下單",1,0)</f>
        <v/>
      </c>
      <c r="V206" s="16">
        <f>IF(資金模擬!$B$9=2,MAX(R206,0),MAX(V205,FLOOR(MAX(R206,0),資金模擬!$B$6)))</f>
        <v/>
      </c>
      <c r="W206" s="10">
        <f>MAX(W205,R206)</f>
        <v/>
      </c>
      <c r="X206" s="4">
        <f>IF(W206&gt;0,R206/W206-1,-1)</f>
        <v/>
      </c>
      <c r="Y206" s="16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46273.5</v>
      </c>
      <c r="C207" s="2" t="inlineStr">
        <is>
          <t>出場</t>
        </is>
      </c>
      <c r="D207" s="2" t="n">
        <v>102</v>
      </c>
      <c r="E207" s="2" t="inlineStr">
        <is>
          <t>MARSCOIN_USDT_PERP</t>
        </is>
      </c>
      <c r="F207" s="2" t="inlineStr">
        <is>
          <t>做空</t>
        </is>
      </c>
      <c r="G207" s="17" t="n">
        <v>0.15102</v>
      </c>
      <c r="H207" s="17" t="n">
        <v>0.1464894</v>
      </c>
      <c r="I207" s="17" t="n">
        <v>0.158571</v>
      </c>
      <c r="J207" s="17" t="n">
        <v>0.1464894</v>
      </c>
      <c r="K207" s="2" t="inlineStr">
        <is>
          <t>止盈</t>
        </is>
      </c>
      <c r="L207" s="5">
        <f>交易明細!K103</f>
        <v/>
      </c>
      <c r="M207" s="16">
        <f>M198</f>
        <v/>
      </c>
      <c r="N207" s="2">
        <f>N198</f>
        <v/>
      </c>
      <c r="O207" s="16">
        <f>O198</f>
        <v/>
      </c>
      <c r="P207" s="4">
        <f>交易明細!L103</f>
        <v/>
      </c>
      <c r="Q207" s="10">
        <f>IF(N207="已下單",O207*P207,0)</f>
        <v/>
      </c>
      <c r="R207" s="10">
        <f>R206+Q207</f>
        <v/>
      </c>
      <c r="S207" s="16">
        <f>S206-IF(N207="已下單",M207,0)</f>
        <v/>
      </c>
      <c r="T207" s="16">
        <f>R207-S207</f>
        <v/>
      </c>
      <c r="U207" s="2">
        <f>U206-IF(N207="已下單",1,0)</f>
        <v/>
      </c>
      <c r="V207" s="16">
        <f>IF(資金模擬!$B$9=2,MAX(R207,0),MAX(V206,FLOOR(MAX(R207,0),資金模擬!$B$6)))</f>
        <v/>
      </c>
      <c r="W207" s="10">
        <f>MAX(W206,R207)</f>
        <v/>
      </c>
      <c r="X207" s="4">
        <f>IF(W207&gt;0,R207/W207-1,-1)</f>
        <v/>
      </c>
      <c r="Y207" s="16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46273.5</v>
      </c>
      <c r="C208" s="2" t="inlineStr">
        <is>
          <t>出場</t>
        </is>
      </c>
      <c r="D208" s="2" t="n">
        <v>104</v>
      </c>
      <c r="E208" s="2" t="inlineStr">
        <is>
          <t>IOST_USDT_PERP</t>
        </is>
      </c>
      <c r="F208" s="2" t="inlineStr">
        <is>
          <t>做多</t>
        </is>
      </c>
      <c r="G208" s="17" t="n">
        <v>0.000941</v>
      </c>
      <c r="H208" s="17" t="n">
        <v>0.0009692300000000001</v>
      </c>
      <c r="I208" s="17" t="n">
        <v>0.0008939499999999999</v>
      </c>
      <c r="J208" s="17" t="n">
        <v>0.0009692300000000001</v>
      </c>
      <c r="K208" s="2" t="inlineStr">
        <is>
          <t>止盈</t>
        </is>
      </c>
      <c r="L208" s="5">
        <f>交易明細!K105</f>
        <v/>
      </c>
      <c r="M208" s="16">
        <f>M202</f>
        <v/>
      </c>
      <c r="N208" s="2">
        <f>N202</f>
        <v/>
      </c>
      <c r="O208" s="16">
        <f>O202</f>
        <v/>
      </c>
      <c r="P208" s="4">
        <f>交易明細!L105</f>
        <v/>
      </c>
      <c r="Q208" s="10">
        <f>IF(N208="已下單",O208*P208,0)</f>
        <v/>
      </c>
      <c r="R208" s="10">
        <f>R207+Q208</f>
        <v/>
      </c>
      <c r="S208" s="16">
        <f>S207-IF(N208="已下單",M208,0)</f>
        <v/>
      </c>
      <c r="T208" s="16">
        <f>R208-S208</f>
        <v/>
      </c>
      <c r="U208" s="2">
        <f>U207-IF(N208="已下單",1,0)</f>
        <v/>
      </c>
      <c r="V208" s="16">
        <f>IF(資金模擬!$B$9=2,MAX(R208,0),MAX(V207,FLOOR(MAX(R208,0),資金模擬!$B$6)))</f>
        <v/>
      </c>
      <c r="W208" s="10">
        <f>MAX(W207,R208)</f>
        <v/>
      </c>
      <c r="X208" s="4">
        <f>IF(W208&gt;0,R208/W208-1,-1)</f>
        <v/>
      </c>
      <c r="Y208" s="16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46273.5</v>
      </c>
      <c r="C209" s="2" t="inlineStr">
        <is>
          <t>出場</t>
        </is>
      </c>
      <c r="D209" s="2" t="n">
        <v>105</v>
      </c>
      <c r="E209" s="2" t="inlineStr">
        <is>
          <t>AKE_USDT_PERP</t>
        </is>
      </c>
      <c r="F209" s="2" t="inlineStr">
        <is>
          <t>做多</t>
        </is>
      </c>
      <c r="G209" s="17" t="n">
        <v>0.0169276</v>
      </c>
      <c r="H209" s="17" t="n">
        <v>0.017435428</v>
      </c>
      <c r="I209" s="17" t="n">
        <v>0.01608122</v>
      </c>
      <c r="J209" s="17" t="n">
        <v>0.017435428</v>
      </c>
      <c r="K209" s="2" t="inlineStr">
        <is>
          <t>止盈</t>
        </is>
      </c>
      <c r="L209" s="5">
        <f>交易明細!K106</f>
        <v/>
      </c>
      <c r="M209" s="16">
        <f>M204</f>
        <v/>
      </c>
      <c r="N209" s="2">
        <f>N204</f>
        <v/>
      </c>
      <c r="O209" s="16">
        <f>O204</f>
        <v/>
      </c>
      <c r="P209" s="4">
        <f>交易明細!L106</f>
        <v/>
      </c>
      <c r="Q209" s="10">
        <f>IF(N209="已下單",O209*P209,0)</f>
        <v/>
      </c>
      <c r="R209" s="10">
        <f>R208+Q209</f>
        <v/>
      </c>
      <c r="S209" s="16">
        <f>S208-IF(N209="已下單",M209,0)</f>
        <v/>
      </c>
      <c r="T209" s="16">
        <f>R209-S209</f>
        <v/>
      </c>
      <c r="U209" s="2">
        <f>U208-IF(N209="已下單",1,0)</f>
        <v/>
      </c>
      <c r="V209" s="16">
        <f>IF(資金模擬!$B$9=2,MAX(R209,0),MAX(V208,FLOOR(MAX(R209,0),資金模擬!$B$6)))</f>
        <v/>
      </c>
      <c r="W209" s="10">
        <f>MAX(W208,R209)</f>
        <v/>
      </c>
      <c r="X209" s="4">
        <f>IF(W209&gt;0,R209/W209-1,-1)</f>
        <v/>
      </c>
      <c r="Y209" s="16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46273.5</v>
      </c>
      <c r="C210" s="2" t="inlineStr">
        <is>
          <t>出場</t>
        </is>
      </c>
      <c r="D210" s="2" t="n">
        <v>106</v>
      </c>
      <c r="E210" s="2" t="inlineStr">
        <is>
          <t>PONS_USDT_PERP</t>
        </is>
      </c>
      <c r="F210" s="2" t="inlineStr">
        <is>
          <t>做空</t>
        </is>
      </c>
      <c r="G210" s="17" t="n">
        <v>0.7033</v>
      </c>
      <c r="H210" s="17" t="n">
        <v>0.6822010000000001</v>
      </c>
      <c r="I210" s="17" t="n">
        <v>0.738465</v>
      </c>
      <c r="J210" s="17" t="n">
        <v>0.6822010000000001</v>
      </c>
      <c r="K210" s="2" t="inlineStr">
        <is>
          <t>止盈</t>
        </is>
      </c>
      <c r="L210" s="5">
        <f>交易明細!K107</f>
        <v/>
      </c>
      <c r="M210" s="16">
        <f>M205</f>
        <v/>
      </c>
      <c r="N210" s="2">
        <f>N205</f>
        <v/>
      </c>
      <c r="O210" s="16">
        <f>O205</f>
        <v/>
      </c>
      <c r="P210" s="4">
        <f>交易明細!L107</f>
        <v/>
      </c>
      <c r="Q210" s="10">
        <f>IF(N210="已下單",O210*P210,0)</f>
        <v/>
      </c>
      <c r="R210" s="10">
        <f>R209+Q210</f>
        <v/>
      </c>
      <c r="S210" s="16">
        <f>S209-IF(N210="已下單",M210,0)</f>
        <v/>
      </c>
      <c r="T210" s="16">
        <f>R210-S210</f>
        <v/>
      </c>
      <c r="U210" s="2">
        <f>U209-IF(N210="已下單",1,0)</f>
        <v/>
      </c>
      <c r="V210" s="16">
        <f>IF(資金模擬!$B$9=2,MAX(R210,0),MAX(V209,FLOOR(MAX(R210,0),資金模擬!$B$6)))</f>
        <v/>
      </c>
      <c r="W210" s="10">
        <f>MAX(W209,R210)</f>
        <v/>
      </c>
      <c r="X210" s="4">
        <f>IF(W210&gt;0,R210/W210-1,-1)</f>
        <v/>
      </c>
      <c r="Y210" s="16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46273.5</v>
      </c>
      <c r="C211" s="2" t="inlineStr">
        <is>
          <t>進場</t>
        </is>
      </c>
      <c r="D211" s="2" t="n">
        <v>107</v>
      </c>
      <c r="E211" s="2" t="inlineStr">
        <is>
          <t>LIT_USDT_PERP</t>
        </is>
      </c>
      <c r="F211" s="2" t="inlineStr">
        <is>
          <t>做空</t>
        </is>
      </c>
      <c r="G211" s="17" t="n">
        <v>4.589</v>
      </c>
      <c r="H211" s="17" t="n">
        <v>4.45133</v>
      </c>
      <c r="I211" s="17" t="n">
        <v>4.81845</v>
      </c>
      <c r="J211" s="17" t="n"/>
      <c r="K211" s="2" t="n"/>
      <c r="L211" s="5" t="n"/>
      <c r="M211" s="16">
        <f>資金模擬!$B$5*V210</f>
        <v/>
      </c>
      <c r="N211" s="2">
        <f>IF(Z210=1,"已停止",IF(T210&gt;=M211,"已下單","資金不足略過"))</f>
        <v/>
      </c>
      <c r="O211" s="16">
        <f>IF(N211="已下單",M211*資金模擬!$B$7,0)</f>
        <v/>
      </c>
      <c r="P211" s="4" t="n"/>
      <c r="Q211" s="10" t="n">
        <v>0</v>
      </c>
      <c r="R211" s="10">
        <f>R210+Q211</f>
        <v/>
      </c>
      <c r="S211" s="16">
        <f>S210+IF(N211="已下單",M211,0)</f>
        <v/>
      </c>
      <c r="T211" s="16">
        <f>R211-S211</f>
        <v/>
      </c>
      <c r="U211" s="2">
        <f>U210+IF(N211="已下單",1,0)</f>
        <v/>
      </c>
      <c r="V211" s="16">
        <f>IF(資金模擬!$B$9=2,MAX(R211,0),MAX(V210,FLOOR(MAX(R211,0),資金模擬!$B$6)))</f>
        <v/>
      </c>
      <c r="W211" s="10">
        <f>MAX(W210,R211)</f>
        <v/>
      </c>
      <c r="X211" s="4">
        <f>IF(W211&gt;0,R211/W211-1,-1)</f>
        <v/>
      </c>
      <c r="Y211" s="16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46273.54166666666</v>
      </c>
      <c r="C212" s="2" t="inlineStr">
        <is>
          <t>進場</t>
        </is>
      </c>
      <c r="D212" s="2" t="n">
        <v>108</v>
      </c>
      <c r="E212" s="2" t="inlineStr">
        <is>
          <t>ACE_USDT_PERP</t>
        </is>
      </c>
      <c r="F212" s="2" t="inlineStr">
        <is>
          <t>做空</t>
        </is>
      </c>
      <c r="G212" s="17" t="n">
        <v>0.17709</v>
      </c>
      <c r="H212" s="17" t="n">
        <v>0.1717773</v>
      </c>
      <c r="I212" s="17" t="n">
        <v>0.1859445</v>
      </c>
      <c r="J212" s="17" t="n"/>
      <c r="K212" s="2" t="n"/>
      <c r="L212" s="5" t="n"/>
      <c r="M212" s="16">
        <f>資金模擬!$B$5*V211</f>
        <v/>
      </c>
      <c r="N212" s="2">
        <f>IF(Z211=1,"已停止",IF(T211&gt;=M212,"已下單","資金不足略過"))</f>
        <v/>
      </c>
      <c r="O212" s="16">
        <f>IF(N212="已下單",M212*資金模擬!$B$7,0)</f>
        <v/>
      </c>
      <c r="P212" s="4" t="n"/>
      <c r="Q212" s="10" t="n">
        <v>0</v>
      </c>
      <c r="R212" s="10">
        <f>R211+Q212</f>
        <v/>
      </c>
      <c r="S212" s="16">
        <f>S211+IF(N212="已下單",M212,0)</f>
        <v/>
      </c>
      <c r="T212" s="16">
        <f>R212-S212</f>
        <v/>
      </c>
      <c r="U212" s="2">
        <f>U211+IF(N212="已下單",1,0)</f>
        <v/>
      </c>
      <c r="V212" s="16">
        <f>IF(資金模擬!$B$9=2,MAX(R212,0),MAX(V211,FLOOR(MAX(R212,0),資金模擬!$B$6)))</f>
        <v/>
      </c>
      <c r="W212" s="10">
        <f>MAX(W211,R212)</f>
        <v/>
      </c>
      <c r="X212" s="4">
        <f>IF(W212&gt;0,R212/W212-1,-1)</f>
        <v/>
      </c>
      <c r="Y212" s="16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46273.54166666666</v>
      </c>
      <c r="C213" s="2" t="inlineStr">
        <is>
          <t>進場</t>
        </is>
      </c>
      <c r="D213" s="2" t="n">
        <v>109</v>
      </c>
      <c r="E213" s="2" t="inlineStr">
        <is>
          <t>KAS_USDT_PERP</t>
        </is>
      </c>
      <c r="F213" s="2" t="inlineStr">
        <is>
          <t>做空</t>
        </is>
      </c>
      <c r="G213" s="17" t="n">
        <v>0.03482</v>
      </c>
      <c r="H213" s="17" t="n">
        <v>0.0337754</v>
      </c>
      <c r="I213" s="17" t="n">
        <v>0.036561</v>
      </c>
      <c r="J213" s="17" t="n"/>
      <c r="K213" s="2" t="n"/>
      <c r="L213" s="5" t="n"/>
      <c r="M213" s="16">
        <f>資金模擬!$B$5*V212</f>
        <v/>
      </c>
      <c r="N213" s="2">
        <f>IF(Z212=1,"已停止",IF(T212&gt;=M213,"已下單","資金不足略過"))</f>
        <v/>
      </c>
      <c r="O213" s="16">
        <f>IF(N213="已下單",M213*資金模擬!$B$7,0)</f>
        <v/>
      </c>
      <c r="P213" s="4" t="n"/>
      <c r="Q213" s="10" t="n">
        <v>0</v>
      </c>
      <c r="R213" s="10">
        <f>R212+Q213</f>
        <v/>
      </c>
      <c r="S213" s="16">
        <f>S212+IF(N213="已下單",M213,0)</f>
        <v/>
      </c>
      <c r="T213" s="16">
        <f>R213-S213</f>
        <v/>
      </c>
      <c r="U213" s="2">
        <f>U212+IF(N213="已下單",1,0)</f>
        <v/>
      </c>
      <c r="V213" s="16">
        <f>IF(資金模擬!$B$9=2,MAX(R213,0),MAX(V212,FLOOR(MAX(R213,0),資金模擬!$B$6)))</f>
        <v/>
      </c>
      <c r="W213" s="10">
        <f>MAX(W212,R213)</f>
        <v/>
      </c>
      <c r="X213" s="4">
        <f>IF(W213&gt;0,R213/W213-1,-1)</f>
        <v/>
      </c>
      <c r="Y213" s="16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46273.58333333334</v>
      </c>
      <c r="C214" s="2" t="inlineStr">
        <is>
          <t>出場</t>
        </is>
      </c>
      <c r="D214" s="2" t="n">
        <v>103</v>
      </c>
      <c r="E214" s="2" t="inlineStr">
        <is>
          <t>BULLA_USDT_PERP</t>
        </is>
      </c>
      <c r="F214" s="2" t="inlineStr">
        <is>
          <t>做多</t>
        </is>
      </c>
      <c r="G214" s="17" t="n">
        <v>0.08141</v>
      </c>
      <c r="H214" s="17" t="n">
        <v>0.0838523</v>
      </c>
      <c r="I214" s="17" t="n">
        <v>0.07733949999999999</v>
      </c>
      <c r="J214" s="17" t="n">
        <v>0.07733949999999999</v>
      </c>
      <c r="K214" s="2" t="inlineStr">
        <is>
          <t>止損</t>
        </is>
      </c>
      <c r="L214" s="5">
        <f>交易明細!K104</f>
        <v/>
      </c>
      <c r="M214" s="16">
        <f>M201</f>
        <v/>
      </c>
      <c r="N214" s="2">
        <f>N201</f>
        <v/>
      </c>
      <c r="O214" s="16">
        <f>O201</f>
        <v/>
      </c>
      <c r="P214" s="4">
        <f>交易明細!L104</f>
        <v/>
      </c>
      <c r="Q214" s="10">
        <f>IF(N214="已下單",O214*P214,0)</f>
        <v/>
      </c>
      <c r="R214" s="10">
        <f>R213+Q214</f>
        <v/>
      </c>
      <c r="S214" s="16">
        <f>S213-IF(N214="已下單",M214,0)</f>
        <v/>
      </c>
      <c r="T214" s="16">
        <f>R214-S214</f>
        <v/>
      </c>
      <c r="U214" s="2">
        <f>U213-IF(N214="已下單",1,0)</f>
        <v/>
      </c>
      <c r="V214" s="16">
        <f>IF(資金模擬!$B$9=2,MAX(R214,0),MAX(V213,FLOOR(MAX(R214,0),資金模擬!$B$6)))</f>
        <v/>
      </c>
      <c r="W214" s="10">
        <f>MAX(W213,R214)</f>
        <v/>
      </c>
      <c r="X214" s="4">
        <f>IF(W214&gt;0,R214/W214-1,-1)</f>
        <v/>
      </c>
      <c r="Y214" s="16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46273.58333333334</v>
      </c>
      <c r="C215" s="2" t="inlineStr">
        <is>
          <t>進場</t>
        </is>
      </c>
      <c r="D215" s="2" t="n">
        <v>110</v>
      </c>
      <c r="E215" s="2" t="inlineStr">
        <is>
          <t>ARB_USDT_PERP</t>
        </is>
      </c>
      <c r="F215" s="2" t="inlineStr">
        <is>
          <t>做多</t>
        </is>
      </c>
      <c r="G215" s="17" t="n">
        <v>0.1747</v>
      </c>
      <c r="H215" s="17" t="n">
        <v>0.179941</v>
      </c>
      <c r="I215" s="17" t="n">
        <v>0.165965</v>
      </c>
      <c r="J215" s="17" t="n"/>
      <c r="K215" s="2" t="n"/>
      <c r="L215" s="5" t="n"/>
      <c r="M215" s="16">
        <f>資金模擬!$B$5*V214</f>
        <v/>
      </c>
      <c r="N215" s="2">
        <f>IF(Z214=1,"已停止",IF(T214&gt;=M215,"已下單","資金不足略過"))</f>
        <v/>
      </c>
      <c r="O215" s="16">
        <f>IF(N215="已下單",M215*資金模擬!$B$7,0)</f>
        <v/>
      </c>
      <c r="P215" s="4" t="n"/>
      <c r="Q215" s="10" t="n">
        <v>0</v>
      </c>
      <c r="R215" s="10">
        <f>R214+Q215</f>
        <v/>
      </c>
      <c r="S215" s="16">
        <f>S214+IF(N215="已下單",M215,0)</f>
        <v/>
      </c>
      <c r="T215" s="16">
        <f>R215-S215</f>
        <v/>
      </c>
      <c r="U215" s="2">
        <f>U214+IF(N215="已下單",1,0)</f>
        <v/>
      </c>
      <c r="V215" s="16">
        <f>IF(資金模擬!$B$9=2,MAX(R215,0),MAX(V214,FLOOR(MAX(R215,0),資金模擬!$B$6)))</f>
        <v/>
      </c>
      <c r="W215" s="10">
        <f>MAX(W214,R215)</f>
        <v/>
      </c>
      <c r="X215" s="4">
        <f>IF(W215&gt;0,R215/W215-1,-1)</f>
        <v/>
      </c>
      <c r="Y215" s="16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46273.58333333334</v>
      </c>
      <c r="C216" s="2" t="inlineStr">
        <is>
          <t>進場</t>
        </is>
      </c>
      <c r="D216" s="2" t="n">
        <v>111</v>
      </c>
      <c r="E216" s="2" t="inlineStr">
        <is>
          <t>USELESS_USDT_PERP</t>
        </is>
      </c>
      <c r="F216" s="2" t="inlineStr">
        <is>
          <t>做多</t>
        </is>
      </c>
      <c r="G216" s="17" t="n">
        <v>0.24093</v>
      </c>
      <c r="H216" s="17" t="n">
        <v>0.2481579</v>
      </c>
      <c r="I216" s="17" t="n">
        <v>0.2288835</v>
      </c>
      <c r="J216" s="17" t="n"/>
      <c r="K216" s="2" t="n"/>
      <c r="L216" s="5" t="n"/>
      <c r="M216" s="16">
        <f>資金模擬!$B$5*V215</f>
        <v/>
      </c>
      <c r="N216" s="2">
        <f>IF(Z215=1,"已停止",IF(T215&gt;=M216,"已下單","資金不足略過"))</f>
        <v/>
      </c>
      <c r="O216" s="16">
        <f>IF(N216="已下單",M216*資金模擬!$B$7,0)</f>
        <v/>
      </c>
      <c r="P216" s="4" t="n"/>
      <c r="Q216" s="10" t="n">
        <v>0</v>
      </c>
      <c r="R216" s="10">
        <f>R215+Q216</f>
        <v/>
      </c>
      <c r="S216" s="16">
        <f>S215+IF(N216="已下單",M216,0)</f>
        <v/>
      </c>
      <c r="T216" s="16">
        <f>R216-S216</f>
        <v/>
      </c>
      <c r="U216" s="2">
        <f>U215+IF(N216="已下單",1,0)</f>
        <v/>
      </c>
      <c r="V216" s="16">
        <f>IF(資金模擬!$B$9=2,MAX(R216,0),MAX(V215,FLOOR(MAX(R216,0),資金模擬!$B$6)))</f>
        <v/>
      </c>
      <c r="W216" s="10">
        <f>MAX(W215,R216)</f>
        <v/>
      </c>
      <c r="X216" s="4">
        <f>IF(W216&gt;0,R216/W216-1,-1)</f>
        <v/>
      </c>
      <c r="Y216" s="16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46273.625</v>
      </c>
      <c r="C217" s="2" t="inlineStr">
        <is>
          <t>出場</t>
        </is>
      </c>
      <c r="D217" s="2" t="n">
        <v>108</v>
      </c>
      <c r="E217" s="2" t="inlineStr">
        <is>
          <t>ACE_USDT_PERP</t>
        </is>
      </c>
      <c r="F217" s="2" t="inlineStr">
        <is>
          <t>做空</t>
        </is>
      </c>
      <c r="G217" s="17" t="n">
        <v>0.17709</v>
      </c>
      <c r="H217" s="17" t="n">
        <v>0.1717773</v>
      </c>
      <c r="I217" s="17" t="n">
        <v>0.1859445</v>
      </c>
      <c r="J217" s="17" t="n">
        <v>0.1717773</v>
      </c>
      <c r="K217" s="2" t="inlineStr">
        <is>
          <t>止盈</t>
        </is>
      </c>
      <c r="L217" s="5">
        <f>交易明細!K109</f>
        <v/>
      </c>
      <c r="M217" s="16">
        <f>M212</f>
        <v/>
      </c>
      <c r="N217" s="2">
        <f>N212</f>
        <v/>
      </c>
      <c r="O217" s="16">
        <f>O212</f>
        <v/>
      </c>
      <c r="P217" s="4">
        <f>交易明細!L109</f>
        <v/>
      </c>
      <c r="Q217" s="10">
        <f>IF(N217="已下單",O217*P217,0)</f>
        <v/>
      </c>
      <c r="R217" s="10">
        <f>R216+Q217</f>
        <v/>
      </c>
      <c r="S217" s="16">
        <f>S216-IF(N217="已下單",M217,0)</f>
        <v/>
      </c>
      <c r="T217" s="16">
        <f>R217-S217</f>
        <v/>
      </c>
      <c r="U217" s="2">
        <f>U216-IF(N217="已下單",1,0)</f>
        <v/>
      </c>
      <c r="V217" s="16">
        <f>IF(資金模擬!$B$9=2,MAX(R217,0),MAX(V216,FLOOR(MAX(R217,0),資金模擬!$B$6)))</f>
        <v/>
      </c>
      <c r="W217" s="10">
        <f>MAX(W216,R217)</f>
        <v/>
      </c>
      <c r="X217" s="4">
        <f>IF(W217&gt;0,R217/W217-1,-1)</f>
        <v/>
      </c>
      <c r="Y217" s="16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46273.625</v>
      </c>
      <c r="C218" s="2" t="inlineStr">
        <is>
          <t>出場</t>
        </is>
      </c>
      <c r="D218" s="2" t="n">
        <v>111</v>
      </c>
      <c r="E218" s="2" t="inlineStr">
        <is>
          <t>USELESS_USDT_PERP</t>
        </is>
      </c>
      <c r="F218" s="2" t="inlineStr">
        <is>
          <t>做多</t>
        </is>
      </c>
      <c r="G218" s="17" t="n">
        <v>0.24093</v>
      </c>
      <c r="H218" s="17" t="n">
        <v>0.2481579</v>
      </c>
      <c r="I218" s="17" t="n">
        <v>0.2288835</v>
      </c>
      <c r="J218" s="17" t="n">
        <v>0.2481579</v>
      </c>
      <c r="K218" s="2" t="inlineStr">
        <is>
          <t>止盈</t>
        </is>
      </c>
      <c r="L218" s="5">
        <f>交易明細!K112</f>
        <v/>
      </c>
      <c r="M218" s="16">
        <f>M216</f>
        <v/>
      </c>
      <c r="N218" s="2">
        <f>N216</f>
        <v/>
      </c>
      <c r="O218" s="16">
        <f>O216</f>
        <v/>
      </c>
      <c r="P218" s="4">
        <f>交易明細!L112</f>
        <v/>
      </c>
      <c r="Q218" s="10">
        <f>IF(N218="已下單",O218*P218,0)</f>
        <v/>
      </c>
      <c r="R218" s="10">
        <f>R217+Q218</f>
        <v/>
      </c>
      <c r="S218" s="16">
        <f>S217-IF(N218="已下單",M218,0)</f>
        <v/>
      </c>
      <c r="T218" s="16">
        <f>R218-S218</f>
        <v/>
      </c>
      <c r="U218" s="2">
        <f>U217-IF(N218="已下單",1,0)</f>
        <v/>
      </c>
      <c r="V218" s="16">
        <f>IF(資金模擬!$B$9=2,MAX(R218,0),MAX(V217,FLOOR(MAX(R218,0),資金模擬!$B$6)))</f>
        <v/>
      </c>
      <c r="W218" s="10">
        <f>MAX(W217,R218)</f>
        <v/>
      </c>
      <c r="X218" s="4">
        <f>IF(W218&gt;0,R218/W218-1,-1)</f>
        <v/>
      </c>
      <c r="Y218" s="16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46273.625</v>
      </c>
      <c r="C219" s="2" t="inlineStr">
        <is>
          <t>進場</t>
        </is>
      </c>
      <c r="D219" s="2" t="n">
        <v>112</v>
      </c>
      <c r="E219" s="2" t="inlineStr">
        <is>
          <t>PUMP_USDT_PERP</t>
        </is>
      </c>
      <c r="F219" s="2" t="inlineStr">
        <is>
          <t>做空</t>
        </is>
      </c>
      <c r="G219" s="17" t="n">
        <v>0.004183</v>
      </c>
      <c r="H219" s="17" t="n">
        <v>0.00405751</v>
      </c>
      <c r="I219" s="17" t="n">
        <v>0.00439215</v>
      </c>
      <c r="J219" s="17" t="n"/>
      <c r="K219" s="2" t="n"/>
      <c r="L219" s="5" t="n"/>
      <c r="M219" s="16">
        <f>資金模擬!$B$5*V218</f>
        <v/>
      </c>
      <c r="N219" s="2">
        <f>IF(Z218=1,"已停止",IF(T218&gt;=M219,"已下單","資金不足略過"))</f>
        <v/>
      </c>
      <c r="O219" s="16">
        <f>IF(N219="已下單",M219*資金模擬!$B$7,0)</f>
        <v/>
      </c>
      <c r="P219" s="4" t="n"/>
      <c r="Q219" s="10" t="n">
        <v>0</v>
      </c>
      <c r="R219" s="10">
        <f>R218+Q219</f>
        <v/>
      </c>
      <c r="S219" s="16">
        <f>S218+IF(N219="已下單",M219,0)</f>
        <v/>
      </c>
      <c r="T219" s="16">
        <f>R219-S219</f>
        <v/>
      </c>
      <c r="U219" s="2">
        <f>U218+IF(N219="已下單",1,0)</f>
        <v/>
      </c>
      <c r="V219" s="16">
        <f>IF(資金模擬!$B$9=2,MAX(R219,0),MAX(V218,FLOOR(MAX(R219,0),資金模擬!$B$6)))</f>
        <v/>
      </c>
      <c r="W219" s="10">
        <f>MAX(W218,R219)</f>
        <v/>
      </c>
      <c r="X219" s="4">
        <f>IF(W219&gt;0,R219/W219-1,-1)</f>
        <v/>
      </c>
      <c r="Y219" s="16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46273.66666666666</v>
      </c>
      <c r="C220" s="2" t="inlineStr">
        <is>
          <t>進場</t>
        </is>
      </c>
      <c r="D220" s="2" t="n">
        <v>113</v>
      </c>
      <c r="E220" s="2" t="inlineStr">
        <is>
          <t>WLD_USDT_PERP</t>
        </is>
      </c>
      <c r="F220" s="2" t="inlineStr">
        <is>
          <t>做多</t>
        </is>
      </c>
      <c r="G220" s="17" t="n">
        <v>0.4788</v>
      </c>
      <c r="H220" s="17" t="n">
        <v>0.493164</v>
      </c>
      <c r="I220" s="17" t="n">
        <v>0.45486</v>
      </c>
      <c r="J220" s="17" t="n"/>
      <c r="K220" s="2" t="n"/>
      <c r="L220" s="5" t="n"/>
      <c r="M220" s="16">
        <f>資金模擬!$B$5*V219</f>
        <v/>
      </c>
      <c r="N220" s="2">
        <f>IF(Z219=1,"已停止",IF(T219&gt;=M220,"已下單","資金不足略過"))</f>
        <v/>
      </c>
      <c r="O220" s="16">
        <f>IF(N220="已下單",M220*資金模擬!$B$7,0)</f>
        <v/>
      </c>
      <c r="P220" s="4" t="n"/>
      <c r="Q220" s="10" t="n">
        <v>0</v>
      </c>
      <c r="R220" s="10">
        <f>R219+Q220</f>
        <v/>
      </c>
      <c r="S220" s="16">
        <f>S219+IF(N220="已下單",M220,0)</f>
        <v/>
      </c>
      <c r="T220" s="16">
        <f>R220-S220</f>
        <v/>
      </c>
      <c r="U220" s="2">
        <f>U219+IF(N220="已下單",1,0)</f>
        <v/>
      </c>
      <c r="V220" s="16">
        <f>IF(資金模擬!$B$9=2,MAX(R220,0),MAX(V219,FLOOR(MAX(R220,0),資金模擬!$B$6)))</f>
        <v/>
      </c>
      <c r="W220" s="10">
        <f>MAX(W219,R220)</f>
        <v/>
      </c>
      <c r="X220" s="4">
        <f>IF(W220&gt;0,R220/W220-1,-1)</f>
        <v/>
      </c>
      <c r="Y220" s="16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46273.70833333334</v>
      </c>
      <c r="C221" s="2" t="inlineStr">
        <is>
          <t>出場</t>
        </is>
      </c>
      <c r="D221" s="2" t="n">
        <v>100</v>
      </c>
      <c r="E221" s="2" t="inlineStr">
        <is>
          <t>DASH_USDT_PERP</t>
        </is>
      </c>
      <c r="F221" s="2" t="inlineStr">
        <is>
          <t>做空</t>
        </is>
      </c>
      <c r="G221" s="17" t="n">
        <v>63.95</v>
      </c>
      <c r="H221" s="17" t="n">
        <v>62.0315</v>
      </c>
      <c r="I221" s="17" t="n">
        <v>67.14750000000001</v>
      </c>
      <c r="J221" s="17" t="n">
        <v>62.0315</v>
      </c>
      <c r="K221" s="2" t="inlineStr">
        <is>
          <t>止盈</t>
        </is>
      </c>
      <c r="L221" s="5">
        <f>交易明細!K101</f>
        <v/>
      </c>
      <c r="M221" s="16">
        <f>M195</f>
        <v/>
      </c>
      <c r="N221" s="2">
        <f>N195</f>
        <v/>
      </c>
      <c r="O221" s="16">
        <f>O195</f>
        <v/>
      </c>
      <c r="P221" s="4">
        <f>交易明細!L101</f>
        <v/>
      </c>
      <c r="Q221" s="10">
        <f>IF(N221="已下單",O221*P221,0)</f>
        <v/>
      </c>
      <c r="R221" s="10">
        <f>R220+Q221</f>
        <v/>
      </c>
      <c r="S221" s="16">
        <f>S220-IF(N221="已下單",M221,0)</f>
        <v/>
      </c>
      <c r="T221" s="16">
        <f>R221-S221</f>
        <v/>
      </c>
      <c r="U221" s="2">
        <f>U220-IF(N221="已下單",1,0)</f>
        <v/>
      </c>
      <c r="V221" s="16">
        <f>IF(資金模擬!$B$9=2,MAX(R221,0),MAX(V220,FLOOR(MAX(R221,0),資金模擬!$B$6)))</f>
        <v/>
      </c>
      <c r="W221" s="10">
        <f>MAX(W220,R221)</f>
        <v/>
      </c>
      <c r="X221" s="4">
        <f>IF(W221&gt;0,R221/W221-1,-1)</f>
        <v/>
      </c>
      <c r="Y221" s="16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46273.70833333334</v>
      </c>
      <c r="C222" s="2" t="inlineStr">
        <is>
          <t>進場</t>
        </is>
      </c>
      <c r="D222" s="2" t="n">
        <v>114</v>
      </c>
      <c r="E222" s="2" t="inlineStr">
        <is>
          <t>USELESS_USDT_PERP</t>
        </is>
      </c>
      <c r="F222" s="2" t="inlineStr">
        <is>
          <t>做多</t>
        </is>
      </c>
      <c r="G222" s="17" t="n">
        <v>0.2406</v>
      </c>
      <c r="H222" s="17" t="n">
        <v>0.247818</v>
      </c>
      <c r="I222" s="17" t="n">
        <v>0.22857</v>
      </c>
      <c r="J222" s="17" t="n"/>
      <c r="K222" s="2" t="n"/>
      <c r="L222" s="5" t="n"/>
      <c r="M222" s="16">
        <f>資金模擬!$B$5*V221</f>
        <v/>
      </c>
      <c r="N222" s="2">
        <f>IF(Z221=1,"已停止",IF(T221&gt;=M222,"已下單","資金不足略過"))</f>
        <v/>
      </c>
      <c r="O222" s="16">
        <f>IF(N222="已下單",M222*資金模擬!$B$7,0)</f>
        <v/>
      </c>
      <c r="P222" s="4" t="n"/>
      <c r="Q222" s="10" t="n">
        <v>0</v>
      </c>
      <c r="R222" s="10">
        <f>R221+Q222</f>
        <v/>
      </c>
      <c r="S222" s="16">
        <f>S221+IF(N222="已下單",M222,0)</f>
        <v/>
      </c>
      <c r="T222" s="16">
        <f>R222-S222</f>
        <v/>
      </c>
      <c r="U222" s="2">
        <f>U221+IF(N222="已下單",1,0)</f>
        <v/>
      </c>
      <c r="V222" s="16">
        <f>IF(資金模擬!$B$9=2,MAX(R222,0),MAX(V221,FLOOR(MAX(R222,0),資金模擬!$B$6)))</f>
        <v/>
      </c>
      <c r="W222" s="10">
        <f>MAX(W221,R222)</f>
        <v/>
      </c>
      <c r="X222" s="4">
        <f>IF(W222&gt;0,R222/W222-1,-1)</f>
        <v/>
      </c>
      <c r="Y222" s="16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46273.75</v>
      </c>
      <c r="C223" s="2" t="inlineStr">
        <is>
          <t>出場</t>
        </is>
      </c>
      <c r="D223" s="2" t="n">
        <v>107</v>
      </c>
      <c r="E223" s="2" t="inlineStr">
        <is>
          <t>LIT_USDT_PERP</t>
        </is>
      </c>
      <c r="F223" s="2" t="inlineStr">
        <is>
          <t>做空</t>
        </is>
      </c>
      <c r="G223" s="17" t="n">
        <v>4.589</v>
      </c>
      <c r="H223" s="17" t="n">
        <v>4.45133</v>
      </c>
      <c r="I223" s="17" t="n">
        <v>4.81845</v>
      </c>
      <c r="J223" s="17" t="n">
        <v>4.81845</v>
      </c>
      <c r="K223" s="2" t="inlineStr">
        <is>
          <t>止損</t>
        </is>
      </c>
      <c r="L223" s="5">
        <f>交易明細!K108</f>
        <v/>
      </c>
      <c r="M223" s="16">
        <f>M211</f>
        <v/>
      </c>
      <c r="N223" s="2">
        <f>N211</f>
        <v/>
      </c>
      <c r="O223" s="16">
        <f>O211</f>
        <v/>
      </c>
      <c r="P223" s="4">
        <f>交易明細!L108</f>
        <v/>
      </c>
      <c r="Q223" s="10">
        <f>IF(N223="已下單",O223*P223,0)</f>
        <v/>
      </c>
      <c r="R223" s="10">
        <f>R222+Q223</f>
        <v/>
      </c>
      <c r="S223" s="16">
        <f>S222-IF(N223="已下單",M223,0)</f>
        <v/>
      </c>
      <c r="T223" s="16">
        <f>R223-S223</f>
        <v/>
      </c>
      <c r="U223" s="2">
        <f>U222-IF(N223="已下單",1,0)</f>
        <v/>
      </c>
      <c r="V223" s="16">
        <f>IF(資金模擬!$B$9=2,MAX(R223,0),MAX(V222,FLOOR(MAX(R223,0),資金模擬!$B$6)))</f>
        <v/>
      </c>
      <c r="W223" s="10">
        <f>MAX(W222,R223)</f>
        <v/>
      </c>
      <c r="X223" s="4">
        <f>IF(W223&gt;0,R223/W223-1,-1)</f>
        <v/>
      </c>
      <c r="Y223" s="16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46273.75</v>
      </c>
      <c r="C224" s="2" t="inlineStr">
        <is>
          <t>出場</t>
        </is>
      </c>
      <c r="D224" s="2" t="n">
        <v>114</v>
      </c>
      <c r="E224" s="2" t="inlineStr">
        <is>
          <t>USELESS_USDT_PERP</t>
        </is>
      </c>
      <c r="F224" s="2" t="inlineStr">
        <is>
          <t>做多</t>
        </is>
      </c>
      <c r="G224" s="17" t="n">
        <v>0.2406</v>
      </c>
      <c r="H224" s="17" t="n">
        <v>0.247818</v>
      </c>
      <c r="I224" s="17" t="n">
        <v>0.22857</v>
      </c>
      <c r="J224" s="17" t="n">
        <v>0.247818</v>
      </c>
      <c r="K224" s="2" t="inlineStr">
        <is>
          <t>止盈</t>
        </is>
      </c>
      <c r="L224" s="5">
        <f>交易明細!K115</f>
        <v/>
      </c>
      <c r="M224" s="16">
        <f>M222</f>
        <v/>
      </c>
      <c r="N224" s="2">
        <f>N222</f>
        <v/>
      </c>
      <c r="O224" s="16">
        <f>O222</f>
        <v/>
      </c>
      <c r="P224" s="4">
        <f>交易明細!L115</f>
        <v/>
      </c>
      <c r="Q224" s="10">
        <f>IF(N224="已下單",O224*P224,0)</f>
        <v/>
      </c>
      <c r="R224" s="10">
        <f>R223+Q224</f>
        <v/>
      </c>
      <c r="S224" s="16">
        <f>S223-IF(N224="已下單",M224,0)</f>
        <v/>
      </c>
      <c r="T224" s="16">
        <f>R224-S224</f>
        <v/>
      </c>
      <c r="U224" s="2">
        <f>U223-IF(N224="已下單",1,0)</f>
        <v/>
      </c>
      <c r="V224" s="16">
        <f>IF(資金模擬!$B$9=2,MAX(R224,0),MAX(V223,FLOOR(MAX(R224,0),資金模擬!$B$6)))</f>
        <v/>
      </c>
      <c r="W224" s="10">
        <f>MAX(W223,R224)</f>
        <v/>
      </c>
      <c r="X224" s="4">
        <f>IF(W224&gt;0,R224/W224-1,-1)</f>
        <v/>
      </c>
      <c r="Y224" s="16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46273.75</v>
      </c>
      <c r="C225" s="2" t="inlineStr">
        <is>
          <t>進場</t>
        </is>
      </c>
      <c r="D225" s="2" t="n">
        <v>115</v>
      </c>
      <c r="E225" s="2" t="inlineStr">
        <is>
          <t>AERO_USDT_PERP</t>
        </is>
      </c>
      <c r="F225" s="2" t="inlineStr">
        <is>
          <t>做多</t>
        </is>
      </c>
      <c r="G225" s="17" t="n">
        <v>0.6424</v>
      </c>
      <c r="H225" s="17" t="n">
        <v>0.661672</v>
      </c>
      <c r="I225" s="17" t="n">
        <v>0.6102799999999999</v>
      </c>
      <c r="J225" s="17" t="n"/>
      <c r="K225" s="2" t="n"/>
      <c r="L225" s="5" t="n"/>
      <c r="M225" s="16">
        <f>資金模擬!$B$5*V224</f>
        <v/>
      </c>
      <c r="N225" s="2">
        <f>IF(Z224=1,"已停止",IF(T224&gt;=M225,"已下單","資金不足略過"))</f>
        <v/>
      </c>
      <c r="O225" s="16">
        <f>IF(N225="已下單",M225*資金模擬!$B$7,0)</f>
        <v/>
      </c>
      <c r="P225" s="4" t="n"/>
      <c r="Q225" s="10" t="n">
        <v>0</v>
      </c>
      <c r="R225" s="10">
        <f>R224+Q225</f>
        <v/>
      </c>
      <c r="S225" s="16">
        <f>S224+IF(N225="已下單",M225,0)</f>
        <v/>
      </c>
      <c r="T225" s="16">
        <f>R225-S225</f>
        <v/>
      </c>
      <c r="U225" s="2">
        <f>U224+IF(N225="已下單",1,0)</f>
        <v/>
      </c>
      <c r="V225" s="16">
        <f>IF(資金模擬!$B$9=2,MAX(R225,0),MAX(V224,FLOOR(MAX(R225,0),資金模擬!$B$6)))</f>
        <v/>
      </c>
      <c r="W225" s="10">
        <f>MAX(W224,R225)</f>
        <v/>
      </c>
      <c r="X225" s="4">
        <f>IF(W225&gt;0,R225/W225-1,-1)</f>
        <v/>
      </c>
      <c r="Y225" s="16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46273.75</v>
      </c>
      <c r="C226" s="2" t="inlineStr">
        <is>
          <t>進場</t>
        </is>
      </c>
      <c r="D226" s="2" t="n">
        <v>116</v>
      </c>
      <c r="E226" s="2" t="inlineStr">
        <is>
          <t>UAI_USDT_PERP</t>
        </is>
      </c>
      <c r="F226" s="2" t="inlineStr">
        <is>
          <t>做多</t>
        </is>
      </c>
      <c r="G226" s="17" t="n">
        <v>0.7282999999999999</v>
      </c>
      <c r="H226" s="17" t="n">
        <v>0.750149</v>
      </c>
      <c r="I226" s="17" t="n">
        <v>0.691885</v>
      </c>
      <c r="J226" s="17" t="n"/>
      <c r="K226" s="2" t="n"/>
      <c r="L226" s="5" t="n"/>
      <c r="M226" s="16">
        <f>資金模擬!$B$5*V225</f>
        <v/>
      </c>
      <c r="N226" s="2">
        <f>IF(Z225=1,"已停止",IF(T225&gt;=M226,"已下單","資金不足略過"))</f>
        <v/>
      </c>
      <c r="O226" s="16">
        <f>IF(N226="已下單",M226*資金模擬!$B$7,0)</f>
        <v/>
      </c>
      <c r="P226" s="4" t="n"/>
      <c r="Q226" s="10" t="n">
        <v>0</v>
      </c>
      <c r="R226" s="10">
        <f>R225+Q226</f>
        <v/>
      </c>
      <c r="S226" s="16">
        <f>S225+IF(N226="已下單",M226,0)</f>
        <v/>
      </c>
      <c r="T226" s="16">
        <f>R226-S226</f>
        <v/>
      </c>
      <c r="U226" s="2">
        <f>U225+IF(N226="已下單",1,0)</f>
        <v/>
      </c>
      <c r="V226" s="16">
        <f>IF(資金模擬!$B$9=2,MAX(R226,0),MAX(V225,FLOOR(MAX(R226,0),資金模擬!$B$6)))</f>
        <v/>
      </c>
      <c r="W226" s="10">
        <f>MAX(W225,R226)</f>
        <v/>
      </c>
      <c r="X226" s="4">
        <f>IF(W226&gt;0,R226/W226-1,-1)</f>
        <v/>
      </c>
      <c r="Y226" s="16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46273.79166666666</v>
      </c>
      <c r="C227" s="2" t="inlineStr">
        <is>
          <t>出場</t>
        </is>
      </c>
      <c r="D227" s="2" t="n">
        <v>112</v>
      </c>
      <c r="E227" s="2" t="inlineStr">
        <is>
          <t>PUMP_USDT_PERP</t>
        </is>
      </c>
      <c r="F227" s="2" t="inlineStr">
        <is>
          <t>做空</t>
        </is>
      </c>
      <c r="G227" s="17" t="n">
        <v>0.004183</v>
      </c>
      <c r="H227" s="17" t="n">
        <v>0.00405751</v>
      </c>
      <c r="I227" s="17" t="n">
        <v>0.00439215</v>
      </c>
      <c r="J227" s="17" t="n">
        <v>0.00439215</v>
      </c>
      <c r="K227" s="2" t="inlineStr">
        <is>
          <t>止損</t>
        </is>
      </c>
      <c r="L227" s="5">
        <f>交易明細!K113</f>
        <v/>
      </c>
      <c r="M227" s="16">
        <f>M219</f>
        <v/>
      </c>
      <c r="N227" s="2">
        <f>N219</f>
        <v/>
      </c>
      <c r="O227" s="16">
        <f>O219</f>
        <v/>
      </c>
      <c r="P227" s="4">
        <f>交易明細!L113</f>
        <v/>
      </c>
      <c r="Q227" s="10">
        <f>IF(N227="已下單",O227*P227,0)</f>
        <v/>
      </c>
      <c r="R227" s="10">
        <f>R226+Q227</f>
        <v/>
      </c>
      <c r="S227" s="16">
        <f>S226-IF(N227="已下單",M227,0)</f>
        <v/>
      </c>
      <c r="T227" s="16">
        <f>R227-S227</f>
        <v/>
      </c>
      <c r="U227" s="2">
        <f>U226-IF(N227="已下單",1,0)</f>
        <v/>
      </c>
      <c r="V227" s="16">
        <f>IF(資金模擬!$B$9=2,MAX(R227,0),MAX(V226,FLOOR(MAX(R227,0),資金模擬!$B$6)))</f>
        <v/>
      </c>
      <c r="W227" s="10">
        <f>MAX(W226,R227)</f>
        <v/>
      </c>
      <c r="X227" s="4">
        <f>IF(W227&gt;0,R227/W227-1,-1)</f>
        <v/>
      </c>
      <c r="Y227" s="16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46273.79166666666</v>
      </c>
      <c r="C228" s="2" t="inlineStr">
        <is>
          <t>進場</t>
        </is>
      </c>
      <c r="D228" s="2" t="n">
        <v>117</v>
      </c>
      <c r="E228" s="2" t="inlineStr">
        <is>
          <t>CASHCAT_USDT_PERP</t>
        </is>
      </c>
      <c r="F228" s="2" t="inlineStr">
        <is>
          <t>做空</t>
        </is>
      </c>
      <c r="G228" s="17" t="n">
        <v>0.1787</v>
      </c>
      <c r="H228" s="17" t="n">
        <v>0.173339</v>
      </c>
      <c r="I228" s="17" t="n">
        <v>0.187635</v>
      </c>
      <c r="J228" s="17" t="n"/>
      <c r="K228" s="2" t="n"/>
      <c r="L228" s="5" t="n"/>
      <c r="M228" s="16">
        <f>資金模擬!$B$5*V227</f>
        <v/>
      </c>
      <c r="N228" s="2">
        <f>IF(Z227=1,"已停止",IF(T227&gt;=M228,"已下單","資金不足略過"))</f>
        <v/>
      </c>
      <c r="O228" s="16">
        <f>IF(N228="已下單",M228*資金模擬!$B$7,0)</f>
        <v/>
      </c>
      <c r="P228" s="4" t="n"/>
      <c r="Q228" s="10" t="n">
        <v>0</v>
      </c>
      <c r="R228" s="10">
        <f>R227+Q228</f>
        <v/>
      </c>
      <c r="S228" s="16">
        <f>S227+IF(N228="已下單",M228,0)</f>
        <v/>
      </c>
      <c r="T228" s="16">
        <f>R228-S228</f>
        <v/>
      </c>
      <c r="U228" s="2">
        <f>U227+IF(N228="已下單",1,0)</f>
        <v/>
      </c>
      <c r="V228" s="16">
        <f>IF(資金模擬!$B$9=2,MAX(R228,0),MAX(V227,FLOOR(MAX(R228,0),資金模擬!$B$6)))</f>
        <v/>
      </c>
      <c r="W228" s="10">
        <f>MAX(W227,R228)</f>
        <v/>
      </c>
      <c r="X228" s="4">
        <f>IF(W228&gt;0,R228/W228-1,-1)</f>
        <v/>
      </c>
      <c r="Y228" s="16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46273.83333333334</v>
      </c>
      <c r="C229" s="2" t="inlineStr">
        <is>
          <t>出場</t>
        </is>
      </c>
      <c r="D229" s="2" t="n">
        <v>116</v>
      </c>
      <c r="E229" s="2" t="inlineStr">
        <is>
          <t>UAI_USDT_PERP</t>
        </is>
      </c>
      <c r="F229" s="2" t="inlineStr">
        <is>
          <t>做多</t>
        </is>
      </c>
      <c r="G229" s="17" t="n">
        <v>0.7282999999999999</v>
      </c>
      <c r="H229" s="17" t="n">
        <v>0.750149</v>
      </c>
      <c r="I229" s="17" t="n">
        <v>0.691885</v>
      </c>
      <c r="J229" s="17" t="n">
        <v>0.750149</v>
      </c>
      <c r="K229" s="2" t="inlineStr">
        <is>
          <t>止盈</t>
        </is>
      </c>
      <c r="L229" s="5">
        <f>交易明細!K117</f>
        <v/>
      </c>
      <c r="M229" s="16">
        <f>M226</f>
        <v/>
      </c>
      <c r="N229" s="2">
        <f>N226</f>
        <v/>
      </c>
      <c r="O229" s="16">
        <f>O226</f>
        <v/>
      </c>
      <c r="P229" s="4">
        <f>交易明細!L117</f>
        <v/>
      </c>
      <c r="Q229" s="10">
        <f>IF(N229="已下單",O229*P229,0)</f>
        <v/>
      </c>
      <c r="R229" s="10">
        <f>R228+Q229</f>
        <v/>
      </c>
      <c r="S229" s="16">
        <f>S228-IF(N229="已下單",M229,0)</f>
        <v/>
      </c>
      <c r="T229" s="16">
        <f>R229-S229</f>
        <v/>
      </c>
      <c r="U229" s="2">
        <f>U228-IF(N229="已下單",1,0)</f>
        <v/>
      </c>
      <c r="V229" s="16">
        <f>IF(資金模擬!$B$9=2,MAX(R229,0),MAX(V228,FLOOR(MAX(R229,0),資金模擬!$B$6)))</f>
        <v/>
      </c>
      <c r="W229" s="10">
        <f>MAX(W228,R229)</f>
        <v/>
      </c>
      <c r="X229" s="4">
        <f>IF(W229&gt;0,R229/W229-1,-1)</f>
        <v/>
      </c>
      <c r="Y229" s="16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46273.875</v>
      </c>
      <c r="C230" s="2" t="inlineStr">
        <is>
          <t>出場</t>
        </is>
      </c>
      <c r="D230" s="2" t="n">
        <v>117</v>
      </c>
      <c r="E230" s="2" t="inlineStr">
        <is>
          <t>CASHCAT_USDT_PERP</t>
        </is>
      </c>
      <c r="F230" s="2" t="inlineStr">
        <is>
          <t>做空</t>
        </is>
      </c>
      <c r="G230" s="17" t="n">
        <v>0.1787</v>
      </c>
      <c r="H230" s="17" t="n">
        <v>0.173339</v>
      </c>
      <c r="I230" s="17" t="n">
        <v>0.187635</v>
      </c>
      <c r="J230" s="17" t="n">
        <v>0.173339</v>
      </c>
      <c r="K230" s="2" t="inlineStr">
        <is>
          <t>止盈</t>
        </is>
      </c>
      <c r="L230" s="5">
        <f>交易明細!K118</f>
        <v/>
      </c>
      <c r="M230" s="16">
        <f>M228</f>
        <v/>
      </c>
      <c r="N230" s="2">
        <f>N228</f>
        <v/>
      </c>
      <c r="O230" s="16">
        <f>O228</f>
        <v/>
      </c>
      <c r="P230" s="4">
        <f>交易明細!L118</f>
        <v/>
      </c>
      <c r="Q230" s="10">
        <f>IF(N230="已下單",O230*P230,0)</f>
        <v/>
      </c>
      <c r="R230" s="10">
        <f>R229+Q230</f>
        <v/>
      </c>
      <c r="S230" s="16">
        <f>S229-IF(N230="已下單",M230,0)</f>
        <v/>
      </c>
      <c r="T230" s="16">
        <f>R230-S230</f>
        <v/>
      </c>
      <c r="U230" s="2">
        <f>U229-IF(N230="已下單",1,0)</f>
        <v/>
      </c>
      <c r="V230" s="16">
        <f>IF(資金模擬!$B$9=2,MAX(R230,0),MAX(V229,FLOOR(MAX(R230,0),資金模擬!$B$6)))</f>
        <v/>
      </c>
      <c r="W230" s="10">
        <f>MAX(W229,R230)</f>
        <v/>
      </c>
      <c r="X230" s="4">
        <f>IF(W230&gt;0,R230/W230-1,-1)</f>
        <v/>
      </c>
      <c r="Y230" s="16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46273.875</v>
      </c>
      <c r="C231" s="2" t="inlineStr">
        <is>
          <t>進場</t>
        </is>
      </c>
      <c r="D231" s="2" t="n">
        <v>118</v>
      </c>
      <c r="E231" s="2" t="inlineStr">
        <is>
          <t>LIT_USDT_PERP</t>
        </is>
      </c>
      <c r="F231" s="2" t="inlineStr">
        <is>
          <t>做多</t>
        </is>
      </c>
      <c r="G231" s="17" t="n">
        <v>4.848</v>
      </c>
      <c r="H231" s="17" t="n">
        <v>4.99344</v>
      </c>
      <c r="I231" s="17" t="n">
        <v>4.6056</v>
      </c>
      <c r="J231" s="17" t="n"/>
      <c r="K231" s="2" t="n"/>
      <c r="L231" s="5" t="n"/>
      <c r="M231" s="16">
        <f>資金模擬!$B$5*V230</f>
        <v/>
      </c>
      <c r="N231" s="2">
        <f>IF(Z230=1,"已停止",IF(T230&gt;=M231,"已下單","資金不足略過"))</f>
        <v/>
      </c>
      <c r="O231" s="16">
        <f>IF(N231="已下單",M231*資金模擬!$B$7,0)</f>
        <v/>
      </c>
      <c r="P231" s="4" t="n"/>
      <c r="Q231" s="10" t="n">
        <v>0</v>
      </c>
      <c r="R231" s="10">
        <f>R230+Q231</f>
        <v/>
      </c>
      <c r="S231" s="16">
        <f>S230+IF(N231="已下單",M231,0)</f>
        <v/>
      </c>
      <c r="T231" s="16">
        <f>R231-S231</f>
        <v/>
      </c>
      <c r="U231" s="2">
        <f>U230+IF(N231="已下單",1,0)</f>
        <v/>
      </c>
      <c r="V231" s="16">
        <f>IF(資金模擬!$B$9=2,MAX(R231,0),MAX(V230,FLOOR(MAX(R231,0),資金模擬!$B$6)))</f>
        <v/>
      </c>
      <c r="W231" s="10">
        <f>MAX(W230,R231)</f>
        <v/>
      </c>
      <c r="X231" s="4">
        <f>IF(W231&gt;0,R231/W231-1,-1)</f>
        <v/>
      </c>
      <c r="Y231" s="16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46273.875</v>
      </c>
      <c r="C232" s="2" t="inlineStr">
        <is>
          <t>進場</t>
        </is>
      </c>
      <c r="D232" s="2" t="n">
        <v>119</v>
      </c>
      <c r="E232" s="2" t="inlineStr">
        <is>
          <t>PONS_USDT_PERP</t>
        </is>
      </c>
      <c r="F232" s="2" t="inlineStr">
        <is>
          <t>做多</t>
        </is>
      </c>
      <c r="G232" s="17" t="n">
        <v>0.7527</v>
      </c>
      <c r="H232" s="17" t="n">
        <v>0.7752810000000001</v>
      </c>
      <c r="I232" s="17" t="n">
        <v>0.715065</v>
      </c>
      <c r="J232" s="17" t="n"/>
      <c r="K232" s="2" t="n"/>
      <c r="L232" s="5" t="n"/>
      <c r="M232" s="16">
        <f>資金模擬!$B$5*V231</f>
        <v/>
      </c>
      <c r="N232" s="2">
        <f>IF(Z231=1,"已停止",IF(T231&gt;=M232,"已下單","資金不足略過"))</f>
        <v/>
      </c>
      <c r="O232" s="16">
        <f>IF(N232="已下單",M232*資金模擬!$B$7,0)</f>
        <v/>
      </c>
      <c r="P232" s="4" t="n"/>
      <c r="Q232" s="10" t="n">
        <v>0</v>
      </c>
      <c r="R232" s="10">
        <f>R231+Q232</f>
        <v/>
      </c>
      <c r="S232" s="16">
        <f>S231+IF(N232="已下單",M232,0)</f>
        <v/>
      </c>
      <c r="T232" s="16">
        <f>R232-S232</f>
        <v/>
      </c>
      <c r="U232" s="2">
        <f>U231+IF(N232="已下單",1,0)</f>
        <v/>
      </c>
      <c r="V232" s="16">
        <f>IF(資金模擬!$B$9=2,MAX(R232,0),MAX(V231,FLOOR(MAX(R232,0),資金模擬!$B$6)))</f>
        <v/>
      </c>
      <c r="W232" s="10">
        <f>MAX(W231,R232)</f>
        <v/>
      </c>
      <c r="X232" s="4">
        <f>IF(W232&gt;0,R232/W232-1,-1)</f>
        <v/>
      </c>
      <c r="Y232" s="16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46273.91666666666</v>
      </c>
      <c r="C233" s="2" t="inlineStr">
        <is>
          <t>出場</t>
        </is>
      </c>
      <c r="D233" s="2" t="n">
        <v>110</v>
      </c>
      <c r="E233" s="2" t="inlineStr">
        <is>
          <t>ARB_USDT_PERP</t>
        </is>
      </c>
      <c r="F233" s="2" t="inlineStr">
        <is>
          <t>做多</t>
        </is>
      </c>
      <c r="G233" s="17" t="n">
        <v>0.1747</v>
      </c>
      <c r="H233" s="17" t="n">
        <v>0.179941</v>
      </c>
      <c r="I233" s="17" t="n">
        <v>0.165965</v>
      </c>
      <c r="J233" s="17" t="n">
        <v>0.165965</v>
      </c>
      <c r="K233" s="2" t="inlineStr">
        <is>
          <t>止損</t>
        </is>
      </c>
      <c r="L233" s="5">
        <f>交易明細!K111</f>
        <v/>
      </c>
      <c r="M233" s="16">
        <f>M215</f>
        <v/>
      </c>
      <c r="N233" s="2">
        <f>N215</f>
        <v/>
      </c>
      <c r="O233" s="16">
        <f>O215</f>
        <v/>
      </c>
      <c r="P233" s="4">
        <f>交易明細!L111</f>
        <v/>
      </c>
      <c r="Q233" s="10">
        <f>IF(N233="已下單",O233*P233,0)</f>
        <v/>
      </c>
      <c r="R233" s="10">
        <f>R232+Q233</f>
        <v/>
      </c>
      <c r="S233" s="16">
        <f>S232-IF(N233="已下單",M233,0)</f>
        <v/>
      </c>
      <c r="T233" s="16">
        <f>R233-S233</f>
        <v/>
      </c>
      <c r="U233" s="2">
        <f>U232-IF(N233="已下單",1,0)</f>
        <v/>
      </c>
      <c r="V233" s="16">
        <f>IF(資金模擬!$B$9=2,MAX(R233,0),MAX(V232,FLOOR(MAX(R233,0),資金模擬!$B$6)))</f>
        <v/>
      </c>
      <c r="W233" s="10">
        <f>MAX(W232,R233)</f>
        <v/>
      </c>
      <c r="X233" s="4">
        <f>IF(W233&gt;0,R233/W233-1,-1)</f>
        <v/>
      </c>
      <c r="Y233" s="16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46273.91666666666</v>
      </c>
      <c r="C234" s="2" t="inlineStr">
        <is>
          <t>出場</t>
        </is>
      </c>
      <c r="D234" s="2" t="n">
        <v>119</v>
      </c>
      <c r="E234" s="2" t="inlineStr">
        <is>
          <t>PONS_USDT_PERP</t>
        </is>
      </c>
      <c r="F234" s="2" t="inlineStr">
        <is>
          <t>做多</t>
        </is>
      </c>
      <c r="G234" s="17" t="n">
        <v>0.7527</v>
      </c>
      <c r="H234" s="17" t="n">
        <v>0.7752810000000001</v>
      </c>
      <c r="I234" s="17" t="n">
        <v>0.715065</v>
      </c>
      <c r="J234" s="17" t="n">
        <v>0.7752810000000001</v>
      </c>
      <c r="K234" s="2" t="inlineStr">
        <is>
          <t>止盈</t>
        </is>
      </c>
      <c r="L234" s="5">
        <f>交易明細!K120</f>
        <v/>
      </c>
      <c r="M234" s="16">
        <f>M232</f>
        <v/>
      </c>
      <c r="N234" s="2">
        <f>N232</f>
        <v/>
      </c>
      <c r="O234" s="16">
        <f>O232</f>
        <v/>
      </c>
      <c r="P234" s="4">
        <f>交易明細!L120</f>
        <v/>
      </c>
      <c r="Q234" s="10">
        <f>IF(N234="已下單",O234*P234,0)</f>
        <v/>
      </c>
      <c r="R234" s="10">
        <f>R233+Q234</f>
        <v/>
      </c>
      <c r="S234" s="16">
        <f>S233-IF(N234="已下單",M234,0)</f>
        <v/>
      </c>
      <c r="T234" s="16">
        <f>R234-S234</f>
        <v/>
      </c>
      <c r="U234" s="2">
        <f>U233-IF(N234="已下單",1,0)</f>
        <v/>
      </c>
      <c r="V234" s="16">
        <f>IF(資金模擬!$B$9=2,MAX(R234,0),MAX(V233,FLOOR(MAX(R234,0),資金模擬!$B$6)))</f>
        <v/>
      </c>
      <c r="W234" s="10">
        <f>MAX(W233,R234)</f>
        <v/>
      </c>
      <c r="X234" s="4">
        <f>IF(W234&gt;0,R234/W234-1,-1)</f>
        <v/>
      </c>
      <c r="Y234" s="16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46273.95833333334</v>
      </c>
      <c r="C235" s="2" t="inlineStr">
        <is>
          <t>出場</t>
        </is>
      </c>
      <c r="D235" s="2" t="n">
        <v>109</v>
      </c>
      <c r="E235" s="2" t="inlineStr">
        <is>
          <t>KAS_USDT_PERP</t>
        </is>
      </c>
      <c r="F235" s="2" t="inlineStr">
        <is>
          <t>做空</t>
        </is>
      </c>
      <c r="G235" s="17" t="n">
        <v>0.03482</v>
      </c>
      <c r="H235" s="17" t="n">
        <v>0.0337754</v>
      </c>
      <c r="I235" s="17" t="n">
        <v>0.036561</v>
      </c>
      <c r="J235" s="17" t="n">
        <v>0.036561</v>
      </c>
      <c r="K235" s="2" t="inlineStr">
        <is>
          <t>止損</t>
        </is>
      </c>
      <c r="L235" s="5">
        <f>交易明細!K110</f>
        <v/>
      </c>
      <c r="M235" s="16">
        <f>M213</f>
        <v/>
      </c>
      <c r="N235" s="2">
        <f>N213</f>
        <v/>
      </c>
      <c r="O235" s="16">
        <f>O213</f>
        <v/>
      </c>
      <c r="P235" s="4">
        <f>交易明細!L110</f>
        <v/>
      </c>
      <c r="Q235" s="10">
        <f>IF(N235="已下單",O235*P235,0)</f>
        <v/>
      </c>
      <c r="R235" s="10">
        <f>R234+Q235</f>
        <v/>
      </c>
      <c r="S235" s="16">
        <f>S234-IF(N235="已下單",M235,0)</f>
        <v/>
      </c>
      <c r="T235" s="16">
        <f>R235-S235</f>
        <v/>
      </c>
      <c r="U235" s="2">
        <f>U234-IF(N235="已下單",1,0)</f>
        <v/>
      </c>
      <c r="V235" s="16">
        <f>IF(資金模擬!$B$9=2,MAX(R235,0),MAX(V234,FLOOR(MAX(R235,0),資金模擬!$B$6)))</f>
        <v/>
      </c>
      <c r="W235" s="10">
        <f>MAX(W234,R235)</f>
        <v/>
      </c>
      <c r="X235" s="4">
        <f>IF(W235&gt;0,R235/W235-1,-1)</f>
        <v/>
      </c>
      <c r="Y235" s="16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46273.95833333334</v>
      </c>
      <c r="C236" s="2" t="inlineStr">
        <is>
          <t>進場</t>
        </is>
      </c>
      <c r="D236" s="2" t="n">
        <v>120</v>
      </c>
      <c r="E236" s="2" t="inlineStr">
        <is>
          <t>DOT_USDT_PERP</t>
        </is>
      </c>
      <c r="F236" s="2" t="inlineStr">
        <is>
          <t>做多</t>
        </is>
      </c>
      <c r="G236" s="17" t="n">
        <v>1.123</v>
      </c>
      <c r="H236" s="17" t="n">
        <v>1.15669</v>
      </c>
      <c r="I236" s="17" t="n">
        <v>1.06685</v>
      </c>
      <c r="J236" s="17" t="n"/>
      <c r="K236" s="2" t="n"/>
      <c r="L236" s="5" t="n"/>
      <c r="M236" s="16">
        <f>資金模擬!$B$5*V235</f>
        <v/>
      </c>
      <c r="N236" s="2">
        <f>IF(Z235=1,"已停止",IF(T235&gt;=M236,"已下單","資金不足略過"))</f>
        <v/>
      </c>
      <c r="O236" s="16">
        <f>IF(N236="已下單",M236*資金模擬!$B$7,0)</f>
        <v/>
      </c>
      <c r="P236" s="4" t="n"/>
      <c r="Q236" s="10" t="n">
        <v>0</v>
      </c>
      <c r="R236" s="10">
        <f>R235+Q236</f>
        <v/>
      </c>
      <c r="S236" s="16">
        <f>S235+IF(N236="已下單",M236,0)</f>
        <v/>
      </c>
      <c r="T236" s="16">
        <f>R236-S236</f>
        <v/>
      </c>
      <c r="U236" s="2">
        <f>U235+IF(N236="已下單",1,0)</f>
        <v/>
      </c>
      <c r="V236" s="16">
        <f>IF(資金模擬!$B$9=2,MAX(R236,0),MAX(V235,FLOOR(MAX(R236,0),資金模擬!$B$6)))</f>
        <v/>
      </c>
      <c r="W236" s="10">
        <f>MAX(W235,R236)</f>
        <v/>
      </c>
      <c r="X236" s="4">
        <f>IF(W236&gt;0,R236/W236-1,-1)</f>
        <v/>
      </c>
      <c r="Y236" s="16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46273.95833333334</v>
      </c>
      <c r="C237" s="2" t="inlineStr">
        <is>
          <t>進場</t>
        </is>
      </c>
      <c r="D237" s="2" t="n">
        <v>121</v>
      </c>
      <c r="E237" s="2" t="inlineStr">
        <is>
          <t>INJ_USDT_PERP</t>
        </is>
      </c>
      <c r="F237" s="2" t="inlineStr">
        <is>
          <t>做多</t>
        </is>
      </c>
      <c r="G237" s="17" t="n">
        <v>6.534</v>
      </c>
      <c r="H237" s="17" t="n">
        <v>6.73002</v>
      </c>
      <c r="I237" s="17" t="n">
        <v>6.207299999999999</v>
      </c>
      <c r="J237" s="17" t="n"/>
      <c r="K237" s="2" t="n"/>
      <c r="L237" s="5" t="n"/>
      <c r="M237" s="16">
        <f>資金模擬!$B$5*V236</f>
        <v/>
      </c>
      <c r="N237" s="2">
        <f>IF(Z236=1,"已停止",IF(T236&gt;=M237,"已下單","資金不足略過"))</f>
        <v/>
      </c>
      <c r="O237" s="16">
        <f>IF(N237="已下單",M237*資金模擬!$B$7,0)</f>
        <v/>
      </c>
      <c r="P237" s="4" t="n"/>
      <c r="Q237" s="10" t="n">
        <v>0</v>
      </c>
      <c r="R237" s="10">
        <f>R236+Q237</f>
        <v/>
      </c>
      <c r="S237" s="16">
        <f>S236+IF(N237="已下單",M237,0)</f>
        <v/>
      </c>
      <c r="T237" s="16">
        <f>R237-S237</f>
        <v/>
      </c>
      <c r="U237" s="2">
        <f>U236+IF(N237="已下單",1,0)</f>
        <v/>
      </c>
      <c r="V237" s="16">
        <f>IF(資金模擬!$B$9=2,MAX(R237,0),MAX(V236,FLOOR(MAX(R237,0),資金模擬!$B$6)))</f>
        <v/>
      </c>
      <c r="W237" s="10">
        <f>MAX(W236,R237)</f>
        <v/>
      </c>
      <c r="X237" s="4">
        <f>IF(W237&gt;0,R237/W237-1,-1)</f>
        <v/>
      </c>
      <c r="Y237" s="16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46274</v>
      </c>
      <c r="C238" s="2" t="inlineStr">
        <is>
          <t>出場</t>
        </is>
      </c>
      <c r="D238" s="2" t="n">
        <v>95</v>
      </c>
      <c r="E238" s="2" t="inlineStr">
        <is>
          <t>NEAR_USDT_PERP</t>
        </is>
      </c>
      <c r="F238" s="2" t="inlineStr">
        <is>
          <t>做空</t>
        </is>
      </c>
      <c r="G238" s="17" t="n">
        <v>2.293</v>
      </c>
      <c r="H238" s="17" t="n">
        <v>2.22421</v>
      </c>
      <c r="I238" s="17" t="n">
        <v>2.40765</v>
      </c>
      <c r="J238" s="17" t="n">
        <v>2.40765</v>
      </c>
      <c r="K238" s="2" t="inlineStr">
        <is>
          <t>止損</t>
        </is>
      </c>
      <c r="L238" s="5">
        <f>交易明細!K96</f>
        <v/>
      </c>
      <c r="M238" s="16">
        <f>M189</f>
        <v/>
      </c>
      <c r="N238" s="2">
        <f>N189</f>
        <v/>
      </c>
      <c r="O238" s="16">
        <f>O189</f>
        <v/>
      </c>
      <c r="P238" s="4">
        <f>交易明細!L96</f>
        <v/>
      </c>
      <c r="Q238" s="10">
        <f>IF(N238="已下單",O238*P238,0)</f>
        <v/>
      </c>
      <c r="R238" s="10">
        <f>R237+Q238</f>
        <v/>
      </c>
      <c r="S238" s="16">
        <f>S237-IF(N238="已下單",M238,0)</f>
        <v/>
      </c>
      <c r="T238" s="16">
        <f>R238-S238</f>
        <v/>
      </c>
      <c r="U238" s="2">
        <f>U237-IF(N238="已下單",1,0)</f>
        <v/>
      </c>
      <c r="V238" s="16">
        <f>IF(資金模擬!$B$9=2,MAX(R238,0),MAX(V237,FLOOR(MAX(R238,0),資金模擬!$B$6)))</f>
        <v/>
      </c>
      <c r="W238" s="10">
        <f>MAX(W237,R238)</f>
        <v/>
      </c>
      <c r="X238" s="4">
        <f>IF(W238&gt;0,R238/W238-1,-1)</f>
        <v/>
      </c>
      <c r="Y238" s="16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46274</v>
      </c>
      <c r="C239" s="2" t="inlineStr">
        <is>
          <t>出場</t>
        </is>
      </c>
      <c r="D239" s="2" t="n">
        <v>113</v>
      </c>
      <c r="E239" s="2" t="inlineStr">
        <is>
          <t>WLD_USDT_PERP</t>
        </is>
      </c>
      <c r="F239" s="2" t="inlineStr">
        <is>
          <t>做多</t>
        </is>
      </c>
      <c r="G239" s="17" t="n">
        <v>0.4788</v>
      </c>
      <c r="H239" s="17" t="n">
        <v>0.493164</v>
      </c>
      <c r="I239" s="17" t="n">
        <v>0.45486</v>
      </c>
      <c r="J239" s="17" t="n">
        <v>0.493164</v>
      </c>
      <c r="K239" s="2" t="inlineStr">
        <is>
          <t>止盈</t>
        </is>
      </c>
      <c r="L239" s="5">
        <f>交易明細!K114</f>
        <v/>
      </c>
      <c r="M239" s="16">
        <f>M220</f>
        <v/>
      </c>
      <c r="N239" s="2">
        <f>N220</f>
        <v/>
      </c>
      <c r="O239" s="16">
        <f>O220</f>
        <v/>
      </c>
      <c r="P239" s="4">
        <f>交易明細!L114</f>
        <v/>
      </c>
      <c r="Q239" s="10">
        <f>IF(N239="已下單",O239*P239,0)</f>
        <v/>
      </c>
      <c r="R239" s="10">
        <f>R238+Q239</f>
        <v/>
      </c>
      <c r="S239" s="16">
        <f>S238-IF(N239="已下單",M239,0)</f>
        <v/>
      </c>
      <c r="T239" s="16">
        <f>R239-S239</f>
        <v/>
      </c>
      <c r="U239" s="2">
        <f>U238-IF(N239="已下單",1,0)</f>
        <v/>
      </c>
      <c r="V239" s="16">
        <f>IF(資金模擬!$B$9=2,MAX(R239,0),MAX(V238,FLOOR(MAX(R239,0),資金模擬!$B$6)))</f>
        <v/>
      </c>
      <c r="W239" s="10">
        <f>MAX(W238,R239)</f>
        <v/>
      </c>
      <c r="X239" s="4">
        <f>IF(W239&gt;0,R239/W239-1,-1)</f>
        <v/>
      </c>
      <c r="Y239" s="16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46274</v>
      </c>
      <c r="C240" s="2" t="inlineStr">
        <is>
          <t>出場</t>
        </is>
      </c>
      <c r="D240" s="2" t="n">
        <v>120</v>
      </c>
      <c r="E240" s="2" t="inlineStr">
        <is>
          <t>DOT_USDT_PERP</t>
        </is>
      </c>
      <c r="F240" s="2" t="inlineStr">
        <is>
          <t>做多</t>
        </is>
      </c>
      <c r="G240" s="17" t="n">
        <v>1.123</v>
      </c>
      <c r="H240" s="17" t="n">
        <v>1.15669</v>
      </c>
      <c r="I240" s="17" t="n">
        <v>1.06685</v>
      </c>
      <c r="J240" s="17" t="n">
        <v>1.15669</v>
      </c>
      <c r="K240" s="2" t="inlineStr">
        <is>
          <t>止盈</t>
        </is>
      </c>
      <c r="L240" s="5">
        <f>交易明細!K121</f>
        <v/>
      </c>
      <c r="M240" s="16">
        <f>M236</f>
        <v/>
      </c>
      <c r="N240" s="2">
        <f>N236</f>
        <v/>
      </c>
      <c r="O240" s="16">
        <f>O236</f>
        <v/>
      </c>
      <c r="P240" s="4">
        <f>交易明細!L121</f>
        <v/>
      </c>
      <c r="Q240" s="10">
        <f>IF(N240="已下單",O240*P240,0)</f>
        <v/>
      </c>
      <c r="R240" s="10">
        <f>R239+Q240</f>
        <v/>
      </c>
      <c r="S240" s="16">
        <f>S239-IF(N240="已下單",M240,0)</f>
        <v/>
      </c>
      <c r="T240" s="16">
        <f>R240-S240</f>
        <v/>
      </c>
      <c r="U240" s="2">
        <f>U239-IF(N240="已下單",1,0)</f>
        <v/>
      </c>
      <c r="V240" s="16">
        <f>IF(資金模擬!$B$9=2,MAX(R240,0),MAX(V239,FLOOR(MAX(R240,0),資金模擬!$B$6)))</f>
        <v/>
      </c>
      <c r="W240" s="10">
        <f>MAX(W239,R240)</f>
        <v/>
      </c>
      <c r="X240" s="4">
        <f>IF(W240&gt;0,R240/W240-1,-1)</f>
        <v/>
      </c>
      <c r="Y240" s="16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46274.04166666666</v>
      </c>
      <c r="C241" s="2" t="inlineStr">
        <is>
          <t>進場</t>
        </is>
      </c>
      <c r="D241" s="2" t="n">
        <v>122</v>
      </c>
      <c r="E241" s="2" t="inlineStr">
        <is>
          <t>ICP_USDT_PERP</t>
        </is>
      </c>
      <c r="F241" s="2" t="inlineStr">
        <is>
          <t>做空</t>
        </is>
      </c>
      <c r="G241" s="17" t="n">
        <v>2.963</v>
      </c>
      <c r="H241" s="17" t="n">
        <v>2.87411</v>
      </c>
      <c r="I241" s="17" t="n">
        <v>3.11115</v>
      </c>
      <c r="J241" s="17" t="n"/>
      <c r="K241" s="2" t="n"/>
      <c r="L241" s="5" t="n"/>
      <c r="M241" s="16">
        <f>資金模擬!$B$5*V240</f>
        <v/>
      </c>
      <c r="N241" s="2">
        <f>IF(Z240=1,"已停止",IF(T240&gt;=M241,"已下單","資金不足略過"))</f>
        <v/>
      </c>
      <c r="O241" s="16">
        <f>IF(N241="已下單",M241*資金模擬!$B$7,0)</f>
        <v/>
      </c>
      <c r="P241" s="4" t="n"/>
      <c r="Q241" s="10" t="n">
        <v>0</v>
      </c>
      <c r="R241" s="10">
        <f>R240+Q241</f>
        <v/>
      </c>
      <c r="S241" s="16">
        <f>S240+IF(N241="已下單",M241,0)</f>
        <v/>
      </c>
      <c r="T241" s="16">
        <f>R241-S241</f>
        <v/>
      </c>
      <c r="U241" s="2">
        <f>U240+IF(N241="已下單",1,0)</f>
        <v/>
      </c>
      <c r="V241" s="16">
        <f>IF(資金模擬!$B$9=2,MAX(R241,0),MAX(V240,FLOOR(MAX(R241,0),資金模擬!$B$6)))</f>
        <v/>
      </c>
      <c r="W241" s="10">
        <f>MAX(W240,R241)</f>
        <v/>
      </c>
      <c r="X241" s="4">
        <f>IF(W241&gt;0,R241/W241-1,-1)</f>
        <v/>
      </c>
      <c r="Y241" s="16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46274.08333333334</v>
      </c>
      <c r="C242" s="2" t="inlineStr">
        <is>
          <t>進場</t>
        </is>
      </c>
      <c r="D242" s="2" t="n">
        <v>123</v>
      </c>
      <c r="E242" s="2" t="inlineStr">
        <is>
          <t>MARSCOIN_USDT_PERP</t>
        </is>
      </c>
      <c r="F242" s="2" t="inlineStr">
        <is>
          <t>做空</t>
        </is>
      </c>
      <c r="G242" s="17" t="n">
        <v>0.13851</v>
      </c>
      <c r="H242" s="17" t="n">
        <v>0.1343547</v>
      </c>
      <c r="I242" s="17" t="n">
        <v>0.1454355</v>
      </c>
      <c r="J242" s="17" t="n"/>
      <c r="K242" s="2" t="n"/>
      <c r="L242" s="5" t="n"/>
      <c r="M242" s="16">
        <f>資金模擬!$B$5*V241</f>
        <v/>
      </c>
      <c r="N242" s="2">
        <f>IF(Z241=1,"已停止",IF(T241&gt;=M242,"已下單","資金不足略過"))</f>
        <v/>
      </c>
      <c r="O242" s="16">
        <f>IF(N242="已下單",M242*資金模擬!$B$7,0)</f>
        <v/>
      </c>
      <c r="P242" s="4" t="n"/>
      <c r="Q242" s="10" t="n">
        <v>0</v>
      </c>
      <c r="R242" s="10">
        <f>R241+Q242</f>
        <v/>
      </c>
      <c r="S242" s="16">
        <f>S241+IF(N242="已下單",M242,0)</f>
        <v/>
      </c>
      <c r="T242" s="16">
        <f>R242-S242</f>
        <v/>
      </c>
      <c r="U242" s="2">
        <f>U241+IF(N242="已下單",1,0)</f>
        <v/>
      </c>
      <c r="V242" s="16">
        <f>IF(資金模擬!$B$9=2,MAX(R242,0),MAX(V241,FLOOR(MAX(R242,0),資金模擬!$B$6)))</f>
        <v/>
      </c>
      <c r="W242" s="10">
        <f>MAX(W241,R242)</f>
        <v/>
      </c>
      <c r="X242" s="4">
        <f>IF(W242&gt;0,R242/W242-1,-1)</f>
        <v/>
      </c>
      <c r="Y242" s="16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46274.08333333334</v>
      </c>
      <c r="C243" s="2" t="inlineStr">
        <is>
          <t>進場</t>
        </is>
      </c>
      <c r="D243" s="2" t="n">
        <v>124</v>
      </c>
      <c r="E243" s="2" t="inlineStr">
        <is>
          <t>UAI_USDT_PERP</t>
        </is>
      </c>
      <c r="F243" s="2" t="inlineStr">
        <is>
          <t>做多</t>
        </is>
      </c>
      <c r="G243" s="17" t="n">
        <v>0.7446</v>
      </c>
      <c r="H243" s="17" t="n">
        <v>0.766938</v>
      </c>
      <c r="I243" s="17" t="n">
        <v>0.7073700000000001</v>
      </c>
      <c r="J243" s="17" t="n"/>
      <c r="K243" s="2" t="n"/>
      <c r="L243" s="5" t="n"/>
      <c r="M243" s="16">
        <f>資金模擬!$B$5*V242</f>
        <v/>
      </c>
      <c r="N243" s="2">
        <f>IF(Z242=1,"已停止",IF(T242&gt;=M243,"已下單","資金不足略過"))</f>
        <v/>
      </c>
      <c r="O243" s="16">
        <f>IF(N243="已下單",M243*資金模擬!$B$7,0)</f>
        <v/>
      </c>
      <c r="P243" s="4" t="n"/>
      <c r="Q243" s="10" t="n">
        <v>0</v>
      </c>
      <c r="R243" s="10">
        <f>R242+Q243</f>
        <v/>
      </c>
      <c r="S243" s="16">
        <f>S242+IF(N243="已下單",M243,0)</f>
        <v/>
      </c>
      <c r="T243" s="16">
        <f>R243-S243</f>
        <v/>
      </c>
      <c r="U243" s="2">
        <f>U242+IF(N243="已下單",1,0)</f>
        <v/>
      </c>
      <c r="V243" s="16">
        <f>IF(資金模擬!$B$9=2,MAX(R243,0),MAX(V242,FLOOR(MAX(R243,0),資金模擬!$B$6)))</f>
        <v/>
      </c>
      <c r="W243" s="10">
        <f>MAX(W242,R243)</f>
        <v/>
      </c>
      <c r="X243" s="4">
        <f>IF(W243&gt;0,R243/W243-1,-1)</f>
        <v/>
      </c>
      <c r="Y243" s="16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46274.125</v>
      </c>
      <c r="C244" s="2" t="inlineStr">
        <is>
          <t>出場</t>
        </is>
      </c>
      <c r="D244" s="2" t="n">
        <v>115</v>
      </c>
      <c r="E244" s="2" t="inlineStr">
        <is>
          <t>AERO_USDT_PERP</t>
        </is>
      </c>
      <c r="F244" s="2" t="inlineStr">
        <is>
          <t>做多</t>
        </is>
      </c>
      <c r="G244" s="17" t="n">
        <v>0.6424</v>
      </c>
      <c r="H244" s="17" t="n">
        <v>0.661672</v>
      </c>
      <c r="I244" s="17" t="n">
        <v>0.6102799999999999</v>
      </c>
      <c r="J244" s="17" t="n">
        <v>0.6102799999999999</v>
      </c>
      <c r="K244" s="2" t="inlineStr">
        <is>
          <t>止損</t>
        </is>
      </c>
      <c r="L244" s="5">
        <f>交易明細!K116</f>
        <v/>
      </c>
      <c r="M244" s="16">
        <f>M225</f>
        <v/>
      </c>
      <c r="N244" s="2">
        <f>N225</f>
        <v/>
      </c>
      <c r="O244" s="16">
        <f>O225</f>
        <v/>
      </c>
      <c r="P244" s="4">
        <f>交易明細!L116</f>
        <v/>
      </c>
      <c r="Q244" s="10">
        <f>IF(N244="已下單",O244*P244,0)</f>
        <v/>
      </c>
      <c r="R244" s="10">
        <f>R243+Q244</f>
        <v/>
      </c>
      <c r="S244" s="16">
        <f>S243-IF(N244="已下單",M244,0)</f>
        <v/>
      </c>
      <c r="T244" s="16">
        <f>R244-S244</f>
        <v/>
      </c>
      <c r="U244" s="2">
        <f>U243-IF(N244="已下單",1,0)</f>
        <v/>
      </c>
      <c r="V244" s="16">
        <f>IF(資金模擬!$B$9=2,MAX(R244,0),MAX(V243,FLOOR(MAX(R244,0),資金模擬!$B$6)))</f>
        <v/>
      </c>
      <c r="W244" s="10">
        <f>MAX(W243,R244)</f>
        <v/>
      </c>
      <c r="X244" s="4">
        <f>IF(W244&gt;0,R244/W244-1,-1)</f>
        <v/>
      </c>
      <c r="Y244" s="16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46274.20833333334</v>
      </c>
      <c r="C245" s="2" t="inlineStr">
        <is>
          <t>出場</t>
        </is>
      </c>
      <c r="D245" s="2" t="n">
        <v>123</v>
      </c>
      <c r="E245" s="2" t="inlineStr">
        <is>
          <t>MARSCOIN_USDT_PERP</t>
        </is>
      </c>
      <c r="F245" s="2" t="inlineStr">
        <is>
          <t>做空</t>
        </is>
      </c>
      <c r="G245" s="17" t="n">
        <v>0.13851</v>
      </c>
      <c r="H245" s="17" t="n">
        <v>0.1343547</v>
      </c>
      <c r="I245" s="17" t="n">
        <v>0.1454355</v>
      </c>
      <c r="J245" s="17" t="n">
        <v>0.1343547</v>
      </c>
      <c r="K245" s="2" t="inlineStr">
        <is>
          <t>止盈</t>
        </is>
      </c>
      <c r="L245" s="5">
        <f>交易明細!K124</f>
        <v/>
      </c>
      <c r="M245" s="16">
        <f>M242</f>
        <v/>
      </c>
      <c r="N245" s="2">
        <f>N242</f>
        <v/>
      </c>
      <c r="O245" s="16">
        <f>O242</f>
        <v/>
      </c>
      <c r="P245" s="4">
        <f>交易明細!L124</f>
        <v/>
      </c>
      <c r="Q245" s="10">
        <f>IF(N245="已下單",O245*P245,0)</f>
        <v/>
      </c>
      <c r="R245" s="10">
        <f>R244+Q245</f>
        <v/>
      </c>
      <c r="S245" s="16">
        <f>S244-IF(N245="已下單",M245,0)</f>
        <v/>
      </c>
      <c r="T245" s="16">
        <f>R245-S245</f>
        <v/>
      </c>
      <c r="U245" s="2">
        <f>U244-IF(N245="已下單",1,0)</f>
        <v/>
      </c>
      <c r="V245" s="16">
        <f>IF(資金模擬!$B$9=2,MAX(R245,0),MAX(V244,FLOOR(MAX(R245,0),資金模擬!$B$6)))</f>
        <v/>
      </c>
      <c r="W245" s="10">
        <f>MAX(W244,R245)</f>
        <v/>
      </c>
      <c r="X245" s="4">
        <f>IF(W245&gt;0,R245/W245-1,-1)</f>
        <v/>
      </c>
      <c r="Y245" s="16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46274.20833333334</v>
      </c>
      <c r="C246" s="2" t="inlineStr">
        <is>
          <t>出場</t>
        </is>
      </c>
      <c r="D246" s="2" t="n">
        <v>124</v>
      </c>
      <c r="E246" s="2" t="inlineStr">
        <is>
          <t>UAI_USDT_PERP</t>
        </is>
      </c>
      <c r="F246" s="2" t="inlineStr">
        <is>
          <t>做多</t>
        </is>
      </c>
      <c r="G246" s="17" t="n">
        <v>0.7446</v>
      </c>
      <c r="H246" s="17" t="n">
        <v>0.766938</v>
      </c>
      <c r="I246" s="17" t="n">
        <v>0.7073700000000001</v>
      </c>
      <c r="J246" s="17" t="n">
        <v>0.7073700000000001</v>
      </c>
      <c r="K246" s="2" t="inlineStr">
        <is>
          <t>止損</t>
        </is>
      </c>
      <c r="L246" s="5">
        <f>交易明細!K125</f>
        <v/>
      </c>
      <c r="M246" s="16">
        <f>M243</f>
        <v/>
      </c>
      <c r="N246" s="2">
        <f>N243</f>
        <v/>
      </c>
      <c r="O246" s="16">
        <f>O243</f>
        <v/>
      </c>
      <c r="P246" s="4">
        <f>交易明細!L125</f>
        <v/>
      </c>
      <c r="Q246" s="10">
        <f>IF(N246="已下單",O246*P246,0)</f>
        <v/>
      </c>
      <c r="R246" s="10">
        <f>R245+Q246</f>
        <v/>
      </c>
      <c r="S246" s="16">
        <f>S245-IF(N246="已下單",M246,0)</f>
        <v/>
      </c>
      <c r="T246" s="16">
        <f>R246-S246</f>
        <v/>
      </c>
      <c r="U246" s="2">
        <f>U245-IF(N246="已下單",1,0)</f>
        <v/>
      </c>
      <c r="V246" s="16">
        <f>IF(資金模擬!$B$9=2,MAX(R246,0),MAX(V245,FLOOR(MAX(R246,0),資金模擬!$B$6)))</f>
        <v/>
      </c>
      <c r="W246" s="10">
        <f>MAX(W245,R246)</f>
        <v/>
      </c>
      <c r="X246" s="4">
        <f>IF(W246&gt;0,R246/W246-1,-1)</f>
        <v/>
      </c>
      <c r="Y246" s="16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46274.375</v>
      </c>
      <c r="C247" s="2" t="inlineStr">
        <is>
          <t>進場</t>
        </is>
      </c>
      <c r="D247" s="2" t="n">
        <v>125</v>
      </c>
      <c r="E247" s="2" t="inlineStr">
        <is>
          <t>PUMP_USDT_PERP</t>
        </is>
      </c>
      <c r="F247" s="2" t="inlineStr">
        <is>
          <t>做多</t>
        </is>
      </c>
      <c r="G247" s="17" t="n">
        <v>0.004415</v>
      </c>
      <c r="H247" s="17" t="n">
        <v>0.00454745</v>
      </c>
      <c r="I247" s="17" t="n">
        <v>0.004194249999999999</v>
      </c>
      <c r="J247" s="17" t="n"/>
      <c r="K247" s="2" t="n"/>
      <c r="L247" s="5" t="n"/>
      <c r="M247" s="16">
        <f>資金模擬!$B$5*V246</f>
        <v/>
      </c>
      <c r="N247" s="2">
        <f>IF(Z246=1,"已停止",IF(T246&gt;=M247,"已下單","資金不足略過"))</f>
        <v/>
      </c>
      <c r="O247" s="16">
        <f>IF(N247="已下單",M247*資金模擬!$B$7,0)</f>
        <v/>
      </c>
      <c r="P247" s="4" t="n"/>
      <c r="Q247" s="10" t="n">
        <v>0</v>
      </c>
      <c r="R247" s="10">
        <f>R246+Q247</f>
        <v/>
      </c>
      <c r="S247" s="16">
        <f>S246+IF(N247="已下單",M247,0)</f>
        <v/>
      </c>
      <c r="T247" s="16">
        <f>R247-S247</f>
        <v/>
      </c>
      <c r="U247" s="2">
        <f>U246+IF(N247="已下單",1,0)</f>
        <v/>
      </c>
      <c r="V247" s="16">
        <f>IF(資金模擬!$B$9=2,MAX(R247,0),MAX(V246,FLOOR(MAX(R247,0),資金模擬!$B$6)))</f>
        <v/>
      </c>
      <c r="W247" s="10">
        <f>MAX(W246,R247)</f>
        <v/>
      </c>
      <c r="X247" s="4">
        <f>IF(W247&gt;0,R247/W247-1,-1)</f>
        <v/>
      </c>
      <c r="Y247" s="16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46274.41666666666</v>
      </c>
      <c r="C248" s="2" t="inlineStr">
        <is>
          <t>進場</t>
        </is>
      </c>
      <c r="D248" s="2" t="n">
        <v>126</v>
      </c>
      <c r="E248" s="2" t="inlineStr">
        <is>
          <t>UAI_USDT_PERP</t>
        </is>
      </c>
      <c r="F248" s="2" t="inlineStr">
        <is>
          <t>做多</t>
        </is>
      </c>
      <c r="G248" s="17" t="n">
        <v>0.7438</v>
      </c>
      <c r="H248" s="17" t="n">
        <v>0.7661140000000001</v>
      </c>
      <c r="I248" s="17" t="n">
        <v>0.70661</v>
      </c>
      <c r="J248" s="17" t="n"/>
      <c r="K248" s="2" t="n"/>
      <c r="L248" s="5" t="n"/>
      <c r="M248" s="16">
        <f>資金模擬!$B$5*V247</f>
        <v/>
      </c>
      <c r="N248" s="2">
        <f>IF(Z247=1,"已停止",IF(T247&gt;=M248,"已下單","資金不足略過"))</f>
        <v/>
      </c>
      <c r="O248" s="16">
        <f>IF(N248="已下單",M248*資金模擬!$B$7,0)</f>
        <v/>
      </c>
      <c r="P248" s="4" t="n"/>
      <c r="Q248" s="10" t="n">
        <v>0</v>
      </c>
      <c r="R248" s="10">
        <f>R247+Q248</f>
        <v/>
      </c>
      <c r="S248" s="16">
        <f>S247+IF(N248="已下單",M248,0)</f>
        <v/>
      </c>
      <c r="T248" s="16">
        <f>R248-S248</f>
        <v/>
      </c>
      <c r="U248" s="2">
        <f>U247+IF(N248="已下單",1,0)</f>
        <v/>
      </c>
      <c r="V248" s="16">
        <f>IF(資金模擬!$B$9=2,MAX(R248,0),MAX(V247,FLOOR(MAX(R248,0),資金模擬!$B$6)))</f>
        <v/>
      </c>
      <c r="W248" s="10">
        <f>MAX(W247,R248)</f>
        <v/>
      </c>
      <c r="X248" s="4">
        <f>IF(W248&gt;0,R248/W248-1,-1)</f>
        <v/>
      </c>
      <c r="Y248" s="16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46274.45833333334</v>
      </c>
      <c r="C249" s="2" t="inlineStr">
        <is>
          <t>出場</t>
        </is>
      </c>
      <c r="D249" s="2" t="n">
        <v>122</v>
      </c>
      <c r="E249" s="2" t="inlineStr">
        <is>
          <t>ICP_USDT_PERP</t>
        </is>
      </c>
      <c r="F249" s="2" t="inlineStr">
        <is>
          <t>做空</t>
        </is>
      </c>
      <c r="G249" s="17" t="n">
        <v>2.963</v>
      </c>
      <c r="H249" s="17" t="n">
        <v>2.87411</v>
      </c>
      <c r="I249" s="17" t="n">
        <v>3.11115</v>
      </c>
      <c r="J249" s="17" t="n">
        <v>2.87411</v>
      </c>
      <c r="K249" s="2" t="inlineStr">
        <is>
          <t>止盈</t>
        </is>
      </c>
      <c r="L249" s="5">
        <f>交易明細!K123</f>
        <v/>
      </c>
      <c r="M249" s="16">
        <f>M241</f>
        <v/>
      </c>
      <c r="N249" s="2">
        <f>N241</f>
        <v/>
      </c>
      <c r="O249" s="16">
        <f>O241</f>
        <v/>
      </c>
      <c r="P249" s="4">
        <f>交易明細!L123</f>
        <v/>
      </c>
      <c r="Q249" s="10">
        <f>IF(N249="已下單",O249*P249,0)</f>
        <v/>
      </c>
      <c r="R249" s="10">
        <f>R248+Q249</f>
        <v/>
      </c>
      <c r="S249" s="16">
        <f>S248-IF(N249="已下單",M249,0)</f>
        <v/>
      </c>
      <c r="T249" s="16">
        <f>R249-S249</f>
        <v/>
      </c>
      <c r="U249" s="2">
        <f>U248-IF(N249="已下單",1,0)</f>
        <v/>
      </c>
      <c r="V249" s="16">
        <f>IF(資金模擬!$B$9=2,MAX(R249,0),MAX(V248,FLOOR(MAX(R249,0),資金模擬!$B$6)))</f>
        <v/>
      </c>
      <c r="W249" s="10">
        <f>MAX(W248,R249)</f>
        <v/>
      </c>
      <c r="X249" s="4">
        <f>IF(W249&gt;0,R249/W249-1,-1)</f>
        <v/>
      </c>
      <c r="Y249" s="16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46274.5</v>
      </c>
      <c r="C250" s="2" t="inlineStr">
        <is>
          <t>進場</t>
        </is>
      </c>
      <c r="D250" s="2" t="n">
        <v>127</v>
      </c>
      <c r="E250" s="2" t="inlineStr">
        <is>
          <t>IOST_USDT_PERP</t>
        </is>
      </c>
      <c r="F250" s="2" t="inlineStr">
        <is>
          <t>做空</t>
        </is>
      </c>
      <c r="G250" s="17" t="n">
        <v>0.000857</v>
      </c>
      <c r="H250" s="17" t="n">
        <v>0.0008312899999999999</v>
      </c>
      <c r="I250" s="17" t="n">
        <v>0.0008998500000000001</v>
      </c>
      <c r="J250" s="17" t="n"/>
      <c r="K250" s="2" t="n"/>
      <c r="L250" s="5" t="n"/>
      <c r="M250" s="16">
        <f>資金模擬!$B$5*V249</f>
        <v/>
      </c>
      <c r="N250" s="2">
        <f>IF(Z249=1,"已停止",IF(T249&gt;=M250,"已下單","資金不足略過"))</f>
        <v/>
      </c>
      <c r="O250" s="16">
        <f>IF(N250="已下單",M250*資金模擬!$B$7,0)</f>
        <v/>
      </c>
      <c r="P250" s="4" t="n"/>
      <c r="Q250" s="10" t="n">
        <v>0</v>
      </c>
      <c r="R250" s="10">
        <f>R249+Q250</f>
        <v/>
      </c>
      <c r="S250" s="16">
        <f>S249+IF(N250="已下單",M250,0)</f>
        <v/>
      </c>
      <c r="T250" s="16">
        <f>R250-S250</f>
        <v/>
      </c>
      <c r="U250" s="2">
        <f>U249+IF(N250="已下單",1,0)</f>
        <v/>
      </c>
      <c r="V250" s="16">
        <f>IF(資金模擬!$B$9=2,MAX(R250,0),MAX(V249,FLOOR(MAX(R250,0),資金模擬!$B$6)))</f>
        <v/>
      </c>
      <c r="W250" s="10">
        <f>MAX(W249,R250)</f>
        <v/>
      </c>
      <c r="X250" s="4">
        <f>IF(W250&gt;0,R250/W250-1,-1)</f>
        <v/>
      </c>
      <c r="Y250" s="16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46274.5</v>
      </c>
      <c r="C251" s="2" t="inlineStr">
        <is>
          <t>進場</t>
        </is>
      </c>
      <c r="D251" s="2" t="n">
        <v>128</v>
      </c>
      <c r="E251" s="2" t="inlineStr">
        <is>
          <t>XPL_USDT_PERP</t>
        </is>
      </c>
      <c r="F251" s="2" t="inlineStr">
        <is>
          <t>做空</t>
        </is>
      </c>
      <c r="G251" s="17" t="n">
        <v>0.09710000000000001</v>
      </c>
      <c r="H251" s="17" t="n">
        <v>0.09418700000000001</v>
      </c>
      <c r="I251" s="17" t="n">
        <v>0.101955</v>
      </c>
      <c r="J251" s="17" t="n"/>
      <c r="K251" s="2" t="n"/>
      <c r="L251" s="5" t="n"/>
      <c r="M251" s="16">
        <f>資金模擬!$B$5*V250</f>
        <v/>
      </c>
      <c r="N251" s="2">
        <f>IF(Z250=1,"已停止",IF(T250&gt;=M251,"已下單","資金不足略過"))</f>
        <v/>
      </c>
      <c r="O251" s="16">
        <f>IF(N251="已下單",M251*資金模擬!$B$7,0)</f>
        <v/>
      </c>
      <c r="P251" s="4" t="n"/>
      <c r="Q251" s="10" t="n">
        <v>0</v>
      </c>
      <c r="R251" s="10">
        <f>R250+Q251</f>
        <v/>
      </c>
      <c r="S251" s="16">
        <f>S250+IF(N251="已下單",M251,0)</f>
        <v/>
      </c>
      <c r="T251" s="16">
        <f>R251-S251</f>
        <v/>
      </c>
      <c r="U251" s="2">
        <f>U250+IF(N251="已下單",1,0)</f>
        <v/>
      </c>
      <c r="V251" s="16">
        <f>IF(資金模擬!$B$9=2,MAX(R251,0),MAX(V250,FLOOR(MAX(R251,0),資金模擬!$B$6)))</f>
        <v/>
      </c>
      <c r="W251" s="10">
        <f>MAX(W250,R251)</f>
        <v/>
      </c>
      <c r="X251" s="4">
        <f>IF(W251&gt;0,R251/W251-1,-1)</f>
        <v/>
      </c>
      <c r="Y251" s="16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46274.54166666666</v>
      </c>
      <c r="C252" s="2" t="inlineStr">
        <is>
          <t>出場</t>
        </is>
      </c>
      <c r="D252" s="2" t="n">
        <v>118</v>
      </c>
      <c r="E252" s="2" t="inlineStr">
        <is>
          <t>LIT_USDT_PERP</t>
        </is>
      </c>
      <c r="F252" s="2" t="inlineStr">
        <is>
          <t>做多</t>
        </is>
      </c>
      <c r="G252" s="17" t="n">
        <v>4.848</v>
      </c>
      <c r="H252" s="17" t="n">
        <v>4.99344</v>
      </c>
      <c r="I252" s="17" t="n">
        <v>4.6056</v>
      </c>
      <c r="J252" s="17" t="n">
        <v>4.99344</v>
      </c>
      <c r="K252" s="2" t="inlineStr">
        <is>
          <t>止盈</t>
        </is>
      </c>
      <c r="L252" s="5">
        <f>交易明細!K119</f>
        <v/>
      </c>
      <c r="M252" s="16">
        <f>M231</f>
        <v/>
      </c>
      <c r="N252" s="2">
        <f>N231</f>
        <v/>
      </c>
      <c r="O252" s="16">
        <f>O231</f>
        <v/>
      </c>
      <c r="P252" s="4">
        <f>交易明細!L119</f>
        <v/>
      </c>
      <c r="Q252" s="10">
        <f>IF(N252="已下單",O252*P252,0)</f>
        <v/>
      </c>
      <c r="R252" s="10">
        <f>R251+Q252</f>
        <v/>
      </c>
      <c r="S252" s="16">
        <f>S251-IF(N252="已下單",M252,0)</f>
        <v/>
      </c>
      <c r="T252" s="16">
        <f>R252-S252</f>
        <v/>
      </c>
      <c r="U252" s="2">
        <f>U251-IF(N252="已下單",1,0)</f>
        <v/>
      </c>
      <c r="V252" s="16">
        <f>IF(資金模擬!$B$9=2,MAX(R252,0),MAX(V251,FLOOR(MAX(R252,0),資金模擬!$B$6)))</f>
        <v/>
      </c>
      <c r="W252" s="10">
        <f>MAX(W251,R252)</f>
        <v/>
      </c>
      <c r="X252" s="4">
        <f>IF(W252&gt;0,R252/W252-1,-1)</f>
        <v/>
      </c>
      <c r="Y252" s="16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46274.54166666666</v>
      </c>
      <c r="C253" s="2" t="inlineStr">
        <is>
          <t>出場</t>
        </is>
      </c>
      <c r="D253" s="2" t="n">
        <v>127</v>
      </c>
      <c r="E253" s="2" t="inlineStr">
        <is>
          <t>IOST_USDT_PERP</t>
        </is>
      </c>
      <c r="F253" s="2" t="inlineStr">
        <is>
          <t>做空</t>
        </is>
      </c>
      <c r="G253" s="17" t="n">
        <v>0.000857</v>
      </c>
      <c r="H253" s="17" t="n">
        <v>0.0008312899999999999</v>
      </c>
      <c r="I253" s="17" t="n">
        <v>0.0008998500000000001</v>
      </c>
      <c r="J253" s="17" t="n">
        <v>0.0008998500000000001</v>
      </c>
      <c r="K253" s="2" t="inlineStr">
        <is>
          <t>止損</t>
        </is>
      </c>
      <c r="L253" s="5">
        <f>交易明細!K128</f>
        <v/>
      </c>
      <c r="M253" s="16">
        <f>M250</f>
        <v/>
      </c>
      <c r="N253" s="2">
        <f>N250</f>
        <v/>
      </c>
      <c r="O253" s="16">
        <f>O250</f>
        <v/>
      </c>
      <c r="P253" s="4">
        <f>交易明細!L128</f>
        <v/>
      </c>
      <c r="Q253" s="10">
        <f>IF(N253="已下單",O253*P253,0)</f>
        <v/>
      </c>
      <c r="R253" s="10">
        <f>R252+Q253</f>
        <v/>
      </c>
      <c r="S253" s="16">
        <f>S252-IF(N253="已下單",M253,0)</f>
        <v/>
      </c>
      <c r="T253" s="16">
        <f>R253-S253</f>
        <v/>
      </c>
      <c r="U253" s="2">
        <f>U252-IF(N253="已下單",1,0)</f>
        <v/>
      </c>
      <c r="V253" s="16">
        <f>IF(資金模擬!$B$9=2,MAX(R253,0),MAX(V252,FLOOR(MAX(R253,0),資金模擬!$B$6)))</f>
        <v/>
      </c>
      <c r="W253" s="10">
        <f>MAX(W252,R253)</f>
        <v/>
      </c>
      <c r="X253" s="4">
        <f>IF(W253&gt;0,R253/W253-1,-1)</f>
        <v/>
      </c>
      <c r="Y253" s="16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46274.54166666666</v>
      </c>
      <c r="C254" s="2" t="inlineStr">
        <is>
          <t>進場</t>
        </is>
      </c>
      <c r="D254" s="2" t="n">
        <v>129</v>
      </c>
      <c r="E254" s="2" t="inlineStr">
        <is>
          <t>DASH_USDT_PERP</t>
        </is>
      </c>
      <c r="F254" s="2" t="inlineStr">
        <is>
          <t>做多</t>
        </is>
      </c>
      <c r="G254" s="17" t="n">
        <v>64.79000000000001</v>
      </c>
      <c r="H254" s="17" t="n">
        <v>66.73370000000001</v>
      </c>
      <c r="I254" s="17" t="n">
        <v>61.5505</v>
      </c>
      <c r="J254" s="17" t="n"/>
      <c r="K254" s="2" t="n"/>
      <c r="L254" s="5" t="n"/>
      <c r="M254" s="16">
        <f>資金模擬!$B$5*V253</f>
        <v/>
      </c>
      <c r="N254" s="2">
        <f>IF(Z253=1,"已停止",IF(T253&gt;=M254,"已下單","資金不足略過"))</f>
        <v/>
      </c>
      <c r="O254" s="16">
        <f>IF(N254="已下單",M254*資金模擬!$B$7,0)</f>
        <v/>
      </c>
      <c r="P254" s="4" t="n"/>
      <c r="Q254" s="10" t="n">
        <v>0</v>
      </c>
      <c r="R254" s="10">
        <f>R253+Q254</f>
        <v/>
      </c>
      <c r="S254" s="16">
        <f>S253+IF(N254="已下單",M254,0)</f>
        <v/>
      </c>
      <c r="T254" s="16">
        <f>R254-S254</f>
        <v/>
      </c>
      <c r="U254" s="2">
        <f>U253+IF(N254="已下單",1,0)</f>
        <v/>
      </c>
      <c r="V254" s="16">
        <f>IF(資金模擬!$B$9=2,MAX(R254,0),MAX(V253,FLOOR(MAX(R254,0),資金模擬!$B$6)))</f>
        <v/>
      </c>
      <c r="W254" s="10">
        <f>MAX(W253,R254)</f>
        <v/>
      </c>
      <c r="X254" s="4">
        <f>IF(W254&gt;0,R254/W254-1,-1)</f>
        <v/>
      </c>
      <c r="Y254" s="16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46274.54166666666</v>
      </c>
      <c r="C255" s="2" t="inlineStr">
        <is>
          <t>進場</t>
        </is>
      </c>
      <c r="D255" s="2" t="n">
        <v>130</v>
      </c>
      <c r="E255" s="2" t="inlineStr">
        <is>
          <t>PONS_USDT_PERP</t>
        </is>
      </c>
      <c r="F255" s="2" t="inlineStr">
        <is>
          <t>做多</t>
        </is>
      </c>
      <c r="G255" s="17" t="n">
        <v>0.8091</v>
      </c>
      <c r="H255" s="17" t="n">
        <v>0.833373</v>
      </c>
      <c r="I255" s="17" t="n">
        <v>0.768645</v>
      </c>
      <c r="J255" s="17" t="n"/>
      <c r="K255" s="2" t="n"/>
      <c r="L255" s="5" t="n"/>
      <c r="M255" s="16">
        <f>資金模擬!$B$5*V254</f>
        <v/>
      </c>
      <c r="N255" s="2">
        <f>IF(Z254=1,"已停止",IF(T254&gt;=M255,"已下單","資金不足略過"))</f>
        <v/>
      </c>
      <c r="O255" s="16">
        <f>IF(N255="已下單",M255*資金模擬!$B$7,0)</f>
        <v/>
      </c>
      <c r="P255" s="4" t="n"/>
      <c r="Q255" s="10" t="n">
        <v>0</v>
      </c>
      <c r="R255" s="10">
        <f>R254+Q255</f>
        <v/>
      </c>
      <c r="S255" s="16">
        <f>S254+IF(N255="已下單",M255,0)</f>
        <v/>
      </c>
      <c r="T255" s="16">
        <f>R255-S255</f>
        <v/>
      </c>
      <c r="U255" s="2">
        <f>U254+IF(N255="已下單",1,0)</f>
        <v/>
      </c>
      <c r="V255" s="16">
        <f>IF(資金模擬!$B$9=2,MAX(R255,0),MAX(V254,FLOOR(MAX(R255,0),資金模擬!$B$6)))</f>
        <v/>
      </c>
      <c r="W255" s="10">
        <f>MAX(W254,R255)</f>
        <v/>
      </c>
      <c r="X255" s="4">
        <f>IF(W255&gt;0,R255/W255-1,-1)</f>
        <v/>
      </c>
      <c r="Y255" s="16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46274.54166666666</v>
      </c>
      <c r="C256" s="2" t="inlineStr">
        <is>
          <t>進場</t>
        </is>
      </c>
      <c r="D256" s="2" t="n">
        <v>131</v>
      </c>
      <c r="E256" s="2" t="inlineStr">
        <is>
          <t>USELESS_USDT_PERP</t>
        </is>
      </c>
      <c r="F256" s="2" t="inlineStr">
        <is>
          <t>做多</t>
        </is>
      </c>
      <c r="G256" s="17" t="n">
        <v>0.29433</v>
      </c>
      <c r="H256" s="17" t="n">
        <v>0.3031599</v>
      </c>
      <c r="I256" s="17" t="n">
        <v>0.2796135</v>
      </c>
      <c r="J256" s="17" t="n"/>
      <c r="K256" s="2" t="n"/>
      <c r="L256" s="5" t="n"/>
      <c r="M256" s="16">
        <f>資金模擬!$B$5*V255</f>
        <v/>
      </c>
      <c r="N256" s="2">
        <f>IF(Z255=1,"已停止",IF(T255&gt;=M256,"已下單","資金不足略過"))</f>
        <v/>
      </c>
      <c r="O256" s="16">
        <f>IF(N256="已下單",M256*資金模擬!$B$7,0)</f>
        <v/>
      </c>
      <c r="P256" s="4" t="n"/>
      <c r="Q256" s="10" t="n">
        <v>0</v>
      </c>
      <c r="R256" s="10">
        <f>R255+Q256</f>
        <v/>
      </c>
      <c r="S256" s="16">
        <f>S255+IF(N256="已下單",M256,0)</f>
        <v/>
      </c>
      <c r="T256" s="16">
        <f>R256-S256</f>
        <v/>
      </c>
      <c r="U256" s="2">
        <f>U255+IF(N256="已下單",1,0)</f>
        <v/>
      </c>
      <c r="V256" s="16">
        <f>IF(資金模擬!$B$9=2,MAX(R256,0),MAX(V255,FLOOR(MAX(R256,0),資金模擬!$B$6)))</f>
        <v/>
      </c>
      <c r="W256" s="10">
        <f>MAX(W255,R256)</f>
        <v/>
      </c>
      <c r="X256" s="4">
        <f>IF(W256&gt;0,R256/W256-1,-1)</f>
        <v/>
      </c>
      <c r="Y256" s="16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46274.58333333334</v>
      </c>
      <c r="C257" s="2" t="inlineStr">
        <is>
          <t>出場</t>
        </is>
      </c>
      <c r="D257" s="2" t="n">
        <v>126</v>
      </c>
      <c r="E257" s="2" t="inlineStr">
        <is>
          <t>UAI_USDT_PERP</t>
        </is>
      </c>
      <c r="F257" s="2" t="inlineStr">
        <is>
          <t>做多</t>
        </is>
      </c>
      <c r="G257" s="17" t="n">
        <v>0.7438</v>
      </c>
      <c r="H257" s="17" t="n">
        <v>0.7661140000000001</v>
      </c>
      <c r="I257" s="17" t="n">
        <v>0.70661</v>
      </c>
      <c r="J257" s="17" t="n">
        <v>0.70661</v>
      </c>
      <c r="K257" s="2" t="inlineStr">
        <is>
          <t>止損</t>
        </is>
      </c>
      <c r="L257" s="5">
        <f>交易明細!K127</f>
        <v/>
      </c>
      <c r="M257" s="16">
        <f>M248</f>
        <v/>
      </c>
      <c r="N257" s="2">
        <f>N248</f>
        <v/>
      </c>
      <c r="O257" s="16">
        <f>O248</f>
        <v/>
      </c>
      <c r="P257" s="4">
        <f>交易明細!L127</f>
        <v/>
      </c>
      <c r="Q257" s="10">
        <f>IF(N257="已下單",O257*P257,0)</f>
        <v/>
      </c>
      <c r="R257" s="10">
        <f>R256+Q257</f>
        <v/>
      </c>
      <c r="S257" s="16">
        <f>S256-IF(N257="已下單",M257,0)</f>
        <v/>
      </c>
      <c r="T257" s="16">
        <f>R257-S257</f>
        <v/>
      </c>
      <c r="U257" s="2">
        <f>U256-IF(N257="已下單",1,0)</f>
        <v/>
      </c>
      <c r="V257" s="16">
        <f>IF(資金模擬!$B$9=2,MAX(R257,0),MAX(V256,FLOOR(MAX(R257,0),資金模擬!$B$6)))</f>
        <v/>
      </c>
      <c r="W257" s="10">
        <f>MAX(W256,R257)</f>
        <v/>
      </c>
      <c r="X257" s="4">
        <f>IF(W257&gt;0,R257/W257-1,-1)</f>
        <v/>
      </c>
      <c r="Y257" s="16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46274.58333333334</v>
      </c>
      <c r="C258" s="2" t="inlineStr">
        <is>
          <t>出場</t>
        </is>
      </c>
      <c r="D258" s="2" t="n">
        <v>131</v>
      </c>
      <c r="E258" s="2" t="inlineStr">
        <is>
          <t>USELESS_USDT_PERP</t>
        </is>
      </c>
      <c r="F258" s="2" t="inlineStr">
        <is>
          <t>做多</t>
        </is>
      </c>
      <c r="G258" s="17" t="n">
        <v>0.29433</v>
      </c>
      <c r="H258" s="17" t="n">
        <v>0.3031599</v>
      </c>
      <c r="I258" s="17" t="n">
        <v>0.2796135</v>
      </c>
      <c r="J258" s="17" t="n">
        <v>0.3031599</v>
      </c>
      <c r="K258" s="2" t="inlineStr">
        <is>
          <t>止盈</t>
        </is>
      </c>
      <c r="L258" s="5">
        <f>交易明細!K132</f>
        <v/>
      </c>
      <c r="M258" s="16">
        <f>M256</f>
        <v/>
      </c>
      <c r="N258" s="2">
        <f>N256</f>
        <v/>
      </c>
      <c r="O258" s="16">
        <f>O256</f>
        <v/>
      </c>
      <c r="P258" s="4">
        <f>交易明細!L132</f>
        <v/>
      </c>
      <c r="Q258" s="10">
        <f>IF(N258="已下單",O258*P258,0)</f>
        <v/>
      </c>
      <c r="R258" s="10">
        <f>R257+Q258</f>
        <v/>
      </c>
      <c r="S258" s="16">
        <f>S257-IF(N258="已下單",M258,0)</f>
        <v/>
      </c>
      <c r="T258" s="16">
        <f>R258-S258</f>
        <v/>
      </c>
      <c r="U258" s="2">
        <f>U257-IF(N258="已下單",1,0)</f>
        <v/>
      </c>
      <c r="V258" s="16">
        <f>IF(資金模擬!$B$9=2,MAX(R258,0),MAX(V257,FLOOR(MAX(R258,0),資金模擬!$B$6)))</f>
        <v/>
      </c>
      <c r="W258" s="10">
        <f>MAX(W257,R258)</f>
        <v/>
      </c>
      <c r="X258" s="4">
        <f>IF(W258&gt;0,R258/W258-1,-1)</f>
        <v/>
      </c>
      <c r="Y258" s="16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46274.625</v>
      </c>
      <c r="C259" s="2" t="inlineStr">
        <is>
          <t>出場</t>
        </is>
      </c>
      <c r="D259" s="2" t="n">
        <v>125</v>
      </c>
      <c r="E259" s="2" t="inlineStr">
        <is>
          <t>PUMP_USDT_PERP</t>
        </is>
      </c>
      <c r="F259" s="2" t="inlineStr">
        <is>
          <t>做多</t>
        </is>
      </c>
      <c r="G259" s="17" t="n">
        <v>0.004415</v>
      </c>
      <c r="H259" s="17" t="n">
        <v>0.00454745</v>
      </c>
      <c r="I259" s="17" t="n">
        <v>0.004194249999999999</v>
      </c>
      <c r="J259" s="17" t="n">
        <v>0.00454745</v>
      </c>
      <c r="K259" s="2" t="inlineStr">
        <is>
          <t>止盈</t>
        </is>
      </c>
      <c r="L259" s="5">
        <f>交易明細!K126</f>
        <v/>
      </c>
      <c r="M259" s="16">
        <f>M247</f>
        <v/>
      </c>
      <c r="N259" s="2">
        <f>N247</f>
        <v/>
      </c>
      <c r="O259" s="16">
        <f>O247</f>
        <v/>
      </c>
      <c r="P259" s="4">
        <f>交易明細!L126</f>
        <v/>
      </c>
      <c r="Q259" s="10">
        <f>IF(N259="已下單",O259*P259,0)</f>
        <v/>
      </c>
      <c r="R259" s="10">
        <f>R258+Q259</f>
        <v/>
      </c>
      <c r="S259" s="16">
        <f>S258-IF(N259="已下單",M259,0)</f>
        <v/>
      </c>
      <c r="T259" s="16">
        <f>R259-S259</f>
        <v/>
      </c>
      <c r="U259" s="2">
        <f>U258-IF(N259="已下單",1,0)</f>
        <v/>
      </c>
      <c r="V259" s="16">
        <f>IF(資金模擬!$B$9=2,MAX(R259,0),MAX(V258,FLOOR(MAX(R259,0),資金模擬!$B$6)))</f>
        <v/>
      </c>
      <c r="W259" s="10">
        <f>MAX(W258,R259)</f>
        <v/>
      </c>
      <c r="X259" s="4">
        <f>IF(W259&gt;0,R259/W259-1,-1)</f>
        <v/>
      </c>
      <c r="Y259" s="16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46274.625</v>
      </c>
      <c r="C260" s="2" t="inlineStr">
        <is>
          <t>進場</t>
        </is>
      </c>
      <c r="D260" s="2" t="n">
        <v>132</v>
      </c>
      <c r="E260" s="2" t="inlineStr">
        <is>
          <t>NEAR_USDT_PERP</t>
        </is>
      </c>
      <c r="F260" s="2" t="inlineStr">
        <is>
          <t>做多</t>
        </is>
      </c>
      <c r="G260" s="17" t="n">
        <v>2.393</v>
      </c>
      <c r="H260" s="17" t="n">
        <v>2.46479</v>
      </c>
      <c r="I260" s="17" t="n">
        <v>2.27335</v>
      </c>
      <c r="J260" s="17" t="n"/>
      <c r="K260" s="2" t="n"/>
      <c r="L260" s="5" t="n"/>
      <c r="M260" s="16">
        <f>資金模擬!$B$5*V259</f>
        <v/>
      </c>
      <c r="N260" s="2">
        <f>IF(Z259=1,"已停止",IF(T259&gt;=M260,"已下單","資金不足略過"))</f>
        <v/>
      </c>
      <c r="O260" s="16">
        <f>IF(N260="已下單",M260*資金模擬!$B$7,0)</f>
        <v/>
      </c>
      <c r="P260" s="4" t="n"/>
      <c r="Q260" s="10" t="n">
        <v>0</v>
      </c>
      <c r="R260" s="10">
        <f>R259+Q260</f>
        <v/>
      </c>
      <c r="S260" s="16">
        <f>S259+IF(N260="已下單",M260,0)</f>
        <v/>
      </c>
      <c r="T260" s="16">
        <f>R260-S260</f>
        <v/>
      </c>
      <c r="U260" s="2">
        <f>U259+IF(N260="已下單",1,0)</f>
        <v/>
      </c>
      <c r="V260" s="16">
        <f>IF(資金模擬!$B$9=2,MAX(R260,0),MAX(V259,FLOOR(MAX(R260,0),資金模擬!$B$6)))</f>
        <v/>
      </c>
      <c r="W260" s="10">
        <f>MAX(W259,R260)</f>
        <v/>
      </c>
      <c r="X260" s="4">
        <f>IF(W260&gt;0,R260/W260-1,-1)</f>
        <v/>
      </c>
      <c r="Y260" s="16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46274.66666666666</v>
      </c>
      <c r="C261" s="2" t="inlineStr">
        <is>
          <t>出場</t>
        </is>
      </c>
      <c r="D261" s="2" t="n">
        <v>132</v>
      </c>
      <c r="E261" s="2" t="inlineStr">
        <is>
          <t>NEAR_USDT_PERP</t>
        </is>
      </c>
      <c r="F261" s="2" t="inlineStr">
        <is>
          <t>做多</t>
        </is>
      </c>
      <c r="G261" s="17" t="n">
        <v>2.393</v>
      </c>
      <c r="H261" s="17" t="n">
        <v>2.46479</v>
      </c>
      <c r="I261" s="17" t="n">
        <v>2.27335</v>
      </c>
      <c r="J261" s="17" t="n">
        <v>2.46479</v>
      </c>
      <c r="K261" s="2" t="inlineStr">
        <is>
          <t>止盈</t>
        </is>
      </c>
      <c r="L261" s="5">
        <f>交易明細!K133</f>
        <v/>
      </c>
      <c r="M261" s="16">
        <f>M260</f>
        <v/>
      </c>
      <c r="N261" s="2">
        <f>N260</f>
        <v/>
      </c>
      <c r="O261" s="16">
        <f>O260</f>
        <v/>
      </c>
      <c r="P261" s="4">
        <f>交易明細!L133</f>
        <v/>
      </c>
      <c r="Q261" s="10">
        <f>IF(N261="已下單",O261*P261,0)</f>
        <v/>
      </c>
      <c r="R261" s="10">
        <f>R260+Q261</f>
        <v/>
      </c>
      <c r="S261" s="16">
        <f>S260-IF(N261="已下單",M261,0)</f>
        <v/>
      </c>
      <c r="T261" s="16">
        <f>R261-S261</f>
        <v/>
      </c>
      <c r="U261" s="2">
        <f>U260-IF(N261="已下單",1,0)</f>
        <v/>
      </c>
      <c r="V261" s="16">
        <f>IF(資金模擬!$B$9=2,MAX(R261,0),MAX(V260,FLOOR(MAX(R261,0),資金模擬!$B$6)))</f>
        <v/>
      </c>
      <c r="W261" s="10">
        <f>MAX(W260,R261)</f>
        <v/>
      </c>
      <c r="X261" s="4">
        <f>IF(W261&gt;0,R261/W261-1,-1)</f>
        <v/>
      </c>
      <c r="Y261" s="16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46274.70833333334</v>
      </c>
      <c r="C262" s="2" t="inlineStr">
        <is>
          <t>出場</t>
        </is>
      </c>
      <c r="D262" s="2" t="n">
        <v>130</v>
      </c>
      <c r="E262" s="2" t="inlineStr">
        <is>
          <t>PONS_USDT_PERP</t>
        </is>
      </c>
      <c r="F262" s="2" t="inlineStr">
        <is>
          <t>做多</t>
        </is>
      </c>
      <c r="G262" s="17" t="n">
        <v>0.8091</v>
      </c>
      <c r="H262" s="17" t="n">
        <v>0.833373</v>
      </c>
      <c r="I262" s="17" t="n">
        <v>0.768645</v>
      </c>
      <c r="J262" s="17" t="n">
        <v>0.833373</v>
      </c>
      <c r="K262" s="2" t="inlineStr">
        <is>
          <t>止盈</t>
        </is>
      </c>
      <c r="L262" s="5">
        <f>交易明細!K131</f>
        <v/>
      </c>
      <c r="M262" s="16">
        <f>M255</f>
        <v/>
      </c>
      <c r="N262" s="2">
        <f>N255</f>
        <v/>
      </c>
      <c r="O262" s="16">
        <f>O255</f>
        <v/>
      </c>
      <c r="P262" s="4">
        <f>交易明細!L131</f>
        <v/>
      </c>
      <c r="Q262" s="10">
        <f>IF(N262="已下單",O262*P262,0)</f>
        <v/>
      </c>
      <c r="R262" s="10">
        <f>R261+Q262</f>
        <v/>
      </c>
      <c r="S262" s="16">
        <f>S261-IF(N262="已下單",M262,0)</f>
        <v/>
      </c>
      <c r="T262" s="16">
        <f>R262-S262</f>
        <v/>
      </c>
      <c r="U262" s="2">
        <f>U261-IF(N262="已下單",1,0)</f>
        <v/>
      </c>
      <c r="V262" s="16">
        <f>IF(資金模擬!$B$9=2,MAX(R262,0),MAX(V261,FLOOR(MAX(R262,0),資金模擬!$B$6)))</f>
        <v/>
      </c>
      <c r="W262" s="10">
        <f>MAX(W261,R262)</f>
        <v/>
      </c>
      <c r="X262" s="4">
        <f>IF(W262&gt;0,R262/W262-1,-1)</f>
        <v/>
      </c>
      <c r="Y262" s="16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46274.70833333334</v>
      </c>
      <c r="C263" s="2" t="inlineStr">
        <is>
          <t>進場</t>
        </is>
      </c>
      <c r="D263" s="2" t="n">
        <v>133</v>
      </c>
      <c r="E263" s="2" t="inlineStr">
        <is>
          <t>BULLA_USDT_PERP</t>
        </is>
      </c>
      <c r="F263" s="2" t="inlineStr">
        <is>
          <t>做多</t>
        </is>
      </c>
      <c r="G263" s="17" t="n">
        <v>0.07983</v>
      </c>
      <c r="H263" s="17" t="n">
        <v>0.0822249</v>
      </c>
      <c r="I263" s="17" t="n">
        <v>0.07583849999999999</v>
      </c>
      <c r="J263" s="17" t="n"/>
      <c r="K263" s="2" t="n"/>
      <c r="L263" s="5" t="n"/>
      <c r="M263" s="16">
        <f>資金模擬!$B$5*V262</f>
        <v/>
      </c>
      <c r="N263" s="2">
        <f>IF(Z262=1,"已停止",IF(T262&gt;=M263,"已下單","資金不足略過"))</f>
        <v/>
      </c>
      <c r="O263" s="16">
        <f>IF(N263="已下單",M263*資金模擬!$B$7,0)</f>
        <v/>
      </c>
      <c r="P263" s="4" t="n"/>
      <c r="Q263" s="10" t="n">
        <v>0</v>
      </c>
      <c r="R263" s="10">
        <f>R262+Q263</f>
        <v/>
      </c>
      <c r="S263" s="16">
        <f>S262+IF(N263="已下單",M263,0)</f>
        <v/>
      </c>
      <c r="T263" s="16">
        <f>R263-S263</f>
        <v/>
      </c>
      <c r="U263" s="2">
        <f>U262+IF(N263="已下單",1,0)</f>
        <v/>
      </c>
      <c r="V263" s="16">
        <f>IF(資金模擬!$B$9=2,MAX(R263,0),MAX(V262,FLOOR(MAX(R263,0),資金模擬!$B$6)))</f>
        <v/>
      </c>
      <c r="W263" s="10">
        <f>MAX(W262,R263)</f>
        <v/>
      </c>
      <c r="X263" s="4">
        <f>IF(W263&gt;0,R263/W263-1,-1)</f>
        <v/>
      </c>
      <c r="Y263" s="16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46274.70833333334</v>
      </c>
      <c r="C264" s="2" t="inlineStr">
        <is>
          <t>進場</t>
        </is>
      </c>
      <c r="D264" s="2" t="n">
        <v>134</v>
      </c>
      <c r="E264" s="2" t="inlineStr">
        <is>
          <t>FF_USDT_PERP</t>
        </is>
      </c>
      <c r="F264" s="2" t="inlineStr">
        <is>
          <t>做多</t>
        </is>
      </c>
      <c r="G264" s="17" t="n">
        <v>0.15464</v>
      </c>
      <c r="H264" s="17" t="n">
        <v>0.1592792</v>
      </c>
      <c r="I264" s="17" t="n">
        <v>0.146908</v>
      </c>
      <c r="J264" s="17" t="n"/>
      <c r="K264" s="2" t="n"/>
      <c r="L264" s="5" t="n"/>
      <c r="M264" s="16">
        <f>資金模擬!$B$5*V263</f>
        <v/>
      </c>
      <c r="N264" s="2">
        <f>IF(Z263=1,"已停止",IF(T263&gt;=M264,"已下單","資金不足略過"))</f>
        <v/>
      </c>
      <c r="O264" s="16">
        <f>IF(N264="已下單",M264*資金模擬!$B$7,0)</f>
        <v/>
      </c>
      <c r="P264" s="4" t="n"/>
      <c r="Q264" s="10" t="n">
        <v>0</v>
      </c>
      <c r="R264" s="10">
        <f>R263+Q264</f>
        <v/>
      </c>
      <c r="S264" s="16">
        <f>S263+IF(N264="已下單",M264,0)</f>
        <v/>
      </c>
      <c r="T264" s="16">
        <f>R264-S264</f>
        <v/>
      </c>
      <c r="U264" s="2">
        <f>U263+IF(N264="已下單",1,0)</f>
        <v/>
      </c>
      <c r="V264" s="16">
        <f>IF(資金模擬!$B$9=2,MAX(R264,0),MAX(V263,FLOOR(MAX(R264,0),資金模擬!$B$6)))</f>
        <v/>
      </c>
      <c r="W264" s="10">
        <f>MAX(W263,R264)</f>
        <v/>
      </c>
      <c r="X264" s="4">
        <f>IF(W264&gt;0,R264/W264-1,-1)</f>
        <v/>
      </c>
      <c r="Y264" s="16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46274.75</v>
      </c>
      <c r="C265" s="2" t="inlineStr">
        <is>
          <t>出場</t>
        </is>
      </c>
      <c r="D265" s="2" t="n">
        <v>133</v>
      </c>
      <c r="E265" s="2" t="inlineStr">
        <is>
          <t>BULLA_USDT_PERP</t>
        </is>
      </c>
      <c r="F265" s="2" t="inlineStr">
        <is>
          <t>做多</t>
        </is>
      </c>
      <c r="G265" s="17" t="n">
        <v>0.07983</v>
      </c>
      <c r="H265" s="17" t="n">
        <v>0.0822249</v>
      </c>
      <c r="I265" s="17" t="n">
        <v>0.07583849999999999</v>
      </c>
      <c r="J265" s="17" t="n">
        <v>0.0822249</v>
      </c>
      <c r="K265" s="2" t="inlineStr">
        <is>
          <t>止盈</t>
        </is>
      </c>
      <c r="L265" s="5">
        <f>交易明細!K134</f>
        <v/>
      </c>
      <c r="M265" s="16">
        <f>M263</f>
        <v/>
      </c>
      <c r="N265" s="2">
        <f>N263</f>
        <v/>
      </c>
      <c r="O265" s="16">
        <f>O263</f>
        <v/>
      </c>
      <c r="P265" s="4">
        <f>交易明細!L134</f>
        <v/>
      </c>
      <c r="Q265" s="10">
        <f>IF(N265="已下單",O265*P265,0)</f>
        <v/>
      </c>
      <c r="R265" s="10">
        <f>R264+Q265</f>
        <v/>
      </c>
      <c r="S265" s="16">
        <f>S264-IF(N265="已下單",M265,0)</f>
        <v/>
      </c>
      <c r="T265" s="16">
        <f>R265-S265</f>
        <v/>
      </c>
      <c r="U265" s="2">
        <f>U264-IF(N265="已下單",1,0)</f>
        <v/>
      </c>
      <c r="V265" s="16">
        <f>IF(資金模擬!$B$9=2,MAX(R265,0),MAX(V264,FLOOR(MAX(R265,0),資金模擬!$B$6)))</f>
        <v/>
      </c>
      <c r="W265" s="10">
        <f>MAX(W264,R265)</f>
        <v/>
      </c>
      <c r="X265" s="4">
        <f>IF(W265&gt;0,R265/W265-1,-1)</f>
        <v/>
      </c>
      <c r="Y265" s="16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46274.75</v>
      </c>
      <c r="C266" s="2" t="inlineStr">
        <is>
          <t>出場</t>
        </is>
      </c>
      <c r="D266" s="2" t="n">
        <v>134</v>
      </c>
      <c r="E266" s="2" t="inlineStr">
        <is>
          <t>FF_USDT_PERP</t>
        </is>
      </c>
      <c r="F266" s="2" t="inlineStr">
        <is>
          <t>做多</t>
        </is>
      </c>
      <c r="G266" s="17" t="n">
        <v>0.15464</v>
      </c>
      <c r="H266" s="17" t="n">
        <v>0.1592792</v>
      </c>
      <c r="I266" s="17" t="n">
        <v>0.146908</v>
      </c>
      <c r="J266" s="17" t="n">
        <v>0.1592792</v>
      </c>
      <c r="K266" s="2" t="inlineStr">
        <is>
          <t>止盈</t>
        </is>
      </c>
      <c r="L266" s="5">
        <f>交易明細!K135</f>
        <v/>
      </c>
      <c r="M266" s="16">
        <f>M264</f>
        <v/>
      </c>
      <c r="N266" s="2">
        <f>N264</f>
        <v/>
      </c>
      <c r="O266" s="16">
        <f>O264</f>
        <v/>
      </c>
      <c r="P266" s="4">
        <f>交易明細!L135</f>
        <v/>
      </c>
      <c r="Q266" s="10">
        <f>IF(N266="已下單",O266*P266,0)</f>
        <v/>
      </c>
      <c r="R266" s="10">
        <f>R265+Q266</f>
        <v/>
      </c>
      <c r="S266" s="16">
        <f>S265-IF(N266="已下單",M266,0)</f>
        <v/>
      </c>
      <c r="T266" s="16">
        <f>R266-S266</f>
        <v/>
      </c>
      <c r="U266" s="2">
        <f>U265-IF(N266="已下單",1,0)</f>
        <v/>
      </c>
      <c r="V266" s="16">
        <f>IF(資金模擬!$B$9=2,MAX(R266,0),MAX(V265,FLOOR(MAX(R266,0),資金模擬!$B$6)))</f>
        <v/>
      </c>
      <c r="W266" s="10">
        <f>MAX(W265,R266)</f>
        <v/>
      </c>
      <c r="X266" s="4">
        <f>IF(W266&gt;0,R266/W266-1,-1)</f>
        <v/>
      </c>
      <c r="Y266" s="16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46274.75</v>
      </c>
      <c r="C267" s="2" t="inlineStr">
        <is>
          <t>進場</t>
        </is>
      </c>
      <c r="D267" s="2" t="n">
        <v>135</v>
      </c>
      <c r="E267" s="2" t="inlineStr">
        <is>
          <t>WLD_USDT_PERP</t>
        </is>
      </c>
      <c r="F267" s="2" t="inlineStr">
        <is>
          <t>做空</t>
        </is>
      </c>
      <c r="G267" s="17" t="n">
        <v>0.4456</v>
      </c>
      <c r="H267" s="17" t="n">
        <v>0.432232</v>
      </c>
      <c r="I267" s="17" t="n">
        <v>0.46788</v>
      </c>
      <c r="J267" s="17" t="n"/>
      <c r="K267" s="2" t="n"/>
      <c r="L267" s="5" t="n"/>
      <c r="M267" s="16">
        <f>資金模擬!$B$5*V266</f>
        <v/>
      </c>
      <c r="N267" s="2">
        <f>IF(Z266=1,"已停止",IF(T266&gt;=M267,"已下單","資金不足略過"))</f>
        <v/>
      </c>
      <c r="O267" s="16">
        <f>IF(N267="已下單",M267*資金模擬!$B$7,0)</f>
        <v/>
      </c>
      <c r="P267" s="4" t="n"/>
      <c r="Q267" s="10" t="n">
        <v>0</v>
      </c>
      <c r="R267" s="10">
        <f>R266+Q267</f>
        <v/>
      </c>
      <c r="S267" s="16">
        <f>S266+IF(N267="已下單",M267,0)</f>
        <v/>
      </c>
      <c r="T267" s="16">
        <f>R267-S267</f>
        <v/>
      </c>
      <c r="U267" s="2">
        <f>U266+IF(N267="已下單",1,0)</f>
        <v/>
      </c>
      <c r="V267" s="16">
        <f>IF(資金模擬!$B$9=2,MAX(R267,0),MAX(V266,FLOOR(MAX(R267,0),資金模擬!$B$6)))</f>
        <v/>
      </c>
      <c r="W267" s="10">
        <f>MAX(W266,R267)</f>
        <v/>
      </c>
      <c r="X267" s="4">
        <f>IF(W267&gt;0,R267/W267-1,-1)</f>
        <v/>
      </c>
      <c r="Y267" s="16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46274.79166666666</v>
      </c>
      <c r="C268" s="2" t="inlineStr">
        <is>
          <t>出場</t>
        </is>
      </c>
      <c r="D268" s="2" t="n">
        <v>121</v>
      </c>
      <c r="E268" s="2" t="inlineStr">
        <is>
          <t>INJ_USDT_PERP</t>
        </is>
      </c>
      <c r="F268" s="2" t="inlineStr">
        <is>
          <t>做多</t>
        </is>
      </c>
      <c r="G268" s="17" t="n">
        <v>6.534</v>
      </c>
      <c r="H268" s="17" t="n">
        <v>6.73002</v>
      </c>
      <c r="I268" s="17" t="n">
        <v>6.207299999999999</v>
      </c>
      <c r="J268" s="17" t="n">
        <v>6.207299999999999</v>
      </c>
      <c r="K268" s="2" t="inlineStr">
        <is>
          <t>止損</t>
        </is>
      </c>
      <c r="L268" s="5">
        <f>交易明細!K122</f>
        <v/>
      </c>
      <c r="M268" s="16">
        <f>M237</f>
        <v/>
      </c>
      <c r="N268" s="2">
        <f>N237</f>
        <v/>
      </c>
      <c r="O268" s="16">
        <f>O237</f>
        <v/>
      </c>
      <c r="P268" s="4">
        <f>交易明細!L122</f>
        <v/>
      </c>
      <c r="Q268" s="10">
        <f>IF(N268="已下單",O268*P268,0)</f>
        <v/>
      </c>
      <c r="R268" s="10">
        <f>R267+Q268</f>
        <v/>
      </c>
      <c r="S268" s="16">
        <f>S267-IF(N268="已下單",M268,0)</f>
        <v/>
      </c>
      <c r="T268" s="16">
        <f>R268-S268</f>
        <v/>
      </c>
      <c r="U268" s="2">
        <f>U267-IF(N268="已下單",1,0)</f>
        <v/>
      </c>
      <c r="V268" s="16">
        <f>IF(資金模擬!$B$9=2,MAX(R268,0),MAX(V267,FLOOR(MAX(R268,0),資金模擬!$B$6)))</f>
        <v/>
      </c>
      <c r="W268" s="10">
        <f>MAX(W267,R268)</f>
        <v/>
      </c>
      <c r="X268" s="4">
        <f>IF(W268&gt;0,R268/W268-1,-1)</f>
        <v/>
      </c>
      <c r="Y268" s="16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46274.79166666666</v>
      </c>
      <c r="C269" s="2" t="inlineStr">
        <is>
          <t>進場</t>
        </is>
      </c>
      <c r="D269" s="2" t="n">
        <v>136</v>
      </c>
      <c r="E269" s="2" t="inlineStr">
        <is>
          <t>VVV_USDT_PERP</t>
        </is>
      </c>
      <c r="F269" s="2" t="inlineStr">
        <is>
          <t>做多</t>
        </is>
      </c>
      <c r="G269" s="17" t="n">
        <v>26.225</v>
      </c>
      <c r="H269" s="17" t="n">
        <v>27.01175</v>
      </c>
      <c r="I269" s="17" t="n">
        <v>24.91375</v>
      </c>
      <c r="J269" s="17" t="n"/>
      <c r="K269" s="2" t="n"/>
      <c r="L269" s="5" t="n"/>
      <c r="M269" s="16">
        <f>資金模擬!$B$5*V268</f>
        <v/>
      </c>
      <c r="N269" s="2">
        <f>IF(Z268=1,"已停止",IF(T268&gt;=M269,"已下單","資金不足略過"))</f>
        <v/>
      </c>
      <c r="O269" s="16">
        <f>IF(N269="已下單",M269*資金模擬!$B$7,0)</f>
        <v/>
      </c>
      <c r="P269" s="4" t="n"/>
      <c r="Q269" s="10" t="n">
        <v>0</v>
      </c>
      <c r="R269" s="10">
        <f>R268+Q269</f>
        <v/>
      </c>
      <c r="S269" s="16">
        <f>S268+IF(N269="已下單",M269,0)</f>
        <v/>
      </c>
      <c r="T269" s="16">
        <f>R269-S269</f>
        <v/>
      </c>
      <c r="U269" s="2">
        <f>U268+IF(N269="已下單",1,0)</f>
        <v/>
      </c>
      <c r="V269" s="16">
        <f>IF(資金模擬!$B$9=2,MAX(R269,0),MAX(V268,FLOOR(MAX(R269,0),資金模擬!$B$6)))</f>
        <v/>
      </c>
      <c r="W269" s="10">
        <f>MAX(W268,R269)</f>
        <v/>
      </c>
      <c r="X269" s="4">
        <f>IF(W269&gt;0,R269/W269-1,-1)</f>
        <v/>
      </c>
      <c r="Y269" s="16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46274.83333333334</v>
      </c>
      <c r="C270" s="2" t="inlineStr">
        <is>
          <t>出場</t>
        </is>
      </c>
      <c r="D270" s="2" t="n">
        <v>136</v>
      </c>
      <c r="E270" s="2" t="inlineStr">
        <is>
          <t>VVV_USDT_PERP</t>
        </is>
      </c>
      <c r="F270" s="2" t="inlineStr">
        <is>
          <t>做多</t>
        </is>
      </c>
      <c r="G270" s="17" t="n">
        <v>26.225</v>
      </c>
      <c r="H270" s="17" t="n">
        <v>27.01175</v>
      </c>
      <c r="I270" s="17" t="n">
        <v>24.91375</v>
      </c>
      <c r="J270" s="17" t="n">
        <v>27.01175</v>
      </c>
      <c r="K270" s="2" t="inlineStr">
        <is>
          <t>止盈</t>
        </is>
      </c>
      <c r="L270" s="5">
        <f>交易明細!K137</f>
        <v/>
      </c>
      <c r="M270" s="16">
        <f>M269</f>
        <v/>
      </c>
      <c r="N270" s="2">
        <f>N269</f>
        <v/>
      </c>
      <c r="O270" s="16">
        <f>O269</f>
        <v/>
      </c>
      <c r="P270" s="4">
        <f>交易明細!L137</f>
        <v/>
      </c>
      <c r="Q270" s="10">
        <f>IF(N270="已下單",O270*P270,0)</f>
        <v/>
      </c>
      <c r="R270" s="10">
        <f>R269+Q270</f>
        <v/>
      </c>
      <c r="S270" s="16">
        <f>S269-IF(N270="已下單",M270,0)</f>
        <v/>
      </c>
      <c r="T270" s="16">
        <f>R270-S270</f>
        <v/>
      </c>
      <c r="U270" s="2">
        <f>U269-IF(N270="已下單",1,0)</f>
        <v/>
      </c>
      <c r="V270" s="16">
        <f>IF(資金模擬!$B$9=2,MAX(R270,0),MAX(V269,FLOOR(MAX(R270,0),資金模擬!$B$6)))</f>
        <v/>
      </c>
      <c r="W270" s="10">
        <f>MAX(W269,R270)</f>
        <v/>
      </c>
      <c r="X270" s="4">
        <f>IF(W270&gt;0,R270/W270-1,-1)</f>
        <v/>
      </c>
      <c r="Y270" s="16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46274.83333333334</v>
      </c>
      <c r="C271" s="2" t="inlineStr">
        <is>
          <t>進場</t>
        </is>
      </c>
      <c r="D271" s="2" t="n">
        <v>137</v>
      </c>
      <c r="E271" s="2" t="inlineStr">
        <is>
          <t>PUMP_USDT_PERP</t>
        </is>
      </c>
      <c r="F271" s="2" t="inlineStr">
        <is>
          <t>做多</t>
        </is>
      </c>
      <c r="G271" s="17" t="n">
        <v>0.004602</v>
      </c>
      <c r="H271" s="17" t="n">
        <v>0.00474006</v>
      </c>
      <c r="I271" s="17" t="n">
        <v>0.0043719</v>
      </c>
      <c r="J271" s="17" t="n"/>
      <c r="K271" s="2" t="n"/>
      <c r="L271" s="5" t="n"/>
      <c r="M271" s="16">
        <f>資金模擬!$B$5*V270</f>
        <v/>
      </c>
      <c r="N271" s="2">
        <f>IF(Z270=1,"已停止",IF(T270&gt;=M271,"已下單","資金不足略過"))</f>
        <v/>
      </c>
      <c r="O271" s="16">
        <f>IF(N271="已下單",M271*資金模擬!$B$7,0)</f>
        <v/>
      </c>
      <c r="P271" s="4" t="n"/>
      <c r="Q271" s="10" t="n">
        <v>0</v>
      </c>
      <c r="R271" s="10">
        <f>R270+Q271</f>
        <v/>
      </c>
      <c r="S271" s="16">
        <f>S270+IF(N271="已下單",M271,0)</f>
        <v/>
      </c>
      <c r="T271" s="16">
        <f>R271-S271</f>
        <v/>
      </c>
      <c r="U271" s="2">
        <f>U270+IF(N271="已下單",1,0)</f>
        <v/>
      </c>
      <c r="V271" s="16">
        <f>IF(資金模擬!$B$9=2,MAX(R271,0),MAX(V270,FLOOR(MAX(R271,0),資金模擬!$B$6)))</f>
        <v/>
      </c>
      <c r="W271" s="10">
        <f>MAX(W270,R271)</f>
        <v/>
      </c>
      <c r="X271" s="4">
        <f>IF(W271&gt;0,R271/W271-1,-1)</f>
        <v/>
      </c>
      <c r="Y271" s="16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46274.875</v>
      </c>
      <c r="C272" s="2" t="inlineStr">
        <is>
          <t>出場</t>
        </is>
      </c>
      <c r="D272" s="2" t="n">
        <v>137</v>
      </c>
      <c r="E272" s="2" t="inlineStr">
        <is>
          <t>PUMP_USDT_PERP</t>
        </is>
      </c>
      <c r="F272" s="2" t="inlineStr">
        <is>
          <t>做多</t>
        </is>
      </c>
      <c r="G272" s="17" t="n">
        <v>0.004602</v>
      </c>
      <c r="H272" s="17" t="n">
        <v>0.00474006</v>
      </c>
      <c r="I272" s="17" t="n">
        <v>0.0043719</v>
      </c>
      <c r="J272" s="17" t="n">
        <v>0.00474006</v>
      </c>
      <c r="K272" s="2" t="inlineStr">
        <is>
          <t>止盈</t>
        </is>
      </c>
      <c r="L272" s="5">
        <f>交易明細!K138</f>
        <v/>
      </c>
      <c r="M272" s="16">
        <f>M271</f>
        <v/>
      </c>
      <c r="N272" s="2">
        <f>N271</f>
        <v/>
      </c>
      <c r="O272" s="16">
        <f>O271</f>
        <v/>
      </c>
      <c r="P272" s="4">
        <f>交易明細!L138</f>
        <v/>
      </c>
      <c r="Q272" s="10">
        <f>IF(N272="已下單",O272*P272,0)</f>
        <v/>
      </c>
      <c r="R272" s="10">
        <f>R271+Q272</f>
        <v/>
      </c>
      <c r="S272" s="16">
        <f>S271-IF(N272="已下單",M272,0)</f>
        <v/>
      </c>
      <c r="T272" s="16">
        <f>R272-S272</f>
        <v/>
      </c>
      <c r="U272" s="2">
        <f>U271-IF(N272="已下單",1,0)</f>
        <v/>
      </c>
      <c r="V272" s="16">
        <f>IF(資金模擬!$B$9=2,MAX(R272,0),MAX(V271,FLOOR(MAX(R272,0),資金模擬!$B$6)))</f>
        <v/>
      </c>
      <c r="W272" s="10">
        <f>MAX(W271,R272)</f>
        <v/>
      </c>
      <c r="X272" s="4">
        <f>IF(W272&gt;0,R272/W272-1,-1)</f>
        <v/>
      </c>
      <c r="Y272" s="16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46274.875</v>
      </c>
      <c r="C273" s="2" t="inlineStr">
        <is>
          <t>進場</t>
        </is>
      </c>
      <c r="D273" s="2" t="n">
        <v>138</v>
      </c>
      <c r="E273" s="2" t="inlineStr">
        <is>
          <t>BULLA_USDT_PERP</t>
        </is>
      </c>
      <c r="F273" s="2" t="inlineStr">
        <is>
          <t>做多</t>
        </is>
      </c>
      <c r="G273" s="17" t="n">
        <v>0.08321000000000001</v>
      </c>
      <c r="H273" s="17" t="n">
        <v>0.08570630000000001</v>
      </c>
      <c r="I273" s="17" t="n">
        <v>0.07904950000000001</v>
      </c>
      <c r="J273" s="17" t="n"/>
      <c r="K273" s="2" t="n"/>
      <c r="L273" s="5" t="n"/>
      <c r="M273" s="16">
        <f>資金模擬!$B$5*V272</f>
        <v/>
      </c>
      <c r="N273" s="2">
        <f>IF(Z272=1,"已停止",IF(T272&gt;=M273,"已下單","資金不足略過"))</f>
        <v/>
      </c>
      <c r="O273" s="16">
        <f>IF(N273="已下單",M273*資金模擬!$B$7,0)</f>
        <v/>
      </c>
      <c r="P273" s="4" t="n"/>
      <c r="Q273" s="10" t="n">
        <v>0</v>
      </c>
      <c r="R273" s="10">
        <f>R272+Q273</f>
        <v/>
      </c>
      <c r="S273" s="16">
        <f>S272+IF(N273="已下單",M273,0)</f>
        <v/>
      </c>
      <c r="T273" s="16">
        <f>R273-S273</f>
        <v/>
      </c>
      <c r="U273" s="2">
        <f>U272+IF(N273="已下單",1,0)</f>
        <v/>
      </c>
      <c r="V273" s="16">
        <f>IF(資金模擬!$B$9=2,MAX(R273,0),MAX(V272,FLOOR(MAX(R273,0),資金模擬!$B$6)))</f>
        <v/>
      </c>
      <c r="W273" s="10">
        <f>MAX(W272,R273)</f>
        <v/>
      </c>
      <c r="X273" s="4">
        <f>IF(W273&gt;0,R273/W273-1,-1)</f>
        <v/>
      </c>
      <c r="Y273" s="16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46274.875</v>
      </c>
      <c r="C274" s="2" t="inlineStr">
        <is>
          <t>進場</t>
        </is>
      </c>
      <c r="D274" s="2" t="n">
        <v>139</v>
      </c>
      <c r="E274" s="2" t="inlineStr">
        <is>
          <t>PONS_USDT_PERP</t>
        </is>
      </c>
      <c r="F274" s="2" t="inlineStr">
        <is>
          <t>做多</t>
        </is>
      </c>
      <c r="G274" s="17" t="n">
        <v>0.8066</v>
      </c>
      <c r="H274" s="17" t="n">
        <v>0.830798</v>
      </c>
      <c r="I274" s="17" t="n">
        <v>0.7662699999999999</v>
      </c>
      <c r="J274" s="17" t="n"/>
      <c r="K274" s="2" t="n"/>
      <c r="L274" s="5" t="n"/>
      <c r="M274" s="16">
        <f>資金模擬!$B$5*V273</f>
        <v/>
      </c>
      <c r="N274" s="2">
        <f>IF(Z273=1,"已停止",IF(T273&gt;=M274,"已下單","資金不足略過"))</f>
        <v/>
      </c>
      <c r="O274" s="16">
        <f>IF(N274="已下單",M274*資金模擬!$B$7,0)</f>
        <v/>
      </c>
      <c r="P274" s="4" t="n"/>
      <c r="Q274" s="10" t="n">
        <v>0</v>
      </c>
      <c r="R274" s="10">
        <f>R273+Q274</f>
        <v/>
      </c>
      <c r="S274" s="16">
        <f>S273+IF(N274="已下單",M274,0)</f>
        <v/>
      </c>
      <c r="T274" s="16">
        <f>R274-S274</f>
        <v/>
      </c>
      <c r="U274" s="2">
        <f>U273+IF(N274="已下單",1,0)</f>
        <v/>
      </c>
      <c r="V274" s="16">
        <f>IF(資金模擬!$B$9=2,MAX(R274,0),MAX(V273,FLOOR(MAX(R274,0),資金模擬!$B$6)))</f>
        <v/>
      </c>
      <c r="W274" s="10">
        <f>MAX(W273,R274)</f>
        <v/>
      </c>
      <c r="X274" s="4">
        <f>IF(W274&gt;0,R274/W274-1,-1)</f>
        <v/>
      </c>
      <c r="Y274" s="16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46274.91666666666</v>
      </c>
      <c r="C275" s="2" t="inlineStr">
        <is>
          <t>出場</t>
        </is>
      </c>
      <c r="D275" s="2" t="n">
        <v>138</v>
      </c>
      <c r="E275" s="2" t="inlineStr">
        <is>
          <t>BULLA_USDT_PERP</t>
        </is>
      </c>
      <c r="F275" s="2" t="inlineStr">
        <is>
          <t>做多</t>
        </is>
      </c>
      <c r="G275" s="17" t="n">
        <v>0.08321000000000001</v>
      </c>
      <c r="H275" s="17" t="n">
        <v>0.08570630000000001</v>
      </c>
      <c r="I275" s="17" t="n">
        <v>0.07904950000000001</v>
      </c>
      <c r="J275" s="17" t="n">
        <v>0.08570630000000001</v>
      </c>
      <c r="K275" s="2" t="inlineStr">
        <is>
          <t>止盈</t>
        </is>
      </c>
      <c r="L275" s="5">
        <f>交易明細!K139</f>
        <v/>
      </c>
      <c r="M275" s="16">
        <f>M273</f>
        <v/>
      </c>
      <c r="N275" s="2">
        <f>N273</f>
        <v/>
      </c>
      <c r="O275" s="16">
        <f>O273</f>
        <v/>
      </c>
      <c r="P275" s="4">
        <f>交易明細!L139</f>
        <v/>
      </c>
      <c r="Q275" s="10">
        <f>IF(N275="已下單",O275*P275,0)</f>
        <v/>
      </c>
      <c r="R275" s="10">
        <f>R274+Q275</f>
        <v/>
      </c>
      <c r="S275" s="16">
        <f>S274-IF(N275="已下單",M275,0)</f>
        <v/>
      </c>
      <c r="T275" s="16">
        <f>R275-S275</f>
        <v/>
      </c>
      <c r="U275" s="2">
        <f>U274-IF(N275="已下單",1,0)</f>
        <v/>
      </c>
      <c r="V275" s="16">
        <f>IF(資金模擬!$B$9=2,MAX(R275,0),MAX(V274,FLOOR(MAX(R275,0),資金模擬!$B$6)))</f>
        <v/>
      </c>
      <c r="W275" s="10">
        <f>MAX(W274,R275)</f>
        <v/>
      </c>
      <c r="X275" s="4">
        <f>IF(W275&gt;0,R275/W275-1,-1)</f>
        <v/>
      </c>
      <c r="Y275" s="16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46274.95833333334</v>
      </c>
      <c r="C276" s="2" t="inlineStr">
        <is>
          <t>出場</t>
        </is>
      </c>
      <c r="D276" s="2" t="n">
        <v>139</v>
      </c>
      <c r="E276" s="2" t="inlineStr">
        <is>
          <t>PONS_USDT_PERP</t>
        </is>
      </c>
      <c r="F276" s="2" t="inlineStr">
        <is>
          <t>做多</t>
        </is>
      </c>
      <c r="G276" s="17" t="n">
        <v>0.8066</v>
      </c>
      <c r="H276" s="17" t="n">
        <v>0.830798</v>
      </c>
      <c r="I276" s="17" t="n">
        <v>0.7662699999999999</v>
      </c>
      <c r="J276" s="17" t="n">
        <v>0.7662699999999999</v>
      </c>
      <c r="K276" s="2" t="inlineStr">
        <is>
          <t>止損</t>
        </is>
      </c>
      <c r="L276" s="5">
        <f>交易明細!K140</f>
        <v/>
      </c>
      <c r="M276" s="16">
        <f>M274</f>
        <v/>
      </c>
      <c r="N276" s="2">
        <f>N274</f>
        <v/>
      </c>
      <c r="O276" s="16">
        <f>O274</f>
        <v/>
      </c>
      <c r="P276" s="4">
        <f>交易明細!L140</f>
        <v/>
      </c>
      <c r="Q276" s="10">
        <f>IF(N276="已下單",O276*P276,0)</f>
        <v/>
      </c>
      <c r="R276" s="10">
        <f>R275+Q276</f>
        <v/>
      </c>
      <c r="S276" s="16">
        <f>S275-IF(N276="已下單",M276,0)</f>
        <v/>
      </c>
      <c r="T276" s="16">
        <f>R276-S276</f>
        <v/>
      </c>
      <c r="U276" s="2">
        <f>U275-IF(N276="已下單",1,0)</f>
        <v/>
      </c>
      <c r="V276" s="16">
        <f>IF(資金模擬!$B$9=2,MAX(R276,0),MAX(V275,FLOOR(MAX(R276,0),資金模擬!$B$6)))</f>
        <v/>
      </c>
      <c r="W276" s="10">
        <f>MAX(W275,R276)</f>
        <v/>
      </c>
      <c r="X276" s="4">
        <f>IF(W276&gt;0,R276/W276-1,-1)</f>
        <v/>
      </c>
      <c r="Y276" s="16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46274.95833333334</v>
      </c>
      <c r="C277" s="2" t="inlineStr">
        <is>
          <t>進場</t>
        </is>
      </c>
      <c r="D277" s="2" t="n">
        <v>140</v>
      </c>
      <c r="E277" s="2" t="inlineStr">
        <is>
          <t>DOT_USDT_PERP</t>
        </is>
      </c>
      <c r="F277" s="2" t="inlineStr">
        <is>
          <t>做空</t>
        </is>
      </c>
      <c r="G277" s="17" t="n">
        <v>1.132</v>
      </c>
      <c r="H277" s="17" t="n">
        <v>1.09804</v>
      </c>
      <c r="I277" s="17" t="n">
        <v>1.1886</v>
      </c>
      <c r="J277" s="17" t="n"/>
      <c r="K277" s="2" t="n"/>
      <c r="L277" s="5" t="n"/>
      <c r="M277" s="16">
        <f>資金模擬!$B$5*V276</f>
        <v/>
      </c>
      <c r="N277" s="2">
        <f>IF(Z276=1,"已停止",IF(T276&gt;=M277,"已下單","資金不足略過"))</f>
        <v/>
      </c>
      <c r="O277" s="16">
        <f>IF(N277="已下單",M277*資金模擬!$B$7,0)</f>
        <v/>
      </c>
      <c r="P277" s="4" t="n"/>
      <c r="Q277" s="10" t="n">
        <v>0</v>
      </c>
      <c r="R277" s="10">
        <f>R276+Q277</f>
        <v/>
      </c>
      <c r="S277" s="16">
        <f>S276+IF(N277="已下單",M277,0)</f>
        <v/>
      </c>
      <c r="T277" s="16">
        <f>R277-S277</f>
        <v/>
      </c>
      <c r="U277" s="2">
        <f>U276+IF(N277="已下單",1,0)</f>
        <v/>
      </c>
      <c r="V277" s="16">
        <f>IF(資金模擬!$B$9=2,MAX(R277,0),MAX(V276,FLOOR(MAX(R277,0),資金模擬!$B$6)))</f>
        <v/>
      </c>
      <c r="W277" s="10">
        <f>MAX(W276,R277)</f>
        <v/>
      </c>
      <c r="X277" s="4">
        <f>IF(W277&gt;0,R277/W277-1,-1)</f>
        <v/>
      </c>
      <c r="Y277" s="16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46274.95833333334</v>
      </c>
      <c r="C278" s="2" t="inlineStr">
        <is>
          <t>進場</t>
        </is>
      </c>
      <c r="D278" s="2" t="n">
        <v>141</v>
      </c>
      <c r="E278" s="2" t="inlineStr">
        <is>
          <t>MARSCOIN_USDT_PERP</t>
        </is>
      </c>
      <c r="F278" s="2" t="inlineStr">
        <is>
          <t>做空</t>
        </is>
      </c>
      <c r="G278" s="17" t="n">
        <v>0.13075</v>
      </c>
      <c r="H278" s="17" t="n">
        <v>0.1268275</v>
      </c>
      <c r="I278" s="17" t="n">
        <v>0.1372875</v>
      </c>
      <c r="J278" s="17" t="n"/>
      <c r="K278" s="2" t="n"/>
      <c r="L278" s="5" t="n"/>
      <c r="M278" s="16">
        <f>資金模擬!$B$5*V277</f>
        <v/>
      </c>
      <c r="N278" s="2">
        <f>IF(Z277=1,"已停止",IF(T277&gt;=M278,"已下單","資金不足略過"))</f>
        <v/>
      </c>
      <c r="O278" s="16">
        <f>IF(N278="已下單",M278*資金模擬!$B$7,0)</f>
        <v/>
      </c>
      <c r="P278" s="4" t="n"/>
      <c r="Q278" s="10" t="n">
        <v>0</v>
      </c>
      <c r="R278" s="10">
        <f>R277+Q278</f>
        <v/>
      </c>
      <c r="S278" s="16">
        <f>S277+IF(N278="已下單",M278,0)</f>
        <v/>
      </c>
      <c r="T278" s="16">
        <f>R278-S278</f>
        <v/>
      </c>
      <c r="U278" s="2">
        <f>U277+IF(N278="已下單",1,0)</f>
        <v/>
      </c>
      <c r="V278" s="16">
        <f>IF(資金模擬!$B$9=2,MAX(R278,0),MAX(V277,FLOOR(MAX(R278,0),資金模擬!$B$6)))</f>
        <v/>
      </c>
      <c r="W278" s="10">
        <f>MAX(W277,R278)</f>
        <v/>
      </c>
      <c r="X278" s="4">
        <f>IF(W278&gt;0,R278/W278-1,-1)</f>
        <v/>
      </c>
      <c r="Y278" s="16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46275</v>
      </c>
      <c r="C279" s="2" t="inlineStr">
        <is>
          <t>出場</t>
        </is>
      </c>
      <c r="D279" s="2" t="n">
        <v>128</v>
      </c>
      <c r="E279" s="2" t="inlineStr">
        <is>
          <t>XPL_USDT_PERP</t>
        </is>
      </c>
      <c r="F279" s="2" t="inlineStr">
        <is>
          <t>做空</t>
        </is>
      </c>
      <c r="G279" s="17" t="n">
        <v>0.09710000000000001</v>
      </c>
      <c r="H279" s="17" t="n">
        <v>0.09418700000000001</v>
      </c>
      <c r="I279" s="17" t="n">
        <v>0.101955</v>
      </c>
      <c r="J279" s="17" t="n">
        <v>0.09418700000000001</v>
      </c>
      <c r="K279" s="2" t="inlineStr">
        <is>
          <t>止盈</t>
        </is>
      </c>
      <c r="L279" s="5">
        <f>交易明細!K129</f>
        <v/>
      </c>
      <c r="M279" s="16">
        <f>M251</f>
        <v/>
      </c>
      <c r="N279" s="2">
        <f>N251</f>
        <v/>
      </c>
      <c r="O279" s="16">
        <f>O251</f>
        <v/>
      </c>
      <c r="P279" s="4">
        <f>交易明細!L129</f>
        <v/>
      </c>
      <c r="Q279" s="10">
        <f>IF(N279="已下單",O279*P279,0)</f>
        <v/>
      </c>
      <c r="R279" s="10">
        <f>R278+Q279</f>
        <v/>
      </c>
      <c r="S279" s="16">
        <f>S278-IF(N279="已下單",M279,0)</f>
        <v/>
      </c>
      <c r="T279" s="16">
        <f>R279-S279</f>
        <v/>
      </c>
      <c r="U279" s="2">
        <f>U278-IF(N279="已下單",1,0)</f>
        <v/>
      </c>
      <c r="V279" s="16">
        <f>IF(資金模擬!$B$9=2,MAX(R279,0),MAX(V278,FLOOR(MAX(R279,0),資金模擬!$B$6)))</f>
        <v/>
      </c>
      <c r="W279" s="10">
        <f>MAX(W278,R279)</f>
        <v/>
      </c>
      <c r="X279" s="4">
        <f>IF(W279&gt;0,R279/W279-1,-1)</f>
        <v/>
      </c>
      <c r="Y279" s="16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46275</v>
      </c>
      <c r="C280" s="2" t="inlineStr">
        <is>
          <t>出場</t>
        </is>
      </c>
      <c r="D280" s="2" t="n">
        <v>135</v>
      </c>
      <c r="E280" s="2" t="inlineStr">
        <is>
          <t>WLD_USDT_PERP</t>
        </is>
      </c>
      <c r="F280" s="2" t="inlineStr">
        <is>
          <t>做空</t>
        </is>
      </c>
      <c r="G280" s="17" t="n">
        <v>0.4456</v>
      </c>
      <c r="H280" s="17" t="n">
        <v>0.432232</v>
      </c>
      <c r="I280" s="17" t="n">
        <v>0.46788</v>
      </c>
      <c r="J280" s="17" t="n">
        <v>0.432232</v>
      </c>
      <c r="K280" s="2" t="inlineStr">
        <is>
          <t>止盈</t>
        </is>
      </c>
      <c r="L280" s="5">
        <f>交易明細!K136</f>
        <v/>
      </c>
      <c r="M280" s="16">
        <f>M267</f>
        <v/>
      </c>
      <c r="N280" s="2">
        <f>N267</f>
        <v/>
      </c>
      <c r="O280" s="16">
        <f>O267</f>
        <v/>
      </c>
      <c r="P280" s="4">
        <f>交易明細!L136</f>
        <v/>
      </c>
      <c r="Q280" s="10">
        <f>IF(N280="已下單",O280*P280,0)</f>
        <v/>
      </c>
      <c r="R280" s="10">
        <f>R279+Q280</f>
        <v/>
      </c>
      <c r="S280" s="16">
        <f>S279-IF(N280="已下單",M280,0)</f>
        <v/>
      </c>
      <c r="T280" s="16">
        <f>R280-S280</f>
        <v/>
      </c>
      <c r="U280" s="2">
        <f>U279-IF(N280="已下單",1,0)</f>
        <v/>
      </c>
      <c r="V280" s="16">
        <f>IF(資金模擬!$B$9=2,MAX(R280,0),MAX(V279,FLOOR(MAX(R280,0),資金模擬!$B$6)))</f>
        <v/>
      </c>
      <c r="W280" s="10">
        <f>MAX(W279,R280)</f>
        <v/>
      </c>
      <c r="X280" s="4">
        <f>IF(W280&gt;0,R280/W280-1,-1)</f>
        <v/>
      </c>
      <c r="Y280" s="16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46275</v>
      </c>
      <c r="C281" s="2" t="inlineStr">
        <is>
          <t>出場</t>
        </is>
      </c>
      <c r="D281" s="2" t="n">
        <v>141</v>
      </c>
      <c r="E281" s="2" t="inlineStr">
        <is>
          <t>MARSCOIN_USDT_PERP</t>
        </is>
      </c>
      <c r="F281" s="2" t="inlineStr">
        <is>
          <t>做空</t>
        </is>
      </c>
      <c r="G281" s="17" t="n">
        <v>0.13075</v>
      </c>
      <c r="H281" s="17" t="n">
        <v>0.1268275</v>
      </c>
      <c r="I281" s="17" t="n">
        <v>0.1372875</v>
      </c>
      <c r="J281" s="17" t="n">
        <v>0.1268275</v>
      </c>
      <c r="K281" s="2" t="inlineStr">
        <is>
          <t>止盈</t>
        </is>
      </c>
      <c r="L281" s="5">
        <f>交易明細!K142</f>
        <v/>
      </c>
      <c r="M281" s="16">
        <f>M278</f>
        <v/>
      </c>
      <c r="N281" s="2">
        <f>N278</f>
        <v/>
      </c>
      <c r="O281" s="16">
        <f>O278</f>
        <v/>
      </c>
      <c r="P281" s="4">
        <f>交易明細!L142</f>
        <v/>
      </c>
      <c r="Q281" s="10">
        <f>IF(N281="已下單",O281*P281,0)</f>
        <v/>
      </c>
      <c r="R281" s="10">
        <f>R280+Q281</f>
        <v/>
      </c>
      <c r="S281" s="16">
        <f>S280-IF(N281="已下單",M281,0)</f>
        <v/>
      </c>
      <c r="T281" s="16">
        <f>R281-S281</f>
        <v/>
      </c>
      <c r="U281" s="2">
        <f>U280-IF(N281="已下單",1,0)</f>
        <v/>
      </c>
      <c r="V281" s="16">
        <f>IF(資金模擬!$B$9=2,MAX(R281,0),MAX(V280,FLOOR(MAX(R281,0),資金模擬!$B$6)))</f>
        <v/>
      </c>
      <c r="W281" s="10">
        <f>MAX(W280,R281)</f>
        <v/>
      </c>
      <c r="X281" s="4">
        <f>IF(W281&gt;0,R281/W281-1,-1)</f>
        <v/>
      </c>
      <c r="Y281" s="16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46275</v>
      </c>
      <c r="C282" s="2" t="inlineStr">
        <is>
          <t>進場</t>
        </is>
      </c>
      <c r="D282" s="2" t="n">
        <v>142</v>
      </c>
      <c r="E282" s="2" t="inlineStr">
        <is>
          <t>ENA_USDT_PERP</t>
        </is>
      </c>
      <c r="F282" s="2" t="inlineStr">
        <is>
          <t>做空</t>
        </is>
      </c>
      <c r="G282" s="17" t="n">
        <v>0.1563</v>
      </c>
      <c r="H282" s="17" t="n">
        <v>0.151611</v>
      </c>
      <c r="I282" s="17" t="n">
        <v>0.164115</v>
      </c>
      <c r="J282" s="17" t="n"/>
      <c r="K282" s="2" t="n"/>
      <c r="L282" s="5" t="n"/>
      <c r="M282" s="16">
        <f>資金模擬!$B$5*V281</f>
        <v/>
      </c>
      <c r="N282" s="2">
        <f>IF(Z281=1,"已停止",IF(T281&gt;=M282,"已下單","資金不足略過"))</f>
        <v/>
      </c>
      <c r="O282" s="16">
        <f>IF(N282="已下單",M282*資金模擬!$B$7,0)</f>
        <v/>
      </c>
      <c r="P282" s="4" t="n"/>
      <c r="Q282" s="10" t="n">
        <v>0</v>
      </c>
      <c r="R282" s="10">
        <f>R281+Q282</f>
        <v/>
      </c>
      <c r="S282" s="16">
        <f>S281+IF(N282="已下單",M282,0)</f>
        <v/>
      </c>
      <c r="T282" s="16">
        <f>R282-S282</f>
        <v/>
      </c>
      <c r="U282" s="2">
        <f>U281+IF(N282="已下單",1,0)</f>
        <v/>
      </c>
      <c r="V282" s="16">
        <f>IF(資金模擬!$B$9=2,MAX(R282,0),MAX(V281,FLOOR(MAX(R282,0),資金模擬!$B$6)))</f>
        <v/>
      </c>
      <c r="W282" s="10">
        <f>MAX(W281,R282)</f>
        <v/>
      </c>
      <c r="X282" s="4">
        <f>IF(W282&gt;0,R282/W282-1,-1)</f>
        <v/>
      </c>
      <c r="Y282" s="16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46275.04166666666</v>
      </c>
      <c r="C283" s="2" t="inlineStr">
        <is>
          <t>進場</t>
        </is>
      </c>
      <c r="D283" s="2" t="n">
        <v>143</v>
      </c>
      <c r="E283" s="2" t="inlineStr">
        <is>
          <t>AKE_USDT_PERP</t>
        </is>
      </c>
      <c r="F283" s="2" t="inlineStr">
        <is>
          <t>做空</t>
        </is>
      </c>
      <c r="G283" s="17" t="n">
        <v>0.0151607</v>
      </c>
      <c r="H283" s="17" t="n">
        <v>0.014705879</v>
      </c>
      <c r="I283" s="17" t="n">
        <v>0.015918735</v>
      </c>
      <c r="J283" s="17" t="n"/>
      <c r="K283" s="2" t="n"/>
      <c r="L283" s="5" t="n"/>
      <c r="M283" s="16">
        <f>資金模擬!$B$5*V282</f>
        <v/>
      </c>
      <c r="N283" s="2">
        <f>IF(Z282=1,"已停止",IF(T282&gt;=M283,"已下單","資金不足略過"))</f>
        <v/>
      </c>
      <c r="O283" s="16">
        <f>IF(N283="已下單",M283*資金模擬!$B$7,0)</f>
        <v/>
      </c>
      <c r="P283" s="4" t="n"/>
      <c r="Q283" s="10" t="n">
        <v>0</v>
      </c>
      <c r="R283" s="10">
        <f>R282+Q283</f>
        <v/>
      </c>
      <c r="S283" s="16">
        <f>S282+IF(N283="已下單",M283,0)</f>
        <v/>
      </c>
      <c r="T283" s="16">
        <f>R283-S283</f>
        <v/>
      </c>
      <c r="U283" s="2">
        <f>U282+IF(N283="已下單",1,0)</f>
        <v/>
      </c>
      <c r="V283" s="16">
        <f>IF(資金模擬!$B$9=2,MAX(R283,0),MAX(V282,FLOOR(MAX(R283,0),資金模擬!$B$6)))</f>
        <v/>
      </c>
      <c r="W283" s="10">
        <f>MAX(W282,R283)</f>
        <v/>
      </c>
      <c r="X283" s="4">
        <f>IF(W283&gt;0,R283/W283-1,-1)</f>
        <v/>
      </c>
      <c r="Y283" s="16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46275.04166666666</v>
      </c>
      <c r="C284" s="2" t="inlineStr">
        <is>
          <t>進場</t>
        </is>
      </c>
      <c r="D284" s="2" t="n">
        <v>144</v>
      </c>
      <c r="E284" s="2" t="inlineStr">
        <is>
          <t>PUMP_USDT_PERP</t>
        </is>
      </c>
      <c r="F284" s="2" t="inlineStr">
        <is>
          <t>做多</t>
        </is>
      </c>
      <c r="G284" s="17" t="n">
        <v>0.004769</v>
      </c>
      <c r="H284" s="17" t="n">
        <v>0.00491207</v>
      </c>
      <c r="I284" s="17" t="n">
        <v>0.00453055</v>
      </c>
      <c r="J284" s="17" t="n"/>
      <c r="K284" s="2" t="n"/>
      <c r="L284" s="5" t="n"/>
      <c r="M284" s="16">
        <f>資金模擬!$B$5*V283</f>
        <v/>
      </c>
      <c r="N284" s="2">
        <f>IF(Z283=1,"已停止",IF(T283&gt;=M284,"已下單","資金不足略過"))</f>
        <v/>
      </c>
      <c r="O284" s="16">
        <f>IF(N284="已下單",M284*資金模擬!$B$7,0)</f>
        <v/>
      </c>
      <c r="P284" s="4" t="n"/>
      <c r="Q284" s="10" t="n">
        <v>0</v>
      </c>
      <c r="R284" s="10">
        <f>R283+Q284</f>
        <v/>
      </c>
      <c r="S284" s="16">
        <f>S283+IF(N284="已下單",M284,0)</f>
        <v/>
      </c>
      <c r="T284" s="16">
        <f>R284-S284</f>
        <v/>
      </c>
      <c r="U284" s="2">
        <f>U283+IF(N284="已下單",1,0)</f>
        <v/>
      </c>
      <c r="V284" s="16">
        <f>IF(資金模擬!$B$9=2,MAX(R284,0),MAX(V283,FLOOR(MAX(R284,0),資金模擬!$B$6)))</f>
        <v/>
      </c>
      <c r="W284" s="10">
        <f>MAX(W283,R284)</f>
        <v/>
      </c>
      <c r="X284" s="4">
        <f>IF(W284&gt;0,R284/W284-1,-1)</f>
        <v/>
      </c>
      <c r="Y284" s="16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46275.08333333334</v>
      </c>
      <c r="C285" s="2" t="inlineStr">
        <is>
          <t>進場</t>
        </is>
      </c>
      <c r="D285" s="2" t="n">
        <v>145</v>
      </c>
      <c r="E285" s="2" t="inlineStr">
        <is>
          <t>RAY_USDT_PERP</t>
        </is>
      </c>
      <c r="F285" s="2" t="inlineStr">
        <is>
          <t>做多</t>
        </is>
      </c>
      <c r="G285" s="17" t="n">
        <v>1.365</v>
      </c>
      <c r="H285" s="17" t="n">
        <v>1.40595</v>
      </c>
      <c r="I285" s="17" t="n">
        <v>1.29675</v>
      </c>
      <c r="J285" s="17" t="n"/>
      <c r="K285" s="2" t="n"/>
      <c r="L285" s="5" t="n"/>
      <c r="M285" s="16">
        <f>資金模擬!$B$5*V284</f>
        <v/>
      </c>
      <c r="N285" s="2">
        <f>IF(Z284=1,"已停止",IF(T284&gt;=M285,"已下單","資金不足略過"))</f>
        <v/>
      </c>
      <c r="O285" s="16">
        <f>IF(N285="已下單",M285*資金模擬!$B$7,0)</f>
        <v/>
      </c>
      <c r="P285" s="4" t="n"/>
      <c r="Q285" s="10" t="n">
        <v>0</v>
      </c>
      <c r="R285" s="10">
        <f>R284+Q285</f>
        <v/>
      </c>
      <c r="S285" s="16">
        <f>S284+IF(N285="已下單",M285,0)</f>
        <v/>
      </c>
      <c r="T285" s="16">
        <f>R285-S285</f>
        <v/>
      </c>
      <c r="U285" s="2">
        <f>U284+IF(N285="已下單",1,0)</f>
        <v/>
      </c>
      <c r="V285" s="16">
        <f>IF(資金模擬!$B$9=2,MAX(R285,0),MAX(V284,FLOOR(MAX(R285,0),資金模擬!$B$6)))</f>
        <v/>
      </c>
      <c r="W285" s="10">
        <f>MAX(W284,R285)</f>
        <v/>
      </c>
      <c r="X285" s="4">
        <f>IF(W285&gt;0,R285/W285-1,-1)</f>
        <v/>
      </c>
      <c r="Y285" s="16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46275.16666666666</v>
      </c>
      <c r="C286" s="2" t="inlineStr">
        <is>
          <t>出場</t>
        </is>
      </c>
      <c r="D286" s="2" t="n">
        <v>144</v>
      </c>
      <c r="E286" s="2" t="inlineStr">
        <is>
          <t>PUMP_USDT_PERP</t>
        </is>
      </c>
      <c r="F286" s="2" t="inlineStr">
        <is>
          <t>做多</t>
        </is>
      </c>
      <c r="G286" s="17" t="n">
        <v>0.004769</v>
      </c>
      <c r="H286" s="17" t="n">
        <v>0.00491207</v>
      </c>
      <c r="I286" s="17" t="n">
        <v>0.00453055</v>
      </c>
      <c r="J286" s="17" t="n">
        <v>0.00453055</v>
      </c>
      <c r="K286" s="2" t="inlineStr">
        <is>
          <t>止損</t>
        </is>
      </c>
      <c r="L286" s="5">
        <f>交易明細!K145</f>
        <v/>
      </c>
      <c r="M286" s="16">
        <f>M284</f>
        <v/>
      </c>
      <c r="N286" s="2">
        <f>N284</f>
        <v/>
      </c>
      <c r="O286" s="16">
        <f>O284</f>
        <v/>
      </c>
      <c r="P286" s="4">
        <f>交易明細!L145</f>
        <v/>
      </c>
      <c r="Q286" s="10">
        <f>IF(N286="已下單",O286*P286,0)</f>
        <v/>
      </c>
      <c r="R286" s="10">
        <f>R285+Q286</f>
        <v/>
      </c>
      <c r="S286" s="16">
        <f>S285-IF(N286="已下單",M286,0)</f>
        <v/>
      </c>
      <c r="T286" s="16">
        <f>R286-S286</f>
        <v/>
      </c>
      <c r="U286" s="2">
        <f>U285-IF(N286="已下單",1,0)</f>
        <v/>
      </c>
      <c r="V286" s="16">
        <f>IF(資金模擬!$B$9=2,MAX(R286,0),MAX(V285,FLOOR(MAX(R286,0),資金模擬!$B$6)))</f>
        <v/>
      </c>
      <c r="W286" s="10">
        <f>MAX(W285,R286)</f>
        <v/>
      </c>
      <c r="X286" s="4">
        <f>IF(W286&gt;0,R286/W286-1,-1)</f>
        <v/>
      </c>
      <c r="Y286" s="16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46275.16666666666</v>
      </c>
      <c r="C287" s="2" t="inlineStr">
        <is>
          <t>出場</t>
        </is>
      </c>
      <c r="D287" s="2" t="n">
        <v>145</v>
      </c>
      <c r="E287" s="2" t="inlineStr">
        <is>
          <t>RAY_USDT_PERP</t>
        </is>
      </c>
      <c r="F287" s="2" t="inlineStr">
        <is>
          <t>做多</t>
        </is>
      </c>
      <c r="G287" s="17" t="n">
        <v>1.365</v>
      </c>
      <c r="H287" s="17" t="n">
        <v>1.40595</v>
      </c>
      <c r="I287" s="17" t="n">
        <v>1.29675</v>
      </c>
      <c r="J287" s="17" t="n">
        <v>1.29675</v>
      </c>
      <c r="K287" s="2" t="inlineStr">
        <is>
          <t>止損</t>
        </is>
      </c>
      <c r="L287" s="5">
        <f>交易明細!K146</f>
        <v/>
      </c>
      <c r="M287" s="16">
        <f>M285</f>
        <v/>
      </c>
      <c r="N287" s="2">
        <f>N285</f>
        <v/>
      </c>
      <c r="O287" s="16">
        <f>O285</f>
        <v/>
      </c>
      <c r="P287" s="4">
        <f>交易明細!L146</f>
        <v/>
      </c>
      <c r="Q287" s="10">
        <f>IF(N287="已下單",O287*P287,0)</f>
        <v/>
      </c>
      <c r="R287" s="10">
        <f>R286+Q287</f>
        <v/>
      </c>
      <c r="S287" s="16">
        <f>S286-IF(N287="已下單",M287,0)</f>
        <v/>
      </c>
      <c r="T287" s="16">
        <f>R287-S287</f>
        <v/>
      </c>
      <c r="U287" s="2">
        <f>U286-IF(N287="已下單",1,0)</f>
        <v/>
      </c>
      <c r="V287" s="16">
        <f>IF(資金模擬!$B$9=2,MAX(R287,0),MAX(V286,FLOOR(MAX(R287,0),資金模擬!$B$6)))</f>
        <v/>
      </c>
      <c r="W287" s="10">
        <f>MAX(W286,R287)</f>
        <v/>
      </c>
      <c r="X287" s="4">
        <f>IF(W287&gt;0,R287/W287-1,-1)</f>
        <v/>
      </c>
      <c r="Y287" s="16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46275.25</v>
      </c>
      <c r="C288" s="2" t="inlineStr">
        <is>
          <t>出場</t>
        </is>
      </c>
      <c r="D288" s="2" t="n">
        <v>129</v>
      </c>
      <c r="E288" s="2" t="inlineStr">
        <is>
          <t>DASH_USDT_PERP</t>
        </is>
      </c>
      <c r="F288" s="2" t="inlineStr">
        <is>
          <t>做多</t>
        </is>
      </c>
      <c r="G288" s="17" t="n">
        <v>64.79000000000001</v>
      </c>
      <c r="H288" s="17" t="n">
        <v>66.73370000000001</v>
      </c>
      <c r="I288" s="17" t="n">
        <v>61.5505</v>
      </c>
      <c r="J288" s="17" t="n">
        <v>61.5505</v>
      </c>
      <c r="K288" s="2" t="inlineStr">
        <is>
          <t>止損</t>
        </is>
      </c>
      <c r="L288" s="5">
        <f>交易明細!K130</f>
        <v/>
      </c>
      <c r="M288" s="16">
        <f>M254</f>
        <v/>
      </c>
      <c r="N288" s="2">
        <f>N254</f>
        <v/>
      </c>
      <c r="O288" s="16">
        <f>O254</f>
        <v/>
      </c>
      <c r="P288" s="4">
        <f>交易明細!L130</f>
        <v/>
      </c>
      <c r="Q288" s="10">
        <f>IF(N288="已下單",O288*P288,0)</f>
        <v/>
      </c>
      <c r="R288" s="10">
        <f>R287+Q288</f>
        <v/>
      </c>
      <c r="S288" s="16">
        <f>S287-IF(N288="已下單",M288,0)</f>
        <v/>
      </c>
      <c r="T288" s="16">
        <f>R288-S288</f>
        <v/>
      </c>
      <c r="U288" s="2">
        <f>U287-IF(N288="已下單",1,0)</f>
        <v/>
      </c>
      <c r="V288" s="16">
        <f>IF(資金模擬!$B$9=2,MAX(R288,0),MAX(V287,FLOOR(MAX(R288,0),資金模擬!$B$6)))</f>
        <v/>
      </c>
      <c r="W288" s="10">
        <f>MAX(W287,R288)</f>
        <v/>
      </c>
      <c r="X288" s="4">
        <f>IF(W288&gt;0,R288/W288-1,-1)</f>
        <v/>
      </c>
      <c r="Y288" s="16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46275.25</v>
      </c>
      <c r="C289" s="2" t="inlineStr">
        <is>
          <t>出場</t>
        </is>
      </c>
      <c r="D289" s="2" t="n">
        <v>142</v>
      </c>
      <c r="E289" s="2" t="inlineStr">
        <is>
          <t>ENA_USDT_PERP</t>
        </is>
      </c>
      <c r="F289" s="2" t="inlineStr">
        <is>
          <t>做空</t>
        </is>
      </c>
      <c r="G289" s="17" t="n">
        <v>0.1563</v>
      </c>
      <c r="H289" s="17" t="n">
        <v>0.151611</v>
      </c>
      <c r="I289" s="17" t="n">
        <v>0.164115</v>
      </c>
      <c r="J289" s="17" t="n">
        <v>0.151611</v>
      </c>
      <c r="K289" s="2" t="inlineStr">
        <is>
          <t>止盈</t>
        </is>
      </c>
      <c r="L289" s="5">
        <f>交易明細!K143</f>
        <v/>
      </c>
      <c r="M289" s="16">
        <f>M282</f>
        <v/>
      </c>
      <c r="N289" s="2">
        <f>N282</f>
        <v/>
      </c>
      <c r="O289" s="16">
        <f>O282</f>
        <v/>
      </c>
      <c r="P289" s="4">
        <f>交易明細!L143</f>
        <v/>
      </c>
      <c r="Q289" s="10">
        <f>IF(N289="已下單",O289*P289,0)</f>
        <v/>
      </c>
      <c r="R289" s="10">
        <f>R288+Q289</f>
        <v/>
      </c>
      <c r="S289" s="16">
        <f>S288-IF(N289="已下單",M289,0)</f>
        <v/>
      </c>
      <c r="T289" s="16">
        <f>R289-S289</f>
        <v/>
      </c>
      <c r="U289" s="2">
        <f>U288-IF(N289="已下單",1,0)</f>
        <v/>
      </c>
      <c r="V289" s="16">
        <f>IF(資金模擬!$B$9=2,MAX(R289,0),MAX(V288,FLOOR(MAX(R289,0),資金模擬!$B$6)))</f>
        <v/>
      </c>
      <c r="W289" s="10">
        <f>MAX(W288,R289)</f>
        <v/>
      </c>
      <c r="X289" s="4">
        <f>IF(W289&gt;0,R289/W289-1,-1)</f>
        <v/>
      </c>
      <c r="Y289" s="16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46275.29166666666</v>
      </c>
      <c r="C290" s="2" t="inlineStr">
        <is>
          <t>出場</t>
        </is>
      </c>
      <c r="D290" s="2" t="n">
        <v>140</v>
      </c>
      <c r="E290" s="2" t="inlineStr">
        <is>
          <t>DOT_USDT_PERP</t>
        </is>
      </c>
      <c r="F290" s="2" t="inlineStr">
        <is>
          <t>做空</t>
        </is>
      </c>
      <c r="G290" s="17" t="n">
        <v>1.132</v>
      </c>
      <c r="H290" s="17" t="n">
        <v>1.09804</v>
      </c>
      <c r="I290" s="17" t="n">
        <v>1.1886</v>
      </c>
      <c r="J290" s="17" t="n">
        <v>1.09804</v>
      </c>
      <c r="K290" s="2" t="inlineStr">
        <is>
          <t>止盈</t>
        </is>
      </c>
      <c r="L290" s="5">
        <f>交易明細!K141</f>
        <v/>
      </c>
      <c r="M290" s="16">
        <f>M277</f>
        <v/>
      </c>
      <c r="N290" s="2">
        <f>N277</f>
        <v/>
      </c>
      <c r="O290" s="16">
        <f>O277</f>
        <v/>
      </c>
      <c r="P290" s="4">
        <f>交易明細!L141</f>
        <v/>
      </c>
      <c r="Q290" s="10">
        <f>IF(N290="已下單",O290*P290,0)</f>
        <v/>
      </c>
      <c r="R290" s="10">
        <f>R289+Q290</f>
        <v/>
      </c>
      <c r="S290" s="16">
        <f>S289-IF(N290="已下單",M290,0)</f>
        <v/>
      </c>
      <c r="T290" s="16">
        <f>R290-S290</f>
        <v/>
      </c>
      <c r="U290" s="2">
        <f>U289-IF(N290="已下單",1,0)</f>
        <v/>
      </c>
      <c r="V290" s="16">
        <f>IF(資金模擬!$B$9=2,MAX(R290,0),MAX(V289,FLOOR(MAX(R290,0),資金模擬!$B$6)))</f>
        <v/>
      </c>
      <c r="W290" s="10">
        <f>MAX(W289,R290)</f>
        <v/>
      </c>
      <c r="X290" s="4">
        <f>IF(W290&gt;0,R290/W290-1,-1)</f>
        <v/>
      </c>
      <c r="Y290" s="16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46275.29166666666</v>
      </c>
      <c r="C291" s="2" t="inlineStr">
        <is>
          <t>出場</t>
        </is>
      </c>
      <c r="D291" s="2" t="n">
        <v>143</v>
      </c>
      <c r="E291" s="2" t="inlineStr">
        <is>
          <t>AKE_USDT_PERP</t>
        </is>
      </c>
      <c r="F291" s="2" t="inlineStr">
        <is>
          <t>做空</t>
        </is>
      </c>
      <c r="G291" s="17" t="n">
        <v>0.0151607</v>
      </c>
      <c r="H291" s="17" t="n">
        <v>0.014705879</v>
      </c>
      <c r="I291" s="17" t="n">
        <v>0.015918735</v>
      </c>
      <c r="J291" s="17" t="n">
        <v>0.014705879</v>
      </c>
      <c r="K291" s="2" t="inlineStr">
        <is>
          <t>止盈</t>
        </is>
      </c>
      <c r="L291" s="5">
        <f>交易明細!K144</f>
        <v/>
      </c>
      <c r="M291" s="16">
        <f>M283</f>
        <v/>
      </c>
      <c r="N291" s="2">
        <f>N283</f>
        <v/>
      </c>
      <c r="O291" s="16">
        <f>O283</f>
        <v/>
      </c>
      <c r="P291" s="4">
        <f>交易明細!L144</f>
        <v/>
      </c>
      <c r="Q291" s="10">
        <f>IF(N291="已下單",O291*P291,0)</f>
        <v/>
      </c>
      <c r="R291" s="10">
        <f>R290+Q291</f>
        <v/>
      </c>
      <c r="S291" s="16">
        <f>S290-IF(N291="已下單",M291,0)</f>
        <v/>
      </c>
      <c r="T291" s="16">
        <f>R291-S291</f>
        <v/>
      </c>
      <c r="U291" s="2">
        <f>U290-IF(N291="已下單",1,0)</f>
        <v/>
      </c>
      <c r="V291" s="16">
        <f>IF(資金模擬!$B$9=2,MAX(R291,0),MAX(V290,FLOOR(MAX(R291,0),資金模擬!$B$6)))</f>
        <v/>
      </c>
      <c r="W291" s="10">
        <f>MAX(W290,R291)</f>
        <v/>
      </c>
      <c r="X291" s="4">
        <f>IF(W291&gt;0,R291/W291-1,-1)</f>
        <v/>
      </c>
      <c r="Y291" s="16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46275.33333333334</v>
      </c>
      <c r="C292" s="2" t="inlineStr">
        <is>
          <t>進場</t>
        </is>
      </c>
      <c r="D292" s="2" t="n">
        <v>146</v>
      </c>
      <c r="E292" s="2" t="inlineStr">
        <is>
          <t>AKE_USDT_PERP</t>
        </is>
      </c>
      <c r="F292" s="2" t="inlineStr">
        <is>
          <t>做多</t>
        </is>
      </c>
      <c r="G292" s="17" t="n">
        <v>0.0160605</v>
      </c>
      <c r="H292" s="17" t="n">
        <v>0.016542315</v>
      </c>
      <c r="I292" s="17" t="n">
        <v>0.015257475</v>
      </c>
      <c r="J292" s="17" t="n"/>
      <c r="K292" s="2" t="n"/>
      <c r="L292" s="5" t="n"/>
      <c r="M292" s="16">
        <f>資金模擬!$B$5*V291</f>
        <v/>
      </c>
      <c r="N292" s="2">
        <f>IF(Z291=1,"已停止",IF(T291&gt;=M292,"已下單","資金不足略過"))</f>
        <v/>
      </c>
      <c r="O292" s="16">
        <f>IF(N292="已下單",M292*資金模擬!$B$7,0)</f>
        <v/>
      </c>
      <c r="P292" s="4" t="n"/>
      <c r="Q292" s="10" t="n">
        <v>0</v>
      </c>
      <c r="R292" s="10">
        <f>R291+Q292</f>
        <v/>
      </c>
      <c r="S292" s="16">
        <f>S291+IF(N292="已下單",M292,0)</f>
        <v/>
      </c>
      <c r="T292" s="16">
        <f>R292-S292</f>
        <v/>
      </c>
      <c r="U292" s="2">
        <f>U291+IF(N292="已下單",1,0)</f>
        <v/>
      </c>
      <c r="V292" s="16">
        <f>IF(資金模擬!$B$9=2,MAX(R292,0),MAX(V291,FLOOR(MAX(R292,0),資金模擬!$B$6)))</f>
        <v/>
      </c>
      <c r="W292" s="10">
        <f>MAX(W291,R292)</f>
        <v/>
      </c>
      <c r="X292" s="4">
        <f>IF(W292&gt;0,R292/W292-1,-1)</f>
        <v/>
      </c>
      <c r="Y292" s="16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46275.45833333334</v>
      </c>
      <c r="C293" s="2" t="inlineStr">
        <is>
          <t>進場</t>
        </is>
      </c>
      <c r="D293" s="2" t="n">
        <v>147</v>
      </c>
      <c r="E293" s="2" t="inlineStr">
        <is>
          <t>KAT_USDT_PERP</t>
        </is>
      </c>
      <c r="F293" s="2" t="inlineStr">
        <is>
          <t>做空</t>
        </is>
      </c>
      <c r="G293" s="17" t="n">
        <v>0.00549</v>
      </c>
      <c r="H293" s="17" t="n">
        <v>0.0053253</v>
      </c>
      <c r="I293" s="17" t="n">
        <v>0.005764500000000001</v>
      </c>
      <c r="J293" s="17" t="n"/>
      <c r="K293" s="2" t="n"/>
      <c r="L293" s="5" t="n"/>
      <c r="M293" s="16">
        <f>資金模擬!$B$5*V292</f>
        <v/>
      </c>
      <c r="N293" s="2">
        <f>IF(Z292=1,"已停止",IF(T292&gt;=M293,"已下單","資金不足略過"))</f>
        <v/>
      </c>
      <c r="O293" s="16">
        <f>IF(N293="已下單",M293*資金模擬!$B$7,0)</f>
        <v/>
      </c>
      <c r="P293" s="4" t="n"/>
      <c r="Q293" s="10" t="n">
        <v>0</v>
      </c>
      <c r="R293" s="10">
        <f>R292+Q293</f>
        <v/>
      </c>
      <c r="S293" s="16">
        <f>S292+IF(N293="已下單",M293,0)</f>
        <v/>
      </c>
      <c r="T293" s="16">
        <f>R293-S293</f>
        <v/>
      </c>
      <c r="U293" s="2">
        <f>U292+IF(N293="已下單",1,0)</f>
        <v/>
      </c>
      <c r="V293" s="16">
        <f>IF(資金模擬!$B$9=2,MAX(R293,0),MAX(V292,FLOOR(MAX(R293,0),資金模擬!$B$6)))</f>
        <v/>
      </c>
      <c r="W293" s="10">
        <f>MAX(W292,R293)</f>
        <v/>
      </c>
      <c r="X293" s="4">
        <f>IF(W293&gt;0,R293/W293-1,-1)</f>
        <v/>
      </c>
      <c r="Y293" s="16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46275.5</v>
      </c>
      <c r="C294" s="2" t="inlineStr">
        <is>
          <t>出場</t>
        </is>
      </c>
      <c r="D294" s="2" t="n">
        <v>146</v>
      </c>
      <c r="E294" s="2" t="inlineStr">
        <is>
          <t>AKE_USDT_PERP</t>
        </is>
      </c>
      <c r="F294" s="2" t="inlineStr">
        <is>
          <t>做多</t>
        </is>
      </c>
      <c r="G294" s="17" t="n">
        <v>0.0160605</v>
      </c>
      <c r="H294" s="17" t="n">
        <v>0.016542315</v>
      </c>
      <c r="I294" s="17" t="n">
        <v>0.015257475</v>
      </c>
      <c r="J294" s="17" t="n">
        <v>0.015257475</v>
      </c>
      <c r="K294" s="2" t="inlineStr">
        <is>
          <t>止損</t>
        </is>
      </c>
      <c r="L294" s="5">
        <f>交易明細!K147</f>
        <v/>
      </c>
      <c r="M294" s="16">
        <f>M292</f>
        <v/>
      </c>
      <c r="N294" s="2">
        <f>N292</f>
        <v/>
      </c>
      <c r="O294" s="16">
        <f>O292</f>
        <v/>
      </c>
      <c r="P294" s="4">
        <f>交易明細!L147</f>
        <v/>
      </c>
      <c r="Q294" s="10">
        <f>IF(N294="已下單",O294*P294,0)</f>
        <v/>
      </c>
      <c r="R294" s="10">
        <f>R293+Q294</f>
        <v/>
      </c>
      <c r="S294" s="16">
        <f>S293-IF(N294="已下單",M294,0)</f>
        <v/>
      </c>
      <c r="T294" s="16">
        <f>R294-S294</f>
        <v/>
      </c>
      <c r="U294" s="2">
        <f>U293-IF(N294="已下單",1,0)</f>
        <v/>
      </c>
      <c r="V294" s="16">
        <f>IF(資金模擬!$B$9=2,MAX(R294,0),MAX(V293,FLOOR(MAX(R294,0),資金模擬!$B$6)))</f>
        <v/>
      </c>
      <c r="W294" s="10">
        <f>MAX(W293,R294)</f>
        <v/>
      </c>
      <c r="X294" s="4">
        <f>IF(W294&gt;0,R294/W294-1,-1)</f>
        <v/>
      </c>
      <c r="Y294" s="16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46275.54166666666</v>
      </c>
      <c r="C295" s="2" t="inlineStr">
        <is>
          <t>出場</t>
        </is>
      </c>
      <c r="D295" s="2" t="n">
        <v>147</v>
      </c>
      <c r="E295" s="2" t="inlineStr">
        <is>
          <t>KAT_USDT_PERP</t>
        </is>
      </c>
      <c r="F295" s="2" t="inlineStr">
        <is>
          <t>做空</t>
        </is>
      </c>
      <c r="G295" s="17" t="n">
        <v>0.00549</v>
      </c>
      <c r="H295" s="17" t="n">
        <v>0.0053253</v>
      </c>
      <c r="I295" s="17" t="n">
        <v>0.005764500000000001</v>
      </c>
      <c r="J295" s="17" t="n">
        <v>0.0053253</v>
      </c>
      <c r="K295" s="2" t="inlineStr">
        <is>
          <t>止盈</t>
        </is>
      </c>
      <c r="L295" s="5">
        <f>交易明細!K148</f>
        <v/>
      </c>
      <c r="M295" s="16">
        <f>M293</f>
        <v/>
      </c>
      <c r="N295" s="2">
        <f>N293</f>
        <v/>
      </c>
      <c r="O295" s="16">
        <f>O293</f>
        <v/>
      </c>
      <c r="P295" s="4">
        <f>交易明細!L148</f>
        <v/>
      </c>
      <c r="Q295" s="10">
        <f>IF(N295="已下單",O295*P295,0)</f>
        <v/>
      </c>
      <c r="R295" s="10">
        <f>R294+Q295</f>
        <v/>
      </c>
      <c r="S295" s="16">
        <f>S294-IF(N295="已下單",M295,0)</f>
        <v/>
      </c>
      <c r="T295" s="16">
        <f>R295-S295</f>
        <v/>
      </c>
      <c r="U295" s="2">
        <f>U294-IF(N295="已下單",1,0)</f>
        <v/>
      </c>
      <c r="V295" s="16">
        <f>IF(資金模擬!$B$9=2,MAX(R295,0),MAX(V294,FLOOR(MAX(R295,0),資金模擬!$B$6)))</f>
        <v/>
      </c>
      <c r="W295" s="10">
        <f>MAX(W294,R295)</f>
        <v/>
      </c>
      <c r="X295" s="4">
        <f>IF(W295&gt;0,R295/W295-1,-1)</f>
        <v/>
      </c>
      <c r="Y295" s="16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46275.54166666666</v>
      </c>
      <c r="C296" s="2" t="inlineStr">
        <is>
          <t>進場</t>
        </is>
      </c>
      <c r="D296" s="2" t="n">
        <v>148</v>
      </c>
      <c r="E296" s="2" t="inlineStr">
        <is>
          <t>AKE_USDT_PERP</t>
        </is>
      </c>
      <c r="F296" s="2" t="inlineStr">
        <is>
          <t>做多</t>
        </is>
      </c>
      <c r="G296" s="17" t="n">
        <v>0.0154525</v>
      </c>
      <c r="H296" s="17" t="n">
        <v>0.015916075</v>
      </c>
      <c r="I296" s="17" t="n">
        <v>0.014679875</v>
      </c>
      <c r="J296" s="17" t="n"/>
      <c r="K296" s="2" t="n"/>
      <c r="L296" s="5" t="n"/>
      <c r="M296" s="16">
        <f>資金模擬!$B$5*V295</f>
        <v/>
      </c>
      <c r="N296" s="2">
        <f>IF(Z295=1,"已停止",IF(T295&gt;=M296,"已下單","資金不足略過"))</f>
        <v/>
      </c>
      <c r="O296" s="16">
        <f>IF(N296="已下單",M296*資金模擬!$B$7,0)</f>
        <v/>
      </c>
      <c r="P296" s="4" t="n"/>
      <c r="Q296" s="10" t="n">
        <v>0</v>
      </c>
      <c r="R296" s="10">
        <f>R295+Q296</f>
        <v/>
      </c>
      <c r="S296" s="16">
        <f>S295+IF(N296="已下單",M296,0)</f>
        <v/>
      </c>
      <c r="T296" s="16">
        <f>R296-S296</f>
        <v/>
      </c>
      <c r="U296" s="2">
        <f>U295+IF(N296="已下單",1,0)</f>
        <v/>
      </c>
      <c r="V296" s="16">
        <f>IF(資金模擬!$B$9=2,MAX(R296,0),MAX(V295,FLOOR(MAX(R296,0),資金模擬!$B$6)))</f>
        <v/>
      </c>
      <c r="W296" s="10">
        <f>MAX(W295,R296)</f>
        <v/>
      </c>
      <c r="X296" s="4">
        <f>IF(W296&gt;0,R296/W296-1,-1)</f>
        <v/>
      </c>
      <c r="Y296" s="16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46275.54166666666</v>
      </c>
      <c r="C297" s="2" t="inlineStr">
        <is>
          <t>進場</t>
        </is>
      </c>
      <c r="D297" s="2" t="n">
        <v>149</v>
      </c>
      <c r="E297" s="2" t="inlineStr">
        <is>
          <t>BULLA_USDT_PERP</t>
        </is>
      </c>
      <c r="F297" s="2" t="inlineStr">
        <is>
          <t>做多</t>
        </is>
      </c>
      <c r="G297" s="17" t="n">
        <v>0.08887</v>
      </c>
      <c r="H297" s="17" t="n">
        <v>0.09153610000000001</v>
      </c>
      <c r="I297" s="17" t="n">
        <v>0.0844265</v>
      </c>
      <c r="J297" s="17" t="n"/>
      <c r="K297" s="2" t="n"/>
      <c r="L297" s="5" t="n"/>
      <c r="M297" s="16">
        <f>資金模擬!$B$5*V296</f>
        <v/>
      </c>
      <c r="N297" s="2">
        <f>IF(Z296=1,"已停止",IF(T296&gt;=M297,"已下單","資金不足略過"))</f>
        <v/>
      </c>
      <c r="O297" s="16">
        <f>IF(N297="已下單",M297*資金模擬!$B$7,0)</f>
        <v/>
      </c>
      <c r="P297" s="4" t="n"/>
      <c r="Q297" s="10" t="n">
        <v>0</v>
      </c>
      <c r="R297" s="10">
        <f>R296+Q297</f>
        <v/>
      </c>
      <c r="S297" s="16">
        <f>S296+IF(N297="已下單",M297,0)</f>
        <v/>
      </c>
      <c r="T297" s="16">
        <f>R297-S297</f>
        <v/>
      </c>
      <c r="U297" s="2">
        <f>U296+IF(N297="已下單",1,0)</f>
        <v/>
      </c>
      <c r="V297" s="16">
        <f>IF(資金模擬!$B$9=2,MAX(R297,0),MAX(V296,FLOOR(MAX(R297,0),資金模擬!$B$6)))</f>
        <v/>
      </c>
      <c r="W297" s="10">
        <f>MAX(W296,R297)</f>
        <v/>
      </c>
      <c r="X297" s="4">
        <f>IF(W297&gt;0,R297/W297-1,-1)</f>
        <v/>
      </c>
      <c r="Y297" s="16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46275.54166666666</v>
      </c>
      <c r="C298" s="2" t="inlineStr">
        <is>
          <t>進場</t>
        </is>
      </c>
      <c r="D298" s="2" t="n">
        <v>150</v>
      </c>
      <c r="E298" s="2" t="inlineStr">
        <is>
          <t>RAY_USDT_PERP</t>
        </is>
      </c>
      <c r="F298" s="2" t="inlineStr">
        <is>
          <t>做多</t>
        </is>
      </c>
      <c r="G298" s="17" t="n">
        <v>1.33</v>
      </c>
      <c r="H298" s="17" t="n">
        <v>1.3699</v>
      </c>
      <c r="I298" s="17" t="n">
        <v>1.2635</v>
      </c>
      <c r="J298" s="17" t="n"/>
      <c r="K298" s="2" t="n"/>
      <c r="L298" s="5" t="n"/>
      <c r="M298" s="16">
        <f>資金模擬!$B$5*V297</f>
        <v/>
      </c>
      <c r="N298" s="2">
        <f>IF(Z297=1,"已停止",IF(T297&gt;=M298,"已下單","資金不足略過"))</f>
        <v/>
      </c>
      <c r="O298" s="16">
        <f>IF(N298="已下單",M298*資金模擬!$B$7,0)</f>
        <v/>
      </c>
      <c r="P298" s="4" t="n"/>
      <c r="Q298" s="10" t="n">
        <v>0</v>
      </c>
      <c r="R298" s="10">
        <f>R297+Q298</f>
        <v/>
      </c>
      <c r="S298" s="16">
        <f>S297+IF(N298="已下單",M298,0)</f>
        <v/>
      </c>
      <c r="T298" s="16">
        <f>R298-S298</f>
        <v/>
      </c>
      <c r="U298" s="2">
        <f>U297+IF(N298="已下單",1,0)</f>
        <v/>
      </c>
      <c r="V298" s="16">
        <f>IF(資金模擬!$B$9=2,MAX(R298,0),MAX(V297,FLOOR(MAX(R298,0),資金模擬!$B$6)))</f>
        <v/>
      </c>
      <c r="W298" s="10">
        <f>MAX(W297,R298)</f>
        <v/>
      </c>
      <c r="X298" s="4">
        <f>IF(W298&gt;0,R298/W298-1,-1)</f>
        <v/>
      </c>
      <c r="Y298" s="16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46275.58333333334</v>
      </c>
      <c r="C299" s="2" t="inlineStr">
        <is>
          <t>出場</t>
        </is>
      </c>
      <c r="D299" s="2" t="n">
        <v>149</v>
      </c>
      <c r="E299" s="2" t="inlineStr">
        <is>
          <t>BULLA_USDT_PERP</t>
        </is>
      </c>
      <c r="F299" s="2" t="inlineStr">
        <is>
          <t>做多</t>
        </is>
      </c>
      <c r="G299" s="17" t="n">
        <v>0.08887</v>
      </c>
      <c r="H299" s="17" t="n">
        <v>0.09153610000000001</v>
      </c>
      <c r="I299" s="17" t="n">
        <v>0.0844265</v>
      </c>
      <c r="J299" s="17" t="n">
        <v>0.09153610000000001</v>
      </c>
      <c r="K299" s="2" t="inlineStr">
        <is>
          <t>止盈</t>
        </is>
      </c>
      <c r="L299" s="5">
        <f>交易明細!K150</f>
        <v/>
      </c>
      <c r="M299" s="16">
        <f>M297</f>
        <v/>
      </c>
      <c r="N299" s="2">
        <f>N297</f>
        <v/>
      </c>
      <c r="O299" s="16">
        <f>O297</f>
        <v/>
      </c>
      <c r="P299" s="4">
        <f>交易明細!L150</f>
        <v/>
      </c>
      <c r="Q299" s="10">
        <f>IF(N299="已下單",O299*P299,0)</f>
        <v/>
      </c>
      <c r="R299" s="10">
        <f>R298+Q299</f>
        <v/>
      </c>
      <c r="S299" s="16">
        <f>S298-IF(N299="已下單",M299,0)</f>
        <v/>
      </c>
      <c r="T299" s="16">
        <f>R299-S299</f>
        <v/>
      </c>
      <c r="U299" s="2">
        <f>U298-IF(N299="已下單",1,0)</f>
        <v/>
      </c>
      <c r="V299" s="16">
        <f>IF(資金模擬!$B$9=2,MAX(R299,0),MAX(V298,FLOOR(MAX(R299,0),資金模擬!$B$6)))</f>
        <v/>
      </c>
      <c r="W299" s="10">
        <f>MAX(W298,R299)</f>
        <v/>
      </c>
      <c r="X299" s="4">
        <f>IF(W299&gt;0,R299/W299-1,-1)</f>
        <v/>
      </c>
      <c r="Y299" s="16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46275.58333333334</v>
      </c>
      <c r="C300" s="2" t="inlineStr">
        <is>
          <t>出場</t>
        </is>
      </c>
      <c r="D300" s="2" t="n">
        <v>150</v>
      </c>
      <c r="E300" s="2" t="inlineStr">
        <is>
          <t>RAY_USDT_PERP</t>
        </is>
      </c>
      <c r="F300" s="2" t="inlineStr">
        <is>
          <t>做多</t>
        </is>
      </c>
      <c r="G300" s="17" t="n">
        <v>1.33</v>
      </c>
      <c r="H300" s="17" t="n">
        <v>1.3699</v>
      </c>
      <c r="I300" s="17" t="n">
        <v>1.2635</v>
      </c>
      <c r="J300" s="17" t="n">
        <v>1.3699</v>
      </c>
      <c r="K300" s="2" t="inlineStr">
        <is>
          <t>止盈</t>
        </is>
      </c>
      <c r="L300" s="5">
        <f>交易明細!K151</f>
        <v/>
      </c>
      <c r="M300" s="16">
        <f>M298</f>
        <v/>
      </c>
      <c r="N300" s="2">
        <f>N298</f>
        <v/>
      </c>
      <c r="O300" s="16">
        <f>O298</f>
        <v/>
      </c>
      <c r="P300" s="4">
        <f>交易明細!L151</f>
        <v/>
      </c>
      <c r="Q300" s="10">
        <f>IF(N300="已下單",O300*P300,0)</f>
        <v/>
      </c>
      <c r="R300" s="10">
        <f>R299+Q300</f>
        <v/>
      </c>
      <c r="S300" s="16">
        <f>S299-IF(N300="已下單",M300,0)</f>
        <v/>
      </c>
      <c r="T300" s="16">
        <f>R300-S300</f>
        <v/>
      </c>
      <c r="U300" s="2">
        <f>U299-IF(N300="已下單",1,0)</f>
        <v/>
      </c>
      <c r="V300" s="16">
        <f>IF(資金模擬!$B$9=2,MAX(R300,0),MAX(V299,FLOOR(MAX(R300,0),資金模擬!$B$6)))</f>
        <v/>
      </c>
      <c r="W300" s="10">
        <f>MAX(W299,R300)</f>
        <v/>
      </c>
      <c r="X300" s="4">
        <f>IF(W300&gt;0,R300/W300-1,-1)</f>
        <v/>
      </c>
      <c r="Y300" s="16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46275.625</v>
      </c>
      <c r="C301" s="2" t="inlineStr">
        <is>
          <t>進場</t>
        </is>
      </c>
      <c r="D301" s="2" t="n">
        <v>151</v>
      </c>
      <c r="E301" s="2" t="inlineStr">
        <is>
          <t>VVV_USDT_PERP</t>
        </is>
      </c>
      <c r="F301" s="2" t="inlineStr">
        <is>
          <t>做多</t>
        </is>
      </c>
      <c r="G301" s="17" t="n">
        <v>24.415</v>
      </c>
      <c r="H301" s="17" t="n">
        <v>25.14745</v>
      </c>
      <c r="I301" s="17" t="n">
        <v>23.19425</v>
      </c>
      <c r="J301" s="17" t="n"/>
      <c r="K301" s="2" t="n"/>
      <c r="L301" s="5" t="n"/>
      <c r="M301" s="16">
        <f>資金模擬!$B$5*V300</f>
        <v/>
      </c>
      <c r="N301" s="2">
        <f>IF(Z300=1,"已停止",IF(T300&gt;=M301,"已下單","資金不足略過"))</f>
        <v/>
      </c>
      <c r="O301" s="16">
        <f>IF(N301="已下單",M301*資金模擬!$B$7,0)</f>
        <v/>
      </c>
      <c r="P301" s="4" t="n"/>
      <c r="Q301" s="10" t="n">
        <v>0</v>
      </c>
      <c r="R301" s="10">
        <f>R300+Q301</f>
        <v/>
      </c>
      <c r="S301" s="16">
        <f>S300+IF(N301="已下單",M301,0)</f>
        <v/>
      </c>
      <c r="T301" s="16">
        <f>R301-S301</f>
        <v/>
      </c>
      <c r="U301" s="2">
        <f>U300+IF(N301="已下單",1,0)</f>
        <v/>
      </c>
      <c r="V301" s="16">
        <f>IF(資金模擬!$B$9=2,MAX(R301,0),MAX(V300,FLOOR(MAX(R301,0),資金模擬!$B$6)))</f>
        <v/>
      </c>
      <c r="W301" s="10">
        <f>MAX(W300,R301)</f>
        <v/>
      </c>
      <c r="X301" s="4">
        <f>IF(W301&gt;0,R301/W301-1,-1)</f>
        <v/>
      </c>
      <c r="Y301" s="16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46275.66666666666</v>
      </c>
      <c r="C302" s="2" t="inlineStr">
        <is>
          <t>進場</t>
        </is>
      </c>
      <c r="D302" s="2" t="n">
        <v>152</v>
      </c>
      <c r="E302" s="2" t="inlineStr">
        <is>
          <t>LIT_USDT_PERP</t>
        </is>
      </c>
      <c r="F302" s="2" t="inlineStr">
        <is>
          <t>做空</t>
        </is>
      </c>
      <c r="G302" s="17" t="n">
        <v>4.481</v>
      </c>
      <c r="H302" s="17" t="n">
        <v>4.34657</v>
      </c>
      <c r="I302" s="17" t="n">
        <v>4.70505</v>
      </c>
      <c r="J302" s="17" t="n"/>
      <c r="K302" s="2" t="n"/>
      <c r="L302" s="5" t="n"/>
      <c r="M302" s="16">
        <f>資金模擬!$B$5*V301</f>
        <v/>
      </c>
      <c r="N302" s="2">
        <f>IF(Z301=1,"已停止",IF(T301&gt;=M302,"已下單","資金不足略過"))</f>
        <v/>
      </c>
      <c r="O302" s="16">
        <f>IF(N302="已下單",M302*資金模擬!$B$7,0)</f>
        <v/>
      </c>
      <c r="P302" s="4" t="n"/>
      <c r="Q302" s="10" t="n">
        <v>0</v>
      </c>
      <c r="R302" s="10">
        <f>R301+Q302</f>
        <v/>
      </c>
      <c r="S302" s="16">
        <f>S301+IF(N302="已下單",M302,0)</f>
        <v/>
      </c>
      <c r="T302" s="16">
        <f>R302-S302</f>
        <v/>
      </c>
      <c r="U302" s="2">
        <f>U301+IF(N302="已下單",1,0)</f>
        <v/>
      </c>
      <c r="V302" s="16">
        <f>IF(資金模擬!$B$9=2,MAX(R302,0),MAX(V301,FLOOR(MAX(R302,0),資金模擬!$B$6)))</f>
        <v/>
      </c>
      <c r="W302" s="10">
        <f>MAX(W301,R302)</f>
        <v/>
      </c>
      <c r="X302" s="4">
        <f>IF(W302&gt;0,R302/W302-1,-1)</f>
        <v/>
      </c>
      <c r="Y302" s="16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46275.66666666666</v>
      </c>
      <c r="C303" s="2" t="inlineStr">
        <is>
          <t>進場</t>
        </is>
      </c>
      <c r="D303" s="2" t="n">
        <v>153</v>
      </c>
      <c r="E303" s="2" t="inlineStr">
        <is>
          <t>MARSCOIN_USDT_PERP</t>
        </is>
      </c>
      <c r="F303" s="2" t="inlineStr">
        <is>
          <t>做空</t>
        </is>
      </c>
      <c r="G303" s="17" t="n">
        <v>0.10829</v>
      </c>
      <c r="H303" s="17" t="n">
        <v>0.1050413</v>
      </c>
      <c r="I303" s="17" t="n">
        <v>0.1137045</v>
      </c>
      <c r="J303" s="17" t="n"/>
      <c r="K303" s="2" t="n"/>
      <c r="L303" s="5" t="n"/>
      <c r="M303" s="16">
        <f>資金模擬!$B$5*V302</f>
        <v/>
      </c>
      <c r="N303" s="2">
        <f>IF(Z302=1,"已停止",IF(T302&gt;=M303,"已下單","資金不足略過"))</f>
        <v/>
      </c>
      <c r="O303" s="16">
        <f>IF(N303="已下單",M303*資金模擬!$B$7,0)</f>
        <v/>
      </c>
      <c r="P303" s="4" t="n"/>
      <c r="Q303" s="10" t="n">
        <v>0</v>
      </c>
      <c r="R303" s="10">
        <f>R302+Q303</f>
        <v/>
      </c>
      <c r="S303" s="16">
        <f>S302+IF(N303="已下單",M303,0)</f>
        <v/>
      </c>
      <c r="T303" s="16">
        <f>R303-S303</f>
        <v/>
      </c>
      <c r="U303" s="2">
        <f>U302+IF(N303="已下單",1,0)</f>
        <v/>
      </c>
      <c r="V303" s="16">
        <f>IF(資金模擬!$B$9=2,MAX(R303,0),MAX(V302,FLOOR(MAX(R303,0),資金模擬!$B$6)))</f>
        <v/>
      </c>
      <c r="W303" s="10">
        <f>MAX(W302,R303)</f>
        <v/>
      </c>
      <c r="X303" s="4">
        <f>IF(W303&gt;0,R303/W303-1,-1)</f>
        <v/>
      </c>
      <c r="Y303" s="16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46275.66666666666</v>
      </c>
      <c r="C304" s="2" t="inlineStr">
        <is>
          <t>進場</t>
        </is>
      </c>
      <c r="D304" s="2" t="n">
        <v>154</v>
      </c>
      <c r="E304" s="2" t="inlineStr">
        <is>
          <t>NEAR_USDT_PERP</t>
        </is>
      </c>
      <c r="F304" s="2" t="inlineStr">
        <is>
          <t>做空</t>
        </is>
      </c>
      <c r="G304" s="17" t="n">
        <v>2.419</v>
      </c>
      <c r="H304" s="17" t="n">
        <v>2.34643</v>
      </c>
      <c r="I304" s="17" t="n">
        <v>2.53995</v>
      </c>
      <c r="J304" s="17" t="n"/>
      <c r="K304" s="2" t="n"/>
      <c r="L304" s="5" t="n"/>
      <c r="M304" s="16">
        <f>資金模擬!$B$5*V303</f>
        <v/>
      </c>
      <c r="N304" s="2">
        <f>IF(Z303=1,"已停止",IF(T303&gt;=M304,"已下單","資金不足略過"))</f>
        <v/>
      </c>
      <c r="O304" s="16">
        <f>IF(N304="已下單",M304*資金模擬!$B$7,0)</f>
        <v/>
      </c>
      <c r="P304" s="4" t="n"/>
      <c r="Q304" s="10" t="n">
        <v>0</v>
      </c>
      <c r="R304" s="10">
        <f>R303+Q304</f>
        <v/>
      </c>
      <c r="S304" s="16">
        <f>S303+IF(N304="已下單",M304,0)</f>
        <v/>
      </c>
      <c r="T304" s="16">
        <f>R304-S304</f>
        <v/>
      </c>
      <c r="U304" s="2">
        <f>U303+IF(N304="已下單",1,0)</f>
        <v/>
      </c>
      <c r="V304" s="16">
        <f>IF(資金模擬!$B$9=2,MAX(R304,0),MAX(V303,FLOOR(MAX(R304,0),資金模擬!$B$6)))</f>
        <v/>
      </c>
      <c r="W304" s="10">
        <f>MAX(W303,R304)</f>
        <v/>
      </c>
      <c r="X304" s="4">
        <f>IF(W304&gt;0,R304/W304-1,-1)</f>
        <v/>
      </c>
      <c r="Y304" s="16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46275.66666666666</v>
      </c>
      <c r="C305" s="2" t="inlineStr">
        <is>
          <t>進場</t>
        </is>
      </c>
      <c r="D305" s="2" t="n">
        <v>155</v>
      </c>
      <c r="E305" s="2" t="inlineStr">
        <is>
          <t>PONS_USDT_PERP</t>
        </is>
      </c>
      <c r="F305" s="2" t="inlineStr">
        <is>
          <t>做空</t>
        </is>
      </c>
      <c r="G305" s="17" t="n">
        <v>0.6353</v>
      </c>
      <c r="H305" s="17" t="n">
        <v>0.6162409999999999</v>
      </c>
      <c r="I305" s="17" t="n">
        <v>0.667065</v>
      </c>
      <c r="J305" s="17" t="n"/>
      <c r="K305" s="2" t="n"/>
      <c r="L305" s="5" t="n"/>
      <c r="M305" s="16">
        <f>資金模擬!$B$5*V304</f>
        <v/>
      </c>
      <c r="N305" s="2">
        <f>IF(Z304=1,"已停止",IF(T304&gt;=M305,"已下單","資金不足略過"))</f>
        <v/>
      </c>
      <c r="O305" s="16">
        <f>IF(N305="已下單",M305*資金模擬!$B$7,0)</f>
        <v/>
      </c>
      <c r="P305" s="4" t="n"/>
      <c r="Q305" s="10" t="n">
        <v>0</v>
      </c>
      <c r="R305" s="10">
        <f>R304+Q305</f>
        <v/>
      </c>
      <c r="S305" s="16">
        <f>S304+IF(N305="已下單",M305,0)</f>
        <v/>
      </c>
      <c r="T305" s="16">
        <f>R305-S305</f>
        <v/>
      </c>
      <c r="U305" s="2">
        <f>U304+IF(N305="已下單",1,0)</f>
        <v/>
      </c>
      <c r="V305" s="16">
        <f>IF(資金模擬!$B$9=2,MAX(R305,0),MAX(V304,FLOOR(MAX(R305,0),資金模擬!$B$6)))</f>
        <v/>
      </c>
      <c r="W305" s="10">
        <f>MAX(W304,R305)</f>
        <v/>
      </c>
      <c r="X305" s="4">
        <f>IF(W305&gt;0,R305/W305-1,-1)</f>
        <v/>
      </c>
      <c r="Y305" s="16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46275.70833333334</v>
      </c>
      <c r="C306" s="2" t="inlineStr">
        <is>
          <t>出場</t>
        </is>
      </c>
      <c r="D306" s="2" t="n">
        <v>155</v>
      </c>
      <c r="E306" s="2" t="inlineStr">
        <is>
          <t>PONS_USDT_PERP</t>
        </is>
      </c>
      <c r="F306" s="2" t="inlineStr">
        <is>
          <t>做空</t>
        </is>
      </c>
      <c r="G306" s="17" t="n">
        <v>0.6353</v>
      </c>
      <c r="H306" s="17" t="n">
        <v>0.6162409999999999</v>
      </c>
      <c r="I306" s="17" t="n">
        <v>0.667065</v>
      </c>
      <c r="J306" s="17" t="n">
        <v>0.6162409999999999</v>
      </c>
      <c r="K306" s="2" t="inlineStr">
        <is>
          <t>止盈</t>
        </is>
      </c>
      <c r="L306" s="5">
        <f>交易明細!K156</f>
        <v/>
      </c>
      <c r="M306" s="16">
        <f>M305</f>
        <v/>
      </c>
      <c r="N306" s="2">
        <f>N305</f>
        <v/>
      </c>
      <c r="O306" s="16">
        <f>O305</f>
        <v/>
      </c>
      <c r="P306" s="4">
        <f>交易明細!L156</f>
        <v/>
      </c>
      <c r="Q306" s="10">
        <f>IF(N306="已下單",O306*P306,0)</f>
        <v/>
      </c>
      <c r="R306" s="10">
        <f>R305+Q306</f>
        <v/>
      </c>
      <c r="S306" s="16">
        <f>S305-IF(N306="已下單",M306,0)</f>
        <v/>
      </c>
      <c r="T306" s="16">
        <f>R306-S306</f>
        <v/>
      </c>
      <c r="U306" s="2">
        <f>U305-IF(N306="已下單",1,0)</f>
        <v/>
      </c>
      <c r="V306" s="16">
        <f>IF(資金模擬!$B$9=2,MAX(R306,0),MAX(V305,FLOOR(MAX(R306,0),資金模擬!$B$6)))</f>
        <v/>
      </c>
      <c r="W306" s="10">
        <f>MAX(W305,R306)</f>
        <v/>
      </c>
      <c r="X306" s="4">
        <f>IF(W306&gt;0,R306/W306-1,-1)</f>
        <v/>
      </c>
      <c r="Y306" s="16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46275.75</v>
      </c>
      <c r="C307" s="2" t="inlineStr">
        <is>
          <t>出場</t>
        </is>
      </c>
      <c r="D307" s="2" t="n">
        <v>148</v>
      </c>
      <c r="E307" s="2" t="inlineStr">
        <is>
          <t>AKE_USDT_PERP</t>
        </is>
      </c>
      <c r="F307" s="2" t="inlineStr">
        <is>
          <t>做多</t>
        </is>
      </c>
      <c r="G307" s="17" t="n">
        <v>0.0154525</v>
      </c>
      <c r="H307" s="17" t="n">
        <v>0.015916075</v>
      </c>
      <c r="I307" s="17" t="n">
        <v>0.014679875</v>
      </c>
      <c r="J307" s="17" t="n">
        <v>0.015916075</v>
      </c>
      <c r="K307" s="2" t="inlineStr">
        <is>
          <t>止盈</t>
        </is>
      </c>
      <c r="L307" s="5">
        <f>交易明細!K149</f>
        <v/>
      </c>
      <c r="M307" s="16">
        <f>M296</f>
        <v/>
      </c>
      <c r="N307" s="2">
        <f>N296</f>
        <v/>
      </c>
      <c r="O307" s="16">
        <f>O296</f>
        <v/>
      </c>
      <c r="P307" s="4">
        <f>交易明細!L149</f>
        <v/>
      </c>
      <c r="Q307" s="10">
        <f>IF(N307="已下單",O307*P307,0)</f>
        <v/>
      </c>
      <c r="R307" s="10">
        <f>R306+Q307</f>
        <v/>
      </c>
      <c r="S307" s="16">
        <f>S306-IF(N307="已下單",M307,0)</f>
        <v/>
      </c>
      <c r="T307" s="16">
        <f>R307-S307</f>
        <v/>
      </c>
      <c r="U307" s="2">
        <f>U306-IF(N307="已下單",1,0)</f>
        <v/>
      </c>
      <c r="V307" s="16">
        <f>IF(資金模擬!$B$9=2,MAX(R307,0),MAX(V306,FLOOR(MAX(R307,0),資金模擬!$B$6)))</f>
        <v/>
      </c>
      <c r="W307" s="10">
        <f>MAX(W306,R307)</f>
        <v/>
      </c>
      <c r="X307" s="4">
        <f>IF(W307&gt;0,R307/W307-1,-1)</f>
        <v/>
      </c>
      <c r="Y307" s="16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46275.75</v>
      </c>
      <c r="C308" s="2" t="inlineStr">
        <is>
          <t>出場</t>
        </is>
      </c>
      <c r="D308" s="2" t="n">
        <v>153</v>
      </c>
      <c r="E308" s="2" t="inlineStr">
        <is>
          <t>MARSCOIN_USDT_PERP</t>
        </is>
      </c>
      <c r="F308" s="2" t="inlineStr">
        <is>
          <t>做空</t>
        </is>
      </c>
      <c r="G308" s="17" t="n">
        <v>0.10829</v>
      </c>
      <c r="H308" s="17" t="n">
        <v>0.1050413</v>
      </c>
      <c r="I308" s="17" t="n">
        <v>0.1137045</v>
      </c>
      <c r="J308" s="17" t="n">
        <v>0.1050413</v>
      </c>
      <c r="K308" s="2" t="inlineStr">
        <is>
          <t>止盈</t>
        </is>
      </c>
      <c r="L308" s="5">
        <f>交易明細!K154</f>
        <v/>
      </c>
      <c r="M308" s="16">
        <f>M303</f>
        <v/>
      </c>
      <c r="N308" s="2">
        <f>N303</f>
        <v/>
      </c>
      <c r="O308" s="16">
        <f>O303</f>
        <v/>
      </c>
      <c r="P308" s="4">
        <f>交易明細!L154</f>
        <v/>
      </c>
      <c r="Q308" s="10">
        <f>IF(N308="已下單",O308*P308,0)</f>
        <v/>
      </c>
      <c r="R308" s="10">
        <f>R307+Q308</f>
        <v/>
      </c>
      <c r="S308" s="16">
        <f>S307-IF(N308="已下單",M308,0)</f>
        <v/>
      </c>
      <c r="T308" s="16">
        <f>R308-S308</f>
        <v/>
      </c>
      <c r="U308" s="2">
        <f>U307-IF(N308="已下單",1,0)</f>
        <v/>
      </c>
      <c r="V308" s="16">
        <f>IF(資金模擬!$B$9=2,MAX(R308,0),MAX(V307,FLOOR(MAX(R308,0),資金模擬!$B$6)))</f>
        <v/>
      </c>
      <c r="W308" s="10">
        <f>MAX(W307,R308)</f>
        <v/>
      </c>
      <c r="X308" s="4">
        <f>IF(W308&gt;0,R308/W308-1,-1)</f>
        <v/>
      </c>
      <c r="Y308" s="16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46275.75</v>
      </c>
      <c r="C309" s="2" t="inlineStr">
        <is>
          <t>進場</t>
        </is>
      </c>
      <c r="D309" s="2" t="n">
        <v>156</v>
      </c>
      <c r="E309" s="2" t="inlineStr">
        <is>
          <t>USELESS_USDT_PERP</t>
        </is>
      </c>
      <c r="F309" s="2" t="inlineStr">
        <is>
          <t>做空</t>
        </is>
      </c>
      <c r="G309" s="17" t="n">
        <v>0.23822</v>
      </c>
      <c r="H309" s="17" t="n">
        <v>0.2310734</v>
      </c>
      <c r="I309" s="17" t="n">
        <v>0.250131</v>
      </c>
      <c r="J309" s="17" t="n"/>
      <c r="K309" s="2" t="n"/>
      <c r="L309" s="5" t="n"/>
      <c r="M309" s="16">
        <f>資金模擬!$B$5*V308</f>
        <v/>
      </c>
      <c r="N309" s="2">
        <f>IF(Z308=1,"已停止",IF(T308&gt;=M309,"已下單","資金不足略過"))</f>
        <v/>
      </c>
      <c r="O309" s="16">
        <f>IF(N309="已下單",M309*資金模擬!$B$7,0)</f>
        <v/>
      </c>
      <c r="P309" s="4" t="n"/>
      <c r="Q309" s="10" t="n">
        <v>0</v>
      </c>
      <c r="R309" s="10">
        <f>R308+Q309</f>
        <v/>
      </c>
      <c r="S309" s="16">
        <f>S308+IF(N309="已下單",M309,0)</f>
        <v/>
      </c>
      <c r="T309" s="16">
        <f>R309-S309</f>
        <v/>
      </c>
      <c r="U309" s="2">
        <f>U308+IF(N309="已下單",1,0)</f>
        <v/>
      </c>
      <c r="V309" s="16">
        <f>IF(資金模擬!$B$9=2,MAX(R309,0),MAX(V308,FLOOR(MAX(R309,0),資金模擬!$B$6)))</f>
        <v/>
      </c>
      <c r="W309" s="10">
        <f>MAX(W308,R309)</f>
        <v/>
      </c>
      <c r="X309" s="4">
        <f>IF(W309&gt;0,R309/W309-1,-1)</f>
        <v/>
      </c>
      <c r="Y309" s="16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46275.83333333334</v>
      </c>
      <c r="C310" s="2" t="inlineStr">
        <is>
          <t>出場</t>
        </is>
      </c>
      <c r="D310" s="2" t="n">
        <v>156</v>
      </c>
      <c r="E310" s="2" t="inlineStr">
        <is>
          <t>USELESS_USDT_PERP</t>
        </is>
      </c>
      <c r="F310" s="2" t="inlineStr">
        <is>
          <t>做空</t>
        </is>
      </c>
      <c r="G310" s="17" t="n">
        <v>0.23822</v>
      </c>
      <c r="H310" s="17" t="n">
        <v>0.2310734</v>
      </c>
      <c r="I310" s="17" t="n">
        <v>0.250131</v>
      </c>
      <c r="J310" s="17" t="n">
        <v>0.250131</v>
      </c>
      <c r="K310" s="2" t="inlineStr">
        <is>
          <t>止損</t>
        </is>
      </c>
      <c r="L310" s="5">
        <f>交易明細!K157</f>
        <v/>
      </c>
      <c r="M310" s="16">
        <f>M309</f>
        <v/>
      </c>
      <c r="N310" s="2">
        <f>N309</f>
        <v/>
      </c>
      <c r="O310" s="16">
        <f>O309</f>
        <v/>
      </c>
      <c r="P310" s="4">
        <f>交易明細!L157</f>
        <v/>
      </c>
      <c r="Q310" s="10">
        <f>IF(N310="已下單",O310*P310,0)</f>
        <v/>
      </c>
      <c r="R310" s="10">
        <f>R309+Q310</f>
        <v/>
      </c>
      <c r="S310" s="16">
        <f>S309-IF(N310="已下單",M310,0)</f>
        <v/>
      </c>
      <c r="T310" s="16">
        <f>R310-S310</f>
        <v/>
      </c>
      <c r="U310" s="2">
        <f>U309-IF(N310="已下單",1,0)</f>
        <v/>
      </c>
      <c r="V310" s="16">
        <f>IF(資金模擬!$B$9=2,MAX(R310,0),MAX(V309,FLOOR(MAX(R310,0),資金模擬!$B$6)))</f>
        <v/>
      </c>
      <c r="W310" s="10">
        <f>MAX(W309,R310)</f>
        <v/>
      </c>
      <c r="X310" s="4">
        <f>IF(W310&gt;0,R310/W310-1,-1)</f>
        <v/>
      </c>
      <c r="Y310" s="16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46275.875</v>
      </c>
      <c r="C311" s="2" t="inlineStr">
        <is>
          <t>出場</t>
        </is>
      </c>
      <c r="D311" s="2" t="n">
        <v>96</v>
      </c>
      <c r="E311" s="2" t="inlineStr">
        <is>
          <t>TAO_USDT_PERP</t>
        </is>
      </c>
      <c r="F311" s="2" t="inlineStr">
        <is>
          <t>做空</t>
        </is>
      </c>
      <c r="G311" s="17" t="n">
        <v>256.91</v>
      </c>
      <c r="H311" s="17" t="n">
        <v>249.2027</v>
      </c>
      <c r="I311" s="17" t="n">
        <v>269.7555</v>
      </c>
      <c r="J311" s="17" t="n">
        <v>249.2027</v>
      </c>
      <c r="K311" s="2" t="inlineStr">
        <is>
          <t>止盈</t>
        </is>
      </c>
      <c r="L311" s="5">
        <f>交易明細!K97</f>
        <v/>
      </c>
      <c r="M311" s="16">
        <f>M190</f>
        <v/>
      </c>
      <c r="N311" s="2">
        <f>N190</f>
        <v/>
      </c>
      <c r="O311" s="16">
        <f>O190</f>
        <v/>
      </c>
      <c r="P311" s="4">
        <f>交易明細!L97</f>
        <v/>
      </c>
      <c r="Q311" s="10">
        <f>IF(N311="已下單",O311*P311,0)</f>
        <v/>
      </c>
      <c r="R311" s="10">
        <f>R310+Q311</f>
        <v/>
      </c>
      <c r="S311" s="16">
        <f>S310-IF(N311="已下單",M311,0)</f>
        <v/>
      </c>
      <c r="T311" s="16">
        <f>R311-S311</f>
        <v/>
      </c>
      <c r="U311" s="2">
        <f>U310-IF(N311="已下單",1,0)</f>
        <v/>
      </c>
      <c r="V311" s="16">
        <f>IF(資金模擬!$B$9=2,MAX(R311,0),MAX(V310,FLOOR(MAX(R311,0),資金模擬!$B$6)))</f>
        <v/>
      </c>
      <c r="W311" s="10">
        <f>MAX(W310,R311)</f>
        <v/>
      </c>
      <c r="X311" s="4">
        <f>IF(W311&gt;0,R311/W311-1,-1)</f>
        <v/>
      </c>
      <c r="Y311" s="16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46275.875</v>
      </c>
      <c r="C312" s="2" t="inlineStr">
        <is>
          <t>出場</t>
        </is>
      </c>
      <c r="D312" s="2" t="n">
        <v>151</v>
      </c>
      <c r="E312" s="2" t="inlineStr">
        <is>
          <t>VVV_USDT_PERP</t>
        </is>
      </c>
      <c r="F312" s="2" t="inlineStr">
        <is>
          <t>做多</t>
        </is>
      </c>
      <c r="G312" s="17" t="n">
        <v>24.415</v>
      </c>
      <c r="H312" s="17" t="n">
        <v>25.14745</v>
      </c>
      <c r="I312" s="17" t="n">
        <v>23.19425</v>
      </c>
      <c r="J312" s="17" t="n">
        <v>23.19425</v>
      </c>
      <c r="K312" s="2" t="inlineStr">
        <is>
          <t>止損</t>
        </is>
      </c>
      <c r="L312" s="5">
        <f>交易明細!K152</f>
        <v/>
      </c>
      <c r="M312" s="16">
        <f>M301</f>
        <v/>
      </c>
      <c r="N312" s="2">
        <f>N301</f>
        <v/>
      </c>
      <c r="O312" s="16">
        <f>O301</f>
        <v/>
      </c>
      <c r="P312" s="4">
        <f>交易明細!L152</f>
        <v/>
      </c>
      <c r="Q312" s="10">
        <f>IF(N312="已下單",O312*P312,0)</f>
        <v/>
      </c>
      <c r="R312" s="10">
        <f>R311+Q312</f>
        <v/>
      </c>
      <c r="S312" s="16">
        <f>S311-IF(N312="已下單",M312,0)</f>
        <v/>
      </c>
      <c r="T312" s="16">
        <f>R312-S312</f>
        <v/>
      </c>
      <c r="U312" s="2">
        <f>U311-IF(N312="已下單",1,0)</f>
        <v/>
      </c>
      <c r="V312" s="16">
        <f>IF(資金模擬!$B$9=2,MAX(R312,0),MAX(V311,FLOOR(MAX(R312,0),資金模擬!$B$6)))</f>
        <v/>
      </c>
      <c r="W312" s="10">
        <f>MAX(W311,R312)</f>
        <v/>
      </c>
      <c r="X312" s="4">
        <f>IF(W312&gt;0,R312/W312-1,-1)</f>
        <v/>
      </c>
      <c r="Y312" s="16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46275.875</v>
      </c>
      <c r="C313" s="2" t="inlineStr">
        <is>
          <t>進場</t>
        </is>
      </c>
      <c r="D313" s="2" t="n">
        <v>157</v>
      </c>
      <c r="E313" s="2" t="inlineStr">
        <is>
          <t>RAY_USDT_PERP</t>
        </is>
      </c>
      <c r="F313" s="2" t="inlineStr">
        <is>
          <t>做空</t>
        </is>
      </c>
      <c r="G313" s="17" t="n">
        <v>1.286</v>
      </c>
      <c r="H313" s="17" t="n">
        <v>1.24742</v>
      </c>
      <c r="I313" s="17" t="n">
        <v>1.3503</v>
      </c>
      <c r="J313" s="17" t="n"/>
      <c r="K313" s="2" t="n"/>
      <c r="L313" s="5" t="n"/>
      <c r="M313" s="16">
        <f>資金模擬!$B$5*V312</f>
        <v/>
      </c>
      <c r="N313" s="2">
        <f>IF(Z312=1,"已停止",IF(T312&gt;=M313,"已下單","資金不足略過"))</f>
        <v/>
      </c>
      <c r="O313" s="16">
        <f>IF(N313="已下單",M313*資金模擬!$B$7,0)</f>
        <v/>
      </c>
      <c r="P313" s="4" t="n"/>
      <c r="Q313" s="10" t="n">
        <v>0</v>
      </c>
      <c r="R313" s="10">
        <f>R312+Q313</f>
        <v/>
      </c>
      <c r="S313" s="16">
        <f>S312+IF(N313="已下單",M313,0)</f>
        <v/>
      </c>
      <c r="T313" s="16">
        <f>R313-S313</f>
        <v/>
      </c>
      <c r="U313" s="2">
        <f>U312+IF(N313="已下單",1,0)</f>
        <v/>
      </c>
      <c r="V313" s="16">
        <f>IF(資金模擬!$B$9=2,MAX(R313,0),MAX(V312,FLOOR(MAX(R313,0),資金模擬!$B$6)))</f>
        <v/>
      </c>
      <c r="W313" s="10">
        <f>MAX(W312,R313)</f>
        <v/>
      </c>
      <c r="X313" s="4">
        <f>IF(W313&gt;0,R313/W313-1,-1)</f>
        <v/>
      </c>
      <c r="Y313" s="16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46275.91666666666</v>
      </c>
      <c r="C314" s="2" t="inlineStr">
        <is>
          <t>進場</t>
        </is>
      </c>
      <c r="D314" s="2" t="n">
        <v>158</v>
      </c>
      <c r="E314" s="2" t="inlineStr">
        <is>
          <t>MARSCOIN_USDT_PERP</t>
        </is>
      </c>
      <c r="F314" s="2" t="inlineStr">
        <is>
          <t>做多</t>
        </is>
      </c>
      <c r="G314" s="17" t="n">
        <v>0.1116</v>
      </c>
      <c r="H314" s="17" t="n">
        <v>0.114948</v>
      </c>
      <c r="I314" s="17" t="n">
        <v>0.10602</v>
      </c>
      <c r="J314" s="17" t="n"/>
      <c r="K314" s="2" t="n"/>
      <c r="L314" s="5" t="n"/>
      <c r="M314" s="16">
        <f>資金模擬!$B$5*V313</f>
        <v/>
      </c>
      <c r="N314" s="2">
        <f>IF(Z313=1,"已停止",IF(T313&gt;=M314,"已下單","資金不足略過"))</f>
        <v/>
      </c>
      <c r="O314" s="16">
        <f>IF(N314="已下單",M314*資金模擬!$B$7,0)</f>
        <v/>
      </c>
      <c r="P314" s="4" t="n"/>
      <c r="Q314" s="10" t="n">
        <v>0</v>
      </c>
      <c r="R314" s="10">
        <f>R313+Q314</f>
        <v/>
      </c>
      <c r="S314" s="16">
        <f>S313+IF(N314="已下單",M314,0)</f>
        <v/>
      </c>
      <c r="T314" s="16">
        <f>R314-S314</f>
        <v/>
      </c>
      <c r="U314" s="2">
        <f>U313+IF(N314="已下單",1,0)</f>
        <v/>
      </c>
      <c r="V314" s="16">
        <f>IF(資金模擬!$B$9=2,MAX(R314,0),MAX(V313,FLOOR(MAX(R314,0),資金模擬!$B$6)))</f>
        <v/>
      </c>
      <c r="W314" s="10">
        <f>MAX(W313,R314)</f>
        <v/>
      </c>
      <c r="X314" s="4">
        <f>IF(W314&gt;0,R314/W314-1,-1)</f>
        <v/>
      </c>
      <c r="Y314" s="16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46275.95833333334</v>
      </c>
      <c r="C315" s="2" t="inlineStr">
        <is>
          <t>出場</t>
        </is>
      </c>
      <c r="D315" s="2" t="n">
        <v>158</v>
      </c>
      <c r="E315" s="2" t="inlineStr">
        <is>
          <t>MARSCOIN_USDT_PERP</t>
        </is>
      </c>
      <c r="F315" s="2" t="inlineStr">
        <is>
          <t>做多</t>
        </is>
      </c>
      <c r="G315" s="17" t="n">
        <v>0.1116</v>
      </c>
      <c r="H315" s="17" t="n">
        <v>0.114948</v>
      </c>
      <c r="I315" s="17" t="n">
        <v>0.10602</v>
      </c>
      <c r="J315" s="17" t="n">
        <v>0.114948</v>
      </c>
      <c r="K315" s="2" t="inlineStr">
        <is>
          <t>止盈</t>
        </is>
      </c>
      <c r="L315" s="5">
        <f>交易明細!K159</f>
        <v/>
      </c>
      <c r="M315" s="16">
        <f>M314</f>
        <v/>
      </c>
      <c r="N315" s="2">
        <f>N314</f>
        <v/>
      </c>
      <c r="O315" s="16">
        <f>O314</f>
        <v/>
      </c>
      <c r="P315" s="4">
        <f>交易明細!L159</f>
        <v/>
      </c>
      <c r="Q315" s="10">
        <f>IF(N315="已下單",O315*P315,0)</f>
        <v/>
      </c>
      <c r="R315" s="10">
        <f>R314+Q315</f>
        <v/>
      </c>
      <c r="S315" s="16">
        <f>S314-IF(N315="已下單",M315,0)</f>
        <v/>
      </c>
      <c r="T315" s="16">
        <f>R315-S315</f>
        <v/>
      </c>
      <c r="U315" s="2">
        <f>U314-IF(N315="已下單",1,0)</f>
        <v/>
      </c>
      <c r="V315" s="16">
        <f>IF(資金模擬!$B$9=2,MAX(R315,0),MAX(V314,FLOOR(MAX(R315,0),資金模擬!$B$6)))</f>
        <v/>
      </c>
      <c r="W315" s="10">
        <f>MAX(W314,R315)</f>
        <v/>
      </c>
      <c r="X315" s="4">
        <f>IF(W315&gt;0,R315/W315-1,-1)</f>
        <v/>
      </c>
      <c r="Y315" s="16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46275.95833333334</v>
      </c>
      <c r="C316" s="2" t="inlineStr">
        <is>
          <t>進場</t>
        </is>
      </c>
      <c r="D316" s="2" t="n">
        <v>159</v>
      </c>
      <c r="E316" s="2" t="inlineStr">
        <is>
          <t>BULLA_USDT_PERP</t>
        </is>
      </c>
      <c r="F316" s="2" t="inlineStr">
        <is>
          <t>做空</t>
        </is>
      </c>
      <c r="G316" s="17" t="n">
        <v>0.07895000000000001</v>
      </c>
      <c r="H316" s="17" t="n">
        <v>0.07658150000000001</v>
      </c>
      <c r="I316" s="17" t="n">
        <v>0.08289750000000001</v>
      </c>
      <c r="J316" s="17" t="n"/>
      <c r="K316" s="2" t="n"/>
      <c r="L316" s="5" t="n"/>
      <c r="M316" s="16">
        <f>資金模擬!$B$5*V315</f>
        <v/>
      </c>
      <c r="N316" s="2">
        <f>IF(Z315=1,"已停止",IF(T315&gt;=M316,"已下單","資金不足略過"))</f>
        <v/>
      </c>
      <c r="O316" s="16">
        <f>IF(N316="已下單",M316*資金模擬!$B$7,0)</f>
        <v/>
      </c>
      <c r="P316" s="4" t="n"/>
      <c r="Q316" s="10" t="n">
        <v>0</v>
      </c>
      <c r="R316" s="10">
        <f>R315+Q316</f>
        <v/>
      </c>
      <c r="S316" s="16">
        <f>S315+IF(N316="已下單",M316,0)</f>
        <v/>
      </c>
      <c r="T316" s="16">
        <f>R316-S316</f>
        <v/>
      </c>
      <c r="U316" s="2">
        <f>U315+IF(N316="已下單",1,0)</f>
        <v/>
      </c>
      <c r="V316" s="16">
        <f>IF(資金模擬!$B$9=2,MAX(R316,0),MAX(V315,FLOOR(MAX(R316,0),資金模擬!$B$6)))</f>
        <v/>
      </c>
      <c r="W316" s="10">
        <f>MAX(W315,R316)</f>
        <v/>
      </c>
      <c r="X316" s="4">
        <f>IF(W316&gt;0,R316/W316-1,-1)</f>
        <v/>
      </c>
      <c r="Y316" s="16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46275.95833333334</v>
      </c>
      <c r="C317" s="2" t="inlineStr">
        <is>
          <t>進場</t>
        </is>
      </c>
      <c r="D317" s="2" t="n">
        <v>160</v>
      </c>
      <c r="E317" s="2" t="inlineStr">
        <is>
          <t>牛来_USDT_PERP</t>
        </is>
      </c>
      <c r="F317" s="2" t="inlineStr">
        <is>
          <t>做多</t>
        </is>
      </c>
      <c r="G317" s="17" t="n">
        <v>0.08391999999999999</v>
      </c>
      <c r="H317" s="17" t="n">
        <v>0.0864376</v>
      </c>
      <c r="I317" s="17" t="n">
        <v>0.07972399999999999</v>
      </c>
      <c r="J317" s="17" t="n"/>
      <c r="K317" s="2" t="n"/>
      <c r="L317" s="5" t="n"/>
      <c r="M317" s="16">
        <f>資金模擬!$B$5*V316</f>
        <v/>
      </c>
      <c r="N317" s="2">
        <f>IF(Z316=1,"已停止",IF(T316&gt;=M317,"已下單","資金不足略過"))</f>
        <v/>
      </c>
      <c r="O317" s="16">
        <f>IF(N317="已下單",M317*資金模擬!$B$7,0)</f>
        <v/>
      </c>
      <c r="P317" s="4" t="n"/>
      <c r="Q317" s="10" t="n">
        <v>0</v>
      </c>
      <c r="R317" s="10">
        <f>R316+Q317</f>
        <v/>
      </c>
      <c r="S317" s="16">
        <f>S316+IF(N317="已下單",M317,0)</f>
        <v/>
      </c>
      <c r="T317" s="16">
        <f>R317-S317</f>
        <v/>
      </c>
      <c r="U317" s="2">
        <f>U316+IF(N317="已下單",1,0)</f>
        <v/>
      </c>
      <c r="V317" s="16">
        <f>IF(資金模擬!$B$9=2,MAX(R317,0),MAX(V316,FLOOR(MAX(R317,0),資金模擬!$B$6)))</f>
        <v/>
      </c>
      <c r="W317" s="10">
        <f>MAX(W316,R317)</f>
        <v/>
      </c>
      <c r="X317" s="4">
        <f>IF(W317&gt;0,R317/W317-1,-1)</f>
        <v/>
      </c>
      <c r="Y317" s="16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46276</v>
      </c>
      <c r="C318" s="2" t="inlineStr">
        <is>
          <t>出場</t>
        </is>
      </c>
      <c r="D318" s="2" t="n">
        <v>160</v>
      </c>
      <c r="E318" s="2" t="inlineStr">
        <is>
          <t>牛来_USDT_PERP</t>
        </is>
      </c>
      <c r="F318" s="2" t="inlineStr">
        <is>
          <t>做多</t>
        </is>
      </c>
      <c r="G318" s="17" t="n">
        <v>0.08391999999999999</v>
      </c>
      <c r="H318" s="17" t="n">
        <v>0.0864376</v>
      </c>
      <c r="I318" s="17" t="n">
        <v>0.07972399999999999</v>
      </c>
      <c r="J318" s="17" t="n">
        <v>0.0864376</v>
      </c>
      <c r="K318" s="2" t="inlineStr">
        <is>
          <t>止盈</t>
        </is>
      </c>
      <c r="L318" s="5">
        <f>交易明細!K161</f>
        <v/>
      </c>
      <c r="M318" s="16">
        <f>M317</f>
        <v/>
      </c>
      <c r="N318" s="2">
        <f>N317</f>
        <v/>
      </c>
      <c r="O318" s="16">
        <f>O317</f>
        <v/>
      </c>
      <c r="P318" s="4">
        <f>交易明細!L161</f>
        <v/>
      </c>
      <c r="Q318" s="10">
        <f>IF(N318="已下單",O318*P318,0)</f>
        <v/>
      </c>
      <c r="R318" s="10">
        <f>R317+Q318</f>
        <v/>
      </c>
      <c r="S318" s="16">
        <f>S317-IF(N318="已下單",M318,0)</f>
        <v/>
      </c>
      <c r="T318" s="16">
        <f>R318-S318</f>
        <v/>
      </c>
      <c r="U318" s="2">
        <f>U317-IF(N318="已下單",1,0)</f>
        <v/>
      </c>
      <c r="V318" s="16">
        <f>IF(資金模擬!$B$9=2,MAX(R318,0),MAX(V317,FLOOR(MAX(R318,0),資金模擬!$B$6)))</f>
        <v/>
      </c>
      <c r="W318" s="10">
        <f>MAX(W317,R318)</f>
        <v/>
      </c>
      <c r="X318" s="4">
        <f>IF(W318&gt;0,R318/W318-1,-1)</f>
        <v/>
      </c>
      <c r="Y318" s="16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46276.08333333334</v>
      </c>
      <c r="C319" s="2" t="inlineStr">
        <is>
          <t>進場</t>
        </is>
      </c>
      <c r="D319" s="2" t="n">
        <v>161</v>
      </c>
      <c r="E319" s="2" t="inlineStr">
        <is>
          <t>PONS_USDT_PERP</t>
        </is>
      </c>
      <c r="F319" s="2" t="inlineStr">
        <is>
          <t>做多</t>
        </is>
      </c>
      <c r="G319" s="17" t="n">
        <v>0.6104000000000001</v>
      </c>
      <c r="H319" s="17" t="n">
        <v>0.628712</v>
      </c>
      <c r="I319" s="17" t="n">
        <v>0.5798800000000001</v>
      </c>
      <c r="J319" s="17" t="n"/>
      <c r="K319" s="2" t="n"/>
      <c r="L319" s="5" t="n"/>
      <c r="M319" s="16">
        <f>資金模擬!$B$5*V318</f>
        <v/>
      </c>
      <c r="N319" s="2">
        <f>IF(Z318=1,"已停止",IF(T318&gt;=M319,"已下單","資金不足略過"))</f>
        <v/>
      </c>
      <c r="O319" s="16">
        <f>IF(N319="已下單",M319*資金模擬!$B$7,0)</f>
        <v/>
      </c>
      <c r="P319" s="4" t="n"/>
      <c r="Q319" s="10" t="n">
        <v>0</v>
      </c>
      <c r="R319" s="10">
        <f>R318+Q319</f>
        <v/>
      </c>
      <c r="S319" s="16">
        <f>S318+IF(N319="已下單",M319,0)</f>
        <v/>
      </c>
      <c r="T319" s="16">
        <f>R319-S319</f>
        <v/>
      </c>
      <c r="U319" s="2">
        <f>U318+IF(N319="已下單",1,0)</f>
        <v/>
      </c>
      <c r="V319" s="16">
        <f>IF(資金模擬!$B$9=2,MAX(R319,0),MAX(V318,FLOOR(MAX(R319,0),資金模擬!$B$6)))</f>
        <v/>
      </c>
      <c r="W319" s="10">
        <f>MAX(W318,R319)</f>
        <v/>
      </c>
      <c r="X319" s="4">
        <f>IF(W319&gt;0,R319/W319-1,-1)</f>
        <v/>
      </c>
      <c r="Y319" s="16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46276.08333333334</v>
      </c>
      <c r="C320" s="2" t="inlineStr">
        <is>
          <t>進場</t>
        </is>
      </c>
      <c r="D320" s="2" t="n">
        <v>162</v>
      </c>
      <c r="E320" s="2" t="inlineStr">
        <is>
          <t>USELESS_USDT_PERP</t>
        </is>
      </c>
      <c r="F320" s="2" t="inlineStr">
        <is>
          <t>做多</t>
        </is>
      </c>
      <c r="G320" s="17" t="n">
        <v>0.24506</v>
      </c>
      <c r="H320" s="17" t="n">
        <v>0.2524118</v>
      </c>
      <c r="I320" s="17" t="n">
        <v>0.232807</v>
      </c>
      <c r="J320" s="17" t="n"/>
      <c r="K320" s="2" t="n"/>
      <c r="L320" s="5" t="n"/>
      <c r="M320" s="16">
        <f>資金模擬!$B$5*V319</f>
        <v/>
      </c>
      <c r="N320" s="2">
        <f>IF(Z319=1,"已停止",IF(T319&gt;=M320,"已下單","資金不足略過"))</f>
        <v/>
      </c>
      <c r="O320" s="16">
        <f>IF(N320="已下單",M320*資金模擬!$B$7,0)</f>
        <v/>
      </c>
      <c r="P320" s="4" t="n"/>
      <c r="Q320" s="10" t="n">
        <v>0</v>
      </c>
      <c r="R320" s="10">
        <f>R319+Q320</f>
        <v/>
      </c>
      <c r="S320" s="16">
        <f>S319+IF(N320="已下單",M320,0)</f>
        <v/>
      </c>
      <c r="T320" s="16">
        <f>R320-S320</f>
        <v/>
      </c>
      <c r="U320" s="2">
        <f>U319+IF(N320="已下單",1,0)</f>
        <v/>
      </c>
      <c r="V320" s="16">
        <f>IF(資金模擬!$B$9=2,MAX(R320,0),MAX(V319,FLOOR(MAX(R320,0),資金模擬!$B$6)))</f>
        <v/>
      </c>
      <c r="W320" s="10">
        <f>MAX(W319,R320)</f>
        <v/>
      </c>
      <c r="X320" s="4">
        <f>IF(W320&gt;0,R320/W320-1,-1)</f>
        <v/>
      </c>
      <c r="Y320" s="16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46276.08333333334</v>
      </c>
      <c r="C321" s="2" t="inlineStr">
        <is>
          <t>進場</t>
        </is>
      </c>
      <c r="D321" s="2" t="n">
        <v>163</v>
      </c>
      <c r="E321" s="2" t="inlineStr">
        <is>
          <t>VVV_USDT_PERP</t>
        </is>
      </c>
      <c r="F321" s="2" t="inlineStr">
        <is>
          <t>做多</t>
        </is>
      </c>
      <c r="G321" s="17" t="n">
        <v>25.016</v>
      </c>
      <c r="H321" s="17" t="n">
        <v>25.76648</v>
      </c>
      <c r="I321" s="17" t="n">
        <v>23.7652</v>
      </c>
      <c r="J321" s="17" t="n"/>
      <c r="K321" s="2" t="n"/>
      <c r="L321" s="5" t="n"/>
      <c r="M321" s="16">
        <f>資金模擬!$B$5*V320</f>
        <v/>
      </c>
      <c r="N321" s="2">
        <f>IF(Z320=1,"已停止",IF(T320&gt;=M321,"已下單","資金不足略過"))</f>
        <v/>
      </c>
      <c r="O321" s="16">
        <f>IF(N321="已下單",M321*資金模擬!$B$7,0)</f>
        <v/>
      </c>
      <c r="P321" s="4" t="n"/>
      <c r="Q321" s="10" t="n">
        <v>0</v>
      </c>
      <c r="R321" s="10">
        <f>R320+Q321</f>
        <v/>
      </c>
      <c r="S321" s="16">
        <f>S320+IF(N321="已下單",M321,0)</f>
        <v/>
      </c>
      <c r="T321" s="16">
        <f>R321-S321</f>
        <v/>
      </c>
      <c r="U321" s="2">
        <f>U320+IF(N321="已下單",1,0)</f>
        <v/>
      </c>
      <c r="V321" s="16">
        <f>IF(資金模擬!$B$9=2,MAX(R321,0),MAX(V320,FLOOR(MAX(R321,0),資金模擬!$B$6)))</f>
        <v/>
      </c>
      <c r="W321" s="10">
        <f>MAX(W320,R321)</f>
        <v/>
      </c>
      <c r="X321" s="4">
        <f>IF(W321&gt;0,R321/W321-1,-1)</f>
        <v/>
      </c>
      <c r="Y321" s="16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46276.125</v>
      </c>
      <c r="C322" s="2" t="inlineStr">
        <is>
          <t>出場</t>
        </is>
      </c>
      <c r="D322" s="2" t="n">
        <v>152</v>
      </c>
      <c r="E322" s="2" t="inlineStr">
        <is>
          <t>LIT_USDT_PERP</t>
        </is>
      </c>
      <c r="F322" s="2" t="inlineStr">
        <is>
          <t>做空</t>
        </is>
      </c>
      <c r="G322" s="17" t="n">
        <v>4.481</v>
      </c>
      <c r="H322" s="17" t="n">
        <v>4.34657</v>
      </c>
      <c r="I322" s="17" t="n">
        <v>4.70505</v>
      </c>
      <c r="J322" s="17" t="n">
        <v>4.34657</v>
      </c>
      <c r="K322" s="2" t="inlineStr">
        <is>
          <t>止盈</t>
        </is>
      </c>
      <c r="L322" s="5">
        <f>交易明細!K153</f>
        <v/>
      </c>
      <c r="M322" s="16">
        <f>M302</f>
        <v/>
      </c>
      <c r="N322" s="2">
        <f>N302</f>
        <v/>
      </c>
      <c r="O322" s="16">
        <f>O302</f>
        <v/>
      </c>
      <c r="P322" s="4">
        <f>交易明細!L153</f>
        <v/>
      </c>
      <c r="Q322" s="10">
        <f>IF(N322="已下單",O322*P322,0)</f>
        <v/>
      </c>
      <c r="R322" s="10">
        <f>R321+Q322</f>
        <v/>
      </c>
      <c r="S322" s="16">
        <f>S321-IF(N322="已下單",M322,0)</f>
        <v/>
      </c>
      <c r="T322" s="16">
        <f>R322-S322</f>
        <v/>
      </c>
      <c r="U322" s="2">
        <f>U321-IF(N322="已下單",1,0)</f>
        <v/>
      </c>
      <c r="V322" s="16">
        <f>IF(資金模擬!$B$9=2,MAX(R322,0),MAX(V321,FLOOR(MAX(R322,0),資金模擬!$B$6)))</f>
        <v/>
      </c>
      <c r="W322" s="10">
        <f>MAX(W321,R322)</f>
        <v/>
      </c>
      <c r="X322" s="4">
        <f>IF(W322&gt;0,R322/W322-1,-1)</f>
        <v/>
      </c>
      <c r="Y322" s="16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46276.125</v>
      </c>
      <c r="C323" s="2" t="inlineStr">
        <is>
          <t>出場</t>
        </is>
      </c>
      <c r="D323" s="2" t="n">
        <v>159</v>
      </c>
      <c r="E323" s="2" t="inlineStr">
        <is>
          <t>BULLA_USDT_PERP</t>
        </is>
      </c>
      <c r="F323" s="2" t="inlineStr">
        <is>
          <t>做空</t>
        </is>
      </c>
      <c r="G323" s="17" t="n">
        <v>0.07895000000000001</v>
      </c>
      <c r="H323" s="17" t="n">
        <v>0.07658150000000001</v>
      </c>
      <c r="I323" s="17" t="n">
        <v>0.08289750000000001</v>
      </c>
      <c r="J323" s="17" t="n">
        <v>0.07658150000000001</v>
      </c>
      <c r="K323" s="2" t="inlineStr">
        <is>
          <t>止盈</t>
        </is>
      </c>
      <c r="L323" s="5">
        <f>交易明細!K160</f>
        <v/>
      </c>
      <c r="M323" s="16">
        <f>M316</f>
        <v/>
      </c>
      <c r="N323" s="2">
        <f>N316</f>
        <v/>
      </c>
      <c r="O323" s="16">
        <f>O316</f>
        <v/>
      </c>
      <c r="P323" s="4">
        <f>交易明細!L160</f>
        <v/>
      </c>
      <c r="Q323" s="10">
        <f>IF(N323="已下單",O323*P323,0)</f>
        <v/>
      </c>
      <c r="R323" s="10">
        <f>R322+Q323</f>
        <v/>
      </c>
      <c r="S323" s="16">
        <f>S322-IF(N323="已下單",M323,0)</f>
        <v/>
      </c>
      <c r="T323" s="16">
        <f>R323-S323</f>
        <v/>
      </c>
      <c r="U323" s="2">
        <f>U322-IF(N323="已下單",1,0)</f>
        <v/>
      </c>
      <c r="V323" s="16">
        <f>IF(資金模擬!$B$9=2,MAX(R323,0),MAX(V322,FLOOR(MAX(R323,0),資金模擬!$B$6)))</f>
        <v/>
      </c>
      <c r="W323" s="10">
        <f>MAX(W322,R323)</f>
        <v/>
      </c>
      <c r="X323" s="4">
        <f>IF(W323&gt;0,R323/W323-1,-1)</f>
        <v/>
      </c>
      <c r="Y323" s="16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46276.125</v>
      </c>
      <c r="C324" s="2" t="inlineStr">
        <is>
          <t>出場</t>
        </is>
      </c>
      <c r="D324" s="2" t="n">
        <v>162</v>
      </c>
      <c r="E324" s="2" t="inlineStr">
        <is>
          <t>USELESS_USDT_PERP</t>
        </is>
      </c>
      <c r="F324" s="2" t="inlineStr">
        <is>
          <t>做多</t>
        </is>
      </c>
      <c r="G324" s="17" t="n">
        <v>0.24506</v>
      </c>
      <c r="H324" s="17" t="n">
        <v>0.2524118</v>
      </c>
      <c r="I324" s="17" t="n">
        <v>0.232807</v>
      </c>
      <c r="J324" s="17" t="n">
        <v>0.2524118</v>
      </c>
      <c r="K324" s="2" t="inlineStr">
        <is>
          <t>止盈</t>
        </is>
      </c>
      <c r="L324" s="5">
        <f>交易明細!K163</f>
        <v/>
      </c>
      <c r="M324" s="16">
        <f>M320</f>
        <v/>
      </c>
      <c r="N324" s="2">
        <f>N320</f>
        <v/>
      </c>
      <c r="O324" s="16">
        <f>O320</f>
        <v/>
      </c>
      <c r="P324" s="4">
        <f>交易明細!L163</f>
        <v/>
      </c>
      <c r="Q324" s="10">
        <f>IF(N324="已下單",O324*P324,0)</f>
        <v/>
      </c>
      <c r="R324" s="10">
        <f>R323+Q324</f>
        <v/>
      </c>
      <c r="S324" s="16">
        <f>S323-IF(N324="已下單",M324,0)</f>
        <v/>
      </c>
      <c r="T324" s="16">
        <f>R324-S324</f>
        <v/>
      </c>
      <c r="U324" s="2">
        <f>U323-IF(N324="已下單",1,0)</f>
        <v/>
      </c>
      <c r="V324" s="16">
        <f>IF(資金模擬!$B$9=2,MAX(R324,0),MAX(V323,FLOOR(MAX(R324,0),資金模擬!$B$6)))</f>
        <v/>
      </c>
      <c r="W324" s="10">
        <f>MAX(W323,R324)</f>
        <v/>
      </c>
      <c r="X324" s="4">
        <f>IF(W324&gt;0,R324/W324-1,-1)</f>
        <v/>
      </c>
      <c r="Y324" s="16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46276.16666666666</v>
      </c>
      <c r="C325" s="2" t="inlineStr">
        <is>
          <t>出場</t>
        </is>
      </c>
      <c r="D325" s="2" t="n">
        <v>157</v>
      </c>
      <c r="E325" s="2" t="inlineStr">
        <is>
          <t>RAY_USDT_PERP</t>
        </is>
      </c>
      <c r="F325" s="2" t="inlineStr">
        <is>
          <t>做空</t>
        </is>
      </c>
      <c r="G325" s="17" t="n">
        <v>1.286</v>
      </c>
      <c r="H325" s="17" t="n">
        <v>1.24742</v>
      </c>
      <c r="I325" s="17" t="n">
        <v>1.3503</v>
      </c>
      <c r="J325" s="17" t="n">
        <v>1.3503</v>
      </c>
      <c r="K325" s="2" t="inlineStr">
        <is>
          <t>止損</t>
        </is>
      </c>
      <c r="L325" s="5">
        <f>交易明細!K158</f>
        <v/>
      </c>
      <c r="M325" s="16">
        <f>M313</f>
        <v/>
      </c>
      <c r="N325" s="2">
        <f>N313</f>
        <v/>
      </c>
      <c r="O325" s="16">
        <f>O313</f>
        <v/>
      </c>
      <c r="P325" s="4">
        <f>交易明細!L158</f>
        <v/>
      </c>
      <c r="Q325" s="10">
        <f>IF(N325="已下單",O325*P325,0)</f>
        <v/>
      </c>
      <c r="R325" s="10">
        <f>R324+Q325</f>
        <v/>
      </c>
      <c r="S325" s="16">
        <f>S324-IF(N325="已下單",M325,0)</f>
        <v/>
      </c>
      <c r="T325" s="16">
        <f>R325-S325</f>
        <v/>
      </c>
      <c r="U325" s="2">
        <f>U324-IF(N325="已下單",1,0)</f>
        <v/>
      </c>
      <c r="V325" s="16">
        <f>IF(資金模擬!$B$9=2,MAX(R325,0),MAX(V324,FLOOR(MAX(R325,0),資金模擬!$B$6)))</f>
        <v/>
      </c>
      <c r="W325" s="10">
        <f>MAX(W324,R325)</f>
        <v/>
      </c>
      <c r="X325" s="4">
        <f>IF(W325&gt;0,R325/W325-1,-1)</f>
        <v/>
      </c>
      <c r="Y325" s="16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46276.16666666666</v>
      </c>
      <c r="C326" s="2" t="inlineStr">
        <is>
          <t>出場</t>
        </is>
      </c>
      <c r="D326" s="2" t="n">
        <v>161</v>
      </c>
      <c r="E326" s="2" t="inlineStr">
        <is>
          <t>PONS_USDT_PERP</t>
        </is>
      </c>
      <c r="F326" s="2" t="inlineStr">
        <is>
          <t>做多</t>
        </is>
      </c>
      <c r="G326" s="17" t="n">
        <v>0.6104000000000001</v>
      </c>
      <c r="H326" s="17" t="n">
        <v>0.628712</v>
      </c>
      <c r="I326" s="17" t="n">
        <v>0.5798800000000001</v>
      </c>
      <c r="J326" s="17" t="n">
        <v>0.5798800000000001</v>
      </c>
      <c r="K326" s="2" t="inlineStr">
        <is>
          <t>止損</t>
        </is>
      </c>
      <c r="L326" s="5">
        <f>交易明細!K162</f>
        <v/>
      </c>
      <c r="M326" s="16">
        <f>M319</f>
        <v/>
      </c>
      <c r="N326" s="2">
        <f>N319</f>
        <v/>
      </c>
      <c r="O326" s="16">
        <f>O319</f>
        <v/>
      </c>
      <c r="P326" s="4">
        <f>交易明細!L162</f>
        <v/>
      </c>
      <c r="Q326" s="10">
        <f>IF(N326="已下單",O326*P326,0)</f>
        <v/>
      </c>
      <c r="R326" s="10">
        <f>R325+Q326</f>
        <v/>
      </c>
      <c r="S326" s="16">
        <f>S325-IF(N326="已下單",M326,0)</f>
        <v/>
      </c>
      <c r="T326" s="16">
        <f>R326-S326</f>
        <v/>
      </c>
      <c r="U326" s="2">
        <f>U325-IF(N326="已下單",1,0)</f>
        <v/>
      </c>
      <c r="V326" s="16">
        <f>IF(資金模擬!$B$9=2,MAX(R326,0),MAX(V325,FLOOR(MAX(R326,0),資金模擬!$B$6)))</f>
        <v/>
      </c>
      <c r="W326" s="10">
        <f>MAX(W325,R326)</f>
        <v/>
      </c>
      <c r="X326" s="4">
        <f>IF(W326&gt;0,R326/W326-1,-1)</f>
        <v/>
      </c>
      <c r="Y326" s="16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46276.29166666666</v>
      </c>
      <c r="C327" s="2" t="inlineStr">
        <is>
          <t>出場</t>
        </is>
      </c>
      <c r="D327" s="2" t="n">
        <v>154</v>
      </c>
      <c r="E327" s="2" t="inlineStr">
        <is>
          <t>NEAR_USDT_PERP</t>
        </is>
      </c>
      <c r="F327" s="2" t="inlineStr">
        <is>
          <t>做空</t>
        </is>
      </c>
      <c r="G327" s="17" t="n">
        <v>2.419</v>
      </c>
      <c r="H327" s="17" t="n">
        <v>2.34643</v>
      </c>
      <c r="I327" s="17" t="n">
        <v>2.53995</v>
      </c>
      <c r="J327" s="17" t="n">
        <v>2.53995</v>
      </c>
      <c r="K327" s="2" t="inlineStr">
        <is>
          <t>止損</t>
        </is>
      </c>
      <c r="L327" s="5">
        <f>交易明細!K155</f>
        <v/>
      </c>
      <c r="M327" s="16">
        <f>M304</f>
        <v/>
      </c>
      <c r="N327" s="2">
        <f>N304</f>
        <v/>
      </c>
      <c r="O327" s="16">
        <f>O304</f>
        <v/>
      </c>
      <c r="P327" s="4">
        <f>交易明細!L155</f>
        <v/>
      </c>
      <c r="Q327" s="10">
        <f>IF(N327="已下單",O327*P327,0)</f>
        <v/>
      </c>
      <c r="R327" s="10">
        <f>R326+Q327</f>
        <v/>
      </c>
      <c r="S327" s="16">
        <f>S326-IF(N327="已下單",M327,0)</f>
        <v/>
      </c>
      <c r="T327" s="16">
        <f>R327-S327</f>
        <v/>
      </c>
      <c r="U327" s="2">
        <f>U326-IF(N327="已下單",1,0)</f>
        <v/>
      </c>
      <c r="V327" s="16">
        <f>IF(資金模擬!$B$9=2,MAX(R327,0),MAX(V326,FLOOR(MAX(R327,0),資金模擬!$B$6)))</f>
        <v/>
      </c>
      <c r="W327" s="10">
        <f>MAX(W326,R327)</f>
        <v/>
      </c>
      <c r="X327" s="4">
        <f>IF(W327&gt;0,R327/W327-1,-1)</f>
        <v/>
      </c>
      <c r="Y327" s="16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46276.29166666666</v>
      </c>
      <c r="C328" s="2" t="inlineStr">
        <is>
          <t>進場</t>
        </is>
      </c>
      <c r="D328" s="2" t="n">
        <v>164</v>
      </c>
      <c r="E328" s="2" t="inlineStr">
        <is>
          <t>PUMP_USDT_PERP</t>
        </is>
      </c>
      <c r="F328" s="2" t="inlineStr">
        <is>
          <t>做空</t>
        </is>
      </c>
      <c r="G328" s="17" t="n">
        <v>0.003721</v>
      </c>
      <c r="H328" s="17" t="n">
        <v>0.00360937</v>
      </c>
      <c r="I328" s="17" t="n">
        <v>0.00390705</v>
      </c>
      <c r="J328" s="17" t="n"/>
      <c r="K328" s="2" t="n"/>
      <c r="L328" s="5" t="n"/>
      <c r="M328" s="16">
        <f>資金模擬!$B$5*V327</f>
        <v/>
      </c>
      <c r="N328" s="2">
        <f>IF(Z327=1,"已停止",IF(T327&gt;=M328,"已下單","資金不足略過"))</f>
        <v/>
      </c>
      <c r="O328" s="16">
        <f>IF(N328="已下單",M328*資金模擬!$B$7,0)</f>
        <v/>
      </c>
      <c r="P328" s="4" t="n"/>
      <c r="Q328" s="10" t="n">
        <v>0</v>
      </c>
      <c r="R328" s="10">
        <f>R327+Q328</f>
        <v/>
      </c>
      <c r="S328" s="16">
        <f>S327+IF(N328="已下單",M328,0)</f>
        <v/>
      </c>
      <c r="T328" s="16">
        <f>R328-S328</f>
        <v/>
      </c>
      <c r="U328" s="2">
        <f>U327+IF(N328="已下單",1,0)</f>
        <v/>
      </c>
      <c r="V328" s="16">
        <f>IF(資金模擬!$B$9=2,MAX(R328,0),MAX(V327,FLOOR(MAX(R328,0),資金模擬!$B$6)))</f>
        <v/>
      </c>
      <c r="W328" s="10">
        <f>MAX(W327,R328)</f>
        <v/>
      </c>
      <c r="X328" s="4">
        <f>IF(W328&gt;0,R328/W328-1,-1)</f>
        <v/>
      </c>
      <c r="Y328" s="16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46276.33333333334</v>
      </c>
      <c r="C329" s="2" t="inlineStr">
        <is>
          <t>進場</t>
        </is>
      </c>
      <c r="D329" s="2" t="n">
        <v>165</v>
      </c>
      <c r="E329" s="2" t="inlineStr">
        <is>
          <t>LIT_USDT_PERP</t>
        </is>
      </c>
      <c r="F329" s="2" t="inlineStr">
        <is>
          <t>做空</t>
        </is>
      </c>
      <c r="G329" s="17" t="n">
        <v>4.288</v>
      </c>
      <c r="H329" s="17" t="n">
        <v>4.15936</v>
      </c>
      <c r="I329" s="17" t="n">
        <v>4.502400000000001</v>
      </c>
      <c r="J329" s="17" t="n"/>
      <c r="K329" s="2" t="n"/>
      <c r="L329" s="5" t="n"/>
      <c r="M329" s="16">
        <f>資金模擬!$B$5*V328</f>
        <v/>
      </c>
      <c r="N329" s="2">
        <f>IF(Z328=1,"已停止",IF(T328&gt;=M329,"已下單","資金不足略過"))</f>
        <v/>
      </c>
      <c r="O329" s="16">
        <f>IF(N329="已下單",M329*資金模擬!$B$7,0)</f>
        <v/>
      </c>
      <c r="P329" s="4" t="n"/>
      <c r="Q329" s="10" t="n">
        <v>0</v>
      </c>
      <c r="R329" s="10">
        <f>R328+Q329</f>
        <v/>
      </c>
      <c r="S329" s="16">
        <f>S328+IF(N329="已下單",M329,0)</f>
        <v/>
      </c>
      <c r="T329" s="16">
        <f>R329-S329</f>
        <v/>
      </c>
      <c r="U329" s="2">
        <f>U328+IF(N329="已下單",1,0)</f>
        <v/>
      </c>
      <c r="V329" s="16">
        <f>IF(資金模擬!$B$9=2,MAX(R329,0),MAX(V328,FLOOR(MAX(R329,0),資金模擬!$B$6)))</f>
        <v/>
      </c>
      <c r="W329" s="10">
        <f>MAX(W328,R329)</f>
        <v/>
      </c>
      <c r="X329" s="4">
        <f>IF(W329&gt;0,R329/W329-1,-1)</f>
        <v/>
      </c>
      <c r="Y329" s="16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46276.375</v>
      </c>
      <c r="C330" s="2" t="inlineStr">
        <is>
          <t>出場</t>
        </is>
      </c>
      <c r="D330" s="2" t="n">
        <v>163</v>
      </c>
      <c r="E330" s="2" t="inlineStr">
        <is>
          <t>VVV_USDT_PERP</t>
        </is>
      </c>
      <c r="F330" s="2" t="inlineStr">
        <is>
          <t>做多</t>
        </is>
      </c>
      <c r="G330" s="17" t="n">
        <v>25.016</v>
      </c>
      <c r="H330" s="17" t="n">
        <v>25.76648</v>
      </c>
      <c r="I330" s="17" t="n">
        <v>23.7652</v>
      </c>
      <c r="J330" s="17" t="n">
        <v>23.7652</v>
      </c>
      <c r="K330" s="2" t="inlineStr">
        <is>
          <t>止損</t>
        </is>
      </c>
      <c r="L330" s="5">
        <f>交易明細!K164</f>
        <v/>
      </c>
      <c r="M330" s="16">
        <f>M321</f>
        <v/>
      </c>
      <c r="N330" s="2">
        <f>N321</f>
        <v/>
      </c>
      <c r="O330" s="16">
        <f>O321</f>
        <v/>
      </c>
      <c r="P330" s="4">
        <f>交易明細!L164</f>
        <v/>
      </c>
      <c r="Q330" s="10">
        <f>IF(N330="已下單",O330*P330,0)</f>
        <v/>
      </c>
      <c r="R330" s="10">
        <f>R329+Q330</f>
        <v/>
      </c>
      <c r="S330" s="16">
        <f>S329-IF(N330="已下單",M330,0)</f>
        <v/>
      </c>
      <c r="T330" s="16">
        <f>R330-S330</f>
        <v/>
      </c>
      <c r="U330" s="2">
        <f>U329-IF(N330="已下單",1,0)</f>
        <v/>
      </c>
      <c r="V330" s="16">
        <f>IF(資金模擬!$B$9=2,MAX(R330,0),MAX(V329,FLOOR(MAX(R330,0),資金模擬!$B$6)))</f>
        <v/>
      </c>
      <c r="W330" s="10">
        <f>MAX(W329,R330)</f>
        <v/>
      </c>
      <c r="X330" s="4">
        <f>IF(W330&gt;0,R330/W330-1,-1)</f>
        <v/>
      </c>
      <c r="Y330" s="16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46276.41666666666</v>
      </c>
      <c r="C331" s="2" t="inlineStr">
        <is>
          <t>進場</t>
        </is>
      </c>
      <c r="D331" s="2" t="n">
        <v>166</v>
      </c>
      <c r="E331" s="2" t="inlineStr">
        <is>
          <t>NEAR_USDT_PERP</t>
        </is>
      </c>
      <c r="F331" s="2" t="inlineStr">
        <is>
          <t>做空</t>
        </is>
      </c>
      <c r="G331" s="17" t="n">
        <v>2.418</v>
      </c>
      <c r="H331" s="17" t="n">
        <v>2.34546</v>
      </c>
      <c r="I331" s="17" t="n">
        <v>2.5389</v>
      </c>
      <c r="J331" s="17" t="n"/>
      <c r="K331" s="2" t="n"/>
      <c r="L331" s="5" t="n"/>
      <c r="M331" s="16">
        <f>資金模擬!$B$5*V330</f>
        <v/>
      </c>
      <c r="N331" s="2">
        <f>IF(Z330=1,"已停止",IF(T330&gt;=M331,"已下單","資金不足略過"))</f>
        <v/>
      </c>
      <c r="O331" s="16">
        <f>IF(N331="已下單",M331*資金模擬!$B$7,0)</f>
        <v/>
      </c>
      <c r="P331" s="4" t="n"/>
      <c r="Q331" s="10" t="n">
        <v>0</v>
      </c>
      <c r="R331" s="10">
        <f>R330+Q331</f>
        <v/>
      </c>
      <c r="S331" s="16">
        <f>S330+IF(N331="已下單",M331,0)</f>
        <v/>
      </c>
      <c r="T331" s="16">
        <f>R331-S331</f>
        <v/>
      </c>
      <c r="U331" s="2">
        <f>U330+IF(N331="已下單",1,0)</f>
        <v/>
      </c>
      <c r="V331" s="16">
        <f>IF(資金模擬!$B$9=2,MAX(R331,0),MAX(V330,FLOOR(MAX(R331,0),資金模擬!$B$6)))</f>
        <v/>
      </c>
      <c r="W331" s="10">
        <f>MAX(W330,R331)</f>
        <v/>
      </c>
      <c r="X331" s="4">
        <f>IF(W331&gt;0,R331/W331-1,-1)</f>
        <v/>
      </c>
      <c r="Y331" s="16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46276.45833333334</v>
      </c>
      <c r="C332" s="2" t="inlineStr">
        <is>
          <t>出場</t>
        </is>
      </c>
      <c r="D332" s="2" t="n">
        <v>164</v>
      </c>
      <c r="E332" s="2" t="inlineStr">
        <is>
          <t>PUMP_USDT_PERP</t>
        </is>
      </c>
      <c r="F332" s="2" t="inlineStr">
        <is>
          <t>做空</t>
        </is>
      </c>
      <c r="G332" s="17" t="n">
        <v>0.003721</v>
      </c>
      <c r="H332" s="17" t="n">
        <v>0.00360937</v>
      </c>
      <c r="I332" s="17" t="n">
        <v>0.00390705</v>
      </c>
      <c r="J332" s="17" t="n">
        <v>0.00360937</v>
      </c>
      <c r="K332" s="2" t="inlineStr">
        <is>
          <t>止盈</t>
        </is>
      </c>
      <c r="L332" s="5">
        <f>交易明細!K165</f>
        <v/>
      </c>
      <c r="M332" s="16">
        <f>M328</f>
        <v/>
      </c>
      <c r="N332" s="2">
        <f>N328</f>
        <v/>
      </c>
      <c r="O332" s="16">
        <f>O328</f>
        <v/>
      </c>
      <c r="P332" s="4">
        <f>交易明細!L165</f>
        <v/>
      </c>
      <c r="Q332" s="10">
        <f>IF(N332="已下單",O332*P332,0)</f>
        <v/>
      </c>
      <c r="R332" s="10">
        <f>R331+Q332</f>
        <v/>
      </c>
      <c r="S332" s="16">
        <f>S331-IF(N332="已下單",M332,0)</f>
        <v/>
      </c>
      <c r="T332" s="16">
        <f>R332-S332</f>
        <v/>
      </c>
      <c r="U332" s="2">
        <f>U331-IF(N332="已下單",1,0)</f>
        <v/>
      </c>
      <c r="V332" s="16">
        <f>IF(資金模擬!$B$9=2,MAX(R332,0),MAX(V331,FLOOR(MAX(R332,0),資金模擬!$B$6)))</f>
        <v/>
      </c>
      <c r="W332" s="10">
        <f>MAX(W331,R332)</f>
        <v/>
      </c>
      <c r="X332" s="4">
        <f>IF(W332&gt;0,R332/W332-1,-1)</f>
        <v/>
      </c>
      <c r="Y332" s="16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46276.45833333334</v>
      </c>
      <c r="C333" s="2" t="inlineStr">
        <is>
          <t>進場</t>
        </is>
      </c>
      <c r="D333" s="2" t="n">
        <v>167</v>
      </c>
      <c r="E333" s="2" t="inlineStr">
        <is>
          <t>BULLA_USDT_PERP</t>
        </is>
      </c>
      <c r="F333" s="2" t="inlineStr">
        <is>
          <t>做空</t>
        </is>
      </c>
      <c r="G333" s="17" t="n">
        <v>0.07525999999999999</v>
      </c>
      <c r="H333" s="17" t="n">
        <v>0.07300219999999999</v>
      </c>
      <c r="I333" s="17" t="n">
        <v>0.079023</v>
      </c>
      <c r="J333" s="17" t="n"/>
      <c r="K333" s="2" t="n"/>
      <c r="L333" s="5" t="n"/>
      <c r="M333" s="16">
        <f>資金模擬!$B$5*V332</f>
        <v/>
      </c>
      <c r="N333" s="2">
        <f>IF(Z332=1,"已停止",IF(T332&gt;=M333,"已下單","資金不足略過"))</f>
        <v/>
      </c>
      <c r="O333" s="16">
        <f>IF(N333="已下單",M333*資金模擬!$B$7,0)</f>
        <v/>
      </c>
      <c r="P333" s="4" t="n"/>
      <c r="Q333" s="10" t="n">
        <v>0</v>
      </c>
      <c r="R333" s="10">
        <f>R332+Q333</f>
        <v/>
      </c>
      <c r="S333" s="16">
        <f>S332+IF(N333="已下單",M333,0)</f>
        <v/>
      </c>
      <c r="T333" s="16">
        <f>R333-S333</f>
        <v/>
      </c>
      <c r="U333" s="2">
        <f>U332+IF(N333="已下單",1,0)</f>
        <v/>
      </c>
      <c r="V333" s="16">
        <f>IF(資金模擬!$B$9=2,MAX(R333,0),MAX(V332,FLOOR(MAX(R333,0),資金模擬!$B$6)))</f>
        <v/>
      </c>
      <c r="W333" s="10">
        <f>MAX(W332,R333)</f>
        <v/>
      </c>
      <c r="X333" s="4">
        <f>IF(W333&gt;0,R333/W333-1,-1)</f>
        <v/>
      </c>
      <c r="Y333" s="16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46276.45833333334</v>
      </c>
      <c r="C334" s="2" t="inlineStr">
        <is>
          <t>進場</t>
        </is>
      </c>
      <c r="D334" s="2" t="n">
        <v>168</v>
      </c>
      <c r="E334" s="2" t="inlineStr">
        <is>
          <t>VVV_USDT_PERP</t>
        </is>
      </c>
      <c r="F334" s="2" t="inlineStr">
        <is>
          <t>做空</t>
        </is>
      </c>
      <c r="G334" s="17" t="n">
        <v>23.446</v>
      </c>
      <c r="H334" s="17" t="n">
        <v>22.74262</v>
      </c>
      <c r="I334" s="17" t="n">
        <v>24.6183</v>
      </c>
      <c r="J334" s="17" t="n"/>
      <c r="K334" s="2" t="n"/>
      <c r="L334" s="5" t="n"/>
      <c r="M334" s="16">
        <f>資金模擬!$B$5*V333</f>
        <v/>
      </c>
      <c r="N334" s="2">
        <f>IF(Z333=1,"已停止",IF(T333&gt;=M334,"已下單","資金不足略過"))</f>
        <v/>
      </c>
      <c r="O334" s="16">
        <f>IF(N334="已下單",M334*資金模擬!$B$7,0)</f>
        <v/>
      </c>
      <c r="P334" s="4" t="n"/>
      <c r="Q334" s="10" t="n">
        <v>0</v>
      </c>
      <c r="R334" s="10">
        <f>R333+Q334</f>
        <v/>
      </c>
      <c r="S334" s="16">
        <f>S333+IF(N334="已下單",M334,0)</f>
        <v/>
      </c>
      <c r="T334" s="16">
        <f>R334-S334</f>
        <v/>
      </c>
      <c r="U334" s="2">
        <f>U333+IF(N334="已下單",1,0)</f>
        <v/>
      </c>
      <c r="V334" s="16">
        <f>IF(資金模擬!$B$9=2,MAX(R334,0),MAX(V333,FLOOR(MAX(R334,0),資金模擬!$B$6)))</f>
        <v/>
      </c>
      <c r="W334" s="10">
        <f>MAX(W333,R334)</f>
        <v/>
      </c>
      <c r="X334" s="4">
        <f>IF(W334&gt;0,R334/W334-1,-1)</f>
        <v/>
      </c>
      <c r="Y334" s="16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46276.54166666666</v>
      </c>
      <c r="C335" s="2" t="inlineStr">
        <is>
          <t>出場</t>
        </is>
      </c>
      <c r="D335" s="2" t="n">
        <v>167</v>
      </c>
      <c r="E335" s="2" t="inlineStr">
        <is>
          <t>BULLA_USDT_PERP</t>
        </is>
      </c>
      <c r="F335" s="2" t="inlineStr">
        <is>
          <t>做空</t>
        </is>
      </c>
      <c r="G335" s="17" t="n">
        <v>0.07525999999999999</v>
      </c>
      <c r="H335" s="17" t="n">
        <v>0.07300219999999999</v>
      </c>
      <c r="I335" s="17" t="n">
        <v>0.079023</v>
      </c>
      <c r="J335" s="17" t="n">
        <v>0.079023</v>
      </c>
      <c r="K335" s="2" t="inlineStr">
        <is>
          <t>止損</t>
        </is>
      </c>
      <c r="L335" s="5">
        <f>交易明細!K168</f>
        <v/>
      </c>
      <c r="M335" s="16">
        <f>M333</f>
        <v/>
      </c>
      <c r="N335" s="2">
        <f>N333</f>
        <v/>
      </c>
      <c r="O335" s="16">
        <f>O333</f>
        <v/>
      </c>
      <c r="P335" s="4">
        <f>交易明細!L168</f>
        <v/>
      </c>
      <c r="Q335" s="10">
        <f>IF(N335="已下單",O335*P335,0)</f>
        <v/>
      </c>
      <c r="R335" s="10">
        <f>R334+Q335</f>
        <v/>
      </c>
      <c r="S335" s="16">
        <f>S334-IF(N335="已下單",M335,0)</f>
        <v/>
      </c>
      <c r="T335" s="16">
        <f>R335-S335</f>
        <v/>
      </c>
      <c r="U335" s="2">
        <f>U334-IF(N335="已下單",1,0)</f>
        <v/>
      </c>
      <c r="V335" s="16">
        <f>IF(資金模擬!$B$9=2,MAX(R335,0),MAX(V334,FLOOR(MAX(R335,0),資金模擬!$B$6)))</f>
        <v/>
      </c>
      <c r="W335" s="10">
        <f>MAX(W334,R335)</f>
        <v/>
      </c>
      <c r="X335" s="4">
        <f>IF(W335&gt;0,R335/W335-1,-1)</f>
        <v/>
      </c>
      <c r="Y335" s="16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46276.58333333334</v>
      </c>
      <c r="C336" s="2" t="inlineStr">
        <is>
          <t>出場</t>
        </is>
      </c>
      <c r="D336" s="2" t="n">
        <v>165</v>
      </c>
      <c r="E336" s="2" t="inlineStr">
        <is>
          <t>LIT_USDT_PERP</t>
        </is>
      </c>
      <c r="F336" s="2" t="inlineStr">
        <is>
          <t>做空</t>
        </is>
      </c>
      <c r="G336" s="17" t="n">
        <v>4.288</v>
      </c>
      <c r="H336" s="17" t="n">
        <v>4.15936</v>
      </c>
      <c r="I336" s="17" t="n">
        <v>4.502400000000001</v>
      </c>
      <c r="J336" s="17" t="n">
        <v>4.502400000000001</v>
      </c>
      <c r="K336" s="2" t="inlineStr">
        <is>
          <t>止損</t>
        </is>
      </c>
      <c r="L336" s="5">
        <f>交易明細!K166</f>
        <v/>
      </c>
      <c r="M336" s="16">
        <f>M329</f>
        <v/>
      </c>
      <c r="N336" s="2">
        <f>N329</f>
        <v/>
      </c>
      <c r="O336" s="16">
        <f>O329</f>
        <v/>
      </c>
      <c r="P336" s="4">
        <f>交易明細!L166</f>
        <v/>
      </c>
      <c r="Q336" s="10">
        <f>IF(N336="已下單",O336*P336,0)</f>
        <v/>
      </c>
      <c r="R336" s="10">
        <f>R335+Q336</f>
        <v/>
      </c>
      <c r="S336" s="16">
        <f>S335-IF(N336="已下單",M336,0)</f>
        <v/>
      </c>
      <c r="T336" s="16">
        <f>R336-S336</f>
        <v/>
      </c>
      <c r="U336" s="2">
        <f>U335-IF(N336="已下單",1,0)</f>
        <v/>
      </c>
      <c r="V336" s="16">
        <f>IF(資金模擬!$B$9=2,MAX(R336,0),MAX(V335,FLOOR(MAX(R336,0),資金模擬!$B$6)))</f>
        <v/>
      </c>
      <c r="W336" s="10">
        <f>MAX(W335,R336)</f>
        <v/>
      </c>
      <c r="X336" s="4">
        <f>IF(W336&gt;0,R336/W336-1,-1)</f>
        <v/>
      </c>
      <c r="Y336" s="16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46276.58333333334</v>
      </c>
      <c r="C337" s="2" t="inlineStr">
        <is>
          <t>出場</t>
        </is>
      </c>
      <c r="D337" s="2" t="n">
        <v>168</v>
      </c>
      <c r="E337" s="2" t="inlineStr">
        <is>
          <t>VVV_USDT_PERP</t>
        </is>
      </c>
      <c r="F337" s="2" t="inlineStr">
        <is>
          <t>做空</t>
        </is>
      </c>
      <c r="G337" s="17" t="n">
        <v>23.446</v>
      </c>
      <c r="H337" s="17" t="n">
        <v>22.74262</v>
      </c>
      <c r="I337" s="17" t="n">
        <v>24.6183</v>
      </c>
      <c r="J337" s="17" t="n">
        <v>24.6183</v>
      </c>
      <c r="K337" s="2" t="inlineStr">
        <is>
          <t>止損</t>
        </is>
      </c>
      <c r="L337" s="5">
        <f>交易明細!K169</f>
        <v/>
      </c>
      <c r="M337" s="16">
        <f>M334</f>
        <v/>
      </c>
      <c r="N337" s="2">
        <f>N334</f>
        <v/>
      </c>
      <c r="O337" s="16">
        <f>O334</f>
        <v/>
      </c>
      <c r="P337" s="4">
        <f>交易明細!L169</f>
        <v/>
      </c>
      <c r="Q337" s="10">
        <f>IF(N337="已下單",O337*P337,0)</f>
        <v/>
      </c>
      <c r="R337" s="10">
        <f>R336+Q337</f>
        <v/>
      </c>
      <c r="S337" s="16">
        <f>S336-IF(N337="已下單",M337,0)</f>
        <v/>
      </c>
      <c r="T337" s="16">
        <f>R337-S337</f>
        <v/>
      </c>
      <c r="U337" s="2">
        <f>U336-IF(N337="已下單",1,0)</f>
        <v/>
      </c>
      <c r="V337" s="16">
        <f>IF(資金模擬!$B$9=2,MAX(R337,0),MAX(V336,FLOOR(MAX(R337,0),資金模擬!$B$6)))</f>
        <v/>
      </c>
      <c r="W337" s="10">
        <f>MAX(W336,R337)</f>
        <v/>
      </c>
      <c r="X337" s="4">
        <f>IF(W337&gt;0,R337/W337-1,-1)</f>
        <v/>
      </c>
      <c r="Y337" s="16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46276.625</v>
      </c>
      <c r="C338" s="2" t="inlineStr">
        <is>
          <t>進場</t>
        </is>
      </c>
      <c r="D338" s="2" t="n">
        <v>169</v>
      </c>
      <c r="E338" s="2" t="inlineStr">
        <is>
          <t>UAI_USDT_PERP</t>
        </is>
      </c>
      <c r="F338" s="2" t="inlineStr">
        <is>
          <t>做空</t>
        </is>
      </c>
      <c r="G338" s="17" t="n">
        <v>0.6024</v>
      </c>
      <c r="H338" s="17" t="n">
        <v>0.5843280000000001</v>
      </c>
      <c r="I338" s="17" t="n">
        <v>0.6325200000000001</v>
      </c>
      <c r="J338" s="17" t="n"/>
      <c r="K338" s="2" t="n"/>
      <c r="L338" s="5" t="n"/>
      <c r="M338" s="16">
        <f>資金模擬!$B$5*V337</f>
        <v/>
      </c>
      <c r="N338" s="2">
        <f>IF(Z337=1,"已停止",IF(T337&gt;=M338,"已下單","資金不足略過"))</f>
        <v/>
      </c>
      <c r="O338" s="16">
        <f>IF(N338="已下單",M338*資金模擬!$B$7,0)</f>
        <v/>
      </c>
      <c r="P338" s="4" t="n"/>
      <c r="Q338" s="10" t="n">
        <v>0</v>
      </c>
      <c r="R338" s="10">
        <f>R337+Q338</f>
        <v/>
      </c>
      <c r="S338" s="16">
        <f>S337+IF(N338="已下單",M338,0)</f>
        <v/>
      </c>
      <c r="T338" s="16">
        <f>R338-S338</f>
        <v/>
      </c>
      <c r="U338" s="2">
        <f>U337+IF(N338="已下單",1,0)</f>
        <v/>
      </c>
      <c r="V338" s="16">
        <f>IF(資金模擬!$B$9=2,MAX(R338,0),MAX(V337,FLOOR(MAX(R338,0),資金模擬!$B$6)))</f>
        <v/>
      </c>
      <c r="W338" s="10">
        <f>MAX(W337,R338)</f>
        <v/>
      </c>
      <c r="X338" s="4">
        <f>IF(W338&gt;0,R338/W338-1,-1)</f>
        <v/>
      </c>
      <c r="Y338" s="16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46276.66666666666</v>
      </c>
      <c r="C339" s="2" t="inlineStr">
        <is>
          <t>出場</t>
        </is>
      </c>
      <c r="D339" s="2" t="n">
        <v>169</v>
      </c>
      <c r="E339" s="2" t="inlineStr">
        <is>
          <t>UAI_USDT_PERP</t>
        </is>
      </c>
      <c r="F339" s="2" t="inlineStr">
        <is>
          <t>做空</t>
        </is>
      </c>
      <c r="G339" s="17" t="n">
        <v>0.6024</v>
      </c>
      <c r="H339" s="17" t="n">
        <v>0.5843280000000001</v>
      </c>
      <c r="I339" s="17" t="n">
        <v>0.6325200000000001</v>
      </c>
      <c r="J339" s="17" t="n">
        <v>0.6325200000000001</v>
      </c>
      <c r="K339" s="2" t="inlineStr">
        <is>
          <t>止損</t>
        </is>
      </c>
      <c r="L339" s="5">
        <f>交易明細!K170</f>
        <v/>
      </c>
      <c r="M339" s="16">
        <f>M338</f>
        <v/>
      </c>
      <c r="N339" s="2">
        <f>N338</f>
        <v/>
      </c>
      <c r="O339" s="16">
        <f>O338</f>
        <v/>
      </c>
      <c r="P339" s="4">
        <f>交易明細!L170</f>
        <v/>
      </c>
      <c r="Q339" s="10">
        <f>IF(N339="已下單",O339*P339,0)</f>
        <v/>
      </c>
      <c r="R339" s="10">
        <f>R338+Q339</f>
        <v/>
      </c>
      <c r="S339" s="16">
        <f>S338-IF(N339="已下單",M339,0)</f>
        <v/>
      </c>
      <c r="T339" s="16">
        <f>R339-S339</f>
        <v/>
      </c>
      <c r="U339" s="2">
        <f>U338-IF(N339="已下單",1,0)</f>
        <v/>
      </c>
      <c r="V339" s="16">
        <f>IF(資金模擬!$B$9=2,MAX(R339,0),MAX(V338,FLOOR(MAX(R339,0),資金模擬!$B$6)))</f>
        <v/>
      </c>
      <c r="W339" s="10">
        <f>MAX(W338,R339)</f>
        <v/>
      </c>
      <c r="X339" s="4">
        <f>IF(W339&gt;0,R339/W339-1,-1)</f>
        <v/>
      </c>
      <c r="Y339" s="16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46276.75</v>
      </c>
      <c r="C340" s="2" t="inlineStr">
        <is>
          <t>進場</t>
        </is>
      </c>
      <c r="D340" s="2" t="n">
        <v>170</v>
      </c>
      <c r="E340" s="2" t="inlineStr">
        <is>
          <t>IOST_USDT_PERP</t>
        </is>
      </c>
      <c r="F340" s="2" t="inlineStr">
        <is>
          <t>做空</t>
        </is>
      </c>
      <c r="G340" s="17" t="n">
        <v>0.000976</v>
      </c>
      <c r="H340" s="17" t="n">
        <v>0.00094672</v>
      </c>
      <c r="I340" s="17" t="n">
        <v>0.0010248</v>
      </c>
      <c r="J340" s="17" t="n"/>
      <c r="K340" s="2" t="n"/>
      <c r="L340" s="5" t="n"/>
      <c r="M340" s="16">
        <f>資金模擬!$B$5*V339</f>
        <v/>
      </c>
      <c r="N340" s="2">
        <f>IF(Z339=1,"已停止",IF(T339&gt;=M340,"已下單","資金不足略過"))</f>
        <v/>
      </c>
      <c r="O340" s="16">
        <f>IF(N340="已下單",M340*資金模擬!$B$7,0)</f>
        <v/>
      </c>
      <c r="P340" s="4" t="n"/>
      <c r="Q340" s="10" t="n">
        <v>0</v>
      </c>
      <c r="R340" s="10">
        <f>R339+Q340</f>
        <v/>
      </c>
      <c r="S340" s="16">
        <f>S339+IF(N340="已下單",M340,0)</f>
        <v/>
      </c>
      <c r="T340" s="16">
        <f>R340-S340</f>
        <v/>
      </c>
      <c r="U340" s="2">
        <f>U339+IF(N340="已下單",1,0)</f>
        <v/>
      </c>
      <c r="V340" s="16">
        <f>IF(資金模擬!$B$9=2,MAX(R340,0),MAX(V339,FLOOR(MAX(R340,0),資金模擬!$B$6)))</f>
        <v/>
      </c>
      <c r="W340" s="10">
        <f>MAX(W339,R340)</f>
        <v/>
      </c>
      <c r="X340" s="4">
        <f>IF(W340&gt;0,R340/W340-1,-1)</f>
        <v/>
      </c>
      <c r="Y340" s="16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46276.79166666666</v>
      </c>
      <c r="C341" s="2" t="inlineStr">
        <is>
          <t>出場</t>
        </is>
      </c>
      <c r="D341" s="2" t="n">
        <v>170</v>
      </c>
      <c r="E341" s="2" t="inlineStr">
        <is>
          <t>IOST_USDT_PERP</t>
        </is>
      </c>
      <c r="F341" s="2" t="inlineStr">
        <is>
          <t>做空</t>
        </is>
      </c>
      <c r="G341" s="17" t="n">
        <v>0.000976</v>
      </c>
      <c r="H341" s="17" t="n">
        <v>0.00094672</v>
      </c>
      <c r="I341" s="17" t="n">
        <v>0.0010248</v>
      </c>
      <c r="J341" s="17" t="n">
        <v>0.00094672</v>
      </c>
      <c r="K341" s="2" t="inlineStr">
        <is>
          <t>止盈</t>
        </is>
      </c>
      <c r="L341" s="5">
        <f>交易明細!K171</f>
        <v/>
      </c>
      <c r="M341" s="16">
        <f>M340</f>
        <v/>
      </c>
      <c r="N341" s="2">
        <f>N340</f>
        <v/>
      </c>
      <c r="O341" s="16">
        <f>O340</f>
        <v/>
      </c>
      <c r="P341" s="4">
        <f>交易明細!L171</f>
        <v/>
      </c>
      <c r="Q341" s="10">
        <f>IF(N341="已下單",O341*P341,0)</f>
        <v/>
      </c>
      <c r="R341" s="10">
        <f>R340+Q341</f>
        <v/>
      </c>
      <c r="S341" s="16">
        <f>S340-IF(N341="已下單",M341,0)</f>
        <v/>
      </c>
      <c r="T341" s="16">
        <f>R341-S341</f>
        <v/>
      </c>
      <c r="U341" s="2">
        <f>U340-IF(N341="已下單",1,0)</f>
        <v/>
      </c>
      <c r="V341" s="16">
        <f>IF(資金模擬!$B$9=2,MAX(R341,0),MAX(V340,FLOOR(MAX(R341,0),資金模擬!$B$6)))</f>
        <v/>
      </c>
      <c r="W341" s="10">
        <f>MAX(W340,R341)</f>
        <v/>
      </c>
      <c r="X341" s="4">
        <f>IF(W341&gt;0,R341/W341-1,-1)</f>
        <v/>
      </c>
      <c r="Y341" s="16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46276.83333333334</v>
      </c>
      <c r="C342" s="2" t="inlineStr">
        <is>
          <t>進場</t>
        </is>
      </c>
      <c r="D342" s="2" t="n">
        <v>171</v>
      </c>
      <c r="E342" s="2" t="inlineStr">
        <is>
          <t>VVV_USDT_PERP</t>
        </is>
      </c>
      <c r="F342" s="2" t="inlineStr">
        <is>
          <t>做多</t>
        </is>
      </c>
      <c r="G342" s="17" t="n">
        <v>24.665</v>
      </c>
      <c r="H342" s="17" t="n">
        <v>25.40495</v>
      </c>
      <c r="I342" s="17" t="n">
        <v>23.43175</v>
      </c>
      <c r="J342" s="17" t="n"/>
      <c r="K342" s="2" t="n"/>
      <c r="L342" s="5" t="n"/>
      <c r="M342" s="16">
        <f>資金模擬!$B$5*V341</f>
        <v/>
      </c>
      <c r="N342" s="2">
        <f>IF(Z341=1,"已停止",IF(T341&gt;=M342,"已下單","資金不足略過"))</f>
        <v/>
      </c>
      <c r="O342" s="16">
        <f>IF(N342="已下單",M342*資金模擬!$B$7,0)</f>
        <v/>
      </c>
      <c r="P342" s="4" t="n"/>
      <c r="Q342" s="10" t="n">
        <v>0</v>
      </c>
      <c r="R342" s="10">
        <f>R341+Q342</f>
        <v/>
      </c>
      <c r="S342" s="16">
        <f>S341+IF(N342="已下單",M342,0)</f>
        <v/>
      </c>
      <c r="T342" s="16">
        <f>R342-S342</f>
        <v/>
      </c>
      <c r="U342" s="2">
        <f>U341+IF(N342="已下單",1,0)</f>
        <v/>
      </c>
      <c r="V342" s="16">
        <f>IF(資金模擬!$B$9=2,MAX(R342,0),MAX(V341,FLOOR(MAX(R342,0),資金模擬!$B$6)))</f>
        <v/>
      </c>
      <c r="W342" s="10">
        <f>MAX(W341,R342)</f>
        <v/>
      </c>
      <c r="X342" s="4">
        <f>IF(W342&gt;0,R342/W342-1,-1)</f>
        <v/>
      </c>
      <c r="Y342" s="16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46276.875</v>
      </c>
      <c r="C343" s="2" t="inlineStr">
        <is>
          <t>出場</t>
        </is>
      </c>
      <c r="D343" s="2" t="n">
        <v>166</v>
      </c>
      <c r="E343" s="2" t="inlineStr">
        <is>
          <t>NEAR_USDT_PERP</t>
        </is>
      </c>
      <c r="F343" s="2" t="inlineStr">
        <is>
          <t>做空</t>
        </is>
      </c>
      <c r="G343" s="17" t="n">
        <v>2.418</v>
      </c>
      <c r="H343" s="17" t="n">
        <v>2.34546</v>
      </c>
      <c r="I343" s="17" t="n">
        <v>2.5389</v>
      </c>
      <c r="J343" s="17" t="n">
        <v>2.5389</v>
      </c>
      <c r="K343" s="2" t="inlineStr">
        <is>
          <t>止損</t>
        </is>
      </c>
      <c r="L343" s="5">
        <f>交易明細!K167</f>
        <v/>
      </c>
      <c r="M343" s="16">
        <f>M331</f>
        <v/>
      </c>
      <c r="N343" s="2">
        <f>N331</f>
        <v/>
      </c>
      <c r="O343" s="16">
        <f>O331</f>
        <v/>
      </c>
      <c r="P343" s="4">
        <f>交易明細!L167</f>
        <v/>
      </c>
      <c r="Q343" s="10">
        <f>IF(N343="已下單",O343*P343,0)</f>
        <v/>
      </c>
      <c r="R343" s="10">
        <f>R342+Q343</f>
        <v/>
      </c>
      <c r="S343" s="16">
        <f>S342-IF(N343="已下單",M343,0)</f>
        <v/>
      </c>
      <c r="T343" s="16">
        <f>R343-S343</f>
        <v/>
      </c>
      <c r="U343" s="2">
        <f>U342-IF(N343="已下單",1,0)</f>
        <v/>
      </c>
      <c r="V343" s="16">
        <f>IF(資金模擬!$B$9=2,MAX(R343,0),MAX(V342,FLOOR(MAX(R343,0),資金模擬!$B$6)))</f>
        <v/>
      </c>
      <c r="W343" s="10">
        <f>MAX(W342,R343)</f>
        <v/>
      </c>
      <c r="X343" s="4">
        <f>IF(W343&gt;0,R343/W343-1,-1)</f>
        <v/>
      </c>
      <c r="Y343" s="16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46276.875</v>
      </c>
      <c r="C344" s="2" t="inlineStr">
        <is>
          <t>出場</t>
        </is>
      </c>
      <c r="D344" s="2" t="n">
        <v>171</v>
      </c>
      <c r="E344" s="2" t="inlineStr">
        <is>
          <t>VVV_USDT_PERP</t>
        </is>
      </c>
      <c r="F344" s="2" t="inlineStr">
        <is>
          <t>做多</t>
        </is>
      </c>
      <c r="G344" s="17" t="n">
        <v>24.665</v>
      </c>
      <c r="H344" s="17" t="n">
        <v>25.40495</v>
      </c>
      <c r="I344" s="17" t="n">
        <v>23.43175</v>
      </c>
      <c r="J344" s="17" t="n">
        <v>25.40495</v>
      </c>
      <c r="K344" s="2" t="inlineStr">
        <is>
          <t>止盈</t>
        </is>
      </c>
      <c r="L344" s="5">
        <f>交易明細!K172</f>
        <v/>
      </c>
      <c r="M344" s="16">
        <f>M342</f>
        <v/>
      </c>
      <c r="N344" s="2">
        <f>N342</f>
        <v/>
      </c>
      <c r="O344" s="16">
        <f>O342</f>
        <v/>
      </c>
      <c r="P344" s="4">
        <f>交易明細!L172</f>
        <v/>
      </c>
      <c r="Q344" s="10">
        <f>IF(N344="已下單",O344*P344,0)</f>
        <v/>
      </c>
      <c r="R344" s="10">
        <f>R343+Q344</f>
        <v/>
      </c>
      <c r="S344" s="16">
        <f>S343-IF(N344="已下單",M344,0)</f>
        <v/>
      </c>
      <c r="T344" s="16">
        <f>R344-S344</f>
        <v/>
      </c>
      <c r="U344" s="2">
        <f>U343-IF(N344="已下單",1,0)</f>
        <v/>
      </c>
      <c r="V344" s="16">
        <f>IF(資金模擬!$B$9=2,MAX(R344,0),MAX(V343,FLOOR(MAX(R344,0),資金模擬!$B$6)))</f>
        <v/>
      </c>
      <c r="W344" s="10">
        <f>MAX(W343,R344)</f>
        <v/>
      </c>
      <c r="X344" s="4">
        <f>IF(W344&gt;0,R344/W344-1,-1)</f>
        <v/>
      </c>
      <c r="Y344" s="16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46276.875</v>
      </c>
      <c r="C345" s="2" t="inlineStr">
        <is>
          <t>進場</t>
        </is>
      </c>
      <c r="D345" s="2" t="n">
        <v>172</v>
      </c>
      <c r="E345" s="2" t="inlineStr">
        <is>
          <t>LIT_USDT_PERP</t>
        </is>
      </c>
      <c r="F345" s="2" t="inlineStr">
        <is>
          <t>做多</t>
        </is>
      </c>
      <c r="G345" s="17" t="n">
        <v>4.659</v>
      </c>
      <c r="H345" s="17" t="n">
        <v>4.79877</v>
      </c>
      <c r="I345" s="17" t="n">
        <v>4.42605</v>
      </c>
      <c r="J345" s="17" t="n"/>
      <c r="K345" s="2" t="n"/>
      <c r="L345" s="5" t="n"/>
      <c r="M345" s="16">
        <f>資金模擬!$B$5*V344</f>
        <v/>
      </c>
      <c r="N345" s="2">
        <f>IF(Z344=1,"已停止",IF(T344&gt;=M345,"已下單","資金不足略過"))</f>
        <v/>
      </c>
      <c r="O345" s="16">
        <f>IF(N345="已下單",M345*資金模擬!$B$7,0)</f>
        <v/>
      </c>
      <c r="P345" s="4" t="n"/>
      <c r="Q345" s="10" t="n">
        <v>0</v>
      </c>
      <c r="R345" s="10">
        <f>R344+Q345</f>
        <v/>
      </c>
      <c r="S345" s="16">
        <f>S344+IF(N345="已下單",M345,0)</f>
        <v/>
      </c>
      <c r="T345" s="16">
        <f>R345-S345</f>
        <v/>
      </c>
      <c r="U345" s="2">
        <f>U344+IF(N345="已下單",1,0)</f>
        <v/>
      </c>
      <c r="V345" s="16">
        <f>IF(資金模擬!$B$9=2,MAX(R345,0),MAX(V344,FLOOR(MAX(R345,0),資金模擬!$B$6)))</f>
        <v/>
      </c>
      <c r="W345" s="10">
        <f>MAX(W344,R345)</f>
        <v/>
      </c>
      <c r="X345" s="4">
        <f>IF(W345&gt;0,R345/W345-1,-1)</f>
        <v/>
      </c>
      <c r="Y345" s="16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46276.875</v>
      </c>
      <c r="C346" s="2" t="inlineStr">
        <is>
          <t>進場</t>
        </is>
      </c>
      <c r="D346" s="2" t="n">
        <v>173</v>
      </c>
      <c r="E346" s="2" t="inlineStr">
        <is>
          <t>PONS_USDT_PERP</t>
        </is>
      </c>
      <c r="F346" s="2" t="inlineStr">
        <is>
          <t>做多</t>
        </is>
      </c>
      <c r="G346" s="17" t="n">
        <v>0.6194</v>
      </c>
      <c r="H346" s="17" t="n">
        <v>0.6379819999999999</v>
      </c>
      <c r="I346" s="17" t="n">
        <v>0.5884299999999999</v>
      </c>
      <c r="J346" s="17" t="n"/>
      <c r="K346" s="2" t="n"/>
      <c r="L346" s="5" t="n"/>
      <c r="M346" s="16">
        <f>資金模擬!$B$5*V345</f>
        <v/>
      </c>
      <c r="N346" s="2">
        <f>IF(Z345=1,"已停止",IF(T345&gt;=M346,"已下單","資金不足略過"))</f>
        <v/>
      </c>
      <c r="O346" s="16">
        <f>IF(N346="已下單",M346*資金模擬!$B$7,0)</f>
        <v/>
      </c>
      <c r="P346" s="4" t="n"/>
      <c r="Q346" s="10" t="n">
        <v>0</v>
      </c>
      <c r="R346" s="10">
        <f>R345+Q346</f>
        <v/>
      </c>
      <c r="S346" s="16">
        <f>S345+IF(N346="已下單",M346,0)</f>
        <v/>
      </c>
      <c r="T346" s="16">
        <f>R346-S346</f>
        <v/>
      </c>
      <c r="U346" s="2">
        <f>U345+IF(N346="已下單",1,0)</f>
        <v/>
      </c>
      <c r="V346" s="16">
        <f>IF(資金模擬!$B$9=2,MAX(R346,0),MAX(V345,FLOOR(MAX(R346,0),資金模擬!$B$6)))</f>
        <v/>
      </c>
      <c r="W346" s="10">
        <f>MAX(W345,R346)</f>
        <v/>
      </c>
      <c r="X346" s="4">
        <f>IF(W346&gt;0,R346/W346-1,-1)</f>
        <v/>
      </c>
      <c r="Y346" s="16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46276.875</v>
      </c>
      <c r="C347" s="2" t="inlineStr">
        <is>
          <t>進場</t>
        </is>
      </c>
      <c r="D347" s="2" t="n">
        <v>174</v>
      </c>
      <c r="E347" s="2" t="inlineStr">
        <is>
          <t>ZEC_USDT_PERP</t>
        </is>
      </c>
      <c r="F347" s="2" t="inlineStr">
        <is>
          <t>做多</t>
        </is>
      </c>
      <c r="G347" s="17" t="n">
        <v>1150.81</v>
      </c>
      <c r="H347" s="17" t="n">
        <v>1185.3343</v>
      </c>
      <c r="I347" s="17" t="n">
        <v>1093.2695</v>
      </c>
      <c r="J347" s="17" t="n"/>
      <c r="K347" s="2" t="n"/>
      <c r="L347" s="5" t="n"/>
      <c r="M347" s="16">
        <f>資金模擬!$B$5*V346</f>
        <v/>
      </c>
      <c r="N347" s="2">
        <f>IF(Z346=1,"已停止",IF(T346&gt;=M347,"已下單","資金不足略過"))</f>
        <v/>
      </c>
      <c r="O347" s="16">
        <f>IF(N347="已下單",M347*資金模擬!$B$7,0)</f>
        <v/>
      </c>
      <c r="P347" s="4" t="n"/>
      <c r="Q347" s="10" t="n">
        <v>0</v>
      </c>
      <c r="R347" s="10">
        <f>R346+Q347</f>
        <v/>
      </c>
      <c r="S347" s="16">
        <f>S346+IF(N347="已下單",M347,0)</f>
        <v/>
      </c>
      <c r="T347" s="16">
        <f>R347-S347</f>
        <v/>
      </c>
      <c r="U347" s="2">
        <f>U346+IF(N347="已下單",1,0)</f>
        <v/>
      </c>
      <c r="V347" s="16">
        <f>IF(資金模擬!$B$9=2,MAX(R347,0),MAX(V346,FLOOR(MAX(R347,0),資金模擬!$B$6)))</f>
        <v/>
      </c>
      <c r="W347" s="10">
        <f>MAX(W346,R347)</f>
        <v/>
      </c>
      <c r="X347" s="4">
        <f>IF(W347&gt;0,R347/W347-1,-1)</f>
        <v/>
      </c>
      <c r="Y347" s="16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46276.91666666666</v>
      </c>
      <c r="C348" s="2" t="inlineStr">
        <is>
          <t>出場</t>
        </is>
      </c>
      <c r="D348" s="2" t="n">
        <v>173</v>
      </c>
      <c r="E348" s="2" t="inlineStr">
        <is>
          <t>PONS_USDT_PERP</t>
        </is>
      </c>
      <c r="F348" s="2" t="inlineStr">
        <is>
          <t>做多</t>
        </is>
      </c>
      <c r="G348" s="17" t="n">
        <v>0.6194</v>
      </c>
      <c r="H348" s="17" t="n">
        <v>0.6379819999999999</v>
      </c>
      <c r="I348" s="17" t="n">
        <v>0.5884299999999999</v>
      </c>
      <c r="J348" s="17" t="n">
        <v>0.6379819999999999</v>
      </c>
      <c r="K348" s="2" t="inlineStr">
        <is>
          <t>止盈</t>
        </is>
      </c>
      <c r="L348" s="5">
        <f>交易明細!K174</f>
        <v/>
      </c>
      <c r="M348" s="16">
        <f>M346</f>
        <v/>
      </c>
      <c r="N348" s="2">
        <f>N346</f>
        <v/>
      </c>
      <c r="O348" s="16">
        <f>O346</f>
        <v/>
      </c>
      <c r="P348" s="4">
        <f>交易明細!L174</f>
        <v/>
      </c>
      <c r="Q348" s="10">
        <f>IF(N348="已下單",O348*P348,0)</f>
        <v/>
      </c>
      <c r="R348" s="10">
        <f>R347+Q348</f>
        <v/>
      </c>
      <c r="S348" s="16">
        <f>S347-IF(N348="已下單",M348,0)</f>
        <v/>
      </c>
      <c r="T348" s="16">
        <f>R348-S348</f>
        <v/>
      </c>
      <c r="U348" s="2">
        <f>U347-IF(N348="已下單",1,0)</f>
        <v/>
      </c>
      <c r="V348" s="16">
        <f>IF(資金模擬!$B$9=2,MAX(R348,0),MAX(V347,FLOOR(MAX(R348,0),資金模擬!$B$6)))</f>
        <v/>
      </c>
      <c r="W348" s="10">
        <f>MAX(W347,R348)</f>
        <v/>
      </c>
      <c r="X348" s="4">
        <f>IF(W348&gt;0,R348/W348-1,-1)</f>
        <v/>
      </c>
      <c r="Y348" s="16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46276.91666666666</v>
      </c>
      <c r="C349" s="2" t="inlineStr">
        <is>
          <t>出場</t>
        </is>
      </c>
      <c r="D349" s="2" t="n">
        <v>174</v>
      </c>
      <c r="E349" s="2" t="inlineStr">
        <is>
          <t>ZEC_USDT_PERP</t>
        </is>
      </c>
      <c r="F349" s="2" t="inlineStr">
        <is>
          <t>做多</t>
        </is>
      </c>
      <c r="G349" s="17" t="n">
        <v>1150.81</v>
      </c>
      <c r="H349" s="17" t="n">
        <v>1185.3343</v>
      </c>
      <c r="I349" s="17" t="n">
        <v>1093.2695</v>
      </c>
      <c r="J349" s="17" t="n">
        <v>1185.3343</v>
      </c>
      <c r="K349" s="2" t="inlineStr">
        <is>
          <t>止盈</t>
        </is>
      </c>
      <c r="L349" s="5">
        <f>交易明細!K175</f>
        <v/>
      </c>
      <c r="M349" s="16">
        <f>M347</f>
        <v/>
      </c>
      <c r="N349" s="2">
        <f>N347</f>
        <v/>
      </c>
      <c r="O349" s="16">
        <f>O347</f>
        <v/>
      </c>
      <c r="P349" s="4">
        <f>交易明細!L175</f>
        <v/>
      </c>
      <c r="Q349" s="10">
        <f>IF(N349="已下單",O349*P349,0)</f>
        <v/>
      </c>
      <c r="R349" s="10">
        <f>R348+Q349</f>
        <v/>
      </c>
      <c r="S349" s="16">
        <f>S348-IF(N349="已下單",M349,0)</f>
        <v/>
      </c>
      <c r="T349" s="16">
        <f>R349-S349</f>
        <v/>
      </c>
      <c r="U349" s="2">
        <f>U348-IF(N349="已下單",1,0)</f>
        <v/>
      </c>
      <c r="V349" s="16">
        <f>IF(資金模擬!$B$9=2,MAX(R349,0),MAX(V348,FLOOR(MAX(R349,0),資金模擬!$B$6)))</f>
        <v/>
      </c>
      <c r="W349" s="10">
        <f>MAX(W348,R349)</f>
        <v/>
      </c>
      <c r="X349" s="4">
        <f>IF(W349&gt;0,R349/W349-1,-1)</f>
        <v/>
      </c>
      <c r="Y349" s="16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46276.91666666666</v>
      </c>
      <c r="C350" s="2" t="inlineStr">
        <is>
          <t>進場</t>
        </is>
      </c>
      <c r="D350" s="2" t="n">
        <v>175</v>
      </c>
      <c r="E350" s="2" t="inlineStr">
        <is>
          <t>PUMP_USDT_PERP</t>
        </is>
      </c>
      <c r="F350" s="2" t="inlineStr">
        <is>
          <t>做多</t>
        </is>
      </c>
      <c r="G350" s="17" t="n">
        <v>0.003843</v>
      </c>
      <c r="H350" s="17" t="n">
        <v>0.003958290000000001</v>
      </c>
      <c r="I350" s="17" t="n">
        <v>0.00365085</v>
      </c>
      <c r="J350" s="17" t="n"/>
      <c r="K350" s="2" t="n"/>
      <c r="L350" s="5" t="n"/>
      <c r="M350" s="16">
        <f>資金模擬!$B$5*V349</f>
        <v/>
      </c>
      <c r="N350" s="2">
        <f>IF(Z349=1,"已停止",IF(T349&gt;=M350,"已下單","資金不足略過"))</f>
        <v/>
      </c>
      <c r="O350" s="16">
        <f>IF(N350="已下單",M350*資金模擬!$B$7,0)</f>
        <v/>
      </c>
      <c r="P350" s="4" t="n"/>
      <c r="Q350" s="10" t="n">
        <v>0</v>
      </c>
      <c r="R350" s="10">
        <f>R349+Q350</f>
        <v/>
      </c>
      <c r="S350" s="16">
        <f>S349+IF(N350="已下單",M350,0)</f>
        <v/>
      </c>
      <c r="T350" s="16">
        <f>R350-S350</f>
        <v/>
      </c>
      <c r="U350" s="2">
        <f>U349+IF(N350="已下單",1,0)</f>
        <v/>
      </c>
      <c r="V350" s="16">
        <f>IF(資金模擬!$B$9=2,MAX(R350,0),MAX(V349,FLOOR(MAX(R350,0),資金模擬!$B$6)))</f>
        <v/>
      </c>
      <c r="W350" s="10">
        <f>MAX(W349,R350)</f>
        <v/>
      </c>
      <c r="X350" s="4">
        <f>IF(W350&gt;0,R350/W350-1,-1)</f>
        <v/>
      </c>
      <c r="Y350" s="16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46276.95833333334</v>
      </c>
      <c r="C351" s="2" t="inlineStr">
        <is>
          <t>出場</t>
        </is>
      </c>
      <c r="D351" s="2" t="n">
        <v>172</v>
      </c>
      <c r="E351" s="2" t="inlineStr">
        <is>
          <t>LIT_USDT_PERP</t>
        </is>
      </c>
      <c r="F351" s="2" t="inlineStr">
        <is>
          <t>做多</t>
        </is>
      </c>
      <c r="G351" s="17" t="n">
        <v>4.659</v>
      </c>
      <c r="H351" s="17" t="n">
        <v>4.79877</v>
      </c>
      <c r="I351" s="17" t="n">
        <v>4.42605</v>
      </c>
      <c r="J351" s="17" t="n">
        <v>4.79877</v>
      </c>
      <c r="K351" s="2" t="inlineStr">
        <is>
          <t>止盈</t>
        </is>
      </c>
      <c r="L351" s="5">
        <f>交易明細!K173</f>
        <v/>
      </c>
      <c r="M351" s="16">
        <f>M345</f>
        <v/>
      </c>
      <c r="N351" s="2">
        <f>N345</f>
        <v/>
      </c>
      <c r="O351" s="16">
        <f>O345</f>
        <v/>
      </c>
      <c r="P351" s="4">
        <f>交易明細!L173</f>
        <v/>
      </c>
      <c r="Q351" s="10">
        <f>IF(N351="已下單",O351*P351,0)</f>
        <v/>
      </c>
      <c r="R351" s="10">
        <f>R350+Q351</f>
        <v/>
      </c>
      <c r="S351" s="16">
        <f>S350-IF(N351="已下單",M351,0)</f>
        <v/>
      </c>
      <c r="T351" s="16">
        <f>R351-S351</f>
        <v/>
      </c>
      <c r="U351" s="2">
        <f>U350-IF(N351="已下單",1,0)</f>
        <v/>
      </c>
      <c r="V351" s="16">
        <f>IF(資金模擬!$B$9=2,MAX(R351,0),MAX(V350,FLOOR(MAX(R351,0),資金模擬!$B$6)))</f>
        <v/>
      </c>
      <c r="W351" s="10">
        <f>MAX(W350,R351)</f>
        <v/>
      </c>
      <c r="X351" s="4">
        <f>IF(W351&gt;0,R351/W351-1,-1)</f>
        <v/>
      </c>
      <c r="Y351" s="16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46277</v>
      </c>
      <c r="C352" s="2" t="inlineStr">
        <is>
          <t>出場</t>
        </is>
      </c>
      <c r="D352" s="2" t="n">
        <v>175</v>
      </c>
      <c r="E352" s="2" t="inlineStr">
        <is>
          <t>PUMP_USDT_PERP</t>
        </is>
      </c>
      <c r="F352" s="2" t="inlineStr">
        <is>
          <t>做多</t>
        </is>
      </c>
      <c r="G352" s="17" t="n">
        <v>0.003843</v>
      </c>
      <c r="H352" s="17" t="n">
        <v>0.003958290000000001</v>
      </c>
      <c r="I352" s="17" t="n">
        <v>0.00365085</v>
      </c>
      <c r="J352" s="17" t="n">
        <v>0.00365085</v>
      </c>
      <c r="K352" s="2" t="inlineStr">
        <is>
          <t>止損</t>
        </is>
      </c>
      <c r="L352" s="5">
        <f>交易明細!K176</f>
        <v/>
      </c>
      <c r="M352" s="16">
        <f>M350</f>
        <v/>
      </c>
      <c r="N352" s="2">
        <f>N350</f>
        <v/>
      </c>
      <c r="O352" s="16">
        <f>O350</f>
        <v/>
      </c>
      <c r="P352" s="4">
        <f>交易明細!L176</f>
        <v/>
      </c>
      <c r="Q352" s="10">
        <f>IF(N352="已下單",O352*P352,0)</f>
        <v/>
      </c>
      <c r="R352" s="10">
        <f>R351+Q352</f>
        <v/>
      </c>
      <c r="S352" s="16">
        <f>S351-IF(N352="已下單",M352,0)</f>
        <v/>
      </c>
      <c r="T352" s="16">
        <f>R352-S352</f>
        <v/>
      </c>
      <c r="U352" s="2">
        <f>U351-IF(N352="已下單",1,0)</f>
        <v/>
      </c>
      <c r="V352" s="16">
        <f>IF(資金模擬!$B$9=2,MAX(R352,0),MAX(V351,FLOOR(MAX(R352,0),資金模擬!$B$6)))</f>
        <v/>
      </c>
      <c r="W352" s="10">
        <f>MAX(W351,R352)</f>
        <v/>
      </c>
      <c r="X352" s="4">
        <f>IF(W352&gt;0,R352/W352-1,-1)</f>
        <v/>
      </c>
      <c r="Y352" s="16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46277.04166666666</v>
      </c>
      <c r="C353" s="2" t="inlineStr">
        <is>
          <t>進場</t>
        </is>
      </c>
      <c r="D353" s="2" t="n">
        <v>176</v>
      </c>
      <c r="E353" s="2" t="inlineStr">
        <is>
          <t>PONS_USDT_PERP</t>
        </is>
      </c>
      <c r="F353" s="2" t="inlineStr">
        <is>
          <t>做空</t>
        </is>
      </c>
      <c r="G353" s="17" t="n">
        <v>0.6084000000000001</v>
      </c>
      <c r="H353" s="17" t="n">
        <v>0.590148</v>
      </c>
      <c r="I353" s="17" t="n">
        <v>0.6388200000000001</v>
      </c>
      <c r="J353" s="17" t="n"/>
      <c r="K353" s="2" t="n"/>
      <c r="L353" s="5" t="n"/>
      <c r="M353" s="16">
        <f>資金模擬!$B$5*V352</f>
        <v/>
      </c>
      <c r="N353" s="2">
        <f>IF(Z352=1,"已停止",IF(T352&gt;=M353,"已下單","資金不足略過"))</f>
        <v/>
      </c>
      <c r="O353" s="16">
        <f>IF(N353="已下單",M353*資金模擬!$B$7,0)</f>
        <v/>
      </c>
      <c r="P353" s="4" t="n"/>
      <c r="Q353" s="10" t="n">
        <v>0</v>
      </c>
      <c r="R353" s="10">
        <f>R352+Q353</f>
        <v/>
      </c>
      <c r="S353" s="16">
        <f>S352+IF(N353="已下單",M353,0)</f>
        <v/>
      </c>
      <c r="T353" s="16">
        <f>R353-S353</f>
        <v/>
      </c>
      <c r="U353" s="2">
        <f>U352+IF(N353="已下單",1,0)</f>
        <v/>
      </c>
      <c r="V353" s="16">
        <f>IF(資金模擬!$B$9=2,MAX(R353,0),MAX(V352,FLOOR(MAX(R353,0),資金模擬!$B$6)))</f>
        <v/>
      </c>
      <c r="W353" s="10">
        <f>MAX(W352,R353)</f>
        <v/>
      </c>
      <c r="X353" s="4">
        <f>IF(W353&gt;0,R353/W353-1,-1)</f>
        <v/>
      </c>
      <c r="Y353" s="16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46277.08333333334</v>
      </c>
      <c r="C354" s="2" t="inlineStr">
        <is>
          <t>進場</t>
        </is>
      </c>
      <c r="D354" s="2" t="n">
        <v>177</v>
      </c>
      <c r="E354" s="2" t="inlineStr">
        <is>
          <t>IOST_USDT_PERP</t>
        </is>
      </c>
      <c r="F354" s="2" t="inlineStr">
        <is>
          <t>做空</t>
        </is>
      </c>
      <c r="G354" s="17" t="n">
        <v>0.000895</v>
      </c>
      <c r="H354" s="17" t="n">
        <v>0.0008681499999999999</v>
      </c>
      <c r="I354" s="17" t="n">
        <v>0.00093975</v>
      </c>
      <c r="J354" s="17" t="n"/>
      <c r="K354" s="2" t="n"/>
      <c r="L354" s="5" t="n"/>
      <c r="M354" s="16">
        <f>資金模擬!$B$5*V353</f>
        <v/>
      </c>
      <c r="N354" s="2">
        <f>IF(Z353=1,"已停止",IF(T353&gt;=M354,"已下單","資金不足略過"))</f>
        <v/>
      </c>
      <c r="O354" s="16">
        <f>IF(N354="已下單",M354*資金模擬!$B$7,0)</f>
        <v/>
      </c>
      <c r="P354" s="4" t="n"/>
      <c r="Q354" s="10" t="n">
        <v>0</v>
      </c>
      <c r="R354" s="10">
        <f>R353+Q354</f>
        <v/>
      </c>
      <c r="S354" s="16">
        <f>S353+IF(N354="已下單",M354,0)</f>
        <v/>
      </c>
      <c r="T354" s="16">
        <f>R354-S354</f>
        <v/>
      </c>
      <c r="U354" s="2">
        <f>U353+IF(N354="已下單",1,0)</f>
        <v/>
      </c>
      <c r="V354" s="16">
        <f>IF(資金模擬!$B$9=2,MAX(R354,0),MAX(V353,FLOOR(MAX(R354,0),資金模擬!$B$6)))</f>
        <v/>
      </c>
      <c r="W354" s="10">
        <f>MAX(W353,R354)</f>
        <v/>
      </c>
      <c r="X354" s="4">
        <f>IF(W354&gt;0,R354/W354-1,-1)</f>
        <v/>
      </c>
      <c r="Y354" s="16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46277.125</v>
      </c>
      <c r="C355" s="2" t="inlineStr">
        <is>
          <t>進場</t>
        </is>
      </c>
      <c r="D355" s="2" t="n">
        <v>178</v>
      </c>
      <c r="E355" s="2" t="inlineStr">
        <is>
          <t>ENA_USDT_PERP</t>
        </is>
      </c>
      <c r="F355" s="2" t="inlineStr">
        <is>
          <t>做空</t>
        </is>
      </c>
      <c r="G355" s="17" t="n">
        <v>0.1418</v>
      </c>
      <c r="H355" s="17" t="n">
        <v>0.137546</v>
      </c>
      <c r="I355" s="17" t="n">
        <v>0.14889</v>
      </c>
      <c r="J355" s="17" t="n"/>
      <c r="K355" s="2" t="n"/>
      <c r="L355" s="5" t="n"/>
      <c r="M355" s="16">
        <f>資金模擬!$B$5*V354</f>
        <v/>
      </c>
      <c r="N355" s="2">
        <f>IF(Z354=1,"已停止",IF(T354&gt;=M355,"已下單","資金不足略過"))</f>
        <v/>
      </c>
      <c r="O355" s="16">
        <f>IF(N355="已下單",M355*資金模擬!$B$7,0)</f>
        <v/>
      </c>
      <c r="P355" s="4" t="n"/>
      <c r="Q355" s="10" t="n">
        <v>0</v>
      </c>
      <c r="R355" s="10">
        <f>R354+Q355</f>
        <v/>
      </c>
      <c r="S355" s="16">
        <f>S354+IF(N355="已下單",M355,0)</f>
        <v/>
      </c>
      <c r="T355" s="16">
        <f>R355-S355</f>
        <v/>
      </c>
      <c r="U355" s="2">
        <f>U354+IF(N355="已下單",1,0)</f>
        <v/>
      </c>
      <c r="V355" s="16">
        <f>IF(資金模擬!$B$9=2,MAX(R355,0),MAX(V354,FLOOR(MAX(R355,0),資金模擬!$B$6)))</f>
        <v/>
      </c>
      <c r="W355" s="10">
        <f>MAX(W354,R355)</f>
        <v/>
      </c>
      <c r="X355" s="4">
        <f>IF(W355&gt;0,R355/W355-1,-1)</f>
        <v/>
      </c>
      <c r="Y355" s="16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46277.125</v>
      </c>
      <c r="C356" s="2" t="inlineStr">
        <is>
          <t>進場</t>
        </is>
      </c>
      <c r="D356" s="2" t="n">
        <v>179</v>
      </c>
      <c r="E356" s="2" t="inlineStr">
        <is>
          <t>MARSCOIN_USDT_PERP</t>
        </is>
      </c>
      <c r="F356" s="2" t="inlineStr">
        <is>
          <t>做空</t>
        </is>
      </c>
      <c r="G356" s="17" t="n">
        <v>0.12248</v>
      </c>
      <c r="H356" s="17" t="n">
        <v>0.1188056</v>
      </c>
      <c r="I356" s="17" t="n">
        <v>0.128604</v>
      </c>
      <c r="J356" s="17" t="n"/>
      <c r="K356" s="2" t="n"/>
      <c r="L356" s="5" t="n"/>
      <c r="M356" s="16">
        <f>資金模擬!$B$5*V355</f>
        <v/>
      </c>
      <c r="N356" s="2">
        <f>IF(Z355=1,"已停止",IF(T355&gt;=M356,"已下單","資金不足略過"))</f>
        <v/>
      </c>
      <c r="O356" s="16">
        <f>IF(N356="已下單",M356*資金模擬!$B$7,0)</f>
        <v/>
      </c>
      <c r="P356" s="4" t="n"/>
      <c r="Q356" s="10" t="n">
        <v>0</v>
      </c>
      <c r="R356" s="10">
        <f>R355+Q356</f>
        <v/>
      </c>
      <c r="S356" s="16">
        <f>S355+IF(N356="已下單",M356,0)</f>
        <v/>
      </c>
      <c r="T356" s="16">
        <f>R356-S356</f>
        <v/>
      </c>
      <c r="U356" s="2">
        <f>U355+IF(N356="已下單",1,0)</f>
        <v/>
      </c>
      <c r="V356" s="16">
        <f>IF(資金模擬!$B$9=2,MAX(R356,0),MAX(V355,FLOOR(MAX(R356,0),資金模擬!$B$6)))</f>
        <v/>
      </c>
      <c r="W356" s="10">
        <f>MAX(W355,R356)</f>
        <v/>
      </c>
      <c r="X356" s="4">
        <f>IF(W356&gt;0,R356/W356-1,-1)</f>
        <v/>
      </c>
      <c r="Y356" s="16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46277.125</v>
      </c>
      <c r="C357" s="2" t="inlineStr">
        <is>
          <t>進場</t>
        </is>
      </c>
      <c r="D357" s="2" t="n">
        <v>180</v>
      </c>
      <c r="E357" s="2" t="inlineStr">
        <is>
          <t>PUMP_USDT_PERP</t>
        </is>
      </c>
      <c r="F357" s="2" t="inlineStr">
        <is>
          <t>做空</t>
        </is>
      </c>
      <c r="G357" s="17" t="n">
        <v>0.003537</v>
      </c>
      <c r="H357" s="17" t="n">
        <v>0.00343089</v>
      </c>
      <c r="I357" s="17" t="n">
        <v>0.00371385</v>
      </c>
      <c r="J357" s="17" t="n"/>
      <c r="K357" s="2" t="n"/>
      <c r="L357" s="5" t="n"/>
      <c r="M357" s="16">
        <f>資金模擬!$B$5*V356</f>
        <v/>
      </c>
      <c r="N357" s="2">
        <f>IF(Z356=1,"已停止",IF(T356&gt;=M357,"已下單","資金不足略過"))</f>
        <v/>
      </c>
      <c r="O357" s="16">
        <f>IF(N357="已下單",M357*資金模擬!$B$7,0)</f>
        <v/>
      </c>
      <c r="P357" s="4" t="n"/>
      <c r="Q357" s="10" t="n">
        <v>0</v>
      </c>
      <c r="R357" s="10">
        <f>R356+Q357</f>
        <v/>
      </c>
      <c r="S357" s="16">
        <f>S356+IF(N357="已下單",M357,0)</f>
        <v/>
      </c>
      <c r="T357" s="16">
        <f>R357-S357</f>
        <v/>
      </c>
      <c r="U357" s="2">
        <f>U356+IF(N357="已下單",1,0)</f>
        <v/>
      </c>
      <c r="V357" s="16">
        <f>IF(資金模擬!$B$9=2,MAX(R357,0),MAX(V356,FLOOR(MAX(R357,0),資金模擬!$B$6)))</f>
        <v/>
      </c>
      <c r="W357" s="10">
        <f>MAX(W356,R357)</f>
        <v/>
      </c>
      <c r="X357" s="4">
        <f>IF(W357&gt;0,R357/W357-1,-1)</f>
        <v/>
      </c>
      <c r="Y357" s="16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46277.125</v>
      </c>
      <c r="C358" s="2" t="inlineStr">
        <is>
          <t>進場</t>
        </is>
      </c>
      <c r="D358" s="2" t="n">
        <v>181</v>
      </c>
      <c r="E358" s="2" t="inlineStr">
        <is>
          <t>USELESS_USDT_PERP</t>
        </is>
      </c>
      <c r="F358" s="2" t="inlineStr">
        <is>
          <t>做空</t>
        </is>
      </c>
      <c r="G358" s="17" t="n">
        <v>0.22299</v>
      </c>
      <c r="H358" s="17" t="n">
        <v>0.2163003</v>
      </c>
      <c r="I358" s="17" t="n">
        <v>0.2341395</v>
      </c>
      <c r="J358" s="17" t="n"/>
      <c r="K358" s="2" t="n"/>
      <c r="L358" s="5" t="n"/>
      <c r="M358" s="16">
        <f>資金模擬!$B$5*V357</f>
        <v/>
      </c>
      <c r="N358" s="2">
        <f>IF(Z357=1,"已停止",IF(T357&gt;=M358,"已下單","資金不足略過"))</f>
        <v/>
      </c>
      <c r="O358" s="16">
        <f>IF(N358="已下單",M358*資金模擬!$B$7,0)</f>
        <v/>
      </c>
      <c r="P358" s="4" t="n"/>
      <c r="Q358" s="10" t="n">
        <v>0</v>
      </c>
      <c r="R358" s="10">
        <f>R357+Q358</f>
        <v/>
      </c>
      <c r="S358" s="16">
        <f>S357+IF(N358="已下單",M358,0)</f>
        <v/>
      </c>
      <c r="T358" s="16">
        <f>R358-S358</f>
        <v/>
      </c>
      <c r="U358" s="2">
        <f>U357+IF(N358="已下單",1,0)</f>
        <v/>
      </c>
      <c r="V358" s="16">
        <f>IF(資金模擬!$B$9=2,MAX(R358,0),MAX(V357,FLOOR(MAX(R358,0),資金模擬!$B$6)))</f>
        <v/>
      </c>
      <c r="W358" s="10">
        <f>MAX(W357,R358)</f>
        <v/>
      </c>
      <c r="X358" s="4">
        <f>IF(W358&gt;0,R358/W358-1,-1)</f>
        <v/>
      </c>
      <c r="Y358" s="16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46277.16666666666</v>
      </c>
      <c r="C359" s="2" t="inlineStr">
        <is>
          <t>出場</t>
        </is>
      </c>
      <c r="D359" s="2" t="n">
        <v>176</v>
      </c>
      <c r="E359" s="2" t="inlineStr">
        <is>
          <t>PONS_USDT_PERP</t>
        </is>
      </c>
      <c r="F359" s="2" t="inlineStr">
        <is>
          <t>做空</t>
        </is>
      </c>
      <c r="G359" s="17" t="n">
        <v>0.6084000000000001</v>
      </c>
      <c r="H359" s="17" t="n">
        <v>0.590148</v>
      </c>
      <c r="I359" s="17" t="n">
        <v>0.6388200000000001</v>
      </c>
      <c r="J359" s="17" t="n">
        <v>0.590148</v>
      </c>
      <c r="K359" s="2" t="inlineStr">
        <is>
          <t>止盈</t>
        </is>
      </c>
      <c r="L359" s="5">
        <f>交易明細!K177</f>
        <v/>
      </c>
      <c r="M359" s="16">
        <f>M353</f>
        <v/>
      </c>
      <c r="N359" s="2">
        <f>N353</f>
        <v/>
      </c>
      <c r="O359" s="16">
        <f>O353</f>
        <v/>
      </c>
      <c r="P359" s="4">
        <f>交易明細!L177</f>
        <v/>
      </c>
      <c r="Q359" s="10">
        <f>IF(N359="已下單",O359*P359,0)</f>
        <v/>
      </c>
      <c r="R359" s="10">
        <f>R358+Q359</f>
        <v/>
      </c>
      <c r="S359" s="16">
        <f>S358-IF(N359="已下單",M359,0)</f>
        <v/>
      </c>
      <c r="T359" s="16">
        <f>R359-S359</f>
        <v/>
      </c>
      <c r="U359" s="2">
        <f>U358-IF(N359="已下單",1,0)</f>
        <v/>
      </c>
      <c r="V359" s="16">
        <f>IF(資金模擬!$B$9=2,MAX(R359,0),MAX(V358,FLOOR(MAX(R359,0),資金模擬!$B$6)))</f>
        <v/>
      </c>
      <c r="W359" s="10">
        <f>MAX(W358,R359)</f>
        <v/>
      </c>
      <c r="X359" s="4">
        <f>IF(W359&gt;0,R359/W359-1,-1)</f>
        <v/>
      </c>
      <c r="Y359" s="16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46277.16666666666</v>
      </c>
      <c r="C360" s="2" t="inlineStr">
        <is>
          <t>出場</t>
        </is>
      </c>
      <c r="D360" s="2" t="n">
        <v>181</v>
      </c>
      <c r="E360" s="2" t="inlineStr">
        <is>
          <t>USELESS_USDT_PERP</t>
        </is>
      </c>
      <c r="F360" s="2" t="inlineStr">
        <is>
          <t>做空</t>
        </is>
      </c>
      <c r="G360" s="17" t="n">
        <v>0.22299</v>
      </c>
      <c r="H360" s="17" t="n">
        <v>0.2163003</v>
      </c>
      <c r="I360" s="17" t="n">
        <v>0.2341395</v>
      </c>
      <c r="J360" s="17" t="n">
        <v>0.2163003</v>
      </c>
      <c r="K360" s="2" t="inlineStr">
        <is>
          <t>止盈</t>
        </is>
      </c>
      <c r="L360" s="5">
        <f>交易明細!K182</f>
        <v/>
      </c>
      <c r="M360" s="16">
        <f>M358</f>
        <v/>
      </c>
      <c r="N360" s="2">
        <f>N358</f>
        <v/>
      </c>
      <c r="O360" s="16">
        <f>O358</f>
        <v/>
      </c>
      <c r="P360" s="4">
        <f>交易明細!L182</f>
        <v/>
      </c>
      <c r="Q360" s="10">
        <f>IF(N360="已下單",O360*P360,0)</f>
        <v/>
      </c>
      <c r="R360" s="10">
        <f>R359+Q360</f>
        <v/>
      </c>
      <c r="S360" s="16">
        <f>S359-IF(N360="已下單",M360,0)</f>
        <v/>
      </c>
      <c r="T360" s="16">
        <f>R360-S360</f>
        <v/>
      </c>
      <c r="U360" s="2">
        <f>U359-IF(N360="已下單",1,0)</f>
        <v/>
      </c>
      <c r="V360" s="16">
        <f>IF(資金模擬!$B$9=2,MAX(R360,0),MAX(V359,FLOOR(MAX(R360,0),資金模擬!$B$6)))</f>
        <v/>
      </c>
      <c r="W360" s="10">
        <f>MAX(W359,R360)</f>
        <v/>
      </c>
      <c r="X360" s="4">
        <f>IF(W360&gt;0,R360/W360-1,-1)</f>
        <v/>
      </c>
      <c r="Y360" s="16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46277.20833333334</v>
      </c>
      <c r="C361" s="2" t="inlineStr">
        <is>
          <t>進場</t>
        </is>
      </c>
      <c r="D361" s="2" t="n">
        <v>182</v>
      </c>
      <c r="E361" s="2" t="inlineStr">
        <is>
          <t>PONS_USDT_PERP</t>
        </is>
      </c>
      <c r="F361" s="2" t="inlineStr">
        <is>
          <t>做空</t>
        </is>
      </c>
      <c r="G361" s="17" t="n">
        <v>0.5886</v>
      </c>
      <c r="H361" s="17" t="n">
        <v>0.5709419999999999</v>
      </c>
      <c r="I361" s="17" t="n">
        <v>0.6180300000000001</v>
      </c>
      <c r="J361" s="17" t="n"/>
      <c r="K361" s="2" t="n"/>
      <c r="L361" s="5" t="n"/>
      <c r="M361" s="16">
        <f>資金模擬!$B$5*V360</f>
        <v/>
      </c>
      <c r="N361" s="2">
        <f>IF(Z360=1,"已停止",IF(T360&gt;=M361,"已下單","資金不足略過"))</f>
        <v/>
      </c>
      <c r="O361" s="16">
        <f>IF(N361="已下單",M361*資金模擬!$B$7,0)</f>
        <v/>
      </c>
      <c r="P361" s="4" t="n"/>
      <c r="Q361" s="10" t="n">
        <v>0</v>
      </c>
      <c r="R361" s="10">
        <f>R360+Q361</f>
        <v/>
      </c>
      <c r="S361" s="16">
        <f>S360+IF(N361="已下單",M361,0)</f>
        <v/>
      </c>
      <c r="T361" s="16">
        <f>R361-S361</f>
        <v/>
      </c>
      <c r="U361" s="2">
        <f>U360+IF(N361="已下單",1,0)</f>
        <v/>
      </c>
      <c r="V361" s="16">
        <f>IF(資金模擬!$B$9=2,MAX(R361,0),MAX(V360,FLOOR(MAX(R361,0),資金模擬!$B$6)))</f>
        <v/>
      </c>
      <c r="W361" s="10">
        <f>MAX(W360,R361)</f>
        <v/>
      </c>
      <c r="X361" s="4">
        <f>IF(W361&gt;0,R361/W361-1,-1)</f>
        <v/>
      </c>
      <c r="Y361" s="16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46277.25</v>
      </c>
      <c r="C362" s="2" t="inlineStr">
        <is>
          <t>出場</t>
        </is>
      </c>
      <c r="D362" s="2" t="n">
        <v>177</v>
      </c>
      <c r="E362" s="2" t="inlineStr">
        <is>
          <t>IOST_USDT_PERP</t>
        </is>
      </c>
      <c r="F362" s="2" t="inlineStr">
        <is>
          <t>做空</t>
        </is>
      </c>
      <c r="G362" s="17" t="n">
        <v>0.000895</v>
      </c>
      <c r="H362" s="17" t="n">
        <v>0.0008681499999999999</v>
      </c>
      <c r="I362" s="17" t="n">
        <v>0.00093975</v>
      </c>
      <c r="J362" s="17" t="n">
        <v>0.0008681499999999999</v>
      </c>
      <c r="K362" s="2" t="inlineStr">
        <is>
          <t>止盈</t>
        </is>
      </c>
      <c r="L362" s="5">
        <f>交易明細!K178</f>
        <v/>
      </c>
      <c r="M362" s="16">
        <f>M354</f>
        <v/>
      </c>
      <c r="N362" s="2">
        <f>N354</f>
        <v/>
      </c>
      <c r="O362" s="16">
        <f>O354</f>
        <v/>
      </c>
      <c r="P362" s="4">
        <f>交易明細!L178</f>
        <v/>
      </c>
      <c r="Q362" s="10">
        <f>IF(N362="已下單",O362*P362,0)</f>
        <v/>
      </c>
      <c r="R362" s="10">
        <f>R361+Q362</f>
        <v/>
      </c>
      <c r="S362" s="16">
        <f>S361-IF(N362="已下單",M362,0)</f>
        <v/>
      </c>
      <c r="T362" s="16">
        <f>R362-S362</f>
        <v/>
      </c>
      <c r="U362" s="2">
        <f>U361-IF(N362="已下單",1,0)</f>
        <v/>
      </c>
      <c r="V362" s="16">
        <f>IF(資金模擬!$B$9=2,MAX(R362,0),MAX(V361,FLOOR(MAX(R362,0),資金模擬!$B$6)))</f>
        <v/>
      </c>
      <c r="W362" s="10">
        <f>MAX(W361,R362)</f>
        <v/>
      </c>
      <c r="X362" s="4">
        <f>IF(W362&gt;0,R362/W362-1,-1)</f>
        <v/>
      </c>
      <c r="Y362" s="16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46277.25</v>
      </c>
      <c r="C363" s="2" t="inlineStr">
        <is>
          <t>出場</t>
        </is>
      </c>
      <c r="D363" s="2" t="n">
        <v>179</v>
      </c>
      <c r="E363" s="2" t="inlineStr">
        <is>
          <t>MARSCOIN_USDT_PERP</t>
        </is>
      </c>
      <c r="F363" s="2" t="inlineStr">
        <is>
          <t>做空</t>
        </is>
      </c>
      <c r="G363" s="17" t="n">
        <v>0.12248</v>
      </c>
      <c r="H363" s="17" t="n">
        <v>0.1188056</v>
      </c>
      <c r="I363" s="17" t="n">
        <v>0.128604</v>
      </c>
      <c r="J363" s="17" t="n">
        <v>0.1188056</v>
      </c>
      <c r="K363" s="2" t="inlineStr">
        <is>
          <t>止盈</t>
        </is>
      </c>
      <c r="L363" s="5">
        <f>交易明細!K180</f>
        <v/>
      </c>
      <c r="M363" s="16">
        <f>M356</f>
        <v/>
      </c>
      <c r="N363" s="2">
        <f>N356</f>
        <v/>
      </c>
      <c r="O363" s="16">
        <f>O356</f>
        <v/>
      </c>
      <c r="P363" s="4">
        <f>交易明細!L180</f>
        <v/>
      </c>
      <c r="Q363" s="10">
        <f>IF(N363="已下單",O363*P363,0)</f>
        <v/>
      </c>
      <c r="R363" s="10">
        <f>R362+Q363</f>
        <v/>
      </c>
      <c r="S363" s="16">
        <f>S362-IF(N363="已下單",M363,0)</f>
        <v/>
      </c>
      <c r="T363" s="16">
        <f>R363-S363</f>
        <v/>
      </c>
      <c r="U363" s="2">
        <f>U362-IF(N363="已下單",1,0)</f>
        <v/>
      </c>
      <c r="V363" s="16">
        <f>IF(資金模擬!$B$9=2,MAX(R363,0),MAX(V362,FLOOR(MAX(R363,0),資金模擬!$B$6)))</f>
        <v/>
      </c>
      <c r="W363" s="10">
        <f>MAX(W362,R363)</f>
        <v/>
      </c>
      <c r="X363" s="4">
        <f>IF(W363&gt;0,R363/W363-1,-1)</f>
        <v/>
      </c>
      <c r="Y363" s="16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46277.25</v>
      </c>
      <c r="C364" s="2" t="inlineStr">
        <is>
          <t>進場</t>
        </is>
      </c>
      <c r="D364" s="2" t="n">
        <v>183</v>
      </c>
      <c r="E364" s="2" t="inlineStr">
        <is>
          <t>AERO_USDT_PERP</t>
        </is>
      </c>
      <c r="F364" s="2" t="inlineStr">
        <is>
          <t>做空</t>
        </is>
      </c>
      <c r="G364" s="17" t="n">
        <v>0.5694</v>
      </c>
      <c r="H364" s="17" t="n">
        <v>0.552318</v>
      </c>
      <c r="I364" s="17" t="n">
        <v>0.59787</v>
      </c>
      <c r="J364" s="17" t="n"/>
      <c r="K364" s="2" t="inlineStr">
        <is>
          <t>未平倉</t>
        </is>
      </c>
      <c r="L364" s="5" t="n"/>
      <c r="M364" s="16">
        <f>資金模擬!$B$5*V363</f>
        <v/>
      </c>
      <c r="N364" s="2">
        <f>IF(Z363=1,"已停止",IF(T363&gt;=M364,"已下單","資金不足略過"))</f>
        <v/>
      </c>
      <c r="O364" s="16">
        <f>IF(N364="已下單",M364*資金模擬!$B$7,0)</f>
        <v/>
      </c>
      <c r="P364" s="4" t="n"/>
      <c r="Q364" s="10" t="n">
        <v>0</v>
      </c>
      <c r="R364" s="10">
        <f>R363+Q364</f>
        <v/>
      </c>
      <c r="S364" s="16">
        <f>S363+IF(N364="已下單",M364,0)</f>
        <v/>
      </c>
      <c r="T364" s="16">
        <f>R364-S364</f>
        <v/>
      </c>
      <c r="U364" s="2">
        <f>U363+IF(N364="已下單",1,0)</f>
        <v/>
      </c>
      <c r="V364" s="16">
        <f>IF(資金模擬!$B$9=2,MAX(R364,0),MAX(V363,FLOOR(MAX(R364,0),資金模擬!$B$6)))</f>
        <v/>
      </c>
      <c r="W364" s="10">
        <f>MAX(W363,R364)</f>
        <v/>
      </c>
      <c r="X364" s="4">
        <f>IF(W364&gt;0,R364/W364-1,-1)</f>
        <v/>
      </c>
      <c r="Y364" s="16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46277.25</v>
      </c>
      <c r="C365" s="2" t="inlineStr">
        <is>
          <t>進場</t>
        </is>
      </c>
      <c r="D365" s="2" t="n">
        <v>184</v>
      </c>
      <c r="E365" s="2" t="inlineStr">
        <is>
          <t>USELESS_USDT_PERP</t>
        </is>
      </c>
      <c r="F365" s="2" t="inlineStr">
        <is>
          <t>做空</t>
        </is>
      </c>
      <c r="G365" s="17" t="n">
        <v>0.21674</v>
      </c>
      <c r="H365" s="17" t="n">
        <v>0.2102378</v>
      </c>
      <c r="I365" s="17" t="n">
        <v>0.227577</v>
      </c>
      <c r="J365" s="17" t="n"/>
      <c r="K365" s="2" t="n"/>
      <c r="L365" s="5" t="n"/>
      <c r="M365" s="16">
        <f>資金模擬!$B$5*V364</f>
        <v/>
      </c>
      <c r="N365" s="2">
        <f>IF(Z364=1,"已停止",IF(T364&gt;=M365,"已下單","資金不足略過"))</f>
        <v/>
      </c>
      <c r="O365" s="16">
        <f>IF(N365="已下單",M365*資金模擬!$B$7,0)</f>
        <v/>
      </c>
      <c r="P365" s="4" t="n"/>
      <c r="Q365" s="10" t="n">
        <v>0</v>
      </c>
      <c r="R365" s="10">
        <f>R364+Q365</f>
        <v/>
      </c>
      <c r="S365" s="16">
        <f>S364+IF(N365="已下單",M365,0)</f>
        <v/>
      </c>
      <c r="T365" s="16">
        <f>R365-S365</f>
        <v/>
      </c>
      <c r="U365" s="2">
        <f>U364+IF(N365="已下單",1,0)</f>
        <v/>
      </c>
      <c r="V365" s="16">
        <f>IF(資金模擬!$B$9=2,MAX(R365,0),MAX(V364,FLOOR(MAX(R365,0),資金模擬!$B$6)))</f>
        <v/>
      </c>
      <c r="W365" s="10">
        <f>MAX(W364,R365)</f>
        <v/>
      </c>
      <c r="X365" s="4">
        <f>IF(W365&gt;0,R365/W365-1,-1)</f>
        <v/>
      </c>
      <c r="Y365" s="16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46277.33333333334</v>
      </c>
      <c r="C366" s="2" t="inlineStr">
        <is>
          <t>出場</t>
        </is>
      </c>
      <c r="D366" s="2" t="n">
        <v>182</v>
      </c>
      <c r="E366" s="2" t="inlineStr">
        <is>
          <t>PONS_USDT_PERP</t>
        </is>
      </c>
      <c r="F366" s="2" t="inlineStr">
        <is>
          <t>做空</t>
        </is>
      </c>
      <c r="G366" s="17" t="n">
        <v>0.5886</v>
      </c>
      <c r="H366" s="17" t="n">
        <v>0.5709419999999999</v>
      </c>
      <c r="I366" s="17" t="n">
        <v>0.6180300000000001</v>
      </c>
      <c r="J366" s="17" t="n">
        <v>0.5709419999999999</v>
      </c>
      <c r="K366" s="2" t="inlineStr">
        <is>
          <t>止盈</t>
        </is>
      </c>
      <c r="L366" s="5">
        <f>交易明細!K183</f>
        <v/>
      </c>
      <c r="M366" s="16">
        <f>M361</f>
        <v/>
      </c>
      <c r="N366" s="2">
        <f>N361</f>
        <v/>
      </c>
      <c r="O366" s="16">
        <f>O361</f>
        <v/>
      </c>
      <c r="P366" s="4">
        <f>交易明細!L183</f>
        <v/>
      </c>
      <c r="Q366" s="10">
        <f>IF(N366="已下單",O366*P366,0)</f>
        <v/>
      </c>
      <c r="R366" s="10">
        <f>R365+Q366</f>
        <v/>
      </c>
      <c r="S366" s="16">
        <f>S365-IF(N366="已下單",M366,0)</f>
        <v/>
      </c>
      <c r="T366" s="16">
        <f>R366-S366</f>
        <v/>
      </c>
      <c r="U366" s="2">
        <f>U365-IF(N366="已下單",1,0)</f>
        <v/>
      </c>
      <c r="V366" s="16">
        <f>IF(資金模擬!$B$9=2,MAX(R366,0),MAX(V365,FLOOR(MAX(R366,0),資金模擬!$B$6)))</f>
        <v/>
      </c>
      <c r="W366" s="10">
        <f>MAX(W365,R366)</f>
        <v/>
      </c>
      <c r="X366" s="4">
        <f>IF(W366&gt;0,R366/W366-1,-1)</f>
        <v/>
      </c>
      <c r="Y366" s="16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46277.41666666666</v>
      </c>
      <c r="C367" s="2" t="inlineStr">
        <is>
          <t>進場</t>
        </is>
      </c>
      <c r="D367" s="2" t="n">
        <v>185</v>
      </c>
      <c r="E367" s="2" t="inlineStr">
        <is>
          <t>RAY_USDT_PERP</t>
        </is>
      </c>
      <c r="F367" s="2" t="inlineStr">
        <is>
          <t>做多</t>
        </is>
      </c>
      <c r="G367" s="17" t="n">
        <v>1.716</v>
      </c>
      <c r="H367" s="17" t="n">
        <v>1.76748</v>
      </c>
      <c r="I367" s="17" t="n">
        <v>1.6302</v>
      </c>
      <c r="J367" s="17" t="n"/>
      <c r="K367" s="2" t="n"/>
      <c r="L367" s="5" t="n"/>
      <c r="M367" s="16">
        <f>資金模擬!$B$5*V366</f>
        <v/>
      </c>
      <c r="N367" s="2">
        <f>IF(Z366=1,"已停止",IF(T366&gt;=M367,"已下單","資金不足略過"))</f>
        <v/>
      </c>
      <c r="O367" s="16">
        <f>IF(N367="已下單",M367*資金模擬!$B$7,0)</f>
        <v/>
      </c>
      <c r="P367" s="4" t="n"/>
      <c r="Q367" s="10" t="n">
        <v>0</v>
      </c>
      <c r="R367" s="10">
        <f>R366+Q367</f>
        <v/>
      </c>
      <c r="S367" s="16">
        <f>S366+IF(N367="已下單",M367,0)</f>
        <v/>
      </c>
      <c r="T367" s="16">
        <f>R367-S367</f>
        <v/>
      </c>
      <c r="U367" s="2">
        <f>U366+IF(N367="已下單",1,0)</f>
        <v/>
      </c>
      <c r="V367" s="16">
        <f>IF(資金模擬!$B$9=2,MAX(R367,0),MAX(V366,FLOOR(MAX(R367,0),資金模擬!$B$6)))</f>
        <v/>
      </c>
      <c r="W367" s="10">
        <f>MAX(W366,R367)</f>
        <v/>
      </c>
      <c r="X367" s="4">
        <f>IF(W367&gt;0,R367/W367-1,-1)</f>
        <v/>
      </c>
      <c r="Y367" s="16">
        <f>IF(R367&gt;0,S367*資金模擬!$B$7/R367,0)</f>
        <v/>
      </c>
      <c r="Z367" s="2">
        <f>IF(OR(Z366=1,R367&lt;=資金模擬!$B$10),1,0)</f>
        <v/>
      </c>
    </row>
    <row r="368">
      <c r="A368" s="2" t="n">
        <v>366</v>
      </c>
      <c r="B368" s="7" t="n">
        <v>46277.45833333334</v>
      </c>
      <c r="C368" s="2" t="inlineStr">
        <is>
          <t>出場</t>
        </is>
      </c>
      <c r="D368" s="2" t="n">
        <v>184</v>
      </c>
      <c r="E368" s="2" t="inlineStr">
        <is>
          <t>USELESS_USDT_PERP</t>
        </is>
      </c>
      <c r="F368" s="2" t="inlineStr">
        <is>
          <t>做空</t>
        </is>
      </c>
      <c r="G368" s="17" t="n">
        <v>0.21674</v>
      </c>
      <c r="H368" s="17" t="n">
        <v>0.2102378</v>
      </c>
      <c r="I368" s="17" t="n">
        <v>0.227577</v>
      </c>
      <c r="J368" s="17" t="n">
        <v>0.227577</v>
      </c>
      <c r="K368" s="2" t="inlineStr">
        <is>
          <t>止損</t>
        </is>
      </c>
      <c r="L368" s="5">
        <f>交易明細!K185</f>
        <v/>
      </c>
      <c r="M368" s="16">
        <f>M365</f>
        <v/>
      </c>
      <c r="N368" s="2">
        <f>N365</f>
        <v/>
      </c>
      <c r="O368" s="16">
        <f>O365</f>
        <v/>
      </c>
      <c r="P368" s="4">
        <f>交易明細!L185</f>
        <v/>
      </c>
      <c r="Q368" s="10">
        <f>IF(N368="已下單",O368*P368,0)</f>
        <v/>
      </c>
      <c r="R368" s="10">
        <f>R367+Q368</f>
        <v/>
      </c>
      <c r="S368" s="16">
        <f>S367-IF(N368="已下單",M368,0)</f>
        <v/>
      </c>
      <c r="T368" s="16">
        <f>R368-S368</f>
        <v/>
      </c>
      <c r="U368" s="2">
        <f>U367-IF(N368="已下單",1,0)</f>
        <v/>
      </c>
      <c r="V368" s="16">
        <f>IF(資金模擬!$B$9=2,MAX(R368,0),MAX(V367,FLOOR(MAX(R368,0),資金模擬!$B$6)))</f>
        <v/>
      </c>
      <c r="W368" s="10">
        <f>MAX(W367,R368)</f>
        <v/>
      </c>
      <c r="X368" s="4">
        <f>IF(W368&gt;0,R368/W368-1,-1)</f>
        <v/>
      </c>
      <c r="Y368" s="16">
        <f>IF(R368&gt;0,S368*資金模擬!$B$7/R368,0)</f>
        <v/>
      </c>
      <c r="Z368" s="2">
        <f>IF(OR(Z367=1,R368&lt;=資金模擬!$B$10),1,0)</f>
        <v/>
      </c>
    </row>
    <row r="369">
      <c r="A369" s="2" t="n">
        <v>367</v>
      </c>
      <c r="B369" s="7" t="n">
        <v>46277.5</v>
      </c>
      <c r="C369" s="2" t="inlineStr">
        <is>
          <t>出場</t>
        </is>
      </c>
      <c r="D369" s="2" t="n">
        <v>185</v>
      </c>
      <c r="E369" s="2" t="inlineStr">
        <is>
          <t>RAY_USDT_PERP</t>
        </is>
      </c>
      <c r="F369" s="2" t="inlineStr">
        <is>
          <t>做多</t>
        </is>
      </c>
      <c r="G369" s="17" t="n">
        <v>1.716</v>
      </c>
      <c r="H369" s="17" t="n">
        <v>1.76748</v>
      </c>
      <c r="I369" s="17" t="n">
        <v>1.6302</v>
      </c>
      <c r="J369" s="17" t="n">
        <v>1.6302</v>
      </c>
      <c r="K369" s="2" t="inlineStr">
        <is>
          <t>止損</t>
        </is>
      </c>
      <c r="L369" s="5">
        <f>交易明細!K186</f>
        <v/>
      </c>
      <c r="M369" s="16">
        <f>M367</f>
        <v/>
      </c>
      <c r="N369" s="2">
        <f>N367</f>
        <v/>
      </c>
      <c r="O369" s="16">
        <f>O367</f>
        <v/>
      </c>
      <c r="P369" s="4">
        <f>交易明細!L186</f>
        <v/>
      </c>
      <c r="Q369" s="10">
        <f>IF(N369="已下單",O369*P369,0)</f>
        <v/>
      </c>
      <c r="R369" s="10">
        <f>R368+Q369</f>
        <v/>
      </c>
      <c r="S369" s="16">
        <f>S368-IF(N369="已下單",M369,0)</f>
        <v/>
      </c>
      <c r="T369" s="16">
        <f>R369-S369</f>
        <v/>
      </c>
      <c r="U369" s="2">
        <f>U368-IF(N369="已下單",1,0)</f>
        <v/>
      </c>
      <c r="V369" s="16">
        <f>IF(資金模擬!$B$9=2,MAX(R369,0),MAX(V368,FLOOR(MAX(R369,0),資金模擬!$B$6)))</f>
        <v/>
      </c>
      <c r="W369" s="10">
        <f>MAX(W368,R369)</f>
        <v/>
      </c>
      <c r="X369" s="4">
        <f>IF(W369&gt;0,R369/W369-1,-1)</f>
        <v/>
      </c>
      <c r="Y369" s="16">
        <f>IF(R369&gt;0,S369*資金模擬!$B$7/R369,0)</f>
        <v/>
      </c>
      <c r="Z369" s="2">
        <f>IF(OR(Z368=1,R369&lt;=資金模擬!$B$10),1,0)</f>
        <v/>
      </c>
    </row>
    <row r="370">
      <c r="A370" s="2" t="n">
        <v>368</v>
      </c>
      <c r="B370" s="7" t="n">
        <v>46277.58333333334</v>
      </c>
      <c r="C370" s="2" t="inlineStr">
        <is>
          <t>進場</t>
        </is>
      </c>
      <c r="D370" s="2" t="n">
        <v>186</v>
      </c>
      <c r="E370" s="2" t="inlineStr">
        <is>
          <t>AKE_USDT_PERP</t>
        </is>
      </c>
      <c r="F370" s="2" t="inlineStr">
        <is>
          <t>做多</t>
        </is>
      </c>
      <c r="G370" s="17" t="n">
        <v>0.0143414</v>
      </c>
      <c r="H370" s="17" t="n">
        <v>0.014771642</v>
      </c>
      <c r="I370" s="17" t="n">
        <v>0.01362433</v>
      </c>
      <c r="J370" s="17" t="n"/>
      <c r="K370" s="2" t="n"/>
      <c r="L370" s="5" t="n"/>
      <c r="M370" s="16">
        <f>資金模擬!$B$5*V369</f>
        <v/>
      </c>
      <c r="N370" s="2">
        <f>IF(Z369=1,"已停止",IF(T369&gt;=M370,"已下單","資金不足略過"))</f>
        <v/>
      </c>
      <c r="O370" s="16">
        <f>IF(N370="已下單",M370*資金模擬!$B$7,0)</f>
        <v/>
      </c>
      <c r="P370" s="4" t="n"/>
      <c r="Q370" s="10" t="n">
        <v>0</v>
      </c>
      <c r="R370" s="10">
        <f>R369+Q370</f>
        <v/>
      </c>
      <c r="S370" s="16">
        <f>S369+IF(N370="已下單",M370,0)</f>
        <v/>
      </c>
      <c r="T370" s="16">
        <f>R370-S370</f>
        <v/>
      </c>
      <c r="U370" s="2">
        <f>U369+IF(N370="已下單",1,0)</f>
        <v/>
      </c>
      <c r="V370" s="16">
        <f>IF(資金模擬!$B$9=2,MAX(R370,0),MAX(V369,FLOOR(MAX(R370,0),資金模擬!$B$6)))</f>
        <v/>
      </c>
      <c r="W370" s="10">
        <f>MAX(W369,R370)</f>
        <v/>
      </c>
      <c r="X370" s="4">
        <f>IF(W370&gt;0,R370/W370-1,-1)</f>
        <v/>
      </c>
      <c r="Y370" s="16">
        <f>IF(R370&gt;0,S370*資金模擬!$B$7/R370,0)</f>
        <v/>
      </c>
      <c r="Z370" s="2">
        <f>IF(OR(Z369=1,R370&lt;=資金模擬!$B$10),1,0)</f>
        <v/>
      </c>
    </row>
    <row r="371">
      <c r="A371" s="2" t="n">
        <v>369</v>
      </c>
      <c r="B371" s="7" t="n">
        <v>46277.625</v>
      </c>
      <c r="C371" s="2" t="inlineStr">
        <is>
          <t>出場</t>
        </is>
      </c>
      <c r="D371" s="2" t="n">
        <v>186</v>
      </c>
      <c r="E371" s="2" t="inlineStr">
        <is>
          <t>AKE_USDT_PERP</t>
        </is>
      </c>
      <c r="F371" s="2" t="inlineStr">
        <is>
          <t>做多</t>
        </is>
      </c>
      <c r="G371" s="17" t="n">
        <v>0.0143414</v>
      </c>
      <c r="H371" s="17" t="n">
        <v>0.014771642</v>
      </c>
      <c r="I371" s="17" t="n">
        <v>0.01362433</v>
      </c>
      <c r="J371" s="17" t="n">
        <v>0.014771642</v>
      </c>
      <c r="K371" s="2" t="inlineStr">
        <is>
          <t>止盈</t>
        </is>
      </c>
      <c r="L371" s="5">
        <f>交易明細!K187</f>
        <v/>
      </c>
      <c r="M371" s="16">
        <f>M370</f>
        <v/>
      </c>
      <c r="N371" s="2">
        <f>N370</f>
        <v/>
      </c>
      <c r="O371" s="16">
        <f>O370</f>
        <v/>
      </c>
      <c r="P371" s="4">
        <f>交易明細!L187</f>
        <v/>
      </c>
      <c r="Q371" s="10">
        <f>IF(N371="已下單",O371*P371,0)</f>
        <v/>
      </c>
      <c r="R371" s="10">
        <f>R370+Q371</f>
        <v/>
      </c>
      <c r="S371" s="16">
        <f>S370-IF(N371="已下單",M371,0)</f>
        <v/>
      </c>
      <c r="T371" s="16">
        <f>R371-S371</f>
        <v/>
      </c>
      <c r="U371" s="2">
        <f>U370-IF(N371="已下單",1,0)</f>
        <v/>
      </c>
      <c r="V371" s="16">
        <f>IF(資金模擬!$B$9=2,MAX(R371,0),MAX(V370,FLOOR(MAX(R371,0),資金模擬!$B$6)))</f>
        <v/>
      </c>
      <c r="W371" s="10">
        <f>MAX(W370,R371)</f>
        <v/>
      </c>
      <c r="X371" s="4">
        <f>IF(W371&gt;0,R371/W371-1,-1)</f>
        <v/>
      </c>
      <c r="Y371" s="16">
        <f>IF(R371&gt;0,S371*資金模擬!$B$7/R371,0)</f>
        <v/>
      </c>
      <c r="Z371" s="2">
        <f>IF(OR(Z370=1,R371&lt;=資金模擬!$B$10),1,0)</f>
        <v/>
      </c>
    </row>
    <row r="372">
      <c r="A372" s="2" t="n">
        <v>370</v>
      </c>
      <c r="B372" s="7" t="n">
        <v>46277.625</v>
      </c>
      <c r="C372" s="2" t="inlineStr">
        <is>
          <t>進場</t>
        </is>
      </c>
      <c r="D372" s="2" t="n">
        <v>187</v>
      </c>
      <c r="E372" s="2" t="inlineStr">
        <is>
          <t>UAI_USDT_PERP</t>
        </is>
      </c>
      <c r="F372" s="2" t="inlineStr">
        <is>
          <t>做多</t>
        </is>
      </c>
      <c r="G372" s="17" t="n">
        <v>0.6982</v>
      </c>
      <c r="H372" s="17" t="n">
        <v>0.7191460000000001</v>
      </c>
      <c r="I372" s="17" t="n">
        <v>0.66329</v>
      </c>
      <c r="J372" s="17" t="n"/>
      <c r="K372" s="2" t="n"/>
      <c r="L372" s="5" t="n"/>
      <c r="M372" s="16">
        <f>資金模擬!$B$5*V371</f>
        <v/>
      </c>
      <c r="N372" s="2">
        <f>IF(Z371=1,"已停止",IF(T371&gt;=M372,"已下單","資金不足略過"))</f>
        <v/>
      </c>
      <c r="O372" s="16">
        <f>IF(N372="已下單",M372*資金模擬!$B$7,0)</f>
        <v/>
      </c>
      <c r="P372" s="4" t="n"/>
      <c r="Q372" s="10" t="n">
        <v>0</v>
      </c>
      <c r="R372" s="10">
        <f>R371+Q372</f>
        <v/>
      </c>
      <c r="S372" s="16">
        <f>S371+IF(N372="已下單",M372,0)</f>
        <v/>
      </c>
      <c r="T372" s="16">
        <f>R372-S372</f>
        <v/>
      </c>
      <c r="U372" s="2">
        <f>U371+IF(N372="已下單",1,0)</f>
        <v/>
      </c>
      <c r="V372" s="16">
        <f>IF(資金模擬!$B$9=2,MAX(R372,0),MAX(V371,FLOOR(MAX(R372,0),資金模擬!$B$6)))</f>
        <v/>
      </c>
      <c r="W372" s="10">
        <f>MAX(W371,R372)</f>
        <v/>
      </c>
      <c r="X372" s="4">
        <f>IF(W372&gt;0,R372/W372-1,-1)</f>
        <v/>
      </c>
      <c r="Y372" s="16">
        <f>IF(R372&gt;0,S372*資金模擬!$B$7/R372,0)</f>
        <v/>
      </c>
      <c r="Z372" s="2">
        <f>IF(OR(Z371=1,R372&lt;=資金模擬!$B$10),1,0)</f>
        <v/>
      </c>
    </row>
    <row r="373">
      <c r="A373" s="2" t="n">
        <v>371</v>
      </c>
      <c r="B373" s="7" t="n">
        <v>46277.66666666666</v>
      </c>
      <c r="C373" s="2" t="inlineStr">
        <is>
          <t>出場</t>
        </is>
      </c>
      <c r="D373" s="2" t="n">
        <v>187</v>
      </c>
      <c r="E373" s="2" t="inlineStr">
        <is>
          <t>UAI_USDT_PERP</t>
        </is>
      </c>
      <c r="F373" s="2" t="inlineStr">
        <is>
          <t>做多</t>
        </is>
      </c>
      <c r="G373" s="17" t="n">
        <v>0.6982</v>
      </c>
      <c r="H373" s="17" t="n">
        <v>0.7191460000000001</v>
      </c>
      <c r="I373" s="17" t="n">
        <v>0.66329</v>
      </c>
      <c r="J373" s="17" t="n">
        <v>0.7191460000000001</v>
      </c>
      <c r="K373" s="2" t="inlineStr">
        <is>
          <t>止盈</t>
        </is>
      </c>
      <c r="L373" s="5">
        <f>交易明細!K188</f>
        <v/>
      </c>
      <c r="M373" s="16">
        <f>M372</f>
        <v/>
      </c>
      <c r="N373" s="2">
        <f>N372</f>
        <v/>
      </c>
      <c r="O373" s="16">
        <f>O372</f>
        <v/>
      </c>
      <c r="P373" s="4">
        <f>交易明細!L188</f>
        <v/>
      </c>
      <c r="Q373" s="10">
        <f>IF(N373="已下單",O373*P373,0)</f>
        <v/>
      </c>
      <c r="R373" s="10">
        <f>R372+Q373</f>
        <v/>
      </c>
      <c r="S373" s="16">
        <f>S372-IF(N373="已下單",M373,0)</f>
        <v/>
      </c>
      <c r="T373" s="16">
        <f>R373-S373</f>
        <v/>
      </c>
      <c r="U373" s="2">
        <f>U372-IF(N373="已下單",1,0)</f>
        <v/>
      </c>
      <c r="V373" s="16">
        <f>IF(資金模擬!$B$9=2,MAX(R373,0),MAX(V372,FLOOR(MAX(R373,0),資金模擬!$B$6)))</f>
        <v/>
      </c>
      <c r="W373" s="10">
        <f>MAX(W372,R373)</f>
        <v/>
      </c>
      <c r="X373" s="4">
        <f>IF(W373&gt;0,R373/W373-1,-1)</f>
        <v/>
      </c>
      <c r="Y373" s="16">
        <f>IF(R373&gt;0,S373*資金模擬!$B$7/R373,0)</f>
        <v/>
      </c>
      <c r="Z373" s="2">
        <f>IF(OR(Z372=1,R373&lt;=資金模擬!$B$10),1,0)</f>
        <v/>
      </c>
    </row>
    <row r="374">
      <c r="A374" s="2" t="n">
        <v>372</v>
      </c>
      <c r="B374" s="7" t="n">
        <v>46277.79166666666</v>
      </c>
      <c r="C374" s="2" t="inlineStr">
        <is>
          <t>進場</t>
        </is>
      </c>
      <c r="D374" s="2" t="n">
        <v>188</v>
      </c>
      <c r="E374" s="2" t="inlineStr">
        <is>
          <t>MET_USDT_PERP</t>
        </is>
      </c>
      <c r="F374" s="2" t="inlineStr">
        <is>
          <t>做空</t>
        </is>
      </c>
      <c r="G374" s="17" t="n">
        <v>0.2336</v>
      </c>
      <c r="H374" s="17" t="n">
        <v>0.226592</v>
      </c>
      <c r="I374" s="17" t="n">
        <v>0.24528</v>
      </c>
      <c r="J374" s="17" t="n"/>
      <c r="K374" s="2" t="n"/>
      <c r="L374" s="5" t="n"/>
      <c r="M374" s="16">
        <f>資金模擬!$B$5*V373</f>
        <v/>
      </c>
      <c r="N374" s="2">
        <f>IF(Z373=1,"已停止",IF(T373&gt;=M374,"已下單","資金不足略過"))</f>
        <v/>
      </c>
      <c r="O374" s="16">
        <f>IF(N374="已下單",M374*資金模擬!$B$7,0)</f>
        <v/>
      </c>
      <c r="P374" s="4" t="n"/>
      <c r="Q374" s="10" t="n">
        <v>0</v>
      </c>
      <c r="R374" s="10">
        <f>R373+Q374</f>
        <v/>
      </c>
      <c r="S374" s="16">
        <f>S373+IF(N374="已下單",M374,0)</f>
        <v/>
      </c>
      <c r="T374" s="16">
        <f>R374-S374</f>
        <v/>
      </c>
      <c r="U374" s="2">
        <f>U373+IF(N374="已下單",1,0)</f>
        <v/>
      </c>
      <c r="V374" s="16">
        <f>IF(資金模擬!$B$9=2,MAX(R374,0),MAX(V373,FLOOR(MAX(R374,0),資金模擬!$B$6)))</f>
        <v/>
      </c>
      <c r="W374" s="10">
        <f>MAX(W373,R374)</f>
        <v/>
      </c>
      <c r="X374" s="4">
        <f>IF(W374&gt;0,R374/W374-1,-1)</f>
        <v/>
      </c>
      <c r="Y374" s="16">
        <f>IF(R374&gt;0,S374*資金模擬!$B$7/R374,0)</f>
        <v/>
      </c>
      <c r="Z374" s="2">
        <f>IF(OR(Z373=1,R374&lt;=資金模擬!$B$10),1,0)</f>
        <v/>
      </c>
    </row>
    <row r="375">
      <c r="A375" s="2" t="n">
        <v>373</v>
      </c>
      <c r="B375" s="7" t="n">
        <v>46277.79166666666</v>
      </c>
      <c r="C375" s="2" t="inlineStr">
        <is>
          <t>進場</t>
        </is>
      </c>
      <c r="D375" s="2" t="n">
        <v>189</v>
      </c>
      <c r="E375" s="2" t="inlineStr">
        <is>
          <t>牛来_USDT_PERP</t>
        </is>
      </c>
      <c r="F375" s="2" t="inlineStr">
        <is>
          <t>做空</t>
        </is>
      </c>
      <c r="G375" s="17" t="n">
        <v>0.12973</v>
      </c>
      <c r="H375" s="17" t="n">
        <v>0.1258381</v>
      </c>
      <c r="I375" s="17" t="n">
        <v>0.1362165</v>
      </c>
      <c r="J375" s="17" t="n"/>
      <c r="K375" s="2" t="n"/>
      <c r="L375" s="5" t="n"/>
      <c r="M375" s="16">
        <f>資金模擬!$B$5*V374</f>
        <v/>
      </c>
      <c r="N375" s="2">
        <f>IF(Z374=1,"已停止",IF(T374&gt;=M375,"已下單","資金不足略過"))</f>
        <v/>
      </c>
      <c r="O375" s="16">
        <f>IF(N375="已下單",M375*資金模擬!$B$7,0)</f>
        <v/>
      </c>
      <c r="P375" s="4" t="n"/>
      <c r="Q375" s="10" t="n">
        <v>0</v>
      </c>
      <c r="R375" s="10">
        <f>R374+Q375</f>
        <v/>
      </c>
      <c r="S375" s="16">
        <f>S374+IF(N375="已下單",M375,0)</f>
        <v/>
      </c>
      <c r="T375" s="16">
        <f>R375-S375</f>
        <v/>
      </c>
      <c r="U375" s="2">
        <f>U374+IF(N375="已下單",1,0)</f>
        <v/>
      </c>
      <c r="V375" s="16">
        <f>IF(資金模擬!$B$9=2,MAX(R375,0),MAX(V374,FLOOR(MAX(R375,0),資金模擬!$B$6)))</f>
        <v/>
      </c>
      <c r="W375" s="10">
        <f>MAX(W374,R375)</f>
        <v/>
      </c>
      <c r="X375" s="4">
        <f>IF(W375&gt;0,R375/W375-1,-1)</f>
        <v/>
      </c>
      <c r="Y375" s="16">
        <f>IF(R375&gt;0,S375*資金模擬!$B$7/R375,0)</f>
        <v/>
      </c>
      <c r="Z375" s="2">
        <f>IF(OR(Z374=1,R375&lt;=資金模擬!$B$10),1,0)</f>
        <v/>
      </c>
    </row>
    <row r="376">
      <c r="A376" s="2" t="n">
        <v>374</v>
      </c>
      <c r="B376" s="7" t="n">
        <v>46277.875</v>
      </c>
      <c r="C376" s="2" t="inlineStr">
        <is>
          <t>出場</t>
        </is>
      </c>
      <c r="D376" s="2" t="n">
        <v>188</v>
      </c>
      <c r="E376" s="2" t="inlineStr">
        <is>
          <t>MET_USDT_PERP</t>
        </is>
      </c>
      <c r="F376" s="2" t="inlineStr">
        <is>
          <t>做空</t>
        </is>
      </c>
      <c r="G376" s="17" t="n">
        <v>0.2336</v>
      </c>
      <c r="H376" s="17" t="n">
        <v>0.226592</v>
      </c>
      <c r="I376" s="17" t="n">
        <v>0.24528</v>
      </c>
      <c r="J376" s="17" t="n">
        <v>0.24528</v>
      </c>
      <c r="K376" s="2" t="inlineStr">
        <is>
          <t>止損</t>
        </is>
      </c>
      <c r="L376" s="5">
        <f>交易明細!K189</f>
        <v/>
      </c>
      <c r="M376" s="16">
        <f>M374</f>
        <v/>
      </c>
      <c r="N376" s="2">
        <f>N374</f>
        <v/>
      </c>
      <c r="O376" s="16">
        <f>O374</f>
        <v/>
      </c>
      <c r="P376" s="4">
        <f>交易明細!L189</f>
        <v/>
      </c>
      <c r="Q376" s="10">
        <f>IF(N376="已下單",O376*P376,0)</f>
        <v/>
      </c>
      <c r="R376" s="10">
        <f>R375+Q376</f>
        <v/>
      </c>
      <c r="S376" s="16">
        <f>S375-IF(N376="已下單",M376,0)</f>
        <v/>
      </c>
      <c r="T376" s="16">
        <f>R376-S376</f>
        <v/>
      </c>
      <c r="U376" s="2">
        <f>U375-IF(N376="已下單",1,0)</f>
        <v/>
      </c>
      <c r="V376" s="16">
        <f>IF(資金模擬!$B$9=2,MAX(R376,0),MAX(V375,FLOOR(MAX(R376,0),資金模擬!$B$6)))</f>
        <v/>
      </c>
      <c r="W376" s="10">
        <f>MAX(W375,R376)</f>
        <v/>
      </c>
      <c r="X376" s="4">
        <f>IF(W376&gt;0,R376/W376-1,-1)</f>
        <v/>
      </c>
      <c r="Y376" s="16">
        <f>IF(R376&gt;0,S376*資金模擬!$B$7/R376,0)</f>
        <v/>
      </c>
      <c r="Z376" s="2">
        <f>IF(OR(Z375=1,R376&lt;=資金模擬!$B$10),1,0)</f>
        <v/>
      </c>
    </row>
    <row r="377">
      <c r="A377" s="2" t="n">
        <v>375</v>
      </c>
      <c r="B377" s="7" t="n">
        <v>46277.875</v>
      </c>
      <c r="C377" s="2" t="inlineStr">
        <is>
          <t>出場</t>
        </is>
      </c>
      <c r="D377" s="2" t="n">
        <v>189</v>
      </c>
      <c r="E377" s="2" t="inlineStr">
        <is>
          <t>牛来_USDT_PERP</t>
        </is>
      </c>
      <c r="F377" s="2" t="inlineStr">
        <is>
          <t>做空</t>
        </is>
      </c>
      <c r="G377" s="17" t="n">
        <v>0.12973</v>
      </c>
      <c r="H377" s="17" t="n">
        <v>0.1258381</v>
      </c>
      <c r="I377" s="17" t="n">
        <v>0.1362165</v>
      </c>
      <c r="J377" s="17" t="n">
        <v>0.1362165</v>
      </c>
      <c r="K377" s="2" t="inlineStr">
        <is>
          <t>止損</t>
        </is>
      </c>
      <c r="L377" s="5">
        <f>交易明細!K190</f>
        <v/>
      </c>
      <c r="M377" s="16">
        <f>M375</f>
        <v/>
      </c>
      <c r="N377" s="2">
        <f>N375</f>
        <v/>
      </c>
      <c r="O377" s="16">
        <f>O375</f>
        <v/>
      </c>
      <c r="P377" s="4">
        <f>交易明細!L190</f>
        <v/>
      </c>
      <c r="Q377" s="10">
        <f>IF(N377="已下單",O377*P377,0)</f>
        <v/>
      </c>
      <c r="R377" s="10">
        <f>R376+Q377</f>
        <v/>
      </c>
      <c r="S377" s="16">
        <f>S376-IF(N377="已下單",M377,0)</f>
        <v/>
      </c>
      <c r="T377" s="16">
        <f>R377-S377</f>
        <v/>
      </c>
      <c r="U377" s="2">
        <f>U376-IF(N377="已下單",1,0)</f>
        <v/>
      </c>
      <c r="V377" s="16">
        <f>IF(資金模擬!$B$9=2,MAX(R377,0),MAX(V376,FLOOR(MAX(R377,0),資金模擬!$B$6)))</f>
        <v/>
      </c>
      <c r="W377" s="10">
        <f>MAX(W376,R377)</f>
        <v/>
      </c>
      <c r="X377" s="4">
        <f>IF(W377&gt;0,R377/W377-1,-1)</f>
        <v/>
      </c>
      <c r="Y377" s="16">
        <f>IF(R377&gt;0,S377*資金模擬!$B$7/R377,0)</f>
        <v/>
      </c>
      <c r="Z377" s="2">
        <f>IF(OR(Z376=1,R377&lt;=資金模擬!$B$10),1,0)</f>
        <v/>
      </c>
    </row>
    <row r="378">
      <c r="A378" s="2" t="n">
        <v>376</v>
      </c>
      <c r="B378" s="7" t="n">
        <v>46277.875</v>
      </c>
      <c r="C378" s="2" t="inlineStr">
        <is>
          <t>進場</t>
        </is>
      </c>
      <c r="D378" s="2" t="n">
        <v>190</v>
      </c>
      <c r="E378" s="2" t="inlineStr">
        <is>
          <t>LAB_USDT_PERP</t>
        </is>
      </c>
      <c r="F378" s="2" t="inlineStr">
        <is>
          <t>做多</t>
        </is>
      </c>
      <c r="G378" s="17" t="n">
        <v>0.07699</v>
      </c>
      <c r="H378" s="17" t="n">
        <v>0.0792997</v>
      </c>
      <c r="I378" s="17" t="n">
        <v>0.0731405</v>
      </c>
      <c r="J378" s="17" t="n"/>
      <c r="K378" s="2" t="n"/>
      <c r="L378" s="5" t="n"/>
      <c r="M378" s="16">
        <f>資金模擬!$B$5*V377</f>
        <v/>
      </c>
      <c r="N378" s="2">
        <f>IF(Z377=1,"已停止",IF(T377&gt;=M378,"已下單","資金不足略過"))</f>
        <v/>
      </c>
      <c r="O378" s="16">
        <f>IF(N378="已下單",M378*資金模擬!$B$7,0)</f>
        <v/>
      </c>
      <c r="P378" s="4" t="n"/>
      <c r="Q378" s="10" t="n">
        <v>0</v>
      </c>
      <c r="R378" s="10">
        <f>R377+Q378</f>
        <v/>
      </c>
      <c r="S378" s="16">
        <f>S377+IF(N378="已下單",M378,0)</f>
        <v/>
      </c>
      <c r="T378" s="16">
        <f>R378-S378</f>
        <v/>
      </c>
      <c r="U378" s="2">
        <f>U377+IF(N378="已下單",1,0)</f>
        <v/>
      </c>
      <c r="V378" s="16">
        <f>IF(資金模擬!$B$9=2,MAX(R378,0),MAX(V377,FLOOR(MAX(R378,0),資金模擬!$B$6)))</f>
        <v/>
      </c>
      <c r="W378" s="10">
        <f>MAX(W377,R378)</f>
        <v/>
      </c>
      <c r="X378" s="4">
        <f>IF(W378&gt;0,R378/W378-1,-1)</f>
        <v/>
      </c>
      <c r="Y378" s="16">
        <f>IF(R378&gt;0,S378*資金模擬!$B$7/R378,0)</f>
        <v/>
      </c>
      <c r="Z378" s="2">
        <f>IF(OR(Z377=1,R378&lt;=資金模擬!$B$10),1,0)</f>
        <v/>
      </c>
    </row>
    <row r="379">
      <c r="A379" s="2" t="n">
        <v>377</v>
      </c>
      <c r="B379" s="7" t="n">
        <v>46277.95833333334</v>
      </c>
      <c r="C379" s="2" t="inlineStr">
        <is>
          <t>出場</t>
        </is>
      </c>
      <c r="D379" s="2" t="n">
        <v>190</v>
      </c>
      <c r="E379" s="2" t="inlineStr">
        <is>
          <t>LAB_USDT_PERP</t>
        </is>
      </c>
      <c r="F379" s="2" t="inlineStr">
        <is>
          <t>做多</t>
        </is>
      </c>
      <c r="G379" s="17" t="n">
        <v>0.07699</v>
      </c>
      <c r="H379" s="17" t="n">
        <v>0.0792997</v>
      </c>
      <c r="I379" s="17" t="n">
        <v>0.0731405</v>
      </c>
      <c r="J379" s="17" t="n">
        <v>0.0731405</v>
      </c>
      <c r="K379" s="2" t="inlineStr">
        <is>
          <t>止損</t>
        </is>
      </c>
      <c r="L379" s="5">
        <f>交易明細!K191</f>
        <v/>
      </c>
      <c r="M379" s="16">
        <f>M378</f>
        <v/>
      </c>
      <c r="N379" s="2">
        <f>N378</f>
        <v/>
      </c>
      <c r="O379" s="16">
        <f>O378</f>
        <v/>
      </c>
      <c r="P379" s="4">
        <f>交易明細!L191</f>
        <v/>
      </c>
      <c r="Q379" s="10">
        <f>IF(N379="已下單",O379*P379,0)</f>
        <v/>
      </c>
      <c r="R379" s="10">
        <f>R378+Q379</f>
        <v/>
      </c>
      <c r="S379" s="16">
        <f>S378-IF(N379="已下單",M379,0)</f>
        <v/>
      </c>
      <c r="T379" s="16">
        <f>R379-S379</f>
        <v/>
      </c>
      <c r="U379" s="2">
        <f>U378-IF(N379="已下單",1,0)</f>
        <v/>
      </c>
      <c r="V379" s="16">
        <f>IF(資金模擬!$B$9=2,MAX(R379,0),MAX(V378,FLOOR(MAX(R379,0),資金模擬!$B$6)))</f>
        <v/>
      </c>
      <c r="W379" s="10">
        <f>MAX(W378,R379)</f>
        <v/>
      </c>
      <c r="X379" s="4">
        <f>IF(W379&gt;0,R379/W379-1,-1)</f>
        <v/>
      </c>
      <c r="Y379" s="16">
        <f>IF(R379&gt;0,S379*資金模擬!$B$7/R379,0)</f>
        <v/>
      </c>
      <c r="Z379" s="2">
        <f>IF(OR(Z378=1,R379&lt;=資金模擬!$B$10),1,0)</f>
        <v/>
      </c>
    </row>
    <row r="380">
      <c r="A380" s="2" t="n">
        <v>378</v>
      </c>
      <c r="B380" s="7" t="n">
        <v>46278</v>
      </c>
      <c r="C380" s="2" t="inlineStr">
        <is>
          <t>進場</t>
        </is>
      </c>
      <c r="D380" s="2" t="n">
        <v>191</v>
      </c>
      <c r="E380" s="2" t="inlineStr">
        <is>
          <t>牛来_USDT_PERP</t>
        </is>
      </c>
      <c r="F380" s="2" t="inlineStr">
        <is>
          <t>做多</t>
        </is>
      </c>
      <c r="G380" s="17" t="n">
        <v>0.13578</v>
      </c>
      <c r="H380" s="17" t="n">
        <v>0.1398534</v>
      </c>
      <c r="I380" s="17" t="n">
        <v>0.128991</v>
      </c>
      <c r="J380" s="17" t="n"/>
      <c r="K380" s="2" t="n"/>
      <c r="L380" s="5" t="n"/>
      <c r="M380" s="16">
        <f>資金模擬!$B$5*V379</f>
        <v/>
      </c>
      <c r="N380" s="2">
        <f>IF(Z379=1,"已停止",IF(T379&gt;=M380,"已下單","資金不足略過"))</f>
        <v/>
      </c>
      <c r="O380" s="16">
        <f>IF(N380="已下單",M380*資金模擬!$B$7,0)</f>
        <v/>
      </c>
      <c r="P380" s="4" t="n"/>
      <c r="Q380" s="10" t="n">
        <v>0</v>
      </c>
      <c r="R380" s="10">
        <f>R379+Q380</f>
        <v/>
      </c>
      <c r="S380" s="16">
        <f>S379+IF(N380="已下單",M380,0)</f>
        <v/>
      </c>
      <c r="T380" s="16">
        <f>R380-S380</f>
        <v/>
      </c>
      <c r="U380" s="2">
        <f>U379+IF(N380="已下單",1,0)</f>
        <v/>
      </c>
      <c r="V380" s="16">
        <f>IF(資金模擬!$B$9=2,MAX(R380,0),MAX(V379,FLOOR(MAX(R380,0),資金模擬!$B$6)))</f>
        <v/>
      </c>
      <c r="W380" s="10">
        <f>MAX(W379,R380)</f>
        <v/>
      </c>
      <c r="X380" s="4">
        <f>IF(W380&gt;0,R380/W380-1,-1)</f>
        <v/>
      </c>
      <c r="Y380" s="16">
        <f>IF(R380&gt;0,S380*資金模擬!$B$7/R380,0)</f>
        <v/>
      </c>
      <c r="Z380" s="2">
        <f>IF(OR(Z379=1,R380&lt;=資金模擬!$B$10),1,0)</f>
        <v/>
      </c>
    </row>
    <row r="381">
      <c r="A381" s="2" t="n">
        <v>379</v>
      </c>
      <c r="B381" s="7" t="n">
        <v>46278.04166666666</v>
      </c>
      <c r="C381" s="2" t="inlineStr">
        <is>
          <t>進場</t>
        </is>
      </c>
      <c r="D381" s="2" t="n">
        <v>192</v>
      </c>
      <c r="E381" s="2" t="inlineStr">
        <is>
          <t>MARSCOIN_USDT_PERP</t>
        </is>
      </c>
      <c r="F381" s="2" t="inlineStr">
        <is>
          <t>做空</t>
        </is>
      </c>
      <c r="G381" s="17" t="n">
        <v>0.11779</v>
      </c>
      <c r="H381" s="17" t="n">
        <v>0.1142563</v>
      </c>
      <c r="I381" s="17" t="n">
        <v>0.1236795</v>
      </c>
      <c r="J381" s="17" t="n"/>
      <c r="K381" s="2" t="n"/>
      <c r="L381" s="5" t="n"/>
      <c r="M381" s="16">
        <f>資金模擬!$B$5*V380</f>
        <v/>
      </c>
      <c r="N381" s="2">
        <f>IF(Z380=1,"已停止",IF(T380&gt;=M381,"已下單","資金不足略過"))</f>
        <v/>
      </c>
      <c r="O381" s="16">
        <f>IF(N381="已下單",M381*資金模擬!$B$7,0)</f>
        <v/>
      </c>
      <c r="P381" s="4" t="n"/>
      <c r="Q381" s="10" t="n">
        <v>0</v>
      </c>
      <c r="R381" s="10">
        <f>R380+Q381</f>
        <v/>
      </c>
      <c r="S381" s="16">
        <f>S380+IF(N381="已下單",M381,0)</f>
        <v/>
      </c>
      <c r="T381" s="16">
        <f>R381-S381</f>
        <v/>
      </c>
      <c r="U381" s="2">
        <f>U380+IF(N381="已下單",1,0)</f>
        <v/>
      </c>
      <c r="V381" s="16">
        <f>IF(資金模擬!$B$9=2,MAX(R381,0),MAX(V380,FLOOR(MAX(R381,0),資金模擬!$B$6)))</f>
        <v/>
      </c>
      <c r="W381" s="10">
        <f>MAX(W380,R381)</f>
        <v/>
      </c>
      <c r="X381" s="4">
        <f>IF(W381&gt;0,R381/W381-1,-1)</f>
        <v/>
      </c>
      <c r="Y381" s="16">
        <f>IF(R381&gt;0,S381*資金模擬!$B$7/R381,0)</f>
        <v/>
      </c>
      <c r="Z381" s="2">
        <f>IF(OR(Z380=1,R381&lt;=資金模擬!$B$10),1,0)</f>
        <v/>
      </c>
    </row>
    <row r="382">
      <c r="A382" s="2" t="n">
        <v>380</v>
      </c>
      <c r="B382" s="7" t="n">
        <v>46278.04166666666</v>
      </c>
      <c r="C382" s="2" t="inlineStr">
        <is>
          <t>進場</t>
        </is>
      </c>
      <c r="D382" s="2" t="n">
        <v>193</v>
      </c>
      <c r="E382" s="2" t="inlineStr">
        <is>
          <t>PONS_USDT_PERP</t>
        </is>
      </c>
      <c r="F382" s="2" t="inlineStr">
        <is>
          <t>做空</t>
        </is>
      </c>
      <c r="G382" s="17" t="n">
        <v>0.6118</v>
      </c>
      <c r="H382" s="17" t="n">
        <v>0.593446</v>
      </c>
      <c r="I382" s="17" t="n">
        <v>0.64239</v>
      </c>
      <c r="J382" s="17" t="n"/>
      <c r="K382" s="2" t="n"/>
      <c r="L382" s="5" t="n"/>
      <c r="M382" s="16">
        <f>資金模擬!$B$5*V381</f>
        <v/>
      </c>
      <c r="N382" s="2">
        <f>IF(Z381=1,"已停止",IF(T381&gt;=M382,"已下單","資金不足略過"))</f>
        <v/>
      </c>
      <c r="O382" s="16">
        <f>IF(N382="已下單",M382*資金模擬!$B$7,0)</f>
        <v/>
      </c>
      <c r="P382" s="4" t="n"/>
      <c r="Q382" s="10" t="n">
        <v>0</v>
      </c>
      <c r="R382" s="10">
        <f>R381+Q382</f>
        <v/>
      </c>
      <c r="S382" s="16">
        <f>S381+IF(N382="已下單",M382,0)</f>
        <v/>
      </c>
      <c r="T382" s="16">
        <f>R382-S382</f>
        <v/>
      </c>
      <c r="U382" s="2">
        <f>U381+IF(N382="已下單",1,0)</f>
        <v/>
      </c>
      <c r="V382" s="16">
        <f>IF(資金模擬!$B$9=2,MAX(R382,0),MAX(V381,FLOOR(MAX(R382,0),資金模擬!$B$6)))</f>
        <v/>
      </c>
      <c r="W382" s="10">
        <f>MAX(W381,R382)</f>
        <v/>
      </c>
      <c r="X382" s="4">
        <f>IF(W382&gt;0,R382/W382-1,-1)</f>
        <v/>
      </c>
      <c r="Y382" s="16">
        <f>IF(R382&gt;0,S382*資金模擬!$B$7/R382,0)</f>
        <v/>
      </c>
      <c r="Z382" s="2">
        <f>IF(OR(Z381=1,R382&lt;=資金模擬!$B$10),1,0)</f>
        <v/>
      </c>
    </row>
    <row r="383">
      <c r="A383" s="2" t="n">
        <v>381</v>
      </c>
      <c r="B383" s="7" t="n">
        <v>46278.08333333334</v>
      </c>
      <c r="C383" s="2" t="inlineStr">
        <is>
          <t>出場</t>
        </is>
      </c>
      <c r="D383" s="2" t="n">
        <v>180</v>
      </c>
      <c r="E383" s="2" t="inlineStr">
        <is>
          <t>PUMP_USDT_PERP</t>
        </is>
      </c>
      <c r="F383" s="2" t="inlineStr">
        <is>
          <t>做空</t>
        </is>
      </c>
      <c r="G383" s="17" t="n">
        <v>0.003537</v>
      </c>
      <c r="H383" s="17" t="n">
        <v>0.00343089</v>
      </c>
      <c r="I383" s="17" t="n">
        <v>0.00371385</v>
      </c>
      <c r="J383" s="17" t="n">
        <v>0.00371385</v>
      </c>
      <c r="K383" s="2" t="inlineStr">
        <is>
          <t>止損</t>
        </is>
      </c>
      <c r="L383" s="5">
        <f>交易明細!K181</f>
        <v/>
      </c>
      <c r="M383" s="16">
        <f>M357</f>
        <v/>
      </c>
      <c r="N383" s="2">
        <f>N357</f>
        <v/>
      </c>
      <c r="O383" s="16">
        <f>O357</f>
        <v/>
      </c>
      <c r="P383" s="4">
        <f>交易明細!L181</f>
        <v/>
      </c>
      <c r="Q383" s="10">
        <f>IF(N383="已下單",O383*P383,0)</f>
        <v/>
      </c>
      <c r="R383" s="10">
        <f>R382+Q383</f>
        <v/>
      </c>
      <c r="S383" s="16">
        <f>S382-IF(N383="已下單",M383,0)</f>
        <v/>
      </c>
      <c r="T383" s="16">
        <f>R383-S383</f>
        <v/>
      </c>
      <c r="U383" s="2">
        <f>U382-IF(N383="已下單",1,0)</f>
        <v/>
      </c>
      <c r="V383" s="16">
        <f>IF(資金模擬!$B$9=2,MAX(R383,0),MAX(V382,FLOOR(MAX(R383,0),資金模擬!$B$6)))</f>
        <v/>
      </c>
      <c r="W383" s="10">
        <f>MAX(W382,R383)</f>
        <v/>
      </c>
      <c r="X383" s="4">
        <f>IF(W383&gt;0,R383/W383-1,-1)</f>
        <v/>
      </c>
      <c r="Y383" s="16">
        <f>IF(R383&gt;0,S383*資金模擬!$B$7/R383,0)</f>
        <v/>
      </c>
      <c r="Z383" s="2">
        <f>IF(OR(Z382=1,R383&lt;=資金模擬!$B$10),1,0)</f>
        <v/>
      </c>
    </row>
    <row r="384">
      <c r="A384" s="2" t="n">
        <v>382</v>
      </c>
      <c r="B384" s="7" t="n">
        <v>46278.08333333334</v>
      </c>
      <c r="C384" s="2" t="inlineStr">
        <is>
          <t>出場</t>
        </is>
      </c>
      <c r="D384" s="2" t="n">
        <v>191</v>
      </c>
      <c r="E384" s="2" t="inlineStr">
        <is>
          <t>牛来_USDT_PERP</t>
        </is>
      </c>
      <c r="F384" s="2" t="inlineStr">
        <is>
          <t>做多</t>
        </is>
      </c>
      <c r="G384" s="17" t="n">
        <v>0.13578</v>
      </c>
      <c r="H384" s="17" t="n">
        <v>0.1398534</v>
      </c>
      <c r="I384" s="17" t="n">
        <v>0.128991</v>
      </c>
      <c r="J384" s="17" t="n">
        <v>0.128991</v>
      </c>
      <c r="K384" s="2" t="inlineStr">
        <is>
          <t>止損</t>
        </is>
      </c>
      <c r="L384" s="5">
        <f>交易明細!K192</f>
        <v/>
      </c>
      <c r="M384" s="16">
        <f>M380</f>
        <v/>
      </c>
      <c r="N384" s="2">
        <f>N380</f>
        <v/>
      </c>
      <c r="O384" s="16">
        <f>O380</f>
        <v/>
      </c>
      <c r="P384" s="4">
        <f>交易明細!L192</f>
        <v/>
      </c>
      <c r="Q384" s="10">
        <f>IF(N384="已下單",O384*P384,0)</f>
        <v/>
      </c>
      <c r="R384" s="10">
        <f>R383+Q384</f>
        <v/>
      </c>
      <c r="S384" s="16">
        <f>S383-IF(N384="已下單",M384,0)</f>
        <v/>
      </c>
      <c r="T384" s="16">
        <f>R384-S384</f>
        <v/>
      </c>
      <c r="U384" s="2">
        <f>U383-IF(N384="已下單",1,0)</f>
        <v/>
      </c>
      <c r="V384" s="16">
        <f>IF(資金模擬!$B$9=2,MAX(R384,0),MAX(V383,FLOOR(MAX(R384,0),資金模擬!$B$6)))</f>
        <v/>
      </c>
      <c r="W384" s="10">
        <f>MAX(W383,R384)</f>
        <v/>
      </c>
      <c r="X384" s="4">
        <f>IF(W384&gt;0,R384/W384-1,-1)</f>
        <v/>
      </c>
      <c r="Y384" s="16">
        <f>IF(R384&gt;0,S384*資金模擬!$B$7/R384,0)</f>
        <v/>
      </c>
      <c r="Z384" s="2">
        <f>IF(OR(Z383=1,R384&lt;=資金模擬!$B$10),1,0)</f>
        <v/>
      </c>
    </row>
    <row r="385">
      <c r="A385" s="2" t="n">
        <v>383</v>
      </c>
      <c r="B385" s="7" t="n">
        <v>46278.08333333334</v>
      </c>
      <c r="C385" s="2" t="inlineStr">
        <is>
          <t>進場</t>
        </is>
      </c>
      <c r="D385" s="2" t="n">
        <v>194</v>
      </c>
      <c r="E385" s="2" t="inlineStr">
        <is>
          <t>RIVER_USDT_PERP</t>
        </is>
      </c>
      <c r="F385" s="2" t="inlineStr">
        <is>
          <t>做多</t>
        </is>
      </c>
      <c r="G385" s="17" t="n">
        <v>1.412</v>
      </c>
      <c r="H385" s="17" t="n">
        <v>1.45436</v>
      </c>
      <c r="I385" s="17" t="n">
        <v>1.3414</v>
      </c>
      <c r="J385" s="17" t="n"/>
      <c r="K385" s="2" t="n"/>
      <c r="L385" s="5" t="n"/>
      <c r="M385" s="16">
        <f>資金模擬!$B$5*V384</f>
        <v/>
      </c>
      <c r="N385" s="2">
        <f>IF(Z384=1,"已停止",IF(T384&gt;=M385,"已下單","資金不足略過"))</f>
        <v/>
      </c>
      <c r="O385" s="16">
        <f>IF(N385="已下單",M385*資金模擬!$B$7,0)</f>
        <v/>
      </c>
      <c r="P385" s="4" t="n"/>
      <c r="Q385" s="10" t="n">
        <v>0</v>
      </c>
      <c r="R385" s="10">
        <f>R384+Q385</f>
        <v/>
      </c>
      <c r="S385" s="16">
        <f>S384+IF(N385="已下單",M385,0)</f>
        <v/>
      </c>
      <c r="T385" s="16">
        <f>R385-S385</f>
        <v/>
      </c>
      <c r="U385" s="2">
        <f>U384+IF(N385="已下單",1,0)</f>
        <v/>
      </c>
      <c r="V385" s="16">
        <f>IF(資金模擬!$B$9=2,MAX(R385,0),MAX(V384,FLOOR(MAX(R385,0),資金模擬!$B$6)))</f>
        <v/>
      </c>
      <c r="W385" s="10">
        <f>MAX(W384,R385)</f>
        <v/>
      </c>
      <c r="X385" s="4">
        <f>IF(W385&gt;0,R385/W385-1,-1)</f>
        <v/>
      </c>
      <c r="Y385" s="16">
        <f>IF(R385&gt;0,S385*資金模擬!$B$7/R385,0)</f>
        <v/>
      </c>
      <c r="Z385" s="2">
        <f>IF(OR(Z384=1,R385&lt;=資金模擬!$B$10),1,0)</f>
        <v/>
      </c>
    </row>
    <row r="386">
      <c r="A386" s="2" t="n">
        <v>384</v>
      </c>
      <c r="B386" s="7" t="n">
        <v>46278.08333333334</v>
      </c>
      <c r="C386" s="2" t="inlineStr">
        <is>
          <t>進場</t>
        </is>
      </c>
      <c r="D386" s="2" t="n">
        <v>195</v>
      </c>
      <c r="E386" s="2" t="inlineStr">
        <is>
          <t>USELESS_USDT_PERP</t>
        </is>
      </c>
      <c r="F386" s="2" t="inlineStr">
        <is>
          <t>做多</t>
        </is>
      </c>
      <c r="G386" s="17" t="n">
        <v>0.23269</v>
      </c>
      <c r="H386" s="17" t="n">
        <v>0.2396707</v>
      </c>
      <c r="I386" s="17" t="n">
        <v>0.2210555</v>
      </c>
      <c r="J386" s="17" t="n"/>
      <c r="K386" s="2" t="n"/>
      <c r="L386" s="5" t="n"/>
      <c r="M386" s="16">
        <f>資金模擬!$B$5*V385</f>
        <v/>
      </c>
      <c r="N386" s="2">
        <f>IF(Z385=1,"已停止",IF(T385&gt;=M386,"已下單","資金不足略過"))</f>
        <v/>
      </c>
      <c r="O386" s="16">
        <f>IF(N386="已下單",M386*資金模擬!$B$7,0)</f>
        <v/>
      </c>
      <c r="P386" s="4" t="n"/>
      <c r="Q386" s="10" t="n">
        <v>0</v>
      </c>
      <c r="R386" s="10">
        <f>R385+Q386</f>
        <v/>
      </c>
      <c r="S386" s="16">
        <f>S385+IF(N386="已下單",M386,0)</f>
        <v/>
      </c>
      <c r="T386" s="16">
        <f>R386-S386</f>
        <v/>
      </c>
      <c r="U386" s="2">
        <f>U385+IF(N386="已下單",1,0)</f>
        <v/>
      </c>
      <c r="V386" s="16">
        <f>IF(資金模擬!$B$9=2,MAX(R386,0),MAX(V385,FLOOR(MAX(R386,0),資金模擬!$B$6)))</f>
        <v/>
      </c>
      <c r="W386" s="10">
        <f>MAX(W385,R386)</f>
        <v/>
      </c>
      <c r="X386" s="4">
        <f>IF(W386&gt;0,R386/W386-1,-1)</f>
        <v/>
      </c>
      <c r="Y386" s="16">
        <f>IF(R386&gt;0,S386*資金模擬!$B$7/R386,0)</f>
        <v/>
      </c>
      <c r="Z386" s="2">
        <f>IF(OR(Z385=1,R386&lt;=資金模擬!$B$10),1,0)</f>
        <v/>
      </c>
    </row>
    <row r="387">
      <c r="A387" s="2" t="n">
        <v>385</v>
      </c>
      <c r="B387" s="7" t="n">
        <v>46278.125</v>
      </c>
      <c r="C387" s="2" t="inlineStr">
        <is>
          <t>出場</t>
        </is>
      </c>
      <c r="D387" s="2" t="n">
        <v>193</v>
      </c>
      <c r="E387" s="2" t="inlineStr">
        <is>
          <t>PONS_USDT_PERP</t>
        </is>
      </c>
      <c r="F387" s="2" t="inlineStr">
        <is>
          <t>做空</t>
        </is>
      </c>
      <c r="G387" s="17" t="n">
        <v>0.6118</v>
      </c>
      <c r="H387" s="17" t="n">
        <v>0.593446</v>
      </c>
      <c r="I387" s="17" t="n">
        <v>0.64239</v>
      </c>
      <c r="J387" s="17" t="n">
        <v>0.593446</v>
      </c>
      <c r="K387" s="2" t="inlineStr">
        <is>
          <t>止盈</t>
        </is>
      </c>
      <c r="L387" s="5">
        <f>交易明細!K194</f>
        <v/>
      </c>
      <c r="M387" s="16">
        <f>M382</f>
        <v/>
      </c>
      <c r="N387" s="2">
        <f>N382</f>
        <v/>
      </c>
      <c r="O387" s="16">
        <f>O382</f>
        <v/>
      </c>
      <c r="P387" s="4">
        <f>交易明細!L194</f>
        <v/>
      </c>
      <c r="Q387" s="10">
        <f>IF(N387="已下單",O387*P387,0)</f>
        <v/>
      </c>
      <c r="R387" s="10">
        <f>R386+Q387</f>
        <v/>
      </c>
      <c r="S387" s="16">
        <f>S386-IF(N387="已下單",M387,0)</f>
        <v/>
      </c>
      <c r="T387" s="16">
        <f>R387-S387</f>
        <v/>
      </c>
      <c r="U387" s="2">
        <f>U386-IF(N387="已下單",1,0)</f>
        <v/>
      </c>
      <c r="V387" s="16">
        <f>IF(資金模擬!$B$9=2,MAX(R387,0),MAX(V386,FLOOR(MAX(R387,0),資金模擬!$B$6)))</f>
        <v/>
      </c>
      <c r="W387" s="10">
        <f>MAX(W386,R387)</f>
        <v/>
      </c>
      <c r="X387" s="4">
        <f>IF(W387&gt;0,R387/W387-1,-1)</f>
        <v/>
      </c>
      <c r="Y387" s="16">
        <f>IF(R387&gt;0,S387*資金模擬!$B$7/R387,0)</f>
        <v/>
      </c>
      <c r="Z387" s="2">
        <f>IF(OR(Z386=1,R387&lt;=資金模擬!$B$10),1,0)</f>
        <v/>
      </c>
    </row>
    <row r="388">
      <c r="A388" s="2" t="n">
        <v>386</v>
      </c>
      <c r="B388" s="7" t="n">
        <v>46278.125</v>
      </c>
      <c r="C388" s="2" t="inlineStr">
        <is>
          <t>出場</t>
        </is>
      </c>
      <c r="D388" s="2" t="n">
        <v>194</v>
      </c>
      <c r="E388" s="2" t="inlineStr">
        <is>
          <t>RIVER_USDT_PERP</t>
        </is>
      </c>
      <c r="F388" s="2" t="inlineStr">
        <is>
          <t>做多</t>
        </is>
      </c>
      <c r="G388" s="17" t="n">
        <v>1.412</v>
      </c>
      <c r="H388" s="17" t="n">
        <v>1.45436</v>
      </c>
      <c r="I388" s="17" t="n">
        <v>1.3414</v>
      </c>
      <c r="J388" s="17" t="n">
        <v>1.45436</v>
      </c>
      <c r="K388" s="2" t="inlineStr">
        <is>
          <t>止盈</t>
        </is>
      </c>
      <c r="L388" s="5">
        <f>交易明細!K195</f>
        <v/>
      </c>
      <c r="M388" s="16">
        <f>M385</f>
        <v/>
      </c>
      <c r="N388" s="2">
        <f>N385</f>
        <v/>
      </c>
      <c r="O388" s="16">
        <f>O385</f>
        <v/>
      </c>
      <c r="P388" s="4">
        <f>交易明細!L195</f>
        <v/>
      </c>
      <c r="Q388" s="10">
        <f>IF(N388="已下單",O388*P388,0)</f>
        <v/>
      </c>
      <c r="R388" s="10">
        <f>R387+Q388</f>
        <v/>
      </c>
      <c r="S388" s="16">
        <f>S387-IF(N388="已下單",M388,0)</f>
        <v/>
      </c>
      <c r="T388" s="16">
        <f>R388-S388</f>
        <v/>
      </c>
      <c r="U388" s="2">
        <f>U387-IF(N388="已下單",1,0)</f>
        <v/>
      </c>
      <c r="V388" s="16">
        <f>IF(資金模擬!$B$9=2,MAX(R388,0),MAX(V387,FLOOR(MAX(R388,0),資金模擬!$B$6)))</f>
        <v/>
      </c>
      <c r="W388" s="10">
        <f>MAX(W387,R388)</f>
        <v/>
      </c>
      <c r="X388" s="4">
        <f>IF(W388&gt;0,R388/W388-1,-1)</f>
        <v/>
      </c>
      <c r="Y388" s="16">
        <f>IF(R388&gt;0,S388*資金模擬!$B$7/R388,0)</f>
        <v/>
      </c>
      <c r="Z388" s="2">
        <f>IF(OR(Z387=1,R388&lt;=資金模擬!$B$10),1,0)</f>
        <v/>
      </c>
    </row>
    <row r="389">
      <c r="A389" s="2" t="n">
        <v>387</v>
      </c>
      <c r="B389" s="7" t="n">
        <v>46278.20833333334</v>
      </c>
      <c r="C389" s="2" t="inlineStr">
        <is>
          <t>進場</t>
        </is>
      </c>
      <c r="D389" s="2" t="n">
        <v>196</v>
      </c>
      <c r="E389" s="2" t="inlineStr">
        <is>
          <t>VVV_USDT_PERP</t>
        </is>
      </c>
      <c r="F389" s="2" t="inlineStr">
        <is>
          <t>做多</t>
        </is>
      </c>
      <c r="G389" s="17" t="n">
        <v>23.956</v>
      </c>
      <c r="H389" s="17" t="n">
        <v>24.67468</v>
      </c>
      <c r="I389" s="17" t="n">
        <v>22.7582</v>
      </c>
      <c r="J389" s="17" t="n"/>
      <c r="K389" s="2" t="n"/>
      <c r="L389" s="5" t="n"/>
      <c r="M389" s="16">
        <f>資金模擬!$B$5*V388</f>
        <v/>
      </c>
      <c r="N389" s="2">
        <f>IF(Z388=1,"已停止",IF(T388&gt;=M389,"已下單","資金不足略過"))</f>
        <v/>
      </c>
      <c r="O389" s="16">
        <f>IF(N389="已下單",M389*資金模擬!$B$7,0)</f>
        <v/>
      </c>
      <c r="P389" s="4" t="n"/>
      <c r="Q389" s="10" t="n">
        <v>0</v>
      </c>
      <c r="R389" s="10">
        <f>R388+Q389</f>
        <v/>
      </c>
      <c r="S389" s="16">
        <f>S388+IF(N389="已下單",M389,0)</f>
        <v/>
      </c>
      <c r="T389" s="16">
        <f>R389-S389</f>
        <v/>
      </c>
      <c r="U389" s="2">
        <f>U388+IF(N389="已下單",1,0)</f>
        <v/>
      </c>
      <c r="V389" s="16">
        <f>IF(資金模擬!$B$9=2,MAX(R389,0),MAX(V388,FLOOR(MAX(R389,0),資金模擬!$B$6)))</f>
        <v/>
      </c>
      <c r="W389" s="10">
        <f>MAX(W388,R389)</f>
        <v/>
      </c>
      <c r="X389" s="4">
        <f>IF(W389&gt;0,R389/W389-1,-1)</f>
        <v/>
      </c>
      <c r="Y389" s="16">
        <f>IF(R389&gt;0,S389*資金模擬!$B$7/R389,0)</f>
        <v/>
      </c>
      <c r="Z389" s="2">
        <f>IF(OR(Z388=1,R389&lt;=資金模擬!$B$10),1,0)</f>
        <v/>
      </c>
    </row>
    <row r="390">
      <c r="A390" s="2" t="n">
        <v>388</v>
      </c>
      <c r="B390" s="7" t="n">
        <v>46278.29166666666</v>
      </c>
      <c r="C390" s="2" t="inlineStr">
        <is>
          <t>出場</t>
        </is>
      </c>
      <c r="D390" s="2" t="n">
        <v>196</v>
      </c>
      <c r="E390" s="2" t="inlineStr">
        <is>
          <t>VVV_USDT_PERP</t>
        </is>
      </c>
      <c r="F390" s="2" t="inlineStr">
        <is>
          <t>做多</t>
        </is>
      </c>
      <c r="G390" s="17" t="n">
        <v>23.956</v>
      </c>
      <c r="H390" s="17" t="n">
        <v>24.67468</v>
      </c>
      <c r="I390" s="17" t="n">
        <v>22.7582</v>
      </c>
      <c r="J390" s="17" t="n">
        <v>24.67468</v>
      </c>
      <c r="K390" s="2" t="inlineStr">
        <is>
          <t>止盈</t>
        </is>
      </c>
      <c r="L390" s="5">
        <f>交易明細!K197</f>
        <v/>
      </c>
      <c r="M390" s="16">
        <f>M389</f>
        <v/>
      </c>
      <c r="N390" s="2">
        <f>N389</f>
        <v/>
      </c>
      <c r="O390" s="16">
        <f>O389</f>
        <v/>
      </c>
      <c r="P390" s="4">
        <f>交易明細!L197</f>
        <v/>
      </c>
      <c r="Q390" s="10">
        <f>IF(N390="已下單",O390*P390,0)</f>
        <v/>
      </c>
      <c r="R390" s="10">
        <f>R389+Q390</f>
        <v/>
      </c>
      <c r="S390" s="16">
        <f>S389-IF(N390="已下單",M390,0)</f>
        <v/>
      </c>
      <c r="T390" s="16">
        <f>R390-S390</f>
        <v/>
      </c>
      <c r="U390" s="2">
        <f>U389-IF(N390="已下單",1,0)</f>
        <v/>
      </c>
      <c r="V390" s="16">
        <f>IF(資金模擬!$B$9=2,MAX(R390,0),MAX(V389,FLOOR(MAX(R390,0),資金模擬!$B$6)))</f>
        <v/>
      </c>
      <c r="W390" s="10">
        <f>MAX(W389,R390)</f>
        <v/>
      </c>
      <c r="X390" s="4">
        <f>IF(W390&gt;0,R390/W390-1,-1)</f>
        <v/>
      </c>
      <c r="Y390" s="16">
        <f>IF(R390&gt;0,S390*資金模擬!$B$7/R390,0)</f>
        <v/>
      </c>
      <c r="Z390" s="2">
        <f>IF(OR(Z389=1,R390&lt;=資金模擬!$B$10),1,0)</f>
        <v/>
      </c>
    </row>
    <row r="391">
      <c r="A391" s="2" t="n">
        <v>389</v>
      </c>
      <c r="B391" s="7" t="n">
        <v>46278.45833333334</v>
      </c>
      <c r="C391" s="2" t="inlineStr">
        <is>
          <t>出場</t>
        </is>
      </c>
      <c r="D391" s="2" t="n">
        <v>192</v>
      </c>
      <c r="E391" s="2" t="inlineStr">
        <is>
          <t>MARSCOIN_USDT_PERP</t>
        </is>
      </c>
      <c r="F391" s="2" t="inlineStr">
        <is>
          <t>做空</t>
        </is>
      </c>
      <c r="G391" s="17" t="n">
        <v>0.11779</v>
      </c>
      <c r="H391" s="17" t="n">
        <v>0.1142563</v>
      </c>
      <c r="I391" s="17" t="n">
        <v>0.1236795</v>
      </c>
      <c r="J391" s="17" t="n">
        <v>0.1236795</v>
      </c>
      <c r="K391" s="2" t="inlineStr">
        <is>
          <t>止損</t>
        </is>
      </c>
      <c r="L391" s="5">
        <f>交易明細!K193</f>
        <v/>
      </c>
      <c r="M391" s="16">
        <f>M381</f>
        <v/>
      </c>
      <c r="N391" s="2">
        <f>N381</f>
        <v/>
      </c>
      <c r="O391" s="16">
        <f>O381</f>
        <v/>
      </c>
      <c r="P391" s="4">
        <f>交易明細!L193</f>
        <v/>
      </c>
      <c r="Q391" s="10">
        <f>IF(N391="已下單",O391*P391,0)</f>
        <v/>
      </c>
      <c r="R391" s="10">
        <f>R390+Q391</f>
        <v/>
      </c>
      <c r="S391" s="16">
        <f>S390-IF(N391="已下單",M391,0)</f>
        <v/>
      </c>
      <c r="T391" s="16">
        <f>R391-S391</f>
        <v/>
      </c>
      <c r="U391" s="2">
        <f>U390-IF(N391="已下單",1,0)</f>
        <v/>
      </c>
      <c r="V391" s="16">
        <f>IF(資金模擬!$B$9=2,MAX(R391,0),MAX(V390,FLOOR(MAX(R391,0),資金模擬!$B$6)))</f>
        <v/>
      </c>
      <c r="W391" s="10">
        <f>MAX(W390,R391)</f>
        <v/>
      </c>
      <c r="X391" s="4">
        <f>IF(W391&gt;0,R391/W391-1,-1)</f>
        <v/>
      </c>
      <c r="Y391" s="16">
        <f>IF(R391&gt;0,S391*資金模擬!$B$7/R391,0)</f>
        <v/>
      </c>
      <c r="Z391" s="2">
        <f>IF(OR(Z390=1,R391&lt;=資金模擬!$B$10),1,0)</f>
        <v/>
      </c>
    </row>
    <row r="392">
      <c r="A392" s="2" t="n">
        <v>390</v>
      </c>
      <c r="B392" s="7" t="n">
        <v>46278.45833333334</v>
      </c>
      <c r="C392" s="2" t="inlineStr">
        <is>
          <t>進場</t>
        </is>
      </c>
      <c r="D392" s="2" t="n">
        <v>197</v>
      </c>
      <c r="E392" s="2" t="inlineStr">
        <is>
          <t>AKE_USDT_PERP</t>
        </is>
      </c>
      <c r="F392" s="2" t="inlineStr">
        <is>
          <t>做多</t>
        </is>
      </c>
      <c r="G392" s="17" t="n">
        <v>0.0164847</v>
      </c>
      <c r="H392" s="17" t="n">
        <v>0.016979241</v>
      </c>
      <c r="I392" s="17" t="n">
        <v>0.015660465</v>
      </c>
      <c r="J392" s="17" t="n"/>
      <c r="K392" s="2" t="n"/>
      <c r="L392" s="5" t="n"/>
      <c r="M392" s="16">
        <f>資金模擬!$B$5*V391</f>
        <v/>
      </c>
      <c r="N392" s="2">
        <f>IF(Z391=1,"已停止",IF(T391&gt;=M392,"已下單","資金不足略過"))</f>
        <v/>
      </c>
      <c r="O392" s="16">
        <f>IF(N392="已下單",M392*資金模擬!$B$7,0)</f>
        <v/>
      </c>
      <c r="P392" s="4" t="n"/>
      <c r="Q392" s="10" t="n">
        <v>0</v>
      </c>
      <c r="R392" s="10">
        <f>R391+Q392</f>
        <v/>
      </c>
      <c r="S392" s="16">
        <f>S391+IF(N392="已下單",M392,0)</f>
        <v/>
      </c>
      <c r="T392" s="16">
        <f>R392-S392</f>
        <v/>
      </c>
      <c r="U392" s="2">
        <f>U391+IF(N392="已下單",1,0)</f>
        <v/>
      </c>
      <c r="V392" s="16">
        <f>IF(資金模擬!$B$9=2,MAX(R392,0),MAX(V391,FLOOR(MAX(R392,0),資金模擬!$B$6)))</f>
        <v/>
      </c>
      <c r="W392" s="10">
        <f>MAX(W391,R392)</f>
        <v/>
      </c>
      <c r="X392" s="4">
        <f>IF(W392&gt;0,R392/W392-1,-1)</f>
        <v/>
      </c>
      <c r="Y392" s="16">
        <f>IF(R392&gt;0,S392*資金模擬!$B$7/R392,0)</f>
        <v/>
      </c>
      <c r="Z392" s="2">
        <f>IF(OR(Z391=1,R392&lt;=資金模擬!$B$10),1,0)</f>
        <v/>
      </c>
    </row>
    <row r="393">
      <c r="A393" s="2" t="n">
        <v>391</v>
      </c>
      <c r="B393" s="7" t="n">
        <v>46278.45833333334</v>
      </c>
      <c r="C393" s="2" t="inlineStr">
        <is>
          <t>進場</t>
        </is>
      </c>
      <c r="D393" s="2" t="n">
        <v>198</v>
      </c>
      <c r="E393" s="2" t="inlineStr">
        <is>
          <t>PONS_USDT_PERP</t>
        </is>
      </c>
      <c r="F393" s="2" t="inlineStr">
        <is>
          <t>做空</t>
        </is>
      </c>
      <c r="G393" s="17" t="n">
        <v>0.5901999999999999</v>
      </c>
      <c r="H393" s="17" t="n">
        <v>0.5724939999999999</v>
      </c>
      <c r="I393" s="17" t="n">
        <v>0.61971</v>
      </c>
      <c r="J393" s="17" t="n"/>
      <c r="K393" s="2" t="n"/>
      <c r="L393" s="5" t="n"/>
      <c r="M393" s="16">
        <f>資金模擬!$B$5*V392</f>
        <v/>
      </c>
      <c r="N393" s="2">
        <f>IF(Z392=1,"已停止",IF(T392&gt;=M393,"已下單","資金不足略過"))</f>
        <v/>
      </c>
      <c r="O393" s="16">
        <f>IF(N393="已下單",M393*資金模擬!$B$7,0)</f>
        <v/>
      </c>
      <c r="P393" s="4" t="n"/>
      <c r="Q393" s="10" t="n">
        <v>0</v>
      </c>
      <c r="R393" s="10">
        <f>R392+Q393</f>
        <v/>
      </c>
      <c r="S393" s="16">
        <f>S392+IF(N393="已下單",M393,0)</f>
        <v/>
      </c>
      <c r="T393" s="16">
        <f>R393-S393</f>
        <v/>
      </c>
      <c r="U393" s="2">
        <f>U392+IF(N393="已下單",1,0)</f>
        <v/>
      </c>
      <c r="V393" s="16">
        <f>IF(資金模擬!$B$9=2,MAX(R393,0),MAX(V392,FLOOR(MAX(R393,0),資金模擬!$B$6)))</f>
        <v/>
      </c>
      <c r="W393" s="10">
        <f>MAX(W392,R393)</f>
        <v/>
      </c>
      <c r="X393" s="4">
        <f>IF(W393&gt;0,R393/W393-1,-1)</f>
        <v/>
      </c>
      <c r="Y393" s="16">
        <f>IF(R393&gt;0,S393*資金模擬!$B$7/R393,0)</f>
        <v/>
      </c>
      <c r="Z393" s="2">
        <f>IF(OR(Z392=1,R393&lt;=資金模擬!$B$10),1,0)</f>
        <v/>
      </c>
    </row>
    <row r="394">
      <c r="A394" s="2" t="n">
        <v>392</v>
      </c>
      <c r="B394" s="7" t="n">
        <v>46278.5</v>
      </c>
      <c r="C394" s="2" t="inlineStr">
        <is>
          <t>出場</t>
        </is>
      </c>
      <c r="D394" s="2" t="n">
        <v>195</v>
      </c>
      <c r="E394" s="2" t="inlineStr">
        <is>
          <t>USELESS_USDT_PERP</t>
        </is>
      </c>
      <c r="F394" s="2" t="inlineStr">
        <is>
          <t>做多</t>
        </is>
      </c>
      <c r="G394" s="17" t="n">
        <v>0.23269</v>
      </c>
      <c r="H394" s="17" t="n">
        <v>0.2396707</v>
      </c>
      <c r="I394" s="17" t="n">
        <v>0.2210555</v>
      </c>
      <c r="J394" s="17" t="n">
        <v>0.2396707</v>
      </c>
      <c r="K394" s="2" t="inlineStr">
        <is>
          <t>止盈</t>
        </is>
      </c>
      <c r="L394" s="5">
        <f>交易明細!K196</f>
        <v/>
      </c>
      <c r="M394" s="16">
        <f>M386</f>
        <v/>
      </c>
      <c r="N394" s="2">
        <f>N386</f>
        <v/>
      </c>
      <c r="O394" s="16">
        <f>O386</f>
        <v/>
      </c>
      <c r="P394" s="4">
        <f>交易明細!L196</f>
        <v/>
      </c>
      <c r="Q394" s="10">
        <f>IF(N394="已下單",O394*P394,0)</f>
        <v/>
      </c>
      <c r="R394" s="10">
        <f>R393+Q394</f>
        <v/>
      </c>
      <c r="S394" s="16">
        <f>S393-IF(N394="已下單",M394,0)</f>
        <v/>
      </c>
      <c r="T394" s="16">
        <f>R394-S394</f>
        <v/>
      </c>
      <c r="U394" s="2">
        <f>U393-IF(N394="已下單",1,0)</f>
        <v/>
      </c>
      <c r="V394" s="16">
        <f>IF(資金模擬!$B$9=2,MAX(R394,0),MAX(V393,FLOOR(MAX(R394,0),資金模擬!$B$6)))</f>
        <v/>
      </c>
      <c r="W394" s="10">
        <f>MAX(W393,R394)</f>
        <v/>
      </c>
      <c r="X394" s="4">
        <f>IF(W394&gt;0,R394/W394-1,-1)</f>
        <v/>
      </c>
      <c r="Y394" s="16">
        <f>IF(R394&gt;0,S394*資金模擬!$B$7/R394,0)</f>
        <v/>
      </c>
      <c r="Z394" s="2">
        <f>IF(OR(Z393=1,R394&lt;=資金模擬!$B$10),1,0)</f>
        <v/>
      </c>
    </row>
    <row r="395">
      <c r="A395" s="2" t="n">
        <v>393</v>
      </c>
      <c r="B395" s="7" t="n">
        <v>46278.5</v>
      </c>
      <c r="C395" s="2" t="inlineStr">
        <is>
          <t>進場</t>
        </is>
      </c>
      <c r="D395" s="2" t="n">
        <v>199</v>
      </c>
      <c r="E395" s="2" t="inlineStr">
        <is>
          <t>MARSCOIN_USDT_PERP</t>
        </is>
      </c>
      <c r="F395" s="2" t="inlineStr">
        <is>
          <t>做空</t>
        </is>
      </c>
      <c r="G395" s="17" t="n">
        <v>0.11416</v>
      </c>
      <c r="H395" s="17" t="n">
        <v>0.1107352</v>
      </c>
      <c r="I395" s="17" t="n">
        <v>0.119868</v>
      </c>
      <c r="J395" s="17" t="n"/>
      <c r="K395" s="2" t="n"/>
      <c r="L395" s="5" t="n"/>
      <c r="M395" s="16">
        <f>資金模擬!$B$5*V394</f>
        <v/>
      </c>
      <c r="N395" s="2">
        <f>IF(Z394=1,"已停止",IF(T394&gt;=M395,"已下單","資金不足略過"))</f>
        <v/>
      </c>
      <c r="O395" s="16">
        <f>IF(N395="已下單",M395*資金模擬!$B$7,0)</f>
        <v/>
      </c>
      <c r="P395" s="4" t="n"/>
      <c r="Q395" s="10" t="n">
        <v>0</v>
      </c>
      <c r="R395" s="10">
        <f>R394+Q395</f>
        <v/>
      </c>
      <c r="S395" s="16">
        <f>S394+IF(N395="已下單",M395,0)</f>
        <v/>
      </c>
      <c r="T395" s="16">
        <f>R395-S395</f>
        <v/>
      </c>
      <c r="U395" s="2">
        <f>U394+IF(N395="已下單",1,0)</f>
        <v/>
      </c>
      <c r="V395" s="16">
        <f>IF(資金模擬!$B$9=2,MAX(R395,0),MAX(V394,FLOOR(MAX(R395,0),資金模擬!$B$6)))</f>
        <v/>
      </c>
      <c r="W395" s="10">
        <f>MAX(W394,R395)</f>
        <v/>
      </c>
      <c r="X395" s="4">
        <f>IF(W395&gt;0,R395/W395-1,-1)</f>
        <v/>
      </c>
      <c r="Y395" s="16">
        <f>IF(R395&gt;0,S395*資金模擬!$B$7/R395,0)</f>
        <v/>
      </c>
      <c r="Z395" s="2">
        <f>IF(OR(Z394=1,R395&lt;=資金模擬!$B$10),1,0)</f>
        <v/>
      </c>
    </row>
    <row r="396">
      <c r="A396" s="2" t="n">
        <v>394</v>
      </c>
      <c r="B396" s="7" t="n">
        <v>46278.5</v>
      </c>
      <c r="C396" s="2" t="inlineStr">
        <is>
          <t>進場</t>
        </is>
      </c>
      <c r="D396" s="2" t="n">
        <v>200</v>
      </c>
      <c r="E396" s="2" t="inlineStr">
        <is>
          <t>RIVER_USDT_PERP</t>
        </is>
      </c>
      <c r="F396" s="2" t="inlineStr">
        <is>
          <t>做空</t>
        </is>
      </c>
      <c r="G396" s="17" t="n">
        <v>1.261</v>
      </c>
      <c r="H396" s="17" t="n">
        <v>1.22317</v>
      </c>
      <c r="I396" s="17" t="n">
        <v>1.32405</v>
      </c>
      <c r="J396" s="17" t="n"/>
      <c r="K396" s="2" t="n"/>
      <c r="L396" s="5" t="n"/>
      <c r="M396" s="16">
        <f>資金模擬!$B$5*V395</f>
        <v/>
      </c>
      <c r="N396" s="2">
        <f>IF(Z395=1,"已停止",IF(T395&gt;=M396,"已下單","資金不足略過"))</f>
        <v/>
      </c>
      <c r="O396" s="16">
        <f>IF(N396="已下單",M396*資金模擬!$B$7,0)</f>
        <v/>
      </c>
      <c r="P396" s="4" t="n"/>
      <c r="Q396" s="10" t="n">
        <v>0</v>
      </c>
      <c r="R396" s="10">
        <f>R395+Q396</f>
        <v/>
      </c>
      <c r="S396" s="16">
        <f>S395+IF(N396="已下單",M396,0)</f>
        <v/>
      </c>
      <c r="T396" s="16">
        <f>R396-S396</f>
        <v/>
      </c>
      <c r="U396" s="2">
        <f>U395+IF(N396="已下單",1,0)</f>
        <v/>
      </c>
      <c r="V396" s="16">
        <f>IF(資金模擬!$B$9=2,MAX(R396,0),MAX(V395,FLOOR(MAX(R396,0),資金模擬!$B$6)))</f>
        <v/>
      </c>
      <c r="W396" s="10">
        <f>MAX(W395,R396)</f>
        <v/>
      </c>
      <c r="X396" s="4">
        <f>IF(W396&gt;0,R396/W396-1,-1)</f>
        <v/>
      </c>
      <c r="Y396" s="16">
        <f>IF(R396&gt;0,S396*資金模擬!$B$7/R396,0)</f>
        <v/>
      </c>
      <c r="Z396" s="2">
        <f>IF(OR(Z395=1,R396&lt;=資金模擬!$B$10),1,0)</f>
        <v/>
      </c>
    </row>
    <row r="397">
      <c r="A397" s="2" t="n">
        <v>395</v>
      </c>
      <c r="B397" s="7" t="n">
        <v>46278.58333333334</v>
      </c>
      <c r="C397" s="2" t="inlineStr">
        <is>
          <t>出場</t>
        </is>
      </c>
      <c r="D397" s="2" t="n">
        <v>197</v>
      </c>
      <c r="E397" s="2" t="inlineStr">
        <is>
          <t>AKE_USDT_PERP</t>
        </is>
      </c>
      <c r="F397" s="2" t="inlineStr">
        <is>
          <t>做多</t>
        </is>
      </c>
      <c r="G397" s="17" t="n">
        <v>0.0164847</v>
      </c>
      <c r="H397" s="17" t="n">
        <v>0.016979241</v>
      </c>
      <c r="I397" s="17" t="n">
        <v>0.015660465</v>
      </c>
      <c r="J397" s="17" t="n">
        <v>0.015660465</v>
      </c>
      <c r="K397" s="2" t="inlineStr">
        <is>
          <t>止損</t>
        </is>
      </c>
      <c r="L397" s="5">
        <f>交易明細!K198</f>
        <v/>
      </c>
      <c r="M397" s="16">
        <f>M392</f>
        <v/>
      </c>
      <c r="N397" s="2">
        <f>N392</f>
        <v/>
      </c>
      <c r="O397" s="16">
        <f>O392</f>
        <v/>
      </c>
      <c r="P397" s="4">
        <f>交易明細!L198</f>
        <v/>
      </c>
      <c r="Q397" s="10">
        <f>IF(N397="已下單",O397*P397,0)</f>
        <v/>
      </c>
      <c r="R397" s="10">
        <f>R396+Q397</f>
        <v/>
      </c>
      <c r="S397" s="16">
        <f>S396-IF(N397="已下單",M397,0)</f>
        <v/>
      </c>
      <c r="T397" s="16">
        <f>R397-S397</f>
        <v/>
      </c>
      <c r="U397" s="2">
        <f>U396-IF(N397="已下單",1,0)</f>
        <v/>
      </c>
      <c r="V397" s="16">
        <f>IF(資金模擬!$B$9=2,MAX(R397,0),MAX(V396,FLOOR(MAX(R397,0),資金模擬!$B$6)))</f>
        <v/>
      </c>
      <c r="W397" s="10">
        <f>MAX(W396,R397)</f>
        <v/>
      </c>
      <c r="X397" s="4">
        <f>IF(W397&gt;0,R397/W397-1,-1)</f>
        <v/>
      </c>
      <c r="Y397" s="16">
        <f>IF(R397&gt;0,S397*資金模擬!$B$7/R397,0)</f>
        <v/>
      </c>
      <c r="Z397" s="2">
        <f>IF(OR(Z396=1,R397&lt;=資金模擬!$B$10),1,0)</f>
        <v/>
      </c>
    </row>
    <row r="398">
      <c r="A398" s="2" t="n">
        <v>396</v>
      </c>
      <c r="B398" s="7" t="n">
        <v>46278.625</v>
      </c>
      <c r="C398" s="2" t="inlineStr">
        <is>
          <t>出場</t>
        </is>
      </c>
      <c r="D398" s="2" t="n">
        <v>198</v>
      </c>
      <c r="E398" s="2" t="inlineStr">
        <is>
          <t>PONS_USDT_PERP</t>
        </is>
      </c>
      <c r="F398" s="2" t="inlineStr">
        <is>
          <t>做空</t>
        </is>
      </c>
      <c r="G398" s="17" t="n">
        <v>0.5901999999999999</v>
      </c>
      <c r="H398" s="17" t="n">
        <v>0.5724939999999999</v>
      </c>
      <c r="I398" s="17" t="n">
        <v>0.61971</v>
      </c>
      <c r="J398" s="17" t="n">
        <v>0.5724939999999999</v>
      </c>
      <c r="K398" s="2" t="inlineStr">
        <is>
          <t>止盈</t>
        </is>
      </c>
      <c r="L398" s="5">
        <f>交易明細!K199</f>
        <v/>
      </c>
      <c r="M398" s="16">
        <f>M393</f>
        <v/>
      </c>
      <c r="N398" s="2">
        <f>N393</f>
        <v/>
      </c>
      <c r="O398" s="16">
        <f>O393</f>
        <v/>
      </c>
      <c r="P398" s="4">
        <f>交易明細!L199</f>
        <v/>
      </c>
      <c r="Q398" s="10">
        <f>IF(N398="已下單",O398*P398,0)</f>
        <v/>
      </c>
      <c r="R398" s="10">
        <f>R397+Q398</f>
        <v/>
      </c>
      <c r="S398" s="16">
        <f>S397-IF(N398="已下單",M398,0)</f>
        <v/>
      </c>
      <c r="T398" s="16">
        <f>R398-S398</f>
        <v/>
      </c>
      <c r="U398" s="2">
        <f>U397-IF(N398="已下單",1,0)</f>
        <v/>
      </c>
      <c r="V398" s="16">
        <f>IF(資金模擬!$B$9=2,MAX(R398,0),MAX(V397,FLOOR(MAX(R398,0),資金模擬!$B$6)))</f>
        <v/>
      </c>
      <c r="W398" s="10">
        <f>MAX(W397,R398)</f>
        <v/>
      </c>
      <c r="X398" s="4">
        <f>IF(W398&gt;0,R398/W398-1,-1)</f>
        <v/>
      </c>
      <c r="Y398" s="16">
        <f>IF(R398&gt;0,S398*資金模擬!$B$7/R398,0)</f>
        <v/>
      </c>
      <c r="Z398" s="2">
        <f>IF(OR(Z397=1,R398&lt;=資金模擬!$B$10),1,0)</f>
        <v/>
      </c>
    </row>
    <row r="399">
      <c r="A399" s="2" t="n">
        <v>397</v>
      </c>
      <c r="B399" s="7" t="n">
        <v>46278.625</v>
      </c>
      <c r="C399" s="2" t="inlineStr">
        <is>
          <t>出場</t>
        </is>
      </c>
      <c r="D399" s="2" t="n">
        <v>199</v>
      </c>
      <c r="E399" s="2" t="inlineStr">
        <is>
          <t>MARSCOIN_USDT_PERP</t>
        </is>
      </c>
      <c r="F399" s="2" t="inlineStr">
        <is>
          <t>做空</t>
        </is>
      </c>
      <c r="G399" s="17" t="n">
        <v>0.11416</v>
      </c>
      <c r="H399" s="17" t="n">
        <v>0.1107352</v>
      </c>
      <c r="I399" s="17" t="n">
        <v>0.119868</v>
      </c>
      <c r="J399" s="17" t="n">
        <v>0.119868</v>
      </c>
      <c r="K399" s="2" t="inlineStr">
        <is>
          <t>止損</t>
        </is>
      </c>
      <c r="L399" s="5">
        <f>交易明細!K200</f>
        <v/>
      </c>
      <c r="M399" s="16">
        <f>M395</f>
        <v/>
      </c>
      <c r="N399" s="2">
        <f>N395</f>
        <v/>
      </c>
      <c r="O399" s="16">
        <f>O395</f>
        <v/>
      </c>
      <c r="P399" s="4">
        <f>交易明細!L200</f>
        <v/>
      </c>
      <c r="Q399" s="10">
        <f>IF(N399="已下單",O399*P399,0)</f>
        <v/>
      </c>
      <c r="R399" s="10">
        <f>R398+Q399</f>
        <v/>
      </c>
      <c r="S399" s="16">
        <f>S398-IF(N399="已下單",M399,0)</f>
        <v/>
      </c>
      <c r="T399" s="16">
        <f>R399-S399</f>
        <v/>
      </c>
      <c r="U399" s="2">
        <f>U398-IF(N399="已下單",1,0)</f>
        <v/>
      </c>
      <c r="V399" s="16">
        <f>IF(資金模擬!$B$9=2,MAX(R399,0),MAX(V398,FLOOR(MAX(R399,0),資金模擬!$B$6)))</f>
        <v/>
      </c>
      <c r="W399" s="10">
        <f>MAX(W398,R399)</f>
        <v/>
      </c>
      <c r="X399" s="4">
        <f>IF(W399&gt;0,R399/W399-1,-1)</f>
        <v/>
      </c>
      <c r="Y399" s="16">
        <f>IF(R399&gt;0,S399*資金模擬!$B$7/R399,0)</f>
        <v/>
      </c>
      <c r="Z399" s="2">
        <f>IF(OR(Z398=1,R399&lt;=資金模擬!$B$10),1,0)</f>
        <v/>
      </c>
    </row>
    <row r="400">
      <c r="A400" s="2" t="n">
        <v>398</v>
      </c>
      <c r="B400" s="7" t="n">
        <v>46278.625</v>
      </c>
      <c r="C400" s="2" t="inlineStr">
        <is>
          <t>進場</t>
        </is>
      </c>
      <c r="D400" s="2" t="n">
        <v>201</v>
      </c>
      <c r="E400" s="2" t="inlineStr">
        <is>
          <t>PUMP_USDT_PERP</t>
        </is>
      </c>
      <c r="F400" s="2" t="inlineStr">
        <is>
          <t>做空</t>
        </is>
      </c>
      <c r="G400" s="17" t="n">
        <v>0.003747</v>
      </c>
      <c r="H400" s="17" t="n">
        <v>0.00363459</v>
      </c>
      <c r="I400" s="17" t="n">
        <v>0.00393435</v>
      </c>
      <c r="J400" s="17" t="n"/>
      <c r="K400" s="2" t="n"/>
      <c r="L400" s="5" t="n"/>
      <c r="M400" s="16">
        <f>資金模擬!$B$5*V399</f>
        <v/>
      </c>
      <c r="N400" s="2">
        <f>IF(Z399=1,"已停止",IF(T399&gt;=M400,"已下單","資金不足略過"))</f>
        <v/>
      </c>
      <c r="O400" s="16">
        <f>IF(N400="已下單",M400*資金模擬!$B$7,0)</f>
        <v/>
      </c>
      <c r="P400" s="4" t="n"/>
      <c r="Q400" s="10" t="n">
        <v>0</v>
      </c>
      <c r="R400" s="10">
        <f>R399+Q400</f>
        <v/>
      </c>
      <c r="S400" s="16">
        <f>S399+IF(N400="已下單",M400,0)</f>
        <v/>
      </c>
      <c r="T400" s="16">
        <f>R400-S400</f>
        <v/>
      </c>
      <c r="U400" s="2">
        <f>U399+IF(N400="已下單",1,0)</f>
        <v/>
      </c>
      <c r="V400" s="16">
        <f>IF(資金模擬!$B$9=2,MAX(R400,0),MAX(V399,FLOOR(MAX(R400,0),資金模擬!$B$6)))</f>
        <v/>
      </c>
      <c r="W400" s="10">
        <f>MAX(W399,R400)</f>
        <v/>
      </c>
      <c r="X400" s="4">
        <f>IF(W400&gt;0,R400/W400-1,-1)</f>
        <v/>
      </c>
      <c r="Y400" s="16">
        <f>IF(R400&gt;0,S400*資金模擬!$B$7/R400,0)</f>
        <v/>
      </c>
      <c r="Z400" s="2">
        <f>IF(OR(Z399=1,R400&lt;=資金模擬!$B$10),1,0)</f>
        <v/>
      </c>
    </row>
    <row r="401">
      <c r="A401" s="2" t="n">
        <v>399</v>
      </c>
      <c r="B401" s="7" t="n">
        <v>46278.625</v>
      </c>
      <c r="C401" s="2" t="inlineStr">
        <is>
          <t>進場</t>
        </is>
      </c>
      <c r="D401" s="2" t="n">
        <v>202</v>
      </c>
      <c r="E401" s="2" t="inlineStr">
        <is>
          <t>USELESS_USDT_PERP</t>
        </is>
      </c>
      <c r="F401" s="2" t="inlineStr">
        <is>
          <t>做空</t>
        </is>
      </c>
      <c r="G401" s="17" t="n">
        <v>0.22444</v>
      </c>
      <c r="H401" s="17" t="n">
        <v>0.2177068</v>
      </c>
      <c r="I401" s="17" t="n">
        <v>0.235662</v>
      </c>
      <c r="J401" s="17" t="n"/>
      <c r="K401" s="2" t="n"/>
      <c r="L401" s="5" t="n"/>
      <c r="M401" s="16">
        <f>資金模擬!$B$5*V400</f>
        <v/>
      </c>
      <c r="N401" s="2">
        <f>IF(Z400=1,"已停止",IF(T400&gt;=M401,"已下單","資金不足略過"))</f>
        <v/>
      </c>
      <c r="O401" s="16">
        <f>IF(N401="已下單",M401*資金模擬!$B$7,0)</f>
        <v/>
      </c>
      <c r="P401" s="4" t="n"/>
      <c r="Q401" s="10" t="n">
        <v>0</v>
      </c>
      <c r="R401" s="10">
        <f>R400+Q401</f>
        <v/>
      </c>
      <c r="S401" s="16">
        <f>S400+IF(N401="已下單",M401,0)</f>
        <v/>
      </c>
      <c r="T401" s="16">
        <f>R401-S401</f>
        <v/>
      </c>
      <c r="U401" s="2">
        <f>U400+IF(N401="已下單",1,0)</f>
        <v/>
      </c>
      <c r="V401" s="16">
        <f>IF(資金模擬!$B$9=2,MAX(R401,0),MAX(V400,FLOOR(MAX(R401,0),資金模擬!$B$6)))</f>
        <v/>
      </c>
      <c r="W401" s="10">
        <f>MAX(W400,R401)</f>
        <v/>
      </c>
      <c r="X401" s="4">
        <f>IF(W401&gt;0,R401/W401-1,-1)</f>
        <v/>
      </c>
      <c r="Y401" s="16">
        <f>IF(R401&gt;0,S401*資金模擬!$B$7/R401,0)</f>
        <v/>
      </c>
      <c r="Z401" s="2">
        <f>IF(OR(Z400=1,R401&lt;=資金模擬!$B$10),1,0)</f>
        <v/>
      </c>
    </row>
    <row r="402">
      <c r="A402" s="2" t="n">
        <v>400</v>
      </c>
      <c r="B402" s="7" t="n">
        <v>46278.70833333334</v>
      </c>
      <c r="C402" s="2" t="inlineStr">
        <is>
          <t>出場</t>
        </is>
      </c>
      <c r="D402" s="2" t="n">
        <v>200</v>
      </c>
      <c r="E402" s="2" t="inlineStr">
        <is>
          <t>RIVER_USDT_PERP</t>
        </is>
      </c>
      <c r="F402" s="2" t="inlineStr">
        <is>
          <t>做空</t>
        </is>
      </c>
      <c r="G402" s="17" t="n">
        <v>1.261</v>
      </c>
      <c r="H402" s="17" t="n">
        <v>1.22317</v>
      </c>
      <c r="I402" s="17" t="n">
        <v>1.32405</v>
      </c>
      <c r="J402" s="17" t="n">
        <v>1.22317</v>
      </c>
      <c r="K402" s="2" t="inlineStr">
        <is>
          <t>止盈</t>
        </is>
      </c>
      <c r="L402" s="5">
        <f>交易明細!K201</f>
        <v/>
      </c>
      <c r="M402" s="16">
        <f>M396</f>
        <v/>
      </c>
      <c r="N402" s="2">
        <f>N396</f>
        <v/>
      </c>
      <c r="O402" s="16">
        <f>O396</f>
        <v/>
      </c>
      <c r="P402" s="4">
        <f>交易明細!L201</f>
        <v/>
      </c>
      <c r="Q402" s="10">
        <f>IF(N402="已下單",O402*P402,0)</f>
        <v/>
      </c>
      <c r="R402" s="10">
        <f>R401+Q402</f>
        <v/>
      </c>
      <c r="S402" s="16">
        <f>S401-IF(N402="已下單",M402,0)</f>
        <v/>
      </c>
      <c r="T402" s="16">
        <f>R402-S402</f>
        <v/>
      </c>
      <c r="U402" s="2">
        <f>U401-IF(N402="已下單",1,0)</f>
        <v/>
      </c>
      <c r="V402" s="16">
        <f>IF(資金模擬!$B$9=2,MAX(R402,0),MAX(V401,FLOOR(MAX(R402,0),資金模擬!$B$6)))</f>
        <v/>
      </c>
      <c r="W402" s="10">
        <f>MAX(W401,R402)</f>
        <v/>
      </c>
      <c r="X402" s="4">
        <f>IF(W402&gt;0,R402/W402-1,-1)</f>
        <v/>
      </c>
      <c r="Y402" s="16">
        <f>IF(R402&gt;0,S402*資金模擬!$B$7/R402,0)</f>
        <v/>
      </c>
      <c r="Z402" s="2">
        <f>IF(OR(Z401=1,R402&lt;=資金模擬!$B$10),1,0)</f>
        <v/>
      </c>
    </row>
    <row r="403">
      <c r="A403" s="2" t="n">
        <v>401</v>
      </c>
      <c r="B403" s="7" t="n">
        <v>46278.70833333334</v>
      </c>
      <c r="C403" s="2" t="inlineStr">
        <is>
          <t>進場</t>
        </is>
      </c>
      <c r="D403" s="2" t="n">
        <v>203</v>
      </c>
      <c r="E403" s="2" t="inlineStr">
        <is>
          <t>LAB_USDT_PERP</t>
        </is>
      </c>
      <c r="F403" s="2" t="inlineStr">
        <is>
          <t>做空</t>
        </is>
      </c>
      <c r="G403" s="17" t="n">
        <v>0.06694</v>
      </c>
      <c r="H403" s="17" t="n">
        <v>0.0649318</v>
      </c>
      <c r="I403" s="17" t="n">
        <v>0.070287</v>
      </c>
      <c r="J403" s="17" t="n"/>
      <c r="K403" s="2" t="n"/>
      <c r="L403" s="5" t="n"/>
      <c r="M403" s="16">
        <f>資金模擬!$B$5*V402</f>
        <v/>
      </c>
      <c r="N403" s="2">
        <f>IF(Z402=1,"已停止",IF(T402&gt;=M403,"已下單","資金不足略過"))</f>
        <v/>
      </c>
      <c r="O403" s="16">
        <f>IF(N403="已下單",M403*資金模擬!$B$7,0)</f>
        <v/>
      </c>
      <c r="P403" s="4" t="n"/>
      <c r="Q403" s="10" t="n">
        <v>0</v>
      </c>
      <c r="R403" s="10">
        <f>R402+Q403</f>
        <v/>
      </c>
      <c r="S403" s="16">
        <f>S402+IF(N403="已下單",M403,0)</f>
        <v/>
      </c>
      <c r="T403" s="16">
        <f>R403-S403</f>
        <v/>
      </c>
      <c r="U403" s="2">
        <f>U402+IF(N403="已下單",1,0)</f>
        <v/>
      </c>
      <c r="V403" s="16">
        <f>IF(資金模擬!$B$9=2,MAX(R403,0),MAX(V402,FLOOR(MAX(R403,0),資金模擬!$B$6)))</f>
        <v/>
      </c>
      <c r="W403" s="10">
        <f>MAX(W402,R403)</f>
        <v/>
      </c>
      <c r="X403" s="4">
        <f>IF(W403&gt;0,R403/W403-1,-1)</f>
        <v/>
      </c>
      <c r="Y403" s="16">
        <f>IF(R403&gt;0,S403*資金模擬!$B$7/R403,0)</f>
        <v/>
      </c>
      <c r="Z403" s="2">
        <f>IF(OR(Z402=1,R403&lt;=資金模擬!$B$10),1,0)</f>
        <v/>
      </c>
    </row>
    <row r="404">
      <c r="A404" s="2" t="n">
        <v>402</v>
      </c>
      <c r="B404" s="7" t="n">
        <v>46278.70833333334</v>
      </c>
      <c r="C404" s="2" t="inlineStr">
        <is>
          <t>進場</t>
        </is>
      </c>
      <c r="D404" s="2" t="n">
        <v>204</v>
      </c>
      <c r="E404" s="2" t="inlineStr">
        <is>
          <t>VVV_USDT_PERP</t>
        </is>
      </c>
      <c r="F404" s="2" t="inlineStr">
        <is>
          <t>做空</t>
        </is>
      </c>
      <c r="G404" s="17" t="n">
        <v>22.673</v>
      </c>
      <c r="H404" s="17" t="n">
        <v>21.99281</v>
      </c>
      <c r="I404" s="17" t="n">
        <v>23.80665</v>
      </c>
      <c r="J404" s="17" t="n"/>
      <c r="K404" s="2" t="n"/>
      <c r="L404" s="5" t="n"/>
      <c r="M404" s="16">
        <f>資金模擬!$B$5*V403</f>
        <v/>
      </c>
      <c r="N404" s="2">
        <f>IF(Z403=1,"已停止",IF(T403&gt;=M404,"已下單","資金不足略過"))</f>
        <v/>
      </c>
      <c r="O404" s="16">
        <f>IF(N404="已下單",M404*資金模擬!$B$7,0)</f>
        <v/>
      </c>
      <c r="P404" s="4" t="n"/>
      <c r="Q404" s="10" t="n">
        <v>0</v>
      </c>
      <c r="R404" s="10">
        <f>R403+Q404</f>
        <v/>
      </c>
      <c r="S404" s="16">
        <f>S403+IF(N404="已下單",M404,0)</f>
        <v/>
      </c>
      <c r="T404" s="16">
        <f>R404-S404</f>
        <v/>
      </c>
      <c r="U404" s="2">
        <f>U403+IF(N404="已下單",1,0)</f>
        <v/>
      </c>
      <c r="V404" s="16">
        <f>IF(資金模擬!$B$9=2,MAX(R404,0),MAX(V403,FLOOR(MAX(R404,0),資金模擬!$B$6)))</f>
        <v/>
      </c>
      <c r="W404" s="10">
        <f>MAX(W403,R404)</f>
        <v/>
      </c>
      <c r="X404" s="4">
        <f>IF(W404&gt;0,R404/W404-1,-1)</f>
        <v/>
      </c>
      <c r="Y404" s="16">
        <f>IF(R404&gt;0,S404*資金模擬!$B$7/R404,0)</f>
        <v/>
      </c>
      <c r="Z404" s="2">
        <f>IF(OR(Z403=1,R404&lt;=資金模擬!$B$10),1,0)</f>
        <v/>
      </c>
    </row>
    <row r="405">
      <c r="A405" s="2" t="n">
        <v>403</v>
      </c>
      <c r="B405" s="7" t="n">
        <v>46278.70833333334</v>
      </c>
      <c r="C405" s="2" t="inlineStr">
        <is>
          <t>進場</t>
        </is>
      </c>
      <c r="D405" s="2" t="n">
        <v>205</v>
      </c>
      <c r="E405" s="2" t="inlineStr">
        <is>
          <t>牛来_USDT_PERP</t>
        </is>
      </c>
      <c r="F405" s="2" t="inlineStr">
        <is>
          <t>做空</t>
        </is>
      </c>
      <c r="G405" s="17" t="n">
        <v>0.13497</v>
      </c>
      <c r="H405" s="17" t="n">
        <v>0.1309209</v>
      </c>
      <c r="I405" s="17" t="n">
        <v>0.1417185</v>
      </c>
      <c r="J405" s="17" t="n"/>
      <c r="K405" s="2" t="n"/>
      <c r="L405" s="5" t="n"/>
      <c r="M405" s="16">
        <f>資金模擬!$B$5*V404</f>
        <v/>
      </c>
      <c r="N405" s="2">
        <f>IF(Z404=1,"已停止",IF(T404&gt;=M405,"已下單","資金不足略過"))</f>
        <v/>
      </c>
      <c r="O405" s="16">
        <f>IF(N405="已下單",M405*資金模擬!$B$7,0)</f>
        <v/>
      </c>
      <c r="P405" s="4" t="n"/>
      <c r="Q405" s="10" t="n">
        <v>0</v>
      </c>
      <c r="R405" s="10">
        <f>R404+Q405</f>
        <v/>
      </c>
      <c r="S405" s="16">
        <f>S404+IF(N405="已下單",M405,0)</f>
        <v/>
      </c>
      <c r="T405" s="16">
        <f>R405-S405</f>
        <v/>
      </c>
      <c r="U405" s="2">
        <f>U404+IF(N405="已下單",1,0)</f>
        <v/>
      </c>
      <c r="V405" s="16">
        <f>IF(資金模擬!$B$9=2,MAX(R405,0),MAX(V404,FLOOR(MAX(R405,0),資金模擬!$B$6)))</f>
        <v/>
      </c>
      <c r="W405" s="10">
        <f>MAX(W404,R405)</f>
        <v/>
      </c>
      <c r="X405" s="4">
        <f>IF(W405&gt;0,R405/W405-1,-1)</f>
        <v/>
      </c>
      <c r="Y405" s="16">
        <f>IF(R405&gt;0,S405*資金模擬!$B$7/R405,0)</f>
        <v/>
      </c>
      <c r="Z405" s="2">
        <f>IF(OR(Z404=1,R405&lt;=資金模擬!$B$10),1,0)</f>
        <v/>
      </c>
    </row>
    <row r="406">
      <c r="A406" s="2" t="n">
        <v>404</v>
      </c>
      <c r="B406" s="7" t="n">
        <v>46278.75</v>
      </c>
      <c r="C406" s="2" t="inlineStr">
        <is>
          <t>出場</t>
        </is>
      </c>
      <c r="D406" s="2" t="n">
        <v>201</v>
      </c>
      <c r="E406" s="2" t="inlineStr">
        <is>
          <t>PUMP_USDT_PERP</t>
        </is>
      </c>
      <c r="F406" s="2" t="inlineStr">
        <is>
          <t>做空</t>
        </is>
      </c>
      <c r="G406" s="17" t="n">
        <v>0.003747</v>
      </c>
      <c r="H406" s="17" t="n">
        <v>0.00363459</v>
      </c>
      <c r="I406" s="17" t="n">
        <v>0.00393435</v>
      </c>
      <c r="J406" s="17" t="n">
        <v>0.00363459</v>
      </c>
      <c r="K406" s="2" t="inlineStr">
        <is>
          <t>止盈</t>
        </is>
      </c>
      <c r="L406" s="5">
        <f>交易明細!K202</f>
        <v/>
      </c>
      <c r="M406" s="16">
        <f>M400</f>
        <v/>
      </c>
      <c r="N406" s="2">
        <f>N400</f>
        <v/>
      </c>
      <c r="O406" s="16">
        <f>O400</f>
        <v/>
      </c>
      <c r="P406" s="4">
        <f>交易明細!L202</f>
        <v/>
      </c>
      <c r="Q406" s="10">
        <f>IF(N406="已下單",O406*P406,0)</f>
        <v/>
      </c>
      <c r="R406" s="10">
        <f>R405+Q406</f>
        <v/>
      </c>
      <c r="S406" s="16">
        <f>S405-IF(N406="已下單",M406,0)</f>
        <v/>
      </c>
      <c r="T406" s="16">
        <f>R406-S406</f>
        <v/>
      </c>
      <c r="U406" s="2">
        <f>U405-IF(N406="已下單",1,0)</f>
        <v/>
      </c>
      <c r="V406" s="16">
        <f>IF(資金模擬!$B$9=2,MAX(R406,0),MAX(V405,FLOOR(MAX(R406,0),資金模擬!$B$6)))</f>
        <v/>
      </c>
      <c r="W406" s="10">
        <f>MAX(W405,R406)</f>
        <v/>
      </c>
      <c r="X406" s="4">
        <f>IF(W406&gt;0,R406/W406-1,-1)</f>
        <v/>
      </c>
      <c r="Y406" s="16">
        <f>IF(R406&gt;0,S406*資金模擬!$B$7/R406,0)</f>
        <v/>
      </c>
      <c r="Z406" s="2">
        <f>IF(OR(Z405=1,R406&lt;=資金模擬!$B$10),1,0)</f>
        <v/>
      </c>
    </row>
    <row r="407">
      <c r="A407" s="2" t="n">
        <v>405</v>
      </c>
      <c r="B407" s="7" t="n">
        <v>46278.75</v>
      </c>
      <c r="C407" s="2" t="inlineStr">
        <is>
          <t>出場</t>
        </is>
      </c>
      <c r="D407" s="2" t="n">
        <v>205</v>
      </c>
      <c r="E407" s="2" t="inlineStr">
        <is>
          <t>牛来_USDT_PERP</t>
        </is>
      </c>
      <c r="F407" s="2" t="inlineStr">
        <is>
          <t>做空</t>
        </is>
      </c>
      <c r="G407" s="17" t="n">
        <v>0.13497</v>
      </c>
      <c r="H407" s="17" t="n">
        <v>0.1309209</v>
      </c>
      <c r="I407" s="17" t="n">
        <v>0.1417185</v>
      </c>
      <c r="J407" s="17" t="n">
        <v>0.1309209</v>
      </c>
      <c r="K407" s="2" t="inlineStr">
        <is>
          <t>止盈</t>
        </is>
      </c>
      <c r="L407" s="5">
        <f>交易明細!K206</f>
        <v/>
      </c>
      <c r="M407" s="16">
        <f>M405</f>
        <v/>
      </c>
      <c r="N407" s="2">
        <f>N405</f>
        <v/>
      </c>
      <c r="O407" s="16">
        <f>O405</f>
        <v/>
      </c>
      <c r="P407" s="4">
        <f>交易明細!L206</f>
        <v/>
      </c>
      <c r="Q407" s="10">
        <f>IF(N407="已下單",O407*P407,0)</f>
        <v/>
      </c>
      <c r="R407" s="10">
        <f>R406+Q407</f>
        <v/>
      </c>
      <c r="S407" s="16">
        <f>S406-IF(N407="已下單",M407,0)</f>
        <v/>
      </c>
      <c r="T407" s="16">
        <f>R407-S407</f>
        <v/>
      </c>
      <c r="U407" s="2">
        <f>U406-IF(N407="已下單",1,0)</f>
        <v/>
      </c>
      <c r="V407" s="16">
        <f>IF(資金模擬!$B$9=2,MAX(R407,0),MAX(V406,FLOOR(MAX(R407,0),資金模擬!$B$6)))</f>
        <v/>
      </c>
      <c r="W407" s="10">
        <f>MAX(W406,R407)</f>
        <v/>
      </c>
      <c r="X407" s="4">
        <f>IF(W407&gt;0,R407/W407-1,-1)</f>
        <v/>
      </c>
      <c r="Y407" s="16">
        <f>IF(R407&gt;0,S407*資金模擬!$B$7/R407,0)</f>
        <v/>
      </c>
      <c r="Z407" s="2">
        <f>IF(OR(Z406=1,R407&lt;=資金模擬!$B$10),1,0)</f>
        <v/>
      </c>
    </row>
    <row r="408">
      <c r="A408" s="2" t="n">
        <v>406</v>
      </c>
      <c r="B408" s="7" t="n">
        <v>46278.83333333334</v>
      </c>
      <c r="C408" s="2" t="inlineStr">
        <is>
          <t>出場</t>
        </is>
      </c>
      <c r="D408" s="2" t="n">
        <v>202</v>
      </c>
      <c r="E408" s="2" t="inlineStr">
        <is>
          <t>USELESS_USDT_PERP</t>
        </is>
      </c>
      <c r="F408" s="2" t="inlineStr">
        <is>
          <t>做空</t>
        </is>
      </c>
      <c r="G408" s="17" t="n">
        <v>0.22444</v>
      </c>
      <c r="H408" s="17" t="n">
        <v>0.2177068</v>
      </c>
      <c r="I408" s="17" t="n">
        <v>0.235662</v>
      </c>
      <c r="J408" s="17" t="n">
        <v>0.2177068</v>
      </c>
      <c r="K408" s="2" t="inlineStr">
        <is>
          <t>止盈</t>
        </is>
      </c>
      <c r="L408" s="5">
        <f>交易明細!K203</f>
        <v/>
      </c>
      <c r="M408" s="16">
        <f>M401</f>
        <v/>
      </c>
      <c r="N408" s="2">
        <f>N401</f>
        <v/>
      </c>
      <c r="O408" s="16">
        <f>O401</f>
        <v/>
      </c>
      <c r="P408" s="4">
        <f>交易明細!L203</f>
        <v/>
      </c>
      <c r="Q408" s="10">
        <f>IF(N408="已下單",O408*P408,0)</f>
        <v/>
      </c>
      <c r="R408" s="10">
        <f>R407+Q408</f>
        <v/>
      </c>
      <c r="S408" s="16">
        <f>S407-IF(N408="已下單",M408,0)</f>
        <v/>
      </c>
      <c r="T408" s="16">
        <f>R408-S408</f>
        <v/>
      </c>
      <c r="U408" s="2">
        <f>U407-IF(N408="已下單",1,0)</f>
        <v/>
      </c>
      <c r="V408" s="16">
        <f>IF(資金模擬!$B$9=2,MAX(R408,0),MAX(V407,FLOOR(MAX(R408,0),資金模擬!$B$6)))</f>
        <v/>
      </c>
      <c r="W408" s="10">
        <f>MAX(W407,R408)</f>
        <v/>
      </c>
      <c r="X408" s="4">
        <f>IF(W408&gt;0,R408/W408-1,-1)</f>
        <v/>
      </c>
      <c r="Y408" s="16">
        <f>IF(R408&gt;0,S408*資金模擬!$B$7/R408,0)</f>
        <v/>
      </c>
      <c r="Z408" s="2">
        <f>IF(OR(Z407=1,R408&lt;=資金模擬!$B$10),1,0)</f>
        <v/>
      </c>
    </row>
    <row r="409">
      <c r="A409" s="2" t="n">
        <v>407</v>
      </c>
      <c r="B409" s="7" t="n">
        <v>46278.875</v>
      </c>
      <c r="C409" s="2" t="inlineStr">
        <is>
          <t>出場</t>
        </is>
      </c>
      <c r="D409" s="2" t="n">
        <v>203</v>
      </c>
      <c r="E409" s="2" t="inlineStr">
        <is>
          <t>LAB_USDT_PERP</t>
        </is>
      </c>
      <c r="F409" s="2" t="inlineStr">
        <is>
          <t>做空</t>
        </is>
      </c>
      <c r="G409" s="17" t="n">
        <v>0.06694</v>
      </c>
      <c r="H409" s="17" t="n">
        <v>0.0649318</v>
      </c>
      <c r="I409" s="17" t="n">
        <v>0.070287</v>
      </c>
      <c r="J409" s="17" t="n">
        <v>0.0649318</v>
      </c>
      <c r="K409" s="2" t="inlineStr">
        <is>
          <t>止盈</t>
        </is>
      </c>
      <c r="L409" s="5">
        <f>交易明細!K204</f>
        <v/>
      </c>
      <c r="M409" s="16">
        <f>M403</f>
        <v/>
      </c>
      <c r="N409" s="2">
        <f>N403</f>
        <v/>
      </c>
      <c r="O409" s="16">
        <f>O403</f>
        <v/>
      </c>
      <c r="P409" s="4">
        <f>交易明細!L204</f>
        <v/>
      </c>
      <c r="Q409" s="10">
        <f>IF(N409="已下單",O409*P409,0)</f>
        <v/>
      </c>
      <c r="R409" s="10">
        <f>R408+Q409</f>
        <v/>
      </c>
      <c r="S409" s="16">
        <f>S408-IF(N409="已下單",M409,0)</f>
        <v/>
      </c>
      <c r="T409" s="16">
        <f>R409-S409</f>
        <v/>
      </c>
      <c r="U409" s="2">
        <f>U408-IF(N409="已下單",1,0)</f>
        <v/>
      </c>
      <c r="V409" s="16">
        <f>IF(資金模擬!$B$9=2,MAX(R409,0),MAX(V408,FLOOR(MAX(R409,0),資金模擬!$B$6)))</f>
        <v/>
      </c>
      <c r="W409" s="10">
        <f>MAX(W408,R409)</f>
        <v/>
      </c>
      <c r="X409" s="4">
        <f>IF(W409&gt;0,R409/W409-1,-1)</f>
        <v/>
      </c>
      <c r="Y409" s="16">
        <f>IF(R409&gt;0,S409*資金模擬!$B$7/R409,0)</f>
        <v/>
      </c>
      <c r="Z409" s="2">
        <f>IF(OR(Z408=1,R409&lt;=資金模擬!$B$10),1,0)</f>
        <v/>
      </c>
    </row>
    <row r="410">
      <c r="A410" s="2" t="n">
        <v>408</v>
      </c>
      <c r="B410" s="7" t="n">
        <v>46278.91666666666</v>
      </c>
      <c r="C410" s="2" t="inlineStr">
        <is>
          <t>出場</t>
        </is>
      </c>
      <c r="D410" s="2" t="n">
        <v>178</v>
      </c>
      <c r="E410" s="2" t="inlineStr">
        <is>
          <t>ENA_USDT_PERP</t>
        </is>
      </c>
      <c r="F410" s="2" t="inlineStr">
        <is>
          <t>做空</t>
        </is>
      </c>
      <c r="G410" s="17" t="n">
        <v>0.1418</v>
      </c>
      <c r="H410" s="17" t="n">
        <v>0.137546</v>
      </c>
      <c r="I410" s="17" t="n">
        <v>0.14889</v>
      </c>
      <c r="J410" s="17" t="n">
        <v>0.137546</v>
      </c>
      <c r="K410" s="2" t="inlineStr">
        <is>
          <t>止盈</t>
        </is>
      </c>
      <c r="L410" s="5">
        <f>交易明細!K179</f>
        <v/>
      </c>
      <c r="M410" s="16">
        <f>M355</f>
        <v/>
      </c>
      <c r="N410" s="2">
        <f>N355</f>
        <v/>
      </c>
      <c r="O410" s="16">
        <f>O355</f>
        <v/>
      </c>
      <c r="P410" s="4">
        <f>交易明細!L179</f>
        <v/>
      </c>
      <c r="Q410" s="10">
        <f>IF(N410="已下單",O410*P410,0)</f>
        <v/>
      </c>
      <c r="R410" s="10">
        <f>R409+Q410</f>
        <v/>
      </c>
      <c r="S410" s="16">
        <f>S409-IF(N410="已下單",M410,0)</f>
        <v/>
      </c>
      <c r="T410" s="16">
        <f>R410-S410</f>
        <v/>
      </c>
      <c r="U410" s="2">
        <f>U409-IF(N410="已下單",1,0)</f>
        <v/>
      </c>
      <c r="V410" s="16">
        <f>IF(資金模擬!$B$9=2,MAX(R410,0),MAX(V409,FLOOR(MAX(R410,0),資金模擬!$B$6)))</f>
        <v/>
      </c>
      <c r="W410" s="10">
        <f>MAX(W409,R410)</f>
        <v/>
      </c>
      <c r="X410" s="4">
        <f>IF(W410&gt;0,R410/W410-1,-1)</f>
        <v/>
      </c>
      <c r="Y410" s="16">
        <f>IF(R410&gt;0,S410*資金模擬!$B$7/R410,0)</f>
        <v/>
      </c>
      <c r="Z410" s="2">
        <f>IF(OR(Z409=1,R410&lt;=資金模擬!$B$10),1,0)</f>
        <v/>
      </c>
    </row>
    <row r="411">
      <c r="A411" s="2" t="n">
        <v>409</v>
      </c>
      <c r="B411" s="7" t="n">
        <v>46278.91666666666</v>
      </c>
      <c r="C411" s="2" t="inlineStr">
        <is>
          <t>出場</t>
        </is>
      </c>
      <c r="D411" s="2" t="n">
        <v>204</v>
      </c>
      <c r="E411" s="2" t="inlineStr">
        <is>
          <t>VVV_USDT_PERP</t>
        </is>
      </c>
      <c r="F411" s="2" t="inlineStr">
        <is>
          <t>做空</t>
        </is>
      </c>
      <c r="G411" s="17" t="n">
        <v>22.673</v>
      </c>
      <c r="H411" s="17" t="n">
        <v>21.99281</v>
      </c>
      <c r="I411" s="17" t="n">
        <v>23.80665</v>
      </c>
      <c r="J411" s="17" t="n">
        <v>21.99281</v>
      </c>
      <c r="K411" s="2" t="inlineStr">
        <is>
          <t>止盈</t>
        </is>
      </c>
      <c r="L411" s="5">
        <f>交易明細!K205</f>
        <v/>
      </c>
      <c r="M411" s="16">
        <f>M404</f>
        <v/>
      </c>
      <c r="N411" s="2">
        <f>N404</f>
        <v/>
      </c>
      <c r="O411" s="16">
        <f>O404</f>
        <v/>
      </c>
      <c r="P411" s="4">
        <f>交易明細!L205</f>
        <v/>
      </c>
      <c r="Q411" s="10">
        <f>IF(N411="已下單",O411*P411,0)</f>
        <v/>
      </c>
      <c r="R411" s="10">
        <f>R410+Q411</f>
        <v/>
      </c>
      <c r="S411" s="16">
        <f>S410-IF(N411="已下單",M411,0)</f>
        <v/>
      </c>
      <c r="T411" s="16">
        <f>R411-S411</f>
        <v/>
      </c>
      <c r="U411" s="2">
        <f>U410-IF(N411="已下單",1,0)</f>
        <v/>
      </c>
      <c r="V411" s="16">
        <f>IF(資金模擬!$B$9=2,MAX(R411,0),MAX(V410,FLOOR(MAX(R411,0),資金模擬!$B$6)))</f>
        <v/>
      </c>
      <c r="W411" s="10">
        <f>MAX(W410,R411)</f>
        <v/>
      </c>
      <c r="X411" s="4">
        <f>IF(W411&gt;0,R411/W411-1,-1)</f>
        <v/>
      </c>
      <c r="Y411" s="16">
        <f>IF(R411&gt;0,S411*資金模擬!$B$7/R411,0)</f>
        <v/>
      </c>
      <c r="Z411" s="2">
        <f>IF(OR(Z410=1,R411&lt;=資金模擬!$B$10),1,0)</f>
        <v/>
      </c>
    </row>
    <row r="412">
      <c r="A412" s="2" t="n">
        <v>410</v>
      </c>
      <c r="B412" s="7" t="n">
        <v>46278.91666666666</v>
      </c>
      <c r="C412" s="2" t="inlineStr">
        <is>
          <t>進場</t>
        </is>
      </c>
      <c r="D412" s="2" t="n">
        <v>206</v>
      </c>
      <c r="E412" s="2" t="inlineStr">
        <is>
          <t>LAB_USDT_PERP</t>
        </is>
      </c>
      <c r="F412" s="2" t="inlineStr">
        <is>
          <t>做空</t>
        </is>
      </c>
      <c r="G412" s="17" t="n">
        <v>0.06630999999999999</v>
      </c>
      <c r="H412" s="17" t="n">
        <v>0.06432069999999999</v>
      </c>
      <c r="I412" s="17" t="n">
        <v>0.06962549999999999</v>
      </c>
      <c r="J412" s="17" t="n"/>
      <c r="K412" s="2" t="n"/>
      <c r="L412" s="5" t="n"/>
      <c r="M412" s="16">
        <f>資金模擬!$B$5*V411</f>
        <v/>
      </c>
      <c r="N412" s="2">
        <f>IF(Z411=1,"已停止",IF(T411&gt;=M412,"已下單","資金不足略過"))</f>
        <v/>
      </c>
      <c r="O412" s="16">
        <f>IF(N412="已下單",M412*資金模擬!$B$7,0)</f>
        <v/>
      </c>
      <c r="P412" s="4" t="n"/>
      <c r="Q412" s="10" t="n">
        <v>0</v>
      </c>
      <c r="R412" s="10">
        <f>R411+Q412</f>
        <v/>
      </c>
      <c r="S412" s="16">
        <f>S411+IF(N412="已下單",M412,0)</f>
        <v/>
      </c>
      <c r="T412" s="16">
        <f>R412-S412</f>
        <v/>
      </c>
      <c r="U412" s="2">
        <f>U411+IF(N412="已下單",1,0)</f>
        <v/>
      </c>
      <c r="V412" s="16">
        <f>IF(資金模擬!$B$9=2,MAX(R412,0),MAX(V411,FLOOR(MAX(R412,0),資金模擬!$B$6)))</f>
        <v/>
      </c>
      <c r="W412" s="10">
        <f>MAX(W411,R412)</f>
        <v/>
      </c>
      <c r="X412" s="4">
        <f>IF(W412&gt;0,R412/W412-1,-1)</f>
        <v/>
      </c>
      <c r="Y412" s="16">
        <f>IF(R412&gt;0,S412*資金模擬!$B$7/R412,0)</f>
        <v/>
      </c>
      <c r="Z412" s="2">
        <f>IF(OR(Z411=1,R412&lt;=資金模擬!$B$10),1,0)</f>
        <v/>
      </c>
    </row>
    <row r="413">
      <c r="A413" s="2" t="n">
        <v>411</v>
      </c>
      <c r="B413" s="7" t="n">
        <v>46278.95833333334</v>
      </c>
      <c r="C413" s="2" t="inlineStr">
        <is>
          <t>出場</t>
        </is>
      </c>
      <c r="D413" s="2" t="n">
        <v>206</v>
      </c>
      <c r="E413" s="2" t="inlineStr">
        <is>
          <t>LAB_USDT_PERP</t>
        </is>
      </c>
      <c r="F413" s="2" t="inlineStr">
        <is>
          <t>做空</t>
        </is>
      </c>
      <c r="G413" s="17" t="n">
        <v>0.06630999999999999</v>
      </c>
      <c r="H413" s="17" t="n">
        <v>0.06432069999999999</v>
      </c>
      <c r="I413" s="17" t="n">
        <v>0.06962549999999999</v>
      </c>
      <c r="J413" s="17" t="n">
        <v>0.06962549999999999</v>
      </c>
      <c r="K413" s="2" t="inlineStr">
        <is>
          <t>止損</t>
        </is>
      </c>
      <c r="L413" s="5">
        <f>交易明細!K207</f>
        <v/>
      </c>
      <c r="M413" s="16">
        <f>M412</f>
        <v/>
      </c>
      <c r="N413" s="2">
        <f>N412</f>
        <v/>
      </c>
      <c r="O413" s="16">
        <f>O412</f>
        <v/>
      </c>
      <c r="P413" s="4">
        <f>交易明細!L207</f>
        <v/>
      </c>
      <c r="Q413" s="10">
        <f>IF(N413="已下單",O413*P413,0)</f>
        <v/>
      </c>
      <c r="R413" s="10">
        <f>R412+Q413</f>
        <v/>
      </c>
      <c r="S413" s="16">
        <f>S412-IF(N413="已下單",M413,0)</f>
        <v/>
      </c>
      <c r="T413" s="16">
        <f>R413-S413</f>
        <v/>
      </c>
      <c r="U413" s="2">
        <f>U412-IF(N413="已下單",1,0)</f>
        <v/>
      </c>
      <c r="V413" s="16">
        <f>IF(資金模擬!$B$9=2,MAX(R413,0),MAX(V412,FLOOR(MAX(R413,0),資金模擬!$B$6)))</f>
        <v/>
      </c>
      <c r="W413" s="10">
        <f>MAX(W412,R413)</f>
        <v/>
      </c>
      <c r="X413" s="4">
        <f>IF(W413&gt;0,R413/W413-1,-1)</f>
        <v/>
      </c>
      <c r="Y413" s="16">
        <f>IF(R413&gt;0,S413*資金模擬!$B$7/R413,0)</f>
        <v/>
      </c>
      <c r="Z413" s="2">
        <f>IF(OR(Z412=1,R413&lt;=資金模擬!$B$10),1,0)</f>
        <v/>
      </c>
    </row>
    <row r="414">
      <c r="A414" s="2" t="n">
        <v>412</v>
      </c>
      <c r="B414" s="7" t="n">
        <v>46279</v>
      </c>
      <c r="C414" s="2" t="inlineStr">
        <is>
          <t>進場</t>
        </is>
      </c>
      <c r="D414" s="2" t="n">
        <v>207</v>
      </c>
      <c r="E414" s="2" t="inlineStr">
        <is>
          <t>PUMP_USDT_PERP</t>
        </is>
      </c>
      <c r="F414" s="2" t="inlineStr">
        <is>
          <t>做空</t>
        </is>
      </c>
      <c r="G414" s="17" t="n">
        <v>0.003569</v>
      </c>
      <c r="H414" s="17" t="n">
        <v>0.00346193</v>
      </c>
      <c r="I414" s="17" t="n">
        <v>0.00374745</v>
      </c>
      <c r="J414" s="17" t="n"/>
      <c r="K414" s="2" t="n"/>
      <c r="L414" s="5" t="n"/>
      <c r="M414" s="16">
        <f>資金模擬!$B$5*V413</f>
        <v/>
      </c>
      <c r="N414" s="2">
        <f>IF(Z413=1,"已停止",IF(T413&gt;=M414,"已下單","資金不足略過"))</f>
        <v/>
      </c>
      <c r="O414" s="16">
        <f>IF(N414="已下單",M414*資金模擬!$B$7,0)</f>
        <v/>
      </c>
      <c r="P414" s="4" t="n"/>
      <c r="Q414" s="10" t="n">
        <v>0</v>
      </c>
      <c r="R414" s="10">
        <f>R413+Q414</f>
        <v/>
      </c>
      <c r="S414" s="16">
        <f>S413+IF(N414="已下單",M414,0)</f>
        <v/>
      </c>
      <c r="T414" s="16">
        <f>R414-S414</f>
        <v/>
      </c>
      <c r="U414" s="2">
        <f>U413+IF(N414="已下單",1,0)</f>
        <v/>
      </c>
      <c r="V414" s="16">
        <f>IF(資金模擬!$B$9=2,MAX(R414,0),MAX(V413,FLOOR(MAX(R414,0),資金模擬!$B$6)))</f>
        <v/>
      </c>
      <c r="W414" s="10">
        <f>MAX(W413,R414)</f>
        <v/>
      </c>
      <c r="X414" s="4">
        <f>IF(W414&gt;0,R414/W414-1,-1)</f>
        <v/>
      </c>
      <c r="Y414" s="16">
        <f>IF(R414&gt;0,S414*資金模擬!$B$7/R414,0)</f>
        <v/>
      </c>
      <c r="Z414" s="2">
        <f>IF(OR(Z413=1,R414&lt;=資金模擬!$B$10),1,0)</f>
        <v/>
      </c>
    </row>
    <row r="415">
      <c r="A415" s="2" t="n">
        <v>413</v>
      </c>
      <c r="B415" s="7" t="n">
        <v>46279.04166666666</v>
      </c>
      <c r="C415" s="2" t="inlineStr">
        <is>
          <t>進場</t>
        </is>
      </c>
      <c r="D415" s="2" t="n">
        <v>208</v>
      </c>
      <c r="E415" s="2" t="inlineStr">
        <is>
          <t>LAB_USDT_PERP</t>
        </is>
      </c>
      <c r="F415" s="2" t="inlineStr">
        <is>
          <t>做空</t>
        </is>
      </c>
      <c r="G415" s="17" t="n">
        <v>0.06729</v>
      </c>
      <c r="H415" s="17" t="n">
        <v>0.0652713</v>
      </c>
      <c r="I415" s="17" t="n">
        <v>0.07065450000000001</v>
      </c>
      <c r="J415" s="17" t="n"/>
      <c r="K415" s="2" t="n"/>
      <c r="L415" s="5" t="n"/>
      <c r="M415" s="16">
        <f>資金模擬!$B$5*V414</f>
        <v/>
      </c>
      <c r="N415" s="2">
        <f>IF(Z414=1,"已停止",IF(T414&gt;=M415,"已下單","資金不足略過"))</f>
        <v/>
      </c>
      <c r="O415" s="16">
        <f>IF(N415="已下單",M415*資金模擬!$B$7,0)</f>
        <v/>
      </c>
      <c r="P415" s="4" t="n"/>
      <c r="Q415" s="10" t="n">
        <v>0</v>
      </c>
      <c r="R415" s="10">
        <f>R414+Q415</f>
        <v/>
      </c>
      <c r="S415" s="16">
        <f>S414+IF(N415="已下單",M415,0)</f>
        <v/>
      </c>
      <c r="T415" s="16">
        <f>R415-S415</f>
        <v/>
      </c>
      <c r="U415" s="2">
        <f>U414+IF(N415="已下單",1,0)</f>
        <v/>
      </c>
      <c r="V415" s="16">
        <f>IF(資金模擬!$B$9=2,MAX(R415,0),MAX(V414,FLOOR(MAX(R415,0),資金模擬!$B$6)))</f>
        <v/>
      </c>
      <c r="W415" s="10">
        <f>MAX(W414,R415)</f>
        <v/>
      </c>
      <c r="X415" s="4">
        <f>IF(W415&gt;0,R415/W415-1,-1)</f>
        <v/>
      </c>
      <c r="Y415" s="16">
        <f>IF(R415&gt;0,S415*資金模擬!$B$7/R415,0)</f>
        <v/>
      </c>
      <c r="Z415" s="2">
        <f>IF(OR(Z414=1,R415&lt;=資金模擬!$B$10),1,0)</f>
        <v/>
      </c>
    </row>
    <row r="416">
      <c r="A416" s="2" t="n">
        <v>414</v>
      </c>
      <c r="B416" s="7" t="n">
        <v>46279.29166666666</v>
      </c>
      <c r="C416" s="2" t="inlineStr">
        <is>
          <t>出場</t>
        </is>
      </c>
      <c r="D416" s="2" t="n">
        <v>208</v>
      </c>
      <c r="E416" s="2" t="inlineStr">
        <is>
          <t>LAB_USDT_PERP</t>
        </is>
      </c>
      <c r="F416" s="2" t="inlineStr">
        <is>
          <t>做空</t>
        </is>
      </c>
      <c r="G416" s="17" t="n">
        <v>0.06729</v>
      </c>
      <c r="H416" s="17" t="n">
        <v>0.0652713</v>
      </c>
      <c r="I416" s="17" t="n">
        <v>0.07065450000000001</v>
      </c>
      <c r="J416" s="17" t="n">
        <v>0.0652713</v>
      </c>
      <c r="K416" s="2" t="inlineStr">
        <is>
          <t>止盈</t>
        </is>
      </c>
      <c r="L416" s="5">
        <f>交易明細!K209</f>
        <v/>
      </c>
      <c r="M416" s="16">
        <f>M415</f>
        <v/>
      </c>
      <c r="N416" s="2">
        <f>N415</f>
        <v/>
      </c>
      <c r="O416" s="16">
        <f>O415</f>
        <v/>
      </c>
      <c r="P416" s="4">
        <f>交易明細!L209</f>
        <v/>
      </c>
      <c r="Q416" s="10">
        <f>IF(N416="已下單",O416*P416,0)</f>
        <v/>
      </c>
      <c r="R416" s="10">
        <f>R415+Q416</f>
        <v/>
      </c>
      <c r="S416" s="16">
        <f>S415-IF(N416="已下單",M416,0)</f>
        <v/>
      </c>
      <c r="T416" s="16">
        <f>R416-S416</f>
        <v/>
      </c>
      <c r="U416" s="2">
        <f>U415-IF(N416="已下單",1,0)</f>
        <v/>
      </c>
      <c r="V416" s="16">
        <f>IF(資金模擬!$B$9=2,MAX(R416,0),MAX(V415,FLOOR(MAX(R416,0),資金模擬!$B$6)))</f>
        <v/>
      </c>
      <c r="W416" s="10">
        <f>MAX(W415,R416)</f>
        <v/>
      </c>
      <c r="X416" s="4">
        <f>IF(W416&gt;0,R416/W416-1,-1)</f>
        <v/>
      </c>
      <c r="Y416" s="16">
        <f>IF(R416&gt;0,S416*資金模擬!$B$7/R416,0)</f>
        <v/>
      </c>
      <c r="Z416" s="2">
        <f>IF(OR(Z415=1,R416&lt;=資金模擬!$B$10),1,0)</f>
        <v/>
      </c>
    </row>
    <row r="417">
      <c r="A417" s="2" t="n">
        <v>415</v>
      </c>
      <c r="B417" s="7" t="n">
        <v>46279.29166666666</v>
      </c>
      <c r="C417" s="2" t="inlineStr">
        <is>
          <t>進場</t>
        </is>
      </c>
      <c r="D417" s="2" t="n">
        <v>209</v>
      </c>
      <c r="E417" s="2" t="inlineStr">
        <is>
          <t>USELESS_USDT_PERP</t>
        </is>
      </c>
      <c r="F417" s="2" t="inlineStr">
        <is>
          <t>做空</t>
        </is>
      </c>
      <c r="G417" s="17" t="n">
        <v>0.21683</v>
      </c>
      <c r="H417" s="17" t="n">
        <v>0.2103251</v>
      </c>
      <c r="I417" s="17" t="n">
        <v>0.2276715</v>
      </c>
      <c r="J417" s="17" t="n"/>
      <c r="K417" s="2" t="inlineStr">
        <is>
          <t>未平倉</t>
        </is>
      </c>
      <c r="L417" s="5" t="n"/>
      <c r="M417" s="16">
        <f>資金模擬!$B$5*V416</f>
        <v/>
      </c>
      <c r="N417" s="2">
        <f>IF(Z416=1,"已停止",IF(T416&gt;=M417,"已下單","資金不足略過"))</f>
        <v/>
      </c>
      <c r="O417" s="16">
        <f>IF(N417="已下單",M417*資金模擬!$B$7,0)</f>
        <v/>
      </c>
      <c r="P417" s="4" t="n"/>
      <c r="Q417" s="10" t="n">
        <v>0</v>
      </c>
      <c r="R417" s="10">
        <f>R416+Q417</f>
        <v/>
      </c>
      <c r="S417" s="16">
        <f>S416+IF(N417="已下單",M417,0)</f>
        <v/>
      </c>
      <c r="T417" s="16">
        <f>R417-S417</f>
        <v/>
      </c>
      <c r="U417" s="2">
        <f>U416+IF(N417="已下單",1,0)</f>
        <v/>
      </c>
      <c r="V417" s="16">
        <f>IF(資金模擬!$B$9=2,MAX(R417,0),MAX(V416,FLOOR(MAX(R417,0),資金模擬!$B$6)))</f>
        <v/>
      </c>
      <c r="W417" s="10">
        <f>MAX(W416,R417)</f>
        <v/>
      </c>
      <c r="X417" s="4">
        <f>IF(W417&gt;0,R417/W417-1,-1)</f>
        <v/>
      </c>
      <c r="Y417" s="16">
        <f>IF(R417&gt;0,S417*資金模擬!$B$7/R417,0)</f>
        <v/>
      </c>
      <c r="Z417" s="2">
        <f>IF(OR(Z416=1,R417&lt;=資金模擬!$B$10),1,0)</f>
        <v/>
      </c>
    </row>
    <row r="418">
      <c r="A418" s="2" t="n">
        <v>416</v>
      </c>
      <c r="B418" s="7" t="n">
        <v>46279.29166666666</v>
      </c>
      <c r="C418" s="2" t="inlineStr">
        <is>
          <t>進場</t>
        </is>
      </c>
      <c r="D418" s="2" t="n">
        <v>210</v>
      </c>
      <c r="E418" s="2" t="inlineStr">
        <is>
          <t>VVV_USDT_PERP</t>
        </is>
      </c>
      <c r="F418" s="2" t="inlineStr">
        <is>
          <t>做空</t>
        </is>
      </c>
      <c r="G418" s="17" t="n">
        <v>21.468</v>
      </c>
      <c r="H418" s="17" t="n">
        <v>20.82396</v>
      </c>
      <c r="I418" s="17" t="n">
        <v>22.5414</v>
      </c>
      <c r="J418" s="17" t="n"/>
      <c r="K418" s="2" t="inlineStr">
        <is>
          <t>未平倉</t>
        </is>
      </c>
      <c r="L418" s="5" t="n"/>
      <c r="M418" s="16">
        <f>資金模擬!$B$5*V417</f>
        <v/>
      </c>
      <c r="N418" s="2">
        <f>IF(Z417=1,"已停止",IF(T417&gt;=M418,"已下單","資金不足略過"))</f>
        <v/>
      </c>
      <c r="O418" s="16">
        <f>IF(N418="已下單",M418*資金模擬!$B$7,0)</f>
        <v/>
      </c>
      <c r="P418" s="4" t="n"/>
      <c r="Q418" s="10" t="n">
        <v>0</v>
      </c>
      <c r="R418" s="10">
        <f>R417+Q418</f>
        <v/>
      </c>
      <c r="S418" s="16">
        <f>S417+IF(N418="已下單",M418,0)</f>
        <v/>
      </c>
      <c r="T418" s="16">
        <f>R418-S418</f>
        <v/>
      </c>
      <c r="U418" s="2">
        <f>U417+IF(N418="已下單",1,0)</f>
        <v/>
      </c>
      <c r="V418" s="16">
        <f>IF(資金模擬!$B$9=2,MAX(R418,0),MAX(V417,FLOOR(MAX(R418,0),資金模擬!$B$6)))</f>
        <v/>
      </c>
      <c r="W418" s="10">
        <f>MAX(W417,R418)</f>
        <v/>
      </c>
      <c r="X418" s="4">
        <f>IF(W418&gt;0,R418/W418-1,-1)</f>
        <v/>
      </c>
      <c r="Y418" s="16">
        <f>IF(R418&gt;0,S418*資金模擬!$B$7/R418,0)</f>
        <v/>
      </c>
      <c r="Z418" s="2">
        <f>IF(OR(Z417=1,R418&lt;=資金模擬!$B$10),1,0)</f>
        <v/>
      </c>
    </row>
    <row r="419">
      <c r="A419" s="2" t="n">
        <v>417</v>
      </c>
      <c r="B419" s="7" t="n">
        <v>46279.375</v>
      </c>
      <c r="C419" s="2" t="inlineStr">
        <is>
          <t>出場</t>
        </is>
      </c>
      <c r="D419" s="2" t="n">
        <v>207</v>
      </c>
      <c r="E419" s="2" t="inlineStr">
        <is>
          <t>PUMP_USDT_PERP</t>
        </is>
      </c>
      <c r="F419" s="2" t="inlineStr">
        <is>
          <t>做空</t>
        </is>
      </c>
      <c r="G419" s="17" t="n">
        <v>0.003569</v>
      </c>
      <c r="H419" s="17" t="n">
        <v>0.00346193</v>
      </c>
      <c r="I419" s="17" t="n">
        <v>0.00374745</v>
      </c>
      <c r="J419" s="17" t="n">
        <v>0.00346193</v>
      </c>
      <c r="K419" s="2" t="inlineStr">
        <is>
          <t>止盈</t>
        </is>
      </c>
      <c r="L419" s="5">
        <f>交易明細!K208</f>
        <v/>
      </c>
      <c r="M419" s="16">
        <f>M414</f>
        <v/>
      </c>
      <c r="N419" s="2">
        <f>N414</f>
        <v/>
      </c>
      <c r="O419" s="16">
        <f>O414</f>
        <v/>
      </c>
      <c r="P419" s="4">
        <f>交易明細!L208</f>
        <v/>
      </c>
      <c r="Q419" s="10">
        <f>IF(N419="已下單",O419*P419,0)</f>
        <v/>
      </c>
      <c r="R419" s="10">
        <f>R418+Q419</f>
        <v/>
      </c>
      <c r="S419" s="16">
        <f>S418-IF(N419="已下單",M419,0)</f>
        <v/>
      </c>
      <c r="T419" s="16">
        <f>R419-S419</f>
        <v/>
      </c>
      <c r="U419" s="2">
        <f>U418-IF(N419="已下單",1,0)</f>
        <v/>
      </c>
      <c r="V419" s="16">
        <f>IF(資金模擬!$B$9=2,MAX(R419,0),MAX(V418,FLOOR(MAX(R419,0),資金模擬!$B$6)))</f>
        <v/>
      </c>
      <c r="W419" s="10">
        <f>MAX(W418,R419)</f>
        <v/>
      </c>
      <c r="X419" s="4">
        <f>IF(W419&gt;0,R419/W419-1,-1)</f>
        <v/>
      </c>
      <c r="Y419" s="16">
        <f>IF(R419&gt;0,S419*資金模擬!$B$7/R419,0)</f>
        <v/>
      </c>
      <c r="Z419" s="2">
        <f>IF(OR(Z418=1,R419&lt;=資金模擬!$B$10),1,0)</f>
        <v/>
      </c>
    </row>
  </sheetData>
  <autoFilter ref="A1:Z419"/>
  <conditionalFormatting sqref="K2:K419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419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419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2026-09-14 09:11（Dry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1小時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19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1小時前收盤</t>
        </is>
      </c>
    </row>
    <row r="10">
      <c r="A10" s="2" t="inlineStr">
        <is>
          <t>ATR 門檻</t>
        </is>
      </c>
      <c r="B10" s="4" t="n">
        <v>0.02</v>
      </c>
      <c r="C10" s="2" t="inlineStr">
        <is>
          <t>ATR(14) ÷ 收盤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20小時前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1M/5M/15M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IFERROR(AVERAGE(交易明細!$AC$2:$AC$211),(B6+2*B7)/(B5+B6))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C21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1h漲跌幅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HEMI_USDT_PERP</t>
        </is>
      </c>
      <c r="C2" s="2" t="inlineStr">
        <is>
          <t>做多</t>
        </is>
      </c>
      <c r="D2" s="7" t="n">
        <v>46266.04166666666</v>
      </c>
      <c r="E2" s="17" t="n">
        <v>0.01515</v>
      </c>
      <c r="F2" s="17" t="n">
        <v>0.0156045</v>
      </c>
      <c r="G2" s="17" t="n">
        <v>0.0143925</v>
      </c>
      <c r="H2" s="7" t="n">
        <v>46266.08333333334</v>
      </c>
      <c r="I2" s="17" t="n">
        <v>0.0156045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0.02642276422764223</v>
      </c>
      <c r="O2" s="4" t="n">
        <v>0.05470105940620101</v>
      </c>
      <c r="P2" s="4" t="n">
        <v>0.00687867610407733</v>
      </c>
      <c r="Q2" s="19" t="n">
        <v>30338196</v>
      </c>
      <c r="R2" s="19" t="n">
        <v>2527661.32773</v>
      </c>
      <c r="S2" s="4" t="n">
        <v>0.03</v>
      </c>
      <c r="T2" s="4" t="n">
        <v>0</v>
      </c>
      <c r="U2" s="16" t="n">
        <v>1.495606184646306</v>
      </c>
      <c r="V2" s="16" t="n">
        <v>0.7758620689655177</v>
      </c>
      <c r="W2" s="4" t="n">
        <v>0.2605566418438239</v>
      </c>
      <c r="X2" s="4" t="n">
        <v>0.3004291845493561</v>
      </c>
      <c r="Y2" s="4" t="n">
        <v>0.0007855559559017955</v>
      </c>
      <c r="Z2" s="4" t="n">
        <v>0.006187354341353091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SKYAI_USDT_PERP</t>
        </is>
      </c>
      <c r="C3" s="2" t="inlineStr">
        <is>
          <t>做空</t>
        </is>
      </c>
      <c r="D3" s="7" t="n">
        <v>46266.04166666666</v>
      </c>
      <c r="E3" s="17" t="n">
        <v>0.0548</v>
      </c>
      <c r="F3" s="17" t="n">
        <v>0.053156</v>
      </c>
      <c r="G3" s="17" t="n">
        <v>0.05754</v>
      </c>
      <c r="H3" s="7" t="n">
        <v>46266.33333333334</v>
      </c>
      <c r="I3" s="17" t="n">
        <v>0.053156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-0.02107895677027516</v>
      </c>
      <c r="O3" s="4" t="n">
        <v>0.03036846288788104</v>
      </c>
      <c r="P3" s="4" t="n">
        <v>-0.00398949463372078</v>
      </c>
      <c r="Q3" s="19" t="n">
        <v>-39041574</v>
      </c>
      <c r="R3" s="19" t="n">
        <v>3589003.914609999</v>
      </c>
      <c r="S3" s="4" t="n">
        <v>0.03</v>
      </c>
      <c r="T3" s="4" t="n">
        <v>0.02317518248175188</v>
      </c>
      <c r="U3" s="16" t="n">
        <v>1.368973465594542</v>
      </c>
      <c r="V3" s="16" t="n">
        <v>0.6205128205128183</v>
      </c>
      <c r="W3" s="4" t="n">
        <v>-0.003001683871440175</v>
      </c>
      <c r="X3" s="4" t="n">
        <v>-0.0146269209405665</v>
      </c>
      <c r="Y3" s="4" t="n">
        <v>-0.0007855559559017955</v>
      </c>
      <c r="Z3" s="4" t="n">
        <v>-0.006187354341353091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XMR_USDT_PERP</t>
        </is>
      </c>
      <c r="C4" s="2" t="inlineStr">
        <is>
          <t>做多</t>
        </is>
      </c>
      <c r="D4" s="7" t="n">
        <v>46266.125</v>
      </c>
      <c r="E4" s="17" t="n">
        <v>531.58</v>
      </c>
      <c r="F4" s="17" t="n">
        <v>547.5274000000001</v>
      </c>
      <c r="G4" s="17" t="n">
        <v>505.001</v>
      </c>
      <c r="H4" s="7" t="n">
        <v>46267</v>
      </c>
      <c r="I4" s="17" t="n">
        <v>505.001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0.03173340061720009</v>
      </c>
      <c r="O4" s="4" t="n">
        <v>0.02639685576545119</v>
      </c>
      <c r="P4" s="4" t="n">
        <v>0.03092303664413798</v>
      </c>
      <c r="Q4" s="19" t="n">
        <v>1601.156000000001</v>
      </c>
      <c r="R4" s="19" t="n">
        <v>2853090.69898</v>
      </c>
      <c r="S4" s="4" t="n">
        <v>0.002539598931487141</v>
      </c>
      <c r="T4" s="4" t="n">
        <v>0.05</v>
      </c>
      <c r="U4" s="16" t="n">
        <v>1.128300625507329</v>
      </c>
      <c r="V4" s="16" t="n">
        <v>0.7272727272727273</v>
      </c>
      <c r="W4" s="4" t="n">
        <v>0.1042064453517724</v>
      </c>
      <c r="X4" s="4" t="n">
        <v>0.07910923448569873</v>
      </c>
      <c r="Y4" s="4" t="n">
        <v>0.001463260001267841</v>
      </c>
      <c r="Z4" s="4" t="n">
        <v>0.01045731021797081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SKR_USDT_PERP</t>
        </is>
      </c>
      <c r="C5" s="2" t="inlineStr">
        <is>
          <t>做多</t>
        </is>
      </c>
      <c r="D5" s="7" t="n">
        <v>46266.25</v>
      </c>
      <c r="E5" s="17" t="n">
        <v>0.028369</v>
      </c>
      <c r="F5" s="17" t="n">
        <v>0.02922007</v>
      </c>
      <c r="G5" s="17" t="n">
        <v>0.02695055</v>
      </c>
      <c r="H5" s="7" t="n">
        <v>46266.29166666666</v>
      </c>
      <c r="I5" s="17" t="n">
        <v>0.02922007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0.04045331181691481</v>
      </c>
      <c r="O5" s="4" t="n">
        <v>0.09778674408808148</v>
      </c>
      <c r="P5" s="4" t="n">
        <v>0.03511751752774406</v>
      </c>
      <c r="Q5" s="19" t="n">
        <v>9164683</v>
      </c>
      <c r="R5" s="19" t="n">
        <v>8694027.935574001</v>
      </c>
      <c r="S5" s="4" t="n">
        <v>0.03</v>
      </c>
      <c r="T5" s="4" t="n">
        <v>0</v>
      </c>
      <c r="U5" s="16" t="n">
        <v>0.4509423838395649</v>
      </c>
      <c r="V5" s="16" t="n">
        <v>0.5549836218998594</v>
      </c>
      <c r="W5" s="4" t="n">
        <v>0.8471313111187941</v>
      </c>
      <c r="X5" s="4" t="n">
        <v>0.243654377274122</v>
      </c>
      <c r="Y5" s="4" t="n">
        <v>0.001199980719125859</v>
      </c>
      <c r="Z5" s="4" t="n">
        <v>0.007557331014468316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PUMP_USDT_PERP</t>
        </is>
      </c>
      <c r="C6" s="2" t="inlineStr">
        <is>
          <t>做多</t>
        </is>
      </c>
      <c r="D6" s="7" t="n">
        <v>46266.375</v>
      </c>
      <c r="E6" s="17" t="n">
        <v>0.004605</v>
      </c>
      <c r="F6" s="17" t="n">
        <v>0.00474315</v>
      </c>
      <c r="G6" s="17" t="n">
        <v>0.004374749999999999</v>
      </c>
      <c r="H6" s="7" t="n">
        <v>46266.75</v>
      </c>
      <c r="I6" s="17" t="n">
        <v>0.004374749999999999</v>
      </c>
      <c r="J6" s="2" t="inlineStr">
        <is>
          <t>止損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0.03483146067415732</v>
      </c>
      <c r="O6" s="4" t="n">
        <v>0.02096548042486326</v>
      </c>
      <c r="P6" s="4" t="n">
        <v>0.05365518819357051</v>
      </c>
      <c r="Q6" s="19" t="n">
        <v>1426177257</v>
      </c>
      <c r="R6" s="19" t="n">
        <v>14089272.884552</v>
      </c>
      <c r="S6" s="4" t="n">
        <v>0.007383279044516966</v>
      </c>
      <c r="T6" s="4" t="n">
        <v>0.05</v>
      </c>
      <c r="U6" s="16" t="n">
        <v>1.917056464477756</v>
      </c>
      <c r="V6" s="16" t="n">
        <v>0.6437246963562734</v>
      </c>
      <c r="W6" s="4" t="n">
        <v>-0.01163501967071667</v>
      </c>
      <c r="X6" s="4" t="n">
        <v>0.02629819478493434</v>
      </c>
      <c r="Y6" s="4" t="n">
        <v>0.0008695142941528289</v>
      </c>
      <c r="Z6" s="4" t="n">
        <v>0.001681064995573855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ARB_USDT_PERP</t>
        </is>
      </c>
      <c r="C7" s="2" t="inlineStr">
        <is>
          <t>做多</t>
        </is>
      </c>
      <c r="D7" s="7" t="n">
        <v>46266.75</v>
      </c>
      <c r="E7" s="17" t="n">
        <v>0.1099</v>
      </c>
      <c r="F7" s="17" t="n">
        <v>0.113197</v>
      </c>
      <c r="G7" s="17" t="n">
        <v>0.104405</v>
      </c>
      <c r="H7" s="7" t="n">
        <v>46266.79166666666</v>
      </c>
      <c r="I7" s="17" t="n">
        <v>0.113197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0.02902621722846432</v>
      </c>
      <c r="O7" s="4" t="n">
        <v>0.03363246125514272</v>
      </c>
      <c r="P7" s="4" t="n">
        <v>0.05227882037533504</v>
      </c>
      <c r="Q7" s="19" t="n">
        <v>2948217.4</v>
      </c>
      <c r="R7" s="19" t="n">
        <v>1581318.66542</v>
      </c>
      <c r="S7" s="4" t="n">
        <v>0.03</v>
      </c>
      <c r="T7" s="4" t="n">
        <v>0</v>
      </c>
      <c r="U7" s="16" t="n">
        <v>4.184123517013983</v>
      </c>
      <c r="V7" s="16" t="n">
        <v>0.8571428571428562</v>
      </c>
      <c r="W7" s="4" t="n">
        <v>0.2081038595565523</v>
      </c>
      <c r="X7" s="4" t="n">
        <v>0.2705202312138728</v>
      </c>
      <c r="Y7" s="4" t="n">
        <v>0.0003249835260326073</v>
      </c>
      <c r="Z7" s="4" t="n">
        <v>-0.009362698788719204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USELESS_USDT_PERP</t>
        </is>
      </c>
      <c r="C8" s="2" t="inlineStr">
        <is>
          <t>做多</t>
        </is>
      </c>
      <c r="D8" s="7" t="n">
        <v>46266.75</v>
      </c>
      <c r="E8" s="17" t="n">
        <v>0.09113</v>
      </c>
      <c r="F8" s="17" t="n">
        <v>0.0938639</v>
      </c>
      <c r="G8" s="17" t="n">
        <v>0.0865735</v>
      </c>
      <c r="H8" s="7" t="n">
        <v>46266.79166666666</v>
      </c>
      <c r="I8" s="17" t="n">
        <v>0.0938639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0.03134902670891826</v>
      </c>
      <c r="O8" s="4" t="n">
        <v>0.04174065720300272</v>
      </c>
      <c r="P8" s="4" t="n">
        <v>0.01693969557648534</v>
      </c>
      <c r="Q8" s="19" t="n">
        <v>4835282</v>
      </c>
      <c r="R8" s="19" t="n">
        <v>3907392.8932</v>
      </c>
      <c r="S8" s="4" t="n">
        <v>0.03</v>
      </c>
      <c r="T8" s="4" t="n">
        <v>0</v>
      </c>
      <c r="U8" s="16" t="n">
        <v>0.8352760034916105</v>
      </c>
      <c r="V8" s="16" t="n">
        <v>0.6997635933806161</v>
      </c>
      <c r="W8" s="4" t="n">
        <v>0.3208337500344234</v>
      </c>
      <c r="X8" s="4" t="n">
        <v>0.3165270153134931</v>
      </c>
      <c r="Y8" s="4" t="n">
        <v>0.0003249835260326073</v>
      </c>
      <c r="Z8" s="4" t="n">
        <v>-0.009362698788719204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HEMI_USDT_PERP</t>
        </is>
      </c>
      <c r="C9" s="2" t="inlineStr">
        <is>
          <t>做多</t>
        </is>
      </c>
      <c r="D9" s="7" t="n">
        <v>46266.83333333334</v>
      </c>
      <c r="E9" s="17" t="n">
        <v>0.0161</v>
      </c>
      <c r="F9" s="17" t="n">
        <v>0.016583</v>
      </c>
      <c r="G9" s="17" t="n">
        <v>0.015295</v>
      </c>
      <c r="H9" s="7" t="n">
        <v>46267</v>
      </c>
      <c r="I9" s="17" t="n">
        <v>0.016583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0.0400516795865633</v>
      </c>
      <c r="O9" s="4" t="n">
        <v>0.05309048080992258</v>
      </c>
      <c r="P9" s="4" t="n">
        <v>0.03185284881112604</v>
      </c>
      <c r="Q9" s="19" t="n">
        <v>21786432</v>
      </c>
      <c r="R9" s="19" t="n">
        <v>2485334.30933</v>
      </c>
      <c r="S9" s="4" t="n">
        <v>0.03</v>
      </c>
      <c r="T9" s="4" t="n">
        <v>0.03229813664596271</v>
      </c>
      <c r="U9" s="16" t="n">
        <v>0.4854555047945848</v>
      </c>
      <c r="V9" s="16" t="n">
        <v>0.5937500000000002</v>
      </c>
      <c r="W9" s="4" t="n">
        <v>0.230642227080244</v>
      </c>
      <c r="X9" s="4" t="n">
        <v>0.07981220657276999</v>
      </c>
      <c r="Y9" s="4" t="n">
        <v>0.0008757757603734539</v>
      </c>
      <c r="Z9" s="4" t="n">
        <v>-0.006401794722503573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PUMP_USDT_PERP</t>
        </is>
      </c>
      <c r="C10" s="2" t="inlineStr">
        <is>
          <t>做多</t>
        </is>
      </c>
      <c r="D10" s="7" t="n">
        <v>46266.91666666666</v>
      </c>
      <c r="E10" s="17" t="n">
        <v>0.004467</v>
      </c>
      <c r="F10" s="17" t="n">
        <v>0.00460101</v>
      </c>
      <c r="G10" s="17" t="n">
        <v>0.00424365</v>
      </c>
      <c r="H10" s="7" t="n">
        <v>46267.125</v>
      </c>
      <c r="I10" s="17" t="n">
        <v>0.00424365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0.0214955408186599</v>
      </c>
      <c r="O10" s="4" t="n">
        <v>0.02016712889467814</v>
      </c>
      <c r="P10" s="4" t="n">
        <v>0.00164811139887644</v>
      </c>
      <c r="Q10" s="19" t="n">
        <v>275449570</v>
      </c>
      <c r="R10" s="19" t="n">
        <v>7439037.937779999</v>
      </c>
      <c r="S10" s="4" t="n">
        <v>0.008506827848668186</v>
      </c>
      <c r="T10" s="4" t="n">
        <v>0.05</v>
      </c>
      <c r="U10" s="16" t="n">
        <v>1.643469630173643</v>
      </c>
      <c r="V10" s="16" t="n">
        <v>0.8590604026845623</v>
      </c>
      <c r="W10" s="4" t="n">
        <v>-0.0334516184871041</v>
      </c>
      <c r="X10" s="4" t="n">
        <v>0.04859154929577447</v>
      </c>
      <c r="Y10" s="4" t="n">
        <v>0.0009992175574966566</v>
      </c>
      <c r="Z10" s="4" t="n">
        <v>-0.005693073485656286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HEMI_USDT_PERP</t>
        </is>
      </c>
      <c r="C11" s="2" t="inlineStr">
        <is>
          <t>做空</t>
        </is>
      </c>
      <c r="D11" s="7" t="n">
        <v>46267.08333333334</v>
      </c>
      <c r="E11" s="17" t="n">
        <v>0.01546</v>
      </c>
      <c r="F11" s="17" t="n">
        <v>0.0149962</v>
      </c>
      <c r="G11" s="17" t="n">
        <v>0.016233</v>
      </c>
      <c r="H11" s="7" t="n">
        <v>46267.16666666666</v>
      </c>
      <c r="I11" s="17" t="n">
        <v>0.0149962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-0.04626773596545342</v>
      </c>
      <c r="O11" s="4" t="n">
        <v>0.05211095476024893</v>
      </c>
      <c r="P11" s="4" t="n">
        <v>-0.008115997818625043</v>
      </c>
      <c r="Q11" s="19" t="n">
        <v>-8331572</v>
      </c>
      <c r="R11" s="19" t="n">
        <v>1791699.90477</v>
      </c>
      <c r="S11" s="4" t="n">
        <v>0.03</v>
      </c>
      <c r="T11" s="4" t="n">
        <v>0.0226390685640363</v>
      </c>
      <c r="U11" s="16" t="n">
        <v>1.171279734701298</v>
      </c>
      <c r="V11" s="16" t="n">
        <v>0.9871794871794877</v>
      </c>
      <c r="W11" s="4" t="n">
        <v>-0.1588336706393825</v>
      </c>
      <c r="X11" s="4" t="n">
        <v>-0</v>
      </c>
      <c r="Y11" s="4" t="n">
        <v>0.004120712640891866</v>
      </c>
      <c r="Z11" s="4" t="n">
        <v>0.01285578468135806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PUMP_USDT_PERP</t>
        </is>
      </c>
      <c r="C12" s="2" t="inlineStr">
        <is>
          <t>做空</t>
        </is>
      </c>
      <c r="D12" s="7" t="n">
        <v>46267.41666666666</v>
      </c>
      <c r="E12" s="17" t="n">
        <v>0.004146</v>
      </c>
      <c r="F12" s="17" t="n">
        <v>0.00402162</v>
      </c>
      <c r="G12" s="17" t="n">
        <v>0.004353300000000001</v>
      </c>
      <c r="H12" s="7" t="n">
        <v>46268.29166666666</v>
      </c>
      <c r="I12" s="17" t="n">
        <v>0.00402162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-0.04249422632794442</v>
      </c>
      <c r="O12" s="4" t="n">
        <v>0.021872145976473</v>
      </c>
      <c r="P12" s="4" t="n">
        <v>-0.0530138644617526</v>
      </c>
      <c r="Q12" s="19" t="n">
        <v>-426829056</v>
      </c>
      <c r="R12" s="19" t="n">
        <v>6398366.633454001</v>
      </c>
      <c r="S12" s="4" t="n">
        <v>0.03</v>
      </c>
      <c r="T12" s="4" t="n">
        <v>0.04896285576459225</v>
      </c>
      <c r="U12" s="16" t="n">
        <v>11.39017319214903</v>
      </c>
      <c r="V12" s="16" t="n">
        <v>0.9802955665024604</v>
      </c>
      <c r="W12" s="4" t="n">
        <v>0.09461947157747153</v>
      </c>
      <c r="X12" s="4" t="n">
        <v>0.08597883597883593</v>
      </c>
      <c r="Y12" s="4" t="n">
        <v>0.002546012866110781</v>
      </c>
      <c r="Z12" s="4" t="n">
        <v>0.009031135908824983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牛来_USDT_PERP</t>
        </is>
      </c>
      <c r="C13" s="2" t="inlineStr">
        <is>
          <t>做空</t>
        </is>
      </c>
      <c r="D13" s="7" t="n">
        <v>46267.41666666666</v>
      </c>
      <c r="E13" s="17" t="n">
        <v>0.08327</v>
      </c>
      <c r="F13" s="17" t="n">
        <v>0.08077189999999999</v>
      </c>
      <c r="G13" s="17" t="n">
        <v>0.0874335</v>
      </c>
      <c r="H13" s="7" t="n">
        <v>46267.45833333334</v>
      </c>
      <c r="I13" s="17" t="n">
        <v>0.08077189999999999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-0.03387864021348186</v>
      </c>
      <c r="O13" s="4" t="n">
        <v>0.07726779942212671</v>
      </c>
      <c r="P13" s="4" t="n">
        <v>-0.03661711112396615</v>
      </c>
      <c r="Q13" s="19" t="n">
        <v>-1142275</v>
      </c>
      <c r="R13" s="19" t="n">
        <v>1439472.26043</v>
      </c>
      <c r="S13" s="4" t="n">
        <v>0.03</v>
      </c>
      <c r="T13" s="4" t="n">
        <v>0</v>
      </c>
      <c r="U13" s="16" t="n">
        <v>1.127056935082819</v>
      </c>
      <c r="V13" s="16" t="n">
        <v>0.8582589285714293</v>
      </c>
      <c r="W13" s="4" t="n"/>
      <c r="X13" s="4" t="n">
        <v>0.2299796560014796</v>
      </c>
      <c r="Y13" s="4" t="n">
        <v>0.002546012866110781</v>
      </c>
      <c r="Z13" s="4" t="n">
        <v>0.009031135908824983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UNI_USDT_PERP</t>
        </is>
      </c>
      <c r="C14" s="2" t="inlineStr">
        <is>
          <t>做多</t>
        </is>
      </c>
      <c r="D14" s="7" t="n">
        <v>46267.45833333334</v>
      </c>
      <c r="E14" s="17" t="n">
        <v>6.019</v>
      </c>
      <c r="F14" s="17" t="n">
        <v>6.19957</v>
      </c>
      <c r="G14" s="17" t="n">
        <v>5.71805</v>
      </c>
      <c r="H14" s="7" t="n">
        <v>46267.54166666666</v>
      </c>
      <c r="I14" s="17" t="n">
        <v>6.19957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0.02959288402326377</v>
      </c>
      <c r="O14" s="4" t="n">
        <v>0.02171537265407652</v>
      </c>
      <c r="P14" s="4" t="n">
        <v>0.04390506169948938</v>
      </c>
      <c r="Q14" s="19" t="n">
        <v>57862</v>
      </c>
      <c r="R14" s="19" t="n">
        <v>5340979.182999999</v>
      </c>
      <c r="S14" s="4" t="n">
        <v>0.03</v>
      </c>
      <c r="T14" s="4" t="n">
        <v>0.00930387107492936</v>
      </c>
      <c r="U14" s="16" t="n">
        <v>1.166212519579696</v>
      </c>
      <c r="V14" s="16" t="n">
        <v>0.911999999999999</v>
      </c>
      <c r="W14" s="4" t="n">
        <v>0.1788438751628034</v>
      </c>
      <c r="X14" s="4" t="n">
        <v>0.153065134099617</v>
      </c>
      <c r="Y14" s="4" t="n">
        <v>0.004116493251756781</v>
      </c>
      <c r="Z14" s="4" t="n">
        <v>-0.004050543276314711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CRV_USDT_PERP</t>
        </is>
      </c>
      <c r="C15" s="2" t="inlineStr">
        <is>
          <t>做多</t>
        </is>
      </c>
      <c r="D15" s="7" t="n">
        <v>46267.5</v>
      </c>
      <c r="E15" s="17" t="n">
        <v>0.3838</v>
      </c>
      <c r="F15" s="17" t="n">
        <v>0.395314</v>
      </c>
      <c r="G15" s="17" t="n">
        <v>0.3646099999999999</v>
      </c>
      <c r="H15" s="7" t="n">
        <v>46267.79166666666</v>
      </c>
      <c r="I15" s="17" t="n">
        <v>0.3646099999999999</v>
      </c>
      <c r="J15" s="2" t="inlineStr">
        <is>
          <t>止損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0.02183173588924392</v>
      </c>
      <c r="O15" s="4" t="n">
        <v>0.02279439039706492</v>
      </c>
      <c r="P15" s="4" t="n">
        <v>0.04797531605821481</v>
      </c>
      <c r="Q15" s="19" t="n">
        <v>830427.7000000002</v>
      </c>
      <c r="R15" s="19" t="n">
        <v>1422562.09482</v>
      </c>
      <c r="S15" s="4" t="n">
        <v>0.003908285565398684</v>
      </c>
      <c r="T15" s="4" t="n">
        <v>0.05</v>
      </c>
      <c r="U15" s="16" t="n">
        <v>1.260294498787033</v>
      </c>
      <c r="V15" s="16" t="n">
        <v>0.4734042553191474</v>
      </c>
      <c r="W15" s="4" t="n">
        <v>0.192432805261866</v>
      </c>
      <c r="X15" s="4" t="n">
        <v>0.07236658284436981</v>
      </c>
      <c r="Y15" s="4" t="n">
        <v>0.003032345449347496</v>
      </c>
      <c r="Z15" s="4" t="n">
        <v>-0.0003440518451383046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SKR_USDT_PERP</t>
        </is>
      </c>
      <c r="C16" s="2" t="inlineStr">
        <is>
          <t>做空</t>
        </is>
      </c>
      <c r="D16" s="7" t="n">
        <v>46267.5</v>
      </c>
      <c r="E16" s="17" t="n">
        <v>0.022381</v>
      </c>
      <c r="F16" s="17" t="n">
        <v>0.02170957</v>
      </c>
      <c r="G16" s="17" t="n">
        <v>0.02350005</v>
      </c>
      <c r="H16" s="7" t="n">
        <v>46267.58333333334</v>
      </c>
      <c r="I16" s="17" t="n">
        <v>0.02350005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-0.04798162405887096</v>
      </c>
      <c r="O16" s="4" t="n">
        <v>0.09234113259872093</v>
      </c>
      <c r="P16" s="4" t="n">
        <v>-0.04659058475720668</v>
      </c>
      <c r="Q16" s="19" t="n">
        <v>-49097315</v>
      </c>
      <c r="R16" s="19" t="n">
        <v>3136147.261192</v>
      </c>
      <c r="S16" s="4" t="n">
        <v>0.02336803538715881</v>
      </c>
      <c r="T16" s="4" t="n">
        <v>0.05</v>
      </c>
      <c r="U16" s="16" t="n">
        <v>2.064305068077037</v>
      </c>
      <c r="V16" s="16" t="n">
        <v>0.9182750301568153</v>
      </c>
      <c r="W16" s="4" t="n">
        <v>-0.1210454609204386</v>
      </c>
      <c r="X16" s="4" t="n">
        <v>0.2371847307430129</v>
      </c>
      <c r="Y16" s="4" t="n">
        <v>-0.003032345449347496</v>
      </c>
      <c r="Z16" s="4" t="n">
        <v>0.0003440518451383046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牛来_USDT_PERP</t>
        </is>
      </c>
      <c r="C17" s="2" t="inlineStr">
        <is>
          <t>做多</t>
        </is>
      </c>
      <c r="D17" s="7" t="n">
        <v>46267.54166666666</v>
      </c>
      <c r="E17" s="17" t="n">
        <v>0.08776</v>
      </c>
      <c r="F17" s="17" t="n">
        <v>0.09039280000000001</v>
      </c>
      <c r="G17" s="17" t="n">
        <v>0.083372</v>
      </c>
      <c r="H17" s="7" t="n">
        <v>46267.58333333334</v>
      </c>
      <c r="I17" s="17" t="n">
        <v>0.09039280000000001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0.03796570076877592</v>
      </c>
      <c r="O17" s="4" t="n">
        <v>0.07196519005900766</v>
      </c>
      <c r="P17" s="4" t="n">
        <v>0.0311725239992009</v>
      </c>
      <c r="Q17" s="19" t="n">
        <v>683387</v>
      </c>
      <c r="R17" s="19" t="n">
        <v>1408907.35188</v>
      </c>
      <c r="S17" s="4" t="n">
        <v>0.03</v>
      </c>
      <c r="T17" s="4" t="n">
        <v>0</v>
      </c>
      <c r="U17" s="16" t="n">
        <v>0.7479348006410231</v>
      </c>
      <c r="V17" s="16" t="n">
        <v>0.7101648351648354</v>
      </c>
      <c r="W17" s="4" t="n"/>
      <c r="X17" s="4" t="n">
        <v>-0.1343460248569737</v>
      </c>
      <c r="Y17" s="4" t="n">
        <v>-0.000107049396202763</v>
      </c>
      <c r="Z17" s="4" t="n">
        <v>-0.0002421826459498844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PONS_USDT_PERP</t>
        </is>
      </c>
      <c r="C18" s="2" t="inlineStr">
        <is>
          <t>做多</t>
        </is>
      </c>
      <c r="D18" s="7" t="n">
        <v>46267.58333333334</v>
      </c>
      <c r="E18" s="17" t="n">
        <v>0.4351</v>
      </c>
      <c r="F18" s="17" t="n">
        <v>0.448153</v>
      </c>
      <c r="G18" s="17" t="n">
        <v>0.413345</v>
      </c>
      <c r="H18" s="7" t="n">
        <v>46267.66666666666</v>
      </c>
      <c r="I18" s="17" t="n">
        <v>0.413345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0.02184124001878818</v>
      </c>
      <c r="O18" s="4" t="n">
        <v>0.0535473148339484</v>
      </c>
      <c r="P18" s="4" t="n">
        <v>0.02832563251125597</v>
      </c>
      <c r="Q18" s="19" t="n">
        <v>816855</v>
      </c>
      <c r="R18" s="19" t="n">
        <v>1808502.8962</v>
      </c>
      <c r="S18" s="4" t="n">
        <v>0</v>
      </c>
      <c r="T18" s="4" t="n">
        <v>0.05</v>
      </c>
      <c r="U18" s="16" t="n">
        <v>1.090697890115798</v>
      </c>
      <c r="V18" s="16" t="n">
        <v>0.6124999999999979</v>
      </c>
      <c r="W18" s="4" t="n"/>
      <c r="X18" s="4" t="n"/>
      <c r="Y18" s="4" t="n">
        <v>0.00119314810515192</v>
      </c>
      <c r="Z18" s="4" t="n">
        <v>0.001116507668743161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HEMI_USDT_PERP</t>
        </is>
      </c>
      <c r="C19" s="2" t="inlineStr">
        <is>
          <t>做空</t>
        </is>
      </c>
      <c r="D19" s="7" t="n">
        <v>46267.625</v>
      </c>
      <c r="E19" s="17" t="n">
        <v>0.01439</v>
      </c>
      <c r="F19" s="17" t="n">
        <v>0.0139583</v>
      </c>
      <c r="G19" s="17" t="n">
        <v>0.0151095</v>
      </c>
      <c r="H19" s="7" t="n">
        <v>46267.66666666666</v>
      </c>
      <c r="I19" s="17" t="n">
        <v>0.0151095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-0.03874415497661998</v>
      </c>
      <c r="O19" s="4" t="n">
        <v>0.122071649154136</v>
      </c>
      <c r="P19" s="4" t="n">
        <v>-0.05987652304576474</v>
      </c>
      <c r="Q19" s="19" t="n">
        <v>-1169435</v>
      </c>
      <c r="R19" s="19" t="n">
        <v>1908493.63956</v>
      </c>
      <c r="S19" s="4" t="n">
        <v>0</v>
      </c>
      <c r="T19" s="4" t="n">
        <v>0.05</v>
      </c>
      <c r="U19" s="16" t="n">
        <v>1.186128783121517</v>
      </c>
      <c r="V19" s="16" t="n">
        <v>0.7499999999999996</v>
      </c>
      <c r="W19" s="4" t="n">
        <v>-0.04695662296465519</v>
      </c>
      <c r="X19" s="4" t="n">
        <v>0.06860841423948216</v>
      </c>
      <c r="Y19" s="4" t="n">
        <v>0.0005204944697462244</v>
      </c>
      <c r="Z19" s="4" t="n">
        <v>-0.000860002084853484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SKR_USDT_PERP</t>
        </is>
      </c>
      <c r="C20" s="2" t="inlineStr">
        <is>
          <t>做空</t>
        </is>
      </c>
      <c r="D20" s="7" t="n">
        <v>46267.625</v>
      </c>
      <c r="E20" s="17" t="n">
        <v>0.02203</v>
      </c>
      <c r="F20" s="17" t="n">
        <v>0.0213691</v>
      </c>
      <c r="G20" s="17" t="n">
        <v>0.0231315</v>
      </c>
      <c r="H20" s="7" t="n">
        <v>46267.66666666666</v>
      </c>
      <c r="I20" s="17" t="n">
        <v>0.0213691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-0.060233768449791</v>
      </c>
      <c r="O20" s="4" t="n">
        <v>0.09269540830315316</v>
      </c>
      <c r="P20" s="4" t="n">
        <v>-0.04032967703151258</v>
      </c>
      <c r="Q20" s="19" t="n">
        <v>-15164838</v>
      </c>
      <c r="R20" s="19" t="n">
        <v>3097417.315483</v>
      </c>
      <c r="S20" s="4" t="n">
        <v>0.03</v>
      </c>
      <c r="T20" s="4" t="n">
        <v>0</v>
      </c>
      <c r="U20" s="16" t="n">
        <v>1.209725302882777</v>
      </c>
      <c r="V20" s="16" t="n">
        <v>0.7848739495798315</v>
      </c>
      <c r="W20" s="4" t="n">
        <v>-0.08172179863377993</v>
      </c>
      <c r="X20" s="4" t="n">
        <v>0.2264475578496435</v>
      </c>
      <c r="Y20" s="4" t="n">
        <v>0.0005204944697462244</v>
      </c>
      <c r="Z20" s="4" t="n">
        <v>-0.000860002084853484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USELESS_USDT_PERP</t>
        </is>
      </c>
      <c r="C21" s="2" t="inlineStr">
        <is>
          <t>做空</t>
        </is>
      </c>
      <c r="D21" s="7" t="n">
        <v>46267.75</v>
      </c>
      <c r="E21" s="17" t="n">
        <v>0.10669</v>
      </c>
      <c r="F21" s="17" t="n">
        <v>0.1034893</v>
      </c>
      <c r="G21" s="17" t="n">
        <v>0.1120245</v>
      </c>
      <c r="H21" s="7" t="n">
        <v>46267.79166666666</v>
      </c>
      <c r="I21" s="17" t="n">
        <v>0.1034893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-0.04817557320010712</v>
      </c>
      <c r="O21" s="4" t="n">
        <v>0.05244991106886208</v>
      </c>
      <c r="P21" s="4" t="n">
        <v>-0.03261929049076295</v>
      </c>
      <c r="Q21" s="19" t="n">
        <v>-5434054</v>
      </c>
      <c r="R21" s="19" t="n">
        <v>7681110.42926</v>
      </c>
      <c r="S21" s="4" t="n">
        <v>0.03</v>
      </c>
      <c r="T21" s="4" t="n">
        <v>0</v>
      </c>
      <c r="U21" s="16" t="n">
        <v>0.9670140137041019</v>
      </c>
      <c r="V21" s="16" t="n">
        <v>0.9262411347517741</v>
      </c>
      <c r="W21" s="4" t="n">
        <v>-0.3290381570604448</v>
      </c>
      <c r="X21" s="4" t="n">
        <v>-0.1707450894326785</v>
      </c>
      <c r="Y21" s="4" t="n">
        <v>0.001339501897953288</v>
      </c>
      <c r="Z21" s="4" t="n">
        <v>0.008286054043237345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UAI_USDT_PERP</t>
        </is>
      </c>
      <c r="C22" s="2" t="inlineStr">
        <is>
          <t>做空</t>
        </is>
      </c>
      <c r="D22" s="7" t="n">
        <v>46267.79166666666</v>
      </c>
      <c r="E22" s="17" t="n">
        <v>0.5241</v>
      </c>
      <c r="F22" s="17" t="n">
        <v>0.508377</v>
      </c>
      <c r="G22" s="17" t="n">
        <v>0.550305</v>
      </c>
      <c r="H22" s="7" t="n">
        <v>46267.875</v>
      </c>
      <c r="I22" s="17" t="n">
        <v>0.550305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-0.04378762999452657</v>
      </c>
      <c r="O22" s="4" t="n">
        <v>0.05842308225249642</v>
      </c>
      <c r="P22" s="4" t="n">
        <v>-0.02129765361667935</v>
      </c>
      <c r="Q22" s="19" t="n">
        <v>-795267</v>
      </c>
      <c r="R22" s="19" t="n">
        <v>4210824.7711</v>
      </c>
      <c r="S22" s="4" t="n">
        <v>0.02976531196336585</v>
      </c>
      <c r="T22" s="4" t="n">
        <v>0.05</v>
      </c>
      <c r="U22" s="16" t="n">
        <v>2.619757497596312</v>
      </c>
      <c r="V22" s="16" t="n">
        <v>0.8097982708933706</v>
      </c>
      <c r="W22" s="4" t="n">
        <v>-0.3352526050291713</v>
      </c>
      <c r="X22" s="4" t="n">
        <v>-0.2387142519498937</v>
      </c>
      <c r="Y22" s="4" t="n">
        <v>0.00101021029319559</v>
      </c>
      <c r="Z22" s="4" t="n">
        <v>0.008328176409182597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ACE_USDT_PERP</t>
        </is>
      </c>
      <c r="C23" s="2" t="inlineStr">
        <is>
          <t>做空</t>
        </is>
      </c>
      <c r="D23" s="7" t="n">
        <v>46267.83333333334</v>
      </c>
      <c r="E23" s="17" t="n">
        <v>0.19257</v>
      </c>
      <c r="F23" s="17" t="n">
        <v>0.1867929</v>
      </c>
      <c r="G23" s="17" t="n">
        <v>0.2021985</v>
      </c>
      <c r="H23" s="7" t="n">
        <v>46267.875</v>
      </c>
      <c r="I23" s="17" t="n">
        <v>0.1867929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-0.05025646084040247</v>
      </c>
      <c r="O23" s="4" t="n">
        <v>0.04931606622199357</v>
      </c>
      <c r="P23" s="4" t="n">
        <v>-0.0519070665097755</v>
      </c>
      <c r="Q23" s="19" t="n">
        <v>-1654553.749999993</v>
      </c>
      <c r="R23" s="19" t="n">
        <v>2513068.0053246</v>
      </c>
      <c r="S23" s="4" t="n">
        <v>0.03</v>
      </c>
      <c r="T23" s="4" t="n">
        <v>0</v>
      </c>
      <c r="U23" s="16" t="n">
        <v>1.581615562742938</v>
      </c>
      <c r="V23" s="16" t="n">
        <v>0.6308203991130821</v>
      </c>
      <c r="W23" s="4" t="n">
        <v>-0.04647143981254054</v>
      </c>
      <c r="X23" s="4" t="n">
        <v>-0.08441265908323015</v>
      </c>
      <c r="Y23" s="4" t="n">
        <v>-0.001948089228488881</v>
      </c>
      <c r="Z23" s="4" t="n">
        <v>0.005695833578277743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ARB_USDT_PERP</t>
        </is>
      </c>
      <c r="C24" s="2" t="inlineStr">
        <is>
          <t>做空</t>
        </is>
      </c>
      <c r="D24" s="7" t="n">
        <v>46267.83333333334</v>
      </c>
      <c r="E24" s="17" t="n">
        <v>0.1076</v>
      </c>
      <c r="F24" s="17" t="n">
        <v>0.104372</v>
      </c>
      <c r="G24" s="17" t="n">
        <v>0.11298</v>
      </c>
      <c r="H24" s="7" t="n">
        <v>46267.95833333334</v>
      </c>
      <c r="I24" s="17" t="n">
        <v>0.11298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-0.02888086642599275</v>
      </c>
      <c r="O24" s="4" t="n">
        <v>0.03170099178863164</v>
      </c>
      <c r="P24" s="4" t="n">
        <v>-0.02690481573592562</v>
      </c>
      <c r="Q24" s="19" t="n">
        <v>-782584.100000001</v>
      </c>
      <c r="R24" s="19" t="n">
        <v>1241321.93288</v>
      </c>
      <c r="S24" s="4" t="n">
        <v>0.00371747211895912</v>
      </c>
      <c r="T24" s="4" t="n">
        <v>0.05</v>
      </c>
      <c r="U24" s="16" t="n">
        <v>2.387393816524527</v>
      </c>
      <c r="V24" s="16" t="n">
        <v>0.6730769230769224</v>
      </c>
      <c r="W24" s="4" t="n">
        <v>-0.1126507145368436</v>
      </c>
      <c r="X24" s="4" t="n">
        <v>0.05030891438658425</v>
      </c>
      <c r="Y24" s="4" t="n">
        <v>-0.001948089228488881</v>
      </c>
      <c r="Z24" s="4" t="n">
        <v>0.005695833578277743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UNI_USDT_PERP</t>
        </is>
      </c>
      <c r="C25" s="2" t="inlineStr">
        <is>
          <t>做空</t>
        </is>
      </c>
      <c r="D25" s="7" t="n">
        <v>46267.83333333334</v>
      </c>
      <c r="E25" s="17" t="n">
        <v>5.744</v>
      </c>
      <c r="F25" s="17" t="n">
        <v>5.57168</v>
      </c>
      <c r="G25" s="17" t="n">
        <v>6.0312</v>
      </c>
      <c r="H25" s="7" t="n">
        <v>46268.75</v>
      </c>
      <c r="I25" s="17" t="n">
        <v>6.0312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-0.04947873572728778</v>
      </c>
      <c r="O25" s="4" t="n">
        <v>0.02880255792748297</v>
      </c>
      <c r="P25" s="4" t="n">
        <v>-0.03308616205570192</v>
      </c>
      <c r="Q25" s="19" t="n">
        <v>-61964</v>
      </c>
      <c r="R25" s="19" t="n">
        <v>5926643.259000001</v>
      </c>
      <c r="S25" s="4" t="n">
        <v>0.01880222841225621</v>
      </c>
      <c r="T25" s="4" t="n">
        <v>0.05</v>
      </c>
      <c r="U25" s="16" t="n">
        <v>1.300484464954263</v>
      </c>
      <c r="V25" s="16" t="n">
        <v>0.8774928774928771</v>
      </c>
      <c r="W25" s="4" t="n">
        <v>-0.09188858326315796</v>
      </c>
      <c r="X25" s="4" t="n">
        <v>0.02578018995929443</v>
      </c>
      <c r="Y25" s="4" t="n">
        <v>-0.001948089228488881</v>
      </c>
      <c r="Z25" s="4" t="n">
        <v>0.005695833578277743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PONS_USDT_PERP</t>
        </is>
      </c>
      <c r="C26" s="2" t="inlineStr">
        <is>
          <t>做多</t>
        </is>
      </c>
      <c r="D26" s="7" t="n">
        <v>46267.91666666666</v>
      </c>
      <c r="E26" s="17" t="n">
        <v>0.415</v>
      </c>
      <c r="F26" s="17" t="n">
        <v>0.42745</v>
      </c>
      <c r="G26" s="17" t="n">
        <v>0.39425</v>
      </c>
      <c r="H26" s="7" t="n">
        <v>46267.95833333334</v>
      </c>
      <c r="I26" s="17" t="n">
        <v>0.39425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0.07235142118863047</v>
      </c>
      <c r="O26" s="4" t="n">
        <v>0.06686067811433344</v>
      </c>
      <c r="P26" s="4" t="n">
        <v>0.008309441663832073</v>
      </c>
      <c r="Q26" s="19" t="n">
        <v>701572</v>
      </c>
      <c r="R26" s="19" t="n">
        <v>3206596.5472</v>
      </c>
      <c r="S26" s="4" t="n">
        <v>0</v>
      </c>
      <c r="T26" s="4" t="n">
        <v>0.05</v>
      </c>
      <c r="U26" s="16" t="n">
        <v>2.425318178458414</v>
      </c>
      <c r="V26" s="16" t="n">
        <v>0.5957792207792202</v>
      </c>
      <c r="W26" s="4" t="n"/>
      <c r="X26" s="4" t="n">
        <v>-0.03868427148482745</v>
      </c>
      <c r="Y26" s="4" t="n">
        <v>0.007041618945507144</v>
      </c>
      <c r="Z26" s="4" t="n">
        <v>-0.0007801980777919493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LIT_USDT_PERP</t>
        </is>
      </c>
      <c r="C27" s="2" t="inlineStr">
        <is>
          <t>做多</t>
        </is>
      </c>
      <c r="D27" s="7" t="n">
        <v>46268</v>
      </c>
      <c r="E27" s="17" t="n">
        <v>3.672</v>
      </c>
      <c r="F27" s="17" t="n">
        <v>3.78216</v>
      </c>
      <c r="G27" s="17" t="n">
        <v>3.4884</v>
      </c>
      <c r="H27" s="7" t="n">
        <v>46268.08333333334</v>
      </c>
      <c r="I27" s="17" t="n">
        <v>3.78216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0.02569832402234629</v>
      </c>
      <c r="O27" s="4" t="n">
        <v>0.02518625784377095</v>
      </c>
      <c r="P27" s="4" t="n">
        <v>0.03407490847648531</v>
      </c>
      <c r="Q27" s="19" t="n">
        <v>134118.8999999999</v>
      </c>
      <c r="R27" s="19" t="n">
        <v>2562400.075900001</v>
      </c>
      <c r="S27" s="4" t="n">
        <v>0.03</v>
      </c>
      <c r="T27" s="4" t="n">
        <v>0.001089324618736343</v>
      </c>
      <c r="U27" s="16" t="n">
        <v>1.25538625351542</v>
      </c>
      <c r="V27" s="16" t="n">
        <v>0.9500000000000018</v>
      </c>
      <c r="W27" s="4" t="n">
        <v>0.0219928861279497</v>
      </c>
      <c r="X27" s="4" t="n">
        <v>-0.04870466321243516</v>
      </c>
      <c r="Y27" s="4" t="n">
        <v>0.002934150394682256</v>
      </c>
      <c r="Z27" s="4" t="n">
        <v>0.001086162287276426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HEMI_USDT_PERP</t>
        </is>
      </c>
      <c r="C28" s="2" t="inlineStr">
        <is>
          <t>做多</t>
        </is>
      </c>
      <c r="D28" s="7" t="n">
        <v>46268.04166666666</v>
      </c>
      <c r="E28" s="17" t="n">
        <v>0.01528</v>
      </c>
      <c r="F28" s="17" t="n">
        <v>0.0157384</v>
      </c>
      <c r="G28" s="17" t="n">
        <v>0.014516</v>
      </c>
      <c r="H28" s="7" t="n">
        <v>46268.08333333334</v>
      </c>
      <c r="I28" s="17" t="n">
        <v>0.0157384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0.09534050179211473</v>
      </c>
      <c r="O28" s="4" t="n">
        <v>0.07970201070293215</v>
      </c>
      <c r="P28" s="4" t="n">
        <v>0.04239860831599418</v>
      </c>
      <c r="Q28" s="19" t="n">
        <v>2348995</v>
      </c>
      <c r="R28" s="19" t="n">
        <v>1834088.15453</v>
      </c>
      <c r="S28" s="4" t="n">
        <v>0.03</v>
      </c>
      <c r="T28" s="4" t="n">
        <v>0</v>
      </c>
      <c r="U28" s="16" t="n">
        <v>1.03282950550985</v>
      </c>
      <c r="V28" s="16" t="n">
        <v>0.9507042253521123</v>
      </c>
      <c r="W28" s="4" t="n">
        <v>0.09114019866178236</v>
      </c>
      <c r="X28" s="4" t="n">
        <v>-0.05737199259716219</v>
      </c>
      <c r="Y28" s="4" t="n">
        <v>-0.001532686084142365</v>
      </c>
      <c r="Z28" s="4" t="n">
        <v>-0.0002645426865740541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HEMI_USDT_PERP</t>
        </is>
      </c>
      <c r="C29" s="2" t="inlineStr">
        <is>
          <t>做空</t>
        </is>
      </c>
      <c r="D29" s="7" t="n">
        <v>46268.125</v>
      </c>
      <c r="E29" s="17" t="n">
        <v>0.01431</v>
      </c>
      <c r="F29" s="17" t="n">
        <v>0.0138807</v>
      </c>
      <c r="G29" s="17" t="n">
        <v>0.0150255</v>
      </c>
      <c r="H29" s="7" t="n">
        <v>46268.16666666666</v>
      </c>
      <c r="I29" s="17" t="n">
        <v>0.0138807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-0.05106100795755963</v>
      </c>
      <c r="O29" s="4" t="n">
        <v>0.08277217882399768</v>
      </c>
      <c r="P29" s="4" t="n">
        <v>-0.02437361513550362</v>
      </c>
      <c r="Q29" s="19" t="n">
        <v>-2655675</v>
      </c>
      <c r="R29" s="19" t="n">
        <v>1858306.46737</v>
      </c>
      <c r="S29" s="4" t="n">
        <v>0.03</v>
      </c>
      <c r="T29" s="4" t="n">
        <v>0</v>
      </c>
      <c r="U29" s="16" t="n">
        <v>0.4579468997457073</v>
      </c>
      <c r="V29" s="16" t="n">
        <v>0.857142857142857</v>
      </c>
      <c r="W29" s="4" t="n">
        <v>-0.01720216093261295</v>
      </c>
      <c r="X29" s="4" t="n">
        <v>0.07077922077922083</v>
      </c>
      <c r="Y29" s="4" t="n">
        <v>0.0001176470588235556</v>
      </c>
      <c r="Z29" s="4" t="n">
        <v>-0.00227258192404145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MARSCOIN_USDT_PERP</t>
        </is>
      </c>
      <c r="C30" s="2" t="inlineStr">
        <is>
          <t>做空</t>
        </is>
      </c>
      <c r="D30" s="7" t="n">
        <v>46268.25</v>
      </c>
      <c r="E30" s="17" t="n">
        <v>0.06269</v>
      </c>
      <c r="F30" s="17" t="n">
        <v>0.0608093</v>
      </c>
      <c r="G30" s="17" t="n">
        <v>0.06582449999999999</v>
      </c>
      <c r="H30" s="7" t="n">
        <v>46268.375</v>
      </c>
      <c r="I30" s="17" t="n">
        <v>0.0608093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-0.05173196188171236</v>
      </c>
      <c r="O30" s="4" t="n">
        <v>0.08771257361820139</v>
      </c>
      <c r="P30" s="4" t="n">
        <v>-0.03376207026764588</v>
      </c>
      <c r="Q30" s="19" t="n">
        <v>-3762358</v>
      </c>
      <c r="R30" s="19" t="n">
        <v>1201508.19612</v>
      </c>
      <c r="S30" s="4" t="n">
        <v>0.03</v>
      </c>
      <c r="T30" s="4" t="n">
        <v>0.01595150741745099</v>
      </c>
      <c r="U30" s="16" t="n">
        <v>2.080518871091662</v>
      </c>
      <c r="V30" s="16" t="n">
        <v>0.8902439024390246</v>
      </c>
      <c r="W30" s="4" t="n"/>
      <c r="X30" s="4" t="n">
        <v>0.08321146534074297</v>
      </c>
      <c r="Y30" s="4" t="n">
        <v>0.001451572040886862</v>
      </c>
      <c r="Z30" s="4" t="n">
        <v>-0.0008891800277961437</v>
      </c>
      <c r="AA30" s="4" t="n">
        <v>0.03</v>
      </c>
      <c r="AB30" s="4" t="n">
        <v>0.05</v>
      </c>
      <c r="AC30" s="4">
        <f>(AB30+2*參數!$B$7)/(AA30+AB30)</f>
        <v/>
      </c>
    </row>
    <row r="31">
      <c r="A31" s="2" t="n">
        <v>30</v>
      </c>
      <c r="B31" s="2" t="inlineStr">
        <is>
          <t>MAGMA_USDT_PERP</t>
        </is>
      </c>
      <c r="C31" s="2" t="inlineStr">
        <is>
          <t>做空</t>
        </is>
      </c>
      <c r="D31" s="7" t="n">
        <v>46268.29166666666</v>
      </c>
      <c r="E31" s="17" t="n">
        <v>0.51536</v>
      </c>
      <c r="F31" s="17" t="n">
        <v>0.4998992</v>
      </c>
      <c r="G31" s="17" t="n">
        <v>0.5411280000000001</v>
      </c>
      <c r="H31" s="7" t="n">
        <v>46268.33333333334</v>
      </c>
      <c r="I31" s="17" t="n">
        <v>0.4998992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-0.0571878087153781</v>
      </c>
      <c r="O31" s="4" t="n">
        <v>0.07037387493713215</v>
      </c>
      <c r="P31" s="4" t="n">
        <v>-0.02466812201868107</v>
      </c>
      <c r="Q31" s="19" t="n">
        <v>-428420</v>
      </c>
      <c r="R31" s="19" t="n">
        <v>3198859.6078</v>
      </c>
      <c r="S31" s="4" t="n">
        <v>0.03</v>
      </c>
      <c r="T31" s="4" t="n">
        <v>0</v>
      </c>
      <c r="U31" s="16" t="n">
        <v>0.9850008513716346</v>
      </c>
      <c r="V31" s="16" t="n">
        <v>0.70990056204064</v>
      </c>
      <c r="W31" s="4" t="n">
        <v>-0.1852007212945403</v>
      </c>
      <c r="X31" s="4" t="n">
        <v>-0.1180145782714337</v>
      </c>
      <c r="Y31" s="4" t="n">
        <v>0.003309942383443398</v>
      </c>
      <c r="Z31" s="4" t="n">
        <v>0.002227533989185626</v>
      </c>
      <c r="AA31" s="4" t="n">
        <v>0.03</v>
      </c>
      <c r="AB31" s="4" t="n">
        <v>0.05</v>
      </c>
      <c r="AC31" s="4">
        <f>(AB31+2*參數!$B$7)/(AA31+AB31)</f>
        <v/>
      </c>
    </row>
    <row r="32">
      <c r="A32" s="2" t="n">
        <v>31</v>
      </c>
      <c r="B32" s="2" t="inlineStr">
        <is>
          <t>LIT_USDT_PERP</t>
        </is>
      </c>
      <c r="C32" s="2" t="inlineStr">
        <is>
          <t>做多</t>
        </is>
      </c>
      <c r="D32" s="7" t="n">
        <v>46268.33333333334</v>
      </c>
      <c r="E32" s="17" t="n">
        <v>3.783</v>
      </c>
      <c r="F32" s="17" t="n">
        <v>3.89649</v>
      </c>
      <c r="G32" s="17" t="n">
        <v>3.59385</v>
      </c>
      <c r="H32" s="7" t="n">
        <v>46268.375</v>
      </c>
      <c r="I32" s="17" t="n">
        <v>3.89649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0.0249254944459496</v>
      </c>
      <c r="O32" s="4" t="n">
        <v>0.0234093215412947</v>
      </c>
      <c r="P32" s="4" t="n">
        <v>0.04187609303350359</v>
      </c>
      <c r="Q32" s="19" t="n">
        <v>194510.6000000001</v>
      </c>
      <c r="R32" s="19" t="n">
        <v>2112813.9268</v>
      </c>
      <c r="S32" s="4" t="n">
        <v>0.03</v>
      </c>
      <c r="T32" s="4" t="n">
        <v>0</v>
      </c>
      <c r="U32" s="16" t="n">
        <v>0.9553524247338154</v>
      </c>
      <c r="V32" s="16" t="n">
        <v>0.7539682539682526</v>
      </c>
      <c r="W32" s="4" t="n">
        <v>0.0473102978591462</v>
      </c>
      <c r="X32" s="4" t="n">
        <v>0.07624466571834976</v>
      </c>
      <c r="Y32" s="4" t="n">
        <v>0.003943041492849186</v>
      </c>
      <c r="Z32" s="4" t="n">
        <v>0.001858817485171027</v>
      </c>
      <c r="AA32" s="4" t="n">
        <v>0.03</v>
      </c>
      <c r="AB32" s="4" t="n">
        <v>0.05</v>
      </c>
      <c r="AC32" s="4">
        <f>(AB32+2*參數!$B$7)/(AA32+AB32)</f>
        <v/>
      </c>
    </row>
    <row r="33">
      <c r="A33" s="2" t="n">
        <v>32</v>
      </c>
      <c r="B33" s="2" t="inlineStr">
        <is>
          <t>SKR_USDT_PERP</t>
        </is>
      </c>
      <c r="C33" s="2" t="inlineStr">
        <is>
          <t>做空</t>
        </is>
      </c>
      <c r="D33" s="7" t="n">
        <v>46268.41666666666</v>
      </c>
      <c r="E33" s="17" t="n">
        <v>0.022336</v>
      </c>
      <c r="F33" s="17" t="n">
        <v>0.02166592</v>
      </c>
      <c r="G33" s="17" t="n">
        <v>0.0234528</v>
      </c>
      <c r="H33" s="7" t="n">
        <v>46268.45833333334</v>
      </c>
      <c r="I33" s="17" t="n">
        <v>0.02166592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-0.02671140354699542</v>
      </c>
      <c r="O33" s="4" t="n">
        <v>0.06755064789247694</v>
      </c>
      <c r="P33" s="4" t="n">
        <v>-0.0122605109836047</v>
      </c>
      <c r="Q33" s="19" t="n">
        <v>-25430815</v>
      </c>
      <c r="R33" s="19" t="n">
        <v>1993873.877972</v>
      </c>
      <c r="S33" s="4" t="n">
        <v>0.03</v>
      </c>
      <c r="T33" s="4" t="n">
        <v>0</v>
      </c>
      <c r="U33" s="16" t="n">
        <v>1.25061882633497</v>
      </c>
      <c r="V33" s="16" t="n">
        <v>0.7097324985771198</v>
      </c>
      <c r="W33" s="4" t="n">
        <v>0.01771378336314278</v>
      </c>
      <c r="X33" s="4" t="n">
        <v>-0.07825247405261893</v>
      </c>
      <c r="Y33" s="4" t="n">
        <v>-0.00384290315754221</v>
      </c>
      <c r="Z33" s="4" t="n">
        <v>-0.002650983415841468</v>
      </c>
      <c r="AA33" s="4" t="n">
        <v>0.03</v>
      </c>
      <c r="AB33" s="4" t="n">
        <v>0.05</v>
      </c>
      <c r="AC33" s="4">
        <f>(AB33+2*參數!$B$7)/(AA33+AB33)</f>
        <v/>
      </c>
    </row>
    <row r="34">
      <c r="A34" s="2" t="n">
        <v>33</v>
      </c>
      <c r="B34" s="2" t="inlineStr">
        <is>
          <t>HEMI_USDT_PERP</t>
        </is>
      </c>
      <c r="C34" s="2" t="inlineStr">
        <is>
          <t>做多</t>
        </is>
      </c>
      <c r="D34" s="7" t="n">
        <v>46268.75</v>
      </c>
      <c r="E34" s="17" t="n">
        <v>0.01608</v>
      </c>
      <c r="F34" s="17" t="n">
        <v>0.0165624</v>
      </c>
      <c r="G34" s="17" t="n">
        <v>0.015276</v>
      </c>
      <c r="H34" s="7" t="n">
        <v>46268.79166666666</v>
      </c>
      <c r="I34" s="17" t="n">
        <v>0.0165624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0.02095238095238106</v>
      </c>
      <c r="O34" s="4" t="n">
        <v>0.1058555137760409</v>
      </c>
      <c r="P34" s="4" t="n">
        <v>0.005125640705088141</v>
      </c>
      <c r="Q34" s="19" t="n">
        <v>3899446</v>
      </c>
      <c r="R34" s="19" t="n">
        <v>1802329.99498</v>
      </c>
      <c r="S34" s="4" t="n">
        <v>0.03</v>
      </c>
      <c r="T34" s="4" t="n">
        <v>0</v>
      </c>
      <c r="U34" s="16" t="n">
        <v>0.6606785029846948</v>
      </c>
      <c r="V34" s="16" t="n">
        <v>0.7127659574468092</v>
      </c>
      <c r="W34" s="4" t="n">
        <v>0.08479332933057182</v>
      </c>
      <c r="X34" s="4" t="n">
        <v>0.1082012405237767</v>
      </c>
      <c r="Y34" s="4" t="n">
        <v>-0.002948298109696323</v>
      </c>
      <c r="Z34" s="4" t="n">
        <v>0.002021526525706197</v>
      </c>
      <c r="AA34" s="4" t="n">
        <v>0.03</v>
      </c>
      <c r="AB34" s="4" t="n">
        <v>0.05</v>
      </c>
      <c r="AC34" s="4">
        <f>(AB34+2*參數!$B$7)/(AA34+AB34)</f>
        <v/>
      </c>
    </row>
    <row r="35">
      <c r="A35" s="2" t="n">
        <v>34</v>
      </c>
      <c r="B35" s="2" t="inlineStr">
        <is>
          <t>LIT_USDT_PERP</t>
        </is>
      </c>
      <c r="C35" s="2" t="inlineStr">
        <is>
          <t>做多</t>
        </is>
      </c>
      <c r="D35" s="7" t="n">
        <v>46268.83333333334</v>
      </c>
      <c r="E35" s="17" t="n">
        <v>3.935</v>
      </c>
      <c r="F35" s="17" t="n">
        <v>4.05305</v>
      </c>
      <c r="G35" s="17" t="n">
        <v>3.73825</v>
      </c>
      <c r="H35" s="7" t="n">
        <v>46269</v>
      </c>
      <c r="I35" s="17" t="n">
        <v>4.05305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0.02687891440501056</v>
      </c>
      <c r="O35" s="4" t="n">
        <v>0.02306251219903957</v>
      </c>
      <c r="P35" s="4" t="n">
        <v>0.02953873525025497</v>
      </c>
      <c r="Q35" s="19" t="n">
        <v>72287.39999999991</v>
      </c>
      <c r="R35" s="19" t="n">
        <v>2586180.5533</v>
      </c>
      <c r="S35" s="4" t="n">
        <v>0.03</v>
      </c>
      <c r="T35" s="4" t="n">
        <v>0.008894536213468918</v>
      </c>
      <c r="U35" s="16" t="n">
        <v>1.082972593637594</v>
      </c>
      <c r="V35" s="16" t="n">
        <v>0.8425196850393702</v>
      </c>
      <c r="W35" s="4" t="n">
        <v>0.0758567893808697</v>
      </c>
      <c r="X35" s="4" t="n">
        <v>0.09032973122748689</v>
      </c>
      <c r="Y35" s="4" t="n">
        <v>0.002607229721904192</v>
      </c>
      <c r="Z35" s="4" t="n">
        <v>0.005430202705370979</v>
      </c>
      <c r="AA35" s="4" t="n">
        <v>0.03</v>
      </c>
      <c r="AB35" s="4" t="n">
        <v>0.05</v>
      </c>
      <c r="AC35" s="4">
        <f>(AB35+2*參數!$B$7)/(AA35+AB35)</f>
        <v/>
      </c>
    </row>
    <row r="36">
      <c r="A36" s="2" t="n">
        <v>35</v>
      </c>
      <c r="B36" s="2" t="inlineStr">
        <is>
          <t>BTR_USDT_PERP</t>
        </is>
      </c>
      <c r="C36" s="2" t="inlineStr">
        <is>
          <t>做多</t>
        </is>
      </c>
      <c r="D36" s="7" t="n">
        <v>46268.91666666666</v>
      </c>
      <c r="E36" s="17" t="n">
        <v>0.04945</v>
      </c>
      <c r="F36" s="17" t="n">
        <v>0.0509335</v>
      </c>
      <c r="G36" s="17" t="n">
        <v>0.0469775</v>
      </c>
      <c r="H36" s="7" t="n">
        <v>46269</v>
      </c>
      <c r="I36" s="17" t="n">
        <v>0.0469775</v>
      </c>
      <c r="J36" s="2" t="inlineStr">
        <is>
          <t>止損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0.03300605807395018</v>
      </c>
      <c r="O36" s="4" t="n">
        <v>0.1032273896946923</v>
      </c>
      <c r="P36" s="4" t="n">
        <v>0.04905860514452409</v>
      </c>
      <c r="Q36" s="19" t="n">
        <v>1986953</v>
      </c>
      <c r="R36" s="19" t="n">
        <v>4007565.20066</v>
      </c>
      <c r="S36" s="4" t="n">
        <v>0</v>
      </c>
      <c r="T36" s="4" t="n">
        <v>0.05</v>
      </c>
      <c r="U36" s="16" t="n">
        <v>0.5232849663588574</v>
      </c>
      <c r="V36" s="16" t="n">
        <v>0.8995633187772921</v>
      </c>
      <c r="W36" s="4" t="n">
        <v>-0.5047080281369911</v>
      </c>
      <c r="X36" s="4" t="n">
        <v>-0.03020200039223375</v>
      </c>
      <c r="Y36" s="4" t="n">
        <v>0.002432173895345224</v>
      </c>
      <c r="Z36" s="4" t="n">
        <v>0.01505005823360883</v>
      </c>
      <c r="AA36" s="4" t="n">
        <v>0.03</v>
      </c>
      <c r="AB36" s="4" t="n">
        <v>0.05</v>
      </c>
      <c r="AC36" s="4">
        <f>(AB36+2*參數!$B$7)/(AA36+AB36)</f>
        <v/>
      </c>
    </row>
    <row r="37">
      <c r="A37" s="2" t="n">
        <v>36</v>
      </c>
      <c r="B37" s="2" t="inlineStr">
        <is>
          <t>HEMI_USDT_PERP</t>
        </is>
      </c>
      <c r="C37" s="2" t="inlineStr">
        <is>
          <t>做多</t>
        </is>
      </c>
      <c r="D37" s="7" t="n">
        <v>46269</v>
      </c>
      <c r="E37" s="17" t="n">
        <v>0.01679</v>
      </c>
      <c r="F37" s="17" t="n">
        <v>0.0172937</v>
      </c>
      <c r="G37" s="17" t="n">
        <v>0.0159505</v>
      </c>
      <c r="H37" s="7" t="n">
        <v>46269.04166666666</v>
      </c>
      <c r="I37" s="17" t="n">
        <v>0.0159505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0.04806491885143571</v>
      </c>
      <c r="O37" s="4" t="n">
        <v>0.08126427280690032</v>
      </c>
      <c r="P37" s="4" t="n">
        <v>0.01776080499484745</v>
      </c>
      <c r="Q37" s="19" t="n">
        <v>10234301</v>
      </c>
      <c r="R37" s="19" t="n">
        <v>1785837.04738</v>
      </c>
      <c r="S37" s="4" t="n">
        <v>0</v>
      </c>
      <c r="T37" s="4" t="n">
        <v>0.05</v>
      </c>
      <c r="U37" s="16" t="n">
        <v>0.6681337820991659</v>
      </c>
      <c r="V37" s="16" t="n">
        <v>0.7475728155339807</v>
      </c>
      <c r="W37" s="4" t="n">
        <v>0.1115230314986693</v>
      </c>
      <c r="X37" s="4" t="n">
        <v>0.2035842293906809</v>
      </c>
      <c r="Y37" s="4" t="n">
        <v>0.010039946142266</v>
      </c>
      <c r="Z37" s="4" t="n">
        <v>0.04259470966847734</v>
      </c>
      <c r="AA37" s="4" t="n">
        <v>0.03</v>
      </c>
      <c r="AB37" s="4" t="n">
        <v>0.05</v>
      </c>
      <c r="AC37" s="4">
        <f>(AB37+2*參數!$B$7)/(AA37+AB37)</f>
        <v/>
      </c>
    </row>
    <row r="38">
      <c r="A38" s="2" t="n">
        <v>37</v>
      </c>
      <c r="B38" s="2" t="inlineStr">
        <is>
          <t>UNI_USDT_PERP</t>
        </is>
      </c>
      <c r="C38" s="2" t="inlineStr">
        <is>
          <t>做多</t>
        </is>
      </c>
      <c r="D38" s="7" t="n">
        <v>46269.125</v>
      </c>
      <c r="E38" s="17" t="n">
        <v>6.266</v>
      </c>
      <c r="F38" s="17" t="n">
        <v>6.45398</v>
      </c>
      <c r="G38" s="17" t="n">
        <v>5.9527</v>
      </c>
      <c r="H38" s="7" t="n">
        <v>46269.25</v>
      </c>
      <c r="I38" s="17" t="n">
        <v>6.45398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0.02235274922499597</v>
      </c>
      <c r="O38" s="4" t="n">
        <v>0.0229042598215115</v>
      </c>
      <c r="P38" s="4" t="n">
        <v>0.05165107204296548</v>
      </c>
      <c r="Q38" s="19" t="n">
        <v>131264</v>
      </c>
      <c r="R38" s="19" t="n">
        <v>4774839.972</v>
      </c>
      <c r="S38" s="4" t="n">
        <v>0.03</v>
      </c>
      <c r="T38" s="4" t="n">
        <v>0.01244813278008305</v>
      </c>
      <c r="U38" s="16" t="n">
        <v>0.7356997057201177</v>
      </c>
      <c r="V38" s="16" t="n">
        <v>0.8663101604278057</v>
      </c>
      <c r="W38" s="4" t="n">
        <v>0.1132885720021959</v>
      </c>
      <c r="X38" s="4" t="n">
        <v>0.08127696289905084</v>
      </c>
      <c r="Y38" s="4" t="n">
        <v>0.002713349109767282</v>
      </c>
      <c r="Z38" s="4" t="n">
        <v>0.03378099026955317</v>
      </c>
      <c r="AA38" s="4" t="n">
        <v>0.03</v>
      </c>
      <c r="AB38" s="4" t="n">
        <v>0.05</v>
      </c>
      <c r="AC38" s="4">
        <f>(AB38+2*參數!$B$7)/(AA38+AB38)</f>
        <v/>
      </c>
    </row>
    <row r="39">
      <c r="A39" s="2" t="n">
        <v>38</v>
      </c>
      <c r="B39" s="2" t="inlineStr">
        <is>
          <t>PUMP_USDT_PERP</t>
        </is>
      </c>
      <c r="C39" s="2" t="inlineStr">
        <is>
          <t>做空</t>
        </is>
      </c>
      <c r="D39" s="7" t="n">
        <v>46269.29166666666</v>
      </c>
      <c r="E39" s="17" t="n">
        <v>0.004273</v>
      </c>
      <c r="F39" s="17" t="n">
        <v>0.00414481</v>
      </c>
      <c r="G39" s="17" t="n">
        <v>0.00448665</v>
      </c>
      <c r="H39" s="7" t="n">
        <v>46269.375</v>
      </c>
      <c r="I39" s="17" t="n">
        <v>0.00414481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-0.02554161915621445</v>
      </c>
      <c r="O39" s="4" t="n">
        <v>0.0202827757475155</v>
      </c>
      <c r="P39" s="4" t="n">
        <v>-0.02323614460585421</v>
      </c>
      <c r="Q39" s="19" t="n">
        <v>-20645662</v>
      </c>
      <c r="R39" s="19" t="n">
        <v>8456282.635321001</v>
      </c>
      <c r="S39" s="4" t="n">
        <v>0.03</v>
      </c>
      <c r="T39" s="4" t="n">
        <v>0.01404165691551618</v>
      </c>
      <c r="U39" s="16" t="n">
        <v>0.5760907647352584</v>
      </c>
      <c r="V39" s="16" t="n">
        <v>0.836879432624116</v>
      </c>
      <c r="W39" s="4" t="n">
        <v>0.01576662175079757</v>
      </c>
      <c r="X39" s="4" t="n">
        <v>-0.06425902864259014</v>
      </c>
      <c r="Y39" s="4" t="n">
        <v>0.005367463386100502</v>
      </c>
      <c r="Z39" s="4" t="n">
        <v>-0.02165035885334721</v>
      </c>
      <c r="AA39" s="4" t="n">
        <v>0.03</v>
      </c>
      <c r="AB39" s="4" t="n">
        <v>0.05</v>
      </c>
      <c r="AC39" s="4">
        <f>(AB39+2*參數!$B$7)/(AA39+AB39)</f>
        <v/>
      </c>
    </row>
    <row r="40">
      <c r="A40" s="2" t="n">
        <v>39</v>
      </c>
      <c r="B40" s="2" t="inlineStr">
        <is>
          <t>TRUMP_USDT_PERP</t>
        </is>
      </c>
      <c r="C40" s="2" t="inlineStr">
        <is>
          <t>做空</t>
        </is>
      </c>
      <c r="D40" s="7" t="n">
        <v>46269.375</v>
      </c>
      <c r="E40" s="17" t="n">
        <v>2.334</v>
      </c>
      <c r="F40" s="17" t="n">
        <v>2.26398</v>
      </c>
      <c r="G40" s="17" t="n">
        <v>2.4507</v>
      </c>
      <c r="H40" s="7" t="n">
        <v>46269.875</v>
      </c>
      <c r="I40" s="17" t="n">
        <v>2.26398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-0.02179379715004193</v>
      </c>
      <c r="O40" s="4" t="n">
        <v>0.02290036144336417</v>
      </c>
      <c r="P40" s="4" t="n">
        <v>-0.004775712092785267</v>
      </c>
      <c r="Q40" s="19" t="n">
        <v>-77474.39999999991</v>
      </c>
      <c r="R40" s="19" t="n">
        <v>1531665.9201</v>
      </c>
      <c r="S40" s="4" t="n">
        <v>0.03</v>
      </c>
      <c r="T40" s="4" t="n">
        <v>0.04841473864610113</v>
      </c>
      <c r="U40" s="16" t="n">
        <v>1.121029757953661</v>
      </c>
      <c r="V40" s="16" t="n">
        <v>0.9636363636363596</v>
      </c>
      <c r="W40" s="4" t="n">
        <v>-0.005016470385600824</v>
      </c>
      <c r="X40" s="4" t="n">
        <v>-0.06819221967963385</v>
      </c>
      <c r="Y40" s="4" t="n">
        <v>0.003616859143156459</v>
      </c>
      <c r="Z40" s="4" t="n">
        <v>-0.01516165757890353</v>
      </c>
      <c r="AA40" s="4" t="n">
        <v>0.03</v>
      </c>
      <c r="AB40" s="4" t="n">
        <v>0.05</v>
      </c>
      <c r="AC40" s="4">
        <f>(AB40+2*參數!$B$7)/(AA40+AB40)</f>
        <v/>
      </c>
    </row>
    <row r="41">
      <c r="A41" s="2" t="n">
        <v>40</v>
      </c>
      <c r="B41" s="2" t="inlineStr">
        <is>
          <t>UAI_USDT_PERP</t>
        </is>
      </c>
      <c r="C41" s="2" t="inlineStr">
        <is>
          <t>做多</t>
        </is>
      </c>
      <c r="D41" s="7" t="n">
        <v>46269.58333333334</v>
      </c>
      <c r="E41" s="17" t="n">
        <v>0.3675</v>
      </c>
      <c r="F41" s="17" t="n">
        <v>0.378525</v>
      </c>
      <c r="G41" s="17" t="n">
        <v>0.349125</v>
      </c>
      <c r="H41" s="7" t="n">
        <v>46269.625</v>
      </c>
      <c r="I41" s="17" t="n">
        <v>0.378525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0.03637901861252102</v>
      </c>
      <c r="O41" s="4" t="n">
        <v>0.05208441623441524</v>
      </c>
      <c r="P41" s="4" t="n">
        <v>0.02062070401999572</v>
      </c>
      <c r="Q41" s="19" t="n">
        <v>4726</v>
      </c>
      <c r="R41" s="19" t="n">
        <v>1540599.185</v>
      </c>
      <c r="S41" s="4" t="n">
        <v>0.03</v>
      </c>
      <c r="T41" s="4" t="n">
        <v>0</v>
      </c>
      <c r="U41" s="16" t="n">
        <v>0.3654697253375122</v>
      </c>
      <c r="V41" s="16" t="n">
        <v>0.7526881720430112</v>
      </c>
      <c r="W41" s="4" t="n">
        <v>-0.1460617763309239</v>
      </c>
      <c r="X41" s="4" t="n">
        <v>-0.02078337330135904</v>
      </c>
      <c r="Y41" s="4" t="n">
        <v>-0.001082176297254156</v>
      </c>
      <c r="Z41" s="4" t="n">
        <v>0.005300033243958335</v>
      </c>
      <c r="AA41" s="4" t="n">
        <v>0.03</v>
      </c>
      <c r="AB41" s="4" t="n">
        <v>0.05</v>
      </c>
      <c r="AC41" s="4">
        <f>(AB41+2*參數!$B$7)/(AA41+AB41)</f>
        <v/>
      </c>
    </row>
    <row r="42">
      <c r="A42" s="2" t="n">
        <v>41</v>
      </c>
      <c r="B42" s="2" t="inlineStr">
        <is>
          <t>CHIP_USDT_PERP</t>
        </is>
      </c>
      <c r="C42" s="2" t="inlineStr">
        <is>
          <t>做空</t>
        </is>
      </c>
      <c r="D42" s="7" t="n">
        <v>46269.625</v>
      </c>
      <c r="E42" s="17" t="n">
        <v>0.0548</v>
      </c>
      <c r="F42" s="17" t="n">
        <v>0.053156</v>
      </c>
      <c r="G42" s="17" t="n">
        <v>0.05754</v>
      </c>
      <c r="H42" s="7" t="n">
        <v>46269.75</v>
      </c>
      <c r="I42" s="17" t="n">
        <v>0.05754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-0.07338518769022651</v>
      </c>
      <c r="O42" s="4" t="n">
        <v>0.05464701465444979</v>
      </c>
      <c r="P42" s="4" t="n">
        <v>-0.02796377923425553</v>
      </c>
      <c r="Q42" s="19" t="n">
        <v>-1211245</v>
      </c>
      <c r="R42" s="19" t="n">
        <v>1458633.77091</v>
      </c>
      <c r="S42" s="4" t="n">
        <v>0.018065693430657</v>
      </c>
      <c r="T42" s="4" t="n">
        <v>0.05</v>
      </c>
      <c r="U42" s="16" t="n">
        <v>1.556560758762703</v>
      </c>
      <c r="V42" s="16" t="n">
        <v>0.9412955465587047</v>
      </c>
      <c r="W42" s="4" t="n">
        <v>-0.2208896899430328</v>
      </c>
      <c r="X42" s="4" t="n">
        <v>-0.1583174804481082</v>
      </c>
      <c r="Y42" s="4" t="n">
        <v>0.002333461391652136</v>
      </c>
      <c r="Z42" s="4" t="n">
        <v>-0.001054180933641069</v>
      </c>
      <c r="AA42" s="4" t="n">
        <v>0.03</v>
      </c>
      <c r="AB42" s="4" t="n">
        <v>0.05</v>
      </c>
      <c r="AC42" s="4">
        <f>(AB42+2*參數!$B$7)/(AA42+AB42)</f>
        <v/>
      </c>
    </row>
    <row r="43">
      <c r="A43" s="2" t="n">
        <v>42</v>
      </c>
      <c r="B43" s="2" t="inlineStr">
        <is>
          <t>PONS_USDT_PERP</t>
        </is>
      </c>
      <c r="C43" s="2" t="inlineStr">
        <is>
          <t>做多</t>
        </is>
      </c>
      <c r="D43" s="7" t="n">
        <v>46269.66666666666</v>
      </c>
      <c r="E43" s="17" t="n">
        <v>0.6479</v>
      </c>
      <c r="F43" s="17" t="n">
        <v>0.6673370000000001</v>
      </c>
      <c r="G43" s="17" t="n">
        <v>0.615505</v>
      </c>
      <c r="H43" s="7" t="n">
        <v>46269.70833333334</v>
      </c>
      <c r="I43" s="17" t="n">
        <v>0.6673370000000001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0.03300382653061229</v>
      </c>
      <c r="O43" s="4" t="n">
        <v>0.06228210262287198</v>
      </c>
      <c r="P43" s="4" t="n">
        <v>0.02939307276771519</v>
      </c>
      <c r="Q43" s="19" t="n">
        <v>1552204</v>
      </c>
      <c r="R43" s="19" t="n">
        <v>8431855.6786</v>
      </c>
      <c r="S43" s="4" t="n">
        <v>0.03</v>
      </c>
      <c r="T43" s="4" t="n">
        <v>0</v>
      </c>
      <c r="U43" s="16" t="n">
        <v>0.8339566738177931</v>
      </c>
      <c r="V43" s="16" t="n">
        <v>0.7368421052631576</v>
      </c>
      <c r="W43" s="4" t="n"/>
      <c r="X43" s="4" t="n">
        <v>0.3219751071209958</v>
      </c>
      <c r="Y43" s="4" t="n">
        <v>-0.001681446390585872</v>
      </c>
      <c r="Z43" s="4" t="n">
        <v>-0.002309852901707043</v>
      </c>
      <c r="AA43" s="4" t="n">
        <v>0.03</v>
      </c>
      <c r="AB43" s="4" t="n">
        <v>0.05</v>
      </c>
      <c r="AC43" s="4">
        <f>(AB43+2*參數!$B$7)/(AA43+AB43)</f>
        <v/>
      </c>
    </row>
    <row r="44">
      <c r="A44" s="2" t="n">
        <v>43</v>
      </c>
      <c r="B44" s="2" t="inlineStr">
        <is>
          <t>UAI_USDT_PERP</t>
        </is>
      </c>
      <c r="C44" s="2" t="inlineStr">
        <is>
          <t>做空</t>
        </is>
      </c>
      <c r="D44" s="7" t="n">
        <v>46269.66666666666</v>
      </c>
      <c r="E44" s="17" t="n">
        <v>0.3446</v>
      </c>
      <c r="F44" s="17" t="n">
        <v>0.334262</v>
      </c>
      <c r="G44" s="17" t="n">
        <v>0.36183</v>
      </c>
      <c r="H44" s="7" t="n">
        <v>46269.70833333334</v>
      </c>
      <c r="I44" s="17" t="n">
        <v>0.36183</v>
      </c>
      <c r="J44" s="2" t="inlineStr">
        <is>
          <t>止損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-0.08691043985161628</v>
      </c>
      <c r="O44" s="4" t="n">
        <v>0.06433121041371456</v>
      </c>
      <c r="P44" s="4" t="n">
        <v>-0.0358411907892896</v>
      </c>
      <c r="Q44" s="19" t="n">
        <v>-292527</v>
      </c>
      <c r="R44" s="19" t="n">
        <v>1296885.2537</v>
      </c>
      <c r="S44" s="4" t="n">
        <v>0</v>
      </c>
      <c r="T44" s="4" t="n">
        <v>0.05</v>
      </c>
      <c r="U44" s="16" t="n">
        <v>3.488179702462242</v>
      </c>
      <c r="V44" s="16" t="n">
        <v>0.6468531468531468</v>
      </c>
      <c r="W44" s="4" t="n">
        <v>0.1984107784208274</v>
      </c>
      <c r="X44" s="4" t="n">
        <v>0.07983978638184241</v>
      </c>
      <c r="Y44" s="4" t="n">
        <v>0.001681446390585872</v>
      </c>
      <c r="Z44" s="4" t="n">
        <v>0.002309852901707043</v>
      </c>
      <c r="AA44" s="4" t="n">
        <v>0.03</v>
      </c>
      <c r="AB44" s="4" t="n">
        <v>0.05</v>
      </c>
      <c r="AC44" s="4">
        <f>(AB44+2*參數!$B$7)/(AA44+AB44)</f>
        <v/>
      </c>
    </row>
    <row r="45">
      <c r="A45" s="2" t="n">
        <v>44</v>
      </c>
      <c r="B45" s="2" t="inlineStr">
        <is>
          <t>BULLA_USDT_PERP</t>
        </is>
      </c>
      <c r="C45" s="2" t="inlineStr">
        <is>
          <t>做多</t>
        </is>
      </c>
      <c r="D45" s="7" t="n">
        <v>46269.70833333334</v>
      </c>
      <c r="E45" s="17" t="n">
        <v>0.03347</v>
      </c>
      <c r="F45" s="17" t="n">
        <v>0.0344741</v>
      </c>
      <c r="G45" s="17" t="n">
        <v>0.0317965</v>
      </c>
      <c r="H45" s="7" t="n">
        <v>46269.75</v>
      </c>
      <c r="I45" s="17" t="n">
        <v>0.0344741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0.07378889958293233</v>
      </c>
      <c r="O45" s="4" t="n">
        <v>0.1042549099124499</v>
      </c>
      <c r="P45" s="4" t="n">
        <v>0.01840864141183629</v>
      </c>
      <c r="Q45" s="19" t="n">
        <v>13823348</v>
      </c>
      <c r="R45" s="19" t="n">
        <v>3040756.21394</v>
      </c>
      <c r="S45" s="4" t="n">
        <v>0.03</v>
      </c>
      <c r="T45" s="4" t="n">
        <v>0</v>
      </c>
      <c r="U45" s="16" t="n">
        <v>1.228717919642171</v>
      </c>
      <c r="V45" s="16" t="n">
        <v>0.4494382022471911</v>
      </c>
      <c r="W45" s="4" t="n">
        <v>0.5172532593519372</v>
      </c>
      <c r="X45" s="4" t="n">
        <v>0.2118030412744389</v>
      </c>
      <c r="Y45" s="4" t="n">
        <v>0.006022721635164041</v>
      </c>
      <c r="Z45" s="4" t="n">
        <v>0.00214838921463878</v>
      </c>
      <c r="AA45" s="4" t="n">
        <v>0.03</v>
      </c>
      <c r="AB45" s="4" t="n">
        <v>0.05</v>
      </c>
      <c r="AC45" s="4">
        <f>(AB45+2*參數!$B$7)/(AA45+AB45)</f>
        <v/>
      </c>
    </row>
    <row r="46">
      <c r="A46" s="2" t="n">
        <v>45</v>
      </c>
      <c r="B46" s="2" t="inlineStr">
        <is>
          <t>UNI_USDT_PERP</t>
        </is>
      </c>
      <c r="C46" s="2" t="inlineStr">
        <is>
          <t>做多</t>
        </is>
      </c>
      <c r="D46" s="7" t="n">
        <v>46269.70833333334</v>
      </c>
      <c r="E46" s="17" t="n">
        <v>6.366</v>
      </c>
      <c r="F46" s="17" t="n">
        <v>6.55698</v>
      </c>
      <c r="G46" s="17" t="n">
        <v>6.047699999999999</v>
      </c>
      <c r="H46" s="7" t="n">
        <v>46269.91666666666</v>
      </c>
      <c r="I46" s="17" t="n">
        <v>6.047699999999999</v>
      </c>
      <c r="J46" s="2" t="inlineStr">
        <is>
          <t>止損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0.02199389950232766</v>
      </c>
      <c r="O46" s="4" t="n">
        <v>0.02481389236385636</v>
      </c>
      <c r="P46" s="4" t="n">
        <v>0.01375076636436745</v>
      </c>
      <c r="Q46" s="19" t="n">
        <v>107746</v>
      </c>
      <c r="R46" s="19" t="n">
        <v>5820666.546999999</v>
      </c>
      <c r="S46" s="4" t="n">
        <v>0.01586553565818405</v>
      </c>
      <c r="T46" s="4" t="n">
        <v>0.05</v>
      </c>
      <c r="U46" s="16" t="n">
        <v>0.7391591360381419</v>
      </c>
      <c r="V46" s="16" t="n">
        <v>0.8373493975903601</v>
      </c>
      <c r="W46" s="4" t="n">
        <v>0.1007137521786041</v>
      </c>
      <c r="X46" s="4" t="n">
        <v>0.09494324045407621</v>
      </c>
      <c r="Y46" s="4" t="n">
        <v>0.006022721635164041</v>
      </c>
      <c r="Z46" s="4" t="n">
        <v>0.00214838921463878</v>
      </c>
      <c r="AA46" s="4" t="n">
        <v>0.03</v>
      </c>
      <c r="AB46" s="4" t="n">
        <v>0.05</v>
      </c>
      <c r="AC46" s="4">
        <f>(AB46+2*參數!$B$7)/(AA46+AB46)</f>
        <v/>
      </c>
    </row>
    <row r="47">
      <c r="A47" s="2" t="n">
        <v>46</v>
      </c>
      <c r="B47" s="2" t="inlineStr">
        <is>
          <t>XPL_USDT_PERP</t>
        </is>
      </c>
      <c r="C47" s="2" t="inlineStr">
        <is>
          <t>做多</t>
        </is>
      </c>
      <c r="D47" s="7" t="n">
        <v>46269.70833333334</v>
      </c>
      <c r="E47" s="17" t="n">
        <v>0.096</v>
      </c>
      <c r="F47" s="17" t="n">
        <v>0.09888000000000001</v>
      </c>
      <c r="G47" s="17" t="n">
        <v>0.0912</v>
      </c>
      <c r="H47" s="7" t="n">
        <v>46269.83333333334</v>
      </c>
      <c r="I47" s="17" t="n">
        <v>0.09888000000000001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0.03004291845493556</v>
      </c>
      <c r="O47" s="4" t="n">
        <v>0.02190097557766144</v>
      </c>
      <c r="P47" s="4" t="n">
        <v>0.01281848393733198</v>
      </c>
      <c r="Q47" s="19" t="n">
        <v>2248906</v>
      </c>
      <c r="R47" s="19" t="n">
        <v>1369194.4473</v>
      </c>
      <c r="S47" s="4" t="n">
        <v>0.03</v>
      </c>
      <c r="T47" s="4" t="n">
        <v>0.007291666666666696</v>
      </c>
      <c r="U47" s="16" t="n">
        <v>1.172574097486803</v>
      </c>
      <c r="V47" s="16" t="n">
        <v>1</v>
      </c>
      <c r="W47" s="4" t="n">
        <v>0.1092367064913458</v>
      </c>
      <c r="X47" s="4" t="n">
        <v>0.08720271800679491</v>
      </c>
      <c r="Y47" s="4" t="n">
        <v>0.006022721635164041</v>
      </c>
      <c r="Z47" s="4" t="n">
        <v>0.00214838921463878</v>
      </c>
      <c r="AA47" s="4" t="n">
        <v>0.03</v>
      </c>
      <c r="AB47" s="4" t="n">
        <v>0.05</v>
      </c>
      <c r="AC47" s="4">
        <f>(AB47+2*參數!$B$7)/(AA47+AB47)</f>
        <v/>
      </c>
    </row>
    <row r="48">
      <c r="A48" s="2" t="n">
        <v>47</v>
      </c>
      <c r="B48" s="2" t="inlineStr">
        <is>
          <t>ARB_USDT_PERP</t>
        </is>
      </c>
      <c r="C48" s="2" t="inlineStr">
        <is>
          <t>做多</t>
        </is>
      </c>
      <c r="D48" s="7" t="n">
        <v>46269.75</v>
      </c>
      <c r="E48" s="17" t="n">
        <v>0.1404</v>
      </c>
      <c r="F48" s="17" t="n">
        <v>0.144612</v>
      </c>
      <c r="G48" s="17" t="n">
        <v>0.13338</v>
      </c>
      <c r="H48" s="7" t="n">
        <v>46269.875</v>
      </c>
      <c r="I48" s="17" t="n">
        <v>0.13338</v>
      </c>
      <c r="J48" s="2" t="inlineStr">
        <is>
          <t>止損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0.02556610664718773</v>
      </c>
      <c r="O48" s="4" t="n">
        <v>0.02920104550668523</v>
      </c>
      <c r="P48" s="4" t="n">
        <v>0.02090528994728236</v>
      </c>
      <c r="Q48" s="19" t="n">
        <v>1976499.500000006</v>
      </c>
      <c r="R48" s="19" t="n">
        <v>2424307.18175</v>
      </c>
      <c r="S48" s="4" t="n">
        <v>0.002136752136752129</v>
      </c>
      <c r="T48" s="4" t="n">
        <v>0.05</v>
      </c>
      <c r="U48" s="16" t="n">
        <v>1.361732847326615</v>
      </c>
      <c r="V48" s="16" t="n">
        <v>0.7</v>
      </c>
      <c r="W48" s="4" t="n">
        <v>0.2007491853891745</v>
      </c>
      <c r="X48" s="4" t="n">
        <v>0.0166545981173063</v>
      </c>
      <c r="Y48" s="4" t="n">
        <v>-0.001179826810793871</v>
      </c>
      <c r="Z48" s="4" t="n">
        <v>-0.000401046731351995</v>
      </c>
      <c r="AA48" s="4" t="n">
        <v>0.03</v>
      </c>
      <c r="AB48" s="4" t="n">
        <v>0.05</v>
      </c>
      <c r="AC48" s="4">
        <f>(AB48+2*參數!$B$7)/(AA48+AB48)</f>
        <v/>
      </c>
    </row>
    <row r="49">
      <c r="A49" s="2" t="n">
        <v>48</v>
      </c>
      <c r="B49" s="2" t="inlineStr">
        <is>
          <t>BTR_USDT_PERP</t>
        </is>
      </c>
      <c r="C49" s="2" t="inlineStr">
        <is>
          <t>做多</t>
        </is>
      </c>
      <c r="D49" s="7" t="n">
        <v>46269.75</v>
      </c>
      <c r="E49" s="17" t="n">
        <v>0.05138</v>
      </c>
      <c r="F49" s="17" t="n">
        <v>0.0529214</v>
      </c>
      <c r="G49" s="17" t="n">
        <v>0.048811</v>
      </c>
      <c r="H49" s="7" t="n">
        <v>46269.875</v>
      </c>
      <c r="I49" s="17" t="n">
        <v>0.048811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0.0352609308885754</v>
      </c>
      <c r="O49" s="4" t="n">
        <v>0.06866246075411328</v>
      </c>
      <c r="P49" s="4" t="n">
        <v>0.02417924133394478</v>
      </c>
      <c r="Q49" s="19" t="n">
        <v>11673981</v>
      </c>
      <c r="R49" s="19" t="n">
        <v>2670920.15831</v>
      </c>
      <c r="S49" s="4" t="n">
        <v>0.0001946282600233662</v>
      </c>
      <c r="T49" s="4" t="n">
        <v>0.05</v>
      </c>
      <c r="U49" s="16" t="n">
        <v>0.6156411633660568</v>
      </c>
      <c r="V49" s="16" t="n">
        <v>0.9291666666666681</v>
      </c>
      <c r="W49" s="4" t="n">
        <v>-0.3352060046243163</v>
      </c>
      <c r="X49" s="4" t="n">
        <v>-0.007149758454106148</v>
      </c>
      <c r="Y49" s="4" t="n">
        <v>-0.001179826810793871</v>
      </c>
      <c r="Z49" s="4" t="n">
        <v>-0.000401046731351995</v>
      </c>
      <c r="AA49" s="4" t="n">
        <v>0.03</v>
      </c>
      <c r="AB49" s="4" t="n">
        <v>0.05</v>
      </c>
      <c r="AC49" s="4">
        <f>(AB49+2*參數!$B$7)/(AA49+AB49)</f>
        <v/>
      </c>
    </row>
    <row r="50">
      <c r="A50" s="2" t="n">
        <v>49</v>
      </c>
      <c r="B50" s="2" t="inlineStr">
        <is>
          <t>EDGE_USDT_PERP</t>
        </is>
      </c>
      <c r="C50" s="2" t="inlineStr">
        <is>
          <t>做空</t>
        </is>
      </c>
      <c r="D50" s="7" t="n">
        <v>46269.75</v>
      </c>
      <c r="E50" s="17" t="n">
        <v>0.6109</v>
      </c>
      <c r="F50" s="17" t="n">
        <v>0.592573</v>
      </c>
      <c r="G50" s="17" t="n">
        <v>0.641445</v>
      </c>
      <c r="H50" s="7" t="n">
        <v>46269.875</v>
      </c>
      <c r="I50" s="17" t="n">
        <v>0.641445</v>
      </c>
      <c r="J50" s="2" t="inlineStr">
        <is>
          <t>止損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-0.08149150503683655</v>
      </c>
      <c r="O50" s="4" t="n">
        <v>0.06697776414122295</v>
      </c>
      <c r="P50" s="4" t="n">
        <v>-0.02012992220707344</v>
      </c>
      <c r="Q50" s="19" t="n">
        <v>-174673</v>
      </c>
      <c r="R50" s="19" t="n">
        <v>1770534.5799</v>
      </c>
      <c r="S50" s="4" t="n">
        <v>0.0157145195613031</v>
      </c>
      <c r="T50" s="4" t="n">
        <v>0.05</v>
      </c>
      <c r="U50" s="16" t="n">
        <v>1.757869923771654</v>
      </c>
      <c r="V50" s="16" t="n">
        <v>0.9518442622950816</v>
      </c>
      <c r="W50" s="4" t="n">
        <v>-0.3705452791456809</v>
      </c>
      <c r="X50" s="4" t="n">
        <v>-0.1999607149872324</v>
      </c>
      <c r="Y50" s="4" t="n">
        <v>0.001179826810793871</v>
      </c>
      <c r="Z50" s="4" t="n">
        <v>0.000401046731351995</v>
      </c>
      <c r="AA50" s="4" t="n">
        <v>0.03</v>
      </c>
      <c r="AB50" s="4" t="n">
        <v>0.05</v>
      </c>
      <c r="AC50" s="4">
        <f>(AB50+2*參數!$B$7)/(AA50+AB50)</f>
        <v/>
      </c>
    </row>
    <row r="51">
      <c r="A51" s="2" t="n">
        <v>50</v>
      </c>
      <c r="B51" s="2" t="inlineStr">
        <is>
          <t>BULLA_USDT_PERP</t>
        </is>
      </c>
      <c r="C51" s="2" t="inlineStr">
        <is>
          <t>做多</t>
        </is>
      </c>
      <c r="D51" s="7" t="n">
        <v>46269.79166666666</v>
      </c>
      <c r="E51" s="17" t="n">
        <v>0.03417</v>
      </c>
      <c r="F51" s="17" t="n">
        <v>0.0351951</v>
      </c>
      <c r="G51" s="17" t="n">
        <v>0.0324615</v>
      </c>
      <c r="H51" s="7" t="n">
        <v>46269.83333333334</v>
      </c>
      <c r="I51" s="17" t="n">
        <v>0.0351951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0.03545454545454541</v>
      </c>
      <c r="O51" s="4" t="n">
        <v>0.09920693651730531</v>
      </c>
      <c r="P51" s="4" t="n">
        <v>0.03345027824824576</v>
      </c>
      <c r="Q51" s="19" t="n">
        <v>5386058</v>
      </c>
      <c r="R51" s="19" t="n">
        <v>2917025.35578</v>
      </c>
      <c r="S51" s="4" t="n">
        <v>0.03</v>
      </c>
      <c r="T51" s="4" t="n">
        <v>0</v>
      </c>
      <c r="U51" s="16" t="n">
        <v>0.537512668098401</v>
      </c>
      <c r="V51" s="16" t="n">
        <v>0.7238605898123319</v>
      </c>
      <c r="W51" s="4" t="n">
        <v>0.5247929458803371</v>
      </c>
      <c r="X51" s="4" t="n">
        <v>0.1540020263424517</v>
      </c>
      <c r="Y51" s="4" t="n">
        <v>0.001629269581166604</v>
      </c>
      <c r="Z51" s="4" t="n">
        <v>0.0008314989872040268</v>
      </c>
      <c r="AA51" s="4" t="n">
        <v>0.03</v>
      </c>
      <c r="AB51" s="4" t="n">
        <v>0.05</v>
      </c>
      <c r="AC51" s="4">
        <f>(AB51+2*參數!$B$7)/(AA51+AB51)</f>
        <v/>
      </c>
    </row>
    <row r="52">
      <c r="A52" s="2" t="n">
        <v>51</v>
      </c>
      <c r="B52" s="2" t="inlineStr">
        <is>
          <t>ENA_USDT_PERP</t>
        </is>
      </c>
      <c r="C52" s="2" t="inlineStr">
        <is>
          <t>做空</t>
        </is>
      </c>
      <c r="D52" s="7" t="n">
        <v>46269.875</v>
      </c>
      <c r="E52" s="17" t="n">
        <v>0.1636</v>
      </c>
      <c r="F52" s="17" t="n">
        <v>0.158692</v>
      </c>
      <c r="G52" s="17" t="n">
        <v>0.17178</v>
      </c>
      <c r="H52" s="7" t="n">
        <v>46271.25</v>
      </c>
      <c r="I52" s="17" t="n">
        <v>0.17178</v>
      </c>
      <c r="J52" s="2" t="inlineStr">
        <is>
          <t>止損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-0.03537735849056611</v>
      </c>
      <c r="O52" s="4" t="n">
        <v>0.02743057159623197</v>
      </c>
      <c r="P52" s="4" t="n">
        <v>-0.02884957853496384</v>
      </c>
      <c r="Q52" s="19" t="n">
        <v>-20487327</v>
      </c>
      <c r="R52" s="19" t="n">
        <v>9707039.205199998</v>
      </c>
      <c r="S52" s="4" t="n">
        <v>0.0171149144254279</v>
      </c>
      <c r="T52" s="4" t="n">
        <v>0.05</v>
      </c>
      <c r="U52" s="16" t="n">
        <v>3.183787135398965</v>
      </c>
      <c r="V52" s="16" t="n">
        <v>0.5071428571428573</v>
      </c>
      <c r="W52" s="4" t="n">
        <v>-0.04445976659260964</v>
      </c>
      <c r="X52" s="4" t="n">
        <v>-0.04670505438259753</v>
      </c>
      <c r="Y52" s="4" t="n">
        <v>0.02173101723035764</v>
      </c>
      <c r="Z52" s="4" t="n">
        <v>0.0194637987787093</v>
      </c>
      <c r="AA52" s="4" t="n">
        <v>0.03</v>
      </c>
      <c r="AB52" s="4" t="n">
        <v>0.05</v>
      </c>
      <c r="AC52" s="4">
        <f>(AB52+2*參數!$B$7)/(AA52+AB52)</f>
        <v/>
      </c>
    </row>
    <row r="53">
      <c r="A53" s="2" t="n">
        <v>52</v>
      </c>
      <c r="B53" s="2" t="inlineStr">
        <is>
          <t>PENGU_USDT_PERP</t>
        </is>
      </c>
      <c r="C53" s="2" t="inlineStr">
        <is>
          <t>做空</t>
        </is>
      </c>
      <c r="D53" s="7" t="n">
        <v>46269.875</v>
      </c>
      <c r="E53" s="17" t="n">
        <v>0.008347</v>
      </c>
      <c r="F53" s="17" t="n">
        <v>0.008096590000000001</v>
      </c>
      <c r="G53" s="17" t="n">
        <v>0.008764350000000001</v>
      </c>
      <c r="H53" s="7" t="n">
        <v>46271.375</v>
      </c>
      <c r="I53" s="17" t="n">
        <v>0.008764350000000001</v>
      </c>
      <c r="J53" s="2" t="inlineStr">
        <is>
          <t>止損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-0.0588566918480099</v>
      </c>
      <c r="O53" s="4" t="n">
        <v>0.02108924653704965</v>
      </c>
      <c r="P53" s="4" t="n">
        <v>-0.04043684437419182</v>
      </c>
      <c r="Q53" s="19" t="n">
        <v>-96582575</v>
      </c>
      <c r="R53" s="19" t="n">
        <v>2366655.084075</v>
      </c>
      <c r="S53" s="4" t="n">
        <v>0.02551815023361681</v>
      </c>
      <c r="T53" s="4" t="n">
        <v>0.05</v>
      </c>
      <c r="U53" s="16" t="n">
        <v>3.271059749280652</v>
      </c>
      <c r="V53" s="16" t="n">
        <v>0.8729927007299265</v>
      </c>
      <c r="W53" s="4" t="n">
        <v>0.02406800072490445</v>
      </c>
      <c r="X53" s="4" t="n">
        <v>0.01312366989832114</v>
      </c>
      <c r="Y53" s="4" t="n">
        <v>0.02173101723035764</v>
      </c>
      <c r="Z53" s="4" t="n">
        <v>0.0194637987787093</v>
      </c>
      <c r="AA53" s="4" t="n">
        <v>0.03</v>
      </c>
      <c r="AB53" s="4" t="n">
        <v>0.05</v>
      </c>
      <c r="AC53" s="4">
        <f>(AB53+2*參數!$B$7)/(AA53+AB53)</f>
        <v/>
      </c>
    </row>
    <row r="54">
      <c r="A54" s="2" t="n">
        <v>53</v>
      </c>
      <c r="B54" s="2" t="inlineStr">
        <is>
          <t>PUMP_USDT_PERP</t>
        </is>
      </c>
      <c r="C54" s="2" t="inlineStr">
        <is>
          <t>做空</t>
        </is>
      </c>
      <c r="D54" s="7" t="n">
        <v>46269.875</v>
      </c>
      <c r="E54" s="17" t="n">
        <v>0.004101</v>
      </c>
      <c r="F54" s="17" t="n">
        <v>0.00397797</v>
      </c>
      <c r="G54" s="17" t="n">
        <v>0.00430605</v>
      </c>
      <c r="H54" s="7" t="n">
        <v>46269.91666666666</v>
      </c>
      <c r="I54" s="17" t="n">
        <v>0.00430605</v>
      </c>
      <c r="J54" s="2" t="inlineStr">
        <is>
          <t>止損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-0.02911931818181834</v>
      </c>
      <c r="O54" s="4" t="n">
        <v>0.02213679422515468</v>
      </c>
      <c r="P54" s="4" t="n">
        <v>-0.04727610640027913</v>
      </c>
      <c r="Q54" s="19" t="n">
        <v>-645002882</v>
      </c>
      <c r="R54" s="19" t="n">
        <v>9570907.211240999</v>
      </c>
      <c r="S54" s="4" t="n">
        <v>0</v>
      </c>
      <c r="T54" s="4" t="n">
        <v>0.05</v>
      </c>
      <c r="U54" s="16" t="n">
        <v>2.045795785573698</v>
      </c>
      <c r="V54" s="16" t="n">
        <v>0.9130434782608706</v>
      </c>
      <c r="W54" s="4" t="n">
        <v>0.05004354835720792</v>
      </c>
      <c r="X54" s="4" t="n">
        <v>0.07217194570135765</v>
      </c>
      <c r="Y54" s="4" t="n">
        <v>0.02173101723035764</v>
      </c>
      <c r="Z54" s="4" t="n">
        <v>0.0194637987787093</v>
      </c>
      <c r="AA54" s="4" t="n">
        <v>0.03</v>
      </c>
      <c r="AB54" s="4" t="n">
        <v>0.05</v>
      </c>
      <c r="AC54" s="4">
        <f>(AB54+2*參數!$B$7)/(AA54+AB54)</f>
        <v/>
      </c>
    </row>
    <row r="55">
      <c r="A55" s="2" t="n">
        <v>54</v>
      </c>
      <c r="B55" s="2" t="inlineStr">
        <is>
          <t>XPL_USDT_PERP</t>
        </is>
      </c>
      <c r="C55" s="2" t="inlineStr">
        <is>
          <t>做空</t>
        </is>
      </c>
      <c r="D55" s="7" t="n">
        <v>46269.875</v>
      </c>
      <c r="E55" s="17" t="n">
        <v>0.092</v>
      </c>
      <c r="F55" s="17" t="n">
        <v>0.08924</v>
      </c>
      <c r="G55" s="17" t="n">
        <v>0.09660000000000001</v>
      </c>
      <c r="H55" s="7" t="n">
        <v>46272.25</v>
      </c>
      <c r="I55" s="17" t="n">
        <v>0.08924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-0.09270216962524658</v>
      </c>
      <c r="O55" s="4" t="n">
        <v>0.0305749872373899</v>
      </c>
      <c r="P55" s="4" t="n">
        <v>-0.0346274921301154</v>
      </c>
      <c r="Q55" s="19" t="n">
        <v>-6880508</v>
      </c>
      <c r="R55" s="19" t="n">
        <v>1918239.2299</v>
      </c>
      <c r="S55" s="4" t="n">
        <v>0.03</v>
      </c>
      <c r="T55" s="4" t="n">
        <v>0.04673913043478262</v>
      </c>
      <c r="U55" s="16" t="n">
        <v>16.25940944638446</v>
      </c>
      <c r="V55" s="16" t="n">
        <v>0.959183673469388</v>
      </c>
      <c r="W55" s="4" t="n">
        <v>-0.05896842662614943</v>
      </c>
      <c r="X55" s="4" t="n">
        <v>-0.01882613510520481</v>
      </c>
      <c r="Y55" s="4" t="n">
        <v>0.02173101723035764</v>
      </c>
      <c r="Z55" s="4" t="n">
        <v>0.0194637987787093</v>
      </c>
      <c r="AA55" s="4" t="n">
        <v>0.03</v>
      </c>
      <c r="AB55" s="4" t="n">
        <v>0.05</v>
      </c>
      <c r="AC55" s="4">
        <f>(AB55+2*參數!$B$7)/(AA55+AB55)</f>
        <v/>
      </c>
    </row>
    <row r="56">
      <c r="A56" s="2" t="n">
        <v>55</v>
      </c>
      <c r="B56" s="2" t="inlineStr">
        <is>
          <t>ARB_USDT_PERP</t>
        </is>
      </c>
      <c r="C56" s="2" t="inlineStr">
        <is>
          <t>做空</t>
        </is>
      </c>
      <c r="D56" s="7" t="n">
        <v>46269.95833333334</v>
      </c>
      <c r="E56" s="17" t="n">
        <v>0.1319</v>
      </c>
      <c r="F56" s="17" t="n">
        <v>0.127943</v>
      </c>
      <c r="G56" s="17" t="n">
        <v>0.138495</v>
      </c>
      <c r="H56" s="7" t="n">
        <v>46271.08333333334</v>
      </c>
      <c r="I56" s="17" t="n">
        <v>0.138495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-0.02440828402366857</v>
      </c>
      <c r="O56" s="4" t="n">
        <v>0.03462257554497144</v>
      </c>
      <c r="P56" s="4" t="n">
        <v>-0.0381389921971852</v>
      </c>
      <c r="Q56" s="19" t="n">
        <v>-2211790.699999999</v>
      </c>
      <c r="R56" s="19" t="n">
        <v>2930632.13217</v>
      </c>
      <c r="S56" s="4" t="n">
        <v>0.02198635329795284</v>
      </c>
      <c r="T56" s="4" t="n">
        <v>0.05</v>
      </c>
      <c r="U56" s="16" t="n">
        <v>0.7719742250526247</v>
      </c>
      <c r="V56" s="16" t="n">
        <v>0.7959183673469392</v>
      </c>
      <c r="W56" s="4" t="n">
        <v>-0.1058200171029025</v>
      </c>
      <c r="X56" s="4" t="n">
        <v>0.01420029895366226</v>
      </c>
      <c r="Y56" s="4" t="n">
        <v>0.005908531198128508</v>
      </c>
      <c r="Z56" s="4" t="n">
        <v>0.02382989904212962</v>
      </c>
      <c r="AA56" s="4" t="n">
        <v>0.03</v>
      </c>
      <c r="AB56" s="4" t="n">
        <v>0.05</v>
      </c>
      <c r="AC56" s="4">
        <f>(AB56+2*參數!$B$7)/(AA56+AB56)</f>
        <v/>
      </c>
    </row>
    <row r="57">
      <c r="A57" s="2" t="n">
        <v>56</v>
      </c>
      <c r="B57" s="2" t="inlineStr">
        <is>
          <t>BTR_USDT_PERP</t>
        </is>
      </c>
      <c r="C57" s="2" t="inlineStr">
        <is>
          <t>做多</t>
        </is>
      </c>
      <c r="D57" s="7" t="n">
        <v>46269.95833333334</v>
      </c>
      <c r="E57" s="17" t="n">
        <v>0.05085</v>
      </c>
      <c r="F57" s="17" t="n">
        <v>0.0523755</v>
      </c>
      <c r="G57" s="17" t="n">
        <v>0.0483075</v>
      </c>
      <c r="H57" s="7" t="n">
        <v>46270.16666666666</v>
      </c>
      <c r="I57" s="17" t="n">
        <v>0.0523755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0.02623612512613538</v>
      </c>
      <c r="O57" s="4" t="n">
        <v>0.0597455637278628</v>
      </c>
      <c r="P57" s="4" t="n">
        <v>0.00803853740249183</v>
      </c>
      <c r="Q57" s="19" t="n">
        <v>7519842</v>
      </c>
      <c r="R57" s="19" t="n">
        <v>1853033.87427</v>
      </c>
      <c r="S57" s="4" t="n">
        <v>0.03</v>
      </c>
      <c r="T57" s="4" t="n">
        <v>0.04365781710914451</v>
      </c>
      <c r="U57" s="16" t="n">
        <v>0.8379137305704665</v>
      </c>
      <c r="V57" s="16" t="n">
        <v>0.628571428571428</v>
      </c>
      <c r="W57" s="4" t="n">
        <v>-0.3219502763535993</v>
      </c>
      <c r="X57" s="4" t="n">
        <v>0.05585548172757471</v>
      </c>
      <c r="Y57" s="4" t="n">
        <v>-0.005908531198128508</v>
      </c>
      <c r="Z57" s="4" t="n">
        <v>-0.02382989904212962</v>
      </c>
      <c r="AA57" s="4" t="n">
        <v>0.03</v>
      </c>
      <c r="AB57" s="4" t="n">
        <v>0.05</v>
      </c>
      <c r="AC57" s="4">
        <f>(AB57+2*參數!$B$7)/(AA57+AB57)</f>
        <v/>
      </c>
    </row>
    <row r="58">
      <c r="A58" s="2" t="n">
        <v>57</v>
      </c>
      <c r="B58" s="2" t="inlineStr">
        <is>
          <t>EDGE_USDT_PERP</t>
        </is>
      </c>
      <c r="C58" s="2" t="inlineStr">
        <is>
          <t>做空</t>
        </is>
      </c>
      <c r="D58" s="7" t="n">
        <v>46269.95833333334</v>
      </c>
      <c r="E58" s="17" t="n">
        <v>0.6034</v>
      </c>
      <c r="F58" s="17" t="n">
        <v>0.585298</v>
      </c>
      <c r="G58" s="17" t="n">
        <v>0.6335700000000001</v>
      </c>
      <c r="H58" s="7" t="n">
        <v>46270.04166666666</v>
      </c>
      <c r="I58" s="17" t="n">
        <v>0.585298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-0.05036197670758569</v>
      </c>
      <c r="O58" s="4" t="n">
        <v>0.06970256704315002</v>
      </c>
      <c r="P58" s="4" t="n">
        <v>-0.03355489709297654</v>
      </c>
      <c r="Q58" s="19" t="n">
        <v>-285323</v>
      </c>
      <c r="R58" s="19" t="n">
        <v>1725425.0278</v>
      </c>
      <c r="S58" s="4" t="n">
        <v>0.03</v>
      </c>
      <c r="T58" s="4" t="n">
        <v>0.002983095790520141</v>
      </c>
      <c r="U58" s="16" t="n">
        <v>0.524672190684464</v>
      </c>
      <c r="V58" s="16" t="n">
        <v>0.8881578947368421</v>
      </c>
      <c r="W58" s="4" t="n">
        <v>-0.3164353705283416</v>
      </c>
      <c r="X58" s="4" t="n">
        <v>-0.03268868731815844</v>
      </c>
      <c r="Y58" s="4" t="n">
        <v>0.005908531198128508</v>
      </c>
      <c r="Z58" s="4" t="n">
        <v>0.02382989904212962</v>
      </c>
      <c r="AA58" s="4" t="n">
        <v>0.03</v>
      </c>
      <c r="AB58" s="4" t="n">
        <v>0.05</v>
      </c>
      <c r="AC58" s="4">
        <f>(AB58+2*參數!$B$7)/(AA58+AB58)</f>
        <v/>
      </c>
    </row>
    <row r="59">
      <c r="A59" s="2" t="n">
        <v>58</v>
      </c>
      <c r="B59" s="2" t="inlineStr">
        <is>
          <t>FARTCOIN_USDT_PERP</t>
        </is>
      </c>
      <c r="C59" s="2" t="inlineStr">
        <is>
          <t>做空</t>
        </is>
      </c>
      <c r="D59" s="7" t="n">
        <v>46269.95833333334</v>
      </c>
      <c r="E59" s="17" t="n">
        <v>0.1626</v>
      </c>
      <c r="F59" s="17" t="n">
        <v>0.157722</v>
      </c>
      <c r="G59" s="17" t="n">
        <v>0.17073</v>
      </c>
      <c r="H59" s="7" t="n">
        <v>46271.04166666666</v>
      </c>
      <c r="I59" s="17" t="n">
        <v>0.17073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-0.02809324566646743</v>
      </c>
      <c r="O59" s="4" t="n">
        <v>0.02571411691950987</v>
      </c>
      <c r="P59" s="4" t="n">
        <v>-0.04383875804886661</v>
      </c>
      <c r="Q59" s="19" t="n">
        <v>-1459066.5</v>
      </c>
      <c r="R59" s="19" t="n">
        <v>1214533.65472</v>
      </c>
      <c r="S59" s="4" t="n">
        <v>0.01045510455104559</v>
      </c>
      <c r="T59" s="4" t="n">
        <v>0.05</v>
      </c>
      <c r="U59" s="16" t="n">
        <v>1.307897414253236</v>
      </c>
      <c r="V59" s="16" t="n">
        <v>0.8688524590163941</v>
      </c>
      <c r="W59" s="4" t="n">
        <v>0.03429270552460595</v>
      </c>
      <c r="X59" s="4" t="n">
        <v>0.04127358490566047</v>
      </c>
      <c r="Y59" s="4" t="n">
        <v>0.005908531198128508</v>
      </c>
      <c r="Z59" s="4" t="n">
        <v>0.02382989904212962</v>
      </c>
      <c r="AA59" s="4" t="n">
        <v>0.03</v>
      </c>
      <c r="AB59" s="4" t="n">
        <v>0.05</v>
      </c>
      <c r="AC59" s="4">
        <f>(AB59+2*參數!$B$7)/(AA59+AB59)</f>
        <v/>
      </c>
    </row>
    <row r="60">
      <c r="A60" s="2" t="n">
        <v>59</v>
      </c>
      <c r="B60" s="2" t="inlineStr">
        <is>
          <t>PUMP_USDT_PERP</t>
        </is>
      </c>
      <c r="C60" s="2" t="inlineStr">
        <is>
          <t>做空</t>
        </is>
      </c>
      <c r="D60" s="7" t="n">
        <v>46269.95833333334</v>
      </c>
      <c r="E60" s="17" t="n">
        <v>0.004196</v>
      </c>
      <c r="F60" s="17" t="n">
        <v>0.00407012</v>
      </c>
      <c r="G60" s="17" t="n">
        <v>0.004405800000000001</v>
      </c>
      <c r="H60" s="7" t="n">
        <v>46270.04166666666</v>
      </c>
      <c r="I60" s="17" t="n">
        <v>0.004405800000000001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-0.02122696524376022</v>
      </c>
      <c r="O60" s="4" t="n">
        <v>0.02483332746059626</v>
      </c>
      <c r="P60" s="4" t="n">
        <v>-0.02048438867814417</v>
      </c>
      <c r="Q60" s="19" t="n">
        <v>-558146088</v>
      </c>
      <c r="R60" s="19" t="n">
        <v>12115990.878203</v>
      </c>
      <c r="S60" s="4" t="n">
        <v>0.004051477597712072</v>
      </c>
      <c r="T60" s="4" t="n">
        <v>0.05</v>
      </c>
      <c r="U60" s="16" t="n">
        <v>7.760563773215896</v>
      </c>
      <c r="V60" s="16" t="n">
        <v>0.75886524822695</v>
      </c>
      <c r="W60" s="4" t="n">
        <v>0.02758046910667633</v>
      </c>
      <c r="X60" s="4" t="n">
        <v>0.06024636058230681</v>
      </c>
      <c r="Y60" s="4" t="n">
        <v>0.005908531198128508</v>
      </c>
      <c r="Z60" s="4" t="n">
        <v>0.02382989904212962</v>
      </c>
      <c r="AA60" s="4" t="n">
        <v>0.03</v>
      </c>
      <c r="AB60" s="4" t="n">
        <v>0.05</v>
      </c>
      <c r="AC60" s="4">
        <f>(AB60+2*參數!$B$7)/(AA60+AB60)</f>
        <v/>
      </c>
    </row>
    <row r="61">
      <c r="A61" s="2" t="n">
        <v>60</v>
      </c>
      <c r="B61" s="2" t="inlineStr">
        <is>
          <t>USELESS_USDT_PERP</t>
        </is>
      </c>
      <c r="C61" s="2" t="inlineStr">
        <is>
          <t>做多</t>
        </is>
      </c>
      <c r="D61" s="7" t="n">
        <v>46270.04166666666</v>
      </c>
      <c r="E61" s="17" t="n">
        <v>0.23932</v>
      </c>
      <c r="F61" s="17" t="n">
        <v>0.2464996</v>
      </c>
      <c r="G61" s="17" t="n">
        <v>0.227354</v>
      </c>
      <c r="H61" s="7" t="n">
        <v>46270.125</v>
      </c>
      <c r="I61" s="17" t="n">
        <v>0.2464996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0.0603925738845319</v>
      </c>
      <c r="O61" s="4" t="n">
        <v>0.09214234023915323</v>
      </c>
      <c r="P61" s="4" t="n">
        <v>0.04087699497437147</v>
      </c>
      <c r="Q61" s="19" t="n">
        <v>6137488</v>
      </c>
      <c r="R61" s="19" t="n">
        <v>16292911.13047</v>
      </c>
      <c r="S61" s="4" t="n">
        <v>0.03</v>
      </c>
      <c r="T61" s="4" t="n">
        <v>0.02874811967240509</v>
      </c>
      <c r="U61" s="16" t="n">
        <v>0.5204797063782687</v>
      </c>
      <c r="V61" s="16" t="n">
        <v>0.8985981308411213</v>
      </c>
      <c r="W61" s="4" t="n">
        <v>0.7066260476546016</v>
      </c>
      <c r="X61" s="4" t="n">
        <v>0.2290468364831553</v>
      </c>
      <c r="Y61" s="4" t="n">
        <v>0.004003280220797656</v>
      </c>
      <c r="Z61" s="4" t="n">
        <v>-0.01110208133006607</v>
      </c>
      <c r="AA61" s="4" t="n">
        <v>0.03</v>
      </c>
      <c r="AB61" s="4" t="n">
        <v>0.05</v>
      </c>
      <c r="AC61" s="4">
        <f>(AB61+2*參數!$B$7)/(AA61+AB61)</f>
        <v/>
      </c>
    </row>
    <row r="62">
      <c r="A62" s="2" t="n">
        <v>61</v>
      </c>
      <c r="B62" s="2" t="inlineStr">
        <is>
          <t>TRIA_USDT_PERP</t>
        </is>
      </c>
      <c r="C62" s="2" t="inlineStr">
        <is>
          <t>做多</t>
        </is>
      </c>
      <c r="D62" s="7" t="n">
        <v>46270.125</v>
      </c>
      <c r="E62" s="17" t="n">
        <v>0.0049</v>
      </c>
      <c r="F62" s="17" t="n">
        <v>0.005047</v>
      </c>
      <c r="G62" s="17" t="n">
        <v>0.004654999999999999</v>
      </c>
      <c r="H62" s="7" t="n">
        <v>46270.33333333334</v>
      </c>
      <c r="I62" s="17" t="n">
        <v>0.005047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0.02296450939457206</v>
      </c>
      <c r="O62" s="4" t="n">
        <v>0.06911342803766396</v>
      </c>
      <c r="P62" s="4" t="n">
        <v>0.02757680612351887</v>
      </c>
      <c r="Q62" s="19" t="n">
        <v>84680385</v>
      </c>
      <c r="R62" s="19" t="n">
        <v>1402062.6577</v>
      </c>
      <c r="S62" s="4" t="n">
        <v>0.03</v>
      </c>
      <c r="T62" s="4" t="n">
        <v>0.02857142857142847</v>
      </c>
      <c r="U62" s="16" t="n">
        <v>0.5373183085388367</v>
      </c>
      <c r="V62" s="16" t="n">
        <v>0.4583333333333332</v>
      </c>
      <c r="W62" s="4" t="n">
        <v>0.1739620019645893</v>
      </c>
      <c r="X62" s="4" t="n">
        <v>0.2760416666666665</v>
      </c>
      <c r="Y62" s="4" t="n">
        <v>0.001840612060163505</v>
      </c>
      <c r="Z62" s="4" t="n">
        <v>-0.01042983079714643</v>
      </c>
      <c r="AA62" s="4" t="n">
        <v>0.03</v>
      </c>
      <c r="AB62" s="4" t="n">
        <v>0.05</v>
      </c>
      <c r="AC62" s="4">
        <f>(AB62+2*參數!$B$7)/(AA62+AB62)</f>
        <v/>
      </c>
    </row>
    <row r="63">
      <c r="A63" s="2" t="n">
        <v>62</v>
      </c>
      <c r="B63" s="2" t="inlineStr">
        <is>
          <t>PONS_USDT_PERP</t>
        </is>
      </c>
      <c r="C63" s="2" t="inlineStr">
        <is>
          <t>做空</t>
        </is>
      </c>
      <c r="D63" s="7" t="n">
        <v>46270.20833333334</v>
      </c>
      <c r="E63" s="17" t="n">
        <v>0.6736</v>
      </c>
      <c r="F63" s="17" t="n">
        <v>0.653392</v>
      </c>
      <c r="G63" s="17" t="n">
        <v>0.70728</v>
      </c>
      <c r="H63" s="7" t="n">
        <v>46270.33333333334</v>
      </c>
      <c r="I63" s="17" t="n">
        <v>0.70728</v>
      </c>
      <c r="J63" s="2" t="inlineStr">
        <is>
          <t>止損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-0.03037282280120912</v>
      </c>
      <c r="O63" s="4" t="n">
        <v>0.06852196621774058</v>
      </c>
      <c r="P63" s="4" t="n">
        <v>-0.02733455590371536</v>
      </c>
      <c r="Q63" s="19" t="n">
        <v>-2414881</v>
      </c>
      <c r="R63" s="19" t="n">
        <v>14023919.0095</v>
      </c>
      <c r="S63" s="4" t="n">
        <v>0.01944774346793354</v>
      </c>
      <c r="T63" s="4" t="n">
        <v>0.05</v>
      </c>
      <c r="U63" s="16" t="n">
        <v>0.397331166499677</v>
      </c>
      <c r="V63" s="16" t="n">
        <v>0.5842391304347838</v>
      </c>
      <c r="W63" s="4" t="n"/>
      <c r="X63" s="4" t="n">
        <v>-0.1141250413496526</v>
      </c>
      <c r="Y63" s="4" t="n">
        <v>0.001236289226479226</v>
      </c>
      <c r="Z63" s="4" t="n">
        <v>0.0077355104068485</v>
      </c>
      <c r="AA63" s="4" t="n">
        <v>0.03</v>
      </c>
      <c r="AB63" s="4" t="n">
        <v>0.05</v>
      </c>
      <c r="AC63" s="4">
        <f>(AB63+2*參數!$B$7)/(AA63+AB63)</f>
        <v/>
      </c>
    </row>
    <row r="64">
      <c r="A64" s="2" t="n">
        <v>63</v>
      </c>
      <c r="B64" s="2" t="inlineStr">
        <is>
          <t>LIT_USDT_PERP</t>
        </is>
      </c>
      <c r="C64" s="2" t="inlineStr">
        <is>
          <t>做多</t>
        </is>
      </c>
      <c r="D64" s="7" t="n">
        <v>46270.33333333334</v>
      </c>
      <c r="E64" s="17" t="n">
        <v>4.817</v>
      </c>
      <c r="F64" s="17" t="n">
        <v>4.961510000000001</v>
      </c>
      <c r="G64" s="17" t="n">
        <v>4.57615</v>
      </c>
      <c r="H64" s="7" t="n">
        <v>46271.75</v>
      </c>
      <c r="I64" s="17" t="n">
        <v>4.57615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0.02642233113147263</v>
      </c>
      <c r="O64" s="4" t="n">
        <v>0.0307242643043604</v>
      </c>
      <c r="P64" s="4" t="n">
        <v>0.04440397207406455</v>
      </c>
      <c r="Q64" s="19" t="n">
        <v>325116.0000000005</v>
      </c>
      <c r="R64" s="19" t="n">
        <v>6427242.6301</v>
      </c>
      <c r="S64" s="4" t="n">
        <v>0.01100269877517124</v>
      </c>
      <c r="T64" s="4" t="n">
        <v>0.05</v>
      </c>
      <c r="U64" s="16" t="n">
        <v>0.5755823858458273</v>
      </c>
      <c r="V64" s="16" t="n">
        <v>0.9352517985611547</v>
      </c>
      <c r="W64" s="4" t="n">
        <v>0.217259460483922</v>
      </c>
      <c r="X64" s="4" t="n">
        <v>0.08490990990990976</v>
      </c>
      <c r="Y64" s="4" t="n">
        <v>0.0001972351897729929</v>
      </c>
      <c r="Z64" s="4" t="n">
        <v>-0.005917962114404318</v>
      </c>
      <c r="AA64" s="4" t="n">
        <v>0.03</v>
      </c>
      <c r="AB64" s="4" t="n">
        <v>0.05</v>
      </c>
      <c r="AC64" s="4">
        <f>(AB64+2*參數!$B$7)/(AA64+AB64)</f>
        <v/>
      </c>
    </row>
    <row r="65">
      <c r="A65" s="2" t="n">
        <v>64</v>
      </c>
      <c r="B65" s="2" t="inlineStr">
        <is>
          <t>UAI_USDT_PERP</t>
        </is>
      </c>
      <c r="C65" s="2" t="inlineStr">
        <is>
          <t>做空</t>
        </is>
      </c>
      <c r="D65" s="7" t="n">
        <v>46270.54166666666</v>
      </c>
      <c r="E65" s="17" t="n">
        <v>0.443</v>
      </c>
      <c r="F65" s="17" t="n">
        <v>0.42971</v>
      </c>
      <c r="G65" s="17" t="n">
        <v>0.46515</v>
      </c>
      <c r="H65" s="7" t="n">
        <v>46270.70833333334</v>
      </c>
      <c r="I65" s="17" t="n">
        <v>0.46515</v>
      </c>
      <c r="J65" s="2" t="inlineStr">
        <is>
          <t>止損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-0.03127050076536186</v>
      </c>
      <c r="O65" s="4" t="n">
        <v>0.06660534548577615</v>
      </c>
      <c r="P65" s="4" t="n">
        <v>-0.00911480176704127</v>
      </c>
      <c r="Q65" s="19" t="n">
        <v>-1349009</v>
      </c>
      <c r="R65" s="19" t="n">
        <v>3437781.0374</v>
      </c>
      <c r="S65" s="4" t="n">
        <v>0.0169300225733634</v>
      </c>
      <c r="T65" s="4" t="n">
        <v>0.05</v>
      </c>
      <c r="U65" s="16" t="n">
        <v>1.098587559887944</v>
      </c>
      <c r="V65" s="16" t="n">
        <v>0.5357664233576643</v>
      </c>
      <c r="W65" s="4" t="n">
        <v>-0.005476784380837429</v>
      </c>
      <c r="X65" s="4" t="n">
        <v>-0.2492949802594473</v>
      </c>
      <c r="Y65" s="4" t="n">
        <v>0.001052250458238091</v>
      </c>
      <c r="Z65" s="4" t="n">
        <v>0.003554894325035085</v>
      </c>
      <c r="AA65" s="4" t="n">
        <v>0.03</v>
      </c>
      <c r="AB65" s="4" t="n">
        <v>0.05</v>
      </c>
      <c r="AC65" s="4">
        <f>(AB65+2*參數!$B$7)/(AA65+AB65)</f>
        <v/>
      </c>
    </row>
    <row r="66">
      <c r="A66" s="2" t="n">
        <v>65</v>
      </c>
      <c r="B66" s="2" t="inlineStr">
        <is>
          <t>MARSCOIN_USDT_PERP</t>
        </is>
      </c>
      <c r="C66" s="2" t="inlineStr">
        <is>
          <t>做多</t>
        </is>
      </c>
      <c r="D66" s="7" t="n">
        <v>46270.70833333334</v>
      </c>
      <c r="E66" s="17" t="n">
        <v>0.19456</v>
      </c>
      <c r="F66" s="17" t="n">
        <v>0.2003968</v>
      </c>
      <c r="G66" s="17" t="n">
        <v>0.184832</v>
      </c>
      <c r="H66" s="7" t="n">
        <v>46270.75</v>
      </c>
      <c r="I66" s="17" t="n">
        <v>0.2003968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0.06965748529330917</v>
      </c>
      <c r="O66" s="4" t="n">
        <v>0.08029745078799884</v>
      </c>
      <c r="P66" s="4" t="n">
        <v>0.05101949863733712</v>
      </c>
      <c r="Q66" s="19" t="n">
        <v>3426518</v>
      </c>
      <c r="R66" s="19" t="n">
        <v>11313272.11309</v>
      </c>
      <c r="S66" s="4" t="n">
        <v>0.03</v>
      </c>
      <c r="T66" s="4" t="n">
        <v>0</v>
      </c>
      <c r="U66" s="16" t="n">
        <v>0.6096169503983833</v>
      </c>
      <c r="V66" s="16" t="n">
        <v>0.5492686682063127</v>
      </c>
      <c r="W66" s="4" t="n"/>
      <c r="X66" s="4" t="n">
        <v>0.708915239350022</v>
      </c>
      <c r="Y66" s="4" t="n">
        <v>-0.0006978515960845977</v>
      </c>
      <c r="Z66" s="4" t="n">
        <v>0.001147042210449145</v>
      </c>
      <c r="AA66" s="4" t="n">
        <v>0.03</v>
      </c>
      <c r="AB66" s="4" t="n">
        <v>0.05</v>
      </c>
      <c r="AC66" s="4">
        <f>(AB66+2*參數!$B$7)/(AA66+AB66)</f>
        <v/>
      </c>
    </row>
    <row r="67">
      <c r="A67" s="2" t="n">
        <v>66</v>
      </c>
      <c r="B67" s="2" t="inlineStr">
        <is>
          <t>USELESS_USDT_PERP</t>
        </is>
      </c>
      <c r="C67" s="2" t="inlineStr">
        <is>
          <t>做空</t>
        </is>
      </c>
      <c r="D67" s="7" t="n">
        <v>46270.79166666666</v>
      </c>
      <c r="E67" s="17" t="n">
        <v>0.23397</v>
      </c>
      <c r="F67" s="17" t="n">
        <v>0.2269509</v>
      </c>
      <c r="G67" s="17" t="n">
        <v>0.2456685</v>
      </c>
      <c r="H67" s="7" t="n">
        <v>46270.91666666666</v>
      </c>
      <c r="I67" s="17" t="n">
        <v>0.2456685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-0.04377145659637072</v>
      </c>
      <c r="O67" s="4" t="n">
        <v>0.07135388468731871</v>
      </c>
      <c r="P67" s="4" t="n">
        <v>-0.03235011911064056</v>
      </c>
      <c r="Q67" s="19" t="n">
        <v>-824851</v>
      </c>
      <c r="R67" s="19" t="n">
        <v>11148789.01949</v>
      </c>
      <c r="S67" s="4" t="n">
        <v>0.02295166046929098</v>
      </c>
      <c r="T67" s="4" t="n">
        <v>0.05</v>
      </c>
      <c r="U67" s="16" t="n">
        <v>0.8740356287791156</v>
      </c>
      <c r="V67" s="16" t="n">
        <v>0.8503289473684206</v>
      </c>
      <c r="W67" s="4" t="n">
        <v>-0.3923553460803744</v>
      </c>
      <c r="X67" s="4" t="n">
        <v>0.01419903935282707</v>
      </c>
      <c r="Y67" s="4" t="n">
        <v>0.0001683531294838225</v>
      </c>
      <c r="Z67" s="4" t="n">
        <v>-8.771685101027771e-05</v>
      </c>
      <c r="AA67" s="4" t="n">
        <v>0.03</v>
      </c>
      <c r="AB67" s="4" t="n">
        <v>0.05</v>
      </c>
      <c r="AC67" s="4">
        <f>(AB67+2*參數!$B$7)/(AA67+AB67)</f>
        <v/>
      </c>
    </row>
    <row r="68">
      <c r="A68" s="2" t="n">
        <v>67</v>
      </c>
      <c r="B68" s="2" t="inlineStr">
        <is>
          <t>4_USDT_PERP</t>
        </is>
      </c>
      <c r="C68" s="2" t="inlineStr">
        <is>
          <t>做多</t>
        </is>
      </c>
      <c r="D68" s="7" t="n">
        <v>46270.875</v>
      </c>
      <c r="E68" s="17" t="n">
        <v>0.02597</v>
      </c>
      <c r="F68" s="17" t="n">
        <v>0.0267491</v>
      </c>
      <c r="G68" s="17" t="n">
        <v>0.0246715</v>
      </c>
      <c r="H68" s="7" t="n">
        <v>46270.91666666666</v>
      </c>
      <c r="I68" s="17" t="n">
        <v>0.0267491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0.04717741935483866</v>
      </c>
      <c r="O68" s="4" t="n">
        <v>0.07080517768080784</v>
      </c>
      <c r="P68" s="4" t="n">
        <v>0.03435228517375299</v>
      </c>
      <c r="Q68" s="19" t="n">
        <v>24650626</v>
      </c>
      <c r="R68" s="19" t="n">
        <v>2314478.3529</v>
      </c>
      <c r="S68" s="4" t="n">
        <v>0.03</v>
      </c>
      <c r="T68" s="4" t="n">
        <v>0</v>
      </c>
      <c r="U68" s="16" t="n">
        <v>0.7829040135091946</v>
      </c>
      <c r="V68" s="16" t="n">
        <v>0.8522167487684721</v>
      </c>
      <c r="W68" s="4" t="n">
        <v>0.5115182697568301</v>
      </c>
      <c r="X68" s="4" t="n">
        <v>0.6711711711711712</v>
      </c>
      <c r="Y68" s="4" t="n">
        <v>0.001114638075634611</v>
      </c>
      <c r="Z68" s="4" t="n">
        <v>0.001056582947793094</v>
      </c>
      <c r="AA68" s="4" t="n">
        <v>0.03</v>
      </c>
      <c r="AB68" s="4" t="n">
        <v>0.05</v>
      </c>
      <c r="AC68" s="4">
        <f>(AB68+2*參數!$B$7)/(AA68+AB68)</f>
        <v/>
      </c>
    </row>
    <row r="69">
      <c r="A69" s="2" t="n">
        <v>68</v>
      </c>
      <c r="B69" s="2" t="inlineStr">
        <is>
          <t>4_USDT_PERP</t>
        </is>
      </c>
      <c r="C69" s="2" t="inlineStr">
        <is>
          <t>做多</t>
        </is>
      </c>
      <c r="D69" s="7" t="n">
        <v>46271</v>
      </c>
      <c r="E69" s="17" t="n">
        <v>0.02716</v>
      </c>
      <c r="F69" s="17" t="n">
        <v>0.0279748</v>
      </c>
      <c r="G69" s="17" t="n">
        <v>0.025802</v>
      </c>
      <c r="H69" s="7" t="n">
        <v>46271.04166666666</v>
      </c>
      <c r="I69" s="17" t="n">
        <v>0.0279748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0.02143663031214738</v>
      </c>
      <c r="O69" s="4" t="n">
        <v>0.06541634539922911</v>
      </c>
      <c r="P69" s="4" t="n">
        <v>0.05116495084758887</v>
      </c>
      <c r="Q69" s="19" t="n">
        <v>15075684</v>
      </c>
      <c r="R69" s="19" t="n">
        <v>2492898.93811</v>
      </c>
      <c r="S69" s="4" t="n">
        <v>0.03</v>
      </c>
      <c r="T69" s="4" t="n">
        <v>0</v>
      </c>
      <c r="U69" s="16" t="n">
        <v>0.5446360923393501</v>
      </c>
      <c r="V69" s="16" t="n">
        <v>0.4462365591397853</v>
      </c>
      <c r="W69" s="4" t="n">
        <v>0.5455704270235819</v>
      </c>
      <c r="X69" s="4" t="n">
        <v>0.6943231441048037</v>
      </c>
      <c r="Y69" s="4" t="n">
        <v>0.001103270651494626</v>
      </c>
      <c r="Z69" s="4" t="n">
        <v>0.002083504383136425</v>
      </c>
      <c r="AA69" s="4" t="n">
        <v>0.03</v>
      </c>
      <c r="AB69" s="4" t="n">
        <v>0.05</v>
      </c>
      <c r="AC69" s="4">
        <f>(AB69+2*參數!$B$7)/(AA69+AB69)</f>
        <v/>
      </c>
    </row>
    <row r="70">
      <c r="A70" s="2" t="n">
        <v>69</v>
      </c>
      <c r="B70" s="2" t="inlineStr">
        <is>
          <t>NEAR_USDT_PERP</t>
        </is>
      </c>
      <c r="C70" s="2" t="inlineStr">
        <is>
          <t>做多</t>
        </is>
      </c>
      <c r="D70" s="7" t="n">
        <v>46271.08333333334</v>
      </c>
      <c r="E70" s="17" t="n">
        <v>2.251</v>
      </c>
      <c r="F70" s="17" t="n">
        <v>2.31853</v>
      </c>
      <c r="G70" s="17" t="n">
        <v>2.13845</v>
      </c>
      <c r="H70" s="7" t="n">
        <v>46271.70833333334</v>
      </c>
      <c r="I70" s="17" t="n">
        <v>2.31853</v>
      </c>
      <c r="J70" s="2" t="inlineStr">
        <is>
          <t>止盈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0.02039891205802347</v>
      </c>
      <c r="O70" s="4" t="n">
        <v>0.02068098998591394</v>
      </c>
      <c r="P70" s="4" t="n">
        <v>0.0145352112676056</v>
      </c>
      <c r="Q70" s="19" t="n">
        <v>120209</v>
      </c>
      <c r="R70" s="19" t="n">
        <v>3776189.788</v>
      </c>
      <c r="S70" s="4" t="n">
        <v>0.03</v>
      </c>
      <c r="T70" s="4" t="n">
        <v>0.03998223011994662</v>
      </c>
      <c r="U70" s="16" t="n">
        <v>0.7975812818373547</v>
      </c>
      <c r="V70" s="16" t="n">
        <v>0.9074074074074091</v>
      </c>
      <c r="W70" s="4" t="n">
        <v>0.1353434275165686</v>
      </c>
      <c r="X70" s="4" t="n">
        <v>0.1391700404858298</v>
      </c>
      <c r="Y70" s="4" t="n">
        <v>0.000357493743859516</v>
      </c>
      <c r="Z70" s="4" t="n">
        <v>0.004975400517795103</v>
      </c>
      <c r="AA70" s="4" t="n">
        <v>0.03</v>
      </c>
      <c r="AB70" s="4" t="n">
        <v>0.05</v>
      </c>
      <c r="AC70" s="4">
        <f>(AB70+2*參數!$B$7)/(AA70+AB70)</f>
        <v/>
      </c>
    </row>
    <row r="71">
      <c r="A71" s="2" t="n">
        <v>70</v>
      </c>
      <c r="B71" s="2" t="inlineStr">
        <is>
          <t>ZEN_USDT_PERP</t>
        </is>
      </c>
      <c r="C71" s="2" t="inlineStr">
        <is>
          <t>做空</t>
        </is>
      </c>
      <c r="D71" s="7" t="n">
        <v>46271.125</v>
      </c>
      <c r="E71" s="17" t="n">
        <v>6.91</v>
      </c>
      <c r="F71" s="17" t="n">
        <v>6.7027</v>
      </c>
      <c r="G71" s="17" t="n">
        <v>7.255500000000001</v>
      </c>
      <c r="H71" s="7" t="n">
        <v>46271.54166666666</v>
      </c>
      <c r="I71" s="17" t="n">
        <v>7.255500000000001</v>
      </c>
      <c r="J71" s="2" t="inlineStr">
        <is>
          <t>止損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-0.0216621832082684</v>
      </c>
      <c r="O71" s="4" t="n">
        <v>0.03331897234570923</v>
      </c>
      <c r="P71" s="4" t="n">
        <v>-0.05876904426237317</v>
      </c>
      <c r="Q71" s="19" t="n">
        <v>-20744.19999999999</v>
      </c>
      <c r="R71" s="19" t="n">
        <v>1722877.8389</v>
      </c>
      <c r="S71" s="4" t="n">
        <v>0.009696092619392194</v>
      </c>
      <c r="T71" s="4" t="n">
        <v>0.05</v>
      </c>
      <c r="U71" s="16" t="n">
        <v>0.6143393998569466</v>
      </c>
      <c r="V71" s="16" t="n">
        <v>0.9411764705882365</v>
      </c>
      <c r="W71" s="4" t="n">
        <v>-0.140399519414848</v>
      </c>
      <c r="X71" s="4" t="n">
        <v>-0.04380664652567967</v>
      </c>
      <c r="Y71" s="4" t="n">
        <v>0.000885917780832135</v>
      </c>
      <c r="Z71" s="4" t="n">
        <v>-0.003858987360286337</v>
      </c>
      <c r="AA71" s="4" t="n">
        <v>0.03</v>
      </c>
      <c r="AB71" s="4" t="n">
        <v>0.05</v>
      </c>
      <c r="AC71" s="4">
        <f>(AB71+2*參數!$B$7)/(AA71+AB71)</f>
        <v/>
      </c>
    </row>
    <row r="72">
      <c r="A72" s="2" t="n">
        <v>71</v>
      </c>
      <c r="B72" s="2" t="inlineStr">
        <is>
          <t>AKE_USDT_PERP</t>
        </is>
      </c>
      <c r="C72" s="2" t="inlineStr">
        <is>
          <t>做多</t>
        </is>
      </c>
      <c r="D72" s="7" t="n">
        <v>46271.16666666666</v>
      </c>
      <c r="E72" s="17" t="n">
        <v>0.019459</v>
      </c>
      <c r="F72" s="17" t="n">
        <v>0.02004277</v>
      </c>
      <c r="G72" s="17" t="n">
        <v>0.01848605</v>
      </c>
      <c r="H72" s="7" t="n">
        <v>46271.29166666666</v>
      </c>
      <c r="I72" s="17" t="n">
        <v>0.01848605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0.03077656531412232</v>
      </c>
      <c r="O72" s="4" t="n">
        <v>0.09223932779998835</v>
      </c>
      <c r="P72" s="4" t="n">
        <v>0.05296052142081242</v>
      </c>
      <c r="Q72" s="19" t="n">
        <v>83082653</v>
      </c>
      <c r="R72" s="19" t="n">
        <v>7443358.975299699</v>
      </c>
      <c r="S72" s="4" t="n">
        <v>0.006999331928670527</v>
      </c>
      <c r="T72" s="4" t="n">
        <v>0.05</v>
      </c>
      <c r="U72" s="16" t="n">
        <v>0.4265014454975002</v>
      </c>
      <c r="V72" s="16" t="n">
        <v>0.8826180257510727</v>
      </c>
      <c r="W72" s="4" t="n">
        <v>0.4082503103231065</v>
      </c>
      <c r="X72" s="4" t="n">
        <v>0.4671089833000341</v>
      </c>
      <c r="Y72" s="4" t="n">
        <v>-0.002991529419415828</v>
      </c>
      <c r="Z72" s="4" t="n">
        <v>0.0007907034812983937</v>
      </c>
      <c r="AA72" s="4" t="n">
        <v>0.03</v>
      </c>
      <c r="AB72" s="4" t="n">
        <v>0.05</v>
      </c>
      <c r="AC72" s="4">
        <f>(AB72+2*參數!$B$7)/(AA72+AB72)</f>
        <v/>
      </c>
    </row>
    <row r="73">
      <c r="A73" s="2" t="n">
        <v>72</v>
      </c>
      <c r="B73" s="2" t="inlineStr">
        <is>
          <t>牛来_USDT_PERP</t>
        </is>
      </c>
      <c r="C73" s="2" t="inlineStr">
        <is>
          <t>做多</t>
        </is>
      </c>
      <c r="D73" s="7" t="n">
        <v>46271.25</v>
      </c>
      <c r="E73" s="17" t="n">
        <v>0.11871</v>
      </c>
      <c r="F73" s="17" t="n">
        <v>0.1222713</v>
      </c>
      <c r="G73" s="17" t="n">
        <v>0.1127745</v>
      </c>
      <c r="H73" s="7" t="n">
        <v>46271.29166666666</v>
      </c>
      <c r="I73" s="17" t="n">
        <v>0.1222713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0.023803363518758</v>
      </c>
      <c r="O73" s="4" t="n">
        <v>0.07655668287248031</v>
      </c>
      <c r="P73" s="4" t="n">
        <v>0.05775742239013448</v>
      </c>
      <c r="Q73" s="19" t="n">
        <v>2096077</v>
      </c>
      <c r="R73" s="19" t="n">
        <v>1853887.39315</v>
      </c>
      <c r="S73" s="4" t="n">
        <v>0.03</v>
      </c>
      <c r="T73" s="4" t="n">
        <v>0</v>
      </c>
      <c r="U73" s="16" t="n">
        <v>0.4713961912980948</v>
      </c>
      <c r="V73" s="16" t="n">
        <v>0.8827319587628856</v>
      </c>
      <c r="W73" s="4" t="n">
        <v>0.332261927341166</v>
      </c>
      <c r="X73" s="4" t="n">
        <v>0.4361238809581418</v>
      </c>
      <c r="Y73" s="4" t="n">
        <v>0.002136706561056689</v>
      </c>
      <c r="Z73" s="4" t="n">
        <v>0.002365597065404623</v>
      </c>
      <c r="AA73" s="4" t="n">
        <v>0.03</v>
      </c>
      <c r="AB73" s="4" t="n">
        <v>0.05</v>
      </c>
      <c r="AC73" s="4">
        <f>(AB73+2*參數!$B$7)/(AA73+AB73)</f>
        <v/>
      </c>
    </row>
    <row r="74">
      <c r="A74" s="2" t="n">
        <v>73</v>
      </c>
      <c r="B74" s="2" t="inlineStr">
        <is>
          <t>DASH_USDT_PERP</t>
        </is>
      </c>
      <c r="C74" s="2" t="inlineStr">
        <is>
          <t>做多</t>
        </is>
      </c>
      <c r="D74" s="7" t="n">
        <v>46271.45833333334</v>
      </c>
      <c r="E74" s="17" t="n">
        <v>69.19</v>
      </c>
      <c r="F74" s="17" t="n">
        <v>71.2657</v>
      </c>
      <c r="G74" s="17" t="n">
        <v>65.73049999999999</v>
      </c>
      <c r="H74" s="7" t="n">
        <v>46271.54166666666</v>
      </c>
      <c r="I74" s="17" t="n">
        <v>71.2657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0.02321798284531185</v>
      </c>
      <c r="O74" s="4" t="n">
        <v>0.0319438630155098</v>
      </c>
      <c r="P74" s="4" t="n">
        <v>0.02244683837980799</v>
      </c>
      <c r="Q74" s="19" t="n">
        <v>7844.672999999995</v>
      </c>
      <c r="R74" s="19" t="n">
        <v>3182116.17652</v>
      </c>
      <c r="S74" s="4" t="n">
        <v>0.03</v>
      </c>
      <c r="T74" s="4" t="n">
        <v>0.03280820927879746</v>
      </c>
      <c r="U74" s="16" t="n">
        <v>0.4997138526263688</v>
      </c>
      <c r="V74" s="16" t="n">
        <v>0.9090909090909058</v>
      </c>
      <c r="W74" s="4" t="n">
        <v>0.3260200043312693</v>
      </c>
      <c r="X74" s="4" t="n">
        <v>0.01839858698851926</v>
      </c>
      <c r="Y74" s="4" t="n">
        <v>-0.0005368203716448194</v>
      </c>
      <c r="Z74" s="4" t="n">
        <v>0.001419026235560894</v>
      </c>
      <c r="AA74" s="4" t="n">
        <v>0.03</v>
      </c>
      <c r="AB74" s="4" t="n">
        <v>0.05</v>
      </c>
      <c r="AC74" s="4">
        <f>(AB74+2*參數!$B$7)/(AA74+AB74)</f>
        <v/>
      </c>
    </row>
    <row r="75">
      <c r="A75" s="2" t="n">
        <v>74</v>
      </c>
      <c r="B75" s="2" t="inlineStr">
        <is>
          <t>HEMI_USDT_PERP</t>
        </is>
      </c>
      <c r="C75" s="2" t="inlineStr">
        <is>
          <t>做空</t>
        </is>
      </c>
      <c r="D75" s="7" t="n">
        <v>46271.5</v>
      </c>
      <c r="E75" s="17" t="n">
        <v>0.01166</v>
      </c>
      <c r="F75" s="17" t="n">
        <v>0.0113102</v>
      </c>
      <c r="G75" s="17" t="n">
        <v>0.012243</v>
      </c>
      <c r="H75" s="7" t="n">
        <v>46271.54166666666</v>
      </c>
      <c r="I75" s="17" t="n">
        <v>0.0113102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-0.02508361204013376</v>
      </c>
      <c r="O75" s="4" t="n">
        <v>0.04674940283171153</v>
      </c>
      <c r="P75" s="4" t="n">
        <v>-0.04143373890167701</v>
      </c>
      <c r="Q75" s="19" t="n">
        <v>-60572711</v>
      </c>
      <c r="R75" s="19" t="n">
        <v>1222480.36925</v>
      </c>
      <c r="S75" s="4" t="n">
        <v>0.03</v>
      </c>
      <c r="T75" s="4" t="n">
        <v>0</v>
      </c>
      <c r="U75" s="16" t="n">
        <v>0.7248367471056822</v>
      </c>
      <c r="V75" s="16" t="n">
        <v>0.5125000000000006</v>
      </c>
      <c r="W75" s="4" t="n">
        <v>0.2118692757443645</v>
      </c>
      <c r="X75" s="4" t="n">
        <v>0.1677373304782298</v>
      </c>
      <c r="Y75" s="4" t="n">
        <v>-0.001488629947127951</v>
      </c>
      <c r="Z75" s="4" t="n">
        <v>-0.002709940474321382</v>
      </c>
      <c r="AA75" s="4" t="n">
        <v>0.03</v>
      </c>
      <c r="AB75" s="4" t="n">
        <v>0.05</v>
      </c>
      <c r="AC75" s="4">
        <f>(AB75+2*參數!$B$7)/(AA75+AB75)</f>
        <v/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46271.58333333334</v>
      </c>
      <c r="E76" s="17" t="n">
        <v>0.01128</v>
      </c>
      <c r="F76" s="17" t="n">
        <v>0.0109416</v>
      </c>
      <c r="G76" s="17" t="n">
        <v>0.011844</v>
      </c>
      <c r="H76" s="7" t="n">
        <v>46271.75</v>
      </c>
      <c r="I76" s="17" t="n">
        <v>0.011844</v>
      </c>
      <c r="J76" s="2" t="inlineStr">
        <is>
          <t>止損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-0.02337662337662327</v>
      </c>
      <c r="O76" s="4" t="n">
        <v>0.04711317134172856</v>
      </c>
      <c r="P76" s="4" t="n">
        <v>-0.05158279732627058</v>
      </c>
      <c r="Q76" s="19" t="n">
        <v>-65936388</v>
      </c>
      <c r="R76" s="19" t="n">
        <v>1231916.4476</v>
      </c>
      <c r="S76" s="4" t="n">
        <v>0.00265957446808518</v>
      </c>
      <c r="T76" s="4" t="n">
        <v>0.05</v>
      </c>
      <c r="U76" s="16" t="n">
        <v>0.3502152078149993</v>
      </c>
      <c r="V76" s="16" t="n">
        <v>0.9148936170212764</v>
      </c>
      <c r="W76" s="4" t="n">
        <v>0.2338413888662483</v>
      </c>
      <c r="X76" s="4" t="n">
        <v>0.195435092724679</v>
      </c>
      <c r="Y76" s="4" t="n">
        <v>-0.001627330126277693</v>
      </c>
      <c r="Z76" s="4" t="n">
        <v>-0.001889588130687292</v>
      </c>
      <c r="AA76" s="4" t="n">
        <v>0.03</v>
      </c>
      <c r="AB76" s="4" t="n">
        <v>0.05</v>
      </c>
      <c r="AC76" s="4">
        <f>(AB76+2*參數!$B$7)/(AA76+AB76)</f>
        <v/>
      </c>
    </row>
    <row r="77">
      <c r="A77" s="2" t="n">
        <v>76</v>
      </c>
      <c r="B77" s="2" t="inlineStr">
        <is>
          <t>PONS_USDT_PERP</t>
        </is>
      </c>
      <c r="C77" s="2" t="inlineStr">
        <is>
          <t>做多</t>
        </is>
      </c>
      <c r="D77" s="7" t="n">
        <v>46271.66666666666</v>
      </c>
      <c r="E77" s="17" t="n">
        <v>0.9263</v>
      </c>
      <c r="F77" s="17" t="n">
        <v>0.9540890000000001</v>
      </c>
      <c r="G77" s="17" t="n">
        <v>0.879985</v>
      </c>
      <c r="H77" s="7" t="n">
        <v>46271.83333333334</v>
      </c>
      <c r="I77" s="17" t="n">
        <v>0.9540890000000001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0.04501353790613716</v>
      </c>
      <c r="O77" s="4" t="n">
        <v>0.05811417865227439</v>
      </c>
      <c r="P77" s="4" t="n">
        <v>0.01739779891483417</v>
      </c>
      <c r="Q77" s="19" t="n">
        <v>3591741</v>
      </c>
      <c r="R77" s="19" t="n">
        <v>10728374.9275</v>
      </c>
      <c r="S77" s="4" t="n">
        <v>0.03</v>
      </c>
      <c r="T77" s="4" t="n">
        <v>0.03584152002590957</v>
      </c>
      <c r="U77" s="16" t="n">
        <v>1.206720839265955</v>
      </c>
      <c r="V77" s="16" t="n">
        <v>0.8577075098814232</v>
      </c>
      <c r="W77" s="4" t="n">
        <v>0.4184994502414956</v>
      </c>
      <c r="X77" s="4" t="n">
        <v>0.2111663179916317</v>
      </c>
      <c r="Y77" s="4" t="n">
        <v>0.0003561668917793082</v>
      </c>
      <c r="Z77" s="4" t="n">
        <v>-0.0006775838026839009</v>
      </c>
      <c r="AA77" s="4" t="n">
        <v>0.03</v>
      </c>
      <c r="AB77" s="4" t="n">
        <v>0.05</v>
      </c>
      <c r="AC77" s="4">
        <f>(AB77+2*參數!$B$7)/(AA77+AB77)</f>
        <v/>
      </c>
    </row>
    <row r="78">
      <c r="A78" s="2" t="n">
        <v>77</v>
      </c>
      <c r="B78" s="2" t="inlineStr">
        <is>
          <t>UAI_USDT_PERP</t>
        </is>
      </c>
      <c r="C78" s="2" t="inlineStr">
        <is>
          <t>做空</t>
        </is>
      </c>
      <c r="D78" s="7" t="n">
        <v>46271.75</v>
      </c>
      <c r="E78" s="17" t="n">
        <v>0.5347</v>
      </c>
      <c r="F78" s="17" t="n">
        <v>0.518659</v>
      </c>
      <c r="G78" s="17" t="n">
        <v>0.561435</v>
      </c>
      <c r="H78" s="7" t="n">
        <v>46271.95833333334</v>
      </c>
      <c r="I78" s="17" t="n">
        <v>0.561435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-0.08909710391822834</v>
      </c>
      <c r="O78" s="4" t="n">
        <v>0.09131105954557425</v>
      </c>
      <c r="P78" s="4" t="n">
        <v>-0.02522172696363956</v>
      </c>
      <c r="Q78" s="19" t="n">
        <v>-1062918</v>
      </c>
      <c r="R78" s="19" t="n">
        <v>5160090.6448</v>
      </c>
      <c r="S78" s="4" t="n">
        <v>0.0237516364316438</v>
      </c>
      <c r="T78" s="4" t="n">
        <v>0.05</v>
      </c>
      <c r="U78" s="16" t="n">
        <v>0.9326138521704536</v>
      </c>
      <c r="V78" s="16" t="n">
        <v>0.668757841907152</v>
      </c>
      <c r="W78" s="4" t="n">
        <v>-0.1748240071012366</v>
      </c>
      <c r="X78" s="4" t="n">
        <v>-0.1413020277481323</v>
      </c>
      <c r="Y78" s="4" t="n">
        <v>-0.0005287577825752177</v>
      </c>
      <c r="Z78" s="4" t="n">
        <v>-0.0001306964996194981</v>
      </c>
      <c r="AA78" s="4" t="n">
        <v>0.03</v>
      </c>
      <c r="AB78" s="4" t="n">
        <v>0.05</v>
      </c>
      <c r="AC78" s="4">
        <f>(AB78+2*參數!$B$7)/(AA78+AB78)</f>
        <v/>
      </c>
    </row>
    <row r="79">
      <c r="A79" s="2" t="n">
        <v>78</v>
      </c>
      <c r="B79" s="2" t="inlineStr">
        <is>
          <t>LIT_USDT_PERP</t>
        </is>
      </c>
      <c r="C79" s="2" t="inlineStr">
        <is>
          <t>做空</t>
        </is>
      </c>
      <c r="D79" s="7" t="n">
        <v>46271.875</v>
      </c>
      <c r="E79" s="17" t="n">
        <v>4.533</v>
      </c>
      <c r="F79" s="17" t="n">
        <v>4.39701</v>
      </c>
      <c r="G79" s="17" t="n">
        <v>4.759650000000001</v>
      </c>
      <c r="H79" s="7" t="n">
        <v>46272.54166666666</v>
      </c>
      <c r="I79" s="17" t="n">
        <v>4.39701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-0.02369157872065464</v>
      </c>
      <c r="O79" s="4" t="n">
        <v>0.02184362723830726</v>
      </c>
      <c r="P79" s="4" t="n">
        <v>-0.03407274819408035</v>
      </c>
      <c r="Q79" s="19" t="n">
        <v>-49244.10000000149</v>
      </c>
      <c r="R79" s="19" t="n">
        <v>3687645.7244</v>
      </c>
      <c r="S79" s="4" t="n">
        <v>0.03</v>
      </c>
      <c r="T79" s="4" t="n">
        <v>0.04787116699757332</v>
      </c>
      <c r="U79" s="16" t="n">
        <v>0.7670897701603352</v>
      </c>
      <c r="V79" s="16" t="n">
        <v>0.9487179487179468</v>
      </c>
      <c r="W79" s="4" t="n">
        <v>-0.04164273010124608</v>
      </c>
      <c r="X79" s="4" t="n">
        <v>0.01776814734561205</v>
      </c>
      <c r="Y79" s="4" t="n">
        <v>-4.506850412644425e-05</v>
      </c>
      <c r="Z79" s="4" t="n">
        <v>-0.0003254607887372973</v>
      </c>
      <c r="AA79" s="4" t="n">
        <v>0.03</v>
      </c>
      <c r="AB79" s="4" t="n">
        <v>0.05</v>
      </c>
      <c r="AC79" s="4">
        <f>(AB79+2*參數!$B$7)/(AA79+AB79)</f>
        <v/>
      </c>
    </row>
    <row r="80">
      <c r="A80" s="2" t="n">
        <v>79</v>
      </c>
      <c r="B80" s="2" t="inlineStr">
        <is>
          <t>ARB_USDT_PERP</t>
        </is>
      </c>
      <c r="C80" s="2" t="inlineStr">
        <is>
          <t>做空</t>
        </is>
      </c>
      <c r="D80" s="7" t="n">
        <v>46271.95833333334</v>
      </c>
      <c r="E80" s="17" t="n">
        <v>0.1862</v>
      </c>
      <c r="F80" s="17" t="n">
        <v>0.180614</v>
      </c>
      <c r="G80" s="17" t="n">
        <v>0.19551</v>
      </c>
      <c r="H80" s="7" t="n">
        <v>46272.5</v>
      </c>
      <c r="I80" s="17" t="n">
        <v>0.180614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-0.03673047077082248</v>
      </c>
      <c r="O80" s="4" t="n">
        <v>0.04247159968427301</v>
      </c>
      <c r="P80" s="4" t="n">
        <v>-0.005049560501215633</v>
      </c>
      <c r="Q80" s="19" t="n">
        <v>-2146168.2</v>
      </c>
      <c r="R80" s="19" t="n">
        <v>6861448.897129999</v>
      </c>
      <c r="S80" s="4" t="n">
        <v>0.03</v>
      </c>
      <c r="T80" s="4" t="n">
        <v>0.03061224489795911</v>
      </c>
      <c r="U80" s="16" t="n">
        <v>2.51942219716008</v>
      </c>
      <c r="V80" s="16" t="n">
        <v>0.7319587628865984</v>
      </c>
      <c r="W80" s="4" t="n">
        <v>-0.3035016731305042</v>
      </c>
      <c r="X80" s="4" t="n">
        <v>-0.3854166666666667</v>
      </c>
      <c r="Y80" s="4" t="n">
        <v>0.003597996851909313</v>
      </c>
      <c r="Z80" s="4" t="n">
        <v>0.003938029837522672</v>
      </c>
      <c r="AA80" s="4" t="n">
        <v>0.03</v>
      </c>
      <c r="AB80" s="4" t="n">
        <v>0.05</v>
      </c>
      <c r="AC80" s="4">
        <f>(AB80+2*參數!$B$7)/(AA80+AB80)</f>
        <v/>
      </c>
    </row>
    <row r="81">
      <c r="A81" s="2" t="n">
        <v>80</v>
      </c>
      <c r="B81" s="2" t="inlineStr">
        <is>
          <t>DASH_USDT_PERP</t>
        </is>
      </c>
      <c r="C81" s="2" t="inlineStr">
        <is>
          <t>做空</t>
        </is>
      </c>
      <c r="D81" s="7" t="n">
        <v>46271.95833333334</v>
      </c>
      <c r="E81" s="17" t="n">
        <v>67.53</v>
      </c>
      <c r="F81" s="17" t="n">
        <v>65.50409999999999</v>
      </c>
      <c r="G81" s="17" t="n">
        <v>70.90650000000001</v>
      </c>
      <c r="H81" s="7" t="n">
        <v>46272.125</v>
      </c>
      <c r="I81" s="17" t="n">
        <v>70.90650000000001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-0.02102058567700782</v>
      </c>
      <c r="O81" s="4" t="n">
        <v>0.04320472960877879</v>
      </c>
      <c r="P81" s="4" t="n">
        <v>-0.02260046460128973</v>
      </c>
      <c r="Q81" s="19" t="n">
        <v>-405.6010000000024</v>
      </c>
      <c r="R81" s="19" t="n">
        <v>3888972.18861</v>
      </c>
      <c r="S81" s="4" t="n">
        <v>0.01554864504664588</v>
      </c>
      <c r="T81" s="4" t="n">
        <v>0.05</v>
      </c>
      <c r="U81" s="16" t="n">
        <v>0.6172389244500216</v>
      </c>
      <c r="V81" s="16" t="n">
        <v>0.5826771653543308</v>
      </c>
      <c r="W81" s="4" t="n">
        <v>-0.216305299294316</v>
      </c>
      <c r="X81" s="4" t="n">
        <v>0.01127379209370416</v>
      </c>
      <c r="Y81" s="4" t="n">
        <v>0.003597996851909313</v>
      </c>
      <c r="Z81" s="4" t="n">
        <v>0.003938029837522672</v>
      </c>
      <c r="AA81" s="4" t="n">
        <v>0.03</v>
      </c>
      <c r="AB81" s="4" t="n">
        <v>0.05</v>
      </c>
      <c r="AC81" s="4">
        <f>(AB81+2*參數!$B$7)/(AA81+AB81)</f>
        <v/>
      </c>
    </row>
    <row r="82">
      <c r="A82" s="2" t="n">
        <v>81</v>
      </c>
      <c r="B82" s="2" t="inlineStr">
        <is>
          <t>BULLA_USDT_PERP</t>
        </is>
      </c>
      <c r="C82" s="2" t="inlineStr">
        <is>
          <t>做空</t>
        </is>
      </c>
      <c r="D82" s="7" t="n">
        <v>46272</v>
      </c>
      <c r="E82" s="17" t="n">
        <v>0.0756</v>
      </c>
      <c r="F82" s="17" t="n">
        <v>0.07333199999999999</v>
      </c>
      <c r="G82" s="17" t="n">
        <v>0.07938000000000001</v>
      </c>
      <c r="H82" s="7" t="n">
        <v>46272.08333333334</v>
      </c>
      <c r="I82" s="17" t="n">
        <v>0.07333199999999999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-0.07894736842105265</v>
      </c>
      <c r="O82" s="4" t="n">
        <v>0.1052622499575015</v>
      </c>
      <c r="P82" s="4" t="n">
        <v>-0.04433235996814433</v>
      </c>
      <c r="Q82" s="19" t="n">
        <v>-23173212</v>
      </c>
      <c r="R82" s="19" t="n">
        <v>9565261.78688</v>
      </c>
      <c r="S82" s="4" t="n">
        <v>0.03</v>
      </c>
      <c r="T82" s="4" t="n">
        <v>0.03981481481481475</v>
      </c>
      <c r="U82" s="16" t="n">
        <v>1.373187858726033</v>
      </c>
      <c r="V82" s="16" t="n">
        <v>0.6516220028208743</v>
      </c>
      <c r="W82" s="4" t="n">
        <v>-0.6281313531580583</v>
      </c>
      <c r="X82" s="4" t="n">
        <v>0.0643564356435643</v>
      </c>
      <c r="Y82" s="4" t="n">
        <v>-0.002144457175630388</v>
      </c>
      <c r="Z82" s="4" t="n">
        <v>0.001775693130760536</v>
      </c>
      <c r="AA82" s="4" t="n">
        <v>0.03</v>
      </c>
      <c r="AB82" s="4" t="n">
        <v>0.05</v>
      </c>
      <c r="AC82" s="4">
        <f>(AB82+2*參數!$B$7)/(AA82+AB82)</f>
        <v/>
      </c>
    </row>
    <row r="83">
      <c r="A83" s="2" t="n">
        <v>82</v>
      </c>
      <c r="B83" s="2" t="inlineStr">
        <is>
          <t>NEAR_USDT_PERP</t>
        </is>
      </c>
      <c r="C83" s="2" t="inlineStr">
        <is>
          <t>做多</t>
        </is>
      </c>
      <c r="D83" s="7" t="n">
        <v>46272.125</v>
      </c>
      <c r="E83" s="17" t="n">
        <v>2.427</v>
      </c>
      <c r="F83" s="17" t="n">
        <v>2.49981</v>
      </c>
      <c r="G83" s="17" t="n">
        <v>2.30565</v>
      </c>
      <c r="H83" s="7" t="n">
        <v>46272.66666666666</v>
      </c>
      <c r="I83" s="17" t="n">
        <v>2.30565</v>
      </c>
      <c r="J83" s="2" t="inlineStr">
        <is>
          <t>止損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0.02189473684210519</v>
      </c>
      <c r="O83" s="4" t="n">
        <v>0.02496182730090847</v>
      </c>
      <c r="P83" s="4" t="n">
        <v>0.047814355099838</v>
      </c>
      <c r="Q83" s="19" t="n">
        <v>276139</v>
      </c>
      <c r="R83" s="19" t="n">
        <v>3224744.108</v>
      </c>
      <c r="S83" s="4" t="n">
        <v>0.02884219200659244</v>
      </c>
      <c r="T83" s="4" t="n">
        <v>0.05</v>
      </c>
      <c r="U83" s="16" t="n">
        <v>0.6276957226326096</v>
      </c>
      <c r="V83" s="16" t="n">
        <v>0.982758620689657</v>
      </c>
      <c r="W83" s="4" t="n">
        <v>0.1648444474308151</v>
      </c>
      <c r="X83" s="4" t="n">
        <v>0.09078651685393258</v>
      </c>
      <c r="Y83" s="4" t="n">
        <v>0.002558083808295475</v>
      </c>
      <c r="Z83" s="4" t="n">
        <v>0.00119737252092067</v>
      </c>
      <c r="AA83" s="4" t="n">
        <v>0.03</v>
      </c>
      <c r="AB83" s="4" t="n">
        <v>0.05</v>
      </c>
      <c r="AC83" s="4">
        <f>(AB83+2*參數!$B$7)/(AA83+AB83)</f>
        <v/>
      </c>
    </row>
    <row r="84">
      <c r="A84" s="2" t="n">
        <v>83</v>
      </c>
      <c r="B84" s="2" t="inlineStr">
        <is>
          <t>AKE_USDT_PERP</t>
        </is>
      </c>
      <c r="C84" s="2" t="inlineStr">
        <is>
          <t>做空</t>
        </is>
      </c>
      <c r="D84" s="7" t="n">
        <v>46272.16666666666</v>
      </c>
      <c r="E84" s="17" t="n">
        <v>0.0145755</v>
      </c>
      <c r="F84" s="17" t="n">
        <v>0.014138235</v>
      </c>
      <c r="G84" s="17" t="n">
        <v>0.015304275</v>
      </c>
      <c r="H84" s="7" t="n">
        <v>46272.29166666666</v>
      </c>
      <c r="I84" s="17" t="n">
        <v>0.014138235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-0.02952926293361735</v>
      </c>
      <c r="O84" s="4" t="n">
        <v>0.07008563567187494</v>
      </c>
      <c r="P84" s="4" t="n">
        <v>-0.04822975174177779</v>
      </c>
      <c r="Q84" s="19" t="n">
        <v>-142288129</v>
      </c>
      <c r="R84" s="19" t="n">
        <v>4025553.8793134</v>
      </c>
      <c r="S84" s="4" t="n">
        <v>0.03</v>
      </c>
      <c r="T84" s="4" t="n">
        <v>0.03615656409728651</v>
      </c>
      <c r="U84" s="16" t="n">
        <v>0.8978939917775784</v>
      </c>
      <c r="V84" s="16" t="n">
        <v>0.6206959207776872</v>
      </c>
      <c r="W84" s="4" t="n">
        <v>0.060927389208696</v>
      </c>
      <c r="X84" s="4" t="n">
        <v>0.2509635644174932</v>
      </c>
      <c r="Y84" s="4" t="n">
        <v>0.001342726999699728</v>
      </c>
      <c r="Z84" s="4" t="n">
        <v>0.0001499686719580451</v>
      </c>
      <c r="AA84" s="4" t="n">
        <v>0.03</v>
      </c>
      <c r="AB84" s="4" t="n">
        <v>0.05</v>
      </c>
      <c r="AC84" s="4">
        <f>(AB84+2*參數!$B$7)/(AA84+AB84)</f>
        <v/>
      </c>
    </row>
    <row r="85">
      <c r="A85" s="2" t="n">
        <v>84</v>
      </c>
      <c r="B85" s="2" t="inlineStr">
        <is>
          <t>RAY_USDT_PERP</t>
        </is>
      </c>
      <c r="C85" s="2" t="inlineStr">
        <is>
          <t>做多</t>
        </is>
      </c>
      <c r="D85" s="7" t="n">
        <v>46272.25</v>
      </c>
      <c r="E85" s="17" t="n">
        <v>1.253</v>
      </c>
      <c r="F85" s="17" t="n">
        <v>1.29059</v>
      </c>
      <c r="G85" s="17" t="n">
        <v>1.19035</v>
      </c>
      <c r="H85" s="7" t="n">
        <v>46272.33333333334</v>
      </c>
      <c r="I85" s="17" t="n">
        <v>1.29059</v>
      </c>
      <c r="J85" s="2" t="inlineStr">
        <is>
          <t>止盈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0.03212520593080725</v>
      </c>
      <c r="O85" s="4" t="n">
        <v>0.05628540361934683</v>
      </c>
      <c r="P85" s="4" t="n">
        <v>0.02759667035715752</v>
      </c>
      <c r="Q85" s="19" t="n">
        <v>733663.5000000001</v>
      </c>
      <c r="R85" s="19" t="n">
        <v>4216683.6979</v>
      </c>
      <c r="S85" s="4" t="n">
        <v>0.03</v>
      </c>
      <c r="T85" s="4" t="n">
        <v>0.01197126895450906</v>
      </c>
      <c r="U85" s="16" t="n">
        <v>0.8849819378003992</v>
      </c>
      <c r="V85" s="16" t="n">
        <v>0.8301886792452806</v>
      </c>
      <c r="W85" s="4" t="n">
        <v>0.3787260263421397</v>
      </c>
      <c r="X85" s="4" t="n">
        <v>0.4336384439359267</v>
      </c>
      <c r="Y85" s="4" t="n">
        <v>0.0003818600213840728</v>
      </c>
      <c r="Z85" s="4" t="n">
        <v>0.001060787894664905</v>
      </c>
      <c r="AA85" s="4" t="n">
        <v>0.03</v>
      </c>
      <c r="AB85" s="4" t="n">
        <v>0.05</v>
      </c>
      <c r="AC85" s="4">
        <f>(AB85+2*參數!$B$7)/(AA85+AB85)</f>
        <v/>
      </c>
    </row>
    <row r="86">
      <c r="A86" s="2" t="n">
        <v>85</v>
      </c>
      <c r="B86" s="2" t="inlineStr">
        <is>
          <t>BULLA_USDT_PERP</t>
        </is>
      </c>
      <c r="C86" s="2" t="inlineStr">
        <is>
          <t>做空</t>
        </is>
      </c>
      <c r="D86" s="7" t="n">
        <v>46272.375</v>
      </c>
      <c r="E86" s="17" t="n">
        <v>0.07263</v>
      </c>
      <c r="F86" s="17" t="n">
        <v>0.0704511</v>
      </c>
      <c r="G86" s="17" t="n">
        <v>0.07626150000000001</v>
      </c>
      <c r="H86" s="7" t="n">
        <v>46272.5</v>
      </c>
      <c r="I86" s="17" t="n">
        <v>0.07626150000000001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-0.04080824088748014</v>
      </c>
      <c r="O86" s="4" t="n">
        <v>0.07833729236103196</v>
      </c>
      <c r="P86" s="4" t="n">
        <v>-0.03200010662259578</v>
      </c>
      <c r="Q86" s="19" t="n">
        <v>-13997287</v>
      </c>
      <c r="R86" s="19" t="n">
        <v>5974493.69372</v>
      </c>
      <c r="S86" s="4" t="n">
        <v>0.003442103813851016</v>
      </c>
      <c r="T86" s="4" t="n">
        <v>0.05</v>
      </c>
      <c r="U86" s="16" t="n">
        <v>0.5448392640153334</v>
      </c>
      <c r="V86" s="16" t="n">
        <v>0.709359605911331</v>
      </c>
      <c r="W86" s="4" t="n">
        <v>-0.4216784927819919</v>
      </c>
      <c r="X86" s="4" t="n">
        <v>0.0756013745704468</v>
      </c>
      <c r="Y86" s="4" t="n">
        <v>0.002231600812442336</v>
      </c>
      <c r="Z86" s="4" t="n">
        <v>-0.003341114302099157</v>
      </c>
      <c r="AA86" s="4" t="n">
        <v>0.03</v>
      </c>
      <c r="AB86" s="4" t="n">
        <v>0.05</v>
      </c>
      <c r="AC86" s="4">
        <f>(AB86+2*參數!$B$7)/(AA86+AB86)</f>
        <v/>
      </c>
    </row>
    <row r="87">
      <c r="A87" s="2" t="n">
        <v>86</v>
      </c>
      <c r="B87" s="2" t="inlineStr">
        <is>
          <t>DASH_USDT_PERP</t>
        </is>
      </c>
      <c r="C87" s="2" t="inlineStr">
        <is>
          <t>做空</t>
        </is>
      </c>
      <c r="D87" s="7" t="n">
        <v>46272.58333333334</v>
      </c>
      <c r="E87" s="17" t="n">
        <v>67.29000000000001</v>
      </c>
      <c r="F87" s="17" t="n">
        <v>65.27130000000001</v>
      </c>
      <c r="G87" s="17" t="n">
        <v>70.65450000000001</v>
      </c>
      <c r="H87" s="7" t="n">
        <v>46273</v>
      </c>
      <c r="I87" s="17" t="n">
        <v>65.27130000000001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-0.03816466552315589</v>
      </c>
      <c r="O87" s="4" t="n">
        <v>0.0357730991626535</v>
      </c>
      <c r="P87" s="4" t="n">
        <v>-0.02950848044305954</v>
      </c>
      <c r="Q87" s="19" t="n">
        <v>-5619.18</v>
      </c>
      <c r="R87" s="19" t="n">
        <v>2920882.1209</v>
      </c>
      <c r="S87" s="4" t="n">
        <v>0.03</v>
      </c>
      <c r="T87" s="4" t="n">
        <v>0.02660127805023027</v>
      </c>
      <c r="U87" s="16" t="n">
        <v>1.277949497183152</v>
      </c>
      <c r="V87" s="16" t="n">
        <v>0.9576470588235279</v>
      </c>
      <c r="W87" s="4" t="n">
        <v>-0.1280993813810796</v>
      </c>
      <c r="X87" s="4" t="n">
        <v>0.1319659442724457</v>
      </c>
      <c r="Y87" s="4" t="n">
        <v>-0.0004078513262697481</v>
      </c>
      <c r="Z87" s="4" t="n">
        <v>0.001445753190815746</v>
      </c>
      <c r="AA87" s="4" t="n">
        <v>0.03</v>
      </c>
      <c r="AB87" s="4" t="n">
        <v>0.05</v>
      </c>
      <c r="AC87" s="4">
        <f>(AB87+2*參數!$B$7)/(AA87+AB87)</f>
        <v/>
      </c>
    </row>
    <row r="88">
      <c r="A88" s="2" t="n">
        <v>87</v>
      </c>
      <c r="B88" s="2" t="inlineStr">
        <is>
          <t>UAI_USDT_PERP</t>
        </is>
      </c>
      <c r="C88" s="2" t="inlineStr">
        <is>
          <t>做多</t>
        </is>
      </c>
      <c r="D88" s="7" t="n">
        <v>46272.625</v>
      </c>
      <c r="E88" s="17" t="n">
        <v>0.6192</v>
      </c>
      <c r="F88" s="17" t="n">
        <v>0.637776</v>
      </c>
      <c r="G88" s="17" t="n">
        <v>0.58824</v>
      </c>
      <c r="H88" s="7" t="n">
        <v>46272.62569444445</v>
      </c>
      <c r="I88" s="17" t="n">
        <v>0.637776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>
        <is>
          <t>同1h觸發；1分K判定先止盈</t>
        </is>
      </c>
      <c r="N88" s="4" t="n">
        <v>0.07836990595611271</v>
      </c>
      <c r="O88" s="4" t="n">
        <v>0.07111582014243138</v>
      </c>
      <c r="P88" s="4" t="n">
        <v>0.04138110814924434</v>
      </c>
      <c r="Q88" s="19" t="n">
        <v>1377218</v>
      </c>
      <c r="R88" s="19" t="n">
        <v>3044404.6498</v>
      </c>
      <c r="S88" s="4" t="n">
        <v>0.03</v>
      </c>
      <c r="T88" s="4" t="n">
        <v>0</v>
      </c>
      <c r="U88" s="16" t="n">
        <v>2.280732115794299</v>
      </c>
      <c r="V88" s="16" t="n">
        <v>0.9980638915779286</v>
      </c>
      <c r="W88" s="4" t="n">
        <v>0.3060398013098364</v>
      </c>
      <c r="X88" s="4" t="n">
        <v>0.1160778658976207</v>
      </c>
      <c r="Y88" s="4" t="n">
        <v>-0.001269468529222828</v>
      </c>
      <c r="Z88" s="4" t="n">
        <v>-0.002496602518252233</v>
      </c>
      <c r="AA88" s="4" t="n">
        <v>0.03</v>
      </c>
      <c r="AB88" s="4" t="n">
        <v>0.05</v>
      </c>
      <c r="AC88" s="4">
        <f>(AB88+2*參數!$B$7)/(AA88+AB88)</f>
        <v/>
      </c>
    </row>
    <row r="89">
      <c r="A89" s="2" t="n">
        <v>88</v>
      </c>
      <c r="B89" s="2" t="inlineStr">
        <is>
          <t>UAI_USDT_PERP</t>
        </is>
      </c>
      <c r="C89" s="2" t="inlineStr">
        <is>
          <t>做多</t>
        </is>
      </c>
      <c r="D89" s="7" t="n">
        <v>46272.75</v>
      </c>
      <c r="E89" s="17" t="n">
        <v>0.6352</v>
      </c>
      <c r="F89" s="17" t="n">
        <v>0.6542559999999999</v>
      </c>
      <c r="G89" s="17" t="n">
        <v>0.60344</v>
      </c>
      <c r="H89" s="7" t="n">
        <v>46272.875</v>
      </c>
      <c r="I89" s="17" t="n">
        <v>0.6542559999999999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0.05409890474610024</v>
      </c>
      <c r="O89" s="4" t="n">
        <v>0.07222554160034142</v>
      </c>
      <c r="P89" s="4" t="n">
        <v>0.0518384818552895</v>
      </c>
      <c r="Q89" s="19" t="n">
        <v>1167915</v>
      </c>
      <c r="R89" s="19" t="n">
        <v>2785005.0864</v>
      </c>
      <c r="S89" s="4" t="n">
        <v>0.03</v>
      </c>
      <c r="T89" s="4" t="n">
        <v>0.0110201511335013</v>
      </c>
      <c r="U89" s="16" t="n">
        <v>0.7191251894160159</v>
      </c>
      <c r="V89" s="16" t="n">
        <v>0.8596237337192469</v>
      </c>
      <c r="W89" s="4" t="n">
        <v>0.3211589259343997</v>
      </c>
      <c r="X89" s="4" t="n">
        <v>0.1879558631008043</v>
      </c>
      <c r="Y89" s="4" t="n">
        <v>-0.001467346810252512</v>
      </c>
      <c r="Z89" s="4" t="n">
        <v>-0.005789616813559495</v>
      </c>
      <c r="AA89" s="4" t="n">
        <v>0.03</v>
      </c>
      <c r="AB89" s="4" t="n">
        <v>0.05</v>
      </c>
      <c r="AC89" s="4">
        <f>(AB89+2*參數!$B$7)/(AA89+AB89)</f>
        <v/>
      </c>
    </row>
    <row r="90">
      <c r="A90" s="2" t="n">
        <v>89</v>
      </c>
      <c r="B90" s="2" t="inlineStr">
        <is>
          <t>USELESS_USDT_PERP</t>
        </is>
      </c>
      <c r="C90" s="2" t="inlineStr">
        <is>
          <t>做多</t>
        </is>
      </c>
      <c r="D90" s="7" t="n">
        <v>46272.75</v>
      </c>
      <c r="E90" s="17" t="n">
        <v>0.22899</v>
      </c>
      <c r="F90" s="17" t="n">
        <v>0.2358597</v>
      </c>
      <c r="G90" s="17" t="n">
        <v>0.2175405</v>
      </c>
      <c r="H90" s="7" t="n">
        <v>46272.79166666666</v>
      </c>
      <c r="I90" s="17" t="n">
        <v>0.2358597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0.03634141926140488</v>
      </c>
      <c r="O90" s="4" t="n">
        <v>0.06400435885055057</v>
      </c>
      <c r="P90" s="4" t="n">
        <v>0.0425055826563201</v>
      </c>
      <c r="Q90" s="19" t="n">
        <v>2526131</v>
      </c>
      <c r="R90" s="19" t="n">
        <v>4051103.39009</v>
      </c>
      <c r="S90" s="4" t="n">
        <v>0.03</v>
      </c>
      <c r="T90" s="4" t="n">
        <v>0</v>
      </c>
      <c r="U90" s="16" t="n">
        <v>1.780923829286979</v>
      </c>
      <c r="V90" s="16" t="n">
        <v>0.5015495867768596</v>
      </c>
      <c r="W90" s="4" t="n">
        <v>0.007568534152564865</v>
      </c>
      <c r="X90" s="4" t="n">
        <v>0.06944703904352689</v>
      </c>
      <c r="Y90" s="4" t="n">
        <v>-0.001467346810252512</v>
      </c>
      <c r="Z90" s="4" t="n">
        <v>-0.005789616813559495</v>
      </c>
      <c r="AA90" s="4" t="n">
        <v>0.03</v>
      </c>
      <c r="AB90" s="4" t="n">
        <v>0.05</v>
      </c>
      <c r="AC90" s="4">
        <f>(AB90+2*參數!$B$7)/(AA90+AB90)</f>
        <v/>
      </c>
    </row>
    <row r="91">
      <c r="A91" s="2" t="n">
        <v>90</v>
      </c>
      <c r="B91" s="2" t="inlineStr">
        <is>
          <t>USELESS_USDT_PERP</t>
        </is>
      </c>
      <c r="C91" s="2" t="inlineStr">
        <is>
          <t>做多</t>
        </is>
      </c>
      <c r="D91" s="7" t="n">
        <v>46272.875</v>
      </c>
      <c r="E91" s="17" t="n">
        <v>0.2333</v>
      </c>
      <c r="F91" s="17" t="n">
        <v>0.240299</v>
      </c>
      <c r="G91" s="17" t="n">
        <v>0.221635</v>
      </c>
      <c r="H91" s="7" t="n">
        <v>46273</v>
      </c>
      <c r="I91" s="17" t="n">
        <v>0.221635</v>
      </c>
      <c r="J91" s="2" t="inlineStr">
        <is>
          <t>止損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0.02956751985878214</v>
      </c>
      <c r="O91" s="4" t="n">
        <v>0.06560636653624369</v>
      </c>
      <c r="P91" s="4" t="n">
        <v>0.05437511439721421</v>
      </c>
      <c r="Q91" s="19" t="n">
        <v>1514607</v>
      </c>
      <c r="R91" s="19" t="n">
        <v>4220849.740920001</v>
      </c>
      <c r="S91" s="4" t="n">
        <v>0.006043720531504482</v>
      </c>
      <c r="T91" s="4" t="n">
        <v>0.05</v>
      </c>
      <c r="U91" s="16" t="n">
        <v>0.7086490846600303</v>
      </c>
      <c r="V91" s="16" t="n">
        <v>0.840823970037455</v>
      </c>
      <c r="W91" s="4" t="n">
        <v>0.01524565637611697</v>
      </c>
      <c r="X91" s="4" t="n">
        <v>0.04063517552076368</v>
      </c>
      <c r="Y91" s="4" t="n">
        <v>0.002401205389988004</v>
      </c>
      <c r="Z91" s="4" t="n">
        <v>-0.001812840879916289</v>
      </c>
      <c r="AA91" s="4" t="n">
        <v>0.03</v>
      </c>
      <c r="AB91" s="4" t="n">
        <v>0.05</v>
      </c>
      <c r="AC91" s="4">
        <f>(AB91+2*參數!$B$7)/(AA91+AB91)</f>
        <v/>
      </c>
    </row>
    <row r="92">
      <c r="A92" s="2" t="n">
        <v>91</v>
      </c>
      <c r="B92" s="2" t="inlineStr">
        <is>
          <t>RAY_USDT_PERP</t>
        </is>
      </c>
      <c r="C92" s="2" t="inlineStr">
        <is>
          <t>做空</t>
        </is>
      </c>
      <c r="D92" s="7" t="n">
        <v>46272.91666666666</v>
      </c>
      <c r="E92" s="17" t="n">
        <v>1.177</v>
      </c>
      <c r="F92" s="17" t="n">
        <v>1.14169</v>
      </c>
      <c r="G92" s="17" t="n">
        <v>1.23585</v>
      </c>
      <c r="H92" s="7" t="n">
        <v>46273.5</v>
      </c>
      <c r="I92" s="17" t="n">
        <v>1.23585</v>
      </c>
      <c r="J92" s="2" t="inlineStr">
        <is>
          <t>止損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-0.02242524916943511</v>
      </c>
      <c r="O92" s="4" t="n">
        <v>0.04291291884126462</v>
      </c>
      <c r="P92" s="4" t="n">
        <v>-0.04067161137827047</v>
      </c>
      <c r="Q92" s="19" t="n">
        <v>-480078.0999999999</v>
      </c>
      <c r="R92" s="19" t="n">
        <v>3560306.627</v>
      </c>
      <c r="S92" s="4" t="n">
        <v>0.0263381478334751</v>
      </c>
      <c r="T92" s="4" t="n">
        <v>0.05</v>
      </c>
      <c r="U92" s="16" t="n">
        <v>0.4533770567023754</v>
      </c>
      <c r="V92" s="16" t="n">
        <v>0.8205128205128182</v>
      </c>
      <c r="W92" s="4" t="n">
        <v>-0.2073033131603241</v>
      </c>
      <c r="X92" s="4" t="n">
        <v>0.1408759124087592</v>
      </c>
      <c r="Y92" s="4" t="n">
        <v>0.003178437400241707</v>
      </c>
      <c r="Z92" s="4" t="n">
        <v>0.004739797389268552</v>
      </c>
      <c r="AA92" s="4" t="n">
        <v>0.03</v>
      </c>
      <c r="AB92" s="4" t="n">
        <v>0.05</v>
      </c>
      <c r="AC92" s="4">
        <f>(AB92+2*參數!$B$7)/(AA92+AB92)</f>
        <v/>
      </c>
    </row>
    <row r="93">
      <c r="A93" s="2" t="n">
        <v>92</v>
      </c>
      <c r="B93" s="2" t="inlineStr">
        <is>
          <t>BULLA_USDT_PERP</t>
        </is>
      </c>
      <c r="C93" s="2" t="inlineStr">
        <is>
          <t>做多</t>
        </is>
      </c>
      <c r="D93" s="7" t="n">
        <v>46272.95833333334</v>
      </c>
      <c r="E93" s="17" t="n">
        <v>0.08132</v>
      </c>
      <c r="F93" s="17" t="n">
        <v>0.0837596</v>
      </c>
      <c r="G93" s="17" t="n">
        <v>0.077254</v>
      </c>
      <c r="H93" s="7" t="n">
        <v>46273.08333333334</v>
      </c>
      <c r="I93" s="17" t="n">
        <v>0.077254</v>
      </c>
      <c r="J93" s="2" t="inlineStr">
        <is>
          <t>止損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0.02327922486472889</v>
      </c>
      <c r="O93" s="4" t="n">
        <v>0.06663493659296481</v>
      </c>
      <c r="P93" s="4" t="n">
        <v>0.05580909226644515</v>
      </c>
      <c r="Q93" s="19" t="n">
        <v>10386393</v>
      </c>
      <c r="R93" s="19" t="n">
        <v>5000476.82497</v>
      </c>
      <c r="S93" s="4" t="n">
        <v>0.008853910477127469</v>
      </c>
      <c r="T93" s="4" t="n">
        <v>0.05</v>
      </c>
      <c r="U93" s="16" t="n">
        <v>1.276691685867297</v>
      </c>
      <c r="V93" s="16" t="n">
        <v>0.8679950186799512</v>
      </c>
      <c r="W93" s="4" t="n">
        <v>0.3878743608473341</v>
      </c>
      <c r="X93" s="4" t="n">
        <v>-0.009259259259259189</v>
      </c>
      <c r="Y93" s="4" t="n">
        <v>-0.002038719275794465</v>
      </c>
      <c r="Z93" s="4" t="n">
        <v>-0.006295519769092039</v>
      </c>
      <c r="AA93" s="4" t="n">
        <v>0.03</v>
      </c>
      <c r="AB93" s="4" t="n">
        <v>0.05</v>
      </c>
      <c r="AC93" s="4">
        <f>(AB93+2*參數!$B$7)/(AA93+AB93)</f>
        <v/>
      </c>
    </row>
    <row r="94">
      <c r="A94" s="2" t="n">
        <v>93</v>
      </c>
      <c r="B94" s="2" t="inlineStr">
        <is>
          <t>MARSCOIN_USDT_PERP</t>
        </is>
      </c>
      <c r="C94" s="2" t="inlineStr">
        <is>
          <t>做空</t>
        </is>
      </c>
      <c r="D94" s="7" t="n">
        <v>46272.95833333334</v>
      </c>
      <c r="E94" s="17" t="n">
        <v>0.16448</v>
      </c>
      <c r="F94" s="17" t="n">
        <v>0.1595456</v>
      </c>
      <c r="G94" s="17" t="n">
        <v>0.172704</v>
      </c>
      <c r="H94" s="7" t="n">
        <v>46273</v>
      </c>
      <c r="I94" s="17" t="n">
        <v>0.1595456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-0.03394807940796429</v>
      </c>
      <c r="O94" s="4" t="n">
        <v>0.06207550304479185</v>
      </c>
      <c r="P94" s="4" t="n">
        <v>-0.04061967756235274</v>
      </c>
      <c r="Q94" s="19" t="n">
        <v>-2662116</v>
      </c>
      <c r="R94" s="19" t="n">
        <v>3986280.0175</v>
      </c>
      <c r="S94" s="4" t="n">
        <v>0.03</v>
      </c>
      <c r="T94" s="4" t="n">
        <v>0</v>
      </c>
      <c r="U94" s="16" t="n">
        <v>0.8094372541640309</v>
      </c>
      <c r="V94" s="16" t="n">
        <v>0.7983761840324777</v>
      </c>
      <c r="W94" s="4" t="n">
        <v>0.08069053286749306</v>
      </c>
      <c r="X94" s="4" t="n">
        <v>0.1157940006450919</v>
      </c>
      <c r="Y94" s="4" t="n">
        <v>0.002038719275794465</v>
      </c>
      <c r="Z94" s="4" t="n">
        <v>0.006295519769092039</v>
      </c>
      <c r="AA94" s="4" t="n">
        <v>0.03</v>
      </c>
      <c r="AB94" s="4" t="n">
        <v>0.05</v>
      </c>
      <c r="AC94" s="4">
        <f>(AB94+2*參數!$B$7)/(AA94+AB94)</f>
        <v/>
      </c>
    </row>
    <row r="95">
      <c r="A95" s="2" t="n">
        <v>94</v>
      </c>
      <c r="B95" s="2" t="inlineStr">
        <is>
          <t>PONS_USDT_PERP</t>
        </is>
      </c>
      <c r="C95" s="2" t="inlineStr">
        <is>
          <t>做空</t>
        </is>
      </c>
      <c r="D95" s="7" t="n">
        <v>46272.95833333334</v>
      </c>
      <c r="E95" s="17" t="n">
        <v>0.7688</v>
      </c>
      <c r="F95" s="17" t="n">
        <v>0.7457360000000001</v>
      </c>
      <c r="G95" s="17" t="n">
        <v>0.8072400000000001</v>
      </c>
      <c r="H95" s="7" t="n">
        <v>46273</v>
      </c>
      <c r="I95" s="17" t="n">
        <v>0.7457360000000001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-0.02769697736183119</v>
      </c>
      <c r="O95" s="4" t="n">
        <v>0.05355520580642072</v>
      </c>
      <c r="P95" s="4" t="n">
        <v>-0.03812228658651018</v>
      </c>
      <c r="Q95" s="19" t="n">
        <v>-664130</v>
      </c>
      <c r="R95" s="19" t="n">
        <v>9320456.253099998</v>
      </c>
      <c r="S95" s="4" t="n">
        <v>0.03</v>
      </c>
      <c r="T95" s="4" t="n">
        <v>0</v>
      </c>
      <c r="U95" s="16" t="n">
        <v>1.120041307199291</v>
      </c>
      <c r="V95" s="16" t="n">
        <v>0.969465648854961</v>
      </c>
      <c r="W95" s="4" t="n">
        <v>0.00412314778952394</v>
      </c>
      <c r="X95" s="4" t="n">
        <v>0.08027275989950944</v>
      </c>
      <c r="Y95" s="4" t="n">
        <v>0.002038719275794465</v>
      </c>
      <c r="Z95" s="4" t="n">
        <v>0.006295519769092039</v>
      </c>
      <c r="AA95" s="4" t="n">
        <v>0.03</v>
      </c>
      <c r="AB95" s="4" t="n">
        <v>0.05</v>
      </c>
      <c r="AC95" s="4">
        <f>(AB95+2*參數!$B$7)/(AA95+AB95)</f>
        <v/>
      </c>
    </row>
    <row r="96">
      <c r="A96" s="2" t="n">
        <v>95</v>
      </c>
      <c r="B96" s="2" t="inlineStr">
        <is>
          <t>NEAR_USDT_PERP</t>
        </is>
      </c>
      <c r="C96" s="2" t="inlineStr">
        <is>
          <t>做空</t>
        </is>
      </c>
      <c r="D96" s="7" t="n">
        <v>46273</v>
      </c>
      <c r="E96" s="17" t="n">
        <v>2.293</v>
      </c>
      <c r="F96" s="17" t="n">
        <v>2.22421</v>
      </c>
      <c r="G96" s="17" t="n">
        <v>2.40765</v>
      </c>
      <c r="H96" s="7" t="n">
        <v>46274</v>
      </c>
      <c r="I96" s="17" t="n">
        <v>2.40765</v>
      </c>
      <c r="J96" s="2" t="inlineStr">
        <is>
          <t>止損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-0.02715316079762409</v>
      </c>
      <c r="O96" s="4" t="n">
        <v>0.02364262383525322</v>
      </c>
      <c r="P96" s="4" t="n">
        <v>-0.03835265994254444</v>
      </c>
      <c r="Q96" s="19" t="n">
        <v>-145860</v>
      </c>
      <c r="R96" s="19" t="n">
        <v>3276794.468</v>
      </c>
      <c r="S96" s="4" t="n">
        <v>0.02224160488443094</v>
      </c>
      <c r="T96" s="4" t="n">
        <v>0.05</v>
      </c>
      <c r="U96" s="16" t="n">
        <v>0.8607491759473834</v>
      </c>
      <c r="V96" s="16" t="n">
        <v>0.9012345679012345</v>
      </c>
      <c r="W96" s="4" t="n">
        <v>-0.0468025272999526</v>
      </c>
      <c r="X96" s="4" t="n">
        <v>0.03857442348008366</v>
      </c>
      <c r="Y96" s="4" t="n">
        <v>0.004843795797495609</v>
      </c>
      <c r="Z96" s="4" t="n">
        <v>0.01046575170377817</v>
      </c>
      <c r="AA96" s="4" t="n">
        <v>0.03</v>
      </c>
      <c r="AB96" s="4" t="n">
        <v>0.05</v>
      </c>
      <c r="AC96" s="4">
        <f>(AB96+2*參數!$B$7)/(AA96+AB96)</f>
        <v/>
      </c>
    </row>
    <row r="97">
      <c r="A97" s="2" t="n">
        <v>96</v>
      </c>
      <c r="B97" s="2" t="inlineStr">
        <is>
          <t>TAO_USDT_PERP</t>
        </is>
      </c>
      <c r="C97" s="2" t="inlineStr">
        <is>
          <t>做空</t>
        </is>
      </c>
      <c r="D97" s="7" t="n">
        <v>46273</v>
      </c>
      <c r="E97" s="17" t="n">
        <v>256.91</v>
      </c>
      <c r="F97" s="17" t="n">
        <v>249.2027</v>
      </c>
      <c r="G97" s="17" t="n">
        <v>269.7555</v>
      </c>
      <c r="H97" s="7" t="n">
        <v>46275.875</v>
      </c>
      <c r="I97" s="17" t="n">
        <v>249.2027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-0.0266348412517996</v>
      </c>
      <c r="O97" s="4" t="n">
        <v>0.02037035175529302</v>
      </c>
      <c r="P97" s="4" t="n">
        <v>-0.03438166561739464</v>
      </c>
      <c r="Q97" s="19" t="n">
        <v>-8043.290000000001</v>
      </c>
      <c r="R97" s="19" t="n">
        <v>6242053.50556</v>
      </c>
      <c r="S97" s="4" t="n">
        <v>0.03</v>
      </c>
      <c r="T97" s="4" t="n">
        <v>0.04978397104044197</v>
      </c>
      <c r="U97" s="16" t="n">
        <v>2.605393596492347</v>
      </c>
      <c r="V97" s="16" t="n">
        <v>0.7377220480668742</v>
      </c>
      <c r="W97" s="4" t="n">
        <v>-0.07309412076746868</v>
      </c>
      <c r="X97" s="4" t="n">
        <v>-0.03305319876151036</v>
      </c>
      <c r="Y97" s="4" t="n">
        <v>0.004843795797495609</v>
      </c>
      <c r="Z97" s="4" t="n">
        <v>0.01046575170377817</v>
      </c>
      <c r="AA97" s="4" t="n">
        <v>0.03</v>
      </c>
      <c r="AB97" s="4" t="n">
        <v>0.05</v>
      </c>
      <c r="AC97" s="4">
        <f>(AB97+2*參數!$B$7)/(AA97+AB97)</f>
        <v/>
      </c>
    </row>
    <row r="98">
      <c r="A98" s="2" t="n">
        <v>97</v>
      </c>
      <c r="B98" s="2" t="inlineStr">
        <is>
          <t>UNI_USDT_PERP</t>
        </is>
      </c>
      <c r="C98" s="2" t="inlineStr">
        <is>
          <t>做空</t>
        </is>
      </c>
      <c r="D98" s="7" t="n">
        <v>46273</v>
      </c>
      <c r="E98" s="17" t="n">
        <v>6.779</v>
      </c>
      <c r="F98" s="17" t="n">
        <v>6.575629999999999</v>
      </c>
      <c r="G98" s="17" t="n">
        <v>7.11795</v>
      </c>
      <c r="H98" s="7" t="n">
        <v>46273.41666666666</v>
      </c>
      <c r="I98" s="17" t="n">
        <v>7.11795</v>
      </c>
      <c r="J98" s="2" t="inlineStr">
        <is>
          <t>止損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-0.0310177244139509</v>
      </c>
      <c r="O98" s="4" t="n">
        <v>0.02024959421573181</v>
      </c>
      <c r="P98" s="4" t="n">
        <v>-0.04070528468227519</v>
      </c>
      <c r="Q98" s="19" t="n">
        <v>-235299</v>
      </c>
      <c r="R98" s="19" t="n">
        <v>5465559.277</v>
      </c>
      <c r="S98" s="4" t="n">
        <v>0.009440920489747762</v>
      </c>
      <c r="T98" s="4" t="n">
        <v>0.05</v>
      </c>
      <c r="U98" s="16" t="n">
        <v>2.956580761631296</v>
      </c>
      <c r="V98" s="16" t="n">
        <v>0.9667774086378744</v>
      </c>
      <c r="W98" s="4" t="n">
        <v>-0.02035133560813929</v>
      </c>
      <c r="X98" s="4" t="n">
        <v>0.02754267680390188</v>
      </c>
      <c r="Y98" s="4" t="n">
        <v>0.004843795797495609</v>
      </c>
      <c r="Z98" s="4" t="n">
        <v>0.01046575170377817</v>
      </c>
      <c r="AA98" s="4" t="n">
        <v>0.03</v>
      </c>
      <c r="AB98" s="4" t="n">
        <v>0.05</v>
      </c>
      <c r="AC98" s="4">
        <f>(AB98+2*參數!$B$7)/(AA98+AB98)</f>
        <v/>
      </c>
    </row>
    <row r="99">
      <c r="A99" s="2" t="n">
        <v>98</v>
      </c>
      <c r="B99" s="2" t="inlineStr">
        <is>
          <t>ZEC_USDT_PERP</t>
        </is>
      </c>
      <c r="C99" s="2" t="inlineStr">
        <is>
          <t>做空</t>
        </is>
      </c>
      <c r="D99" s="7" t="n">
        <v>46273</v>
      </c>
      <c r="E99" s="17" t="n">
        <v>1146.22</v>
      </c>
      <c r="F99" s="17" t="n">
        <v>1111.8334</v>
      </c>
      <c r="G99" s="17" t="n">
        <v>1203.531</v>
      </c>
      <c r="H99" s="7" t="n">
        <v>46273.29166666666</v>
      </c>
      <c r="I99" s="17" t="n">
        <v>1111.8334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-0.02344641913882117</v>
      </c>
      <c r="O99" s="4" t="n">
        <v>0.02102705412911168</v>
      </c>
      <c r="P99" s="4" t="n">
        <v>-0.04240792359781675</v>
      </c>
      <c r="Q99" s="19" t="n">
        <v>-451.9539999999979</v>
      </c>
      <c r="R99" s="19" t="n">
        <v>30735386.01163</v>
      </c>
      <c r="S99" s="4" t="n">
        <v>0.03</v>
      </c>
      <c r="T99" s="4" t="n">
        <v>0.02275304915286758</v>
      </c>
      <c r="U99" s="16" t="n">
        <v>1.298387849389584</v>
      </c>
      <c r="V99" s="16" t="n">
        <v>0.8662259993704752</v>
      </c>
      <c r="W99" s="4" t="n">
        <v>-0.07778800612697978</v>
      </c>
      <c r="X99" s="4" t="n">
        <v>0.01826061633862641</v>
      </c>
      <c r="Y99" s="4" t="n">
        <v>0.004843795797495609</v>
      </c>
      <c r="Z99" s="4" t="n">
        <v>0.01046575170377817</v>
      </c>
      <c r="AA99" s="4" t="n">
        <v>0.03</v>
      </c>
      <c r="AB99" s="4" t="n">
        <v>0.05</v>
      </c>
      <c r="AC99" s="4">
        <f>(AB99+2*參數!$B$7)/(AA99+AB99)</f>
        <v/>
      </c>
    </row>
    <row r="100">
      <c r="A100" s="2" t="n">
        <v>99</v>
      </c>
      <c r="B100" s="2" t="inlineStr">
        <is>
          <t>PUMP_USDT_PERP</t>
        </is>
      </c>
      <c r="C100" s="2" t="inlineStr">
        <is>
          <t>做多</t>
        </is>
      </c>
      <c r="D100" s="7" t="n">
        <v>46273.08333333334</v>
      </c>
      <c r="E100" s="17" t="n">
        <v>0.004388</v>
      </c>
      <c r="F100" s="17" t="n">
        <v>0.00451964</v>
      </c>
      <c r="G100" s="17" t="n">
        <v>0.004168600000000001</v>
      </c>
      <c r="H100" s="7" t="n">
        <v>46273.41666666666</v>
      </c>
      <c r="I100" s="17" t="n">
        <v>0.00451964</v>
      </c>
      <c r="J100" s="2" t="inlineStr">
        <is>
          <t>止盈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0.0319849482596426</v>
      </c>
      <c r="O100" s="4" t="n">
        <v>0.0304797887415378</v>
      </c>
      <c r="P100" s="4" t="n">
        <v>0.05340231181956767</v>
      </c>
      <c r="Q100" s="19" t="n">
        <v>97252765</v>
      </c>
      <c r="R100" s="19" t="n">
        <v>7545747.542938001</v>
      </c>
      <c r="S100" s="4" t="n">
        <v>0.03</v>
      </c>
      <c r="T100" s="4" t="n">
        <v>0.02552415679124886</v>
      </c>
      <c r="U100" s="16" t="n">
        <v>1.4451701676271</v>
      </c>
      <c r="V100" s="16" t="n">
        <v>0.8554216867469899</v>
      </c>
      <c r="W100" s="4" t="n">
        <v>0.05636176297822781</v>
      </c>
      <c r="X100" s="4" t="n">
        <v>0.1471895424836602</v>
      </c>
      <c r="Y100" s="4" t="n">
        <v>0.002076227949572962</v>
      </c>
      <c r="Z100" s="4" t="n">
        <v>-0.004621363982384663</v>
      </c>
      <c r="AA100" s="4" t="n">
        <v>0.03</v>
      </c>
      <c r="AB100" s="4" t="n">
        <v>0.05</v>
      </c>
      <c r="AC100" s="4">
        <f>(AB100+2*參數!$B$7)/(AA100+AB100)</f>
        <v/>
      </c>
    </row>
    <row r="101">
      <c r="A101" s="2" t="n">
        <v>100</v>
      </c>
      <c r="B101" s="2" t="inlineStr">
        <is>
          <t>DASH_USDT_PERP</t>
        </is>
      </c>
      <c r="C101" s="2" t="inlineStr">
        <is>
          <t>做空</t>
        </is>
      </c>
      <c r="D101" s="7" t="n">
        <v>46273.125</v>
      </c>
      <c r="E101" s="17" t="n">
        <v>63.95</v>
      </c>
      <c r="F101" s="17" t="n">
        <v>62.0315</v>
      </c>
      <c r="G101" s="17" t="n">
        <v>67.14750000000001</v>
      </c>
      <c r="H101" s="7" t="n">
        <v>46273.70833333334</v>
      </c>
      <c r="I101" s="17" t="n">
        <v>62.0315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-0.0232167404918282</v>
      </c>
      <c r="O101" s="4" t="n">
        <v>0.02674718726022451</v>
      </c>
      <c r="P101" s="4" t="n">
        <v>-0.05813217078810551</v>
      </c>
      <c r="Q101" s="19" t="n">
        <v>-7722.464000000007</v>
      </c>
      <c r="R101" s="19" t="n">
        <v>1804728.26135</v>
      </c>
      <c r="S101" s="4" t="n">
        <v>0.03</v>
      </c>
      <c r="T101" s="4" t="n">
        <v>0.0164190774042221</v>
      </c>
      <c r="U101" s="16" t="n">
        <v>1.249455549729876</v>
      </c>
      <c r="V101" s="16" t="n">
        <v>0.8914285714285691</v>
      </c>
      <c r="W101" s="4" t="n">
        <v>-0.01864948900272712</v>
      </c>
      <c r="X101" s="4" t="n">
        <v>0.09853397237101769</v>
      </c>
      <c r="Y101" s="4" t="n">
        <v>-6.56952196622651e-05</v>
      </c>
      <c r="Z101" s="4" t="n">
        <v>0.004025677115040649</v>
      </c>
      <c r="AA101" s="4" t="n">
        <v>0.03</v>
      </c>
      <c r="AB101" s="4" t="n">
        <v>0.05</v>
      </c>
      <c r="AC101" s="4">
        <f>(AB101+2*參數!$B$7)/(AA101+AB101)</f>
        <v/>
      </c>
    </row>
    <row r="102">
      <c r="A102" s="2" t="n">
        <v>101</v>
      </c>
      <c r="B102" s="2" t="inlineStr">
        <is>
          <t>USELESS_USDT_PERP</t>
        </is>
      </c>
      <c r="C102" s="2" t="inlineStr">
        <is>
          <t>做多</t>
        </is>
      </c>
      <c r="D102" s="7" t="n">
        <v>46273.25</v>
      </c>
      <c r="E102" s="17" t="n">
        <v>0.23052</v>
      </c>
      <c r="F102" s="17" t="n">
        <v>0.2374356</v>
      </c>
      <c r="G102" s="17" t="n">
        <v>0.218994</v>
      </c>
      <c r="H102" s="7" t="n">
        <v>46273.45833333334</v>
      </c>
      <c r="I102" s="17" t="n">
        <v>0.2374356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0.02526240882405251</v>
      </c>
      <c r="O102" s="4" t="n">
        <v>0.05476218273081444</v>
      </c>
      <c r="P102" s="4" t="n">
        <v>0.02698669042713164</v>
      </c>
      <c r="Q102" s="19" t="n">
        <v>417106</v>
      </c>
      <c r="R102" s="19" t="n">
        <v>4258716.81757</v>
      </c>
      <c r="S102" s="4" t="n">
        <v>0.03</v>
      </c>
      <c r="T102" s="4" t="n">
        <v>0.02147319104633005</v>
      </c>
      <c r="U102" s="16" t="n">
        <v>0.983558103105627</v>
      </c>
      <c r="V102" s="16" t="n">
        <v>0.9801136363636361</v>
      </c>
      <c r="W102" s="4" t="n">
        <v>-0.01931171440070045</v>
      </c>
      <c r="X102" s="4" t="n">
        <v>0.01380948192453157</v>
      </c>
      <c r="Y102" s="4" t="n">
        <v>-0.0009797126260463473</v>
      </c>
      <c r="Z102" s="4" t="n">
        <v>-0.002738680501831237</v>
      </c>
      <c r="AA102" s="4" t="n">
        <v>0.03</v>
      </c>
      <c r="AB102" s="4" t="n">
        <v>0.05</v>
      </c>
      <c r="AC102" s="4">
        <f>(AB102+2*參數!$B$7)/(AA102+AB102)</f>
        <v/>
      </c>
    </row>
    <row r="103">
      <c r="A103" s="2" t="n">
        <v>102</v>
      </c>
      <c r="B103" s="2" t="inlineStr">
        <is>
          <t>MARSCOIN_USDT_PERP</t>
        </is>
      </c>
      <c r="C103" s="2" t="inlineStr">
        <is>
          <t>做空</t>
        </is>
      </c>
      <c r="D103" s="7" t="n">
        <v>46273.375</v>
      </c>
      <c r="E103" s="17" t="n">
        <v>0.15102</v>
      </c>
      <c r="F103" s="17" t="n">
        <v>0.1464894</v>
      </c>
      <c r="G103" s="17" t="n">
        <v>0.158571</v>
      </c>
      <c r="H103" s="7" t="n">
        <v>46273.5</v>
      </c>
      <c r="I103" s="17" t="n">
        <v>0.1464894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-0.03501597444089466</v>
      </c>
      <c r="O103" s="4" t="n">
        <v>0.05670106848794589</v>
      </c>
      <c r="P103" s="4" t="n">
        <v>-0.05587126540257692</v>
      </c>
      <c r="Q103" s="19" t="n">
        <v>-470663</v>
      </c>
      <c r="R103" s="19" t="n">
        <v>2644066.64596</v>
      </c>
      <c r="S103" s="4" t="n">
        <v>0.03</v>
      </c>
      <c r="T103" s="4" t="n">
        <v>0.04045821745464173</v>
      </c>
      <c r="U103" s="16" t="n">
        <v>0.5722550930861432</v>
      </c>
      <c r="V103" s="16" t="n">
        <v>0.8694550063371385</v>
      </c>
      <c r="W103" s="4" t="n">
        <v>0.1763752439188003</v>
      </c>
      <c r="X103" s="4" t="n">
        <v>0.1018733273862623</v>
      </c>
      <c r="Y103" s="4" t="n">
        <v>-0.002667054479235098</v>
      </c>
      <c r="Z103" s="4" t="n">
        <v>-0.000388234954192157</v>
      </c>
      <c r="AA103" s="4" t="n">
        <v>0.03</v>
      </c>
      <c r="AB103" s="4" t="n">
        <v>0.05</v>
      </c>
      <c r="AC103" s="4">
        <f>(AB103+2*參數!$B$7)/(AA103+AB103)</f>
        <v/>
      </c>
    </row>
    <row r="104">
      <c r="A104" s="2" t="n">
        <v>103</v>
      </c>
      <c r="B104" s="2" t="inlineStr">
        <is>
          <t>BULLA_USDT_PERP</t>
        </is>
      </c>
      <c r="C104" s="2" t="inlineStr">
        <is>
          <t>做多</t>
        </is>
      </c>
      <c r="D104" s="7" t="n">
        <v>46273.41666666666</v>
      </c>
      <c r="E104" s="17" t="n">
        <v>0.08141</v>
      </c>
      <c r="F104" s="17" t="n">
        <v>0.0838523</v>
      </c>
      <c r="G104" s="17" t="n">
        <v>0.07733949999999999</v>
      </c>
      <c r="H104" s="7" t="n">
        <v>46273.58333333334</v>
      </c>
      <c r="I104" s="17" t="n">
        <v>0.07733949999999999</v>
      </c>
      <c r="J104" s="2" t="inlineStr">
        <is>
          <t>止損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0.05235263702171666</v>
      </c>
      <c r="O104" s="4" t="n">
        <v>0.05084976910345262</v>
      </c>
      <c r="P104" s="4" t="n">
        <v>0.04043657183753813</v>
      </c>
      <c r="Q104" s="19" t="n">
        <v>2515952</v>
      </c>
      <c r="R104" s="19" t="n">
        <v>4265232.30074</v>
      </c>
      <c r="S104" s="4" t="n">
        <v>0.01928510011055162</v>
      </c>
      <c r="T104" s="4" t="n">
        <v>0.05</v>
      </c>
      <c r="U104" s="16" t="n">
        <v>0.9544996519540856</v>
      </c>
      <c r="V104" s="16" t="n">
        <v>0.8886462882096047</v>
      </c>
      <c r="W104" s="4" t="n">
        <v>0.28178281330938</v>
      </c>
      <c r="X104" s="4" t="n">
        <v>0.1233613909203808</v>
      </c>
      <c r="Y104" s="4" t="n">
        <v>0.001539976969713752</v>
      </c>
      <c r="Z104" s="4" t="n">
        <v>0.002124414410480613</v>
      </c>
      <c r="AA104" s="4" t="n">
        <v>0.03</v>
      </c>
      <c r="AB104" s="4" t="n">
        <v>0.05</v>
      </c>
      <c r="AC104" s="4">
        <f>(AB104+2*參數!$B$7)/(AA104+AB104)</f>
        <v/>
      </c>
    </row>
    <row r="105">
      <c r="A105" s="2" t="n">
        <v>104</v>
      </c>
      <c r="B105" s="2" t="inlineStr">
        <is>
          <t>IOST_USDT_PERP</t>
        </is>
      </c>
      <c r="C105" s="2" t="inlineStr">
        <is>
          <t>做多</t>
        </is>
      </c>
      <c r="D105" s="7" t="n">
        <v>46273.41666666666</v>
      </c>
      <c r="E105" s="17" t="n">
        <v>0.000941</v>
      </c>
      <c r="F105" s="17" t="n">
        <v>0.0009692300000000001</v>
      </c>
      <c r="G105" s="17" t="n">
        <v>0.0008939499999999999</v>
      </c>
      <c r="H105" s="7" t="n">
        <v>46273.5</v>
      </c>
      <c r="I105" s="17" t="n">
        <v>0.0009692300000000001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0.02617230098146139</v>
      </c>
      <c r="O105" s="4" t="n">
        <v>0.04966185075469765</v>
      </c>
      <c r="P105" s="4" t="n">
        <v>0.02835910605977832</v>
      </c>
      <c r="Q105" s="19" t="n">
        <v>225683598</v>
      </c>
      <c r="R105" s="19" t="n">
        <v>2501561.764947</v>
      </c>
      <c r="S105" s="4" t="n">
        <v>0.03</v>
      </c>
      <c r="T105" s="4" t="n">
        <v>0.01275239107332626</v>
      </c>
      <c r="U105" s="16" t="n">
        <v>0.6087334046657858</v>
      </c>
      <c r="V105" s="16" t="n">
        <v>0.8139534883720934</v>
      </c>
      <c r="W105" s="4" t="n">
        <v>0.31430087852843</v>
      </c>
      <c r="X105" s="4" t="n">
        <v>0.3385490753911806</v>
      </c>
      <c r="Y105" s="4" t="n">
        <v>0.001539976969713752</v>
      </c>
      <c r="Z105" s="4" t="n">
        <v>0.002124414410480613</v>
      </c>
      <c r="AA105" s="4" t="n">
        <v>0.03</v>
      </c>
      <c r="AB105" s="4" t="n">
        <v>0.05</v>
      </c>
      <c r="AC105" s="4">
        <f>(AB105+2*參數!$B$7)/(AA105+AB105)</f>
        <v/>
      </c>
    </row>
    <row r="106">
      <c r="A106" s="2" t="n">
        <v>105</v>
      </c>
      <c r="B106" s="2" t="inlineStr">
        <is>
          <t>AKE_USDT_PERP</t>
        </is>
      </c>
      <c r="C106" s="2" t="inlineStr">
        <is>
          <t>做多</t>
        </is>
      </c>
      <c r="D106" s="7" t="n">
        <v>46273.45833333334</v>
      </c>
      <c r="E106" s="17" t="n">
        <v>0.0169276</v>
      </c>
      <c r="F106" s="17" t="n">
        <v>0.017435428</v>
      </c>
      <c r="G106" s="17" t="n">
        <v>0.01608122</v>
      </c>
      <c r="H106" s="7" t="n">
        <v>46273.5</v>
      </c>
      <c r="I106" s="17" t="n">
        <v>0.017435428</v>
      </c>
      <c r="J106" s="2" t="inlineStr">
        <is>
          <t>止盈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0.03656348550258715</v>
      </c>
      <c r="O106" s="4" t="n">
        <v>0.06234939957646168</v>
      </c>
      <c r="P106" s="4" t="n">
        <v>0.03213108276938148</v>
      </c>
      <c r="Q106" s="19" t="n">
        <v>19540172</v>
      </c>
      <c r="R106" s="19" t="n">
        <v>5375178.414786</v>
      </c>
      <c r="S106" s="4" t="n">
        <v>0.03</v>
      </c>
      <c r="T106" s="4" t="n">
        <v>0</v>
      </c>
      <c r="U106" s="16" t="n">
        <v>0.5221903482826789</v>
      </c>
      <c r="V106" s="16" t="n">
        <v>0.682393077051091</v>
      </c>
      <c r="W106" s="4" t="n">
        <v>0.07136600367999635</v>
      </c>
      <c r="X106" s="4" t="n">
        <v>0.3190577491019317</v>
      </c>
      <c r="Y106" s="4" t="n">
        <v>-0.006423705121585743</v>
      </c>
      <c r="Z106" s="4" t="n">
        <v>-0.003861447947342111</v>
      </c>
      <c r="AA106" s="4" t="n">
        <v>0.03</v>
      </c>
      <c r="AB106" s="4" t="n">
        <v>0.05</v>
      </c>
      <c r="AC106" s="4">
        <f>(AB106+2*參數!$B$7)/(AA106+AB106)</f>
        <v/>
      </c>
    </row>
    <row r="107">
      <c r="A107" s="2" t="n">
        <v>106</v>
      </c>
      <c r="B107" s="2" t="inlineStr">
        <is>
          <t>PONS_USDT_PERP</t>
        </is>
      </c>
      <c r="C107" s="2" t="inlineStr">
        <is>
          <t>做空</t>
        </is>
      </c>
      <c r="D107" s="7" t="n">
        <v>46273.45833333334</v>
      </c>
      <c r="E107" s="17" t="n">
        <v>0.7033</v>
      </c>
      <c r="F107" s="17" t="n">
        <v>0.6822010000000001</v>
      </c>
      <c r="G107" s="17" t="n">
        <v>0.738465</v>
      </c>
      <c r="H107" s="7" t="n">
        <v>46273.5</v>
      </c>
      <c r="I107" s="17" t="n">
        <v>0.6822010000000001</v>
      </c>
      <c r="J107" s="2" t="inlineStr">
        <is>
          <t>止盈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-0.05495834453103998</v>
      </c>
      <c r="O107" s="4" t="n">
        <v>0.06037568086024119</v>
      </c>
      <c r="P107" s="4" t="n">
        <v>-0.05849436743217817</v>
      </c>
      <c r="Q107" s="19" t="n">
        <v>-262696</v>
      </c>
      <c r="R107" s="19" t="n">
        <v>11270953.971</v>
      </c>
      <c r="S107" s="4" t="n">
        <v>0.03</v>
      </c>
      <c r="T107" s="4" t="n">
        <v>0</v>
      </c>
      <c r="U107" s="16" t="n">
        <v>0.8730207937001421</v>
      </c>
      <c r="V107" s="16" t="n">
        <v>0.9887218045112773</v>
      </c>
      <c r="W107" s="4" t="n">
        <v>0.1064906158011283</v>
      </c>
      <c r="X107" s="4" t="n">
        <v>0.08293128178380493</v>
      </c>
      <c r="Y107" s="4" t="n">
        <v>0.006423705121585743</v>
      </c>
      <c r="Z107" s="4" t="n">
        <v>0.003861447947342111</v>
      </c>
      <c r="AA107" s="4" t="n">
        <v>0.03</v>
      </c>
      <c r="AB107" s="4" t="n">
        <v>0.05</v>
      </c>
      <c r="AC107" s="4">
        <f>(AB107+2*參數!$B$7)/(AA107+AB107)</f>
        <v/>
      </c>
    </row>
    <row r="108">
      <c r="A108" s="2" t="n">
        <v>107</v>
      </c>
      <c r="B108" s="2" t="inlineStr">
        <is>
          <t>LIT_USDT_PERP</t>
        </is>
      </c>
      <c r="C108" s="2" t="inlineStr">
        <is>
          <t>做空</t>
        </is>
      </c>
      <c r="D108" s="7" t="n">
        <v>46273.5</v>
      </c>
      <c r="E108" s="17" t="n">
        <v>4.589</v>
      </c>
      <c r="F108" s="17" t="n">
        <v>4.45133</v>
      </c>
      <c r="G108" s="17" t="n">
        <v>4.81845</v>
      </c>
      <c r="H108" s="7" t="n">
        <v>46273.75</v>
      </c>
      <c r="I108" s="17" t="n">
        <v>4.81845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-0.02486187845303867</v>
      </c>
      <c r="O108" s="4" t="n">
        <v>0.02159179912334764</v>
      </c>
      <c r="P108" s="4" t="n">
        <v>-0.001066631837872034</v>
      </c>
      <c r="Q108" s="19" t="n">
        <v>-45008.80000000028</v>
      </c>
      <c r="R108" s="19" t="n">
        <v>2781263.1439</v>
      </c>
      <c r="S108" s="4" t="n">
        <v>0.003922423185879431</v>
      </c>
      <c r="T108" s="4" t="n">
        <v>0.05</v>
      </c>
      <c r="U108" s="16" t="n">
        <v>2.569586879950852</v>
      </c>
      <c r="V108" s="16" t="n">
        <v>0.7898089171974499</v>
      </c>
      <c r="W108" s="4" t="n">
        <v>0.003433366414683614</v>
      </c>
      <c r="X108" s="4" t="n">
        <v>-0.04153427144802557</v>
      </c>
      <c r="Y108" s="4" t="n">
        <v>0.0002382796211352067</v>
      </c>
      <c r="Z108" s="4" t="n">
        <v>0.003800028264359878</v>
      </c>
      <c r="AA108" s="4" t="n">
        <v>0.03</v>
      </c>
      <c r="AB108" s="4" t="n">
        <v>0.05</v>
      </c>
      <c r="AC108" s="4">
        <f>(AB108+2*參數!$B$7)/(AA108+AB108)</f>
        <v/>
      </c>
    </row>
    <row r="109">
      <c r="A109" s="2" t="n">
        <v>108</v>
      </c>
      <c r="B109" s="2" t="inlineStr">
        <is>
          <t>ACE_USDT_PERP</t>
        </is>
      </c>
      <c r="C109" s="2" t="inlineStr">
        <is>
          <t>做空</t>
        </is>
      </c>
      <c r="D109" s="7" t="n">
        <v>46273.54166666666</v>
      </c>
      <c r="E109" s="17" t="n">
        <v>0.17709</v>
      </c>
      <c r="F109" s="17" t="n">
        <v>0.1717773</v>
      </c>
      <c r="G109" s="17" t="n">
        <v>0.1859445</v>
      </c>
      <c r="H109" s="7" t="n">
        <v>46273.625</v>
      </c>
      <c r="I109" s="17" t="n">
        <v>0.1717773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-0.02788604051161003</v>
      </c>
      <c r="O109" s="4" t="n">
        <v>0.03726361631575136</v>
      </c>
      <c r="P109" s="4" t="n">
        <v>-0.02041967789845756</v>
      </c>
      <c r="Q109" s="19" t="n">
        <v>-899525.450000003</v>
      </c>
      <c r="R109" s="19" t="n">
        <v>1391602.7817447</v>
      </c>
      <c r="S109" s="4" t="n">
        <v>0.03</v>
      </c>
      <c r="T109" s="4" t="n">
        <v>0</v>
      </c>
      <c r="U109" s="16" t="n">
        <v>0.6587984018347764</v>
      </c>
      <c r="V109" s="16" t="n">
        <v>0.7978560490045954</v>
      </c>
      <c r="W109" s="4" t="n">
        <v>-0.01112817672618061</v>
      </c>
      <c r="X109" s="4" t="n">
        <v>-0.08864572447285912</v>
      </c>
      <c r="Y109" s="4" t="n">
        <v>0.002917085551362164</v>
      </c>
      <c r="Z109" s="4" t="n">
        <v>0.006238522465579766</v>
      </c>
      <c r="AA109" s="4" t="n">
        <v>0.03</v>
      </c>
      <c r="AB109" s="4" t="n">
        <v>0.05</v>
      </c>
      <c r="AC109" s="4">
        <f>(AB109+2*參數!$B$7)/(AA109+AB109)</f>
        <v/>
      </c>
    </row>
    <row r="110">
      <c r="A110" s="2" t="n">
        <v>109</v>
      </c>
      <c r="B110" s="2" t="inlineStr">
        <is>
          <t>KAS_USDT_PERP</t>
        </is>
      </c>
      <c r="C110" s="2" t="inlineStr">
        <is>
          <t>做空</t>
        </is>
      </c>
      <c r="D110" s="7" t="n">
        <v>46273.54166666666</v>
      </c>
      <c r="E110" s="17" t="n">
        <v>0.03482</v>
      </c>
      <c r="F110" s="17" t="n">
        <v>0.0337754</v>
      </c>
      <c r="G110" s="17" t="n">
        <v>0.036561</v>
      </c>
      <c r="H110" s="7" t="n">
        <v>46273.95833333334</v>
      </c>
      <c r="I110" s="17" t="n">
        <v>0.036561</v>
      </c>
      <c r="J110" s="2" t="inlineStr">
        <is>
          <t>止損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-0.02163529081202586</v>
      </c>
      <c r="O110" s="4" t="n">
        <v>0.02637817081598313</v>
      </c>
      <c r="P110" s="4" t="n">
        <v>-0.03474849959111248</v>
      </c>
      <c r="Q110" s="19" t="n">
        <v>-2623682</v>
      </c>
      <c r="R110" s="19" t="n">
        <v>2101397.66373</v>
      </c>
      <c r="S110" s="4" t="n">
        <v>0.02785755313038485</v>
      </c>
      <c r="T110" s="4" t="n">
        <v>0.05</v>
      </c>
      <c r="U110" s="16" t="n">
        <v>0.4550342197094706</v>
      </c>
      <c r="V110" s="16" t="n">
        <v>0.8119658119658144</v>
      </c>
      <c r="W110" s="4" t="n">
        <v>-0.1013863803863391</v>
      </c>
      <c r="X110" s="4" t="n">
        <v>-0.06255721696673766</v>
      </c>
      <c r="Y110" s="4" t="n">
        <v>0.002917085551362164</v>
      </c>
      <c r="Z110" s="4" t="n">
        <v>0.006238522465579766</v>
      </c>
      <c r="AA110" s="4" t="n">
        <v>0.03</v>
      </c>
      <c r="AB110" s="4" t="n">
        <v>0.05</v>
      </c>
      <c r="AC110" s="4">
        <f>(AB110+2*參數!$B$7)/(AA110+AB110)</f>
        <v/>
      </c>
    </row>
    <row r="111">
      <c r="A111" s="2" t="n">
        <v>110</v>
      </c>
      <c r="B111" s="2" t="inlineStr">
        <is>
          <t>ARB_USDT_PERP</t>
        </is>
      </c>
      <c r="C111" s="2" t="inlineStr">
        <is>
          <t>做多</t>
        </is>
      </c>
      <c r="D111" s="7" t="n">
        <v>46273.58333333334</v>
      </c>
      <c r="E111" s="17" t="n">
        <v>0.1747</v>
      </c>
      <c r="F111" s="17" t="n">
        <v>0.179941</v>
      </c>
      <c r="G111" s="17" t="n">
        <v>0.165965</v>
      </c>
      <c r="H111" s="7" t="n">
        <v>46273.91666666666</v>
      </c>
      <c r="I111" s="17" t="n">
        <v>0.165965</v>
      </c>
      <c r="J111" s="2" t="inlineStr">
        <is>
          <t>止損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0.02223522527794031</v>
      </c>
      <c r="O111" s="4" t="n">
        <v>0.02568097476909951</v>
      </c>
      <c r="P111" s="4" t="n">
        <v>0.03876798668093695</v>
      </c>
      <c r="Q111" s="19" t="n">
        <v>1218160.9</v>
      </c>
      <c r="R111" s="19" t="n">
        <v>3947550.52323</v>
      </c>
      <c r="S111" s="4" t="n">
        <v>0.02232398397252444</v>
      </c>
      <c r="T111" s="4" t="n">
        <v>0.05</v>
      </c>
      <c r="U111" s="16" t="n">
        <v>1.889260099230201</v>
      </c>
      <c r="V111" s="16" t="n">
        <v>0.6333333333333324</v>
      </c>
      <c r="W111" s="4" t="n">
        <v>0.08962764298634074</v>
      </c>
      <c r="X111" s="4" t="n">
        <v>0.01925320886814474</v>
      </c>
      <c r="Y111" s="4" t="n">
        <v>-0.00123458359822004</v>
      </c>
      <c r="Z111" s="4" t="n">
        <v>-0.007010211173510084</v>
      </c>
      <c r="AA111" s="4" t="n">
        <v>0.03</v>
      </c>
      <c r="AB111" s="4" t="n">
        <v>0.05</v>
      </c>
      <c r="AC111" s="4">
        <f>(AB111+2*參數!$B$7)/(AA111+AB111)</f>
        <v/>
      </c>
    </row>
    <row r="112">
      <c r="A112" s="2" t="n">
        <v>111</v>
      </c>
      <c r="B112" s="2" t="inlineStr">
        <is>
          <t>USELESS_USDT_PERP</t>
        </is>
      </c>
      <c r="C112" s="2" t="inlineStr">
        <is>
          <t>做多</t>
        </is>
      </c>
      <c r="D112" s="7" t="n">
        <v>46273.58333333334</v>
      </c>
      <c r="E112" s="17" t="n">
        <v>0.24093</v>
      </c>
      <c r="F112" s="17" t="n">
        <v>0.2481579</v>
      </c>
      <c r="G112" s="17" t="n">
        <v>0.2288835</v>
      </c>
      <c r="H112" s="7" t="n">
        <v>46273.625</v>
      </c>
      <c r="I112" s="17" t="n">
        <v>0.2481579</v>
      </c>
      <c r="J112" s="2" t="inlineStr">
        <is>
          <t>止盈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0.0864937993235626</v>
      </c>
      <c r="O112" s="4" t="n">
        <v>0.04862484005267798</v>
      </c>
      <c r="P112" s="4" t="n">
        <v>0.05327352848599309</v>
      </c>
      <c r="Q112" s="19" t="n">
        <v>679513</v>
      </c>
      <c r="R112" s="19" t="n">
        <v>4215211.47851</v>
      </c>
      <c r="S112" s="4" t="n">
        <v>0.03</v>
      </c>
      <c r="T112" s="4" t="n">
        <v>0</v>
      </c>
      <c r="U112" s="16" t="n">
        <v>0.8052885806174136</v>
      </c>
      <c r="V112" s="16" t="n">
        <v>0.8621151271753689</v>
      </c>
      <c r="W112" s="4" t="n">
        <v>0.01364868509238448</v>
      </c>
      <c r="X112" s="4" t="n">
        <v>0.09260351004489586</v>
      </c>
      <c r="Y112" s="4" t="n">
        <v>-0.00123458359822004</v>
      </c>
      <c r="Z112" s="4" t="n">
        <v>-0.007010211173510084</v>
      </c>
      <c r="AA112" s="4" t="n">
        <v>0.03</v>
      </c>
      <c r="AB112" s="4" t="n">
        <v>0.05</v>
      </c>
      <c r="AC112" s="4">
        <f>(AB112+2*參數!$B$7)/(AA112+AB112)</f>
        <v/>
      </c>
    </row>
    <row r="113">
      <c r="A113" s="2" t="n">
        <v>112</v>
      </c>
      <c r="B113" s="2" t="inlineStr">
        <is>
          <t>PUMP_USDT_PERP</t>
        </is>
      </c>
      <c r="C113" s="2" t="inlineStr">
        <is>
          <t>做空</t>
        </is>
      </c>
      <c r="D113" s="7" t="n">
        <v>46273.625</v>
      </c>
      <c r="E113" s="17" t="n">
        <v>0.004183</v>
      </c>
      <c r="F113" s="17" t="n">
        <v>0.00405751</v>
      </c>
      <c r="G113" s="17" t="n">
        <v>0.00439215</v>
      </c>
      <c r="H113" s="7" t="n">
        <v>46273.79166666666</v>
      </c>
      <c r="I113" s="17" t="n">
        <v>0.00439215</v>
      </c>
      <c r="J113" s="2" t="inlineStr">
        <is>
          <t>止損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-0.02037470725995327</v>
      </c>
      <c r="O113" s="4" t="n">
        <v>0.0290642944977495</v>
      </c>
      <c r="P113" s="4" t="n">
        <v>-0.04081632653061229</v>
      </c>
      <c r="Q113" s="19" t="n">
        <v>-129299457</v>
      </c>
      <c r="R113" s="19" t="n">
        <v>9851697.301605999</v>
      </c>
      <c r="S113" s="4" t="n">
        <v>0.002629691608893037</v>
      </c>
      <c r="T113" s="4" t="n">
        <v>0.05</v>
      </c>
      <c r="U113" s="16" t="n">
        <v>0.5836086467967079</v>
      </c>
      <c r="V113" s="16" t="n">
        <v>0.6184210526315802</v>
      </c>
      <c r="W113" s="4" t="n">
        <v>-0.007124266566508108</v>
      </c>
      <c r="X113" s="4" t="n">
        <v>-0.03029556650246312</v>
      </c>
      <c r="Y113" s="4" t="n">
        <v>0.003353154371130707</v>
      </c>
      <c r="Z113" s="4" t="n">
        <v>0.009691274437690356</v>
      </c>
      <c r="AA113" s="4" t="n">
        <v>0.03</v>
      </c>
      <c r="AB113" s="4" t="n">
        <v>0.05</v>
      </c>
      <c r="AC113" s="4">
        <f>(AB113+2*參數!$B$7)/(AA113+AB113)</f>
        <v/>
      </c>
    </row>
    <row r="114">
      <c r="A114" s="2" t="n">
        <v>113</v>
      </c>
      <c r="B114" s="2" t="inlineStr">
        <is>
          <t>WLD_USDT_PERP</t>
        </is>
      </c>
      <c r="C114" s="2" t="inlineStr">
        <is>
          <t>做多</t>
        </is>
      </c>
      <c r="D114" s="7" t="n">
        <v>46273.66666666666</v>
      </c>
      <c r="E114" s="17" t="n">
        <v>0.4788</v>
      </c>
      <c r="F114" s="17" t="n">
        <v>0.493164</v>
      </c>
      <c r="G114" s="17" t="n">
        <v>0.45486</v>
      </c>
      <c r="H114" s="7" t="n">
        <v>46274</v>
      </c>
      <c r="I114" s="17" t="n">
        <v>0.493164</v>
      </c>
      <c r="J114" s="2" t="inlineStr">
        <is>
          <t>止盈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0.03345564429095615</v>
      </c>
      <c r="O114" s="4" t="n">
        <v>0.02530774759559907</v>
      </c>
      <c r="P114" s="4" t="n">
        <v>0.02080845983284996</v>
      </c>
      <c r="Q114" s="19" t="n">
        <v>964062</v>
      </c>
      <c r="R114" s="19" t="n">
        <v>3277692.0117</v>
      </c>
      <c r="S114" s="4" t="n">
        <v>0.03</v>
      </c>
      <c r="T114" s="4" t="n">
        <v>0.03613199665831246</v>
      </c>
      <c r="U114" s="16" t="n">
        <v>0.7774894474618331</v>
      </c>
      <c r="V114" s="16" t="n">
        <v>0.9476744186046504</v>
      </c>
      <c r="W114" s="4" t="n">
        <v>0.1532375192386899</v>
      </c>
      <c r="X114" s="4" t="n">
        <v>0.06732055283102989</v>
      </c>
      <c r="Y114" s="4" t="n">
        <v>0.001986217819758718</v>
      </c>
      <c r="Z114" s="4" t="n">
        <v>-0.007139181253390414</v>
      </c>
      <c r="AA114" s="4" t="n">
        <v>0.03</v>
      </c>
      <c r="AB114" s="4" t="n">
        <v>0.05</v>
      </c>
      <c r="AC114" s="4">
        <f>(AB114+2*參數!$B$7)/(AA114+AB114)</f>
        <v/>
      </c>
    </row>
    <row r="115">
      <c r="A115" s="2" t="n">
        <v>114</v>
      </c>
      <c r="B115" s="2" t="inlineStr">
        <is>
          <t>USELESS_USDT_PERP</t>
        </is>
      </c>
      <c r="C115" s="2" t="inlineStr">
        <is>
          <t>做多</t>
        </is>
      </c>
      <c r="D115" s="7" t="n">
        <v>46273.70833333334</v>
      </c>
      <c r="E115" s="17" t="n">
        <v>0.2406</v>
      </c>
      <c r="F115" s="17" t="n">
        <v>0.247818</v>
      </c>
      <c r="G115" s="17" t="n">
        <v>0.22857</v>
      </c>
      <c r="H115" s="7" t="n">
        <v>46273.75</v>
      </c>
      <c r="I115" s="17" t="n">
        <v>0.247818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0.03377159061613821</v>
      </c>
      <c r="O115" s="4" t="n">
        <v>0.05142885076912324</v>
      </c>
      <c r="P115" s="4" t="n">
        <v>0.04725943175511715</v>
      </c>
      <c r="Q115" s="19" t="n">
        <v>1117995</v>
      </c>
      <c r="R115" s="19" t="n">
        <v>4054225.12811</v>
      </c>
      <c r="S115" s="4" t="n">
        <v>0.03</v>
      </c>
      <c r="T115" s="4" t="n">
        <v>0</v>
      </c>
      <c r="U115" s="16" t="n">
        <v>1.06824364590281</v>
      </c>
      <c r="V115" s="16" t="n">
        <v>0.9421101774042967</v>
      </c>
      <c r="W115" s="4" t="n">
        <v>0.008865944107317336</v>
      </c>
      <c r="X115" s="4" t="n">
        <v>0.08888486603910217</v>
      </c>
      <c r="Y115" s="4" t="n">
        <v>-0.0006271910255593038</v>
      </c>
      <c r="Z115" s="4" t="n">
        <v>-0.007025669761602571</v>
      </c>
      <c r="AA115" s="4" t="n">
        <v>0.03</v>
      </c>
      <c r="AB115" s="4" t="n">
        <v>0.05</v>
      </c>
      <c r="AC115" s="4">
        <f>(AB115+2*參數!$B$7)/(AA115+AB115)</f>
        <v/>
      </c>
    </row>
    <row r="116">
      <c r="A116" s="2" t="n">
        <v>115</v>
      </c>
      <c r="B116" s="2" t="inlineStr">
        <is>
          <t>AERO_USDT_PERP</t>
        </is>
      </c>
      <c r="C116" s="2" t="inlineStr">
        <is>
          <t>做多</t>
        </is>
      </c>
      <c r="D116" s="7" t="n">
        <v>46273.75</v>
      </c>
      <c r="E116" s="17" t="n">
        <v>0.6424</v>
      </c>
      <c r="F116" s="17" t="n">
        <v>0.661672</v>
      </c>
      <c r="G116" s="17" t="n">
        <v>0.6102799999999999</v>
      </c>
      <c r="H116" s="7" t="n">
        <v>46274.125</v>
      </c>
      <c r="I116" s="17" t="n">
        <v>0.6102799999999999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0.02211614956245023</v>
      </c>
      <c r="O116" s="4" t="n">
        <v>0.02985810488876749</v>
      </c>
      <c r="P116" s="4" t="n">
        <v>0.03462715413109985</v>
      </c>
      <c r="Q116" s="19" t="n">
        <v>115721.4000000003</v>
      </c>
      <c r="R116" s="19" t="n">
        <v>2979004.4445</v>
      </c>
      <c r="S116" s="4" t="n">
        <v>0.02132627646326291</v>
      </c>
      <c r="T116" s="4" t="n">
        <v>0.05</v>
      </c>
      <c r="U116" s="16" t="n">
        <v>0.786151850585577</v>
      </c>
      <c r="V116" s="16" t="n">
        <v>0.5648854961832032</v>
      </c>
      <c r="W116" s="4" t="n">
        <v>0.1727913858983883</v>
      </c>
      <c r="X116" s="4" t="n">
        <v>0.1969442891745854</v>
      </c>
      <c r="Y116" s="4" t="n">
        <v>0.00424895211223042</v>
      </c>
      <c r="Z116" s="4" t="n">
        <v>-0.00243660765421716</v>
      </c>
      <c r="AA116" s="4" t="n">
        <v>0.03</v>
      </c>
      <c r="AB116" s="4" t="n">
        <v>0.05</v>
      </c>
      <c r="AC116" s="4">
        <f>(AB116+2*參數!$B$7)/(AA116+AB116)</f>
        <v/>
      </c>
    </row>
    <row r="117">
      <c r="A117" s="2" t="n">
        <v>116</v>
      </c>
      <c r="B117" s="2" t="inlineStr">
        <is>
          <t>UAI_USDT_PERP</t>
        </is>
      </c>
      <c r="C117" s="2" t="inlineStr">
        <is>
          <t>做多</t>
        </is>
      </c>
      <c r="D117" s="7" t="n">
        <v>46273.75</v>
      </c>
      <c r="E117" s="17" t="n">
        <v>0.7282999999999999</v>
      </c>
      <c r="F117" s="17" t="n">
        <v>0.750149</v>
      </c>
      <c r="G117" s="17" t="n">
        <v>0.691885</v>
      </c>
      <c r="H117" s="7" t="n">
        <v>46273.83333333334</v>
      </c>
      <c r="I117" s="17" t="n">
        <v>0.750149</v>
      </c>
      <c r="J117" s="2" t="inlineStr">
        <is>
          <t>止盈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0.02231892195395835</v>
      </c>
      <c r="O117" s="4" t="n">
        <v>0.04664801455271905</v>
      </c>
      <c r="P117" s="4" t="n">
        <v>0.01829519794747014</v>
      </c>
      <c r="Q117" s="19" t="n">
        <v>1249843</v>
      </c>
      <c r="R117" s="19" t="n">
        <v>5140456.2015</v>
      </c>
      <c r="S117" s="4" t="n">
        <v>0.03</v>
      </c>
      <c r="T117" s="4" t="n">
        <v>0.006453384594260481</v>
      </c>
      <c r="U117" s="16" t="n">
        <v>1.068646902945055</v>
      </c>
      <c r="V117" s="16" t="n">
        <v>0.8738738738738727</v>
      </c>
      <c r="W117" s="4" t="n">
        <v>0.2926482516501987</v>
      </c>
      <c r="X117" s="4" t="n">
        <v>0.1465680100755666</v>
      </c>
      <c r="Y117" s="4" t="n">
        <v>0.00424895211223042</v>
      </c>
      <c r="Z117" s="4" t="n">
        <v>-0.00243660765421716</v>
      </c>
      <c r="AA117" s="4" t="n">
        <v>0.03</v>
      </c>
      <c r="AB117" s="4" t="n">
        <v>0.05</v>
      </c>
      <c r="AC117" s="4">
        <f>(AB117+2*參數!$B$7)/(AA117+AB117)</f>
        <v/>
      </c>
    </row>
    <row r="118">
      <c r="A118" s="2" t="n">
        <v>117</v>
      </c>
      <c r="B118" s="2" t="inlineStr">
        <is>
          <t>CASHCAT_USDT_PERP</t>
        </is>
      </c>
      <c r="C118" s="2" t="inlineStr">
        <is>
          <t>做空</t>
        </is>
      </c>
      <c r="D118" s="7" t="n">
        <v>46273.79166666666</v>
      </c>
      <c r="E118" s="17" t="n">
        <v>0.1787</v>
      </c>
      <c r="F118" s="17" t="n">
        <v>0.173339</v>
      </c>
      <c r="G118" s="17" t="n">
        <v>0.187635</v>
      </c>
      <c r="H118" s="7" t="n">
        <v>46273.875</v>
      </c>
      <c r="I118" s="17" t="n">
        <v>0.173339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-0.02562704471101418</v>
      </c>
      <c r="O118" s="4" t="n">
        <v>0.04743066258406835</v>
      </c>
      <c r="P118" s="4" t="n">
        <v>-0.05964690714868315</v>
      </c>
      <c r="Q118" s="19" t="n">
        <v>-608095</v>
      </c>
      <c r="R118" s="19" t="n">
        <v>1922965.0831</v>
      </c>
      <c r="S118" s="4" t="n">
        <v>0.03</v>
      </c>
      <c r="T118" s="4" t="n">
        <v>0.006715165081141672</v>
      </c>
      <c r="U118" s="16" t="n">
        <v>2.678733376469101</v>
      </c>
      <c r="V118" s="16" t="n">
        <v>0.8613861386138628</v>
      </c>
      <c r="W118" s="4" t="n">
        <v>0.221805133386171</v>
      </c>
      <c r="X118" s="4" t="n">
        <v>0.1703806870937791</v>
      </c>
      <c r="Y118" s="4" t="n">
        <v>0.002534012287736753</v>
      </c>
      <c r="Z118" s="4" t="n">
        <v>0.004571300074293405</v>
      </c>
      <c r="AA118" s="4" t="n">
        <v>0.03</v>
      </c>
      <c r="AB118" s="4" t="n">
        <v>0.05</v>
      </c>
      <c r="AC118" s="4">
        <f>(AB118+2*參數!$B$7)/(AA118+AB118)</f>
        <v/>
      </c>
    </row>
    <row r="119">
      <c r="A119" s="2" t="n">
        <v>118</v>
      </c>
      <c r="B119" s="2" t="inlineStr">
        <is>
          <t>LIT_USDT_PERP</t>
        </is>
      </c>
      <c r="C119" s="2" t="inlineStr">
        <is>
          <t>做多</t>
        </is>
      </c>
      <c r="D119" s="7" t="n">
        <v>46273.875</v>
      </c>
      <c r="E119" s="17" t="n">
        <v>4.848</v>
      </c>
      <c r="F119" s="17" t="n">
        <v>4.99344</v>
      </c>
      <c r="G119" s="17" t="n">
        <v>4.6056</v>
      </c>
      <c r="H119" s="7" t="n">
        <v>46274.54166666666</v>
      </c>
      <c r="I119" s="17" t="n">
        <v>4.99344</v>
      </c>
      <c r="J119" s="2" t="inlineStr">
        <is>
          <t>止盈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0.02473050095117313</v>
      </c>
      <c r="O119" s="4" t="n">
        <v>0.02337515758480993</v>
      </c>
      <c r="P119" s="4" t="n">
        <v>0.03262085050640584</v>
      </c>
      <c r="Q119" s="19" t="n">
        <v>90316</v>
      </c>
      <c r="R119" s="19" t="n">
        <v>3639353.3035</v>
      </c>
      <c r="S119" s="4" t="n">
        <v>0.03</v>
      </c>
      <c r="T119" s="4" t="n">
        <v>0.04290429042904298</v>
      </c>
      <c r="U119" s="16" t="n">
        <v>1.36772845210372</v>
      </c>
      <c r="V119" s="16" t="n">
        <v>1</v>
      </c>
      <c r="W119" s="4" t="n">
        <v>0.04612622565943925</v>
      </c>
      <c r="X119" s="4" t="n">
        <v>0.06385780118498996</v>
      </c>
      <c r="Y119" s="4" t="n">
        <v>0.0002142857142857224</v>
      </c>
      <c r="Z119" s="4" t="n">
        <v>-0.005404796600024797</v>
      </c>
      <c r="AA119" s="4" t="n">
        <v>0.03</v>
      </c>
      <c r="AB119" s="4" t="n">
        <v>0.05</v>
      </c>
      <c r="AC119" s="4">
        <f>(AB119+2*參數!$B$7)/(AA119+AB119)</f>
        <v/>
      </c>
    </row>
    <row r="120">
      <c r="A120" s="2" t="n">
        <v>119</v>
      </c>
      <c r="B120" s="2" t="inlineStr">
        <is>
          <t>PONS_USDT_PERP</t>
        </is>
      </c>
      <c r="C120" s="2" t="inlineStr">
        <is>
          <t>做多</t>
        </is>
      </c>
      <c r="D120" s="7" t="n">
        <v>46273.875</v>
      </c>
      <c r="E120" s="17" t="n">
        <v>0.7527</v>
      </c>
      <c r="F120" s="17" t="n">
        <v>0.7752810000000001</v>
      </c>
      <c r="G120" s="17" t="n">
        <v>0.715065</v>
      </c>
      <c r="H120" s="7" t="n">
        <v>46273.91666666666</v>
      </c>
      <c r="I120" s="17" t="n">
        <v>0.7752810000000001</v>
      </c>
      <c r="J120" s="2" t="inlineStr">
        <is>
          <t>止盈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0.02757679180887362</v>
      </c>
      <c r="O120" s="4" t="n">
        <v>0.05023167941020193</v>
      </c>
      <c r="P120" s="4" t="n">
        <v>0.05147726479010983</v>
      </c>
      <c r="Q120" s="19" t="n">
        <v>6853449</v>
      </c>
      <c r="R120" s="19" t="n">
        <v>12535656.0709</v>
      </c>
      <c r="S120" s="4" t="n">
        <v>0.03</v>
      </c>
      <c r="T120" s="4" t="n">
        <v>0</v>
      </c>
      <c r="U120" s="16" t="n">
        <v>1.134336771587354</v>
      </c>
      <c r="V120" s="16" t="n">
        <v>0.8360655737704921</v>
      </c>
      <c r="W120" s="4" t="n">
        <v>-0.04920583992501781</v>
      </c>
      <c r="X120" s="4" t="n">
        <v>-0.05415933651671268</v>
      </c>
      <c r="Y120" s="4" t="n">
        <v>0.0002142857142857224</v>
      </c>
      <c r="Z120" s="4" t="n">
        <v>-0.005404796600024797</v>
      </c>
      <c r="AA120" s="4" t="n">
        <v>0.03</v>
      </c>
      <c r="AB120" s="4" t="n">
        <v>0.05</v>
      </c>
      <c r="AC120" s="4">
        <f>(AB120+2*參數!$B$7)/(AA120+AB120)</f>
        <v/>
      </c>
    </row>
    <row r="121">
      <c r="A121" s="2" t="n">
        <v>120</v>
      </c>
      <c r="B121" s="2" t="inlineStr">
        <is>
          <t>DOT_USDT_PERP</t>
        </is>
      </c>
      <c r="C121" s="2" t="inlineStr">
        <is>
          <t>做多</t>
        </is>
      </c>
      <c r="D121" s="7" t="n">
        <v>46273.95833333334</v>
      </c>
      <c r="E121" s="17" t="n">
        <v>1.123</v>
      </c>
      <c r="F121" s="17" t="n">
        <v>1.15669</v>
      </c>
      <c r="G121" s="17" t="n">
        <v>1.06685</v>
      </c>
      <c r="H121" s="7" t="n">
        <v>46274</v>
      </c>
      <c r="I121" s="17" t="n">
        <v>1.15669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0.04659832246039142</v>
      </c>
      <c r="O121" s="4" t="n">
        <v>0.02256314074445255</v>
      </c>
      <c r="P121" s="4" t="n">
        <v>0.04811237108591171</v>
      </c>
      <c r="Q121" s="19" t="n">
        <v>111960.8999999999</v>
      </c>
      <c r="R121" s="19" t="n">
        <v>2741631.4739</v>
      </c>
      <c r="S121" s="4" t="n">
        <v>0.03</v>
      </c>
      <c r="T121" s="4" t="n">
        <v>0</v>
      </c>
      <c r="U121" s="16" t="n">
        <v>1.872915871665088</v>
      </c>
      <c r="V121" s="16" t="n">
        <v>0.7183098591549292</v>
      </c>
      <c r="W121" s="4" t="n">
        <v>0.1620928018543815</v>
      </c>
      <c r="X121" s="4" t="n">
        <v>0.05149812734082393</v>
      </c>
      <c r="Y121" s="4" t="n">
        <v>0.007548452907174541</v>
      </c>
      <c r="Z121" s="4" t="n">
        <v>-0.002864684043806798</v>
      </c>
      <c r="AA121" s="4" t="n">
        <v>0.03</v>
      </c>
      <c r="AB121" s="4" t="n">
        <v>0.05</v>
      </c>
      <c r="AC121" s="4">
        <f>(AB121+2*參數!$B$7)/(AA121+AB121)</f>
        <v/>
      </c>
    </row>
    <row r="122">
      <c r="A122" s="2" t="n">
        <v>121</v>
      </c>
      <c r="B122" s="2" t="inlineStr">
        <is>
          <t>INJ_USDT_PERP</t>
        </is>
      </c>
      <c r="C122" s="2" t="inlineStr">
        <is>
          <t>做多</t>
        </is>
      </c>
      <c r="D122" s="7" t="n">
        <v>46273.95833333334</v>
      </c>
      <c r="E122" s="17" t="n">
        <v>6.534</v>
      </c>
      <c r="F122" s="17" t="n">
        <v>6.73002</v>
      </c>
      <c r="G122" s="17" t="n">
        <v>6.207299999999999</v>
      </c>
      <c r="H122" s="7" t="n">
        <v>46274.79166666666</v>
      </c>
      <c r="I122" s="17" t="n">
        <v>6.207299999999999</v>
      </c>
      <c r="J122" s="2" t="inlineStr">
        <is>
          <t>止損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0.03763696998570754</v>
      </c>
      <c r="O122" s="4" t="n">
        <v>0.02277252113543685</v>
      </c>
      <c r="P122" s="4" t="n">
        <v>0.03486779065071222</v>
      </c>
      <c r="Q122" s="19" t="n">
        <v>8623.600000000013</v>
      </c>
      <c r="R122" s="19" t="n">
        <v>4616788.334</v>
      </c>
      <c r="S122" s="4" t="n">
        <v>0.005050505050505194</v>
      </c>
      <c r="T122" s="4" t="n">
        <v>0.05</v>
      </c>
      <c r="U122" s="16" t="n">
        <v>1.258024063199622</v>
      </c>
      <c r="V122" s="16" t="n">
        <v>0.9379562043795607</v>
      </c>
      <c r="W122" s="4" t="n">
        <v>0.2206011469989353</v>
      </c>
      <c r="X122" s="4" t="n">
        <v>0.1461147167163657</v>
      </c>
      <c r="Y122" s="4" t="n">
        <v>0.007548452907174541</v>
      </c>
      <c r="Z122" s="4" t="n">
        <v>-0.002864684043806798</v>
      </c>
      <c r="AA122" s="4" t="n">
        <v>0.03</v>
      </c>
      <c r="AB122" s="4" t="n">
        <v>0.05</v>
      </c>
      <c r="AC122" s="4">
        <f>(AB122+2*參數!$B$7)/(AA122+AB122)</f>
        <v/>
      </c>
    </row>
    <row r="123">
      <c r="A123" s="2" t="n">
        <v>122</v>
      </c>
      <c r="B123" s="2" t="inlineStr">
        <is>
          <t>ICP_USDT_PERP</t>
        </is>
      </c>
      <c r="C123" s="2" t="inlineStr">
        <is>
          <t>做空</t>
        </is>
      </c>
      <c r="D123" s="7" t="n">
        <v>46274.04166666666</v>
      </c>
      <c r="E123" s="17" t="n">
        <v>2.963</v>
      </c>
      <c r="F123" s="17" t="n">
        <v>2.87411</v>
      </c>
      <c r="G123" s="17" t="n">
        <v>3.11115</v>
      </c>
      <c r="H123" s="7" t="n">
        <v>46274.45833333334</v>
      </c>
      <c r="I123" s="17" t="n">
        <v>2.87411</v>
      </c>
      <c r="J123" s="2" t="inlineStr">
        <is>
          <t>止盈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-0.02049586776859502</v>
      </c>
      <c r="O123" s="4" t="n">
        <v>0.02158409979090471</v>
      </c>
      <c r="P123" s="4" t="n">
        <v>-0.0198478332782005</v>
      </c>
      <c r="Q123" s="19" t="n">
        <v>-422886</v>
      </c>
      <c r="R123" s="19" t="n">
        <v>7911871.461</v>
      </c>
      <c r="S123" s="4" t="n">
        <v>0.03</v>
      </c>
      <c r="T123" s="4" t="n">
        <v>0.002362470469119193</v>
      </c>
      <c r="U123" s="16" t="n">
        <v>0.9650820911192399</v>
      </c>
      <c r="V123" s="16" t="n">
        <v>0.8857142857142853</v>
      </c>
      <c r="W123" s="4" t="n">
        <v>-0.07225702322921967</v>
      </c>
      <c r="X123" s="4" t="n">
        <v>0.006371562709590939</v>
      </c>
      <c r="Y123" s="4" t="n">
        <v>0.002156710844794185</v>
      </c>
      <c r="Z123" s="4" t="n">
        <v>2.306172989785527e-05</v>
      </c>
      <c r="AA123" s="4" t="n">
        <v>0.03</v>
      </c>
      <c r="AB123" s="4" t="n">
        <v>0.05</v>
      </c>
      <c r="AC123" s="4">
        <f>(AB123+2*參數!$B$7)/(AA123+AB123)</f>
        <v/>
      </c>
    </row>
    <row r="124">
      <c r="A124" s="2" t="n">
        <v>123</v>
      </c>
      <c r="B124" s="2" t="inlineStr">
        <is>
          <t>MARSCOIN_USDT_PERP</t>
        </is>
      </c>
      <c r="C124" s="2" t="inlineStr">
        <is>
          <t>做空</t>
        </is>
      </c>
      <c r="D124" s="7" t="n">
        <v>46274.08333333334</v>
      </c>
      <c r="E124" s="17" t="n">
        <v>0.13851</v>
      </c>
      <c r="F124" s="17" t="n">
        <v>0.1343547</v>
      </c>
      <c r="G124" s="17" t="n">
        <v>0.1454355</v>
      </c>
      <c r="H124" s="7" t="n">
        <v>46274.20833333334</v>
      </c>
      <c r="I124" s="17" t="n">
        <v>0.1343547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-0.02113074204946996</v>
      </c>
      <c r="O124" s="4" t="n">
        <v>0.06620259931879292</v>
      </c>
      <c r="P124" s="4" t="n">
        <v>-0.01649122184154939</v>
      </c>
      <c r="Q124" s="19" t="n">
        <v>-3642859</v>
      </c>
      <c r="R124" s="19" t="n">
        <v>2573723.70106</v>
      </c>
      <c r="S124" s="4" t="n">
        <v>0.03</v>
      </c>
      <c r="T124" s="4" t="n">
        <v>0.01797704136885425</v>
      </c>
      <c r="U124" s="16" t="n">
        <v>0.8598768796509205</v>
      </c>
      <c r="V124" s="16" t="n">
        <v>0.8427745664739887</v>
      </c>
      <c r="W124" s="4" t="n">
        <v>0.2464398895583695</v>
      </c>
      <c r="X124" s="4" t="n">
        <v>0.1138195777351247</v>
      </c>
      <c r="Y124" s="4" t="n">
        <v>0.002949174078780259</v>
      </c>
      <c r="Z124" s="4" t="n">
        <v>0.00255304695657721</v>
      </c>
      <c r="AA124" s="4" t="n">
        <v>0.03</v>
      </c>
      <c r="AB124" s="4" t="n">
        <v>0.05</v>
      </c>
      <c r="AC124" s="4">
        <f>(AB124+2*參數!$B$7)/(AA124+AB124)</f>
        <v/>
      </c>
    </row>
    <row r="125">
      <c r="A125" s="2" t="n">
        <v>124</v>
      </c>
      <c r="B125" s="2" t="inlineStr">
        <is>
          <t>UAI_USDT_PERP</t>
        </is>
      </c>
      <c r="C125" s="2" t="inlineStr">
        <is>
          <t>做多</t>
        </is>
      </c>
      <c r="D125" s="7" t="n">
        <v>46274.08333333334</v>
      </c>
      <c r="E125" s="17" t="n">
        <v>0.7446</v>
      </c>
      <c r="F125" s="17" t="n">
        <v>0.766938</v>
      </c>
      <c r="G125" s="17" t="n">
        <v>0.7073700000000001</v>
      </c>
      <c r="H125" s="7" t="n">
        <v>46274.20833333334</v>
      </c>
      <c r="I125" s="17" t="n">
        <v>0.7073700000000001</v>
      </c>
      <c r="J125" s="2" t="inlineStr">
        <is>
          <t>止損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0.02675124103695548</v>
      </c>
      <c r="O125" s="4" t="n">
        <v>0.04454342423750336</v>
      </c>
      <c r="P125" s="4" t="n">
        <v>0.02032147114844407</v>
      </c>
      <c r="Q125" s="19" t="n">
        <v>1024515</v>
      </c>
      <c r="R125" s="19" t="n">
        <v>4766286.3946</v>
      </c>
      <c r="S125" s="4" t="n">
        <v>0.003491807681976766</v>
      </c>
      <c r="T125" s="4" t="n">
        <v>0.05</v>
      </c>
      <c r="U125" s="16" t="n">
        <v>0.7723512405947648</v>
      </c>
      <c r="V125" s="16" t="n">
        <v>0.9168704156479228</v>
      </c>
      <c r="W125" s="4" t="n">
        <v>0.2569082689911988</v>
      </c>
      <c r="X125" s="4" t="n">
        <v>0.003233629749393785</v>
      </c>
      <c r="Y125" s="4" t="n">
        <v>-0.002949174078780259</v>
      </c>
      <c r="Z125" s="4" t="n">
        <v>-0.00255304695657721</v>
      </c>
      <c r="AA125" s="4" t="n">
        <v>0.03</v>
      </c>
      <c r="AB125" s="4" t="n">
        <v>0.05</v>
      </c>
      <c r="AC125" s="4">
        <f>(AB125+2*參數!$B$7)/(AA125+AB125)</f>
        <v/>
      </c>
    </row>
    <row r="126">
      <c r="A126" s="2" t="n">
        <v>125</v>
      </c>
      <c r="B126" s="2" t="inlineStr">
        <is>
          <t>PUMP_USDT_PERP</t>
        </is>
      </c>
      <c r="C126" s="2" t="inlineStr">
        <is>
          <t>做多</t>
        </is>
      </c>
      <c r="D126" s="7" t="n">
        <v>46274.375</v>
      </c>
      <c r="E126" s="17" t="n">
        <v>0.004415</v>
      </c>
      <c r="F126" s="17" t="n">
        <v>0.00454745</v>
      </c>
      <c r="G126" s="17" t="n">
        <v>0.004194249999999999</v>
      </c>
      <c r="H126" s="7" t="n">
        <v>46274.625</v>
      </c>
      <c r="I126" s="17" t="n">
        <v>0.00454745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0.02341214649976808</v>
      </c>
      <c r="O126" s="4" t="n">
        <v>0.02357135724918269</v>
      </c>
      <c r="P126" s="4" t="n">
        <v>0.02019595156668808</v>
      </c>
      <c r="Q126" s="19" t="n">
        <v>42353615</v>
      </c>
      <c r="R126" s="19" t="n">
        <v>4256449.039159</v>
      </c>
      <c r="S126" s="4" t="n">
        <v>0.03</v>
      </c>
      <c r="T126" s="4" t="n">
        <v>0.01041902604756517</v>
      </c>
      <c r="U126" s="16" t="n">
        <v>0.7383883424620865</v>
      </c>
      <c r="V126" s="16" t="n">
        <v>0.8059701492537309</v>
      </c>
      <c r="W126" s="4" t="n">
        <v>0.06027857829010563</v>
      </c>
      <c r="X126" s="4" t="n">
        <v>0.006611947104423033</v>
      </c>
      <c r="Y126" s="4" t="n">
        <v>0.004082845291785597</v>
      </c>
      <c r="Z126" s="4" t="n">
        <v>0.003343058304274615</v>
      </c>
      <c r="AA126" s="4" t="n">
        <v>0.03</v>
      </c>
      <c r="AB126" s="4" t="n">
        <v>0.05</v>
      </c>
      <c r="AC126" s="4">
        <f>(AB126+2*參數!$B$7)/(AA126+AB126)</f>
        <v/>
      </c>
    </row>
    <row r="127">
      <c r="A127" s="2" t="n">
        <v>126</v>
      </c>
      <c r="B127" s="2" t="inlineStr">
        <is>
          <t>UAI_USDT_PERP</t>
        </is>
      </c>
      <c r="C127" s="2" t="inlineStr">
        <is>
          <t>做多</t>
        </is>
      </c>
      <c r="D127" s="7" t="n">
        <v>46274.41666666666</v>
      </c>
      <c r="E127" s="17" t="n">
        <v>0.7438</v>
      </c>
      <c r="F127" s="17" t="n">
        <v>0.7661140000000001</v>
      </c>
      <c r="G127" s="17" t="n">
        <v>0.70661</v>
      </c>
      <c r="H127" s="7" t="n">
        <v>46274.58333333334</v>
      </c>
      <c r="I127" s="17" t="n">
        <v>0.70661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0.02508269018743103</v>
      </c>
      <c r="O127" s="4" t="n">
        <v>0.03774299419188885</v>
      </c>
      <c r="P127" s="4" t="n">
        <v>0.02128945001682014</v>
      </c>
      <c r="Q127" s="19" t="n">
        <v>730563</v>
      </c>
      <c r="R127" s="19" t="n">
        <v>3871168.9563</v>
      </c>
      <c r="S127" s="4" t="n">
        <v>0</v>
      </c>
      <c r="T127" s="4" t="n">
        <v>0.05</v>
      </c>
      <c r="U127" s="16" t="n">
        <v>0.8614060557989802</v>
      </c>
      <c r="V127" s="16" t="n">
        <v>0.9748953974895425</v>
      </c>
      <c r="W127" s="4" t="n">
        <v>0.2144149321769342</v>
      </c>
      <c r="X127" s="4" t="n">
        <v>0.02282728272827295</v>
      </c>
      <c r="Y127" s="4" t="n">
        <v>0.001308004607224023</v>
      </c>
      <c r="Z127" s="4" t="n">
        <v>0.004466018860912024</v>
      </c>
      <c r="AA127" s="4" t="n">
        <v>0.03</v>
      </c>
      <c r="AB127" s="4" t="n">
        <v>0.05</v>
      </c>
      <c r="AC127" s="4">
        <f>(AB127+2*參數!$B$7)/(AA127+AB127)</f>
        <v/>
      </c>
    </row>
    <row r="128">
      <c r="A128" s="2" t="n">
        <v>127</v>
      </c>
      <c r="B128" s="2" t="inlineStr">
        <is>
          <t>IOST_USDT_PERP</t>
        </is>
      </c>
      <c r="C128" s="2" t="inlineStr">
        <is>
          <t>做空</t>
        </is>
      </c>
      <c r="D128" s="7" t="n">
        <v>46274.5</v>
      </c>
      <c r="E128" s="17" t="n">
        <v>0.000857</v>
      </c>
      <c r="F128" s="17" t="n">
        <v>0.0008312899999999999</v>
      </c>
      <c r="G128" s="17" t="n">
        <v>0.0008998500000000001</v>
      </c>
      <c r="H128" s="7" t="n">
        <v>46274.54166666666</v>
      </c>
      <c r="I128" s="17" t="n">
        <v>0.0008998500000000001</v>
      </c>
      <c r="J128" s="2" t="inlineStr">
        <is>
          <t>止損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-0.03923766816143492</v>
      </c>
      <c r="O128" s="4" t="n">
        <v>0.06156972651263126</v>
      </c>
      <c r="P128" s="4" t="n">
        <v>-0.04325983812447676</v>
      </c>
      <c r="Q128" s="19" t="n">
        <v>-152704396</v>
      </c>
      <c r="R128" s="19" t="n">
        <v>1821513.247362</v>
      </c>
      <c r="S128" s="4" t="n">
        <v>0</v>
      </c>
      <c r="T128" s="4" t="n">
        <v>0.05</v>
      </c>
      <c r="U128" s="16" t="n">
        <v>1.111824073263994</v>
      </c>
      <c r="V128" s="16" t="n">
        <v>0.6911764705882351</v>
      </c>
      <c r="W128" s="4" t="n">
        <v>-0.07096887067144886</v>
      </c>
      <c r="X128" s="4" t="n">
        <v>0.1907459867799811</v>
      </c>
      <c r="Y128" s="4" t="n">
        <v>0.001216173970064571</v>
      </c>
      <c r="Z128" s="4" t="n">
        <v>-0.0008652575196506085</v>
      </c>
      <c r="AA128" s="4" t="n">
        <v>0.03</v>
      </c>
      <c r="AB128" s="4" t="n">
        <v>0.05</v>
      </c>
      <c r="AC128" s="4">
        <f>(AB128+2*參數!$B$7)/(AA128+AB128)</f>
        <v/>
      </c>
    </row>
    <row r="129">
      <c r="A129" s="2" t="n">
        <v>128</v>
      </c>
      <c r="B129" s="2" t="inlineStr">
        <is>
          <t>XPL_USDT_PERP</t>
        </is>
      </c>
      <c r="C129" s="2" t="inlineStr">
        <is>
          <t>做空</t>
        </is>
      </c>
      <c r="D129" s="7" t="n">
        <v>46274.5</v>
      </c>
      <c r="E129" s="17" t="n">
        <v>0.09710000000000001</v>
      </c>
      <c r="F129" s="17" t="n">
        <v>0.09418700000000001</v>
      </c>
      <c r="G129" s="17" t="n">
        <v>0.101955</v>
      </c>
      <c r="H129" s="7" t="n">
        <v>46275</v>
      </c>
      <c r="I129" s="17" t="n">
        <v>0.09418700000000001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-0.02313883299798791</v>
      </c>
      <c r="O129" s="4" t="n">
        <v>0.0223472353481632</v>
      </c>
      <c r="P129" s="4" t="n">
        <v>-0.003642706890359615</v>
      </c>
      <c r="Q129" s="19" t="n">
        <v>-3281546</v>
      </c>
      <c r="R129" s="19" t="n">
        <v>1210874.6298</v>
      </c>
      <c r="S129" s="4" t="n">
        <v>0.03</v>
      </c>
      <c r="T129" s="4" t="n">
        <v>0.02574665293511824</v>
      </c>
      <c r="U129" s="16" t="n">
        <v>0.6742122447118076</v>
      </c>
      <c r="V129" s="16" t="n">
        <v>0.8571428571428537</v>
      </c>
      <c r="W129" s="4" t="n">
        <v>-0.04589665980891655</v>
      </c>
      <c r="X129" s="4" t="n">
        <v>-0.04633620689655182</v>
      </c>
      <c r="Y129" s="4" t="n">
        <v>0.001216173970064571</v>
      </c>
      <c r="Z129" s="4" t="n">
        <v>-0.0008652575196506085</v>
      </c>
      <c r="AA129" s="4" t="n">
        <v>0.03</v>
      </c>
      <c r="AB129" s="4" t="n">
        <v>0.05</v>
      </c>
      <c r="AC129" s="4">
        <f>(AB129+2*參數!$B$7)/(AA129+AB129)</f>
        <v/>
      </c>
    </row>
    <row r="130">
      <c r="A130" s="2" t="n">
        <v>129</v>
      </c>
      <c r="B130" s="2" t="inlineStr">
        <is>
          <t>DASH_USDT_PERP</t>
        </is>
      </c>
      <c r="C130" s="2" t="inlineStr">
        <is>
          <t>做多</t>
        </is>
      </c>
      <c r="D130" s="7" t="n">
        <v>46274.54166666666</v>
      </c>
      <c r="E130" s="17" t="n">
        <v>64.79000000000001</v>
      </c>
      <c r="F130" s="17" t="n">
        <v>66.73370000000001</v>
      </c>
      <c r="G130" s="17" t="n">
        <v>61.5505</v>
      </c>
      <c r="H130" s="7" t="n">
        <v>46275.25</v>
      </c>
      <c r="I130" s="17" t="n">
        <v>61.5505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0.04382149186402451</v>
      </c>
      <c r="O130" s="4" t="n">
        <v>0.02002132949572752</v>
      </c>
      <c r="P130" s="4" t="n">
        <v>0.03192616129520354</v>
      </c>
      <c r="Q130" s="19" t="n">
        <v>11375.907</v>
      </c>
      <c r="R130" s="19" t="n">
        <v>2439474.88492</v>
      </c>
      <c r="S130" s="4" t="n">
        <v>0.02361475536348179</v>
      </c>
      <c r="T130" s="4" t="n">
        <v>0.05</v>
      </c>
      <c r="U130" s="16" t="n">
        <v>1.125007412142245</v>
      </c>
      <c r="V130" s="16" t="n">
        <v>0.9513888888888888</v>
      </c>
      <c r="W130" s="4" t="n">
        <v>-0.02844049629160872</v>
      </c>
      <c r="X130" s="4" t="n">
        <v>0.03300382653061229</v>
      </c>
      <c r="Y130" s="4" t="n">
        <v>0.006898771784506819</v>
      </c>
      <c r="Z130" s="4" t="n">
        <v>0.007295313963002314</v>
      </c>
      <c r="AA130" s="4" t="n">
        <v>0.03</v>
      </c>
      <c r="AB130" s="4" t="n">
        <v>0.05</v>
      </c>
      <c r="AC130" s="4">
        <f>(AB130+2*參數!$B$7)/(AA130+AB130)</f>
        <v/>
      </c>
    </row>
    <row r="131">
      <c r="A131" s="2" t="n">
        <v>130</v>
      </c>
      <c r="B131" s="2" t="inlineStr">
        <is>
          <t>PONS_USDT_PERP</t>
        </is>
      </c>
      <c r="C131" s="2" t="inlineStr">
        <is>
          <t>做多</t>
        </is>
      </c>
      <c r="D131" s="7" t="n">
        <v>46274.54166666666</v>
      </c>
      <c r="E131" s="17" t="n">
        <v>0.8091</v>
      </c>
      <c r="F131" s="17" t="n">
        <v>0.833373</v>
      </c>
      <c r="G131" s="17" t="n">
        <v>0.768645</v>
      </c>
      <c r="H131" s="7" t="n">
        <v>46274.70833333334</v>
      </c>
      <c r="I131" s="17" t="n">
        <v>0.833373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0.0582003662045516</v>
      </c>
      <c r="O131" s="4" t="n">
        <v>0.04569447016875642</v>
      </c>
      <c r="P131" s="4" t="n">
        <v>0.03845931706315331</v>
      </c>
      <c r="Q131" s="19" t="n">
        <v>5419793</v>
      </c>
      <c r="R131" s="19" t="n">
        <v>11243844.1629</v>
      </c>
      <c r="S131" s="4" t="n">
        <v>0.03</v>
      </c>
      <c r="T131" s="4" t="n">
        <v>0.02410085279940688</v>
      </c>
      <c r="U131" s="16" t="n">
        <v>0.6149788240205761</v>
      </c>
      <c r="V131" s="16" t="n">
        <v>1</v>
      </c>
      <c r="W131" s="4" t="n">
        <v>0.003844908381006817</v>
      </c>
      <c r="X131" s="4" t="n">
        <v>0.172608695652174</v>
      </c>
      <c r="Y131" s="4" t="n">
        <v>0.006898771784506819</v>
      </c>
      <c r="Z131" s="4" t="n">
        <v>0.007295313963002314</v>
      </c>
      <c r="AA131" s="4" t="n">
        <v>0.03</v>
      </c>
      <c r="AB131" s="4" t="n">
        <v>0.05</v>
      </c>
      <c r="AC131" s="4">
        <f>(AB131+2*參數!$B$7)/(AA131+AB131)</f>
        <v/>
      </c>
    </row>
    <row r="132">
      <c r="A132" s="2" t="n">
        <v>131</v>
      </c>
      <c r="B132" s="2" t="inlineStr">
        <is>
          <t>USELESS_USDT_PERP</t>
        </is>
      </c>
      <c r="C132" s="2" t="inlineStr">
        <is>
          <t>做多</t>
        </is>
      </c>
      <c r="D132" s="7" t="n">
        <v>46274.54166666666</v>
      </c>
      <c r="E132" s="17" t="n">
        <v>0.29433</v>
      </c>
      <c r="F132" s="17" t="n">
        <v>0.3031599</v>
      </c>
      <c r="G132" s="17" t="n">
        <v>0.2796135</v>
      </c>
      <c r="H132" s="7" t="n">
        <v>46274.58333333334</v>
      </c>
      <c r="I132" s="17" t="n">
        <v>0.3031599</v>
      </c>
      <c r="J132" s="2" t="inlineStr">
        <is>
          <t>止盈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0.0267206195276799</v>
      </c>
      <c r="O132" s="4" t="n">
        <v>0.0508450163025153</v>
      </c>
      <c r="P132" s="4" t="n">
        <v>0.04805499324335138</v>
      </c>
      <c r="Q132" s="19" t="n">
        <v>6113083</v>
      </c>
      <c r="R132" s="19" t="n">
        <v>11277342.91036</v>
      </c>
      <c r="S132" s="4" t="n">
        <v>0.03</v>
      </c>
      <c r="T132" s="4" t="n">
        <v>0</v>
      </c>
      <c r="U132" s="16" t="n">
        <v>1.056596246365362</v>
      </c>
      <c r="V132" s="16" t="n">
        <v>0.907578558225508</v>
      </c>
      <c r="W132" s="4" t="n">
        <v>0.2013160477914242</v>
      </c>
      <c r="X132" s="4" t="n">
        <v>0.3273055242390077</v>
      </c>
      <c r="Y132" s="4" t="n">
        <v>0.006898771784506819</v>
      </c>
      <c r="Z132" s="4" t="n">
        <v>0.007295313963002314</v>
      </c>
      <c r="AA132" s="4" t="n">
        <v>0.03</v>
      </c>
      <c r="AB132" s="4" t="n">
        <v>0.05</v>
      </c>
      <c r="AC132" s="4">
        <f>(AB132+2*參數!$B$7)/(AA132+AB132)</f>
        <v/>
      </c>
    </row>
    <row r="133">
      <c r="A133" s="2" t="n">
        <v>132</v>
      </c>
      <c r="B133" s="2" t="inlineStr">
        <is>
          <t>NEAR_USDT_PERP</t>
        </is>
      </c>
      <c r="C133" s="2" t="inlineStr">
        <is>
          <t>做多</t>
        </is>
      </c>
      <c r="D133" s="7" t="n">
        <v>46274.625</v>
      </c>
      <c r="E133" s="17" t="n">
        <v>2.393</v>
      </c>
      <c r="F133" s="17" t="n">
        <v>2.46479</v>
      </c>
      <c r="G133" s="17" t="n">
        <v>2.27335</v>
      </c>
      <c r="H133" s="7" t="n">
        <v>46274.66666666666</v>
      </c>
      <c r="I133" s="17" t="n">
        <v>2.46479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0.02836269875376018</v>
      </c>
      <c r="O133" s="4" t="n">
        <v>0.02002500005067401</v>
      </c>
      <c r="P133" s="4" t="n">
        <v>0.02840689329150359</v>
      </c>
      <c r="Q133" s="19" t="n">
        <v>96786</v>
      </c>
      <c r="R133" s="19" t="n">
        <v>4162375.795</v>
      </c>
      <c r="S133" s="4" t="n">
        <v>0.03</v>
      </c>
      <c r="T133" s="4" t="n">
        <v>0</v>
      </c>
      <c r="U133" s="16" t="n">
        <v>1.642785689777653</v>
      </c>
      <c r="V133" s="16" t="n">
        <v>0.9124999999999986</v>
      </c>
      <c r="W133" s="4" t="n">
        <v>0.03500774201361567</v>
      </c>
      <c r="X133" s="4" t="n">
        <v>0.05186813186813177</v>
      </c>
      <c r="Y133" s="4" t="n">
        <v>0.002774169428374051</v>
      </c>
      <c r="Z133" s="4" t="n">
        <v>0.006666035634970591</v>
      </c>
      <c r="AA133" s="4" t="n">
        <v>0.03</v>
      </c>
      <c r="AB133" s="4" t="n">
        <v>0.05</v>
      </c>
      <c r="AC133" s="4">
        <f>(AB133+2*參數!$B$7)/(AA133+AB133)</f>
        <v/>
      </c>
    </row>
    <row r="134">
      <c r="A134" s="2" t="n">
        <v>133</v>
      </c>
      <c r="B134" s="2" t="inlineStr">
        <is>
          <t>BULLA_USDT_PERP</t>
        </is>
      </c>
      <c r="C134" s="2" t="inlineStr">
        <is>
          <t>做多</t>
        </is>
      </c>
      <c r="D134" s="7" t="n">
        <v>46274.70833333334</v>
      </c>
      <c r="E134" s="17" t="n">
        <v>0.07983</v>
      </c>
      <c r="F134" s="17" t="n">
        <v>0.0822249</v>
      </c>
      <c r="G134" s="17" t="n">
        <v>0.07583849999999999</v>
      </c>
      <c r="H134" s="7" t="n">
        <v>46274.75</v>
      </c>
      <c r="I134" s="17" t="n">
        <v>0.0822249</v>
      </c>
      <c r="J134" s="2" t="inlineStr">
        <is>
          <t>止盈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0.03112890725910611</v>
      </c>
      <c r="O134" s="4" t="n">
        <v>0.03302822274806555</v>
      </c>
      <c r="P134" s="4" t="n">
        <v>0.01881807913930733</v>
      </c>
      <c r="Q134" s="19" t="n">
        <v>185494</v>
      </c>
      <c r="R134" s="19" t="n">
        <v>1714640.3982</v>
      </c>
      <c r="S134" s="4" t="n">
        <v>0.03</v>
      </c>
      <c r="T134" s="4" t="n">
        <v>0</v>
      </c>
      <c r="U134" s="16" t="n">
        <v>2.257015579100294</v>
      </c>
      <c r="V134" s="16" t="n">
        <v>0.8260869565217376</v>
      </c>
      <c r="W134" s="4" t="n">
        <v>0.03024131883278036</v>
      </c>
      <c r="X134" s="4" t="n">
        <v>0.02503852080123248</v>
      </c>
      <c r="Y134" s="4" t="n">
        <v>0.00523307830436659</v>
      </c>
      <c r="Z134" s="4" t="n">
        <v>0.01212964589387644</v>
      </c>
      <c r="AA134" s="4" t="n">
        <v>0.03</v>
      </c>
      <c r="AB134" s="4" t="n">
        <v>0.05</v>
      </c>
      <c r="AC134" s="4">
        <f>(AB134+2*參數!$B$7)/(AA134+AB134)</f>
        <v/>
      </c>
    </row>
    <row r="135">
      <c r="A135" s="2" t="n">
        <v>134</v>
      </c>
      <c r="B135" s="2" t="inlineStr">
        <is>
          <t>FF_USDT_PERP</t>
        </is>
      </c>
      <c r="C135" s="2" t="inlineStr">
        <is>
          <t>做多</t>
        </is>
      </c>
      <c r="D135" s="7" t="n">
        <v>46274.70833333334</v>
      </c>
      <c r="E135" s="17" t="n">
        <v>0.15464</v>
      </c>
      <c r="F135" s="17" t="n">
        <v>0.1592792</v>
      </c>
      <c r="G135" s="17" t="n">
        <v>0.146908</v>
      </c>
      <c r="H135" s="7" t="n">
        <v>46274.75</v>
      </c>
      <c r="I135" s="17" t="n">
        <v>0.1592792</v>
      </c>
      <c r="J135" s="2" t="inlineStr">
        <is>
          <t>止盈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0.0481935877448656</v>
      </c>
      <c r="O135" s="4" t="n">
        <v>0.0273836460356741</v>
      </c>
      <c r="P135" s="4" t="n">
        <v>0.05559196155526447</v>
      </c>
      <c r="Q135" s="19" t="n">
        <v>773788</v>
      </c>
      <c r="R135" s="19" t="n">
        <v>1793648.90954</v>
      </c>
      <c r="S135" s="4" t="n">
        <v>0.03</v>
      </c>
      <c r="T135" s="4" t="n">
        <v>0</v>
      </c>
      <c r="U135" s="16" t="n">
        <v>1.095872431245166</v>
      </c>
      <c r="V135" s="16" t="n">
        <v>0.8704902867715069</v>
      </c>
      <c r="W135" s="4" t="n">
        <v>0.2387700416955385</v>
      </c>
      <c r="X135" s="4" t="n">
        <v>0.2914648404877234</v>
      </c>
      <c r="Y135" s="4" t="n">
        <v>0.00523307830436659</v>
      </c>
      <c r="Z135" s="4" t="n">
        <v>0.01212964589387644</v>
      </c>
      <c r="AA135" s="4" t="n">
        <v>0.03</v>
      </c>
      <c r="AB135" s="4" t="n">
        <v>0.05</v>
      </c>
      <c r="AC135" s="4">
        <f>(AB135+2*參數!$B$7)/(AA135+AB135)</f>
        <v/>
      </c>
    </row>
    <row r="136">
      <c r="A136" s="2" t="n">
        <v>135</v>
      </c>
      <c r="B136" s="2" t="inlineStr">
        <is>
          <t>WLD_USDT_PERP</t>
        </is>
      </c>
      <c r="C136" s="2" t="inlineStr">
        <is>
          <t>做空</t>
        </is>
      </c>
      <c r="D136" s="7" t="n">
        <v>46274.75</v>
      </c>
      <c r="E136" s="17" t="n">
        <v>0.4456</v>
      </c>
      <c r="F136" s="17" t="n">
        <v>0.432232</v>
      </c>
      <c r="G136" s="17" t="n">
        <v>0.46788</v>
      </c>
      <c r="H136" s="7" t="n">
        <v>46275</v>
      </c>
      <c r="I136" s="17" t="n">
        <v>0.432232</v>
      </c>
      <c r="J136" s="2" t="inlineStr">
        <is>
          <t>止盈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-0.02451838879159363</v>
      </c>
      <c r="O136" s="4" t="n">
        <v>0.02025988260312546</v>
      </c>
      <c r="P136" s="4" t="n">
        <v>-0.03349998373260754</v>
      </c>
      <c r="Q136" s="19" t="n">
        <v>-187183</v>
      </c>
      <c r="R136" s="19" t="n">
        <v>1411793.6703</v>
      </c>
      <c r="S136" s="4" t="n">
        <v>0.03</v>
      </c>
      <c r="T136" s="4" t="n">
        <v>0.02176840215439846</v>
      </c>
      <c r="U136" s="16" t="n">
        <v>2.03583722335109</v>
      </c>
      <c r="V136" s="16" t="n">
        <v>0.9338842975206593</v>
      </c>
      <c r="W136" s="4" t="n">
        <v>-0.02207226528004935</v>
      </c>
      <c r="X136" s="4" t="n">
        <v>0.07895824720959077</v>
      </c>
      <c r="Y136" s="4" t="n">
        <v>0.009383559752248916</v>
      </c>
      <c r="Z136" s="4" t="n">
        <v>-0.002010608756258581</v>
      </c>
      <c r="AA136" s="4" t="n">
        <v>0.03</v>
      </c>
      <c r="AB136" s="4" t="n">
        <v>0.05</v>
      </c>
      <c r="AC136" s="4">
        <f>(AB136+2*參數!$B$7)/(AA136+AB136)</f>
        <v/>
      </c>
    </row>
    <row r="137">
      <c r="A137" s="2" t="n">
        <v>136</v>
      </c>
      <c r="B137" s="2" t="inlineStr">
        <is>
          <t>VVV_USDT_PERP</t>
        </is>
      </c>
      <c r="C137" s="2" t="inlineStr">
        <is>
          <t>做多</t>
        </is>
      </c>
      <c r="D137" s="7" t="n">
        <v>46274.79166666666</v>
      </c>
      <c r="E137" s="17" t="n">
        <v>26.225</v>
      </c>
      <c r="F137" s="17" t="n">
        <v>27.01175</v>
      </c>
      <c r="G137" s="17" t="n">
        <v>24.91375</v>
      </c>
      <c r="H137" s="7" t="n">
        <v>46274.83333333334</v>
      </c>
      <c r="I137" s="17" t="n">
        <v>27.01175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0.0220187061574435</v>
      </c>
      <c r="O137" s="4" t="n">
        <v>0.05397922222697878</v>
      </c>
      <c r="P137" s="4" t="n">
        <v>0.04394313943258843</v>
      </c>
      <c r="Q137" s="19" t="n">
        <v>10316.69999999997</v>
      </c>
      <c r="R137" s="19" t="n">
        <v>12372708.74157</v>
      </c>
      <c r="S137" s="4" t="n">
        <v>0.03</v>
      </c>
      <c r="T137" s="4" t="n">
        <v>0</v>
      </c>
      <c r="U137" s="16" t="n">
        <v>0.8287536617025847</v>
      </c>
      <c r="V137" s="16" t="n">
        <v>0.8229284903518743</v>
      </c>
      <c r="W137" s="4" t="n">
        <v>0.3729396089805173</v>
      </c>
      <c r="X137" s="4" t="n">
        <v>0.4347849874165666</v>
      </c>
      <c r="Y137" s="4" t="n">
        <v>-0.0003877683173010293</v>
      </c>
      <c r="Z137" s="4" t="n">
        <v>0.001394646669198751</v>
      </c>
      <c r="AA137" s="4" t="n">
        <v>0.03</v>
      </c>
      <c r="AB137" s="4" t="n">
        <v>0.05</v>
      </c>
      <c r="AC137" s="4">
        <f>(AB137+2*參數!$B$7)/(AA137+AB137)</f>
        <v/>
      </c>
    </row>
    <row r="138">
      <c r="A138" s="2" t="n">
        <v>137</v>
      </c>
      <c r="B138" s="2" t="inlineStr">
        <is>
          <t>PUMP_USDT_PERP</t>
        </is>
      </c>
      <c r="C138" s="2" t="inlineStr">
        <is>
          <t>做多</t>
        </is>
      </c>
      <c r="D138" s="7" t="n">
        <v>46274.83333333334</v>
      </c>
      <c r="E138" s="17" t="n">
        <v>0.004602</v>
      </c>
      <c r="F138" s="17" t="n">
        <v>0.00474006</v>
      </c>
      <c r="G138" s="17" t="n">
        <v>0.0043719</v>
      </c>
      <c r="H138" s="7" t="n">
        <v>46274.875</v>
      </c>
      <c r="I138" s="17" t="n">
        <v>0.00474006</v>
      </c>
      <c r="J138" s="2" t="inlineStr">
        <is>
          <t>止盈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0.03578663065496301</v>
      </c>
      <c r="O138" s="4" t="n">
        <v>0.02507227917066778</v>
      </c>
      <c r="P138" s="4" t="n">
        <v>0.03913112199968394</v>
      </c>
      <c r="Q138" s="19" t="n">
        <v>127764236</v>
      </c>
      <c r="R138" s="19" t="n">
        <v>4847507.429121</v>
      </c>
      <c r="S138" s="4" t="n">
        <v>0.03</v>
      </c>
      <c r="T138" s="4" t="n">
        <v>0</v>
      </c>
      <c r="U138" s="16" t="n">
        <v>4.045779838619979</v>
      </c>
      <c r="V138" s="16" t="n">
        <v>0.9685039370078733</v>
      </c>
      <c r="W138" s="4" t="n">
        <v>0.09744406660021276</v>
      </c>
      <c r="X138" s="4" t="n">
        <v>0.06503124276787786</v>
      </c>
      <c r="Y138" s="4" t="n">
        <v>0.005059423826577536</v>
      </c>
      <c r="Z138" s="4" t="n">
        <v>0.006198312887727875</v>
      </c>
      <c r="AA138" s="4" t="n">
        <v>0.03</v>
      </c>
      <c r="AB138" s="4" t="n">
        <v>0.05</v>
      </c>
      <c r="AC138" s="4">
        <f>(AB138+2*參數!$B$7)/(AA138+AB138)</f>
        <v/>
      </c>
    </row>
    <row r="139">
      <c r="A139" s="2" t="n">
        <v>138</v>
      </c>
      <c r="B139" s="2" t="inlineStr">
        <is>
          <t>BULLA_USDT_PERP</t>
        </is>
      </c>
      <c r="C139" s="2" t="inlineStr">
        <is>
          <t>做多</t>
        </is>
      </c>
      <c r="D139" s="7" t="n">
        <v>46274.875</v>
      </c>
      <c r="E139" s="17" t="n">
        <v>0.08321000000000001</v>
      </c>
      <c r="F139" s="17" t="n">
        <v>0.08570630000000001</v>
      </c>
      <c r="G139" s="17" t="n">
        <v>0.07904950000000001</v>
      </c>
      <c r="H139" s="7" t="n">
        <v>46274.91666666666</v>
      </c>
      <c r="I139" s="17" t="n">
        <v>0.08570630000000001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0.02791846819024113</v>
      </c>
      <c r="O139" s="4" t="n">
        <v>0.07885590541266246</v>
      </c>
      <c r="P139" s="4" t="n">
        <v>0.057400277025911</v>
      </c>
      <c r="Q139" s="19" t="n">
        <v>9279213</v>
      </c>
      <c r="R139" s="19" t="n">
        <v>1716997.93514</v>
      </c>
      <c r="S139" s="4" t="n">
        <v>0.03</v>
      </c>
      <c r="T139" s="4" t="n">
        <v>0</v>
      </c>
      <c r="U139" s="16" t="n">
        <v>15.97198728469662</v>
      </c>
      <c r="V139" s="16" t="n">
        <v>0.2433094280216898</v>
      </c>
      <c r="W139" s="4" t="n">
        <v>0.06983842495509673</v>
      </c>
      <c r="X139" s="4" t="n">
        <v>0.0431239814466593</v>
      </c>
      <c r="Y139" s="4" t="n">
        <v>0.003588474501019068</v>
      </c>
      <c r="Z139" s="4" t="n">
        <v>0.009254340501077651</v>
      </c>
      <c r="AA139" s="4" t="n">
        <v>0.03</v>
      </c>
      <c r="AB139" s="4" t="n">
        <v>0.05</v>
      </c>
      <c r="AC139" s="4">
        <f>(AB139+2*參數!$B$7)/(AA139+AB139)</f>
        <v/>
      </c>
    </row>
    <row r="140">
      <c r="A140" s="2" t="n">
        <v>139</v>
      </c>
      <c r="B140" s="2" t="inlineStr">
        <is>
          <t>PONS_USDT_PERP</t>
        </is>
      </c>
      <c r="C140" s="2" t="inlineStr">
        <is>
          <t>做多</t>
        </is>
      </c>
      <c r="D140" s="7" t="n">
        <v>46274.875</v>
      </c>
      <c r="E140" s="17" t="n">
        <v>0.8066</v>
      </c>
      <c r="F140" s="17" t="n">
        <v>0.830798</v>
      </c>
      <c r="G140" s="17" t="n">
        <v>0.7662699999999999</v>
      </c>
      <c r="H140" s="7" t="n">
        <v>46274.95833333334</v>
      </c>
      <c r="I140" s="17" t="n">
        <v>0.7662699999999999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0.03264626808347204</v>
      </c>
      <c r="O140" s="4" t="n">
        <v>0.04159531370999592</v>
      </c>
      <c r="P140" s="4" t="n">
        <v>0.01433601609657953</v>
      </c>
      <c r="Q140" s="19" t="n">
        <v>466047</v>
      </c>
      <c r="R140" s="19" t="n">
        <v>10103179.1206</v>
      </c>
      <c r="S140" s="4" t="n">
        <v>0.002603520952144889</v>
      </c>
      <c r="T140" s="4" t="n">
        <v>0.05</v>
      </c>
      <c r="U140" s="16" t="n">
        <v>1.648022119137153</v>
      </c>
      <c r="V140" s="16" t="n">
        <v>0.8281622911694512</v>
      </c>
      <c r="W140" s="4" t="n">
        <v>-0.006887517021795242</v>
      </c>
      <c r="X140" s="4" t="n">
        <v>0.07160887471768285</v>
      </c>
      <c r="Y140" s="4" t="n">
        <v>0.003588474501019068</v>
      </c>
      <c r="Z140" s="4" t="n">
        <v>0.009254340501077651</v>
      </c>
      <c r="AA140" s="4" t="n">
        <v>0.03</v>
      </c>
      <c r="AB140" s="4" t="n">
        <v>0.05</v>
      </c>
      <c r="AC140" s="4">
        <f>(AB140+2*參數!$B$7)/(AA140+AB140)</f>
        <v/>
      </c>
    </row>
    <row r="141">
      <c r="A141" s="2" t="n">
        <v>140</v>
      </c>
      <c r="B141" s="2" t="inlineStr">
        <is>
          <t>DOT_USDT_PERP</t>
        </is>
      </c>
      <c r="C141" s="2" t="inlineStr">
        <is>
          <t>做空</t>
        </is>
      </c>
      <c r="D141" s="7" t="n">
        <v>46274.95833333334</v>
      </c>
      <c r="E141" s="17" t="n">
        <v>1.132</v>
      </c>
      <c r="F141" s="17" t="n">
        <v>1.09804</v>
      </c>
      <c r="G141" s="17" t="n">
        <v>1.1886</v>
      </c>
      <c r="H141" s="7" t="n">
        <v>46275.29166666666</v>
      </c>
      <c r="I141" s="17" t="n">
        <v>1.09804</v>
      </c>
      <c r="J141" s="2" t="inlineStr">
        <is>
          <t>止盈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-0.02413793103448281</v>
      </c>
      <c r="O141" s="4" t="n">
        <v>0.02211709411513277</v>
      </c>
      <c r="P141" s="4" t="n">
        <v>-0.05587989991659725</v>
      </c>
      <c r="Q141" s="19" t="n">
        <v>-270114.6999999997</v>
      </c>
      <c r="R141" s="19" t="n">
        <v>3541739.0673</v>
      </c>
      <c r="S141" s="4" t="n">
        <v>0.03</v>
      </c>
      <c r="T141" s="4" t="n">
        <v>0.007950530035335746</v>
      </c>
      <c r="U141" s="16" t="n">
        <v>1.482383660972677</v>
      </c>
      <c r="V141" s="16" t="n">
        <v>0.8823529411764706</v>
      </c>
      <c r="W141" s="4" t="n">
        <v>-0.08557016408220397</v>
      </c>
      <c r="X141" s="4" t="n">
        <v>-0.008014247551201947</v>
      </c>
      <c r="Y141" s="4" t="n">
        <v>0.002284080452215065</v>
      </c>
      <c r="Z141" s="4" t="n">
        <v>-0.0004650460654174182</v>
      </c>
      <c r="AA141" s="4" t="n">
        <v>0.03</v>
      </c>
      <c r="AB141" s="4" t="n">
        <v>0.05</v>
      </c>
      <c r="AC141" s="4">
        <f>(AB141+2*參數!$B$7)/(AA141+AB141)</f>
        <v/>
      </c>
    </row>
    <row r="142">
      <c r="A142" s="2" t="n">
        <v>141</v>
      </c>
      <c r="B142" s="2" t="inlineStr">
        <is>
          <t>MARSCOIN_USDT_PERP</t>
        </is>
      </c>
      <c r="C142" s="2" t="inlineStr">
        <is>
          <t>做空</t>
        </is>
      </c>
      <c r="D142" s="7" t="n">
        <v>46274.95833333334</v>
      </c>
      <c r="E142" s="17" t="n">
        <v>0.13075</v>
      </c>
      <c r="F142" s="17" t="n">
        <v>0.1268275</v>
      </c>
      <c r="G142" s="17" t="n">
        <v>0.1372875</v>
      </c>
      <c r="H142" s="7" t="n">
        <v>46275</v>
      </c>
      <c r="I142" s="17" t="n">
        <v>0.1268275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-0.04582938042764362</v>
      </c>
      <c r="O142" s="4" t="n">
        <v>0.06592602980287511</v>
      </c>
      <c r="P142" s="4" t="n">
        <v>-0.008150988625028055</v>
      </c>
      <c r="Q142" s="19" t="n">
        <v>-602478</v>
      </c>
      <c r="R142" s="19" t="n">
        <v>3010863.64812</v>
      </c>
      <c r="S142" s="4" t="n">
        <v>0.03</v>
      </c>
      <c r="T142" s="4" t="n">
        <v>0</v>
      </c>
      <c r="U142" s="16" t="n">
        <v>0.9586415265909578</v>
      </c>
      <c r="V142" s="16" t="n">
        <v>0.7476635514018692</v>
      </c>
      <c r="W142" s="4" t="n">
        <v>0.2383687402065578</v>
      </c>
      <c r="X142" s="4" t="n">
        <v>-0.03001417992752486</v>
      </c>
      <c r="Y142" s="4" t="n">
        <v>0.002284080452215065</v>
      </c>
      <c r="Z142" s="4" t="n">
        <v>-0.0004650460654174182</v>
      </c>
      <c r="AA142" s="4" t="n">
        <v>0.03</v>
      </c>
      <c r="AB142" s="4" t="n">
        <v>0.05</v>
      </c>
      <c r="AC142" s="4">
        <f>(AB142+2*參數!$B$7)/(AA142+AB142)</f>
        <v/>
      </c>
    </row>
    <row r="143">
      <c r="A143" s="2" t="n">
        <v>142</v>
      </c>
      <c r="B143" s="2" t="inlineStr">
        <is>
          <t>ENA_USDT_PERP</t>
        </is>
      </c>
      <c r="C143" s="2" t="inlineStr">
        <is>
          <t>做空</t>
        </is>
      </c>
      <c r="D143" s="7" t="n">
        <v>46275</v>
      </c>
      <c r="E143" s="17" t="n">
        <v>0.1563</v>
      </c>
      <c r="F143" s="17" t="n">
        <v>0.151611</v>
      </c>
      <c r="G143" s="17" t="n">
        <v>0.164115</v>
      </c>
      <c r="H143" s="7" t="n">
        <v>46275.25</v>
      </c>
      <c r="I143" s="17" t="n">
        <v>0.151611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-0.03159851301115235</v>
      </c>
      <c r="O143" s="4" t="n">
        <v>0.02001059109395601</v>
      </c>
      <c r="P143" s="4" t="n">
        <v>-0.03569114970540144</v>
      </c>
      <c r="Q143" s="19" t="n">
        <v>-5648234</v>
      </c>
      <c r="R143" s="19" t="n">
        <v>3937096.3957</v>
      </c>
      <c r="S143" s="4" t="n">
        <v>0.03</v>
      </c>
      <c r="T143" s="4" t="n">
        <v>0.01343570057581589</v>
      </c>
      <c r="U143" s="16" t="n">
        <v>2.837922980872801</v>
      </c>
      <c r="V143" s="16" t="n">
        <v>0.694736842105264</v>
      </c>
      <c r="W143" s="4" t="n">
        <v>0.06777285387950838</v>
      </c>
      <c r="X143" s="4" t="n">
        <v>0.04169221336603313</v>
      </c>
      <c r="Y143" s="4" t="n">
        <v>0.004587487220028441</v>
      </c>
      <c r="Z143" s="4" t="n">
        <v>0.004225987851354307</v>
      </c>
      <c r="AA143" s="4" t="n">
        <v>0.03</v>
      </c>
      <c r="AB143" s="4" t="n">
        <v>0.05</v>
      </c>
      <c r="AC143" s="4">
        <f>(AB143+2*參數!$B$7)/(AA143+AB143)</f>
        <v/>
      </c>
    </row>
    <row r="144">
      <c r="A144" s="2" t="n">
        <v>143</v>
      </c>
      <c r="B144" s="2" t="inlineStr">
        <is>
          <t>AKE_USDT_PERP</t>
        </is>
      </c>
      <c r="C144" s="2" t="inlineStr">
        <is>
          <t>做空</t>
        </is>
      </c>
      <c r="D144" s="7" t="n">
        <v>46275.04166666666</v>
      </c>
      <c r="E144" s="17" t="n">
        <v>0.0151607</v>
      </c>
      <c r="F144" s="17" t="n">
        <v>0.014705879</v>
      </c>
      <c r="G144" s="17" t="n">
        <v>0.015918735</v>
      </c>
      <c r="H144" s="7" t="n">
        <v>46275.29166666666</v>
      </c>
      <c r="I144" s="17" t="n">
        <v>0.014705879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-0.02656907123824204</v>
      </c>
      <c r="O144" s="4" t="n">
        <v>0.04491481230211565</v>
      </c>
      <c r="P144" s="4" t="n">
        <v>-0.03106581673673436</v>
      </c>
      <c r="Q144" s="19" t="n">
        <v>-13040704</v>
      </c>
      <c r="R144" s="19" t="n">
        <v>3092940.1034152</v>
      </c>
      <c r="S144" s="4" t="n">
        <v>0.03</v>
      </c>
      <c r="T144" s="4" t="n">
        <v>0.03028883890585532</v>
      </c>
      <c r="U144" s="16" t="n">
        <v>8.31398505972493</v>
      </c>
      <c r="V144" s="16" t="n">
        <v>0.6192244837319871</v>
      </c>
      <c r="W144" s="4" t="n">
        <v>0.0755249080872713</v>
      </c>
      <c r="X144" s="4" t="n">
        <v>0.2038618270422417</v>
      </c>
      <c r="Y144" s="4" t="n">
        <v>-0.002540409825633194</v>
      </c>
      <c r="Z144" s="4" t="n">
        <v>0.00189978323489759</v>
      </c>
      <c r="AA144" s="4" t="n">
        <v>0.03</v>
      </c>
      <c r="AB144" s="4" t="n">
        <v>0.05</v>
      </c>
      <c r="AC144" s="4">
        <f>(AB144+2*參數!$B$7)/(AA144+AB144)</f>
        <v/>
      </c>
    </row>
    <row r="145">
      <c r="A145" s="2" t="n">
        <v>144</v>
      </c>
      <c r="B145" s="2" t="inlineStr">
        <is>
          <t>PUMP_USDT_PERP</t>
        </is>
      </c>
      <c r="C145" s="2" t="inlineStr">
        <is>
          <t>做多</t>
        </is>
      </c>
      <c r="D145" s="7" t="n">
        <v>46275.04166666666</v>
      </c>
      <c r="E145" s="17" t="n">
        <v>0.004769</v>
      </c>
      <c r="F145" s="17" t="n">
        <v>0.00491207</v>
      </c>
      <c r="G145" s="17" t="n">
        <v>0.00453055</v>
      </c>
      <c r="H145" s="7" t="n">
        <v>46275.16666666666</v>
      </c>
      <c r="I145" s="17" t="n">
        <v>0.00453055</v>
      </c>
      <c r="J145" s="2" t="inlineStr">
        <is>
          <t>止損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0.0297991794428849</v>
      </c>
      <c r="O145" s="4" t="n">
        <v>0.02721112648594715</v>
      </c>
      <c r="P145" s="4" t="n">
        <v>0.05868380451311395</v>
      </c>
      <c r="Q145" s="19" t="n">
        <v>312133448</v>
      </c>
      <c r="R145" s="19" t="n">
        <v>6069782.965766</v>
      </c>
      <c r="S145" s="4" t="n">
        <v>0.01216187880058706</v>
      </c>
      <c r="T145" s="4" t="n">
        <v>0.05</v>
      </c>
      <c r="U145" s="16" t="n">
        <v>2.180372118293235</v>
      </c>
      <c r="V145" s="16" t="n">
        <v>0.8801843317972352</v>
      </c>
      <c r="W145" s="4" t="n">
        <v>0.1305234212023516</v>
      </c>
      <c r="X145" s="4" t="n">
        <v>0.08386363636363625</v>
      </c>
      <c r="Y145" s="4" t="n">
        <v>0.002540409825633194</v>
      </c>
      <c r="Z145" s="4" t="n">
        <v>-0.00189978323489759</v>
      </c>
      <c r="AA145" s="4" t="n">
        <v>0.03</v>
      </c>
      <c r="AB145" s="4" t="n">
        <v>0.05</v>
      </c>
      <c r="AC145" s="4">
        <f>(AB145+2*參數!$B$7)/(AA145+AB145)</f>
        <v/>
      </c>
    </row>
    <row r="146">
      <c r="A146" s="2" t="n">
        <v>145</v>
      </c>
      <c r="B146" s="2" t="inlineStr">
        <is>
          <t>RAY_USDT_PERP</t>
        </is>
      </c>
      <c r="C146" s="2" t="inlineStr">
        <is>
          <t>做多</t>
        </is>
      </c>
      <c r="D146" s="7" t="n">
        <v>46275.08333333334</v>
      </c>
      <c r="E146" s="17" t="n">
        <v>1.365</v>
      </c>
      <c r="F146" s="17" t="n">
        <v>1.40595</v>
      </c>
      <c r="G146" s="17" t="n">
        <v>1.29675</v>
      </c>
      <c r="H146" s="7" t="n">
        <v>46275.16666666666</v>
      </c>
      <c r="I146" s="17" t="n">
        <v>1.29675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0.02247191011235961</v>
      </c>
      <c r="O146" s="4" t="n">
        <v>0.04799131109558633</v>
      </c>
      <c r="P146" s="4" t="n">
        <v>0.05592944998839644</v>
      </c>
      <c r="Q146" s="19" t="n">
        <v>228613.4000000001</v>
      </c>
      <c r="R146" s="19" t="n">
        <v>2431364.9724</v>
      </c>
      <c r="S146" s="4" t="n">
        <v>0.02710622710622701</v>
      </c>
      <c r="T146" s="4" t="n">
        <v>0.05</v>
      </c>
      <c r="U146" s="16" t="n">
        <v>0.9511020296400551</v>
      </c>
      <c r="V146" s="16" t="n">
        <v>0.6521739130434777</v>
      </c>
      <c r="W146" s="4" t="n">
        <v>0.1683042897736997</v>
      </c>
      <c r="X146" s="4" t="n">
        <v>0.1900610287707061</v>
      </c>
      <c r="Y146" s="4" t="n">
        <v>-0.00040243951981489</v>
      </c>
      <c r="Z146" s="4" t="n">
        <v>-0.002477908933204542</v>
      </c>
      <c r="AA146" s="4" t="n">
        <v>0.03</v>
      </c>
      <c r="AB146" s="4" t="n">
        <v>0.05</v>
      </c>
      <c r="AC146" s="4">
        <f>(AB146+2*參數!$B$7)/(AA146+AB146)</f>
        <v/>
      </c>
    </row>
    <row r="147">
      <c r="A147" s="2" t="n">
        <v>146</v>
      </c>
      <c r="B147" s="2" t="inlineStr">
        <is>
          <t>AKE_USDT_PERP</t>
        </is>
      </c>
      <c r="C147" s="2" t="inlineStr">
        <is>
          <t>做多</t>
        </is>
      </c>
      <c r="D147" s="7" t="n">
        <v>46275.33333333334</v>
      </c>
      <c r="E147" s="17" t="n">
        <v>0.0160605</v>
      </c>
      <c r="F147" s="17" t="n">
        <v>0.016542315</v>
      </c>
      <c r="G147" s="17" t="n">
        <v>0.015257475</v>
      </c>
      <c r="H147" s="7" t="n">
        <v>46275.5</v>
      </c>
      <c r="I147" s="17" t="n">
        <v>0.015257475</v>
      </c>
      <c r="J147" s="2" t="inlineStr">
        <is>
          <t>止損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0.03810354857475273</v>
      </c>
      <c r="O147" s="4" t="n">
        <v>0.03833789543883941</v>
      </c>
      <c r="P147" s="4" t="n">
        <v>0.03858051286561359</v>
      </c>
      <c r="Q147" s="19" t="n">
        <v>29408404</v>
      </c>
      <c r="R147" s="19" t="n">
        <v>2804101.2334157</v>
      </c>
      <c r="S147" s="4" t="n">
        <v>0.002976246069549493</v>
      </c>
      <c r="T147" s="4" t="n">
        <v>0.05</v>
      </c>
      <c r="U147" s="16" t="n">
        <v>1.105813507966635</v>
      </c>
      <c r="V147" s="16" t="n">
        <v>0.7336182336182305</v>
      </c>
      <c r="W147" s="4" t="n">
        <v>-0.004189466463063063</v>
      </c>
      <c r="X147" s="4" t="n">
        <v>-0.01287645974185625</v>
      </c>
      <c r="Y147" s="4" t="n">
        <v>0.004863568431486387</v>
      </c>
      <c r="Z147" s="4" t="n">
        <v>-0.006777451980093496</v>
      </c>
      <c r="AA147" s="4" t="n">
        <v>0.03</v>
      </c>
      <c r="AB147" s="4" t="n">
        <v>0.05</v>
      </c>
      <c r="AC147" s="4">
        <f>(AB147+2*參數!$B$7)/(AA147+AB147)</f>
        <v/>
      </c>
    </row>
    <row r="148">
      <c r="A148" s="2" t="n">
        <v>147</v>
      </c>
      <c r="B148" s="2" t="inlineStr">
        <is>
          <t>KAT_USDT_PERP</t>
        </is>
      </c>
      <c r="C148" s="2" t="inlineStr">
        <is>
          <t>做空</t>
        </is>
      </c>
      <c r="D148" s="7" t="n">
        <v>46275.45833333334</v>
      </c>
      <c r="E148" s="17" t="n">
        <v>0.00549</v>
      </c>
      <c r="F148" s="17" t="n">
        <v>0.0053253</v>
      </c>
      <c r="G148" s="17" t="n">
        <v>0.005764500000000001</v>
      </c>
      <c r="H148" s="7" t="n">
        <v>46275.54166666666</v>
      </c>
      <c r="I148" s="17" t="n">
        <v>0.0053253</v>
      </c>
      <c r="J148" s="2" t="inlineStr">
        <is>
          <t>止盈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-0.02243589743589747</v>
      </c>
      <c r="O148" s="4" t="n">
        <v>0.07180158841393985</v>
      </c>
      <c r="P148" s="4" t="n">
        <v>-0.05804436971329541</v>
      </c>
      <c r="Q148" s="19" t="n">
        <v>-195187</v>
      </c>
      <c r="R148" s="19" t="n">
        <v>1588257.254743</v>
      </c>
      <c r="S148" s="4" t="n">
        <v>0.03</v>
      </c>
      <c r="T148" s="4" t="n">
        <v>0.01438979963570119</v>
      </c>
      <c r="U148" s="16" t="n">
        <v>3.019475028667117</v>
      </c>
      <c r="V148" s="16" t="n">
        <v>0.6634615384615394</v>
      </c>
      <c r="W148" s="4" t="n">
        <v>-0.103519806069962</v>
      </c>
      <c r="X148" s="4" t="n">
        <v>-0.08390918065153019</v>
      </c>
      <c r="Y148" s="4" t="n">
        <v>-0.003362750460856878</v>
      </c>
      <c r="Z148" s="4" t="n">
        <v>0.004349731506490429</v>
      </c>
      <c r="AA148" s="4" t="n">
        <v>0.03</v>
      </c>
      <c r="AB148" s="4" t="n">
        <v>0.05</v>
      </c>
      <c r="AC148" s="4">
        <f>(AB148+2*參數!$B$7)/(AA148+AB148)</f>
        <v/>
      </c>
    </row>
    <row r="149">
      <c r="A149" s="2" t="n">
        <v>148</v>
      </c>
      <c r="B149" s="2" t="inlineStr">
        <is>
          <t>AKE_USDT_PERP</t>
        </is>
      </c>
      <c r="C149" s="2" t="inlineStr">
        <is>
          <t>做多</t>
        </is>
      </c>
      <c r="D149" s="7" t="n">
        <v>46275.54166666666</v>
      </c>
      <c r="E149" s="17" t="n">
        <v>0.0154525</v>
      </c>
      <c r="F149" s="17" t="n">
        <v>0.015916075</v>
      </c>
      <c r="G149" s="17" t="n">
        <v>0.014679875</v>
      </c>
      <c r="H149" s="7" t="n">
        <v>46275.75</v>
      </c>
      <c r="I149" s="17" t="n">
        <v>0.015916075</v>
      </c>
      <c r="J149" s="2" t="inlineStr">
        <is>
          <t>止盈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0.0257899628252789</v>
      </c>
      <c r="O149" s="4" t="n">
        <v>0.0399508306345409</v>
      </c>
      <c r="P149" s="4" t="n">
        <v>0.003577548569029254</v>
      </c>
      <c r="Q149" s="19" t="n">
        <v>35488477</v>
      </c>
      <c r="R149" s="19" t="n">
        <v>3063002.323005</v>
      </c>
      <c r="S149" s="4" t="n">
        <v>0.03</v>
      </c>
      <c r="T149" s="4" t="n">
        <v>0.02697298171816853</v>
      </c>
      <c r="U149" s="16" t="n">
        <v>1.572832235173192</v>
      </c>
      <c r="V149" s="16" t="n">
        <v>0.7244387013406556</v>
      </c>
      <c r="W149" s="4" t="n">
        <v>-0.03199766865071907</v>
      </c>
      <c r="X149" s="4" t="n">
        <v>0.01145475372279492</v>
      </c>
      <c r="Y149" s="4" t="n">
        <v>0.001006419114810919</v>
      </c>
      <c r="Z149" s="4" t="n">
        <v>-0.002265062320720879</v>
      </c>
      <c r="AA149" s="4" t="n">
        <v>0.03</v>
      </c>
      <c r="AB149" s="4" t="n">
        <v>0.05</v>
      </c>
      <c r="AC149" s="4">
        <f>(AB149+2*參數!$B$7)/(AA149+AB149)</f>
        <v/>
      </c>
    </row>
    <row r="150">
      <c r="A150" s="2" t="n">
        <v>149</v>
      </c>
      <c r="B150" s="2" t="inlineStr">
        <is>
          <t>BULLA_USDT_PERP</t>
        </is>
      </c>
      <c r="C150" s="2" t="inlineStr">
        <is>
          <t>做多</t>
        </is>
      </c>
      <c r="D150" s="7" t="n">
        <v>46275.54166666666</v>
      </c>
      <c r="E150" s="17" t="n">
        <v>0.08887</v>
      </c>
      <c r="F150" s="17" t="n">
        <v>0.09153610000000001</v>
      </c>
      <c r="G150" s="17" t="n">
        <v>0.0844265</v>
      </c>
      <c r="H150" s="7" t="n">
        <v>46275.58333333334</v>
      </c>
      <c r="I150" s="17" t="n">
        <v>0.09153610000000001</v>
      </c>
      <c r="J150" s="2" t="inlineStr">
        <is>
          <t>止盈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0.03674755016332254</v>
      </c>
      <c r="O150" s="4" t="n">
        <v>0.06540224408428828</v>
      </c>
      <c r="P150" s="4" t="n">
        <v>0.05066531102034078</v>
      </c>
      <c r="Q150" s="19" t="n">
        <v>16933466</v>
      </c>
      <c r="R150" s="19" t="n">
        <v>2483470.87492</v>
      </c>
      <c r="S150" s="4" t="n">
        <v>0.03</v>
      </c>
      <c r="T150" s="4" t="n">
        <v>0</v>
      </c>
      <c r="U150" s="16" t="n">
        <v>1.162474389333257</v>
      </c>
      <c r="V150" s="16" t="n">
        <v>0.8541176470588248</v>
      </c>
      <c r="W150" s="4" t="n">
        <v>0.1226558700361922</v>
      </c>
      <c r="X150" s="4" t="n">
        <v>0.1613957135389441</v>
      </c>
      <c r="Y150" s="4" t="n">
        <v>0.001006419114810919</v>
      </c>
      <c r="Z150" s="4" t="n">
        <v>-0.002265062320720879</v>
      </c>
      <c r="AA150" s="4" t="n">
        <v>0.03</v>
      </c>
      <c r="AB150" s="4" t="n">
        <v>0.05</v>
      </c>
      <c r="AC150" s="4">
        <f>(AB150+2*參數!$B$7)/(AA150+AB150)</f>
        <v/>
      </c>
    </row>
    <row r="151">
      <c r="A151" s="2" t="n">
        <v>150</v>
      </c>
      <c r="B151" s="2" t="inlineStr">
        <is>
          <t>RAY_USDT_PERP</t>
        </is>
      </c>
      <c r="C151" s="2" t="inlineStr">
        <is>
          <t>做多</t>
        </is>
      </c>
      <c r="D151" s="7" t="n">
        <v>46275.54166666666</v>
      </c>
      <c r="E151" s="17" t="n">
        <v>1.33</v>
      </c>
      <c r="F151" s="17" t="n">
        <v>1.3699</v>
      </c>
      <c r="G151" s="17" t="n">
        <v>1.2635</v>
      </c>
      <c r="H151" s="7" t="n">
        <v>46275.58333333334</v>
      </c>
      <c r="I151" s="17" t="n">
        <v>1.3699</v>
      </c>
      <c r="J151" s="2" t="inlineStr">
        <is>
          <t>止盈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0.03744149765990645</v>
      </c>
      <c r="O151" s="4" t="n">
        <v>0.04572465884313836</v>
      </c>
      <c r="P151" s="4" t="n">
        <v>0.02607622280512278</v>
      </c>
      <c r="Q151" s="19" t="n">
        <v>13454.30000000028</v>
      </c>
      <c r="R151" s="19" t="n">
        <v>2474062.1371</v>
      </c>
      <c r="S151" s="4" t="n">
        <v>0.03</v>
      </c>
      <c r="T151" s="4" t="n">
        <v>0</v>
      </c>
      <c r="U151" s="16" t="n">
        <v>1.260890814524471</v>
      </c>
      <c r="V151" s="16" t="n">
        <v>0.5555555555555556</v>
      </c>
      <c r="W151" s="4" t="n">
        <v>0.09812987656359651</v>
      </c>
      <c r="X151" s="4" t="n">
        <v>0.06230031948881787</v>
      </c>
      <c r="Y151" s="4" t="n">
        <v>0.001006419114810919</v>
      </c>
      <c r="Z151" s="4" t="n">
        <v>-0.002265062320720879</v>
      </c>
      <c r="AA151" s="4" t="n">
        <v>0.03</v>
      </c>
      <c r="AB151" s="4" t="n">
        <v>0.05</v>
      </c>
      <c r="AC151" s="4">
        <f>(AB151+2*參數!$B$7)/(AA151+AB151)</f>
        <v/>
      </c>
    </row>
    <row r="152">
      <c r="A152" s="2" t="n">
        <v>151</v>
      </c>
      <c r="B152" s="2" t="inlineStr">
        <is>
          <t>VVV_USDT_PERP</t>
        </is>
      </c>
      <c r="C152" s="2" t="inlineStr">
        <is>
          <t>做多</t>
        </is>
      </c>
      <c r="D152" s="7" t="n">
        <v>46275.625</v>
      </c>
      <c r="E152" s="17" t="n">
        <v>24.415</v>
      </c>
      <c r="F152" s="17" t="n">
        <v>25.14745</v>
      </c>
      <c r="G152" s="17" t="n">
        <v>23.19425</v>
      </c>
      <c r="H152" s="7" t="n">
        <v>46275.875</v>
      </c>
      <c r="I152" s="17" t="n">
        <v>23.19425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0.02407617130153938</v>
      </c>
      <c r="O152" s="4" t="n">
        <v>0.0514705569258657</v>
      </c>
      <c r="P152" s="4" t="n">
        <v>0.00372465507885078</v>
      </c>
      <c r="Q152" s="19" t="n">
        <v>921.6600000000035</v>
      </c>
      <c r="R152" s="19" t="n">
        <v>11828522.19119</v>
      </c>
      <c r="S152" s="4" t="n">
        <v>0.007782101167315147</v>
      </c>
      <c r="T152" s="4" t="n">
        <v>0.05</v>
      </c>
      <c r="U152" s="16" t="n">
        <v>0.9534333756072091</v>
      </c>
      <c r="V152" s="16" t="n">
        <v>0.9483648881239224</v>
      </c>
      <c r="W152" s="4" t="n">
        <v>0.1923325423518571</v>
      </c>
      <c r="X152" s="4" t="n">
        <v>-0.09322191272052005</v>
      </c>
      <c r="Y152" s="4" t="n">
        <v>-0.001435641357171447</v>
      </c>
      <c r="Z152" s="4" t="n">
        <v>-0.001529317740104896</v>
      </c>
      <c r="AA152" s="4" t="n">
        <v>0.03</v>
      </c>
      <c r="AB152" s="4" t="n">
        <v>0.05</v>
      </c>
      <c r="AC152" s="4">
        <f>(AB152+2*參數!$B$7)/(AA152+AB152)</f>
        <v/>
      </c>
    </row>
    <row r="153">
      <c r="A153" s="2" t="n">
        <v>152</v>
      </c>
      <c r="B153" s="2" t="inlineStr">
        <is>
          <t>LIT_USDT_PERP</t>
        </is>
      </c>
      <c r="C153" s="2" t="inlineStr">
        <is>
          <t>做空</t>
        </is>
      </c>
      <c r="D153" s="7" t="n">
        <v>46275.66666666666</v>
      </c>
      <c r="E153" s="17" t="n">
        <v>4.481</v>
      </c>
      <c r="F153" s="17" t="n">
        <v>4.34657</v>
      </c>
      <c r="G153" s="17" t="n">
        <v>4.70505</v>
      </c>
      <c r="H153" s="7" t="n">
        <v>46276.125</v>
      </c>
      <c r="I153" s="17" t="n">
        <v>4.34657</v>
      </c>
      <c r="J153" s="2" t="inlineStr">
        <is>
          <t>止盈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-0.02523384816184482</v>
      </c>
      <c r="O153" s="4" t="n">
        <v>0.02457392123100741</v>
      </c>
      <c r="P153" s="4" t="n">
        <v>-0.05674079843386548</v>
      </c>
      <c r="Q153" s="19" t="n">
        <v>-512836.4000000013</v>
      </c>
      <c r="R153" s="19" t="n">
        <v>6425780.0345</v>
      </c>
      <c r="S153" s="4" t="n">
        <v>0.03</v>
      </c>
      <c r="T153" s="4" t="n">
        <v>0.03392099977683549</v>
      </c>
      <c r="U153" s="16" t="n">
        <v>0.6670573531680229</v>
      </c>
      <c r="V153" s="16" t="n">
        <v>0.7134146341463428</v>
      </c>
      <c r="W153" s="4" t="n">
        <v>0.04769798361045929</v>
      </c>
      <c r="X153" s="4" t="n">
        <v>0.1532501889644746</v>
      </c>
      <c r="Y153" s="4" t="n">
        <v>0.004054150592941896</v>
      </c>
      <c r="Z153" s="4" t="n">
        <v>0.004809980989398999</v>
      </c>
      <c r="AA153" s="4" t="n">
        <v>0.03</v>
      </c>
      <c r="AB153" s="4" t="n">
        <v>0.05</v>
      </c>
      <c r="AC153" s="4">
        <f>(AB153+2*參數!$B$7)/(AA153+AB153)</f>
        <v/>
      </c>
    </row>
    <row r="154">
      <c r="A154" s="2" t="n">
        <v>153</v>
      </c>
      <c r="B154" s="2" t="inlineStr">
        <is>
          <t>MARSCOIN_USDT_PERP</t>
        </is>
      </c>
      <c r="C154" s="2" t="inlineStr">
        <is>
          <t>做空</t>
        </is>
      </c>
      <c r="D154" s="7" t="n">
        <v>46275.66666666666</v>
      </c>
      <c r="E154" s="17" t="n">
        <v>0.10829</v>
      </c>
      <c r="F154" s="17" t="n">
        <v>0.1050413</v>
      </c>
      <c r="G154" s="17" t="n">
        <v>0.1137045</v>
      </c>
      <c r="H154" s="7" t="n">
        <v>46275.75</v>
      </c>
      <c r="I154" s="17" t="n">
        <v>0.1050413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-0.02459016393442615</v>
      </c>
      <c r="O154" s="4" t="n">
        <v>0.06470380305298849</v>
      </c>
      <c r="P154" s="4" t="n">
        <v>-0.0569291194579673</v>
      </c>
      <c r="Q154" s="19" t="n">
        <v>-2756843</v>
      </c>
      <c r="R154" s="19" t="n">
        <v>1930634.73827</v>
      </c>
      <c r="S154" s="4" t="n">
        <v>0.03</v>
      </c>
      <c r="T154" s="4" t="n">
        <v>0.009142118385815801</v>
      </c>
      <c r="U154" s="16" t="n">
        <v>0.5904915096154797</v>
      </c>
      <c r="V154" s="16" t="n">
        <v>0.7522522522522525</v>
      </c>
      <c r="W154" s="4" t="n">
        <v>0.2772065424521848</v>
      </c>
      <c r="X154" s="4" t="n">
        <v>0.2130087209302326</v>
      </c>
      <c r="Y154" s="4" t="n">
        <v>0.004054150592941896</v>
      </c>
      <c r="Z154" s="4" t="n">
        <v>0.004809980989398999</v>
      </c>
      <c r="AA154" s="4" t="n">
        <v>0.03</v>
      </c>
      <c r="AB154" s="4" t="n">
        <v>0.05</v>
      </c>
      <c r="AC154" s="4">
        <f>(AB154+2*參數!$B$7)/(AA154+AB154)</f>
        <v/>
      </c>
    </row>
    <row r="155">
      <c r="A155" s="2" t="n">
        <v>154</v>
      </c>
      <c r="B155" s="2" t="inlineStr">
        <is>
          <t>NEAR_USDT_PERP</t>
        </is>
      </c>
      <c r="C155" s="2" t="inlineStr">
        <is>
          <t>做空</t>
        </is>
      </c>
      <c r="D155" s="7" t="n">
        <v>46275.66666666666</v>
      </c>
      <c r="E155" s="17" t="n">
        <v>2.419</v>
      </c>
      <c r="F155" s="17" t="n">
        <v>2.34643</v>
      </c>
      <c r="G155" s="17" t="n">
        <v>2.53995</v>
      </c>
      <c r="H155" s="7" t="n">
        <v>46276.29166666666</v>
      </c>
      <c r="I155" s="17" t="n">
        <v>2.53995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-0.02812374447569299</v>
      </c>
      <c r="O155" s="4" t="n">
        <v>0.02436789844201838</v>
      </c>
      <c r="P155" s="4" t="n">
        <v>-0.04046013486711619</v>
      </c>
      <c r="Q155" s="19" t="n">
        <v>-1250947</v>
      </c>
      <c r="R155" s="19" t="n">
        <v>8651020.495999999</v>
      </c>
      <c r="S155" s="4" t="n">
        <v>0.02439024390243905</v>
      </c>
      <c r="T155" s="4" t="n">
        <v>0.05</v>
      </c>
      <c r="U155" s="16" t="n">
        <v>1.774749000078394</v>
      </c>
      <c r="V155" s="16" t="n">
        <v>0.7422680412371143</v>
      </c>
      <c r="W155" s="4" t="n">
        <v>-0.01335076011779845</v>
      </c>
      <c r="X155" s="4" t="n">
        <v>0.006162695152013176</v>
      </c>
      <c r="Y155" s="4" t="n">
        <v>0.004054150592941896</v>
      </c>
      <c r="Z155" s="4" t="n">
        <v>0.004809980989398999</v>
      </c>
      <c r="AA155" s="4" t="n">
        <v>0.03</v>
      </c>
      <c r="AB155" s="4" t="n">
        <v>0.05</v>
      </c>
      <c r="AC155" s="4">
        <f>(AB155+2*參數!$B$7)/(AA155+AB155)</f>
        <v/>
      </c>
    </row>
    <row r="156">
      <c r="A156" s="2" t="n">
        <v>155</v>
      </c>
      <c r="B156" s="2" t="inlineStr">
        <is>
          <t>PONS_USDT_PERP</t>
        </is>
      </c>
      <c r="C156" s="2" t="inlineStr">
        <is>
          <t>做空</t>
        </is>
      </c>
      <c r="D156" s="7" t="n">
        <v>46275.66666666666</v>
      </c>
      <c r="E156" s="17" t="n">
        <v>0.6353</v>
      </c>
      <c r="F156" s="17" t="n">
        <v>0.6162409999999999</v>
      </c>
      <c r="G156" s="17" t="n">
        <v>0.667065</v>
      </c>
      <c r="H156" s="7" t="n">
        <v>46275.70833333334</v>
      </c>
      <c r="I156" s="17" t="n">
        <v>0.6162409999999999</v>
      </c>
      <c r="J156" s="2" t="inlineStr">
        <is>
          <t>止盈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-0.02276572834948476</v>
      </c>
      <c r="O156" s="4" t="n">
        <v>0.0514077001023617</v>
      </c>
      <c r="P156" s="4" t="n">
        <v>-0.05829862294887567</v>
      </c>
      <c r="Q156" s="19" t="n">
        <v>-3926328</v>
      </c>
      <c r="R156" s="19" t="n">
        <v>18666016.1518</v>
      </c>
      <c r="S156" s="4" t="n">
        <v>0.03</v>
      </c>
      <c r="T156" s="4" t="n">
        <v>0</v>
      </c>
      <c r="U156" s="16" t="n">
        <v>1.130555201594619</v>
      </c>
      <c r="V156" s="16" t="n">
        <v>0.6148648648648656</v>
      </c>
      <c r="W156" s="4" t="n">
        <v>0.1717025534716654</v>
      </c>
      <c r="X156" s="4" t="n">
        <v>0.2174180832717418</v>
      </c>
      <c r="Y156" s="4" t="n">
        <v>0.004054150592941896</v>
      </c>
      <c r="Z156" s="4" t="n">
        <v>0.004809980989398999</v>
      </c>
      <c r="AA156" s="4" t="n">
        <v>0.03</v>
      </c>
      <c r="AB156" s="4" t="n">
        <v>0.05</v>
      </c>
      <c r="AC156" s="4">
        <f>(AB156+2*參數!$B$7)/(AA156+AB156)</f>
        <v/>
      </c>
    </row>
    <row r="157">
      <c r="A157" s="2" t="n">
        <v>156</v>
      </c>
      <c r="B157" s="2" t="inlineStr">
        <is>
          <t>USELESS_USDT_PERP</t>
        </is>
      </c>
      <c r="C157" s="2" t="inlineStr">
        <is>
          <t>做空</t>
        </is>
      </c>
      <c r="D157" s="7" t="n">
        <v>46275.75</v>
      </c>
      <c r="E157" s="17" t="n">
        <v>0.23822</v>
      </c>
      <c r="F157" s="17" t="n">
        <v>0.2310734</v>
      </c>
      <c r="G157" s="17" t="n">
        <v>0.250131</v>
      </c>
      <c r="H157" s="7" t="n">
        <v>46275.83333333334</v>
      </c>
      <c r="I157" s="17" t="n">
        <v>0.250131</v>
      </c>
      <c r="J157" s="2" t="inlineStr">
        <is>
          <t>止損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-0.02727643936300539</v>
      </c>
      <c r="O157" s="4" t="n">
        <v>0.06001857118844412</v>
      </c>
      <c r="P157" s="4" t="n">
        <v>-0.02185048544087975</v>
      </c>
      <c r="Q157" s="19" t="n">
        <v>-2078876</v>
      </c>
      <c r="R157" s="19" t="n">
        <v>10928567.0415</v>
      </c>
      <c r="S157" s="4" t="n">
        <v>0.004491646377298264</v>
      </c>
      <c r="T157" s="4" t="n">
        <v>0.05</v>
      </c>
      <c r="U157" s="16" t="n">
        <v>1.296193316790149</v>
      </c>
      <c r="V157" s="16" t="n">
        <v>0.6740929344366655</v>
      </c>
      <c r="W157" s="4" t="n">
        <v>0.04189179514776242</v>
      </c>
      <c r="X157" s="4" t="n">
        <v>0.2207647770763141</v>
      </c>
      <c r="Y157" s="4" t="n">
        <v>0.00133209004928736</v>
      </c>
      <c r="Z157" s="4" t="n">
        <v>0.004439296102084267</v>
      </c>
      <c r="AA157" s="4" t="n">
        <v>0.03</v>
      </c>
      <c r="AB157" s="4" t="n">
        <v>0.05</v>
      </c>
      <c r="AC157" s="4">
        <f>(AB157+2*參數!$B$7)/(AA157+AB157)</f>
        <v/>
      </c>
    </row>
    <row r="158">
      <c r="A158" s="2" t="n">
        <v>157</v>
      </c>
      <c r="B158" s="2" t="inlineStr">
        <is>
          <t>RAY_USDT_PERP</t>
        </is>
      </c>
      <c r="C158" s="2" t="inlineStr">
        <is>
          <t>做空</t>
        </is>
      </c>
      <c r="D158" s="7" t="n">
        <v>46275.875</v>
      </c>
      <c r="E158" s="17" t="n">
        <v>1.286</v>
      </c>
      <c r="F158" s="17" t="n">
        <v>1.24742</v>
      </c>
      <c r="G158" s="17" t="n">
        <v>1.3503</v>
      </c>
      <c r="H158" s="7" t="n">
        <v>46276.16666666666</v>
      </c>
      <c r="I158" s="17" t="n">
        <v>1.3503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-0.04244229337304539</v>
      </c>
      <c r="O158" s="4" t="n">
        <v>0.04587158086118715</v>
      </c>
      <c r="P158" s="4" t="n">
        <v>-0.01050282768437671</v>
      </c>
      <c r="Q158" s="19" t="n">
        <v>-237735.5999999999</v>
      </c>
      <c r="R158" s="19" t="n">
        <v>2421626.3634</v>
      </c>
      <c r="S158" s="4" t="n">
        <v>0.02643856920684295</v>
      </c>
      <c r="T158" s="4" t="n">
        <v>0.05</v>
      </c>
      <c r="U158" s="16" t="n">
        <v>0.6488037141102702</v>
      </c>
      <c r="V158" s="16" t="n">
        <v>0.8378378378378378</v>
      </c>
      <c r="W158" s="4" t="n">
        <v>-0.04361939541489157</v>
      </c>
      <c r="X158" s="4" t="n">
        <v>0.04457652303120363</v>
      </c>
      <c r="Y158" s="4" t="n">
        <v>0.01236741397168239</v>
      </c>
      <c r="Z158" s="4" t="n">
        <v>0.01629830704241075</v>
      </c>
      <c r="AA158" s="4" t="n">
        <v>0.03</v>
      </c>
      <c r="AB158" s="4" t="n">
        <v>0.05</v>
      </c>
      <c r="AC158" s="4">
        <f>(AB158+2*參數!$B$7)/(AA158+AB158)</f>
        <v/>
      </c>
    </row>
    <row r="159">
      <c r="A159" s="2" t="n">
        <v>158</v>
      </c>
      <c r="B159" s="2" t="inlineStr">
        <is>
          <t>MARSCOIN_USDT_PERP</t>
        </is>
      </c>
      <c r="C159" s="2" t="inlineStr">
        <is>
          <t>做多</t>
        </is>
      </c>
      <c r="D159" s="7" t="n">
        <v>46275.91666666666</v>
      </c>
      <c r="E159" s="17" t="n">
        <v>0.1116</v>
      </c>
      <c r="F159" s="17" t="n">
        <v>0.114948</v>
      </c>
      <c r="G159" s="17" t="n">
        <v>0.10602</v>
      </c>
      <c r="H159" s="7" t="n">
        <v>46275.95833333334</v>
      </c>
      <c r="I159" s="17" t="n">
        <v>0.114948</v>
      </c>
      <c r="J159" s="2" t="inlineStr">
        <is>
          <t>止盈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0.0617448387403674</v>
      </c>
      <c r="O159" s="4" t="n">
        <v>0.0618959768872419</v>
      </c>
      <c r="P159" s="4" t="n">
        <v>0.03259712982410679</v>
      </c>
      <c r="Q159" s="19" t="n">
        <v>617572</v>
      </c>
      <c r="R159" s="19" t="n">
        <v>1861033.44856</v>
      </c>
      <c r="S159" s="4" t="n">
        <v>0.03</v>
      </c>
      <c r="T159" s="4" t="n">
        <v>0</v>
      </c>
      <c r="U159" s="16" t="n">
        <v>6.478792621252301</v>
      </c>
      <c r="V159" s="16" t="n">
        <v>0.5750000000000002</v>
      </c>
      <c r="W159" s="4" t="n">
        <v>-0.2200609274985131</v>
      </c>
      <c r="X159" s="4" t="n">
        <v>-0.185579800043786</v>
      </c>
      <c r="Y159" s="4" t="n">
        <v>0.003677054192960938</v>
      </c>
      <c r="Z159" s="4" t="n">
        <v>-0.01166898542179207</v>
      </c>
      <c r="AA159" s="4" t="n">
        <v>0.03</v>
      </c>
      <c r="AB159" s="4" t="n">
        <v>0.05</v>
      </c>
      <c r="AC159" s="4">
        <f>(AB159+2*參數!$B$7)/(AA159+AB159)</f>
        <v/>
      </c>
    </row>
    <row r="160">
      <c r="A160" s="2" t="n">
        <v>159</v>
      </c>
      <c r="B160" s="2" t="inlineStr">
        <is>
          <t>BULLA_USDT_PERP</t>
        </is>
      </c>
      <c r="C160" s="2" t="inlineStr">
        <is>
          <t>做空</t>
        </is>
      </c>
      <c r="D160" s="7" t="n">
        <v>46275.95833333334</v>
      </c>
      <c r="E160" s="17" t="n">
        <v>0.07895000000000001</v>
      </c>
      <c r="F160" s="17" t="n">
        <v>0.07658150000000001</v>
      </c>
      <c r="G160" s="17" t="n">
        <v>0.08289750000000001</v>
      </c>
      <c r="H160" s="7" t="n">
        <v>46276.125</v>
      </c>
      <c r="I160" s="17" t="n">
        <v>0.07658150000000001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-0.0221699281644786</v>
      </c>
      <c r="O160" s="4" t="n">
        <v>0.06919654846446252</v>
      </c>
      <c r="P160" s="4" t="n">
        <v>-0.05720085980415579</v>
      </c>
      <c r="Q160" s="19" t="n">
        <v>-1920336</v>
      </c>
      <c r="R160" s="19" t="n">
        <v>2056048.17594</v>
      </c>
      <c r="S160" s="4" t="n">
        <v>0.03</v>
      </c>
      <c r="T160" s="4" t="n">
        <v>0.02077264091196951</v>
      </c>
      <c r="U160" s="16" t="n">
        <v>0.4162600534530905</v>
      </c>
      <c r="V160" s="16" t="n">
        <v>0.6486486486486474</v>
      </c>
      <c r="W160" s="4" t="n">
        <v>0.009715947148057014</v>
      </c>
      <c r="X160" s="4" t="n">
        <v>0.07520206161415011</v>
      </c>
      <c r="Y160" s="4" t="n">
        <v>-0.003095766526311161</v>
      </c>
      <c r="Z160" s="4" t="n">
        <v>0.007968989960186801</v>
      </c>
      <c r="AA160" s="4" t="n">
        <v>0.03</v>
      </c>
      <c r="AB160" s="4" t="n">
        <v>0.05</v>
      </c>
      <c r="AC160" s="4">
        <f>(AB160+2*參數!$B$7)/(AA160+AB160)</f>
        <v/>
      </c>
    </row>
    <row r="161">
      <c r="A161" s="2" t="n">
        <v>160</v>
      </c>
      <c r="B161" s="2" t="inlineStr">
        <is>
          <t>牛来_USDT_PERP</t>
        </is>
      </c>
      <c r="C161" s="2" t="inlineStr">
        <is>
          <t>做多</t>
        </is>
      </c>
      <c r="D161" s="7" t="n">
        <v>46275.95833333334</v>
      </c>
      <c r="E161" s="17" t="n">
        <v>0.08391999999999999</v>
      </c>
      <c r="F161" s="17" t="n">
        <v>0.0864376</v>
      </c>
      <c r="G161" s="17" t="n">
        <v>0.07972399999999999</v>
      </c>
      <c r="H161" s="7" t="n">
        <v>46276</v>
      </c>
      <c r="I161" s="17" t="n">
        <v>0.0864376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0.04521110972723874</v>
      </c>
      <c r="O161" s="4" t="n">
        <v>0.06828209113532997</v>
      </c>
      <c r="P161" s="4" t="n">
        <v>0.05453631565720007</v>
      </c>
      <c r="Q161" s="19" t="n">
        <v>3178567</v>
      </c>
      <c r="R161" s="19" t="n">
        <v>1896867.83884</v>
      </c>
      <c r="S161" s="4" t="n">
        <v>0.03</v>
      </c>
      <c r="T161" s="4" t="n">
        <v>0</v>
      </c>
      <c r="U161" s="16" t="n">
        <v>2.726887724337139</v>
      </c>
      <c r="V161" s="16" t="n">
        <v>0.6095999999999985</v>
      </c>
      <c r="W161" s="4" t="n">
        <v>-0.06833815150828859</v>
      </c>
      <c r="X161" s="4" t="n">
        <v>-0.1574297188755021</v>
      </c>
      <c r="Y161" s="4" t="n">
        <v>0.003095766526311161</v>
      </c>
      <c r="Z161" s="4" t="n">
        <v>-0.007968989960186801</v>
      </c>
      <c r="AA161" s="4" t="n">
        <v>0.03</v>
      </c>
      <c r="AB161" s="4" t="n">
        <v>0.05</v>
      </c>
      <c r="AC161" s="4">
        <f>(AB161+2*參數!$B$7)/(AA161+AB161)</f>
        <v/>
      </c>
    </row>
    <row r="162">
      <c r="A162" s="2" t="n">
        <v>161</v>
      </c>
      <c r="B162" s="2" t="inlineStr">
        <is>
          <t>PONS_USDT_PERP</t>
        </is>
      </c>
      <c r="C162" s="2" t="inlineStr">
        <is>
          <t>做多</t>
        </is>
      </c>
      <c r="D162" s="7" t="n">
        <v>46276.08333333334</v>
      </c>
      <c r="E162" s="17" t="n">
        <v>0.6104000000000001</v>
      </c>
      <c r="F162" s="17" t="n">
        <v>0.628712</v>
      </c>
      <c r="G162" s="17" t="n">
        <v>0.5798800000000001</v>
      </c>
      <c r="H162" s="7" t="n">
        <v>46276.16666666666</v>
      </c>
      <c r="I162" s="17" t="n">
        <v>0.5798800000000001</v>
      </c>
      <c r="J162" s="2" t="inlineStr">
        <is>
          <t>止損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0.03721325403568398</v>
      </c>
      <c r="O162" s="4" t="n">
        <v>0.05803293069826042</v>
      </c>
      <c r="P162" s="4" t="n">
        <v>0.0003769441303245191</v>
      </c>
      <c r="Q162" s="19" t="n">
        <v>1124790</v>
      </c>
      <c r="R162" s="19" t="n">
        <v>17152219.7176</v>
      </c>
      <c r="S162" s="4" t="n">
        <v>0</v>
      </c>
      <c r="T162" s="4" t="n">
        <v>0.05</v>
      </c>
      <c r="U162" s="16" t="n">
        <v>1.379313132101726</v>
      </c>
      <c r="V162" s="16" t="n">
        <v>0.9134396355353094</v>
      </c>
      <c r="W162" s="4" t="n">
        <v>-0.1676030677590739</v>
      </c>
      <c r="X162" s="4" t="n">
        <v>-0.1061648850490553</v>
      </c>
      <c r="Y162" s="4" t="n">
        <v>0.001618462654848773</v>
      </c>
      <c r="Z162" s="4" t="n">
        <v>-0.00714224747695813</v>
      </c>
      <c r="AA162" s="4" t="n">
        <v>0.03</v>
      </c>
      <c r="AB162" s="4" t="n">
        <v>0.05</v>
      </c>
      <c r="AC162" s="4">
        <f>(AB162+2*參數!$B$7)/(AA162+AB162)</f>
        <v/>
      </c>
    </row>
    <row r="163">
      <c r="A163" s="2" t="n">
        <v>162</v>
      </c>
      <c r="B163" s="2" t="inlineStr">
        <is>
          <t>USELESS_USDT_PERP</t>
        </is>
      </c>
      <c r="C163" s="2" t="inlineStr">
        <is>
          <t>做多</t>
        </is>
      </c>
      <c r="D163" s="7" t="n">
        <v>46276.08333333334</v>
      </c>
      <c r="E163" s="17" t="n">
        <v>0.24506</v>
      </c>
      <c r="F163" s="17" t="n">
        <v>0.2524118</v>
      </c>
      <c r="G163" s="17" t="n">
        <v>0.232807</v>
      </c>
      <c r="H163" s="7" t="n">
        <v>46276.125</v>
      </c>
      <c r="I163" s="17" t="n">
        <v>0.2524118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0.02711764952428863</v>
      </c>
      <c r="O163" s="4" t="n">
        <v>0.06070850738254154</v>
      </c>
      <c r="P163" s="4" t="n">
        <v>0.04496959669785183</v>
      </c>
      <c r="Q163" s="19" t="n">
        <v>22032143</v>
      </c>
      <c r="R163" s="19" t="n">
        <v>14015079.88265</v>
      </c>
      <c r="S163" s="4" t="n">
        <v>0.03</v>
      </c>
      <c r="T163" s="4" t="n">
        <v>0</v>
      </c>
      <c r="U163" s="16" t="n">
        <v>1.410910958961266</v>
      </c>
      <c r="V163" s="16" t="n">
        <v>0.6428571428571432</v>
      </c>
      <c r="W163" s="4" t="n">
        <v>-0.01732965971440559</v>
      </c>
      <c r="X163" s="4" t="n">
        <v>-0.06686467138831775</v>
      </c>
      <c r="Y163" s="4" t="n">
        <v>0.001618462654848773</v>
      </c>
      <c r="Z163" s="4" t="n">
        <v>-0.00714224747695813</v>
      </c>
      <c r="AA163" s="4" t="n">
        <v>0.03</v>
      </c>
      <c r="AB163" s="4" t="n">
        <v>0.05</v>
      </c>
      <c r="AC163" s="4">
        <f>(AB163+2*參數!$B$7)/(AA163+AB163)</f>
        <v/>
      </c>
    </row>
    <row r="164">
      <c r="A164" s="2" t="n">
        <v>163</v>
      </c>
      <c r="B164" s="2" t="inlineStr">
        <is>
          <t>VVV_USDT_PERP</t>
        </is>
      </c>
      <c r="C164" s="2" t="inlineStr">
        <is>
          <t>做多</t>
        </is>
      </c>
      <c r="D164" s="7" t="n">
        <v>46276.08333333334</v>
      </c>
      <c r="E164" s="17" t="n">
        <v>25.016</v>
      </c>
      <c r="F164" s="17" t="n">
        <v>25.76648</v>
      </c>
      <c r="G164" s="17" t="n">
        <v>23.7652</v>
      </c>
      <c r="H164" s="7" t="n">
        <v>46276.375</v>
      </c>
      <c r="I164" s="17" t="n">
        <v>23.7652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0.05339397001852775</v>
      </c>
      <c r="O164" s="4" t="n">
        <v>0.04472129955124805</v>
      </c>
      <c r="P164" s="4" t="n">
        <v>0.05560537170466184</v>
      </c>
      <c r="Q164" s="19" t="n">
        <v>6747.979999999996</v>
      </c>
      <c r="R164" s="19" t="n">
        <v>9187643.20025</v>
      </c>
      <c r="S164" s="4" t="n">
        <v>0.02630316597377691</v>
      </c>
      <c r="T164" s="4" t="n">
        <v>0.05</v>
      </c>
      <c r="U164" s="16" t="n">
        <v>1.09901111874392</v>
      </c>
      <c r="V164" s="16" t="n">
        <v>0.8169449598021009</v>
      </c>
      <c r="W164" s="4" t="n">
        <v>0.1783281080429278</v>
      </c>
      <c r="X164" s="4" t="n">
        <v>-0.01266921892883932</v>
      </c>
      <c r="Y164" s="4" t="n">
        <v>0.001618462654848773</v>
      </c>
      <c r="Z164" s="4" t="n">
        <v>-0.00714224747695813</v>
      </c>
      <c r="AA164" s="4" t="n">
        <v>0.03</v>
      </c>
      <c r="AB164" s="4" t="n">
        <v>0.05</v>
      </c>
      <c r="AC164" s="4">
        <f>(AB164+2*參數!$B$7)/(AA164+AB164)</f>
        <v/>
      </c>
    </row>
    <row r="165">
      <c r="A165" s="2" t="n">
        <v>164</v>
      </c>
      <c r="B165" s="2" t="inlineStr">
        <is>
          <t>PUMP_USDT_PERP</t>
        </is>
      </c>
      <c r="C165" s="2" t="inlineStr">
        <is>
          <t>做空</t>
        </is>
      </c>
      <c r="D165" s="7" t="n">
        <v>46276.29166666666</v>
      </c>
      <c r="E165" s="17" t="n">
        <v>0.003721</v>
      </c>
      <c r="F165" s="17" t="n">
        <v>0.00360937</v>
      </c>
      <c r="G165" s="17" t="n">
        <v>0.00390705</v>
      </c>
      <c r="H165" s="7" t="n">
        <v>46276.45833333334</v>
      </c>
      <c r="I165" s="17" t="n">
        <v>0.00360937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-0.02027382833070046</v>
      </c>
      <c r="O165" s="4" t="n">
        <v>0.0277116722579674</v>
      </c>
      <c r="P165" s="4" t="n">
        <v>-0.04920085344508185</v>
      </c>
      <c r="Q165" s="19" t="n">
        <v>-307877275</v>
      </c>
      <c r="R165" s="19" t="n">
        <v>4237847.540595</v>
      </c>
      <c r="S165" s="4" t="n">
        <v>0.03</v>
      </c>
      <c r="T165" s="4" t="n">
        <v>0.008868583714055411</v>
      </c>
      <c r="U165" s="16" t="n">
        <v>1.375112200070955</v>
      </c>
      <c r="V165" s="16" t="n">
        <v>0.9299363057324859</v>
      </c>
      <c r="W165" s="4" t="n">
        <v>0.1211288097802468</v>
      </c>
      <c r="X165" s="4" t="n">
        <v>0.0859739621714567</v>
      </c>
      <c r="Y165" s="4" t="n">
        <v>0.004143238028052165</v>
      </c>
      <c r="Z165" s="4" t="n">
        <v>0.01030891430923597</v>
      </c>
      <c r="AA165" s="4" t="n">
        <v>0.03</v>
      </c>
      <c r="AB165" s="4" t="n">
        <v>0.05</v>
      </c>
      <c r="AC165" s="4">
        <f>(AB165+2*參數!$B$7)/(AA165+AB165)</f>
        <v/>
      </c>
    </row>
    <row r="166">
      <c r="A166" s="2" t="n">
        <v>165</v>
      </c>
      <c r="B166" s="2" t="inlineStr">
        <is>
          <t>LIT_USDT_PERP</t>
        </is>
      </c>
      <c r="C166" s="2" t="inlineStr">
        <is>
          <t>做空</t>
        </is>
      </c>
      <c r="D166" s="7" t="n">
        <v>46276.33333333334</v>
      </c>
      <c r="E166" s="17" t="n">
        <v>4.288</v>
      </c>
      <c r="F166" s="17" t="n">
        <v>4.15936</v>
      </c>
      <c r="G166" s="17" t="n">
        <v>4.502400000000001</v>
      </c>
      <c r="H166" s="7" t="n">
        <v>46276.58333333334</v>
      </c>
      <c r="I166" s="17" t="n">
        <v>4.502400000000001</v>
      </c>
      <c r="J166" s="2" t="inlineStr">
        <is>
          <t>止損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-0.0515372705153726</v>
      </c>
      <c r="O166" s="4" t="n">
        <v>0.02718597779088937</v>
      </c>
      <c r="P166" s="4" t="n">
        <v>-0.05230238803001341</v>
      </c>
      <c r="Q166" s="19" t="n">
        <v>-47034.29999999981</v>
      </c>
      <c r="R166" s="19" t="n">
        <v>4017450.1276</v>
      </c>
      <c r="S166" s="4" t="n">
        <v>0.003031716417910446</v>
      </c>
      <c r="T166" s="4" t="n">
        <v>0.05</v>
      </c>
      <c r="U166" s="16" t="n">
        <v>2.260241505767399</v>
      </c>
      <c r="V166" s="16" t="n">
        <v>1</v>
      </c>
      <c r="W166" s="4" t="n">
        <v>0.08528130586332971</v>
      </c>
      <c r="X166" s="4" t="n">
        <v>0.0515372705153726</v>
      </c>
      <c r="Y166" s="4" t="n">
        <v>0.003366144013667749</v>
      </c>
      <c r="Z166" s="4" t="n">
        <v>0.01251930175140159</v>
      </c>
      <c r="AA166" s="4" t="n">
        <v>0.03</v>
      </c>
      <c r="AB166" s="4" t="n">
        <v>0.05</v>
      </c>
      <c r="AC166" s="4">
        <f>(AB166+2*參數!$B$7)/(AA166+AB166)</f>
        <v/>
      </c>
    </row>
    <row r="167">
      <c r="A167" s="2" t="n">
        <v>166</v>
      </c>
      <c r="B167" s="2" t="inlineStr">
        <is>
          <t>NEAR_USDT_PERP</t>
        </is>
      </c>
      <c r="C167" s="2" t="inlineStr">
        <is>
          <t>做空</t>
        </is>
      </c>
      <c r="D167" s="7" t="n">
        <v>46276.41666666666</v>
      </c>
      <c r="E167" s="17" t="n">
        <v>2.418</v>
      </c>
      <c r="F167" s="17" t="n">
        <v>2.34546</v>
      </c>
      <c r="G167" s="17" t="n">
        <v>2.5389</v>
      </c>
      <c r="H167" s="7" t="n">
        <v>46276.875</v>
      </c>
      <c r="I167" s="17" t="n">
        <v>2.5389</v>
      </c>
      <c r="J167" s="2" t="inlineStr">
        <is>
          <t>止損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-0.03241296518607439</v>
      </c>
      <c r="O167" s="4" t="n">
        <v>0.02491958699809038</v>
      </c>
      <c r="P167" s="4" t="n">
        <v>-0.01418786692759288</v>
      </c>
      <c r="Q167" s="19" t="n">
        <v>-443413</v>
      </c>
      <c r="R167" s="19" t="n">
        <v>9649532.063999999</v>
      </c>
      <c r="S167" s="4" t="n">
        <v>0.01612903225806461</v>
      </c>
      <c r="T167" s="4" t="n">
        <v>0.05</v>
      </c>
      <c r="U167" s="16" t="n">
        <v>1.038194278635516</v>
      </c>
      <c r="V167" s="16" t="n">
        <v>0.9545454545454516</v>
      </c>
      <c r="W167" s="4" t="n">
        <v>-0.006573113924261298</v>
      </c>
      <c r="X167" s="4" t="n">
        <v>0.01306122448979596</v>
      </c>
      <c r="Y167" s="4" t="n">
        <v>-0.0008558681598835882</v>
      </c>
      <c r="Z167" s="4" t="n">
        <v>0.005256716169969256</v>
      </c>
      <c r="AA167" s="4" t="n">
        <v>0.03</v>
      </c>
      <c r="AB167" s="4" t="n">
        <v>0.05</v>
      </c>
      <c r="AC167" s="4">
        <f>(AB167+2*參數!$B$7)/(AA167+AB167)</f>
        <v/>
      </c>
    </row>
    <row r="168">
      <c r="A168" s="2" t="n">
        <v>167</v>
      </c>
      <c r="B168" s="2" t="inlineStr">
        <is>
          <t>BULLA_USDT_PERP</t>
        </is>
      </c>
      <c r="C168" s="2" t="inlineStr">
        <is>
          <t>做空</t>
        </is>
      </c>
      <c r="D168" s="7" t="n">
        <v>46276.45833333334</v>
      </c>
      <c r="E168" s="17" t="n">
        <v>0.07525999999999999</v>
      </c>
      <c r="F168" s="17" t="n">
        <v>0.07300219999999999</v>
      </c>
      <c r="G168" s="17" t="n">
        <v>0.079023</v>
      </c>
      <c r="H168" s="7" t="n">
        <v>46276.54166666666</v>
      </c>
      <c r="I168" s="17" t="n">
        <v>0.079023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-0.02017966410623628</v>
      </c>
      <c r="O168" s="4" t="n">
        <v>0.04823724419003356</v>
      </c>
      <c r="P168" s="4" t="n">
        <v>-0.05145413870246085</v>
      </c>
      <c r="Q168" s="19" t="n">
        <v>-4500436</v>
      </c>
      <c r="R168" s="19" t="n">
        <v>1429060.99886</v>
      </c>
      <c r="S168" s="4" t="n">
        <v>0.0001328727079457082</v>
      </c>
      <c r="T168" s="4" t="n">
        <v>0.05</v>
      </c>
      <c r="U168" s="16" t="n">
        <v>1.179648508398454</v>
      </c>
      <c r="V168" s="16" t="n">
        <v>0.6402877697841751</v>
      </c>
      <c r="W168" s="4" t="n">
        <v>0.0592064883000839</v>
      </c>
      <c r="X168" s="4" t="n">
        <v>0.1051129607609989</v>
      </c>
      <c r="Y168" s="4" t="n">
        <v>0.001734964936813466</v>
      </c>
      <c r="Z168" s="4" t="n">
        <v>0.005970263210509419</v>
      </c>
      <c r="AA168" s="4" t="n">
        <v>0.03</v>
      </c>
      <c r="AB168" s="4" t="n">
        <v>0.05</v>
      </c>
      <c r="AC168" s="4">
        <f>(AB168+2*參數!$B$7)/(AA168+AB168)</f>
        <v/>
      </c>
    </row>
    <row r="169">
      <c r="A169" s="2" t="n">
        <v>168</v>
      </c>
      <c r="B169" s="2" t="inlineStr">
        <is>
          <t>VVV_USDT_PERP</t>
        </is>
      </c>
      <c r="C169" s="2" t="inlineStr">
        <is>
          <t>做空</t>
        </is>
      </c>
      <c r="D169" s="7" t="n">
        <v>46276.45833333334</v>
      </c>
      <c r="E169" s="17" t="n">
        <v>23.446</v>
      </c>
      <c r="F169" s="17" t="n">
        <v>22.74262</v>
      </c>
      <c r="G169" s="17" t="n">
        <v>24.6183</v>
      </c>
      <c r="H169" s="7" t="n">
        <v>46276.58333333334</v>
      </c>
      <c r="I169" s="17" t="n">
        <v>24.6183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-0.02858800132582029</v>
      </c>
      <c r="O169" s="4" t="n">
        <v>0.04189686119826182</v>
      </c>
      <c r="P169" s="4" t="n">
        <v>-0.02906067853112593</v>
      </c>
      <c r="Q169" s="19" t="n">
        <v>-56586.84000000003</v>
      </c>
      <c r="R169" s="19" t="n">
        <v>7115164.396330001</v>
      </c>
      <c r="S169" s="4" t="n">
        <v>0.005331399812334769</v>
      </c>
      <c r="T169" s="4" t="n">
        <v>0.05</v>
      </c>
      <c r="U169" s="16" t="n">
        <v>0.477057045992042</v>
      </c>
      <c r="V169" s="16" t="n">
        <v>0.9759036144578291</v>
      </c>
      <c r="W169" s="4" t="n">
        <v>-0.07103180113873098</v>
      </c>
      <c r="X169" s="4" t="n">
        <v>0.009881756756756732</v>
      </c>
      <c r="Y169" s="4" t="n">
        <v>0.001734964936813466</v>
      </c>
      <c r="Z169" s="4" t="n">
        <v>0.005970263210509419</v>
      </c>
      <c r="AA169" s="4" t="n">
        <v>0.03</v>
      </c>
      <c r="AB169" s="4" t="n">
        <v>0.05</v>
      </c>
      <c r="AC169" s="4">
        <f>(AB169+2*參數!$B$7)/(AA169+AB169)</f>
        <v/>
      </c>
    </row>
    <row r="170">
      <c r="A170" s="2" t="n">
        <v>169</v>
      </c>
      <c r="B170" s="2" t="inlineStr">
        <is>
          <t>UAI_USDT_PERP</t>
        </is>
      </c>
      <c r="C170" s="2" t="inlineStr">
        <is>
          <t>做空</t>
        </is>
      </c>
      <c r="D170" s="7" t="n">
        <v>46276.625</v>
      </c>
      <c r="E170" s="17" t="n">
        <v>0.6024</v>
      </c>
      <c r="F170" s="17" t="n">
        <v>0.5843280000000001</v>
      </c>
      <c r="G170" s="17" t="n">
        <v>0.6325200000000001</v>
      </c>
      <c r="H170" s="7" t="n">
        <v>46276.66666666666</v>
      </c>
      <c r="I170" s="17" t="n">
        <v>0.6325200000000001</v>
      </c>
      <c r="J170" s="2" t="inlineStr">
        <is>
          <t>止損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-0.05446554700988848</v>
      </c>
      <c r="O170" s="4" t="n">
        <v>0.06012608351829671</v>
      </c>
      <c r="P170" s="4" t="n">
        <v>-0.05921304358011281</v>
      </c>
      <c r="Q170" s="19" t="n">
        <v>-403630</v>
      </c>
      <c r="R170" s="19" t="n">
        <v>1644007.6028</v>
      </c>
      <c r="S170" s="4" t="n">
        <v>0</v>
      </c>
      <c r="T170" s="4" t="n">
        <v>0.05</v>
      </c>
      <c r="U170" s="16" t="n">
        <v>0.7262307555325315</v>
      </c>
      <c r="V170" s="16" t="n">
        <v>0.8381642512077285</v>
      </c>
      <c r="W170" s="4" t="n">
        <v>0.139256422713114</v>
      </c>
      <c r="X170" s="4" t="n">
        <v>0.1308613475688933</v>
      </c>
      <c r="Y170" s="4" t="n">
        <v>-0.0005685048322909836</v>
      </c>
      <c r="Z170" s="4" t="n">
        <v>-0.002150049219673988</v>
      </c>
      <c r="AA170" s="4" t="n">
        <v>0.03</v>
      </c>
      <c r="AB170" s="4" t="n">
        <v>0.05</v>
      </c>
      <c r="AC170" s="4">
        <f>(AB170+2*參數!$B$7)/(AA170+AB170)</f>
        <v/>
      </c>
    </row>
    <row r="171">
      <c r="A171" s="2" t="n">
        <v>170</v>
      </c>
      <c r="B171" s="2" t="inlineStr">
        <is>
          <t>IOST_USDT_PERP</t>
        </is>
      </c>
      <c r="C171" s="2" t="inlineStr">
        <is>
          <t>做空</t>
        </is>
      </c>
      <c r="D171" s="7" t="n">
        <v>46276.75</v>
      </c>
      <c r="E171" s="17" t="n">
        <v>0.000976</v>
      </c>
      <c r="F171" s="17" t="n">
        <v>0.00094672</v>
      </c>
      <c r="G171" s="17" t="n">
        <v>0.0010248</v>
      </c>
      <c r="H171" s="7" t="n">
        <v>46276.79166666666</v>
      </c>
      <c r="I171" s="17" t="n">
        <v>0.00094672</v>
      </c>
      <c r="J171" s="2" t="inlineStr">
        <is>
          <t>止盈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-0.03652517275419553</v>
      </c>
      <c r="O171" s="4" t="n">
        <v>0.07172342655218422</v>
      </c>
      <c r="P171" s="4" t="n">
        <v>-0.009690020800568466</v>
      </c>
      <c r="Q171" s="19" t="n">
        <v>-365714631</v>
      </c>
      <c r="R171" s="19" t="n">
        <v>2040043.203048</v>
      </c>
      <c r="S171" s="4" t="n">
        <v>0.03</v>
      </c>
      <c r="T171" s="4" t="n">
        <v>0</v>
      </c>
      <c r="U171" s="16" t="n">
        <v>0.9412700473027332</v>
      </c>
      <c r="V171" s="16" t="n">
        <v>0.8913043478260866</v>
      </c>
      <c r="W171" s="4" t="n">
        <v>0.104677509609122</v>
      </c>
      <c r="X171" s="4" t="n">
        <v>0.1103008204193255</v>
      </c>
      <c r="Y171" s="4" t="n">
        <v>0.004027199764110034</v>
      </c>
      <c r="Z171" s="4" t="n">
        <v>0.0009235380783999547</v>
      </c>
      <c r="AA171" s="4" t="n">
        <v>0.03</v>
      </c>
      <c r="AB171" s="4" t="n">
        <v>0.05</v>
      </c>
      <c r="AC171" s="4">
        <f>(AB171+2*參數!$B$7)/(AA171+AB171)</f>
        <v/>
      </c>
    </row>
    <row r="172">
      <c r="A172" s="2" t="n">
        <v>171</v>
      </c>
      <c r="B172" s="2" t="inlineStr">
        <is>
          <t>VVV_USDT_PERP</t>
        </is>
      </c>
      <c r="C172" s="2" t="inlineStr">
        <is>
          <t>做多</t>
        </is>
      </c>
      <c r="D172" s="7" t="n">
        <v>46276.83333333334</v>
      </c>
      <c r="E172" s="17" t="n">
        <v>24.665</v>
      </c>
      <c r="F172" s="17" t="n">
        <v>25.40495</v>
      </c>
      <c r="G172" s="17" t="n">
        <v>23.43175</v>
      </c>
      <c r="H172" s="7" t="n">
        <v>46276.875</v>
      </c>
      <c r="I172" s="17" t="n">
        <v>25.40495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0.02221393344108735</v>
      </c>
      <c r="O172" s="4" t="n">
        <v>0.03381262927684345</v>
      </c>
      <c r="P172" s="4" t="n">
        <v>0.01563079051611238</v>
      </c>
      <c r="Q172" s="19" t="n">
        <v>22667.54999999996</v>
      </c>
      <c r="R172" s="19" t="n">
        <v>4813626.34929</v>
      </c>
      <c r="S172" s="4" t="n">
        <v>0.03</v>
      </c>
      <c r="T172" s="4" t="n">
        <v>0</v>
      </c>
      <c r="U172" s="16" t="n">
        <v>0.9058506016959673</v>
      </c>
      <c r="V172" s="16" t="n">
        <v>0.7744874715261955</v>
      </c>
      <c r="W172" s="4" t="n">
        <v>0.09511882916190673</v>
      </c>
      <c r="X172" s="4" t="n">
        <v>0.03101617690089031</v>
      </c>
      <c r="Y172" s="4" t="n">
        <v>0.0006990635407178036</v>
      </c>
      <c r="Z172" s="4" t="n">
        <v>-0.0005067294961926816</v>
      </c>
      <c r="AA172" s="4" t="n">
        <v>0.03</v>
      </c>
      <c r="AB172" s="4" t="n">
        <v>0.05</v>
      </c>
      <c r="AC172" s="4">
        <f>(AB172+2*參數!$B$7)/(AA172+AB172)</f>
        <v/>
      </c>
    </row>
    <row r="173">
      <c r="A173" s="2" t="n">
        <v>172</v>
      </c>
      <c r="B173" s="2" t="inlineStr">
        <is>
          <t>LIT_USDT_PERP</t>
        </is>
      </c>
      <c r="C173" s="2" t="inlineStr">
        <is>
          <t>做多</t>
        </is>
      </c>
      <c r="D173" s="7" t="n">
        <v>46276.875</v>
      </c>
      <c r="E173" s="17" t="n">
        <v>4.659</v>
      </c>
      <c r="F173" s="17" t="n">
        <v>4.79877</v>
      </c>
      <c r="G173" s="17" t="n">
        <v>4.42605</v>
      </c>
      <c r="H173" s="7" t="n">
        <v>46276.95833333334</v>
      </c>
      <c r="I173" s="17" t="n">
        <v>4.79877</v>
      </c>
      <c r="J173" s="2" t="inlineStr">
        <is>
          <t>止盈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0.03235098604032793</v>
      </c>
      <c r="O173" s="4" t="n">
        <v>0.02162220394744305</v>
      </c>
      <c r="P173" s="4" t="n">
        <v>0.04032690246516624</v>
      </c>
      <c r="Q173" s="19" t="n">
        <v>62052.09999999963</v>
      </c>
      <c r="R173" s="19" t="n">
        <v>3399677.786</v>
      </c>
      <c r="S173" s="4" t="n">
        <v>0.03</v>
      </c>
      <c r="T173" s="4" t="n">
        <v>0.01266366172998501</v>
      </c>
      <c r="U173" s="16" t="n">
        <v>2.748589569835663</v>
      </c>
      <c r="V173" s="16" t="n">
        <v>0.9575289575289572</v>
      </c>
      <c r="W173" s="4" t="n">
        <v>-0.006569562519590288</v>
      </c>
      <c r="X173" s="4" t="n">
        <v>0.0483798379837983</v>
      </c>
      <c r="Y173" s="4" t="n">
        <v>0.01271069248538259</v>
      </c>
      <c r="Z173" s="4" t="n">
        <v>0.01165869166057498</v>
      </c>
      <c r="AA173" s="4" t="n">
        <v>0.03</v>
      </c>
      <c r="AB173" s="4" t="n">
        <v>0.05</v>
      </c>
      <c r="AC173" s="4">
        <f>(AB173+2*參數!$B$7)/(AA173+AB173)</f>
        <v/>
      </c>
    </row>
    <row r="174">
      <c r="A174" s="2" t="n">
        <v>173</v>
      </c>
      <c r="B174" s="2" t="inlineStr">
        <is>
          <t>PONS_USDT_PERP</t>
        </is>
      </c>
      <c r="C174" s="2" t="inlineStr">
        <is>
          <t>做多</t>
        </is>
      </c>
      <c r="D174" s="7" t="n">
        <v>46276.875</v>
      </c>
      <c r="E174" s="17" t="n">
        <v>0.6194</v>
      </c>
      <c r="F174" s="17" t="n">
        <v>0.6379819999999999</v>
      </c>
      <c r="G174" s="17" t="n">
        <v>0.5884299999999999</v>
      </c>
      <c r="H174" s="7" t="n">
        <v>46276.91666666666</v>
      </c>
      <c r="I174" s="17" t="n">
        <v>0.6379819999999999</v>
      </c>
      <c r="J174" s="2" t="inlineStr">
        <is>
          <t>止盈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0.0411833921667506</v>
      </c>
      <c r="O174" s="4" t="n">
        <v>0.05038425945475051</v>
      </c>
      <c r="P174" s="4" t="n">
        <v>0.01647630300643299</v>
      </c>
      <c r="Q174" s="19" t="n">
        <v>20188</v>
      </c>
      <c r="R174" s="19" t="n">
        <v>6544877.766</v>
      </c>
      <c r="S174" s="4" t="n">
        <v>0.03</v>
      </c>
      <c r="T174" s="4" t="n">
        <v>0</v>
      </c>
      <c r="U174" s="16" t="n">
        <v>0.9174173609049526</v>
      </c>
      <c r="V174" s="16" t="n">
        <v>0.6834951456310661</v>
      </c>
      <c r="W174" s="4" t="n">
        <v>-0.1099999281562746</v>
      </c>
      <c r="X174" s="4" t="n">
        <v>0.08704808704808698</v>
      </c>
      <c r="Y174" s="4" t="n">
        <v>0.01271069248538259</v>
      </c>
      <c r="Z174" s="4" t="n">
        <v>0.01165869166057498</v>
      </c>
      <c r="AA174" s="4" t="n">
        <v>0.03</v>
      </c>
      <c r="AB174" s="4" t="n">
        <v>0.05</v>
      </c>
      <c r="AC174" s="4">
        <f>(AB174+2*參數!$B$7)/(AA174+AB174)</f>
        <v/>
      </c>
    </row>
    <row r="175">
      <c r="A175" s="2" t="n">
        <v>174</v>
      </c>
      <c r="B175" s="2" t="inlineStr">
        <is>
          <t>ZEC_USDT_PERP</t>
        </is>
      </c>
      <c r="C175" s="2" t="inlineStr">
        <is>
          <t>做多</t>
        </is>
      </c>
      <c r="D175" s="7" t="n">
        <v>46276.875</v>
      </c>
      <c r="E175" s="17" t="n">
        <v>1150.81</v>
      </c>
      <c r="F175" s="17" t="n">
        <v>1185.3343</v>
      </c>
      <c r="G175" s="17" t="n">
        <v>1093.2695</v>
      </c>
      <c r="H175" s="7" t="n">
        <v>46276.91666666666</v>
      </c>
      <c r="I175" s="17" t="n">
        <v>1185.3343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0.04513627158049616</v>
      </c>
      <c r="O175" s="4" t="n">
        <v>0.02301159982877493</v>
      </c>
      <c r="P175" s="4" t="n">
        <v>0.04090594572104367</v>
      </c>
      <c r="Q175" s="19" t="n">
        <v>3050.965999999993</v>
      </c>
      <c r="R175" s="19" t="n">
        <v>31858591.84966</v>
      </c>
      <c r="S175" s="4" t="n">
        <v>0.03</v>
      </c>
      <c r="T175" s="4" t="n">
        <v>0</v>
      </c>
      <c r="U175" s="16" t="n">
        <v>3.527958566583369</v>
      </c>
      <c r="V175" s="16" t="n">
        <v>0.7579874213836477</v>
      </c>
      <c r="W175" s="4" t="n">
        <v>-0.02157207379431791</v>
      </c>
      <c r="X175" s="4" t="n">
        <v>-0.0321519881585145</v>
      </c>
      <c r="Y175" s="4" t="n">
        <v>0.01271069248538259</v>
      </c>
      <c r="Z175" s="4" t="n">
        <v>0.01165869166057498</v>
      </c>
      <c r="AA175" s="4" t="n">
        <v>0.03</v>
      </c>
      <c r="AB175" s="4" t="n">
        <v>0.05</v>
      </c>
      <c r="AC175" s="4">
        <f>(AB175+2*參數!$B$7)/(AA175+AB175)</f>
        <v/>
      </c>
    </row>
    <row r="176">
      <c r="A176" s="2" t="n">
        <v>175</v>
      </c>
      <c r="B176" s="2" t="inlineStr">
        <is>
          <t>PUMP_USDT_PERP</t>
        </is>
      </c>
      <c r="C176" s="2" t="inlineStr">
        <is>
          <t>做多</t>
        </is>
      </c>
      <c r="D176" s="7" t="n">
        <v>46276.91666666666</v>
      </c>
      <c r="E176" s="17" t="n">
        <v>0.003843</v>
      </c>
      <c r="F176" s="17" t="n">
        <v>0.003958290000000001</v>
      </c>
      <c r="G176" s="17" t="n">
        <v>0.00365085</v>
      </c>
      <c r="H176" s="7" t="n">
        <v>46277</v>
      </c>
      <c r="I176" s="17" t="n">
        <v>0.00365085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0.02836499866202846</v>
      </c>
      <c r="O176" s="4" t="n">
        <v>0.02619272129813715</v>
      </c>
      <c r="P176" s="4" t="n">
        <v>0.02968758373077529</v>
      </c>
      <c r="Q176" s="19" t="n">
        <v>51460715</v>
      </c>
      <c r="R176" s="19" t="n">
        <v>5504621.711578</v>
      </c>
      <c r="S176" s="4" t="n">
        <v>0.009888108248763849</v>
      </c>
      <c r="T176" s="4" t="n">
        <v>0.05</v>
      </c>
      <c r="U176" s="16" t="n">
        <v>2.069726197212137</v>
      </c>
      <c r="V176" s="16" t="n">
        <v>0.9903846153846162</v>
      </c>
      <c r="W176" s="4" t="n">
        <v>-0.08241108842806488</v>
      </c>
      <c r="X176" s="4" t="n">
        <v>-0.01309707241910629</v>
      </c>
      <c r="Y176" s="4" t="n">
        <v>0.01563093003456717</v>
      </c>
      <c r="Z176" s="4" t="n">
        <v>0.02619733051292372</v>
      </c>
      <c r="AA176" s="4" t="n">
        <v>0.03</v>
      </c>
      <c r="AB176" s="4" t="n">
        <v>0.05</v>
      </c>
      <c r="AC176" s="4">
        <f>(AB176+2*參數!$B$7)/(AA176+AB176)</f>
        <v/>
      </c>
    </row>
    <row r="177">
      <c r="A177" s="2" t="n">
        <v>176</v>
      </c>
      <c r="B177" s="2" t="inlineStr">
        <is>
          <t>PONS_USDT_PERP</t>
        </is>
      </c>
      <c r="C177" s="2" t="inlineStr">
        <is>
          <t>做空</t>
        </is>
      </c>
      <c r="D177" s="7" t="n">
        <v>46277.04166666666</v>
      </c>
      <c r="E177" s="17" t="n">
        <v>0.6084000000000001</v>
      </c>
      <c r="F177" s="17" t="n">
        <v>0.590148</v>
      </c>
      <c r="G177" s="17" t="n">
        <v>0.6388200000000001</v>
      </c>
      <c r="H177" s="7" t="n">
        <v>46277.16666666666</v>
      </c>
      <c r="I177" s="17" t="n">
        <v>0.590148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-0.04788732394366191</v>
      </c>
      <c r="O177" s="4" t="n">
        <v>0.05391428247444321</v>
      </c>
      <c r="P177" s="4" t="n">
        <v>-0.01748946271982943</v>
      </c>
      <c r="Q177" s="19" t="n">
        <v>-1884620</v>
      </c>
      <c r="R177" s="19" t="n">
        <v>7189657.9305</v>
      </c>
      <c r="S177" s="4" t="n">
        <v>0.03</v>
      </c>
      <c r="T177" s="4" t="n">
        <v>0.02925706771860614</v>
      </c>
      <c r="U177" s="16" t="n">
        <v>0.9158699230400815</v>
      </c>
      <c r="V177" s="16" t="n">
        <v>0.8441860465116271</v>
      </c>
      <c r="W177" s="4" t="n">
        <v>0.1173551992479238</v>
      </c>
      <c r="X177" s="4" t="n">
        <v>-0.03381478334749377</v>
      </c>
      <c r="Y177" s="4" t="n">
        <v>-0.002425016282620041</v>
      </c>
      <c r="Z177" s="4" t="n">
        <v>-0.007135817448049364</v>
      </c>
      <c r="AA177" s="4" t="n">
        <v>0.03</v>
      </c>
      <c r="AB177" s="4" t="n">
        <v>0.05</v>
      </c>
      <c r="AC177" s="4">
        <f>(AB177+2*參數!$B$7)/(AA177+AB177)</f>
        <v/>
      </c>
    </row>
    <row r="178">
      <c r="A178" s="2" t="n">
        <v>177</v>
      </c>
      <c r="B178" s="2" t="inlineStr">
        <is>
          <t>IOST_USDT_PERP</t>
        </is>
      </c>
      <c r="C178" s="2" t="inlineStr">
        <is>
          <t>做空</t>
        </is>
      </c>
      <c r="D178" s="7" t="n">
        <v>46277.08333333334</v>
      </c>
      <c r="E178" s="17" t="n">
        <v>0.000895</v>
      </c>
      <c r="F178" s="17" t="n">
        <v>0.0008681499999999999</v>
      </c>
      <c r="G178" s="17" t="n">
        <v>0.00093975</v>
      </c>
      <c r="H178" s="7" t="n">
        <v>46277.25</v>
      </c>
      <c r="I178" s="17" t="n">
        <v>0.0008681499999999999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-0.02399127589967287</v>
      </c>
      <c r="O178" s="4" t="n">
        <v>0.06096237757631735</v>
      </c>
      <c r="P178" s="4" t="n">
        <v>-0.05170586988768822</v>
      </c>
      <c r="Q178" s="19" t="n">
        <v>-80556021</v>
      </c>
      <c r="R178" s="19" t="n">
        <v>1426890.264431</v>
      </c>
      <c r="S178" s="4" t="n">
        <v>0.03</v>
      </c>
      <c r="T178" s="4" t="n">
        <v>0.003351955307262733</v>
      </c>
      <c r="U178" s="16" t="n">
        <v>0.5173070279746069</v>
      </c>
      <c r="V178" s="16" t="n">
        <v>0.7222222222222245</v>
      </c>
      <c r="W178" s="4" t="n">
        <v>0.1818489300046622</v>
      </c>
      <c r="X178" s="4" t="n">
        <v>0.1164856860809478</v>
      </c>
      <c r="Y178" s="4" t="n">
        <v>0.004939739543340704</v>
      </c>
      <c r="Z178" s="4" t="n">
        <v>-0.001914453688999895</v>
      </c>
      <c r="AA178" s="4" t="n">
        <v>0.03</v>
      </c>
      <c r="AB178" s="4" t="n">
        <v>0.05</v>
      </c>
      <c r="AC178" s="4">
        <f>(AB178+2*參數!$B$7)/(AA178+AB178)</f>
        <v/>
      </c>
    </row>
    <row r="179">
      <c r="A179" s="2" t="n">
        <v>178</v>
      </c>
      <c r="B179" s="2" t="inlineStr">
        <is>
          <t>ENA_USDT_PERP</t>
        </is>
      </c>
      <c r="C179" s="2" t="inlineStr">
        <is>
          <t>做空</t>
        </is>
      </c>
      <c r="D179" s="7" t="n">
        <v>46277.125</v>
      </c>
      <c r="E179" s="17" t="n">
        <v>0.1418</v>
      </c>
      <c r="F179" s="17" t="n">
        <v>0.137546</v>
      </c>
      <c r="G179" s="17" t="n">
        <v>0.14889</v>
      </c>
      <c r="H179" s="7" t="n">
        <v>46278.91666666666</v>
      </c>
      <c r="I179" s="17" t="n">
        <v>0.137546</v>
      </c>
      <c r="J179" s="2" t="inlineStr">
        <is>
          <t>止盈</t>
        </is>
      </c>
      <c r="K179" s="5">
        <f>(H179-D179)*24</f>
        <v/>
      </c>
      <c r="L179" s="4">
        <f>IF(C179="做多",I179/E179-1,1-I179/E179)-2*參數!$B$7</f>
        <v/>
      </c>
      <c r="M179" s="2" t="inlineStr"/>
      <c r="N179" s="4" t="n">
        <v>-0.02475928473177436</v>
      </c>
      <c r="O179" s="4" t="n">
        <v>0.02640895320179839</v>
      </c>
      <c r="P179" s="4" t="n">
        <v>-0.02936545964816206</v>
      </c>
      <c r="Q179" s="19" t="n">
        <v>-26921233</v>
      </c>
      <c r="R179" s="19" t="n">
        <v>7836145.6262</v>
      </c>
      <c r="S179" s="4" t="n">
        <v>0.03</v>
      </c>
      <c r="T179" s="4" t="n">
        <v>0.01410437235543016</v>
      </c>
      <c r="U179" s="16" t="n">
        <v>1.201993217794421</v>
      </c>
      <c r="V179" s="16" t="n">
        <v>0.8723404255319115</v>
      </c>
      <c r="W179" s="4" t="n">
        <v>0.08749847165646696</v>
      </c>
      <c r="X179" s="4" t="n">
        <v>0.0340599455040872</v>
      </c>
      <c r="Y179" s="4" t="n">
        <v>0.006107577499648187</v>
      </c>
      <c r="Z179" s="4" t="n">
        <v>0.004350599782954601</v>
      </c>
      <c r="AA179" s="4" t="n">
        <v>0.03</v>
      </c>
      <c r="AB179" s="4" t="n">
        <v>0.05</v>
      </c>
      <c r="AC179" s="4">
        <f>(AB179+2*參數!$B$7)/(AA179+AB179)</f>
        <v/>
      </c>
    </row>
    <row r="180">
      <c r="A180" s="2" t="n">
        <v>179</v>
      </c>
      <c r="B180" s="2" t="inlineStr">
        <is>
          <t>MARSCOIN_USDT_PERP</t>
        </is>
      </c>
      <c r="C180" s="2" t="inlineStr">
        <is>
          <t>做空</t>
        </is>
      </c>
      <c r="D180" s="7" t="n">
        <v>46277.125</v>
      </c>
      <c r="E180" s="17" t="n">
        <v>0.12248</v>
      </c>
      <c r="F180" s="17" t="n">
        <v>0.1188056</v>
      </c>
      <c r="G180" s="17" t="n">
        <v>0.128604</v>
      </c>
      <c r="H180" s="7" t="n">
        <v>46277.25</v>
      </c>
      <c r="I180" s="17" t="n">
        <v>0.1188056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-0.02234993614303959</v>
      </c>
      <c r="O180" s="4" t="n">
        <v>0.05400174410036485</v>
      </c>
      <c r="P180" s="4" t="n">
        <v>-0.021080184626451</v>
      </c>
      <c r="Q180" s="19" t="n">
        <v>-1661631</v>
      </c>
      <c r="R180" s="19" t="n">
        <v>4420156.18964</v>
      </c>
      <c r="S180" s="4" t="n">
        <v>0.03</v>
      </c>
      <c r="T180" s="4" t="n">
        <v>0.02188112344872617</v>
      </c>
      <c r="U180" s="16" t="n">
        <v>0.7162961934991695</v>
      </c>
      <c r="V180" s="16" t="n">
        <v>0.7112068965517228</v>
      </c>
      <c r="W180" s="4" t="n">
        <v>0.0395247184367653</v>
      </c>
      <c r="X180" s="4" t="n">
        <v>-0.07561254061649247</v>
      </c>
      <c r="Y180" s="4" t="n">
        <v>0.006107577499648187</v>
      </c>
      <c r="Z180" s="4" t="n">
        <v>0.004350599782954601</v>
      </c>
      <c r="AA180" s="4" t="n">
        <v>0.03</v>
      </c>
      <c r="AB180" s="4" t="n">
        <v>0.05</v>
      </c>
      <c r="AC180" s="4">
        <f>(AB180+2*參數!$B$7)/(AA180+AB180)</f>
        <v/>
      </c>
    </row>
    <row r="181">
      <c r="A181" s="2" t="n">
        <v>180</v>
      </c>
      <c r="B181" s="2" t="inlineStr">
        <is>
          <t>PUMP_USDT_PERP</t>
        </is>
      </c>
      <c r="C181" s="2" t="inlineStr">
        <is>
          <t>做空</t>
        </is>
      </c>
      <c r="D181" s="7" t="n">
        <v>46277.125</v>
      </c>
      <c r="E181" s="17" t="n">
        <v>0.003537</v>
      </c>
      <c r="F181" s="17" t="n">
        <v>0.00343089</v>
      </c>
      <c r="G181" s="17" t="n">
        <v>0.00371385</v>
      </c>
      <c r="H181" s="7" t="n">
        <v>46278.08333333334</v>
      </c>
      <c r="I181" s="17" t="n">
        <v>0.00371385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-0.04224207961007309</v>
      </c>
      <c r="O181" s="4" t="n">
        <v>0.03232554839217103</v>
      </c>
      <c r="P181" s="4" t="n">
        <v>-0.04143743732892491</v>
      </c>
      <c r="Q181" s="19" t="n">
        <v>-178806568</v>
      </c>
      <c r="R181" s="19" t="n">
        <v>6297088.56239</v>
      </c>
      <c r="S181" s="4" t="n">
        <v>0.006502685891998872</v>
      </c>
      <c r="T181" s="4" t="n">
        <v>0.05</v>
      </c>
      <c r="U181" s="16" t="n">
        <v>1.224382173297189</v>
      </c>
      <c r="V181" s="16" t="n">
        <v>0.8535353535353518</v>
      </c>
      <c r="W181" s="4" t="n">
        <v>0.1475382969082898</v>
      </c>
      <c r="X181" s="4" t="n">
        <v>0.08934088568486087</v>
      </c>
      <c r="Y181" s="4" t="n">
        <v>0.006107577499648187</v>
      </c>
      <c r="Z181" s="4" t="n">
        <v>0.004350599782954601</v>
      </c>
      <c r="AA181" s="4" t="n">
        <v>0.03</v>
      </c>
      <c r="AB181" s="4" t="n">
        <v>0.05</v>
      </c>
      <c r="AC181" s="4">
        <f>(AB181+2*參數!$B$7)/(AA181+AB181)</f>
        <v/>
      </c>
    </row>
    <row r="182">
      <c r="A182" s="2" t="n">
        <v>181</v>
      </c>
      <c r="B182" s="2" t="inlineStr">
        <is>
          <t>USELESS_USDT_PERP</t>
        </is>
      </c>
      <c r="C182" s="2" t="inlineStr">
        <is>
          <t>做空</t>
        </is>
      </c>
      <c r="D182" s="7" t="n">
        <v>46277.125</v>
      </c>
      <c r="E182" s="17" t="n">
        <v>0.22299</v>
      </c>
      <c r="F182" s="17" t="n">
        <v>0.2163003</v>
      </c>
      <c r="G182" s="17" t="n">
        <v>0.2341395</v>
      </c>
      <c r="H182" s="7" t="n">
        <v>46277.16666666666</v>
      </c>
      <c r="I182" s="17" t="n">
        <v>0.2163003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-0.0671045475463331</v>
      </c>
      <c r="O182" s="4" t="n">
        <v>0.0580202419608135</v>
      </c>
      <c r="P182" s="4" t="n">
        <v>-0.02607655032199874</v>
      </c>
      <c r="Q182" s="19" t="n">
        <v>-2047242</v>
      </c>
      <c r="R182" s="19" t="n">
        <v>6798765.46783</v>
      </c>
      <c r="S182" s="4" t="n">
        <v>0.03</v>
      </c>
      <c r="T182" s="4" t="n">
        <v>0</v>
      </c>
      <c r="U182" s="16" t="n">
        <v>0.9914632778234673</v>
      </c>
      <c r="V182" s="16" t="n">
        <v>0.9593365436062075</v>
      </c>
      <c r="W182" s="4" t="n">
        <v>0.1150498669935706</v>
      </c>
      <c r="X182" s="4" t="n">
        <v>0.1105305145592341</v>
      </c>
      <c r="Y182" s="4" t="n">
        <v>0.006107577499648187</v>
      </c>
      <c r="Z182" s="4" t="n">
        <v>0.004350599782954601</v>
      </c>
      <c r="AA182" s="4" t="n">
        <v>0.03</v>
      </c>
      <c r="AB182" s="4" t="n">
        <v>0.05</v>
      </c>
      <c r="AC182" s="4">
        <f>(AB182+2*參數!$B$7)/(AA182+AB182)</f>
        <v/>
      </c>
    </row>
    <row r="183">
      <c r="A183" s="2" t="n">
        <v>182</v>
      </c>
      <c r="B183" s="2" t="inlineStr">
        <is>
          <t>PONS_USDT_PERP</t>
        </is>
      </c>
      <c r="C183" s="2" t="inlineStr">
        <is>
          <t>做空</t>
        </is>
      </c>
      <c r="D183" s="7" t="n">
        <v>46277.20833333334</v>
      </c>
      <c r="E183" s="17" t="n">
        <v>0.5886</v>
      </c>
      <c r="F183" s="17" t="n">
        <v>0.5709419999999999</v>
      </c>
      <c r="G183" s="17" t="n">
        <v>0.6180300000000001</v>
      </c>
      <c r="H183" s="7" t="n">
        <v>46277.33333333334</v>
      </c>
      <c r="I183" s="17" t="n">
        <v>0.5709419999999999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-0.02128367143332233</v>
      </c>
      <c r="O183" s="4" t="n">
        <v>0.05073437419971659</v>
      </c>
      <c r="P183" s="4" t="n">
        <v>-0.05479188078108932</v>
      </c>
      <c r="Q183" s="19" t="n">
        <v>-1615071</v>
      </c>
      <c r="R183" s="19" t="n">
        <v>6250085.110300001</v>
      </c>
      <c r="S183" s="4" t="n">
        <v>0.03</v>
      </c>
      <c r="T183" s="4" t="n">
        <v>0.01376146788990829</v>
      </c>
      <c r="U183" s="16" t="n">
        <v>0.8199632796621746</v>
      </c>
      <c r="V183" s="16" t="n">
        <v>0.8391304347826072</v>
      </c>
      <c r="W183" s="4" t="n">
        <v>0.1385391755383765</v>
      </c>
      <c r="X183" s="4" t="n">
        <v>-0.007186858316221789</v>
      </c>
      <c r="Y183" s="4" t="n">
        <v>-0.0006809669731016044</v>
      </c>
      <c r="Z183" s="4" t="n">
        <v>0.001518602885345666</v>
      </c>
      <c r="AA183" s="4" t="n">
        <v>0.03</v>
      </c>
      <c r="AB183" s="4" t="n">
        <v>0.05</v>
      </c>
      <c r="AC183" s="4">
        <f>(AB183+2*參數!$B$7)/(AA183+AB183)</f>
        <v/>
      </c>
    </row>
    <row r="184">
      <c r="A184" s="2" t="n">
        <v>183</v>
      </c>
      <c r="B184" s="2" t="inlineStr">
        <is>
          <t>AERO_USDT_PERP</t>
        </is>
      </c>
      <c r="C184" s="2" t="inlineStr">
        <is>
          <t>做空</t>
        </is>
      </c>
      <c r="D184" s="7" t="n">
        <v>46277.25</v>
      </c>
      <c r="E184" s="17" t="n">
        <v>0.5694</v>
      </c>
      <c r="F184" s="17" t="n">
        <v>0.552318</v>
      </c>
      <c r="G184" s="17" t="n">
        <v>0.59787</v>
      </c>
      <c r="H184" s="7" t="n">
        <v>46279.375</v>
      </c>
      <c r="I184" s="17" t="n">
        <v>0.5570000000000001</v>
      </c>
      <c r="J184" s="2" t="inlineStr">
        <is>
          <t>未平倉</t>
        </is>
      </c>
      <c r="K184" s="5">
        <f>(H184-D184)*24</f>
        <v/>
      </c>
      <c r="L184" s="4">
        <f>IF(C184="做多",I184/E184-1,1-I184/E184)-2*參數!$B$7</f>
        <v/>
      </c>
      <c r="M184" s="2" t="inlineStr">
        <is>
          <t>持倉中（以最新收盤估值）</t>
        </is>
      </c>
      <c r="N184" s="4" t="n">
        <v>-0.02248927038626614</v>
      </c>
      <c r="O184" s="4" t="n">
        <v>0.02399339645909423</v>
      </c>
      <c r="P184" s="4" t="n">
        <v>-0.0003160223322447031</v>
      </c>
      <c r="Q184" s="19" t="n">
        <v>-361831.8</v>
      </c>
      <c r="R184" s="19" t="n">
        <v>1281726.24259</v>
      </c>
      <c r="S184" s="4" t="n">
        <v>0.02792413066385668</v>
      </c>
      <c r="T184" s="4" t="n">
        <v>0.02388479100807861</v>
      </c>
      <c r="U184" s="16" t="n">
        <v>1.01517167462681</v>
      </c>
      <c r="V184" s="16" t="n">
        <v>0.9481865284974093</v>
      </c>
      <c r="W184" s="4" t="n">
        <v>0.03105260291875411</v>
      </c>
      <c r="X184" s="4" t="n">
        <v>-0.04057017543859653</v>
      </c>
      <c r="Y184" s="4" t="n">
        <v>0.002787994674994909</v>
      </c>
      <c r="Z184" s="4" t="n">
        <v>0.004388146566394635</v>
      </c>
      <c r="AA184" s="4" t="n">
        <v>0.03</v>
      </c>
      <c r="AB184" s="4" t="n">
        <v>0.05</v>
      </c>
      <c r="AC184" s="4">
        <f>(AB184+2*參數!$B$7)/(AA184+AB184)</f>
        <v/>
      </c>
    </row>
    <row r="185">
      <c r="A185" s="2" t="n">
        <v>184</v>
      </c>
      <c r="B185" s="2" t="inlineStr">
        <is>
          <t>USELESS_USDT_PERP</t>
        </is>
      </c>
      <c r="C185" s="2" t="inlineStr">
        <is>
          <t>做空</t>
        </is>
      </c>
      <c r="D185" s="7" t="n">
        <v>46277.25</v>
      </c>
      <c r="E185" s="17" t="n">
        <v>0.21674</v>
      </c>
      <c r="F185" s="17" t="n">
        <v>0.2102378</v>
      </c>
      <c r="G185" s="17" t="n">
        <v>0.227577</v>
      </c>
      <c r="H185" s="7" t="n">
        <v>46277.45833333334</v>
      </c>
      <c r="I185" s="17" t="n">
        <v>0.227577</v>
      </c>
      <c r="J185" s="2" t="inlineStr">
        <is>
          <t>止損</t>
        </is>
      </c>
      <c r="K185" s="5">
        <f>(H185-D185)*24</f>
        <v/>
      </c>
      <c r="L185" s="4">
        <f>IF(C185="做多",I185/E185-1,1-I185/E185)-2*參數!$B$7</f>
        <v/>
      </c>
      <c r="M185" s="2" t="inlineStr"/>
      <c r="N185" s="4" t="n">
        <v>-0.02789738069608905</v>
      </c>
      <c r="O185" s="4" t="n">
        <v>0.05473292229627186</v>
      </c>
      <c r="P185" s="4" t="n">
        <v>-0.04905647132120339</v>
      </c>
      <c r="Q185" s="19" t="n">
        <v>-1497454</v>
      </c>
      <c r="R185" s="19" t="n">
        <v>7028951.42274</v>
      </c>
      <c r="S185" s="4" t="n">
        <v>0.02159269170434619</v>
      </c>
      <c r="T185" s="4" t="n">
        <v>0.05</v>
      </c>
      <c r="U185" s="16" t="n">
        <v>0.7345015725800836</v>
      </c>
      <c r="V185" s="16" t="n">
        <v>0.9932659932659959</v>
      </c>
      <c r="W185" s="4" t="n">
        <v>0.1393847995041357</v>
      </c>
      <c r="X185" s="4" t="n">
        <v>0.1150218447592993</v>
      </c>
      <c r="Y185" s="4" t="n">
        <v>0.002787994674994909</v>
      </c>
      <c r="Z185" s="4" t="n">
        <v>0.004388146566394635</v>
      </c>
      <c r="AA185" s="4" t="n">
        <v>0.03</v>
      </c>
      <c r="AB185" s="4" t="n">
        <v>0.05</v>
      </c>
      <c r="AC185" s="4">
        <f>(AB185+2*參數!$B$7)/(AA185+AB185)</f>
        <v/>
      </c>
    </row>
    <row r="186">
      <c r="A186" s="2" t="n">
        <v>185</v>
      </c>
      <c r="B186" s="2" t="inlineStr">
        <is>
          <t>RAY_USDT_PERP</t>
        </is>
      </c>
      <c r="C186" s="2" t="inlineStr">
        <is>
          <t>做多</t>
        </is>
      </c>
      <c r="D186" s="7" t="n">
        <v>46277.41666666666</v>
      </c>
      <c r="E186" s="17" t="n">
        <v>1.716</v>
      </c>
      <c r="F186" s="17" t="n">
        <v>1.76748</v>
      </c>
      <c r="G186" s="17" t="n">
        <v>1.6302</v>
      </c>
      <c r="H186" s="7" t="n">
        <v>46277.5</v>
      </c>
      <c r="I186" s="17" t="n">
        <v>1.6302</v>
      </c>
      <c r="J186" s="2" t="inlineStr">
        <is>
          <t>止損</t>
        </is>
      </c>
      <c r="K186" s="5">
        <f>(H186-D186)*24</f>
        <v/>
      </c>
      <c r="L186" s="4">
        <f>IF(C186="做多",I186/E186-1,1-I186/E186)-2*參數!$B$7</f>
        <v/>
      </c>
      <c r="M186" s="2" t="inlineStr"/>
      <c r="N186" s="4" t="n">
        <v>0.04000000000000004</v>
      </c>
      <c r="O186" s="4" t="n">
        <v>0.04282887250254052</v>
      </c>
      <c r="P186" s="4" t="n">
        <v>0.05939004815409299</v>
      </c>
      <c r="Q186" s="19" t="n">
        <v>721092.5999999996</v>
      </c>
      <c r="R186" s="19" t="n">
        <v>4467953.1854</v>
      </c>
      <c r="S186" s="4" t="n">
        <v>0.01515151515151514</v>
      </c>
      <c r="T186" s="4" t="n">
        <v>0.05</v>
      </c>
      <c r="U186" s="16" t="n">
        <v>0.480733710492018</v>
      </c>
      <c r="V186" s="16" t="n">
        <v>0.8888888888888876</v>
      </c>
      <c r="W186" s="4" t="n">
        <v>0.2746234067207416</v>
      </c>
      <c r="X186" s="4" t="n">
        <v>0.1432378414390407</v>
      </c>
      <c r="Y186" s="4" t="n">
        <v>-0.0001993481058047974</v>
      </c>
      <c r="Z186" s="4" t="n">
        <v>-0.002897721507352458</v>
      </c>
      <c r="AA186" s="4" t="n">
        <v>0.03</v>
      </c>
      <c r="AB186" s="4" t="n">
        <v>0.05</v>
      </c>
      <c r="AC186" s="4">
        <f>(AB186+2*參數!$B$7)/(AA186+AB186)</f>
        <v/>
      </c>
    </row>
    <row r="187">
      <c r="A187" s="2" t="n">
        <v>186</v>
      </c>
      <c r="B187" s="2" t="inlineStr">
        <is>
          <t>AKE_USDT_PERP</t>
        </is>
      </c>
      <c r="C187" s="2" t="inlineStr">
        <is>
          <t>做多</t>
        </is>
      </c>
      <c r="D187" s="7" t="n">
        <v>46277.58333333334</v>
      </c>
      <c r="E187" s="17" t="n">
        <v>0.0143414</v>
      </c>
      <c r="F187" s="17" t="n">
        <v>0.014771642</v>
      </c>
      <c r="G187" s="17" t="n">
        <v>0.01362433</v>
      </c>
      <c r="H187" s="7" t="n">
        <v>46277.625</v>
      </c>
      <c r="I187" s="17" t="n">
        <v>0.014771642</v>
      </c>
      <c r="J187" s="2" t="inlineStr">
        <is>
          <t>止盈</t>
        </is>
      </c>
      <c r="K187" s="5">
        <f>(H187-D187)*24</f>
        <v/>
      </c>
      <c r="L187" s="4">
        <f>IF(C187="做多",I187/E187-1,1-I187/E187)-2*參數!$B$7</f>
        <v/>
      </c>
      <c r="M187" s="2" t="inlineStr"/>
      <c r="N187" s="4" t="n">
        <v>0.03836657857582448</v>
      </c>
      <c r="O187" s="4" t="n">
        <v>0.0374620669985186</v>
      </c>
      <c r="P187" s="4" t="n">
        <v>0.01536348446659686</v>
      </c>
      <c r="Q187" s="19" t="n">
        <v>16563931</v>
      </c>
      <c r="R187" s="19" t="n">
        <v>1694418.2021095</v>
      </c>
      <c r="S187" s="4" t="n">
        <v>0.03</v>
      </c>
      <c r="T187" s="4" t="n">
        <v>0</v>
      </c>
      <c r="U187" s="16" t="n">
        <v>2.652559555943732</v>
      </c>
      <c r="V187" s="16" t="n">
        <v>0.74231782265145</v>
      </c>
      <c r="W187" s="4" t="n">
        <v>-0.08330751525610258</v>
      </c>
      <c r="X187" s="4" t="n">
        <v>0.001844219350331855</v>
      </c>
      <c r="Y187" s="4" t="n">
        <v>-0.0001114185918761335</v>
      </c>
      <c r="Z187" s="4" t="n">
        <v>-0.003698735107982465</v>
      </c>
      <c r="AA187" s="4" t="n">
        <v>0.03</v>
      </c>
      <c r="AB187" s="4" t="n">
        <v>0.05</v>
      </c>
      <c r="AC187" s="4">
        <f>(AB187+2*參數!$B$7)/(AA187+AB187)</f>
        <v/>
      </c>
    </row>
    <row r="188">
      <c r="A188" s="2" t="n">
        <v>187</v>
      </c>
      <c r="B188" s="2" t="inlineStr">
        <is>
          <t>UAI_USDT_PERP</t>
        </is>
      </c>
      <c r="C188" s="2" t="inlineStr">
        <is>
          <t>做多</t>
        </is>
      </c>
      <c r="D188" s="7" t="n">
        <v>46277.625</v>
      </c>
      <c r="E188" s="17" t="n">
        <v>0.6982</v>
      </c>
      <c r="F188" s="17" t="n">
        <v>0.7191460000000001</v>
      </c>
      <c r="G188" s="17" t="n">
        <v>0.66329</v>
      </c>
      <c r="H188" s="7" t="n">
        <v>46277.66666666666</v>
      </c>
      <c r="I188" s="17" t="n">
        <v>0.7191460000000001</v>
      </c>
      <c r="J188" s="2" t="inlineStr">
        <is>
          <t>止盈</t>
        </is>
      </c>
      <c r="K188" s="5">
        <f>(H188-D188)*24</f>
        <v/>
      </c>
      <c r="L188" s="4">
        <f>IF(C188="做多",I188/E188-1,1-I188/E188)-2*參數!$B$7</f>
        <v/>
      </c>
      <c r="M188" s="2" t="inlineStr"/>
      <c r="N188" s="4" t="n">
        <v>0.07069467873025603</v>
      </c>
      <c r="O188" s="4" t="n">
        <v>0.04655508252481794</v>
      </c>
      <c r="P188" s="4" t="n">
        <v>0.05840799187472534</v>
      </c>
      <c r="Q188" s="19" t="n">
        <v>12818</v>
      </c>
      <c r="R188" s="19" t="n">
        <v>1384633.5535</v>
      </c>
      <c r="S188" s="4" t="n">
        <v>0.03</v>
      </c>
      <c r="T188" s="4" t="n">
        <v>0</v>
      </c>
      <c r="U188" s="16" t="n">
        <v>3.50905131059224</v>
      </c>
      <c r="V188" s="16" t="n">
        <v>0.579800498753118</v>
      </c>
      <c r="W188" s="4" t="n">
        <v>0.002663909412719434</v>
      </c>
      <c r="X188" s="4" t="n">
        <v>0.1590305444887119</v>
      </c>
      <c r="Y188" s="4" t="n">
        <v>0.001065073116880644</v>
      </c>
      <c r="Z188" s="4" t="n">
        <v>-0.002830626471078013</v>
      </c>
      <c r="AA188" s="4" t="n">
        <v>0.03</v>
      </c>
      <c r="AB188" s="4" t="n">
        <v>0.05</v>
      </c>
      <c r="AC188" s="4">
        <f>(AB188+2*參數!$B$7)/(AA188+AB188)</f>
        <v/>
      </c>
    </row>
    <row r="189">
      <c r="A189" s="2" t="n">
        <v>188</v>
      </c>
      <c r="B189" s="2" t="inlineStr">
        <is>
          <t>MET_USDT_PERP</t>
        </is>
      </c>
      <c r="C189" s="2" t="inlineStr">
        <is>
          <t>做空</t>
        </is>
      </c>
      <c r="D189" s="7" t="n">
        <v>46277.79166666666</v>
      </c>
      <c r="E189" s="17" t="n">
        <v>0.2336</v>
      </c>
      <c r="F189" s="17" t="n">
        <v>0.226592</v>
      </c>
      <c r="G189" s="17" t="n">
        <v>0.24528</v>
      </c>
      <c r="H189" s="7" t="n">
        <v>46277.875</v>
      </c>
      <c r="I189" s="17" t="n">
        <v>0.24528</v>
      </c>
      <c r="J189" s="2" t="inlineStr">
        <is>
          <t>止損</t>
        </is>
      </c>
      <c r="K189" s="5">
        <f>(H189-D189)*24</f>
        <v/>
      </c>
      <c r="L189" s="4">
        <f>IF(C189="做多",I189/E189-1,1-I189/E189)-2*參數!$B$7</f>
        <v/>
      </c>
      <c r="M189" s="2" t="inlineStr"/>
      <c r="N189" s="4" t="n">
        <v>-0.02095557418273264</v>
      </c>
      <c r="O189" s="4" t="n">
        <v>0.03877717093502898</v>
      </c>
      <c r="P189" s="4" t="n">
        <v>-0.03339264286009846</v>
      </c>
      <c r="Q189" s="19" t="n">
        <v>-754680</v>
      </c>
      <c r="R189" s="19" t="n">
        <v>2069443.1059</v>
      </c>
      <c r="S189" s="4" t="n">
        <v>0</v>
      </c>
      <c r="T189" s="4" t="n">
        <v>0.05</v>
      </c>
      <c r="U189" s="16" t="n">
        <v>0.7686133324907366</v>
      </c>
      <c r="V189" s="16" t="n">
        <v>0.9684210526315794</v>
      </c>
      <c r="W189" s="4" t="n">
        <v>-0.07733672768192745</v>
      </c>
      <c r="X189" s="4" t="n">
        <v>0.08998831320607703</v>
      </c>
      <c r="Y189" s="4" t="n">
        <v>0.000275478530781248</v>
      </c>
      <c r="Z189" s="4" t="n">
        <v>-0.0001187741882728854</v>
      </c>
      <c r="AA189" s="4" t="n">
        <v>0.03</v>
      </c>
      <c r="AB189" s="4" t="n">
        <v>0.05</v>
      </c>
      <c r="AC189" s="4">
        <f>(AB189+2*參數!$B$7)/(AA189+AB189)</f>
        <v/>
      </c>
    </row>
    <row r="190">
      <c r="A190" s="2" t="n">
        <v>189</v>
      </c>
      <c r="B190" s="2" t="inlineStr">
        <is>
          <t>牛来_USDT_PERP</t>
        </is>
      </c>
      <c r="C190" s="2" t="inlineStr">
        <is>
          <t>做空</t>
        </is>
      </c>
      <c r="D190" s="7" t="n">
        <v>46277.79166666666</v>
      </c>
      <c r="E190" s="17" t="n">
        <v>0.12973</v>
      </c>
      <c r="F190" s="17" t="n">
        <v>0.1258381</v>
      </c>
      <c r="G190" s="17" t="n">
        <v>0.1362165</v>
      </c>
      <c r="H190" s="7" t="n">
        <v>46277.875</v>
      </c>
      <c r="I190" s="17" t="n">
        <v>0.1362165</v>
      </c>
      <c r="J190" s="2" t="inlineStr">
        <is>
          <t>止損</t>
        </is>
      </c>
      <c r="K190" s="5">
        <f>(H190-D190)*24</f>
        <v/>
      </c>
      <c r="L190" s="4">
        <f>IF(C190="做多",I190/E190-1,1-I190/E190)-2*參數!$B$7</f>
        <v/>
      </c>
      <c r="M190" s="2" t="inlineStr"/>
      <c r="N190" s="4" t="n">
        <v>-0.02853077729519227</v>
      </c>
      <c r="O190" s="4" t="n">
        <v>0.07625963057504956</v>
      </c>
      <c r="P190" s="4" t="n">
        <v>-0.0004815378392433178</v>
      </c>
      <c r="Q190" s="19" t="n">
        <v>-4150037</v>
      </c>
      <c r="R190" s="19" t="n">
        <v>5480909.43373</v>
      </c>
      <c r="S190" s="4" t="n">
        <v>0.009095814383720091</v>
      </c>
      <c r="T190" s="4" t="n">
        <v>0.05</v>
      </c>
      <c r="U190" s="16" t="n">
        <v>0.735717001345907</v>
      </c>
      <c r="V190" s="16" t="n">
        <v>0.601837672281774</v>
      </c>
      <c r="W190" s="4" t="n">
        <v>-0.2125352951237818</v>
      </c>
      <c r="X190" s="4" t="n">
        <v>0.1314855727388364</v>
      </c>
      <c r="Y190" s="4" t="n">
        <v>0.000275478530781248</v>
      </c>
      <c r="Z190" s="4" t="n">
        <v>-0.0001187741882728854</v>
      </c>
      <c r="AA190" s="4" t="n">
        <v>0.03</v>
      </c>
      <c r="AB190" s="4" t="n">
        <v>0.05</v>
      </c>
      <c r="AC190" s="4">
        <f>(AB190+2*參數!$B$7)/(AA190+AB190)</f>
        <v/>
      </c>
    </row>
    <row r="191">
      <c r="A191" s="2" t="n">
        <v>190</v>
      </c>
      <c r="B191" s="2" t="inlineStr">
        <is>
          <t>LAB_USDT_PERP</t>
        </is>
      </c>
      <c r="C191" s="2" t="inlineStr">
        <is>
          <t>做多</t>
        </is>
      </c>
      <c r="D191" s="7" t="n">
        <v>46277.875</v>
      </c>
      <c r="E191" s="17" t="n">
        <v>0.07699</v>
      </c>
      <c r="F191" s="17" t="n">
        <v>0.0792997</v>
      </c>
      <c r="G191" s="17" t="n">
        <v>0.0731405</v>
      </c>
      <c r="H191" s="7" t="n">
        <v>46277.95833333334</v>
      </c>
      <c r="I191" s="17" t="n">
        <v>0.0731405</v>
      </c>
      <c r="J191" s="2" t="inlineStr">
        <is>
          <t>止損</t>
        </is>
      </c>
      <c r="K191" s="5">
        <f>(H191-D191)*24</f>
        <v/>
      </c>
      <c r="L191" s="4">
        <f>IF(C191="做多",I191/E191-1,1-I191/E191)-2*參數!$B$7</f>
        <v/>
      </c>
      <c r="M191" s="2" t="inlineStr"/>
      <c r="N191" s="4" t="n">
        <v>0.03342281879194631</v>
      </c>
      <c r="O191" s="4" t="n">
        <v>0.07366692562586681</v>
      </c>
      <c r="P191" s="4" t="n">
        <v>0.007920403220527783</v>
      </c>
      <c r="Q191" s="19" t="n">
        <v>34368837</v>
      </c>
      <c r="R191" s="19" t="n">
        <v>6857670.1932</v>
      </c>
      <c r="S191" s="4" t="n">
        <v>0.007793219898688086</v>
      </c>
      <c r="T191" s="4" t="n">
        <v>0.05</v>
      </c>
      <c r="U191" s="16" t="n">
        <v>0.8291217446110898</v>
      </c>
      <c r="V191" s="16" t="n">
        <v>0.7493540051679589</v>
      </c>
      <c r="W191" s="4" t="n">
        <v>0.2474137106952885</v>
      </c>
      <c r="X191" s="4" t="n">
        <v>0.3924760354494485</v>
      </c>
      <c r="Y191" s="4" t="n">
        <v>-0.0003776312947710858</v>
      </c>
      <c r="Z191" s="4" t="n">
        <v>0.0006844719125065346</v>
      </c>
      <c r="AA191" s="4" t="n">
        <v>0.03</v>
      </c>
      <c r="AB191" s="4" t="n">
        <v>0.05</v>
      </c>
      <c r="AC191" s="4">
        <f>(AB191+2*參數!$B$7)/(AA191+AB191)</f>
        <v/>
      </c>
    </row>
    <row r="192">
      <c r="A192" s="2" t="n">
        <v>191</v>
      </c>
      <c r="B192" s="2" t="inlineStr">
        <is>
          <t>牛来_USDT_PERP</t>
        </is>
      </c>
      <c r="C192" s="2" t="inlineStr">
        <is>
          <t>做多</t>
        </is>
      </c>
      <c r="D192" s="7" t="n">
        <v>46278</v>
      </c>
      <c r="E192" s="17" t="n">
        <v>0.13578</v>
      </c>
      <c r="F192" s="17" t="n">
        <v>0.1398534</v>
      </c>
      <c r="G192" s="17" t="n">
        <v>0.128991</v>
      </c>
      <c r="H192" s="7" t="n">
        <v>46278.08333333334</v>
      </c>
      <c r="I192" s="17" t="n">
        <v>0.128991</v>
      </c>
      <c r="J192" s="2" t="inlineStr">
        <is>
          <t>止損</t>
        </is>
      </c>
      <c r="K192" s="5">
        <f>(H192-D192)*24</f>
        <v/>
      </c>
      <c r="L192" s="4">
        <f>IF(C192="做多",I192/E192-1,1-I192/E192)-2*參數!$B$7</f>
        <v/>
      </c>
      <c r="M192" s="2" t="inlineStr"/>
      <c r="N192" s="4" t="n">
        <v>0.02630385487528364</v>
      </c>
      <c r="O192" s="4" t="n">
        <v>0.0656380056310801</v>
      </c>
      <c r="P192" s="4" t="n">
        <v>0.03692389934705442</v>
      </c>
      <c r="Q192" s="19" t="n">
        <v>2052353</v>
      </c>
      <c r="R192" s="19" t="n">
        <v>3011155.14336</v>
      </c>
      <c r="S192" s="4" t="n">
        <v>0.01119457946678448</v>
      </c>
      <c r="T192" s="4" t="n">
        <v>0.05</v>
      </c>
      <c r="U192" s="16" t="n">
        <v>0.4313868219392165</v>
      </c>
      <c r="V192" s="16" t="n">
        <v>0.8737270875763784</v>
      </c>
      <c r="W192" s="4" t="n">
        <v>0.2422826234139808</v>
      </c>
      <c r="X192" s="4" t="n">
        <v>-0.03256145350908435</v>
      </c>
      <c r="Y192" s="4" t="n">
        <v>-0.001068111135219985</v>
      </c>
      <c r="Z192" s="4" t="n">
        <v>0.001094822274368523</v>
      </c>
      <c r="AA192" s="4" t="n">
        <v>0.03</v>
      </c>
      <c r="AB192" s="4" t="n">
        <v>0.05</v>
      </c>
      <c r="AC192" s="4">
        <f>(AB192+2*參數!$B$7)/(AA192+AB192)</f>
        <v/>
      </c>
    </row>
    <row r="193">
      <c r="A193" s="2" t="n">
        <v>192</v>
      </c>
      <c r="B193" s="2" t="inlineStr">
        <is>
          <t>MARSCOIN_USDT_PERP</t>
        </is>
      </c>
      <c r="C193" s="2" t="inlineStr">
        <is>
          <t>做空</t>
        </is>
      </c>
      <c r="D193" s="7" t="n">
        <v>46278.04166666666</v>
      </c>
      <c r="E193" s="17" t="n">
        <v>0.11779</v>
      </c>
      <c r="F193" s="17" t="n">
        <v>0.1142563</v>
      </c>
      <c r="G193" s="17" t="n">
        <v>0.1236795</v>
      </c>
      <c r="H193" s="7" t="n">
        <v>46278.45833333334</v>
      </c>
      <c r="I193" s="17" t="n">
        <v>0.1236795</v>
      </c>
      <c r="J193" s="2" t="inlineStr">
        <is>
          <t>止損</t>
        </is>
      </c>
      <c r="K193" s="5">
        <f>(H193-D193)*24</f>
        <v/>
      </c>
      <c r="L193" s="4">
        <f>IF(C193="做多",I193/E193-1,1-I193/E193)-2*參數!$B$7</f>
        <v/>
      </c>
      <c r="M193" s="2" t="inlineStr"/>
      <c r="N193" s="4" t="n">
        <v>-0.02636799470986939</v>
      </c>
      <c r="O193" s="4" t="n">
        <v>0.03725001851709079</v>
      </c>
      <c r="P193" s="4" t="n">
        <v>-0.003574072115892779</v>
      </c>
      <c r="Q193" s="19" t="n">
        <v>-5714544</v>
      </c>
      <c r="R193" s="19" t="n">
        <v>1817018.29532</v>
      </c>
      <c r="S193" s="4" t="n">
        <v>0.02385601494184575</v>
      </c>
      <c r="T193" s="4" t="n">
        <v>0.05</v>
      </c>
      <c r="U193" s="16" t="n">
        <v>2.875093831728709</v>
      </c>
      <c r="V193" s="16" t="n">
        <v>0.7025495750708207</v>
      </c>
      <c r="W193" s="4" t="n">
        <v>0.02972362073964741</v>
      </c>
      <c r="X193" s="4" t="n">
        <v>0.07215439149271363</v>
      </c>
      <c r="Y193" s="4" t="n">
        <v>0.0002275557026621966</v>
      </c>
      <c r="Z193" s="4" t="n">
        <v>-0.0008473267143092045</v>
      </c>
      <c r="AA193" s="4" t="n">
        <v>0.03</v>
      </c>
      <c r="AB193" s="4" t="n">
        <v>0.05</v>
      </c>
      <c r="AC193" s="4">
        <f>(AB193+2*參數!$B$7)/(AA193+AB193)</f>
        <v/>
      </c>
    </row>
    <row r="194">
      <c r="A194" s="2" t="n">
        <v>193</v>
      </c>
      <c r="B194" s="2" t="inlineStr">
        <is>
          <t>PONS_USDT_PERP</t>
        </is>
      </c>
      <c r="C194" s="2" t="inlineStr">
        <is>
          <t>做空</t>
        </is>
      </c>
      <c r="D194" s="7" t="n">
        <v>46278.04166666666</v>
      </c>
      <c r="E194" s="17" t="n">
        <v>0.6118</v>
      </c>
      <c r="F194" s="17" t="n">
        <v>0.593446</v>
      </c>
      <c r="G194" s="17" t="n">
        <v>0.64239</v>
      </c>
      <c r="H194" s="7" t="n">
        <v>46278.125</v>
      </c>
      <c r="I194" s="17" t="n">
        <v>0.593446</v>
      </c>
      <c r="J194" s="2" t="inlineStr">
        <is>
          <t>止盈</t>
        </is>
      </c>
      <c r="K194" s="5">
        <f>(H194-D194)*24</f>
        <v/>
      </c>
      <c r="L194" s="4">
        <f>IF(C194="做多",I194/E194-1,1-I194/E194)-2*參數!$B$7</f>
        <v/>
      </c>
      <c r="M194" s="2" t="inlineStr"/>
      <c r="N194" s="4" t="n">
        <v>-0.02595128164305049</v>
      </c>
      <c r="O194" s="4" t="n">
        <v>0.03563079245954242</v>
      </c>
      <c r="P194" s="4" t="n">
        <v>-0.007985731079492409</v>
      </c>
      <c r="Q194" s="19" t="n">
        <v>-482055</v>
      </c>
      <c r="R194" s="19" t="n">
        <v>2443822.4458</v>
      </c>
      <c r="S194" s="4" t="n">
        <v>0.03</v>
      </c>
      <c r="T194" s="4" t="n">
        <v>0.003269042170644054</v>
      </c>
      <c r="U194" s="16" t="n">
        <v>0.7277946313631973</v>
      </c>
      <c r="V194" s="16" t="n">
        <v>0.9458128078817738</v>
      </c>
      <c r="W194" s="4" t="n">
        <v>0.07782699986283459</v>
      </c>
      <c r="X194" s="4" t="n">
        <v>-0.005588428665351586</v>
      </c>
      <c r="Y194" s="4" t="n">
        <v>0.0002275557026621966</v>
      </c>
      <c r="Z194" s="4" t="n">
        <v>-0.0008473267143092045</v>
      </c>
      <c r="AA194" s="4" t="n">
        <v>0.03</v>
      </c>
      <c r="AB194" s="4" t="n">
        <v>0.05</v>
      </c>
      <c r="AC194" s="4">
        <f>(AB194+2*參數!$B$7)/(AA194+AB194)</f>
        <v/>
      </c>
    </row>
    <row r="195">
      <c r="A195" s="2" t="n">
        <v>194</v>
      </c>
      <c r="B195" s="2" t="inlineStr">
        <is>
          <t>RIVER_USDT_PERP</t>
        </is>
      </c>
      <c r="C195" s="2" t="inlineStr">
        <is>
          <t>做多</t>
        </is>
      </c>
      <c r="D195" s="7" t="n">
        <v>46278.08333333334</v>
      </c>
      <c r="E195" s="17" t="n">
        <v>1.412</v>
      </c>
      <c r="F195" s="17" t="n">
        <v>1.45436</v>
      </c>
      <c r="G195" s="17" t="n">
        <v>1.3414</v>
      </c>
      <c r="H195" s="7" t="n">
        <v>46278.125</v>
      </c>
      <c r="I195" s="17" t="n">
        <v>1.45436</v>
      </c>
      <c r="J195" s="2" t="inlineStr">
        <is>
          <t>止盈</t>
        </is>
      </c>
      <c r="K195" s="5">
        <f>(H195-D195)*24</f>
        <v/>
      </c>
      <c r="L195" s="4">
        <f>IF(C195="做多",I195/E195-1,1-I195/E195)-2*參數!$B$7</f>
        <v/>
      </c>
      <c r="M195" s="2" t="inlineStr"/>
      <c r="N195" s="4" t="n">
        <v>0.06485671191553544</v>
      </c>
      <c r="O195" s="4" t="n">
        <v>0.0402440441641955</v>
      </c>
      <c r="P195" s="4" t="n">
        <v>0.05724233461869632</v>
      </c>
      <c r="Q195" s="19" t="n">
        <v>358363.9</v>
      </c>
      <c r="R195" s="19" t="n">
        <v>2323206.5163</v>
      </c>
      <c r="S195" s="4" t="n">
        <v>0.03</v>
      </c>
      <c r="T195" s="4" t="n">
        <v>0</v>
      </c>
      <c r="U195" s="16" t="n">
        <v>1.628344958438214</v>
      </c>
      <c r="V195" s="16" t="n">
        <v>0.9374999999999999</v>
      </c>
      <c r="W195" s="4" t="n">
        <v>0.1756477719309932</v>
      </c>
      <c r="X195" s="4" t="n">
        <v>0.1489015459723351</v>
      </c>
      <c r="Y195" s="4" t="n">
        <v>-0.001973460448671305</v>
      </c>
      <c r="Z195" s="4" t="n">
        <v>-0.001188114198741208</v>
      </c>
      <c r="AA195" s="4" t="n">
        <v>0.03</v>
      </c>
      <c r="AB195" s="4" t="n">
        <v>0.05</v>
      </c>
      <c r="AC195" s="4">
        <f>(AB195+2*參數!$B$7)/(AA195+AB195)</f>
        <v/>
      </c>
    </row>
    <row r="196">
      <c r="A196" s="2" t="n">
        <v>195</v>
      </c>
      <c r="B196" s="2" t="inlineStr">
        <is>
          <t>USELESS_USDT_PERP</t>
        </is>
      </c>
      <c r="C196" s="2" t="inlineStr">
        <is>
          <t>做多</t>
        </is>
      </c>
      <c r="D196" s="7" t="n">
        <v>46278.08333333334</v>
      </c>
      <c r="E196" s="17" t="n">
        <v>0.23269</v>
      </c>
      <c r="F196" s="17" t="n">
        <v>0.2396707</v>
      </c>
      <c r="G196" s="17" t="n">
        <v>0.2210555</v>
      </c>
      <c r="H196" s="7" t="n">
        <v>46278.5</v>
      </c>
      <c r="I196" s="17" t="n">
        <v>0.2396707</v>
      </c>
      <c r="J196" s="2" t="inlineStr">
        <is>
          <t>止盈</t>
        </is>
      </c>
      <c r="K196" s="5">
        <f>(H196-D196)*24</f>
        <v/>
      </c>
      <c r="L196" s="4">
        <f>IF(C196="做多",I196/E196-1,1-I196/E196)-2*參數!$B$7</f>
        <v/>
      </c>
      <c r="M196" s="2" t="inlineStr"/>
      <c r="N196" s="4" t="n">
        <v>0.02110760049148674</v>
      </c>
      <c r="O196" s="4" t="n">
        <v>0.03676124996549265</v>
      </c>
      <c r="P196" s="4" t="n">
        <v>0.02226947425764747</v>
      </c>
      <c r="Q196" s="19" t="n">
        <v>1450242</v>
      </c>
      <c r="R196" s="19" t="n">
        <v>3111990.00034</v>
      </c>
      <c r="S196" s="4" t="n">
        <v>0.03</v>
      </c>
      <c r="T196" s="4" t="n">
        <v>0.0336928961278955</v>
      </c>
      <c r="U196" s="16" t="n">
        <v>0.3783995304245745</v>
      </c>
      <c r="V196" s="16" t="n">
        <v>0.8534201954397415</v>
      </c>
      <c r="W196" s="4" t="n">
        <v>-0.06779246814453488</v>
      </c>
      <c r="X196" s="4" t="n">
        <v>-0.02652386729699197</v>
      </c>
      <c r="Y196" s="4" t="n">
        <v>-0.001973460448671305</v>
      </c>
      <c r="Z196" s="4" t="n">
        <v>-0.001188114198741208</v>
      </c>
      <c r="AA196" s="4" t="n">
        <v>0.03</v>
      </c>
      <c r="AB196" s="4" t="n">
        <v>0.05</v>
      </c>
      <c r="AC196" s="4">
        <f>(AB196+2*參數!$B$7)/(AA196+AB196)</f>
        <v/>
      </c>
    </row>
    <row r="197">
      <c r="A197" s="2" t="n">
        <v>196</v>
      </c>
      <c r="B197" s="2" t="inlineStr">
        <is>
          <t>VVV_USDT_PERP</t>
        </is>
      </c>
      <c r="C197" s="2" t="inlineStr">
        <is>
          <t>做多</t>
        </is>
      </c>
      <c r="D197" s="7" t="n">
        <v>46278.20833333334</v>
      </c>
      <c r="E197" s="17" t="n">
        <v>23.956</v>
      </c>
      <c r="F197" s="17" t="n">
        <v>24.67468</v>
      </c>
      <c r="G197" s="17" t="n">
        <v>22.7582</v>
      </c>
      <c r="H197" s="7" t="n">
        <v>46278.29166666666</v>
      </c>
      <c r="I197" s="17" t="n">
        <v>24.67468</v>
      </c>
      <c r="J197" s="2" t="inlineStr">
        <is>
          <t>止盈</t>
        </is>
      </c>
      <c r="K197" s="5">
        <f>(H197-D197)*24</f>
        <v/>
      </c>
      <c r="L197" s="4">
        <f>IF(C197="做多",I197/E197-1,1-I197/E197)-2*參數!$B$7</f>
        <v/>
      </c>
      <c r="M197" s="2" t="inlineStr"/>
      <c r="N197" s="4" t="n">
        <v>0.02319224362533623</v>
      </c>
      <c r="O197" s="4" t="n">
        <v>0.02012515049149717</v>
      </c>
      <c r="P197" s="4" t="n">
        <v>0.02280781152601419</v>
      </c>
      <c r="Q197" s="19" t="n">
        <v>19198.86</v>
      </c>
      <c r="R197" s="19" t="n">
        <v>2454827.49017</v>
      </c>
      <c r="S197" s="4" t="n">
        <v>0.03</v>
      </c>
      <c r="T197" s="4" t="n">
        <v>0.004550008348639056</v>
      </c>
      <c r="U197" s="16" t="n">
        <v>2.355414085223603</v>
      </c>
      <c r="V197" s="16" t="n">
        <v>0.732620320855615</v>
      </c>
      <c r="W197" s="4" t="n">
        <v>-0.01346377333222426</v>
      </c>
      <c r="X197" s="4" t="n">
        <v>-0.00897695776279317</v>
      </c>
      <c r="Y197" s="4" t="n">
        <v>0.00058507526195406</v>
      </c>
      <c r="Z197" s="4" t="n">
        <v>-0.001610280944836395</v>
      </c>
      <c r="AA197" s="4" t="n">
        <v>0.03</v>
      </c>
      <c r="AB197" s="4" t="n">
        <v>0.05</v>
      </c>
      <c r="AC197" s="4">
        <f>(AB197+2*參數!$B$7)/(AA197+AB197)</f>
        <v/>
      </c>
    </row>
    <row r="198">
      <c r="A198" s="2" t="n">
        <v>197</v>
      </c>
      <c r="B198" s="2" t="inlineStr">
        <is>
          <t>AKE_USDT_PERP</t>
        </is>
      </c>
      <c r="C198" s="2" t="inlineStr">
        <is>
          <t>做多</t>
        </is>
      </c>
      <c r="D198" s="7" t="n">
        <v>46278.45833333334</v>
      </c>
      <c r="E198" s="17" t="n">
        <v>0.0164847</v>
      </c>
      <c r="F198" s="17" t="n">
        <v>0.016979241</v>
      </c>
      <c r="G198" s="17" t="n">
        <v>0.015660465</v>
      </c>
      <c r="H198" s="7" t="n">
        <v>46278.58333333334</v>
      </c>
      <c r="I198" s="17" t="n">
        <v>0.015660465</v>
      </c>
      <c r="J198" s="2" t="inlineStr">
        <is>
          <t>止損</t>
        </is>
      </c>
      <c r="K198" s="5">
        <f>(H198-D198)*24</f>
        <v/>
      </c>
      <c r="L198" s="4">
        <f>IF(C198="做多",I198/E198-1,1-I198/E198)-2*參數!$B$7</f>
        <v/>
      </c>
      <c r="M198" s="2" t="inlineStr"/>
      <c r="N198" s="4" t="n">
        <v>0.03530852567122023</v>
      </c>
      <c r="O198" s="4" t="n">
        <v>0.03066412929037533</v>
      </c>
      <c r="P198" s="4" t="n">
        <v>0.05175916860704954</v>
      </c>
      <c r="Q198" s="19" t="n">
        <v>16627395</v>
      </c>
      <c r="R198" s="19" t="n">
        <v>1279492.2116761</v>
      </c>
      <c r="S198" s="4" t="n">
        <v>0.006266416737944702</v>
      </c>
      <c r="T198" s="4" t="n">
        <v>0.05</v>
      </c>
      <c r="U198" s="16" t="n">
        <v>1.16641888456675</v>
      </c>
      <c r="V198" s="16" t="n">
        <v>0.9319167389418938</v>
      </c>
      <c r="W198" s="4" t="n">
        <v>0.08557267091363707</v>
      </c>
      <c r="X198" s="4" t="n">
        <v>0.1904029462738304</v>
      </c>
      <c r="Y198" s="4" t="n">
        <v>-0.0002807767553076879</v>
      </c>
      <c r="Z198" s="4" t="n">
        <v>6.931272133070543e-05</v>
      </c>
      <c r="AA198" s="4" t="n">
        <v>0.03</v>
      </c>
      <c r="AB198" s="4" t="n">
        <v>0.05</v>
      </c>
      <c r="AC198" s="4">
        <f>(AB198+2*參數!$B$7)/(AA198+AB198)</f>
        <v/>
      </c>
    </row>
    <row r="199">
      <c r="A199" s="2" t="n">
        <v>198</v>
      </c>
      <c r="B199" s="2" t="inlineStr">
        <is>
          <t>PONS_USDT_PERP</t>
        </is>
      </c>
      <c r="C199" s="2" t="inlineStr">
        <is>
          <t>做空</t>
        </is>
      </c>
      <c r="D199" s="7" t="n">
        <v>46278.45833333334</v>
      </c>
      <c r="E199" s="17" t="n">
        <v>0.5901999999999999</v>
      </c>
      <c r="F199" s="17" t="n">
        <v>0.5724939999999999</v>
      </c>
      <c r="G199" s="17" t="n">
        <v>0.61971</v>
      </c>
      <c r="H199" s="7" t="n">
        <v>46278.625</v>
      </c>
      <c r="I199" s="17" t="n">
        <v>0.5724939999999999</v>
      </c>
      <c r="J199" s="2" t="inlineStr">
        <is>
          <t>止盈</t>
        </is>
      </c>
      <c r="K199" s="5">
        <f>(H199-D199)*24</f>
        <v/>
      </c>
      <c r="L199" s="4">
        <f>IF(C199="做多",I199/E199-1,1-I199/E199)-2*參數!$B$7</f>
        <v/>
      </c>
      <c r="M199" s="2" t="inlineStr"/>
      <c r="N199" s="4" t="n">
        <v>-0.0218760357971497</v>
      </c>
      <c r="O199" s="4" t="n">
        <v>0.03203661733508664</v>
      </c>
      <c r="P199" s="4" t="n">
        <v>-0.04098014364174085</v>
      </c>
      <c r="Q199" s="19" t="n">
        <v>-538336</v>
      </c>
      <c r="R199" s="19" t="n">
        <v>1769968.569</v>
      </c>
      <c r="S199" s="4" t="n">
        <v>0.03</v>
      </c>
      <c r="T199" s="4" t="n">
        <v>0.01745171128431044</v>
      </c>
      <c r="U199" s="16" t="n">
        <v>0.684186904308496</v>
      </c>
      <c r="V199" s="16" t="n">
        <v>0.9259259259259283</v>
      </c>
      <c r="W199" s="4" t="n">
        <v>0.08181092648108945</v>
      </c>
      <c r="X199" s="4" t="n">
        <v>0.008733624454148603</v>
      </c>
      <c r="Y199" s="4" t="n">
        <v>0.0002807767553076879</v>
      </c>
      <c r="Z199" s="4" t="n">
        <v>-6.931272133070543e-05</v>
      </c>
      <c r="AA199" s="4" t="n">
        <v>0.03</v>
      </c>
      <c r="AB199" s="4" t="n">
        <v>0.05</v>
      </c>
      <c r="AC199" s="4">
        <f>(AB199+2*參數!$B$7)/(AA199+AB199)</f>
        <v/>
      </c>
    </row>
    <row r="200">
      <c r="A200" s="2" t="n">
        <v>199</v>
      </c>
      <c r="B200" s="2" t="inlineStr">
        <is>
          <t>MARSCOIN_USDT_PERP</t>
        </is>
      </c>
      <c r="C200" s="2" t="inlineStr">
        <is>
          <t>做空</t>
        </is>
      </c>
      <c r="D200" s="7" t="n">
        <v>46278.5</v>
      </c>
      <c r="E200" s="17" t="n">
        <v>0.11416</v>
      </c>
      <c r="F200" s="17" t="n">
        <v>0.1107352</v>
      </c>
      <c r="G200" s="17" t="n">
        <v>0.119868</v>
      </c>
      <c r="H200" s="7" t="n">
        <v>46278.625</v>
      </c>
      <c r="I200" s="17" t="n">
        <v>0.119868</v>
      </c>
      <c r="J200" s="2" t="inlineStr">
        <is>
          <t>止損</t>
        </is>
      </c>
      <c r="K200" s="5">
        <f>(H200-D200)*24</f>
        <v/>
      </c>
      <c r="L200" s="4">
        <f>IF(C200="做多",I200/E200-1,1-I200/E200)-2*參數!$B$7</f>
        <v/>
      </c>
      <c r="M200" s="2" t="inlineStr"/>
      <c r="N200" s="4" t="n">
        <v>-0.02718363868768636</v>
      </c>
      <c r="O200" s="4" t="n">
        <v>0.03723116438279655</v>
      </c>
      <c r="P200" s="4" t="n">
        <v>-0.04411025890076015</v>
      </c>
      <c r="Q200" s="19" t="n">
        <v>-2353397</v>
      </c>
      <c r="R200" s="19" t="n">
        <v>1260378.77313</v>
      </c>
      <c r="S200" s="4" t="n">
        <v>0.01673090399439381</v>
      </c>
      <c r="T200" s="4" t="n">
        <v>0.05</v>
      </c>
      <c r="U200" s="16" t="n">
        <v>0.6845291252500373</v>
      </c>
      <c r="V200" s="16" t="n">
        <v>0.7480314960629915</v>
      </c>
      <c r="W200" s="4" t="n">
        <v>0.04624492356842758</v>
      </c>
      <c r="X200" s="4" t="n">
        <v>-0.008658773634917738</v>
      </c>
      <c r="Y200" s="4" t="n">
        <v>0.001314973745824233</v>
      </c>
      <c r="Z200" s="4" t="n">
        <v>0.001197595179174393</v>
      </c>
      <c r="AA200" s="4" t="n">
        <v>0.03</v>
      </c>
      <c r="AB200" s="4" t="n">
        <v>0.05</v>
      </c>
      <c r="AC200" s="4">
        <f>(AB200+2*參數!$B$7)/(AA200+AB200)</f>
        <v/>
      </c>
    </row>
    <row r="201">
      <c r="A201" s="2" t="n">
        <v>200</v>
      </c>
      <c r="B201" s="2" t="inlineStr">
        <is>
          <t>RIVER_USDT_PERP</t>
        </is>
      </c>
      <c r="C201" s="2" t="inlineStr">
        <is>
          <t>做空</t>
        </is>
      </c>
      <c r="D201" s="7" t="n">
        <v>46278.5</v>
      </c>
      <c r="E201" s="17" t="n">
        <v>1.261</v>
      </c>
      <c r="F201" s="17" t="n">
        <v>1.22317</v>
      </c>
      <c r="G201" s="17" t="n">
        <v>1.32405</v>
      </c>
      <c r="H201" s="7" t="n">
        <v>46278.70833333334</v>
      </c>
      <c r="I201" s="17" t="n">
        <v>1.22317</v>
      </c>
      <c r="J201" s="2" t="inlineStr">
        <is>
          <t>止盈</t>
        </is>
      </c>
      <c r="K201" s="5">
        <f>(H201-D201)*24</f>
        <v/>
      </c>
      <c r="L201" s="4">
        <f>IF(C201="做多",I201/E201-1,1-I201/E201)-2*參數!$B$7</f>
        <v/>
      </c>
      <c r="M201" s="2" t="inlineStr"/>
      <c r="N201" s="4" t="n">
        <v>-0.03149001536098317</v>
      </c>
      <c r="O201" s="4" t="n">
        <v>0.04700685788213382</v>
      </c>
      <c r="P201" s="4" t="n">
        <v>-0.05684367988032912</v>
      </c>
      <c r="Q201" s="19" t="n">
        <v>-166098.5</v>
      </c>
      <c r="R201" s="19" t="n">
        <v>1633132.5949</v>
      </c>
      <c r="S201" s="4" t="n">
        <v>0.03</v>
      </c>
      <c r="T201" s="4" t="n">
        <v>0.04203013481364004</v>
      </c>
      <c r="U201" s="16" t="n">
        <v>2.452428134930138</v>
      </c>
      <c r="V201" s="16" t="n">
        <v>0.875</v>
      </c>
      <c r="W201" s="4" t="n">
        <v>-0.03967416397335244</v>
      </c>
      <c r="X201" s="4" t="n">
        <v>0.1181818181818182</v>
      </c>
      <c r="Y201" s="4" t="n">
        <v>0.001314973745824233</v>
      </c>
      <c r="Z201" s="4" t="n">
        <v>0.001197595179174393</v>
      </c>
      <c r="AA201" s="4" t="n">
        <v>0.03</v>
      </c>
      <c r="AB201" s="4" t="n">
        <v>0.05</v>
      </c>
      <c r="AC201" s="4">
        <f>(AB201+2*參數!$B$7)/(AA201+AB201)</f>
        <v/>
      </c>
    </row>
    <row r="202">
      <c r="A202" s="2" t="n">
        <v>201</v>
      </c>
      <c r="B202" s="2" t="inlineStr">
        <is>
          <t>PUMP_USDT_PERP</t>
        </is>
      </c>
      <c r="C202" s="2" t="inlineStr">
        <is>
          <t>做空</t>
        </is>
      </c>
      <c r="D202" s="7" t="n">
        <v>46278.625</v>
      </c>
      <c r="E202" s="17" t="n">
        <v>0.003747</v>
      </c>
      <c r="F202" s="17" t="n">
        <v>0.00363459</v>
      </c>
      <c r="G202" s="17" t="n">
        <v>0.00393435</v>
      </c>
      <c r="H202" s="7" t="n">
        <v>46278.75</v>
      </c>
      <c r="I202" s="17" t="n">
        <v>0.00363459</v>
      </c>
      <c r="J202" s="2" t="inlineStr">
        <is>
          <t>止盈</t>
        </is>
      </c>
      <c r="K202" s="5">
        <f>(H202-D202)*24</f>
        <v/>
      </c>
      <c r="L202" s="4">
        <f>IF(C202="做多",I202/E202-1,1-I202/E202)-2*參數!$B$7</f>
        <v/>
      </c>
      <c r="M202" s="2" t="inlineStr"/>
      <c r="N202" s="4" t="n">
        <v>-0.02371026576341839</v>
      </c>
      <c r="O202" s="4" t="n">
        <v>0.02110602954508002</v>
      </c>
      <c r="P202" s="4" t="n">
        <v>-0.00349720090953809</v>
      </c>
      <c r="Q202" s="19" t="n">
        <v>-41085587</v>
      </c>
      <c r="R202" s="19" t="n">
        <v>2666544.507709</v>
      </c>
      <c r="S202" s="4" t="n">
        <v>0.03</v>
      </c>
      <c r="T202" s="4" t="n">
        <v>0.004536962903656239</v>
      </c>
      <c r="U202" s="16" t="n">
        <v>0.823158869101001</v>
      </c>
      <c r="V202" s="16" t="n">
        <v>0.8260869565217388</v>
      </c>
      <c r="W202" s="4" t="n">
        <v>0.04097422890181679</v>
      </c>
      <c r="X202" s="4" t="n">
        <v>-0.05668358714043986</v>
      </c>
      <c r="Y202" s="4" t="n">
        <v>0.002569852498747971</v>
      </c>
      <c r="Z202" s="4" t="n">
        <v>0.00197611890247551</v>
      </c>
      <c r="AA202" s="4" t="n">
        <v>0.03</v>
      </c>
      <c r="AB202" s="4" t="n">
        <v>0.05</v>
      </c>
      <c r="AC202" s="4">
        <f>(AB202+2*參數!$B$7)/(AA202+AB202)</f>
        <v/>
      </c>
    </row>
    <row r="203">
      <c r="A203" s="2" t="n">
        <v>202</v>
      </c>
      <c r="B203" s="2" t="inlineStr">
        <is>
          <t>USELESS_USDT_PERP</t>
        </is>
      </c>
      <c r="C203" s="2" t="inlineStr">
        <is>
          <t>做空</t>
        </is>
      </c>
      <c r="D203" s="7" t="n">
        <v>46278.625</v>
      </c>
      <c r="E203" s="17" t="n">
        <v>0.22444</v>
      </c>
      <c r="F203" s="17" t="n">
        <v>0.2177068</v>
      </c>
      <c r="G203" s="17" t="n">
        <v>0.235662</v>
      </c>
      <c r="H203" s="7" t="n">
        <v>46278.83333333334</v>
      </c>
      <c r="I203" s="17" t="n">
        <v>0.2177068</v>
      </c>
      <c r="J203" s="2" t="inlineStr">
        <is>
          <t>止盈</t>
        </is>
      </c>
      <c r="K203" s="5">
        <f>(H203-D203)*24</f>
        <v/>
      </c>
      <c r="L203" s="4">
        <f>IF(C203="做多",I203/E203-1,1-I203/E203)-2*參數!$B$7</f>
        <v/>
      </c>
      <c r="M203" s="2" t="inlineStr"/>
      <c r="N203" s="4" t="n">
        <v>-0.02383437717466952</v>
      </c>
      <c r="O203" s="4" t="n">
        <v>0.0296493558421459</v>
      </c>
      <c r="P203" s="4" t="n">
        <v>-0.0325257397552865</v>
      </c>
      <c r="Q203" s="19" t="n">
        <v>-987624</v>
      </c>
      <c r="R203" s="19" t="n">
        <v>1943593.26169</v>
      </c>
      <c r="S203" s="4" t="n">
        <v>0.03</v>
      </c>
      <c r="T203" s="4" t="n">
        <v>0.03199073248975215</v>
      </c>
      <c r="U203" s="16" t="n">
        <v>1.125300022122543</v>
      </c>
      <c r="V203" s="16" t="n">
        <v>0.8199999999999997</v>
      </c>
      <c r="W203" s="4" t="n">
        <v>0.07342117474540155</v>
      </c>
      <c r="X203" s="4" t="n">
        <v>-0.009263422969691515</v>
      </c>
      <c r="Y203" s="4" t="n">
        <v>0.002569852498747971</v>
      </c>
      <c r="Z203" s="4" t="n">
        <v>0.00197611890247551</v>
      </c>
      <c r="AA203" s="4" t="n">
        <v>0.03</v>
      </c>
      <c r="AB203" s="4" t="n">
        <v>0.05</v>
      </c>
      <c r="AC203" s="4">
        <f>(AB203+2*參數!$B$7)/(AA203+AB203)</f>
        <v/>
      </c>
    </row>
    <row r="204">
      <c r="A204" s="2" t="n">
        <v>203</v>
      </c>
      <c r="B204" s="2" t="inlineStr">
        <is>
          <t>LAB_USDT_PERP</t>
        </is>
      </c>
      <c r="C204" s="2" t="inlineStr">
        <is>
          <t>做空</t>
        </is>
      </c>
      <c r="D204" s="7" t="n">
        <v>46278.70833333334</v>
      </c>
      <c r="E204" s="17" t="n">
        <v>0.06694</v>
      </c>
      <c r="F204" s="17" t="n">
        <v>0.0649318</v>
      </c>
      <c r="G204" s="17" t="n">
        <v>0.070287</v>
      </c>
      <c r="H204" s="7" t="n">
        <v>46278.875</v>
      </c>
      <c r="I204" s="17" t="n">
        <v>0.0649318</v>
      </c>
      <c r="J204" s="2" t="inlineStr">
        <is>
          <t>止盈</t>
        </is>
      </c>
      <c r="K204" s="5">
        <f>(H204-D204)*24</f>
        <v/>
      </c>
      <c r="L204" s="4">
        <f>IF(C204="做多",I204/E204-1,1-I204/E204)-2*參數!$B$7</f>
        <v/>
      </c>
      <c r="M204" s="2" t="inlineStr"/>
      <c r="N204" s="4" t="n">
        <v>-0.02163110201695406</v>
      </c>
      <c r="O204" s="4" t="n">
        <v>0.05683338164555901</v>
      </c>
      <c r="P204" s="4" t="n">
        <v>-0.02280938651874009</v>
      </c>
      <c r="Q204" s="19" t="n">
        <v>-12550292</v>
      </c>
      <c r="R204" s="19" t="n">
        <v>3660542.31503</v>
      </c>
      <c r="S204" s="4" t="n">
        <v>0.03</v>
      </c>
      <c r="T204" s="4" t="n">
        <v>0.01210038840752925</v>
      </c>
      <c r="U204" s="16" t="n">
        <v>0.6170410304977394</v>
      </c>
      <c r="V204" s="16" t="n">
        <v>0.870848708487084</v>
      </c>
      <c r="W204" s="4" t="n">
        <v>-0.08609589574517806</v>
      </c>
      <c r="X204" s="4" t="n">
        <v>0.08925170068027211</v>
      </c>
      <c r="Y204" s="4" t="n">
        <v>0.004148521748605805</v>
      </c>
      <c r="Z204" s="4" t="n">
        <v>0.005552773695665758</v>
      </c>
      <c r="AA204" s="4" t="n">
        <v>0.03</v>
      </c>
      <c r="AB204" s="4" t="n">
        <v>0.05</v>
      </c>
      <c r="AC204" s="4">
        <f>(AB204+2*參數!$B$7)/(AA204+AB204)</f>
        <v/>
      </c>
    </row>
    <row r="205">
      <c r="A205" s="2" t="n">
        <v>204</v>
      </c>
      <c r="B205" s="2" t="inlineStr">
        <is>
          <t>VVV_USDT_PERP</t>
        </is>
      </c>
      <c r="C205" s="2" t="inlineStr">
        <is>
          <t>做空</t>
        </is>
      </c>
      <c r="D205" s="7" t="n">
        <v>46278.70833333334</v>
      </c>
      <c r="E205" s="17" t="n">
        <v>22.673</v>
      </c>
      <c r="F205" s="17" t="n">
        <v>21.99281</v>
      </c>
      <c r="G205" s="17" t="n">
        <v>23.80665</v>
      </c>
      <c r="H205" s="7" t="n">
        <v>46278.91666666666</v>
      </c>
      <c r="I205" s="17" t="n">
        <v>21.99281</v>
      </c>
      <c r="J205" s="2" t="inlineStr">
        <is>
          <t>止盈</t>
        </is>
      </c>
      <c r="K205" s="5">
        <f>(H205-D205)*24</f>
        <v/>
      </c>
      <c r="L205" s="4">
        <f>IF(C205="做多",I205/E205-1,1-I205/E205)-2*參數!$B$7</f>
        <v/>
      </c>
      <c r="M205" s="2" t="inlineStr"/>
      <c r="N205" s="4" t="n">
        <v>-0.02309448920677326</v>
      </c>
      <c r="O205" s="4" t="n">
        <v>0.02184826900916101</v>
      </c>
      <c r="P205" s="4" t="n">
        <v>-0.04285072008882129</v>
      </c>
      <c r="Q205" s="19" t="n">
        <v>-7973.100000000006</v>
      </c>
      <c r="R205" s="19" t="n">
        <v>1862546.13313</v>
      </c>
      <c r="S205" s="4" t="n">
        <v>0.03</v>
      </c>
      <c r="T205" s="4" t="n">
        <v>0.0170246548758437</v>
      </c>
      <c r="U205" s="16" t="n">
        <v>1.542546484066931</v>
      </c>
      <c r="V205" s="16" t="n">
        <v>0.9434571890145451</v>
      </c>
      <c r="W205" s="4" t="n">
        <v>0.06339370140216238</v>
      </c>
      <c r="X205" s="4" t="n">
        <v>0.02254699086049328</v>
      </c>
      <c r="Y205" s="4" t="n">
        <v>0.004148521748605805</v>
      </c>
      <c r="Z205" s="4" t="n">
        <v>0.005552773695665758</v>
      </c>
      <c r="AA205" s="4" t="n">
        <v>0.03</v>
      </c>
      <c r="AB205" s="4" t="n">
        <v>0.05</v>
      </c>
      <c r="AC205" s="4">
        <f>(AB205+2*參數!$B$7)/(AA205+AB205)</f>
        <v/>
      </c>
    </row>
    <row r="206">
      <c r="A206" s="2" t="n">
        <v>205</v>
      </c>
      <c r="B206" s="2" t="inlineStr">
        <is>
          <t>牛来_USDT_PERP</t>
        </is>
      </c>
      <c r="C206" s="2" t="inlineStr">
        <is>
          <t>做空</t>
        </is>
      </c>
      <c r="D206" s="7" t="n">
        <v>46278.70833333334</v>
      </c>
      <c r="E206" s="17" t="n">
        <v>0.13497</v>
      </c>
      <c r="F206" s="17" t="n">
        <v>0.1309209</v>
      </c>
      <c r="G206" s="17" t="n">
        <v>0.1417185</v>
      </c>
      <c r="H206" s="7" t="n">
        <v>46278.75</v>
      </c>
      <c r="I206" s="17" t="n">
        <v>0.1309209</v>
      </c>
      <c r="J206" s="2" t="inlineStr">
        <is>
          <t>止盈</t>
        </is>
      </c>
      <c r="K206" s="5">
        <f>(H206-D206)*24</f>
        <v/>
      </c>
      <c r="L206" s="4">
        <f>IF(C206="做多",I206/E206-1,1-I206/E206)-2*參數!$B$7</f>
        <v/>
      </c>
      <c r="M206" s="2" t="inlineStr"/>
      <c r="N206" s="4" t="n">
        <v>-0.0527091521617068</v>
      </c>
      <c r="O206" s="4" t="n">
        <v>0.06786401863590003</v>
      </c>
      <c r="P206" s="4" t="n">
        <v>-0.00759906914160291</v>
      </c>
      <c r="Q206" s="19" t="n">
        <v>-4457033</v>
      </c>
      <c r="R206" s="19" t="n">
        <v>2751747.85932</v>
      </c>
      <c r="S206" s="4" t="n">
        <v>0.03</v>
      </c>
      <c r="T206" s="4" t="n">
        <v>0</v>
      </c>
      <c r="U206" s="16" t="n">
        <v>3.10622767745523</v>
      </c>
      <c r="V206" s="16" t="n">
        <v>0.8714153561517111</v>
      </c>
      <c r="W206" s="4" t="n">
        <v>-0.1647645142499623</v>
      </c>
      <c r="X206" s="4" t="n">
        <v>0.0762439258093216</v>
      </c>
      <c r="Y206" s="4" t="n">
        <v>0.004148521748605805</v>
      </c>
      <c r="Z206" s="4" t="n">
        <v>0.005552773695665758</v>
      </c>
      <c r="AA206" s="4" t="n">
        <v>0.03</v>
      </c>
      <c r="AB206" s="4" t="n">
        <v>0.05</v>
      </c>
      <c r="AC206" s="4">
        <f>(AB206+2*參數!$B$7)/(AA206+AB206)</f>
        <v/>
      </c>
    </row>
    <row r="207">
      <c r="A207" s="2" t="n">
        <v>206</v>
      </c>
      <c r="B207" s="2" t="inlineStr">
        <is>
          <t>LAB_USDT_PERP</t>
        </is>
      </c>
      <c r="C207" s="2" t="inlineStr">
        <is>
          <t>做空</t>
        </is>
      </c>
      <c r="D207" s="7" t="n">
        <v>46278.91666666666</v>
      </c>
      <c r="E207" s="17" t="n">
        <v>0.06630999999999999</v>
      </c>
      <c r="F207" s="17" t="n">
        <v>0.06432069999999999</v>
      </c>
      <c r="G207" s="17" t="n">
        <v>0.06962549999999999</v>
      </c>
      <c r="H207" s="7" t="n">
        <v>46278.95833333334</v>
      </c>
      <c r="I207" s="17" t="n">
        <v>0.06962549999999999</v>
      </c>
      <c r="J207" s="2" t="inlineStr">
        <is>
          <t>止損</t>
        </is>
      </c>
      <c r="K207" s="5">
        <f>(H207-D207)*24</f>
        <v/>
      </c>
      <c r="L207" s="4">
        <f>IF(C207="做多",I207/E207-1,1-I207/E207)-2*參數!$B$7</f>
        <v/>
      </c>
      <c r="M207" s="2" t="inlineStr"/>
      <c r="N207" s="4" t="n">
        <v>-0.02154345580640404</v>
      </c>
      <c r="O207" s="4" t="n">
        <v>0.05072047984250207</v>
      </c>
      <c r="P207" s="4" t="n">
        <v>-0.01728750009262481</v>
      </c>
      <c r="Q207" s="19" t="n">
        <v>-3247400</v>
      </c>
      <c r="R207" s="19" t="n">
        <v>2692569.84842</v>
      </c>
      <c r="S207" s="4" t="n">
        <v>0</v>
      </c>
      <c r="T207" s="4" t="n">
        <v>0.05</v>
      </c>
      <c r="U207" s="16" t="n">
        <v>0.3851967586724329</v>
      </c>
      <c r="V207" s="16" t="n">
        <v>0.7575757575757599</v>
      </c>
      <c r="W207" s="4" t="n">
        <v>-0.07609418866944684</v>
      </c>
      <c r="X207" s="4" t="n">
        <v>0.1144497863247864</v>
      </c>
      <c r="Y207" s="4" t="n">
        <v>-0.001146942940892126</v>
      </c>
      <c r="Z207" s="4" t="n">
        <v>0.003088123556609257</v>
      </c>
      <c r="AA207" s="4" t="n">
        <v>0.03</v>
      </c>
      <c r="AB207" s="4" t="n">
        <v>0.05</v>
      </c>
      <c r="AC207" s="4">
        <f>(AB207+2*參數!$B$7)/(AA207+AB207)</f>
        <v/>
      </c>
    </row>
    <row r="208">
      <c r="A208" s="2" t="n">
        <v>207</v>
      </c>
      <c r="B208" s="2" t="inlineStr">
        <is>
          <t>PUMP_USDT_PERP</t>
        </is>
      </c>
      <c r="C208" s="2" t="inlineStr">
        <is>
          <t>做空</t>
        </is>
      </c>
      <c r="D208" s="7" t="n">
        <v>46279</v>
      </c>
      <c r="E208" s="17" t="n">
        <v>0.003569</v>
      </c>
      <c r="F208" s="17" t="n">
        <v>0.00346193</v>
      </c>
      <c r="G208" s="17" t="n">
        <v>0.00374745</v>
      </c>
      <c r="H208" s="7" t="n">
        <v>46279.375</v>
      </c>
      <c r="I208" s="17" t="n">
        <v>0.00346193</v>
      </c>
      <c r="J208" s="2" t="inlineStr">
        <is>
          <t>止盈</t>
        </is>
      </c>
      <c r="K208" s="5">
        <f>(H208-D208)*24</f>
        <v/>
      </c>
      <c r="L208" s="4">
        <f>IF(C208="做多",I208/E208-1,1-I208/E208)-2*參數!$B$7</f>
        <v/>
      </c>
      <c r="M208" s="2" t="inlineStr"/>
      <c r="N208" s="4" t="n">
        <v>-0.0309530274232962</v>
      </c>
      <c r="O208" s="4" t="n">
        <v>0.02022154281324897</v>
      </c>
      <c r="P208" s="4" t="n">
        <v>-0.04703416418568007</v>
      </c>
      <c r="Q208" s="19" t="n">
        <v>-126643814</v>
      </c>
      <c r="R208" s="19" t="n">
        <v>2834501.678442</v>
      </c>
      <c r="S208" s="4" t="n">
        <v>0.03</v>
      </c>
      <c r="T208" s="4" t="n">
        <v>0.02577752871952921</v>
      </c>
      <c r="U208" s="16" t="n">
        <v>1.170633405432124</v>
      </c>
      <c r="V208" s="16" t="n">
        <v>0.9133858267716523</v>
      </c>
      <c r="W208" s="4" t="n">
        <v>0.06902371394064588</v>
      </c>
      <c r="X208" s="4" t="n">
        <v>0.02459688439464325</v>
      </c>
      <c r="Y208" s="4" t="n">
        <v>0.001000322642925155</v>
      </c>
      <c r="Z208" s="4" t="n">
        <v>-0.0005462274681169443</v>
      </c>
      <c r="AA208" s="4" t="n">
        <v>0.03</v>
      </c>
      <c r="AB208" s="4" t="n">
        <v>0.05</v>
      </c>
      <c r="AC208" s="4">
        <f>(AB208+2*參數!$B$7)/(AA208+AB208)</f>
        <v/>
      </c>
    </row>
    <row r="209">
      <c r="A209" s="2" t="n">
        <v>208</v>
      </c>
      <c r="B209" s="2" t="inlineStr">
        <is>
          <t>LAB_USDT_PERP</t>
        </is>
      </c>
      <c r="C209" s="2" t="inlineStr">
        <is>
          <t>做空</t>
        </is>
      </c>
      <c r="D209" s="7" t="n">
        <v>46279.04166666666</v>
      </c>
      <c r="E209" s="17" t="n">
        <v>0.06729</v>
      </c>
      <c r="F209" s="17" t="n">
        <v>0.0652713</v>
      </c>
      <c r="G209" s="17" t="n">
        <v>0.07065450000000001</v>
      </c>
      <c r="H209" s="7" t="n">
        <v>46279.29166666666</v>
      </c>
      <c r="I209" s="17" t="n">
        <v>0.0652713</v>
      </c>
      <c r="J209" s="2" t="inlineStr">
        <is>
          <t>止盈</t>
        </is>
      </c>
      <c r="K209" s="5">
        <f>(H209-D209)*24</f>
        <v/>
      </c>
      <c r="L209" s="4">
        <f>IF(C209="做多",I209/E209-1,1-I209/E209)-2*參數!$B$7</f>
        <v/>
      </c>
      <c r="M209" s="2" t="inlineStr"/>
      <c r="N209" s="4" t="n">
        <v>-0.03235547886108714</v>
      </c>
      <c r="O209" s="4" t="n">
        <v>0.05239573335881385</v>
      </c>
      <c r="P209" s="4" t="n">
        <v>-0.006606384941871046</v>
      </c>
      <c r="Q209" s="19" t="n">
        <v>-158654</v>
      </c>
      <c r="R209" s="19" t="n">
        <v>2639902.52603</v>
      </c>
      <c r="S209" s="4" t="n">
        <v>0.03</v>
      </c>
      <c r="T209" s="4" t="n">
        <v>0.0306137613315498</v>
      </c>
      <c r="U209" s="16" t="n">
        <v>3.057108558523112</v>
      </c>
      <c r="V209" s="16" t="n">
        <v>0.9469214437367303</v>
      </c>
      <c r="W209" s="4" t="n">
        <v>-0.09114436379910895</v>
      </c>
      <c r="X209" s="4" t="n">
        <v>0.04227156276686594</v>
      </c>
      <c r="Y209" s="4" t="n">
        <v>-0.002005242684949948</v>
      </c>
      <c r="Z209" s="4" t="n">
        <v>-0.002472360720056743</v>
      </c>
      <c r="AA209" s="4" t="n">
        <v>0.03</v>
      </c>
      <c r="AB209" s="4" t="n">
        <v>0.05</v>
      </c>
      <c r="AC209" s="4">
        <f>(AB209+2*參數!$B$7)/(AA209+AB209)</f>
        <v/>
      </c>
    </row>
    <row r="210">
      <c r="A210" s="2" t="n">
        <v>209</v>
      </c>
      <c r="B210" s="2" t="inlineStr">
        <is>
          <t>USELESS_USDT_PERP</t>
        </is>
      </c>
      <c r="C210" s="2" t="inlineStr">
        <is>
          <t>做空</t>
        </is>
      </c>
      <c r="D210" s="7" t="n">
        <v>46279.29166666666</v>
      </c>
      <c r="E210" s="17" t="n">
        <v>0.21683</v>
      </c>
      <c r="F210" s="17" t="n">
        <v>0.2103251</v>
      </c>
      <c r="G210" s="17" t="n">
        <v>0.2276715</v>
      </c>
      <c r="H210" s="7" t="n">
        <v>46279.375</v>
      </c>
      <c r="I210" s="17" t="n">
        <v>0.21367</v>
      </c>
      <c r="J210" s="2" t="inlineStr">
        <is>
          <t>未平倉</t>
        </is>
      </c>
      <c r="K210" s="5">
        <f>(H210-D210)*24</f>
        <v/>
      </c>
      <c r="L210" s="4">
        <f>IF(C210="做多",I210/E210-1,1-I210/E210)-2*參數!$B$7</f>
        <v/>
      </c>
      <c r="M210" s="2" t="inlineStr">
        <is>
          <t>持倉中（以最新收盤估值）</t>
        </is>
      </c>
      <c r="N210" s="4" t="n">
        <v>-0.03738068812430639</v>
      </c>
      <c r="O210" s="4" t="n">
        <v>0.03386106881319671</v>
      </c>
      <c r="P210" s="4" t="n">
        <v>-0.01970491232591187</v>
      </c>
      <c r="Q210" s="19" t="n">
        <v>-3175872</v>
      </c>
      <c r="R210" s="19" t="n">
        <v>2128113.32288</v>
      </c>
      <c r="S210" s="4" t="n">
        <v>0.02273670617534473</v>
      </c>
      <c r="T210" s="4" t="n">
        <v>0.01000784024350887</v>
      </c>
      <c r="U210" s="16" t="n">
        <v>0.5672975038799286</v>
      </c>
      <c r="V210" s="16" t="n">
        <v>0.7184300341296932</v>
      </c>
      <c r="W210" s="4" t="n">
        <v>0.05441177111906748</v>
      </c>
      <c r="X210" s="4" t="n">
        <v>0.06558931264813628</v>
      </c>
      <c r="Y210" s="4" t="n">
        <v>0.007608961493219879</v>
      </c>
      <c r="Z210" s="4" t="n">
        <v>0.00463370666291496</v>
      </c>
      <c r="AA210" s="4" t="n">
        <v>0.03</v>
      </c>
      <c r="AB210" s="4" t="n">
        <v>0.05</v>
      </c>
      <c r="AC210" s="4">
        <f>(AB210+2*參數!$B$7)/(AA210+AB210)</f>
        <v/>
      </c>
    </row>
    <row r="211">
      <c r="A211" s="2" t="n">
        <v>210</v>
      </c>
      <c r="B211" s="2" t="inlineStr">
        <is>
          <t>VVV_USDT_PERP</t>
        </is>
      </c>
      <c r="C211" s="2" t="inlineStr">
        <is>
          <t>做空</t>
        </is>
      </c>
      <c r="D211" s="7" t="n">
        <v>46279.29166666666</v>
      </c>
      <c r="E211" s="17" t="n">
        <v>21.468</v>
      </c>
      <c r="F211" s="17" t="n">
        <v>20.82396</v>
      </c>
      <c r="G211" s="17" t="n">
        <v>22.5414</v>
      </c>
      <c r="H211" s="7" t="n">
        <v>46279.375</v>
      </c>
      <c r="I211" s="17" t="n">
        <v>21.541</v>
      </c>
      <c r="J211" s="2" t="inlineStr">
        <is>
          <t>未平倉</t>
        </is>
      </c>
      <c r="K211" s="5">
        <f>(H211-D211)*24</f>
        <v/>
      </c>
      <c r="L211" s="4">
        <f>IF(C211="做多",I211/E211-1,1-I211/E211)-2*參數!$B$7</f>
        <v/>
      </c>
      <c r="M211" s="2" t="inlineStr">
        <is>
          <t>持倉中（以最新收盤估值）</t>
        </is>
      </c>
      <c r="N211" s="4" t="n">
        <v>-0.02289381457375628</v>
      </c>
      <c r="O211" s="4" t="n">
        <v>0.02160081896245285</v>
      </c>
      <c r="P211" s="4" t="n">
        <v>-0.04553578573905626</v>
      </c>
      <c r="Q211" s="19" t="n">
        <v>-14412.56</v>
      </c>
      <c r="R211" s="19" t="n">
        <v>1369833.00885</v>
      </c>
      <c r="S211" s="4" t="n">
        <v>0.005915781628470285</v>
      </c>
      <c r="T211" s="4" t="n">
        <v>0.009502515371716092</v>
      </c>
      <c r="U211" s="16" t="n">
        <v>0.6271932459439219</v>
      </c>
      <c r="V211" s="16" t="n">
        <v>0.9384328358208933</v>
      </c>
      <c r="W211" s="4" t="n">
        <v>0.09222223725694489</v>
      </c>
      <c r="X211" s="4" t="n">
        <v>0.1147216494845361</v>
      </c>
      <c r="Y211" s="4" t="n">
        <v>0.007608961493219879</v>
      </c>
      <c r="Z211" s="4" t="n">
        <v>0.00463370666291496</v>
      </c>
      <c r="AA211" s="4" t="n">
        <v>0.03</v>
      </c>
      <c r="AB211" s="4" t="n">
        <v>0.05</v>
      </c>
      <c r="AC211" s="4">
        <f>(AB211+2*參數!$B$7)/(AA211+AB211)</f>
        <v/>
      </c>
    </row>
  </sheetData>
  <autoFilter ref="A1:AC211"/>
  <conditionalFormatting sqref="J2:J211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USELESS_USDT_PERP</t>
        </is>
      </c>
      <c r="B2" s="2">
        <f>COUNTIFS(交易明細!$B$2:$B$211,$A2)</f>
        <v/>
      </c>
      <c r="C2" s="2">
        <f>COUNTIFS(交易明細!$B$2:$B$211,$A2,交易明細!$C$2:$C$211,"做多")</f>
        <v/>
      </c>
      <c r="D2" s="2">
        <f>COUNTIFS(交易明細!$B$2:$B$211,$A2,交易明細!$C$2:$C$211,"做空")</f>
        <v/>
      </c>
      <c r="E2" s="2">
        <f>F2+G2+COUNTIFS(交易明細!$B$2:$B$211,$A2,交易明細!$J$2:$J$211,"時間出場")</f>
        <v/>
      </c>
      <c r="F2" s="2">
        <f>COUNTIFS(交易明細!$B$2:$B$211,$A2,交易明細!$J$2:$J$211,"止盈")</f>
        <v/>
      </c>
      <c r="G2" s="2">
        <f>COUNTIFS(交易明細!$B$2:$B$211,$A2,交易明細!$J$2:$J$211,"止損")</f>
        <v/>
      </c>
      <c r="H2" s="4">
        <f>IFERROR(F2/E2,0)</f>
        <v/>
      </c>
      <c r="I2" s="4">
        <f>IFERROR(AVERAGEIFS(交易明細!$L$2:$L$211,交易明細!$B$2:$B$211,$A2,交易明細!$J$2:$J$211,"&lt;&gt;未平倉"),0)</f>
        <v/>
      </c>
      <c r="J2" s="4">
        <f>SUMIFS(交易明細!$L$2:$L$211,交易明細!$B$2:$B$211,$A2,交易明細!$J$2:$J$211,"&lt;&gt;未平倉")</f>
        <v/>
      </c>
      <c r="K2" s="5">
        <f>IFERROR(AVERAGEIFS(交易明細!$K$2:$K$211,交易明細!$B$2:$B$211,$A2,交易明細!$J$2:$J$211,"&lt;&gt;未平倉"),0)</f>
        <v/>
      </c>
      <c r="L2" s="2">
        <f>COUNTIFS(交易明細!$B$2:$B$211,$A2,交易明細!$J$2:$J$211,"未平倉")</f>
        <v/>
      </c>
    </row>
    <row r="3">
      <c r="A3" s="2" t="inlineStr">
        <is>
          <t>PONS_USDT_PERP</t>
        </is>
      </c>
      <c r="B3" s="2">
        <f>COUNTIFS(交易明細!$B$2:$B$211,$A3)</f>
        <v/>
      </c>
      <c r="C3" s="2">
        <f>COUNTIFS(交易明細!$B$2:$B$211,$A3,交易明細!$C$2:$C$211,"做多")</f>
        <v/>
      </c>
      <c r="D3" s="2">
        <f>COUNTIFS(交易明細!$B$2:$B$211,$A3,交易明細!$C$2:$C$211,"做空")</f>
        <v/>
      </c>
      <c r="E3" s="2">
        <f>F3+G3+COUNTIFS(交易明細!$B$2:$B$211,$A3,交易明細!$J$2:$J$211,"時間出場")</f>
        <v/>
      </c>
      <c r="F3" s="2">
        <f>COUNTIFS(交易明細!$B$2:$B$211,$A3,交易明細!$J$2:$J$211,"止盈")</f>
        <v/>
      </c>
      <c r="G3" s="2">
        <f>COUNTIFS(交易明細!$B$2:$B$211,$A3,交易明細!$J$2:$J$211,"止損")</f>
        <v/>
      </c>
      <c r="H3" s="4">
        <f>IFERROR(F3/E3,0)</f>
        <v/>
      </c>
      <c r="I3" s="4">
        <f>IFERROR(AVERAGEIFS(交易明細!$L$2:$L$211,交易明細!$B$2:$B$211,$A3,交易明細!$J$2:$J$211,"&lt;&gt;未平倉"),0)</f>
        <v/>
      </c>
      <c r="J3" s="4">
        <f>SUMIFS(交易明細!$L$2:$L$211,交易明細!$B$2:$B$211,$A3,交易明細!$J$2:$J$211,"&lt;&gt;未平倉")</f>
        <v/>
      </c>
      <c r="K3" s="5">
        <f>IFERROR(AVERAGEIFS(交易明細!$K$2:$K$211,交易明細!$B$2:$B$211,$A3,交易明細!$J$2:$J$211,"&lt;&gt;未平倉"),0)</f>
        <v/>
      </c>
      <c r="L3" s="2">
        <f>COUNTIFS(交易明細!$B$2:$B$211,$A3,交易明細!$J$2:$J$211,"未平倉")</f>
        <v/>
      </c>
    </row>
    <row r="4">
      <c r="A4" s="2" t="inlineStr">
        <is>
          <t>PUMP_USDT_PERP</t>
        </is>
      </c>
      <c r="B4" s="2">
        <f>COUNTIFS(交易明細!$B$2:$B$211,$A4)</f>
        <v/>
      </c>
      <c r="C4" s="2">
        <f>COUNTIFS(交易明細!$B$2:$B$211,$A4,交易明細!$C$2:$C$211,"做多")</f>
        <v/>
      </c>
      <c r="D4" s="2">
        <f>COUNTIFS(交易明細!$B$2:$B$211,$A4,交易明細!$C$2:$C$211,"做空")</f>
        <v/>
      </c>
      <c r="E4" s="2">
        <f>F4+G4+COUNTIFS(交易明細!$B$2:$B$211,$A4,交易明細!$J$2:$J$211,"時間出場")</f>
        <v/>
      </c>
      <c r="F4" s="2">
        <f>COUNTIFS(交易明細!$B$2:$B$211,$A4,交易明細!$J$2:$J$211,"止盈")</f>
        <v/>
      </c>
      <c r="G4" s="2">
        <f>COUNTIFS(交易明細!$B$2:$B$211,$A4,交易明細!$J$2:$J$211,"止損")</f>
        <v/>
      </c>
      <c r="H4" s="4">
        <f>IFERROR(F4/E4,0)</f>
        <v/>
      </c>
      <c r="I4" s="4">
        <f>IFERROR(AVERAGEIFS(交易明細!$L$2:$L$211,交易明細!$B$2:$B$211,$A4,交易明細!$J$2:$J$211,"&lt;&gt;未平倉"),0)</f>
        <v/>
      </c>
      <c r="J4" s="4">
        <f>SUMIFS(交易明細!$L$2:$L$211,交易明細!$B$2:$B$211,$A4,交易明細!$J$2:$J$211,"&lt;&gt;未平倉")</f>
        <v/>
      </c>
      <c r="K4" s="5">
        <f>IFERROR(AVERAGEIFS(交易明細!$K$2:$K$211,交易明細!$B$2:$B$211,$A4,交易明細!$J$2:$J$211,"&lt;&gt;未平倉"),0)</f>
        <v/>
      </c>
      <c r="L4" s="2">
        <f>COUNTIFS(交易明細!$B$2:$B$211,$A4,交易明細!$J$2:$J$211,"未平倉")</f>
        <v/>
      </c>
    </row>
    <row r="5">
      <c r="A5" s="2" t="inlineStr">
        <is>
          <t>UAI_USDT_PERP</t>
        </is>
      </c>
      <c r="B5" s="2">
        <f>COUNTIFS(交易明細!$B$2:$B$211,$A5)</f>
        <v/>
      </c>
      <c r="C5" s="2">
        <f>COUNTIFS(交易明細!$B$2:$B$211,$A5,交易明細!$C$2:$C$211,"做多")</f>
        <v/>
      </c>
      <c r="D5" s="2">
        <f>COUNTIFS(交易明細!$B$2:$B$211,$A5,交易明細!$C$2:$C$211,"做空")</f>
        <v/>
      </c>
      <c r="E5" s="2">
        <f>F5+G5+COUNTIFS(交易明細!$B$2:$B$211,$A5,交易明細!$J$2:$J$211,"時間出場")</f>
        <v/>
      </c>
      <c r="F5" s="2">
        <f>COUNTIFS(交易明細!$B$2:$B$211,$A5,交易明細!$J$2:$J$211,"止盈")</f>
        <v/>
      </c>
      <c r="G5" s="2">
        <f>COUNTIFS(交易明細!$B$2:$B$211,$A5,交易明細!$J$2:$J$211,"止損")</f>
        <v/>
      </c>
      <c r="H5" s="4">
        <f>IFERROR(F5/E5,0)</f>
        <v/>
      </c>
      <c r="I5" s="4">
        <f>IFERROR(AVERAGEIFS(交易明細!$L$2:$L$211,交易明細!$B$2:$B$211,$A5,交易明細!$J$2:$J$211,"&lt;&gt;未平倉"),0)</f>
        <v/>
      </c>
      <c r="J5" s="4">
        <f>SUMIFS(交易明細!$L$2:$L$211,交易明細!$B$2:$B$211,$A5,交易明細!$J$2:$J$211,"&lt;&gt;未平倉")</f>
        <v/>
      </c>
      <c r="K5" s="5">
        <f>IFERROR(AVERAGEIFS(交易明細!$K$2:$K$211,交易明細!$B$2:$B$211,$A5,交易明細!$J$2:$J$211,"&lt;&gt;未平倉"),0)</f>
        <v/>
      </c>
      <c r="L5" s="2">
        <f>COUNTIFS(交易明細!$B$2:$B$211,$A5,交易明細!$J$2:$J$211,"未平倉")</f>
        <v/>
      </c>
    </row>
    <row r="6">
      <c r="A6" s="2" t="inlineStr">
        <is>
          <t>MARSCOIN_USDT_PERP</t>
        </is>
      </c>
      <c r="B6" s="2">
        <f>COUNTIFS(交易明細!$B$2:$B$211,$A6)</f>
        <v/>
      </c>
      <c r="C6" s="2">
        <f>COUNTIFS(交易明細!$B$2:$B$211,$A6,交易明細!$C$2:$C$211,"做多")</f>
        <v/>
      </c>
      <c r="D6" s="2">
        <f>COUNTIFS(交易明細!$B$2:$B$211,$A6,交易明細!$C$2:$C$211,"做空")</f>
        <v/>
      </c>
      <c r="E6" s="2">
        <f>F6+G6+COUNTIFS(交易明細!$B$2:$B$211,$A6,交易明細!$J$2:$J$211,"時間出場")</f>
        <v/>
      </c>
      <c r="F6" s="2">
        <f>COUNTIFS(交易明細!$B$2:$B$211,$A6,交易明細!$J$2:$J$211,"止盈")</f>
        <v/>
      </c>
      <c r="G6" s="2">
        <f>COUNTIFS(交易明細!$B$2:$B$211,$A6,交易明細!$J$2:$J$211,"止損")</f>
        <v/>
      </c>
      <c r="H6" s="4">
        <f>IFERROR(F6/E6,0)</f>
        <v/>
      </c>
      <c r="I6" s="4">
        <f>IFERROR(AVERAGEIFS(交易明細!$L$2:$L$211,交易明細!$B$2:$B$211,$A6,交易明細!$J$2:$J$211,"&lt;&gt;未平倉"),0)</f>
        <v/>
      </c>
      <c r="J6" s="4">
        <f>SUMIFS(交易明細!$L$2:$L$211,交易明細!$B$2:$B$211,$A6,交易明細!$J$2:$J$211,"&lt;&gt;未平倉")</f>
        <v/>
      </c>
      <c r="K6" s="5">
        <f>IFERROR(AVERAGEIFS(交易明細!$K$2:$K$211,交易明細!$B$2:$B$211,$A6,交易明細!$J$2:$J$211,"&lt;&gt;未平倉"),0)</f>
        <v/>
      </c>
      <c r="L6" s="2">
        <f>COUNTIFS(交易明細!$B$2:$B$211,$A6,交易明細!$J$2:$J$211,"未平倉")</f>
        <v/>
      </c>
    </row>
    <row r="7">
      <c r="A7" s="2" t="inlineStr">
        <is>
          <t>BULLA_USDT_PERP</t>
        </is>
      </c>
      <c r="B7" s="2">
        <f>COUNTIFS(交易明細!$B$2:$B$211,$A7)</f>
        <v/>
      </c>
      <c r="C7" s="2">
        <f>COUNTIFS(交易明細!$B$2:$B$211,$A7,交易明細!$C$2:$C$211,"做多")</f>
        <v/>
      </c>
      <c r="D7" s="2">
        <f>COUNTIFS(交易明細!$B$2:$B$211,$A7,交易明細!$C$2:$C$211,"做空")</f>
        <v/>
      </c>
      <c r="E7" s="2">
        <f>F7+G7+COUNTIFS(交易明細!$B$2:$B$211,$A7,交易明細!$J$2:$J$211,"時間出場")</f>
        <v/>
      </c>
      <c r="F7" s="2">
        <f>COUNTIFS(交易明細!$B$2:$B$211,$A7,交易明細!$J$2:$J$211,"止盈")</f>
        <v/>
      </c>
      <c r="G7" s="2">
        <f>COUNTIFS(交易明細!$B$2:$B$211,$A7,交易明細!$J$2:$J$211,"止損")</f>
        <v/>
      </c>
      <c r="H7" s="4">
        <f>IFERROR(F7/E7,0)</f>
        <v/>
      </c>
      <c r="I7" s="4">
        <f>IFERROR(AVERAGEIFS(交易明細!$L$2:$L$211,交易明細!$B$2:$B$211,$A7,交易明細!$J$2:$J$211,"&lt;&gt;未平倉"),0)</f>
        <v/>
      </c>
      <c r="J7" s="4">
        <f>SUMIFS(交易明細!$L$2:$L$211,交易明細!$B$2:$B$211,$A7,交易明細!$J$2:$J$211,"&lt;&gt;未平倉")</f>
        <v/>
      </c>
      <c r="K7" s="5">
        <f>IFERROR(AVERAGEIFS(交易明細!$K$2:$K$211,交易明細!$B$2:$B$211,$A7,交易明細!$J$2:$J$211,"&lt;&gt;未平倉"),0)</f>
        <v/>
      </c>
      <c r="L7" s="2">
        <f>COUNTIFS(交易明細!$B$2:$B$211,$A7,交易明細!$J$2:$J$211,"未平倉")</f>
        <v/>
      </c>
    </row>
    <row r="8">
      <c r="A8" s="2" t="inlineStr">
        <is>
          <t>HEMI_USDT_PERP</t>
        </is>
      </c>
      <c r="B8" s="2">
        <f>COUNTIFS(交易明細!$B$2:$B$211,$A8)</f>
        <v/>
      </c>
      <c r="C8" s="2">
        <f>COUNTIFS(交易明細!$B$2:$B$211,$A8,交易明細!$C$2:$C$211,"做多")</f>
        <v/>
      </c>
      <c r="D8" s="2">
        <f>COUNTIFS(交易明細!$B$2:$B$211,$A8,交易明細!$C$2:$C$211,"做空")</f>
        <v/>
      </c>
      <c r="E8" s="2">
        <f>F8+G8+COUNTIFS(交易明細!$B$2:$B$211,$A8,交易明細!$J$2:$J$211,"時間出場")</f>
        <v/>
      </c>
      <c r="F8" s="2">
        <f>COUNTIFS(交易明細!$B$2:$B$211,$A8,交易明細!$J$2:$J$211,"止盈")</f>
        <v/>
      </c>
      <c r="G8" s="2">
        <f>COUNTIFS(交易明細!$B$2:$B$211,$A8,交易明細!$J$2:$J$211,"止損")</f>
        <v/>
      </c>
      <c r="H8" s="4">
        <f>IFERROR(F8/E8,0)</f>
        <v/>
      </c>
      <c r="I8" s="4">
        <f>IFERROR(AVERAGEIFS(交易明細!$L$2:$L$211,交易明細!$B$2:$B$211,$A8,交易明細!$J$2:$J$211,"&lt;&gt;未平倉"),0)</f>
        <v/>
      </c>
      <c r="J8" s="4">
        <f>SUMIFS(交易明細!$L$2:$L$211,交易明細!$B$2:$B$211,$A8,交易明細!$J$2:$J$211,"&lt;&gt;未平倉")</f>
        <v/>
      </c>
      <c r="K8" s="5">
        <f>IFERROR(AVERAGEIFS(交易明細!$K$2:$K$211,交易明細!$B$2:$B$211,$A8,交易明細!$J$2:$J$211,"&lt;&gt;未平倉"),0)</f>
        <v/>
      </c>
      <c r="L8" s="2">
        <f>COUNTIFS(交易明細!$B$2:$B$211,$A8,交易明細!$J$2:$J$211,"未平倉")</f>
        <v/>
      </c>
    </row>
    <row r="9">
      <c r="A9" s="2" t="inlineStr">
        <is>
          <t>LIT_USDT_PERP</t>
        </is>
      </c>
      <c r="B9" s="2">
        <f>COUNTIFS(交易明細!$B$2:$B$211,$A9)</f>
        <v/>
      </c>
      <c r="C9" s="2">
        <f>COUNTIFS(交易明細!$B$2:$B$211,$A9,交易明細!$C$2:$C$211,"做多")</f>
        <v/>
      </c>
      <c r="D9" s="2">
        <f>COUNTIFS(交易明細!$B$2:$B$211,$A9,交易明細!$C$2:$C$211,"做空")</f>
        <v/>
      </c>
      <c r="E9" s="2">
        <f>F9+G9+COUNTIFS(交易明細!$B$2:$B$211,$A9,交易明細!$J$2:$J$211,"時間出場")</f>
        <v/>
      </c>
      <c r="F9" s="2">
        <f>COUNTIFS(交易明細!$B$2:$B$211,$A9,交易明細!$J$2:$J$211,"止盈")</f>
        <v/>
      </c>
      <c r="G9" s="2">
        <f>COUNTIFS(交易明細!$B$2:$B$211,$A9,交易明細!$J$2:$J$211,"止損")</f>
        <v/>
      </c>
      <c r="H9" s="4">
        <f>IFERROR(F9/E9,0)</f>
        <v/>
      </c>
      <c r="I9" s="4">
        <f>IFERROR(AVERAGEIFS(交易明細!$L$2:$L$211,交易明細!$B$2:$B$211,$A9,交易明細!$J$2:$J$211,"&lt;&gt;未平倉"),0)</f>
        <v/>
      </c>
      <c r="J9" s="4">
        <f>SUMIFS(交易明細!$L$2:$L$211,交易明細!$B$2:$B$211,$A9,交易明細!$J$2:$J$211,"&lt;&gt;未平倉")</f>
        <v/>
      </c>
      <c r="K9" s="5">
        <f>IFERROR(AVERAGEIFS(交易明細!$K$2:$K$211,交易明細!$B$2:$B$211,$A9,交易明細!$J$2:$J$211,"&lt;&gt;未平倉"),0)</f>
        <v/>
      </c>
      <c r="L9" s="2">
        <f>COUNTIFS(交易明細!$B$2:$B$211,$A9,交易明細!$J$2:$J$211,"未平倉")</f>
        <v/>
      </c>
    </row>
    <row r="10">
      <c r="A10" s="2" t="inlineStr">
        <is>
          <t>AKE_USDT_PERP</t>
        </is>
      </c>
      <c r="B10" s="2">
        <f>COUNTIFS(交易明細!$B$2:$B$211,$A10)</f>
        <v/>
      </c>
      <c r="C10" s="2">
        <f>COUNTIFS(交易明細!$B$2:$B$211,$A10,交易明細!$C$2:$C$211,"做多")</f>
        <v/>
      </c>
      <c r="D10" s="2">
        <f>COUNTIFS(交易明細!$B$2:$B$211,$A10,交易明細!$C$2:$C$211,"做空")</f>
        <v/>
      </c>
      <c r="E10" s="2">
        <f>F10+G10+COUNTIFS(交易明細!$B$2:$B$211,$A10,交易明細!$J$2:$J$211,"時間出場")</f>
        <v/>
      </c>
      <c r="F10" s="2">
        <f>COUNTIFS(交易明細!$B$2:$B$211,$A10,交易明細!$J$2:$J$211,"止盈")</f>
        <v/>
      </c>
      <c r="G10" s="2">
        <f>COUNTIFS(交易明細!$B$2:$B$211,$A10,交易明細!$J$2:$J$211,"止損")</f>
        <v/>
      </c>
      <c r="H10" s="4">
        <f>IFERROR(F10/E10,0)</f>
        <v/>
      </c>
      <c r="I10" s="4">
        <f>IFERROR(AVERAGEIFS(交易明細!$L$2:$L$211,交易明細!$B$2:$B$211,$A10,交易明細!$J$2:$J$211,"&lt;&gt;未平倉"),0)</f>
        <v/>
      </c>
      <c r="J10" s="4">
        <f>SUMIFS(交易明細!$L$2:$L$211,交易明細!$B$2:$B$211,$A10,交易明細!$J$2:$J$211,"&lt;&gt;未平倉")</f>
        <v/>
      </c>
      <c r="K10" s="5">
        <f>IFERROR(AVERAGEIFS(交易明細!$K$2:$K$211,交易明細!$B$2:$B$211,$A10,交易明細!$J$2:$J$211,"&lt;&gt;未平倉"),0)</f>
        <v/>
      </c>
      <c r="L10" s="2">
        <f>COUNTIFS(交易明細!$B$2:$B$211,$A10,交易明細!$J$2:$J$211,"未平倉")</f>
        <v/>
      </c>
    </row>
    <row r="11">
      <c r="A11" s="2" t="inlineStr">
        <is>
          <t>VVV_USDT_PERP</t>
        </is>
      </c>
      <c r="B11" s="2">
        <f>COUNTIFS(交易明細!$B$2:$B$211,$A11)</f>
        <v/>
      </c>
      <c r="C11" s="2">
        <f>COUNTIFS(交易明細!$B$2:$B$211,$A11,交易明細!$C$2:$C$211,"做多")</f>
        <v/>
      </c>
      <c r="D11" s="2">
        <f>COUNTIFS(交易明細!$B$2:$B$211,$A11,交易明細!$C$2:$C$211,"做空")</f>
        <v/>
      </c>
      <c r="E11" s="2">
        <f>F11+G11+COUNTIFS(交易明細!$B$2:$B$211,$A11,交易明細!$J$2:$J$211,"時間出場")</f>
        <v/>
      </c>
      <c r="F11" s="2">
        <f>COUNTIFS(交易明細!$B$2:$B$211,$A11,交易明細!$J$2:$J$211,"止盈")</f>
        <v/>
      </c>
      <c r="G11" s="2">
        <f>COUNTIFS(交易明細!$B$2:$B$211,$A11,交易明細!$J$2:$J$211,"止損")</f>
        <v/>
      </c>
      <c r="H11" s="4">
        <f>IFERROR(F11/E11,0)</f>
        <v/>
      </c>
      <c r="I11" s="4">
        <f>IFERROR(AVERAGEIFS(交易明細!$L$2:$L$211,交易明細!$B$2:$B$211,$A11,交易明細!$J$2:$J$211,"&lt;&gt;未平倉"),0)</f>
        <v/>
      </c>
      <c r="J11" s="4">
        <f>SUMIFS(交易明細!$L$2:$L$211,交易明細!$B$2:$B$211,$A11,交易明細!$J$2:$J$211,"&lt;&gt;未平倉")</f>
        <v/>
      </c>
      <c r="K11" s="5">
        <f>IFERROR(AVERAGEIFS(交易明細!$K$2:$K$211,交易明細!$B$2:$B$211,$A11,交易明細!$J$2:$J$211,"&lt;&gt;未平倉"),0)</f>
        <v/>
      </c>
      <c r="L11" s="2">
        <f>COUNTIFS(交易明細!$B$2:$B$211,$A11,交易明細!$J$2:$J$211,"未平倉")</f>
        <v/>
      </c>
    </row>
    <row r="12">
      <c r="A12" s="2" t="inlineStr">
        <is>
          <t>牛来_USDT_PERP</t>
        </is>
      </c>
      <c r="B12" s="2">
        <f>COUNTIFS(交易明細!$B$2:$B$211,$A12)</f>
        <v/>
      </c>
      <c r="C12" s="2">
        <f>COUNTIFS(交易明細!$B$2:$B$211,$A12,交易明細!$C$2:$C$211,"做多")</f>
        <v/>
      </c>
      <c r="D12" s="2">
        <f>COUNTIFS(交易明細!$B$2:$B$211,$A12,交易明細!$C$2:$C$211,"做空")</f>
        <v/>
      </c>
      <c r="E12" s="2">
        <f>F12+G12+COUNTIFS(交易明細!$B$2:$B$211,$A12,交易明細!$J$2:$J$211,"時間出場")</f>
        <v/>
      </c>
      <c r="F12" s="2">
        <f>COUNTIFS(交易明細!$B$2:$B$211,$A12,交易明細!$J$2:$J$211,"止盈")</f>
        <v/>
      </c>
      <c r="G12" s="2">
        <f>COUNTIFS(交易明細!$B$2:$B$211,$A12,交易明細!$J$2:$J$211,"止損")</f>
        <v/>
      </c>
      <c r="H12" s="4">
        <f>IFERROR(F12/E12,0)</f>
        <v/>
      </c>
      <c r="I12" s="4">
        <f>IFERROR(AVERAGEIFS(交易明細!$L$2:$L$211,交易明細!$B$2:$B$211,$A12,交易明細!$J$2:$J$211,"&lt;&gt;未平倉"),0)</f>
        <v/>
      </c>
      <c r="J12" s="4">
        <f>SUMIFS(交易明細!$L$2:$L$211,交易明細!$B$2:$B$211,$A12,交易明細!$J$2:$J$211,"&lt;&gt;未平倉")</f>
        <v/>
      </c>
      <c r="K12" s="5">
        <f>IFERROR(AVERAGEIFS(交易明細!$K$2:$K$211,交易明細!$B$2:$B$211,$A12,交易明細!$J$2:$J$211,"&lt;&gt;未平倉"),0)</f>
        <v/>
      </c>
      <c r="L12" s="2">
        <f>COUNTIFS(交易明細!$B$2:$B$211,$A12,交易明細!$J$2:$J$211,"未平倉")</f>
        <v/>
      </c>
    </row>
    <row r="13">
      <c r="A13" s="2" t="inlineStr">
        <is>
          <t>ARB_USDT_PERP</t>
        </is>
      </c>
      <c r="B13" s="2">
        <f>COUNTIFS(交易明細!$B$2:$B$211,$A13)</f>
        <v/>
      </c>
      <c r="C13" s="2">
        <f>COUNTIFS(交易明細!$B$2:$B$211,$A13,交易明細!$C$2:$C$211,"做多")</f>
        <v/>
      </c>
      <c r="D13" s="2">
        <f>COUNTIFS(交易明細!$B$2:$B$211,$A13,交易明細!$C$2:$C$211,"做空")</f>
        <v/>
      </c>
      <c r="E13" s="2">
        <f>F13+G13+COUNTIFS(交易明細!$B$2:$B$211,$A13,交易明細!$J$2:$J$211,"時間出場")</f>
        <v/>
      </c>
      <c r="F13" s="2">
        <f>COUNTIFS(交易明細!$B$2:$B$211,$A13,交易明細!$J$2:$J$211,"止盈")</f>
        <v/>
      </c>
      <c r="G13" s="2">
        <f>COUNTIFS(交易明細!$B$2:$B$211,$A13,交易明細!$J$2:$J$211,"止損")</f>
        <v/>
      </c>
      <c r="H13" s="4">
        <f>IFERROR(F13/E13,0)</f>
        <v/>
      </c>
      <c r="I13" s="4">
        <f>IFERROR(AVERAGEIFS(交易明細!$L$2:$L$211,交易明細!$B$2:$B$211,$A13,交易明細!$J$2:$J$211,"&lt;&gt;未平倉"),0)</f>
        <v/>
      </c>
      <c r="J13" s="4">
        <f>SUMIFS(交易明細!$L$2:$L$211,交易明細!$B$2:$B$211,$A13,交易明細!$J$2:$J$211,"&lt;&gt;未平倉")</f>
        <v/>
      </c>
      <c r="K13" s="5">
        <f>IFERROR(AVERAGEIFS(交易明細!$K$2:$K$211,交易明細!$B$2:$B$211,$A13,交易明細!$J$2:$J$211,"&lt;&gt;未平倉"),0)</f>
        <v/>
      </c>
      <c r="L13" s="2">
        <f>COUNTIFS(交易明細!$B$2:$B$211,$A13,交易明細!$J$2:$J$211,"未平倉")</f>
        <v/>
      </c>
    </row>
    <row r="14">
      <c r="A14" s="2" t="inlineStr">
        <is>
          <t>NEAR_USDT_PERP</t>
        </is>
      </c>
      <c r="B14" s="2">
        <f>COUNTIFS(交易明細!$B$2:$B$211,$A14)</f>
        <v/>
      </c>
      <c r="C14" s="2">
        <f>COUNTIFS(交易明細!$B$2:$B$211,$A14,交易明細!$C$2:$C$211,"做多")</f>
        <v/>
      </c>
      <c r="D14" s="2">
        <f>COUNTIFS(交易明細!$B$2:$B$211,$A14,交易明細!$C$2:$C$211,"做空")</f>
        <v/>
      </c>
      <c r="E14" s="2">
        <f>F14+G14+COUNTIFS(交易明細!$B$2:$B$211,$A14,交易明細!$J$2:$J$211,"時間出場")</f>
        <v/>
      </c>
      <c r="F14" s="2">
        <f>COUNTIFS(交易明細!$B$2:$B$211,$A14,交易明細!$J$2:$J$211,"止盈")</f>
        <v/>
      </c>
      <c r="G14" s="2">
        <f>COUNTIFS(交易明細!$B$2:$B$211,$A14,交易明細!$J$2:$J$211,"止損")</f>
        <v/>
      </c>
      <c r="H14" s="4">
        <f>IFERROR(F14/E14,0)</f>
        <v/>
      </c>
      <c r="I14" s="4">
        <f>IFERROR(AVERAGEIFS(交易明細!$L$2:$L$211,交易明細!$B$2:$B$211,$A14,交易明細!$J$2:$J$211,"&lt;&gt;未平倉"),0)</f>
        <v/>
      </c>
      <c r="J14" s="4">
        <f>SUMIFS(交易明細!$L$2:$L$211,交易明細!$B$2:$B$211,$A14,交易明細!$J$2:$J$211,"&lt;&gt;未平倉")</f>
        <v/>
      </c>
      <c r="K14" s="5">
        <f>IFERROR(AVERAGEIFS(交易明細!$K$2:$K$211,交易明細!$B$2:$B$211,$A14,交易明細!$J$2:$J$211,"&lt;&gt;未平倉"),0)</f>
        <v/>
      </c>
      <c r="L14" s="2">
        <f>COUNTIFS(交易明細!$B$2:$B$211,$A14,交易明細!$J$2:$J$211,"未平倉")</f>
        <v/>
      </c>
    </row>
    <row r="15">
      <c r="A15" s="2" t="inlineStr">
        <is>
          <t>RAY_USDT_PERP</t>
        </is>
      </c>
      <c r="B15" s="2">
        <f>COUNTIFS(交易明細!$B$2:$B$211,$A15)</f>
        <v/>
      </c>
      <c r="C15" s="2">
        <f>COUNTIFS(交易明細!$B$2:$B$211,$A15,交易明細!$C$2:$C$211,"做多")</f>
        <v/>
      </c>
      <c r="D15" s="2">
        <f>COUNTIFS(交易明細!$B$2:$B$211,$A15,交易明細!$C$2:$C$211,"做空")</f>
        <v/>
      </c>
      <c r="E15" s="2">
        <f>F15+G15+COUNTIFS(交易明細!$B$2:$B$211,$A15,交易明細!$J$2:$J$211,"時間出場")</f>
        <v/>
      </c>
      <c r="F15" s="2">
        <f>COUNTIFS(交易明細!$B$2:$B$211,$A15,交易明細!$J$2:$J$211,"止盈")</f>
        <v/>
      </c>
      <c r="G15" s="2">
        <f>COUNTIFS(交易明細!$B$2:$B$211,$A15,交易明細!$J$2:$J$211,"止損")</f>
        <v/>
      </c>
      <c r="H15" s="4">
        <f>IFERROR(F15/E15,0)</f>
        <v/>
      </c>
      <c r="I15" s="4">
        <f>IFERROR(AVERAGEIFS(交易明細!$L$2:$L$211,交易明細!$B$2:$B$211,$A15,交易明細!$J$2:$J$211,"&lt;&gt;未平倉"),0)</f>
        <v/>
      </c>
      <c r="J15" s="4">
        <f>SUMIFS(交易明細!$L$2:$L$211,交易明細!$B$2:$B$211,$A15,交易明細!$J$2:$J$211,"&lt;&gt;未平倉")</f>
        <v/>
      </c>
      <c r="K15" s="5">
        <f>IFERROR(AVERAGEIFS(交易明細!$K$2:$K$211,交易明細!$B$2:$B$211,$A15,交易明細!$J$2:$J$211,"&lt;&gt;未平倉"),0)</f>
        <v/>
      </c>
      <c r="L15" s="2">
        <f>COUNTIFS(交易明細!$B$2:$B$211,$A15,交易明細!$J$2:$J$211,"未平倉")</f>
        <v/>
      </c>
    </row>
    <row r="16">
      <c r="A16" s="2" t="inlineStr">
        <is>
          <t>UNI_USDT_PERP</t>
        </is>
      </c>
      <c r="B16" s="2">
        <f>COUNTIFS(交易明細!$B$2:$B$211,$A16)</f>
        <v/>
      </c>
      <c r="C16" s="2">
        <f>COUNTIFS(交易明細!$B$2:$B$211,$A16,交易明細!$C$2:$C$211,"做多")</f>
        <v/>
      </c>
      <c r="D16" s="2">
        <f>COUNTIFS(交易明細!$B$2:$B$211,$A16,交易明細!$C$2:$C$211,"做空")</f>
        <v/>
      </c>
      <c r="E16" s="2">
        <f>F16+G16+COUNTIFS(交易明細!$B$2:$B$211,$A16,交易明細!$J$2:$J$211,"時間出場")</f>
        <v/>
      </c>
      <c r="F16" s="2">
        <f>COUNTIFS(交易明細!$B$2:$B$211,$A16,交易明細!$J$2:$J$211,"止盈")</f>
        <v/>
      </c>
      <c r="G16" s="2">
        <f>COUNTIFS(交易明細!$B$2:$B$211,$A16,交易明細!$J$2:$J$211,"止損")</f>
        <v/>
      </c>
      <c r="H16" s="4">
        <f>IFERROR(F16/E16,0)</f>
        <v/>
      </c>
      <c r="I16" s="4">
        <f>IFERROR(AVERAGEIFS(交易明細!$L$2:$L$211,交易明細!$B$2:$B$211,$A16,交易明細!$J$2:$J$211,"&lt;&gt;未平倉"),0)</f>
        <v/>
      </c>
      <c r="J16" s="4">
        <f>SUMIFS(交易明細!$L$2:$L$211,交易明細!$B$2:$B$211,$A16,交易明細!$J$2:$J$211,"&lt;&gt;未平倉")</f>
        <v/>
      </c>
      <c r="K16" s="5">
        <f>IFERROR(AVERAGEIFS(交易明細!$K$2:$K$211,交易明細!$B$2:$B$211,$A16,交易明細!$J$2:$J$211,"&lt;&gt;未平倉"),0)</f>
        <v/>
      </c>
      <c r="L16" s="2">
        <f>COUNTIFS(交易明細!$B$2:$B$211,$A16,交易明細!$J$2:$J$211,"未平倉")</f>
        <v/>
      </c>
    </row>
    <row r="17">
      <c r="A17" s="2" t="inlineStr">
        <is>
          <t>DASH_USDT_PERP</t>
        </is>
      </c>
      <c r="B17" s="2">
        <f>COUNTIFS(交易明細!$B$2:$B$211,$A17)</f>
        <v/>
      </c>
      <c r="C17" s="2">
        <f>COUNTIFS(交易明細!$B$2:$B$211,$A17,交易明細!$C$2:$C$211,"做多")</f>
        <v/>
      </c>
      <c r="D17" s="2">
        <f>COUNTIFS(交易明細!$B$2:$B$211,$A17,交易明細!$C$2:$C$211,"做空")</f>
        <v/>
      </c>
      <c r="E17" s="2">
        <f>F17+G17+COUNTIFS(交易明細!$B$2:$B$211,$A17,交易明細!$J$2:$J$211,"時間出場")</f>
        <v/>
      </c>
      <c r="F17" s="2">
        <f>COUNTIFS(交易明細!$B$2:$B$211,$A17,交易明細!$J$2:$J$211,"止盈")</f>
        <v/>
      </c>
      <c r="G17" s="2">
        <f>COUNTIFS(交易明細!$B$2:$B$211,$A17,交易明細!$J$2:$J$211,"止損")</f>
        <v/>
      </c>
      <c r="H17" s="4">
        <f>IFERROR(F17/E17,0)</f>
        <v/>
      </c>
      <c r="I17" s="4">
        <f>IFERROR(AVERAGEIFS(交易明細!$L$2:$L$211,交易明細!$B$2:$B$211,$A17,交易明細!$J$2:$J$211,"&lt;&gt;未平倉"),0)</f>
        <v/>
      </c>
      <c r="J17" s="4">
        <f>SUMIFS(交易明細!$L$2:$L$211,交易明細!$B$2:$B$211,$A17,交易明細!$J$2:$J$211,"&lt;&gt;未平倉")</f>
        <v/>
      </c>
      <c r="K17" s="5">
        <f>IFERROR(AVERAGEIFS(交易明細!$K$2:$K$211,交易明細!$B$2:$B$211,$A17,交易明細!$J$2:$J$211,"&lt;&gt;未平倉"),0)</f>
        <v/>
      </c>
      <c r="L17" s="2">
        <f>COUNTIFS(交易明細!$B$2:$B$211,$A17,交易明細!$J$2:$J$211,"未平倉")</f>
        <v/>
      </c>
    </row>
    <row r="18">
      <c r="A18" s="2" t="inlineStr">
        <is>
          <t>SKR_USDT_PERP</t>
        </is>
      </c>
      <c r="B18" s="2">
        <f>COUNTIFS(交易明細!$B$2:$B$211,$A18)</f>
        <v/>
      </c>
      <c r="C18" s="2">
        <f>COUNTIFS(交易明細!$B$2:$B$211,$A18,交易明細!$C$2:$C$211,"做多")</f>
        <v/>
      </c>
      <c r="D18" s="2">
        <f>COUNTIFS(交易明細!$B$2:$B$211,$A18,交易明細!$C$2:$C$211,"做空")</f>
        <v/>
      </c>
      <c r="E18" s="2">
        <f>F18+G18+COUNTIFS(交易明細!$B$2:$B$211,$A18,交易明細!$J$2:$J$211,"時間出場")</f>
        <v/>
      </c>
      <c r="F18" s="2">
        <f>COUNTIFS(交易明細!$B$2:$B$211,$A18,交易明細!$J$2:$J$211,"止盈")</f>
        <v/>
      </c>
      <c r="G18" s="2">
        <f>COUNTIFS(交易明細!$B$2:$B$211,$A18,交易明細!$J$2:$J$211,"止損")</f>
        <v/>
      </c>
      <c r="H18" s="4">
        <f>IFERROR(F18/E18,0)</f>
        <v/>
      </c>
      <c r="I18" s="4">
        <f>IFERROR(AVERAGEIFS(交易明細!$L$2:$L$211,交易明細!$B$2:$B$211,$A18,交易明細!$J$2:$J$211,"&lt;&gt;未平倉"),0)</f>
        <v/>
      </c>
      <c r="J18" s="4">
        <f>SUMIFS(交易明細!$L$2:$L$211,交易明細!$B$2:$B$211,$A18,交易明細!$J$2:$J$211,"&lt;&gt;未平倉")</f>
        <v/>
      </c>
      <c r="K18" s="5">
        <f>IFERROR(AVERAGEIFS(交易明細!$K$2:$K$211,交易明細!$B$2:$B$211,$A18,交易明細!$J$2:$J$211,"&lt;&gt;未平倉"),0)</f>
        <v/>
      </c>
      <c r="L18" s="2">
        <f>COUNTIFS(交易明細!$B$2:$B$211,$A18,交易明細!$J$2:$J$211,"未平倉")</f>
        <v/>
      </c>
    </row>
    <row r="19">
      <c r="A19" s="2" t="inlineStr">
        <is>
          <t>IOST_USDT_PERP</t>
        </is>
      </c>
      <c r="B19" s="2">
        <f>COUNTIFS(交易明細!$B$2:$B$211,$A19)</f>
        <v/>
      </c>
      <c r="C19" s="2">
        <f>COUNTIFS(交易明細!$B$2:$B$211,$A19,交易明細!$C$2:$C$211,"做多")</f>
        <v/>
      </c>
      <c r="D19" s="2">
        <f>COUNTIFS(交易明細!$B$2:$B$211,$A19,交易明細!$C$2:$C$211,"做空")</f>
        <v/>
      </c>
      <c r="E19" s="2">
        <f>F19+G19+COUNTIFS(交易明細!$B$2:$B$211,$A19,交易明細!$J$2:$J$211,"時間出場")</f>
        <v/>
      </c>
      <c r="F19" s="2">
        <f>COUNTIFS(交易明細!$B$2:$B$211,$A19,交易明細!$J$2:$J$211,"止盈")</f>
        <v/>
      </c>
      <c r="G19" s="2">
        <f>COUNTIFS(交易明細!$B$2:$B$211,$A19,交易明細!$J$2:$J$211,"止損")</f>
        <v/>
      </c>
      <c r="H19" s="4">
        <f>IFERROR(F19/E19,0)</f>
        <v/>
      </c>
      <c r="I19" s="4">
        <f>IFERROR(AVERAGEIFS(交易明細!$L$2:$L$211,交易明細!$B$2:$B$211,$A19,交易明細!$J$2:$J$211,"&lt;&gt;未平倉"),0)</f>
        <v/>
      </c>
      <c r="J19" s="4">
        <f>SUMIFS(交易明細!$L$2:$L$211,交易明細!$B$2:$B$211,$A19,交易明細!$J$2:$J$211,"&lt;&gt;未平倉")</f>
        <v/>
      </c>
      <c r="K19" s="5">
        <f>IFERROR(AVERAGEIFS(交易明細!$K$2:$K$211,交易明細!$B$2:$B$211,$A19,交易明細!$J$2:$J$211,"&lt;&gt;未平倉"),0)</f>
        <v/>
      </c>
      <c r="L19" s="2">
        <f>COUNTIFS(交易明細!$B$2:$B$211,$A19,交易明細!$J$2:$J$211,"未平倉")</f>
        <v/>
      </c>
    </row>
    <row r="20">
      <c r="A20" s="2" t="inlineStr">
        <is>
          <t>LAB_USDT_PERP</t>
        </is>
      </c>
      <c r="B20" s="2">
        <f>COUNTIFS(交易明細!$B$2:$B$211,$A20)</f>
        <v/>
      </c>
      <c r="C20" s="2">
        <f>COUNTIFS(交易明細!$B$2:$B$211,$A20,交易明細!$C$2:$C$211,"做多")</f>
        <v/>
      </c>
      <c r="D20" s="2">
        <f>COUNTIFS(交易明細!$B$2:$B$211,$A20,交易明細!$C$2:$C$211,"做空")</f>
        <v/>
      </c>
      <c r="E20" s="2">
        <f>F20+G20+COUNTIFS(交易明細!$B$2:$B$211,$A20,交易明細!$J$2:$J$211,"時間出場")</f>
        <v/>
      </c>
      <c r="F20" s="2">
        <f>COUNTIFS(交易明細!$B$2:$B$211,$A20,交易明細!$J$2:$J$211,"止盈")</f>
        <v/>
      </c>
      <c r="G20" s="2">
        <f>COUNTIFS(交易明細!$B$2:$B$211,$A20,交易明細!$J$2:$J$211,"止損")</f>
        <v/>
      </c>
      <c r="H20" s="4">
        <f>IFERROR(F20/E20,0)</f>
        <v/>
      </c>
      <c r="I20" s="4">
        <f>IFERROR(AVERAGEIFS(交易明細!$L$2:$L$211,交易明細!$B$2:$B$211,$A20,交易明細!$J$2:$J$211,"&lt;&gt;未平倉"),0)</f>
        <v/>
      </c>
      <c r="J20" s="4">
        <f>SUMIFS(交易明細!$L$2:$L$211,交易明細!$B$2:$B$211,$A20,交易明細!$J$2:$J$211,"&lt;&gt;未平倉")</f>
        <v/>
      </c>
      <c r="K20" s="5">
        <f>IFERROR(AVERAGEIFS(交易明細!$K$2:$K$211,交易明細!$B$2:$B$211,$A20,交易明細!$J$2:$J$211,"&lt;&gt;未平倉"),0)</f>
        <v/>
      </c>
      <c r="L20" s="2">
        <f>COUNTIFS(交易明細!$B$2:$B$211,$A20,交易明細!$J$2:$J$211,"未平倉")</f>
        <v/>
      </c>
    </row>
    <row r="21">
      <c r="A21" s="2" t="inlineStr">
        <is>
          <t>BTR_USDT_PERP</t>
        </is>
      </c>
      <c r="B21" s="2">
        <f>COUNTIFS(交易明細!$B$2:$B$211,$A21)</f>
        <v/>
      </c>
      <c r="C21" s="2">
        <f>COUNTIFS(交易明細!$B$2:$B$211,$A21,交易明細!$C$2:$C$211,"做多")</f>
        <v/>
      </c>
      <c r="D21" s="2">
        <f>COUNTIFS(交易明細!$B$2:$B$211,$A21,交易明細!$C$2:$C$211,"做空")</f>
        <v/>
      </c>
      <c r="E21" s="2">
        <f>F21+G21+COUNTIFS(交易明細!$B$2:$B$211,$A21,交易明細!$J$2:$J$211,"時間出場")</f>
        <v/>
      </c>
      <c r="F21" s="2">
        <f>COUNTIFS(交易明細!$B$2:$B$211,$A21,交易明細!$J$2:$J$211,"止盈")</f>
        <v/>
      </c>
      <c r="G21" s="2">
        <f>COUNTIFS(交易明細!$B$2:$B$211,$A21,交易明細!$J$2:$J$211,"止損")</f>
        <v/>
      </c>
      <c r="H21" s="4">
        <f>IFERROR(F21/E21,0)</f>
        <v/>
      </c>
      <c r="I21" s="4">
        <f>IFERROR(AVERAGEIFS(交易明細!$L$2:$L$211,交易明細!$B$2:$B$211,$A21,交易明細!$J$2:$J$211,"&lt;&gt;未平倉"),0)</f>
        <v/>
      </c>
      <c r="J21" s="4">
        <f>SUMIFS(交易明細!$L$2:$L$211,交易明細!$B$2:$B$211,$A21,交易明細!$J$2:$J$211,"&lt;&gt;未平倉")</f>
        <v/>
      </c>
      <c r="K21" s="5">
        <f>IFERROR(AVERAGEIFS(交易明細!$K$2:$K$211,交易明細!$B$2:$B$211,$A21,交易明細!$J$2:$J$211,"&lt;&gt;未平倉"),0)</f>
        <v/>
      </c>
      <c r="L21" s="2">
        <f>COUNTIFS(交易明細!$B$2:$B$211,$A21,交易明細!$J$2:$J$211,"未平倉")</f>
        <v/>
      </c>
    </row>
    <row r="22">
      <c r="A22" s="2" t="inlineStr">
        <is>
          <t>XPL_USDT_PERP</t>
        </is>
      </c>
      <c r="B22" s="2">
        <f>COUNTIFS(交易明細!$B$2:$B$211,$A22)</f>
        <v/>
      </c>
      <c r="C22" s="2">
        <f>COUNTIFS(交易明細!$B$2:$B$211,$A22,交易明細!$C$2:$C$211,"做多")</f>
        <v/>
      </c>
      <c r="D22" s="2">
        <f>COUNTIFS(交易明細!$B$2:$B$211,$A22,交易明細!$C$2:$C$211,"做空")</f>
        <v/>
      </c>
      <c r="E22" s="2">
        <f>F22+G22+COUNTIFS(交易明細!$B$2:$B$211,$A22,交易明細!$J$2:$J$211,"時間出場")</f>
        <v/>
      </c>
      <c r="F22" s="2">
        <f>COUNTIFS(交易明細!$B$2:$B$211,$A22,交易明細!$J$2:$J$211,"止盈")</f>
        <v/>
      </c>
      <c r="G22" s="2">
        <f>COUNTIFS(交易明細!$B$2:$B$211,$A22,交易明細!$J$2:$J$211,"止損")</f>
        <v/>
      </c>
      <c r="H22" s="4">
        <f>IFERROR(F22/E22,0)</f>
        <v/>
      </c>
      <c r="I22" s="4">
        <f>IFERROR(AVERAGEIFS(交易明細!$L$2:$L$211,交易明細!$B$2:$B$211,$A22,交易明細!$J$2:$J$211,"&lt;&gt;未平倉"),0)</f>
        <v/>
      </c>
      <c r="J22" s="4">
        <f>SUMIFS(交易明細!$L$2:$L$211,交易明細!$B$2:$B$211,$A22,交易明細!$J$2:$J$211,"&lt;&gt;未平倉")</f>
        <v/>
      </c>
      <c r="K22" s="5">
        <f>IFERROR(AVERAGEIFS(交易明細!$K$2:$K$211,交易明細!$B$2:$B$211,$A22,交易明細!$J$2:$J$211,"&lt;&gt;未平倉"),0)</f>
        <v/>
      </c>
      <c r="L22" s="2">
        <f>COUNTIFS(交易明細!$B$2:$B$211,$A22,交易明細!$J$2:$J$211,"未平倉")</f>
        <v/>
      </c>
    </row>
    <row r="23">
      <c r="A23" s="2" t="inlineStr">
        <is>
          <t>ENA_USDT_PERP</t>
        </is>
      </c>
      <c r="B23" s="2">
        <f>COUNTIFS(交易明細!$B$2:$B$211,$A23)</f>
        <v/>
      </c>
      <c r="C23" s="2">
        <f>COUNTIFS(交易明細!$B$2:$B$211,$A23,交易明細!$C$2:$C$211,"做多")</f>
        <v/>
      </c>
      <c r="D23" s="2">
        <f>COUNTIFS(交易明細!$B$2:$B$211,$A23,交易明細!$C$2:$C$211,"做空")</f>
        <v/>
      </c>
      <c r="E23" s="2">
        <f>F23+G23+COUNTIFS(交易明細!$B$2:$B$211,$A23,交易明細!$J$2:$J$211,"時間出場")</f>
        <v/>
      </c>
      <c r="F23" s="2">
        <f>COUNTIFS(交易明細!$B$2:$B$211,$A23,交易明細!$J$2:$J$211,"止盈")</f>
        <v/>
      </c>
      <c r="G23" s="2">
        <f>COUNTIFS(交易明細!$B$2:$B$211,$A23,交易明細!$J$2:$J$211,"止損")</f>
        <v/>
      </c>
      <c r="H23" s="4">
        <f>IFERROR(F23/E23,0)</f>
        <v/>
      </c>
      <c r="I23" s="4">
        <f>IFERROR(AVERAGEIFS(交易明細!$L$2:$L$211,交易明細!$B$2:$B$211,$A23,交易明細!$J$2:$J$211,"&lt;&gt;未平倉"),0)</f>
        <v/>
      </c>
      <c r="J23" s="4">
        <f>SUMIFS(交易明細!$L$2:$L$211,交易明細!$B$2:$B$211,$A23,交易明細!$J$2:$J$211,"&lt;&gt;未平倉")</f>
        <v/>
      </c>
      <c r="K23" s="5">
        <f>IFERROR(AVERAGEIFS(交易明細!$K$2:$K$211,交易明細!$B$2:$B$211,$A23,交易明細!$J$2:$J$211,"&lt;&gt;未平倉"),0)</f>
        <v/>
      </c>
      <c r="L23" s="2">
        <f>COUNTIFS(交易明細!$B$2:$B$211,$A23,交易明細!$J$2:$J$211,"未平倉")</f>
        <v/>
      </c>
    </row>
    <row r="24">
      <c r="A24" s="2" t="inlineStr">
        <is>
          <t>ACE_USDT_PERP</t>
        </is>
      </c>
      <c r="B24" s="2">
        <f>COUNTIFS(交易明細!$B$2:$B$211,$A24)</f>
        <v/>
      </c>
      <c r="C24" s="2">
        <f>COUNTIFS(交易明細!$B$2:$B$211,$A24,交易明細!$C$2:$C$211,"做多")</f>
        <v/>
      </c>
      <c r="D24" s="2">
        <f>COUNTIFS(交易明細!$B$2:$B$211,$A24,交易明細!$C$2:$C$211,"做空")</f>
        <v/>
      </c>
      <c r="E24" s="2">
        <f>F24+G24+COUNTIFS(交易明細!$B$2:$B$211,$A24,交易明細!$J$2:$J$211,"時間出場")</f>
        <v/>
      </c>
      <c r="F24" s="2">
        <f>COUNTIFS(交易明細!$B$2:$B$211,$A24,交易明細!$J$2:$J$211,"止盈")</f>
        <v/>
      </c>
      <c r="G24" s="2">
        <f>COUNTIFS(交易明細!$B$2:$B$211,$A24,交易明細!$J$2:$J$211,"止損")</f>
        <v/>
      </c>
      <c r="H24" s="4">
        <f>IFERROR(F24/E24,0)</f>
        <v/>
      </c>
      <c r="I24" s="4">
        <f>IFERROR(AVERAGEIFS(交易明細!$L$2:$L$211,交易明細!$B$2:$B$211,$A24,交易明細!$J$2:$J$211,"&lt;&gt;未平倉"),0)</f>
        <v/>
      </c>
      <c r="J24" s="4">
        <f>SUMIFS(交易明細!$L$2:$L$211,交易明細!$B$2:$B$211,$A24,交易明細!$J$2:$J$211,"&lt;&gt;未平倉")</f>
        <v/>
      </c>
      <c r="K24" s="5">
        <f>IFERROR(AVERAGEIFS(交易明細!$K$2:$K$211,交易明細!$B$2:$B$211,$A24,交易明細!$J$2:$J$211,"&lt;&gt;未平倉"),0)</f>
        <v/>
      </c>
      <c r="L24" s="2">
        <f>COUNTIFS(交易明細!$B$2:$B$211,$A24,交易明細!$J$2:$J$211,"未平倉")</f>
        <v/>
      </c>
    </row>
    <row r="25">
      <c r="A25" s="2" t="inlineStr">
        <is>
          <t>EDGE_USDT_PERP</t>
        </is>
      </c>
      <c r="B25" s="2">
        <f>COUNTIFS(交易明細!$B$2:$B$211,$A25)</f>
        <v/>
      </c>
      <c r="C25" s="2">
        <f>COUNTIFS(交易明細!$B$2:$B$211,$A25,交易明細!$C$2:$C$211,"做多")</f>
        <v/>
      </c>
      <c r="D25" s="2">
        <f>COUNTIFS(交易明細!$B$2:$B$211,$A25,交易明細!$C$2:$C$211,"做空")</f>
        <v/>
      </c>
      <c r="E25" s="2">
        <f>F25+G25+COUNTIFS(交易明細!$B$2:$B$211,$A25,交易明細!$J$2:$J$211,"時間出場")</f>
        <v/>
      </c>
      <c r="F25" s="2">
        <f>COUNTIFS(交易明細!$B$2:$B$211,$A25,交易明細!$J$2:$J$211,"止盈")</f>
        <v/>
      </c>
      <c r="G25" s="2">
        <f>COUNTIFS(交易明細!$B$2:$B$211,$A25,交易明細!$J$2:$J$211,"止損")</f>
        <v/>
      </c>
      <c r="H25" s="4">
        <f>IFERROR(F25/E25,0)</f>
        <v/>
      </c>
      <c r="I25" s="4">
        <f>IFERROR(AVERAGEIFS(交易明細!$L$2:$L$211,交易明細!$B$2:$B$211,$A25,交易明細!$J$2:$J$211,"&lt;&gt;未平倉"),0)</f>
        <v/>
      </c>
      <c r="J25" s="4">
        <f>SUMIFS(交易明細!$L$2:$L$211,交易明細!$B$2:$B$211,$A25,交易明細!$J$2:$J$211,"&lt;&gt;未平倉")</f>
        <v/>
      </c>
      <c r="K25" s="5">
        <f>IFERROR(AVERAGEIFS(交易明細!$K$2:$K$211,交易明細!$B$2:$B$211,$A25,交易明細!$J$2:$J$211,"&lt;&gt;未平倉"),0)</f>
        <v/>
      </c>
      <c r="L25" s="2">
        <f>COUNTIFS(交易明細!$B$2:$B$211,$A25,交易明細!$J$2:$J$211,"未平倉")</f>
        <v/>
      </c>
    </row>
    <row r="26">
      <c r="A26" s="2" t="inlineStr">
        <is>
          <t>4_USDT_PERP</t>
        </is>
      </c>
      <c r="B26" s="2">
        <f>COUNTIFS(交易明細!$B$2:$B$211,$A26)</f>
        <v/>
      </c>
      <c r="C26" s="2">
        <f>COUNTIFS(交易明細!$B$2:$B$211,$A26,交易明細!$C$2:$C$211,"做多")</f>
        <v/>
      </c>
      <c r="D26" s="2">
        <f>COUNTIFS(交易明細!$B$2:$B$211,$A26,交易明細!$C$2:$C$211,"做空")</f>
        <v/>
      </c>
      <c r="E26" s="2">
        <f>F26+G26+COUNTIFS(交易明細!$B$2:$B$211,$A26,交易明細!$J$2:$J$211,"時間出場")</f>
        <v/>
      </c>
      <c r="F26" s="2">
        <f>COUNTIFS(交易明細!$B$2:$B$211,$A26,交易明細!$J$2:$J$211,"止盈")</f>
        <v/>
      </c>
      <c r="G26" s="2">
        <f>COUNTIFS(交易明細!$B$2:$B$211,$A26,交易明細!$J$2:$J$211,"止損")</f>
        <v/>
      </c>
      <c r="H26" s="4">
        <f>IFERROR(F26/E26,0)</f>
        <v/>
      </c>
      <c r="I26" s="4">
        <f>IFERROR(AVERAGEIFS(交易明細!$L$2:$L$211,交易明細!$B$2:$B$211,$A26,交易明細!$J$2:$J$211,"&lt;&gt;未平倉"),0)</f>
        <v/>
      </c>
      <c r="J26" s="4">
        <f>SUMIFS(交易明細!$L$2:$L$211,交易明細!$B$2:$B$211,$A26,交易明細!$J$2:$J$211,"&lt;&gt;未平倉")</f>
        <v/>
      </c>
      <c r="K26" s="5">
        <f>IFERROR(AVERAGEIFS(交易明細!$K$2:$K$211,交易明細!$B$2:$B$211,$A26,交易明細!$J$2:$J$211,"&lt;&gt;未平倉"),0)</f>
        <v/>
      </c>
      <c r="L26" s="2">
        <f>COUNTIFS(交易明細!$B$2:$B$211,$A26,交易明細!$J$2:$J$211,"未平倉")</f>
        <v/>
      </c>
    </row>
    <row r="27">
      <c r="A27" s="2" t="inlineStr">
        <is>
          <t>ZEC_USDT_PERP</t>
        </is>
      </c>
      <c r="B27" s="2">
        <f>COUNTIFS(交易明細!$B$2:$B$211,$A27)</f>
        <v/>
      </c>
      <c r="C27" s="2">
        <f>COUNTIFS(交易明細!$B$2:$B$211,$A27,交易明細!$C$2:$C$211,"做多")</f>
        <v/>
      </c>
      <c r="D27" s="2">
        <f>COUNTIFS(交易明細!$B$2:$B$211,$A27,交易明細!$C$2:$C$211,"做空")</f>
        <v/>
      </c>
      <c r="E27" s="2">
        <f>F27+G27+COUNTIFS(交易明細!$B$2:$B$211,$A27,交易明細!$J$2:$J$211,"時間出場")</f>
        <v/>
      </c>
      <c r="F27" s="2">
        <f>COUNTIFS(交易明細!$B$2:$B$211,$A27,交易明細!$J$2:$J$211,"止盈")</f>
        <v/>
      </c>
      <c r="G27" s="2">
        <f>COUNTIFS(交易明細!$B$2:$B$211,$A27,交易明細!$J$2:$J$211,"止損")</f>
        <v/>
      </c>
      <c r="H27" s="4">
        <f>IFERROR(F27/E27,0)</f>
        <v/>
      </c>
      <c r="I27" s="4">
        <f>IFERROR(AVERAGEIFS(交易明細!$L$2:$L$211,交易明細!$B$2:$B$211,$A27,交易明細!$J$2:$J$211,"&lt;&gt;未平倉"),0)</f>
        <v/>
      </c>
      <c r="J27" s="4">
        <f>SUMIFS(交易明細!$L$2:$L$211,交易明細!$B$2:$B$211,$A27,交易明細!$J$2:$J$211,"&lt;&gt;未平倉")</f>
        <v/>
      </c>
      <c r="K27" s="5">
        <f>IFERROR(AVERAGEIFS(交易明細!$K$2:$K$211,交易明細!$B$2:$B$211,$A27,交易明細!$J$2:$J$211,"&lt;&gt;未平倉"),0)</f>
        <v/>
      </c>
      <c r="L27" s="2">
        <f>COUNTIFS(交易明細!$B$2:$B$211,$A27,交易明細!$J$2:$J$211,"未平倉")</f>
        <v/>
      </c>
    </row>
    <row r="28">
      <c r="A28" s="2" t="inlineStr">
        <is>
          <t>WLD_USDT_PERP</t>
        </is>
      </c>
      <c r="B28" s="2">
        <f>COUNTIFS(交易明細!$B$2:$B$211,$A28)</f>
        <v/>
      </c>
      <c r="C28" s="2">
        <f>COUNTIFS(交易明細!$B$2:$B$211,$A28,交易明細!$C$2:$C$211,"做多")</f>
        <v/>
      </c>
      <c r="D28" s="2">
        <f>COUNTIFS(交易明細!$B$2:$B$211,$A28,交易明細!$C$2:$C$211,"做空")</f>
        <v/>
      </c>
      <c r="E28" s="2">
        <f>F28+G28+COUNTIFS(交易明細!$B$2:$B$211,$A28,交易明細!$J$2:$J$211,"時間出場")</f>
        <v/>
      </c>
      <c r="F28" s="2">
        <f>COUNTIFS(交易明細!$B$2:$B$211,$A28,交易明細!$J$2:$J$211,"止盈")</f>
        <v/>
      </c>
      <c r="G28" s="2">
        <f>COUNTIFS(交易明細!$B$2:$B$211,$A28,交易明細!$J$2:$J$211,"止損")</f>
        <v/>
      </c>
      <c r="H28" s="4">
        <f>IFERROR(F28/E28,0)</f>
        <v/>
      </c>
      <c r="I28" s="4">
        <f>IFERROR(AVERAGEIFS(交易明細!$L$2:$L$211,交易明細!$B$2:$B$211,$A28,交易明細!$J$2:$J$211,"&lt;&gt;未平倉"),0)</f>
        <v/>
      </c>
      <c r="J28" s="4">
        <f>SUMIFS(交易明細!$L$2:$L$211,交易明細!$B$2:$B$211,$A28,交易明細!$J$2:$J$211,"&lt;&gt;未平倉")</f>
        <v/>
      </c>
      <c r="K28" s="5">
        <f>IFERROR(AVERAGEIFS(交易明細!$K$2:$K$211,交易明細!$B$2:$B$211,$A28,交易明細!$J$2:$J$211,"&lt;&gt;未平倉"),0)</f>
        <v/>
      </c>
      <c r="L28" s="2">
        <f>COUNTIFS(交易明細!$B$2:$B$211,$A28,交易明細!$J$2:$J$211,"未平倉")</f>
        <v/>
      </c>
    </row>
    <row r="29">
      <c r="A29" s="2" t="inlineStr">
        <is>
          <t>AERO_USDT_PERP</t>
        </is>
      </c>
      <c r="B29" s="2">
        <f>COUNTIFS(交易明細!$B$2:$B$211,$A29)</f>
        <v/>
      </c>
      <c r="C29" s="2">
        <f>COUNTIFS(交易明細!$B$2:$B$211,$A29,交易明細!$C$2:$C$211,"做多")</f>
        <v/>
      </c>
      <c r="D29" s="2">
        <f>COUNTIFS(交易明細!$B$2:$B$211,$A29,交易明細!$C$2:$C$211,"做空")</f>
        <v/>
      </c>
      <c r="E29" s="2">
        <f>F29+G29+COUNTIFS(交易明細!$B$2:$B$211,$A29,交易明細!$J$2:$J$211,"時間出場")</f>
        <v/>
      </c>
      <c r="F29" s="2">
        <f>COUNTIFS(交易明細!$B$2:$B$211,$A29,交易明細!$J$2:$J$211,"止盈")</f>
        <v/>
      </c>
      <c r="G29" s="2">
        <f>COUNTIFS(交易明細!$B$2:$B$211,$A29,交易明細!$J$2:$J$211,"止損")</f>
        <v/>
      </c>
      <c r="H29" s="4">
        <f>IFERROR(F29/E29,0)</f>
        <v/>
      </c>
      <c r="I29" s="4">
        <f>IFERROR(AVERAGEIFS(交易明細!$L$2:$L$211,交易明細!$B$2:$B$211,$A29,交易明細!$J$2:$J$211,"&lt;&gt;未平倉"),0)</f>
        <v/>
      </c>
      <c r="J29" s="4">
        <f>SUMIFS(交易明細!$L$2:$L$211,交易明細!$B$2:$B$211,$A29,交易明細!$J$2:$J$211,"&lt;&gt;未平倉")</f>
        <v/>
      </c>
      <c r="K29" s="5">
        <f>IFERROR(AVERAGEIFS(交易明細!$K$2:$K$211,交易明細!$B$2:$B$211,$A29,交易明細!$J$2:$J$211,"&lt;&gt;未平倉"),0)</f>
        <v/>
      </c>
      <c r="L29" s="2">
        <f>COUNTIFS(交易明細!$B$2:$B$211,$A29,交易明細!$J$2:$J$211,"未平倉")</f>
        <v/>
      </c>
    </row>
    <row r="30">
      <c r="A30" s="2" t="inlineStr">
        <is>
          <t>DOT_USDT_PERP</t>
        </is>
      </c>
      <c r="B30" s="2">
        <f>COUNTIFS(交易明細!$B$2:$B$211,$A30)</f>
        <v/>
      </c>
      <c r="C30" s="2">
        <f>COUNTIFS(交易明細!$B$2:$B$211,$A30,交易明細!$C$2:$C$211,"做多")</f>
        <v/>
      </c>
      <c r="D30" s="2">
        <f>COUNTIFS(交易明細!$B$2:$B$211,$A30,交易明細!$C$2:$C$211,"做空")</f>
        <v/>
      </c>
      <c r="E30" s="2">
        <f>F30+G30+COUNTIFS(交易明細!$B$2:$B$211,$A30,交易明細!$J$2:$J$211,"時間出場")</f>
        <v/>
      </c>
      <c r="F30" s="2">
        <f>COUNTIFS(交易明細!$B$2:$B$211,$A30,交易明細!$J$2:$J$211,"止盈")</f>
        <v/>
      </c>
      <c r="G30" s="2">
        <f>COUNTIFS(交易明細!$B$2:$B$211,$A30,交易明細!$J$2:$J$211,"止損")</f>
        <v/>
      </c>
      <c r="H30" s="4">
        <f>IFERROR(F30/E30,0)</f>
        <v/>
      </c>
      <c r="I30" s="4">
        <f>IFERROR(AVERAGEIFS(交易明細!$L$2:$L$211,交易明細!$B$2:$B$211,$A30,交易明細!$J$2:$J$211,"&lt;&gt;未平倉"),0)</f>
        <v/>
      </c>
      <c r="J30" s="4">
        <f>SUMIFS(交易明細!$L$2:$L$211,交易明細!$B$2:$B$211,$A30,交易明細!$J$2:$J$211,"&lt;&gt;未平倉")</f>
        <v/>
      </c>
      <c r="K30" s="5">
        <f>IFERROR(AVERAGEIFS(交易明細!$K$2:$K$211,交易明細!$B$2:$B$211,$A30,交易明細!$J$2:$J$211,"&lt;&gt;未平倉"),0)</f>
        <v/>
      </c>
      <c r="L30" s="2">
        <f>COUNTIFS(交易明細!$B$2:$B$211,$A30,交易明細!$J$2:$J$211,"未平倉")</f>
        <v/>
      </c>
    </row>
    <row r="31">
      <c r="A31" s="2" t="inlineStr">
        <is>
          <t>RIVER_USDT_PERP</t>
        </is>
      </c>
      <c r="B31" s="2">
        <f>COUNTIFS(交易明細!$B$2:$B$211,$A31)</f>
        <v/>
      </c>
      <c r="C31" s="2">
        <f>COUNTIFS(交易明細!$B$2:$B$211,$A31,交易明細!$C$2:$C$211,"做多")</f>
        <v/>
      </c>
      <c r="D31" s="2">
        <f>COUNTIFS(交易明細!$B$2:$B$211,$A31,交易明細!$C$2:$C$211,"做空")</f>
        <v/>
      </c>
      <c r="E31" s="2">
        <f>F31+G31+COUNTIFS(交易明細!$B$2:$B$211,$A31,交易明細!$J$2:$J$211,"時間出場")</f>
        <v/>
      </c>
      <c r="F31" s="2">
        <f>COUNTIFS(交易明細!$B$2:$B$211,$A31,交易明細!$J$2:$J$211,"止盈")</f>
        <v/>
      </c>
      <c r="G31" s="2">
        <f>COUNTIFS(交易明細!$B$2:$B$211,$A31,交易明細!$J$2:$J$211,"止損")</f>
        <v/>
      </c>
      <c r="H31" s="4">
        <f>IFERROR(F31/E31,0)</f>
        <v/>
      </c>
      <c r="I31" s="4">
        <f>IFERROR(AVERAGEIFS(交易明細!$L$2:$L$211,交易明細!$B$2:$B$211,$A31,交易明細!$J$2:$J$211,"&lt;&gt;未平倉"),0)</f>
        <v/>
      </c>
      <c r="J31" s="4">
        <f>SUMIFS(交易明細!$L$2:$L$211,交易明細!$B$2:$B$211,$A31,交易明細!$J$2:$J$211,"&lt;&gt;未平倉")</f>
        <v/>
      </c>
      <c r="K31" s="5">
        <f>IFERROR(AVERAGEIFS(交易明細!$K$2:$K$211,交易明細!$B$2:$B$211,$A31,交易明細!$J$2:$J$211,"&lt;&gt;未平倉"),0)</f>
        <v/>
      </c>
      <c r="L31" s="2">
        <f>COUNTIFS(交易明細!$B$2:$B$211,$A31,交易明細!$J$2:$J$211,"未平倉")</f>
        <v/>
      </c>
    </row>
    <row r="32">
      <c r="A32" s="2" t="inlineStr">
        <is>
          <t>SKYAI_USDT_PERP</t>
        </is>
      </c>
      <c r="B32" s="2">
        <f>COUNTIFS(交易明細!$B$2:$B$211,$A32)</f>
        <v/>
      </c>
      <c r="C32" s="2">
        <f>COUNTIFS(交易明細!$B$2:$B$211,$A32,交易明細!$C$2:$C$211,"做多")</f>
        <v/>
      </c>
      <c r="D32" s="2">
        <f>COUNTIFS(交易明細!$B$2:$B$211,$A32,交易明細!$C$2:$C$211,"做空")</f>
        <v/>
      </c>
      <c r="E32" s="2">
        <f>F32+G32+COUNTIFS(交易明細!$B$2:$B$211,$A32,交易明細!$J$2:$J$211,"時間出場")</f>
        <v/>
      </c>
      <c r="F32" s="2">
        <f>COUNTIFS(交易明細!$B$2:$B$211,$A32,交易明細!$J$2:$J$211,"止盈")</f>
        <v/>
      </c>
      <c r="G32" s="2">
        <f>COUNTIFS(交易明細!$B$2:$B$211,$A32,交易明細!$J$2:$J$211,"止損")</f>
        <v/>
      </c>
      <c r="H32" s="4">
        <f>IFERROR(F32/E32,0)</f>
        <v/>
      </c>
      <c r="I32" s="4">
        <f>IFERROR(AVERAGEIFS(交易明細!$L$2:$L$211,交易明細!$B$2:$B$211,$A32,交易明細!$J$2:$J$211,"&lt;&gt;未平倉"),0)</f>
        <v/>
      </c>
      <c r="J32" s="4">
        <f>SUMIFS(交易明細!$L$2:$L$211,交易明細!$B$2:$B$211,$A32,交易明細!$J$2:$J$211,"&lt;&gt;未平倉")</f>
        <v/>
      </c>
      <c r="K32" s="5">
        <f>IFERROR(AVERAGEIFS(交易明細!$K$2:$K$211,交易明細!$B$2:$B$211,$A32,交易明細!$J$2:$J$211,"&lt;&gt;未平倉"),0)</f>
        <v/>
      </c>
      <c r="L32" s="2">
        <f>COUNTIFS(交易明細!$B$2:$B$211,$A32,交易明細!$J$2:$J$211,"未平倉")</f>
        <v/>
      </c>
    </row>
    <row r="33">
      <c r="A33" s="2" t="inlineStr">
        <is>
          <t>XMR_USDT_PERP</t>
        </is>
      </c>
      <c r="B33" s="2">
        <f>COUNTIFS(交易明細!$B$2:$B$211,$A33)</f>
        <v/>
      </c>
      <c r="C33" s="2">
        <f>COUNTIFS(交易明細!$B$2:$B$211,$A33,交易明細!$C$2:$C$211,"做多")</f>
        <v/>
      </c>
      <c r="D33" s="2">
        <f>COUNTIFS(交易明細!$B$2:$B$211,$A33,交易明細!$C$2:$C$211,"做空")</f>
        <v/>
      </c>
      <c r="E33" s="2">
        <f>F33+G33+COUNTIFS(交易明細!$B$2:$B$211,$A33,交易明細!$J$2:$J$211,"時間出場")</f>
        <v/>
      </c>
      <c r="F33" s="2">
        <f>COUNTIFS(交易明細!$B$2:$B$211,$A33,交易明細!$J$2:$J$211,"止盈")</f>
        <v/>
      </c>
      <c r="G33" s="2">
        <f>COUNTIFS(交易明細!$B$2:$B$211,$A33,交易明細!$J$2:$J$211,"止損")</f>
        <v/>
      </c>
      <c r="H33" s="4">
        <f>IFERROR(F33/E33,0)</f>
        <v/>
      </c>
      <c r="I33" s="4">
        <f>IFERROR(AVERAGEIFS(交易明細!$L$2:$L$211,交易明細!$B$2:$B$211,$A33,交易明細!$J$2:$J$211,"&lt;&gt;未平倉"),0)</f>
        <v/>
      </c>
      <c r="J33" s="4">
        <f>SUMIFS(交易明細!$L$2:$L$211,交易明細!$B$2:$B$211,$A33,交易明細!$J$2:$J$211,"&lt;&gt;未平倉")</f>
        <v/>
      </c>
      <c r="K33" s="5">
        <f>IFERROR(AVERAGEIFS(交易明細!$K$2:$K$211,交易明細!$B$2:$B$211,$A33,交易明細!$J$2:$J$211,"&lt;&gt;未平倉"),0)</f>
        <v/>
      </c>
      <c r="L33" s="2">
        <f>COUNTIFS(交易明細!$B$2:$B$211,$A33,交易明細!$J$2:$J$211,"未平倉")</f>
        <v/>
      </c>
    </row>
    <row r="34">
      <c r="A34" s="2" t="inlineStr">
        <is>
          <t>CRV_USDT_PERP</t>
        </is>
      </c>
      <c r="B34" s="2">
        <f>COUNTIFS(交易明細!$B$2:$B$211,$A34)</f>
        <v/>
      </c>
      <c r="C34" s="2">
        <f>COUNTIFS(交易明細!$B$2:$B$211,$A34,交易明細!$C$2:$C$211,"做多")</f>
        <v/>
      </c>
      <c r="D34" s="2">
        <f>COUNTIFS(交易明細!$B$2:$B$211,$A34,交易明細!$C$2:$C$211,"做空")</f>
        <v/>
      </c>
      <c r="E34" s="2">
        <f>F34+G34+COUNTIFS(交易明細!$B$2:$B$211,$A34,交易明細!$J$2:$J$211,"時間出場")</f>
        <v/>
      </c>
      <c r="F34" s="2">
        <f>COUNTIFS(交易明細!$B$2:$B$211,$A34,交易明細!$J$2:$J$211,"止盈")</f>
        <v/>
      </c>
      <c r="G34" s="2">
        <f>COUNTIFS(交易明細!$B$2:$B$211,$A34,交易明細!$J$2:$J$211,"止損")</f>
        <v/>
      </c>
      <c r="H34" s="4">
        <f>IFERROR(F34/E34,0)</f>
        <v/>
      </c>
      <c r="I34" s="4">
        <f>IFERROR(AVERAGEIFS(交易明細!$L$2:$L$211,交易明細!$B$2:$B$211,$A34,交易明細!$J$2:$J$211,"&lt;&gt;未平倉"),0)</f>
        <v/>
      </c>
      <c r="J34" s="4">
        <f>SUMIFS(交易明細!$L$2:$L$211,交易明細!$B$2:$B$211,$A34,交易明細!$J$2:$J$211,"&lt;&gt;未平倉")</f>
        <v/>
      </c>
      <c r="K34" s="5">
        <f>IFERROR(AVERAGEIFS(交易明細!$K$2:$K$211,交易明細!$B$2:$B$211,$A34,交易明細!$J$2:$J$211,"&lt;&gt;未平倉"),0)</f>
        <v/>
      </c>
      <c r="L34" s="2">
        <f>COUNTIFS(交易明細!$B$2:$B$211,$A34,交易明細!$J$2:$J$211,"未平倉")</f>
        <v/>
      </c>
    </row>
    <row r="35">
      <c r="A35" s="2" t="inlineStr">
        <is>
          <t>MAGMA_USDT_PERP</t>
        </is>
      </c>
      <c r="B35" s="2">
        <f>COUNTIFS(交易明細!$B$2:$B$211,$A35)</f>
        <v/>
      </c>
      <c r="C35" s="2">
        <f>COUNTIFS(交易明細!$B$2:$B$211,$A35,交易明細!$C$2:$C$211,"做多")</f>
        <v/>
      </c>
      <c r="D35" s="2">
        <f>COUNTIFS(交易明細!$B$2:$B$211,$A35,交易明細!$C$2:$C$211,"做空")</f>
        <v/>
      </c>
      <c r="E35" s="2">
        <f>F35+G35+COUNTIFS(交易明細!$B$2:$B$211,$A35,交易明細!$J$2:$J$211,"時間出場")</f>
        <v/>
      </c>
      <c r="F35" s="2">
        <f>COUNTIFS(交易明細!$B$2:$B$211,$A35,交易明細!$J$2:$J$211,"止盈")</f>
        <v/>
      </c>
      <c r="G35" s="2">
        <f>COUNTIFS(交易明細!$B$2:$B$211,$A35,交易明細!$J$2:$J$211,"止損")</f>
        <v/>
      </c>
      <c r="H35" s="4">
        <f>IFERROR(F35/E35,0)</f>
        <v/>
      </c>
      <c r="I35" s="4">
        <f>IFERROR(AVERAGEIFS(交易明細!$L$2:$L$211,交易明細!$B$2:$B$211,$A35,交易明細!$J$2:$J$211,"&lt;&gt;未平倉"),0)</f>
        <v/>
      </c>
      <c r="J35" s="4">
        <f>SUMIFS(交易明細!$L$2:$L$211,交易明細!$B$2:$B$211,$A35,交易明細!$J$2:$J$211,"&lt;&gt;未平倉")</f>
        <v/>
      </c>
      <c r="K35" s="5">
        <f>IFERROR(AVERAGEIFS(交易明細!$K$2:$K$211,交易明細!$B$2:$B$211,$A35,交易明細!$J$2:$J$211,"&lt;&gt;未平倉"),0)</f>
        <v/>
      </c>
      <c r="L35" s="2">
        <f>COUNTIFS(交易明細!$B$2:$B$211,$A35,交易明細!$J$2:$J$211,"未平倉")</f>
        <v/>
      </c>
    </row>
    <row r="36">
      <c r="A36" s="2" t="inlineStr">
        <is>
          <t>TRUMP_USDT_PERP</t>
        </is>
      </c>
      <c r="B36" s="2">
        <f>COUNTIFS(交易明細!$B$2:$B$211,$A36)</f>
        <v/>
      </c>
      <c r="C36" s="2">
        <f>COUNTIFS(交易明細!$B$2:$B$211,$A36,交易明細!$C$2:$C$211,"做多")</f>
        <v/>
      </c>
      <c r="D36" s="2">
        <f>COUNTIFS(交易明細!$B$2:$B$211,$A36,交易明細!$C$2:$C$211,"做空")</f>
        <v/>
      </c>
      <c r="E36" s="2">
        <f>F36+G36+COUNTIFS(交易明細!$B$2:$B$211,$A36,交易明細!$J$2:$J$211,"時間出場")</f>
        <v/>
      </c>
      <c r="F36" s="2">
        <f>COUNTIFS(交易明細!$B$2:$B$211,$A36,交易明細!$J$2:$J$211,"止盈")</f>
        <v/>
      </c>
      <c r="G36" s="2">
        <f>COUNTIFS(交易明細!$B$2:$B$211,$A36,交易明細!$J$2:$J$211,"止損")</f>
        <v/>
      </c>
      <c r="H36" s="4">
        <f>IFERROR(F36/E36,0)</f>
        <v/>
      </c>
      <c r="I36" s="4">
        <f>IFERROR(AVERAGEIFS(交易明細!$L$2:$L$211,交易明細!$B$2:$B$211,$A36,交易明細!$J$2:$J$211,"&lt;&gt;未平倉"),0)</f>
        <v/>
      </c>
      <c r="J36" s="4">
        <f>SUMIFS(交易明細!$L$2:$L$211,交易明細!$B$2:$B$211,$A36,交易明細!$J$2:$J$211,"&lt;&gt;未平倉")</f>
        <v/>
      </c>
      <c r="K36" s="5">
        <f>IFERROR(AVERAGEIFS(交易明細!$K$2:$K$211,交易明細!$B$2:$B$211,$A36,交易明細!$J$2:$J$211,"&lt;&gt;未平倉"),0)</f>
        <v/>
      </c>
      <c r="L36" s="2">
        <f>COUNTIFS(交易明細!$B$2:$B$211,$A36,交易明細!$J$2:$J$211,"未平倉")</f>
        <v/>
      </c>
    </row>
    <row r="37">
      <c r="A37" s="2" t="inlineStr">
        <is>
          <t>CHIP_USDT_PERP</t>
        </is>
      </c>
      <c r="B37" s="2">
        <f>COUNTIFS(交易明細!$B$2:$B$211,$A37)</f>
        <v/>
      </c>
      <c r="C37" s="2">
        <f>COUNTIFS(交易明細!$B$2:$B$211,$A37,交易明細!$C$2:$C$211,"做多")</f>
        <v/>
      </c>
      <c r="D37" s="2">
        <f>COUNTIFS(交易明細!$B$2:$B$211,$A37,交易明細!$C$2:$C$211,"做空")</f>
        <v/>
      </c>
      <c r="E37" s="2">
        <f>F37+G37+COUNTIFS(交易明細!$B$2:$B$211,$A37,交易明細!$J$2:$J$211,"時間出場")</f>
        <v/>
      </c>
      <c r="F37" s="2">
        <f>COUNTIFS(交易明細!$B$2:$B$211,$A37,交易明細!$J$2:$J$211,"止盈")</f>
        <v/>
      </c>
      <c r="G37" s="2">
        <f>COUNTIFS(交易明細!$B$2:$B$211,$A37,交易明細!$J$2:$J$211,"止損")</f>
        <v/>
      </c>
      <c r="H37" s="4">
        <f>IFERROR(F37/E37,0)</f>
        <v/>
      </c>
      <c r="I37" s="4">
        <f>IFERROR(AVERAGEIFS(交易明細!$L$2:$L$211,交易明細!$B$2:$B$211,$A37,交易明細!$J$2:$J$211,"&lt;&gt;未平倉"),0)</f>
        <v/>
      </c>
      <c r="J37" s="4">
        <f>SUMIFS(交易明細!$L$2:$L$211,交易明細!$B$2:$B$211,$A37,交易明細!$J$2:$J$211,"&lt;&gt;未平倉")</f>
        <v/>
      </c>
      <c r="K37" s="5">
        <f>IFERROR(AVERAGEIFS(交易明細!$K$2:$K$211,交易明細!$B$2:$B$211,$A37,交易明細!$J$2:$J$211,"&lt;&gt;未平倉"),0)</f>
        <v/>
      </c>
      <c r="L37" s="2">
        <f>COUNTIFS(交易明細!$B$2:$B$211,$A37,交易明細!$J$2:$J$211,"未平倉")</f>
        <v/>
      </c>
    </row>
    <row r="38">
      <c r="A38" s="2" t="inlineStr">
        <is>
          <t>PENGU_USDT_PERP</t>
        </is>
      </c>
      <c r="B38" s="2">
        <f>COUNTIFS(交易明細!$B$2:$B$211,$A38)</f>
        <v/>
      </c>
      <c r="C38" s="2">
        <f>COUNTIFS(交易明細!$B$2:$B$211,$A38,交易明細!$C$2:$C$211,"做多")</f>
        <v/>
      </c>
      <c r="D38" s="2">
        <f>COUNTIFS(交易明細!$B$2:$B$211,$A38,交易明細!$C$2:$C$211,"做空")</f>
        <v/>
      </c>
      <c r="E38" s="2">
        <f>F38+G38+COUNTIFS(交易明細!$B$2:$B$211,$A38,交易明細!$J$2:$J$211,"時間出場")</f>
        <v/>
      </c>
      <c r="F38" s="2">
        <f>COUNTIFS(交易明細!$B$2:$B$211,$A38,交易明細!$J$2:$J$211,"止盈")</f>
        <v/>
      </c>
      <c r="G38" s="2">
        <f>COUNTIFS(交易明細!$B$2:$B$211,$A38,交易明細!$J$2:$J$211,"止損")</f>
        <v/>
      </c>
      <c r="H38" s="4">
        <f>IFERROR(F38/E38,0)</f>
        <v/>
      </c>
      <c r="I38" s="4">
        <f>IFERROR(AVERAGEIFS(交易明細!$L$2:$L$211,交易明細!$B$2:$B$211,$A38,交易明細!$J$2:$J$211,"&lt;&gt;未平倉"),0)</f>
        <v/>
      </c>
      <c r="J38" s="4">
        <f>SUMIFS(交易明細!$L$2:$L$211,交易明細!$B$2:$B$211,$A38,交易明細!$J$2:$J$211,"&lt;&gt;未平倉")</f>
        <v/>
      </c>
      <c r="K38" s="5">
        <f>IFERROR(AVERAGEIFS(交易明細!$K$2:$K$211,交易明細!$B$2:$B$211,$A38,交易明細!$J$2:$J$211,"&lt;&gt;未平倉"),0)</f>
        <v/>
      </c>
      <c r="L38" s="2">
        <f>COUNTIFS(交易明細!$B$2:$B$211,$A38,交易明細!$J$2:$J$211,"未平倉")</f>
        <v/>
      </c>
    </row>
    <row r="39">
      <c r="A39" s="2" t="inlineStr">
        <is>
          <t>FARTCOIN_USDT_PERP</t>
        </is>
      </c>
      <c r="B39" s="2">
        <f>COUNTIFS(交易明細!$B$2:$B$211,$A39)</f>
        <v/>
      </c>
      <c r="C39" s="2">
        <f>COUNTIFS(交易明細!$B$2:$B$211,$A39,交易明細!$C$2:$C$211,"做多")</f>
        <v/>
      </c>
      <c r="D39" s="2">
        <f>COUNTIFS(交易明細!$B$2:$B$211,$A39,交易明細!$C$2:$C$211,"做空")</f>
        <v/>
      </c>
      <c r="E39" s="2">
        <f>F39+G39+COUNTIFS(交易明細!$B$2:$B$211,$A39,交易明細!$J$2:$J$211,"時間出場")</f>
        <v/>
      </c>
      <c r="F39" s="2">
        <f>COUNTIFS(交易明細!$B$2:$B$211,$A39,交易明細!$J$2:$J$211,"止盈")</f>
        <v/>
      </c>
      <c r="G39" s="2">
        <f>COUNTIFS(交易明細!$B$2:$B$211,$A39,交易明細!$J$2:$J$211,"止損")</f>
        <v/>
      </c>
      <c r="H39" s="4">
        <f>IFERROR(F39/E39,0)</f>
        <v/>
      </c>
      <c r="I39" s="4">
        <f>IFERROR(AVERAGEIFS(交易明細!$L$2:$L$211,交易明細!$B$2:$B$211,$A39,交易明細!$J$2:$J$211,"&lt;&gt;未平倉"),0)</f>
        <v/>
      </c>
      <c r="J39" s="4">
        <f>SUMIFS(交易明細!$L$2:$L$211,交易明細!$B$2:$B$211,$A39,交易明細!$J$2:$J$211,"&lt;&gt;未平倉")</f>
        <v/>
      </c>
      <c r="K39" s="5">
        <f>IFERROR(AVERAGEIFS(交易明細!$K$2:$K$211,交易明細!$B$2:$B$211,$A39,交易明細!$J$2:$J$211,"&lt;&gt;未平倉"),0)</f>
        <v/>
      </c>
      <c r="L39" s="2">
        <f>COUNTIFS(交易明細!$B$2:$B$211,$A39,交易明細!$J$2:$J$211,"未平倉")</f>
        <v/>
      </c>
    </row>
    <row r="40">
      <c r="A40" s="2" t="inlineStr">
        <is>
          <t>TRIA_USDT_PERP</t>
        </is>
      </c>
      <c r="B40" s="2">
        <f>COUNTIFS(交易明細!$B$2:$B$211,$A40)</f>
        <v/>
      </c>
      <c r="C40" s="2">
        <f>COUNTIFS(交易明細!$B$2:$B$211,$A40,交易明細!$C$2:$C$211,"做多")</f>
        <v/>
      </c>
      <c r="D40" s="2">
        <f>COUNTIFS(交易明細!$B$2:$B$211,$A40,交易明細!$C$2:$C$211,"做空")</f>
        <v/>
      </c>
      <c r="E40" s="2">
        <f>F40+G40+COUNTIFS(交易明細!$B$2:$B$211,$A40,交易明細!$J$2:$J$211,"時間出場")</f>
        <v/>
      </c>
      <c r="F40" s="2">
        <f>COUNTIFS(交易明細!$B$2:$B$211,$A40,交易明細!$J$2:$J$211,"止盈")</f>
        <v/>
      </c>
      <c r="G40" s="2">
        <f>COUNTIFS(交易明細!$B$2:$B$211,$A40,交易明細!$J$2:$J$211,"止損")</f>
        <v/>
      </c>
      <c r="H40" s="4">
        <f>IFERROR(F40/E40,0)</f>
        <v/>
      </c>
      <c r="I40" s="4">
        <f>IFERROR(AVERAGEIFS(交易明細!$L$2:$L$211,交易明細!$B$2:$B$211,$A40,交易明細!$J$2:$J$211,"&lt;&gt;未平倉"),0)</f>
        <v/>
      </c>
      <c r="J40" s="4">
        <f>SUMIFS(交易明細!$L$2:$L$211,交易明細!$B$2:$B$211,$A40,交易明細!$J$2:$J$211,"&lt;&gt;未平倉")</f>
        <v/>
      </c>
      <c r="K40" s="5">
        <f>IFERROR(AVERAGEIFS(交易明細!$K$2:$K$211,交易明細!$B$2:$B$211,$A40,交易明細!$J$2:$J$211,"&lt;&gt;未平倉"),0)</f>
        <v/>
      </c>
      <c r="L40" s="2">
        <f>COUNTIFS(交易明細!$B$2:$B$211,$A40,交易明細!$J$2:$J$211,"未平倉")</f>
        <v/>
      </c>
    </row>
    <row r="41">
      <c r="A41" s="2" t="inlineStr">
        <is>
          <t>ZEN_USDT_PERP</t>
        </is>
      </c>
      <c r="B41" s="2">
        <f>COUNTIFS(交易明細!$B$2:$B$211,$A41)</f>
        <v/>
      </c>
      <c r="C41" s="2">
        <f>COUNTIFS(交易明細!$B$2:$B$211,$A41,交易明細!$C$2:$C$211,"做多")</f>
        <v/>
      </c>
      <c r="D41" s="2">
        <f>COUNTIFS(交易明細!$B$2:$B$211,$A41,交易明細!$C$2:$C$211,"做空")</f>
        <v/>
      </c>
      <c r="E41" s="2">
        <f>F41+G41+COUNTIFS(交易明細!$B$2:$B$211,$A41,交易明細!$J$2:$J$211,"時間出場")</f>
        <v/>
      </c>
      <c r="F41" s="2">
        <f>COUNTIFS(交易明細!$B$2:$B$211,$A41,交易明細!$J$2:$J$211,"止盈")</f>
        <v/>
      </c>
      <c r="G41" s="2">
        <f>COUNTIFS(交易明細!$B$2:$B$211,$A41,交易明細!$J$2:$J$211,"止損")</f>
        <v/>
      </c>
      <c r="H41" s="4">
        <f>IFERROR(F41/E41,0)</f>
        <v/>
      </c>
      <c r="I41" s="4">
        <f>IFERROR(AVERAGEIFS(交易明細!$L$2:$L$211,交易明細!$B$2:$B$211,$A41,交易明細!$J$2:$J$211,"&lt;&gt;未平倉"),0)</f>
        <v/>
      </c>
      <c r="J41" s="4">
        <f>SUMIFS(交易明細!$L$2:$L$211,交易明細!$B$2:$B$211,$A41,交易明細!$J$2:$J$211,"&lt;&gt;未平倉")</f>
        <v/>
      </c>
      <c r="K41" s="5">
        <f>IFERROR(AVERAGEIFS(交易明細!$K$2:$K$211,交易明細!$B$2:$B$211,$A41,交易明細!$J$2:$J$211,"&lt;&gt;未平倉"),0)</f>
        <v/>
      </c>
      <c r="L41" s="2">
        <f>COUNTIFS(交易明細!$B$2:$B$211,$A41,交易明細!$J$2:$J$211,"未平倉")</f>
        <v/>
      </c>
    </row>
    <row r="42">
      <c r="A42" s="2" t="inlineStr">
        <is>
          <t>TAO_USDT_PERP</t>
        </is>
      </c>
      <c r="B42" s="2">
        <f>COUNTIFS(交易明細!$B$2:$B$211,$A42)</f>
        <v/>
      </c>
      <c r="C42" s="2">
        <f>COUNTIFS(交易明細!$B$2:$B$211,$A42,交易明細!$C$2:$C$211,"做多")</f>
        <v/>
      </c>
      <c r="D42" s="2">
        <f>COUNTIFS(交易明細!$B$2:$B$211,$A42,交易明細!$C$2:$C$211,"做空")</f>
        <v/>
      </c>
      <c r="E42" s="2">
        <f>F42+G42+COUNTIFS(交易明細!$B$2:$B$211,$A42,交易明細!$J$2:$J$211,"時間出場")</f>
        <v/>
      </c>
      <c r="F42" s="2">
        <f>COUNTIFS(交易明細!$B$2:$B$211,$A42,交易明細!$J$2:$J$211,"止盈")</f>
        <v/>
      </c>
      <c r="G42" s="2">
        <f>COUNTIFS(交易明細!$B$2:$B$211,$A42,交易明細!$J$2:$J$211,"止損")</f>
        <v/>
      </c>
      <c r="H42" s="4">
        <f>IFERROR(F42/E42,0)</f>
        <v/>
      </c>
      <c r="I42" s="4">
        <f>IFERROR(AVERAGEIFS(交易明細!$L$2:$L$211,交易明細!$B$2:$B$211,$A42,交易明細!$J$2:$J$211,"&lt;&gt;未平倉"),0)</f>
        <v/>
      </c>
      <c r="J42" s="4">
        <f>SUMIFS(交易明細!$L$2:$L$211,交易明細!$B$2:$B$211,$A42,交易明細!$J$2:$J$211,"&lt;&gt;未平倉")</f>
        <v/>
      </c>
      <c r="K42" s="5">
        <f>IFERROR(AVERAGEIFS(交易明細!$K$2:$K$211,交易明細!$B$2:$B$211,$A42,交易明細!$J$2:$J$211,"&lt;&gt;未平倉"),0)</f>
        <v/>
      </c>
      <c r="L42" s="2">
        <f>COUNTIFS(交易明細!$B$2:$B$211,$A42,交易明細!$J$2:$J$211,"未平倉")</f>
        <v/>
      </c>
    </row>
    <row r="43">
      <c r="A43" s="2" t="inlineStr">
        <is>
          <t>KAS_USDT_PERP</t>
        </is>
      </c>
      <c r="B43" s="2">
        <f>COUNTIFS(交易明細!$B$2:$B$211,$A43)</f>
        <v/>
      </c>
      <c r="C43" s="2">
        <f>COUNTIFS(交易明細!$B$2:$B$211,$A43,交易明細!$C$2:$C$211,"做多")</f>
        <v/>
      </c>
      <c r="D43" s="2">
        <f>COUNTIFS(交易明細!$B$2:$B$211,$A43,交易明細!$C$2:$C$211,"做空")</f>
        <v/>
      </c>
      <c r="E43" s="2">
        <f>F43+G43+COUNTIFS(交易明細!$B$2:$B$211,$A43,交易明細!$J$2:$J$211,"時間出場")</f>
        <v/>
      </c>
      <c r="F43" s="2">
        <f>COUNTIFS(交易明細!$B$2:$B$211,$A43,交易明細!$J$2:$J$211,"止盈")</f>
        <v/>
      </c>
      <c r="G43" s="2">
        <f>COUNTIFS(交易明細!$B$2:$B$211,$A43,交易明細!$J$2:$J$211,"止損")</f>
        <v/>
      </c>
      <c r="H43" s="4">
        <f>IFERROR(F43/E43,0)</f>
        <v/>
      </c>
      <c r="I43" s="4">
        <f>IFERROR(AVERAGEIFS(交易明細!$L$2:$L$211,交易明細!$B$2:$B$211,$A43,交易明細!$J$2:$J$211,"&lt;&gt;未平倉"),0)</f>
        <v/>
      </c>
      <c r="J43" s="4">
        <f>SUMIFS(交易明細!$L$2:$L$211,交易明細!$B$2:$B$211,$A43,交易明細!$J$2:$J$211,"&lt;&gt;未平倉")</f>
        <v/>
      </c>
      <c r="K43" s="5">
        <f>IFERROR(AVERAGEIFS(交易明細!$K$2:$K$211,交易明細!$B$2:$B$211,$A43,交易明細!$J$2:$J$211,"&lt;&gt;未平倉"),0)</f>
        <v/>
      </c>
      <c r="L43" s="2">
        <f>COUNTIFS(交易明細!$B$2:$B$211,$A43,交易明細!$J$2:$J$211,"未平倉")</f>
        <v/>
      </c>
    </row>
    <row r="44">
      <c r="A44" s="2" t="inlineStr">
        <is>
          <t>CASHCAT_USDT_PERP</t>
        </is>
      </c>
      <c r="B44" s="2">
        <f>COUNTIFS(交易明細!$B$2:$B$211,$A44)</f>
        <v/>
      </c>
      <c r="C44" s="2">
        <f>COUNTIFS(交易明細!$B$2:$B$211,$A44,交易明細!$C$2:$C$211,"做多")</f>
        <v/>
      </c>
      <c r="D44" s="2">
        <f>COUNTIFS(交易明細!$B$2:$B$211,$A44,交易明細!$C$2:$C$211,"做空")</f>
        <v/>
      </c>
      <c r="E44" s="2">
        <f>F44+G44+COUNTIFS(交易明細!$B$2:$B$211,$A44,交易明細!$J$2:$J$211,"時間出場")</f>
        <v/>
      </c>
      <c r="F44" s="2">
        <f>COUNTIFS(交易明細!$B$2:$B$211,$A44,交易明細!$J$2:$J$211,"止盈")</f>
        <v/>
      </c>
      <c r="G44" s="2">
        <f>COUNTIFS(交易明細!$B$2:$B$211,$A44,交易明細!$J$2:$J$211,"止損")</f>
        <v/>
      </c>
      <c r="H44" s="4">
        <f>IFERROR(F44/E44,0)</f>
        <v/>
      </c>
      <c r="I44" s="4">
        <f>IFERROR(AVERAGEIFS(交易明細!$L$2:$L$211,交易明細!$B$2:$B$211,$A44,交易明細!$J$2:$J$211,"&lt;&gt;未平倉"),0)</f>
        <v/>
      </c>
      <c r="J44" s="4">
        <f>SUMIFS(交易明細!$L$2:$L$211,交易明細!$B$2:$B$211,$A44,交易明細!$J$2:$J$211,"&lt;&gt;未平倉")</f>
        <v/>
      </c>
      <c r="K44" s="5">
        <f>IFERROR(AVERAGEIFS(交易明細!$K$2:$K$211,交易明細!$B$2:$B$211,$A44,交易明細!$J$2:$J$211,"&lt;&gt;未平倉"),0)</f>
        <v/>
      </c>
      <c r="L44" s="2">
        <f>COUNTIFS(交易明細!$B$2:$B$211,$A44,交易明細!$J$2:$J$211,"未平倉")</f>
        <v/>
      </c>
    </row>
    <row r="45">
      <c r="A45" s="2" t="inlineStr">
        <is>
          <t>INJ_USDT_PERP</t>
        </is>
      </c>
      <c r="B45" s="2">
        <f>COUNTIFS(交易明細!$B$2:$B$211,$A45)</f>
        <v/>
      </c>
      <c r="C45" s="2">
        <f>COUNTIFS(交易明細!$B$2:$B$211,$A45,交易明細!$C$2:$C$211,"做多")</f>
        <v/>
      </c>
      <c r="D45" s="2">
        <f>COUNTIFS(交易明細!$B$2:$B$211,$A45,交易明細!$C$2:$C$211,"做空")</f>
        <v/>
      </c>
      <c r="E45" s="2">
        <f>F45+G45+COUNTIFS(交易明細!$B$2:$B$211,$A45,交易明細!$J$2:$J$211,"時間出場")</f>
        <v/>
      </c>
      <c r="F45" s="2">
        <f>COUNTIFS(交易明細!$B$2:$B$211,$A45,交易明細!$J$2:$J$211,"止盈")</f>
        <v/>
      </c>
      <c r="G45" s="2">
        <f>COUNTIFS(交易明細!$B$2:$B$211,$A45,交易明細!$J$2:$J$211,"止損")</f>
        <v/>
      </c>
      <c r="H45" s="4">
        <f>IFERROR(F45/E45,0)</f>
        <v/>
      </c>
      <c r="I45" s="4">
        <f>IFERROR(AVERAGEIFS(交易明細!$L$2:$L$211,交易明細!$B$2:$B$211,$A45,交易明細!$J$2:$J$211,"&lt;&gt;未平倉"),0)</f>
        <v/>
      </c>
      <c r="J45" s="4">
        <f>SUMIFS(交易明細!$L$2:$L$211,交易明細!$B$2:$B$211,$A45,交易明細!$J$2:$J$211,"&lt;&gt;未平倉")</f>
        <v/>
      </c>
      <c r="K45" s="5">
        <f>IFERROR(AVERAGEIFS(交易明細!$K$2:$K$211,交易明細!$B$2:$B$211,$A45,交易明細!$J$2:$J$211,"&lt;&gt;未平倉"),0)</f>
        <v/>
      </c>
      <c r="L45" s="2">
        <f>COUNTIFS(交易明細!$B$2:$B$211,$A45,交易明細!$J$2:$J$211,"未平倉")</f>
        <v/>
      </c>
    </row>
    <row r="46">
      <c r="A46" s="2" t="inlineStr">
        <is>
          <t>ICP_USDT_PERP</t>
        </is>
      </c>
      <c r="B46" s="2">
        <f>COUNTIFS(交易明細!$B$2:$B$211,$A46)</f>
        <v/>
      </c>
      <c r="C46" s="2">
        <f>COUNTIFS(交易明細!$B$2:$B$211,$A46,交易明細!$C$2:$C$211,"做多")</f>
        <v/>
      </c>
      <c r="D46" s="2">
        <f>COUNTIFS(交易明細!$B$2:$B$211,$A46,交易明細!$C$2:$C$211,"做空")</f>
        <v/>
      </c>
      <c r="E46" s="2">
        <f>F46+G46+COUNTIFS(交易明細!$B$2:$B$211,$A46,交易明細!$J$2:$J$211,"時間出場")</f>
        <v/>
      </c>
      <c r="F46" s="2">
        <f>COUNTIFS(交易明細!$B$2:$B$211,$A46,交易明細!$J$2:$J$211,"止盈")</f>
        <v/>
      </c>
      <c r="G46" s="2">
        <f>COUNTIFS(交易明細!$B$2:$B$211,$A46,交易明細!$J$2:$J$211,"止損")</f>
        <v/>
      </c>
      <c r="H46" s="4">
        <f>IFERROR(F46/E46,0)</f>
        <v/>
      </c>
      <c r="I46" s="4">
        <f>IFERROR(AVERAGEIFS(交易明細!$L$2:$L$211,交易明細!$B$2:$B$211,$A46,交易明細!$J$2:$J$211,"&lt;&gt;未平倉"),0)</f>
        <v/>
      </c>
      <c r="J46" s="4">
        <f>SUMIFS(交易明細!$L$2:$L$211,交易明細!$B$2:$B$211,$A46,交易明細!$J$2:$J$211,"&lt;&gt;未平倉")</f>
        <v/>
      </c>
      <c r="K46" s="5">
        <f>IFERROR(AVERAGEIFS(交易明細!$K$2:$K$211,交易明細!$B$2:$B$211,$A46,交易明細!$J$2:$J$211,"&lt;&gt;未平倉"),0)</f>
        <v/>
      </c>
      <c r="L46" s="2">
        <f>COUNTIFS(交易明細!$B$2:$B$211,$A46,交易明細!$J$2:$J$211,"未平倉")</f>
        <v/>
      </c>
    </row>
    <row r="47">
      <c r="A47" s="2" t="inlineStr">
        <is>
          <t>FF_USDT_PERP</t>
        </is>
      </c>
      <c r="B47" s="2">
        <f>COUNTIFS(交易明細!$B$2:$B$211,$A47)</f>
        <v/>
      </c>
      <c r="C47" s="2">
        <f>COUNTIFS(交易明細!$B$2:$B$211,$A47,交易明細!$C$2:$C$211,"做多")</f>
        <v/>
      </c>
      <c r="D47" s="2">
        <f>COUNTIFS(交易明細!$B$2:$B$211,$A47,交易明細!$C$2:$C$211,"做空")</f>
        <v/>
      </c>
      <c r="E47" s="2">
        <f>F47+G47+COUNTIFS(交易明細!$B$2:$B$211,$A47,交易明細!$J$2:$J$211,"時間出場")</f>
        <v/>
      </c>
      <c r="F47" s="2">
        <f>COUNTIFS(交易明細!$B$2:$B$211,$A47,交易明細!$J$2:$J$211,"止盈")</f>
        <v/>
      </c>
      <c r="G47" s="2">
        <f>COUNTIFS(交易明細!$B$2:$B$211,$A47,交易明細!$J$2:$J$211,"止損")</f>
        <v/>
      </c>
      <c r="H47" s="4">
        <f>IFERROR(F47/E47,0)</f>
        <v/>
      </c>
      <c r="I47" s="4">
        <f>IFERROR(AVERAGEIFS(交易明細!$L$2:$L$211,交易明細!$B$2:$B$211,$A47,交易明細!$J$2:$J$211,"&lt;&gt;未平倉"),0)</f>
        <v/>
      </c>
      <c r="J47" s="4">
        <f>SUMIFS(交易明細!$L$2:$L$211,交易明細!$B$2:$B$211,$A47,交易明細!$J$2:$J$211,"&lt;&gt;未平倉")</f>
        <v/>
      </c>
      <c r="K47" s="5">
        <f>IFERROR(AVERAGEIFS(交易明細!$K$2:$K$211,交易明細!$B$2:$B$211,$A47,交易明細!$J$2:$J$211,"&lt;&gt;未平倉"),0)</f>
        <v/>
      </c>
      <c r="L47" s="2">
        <f>COUNTIFS(交易明細!$B$2:$B$211,$A47,交易明細!$J$2:$J$211,"未平倉")</f>
        <v/>
      </c>
    </row>
    <row r="48">
      <c r="A48" s="2" t="inlineStr">
        <is>
          <t>KAT_USDT_PERP</t>
        </is>
      </c>
      <c r="B48" s="2">
        <f>COUNTIFS(交易明細!$B$2:$B$211,$A48)</f>
        <v/>
      </c>
      <c r="C48" s="2">
        <f>COUNTIFS(交易明細!$B$2:$B$211,$A48,交易明細!$C$2:$C$211,"做多")</f>
        <v/>
      </c>
      <c r="D48" s="2">
        <f>COUNTIFS(交易明細!$B$2:$B$211,$A48,交易明細!$C$2:$C$211,"做空")</f>
        <v/>
      </c>
      <c r="E48" s="2">
        <f>F48+G48+COUNTIFS(交易明細!$B$2:$B$211,$A48,交易明細!$J$2:$J$211,"時間出場")</f>
        <v/>
      </c>
      <c r="F48" s="2">
        <f>COUNTIFS(交易明細!$B$2:$B$211,$A48,交易明細!$J$2:$J$211,"止盈")</f>
        <v/>
      </c>
      <c r="G48" s="2">
        <f>COUNTIFS(交易明細!$B$2:$B$211,$A48,交易明細!$J$2:$J$211,"止損")</f>
        <v/>
      </c>
      <c r="H48" s="4">
        <f>IFERROR(F48/E48,0)</f>
        <v/>
      </c>
      <c r="I48" s="4">
        <f>IFERROR(AVERAGEIFS(交易明細!$L$2:$L$211,交易明細!$B$2:$B$211,$A48,交易明細!$J$2:$J$211,"&lt;&gt;未平倉"),0)</f>
        <v/>
      </c>
      <c r="J48" s="4">
        <f>SUMIFS(交易明細!$L$2:$L$211,交易明細!$B$2:$B$211,$A48,交易明細!$J$2:$J$211,"&lt;&gt;未平倉")</f>
        <v/>
      </c>
      <c r="K48" s="5">
        <f>IFERROR(AVERAGEIFS(交易明細!$K$2:$K$211,交易明細!$B$2:$B$211,$A48,交易明細!$J$2:$J$211,"&lt;&gt;未平倉"),0)</f>
        <v/>
      </c>
      <c r="L48" s="2">
        <f>COUNTIFS(交易明細!$B$2:$B$211,$A48,交易明細!$J$2:$J$211,"未平倉")</f>
        <v/>
      </c>
    </row>
    <row r="49">
      <c r="A49" s="2" t="inlineStr">
        <is>
          <t>MET_USDT_PERP</t>
        </is>
      </c>
      <c r="B49" s="2">
        <f>COUNTIFS(交易明細!$B$2:$B$211,$A49)</f>
        <v/>
      </c>
      <c r="C49" s="2">
        <f>COUNTIFS(交易明細!$B$2:$B$211,$A49,交易明細!$C$2:$C$211,"做多")</f>
        <v/>
      </c>
      <c r="D49" s="2">
        <f>COUNTIFS(交易明細!$B$2:$B$211,$A49,交易明細!$C$2:$C$211,"做空")</f>
        <v/>
      </c>
      <c r="E49" s="2">
        <f>F49+G49+COUNTIFS(交易明細!$B$2:$B$211,$A49,交易明細!$J$2:$J$211,"時間出場")</f>
        <v/>
      </c>
      <c r="F49" s="2">
        <f>COUNTIFS(交易明細!$B$2:$B$211,$A49,交易明細!$J$2:$J$211,"止盈")</f>
        <v/>
      </c>
      <c r="G49" s="2">
        <f>COUNTIFS(交易明細!$B$2:$B$211,$A49,交易明細!$J$2:$J$211,"止損")</f>
        <v/>
      </c>
      <c r="H49" s="4">
        <f>IFERROR(F49/E49,0)</f>
        <v/>
      </c>
      <c r="I49" s="4">
        <f>IFERROR(AVERAGEIFS(交易明細!$L$2:$L$211,交易明細!$B$2:$B$211,$A49,交易明細!$J$2:$J$211,"&lt;&gt;未平倉"),0)</f>
        <v/>
      </c>
      <c r="J49" s="4">
        <f>SUMIFS(交易明細!$L$2:$L$211,交易明細!$B$2:$B$211,$A49,交易明細!$J$2:$J$211,"&lt;&gt;未平倉")</f>
        <v/>
      </c>
      <c r="K49" s="5">
        <f>IFERROR(AVERAGEIFS(交易明細!$K$2:$K$211,交易明細!$B$2:$B$211,$A49,交易明細!$J$2:$J$211,"&lt;&gt;未平倉"),0)</f>
        <v/>
      </c>
      <c r="L49" s="2">
        <f>COUNTIFS(交易明細!$B$2:$B$211,$A49,交易明細!$J$2:$J$211,"未平倉")</f>
        <v/>
      </c>
    </row>
  </sheetData>
  <autoFilter ref="A1:L49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>
        <is>
          <t>持倉中</t>
        </is>
      </c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>
        <is>
          <t>持倉中</t>
        </is>
      </c>
      <c r="D396" s="2" t="n"/>
      <c r="E396" s="17" t="n"/>
      <c r="F396" s="17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>
        <is>
          <t>持倉中</t>
        </is>
      </c>
      <c r="D403" s="2" t="n"/>
      <c r="E403" s="17" t="n"/>
      <c r="F403" s="17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2026-09-14T01:12:45Z</dcterms:created>
  <dcterms:modified xsi:type="dcterms:W3CDTF">2026-09-14T01:12:46Z</dcterms:modified>
</cp:coreProperties>
</file>