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'資金明細'!$A$1:$Z$1441</definedName>
    <definedName name="_xlnm._FilterDatabase" localSheetId="6" hidden="1">'交易明細'!$A$1:$AC$721</definedName>
    <definedName name="_xlnm._FilterDatabase" localSheetId="7" hidden="1">'幣種統計'!$A$1:$L$111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04:08（Dry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COUNTIFS(交易明細!$B$2:$B$721,"&lt;&gt;")</f>
        <v/>
      </c>
      <c r="C5" s="2">
        <f>D5+E5+F5</f>
        <v/>
      </c>
      <c r="D5" s="2">
        <f>COUNTIFS(交易明細!$J$2:$J$721,"止盈")</f>
        <v/>
      </c>
      <c r="E5" s="2">
        <f>COUNTIFS(交易明細!$J$2:$J$721,"止損")</f>
        <v/>
      </c>
      <c r="F5" s="2">
        <f>COUNTIFS(交易明細!$J$2:$J$721,"時間出場")</f>
        <v/>
      </c>
      <c r="G5" s="2">
        <f>COUNTIFS(交易明細!$J$2:$J$721,"未平倉")</f>
        <v/>
      </c>
      <c r="H5" s="4">
        <f>IFERROR(D5/C5,0)</f>
        <v/>
      </c>
      <c r="I5" s="4">
        <f>IFERROR(AVERAGEIFS(交易明細!$AC$2:$AC$721,交易明細!$J$2:$J$721,"&lt;&gt;未平倉"),參數!$B$16)</f>
        <v/>
      </c>
      <c r="J5" s="4">
        <f>IFERROR(AVERAGEIFS(交易明細!$L$2:$L$721,交易明細!$J$2:$J$721,"&lt;&gt;未平倉"),0)</f>
        <v/>
      </c>
      <c r="K5" s="4">
        <f>SUMIFS(交易明細!$L$2:$L$721,交易明細!$J$2:$J$721,"&lt;&gt;未平倉")</f>
        <v/>
      </c>
      <c r="L5" s="5">
        <f>IFERROR(AVERAGEIFS(交易明細!$K$2:$K$721,交易明細!$J$2:$J$721,"&lt;&gt;未平倉"),0)</f>
        <v/>
      </c>
      <c r="M5" s="5">
        <f>IFERROR(AVERAGEIFS(交易明細!$K$2:$K$721,交易明細!$J$2:$J$721,"止盈"),0)</f>
        <v/>
      </c>
      <c r="N5" s="5">
        <f>IFERROR(AVERAGEIFS(交易明細!$K$2:$K$721,交易明細!$J$2:$J$721,"止損"),0)</f>
        <v/>
      </c>
      <c r="O5" s="4">
        <f>IFERROR(AVERAGEIFS(交易明細!$L$2:$L$721,交易明細!$J$2:$J$721,"時間出場"),0)</f>
        <v/>
      </c>
      <c r="P5" s="4">
        <f>IFERROR(COUNTIFS(交易明細!$J$2:$J$721,"&lt;&gt;未平倉",交易明細!$L$2:$L$721,"&gt;0")/C5,0)</f>
        <v/>
      </c>
    </row>
    <row r="6">
      <c r="A6" s="2" t="inlineStr">
        <is>
          <t>做多</t>
        </is>
      </c>
      <c r="B6" s="2">
        <f>COUNTIFS(交易明細!$C$2:$C$721,"做多",交易明細!$B$2:$B$721,"&lt;&gt;")</f>
        <v/>
      </c>
      <c r="C6" s="2">
        <f>D6+E6+F6</f>
        <v/>
      </c>
      <c r="D6" s="2">
        <f>COUNTIFS(交易明細!$C$2:$C$721,"做多",交易明細!$J$2:$J$721,"止盈")</f>
        <v/>
      </c>
      <c r="E6" s="2">
        <f>COUNTIFS(交易明細!$C$2:$C$721,"做多",交易明細!$J$2:$J$721,"止損")</f>
        <v/>
      </c>
      <c r="F6" s="2">
        <f>COUNTIFS(交易明細!$C$2:$C$721,"做多",交易明細!$J$2:$J$721,"時間出場")</f>
        <v/>
      </c>
      <c r="G6" s="2">
        <f>COUNTIFS(交易明細!$C$2:$C$721,"做多",交易明細!$J$2:$J$721,"未平倉")</f>
        <v/>
      </c>
      <c r="H6" s="4">
        <f>IFERROR(D6/C6,0)</f>
        <v/>
      </c>
      <c r="I6" s="4">
        <f>IFERROR(AVERAGEIFS(交易明細!$AC$2:$AC$721,交易明細!$C$2:$C$721,"做多",交易明細!$J$2:$J$721,"&lt;&gt;未平倉"),參數!$B$16)</f>
        <v/>
      </c>
      <c r="J6" s="4">
        <f>IFERROR(AVERAGEIFS(交易明細!$L$2:$L$721,交易明細!$C$2:$C$721,"做多",交易明細!$J$2:$J$721,"&lt;&gt;未平倉"),0)</f>
        <v/>
      </c>
      <c r="K6" s="4">
        <f>SUMIFS(交易明細!$L$2:$L$721,交易明細!$C$2:$C$721,"做多",交易明細!$J$2:$J$721,"&lt;&gt;未平倉")</f>
        <v/>
      </c>
      <c r="L6" s="5">
        <f>IFERROR(AVERAGEIFS(交易明細!$K$2:$K$721,交易明細!$C$2:$C$721,"做多",交易明細!$J$2:$J$721,"&lt;&gt;未平倉"),0)</f>
        <v/>
      </c>
      <c r="M6" s="5">
        <f>IFERROR(AVERAGEIFS(交易明細!$K$2:$K$721,交易明細!$C$2:$C$721,"做多",交易明細!$J$2:$J$721,"止盈"),0)</f>
        <v/>
      </c>
      <c r="N6" s="5">
        <f>IFERROR(AVERAGEIFS(交易明細!$K$2:$K$721,交易明細!$C$2:$C$721,"做多",交易明細!$J$2:$J$721,"止損"),0)</f>
        <v/>
      </c>
      <c r="O6" s="4">
        <f>IFERROR(AVERAGEIFS(交易明細!$L$2:$L$721,交易明細!$C$2:$C$721,"做多",交易明細!$J$2:$J$721,"時間出場"),0)</f>
        <v/>
      </c>
      <c r="P6" s="4">
        <f>IFERROR(COUNTIFS(交易明細!$C$2:$C$721,"做多",交易明細!$J$2:$J$721,"&lt;&gt;未平倉",交易明細!$L$2:$L$721,"&gt;0")/C6,0)</f>
        <v/>
      </c>
    </row>
    <row r="7">
      <c r="A7" s="2" t="inlineStr">
        <is>
          <t>做空</t>
        </is>
      </c>
      <c r="B7" s="2">
        <f>COUNTIFS(交易明細!$C$2:$C$721,"做空",交易明細!$B$2:$B$721,"&lt;&gt;")</f>
        <v/>
      </c>
      <c r="C7" s="2">
        <f>D7+E7+F7</f>
        <v/>
      </c>
      <c r="D7" s="2">
        <f>COUNTIFS(交易明細!$C$2:$C$721,"做空",交易明細!$J$2:$J$721,"止盈")</f>
        <v/>
      </c>
      <c r="E7" s="2">
        <f>COUNTIFS(交易明細!$C$2:$C$721,"做空",交易明細!$J$2:$J$721,"止損")</f>
        <v/>
      </c>
      <c r="F7" s="2">
        <f>COUNTIFS(交易明細!$C$2:$C$721,"做空",交易明細!$J$2:$J$721,"時間出場")</f>
        <v/>
      </c>
      <c r="G7" s="2">
        <f>COUNTIFS(交易明細!$C$2:$C$721,"做空",交易明細!$J$2:$J$721,"未平倉")</f>
        <v/>
      </c>
      <c r="H7" s="4">
        <f>IFERROR(D7/C7,0)</f>
        <v/>
      </c>
      <c r="I7" s="4">
        <f>IFERROR(AVERAGEIFS(交易明細!$AC$2:$AC$721,交易明細!$C$2:$C$721,"做空",交易明細!$J$2:$J$721,"&lt;&gt;未平倉"),參數!$B$16)</f>
        <v/>
      </c>
      <c r="J7" s="4">
        <f>IFERROR(AVERAGEIFS(交易明細!$L$2:$L$721,交易明細!$C$2:$C$721,"做空",交易明細!$J$2:$J$721,"&lt;&gt;未平倉"),0)</f>
        <v/>
      </c>
      <c r="K7" s="4">
        <f>SUMIFS(交易明細!$L$2:$L$721,交易明細!$C$2:$C$721,"做空",交易明細!$J$2:$J$721,"&lt;&gt;未平倉")</f>
        <v/>
      </c>
      <c r="L7" s="5">
        <f>IFERROR(AVERAGEIFS(交易明細!$K$2:$K$721,交易明細!$C$2:$C$721,"做空",交易明細!$J$2:$J$721,"&lt;&gt;未平倉"),0)</f>
        <v/>
      </c>
      <c r="M7" s="5">
        <f>IFERROR(AVERAGEIFS(交易明細!$K$2:$K$721,交易明細!$C$2:$C$721,"做空",交易明細!$J$2:$J$721,"止盈"),0)</f>
        <v/>
      </c>
      <c r="N7" s="5">
        <f>IFERROR(AVERAGEIFS(交易明細!$K$2:$K$721,交易明細!$C$2:$C$721,"做空",交易明細!$J$2:$J$721,"止損"),0)</f>
        <v/>
      </c>
      <c r="O7" s="4">
        <f>IFERROR(AVERAGEIFS(交易明細!$L$2:$L$721,交易明細!$C$2:$C$721,"做空",交易明細!$J$2:$J$721,"時間出場"),0)</f>
        <v/>
      </c>
      <c r="P7" s="4">
        <f>IFERROR(COUNTIFS(交易明細!$C$2:$C$721,"做空",交易明細!$J$2:$J$721,"&lt;&gt;未平倉",交易明細!$L$2:$L$721,"&gt;0")/C7,0)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46306.17231976852</v>
      </c>
      <c r="B2" s="7" t="n">
        <v>46306.17152777778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185.1</v>
      </c>
    </row>
    <row r="3">
      <c r="A3" s="7" t="n">
        <v>46306.05928421296</v>
      </c>
      <c r="B3" s="7" t="n">
        <v>46306.05833333333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157.8</v>
      </c>
    </row>
    <row r="4">
      <c r="A4" s="7" t="n">
        <v>46305.97649559028</v>
      </c>
      <c r="B4" s="7" t="n">
        <v>46305.97569444445</v>
      </c>
      <c r="C4" s="2" t="n">
        <v>424</v>
      </c>
      <c r="D4" s="2" t="n">
        <v>2</v>
      </c>
      <c r="E4" s="2" t="n">
        <v>3</v>
      </c>
      <c r="F4" s="2" t="n">
        <v>0</v>
      </c>
      <c r="G4" s="2" t="n">
        <v>179.2</v>
      </c>
    </row>
    <row r="5">
      <c r="A5" s="7" t="n">
        <v>46305.69183671296</v>
      </c>
      <c r="B5" s="7" t="n">
        <v>46305.69097222222</v>
      </c>
      <c r="C5" s="2" t="n">
        <v>424</v>
      </c>
      <c r="D5" s="2" t="n">
        <v>5</v>
      </c>
      <c r="E5" s="2" t="n">
        <v>7</v>
      </c>
      <c r="F5" s="2" t="n">
        <v>0</v>
      </c>
      <c r="G5" s="2" t="n">
        <v>132.9</v>
      </c>
    </row>
    <row r="6">
      <c r="A6" s="7" t="n">
        <v>46305.40800034722</v>
      </c>
      <c r="B6" s="7" t="n">
        <v>46305.40694444445</v>
      </c>
      <c r="C6" s="2" t="n">
        <v>424</v>
      </c>
      <c r="D6" s="2" t="n">
        <v>0</v>
      </c>
      <c r="E6" s="2" t="n">
        <v>1</v>
      </c>
      <c r="F6" s="2" t="n">
        <v>0</v>
      </c>
      <c r="G6" s="2" t="n">
        <v>189.6</v>
      </c>
    </row>
    <row r="7">
      <c r="A7" s="7" t="n">
        <v>46305.23924587963</v>
      </c>
      <c r="B7" s="7" t="n">
        <v>46305.23819444444</v>
      </c>
      <c r="C7" s="2" t="n">
        <v>424</v>
      </c>
      <c r="D7" s="2" t="n">
        <v>3</v>
      </c>
      <c r="E7" s="2" t="n">
        <v>3</v>
      </c>
      <c r="F7" s="2" t="n">
        <v>0</v>
      </c>
      <c r="G7" s="2" t="n">
        <v>148.5</v>
      </c>
    </row>
    <row r="8">
      <c r="A8" s="7" t="n">
        <v>46305.01507317129</v>
      </c>
      <c r="B8" s="7" t="n">
        <v>46305.01388888889</v>
      </c>
      <c r="C8" s="2" t="n">
        <v>424</v>
      </c>
      <c r="D8" s="2" t="n">
        <v>0</v>
      </c>
      <c r="E8" s="2" t="n">
        <v>1</v>
      </c>
      <c r="F8" s="2" t="n">
        <v>0</v>
      </c>
      <c r="G8" s="2" t="n">
        <v>158.3</v>
      </c>
    </row>
    <row r="9">
      <c r="A9" s="7" t="n">
        <v>46304.94379155093</v>
      </c>
      <c r="B9" s="7" t="n">
        <v>46304.94305555556</v>
      </c>
      <c r="C9" s="2" t="n">
        <v>424</v>
      </c>
      <c r="D9" s="2" t="n">
        <v>3</v>
      </c>
      <c r="E9" s="2" t="n">
        <v>2</v>
      </c>
      <c r="F9" s="2" t="n">
        <v>0</v>
      </c>
      <c r="G9" s="2" t="n">
        <v>190.6</v>
      </c>
    </row>
    <row r="10">
      <c r="A10" s="7" t="n">
        <v>46304.71967576389</v>
      </c>
      <c r="B10" s="7" t="n">
        <v>46304.71875</v>
      </c>
      <c r="C10" s="2" t="n">
        <v>424</v>
      </c>
      <c r="D10" s="2" t="n">
        <v>4</v>
      </c>
      <c r="E10" s="2" t="n">
        <v>3</v>
      </c>
      <c r="F10" s="2" t="n">
        <v>0</v>
      </c>
      <c r="G10" s="2" t="n">
        <v>172.2</v>
      </c>
    </row>
    <row r="11">
      <c r="A11" s="7" t="n">
        <v>46304.42724962963</v>
      </c>
      <c r="B11" s="7" t="n">
        <v>46304.42638888889</v>
      </c>
      <c r="C11" s="2" t="n">
        <v>424</v>
      </c>
      <c r="D11" s="2" t="n">
        <v>1</v>
      </c>
      <c r="E11" s="2" t="n">
        <v>0</v>
      </c>
      <c r="F11" s="2" t="n">
        <v>0</v>
      </c>
      <c r="G11" s="2" t="n">
        <v>161.8</v>
      </c>
    </row>
    <row r="12">
      <c r="A12" s="7" t="n">
        <v>46304.40418914352</v>
      </c>
      <c r="B12" s="7" t="n">
        <v>46304.40347222222</v>
      </c>
      <c r="C12" s="2" t="n">
        <v>424</v>
      </c>
      <c r="D12" s="2" t="n">
        <v>3</v>
      </c>
      <c r="E12" s="2" t="n">
        <v>0</v>
      </c>
      <c r="F12" s="2" t="n">
        <v>0</v>
      </c>
      <c r="G12" s="2" t="n">
        <v>165.2</v>
      </c>
    </row>
    <row r="13">
      <c r="A13" s="7" t="n">
        <v>46304.25657934028</v>
      </c>
      <c r="B13" s="7" t="n">
        <v>46304.25555555556</v>
      </c>
      <c r="C13" s="2" t="n">
        <v>424</v>
      </c>
      <c r="D13" s="2" t="n">
        <v>1</v>
      </c>
      <c r="E13" s="2" t="n">
        <v>1</v>
      </c>
      <c r="F13" s="2" t="n">
        <v>0</v>
      </c>
      <c r="G13" s="2" t="n">
        <v>191.7</v>
      </c>
    </row>
    <row r="14">
      <c r="A14" s="7" t="n">
        <v>46304.02427626157</v>
      </c>
      <c r="B14" s="7" t="n">
        <v>46304.02291666667</v>
      </c>
      <c r="C14" s="2" t="n">
        <v>424</v>
      </c>
      <c r="D14" s="2" t="n">
        <v>2</v>
      </c>
      <c r="E14" s="2" t="n">
        <v>4</v>
      </c>
      <c r="F14" s="2" t="n">
        <v>0</v>
      </c>
      <c r="G14" s="2" t="n">
        <v>190.7</v>
      </c>
    </row>
    <row r="15">
      <c r="A15" s="7" t="n">
        <v>46303.77544002315</v>
      </c>
      <c r="B15" s="7" t="n">
        <v>46303.77430555555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140.4</v>
      </c>
    </row>
    <row r="16">
      <c r="A16" s="7" t="n">
        <v>46303.71259842593</v>
      </c>
      <c r="B16" s="7" t="n">
        <v>46303.71180555555</v>
      </c>
      <c r="C16" s="2" t="n">
        <v>434</v>
      </c>
      <c r="D16" s="2" t="n">
        <v>5</v>
      </c>
      <c r="E16" s="2" t="n">
        <v>5</v>
      </c>
      <c r="F16" s="2" t="n">
        <v>0</v>
      </c>
      <c r="G16" s="2" t="n">
        <v>141.3</v>
      </c>
    </row>
    <row r="17">
      <c r="A17" s="7" t="n">
        <v>46303.41768807871</v>
      </c>
      <c r="B17" s="7" t="n">
        <v>46303.41666666666</v>
      </c>
      <c r="C17" s="2" t="n">
        <v>434</v>
      </c>
      <c r="D17" s="2" t="n">
        <v>3</v>
      </c>
      <c r="E17" s="2" t="n">
        <v>0</v>
      </c>
      <c r="F17" s="2" t="n">
        <v>0</v>
      </c>
      <c r="G17" s="2" t="n">
        <v>194.5</v>
      </c>
    </row>
    <row r="18">
      <c r="A18" s="7" t="n">
        <v>46303.22279260417</v>
      </c>
      <c r="B18" s="7" t="n">
        <v>46303.22152777778</v>
      </c>
      <c r="C18" s="2" t="n">
        <v>434</v>
      </c>
      <c r="D18" s="2" t="n">
        <v>1</v>
      </c>
      <c r="E18" s="2" t="n">
        <v>4</v>
      </c>
      <c r="F18" s="2" t="n">
        <v>0</v>
      </c>
      <c r="G18" s="2" t="n">
        <v>192.9</v>
      </c>
    </row>
    <row r="19">
      <c r="A19" s="7" t="n">
        <v>46302.98345733796</v>
      </c>
      <c r="B19" s="7" t="n">
        <v>46302.98263888889</v>
      </c>
      <c r="C19" s="2" t="n">
        <v>434</v>
      </c>
      <c r="D19" s="2" t="n">
        <v>2</v>
      </c>
      <c r="E19" s="2" t="n">
        <v>1</v>
      </c>
      <c r="F19" s="2" t="n">
        <v>0</v>
      </c>
      <c r="G19" s="2" t="n">
        <v>189.7</v>
      </c>
    </row>
    <row r="20">
      <c r="A20" s="7" t="n">
        <v>46302.91855568287</v>
      </c>
      <c r="B20" s="7" t="n">
        <v>46302.91736111111</v>
      </c>
      <c r="C20" s="2" t="n">
        <v>434</v>
      </c>
      <c r="D20" s="2" t="n">
        <v>5</v>
      </c>
      <c r="E20" s="2" t="n">
        <v>8</v>
      </c>
      <c r="F20" s="2" t="n">
        <v>0</v>
      </c>
      <c r="G20" s="2" t="n">
        <v>195.1</v>
      </c>
    </row>
    <row r="21">
      <c r="A21" s="7" t="n">
        <v>46302.63748732639</v>
      </c>
      <c r="B21" s="7" t="n">
        <v>46302.63611111111</v>
      </c>
      <c r="C21" s="2" t="n">
        <v>434</v>
      </c>
      <c r="D21" s="2" t="n">
        <v>7</v>
      </c>
      <c r="E21" s="2" t="n">
        <v>4</v>
      </c>
      <c r="F21" s="2" t="n">
        <v>0</v>
      </c>
      <c r="G21" s="2" t="n">
        <v>149.8</v>
      </c>
    </row>
    <row r="22">
      <c r="A22" s="7" t="n">
        <v>46302.36557295139</v>
      </c>
      <c r="B22" s="7" t="n">
        <v>46302.36458333334</v>
      </c>
      <c r="C22" s="2" t="n">
        <v>434</v>
      </c>
      <c r="D22" s="2" t="n">
        <v>1</v>
      </c>
      <c r="E22" s="2" t="n">
        <v>0</v>
      </c>
      <c r="F22" s="2" t="n">
        <v>0</v>
      </c>
      <c r="G22" s="2" t="n">
        <v>187.2</v>
      </c>
    </row>
    <row r="23">
      <c r="A23" s="7" t="n">
        <v>46302.18334195602</v>
      </c>
      <c r="B23" s="7" t="n">
        <v>46302.18263888889</v>
      </c>
      <c r="C23" s="2" t="n">
        <v>434</v>
      </c>
      <c r="D23" s="2" t="n">
        <v>0</v>
      </c>
      <c r="E23" s="2" t="n">
        <v>2</v>
      </c>
      <c r="F23" s="2" t="n">
        <v>0</v>
      </c>
      <c r="G23" s="2" t="n">
        <v>143.5</v>
      </c>
    </row>
    <row r="24">
      <c r="A24" s="7" t="n">
        <v>46301.96957728009</v>
      </c>
      <c r="B24" s="7" t="n">
        <v>46301.96875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153.4</v>
      </c>
    </row>
    <row r="25">
      <c r="A25" s="7" t="n">
        <v>46301.81112700231</v>
      </c>
      <c r="B25" s="7" t="n">
        <v>46301.81041666667</v>
      </c>
      <c r="C25" s="2" t="n">
        <v>434</v>
      </c>
      <c r="D25" s="2" t="n">
        <v>2</v>
      </c>
      <c r="E25" s="2" t="n">
        <v>3</v>
      </c>
      <c r="F25" s="2" t="n">
        <v>0</v>
      </c>
      <c r="G25" s="2" t="n">
        <v>163.5</v>
      </c>
    </row>
    <row r="26">
      <c r="A26" s="7" t="n">
        <v>46301.65108299768</v>
      </c>
      <c r="B26" s="7" t="n">
        <v>46301.65</v>
      </c>
      <c r="C26" s="2" t="n">
        <v>434</v>
      </c>
      <c r="D26" s="2" t="n">
        <v>4</v>
      </c>
      <c r="E26" s="2" t="n">
        <v>3</v>
      </c>
      <c r="F26" s="2" t="n">
        <v>0</v>
      </c>
      <c r="G26" s="2" t="n">
        <v>163.9</v>
      </c>
    </row>
    <row r="27">
      <c r="A27" s="7" t="n">
        <v>46301.36894638889</v>
      </c>
      <c r="B27" s="7" t="n">
        <v>46301.36805555555</v>
      </c>
      <c r="C27" s="2" t="n">
        <v>434</v>
      </c>
      <c r="D27" s="2" t="n">
        <v>1</v>
      </c>
      <c r="E27" s="2" t="n">
        <v>0</v>
      </c>
      <c r="F27" s="2" t="n">
        <v>0</v>
      </c>
      <c r="G27" s="2" t="n">
        <v>163.9</v>
      </c>
    </row>
    <row r="28">
      <c r="A28" s="7" t="n">
        <v>46301.10619697917</v>
      </c>
      <c r="B28" s="7" t="n">
        <v>46301.10486111111</v>
      </c>
      <c r="C28" s="2" t="n">
        <v>434</v>
      </c>
      <c r="D28" s="2" t="n">
        <v>3</v>
      </c>
      <c r="E28" s="2" t="n">
        <v>3</v>
      </c>
      <c r="F28" s="2" t="n">
        <v>0</v>
      </c>
      <c r="G28" s="2" t="n">
        <v>185.1</v>
      </c>
    </row>
    <row r="29">
      <c r="A29" s="7" t="n">
        <v>46300.94284798611</v>
      </c>
      <c r="B29" s="7" t="n">
        <v>46300.94166666667</v>
      </c>
      <c r="C29" s="2" t="n">
        <v>434</v>
      </c>
      <c r="D29" s="2" t="n">
        <v>2</v>
      </c>
      <c r="E29" s="2" t="n">
        <v>5</v>
      </c>
      <c r="F29" s="2" t="n">
        <v>0</v>
      </c>
      <c r="G29" s="2" t="n">
        <v>178.3</v>
      </c>
    </row>
    <row r="30">
      <c r="A30" s="7" t="n">
        <v>46300.71639594907</v>
      </c>
      <c r="B30" s="7" t="n">
        <v>46300.71527777778</v>
      </c>
      <c r="C30" s="2" t="n">
        <v>434</v>
      </c>
      <c r="D30" s="2" t="n">
        <v>6</v>
      </c>
      <c r="E30" s="2" t="n">
        <v>5</v>
      </c>
      <c r="F30" s="2" t="n">
        <v>0</v>
      </c>
      <c r="G30" s="2" t="n">
        <v>191.4</v>
      </c>
    </row>
    <row r="31">
      <c r="A31" s="7" t="n">
        <v>46300.42120295139</v>
      </c>
      <c r="B31" s="7" t="n">
        <v>46300.42013888889</v>
      </c>
      <c r="C31" s="2" t="n">
        <v>435</v>
      </c>
      <c r="D31" s="2" t="n">
        <v>1</v>
      </c>
      <c r="E31" s="2" t="n">
        <v>1</v>
      </c>
      <c r="F31" s="2" t="n">
        <v>0</v>
      </c>
      <c r="G31" s="2" t="n">
        <v>186</v>
      </c>
    </row>
    <row r="32">
      <c r="A32" s="7" t="n">
        <v>46300.30229967592</v>
      </c>
      <c r="B32" s="7" t="n">
        <v>46300.30138888889</v>
      </c>
      <c r="C32" s="2" t="n">
        <v>435</v>
      </c>
      <c r="D32" s="2" t="n">
        <v>4</v>
      </c>
      <c r="E32" s="2" t="n">
        <v>3</v>
      </c>
      <c r="F32" s="2" t="n">
        <v>0</v>
      </c>
      <c r="G32" s="2" t="n">
        <v>186.7</v>
      </c>
    </row>
    <row r="33">
      <c r="A33" s="7" t="n">
        <v>46300.1536875926</v>
      </c>
      <c r="B33" s="7" t="n">
        <v>46300.15277777778</v>
      </c>
      <c r="C33" s="2" t="n">
        <v>435</v>
      </c>
      <c r="D33" s="2" t="n">
        <v>1</v>
      </c>
      <c r="E33" s="2" t="n">
        <v>2</v>
      </c>
      <c r="F33" s="2" t="n">
        <v>0</v>
      </c>
      <c r="G33" s="2" t="n">
        <v>149.8</v>
      </c>
    </row>
    <row r="34">
      <c r="A34" s="7" t="n">
        <v>46299.97588962963</v>
      </c>
      <c r="B34" s="7" t="n">
        <v>46299.975</v>
      </c>
      <c r="C34" s="2" t="n">
        <v>435</v>
      </c>
      <c r="D34" s="2" t="n">
        <v>1</v>
      </c>
      <c r="E34" s="2" t="n">
        <v>1</v>
      </c>
      <c r="F34" s="2" t="n">
        <v>0</v>
      </c>
      <c r="G34" s="2" t="n">
        <v>191.9</v>
      </c>
    </row>
    <row r="35">
      <c r="A35" s="7" t="n">
        <v>46299.90213123843</v>
      </c>
      <c r="B35" s="7" t="n">
        <v>46299.90138888889</v>
      </c>
      <c r="C35" s="2" t="n">
        <v>435</v>
      </c>
      <c r="D35" s="2" t="n">
        <v>3</v>
      </c>
      <c r="E35" s="2" t="n">
        <v>1</v>
      </c>
      <c r="F35" s="2" t="n">
        <v>0</v>
      </c>
      <c r="G35" s="2" t="n">
        <v>188.2</v>
      </c>
    </row>
    <row r="36">
      <c r="A36" s="7" t="n">
        <v>46299.74574608796</v>
      </c>
      <c r="B36" s="7" t="n">
        <v>46299.74444444444</v>
      </c>
      <c r="C36" s="2" t="n">
        <v>435</v>
      </c>
      <c r="D36" s="2" t="n">
        <v>1</v>
      </c>
      <c r="E36" s="2" t="n">
        <v>1</v>
      </c>
      <c r="F36" s="2" t="n">
        <v>1</v>
      </c>
      <c r="G36" s="2" t="n">
        <v>187.4</v>
      </c>
    </row>
    <row r="37">
      <c r="A37" s="7" t="n">
        <v>46299.48719824074</v>
      </c>
      <c r="B37" s="7" t="n">
        <v>46299.48611111111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184.7</v>
      </c>
    </row>
    <row r="38">
      <c r="A38" s="7" t="n">
        <v>46299.44683753472</v>
      </c>
      <c r="B38" s="7" t="n">
        <v>46299.44583333333</v>
      </c>
      <c r="C38" s="2" t="n">
        <v>435</v>
      </c>
      <c r="D38" s="2" t="n">
        <v>0</v>
      </c>
      <c r="E38" s="2" t="n">
        <v>2</v>
      </c>
      <c r="F38" s="2" t="n">
        <v>1</v>
      </c>
      <c r="G38" s="2" t="n">
        <v>189.6</v>
      </c>
    </row>
    <row r="39">
      <c r="A39" s="7" t="n">
        <v>46299.29732329861</v>
      </c>
      <c r="B39" s="7" t="n">
        <v>46299.29652777778</v>
      </c>
      <c r="C39" s="2" t="n">
        <v>435</v>
      </c>
      <c r="D39" s="2" t="n">
        <v>0</v>
      </c>
      <c r="E39" s="2" t="n">
        <v>1</v>
      </c>
      <c r="F39" s="2" t="n">
        <v>1</v>
      </c>
      <c r="G39" s="2" t="n">
        <v>186.6</v>
      </c>
    </row>
    <row r="40">
      <c r="A40" s="7" t="n">
        <v>46299.16534118055</v>
      </c>
      <c r="B40" s="7" t="n">
        <v>46299.16458333333</v>
      </c>
      <c r="C40" s="2" t="n">
        <v>435</v>
      </c>
      <c r="D40" s="2" t="n">
        <v>1</v>
      </c>
      <c r="E40" s="2" t="n">
        <v>2</v>
      </c>
      <c r="F40" s="2" t="n">
        <v>1</v>
      </c>
      <c r="G40" s="2" t="n">
        <v>160.2</v>
      </c>
    </row>
    <row r="41">
      <c r="A41" s="7" t="n">
        <v>46299.01924309028</v>
      </c>
      <c r="B41" s="7" t="n">
        <v>46299.01805555556</v>
      </c>
      <c r="C41" s="2" t="n">
        <v>435</v>
      </c>
      <c r="D41" s="2" t="n">
        <v>2</v>
      </c>
      <c r="E41" s="2" t="n">
        <v>0</v>
      </c>
      <c r="F41" s="2" t="n">
        <v>1</v>
      </c>
      <c r="G41" s="2" t="n">
        <v>194</v>
      </c>
    </row>
    <row r="42">
      <c r="A42" s="7" t="n">
        <v>46298.82413289352</v>
      </c>
      <c r="B42" s="7" t="n">
        <v>46298.82291666666</v>
      </c>
      <c r="C42" s="2" t="n">
        <v>435</v>
      </c>
      <c r="D42" s="2" t="n">
        <v>1</v>
      </c>
      <c r="E42" s="2" t="n">
        <v>0</v>
      </c>
      <c r="F42" s="2" t="n">
        <v>1</v>
      </c>
      <c r="G42" s="2" t="n">
        <v>180.1</v>
      </c>
    </row>
    <row r="43">
      <c r="A43" s="7" t="n">
        <v>46298.64104893518</v>
      </c>
      <c r="B43" s="7" t="n">
        <v>46298.64027777778</v>
      </c>
      <c r="C43" s="2" t="n">
        <v>435</v>
      </c>
      <c r="D43" s="2" t="n">
        <v>0</v>
      </c>
      <c r="E43" s="2" t="n">
        <v>1</v>
      </c>
      <c r="F43" s="2" t="n">
        <v>1</v>
      </c>
      <c r="G43" s="2" t="n">
        <v>180.1</v>
      </c>
    </row>
    <row r="44">
      <c r="A44" s="7" t="n">
        <v>46298.55905060185</v>
      </c>
      <c r="B44" s="7" t="n">
        <v>46298.55833333333</v>
      </c>
      <c r="C44" s="2" t="n">
        <v>435</v>
      </c>
      <c r="D44" s="2" t="n">
        <v>2</v>
      </c>
      <c r="E44" s="2" t="n">
        <v>2</v>
      </c>
      <c r="F44" s="2" t="n">
        <v>1</v>
      </c>
      <c r="G44" s="2" t="n">
        <v>159.7</v>
      </c>
    </row>
    <row r="45">
      <c r="A45" s="7" t="n">
        <v>46298.32651334491</v>
      </c>
      <c r="B45" s="7" t="n">
        <v>46298.32569444444</v>
      </c>
      <c r="C45" s="2" t="n">
        <v>435</v>
      </c>
      <c r="D45" s="2" t="n">
        <v>0</v>
      </c>
      <c r="E45" s="2" t="n">
        <v>2</v>
      </c>
      <c r="F45" s="2" t="n">
        <v>2</v>
      </c>
      <c r="G45" s="2" t="n">
        <v>189.1</v>
      </c>
    </row>
    <row r="46">
      <c r="A46" s="7" t="n">
        <v>46298.14088650463</v>
      </c>
      <c r="B46" s="7" t="n">
        <v>46298.13958333333</v>
      </c>
      <c r="C46" s="2" t="n">
        <v>435</v>
      </c>
      <c r="D46" s="2" t="n">
        <v>6</v>
      </c>
      <c r="E46" s="2" t="n">
        <v>2</v>
      </c>
      <c r="F46" s="2" t="n">
        <v>2</v>
      </c>
      <c r="G46" s="2" t="n">
        <v>195.5</v>
      </c>
    </row>
    <row r="47">
      <c r="A47" s="7" t="n">
        <v>46298.00826386574</v>
      </c>
      <c r="B47" s="7" t="n">
        <v>46298.00694444445</v>
      </c>
      <c r="C47" s="2" t="n">
        <v>435</v>
      </c>
      <c r="D47" s="2" t="n">
        <v>1</v>
      </c>
      <c r="E47" s="2" t="n">
        <v>2</v>
      </c>
      <c r="F47" s="2" t="n">
        <v>2</v>
      </c>
      <c r="G47" s="2" t="n">
        <v>190.7</v>
      </c>
    </row>
    <row r="48">
      <c r="A48" s="7" t="n">
        <v>46297.91349550926</v>
      </c>
      <c r="B48" s="7" t="n">
        <v>46297.9125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179.2</v>
      </c>
    </row>
    <row r="49">
      <c r="A49" s="7" t="n">
        <v>46297.90064986111</v>
      </c>
      <c r="B49" s="7" t="n">
        <v>46297.89930555555</v>
      </c>
      <c r="C49" s="2" t="n">
        <v>435</v>
      </c>
      <c r="D49" s="2" t="n">
        <v>0</v>
      </c>
      <c r="E49" s="2" t="n">
        <v>3</v>
      </c>
      <c r="F49" s="2" t="n">
        <v>3</v>
      </c>
      <c r="G49" s="2" t="n">
        <v>180.1</v>
      </c>
    </row>
    <row r="50">
      <c r="A50" s="7" t="n">
        <v>46297.75623421296</v>
      </c>
      <c r="B50" s="7" t="n">
        <v>46297.75486111111</v>
      </c>
      <c r="C50" s="2" t="n">
        <v>435</v>
      </c>
      <c r="D50" s="2" t="n">
        <v>1</v>
      </c>
      <c r="E50" s="2" t="n">
        <v>0</v>
      </c>
      <c r="F50" s="2" t="n">
        <v>3</v>
      </c>
      <c r="G50" s="2" t="n">
        <v>199.1</v>
      </c>
    </row>
    <row r="51">
      <c r="A51" s="7" t="n">
        <v>46297.70907445602</v>
      </c>
      <c r="B51" s="7" t="n">
        <v>46297.70833333334</v>
      </c>
      <c r="C51" s="2" t="n">
        <v>435</v>
      </c>
      <c r="D51" s="2" t="n">
        <v>0</v>
      </c>
      <c r="E51" s="2" t="n">
        <v>2</v>
      </c>
      <c r="F51" s="2" t="n">
        <v>3</v>
      </c>
      <c r="G51" s="2" t="n">
        <v>148.2</v>
      </c>
    </row>
    <row r="52">
      <c r="A52" s="7" t="n">
        <v>46297.62748648148</v>
      </c>
      <c r="B52" s="7" t="n">
        <v>46297.62638888889</v>
      </c>
      <c r="C52" s="2" t="n">
        <v>435</v>
      </c>
      <c r="D52" s="2" t="n">
        <v>0</v>
      </c>
      <c r="E52" s="2" t="n">
        <v>1</v>
      </c>
      <c r="F52" s="2" t="n">
        <v>3</v>
      </c>
      <c r="G52" s="2" t="n">
        <v>188.8</v>
      </c>
    </row>
    <row r="53">
      <c r="A53" s="7" t="n">
        <v>46297.59146636574</v>
      </c>
      <c r="B53" s="7" t="n">
        <v>46297.59027777778</v>
      </c>
      <c r="C53" s="2" t="n">
        <v>435</v>
      </c>
      <c r="D53" s="2" t="n">
        <v>3</v>
      </c>
      <c r="E53" s="2" t="n">
        <v>1</v>
      </c>
      <c r="F53" s="2" t="n">
        <v>3</v>
      </c>
      <c r="G53" s="2" t="n">
        <v>188.7</v>
      </c>
    </row>
    <row r="54">
      <c r="A54" s="7" t="n">
        <v>46297.47377153935</v>
      </c>
      <c r="B54" s="7" t="n">
        <v>46297.47291666667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159.9</v>
      </c>
    </row>
    <row r="55">
      <c r="A55" s="7" t="n">
        <v>46297.43863659722</v>
      </c>
      <c r="B55" s="7" t="n">
        <v>46297.4375</v>
      </c>
      <c r="C55" s="2" t="n">
        <v>435</v>
      </c>
      <c r="D55" s="2" t="n">
        <v>1</v>
      </c>
      <c r="E55" s="2" t="n">
        <v>0</v>
      </c>
      <c r="F55" s="2" t="n">
        <v>4</v>
      </c>
      <c r="G55" s="2" t="n">
        <v>181.3</v>
      </c>
    </row>
    <row r="56">
      <c r="A56" s="7" t="n">
        <v>46297.36902693287</v>
      </c>
      <c r="B56" s="7" t="n">
        <v>46297.36805555555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191.7</v>
      </c>
    </row>
    <row r="57">
      <c r="A57" s="7" t="n">
        <v>46297.34984872685</v>
      </c>
      <c r="B57" s="7" t="n">
        <v>46297.34861111111</v>
      </c>
      <c r="C57" s="2" t="n">
        <v>434</v>
      </c>
      <c r="D57" s="2" t="n">
        <v>0</v>
      </c>
      <c r="E57" s="2" t="n">
        <v>2</v>
      </c>
      <c r="F57" s="2" t="n">
        <v>1</v>
      </c>
      <c r="G57" s="2" t="n">
        <v>185.3</v>
      </c>
    </row>
    <row r="58">
      <c r="A58" s="7" t="n">
        <v>46297.18230064815</v>
      </c>
      <c r="B58" s="7" t="n">
        <v>46297.18125</v>
      </c>
      <c r="C58" s="2" t="n">
        <v>434</v>
      </c>
      <c r="D58" s="2" t="n">
        <v>4</v>
      </c>
      <c r="E58" s="2" t="n">
        <v>3</v>
      </c>
      <c r="F58" s="2" t="n">
        <v>1</v>
      </c>
      <c r="G58" s="2" t="n">
        <v>159.5</v>
      </c>
    </row>
    <row r="59">
      <c r="A59" s="7" t="n">
        <v>46297.01546863426</v>
      </c>
      <c r="B59" s="7" t="n">
        <v>46297.01458333333</v>
      </c>
      <c r="C59" s="2" t="n">
        <v>434</v>
      </c>
      <c r="D59" s="2" t="n">
        <v>1</v>
      </c>
      <c r="E59" s="2" t="n">
        <v>0</v>
      </c>
      <c r="F59" s="2" t="n">
        <v>2</v>
      </c>
      <c r="G59" s="2" t="n">
        <v>179.4</v>
      </c>
    </row>
    <row r="60">
      <c r="A60" s="7" t="n">
        <v>46296.99918069445</v>
      </c>
      <c r="B60" s="7" t="n">
        <v>46296.99791666667</v>
      </c>
      <c r="C60" s="2" t="n">
        <v>434</v>
      </c>
      <c r="D60" s="2" t="n">
        <v>2</v>
      </c>
      <c r="E60" s="2" t="n">
        <v>1</v>
      </c>
      <c r="F60" s="2" t="n">
        <v>2</v>
      </c>
      <c r="G60" s="2" t="n">
        <v>167.2</v>
      </c>
    </row>
    <row r="61">
      <c r="A61" s="7" t="n">
        <v>46296.94003458333</v>
      </c>
      <c r="B61" s="7" t="n">
        <v>46296.93888888889</v>
      </c>
      <c r="C61" s="2" t="n">
        <v>434</v>
      </c>
      <c r="D61" s="2" t="n">
        <v>1</v>
      </c>
      <c r="E61" s="2" t="n">
        <v>3</v>
      </c>
      <c r="F61" s="2" t="n">
        <v>2</v>
      </c>
      <c r="G61" s="2" t="n">
        <v>189.5</v>
      </c>
    </row>
    <row r="62">
      <c r="A62" s="7" t="n">
        <v>46296.7419153125</v>
      </c>
      <c r="B62" s="7" t="n">
        <v>46296.74097222222</v>
      </c>
      <c r="C62" s="2" t="n">
        <v>434</v>
      </c>
      <c r="D62" s="2" t="n">
        <v>5</v>
      </c>
      <c r="E62" s="2" t="n">
        <v>2</v>
      </c>
      <c r="F62" s="2" t="n">
        <v>2</v>
      </c>
      <c r="G62" s="2" t="n">
        <v>150</v>
      </c>
    </row>
    <row r="63">
      <c r="A63" s="7" t="n">
        <v>46296.63539230324</v>
      </c>
      <c r="B63" s="7" t="n">
        <v>46296.63402777778</v>
      </c>
      <c r="C63" s="2" t="n">
        <v>434</v>
      </c>
      <c r="D63" s="2" t="n">
        <v>1</v>
      </c>
      <c r="E63" s="2" t="n">
        <v>0</v>
      </c>
      <c r="F63" s="2" t="n">
        <v>2</v>
      </c>
      <c r="G63" s="2" t="n">
        <v>195</v>
      </c>
    </row>
    <row r="64">
      <c r="A64" s="7" t="n">
        <v>46296.6196469213</v>
      </c>
      <c r="B64" s="7" t="n">
        <v>46296.61875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190.6</v>
      </c>
    </row>
    <row r="65">
      <c r="A65" s="7" t="n">
        <v>46296.55481784722</v>
      </c>
      <c r="B65" s="7" t="n">
        <v>46296.55347222222</v>
      </c>
      <c r="C65" s="2" t="n">
        <v>434</v>
      </c>
      <c r="D65" s="2" t="n">
        <v>1</v>
      </c>
      <c r="E65" s="2" t="n">
        <v>3</v>
      </c>
      <c r="F65" s="2" t="n">
        <v>2</v>
      </c>
      <c r="G65" s="2" t="n">
        <v>189.9</v>
      </c>
    </row>
    <row r="66">
      <c r="A66" s="7" t="n">
        <v>46296.49238505787</v>
      </c>
      <c r="B66" s="7" t="n">
        <v>46296.49166666667</v>
      </c>
      <c r="C66" s="2" t="n">
        <v>434</v>
      </c>
      <c r="D66" s="2" t="n">
        <v>1</v>
      </c>
      <c r="E66" s="2" t="n">
        <v>1</v>
      </c>
      <c r="F66" s="2" t="n">
        <v>3</v>
      </c>
      <c r="G66" s="2" t="n">
        <v>189.7</v>
      </c>
    </row>
    <row r="67">
      <c r="A67" s="7" t="n">
        <v>46296.35809899306</v>
      </c>
      <c r="B67" s="7" t="n">
        <v>46296.35694444444</v>
      </c>
      <c r="C67" s="2" t="n">
        <v>434</v>
      </c>
      <c r="D67" s="2" t="n">
        <v>2</v>
      </c>
      <c r="E67" s="2" t="n">
        <v>0</v>
      </c>
      <c r="F67" s="2" t="n">
        <v>3</v>
      </c>
      <c r="G67" s="2" t="n">
        <v>152.4</v>
      </c>
    </row>
    <row r="68">
      <c r="A68" s="7" t="n">
        <v>46296.20216918981</v>
      </c>
      <c r="B68" s="7" t="n">
        <v>46296.20138888889</v>
      </c>
      <c r="C68" s="2" t="n">
        <v>434</v>
      </c>
      <c r="D68" s="2" t="n">
        <v>3</v>
      </c>
      <c r="E68" s="2" t="n">
        <v>7</v>
      </c>
      <c r="F68" s="2" t="n">
        <v>3</v>
      </c>
      <c r="G68" s="2" t="n">
        <v>180</v>
      </c>
    </row>
    <row r="69">
      <c r="A69" s="7" t="n">
        <v>46295.99840958334</v>
      </c>
      <c r="B69" s="7" t="n">
        <v>46295.99722222222</v>
      </c>
      <c r="C69" s="2" t="n">
        <v>434</v>
      </c>
      <c r="D69" s="2" t="n">
        <v>4</v>
      </c>
      <c r="E69" s="2" t="n">
        <v>2</v>
      </c>
      <c r="F69" s="2" t="n">
        <v>3</v>
      </c>
      <c r="G69" s="2" t="n">
        <v>187.6</v>
      </c>
    </row>
    <row r="70">
      <c r="A70" s="7" t="n">
        <v>46295.94423819445</v>
      </c>
      <c r="B70" s="7" t="n">
        <v>46295.94305555556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150.7</v>
      </c>
    </row>
    <row r="71">
      <c r="A71" s="7" t="n">
        <v>46295.91675143519</v>
      </c>
      <c r="B71" s="7" t="n">
        <v>46295.91597222222</v>
      </c>
      <c r="C71" s="2" t="n">
        <v>434</v>
      </c>
      <c r="D71" s="2" t="n">
        <v>1</v>
      </c>
      <c r="E71" s="2" t="n">
        <v>4</v>
      </c>
      <c r="F71" s="2" t="n">
        <v>3</v>
      </c>
      <c r="G71" s="2" t="n">
        <v>189.9</v>
      </c>
    </row>
    <row r="72">
      <c r="A72" s="7" t="n">
        <v>46295.87897131944</v>
      </c>
      <c r="B72" s="7" t="n">
        <v>46295.87777777778</v>
      </c>
      <c r="C72" s="2" t="n">
        <v>434</v>
      </c>
      <c r="D72" s="2" t="n">
        <v>2</v>
      </c>
      <c r="E72" s="2" t="n">
        <v>1</v>
      </c>
      <c r="F72" s="2" t="n">
        <v>3</v>
      </c>
      <c r="G72" s="2" t="n">
        <v>187.8</v>
      </c>
    </row>
    <row r="73">
      <c r="A73" s="7" t="n">
        <v>46295.84232043981</v>
      </c>
      <c r="B73" s="7" t="n">
        <v>46295.84097222222</v>
      </c>
      <c r="C73" s="2" t="n">
        <v>434</v>
      </c>
      <c r="D73" s="2" t="n">
        <v>1</v>
      </c>
      <c r="E73" s="2" t="n">
        <v>2</v>
      </c>
      <c r="F73" s="2" t="n">
        <v>3</v>
      </c>
      <c r="G73" s="2" t="n">
        <v>147.8</v>
      </c>
    </row>
    <row r="74">
      <c r="A74" s="7" t="n">
        <v>46295.76311292824</v>
      </c>
      <c r="B74" s="7" t="n">
        <v>46295.76180555556</v>
      </c>
      <c r="C74" s="2" t="n">
        <v>434</v>
      </c>
      <c r="D74" s="2" t="n">
        <v>1</v>
      </c>
      <c r="E74" s="2" t="n">
        <v>1</v>
      </c>
      <c r="F74" s="2" t="n">
        <v>3</v>
      </c>
      <c r="G74" s="2" t="n">
        <v>188</v>
      </c>
    </row>
    <row r="75">
      <c r="A75" s="7" t="n">
        <v>46295.71942712963</v>
      </c>
      <c r="B75" s="7" t="n">
        <v>46295.71805555555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163.9</v>
      </c>
    </row>
    <row r="76">
      <c r="A76" s="7" t="n">
        <v>46295.69435030092</v>
      </c>
      <c r="B76" s="7" t="n">
        <v>46295.69305555556</v>
      </c>
      <c r="C76" s="2" t="n">
        <v>434</v>
      </c>
      <c r="D76" s="2" t="n">
        <v>1</v>
      </c>
      <c r="E76" s="2" t="n">
        <v>3</v>
      </c>
      <c r="F76" s="2" t="n">
        <v>3</v>
      </c>
      <c r="G76" s="2" t="n">
        <v>141.1</v>
      </c>
    </row>
    <row r="77">
      <c r="A77" s="7" t="n">
        <v>46295.5782999537</v>
      </c>
      <c r="B77" s="7" t="n">
        <v>46295.57708333333</v>
      </c>
      <c r="C77" s="2" t="n">
        <v>434</v>
      </c>
      <c r="D77" s="2" t="n">
        <v>1</v>
      </c>
      <c r="E77" s="2" t="n">
        <v>0</v>
      </c>
      <c r="F77" s="2" t="n">
        <v>5</v>
      </c>
      <c r="G77" s="2" t="n">
        <v>191.3</v>
      </c>
    </row>
    <row r="78">
      <c r="A78" s="7" t="n">
        <v>46295.51228863426</v>
      </c>
      <c r="B78" s="7" t="n">
        <v>46295.51111111111</v>
      </c>
      <c r="C78" s="2" t="n">
        <v>434</v>
      </c>
      <c r="D78" s="2" t="n">
        <v>1</v>
      </c>
      <c r="E78" s="2" t="n">
        <v>1</v>
      </c>
      <c r="F78" s="2" t="n">
        <v>5</v>
      </c>
      <c r="G78" s="2" t="n">
        <v>188.8</v>
      </c>
    </row>
    <row r="79">
      <c r="A79" s="7" t="n">
        <v>46295.44308225694</v>
      </c>
      <c r="B79" s="7" t="n">
        <v>46295.44236111111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167.1</v>
      </c>
    </row>
    <row r="80">
      <c r="A80" s="7" t="n">
        <v>46295.42368403935</v>
      </c>
      <c r="B80" s="7" t="n">
        <v>46295.42291666667</v>
      </c>
      <c r="C80" s="2" t="n">
        <v>433</v>
      </c>
      <c r="D80" s="2" t="n">
        <v>5</v>
      </c>
      <c r="E80" s="2" t="n">
        <v>3</v>
      </c>
      <c r="F80" s="2" t="n">
        <v>2</v>
      </c>
      <c r="G80" s="2" t="n">
        <v>150.9</v>
      </c>
    </row>
    <row r="81">
      <c r="A81" s="7" t="n">
        <v>46295.29174006944</v>
      </c>
      <c r="B81" s="7" t="n">
        <v>46295.29097222222</v>
      </c>
      <c r="C81" s="2" t="n">
        <v>433</v>
      </c>
      <c r="D81" s="2" t="n">
        <v>2</v>
      </c>
      <c r="E81" s="2" t="n">
        <v>4</v>
      </c>
      <c r="F81" s="2" t="n">
        <v>2</v>
      </c>
      <c r="G81" s="2" t="n">
        <v>191.4</v>
      </c>
    </row>
    <row r="82">
      <c r="A82" s="7" t="n">
        <v>46295.11156024306</v>
      </c>
      <c r="B82" s="7" t="n">
        <v>46295.11041666667</v>
      </c>
      <c r="C82" s="2" t="n">
        <v>433</v>
      </c>
      <c r="D82" s="2" t="n">
        <v>7</v>
      </c>
      <c r="E82" s="2" t="n">
        <v>9</v>
      </c>
      <c r="F82" s="2" t="n">
        <v>2</v>
      </c>
      <c r="G82" s="2" t="n">
        <v>185.8</v>
      </c>
    </row>
    <row r="83">
      <c r="A83" s="7" t="n">
        <v>46294.99800613426</v>
      </c>
      <c r="B83" s="7" t="n">
        <v>46294.99722222222</v>
      </c>
      <c r="C83" s="2" t="n">
        <v>433</v>
      </c>
      <c r="D83" s="2" t="n">
        <v>3</v>
      </c>
      <c r="E83" s="2" t="n">
        <v>0</v>
      </c>
      <c r="F83" s="2" t="n">
        <v>2</v>
      </c>
      <c r="G83" s="2" t="n">
        <v>153.7</v>
      </c>
    </row>
    <row r="84">
      <c r="A84" s="7" t="n">
        <v>46294.95333178241</v>
      </c>
      <c r="B84" s="7" t="n">
        <v>46294.95208333333</v>
      </c>
      <c r="C84" s="2" t="n">
        <v>433</v>
      </c>
      <c r="D84" s="2" t="n">
        <v>0</v>
      </c>
      <c r="E84" s="2" t="n">
        <v>1</v>
      </c>
      <c r="F84" s="2" t="n">
        <v>2</v>
      </c>
      <c r="G84" s="2" t="n">
        <v>177.4</v>
      </c>
    </row>
    <row r="85">
      <c r="A85" s="7" t="n">
        <v>46294.87612561342</v>
      </c>
      <c r="B85" s="7" t="n">
        <v>46294.875</v>
      </c>
      <c r="C85" s="2" t="n">
        <v>433</v>
      </c>
      <c r="D85" s="2" t="n">
        <v>5</v>
      </c>
      <c r="E85" s="2" t="n">
        <v>7</v>
      </c>
      <c r="F85" s="2" t="n">
        <v>2</v>
      </c>
      <c r="G85" s="2" t="n">
        <v>196.6</v>
      </c>
    </row>
    <row r="86">
      <c r="A86" s="7" t="n">
        <v>46294.76526767361</v>
      </c>
      <c r="B86" s="7" t="n">
        <v>46294.76388888889</v>
      </c>
      <c r="C86" s="2" t="n">
        <v>433</v>
      </c>
      <c r="D86" s="2" t="n">
        <v>2</v>
      </c>
      <c r="E86" s="2" t="n">
        <v>2</v>
      </c>
      <c r="F86" s="2" t="n">
        <v>2</v>
      </c>
      <c r="G86" s="2" t="n">
        <v>182.5</v>
      </c>
    </row>
    <row r="87">
      <c r="A87" s="7" t="n">
        <v>46294.66075324074</v>
      </c>
      <c r="B87" s="7" t="n">
        <v>46294.65972222222</v>
      </c>
      <c r="C87" s="2" t="n">
        <v>433</v>
      </c>
      <c r="D87" s="2" t="n">
        <v>5</v>
      </c>
      <c r="E87" s="2" t="n">
        <v>5</v>
      </c>
      <c r="F87" s="2" t="n">
        <v>3</v>
      </c>
      <c r="G87" s="2" t="n">
        <v>174</v>
      </c>
    </row>
    <row r="88">
      <c r="A88" s="7" t="n">
        <v>46294.57647584491</v>
      </c>
      <c r="B88" s="7" t="n">
        <v>46294.57569444444</v>
      </c>
      <c r="C88" s="2" t="n">
        <v>432</v>
      </c>
      <c r="D88" s="2" t="n">
        <v>4</v>
      </c>
      <c r="E88" s="2" t="n">
        <v>1</v>
      </c>
      <c r="F88" s="2" t="n">
        <v>0</v>
      </c>
      <c r="G88" s="2" t="n">
        <v>147.5</v>
      </c>
    </row>
    <row r="89">
      <c r="A89" s="7" t="n">
        <v>46294.46163141204</v>
      </c>
      <c r="B89" s="7" t="n">
        <v>46294.46041666667</v>
      </c>
      <c r="C89" s="2" t="n">
        <v>432</v>
      </c>
      <c r="D89" s="2" t="n">
        <v>4</v>
      </c>
      <c r="E89" s="2" t="n">
        <v>6</v>
      </c>
      <c r="F89" s="2" t="n">
        <v>0</v>
      </c>
      <c r="G89" s="2" t="n">
        <v>193.3</v>
      </c>
    </row>
    <row r="90">
      <c r="A90" s="7" t="n">
        <v>46294.30606211806</v>
      </c>
      <c r="B90" s="7" t="n">
        <v>46294.30486111111</v>
      </c>
      <c r="C90" s="2" t="n">
        <v>432</v>
      </c>
      <c r="D90" s="2" t="n">
        <v>5</v>
      </c>
      <c r="E90" s="2" t="n">
        <v>5</v>
      </c>
      <c r="F90" s="2" t="n">
        <v>0</v>
      </c>
      <c r="G90" s="2" t="n">
        <v>165.6</v>
      </c>
    </row>
    <row r="91">
      <c r="A91" s="7" t="n">
        <v>46294.07080519676</v>
      </c>
      <c r="B91" s="7" t="n">
        <v>46294.06944444445</v>
      </c>
      <c r="C91" s="2" t="n">
        <v>432</v>
      </c>
      <c r="D91" s="2" t="n">
        <v>3</v>
      </c>
      <c r="E91" s="2" t="n">
        <v>3</v>
      </c>
      <c r="F91" s="2" t="n">
        <v>0</v>
      </c>
      <c r="G91" s="2" t="n">
        <v>193.3</v>
      </c>
    </row>
    <row r="92">
      <c r="A92" s="7" t="n">
        <v>46293.99403509259</v>
      </c>
      <c r="B92" s="7" t="n">
        <v>46293.99305555555</v>
      </c>
      <c r="C92" s="2" t="n">
        <v>432</v>
      </c>
      <c r="D92" s="2" t="n">
        <v>8</v>
      </c>
      <c r="E92" s="2" t="n">
        <v>1</v>
      </c>
      <c r="F92" s="2" t="n">
        <v>0</v>
      </c>
      <c r="G92" s="2" t="n">
        <v>153.6</v>
      </c>
    </row>
    <row r="93">
      <c r="A93" s="7" t="n">
        <v>46293.9460828588</v>
      </c>
      <c r="B93" s="7" t="n">
        <v>46293.94513888889</v>
      </c>
      <c r="C93" s="2" t="n">
        <v>432</v>
      </c>
      <c r="D93" s="2" t="n">
        <v>1</v>
      </c>
      <c r="E93" s="2" t="n">
        <v>3</v>
      </c>
      <c r="F93" s="2" t="n">
        <v>0</v>
      </c>
      <c r="G93" s="2" t="n">
        <v>197.9</v>
      </c>
    </row>
    <row r="94">
      <c r="A94" s="7" t="n">
        <v>46293.85933717593</v>
      </c>
      <c r="B94" s="7" t="n">
        <v>46293.85833333333</v>
      </c>
      <c r="C94" s="2" t="n">
        <v>432</v>
      </c>
      <c r="D94" s="2" t="n">
        <v>4</v>
      </c>
      <c r="E94" s="2" t="n">
        <v>3</v>
      </c>
      <c r="F94" s="2" t="n">
        <v>0</v>
      </c>
      <c r="G94" s="2" t="n">
        <v>185</v>
      </c>
    </row>
    <row r="95">
      <c r="A95" s="7" t="n">
        <v>46293.69837709491</v>
      </c>
      <c r="B95" s="7" t="n">
        <v>46293.69722222222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144.9</v>
      </c>
    </row>
    <row r="96">
      <c r="A96" s="7" t="n">
        <v>46293.67139270833</v>
      </c>
      <c r="B96" s="7" t="n">
        <v>46293.67013888889</v>
      </c>
      <c r="C96" s="2" t="n">
        <v>432</v>
      </c>
      <c r="D96" s="2" t="n">
        <v>4</v>
      </c>
      <c r="E96" s="2" t="n">
        <v>3</v>
      </c>
      <c r="F96" s="2" t="n">
        <v>0</v>
      </c>
      <c r="G96" s="2" t="n">
        <v>186.3</v>
      </c>
    </row>
    <row r="97">
      <c r="A97" s="7" t="n">
        <v>46293.54465268519</v>
      </c>
      <c r="B97" s="7" t="n">
        <v>46293.54375</v>
      </c>
      <c r="C97" s="2" t="n">
        <v>432</v>
      </c>
      <c r="D97" s="2" t="n">
        <v>2</v>
      </c>
      <c r="E97" s="2" t="n">
        <v>5</v>
      </c>
      <c r="F97" s="2" t="n">
        <v>0</v>
      </c>
      <c r="G97" s="2" t="n">
        <v>150</v>
      </c>
    </row>
    <row r="98">
      <c r="A98" s="7" t="n">
        <v>46293.46449744213</v>
      </c>
      <c r="B98" s="7" t="n">
        <v>46293.46319444444</v>
      </c>
      <c r="C98" s="2" t="n">
        <v>432</v>
      </c>
      <c r="D98" s="2" t="n">
        <v>3</v>
      </c>
      <c r="E98" s="2" t="n">
        <v>0</v>
      </c>
      <c r="F98" s="2" t="n">
        <v>0</v>
      </c>
      <c r="G98" s="2" t="n">
        <v>193.4</v>
      </c>
    </row>
    <row r="99">
      <c r="A99" s="7" t="n">
        <v>46293.40532865741</v>
      </c>
      <c r="B99" s="7" t="n">
        <v>46293.40416666667</v>
      </c>
      <c r="C99" s="2" t="n">
        <v>433</v>
      </c>
      <c r="D99" s="2" t="n">
        <v>0</v>
      </c>
      <c r="E99" s="2" t="n">
        <v>2</v>
      </c>
      <c r="F99" s="2" t="n">
        <v>0</v>
      </c>
      <c r="G99" s="2" t="n">
        <v>194.7</v>
      </c>
    </row>
    <row r="100">
      <c r="A100" s="7" t="n">
        <v>46293.26205886574</v>
      </c>
      <c r="B100" s="7" t="n">
        <v>46293.26111111111</v>
      </c>
      <c r="C100" s="2" t="n">
        <v>433</v>
      </c>
      <c r="D100" s="2" t="n">
        <v>1</v>
      </c>
      <c r="E100" s="2" t="n">
        <v>2</v>
      </c>
      <c r="F100" s="2" t="n">
        <v>0</v>
      </c>
      <c r="G100" s="2" t="n">
        <v>178</v>
      </c>
    </row>
    <row r="101">
      <c r="A101" s="7" t="n">
        <v>46293.12570534722</v>
      </c>
      <c r="B101" s="7" t="n">
        <v>46293.125</v>
      </c>
      <c r="C101" s="2" t="n">
        <v>433</v>
      </c>
      <c r="D101" s="2" t="n">
        <v>2</v>
      </c>
      <c r="E101" s="2" t="n">
        <v>0</v>
      </c>
      <c r="F101" s="2" t="n">
        <v>0</v>
      </c>
      <c r="G101" s="2" t="n">
        <v>193.1</v>
      </c>
    </row>
    <row r="102">
      <c r="A102" s="7" t="n">
        <v>46293.08172232639</v>
      </c>
      <c r="B102" s="7" t="n">
        <v>46293.08055555556</v>
      </c>
      <c r="C102" s="2" t="n">
        <v>433</v>
      </c>
      <c r="D102" s="2" t="n">
        <v>1</v>
      </c>
      <c r="E102" s="2" t="n">
        <v>2</v>
      </c>
      <c r="F102" s="2" t="n">
        <v>0</v>
      </c>
      <c r="G102" s="2" t="n">
        <v>148.9</v>
      </c>
    </row>
    <row r="103">
      <c r="A103" s="7" t="n">
        <v>46292.9814453588</v>
      </c>
      <c r="B103" s="7" t="n">
        <v>46292.98055555556</v>
      </c>
      <c r="C103" s="2" t="n">
        <v>433</v>
      </c>
      <c r="D103" s="2" t="n">
        <v>2</v>
      </c>
      <c r="E103" s="2" t="n">
        <v>1</v>
      </c>
      <c r="F103" s="2" t="n">
        <v>0</v>
      </c>
      <c r="G103" s="2" t="n">
        <v>186</v>
      </c>
    </row>
    <row r="104">
      <c r="A104" s="7" t="n">
        <v>46292.9472603125</v>
      </c>
      <c r="B104" s="7" t="n">
        <v>46292.94652777778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192.1</v>
      </c>
    </row>
    <row r="105">
      <c r="A105" s="7" t="n">
        <v>46292.919814375</v>
      </c>
      <c r="B105" s="7" t="n">
        <v>46292.91875</v>
      </c>
      <c r="C105" s="2" t="n">
        <v>433</v>
      </c>
      <c r="D105" s="2" t="n">
        <v>2</v>
      </c>
      <c r="E105" s="2" t="n">
        <v>3</v>
      </c>
      <c r="F105" s="2" t="n">
        <v>0</v>
      </c>
      <c r="G105" s="2" t="n">
        <v>192.5</v>
      </c>
    </row>
    <row r="106">
      <c r="A106" s="7" t="n">
        <v>46292.81065981482</v>
      </c>
      <c r="B106" s="7" t="n">
        <v>46292.80972222222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177.2</v>
      </c>
    </row>
    <row r="107">
      <c r="A107" s="7" t="n">
        <v>46292.73704342593</v>
      </c>
      <c r="B107" s="7" t="n">
        <v>46292.73611111111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147.3</v>
      </c>
    </row>
    <row r="108">
      <c r="A108" s="7" t="n">
        <v>46292.67926077546</v>
      </c>
      <c r="B108" s="7" t="n">
        <v>46292.67847222222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197.6</v>
      </c>
    </row>
    <row r="109">
      <c r="A109" s="7" t="n">
        <v>46292.6274472338</v>
      </c>
      <c r="B109" s="7" t="n">
        <v>46292.62638888889</v>
      </c>
      <c r="C109" s="2" t="n">
        <v>433</v>
      </c>
      <c r="D109" s="2" t="n">
        <v>5</v>
      </c>
      <c r="E109" s="2" t="n">
        <v>3</v>
      </c>
      <c r="F109" s="2" t="n">
        <v>0</v>
      </c>
      <c r="G109" s="2" t="n">
        <v>192.4</v>
      </c>
    </row>
    <row r="110">
      <c r="A110" s="7" t="n">
        <v>46292.50599667824</v>
      </c>
      <c r="B110" s="7" t="n">
        <v>46292.50486111111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191.3</v>
      </c>
    </row>
    <row r="111">
      <c r="A111" s="7" t="n">
        <v>46292.39740747685</v>
      </c>
      <c r="B111" s="7" t="n">
        <v>46292.39652777778</v>
      </c>
      <c r="C111" s="2" t="n">
        <v>433</v>
      </c>
      <c r="D111" s="2" t="n">
        <v>2</v>
      </c>
      <c r="E111" s="2" t="n">
        <v>2</v>
      </c>
      <c r="F111" s="2" t="n">
        <v>0</v>
      </c>
      <c r="G111" s="2" t="n">
        <v>150.9</v>
      </c>
    </row>
    <row r="112">
      <c r="A112" s="7" t="n">
        <v>46292.28951247685</v>
      </c>
      <c r="B112" s="7" t="n">
        <v>46292.28819444445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163.9</v>
      </c>
    </row>
    <row r="113">
      <c r="A113" s="7" t="n">
        <v>46292.28563091435</v>
      </c>
      <c r="B113" s="7" t="n">
        <v>46292.28472222222</v>
      </c>
      <c r="C113" s="2" t="n">
        <v>433</v>
      </c>
      <c r="D113" s="2" t="n">
        <v>2</v>
      </c>
      <c r="E113" s="2" t="n">
        <v>2</v>
      </c>
      <c r="F113" s="2" t="n">
        <v>0</v>
      </c>
      <c r="G113" s="2" t="n">
        <v>186.1</v>
      </c>
    </row>
    <row r="114">
      <c r="A114" s="7" t="n">
        <v>46292.16453692129</v>
      </c>
      <c r="B114" s="7" t="n">
        <v>46292.16319444445</v>
      </c>
      <c r="C114" s="2" t="n">
        <v>433</v>
      </c>
      <c r="D114" s="2" t="n">
        <v>0</v>
      </c>
      <c r="E114" s="2" t="n">
        <v>2</v>
      </c>
      <c r="F114" s="2" t="n">
        <v>0</v>
      </c>
      <c r="G114" s="2" t="n">
        <v>183.8</v>
      </c>
    </row>
    <row r="115">
      <c r="A115" s="7" t="n">
        <v>46292.05207142361</v>
      </c>
      <c r="B115" s="7" t="n">
        <v>46292.05069444444</v>
      </c>
      <c r="C115" s="2" t="n">
        <v>433</v>
      </c>
      <c r="D115" s="2" t="n">
        <v>4</v>
      </c>
      <c r="E115" s="2" t="n">
        <v>2</v>
      </c>
      <c r="F115" s="2" t="n">
        <v>0</v>
      </c>
      <c r="G115" s="2" t="n">
        <v>160.8</v>
      </c>
    </row>
    <row r="116">
      <c r="A116" s="7" t="n">
        <v>46291.98017201389</v>
      </c>
      <c r="B116" s="7" t="n">
        <v>46291.97916666666</v>
      </c>
      <c r="C116" s="2" t="n">
        <v>433</v>
      </c>
      <c r="D116" s="2" t="n">
        <v>2</v>
      </c>
      <c r="E116" s="2" t="n">
        <v>0</v>
      </c>
      <c r="F116" s="2" t="n">
        <v>0</v>
      </c>
      <c r="G116" s="2" t="n">
        <v>148.2</v>
      </c>
    </row>
    <row r="117">
      <c r="A117" s="7" t="n">
        <v>46291.93749069444</v>
      </c>
      <c r="B117" s="7" t="n">
        <v>46291.93611111111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163.1</v>
      </c>
    </row>
    <row r="118">
      <c r="A118" s="7" t="n">
        <v>46291.88266193287</v>
      </c>
      <c r="B118" s="7" t="n">
        <v>46291.88194444445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46291.83751681713</v>
      </c>
      <c r="B119" s="7" t="n">
        <v>46291.83680555555</v>
      </c>
      <c r="C119" s="2" t="n">
        <v>433</v>
      </c>
      <c r="D119" s="2" t="n">
        <v>0</v>
      </c>
      <c r="E119" s="2" t="n">
        <v>2</v>
      </c>
      <c r="F119" s="2" t="n">
        <v>0</v>
      </c>
      <c r="G119" s="2" t="n">
        <v>186.6</v>
      </c>
    </row>
    <row r="120">
      <c r="A120" s="7" t="n">
        <v>46291.78589450232</v>
      </c>
      <c r="B120" s="7" t="n">
        <v>46291.78472222222</v>
      </c>
      <c r="C120" s="2" t="n">
        <v>433</v>
      </c>
      <c r="D120" s="2" t="n">
        <v>5</v>
      </c>
      <c r="E120" s="2" t="n">
        <v>7</v>
      </c>
      <c r="F120" s="2" t="n">
        <v>0</v>
      </c>
      <c r="G120" s="2" t="n">
        <v>157.8</v>
      </c>
    </row>
    <row r="121">
      <c r="A121" s="7" t="n">
        <v>46291.65882908565</v>
      </c>
      <c r="B121" s="7" t="n">
        <v>46291.65763888889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175.7</v>
      </c>
    </row>
    <row r="122">
      <c r="A122" s="7" t="n">
        <v>46291.63896155093</v>
      </c>
      <c r="B122" s="7" t="n">
        <v>46291.63819444444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177.9</v>
      </c>
    </row>
    <row r="123">
      <c r="A123" s="7" t="n">
        <v>46291.63155474537</v>
      </c>
      <c r="B123" s="7" t="n">
        <v>46291.63055555556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172.6</v>
      </c>
    </row>
    <row r="124">
      <c r="A124" s="7" t="n">
        <v>46291.58748165509</v>
      </c>
      <c r="B124" s="7" t="n">
        <v>46291.58611111111</v>
      </c>
      <c r="C124" s="2" t="n">
        <v>433</v>
      </c>
      <c r="D124" s="2" t="n">
        <v>2</v>
      </c>
      <c r="E124" s="2" t="n">
        <v>0</v>
      </c>
      <c r="F124" s="2" t="n">
        <v>0</v>
      </c>
      <c r="G124" s="2" t="n">
        <v>148</v>
      </c>
    </row>
    <row r="125">
      <c r="A125" s="7" t="n">
        <v>46291.52177836806</v>
      </c>
      <c r="B125" s="7" t="n">
        <v>46291.52083333334</v>
      </c>
      <c r="C125" s="2" t="n">
        <v>433</v>
      </c>
      <c r="D125" s="2" t="n">
        <v>2</v>
      </c>
      <c r="E125" s="2" t="n">
        <v>5</v>
      </c>
      <c r="F125" s="2" t="n">
        <v>0</v>
      </c>
      <c r="G125" s="2" t="n">
        <v>187.5</v>
      </c>
    </row>
    <row r="126">
      <c r="A126" s="7" t="n">
        <v>46291.40186751157</v>
      </c>
      <c r="B126" s="7" t="n">
        <v>46291.40069444444</v>
      </c>
      <c r="C126" s="2" t="n">
        <v>433</v>
      </c>
      <c r="D126" s="2" t="n">
        <v>0</v>
      </c>
      <c r="E126" s="2" t="n">
        <v>2</v>
      </c>
      <c r="F126" s="2" t="n">
        <v>0</v>
      </c>
      <c r="G126" s="2" t="n">
        <v>188.1</v>
      </c>
    </row>
    <row r="127">
      <c r="A127" s="7" t="n">
        <v>46291.36540915509</v>
      </c>
      <c r="B127" s="7" t="n">
        <v>46291.36458333334</v>
      </c>
      <c r="C127" s="2" t="n">
        <v>433</v>
      </c>
      <c r="D127" s="2" t="n">
        <v>3</v>
      </c>
      <c r="E127" s="2" t="n">
        <v>0</v>
      </c>
      <c r="F127" s="2" t="n">
        <v>0</v>
      </c>
      <c r="G127" s="2" t="n">
        <v>163.5</v>
      </c>
    </row>
    <row r="128">
      <c r="A128" s="7" t="n">
        <v>46291.26887001158</v>
      </c>
      <c r="B128" s="7" t="n">
        <v>46291.26805555556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184.5</v>
      </c>
    </row>
    <row r="129">
      <c r="A129" s="7" t="n">
        <v>46291.2560487963</v>
      </c>
      <c r="B129" s="7" t="n">
        <v>46291.25486111111</v>
      </c>
      <c r="C129" s="2" t="n">
        <v>433</v>
      </c>
      <c r="D129" s="2" t="n">
        <v>3</v>
      </c>
      <c r="E129" s="2" t="n">
        <v>1</v>
      </c>
      <c r="F129" s="2" t="n">
        <v>0</v>
      </c>
      <c r="G129" s="2" t="n">
        <v>191.6</v>
      </c>
    </row>
    <row r="130">
      <c r="A130" s="7" t="n">
        <v>46291.11246790509</v>
      </c>
      <c r="B130" s="7" t="n">
        <v>46291.11111111111</v>
      </c>
      <c r="C130" s="2" t="n">
        <v>433</v>
      </c>
      <c r="D130" s="2" t="n">
        <v>2</v>
      </c>
      <c r="E130" s="2" t="n">
        <v>1</v>
      </c>
      <c r="F130" s="2" t="n">
        <v>0</v>
      </c>
      <c r="G130" s="2" t="n">
        <v>182.3</v>
      </c>
    </row>
    <row r="131">
      <c r="A131" s="7" t="n">
        <v>46291.02308788194</v>
      </c>
      <c r="B131" s="7" t="n">
        <v>46291.02222222222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140.5</v>
      </c>
    </row>
    <row r="132">
      <c r="A132" s="7" t="n">
        <v>46290.9990443287</v>
      </c>
      <c r="B132" s="7" t="n">
        <v>46290.99791666667</v>
      </c>
      <c r="C132" s="2" t="n">
        <v>433</v>
      </c>
      <c r="D132" s="2" t="n">
        <v>1</v>
      </c>
      <c r="E132" s="2" t="n">
        <v>1</v>
      </c>
      <c r="F132" s="2" t="n">
        <v>0</v>
      </c>
      <c r="G132" s="2" t="n">
        <v>197.5</v>
      </c>
    </row>
    <row r="133">
      <c r="A133" s="7" t="n">
        <v>46290.91267655093</v>
      </c>
      <c r="B133" s="7" t="n">
        <v>46290.91180555556</v>
      </c>
      <c r="C133" s="2" t="n">
        <v>433</v>
      </c>
      <c r="D133" s="2" t="n">
        <v>2</v>
      </c>
      <c r="E133" s="2" t="n">
        <v>2</v>
      </c>
      <c r="F133" s="2" t="n">
        <v>0</v>
      </c>
      <c r="G133" s="2" t="n">
        <v>193.4</v>
      </c>
    </row>
    <row r="134">
      <c r="A134" s="7" t="n">
        <v>46290.82088560185</v>
      </c>
      <c r="B134" s="7" t="n">
        <v>46290.82013888889</v>
      </c>
      <c r="C134" s="2" t="n">
        <v>433</v>
      </c>
      <c r="D134" s="2" t="n">
        <v>1</v>
      </c>
      <c r="E134" s="2" t="n">
        <v>0</v>
      </c>
      <c r="F134" s="2" t="n">
        <v>0</v>
      </c>
      <c r="G134" s="2" t="n">
        <v>174.9</v>
      </c>
    </row>
    <row r="135">
      <c r="A135" s="7" t="n">
        <v>46290.76820827546</v>
      </c>
      <c r="B135" s="7" t="n">
        <v>46290.76736111111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187</v>
      </c>
    </row>
    <row r="136">
      <c r="A136" s="7" t="n">
        <v>46290.709303125</v>
      </c>
      <c r="B136" s="7" t="n">
        <v>46290.70833333334</v>
      </c>
      <c r="C136" s="2" t="n">
        <v>433</v>
      </c>
      <c r="D136" s="2" t="n">
        <v>1</v>
      </c>
      <c r="E136" s="2" t="n">
        <v>3</v>
      </c>
      <c r="F136" s="2" t="n">
        <v>0</v>
      </c>
      <c r="G136" s="2" t="n">
        <v>187.6</v>
      </c>
    </row>
    <row r="137">
      <c r="A137" s="7" t="n">
        <v>46290.66382769676</v>
      </c>
      <c r="B137" s="7" t="n">
        <v>46290.6625</v>
      </c>
      <c r="C137" s="2" t="n">
        <v>433</v>
      </c>
      <c r="D137" s="2" t="n">
        <v>1</v>
      </c>
      <c r="E137" s="2" t="n">
        <v>0</v>
      </c>
      <c r="F137" s="2" t="n">
        <v>0</v>
      </c>
      <c r="G137" s="2" t="n">
        <v>185.1</v>
      </c>
    </row>
    <row r="138">
      <c r="A138" s="7" t="n">
        <v>46290.61757802084</v>
      </c>
      <c r="B138" s="7" t="n">
        <v>46290.61666666667</v>
      </c>
      <c r="C138" s="2" t="n">
        <v>433</v>
      </c>
      <c r="D138" s="2" t="n">
        <v>0</v>
      </c>
      <c r="E138" s="2" t="n">
        <v>2</v>
      </c>
      <c r="F138" s="2" t="n">
        <v>0</v>
      </c>
      <c r="G138" s="2" t="n">
        <v>178.9</v>
      </c>
    </row>
    <row r="139">
      <c r="A139" s="7" t="n">
        <v>46290.55632820602</v>
      </c>
      <c r="B139" s="7" t="n">
        <v>46290.55555555555</v>
      </c>
      <c r="C139" s="2" t="n">
        <v>433</v>
      </c>
      <c r="D139" s="2" t="n">
        <v>1</v>
      </c>
      <c r="E139" s="2" t="n">
        <v>0</v>
      </c>
      <c r="F139" s="2" t="n">
        <v>0</v>
      </c>
      <c r="G139" s="2" t="n">
        <v>179.4</v>
      </c>
    </row>
    <row r="140">
      <c r="A140" s="7" t="n">
        <v>46290.50409561343</v>
      </c>
      <c r="B140" s="7" t="n">
        <v>46290.50277777778</v>
      </c>
      <c r="C140" s="2" t="n">
        <v>433</v>
      </c>
      <c r="D140" s="2" t="n">
        <v>0</v>
      </c>
      <c r="E140" s="2" t="n">
        <v>1</v>
      </c>
      <c r="F140" s="2" t="n">
        <v>0</v>
      </c>
      <c r="G140" s="2" t="n">
        <v>174.5</v>
      </c>
    </row>
    <row r="141">
      <c r="A141" s="7" t="n">
        <v>46290.39966920139</v>
      </c>
      <c r="B141" s="7" t="n">
        <v>46290.39861111111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189.8</v>
      </c>
    </row>
    <row r="142">
      <c r="A142" s="7" t="n">
        <v>46290.3483633912</v>
      </c>
      <c r="B142" s="7" t="n">
        <v>46290.34722222222</v>
      </c>
      <c r="C142" s="2" t="n">
        <v>433</v>
      </c>
      <c r="D142" s="2" t="n">
        <v>0</v>
      </c>
      <c r="E142" s="2" t="n">
        <v>1</v>
      </c>
      <c r="F142" s="2" t="n">
        <v>0</v>
      </c>
      <c r="G142" s="2" t="n">
        <v>163.4</v>
      </c>
    </row>
    <row r="143">
      <c r="A143" s="7" t="n">
        <v>46290.27195019676</v>
      </c>
      <c r="B143" s="7" t="n">
        <v>46290.27083333334</v>
      </c>
      <c r="C143" s="2" t="n">
        <v>433</v>
      </c>
      <c r="D143" s="2" t="n">
        <v>1</v>
      </c>
      <c r="E143" s="2" t="n">
        <v>1</v>
      </c>
      <c r="F143" s="2" t="n">
        <v>1</v>
      </c>
      <c r="G143" s="2" t="n">
        <v>182.9</v>
      </c>
    </row>
    <row r="144">
      <c r="A144" s="7" t="n">
        <v>46290.13587655093</v>
      </c>
      <c r="B144" s="7" t="n">
        <v>46290.13472222222</v>
      </c>
      <c r="C144" s="2" t="n">
        <v>433</v>
      </c>
      <c r="D144" s="2" t="n">
        <v>2</v>
      </c>
      <c r="E144" s="2" t="n">
        <v>6</v>
      </c>
      <c r="F144" s="2" t="n">
        <v>1</v>
      </c>
      <c r="G144" s="2" t="n">
        <v>191.6</v>
      </c>
    </row>
    <row r="145">
      <c r="A145" s="7" t="n">
        <v>46290.02908936342</v>
      </c>
      <c r="B145" s="7" t="n">
        <v>46290.02777777778</v>
      </c>
      <c r="C145" s="2" t="n">
        <v>433</v>
      </c>
      <c r="D145" s="2" t="n">
        <v>2</v>
      </c>
      <c r="E145" s="2" t="n">
        <v>0</v>
      </c>
      <c r="F145" s="2" t="n">
        <v>1</v>
      </c>
      <c r="G145" s="2" t="n">
        <v>166.2</v>
      </c>
    </row>
    <row r="146">
      <c r="A146" s="7" t="n">
        <v>46289.96715996528</v>
      </c>
      <c r="B146" s="7" t="n">
        <v>46289.96597222222</v>
      </c>
      <c r="C146" s="2" t="n">
        <v>433</v>
      </c>
      <c r="D146" s="2" t="n">
        <v>2</v>
      </c>
      <c r="E146" s="2" t="n">
        <v>8</v>
      </c>
      <c r="F146" s="2" t="n">
        <v>1</v>
      </c>
      <c r="G146" s="2" t="n">
        <v>190.1</v>
      </c>
    </row>
    <row r="147">
      <c r="A147" s="7" t="n">
        <v>46289.95004011574</v>
      </c>
      <c r="B147" s="7" t="n">
        <v>46289.94930555556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178.4</v>
      </c>
    </row>
    <row r="148">
      <c r="A148" s="7" t="n">
        <v>46289.94135959491</v>
      </c>
      <c r="B148" s="7" t="n">
        <v>46289.94027777778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183.8</v>
      </c>
    </row>
    <row r="149">
      <c r="A149" s="7" t="n">
        <v>46289.92565313658</v>
      </c>
      <c r="B149" s="7" t="n">
        <v>46289.92430555556</v>
      </c>
      <c r="C149" s="2" t="n">
        <v>433</v>
      </c>
      <c r="D149" s="2" t="n">
        <v>6</v>
      </c>
      <c r="E149" s="2" t="n">
        <v>3</v>
      </c>
      <c r="F149" s="2" t="n">
        <v>1</v>
      </c>
      <c r="G149" s="2" t="n">
        <v>226.2</v>
      </c>
    </row>
    <row r="150">
      <c r="A150" s="7" t="n">
        <v>46289.84896370371</v>
      </c>
      <c r="B150" s="7" t="n">
        <v>46289.84791666667</v>
      </c>
      <c r="C150" s="2" t="n">
        <v>433</v>
      </c>
      <c r="D150" s="2" t="n">
        <v>2</v>
      </c>
      <c r="E150" s="2" t="n">
        <v>2</v>
      </c>
      <c r="F150" s="2" t="n">
        <v>1</v>
      </c>
      <c r="G150" s="2" t="n">
        <v>147.5</v>
      </c>
    </row>
    <row r="151">
      <c r="A151" s="7" t="n">
        <v>46289.78526427083</v>
      </c>
      <c r="B151" s="7" t="n">
        <v>46289.78402777778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186.8</v>
      </c>
    </row>
    <row r="152">
      <c r="A152" s="7" t="n">
        <v>46289.75543116898</v>
      </c>
      <c r="B152" s="7" t="n">
        <v>46289.75</v>
      </c>
      <c r="C152" s="2" t="n">
        <v>433</v>
      </c>
      <c r="D152" s="2" t="n">
        <v>15</v>
      </c>
      <c r="E152" s="2" t="n">
        <v>11</v>
      </c>
      <c r="F152" s="2" t="n">
        <v>1</v>
      </c>
      <c r="G152" s="2" t="n">
        <v>109.8</v>
      </c>
    </row>
    <row r="153">
      <c r="A153" s="7" t="n">
        <v>46289.54138961805</v>
      </c>
      <c r="B153" s="7" t="n">
        <v>46289.53472222222</v>
      </c>
      <c r="C153" s="2" t="n">
        <v>433</v>
      </c>
      <c r="D153" s="2" t="n">
        <v>2</v>
      </c>
      <c r="E153" s="2" t="n">
        <v>3</v>
      </c>
      <c r="F153" s="2" t="n">
        <v>1</v>
      </c>
      <c r="G153" s="2" t="n">
        <v>125.8</v>
      </c>
    </row>
    <row r="154">
      <c r="A154" s="7" t="n">
        <v>46289.32358565972</v>
      </c>
      <c r="B154" s="7" t="n">
        <v>46289.31944444445</v>
      </c>
      <c r="C154" s="2" t="n">
        <v>433</v>
      </c>
      <c r="D154" s="2" t="n">
        <v>2</v>
      </c>
      <c r="E154" s="2" t="n">
        <v>4</v>
      </c>
      <c r="F154" s="2" t="n">
        <v>1</v>
      </c>
      <c r="G154" s="2" t="n">
        <v>130.2</v>
      </c>
    </row>
    <row r="155">
      <c r="A155" s="7" t="n">
        <v>46289.18599210648</v>
      </c>
      <c r="B155" s="7" t="n">
        <v>46289.18055555555</v>
      </c>
      <c r="C155" s="2" t="n">
        <v>433</v>
      </c>
      <c r="D155" s="2" t="n">
        <v>3</v>
      </c>
      <c r="E155" s="2" t="n">
        <v>4</v>
      </c>
      <c r="F155" s="2" t="n">
        <v>1</v>
      </c>
      <c r="G155" s="2" t="n">
        <v>129.3</v>
      </c>
    </row>
    <row r="156">
      <c r="A156" s="7" t="n">
        <v>46289.04908521991</v>
      </c>
      <c r="B156" s="7" t="n">
        <v>46289.04513888889</v>
      </c>
      <c r="C156" s="2" t="n">
        <v>433</v>
      </c>
      <c r="D156" s="2" t="n">
        <v>2</v>
      </c>
      <c r="E156" s="2" t="n">
        <v>8</v>
      </c>
      <c r="F156" s="2" t="n">
        <v>1</v>
      </c>
      <c r="G156" s="2" t="n">
        <v>96.90000000000001</v>
      </c>
    </row>
    <row r="157">
      <c r="A157" s="7" t="n">
        <v>46289.00944646991</v>
      </c>
      <c r="B157" s="7" t="n">
        <v>46289.00347222222</v>
      </c>
      <c r="C157" s="2" t="n">
        <v>433</v>
      </c>
      <c r="D157" s="2" t="n">
        <v>26</v>
      </c>
      <c r="E157" s="2" t="n">
        <v>15</v>
      </c>
      <c r="F157" s="2" t="n">
        <v>1</v>
      </c>
      <c r="G157" s="2" t="n">
        <v>127</v>
      </c>
    </row>
    <row r="158">
      <c r="A158" s="7" t="n">
        <v>46288.82408041666</v>
      </c>
      <c r="B158" s="7" t="n">
        <v>46288.81944444445</v>
      </c>
      <c r="C158" s="2" t="n">
        <v>433</v>
      </c>
      <c r="D158" s="2" t="n">
        <v>1</v>
      </c>
      <c r="E158" s="2" t="n">
        <v>2</v>
      </c>
      <c r="F158" s="2" t="n">
        <v>2</v>
      </c>
      <c r="G158" s="2" t="n">
        <v>118.2</v>
      </c>
    </row>
    <row r="159">
      <c r="A159" s="7" t="n">
        <v>46288.75275025463</v>
      </c>
      <c r="B159" s="7" t="n">
        <v>46288.74652777778</v>
      </c>
      <c r="C159" s="2" t="n">
        <v>433</v>
      </c>
      <c r="D159" s="2" t="n">
        <v>4</v>
      </c>
      <c r="E159" s="2" t="n">
        <v>3</v>
      </c>
      <c r="F159" s="2" t="n">
        <v>2</v>
      </c>
      <c r="G159" s="2" t="n">
        <v>125.5</v>
      </c>
    </row>
    <row r="160">
      <c r="A160" s="7" t="n">
        <v>46288.58577883102</v>
      </c>
      <c r="B160" s="7" t="n">
        <v>46288.57986111111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112.8</v>
      </c>
    </row>
    <row r="161">
      <c r="A161" s="7" t="n">
        <v>46288.57218969907</v>
      </c>
      <c r="B161" s="7" t="n">
        <v>46288.56597222222</v>
      </c>
      <c r="C161" s="2" t="n">
        <v>433</v>
      </c>
      <c r="D161" s="2" t="n">
        <v>4</v>
      </c>
      <c r="E161" s="2" t="n">
        <v>5</v>
      </c>
      <c r="F161" s="2" t="n">
        <v>2</v>
      </c>
      <c r="G161" s="2" t="n">
        <v>99.7</v>
      </c>
    </row>
    <row r="162">
      <c r="A162" s="7" t="n">
        <v>46288.36332482639</v>
      </c>
      <c r="B162" s="7" t="n">
        <v>46288.35763888889</v>
      </c>
      <c r="C162" s="2" t="n">
        <v>441</v>
      </c>
      <c r="D162" s="2" t="n">
        <v>2</v>
      </c>
      <c r="E162" s="2" t="n">
        <v>4</v>
      </c>
      <c r="F162" s="2" t="n">
        <v>2</v>
      </c>
      <c r="G162" s="2" t="n">
        <v>94.40000000000001</v>
      </c>
    </row>
    <row r="163">
      <c r="A163" s="7" t="n">
        <v>46288.26120461806</v>
      </c>
      <c r="B163" s="7" t="n">
        <v>46288.25694444445</v>
      </c>
      <c r="C163" s="2" t="n">
        <v>441</v>
      </c>
      <c r="D163" s="2" t="n">
        <v>0</v>
      </c>
      <c r="E163" s="2" t="n">
        <v>3</v>
      </c>
      <c r="F163" s="2" t="n">
        <v>2</v>
      </c>
      <c r="G163" s="2" t="n">
        <v>103.1</v>
      </c>
    </row>
    <row r="164">
      <c r="A164" s="7" t="n">
        <v>46288.12397528935</v>
      </c>
      <c r="B164" s="7" t="n">
        <v>46288.11805555555</v>
      </c>
      <c r="C164" s="2" t="n">
        <v>441</v>
      </c>
      <c r="D164" s="2" t="n">
        <v>7</v>
      </c>
      <c r="E164" s="2" t="n">
        <v>1</v>
      </c>
      <c r="F164" s="2" t="n">
        <v>2</v>
      </c>
      <c r="G164" s="2" t="n">
        <v>114.4</v>
      </c>
    </row>
    <row r="165">
      <c r="A165" s="7" t="n">
        <v>46287.95840076389</v>
      </c>
      <c r="B165" s="7" t="n">
        <v>46287.95486111111</v>
      </c>
      <c r="C165" s="2" t="n">
        <v>441</v>
      </c>
      <c r="D165" s="2" t="n">
        <v>6</v>
      </c>
      <c r="E165" s="2" t="n">
        <v>5</v>
      </c>
      <c r="F165" s="2" t="n">
        <v>2</v>
      </c>
      <c r="G165" s="2" t="n">
        <v>135.1</v>
      </c>
    </row>
    <row r="166">
      <c r="A166" s="7" t="n">
        <v>46287.75277884259</v>
      </c>
      <c r="B166" s="7" t="n">
        <v>46287.74652777778</v>
      </c>
      <c r="C166" s="2" t="n">
        <v>440</v>
      </c>
      <c r="D166" s="2" t="n">
        <v>1</v>
      </c>
      <c r="E166" s="2" t="n">
        <v>3</v>
      </c>
      <c r="F166" s="2" t="n">
        <v>0</v>
      </c>
      <c r="G166" s="2" t="n">
        <v>130.3</v>
      </c>
    </row>
    <row r="167">
      <c r="A167" s="7" t="n">
        <v>46287.6758560301</v>
      </c>
      <c r="B167" s="7" t="n">
        <v>46287.67013888889</v>
      </c>
      <c r="C167" s="2" t="n">
        <v>440</v>
      </c>
      <c r="D167" s="2" t="n">
        <v>4</v>
      </c>
      <c r="E167" s="2" t="n">
        <v>3</v>
      </c>
      <c r="F167" s="2" t="n">
        <v>0</v>
      </c>
      <c r="G167" s="2" t="n">
        <v>91.7</v>
      </c>
    </row>
    <row r="168">
      <c r="A168" s="7" t="n">
        <v>46287.54602564815</v>
      </c>
      <c r="B168" s="7" t="n">
        <v>46287.54166666666</v>
      </c>
      <c r="C168" s="2" t="n">
        <v>440</v>
      </c>
      <c r="D168" s="2" t="n">
        <v>1</v>
      </c>
      <c r="E168" s="2" t="n">
        <v>3</v>
      </c>
      <c r="F168" s="2" t="n">
        <v>0</v>
      </c>
      <c r="G168" s="2" t="n">
        <v>125.4</v>
      </c>
    </row>
    <row r="169">
      <c r="A169" s="7" t="n">
        <v>46287.51247143518</v>
      </c>
      <c r="B169" s="7" t="n">
        <v>46287.50694444445</v>
      </c>
      <c r="C169" s="2" t="n">
        <v>440</v>
      </c>
      <c r="D169" s="2" t="n">
        <v>7</v>
      </c>
      <c r="E169" s="2" t="n">
        <v>8</v>
      </c>
      <c r="F169" s="2" t="n">
        <v>0</v>
      </c>
      <c r="G169" s="2" t="n">
        <v>102.8</v>
      </c>
    </row>
    <row r="170">
      <c r="A170" s="7" t="n">
        <v>46287.30635083334</v>
      </c>
      <c r="B170" s="7" t="n">
        <v>46287.30208333334</v>
      </c>
      <c r="C170" s="2" t="n">
        <v>440</v>
      </c>
      <c r="D170" s="2" t="n">
        <v>9</v>
      </c>
      <c r="E170" s="2" t="n">
        <v>5</v>
      </c>
      <c r="F170" s="2" t="n">
        <v>0</v>
      </c>
      <c r="G170" s="2" t="n">
        <v>135.9</v>
      </c>
    </row>
    <row r="171">
      <c r="A171" s="7" t="n">
        <v>46287.14961865741</v>
      </c>
      <c r="B171" s="7" t="n">
        <v>46287.14583333334</v>
      </c>
      <c r="C171" s="2" t="n">
        <v>440</v>
      </c>
      <c r="D171" s="2" t="n">
        <v>6</v>
      </c>
      <c r="E171" s="2" t="n">
        <v>5</v>
      </c>
      <c r="F171" s="2" t="n">
        <v>0</v>
      </c>
      <c r="G171" s="2" t="n">
        <v>130.5</v>
      </c>
    </row>
    <row r="172">
      <c r="A172" s="7" t="n">
        <v>46286.92852005787</v>
      </c>
      <c r="B172" s="7" t="n">
        <v>46286.92361111111</v>
      </c>
      <c r="C172" s="2" t="n">
        <v>440</v>
      </c>
      <c r="D172" s="2" t="n">
        <v>2</v>
      </c>
      <c r="E172" s="2" t="n">
        <v>3</v>
      </c>
      <c r="F172" s="2" t="n">
        <v>0</v>
      </c>
      <c r="G172" s="2" t="n">
        <v>112.2</v>
      </c>
    </row>
    <row r="173">
      <c r="A173" s="7" t="n">
        <v>46286.83222814815</v>
      </c>
      <c r="B173" s="7" t="n">
        <v>46286.82638888889</v>
      </c>
      <c r="C173" s="2" t="n">
        <v>440</v>
      </c>
      <c r="D173" s="2" t="n">
        <v>5</v>
      </c>
      <c r="E173" s="2" t="n">
        <v>7</v>
      </c>
      <c r="F173" s="2" t="n">
        <v>0</v>
      </c>
      <c r="G173" s="2" t="n">
        <v>126.4</v>
      </c>
    </row>
    <row r="174">
      <c r="A174" s="7" t="n">
        <v>46286.60261268519</v>
      </c>
      <c r="B174" s="7" t="n">
        <v>46286.59722222222</v>
      </c>
      <c r="C174" s="2" t="n">
        <v>440</v>
      </c>
      <c r="D174" s="2" t="n">
        <v>8</v>
      </c>
      <c r="E174" s="2" t="n">
        <v>5</v>
      </c>
      <c r="F174" s="2" t="n">
        <v>0</v>
      </c>
      <c r="G174" s="2" t="n">
        <v>111.5</v>
      </c>
    </row>
    <row r="175">
      <c r="A175" s="7" t="n">
        <v>46286.38294268519</v>
      </c>
      <c r="B175" s="7" t="n">
        <v>46286.37847222222</v>
      </c>
      <c r="C175" s="2" t="n">
        <v>440</v>
      </c>
      <c r="D175" s="2" t="n">
        <v>3</v>
      </c>
      <c r="E175" s="2" t="n">
        <v>6</v>
      </c>
      <c r="F175" s="2" t="n">
        <v>0</v>
      </c>
      <c r="G175" s="2" t="n">
        <v>102.4</v>
      </c>
    </row>
    <row r="176">
      <c r="A176" s="7" t="n">
        <v>46286.27148542824</v>
      </c>
      <c r="B176" s="7" t="n">
        <v>46286.26736111111</v>
      </c>
      <c r="C176" s="2" t="n">
        <v>440</v>
      </c>
      <c r="D176" s="2" t="n">
        <v>2</v>
      </c>
      <c r="E176" s="2" t="n">
        <v>2</v>
      </c>
      <c r="F176" s="2" t="n">
        <v>0</v>
      </c>
      <c r="G176" s="2" t="n">
        <v>126.7</v>
      </c>
    </row>
    <row r="177">
      <c r="A177" s="7" t="n">
        <v>46286.14641391204</v>
      </c>
      <c r="B177" s="7" t="n">
        <v>46286.14236111111</v>
      </c>
      <c r="C177" s="2" t="n">
        <v>440</v>
      </c>
      <c r="D177" s="2" t="n">
        <v>4</v>
      </c>
      <c r="E177" s="2" t="n">
        <v>4</v>
      </c>
      <c r="F177" s="2" t="n">
        <v>0</v>
      </c>
      <c r="G177" s="2" t="n">
        <v>131.3</v>
      </c>
    </row>
    <row r="178">
      <c r="A178" s="7" t="n">
        <v>46286.03573545139</v>
      </c>
      <c r="B178" s="7" t="n">
        <v>46286.03125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127.3</v>
      </c>
    </row>
    <row r="179">
      <c r="A179" s="7" t="n">
        <v>46286.00283136574</v>
      </c>
      <c r="B179" s="7" t="n">
        <v>46285.99652777778</v>
      </c>
      <c r="C179" s="2" t="n">
        <v>440</v>
      </c>
      <c r="D179" s="2" t="n">
        <v>5</v>
      </c>
      <c r="E179" s="2" t="n">
        <v>5</v>
      </c>
      <c r="F179" s="2" t="n">
        <v>0</v>
      </c>
      <c r="G179" s="2" t="n">
        <v>101.9</v>
      </c>
    </row>
    <row r="180">
      <c r="A180" s="7" t="n">
        <v>46285.85245594908</v>
      </c>
      <c r="B180" s="7" t="n">
        <v>46285.84722222222</v>
      </c>
      <c r="C180" s="2" t="n">
        <v>440</v>
      </c>
      <c r="D180" s="2" t="n">
        <v>7</v>
      </c>
      <c r="E180" s="2" t="n">
        <v>6</v>
      </c>
      <c r="F180" s="2" t="n">
        <v>0</v>
      </c>
      <c r="G180" s="2" t="n">
        <v>100.6</v>
      </c>
    </row>
    <row r="181">
      <c r="A181" s="7" t="n">
        <v>46285.60105145833</v>
      </c>
      <c r="B181" s="7" t="n">
        <v>46285.59722222222</v>
      </c>
      <c r="C181" s="2" t="n">
        <v>440</v>
      </c>
      <c r="D181" s="2" t="n">
        <v>9</v>
      </c>
      <c r="E181" s="2" t="n">
        <v>5</v>
      </c>
      <c r="F181" s="2" t="n">
        <v>0</v>
      </c>
      <c r="G181" s="2" t="n">
        <v>129.1</v>
      </c>
    </row>
    <row r="182">
      <c r="A182" s="7" t="n">
        <v>46285.38559789352</v>
      </c>
      <c r="B182" s="7" t="n">
        <v>46285.38194444445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112.5</v>
      </c>
    </row>
    <row r="183">
      <c r="A183" s="7" t="n">
        <v>46285.29994834491</v>
      </c>
      <c r="B183" s="7" t="n">
        <v>46285.29513888889</v>
      </c>
      <c r="C183" s="2" t="n">
        <v>440</v>
      </c>
      <c r="D183" s="2" t="n">
        <v>1</v>
      </c>
      <c r="E183" s="2" t="n">
        <v>3</v>
      </c>
      <c r="F183" s="2" t="n">
        <v>0</v>
      </c>
      <c r="G183" s="2" t="n">
        <v>128.1</v>
      </c>
    </row>
    <row r="184">
      <c r="A184" s="7" t="n">
        <v>46285.19964518519</v>
      </c>
      <c r="B184" s="7" t="n">
        <v>46285.19444444445</v>
      </c>
      <c r="C184" s="2" t="n">
        <v>440</v>
      </c>
      <c r="D184" s="2" t="n">
        <v>2</v>
      </c>
      <c r="E184" s="2" t="n">
        <v>3</v>
      </c>
      <c r="F184" s="2" t="n">
        <v>0</v>
      </c>
      <c r="G184" s="2" t="n">
        <v>110.6</v>
      </c>
    </row>
    <row r="185">
      <c r="A185" s="7" t="n">
        <v>46285.08704527777</v>
      </c>
      <c r="B185" s="7" t="n">
        <v>46285.08333333334</v>
      </c>
      <c r="C185" s="2" t="n">
        <v>440</v>
      </c>
      <c r="D185" s="2" t="n">
        <v>3</v>
      </c>
      <c r="E185" s="2" t="n">
        <v>3</v>
      </c>
      <c r="F185" s="2" t="n">
        <v>0</v>
      </c>
      <c r="G185" s="2" t="n">
        <v>95.09999999999999</v>
      </c>
    </row>
    <row r="186">
      <c r="A186" s="7" t="n">
        <v>46284.93748335648</v>
      </c>
      <c r="B186" s="7" t="n">
        <v>46284.93055555555</v>
      </c>
      <c r="C186" s="2" t="n">
        <v>440</v>
      </c>
      <c r="D186" s="2" t="n">
        <v>2</v>
      </c>
      <c r="E186" s="2" t="n">
        <v>2</v>
      </c>
      <c r="F186" s="2" t="n">
        <v>0</v>
      </c>
      <c r="G186" s="2" t="n">
        <v>128.7</v>
      </c>
    </row>
    <row r="187">
      <c r="A187" s="7" t="n">
        <v>46284.79727659722</v>
      </c>
      <c r="B187" s="7" t="n">
        <v>46284.79166666666</v>
      </c>
      <c r="C187" s="2" t="n">
        <v>440</v>
      </c>
      <c r="D187" s="2" t="n">
        <v>4</v>
      </c>
      <c r="E187" s="2" t="n">
        <v>5</v>
      </c>
      <c r="F187" s="2" t="n">
        <v>0</v>
      </c>
      <c r="G187" s="2" t="n">
        <v>109.7</v>
      </c>
    </row>
    <row r="188">
      <c r="A188" s="7" t="n">
        <v>46284.58365538195</v>
      </c>
      <c r="B188" s="7" t="n">
        <v>46284.57986111111</v>
      </c>
      <c r="C188" s="2" t="n">
        <v>440</v>
      </c>
      <c r="D188" s="2" t="n">
        <v>5</v>
      </c>
      <c r="E188" s="2" t="n">
        <v>4</v>
      </c>
      <c r="F188" s="2" t="n">
        <v>0</v>
      </c>
      <c r="G188" s="2" t="n">
        <v>101.8</v>
      </c>
    </row>
    <row r="189">
      <c r="A189" s="7" t="n">
        <v>46284.38530752315</v>
      </c>
      <c r="B189" s="7" t="n">
        <v>46284.37847222222</v>
      </c>
      <c r="C189" s="2" t="n">
        <v>440</v>
      </c>
      <c r="D189" s="2" t="n">
        <v>2</v>
      </c>
      <c r="E189" s="2" t="n">
        <v>4</v>
      </c>
      <c r="F189" s="2" t="n">
        <v>0</v>
      </c>
      <c r="G189" s="2" t="n">
        <v>130.8</v>
      </c>
    </row>
    <row r="190">
      <c r="A190" s="7" t="n">
        <v>46284.27664920139</v>
      </c>
      <c r="B190" s="7" t="n">
        <v>46284.27083333334</v>
      </c>
      <c r="C190" s="2" t="n">
        <v>440</v>
      </c>
      <c r="D190" s="2" t="n">
        <v>4</v>
      </c>
      <c r="E190" s="2" t="n">
        <v>1</v>
      </c>
      <c r="F190" s="2" t="n">
        <v>0</v>
      </c>
      <c r="G190" s="2" t="n">
        <v>127.8</v>
      </c>
    </row>
    <row r="191">
      <c r="A191" s="7" t="n">
        <v>46284.15392047453</v>
      </c>
      <c r="B191" s="7" t="n">
        <v>46284.14930555555</v>
      </c>
      <c r="C191" s="2" t="n">
        <v>440</v>
      </c>
      <c r="D191" s="2" t="n">
        <v>3</v>
      </c>
      <c r="E191" s="2" t="n">
        <v>2</v>
      </c>
      <c r="F191" s="2" t="n">
        <v>0</v>
      </c>
      <c r="G191" s="2" t="n">
        <v>135.6</v>
      </c>
    </row>
    <row r="192">
      <c r="A192" s="7" t="n">
        <v>46284.02123533565</v>
      </c>
      <c r="B192" s="7" t="n">
        <v>46284.01736111111</v>
      </c>
      <c r="C192" s="2" t="n">
        <v>440</v>
      </c>
      <c r="D192" s="2" t="n">
        <v>2</v>
      </c>
      <c r="E192" s="2" t="n">
        <v>1</v>
      </c>
      <c r="F192" s="2" t="n">
        <v>0</v>
      </c>
      <c r="G192" s="2" t="n">
        <v>102.8</v>
      </c>
    </row>
    <row r="193">
      <c r="A193" s="7" t="n">
        <v>46283.99753837963</v>
      </c>
      <c r="B193" s="7" t="n">
        <v>46283.99305555555</v>
      </c>
      <c r="C193" s="2" t="n">
        <v>440</v>
      </c>
      <c r="D193" s="2" t="n">
        <v>1</v>
      </c>
      <c r="E193" s="2" t="n">
        <v>3</v>
      </c>
      <c r="F193" s="2" t="n">
        <v>0</v>
      </c>
      <c r="G193" s="2" t="n">
        <v>129.8</v>
      </c>
    </row>
    <row r="194">
      <c r="A194" s="7" t="n">
        <v>46283.80859936342</v>
      </c>
      <c r="B194" s="7" t="n">
        <v>46283.80208333334</v>
      </c>
      <c r="C194" s="2" t="n">
        <v>440</v>
      </c>
      <c r="D194" s="2" t="n">
        <v>0</v>
      </c>
      <c r="E194" s="2" t="n">
        <v>1</v>
      </c>
      <c r="F194" s="2" t="n">
        <v>0</v>
      </c>
      <c r="G194" s="2" t="n">
        <v>127.7</v>
      </c>
    </row>
    <row r="195">
      <c r="A195" s="7" t="n">
        <v>46283.78916202546</v>
      </c>
      <c r="B195" s="7" t="n">
        <v>46283.78472222222</v>
      </c>
      <c r="C195" s="2" t="n">
        <v>440</v>
      </c>
      <c r="D195" s="2" t="n">
        <v>4</v>
      </c>
      <c r="E195" s="2" t="n">
        <v>3</v>
      </c>
      <c r="F195" s="2" t="n">
        <v>0</v>
      </c>
      <c r="G195" s="2" t="n">
        <v>119.1</v>
      </c>
    </row>
    <row r="196">
      <c r="A196" s="7" t="n">
        <v>46283.58323265046</v>
      </c>
      <c r="B196" s="7" t="n">
        <v>46283.57638888889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126.7</v>
      </c>
    </row>
    <row r="197">
      <c r="A197" s="7" t="n">
        <v>46283.57323743056</v>
      </c>
      <c r="B197" s="7" t="n">
        <v>46283.56944444445</v>
      </c>
      <c r="C197" s="2" t="n">
        <v>440</v>
      </c>
      <c r="D197" s="2" t="n">
        <v>4</v>
      </c>
      <c r="E197" s="2" t="n">
        <v>6</v>
      </c>
      <c r="F197" s="2" t="n">
        <v>0</v>
      </c>
      <c r="G197" s="2" t="n">
        <v>94.3</v>
      </c>
    </row>
    <row r="198">
      <c r="A198" s="7" t="n">
        <v>46283.45181144676</v>
      </c>
      <c r="B198" s="7" t="n">
        <v>46283.44791666666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46283.44134394676</v>
      </c>
      <c r="B199" s="7" t="n">
        <v>46283.4375</v>
      </c>
      <c r="C199" s="2" t="n">
        <v>440</v>
      </c>
      <c r="D199" s="2" t="n">
        <v>4</v>
      </c>
      <c r="E199" s="2" t="n">
        <v>2</v>
      </c>
      <c r="F199" s="2" t="n">
        <v>0</v>
      </c>
      <c r="G199" s="2" t="n">
        <v>373.5</v>
      </c>
    </row>
    <row r="200">
      <c r="A200" s="7" t="n">
        <v>46283.35273409722</v>
      </c>
      <c r="B200" s="7" t="n">
        <v>46283.34722222222</v>
      </c>
      <c r="C200" s="2" t="n">
        <v>440</v>
      </c>
      <c r="D200" s="2" t="n">
        <v>2</v>
      </c>
      <c r="E200" s="2" t="n">
        <v>1</v>
      </c>
      <c r="F200" s="2" t="n">
        <v>0</v>
      </c>
      <c r="G200" s="2" t="n">
        <v>132.3</v>
      </c>
    </row>
    <row r="201">
      <c r="A201" s="7" t="n">
        <v>46283.26014016203</v>
      </c>
      <c r="B201" s="7" t="n">
        <v>46283.25347222222</v>
      </c>
      <c r="C201" s="2" t="n">
        <v>440</v>
      </c>
      <c r="D201" s="2" t="n">
        <v>2</v>
      </c>
      <c r="E201" s="2" t="n">
        <v>0</v>
      </c>
      <c r="F201" s="2" t="n">
        <v>0</v>
      </c>
      <c r="G201" s="2" t="n">
        <v>129.5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55</v>
      </c>
      <c r="C7" s="10" t="n">
        <v>0.509090909090909</v>
      </c>
      <c r="D7" s="4" t="n">
        <v>-0.01027272727272728</v>
      </c>
      <c r="E7" s="2" t="n">
        <v>23</v>
      </c>
      <c r="F7" s="10" t="n">
        <v>0.6521739130434783</v>
      </c>
      <c r="G7" s="4" t="n">
        <v>0.001173913043478262</v>
      </c>
      <c r="H7" s="2" t="n">
        <v>19</v>
      </c>
      <c r="I7" s="10" t="n">
        <v>0.7368421052631579</v>
      </c>
      <c r="J7" s="4" t="n">
        <v>0.007947368421052656</v>
      </c>
      <c r="K7" s="2" t="n">
        <v>7</v>
      </c>
      <c r="L7" s="10" t="n">
        <v>0.4285714285714285</v>
      </c>
      <c r="M7" s="4" t="n">
        <v>-0.01671428571428574</v>
      </c>
      <c r="N7" s="2" t="n">
        <v>8</v>
      </c>
      <c r="O7" s="10" t="n">
        <v>0.625</v>
      </c>
      <c r="P7" s="4" t="n">
        <v>-0.000999999999999987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資金明細!R1441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MAX(資金明細!$R$2:$R$1441)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MIN(資金明細!$R$2:$R$1441)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MIN(資金明細!$X$2:$X$1441)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COUNTIFS(資金明細!$C$2:$C$1441,"進場",資金明細!$N$2:$N$1441,"已下單")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COUNTIFS(資金明細!$C$2:$C$1441,"進場",資金明細!$N$2:$N$1441,"資金不足略過")</f>
        <v/>
      </c>
    </row>
    <row r="11">
      <c r="D11" s="2" t="inlineStr">
        <is>
          <t>止盈筆數</t>
        </is>
      </c>
      <c r="E11" s="18">
        <f>COUNTIFS(資金明細!$C$2:$C$1441,"出場",資金明細!$N$2:$N$1441,"已下單",資金明細!$K$2:$K$1441,"止盈")</f>
        <v/>
      </c>
    </row>
    <row r="12">
      <c r="A12" s="2" t="inlineStr">
        <is>
          <t>每筆止損約虧本金</t>
        </is>
      </c>
      <c r="B12" s="4">
        <f>B5*B7*IFERROR(AVERAGE(交易明細!$AB$2:$AB$721),參數!B6)</f>
        <v/>
      </c>
      <c r="D12" s="2" t="inlineStr">
        <is>
          <t>止損筆數</t>
        </is>
      </c>
      <c r="E12" s="18">
        <f>COUNTIFS(資金明細!$C$2:$C$1441,"出場",資金明細!$N$2:$N$1441,"已下單",資金明細!$K$2:$K$1441,"止損")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IFERROR(E11/COUNTIFS(資金明細!$C$2:$C$1441,"出場",資金明細!$N$2:$N$1441,"已下單"),0)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MAX(資金明細!$S$2:$S$1441)</f>
        <v/>
      </c>
    </row>
    <row r="16">
      <c r="D16" s="2" t="inlineStr">
        <is>
          <t>期末下單金額</t>
        </is>
      </c>
      <c r="E16" s="19">
        <f>B5*資金明細!V1441</f>
        <v/>
      </c>
    </row>
    <row r="17">
      <c r="D17" s="2" t="inlineStr">
        <is>
          <t>未平倉浮動損益（未計入）</t>
        </is>
      </c>
      <c r="E17" s="13">
        <f>IF(資金明細!N1434="已下單",資金明細!O1434*交易明細!L718,0)</f>
        <v/>
      </c>
    </row>
    <row r="18">
      <c r="D18" s="2" t="inlineStr">
        <is>
          <t>最大總曝險倍數</t>
        </is>
      </c>
      <c r="E18" s="19">
        <f>MAX(資金明細!$Y$2:$Y$1441)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IFERROR(INDEX(資金明細!$B$2:$B$1441,MATCH(1,資金明細!$Z$2:$Z$1441,0)),"未觸發")</f>
        <v/>
      </c>
    </row>
    <row r="21">
      <c r="D21" s="2" t="inlineStr">
        <is>
          <t>停止後略過筆數</t>
        </is>
      </c>
      <c r="E21" s="18">
        <f>COUNTIFS(資金明細!$C$2:$C$1441,"進場",資金明細!$N$2:$N$1441,"已停止")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n"/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n"/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n"/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n"/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n"/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  <row r="1424">
      <c r="A1424" s="2" t="n">
        <v>1422</v>
      </c>
      <c r="B1424" s="7" t="n">
        <v>46305.41666666666</v>
      </c>
      <c r="C1424" s="2" t="inlineStr">
        <is>
          <t>出場</t>
        </is>
      </c>
      <c r="D1424" s="2" t="n">
        <v>704</v>
      </c>
      <c r="E1424" s="2" t="inlineStr">
        <is>
          <t>NEAR_USDT_PERP</t>
        </is>
      </c>
      <c r="F1424" s="2" t="inlineStr">
        <is>
          <t>做多</t>
        </is>
      </c>
      <c r="G1424" s="20" t="n">
        <v>4.84</v>
      </c>
      <c r="H1424" s="20" t="n">
        <v>4.9852</v>
      </c>
      <c r="I1424" s="20" t="n">
        <v>4.598</v>
      </c>
      <c r="J1424" s="20" t="n">
        <v>4.9852</v>
      </c>
      <c r="K1424" s="2" t="inlineStr">
        <is>
          <t>止盈</t>
        </is>
      </c>
      <c r="L1424" s="5">
        <f>交易明細!K705</f>
        <v/>
      </c>
      <c r="M1424" s="19">
        <f>M1406</f>
        <v/>
      </c>
      <c r="N1424" s="2">
        <f>N1406</f>
        <v/>
      </c>
      <c r="O1424" s="19">
        <f>O1406</f>
        <v/>
      </c>
      <c r="P1424" s="4">
        <f>交易明細!L705</f>
        <v/>
      </c>
      <c r="Q1424" s="13">
        <f>IF(N1424="已下單",O1424*P1424,0)</f>
        <v/>
      </c>
      <c r="R1424" s="13">
        <f>R1423+Q1424</f>
        <v/>
      </c>
      <c r="S1424" s="19">
        <f>S1423-IF(N1424="已下單",M1424,0)</f>
        <v/>
      </c>
      <c r="T1424" s="19">
        <f>R1424-S1424</f>
        <v/>
      </c>
      <c r="U1424" s="2">
        <f>U1423-IF(N1424="已下單",1,0)</f>
        <v/>
      </c>
      <c r="V1424" s="19">
        <f>IF(資金模擬!$B$9=2,MAX(R1424,0),MAX(V1423,FLOOR(MAX(R1424,0),資金模擬!$B$6)))</f>
        <v/>
      </c>
      <c r="W1424" s="13">
        <f>MAX(W1423,R1424)</f>
        <v/>
      </c>
      <c r="X1424" s="4">
        <f>IF(W1424&gt;0,R1424/W1424-1,-1)</f>
        <v/>
      </c>
      <c r="Y1424" s="19">
        <f>IF(R1424&gt;0,S1424*資金模擬!$B$7/R1424,0)</f>
        <v/>
      </c>
      <c r="Z1424" s="2">
        <f>IF(OR(Z1423=1,R1424&lt;=資金模擬!$B$10),1,0)</f>
        <v/>
      </c>
    </row>
    <row r="1425">
      <c r="A1425" s="2" t="n">
        <v>1423</v>
      </c>
      <c r="B1425" s="7" t="n">
        <v>46305.41666666666</v>
      </c>
      <c r="C1425" s="2" t="inlineStr">
        <is>
          <t>進場</t>
        </is>
      </c>
      <c r="D1425" s="2" t="n">
        <v>714</v>
      </c>
      <c r="E1425" s="2" t="inlineStr">
        <is>
          <t>Q_USDT_PERP</t>
        </is>
      </c>
      <c r="F1425" s="2" t="inlineStr">
        <is>
          <t>做空</t>
        </is>
      </c>
      <c r="G1425" s="20" t="n">
        <v>0.02728</v>
      </c>
      <c r="H1425" s="20" t="n">
        <v>0.0264616</v>
      </c>
      <c r="I1425" s="20" t="n">
        <v>0.028644</v>
      </c>
      <c r="J1425" s="20" t="n"/>
      <c r="K1425" s="2" t="n"/>
      <c r="L1425" s="5" t="n"/>
      <c r="M1425" s="19">
        <f>資金模擬!$B$5*V1424</f>
        <v/>
      </c>
      <c r="N1425" s="2">
        <f>IF(Z1424=1,"已停止",IF(T1424&gt;=M1425,"已下單","資金不足略過"))</f>
        <v/>
      </c>
      <c r="O1425" s="19">
        <f>IF(N1425="已下單",M1425*資金模擬!$B$7,0)</f>
        <v/>
      </c>
      <c r="P1425" s="4" t="n"/>
      <c r="Q1425" s="13" t="n">
        <v>0</v>
      </c>
      <c r="R1425" s="13">
        <f>R1424+Q1425</f>
        <v/>
      </c>
      <c r="S1425" s="19">
        <f>S1424+IF(N1425="已下單",M1425,0)</f>
        <v/>
      </c>
      <c r="T1425" s="19">
        <f>R1425-S1425</f>
        <v/>
      </c>
      <c r="U1425" s="2">
        <f>U1424+IF(N1425="已下單",1,0)</f>
        <v/>
      </c>
      <c r="V1425" s="19">
        <f>IF(資金模擬!$B$9=2,MAX(R1425,0),MAX(V1424,FLOOR(MAX(R1425,0),資金模擬!$B$6)))</f>
        <v/>
      </c>
      <c r="W1425" s="13">
        <f>MAX(W1424,R1425)</f>
        <v/>
      </c>
      <c r="X1425" s="4">
        <f>IF(W1425&gt;0,R1425/W1425-1,-1)</f>
        <v/>
      </c>
      <c r="Y1425" s="19">
        <f>IF(R1425&gt;0,S1425*資金模擬!$B$7/R1425,0)</f>
        <v/>
      </c>
      <c r="Z1425" s="2">
        <f>IF(OR(Z1424=1,R1425&lt;=資金模擬!$B$10),1,0)</f>
        <v/>
      </c>
    </row>
    <row r="1426">
      <c r="A1426" s="2" t="n">
        <v>1424</v>
      </c>
      <c r="B1426" s="7" t="n">
        <v>46305.45833333334</v>
      </c>
      <c r="C1426" s="2" t="inlineStr">
        <is>
          <t>出場</t>
        </is>
      </c>
      <c r="D1426" s="2" t="n">
        <v>699</v>
      </c>
      <c r="E1426" s="2" t="inlineStr">
        <is>
          <t>FIL_USDT_PERP</t>
        </is>
      </c>
      <c r="F1426" s="2" t="inlineStr">
        <is>
          <t>做多</t>
        </is>
      </c>
      <c r="G1426" s="20" t="n">
        <v>1.071</v>
      </c>
      <c r="H1426" s="20" t="n">
        <v>1.10313</v>
      </c>
      <c r="I1426" s="20" t="n">
        <v>1.01745</v>
      </c>
      <c r="J1426" s="20" t="n">
        <v>1.10313</v>
      </c>
      <c r="K1426" s="2" t="inlineStr">
        <is>
          <t>止盈</t>
        </is>
      </c>
      <c r="L1426" s="5">
        <f>交易明細!K700</f>
        <v/>
      </c>
      <c r="M1426" s="19">
        <f>M1399</f>
        <v/>
      </c>
      <c r="N1426" s="2">
        <f>N1399</f>
        <v/>
      </c>
      <c r="O1426" s="19">
        <f>O1399</f>
        <v/>
      </c>
      <c r="P1426" s="4">
        <f>交易明細!L700</f>
        <v/>
      </c>
      <c r="Q1426" s="13">
        <f>IF(N1426="已下單",O1426*P1426,0)</f>
        <v/>
      </c>
      <c r="R1426" s="13">
        <f>R1425+Q1426</f>
        <v/>
      </c>
      <c r="S1426" s="19">
        <f>S1425-IF(N1426="已下單",M1426,0)</f>
        <v/>
      </c>
      <c r="T1426" s="19">
        <f>R1426-S1426</f>
        <v/>
      </c>
      <c r="U1426" s="2">
        <f>U1425-IF(N1426="已下單",1,0)</f>
        <v/>
      </c>
      <c r="V1426" s="19">
        <f>IF(資金模擬!$B$9=2,MAX(R1426,0),MAX(V1425,FLOOR(MAX(R1426,0),資金模擬!$B$6)))</f>
        <v/>
      </c>
      <c r="W1426" s="13">
        <f>MAX(W1425,R1426)</f>
        <v/>
      </c>
      <c r="X1426" s="4">
        <f>IF(W1426&gt;0,R1426/W1426-1,-1)</f>
        <v/>
      </c>
      <c r="Y1426" s="19">
        <f>IF(R1426&gt;0,S1426*資金模擬!$B$7/R1426,0)</f>
        <v/>
      </c>
      <c r="Z1426" s="2">
        <f>IF(OR(Z1425=1,R1426&lt;=資金模擬!$B$10),1,0)</f>
        <v/>
      </c>
    </row>
    <row r="1427">
      <c r="A1427" s="2" t="n">
        <v>1425</v>
      </c>
      <c r="B1427" s="7" t="n">
        <v>46305.45833333334</v>
      </c>
      <c r="C1427" s="2" t="inlineStr">
        <is>
          <t>進場</t>
        </is>
      </c>
      <c r="D1427" s="2" t="n">
        <v>715</v>
      </c>
      <c r="E1427" s="2" t="inlineStr">
        <is>
          <t>OGN_USDT_PERP</t>
        </is>
      </c>
      <c r="F1427" s="2" t="inlineStr">
        <is>
          <t>做空</t>
        </is>
      </c>
      <c r="G1427" s="20" t="n">
        <v>0.03728</v>
      </c>
      <c r="H1427" s="20" t="n">
        <v>0.0361616</v>
      </c>
      <c r="I1427" s="20" t="n">
        <v>0.03914400000000001</v>
      </c>
      <c r="J1427" s="20" t="n"/>
      <c r="K1427" s="2" t="n"/>
      <c r="L1427" s="5" t="n"/>
      <c r="M1427" s="19">
        <f>資金模擬!$B$5*V1426</f>
        <v/>
      </c>
      <c r="N1427" s="2">
        <f>IF(Z1426=1,"已停止",IF(T1426&gt;=M1427,"已下單","資金不足略過"))</f>
        <v/>
      </c>
      <c r="O1427" s="19">
        <f>IF(N1427="已下單",M1427*資金模擬!$B$7,0)</f>
        <v/>
      </c>
      <c r="P1427" s="4" t="n"/>
      <c r="Q1427" s="13" t="n">
        <v>0</v>
      </c>
      <c r="R1427" s="13">
        <f>R1426+Q1427</f>
        <v/>
      </c>
      <c r="S1427" s="19">
        <f>S1426+IF(N1427="已下單",M1427,0)</f>
        <v/>
      </c>
      <c r="T1427" s="19">
        <f>R1427-S1427</f>
        <v/>
      </c>
      <c r="U1427" s="2">
        <f>U1426+IF(N1427="已下單",1,0)</f>
        <v/>
      </c>
      <c r="V1427" s="19">
        <f>IF(資金模擬!$B$9=2,MAX(R1427,0),MAX(V1426,FLOOR(MAX(R1427,0),資金模擬!$B$6)))</f>
        <v/>
      </c>
      <c r="W1427" s="13">
        <f>MAX(W1426,R1427)</f>
        <v/>
      </c>
      <c r="X1427" s="4">
        <f>IF(W1427&gt;0,R1427/W1427-1,-1)</f>
        <v/>
      </c>
      <c r="Y1427" s="19">
        <f>IF(R1427&gt;0,S1427*資金模擬!$B$7/R1427,0)</f>
        <v/>
      </c>
      <c r="Z1427" s="2">
        <f>IF(OR(Z1426=1,R1427&lt;=資金模擬!$B$10),1,0)</f>
        <v/>
      </c>
    </row>
    <row r="1428">
      <c r="A1428" s="2" t="n">
        <v>1426</v>
      </c>
      <c r="B1428" s="7" t="n">
        <v>46305.5</v>
      </c>
      <c r="C1428" s="2" t="inlineStr">
        <is>
          <t>出場</t>
        </is>
      </c>
      <c r="D1428" s="2" t="n">
        <v>715</v>
      </c>
      <c r="E1428" s="2" t="inlineStr">
        <is>
          <t>OGN_USDT_PERP</t>
        </is>
      </c>
      <c r="F1428" s="2" t="inlineStr">
        <is>
          <t>做空</t>
        </is>
      </c>
      <c r="G1428" s="20" t="n">
        <v>0.03728</v>
      </c>
      <c r="H1428" s="20" t="n">
        <v>0.0361616</v>
      </c>
      <c r="I1428" s="20" t="n">
        <v>0.03914400000000001</v>
      </c>
      <c r="J1428" s="20" t="n">
        <v>0.0361616</v>
      </c>
      <c r="K1428" s="2" t="inlineStr">
        <is>
          <t>止盈</t>
        </is>
      </c>
      <c r="L1428" s="5">
        <f>交易明細!K716</f>
        <v/>
      </c>
      <c r="M1428" s="19">
        <f>M1427</f>
        <v/>
      </c>
      <c r="N1428" s="2">
        <f>N1427</f>
        <v/>
      </c>
      <c r="O1428" s="19">
        <f>O1427</f>
        <v/>
      </c>
      <c r="P1428" s="4">
        <f>交易明細!L716</f>
        <v/>
      </c>
      <c r="Q1428" s="13">
        <f>IF(N1428="已下單",O1428*P1428,0)</f>
        <v/>
      </c>
      <c r="R1428" s="13">
        <f>R1427+Q1428</f>
        <v/>
      </c>
      <c r="S1428" s="19">
        <f>S1427-IF(N1428="已下單",M1428,0)</f>
        <v/>
      </c>
      <c r="T1428" s="19">
        <f>R1428-S1428</f>
        <v/>
      </c>
      <c r="U1428" s="2">
        <f>U1427-IF(N1428="已下單",1,0)</f>
        <v/>
      </c>
      <c r="V1428" s="19">
        <f>IF(資金模擬!$B$9=2,MAX(R1428,0),MAX(V1427,FLOOR(MAX(R1428,0),資金模擬!$B$6)))</f>
        <v/>
      </c>
      <c r="W1428" s="13">
        <f>MAX(W1427,R1428)</f>
        <v/>
      </c>
      <c r="X1428" s="4">
        <f>IF(W1428&gt;0,R1428/W1428-1,-1)</f>
        <v/>
      </c>
      <c r="Y1428" s="19">
        <f>IF(R1428&gt;0,S1428*資金模擬!$B$7/R1428,0)</f>
        <v/>
      </c>
      <c r="Z1428" s="2">
        <f>IF(OR(Z1427=1,R1428&lt;=資金模擬!$B$10),1,0)</f>
        <v/>
      </c>
    </row>
    <row r="1429">
      <c r="A1429" s="2" t="n">
        <v>1427</v>
      </c>
      <c r="B1429" s="7" t="n">
        <v>46305.54166666666</v>
      </c>
      <c r="C1429" s="2" t="inlineStr">
        <is>
          <t>進場</t>
        </is>
      </c>
      <c r="D1429" s="2" t="n">
        <v>716</v>
      </c>
      <c r="E1429" s="2" t="inlineStr">
        <is>
          <t>STRK_USDT_PERP</t>
        </is>
      </c>
      <c r="F1429" s="2" t="inlineStr">
        <is>
          <t>做空</t>
        </is>
      </c>
      <c r="G1429" s="20" t="n">
        <v>0.07140000000000001</v>
      </c>
      <c r="H1429" s="20" t="n">
        <v>0.069258</v>
      </c>
      <c r="I1429" s="20" t="n">
        <v>0.07497000000000001</v>
      </c>
      <c r="J1429" s="20" t="n"/>
      <c r="K1429" s="2" t="n"/>
      <c r="L1429" s="5" t="n"/>
      <c r="M1429" s="19">
        <f>資金模擬!$B$5*V1428</f>
        <v/>
      </c>
      <c r="N1429" s="2">
        <f>IF(Z1428=1,"已停止",IF(T1428&gt;=M1429,"已下單","資金不足略過"))</f>
        <v/>
      </c>
      <c r="O1429" s="19">
        <f>IF(N1429="已下單",M1429*資金模擬!$B$7,0)</f>
        <v/>
      </c>
      <c r="P1429" s="4" t="n"/>
      <c r="Q1429" s="13" t="n">
        <v>0</v>
      </c>
      <c r="R1429" s="13">
        <f>R1428+Q1429</f>
        <v/>
      </c>
      <c r="S1429" s="19">
        <f>S1428+IF(N1429="已下單",M1429,0)</f>
        <v/>
      </c>
      <c r="T1429" s="19">
        <f>R1429-S1429</f>
        <v/>
      </c>
      <c r="U1429" s="2">
        <f>U1428+IF(N1429="已下單",1,0)</f>
        <v/>
      </c>
      <c r="V1429" s="19">
        <f>IF(資金模擬!$B$9=2,MAX(R1429,0),MAX(V1428,FLOOR(MAX(R1429,0),資金模擬!$B$6)))</f>
        <v/>
      </c>
      <c r="W1429" s="13">
        <f>MAX(W1428,R1429)</f>
        <v/>
      </c>
      <c r="X1429" s="4">
        <f>IF(W1429&gt;0,R1429/W1429-1,-1)</f>
        <v/>
      </c>
      <c r="Y1429" s="19">
        <f>IF(R1429&gt;0,S1429*資金模擬!$B$7/R1429,0)</f>
        <v/>
      </c>
      <c r="Z1429" s="2">
        <f>IF(OR(Z1428=1,R1429&lt;=資金模擬!$B$10),1,0)</f>
        <v/>
      </c>
    </row>
    <row r="1430">
      <c r="A1430" s="2" t="n">
        <v>1428</v>
      </c>
      <c r="B1430" s="7" t="n">
        <v>46305.58333333334</v>
      </c>
      <c r="C1430" s="2" t="inlineStr">
        <is>
          <t>出場</t>
        </is>
      </c>
      <c r="D1430" s="2" t="n">
        <v>701</v>
      </c>
      <c r="E1430" s="2" t="inlineStr">
        <is>
          <t>UNI_USDT_PERP</t>
        </is>
      </c>
      <c r="F1430" s="2" t="inlineStr">
        <is>
          <t>做空</t>
        </is>
      </c>
      <c r="G1430" s="20" t="n">
        <v>7.114</v>
      </c>
      <c r="H1430" s="20" t="n">
        <v>6.90058</v>
      </c>
      <c r="I1430" s="20" t="n">
        <v>7.4697</v>
      </c>
      <c r="J1430" s="20" t="n">
        <v>7.4697</v>
      </c>
      <c r="K1430" s="2" t="inlineStr">
        <is>
          <t>止損</t>
        </is>
      </c>
      <c r="L1430" s="5">
        <f>交易明細!K702</f>
        <v/>
      </c>
      <c r="M1430" s="19">
        <f>M1401</f>
        <v/>
      </c>
      <c r="N1430" s="2">
        <f>N1401</f>
        <v/>
      </c>
      <c r="O1430" s="19">
        <f>O1401</f>
        <v/>
      </c>
      <c r="P1430" s="4">
        <f>交易明細!L702</f>
        <v/>
      </c>
      <c r="Q1430" s="13">
        <f>IF(N1430="已下單",O1430*P1430,0)</f>
        <v/>
      </c>
      <c r="R1430" s="13">
        <f>R1429+Q1430</f>
        <v/>
      </c>
      <c r="S1430" s="19">
        <f>S1429-IF(N1430="已下單",M1430,0)</f>
        <v/>
      </c>
      <c r="T1430" s="19">
        <f>R1430-S1430</f>
        <v/>
      </c>
      <c r="U1430" s="2">
        <f>U1429-IF(N1430="已下單",1,0)</f>
        <v/>
      </c>
      <c r="V1430" s="19">
        <f>IF(資金模擬!$B$9=2,MAX(R1430,0),MAX(V1429,FLOOR(MAX(R1430,0),資金模擬!$B$6)))</f>
        <v/>
      </c>
      <c r="W1430" s="13">
        <f>MAX(W1429,R1430)</f>
        <v/>
      </c>
      <c r="X1430" s="4">
        <f>IF(W1430&gt;0,R1430/W1430-1,-1)</f>
        <v/>
      </c>
      <c r="Y1430" s="19">
        <f>IF(R1430&gt;0,S1430*資金模擬!$B$7/R1430,0)</f>
        <v/>
      </c>
      <c r="Z1430" s="2">
        <f>IF(OR(Z1429=1,R1430&lt;=資金模擬!$B$10),1,0)</f>
        <v/>
      </c>
    </row>
    <row r="1431">
      <c r="A1431" s="2" t="n">
        <v>1429</v>
      </c>
      <c r="B1431" s="7" t="n">
        <v>46305.58333333334</v>
      </c>
      <c r="C1431" s="2" t="inlineStr">
        <is>
          <t>出場</t>
        </is>
      </c>
      <c r="D1431" s="2" t="n">
        <v>714</v>
      </c>
      <c r="E1431" s="2" t="inlineStr">
        <is>
          <t>Q_USDT_PERP</t>
        </is>
      </c>
      <c r="F1431" s="2" t="inlineStr">
        <is>
          <t>做空</t>
        </is>
      </c>
      <c r="G1431" s="20" t="n">
        <v>0.02728</v>
      </c>
      <c r="H1431" s="20" t="n">
        <v>0.0264616</v>
      </c>
      <c r="I1431" s="20" t="n">
        <v>0.028644</v>
      </c>
      <c r="J1431" s="20" t="n">
        <v>0.028644</v>
      </c>
      <c r="K1431" s="2" t="inlineStr">
        <is>
          <t>止損</t>
        </is>
      </c>
      <c r="L1431" s="5">
        <f>交易明細!K715</f>
        <v/>
      </c>
      <c r="M1431" s="19">
        <f>M1425</f>
        <v/>
      </c>
      <c r="N1431" s="2">
        <f>N1425</f>
        <v/>
      </c>
      <c r="O1431" s="19">
        <f>O1425</f>
        <v/>
      </c>
      <c r="P1431" s="4">
        <f>交易明細!L715</f>
        <v/>
      </c>
      <c r="Q1431" s="13">
        <f>IF(N1431="已下單",O1431*P1431,0)</f>
        <v/>
      </c>
      <c r="R1431" s="13">
        <f>R1430+Q1431</f>
        <v/>
      </c>
      <c r="S1431" s="19">
        <f>S1430-IF(N1431="已下單",M1431,0)</f>
        <v/>
      </c>
      <c r="T1431" s="19">
        <f>R1431-S1431</f>
        <v/>
      </c>
      <c r="U1431" s="2">
        <f>U1430-IF(N1431="已下單",1,0)</f>
        <v/>
      </c>
      <c r="V1431" s="19">
        <f>IF(資金模擬!$B$9=2,MAX(R1431,0),MAX(V1430,FLOOR(MAX(R1431,0),資金模擬!$B$6)))</f>
        <v/>
      </c>
      <c r="W1431" s="13">
        <f>MAX(W1430,R1431)</f>
        <v/>
      </c>
      <c r="X1431" s="4">
        <f>IF(W1431&gt;0,R1431/W1431-1,-1)</f>
        <v/>
      </c>
      <c r="Y1431" s="19">
        <f>IF(R1431&gt;0,S1431*資金模擬!$B$7/R1431,0)</f>
        <v/>
      </c>
      <c r="Z1431" s="2">
        <f>IF(OR(Z1430=1,R1431&lt;=資金模擬!$B$10),1,0)</f>
        <v/>
      </c>
    </row>
    <row r="1432">
      <c r="A1432" s="2" t="n">
        <v>1430</v>
      </c>
      <c r="B1432" s="7" t="n">
        <v>46305.625</v>
      </c>
      <c r="C1432" s="2" t="inlineStr">
        <is>
          <t>出場</t>
        </is>
      </c>
      <c r="D1432" s="2" t="n">
        <v>708</v>
      </c>
      <c r="E1432" s="2" t="inlineStr">
        <is>
          <t>TIA_USDT_PERP</t>
        </is>
      </c>
      <c r="F1432" s="2" t="inlineStr">
        <is>
          <t>做空</t>
        </is>
      </c>
      <c r="G1432" s="20" t="n">
        <v>0.4746</v>
      </c>
      <c r="H1432" s="20" t="n">
        <v>0.460362</v>
      </c>
      <c r="I1432" s="20" t="n">
        <v>0.4983300000000001</v>
      </c>
      <c r="J1432" s="20" t="n">
        <v>0.4983300000000001</v>
      </c>
      <c r="K1432" s="2" t="inlineStr">
        <is>
          <t>止損</t>
        </is>
      </c>
      <c r="L1432" s="5">
        <f>交易明細!K709</f>
        <v/>
      </c>
      <c r="M1432" s="19">
        <f>M1412</f>
        <v/>
      </c>
      <c r="N1432" s="2">
        <f>N1412</f>
        <v/>
      </c>
      <c r="O1432" s="19">
        <f>O1412</f>
        <v/>
      </c>
      <c r="P1432" s="4">
        <f>交易明細!L709</f>
        <v/>
      </c>
      <c r="Q1432" s="13">
        <f>IF(N1432="已下單",O1432*P1432,0)</f>
        <v/>
      </c>
      <c r="R1432" s="13">
        <f>R1431+Q1432</f>
        <v/>
      </c>
      <c r="S1432" s="19">
        <f>S1431-IF(N1432="已下單",M1432,0)</f>
        <v/>
      </c>
      <c r="T1432" s="19">
        <f>R1432-S1432</f>
        <v/>
      </c>
      <c r="U1432" s="2">
        <f>U1431-IF(N1432="已下單",1,0)</f>
        <v/>
      </c>
      <c r="V1432" s="19">
        <f>IF(資金模擬!$B$9=2,MAX(R1432,0),MAX(V1431,FLOOR(MAX(R1432,0),資金模擬!$B$6)))</f>
        <v/>
      </c>
      <c r="W1432" s="13">
        <f>MAX(W1431,R1432)</f>
        <v/>
      </c>
      <c r="X1432" s="4">
        <f>IF(W1432&gt;0,R1432/W1432-1,-1)</f>
        <v/>
      </c>
      <c r="Y1432" s="19">
        <f>IF(R1432&gt;0,S1432*資金模擬!$B$7/R1432,0)</f>
        <v/>
      </c>
      <c r="Z1432" s="2">
        <f>IF(OR(Z1431=1,R1432&lt;=資金模擬!$B$10),1,0)</f>
        <v/>
      </c>
    </row>
    <row r="1433">
      <c r="A1433" s="2" t="n">
        <v>1431</v>
      </c>
      <c r="B1433" s="7" t="n">
        <v>46305.625</v>
      </c>
      <c r="C1433" s="2" t="inlineStr">
        <is>
          <t>出場</t>
        </is>
      </c>
      <c r="D1433" s="2" t="n">
        <v>712</v>
      </c>
      <c r="E1433" s="2" t="inlineStr">
        <is>
          <t>PUMP_USDT_PERP</t>
        </is>
      </c>
      <c r="F1433" s="2" t="inlineStr">
        <is>
          <t>做空</t>
        </is>
      </c>
      <c r="G1433" s="20" t="n">
        <v>0.00531</v>
      </c>
      <c r="H1433" s="20" t="n">
        <v>0.005150699999999999</v>
      </c>
      <c r="I1433" s="20" t="n">
        <v>0.0055755</v>
      </c>
      <c r="J1433" s="20" t="n">
        <v>0.0055755</v>
      </c>
      <c r="K1433" s="2" t="inlineStr">
        <is>
          <t>止損</t>
        </is>
      </c>
      <c r="L1433" s="5">
        <f>交易明細!K713</f>
        <v/>
      </c>
      <c r="M1433" s="19">
        <f>M1420</f>
        <v/>
      </c>
      <c r="N1433" s="2">
        <f>N1420</f>
        <v/>
      </c>
      <c r="O1433" s="19">
        <f>O1420</f>
        <v/>
      </c>
      <c r="P1433" s="4">
        <f>交易明細!L713</f>
        <v/>
      </c>
      <c r="Q1433" s="13">
        <f>IF(N1433="已下單",O1433*P1433,0)</f>
        <v/>
      </c>
      <c r="R1433" s="13">
        <f>R1432+Q1433</f>
        <v/>
      </c>
      <c r="S1433" s="19">
        <f>S1432-IF(N1433="已下單",M1433,0)</f>
        <v/>
      </c>
      <c r="T1433" s="19">
        <f>R1433-S1433</f>
        <v/>
      </c>
      <c r="U1433" s="2">
        <f>U1432-IF(N1433="已下單",1,0)</f>
        <v/>
      </c>
      <c r="V1433" s="19">
        <f>IF(資金模擬!$B$9=2,MAX(R1433,0),MAX(V1432,FLOOR(MAX(R1433,0),資金模擬!$B$6)))</f>
        <v/>
      </c>
      <c r="W1433" s="13">
        <f>MAX(W1432,R1433)</f>
        <v/>
      </c>
      <c r="X1433" s="4">
        <f>IF(W1433&gt;0,R1433/W1433-1,-1)</f>
        <v/>
      </c>
      <c r="Y1433" s="19">
        <f>IF(R1433&gt;0,S1433*資金模擬!$B$7/R1433,0)</f>
        <v/>
      </c>
      <c r="Z1433" s="2">
        <f>IF(OR(Z1432=1,R1433&lt;=資金模擬!$B$10),1,0)</f>
        <v/>
      </c>
    </row>
    <row r="1434">
      <c r="A1434" s="2" t="n">
        <v>1432</v>
      </c>
      <c r="B1434" s="7" t="n">
        <v>46305.625</v>
      </c>
      <c r="C1434" s="2" t="inlineStr">
        <is>
          <t>進場</t>
        </is>
      </c>
      <c r="D1434" s="2" t="n">
        <v>717</v>
      </c>
      <c r="E1434" s="2" t="inlineStr">
        <is>
          <t>ATOM_USDT_PERP</t>
        </is>
      </c>
      <c r="F1434" s="2" t="inlineStr">
        <is>
          <t>做空</t>
        </is>
      </c>
      <c r="G1434" s="20" t="n">
        <v>1.939</v>
      </c>
      <c r="H1434" s="20" t="n">
        <v>1.88083</v>
      </c>
      <c r="I1434" s="20" t="n">
        <v>2.03595</v>
      </c>
      <c r="J1434" s="20" t="n"/>
      <c r="K1434" s="2" t="inlineStr">
        <is>
          <t>未平倉</t>
        </is>
      </c>
      <c r="L1434" s="5" t="n"/>
      <c r="M1434" s="19">
        <f>資金模擬!$B$5*V1433</f>
        <v/>
      </c>
      <c r="N1434" s="2">
        <f>IF(Z1433=1,"已停止",IF(T1433&gt;=M1434,"已下單","資金不足略過"))</f>
        <v/>
      </c>
      <c r="O1434" s="19">
        <f>IF(N1434="已下單",M1434*資金模擬!$B$7,0)</f>
        <v/>
      </c>
      <c r="P1434" s="4" t="n"/>
      <c r="Q1434" s="13" t="n">
        <v>0</v>
      </c>
      <c r="R1434" s="13">
        <f>R1433+Q1434</f>
        <v/>
      </c>
      <c r="S1434" s="19">
        <f>S1433+IF(N1434="已下單",M1434,0)</f>
        <v/>
      </c>
      <c r="T1434" s="19">
        <f>R1434-S1434</f>
        <v/>
      </c>
      <c r="U1434" s="2">
        <f>U1433+IF(N1434="已下單",1,0)</f>
        <v/>
      </c>
      <c r="V1434" s="19">
        <f>IF(資金模擬!$B$9=2,MAX(R1434,0),MAX(V1433,FLOOR(MAX(R1434,0),資金模擬!$B$6)))</f>
        <v/>
      </c>
      <c r="W1434" s="13">
        <f>MAX(W1433,R1434)</f>
        <v/>
      </c>
      <c r="X1434" s="4">
        <f>IF(W1434&gt;0,R1434/W1434-1,-1)</f>
        <v/>
      </c>
      <c r="Y1434" s="19">
        <f>IF(R1434&gt;0,S1434*資金模擬!$B$7/R1434,0)</f>
        <v/>
      </c>
      <c r="Z1434" s="2">
        <f>IF(OR(Z1433=1,R1434&lt;=資金模擬!$B$10),1,0)</f>
        <v/>
      </c>
    </row>
    <row r="1435">
      <c r="A1435" s="2" t="n">
        <v>1433</v>
      </c>
      <c r="B1435" s="7" t="n">
        <v>46305.66666666666</v>
      </c>
      <c r="C1435" s="2" t="inlineStr">
        <is>
          <t>進場</t>
        </is>
      </c>
      <c r="D1435" s="2" t="n">
        <v>718</v>
      </c>
      <c r="E1435" s="2" t="inlineStr">
        <is>
          <t>KAIA_USDT_PERP</t>
        </is>
      </c>
      <c r="F1435" s="2" t="inlineStr">
        <is>
          <t>做空</t>
        </is>
      </c>
      <c r="G1435" s="20" t="n">
        <v>0.05571</v>
      </c>
      <c r="H1435" s="20" t="n">
        <v>0.0540387</v>
      </c>
      <c r="I1435" s="20" t="n">
        <v>0.05849550000000001</v>
      </c>
      <c r="J1435" s="20" t="n"/>
      <c r="K1435" s="2" t="n"/>
      <c r="L1435" s="5" t="n"/>
      <c r="M1435" s="19">
        <f>資金模擬!$B$5*V1434</f>
        <v/>
      </c>
      <c r="N1435" s="2">
        <f>IF(Z1434=1,"已停止",IF(T1434&gt;=M1435,"已下單","資金不足略過"))</f>
        <v/>
      </c>
      <c r="O1435" s="19">
        <f>IF(N1435="已下單",M1435*資金模擬!$B$7,0)</f>
        <v/>
      </c>
      <c r="P1435" s="4" t="n"/>
      <c r="Q1435" s="13" t="n">
        <v>0</v>
      </c>
      <c r="R1435" s="13">
        <f>R1434+Q1435</f>
        <v/>
      </c>
      <c r="S1435" s="19">
        <f>S1434+IF(N1435="已下單",M1435,0)</f>
        <v/>
      </c>
      <c r="T1435" s="19">
        <f>R1435-S1435</f>
        <v/>
      </c>
      <c r="U1435" s="2">
        <f>U1434+IF(N1435="已下單",1,0)</f>
        <v/>
      </c>
      <c r="V1435" s="19">
        <f>IF(資金模擬!$B$9=2,MAX(R1435,0),MAX(V1434,FLOOR(MAX(R1435,0),資金模擬!$B$6)))</f>
        <v/>
      </c>
      <c r="W1435" s="13">
        <f>MAX(W1434,R1435)</f>
        <v/>
      </c>
      <c r="X1435" s="4">
        <f>IF(W1435&gt;0,R1435/W1435-1,-1)</f>
        <v/>
      </c>
      <c r="Y1435" s="19">
        <f>IF(R1435&gt;0,S1435*資金模擬!$B$7/R1435,0)</f>
        <v/>
      </c>
      <c r="Z1435" s="2">
        <f>IF(OR(Z1434=1,R1435&lt;=資金模擬!$B$10),1,0)</f>
        <v/>
      </c>
    </row>
    <row r="1436">
      <c r="A1436" s="2" t="n">
        <v>1434</v>
      </c>
      <c r="B1436" s="7" t="n">
        <v>46305.70833333334</v>
      </c>
      <c r="C1436" s="2" t="inlineStr">
        <is>
          <t>出場</t>
        </is>
      </c>
      <c r="D1436" s="2" t="n">
        <v>716</v>
      </c>
      <c r="E1436" s="2" t="inlineStr">
        <is>
          <t>STRK_USDT_PERP</t>
        </is>
      </c>
      <c r="F1436" s="2" t="inlineStr">
        <is>
          <t>做空</t>
        </is>
      </c>
      <c r="G1436" s="20" t="n">
        <v>0.07140000000000001</v>
      </c>
      <c r="H1436" s="20" t="n">
        <v>0.069258</v>
      </c>
      <c r="I1436" s="20" t="n">
        <v>0.07497000000000001</v>
      </c>
      <c r="J1436" s="20" t="n">
        <v>0.069258</v>
      </c>
      <c r="K1436" s="2" t="inlineStr">
        <is>
          <t>止盈</t>
        </is>
      </c>
      <c r="L1436" s="5">
        <f>交易明細!K717</f>
        <v/>
      </c>
      <c r="M1436" s="19">
        <f>M1429</f>
        <v/>
      </c>
      <c r="N1436" s="2">
        <f>N1429</f>
        <v/>
      </c>
      <c r="O1436" s="19">
        <f>O1429</f>
        <v/>
      </c>
      <c r="P1436" s="4">
        <f>交易明細!L717</f>
        <v/>
      </c>
      <c r="Q1436" s="13">
        <f>IF(N1436="已下單",O1436*P1436,0)</f>
        <v/>
      </c>
      <c r="R1436" s="13">
        <f>R1435+Q1436</f>
        <v/>
      </c>
      <c r="S1436" s="19">
        <f>S1435-IF(N1436="已下單",M1436,0)</f>
        <v/>
      </c>
      <c r="T1436" s="19">
        <f>R1436-S1436</f>
        <v/>
      </c>
      <c r="U1436" s="2">
        <f>U1435-IF(N1436="已下單",1,0)</f>
        <v/>
      </c>
      <c r="V1436" s="19">
        <f>IF(資金模擬!$B$9=2,MAX(R1436,0),MAX(V1435,FLOOR(MAX(R1436,0),資金模擬!$B$6)))</f>
        <v/>
      </c>
      <c r="W1436" s="13">
        <f>MAX(W1435,R1436)</f>
        <v/>
      </c>
      <c r="X1436" s="4">
        <f>IF(W1436&gt;0,R1436/W1436-1,-1)</f>
        <v/>
      </c>
      <c r="Y1436" s="19">
        <f>IF(R1436&gt;0,S1436*資金模擬!$B$7/R1436,0)</f>
        <v/>
      </c>
      <c r="Z1436" s="2">
        <f>IF(OR(Z1435=1,R1436&lt;=資金模擬!$B$10),1,0)</f>
        <v/>
      </c>
    </row>
    <row r="1437">
      <c r="A1437" s="2" t="n">
        <v>1435</v>
      </c>
      <c r="B1437" s="7" t="n">
        <v>46305.70833333334</v>
      </c>
      <c r="C1437" s="2" t="inlineStr">
        <is>
          <t>出場</t>
        </is>
      </c>
      <c r="D1437" s="2" t="n">
        <v>718</v>
      </c>
      <c r="E1437" s="2" t="inlineStr">
        <is>
          <t>KAIA_USDT_PERP</t>
        </is>
      </c>
      <c r="F1437" s="2" t="inlineStr">
        <is>
          <t>做空</t>
        </is>
      </c>
      <c r="G1437" s="20" t="n">
        <v>0.05571</v>
      </c>
      <c r="H1437" s="20" t="n">
        <v>0.0540387</v>
      </c>
      <c r="I1437" s="20" t="n">
        <v>0.05849550000000001</v>
      </c>
      <c r="J1437" s="20" t="n">
        <v>0.05849550000000001</v>
      </c>
      <c r="K1437" s="2" t="inlineStr">
        <is>
          <t>止損</t>
        </is>
      </c>
      <c r="L1437" s="5">
        <f>交易明細!K719</f>
        <v/>
      </c>
      <c r="M1437" s="19">
        <f>M1435</f>
        <v/>
      </c>
      <c r="N1437" s="2">
        <f>N1435</f>
        <v/>
      </c>
      <c r="O1437" s="19">
        <f>O1435</f>
        <v/>
      </c>
      <c r="P1437" s="4">
        <f>交易明細!L719</f>
        <v/>
      </c>
      <c r="Q1437" s="13">
        <f>IF(N1437="已下單",O1437*P1437,0)</f>
        <v/>
      </c>
      <c r="R1437" s="13">
        <f>R1436+Q1437</f>
        <v/>
      </c>
      <c r="S1437" s="19">
        <f>S1436-IF(N1437="已下單",M1437,0)</f>
        <v/>
      </c>
      <c r="T1437" s="19">
        <f>R1437-S1437</f>
        <v/>
      </c>
      <c r="U1437" s="2">
        <f>U1436-IF(N1437="已下單",1,0)</f>
        <v/>
      </c>
      <c r="V1437" s="19">
        <f>IF(資金模擬!$B$9=2,MAX(R1437,0),MAX(V1436,FLOOR(MAX(R1437,0),資金模擬!$B$6)))</f>
        <v/>
      </c>
      <c r="W1437" s="13">
        <f>MAX(W1436,R1437)</f>
        <v/>
      </c>
      <c r="X1437" s="4">
        <f>IF(W1437&gt;0,R1437/W1437-1,-1)</f>
        <v/>
      </c>
      <c r="Y1437" s="19">
        <f>IF(R1437&gt;0,S1437*資金模擬!$B$7/R1437,0)</f>
        <v/>
      </c>
      <c r="Z1437" s="2">
        <f>IF(OR(Z1436=1,R1437&lt;=資金模擬!$B$10),1,0)</f>
        <v/>
      </c>
    </row>
    <row r="1438">
      <c r="A1438" s="2" t="n">
        <v>1436</v>
      </c>
      <c r="B1438" s="7" t="n">
        <v>46305.70833333334</v>
      </c>
      <c r="C1438" s="2" t="inlineStr">
        <is>
          <t>進場</t>
        </is>
      </c>
      <c r="D1438" s="2" t="n">
        <v>719</v>
      </c>
      <c r="E1438" s="2" t="inlineStr">
        <is>
          <t>OGN_USDT_PERP</t>
        </is>
      </c>
      <c r="F1438" s="2" t="inlineStr">
        <is>
          <t>做空</t>
        </is>
      </c>
      <c r="G1438" s="20" t="n">
        <v>0.03567</v>
      </c>
      <c r="H1438" s="20" t="n">
        <v>0.0345999</v>
      </c>
      <c r="I1438" s="20" t="n">
        <v>0.0374535</v>
      </c>
      <c r="J1438" s="20" t="n"/>
      <c r="K1438" s="2" t="n"/>
      <c r="L1438" s="5" t="n"/>
      <c r="M1438" s="19">
        <f>資金模擬!$B$5*V1437</f>
        <v/>
      </c>
      <c r="N1438" s="2">
        <f>IF(Z1437=1,"已停止",IF(T1437&gt;=M1438,"已下單","資金不足略過"))</f>
        <v/>
      </c>
      <c r="O1438" s="19">
        <f>IF(N1438="已下單",M1438*資金模擬!$B$7,0)</f>
        <v/>
      </c>
      <c r="P1438" s="4" t="n"/>
      <c r="Q1438" s="13" t="n">
        <v>0</v>
      </c>
      <c r="R1438" s="13">
        <f>R1437+Q1438</f>
        <v/>
      </c>
      <c r="S1438" s="19">
        <f>S1437+IF(N1438="已下單",M1438,0)</f>
        <v/>
      </c>
      <c r="T1438" s="19">
        <f>R1438-S1438</f>
        <v/>
      </c>
      <c r="U1438" s="2">
        <f>U1437+IF(N1438="已下單",1,0)</f>
        <v/>
      </c>
      <c r="V1438" s="19">
        <f>IF(資金模擬!$B$9=2,MAX(R1438,0),MAX(V1437,FLOOR(MAX(R1438,0),資金模擬!$B$6)))</f>
        <v/>
      </c>
      <c r="W1438" s="13">
        <f>MAX(W1437,R1438)</f>
        <v/>
      </c>
      <c r="X1438" s="4">
        <f>IF(W1438&gt;0,R1438/W1438-1,-1)</f>
        <v/>
      </c>
      <c r="Y1438" s="19">
        <f>IF(R1438&gt;0,S1438*資金模擬!$B$7/R1438,0)</f>
        <v/>
      </c>
      <c r="Z1438" s="2">
        <f>IF(OR(Z1437=1,R1438&lt;=資金模擬!$B$10),1,0)</f>
        <v/>
      </c>
    </row>
    <row r="1439">
      <c r="A1439" s="2" t="n">
        <v>1437</v>
      </c>
      <c r="B1439" s="7" t="n">
        <v>46305.79166666666</v>
      </c>
      <c r="C1439" s="2" t="inlineStr">
        <is>
          <t>出場</t>
        </is>
      </c>
      <c r="D1439" s="2" t="n">
        <v>719</v>
      </c>
      <c r="E1439" s="2" t="inlineStr">
        <is>
          <t>OGN_USDT_PERP</t>
        </is>
      </c>
      <c r="F1439" s="2" t="inlineStr">
        <is>
          <t>做空</t>
        </is>
      </c>
      <c r="G1439" s="20" t="n">
        <v>0.03567</v>
      </c>
      <c r="H1439" s="20" t="n">
        <v>0.0345999</v>
      </c>
      <c r="I1439" s="20" t="n">
        <v>0.0374535</v>
      </c>
      <c r="J1439" s="20" t="n">
        <v>0.0345999</v>
      </c>
      <c r="K1439" s="2" t="inlineStr">
        <is>
          <t>止盈</t>
        </is>
      </c>
      <c r="L1439" s="5">
        <f>交易明細!K720</f>
        <v/>
      </c>
      <c r="M1439" s="19">
        <f>M1438</f>
        <v/>
      </c>
      <c r="N1439" s="2">
        <f>N1438</f>
        <v/>
      </c>
      <c r="O1439" s="19">
        <f>O1438</f>
        <v/>
      </c>
      <c r="P1439" s="4">
        <f>交易明細!L720</f>
        <v/>
      </c>
      <c r="Q1439" s="13">
        <f>IF(N1439="已下單",O1439*P1439,0)</f>
        <v/>
      </c>
      <c r="R1439" s="13">
        <f>R1438+Q1439</f>
        <v/>
      </c>
      <c r="S1439" s="19">
        <f>S1438-IF(N1439="已下單",M1439,0)</f>
        <v/>
      </c>
      <c r="T1439" s="19">
        <f>R1439-S1439</f>
        <v/>
      </c>
      <c r="U1439" s="2">
        <f>U1438-IF(N1439="已下單",1,0)</f>
        <v/>
      </c>
      <c r="V1439" s="19">
        <f>IF(資金模擬!$B$9=2,MAX(R1439,0),MAX(V1438,FLOOR(MAX(R1439,0),資金模擬!$B$6)))</f>
        <v/>
      </c>
      <c r="W1439" s="13">
        <f>MAX(W1438,R1439)</f>
        <v/>
      </c>
      <c r="X1439" s="4">
        <f>IF(W1439&gt;0,R1439/W1439-1,-1)</f>
        <v/>
      </c>
      <c r="Y1439" s="19">
        <f>IF(R1439&gt;0,S1439*資金模擬!$B$7/R1439,0)</f>
        <v/>
      </c>
      <c r="Z1439" s="2">
        <f>IF(OR(Z1438=1,R1439&lt;=資金模擬!$B$10),1,0)</f>
        <v/>
      </c>
    </row>
    <row r="1440">
      <c r="A1440" s="2" t="n">
        <v>1438</v>
      </c>
      <c r="B1440" s="7" t="n">
        <v>46305.83333333334</v>
      </c>
      <c r="C1440" s="2" t="inlineStr">
        <is>
          <t>進場</t>
        </is>
      </c>
      <c r="D1440" s="2" t="n">
        <v>720</v>
      </c>
      <c r="E1440" s="2" t="inlineStr">
        <is>
          <t>BTW_USDT_PERP</t>
        </is>
      </c>
      <c r="F1440" s="2" t="inlineStr">
        <is>
          <t>做空</t>
        </is>
      </c>
      <c r="G1440" s="20" t="n">
        <v>1.5598</v>
      </c>
      <c r="H1440" s="20" t="n">
        <v>1.513006</v>
      </c>
      <c r="I1440" s="20" t="n">
        <v>1.63779</v>
      </c>
      <c r="J1440" s="20" t="n"/>
      <c r="K1440" s="2" t="n"/>
      <c r="L1440" s="5" t="n"/>
      <c r="M1440" s="19">
        <f>資金模擬!$B$5*V1439</f>
        <v/>
      </c>
      <c r="N1440" s="2">
        <f>IF(Z1439=1,"已停止",IF(T1439&gt;=M1440,"已下單","資金不足略過"))</f>
        <v/>
      </c>
      <c r="O1440" s="19">
        <f>IF(N1440="已下單",M1440*資金模擬!$B$7,0)</f>
        <v/>
      </c>
      <c r="P1440" s="4" t="n"/>
      <c r="Q1440" s="13" t="n">
        <v>0</v>
      </c>
      <c r="R1440" s="13">
        <f>R1439+Q1440</f>
        <v/>
      </c>
      <c r="S1440" s="19">
        <f>S1439+IF(N1440="已下單",M1440,0)</f>
        <v/>
      </c>
      <c r="T1440" s="19">
        <f>R1440-S1440</f>
        <v/>
      </c>
      <c r="U1440" s="2">
        <f>U1439+IF(N1440="已下單",1,0)</f>
        <v/>
      </c>
      <c r="V1440" s="19">
        <f>IF(資金模擬!$B$9=2,MAX(R1440,0),MAX(V1439,FLOOR(MAX(R1440,0),資金模擬!$B$6)))</f>
        <v/>
      </c>
      <c r="W1440" s="13">
        <f>MAX(W1439,R1440)</f>
        <v/>
      </c>
      <c r="X1440" s="4">
        <f>IF(W1440&gt;0,R1440/W1440-1,-1)</f>
        <v/>
      </c>
      <c r="Y1440" s="19">
        <f>IF(R1440&gt;0,S1440*資金模擬!$B$7/R1440,0)</f>
        <v/>
      </c>
      <c r="Z1440" s="2">
        <f>IF(OR(Z1439=1,R1440&lt;=資金模擬!$B$10),1,0)</f>
        <v/>
      </c>
    </row>
    <row r="1441">
      <c r="A1441" s="2" t="n">
        <v>1439</v>
      </c>
      <c r="B1441" s="7" t="n">
        <v>46306.08333333334</v>
      </c>
      <c r="C1441" s="2" t="inlineStr">
        <is>
          <t>出場</t>
        </is>
      </c>
      <c r="D1441" s="2" t="n">
        <v>720</v>
      </c>
      <c r="E1441" s="2" t="inlineStr">
        <is>
          <t>BTW_USDT_PERP</t>
        </is>
      </c>
      <c r="F1441" s="2" t="inlineStr">
        <is>
          <t>做空</t>
        </is>
      </c>
      <c r="G1441" s="20" t="n">
        <v>1.5598</v>
      </c>
      <c r="H1441" s="20" t="n">
        <v>1.513006</v>
      </c>
      <c r="I1441" s="20" t="n">
        <v>1.63779</v>
      </c>
      <c r="J1441" s="20" t="n">
        <v>1.63779</v>
      </c>
      <c r="K1441" s="2" t="inlineStr">
        <is>
          <t>止損</t>
        </is>
      </c>
      <c r="L1441" s="5">
        <f>交易明細!K721</f>
        <v/>
      </c>
      <c r="M1441" s="19">
        <f>M1440</f>
        <v/>
      </c>
      <c r="N1441" s="2">
        <f>N1440</f>
        <v/>
      </c>
      <c r="O1441" s="19">
        <f>O1440</f>
        <v/>
      </c>
      <c r="P1441" s="4">
        <f>交易明細!L721</f>
        <v/>
      </c>
      <c r="Q1441" s="13">
        <f>IF(N1441="已下單",O1441*P1441,0)</f>
        <v/>
      </c>
      <c r="R1441" s="13">
        <f>R1440+Q1441</f>
        <v/>
      </c>
      <c r="S1441" s="19">
        <f>S1440-IF(N1441="已下單",M1441,0)</f>
        <v/>
      </c>
      <c r="T1441" s="19">
        <f>R1441-S1441</f>
        <v/>
      </c>
      <c r="U1441" s="2">
        <f>U1440-IF(N1441="已下單",1,0)</f>
        <v/>
      </c>
      <c r="V1441" s="19">
        <f>IF(資金模擬!$B$9=2,MAX(R1441,0),MAX(V1440,FLOOR(MAX(R1441,0),資金模擬!$B$6)))</f>
        <v/>
      </c>
      <c r="W1441" s="13">
        <f>MAX(W1440,R1441)</f>
        <v/>
      </c>
      <c r="X1441" s="4">
        <f>IF(W1441&gt;0,R1441/W1441-1,-1)</f>
        <v/>
      </c>
      <c r="Y1441" s="19">
        <f>IF(R1441&gt;0,S1441*資金模擬!$B$7/R1441,0)</f>
        <v/>
      </c>
      <c r="Z1441" s="2">
        <f>IF(OR(Z1440=1,R1441&lt;=資金模擬!$B$10),1,0)</f>
        <v/>
      </c>
    </row>
  </sheetData>
  <autoFilter ref="A1:Z1441"/>
  <conditionalFormatting sqref="K2:K14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04:08（Dry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IFERROR(AVERAGE(交易明細!$AC$2:$AC$721),(B6+2*B7)/(B5+B6))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46305.45833333334</v>
      </c>
      <c r="I700" s="20" t="n">
        <v>1.10313</v>
      </c>
      <c r="J700" s="2" t="inlineStr">
        <is>
          <t>止盈</t>
        </is>
      </c>
      <c r="K700" s="5">
        <f>(H700-D700)*24</f>
        <v/>
      </c>
      <c r="L700" s="4">
        <f>IF(C700="做多",I700/E700-1,1-I700/E700)-2*參數!$B$7</f>
        <v/>
      </c>
      <c r="M700" s="2" t="inlineStr"/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46305.58333333334</v>
      </c>
      <c r="I702" s="20" t="n">
        <v>7.4697</v>
      </c>
      <c r="J702" s="2" t="inlineStr">
        <is>
          <t>止損</t>
        </is>
      </c>
      <c r="K702" s="5">
        <f>(H702-D702)*24</f>
        <v/>
      </c>
      <c r="L702" s="4">
        <f>IF(C702="做多",I702/E702-1,1-I702/E702)-2*參數!$B$7</f>
        <v/>
      </c>
      <c r="M702" s="2" t="inlineStr"/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0.05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46305.41666666666</v>
      </c>
      <c r="I705" s="20" t="n">
        <v>4.9852</v>
      </c>
      <c r="J705" s="2" t="inlineStr">
        <is>
          <t>止盈</t>
        </is>
      </c>
      <c r="K705" s="5">
        <f>(H705-D705)*24</f>
        <v/>
      </c>
      <c r="L705" s="4">
        <f>IF(C705="做多",I705/E705-1,1-I705/E705)-2*參數!$B$7</f>
        <v/>
      </c>
      <c r="M705" s="2" t="inlineStr"/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0.03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46305.625</v>
      </c>
      <c r="I709" s="20" t="n">
        <v>0.4983300000000001</v>
      </c>
      <c r="J709" s="2" t="inlineStr">
        <is>
          <t>止損</t>
        </is>
      </c>
      <c r="K709" s="5">
        <f>(H709-D709)*24</f>
        <v/>
      </c>
      <c r="L709" s="4">
        <f>IF(C709="做多",I709/E709-1,1-I709/E709)-2*參數!$B$7</f>
        <v/>
      </c>
      <c r="M709" s="2" t="inlineStr"/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0.05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46305.625</v>
      </c>
      <c r="I713" s="20" t="n">
        <v>0.0055755</v>
      </c>
      <c r="J713" s="2" t="inlineStr">
        <is>
          <t>止損</t>
        </is>
      </c>
      <c r="K713" s="5">
        <f>(H713-D713)*24</f>
        <v/>
      </c>
      <c r="L713" s="4">
        <f>IF(C713="做多",I713/E713-1,1-I713/E713)-2*參數!$B$7</f>
        <v/>
      </c>
      <c r="M713" s="2" t="inlineStr"/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0.05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  <row r="715">
      <c r="A715" s="2" t="n">
        <v>714</v>
      </c>
      <c r="B715" s="2" t="inlineStr">
        <is>
          <t>Q_USDT_PERP</t>
        </is>
      </c>
      <c r="C715" s="2" t="inlineStr">
        <is>
          <t>做空</t>
        </is>
      </c>
      <c r="D715" s="7" t="n">
        <v>46305.41666666666</v>
      </c>
      <c r="E715" s="20" t="n">
        <v>0.02728</v>
      </c>
      <c r="F715" s="20" t="n">
        <v>0.0264616</v>
      </c>
      <c r="G715" s="20" t="n">
        <v>0.028644</v>
      </c>
      <c r="H715" s="7" t="n">
        <v>46305.58333333334</v>
      </c>
      <c r="I715" s="20" t="n">
        <v>0.028644</v>
      </c>
      <c r="J715" s="2" t="inlineStr">
        <is>
          <t>止損</t>
        </is>
      </c>
      <c r="K715" s="5">
        <f>(H715-D715)*24</f>
        <v/>
      </c>
      <c r="L715" s="4">
        <f>IF(C715="做多",I715/E715-1,1-I715/E715)-2*參數!$B$7</f>
        <v/>
      </c>
      <c r="M715" s="2" t="inlineStr"/>
      <c r="N715" s="4" t="n">
        <v>-0.04841635272778011</v>
      </c>
      <c r="O715" s="4" t="n">
        <v>0.04376613051127316</v>
      </c>
      <c r="P715" s="4" t="n">
        <v>-0.04766891832923159</v>
      </c>
      <c r="Q715" s="22" t="n">
        <v>-26181493</v>
      </c>
      <c r="R715" s="22" t="n">
        <v>2203053.559974</v>
      </c>
      <c r="S715" s="4" t="n">
        <v>0.02536656891495592</v>
      </c>
      <c r="T715" s="4" t="n">
        <v>0.05</v>
      </c>
      <c r="U715" s="19" t="n">
        <v>0.7072584071836271</v>
      </c>
      <c r="V715" s="19" t="n">
        <v>0.8759162303664932</v>
      </c>
      <c r="W715" s="4" t="n">
        <v>-0.1532391944066209</v>
      </c>
      <c r="X715" s="4" t="n">
        <v>-0.07949823908828302</v>
      </c>
      <c r="Y715" s="4" t="n">
        <v>-0.001468560447256628</v>
      </c>
      <c r="Z715" s="4" t="n">
        <v>-7.803959220842316e-06</v>
      </c>
      <c r="AA715" s="4" t="n">
        <v>0.03</v>
      </c>
      <c r="AB715" s="4" t="n">
        <v>0.05</v>
      </c>
      <c r="AC715" s="4">
        <f>(AB715+2*參數!$B$7)/(AA715+AB715)</f>
        <v/>
      </c>
    </row>
    <row r="716">
      <c r="A716" s="2" t="n">
        <v>715</v>
      </c>
      <c r="B716" s="2" t="inlineStr">
        <is>
          <t>OGN_USDT_PERP</t>
        </is>
      </c>
      <c r="C716" s="2" t="inlineStr">
        <is>
          <t>做空</t>
        </is>
      </c>
      <c r="D716" s="7" t="n">
        <v>46305.45833333334</v>
      </c>
      <c r="E716" s="20" t="n">
        <v>0.03728</v>
      </c>
      <c r="F716" s="20" t="n">
        <v>0.0361616</v>
      </c>
      <c r="G716" s="20" t="n">
        <v>0.03914400000000001</v>
      </c>
      <c r="H716" s="7" t="n">
        <v>46305.5</v>
      </c>
      <c r="I716" s="20" t="n">
        <v>0.0361616</v>
      </c>
      <c r="J716" s="2" t="inlineStr">
        <is>
          <t>止盈</t>
        </is>
      </c>
      <c r="K716" s="5">
        <f>(H716-D716)*24</f>
        <v/>
      </c>
      <c r="L716" s="4">
        <f>IF(C716="做多",I716/E716-1,1-I716/E716)-2*參數!$B$7</f>
        <v/>
      </c>
      <c r="M716" s="2" t="inlineStr"/>
      <c r="N716" s="4" t="n">
        <v>-0.06402209389907099</v>
      </c>
      <c r="O716" s="4" t="n">
        <v>0.06691776887617325</v>
      </c>
      <c r="P716" s="4" t="n">
        <v>-0.02823032609545661</v>
      </c>
      <c r="Q716" s="22" t="n">
        <v>-33590403</v>
      </c>
      <c r="R716" s="22" t="n">
        <v>6498259.70082</v>
      </c>
      <c r="S716" s="4" t="n">
        <v>0.03</v>
      </c>
      <c r="T716" s="4" t="n">
        <v>0</v>
      </c>
      <c r="U716" s="19" t="n">
        <v>0.4155305269938326</v>
      </c>
      <c r="V716" s="19" t="n">
        <v>0.6769596199524939</v>
      </c>
      <c r="W716" s="4" t="n">
        <v>-0.2503437774602728</v>
      </c>
      <c r="X716" s="4" t="n">
        <v>0.1142789261107152</v>
      </c>
      <c r="Y716" s="4" t="n">
        <v>0.000733203470012489</v>
      </c>
      <c r="Z716" s="4" t="n">
        <v>0.0007594385067144493</v>
      </c>
      <c r="AA716" s="4" t="n">
        <v>0.03</v>
      </c>
      <c r="AB716" s="4" t="n">
        <v>0.05</v>
      </c>
      <c r="AC716" s="4">
        <f>(AB716+2*參數!$B$7)/(AA716+AB716)</f>
        <v/>
      </c>
    </row>
    <row r="717">
      <c r="A717" s="2" t="n">
        <v>716</v>
      </c>
      <c r="B717" s="2" t="inlineStr">
        <is>
          <t>STRK_USDT_PERP</t>
        </is>
      </c>
      <c r="C717" s="2" t="inlineStr">
        <is>
          <t>做空</t>
        </is>
      </c>
      <c r="D717" s="7" t="n">
        <v>46305.54166666666</v>
      </c>
      <c r="E717" s="20" t="n">
        <v>0.07140000000000001</v>
      </c>
      <c r="F717" s="20" t="n">
        <v>0.069258</v>
      </c>
      <c r="G717" s="20" t="n">
        <v>0.07497000000000001</v>
      </c>
      <c r="H717" s="7" t="n">
        <v>46305.70833333334</v>
      </c>
      <c r="I717" s="20" t="n">
        <v>0.069258</v>
      </c>
      <c r="J717" s="2" t="inlineStr">
        <is>
          <t>止盈</t>
        </is>
      </c>
      <c r="K717" s="5">
        <f>(H717-D717)*24</f>
        <v/>
      </c>
      <c r="L717" s="4">
        <f>IF(C717="做多",I717/E717-1,1-I717/E717)-2*參數!$B$7</f>
        <v/>
      </c>
      <c r="M717" s="2" t="inlineStr"/>
      <c r="N717" s="4" t="n">
        <v>-0.03382949932340984</v>
      </c>
      <c r="O717" s="4" t="n">
        <v>0.0409575717803955</v>
      </c>
      <c r="P717" s="4" t="n">
        <v>-0.01808430172591624</v>
      </c>
      <c r="Q717" s="22" t="n">
        <v>-6713702.399999991</v>
      </c>
      <c r="R717" s="22" t="n">
        <v>2132435.31842</v>
      </c>
      <c r="S717" s="4" t="n">
        <v>0.03</v>
      </c>
      <c r="T717" s="4" t="n">
        <v>0.01400560224089631</v>
      </c>
      <c r="U717" s="19" t="n">
        <v>0.4205930269347997</v>
      </c>
      <c r="V717" s="19" t="n">
        <v>0.6666666666666667</v>
      </c>
      <c r="W717" s="4" t="n">
        <v>-0.2415016257759386</v>
      </c>
      <c r="X717" s="4" t="n">
        <v>-0.04233576642335768</v>
      </c>
      <c r="Y717" s="4" t="n">
        <v>-0.001065891472868286</v>
      </c>
      <c r="Z717" s="4" t="n">
        <v>2.177863709296179e-05</v>
      </c>
      <c r="AA717" s="4" t="n">
        <v>0.03</v>
      </c>
      <c r="AB717" s="4" t="n">
        <v>0.05</v>
      </c>
      <c r="AC717" s="4">
        <f>(AB717+2*參數!$B$7)/(AA717+AB717)</f>
        <v/>
      </c>
    </row>
    <row r="718">
      <c r="A718" s="2" t="n">
        <v>717</v>
      </c>
      <c r="B718" s="2" t="inlineStr">
        <is>
          <t>ATOM_USDT_PERP</t>
        </is>
      </c>
      <c r="C718" s="2" t="inlineStr">
        <is>
          <t>做空</t>
        </is>
      </c>
      <c r="D718" s="7" t="n">
        <v>46305.625</v>
      </c>
      <c r="E718" s="20" t="n">
        <v>1.939</v>
      </c>
      <c r="F718" s="20" t="n">
        <v>1.88083</v>
      </c>
      <c r="G718" s="20" t="n">
        <v>2.03595</v>
      </c>
      <c r="H718" s="7" t="n">
        <v>46306.16666666666</v>
      </c>
      <c r="I718" s="20" t="n">
        <v>1.992</v>
      </c>
      <c r="J718" s="2" t="inlineStr">
        <is>
          <t>未平倉</t>
        </is>
      </c>
      <c r="K718" s="5">
        <f>(H718-D718)*24</f>
        <v/>
      </c>
      <c r="L718" s="4">
        <f>IF(C718="做多",I718/E718-1,1-I718/E718)-2*參數!$B$7</f>
        <v/>
      </c>
      <c r="M718" s="2" t="inlineStr">
        <is>
          <t>持倉中（以最新收盤估值）</t>
        </is>
      </c>
      <c r="N718" s="4" t="n">
        <v>-0.0457677165354331</v>
      </c>
      <c r="O718" s="4" t="n">
        <v>0.02638210769218487</v>
      </c>
      <c r="P718" s="4" t="n">
        <v>-0.03216950759939097</v>
      </c>
      <c r="Q718" s="22" t="n">
        <v>-23123.45999999996</v>
      </c>
      <c r="R718" s="22" t="n">
        <v>1203210.22548</v>
      </c>
      <c r="S718" s="4" t="n">
        <v>0.01083032490974734</v>
      </c>
      <c r="T718" s="4" t="n">
        <v>0.03145951521402779</v>
      </c>
      <c r="U718" s="19" t="n">
        <v>1.49449321626606</v>
      </c>
      <c r="V718" s="19" t="n">
        <v>0.8558558558558554</v>
      </c>
      <c r="W718" s="4" t="n">
        <v>-0.06922678195273124</v>
      </c>
      <c r="X718" s="4" t="n">
        <v>-0.03358208955223896</v>
      </c>
      <c r="Y718" s="4" t="n">
        <v>0.00121014200448788</v>
      </c>
      <c r="Z718" s="4" t="n">
        <v>-0.0003862434432062578</v>
      </c>
      <c r="AA718" s="4" t="n">
        <v>0.03</v>
      </c>
      <c r="AB718" s="4" t="n">
        <v>0.05</v>
      </c>
      <c r="AC718" s="4">
        <f>(AB718+2*參數!$B$7)/(AA718+AB718)</f>
        <v/>
      </c>
    </row>
    <row r="719">
      <c r="A719" s="2" t="n">
        <v>718</v>
      </c>
      <c r="B719" s="2" t="inlineStr">
        <is>
          <t>KAIA_USDT_PERP</t>
        </is>
      </c>
      <c r="C719" s="2" t="inlineStr">
        <is>
          <t>做空</t>
        </is>
      </c>
      <c r="D719" s="7" t="n">
        <v>46305.66666666666</v>
      </c>
      <c r="E719" s="20" t="n">
        <v>0.05571</v>
      </c>
      <c r="F719" s="20" t="n">
        <v>0.0540387</v>
      </c>
      <c r="G719" s="20" t="n">
        <v>0.05849550000000001</v>
      </c>
      <c r="H719" s="7" t="n">
        <v>46305.70833333334</v>
      </c>
      <c r="I719" s="20" t="n">
        <v>0.05849550000000001</v>
      </c>
      <c r="J719" s="2" t="inlineStr">
        <is>
          <t>止損</t>
        </is>
      </c>
      <c r="K719" s="5">
        <f>(H719-D719)*24</f>
        <v/>
      </c>
      <c r="L719" s="4">
        <f>IF(C719="做多",I719/E719-1,1-I719/E719)-2*參數!$B$7</f>
        <v/>
      </c>
      <c r="M719" s="2" t="inlineStr"/>
      <c r="N719" s="4" t="n">
        <v>-0.03163566834694931</v>
      </c>
      <c r="O719" s="4" t="n">
        <v>0.05205642906029583</v>
      </c>
      <c r="P719" s="4" t="n">
        <v>-0.0009056590238607498</v>
      </c>
      <c r="Q719" s="22" t="n">
        <v>-4417118</v>
      </c>
      <c r="R719" s="22" t="n">
        <v>4233073.94491</v>
      </c>
      <c r="S719" s="4" t="n">
        <v>0</v>
      </c>
      <c r="T719" s="4" t="n">
        <v>0.05</v>
      </c>
      <c r="U719" s="19" t="n">
        <v>1.332463652494336</v>
      </c>
      <c r="V719" s="19" t="n">
        <v>0.6784810126582274</v>
      </c>
      <c r="W719" s="4" t="n">
        <v>-0.3102716738126765</v>
      </c>
      <c r="X719" s="4" t="n">
        <v>-0.4710852917876949</v>
      </c>
      <c r="Y719" s="4" t="n">
        <v>-0.0007243047158402849</v>
      </c>
      <c r="Z719" s="4" t="n">
        <v>-0.001381014502074063</v>
      </c>
      <c r="AA719" s="4" t="n">
        <v>0.03</v>
      </c>
      <c r="AB719" s="4" t="n">
        <v>0.05</v>
      </c>
      <c r="AC719" s="4">
        <f>(AB719+2*參數!$B$7)/(AA719+AB719)</f>
        <v/>
      </c>
    </row>
    <row r="720">
      <c r="A720" s="2" t="n">
        <v>719</v>
      </c>
      <c r="B720" s="2" t="inlineStr">
        <is>
          <t>OGN_USDT_PERP</t>
        </is>
      </c>
      <c r="C720" s="2" t="inlineStr">
        <is>
          <t>做空</t>
        </is>
      </c>
      <c r="D720" s="7" t="n">
        <v>46305.70833333334</v>
      </c>
      <c r="E720" s="20" t="n">
        <v>0.03567</v>
      </c>
      <c r="F720" s="20" t="n">
        <v>0.0345999</v>
      </c>
      <c r="G720" s="20" t="n">
        <v>0.0374535</v>
      </c>
      <c r="H720" s="7" t="n">
        <v>46305.79166666666</v>
      </c>
      <c r="I720" s="20" t="n">
        <v>0.0345999</v>
      </c>
      <c r="J720" s="2" t="inlineStr">
        <is>
          <t>止盈</t>
        </is>
      </c>
      <c r="K720" s="5">
        <f>(H720-D720)*24</f>
        <v/>
      </c>
      <c r="L720" s="4">
        <f>IF(C720="做多",I720/E720-1,1-I720/E720)-2*參數!$B$7</f>
        <v/>
      </c>
      <c r="M720" s="2" t="inlineStr"/>
      <c r="N720" s="4" t="n">
        <v>-0.02780049059689294</v>
      </c>
      <c r="O720" s="4" t="n">
        <v>0.07925544685652601</v>
      </c>
      <c r="P720" s="4" t="n">
        <v>-0.05528702906707272</v>
      </c>
      <c r="Q720" s="22" t="n">
        <v>-6096333</v>
      </c>
      <c r="R720" s="22" t="n">
        <v>4713909.09914</v>
      </c>
      <c r="S720" s="4" t="n">
        <v>0.03</v>
      </c>
      <c r="T720" s="4" t="n">
        <v>0.01121390524250065</v>
      </c>
      <c r="U720" s="19" t="n">
        <v>3.827356104343306</v>
      </c>
      <c r="V720" s="19" t="n">
        <v>0.8099547511312216</v>
      </c>
      <c r="W720" s="4" t="n">
        <v>-0.1619233137127798</v>
      </c>
      <c r="X720" s="4" t="n">
        <v>0.08279763435330423</v>
      </c>
      <c r="Y720" s="4" t="n">
        <v>-0.0005316584481132036</v>
      </c>
      <c r="Z720" s="4" t="n">
        <v>-0.002024769176071972</v>
      </c>
      <c r="AA720" s="4" t="n">
        <v>0.03</v>
      </c>
      <c r="AB720" s="4" t="n">
        <v>0.05</v>
      </c>
      <c r="AC720" s="4">
        <f>(AB720+2*參數!$B$7)/(AA720+AB720)</f>
        <v/>
      </c>
    </row>
    <row r="721">
      <c r="A721" s="2" t="n">
        <v>720</v>
      </c>
      <c r="B721" s="2" t="inlineStr">
        <is>
          <t>BTW_USDT_PERP</t>
        </is>
      </c>
      <c r="C721" s="2" t="inlineStr">
        <is>
          <t>做空</t>
        </is>
      </c>
      <c r="D721" s="7" t="n">
        <v>46305.83333333334</v>
      </c>
      <c r="E721" s="20" t="n">
        <v>1.5598</v>
      </c>
      <c r="F721" s="20" t="n">
        <v>1.513006</v>
      </c>
      <c r="G721" s="20" t="n">
        <v>1.63779</v>
      </c>
      <c r="H721" s="7" t="n">
        <v>46306.08333333334</v>
      </c>
      <c r="I721" s="20" t="n">
        <v>1.63779</v>
      </c>
      <c r="J721" s="2" t="inlineStr">
        <is>
          <t>止損</t>
        </is>
      </c>
      <c r="K721" s="5">
        <f>(H721-D721)*24</f>
        <v/>
      </c>
      <c r="L721" s="4">
        <f>IF(C721="做多",I721/E721-1,1-I721/E721)-2*參數!$B$7</f>
        <v/>
      </c>
      <c r="M721" s="2" t="inlineStr"/>
      <c r="N721" s="4" t="n">
        <v>-0.02071823204419887</v>
      </c>
      <c r="O721" s="4" t="n">
        <v>0.021935402333245</v>
      </c>
      <c r="P721" s="4" t="n">
        <v>-0.01405293773413707</v>
      </c>
      <c r="Q721" s="22" t="n">
        <v>-129832</v>
      </c>
      <c r="R721" s="22" t="n">
        <v>1350406.534441</v>
      </c>
      <c r="S721" s="4" t="n">
        <v>0.0003846647006027215</v>
      </c>
      <c r="T721" s="4" t="n">
        <v>0.05</v>
      </c>
      <c r="U721" s="19" t="n">
        <v>2.04083335131209</v>
      </c>
      <c r="V721" s="19" t="n">
        <v>0.8971001824262662</v>
      </c>
      <c r="W721" s="4" t="n">
        <v>-0.1343153594502693</v>
      </c>
      <c r="X721" s="4" t="n">
        <v>-0.03274417434427246</v>
      </c>
      <c r="Y721" s="4" t="n">
        <v>-0.0001714509945969223</v>
      </c>
      <c r="Z721" s="4" t="n">
        <v>-0.00239360654568288</v>
      </c>
      <c r="AA721" s="4" t="n">
        <v>0.03</v>
      </c>
      <c r="AB721" s="4" t="n">
        <v>0.05</v>
      </c>
      <c r="AC721" s="4">
        <f>(AB721+2*參數!$B$7)/(AA721+AB721)</f>
        <v/>
      </c>
    </row>
  </sheetData>
  <autoFilter ref="A1:AC721"/>
  <conditionalFormatting sqref="J2:J7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COUNTIFS(交易明細!$B$2:$B$721,$A2)</f>
        <v/>
      </c>
      <c r="C2" s="2">
        <f>COUNTIFS(交易明細!$B$2:$B$721,$A2,交易明細!$C$2:$C$721,"做多")</f>
        <v/>
      </c>
      <c r="D2" s="2">
        <f>COUNTIFS(交易明細!$B$2:$B$721,$A2,交易明細!$C$2:$C$721,"做空")</f>
        <v/>
      </c>
      <c r="E2" s="2">
        <f>F2+G2+COUNTIFS(交易明細!$B$2:$B$721,$A2,交易明細!$J$2:$J$721,"時間出場")</f>
        <v/>
      </c>
      <c r="F2" s="2">
        <f>COUNTIFS(交易明細!$B$2:$B$721,$A2,交易明細!$J$2:$J$721,"止盈")</f>
        <v/>
      </c>
      <c r="G2" s="2">
        <f>COUNTIFS(交易明細!$B$2:$B$721,$A2,交易明細!$J$2:$J$721,"止損")</f>
        <v/>
      </c>
      <c r="H2" s="4">
        <f>IFERROR(F2/E2,0)</f>
        <v/>
      </c>
      <c r="I2" s="4">
        <f>IFERROR(AVERAGEIFS(交易明細!$L$2:$L$721,交易明細!$B$2:$B$721,$A2,交易明細!$J$2:$J$721,"&lt;&gt;未平倉"),0)</f>
        <v/>
      </c>
      <c r="J2" s="4">
        <f>SUMIFS(交易明細!$L$2:$L$721,交易明細!$B$2:$B$721,$A2,交易明細!$J$2:$J$721,"&lt;&gt;未平倉")</f>
        <v/>
      </c>
      <c r="K2" s="5">
        <f>IFERROR(AVERAGEIFS(交易明細!$K$2:$K$721,交易明細!$B$2:$B$721,$A2,交易明細!$J$2:$J$721,"&lt;&gt;未平倉"),0)</f>
        <v/>
      </c>
      <c r="L2" s="2">
        <f>COUNTIFS(交易明細!$B$2:$B$721,$A2,交易明細!$J$2:$J$721,"未平倉")</f>
        <v/>
      </c>
    </row>
    <row r="3">
      <c r="A3" s="2" t="inlineStr">
        <is>
          <t>USELESS_USDT_PERP</t>
        </is>
      </c>
      <c r="B3" s="2">
        <f>COUNTIFS(交易明細!$B$2:$B$721,$A3)</f>
        <v/>
      </c>
      <c r="C3" s="2">
        <f>COUNTIFS(交易明細!$B$2:$B$721,$A3,交易明細!$C$2:$C$721,"做多")</f>
        <v/>
      </c>
      <c r="D3" s="2">
        <f>COUNTIFS(交易明細!$B$2:$B$721,$A3,交易明細!$C$2:$C$721,"做空")</f>
        <v/>
      </c>
      <c r="E3" s="2">
        <f>F3+G3+COUNTIFS(交易明細!$B$2:$B$721,$A3,交易明細!$J$2:$J$721,"時間出場")</f>
        <v/>
      </c>
      <c r="F3" s="2">
        <f>COUNTIFS(交易明細!$B$2:$B$721,$A3,交易明細!$J$2:$J$721,"止盈")</f>
        <v/>
      </c>
      <c r="G3" s="2">
        <f>COUNTIFS(交易明細!$B$2:$B$721,$A3,交易明細!$J$2:$J$721,"止損")</f>
        <v/>
      </c>
      <c r="H3" s="4">
        <f>IFERROR(F3/E3,0)</f>
        <v/>
      </c>
      <c r="I3" s="4">
        <f>IFERROR(AVERAGEIFS(交易明細!$L$2:$L$721,交易明細!$B$2:$B$721,$A3,交易明細!$J$2:$J$721,"&lt;&gt;未平倉"),0)</f>
        <v/>
      </c>
      <c r="J3" s="4">
        <f>SUMIFS(交易明細!$L$2:$L$721,交易明細!$B$2:$B$721,$A3,交易明細!$J$2:$J$721,"&lt;&gt;未平倉")</f>
        <v/>
      </c>
      <c r="K3" s="5">
        <f>IFERROR(AVERAGEIFS(交易明細!$K$2:$K$721,交易明細!$B$2:$B$721,$A3,交易明細!$J$2:$J$721,"&lt;&gt;未平倉"),0)</f>
        <v/>
      </c>
      <c r="L3" s="2">
        <f>COUNTIFS(交易明細!$B$2:$B$721,$A3,交易明細!$J$2:$J$721,"未平倉")</f>
        <v/>
      </c>
    </row>
    <row r="4">
      <c r="A4" s="2" t="inlineStr">
        <is>
          <t>PUMP_USDT_PERP</t>
        </is>
      </c>
      <c r="B4" s="2">
        <f>COUNTIFS(交易明細!$B$2:$B$721,$A4)</f>
        <v/>
      </c>
      <c r="C4" s="2">
        <f>COUNTIFS(交易明細!$B$2:$B$721,$A4,交易明細!$C$2:$C$721,"做多")</f>
        <v/>
      </c>
      <c r="D4" s="2">
        <f>COUNTIFS(交易明細!$B$2:$B$721,$A4,交易明細!$C$2:$C$721,"做空")</f>
        <v/>
      </c>
      <c r="E4" s="2">
        <f>F4+G4+COUNTIFS(交易明細!$B$2:$B$721,$A4,交易明細!$J$2:$J$721,"時間出場")</f>
        <v/>
      </c>
      <c r="F4" s="2">
        <f>COUNTIFS(交易明細!$B$2:$B$721,$A4,交易明細!$J$2:$J$721,"止盈")</f>
        <v/>
      </c>
      <c r="G4" s="2">
        <f>COUNTIFS(交易明細!$B$2:$B$721,$A4,交易明細!$J$2:$J$721,"止損")</f>
        <v/>
      </c>
      <c r="H4" s="4">
        <f>IFERROR(F4/E4,0)</f>
        <v/>
      </c>
      <c r="I4" s="4">
        <f>IFERROR(AVERAGEIFS(交易明細!$L$2:$L$721,交易明細!$B$2:$B$721,$A4,交易明細!$J$2:$J$721,"&lt;&gt;未平倉"),0)</f>
        <v/>
      </c>
      <c r="J4" s="4">
        <f>SUMIFS(交易明細!$L$2:$L$721,交易明細!$B$2:$B$721,$A4,交易明細!$J$2:$J$721,"&lt;&gt;未平倉")</f>
        <v/>
      </c>
      <c r="K4" s="5">
        <f>IFERROR(AVERAGEIFS(交易明細!$K$2:$K$721,交易明細!$B$2:$B$721,$A4,交易明細!$J$2:$J$721,"&lt;&gt;未平倉"),0)</f>
        <v/>
      </c>
      <c r="L4" s="2">
        <f>COUNTIFS(交易明細!$B$2:$B$721,$A4,交易明細!$J$2:$J$721,"未平倉")</f>
        <v/>
      </c>
    </row>
    <row r="5">
      <c r="A5" s="2" t="inlineStr">
        <is>
          <t>NEAR_USDT_PERP</t>
        </is>
      </c>
      <c r="B5" s="2">
        <f>COUNTIFS(交易明細!$B$2:$B$721,$A5)</f>
        <v/>
      </c>
      <c r="C5" s="2">
        <f>COUNTIFS(交易明細!$B$2:$B$721,$A5,交易明細!$C$2:$C$721,"做多")</f>
        <v/>
      </c>
      <c r="D5" s="2">
        <f>COUNTIFS(交易明細!$B$2:$B$721,$A5,交易明細!$C$2:$C$721,"做空")</f>
        <v/>
      </c>
      <c r="E5" s="2">
        <f>F5+G5+COUNTIFS(交易明細!$B$2:$B$721,$A5,交易明細!$J$2:$J$721,"時間出場")</f>
        <v/>
      </c>
      <c r="F5" s="2">
        <f>COUNTIFS(交易明細!$B$2:$B$721,$A5,交易明細!$J$2:$J$721,"止盈")</f>
        <v/>
      </c>
      <c r="G5" s="2">
        <f>COUNTIFS(交易明細!$B$2:$B$721,$A5,交易明細!$J$2:$J$721,"止損")</f>
        <v/>
      </c>
      <c r="H5" s="4">
        <f>IFERROR(F5/E5,0)</f>
        <v/>
      </c>
      <c r="I5" s="4">
        <f>IFERROR(AVERAGEIFS(交易明細!$L$2:$L$721,交易明細!$B$2:$B$721,$A5,交易明細!$J$2:$J$721,"&lt;&gt;未平倉"),0)</f>
        <v/>
      </c>
      <c r="J5" s="4">
        <f>SUMIFS(交易明細!$L$2:$L$721,交易明細!$B$2:$B$721,$A5,交易明細!$J$2:$J$721,"&lt;&gt;未平倉")</f>
        <v/>
      </c>
      <c r="K5" s="5">
        <f>IFERROR(AVERAGEIFS(交易明細!$K$2:$K$721,交易明細!$B$2:$B$721,$A5,交易明細!$J$2:$J$721,"&lt;&gt;未平倉"),0)</f>
        <v/>
      </c>
      <c r="L5" s="2">
        <f>COUNTIFS(交易明細!$B$2:$B$721,$A5,交易明細!$J$2:$J$721,"未平倉")</f>
        <v/>
      </c>
    </row>
    <row r="6">
      <c r="A6" s="2" t="inlineStr">
        <is>
          <t>MARSCOIN_USDT_PERP</t>
        </is>
      </c>
      <c r="B6" s="2">
        <f>COUNTIFS(交易明細!$B$2:$B$721,$A6)</f>
        <v/>
      </c>
      <c r="C6" s="2">
        <f>COUNTIFS(交易明細!$B$2:$B$721,$A6,交易明細!$C$2:$C$721,"做多")</f>
        <v/>
      </c>
      <c r="D6" s="2">
        <f>COUNTIFS(交易明細!$B$2:$B$721,$A6,交易明細!$C$2:$C$721,"做空")</f>
        <v/>
      </c>
      <c r="E6" s="2">
        <f>F6+G6+COUNTIFS(交易明細!$B$2:$B$721,$A6,交易明細!$J$2:$J$721,"時間出場")</f>
        <v/>
      </c>
      <c r="F6" s="2">
        <f>COUNTIFS(交易明細!$B$2:$B$721,$A6,交易明細!$J$2:$J$721,"止盈")</f>
        <v/>
      </c>
      <c r="G6" s="2">
        <f>COUNTIFS(交易明細!$B$2:$B$721,$A6,交易明細!$J$2:$J$721,"止損")</f>
        <v/>
      </c>
      <c r="H6" s="4">
        <f>IFERROR(F6/E6,0)</f>
        <v/>
      </c>
      <c r="I6" s="4">
        <f>IFERROR(AVERAGEIFS(交易明細!$L$2:$L$721,交易明細!$B$2:$B$721,$A6,交易明細!$J$2:$J$721,"&lt;&gt;未平倉"),0)</f>
        <v/>
      </c>
      <c r="J6" s="4">
        <f>SUMIFS(交易明細!$L$2:$L$721,交易明細!$B$2:$B$721,$A6,交易明細!$J$2:$J$721,"&lt;&gt;未平倉")</f>
        <v/>
      </c>
      <c r="K6" s="5">
        <f>IFERROR(AVERAGEIFS(交易明細!$K$2:$K$721,交易明細!$B$2:$B$721,$A6,交易明細!$J$2:$J$721,"&lt;&gt;未平倉"),0)</f>
        <v/>
      </c>
      <c r="L6" s="2">
        <f>COUNTIFS(交易明細!$B$2:$B$721,$A6,交易明細!$J$2:$J$721,"未平倉")</f>
        <v/>
      </c>
    </row>
    <row r="7">
      <c r="A7" s="2" t="inlineStr">
        <is>
          <t>AKE_USDT_PERP</t>
        </is>
      </c>
      <c r="B7" s="2">
        <f>COUNTIFS(交易明細!$B$2:$B$721,$A7)</f>
        <v/>
      </c>
      <c r="C7" s="2">
        <f>COUNTIFS(交易明細!$B$2:$B$721,$A7,交易明細!$C$2:$C$721,"做多")</f>
        <v/>
      </c>
      <c r="D7" s="2">
        <f>COUNTIFS(交易明細!$B$2:$B$721,$A7,交易明細!$C$2:$C$721,"做空")</f>
        <v/>
      </c>
      <c r="E7" s="2">
        <f>F7+G7+COUNTIFS(交易明細!$B$2:$B$721,$A7,交易明細!$J$2:$J$721,"時間出場")</f>
        <v/>
      </c>
      <c r="F7" s="2">
        <f>COUNTIFS(交易明細!$B$2:$B$721,$A7,交易明細!$J$2:$J$721,"止盈")</f>
        <v/>
      </c>
      <c r="G7" s="2">
        <f>COUNTIFS(交易明細!$B$2:$B$721,$A7,交易明細!$J$2:$J$721,"止損")</f>
        <v/>
      </c>
      <c r="H7" s="4">
        <f>IFERROR(F7/E7,0)</f>
        <v/>
      </c>
      <c r="I7" s="4">
        <f>IFERROR(AVERAGEIFS(交易明細!$L$2:$L$721,交易明細!$B$2:$B$721,$A7,交易明細!$J$2:$J$721,"&lt;&gt;未平倉"),0)</f>
        <v/>
      </c>
      <c r="J7" s="4">
        <f>SUMIFS(交易明細!$L$2:$L$721,交易明細!$B$2:$B$721,$A7,交易明細!$J$2:$J$721,"&lt;&gt;未平倉")</f>
        <v/>
      </c>
      <c r="K7" s="5">
        <f>IFERROR(AVERAGEIFS(交易明細!$K$2:$K$721,交易明細!$B$2:$B$721,$A7,交易明細!$J$2:$J$721,"&lt;&gt;未平倉"),0)</f>
        <v/>
      </c>
      <c r="L7" s="2">
        <f>COUNTIFS(交易明細!$B$2:$B$721,$A7,交易明細!$J$2:$J$721,"未平倉")</f>
        <v/>
      </c>
    </row>
    <row r="8">
      <c r="A8" s="2" t="inlineStr">
        <is>
          <t>BR_USDT_PERP</t>
        </is>
      </c>
      <c r="B8" s="2">
        <f>COUNTIFS(交易明細!$B$2:$B$721,$A8)</f>
        <v/>
      </c>
      <c r="C8" s="2">
        <f>COUNTIFS(交易明細!$B$2:$B$721,$A8,交易明細!$C$2:$C$721,"做多")</f>
        <v/>
      </c>
      <c r="D8" s="2">
        <f>COUNTIFS(交易明細!$B$2:$B$721,$A8,交易明細!$C$2:$C$721,"做空")</f>
        <v/>
      </c>
      <c r="E8" s="2">
        <f>F8+G8+COUNTIFS(交易明細!$B$2:$B$721,$A8,交易明細!$J$2:$J$721,"時間出場")</f>
        <v/>
      </c>
      <c r="F8" s="2">
        <f>COUNTIFS(交易明細!$B$2:$B$721,$A8,交易明細!$J$2:$J$721,"止盈")</f>
        <v/>
      </c>
      <c r="G8" s="2">
        <f>COUNTIFS(交易明細!$B$2:$B$721,$A8,交易明細!$J$2:$J$721,"止損")</f>
        <v/>
      </c>
      <c r="H8" s="4">
        <f>IFERROR(F8/E8,0)</f>
        <v/>
      </c>
      <c r="I8" s="4">
        <f>IFERROR(AVERAGEIFS(交易明細!$L$2:$L$721,交易明細!$B$2:$B$721,$A8,交易明細!$J$2:$J$721,"&lt;&gt;未平倉"),0)</f>
        <v/>
      </c>
      <c r="J8" s="4">
        <f>SUMIFS(交易明細!$L$2:$L$721,交易明細!$B$2:$B$721,$A8,交易明細!$J$2:$J$721,"&lt;&gt;未平倉")</f>
        <v/>
      </c>
      <c r="K8" s="5">
        <f>IFERROR(AVERAGEIFS(交易明細!$K$2:$K$721,交易明細!$B$2:$B$721,$A8,交易明細!$J$2:$J$721,"&lt;&gt;未平倉"),0)</f>
        <v/>
      </c>
      <c r="L8" s="2">
        <f>COUNTIFS(交易明細!$B$2:$B$721,$A8,交易明細!$J$2:$J$721,"未平倉")</f>
        <v/>
      </c>
    </row>
    <row r="9">
      <c r="A9" s="2" t="inlineStr">
        <is>
          <t>LIT_USDT_PERP</t>
        </is>
      </c>
      <c r="B9" s="2">
        <f>COUNTIFS(交易明細!$B$2:$B$721,$A9)</f>
        <v/>
      </c>
      <c r="C9" s="2">
        <f>COUNTIFS(交易明細!$B$2:$B$721,$A9,交易明細!$C$2:$C$721,"做多")</f>
        <v/>
      </c>
      <c r="D9" s="2">
        <f>COUNTIFS(交易明細!$B$2:$B$721,$A9,交易明細!$C$2:$C$721,"做空")</f>
        <v/>
      </c>
      <c r="E9" s="2">
        <f>F9+G9+COUNTIFS(交易明細!$B$2:$B$721,$A9,交易明細!$J$2:$J$721,"時間出場")</f>
        <v/>
      </c>
      <c r="F9" s="2">
        <f>COUNTIFS(交易明細!$B$2:$B$721,$A9,交易明細!$J$2:$J$721,"止盈")</f>
        <v/>
      </c>
      <c r="G9" s="2">
        <f>COUNTIFS(交易明細!$B$2:$B$721,$A9,交易明細!$J$2:$J$721,"止損")</f>
        <v/>
      </c>
      <c r="H9" s="4">
        <f>IFERROR(F9/E9,0)</f>
        <v/>
      </c>
      <c r="I9" s="4">
        <f>IFERROR(AVERAGEIFS(交易明細!$L$2:$L$721,交易明細!$B$2:$B$721,$A9,交易明細!$J$2:$J$721,"&lt;&gt;未平倉"),0)</f>
        <v/>
      </c>
      <c r="J9" s="4">
        <f>SUMIFS(交易明細!$L$2:$L$721,交易明細!$B$2:$B$721,$A9,交易明細!$J$2:$J$721,"&lt;&gt;未平倉")</f>
        <v/>
      </c>
      <c r="K9" s="5">
        <f>IFERROR(AVERAGEIFS(交易明細!$K$2:$K$721,交易明細!$B$2:$B$721,$A9,交易明細!$J$2:$J$721,"&lt;&gt;未平倉"),0)</f>
        <v/>
      </c>
      <c r="L9" s="2">
        <f>COUNTIFS(交易明細!$B$2:$B$721,$A9,交易明細!$J$2:$J$721,"未平倉")</f>
        <v/>
      </c>
    </row>
    <row r="10">
      <c r="A10" s="2" t="inlineStr">
        <is>
          <t>ENA_USDT_PERP</t>
        </is>
      </c>
      <c r="B10" s="2">
        <f>COUNTIFS(交易明細!$B$2:$B$721,$A10)</f>
        <v/>
      </c>
      <c r="C10" s="2">
        <f>COUNTIFS(交易明細!$B$2:$B$721,$A10,交易明細!$C$2:$C$721,"做多")</f>
        <v/>
      </c>
      <c r="D10" s="2">
        <f>COUNTIFS(交易明細!$B$2:$B$721,$A10,交易明細!$C$2:$C$721,"做空")</f>
        <v/>
      </c>
      <c r="E10" s="2">
        <f>F10+G10+COUNTIFS(交易明細!$B$2:$B$721,$A10,交易明細!$J$2:$J$721,"時間出場")</f>
        <v/>
      </c>
      <c r="F10" s="2">
        <f>COUNTIFS(交易明細!$B$2:$B$721,$A10,交易明細!$J$2:$J$721,"止盈")</f>
        <v/>
      </c>
      <c r="G10" s="2">
        <f>COUNTIFS(交易明細!$B$2:$B$721,$A10,交易明細!$J$2:$J$721,"止損")</f>
        <v/>
      </c>
      <c r="H10" s="4">
        <f>IFERROR(F10/E10,0)</f>
        <v/>
      </c>
      <c r="I10" s="4">
        <f>IFERROR(AVERAGEIFS(交易明細!$L$2:$L$721,交易明細!$B$2:$B$721,$A10,交易明細!$J$2:$J$721,"&lt;&gt;未平倉"),0)</f>
        <v/>
      </c>
      <c r="J10" s="4">
        <f>SUMIFS(交易明細!$L$2:$L$721,交易明細!$B$2:$B$721,$A10,交易明細!$J$2:$J$721,"&lt;&gt;未平倉")</f>
        <v/>
      </c>
      <c r="K10" s="5">
        <f>IFERROR(AVERAGEIFS(交易明細!$K$2:$K$721,交易明細!$B$2:$B$721,$A10,交易明細!$J$2:$J$721,"&lt;&gt;未平倉"),0)</f>
        <v/>
      </c>
      <c r="L10" s="2">
        <f>COUNTIFS(交易明細!$B$2:$B$721,$A10,交易明細!$J$2:$J$721,"未平倉")</f>
        <v/>
      </c>
    </row>
    <row r="11">
      <c r="A11" s="2" t="inlineStr">
        <is>
          <t>牛来_USDT_PERP</t>
        </is>
      </c>
      <c r="B11" s="2">
        <f>COUNTIFS(交易明細!$B$2:$B$721,$A11)</f>
        <v/>
      </c>
      <c r="C11" s="2">
        <f>COUNTIFS(交易明細!$B$2:$B$721,$A11,交易明細!$C$2:$C$721,"做多")</f>
        <v/>
      </c>
      <c r="D11" s="2">
        <f>COUNTIFS(交易明細!$B$2:$B$721,$A11,交易明細!$C$2:$C$721,"做空")</f>
        <v/>
      </c>
      <c r="E11" s="2">
        <f>F11+G11+COUNTIFS(交易明細!$B$2:$B$721,$A11,交易明細!$J$2:$J$721,"時間出場")</f>
        <v/>
      </c>
      <c r="F11" s="2">
        <f>COUNTIFS(交易明細!$B$2:$B$721,$A11,交易明細!$J$2:$J$721,"止盈")</f>
        <v/>
      </c>
      <c r="G11" s="2">
        <f>COUNTIFS(交易明細!$B$2:$B$721,$A11,交易明細!$J$2:$J$721,"止損")</f>
        <v/>
      </c>
      <c r="H11" s="4">
        <f>IFERROR(F11/E11,0)</f>
        <v/>
      </c>
      <c r="I11" s="4">
        <f>IFERROR(AVERAGEIFS(交易明細!$L$2:$L$721,交易明細!$B$2:$B$721,$A11,交易明細!$J$2:$J$721,"&lt;&gt;未平倉"),0)</f>
        <v/>
      </c>
      <c r="J11" s="4">
        <f>SUMIFS(交易明細!$L$2:$L$721,交易明細!$B$2:$B$721,$A11,交易明細!$J$2:$J$721,"&lt;&gt;未平倉")</f>
        <v/>
      </c>
      <c r="K11" s="5">
        <f>IFERROR(AVERAGEIFS(交易明細!$K$2:$K$721,交易明細!$B$2:$B$721,$A11,交易明細!$J$2:$J$721,"&lt;&gt;未平倉"),0)</f>
        <v/>
      </c>
      <c r="L11" s="2">
        <f>COUNTIFS(交易明細!$B$2:$B$721,$A11,交易明細!$J$2:$J$721,"未平倉")</f>
        <v/>
      </c>
    </row>
    <row r="12">
      <c r="A12" s="2" t="inlineStr">
        <is>
          <t>ARB_USDT_PERP</t>
        </is>
      </c>
      <c r="B12" s="2">
        <f>COUNTIFS(交易明細!$B$2:$B$721,$A12)</f>
        <v/>
      </c>
      <c r="C12" s="2">
        <f>COUNTIFS(交易明細!$B$2:$B$721,$A12,交易明細!$C$2:$C$721,"做多")</f>
        <v/>
      </c>
      <c r="D12" s="2">
        <f>COUNTIFS(交易明細!$B$2:$B$721,$A12,交易明細!$C$2:$C$721,"做空")</f>
        <v/>
      </c>
      <c r="E12" s="2">
        <f>F12+G12+COUNTIFS(交易明細!$B$2:$B$721,$A12,交易明細!$J$2:$J$721,"時間出場")</f>
        <v/>
      </c>
      <c r="F12" s="2">
        <f>COUNTIFS(交易明細!$B$2:$B$721,$A12,交易明細!$J$2:$J$721,"止盈")</f>
        <v/>
      </c>
      <c r="G12" s="2">
        <f>COUNTIFS(交易明細!$B$2:$B$721,$A12,交易明細!$J$2:$J$721,"止損")</f>
        <v/>
      </c>
      <c r="H12" s="4">
        <f>IFERROR(F12/E12,0)</f>
        <v/>
      </c>
      <c r="I12" s="4">
        <f>IFERROR(AVERAGEIFS(交易明細!$L$2:$L$721,交易明細!$B$2:$B$721,$A12,交易明細!$J$2:$J$721,"&lt;&gt;未平倉"),0)</f>
        <v/>
      </c>
      <c r="J12" s="4">
        <f>SUMIFS(交易明細!$L$2:$L$721,交易明細!$B$2:$B$721,$A12,交易明細!$J$2:$J$721,"&lt;&gt;未平倉")</f>
        <v/>
      </c>
      <c r="K12" s="5">
        <f>IFERROR(AVERAGEIFS(交易明細!$K$2:$K$721,交易明細!$B$2:$B$721,$A12,交易明細!$J$2:$J$721,"&lt;&gt;未平倉"),0)</f>
        <v/>
      </c>
      <c r="L12" s="2">
        <f>COUNTIFS(交易明細!$B$2:$B$721,$A12,交易明細!$J$2:$J$721,"未平倉")</f>
        <v/>
      </c>
    </row>
    <row r="13">
      <c r="A13" s="2" t="inlineStr">
        <is>
          <t>QNT_USDT_PERP</t>
        </is>
      </c>
      <c r="B13" s="2">
        <f>COUNTIFS(交易明細!$B$2:$B$721,$A13)</f>
        <v/>
      </c>
      <c r="C13" s="2">
        <f>COUNTIFS(交易明細!$B$2:$B$721,$A13,交易明細!$C$2:$C$721,"做多")</f>
        <v/>
      </c>
      <c r="D13" s="2">
        <f>COUNTIFS(交易明細!$B$2:$B$721,$A13,交易明細!$C$2:$C$721,"做空")</f>
        <v/>
      </c>
      <c r="E13" s="2">
        <f>F13+G13+COUNTIFS(交易明細!$B$2:$B$721,$A13,交易明細!$J$2:$J$721,"時間出場")</f>
        <v/>
      </c>
      <c r="F13" s="2">
        <f>COUNTIFS(交易明細!$B$2:$B$721,$A13,交易明細!$J$2:$J$721,"止盈")</f>
        <v/>
      </c>
      <c r="G13" s="2">
        <f>COUNTIFS(交易明細!$B$2:$B$721,$A13,交易明細!$J$2:$J$721,"止損")</f>
        <v/>
      </c>
      <c r="H13" s="4">
        <f>IFERROR(F13/E13,0)</f>
        <v/>
      </c>
      <c r="I13" s="4">
        <f>IFERROR(AVERAGEIFS(交易明細!$L$2:$L$721,交易明細!$B$2:$B$721,$A13,交易明細!$J$2:$J$721,"&lt;&gt;未平倉"),0)</f>
        <v/>
      </c>
      <c r="J13" s="4">
        <f>SUMIFS(交易明細!$L$2:$L$721,交易明細!$B$2:$B$721,$A13,交易明細!$J$2:$J$721,"&lt;&gt;未平倉")</f>
        <v/>
      </c>
      <c r="K13" s="5">
        <f>IFERROR(AVERAGEIFS(交易明細!$K$2:$K$721,交易明細!$B$2:$B$721,$A13,交易明細!$J$2:$J$721,"&lt;&gt;未平倉"),0)</f>
        <v/>
      </c>
      <c r="L13" s="2">
        <f>COUNTIFS(交易明細!$B$2:$B$721,$A13,交易明細!$J$2:$J$721,"未平倉")</f>
        <v/>
      </c>
    </row>
    <row r="14">
      <c r="A14" s="2" t="inlineStr">
        <is>
          <t>UNI_USDT_PERP</t>
        </is>
      </c>
      <c r="B14" s="2">
        <f>COUNTIFS(交易明細!$B$2:$B$721,$A14)</f>
        <v/>
      </c>
      <c r="C14" s="2">
        <f>COUNTIFS(交易明細!$B$2:$B$721,$A14,交易明細!$C$2:$C$721,"做多")</f>
        <v/>
      </c>
      <c r="D14" s="2">
        <f>COUNTIFS(交易明細!$B$2:$B$721,$A14,交易明細!$C$2:$C$721,"做空")</f>
        <v/>
      </c>
      <c r="E14" s="2">
        <f>F14+G14+COUNTIFS(交易明細!$B$2:$B$721,$A14,交易明細!$J$2:$J$721,"時間出場")</f>
        <v/>
      </c>
      <c r="F14" s="2">
        <f>COUNTIFS(交易明細!$B$2:$B$721,$A14,交易明細!$J$2:$J$721,"止盈")</f>
        <v/>
      </c>
      <c r="G14" s="2">
        <f>COUNTIFS(交易明細!$B$2:$B$721,$A14,交易明細!$J$2:$J$721,"止損")</f>
        <v/>
      </c>
      <c r="H14" s="4">
        <f>IFERROR(F14/E14,0)</f>
        <v/>
      </c>
      <c r="I14" s="4">
        <f>IFERROR(AVERAGEIFS(交易明細!$L$2:$L$721,交易明細!$B$2:$B$721,$A14,交易明細!$J$2:$J$721,"&lt;&gt;未平倉"),0)</f>
        <v/>
      </c>
      <c r="J14" s="4">
        <f>SUMIFS(交易明細!$L$2:$L$721,交易明細!$B$2:$B$721,$A14,交易明細!$J$2:$J$721,"&lt;&gt;未平倉")</f>
        <v/>
      </c>
      <c r="K14" s="5">
        <f>IFERROR(AVERAGEIFS(交易明細!$K$2:$K$721,交易明細!$B$2:$B$721,$A14,交易明細!$J$2:$J$721,"&lt;&gt;未平倉"),0)</f>
        <v/>
      </c>
      <c r="L14" s="2">
        <f>COUNTIFS(交易明細!$B$2:$B$721,$A14,交易明細!$J$2:$J$721,"未平倉")</f>
        <v/>
      </c>
    </row>
    <row r="15">
      <c r="A15" s="2" t="inlineStr">
        <is>
          <t>VVV_USDT_PERP</t>
        </is>
      </c>
      <c r="B15" s="2">
        <f>COUNTIFS(交易明細!$B$2:$B$721,$A15)</f>
        <v/>
      </c>
      <c r="C15" s="2">
        <f>COUNTIFS(交易明細!$B$2:$B$721,$A15,交易明細!$C$2:$C$721,"做多")</f>
        <v/>
      </c>
      <c r="D15" s="2">
        <f>COUNTIFS(交易明細!$B$2:$B$721,$A15,交易明細!$C$2:$C$721,"做空")</f>
        <v/>
      </c>
      <c r="E15" s="2">
        <f>F15+G15+COUNTIFS(交易明細!$B$2:$B$721,$A15,交易明細!$J$2:$J$721,"時間出場")</f>
        <v/>
      </c>
      <c r="F15" s="2">
        <f>COUNTIFS(交易明細!$B$2:$B$721,$A15,交易明細!$J$2:$J$721,"止盈")</f>
        <v/>
      </c>
      <c r="G15" s="2">
        <f>COUNTIFS(交易明細!$B$2:$B$721,$A15,交易明細!$J$2:$J$721,"止損")</f>
        <v/>
      </c>
      <c r="H15" s="4">
        <f>IFERROR(F15/E15,0)</f>
        <v/>
      </c>
      <c r="I15" s="4">
        <f>IFERROR(AVERAGEIFS(交易明細!$L$2:$L$721,交易明細!$B$2:$B$721,$A15,交易明細!$J$2:$J$721,"&lt;&gt;未平倉"),0)</f>
        <v/>
      </c>
      <c r="J15" s="4">
        <f>SUMIFS(交易明細!$L$2:$L$721,交易明細!$B$2:$B$721,$A15,交易明細!$J$2:$J$721,"&lt;&gt;未平倉")</f>
        <v/>
      </c>
      <c r="K15" s="5">
        <f>IFERROR(AVERAGEIFS(交易明細!$K$2:$K$721,交易明細!$B$2:$B$721,$A15,交易明細!$J$2:$J$721,"&lt;&gt;未平倉"),0)</f>
        <v/>
      </c>
      <c r="L15" s="2">
        <f>COUNTIFS(交易明細!$B$2:$B$721,$A15,交易明細!$J$2:$J$721,"未平倉")</f>
        <v/>
      </c>
    </row>
    <row r="16">
      <c r="A16" s="2" t="inlineStr">
        <is>
          <t>LSK_USDT_PERP</t>
        </is>
      </c>
      <c r="B16" s="2">
        <f>COUNTIFS(交易明細!$B$2:$B$721,$A16)</f>
        <v/>
      </c>
      <c r="C16" s="2">
        <f>COUNTIFS(交易明細!$B$2:$B$721,$A16,交易明細!$C$2:$C$721,"做多")</f>
        <v/>
      </c>
      <c r="D16" s="2">
        <f>COUNTIFS(交易明細!$B$2:$B$721,$A16,交易明細!$C$2:$C$721,"做空")</f>
        <v/>
      </c>
      <c r="E16" s="2">
        <f>F16+G16+COUNTIFS(交易明細!$B$2:$B$721,$A16,交易明細!$J$2:$J$721,"時間出場")</f>
        <v/>
      </c>
      <c r="F16" s="2">
        <f>COUNTIFS(交易明細!$B$2:$B$721,$A16,交易明細!$J$2:$J$721,"止盈")</f>
        <v/>
      </c>
      <c r="G16" s="2">
        <f>COUNTIFS(交易明細!$B$2:$B$721,$A16,交易明細!$J$2:$J$721,"止損")</f>
        <v/>
      </c>
      <c r="H16" s="4">
        <f>IFERROR(F16/E16,0)</f>
        <v/>
      </c>
      <c r="I16" s="4">
        <f>IFERROR(AVERAGEIFS(交易明細!$L$2:$L$721,交易明細!$B$2:$B$721,$A16,交易明細!$J$2:$J$721,"&lt;&gt;未平倉"),0)</f>
        <v/>
      </c>
      <c r="J16" s="4">
        <f>SUMIFS(交易明細!$L$2:$L$721,交易明細!$B$2:$B$721,$A16,交易明細!$J$2:$J$721,"&lt;&gt;未平倉")</f>
        <v/>
      </c>
      <c r="K16" s="5">
        <f>IFERROR(AVERAGEIFS(交易明細!$K$2:$K$721,交易明細!$B$2:$B$721,$A16,交易明細!$J$2:$J$721,"&lt;&gt;未平倉"),0)</f>
        <v/>
      </c>
      <c r="L16" s="2">
        <f>COUNTIFS(交易明細!$B$2:$B$721,$A16,交易明細!$J$2:$J$721,"未平倉")</f>
        <v/>
      </c>
    </row>
    <row r="17">
      <c r="A17" s="2" t="inlineStr">
        <is>
          <t>UAI_USDT_PERP</t>
        </is>
      </c>
      <c r="B17" s="2">
        <f>COUNTIFS(交易明細!$B$2:$B$721,$A17)</f>
        <v/>
      </c>
      <c r="C17" s="2">
        <f>COUNTIFS(交易明細!$B$2:$B$721,$A17,交易明細!$C$2:$C$721,"做多")</f>
        <v/>
      </c>
      <c r="D17" s="2">
        <f>COUNTIFS(交易明細!$B$2:$B$721,$A17,交易明細!$C$2:$C$721,"做空")</f>
        <v/>
      </c>
      <c r="E17" s="2">
        <f>F17+G17+COUNTIFS(交易明細!$B$2:$B$721,$A17,交易明細!$J$2:$J$721,"時間出場")</f>
        <v/>
      </c>
      <c r="F17" s="2">
        <f>COUNTIFS(交易明細!$B$2:$B$721,$A17,交易明細!$J$2:$J$721,"止盈")</f>
        <v/>
      </c>
      <c r="G17" s="2">
        <f>COUNTIFS(交易明細!$B$2:$B$721,$A17,交易明細!$J$2:$J$721,"止損")</f>
        <v/>
      </c>
      <c r="H17" s="4">
        <f>IFERROR(F17/E17,0)</f>
        <v/>
      </c>
      <c r="I17" s="4">
        <f>IFERROR(AVERAGEIFS(交易明細!$L$2:$L$721,交易明細!$B$2:$B$721,$A17,交易明細!$J$2:$J$721,"&lt;&gt;未平倉"),0)</f>
        <v/>
      </c>
      <c r="J17" s="4">
        <f>SUMIFS(交易明細!$L$2:$L$721,交易明細!$B$2:$B$721,$A17,交易明細!$J$2:$J$721,"&lt;&gt;未平倉")</f>
        <v/>
      </c>
      <c r="K17" s="5">
        <f>IFERROR(AVERAGEIFS(交易明細!$K$2:$K$721,交易明細!$B$2:$B$721,$A17,交易明細!$J$2:$J$721,"&lt;&gt;未平倉"),0)</f>
        <v/>
      </c>
      <c r="L17" s="2">
        <f>COUNTIFS(交易明細!$B$2:$B$721,$A17,交易明細!$J$2:$J$721,"未平倉")</f>
        <v/>
      </c>
    </row>
    <row r="18">
      <c r="A18" s="2" t="inlineStr">
        <is>
          <t>RAY_USDT_PERP</t>
        </is>
      </c>
      <c r="B18" s="2">
        <f>COUNTIFS(交易明細!$B$2:$B$721,$A18)</f>
        <v/>
      </c>
      <c r="C18" s="2">
        <f>COUNTIFS(交易明細!$B$2:$B$721,$A18,交易明細!$C$2:$C$721,"做多")</f>
        <v/>
      </c>
      <c r="D18" s="2">
        <f>COUNTIFS(交易明細!$B$2:$B$721,$A18,交易明細!$C$2:$C$721,"做空")</f>
        <v/>
      </c>
      <c r="E18" s="2">
        <f>F18+G18+COUNTIFS(交易明細!$B$2:$B$721,$A18,交易明細!$J$2:$J$721,"時間出場")</f>
        <v/>
      </c>
      <c r="F18" s="2">
        <f>COUNTIFS(交易明細!$B$2:$B$721,$A18,交易明細!$J$2:$J$721,"止盈")</f>
        <v/>
      </c>
      <c r="G18" s="2">
        <f>COUNTIFS(交易明細!$B$2:$B$721,$A18,交易明細!$J$2:$J$721,"止損")</f>
        <v/>
      </c>
      <c r="H18" s="4">
        <f>IFERROR(F18/E18,0)</f>
        <v/>
      </c>
      <c r="I18" s="4">
        <f>IFERROR(AVERAGEIFS(交易明細!$L$2:$L$721,交易明細!$B$2:$B$721,$A18,交易明細!$J$2:$J$721,"&lt;&gt;未平倉"),0)</f>
        <v/>
      </c>
      <c r="J18" s="4">
        <f>SUMIFS(交易明細!$L$2:$L$721,交易明細!$B$2:$B$721,$A18,交易明細!$J$2:$J$721,"&lt;&gt;未平倉")</f>
        <v/>
      </c>
      <c r="K18" s="5">
        <f>IFERROR(AVERAGEIFS(交易明細!$K$2:$K$721,交易明細!$B$2:$B$721,$A18,交易明細!$J$2:$J$721,"&lt;&gt;未平倉"),0)</f>
        <v/>
      </c>
      <c r="L18" s="2">
        <f>COUNTIFS(交易明細!$B$2:$B$721,$A18,交易明細!$J$2:$J$721,"未平倉")</f>
        <v/>
      </c>
    </row>
    <row r="19">
      <c r="A19" s="2" t="inlineStr">
        <is>
          <t>BULLA_USDT_PERP</t>
        </is>
      </c>
      <c r="B19" s="2">
        <f>COUNTIFS(交易明細!$B$2:$B$721,$A19)</f>
        <v/>
      </c>
      <c r="C19" s="2">
        <f>COUNTIFS(交易明細!$B$2:$B$721,$A19,交易明細!$C$2:$C$721,"做多")</f>
        <v/>
      </c>
      <c r="D19" s="2">
        <f>COUNTIFS(交易明細!$B$2:$B$721,$A19,交易明細!$C$2:$C$721,"做空")</f>
        <v/>
      </c>
      <c r="E19" s="2">
        <f>F19+G19+COUNTIFS(交易明細!$B$2:$B$721,$A19,交易明細!$J$2:$J$721,"時間出場")</f>
        <v/>
      </c>
      <c r="F19" s="2">
        <f>COUNTIFS(交易明細!$B$2:$B$721,$A19,交易明細!$J$2:$J$721,"止盈")</f>
        <v/>
      </c>
      <c r="G19" s="2">
        <f>COUNTIFS(交易明細!$B$2:$B$721,$A19,交易明細!$J$2:$J$721,"止損")</f>
        <v/>
      </c>
      <c r="H19" s="4">
        <f>IFERROR(F19/E19,0)</f>
        <v/>
      </c>
      <c r="I19" s="4">
        <f>IFERROR(AVERAGEIFS(交易明細!$L$2:$L$721,交易明細!$B$2:$B$721,$A19,交易明細!$J$2:$J$721,"&lt;&gt;未平倉"),0)</f>
        <v/>
      </c>
      <c r="J19" s="4">
        <f>SUMIFS(交易明細!$L$2:$L$721,交易明細!$B$2:$B$721,$A19,交易明細!$J$2:$J$721,"&lt;&gt;未平倉")</f>
        <v/>
      </c>
      <c r="K19" s="5">
        <f>IFERROR(AVERAGEIFS(交易明細!$K$2:$K$721,交易明細!$B$2:$B$721,$A19,交易明細!$J$2:$J$721,"&lt;&gt;未平倉"),0)</f>
        <v/>
      </c>
      <c r="L19" s="2">
        <f>COUNTIFS(交易明細!$B$2:$B$721,$A19,交易明細!$J$2:$J$721,"未平倉")</f>
        <v/>
      </c>
    </row>
    <row r="20">
      <c r="A20" s="2" t="inlineStr">
        <is>
          <t>PENGU_USDT_PERP</t>
        </is>
      </c>
      <c r="B20" s="2">
        <f>COUNTIFS(交易明細!$B$2:$B$721,$A20)</f>
        <v/>
      </c>
      <c r="C20" s="2">
        <f>COUNTIFS(交易明細!$B$2:$B$721,$A20,交易明細!$C$2:$C$721,"做多")</f>
        <v/>
      </c>
      <c r="D20" s="2">
        <f>COUNTIFS(交易明細!$B$2:$B$721,$A20,交易明細!$C$2:$C$721,"做空")</f>
        <v/>
      </c>
      <c r="E20" s="2">
        <f>F20+G20+COUNTIFS(交易明細!$B$2:$B$721,$A20,交易明細!$J$2:$J$721,"時間出場")</f>
        <v/>
      </c>
      <c r="F20" s="2">
        <f>COUNTIFS(交易明細!$B$2:$B$721,$A20,交易明細!$J$2:$J$721,"止盈")</f>
        <v/>
      </c>
      <c r="G20" s="2">
        <f>COUNTIFS(交易明細!$B$2:$B$721,$A20,交易明細!$J$2:$J$721,"止損")</f>
        <v/>
      </c>
      <c r="H20" s="4">
        <f>IFERROR(F20/E20,0)</f>
        <v/>
      </c>
      <c r="I20" s="4">
        <f>IFERROR(AVERAGEIFS(交易明細!$L$2:$L$721,交易明細!$B$2:$B$721,$A20,交易明細!$J$2:$J$721,"&lt;&gt;未平倉"),0)</f>
        <v/>
      </c>
      <c r="J20" s="4">
        <f>SUMIFS(交易明細!$L$2:$L$721,交易明細!$B$2:$B$721,$A20,交易明細!$J$2:$J$721,"&lt;&gt;未平倉")</f>
        <v/>
      </c>
      <c r="K20" s="5">
        <f>IFERROR(AVERAGEIFS(交易明細!$K$2:$K$721,交易明細!$B$2:$B$721,$A20,交易明細!$J$2:$J$721,"&lt;&gt;未平倉"),0)</f>
        <v/>
      </c>
      <c r="L20" s="2">
        <f>COUNTIFS(交易明細!$B$2:$B$721,$A20,交易明細!$J$2:$J$721,"未平倉")</f>
        <v/>
      </c>
    </row>
    <row r="21">
      <c r="A21" s="2" t="inlineStr">
        <is>
          <t>HEMI_USDT_PERP</t>
        </is>
      </c>
      <c r="B21" s="2">
        <f>COUNTIFS(交易明細!$B$2:$B$721,$A21)</f>
        <v/>
      </c>
      <c r="C21" s="2">
        <f>COUNTIFS(交易明細!$B$2:$B$721,$A21,交易明細!$C$2:$C$721,"做多")</f>
        <v/>
      </c>
      <c r="D21" s="2">
        <f>COUNTIFS(交易明細!$B$2:$B$721,$A21,交易明細!$C$2:$C$721,"做空")</f>
        <v/>
      </c>
      <c r="E21" s="2">
        <f>F21+G21+COUNTIFS(交易明細!$B$2:$B$721,$A21,交易明細!$J$2:$J$721,"時間出場")</f>
        <v/>
      </c>
      <c r="F21" s="2">
        <f>COUNTIFS(交易明細!$B$2:$B$721,$A21,交易明細!$J$2:$J$721,"止盈")</f>
        <v/>
      </c>
      <c r="G21" s="2">
        <f>COUNTIFS(交易明細!$B$2:$B$721,$A21,交易明細!$J$2:$J$721,"止損")</f>
        <v/>
      </c>
      <c r="H21" s="4">
        <f>IFERROR(F21/E21,0)</f>
        <v/>
      </c>
      <c r="I21" s="4">
        <f>IFERROR(AVERAGEIFS(交易明細!$L$2:$L$721,交易明細!$B$2:$B$721,$A21,交易明細!$J$2:$J$721,"&lt;&gt;未平倉"),0)</f>
        <v/>
      </c>
      <c r="J21" s="4">
        <f>SUMIFS(交易明細!$L$2:$L$721,交易明細!$B$2:$B$721,$A21,交易明細!$J$2:$J$721,"&lt;&gt;未平倉")</f>
        <v/>
      </c>
      <c r="K21" s="5">
        <f>IFERROR(AVERAGEIFS(交易明細!$K$2:$K$721,交易明細!$B$2:$B$721,$A21,交易明細!$J$2:$J$721,"&lt;&gt;未平倉"),0)</f>
        <v/>
      </c>
      <c r="L21" s="2">
        <f>COUNTIFS(交易明細!$B$2:$B$721,$A21,交易明細!$J$2:$J$721,"未平倉")</f>
        <v/>
      </c>
    </row>
    <row r="22">
      <c r="A22" s="2" t="inlineStr">
        <is>
          <t>ZEC_USDT_PERP</t>
        </is>
      </c>
      <c r="B22" s="2">
        <f>COUNTIFS(交易明細!$B$2:$B$721,$A22)</f>
        <v/>
      </c>
      <c r="C22" s="2">
        <f>COUNTIFS(交易明細!$B$2:$B$721,$A22,交易明細!$C$2:$C$721,"做多")</f>
        <v/>
      </c>
      <c r="D22" s="2">
        <f>COUNTIFS(交易明細!$B$2:$B$721,$A22,交易明細!$C$2:$C$721,"做空")</f>
        <v/>
      </c>
      <c r="E22" s="2">
        <f>F22+G22+COUNTIFS(交易明細!$B$2:$B$721,$A22,交易明細!$J$2:$J$721,"時間出場")</f>
        <v/>
      </c>
      <c r="F22" s="2">
        <f>COUNTIFS(交易明細!$B$2:$B$721,$A22,交易明細!$J$2:$J$721,"止盈")</f>
        <v/>
      </c>
      <c r="G22" s="2">
        <f>COUNTIFS(交易明細!$B$2:$B$721,$A22,交易明細!$J$2:$J$721,"止損")</f>
        <v/>
      </c>
      <c r="H22" s="4">
        <f>IFERROR(F22/E22,0)</f>
        <v/>
      </c>
      <c r="I22" s="4">
        <f>IFERROR(AVERAGEIFS(交易明細!$L$2:$L$721,交易明細!$B$2:$B$721,$A22,交易明細!$J$2:$J$721,"&lt;&gt;未平倉"),0)</f>
        <v/>
      </c>
      <c r="J22" s="4">
        <f>SUMIFS(交易明細!$L$2:$L$721,交易明細!$B$2:$B$721,$A22,交易明細!$J$2:$J$721,"&lt;&gt;未平倉")</f>
        <v/>
      </c>
      <c r="K22" s="5">
        <f>IFERROR(AVERAGEIFS(交易明細!$K$2:$K$721,交易明細!$B$2:$B$721,$A22,交易明細!$J$2:$J$721,"&lt;&gt;未平倉"),0)</f>
        <v/>
      </c>
      <c r="L22" s="2">
        <f>COUNTIFS(交易明細!$B$2:$B$721,$A22,交易明細!$J$2:$J$721,"未平倉")</f>
        <v/>
      </c>
    </row>
    <row r="23">
      <c r="A23" s="2" t="inlineStr">
        <is>
          <t>WLD_USDT_PERP</t>
        </is>
      </c>
      <c r="B23" s="2">
        <f>COUNTIFS(交易明細!$B$2:$B$721,$A23)</f>
        <v/>
      </c>
      <c r="C23" s="2">
        <f>COUNTIFS(交易明細!$B$2:$B$721,$A23,交易明細!$C$2:$C$721,"做多")</f>
        <v/>
      </c>
      <c r="D23" s="2">
        <f>COUNTIFS(交易明細!$B$2:$B$721,$A23,交易明細!$C$2:$C$721,"做空")</f>
        <v/>
      </c>
      <c r="E23" s="2">
        <f>F23+G23+COUNTIFS(交易明細!$B$2:$B$721,$A23,交易明細!$J$2:$J$721,"時間出場")</f>
        <v/>
      </c>
      <c r="F23" s="2">
        <f>COUNTIFS(交易明細!$B$2:$B$721,$A23,交易明細!$J$2:$J$721,"止盈")</f>
        <v/>
      </c>
      <c r="G23" s="2">
        <f>COUNTIFS(交易明細!$B$2:$B$721,$A23,交易明細!$J$2:$J$721,"止損")</f>
        <v/>
      </c>
      <c r="H23" s="4">
        <f>IFERROR(F23/E23,0)</f>
        <v/>
      </c>
      <c r="I23" s="4">
        <f>IFERROR(AVERAGEIFS(交易明細!$L$2:$L$721,交易明細!$B$2:$B$721,$A23,交易明細!$J$2:$J$721,"&lt;&gt;未平倉"),0)</f>
        <v/>
      </c>
      <c r="J23" s="4">
        <f>SUMIFS(交易明細!$L$2:$L$721,交易明細!$B$2:$B$721,$A23,交易明細!$J$2:$J$721,"&lt;&gt;未平倉")</f>
        <v/>
      </c>
      <c r="K23" s="5">
        <f>IFERROR(AVERAGEIFS(交易明細!$K$2:$K$721,交易明細!$B$2:$B$721,$A23,交易明細!$J$2:$J$721,"&lt;&gt;未平倉"),0)</f>
        <v/>
      </c>
      <c r="L23" s="2">
        <f>COUNTIFS(交易明細!$B$2:$B$721,$A23,交易明細!$J$2:$J$721,"未平倉")</f>
        <v/>
      </c>
    </row>
    <row r="24">
      <c r="A24" s="2" t="inlineStr">
        <is>
          <t>XPL_USDT_PERP</t>
        </is>
      </c>
      <c r="B24" s="2">
        <f>COUNTIFS(交易明細!$B$2:$B$721,$A24)</f>
        <v/>
      </c>
      <c r="C24" s="2">
        <f>COUNTIFS(交易明細!$B$2:$B$721,$A24,交易明細!$C$2:$C$721,"做多")</f>
        <v/>
      </c>
      <c r="D24" s="2">
        <f>COUNTIFS(交易明細!$B$2:$B$721,$A24,交易明細!$C$2:$C$721,"做空")</f>
        <v/>
      </c>
      <c r="E24" s="2">
        <f>F24+G24+COUNTIFS(交易明細!$B$2:$B$721,$A24,交易明細!$J$2:$J$721,"時間出場")</f>
        <v/>
      </c>
      <c r="F24" s="2">
        <f>COUNTIFS(交易明細!$B$2:$B$721,$A24,交易明細!$J$2:$J$721,"止盈")</f>
        <v/>
      </c>
      <c r="G24" s="2">
        <f>COUNTIFS(交易明細!$B$2:$B$721,$A24,交易明細!$J$2:$J$721,"止損")</f>
        <v/>
      </c>
      <c r="H24" s="4">
        <f>IFERROR(F24/E24,0)</f>
        <v/>
      </c>
      <c r="I24" s="4">
        <f>IFERROR(AVERAGEIFS(交易明細!$L$2:$L$721,交易明細!$B$2:$B$721,$A24,交易明細!$J$2:$J$721,"&lt;&gt;未平倉"),0)</f>
        <v/>
      </c>
      <c r="J24" s="4">
        <f>SUMIFS(交易明細!$L$2:$L$721,交易明細!$B$2:$B$721,$A24,交易明細!$J$2:$J$721,"&lt;&gt;未平倉")</f>
        <v/>
      </c>
      <c r="K24" s="5">
        <f>IFERROR(AVERAGEIFS(交易明細!$K$2:$K$721,交易明細!$B$2:$B$721,$A24,交易明細!$J$2:$J$721,"&lt;&gt;未平倉"),0)</f>
        <v/>
      </c>
      <c r="L24" s="2">
        <f>COUNTIFS(交易明細!$B$2:$B$721,$A24,交易明細!$J$2:$J$721,"未平倉")</f>
        <v/>
      </c>
    </row>
    <row r="25">
      <c r="A25" s="2" t="inlineStr">
        <is>
          <t>INJ_USDT_PERP</t>
        </is>
      </c>
      <c r="B25" s="2">
        <f>COUNTIFS(交易明細!$B$2:$B$721,$A25)</f>
        <v/>
      </c>
      <c r="C25" s="2">
        <f>COUNTIFS(交易明細!$B$2:$B$721,$A25,交易明細!$C$2:$C$721,"做多")</f>
        <v/>
      </c>
      <c r="D25" s="2">
        <f>COUNTIFS(交易明細!$B$2:$B$721,$A25,交易明細!$C$2:$C$721,"做空")</f>
        <v/>
      </c>
      <c r="E25" s="2">
        <f>F25+G25+COUNTIFS(交易明細!$B$2:$B$721,$A25,交易明細!$J$2:$J$721,"時間出場")</f>
        <v/>
      </c>
      <c r="F25" s="2">
        <f>COUNTIFS(交易明細!$B$2:$B$721,$A25,交易明細!$J$2:$J$721,"止盈")</f>
        <v/>
      </c>
      <c r="G25" s="2">
        <f>COUNTIFS(交易明細!$B$2:$B$721,$A25,交易明細!$J$2:$J$721,"止損")</f>
        <v/>
      </c>
      <c r="H25" s="4">
        <f>IFERROR(F25/E25,0)</f>
        <v/>
      </c>
      <c r="I25" s="4">
        <f>IFERROR(AVERAGEIFS(交易明細!$L$2:$L$721,交易明細!$B$2:$B$721,$A25,交易明細!$J$2:$J$721,"&lt;&gt;未平倉"),0)</f>
        <v/>
      </c>
      <c r="J25" s="4">
        <f>SUMIFS(交易明細!$L$2:$L$721,交易明細!$B$2:$B$721,$A25,交易明細!$J$2:$J$721,"&lt;&gt;未平倉")</f>
        <v/>
      </c>
      <c r="K25" s="5">
        <f>IFERROR(AVERAGEIFS(交易明細!$K$2:$K$721,交易明細!$B$2:$B$721,$A25,交易明細!$J$2:$J$721,"&lt;&gt;未平倉"),0)</f>
        <v/>
      </c>
      <c r="L25" s="2">
        <f>COUNTIFS(交易明細!$B$2:$B$721,$A25,交易明細!$J$2:$J$721,"未平倉")</f>
        <v/>
      </c>
    </row>
    <row r="26">
      <c r="A26" s="2" t="inlineStr">
        <is>
          <t>BTW_USDT_PERP</t>
        </is>
      </c>
      <c r="B26" s="2">
        <f>COUNTIFS(交易明細!$B$2:$B$721,$A26)</f>
        <v/>
      </c>
      <c r="C26" s="2">
        <f>COUNTIFS(交易明細!$B$2:$B$721,$A26,交易明細!$C$2:$C$721,"做多")</f>
        <v/>
      </c>
      <c r="D26" s="2">
        <f>COUNTIFS(交易明細!$B$2:$B$721,$A26,交易明細!$C$2:$C$721,"做空")</f>
        <v/>
      </c>
      <c r="E26" s="2">
        <f>F26+G26+COUNTIFS(交易明細!$B$2:$B$721,$A26,交易明細!$J$2:$J$721,"時間出場")</f>
        <v/>
      </c>
      <c r="F26" s="2">
        <f>COUNTIFS(交易明細!$B$2:$B$721,$A26,交易明細!$J$2:$J$721,"止盈")</f>
        <v/>
      </c>
      <c r="G26" s="2">
        <f>COUNTIFS(交易明細!$B$2:$B$721,$A26,交易明細!$J$2:$J$721,"止損")</f>
        <v/>
      </c>
      <c r="H26" s="4">
        <f>IFERROR(F26/E26,0)</f>
        <v/>
      </c>
      <c r="I26" s="4">
        <f>IFERROR(AVERAGEIFS(交易明細!$L$2:$L$721,交易明細!$B$2:$B$721,$A26,交易明細!$J$2:$J$721,"&lt;&gt;未平倉"),0)</f>
        <v/>
      </c>
      <c r="J26" s="4">
        <f>SUMIFS(交易明細!$L$2:$L$721,交易明細!$B$2:$B$721,$A26,交易明細!$J$2:$J$721,"&lt;&gt;未平倉")</f>
        <v/>
      </c>
      <c r="K26" s="5">
        <f>IFERROR(AVERAGEIFS(交易明細!$K$2:$K$721,交易明細!$B$2:$B$721,$A26,交易明細!$J$2:$J$721,"&lt;&gt;未平倉"),0)</f>
        <v/>
      </c>
      <c r="L26" s="2">
        <f>COUNTIFS(交易明細!$B$2:$B$721,$A26,交易明細!$J$2:$J$721,"未平倉")</f>
        <v/>
      </c>
    </row>
    <row r="27">
      <c r="A27" s="2" t="inlineStr">
        <is>
          <t>ONDO_USDT_PERP</t>
        </is>
      </c>
      <c r="B27" s="2">
        <f>COUNTIFS(交易明細!$B$2:$B$721,$A27)</f>
        <v/>
      </c>
      <c r="C27" s="2">
        <f>COUNTIFS(交易明細!$B$2:$B$721,$A27,交易明細!$C$2:$C$721,"做多")</f>
        <v/>
      </c>
      <c r="D27" s="2">
        <f>COUNTIFS(交易明細!$B$2:$B$721,$A27,交易明細!$C$2:$C$721,"做空")</f>
        <v/>
      </c>
      <c r="E27" s="2">
        <f>F27+G27+COUNTIFS(交易明細!$B$2:$B$721,$A27,交易明細!$J$2:$J$721,"時間出場")</f>
        <v/>
      </c>
      <c r="F27" s="2">
        <f>COUNTIFS(交易明細!$B$2:$B$721,$A27,交易明細!$J$2:$J$721,"止盈")</f>
        <v/>
      </c>
      <c r="G27" s="2">
        <f>COUNTIFS(交易明細!$B$2:$B$721,$A27,交易明細!$J$2:$J$721,"止損")</f>
        <v/>
      </c>
      <c r="H27" s="4">
        <f>IFERROR(F27/E27,0)</f>
        <v/>
      </c>
      <c r="I27" s="4">
        <f>IFERROR(AVERAGEIFS(交易明細!$L$2:$L$721,交易明細!$B$2:$B$721,$A27,交易明細!$J$2:$J$721,"&lt;&gt;未平倉"),0)</f>
        <v/>
      </c>
      <c r="J27" s="4">
        <f>SUMIFS(交易明細!$L$2:$L$721,交易明細!$B$2:$B$721,$A27,交易明細!$J$2:$J$721,"&lt;&gt;未平倉")</f>
        <v/>
      </c>
      <c r="K27" s="5">
        <f>IFERROR(AVERAGEIFS(交易明細!$K$2:$K$721,交易明細!$B$2:$B$721,$A27,交易明細!$J$2:$J$721,"&lt;&gt;未平倉"),0)</f>
        <v/>
      </c>
      <c r="L27" s="2">
        <f>COUNTIFS(交易明細!$B$2:$B$721,$A27,交易明細!$J$2:$J$721,"未平倉")</f>
        <v/>
      </c>
    </row>
    <row r="28">
      <c r="A28" s="2" t="inlineStr">
        <is>
          <t>FET_USDT_PERP</t>
        </is>
      </c>
      <c r="B28" s="2">
        <f>COUNTIFS(交易明細!$B$2:$B$721,$A28)</f>
        <v/>
      </c>
      <c r="C28" s="2">
        <f>COUNTIFS(交易明細!$B$2:$B$721,$A28,交易明細!$C$2:$C$721,"做多")</f>
        <v/>
      </c>
      <c r="D28" s="2">
        <f>COUNTIFS(交易明細!$B$2:$B$721,$A28,交易明細!$C$2:$C$721,"做空")</f>
        <v/>
      </c>
      <c r="E28" s="2">
        <f>F28+G28+COUNTIFS(交易明細!$B$2:$B$721,$A28,交易明細!$J$2:$J$721,"時間出場")</f>
        <v/>
      </c>
      <c r="F28" s="2">
        <f>COUNTIFS(交易明細!$B$2:$B$721,$A28,交易明細!$J$2:$J$721,"止盈")</f>
        <v/>
      </c>
      <c r="G28" s="2">
        <f>COUNTIFS(交易明細!$B$2:$B$721,$A28,交易明細!$J$2:$J$721,"止損")</f>
        <v/>
      </c>
      <c r="H28" s="4">
        <f>IFERROR(F28/E28,0)</f>
        <v/>
      </c>
      <c r="I28" s="4">
        <f>IFERROR(AVERAGEIFS(交易明細!$L$2:$L$721,交易明細!$B$2:$B$721,$A28,交易明細!$J$2:$J$721,"&lt;&gt;未平倉"),0)</f>
        <v/>
      </c>
      <c r="J28" s="4">
        <f>SUMIFS(交易明細!$L$2:$L$721,交易明細!$B$2:$B$721,$A28,交易明細!$J$2:$J$721,"&lt;&gt;未平倉")</f>
        <v/>
      </c>
      <c r="K28" s="5">
        <f>IFERROR(AVERAGEIFS(交易明細!$K$2:$K$721,交易明細!$B$2:$B$721,$A28,交易明細!$J$2:$J$721,"&lt;&gt;未平倉"),0)</f>
        <v/>
      </c>
      <c r="L28" s="2">
        <f>COUNTIFS(交易明細!$B$2:$B$721,$A28,交易明細!$J$2:$J$721,"未平倉")</f>
        <v/>
      </c>
    </row>
    <row r="29">
      <c r="A29" s="2" t="inlineStr">
        <is>
          <t>DASH_USDT_PERP</t>
        </is>
      </c>
      <c r="B29" s="2">
        <f>COUNTIFS(交易明細!$B$2:$B$721,$A29)</f>
        <v/>
      </c>
      <c r="C29" s="2">
        <f>COUNTIFS(交易明細!$B$2:$B$721,$A29,交易明細!$C$2:$C$721,"做多")</f>
        <v/>
      </c>
      <c r="D29" s="2">
        <f>COUNTIFS(交易明細!$B$2:$B$721,$A29,交易明細!$C$2:$C$721,"做空")</f>
        <v/>
      </c>
      <c r="E29" s="2">
        <f>F29+G29+COUNTIFS(交易明細!$B$2:$B$721,$A29,交易明細!$J$2:$J$721,"時間出場")</f>
        <v/>
      </c>
      <c r="F29" s="2">
        <f>COUNTIFS(交易明細!$B$2:$B$721,$A29,交易明細!$J$2:$J$721,"止盈")</f>
        <v/>
      </c>
      <c r="G29" s="2">
        <f>COUNTIFS(交易明細!$B$2:$B$721,$A29,交易明細!$J$2:$J$721,"止損")</f>
        <v/>
      </c>
      <c r="H29" s="4">
        <f>IFERROR(F29/E29,0)</f>
        <v/>
      </c>
      <c r="I29" s="4">
        <f>IFERROR(AVERAGEIFS(交易明細!$L$2:$L$721,交易明細!$B$2:$B$721,$A29,交易明細!$J$2:$J$721,"&lt;&gt;未平倉"),0)</f>
        <v/>
      </c>
      <c r="J29" s="4">
        <f>SUMIFS(交易明細!$L$2:$L$721,交易明細!$B$2:$B$721,$A29,交易明細!$J$2:$J$721,"&lt;&gt;未平倉")</f>
        <v/>
      </c>
      <c r="K29" s="5">
        <f>IFERROR(AVERAGEIFS(交易明細!$K$2:$K$721,交易明細!$B$2:$B$721,$A29,交易明細!$J$2:$J$721,"&lt;&gt;未平倉"),0)</f>
        <v/>
      </c>
      <c r="L29" s="2">
        <f>COUNTIFS(交易明細!$B$2:$B$721,$A29,交易明細!$J$2:$J$721,"未平倉")</f>
        <v/>
      </c>
    </row>
    <row r="30">
      <c r="A30" s="2" t="inlineStr">
        <is>
          <t>ZRO_USDT_PERP</t>
        </is>
      </c>
      <c r="B30" s="2">
        <f>COUNTIFS(交易明細!$B$2:$B$721,$A30)</f>
        <v/>
      </c>
      <c r="C30" s="2">
        <f>COUNTIFS(交易明細!$B$2:$B$721,$A30,交易明細!$C$2:$C$721,"做多")</f>
        <v/>
      </c>
      <c r="D30" s="2">
        <f>COUNTIFS(交易明細!$B$2:$B$721,$A30,交易明細!$C$2:$C$721,"做空")</f>
        <v/>
      </c>
      <c r="E30" s="2">
        <f>F30+G30+COUNTIFS(交易明細!$B$2:$B$721,$A30,交易明細!$J$2:$J$721,"時間出場")</f>
        <v/>
      </c>
      <c r="F30" s="2">
        <f>COUNTIFS(交易明細!$B$2:$B$721,$A30,交易明細!$J$2:$J$721,"止盈")</f>
        <v/>
      </c>
      <c r="G30" s="2">
        <f>COUNTIFS(交易明細!$B$2:$B$721,$A30,交易明細!$J$2:$J$721,"止損")</f>
        <v/>
      </c>
      <c r="H30" s="4">
        <f>IFERROR(F30/E30,0)</f>
        <v/>
      </c>
      <c r="I30" s="4">
        <f>IFERROR(AVERAGEIFS(交易明細!$L$2:$L$721,交易明細!$B$2:$B$721,$A30,交易明細!$J$2:$J$721,"&lt;&gt;未平倉"),0)</f>
        <v/>
      </c>
      <c r="J30" s="4">
        <f>SUMIFS(交易明細!$L$2:$L$721,交易明細!$B$2:$B$721,$A30,交易明細!$J$2:$J$721,"&lt;&gt;未平倉")</f>
        <v/>
      </c>
      <c r="K30" s="5">
        <f>IFERROR(AVERAGEIFS(交易明細!$K$2:$K$721,交易明細!$B$2:$B$721,$A30,交易明細!$J$2:$J$721,"&lt;&gt;未平倉"),0)</f>
        <v/>
      </c>
      <c r="L30" s="2">
        <f>COUNTIFS(交易明細!$B$2:$B$721,$A30,交易明細!$J$2:$J$721,"未平倉")</f>
        <v/>
      </c>
    </row>
    <row r="31">
      <c r="A31" s="2" t="inlineStr">
        <is>
          <t>AIN_USDT_PERP</t>
        </is>
      </c>
      <c r="B31" s="2">
        <f>COUNTIFS(交易明細!$B$2:$B$721,$A31)</f>
        <v/>
      </c>
      <c r="C31" s="2">
        <f>COUNTIFS(交易明細!$B$2:$B$721,$A31,交易明細!$C$2:$C$721,"做多")</f>
        <v/>
      </c>
      <c r="D31" s="2">
        <f>COUNTIFS(交易明細!$B$2:$B$721,$A31,交易明細!$C$2:$C$721,"做空")</f>
        <v/>
      </c>
      <c r="E31" s="2">
        <f>F31+G31+COUNTIFS(交易明細!$B$2:$B$721,$A31,交易明細!$J$2:$J$721,"時間出場")</f>
        <v/>
      </c>
      <c r="F31" s="2">
        <f>COUNTIFS(交易明細!$B$2:$B$721,$A31,交易明細!$J$2:$J$721,"止盈")</f>
        <v/>
      </c>
      <c r="G31" s="2">
        <f>COUNTIFS(交易明細!$B$2:$B$721,$A31,交易明細!$J$2:$J$721,"止損")</f>
        <v/>
      </c>
      <c r="H31" s="4">
        <f>IFERROR(F31/E31,0)</f>
        <v/>
      </c>
      <c r="I31" s="4">
        <f>IFERROR(AVERAGEIFS(交易明細!$L$2:$L$721,交易明細!$B$2:$B$721,$A31,交易明細!$J$2:$J$721,"&lt;&gt;未平倉"),0)</f>
        <v/>
      </c>
      <c r="J31" s="4">
        <f>SUMIFS(交易明細!$L$2:$L$721,交易明細!$B$2:$B$721,$A31,交易明細!$J$2:$J$721,"&lt;&gt;未平倉")</f>
        <v/>
      </c>
      <c r="K31" s="5">
        <f>IFERROR(AVERAGEIFS(交易明細!$K$2:$K$721,交易明細!$B$2:$B$721,$A31,交易明細!$J$2:$J$721,"&lt;&gt;未平倉"),0)</f>
        <v/>
      </c>
      <c r="L31" s="2">
        <f>COUNTIFS(交易明細!$B$2:$B$721,$A31,交易明細!$J$2:$J$721,"未平倉")</f>
        <v/>
      </c>
    </row>
    <row r="32">
      <c r="A32" s="2" t="inlineStr">
        <is>
          <t>ZAMA_USDT_PERP</t>
        </is>
      </c>
      <c r="B32" s="2">
        <f>COUNTIFS(交易明細!$B$2:$B$721,$A32)</f>
        <v/>
      </c>
      <c r="C32" s="2">
        <f>COUNTIFS(交易明細!$B$2:$B$721,$A32,交易明細!$C$2:$C$721,"做多")</f>
        <v/>
      </c>
      <c r="D32" s="2">
        <f>COUNTIFS(交易明細!$B$2:$B$721,$A32,交易明細!$C$2:$C$721,"做空")</f>
        <v/>
      </c>
      <c r="E32" s="2">
        <f>F32+G32+COUNTIFS(交易明細!$B$2:$B$721,$A32,交易明細!$J$2:$J$721,"時間出場")</f>
        <v/>
      </c>
      <c r="F32" s="2">
        <f>COUNTIFS(交易明細!$B$2:$B$721,$A32,交易明細!$J$2:$J$721,"止盈")</f>
        <v/>
      </c>
      <c r="G32" s="2">
        <f>COUNTIFS(交易明細!$B$2:$B$721,$A32,交易明細!$J$2:$J$721,"止損")</f>
        <v/>
      </c>
      <c r="H32" s="4">
        <f>IFERROR(F32/E32,0)</f>
        <v/>
      </c>
      <c r="I32" s="4">
        <f>IFERROR(AVERAGEIFS(交易明細!$L$2:$L$721,交易明細!$B$2:$B$721,$A32,交易明細!$J$2:$J$721,"&lt;&gt;未平倉"),0)</f>
        <v/>
      </c>
      <c r="J32" s="4">
        <f>SUMIFS(交易明細!$L$2:$L$721,交易明細!$B$2:$B$721,$A32,交易明細!$J$2:$J$721,"&lt;&gt;未平倉")</f>
        <v/>
      </c>
      <c r="K32" s="5">
        <f>IFERROR(AVERAGEIFS(交易明細!$K$2:$K$721,交易明細!$B$2:$B$721,$A32,交易明細!$J$2:$J$721,"&lt;&gt;未平倉"),0)</f>
        <v/>
      </c>
      <c r="L32" s="2">
        <f>COUNTIFS(交易明細!$B$2:$B$721,$A32,交易明細!$J$2:$J$721,"未平倉")</f>
        <v/>
      </c>
    </row>
    <row r="33">
      <c r="A33" s="2" t="inlineStr">
        <is>
          <t>GRASS_USDT_PERP</t>
        </is>
      </c>
      <c r="B33" s="2">
        <f>COUNTIFS(交易明細!$B$2:$B$721,$A33)</f>
        <v/>
      </c>
      <c r="C33" s="2">
        <f>COUNTIFS(交易明細!$B$2:$B$721,$A33,交易明細!$C$2:$C$721,"做多")</f>
        <v/>
      </c>
      <c r="D33" s="2">
        <f>COUNTIFS(交易明細!$B$2:$B$721,$A33,交易明細!$C$2:$C$721,"做空")</f>
        <v/>
      </c>
      <c r="E33" s="2">
        <f>F33+G33+COUNTIFS(交易明細!$B$2:$B$721,$A33,交易明細!$J$2:$J$721,"時間出場")</f>
        <v/>
      </c>
      <c r="F33" s="2">
        <f>COUNTIFS(交易明細!$B$2:$B$721,$A33,交易明細!$J$2:$J$721,"止盈")</f>
        <v/>
      </c>
      <c r="G33" s="2">
        <f>COUNTIFS(交易明細!$B$2:$B$721,$A33,交易明細!$J$2:$J$721,"止損")</f>
        <v/>
      </c>
      <c r="H33" s="4">
        <f>IFERROR(F33/E33,0)</f>
        <v/>
      </c>
      <c r="I33" s="4">
        <f>IFERROR(AVERAGEIFS(交易明細!$L$2:$L$721,交易明細!$B$2:$B$721,$A33,交易明細!$J$2:$J$721,"&lt;&gt;未平倉"),0)</f>
        <v/>
      </c>
      <c r="J33" s="4">
        <f>SUMIFS(交易明細!$L$2:$L$721,交易明細!$B$2:$B$721,$A33,交易明細!$J$2:$J$721,"&lt;&gt;未平倉")</f>
        <v/>
      </c>
      <c r="K33" s="5">
        <f>IFERROR(AVERAGEIFS(交易明細!$K$2:$K$721,交易明細!$B$2:$B$721,$A33,交易明細!$J$2:$J$721,"&lt;&gt;未平倉"),0)</f>
        <v/>
      </c>
      <c r="L33" s="2">
        <f>COUNTIFS(交易明細!$B$2:$B$721,$A33,交易明細!$J$2:$J$721,"未平倉")</f>
        <v/>
      </c>
    </row>
    <row r="34">
      <c r="A34" s="2" t="inlineStr">
        <is>
          <t>SUI_USDT_PERP</t>
        </is>
      </c>
      <c r="B34" s="2">
        <f>COUNTIFS(交易明細!$B$2:$B$721,$A34)</f>
        <v/>
      </c>
      <c r="C34" s="2">
        <f>COUNTIFS(交易明細!$B$2:$B$721,$A34,交易明細!$C$2:$C$721,"做多")</f>
        <v/>
      </c>
      <c r="D34" s="2">
        <f>COUNTIFS(交易明細!$B$2:$B$721,$A34,交易明細!$C$2:$C$721,"做空")</f>
        <v/>
      </c>
      <c r="E34" s="2">
        <f>F34+G34+COUNTIFS(交易明細!$B$2:$B$721,$A34,交易明細!$J$2:$J$721,"時間出場")</f>
        <v/>
      </c>
      <c r="F34" s="2">
        <f>COUNTIFS(交易明細!$B$2:$B$721,$A34,交易明細!$J$2:$J$721,"止盈")</f>
        <v/>
      </c>
      <c r="G34" s="2">
        <f>COUNTIFS(交易明細!$B$2:$B$721,$A34,交易明細!$J$2:$J$721,"止損")</f>
        <v/>
      </c>
      <c r="H34" s="4">
        <f>IFERROR(F34/E34,0)</f>
        <v/>
      </c>
      <c r="I34" s="4">
        <f>IFERROR(AVERAGEIFS(交易明細!$L$2:$L$721,交易明細!$B$2:$B$721,$A34,交易明細!$J$2:$J$721,"&lt;&gt;未平倉"),0)</f>
        <v/>
      </c>
      <c r="J34" s="4">
        <f>SUMIFS(交易明細!$L$2:$L$721,交易明細!$B$2:$B$721,$A34,交易明細!$J$2:$J$721,"&lt;&gt;未平倉")</f>
        <v/>
      </c>
      <c r="K34" s="5">
        <f>IFERROR(AVERAGEIFS(交易明細!$K$2:$K$721,交易明細!$B$2:$B$721,$A34,交易明細!$J$2:$J$721,"&lt;&gt;未平倉"),0)</f>
        <v/>
      </c>
      <c r="L34" s="2">
        <f>COUNTIFS(交易明細!$B$2:$B$721,$A34,交易明細!$J$2:$J$721,"未平倉")</f>
        <v/>
      </c>
    </row>
    <row r="35">
      <c r="A35" s="2" t="inlineStr">
        <is>
          <t>NIL_USDT_PERP</t>
        </is>
      </c>
      <c r="B35" s="2">
        <f>COUNTIFS(交易明細!$B$2:$B$721,$A35)</f>
        <v/>
      </c>
      <c r="C35" s="2">
        <f>COUNTIFS(交易明細!$B$2:$B$721,$A35,交易明細!$C$2:$C$721,"做多")</f>
        <v/>
      </c>
      <c r="D35" s="2">
        <f>COUNTIFS(交易明細!$B$2:$B$721,$A35,交易明細!$C$2:$C$721,"做空")</f>
        <v/>
      </c>
      <c r="E35" s="2">
        <f>F35+G35+COUNTIFS(交易明細!$B$2:$B$721,$A35,交易明細!$J$2:$J$721,"時間出場")</f>
        <v/>
      </c>
      <c r="F35" s="2">
        <f>COUNTIFS(交易明細!$B$2:$B$721,$A35,交易明細!$J$2:$J$721,"止盈")</f>
        <v/>
      </c>
      <c r="G35" s="2">
        <f>COUNTIFS(交易明細!$B$2:$B$721,$A35,交易明細!$J$2:$J$721,"止損")</f>
        <v/>
      </c>
      <c r="H35" s="4">
        <f>IFERROR(F35/E35,0)</f>
        <v/>
      </c>
      <c r="I35" s="4">
        <f>IFERROR(AVERAGEIFS(交易明細!$L$2:$L$721,交易明細!$B$2:$B$721,$A35,交易明細!$J$2:$J$721,"&lt;&gt;未平倉"),0)</f>
        <v/>
      </c>
      <c r="J35" s="4">
        <f>SUMIFS(交易明細!$L$2:$L$721,交易明細!$B$2:$B$721,$A35,交易明細!$J$2:$J$721,"&lt;&gt;未平倉")</f>
        <v/>
      </c>
      <c r="K35" s="5">
        <f>IFERROR(AVERAGEIFS(交易明細!$K$2:$K$721,交易明細!$B$2:$B$721,$A35,交易明細!$J$2:$J$721,"&lt;&gt;未平倉"),0)</f>
        <v/>
      </c>
      <c r="L35" s="2">
        <f>COUNTIFS(交易明細!$B$2:$B$721,$A35,交易明細!$J$2:$J$721,"未平倉")</f>
        <v/>
      </c>
    </row>
    <row r="36">
      <c r="A36" s="2" t="inlineStr">
        <is>
          <t>SAND_USDT_PERP</t>
        </is>
      </c>
      <c r="B36" s="2">
        <f>COUNTIFS(交易明細!$B$2:$B$721,$A36)</f>
        <v/>
      </c>
      <c r="C36" s="2">
        <f>COUNTIFS(交易明細!$B$2:$B$721,$A36,交易明細!$C$2:$C$721,"做多")</f>
        <v/>
      </c>
      <c r="D36" s="2">
        <f>COUNTIFS(交易明細!$B$2:$B$721,$A36,交易明細!$C$2:$C$721,"做空")</f>
        <v/>
      </c>
      <c r="E36" s="2">
        <f>F36+G36+COUNTIFS(交易明細!$B$2:$B$721,$A36,交易明細!$J$2:$J$721,"時間出場")</f>
        <v/>
      </c>
      <c r="F36" s="2">
        <f>COUNTIFS(交易明細!$B$2:$B$721,$A36,交易明細!$J$2:$J$721,"止盈")</f>
        <v/>
      </c>
      <c r="G36" s="2">
        <f>COUNTIFS(交易明細!$B$2:$B$721,$A36,交易明細!$J$2:$J$721,"止損")</f>
        <v/>
      </c>
      <c r="H36" s="4">
        <f>IFERROR(F36/E36,0)</f>
        <v/>
      </c>
      <c r="I36" s="4">
        <f>IFERROR(AVERAGEIFS(交易明細!$L$2:$L$721,交易明細!$B$2:$B$721,$A36,交易明細!$J$2:$J$721,"&lt;&gt;未平倉"),0)</f>
        <v/>
      </c>
      <c r="J36" s="4">
        <f>SUMIFS(交易明細!$L$2:$L$721,交易明細!$B$2:$B$721,$A36,交易明細!$J$2:$J$721,"&lt;&gt;未平倉")</f>
        <v/>
      </c>
      <c r="K36" s="5">
        <f>IFERROR(AVERAGEIFS(交易明細!$K$2:$K$721,交易明細!$B$2:$B$721,$A36,交易明細!$J$2:$J$721,"&lt;&gt;未平倉"),0)</f>
        <v/>
      </c>
      <c r="L36" s="2">
        <f>COUNTIFS(交易明細!$B$2:$B$721,$A36,交易明細!$J$2:$J$721,"未平倉")</f>
        <v/>
      </c>
    </row>
    <row r="37">
      <c r="A37" s="2" t="inlineStr">
        <is>
          <t>AERO_USDT_PERP</t>
        </is>
      </c>
      <c r="B37" s="2">
        <f>COUNTIFS(交易明細!$B$2:$B$721,$A37)</f>
        <v/>
      </c>
      <c r="C37" s="2">
        <f>COUNTIFS(交易明細!$B$2:$B$721,$A37,交易明細!$C$2:$C$721,"做多")</f>
        <v/>
      </c>
      <c r="D37" s="2">
        <f>COUNTIFS(交易明細!$B$2:$B$721,$A37,交易明細!$C$2:$C$721,"做空")</f>
        <v/>
      </c>
      <c r="E37" s="2">
        <f>F37+G37+COUNTIFS(交易明細!$B$2:$B$721,$A37,交易明細!$J$2:$J$721,"時間出場")</f>
        <v/>
      </c>
      <c r="F37" s="2">
        <f>COUNTIFS(交易明細!$B$2:$B$721,$A37,交易明細!$J$2:$J$721,"止盈")</f>
        <v/>
      </c>
      <c r="G37" s="2">
        <f>COUNTIFS(交易明細!$B$2:$B$721,$A37,交易明細!$J$2:$J$721,"止損")</f>
        <v/>
      </c>
      <c r="H37" s="4">
        <f>IFERROR(F37/E37,0)</f>
        <v/>
      </c>
      <c r="I37" s="4">
        <f>IFERROR(AVERAGEIFS(交易明細!$L$2:$L$721,交易明細!$B$2:$B$721,$A37,交易明細!$J$2:$J$721,"&lt;&gt;未平倉"),0)</f>
        <v/>
      </c>
      <c r="J37" s="4">
        <f>SUMIFS(交易明細!$L$2:$L$721,交易明細!$B$2:$B$721,$A37,交易明細!$J$2:$J$721,"&lt;&gt;未平倉")</f>
        <v/>
      </c>
      <c r="K37" s="5">
        <f>IFERROR(AVERAGEIFS(交易明細!$K$2:$K$721,交易明細!$B$2:$B$721,$A37,交易明細!$J$2:$J$721,"&lt;&gt;未平倉"),0)</f>
        <v/>
      </c>
      <c r="L37" s="2">
        <f>COUNTIFS(交易明細!$B$2:$B$721,$A37,交易明細!$J$2:$J$721,"未平倉")</f>
        <v/>
      </c>
    </row>
    <row r="38">
      <c r="A38" s="2" t="inlineStr">
        <is>
          <t>ICP_USDT_PERP</t>
        </is>
      </c>
      <c r="B38" s="2">
        <f>COUNTIFS(交易明細!$B$2:$B$721,$A38)</f>
        <v/>
      </c>
      <c r="C38" s="2">
        <f>COUNTIFS(交易明細!$B$2:$B$721,$A38,交易明細!$C$2:$C$721,"做多")</f>
        <v/>
      </c>
      <c r="D38" s="2">
        <f>COUNTIFS(交易明細!$B$2:$B$721,$A38,交易明細!$C$2:$C$721,"做空")</f>
        <v/>
      </c>
      <c r="E38" s="2">
        <f>F38+G38+COUNTIFS(交易明細!$B$2:$B$721,$A38,交易明細!$J$2:$J$721,"時間出場")</f>
        <v/>
      </c>
      <c r="F38" s="2">
        <f>COUNTIFS(交易明細!$B$2:$B$721,$A38,交易明細!$J$2:$J$721,"止盈")</f>
        <v/>
      </c>
      <c r="G38" s="2">
        <f>COUNTIFS(交易明細!$B$2:$B$721,$A38,交易明細!$J$2:$J$721,"止損")</f>
        <v/>
      </c>
      <c r="H38" s="4">
        <f>IFERROR(F38/E38,0)</f>
        <v/>
      </c>
      <c r="I38" s="4">
        <f>IFERROR(AVERAGEIFS(交易明細!$L$2:$L$721,交易明細!$B$2:$B$721,$A38,交易明細!$J$2:$J$721,"&lt;&gt;未平倉"),0)</f>
        <v/>
      </c>
      <c r="J38" s="4">
        <f>SUMIFS(交易明細!$L$2:$L$721,交易明細!$B$2:$B$721,$A38,交易明細!$J$2:$J$721,"&lt;&gt;未平倉")</f>
        <v/>
      </c>
      <c r="K38" s="5">
        <f>IFERROR(AVERAGEIFS(交易明細!$K$2:$K$721,交易明細!$B$2:$B$721,$A38,交易明細!$J$2:$J$721,"&lt;&gt;未平倉"),0)</f>
        <v/>
      </c>
      <c r="L38" s="2">
        <f>COUNTIFS(交易明細!$B$2:$B$721,$A38,交易明細!$J$2:$J$721,"未平倉")</f>
        <v/>
      </c>
    </row>
    <row r="39">
      <c r="A39" s="2" t="inlineStr">
        <is>
          <t>PHA_USDT_PERP</t>
        </is>
      </c>
      <c r="B39" s="2">
        <f>COUNTIFS(交易明細!$B$2:$B$721,$A39)</f>
        <v/>
      </c>
      <c r="C39" s="2">
        <f>COUNTIFS(交易明細!$B$2:$B$721,$A39,交易明細!$C$2:$C$721,"做多")</f>
        <v/>
      </c>
      <c r="D39" s="2">
        <f>COUNTIFS(交易明細!$B$2:$B$721,$A39,交易明細!$C$2:$C$721,"做空")</f>
        <v/>
      </c>
      <c r="E39" s="2">
        <f>F39+G39+COUNTIFS(交易明細!$B$2:$B$721,$A39,交易明細!$J$2:$J$721,"時間出場")</f>
        <v/>
      </c>
      <c r="F39" s="2">
        <f>COUNTIFS(交易明細!$B$2:$B$721,$A39,交易明細!$J$2:$J$721,"止盈")</f>
        <v/>
      </c>
      <c r="G39" s="2">
        <f>COUNTIFS(交易明細!$B$2:$B$721,$A39,交易明細!$J$2:$J$721,"止損")</f>
        <v/>
      </c>
      <c r="H39" s="4">
        <f>IFERROR(F39/E39,0)</f>
        <v/>
      </c>
      <c r="I39" s="4">
        <f>IFERROR(AVERAGEIFS(交易明細!$L$2:$L$721,交易明細!$B$2:$B$721,$A39,交易明細!$J$2:$J$721,"&lt;&gt;未平倉"),0)</f>
        <v/>
      </c>
      <c r="J39" s="4">
        <f>SUMIFS(交易明細!$L$2:$L$721,交易明細!$B$2:$B$721,$A39,交易明細!$J$2:$J$721,"&lt;&gt;未平倉")</f>
        <v/>
      </c>
      <c r="K39" s="5">
        <f>IFERROR(AVERAGEIFS(交易明細!$K$2:$K$721,交易明細!$B$2:$B$721,$A39,交易明細!$J$2:$J$721,"&lt;&gt;未平倉"),0)</f>
        <v/>
      </c>
      <c r="L39" s="2">
        <f>COUNTIFS(交易明細!$B$2:$B$721,$A39,交易明細!$J$2:$J$721,"未平倉")</f>
        <v/>
      </c>
    </row>
    <row r="40">
      <c r="A40" s="2" t="inlineStr">
        <is>
          <t>MUBARAK_USDT_PERP</t>
        </is>
      </c>
      <c r="B40" s="2">
        <f>COUNTIFS(交易明細!$B$2:$B$721,$A40)</f>
        <v/>
      </c>
      <c r="C40" s="2">
        <f>COUNTIFS(交易明細!$B$2:$B$721,$A40,交易明細!$C$2:$C$721,"做多")</f>
        <v/>
      </c>
      <c r="D40" s="2">
        <f>COUNTIFS(交易明細!$B$2:$B$721,$A40,交易明細!$C$2:$C$721,"做空")</f>
        <v/>
      </c>
      <c r="E40" s="2">
        <f>F40+G40+COUNTIFS(交易明細!$B$2:$B$721,$A40,交易明細!$J$2:$J$721,"時間出場")</f>
        <v/>
      </c>
      <c r="F40" s="2">
        <f>COUNTIFS(交易明細!$B$2:$B$721,$A40,交易明細!$J$2:$J$721,"止盈")</f>
        <v/>
      </c>
      <c r="G40" s="2">
        <f>COUNTIFS(交易明細!$B$2:$B$721,$A40,交易明細!$J$2:$J$721,"止損")</f>
        <v/>
      </c>
      <c r="H40" s="4">
        <f>IFERROR(F40/E40,0)</f>
        <v/>
      </c>
      <c r="I40" s="4">
        <f>IFERROR(AVERAGEIFS(交易明細!$L$2:$L$721,交易明細!$B$2:$B$721,$A40,交易明細!$J$2:$J$721,"&lt;&gt;未平倉"),0)</f>
        <v/>
      </c>
      <c r="J40" s="4">
        <f>SUMIFS(交易明細!$L$2:$L$721,交易明細!$B$2:$B$721,$A40,交易明細!$J$2:$J$721,"&lt;&gt;未平倉")</f>
        <v/>
      </c>
      <c r="K40" s="5">
        <f>IFERROR(AVERAGEIFS(交易明細!$K$2:$K$721,交易明細!$B$2:$B$721,$A40,交易明細!$J$2:$J$721,"&lt;&gt;未平倉"),0)</f>
        <v/>
      </c>
      <c r="L40" s="2">
        <f>COUNTIFS(交易明細!$B$2:$B$721,$A40,交易明細!$J$2:$J$721,"未平倉")</f>
        <v/>
      </c>
    </row>
    <row r="41">
      <c r="A41" s="2" t="inlineStr">
        <is>
          <t>NMR_USDT_PERP</t>
        </is>
      </c>
      <c r="B41" s="2">
        <f>COUNTIFS(交易明細!$B$2:$B$721,$A41)</f>
        <v/>
      </c>
      <c r="C41" s="2">
        <f>COUNTIFS(交易明細!$B$2:$B$721,$A41,交易明細!$C$2:$C$721,"做多")</f>
        <v/>
      </c>
      <c r="D41" s="2">
        <f>COUNTIFS(交易明細!$B$2:$B$721,$A41,交易明細!$C$2:$C$721,"做空")</f>
        <v/>
      </c>
      <c r="E41" s="2">
        <f>F41+G41+COUNTIFS(交易明細!$B$2:$B$721,$A41,交易明細!$J$2:$J$721,"時間出場")</f>
        <v/>
      </c>
      <c r="F41" s="2">
        <f>COUNTIFS(交易明細!$B$2:$B$721,$A41,交易明細!$J$2:$J$721,"止盈")</f>
        <v/>
      </c>
      <c r="G41" s="2">
        <f>COUNTIFS(交易明細!$B$2:$B$721,$A41,交易明細!$J$2:$J$721,"止損")</f>
        <v/>
      </c>
      <c r="H41" s="4">
        <f>IFERROR(F41/E41,0)</f>
        <v/>
      </c>
      <c r="I41" s="4">
        <f>IFERROR(AVERAGEIFS(交易明細!$L$2:$L$721,交易明細!$B$2:$B$721,$A41,交易明細!$J$2:$J$721,"&lt;&gt;未平倉"),0)</f>
        <v/>
      </c>
      <c r="J41" s="4">
        <f>SUMIFS(交易明細!$L$2:$L$721,交易明細!$B$2:$B$721,$A41,交易明細!$J$2:$J$721,"&lt;&gt;未平倉")</f>
        <v/>
      </c>
      <c r="K41" s="5">
        <f>IFERROR(AVERAGEIFS(交易明細!$K$2:$K$721,交易明細!$B$2:$B$721,$A41,交易明細!$J$2:$J$721,"&lt;&gt;未平倉"),0)</f>
        <v/>
      </c>
      <c r="L41" s="2">
        <f>COUNTIFS(交易明細!$B$2:$B$721,$A41,交易明細!$J$2:$J$721,"未平倉")</f>
        <v/>
      </c>
    </row>
    <row r="42">
      <c r="A42" s="2" t="inlineStr">
        <is>
          <t>SKR_USDT_PERP</t>
        </is>
      </c>
      <c r="B42" s="2">
        <f>COUNTIFS(交易明細!$B$2:$B$721,$A42)</f>
        <v/>
      </c>
      <c r="C42" s="2">
        <f>COUNTIFS(交易明細!$B$2:$B$721,$A42,交易明細!$C$2:$C$721,"做多")</f>
        <v/>
      </c>
      <c r="D42" s="2">
        <f>COUNTIFS(交易明細!$B$2:$B$721,$A42,交易明細!$C$2:$C$721,"做空")</f>
        <v/>
      </c>
      <c r="E42" s="2">
        <f>F42+G42+COUNTIFS(交易明細!$B$2:$B$721,$A42,交易明細!$J$2:$J$721,"時間出場")</f>
        <v/>
      </c>
      <c r="F42" s="2">
        <f>COUNTIFS(交易明細!$B$2:$B$721,$A42,交易明細!$J$2:$J$721,"止盈")</f>
        <v/>
      </c>
      <c r="G42" s="2">
        <f>COUNTIFS(交易明細!$B$2:$B$721,$A42,交易明細!$J$2:$J$721,"止損")</f>
        <v/>
      </c>
      <c r="H42" s="4">
        <f>IFERROR(F42/E42,0)</f>
        <v/>
      </c>
      <c r="I42" s="4">
        <f>IFERROR(AVERAGEIFS(交易明細!$L$2:$L$721,交易明細!$B$2:$B$721,$A42,交易明細!$J$2:$J$721,"&lt;&gt;未平倉"),0)</f>
        <v/>
      </c>
      <c r="J42" s="4">
        <f>SUMIFS(交易明細!$L$2:$L$721,交易明細!$B$2:$B$721,$A42,交易明細!$J$2:$J$721,"&lt;&gt;未平倉")</f>
        <v/>
      </c>
      <c r="K42" s="5">
        <f>IFERROR(AVERAGEIFS(交易明細!$K$2:$K$721,交易明細!$B$2:$B$721,$A42,交易明細!$J$2:$J$721,"&lt;&gt;未平倉"),0)</f>
        <v/>
      </c>
      <c r="L42" s="2">
        <f>COUNTIFS(交易明細!$B$2:$B$721,$A42,交易明細!$J$2:$J$721,"未平倉")</f>
        <v/>
      </c>
    </row>
    <row r="43">
      <c r="A43" s="2" t="inlineStr">
        <is>
          <t>IOST_USDT_PERP</t>
        </is>
      </c>
      <c r="B43" s="2">
        <f>COUNTIFS(交易明細!$B$2:$B$721,$A43)</f>
        <v/>
      </c>
      <c r="C43" s="2">
        <f>COUNTIFS(交易明細!$B$2:$B$721,$A43,交易明細!$C$2:$C$721,"做多")</f>
        <v/>
      </c>
      <c r="D43" s="2">
        <f>COUNTIFS(交易明細!$B$2:$B$721,$A43,交易明細!$C$2:$C$721,"做空")</f>
        <v/>
      </c>
      <c r="E43" s="2">
        <f>F43+G43+COUNTIFS(交易明細!$B$2:$B$721,$A43,交易明細!$J$2:$J$721,"時間出場")</f>
        <v/>
      </c>
      <c r="F43" s="2">
        <f>COUNTIFS(交易明細!$B$2:$B$721,$A43,交易明細!$J$2:$J$721,"止盈")</f>
        <v/>
      </c>
      <c r="G43" s="2">
        <f>COUNTIFS(交易明細!$B$2:$B$721,$A43,交易明細!$J$2:$J$721,"止損")</f>
        <v/>
      </c>
      <c r="H43" s="4">
        <f>IFERROR(F43/E43,0)</f>
        <v/>
      </c>
      <c r="I43" s="4">
        <f>IFERROR(AVERAGEIFS(交易明細!$L$2:$L$721,交易明細!$B$2:$B$721,$A43,交易明細!$J$2:$J$721,"&lt;&gt;未平倉"),0)</f>
        <v/>
      </c>
      <c r="J43" s="4">
        <f>SUMIFS(交易明細!$L$2:$L$721,交易明細!$B$2:$B$721,$A43,交易明細!$J$2:$J$721,"&lt;&gt;未平倉")</f>
        <v/>
      </c>
      <c r="K43" s="5">
        <f>IFERROR(AVERAGEIFS(交易明細!$K$2:$K$721,交易明細!$B$2:$B$721,$A43,交易明細!$J$2:$J$721,"&lt;&gt;未平倉"),0)</f>
        <v/>
      </c>
      <c r="L43" s="2">
        <f>COUNTIFS(交易明細!$B$2:$B$721,$A43,交易明細!$J$2:$J$721,"未平倉")</f>
        <v/>
      </c>
    </row>
    <row r="44">
      <c r="A44" s="2" t="inlineStr">
        <is>
          <t>DOT_USDT_PERP</t>
        </is>
      </c>
      <c r="B44" s="2">
        <f>COUNTIFS(交易明細!$B$2:$B$721,$A44)</f>
        <v/>
      </c>
      <c r="C44" s="2">
        <f>COUNTIFS(交易明細!$B$2:$B$721,$A44,交易明細!$C$2:$C$721,"做多")</f>
        <v/>
      </c>
      <c r="D44" s="2">
        <f>COUNTIFS(交易明細!$B$2:$B$721,$A44,交易明細!$C$2:$C$721,"做空")</f>
        <v/>
      </c>
      <c r="E44" s="2">
        <f>F44+G44+COUNTIFS(交易明細!$B$2:$B$721,$A44,交易明細!$J$2:$J$721,"時間出場")</f>
        <v/>
      </c>
      <c r="F44" s="2">
        <f>COUNTIFS(交易明細!$B$2:$B$721,$A44,交易明細!$J$2:$J$721,"止盈")</f>
        <v/>
      </c>
      <c r="G44" s="2">
        <f>COUNTIFS(交易明細!$B$2:$B$721,$A44,交易明細!$J$2:$J$721,"止損")</f>
        <v/>
      </c>
      <c r="H44" s="4">
        <f>IFERROR(F44/E44,0)</f>
        <v/>
      </c>
      <c r="I44" s="4">
        <f>IFERROR(AVERAGEIFS(交易明細!$L$2:$L$721,交易明細!$B$2:$B$721,$A44,交易明細!$J$2:$J$721,"&lt;&gt;未平倉"),0)</f>
        <v/>
      </c>
      <c r="J44" s="4">
        <f>SUMIFS(交易明細!$L$2:$L$721,交易明細!$B$2:$B$721,$A44,交易明細!$J$2:$J$721,"&lt;&gt;未平倉")</f>
        <v/>
      </c>
      <c r="K44" s="5">
        <f>IFERROR(AVERAGEIFS(交易明細!$K$2:$K$721,交易明細!$B$2:$B$721,$A44,交易明細!$J$2:$J$721,"&lt;&gt;未平倉"),0)</f>
        <v/>
      </c>
      <c r="L44" s="2">
        <f>COUNTIFS(交易明細!$B$2:$B$721,$A44,交易明細!$J$2:$J$721,"未平倉")</f>
        <v/>
      </c>
    </row>
    <row r="45">
      <c r="A45" s="2" t="inlineStr">
        <is>
          <t>MET_USDT_PERP</t>
        </is>
      </c>
      <c r="B45" s="2">
        <f>COUNTIFS(交易明細!$B$2:$B$721,$A45)</f>
        <v/>
      </c>
      <c r="C45" s="2">
        <f>COUNTIFS(交易明細!$B$2:$B$721,$A45,交易明細!$C$2:$C$721,"做多")</f>
        <v/>
      </c>
      <c r="D45" s="2">
        <f>COUNTIFS(交易明細!$B$2:$B$721,$A45,交易明細!$C$2:$C$721,"做空")</f>
        <v/>
      </c>
      <c r="E45" s="2">
        <f>F45+G45+COUNTIFS(交易明細!$B$2:$B$721,$A45,交易明細!$J$2:$J$721,"時間出場")</f>
        <v/>
      </c>
      <c r="F45" s="2">
        <f>COUNTIFS(交易明細!$B$2:$B$721,$A45,交易明細!$J$2:$J$721,"止盈")</f>
        <v/>
      </c>
      <c r="G45" s="2">
        <f>COUNTIFS(交易明細!$B$2:$B$721,$A45,交易明細!$J$2:$J$721,"止損")</f>
        <v/>
      </c>
      <c r="H45" s="4">
        <f>IFERROR(F45/E45,0)</f>
        <v/>
      </c>
      <c r="I45" s="4">
        <f>IFERROR(AVERAGEIFS(交易明細!$L$2:$L$721,交易明細!$B$2:$B$721,$A45,交易明細!$J$2:$J$721,"&lt;&gt;未平倉"),0)</f>
        <v/>
      </c>
      <c r="J45" s="4">
        <f>SUMIFS(交易明細!$L$2:$L$721,交易明細!$B$2:$B$721,$A45,交易明細!$J$2:$J$721,"&lt;&gt;未平倉")</f>
        <v/>
      </c>
      <c r="K45" s="5">
        <f>IFERROR(AVERAGEIFS(交易明細!$K$2:$K$721,交易明細!$B$2:$B$721,$A45,交易明細!$J$2:$J$721,"&lt;&gt;未平倉"),0)</f>
        <v/>
      </c>
      <c r="L45" s="2">
        <f>COUNTIFS(交易明細!$B$2:$B$721,$A45,交易明細!$J$2:$J$721,"未平倉")</f>
        <v/>
      </c>
    </row>
    <row r="46">
      <c r="A46" s="2" t="inlineStr">
        <is>
          <t>LAB_USDT_PERP</t>
        </is>
      </c>
      <c r="B46" s="2">
        <f>COUNTIFS(交易明細!$B$2:$B$721,$A46)</f>
        <v/>
      </c>
      <c r="C46" s="2">
        <f>COUNTIFS(交易明細!$B$2:$B$721,$A46,交易明細!$C$2:$C$721,"做多")</f>
        <v/>
      </c>
      <c r="D46" s="2">
        <f>COUNTIFS(交易明細!$B$2:$B$721,$A46,交易明細!$C$2:$C$721,"做空")</f>
        <v/>
      </c>
      <c r="E46" s="2">
        <f>F46+G46+COUNTIFS(交易明細!$B$2:$B$721,$A46,交易明細!$J$2:$J$721,"時間出場")</f>
        <v/>
      </c>
      <c r="F46" s="2">
        <f>COUNTIFS(交易明細!$B$2:$B$721,$A46,交易明細!$J$2:$J$721,"止盈")</f>
        <v/>
      </c>
      <c r="G46" s="2">
        <f>COUNTIFS(交易明細!$B$2:$B$721,$A46,交易明細!$J$2:$J$721,"止損")</f>
        <v/>
      </c>
      <c r="H46" s="4">
        <f>IFERROR(F46/E46,0)</f>
        <v/>
      </c>
      <c r="I46" s="4">
        <f>IFERROR(AVERAGEIFS(交易明細!$L$2:$L$721,交易明細!$B$2:$B$721,$A46,交易明細!$J$2:$J$721,"&lt;&gt;未平倉"),0)</f>
        <v/>
      </c>
      <c r="J46" s="4">
        <f>SUMIFS(交易明細!$L$2:$L$721,交易明細!$B$2:$B$721,$A46,交易明細!$J$2:$J$721,"&lt;&gt;未平倉")</f>
        <v/>
      </c>
      <c r="K46" s="5">
        <f>IFERROR(AVERAGEIFS(交易明細!$K$2:$K$721,交易明細!$B$2:$B$721,$A46,交易明細!$J$2:$J$721,"&lt;&gt;未平倉"),0)</f>
        <v/>
      </c>
      <c r="L46" s="2">
        <f>COUNTIFS(交易明細!$B$2:$B$721,$A46,交易明細!$J$2:$J$721,"未平倉")</f>
        <v/>
      </c>
    </row>
    <row r="47">
      <c r="A47" s="2" t="inlineStr">
        <is>
          <t>FIL_USDT_PERP</t>
        </is>
      </c>
      <c r="B47" s="2">
        <f>COUNTIFS(交易明細!$B$2:$B$721,$A47)</f>
        <v/>
      </c>
      <c r="C47" s="2">
        <f>COUNTIFS(交易明細!$B$2:$B$721,$A47,交易明細!$C$2:$C$721,"做多")</f>
        <v/>
      </c>
      <c r="D47" s="2">
        <f>COUNTIFS(交易明細!$B$2:$B$721,$A47,交易明細!$C$2:$C$721,"做空")</f>
        <v/>
      </c>
      <c r="E47" s="2">
        <f>F47+G47+COUNTIFS(交易明細!$B$2:$B$721,$A47,交易明細!$J$2:$J$721,"時間出場")</f>
        <v/>
      </c>
      <c r="F47" s="2">
        <f>COUNTIFS(交易明細!$B$2:$B$721,$A47,交易明細!$J$2:$J$721,"止盈")</f>
        <v/>
      </c>
      <c r="G47" s="2">
        <f>COUNTIFS(交易明細!$B$2:$B$721,$A47,交易明細!$J$2:$J$721,"止損")</f>
        <v/>
      </c>
      <c r="H47" s="4">
        <f>IFERROR(F47/E47,0)</f>
        <v/>
      </c>
      <c r="I47" s="4">
        <f>IFERROR(AVERAGEIFS(交易明細!$L$2:$L$721,交易明細!$B$2:$B$721,$A47,交易明細!$J$2:$J$721,"&lt;&gt;未平倉"),0)</f>
        <v/>
      </c>
      <c r="J47" s="4">
        <f>SUMIFS(交易明細!$L$2:$L$721,交易明細!$B$2:$B$721,$A47,交易明細!$J$2:$J$721,"&lt;&gt;未平倉")</f>
        <v/>
      </c>
      <c r="K47" s="5">
        <f>IFERROR(AVERAGEIFS(交易明細!$K$2:$K$721,交易明細!$B$2:$B$721,$A47,交易明細!$J$2:$J$721,"&lt;&gt;未平倉"),0)</f>
        <v/>
      </c>
      <c r="L47" s="2">
        <f>COUNTIFS(交易明細!$B$2:$B$721,$A47,交易明細!$J$2:$J$721,"未平倉")</f>
        <v/>
      </c>
    </row>
    <row r="48">
      <c r="A48" s="2" t="inlineStr">
        <is>
          <t>STRK_USDT_PERP</t>
        </is>
      </c>
      <c r="B48" s="2">
        <f>COUNTIFS(交易明細!$B$2:$B$721,$A48)</f>
        <v/>
      </c>
      <c r="C48" s="2">
        <f>COUNTIFS(交易明細!$B$2:$B$721,$A48,交易明細!$C$2:$C$721,"做多")</f>
        <v/>
      </c>
      <c r="D48" s="2">
        <f>COUNTIFS(交易明細!$B$2:$B$721,$A48,交易明細!$C$2:$C$721,"做空")</f>
        <v/>
      </c>
      <c r="E48" s="2">
        <f>F48+G48+COUNTIFS(交易明細!$B$2:$B$721,$A48,交易明細!$J$2:$J$721,"時間出場")</f>
        <v/>
      </c>
      <c r="F48" s="2">
        <f>COUNTIFS(交易明細!$B$2:$B$721,$A48,交易明細!$J$2:$J$721,"止盈")</f>
        <v/>
      </c>
      <c r="G48" s="2">
        <f>COUNTIFS(交易明細!$B$2:$B$721,$A48,交易明細!$J$2:$J$721,"止損")</f>
        <v/>
      </c>
      <c r="H48" s="4">
        <f>IFERROR(F48/E48,0)</f>
        <v/>
      </c>
      <c r="I48" s="4">
        <f>IFERROR(AVERAGEIFS(交易明細!$L$2:$L$721,交易明細!$B$2:$B$721,$A48,交易明細!$J$2:$J$721,"&lt;&gt;未平倉"),0)</f>
        <v/>
      </c>
      <c r="J48" s="4">
        <f>SUMIFS(交易明細!$L$2:$L$721,交易明細!$B$2:$B$721,$A48,交易明細!$J$2:$J$721,"&lt;&gt;未平倉")</f>
        <v/>
      </c>
      <c r="K48" s="5">
        <f>IFERROR(AVERAGEIFS(交易明細!$K$2:$K$721,交易明細!$B$2:$B$721,$A48,交易明細!$J$2:$J$721,"&lt;&gt;未平倉"),0)</f>
        <v/>
      </c>
      <c r="L48" s="2">
        <f>COUNTIFS(交易明細!$B$2:$B$721,$A48,交易明細!$J$2:$J$721,"未平倉")</f>
        <v/>
      </c>
    </row>
    <row r="49">
      <c r="A49" s="2" t="inlineStr">
        <is>
          <t>XMR_USDT_PERP</t>
        </is>
      </c>
      <c r="B49" s="2">
        <f>COUNTIFS(交易明細!$B$2:$B$721,$A49)</f>
        <v/>
      </c>
      <c r="C49" s="2">
        <f>COUNTIFS(交易明細!$B$2:$B$721,$A49,交易明細!$C$2:$C$721,"做多")</f>
        <v/>
      </c>
      <c r="D49" s="2">
        <f>COUNTIFS(交易明細!$B$2:$B$721,$A49,交易明細!$C$2:$C$721,"做空")</f>
        <v/>
      </c>
      <c r="E49" s="2">
        <f>F49+G49+COUNTIFS(交易明細!$B$2:$B$721,$A49,交易明細!$J$2:$J$721,"時間出場")</f>
        <v/>
      </c>
      <c r="F49" s="2">
        <f>COUNTIFS(交易明細!$B$2:$B$721,$A49,交易明細!$J$2:$J$721,"止盈")</f>
        <v/>
      </c>
      <c r="G49" s="2">
        <f>COUNTIFS(交易明細!$B$2:$B$721,$A49,交易明細!$J$2:$J$721,"止損")</f>
        <v/>
      </c>
      <c r="H49" s="4">
        <f>IFERROR(F49/E49,0)</f>
        <v/>
      </c>
      <c r="I49" s="4">
        <f>IFERROR(AVERAGEIFS(交易明細!$L$2:$L$721,交易明細!$B$2:$B$721,$A49,交易明細!$J$2:$J$721,"&lt;&gt;未平倉"),0)</f>
        <v/>
      </c>
      <c r="J49" s="4">
        <f>SUMIFS(交易明細!$L$2:$L$721,交易明細!$B$2:$B$721,$A49,交易明細!$J$2:$J$721,"&lt;&gt;未平倉")</f>
        <v/>
      </c>
      <c r="K49" s="5">
        <f>IFERROR(AVERAGEIFS(交易明細!$K$2:$K$721,交易明細!$B$2:$B$721,$A49,交易明細!$J$2:$J$721,"&lt;&gt;未平倉"),0)</f>
        <v/>
      </c>
      <c r="L49" s="2">
        <f>COUNTIFS(交易明細!$B$2:$B$721,$A49,交易明細!$J$2:$J$721,"未平倉")</f>
        <v/>
      </c>
    </row>
    <row r="50">
      <c r="A50" s="2" t="inlineStr">
        <is>
          <t>CRV_USDT_PERP</t>
        </is>
      </c>
      <c r="B50" s="2">
        <f>COUNTIFS(交易明細!$B$2:$B$721,$A50)</f>
        <v/>
      </c>
      <c r="C50" s="2">
        <f>COUNTIFS(交易明細!$B$2:$B$721,$A50,交易明細!$C$2:$C$721,"做多")</f>
        <v/>
      </c>
      <c r="D50" s="2">
        <f>COUNTIFS(交易明細!$B$2:$B$721,$A50,交易明細!$C$2:$C$721,"做空")</f>
        <v/>
      </c>
      <c r="E50" s="2">
        <f>F50+G50+COUNTIFS(交易明細!$B$2:$B$721,$A50,交易明細!$J$2:$J$721,"時間出場")</f>
        <v/>
      </c>
      <c r="F50" s="2">
        <f>COUNTIFS(交易明細!$B$2:$B$721,$A50,交易明細!$J$2:$J$721,"止盈")</f>
        <v/>
      </c>
      <c r="G50" s="2">
        <f>COUNTIFS(交易明細!$B$2:$B$721,$A50,交易明細!$J$2:$J$721,"止損")</f>
        <v/>
      </c>
      <c r="H50" s="4">
        <f>IFERROR(F50/E50,0)</f>
        <v/>
      </c>
      <c r="I50" s="4">
        <f>IFERROR(AVERAGEIFS(交易明細!$L$2:$L$721,交易明細!$B$2:$B$721,$A50,交易明細!$J$2:$J$721,"&lt;&gt;未平倉"),0)</f>
        <v/>
      </c>
      <c r="J50" s="4">
        <f>SUMIFS(交易明細!$L$2:$L$721,交易明細!$B$2:$B$721,$A50,交易明細!$J$2:$J$721,"&lt;&gt;未平倉")</f>
        <v/>
      </c>
      <c r="K50" s="5">
        <f>IFERROR(AVERAGEIFS(交易明細!$K$2:$K$721,交易明細!$B$2:$B$721,$A50,交易明細!$J$2:$J$721,"&lt;&gt;未平倉"),0)</f>
        <v/>
      </c>
      <c r="L50" s="2">
        <f>COUNTIFS(交易明細!$B$2:$B$721,$A50,交易明細!$J$2:$J$721,"未平倉")</f>
        <v/>
      </c>
    </row>
    <row r="51">
      <c r="A51" s="2" t="inlineStr">
        <is>
          <t>BTR_USDT_PERP</t>
        </is>
      </c>
      <c r="B51" s="2">
        <f>COUNTIFS(交易明細!$B$2:$B$721,$A51)</f>
        <v/>
      </c>
      <c r="C51" s="2">
        <f>COUNTIFS(交易明細!$B$2:$B$721,$A51,交易明細!$C$2:$C$721,"做多")</f>
        <v/>
      </c>
      <c r="D51" s="2">
        <f>COUNTIFS(交易明細!$B$2:$B$721,$A51,交易明細!$C$2:$C$721,"做空")</f>
        <v/>
      </c>
      <c r="E51" s="2">
        <f>F51+G51+COUNTIFS(交易明細!$B$2:$B$721,$A51,交易明細!$J$2:$J$721,"時間出場")</f>
        <v/>
      </c>
      <c r="F51" s="2">
        <f>COUNTIFS(交易明細!$B$2:$B$721,$A51,交易明細!$J$2:$J$721,"止盈")</f>
        <v/>
      </c>
      <c r="G51" s="2">
        <f>COUNTIFS(交易明細!$B$2:$B$721,$A51,交易明細!$J$2:$J$721,"止損")</f>
        <v/>
      </c>
      <c r="H51" s="4">
        <f>IFERROR(F51/E51,0)</f>
        <v/>
      </c>
      <c r="I51" s="4">
        <f>IFERROR(AVERAGEIFS(交易明細!$L$2:$L$721,交易明細!$B$2:$B$721,$A51,交易明細!$J$2:$J$721,"&lt;&gt;未平倉"),0)</f>
        <v/>
      </c>
      <c r="J51" s="4">
        <f>SUMIFS(交易明細!$L$2:$L$721,交易明細!$B$2:$B$721,$A51,交易明細!$J$2:$J$721,"&lt;&gt;未平倉")</f>
        <v/>
      </c>
      <c r="K51" s="5">
        <f>IFERROR(AVERAGEIFS(交易明細!$K$2:$K$721,交易明細!$B$2:$B$721,$A51,交易明細!$J$2:$J$721,"&lt;&gt;未平倉"),0)</f>
        <v/>
      </c>
      <c r="L51" s="2">
        <f>COUNTIFS(交易明細!$B$2:$B$721,$A51,交易明細!$J$2:$J$721,"未平倉")</f>
        <v/>
      </c>
    </row>
    <row r="52">
      <c r="A52" s="2" t="inlineStr">
        <is>
          <t>TAO_USDT_PERP</t>
        </is>
      </c>
      <c r="B52" s="2">
        <f>COUNTIFS(交易明細!$B$2:$B$721,$A52)</f>
        <v/>
      </c>
      <c r="C52" s="2">
        <f>COUNTIFS(交易明細!$B$2:$B$721,$A52,交易明細!$C$2:$C$721,"做多")</f>
        <v/>
      </c>
      <c r="D52" s="2">
        <f>COUNTIFS(交易明細!$B$2:$B$721,$A52,交易明細!$C$2:$C$721,"做空")</f>
        <v/>
      </c>
      <c r="E52" s="2">
        <f>F52+G52+COUNTIFS(交易明細!$B$2:$B$721,$A52,交易明細!$J$2:$J$721,"時間出場")</f>
        <v/>
      </c>
      <c r="F52" s="2">
        <f>COUNTIFS(交易明細!$B$2:$B$721,$A52,交易明細!$J$2:$J$721,"止盈")</f>
        <v/>
      </c>
      <c r="G52" s="2">
        <f>COUNTIFS(交易明細!$B$2:$B$721,$A52,交易明細!$J$2:$J$721,"止損")</f>
        <v/>
      </c>
      <c r="H52" s="4">
        <f>IFERROR(F52/E52,0)</f>
        <v/>
      </c>
      <c r="I52" s="4">
        <f>IFERROR(AVERAGEIFS(交易明細!$L$2:$L$721,交易明細!$B$2:$B$721,$A52,交易明細!$J$2:$J$721,"&lt;&gt;未平倉"),0)</f>
        <v/>
      </c>
      <c r="J52" s="4">
        <f>SUMIFS(交易明細!$L$2:$L$721,交易明細!$B$2:$B$721,$A52,交易明細!$J$2:$J$721,"&lt;&gt;未平倉")</f>
        <v/>
      </c>
      <c r="K52" s="5">
        <f>IFERROR(AVERAGEIFS(交易明細!$K$2:$K$721,交易明細!$B$2:$B$721,$A52,交易明細!$J$2:$J$721,"&lt;&gt;未平倉"),0)</f>
        <v/>
      </c>
      <c r="L52" s="2">
        <f>COUNTIFS(交易明細!$B$2:$B$721,$A52,交易明細!$J$2:$J$721,"未平倉")</f>
        <v/>
      </c>
    </row>
    <row r="53">
      <c r="A53" s="2" t="inlineStr">
        <is>
          <t>GENIUS_USDT_PERP</t>
        </is>
      </c>
      <c r="B53" s="2">
        <f>COUNTIFS(交易明細!$B$2:$B$721,$A53)</f>
        <v/>
      </c>
      <c r="C53" s="2">
        <f>COUNTIFS(交易明細!$B$2:$B$721,$A53,交易明細!$C$2:$C$721,"做多")</f>
        <v/>
      </c>
      <c r="D53" s="2">
        <f>COUNTIFS(交易明細!$B$2:$B$721,$A53,交易明細!$C$2:$C$721,"做空")</f>
        <v/>
      </c>
      <c r="E53" s="2">
        <f>F53+G53+COUNTIFS(交易明細!$B$2:$B$721,$A53,交易明細!$J$2:$J$721,"時間出場")</f>
        <v/>
      </c>
      <c r="F53" s="2">
        <f>COUNTIFS(交易明細!$B$2:$B$721,$A53,交易明細!$J$2:$J$721,"止盈")</f>
        <v/>
      </c>
      <c r="G53" s="2">
        <f>COUNTIFS(交易明細!$B$2:$B$721,$A53,交易明細!$J$2:$J$721,"止損")</f>
        <v/>
      </c>
      <c r="H53" s="4">
        <f>IFERROR(F53/E53,0)</f>
        <v/>
      </c>
      <c r="I53" s="4">
        <f>IFERROR(AVERAGEIFS(交易明細!$L$2:$L$721,交易明細!$B$2:$B$721,$A53,交易明細!$J$2:$J$721,"&lt;&gt;未平倉"),0)</f>
        <v/>
      </c>
      <c r="J53" s="4">
        <f>SUMIFS(交易明細!$L$2:$L$721,交易明細!$B$2:$B$721,$A53,交易明細!$J$2:$J$721,"&lt;&gt;未平倉")</f>
        <v/>
      </c>
      <c r="K53" s="5">
        <f>IFERROR(AVERAGEIFS(交易明細!$K$2:$K$721,交易明細!$B$2:$B$721,$A53,交易明細!$J$2:$J$721,"&lt;&gt;未平倉"),0)</f>
        <v/>
      </c>
      <c r="L53" s="2">
        <f>COUNTIFS(交易明細!$B$2:$B$721,$A53,交易明細!$J$2:$J$721,"未平倉")</f>
        <v/>
      </c>
    </row>
    <row r="54">
      <c r="A54" s="2" t="inlineStr">
        <is>
          <t>PEPE_USDT_PERP</t>
        </is>
      </c>
      <c r="B54" s="2">
        <f>COUNTIFS(交易明細!$B$2:$B$721,$A54)</f>
        <v/>
      </c>
      <c r="C54" s="2">
        <f>COUNTIFS(交易明細!$B$2:$B$721,$A54,交易明細!$C$2:$C$721,"做多")</f>
        <v/>
      </c>
      <c r="D54" s="2">
        <f>COUNTIFS(交易明細!$B$2:$B$721,$A54,交易明細!$C$2:$C$721,"做空")</f>
        <v/>
      </c>
      <c r="E54" s="2">
        <f>F54+G54+COUNTIFS(交易明細!$B$2:$B$721,$A54,交易明細!$J$2:$J$721,"時間出場")</f>
        <v/>
      </c>
      <c r="F54" s="2">
        <f>COUNTIFS(交易明細!$B$2:$B$721,$A54,交易明細!$J$2:$J$721,"止盈")</f>
        <v/>
      </c>
      <c r="G54" s="2">
        <f>COUNTIFS(交易明細!$B$2:$B$721,$A54,交易明細!$J$2:$J$721,"止損")</f>
        <v/>
      </c>
      <c r="H54" s="4">
        <f>IFERROR(F54/E54,0)</f>
        <v/>
      </c>
      <c r="I54" s="4">
        <f>IFERROR(AVERAGEIFS(交易明細!$L$2:$L$721,交易明細!$B$2:$B$721,$A54,交易明細!$J$2:$J$721,"&lt;&gt;未平倉"),0)</f>
        <v/>
      </c>
      <c r="J54" s="4">
        <f>SUMIFS(交易明細!$L$2:$L$721,交易明細!$B$2:$B$721,$A54,交易明細!$J$2:$J$721,"&lt;&gt;未平倉")</f>
        <v/>
      </c>
      <c r="K54" s="5">
        <f>IFERROR(AVERAGEIFS(交易明細!$K$2:$K$721,交易明細!$B$2:$B$721,$A54,交易明細!$J$2:$J$721,"&lt;&gt;未平倉"),0)</f>
        <v/>
      </c>
      <c r="L54" s="2">
        <f>COUNTIFS(交易明細!$B$2:$B$721,$A54,交易明細!$J$2:$J$721,"未平倉")</f>
        <v/>
      </c>
    </row>
    <row r="55">
      <c r="A55" s="2" t="inlineStr">
        <is>
          <t>AVAX_USDT_PERP</t>
        </is>
      </c>
      <c r="B55" s="2">
        <f>COUNTIFS(交易明細!$B$2:$B$721,$A55)</f>
        <v/>
      </c>
      <c r="C55" s="2">
        <f>COUNTIFS(交易明細!$B$2:$B$721,$A55,交易明細!$C$2:$C$721,"做多")</f>
        <v/>
      </c>
      <c r="D55" s="2">
        <f>COUNTIFS(交易明細!$B$2:$B$721,$A55,交易明細!$C$2:$C$721,"做空")</f>
        <v/>
      </c>
      <c r="E55" s="2">
        <f>F55+G55+COUNTIFS(交易明細!$B$2:$B$721,$A55,交易明細!$J$2:$J$721,"時間出場")</f>
        <v/>
      </c>
      <c r="F55" s="2">
        <f>COUNTIFS(交易明細!$B$2:$B$721,$A55,交易明細!$J$2:$J$721,"止盈")</f>
        <v/>
      </c>
      <c r="G55" s="2">
        <f>COUNTIFS(交易明細!$B$2:$B$721,$A55,交易明細!$J$2:$J$721,"止損")</f>
        <v/>
      </c>
      <c r="H55" s="4">
        <f>IFERROR(F55/E55,0)</f>
        <v/>
      </c>
      <c r="I55" s="4">
        <f>IFERROR(AVERAGEIFS(交易明細!$L$2:$L$721,交易明細!$B$2:$B$721,$A55,交易明細!$J$2:$J$721,"&lt;&gt;未平倉"),0)</f>
        <v/>
      </c>
      <c r="J55" s="4">
        <f>SUMIFS(交易明細!$L$2:$L$721,交易明細!$B$2:$B$721,$A55,交易明細!$J$2:$J$721,"&lt;&gt;未平倉")</f>
        <v/>
      </c>
      <c r="K55" s="5">
        <f>IFERROR(AVERAGEIFS(交易明細!$K$2:$K$721,交易明細!$B$2:$B$721,$A55,交易明細!$J$2:$J$721,"&lt;&gt;未平倉"),0)</f>
        <v/>
      </c>
      <c r="L55" s="2">
        <f>COUNTIFS(交易明細!$B$2:$B$721,$A55,交易明細!$J$2:$J$721,"未平倉")</f>
        <v/>
      </c>
    </row>
    <row r="56">
      <c r="A56" s="2" t="inlineStr">
        <is>
          <t>DOGE_USDT_PERP</t>
        </is>
      </c>
      <c r="B56" s="2">
        <f>COUNTIFS(交易明細!$B$2:$B$721,$A56)</f>
        <v/>
      </c>
      <c r="C56" s="2">
        <f>COUNTIFS(交易明細!$B$2:$B$721,$A56,交易明細!$C$2:$C$721,"做多")</f>
        <v/>
      </c>
      <c r="D56" s="2">
        <f>COUNTIFS(交易明細!$B$2:$B$721,$A56,交易明細!$C$2:$C$721,"做空")</f>
        <v/>
      </c>
      <c r="E56" s="2">
        <f>F56+G56+COUNTIFS(交易明細!$B$2:$B$721,$A56,交易明細!$J$2:$J$721,"時間出場")</f>
        <v/>
      </c>
      <c r="F56" s="2">
        <f>COUNTIFS(交易明細!$B$2:$B$721,$A56,交易明細!$J$2:$J$721,"止盈")</f>
        <v/>
      </c>
      <c r="G56" s="2">
        <f>COUNTIFS(交易明細!$B$2:$B$721,$A56,交易明細!$J$2:$J$721,"止損")</f>
        <v/>
      </c>
      <c r="H56" s="4">
        <f>IFERROR(F56/E56,0)</f>
        <v/>
      </c>
      <c r="I56" s="4">
        <f>IFERROR(AVERAGEIFS(交易明細!$L$2:$L$721,交易明細!$B$2:$B$721,$A56,交易明細!$J$2:$J$721,"&lt;&gt;未平倉"),0)</f>
        <v/>
      </c>
      <c r="J56" s="4">
        <f>SUMIFS(交易明細!$L$2:$L$721,交易明細!$B$2:$B$721,$A56,交易明細!$J$2:$J$721,"&lt;&gt;未平倉")</f>
        <v/>
      </c>
      <c r="K56" s="5">
        <f>IFERROR(AVERAGEIFS(交易明細!$K$2:$K$721,交易明細!$B$2:$B$721,$A56,交易明細!$J$2:$J$721,"&lt;&gt;未平倉"),0)</f>
        <v/>
      </c>
      <c r="L56" s="2">
        <f>COUNTIFS(交易明細!$B$2:$B$721,$A56,交易明細!$J$2:$J$721,"未平倉")</f>
        <v/>
      </c>
    </row>
    <row r="57">
      <c r="A57" s="2" t="inlineStr">
        <is>
          <t>PYTH_USDT_PERP</t>
        </is>
      </c>
      <c r="B57" s="2">
        <f>COUNTIFS(交易明細!$B$2:$B$721,$A57)</f>
        <v/>
      </c>
      <c r="C57" s="2">
        <f>COUNTIFS(交易明細!$B$2:$B$721,$A57,交易明細!$C$2:$C$721,"做多")</f>
        <v/>
      </c>
      <c r="D57" s="2">
        <f>COUNTIFS(交易明細!$B$2:$B$721,$A57,交易明細!$C$2:$C$721,"做空")</f>
        <v/>
      </c>
      <c r="E57" s="2">
        <f>F57+G57+COUNTIFS(交易明細!$B$2:$B$721,$A57,交易明細!$J$2:$J$721,"時間出場")</f>
        <v/>
      </c>
      <c r="F57" s="2">
        <f>COUNTIFS(交易明細!$B$2:$B$721,$A57,交易明細!$J$2:$J$721,"止盈")</f>
        <v/>
      </c>
      <c r="G57" s="2">
        <f>COUNTIFS(交易明細!$B$2:$B$721,$A57,交易明細!$J$2:$J$721,"止損")</f>
        <v/>
      </c>
      <c r="H57" s="4">
        <f>IFERROR(F57/E57,0)</f>
        <v/>
      </c>
      <c r="I57" s="4">
        <f>IFERROR(AVERAGEIFS(交易明細!$L$2:$L$721,交易明細!$B$2:$B$721,$A57,交易明細!$J$2:$J$721,"&lt;&gt;未平倉"),0)</f>
        <v/>
      </c>
      <c r="J57" s="4">
        <f>SUMIFS(交易明細!$L$2:$L$721,交易明細!$B$2:$B$721,$A57,交易明細!$J$2:$J$721,"&lt;&gt;未平倉")</f>
        <v/>
      </c>
      <c r="K57" s="5">
        <f>IFERROR(AVERAGEIFS(交易明細!$K$2:$K$721,交易明細!$B$2:$B$721,$A57,交易明細!$J$2:$J$721,"&lt;&gt;未平倉"),0)</f>
        <v/>
      </c>
      <c r="L57" s="2">
        <f>COUNTIFS(交易明細!$B$2:$B$721,$A57,交易明細!$J$2:$J$721,"未平倉")</f>
        <v/>
      </c>
    </row>
    <row r="58">
      <c r="A58" s="2" t="inlineStr">
        <is>
          <t>TIA_USDT_PERP</t>
        </is>
      </c>
      <c r="B58" s="2">
        <f>COUNTIFS(交易明細!$B$2:$B$721,$A58)</f>
        <v/>
      </c>
      <c r="C58" s="2">
        <f>COUNTIFS(交易明細!$B$2:$B$721,$A58,交易明細!$C$2:$C$721,"做多")</f>
        <v/>
      </c>
      <c r="D58" s="2">
        <f>COUNTIFS(交易明細!$B$2:$B$721,$A58,交易明細!$C$2:$C$721,"做空")</f>
        <v/>
      </c>
      <c r="E58" s="2">
        <f>F58+G58+COUNTIFS(交易明細!$B$2:$B$721,$A58,交易明細!$J$2:$J$721,"時間出場")</f>
        <v/>
      </c>
      <c r="F58" s="2">
        <f>COUNTIFS(交易明細!$B$2:$B$721,$A58,交易明細!$J$2:$J$721,"止盈")</f>
        <v/>
      </c>
      <c r="G58" s="2">
        <f>COUNTIFS(交易明細!$B$2:$B$721,$A58,交易明細!$J$2:$J$721,"止損")</f>
        <v/>
      </c>
      <c r="H58" s="4">
        <f>IFERROR(F58/E58,0)</f>
        <v/>
      </c>
      <c r="I58" s="4">
        <f>IFERROR(AVERAGEIFS(交易明細!$L$2:$L$721,交易明細!$B$2:$B$721,$A58,交易明細!$J$2:$J$721,"&lt;&gt;未平倉"),0)</f>
        <v/>
      </c>
      <c r="J58" s="4">
        <f>SUMIFS(交易明細!$L$2:$L$721,交易明細!$B$2:$B$721,$A58,交易明細!$J$2:$J$721,"&lt;&gt;未平倉")</f>
        <v/>
      </c>
      <c r="K58" s="5">
        <f>IFERROR(AVERAGEIFS(交易明細!$K$2:$K$721,交易明細!$B$2:$B$721,$A58,交易明細!$J$2:$J$721,"&lt;&gt;未平倉"),0)</f>
        <v/>
      </c>
      <c r="L58" s="2">
        <f>COUNTIFS(交易明細!$B$2:$B$721,$A58,交易明細!$J$2:$J$721,"未平倉")</f>
        <v/>
      </c>
    </row>
    <row r="59">
      <c r="A59" s="2" t="inlineStr">
        <is>
          <t>SAGA_USDT_PERP</t>
        </is>
      </c>
      <c r="B59" s="2">
        <f>COUNTIFS(交易明細!$B$2:$B$721,$A59)</f>
        <v/>
      </c>
      <c r="C59" s="2">
        <f>COUNTIFS(交易明細!$B$2:$B$721,$A59,交易明細!$C$2:$C$721,"做多")</f>
        <v/>
      </c>
      <c r="D59" s="2">
        <f>COUNTIFS(交易明細!$B$2:$B$721,$A59,交易明細!$C$2:$C$721,"做空")</f>
        <v/>
      </c>
      <c r="E59" s="2">
        <f>F59+G59+COUNTIFS(交易明細!$B$2:$B$721,$A59,交易明細!$J$2:$J$721,"時間出場")</f>
        <v/>
      </c>
      <c r="F59" s="2">
        <f>COUNTIFS(交易明細!$B$2:$B$721,$A59,交易明細!$J$2:$J$721,"止盈")</f>
        <v/>
      </c>
      <c r="G59" s="2">
        <f>COUNTIFS(交易明細!$B$2:$B$721,$A59,交易明細!$J$2:$J$721,"止損")</f>
        <v/>
      </c>
      <c r="H59" s="4">
        <f>IFERROR(F59/E59,0)</f>
        <v/>
      </c>
      <c r="I59" s="4">
        <f>IFERROR(AVERAGEIFS(交易明細!$L$2:$L$721,交易明細!$B$2:$B$721,$A59,交易明細!$J$2:$J$721,"&lt;&gt;未平倉"),0)</f>
        <v/>
      </c>
      <c r="J59" s="4">
        <f>SUMIFS(交易明細!$L$2:$L$721,交易明細!$B$2:$B$721,$A59,交易明細!$J$2:$J$721,"&lt;&gt;未平倉")</f>
        <v/>
      </c>
      <c r="K59" s="5">
        <f>IFERROR(AVERAGEIFS(交易明細!$K$2:$K$721,交易明細!$B$2:$B$721,$A59,交易明細!$J$2:$J$721,"&lt;&gt;未平倉"),0)</f>
        <v/>
      </c>
      <c r="L59" s="2">
        <f>COUNTIFS(交易明細!$B$2:$B$721,$A59,交易明細!$J$2:$J$721,"未平倉")</f>
        <v/>
      </c>
    </row>
    <row r="60">
      <c r="A60" s="2" t="inlineStr">
        <is>
          <t>SOON_USDT_PERP</t>
        </is>
      </c>
      <c r="B60" s="2">
        <f>COUNTIFS(交易明細!$B$2:$B$721,$A60)</f>
        <v/>
      </c>
      <c r="C60" s="2">
        <f>COUNTIFS(交易明細!$B$2:$B$721,$A60,交易明細!$C$2:$C$721,"做多")</f>
        <v/>
      </c>
      <c r="D60" s="2">
        <f>COUNTIFS(交易明細!$B$2:$B$721,$A60,交易明細!$C$2:$C$721,"做空")</f>
        <v/>
      </c>
      <c r="E60" s="2">
        <f>F60+G60+COUNTIFS(交易明細!$B$2:$B$721,$A60,交易明細!$J$2:$J$721,"時間出場")</f>
        <v/>
      </c>
      <c r="F60" s="2">
        <f>COUNTIFS(交易明細!$B$2:$B$721,$A60,交易明細!$J$2:$J$721,"止盈")</f>
        <v/>
      </c>
      <c r="G60" s="2">
        <f>COUNTIFS(交易明細!$B$2:$B$721,$A60,交易明細!$J$2:$J$721,"止損")</f>
        <v/>
      </c>
      <c r="H60" s="4">
        <f>IFERROR(F60/E60,0)</f>
        <v/>
      </c>
      <c r="I60" s="4">
        <f>IFERROR(AVERAGEIFS(交易明細!$L$2:$L$721,交易明細!$B$2:$B$721,$A60,交易明細!$J$2:$J$721,"&lt;&gt;未平倉"),0)</f>
        <v/>
      </c>
      <c r="J60" s="4">
        <f>SUMIFS(交易明細!$L$2:$L$721,交易明細!$B$2:$B$721,$A60,交易明細!$J$2:$J$721,"&lt;&gt;未平倉")</f>
        <v/>
      </c>
      <c r="K60" s="5">
        <f>IFERROR(AVERAGEIFS(交易明細!$K$2:$K$721,交易明細!$B$2:$B$721,$A60,交易明細!$J$2:$J$721,"&lt;&gt;未平倉"),0)</f>
        <v/>
      </c>
      <c r="L60" s="2">
        <f>COUNTIFS(交易明細!$B$2:$B$721,$A60,交易明細!$J$2:$J$721,"未平倉")</f>
        <v/>
      </c>
    </row>
    <row r="61">
      <c r="A61" s="2" t="inlineStr">
        <is>
          <t>OGN_USDT_PERP</t>
        </is>
      </c>
      <c r="B61" s="2">
        <f>COUNTIFS(交易明細!$B$2:$B$721,$A61)</f>
        <v/>
      </c>
      <c r="C61" s="2">
        <f>COUNTIFS(交易明細!$B$2:$B$721,$A61,交易明細!$C$2:$C$721,"做多")</f>
        <v/>
      </c>
      <c r="D61" s="2">
        <f>COUNTIFS(交易明細!$B$2:$B$721,$A61,交易明細!$C$2:$C$721,"做空")</f>
        <v/>
      </c>
      <c r="E61" s="2">
        <f>F61+G61+COUNTIFS(交易明細!$B$2:$B$721,$A61,交易明細!$J$2:$J$721,"時間出場")</f>
        <v/>
      </c>
      <c r="F61" s="2">
        <f>COUNTIFS(交易明細!$B$2:$B$721,$A61,交易明細!$J$2:$J$721,"止盈")</f>
        <v/>
      </c>
      <c r="G61" s="2">
        <f>COUNTIFS(交易明細!$B$2:$B$721,$A61,交易明細!$J$2:$J$721,"止損")</f>
        <v/>
      </c>
      <c r="H61" s="4">
        <f>IFERROR(F61/E61,0)</f>
        <v/>
      </c>
      <c r="I61" s="4">
        <f>IFERROR(AVERAGEIFS(交易明細!$L$2:$L$721,交易明細!$B$2:$B$721,$A61,交易明細!$J$2:$J$721,"&lt;&gt;未平倉"),0)</f>
        <v/>
      </c>
      <c r="J61" s="4">
        <f>SUMIFS(交易明細!$L$2:$L$721,交易明細!$B$2:$B$721,$A61,交易明細!$J$2:$J$721,"&lt;&gt;未平倉")</f>
        <v/>
      </c>
      <c r="K61" s="5">
        <f>IFERROR(AVERAGEIFS(交易明細!$K$2:$K$721,交易明細!$B$2:$B$721,$A61,交易明細!$J$2:$J$721,"&lt;&gt;未平倉"),0)</f>
        <v/>
      </c>
      <c r="L61" s="2">
        <f>COUNTIFS(交易明細!$B$2:$B$721,$A61,交易明細!$J$2:$J$721,"未平倉")</f>
        <v/>
      </c>
    </row>
    <row r="62">
      <c r="A62" s="2" t="inlineStr">
        <is>
          <t>SKYAI_USDT_PERP</t>
        </is>
      </c>
      <c r="B62" s="2">
        <f>COUNTIFS(交易明細!$B$2:$B$721,$A62)</f>
        <v/>
      </c>
      <c r="C62" s="2">
        <f>COUNTIFS(交易明細!$B$2:$B$721,$A62,交易明細!$C$2:$C$721,"做多")</f>
        <v/>
      </c>
      <c r="D62" s="2">
        <f>COUNTIFS(交易明細!$B$2:$B$721,$A62,交易明細!$C$2:$C$721,"做空")</f>
        <v/>
      </c>
      <c r="E62" s="2">
        <f>F62+G62+COUNTIFS(交易明細!$B$2:$B$721,$A62,交易明細!$J$2:$J$721,"時間出場")</f>
        <v/>
      </c>
      <c r="F62" s="2">
        <f>COUNTIFS(交易明細!$B$2:$B$721,$A62,交易明細!$J$2:$J$721,"止盈")</f>
        <v/>
      </c>
      <c r="G62" s="2">
        <f>COUNTIFS(交易明細!$B$2:$B$721,$A62,交易明細!$J$2:$J$721,"止損")</f>
        <v/>
      </c>
      <c r="H62" s="4">
        <f>IFERROR(F62/E62,0)</f>
        <v/>
      </c>
      <c r="I62" s="4">
        <f>IFERROR(AVERAGEIFS(交易明細!$L$2:$L$721,交易明細!$B$2:$B$721,$A62,交易明細!$J$2:$J$721,"&lt;&gt;未平倉"),0)</f>
        <v/>
      </c>
      <c r="J62" s="4">
        <f>SUMIFS(交易明細!$L$2:$L$721,交易明細!$B$2:$B$721,$A62,交易明細!$J$2:$J$721,"&lt;&gt;未平倉")</f>
        <v/>
      </c>
      <c r="K62" s="5">
        <f>IFERROR(AVERAGEIFS(交易明細!$K$2:$K$721,交易明細!$B$2:$B$721,$A62,交易明細!$J$2:$J$721,"&lt;&gt;未平倉"),0)</f>
        <v/>
      </c>
      <c r="L62" s="2">
        <f>COUNTIFS(交易明細!$B$2:$B$721,$A62,交易明細!$J$2:$J$721,"未平倉")</f>
        <v/>
      </c>
    </row>
    <row r="63">
      <c r="A63" s="2" t="inlineStr">
        <is>
          <t>ACE_USDT_PERP</t>
        </is>
      </c>
      <c r="B63" s="2">
        <f>COUNTIFS(交易明細!$B$2:$B$721,$A63)</f>
        <v/>
      </c>
      <c r="C63" s="2">
        <f>COUNTIFS(交易明細!$B$2:$B$721,$A63,交易明細!$C$2:$C$721,"做多")</f>
        <v/>
      </c>
      <c r="D63" s="2">
        <f>COUNTIFS(交易明細!$B$2:$B$721,$A63,交易明細!$C$2:$C$721,"做空")</f>
        <v/>
      </c>
      <c r="E63" s="2">
        <f>F63+G63+COUNTIFS(交易明細!$B$2:$B$721,$A63,交易明細!$J$2:$J$721,"時間出場")</f>
        <v/>
      </c>
      <c r="F63" s="2">
        <f>COUNTIFS(交易明細!$B$2:$B$721,$A63,交易明細!$J$2:$J$721,"止盈")</f>
        <v/>
      </c>
      <c r="G63" s="2">
        <f>COUNTIFS(交易明細!$B$2:$B$721,$A63,交易明細!$J$2:$J$721,"止損")</f>
        <v/>
      </c>
      <c r="H63" s="4">
        <f>IFERROR(F63/E63,0)</f>
        <v/>
      </c>
      <c r="I63" s="4">
        <f>IFERROR(AVERAGEIFS(交易明細!$L$2:$L$721,交易明細!$B$2:$B$721,$A63,交易明細!$J$2:$J$721,"&lt;&gt;未平倉"),0)</f>
        <v/>
      </c>
      <c r="J63" s="4">
        <f>SUMIFS(交易明細!$L$2:$L$721,交易明細!$B$2:$B$721,$A63,交易明細!$J$2:$J$721,"&lt;&gt;未平倉")</f>
        <v/>
      </c>
      <c r="K63" s="5">
        <f>IFERROR(AVERAGEIFS(交易明細!$K$2:$K$721,交易明細!$B$2:$B$721,$A63,交易明細!$J$2:$J$721,"&lt;&gt;未平倉"),0)</f>
        <v/>
      </c>
      <c r="L63" s="2">
        <f>COUNTIFS(交易明細!$B$2:$B$721,$A63,交易明細!$J$2:$J$721,"未平倉")</f>
        <v/>
      </c>
    </row>
    <row r="64">
      <c r="A64" s="2" t="inlineStr">
        <is>
          <t>TRUMP_USDT_PERP</t>
        </is>
      </c>
      <c r="B64" s="2">
        <f>COUNTIFS(交易明細!$B$2:$B$721,$A64)</f>
        <v/>
      </c>
      <c r="C64" s="2">
        <f>COUNTIFS(交易明細!$B$2:$B$721,$A64,交易明細!$C$2:$C$721,"做多")</f>
        <v/>
      </c>
      <c r="D64" s="2">
        <f>COUNTIFS(交易明細!$B$2:$B$721,$A64,交易明細!$C$2:$C$721,"做空")</f>
        <v/>
      </c>
      <c r="E64" s="2">
        <f>F64+G64+COUNTIFS(交易明細!$B$2:$B$721,$A64,交易明細!$J$2:$J$721,"時間出場")</f>
        <v/>
      </c>
      <c r="F64" s="2">
        <f>COUNTIFS(交易明細!$B$2:$B$721,$A64,交易明細!$J$2:$J$721,"止盈")</f>
        <v/>
      </c>
      <c r="G64" s="2">
        <f>COUNTIFS(交易明細!$B$2:$B$721,$A64,交易明細!$J$2:$J$721,"止損")</f>
        <v/>
      </c>
      <c r="H64" s="4">
        <f>IFERROR(F64/E64,0)</f>
        <v/>
      </c>
      <c r="I64" s="4">
        <f>IFERROR(AVERAGEIFS(交易明細!$L$2:$L$721,交易明細!$B$2:$B$721,$A64,交易明細!$J$2:$J$721,"&lt;&gt;未平倉"),0)</f>
        <v/>
      </c>
      <c r="J64" s="4">
        <f>SUMIFS(交易明細!$L$2:$L$721,交易明細!$B$2:$B$721,$A64,交易明細!$J$2:$J$721,"&lt;&gt;未平倉")</f>
        <v/>
      </c>
      <c r="K64" s="5">
        <f>IFERROR(AVERAGEIFS(交易明細!$K$2:$K$721,交易明細!$B$2:$B$721,$A64,交易明細!$J$2:$J$721,"&lt;&gt;未平倉"),0)</f>
        <v/>
      </c>
      <c r="L64" s="2">
        <f>COUNTIFS(交易明細!$B$2:$B$721,$A64,交易明細!$J$2:$J$721,"未平倉")</f>
        <v/>
      </c>
    </row>
    <row r="65">
      <c r="A65" s="2" t="inlineStr">
        <is>
          <t>EDGE_USDT_PERP</t>
        </is>
      </c>
      <c r="B65" s="2">
        <f>COUNTIFS(交易明細!$B$2:$B$721,$A65)</f>
        <v/>
      </c>
      <c r="C65" s="2">
        <f>COUNTIFS(交易明細!$B$2:$B$721,$A65,交易明細!$C$2:$C$721,"做多")</f>
        <v/>
      </c>
      <c r="D65" s="2">
        <f>COUNTIFS(交易明細!$B$2:$B$721,$A65,交易明細!$C$2:$C$721,"做空")</f>
        <v/>
      </c>
      <c r="E65" s="2">
        <f>F65+G65+COUNTIFS(交易明細!$B$2:$B$721,$A65,交易明細!$J$2:$J$721,"時間出場")</f>
        <v/>
      </c>
      <c r="F65" s="2">
        <f>COUNTIFS(交易明細!$B$2:$B$721,$A65,交易明細!$J$2:$J$721,"止盈")</f>
        <v/>
      </c>
      <c r="G65" s="2">
        <f>COUNTIFS(交易明細!$B$2:$B$721,$A65,交易明細!$J$2:$J$721,"止損")</f>
        <v/>
      </c>
      <c r="H65" s="4">
        <f>IFERROR(F65/E65,0)</f>
        <v/>
      </c>
      <c r="I65" s="4">
        <f>IFERROR(AVERAGEIFS(交易明細!$L$2:$L$721,交易明細!$B$2:$B$721,$A65,交易明細!$J$2:$J$721,"&lt;&gt;未平倉"),0)</f>
        <v/>
      </c>
      <c r="J65" s="4">
        <f>SUMIFS(交易明細!$L$2:$L$721,交易明細!$B$2:$B$721,$A65,交易明細!$J$2:$J$721,"&lt;&gt;未平倉")</f>
        <v/>
      </c>
      <c r="K65" s="5">
        <f>IFERROR(AVERAGEIFS(交易明細!$K$2:$K$721,交易明細!$B$2:$B$721,$A65,交易明細!$J$2:$J$721,"&lt;&gt;未平倉"),0)</f>
        <v/>
      </c>
      <c r="L65" s="2">
        <f>COUNTIFS(交易明細!$B$2:$B$721,$A65,交易明細!$J$2:$J$721,"未平倉")</f>
        <v/>
      </c>
    </row>
    <row r="66">
      <c r="A66" s="2" t="inlineStr">
        <is>
          <t>4_USDT_PERP</t>
        </is>
      </c>
      <c r="B66" s="2">
        <f>COUNTIFS(交易明細!$B$2:$B$721,$A66)</f>
        <v/>
      </c>
      <c r="C66" s="2">
        <f>COUNTIFS(交易明細!$B$2:$B$721,$A66,交易明細!$C$2:$C$721,"做多")</f>
        <v/>
      </c>
      <c r="D66" s="2">
        <f>COUNTIFS(交易明細!$B$2:$B$721,$A66,交易明細!$C$2:$C$721,"做空")</f>
        <v/>
      </c>
      <c r="E66" s="2">
        <f>F66+G66+COUNTIFS(交易明細!$B$2:$B$721,$A66,交易明細!$J$2:$J$721,"時間出場")</f>
        <v/>
      </c>
      <c r="F66" s="2">
        <f>COUNTIFS(交易明細!$B$2:$B$721,$A66,交易明細!$J$2:$J$721,"止盈")</f>
        <v/>
      </c>
      <c r="G66" s="2">
        <f>COUNTIFS(交易明細!$B$2:$B$721,$A66,交易明細!$J$2:$J$721,"止損")</f>
        <v/>
      </c>
      <c r="H66" s="4">
        <f>IFERROR(F66/E66,0)</f>
        <v/>
      </c>
      <c r="I66" s="4">
        <f>IFERROR(AVERAGEIFS(交易明細!$L$2:$L$721,交易明細!$B$2:$B$721,$A66,交易明細!$J$2:$J$721,"&lt;&gt;未平倉"),0)</f>
        <v/>
      </c>
      <c r="J66" s="4">
        <f>SUMIFS(交易明細!$L$2:$L$721,交易明細!$B$2:$B$721,$A66,交易明細!$J$2:$J$721,"&lt;&gt;未平倉")</f>
        <v/>
      </c>
      <c r="K66" s="5">
        <f>IFERROR(AVERAGEIFS(交易明細!$K$2:$K$721,交易明細!$B$2:$B$721,$A66,交易明細!$J$2:$J$721,"&lt;&gt;未平倉"),0)</f>
        <v/>
      </c>
      <c r="L66" s="2">
        <f>COUNTIFS(交易明細!$B$2:$B$721,$A66,交易明細!$J$2:$J$721,"未平倉")</f>
        <v/>
      </c>
    </row>
    <row r="67">
      <c r="A67" s="2" t="inlineStr">
        <is>
          <t>ZEN_USDT_PERP</t>
        </is>
      </c>
      <c r="B67" s="2">
        <f>COUNTIFS(交易明細!$B$2:$B$721,$A67)</f>
        <v/>
      </c>
      <c r="C67" s="2">
        <f>COUNTIFS(交易明細!$B$2:$B$721,$A67,交易明細!$C$2:$C$721,"做多")</f>
        <v/>
      </c>
      <c r="D67" s="2">
        <f>COUNTIFS(交易明細!$B$2:$B$721,$A67,交易明細!$C$2:$C$721,"做空")</f>
        <v/>
      </c>
      <c r="E67" s="2">
        <f>F67+G67+COUNTIFS(交易明細!$B$2:$B$721,$A67,交易明細!$J$2:$J$721,"時間出場")</f>
        <v/>
      </c>
      <c r="F67" s="2">
        <f>COUNTIFS(交易明細!$B$2:$B$721,$A67,交易明細!$J$2:$J$721,"止盈")</f>
        <v/>
      </c>
      <c r="G67" s="2">
        <f>COUNTIFS(交易明細!$B$2:$B$721,$A67,交易明細!$J$2:$J$721,"止損")</f>
        <v/>
      </c>
      <c r="H67" s="4">
        <f>IFERROR(F67/E67,0)</f>
        <v/>
      </c>
      <c r="I67" s="4">
        <f>IFERROR(AVERAGEIFS(交易明細!$L$2:$L$721,交易明細!$B$2:$B$721,$A67,交易明細!$J$2:$J$721,"&lt;&gt;未平倉"),0)</f>
        <v/>
      </c>
      <c r="J67" s="4">
        <f>SUMIFS(交易明細!$L$2:$L$721,交易明細!$B$2:$B$721,$A67,交易明細!$J$2:$J$721,"&lt;&gt;未平倉")</f>
        <v/>
      </c>
      <c r="K67" s="5">
        <f>IFERROR(AVERAGEIFS(交易明細!$K$2:$K$721,交易明細!$B$2:$B$721,$A67,交易明細!$J$2:$J$721,"&lt;&gt;未平倉"),0)</f>
        <v/>
      </c>
      <c r="L67" s="2">
        <f>COUNTIFS(交易明細!$B$2:$B$721,$A67,交易明細!$J$2:$J$721,"未平倉")</f>
        <v/>
      </c>
    </row>
    <row r="68">
      <c r="A68" s="2" t="inlineStr">
        <is>
          <t>KAS_USDT_PERP</t>
        </is>
      </c>
      <c r="B68" s="2">
        <f>COUNTIFS(交易明細!$B$2:$B$721,$A68)</f>
        <v/>
      </c>
      <c r="C68" s="2">
        <f>COUNTIFS(交易明細!$B$2:$B$721,$A68,交易明細!$C$2:$C$721,"做多")</f>
        <v/>
      </c>
      <c r="D68" s="2">
        <f>COUNTIFS(交易明細!$B$2:$B$721,$A68,交易明細!$C$2:$C$721,"做空")</f>
        <v/>
      </c>
      <c r="E68" s="2">
        <f>F68+G68+COUNTIFS(交易明細!$B$2:$B$721,$A68,交易明細!$J$2:$J$721,"時間出場")</f>
        <v/>
      </c>
      <c r="F68" s="2">
        <f>COUNTIFS(交易明細!$B$2:$B$721,$A68,交易明細!$J$2:$J$721,"止盈")</f>
        <v/>
      </c>
      <c r="G68" s="2">
        <f>COUNTIFS(交易明細!$B$2:$B$721,$A68,交易明細!$J$2:$J$721,"止損")</f>
        <v/>
      </c>
      <c r="H68" s="4">
        <f>IFERROR(F68/E68,0)</f>
        <v/>
      </c>
      <c r="I68" s="4">
        <f>IFERROR(AVERAGEIFS(交易明細!$L$2:$L$721,交易明細!$B$2:$B$721,$A68,交易明細!$J$2:$J$721,"&lt;&gt;未平倉"),0)</f>
        <v/>
      </c>
      <c r="J68" s="4">
        <f>SUMIFS(交易明細!$L$2:$L$721,交易明細!$B$2:$B$721,$A68,交易明細!$J$2:$J$721,"&lt;&gt;未平倉")</f>
        <v/>
      </c>
      <c r="K68" s="5">
        <f>IFERROR(AVERAGEIFS(交易明細!$K$2:$K$721,交易明細!$B$2:$B$721,$A68,交易明細!$J$2:$J$721,"&lt;&gt;未平倉"),0)</f>
        <v/>
      </c>
      <c r="L68" s="2">
        <f>COUNTIFS(交易明細!$B$2:$B$721,$A68,交易明細!$J$2:$J$721,"未平倉")</f>
        <v/>
      </c>
    </row>
    <row r="69">
      <c r="A69" s="2" t="inlineStr">
        <is>
          <t>RIVER_USDT_PERP</t>
        </is>
      </c>
      <c r="B69" s="2">
        <f>COUNTIFS(交易明細!$B$2:$B$721,$A69)</f>
        <v/>
      </c>
      <c r="C69" s="2">
        <f>COUNTIFS(交易明細!$B$2:$B$721,$A69,交易明細!$C$2:$C$721,"做多")</f>
        <v/>
      </c>
      <c r="D69" s="2">
        <f>COUNTIFS(交易明細!$B$2:$B$721,$A69,交易明細!$C$2:$C$721,"做空")</f>
        <v/>
      </c>
      <c r="E69" s="2">
        <f>F69+G69+COUNTIFS(交易明細!$B$2:$B$721,$A69,交易明細!$J$2:$J$721,"時間出場")</f>
        <v/>
      </c>
      <c r="F69" s="2">
        <f>COUNTIFS(交易明細!$B$2:$B$721,$A69,交易明細!$J$2:$J$721,"止盈")</f>
        <v/>
      </c>
      <c r="G69" s="2">
        <f>COUNTIFS(交易明細!$B$2:$B$721,$A69,交易明細!$J$2:$J$721,"止損")</f>
        <v/>
      </c>
      <c r="H69" s="4">
        <f>IFERROR(F69/E69,0)</f>
        <v/>
      </c>
      <c r="I69" s="4">
        <f>IFERROR(AVERAGEIFS(交易明細!$L$2:$L$721,交易明細!$B$2:$B$721,$A69,交易明細!$J$2:$J$721,"&lt;&gt;未平倉"),0)</f>
        <v/>
      </c>
      <c r="J69" s="4">
        <f>SUMIFS(交易明細!$L$2:$L$721,交易明細!$B$2:$B$721,$A69,交易明細!$J$2:$J$721,"&lt;&gt;未平倉")</f>
        <v/>
      </c>
      <c r="K69" s="5">
        <f>IFERROR(AVERAGEIFS(交易明細!$K$2:$K$721,交易明細!$B$2:$B$721,$A69,交易明細!$J$2:$J$721,"&lt;&gt;未平倉"),0)</f>
        <v/>
      </c>
      <c r="L69" s="2">
        <f>COUNTIFS(交易明細!$B$2:$B$721,$A69,交易明細!$J$2:$J$721,"未平倉")</f>
        <v/>
      </c>
    </row>
    <row r="70">
      <c r="A70" s="2" t="inlineStr">
        <is>
          <t>POWER_USDT_PERP</t>
        </is>
      </c>
      <c r="B70" s="2">
        <f>COUNTIFS(交易明細!$B$2:$B$721,$A70)</f>
        <v/>
      </c>
      <c r="C70" s="2">
        <f>COUNTIFS(交易明細!$B$2:$B$721,$A70,交易明細!$C$2:$C$721,"做多")</f>
        <v/>
      </c>
      <c r="D70" s="2">
        <f>COUNTIFS(交易明細!$B$2:$B$721,$A70,交易明細!$C$2:$C$721,"做空")</f>
        <v/>
      </c>
      <c r="E70" s="2">
        <f>F70+G70+COUNTIFS(交易明細!$B$2:$B$721,$A70,交易明細!$J$2:$J$721,"時間出場")</f>
        <v/>
      </c>
      <c r="F70" s="2">
        <f>COUNTIFS(交易明細!$B$2:$B$721,$A70,交易明細!$J$2:$J$721,"止盈")</f>
        <v/>
      </c>
      <c r="G70" s="2">
        <f>COUNTIFS(交易明細!$B$2:$B$721,$A70,交易明細!$J$2:$J$721,"止損")</f>
        <v/>
      </c>
      <c r="H70" s="4">
        <f>IFERROR(F70/E70,0)</f>
        <v/>
      </c>
      <c r="I70" s="4">
        <f>IFERROR(AVERAGEIFS(交易明細!$L$2:$L$721,交易明細!$B$2:$B$721,$A70,交易明細!$J$2:$J$721,"&lt;&gt;未平倉"),0)</f>
        <v/>
      </c>
      <c r="J70" s="4">
        <f>SUMIFS(交易明細!$L$2:$L$721,交易明細!$B$2:$B$721,$A70,交易明細!$J$2:$J$721,"&lt;&gt;未平倉")</f>
        <v/>
      </c>
      <c r="K70" s="5">
        <f>IFERROR(AVERAGEIFS(交易明細!$K$2:$K$721,交易明細!$B$2:$B$721,$A70,交易明細!$J$2:$J$721,"&lt;&gt;未平倉"),0)</f>
        <v/>
      </c>
      <c r="L70" s="2">
        <f>COUNTIFS(交易明細!$B$2:$B$721,$A70,交易明細!$J$2:$J$721,"未平倉")</f>
        <v/>
      </c>
    </row>
    <row r="71">
      <c r="A71" s="2" t="inlineStr">
        <is>
          <t>PIEVERSE_USDT_PERP</t>
        </is>
      </c>
      <c r="B71" s="2">
        <f>COUNTIFS(交易明細!$B$2:$B$721,$A71)</f>
        <v/>
      </c>
      <c r="C71" s="2">
        <f>COUNTIFS(交易明細!$B$2:$B$721,$A71,交易明細!$C$2:$C$721,"做多")</f>
        <v/>
      </c>
      <c r="D71" s="2">
        <f>COUNTIFS(交易明細!$B$2:$B$721,$A71,交易明細!$C$2:$C$721,"做空")</f>
        <v/>
      </c>
      <c r="E71" s="2">
        <f>F71+G71+COUNTIFS(交易明細!$B$2:$B$721,$A71,交易明細!$J$2:$J$721,"時間出場")</f>
        <v/>
      </c>
      <c r="F71" s="2">
        <f>COUNTIFS(交易明細!$B$2:$B$721,$A71,交易明細!$J$2:$J$721,"止盈")</f>
        <v/>
      </c>
      <c r="G71" s="2">
        <f>COUNTIFS(交易明細!$B$2:$B$721,$A71,交易明細!$J$2:$J$721,"止損")</f>
        <v/>
      </c>
      <c r="H71" s="4">
        <f>IFERROR(F71/E71,0)</f>
        <v/>
      </c>
      <c r="I71" s="4">
        <f>IFERROR(AVERAGEIFS(交易明細!$L$2:$L$721,交易明細!$B$2:$B$721,$A71,交易明細!$J$2:$J$721,"&lt;&gt;未平倉"),0)</f>
        <v/>
      </c>
      <c r="J71" s="4">
        <f>SUMIFS(交易明細!$L$2:$L$721,交易明細!$B$2:$B$721,$A71,交易明細!$J$2:$J$721,"&lt;&gt;未平倉")</f>
        <v/>
      </c>
      <c r="K71" s="5">
        <f>IFERROR(AVERAGEIFS(交易明細!$K$2:$K$721,交易明細!$B$2:$B$721,$A71,交易明細!$J$2:$J$721,"&lt;&gt;未平倉"),0)</f>
        <v/>
      </c>
      <c r="L71" s="2">
        <f>COUNTIFS(交易明細!$B$2:$B$721,$A71,交易明細!$J$2:$J$721,"未平倉")</f>
        <v/>
      </c>
    </row>
    <row r="72">
      <c r="A72" s="2" t="inlineStr">
        <is>
          <t>AR_USDT_PERP</t>
        </is>
      </c>
      <c r="B72" s="2">
        <f>COUNTIFS(交易明細!$B$2:$B$721,$A72)</f>
        <v/>
      </c>
      <c r="C72" s="2">
        <f>COUNTIFS(交易明細!$B$2:$B$721,$A72,交易明細!$C$2:$C$721,"做多")</f>
        <v/>
      </c>
      <c r="D72" s="2">
        <f>COUNTIFS(交易明細!$B$2:$B$721,$A72,交易明細!$C$2:$C$721,"做空")</f>
        <v/>
      </c>
      <c r="E72" s="2">
        <f>F72+G72+COUNTIFS(交易明細!$B$2:$B$721,$A72,交易明細!$J$2:$J$721,"時間出場")</f>
        <v/>
      </c>
      <c r="F72" s="2">
        <f>COUNTIFS(交易明細!$B$2:$B$721,$A72,交易明細!$J$2:$J$721,"止盈")</f>
        <v/>
      </c>
      <c r="G72" s="2">
        <f>COUNTIFS(交易明細!$B$2:$B$721,$A72,交易明細!$J$2:$J$721,"止損")</f>
        <v/>
      </c>
      <c r="H72" s="4">
        <f>IFERROR(F72/E72,0)</f>
        <v/>
      </c>
      <c r="I72" s="4">
        <f>IFERROR(AVERAGEIFS(交易明細!$L$2:$L$721,交易明細!$B$2:$B$721,$A72,交易明細!$J$2:$J$721,"&lt;&gt;未平倉"),0)</f>
        <v/>
      </c>
      <c r="J72" s="4">
        <f>SUMIFS(交易明細!$L$2:$L$721,交易明細!$B$2:$B$721,$A72,交易明細!$J$2:$J$721,"&lt;&gt;未平倉")</f>
        <v/>
      </c>
      <c r="K72" s="5">
        <f>IFERROR(AVERAGEIFS(交易明細!$K$2:$K$721,交易明細!$B$2:$B$721,$A72,交易明細!$J$2:$J$721,"&lt;&gt;未平倉"),0)</f>
        <v/>
      </c>
      <c r="L72" s="2">
        <f>COUNTIFS(交易明細!$B$2:$B$721,$A72,交易明細!$J$2:$J$721,"未平倉")</f>
        <v/>
      </c>
    </row>
    <row r="73">
      <c r="A73" s="2" t="inlineStr">
        <is>
          <t>ZETA_USDT_PERP</t>
        </is>
      </c>
      <c r="B73" s="2">
        <f>COUNTIFS(交易明細!$B$2:$B$721,$A73)</f>
        <v/>
      </c>
      <c r="C73" s="2">
        <f>COUNTIFS(交易明細!$B$2:$B$721,$A73,交易明細!$C$2:$C$721,"做多")</f>
        <v/>
      </c>
      <c r="D73" s="2">
        <f>COUNTIFS(交易明細!$B$2:$B$721,$A73,交易明細!$C$2:$C$721,"做空")</f>
        <v/>
      </c>
      <c r="E73" s="2">
        <f>F73+G73+COUNTIFS(交易明細!$B$2:$B$721,$A73,交易明細!$J$2:$J$721,"時間出場")</f>
        <v/>
      </c>
      <c r="F73" s="2">
        <f>COUNTIFS(交易明細!$B$2:$B$721,$A73,交易明細!$J$2:$J$721,"止盈")</f>
        <v/>
      </c>
      <c r="G73" s="2">
        <f>COUNTIFS(交易明細!$B$2:$B$721,$A73,交易明細!$J$2:$J$721,"止損")</f>
        <v/>
      </c>
      <c r="H73" s="4">
        <f>IFERROR(F73/E73,0)</f>
        <v/>
      </c>
      <c r="I73" s="4">
        <f>IFERROR(AVERAGEIFS(交易明細!$L$2:$L$721,交易明細!$B$2:$B$721,$A73,交易明細!$J$2:$J$721,"&lt;&gt;未平倉"),0)</f>
        <v/>
      </c>
      <c r="J73" s="4">
        <f>SUMIFS(交易明細!$L$2:$L$721,交易明細!$B$2:$B$721,$A73,交易明細!$J$2:$J$721,"&lt;&gt;未平倉")</f>
        <v/>
      </c>
      <c r="K73" s="5">
        <f>IFERROR(AVERAGEIFS(交易明細!$K$2:$K$721,交易明細!$B$2:$B$721,$A73,交易明細!$J$2:$J$721,"&lt;&gt;未平倉"),0)</f>
        <v/>
      </c>
      <c r="L73" s="2">
        <f>COUNTIFS(交易明細!$B$2:$B$721,$A73,交易明細!$J$2:$J$721,"未平倉")</f>
        <v/>
      </c>
    </row>
    <row r="74">
      <c r="A74" s="2" t="inlineStr">
        <is>
          <t>WIF_USDT_PERP</t>
        </is>
      </c>
      <c r="B74" s="2">
        <f>COUNTIFS(交易明細!$B$2:$B$721,$A74)</f>
        <v/>
      </c>
      <c r="C74" s="2">
        <f>COUNTIFS(交易明細!$B$2:$B$721,$A74,交易明細!$C$2:$C$721,"做多")</f>
        <v/>
      </c>
      <c r="D74" s="2">
        <f>COUNTIFS(交易明細!$B$2:$B$721,$A74,交易明細!$C$2:$C$721,"做空")</f>
        <v/>
      </c>
      <c r="E74" s="2">
        <f>F74+G74+COUNTIFS(交易明細!$B$2:$B$721,$A74,交易明細!$J$2:$J$721,"時間出場")</f>
        <v/>
      </c>
      <c r="F74" s="2">
        <f>COUNTIFS(交易明細!$B$2:$B$721,$A74,交易明細!$J$2:$J$721,"止盈")</f>
        <v/>
      </c>
      <c r="G74" s="2">
        <f>COUNTIFS(交易明細!$B$2:$B$721,$A74,交易明細!$J$2:$J$721,"止損")</f>
        <v/>
      </c>
      <c r="H74" s="4">
        <f>IFERROR(F74/E74,0)</f>
        <v/>
      </c>
      <c r="I74" s="4">
        <f>IFERROR(AVERAGEIFS(交易明細!$L$2:$L$721,交易明細!$B$2:$B$721,$A74,交易明細!$J$2:$J$721,"&lt;&gt;未平倉"),0)</f>
        <v/>
      </c>
      <c r="J74" s="4">
        <f>SUMIFS(交易明細!$L$2:$L$721,交易明細!$B$2:$B$721,$A74,交易明細!$J$2:$J$721,"&lt;&gt;未平倉")</f>
        <v/>
      </c>
      <c r="K74" s="5">
        <f>IFERROR(AVERAGEIFS(交易明細!$K$2:$K$721,交易明細!$B$2:$B$721,$A74,交易明細!$J$2:$J$721,"&lt;&gt;未平倉"),0)</f>
        <v/>
      </c>
      <c r="L74" s="2">
        <f>COUNTIFS(交易明細!$B$2:$B$721,$A74,交易明細!$J$2:$J$721,"未平倉")</f>
        <v/>
      </c>
    </row>
    <row r="75">
      <c r="A75" s="2" t="inlineStr">
        <is>
          <t>HBAR_USDT_PERP</t>
        </is>
      </c>
      <c r="B75" s="2">
        <f>COUNTIFS(交易明細!$B$2:$B$721,$A75)</f>
        <v/>
      </c>
      <c r="C75" s="2">
        <f>COUNTIFS(交易明細!$B$2:$B$721,$A75,交易明細!$C$2:$C$721,"做多")</f>
        <v/>
      </c>
      <c r="D75" s="2">
        <f>COUNTIFS(交易明細!$B$2:$B$721,$A75,交易明細!$C$2:$C$721,"做空")</f>
        <v/>
      </c>
      <c r="E75" s="2">
        <f>F75+G75+COUNTIFS(交易明細!$B$2:$B$721,$A75,交易明細!$J$2:$J$721,"時間出場")</f>
        <v/>
      </c>
      <c r="F75" s="2">
        <f>COUNTIFS(交易明細!$B$2:$B$721,$A75,交易明細!$J$2:$J$721,"止盈")</f>
        <v/>
      </c>
      <c r="G75" s="2">
        <f>COUNTIFS(交易明細!$B$2:$B$721,$A75,交易明細!$J$2:$J$721,"止損")</f>
        <v/>
      </c>
      <c r="H75" s="4">
        <f>IFERROR(F75/E75,0)</f>
        <v/>
      </c>
      <c r="I75" s="4">
        <f>IFERROR(AVERAGEIFS(交易明細!$L$2:$L$721,交易明細!$B$2:$B$721,$A75,交易明細!$J$2:$J$721,"&lt;&gt;未平倉"),0)</f>
        <v/>
      </c>
      <c r="J75" s="4">
        <f>SUMIFS(交易明細!$L$2:$L$721,交易明細!$B$2:$B$721,$A75,交易明細!$J$2:$J$721,"&lt;&gt;未平倉")</f>
        <v/>
      </c>
      <c r="K75" s="5">
        <f>IFERROR(AVERAGEIFS(交易明細!$K$2:$K$721,交易明細!$B$2:$B$721,$A75,交易明細!$J$2:$J$721,"&lt;&gt;未平倉"),0)</f>
        <v/>
      </c>
      <c r="L75" s="2">
        <f>COUNTIFS(交易明細!$B$2:$B$721,$A75,交易明細!$J$2:$J$721,"未平倉")</f>
        <v/>
      </c>
    </row>
    <row r="76">
      <c r="A76" s="2" t="inlineStr">
        <is>
          <t>BCH_USDT_PERP</t>
        </is>
      </c>
      <c r="B76" s="2">
        <f>COUNTIFS(交易明細!$B$2:$B$721,$A76)</f>
        <v/>
      </c>
      <c r="C76" s="2">
        <f>COUNTIFS(交易明細!$B$2:$B$721,$A76,交易明細!$C$2:$C$721,"做多")</f>
        <v/>
      </c>
      <c r="D76" s="2">
        <f>COUNTIFS(交易明細!$B$2:$B$721,$A76,交易明細!$C$2:$C$721,"做空")</f>
        <v/>
      </c>
      <c r="E76" s="2">
        <f>F76+G76+COUNTIFS(交易明細!$B$2:$B$721,$A76,交易明細!$J$2:$J$721,"時間出場")</f>
        <v/>
      </c>
      <c r="F76" s="2">
        <f>COUNTIFS(交易明細!$B$2:$B$721,$A76,交易明細!$J$2:$J$721,"止盈")</f>
        <v/>
      </c>
      <c r="G76" s="2">
        <f>COUNTIFS(交易明細!$B$2:$B$721,$A76,交易明細!$J$2:$J$721,"止損")</f>
        <v/>
      </c>
      <c r="H76" s="4">
        <f>IFERROR(F76/E76,0)</f>
        <v/>
      </c>
      <c r="I76" s="4">
        <f>IFERROR(AVERAGEIFS(交易明細!$L$2:$L$721,交易明細!$B$2:$B$721,$A76,交易明細!$J$2:$J$721,"&lt;&gt;未平倉"),0)</f>
        <v/>
      </c>
      <c r="J76" s="4">
        <f>SUMIFS(交易明細!$L$2:$L$721,交易明細!$B$2:$B$721,$A76,交易明細!$J$2:$J$721,"&lt;&gt;未平倉")</f>
        <v/>
      </c>
      <c r="K76" s="5">
        <f>IFERROR(AVERAGEIFS(交易明細!$K$2:$K$721,交易明細!$B$2:$B$721,$A76,交易明細!$J$2:$J$721,"&lt;&gt;未平倉"),0)</f>
        <v/>
      </c>
      <c r="L76" s="2">
        <f>COUNTIFS(交易明細!$B$2:$B$721,$A76,交易明細!$J$2:$J$721,"未平倉")</f>
        <v/>
      </c>
    </row>
    <row r="77">
      <c r="A77" s="2" t="inlineStr">
        <is>
          <t>LYN_USDT_PERP</t>
        </is>
      </c>
      <c r="B77" s="2">
        <f>COUNTIFS(交易明細!$B$2:$B$721,$A77)</f>
        <v/>
      </c>
      <c r="C77" s="2">
        <f>COUNTIFS(交易明細!$B$2:$B$721,$A77,交易明細!$C$2:$C$721,"做多")</f>
        <v/>
      </c>
      <c r="D77" s="2">
        <f>COUNTIFS(交易明細!$B$2:$B$721,$A77,交易明細!$C$2:$C$721,"做空")</f>
        <v/>
      </c>
      <c r="E77" s="2">
        <f>F77+G77+COUNTIFS(交易明細!$B$2:$B$721,$A77,交易明細!$J$2:$J$721,"時間出場")</f>
        <v/>
      </c>
      <c r="F77" s="2">
        <f>COUNTIFS(交易明細!$B$2:$B$721,$A77,交易明細!$J$2:$J$721,"止盈")</f>
        <v/>
      </c>
      <c r="G77" s="2">
        <f>COUNTIFS(交易明細!$B$2:$B$721,$A77,交易明細!$J$2:$J$721,"止損")</f>
        <v/>
      </c>
      <c r="H77" s="4">
        <f>IFERROR(F77/E77,0)</f>
        <v/>
      </c>
      <c r="I77" s="4">
        <f>IFERROR(AVERAGEIFS(交易明細!$L$2:$L$721,交易明細!$B$2:$B$721,$A77,交易明細!$J$2:$J$721,"&lt;&gt;未平倉"),0)</f>
        <v/>
      </c>
      <c r="J77" s="4">
        <f>SUMIFS(交易明細!$L$2:$L$721,交易明細!$B$2:$B$721,$A77,交易明細!$J$2:$J$721,"&lt;&gt;未平倉")</f>
        <v/>
      </c>
      <c r="K77" s="5">
        <f>IFERROR(AVERAGEIFS(交易明細!$K$2:$K$721,交易明細!$B$2:$B$721,$A77,交易明細!$J$2:$J$721,"&lt;&gt;未平倉"),0)</f>
        <v/>
      </c>
      <c r="L77" s="2">
        <f>COUNTIFS(交易明細!$B$2:$B$721,$A77,交易明細!$J$2:$J$721,"未平倉")</f>
        <v/>
      </c>
    </row>
    <row r="78">
      <c r="A78" s="2" t="inlineStr">
        <is>
          <t>GRAM_USDT_PERP</t>
        </is>
      </c>
      <c r="B78" s="2">
        <f>COUNTIFS(交易明細!$B$2:$B$721,$A78)</f>
        <v/>
      </c>
      <c r="C78" s="2">
        <f>COUNTIFS(交易明細!$B$2:$B$721,$A78,交易明細!$C$2:$C$721,"做多")</f>
        <v/>
      </c>
      <c r="D78" s="2">
        <f>COUNTIFS(交易明細!$B$2:$B$721,$A78,交易明細!$C$2:$C$721,"做空")</f>
        <v/>
      </c>
      <c r="E78" s="2">
        <f>F78+G78+COUNTIFS(交易明細!$B$2:$B$721,$A78,交易明細!$J$2:$J$721,"時間出場")</f>
        <v/>
      </c>
      <c r="F78" s="2">
        <f>COUNTIFS(交易明細!$B$2:$B$721,$A78,交易明細!$J$2:$J$721,"止盈")</f>
        <v/>
      </c>
      <c r="G78" s="2">
        <f>COUNTIFS(交易明細!$B$2:$B$721,$A78,交易明細!$J$2:$J$721,"止損")</f>
        <v/>
      </c>
      <c r="H78" s="4">
        <f>IFERROR(F78/E78,0)</f>
        <v/>
      </c>
      <c r="I78" s="4">
        <f>IFERROR(AVERAGEIFS(交易明細!$L$2:$L$721,交易明細!$B$2:$B$721,$A78,交易明細!$J$2:$J$721,"&lt;&gt;未平倉"),0)</f>
        <v/>
      </c>
      <c r="J78" s="4">
        <f>SUMIFS(交易明細!$L$2:$L$721,交易明細!$B$2:$B$721,$A78,交易明細!$J$2:$J$721,"&lt;&gt;未平倉")</f>
        <v/>
      </c>
      <c r="K78" s="5">
        <f>IFERROR(AVERAGEIFS(交易明細!$K$2:$K$721,交易明細!$B$2:$B$721,$A78,交易明細!$J$2:$J$721,"&lt;&gt;未平倉"),0)</f>
        <v/>
      </c>
      <c r="L78" s="2">
        <f>COUNTIFS(交易明細!$B$2:$B$721,$A78,交易明細!$J$2:$J$721,"未平倉")</f>
        <v/>
      </c>
    </row>
    <row r="79">
      <c r="A79" s="2" t="inlineStr">
        <is>
          <t>Q_USDT_PERP</t>
        </is>
      </c>
      <c r="B79" s="2">
        <f>COUNTIFS(交易明細!$B$2:$B$721,$A79)</f>
        <v/>
      </c>
      <c r="C79" s="2">
        <f>COUNTIFS(交易明細!$B$2:$B$721,$A79,交易明細!$C$2:$C$721,"做多")</f>
        <v/>
      </c>
      <c r="D79" s="2">
        <f>COUNTIFS(交易明細!$B$2:$B$721,$A79,交易明細!$C$2:$C$721,"做空")</f>
        <v/>
      </c>
      <c r="E79" s="2">
        <f>F79+G79+COUNTIFS(交易明細!$B$2:$B$721,$A79,交易明細!$J$2:$J$721,"時間出場")</f>
        <v/>
      </c>
      <c r="F79" s="2">
        <f>COUNTIFS(交易明細!$B$2:$B$721,$A79,交易明細!$J$2:$J$721,"止盈")</f>
        <v/>
      </c>
      <c r="G79" s="2">
        <f>COUNTIFS(交易明細!$B$2:$B$721,$A79,交易明細!$J$2:$J$721,"止損")</f>
        <v/>
      </c>
      <c r="H79" s="4">
        <f>IFERROR(F79/E79,0)</f>
        <v/>
      </c>
      <c r="I79" s="4">
        <f>IFERROR(AVERAGEIFS(交易明細!$L$2:$L$721,交易明細!$B$2:$B$721,$A79,交易明細!$J$2:$J$721,"&lt;&gt;未平倉"),0)</f>
        <v/>
      </c>
      <c r="J79" s="4">
        <f>SUMIFS(交易明細!$L$2:$L$721,交易明細!$B$2:$B$721,$A79,交易明細!$J$2:$J$721,"&lt;&gt;未平倉")</f>
        <v/>
      </c>
      <c r="K79" s="5">
        <f>IFERROR(AVERAGEIFS(交易明細!$K$2:$K$721,交易明細!$B$2:$B$721,$A79,交易明細!$J$2:$J$721,"&lt;&gt;未平倉"),0)</f>
        <v/>
      </c>
      <c r="L79" s="2">
        <f>COUNTIFS(交易明細!$B$2:$B$721,$A79,交易明細!$J$2:$J$721,"未平倉")</f>
        <v/>
      </c>
    </row>
    <row r="80">
      <c r="A80" s="2" t="inlineStr">
        <is>
          <t>ALGO_USDT_PERP</t>
        </is>
      </c>
      <c r="B80" s="2">
        <f>COUNTIFS(交易明細!$B$2:$B$721,$A80)</f>
        <v/>
      </c>
      <c r="C80" s="2">
        <f>COUNTIFS(交易明細!$B$2:$B$721,$A80,交易明細!$C$2:$C$721,"做多")</f>
        <v/>
      </c>
      <c r="D80" s="2">
        <f>COUNTIFS(交易明細!$B$2:$B$721,$A80,交易明細!$C$2:$C$721,"做空")</f>
        <v/>
      </c>
      <c r="E80" s="2">
        <f>F80+G80+COUNTIFS(交易明細!$B$2:$B$721,$A80,交易明細!$J$2:$J$721,"時間出場")</f>
        <v/>
      </c>
      <c r="F80" s="2">
        <f>COUNTIFS(交易明細!$B$2:$B$721,$A80,交易明細!$J$2:$J$721,"止盈")</f>
        <v/>
      </c>
      <c r="G80" s="2">
        <f>COUNTIFS(交易明細!$B$2:$B$721,$A80,交易明細!$J$2:$J$721,"止損")</f>
        <v/>
      </c>
      <c r="H80" s="4">
        <f>IFERROR(F80/E80,0)</f>
        <v/>
      </c>
      <c r="I80" s="4">
        <f>IFERROR(AVERAGEIFS(交易明細!$L$2:$L$721,交易明細!$B$2:$B$721,$A80,交易明細!$J$2:$J$721,"&lt;&gt;未平倉"),0)</f>
        <v/>
      </c>
      <c r="J80" s="4">
        <f>SUMIFS(交易明細!$L$2:$L$721,交易明細!$B$2:$B$721,$A80,交易明細!$J$2:$J$721,"&lt;&gt;未平倉")</f>
        <v/>
      </c>
      <c r="K80" s="5">
        <f>IFERROR(AVERAGEIFS(交易明細!$K$2:$K$721,交易明細!$B$2:$B$721,$A80,交易明細!$J$2:$J$721,"&lt;&gt;未平倉"),0)</f>
        <v/>
      </c>
      <c r="L80" s="2">
        <f>COUNTIFS(交易明細!$B$2:$B$721,$A80,交易明細!$J$2:$J$721,"未平倉")</f>
        <v/>
      </c>
    </row>
    <row r="81">
      <c r="A81" s="2" t="inlineStr">
        <is>
          <t>0G_USDT_PERP</t>
        </is>
      </c>
      <c r="B81" s="2">
        <f>COUNTIFS(交易明細!$B$2:$B$721,$A81)</f>
        <v/>
      </c>
      <c r="C81" s="2">
        <f>COUNTIFS(交易明細!$B$2:$B$721,$A81,交易明細!$C$2:$C$721,"做多")</f>
        <v/>
      </c>
      <c r="D81" s="2">
        <f>COUNTIFS(交易明細!$B$2:$B$721,$A81,交易明細!$C$2:$C$721,"做空")</f>
        <v/>
      </c>
      <c r="E81" s="2">
        <f>F81+G81+COUNTIFS(交易明細!$B$2:$B$721,$A81,交易明細!$J$2:$J$721,"時間出場")</f>
        <v/>
      </c>
      <c r="F81" s="2">
        <f>COUNTIFS(交易明細!$B$2:$B$721,$A81,交易明細!$J$2:$J$721,"止盈")</f>
        <v/>
      </c>
      <c r="G81" s="2">
        <f>COUNTIFS(交易明細!$B$2:$B$721,$A81,交易明細!$J$2:$J$721,"止損")</f>
        <v/>
      </c>
      <c r="H81" s="4">
        <f>IFERROR(F81/E81,0)</f>
        <v/>
      </c>
      <c r="I81" s="4">
        <f>IFERROR(AVERAGEIFS(交易明細!$L$2:$L$721,交易明細!$B$2:$B$721,$A81,交易明細!$J$2:$J$721,"&lt;&gt;未平倉"),0)</f>
        <v/>
      </c>
      <c r="J81" s="4">
        <f>SUMIFS(交易明細!$L$2:$L$721,交易明細!$B$2:$B$721,$A81,交易明細!$J$2:$J$721,"&lt;&gt;未平倉")</f>
        <v/>
      </c>
      <c r="K81" s="5">
        <f>IFERROR(AVERAGEIFS(交易明細!$K$2:$K$721,交易明細!$B$2:$B$721,$A81,交易明細!$J$2:$J$721,"&lt;&gt;未平倉"),0)</f>
        <v/>
      </c>
      <c r="L81" s="2">
        <f>COUNTIFS(交易明細!$B$2:$B$721,$A81,交易明細!$J$2:$J$721,"未平倉")</f>
        <v/>
      </c>
    </row>
    <row r="82">
      <c r="A82" s="2" t="inlineStr">
        <is>
          <t>MOVR_USDT_PERP</t>
        </is>
      </c>
      <c r="B82" s="2">
        <f>COUNTIFS(交易明細!$B$2:$B$721,$A82)</f>
        <v/>
      </c>
      <c r="C82" s="2">
        <f>COUNTIFS(交易明細!$B$2:$B$721,$A82,交易明細!$C$2:$C$721,"做多")</f>
        <v/>
      </c>
      <c r="D82" s="2">
        <f>COUNTIFS(交易明細!$B$2:$B$721,$A82,交易明細!$C$2:$C$721,"做空")</f>
        <v/>
      </c>
      <c r="E82" s="2">
        <f>F82+G82+COUNTIFS(交易明細!$B$2:$B$721,$A82,交易明細!$J$2:$J$721,"時間出場")</f>
        <v/>
      </c>
      <c r="F82" s="2">
        <f>COUNTIFS(交易明細!$B$2:$B$721,$A82,交易明細!$J$2:$J$721,"止盈")</f>
        <v/>
      </c>
      <c r="G82" s="2">
        <f>COUNTIFS(交易明細!$B$2:$B$721,$A82,交易明細!$J$2:$J$721,"止損")</f>
        <v/>
      </c>
      <c r="H82" s="4">
        <f>IFERROR(F82/E82,0)</f>
        <v/>
      </c>
      <c r="I82" s="4">
        <f>IFERROR(AVERAGEIFS(交易明細!$L$2:$L$721,交易明細!$B$2:$B$721,$A82,交易明細!$J$2:$J$721,"&lt;&gt;未平倉"),0)</f>
        <v/>
      </c>
      <c r="J82" s="4">
        <f>SUMIFS(交易明細!$L$2:$L$721,交易明細!$B$2:$B$721,$A82,交易明細!$J$2:$J$721,"&lt;&gt;未平倉")</f>
        <v/>
      </c>
      <c r="K82" s="5">
        <f>IFERROR(AVERAGEIFS(交易明細!$K$2:$K$721,交易明細!$B$2:$B$721,$A82,交易明細!$J$2:$J$721,"&lt;&gt;未平倉"),0)</f>
        <v/>
      </c>
      <c r="L82" s="2">
        <f>COUNTIFS(交易明細!$B$2:$B$721,$A82,交易明細!$J$2:$J$721,"未平倉")</f>
        <v/>
      </c>
    </row>
    <row r="83">
      <c r="A83" s="2" t="inlineStr">
        <is>
          <t>MAGMA_USDT_PERP</t>
        </is>
      </c>
      <c r="B83" s="2">
        <f>COUNTIFS(交易明細!$B$2:$B$721,$A83)</f>
        <v/>
      </c>
      <c r="C83" s="2">
        <f>COUNTIFS(交易明細!$B$2:$B$721,$A83,交易明細!$C$2:$C$721,"做多")</f>
        <v/>
      </c>
      <c r="D83" s="2">
        <f>COUNTIFS(交易明細!$B$2:$B$721,$A83,交易明細!$C$2:$C$721,"做空")</f>
        <v/>
      </c>
      <c r="E83" s="2">
        <f>F83+G83+COUNTIFS(交易明細!$B$2:$B$721,$A83,交易明細!$J$2:$J$721,"時間出場")</f>
        <v/>
      </c>
      <c r="F83" s="2">
        <f>COUNTIFS(交易明細!$B$2:$B$721,$A83,交易明細!$J$2:$J$721,"止盈")</f>
        <v/>
      </c>
      <c r="G83" s="2">
        <f>COUNTIFS(交易明細!$B$2:$B$721,$A83,交易明細!$J$2:$J$721,"止損")</f>
        <v/>
      </c>
      <c r="H83" s="4">
        <f>IFERROR(F83/E83,0)</f>
        <v/>
      </c>
      <c r="I83" s="4">
        <f>IFERROR(AVERAGEIFS(交易明細!$L$2:$L$721,交易明細!$B$2:$B$721,$A83,交易明細!$J$2:$J$721,"&lt;&gt;未平倉"),0)</f>
        <v/>
      </c>
      <c r="J83" s="4">
        <f>SUMIFS(交易明細!$L$2:$L$721,交易明細!$B$2:$B$721,$A83,交易明細!$J$2:$J$721,"&lt;&gt;未平倉")</f>
        <v/>
      </c>
      <c r="K83" s="5">
        <f>IFERROR(AVERAGEIFS(交易明細!$K$2:$K$721,交易明細!$B$2:$B$721,$A83,交易明細!$J$2:$J$721,"&lt;&gt;未平倉"),0)</f>
        <v/>
      </c>
      <c r="L83" s="2">
        <f>COUNTIFS(交易明細!$B$2:$B$721,$A83,交易明細!$J$2:$J$721,"未平倉")</f>
        <v/>
      </c>
    </row>
    <row r="84">
      <c r="A84" s="2" t="inlineStr">
        <is>
          <t>CHIP_USDT_PERP</t>
        </is>
      </c>
      <c r="B84" s="2">
        <f>COUNTIFS(交易明細!$B$2:$B$721,$A84)</f>
        <v/>
      </c>
      <c r="C84" s="2">
        <f>COUNTIFS(交易明細!$B$2:$B$721,$A84,交易明細!$C$2:$C$721,"做多")</f>
        <v/>
      </c>
      <c r="D84" s="2">
        <f>COUNTIFS(交易明細!$B$2:$B$721,$A84,交易明細!$C$2:$C$721,"做空")</f>
        <v/>
      </c>
      <c r="E84" s="2">
        <f>F84+G84+COUNTIFS(交易明細!$B$2:$B$721,$A84,交易明細!$J$2:$J$721,"時間出場")</f>
        <v/>
      </c>
      <c r="F84" s="2">
        <f>COUNTIFS(交易明細!$B$2:$B$721,$A84,交易明細!$J$2:$J$721,"止盈")</f>
        <v/>
      </c>
      <c r="G84" s="2">
        <f>COUNTIFS(交易明細!$B$2:$B$721,$A84,交易明細!$J$2:$J$721,"止損")</f>
        <v/>
      </c>
      <c r="H84" s="4">
        <f>IFERROR(F84/E84,0)</f>
        <v/>
      </c>
      <c r="I84" s="4">
        <f>IFERROR(AVERAGEIFS(交易明細!$L$2:$L$721,交易明細!$B$2:$B$721,$A84,交易明細!$J$2:$J$721,"&lt;&gt;未平倉"),0)</f>
        <v/>
      </c>
      <c r="J84" s="4">
        <f>SUMIFS(交易明細!$L$2:$L$721,交易明細!$B$2:$B$721,$A84,交易明細!$J$2:$J$721,"&lt;&gt;未平倉")</f>
        <v/>
      </c>
      <c r="K84" s="5">
        <f>IFERROR(AVERAGEIFS(交易明細!$K$2:$K$721,交易明細!$B$2:$B$721,$A84,交易明細!$J$2:$J$721,"&lt;&gt;未平倉"),0)</f>
        <v/>
      </c>
      <c r="L84" s="2">
        <f>COUNTIFS(交易明細!$B$2:$B$721,$A84,交易明細!$J$2:$J$721,"未平倉")</f>
        <v/>
      </c>
    </row>
    <row r="85">
      <c r="A85" s="2" t="inlineStr">
        <is>
          <t>FARTCOIN_USDT_PERP</t>
        </is>
      </c>
      <c r="B85" s="2">
        <f>COUNTIFS(交易明細!$B$2:$B$721,$A85)</f>
        <v/>
      </c>
      <c r="C85" s="2">
        <f>COUNTIFS(交易明細!$B$2:$B$721,$A85,交易明細!$C$2:$C$721,"做多")</f>
        <v/>
      </c>
      <c r="D85" s="2">
        <f>COUNTIFS(交易明細!$B$2:$B$721,$A85,交易明細!$C$2:$C$721,"做空")</f>
        <v/>
      </c>
      <c r="E85" s="2">
        <f>F85+G85+COUNTIFS(交易明細!$B$2:$B$721,$A85,交易明細!$J$2:$J$721,"時間出場")</f>
        <v/>
      </c>
      <c r="F85" s="2">
        <f>COUNTIFS(交易明細!$B$2:$B$721,$A85,交易明細!$J$2:$J$721,"止盈")</f>
        <v/>
      </c>
      <c r="G85" s="2">
        <f>COUNTIFS(交易明細!$B$2:$B$721,$A85,交易明細!$J$2:$J$721,"止損")</f>
        <v/>
      </c>
      <c r="H85" s="4">
        <f>IFERROR(F85/E85,0)</f>
        <v/>
      </c>
      <c r="I85" s="4">
        <f>IFERROR(AVERAGEIFS(交易明細!$L$2:$L$721,交易明細!$B$2:$B$721,$A85,交易明細!$J$2:$J$721,"&lt;&gt;未平倉"),0)</f>
        <v/>
      </c>
      <c r="J85" s="4">
        <f>SUMIFS(交易明細!$L$2:$L$721,交易明細!$B$2:$B$721,$A85,交易明細!$J$2:$J$721,"&lt;&gt;未平倉")</f>
        <v/>
      </c>
      <c r="K85" s="5">
        <f>IFERROR(AVERAGEIFS(交易明細!$K$2:$K$721,交易明細!$B$2:$B$721,$A85,交易明細!$J$2:$J$721,"&lt;&gt;未平倉"),0)</f>
        <v/>
      </c>
      <c r="L85" s="2">
        <f>COUNTIFS(交易明細!$B$2:$B$721,$A85,交易明細!$J$2:$J$721,"未平倉")</f>
        <v/>
      </c>
    </row>
    <row r="86">
      <c r="A86" s="2" t="inlineStr">
        <is>
          <t>TRIA_USDT_PERP</t>
        </is>
      </c>
      <c r="B86" s="2">
        <f>COUNTIFS(交易明細!$B$2:$B$721,$A86)</f>
        <v/>
      </c>
      <c r="C86" s="2">
        <f>COUNTIFS(交易明細!$B$2:$B$721,$A86,交易明細!$C$2:$C$721,"做多")</f>
        <v/>
      </c>
      <c r="D86" s="2">
        <f>COUNTIFS(交易明細!$B$2:$B$721,$A86,交易明細!$C$2:$C$721,"做空")</f>
        <v/>
      </c>
      <c r="E86" s="2">
        <f>F86+G86+COUNTIFS(交易明細!$B$2:$B$721,$A86,交易明細!$J$2:$J$721,"時間出場")</f>
        <v/>
      </c>
      <c r="F86" s="2">
        <f>COUNTIFS(交易明細!$B$2:$B$721,$A86,交易明細!$J$2:$J$721,"止盈")</f>
        <v/>
      </c>
      <c r="G86" s="2">
        <f>COUNTIFS(交易明細!$B$2:$B$721,$A86,交易明細!$J$2:$J$721,"止損")</f>
        <v/>
      </c>
      <c r="H86" s="4">
        <f>IFERROR(F86/E86,0)</f>
        <v/>
      </c>
      <c r="I86" s="4">
        <f>IFERROR(AVERAGEIFS(交易明細!$L$2:$L$721,交易明細!$B$2:$B$721,$A86,交易明細!$J$2:$J$721,"&lt;&gt;未平倉"),0)</f>
        <v/>
      </c>
      <c r="J86" s="4">
        <f>SUMIFS(交易明細!$L$2:$L$721,交易明細!$B$2:$B$721,$A86,交易明細!$J$2:$J$721,"&lt;&gt;未平倉")</f>
        <v/>
      </c>
      <c r="K86" s="5">
        <f>IFERROR(AVERAGEIFS(交易明細!$K$2:$K$721,交易明細!$B$2:$B$721,$A86,交易明細!$J$2:$J$721,"&lt;&gt;未平倉"),0)</f>
        <v/>
      </c>
      <c r="L86" s="2">
        <f>COUNTIFS(交易明細!$B$2:$B$721,$A86,交易明細!$J$2:$J$721,"未平倉")</f>
        <v/>
      </c>
    </row>
    <row r="87">
      <c r="A87" s="2" t="inlineStr">
        <is>
          <t>CASHCAT_USDT_PERP</t>
        </is>
      </c>
      <c r="B87" s="2">
        <f>COUNTIFS(交易明細!$B$2:$B$721,$A87)</f>
        <v/>
      </c>
      <c r="C87" s="2">
        <f>COUNTIFS(交易明細!$B$2:$B$721,$A87,交易明細!$C$2:$C$721,"做多")</f>
        <v/>
      </c>
      <c r="D87" s="2">
        <f>COUNTIFS(交易明細!$B$2:$B$721,$A87,交易明細!$C$2:$C$721,"做空")</f>
        <v/>
      </c>
      <c r="E87" s="2">
        <f>F87+G87+COUNTIFS(交易明細!$B$2:$B$721,$A87,交易明細!$J$2:$J$721,"時間出場")</f>
        <v/>
      </c>
      <c r="F87" s="2">
        <f>COUNTIFS(交易明細!$B$2:$B$721,$A87,交易明細!$J$2:$J$721,"止盈")</f>
        <v/>
      </c>
      <c r="G87" s="2">
        <f>COUNTIFS(交易明細!$B$2:$B$721,$A87,交易明細!$J$2:$J$721,"止損")</f>
        <v/>
      </c>
      <c r="H87" s="4">
        <f>IFERROR(F87/E87,0)</f>
        <v/>
      </c>
      <c r="I87" s="4">
        <f>IFERROR(AVERAGEIFS(交易明細!$L$2:$L$721,交易明細!$B$2:$B$721,$A87,交易明細!$J$2:$J$721,"&lt;&gt;未平倉"),0)</f>
        <v/>
      </c>
      <c r="J87" s="4">
        <f>SUMIFS(交易明細!$L$2:$L$721,交易明細!$B$2:$B$721,$A87,交易明細!$J$2:$J$721,"&lt;&gt;未平倉")</f>
        <v/>
      </c>
      <c r="K87" s="5">
        <f>IFERROR(AVERAGEIFS(交易明細!$K$2:$K$721,交易明細!$B$2:$B$721,$A87,交易明細!$J$2:$J$721,"&lt;&gt;未平倉"),0)</f>
        <v/>
      </c>
      <c r="L87" s="2">
        <f>COUNTIFS(交易明細!$B$2:$B$721,$A87,交易明細!$J$2:$J$721,"未平倉")</f>
        <v/>
      </c>
    </row>
    <row r="88">
      <c r="A88" s="2" t="inlineStr">
        <is>
          <t>FF_USDT_PERP</t>
        </is>
      </c>
      <c r="B88" s="2">
        <f>COUNTIFS(交易明細!$B$2:$B$721,$A88)</f>
        <v/>
      </c>
      <c r="C88" s="2">
        <f>COUNTIFS(交易明細!$B$2:$B$721,$A88,交易明細!$C$2:$C$721,"做多")</f>
        <v/>
      </c>
      <c r="D88" s="2">
        <f>COUNTIFS(交易明細!$B$2:$B$721,$A88,交易明細!$C$2:$C$721,"做空")</f>
        <v/>
      </c>
      <c r="E88" s="2">
        <f>F88+G88+COUNTIFS(交易明細!$B$2:$B$721,$A88,交易明細!$J$2:$J$721,"時間出場")</f>
        <v/>
      </c>
      <c r="F88" s="2">
        <f>COUNTIFS(交易明細!$B$2:$B$721,$A88,交易明細!$J$2:$J$721,"止盈")</f>
        <v/>
      </c>
      <c r="G88" s="2">
        <f>COUNTIFS(交易明細!$B$2:$B$721,$A88,交易明細!$J$2:$J$721,"止損")</f>
        <v/>
      </c>
      <c r="H88" s="4">
        <f>IFERROR(F88/E88,0)</f>
        <v/>
      </c>
      <c r="I88" s="4">
        <f>IFERROR(AVERAGEIFS(交易明細!$L$2:$L$721,交易明細!$B$2:$B$721,$A88,交易明細!$J$2:$J$721,"&lt;&gt;未平倉"),0)</f>
        <v/>
      </c>
      <c r="J88" s="4">
        <f>SUMIFS(交易明細!$L$2:$L$721,交易明細!$B$2:$B$721,$A88,交易明細!$J$2:$J$721,"&lt;&gt;未平倉")</f>
        <v/>
      </c>
      <c r="K88" s="5">
        <f>IFERROR(AVERAGEIFS(交易明細!$K$2:$K$721,交易明細!$B$2:$B$721,$A88,交易明細!$J$2:$J$721,"&lt;&gt;未平倉"),0)</f>
        <v/>
      </c>
      <c r="L88" s="2">
        <f>COUNTIFS(交易明細!$B$2:$B$721,$A88,交易明細!$J$2:$J$721,"未平倉")</f>
        <v/>
      </c>
    </row>
    <row r="89">
      <c r="A89" s="2" t="inlineStr">
        <is>
          <t>KAT_USDT_PERP</t>
        </is>
      </c>
      <c r="B89" s="2">
        <f>COUNTIFS(交易明細!$B$2:$B$721,$A89)</f>
        <v/>
      </c>
      <c r="C89" s="2">
        <f>COUNTIFS(交易明細!$B$2:$B$721,$A89,交易明細!$C$2:$C$721,"做多")</f>
        <v/>
      </c>
      <c r="D89" s="2">
        <f>COUNTIFS(交易明細!$B$2:$B$721,$A89,交易明細!$C$2:$C$721,"做空")</f>
        <v/>
      </c>
      <c r="E89" s="2">
        <f>F89+G89+COUNTIFS(交易明細!$B$2:$B$721,$A89,交易明細!$J$2:$J$721,"時間出場")</f>
        <v/>
      </c>
      <c r="F89" s="2">
        <f>COUNTIFS(交易明細!$B$2:$B$721,$A89,交易明細!$J$2:$J$721,"止盈")</f>
        <v/>
      </c>
      <c r="G89" s="2">
        <f>COUNTIFS(交易明細!$B$2:$B$721,$A89,交易明細!$J$2:$J$721,"止損")</f>
        <v/>
      </c>
      <c r="H89" s="4">
        <f>IFERROR(F89/E89,0)</f>
        <v/>
      </c>
      <c r="I89" s="4">
        <f>IFERROR(AVERAGEIFS(交易明細!$L$2:$L$721,交易明細!$B$2:$B$721,$A89,交易明細!$J$2:$J$721,"&lt;&gt;未平倉"),0)</f>
        <v/>
      </c>
      <c r="J89" s="4">
        <f>SUMIFS(交易明細!$L$2:$L$721,交易明細!$B$2:$B$721,$A89,交易明細!$J$2:$J$721,"&lt;&gt;未平倉")</f>
        <v/>
      </c>
      <c r="K89" s="5">
        <f>IFERROR(AVERAGEIFS(交易明細!$K$2:$K$721,交易明細!$B$2:$B$721,$A89,交易明細!$J$2:$J$721,"&lt;&gt;未平倉"),0)</f>
        <v/>
      </c>
      <c r="L89" s="2">
        <f>COUNTIFS(交易明細!$B$2:$B$721,$A89,交易明細!$J$2:$J$721,"未平倉")</f>
        <v/>
      </c>
    </row>
    <row r="90">
      <c r="A90" s="2" t="inlineStr">
        <is>
          <t>CAP_USDT_PERP</t>
        </is>
      </c>
      <c r="B90" s="2">
        <f>COUNTIFS(交易明細!$B$2:$B$721,$A90)</f>
        <v/>
      </c>
      <c r="C90" s="2">
        <f>COUNTIFS(交易明細!$B$2:$B$721,$A90,交易明細!$C$2:$C$721,"做多")</f>
        <v/>
      </c>
      <c r="D90" s="2">
        <f>COUNTIFS(交易明細!$B$2:$B$721,$A90,交易明細!$C$2:$C$721,"做空")</f>
        <v/>
      </c>
      <c r="E90" s="2">
        <f>F90+G90+COUNTIFS(交易明細!$B$2:$B$721,$A90,交易明細!$J$2:$J$721,"時間出場")</f>
        <v/>
      </c>
      <c r="F90" s="2">
        <f>COUNTIFS(交易明細!$B$2:$B$721,$A90,交易明細!$J$2:$J$721,"止盈")</f>
        <v/>
      </c>
      <c r="G90" s="2">
        <f>COUNTIFS(交易明細!$B$2:$B$721,$A90,交易明細!$J$2:$J$721,"止損")</f>
        <v/>
      </c>
      <c r="H90" s="4">
        <f>IFERROR(F90/E90,0)</f>
        <v/>
      </c>
      <c r="I90" s="4">
        <f>IFERROR(AVERAGEIFS(交易明細!$L$2:$L$721,交易明細!$B$2:$B$721,$A90,交易明細!$J$2:$J$721,"&lt;&gt;未平倉"),0)</f>
        <v/>
      </c>
      <c r="J90" s="4">
        <f>SUMIFS(交易明細!$L$2:$L$721,交易明細!$B$2:$B$721,$A90,交易明細!$J$2:$J$721,"&lt;&gt;未平倉")</f>
        <v/>
      </c>
      <c r="K90" s="5">
        <f>IFERROR(AVERAGEIFS(交易明細!$K$2:$K$721,交易明細!$B$2:$B$721,$A90,交易明細!$J$2:$J$721,"&lt;&gt;未平倉"),0)</f>
        <v/>
      </c>
      <c r="L90" s="2">
        <f>COUNTIFS(交易明細!$B$2:$B$721,$A90,交易明細!$J$2:$J$721,"未平倉")</f>
        <v/>
      </c>
    </row>
    <row r="91">
      <c r="A91" s="2" t="inlineStr">
        <is>
          <t>XRP_USDT_PERP</t>
        </is>
      </c>
      <c r="B91" s="2">
        <f>COUNTIFS(交易明細!$B$2:$B$721,$A91)</f>
        <v/>
      </c>
      <c r="C91" s="2">
        <f>COUNTIFS(交易明細!$B$2:$B$721,$A91,交易明細!$C$2:$C$721,"做多")</f>
        <v/>
      </c>
      <c r="D91" s="2">
        <f>COUNTIFS(交易明細!$B$2:$B$721,$A91,交易明細!$C$2:$C$721,"做空")</f>
        <v/>
      </c>
      <c r="E91" s="2">
        <f>F91+G91+COUNTIFS(交易明細!$B$2:$B$721,$A91,交易明細!$J$2:$J$721,"時間出場")</f>
        <v/>
      </c>
      <c r="F91" s="2">
        <f>COUNTIFS(交易明細!$B$2:$B$721,$A91,交易明細!$J$2:$J$721,"止盈")</f>
        <v/>
      </c>
      <c r="G91" s="2">
        <f>COUNTIFS(交易明細!$B$2:$B$721,$A91,交易明細!$J$2:$J$721,"止損")</f>
        <v/>
      </c>
      <c r="H91" s="4">
        <f>IFERROR(F91/E91,0)</f>
        <v/>
      </c>
      <c r="I91" s="4">
        <f>IFERROR(AVERAGEIFS(交易明細!$L$2:$L$721,交易明細!$B$2:$B$721,$A91,交易明細!$J$2:$J$721,"&lt;&gt;未平倉"),0)</f>
        <v/>
      </c>
      <c r="J91" s="4">
        <f>SUMIFS(交易明細!$L$2:$L$721,交易明細!$B$2:$B$721,$A91,交易明細!$J$2:$J$721,"&lt;&gt;未平倉")</f>
        <v/>
      </c>
      <c r="K91" s="5">
        <f>IFERROR(AVERAGEIFS(交易明細!$K$2:$K$721,交易明細!$B$2:$B$721,$A91,交易明細!$J$2:$J$721,"&lt;&gt;未平倉"),0)</f>
        <v/>
      </c>
      <c r="L91" s="2">
        <f>COUNTIFS(交易明細!$B$2:$B$721,$A91,交易明細!$J$2:$J$721,"未平倉")</f>
        <v/>
      </c>
    </row>
    <row r="92">
      <c r="A92" s="2" t="inlineStr">
        <is>
          <t>CROSS_USDT_PERP</t>
        </is>
      </c>
      <c r="B92" s="2">
        <f>COUNTIFS(交易明細!$B$2:$B$721,$A92)</f>
        <v/>
      </c>
      <c r="C92" s="2">
        <f>COUNTIFS(交易明細!$B$2:$B$721,$A92,交易明細!$C$2:$C$721,"做多")</f>
        <v/>
      </c>
      <c r="D92" s="2">
        <f>COUNTIFS(交易明細!$B$2:$B$721,$A92,交易明細!$C$2:$C$721,"做空")</f>
        <v/>
      </c>
      <c r="E92" s="2">
        <f>F92+G92+COUNTIFS(交易明細!$B$2:$B$721,$A92,交易明細!$J$2:$J$721,"時間出場")</f>
        <v/>
      </c>
      <c r="F92" s="2">
        <f>COUNTIFS(交易明細!$B$2:$B$721,$A92,交易明細!$J$2:$J$721,"止盈")</f>
        <v/>
      </c>
      <c r="G92" s="2">
        <f>COUNTIFS(交易明細!$B$2:$B$721,$A92,交易明細!$J$2:$J$721,"止損")</f>
        <v/>
      </c>
      <c r="H92" s="4">
        <f>IFERROR(F92/E92,0)</f>
        <v/>
      </c>
      <c r="I92" s="4">
        <f>IFERROR(AVERAGEIFS(交易明細!$L$2:$L$721,交易明細!$B$2:$B$721,$A92,交易明細!$J$2:$J$721,"&lt;&gt;未平倉"),0)</f>
        <v/>
      </c>
      <c r="J92" s="4">
        <f>SUMIFS(交易明細!$L$2:$L$721,交易明細!$B$2:$B$721,$A92,交易明細!$J$2:$J$721,"&lt;&gt;未平倉")</f>
        <v/>
      </c>
      <c r="K92" s="5">
        <f>IFERROR(AVERAGEIFS(交易明細!$K$2:$K$721,交易明細!$B$2:$B$721,$A92,交易明細!$J$2:$J$721,"&lt;&gt;未平倉"),0)</f>
        <v/>
      </c>
      <c r="L92" s="2">
        <f>COUNTIFS(交易明細!$B$2:$B$721,$A92,交易明細!$J$2:$J$721,"未平倉")</f>
        <v/>
      </c>
    </row>
    <row r="93">
      <c r="A93" s="2" t="inlineStr">
        <is>
          <t>MYX_USDT_PERP</t>
        </is>
      </c>
      <c r="B93" s="2">
        <f>COUNTIFS(交易明細!$B$2:$B$721,$A93)</f>
        <v/>
      </c>
      <c r="C93" s="2">
        <f>COUNTIFS(交易明細!$B$2:$B$721,$A93,交易明細!$C$2:$C$721,"做多")</f>
        <v/>
      </c>
      <c r="D93" s="2">
        <f>COUNTIFS(交易明細!$B$2:$B$721,$A93,交易明細!$C$2:$C$721,"做空")</f>
        <v/>
      </c>
      <c r="E93" s="2">
        <f>F93+G93+COUNTIFS(交易明細!$B$2:$B$721,$A93,交易明細!$J$2:$J$721,"時間出場")</f>
        <v/>
      </c>
      <c r="F93" s="2">
        <f>COUNTIFS(交易明細!$B$2:$B$721,$A93,交易明細!$J$2:$J$721,"止盈")</f>
        <v/>
      </c>
      <c r="G93" s="2">
        <f>COUNTIFS(交易明細!$B$2:$B$721,$A93,交易明細!$J$2:$J$721,"止損")</f>
        <v/>
      </c>
      <c r="H93" s="4">
        <f>IFERROR(F93/E93,0)</f>
        <v/>
      </c>
      <c r="I93" s="4">
        <f>IFERROR(AVERAGEIFS(交易明細!$L$2:$L$721,交易明細!$B$2:$B$721,$A93,交易明細!$J$2:$J$721,"&lt;&gt;未平倉"),0)</f>
        <v/>
      </c>
      <c r="J93" s="4">
        <f>SUMIFS(交易明細!$L$2:$L$721,交易明細!$B$2:$B$721,$A93,交易明細!$J$2:$J$721,"&lt;&gt;未平倉")</f>
        <v/>
      </c>
      <c r="K93" s="5">
        <f>IFERROR(AVERAGEIFS(交易明細!$K$2:$K$721,交易明細!$B$2:$B$721,$A93,交易明細!$J$2:$J$721,"&lt;&gt;未平倉"),0)</f>
        <v/>
      </c>
      <c r="L93" s="2">
        <f>COUNTIFS(交易明細!$B$2:$B$721,$A93,交易明細!$J$2:$J$721,"未平倉")</f>
        <v/>
      </c>
    </row>
    <row r="94">
      <c r="A94" s="2" t="inlineStr">
        <is>
          <t>BANK_USDT_PERP</t>
        </is>
      </c>
      <c r="B94" s="2">
        <f>COUNTIFS(交易明細!$B$2:$B$721,$A94)</f>
        <v/>
      </c>
      <c r="C94" s="2">
        <f>COUNTIFS(交易明細!$B$2:$B$721,$A94,交易明細!$C$2:$C$721,"做多")</f>
        <v/>
      </c>
      <c r="D94" s="2">
        <f>COUNTIFS(交易明細!$B$2:$B$721,$A94,交易明細!$C$2:$C$721,"做空")</f>
        <v/>
      </c>
      <c r="E94" s="2">
        <f>F94+G94+COUNTIFS(交易明細!$B$2:$B$721,$A94,交易明細!$J$2:$J$721,"時間出場")</f>
        <v/>
      </c>
      <c r="F94" s="2">
        <f>COUNTIFS(交易明細!$B$2:$B$721,$A94,交易明細!$J$2:$J$721,"止盈")</f>
        <v/>
      </c>
      <c r="G94" s="2">
        <f>COUNTIFS(交易明細!$B$2:$B$721,$A94,交易明細!$J$2:$J$721,"止損")</f>
        <v/>
      </c>
      <c r="H94" s="4">
        <f>IFERROR(F94/E94,0)</f>
        <v/>
      </c>
      <c r="I94" s="4">
        <f>IFERROR(AVERAGEIFS(交易明細!$L$2:$L$721,交易明細!$B$2:$B$721,$A94,交易明細!$J$2:$J$721,"&lt;&gt;未平倉"),0)</f>
        <v/>
      </c>
      <c r="J94" s="4">
        <f>SUMIFS(交易明細!$L$2:$L$721,交易明細!$B$2:$B$721,$A94,交易明細!$J$2:$J$721,"&lt;&gt;未平倉")</f>
        <v/>
      </c>
      <c r="K94" s="5">
        <f>IFERROR(AVERAGEIFS(交易明細!$K$2:$K$721,交易明細!$B$2:$B$721,$A94,交易明細!$J$2:$J$721,"&lt;&gt;未平倉"),0)</f>
        <v/>
      </c>
      <c r="L94" s="2">
        <f>COUNTIFS(交易明細!$B$2:$B$721,$A94,交易明細!$J$2:$J$721,"未平倉")</f>
        <v/>
      </c>
    </row>
    <row r="95">
      <c r="A95" s="2" t="inlineStr">
        <is>
          <t>ETHFI_USDT_PERP</t>
        </is>
      </c>
      <c r="B95" s="2">
        <f>COUNTIFS(交易明細!$B$2:$B$721,$A95)</f>
        <v/>
      </c>
      <c r="C95" s="2">
        <f>COUNTIFS(交易明細!$B$2:$B$721,$A95,交易明細!$C$2:$C$721,"做多")</f>
        <v/>
      </c>
      <c r="D95" s="2">
        <f>COUNTIFS(交易明細!$B$2:$B$721,$A95,交易明細!$C$2:$C$721,"做空")</f>
        <v/>
      </c>
      <c r="E95" s="2">
        <f>F95+G95+COUNTIFS(交易明細!$B$2:$B$721,$A95,交易明細!$J$2:$J$721,"時間出場")</f>
        <v/>
      </c>
      <c r="F95" s="2">
        <f>COUNTIFS(交易明細!$B$2:$B$721,$A95,交易明細!$J$2:$J$721,"止盈")</f>
        <v/>
      </c>
      <c r="G95" s="2">
        <f>COUNTIFS(交易明細!$B$2:$B$721,$A95,交易明細!$J$2:$J$721,"止損")</f>
        <v/>
      </c>
      <c r="H95" s="4">
        <f>IFERROR(F95/E95,0)</f>
        <v/>
      </c>
      <c r="I95" s="4">
        <f>IFERROR(AVERAGEIFS(交易明細!$L$2:$L$721,交易明細!$B$2:$B$721,$A95,交易明細!$J$2:$J$721,"&lt;&gt;未平倉"),0)</f>
        <v/>
      </c>
      <c r="J95" s="4">
        <f>SUMIFS(交易明細!$L$2:$L$721,交易明細!$B$2:$B$721,$A95,交易明細!$J$2:$J$721,"&lt;&gt;未平倉")</f>
        <v/>
      </c>
      <c r="K95" s="5">
        <f>IFERROR(AVERAGEIFS(交易明細!$K$2:$K$721,交易明細!$B$2:$B$721,$A95,交易明細!$J$2:$J$721,"&lt;&gt;未平倉"),0)</f>
        <v/>
      </c>
      <c r="L95" s="2">
        <f>COUNTIFS(交易明細!$B$2:$B$721,$A95,交易明細!$J$2:$J$721,"未平倉")</f>
        <v/>
      </c>
    </row>
    <row r="96">
      <c r="A96" s="2" t="inlineStr">
        <is>
          <t>KITE_USDT_PERP</t>
        </is>
      </c>
      <c r="B96" s="2">
        <f>COUNTIFS(交易明細!$B$2:$B$721,$A96)</f>
        <v/>
      </c>
      <c r="C96" s="2">
        <f>COUNTIFS(交易明細!$B$2:$B$721,$A96,交易明細!$C$2:$C$721,"做多")</f>
        <v/>
      </c>
      <c r="D96" s="2">
        <f>COUNTIFS(交易明細!$B$2:$B$721,$A96,交易明細!$C$2:$C$721,"做空")</f>
        <v/>
      </c>
      <c r="E96" s="2">
        <f>F96+G96+COUNTIFS(交易明細!$B$2:$B$721,$A96,交易明細!$J$2:$J$721,"時間出場")</f>
        <v/>
      </c>
      <c r="F96" s="2">
        <f>COUNTIFS(交易明細!$B$2:$B$721,$A96,交易明細!$J$2:$J$721,"止盈")</f>
        <v/>
      </c>
      <c r="G96" s="2">
        <f>COUNTIFS(交易明細!$B$2:$B$721,$A96,交易明細!$J$2:$J$721,"止損")</f>
        <v/>
      </c>
      <c r="H96" s="4">
        <f>IFERROR(F96/E96,0)</f>
        <v/>
      </c>
      <c r="I96" s="4">
        <f>IFERROR(AVERAGEIFS(交易明細!$L$2:$L$721,交易明細!$B$2:$B$721,$A96,交易明細!$J$2:$J$721,"&lt;&gt;未平倉"),0)</f>
        <v/>
      </c>
      <c r="J96" s="4">
        <f>SUMIFS(交易明細!$L$2:$L$721,交易明細!$B$2:$B$721,$A96,交易明細!$J$2:$J$721,"&lt;&gt;未平倉")</f>
        <v/>
      </c>
      <c r="K96" s="5">
        <f>IFERROR(AVERAGEIFS(交易明細!$K$2:$K$721,交易明細!$B$2:$B$721,$A96,交易明細!$J$2:$J$721,"&lt;&gt;未平倉"),0)</f>
        <v/>
      </c>
      <c r="L96" s="2">
        <f>COUNTIFS(交易明細!$B$2:$B$721,$A96,交易明細!$J$2:$J$721,"未平倉")</f>
        <v/>
      </c>
    </row>
    <row r="97">
      <c r="A97" s="2" t="inlineStr">
        <is>
          <t>ADA_USDT_PERP</t>
        </is>
      </c>
      <c r="B97" s="2">
        <f>COUNTIFS(交易明細!$B$2:$B$721,$A97)</f>
        <v/>
      </c>
      <c r="C97" s="2">
        <f>COUNTIFS(交易明細!$B$2:$B$721,$A97,交易明細!$C$2:$C$721,"做多")</f>
        <v/>
      </c>
      <c r="D97" s="2">
        <f>COUNTIFS(交易明細!$B$2:$B$721,$A97,交易明細!$C$2:$C$721,"做空")</f>
        <v/>
      </c>
      <c r="E97" s="2">
        <f>F97+G97+COUNTIFS(交易明細!$B$2:$B$721,$A97,交易明細!$J$2:$J$721,"時間出場")</f>
        <v/>
      </c>
      <c r="F97" s="2">
        <f>COUNTIFS(交易明細!$B$2:$B$721,$A97,交易明細!$J$2:$J$721,"止盈")</f>
        <v/>
      </c>
      <c r="G97" s="2">
        <f>COUNTIFS(交易明細!$B$2:$B$721,$A97,交易明細!$J$2:$J$721,"止損")</f>
        <v/>
      </c>
      <c r="H97" s="4">
        <f>IFERROR(F97/E97,0)</f>
        <v/>
      </c>
      <c r="I97" s="4">
        <f>IFERROR(AVERAGEIFS(交易明細!$L$2:$L$721,交易明細!$B$2:$B$721,$A97,交易明細!$J$2:$J$721,"&lt;&gt;未平倉"),0)</f>
        <v/>
      </c>
      <c r="J97" s="4">
        <f>SUMIFS(交易明細!$L$2:$L$721,交易明細!$B$2:$B$721,$A97,交易明細!$J$2:$J$721,"&lt;&gt;未平倉")</f>
        <v/>
      </c>
      <c r="K97" s="5">
        <f>IFERROR(AVERAGEIFS(交易明細!$K$2:$K$721,交易明細!$B$2:$B$721,$A97,交易明細!$J$2:$J$721,"&lt;&gt;未平倉"),0)</f>
        <v/>
      </c>
      <c r="L97" s="2">
        <f>COUNTIFS(交易明細!$B$2:$B$721,$A97,交易明細!$J$2:$J$721,"未平倉")</f>
        <v/>
      </c>
    </row>
    <row r="98">
      <c r="A98" s="2" t="inlineStr">
        <is>
          <t>LTC_USDT_PERP</t>
        </is>
      </c>
      <c r="B98" s="2">
        <f>COUNTIFS(交易明細!$B$2:$B$721,$A98)</f>
        <v/>
      </c>
      <c r="C98" s="2">
        <f>COUNTIFS(交易明細!$B$2:$B$721,$A98,交易明細!$C$2:$C$721,"做多")</f>
        <v/>
      </c>
      <c r="D98" s="2">
        <f>COUNTIFS(交易明細!$B$2:$B$721,$A98,交易明細!$C$2:$C$721,"做空")</f>
        <v/>
      </c>
      <c r="E98" s="2">
        <f>F98+G98+COUNTIFS(交易明細!$B$2:$B$721,$A98,交易明細!$J$2:$J$721,"時間出場")</f>
        <v/>
      </c>
      <c r="F98" s="2">
        <f>COUNTIFS(交易明細!$B$2:$B$721,$A98,交易明細!$J$2:$J$721,"止盈")</f>
        <v/>
      </c>
      <c r="G98" s="2">
        <f>COUNTIFS(交易明細!$B$2:$B$721,$A98,交易明細!$J$2:$J$721,"止損")</f>
        <v/>
      </c>
      <c r="H98" s="4">
        <f>IFERROR(F98/E98,0)</f>
        <v/>
      </c>
      <c r="I98" s="4">
        <f>IFERROR(AVERAGEIFS(交易明細!$L$2:$L$721,交易明細!$B$2:$B$721,$A98,交易明細!$J$2:$J$721,"&lt;&gt;未平倉"),0)</f>
        <v/>
      </c>
      <c r="J98" s="4">
        <f>SUMIFS(交易明細!$L$2:$L$721,交易明細!$B$2:$B$721,$A98,交易明細!$J$2:$J$721,"&lt;&gt;未平倉")</f>
        <v/>
      </c>
      <c r="K98" s="5">
        <f>IFERROR(AVERAGEIFS(交易明細!$K$2:$K$721,交易明細!$B$2:$B$721,$A98,交易明細!$J$2:$J$721,"&lt;&gt;未平倉"),0)</f>
        <v/>
      </c>
      <c r="L98" s="2">
        <f>COUNTIFS(交易明細!$B$2:$B$721,$A98,交易明細!$J$2:$J$721,"未平倉")</f>
        <v/>
      </c>
    </row>
    <row r="99">
      <c r="A99" s="2" t="inlineStr">
        <is>
          <t>NOM_USDT_PERP</t>
        </is>
      </c>
      <c r="B99" s="2">
        <f>COUNTIFS(交易明細!$B$2:$B$721,$A99)</f>
        <v/>
      </c>
      <c r="C99" s="2">
        <f>COUNTIFS(交易明細!$B$2:$B$721,$A99,交易明細!$C$2:$C$721,"做多")</f>
        <v/>
      </c>
      <c r="D99" s="2">
        <f>COUNTIFS(交易明細!$B$2:$B$721,$A99,交易明細!$C$2:$C$721,"做空")</f>
        <v/>
      </c>
      <c r="E99" s="2">
        <f>F99+G99+COUNTIFS(交易明細!$B$2:$B$721,$A99,交易明細!$J$2:$J$721,"時間出場")</f>
        <v/>
      </c>
      <c r="F99" s="2">
        <f>COUNTIFS(交易明細!$B$2:$B$721,$A99,交易明細!$J$2:$J$721,"止盈")</f>
        <v/>
      </c>
      <c r="G99" s="2">
        <f>COUNTIFS(交易明細!$B$2:$B$721,$A99,交易明細!$J$2:$J$721,"止損")</f>
        <v/>
      </c>
      <c r="H99" s="4">
        <f>IFERROR(F99/E99,0)</f>
        <v/>
      </c>
      <c r="I99" s="4">
        <f>IFERROR(AVERAGEIFS(交易明細!$L$2:$L$721,交易明細!$B$2:$B$721,$A99,交易明細!$J$2:$J$721,"&lt;&gt;未平倉"),0)</f>
        <v/>
      </c>
      <c r="J99" s="4">
        <f>SUMIFS(交易明細!$L$2:$L$721,交易明細!$B$2:$B$721,$A99,交易明細!$J$2:$J$721,"&lt;&gt;未平倉")</f>
        <v/>
      </c>
      <c r="K99" s="5">
        <f>IFERROR(AVERAGEIFS(交易明細!$K$2:$K$721,交易明細!$B$2:$B$721,$A99,交易明細!$J$2:$J$721,"&lt;&gt;未平倉"),0)</f>
        <v/>
      </c>
      <c r="L99" s="2">
        <f>COUNTIFS(交易明細!$B$2:$B$721,$A99,交易明細!$J$2:$J$721,"未平倉")</f>
        <v/>
      </c>
    </row>
    <row r="100">
      <c r="A100" s="2" t="inlineStr">
        <is>
          <t>BROCCOLI_USDT_PERP</t>
        </is>
      </c>
      <c r="B100" s="2">
        <f>COUNTIFS(交易明細!$B$2:$B$721,$A100)</f>
        <v/>
      </c>
      <c r="C100" s="2">
        <f>COUNTIFS(交易明細!$B$2:$B$721,$A100,交易明細!$C$2:$C$721,"做多")</f>
        <v/>
      </c>
      <c r="D100" s="2">
        <f>COUNTIFS(交易明細!$B$2:$B$721,$A100,交易明細!$C$2:$C$721,"做空")</f>
        <v/>
      </c>
      <c r="E100" s="2">
        <f>F100+G100+COUNTIFS(交易明細!$B$2:$B$721,$A100,交易明細!$J$2:$J$721,"時間出場")</f>
        <v/>
      </c>
      <c r="F100" s="2">
        <f>COUNTIFS(交易明細!$B$2:$B$721,$A100,交易明細!$J$2:$J$721,"止盈")</f>
        <v/>
      </c>
      <c r="G100" s="2">
        <f>COUNTIFS(交易明細!$B$2:$B$721,$A100,交易明細!$J$2:$J$721,"止損")</f>
        <v/>
      </c>
      <c r="H100" s="4">
        <f>IFERROR(F100/E100,0)</f>
        <v/>
      </c>
      <c r="I100" s="4">
        <f>IFERROR(AVERAGEIFS(交易明細!$L$2:$L$721,交易明細!$B$2:$B$721,$A100,交易明細!$J$2:$J$721,"&lt;&gt;未平倉"),0)</f>
        <v/>
      </c>
      <c r="J100" s="4">
        <f>SUMIFS(交易明細!$L$2:$L$721,交易明細!$B$2:$B$721,$A100,交易明細!$J$2:$J$721,"&lt;&gt;未平倉")</f>
        <v/>
      </c>
      <c r="K100" s="5">
        <f>IFERROR(AVERAGEIFS(交易明細!$K$2:$K$721,交易明細!$B$2:$B$721,$A100,交易明細!$J$2:$J$721,"&lt;&gt;未平倉"),0)</f>
        <v/>
      </c>
      <c r="L100" s="2">
        <f>COUNTIFS(交易明細!$B$2:$B$721,$A100,交易明細!$J$2:$J$721,"未平倉")</f>
        <v/>
      </c>
    </row>
    <row r="101">
      <c r="A101" s="2" t="inlineStr">
        <is>
          <t>2Z_USDT_PERP</t>
        </is>
      </c>
      <c r="B101" s="2">
        <f>COUNTIFS(交易明細!$B$2:$B$721,$A101)</f>
        <v/>
      </c>
      <c r="C101" s="2">
        <f>COUNTIFS(交易明細!$B$2:$B$721,$A101,交易明細!$C$2:$C$721,"做多")</f>
        <v/>
      </c>
      <c r="D101" s="2">
        <f>COUNTIFS(交易明細!$B$2:$B$721,$A101,交易明細!$C$2:$C$721,"做空")</f>
        <v/>
      </c>
      <c r="E101" s="2">
        <f>F101+G101+COUNTIFS(交易明細!$B$2:$B$721,$A101,交易明細!$J$2:$J$721,"時間出場")</f>
        <v/>
      </c>
      <c r="F101" s="2">
        <f>COUNTIFS(交易明細!$B$2:$B$721,$A101,交易明細!$J$2:$J$721,"止盈")</f>
        <v/>
      </c>
      <c r="G101" s="2">
        <f>COUNTIFS(交易明細!$B$2:$B$721,$A101,交易明細!$J$2:$J$721,"止損")</f>
        <v/>
      </c>
      <c r="H101" s="4">
        <f>IFERROR(F101/E101,0)</f>
        <v/>
      </c>
      <c r="I101" s="4">
        <f>IFERROR(AVERAGEIFS(交易明細!$L$2:$L$721,交易明細!$B$2:$B$721,$A101,交易明細!$J$2:$J$721,"&lt;&gt;未平倉"),0)</f>
        <v/>
      </c>
      <c r="J101" s="4">
        <f>SUMIFS(交易明細!$L$2:$L$721,交易明細!$B$2:$B$721,$A101,交易明細!$J$2:$J$721,"&lt;&gt;未平倉")</f>
        <v/>
      </c>
      <c r="K101" s="5">
        <f>IFERROR(AVERAGEIFS(交易明細!$K$2:$K$721,交易明細!$B$2:$B$721,$A101,交易明細!$J$2:$J$721,"&lt;&gt;未平倉"),0)</f>
        <v/>
      </c>
      <c r="L101" s="2">
        <f>COUNTIFS(交易明細!$B$2:$B$721,$A101,交易明細!$J$2:$J$721,"未平倉")</f>
        <v/>
      </c>
    </row>
    <row r="102">
      <c r="A102" s="2" t="inlineStr">
        <is>
          <t>XLM_USDT_PERP</t>
        </is>
      </c>
      <c r="B102" s="2">
        <f>COUNTIFS(交易明細!$B$2:$B$721,$A102)</f>
        <v/>
      </c>
      <c r="C102" s="2">
        <f>COUNTIFS(交易明細!$B$2:$B$721,$A102,交易明細!$C$2:$C$721,"做多")</f>
        <v/>
      </c>
      <c r="D102" s="2">
        <f>COUNTIFS(交易明細!$B$2:$B$721,$A102,交易明細!$C$2:$C$721,"做空")</f>
        <v/>
      </c>
      <c r="E102" s="2">
        <f>F102+G102+COUNTIFS(交易明細!$B$2:$B$721,$A102,交易明細!$J$2:$J$721,"時間出場")</f>
        <v/>
      </c>
      <c r="F102" s="2">
        <f>COUNTIFS(交易明細!$B$2:$B$721,$A102,交易明細!$J$2:$J$721,"止盈")</f>
        <v/>
      </c>
      <c r="G102" s="2">
        <f>COUNTIFS(交易明細!$B$2:$B$721,$A102,交易明細!$J$2:$J$721,"止損")</f>
        <v/>
      </c>
      <c r="H102" s="4">
        <f>IFERROR(F102/E102,0)</f>
        <v/>
      </c>
      <c r="I102" s="4">
        <f>IFERROR(AVERAGEIFS(交易明細!$L$2:$L$721,交易明細!$B$2:$B$721,$A102,交易明細!$J$2:$J$721,"&lt;&gt;未平倉"),0)</f>
        <v/>
      </c>
      <c r="J102" s="4">
        <f>SUMIFS(交易明細!$L$2:$L$721,交易明細!$B$2:$B$721,$A102,交易明細!$J$2:$J$721,"&lt;&gt;未平倉")</f>
        <v/>
      </c>
      <c r="K102" s="5">
        <f>IFERROR(AVERAGEIFS(交易明細!$K$2:$K$721,交易明細!$B$2:$B$721,$A102,交易明細!$J$2:$J$721,"&lt;&gt;未平倉"),0)</f>
        <v/>
      </c>
      <c r="L102" s="2">
        <f>COUNTIFS(交易明細!$B$2:$B$721,$A102,交易明細!$J$2:$J$721,"未平倉")</f>
        <v/>
      </c>
    </row>
    <row r="103">
      <c r="A103" s="2" t="inlineStr">
        <is>
          <t>MON_USDT_PERP</t>
        </is>
      </c>
      <c r="B103" s="2">
        <f>COUNTIFS(交易明細!$B$2:$B$721,$A103)</f>
        <v/>
      </c>
      <c r="C103" s="2">
        <f>COUNTIFS(交易明細!$B$2:$B$721,$A103,交易明細!$C$2:$C$721,"做多")</f>
        <v/>
      </c>
      <c r="D103" s="2">
        <f>COUNTIFS(交易明細!$B$2:$B$721,$A103,交易明細!$C$2:$C$721,"做空")</f>
        <v/>
      </c>
      <c r="E103" s="2">
        <f>F103+G103+COUNTIFS(交易明細!$B$2:$B$721,$A103,交易明細!$J$2:$J$721,"時間出場")</f>
        <v/>
      </c>
      <c r="F103" s="2">
        <f>COUNTIFS(交易明細!$B$2:$B$721,$A103,交易明細!$J$2:$J$721,"止盈")</f>
        <v/>
      </c>
      <c r="G103" s="2">
        <f>COUNTIFS(交易明細!$B$2:$B$721,$A103,交易明細!$J$2:$J$721,"止損")</f>
        <v/>
      </c>
      <c r="H103" s="4">
        <f>IFERROR(F103/E103,0)</f>
        <v/>
      </c>
      <c r="I103" s="4">
        <f>IFERROR(AVERAGEIFS(交易明細!$L$2:$L$721,交易明細!$B$2:$B$721,$A103,交易明細!$J$2:$J$721,"&lt;&gt;未平倉"),0)</f>
        <v/>
      </c>
      <c r="J103" s="4">
        <f>SUMIFS(交易明細!$L$2:$L$721,交易明細!$B$2:$B$721,$A103,交易明細!$J$2:$J$721,"&lt;&gt;未平倉")</f>
        <v/>
      </c>
      <c r="K103" s="5">
        <f>IFERROR(AVERAGEIFS(交易明細!$K$2:$K$721,交易明細!$B$2:$B$721,$A103,交易明細!$J$2:$J$721,"&lt;&gt;未平倉"),0)</f>
        <v/>
      </c>
      <c r="L103" s="2">
        <f>COUNTIFS(交易明細!$B$2:$B$721,$A103,交易明細!$J$2:$J$721,"未平倉")</f>
        <v/>
      </c>
    </row>
    <row r="104">
      <c r="A104" s="2" t="inlineStr">
        <is>
          <t>NIGHT_USDT_PERP</t>
        </is>
      </c>
      <c r="B104" s="2">
        <f>COUNTIFS(交易明細!$B$2:$B$721,$A104)</f>
        <v/>
      </c>
      <c r="C104" s="2">
        <f>COUNTIFS(交易明細!$B$2:$B$721,$A104,交易明細!$C$2:$C$721,"做多")</f>
        <v/>
      </c>
      <c r="D104" s="2">
        <f>COUNTIFS(交易明細!$B$2:$B$721,$A104,交易明細!$C$2:$C$721,"做空")</f>
        <v/>
      </c>
      <c r="E104" s="2">
        <f>F104+G104+COUNTIFS(交易明細!$B$2:$B$721,$A104,交易明細!$J$2:$J$721,"時間出場")</f>
        <v/>
      </c>
      <c r="F104" s="2">
        <f>COUNTIFS(交易明細!$B$2:$B$721,$A104,交易明細!$J$2:$J$721,"止盈")</f>
        <v/>
      </c>
      <c r="G104" s="2">
        <f>COUNTIFS(交易明細!$B$2:$B$721,$A104,交易明細!$J$2:$J$721,"止損")</f>
        <v/>
      </c>
      <c r="H104" s="4">
        <f>IFERROR(F104/E104,0)</f>
        <v/>
      </c>
      <c r="I104" s="4">
        <f>IFERROR(AVERAGEIFS(交易明細!$L$2:$L$721,交易明細!$B$2:$B$721,$A104,交易明細!$J$2:$J$721,"&lt;&gt;未平倉"),0)</f>
        <v/>
      </c>
      <c r="J104" s="4">
        <f>SUMIFS(交易明細!$L$2:$L$721,交易明細!$B$2:$B$721,$A104,交易明細!$J$2:$J$721,"&lt;&gt;未平倉")</f>
        <v/>
      </c>
      <c r="K104" s="5">
        <f>IFERROR(AVERAGEIFS(交易明細!$K$2:$K$721,交易明細!$B$2:$B$721,$A104,交易明細!$J$2:$J$721,"&lt;&gt;未平倉"),0)</f>
        <v/>
      </c>
      <c r="L104" s="2">
        <f>COUNTIFS(交易明細!$B$2:$B$721,$A104,交易明細!$J$2:$J$721,"未平倉")</f>
        <v/>
      </c>
    </row>
    <row r="105">
      <c r="A105" s="2" t="inlineStr">
        <is>
          <t>BEAMX_USDT_PERP</t>
        </is>
      </c>
      <c r="B105" s="2">
        <f>COUNTIFS(交易明細!$B$2:$B$721,$A105)</f>
        <v/>
      </c>
      <c r="C105" s="2">
        <f>COUNTIFS(交易明細!$B$2:$B$721,$A105,交易明細!$C$2:$C$721,"做多")</f>
        <v/>
      </c>
      <c r="D105" s="2">
        <f>COUNTIFS(交易明細!$B$2:$B$721,$A105,交易明細!$C$2:$C$721,"做空")</f>
        <v/>
      </c>
      <c r="E105" s="2">
        <f>F105+G105+COUNTIFS(交易明細!$B$2:$B$721,$A105,交易明細!$J$2:$J$721,"時間出場")</f>
        <v/>
      </c>
      <c r="F105" s="2">
        <f>COUNTIFS(交易明細!$B$2:$B$721,$A105,交易明細!$J$2:$J$721,"止盈")</f>
        <v/>
      </c>
      <c r="G105" s="2">
        <f>COUNTIFS(交易明細!$B$2:$B$721,$A105,交易明細!$J$2:$J$721,"止損")</f>
        <v/>
      </c>
      <c r="H105" s="4">
        <f>IFERROR(F105/E105,0)</f>
        <v/>
      </c>
      <c r="I105" s="4">
        <f>IFERROR(AVERAGEIFS(交易明細!$L$2:$L$721,交易明細!$B$2:$B$721,$A105,交易明細!$J$2:$J$721,"&lt;&gt;未平倉"),0)</f>
        <v/>
      </c>
      <c r="J105" s="4">
        <f>SUMIFS(交易明細!$L$2:$L$721,交易明細!$B$2:$B$721,$A105,交易明細!$J$2:$J$721,"&lt;&gt;未平倉")</f>
        <v/>
      </c>
      <c r="K105" s="5">
        <f>IFERROR(AVERAGEIFS(交易明細!$K$2:$K$721,交易明細!$B$2:$B$721,$A105,交易明細!$J$2:$J$721,"&lt;&gt;未平倉"),0)</f>
        <v/>
      </c>
      <c r="L105" s="2">
        <f>COUNTIFS(交易明細!$B$2:$B$721,$A105,交易明細!$J$2:$J$721,"未平倉")</f>
        <v/>
      </c>
    </row>
    <row r="106">
      <c r="A106" s="2" t="inlineStr">
        <is>
          <t>API3_USDT_PERP</t>
        </is>
      </c>
      <c r="B106" s="2">
        <f>COUNTIFS(交易明細!$B$2:$B$721,$A106)</f>
        <v/>
      </c>
      <c r="C106" s="2">
        <f>COUNTIFS(交易明細!$B$2:$B$721,$A106,交易明細!$C$2:$C$721,"做多")</f>
        <v/>
      </c>
      <c r="D106" s="2">
        <f>COUNTIFS(交易明細!$B$2:$B$721,$A106,交易明細!$C$2:$C$721,"做空")</f>
        <v/>
      </c>
      <c r="E106" s="2">
        <f>F106+G106+COUNTIFS(交易明細!$B$2:$B$721,$A106,交易明細!$J$2:$J$721,"時間出場")</f>
        <v/>
      </c>
      <c r="F106" s="2">
        <f>COUNTIFS(交易明細!$B$2:$B$721,$A106,交易明細!$J$2:$J$721,"止盈")</f>
        <v/>
      </c>
      <c r="G106" s="2">
        <f>COUNTIFS(交易明細!$B$2:$B$721,$A106,交易明細!$J$2:$J$721,"止損")</f>
        <v/>
      </c>
      <c r="H106" s="4">
        <f>IFERROR(F106/E106,0)</f>
        <v/>
      </c>
      <c r="I106" s="4">
        <f>IFERROR(AVERAGEIFS(交易明細!$L$2:$L$721,交易明細!$B$2:$B$721,$A106,交易明細!$J$2:$J$721,"&lt;&gt;未平倉"),0)</f>
        <v/>
      </c>
      <c r="J106" s="4">
        <f>SUMIFS(交易明細!$L$2:$L$721,交易明細!$B$2:$B$721,$A106,交易明細!$J$2:$J$721,"&lt;&gt;未平倉")</f>
        <v/>
      </c>
      <c r="K106" s="5">
        <f>IFERROR(AVERAGEIFS(交易明細!$K$2:$K$721,交易明細!$B$2:$B$721,$A106,交易明細!$J$2:$J$721,"&lt;&gt;未平倉"),0)</f>
        <v/>
      </c>
      <c r="L106" s="2">
        <f>COUNTIFS(交易明細!$B$2:$B$721,$A106,交易明細!$J$2:$J$721,"未平倉")</f>
        <v/>
      </c>
    </row>
    <row r="107">
      <c r="A107" s="2" t="inlineStr">
        <is>
          <t>US_USDT_PERP</t>
        </is>
      </c>
      <c r="B107" s="2">
        <f>COUNTIFS(交易明細!$B$2:$B$721,$A107)</f>
        <v/>
      </c>
      <c r="C107" s="2">
        <f>COUNTIFS(交易明細!$B$2:$B$721,$A107,交易明細!$C$2:$C$721,"做多")</f>
        <v/>
      </c>
      <c r="D107" s="2">
        <f>COUNTIFS(交易明細!$B$2:$B$721,$A107,交易明細!$C$2:$C$721,"做空")</f>
        <v/>
      </c>
      <c r="E107" s="2">
        <f>F107+G107+COUNTIFS(交易明細!$B$2:$B$721,$A107,交易明細!$J$2:$J$721,"時間出場")</f>
        <v/>
      </c>
      <c r="F107" s="2">
        <f>COUNTIFS(交易明細!$B$2:$B$721,$A107,交易明細!$J$2:$J$721,"止盈")</f>
        <v/>
      </c>
      <c r="G107" s="2">
        <f>COUNTIFS(交易明細!$B$2:$B$721,$A107,交易明細!$J$2:$J$721,"止損")</f>
        <v/>
      </c>
      <c r="H107" s="4">
        <f>IFERROR(F107/E107,0)</f>
        <v/>
      </c>
      <c r="I107" s="4">
        <f>IFERROR(AVERAGEIFS(交易明細!$L$2:$L$721,交易明細!$B$2:$B$721,$A107,交易明細!$J$2:$J$721,"&lt;&gt;未平倉"),0)</f>
        <v/>
      </c>
      <c r="J107" s="4">
        <f>SUMIFS(交易明細!$L$2:$L$721,交易明細!$B$2:$B$721,$A107,交易明細!$J$2:$J$721,"&lt;&gt;未平倉")</f>
        <v/>
      </c>
      <c r="K107" s="5">
        <f>IFERROR(AVERAGEIFS(交易明細!$K$2:$K$721,交易明細!$B$2:$B$721,$A107,交易明細!$J$2:$J$721,"&lt;&gt;未平倉"),0)</f>
        <v/>
      </c>
      <c r="L107" s="2">
        <f>COUNTIFS(交易明細!$B$2:$B$721,$A107,交易明細!$J$2:$J$721,"未平倉")</f>
        <v/>
      </c>
    </row>
    <row r="108">
      <c r="A108" s="2" t="inlineStr">
        <is>
          <t>ORCA_USDT_PERP</t>
        </is>
      </c>
      <c r="B108" s="2">
        <f>COUNTIFS(交易明細!$B$2:$B$721,$A108)</f>
        <v/>
      </c>
      <c r="C108" s="2">
        <f>COUNTIFS(交易明細!$B$2:$B$721,$A108,交易明細!$C$2:$C$721,"做多")</f>
        <v/>
      </c>
      <c r="D108" s="2">
        <f>COUNTIFS(交易明細!$B$2:$B$721,$A108,交易明細!$C$2:$C$721,"做空")</f>
        <v/>
      </c>
      <c r="E108" s="2">
        <f>F108+G108+COUNTIFS(交易明細!$B$2:$B$721,$A108,交易明細!$J$2:$J$721,"時間出場")</f>
        <v/>
      </c>
      <c r="F108" s="2">
        <f>COUNTIFS(交易明細!$B$2:$B$721,$A108,交易明細!$J$2:$J$721,"止盈")</f>
        <v/>
      </c>
      <c r="G108" s="2">
        <f>COUNTIFS(交易明細!$B$2:$B$721,$A108,交易明細!$J$2:$J$721,"止損")</f>
        <v/>
      </c>
      <c r="H108" s="4">
        <f>IFERROR(F108/E108,0)</f>
        <v/>
      </c>
      <c r="I108" s="4">
        <f>IFERROR(AVERAGEIFS(交易明細!$L$2:$L$721,交易明細!$B$2:$B$721,$A108,交易明細!$J$2:$J$721,"&lt;&gt;未平倉"),0)</f>
        <v/>
      </c>
      <c r="J108" s="4">
        <f>SUMIFS(交易明細!$L$2:$L$721,交易明細!$B$2:$B$721,$A108,交易明細!$J$2:$J$721,"&lt;&gt;未平倉")</f>
        <v/>
      </c>
      <c r="K108" s="5">
        <f>IFERROR(AVERAGEIFS(交易明細!$K$2:$K$721,交易明細!$B$2:$B$721,$A108,交易明細!$J$2:$J$721,"&lt;&gt;未平倉"),0)</f>
        <v/>
      </c>
      <c r="L108" s="2">
        <f>COUNTIFS(交易明細!$B$2:$B$721,$A108,交易明細!$J$2:$J$721,"未平倉")</f>
        <v/>
      </c>
    </row>
    <row r="109">
      <c r="A109" s="2" t="inlineStr">
        <is>
          <t>W_USDT_PERP</t>
        </is>
      </c>
      <c r="B109" s="2">
        <f>COUNTIFS(交易明細!$B$2:$B$721,$A109)</f>
        <v/>
      </c>
      <c r="C109" s="2">
        <f>COUNTIFS(交易明細!$B$2:$B$721,$A109,交易明細!$C$2:$C$721,"做多")</f>
        <v/>
      </c>
      <c r="D109" s="2">
        <f>COUNTIFS(交易明細!$B$2:$B$721,$A109,交易明細!$C$2:$C$721,"做空")</f>
        <v/>
      </c>
      <c r="E109" s="2">
        <f>F109+G109+COUNTIFS(交易明細!$B$2:$B$721,$A109,交易明細!$J$2:$J$721,"時間出場")</f>
        <v/>
      </c>
      <c r="F109" s="2">
        <f>COUNTIFS(交易明細!$B$2:$B$721,$A109,交易明細!$J$2:$J$721,"止盈")</f>
        <v/>
      </c>
      <c r="G109" s="2">
        <f>COUNTIFS(交易明細!$B$2:$B$721,$A109,交易明細!$J$2:$J$721,"止損")</f>
        <v/>
      </c>
      <c r="H109" s="4">
        <f>IFERROR(F109/E109,0)</f>
        <v/>
      </c>
      <c r="I109" s="4">
        <f>IFERROR(AVERAGEIFS(交易明細!$L$2:$L$721,交易明細!$B$2:$B$721,$A109,交易明細!$J$2:$J$721,"&lt;&gt;未平倉"),0)</f>
        <v/>
      </c>
      <c r="J109" s="4">
        <f>SUMIFS(交易明細!$L$2:$L$721,交易明細!$B$2:$B$721,$A109,交易明細!$J$2:$J$721,"&lt;&gt;未平倉")</f>
        <v/>
      </c>
      <c r="K109" s="5">
        <f>IFERROR(AVERAGEIFS(交易明細!$K$2:$K$721,交易明細!$B$2:$B$721,$A109,交易明細!$J$2:$J$721,"&lt;&gt;未平倉"),0)</f>
        <v/>
      </c>
      <c r="L109" s="2">
        <f>COUNTIFS(交易明細!$B$2:$B$721,$A109,交易明細!$J$2:$J$721,"未平倉")</f>
        <v/>
      </c>
    </row>
    <row r="110">
      <c r="A110" s="2" t="inlineStr">
        <is>
          <t>ATOM_USDT_PERP</t>
        </is>
      </c>
      <c r="B110" s="2">
        <f>COUNTIFS(交易明細!$B$2:$B$721,$A110)</f>
        <v/>
      </c>
      <c r="C110" s="2">
        <f>COUNTIFS(交易明細!$B$2:$B$721,$A110,交易明細!$C$2:$C$721,"做多")</f>
        <v/>
      </c>
      <c r="D110" s="2">
        <f>COUNTIFS(交易明細!$B$2:$B$721,$A110,交易明細!$C$2:$C$721,"做空")</f>
        <v/>
      </c>
      <c r="E110" s="2">
        <f>F110+G110+COUNTIFS(交易明細!$B$2:$B$721,$A110,交易明細!$J$2:$J$721,"時間出場")</f>
        <v/>
      </c>
      <c r="F110" s="2">
        <f>COUNTIFS(交易明細!$B$2:$B$721,$A110,交易明細!$J$2:$J$721,"止盈")</f>
        <v/>
      </c>
      <c r="G110" s="2">
        <f>COUNTIFS(交易明細!$B$2:$B$721,$A110,交易明細!$J$2:$J$721,"止損")</f>
        <v/>
      </c>
      <c r="H110" s="4">
        <f>IFERROR(F110/E110,0)</f>
        <v/>
      </c>
      <c r="I110" s="4">
        <f>IFERROR(AVERAGEIFS(交易明細!$L$2:$L$721,交易明細!$B$2:$B$721,$A110,交易明細!$J$2:$J$721,"&lt;&gt;未平倉"),0)</f>
        <v/>
      </c>
      <c r="J110" s="4">
        <f>SUMIFS(交易明細!$L$2:$L$721,交易明細!$B$2:$B$721,$A110,交易明細!$J$2:$J$721,"&lt;&gt;未平倉")</f>
        <v/>
      </c>
      <c r="K110" s="5">
        <f>IFERROR(AVERAGEIFS(交易明細!$K$2:$K$721,交易明細!$B$2:$B$721,$A110,交易明細!$J$2:$J$721,"&lt;&gt;未平倉"),0)</f>
        <v/>
      </c>
      <c r="L110" s="2">
        <f>COUNTIFS(交易明細!$B$2:$B$721,$A110,交易明細!$J$2:$J$721,"未平倉")</f>
        <v/>
      </c>
    </row>
    <row r="111">
      <c r="A111" s="2" t="inlineStr">
        <is>
          <t>KAIA_USDT_PERP</t>
        </is>
      </c>
      <c r="B111" s="2">
        <f>COUNTIFS(交易明細!$B$2:$B$721,$A111)</f>
        <v/>
      </c>
      <c r="C111" s="2">
        <f>COUNTIFS(交易明細!$B$2:$B$721,$A111,交易明細!$C$2:$C$721,"做多")</f>
        <v/>
      </c>
      <c r="D111" s="2">
        <f>COUNTIFS(交易明細!$B$2:$B$721,$A111,交易明細!$C$2:$C$721,"做空")</f>
        <v/>
      </c>
      <c r="E111" s="2">
        <f>F111+G111+COUNTIFS(交易明細!$B$2:$B$721,$A111,交易明細!$J$2:$J$721,"時間出場")</f>
        <v/>
      </c>
      <c r="F111" s="2">
        <f>COUNTIFS(交易明細!$B$2:$B$721,$A111,交易明細!$J$2:$J$721,"止盈")</f>
        <v/>
      </c>
      <c r="G111" s="2">
        <f>COUNTIFS(交易明細!$B$2:$B$721,$A111,交易明細!$J$2:$J$721,"止損")</f>
        <v/>
      </c>
      <c r="H111" s="4">
        <f>IFERROR(F111/E111,0)</f>
        <v/>
      </c>
      <c r="I111" s="4">
        <f>IFERROR(AVERAGEIFS(交易明細!$L$2:$L$721,交易明細!$B$2:$B$721,$A111,交易明細!$J$2:$J$721,"&lt;&gt;未平倉"),0)</f>
        <v/>
      </c>
      <c r="J111" s="4">
        <f>SUMIFS(交易明細!$L$2:$L$721,交易明細!$B$2:$B$721,$A111,交易明細!$J$2:$J$721,"&lt;&gt;未平倉")</f>
        <v/>
      </c>
      <c r="K111" s="5">
        <f>IFERROR(AVERAGEIFS(交易明細!$K$2:$K$721,交易明細!$B$2:$B$721,$A111,交易明細!$J$2:$J$721,"&lt;&gt;未平倉"),0)</f>
        <v/>
      </c>
      <c r="L111" s="2">
        <f>COUNTIFS(交易明細!$B$2:$B$721,$A111,交易明細!$J$2:$J$721,"未平倉")</f>
        <v/>
      </c>
    </row>
  </sheetData>
  <autoFilter ref="A1:L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>
        <is>
          <t>持倉中</t>
        </is>
      </c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2026-10-10T20:11:13Z</dcterms:created>
  <dcterms:modified xsi:type="dcterms:W3CDTF">2026-10-10T20:11:13Z</dcterms:modified>
</cp:coreProperties>
</file>