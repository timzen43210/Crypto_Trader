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'資金明細'!$A$1:$Z$1074</definedName>
    <definedName name="_xlnm._FilterDatabase" localSheetId="6" hidden="1">'交易明細'!$A$1:$AC$539</definedName>
    <definedName name="_xlnm._FilterDatabase" localSheetId="7" hidden="1">'幣種統計'!$A$1:$L$93</definedName>
    <definedName name="_xlnm._FilterDatabase" localSheetId="8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'資金明細'!$R$2:$R$1074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2026-09-28 20:37（Dry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COUNTIFS(交易明細!$B$2:$B$539,"&lt;&gt;")</f>
        <v/>
      </c>
      <c r="C5" s="2">
        <f>D5+E5+F5</f>
        <v/>
      </c>
      <c r="D5" s="2">
        <f>COUNTIFS(交易明細!$J$2:$J$539,"止盈")</f>
        <v/>
      </c>
      <c r="E5" s="2">
        <f>COUNTIFS(交易明細!$J$2:$J$539,"止損")</f>
        <v/>
      </c>
      <c r="F5" s="2">
        <f>COUNTIFS(交易明細!$J$2:$J$539,"時間出場")</f>
        <v/>
      </c>
      <c r="G5" s="2">
        <f>COUNTIFS(交易明細!$J$2:$J$539,"未平倉")</f>
        <v/>
      </c>
      <c r="H5" s="4">
        <f>IFERROR(D5/C5,0)</f>
        <v/>
      </c>
      <c r="I5" s="4">
        <f>IFERROR(AVERAGEIFS(交易明細!$AC$2:$AC$539,交易明細!$J$2:$J$539,"&lt;&gt;未平倉"),參數!$B$16)</f>
        <v/>
      </c>
      <c r="J5" s="4">
        <f>IFERROR(AVERAGEIFS(交易明細!$L$2:$L$539,交易明細!$J$2:$J$539,"&lt;&gt;未平倉"),0)</f>
        <v/>
      </c>
      <c r="K5" s="4">
        <f>SUMIFS(交易明細!$L$2:$L$539,交易明細!$J$2:$J$539,"&lt;&gt;未平倉")</f>
        <v/>
      </c>
      <c r="L5" s="5">
        <f>IFERROR(AVERAGEIFS(交易明細!$K$2:$K$539,交易明細!$J$2:$J$539,"&lt;&gt;未平倉"),0)</f>
        <v/>
      </c>
      <c r="M5" s="5">
        <f>IFERROR(AVERAGEIFS(交易明細!$K$2:$K$539,交易明細!$J$2:$J$539,"止盈"),0)</f>
        <v/>
      </c>
      <c r="N5" s="5">
        <f>IFERROR(AVERAGEIFS(交易明細!$K$2:$K$539,交易明細!$J$2:$J$539,"止損"),0)</f>
        <v/>
      </c>
      <c r="O5" s="4">
        <f>IFERROR(AVERAGEIFS(交易明細!$L$2:$L$539,交易明細!$J$2:$J$539,"時間出場"),0)</f>
        <v/>
      </c>
      <c r="P5" s="4">
        <f>IFERROR(COUNTIFS(交易明細!$J$2:$J$539,"&lt;&gt;未平倉",交易明細!$L$2:$L$539,"&gt;0")/C5,0)</f>
        <v/>
      </c>
    </row>
    <row r="6">
      <c r="A6" s="2" t="inlineStr">
        <is>
          <t>做多</t>
        </is>
      </c>
      <c r="B6" s="2">
        <f>COUNTIFS(交易明細!$C$2:$C$539,"做多",交易明細!$B$2:$B$539,"&lt;&gt;")</f>
        <v/>
      </c>
      <c r="C6" s="2">
        <f>D6+E6+F6</f>
        <v/>
      </c>
      <c r="D6" s="2">
        <f>COUNTIFS(交易明細!$C$2:$C$539,"做多",交易明細!$J$2:$J$539,"止盈")</f>
        <v/>
      </c>
      <c r="E6" s="2">
        <f>COUNTIFS(交易明細!$C$2:$C$539,"做多",交易明細!$J$2:$J$539,"止損")</f>
        <v/>
      </c>
      <c r="F6" s="2">
        <f>COUNTIFS(交易明細!$C$2:$C$539,"做多",交易明細!$J$2:$J$539,"時間出場")</f>
        <v/>
      </c>
      <c r="G6" s="2">
        <f>COUNTIFS(交易明細!$C$2:$C$539,"做多",交易明細!$J$2:$J$539,"未平倉")</f>
        <v/>
      </c>
      <c r="H6" s="4">
        <f>IFERROR(D6/C6,0)</f>
        <v/>
      </c>
      <c r="I6" s="4">
        <f>IFERROR(AVERAGEIFS(交易明細!$AC$2:$AC$539,交易明細!$C$2:$C$539,"做多",交易明細!$J$2:$J$539,"&lt;&gt;未平倉"),參數!$B$16)</f>
        <v/>
      </c>
      <c r="J6" s="4">
        <f>IFERROR(AVERAGEIFS(交易明細!$L$2:$L$539,交易明細!$C$2:$C$539,"做多",交易明細!$J$2:$J$539,"&lt;&gt;未平倉"),0)</f>
        <v/>
      </c>
      <c r="K6" s="4">
        <f>SUMIFS(交易明細!$L$2:$L$539,交易明細!$C$2:$C$539,"做多",交易明細!$J$2:$J$539,"&lt;&gt;未平倉")</f>
        <v/>
      </c>
      <c r="L6" s="5">
        <f>IFERROR(AVERAGEIFS(交易明細!$K$2:$K$539,交易明細!$C$2:$C$539,"做多",交易明細!$J$2:$J$539,"&lt;&gt;未平倉"),0)</f>
        <v/>
      </c>
      <c r="M6" s="5">
        <f>IFERROR(AVERAGEIFS(交易明細!$K$2:$K$539,交易明細!$C$2:$C$539,"做多",交易明細!$J$2:$J$539,"止盈"),0)</f>
        <v/>
      </c>
      <c r="N6" s="5">
        <f>IFERROR(AVERAGEIFS(交易明細!$K$2:$K$539,交易明細!$C$2:$C$539,"做多",交易明細!$J$2:$J$539,"止損"),0)</f>
        <v/>
      </c>
      <c r="O6" s="4">
        <f>IFERROR(AVERAGEIFS(交易明細!$L$2:$L$539,交易明細!$C$2:$C$539,"做多",交易明細!$J$2:$J$539,"時間出場"),0)</f>
        <v/>
      </c>
      <c r="P6" s="4">
        <f>IFERROR(COUNTIFS(交易明細!$C$2:$C$539,"做多",交易明細!$J$2:$J$539,"&lt;&gt;未平倉",交易明細!$L$2:$L$539,"&gt;0")/C6,0)</f>
        <v/>
      </c>
    </row>
    <row r="7">
      <c r="A7" s="2" t="inlineStr">
        <is>
          <t>做空</t>
        </is>
      </c>
      <c r="B7" s="2">
        <f>COUNTIFS(交易明細!$C$2:$C$539,"做空",交易明細!$B$2:$B$539,"&lt;&gt;")</f>
        <v/>
      </c>
      <c r="C7" s="2">
        <f>D7+E7+F7</f>
        <v/>
      </c>
      <c r="D7" s="2">
        <f>COUNTIFS(交易明細!$C$2:$C$539,"做空",交易明細!$J$2:$J$539,"止盈")</f>
        <v/>
      </c>
      <c r="E7" s="2">
        <f>COUNTIFS(交易明細!$C$2:$C$539,"做空",交易明細!$J$2:$J$539,"止損")</f>
        <v/>
      </c>
      <c r="F7" s="2">
        <f>COUNTIFS(交易明細!$C$2:$C$539,"做空",交易明細!$J$2:$J$539,"時間出場")</f>
        <v/>
      </c>
      <c r="G7" s="2">
        <f>COUNTIFS(交易明細!$C$2:$C$539,"做空",交易明細!$J$2:$J$539,"未平倉")</f>
        <v/>
      </c>
      <c r="H7" s="4">
        <f>IFERROR(D7/C7,0)</f>
        <v/>
      </c>
      <c r="I7" s="4">
        <f>IFERROR(AVERAGEIFS(交易明細!$AC$2:$AC$539,交易明細!$C$2:$C$539,"做空",交易明細!$J$2:$J$539,"&lt;&gt;未平倉"),參數!$B$16)</f>
        <v/>
      </c>
      <c r="J7" s="4">
        <f>IFERROR(AVERAGEIFS(交易明細!$L$2:$L$539,交易明細!$C$2:$C$539,"做空",交易明細!$J$2:$J$539,"&lt;&gt;未平倉"),0)</f>
        <v/>
      </c>
      <c r="K7" s="4">
        <f>SUMIFS(交易明細!$L$2:$L$539,交易明細!$C$2:$C$539,"做空",交易明細!$J$2:$J$539,"&lt;&gt;未平倉")</f>
        <v/>
      </c>
      <c r="L7" s="5">
        <f>IFERROR(AVERAGEIFS(交易明細!$K$2:$K$539,交易明細!$C$2:$C$539,"做空",交易明細!$J$2:$J$539,"&lt;&gt;未平倉"),0)</f>
        <v/>
      </c>
      <c r="M7" s="5">
        <f>IFERROR(AVERAGEIFS(交易明細!$K$2:$K$539,交易明細!$C$2:$C$539,"做空",交易明細!$J$2:$J$539,"止盈"),0)</f>
        <v/>
      </c>
      <c r="N7" s="5">
        <f>IFERROR(AVERAGEIFS(交易明細!$K$2:$K$539,交易明細!$C$2:$C$539,"做空",交易明細!$J$2:$J$539,"止損"),0)</f>
        <v/>
      </c>
      <c r="O7" s="4">
        <f>IFERROR(AVERAGEIFS(交易明細!$L$2:$L$539,交易明細!$C$2:$C$539,"做空",交易明細!$J$2:$J$539,"時間出場"),0)</f>
        <v/>
      </c>
      <c r="P7" s="4">
        <f>IFERROR(COUNTIFS(交易明細!$C$2:$C$539,"做空",交易明細!$J$2:$J$539,"&lt;&gt;未平倉",交易明細!$L$2:$L$539,"&gt;0")/C7,0)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46293.85933717593</v>
      </c>
      <c r="B2" s="7" t="n">
        <v>46293.85833333333</v>
      </c>
      <c r="C2" s="2" t="n">
        <v>432</v>
      </c>
      <c r="D2" s="2" t="n">
        <v>4</v>
      </c>
      <c r="E2" s="2" t="n">
        <v>3</v>
      </c>
      <c r="F2" s="2" t="n">
        <v>0</v>
      </c>
      <c r="G2" s="2" t="n">
        <v>185</v>
      </c>
    </row>
    <row r="3">
      <c r="A3" s="7" t="n">
        <v>46293.69837709491</v>
      </c>
      <c r="B3" s="7" t="n">
        <v>46293.69722222222</v>
      </c>
      <c r="C3" s="2" t="n">
        <v>432</v>
      </c>
      <c r="D3" s="2" t="n">
        <v>0</v>
      </c>
      <c r="E3" s="2" t="n">
        <v>0</v>
      </c>
      <c r="F3" s="2" t="n">
        <v>0</v>
      </c>
      <c r="G3" s="2" t="n">
        <v>144.9</v>
      </c>
    </row>
    <row r="4">
      <c r="A4" s="7" t="n">
        <v>46293.67139270833</v>
      </c>
      <c r="B4" s="7" t="n">
        <v>46293.67013888889</v>
      </c>
      <c r="C4" s="2" t="n">
        <v>432</v>
      </c>
      <c r="D4" s="2" t="n">
        <v>4</v>
      </c>
      <c r="E4" s="2" t="n">
        <v>3</v>
      </c>
      <c r="F4" s="2" t="n">
        <v>0</v>
      </c>
      <c r="G4" s="2" t="n">
        <v>186.3</v>
      </c>
    </row>
    <row r="5">
      <c r="A5" s="7" t="n">
        <v>46293.54465268519</v>
      </c>
      <c r="B5" s="7" t="n">
        <v>46293.54375</v>
      </c>
      <c r="C5" s="2" t="n">
        <v>432</v>
      </c>
      <c r="D5" s="2" t="n">
        <v>2</v>
      </c>
      <c r="E5" s="2" t="n">
        <v>5</v>
      </c>
      <c r="F5" s="2" t="n">
        <v>0</v>
      </c>
      <c r="G5" s="2" t="n">
        <v>150</v>
      </c>
    </row>
    <row r="6">
      <c r="A6" s="7" t="n">
        <v>46293.46449744213</v>
      </c>
      <c r="B6" s="7" t="n">
        <v>46293.46319444444</v>
      </c>
      <c r="C6" s="2" t="n">
        <v>432</v>
      </c>
      <c r="D6" s="2" t="n">
        <v>3</v>
      </c>
      <c r="E6" s="2" t="n">
        <v>0</v>
      </c>
      <c r="F6" s="2" t="n">
        <v>0</v>
      </c>
      <c r="G6" s="2" t="n">
        <v>193.4</v>
      </c>
    </row>
    <row r="7">
      <c r="A7" s="7" t="n">
        <v>46293.40532865741</v>
      </c>
      <c r="B7" s="7" t="n">
        <v>46293.40416666667</v>
      </c>
      <c r="C7" s="2" t="n">
        <v>433</v>
      </c>
      <c r="D7" s="2" t="n">
        <v>0</v>
      </c>
      <c r="E7" s="2" t="n">
        <v>2</v>
      </c>
      <c r="F7" s="2" t="n">
        <v>0</v>
      </c>
      <c r="G7" s="2" t="n">
        <v>194.7</v>
      </c>
    </row>
    <row r="8">
      <c r="A8" s="7" t="n">
        <v>46293.26205886574</v>
      </c>
      <c r="B8" s="7" t="n">
        <v>46293.26111111111</v>
      </c>
      <c r="C8" s="2" t="n">
        <v>433</v>
      </c>
      <c r="D8" s="2" t="n">
        <v>1</v>
      </c>
      <c r="E8" s="2" t="n">
        <v>2</v>
      </c>
      <c r="F8" s="2" t="n">
        <v>0</v>
      </c>
      <c r="G8" s="2" t="n">
        <v>178</v>
      </c>
    </row>
    <row r="9">
      <c r="A9" s="7" t="n">
        <v>46293.12570534722</v>
      </c>
      <c r="B9" s="7" t="n">
        <v>46293.125</v>
      </c>
      <c r="C9" s="2" t="n">
        <v>433</v>
      </c>
      <c r="D9" s="2" t="n">
        <v>2</v>
      </c>
      <c r="E9" s="2" t="n">
        <v>0</v>
      </c>
      <c r="F9" s="2" t="n">
        <v>0</v>
      </c>
      <c r="G9" s="2" t="n">
        <v>193.1</v>
      </c>
    </row>
    <row r="10">
      <c r="A10" s="7" t="n">
        <v>46293.08172232639</v>
      </c>
      <c r="B10" s="7" t="n">
        <v>46293.08055555556</v>
      </c>
      <c r="C10" s="2" t="n">
        <v>433</v>
      </c>
      <c r="D10" s="2" t="n">
        <v>1</v>
      </c>
      <c r="E10" s="2" t="n">
        <v>2</v>
      </c>
      <c r="F10" s="2" t="n">
        <v>0</v>
      </c>
      <c r="G10" s="2" t="n">
        <v>148.9</v>
      </c>
    </row>
    <row r="11">
      <c r="A11" s="7" t="n">
        <v>46292.9814453588</v>
      </c>
      <c r="B11" s="7" t="n">
        <v>46292.98055555556</v>
      </c>
      <c r="C11" s="2" t="n">
        <v>433</v>
      </c>
      <c r="D11" s="2" t="n">
        <v>2</v>
      </c>
      <c r="E11" s="2" t="n">
        <v>1</v>
      </c>
      <c r="F11" s="2" t="n">
        <v>0</v>
      </c>
      <c r="G11" s="2" t="n">
        <v>186</v>
      </c>
    </row>
    <row r="12">
      <c r="A12" s="7" t="n">
        <v>46292.9472603125</v>
      </c>
      <c r="B12" s="7" t="n">
        <v>46292.94652777778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192.1</v>
      </c>
    </row>
    <row r="13">
      <c r="A13" s="7" t="n">
        <v>46292.919814375</v>
      </c>
      <c r="B13" s="7" t="n">
        <v>46292.91875</v>
      </c>
      <c r="C13" s="2" t="n">
        <v>433</v>
      </c>
      <c r="D13" s="2" t="n">
        <v>2</v>
      </c>
      <c r="E13" s="2" t="n">
        <v>3</v>
      </c>
      <c r="F13" s="2" t="n">
        <v>0</v>
      </c>
      <c r="G13" s="2" t="n">
        <v>192.5</v>
      </c>
    </row>
    <row r="14">
      <c r="A14" s="7" t="n">
        <v>46292.81065981482</v>
      </c>
      <c r="B14" s="7" t="n">
        <v>46292.80972222222</v>
      </c>
      <c r="C14" s="2" t="n">
        <v>433</v>
      </c>
      <c r="D14" s="2" t="n">
        <v>1</v>
      </c>
      <c r="E14" s="2" t="n">
        <v>1</v>
      </c>
      <c r="F14" s="2" t="n">
        <v>0</v>
      </c>
      <c r="G14" s="2" t="n">
        <v>177.2</v>
      </c>
    </row>
    <row r="15">
      <c r="A15" s="7" t="n">
        <v>46292.73704342593</v>
      </c>
      <c r="B15" s="7" t="n">
        <v>46292.73611111111</v>
      </c>
      <c r="C15" s="2" t="n">
        <v>433</v>
      </c>
      <c r="D15" s="2" t="n">
        <v>0</v>
      </c>
      <c r="E15" s="2" t="n">
        <v>1</v>
      </c>
      <c r="F15" s="2" t="n">
        <v>0</v>
      </c>
      <c r="G15" s="2" t="n">
        <v>147.3</v>
      </c>
    </row>
    <row r="16">
      <c r="A16" s="7" t="n">
        <v>46292.67926077546</v>
      </c>
      <c r="B16" s="7" t="n">
        <v>46292.67847222222</v>
      </c>
      <c r="C16" s="2" t="n">
        <v>433</v>
      </c>
      <c r="D16" s="2" t="n">
        <v>0</v>
      </c>
      <c r="E16" s="2" t="n">
        <v>1</v>
      </c>
      <c r="F16" s="2" t="n">
        <v>0</v>
      </c>
      <c r="G16" s="2" t="n">
        <v>197.6</v>
      </c>
    </row>
    <row r="17">
      <c r="A17" s="7" t="n">
        <v>46292.6274472338</v>
      </c>
      <c r="B17" s="7" t="n">
        <v>46292.62638888889</v>
      </c>
      <c r="C17" s="2" t="n">
        <v>433</v>
      </c>
      <c r="D17" s="2" t="n">
        <v>5</v>
      </c>
      <c r="E17" s="2" t="n">
        <v>3</v>
      </c>
      <c r="F17" s="2" t="n">
        <v>0</v>
      </c>
      <c r="G17" s="2" t="n">
        <v>192.4</v>
      </c>
    </row>
    <row r="18">
      <c r="A18" s="7" t="n">
        <v>46292.50599667824</v>
      </c>
      <c r="B18" s="7" t="n">
        <v>46292.50486111111</v>
      </c>
      <c r="C18" s="2" t="n">
        <v>433</v>
      </c>
      <c r="D18" s="2" t="n">
        <v>1</v>
      </c>
      <c r="E18" s="2" t="n">
        <v>1</v>
      </c>
      <c r="F18" s="2" t="n">
        <v>0</v>
      </c>
      <c r="G18" s="2" t="n">
        <v>191.3</v>
      </c>
    </row>
    <row r="19">
      <c r="A19" s="7" t="n">
        <v>46292.39740747685</v>
      </c>
      <c r="B19" s="7" t="n">
        <v>46292.39652777778</v>
      </c>
      <c r="C19" s="2" t="n">
        <v>433</v>
      </c>
      <c r="D19" s="2" t="n">
        <v>2</v>
      </c>
      <c r="E19" s="2" t="n">
        <v>2</v>
      </c>
      <c r="F19" s="2" t="n">
        <v>0</v>
      </c>
      <c r="G19" s="2" t="n">
        <v>150.9</v>
      </c>
    </row>
    <row r="20">
      <c r="A20" s="7" t="n">
        <v>46292.28951247685</v>
      </c>
      <c r="B20" s="7" t="n">
        <v>46292.28819444445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163.9</v>
      </c>
    </row>
    <row r="21">
      <c r="A21" s="7" t="n">
        <v>46292.28563091435</v>
      </c>
      <c r="B21" s="7" t="n">
        <v>46292.28472222222</v>
      </c>
      <c r="C21" s="2" t="n">
        <v>433</v>
      </c>
      <c r="D21" s="2" t="n">
        <v>2</v>
      </c>
      <c r="E21" s="2" t="n">
        <v>2</v>
      </c>
      <c r="F21" s="2" t="n">
        <v>0</v>
      </c>
      <c r="G21" s="2" t="n">
        <v>186.1</v>
      </c>
    </row>
    <row r="22">
      <c r="A22" s="7" t="n">
        <v>46292.16453692129</v>
      </c>
      <c r="B22" s="7" t="n">
        <v>46292.16319444445</v>
      </c>
      <c r="C22" s="2" t="n">
        <v>433</v>
      </c>
      <c r="D22" s="2" t="n">
        <v>0</v>
      </c>
      <c r="E22" s="2" t="n">
        <v>2</v>
      </c>
      <c r="F22" s="2" t="n">
        <v>0</v>
      </c>
      <c r="G22" s="2" t="n">
        <v>183.8</v>
      </c>
    </row>
    <row r="23">
      <c r="A23" s="7" t="n">
        <v>46292.05207142361</v>
      </c>
      <c r="B23" s="7" t="n">
        <v>46292.05069444444</v>
      </c>
      <c r="C23" s="2" t="n">
        <v>433</v>
      </c>
      <c r="D23" s="2" t="n">
        <v>4</v>
      </c>
      <c r="E23" s="2" t="n">
        <v>2</v>
      </c>
      <c r="F23" s="2" t="n">
        <v>0</v>
      </c>
      <c r="G23" s="2" t="n">
        <v>160.8</v>
      </c>
    </row>
    <row r="24">
      <c r="A24" s="7" t="n">
        <v>46291.98017201389</v>
      </c>
      <c r="B24" s="7" t="n">
        <v>46291.97916666666</v>
      </c>
      <c r="C24" s="2" t="n">
        <v>433</v>
      </c>
      <c r="D24" s="2" t="n">
        <v>2</v>
      </c>
      <c r="E24" s="2" t="n">
        <v>0</v>
      </c>
      <c r="F24" s="2" t="n">
        <v>0</v>
      </c>
      <c r="G24" s="2" t="n">
        <v>148.2</v>
      </c>
    </row>
    <row r="25">
      <c r="A25" s="7" t="n">
        <v>46291.93749069444</v>
      </c>
      <c r="B25" s="7" t="n">
        <v>46291.93611111111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163.1</v>
      </c>
    </row>
    <row r="26">
      <c r="A26" s="7" t="n">
        <v>46291.88266193287</v>
      </c>
      <c r="B26" s="7" t="n">
        <v>46291.88194444445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140.5</v>
      </c>
    </row>
    <row r="27">
      <c r="A27" s="7" t="n">
        <v>46291.83751681713</v>
      </c>
      <c r="B27" s="7" t="n">
        <v>46291.83680555555</v>
      </c>
      <c r="C27" s="2" t="n">
        <v>433</v>
      </c>
      <c r="D27" s="2" t="n">
        <v>0</v>
      </c>
      <c r="E27" s="2" t="n">
        <v>2</v>
      </c>
      <c r="F27" s="2" t="n">
        <v>0</v>
      </c>
      <c r="G27" s="2" t="n">
        <v>186.6</v>
      </c>
    </row>
    <row r="28">
      <c r="A28" s="7" t="n">
        <v>46291.78589450232</v>
      </c>
      <c r="B28" s="7" t="n">
        <v>46291.78472222222</v>
      </c>
      <c r="C28" s="2" t="n">
        <v>433</v>
      </c>
      <c r="D28" s="2" t="n">
        <v>5</v>
      </c>
      <c r="E28" s="2" t="n">
        <v>7</v>
      </c>
      <c r="F28" s="2" t="n">
        <v>0</v>
      </c>
      <c r="G28" s="2" t="n">
        <v>157.8</v>
      </c>
    </row>
    <row r="29">
      <c r="A29" s="7" t="n">
        <v>46291.65882908565</v>
      </c>
      <c r="B29" s="7" t="n">
        <v>46291.65763888889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175.7</v>
      </c>
    </row>
    <row r="30">
      <c r="A30" s="7" t="n">
        <v>46291.63896155093</v>
      </c>
      <c r="B30" s="7" t="n">
        <v>46291.63819444444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177.9</v>
      </c>
    </row>
    <row r="31">
      <c r="A31" s="7" t="n">
        <v>46291.63155474537</v>
      </c>
      <c r="B31" s="7" t="n">
        <v>46291.63055555556</v>
      </c>
      <c r="C31" s="2" t="n">
        <v>433</v>
      </c>
      <c r="D31" s="2" t="n">
        <v>1</v>
      </c>
      <c r="E31" s="2" t="n">
        <v>1</v>
      </c>
      <c r="F31" s="2" t="n">
        <v>0</v>
      </c>
      <c r="G31" s="2" t="n">
        <v>172.6</v>
      </c>
    </row>
    <row r="32">
      <c r="A32" s="7" t="n">
        <v>46291.58748165509</v>
      </c>
      <c r="B32" s="7" t="n">
        <v>46291.58611111111</v>
      </c>
      <c r="C32" s="2" t="n">
        <v>433</v>
      </c>
      <c r="D32" s="2" t="n">
        <v>2</v>
      </c>
      <c r="E32" s="2" t="n">
        <v>0</v>
      </c>
      <c r="F32" s="2" t="n">
        <v>0</v>
      </c>
      <c r="G32" s="2" t="n">
        <v>148</v>
      </c>
    </row>
    <row r="33">
      <c r="A33" s="7" t="n">
        <v>46291.52177836806</v>
      </c>
      <c r="B33" s="7" t="n">
        <v>46291.52083333334</v>
      </c>
      <c r="C33" s="2" t="n">
        <v>433</v>
      </c>
      <c r="D33" s="2" t="n">
        <v>2</v>
      </c>
      <c r="E33" s="2" t="n">
        <v>5</v>
      </c>
      <c r="F33" s="2" t="n">
        <v>0</v>
      </c>
      <c r="G33" s="2" t="n">
        <v>187.5</v>
      </c>
    </row>
    <row r="34">
      <c r="A34" s="7" t="n">
        <v>46291.40186751157</v>
      </c>
      <c r="B34" s="7" t="n">
        <v>46291.40069444444</v>
      </c>
      <c r="C34" s="2" t="n">
        <v>433</v>
      </c>
      <c r="D34" s="2" t="n">
        <v>0</v>
      </c>
      <c r="E34" s="2" t="n">
        <v>2</v>
      </c>
      <c r="F34" s="2" t="n">
        <v>0</v>
      </c>
      <c r="G34" s="2" t="n">
        <v>188.1</v>
      </c>
    </row>
    <row r="35">
      <c r="A35" s="7" t="n">
        <v>46291.36540915509</v>
      </c>
      <c r="B35" s="7" t="n">
        <v>46291.36458333334</v>
      </c>
      <c r="C35" s="2" t="n">
        <v>433</v>
      </c>
      <c r="D35" s="2" t="n">
        <v>3</v>
      </c>
      <c r="E35" s="2" t="n">
        <v>0</v>
      </c>
      <c r="F35" s="2" t="n">
        <v>0</v>
      </c>
      <c r="G35" s="2" t="n">
        <v>163.5</v>
      </c>
    </row>
    <row r="36">
      <c r="A36" s="7" t="n">
        <v>46291.26887001158</v>
      </c>
      <c r="B36" s="7" t="n">
        <v>46291.26805555556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184.5</v>
      </c>
    </row>
    <row r="37">
      <c r="A37" s="7" t="n">
        <v>46291.2560487963</v>
      </c>
      <c r="B37" s="7" t="n">
        <v>46291.25486111111</v>
      </c>
      <c r="C37" s="2" t="n">
        <v>433</v>
      </c>
      <c r="D37" s="2" t="n">
        <v>3</v>
      </c>
      <c r="E37" s="2" t="n">
        <v>1</v>
      </c>
      <c r="F37" s="2" t="n">
        <v>0</v>
      </c>
      <c r="G37" s="2" t="n">
        <v>191.6</v>
      </c>
    </row>
    <row r="38">
      <c r="A38" s="7" t="n">
        <v>46291.11246790509</v>
      </c>
      <c r="B38" s="7" t="n">
        <v>46291.11111111111</v>
      </c>
      <c r="C38" s="2" t="n">
        <v>433</v>
      </c>
      <c r="D38" s="2" t="n">
        <v>2</v>
      </c>
      <c r="E38" s="2" t="n">
        <v>1</v>
      </c>
      <c r="F38" s="2" t="n">
        <v>0</v>
      </c>
      <c r="G38" s="2" t="n">
        <v>182.3</v>
      </c>
    </row>
    <row r="39">
      <c r="A39" s="7" t="n">
        <v>46291.02308788194</v>
      </c>
      <c r="B39" s="7" t="n">
        <v>46291.02222222222</v>
      </c>
      <c r="C39" s="2" t="n">
        <v>433</v>
      </c>
      <c r="D39" s="2" t="n">
        <v>1</v>
      </c>
      <c r="E39" s="2" t="n">
        <v>0</v>
      </c>
      <c r="F39" s="2" t="n">
        <v>0</v>
      </c>
      <c r="G39" s="2" t="n">
        <v>140.5</v>
      </c>
    </row>
    <row r="40">
      <c r="A40" s="7" t="n">
        <v>46290.9990443287</v>
      </c>
      <c r="B40" s="7" t="n">
        <v>46290.99791666667</v>
      </c>
      <c r="C40" s="2" t="n">
        <v>433</v>
      </c>
      <c r="D40" s="2" t="n">
        <v>1</v>
      </c>
      <c r="E40" s="2" t="n">
        <v>1</v>
      </c>
      <c r="F40" s="2" t="n">
        <v>0</v>
      </c>
      <c r="G40" s="2" t="n">
        <v>197.5</v>
      </c>
    </row>
    <row r="41">
      <c r="A41" s="7" t="n">
        <v>46290.91267655093</v>
      </c>
      <c r="B41" s="7" t="n">
        <v>46290.91180555556</v>
      </c>
      <c r="C41" s="2" t="n">
        <v>433</v>
      </c>
      <c r="D41" s="2" t="n">
        <v>2</v>
      </c>
      <c r="E41" s="2" t="n">
        <v>2</v>
      </c>
      <c r="F41" s="2" t="n">
        <v>0</v>
      </c>
      <c r="G41" s="2" t="n">
        <v>193.4</v>
      </c>
    </row>
    <row r="42">
      <c r="A42" s="7" t="n">
        <v>46290.82088560185</v>
      </c>
      <c r="B42" s="7" t="n">
        <v>46290.82013888889</v>
      </c>
      <c r="C42" s="2" t="n">
        <v>433</v>
      </c>
      <c r="D42" s="2" t="n">
        <v>1</v>
      </c>
      <c r="E42" s="2" t="n">
        <v>0</v>
      </c>
      <c r="F42" s="2" t="n">
        <v>0</v>
      </c>
      <c r="G42" s="2" t="n">
        <v>174.9</v>
      </c>
    </row>
    <row r="43">
      <c r="A43" s="7" t="n">
        <v>46290.76820827546</v>
      </c>
      <c r="B43" s="7" t="n">
        <v>46290.76736111111</v>
      </c>
      <c r="C43" s="2" t="n">
        <v>433</v>
      </c>
      <c r="D43" s="2" t="n">
        <v>0</v>
      </c>
      <c r="E43" s="2" t="n">
        <v>1</v>
      </c>
      <c r="F43" s="2" t="n">
        <v>0</v>
      </c>
      <c r="G43" s="2" t="n">
        <v>187</v>
      </c>
    </row>
    <row r="44">
      <c r="A44" s="7" t="n">
        <v>46290.709303125</v>
      </c>
      <c r="B44" s="7" t="n">
        <v>46290.70833333334</v>
      </c>
      <c r="C44" s="2" t="n">
        <v>433</v>
      </c>
      <c r="D44" s="2" t="n">
        <v>1</v>
      </c>
      <c r="E44" s="2" t="n">
        <v>3</v>
      </c>
      <c r="F44" s="2" t="n">
        <v>0</v>
      </c>
      <c r="G44" s="2" t="n">
        <v>187.6</v>
      </c>
    </row>
    <row r="45">
      <c r="A45" s="7" t="n">
        <v>46290.66382769676</v>
      </c>
      <c r="B45" s="7" t="n">
        <v>46290.6625</v>
      </c>
      <c r="C45" s="2" t="n">
        <v>433</v>
      </c>
      <c r="D45" s="2" t="n">
        <v>1</v>
      </c>
      <c r="E45" s="2" t="n">
        <v>0</v>
      </c>
      <c r="F45" s="2" t="n">
        <v>0</v>
      </c>
      <c r="G45" s="2" t="n">
        <v>185.1</v>
      </c>
    </row>
    <row r="46">
      <c r="A46" s="7" t="n">
        <v>46290.61757802084</v>
      </c>
      <c r="B46" s="7" t="n">
        <v>46290.61666666667</v>
      </c>
      <c r="C46" s="2" t="n">
        <v>433</v>
      </c>
      <c r="D46" s="2" t="n">
        <v>0</v>
      </c>
      <c r="E46" s="2" t="n">
        <v>2</v>
      </c>
      <c r="F46" s="2" t="n">
        <v>0</v>
      </c>
      <c r="G46" s="2" t="n">
        <v>178.9</v>
      </c>
    </row>
    <row r="47">
      <c r="A47" s="7" t="n">
        <v>46290.55632820602</v>
      </c>
      <c r="B47" s="7" t="n">
        <v>46290.55555555555</v>
      </c>
      <c r="C47" s="2" t="n">
        <v>433</v>
      </c>
      <c r="D47" s="2" t="n">
        <v>1</v>
      </c>
      <c r="E47" s="2" t="n">
        <v>0</v>
      </c>
      <c r="F47" s="2" t="n">
        <v>0</v>
      </c>
      <c r="G47" s="2" t="n">
        <v>179.4</v>
      </c>
    </row>
    <row r="48">
      <c r="A48" s="7" t="n">
        <v>46290.50409561343</v>
      </c>
      <c r="B48" s="7" t="n">
        <v>46290.50277777778</v>
      </c>
      <c r="C48" s="2" t="n">
        <v>433</v>
      </c>
      <c r="D48" s="2" t="n">
        <v>0</v>
      </c>
      <c r="E48" s="2" t="n">
        <v>1</v>
      </c>
      <c r="F48" s="2" t="n">
        <v>0</v>
      </c>
      <c r="G48" s="2" t="n">
        <v>174.5</v>
      </c>
    </row>
    <row r="49">
      <c r="A49" s="7" t="n">
        <v>46290.39966920139</v>
      </c>
      <c r="B49" s="7" t="n">
        <v>46290.39861111111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189.8</v>
      </c>
    </row>
    <row r="50">
      <c r="A50" s="7" t="n">
        <v>46290.3483633912</v>
      </c>
      <c r="B50" s="7" t="n">
        <v>46290.34722222222</v>
      </c>
      <c r="C50" s="2" t="n">
        <v>433</v>
      </c>
      <c r="D50" s="2" t="n">
        <v>0</v>
      </c>
      <c r="E50" s="2" t="n">
        <v>1</v>
      </c>
      <c r="F50" s="2" t="n">
        <v>0</v>
      </c>
      <c r="G50" s="2" t="n">
        <v>163.4</v>
      </c>
    </row>
    <row r="51">
      <c r="A51" s="7" t="n">
        <v>46290.27195019676</v>
      </c>
      <c r="B51" s="7" t="n">
        <v>46290.27083333334</v>
      </c>
      <c r="C51" s="2" t="n">
        <v>433</v>
      </c>
      <c r="D51" s="2" t="n">
        <v>1</v>
      </c>
      <c r="E51" s="2" t="n">
        <v>1</v>
      </c>
      <c r="F51" s="2" t="n">
        <v>1</v>
      </c>
      <c r="G51" s="2" t="n">
        <v>182.9</v>
      </c>
    </row>
    <row r="52">
      <c r="A52" s="7" t="n">
        <v>46290.13587655093</v>
      </c>
      <c r="B52" s="7" t="n">
        <v>46290.13472222222</v>
      </c>
      <c r="C52" s="2" t="n">
        <v>433</v>
      </c>
      <c r="D52" s="2" t="n">
        <v>2</v>
      </c>
      <c r="E52" s="2" t="n">
        <v>6</v>
      </c>
      <c r="F52" s="2" t="n">
        <v>1</v>
      </c>
      <c r="G52" s="2" t="n">
        <v>191.6</v>
      </c>
    </row>
    <row r="53">
      <c r="A53" s="7" t="n">
        <v>46290.02908936342</v>
      </c>
      <c r="B53" s="7" t="n">
        <v>46290.02777777778</v>
      </c>
      <c r="C53" s="2" t="n">
        <v>433</v>
      </c>
      <c r="D53" s="2" t="n">
        <v>2</v>
      </c>
      <c r="E53" s="2" t="n">
        <v>0</v>
      </c>
      <c r="F53" s="2" t="n">
        <v>1</v>
      </c>
      <c r="G53" s="2" t="n">
        <v>166.2</v>
      </c>
    </row>
    <row r="54">
      <c r="A54" s="7" t="n">
        <v>46289.96715996528</v>
      </c>
      <c r="B54" s="7" t="n">
        <v>46289.96597222222</v>
      </c>
      <c r="C54" s="2" t="n">
        <v>433</v>
      </c>
      <c r="D54" s="2" t="n">
        <v>2</v>
      </c>
      <c r="E54" s="2" t="n">
        <v>8</v>
      </c>
      <c r="F54" s="2" t="n">
        <v>1</v>
      </c>
      <c r="G54" s="2" t="n">
        <v>190.1</v>
      </c>
    </row>
    <row r="55">
      <c r="A55" s="7" t="n">
        <v>46289.95004011574</v>
      </c>
      <c r="B55" s="7" t="n">
        <v>46289.94930555556</v>
      </c>
      <c r="C55" s="2" t="n">
        <v>433</v>
      </c>
      <c r="D55" s="2" t="n">
        <v>0</v>
      </c>
      <c r="E55" s="2" t="n">
        <v>0</v>
      </c>
      <c r="F55" s="2" t="n">
        <v>1</v>
      </c>
      <c r="G55" s="2" t="n">
        <v>178.4</v>
      </c>
    </row>
    <row r="56">
      <c r="A56" s="7" t="n">
        <v>46289.94135959491</v>
      </c>
      <c r="B56" s="7" t="n">
        <v>46289.94027777778</v>
      </c>
      <c r="C56" s="2" t="n">
        <v>433</v>
      </c>
      <c r="D56" s="2" t="n">
        <v>0</v>
      </c>
      <c r="E56" s="2" t="n">
        <v>0</v>
      </c>
      <c r="F56" s="2" t="n">
        <v>1</v>
      </c>
      <c r="G56" s="2" t="n">
        <v>183.8</v>
      </c>
    </row>
    <row r="57">
      <c r="A57" s="7" t="n">
        <v>46289.92565313658</v>
      </c>
      <c r="B57" s="7" t="n">
        <v>46289.92430555556</v>
      </c>
      <c r="C57" s="2" t="n">
        <v>433</v>
      </c>
      <c r="D57" s="2" t="n">
        <v>6</v>
      </c>
      <c r="E57" s="2" t="n">
        <v>3</v>
      </c>
      <c r="F57" s="2" t="n">
        <v>1</v>
      </c>
      <c r="G57" s="2" t="n">
        <v>226.2</v>
      </c>
    </row>
    <row r="58">
      <c r="A58" s="7" t="n">
        <v>46289.84896370371</v>
      </c>
      <c r="B58" s="7" t="n">
        <v>46289.84791666667</v>
      </c>
      <c r="C58" s="2" t="n">
        <v>433</v>
      </c>
      <c r="D58" s="2" t="n">
        <v>2</v>
      </c>
      <c r="E58" s="2" t="n">
        <v>2</v>
      </c>
      <c r="F58" s="2" t="n">
        <v>1</v>
      </c>
      <c r="G58" s="2" t="n">
        <v>147.5</v>
      </c>
    </row>
    <row r="59">
      <c r="A59" s="7" t="n">
        <v>46289.78526427083</v>
      </c>
      <c r="B59" s="7" t="n">
        <v>46289.78402777778</v>
      </c>
      <c r="C59" s="2" t="n">
        <v>433</v>
      </c>
      <c r="D59" s="2" t="n">
        <v>0</v>
      </c>
      <c r="E59" s="2" t="n">
        <v>0</v>
      </c>
      <c r="F59" s="2" t="n">
        <v>1</v>
      </c>
      <c r="G59" s="2" t="n">
        <v>186.8</v>
      </c>
    </row>
    <row r="60">
      <c r="A60" s="7" t="n">
        <v>46289.75543116898</v>
      </c>
      <c r="B60" s="7" t="n">
        <v>46289.75</v>
      </c>
      <c r="C60" s="2" t="n">
        <v>433</v>
      </c>
      <c r="D60" s="2" t="n">
        <v>15</v>
      </c>
      <c r="E60" s="2" t="n">
        <v>11</v>
      </c>
      <c r="F60" s="2" t="n">
        <v>1</v>
      </c>
      <c r="G60" s="2" t="n">
        <v>109.8</v>
      </c>
    </row>
    <row r="61">
      <c r="A61" s="7" t="n">
        <v>46289.54138961805</v>
      </c>
      <c r="B61" s="7" t="n">
        <v>46289.53472222222</v>
      </c>
      <c r="C61" s="2" t="n">
        <v>433</v>
      </c>
      <c r="D61" s="2" t="n">
        <v>2</v>
      </c>
      <c r="E61" s="2" t="n">
        <v>3</v>
      </c>
      <c r="F61" s="2" t="n">
        <v>1</v>
      </c>
      <c r="G61" s="2" t="n">
        <v>125.8</v>
      </c>
    </row>
    <row r="62">
      <c r="A62" s="7" t="n">
        <v>46289.32358565972</v>
      </c>
      <c r="B62" s="7" t="n">
        <v>46289.31944444445</v>
      </c>
      <c r="C62" s="2" t="n">
        <v>433</v>
      </c>
      <c r="D62" s="2" t="n">
        <v>2</v>
      </c>
      <c r="E62" s="2" t="n">
        <v>4</v>
      </c>
      <c r="F62" s="2" t="n">
        <v>1</v>
      </c>
      <c r="G62" s="2" t="n">
        <v>130.2</v>
      </c>
    </row>
    <row r="63">
      <c r="A63" s="7" t="n">
        <v>46289.18599210648</v>
      </c>
      <c r="B63" s="7" t="n">
        <v>46289.18055555555</v>
      </c>
      <c r="C63" s="2" t="n">
        <v>433</v>
      </c>
      <c r="D63" s="2" t="n">
        <v>3</v>
      </c>
      <c r="E63" s="2" t="n">
        <v>4</v>
      </c>
      <c r="F63" s="2" t="n">
        <v>1</v>
      </c>
      <c r="G63" s="2" t="n">
        <v>129.3</v>
      </c>
    </row>
    <row r="64">
      <c r="A64" s="7" t="n">
        <v>46289.04908521991</v>
      </c>
      <c r="B64" s="7" t="n">
        <v>46289.04513888889</v>
      </c>
      <c r="C64" s="2" t="n">
        <v>433</v>
      </c>
      <c r="D64" s="2" t="n">
        <v>2</v>
      </c>
      <c r="E64" s="2" t="n">
        <v>8</v>
      </c>
      <c r="F64" s="2" t="n">
        <v>1</v>
      </c>
      <c r="G64" s="2" t="n">
        <v>96.90000000000001</v>
      </c>
    </row>
    <row r="65">
      <c r="A65" s="7" t="n">
        <v>46289.00944646991</v>
      </c>
      <c r="B65" s="7" t="n">
        <v>46289.00347222222</v>
      </c>
      <c r="C65" s="2" t="n">
        <v>433</v>
      </c>
      <c r="D65" s="2" t="n">
        <v>26</v>
      </c>
      <c r="E65" s="2" t="n">
        <v>15</v>
      </c>
      <c r="F65" s="2" t="n">
        <v>1</v>
      </c>
      <c r="G65" s="2" t="n">
        <v>127</v>
      </c>
    </row>
    <row r="66">
      <c r="A66" s="7" t="n">
        <v>46288.82408041666</v>
      </c>
      <c r="B66" s="7" t="n">
        <v>46288.81944444445</v>
      </c>
      <c r="C66" s="2" t="n">
        <v>433</v>
      </c>
      <c r="D66" s="2" t="n">
        <v>1</v>
      </c>
      <c r="E66" s="2" t="n">
        <v>2</v>
      </c>
      <c r="F66" s="2" t="n">
        <v>2</v>
      </c>
      <c r="G66" s="2" t="n">
        <v>118.2</v>
      </c>
    </row>
    <row r="67">
      <c r="A67" s="7" t="n">
        <v>46288.75275025463</v>
      </c>
      <c r="B67" s="7" t="n">
        <v>46288.74652777778</v>
      </c>
      <c r="C67" s="2" t="n">
        <v>433</v>
      </c>
      <c r="D67" s="2" t="n">
        <v>4</v>
      </c>
      <c r="E67" s="2" t="n">
        <v>3</v>
      </c>
      <c r="F67" s="2" t="n">
        <v>2</v>
      </c>
      <c r="G67" s="2" t="n">
        <v>125.5</v>
      </c>
    </row>
    <row r="68">
      <c r="A68" s="7" t="n">
        <v>46288.58577883102</v>
      </c>
      <c r="B68" s="7" t="n">
        <v>46288.57986111111</v>
      </c>
      <c r="C68" s="2" t="n">
        <v>433</v>
      </c>
      <c r="D68" s="2" t="n">
        <v>0</v>
      </c>
      <c r="E68" s="2" t="n">
        <v>0</v>
      </c>
      <c r="F68" s="2" t="n">
        <v>2</v>
      </c>
      <c r="G68" s="2" t="n">
        <v>112.8</v>
      </c>
    </row>
    <row r="69">
      <c r="A69" s="7" t="n">
        <v>46288.57218969907</v>
      </c>
      <c r="B69" s="7" t="n">
        <v>46288.56597222222</v>
      </c>
      <c r="C69" s="2" t="n">
        <v>433</v>
      </c>
      <c r="D69" s="2" t="n">
        <v>4</v>
      </c>
      <c r="E69" s="2" t="n">
        <v>5</v>
      </c>
      <c r="F69" s="2" t="n">
        <v>2</v>
      </c>
      <c r="G69" s="2" t="n">
        <v>99.7</v>
      </c>
    </row>
    <row r="70">
      <c r="A70" s="7" t="n">
        <v>46288.36332482639</v>
      </c>
      <c r="B70" s="7" t="n">
        <v>46288.35763888889</v>
      </c>
      <c r="C70" s="2" t="n">
        <v>441</v>
      </c>
      <c r="D70" s="2" t="n">
        <v>2</v>
      </c>
      <c r="E70" s="2" t="n">
        <v>4</v>
      </c>
      <c r="F70" s="2" t="n">
        <v>2</v>
      </c>
      <c r="G70" s="2" t="n">
        <v>94.40000000000001</v>
      </c>
    </row>
    <row r="71">
      <c r="A71" s="7" t="n">
        <v>46288.26120461806</v>
      </c>
      <c r="B71" s="7" t="n">
        <v>46288.25694444445</v>
      </c>
      <c r="C71" s="2" t="n">
        <v>441</v>
      </c>
      <c r="D71" s="2" t="n">
        <v>0</v>
      </c>
      <c r="E71" s="2" t="n">
        <v>3</v>
      </c>
      <c r="F71" s="2" t="n">
        <v>2</v>
      </c>
      <c r="G71" s="2" t="n">
        <v>103.1</v>
      </c>
    </row>
    <row r="72">
      <c r="A72" s="7" t="n">
        <v>46288.12397528935</v>
      </c>
      <c r="B72" s="7" t="n">
        <v>46288.11805555555</v>
      </c>
      <c r="C72" s="2" t="n">
        <v>441</v>
      </c>
      <c r="D72" s="2" t="n">
        <v>7</v>
      </c>
      <c r="E72" s="2" t="n">
        <v>1</v>
      </c>
      <c r="F72" s="2" t="n">
        <v>2</v>
      </c>
      <c r="G72" s="2" t="n">
        <v>114.4</v>
      </c>
    </row>
    <row r="73">
      <c r="A73" s="7" t="n">
        <v>46287.95840076389</v>
      </c>
      <c r="B73" s="7" t="n">
        <v>46287.95486111111</v>
      </c>
      <c r="C73" s="2" t="n">
        <v>441</v>
      </c>
      <c r="D73" s="2" t="n">
        <v>6</v>
      </c>
      <c r="E73" s="2" t="n">
        <v>5</v>
      </c>
      <c r="F73" s="2" t="n">
        <v>2</v>
      </c>
      <c r="G73" s="2" t="n">
        <v>135.1</v>
      </c>
    </row>
    <row r="74">
      <c r="A74" s="7" t="n">
        <v>46287.75277884259</v>
      </c>
      <c r="B74" s="7" t="n">
        <v>46287.74652777778</v>
      </c>
      <c r="C74" s="2" t="n">
        <v>440</v>
      </c>
      <c r="D74" s="2" t="n">
        <v>1</v>
      </c>
      <c r="E74" s="2" t="n">
        <v>3</v>
      </c>
      <c r="F74" s="2" t="n">
        <v>0</v>
      </c>
      <c r="G74" s="2" t="n">
        <v>130.3</v>
      </c>
    </row>
    <row r="75">
      <c r="A75" s="7" t="n">
        <v>46287.6758560301</v>
      </c>
      <c r="B75" s="7" t="n">
        <v>46287.67013888889</v>
      </c>
      <c r="C75" s="2" t="n">
        <v>440</v>
      </c>
      <c r="D75" s="2" t="n">
        <v>4</v>
      </c>
      <c r="E75" s="2" t="n">
        <v>3</v>
      </c>
      <c r="F75" s="2" t="n">
        <v>0</v>
      </c>
      <c r="G75" s="2" t="n">
        <v>91.7</v>
      </c>
    </row>
    <row r="76">
      <c r="A76" s="7" t="n">
        <v>46287.54602564815</v>
      </c>
      <c r="B76" s="7" t="n">
        <v>46287.54166666666</v>
      </c>
      <c r="C76" s="2" t="n">
        <v>440</v>
      </c>
      <c r="D76" s="2" t="n">
        <v>1</v>
      </c>
      <c r="E76" s="2" t="n">
        <v>3</v>
      </c>
      <c r="F76" s="2" t="n">
        <v>0</v>
      </c>
      <c r="G76" s="2" t="n">
        <v>125.4</v>
      </c>
    </row>
    <row r="77">
      <c r="A77" s="7" t="n">
        <v>46287.51247143518</v>
      </c>
      <c r="B77" s="7" t="n">
        <v>46287.50694444445</v>
      </c>
      <c r="C77" s="2" t="n">
        <v>440</v>
      </c>
      <c r="D77" s="2" t="n">
        <v>7</v>
      </c>
      <c r="E77" s="2" t="n">
        <v>8</v>
      </c>
      <c r="F77" s="2" t="n">
        <v>0</v>
      </c>
      <c r="G77" s="2" t="n">
        <v>102.8</v>
      </c>
    </row>
    <row r="78">
      <c r="A78" s="7" t="n">
        <v>46287.30635083334</v>
      </c>
      <c r="B78" s="7" t="n">
        <v>46287.30208333334</v>
      </c>
      <c r="C78" s="2" t="n">
        <v>440</v>
      </c>
      <c r="D78" s="2" t="n">
        <v>9</v>
      </c>
      <c r="E78" s="2" t="n">
        <v>5</v>
      </c>
      <c r="F78" s="2" t="n">
        <v>0</v>
      </c>
      <c r="G78" s="2" t="n">
        <v>135.9</v>
      </c>
    </row>
    <row r="79">
      <c r="A79" s="7" t="n">
        <v>46287.14961865741</v>
      </c>
      <c r="B79" s="7" t="n">
        <v>46287.14583333334</v>
      </c>
      <c r="C79" s="2" t="n">
        <v>440</v>
      </c>
      <c r="D79" s="2" t="n">
        <v>6</v>
      </c>
      <c r="E79" s="2" t="n">
        <v>5</v>
      </c>
      <c r="F79" s="2" t="n">
        <v>0</v>
      </c>
      <c r="G79" s="2" t="n">
        <v>130.5</v>
      </c>
    </row>
    <row r="80">
      <c r="A80" s="7" t="n">
        <v>46286.92852005787</v>
      </c>
      <c r="B80" s="7" t="n">
        <v>46286.92361111111</v>
      </c>
      <c r="C80" s="2" t="n">
        <v>440</v>
      </c>
      <c r="D80" s="2" t="n">
        <v>2</v>
      </c>
      <c r="E80" s="2" t="n">
        <v>3</v>
      </c>
      <c r="F80" s="2" t="n">
        <v>0</v>
      </c>
      <c r="G80" s="2" t="n">
        <v>112.2</v>
      </c>
    </row>
    <row r="81">
      <c r="A81" s="7" t="n">
        <v>46286.83222814815</v>
      </c>
      <c r="B81" s="7" t="n">
        <v>46286.82638888889</v>
      </c>
      <c r="C81" s="2" t="n">
        <v>440</v>
      </c>
      <c r="D81" s="2" t="n">
        <v>5</v>
      </c>
      <c r="E81" s="2" t="n">
        <v>7</v>
      </c>
      <c r="F81" s="2" t="n">
        <v>0</v>
      </c>
      <c r="G81" s="2" t="n">
        <v>126.4</v>
      </c>
    </row>
    <row r="82">
      <c r="A82" s="7" t="n">
        <v>46286.60261268519</v>
      </c>
      <c r="B82" s="7" t="n">
        <v>46286.59722222222</v>
      </c>
      <c r="C82" s="2" t="n">
        <v>440</v>
      </c>
      <c r="D82" s="2" t="n">
        <v>8</v>
      </c>
      <c r="E82" s="2" t="n">
        <v>5</v>
      </c>
      <c r="F82" s="2" t="n">
        <v>0</v>
      </c>
      <c r="G82" s="2" t="n">
        <v>111.5</v>
      </c>
    </row>
    <row r="83">
      <c r="A83" s="7" t="n">
        <v>46286.38294268519</v>
      </c>
      <c r="B83" s="7" t="n">
        <v>46286.37847222222</v>
      </c>
      <c r="C83" s="2" t="n">
        <v>440</v>
      </c>
      <c r="D83" s="2" t="n">
        <v>3</v>
      </c>
      <c r="E83" s="2" t="n">
        <v>6</v>
      </c>
      <c r="F83" s="2" t="n">
        <v>0</v>
      </c>
      <c r="G83" s="2" t="n">
        <v>102.4</v>
      </c>
    </row>
    <row r="84">
      <c r="A84" s="7" t="n">
        <v>46286.27148542824</v>
      </c>
      <c r="B84" s="7" t="n">
        <v>46286.26736111111</v>
      </c>
      <c r="C84" s="2" t="n">
        <v>440</v>
      </c>
      <c r="D84" s="2" t="n">
        <v>2</v>
      </c>
      <c r="E84" s="2" t="n">
        <v>2</v>
      </c>
      <c r="F84" s="2" t="n">
        <v>0</v>
      </c>
      <c r="G84" s="2" t="n">
        <v>126.7</v>
      </c>
    </row>
    <row r="85">
      <c r="A85" s="7" t="n">
        <v>46286.14641391204</v>
      </c>
      <c r="B85" s="7" t="n">
        <v>46286.14236111111</v>
      </c>
      <c r="C85" s="2" t="n">
        <v>440</v>
      </c>
      <c r="D85" s="2" t="n">
        <v>4</v>
      </c>
      <c r="E85" s="2" t="n">
        <v>4</v>
      </c>
      <c r="F85" s="2" t="n">
        <v>0</v>
      </c>
      <c r="G85" s="2" t="n">
        <v>131.3</v>
      </c>
    </row>
    <row r="86">
      <c r="A86" s="7" t="n">
        <v>46286.03573545139</v>
      </c>
      <c r="B86" s="7" t="n">
        <v>46286.03125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127.3</v>
      </c>
    </row>
    <row r="87">
      <c r="A87" s="7" t="n">
        <v>46286.00283136574</v>
      </c>
      <c r="B87" s="7" t="n">
        <v>46285.99652777778</v>
      </c>
      <c r="C87" s="2" t="n">
        <v>440</v>
      </c>
      <c r="D87" s="2" t="n">
        <v>5</v>
      </c>
      <c r="E87" s="2" t="n">
        <v>5</v>
      </c>
      <c r="F87" s="2" t="n">
        <v>0</v>
      </c>
      <c r="G87" s="2" t="n">
        <v>101.9</v>
      </c>
    </row>
    <row r="88">
      <c r="A88" s="7" t="n">
        <v>46285.85245594908</v>
      </c>
      <c r="B88" s="7" t="n">
        <v>46285.84722222222</v>
      </c>
      <c r="C88" s="2" t="n">
        <v>440</v>
      </c>
      <c r="D88" s="2" t="n">
        <v>7</v>
      </c>
      <c r="E88" s="2" t="n">
        <v>6</v>
      </c>
      <c r="F88" s="2" t="n">
        <v>0</v>
      </c>
      <c r="G88" s="2" t="n">
        <v>100.6</v>
      </c>
    </row>
    <row r="89">
      <c r="A89" s="7" t="n">
        <v>46285.60105145833</v>
      </c>
      <c r="B89" s="7" t="n">
        <v>46285.59722222222</v>
      </c>
      <c r="C89" s="2" t="n">
        <v>440</v>
      </c>
      <c r="D89" s="2" t="n">
        <v>9</v>
      </c>
      <c r="E89" s="2" t="n">
        <v>5</v>
      </c>
      <c r="F89" s="2" t="n">
        <v>0</v>
      </c>
      <c r="G89" s="2" t="n">
        <v>129.1</v>
      </c>
    </row>
    <row r="90">
      <c r="A90" s="7" t="n">
        <v>46285.38559789352</v>
      </c>
      <c r="B90" s="7" t="n">
        <v>46285.38194444445</v>
      </c>
      <c r="C90" s="2" t="n">
        <v>440</v>
      </c>
      <c r="D90" s="2" t="n">
        <v>1</v>
      </c>
      <c r="E90" s="2" t="n">
        <v>1</v>
      </c>
      <c r="F90" s="2" t="n">
        <v>0</v>
      </c>
      <c r="G90" s="2" t="n">
        <v>112.5</v>
      </c>
    </row>
    <row r="91">
      <c r="A91" s="7" t="n">
        <v>46285.29994834491</v>
      </c>
      <c r="B91" s="7" t="n">
        <v>46285.29513888889</v>
      </c>
      <c r="C91" s="2" t="n">
        <v>440</v>
      </c>
      <c r="D91" s="2" t="n">
        <v>1</v>
      </c>
      <c r="E91" s="2" t="n">
        <v>3</v>
      </c>
      <c r="F91" s="2" t="n">
        <v>0</v>
      </c>
      <c r="G91" s="2" t="n">
        <v>128.1</v>
      </c>
    </row>
    <row r="92">
      <c r="A92" s="7" t="n">
        <v>46285.19964518519</v>
      </c>
      <c r="B92" s="7" t="n">
        <v>46285.19444444445</v>
      </c>
      <c r="C92" s="2" t="n">
        <v>440</v>
      </c>
      <c r="D92" s="2" t="n">
        <v>2</v>
      </c>
      <c r="E92" s="2" t="n">
        <v>3</v>
      </c>
      <c r="F92" s="2" t="n">
        <v>0</v>
      </c>
      <c r="G92" s="2" t="n">
        <v>110.6</v>
      </c>
    </row>
    <row r="93">
      <c r="A93" s="7" t="n">
        <v>46285.08704527777</v>
      </c>
      <c r="B93" s="7" t="n">
        <v>46285.08333333334</v>
      </c>
      <c r="C93" s="2" t="n">
        <v>440</v>
      </c>
      <c r="D93" s="2" t="n">
        <v>3</v>
      </c>
      <c r="E93" s="2" t="n">
        <v>3</v>
      </c>
      <c r="F93" s="2" t="n">
        <v>0</v>
      </c>
      <c r="G93" s="2" t="n">
        <v>95.09999999999999</v>
      </c>
    </row>
    <row r="94">
      <c r="A94" s="7" t="n">
        <v>46284.93748335648</v>
      </c>
      <c r="B94" s="7" t="n">
        <v>46284.93055555555</v>
      </c>
      <c r="C94" s="2" t="n">
        <v>440</v>
      </c>
      <c r="D94" s="2" t="n">
        <v>2</v>
      </c>
      <c r="E94" s="2" t="n">
        <v>2</v>
      </c>
      <c r="F94" s="2" t="n">
        <v>0</v>
      </c>
      <c r="G94" s="2" t="n">
        <v>128.7</v>
      </c>
    </row>
    <row r="95">
      <c r="A95" s="7" t="n">
        <v>46284.79727659722</v>
      </c>
      <c r="B95" s="7" t="n">
        <v>46284.79166666666</v>
      </c>
      <c r="C95" s="2" t="n">
        <v>440</v>
      </c>
      <c r="D95" s="2" t="n">
        <v>4</v>
      </c>
      <c r="E95" s="2" t="n">
        <v>5</v>
      </c>
      <c r="F95" s="2" t="n">
        <v>0</v>
      </c>
      <c r="G95" s="2" t="n">
        <v>109.7</v>
      </c>
    </row>
    <row r="96">
      <c r="A96" s="7" t="n">
        <v>46284.58365538195</v>
      </c>
      <c r="B96" s="7" t="n">
        <v>46284.57986111111</v>
      </c>
      <c r="C96" s="2" t="n">
        <v>440</v>
      </c>
      <c r="D96" s="2" t="n">
        <v>5</v>
      </c>
      <c r="E96" s="2" t="n">
        <v>4</v>
      </c>
      <c r="F96" s="2" t="n">
        <v>0</v>
      </c>
      <c r="G96" s="2" t="n">
        <v>101.8</v>
      </c>
    </row>
    <row r="97">
      <c r="A97" s="7" t="n">
        <v>46284.38530752315</v>
      </c>
      <c r="B97" s="7" t="n">
        <v>46284.37847222222</v>
      </c>
      <c r="C97" s="2" t="n">
        <v>440</v>
      </c>
      <c r="D97" s="2" t="n">
        <v>2</v>
      </c>
      <c r="E97" s="2" t="n">
        <v>4</v>
      </c>
      <c r="F97" s="2" t="n">
        <v>0</v>
      </c>
      <c r="G97" s="2" t="n">
        <v>130.8</v>
      </c>
    </row>
    <row r="98">
      <c r="A98" s="7" t="n">
        <v>46284.27664920139</v>
      </c>
      <c r="B98" s="7" t="n">
        <v>46284.27083333334</v>
      </c>
      <c r="C98" s="2" t="n">
        <v>440</v>
      </c>
      <c r="D98" s="2" t="n">
        <v>4</v>
      </c>
      <c r="E98" s="2" t="n">
        <v>1</v>
      </c>
      <c r="F98" s="2" t="n">
        <v>0</v>
      </c>
      <c r="G98" s="2" t="n">
        <v>127.8</v>
      </c>
    </row>
    <row r="99">
      <c r="A99" s="7" t="n">
        <v>46284.15392047453</v>
      </c>
      <c r="B99" s="7" t="n">
        <v>46284.14930555555</v>
      </c>
      <c r="C99" s="2" t="n">
        <v>440</v>
      </c>
      <c r="D99" s="2" t="n">
        <v>3</v>
      </c>
      <c r="E99" s="2" t="n">
        <v>2</v>
      </c>
      <c r="F99" s="2" t="n">
        <v>0</v>
      </c>
      <c r="G99" s="2" t="n">
        <v>135.6</v>
      </c>
    </row>
    <row r="100">
      <c r="A100" s="7" t="n">
        <v>46284.02123533565</v>
      </c>
      <c r="B100" s="7" t="n">
        <v>46284.01736111111</v>
      </c>
      <c r="C100" s="2" t="n">
        <v>440</v>
      </c>
      <c r="D100" s="2" t="n">
        <v>2</v>
      </c>
      <c r="E100" s="2" t="n">
        <v>1</v>
      </c>
      <c r="F100" s="2" t="n">
        <v>0</v>
      </c>
      <c r="G100" s="2" t="n">
        <v>102.8</v>
      </c>
    </row>
    <row r="101">
      <c r="A101" s="7" t="n">
        <v>46283.99753837963</v>
      </c>
      <c r="B101" s="7" t="n">
        <v>46283.99305555555</v>
      </c>
      <c r="C101" s="2" t="n">
        <v>440</v>
      </c>
      <c r="D101" s="2" t="n">
        <v>1</v>
      </c>
      <c r="E101" s="2" t="n">
        <v>3</v>
      </c>
      <c r="F101" s="2" t="n">
        <v>0</v>
      </c>
      <c r="G101" s="2" t="n">
        <v>129.8</v>
      </c>
    </row>
    <row r="102">
      <c r="A102" s="7" t="n">
        <v>46283.80859936342</v>
      </c>
      <c r="B102" s="7" t="n">
        <v>46283.80208333334</v>
      </c>
      <c r="C102" s="2" t="n">
        <v>440</v>
      </c>
      <c r="D102" s="2" t="n">
        <v>0</v>
      </c>
      <c r="E102" s="2" t="n">
        <v>1</v>
      </c>
      <c r="F102" s="2" t="n">
        <v>0</v>
      </c>
      <c r="G102" s="2" t="n">
        <v>127.7</v>
      </c>
    </row>
    <row r="103">
      <c r="A103" s="7" t="n">
        <v>46283.78916202546</v>
      </c>
      <c r="B103" s="7" t="n">
        <v>46283.78472222222</v>
      </c>
      <c r="C103" s="2" t="n">
        <v>440</v>
      </c>
      <c r="D103" s="2" t="n">
        <v>4</v>
      </c>
      <c r="E103" s="2" t="n">
        <v>3</v>
      </c>
      <c r="F103" s="2" t="n">
        <v>0</v>
      </c>
      <c r="G103" s="2" t="n">
        <v>119.1</v>
      </c>
    </row>
    <row r="104">
      <c r="A104" s="7" t="n">
        <v>46283.58323265046</v>
      </c>
      <c r="B104" s="7" t="n">
        <v>46283.57638888889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126.7</v>
      </c>
    </row>
    <row r="105">
      <c r="A105" s="7" t="n">
        <v>46283.57323743056</v>
      </c>
      <c r="B105" s="7" t="n">
        <v>46283.56944444445</v>
      </c>
      <c r="C105" s="2" t="n">
        <v>440</v>
      </c>
      <c r="D105" s="2" t="n">
        <v>4</v>
      </c>
      <c r="E105" s="2" t="n">
        <v>6</v>
      </c>
      <c r="F105" s="2" t="n">
        <v>0</v>
      </c>
      <c r="G105" s="2" t="n">
        <v>94.3</v>
      </c>
    </row>
    <row r="106">
      <c r="A106" s="7" t="n">
        <v>46283.45181144676</v>
      </c>
      <c r="B106" s="7" t="n">
        <v>46283.44791666666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132.3</v>
      </c>
    </row>
    <row r="107">
      <c r="A107" s="7" t="n">
        <v>46283.44134394676</v>
      </c>
      <c r="B107" s="7" t="n">
        <v>46283.4375</v>
      </c>
      <c r="C107" s="2" t="n">
        <v>440</v>
      </c>
      <c r="D107" s="2" t="n">
        <v>4</v>
      </c>
      <c r="E107" s="2" t="n">
        <v>2</v>
      </c>
      <c r="F107" s="2" t="n">
        <v>0</v>
      </c>
      <c r="G107" s="2" t="n">
        <v>373.5</v>
      </c>
    </row>
    <row r="108">
      <c r="A108" s="7" t="n">
        <v>46283.35273409722</v>
      </c>
      <c r="B108" s="7" t="n">
        <v>46283.34722222222</v>
      </c>
      <c r="C108" s="2" t="n">
        <v>440</v>
      </c>
      <c r="D108" s="2" t="n">
        <v>2</v>
      </c>
      <c r="E108" s="2" t="n">
        <v>1</v>
      </c>
      <c r="F108" s="2" t="n">
        <v>0</v>
      </c>
      <c r="G108" s="2" t="n">
        <v>132.3</v>
      </c>
    </row>
    <row r="109">
      <c r="A109" s="7" t="n">
        <v>46283.26014016203</v>
      </c>
      <c r="B109" s="7" t="n">
        <v>46283.25347222222</v>
      </c>
      <c r="C109" s="2" t="n">
        <v>440</v>
      </c>
      <c r="D109" s="2" t="n">
        <v>2</v>
      </c>
      <c r="E109" s="2" t="n">
        <v>0</v>
      </c>
      <c r="F109" s="2" t="n">
        <v>0</v>
      </c>
      <c r="G109" s="2" t="n">
        <v>129.5</v>
      </c>
    </row>
    <row r="110">
      <c r="A110" s="7" t="n">
        <v>46283.09637409722</v>
      </c>
      <c r="B110" s="7" t="n">
        <v>46283.09027777778</v>
      </c>
      <c r="C110" s="2" t="n">
        <v>440</v>
      </c>
      <c r="D110" s="2" t="n">
        <v>6</v>
      </c>
      <c r="E110" s="2" t="n">
        <v>8</v>
      </c>
      <c r="F110" s="2" t="n">
        <v>0</v>
      </c>
      <c r="G110" s="2" t="n">
        <v>131.2</v>
      </c>
    </row>
    <row r="111">
      <c r="A111" s="7" t="n">
        <v>46282.89824439815</v>
      </c>
      <c r="B111" s="7" t="n">
        <v>46282.89236111111</v>
      </c>
      <c r="C111" s="2" t="n">
        <v>440</v>
      </c>
      <c r="D111" s="2" t="n">
        <v>3</v>
      </c>
      <c r="E111" s="2" t="n">
        <v>1</v>
      </c>
      <c r="F111" s="2" t="n">
        <v>0</v>
      </c>
      <c r="G111" s="2" t="n">
        <v>137</v>
      </c>
    </row>
    <row r="112">
      <c r="A112" s="7" t="n">
        <v>46282.65711792824</v>
      </c>
      <c r="B112" s="7" t="n">
        <v>46282.65277777778</v>
      </c>
      <c r="C112" s="2" t="n">
        <v>440</v>
      </c>
      <c r="D112" s="2" t="n">
        <v>2</v>
      </c>
      <c r="E112" s="2" t="n">
        <v>2</v>
      </c>
      <c r="F112" s="2" t="n">
        <v>0</v>
      </c>
      <c r="G112" s="2" t="n">
        <v>126.6</v>
      </c>
    </row>
    <row r="113">
      <c r="A113" s="7" t="n">
        <v>46282.40350203704</v>
      </c>
      <c r="B113" s="7" t="n">
        <v>46282.39930555555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323.7</v>
      </c>
    </row>
    <row r="114">
      <c r="A114" s="7" t="n">
        <v>46282.39577758102</v>
      </c>
      <c r="B114" s="7" t="n">
        <v>46282.33333333334</v>
      </c>
      <c r="C114" s="2" t="n">
        <v>440</v>
      </c>
      <c r="D114" s="2" t="n">
        <v>0</v>
      </c>
      <c r="E114" s="2" t="n">
        <v>6</v>
      </c>
      <c r="F114" s="2" t="n">
        <v>0</v>
      </c>
      <c r="G114" s="2" t="n">
        <v>50.5</v>
      </c>
    </row>
    <row r="115">
      <c r="A115" s="7" t="n">
        <v>46282.29222982639</v>
      </c>
      <c r="B115" s="7" t="n">
        <v>46282.25</v>
      </c>
      <c r="C115" s="2" t="n">
        <v>440</v>
      </c>
      <c r="D115" s="2" t="n">
        <v>2</v>
      </c>
      <c r="E115" s="2" t="n">
        <v>1</v>
      </c>
      <c r="F115" s="2" t="n">
        <v>0</v>
      </c>
      <c r="G115" s="2" t="n">
        <v>66.2</v>
      </c>
    </row>
    <row r="116">
      <c r="A116" s="7" t="n">
        <v>46282.17576607639</v>
      </c>
      <c r="B116" s="7" t="n">
        <v>46282.125</v>
      </c>
      <c r="C116" s="2" t="n">
        <v>440</v>
      </c>
      <c r="D116" s="2" t="n">
        <v>6</v>
      </c>
      <c r="E116" s="2" t="n">
        <v>1</v>
      </c>
      <c r="F116" s="2" t="n">
        <v>0</v>
      </c>
      <c r="G116" s="2" t="n">
        <v>67</v>
      </c>
    </row>
    <row r="117">
      <c r="A117" s="7" t="n">
        <v>46282.04552453704</v>
      </c>
      <c r="B117" s="7" t="n">
        <v>46282</v>
      </c>
      <c r="C117" s="2" t="n">
        <v>440</v>
      </c>
      <c r="D117" s="2" t="n">
        <v>2</v>
      </c>
      <c r="E117" s="2" t="n">
        <v>4</v>
      </c>
      <c r="F117" s="2" t="n">
        <v>0</v>
      </c>
      <c r="G117" s="2" t="n">
        <v>52.9</v>
      </c>
    </row>
    <row r="118">
      <c r="A118" s="7" t="n">
        <v>46281.82298537037</v>
      </c>
      <c r="B118" s="7" t="n">
        <v>46281.75</v>
      </c>
      <c r="C118" s="2" t="n">
        <v>440</v>
      </c>
      <c r="D118" s="2" t="n">
        <v>2</v>
      </c>
      <c r="E118" s="2" t="n">
        <v>4</v>
      </c>
      <c r="F118" s="2" t="n">
        <v>0</v>
      </c>
      <c r="G118" s="2" t="n">
        <v>65.7</v>
      </c>
    </row>
    <row r="119">
      <c r="A119" s="7" t="n">
        <v>46281.58829054398</v>
      </c>
      <c r="B119" s="7" t="n">
        <v>46281.54166666666</v>
      </c>
      <c r="C119" s="2" t="n">
        <v>440</v>
      </c>
      <c r="D119" s="2" t="n">
        <v>7</v>
      </c>
      <c r="E119" s="2" t="n">
        <v>3</v>
      </c>
      <c r="F119" s="2" t="n">
        <v>0</v>
      </c>
      <c r="G119" s="2" t="n">
        <v>54.5</v>
      </c>
    </row>
    <row r="120">
      <c r="A120" s="7" t="n">
        <v>46281.35205523148</v>
      </c>
      <c r="B120" s="7" t="n">
        <v>46281.29166666666</v>
      </c>
      <c r="C120" s="2" t="n">
        <v>442</v>
      </c>
      <c r="D120" s="2" t="n">
        <v>0</v>
      </c>
      <c r="E120" s="2" t="n">
        <v>0</v>
      </c>
      <c r="F120" s="2" t="n">
        <v>0</v>
      </c>
      <c r="G120" s="2" t="n">
        <v>66.90000000000001</v>
      </c>
    </row>
    <row r="121">
      <c r="A121" s="7" t="n">
        <v>46281.22963460648</v>
      </c>
      <c r="B121" s="7" t="n">
        <v>46281.16666666666</v>
      </c>
      <c r="C121" s="2" t="n">
        <v>442</v>
      </c>
      <c r="D121" s="2" t="n">
        <v>3</v>
      </c>
      <c r="E121" s="2" t="n">
        <v>2</v>
      </c>
      <c r="F121" s="2" t="n">
        <v>0</v>
      </c>
      <c r="G121" s="2" t="n">
        <v>61.9</v>
      </c>
    </row>
    <row r="122">
      <c r="A122" s="7" t="n">
        <v>46281.094529375</v>
      </c>
      <c r="B122" s="7" t="n">
        <v>46281.04166666666</v>
      </c>
      <c r="C122" s="2" t="n">
        <v>442</v>
      </c>
      <c r="D122" s="2" t="n">
        <v>6</v>
      </c>
      <c r="E122" s="2" t="n">
        <v>6</v>
      </c>
      <c r="F122" s="2" t="n">
        <v>0</v>
      </c>
      <c r="G122" s="2" t="n">
        <v>46.5</v>
      </c>
    </row>
    <row r="123">
      <c r="A123" s="7" t="n">
        <v>46280.9017994676</v>
      </c>
      <c r="B123" s="7" t="n">
        <v>46280.83333333334</v>
      </c>
      <c r="C123" s="2" t="n">
        <v>442</v>
      </c>
      <c r="D123" s="2" t="n">
        <v>2</v>
      </c>
      <c r="E123" s="2" t="n">
        <v>4</v>
      </c>
      <c r="F123" s="2" t="n">
        <v>0</v>
      </c>
      <c r="G123" s="2" t="n">
        <v>56.7</v>
      </c>
    </row>
    <row r="124">
      <c r="A124" s="7" t="n">
        <v>46280.66002480324</v>
      </c>
      <c r="B124" s="7" t="n">
        <v>46280.58333333334</v>
      </c>
      <c r="C124" s="2" t="n">
        <v>442</v>
      </c>
      <c r="D124" s="2" t="n">
        <v>2</v>
      </c>
      <c r="E124" s="2" t="n">
        <v>3</v>
      </c>
      <c r="F124" s="2" t="n">
        <v>0</v>
      </c>
      <c r="G124" s="2" t="n">
        <v>67.40000000000001</v>
      </c>
    </row>
    <row r="125">
      <c r="A125" s="7" t="n">
        <v>46280.4778358449</v>
      </c>
      <c r="B125" s="7" t="n">
        <v>46280.41666666666</v>
      </c>
      <c r="C125" s="2" t="n">
        <v>442</v>
      </c>
      <c r="D125" s="2" t="n">
        <v>1</v>
      </c>
      <c r="E125" s="2" t="n">
        <v>0</v>
      </c>
      <c r="F125" s="2" t="n">
        <v>0</v>
      </c>
      <c r="G125" s="2" t="n">
        <v>61.2</v>
      </c>
    </row>
    <row r="126">
      <c r="A126" s="7" t="n">
        <v>46280.39795681713</v>
      </c>
      <c r="B126" s="7" t="n">
        <v>46280.33333333334</v>
      </c>
      <c r="C126" s="2" t="n">
        <v>442</v>
      </c>
      <c r="D126" s="2" t="n">
        <v>0</v>
      </c>
      <c r="E126" s="2" t="n">
        <v>1</v>
      </c>
      <c r="F126" s="2" t="n">
        <v>0</v>
      </c>
      <c r="G126" s="2" t="n">
        <v>66.90000000000001</v>
      </c>
    </row>
    <row r="127">
      <c r="A127" s="7" t="n">
        <v>46280.29983445602</v>
      </c>
      <c r="B127" s="7" t="n">
        <v>46280.25</v>
      </c>
      <c r="C127" s="2" t="n">
        <v>442</v>
      </c>
      <c r="D127" s="2" t="n">
        <v>1</v>
      </c>
      <c r="E127" s="2" t="n">
        <v>1</v>
      </c>
      <c r="F127" s="2" t="n">
        <v>0</v>
      </c>
      <c r="G127" s="2" t="n">
        <v>51.6</v>
      </c>
    </row>
    <row r="128">
      <c r="A128" s="7" t="n">
        <v>46280.14350143519</v>
      </c>
      <c r="B128" s="7" t="n">
        <v>46280.08333333334</v>
      </c>
      <c r="C128" s="2" t="n">
        <v>442</v>
      </c>
      <c r="D128" s="2" t="n">
        <v>3</v>
      </c>
      <c r="E128" s="2" t="n">
        <v>1</v>
      </c>
      <c r="F128" s="2" t="n">
        <v>0</v>
      </c>
      <c r="G128" s="2" t="n">
        <v>57.3</v>
      </c>
    </row>
    <row r="129">
      <c r="A129" s="7" t="n">
        <v>46279.92418226852</v>
      </c>
      <c r="B129" s="7" t="n">
        <v>46279.875</v>
      </c>
      <c r="C129" s="2" t="n">
        <v>442</v>
      </c>
      <c r="D129" s="2" t="n">
        <v>6</v>
      </c>
      <c r="E129" s="2" t="n">
        <v>7</v>
      </c>
      <c r="F129" s="2" t="n">
        <v>0</v>
      </c>
      <c r="G129" s="2" t="n">
        <v>48.1</v>
      </c>
    </row>
    <row r="130">
      <c r="A130" s="7" t="n">
        <v>46279.59996445602</v>
      </c>
      <c r="B130" s="7" t="n">
        <v>46279.54166666666</v>
      </c>
      <c r="C130" s="2" t="n">
        <v>442</v>
      </c>
      <c r="D130" s="2" t="n">
        <v>2</v>
      </c>
      <c r="E130" s="2" t="n">
        <v>3</v>
      </c>
      <c r="F130" s="2" t="n">
        <v>0</v>
      </c>
      <c r="G130" s="2" t="n">
        <v>61</v>
      </c>
    </row>
    <row r="131">
      <c r="A131" s="7" t="n">
        <v>46279.38316741898</v>
      </c>
      <c r="B131" s="7" t="n">
        <v>46279.33333333334</v>
      </c>
      <c r="C131" s="2" t="n">
        <v>442</v>
      </c>
      <c r="D131" s="2" t="n">
        <v>2</v>
      </c>
      <c r="E131" s="2" t="n">
        <v>2</v>
      </c>
      <c r="F131" s="2" t="n">
        <v>0</v>
      </c>
      <c r="G131" s="2" t="n">
        <v>59.9</v>
      </c>
    </row>
    <row r="132">
      <c r="A132" s="7" t="n">
        <v>46279.26932584491</v>
      </c>
      <c r="B132" s="7" t="n">
        <v>46279.20833333334</v>
      </c>
      <c r="C132" s="2" t="n">
        <v>442</v>
      </c>
      <c r="D132" s="2" t="n">
        <v>0</v>
      </c>
      <c r="E132" s="2" t="n">
        <v>0</v>
      </c>
      <c r="F132" s="2" t="n">
        <v>0</v>
      </c>
      <c r="G132" s="2" t="n">
        <v>61.1</v>
      </c>
    </row>
    <row r="133">
      <c r="A133" s="7" t="n">
        <v>46279.14665413195</v>
      </c>
      <c r="B133" s="7" t="n">
        <v>46279.08333333334</v>
      </c>
      <c r="C133" s="2" t="n">
        <v>442</v>
      </c>
      <c r="D133" s="2" t="n">
        <v>1</v>
      </c>
      <c r="E133" s="2" t="n">
        <v>0</v>
      </c>
      <c r="F133" s="2" t="n">
        <v>0</v>
      </c>
      <c r="G133" s="2" t="n">
        <v>55.1</v>
      </c>
    </row>
    <row r="134">
      <c r="A134" s="7" t="n">
        <v>46279.01733591435</v>
      </c>
      <c r="B134" s="7" t="n">
        <v>46278.95833333334</v>
      </c>
      <c r="C134" s="2" t="n">
        <v>442</v>
      </c>
      <c r="D134" s="2" t="n">
        <v>2</v>
      </c>
      <c r="E134" s="2" t="n">
        <v>4</v>
      </c>
      <c r="F134" s="2" t="n">
        <v>0</v>
      </c>
      <c r="G134" s="2" t="n">
        <v>59.7</v>
      </c>
    </row>
    <row r="135">
      <c r="A135" s="7" t="n">
        <v>46278.83725055555</v>
      </c>
      <c r="B135" s="7" t="n">
        <v>46278.79166666666</v>
      </c>
      <c r="C135" s="2" t="n">
        <v>442</v>
      </c>
      <c r="D135" s="2" t="n">
        <v>0</v>
      </c>
      <c r="E135" s="2" t="n">
        <v>3</v>
      </c>
      <c r="F135" s="2" t="n">
        <v>0</v>
      </c>
      <c r="G135" s="2" t="n">
        <v>65.40000000000001</v>
      </c>
    </row>
    <row r="136">
      <c r="A136" s="7" t="n">
        <v>46278.71111972223</v>
      </c>
      <c r="B136" s="7" t="n">
        <v>46278.66666666666</v>
      </c>
      <c r="C136" s="2" t="n">
        <v>442</v>
      </c>
      <c r="D136" s="2" t="n">
        <v>3</v>
      </c>
      <c r="E136" s="2" t="n">
        <v>1</v>
      </c>
      <c r="F136" s="2" t="n">
        <v>0</v>
      </c>
      <c r="G136" s="2" t="n">
        <v>63.6</v>
      </c>
    </row>
    <row r="137">
      <c r="A137" s="7" t="n">
        <v>46278.68053923611</v>
      </c>
      <c r="B137" s="7" t="n">
        <v>46278.625</v>
      </c>
      <c r="C137" s="2" t="n">
        <v>442</v>
      </c>
      <c r="D137" s="2" t="n">
        <v>9</v>
      </c>
      <c r="E137" s="2" t="n">
        <v>10</v>
      </c>
      <c r="F137" s="2" t="n">
        <v>0</v>
      </c>
      <c r="G137" s="2" t="n">
        <v>63.6</v>
      </c>
    </row>
    <row r="138">
      <c r="A138" s="7" t="n">
        <v>46278.07354997685</v>
      </c>
      <c r="B138" s="7" t="n">
        <v>46278</v>
      </c>
      <c r="C138" s="2" t="n">
        <v>442</v>
      </c>
      <c r="D138" s="2" t="n">
        <v>3</v>
      </c>
      <c r="E138" s="2" t="n">
        <v>1</v>
      </c>
      <c r="F138" s="2" t="n">
        <v>0</v>
      </c>
      <c r="G138" s="2" t="n">
        <v>50.2</v>
      </c>
    </row>
    <row r="139">
      <c r="A139" s="7" t="n">
        <v>46277.94390239583</v>
      </c>
      <c r="B139" s="7" t="n">
        <v>46277.875</v>
      </c>
      <c r="C139" s="2" t="n">
        <v>442</v>
      </c>
      <c r="D139" s="2" t="n">
        <v>190</v>
      </c>
      <c r="E139" s="2" t="n">
        <v>186</v>
      </c>
      <c r="F139" s="2" t="n">
        <v>0</v>
      </c>
      <c r="G139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+0.96%）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203</v>
      </c>
      <c r="C6" s="10" t="n">
        <v>0.5911330049261084</v>
      </c>
      <c r="D6" s="4" t="n">
        <v>-0.003709359605911335</v>
      </c>
      <c r="E6" s="2" t="n">
        <v>101</v>
      </c>
      <c r="F6" s="10" t="n">
        <v>0.6435643564356436</v>
      </c>
      <c r="G6" s="4" t="n">
        <v>0.000485148514851479</v>
      </c>
      <c r="H6" s="2" t="n">
        <v>66</v>
      </c>
      <c r="I6" s="10" t="n">
        <v>0.6212121212121212</v>
      </c>
      <c r="J6" s="4" t="n">
        <v>-0.001303030303030309</v>
      </c>
      <c r="K6" s="2" t="n">
        <v>54</v>
      </c>
      <c r="L6" s="10" t="n">
        <v>0.6296296296296297</v>
      </c>
      <c r="M6" s="4" t="n">
        <v>-0.0006296296296296302</v>
      </c>
      <c r="N6" s="2" t="n">
        <v>77</v>
      </c>
      <c r="O6" s="10" t="n">
        <v>0.6233766233766234</v>
      </c>
      <c r="P6" s="4" t="n">
        <v>-0.001129870129870129</v>
      </c>
      <c r="Q6" s="2" t="n">
        <v>33</v>
      </c>
      <c r="R6" s="10" t="n">
        <v>0.7575757575757576</v>
      </c>
      <c r="S6" s="4" t="n">
        <v>0.009606060606060611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資金明細!R1074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MAX(資金明細!$R$2:$R$1074)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MIN(資金明細!$R$2:$R$1074)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MIN(資金明細!$X$2:$X$1074)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COUNTIFS(資金明細!$C$2:$C$1074,"進場",資金明細!$N$2:$N$1074,"已下單")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COUNTIFS(資金明細!$C$2:$C$1074,"進場",資金明細!$N$2:$N$1074,"資金不足略過")</f>
        <v/>
      </c>
    </row>
    <row r="11">
      <c r="D11" s="2" t="inlineStr">
        <is>
          <t>止盈筆數</t>
        </is>
      </c>
      <c r="E11" s="18">
        <f>COUNTIFS(資金明細!$C$2:$C$1074,"出場",資金明細!$N$2:$N$1074,"已下單",資金明細!$K$2:$K$1074,"止盈")</f>
        <v/>
      </c>
    </row>
    <row r="12">
      <c r="A12" s="2" t="inlineStr">
        <is>
          <t>每筆止損約虧本金</t>
        </is>
      </c>
      <c r="B12" s="4">
        <f>B5*B7*IFERROR(AVERAGE(交易明細!$AB$2:$AB$539),參數!B6)</f>
        <v/>
      </c>
      <c r="D12" s="2" t="inlineStr">
        <is>
          <t>止損筆數</t>
        </is>
      </c>
      <c r="E12" s="18">
        <f>COUNTIFS(資金明細!$C$2:$C$1074,"出場",資金明細!$N$2:$N$1074,"已下單",資金明細!$K$2:$K$1074,"止損")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IFERROR(E11/COUNTIFS(資金明細!$C$2:$C$1074,"出場",資金明細!$N$2:$N$1074,"已下單"),0)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MAX(資金明細!$U$2:$U$1074)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MAX(資金明細!$S$2:$S$1074)</f>
        <v/>
      </c>
    </row>
    <row r="16">
      <c r="D16" s="2" t="inlineStr">
        <is>
          <t>期末下單金額</t>
        </is>
      </c>
      <c r="E16" s="19">
        <f>B5*資金明細!V1074</f>
        <v/>
      </c>
    </row>
    <row r="17">
      <c r="D17" s="2" t="inlineStr">
        <is>
          <t>未平倉浮動損益（未計入）</t>
        </is>
      </c>
      <c r="E17" s="13">
        <f>IF(資金明細!N1066="已下單",資金明細!O1066*交易明細!L535,0)+IF(資金明細!N1068="已下單",資金明細!O1068*交易明細!L536,0)+IF(資金明細!N1073="已下單",資金明細!O1073*交易明細!L538,0)+IF(資金明細!N1074="已下單",資金明細!O1074*交易明細!L539,0)</f>
        <v/>
      </c>
    </row>
    <row r="18">
      <c r="D18" s="2" t="inlineStr">
        <is>
          <t>最大總曝險倍數</t>
        </is>
      </c>
      <c r="E18" s="19">
        <f>MAX(資金明細!$Y$2:$Y$1074)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IFERROR(INDEX(資金明細!$B$2:$B$1074,MATCH(1,資金明細!$Z$2:$Z$1074,0)),"未觸發")</f>
        <v/>
      </c>
    </row>
    <row r="21">
      <c r="D21" s="2" t="inlineStr">
        <is>
          <t>停止後略過筆數</t>
        </is>
      </c>
      <c r="E21" s="18">
        <f>COUNTIFS(資金明細!$C$2:$C$1074,"進場",資金明細!$N$2:$N$1074,"已停止")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07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n"/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n"/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  <row r="957">
      <c r="A957" s="2" t="n">
        <v>955</v>
      </c>
      <c r="B957" s="7" t="n">
        <v>46290.83333333334</v>
      </c>
      <c r="C957" s="2" t="inlineStr">
        <is>
          <t>出場</t>
        </is>
      </c>
      <c r="D957" s="2" t="n">
        <v>468</v>
      </c>
      <c r="E957" s="2" t="inlineStr">
        <is>
          <t>ARB_USDT_PERP</t>
        </is>
      </c>
      <c r="F957" s="2" t="inlineStr">
        <is>
          <t>做空</t>
        </is>
      </c>
      <c r="G957" s="20" t="n">
        <v>0.2135</v>
      </c>
      <c r="H957" s="20" t="n">
        <v>0.207095</v>
      </c>
      <c r="I957" s="20" t="n">
        <v>0.224175</v>
      </c>
      <c r="J957" s="20" t="n">
        <v>0.224175</v>
      </c>
      <c r="K957" s="2" t="inlineStr">
        <is>
          <t>止損</t>
        </is>
      </c>
      <c r="L957" s="5">
        <f>交易明細!K469</f>
        <v/>
      </c>
      <c r="M957" s="19">
        <f>M931</f>
        <v/>
      </c>
      <c r="N957" s="2">
        <f>N931</f>
        <v/>
      </c>
      <c r="O957" s="19">
        <f>O931</f>
        <v/>
      </c>
      <c r="P957" s="4">
        <f>交易明細!L469</f>
        <v/>
      </c>
      <c r="Q957" s="13">
        <f>IF(N957="已下單",O957*P957,0)</f>
        <v/>
      </c>
      <c r="R957" s="13">
        <f>R956+Q957</f>
        <v/>
      </c>
      <c r="S957" s="19">
        <f>S956-IF(N957="已下單",M957,0)</f>
        <v/>
      </c>
      <c r="T957" s="19">
        <f>R957-S957</f>
        <v/>
      </c>
      <c r="U957" s="2">
        <f>U956-IF(N957="已下單",1,0)</f>
        <v/>
      </c>
      <c r="V957" s="19">
        <f>IF(資金模擬!$B$9=2,MAX(R957,0),MAX(V956,FLOOR(MAX(R957,0),資金模擬!$B$6)))</f>
        <v/>
      </c>
      <c r="W957" s="13">
        <f>MAX(W956,R957)</f>
        <v/>
      </c>
      <c r="X957" s="4">
        <f>IF(W957&gt;0,R957/W957-1,-1)</f>
        <v/>
      </c>
      <c r="Y957" s="19">
        <f>IF(R957&gt;0,S957*資金模擬!$B$7/R957,0)</f>
        <v/>
      </c>
      <c r="Z957" s="2">
        <f>IF(OR(Z956=1,R957&lt;=資金模擬!$B$10),1,0)</f>
        <v/>
      </c>
    </row>
    <row r="958">
      <c r="A958" s="2" t="n">
        <v>956</v>
      </c>
      <c r="B958" s="7" t="n">
        <v>46290.83333333334</v>
      </c>
      <c r="C958" s="2" t="inlineStr">
        <is>
          <t>出場</t>
        </is>
      </c>
      <c r="D958" s="2" t="n">
        <v>478</v>
      </c>
      <c r="E958" s="2" t="inlineStr">
        <is>
          <t>ENA_USDT_PERP</t>
        </is>
      </c>
      <c r="F958" s="2" t="inlineStr">
        <is>
          <t>做多</t>
        </is>
      </c>
      <c r="G958" s="20" t="n">
        <v>0.2287</v>
      </c>
      <c r="H958" s="20" t="n">
        <v>0.235561</v>
      </c>
      <c r="I958" s="20" t="n">
        <v>0.217265</v>
      </c>
      <c r="J958" s="20" t="n">
        <v>0.235561</v>
      </c>
      <c r="K958" s="2" t="inlineStr">
        <is>
          <t>止盈</t>
        </is>
      </c>
      <c r="L958" s="5">
        <f>交易明細!K479</f>
        <v/>
      </c>
      <c r="M958" s="19">
        <f>M956</f>
        <v/>
      </c>
      <c r="N958" s="2">
        <f>N956</f>
        <v/>
      </c>
      <c r="O958" s="19">
        <f>O956</f>
        <v/>
      </c>
      <c r="P958" s="4">
        <f>交易明細!L479</f>
        <v/>
      </c>
      <c r="Q958" s="13">
        <f>IF(N958="已下單",O958*P958,0)</f>
        <v/>
      </c>
      <c r="R958" s="13">
        <f>R957+Q958</f>
        <v/>
      </c>
      <c r="S958" s="19">
        <f>S957-IF(N958="已下單",M958,0)</f>
        <v/>
      </c>
      <c r="T958" s="19">
        <f>R958-S958</f>
        <v/>
      </c>
      <c r="U958" s="2">
        <f>U957-IF(N958="已下單",1,0)</f>
        <v/>
      </c>
      <c r="V958" s="19">
        <f>IF(資金模擬!$B$9=2,MAX(R958,0),MAX(V957,FLOOR(MAX(R958,0),資金模擬!$B$6)))</f>
        <v/>
      </c>
      <c r="W958" s="13">
        <f>MAX(W957,R958)</f>
        <v/>
      </c>
      <c r="X958" s="4">
        <f>IF(W958&gt;0,R958/W958-1,-1)</f>
        <v/>
      </c>
      <c r="Y958" s="19">
        <f>IF(R958&gt;0,S958*資金模擬!$B$7/R958,0)</f>
        <v/>
      </c>
      <c r="Z958" s="2">
        <f>IF(OR(Z957=1,R958&lt;=資金模擬!$B$10),1,0)</f>
        <v/>
      </c>
    </row>
    <row r="959">
      <c r="A959" s="2" t="n">
        <v>957</v>
      </c>
      <c r="B959" s="7" t="n">
        <v>46290.83333333334</v>
      </c>
      <c r="C959" s="2" t="inlineStr">
        <is>
          <t>進場</t>
        </is>
      </c>
      <c r="D959" s="2" t="n">
        <v>479</v>
      </c>
      <c r="E959" s="2" t="inlineStr">
        <is>
          <t>INJ_USDT_PERP</t>
        </is>
      </c>
      <c r="F959" s="2" t="inlineStr">
        <is>
          <t>做多</t>
        </is>
      </c>
      <c r="G959" s="20" t="n">
        <v>8.26</v>
      </c>
      <c r="H959" s="20" t="n">
        <v>8.5078</v>
      </c>
      <c r="I959" s="20" t="n">
        <v>7.847</v>
      </c>
      <c r="J959" s="20" t="n"/>
      <c r="K959" s="2" t="n"/>
      <c r="L959" s="5" t="n"/>
      <c r="M959" s="19">
        <f>資金模擬!$B$5*V958</f>
        <v/>
      </c>
      <c r="N959" s="2">
        <f>IF(Z958=1,"已停止",IF(T958&gt;=M959,"已下單","資金不足略過"))</f>
        <v/>
      </c>
      <c r="O959" s="19">
        <f>IF(N959="已下單",M959*資金模擬!$B$7,0)</f>
        <v/>
      </c>
      <c r="P959" s="4" t="n"/>
      <c r="Q959" s="13" t="n">
        <v>0</v>
      </c>
      <c r="R959" s="13">
        <f>R958+Q959</f>
        <v/>
      </c>
      <c r="S959" s="19">
        <f>S958+IF(N959="已下單",M959,0)</f>
        <v/>
      </c>
      <c r="T959" s="19">
        <f>R959-S959</f>
        <v/>
      </c>
      <c r="U959" s="2">
        <f>U958+IF(N959="已下單",1,0)</f>
        <v/>
      </c>
      <c r="V959" s="19">
        <f>IF(資金模擬!$B$9=2,MAX(R959,0),MAX(V958,FLOOR(MAX(R959,0),資金模擬!$B$6)))</f>
        <v/>
      </c>
      <c r="W959" s="13">
        <f>MAX(W958,R959)</f>
        <v/>
      </c>
      <c r="X959" s="4">
        <f>IF(W959&gt;0,R959/W959-1,-1)</f>
        <v/>
      </c>
      <c r="Y959" s="19">
        <f>IF(R959&gt;0,S959*資金模擬!$B$7/R959,0)</f>
        <v/>
      </c>
      <c r="Z959" s="2">
        <f>IF(OR(Z958=1,R959&lt;=資金模擬!$B$10),1,0)</f>
        <v/>
      </c>
    </row>
    <row r="960">
      <c r="A960" s="2" t="n">
        <v>958</v>
      </c>
      <c r="B960" s="7" t="n">
        <v>46290.875</v>
      </c>
      <c r="C960" s="2" t="inlineStr">
        <is>
          <t>進場</t>
        </is>
      </c>
      <c r="D960" s="2" t="n">
        <v>480</v>
      </c>
      <c r="E960" s="2" t="inlineStr">
        <is>
          <t>XPL_USDT_PERP</t>
        </is>
      </c>
      <c r="F960" s="2" t="inlineStr">
        <is>
          <t>做多</t>
        </is>
      </c>
      <c r="G960" s="20" t="n">
        <v>0.1142</v>
      </c>
      <c r="H960" s="20" t="n">
        <v>0.117626</v>
      </c>
      <c r="I960" s="20" t="n">
        <v>0.10849</v>
      </c>
      <c r="J960" s="20" t="n"/>
      <c r="K960" s="2" t="n"/>
      <c r="L960" s="5" t="n"/>
      <c r="M960" s="19">
        <f>資金模擬!$B$5*V959</f>
        <v/>
      </c>
      <c r="N960" s="2">
        <f>IF(Z959=1,"已停止",IF(T959&gt;=M960,"已下單","資金不足略過"))</f>
        <v/>
      </c>
      <c r="O960" s="19">
        <f>IF(N960="已下單",M960*資金模擬!$B$7,0)</f>
        <v/>
      </c>
      <c r="P960" s="4" t="n"/>
      <c r="Q960" s="13" t="n">
        <v>0</v>
      </c>
      <c r="R960" s="13">
        <f>R959+Q960</f>
        <v/>
      </c>
      <c r="S960" s="19">
        <f>S959+IF(N960="已下單",M960,0)</f>
        <v/>
      </c>
      <c r="T960" s="19">
        <f>R960-S960</f>
        <v/>
      </c>
      <c r="U960" s="2">
        <f>U959+IF(N960="已下單",1,0)</f>
        <v/>
      </c>
      <c r="V960" s="19">
        <f>IF(資金模擬!$B$9=2,MAX(R960,0),MAX(V959,FLOOR(MAX(R960,0),資金模擬!$B$6)))</f>
        <v/>
      </c>
      <c r="W960" s="13">
        <f>MAX(W959,R960)</f>
        <v/>
      </c>
      <c r="X960" s="4">
        <f>IF(W960&gt;0,R960/W960-1,-1)</f>
        <v/>
      </c>
      <c r="Y960" s="19">
        <f>IF(R960&gt;0,S960*資金模擬!$B$7/R960,0)</f>
        <v/>
      </c>
      <c r="Z960" s="2">
        <f>IF(OR(Z959=1,R960&lt;=資金模擬!$B$10),1,0)</f>
        <v/>
      </c>
    </row>
    <row r="961">
      <c r="A961" s="2" t="n">
        <v>959</v>
      </c>
      <c r="B961" s="7" t="n">
        <v>46290.91666666666</v>
      </c>
      <c r="C961" s="2" t="inlineStr">
        <is>
          <t>進場</t>
        </is>
      </c>
      <c r="D961" s="2" t="n">
        <v>481</v>
      </c>
      <c r="E961" s="2" t="inlineStr">
        <is>
          <t>RAY_USDT_PERP</t>
        </is>
      </c>
      <c r="F961" s="2" t="inlineStr">
        <is>
          <t>做空</t>
        </is>
      </c>
      <c r="G961" s="20" t="n">
        <v>2.056</v>
      </c>
      <c r="H961" s="20" t="n">
        <v>1.99432</v>
      </c>
      <c r="I961" s="20" t="n">
        <v>2.1588</v>
      </c>
      <c r="J961" s="20" t="n"/>
      <c r="K961" s="2" t="n"/>
      <c r="L961" s="5" t="n"/>
      <c r="M961" s="19">
        <f>資金模擬!$B$5*V960</f>
        <v/>
      </c>
      <c r="N961" s="2">
        <f>IF(Z960=1,"已停止",IF(T960&gt;=M961,"已下單","資金不足略過"))</f>
        <v/>
      </c>
      <c r="O961" s="19">
        <f>IF(N961="已下單",M961*資金模擬!$B$7,0)</f>
        <v/>
      </c>
      <c r="P961" s="4" t="n"/>
      <c r="Q961" s="13" t="n">
        <v>0</v>
      </c>
      <c r="R961" s="13">
        <f>R960+Q961</f>
        <v/>
      </c>
      <c r="S961" s="19">
        <f>S960+IF(N961="已下單",M961,0)</f>
        <v/>
      </c>
      <c r="T961" s="19">
        <f>R961-S961</f>
        <v/>
      </c>
      <c r="U961" s="2">
        <f>U960+IF(N961="已下單",1,0)</f>
        <v/>
      </c>
      <c r="V961" s="19">
        <f>IF(資金模擬!$B$9=2,MAX(R961,0),MAX(V960,FLOOR(MAX(R961,0),資金模擬!$B$6)))</f>
        <v/>
      </c>
      <c r="W961" s="13">
        <f>MAX(W960,R961)</f>
        <v/>
      </c>
      <c r="X961" s="4">
        <f>IF(W961&gt;0,R961/W961-1,-1)</f>
        <v/>
      </c>
      <c r="Y961" s="19">
        <f>IF(R961&gt;0,S961*資金模擬!$B$7/R961,0)</f>
        <v/>
      </c>
      <c r="Z961" s="2">
        <f>IF(OR(Z960=1,R961&lt;=資金模擬!$B$10),1,0)</f>
        <v/>
      </c>
    </row>
    <row r="962">
      <c r="A962" s="2" t="n">
        <v>960</v>
      </c>
      <c r="B962" s="7" t="n">
        <v>46290.95833333334</v>
      </c>
      <c r="C962" s="2" t="inlineStr">
        <is>
          <t>出場</t>
        </is>
      </c>
      <c r="D962" s="2" t="n">
        <v>480</v>
      </c>
      <c r="E962" s="2" t="inlineStr">
        <is>
          <t>XPL_USDT_PERP</t>
        </is>
      </c>
      <c r="F962" s="2" t="inlineStr">
        <is>
          <t>做多</t>
        </is>
      </c>
      <c r="G962" s="20" t="n">
        <v>0.1142</v>
      </c>
      <c r="H962" s="20" t="n">
        <v>0.117626</v>
      </c>
      <c r="I962" s="20" t="n">
        <v>0.10849</v>
      </c>
      <c r="J962" s="20" t="n">
        <v>0.10849</v>
      </c>
      <c r="K962" s="2" t="inlineStr">
        <is>
          <t>止損</t>
        </is>
      </c>
      <c r="L962" s="5">
        <f>交易明細!K481</f>
        <v/>
      </c>
      <c r="M962" s="19">
        <f>M960</f>
        <v/>
      </c>
      <c r="N962" s="2">
        <f>N960</f>
        <v/>
      </c>
      <c r="O962" s="19">
        <f>O960</f>
        <v/>
      </c>
      <c r="P962" s="4">
        <f>交易明細!L481</f>
        <v/>
      </c>
      <c r="Q962" s="13">
        <f>IF(N962="已下單",O962*P962,0)</f>
        <v/>
      </c>
      <c r="R962" s="13">
        <f>R961+Q962</f>
        <v/>
      </c>
      <c r="S962" s="19">
        <f>S961-IF(N962="已下單",M962,0)</f>
        <v/>
      </c>
      <c r="T962" s="19">
        <f>R962-S962</f>
        <v/>
      </c>
      <c r="U962" s="2">
        <f>U961-IF(N962="已下單",1,0)</f>
        <v/>
      </c>
      <c r="V962" s="19">
        <f>IF(資金模擬!$B$9=2,MAX(R962,0),MAX(V961,FLOOR(MAX(R962,0),資金模擬!$B$6)))</f>
        <v/>
      </c>
      <c r="W962" s="13">
        <f>MAX(W961,R962)</f>
        <v/>
      </c>
      <c r="X962" s="4">
        <f>IF(W962&gt;0,R962/W962-1,-1)</f>
        <v/>
      </c>
      <c r="Y962" s="19">
        <f>IF(R962&gt;0,S962*資金模擬!$B$7/R962,0)</f>
        <v/>
      </c>
      <c r="Z962" s="2">
        <f>IF(OR(Z961=1,R962&lt;=資金模擬!$B$10),1,0)</f>
        <v/>
      </c>
    </row>
    <row r="963">
      <c r="A963" s="2" t="n">
        <v>961</v>
      </c>
      <c r="B963" s="7" t="n">
        <v>46291</v>
      </c>
      <c r="C963" s="2" t="inlineStr">
        <is>
          <t>進場</t>
        </is>
      </c>
      <c r="D963" s="2" t="n">
        <v>482</v>
      </c>
      <c r="E963" s="2" t="inlineStr">
        <is>
          <t>ONDO_USDT_PERP</t>
        </is>
      </c>
      <c r="F963" s="2" t="inlineStr">
        <is>
          <t>做空</t>
        </is>
      </c>
      <c r="G963" s="20" t="n">
        <v>0.5331</v>
      </c>
      <c r="H963" s="20" t="n">
        <v>0.517107</v>
      </c>
      <c r="I963" s="20" t="n">
        <v>0.559755</v>
      </c>
      <c r="J963" s="20" t="n"/>
      <c r="K963" s="2" t="n"/>
      <c r="L963" s="5" t="n"/>
      <c r="M963" s="19">
        <f>資金模擬!$B$5*V962</f>
        <v/>
      </c>
      <c r="N963" s="2">
        <f>IF(Z962=1,"已停止",IF(T962&gt;=M963,"已下單","資金不足略過"))</f>
        <v/>
      </c>
      <c r="O963" s="19">
        <f>IF(N963="已下單",M963*資金模擬!$B$7,0)</f>
        <v/>
      </c>
      <c r="P963" s="4" t="n"/>
      <c r="Q963" s="13" t="n">
        <v>0</v>
      </c>
      <c r="R963" s="13">
        <f>R962+Q963</f>
        <v/>
      </c>
      <c r="S963" s="19">
        <f>S962+IF(N963="已下單",M963,0)</f>
        <v/>
      </c>
      <c r="T963" s="19">
        <f>R963-S963</f>
        <v/>
      </c>
      <c r="U963" s="2">
        <f>U962+IF(N963="已下單",1,0)</f>
        <v/>
      </c>
      <c r="V963" s="19">
        <f>IF(資金模擬!$B$9=2,MAX(R963,0),MAX(V962,FLOOR(MAX(R963,0),資金模擬!$B$6)))</f>
        <v/>
      </c>
      <c r="W963" s="13">
        <f>MAX(W962,R963)</f>
        <v/>
      </c>
      <c r="X963" s="4">
        <f>IF(W963&gt;0,R963/W963-1,-1)</f>
        <v/>
      </c>
      <c r="Y963" s="19">
        <f>IF(R963&gt;0,S963*資金模擬!$B$7/R963,0)</f>
        <v/>
      </c>
      <c r="Z963" s="2">
        <f>IF(OR(Z962=1,R963&lt;=資金模擬!$B$10),1,0)</f>
        <v/>
      </c>
    </row>
    <row r="964">
      <c r="A964" s="2" t="n">
        <v>962</v>
      </c>
      <c r="B964" s="7" t="n">
        <v>46291.04166666666</v>
      </c>
      <c r="C964" s="2" t="inlineStr">
        <is>
          <t>進場</t>
        </is>
      </c>
      <c r="D964" s="2" t="n">
        <v>483</v>
      </c>
      <c r="E964" s="2" t="inlineStr">
        <is>
          <t>AKE_USDT_PERP</t>
        </is>
      </c>
      <c r="F964" s="2" t="inlineStr">
        <is>
          <t>做空</t>
        </is>
      </c>
      <c r="G964" s="20" t="n">
        <v>0.0360825</v>
      </c>
      <c r="H964" s="20" t="n">
        <v>0.035000025</v>
      </c>
      <c r="I964" s="20" t="n">
        <v>0.03788662500000001</v>
      </c>
      <c r="J964" s="20" t="n"/>
      <c r="K964" s="2" t="n"/>
      <c r="L964" s="5" t="n"/>
      <c r="M964" s="19">
        <f>資金模擬!$B$5*V963</f>
        <v/>
      </c>
      <c r="N964" s="2">
        <f>IF(Z963=1,"已停止",IF(T963&gt;=M964,"已下單","資金不足略過"))</f>
        <v/>
      </c>
      <c r="O964" s="19">
        <f>IF(N964="已下單",M964*資金模擬!$B$7,0)</f>
        <v/>
      </c>
      <c r="P964" s="4" t="n"/>
      <c r="Q964" s="13" t="n">
        <v>0</v>
      </c>
      <c r="R964" s="13">
        <f>R963+Q964</f>
        <v/>
      </c>
      <c r="S964" s="19">
        <f>S963+IF(N964="已下單",M964,0)</f>
        <v/>
      </c>
      <c r="T964" s="19">
        <f>R964-S964</f>
        <v/>
      </c>
      <c r="U964" s="2">
        <f>U963+IF(N964="已下單",1,0)</f>
        <v/>
      </c>
      <c r="V964" s="19">
        <f>IF(資金模擬!$B$9=2,MAX(R964,0),MAX(V963,FLOOR(MAX(R964,0),資金模擬!$B$6)))</f>
        <v/>
      </c>
      <c r="W964" s="13">
        <f>MAX(W963,R964)</f>
        <v/>
      </c>
      <c r="X964" s="4">
        <f>IF(W964&gt;0,R964/W964-1,-1)</f>
        <v/>
      </c>
      <c r="Y964" s="19">
        <f>IF(R964&gt;0,S964*資金模擬!$B$7/R964,0)</f>
        <v/>
      </c>
      <c r="Z964" s="2">
        <f>IF(OR(Z963=1,R964&lt;=資金模擬!$B$10),1,0)</f>
        <v/>
      </c>
    </row>
    <row r="965">
      <c r="A965" s="2" t="n">
        <v>963</v>
      </c>
      <c r="B965" s="7" t="n">
        <v>46291.04166666666</v>
      </c>
      <c r="C965" s="2" t="inlineStr">
        <is>
          <t>進場</t>
        </is>
      </c>
      <c r="D965" s="2" t="n">
        <v>484</v>
      </c>
      <c r="E965" s="2" t="inlineStr">
        <is>
          <t>QNT_USDT_PERP</t>
        </is>
      </c>
      <c r="F965" s="2" t="inlineStr">
        <is>
          <t>做多</t>
        </is>
      </c>
      <c r="G965" s="20" t="n">
        <v>97.95999999999999</v>
      </c>
      <c r="H965" s="20" t="n">
        <v>100.8988</v>
      </c>
      <c r="I965" s="20" t="n">
        <v>93.06199999999998</v>
      </c>
      <c r="J965" s="20" t="n"/>
      <c r="K965" s="2" t="n"/>
      <c r="L965" s="5" t="n"/>
      <c r="M965" s="19">
        <f>資金模擬!$B$5*V964</f>
        <v/>
      </c>
      <c r="N965" s="2">
        <f>IF(Z964=1,"已停止",IF(T964&gt;=M965,"已下單","資金不足略過"))</f>
        <v/>
      </c>
      <c r="O965" s="19">
        <f>IF(N965="已下單",M965*資金模擬!$B$7,0)</f>
        <v/>
      </c>
      <c r="P965" s="4" t="n"/>
      <c r="Q965" s="13" t="n">
        <v>0</v>
      </c>
      <c r="R965" s="13">
        <f>R964+Q965</f>
        <v/>
      </c>
      <c r="S965" s="19">
        <f>S964+IF(N965="已下單",M965,0)</f>
        <v/>
      </c>
      <c r="T965" s="19">
        <f>R965-S965</f>
        <v/>
      </c>
      <c r="U965" s="2">
        <f>U964+IF(N965="已下單",1,0)</f>
        <v/>
      </c>
      <c r="V965" s="19">
        <f>IF(資金模擬!$B$9=2,MAX(R965,0),MAX(V964,FLOOR(MAX(R965,0),資金模擬!$B$6)))</f>
        <v/>
      </c>
      <c r="W965" s="13">
        <f>MAX(W964,R965)</f>
        <v/>
      </c>
      <c r="X965" s="4">
        <f>IF(W965&gt;0,R965/W965-1,-1)</f>
        <v/>
      </c>
      <c r="Y965" s="19">
        <f>IF(R965&gt;0,S965*資金模擬!$B$7/R965,0)</f>
        <v/>
      </c>
      <c r="Z965" s="2">
        <f>IF(OR(Z964=1,R965&lt;=資金模擬!$B$10),1,0)</f>
        <v/>
      </c>
    </row>
    <row r="966">
      <c r="A966" s="2" t="n">
        <v>964</v>
      </c>
      <c r="B966" s="7" t="n">
        <v>46291.08333333334</v>
      </c>
      <c r="C966" s="2" t="inlineStr">
        <is>
          <t>出場</t>
        </is>
      </c>
      <c r="D966" s="2" t="n">
        <v>483</v>
      </c>
      <c r="E966" s="2" t="inlineStr">
        <is>
          <t>AKE_USDT_PERP</t>
        </is>
      </c>
      <c r="F966" s="2" t="inlineStr">
        <is>
          <t>做空</t>
        </is>
      </c>
      <c r="G966" s="20" t="n">
        <v>0.0360825</v>
      </c>
      <c r="H966" s="20" t="n">
        <v>0.035000025</v>
      </c>
      <c r="I966" s="20" t="n">
        <v>0.03788662500000001</v>
      </c>
      <c r="J966" s="20" t="n">
        <v>0.035000025</v>
      </c>
      <c r="K966" s="2" t="inlineStr">
        <is>
          <t>止盈</t>
        </is>
      </c>
      <c r="L966" s="5">
        <f>交易明細!K484</f>
        <v/>
      </c>
      <c r="M966" s="19">
        <f>M964</f>
        <v/>
      </c>
      <c r="N966" s="2">
        <f>N964</f>
        <v/>
      </c>
      <c r="O966" s="19">
        <f>O964</f>
        <v/>
      </c>
      <c r="P966" s="4">
        <f>交易明細!L484</f>
        <v/>
      </c>
      <c r="Q966" s="13">
        <f>IF(N966="已下單",O966*P966,0)</f>
        <v/>
      </c>
      <c r="R966" s="13">
        <f>R965+Q966</f>
        <v/>
      </c>
      <c r="S966" s="19">
        <f>S965-IF(N966="已下單",M966,0)</f>
        <v/>
      </c>
      <c r="T966" s="19">
        <f>R966-S966</f>
        <v/>
      </c>
      <c r="U966" s="2">
        <f>U965-IF(N966="已下單",1,0)</f>
        <v/>
      </c>
      <c r="V966" s="19">
        <f>IF(資金模擬!$B$9=2,MAX(R966,0),MAX(V965,FLOOR(MAX(R966,0),資金模擬!$B$6)))</f>
        <v/>
      </c>
      <c r="W966" s="13">
        <f>MAX(W965,R966)</f>
        <v/>
      </c>
      <c r="X966" s="4">
        <f>IF(W966&gt;0,R966/W966-1,-1)</f>
        <v/>
      </c>
      <c r="Y966" s="19">
        <f>IF(R966&gt;0,S966*資金模擬!$B$7/R966,0)</f>
        <v/>
      </c>
      <c r="Z966" s="2">
        <f>IF(OR(Z965=1,R966&lt;=資金模擬!$B$10),1,0)</f>
        <v/>
      </c>
    </row>
    <row r="967">
      <c r="A967" s="2" t="n">
        <v>965</v>
      </c>
      <c r="B967" s="7" t="n">
        <v>46291.125</v>
      </c>
      <c r="C967" s="2" t="inlineStr">
        <is>
          <t>進場</t>
        </is>
      </c>
      <c r="D967" s="2" t="n">
        <v>485</v>
      </c>
      <c r="E967" s="2" t="inlineStr">
        <is>
          <t>PONS_USDT_PERP</t>
        </is>
      </c>
      <c r="F967" s="2" t="inlineStr">
        <is>
          <t>做多</t>
        </is>
      </c>
      <c r="G967" s="20" t="n">
        <v>0.6466</v>
      </c>
      <c r="H967" s="20" t="n">
        <v>0.665998</v>
      </c>
      <c r="I967" s="20" t="n">
        <v>0.6142699999999999</v>
      </c>
      <c r="J967" s="20" t="n"/>
      <c r="K967" s="2" t="n"/>
      <c r="L967" s="5" t="n"/>
      <c r="M967" s="19">
        <f>資金模擬!$B$5*V966</f>
        <v/>
      </c>
      <c r="N967" s="2">
        <f>IF(Z966=1,"已停止",IF(T966&gt;=M967,"已下單","資金不足略過"))</f>
        <v/>
      </c>
      <c r="O967" s="19">
        <f>IF(N967="已下單",M967*資金模擬!$B$7,0)</f>
        <v/>
      </c>
      <c r="P967" s="4" t="n"/>
      <c r="Q967" s="13" t="n">
        <v>0</v>
      </c>
      <c r="R967" s="13">
        <f>R966+Q967</f>
        <v/>
      </c>
      <c r="S967" s="19">
        <f>S966+IF(N967="已下單",M967,0)</f>
        <v/>
      </c>
      <c r="T967" s="19">
        <f>R967-S967</f>
        <v/>
      </c>
      <c r="U967" s="2">
        <f>U966+IF(N967="已下單",1,0)</f>
        <v/>
      </c>
      <c r="V967" s="19">
        <f>IF(資金模擬!$B$9=2,MAX(R967,0),MAX(V966,FLOOR(MAX(R967,0),資金模擬!$B$6)))</f>
        <v/>
      </c>
      <c r="W967" s="13">
        <f>MAX(W966,R967)</f>
        <v/>
      </c>
      <c r="X967" s="4">
        <f>IF(W967&gt;0,R967/W967-1,-1)</f>
        <v/>
      </c>
      <c r="Y967" s="19">
        <f>IF(R967&gt;0,S967*資金模擬!$B$7/R967,0)</f>
        <v/>
      </c>
      <c r="Z967" s="2">
        <f>IF(OR(Z966=1,R967&lt;=資金模擬!$B$10),1,0)</f>
        <v/>
      </c>
    </row>
    <row r="968">
      <c r="A968" s="2" t="n">
        <v>966</v>
      </c>
      <c r="B968" s="7" t="n">
        <v>46291.125</v>
      </c>
      <c r="C968" s="2" t="inlineStr">
        <is>
          <t>進場</t>
        </is>
      </c>
      <c r="D968" s="2" t="n">
        <v>486</v>
      </c>
      <c r="E968" s="2" t="inlineStr">
        <is>
          <t>XPL_USDT_PERP</t>
        </is>
      </c>
      <c r="F968" s="2" t="inlineStr">
        <is>
          <t>做多</t>
        </is>
      </c>
      <c r="G968" s="20" t="n">
        <v>0.1141</v>
      </c>
      <c r="H968" s="20" t="n">
        <v>0.117523</v>
      </c>
      <c r="I968" s="20" t="n">
        <v>0.108395</v>
      </c>
      <c r="J968" s="20" t="n"/>
      <c r="K968" s="2" t="n"/>
      <c r="L968" s="5" t="n"/>
      <c r="M968" s="19">
        <f>資金模擬!$B$5*V967</f>
        <v/>
      </c>
      <c r="N968" s="2">
        <f>IF(Z967=1,"已停止",IF(T967&gt;=M968,"已下單","資金不足略過"))</f>
        <v/>
      </c>
      <c r="O968" s="19">
        <f>IF(N968="已下單",M968*資金模擬!$B$7,0)</f>
        <v/>
      </c>
      <c r="P968" s="4" t="n"/>
      <c r="Q968" s="13" t="n">
        <v>0</v>
      </c>
      <c r="R968" s="13">
        <f>R967+Q968</f>
        <v/>
      </c>
      <c r="S968" s="19">
        <f>S967+IF(N968="已下單",M968,0)</f>
        <v/>
      </c>
      <c r="T968" s="19">
        <f>R968-S968</f>
        <v/>
      </c>
      <c r="U968" s="2">
        <f>U967+IF(N968="已下單",1,0)</f>
        <v/>
      </c>
      <c r="V968" s="19">
        <f>IF(資金模擬!$B$9=2,MAX(R968,0),MAX(V967,FLOOR(MAX(R968,0),資金模擬!$B$6)))</f>
        <v/>
      </c>
      <c r="W968" s="13">
        <f>MAX(W967,R968)</f>
        <v/>
      </c>
      <c r="X968" s="4">
        <f>IF(W968&gt;0,R968/W968-1,-1)</f>
        <v/>
      </c>
      <c r="Y968" s="19">
        <f>IF(R968&gt;0,S968*資金模擬!$B$7/R968,0)</f>
        <v/>
      </c>
      <c r="Z968" s="2">
        <f>IF(OR(Z967=1,R968&lt;=資金模擬!$B$10),1,0)</f>
        <v/>
      </c>
    </row>
    <row r="969">
      <c r="A969" s="2" t="n">
        <v>967</v>
      </c>
      <c r="B969" s="7" t="n">
        <v>46291.25</v>
      </c>
      <c r="C969" s="2" t="inlineStr">
        <is>
          <t>出場</t>
        </is>
      </c>
      <c r="D969" s="2" t="n">
        <v>479</v>
      </c>
      <c r="E969" s="2" t="inlineStr">
        <is>
          <t>INJ_USDT_PERP</t>
        </is>
      </c>
      <c r="F969" s="2" t="inlineStr">
        <is>
          <t>做多</t>
        </is>
      </c>
      <c r="G969" s="20" t="n">
        <v>8.26</v>
      </c>
      <c r="H969" s="20" t="n">
        <v>8.5078</v>
      </c>
      <c r="I969" s="20" t="n">
        <v>7.847</v>
      </c>
      <c r="J969" s="20" t="n">
        <v>7.847</v>
      </c>
      <c r="K969" s="2" t="inlineStr">
        <is>
          <t>止損</t>
        </is>
      </c>
      <c r="L969" s="5">
        <f>交易明細!K480</f>
        <v/>
      </c>
      <c r="M969" s="19">
        <f>M959</f>
        <v/>
      </c>
      <c r="N969" s="2">
        <f>N959</f>
        <v/>
      </c>
      <c r="O969" s="19">
        <f>O959</f>
        <v/>
      </c>
      <c r="P969" s="4">
        <f>交易明細!L480</f>
        <v/>
      </c>
      <c r="Q969" s="13">
        <f>IF(N969="已下單",O969*P969,0)</f>
        <v/>
      </c>
      <c r="R969" s="13">
        <f>R968+Q969</f>
        <v/>
      </c>
      <c r="S969" s="19">
        <f>S968-IF(N969="已下單",M969,0)</f>
        <v/>
      </c>
      <c r="T969" s="19">
        <f>R969-S969</f>
        <v/>
      </c>
      <c r="U969" s="2">
        <f>U968-IF(N969="已下單",1,0)</f>
        <v/>
      </c>
      <c r="V969" s="19">
        <f>IF(資金模擬!$B$9=2,MAX(R969,0),MAX(V968,FLOOR(MAX(R969,0),資金模擬!$B$6)))</f>
        <v/>
      </c>
      <c r="W969" s="13">
        <f>MAX(W968,R969)</f>
        <v/>
      </c>
      <c r="X969" s="4">
        <f>IF(W969&gt;0,R969/W969-1,-1)</f>
        <v/>
      </c>
      <c r="Y969" s="19">
        <f>IF(R969&gt;0,S969*資金模擬!$B$7/R969,0)</f>
        <v/>
      </c>
      <c r="Z969" s="2">
        <f>IF(OR(Z968=1,R969&lt;=資金模擬!$B$10),1,0)</f>
        <v/>
      </c>
    </row>
    <row r="970">
      <c r="A970" s="2" t="n">
        <v>968</v>
      </c>
      <c r="B970" s="7" t="n">
        <v>46291.25</v>
      </c>
      <c r="C970" s="2" t="inlineStr">
        <is>
          <t>進場</t>
        </is>
      </c>
      <c r="D970" s="2" t="n">
        <v>487</v>
      </c>
      <c r="E970" s="2" t="inlineStr">
        <is>
          <t>BR_USDT_PERP</t>
        </is>
      </c>
      <c r="F970" s="2" t="inlineStr">
        <is>
          <t>做多</t>
        </is>
      </c>
      <c r="G970" s="20" t="n">
        <v>0.93702</v>
      </c>
      <c r="H970" s="20" t="n">
        <v>0.9651305999999999</v>
      </c>
      <c r="I970" s="20" t="n">
        <v>0.8901689999999999</v>
      </c>
      <c r="J970" s="20" t="n"/>
      <c r="K970" s="2" t="n"/>
      <c r="L970" s="5" t="n"/>
      <c r="M970" s="19">
        <f>資金模擬!$B$5*V969</f>
        <v/>
      </c>
      <c r="N970" s="2">
        <f>IF(Z969=1,"已停止",IF(T969&gt;=M970,"已下單","資金不足略過"))</f>
        <v/>
      </c>
      <c r="O970" s="19">
        <f>IF(N970="已下單",M970*資金模擬!$B$7,0)</f>
        <v/>
      </c>
      <c r="P970" s="4" t="n"/>
      <c r="Q970" s="13" t="n">
        <v>0</v>
      </c>
      <c r="R970" s="13">
        <f>R969+Q970</f>
        <v/>
      </c>
      <c r="S970" s="19">
        <f>S969+IF(N970="已下單",M970,0)</f>
        <v/>
      </c>
      <c r="T970" s="19">
        <f>R970-S970</f>
        <v/>
      </c>
      <c r="U970" s="2">
        <f>U969+IF(N970="已下單",1,0)</f>
        <v/>
      </c>
      <c r="V970" s="19">
        <f>IF(資金模擬!$B$9=2,MAX(R970,0),MAX(V969,FLOOR(MAX(R970,0),資金模擬!$B$6)))</f>
        <v/>
      </c>
      <c r="W970" s="13">
        <f>MAX(W969,R970)</f>
        <v/>
      </c>
      <c r="X970" s="4">
        <f>IF(W970&gt;0,R970/W970-1,-1)</f>
        <v/>
      </c>
      <c r="Y970" s="19">
        <f>IF(R970&gt;0,S970*資金模擬!$B$7/R970,0)</f>
        <v/>
      </c>
      <c r="Z970" s="2">
        <f>IF(OR(Z969=1,R970&lt;=資金模擬!$B$10),1,0)</f>
        <v/>
      </c>
    </row>
    <row r="971">
      <c r="A971" s="2" t="n">
        <v>969</v>
      </c>
      <c r="B971" s="7" t="n">
        <v>46291.29166666666</v>
      </c>
      <c r="C971" s="2" t="inlineStr">
        <is>
          <t>進場</t>
        </is>
      </c>
      <c r="D971" s="2" t="n">
        <v>488</v>
      </c>
      <c r="E971" s="2" t="inlineStr">
        <is>
          <t>ARB_USDT_PERP</t>
        </is>
      </c>
      <c r="F971" s="2" t="inlineStr">
        <is>
          <t>做多</t>
        </is>
      </c>
      <c r="G971" s="20" t="n">
        <v>0.2287</v>
      </c>
      <c r="H971" s="20" t="n">
        <v>0.235561</v>
      </c>
      <c r="I971" s="20" t="n">
        <v>0.217265</v>
      </c>
      <c r="J971" s="20" t="n"/>
      <c r="K971" s="2" t="n"/>
      <c r="L971" s="5" t="n"/>
      <c r="M971" s="19">
        <f>資金模擬!$B$5*V970</f>
        <v/>
      </c>
      <c r="N971" s="2">
        <f>IF(Z970=1,"已停止",IF(T970&gt;=M971,"已下單","資金不足略過"))</f>
        <v/>
      </c>
      <c r="O971" s="19">
        <f>IF(N971="已下單",M971*資金模擬!$B$7,0)</f>
        <v/>
      </c>
      <c r="P971" s="4" t="n"/>
      <c r="Q971" s="13" t="n">
        <v>0</v>
      </c>
      <c r="R971" s="13">
        <f>R970+Q971</f>
        <v/>
      </c>
      <c r="S971" s="19">
        <f>S970+IF(N971="已下單",M971,0)</f>
        <v/>
      </c>
      <c r="T971" s="19">
        <f>R971-S971</f>
        <v/>
      </c>
      <c r="U971" s="2">
        <f>U970+IF(N971="已下單",1,0)</f>
        <v/>
      </c>
      <c r="V971" s="19">
        <f>IF(資金模擬!$B$9=2,MAX(R971,0),MAX(V970,FLOOR(MAX(R971,0),資金模擬!$B$6)))</f>
        <v/>
      </c>
      <c r="W971" s="13">
        <f>MAX(W970,R971)</f>
        <v/>
      </c>
      <c r="X971" s="4">
        <f>IF(W971&gt;0,R971/W971-1,-1)</f>
        <v/>
      </c>
      <c r="Y971" s="19">
        <f>IF(R971&gt;0,S971*資金模擬!$B$7/R971,0)</f>
        <v/>
      </c>
      <c r="Z971" s="2">
        <f>IF(OR(Z970=1,R971&lt;=資金模擬!$B$10),1,0)</f>
        <v/>
      </c>
    </row>
    <row r="972">
      <c r="A972" s="2" t="n">
        <v>970</v>
      </c>
      <c r="B972" s="7" t="n">
        <v>46291.29166666666</v>
      </c>
      <c r="C972" s="2" t="inlineStr">
        <is>
          <t>進場</t>
        </is>
      </c>
      <c r="D972" s="2" t="n">
        <v>489</v>
      </c>
      <c r="E972" s="2" t="inlineStr">
        <is>
          <t>PENGU_USDT_PERP</t>
        </is>
      </c>
      <c r="F972" s="2" t="inlineStr">
        <is>
          <t>做多</t>
        </is>
      </c>
      <c r="G972" s="20" t="n">
        <v>0.010271</v>
      </c>
      <c r="H972" s="20" t="n">
        <v>0.01057913</v>
      </c>
      <c r="I972" s="20" t="n">
        <v>0.009757450000000001</v>
      </c>
      <c r="J972" s="20" t="n"/>
      <c r="K972" s="2" t="n"/>
      <c r="L972" s="5" t="n"/>
      <c r="M972" s="19">
        <f>資金模擬!$B$5*V971</f>
        <v/>
      </c>
      <c r="N972" s="2">
        <f>IF(Z971=1,"已停止",IF(T971&gt;=M972,"已下單","資金不足略過"))</f>
        <v/>
      </c>
      <c r="O972" s="19">
        <f>IF(N972="已下單",M972*資金模擬!$B$7,0)</f>
        <v/>
      </c>
      <c r="P972" s="4" t="n"/>
      <c r="Q972" s="13" t="n">
        <v>0</v>
      </c>
      <c r="R972" s="13">
        <f>R971+Q972</f>
        <v/>
      </c>
      <c r="S972" s="19">
        <f>S971+IF(N972="已下單",M972,0)</f>
        <v/>
      </c>
      <c r="T972" s="19">
        <f>R972-S972</f>
        <v/>
      </c>
      <c r="U972" s="2">
        <f>U971+IF(N972="已下單",1,0)</f>
        <v/>
      </c>
      <c r="V972" s="19">
        <f>IF(資金模擬!$B$9=2,MAX(R972,0),MAX(V971,FLOOR(MAX(R972,0),資金模擬!$B$6)))</f>
        <v/>
      </c>
      <c r="W972" s="13">
        <f>MAX(W971,R972)</f>
        <v/>
      </c>
      <c r="X972" s="4">
        <f>IF(W972&gt;0,R972/W972-1,-1)</f>
        <v/>
      </c>
      <c r="Y972" s="19">
        <f>IF(R972&gt;0,S972*資金模擬!$B$7/R972,0)</f>
        <v/>
      </c>
      <c r="Z972" s="2">
        <f>IF(OR(Z971=1,R972&lt;=資金模擬!$B$10),1,0)</f>
        <v/>
      </c>
    </row>
    <row r="973">
      <c r="A973" s="2" t="n">
        <v>971</v>
      </c>
      <c r="B973" s="7" t="n">
        <v>46291.29166666666</v>
      </c>
      <c r="C973" s="2" t="inlineStr">
        <is>
          <t>進場</t>
        </is>
      </c>
      <c r="D973" s="2" t="n">
        <v>490</v>
      </c>
      <c r="E973" s="2" t="inlineStr">
        <is>
          <t>PUMP_USDT_PERP</t>
        </is>
      </c>
      <c r="F973" s="2" t="inlineStr">
        <is>
          <t>做多</t>
        </is>
      </c>
      <c r="G973" s="20" t="n">
        <v>0.004187</v>
      </c>
      <c r="H973" s="20" t="n">
        <v>0.00431261</v>
      </c>
      <c r="I973" s="20" t="n">
        <v>0.003977649999999999</v>
      </c>
      <c r="J973" s="20" t="n"/>
      <c r="K973" s="2" t="n"/>
      <c r="L973" s="5" t="n"/>
      <c r="M973" s="19">
        <f>資金模擬!$B$5*V972</f>
        <v/>
      </c>
      <c r="N973" s="2">
        <f>IF(Z972=1,"已停止",IF(T972&gt;=M973,"已下單","資金不足略過"))</f>
        <v/>
      </c>
      <c r="O973" s="19">
        <f>IF(N973="已下單",M973*資金模擬!$B$7,0)</f>
        <v/>
      </c>
      <c r="P973" s="4" t="n"/>
      <c r="Q973" s="13" t="n">
        <v>0</v>
      </c>
      <c r="R973" s="13">
        <f>R972+Q973</f>
        <v/>
      </c>
      <c r="S973" s="19">
        <f>S972+IF(N973="已下單",M973,0)</f>
        <v/>
      </c>
      <c r="T973" s="19">
        <f>R973-S973</f>
        <v/>
      </c>
      <c r="U973" s="2">
        <f>U972+IF(N973="已下單",1,0)</f>
        <v/>
      </c>
      <c r="V973" s="19">
        <f>IF(資金模擬!$B$9=2,MAX(R973,0),MAX(V972,FLOOR(MAX(R973,0),資金模擬!$B$6)))</f>
        <v/>
      </c>
      <c r="W973" s="13">
        <f>MAX(W972,R973)</f>
        <v/>
      </c>
      <c r="X973" s="4">
        <f>IF(W973&gt;0,R973/W973-1,-1)</f>
        <v/>
      </c>
      <c r="Y973" s="19">
        <f>IF(R973&gt;0,S973*資金模擬!$B$7/R973,0)</f>
        <v/>
      </c>
      <c r="Z973" s="2">
        <f>IF(OR(Z972=1,R973&lt;=資金模擬!$B$10),1,0)</f>
        <v/>
      </c>
    </row>
    <row r="974">
      <c r="A974" s="2" t="n">
        <v>972</v>
      </c>
      <c r="B974" s="7" t="n">
        <v>46291.375</v>
      </c>
      <c r="C974" s="2" t="inlineStr">
        <is>
          <t>出場</t>
        </is>
      </c>
      <c r="D974" s="2" t="n">
        <v>485</v>
      </c>
      <c r="E974" s="2" t="inlineStr">
        <is>
          <t>PONS_USDT_PERP</t>
        </is>
      </c>
      <c r="F974" s="2" t="inlineStr">
        <is>
          <t>做多</t>
        </is>
      </c>
      <c r="G974" s="20" t="n">
        <v>0.6466</v>
      </c>
      <c r="H974" s="20" t="n">
        <v>0.665998</v>
      </c>
      <c r="I974" s="20" t="n">
        <v>0.6142699999999999</v>
      </c>
      <c r="J974" s="20" t="n">
        <v>0.665998</v>
      </c>
      <c r="K974" s="2" t="inlineStr">
        <is>
          <t>止盈</t>
        </is>
      </c>
      <c r="L974" s="5">
        <f>交易明細!K486</f>
        <v/>
      </c>
      <c r="M974" s="19">
        <f>M967</f>
        <v/>
      </c>
      <c r="N974" s="2">
        <f>N967</f>
        <v/>
      </c>
      <c r="O974" s="19">
        <f>O967</f>
        <v/>
      </c>
      <c r="P974" s="4">
        <f>交易明細!L486</f>
        <v/>
      </c>
      <c r="Q974" s="13">
        <f>IF(N974="已下單",O974*P974,0)</f>
        <v/>
      </c>
      <c r="R974" s="13">
        <f>R973+Q974</f>
        <v/>
      </c>
      <c r="S974" s="19">
        <f>S973-IF(N974="已下單",M974,0)</f>
        <v/>
      </c>
      <c r="T974" s="19">
        <f>R974-S974</f>
        <v/>
      </c>
      <c r="U974" s="2">
        <f>U973-IF(N974="已下單",1,0)</f>
        <v/>
      </c>
      <c r="V974" s="19">
        <f>IF(資金模擬!$B$9=2,MAX(R974,0),MAX(V973,FLOOR(MAX(R974,0),資金模擬!$B$6)))</f>
        <v/>
      </c>
      <c r="W974" s="13">
        <f>MAX(W973,R974)</f>
        <v/>
      </c>
      <c r="X974" s="4">
        <f>IF(W974&gt;0,R974/W974-1,-1)</f>
        <v/>
      </c>
      <c r="Y974" s="19">
        <f>IF(R974&gt;0,S974*資金模擬!$B$7/R974,0)</f>
        <v/>
      </c>
      <c r="Z974" s="2">
        <f>IF(OR(Z973=1,R974&lt;=資金模擬!$B$10),1,0)</f>
        <v/>
      </c>
    </row>
    <row r="975">
      <c r="A975" s="2" t="n">
        <v>973</v>
      </c>
      <c r="B975" s="7" t="n">
        <v>46291.375</v>
      </c>
      <c r="C975" s="2" t="inlineStr">
        <is>
          <t>出場</t>
        </is>
      </c>
      <c r="D975" s="2" t="n">
        <v>487</v>
      </c>
      <c r="E975" s="2" t="inlineStr">
        <is>
          <t>BR_USDT_PERP</t>
        </is>
      </c>
      <c r="F975" s="2" t="inlineStr">
        <is>
          <t>做多</t>
        </is>
      </c>
      <c r="G975" s="20" t="n">
        <v>0.93702</v>
      </c>
      <c r="H975" s="20" t="n">
        <v>0.9651305999999999</v>
      </c>
      <c r="I975" s="20" t="n">
        <v>0.8901689999999999</v>
      </c>
      <c r="J975" s="20" t="n">
        <v>0.9651305999999999</v>
      </c>
      <c r="K975" s="2" t="inlineStr">
        <is>
          <t>止盈</t>
        </is>
      </c>
      <c r="L975" s="5">
        <f>交易明細!K488</f>
        <v/>
      </c>
      <c r="M975" s="19">
        <f>M970</f>
        <v/>
      </c>
      <c r="N975" s="2">
        <f>N970</f>
        <v/>
      </c>
      <c r="O975" s="19">
        <f>O970</f>
        <v/>
      </c>
      <c r="P975" s="4">
        <f>交易明細!L488</f>
        <v/>
      </c>
      <c r="Q975" s="13">
        <f>IF(N975="已下單",O975*P975,0)</f>
        <v/>
      </c>
      <c r="R975" s="13">
        <f>R974+Q975</f>
        <v/>
      </c>
      <c r="S975" s="19">
        <f>S974-IF(N975="已下單",M975,0)</f>
        <v/>
      </c>
      <c r="T975" s="19">
        <f>R975-S975</f>
        <v/>
      </c>
      <c r="U975" s="2">
        <f>U974-IF(N975="已下單",1,0)</f>
        <v/>
      </c>
      <c r="V975" s="19">
        <f>IF(資金模擬!$B$9=2,MAX(R975,0),MAX(V974,FLOOR(MAX(R975,0),資金模擬!$B$6)))</f>
        <v/>
      </c>
      <c r="W975" s="13">
        <f>MAX(W974,R975)</f>
        <v/>
      </c>
      <c r="X975" s="4">
        <f>IF(W975&gt;0,R975/W975-1,-1)</f>
        <v/>
      </c>
      <c r="Y975" s="19">
        <f>IF(R975&gt;0,S975*資金模擬!$B$7/R975,0)</f>
        <v/>
      </c>
      <c r="Z975" s="2">
        <f>IF(OR(Z974=1,R975&lt;=資金模擬!$B$10),1,0)</f>
        <v/>
      </c>
    </row>
    <row r="976">
      <c r="A976" s="2" t="n">
        <v>974</v>
      </c>
      <c r="B976" s="7" t="n">
        <v>46291.41666666666</v>
      </c>
      <c r="C976" s="2" t="inlineStr">
        <is>
          <t>進場</t>
        </is>
      </c>
      <c r="D976" s="2" t="n">
        <v>491</v>
      </c>
      <c r="E976" s="2" t="inlineStr">
        <is>
          <t>AERO_USDT_PERP</t>
        </is>
      </c>
      <c r="F976" s="2" t="inlineStr">
        <is>
          <t>做多</t>
        </is>
      </c>
      <c r="G976" s="20" t="n">
        <v>0.8534</v>
      </c>
      <c r="H976" s="20" t="n">
        <v>0.8790020000000001</v>
      </c>
      <c r="I976" s="20" t="n">
        <v>0.8107300000000001</v>
      </c>
      <c r="J976" s="20" t="n"/>
      <c r="K976" s="2" t="n"/>
      <c r="L976" s="5" t="n"/>
      <c r="M976" s="19">
        <f>資金模擬!$B$5*V975</f>
        <v/>
      </c>
      <c r="N976" s="2">
        <f>IF(Z975=1,"已停止",IF(T975&gt;=M976,"已下單","資金不足略過"))</f>
        <v/>
      </c>
      <c r="O976" s="19">
        <f>IF(N976="已下單",M976*資金模擬!$B$7,0)</f>
        <v/>
      </c>
      <c r="P976" s="4" t="n"/>
      <c r="Q976" s="13" t="n">
        <v>0</v>
      </c>
      <c r="R976" s="13">
        <f>R975+Q976</f>
        <v/>
      </c>
      <c r="S976" s="19">
        <f>S975+IF(N976="已下單",M976,0)</f>
        <v/>
      </c>
      <c r="T976" s="19">
        <f>R976-S976</f>
        <v/>
      </c>
      <c r="U976" s="2">
        <f>U975+IF(N976="已下單",1,0)</f>
        <v/>
      </c>
      <c r="V976" s="19">
        <f>IF(資金模擬!$B$9=2,MAX(R976,0),MAX(V975,FLOOR(MAX(R976,0),資金模擬!$B$6)))</f>
        <v/>
      </c>
      <c r="W976" s="13">
        <f>MAX(W975,R976)</f>
        <v/>
      </c>
      <c r="X976" s="4">
        <f>IF(W976&gt;0,R976/W976-1,-1)</f>
        <v/>
      </c>
      <c r="Y976" s="19">
        <f>IF(R976&gt;0,S976*資金模擬!$B$7/R976,0)</f>
        <v/>
      </c>
      <c r="Z976" s="2">
        <f>IF(OR(Z975=1,R976&lt;=資金模擬!$B$10),1,0)</f>
        <v/>
      </c>
    </row>
    <row r="977">
      <c r="A977" s="2" t="n">
        <v>975</v>
      </c>
      <c r="B977" s="7" t="n">
        <v>46291.41666666666</v>
      </c>
      <c r="C977" s="2" t="inlineStr">
        <is>
          <t>進場</t>
        </is>
      </c>
      <c r="D977" s="2" t="n">
        <v>492</v>
      </c>
      <c r="E977" s="2" t="inlineStr">
        <is>
          <t>LYN_USDT_PERP</t>
        </is>
      </c>
      <c r="F977" s="2" t="inlineStr">
        <is>
          <t>做空</t>
        </is>
      </c>
      <c r="G977" s="20" t="n">
        <v>0.04466</v>
      </c>
      <c r="H977" s="20" t="n">
        <v>0.0433202</v>
      </c>
      <c r="I977" s="20" t="n">
        <v>0.046893</v>
      </c>
      <c r="J977" s="20" t="n"/>
      <c r="K977" s="2" t="n"/>
      <c r="L977" s="5" t="n"/>
      <c r="M977" s="19">
        <f>資金模擬!$B$5*V976</f>
        <v/>
      </c>
      <c r="N977" s="2">
        <f>IF(Z976=1,"已停止",IF(T976&gt;=M977,"已下單","資金不足略過"))</f>
        <v/>
      </c>
      <c r="O977" s="19">
        <f>IF(N977="已下單",M977*資金模擬!$B$7,0)</f>
        <v/>
      </c>
      <c r="P977" s="4" t="n"/>
      <c r="Q977" s="13" t="n">
        <v>0</v>
      </c>
      <c r="R977" s="13">
        <f>R976+Q977</f>
        <v/>
      </c>
      <c r="S977" s="19">
        <f>S976+IF(N977="已下單",M977,0)</f>
        <v/>
      </c>
      <c r="T977" s="19">
        <f>R977-S977</f>
        <v/>
      </c>
      <c r="U977" s="2">
        <f>U976+IF(N977="已下單",1,0)</f>
        <v/>
      </c>
      <c r="V977" s="19">
        <f>IF(資金模擬!$B$9=2,MAX(R977,0),MAX(V976,FLOOR(MAX(R977,0),資金模擬!$B$6)))</f>
        <v/>
      </c>
      <c r="W977" s="13">
        <f>MAX(W976,R977)</f>
        <v/>
      </c>
      <c r="X977" s="4">
        <f>IF(W977&gt;0,R977/W977-1,-1)</f>
        <v/>
      </c>
      <c r="Y977" s="19">
        <f>IF(R977&gt;0,S977*資金模擬!$B$7/R977,0)</f>
        <v/>
      </c>
      <c r="Z977" s="2">
        <f>IF(OR(Z976=1,R977&lt;=資金模擬!$B$10),1,0)</f>
        <v/>
      </c>
    </row>
    <row r="978">
      <c r="A978" s="2" t="n">
        <v>976</v>
      </c>
      <c r="B978" s="7" t="n">
        <v>46291.45833333334</v>
      </c>
      <c r="C978" s="2" t="inlineStr">
        <is>
          <t>出場</t>
        </is>
      </c>
      <c r="D978" s="2" t="n">
        <v>481</v>
      </c>
      <c r="E978" s="2" t="inlineStr">
        <is>
          <t>RAY_USDT_PERP</t>
        </is>
      </c>
      <c r="F978" s="2" t="inlineStr">
        <is>
          <t>做空</t>
        </is>
      </c>
      <c r="G978" s="20" t="n">
        <v>2.056</v>
      </c>
      <c r="H978" s="20" t="n">
        <v>1.99432</v>
      </c>
      <c r="I978" s="20" t="n">
        <v>2.1588</v>
      </c>
      <c r="J978" s="20" t="n">
        <v>1.99432</v>
      </c>
      <c r="K978" s="2" t="inlineStr">
        <is>
          <t>止盈</t>
        </is>
      </c>
      <c r="L978" s="5">
        <f>交易明細!K482</f>
        <v/>
      </c>
      <c r="M978" s="19">
        <f>M961</f>
        <v/>
      </c>
      <c r="N978" s="2">
        <f>N961</f>
        <v/>
      </c>
      <c r="O978" s="19">
        <f>O961</f>
        <v/>
      </c>
      <c r="P978" s="4">
        <f>交易明細!L482</f>
        <v/>
      </c>
      <c r="Q978" s="13">
        <f>IF(N978="已下單",O978*P978,0)</f>
        <v/>
      </c>
      <c r="R978" s="13">
        <f>R977+Q978</f>
        <v/>
      </c>
      <c r="S978" s="19">
        <f>S977-IF(N978="已下單",M978,0)</f>
        <v/>
      </c>
      <c r="T978" s="19">
        <f>R978-S978</f>
        <v/>
      </c>
      <c r="U978" s="2">
        <f>U977-IF(N978="已下單",1,0)</f>
        <v/>
      </c>
      <c r="V978" s="19">
        <f>IF(資金模擬!$B$9=2,MAX(R978,0),MAX(V977,FLOOR(MAX(R978,0),資金模擬!$B$6)))</f>
        <v/>
      </c>
      <c r="W978" s="13">
        <f>MAX(W977,R978)</f>
        <v/>
      </c>
      <c r="X978" s="4">
        <f>IF(W978&gt;0,R978/W978-1,-1)</f>
        <v/>
      </c>
      <c r="Y978" s="19">
        <f>IF(R978&gt;0,S978*資金模擬!$B$7/R978,0)</f>
        <v/>
      </c>
      <c r="Z978" s="2">
        <f>IF(OR(Z977=1,R978&lt;=資金模擬!$B$10),1,0)</f>
        <v/>
      </c>
    </row>
    <row r="979">
      <c r="A979" s="2" t="n">
        <v>977</v>
      </c>
      <c r="B979" s="7" t="n">
        <v>46291.45833333334</v>
      </c>
      <c r="C979" s="2" t="inlineStr">
        <is>
          <t>出場</t>
        </is>
      </c>
      <c r="D979" s="2" t="n">
        <v>490</v>
      </c>
      <c r="E979" s="2" t="inlineStr">
        <is>
          <t>PUMP_USDT_PERP</t>
        </is>
      </c>
      <c r="F979" s="2" t="inlineStr">
        <is>
          <t>做多</t>
        </is>
      </c>
      <c r="G979" s="20" t="n">
        <v>0.004187</v>
      </c>
      <c r="H979" s="20" t="n">
        <v>0.00431261</v>
      </c>
      <c r="I979" s="20" t="n">
        <v>0.003977649999999999</v>
      </c>
      <c r="J979" s="20" t="n">
        <v>0.00431261</v>
      </c>
      <c r="K979" s="2" t="inlineStr">
        <is>
          <t>止盈</t>
        </is>
      </c>
      <c r="L979" s="5">
        <f>交易明細!K491</f>
        <v/>
      </c>
      <c r="M979" s="19">
        <f>M973</f>
        <v/>
      </c>
      <c r="N979" s="2">
        <f>N973</f>
        <v/>
      </c>
      <c r="O979" s="19">
        <f>O973</f>
        <v/>
      </c>
      <c r="P979" s="4">
        <f>交易明細!L491</f>
        <v/>
      </c>
      <c r="Q979" s="13">
        <f>IF(N979="已下單",O979*P979,0)</f>
        <v/>
      </c>
      <c r="R979" s="13">
        <f>R978+Q979</f>
        <v/>
      </c>
      <c r="S979" s="19">
        <f>S978-IF(N979="已下單",M979,0)</f>
        <v/>
      </c>
      <c r="T979" s="19">
        <f>R979-S979</f>
        <v/>
      </c>
      <c r="U979" s="2">
        <f>U978-IF(N979="已下單",1,0)</f>
        <v/>
      </c>
      <c r="V979" s="19">
        <f>IF(資金模擬!$B$9=2,MAX(R979,0),MAX(V978,FLOOR(MAX(R979,0),資金模擬!$B$6)))</f>
        <v/>
      </c>
      <c r="W979" s="13">
        <f>MAX(W978,R979)</f>
        <v/>
      </c>
      <c r="X979" s="4">
        <f>IF(W979&gt;0,R979/W979-1,-1)</f>
        <v/>
      </c>
      <c r="Y979" s="19">
        <f>IF(R979&gt;0,S979*資金模擬!$B$7/R979,0)</f>
        <v/>
      </c>
      <c r="Z979" s="2">
        <f>IF(OR(Z978=1,R979&lt;=資金模擬!$B$10),1,0)</f>
        <v/>
      </c>
    </row>
    <row r="980">
      <c r="A980" s="2" t="n">
        <v>978</v>
      </c>
      <c r="B980" s="7" t="n">
        <v>46291.45833333334</v>
      </c>
      <c r="C980" s="2" t="inlineStr">
        <is>
          <t>出場</t>
        </is>
      </c>
      <c r="D980" s="2" t="n">
        <v>491</v>
      </c>
      <c r="E980" s="2" t="inlineStr">
        <is>
          <t>AERO_USDT_PERP</t>
        </is>
      </c>
      <c r="F980" s="2" t="inlineStr">
        <is>
          <t>做多</t>
        </is>
      </c>
      <c r="G980" s="20" t="n">
        <v>0.8534</v>
      </c>
      <c r="H980" s="20" t="n">
        <v>0.8790020000000001</v>
      </c>
      <c r="I980" s="20" t="n">
        <v>0.8107300000000001</v>
      </c>
      <c r="J980" s="20" t="n">
        <v>0.8790020000000001</v>
      </c>
      <c r="K980" s="2" t="inlineStr">
        <is>
          <t>止盈</t>
        </is>
      </c>
      <c r="L980" s="5">
        <f>交易明細!K492</f>
        <v/>
      </c>
      <c r="M980" s="19">
        <f>M976</f>
        <v/>
      </c>
      <c r="N980" s="2">
        <f>N976</f>
        <v/>
      </c>
      <c r="O980" s="19">
        <f>O976</f>
        <v/>
      </c>
      <c r="P980" s="4">
        <f>交易明細!L492</f>
        <v/>
      </c>
      <c r="Q980" s="13">
        <f>IF(N980="已下單",O980*P980,0)</f>
        <v/>
      </c>
      <c r="R980" s="13">
        <f>R979+Q980</f>
        <v/>
      </c>
      <c r="S980" s="19">
        <f>S979-IF(N980="已下單",M980,0)</f>
        <v/>
      </c>
      <c r="T980" s="19">
        <f>R980-S980</f>
        <v/>
      </c>
      <c r="U980" s="2">
        <f>U979-IF(N980="已下單",1,0)</f>
        <v/>
      </c>
      <c r="V980" s="19">
        <f>IF(資金模擬!$B$9=2,MAX(R980,0),MAX(V979,FLOOR(MAX(R980,0),資金模擬!$B$6)))</f>
        <v/>
      </c>
      <c r="W980" s="13">
        <f>MAX(W979,R980)</f>
        <v/>
      </c>
      <c r="X980" s="4">
        <f>IF(W980&gt;0,R980/W980-1,-1)</f>
        <v/>
      </c>
      <c r="Y980" s="19">
        <f>IF(R980&gt;0,S980*資金模擬!$B$7/R980,0)</f>
        <v/>
      </c>
      <c r="Z980" s="2">
        <f>IF(OR(Z979=1,R980&lt;=資金模擬!$B$10),1,0)</f>
        <v/>
      </c>
    </row>
    <row r="981">
      <c r="A981" s="2" t="n">
        <v>979</v>
      </c>
      <c r="B981" s="7" t="n">
        <v>46291.45833333334</v>
      </c>
      <c r="C981" s="2" t="inlineStr">
        <is>
          <t>出場</t>
        </is>
      </c>
      <c r="D981" s="2" t="n">
        <v>492</v>
      </c>
      <c r="E981" s="2" t="inlineStr">
        <is>
          <t>LYN_USDT_PERP</t>
        </is>
      </c>
      <c r="F981" s="2" t="inlineStr">
        <is>
          <t>做空</t>
        </is>
      </c>
      <c r="G981" s="20" t="n">
        <v>0.04466</v>
      </c>
      <c r="H981" s="20" t="n">
        <v>0.0433202</v>
      </c>
      <c r="I981" s="20" t="n">
        <v>0.046893</v>
      </c>
      <c r="J981" s="20" t="n">
        <v>0.0433202</v>
      </c>
      <c r="K981" s="2" t="inlineStr">
        <is>
          <t>止盈</t>
        </is>
      </c>
      <c r="L981" s="5">
        <f>交易明細!K493</f>
        <v/>
      </c>
      <c r="M981" s="19">
        <f>M977</f>
        <v/>
      </c>
      <c r="N981" s="2">
        <f>N977</f>
        <v/>
      </c>
      <c r="O981" s="19">
        <f>O977</f>
        <v/>
      </c>
      <c r="P981" s="4">
        <f>交易明細!L493</f>
        <v/>
      </c>
      <c r="Q981" s="13">
        <f>IF(N981="已下單",O981*P981,0)</f>
        <v/>
      </c>
      <c r="R981" s="13">
        <f>R980+Q981</f>
        <v/>
      </c>
      <c r="S981" s="19">
        <f>S980-IF(N981="已下單",M981,0)</f>
        <v/>
      </c>
      <c r="T981" s="19">
        <f>R981-S981</f>
        <v/>
      </c>
      <c r="U981" s="2">
        <f>U980-IF(N981="已下單",1,0)</f>
        <v/>
      </c>
      <c r="V981" s="19">
        <f>IF(資金模擬!$B$9=2,MAX(R981,0),MAX(V980,FLOOR(MAX(R981,0),資金模擬!$B$6)))</f>
        <v/>
      </c>
      <c r="W981" s="13">
        <f>MAX(W980,R981)</f>
        <v/>
      </c>
      <c r="X981" s="4">
        <f>IF(W981&gt;0,R981/W981-1,-1)</f>
        <v/>
      </c>
      <c r="Y981" s="19">
        <f>IF(R981&gt;0,S981*資金模擬!$B$7/R981,0)</f>
        <v/>
      </c>
      <c r="Z981" s="2">
        <f>IF(OR(Z980=1,R981&lt;=資金模擬!$B$10),1,0)</f>
        <v/>
      </c>
    </row>
    <row r="982">
      <c r="A982" s="2" t="n">
        <v>980</v>
      </c>
      <c r="B982" s="7" t="n">
        <v>46291.5</v>
      </c>
      <c r="C982" s="2" t="inlineStr">
        <is>
          <t>出場</t>
        </is>
      </c>
      <c r="D982" s="2" t="n">
        <v>484</v>
      </c>
      <c r="E982" s="2" t="inlineStr">
        <is>
          <t>QNT_USDT_PERP</t>
        </is>
      </c>
      <c r="F982" s="2" t="inlineStr">
        <is>
          <t>做多</t>
        </is>
      </c>
      <c r="G982" s="20" t="n">
        <v>97.95999999999999</v>
      </c>
      <c r="H982" s="20" t="n">
        <v>100.8988</v>
      </c>
      <c r="I982" s="20" t="n">
        <v>93.06199999999998</v>
      </c>
      <c r="J982" s="20" t="n">
        <v>100.8988</v>
      </c>
      <c r="K982" s="2" t="inlineStr">
        <is>
          <t>止盈</t>
        </is>
      </c>
      <c r="L982" s="5">
        <f>交易明細!K485</f>
        <v/>
      </c>
      <c r="M982" s="19">
        <f>M965</f>
        <v/>
      </c>
      <c r="N982" s="2">
        <f>N965</f>
        <v/>
      </c>
      <c r="O982" s="19">
        <f>O965</f>
        <v/>
      </c>
      <c r="P982" s="4">
        <f>交易明細!L485</f>
        <v/>
      </c>
      <c r="Q982" s="13">
        <f>IF(N982="已下單",O982*P982,0)</f>
        <v/>
      </c>
      <c r="R982" s="13">
        <f>R981+Q982</f>
        <v/>
      </c>
      <c r="S982" s="19">
        <f>S981-IF(N982="已下單",M982,0)</f>
        <v/>
      </c>
      <c r="T982" s="19">
        <f>R982-S982</f>
        <v/>
      </c>
      <c r="U982" s="2">
        <f>U981-IF(N982="已下單",1,0)</f>
        <v/>
      </c>
      <c r="V982" s="19">
        <f>IF(資金模擬!$B$9=2,MAX(R982,0),MAX(V981,FLOOR(MAX(R982,0),資金模擬!$B$6)))</f>
        <v/>
      </c>
      <c r="W982" s="13">
        <f>MAX(W981,R982)</f>
        <v/>
      </c>
      <c r="X982" s="4">
        <f>IF(W982&gt;0,R982/W982-1,-1)</f>
        <v/>
      </c>
      <c r="Y982" s="19">
        <f>IF(R982&gt;0,S982*資金模擬!$B$7/R982,0)</f>
        <v/>
      </c>
      <c r="Z982" s="2">
        <f>IF(OR(Z981=1,R982&lt;=資金模擬!$B$10),1,0)</f>
        <v/>
      </c>
    </row>
    <row r="983">
      <c r="A983" s="2" t="n">
        <v>981</v>
      </c>
      <c r="B983" s="7" t="n">
        <v>46291.54166666666</v>
      </c>
      <c r="C983" s="2" t="inlineStr">
        <is>
          <t>進場</t>
        </is>
      </c>
      <c r="D983" s="2" t="n">
        <v>493</v>
      </c>
      <c r="E983" s="2" t="inlineStr">
        <is>
          <t>FET_USDT_PERP</t>
        </is>
      </c>
      <c r="F983" s="2" t="inlineStr">
        <is>
          <t>做多</t>
        </is>
      </c>
      <c r="G983" s="20" t="n">
        <v>0.2468</v>
      </c>
      <c r="H983" s="20" t="n">
        <v>0.254204</v>
      </c>
      <c r="I983" s="20" t="n">
        <v>0.23446</v>
      </c>
      <c r="J983" s="20" t="n"/>
      <c r="K983" s="2" t="n"/>
      <c r="L983" s="5" t="n"/>
      <c r="M983" s="19">
        <f>資金模擬!$B$5*V982</f>
        <v/>
      </c>
      <c r="N983" s="2">
        <f>IF(Z982=1,"已停止",IF(T982&gt;=M983,"已下單","資金不足略過"))</f>
        <v/>
      </c>
      <c r="O983" s="19">
        <f>IF(N983="已下單",M983*資金模擬!$B$7,0)</f>
        <v/>
      </c>
      <c r="P983" s="4" t="n"/>
      <c r="Q983" s="13" t="n">
        <v>0</v>
      </c>
      <c r="R983" s="13">
        <f>R982+Q983</f>
        <v/>
      </c>
      <c r="S983" s="19">
        <f>S982+IF(N983="已下單",M983,0)</f>
        <v/>
      </c>
      <c r="T983" s="19">
        <f>R983-S983</f>
        <v/>
      </c>
      <c r="U983" s="2">
        <f>U982+IF(N983="已下單",1,0)</f>
        <v/>
      </c>
      <c r="V983" s="19">
        <f>IF(資金模擬!$B$9=2,MAX(R983,0),MAX(V982,FLOOR(MAX(R983,0),資金模擬!$B$6)))</f>
        <v/>
      </c>
      <c r="W983" s="13">
        <f>MAX(W982,R983)</f>
        <v/>
      </c>
      <c r="X983" s="4">
        <f>IF(W983&gt;0,R983/W983-1,-1)</f>
        <v/>
      </c>
      <c r="Y983" s="19">
        <f>IF(R983&gt;0,S983*資金模擬!$B$7/R983,0)</f>
        <v/>
      </c>
      <c r="Z983" s="2">
        <f>IF(OR(Z982=1,R983&lt;=資金模擬!$B$10),1,0)</f>
        <v/>
      </c>
    </row>
    <row r="984">
      <c r="A984" s="2" t="n">
        <v>982</v>
      </c>
      <c r="B984" s="7" t="n">
        <v>46291.58333333334</v>
      </c>
      <c r="C984" s="2" t="inlineStr">
        <is>
          <t>進場</t>
        </is>
      </c>
      <c r="D984" s="2" t="n">
        <v>494</v>
      </c>
      <c r="E984" s="2" t="inlineStr">
        <is>
          <t>QNT_USDT_PERP</t>
        </is>
      </c>
      <c r="F984" s="2" t="inlineStr">
        <is>
          <t>做多</t>
        </is>
      </c>
      <c r="G984" s="20" t="n">
        <v>100.72</v>
      </c>
      <c r="H984" s="20" t="n">
        <v>103.7416</v>
      </c>
      <c r="I984" s="20" t="n">
        <v>95.684</v>
      </c>
      <c r="J984" s="20" t="n"/>
      <c r="K984" s="2" t="n"/>
      <c r="L984" s="5" t="n"/>
      <c r="M984" s="19">
        <f>資金模擬!$B$5*V983</f>
        <v/>
      </c>
      <c r="N984" s="2">
        <f>IF(Z983=1,"已停止",IF(T983&gt;=M984,"已下單","資金不足略過"))</f>
        <v/>
      </c>
      <c r="O984" s="19">
        <f>IF(N984="已下單",M984*資金模擬!$B$7,0)</f>
        <v/>
      </c>
      <c r="P984" s="4" t="n"/>
      <c r="Q984" s="13" t="n">
        <v>0</v>
      </c>
      <c r="R984" s="13">
        <f>R983+Q984</f>
        <v/>
      </c>
      <c r="S984" s="19">
        <f>S983+IF(N984="已下單",M984,0)</f>
        <v/>
      </c>
      <c r="T984" s="19">
        <f>R984-S984</f>
        <v/>
      </c>
      <c r="U984" s="2">
        <f>U983+IF(N984="已下單",1,0)</f>
        <v/>
      </c>
      <c r="V984" s="19">
        <f>IF(資金模擬!$B$9=2,MAX(R984,0),MAX(V983,FLOOR(MAX(R984,0),資金模擬!$B$6)))</f>
        <v/>
      </c>
      <c r="W984" s="13">
        <f>MAX(W983,R984)</f>
        <v/>
      </c>
      <c r="X984" s="4">
        <f>IF(W984&gt;0,R984/W984-1,-1)</f>
        <v/>
      </c>
      <c r="Y984" s="19">
        <f>IF(R984&gt;0,S984*資金模擬!$B$7/R984,0)</f>
        <v/>
      </c>
      <c r="Z984" s="2">
        <f>IF(OR(Z983=1,R984&lt;=資金模擬!$B$10),1,0)</f>
        <v/>
      </c>
    </row>
    <row r="985">
      <c r="A985" s="2" t="n">
        <v>983</v>
      </c>
      <c r="B985" s="7" t="n">
        <v>46291.625</v>
      </c>
      <c r="C985" s="2" t="inlineStr">
        <is>
          <t>出場</t>
        </is>
      </c>
      <c r="D985" s="2" t="n">
        <v>494</v>
      </c>
      <c r="E985" s="2" t="inlineStr">
        <is>
          <t>QNT_USDT_PERP</t>
        </is>
      </c>
      <c r="F985" s="2" t="inlineStr">
        <is>
          <t>做多</t>
        </is>
      </c>
      <c r="G985" s="20" t="n">
        <v>100.72</v>
      </c>
      <c r="H985" s="20" t="n">
        <v>103.7416</v>
      </c>
      <c r="I985" s="20" t="n">
        <v>95.684</v>
      </c>
      <c r="J985" s="20" t="n">
        <v>103.7416</v>
      </c>
      <c r="K985" s="2" t="inlineStr">
        <is>
          <t>止盈</t>
        </is>
      </c>
      <c r="L985" s="5">
        <f>交易明細!K495</f>
        <v/>
      </c>
      <c r="M985" s="19">
        <f>M984</f>
        <v/>
      </c>
      <c r="N985" s="2">
        <f>N984</f>
        <v/>
      </c>
      <c r="O985" s="19">
        <f>O984</f>
        <v/>
      </c>
      <c r="P985" s="4">
        <f>交易明細!L495</f>
        <v/>
      </c>
      <c r="Q985" s="13">
        <f>IF(N985="已下單",O985*P985,0)</f>
        <v/>
      </c>
      <c r="R985" s="13">
        <f>R984+Q985</f>
        <v/>
      </c>
      <c r="S985" s="19">
        <f>S984-IF(N985="已下單",M985,0)</f>
        <v/>
      </c>
      <c r="T985" s="19">
        <f>R985-S985</f>
        <v/>
      </c>
      <c r="U985" s="2">
        <f>U984-IF(N985="已下單",1,0)</f>
        <v/>
      </c>
      <c r="V985" s="19">
        <f>IF(資金模擬!$B$9=2,MAX(R985,0),MAX(V984,FLOOR(MAX(R985,0),資金模擬!$B$6)))</f>
        <v/>
      </c>
      <c r="W985" s="13">
        <f>MAX(W984,R985)</f>
        <v/>
      </c>
      <c r="X985" s="4">
        <f>IF(W985&gt;0,R985/W985-1,-1)</f>
        <v/>
      </c>
      <c r="Y985" s="19">
        <f>IF(R985&gt;0,S985*資金模擬!$B$7/R985,0)</f>
        <v/>
      </c>
      <c r="Z985" s="2">
        <f>IF(OR(Z984=1,R985&lt;=資金模擬!$B$10),1,0)</f>
        <v/>
      </c>
    </row>
    <row r="986">
      <c r="A986" s="2" t="n">
        <v>984</v>
      </c>
      <c r="B986" s="7" t="n">
        <v>46291.625</v>
      </c>
      <c r="C986" s="2" t="inlineStr">
        <is>
          <t>進場</t>
        </is>
      </c>
      <c r="D986" s="2" t="n">
        <v>495</v>
      </c>
      <c r="E986" s="2" t="inlineStr">
        <is>
          <t>MUBARAK_USDT_PERP</t>
        </is>
      </c>
      <c r="F986" s="2" t="inlineStr">
        <is>
          <t>做空</t>
        </is>
      </c>
      <c r="G986" s="20" t="n">
        <v>0.05304</v>
      </c>
      <c r="H986" s="20" t="n">
        <v>0.0514488</v>
      </c>
      <c r="I986" s="20" t="n">
        <v>0.055692</v>
      </c>
      <c r="J986" s="20" t="n"/>
      <c r="K986" s="2" t="n"/>
      <c r="L986" s="5" t="n"/>
      <c r="M986" s="19">
        <f>資金模擬!$B$5*V985</f>
        <v/>
      </c>
      <c r="N986" s="2">
        <f>IF(Z985=1,"已停止",IF(T985&gt;=M986,"已下單","資金不足略過"))</f>
        <v/>
      </c>
      <c r="O986" s="19">
        <f>IF(N986="已下單",M986*資金模擬!$B$7,0)</f>
        <v/>
      </c>
      <c r="P986" s="4" t="n"/>
      <c r="Q986" s="13" t="n">
        <v>0</v>
      </c>
      <c r="R986" s="13">
        <f>R985+Q986</f>
        <v/>
      </c>
      <c r="S986" s="19">
        <f>S985+IF(N986="已下單",M986,0)</f>
        <v/>
      </c>
      <c r="T986" s="19">
        <f>R986-S986</f>
        <v/>
      </c>
      <c r="U986" s="2">
        <f>U985+IF(N986="已下單",1,0)</f>
        <v/>
      </c>
      <c r="V986" s="19">
        <f>IF(資金模擬!$B$9=2,MAX(R986,0),MAX(V985,FLOOR(MAX(R986,0),資金模擬!$B$6)))</f>
        <v/>
      </c>
      <c r="W986" s="13">
        <f>MAX(W985,R986)</f>
        <v/>
      </c>
      <c r="X986" s="4">
        <f>IF(W986&gt;0,R986/W986-1,-1)</f>
        <v/>
      </c>
      <c r="Y986" s="19">
        <f>IF(R986&gt;0,S986*資金模擬!$B$7/R986,0)</f>
        <v/>
      </c>
      <c r="Z986" s="2">
        <f>IF(OR(Z985=1,R986&lt;=資金模擬!$B$10),1,0)</f>
        <v/>
      </c>
    </row>
    <row r="987">
      <c r="A987" s="2" t="n">
        <v>985</v>
      </c>
      <c r="B987" s="7" t="n">
        <v>46291.66666666666</v>
      </c>
      <c r="C987" s="2" t="inlineStr">
        <is>
          <t>進場</t>
        </is>
      </c>
      <c r="D987" s="2" t="n">
        <v>496</v>
      </c>
      <c r="E987" s="2" t="inlineStr">
        <is>
          <t>AKE_USDT_PERP</t>
        </is>
      </c>
      <c r="F987" s="2" t="inlineStr">
        <is>
          <t>做多</t>
        </is>
      </c>
      <c r="G987" s="20" t="n">
        <v>0.0360925</v>
      </c>
      <c r="H987" s="20" t="n">
        <v>0.037175275</v>
      </c>
      <c r="I987" s="20" t="n">
        <v>0.034287875</v>
      </c>
      <c r="J987" s="20" t="n"/>
      <c r="K987" s="2" t="n"/>
      <c r="L987" s="5" t="n"/>
      <c r="M987" s="19">
        <f>資金模擬!$B$5*V986</f>
        <v/>
      </c>
      <c r="N987" s="2">
        <f>IF(Z986=1,"已停止",IF(T986&gt;=M987,"已下單","資金不足略過"))</f>
        <v/>
      </c>
      <c r="O987" s="19">
        <f>IF(N987="已下單",M987*資金模擬!$B$7,0)</f>
        <v/>
      </c>
      <c r="P987" s="4" t="n"/>
      <c r="Q987" s="13" t="n">
        <v>0</v>
      </c>
      <c r="R987" s="13">
        <f>R986+Q987</f>
        <v/>
      </c>
      <c r="S987" s="19">
        <f>S986+IF(N987="已下單",M987,0)</f>
        <v/>
      </c>
      <c r="T987" s="19">
        <f>R987-S987</f>
        <v/>
      </c>
      <c r="U987" s="2">
        <f>U986+IF(N987="已下單",1,0)</f>
        <v/>
      </c>
      <c r="V987" s="19">
        <f>IF(資金模擬!$B$9=2,MAX(R987,0),MAX(V986,FLOOR(MAX(R987,0),資金模擬!$B$6)))</f>
        <v/>
      </c>
      <c r="W987" s="13">
        <f>MAX(W986,R987)</f>
        <v/>
      </c>
      <c r="X987" s="4">
        <f>IF(W987&gt;0,R987/W987-1,-1)</f>
        <v/>
      </c>
      <c r="Y987" s="19">
        <f>IF(R987&gt;0,S987*資金模擬!$B$7/R987,0)</f>
        <v/>
      </c>
      <c r="Z987" s="2">
        <f>IF(OR(Z986=1,R987&lt;=資金模擬!$B$10),1,0)</f>
        <v/>
      </c>
    </row>
    <row r="988">
      <c r="A988" s="2" t="n">
        <v>986</v>
      </c>
      <c r="B988" s="7" t="n">
        <v>46291.66666666666</v>
      </c>
      <c r="C988" s="2" t="inlineStr">
        <is>
          <t>進場</t>
        </is>
      </c>
      <c r="D988" s="2" t="n">
        <v>497</v>
      </c>
      <c r="E988" s="2" t="inlineStr">
        <is>
          <t>ENA_USDT_PERP</t>
        </is>
      </c>
      <c r="F988" s="2" t="inlineStr">
        <is>
          <t>做多</t>
        </is>
      </c>
      <c r="G988" s="20" t="n">
        <v>0.2716</v>
      </c>
      <c r="H988" s="20" t="n">
        <v>0.279748</v>
      </c>
      <c r="I988" s="20" t="n">
        <v>0.25802</v>
      </c>
      <c r="J988" s="20" t="n"/>
      <c r="K988" s="2" t="n"/>
      <c r="L988" s="5" t="n"/>
      <c r="M988" s="19">
        <f>資金模擬!$B$5*V987</f>
        <v/>
      </c>
      <c r="N988" s="2">
        <f>IF(Z987=1,"已停止",IF(T987&gt;=M988,"已下單","資金不足略過"))</f>
        <v/>
      </c>
      <c r="O988" s="19">
        <f>IF(N988="已下單",M988*資金模擬!$B$7,0)</f>
        <v/>
      </c>
      <c r="P988" s="4" t="n"/>
      <c r="Q988" s="13" t="n">
        <v>0</v>
      </c>
      <c r="R988" s="13">
        <f>R987+Q988</f>
        <v/>
      </c>
      <c r="S988" s="19">
        <f>S987+IF(N988="已下單",M988,0)</f>
        <v/>
      </c>
      <c r="T988" s="19">
        <f>R988-S988</f>
        <v/>
      </c>
      <c r="U988" s="2">
        <f>U987+IF(N988="已下單",1,0)</f>
        <v/>
      </c>
      <c r="V988" s="19">
        <f>IF(資金模擬!$B$9=2,MAX(R988,0),MAX(V987,FLOOR(MAX(R988,0),資金模擬!$B$6)))</f>
        <v/>
      </c>
      <c r="W988" s="13">
        <f>MAX(W987,R988)</f>
        <v/>
      </c>
      <c r="X988" s="4">
        <f>IF(W988&gt;0,R988/W988-1,-1)</f>
        <v/>
      </c>
      <c r="Y988" s="19">
        <f>IF(R988&gt;0,S988*資金模擬!$B$7/R988,0)</f>
        <v/>
      </c>
      <c r="Z988" s="2">
        <f>IF(OR(Z987=1,R988&lt;=資金模擬!$B$10),1,0)</f>
        <v/>
      </c>
    </row>
    <row r="989">
      <c r="A989" s="2" t="n">
        <v>987</v>
      </c>
      <c r="B989" s="7" t="n">
        <v>46291.66666666666</v>
      </c>
      <c r="C989" s="2" t="inlineStr">
        <is>
          <t>進場</t>
        </is>
      </c>
      <c r="D989" s="2" t="n">
        <v>498</v>
      </c>
      <c r="E989" s="2" t="inlineStr">
        <is>
          <t>SAGA_USDT_PERP</t>
        </is>
      </c>
      <c r="F989" s="2" t="inlineStr">
        <is>
          <t>做空</t>
        </is>
      </c>
      <c r="G989" s="20" t="n">
        <v>0.03453</v>
      </c>
      <c r="H989" s="20" t="n">
        <v>0.0334941</v>
      </c>
      <c r="I989" s="20" t="n">
        <v>0.0362565</v>
      </c>
      <c r="J989" s="20" t="n"/>
      <c r="K989" s="2" t="n"/>
      <c r="L989" s="5" t="n"/>
      <c r="M989" s="19">
        <f>資金模擬!$B$5*V988</f>
        <v/>
      </c>
      <c r="N989" s="2">
        <f>IF(Z988=1,"已停止",IF(T988&gt;=M989,"已下單","資金不足略過"))</f>
        <v/>
      </c>
      <c r="O989" s="19">
        <f>IF(N989="已下單",M989*資金模擬!$B$7,0)</f>
        <v/>
      </c>
      <c r="P989" s="4" t="n"/>
      <c r="Q989" s="13" t="n">
        <v>0</v>
      </c>
      <c r="R989" s="13">
        <f>R988+Q989</f>
        <v/>
      </c>
      <c r="S989" s="19">
        <f>S988+IF(N989="已下單",M989,0)</f>
        <v/>
      </c>
      <c r="T989" s="19">
        <f>R989-S989</f>
        <v/>
      </c>
      <c r="U989" s="2">
        <f>U988+IF(N989="已下單",1,0)</f>
        <v/>
      </c>
      <c r="V989" s="19">
        <f>IF(資金模擬!$B$9=2,MAX(R989,0),MAX(V988,FLOOR(MAX(R989,0),資金模擬!$B$6)))</f>
        <v/>
      </c>
      <c r="W989" s="13">
        <f>MAX(W988,R989)</f>
        <v/>
      </c>
      <c r="X989" s="4">
        <f>IF(W989&gt;0,R989/W989-1,-1)</f>
        <v/>
      </c>
      <c r="Y989" s="19">
        <f>IF(R989&gt;0,S989*資金模擬!$B$7/R989,0)</f>
        <v/>
      </c>
      <c r="Z989" s="2">
        <f>IF(OR(Z988=1,R989&lt;=資金模擬!$B$10),1,0)</f>
        <v/>
      </c>
    </row>
    <row r="990">
      <c r="A990" s="2" t="n">
        <v>988</v>
      </c>
      <c r="B990" s="7" t="n">
        <v>46291.70833333334</v>
      </c>
      <c r="C990" s="2" t="inlineStr">
        <is>
          <t>出場</t>
        </is>
      </c>
      <c r="D990" s="2" t="n">
        <v>486</v>
      </c>
      <c r="E990" s="2" t="inlineStr">
        <is>
          <t>XPL_USDT_PERP</t>
        </is>
      </c>
      <c r="F990" s="2" t="inlineStr">
        <is>
          <t>做多</t>
        </is>
      </c>
      <c r="G990" s="20" t="n">
        <v>0.1141</v>
      </c>
      <c r="H990" s="20" t="n">
        <v>0.117523</v>
      </c>
      <c r="I990" s="20" t="n">
        <v>0.108395</v>
      </c>
      <c r="J990" s="20" t="n">
        <v>0.117523</v>
      </c>
      <c r="K990" s="2" t="inlineStr">
        <is>
          <t>止盈</t>
        </is>
      </c>
      <c r="L990" s="5">
        <f>交易明細!K487</f>
        <v/>
      </c>
      <c r="M990" s="19">
        <f>M968</f>
        <v/>
      </c>
      <c r="N990" s="2">
        <f>N968</f>
        <v/>
      </c>
      <c r="O990" s="19">
        <f>O968</f>
        <v/>
      </c>
      <c r="P990" s="4">
        <f>交易明細!L487</f>
        <v/>
      </c>
      <c r="Q990" s="13">
        <f>IF(N990="已下單",O990*P990,0)</f>
        <v/>
      </c>
      <c r="R990" s="13">
        <f>R989+Q990</f>
        <v/>
      </c>
      <c r="S990" s="19">
        <f>S989-IF(N990="已下單",M990,0)</f>
        <v/>
      </c>
      <c r="T990" s="19">
        <f>R990-S990</f>
        <v/>
      </c>
      <c r="U990" s="2">
        <f>U989-IF(N990="已下單",1,0)</f>
        <v/>
      </c>
      <c r="V990" s="19">
        <f>IF(資金模擬!$B$9=2,MAX(R990,0),MAX(V989,FLOOR(MAX(R990,0),資金模擬!$B$6)))</f>
        <v/>
      </c>
      <c r="W990" s="13">
        <f>MAX(W989,R990)</f>
        <v/>
      </c>
      <c r="X990" s="4">
        <f>IF(W990&gt;0,R990/W990-1,-1)</f>
        <v/>
      </c>
      <c r="Y990" s="19">
        <f>IF(R990&gt;0,S990*資金模擬!$B$7/R990,0)</f>
        <v/>
      </c>
      <c r="Z990" s="2">
        <f>IF(OR(Z989=1,R990&lt;=資金模擬!$B$10),1,0)</f>
        <v/>
      </c>
    </row>
    <row r="991">
      <c r="A991" s="2" t="n">
        <v>989</v>
      </c>
      <c r="B991" s="7" t="n">
        <v>46291.70833333334</v>
      </c>
      <c r="C991" s="2" t="inlineStr">
        <is>
          <t>出場</t>
        </is>
      </c>
      <c r="D991" s="2" t="n">
        <v>496</v>
      </c>
      <c r="E991" s="2" t="inlineStr">
        <is>
          <t>AKE_USDT_PERP</t>
        </is>
      </c>
      <c r="F991" s="2" t="inlineStr">
        <is>
          <t>做多</t>
        </is>
      </c>
      <c r="G991" s="20" t="n">
        <v>0.0360925</v>
      </c>
      <c r="H991" s="20" t="n">
        <v>0.037175275</v>
      </c>
      <c r="I991" s="20" t="n">
        <v>0.034287875</v>
      </c>
      <c r="J991" s="20" t="n">
        <v>0.034287875</v>
      </c>
      <c r="K991" s="2" t="inlineStr">
        <is>
          <t>止損</t>
        </is>
      </c>
      <c r="L991" s="5">
        <f>交易明細!K497</f>
        <v/>
      </c>
      <c r="M991" s="19">
        <f>M987</f>
        <v/>
      </c>
      <c r="N991" s="2">
        <f>N987</f>
        <v/>
      </c>
      <c r="O991" s="19">
        <f>O987</f>
        <v/>
      </c>
      <c r="P991" s="4">
        <f>交易明細!L497</f>
        <v/>
      </c>
      <c r="Q991" s="13">
        <f>IF(N991="已下單",O991*P991,0)</f>
        <v/>
      </c>
      <c r="R991" s="13">
        <f>R990+Q991</f>
        <v/>
      </c>
      <c r="S991" s="19">
        <f>S990-IF(N991="已下單",M991,0)</f>
        <v/>
      </c>
      <c r="T991" s="19">
        <f>R991-S991</f>
        <v/>
      </c>
      <c r="U991" s="2">
        <f>U990-IF(N991="已下單",1,0)</f>
        <v/>
      </c>
      <c r="V991" s="19">
        <f>IF(資金模擬!$B$9=2,MAX(R991,0),MAX(V990,FLOOR(MAX(R991,0),資金模擬!$B$6)))</f>
        <v/>
      </c>
      <c r="W991" s="13">
        <f>MAX(W990,R991)</f>
        <v/>
      </c>
      <c r="X991" s="4">
        <f>IF(W991&gt;0,R991/W991-1,-1)</f>
        <v/>
      </c>
      <c r="Y991" s="19">
        <f>IF(R991&gt;0,S991*資金模擬!$B$7/R991,0)</f>
        <v/>
      </c>
      <c r="Z991" s="2">
        <f>IF(OR(Z990=1,R991&lt;=資金模擬!$B$10),1,0)</f>
        <v/>
      </c>
    </row>
    <row r="992">
      <c r="A992" s="2" t="n">
        <v>990</v>
      </c>
      <c r="B992" s="7" t="n">
        <v>46291.70833333334</v>
      </c>
      <c r="C992" s="2" t="inlineStr">
        <is>
          <t>出場</t>
        </is>
      </c>
      <c r="D992" s="2" t="n">
        <v>498</v>
      </c>
      <c r="E992" s="2" t="inlineStr">
        <is>
          <t>SAGA_USDT_PERP</t>
        </is>
      </c>
      <c r="F992" s="2" t="inlineStr">
        <is>
          <t>做空</t>
        </is>
      </c>
      <c r="G992" s="20" t="n">
        <v>0.03453</v>
      </c>
      <c r="H992" s="20" t="n">
        <v>0.0334941</v>
      </c>
      <c r="I992" s="20" t="n">
        <v>0.0362565</v>
      </c>
      <c r="J992" s="20" t="n">
        <v>0.0334941</v>
      </c>
      <c r="K992" s="2" t="inlineStr">
        <is>
          <t>止盈</t>
        </is>
      </c>
      <c r="L992" s="5">
        <f>交易明細!K499</f>
        <v/>
      </c>
      <c r="M992" s="19">
        <f>M989</f>
        <v/>
      </c>
      <c r="N992" s="2">
        <f>N989</f>
        <v/>
      </c>
      <c r="O992" s="19">
        <f>O989</f>
        <v/>
      </c>
      <c r="P992" s="4">
        <f>交易明細!L499</f>
        <v/>
      </c>
      <c r="Q992" s="13">
        <f>IF(N992="已下單",O992*P992,0)</f>
        <v/>
      </c>
      <c r="R992" s="13">
        <f>R991+Q992</f>
        <v/>
      </c>
      <c r="S992" s="19">
        <f>S991-IF(N992="已下單",M992,0)</f>
        <v/>
      </c>
      <c r="T992" s="19">
        <f>R992-S992</f>
        <v/>
      </c>
      <c r="U992" s="2">
        <f>U991-IF(N992="已下單",1,0)</f>
        <v/>
      </c>
      <c r="V992" s="19">
        <f>IF(資金模擬!$B$9=2,MAX(R992,0),MAX(V991,FLOOR(MAX(R992,0),資金模擬!$B$6)))</f>
        <v/>
      </c>
      <c r="W992" s="13">
        <f>MAX(W991,R992)</f>
        <v/>
      </c>
      <c r="X992" s="4">
        <f>IF(W992&gt;0,R992/W992-1,-1)</f>
        <v/>
      </c>
      <c r="Y992" s="19">
        <f>IF(R992&gt;0,S992*資金模擬!$B$7/R992,0)</f>
        <v/>
      </c>
      <c r="Z992" s="2">
        <f>IF(OR(Z991=1,R992&lt;=資金模擬!$B$10),1,0)</f>
        <v/>
      </c>
    </row>
    <row r="993">
      <c r="A993" s="2" t="n">
        <v>991</v>
      </c>
      <c r="B993" s="7" t="n">
        <v>46291.70833333334</v>
      </c>
      <c r="C993" s="2" t="inlineStr">
        <is>
          <t>進場</t>
        </is>
      </c>
      <c r="D993" s="2" t="n">
        <v>499</v>
      </c>
      <c r="E993" s="2" t="inlineStr">
        <is>
          <t>AERO_USDT_PERP</t>
        </is>
      </c>
      <c r="F993" s="2" t="inlineStr">
        <is>
          <t>做多</t>
        </is>
      </c>
      <c r="G993" s="20" t="n">
        <v>0.9006999999999999</v>
      </c>
      <c r="H993" s="20" t="n">
        <v>0.927721</v>
      </c>
      <c r="I993" s="20" t="n">
        <v>0.8556649999999999</v>
      </c>
      <c r="J993" s="20" t="n"/>
      <c r="K993" s="2" t="n"/>
      <c r="L993" s="5" t="n"/>
      <c r="M993" s="19">
        <f>資金模擬!$B$5*V992</f>
        <v/>
      </c>
      <c r="N993" s="2">
        <f>IF(Z992=1,"已停止",IF(T992&gt;=M993,"已下單","資金不足略過"))</f>
        <v/>
      </c>
      <c r="O993" s="19">
        <f>IF(N993="已下單",M993*資金模擬!$B$7,0)</f>
        <v/>
      </c>
      <c r="P993" s="4" t="n"/>
      <c r="Q993" s="13" t="n">
        <v>0</v>
      </c>
      <c r="R993" s="13">
        <f>R992+Q993</f>
        <v/>
      </c>
      <c r="S993" s="19">
        <f>S992+IF(N993="已下單",M993,0)</f>
        <v/>
      </c>
      <c r="T993" s="19">
        <f>R993-S993</f>
        <v/>
      </c>
      <c r="U993" s="2">
        <f>U992+IF(N993="已下單",1,0)</f>
        <v/>
      </c>
      <c r="V993" s="19">
        <f>IF(資金模擬!$B$9=2,MAX(R993,0),MAX(V992,FLOOR(MAX(R993,0),資金模擬!$B$6)))</f>
        <v/>
      </c>
      <c r="W993" s="13">
        <f>MAX(W992,R993)</f>
        <v/>
      </c>
      <c r="X993" s="4">
        <f>IF(W993&gt;0,R993/W993-1,-1)</f>
        <v/>
      </c>
      <c r="Y993" s="19">
        <f>IF(R993&gt;0,S993*資金模擬!$B$7/R993,0)</f>
        <v/>
      </c>
      <c r="Z993" s="2">
        <f>IF(OR(Z992=1,R993&lt;=資金模擬!$B$10),1,0)</f>
        <v/>
      </c>
    </row>
    <row r="994">
      <c r="A994" s="2" t="n">
        <v>992</v>
      </c>
      <c r="B994" s="7" t="n">
        <v>46291.70833333334</v>
      </c>
      <c r="C994" s="2" t="inlineStr">
        <is>
          <t>進場</t>
        </is>
      </c>
      <c r="D994" s="2" t="n">
        <v>500</v>
      </c>
      <c r="E994" s="2" t="inlineStr">
        <is>
          <t>USELESS_USDT_PERP</t>
        </is>
      </c>
      <c r="F994" s="2" t="inlineStr">
        <is>
          <t>做空</t>
        </is>
      </c>
      <c r="G994" s="20" t="n">
        <v>0.28291</v>
      </c>
      <c r="H994" s="20" t="n">
        <v>0.2744227</v>
      </c>
      <c r="I994" s="20" t="n">
        <v>0.2970555</v>
      </c>
      <c r="J994" s="20" t="n"/>
      <c r="K994" s="2" t="n"/>
      <c r="L994" s="5" t="n"/>
      <c r="M994" s="19">
        <f>資金模擬!$B$5*V993</f>
        <v/>
      </c>
      <c r="N994" s="2">
        <f>IF(Z993=1,"已停止",IF(T993&gt;=M994,"已下單","資金不足略過"))</f>
        <v/>
      </c>
      <c r="O994" s="19">
        <f>IF(N994="已下單",M994*資金模擬!$B$7,0)</f>
        <v/>
      </c>
      <c r="P994" s="4" t="n"/>
      <c r="Q994" s="13" t="n">
        <v>0</v>
      </c>
      <c r="R994" s="13">
        <f>R993+Q994</f>
        <v/>
      </c>
      <c r="S994" s="19">
        <f>S993+IF(N994="已下單",M994,0)</f>
        <v/>
      </c>
      <c r="T994" s="19">
        <f>R994-S994</f>
        <v/>
      </c>
      <c r="U994" s="2">
        <f>U993+IF(N994="已下單",1,0)</f>
        <v/>
      </c>
      <c r="V994" s="19">
        <f>IF(資金模擬!$B$9=2,MAX(R994,0),MAX(V993,FLOOR(MAX(R994,0),資金模擬!$B$6)))</f>
        <v/>
      </c>
      <c r="W994" s="13">
        <f>MAX(W993,R994)</f>
        <v/>
      </c>
      <c r="X994" s="4">
        <f>IF(W994&gt;0,R994/W994-1,-1)</f>
        <v/>
      </c>
      <c r="Y994" s="19">
        <f>IF(R994&gt;0,S994*資金模擬!$B$7/R994,0)</f>
        <v/>
      </c>
      <c r="Z994" s="2">
        <f>IF(OR(Z993=1,R994&lt;=資金模擬!$B$10),1,0)</f>
        <v/>
      </c>
    </row>
    <row r="995">
      <c r="A995" s="2" t="n">
        <v>993</v>
      </c>
      <c r="B995" s="7" t="n">
        <v>46291.75</v>
      </c>
      <c r="C995" s="2" t="inlineStr">
        <is>
          <t>出場</t>
        </is>
      </c>
      <c r="D995" s="2" t="n">
        <v>488</v>
      </c>
      <c r="E995" s="2" t="inlineStr">
        <is>
          <t>ARB_USDT_PERP</t>
        </is>
      </c>
      <c r="F995" s="2" t="inlineStr">
        <is>
          <t>做多</t>
        </is>
      </c>
      <c r="G995" s="20" t="n">
        <v>0.2287</v>
      </c>
      <c r="H995" s="20" t="n">
        <v>0.235561</v>
      </c>
      <c r="I995" s="20" t="n">
        <v>0.217265</v>
      </c>
      <c r="J995" s="20" t="n">
        <v>0.217265</v>
      </c>
      <c r="K995" s="2" t="inlineStr">
        <is>
          <t>止損</t>
        </is>
      </c>
      <c r="L995" s="5">
        <f>交易明細!K489</f>
        <v/>
      </c>
      <c r="M995" s="19">
        <f>M971</f>
        <v/>
      </c>
      <c r="N995" s="2">
        <f>N971</f>
        <v/>
      </c>
      <c r="O995" s="19">
        <f>O971</f>
        <v/>
      </c>
      <c r="P995" s="4">
        <f>交易明細!L489</f>
        <v/>
      </c>
      <c r="Q995" s="13">
        <f>IF(N995="已下單",O995*P995,0)</f>
        <v/>
      </c>
      <c r="R995" s="13">
        <f>R994+Q995</f>
        <v/>
      </c>
      <c r="S995" s="19">
        <f>S994-IF(N995="已下單",M995,0)</f>
        <v/>
      </c>
      <c r="T995" s="19">
        <f>R995-S995</f>
        <v/>
      </c>
      <c r="U995" s="2">
        <f>U994-IF(N995="已下單",1,0)</f>
        <v/>
      </c>
      <c r="V995" s="19">
        <f>IF(資金模擬!$B$9=2,MAX(R995,0),MAX(V994,FLOOR(MAX(R995,0),資金模擬!$B$6)))</f>
        <v/>
      </c>
      <c r="W995" s="13">
        <f>MAX(W994,R995)</f>
        <v/>
      </c>
      <c r="X995" s="4">
        <f>IF(W995&gt;0,R995/W995-1,-1)</f>
        <v/>
      </c>
      <c r="Y995" s="19">
        <f>IF(R995&gt;0,S995*資金模擬!$B$7/R995,0)</f>
        <v/>
      </c>
      <c r="Z995" s="2">
        <f>IF(OR(Z994=1,R995&lt;=資金模擬!$B$10),1,0)</f>
        <v/>
      </c>
    </row>
    <row r="996">
      <c r="A996" s="2" t="n">
        <v>994</v>
      </c>
      <c r="B996" s="7" t="n">
        <v>46291.75</v>
      </c>
      <c r="C996" s="2" t="inlineStr">
        <is>
          <t>出場</t>
        </is>
      </c>
      <c r="D996" s="2" t="n">
        <v>495</v>
      </c>
      <c r="E996" s="2" t="inlineStr">
        <is>
          <t>MUBARAK_USDT_PERP</t>
        </is>
      </c>
      <c r="F996" s="2" t="inlineStr">
        <is>
          <t>做空</t>
        </is>
      </c>
      <c r="G996" s="20" t="n">
        <v>0.05304</v>
      </c>
      <c r="H996" s="20" t="n">
        <v>0.0514488</v>
      </c>
      <c r="I996" s="20" t="n">
        <v>0.055692</v>
      </c>
      <c r="J996" s="20" t="n">
        <v>0.055692</v>
      </c>
      <c r="K996" s="2" t="inlineStr">
        <is>
          <t>止損</t>
        </is>
      </c>
      <c r="L996" s="5">
        <f>交易明細!K496</f>
        <v/>
      </c>
      <c r="M996" s="19">
        <f>M986</f>
        <v/>
      </c>
      <c r="N996" s="2">
        <f>N986</f>
        <v/>
      </c>
      <c r="O996" s="19">
        <f>O986</f>
        <v/>
      </c>
      <c r="P996" s="4">
        <f>交易明細!L496</f>
        <v/>
      </c>
      <c r="Q996" s="13">
        <f>IF(N996="已下單",O996*P996,0)</f>
        <v/>
      </c>
      <c r="R996" s="13">
        <f>R995+Q996</f>
        <v/>
      </c>
      <c r="S996" s="19">
        <f>S995-IF(N996="已下單",M996,0)</f>
        <v/>
      </c>
      <c r="T996" s="19">
        <f>R996-S996</f>
        <v/>
      </c>
      <c r="U996" s="2">
        <f>U995-IF(N996="已下單",1,0)</f>
        <v/>
      </c>
      <c r="V996" s="19">
        <f>IF(資金模擬!$B$9=2,MAX(R996,0),MAX(V995,FLOOR(MAX(R996,0),資金模擬!$B$6)))</f>
        <v/>
      </c>
      <c r="W996" s="13">
        <f>MAX(W995,R996)</f>
        <v/>
      </c>
      <c r="X996" s="4">
        <f>IF(W996&gt;0,R996/W996-1,-1)</f>
        <v/>
      </c>
      <c r="Y996" s="19">
        <f>IF(R996&gt;0,S996*資金模擬!$B$7/R996,0)</f>
        <v/>
      </c>
      <c r="Z996" s="2">
        <f>IF(OR(Z995=1,R996&lt;=資金模擬!$B$10),1,0)</f>
        <v/>
      </c>
    </row>
    <row r="997">
      <c r="A997" s="2" t="n">
        <v>995</v>
      </c>
      <c r="B997" s="7" t="n">
        <v>46291.75</v>
      </c>
      <c r="C997" s="2" t="inlineStr">
        <is>
          <t>出場</t>
        </is>
      </c>
      <c r="D997" s="2" t="n">
        <v>497</v>
      </c>
      <c r="E997" s="2" t="inlineStr">
        <is>
          <t>ENA_USDT_PERP</t>
        </is>
      </c>
      <c r="F997" s="2" t="inlineStr">
        <is>
          <t>做多</t>
        </is>
      </c>
      <c r="G997" s="20" t="n">
        <v>0.2716</v>
      </c>
      <c r="H997" s="20" t="n">
        <v>0.279748</v>
      </c>
      <c r="I997" s="20" t="n">
        <v>0.25802</v>
      </c>
      <c r="J997" s="20" t="n">
        <v>0.279748</v>
      </c>
      <c r="K997" s="2" t="inlineStr">
        <is>
          <t>止盈</t>
        </is>
      </c>
      <c r="L997" s="5">
        <f>交易明細!K498</f>
        <v/>
      </c>
      <c r="M997" s="19">
        <f>M988</f>
        <v/>
      </c>
      <c r="N997" s="2">
        <f>N988</f>
        <v/>
      </c>
      <c r="O997" s="19">
        <f>O988</f>
        <v/>
      </c>
      <c r="P997" s="4">
        <f>交易明細!L498</f>
        <v/>
      </c>
      <c r="Q997" s="13">
        <f>IF(N997="已下單",O997*P997,0)</f>
        <v/>
      </c>
      <c r="R997" s="13">
        <f>R996+Q997</f>
        <v/>
      </c>
      <c r="S997" s="19">
        <f>S996-IF(N997="已下單",M997,0)</f>
        <v/>
      </c>
      <c r="T997" s="19">
        <f>R997-S997</f>
        <v/>
      </c>
      <c r="U997" s="2">
        <f>U996-IF(N997="已下單",1,0)</f>
        <v/>
      </c>
      <c r="V997" s="19">
        <f>IF(資金模擬!$B$9=2,MAX(R997,0),MAX(V996,FLOOR(MAX(R997,0),資金模擬!$B$6)))</f>
        <v/>
      </c>
      <c r="W997" s="13">
        <f>MAX(W996,R997)</f>
        <v/>
      </c>
      <c r="X997" s="4">
        <f>IF(W997&gt;0,R997/W997-1,-1)</f>
        <v/>
      </c>
      <c r="Y997" s="19">
        <f>IF(R997&gt;0,S997*資金模擬!$B$7/R997,0)</f>
        <v/>
      </c>
      <c r="Z997" s="2">
        <f>IF(OR(Z996=1,R997&lt;=資金模擬!$B$10),1,0)</f>
        <v/>
      </c>
    </row>
    <row r="998">
      <c r="A998" s="2" t="n">
        <v>996</v>
      </c>
      <c r="B998" s="7" t="n">
        <v>46291.75</v>
      </c>
      <c r="C998" s="2" t="inlineStr">
        <is>
          <t>出場</t>
        </is>
      </c>
      <c r="D998" s="2" t="n">
        <v>500</v>
      </c>
      <c r="E998" s="2" t="inlineStr">
        <is>
          <t>USELESS_USDT_PERP</t>
        </is>
      </c>
      <c r="F998" s="2" t="inlineStr">
        <is>
          <t>做空</t>
        </is>
      </c>
      <c r="G998" s="20" t="n">
        <v>0.28291</v>
      </c>
      <c r="H998" s="20" t="n">
        <v>0.2744227</v>
      </c>
      <c r="I998" s="20" t="n">
        <v>0.2970555</v>
      </c>
      <c r="J998" s="20" t="n">
        <v>0.2744227</v>
      </c>
      <c r="K998" s="2" t="inlineStr">
        <is>
          <t>止盈</t>
        </is>
      </c>
      <c r="L998" s="5">
        <f>交易明細!K501</f>
        <v/>
      </c>
      <c r="M998" s="19">
        <f>M994</f>
        <v/>
      </c>
      <c r="N998" s="2">
        <f>N994</f>
        <v/>
      </c>
      <c r="O998" s="19">
        <f>O994</f>
        <v/>
      </c>
      <c r="P998" s="4">
        <f>交易明細!L501</f>
        <v/>
      </c>
      <c r="Q998" s="13">
        <f>IF(N998="已下單",O998*P998,0)</f>
        <v/>
      </c>
      <c r="R998" s="13">
        <f>R997+Q998</f>
        <v/>
      </c>
      <c r="S998" s="19">
        <f>S997-IF(N998="已下單",M998,0)</f>
        <v/>
      </c>
      <c r="T998" s="19">
        <f>R998-S998</f>
        <v/>
      </c>
      <c r="U998" s="2">
        <f>U997-IF(N998="已下單",1,0)</f>
        <v/>
      </c>
      <c r="V998" s="19">
        <f>IF(資金模擬!$B$9=2,MAX(R998,0),MAX(V997,FLOOR(MAX(R998,0),資金模擬!$B$6)))</f>
        <v/>
      </c>
      <c r="W998" s="13">
        <f>MAX(W997,R998)</f>
        <v/>
      </c>
      <c r="X998" s="4">
        <f>IF(W998&gt;0,R998/W998-1,-1)</f>
        <v/>
      </c>
      <c r="Y998" s="19">
        <f>IF(R998&gt;0,S998*資金模擬!$B$7/R998,0)</f>
        <v/>
      </c>
      <c r="Z998" s="2">
        <f>IF(OR(Z997=1,R998&lt;=資金模擬!$B$10),1,0)</f>
        <v/>
      </c>
    </row>
    <row r="999">
      <c r="A999" s="2" t="n">
        <v>997</v>
      </c>
      <c r="B999" s="7" t="n">
        <v>46291.79166666666</v>
      </c>
      <c r="C999" s="2" t="inlineStr">
        <is>
          <t>出場</t>
        </is>
      </c>
      <c r="D999" s="2" t="n">
        <v>482</v>
      </c>
      <c r="E999" s="2" t="inlineStr">
        <is>
          <t>ONDO_USDT_PERP</t>
        </is>
      </c>
      <c r="F999" s="2" t="inlineStr">
        <is>
          <t>做空</t>
        </is>
      </c>
      <c r="G999" s="20" t="n">
        <v>0.5331</v>
      </c>
      <c r="H999" s="20" t="n">
        <v>0.517107</v>
      </c>
      <c r="I999" s="20" t="n">
        <v>0.559755</v>
      </c>
      <c r="J999" s="20" t="n">
        <v>0.559755</v>
      </c>
      <c r="K999" s="2" t="inlineStr">
        <is>
          <t>止損</t>
        </is>
      </c>
      <c r="L999" s="5">
        <f>交易明細!K483</f>
        <v/>
      </c>
      <c r="M999" s="19">
        <f>M963</f>
        <v/>
      </c>
      <c r="N999" s="2">
        <f>N963</f>
        <v/>
      </c>
      <c r="O999" s="19">
        <f>O963</f>
        <v/>
      </c>
      <c r="P999" s="4">
        <f>交易明細!L483</f>
        <v/>
      </c>
      <c r="Q999" s="13">
        <f>IF(N999="已下單",O999*P999,0)</f>
        <v/>
      </c>
      <c r="R999" s="13">
        <f>R998+Q999</f>
        <v/>
      </c>
      <c r="S999" s="19">
        <f>S998-IF(N999="已下單",M999,0)</f>
        <v/>
      </c>
      <c r="T999" s="19">
        <f>R999-S999</f>
        <v/>
      </c>
      <c r="U999" s="2">
        <f>U998-IF(N999="已下單",1,0)</f>
        <v/>
      </c>
      <c r="V999" s="19">
        <f>IF(資金模擬!$B$9=2,MAX(R999,0),MAX(V998,FLOOR(MAX(R999,0),資金模擬!$B$6)))</f>
        <v/>
      </c>
      <c r="W999" s="13">
        <f>MAX(W998,R999)</f>
        <v/>
      </c>
      <c r="X999" s="4">
        <f>IF(W999&gt;0,R999/W999-1,-1)</f>
        <v/>
      </c>
      <c r="Y999" s="19">
        <f>IF(R999&gt;0,S999*資金模擬!$B$7/R999,0)</f>
        <v/>
      </c>
      <c r="Z999" s="2">
        <f>IF(OR(Z998=1,R999&lt;=資金模擬!$B$10),1,0)</f>
        <v/>
      </c>
    </row>
    <row r="1000">
      <c r="A1000" s="2" t="n">
        <v>998</v>
      </c>
      <c r="B1000" s="7" t="n">
        <v>46291.83333333334</v>
      </c>
      <c r="C1000" s="2" t="inlineStr">
        <is>
          <t>出場</t>
        </is>
      </c>
      <c r="D1000" s="2" t="n">
        <v>499</v>
      </c>
      <c r="E1000" s="2" t="inlineStr">
        <is>
          <t>AERO_USDT_PERP</t>
        </is>
      </c>
      <c r="F1000" s="2" t="inlineStr">
        <is>
          <t>做多</t>
        </is>
      </c>
      <c r="G1000" s="20" t="n">
        <v>0.9006999999999999</v>
      </c>
      <c r="H1000" s="20" t="n">
        <v>0.927721</v>
      </c>
      <c r="I1000" s="20" t="n">
        <v>0.8556649999999999</v>
      </c>
      <c r="J1000" s="20" t="n">
        <v>0.927721</v>
      </c>
      <c r="K1000" s="2" t="inlineStr">
        <is>
          <t>止盈</t>
        </is>
      </c>
      <c r="L1000" s="5">
        <f>交易明細!K500</f>
        <v/>
      </c>
      <c r="M1000" s="19">
        <f>M993</f>
        <v/>
      </c>
      <c r="N1000" s="2">
        <f>N993</f>
        <v/>
      </c>
      <c r="O1000" s="19">
        <f>O993</f>
        <v/>
      </c>
      <c r="P1000" s="4">
        <f>交易明細!L500</f>
        <v/>
      </c>
      <c r="Q1000" s="13">
        <f>IF(N1000="已下單",O1000*P1000,0)</f>
        <v/>
      </c>
      <c r="R1000" s="13">
        <f>R999+Q1000</f>
        <v/>
      </c>
      <c r="S1000" s="19">
        <f>S999-IF(N1000="已下單",M1000,0)</f>
        <v/>
      </c>
      <c r="T1000" s="19">
        <f>R1000-S1000</f>
        <v/>
      </c>
      <c r="U1000" s="2">
        <f>U999-IF(N1000="已下單",1,0)</f>
        <v/>
      </c>
      <c r="V1000" s="19">
        <f>IF(資金模擬!$B$9=2,MAX(R1000,0),MAX(V999,FLOOR(MAX(R1000,0),資金模擬!$B$6)))</f>
        <v/>
      </c>
      <c r="W1000" s="13">
        <f>MAX(W999,R1000)</f>
        <v/>
      </c>
      <c r="X1000" s="4">
        <f>IF(W1000&gt;0,R1000/W1000-1,-1)</f>
        <v/>
      </c>
      <c r="Y1000" s="19">
        <f>IF(R1000&gt;0,S1000*資金模擬!$B$7/R1000,0)</f>
        <v/>
      </c>
      <c r="Z1000" s="2">
        <f>IF(OR(Z999=1,R1000&lt;=資金模擬!$B$10),1,0)</f>
        <v/>
      </c>
    </row>
    <row r="1001">
      <c r="A1001" s="2" t="n">
        <v>999</v>
      </c>
      <c r="B1001" s="7" t="n">
        <v>46291.95833333334</v>
      </c>
      <c r="C1001" s="2" t="inlineStr">
        <is>
          <t>進場</t>
        </is>
      </c>
      <c r="D1001" s="2" t="n">
        <v>501</v>
      </c>
      <c r="E1001" s="2" t="inlineStr">
        <is>
          <t>USELESS_USDT_PERP</t>
        </is>
      </c>
      <c r="F1001" s="2" t="inlineStr">
        <is>
          <t>做多</t>
        </is>
      </c>
      <c r="G1001" s="20" t="n">
        <v>0.29344</v>
      </c>
      <c r="H1001" s="20" t="n">
        <v>0.3022432</v>
      </c>
      <c r="I1001" s="20" t="n">
        <v>0.278768</v>
      </c>
      <c r="J1001" s="20" t="n"/>
      <c r="K1001" s="2" t="n"/>
      <c r="L1001" s="5" t="n"/>
      <c r="M1001" s="19">
        <f>資金模擬!$B$5*V1000</f>
        <v/>
      </c>
      <c r="N1001" s="2">
        <f>IF(Z1000=1,"已停止",IF(T1000&gt;=M1001,"已下單","資金不足略過"))</f>
        <v/>
      </c>
      <c r="O1001" s="19">
        <f>IF(N1001="已下單",M1001*資金模擬!$B$7,0)</f>
        <v/>
      </c>
      <c r="P1001" s="4" t="n"/>
      <c r="Q1001" s="13" t="n">
        <v>0</v>
      </c>
      <c r="R1001" s="13">
        <f>R1000+Q1001</f>
        <v/>
      </c>
      <c r="S1001" s="19">
        <f>S1000+IF(N1001="已下單",M1001,0)</f>
        <v/>
      </c>
      <c r="T1001" s="19">
        <f>R1001-S1001</f>
        <v/>
      </c>
      <c r="U1001" s="2">
        <f>U1000+IF(N1001="已下單",1,0)</f>
        <v/>
      </c>
      <c r="V1001" s="19">
        <f>IF(資金模擬!$B$9=2,MAX(R1001,0),MAX(V1000,FLOOR(MAX(R1001,0),資金模擬!$B$6)))</f>
        <v/>
      </c>
      <c r="W1001" s="13">
        <f>MAX(W1000,R1001)</f>
        <v/>
      </c>
      <c r="X1001" s="4">
        <f>IF(W1001&gt;0,R1001/W1001-1,-1)</f>
        <v/>
      </c>
      <c r="Y1001" s="19">
        <f>IF(R1001&gt;0,S1001*資金模擬!$B$7/R1001,0)</f>
        <v/>
      </c>
      <c r="Z1001" s="2">
        <f>IF(OR(Z1000=1,R1001&lt;=資金模擬!$B$10),1,0)</f>
        <v/>
      </c>
    </row>
    <row r="1002">
      <c r="A1002" s="2" t="n">
        <v>1000</v>
      </c>
      <c r="B1002" s="7" t="n">
        <v>46291.95833333334</v>
      </c>
      <c r="C1002" s="2" t="inlineStr">
        <is>
          <t>進場</t>
        </is>
      </c>
      <c r="D1002" s="2" t="n">
        <v>502</v>
      </c>
      <c r="E1002" s="2" t="inlineStr">
        <is>
          <t>WLD_USDT_PERP</t>
        </is>
      </c>
      <c r="F1002" s="2" t="inlineStr">
        <is>
          <t>做多</t>
        </is>
      </c>
      <c r="G1002" s="20" t="n">
        <v>0.5108</v>
      </c>
      <c r="H1002" s="20" t="n">
        <v>0.526124</v>
      </c>
      <c r="I1002" s="20" t="n">
        <v>0.48526</v>
      </c>
      <c r="J1002" s="20" t="n"/>
      <c r="K1002" s="2" t="n"/>
      <c r="L1002" s="5" t="n"/>
      <c r="M1002" s="19">
        <f>資金模擬!$B$5*V1001</f>
        <v/>
      </c>
      <c r="N1002" s="2">
        <f>IF(Z1001=1,"已停止",IF(T1001&gt;=M1002,"已下單","資金不足略過"))</f>
        <v/>
      </c>
      <c r="O1002" s="19">
        <f>IF(N1002="已下單",M1002*資金模擬!$B$7,0)</f>
        <v/>
      </c>
      <c r="P1002" s="4" t="n"/>
      <c r="Q1002" s="13" t="n">
        <v>0</v>
      </c>
      <c r="R1002" s="13">
        <f>R1001+Q1002</f>
        <v/>
      </c>
      <c r="S1002" s="19">
        <f>S1001+IF(N1002="已下單",M1002,0)</f>
        <v/>
      </c>
      <c r="T1002" s="19">
        <f>R1002-S1002</f>
        <v/>
      </c>
      <c r="U1002" s="2">
        <f>U1001+IF(N1002="已下單",1,0)</f>
        <v/>
      </c>
      <c r="V1002" s="19">
        <f>IF(資金模擬!$B$9=2,MAX(R1002,0),MAX(V1001,FLOOR(MAX(R1002,0),資金模擬!$B$6)))</f>
        <v/>
      </c>
      <c r="W1002" s="13">
        <f>MAX(W1001,R1002)</f>
        <v/>
      </c>
      <c r="X1002" s="4">
        <f>IF(W1002&gt;0,R1002/W1002-1,-1)</f>
        <v/>
      </c>
      <c r="Y1002" s="19">
        <f>IF(R1002&gt;0,S1002*資金模擬!$B$7/R1002,0)</f>
        <v/>
      </c>
      <c r="Z1002" s="2">
        <f>IF(OR(Z1001=1,R1002&lt;=資金模擬!$B$10),1,0)</f>
        <v/>
      </c>
    </row>
    <row r="1003">
      <c r="A1003" s="2" t="n">
        <v>1001</v>
      </c>
      <c r="B1003" s="7" t="n">
        <v>46292</v>
      </c>
      <c r="C1003" s="2" t="inlineStr">
        <is>
          <t>出場</t>
        </is>
      </c>
      <c r="D1003" s="2" t="n">
        <v>493</v>
      </c>
      <c r="E1003" s="2" t="inlineStr">
        <is>
          <t>FET_USDT_PERP</t>
        </is>
      </c>
      <c r="F1003" s="2" t="inlineStr">
        <is>
          <t>做多</t>
        </is>
      </c>
      <c r="G1003" s="20" t="n">
        <v>0.2468</v>
      </c>
      <c r="H1003" s="20" t="n">
        <v>0.254204</v>
      </c>
      <c r="I1003" s="20" t="n">
        <v>0.23446</v>
      </c>
      <c r="J1003" s="20" t="n">
        <v>0.254204</v>
      </c>
      <c r="K1003" s="2" t="inlineStr">
        <is>
          <t>止盈</t>
        </is>
      </c>
      <c r="L1003" s="5">
        <f>交易明細!K494</f>
        <v/>
      </c>
      <c r="M1003" s="19">
        <f>M983</f>
        <v/>
      </c>
      <c r="N1003" s="2">
        <f>N983</f>
        <v/>
      </c>
      <c r="O1003" s="19">
        <f>O983</f>
        <v/>
      </c>
      <c r="P1003" s="4">
        <f>交易明細!L494</f>
        <v/>
      </c>
      <c r="Q1003" s="13">
        <f>IF(N1003="已下單",O1003*P1003,0)</f>
        <v/>
      </c>
      <c r="R1003" s="13">
        <f>R1002+Q1003</f>
        <v/>
      </c>
      <c r="S1003" s="19">
        <f>S1002-IF(N1003="已下單",M1003,0)</f>
        <v/>
      </c>
      <c r="T1003" s="19">
        <f>R1003-S1003</f>
        <v/>
      </c>
      <c r="U1003" s="2">
        <f>U1002-IF(N1003="已下單",1,0)</f>
        <v/>
      </c>
      <c r="V1003" s="19">
        <f>IF(資金模擬!$B$9=2,MAX(R1003,0),MAX(V1002,FLOOR(MAX(R1003,0),資金模擬!$B$6)))</f>
        <v/>
      </c>
      <c r="W1003" s="13">
        <f>MAX(W1002,R1003)</f>
        <v/>
      </c>
      <c r="X1003" s="4">
        <f>IF(W1003&gt;0,R1003/W1003-1,-1)</f>
        <v/>
      </c>
      <c r="Y1003" s="19">
        <f>IF(R1003&gt;0,S1003*資金模擬!$B$7/R1003,0)</f>
        <v/>
      </c>
      <c r="Z1003" s="2">
        <f>IF(OR(Z1002=1,R1003&lt;=資金模擬!$B$10),1,0)</f>
        <v/>
      </c>
    </row>
    <row r="1004">
      <c r="A1004" s="2" t="n">
        <v>1002</v>
      </c>
      <c r="B1004" s="7" t="n">
        <v>46292</v>
      </c>
      <c r="C1004" s="2" t="inlineStr">
        <is>
          <t>出場</t>
        </is>
      </c>
      <c r="D1004" s="2" t="n">
        <v>502</v>
      </c>
      <c r="E1004" s="2" t="inlineStr">
        <is>
          <t>WLD_USDT_PERP</t>
        </is>
      </c>
      <c r="F1004" s="2" t="inlineStr">
        <is>
          <t>做多</t>
        </is>
      </c>
      <c r="G1004" s="20" t="n">
        <v>0.5108</v>
      </c>
      <c r="H1004" s="20" t="n">
        <v>0.526124</v>
      </c>
      <c r="I1004" s="20" t="n">
        <v>0.48526</v>
      </c>
      <c r="J1004" s="20" t="n">
        <v>0.526124</v>
      </c>
      <c r="K1004" s="2" t="inlineStr">
        <is>
          <t>止盈</t>
        </is>
      </c>
      <c r="L1004" s="5">
        <f>交易明細!K503</f>
        <v/>
      </c>
      <c r="M1004" s="19">
        <f>M1002</f>
        <v/>
      </c>
      <c r="N1004" s="2">
        <f>N1002</f>
        <v/>
      </c>
      <c r="O1004" s="19">
        <f>O1002</f>
        <v/>
      </c>
      <c r="P1004" s="4">
        <f>交易明細!L503</f>
        <v/>
      </c>
      <c r="Q1004" s="13">
        <f>IF(N1004="已下單",O1004*P1004,0)</f>
        <v/>
      </c>
      <c r="R1004" s="13">
        <f>R1003+Q1004</f>
        <v/>
      </c>
      <c r="S1004" s="19">
        <f>S1003-IF(N1004="已下單",M1004,0)</f>
        <v/>
      </c>
      <c r="T1004" s="19">
        <f>R1004-S1004</f>
        <v/>
      </c>
      <c r="U1004" s="2">
        <f>U1003-IF(N1004="已下單",1,0)</f>
        <v/>
      </c>
      <c r="V1004" s="19">
        <f>IF(資金模擬!$B$9=2,MAX(R1004,0),MAX(V1003,FLOOR(MAX(R1004,0),資金模擬!$B$6)))</f>
        <v/>
      </c>
      <c r="W1004" s="13">
        <f>MAX(W1003,R1004)</f>
        <v/>
      </c>
      <c r="X1004" s="4">
        <f>IF(W1004&gt;0,R1004/W1004-1,-1)</f>
        <v/>
      </c>
      <c r="Y1004" s="19">
        <f>IF(R1004&gt;0,S1004*資金模擬!$B$7/R1004,0)</f>
        <v/>
      </c>
      <c r="Z1004" s="2">
        <f>IF(OR(Z1003=1,R1004&lt;=資金模擬!$B$10),1,0)</f>
        <v/>
      </c>
    </row>
    <row r="1005">
      <c r="A1005" s="2" t="n">
        <v>1003</v>
      </c>
      <c r="B1005" s="7" t="n">
        <v>46292</v>
      </c>
      <c r="C1005" s="2" t="inlineStr">
        <is>
          <t>進場</t>
        </is>
      </c>
      <c r="D1005" s="2" t="n">
        <v>503</v>
      </c>
      <c r="E1005" s="2" t="inlineStr">
        <is>
          <t>AKE_USDT_PERP</t>
        </is>
      </c>
      <c r="F1005" s="2" t="inlineStr">
        <is>
          <t>做多</t>
        </is>
      </c>
      <c r="G1005" s="20" t="n">
        <v>0.0345245</v>
      </c>
      <c r="H1005" s="20" t="n">
        <v>0.035560235</v>
      </c>
      <c r="I1005" s="20" t="n">
        <v>0.03279827499999999</v>
      </c>
      <c r="J1005" s="20" t="n"/>
      <c r="K1005" s="2" t="n"/>
      <c r="L1005" s="5" t="n"/>
      <c r="M1005" s="19">
        <f>資金模擬!$B$5*V1004</f>
        <v/>
      </c>
      <c r="N1005" s="2">
        <f>IF(Z1004=1,"已停止",IF(T1004&gt;=M1005,"已下單","資金不足略過"))</f>
        <v/>
      </c>
      <c r="O1005" s="19">
        <f>IF(N1005="已下單",M1005*資金模擬!$B$7,0)</f>
        <v/>
      </c>
      <c r="P1005" s="4" t="n"/>
      <c r="Q1005" s="13" t="n">
        <v>0</v>
      </c>
      <c r="R1005" s="13">
        <f>R1004+Q1005</f>
        <v/>
      </c>
      <c r="S1005" s="19">
        <f>S1004+IF(N1005="已下單",M1005,0)</f>
        <v/>
      </c>
      <c r="T1005" s="19">
        <f>R1005-S1005</f>
        <v/>
      </c>
      <c r="U1005" s="2">
        <f>U1004+IF(N1005="已下單",1,0)</f>
        <v/>
      </c>
      <c r="V1005" s="19">
        <f>IF(資金模擬!$B$9=2,MAX(R1005,0),MAX(V1004,FLOOR(MAX(R1005,0),資金模擬!$B$6)))</f>
        <v/>
      </c>
      <c r="W1005" s="13">
        <f>MAX(W1004,R1005)</f>
        <v/>
      </c>
      <c r="X1005" s="4">
        <f>IF(W1005&gt;0,R1005/W1005-1,-1)</f>
        <v/>
      </c>
      <c r="Y1005" s="19">
        <f>IF(R1005&gt;0,S1005*資金模擬!$B$7/R1005,0)</f>
        <v/>
      </c>
      <c r="Z1005" s="2">
        <f>IF(OR(Z1004=1,R1005&lt;=資金模擬!$B$10),1,0)</f>
        <v/>
      </c>
    </row>
    <row r="1006">
      <c r="A1006" s="2" t="n">
        <v>1004</v>
      </c>
      <c r="B1006" s="7" t="n">
        <v>46292</v>
      </c>
      <c r="C1006" s="2" t="inlineStr">
        <is>
          <t>進場</t>
        </is>
      </c>
      <c r="D1006" s="2" t="n">
        <v>504</v>
      </c>
      <c r="E1006" s="2" t="inlineStr">
        <is>
          <t>BTW_USDT_PERP</t>
        </is>
      </c>
      <c r="F1006" s="2" t="inlineStr">
        <is>
          <t>做多</t>
        </is>
      </c>
      <c r="G1006" s="20" t="n">
        <v>1.057552</v>
      </c>
      <c r="H1006" s="20" t="n">
        <v>1.08927856</v>
      </c>
      <c r="I1006" s="20" t="n">
        <v>1.0046744</v>
      </c>
      <c r="J1006" s="20" t="n"/>
      <c r="K1006" s="2" t="n"/>
      <c r="L1006" s="5" t="n"/>
      <c r="M1006" s="19">
        <f>資金模擬!$B$5*V1005</f>
        <v/>
      </c>
      <c r="N1006" s="2">
        <f>IF(Z1005=1,"已停止",IF(T1005&gt;=M1006,"已下單","資金不足略過"))</f>
        <v/>
      </c>
      <c r="O1006" s="19">
        <f>IF(N1006="已下單",M1006*資金模擬!$B$7,0)</f>
        <v/>
      </c>
      <c r="P1006" s="4" t="n"/>
      <c r="Q1006" s="13" t="n">
        <v>0</v>
      </c>
      <c r="R1006" s="13">
        <f>R1005+Q1006</f>
        <v/>
      </c>
      <c r="S1006" s="19">
        <f>S1005+IF(N1006="已下單",M1006,0)</f>
        <v/>
      </c>
      <c r="T1006" s="19">
        <f>R1006-S1006</f>
        <v/>
      </c>
      <c r="U1006" s="2">
        <f>U1005+IF(N1006="已下單",1,0)</f>
        <v/>
      </c>
      <c r="V1006" s="19">
        <f>IF(資金模擬!$B$9=2,MAX(R1006,0),MAX(V1005,FLOOR(MAX(R1006,0),資金模擬!$B$6)))</f>
        <v/>
      </c>
      <c r="W1006" s="13">
        <f>MAX(W1005,R1006)</f>
        <v/>
      </c>
      <c r="X1006" s="4">
        <f>IF(W1006&gt;0,R1006/W1006-1,-1)</f>
        <v/>
      </c>
      <c r="Y1006" s="19">
        <f>IF(R1006&gt;0,S1006*資金模擬!$B$7/R1006,0)</f>
        <v/>
      </c>
      <c r="Z1006" s="2">
        <f>IF(OR(Z1005=1,R1006&lt;=資金模擬!$B$10),1,0)</f>
        <v/>
      </c>
    </row>
    <row r="1007">
      <c r="A1007" s="2" t="n">
        <v>1005</v>
      </c>
      <c r="B1007" s="7" t="n">
        <v>46292</v>
      </c>
      <c r="C1007" s="2" t="inlineStr">
        <is>
          <t>進場</t>
        </is>
      </c>
      <c r="D1007" s="2" t="n">
        <v>505</v>
      </c>
      <c r="E1007" s="2" t="inlineStr">
        <is>
          <t>LYN_USDT_PERP</t>
        </is>
      </c>
      <c r="F1007" s="2" t="inlineStr">
        <is>
          <t>做空</t>
        </is>
      </c>
      <c r="G1007" s="20" t="n">
        <v>0.04265</v>
      </c>
      <c r="H1007" s="20" t="n">
        <v>0.0413705</v>
      </c>
      <c r="I1007" s="20" t="n">
        <v>0.0447825</v>
      </c>
      <c r="J1007" s="20" t="n"/>
      <c r="K1007" s="2" t="n"/>
      <c r="L1007" s="5" t="n"/>
      <c r="M1007" s="19">
        <f>資金模擬!$B$5*V1006</f>
        <v/>
      </c>
      <c r="N1007" s="2">
        <f>IF(Z1006=1,"已停止",IF(T1006&gt;=M1007,"已下單","資金不足略過"))</f>
        <v/>
      </c>
      <c r="O1007" s="19">
        <f>IF(N1007="已下單",M1007*資金模擬!$B$7,0)</f>
        <v/>
      </c>
      <c r="P1007" s="4" t="n"/>
      <c r="Q1007" s="13" t="n">
        <v>0</v>
      </c>
      <c r="R1007" s="13">
        <f>R1006+Q1007</f>
        <v/>
      </c>
      <c r="S1007" s="19">
        <f>S1006+IF(N1007="已下單",M1007,0)</f>
        <v/>
      </c>
      <c r="T1007" s="19">
        <f>R1007-S1007</f>
        <v/>
      </c>
      <c r="U1007" s="2">
        <f>U1006+IF(N1007="已下單",1,0)</f>
        <v/>
      </c>
      <c r="V1007" s="19">
        <f>IF(資金模擬!$B$9=2,MAX(R1007,0),MAX(V1006,FLOOR(MAX(R1007,0),資金模擬!$B$6)))</f>
        <v/>
      </c>
      <c r="W1007" s="13">
        <f>MAX(W1006,R1007)</f>
        <v/>
      </c>
      <c r="X1007" s="4">
        <f>IF(W1007&gt;0,R1007/W1007-1,-1)</f>
        <v/>
      </c>
      <c r="Y1007" s="19">
        <f>IF(R1007&gt;0,S1007*資金模擬!$B$7/R1007,0)</f>
        <v/>
      </c>
      <c r="Z1007" s="2">
        <f>IF(OR(Z1006=1,R1007&lt;=資金模擬!$B$10),1,0)</f>
        <v/>
      </c>
    </row>
    <row r="1008">
      <c r="A1008" s="2" t="n">
        <v>1006</v>
      </c>
      <c r="B1008" s="7" t="n">
        <v>46292.04166666666</v>
      </c>
      <c r="C1008" s="2" t="inlineStr">
        <is>
          <t>進場</t>
        </is>
      </c>
      <c r="D1008" s="2" t="n">
        <v>506</v>
      </c>
      <c r="E1008" s="2" t="inlineStr">
        <is>
          <t>PHA_USDT_PERP</t>
        </is>
      </c>
      <c r="F1008" s="2" t="inlineStr">
        <is>
          <t>做空</t>
        </is>
      </c>
      <c r="G1008" s="20" t="n">
        <v>0.07908999999999999</v>
      </c>
      <c r="H1008" s="20" t="n">
        <v>0.07671729999999999</v>
      </c>
      <c r="I1008" s="20" t="n">
        <v>0.08304449999999999</v>
      </c>
      <c r="J1008" s="20" t="n"/>
      <c r="K1008" s="2" t="n"/>
      <c r="L1008" s="5" t="n"/>
      <c r="M1008" s="19">
        <f>資金模擬!$B$5*V1007</f>
        <v/>
      </c>
      <c r="N1008" s="2">
        <f>IF(Z1007=1,"已停止",IF(T1007&gt;=M1008,"已下單","資金不足略過"))</f>
        <v/>
      </c>
      <c r="O1008" s="19">
        <f>IF(N1008="已下單",M1008*資金模擬!$B$7,0)</f>
        <v/>
      </c>
      <c r="P1008" s="4" t="n"/>
      <c r="Q1008" s="13" t="n">
        <v>0</v>
      </c>
      <c r="R1008" s="13">
        <f>R1007+Q1008</f>
        <v/>
      </c>
      <c r="S1008" s="19">
        <f>S1007+IF(N1008="已下單",M1008,0)</f>
        <v/>
      </c>
      <c r="T1008" s="19">
        <f>R1008-S1008</f>
        <v/>
      </c>
      <c r="U1008" s="2">
        <f>U1007+IF(N1008="已下單",1,0)</f>
        <v/>
      </c>
      <c r="V1008" s="19">
        <f>IF(資金模擬!$B$9=2,MAX(R1008,0),MAX(V1007,FLOOR(MAX(R1008,0),資金模擬!$B$6)))</f>
        <v/>
      </c>
      <c r="W1008" s="13">
        <f>MAX(W1007,R1008)</f>
        <v/>
      </c>
      <c r="X1008" s="4">
        <f>IF(W1008&gt;0,R1008/W1008-1,-1)</f>
        <v/>
      </c>
      <c r="Y1008" s="19">
        <f>IF(R1008&gt;0,S1008*資金模擬!$B$7/R1008,0)</f>
        <v/>
      </c>
      <c r="Z1008" s="2">
        <f>IF(OR(Z1007=1,R1008&lt;=資金模擬!$B$10),1,0)</f>
        <v/>
      </c>
    </row>
    <row r="1009">
      <c r="A1009" s="2" t="n">
        <v>1007</v>
      </c>
      <c r="B1009" s="7" t="n">
        <v>46292.08333333334</v>
      </c>
      <c r="C1009" s="2" t="inlineStr">
        <is>
          <t>出場</t>
        </is>
      </c>
      <c r="D1009" s="2" t="n">
        <v>505</v>
      </c>
      <c r="E1009" s="2" t="inlineStr">
        <is>
          <t>LYN_USDT_PERP</t>
        </is>
      </c>
      <c r="F1009" s="2" t="inlineStr">
        <is>
          <t>做空</t>
        </is>
      </c>
      <c r="G1009" s="20" t="n">
        <v>0.04265</v>
      </c>
      <c r="H1009" s="20" t="n">
        <v>0.0413705</v>
      </c>
      <c r="I1009" s="20" t="n">
        <v>0.0447825</v>
      </c>
      <c r="J1009" s="20" t="n">
        <v>0.0413705</v>
      </c>
      <c r="K1009" s="2" t="inlineStr">
        <is>
          <t>止盈</t>
        </is>
      </c>
      <c r="L1009" s="5">
        <f>交易明細!K506</f>
        <v/>
      </c>
      <c r="M1009" s="19">
        <f>M1007</f>
        <v/>
      </c>
      <c r="N1009" s="2">
        <f>N1007</f>
        <v/>
      </c>
      <c r="O1009" s="19">
        <f>O1007</f>
        <v/>
      </c>
      <c r="P1009" s="4">
        <f>交易明細!L506</f>
        <v/>
      </c>
      <c r="Q1009" s="13">
        <f>IF(N1009="已下單",O1009*P1009,0)</f>
        <v/>
      </c>
      <c r="R1009" s="13">
        <f>R1008+Q1009</f>
        <v/>
      </c>
      <c r="S1009" s="19">
        <f>S1008-IF(N1009="已下單",M1009,0)</f>
        <v/>
      </c>
      <c r="T1009" s="19">
        <f>R1009-S1009</f>
        <v/>
      </c>
      <c r="U1009" s="2">
        <f>U1008-IF(N1009="已下單",1,0)</f>
        <v/>
      </c>
      <c r="V1009" s="19">
        <f>IF(資金模擬!$B$9=2,MAX(R1009,0),MAX(V1008,FLOOR(MAX(R1009,0),資金模擬!$B$6)))</f>
        <v/>
      </c>
      <c r="W1009" s="13">
        <f>MAX(W1008,R1009)</f>
        <v/>
      </c>
      <c r="X1009" s="4">
        <f>IF(W1009&gt;0,R1009/W1009-1,-1)</f>
        <v/>
      </c>
      <c r="Y1009" s="19">
        <f>IF(R1009&gt;0,S1009*資金模擬!$B$7/R1009,0)</f>
        <v/>
      </c>
      <c r="Z1009" s="2">
        <f>IF(OR(Z1008=1,R1009&lt;=資金模擬!$B$10),1,0)</f>
        <v/>
      </c>
    </row>
    <row r="1010">
      <c r="A1010" s="2" t="n">
        <v>1008</v>
      </c>
      <c r="B1010" s="7" t="n">
        <v>46292.125</v>
      </c>
      <c r="C1010" s="2" t="inlineStr">
        <is>
          <t>出場</t>
        </is>
      </c>
      <c r="D1010" s="2" t="n">
        <v>506</v>
      </c>
      <c r="E1010" s="2" t="inlineStr">
        <is>
          <t>PHA_USDT_PERP</t>
        </is>
      </c>
      <c r="F1010" s="2" t="inlineStr">
        <is>
          <t>做空</t>
        </is>
      </c>
      <c r="G1010" s="20" t="n">
        <v>0.07908999999999999</v>
      </c>
      <c r="H1010" s="20" t="n">
        <v>0.07671729999999999</v>
      </c>
      <c r="I1010" s="20" t="n">
        <v>0.08304449999999999</v>
      </c>
      <c r="J1010" s="20" t="n">
        <v>0.08304449999999999</v>
      </c>
      <c r="K1010" s="2" t="inlineStr">
        <is>
          <t>止損</t>
        </is>
      </c>
      <c r="L1010" s="5">
        <f>交易明細!K507</f>
        <v/>
      </c>
      <c r="M1010" s="19">
        <f>M1008</f>
        <v/>
      </c>
      <c r="N1010" s="2">
        <f>N1008</f>
        <v/>
      </c>
      <c r="O1010" s="19">
        <f>O1008</f>
        <v/>
      </c>
      <c r="P1010" s="4">
        <f>交易明細!L507</f>
        <v/>
      </c>
      <c r="Q1010" s="13">
        <f>IF(N1010="已下單",O1010*P1010,0)</f>
        <v/>
      </c>
      <c r="R1010" s="13">
        <f>R1009+Q1010</f>
        <v/>
      </c>
      <c r="S1010" s="19">
        <f>S1009-IF(N1010="已下單",M1010,0)</f>
        <v/>
      </c>
      <c r="T1010" s="19">
        <f>R1010-S1010</f>
        <v/>
      </c>
      <c r="U1010" s="2">
        <f>U1009-IF(N1010="已下單",1,0)</f>
        <v/>
      </c>
      <c r="V1010" s="19">
        <f>IF(資金模擬!$B$9=2,MAX(R1010,0),MAX(V1009,FLOOR(MAX(R1010,0),資金模擬!$B$6)))</f>
        <v/>
      </c>
      <c r="W1010" s="13">
        <f>MAX(W1009,R1010)</f>
        <v/>
      </c>
      <c r="X1010" s="4">
        <f>IF(W1010&gt;0,R1010/W1010-1,-1)</f>
        <v/>
      </c>
      <c r="Y1010" s="19">
        <f>IF(R1010&gt;0,S1010*資金模擬!$B$7/R1010,0)</f>
        <v/>
      </c>
      <c r="Z1010" s="2">
        <f>IF(OR(Z1009=1,R1010&lt;=資金模擬!$B$10),1,0)</f>
        <v/>
      </c>
    </row>
    <row r="1011">
      <c r="A1011" s="2" t="n">
        <v>1009</v>
      </c>
      <c r="B1011" s="7" t="n">
        <v>46292.20833333334</v>
      </c>
      <c r="C1011" s="2" t="inlineStr">
        <is>
          <t>出場</t>
        </is>
      </c>
      <c r="D1011" s="2" t="n">
        <v>489</v>
      </c>
      <c r="E1011" s="2" t="inlineStr">
        <is>
          <t>PENGU_USDT_PERP</t>
        </is>
      </c>
      <c r="F1011" s="2" t="inlineStr">
        <is>
          <t>做多</t>
        </is>
      </c>
      <c r="G1011" s="20" t="n">
        <v>0.010271</v>
      </c>
      <c r="H1011" s="20" t="n">
        <v>0.01057913</v>
      </c>
      <c r="I1011" s="20" t="n">
        <v>0.009757450000000001</v>
      </c>
      <c r="J1011" s="20" t="n">
        <v>0.009757450000000001</v>
      </c>
      <c r="K1011" s="2" t="inlineStr">
        <is>
          <t>止損</t>
        </is>
      </c>
      <c r="L1011" s="5">
        <f>交易明細!K490</f>
        <v/>
      </c>
      <c r="M1011" s="19">
        <f>M972</f>
        <v/>
      </c>
      <c r="N1011" s="2">
        <f>N972</f>
        <v/>
      </c>
      <c r="O1011" s="19">
        <f>O972</f>
        <v/>
      </c>
      <c r="P1011" s="4">
        <f>交易明細!L490</f>
        <v/>
      </c>
      <c r="Q1011" s="13">
        <f>IF(N1011="已下單",O1011*P1011,0)</f>
        <v/>
      </c>
      <c r="R1011" s="13">
        <f>R1010+Q1011</f>
        <v/>
      </c>
      <c r="S1011" s="19">
        <f>S1010-IF(N1011="已下單",M1011,0)</f>
        <v/>
      </c>
      <c r="T1011" s="19">
        <f>R1011-S1011</f>
        <v/>
      </c>
      <c r="U1011" s="2">
        <f>U1010-IF(N1011="已下單",1,0)</f>
        <v/>
      </c>
      <c r="V1011" s="19">
        <f>IF(資金模擬!$B$9=2,MAX(R1011,0),MAX(V1010,FLOOR(MAX(R1011,0),資金模擬!$B$6)))</f>
        <v/>
      </c>
      <c r="W1011" s="13">
        <f>MAX(W1010,R1011)</f>
        <v/>
      </c>
      <c r="X1011" s="4">
        <f>IF(W1011&gt;0,R1011/W1011-1,-1)</f>
        <v/>
      </c>
      <c r="Y1011" s="19">
        <f>IF(R1011&gt;0,S1011*資金模擬!$B$7/R1011,0)</f>
        <v/>
      </c>
      <c r="Z1011" s="2">
        <f>IF(OR(Z1010=1,R1011&lt;=資金模擬!$B$10),1,0)</f>
        <v/>
      </c>
    </row>
    <row r="1012">
      <c r="A1012" s="2" t="n">
        <v>1010</v>
      </c>
      <c r="B1012" s="7" t="n">
        <v>46292.20833333334</v>
      </c>
      <c r="C1012" s="2" t="inlineStr">
        <is>
          <t>出場</t>
        </is>
      </c>
      <c r="D1012" s="2" t="n">
        <v>501</v>
      </c>
      <c r="E1012" s="2" t="inlineStr">
        <is>
          <t>USELESS_USDT_PERP</t>
        </is>
      </c>
      <c r="F1012" s="2" t="inlineStr">
        <is>
          <t>做多</t>
        </is>
      </c>
      <c r="G1012" s="20" t="n">
        <v>0.29344</v>
      </c>
      <c r="H1012" s="20" t="n">
        <v>0.3022432</v>
      </c>
      <c r="I1012" s="20" t="n">
        <v>0.278768</v>
      </c>
      <c r="J1012" s="20" t="n">
        <v>0.278768</v>
      </c>
      <c r="K1012" s="2" t="inlineStr">
        <is>
          <t>止損</t>
        </is>
      </c>
      <c r="L1012" s="5">
        <f>交易明細!K502</f>
        <v/>
      </c>
      <c r="M1012" s="19">
        <f>M1001</f>
        <v/>
      </c>
      <c r="N1012" s="2">
        <f>N1001</f>
        <v/>
      </c>
      <c r="O1012" s="19">
        <f>O1001</f>
        <v/>
      </c>
      <c r="P1012" s="4">
        <f>交易明細!L502</f>
        <v/>
      </c>
      <c r="Q1012" s="13">
        <f>IF(N1012="已下單",O1012*P1012,0)</f>
        <v/>
      </c>
      <c r="R1012" s="13">
        <f>R1011+Q1012</f>
        <v/>
      </c>
      <c r="S1012" s="19">
        <f>S1011-IF(N1012="已下單",M1012,0)</f>
        <v/>
      </c>
      <c r="T1012" s="19">
        <f>R1012-S1012</f>
        <v/>
      </c>
      <c r="U1012" s="2">
        <f>U1011-IF(N1012="已下單",1,0)</f>
        <v/>
      </c>
      <c r="V1012" s="19">
        <f>IF(資金模擬!$B$9=2,MAX(R1012,0),MAX(V1011,FLOOR(MAX(R1012,0),資金模擬!$B$6)))</f>
        <v/>
      </c>
      <c r="W1012" s="13">
        <f>MAX(W1011,R1012)</f>
        <v/>
      </c>
      <c r="X1012" s="4">
        <f>IF(W1012&gt;0,R1012/W1012-1,-1)</f>
        <v/>
      </c>
      <c r="Y1012" s="19">
        <f>IF(R1012&gt;0,S1012*資金模擬!$B$7/R1012,0)</f>
        <v/>
      </c>
      <c r="Z1012" s="2">
        <f>IF(OR(Z1011=1,R1012&lt;=資金模擬!$B$10),1,0)</f>
        <v/>
      </c>
    </row>
    <row r="1013">
      <c r="A1013" s="2" t="n">
        <v>1011</v>
      </c>
      <c r="B1013" s="7" t="n">
        <v>46292.25</v>
      </c>
      <c r="C1013" s="2" t="inlineStr">
        <is>
          <t>進場</t>
        </is>
      </c>
      <c r="D1013" s="2" t="n">
        <v>507</v>
      </c>
      <c r="E1013" s="2" t="inlineStr">
        <is>
          <t>NEAR_USDT_PERP</t>
        </is>
      </c>
      <c r="F1013" s="2" t="inlineStr">
        <is>
          <t>做多</t>
        </is>
      </c>
      <c r="G1013" s="20" t="n">
        <v>5.038</v>
      </c>
      <c r="H1013" s="20" t="n">
        <v>5.18914</v>
      </c>
      <c r="I1013" s="20" t="n">
        <v>4.7861</v>
      </c>
      <c r="J1013" s="20" t="n"/>
      <c r="K1013" s="2" t="n"/>
      <c r="L1013" s="5" t="n"/>
      <c r="M1013" s="19">
        <f>資金模擬!$B$5*V1012</f>
        <v/>
      </c>
      <c r="N1013" s="2">
        <f>IF(Z1012=1,"已停止",IF(T1012&gt;=M1013,"已下單","資金不足略過"))</f>
        <v/>
      </c>
      <c r="O1013" s="19">
        <f>IF(N1013="已下單",M1013*資金模擬!$B$7,0)</f>
        <v/>
      </c>
      <c r="P1013" s="4" t="n"/>
      <c r="Q1013" s="13" t="n">
        <v>0</v>
      </c>
      <c r="R1013" s="13">
        <f>R1012+Q1013</f>
        <v/>
      </c>
      <c r="S1013" s="19">
        <f>S1012+IF(N1013="已下單",M1013,0)</f>
        <v/>
      </c>
      <c r="T1013" s="19">
        <f>R1013-S1013</f>
        <v/>
      </c>
      <c r="U1013" s="2">
        <f>U1012+IF(N1013="已下單",1,0)</f>
        <v/>
      </c>
      <c r="V1013" s="19">
        <f>IF(資金模擬!$B$9=2,MAX(R1013,0),MAX(V1012,FLOOR(MAX(R1013,0),資金模擬!$B$6)))</f>
        <v/>
      </c>
      <c r="W1013" s="13">
        <f>MAX(W1012,R1013)</f>
        <v/>
      </c>
      <c r="X1013" s="4">
        <f>IF(W1013&gt;0,R1013/W1013-1,-1)</f>
        <v/>
      </c>
      <c r="Y1013" s="19">
        <f>IF(R1013&gt;0,S1013*資金模擬!$B$7/R1013,0)</f>
        <v/>
      </c>
      <c r="Z1013" s="2">
        <f>IF(OR(Z1012=1,R1013&lt;=資金模擬!$B$10),1,0)</f>
        <v/>
      </c>
    </row>
    <row r="1014">
      <c r="A1014" s="2" t="n">
        <v>1012</v>
      </c>
      <c r="B1014" s="7" t="n">
        <v>46292.25</v>
      </c>
      <c r="C1014" s="2" t="inlineStr">
        <is>
          <t>進場</t>
        </is>
      </c>
      <c r="D1014" s="2" t="n">
        <v>508</v>
      </c>
      <c r="E1014" s="2" t="inlineStr">
        <is>
          <t>USELESS_USDT_PERP</t>
        </is>
      </c>
      <c r="F1014" s="2" t="inlineStr">
        <is>
          <t>做多</t>
        </is>
      </c>
      <c r="G1014" s="20" t="n">
        <v>0.2916</v>
      </c>
      <c r="H1014" s="20" t="n">
        <v>0.3003480000000001</v>
      </c>
      <c r="I1014" s="20" t="n">
        <v>0.27702</v>
      </c>
      <c r="J1014" s="20" t="n"/>
      <c r="K1014" s="2" t="n"/>
      <c r="L1014" s="5" t="n"/>
      <c r="M1014" s="19">
        <f>資金模擬!$B$5*V1013</f>
        <v/>
      </c>
      <c r="N1014" s="2">
        <f>IF(Z1013=1,"已停止",IF(T1013&gt;=M1014,"已下單","資金不足略過"))</f>
        <v/>
      </c>
      <c r="O1014" s="19">
        <f>IF(N1014="已下單",M1014*資金模擬!$B$7,0)</f>
        <v/>
      </c>
      <c r="P1014" s="4" t="n"/>
      <c r="Q1014" s="13" t="n">
        <v>0</v>
      </c>
      <c r="R1014" s="13">
        <f>R1013+Q1014</f>
        <v/>
      </c>
      <c r="S1014" s="19">
        <f>S1013+IF(N1014="已下單",M1014,0)</f>
        <v/>
      </c>
      <c r="T1014" s="19">
        <f>R1014-S1014</f>
        <v/>
      </c>
      <c r="U1014" s="2">
        <f>U1013+IF(N1014="已下單",1,0)</f>
        <v/>
      </c>
      <c r="V1014" s="19">
        <f>IF(資金模擬!$B$9=2,MAX(R1014,0),MAX(V1013,FLOOR(MAX(R1014,0),資金模擬!$B$6)))</f>
        <v/>
      </c>
      <c r="W1014" s="13">
        <f>MAX(W1013,R1014)</f>
        <v/>
      </c>
      <c r="X1014" s="4">
        <f>IF(W1014&gt;0,R1014/W1014-1,-1)</f>
        <v/>
      </c>
      <c r="Y1014" s="19">
        <f>IF(R1014&gt;0,S1014*資金模擬!$B$7/R1014,0)</f>
        <v/>
      </c>
      <c r="Z1014" s="2">
        <f>IF(OR(Z1013=1,R1014&lt;=資金模擬!$B$10),1,0)</f>
        <v/>
      </c>
    </row>
    <row r="1015">
      <c r="A1015" s="2" t="n">
        <v>1013</v>
      </c>
      <c r="B1015" s="7" t="n">
        <v>46292.29166666666</v>
      </c>
      <c r="C1015" s="2" t="inlineStr">
        <is>
          <t>出場</t>
        </is>
      </c>
      <c r="D1015" s="2" t="n">
        <v>503</v>
      </c>
      <c r="E1015" s="2" t="inlineStr">
        <is>
          <t>AKE_USDT_PERP</t>
        </is>
      </c>
      <c r="F1015" s="2" t="inlineStr">
        <is>
          <t>做多</t>
        </is>
      </c>
      <c r="G1015" s="20" t="n">
        <v>0.0345245</v>
      </c>
      <c r="H1015" s="20" t="n">
        <v>0.035560235</v>
      </c>
      <c r="I1015" s="20" t="n">
        <v>0.03279827499999999</v>
      </c>
      <c r="J1015" s="20" t="n">
        <v>0.03279827499999999</v>
      </c>
      <c r="K1015" s="2" t="inlineStr">
        <is>
          <t>止損</t>
        </is>
      </c>
      <c r="L1015" s="5">
        <f>交易明細!K504</f>
        <v/>
      </c>
      <c r="M1015" s="19">
        <f>M1005</f>
        <v/>
      </c>
      <c r="N1015" s="2">
        <f>N1005</f>
        <v/>
      </c>
      <c r="O1015" s="19">
        <f>O1005</f>
        <v/>
      </c>
      <c r="P1015" s="4">
        <f>交易明細!L504</f>
        <v/>
      </c>
      <c r="Q1015" s="13">
        <f>IF(N1015="已下單",O1015*P1015,0)</f>
        <v/>
      </c>
      <c r="R1015" s="13">
        <f>R1014+Q1015</f>
        <v/>
      </c>
      <c r="S1015" s="19">
        <f>S1014-IF(N1015="已下單",M1015,0)</f>
        <v/>
      </c>
      <c r="T1015" s="19">
        <f>R1015-S1015</f>
        <v/>
      </c>
      <c r="U1015" s="2">
        <f>U1014-IF(N1015="已下單",1,0)</f>
        <v/>
      </c>
      <c r="V1015" s="19">
        <f>IF(資金模擬!$B$9=2,MAX(R1015,0),MAX(V1014,FLOOR(MAX(R1015,0),資金模擬!$B$6)))</f>
        <v/>
      </c>
      <c r="W1015" s="13">
        <f>MAX(W1014,R1015)</f>
        <v/>
      </c>
      <c r="X1015" s="4">
        <f>IF(W1015&gt;0,R1015/W1015-1,-1)</f>
        <v/>
      </c>
      <c r="Y1015" s="19">
        <f>IF(R1015&gt;0,S1015*資金模擬!$B$7/R1015,0)</f>
        <v/>
      </c>
      <c r="Z1015" s="2">
        <f>IF(OR(Z1014=1,R1015&lt;=資金模擬!$B$10),1,0)</f>
        <v/>
      </c>
    </row>
    <row r="1016">
      <c r="A1016" s="2" t="n">
        <v>1014</v>
      </c>
      <c r="B1016" s="7" t="n">
        <v>46292.33333333334</v>
      </c>
      <c r="C1016" s="2" t="inlineStr">
        <is>
          <t>出場</t>
        </is>
      </c>
      <c r="D1016" s="2" t="n">
        <v>504</v>
      </c>
      <c r="E1016" s="2" t="inlineStr">
        <is>
          <t>BTW_USDT_PERP</t>
        </is>
      </c>
      <c r="F1016" s="2" t="inlineStr">
        <is>
          <t>做多</t>
        </is>
      </c>
      <c r="G1016" s="20" t="n">
        <v>1.057552</v>
      </c>
      <c r="H1016" s="20" t="n">
        <v>1.08927856</v>
      </c>
      <c r="I1016" s="20" t="n">
        <v>1.0046744</v>
      </c>
      <c r="J1016" s="20" t="n">
        <v>1.0046744</v>
      </c>
      <c r="K1016" s="2" t="inlineStr">
        <is>
          <t>止損</t>
        </is>
      </c>
      <c r="L1016" s="5">
        <f>交易明細!K505</f>
        <v/>
      </c>
      <c r="M1016" s="19">
        <f>M1006</f>
        <v/>
      </c>
      <c r="N1016" s="2">
        <f>N1006</f>
        <v/>
      </c>
      <c r="O1016" s="19">
        <f>O1006</f>
        <v/>
      </c>
      <c r="P1016" s="4">
        <f>交易明細!L505</f>
        <v/>
      </c>
      <c r="Q1016" s="13">
        <f>IF(N1016="已下單",O1016*P1016,0)</f>
        <v/>
      </c>
      <c r="R1016" s="13">
        <f>R1015+Q1016</f>
        <v/>
      </c>
      <c r="S1016" s="19">
        <f>S1015-IF(N1016="已下單",M1016,0)</f>
        <v/>
      </c>
      <c r="T1016" s="19">
        <f>R1016-S1016</f>
        <v/>
      </c>
      <c r="U1016" s="2">
        <f>U1015-IF(N1016="已下單",1,0)</f>
        <v/>
      </c>
      <c r="V1016" s="19">
        <f>IF(資金模擬!$B$9=2,MAX(R1016,0),MAX(V1015,FLOOR(MAX(R1016,0),資金模擬!$B$6)))</f>
        <v/>
      </c>
      <c r="W1016" s="13">
        <f>MAX(W1015,R1016)</f>
        <v/>
      </c>
      <c r="X1016" s="4">
        <f>IF(W1016&gt;0,R1016/W1016-1,-1)</f>
        <v/>
      </c>
      <c r="Y1016" s="19">
        <f>IF(R1016&gt;0,S1016*資金模擬!$B$7/R1016,0)</f>
        <v/>
      </c>
      <c r="Z1016" s="2">
        <f>IF(OR(Z1015=1,R1016&lt;=資金模擬!$B$10),1,0)</f>
        <v/>
      </c>
    </row>
    <row r="1017">
      <c r="A1017" s="2" t="n">
        <v>1015</v>
      </c>
      <c r="B1017" s="7" t="n">
        <v>46292.375</v>
      </c>
      <c r="C1017" s="2" t="inlineStr">
        <is>
          <t>進場</t>
        </is>
      </c>
      <c r="D1017" s="2" t="n">
        <v>509</v>
      </c>
      <c r="E1017" s="2" t="inlineStr">
        <is>
          <t>2Z_USDT_PERP</t>
        </is>
      </c>
      <c r="F1017" s="2" t="inlineStr">
        <is>
          <t>做空</t>
        </is>
      </c>
      <c r="G1017" s="20" t="n">
        <v>0.06859999999999999</v>
      </c>
      <c r="H1017" s="20" t="n">
        <v>0.06654199999999999</v>
      </c>
      <c r="I1017" s="20" t="n">
        <v>0.07203</v>
      </c>
      <c r="J1017" s="20" t="n"/>
      <c r="K1017" s="2" t="n"/>
      <c r="L1017" s="5" t="n"/>
      <c r="M1017" s="19">
        <f>資金模擬!$B$5*V1016</f>
        <v/>
      </c>
      <c r="N1017" s="2">
        <f>IF(Z1016=1,"已停止",IF(T1016&gt;=M1017,"已下單","資金不足略過"))</f>
        <v/>
      </c>
      <c r="O1017" s="19">
        <f>IF(N1017="已下單",M1017*資金模擬!$B$7,0)</f>
        <v/>
      </c>
      <c r="P1017" s="4" t="n"/>
      <c r="Q1017" s="13" t="n">
        <v>0</v>
      </c>
      <c r="R1017" s="13">
        <f>R1016+Q1017</f>
        <v/>
      </c>
      <c r="S1017" s="19">
        <f>S1016+IF(N1017="已下單",M1017,0)</f>
        <v/>
      </c>
      <c r="T1017" s="19">
        <f>R1017-S1017</f>
        <v/>
      </c>
      <c r="U1017" s="2">
        <f>U1016+IF(N1017="已下單",1,0)</f>
        <v/>
      </c>
      <c r="V1017" s="19">
        <f>IF(資金模擬!$B$9=2,MAX(R1017,0),MAX(V1016,FLOOR(MAX(R1017,0),資金模擬!$B$6)))</f>
        <v/>
      </c>
      <c r="W1017" s="13">
        <f>MAX(W1016,R1017)</f>
        <v/>
      </c>
      <c r="X1017" s="4">
        <f>IF(W1017&gt;0,R1017/W1017-1,-1)</f>
        <v/>
      </c>
      <c r="Y1017" s="19">
        <f>IF(R1017&gt;0,S1017*資金模擬!$B$7/R1017,0)</f>
        <v/>
      </c>
      <c r="Z1017" s="2">
        <f>IF(OR(Z1016=1,R1017&lt;=資金模擬!$B$10),1,0)</f>
        <v/>
      </c>
    </row>
    <row r="1018">
      <c r="A1018" s="2" t="n">
        <v>1016</v>
      </c>
      <c r="B1018" s="7" t="n">
        <v>46292.375</v>
      </c>
      <c r="C1018" s="2" t="inlineStr">
        <is>
          <t>進場</t>
        </is>
      </c>
      <c r="D1018" s="2" t="n">
        <v>510</v>
      </c>
      <c r="E1018" s="2" t="inlineStr">
        <is>
          <t>PHA_USDT_PERP</t>
        </is>
      </c>
      <c r="F1018" s="2" t="inlineStr">
        <is>
          <t>做空</t>
        </is>
      </c>
      <c r="G1018" s="20" t="n">
        <v>0.08004</v>
      </c>
      <c r="H1018" s="20" t="n">
        <v>0.07763879999999999</v>
      </c>
      <c r="I1018" s="20" t="n">
        <v>0.08404200000000001</v>
      </c>
      <c r="J1018" s="20" t="n"/>
      <c r="K1018" s="2" t="n"/>
      <c r="L1018" s="5" t="n"/>
      <c r="M1018" s="19">
        <f>資金模擬!$B$5*V1017</f>
        <v/>
      </c>
      <c r="N1018" s="2">
        <f>IF(Z1017=1,"已停止",IF(T1017&gt;=M1018,"已下單","資金不足略過"))</f>
        <v/>
      </c>
      <c r="O1018" s="19">
        <f>IF(N1018="已下單",M1018*資金模擬!$B$7,0)</f>
        <v/>
      </c>
      <c r="P1018" s="4" t="n"/>
      <c r="Q1018" s="13" t="n">
        <v>0</v>
      </c>
      <c r="R1018" s="13">
        <f>R1017+Q1018</f>
        <v/>
      </c>
      <c r="S1018" s="19">
        <f>S1017+IF(N1018="已下單",M1018,0)</f>
        <v/>
      </c>
      <c r="T1018" s="19">
        <f>R1018-S1018</f>
        <v/>
      </c>
      <c r="U1018" s="2">
        <f>U1017+IF(N1018="已下單",1,0)</f>
        <v/>
      </c>
      <c r="V1018" s="19">
        <f>IF(資金模擬!$B$9=2,MAX(R1018,0),MAX(V1017,FLOOR(MAX(R1018,0),資金模擬!$B$6)))</f>
        <v/>
      </c>
      <c r="W1018" s="13">
        <f>MAX(W1017,R1018)</f>
        <v/>
      </c>
      <c r="X1018" s="4">
        <f>IF(W1018&gt;0,R1018/W1018-1,-1)</f>
        <v/>
      </c>
      <c r="Y1018" s="19">
        <f>IF(R1018&gt;0,S1018*資金模擬!$B$7/R1018,0)</f>
        <v/>
      </c>
      <c r="Z1018" s="2">
        <f>IF(OR(Z1017=1,R1018&lt;=資金模擬!$B$10),1,0)</f>
        <v/>
      </c>
    </row>
    <row r="1019">
      <c r="A1019" s="2" t="n">
        <v>1017</v>
      </c>
      <c r="B1019" s="7" t="n">
        <v>46292.41666666666</v>
      </c>
      <c r="C1019" s="2" t="inlineStr">
        <is>
          <t>進場</t>
        </is>
      </c>
      <c r="D1019" s="2" t="n">
        <v>511</v>
      </c>
      <c r="E1019" s="2" t="inlineStr">
        <is>
          <t>AKE_USDT_PERP</t>
        </is>
      </c>
      <c r="F1019" s="2" t="inlineStr">
        <is>
          <t>做多</t>
        </is>
      </c>
      <c r="G1019" s="20" t="n">
        <v>0.0342425</v>
      </c>
      <c r="H1019" s="20" t="n">
        <v>0.035269775</v>
      </c>
      <c r="I1019" s="20" t="n">
        <v>0.032530375</v>
      </c>
      <c r="J1019" s="20" t="n"/>
      <c r="K1019" s="2" t="n"/>
      <c r="L1019" s="5" t="n"/>
      <c r="M1019" s="19">
        <f>資金模擬!$B$5*V1018</f>
        <v/>
      </c>
      <c r="N1019" s="2">
        <f>IF(Z1018=1,"已停止",IF(T1018&gt;=M1019,"已下單","資金不足略過"))</f>
        <v/>
      </c>
      <c r="O1019" s="19">
        <f>IF(N1019="已下單",M1019*資金模擬!$B$7,0)</f>
        <v/>
      </c>
      <c r="P1019" s="4" t="n"/>
      <c r="Q1019" s="13" t="n">
        <v>0</v>
      </c>
      <c r="R1019" s="13">
        <f>R1018+Q1019</f>
        <v/>
      </c>
      <c r="S1019" s="19">
        <f>S1018+IF(N1019="已下單",M1019,0)</f>
        <v/>
      </c>
      <c r="T1019" s="19">
        <f>R1019-S1019</f>
        <v/>
      </c>
      <c r="U1019" s="2">
        <f>U1018+IF(N1019="已下單",1,0)</f>
        <v/>
      </c>
      <c r="V1019" s="19">
        <f>IF(資金模擬!$B$9=2,MAX(R1019,0),MAX(V1018,FLOOR(MAX(R1019,0),資金模擬!$B$6)))</f>
        <v/>
      </c>
      <c r="W1019" s="13">
        <f>MAX(W1018,R1019)</f>
        <v/>
      </c>
      <c r="X1019" s="4">
        <f>IF(W1019&gt;0,R1019/W1019-1,-1)</f>
        <v/>
      </c>
      <c r="Y1019" s="19">
        <f>IF(R1019&gt;0,S1019*資金模擬!$B$7/R1019,0)</f>
        <v/>
      </c>
      <c r="Z1019" s="2">
        <f>IF(OR(Z1018=1,R1019&lt;=資金模擬!$B$10),1,0)</f>
        <v/>
      </c>
    </row>
    <row r="1020">
      <c r="A1020" s="2" t="n">
        <v>1018</v>
      </c>
      <c r="B1020" s="7" t="n">
        <v>46292.45833333334</v>
      </c>
      <c r="C1020" s="2" t="inlineStr">
        <is>
          <t>出場</t>
        </is>
      </c>
      <c r="D1020" s="2" t="n">
        <v>510</v>
      </c>
      <c r="E1020" s="2" t="inlineStr">
        <is>
          <t>PHA_USDT_PERP</t>
        </is>
      </c>
      <c r="F1020" s="2" t="inlineStr">
        <is>
          <t>做空</t>
        </is>
      </c>
      <c r="G1020" s="20" t="n">
        <v>0.08004</v>
      </c>
      <c r="H1020" s="20" t="n">
        <v>0.07763879999999999</v>
      </c>
      <c r="I1020" s="20" t="n">
        <v>0.08404200000000001</v>
      </c>
      <c r="J1020" s="20" t="n">
        <v>0.07763879999999999</v>
      </c>
      <c r="K1020" s="2" t="inlineStr">
        <is>
          <t>止盈</t>
        </is>
      </c>
      <c r="L1020" s="5">
        <f>交易明細!K511</f>
        <v/>
      </c>
      <c r="M1020" s="19">
        <f>M1018</f>
        <v/>
      </c>
      <c r="N1020" s="2">
        <f>N1018</f>
        <v/>
      </c>
      <c r="O1020" s="19">
        <f>O1018</f>
        <v/>
      </c>
      <c r="P1020" s="4">
        <f>交易明細!L511</f>
        <v/>
      </c>
      <c r="Q1020" s="13">
        <f>IF(N1020="已下單",O1020*P1020,0)</f>
        <v/>
      </c>
      <c r="R1020" s="13">
        <f>R1019+Q1020</f>
        <v/>
      </c>
      <c r="S1020" s="19">
        <f>S1019-IF(N1020="已下單",M1020,0)</f>
        <v/>
      </c>
      <c r="T1020" s="19">
        <f>R1020-S1020</f>
        <v/>
      </c>
      <c r="U1020" s="2">
        <f>U1019-IF(N1020="已下單",1,0)</f>
        <v/>
      </c>
      <c r="V1020" s="19">
        <f>IF(資金模擬!$B$9=2,MAX(R1020,0),MAX(V1019,FLOOR(MAX(R1020,0),資金模擬!$B$6)))</f>
        <v/>
      </c>
      <c r="W1020" s="13">
        <f>MAX(W1019,R1020)</f>
        <v/>
      </c>
      <c r="X1020" s="4">
        <f>IF(W1020&gt;0,R1020/W1020-1,-1)</f>
        <v/>
      </c>
      <c r="Y1020" s="19">
        <f>IF(R1020&gt;0,S1020*資金模擬!$B$7/R1020,0)</f>
        <v/>
      </c>
      <c r="Z1020" s="2">
        <f>IF(OR(Z1019=1,R1020&lt;=資金模擬!$B$10),1,0)</f>
        <v/>
      </c>
    </row>
    <row r="1021">
      <c r="A1021" s="2" t="n">
        <v>1019</v>
      </c>
      <c r="B1021" s="7" t="n">
        <v>46292.54166666666</v>
      </c>
      <c r="C1021" s="2" t="inlineStr">
        <is>
          <t>出場</t>
        </is>
      </c>
      <c r="D1021" s="2" t="n">
        <v>508</v>
      </c>
      <c r="E1021" s="2" t="inlineStr">
        <is>
          <t>USELESS_USDT_PERP</t>
        </is>
      </c>
      <c r="F1021" s="2" t="inlineStr">
        <is>
          <t>做多</t>
        </is>
      </c>
      <c r="G1021" s="20" t="n">
        <v>0.2916</v>
      </c>
      <c r="H1021" s="20" t="n">
        <v>0.3003480000000001</v>
      </c>
      <c r="I1021" s="20" t="n">
        <v>0.27702</v>
      </c>
      <c r="J1021" s="20" t="n">
        <v>0.27702</v>
      </c>
      <c r="K1021" s="2" t="inlineStr">
        <is>
          <t>止損</t>
        </is>
      </c>
      <c r="L1021" s="5">
        <f>交易明細!K509</f>
        <v/>
      </c>
      <c r="M1021" s="19">
        <f>M1014</f>
        <v/>
      </c>
      <c r="N1021" s="2">
        <f>N1014</f>
        <v/>
      </c>
      <c r="O1021" s="19">
        <f>O1014</f>
        <v/>
      </c>
      <c r="P1021" s="4">
        <f>交易明細!L509</f>
        <v/>
      </c>
      <c r="Q1021" s="13">
        <f>IF(N1021="已下單",O1021*P1021,0)</f>
        <v/>
      </c>
      <c r="R1021" s="13">
        <f>R1020+Q1021</f>
        <v/>
      </c>
      <c r="S1021" s="19">
        <f>S1020-IF(N1021="已下單",M1021,0)</f>
        <v/>
      </c>
      <c r="T1021" s="19">
        <f>R1021-S1021</f>
        <v/>
      </c>
      <c r="U1021" s="2">
        <f>U1020-IF(N1021="已下單",1,0)</f>
        <v/>
      </c>
      <c r="V1021" s="19">
        <f>IF(資金模擬!$B$9=2,MAX(R1021,0),MAX(V1020,FLOOR(MAX(R1021,0),資金模擬!$B$6)))</f>
        <v/>
      </c>
      <c r="W1021" s="13">
        <f>MAX(W1020,R1021)</f>
        <v/>
      </c>
      <c r="X1021" s="4">
        <f>IF(W1021&gt;0,R1021/W1021-1,-1)</f>
        <v/>
      </c>
      <c r="Y1021" s="19">
        <f>IF(R1021&gt;0,S1021*資金模擬!$B$7/R1021,0)</f>
        <v/>
      </c>
      <c r="Z1021" s="2">
        <f>IF(OR(Z1020=1,R1021&lt;=資金模擬!$B$10),1,0)</f>
        <v/>
      </c>
    </row>
    <row r="1022">
      <c r="A1022" s="2" t="n">
        <v>1020</v>
      </c>
      <c r="B1022" s="7" t="n">
        <v>46292.54166666666</v>
      </c>
      <c r="C1022" s="2" t="inlineStr">
        <is>
          <t>出場</t>
        </is>
      </c>
      <c r="D1022" s="2" t="n">
        <v>509</v>
      </c>
      <c r="E1022" s="2" t="inlineStr">
        <is>
          <t>2Z_USDT_PERP</t>
        </is>
      </c>
      <c r="F1022" s="2" t="inlineStr">
        <is>
          <t>做空</t>
        </is>
      </c>
      <c r="G1022" s="20" t="n">
        <v>0.06859999999999999</v>
      </c>
      <c r="H1022" s="20" t="n">
        <v>0.06654199999999999</v>
      </c>
      <c r="I1022" s="20" t="n">
        <v>0.07203</v>
      </c>
      <c r="J1022" s="20" t="n">
        <v>0.06654199999999999</v>
      </c>
      <c r="K1022" s="2" t="inlineStr">
        <is>
          <t>止盈</t>
        </is>
      </c>
      <c r="L1022" s="5">
        <f>交易明細!K510</f>
        <v/>
      </c>
      <c r="M1022" s="19">
        <f>M1017</f>
        <v/>
      </c>
      <c r="N1022" s="2">
        <f>N1017</f>
        <v/>
      </c>
      <c r="O1022" s="19">
        <f>O1017</f>
        <v/>
      </c>
      <c r="P1022" s="4">
        <f>交易明細!L510</f>
        <v/>
      </c>
      <c r="Q1022" s="13">
        <f>IF(N1022="已下單",O1022*P1022,0)</f>
        <v/>
      </c>
      <c r="R1022" s="13">
        <f>R1021+Q1022</f>
        <v/>
      </c>
      <c r="S1022" s="19">
        <f>S1021-IF(N1022="已下單",M1022,0)</f>
        <v/>
      </c>
      <c r="T1022" s="19">
        <f>R1022-S1022</f>
        <v/>
      </c>
      <c r="U1022" s="2">
        <f>U1021-IF(N1022="已下單",1,0)</f>
        <v/>
      </c>
      <c r="V1022" s="19">
        <f>IF(資金模擬!$B$9=2,MAX(R1022,0),MAX(V1021,FLOOR(MAX(R1022,0),資金模擬!$B$6)))</f>
        <v/>
      </c>
      <c r="W1022" s="13">
        <f>MAX(W1021,R1022)</f>
        <v/>
      </c>
      <c r="X1022" s="4">
        <f>IF(W1022&gt;0,R1022/W1022-1,-1)</f>
        <v/>
      </c>
      <c r="Y1022" s="19">
        <f>IF(R1022&gt;0,S1022*資金模擬!$B$7/R1022,0)</f>
        <v/>
      </c>
      <c r="Z1022" s="2">
        <f>IF(OR(Z1021=1,R1022&lt;=資金模擬!$B$10),1,0)</f>
        <v/>
      </c>
    </row>
    <row r="1023">
      <c r="A1023" s="2" t="n">
        <v>1021</v>
      </c>
      <c r="B1023" s="7" t="n">
        <v>46292.54166666666</v>
      </c>
      <c r="C1023" s="2" t="inlineStr">
        <is>
          <t>進場</t>
        </is>
      </c>
      <c r="D1023" s="2" t="n">
        <v>512</v>
      </c>
      <c r="E1023" s="2" t="inlineStr">
        <is>
          <t>PONS_USDT_PERP</t>
        </is>
      </c>
      <c r="F1023" s="2" t="inlineStr">
        <is>
          <t>做空</t>
        </is>
      </c>
      <c r="G1023" s="20" t="n">
        <v>0.6106</v>
      </c>
      <c r="H1023" s="20" t="n">
        <v>0.592282</v>
      </c>
      <c r="I1023" s="20" t="n">
        <v>0.6411300000000001</v>
      </c>
      <c r="J1023" s="20" t="n"/>
      <c r="K1023" s="2" t="n"/>
      <c r="L1023" s="5" t="n"/>
      <c r="M1023" s="19">
        <f>資金模擬!$B$5*V1022</f>
        <v/>
      </c>
      <c r="N1023" s="2">
        <f>IF(Z1022=1,"已停止",IF(T1022&gt;=M1023,"已下單","資金不足略過"))</f>
        <v/>
      </c>
      <c r="O1023" s="19">
        <f>IF(N1023="已下單",M1023*資金模擬!$B$7,0)</f>
        <v/>
      </c>
      <c r="P1023" s="4" t="n"/>
      <c r="Q1023" s="13" t="n">
        <v>0</v>
      </c>
      <c r="R1023" s="13">
        <f>R1022+Q1023</f>
        <v/>
      </c>
      <c r="S1023" s="19">
        <f>S1022+IF(N1023="已下單",M1023,0)</f>
        <v/>
      </c>
      <c r="T1023" s="19">
        <f>R1023-S1023</f>
        <v/>
      </c>
      <c r="U1023" s="2">
        <f>U1022+IF(N1023="已下單",1,0)</f>
        <v/>
      </c>
      <c r="V1023" s="19">
        <f>IF(資金模擬!$B$9=2,MAX(R1023,0),MAX(V1022,FLOOR(MAX(R1023,0),資金模擬!$B$6)))</f>
        <v/>
      </c>
      <c r="W1023" s="13">
        <f>MAX(W1022,R1023)</f>
        <v/>
      </c>
      <c r="X1023" s="4">
        <f>IF(W1023&gt;0,R1023/W1023-1,-1)</f>
        <v/>
      </c>
      <c r="Y1023" s="19">
        <f>IF(R1023&gt;0,S1023*資金模擬!$B$7/R1023,0)</f>
        <v/>
      </c>
      <c r="Z1023" s="2">
        <f>IF(OR(Z1022=1,R1023&lt;=資金模擬!$B$10),1,0)</f>
        <v/>
      </c>
    </row>
    <row r="1024">
      <c r="A1024" s="2" t="n">
        <v>1022</v>
      </c>
      <c r="B1024" s="7" t="n">
        <v>46292.58333333334</v>
      </c>
      <c r="C1024" s="2" t="inlineStr">
        <is>
          <t>出場</t>
        </is>
      </c>
      <c r="D1024" s="2" t="n">
        <v>507</v>
      </c>
      <c r="E1024" s="2" t="inlineStr">
        <is>
          <t>NEAR_USDT_PERP</t>
        </is>
      </c>
      <c r="F1024" s="2" t="inlineStr">
        <is>
          <t>做多</t>
        </is>
      </c>
      <c r="G1024" s="20" t="n">
        <v>5.038</v>
      </c>
      <c r="H1024" s="20" t="n">
        <v>5.18914</v>
      </c>
      <c r="I1024" s="20" t="n">
        <v>4.7861</v>
      </c>
      <c r="J1024" s="20" t="n">
        <v>5.18914</v>
      </c>
      <c r="K1024" s="2" t="inlineStr">
        <is>
          <t>止盈</t>
        </is>
      </c>
      <c r="L1024" s="5">
        <f>交易明細!K508</f>
        <v/>
      </c>
      <c r="M1024" s="19">
        <f>M1013</f>
        <v/>
      </c>
      <c r="N1024" s="2">
        <f>N1013</f>
        <v/>
      </c>
      <c r="O1024" s="19">
        <f>O1013</f>
        <v/>
      </c>
      <c r="P1024" s="4">
        <f>交易明細!L508</f>
        <v/>
      </c>
      <c r="Q1024" s="13">
        <f>IF(N1024="已下單",O1024*P1024,0)</f>
        <v/>
      </c>
      <c r="R1024" s="13">
        <f>R1023+Q1024</f>
        <v/>
      </c>
      <c r="S1024" s="19">
        <f>S1023-IF(N1024="已下單",M1024,0)</f>
        <v/>
      </c>
      <c r="T1024" s="19">
        <f>R1024-S1024</f>
        <v/>
      </c>
      <c r="U1024" s="2">
        <f>U1023-IF(N1024="已下單",1,0)</f>
        <v/>
      </c>
      <c r="V1024" s="19">
        <f>IF(資金模擬!$B$9=2,MAX(R1024,0),MAX(V1023,FLOOR(MAX(R1024,0),資金模擬!$B$6)))</f>
        <v/>
      </c>
      <c r="W1024" s="13">
        <f>MAX(W1023,R1024)</f>
        <v/>
      </c>
      <c r="X1024" s="4">
        <f>IF(W1024&gt;0,R1024/W1024-1,-1)</f>
        <v/>
      </c>
      <c r="Y1024" s="19">
        <f>IF(R1024&gt;0,S1024*資金模擬!$B$7/R1024,0)</f>
        <v/>
      </c>
      <c r="Z1024" s="2">
        <f>IF(OR(Z1023=1,R1024&lt;=資金模擬!$B$10),1,0)</f>
        <v/>
      </c>
    </row>
    <row r="1025">
      <c r="A1025" s="2" t="n">
        <v>1023</v>
      </c>
      <c r="B1025" s="7" t="n">
        <v>46292.58333333334</v>
      </c>
      <c r="C1025" s="2" t="inlineStr">
        <is>
          <t>進場</t>
        </is>
      </c>
      <c r="D1025" s="2" t="n">
        <v>513</v>
      </c>
      <c r="E1025" s="2" t="inlineStr">
        <is>
          <t>MARSCOIN_USDT_PERP</t>
        </is>
      </c>
      <c r="F1025" s="2" t="inlineStr">
        <is>
          <t>做多</t>
        </is>
      </c>
      <c r="G1025" s="20" t="n">
        <v>0.13033</v>
      </c>
      <c r="H1025" s="20" t="n">
        <v>0.1342399</v>
      </c>
      <c r="I1025" s="20" t="n">
        <v>0.1238135</v>
      </c>
      <c r="J1025" s="20" t="n"/>
      <c r="K1025" s="2" t="n"/>
      <c r="L1025" s="5" t="n"/>
      <c r="M1025" s="19">
        <f>資金模擬!$B$5*V1024</f>
        <v/>
      </c>
      <c r="N1025" s="2">
        <f>IF(Z1024=1,"已停止",IF(T1024&gt;=M1025,"已下單","資金不足略過"))</f>
        <v/>
      </c>
      <c r="O1025" s="19">
        <f>IF(N1025="已下單",M1025*資金模擬!$B$7,0)</f>
        <v/>
      </c>
      <c r="P1025" s="4" t="n"/>
      <c r="Q1025" s="13" t="n">
        <v>0</v>
      </c>
      <c r="R1025" s="13">
        <f>R1024+Q1025</f>
        <v/>
      </c>
      <c r="S1025" s="19">
        <f>S1024+IF(N1025="已下單",M1025,0)</f>
        <v/>
      </c>
      <c r="T1025" s="19">
        <f>R1025-S1025</f>
        <v/>
      </c>
      <c r="U1025" s="2">
        <f>U1024+IF(N1025="已下單",1,0)</f>
        <v/>
      </c>
      <c r="V1025" s="19">
        <f>IF(資金模擬!$B$9=2,MAX(R1025,0),MAX(V1024,FLOOR(MAX(R1025,0),資金模擬!$B$6)))</f>
        <v/>
      </c>
      <c r="W1025" s="13">
        <f>MAX(W1024,R1025)</f>
        <v/>
      </c>
      <c r="X1025" s="4">
        <f>IF(W1025&gt;0,R1025/W1025-1,-1)</f>
        <v/>
      </c>
      <c r="Y1025" s="19">
        <f>IF(R1025&gt;0,S1025*資金模擬!$B$7/R1025,0)</f>
        <v/>
      </c>
      <c r="Z1025" s="2">
        <f>IF(OR(Z1024=1,R1025&lt;=資金模擬!$B$10),1,0)</f>
        <v/>
      </c>
    </row>
    <row r="1026">
      <c r="A1026" s="2" t="n">
        <v>1024</v>
      </c>
      <c r="B1026" s="7" t="n">
        <v>46292.58333333334</v>
      </c>
      <c r="C1026" s="2" t="inlineStr">
        <is>
          <t>進場</t>
        </is>
      </c>
      <c r="D1026" s="2" t="n">
        <v>514</v>
      </c>
      <c r="E1026" s="2" t="inlineStr">
        <is>
          <t>USELESS_USDT_PERP</t>
        </is>
      </c>
      <c r="F1026" s="2" t="inlineStr">
        <is>
          <t>做多</t>
        </is>
      </c>
      <c r="G1026" s="20" t="n">
        <v>0.28713</v>
      </c>
      <c r="H1026" s="20" t="n">
        <v>0.2957439</v>
      </c>
      <c r="I1026" s="20" t="n">
        <v>0.2727735</v>
      </c>
      <c r="J1026" s="20" t="n"/>
      <c r="K1026" s="2" t="n"/>
      <c r="L1026" s="5" t="n"/>
      <c r="M1026" s="19">
        <f>資金模擬!$B$5*V1025</f>
        <v/>
      </c>
      <c r="N1026" s="2">
        <f>IF(Z1025=1,"已停止",IF(T1025&gt;=M1026,"已下單","資金不足略過"))</f>
        <v/>
      </c>
      <c r="O1026" s="19">
        <f>IF(N1026="已下單",M1026*資金模擬!$B$7,0)</f>
        <v/>
      </c>
      <c r="P1026" s="4" t="n"/>
      <c r="Q1026" s="13" t="n">
        <v>0</v>
      </c>
      <c r="R1026" s="13">
        <f>R1025+Q1026</f>
        <v/>
      </c>
      <c r="S1026" s="19">
        <f>S1025+IF(N1026="已下單",M1026,0)</f>
        <v/>
      </c>
      <c r="T1026" s="19">
        <f>R1026-S1026</f>
        <v/>
      </c>
      <c r="U1026" s="2">
        <f>U1025+IF(N1026="已下單",1,0)</f>
        <v/>
      </c>
      <c r="V1026" s="19">
        <f>IF(資金模擬!$B$9=2,MAX(R1026,0),MAX(V1025,FLOOR(MAX(R1026,0),資金模擬!$B$6)))</f>
        <v/>
      </c>
      <c r="W1026" s="13">
        <f>MAX(W1025,R1026)</f>
        <v/>
      </c>
      <c r="X1026" s="4">
        <f>IF(W1026&gt;0,R1026/W1026-1,-1)</f>
        <v/>
      </c>
      <c r="Y1026" s="19">
        <f>IF(R1026&gt;0,S1026*資金模擬!$B$7/R1026,0)</f>
        <v/>
      </c>
      <c r="Z1026" s="2">
        <f>IF(OR(Z1025=1,R1026&lt;=資金模擬!$B$10),1,0)</f>
        <v/>
      </c>
    </row>
    <row r="1027">
      <c r="A1027" s="2" t="n">
        <v>1025</v>
      </c>
      <c r="B1027" s="7" t="n">
        <v>46292.625</v>
      </c>
      <c r="C1027" s="2" t="inlineStr">
        <is>
          <t>進場</t>
        </is>
      </c>
      <c r="D1027" s="2" t="n">
        <v>515</v>
      </c>
      <c r="E1027" s="2" t="inlineStr">
        <is>
          <t>BR_USDT_PERP</t>
        </is>
      </c>
      <c r="F1027" s="2" t="inlineStr">
        <is>
          <t>做空</t>
        </is>
      </c>
      <c r="G1027" s="20" t="n">
        <v>0.92489</v>
      </c>
      <c r="H1027" s="20" t="n">
        <v>0.8971433</v>
      </c>
      <c r="I1027" s="20" t="n">
        <v>0.9711345</v>
      </c>
      <c r="J1027" s="20" t="n"/>
      <c r="K1027" s="2" t="n"/>
      <c r="L1027" s="5" t="n"/>
      <c r="M1027" s="19">
        <f>資金模擬!$B$5*V1026</f>
        <v/>
      </c>
      <c r="N1027" s="2">
        <f>IF(Z1026=1,"已停止",IF(T1026&gt;=M1027,"已下單","資金不足略過"))</f>
        <v/>
      </c>
      <c r="O1027" s="19">
        <f>IF(N1027="已下單",M1027*資金模擬!$B$7,0)</f>
        <v/>
      </c>
      <c r="P1027" s="4" t="n"/>
      <c r="Q1027" s="13" t="n">
        <v>0</v>
      </c>
      <c r="R1027" s="13">
        <f>R1026+Q1027</f>
        <v/>
      </c>
      <c r="S1027" s="19">
        <f>S1026+IF(N1027="已下單",M1027,0)</f>
        <v/>
      </c>
      <c r="T1027" s="19">
        <f>R1027-S1027</f>
        <v/>
      </c>
      <c r="U1027" s="2">
        <f>U1026+IF(N1027="已下單",1,0)</f>
        <v/>
      </c>
      <c r="V1027" s="19">
        <f>IF(資金模擬!$B$9=2,MAX(R1027,0),MAX(V1026,FLOOR(MAX(R1027,0),資金模擬!$B$6)))</f>
        <v/>
      </c>
      <c r="W1027" s="13">
        <f>MAX(W1026,R1027)</f>
        <v/>
      </c>
      <c r="X1027" s="4">
        <f>IF(W1027&gt;0,R1027/W1027-1,-1)</f>
        <v/>
      </c>
      <c r="Y1027" s="19">
        <f>IF(R1027&gt;0,S1027*資金模擬!$B$7/R1027,0)</f>
        <v/>
      </c>
      <c r="Z1027" s="2">
        <f>IF(OR(Z1026=1,R1027&lt;=資金模擬!$B$10),1,0)</f>
        <v/>
      </c>
    </row>
    <row r="1028">
      <c r="A1028" s="2" t="n">
        <v>1026</v>
      </c>
      <c r="B1028" s="7" t="n">
        <v>46292.625</v>
      </c>
      <c r="C1028" s="2" t="inlineStr">
        <is>
          <t>進場</t>
        </is>
      </c>
      <c r="D1028" s="2" t="n">
        <v>516</v>
      </c>
      <c r="E1028" s="2" t="inlineStr">
        <is>
          <t>WLD_USDT_PERP</t>
        </is>
      </c>
      <c r="F1028" s="2" t="inlineStr">
        <is>
          <t>做多</t>
        </is>
      </c>
      <c r="G1028" s="20" t="n">
        <v>0.5365</v>
      </c>
      <c r="H1028" s="20" t="n">
        <v>0.5525949999999999</v>
      </c>
      <c r="I1028" s="20" t="n">
        <v>0.509675</v>
      </c>
      <c r="J1028" s="20" t="n"/>
      <c r="K1028" s="2" t="n"/>
      <c r="L1028" s="5" t="n"/>
      <c r="M1028" s="19">
        <f>資金模擬!$B$5*V1027</f>
        <v/>
      </c>
      <c r="N1028" s="2">
        <f>IF(Z1027=1,"已停止",IF(T1027&gt;=M1028,"已下單","資金不足略過"))</f>
        <v/>
      </c>
      <c r="O1028" s="19">
        <f>IF(N1028="已下單",M1028*資金模擬!$B$7,0)</f>
        <v/>
      </c>
      <c r="P1028" s="4" t="n"/>
      <c r="Q1028" s="13" t="n">
        <v>0</v>
      </c>
      <c r="R1028" s="13">
        <f>R1027+Q1028</f>
        <v/>
      </c>
      <c r="S1028" s="19">
        <f>S1027+IF(N1028="已下單",M1028,0)</f>
        <v/>
      </c>
      <c r="T1028" s="19">
        <f>R1028-S1028</f>
        <v/>
      </c>
      <c r="U1028" s="2">
        <f>U1027+IF(N1028="已下單",1,0)</f>
        <v/>
      </c>
      <c r="V1028" s="19">
        <f>IF(資金模擬!$B$9=2,MAX(R1028,0),MAX(V1027,FLOOR(MAX(R1028,0),資金模擬!$B$6)))</f>
        <v/>
      </c>
      <c r="W1028" s="13">
        <f>MAX(W1027,R1028)</f>
        <v/>
      </c>
      <c r="X1028" s="4">
        <f>IF(W1028&gt;0,R1028/W1028-1,-1)</f>
        <v/>
      </c>
      <c r="Y1028" s="19">
        <f>IF(R1028&gt;0,S1028*資金模擬!$B$7/R1028,0)</f>
        <v/>
      </c>
      <c r="Z1028" s="2">
        <f>IF(OR(Z1027=1,R1028&lt;=資金模擬!$B$10),1,0)</f>
        <v/>
      </c>
    </row>
    <row r="1029">
      <c r="A1029" s="2" t="n">
        <v>1027</v>
      </c>
      <c r="B1029" s="7" t="n">
        <v>46292.66666666666</v>
      </c>
      <c r="C1029" s="2" t="inlineStr">
        <is>
          <t>出場</t>
        </is>
      </c>
      <c r="D1029" s="2" t="n">
        <v>515</v>
      </c>
      <c r="E1029" s="2" t="inlineStr">
        <is>
          <t>BR_USDT_PERP</t>
        </is>
      </c>
      <c r="F1029" s="2" t="inlineStr">
        <is>
          <t>做空</t>
        </is>
      </c>
      <c r="G1029" s="20" t="n">
        <v>0.92489</v>
      </c>
      <c r="H1029" s="20" t="n">
        <v>0.8971433</v>
      </c>
      <c r="I1029" s="20" t="n">
        <v>0.9711345</v>
      </c>
      <c r="J1029" s="20" t="n">
        <v>0.8971433</v>
      </c>
      <c r="K1029" s="2" t="inlineStr">
        <is>
          <t>止盈</t>
        </is>
      </c>
      <c r="L1029" s="5">
        <f>交易明細!K516</f>
        <v/>
      </c>
      <c r="M1029" s="19">
        <f>M1027</f>
        <v/>
      </c>
      <c r="N1029" s="2">
        <f>N1027</f>
        <v/>
      </c>
      <c r="O1029" s="19">
        <f>O1027</f>
        <v/>
      </c>
      <c r="P1029" s="4">
        <f>交易明細!L516</f>
        <v/>
      </c>
      <c r="Q1029" s="13">
        <f>IF(N1029="已下單",O1029*P1029,0)</f>
        <v/>
      </c>
      <c r="R1029" s="13">
        <f>R1028+Q1029</f>
        <v/>
      </c>
      <c r="S1029" s="19">
        <f>S1028-IF(N1029="已下單",M1029,0)</f>
        <v/>
      </c>
      <c r="T1029" s="19">
        <f>R1029-S1029</f>
        <v/>
      </c>
      <c r="U1029" s="2">
        <f>U1028-IF(N1029="已下單",1,0)</f>
        <v/>
      </c>
      <c r="V1029" s="19">
        <f>IF(資金模擬!$B$9=2,MAX(R1029,0),MAX(V1028,FLOOR(MAX(R1029,0),資金模擬!$B$6)))</f>
        <v/>
      </c>
      <c r="W1029" s="13">
        <f>MAX(W1028,R1029)</f>
        <v/>
      </c>
      <c r="X1029" s="4">
        <f>IF(W1029&gt;0,R1029/W1029-1,-1)</f>
        <v/>
      </c>
      <c r="Y1029" s="19">
        <f>IF(R1029&gt;0,S1029*資金模擬!$B$7/R1029,0)</f>
        <v/>
      </c>
      <c r="Z1029" s="2">
        <f>IF(OR(Z1028=1,R1029&lt;=資金模擬!$B$10),1,0)</f>
        <v/>
      </c>
    </row>
    <row r="1030">
      <c r="A1030" s="2" t="n">
        <v>1028</v>
      </c>
      <c r="B1030" s="7" t="n">
        <v>46292.70833333334</v>
      </c>
      <c r="C1030" s="2" t="inlineStr">
        <is>
          <t>出場</t>
        </is>
      </c>
      <c r="D1030" s="2" t="n">
        <v>516</v>
      </c>
      <c r="E1030" s="2" t="inlineStr">
        <is>
          <t>WLD_USDT_PERP</t>
        </is>
      </c>
      <c r="F1030" s="2" t="inlineStr">
        <is>
          <t>做多</t>
        </is>
      </c>
      <c r="G1030" s="20" t="n">
        <v>0.5365</v>
      </c>
      <c r="H1030" s="20" t="n">
        <v>0.5525949999999999</v>
      </c>
      <c r="I1030" s="20" t="n">
        <v>0.509675</v>
      </c>
      <c r="J1030" s="20" t="n">
        <v>0.5525949999999999</v>
      </c>
      <c r="K1030" s="2" t="inlineStr">
        <is>
          <t>止盈</t>
        </is>
      </c>
      <c r="L1030" s="5">
        <f>交易明細!K517</f>
        <v/>
      </c>
      <c r="M1030" s="19">
        <f>M1028</f>
        <v/>
      </c>
      <c r="N1030" s="2">
        <f>N1028</f>
        <v/>
      </c>
      <c r="O1030" s="19">
        <f>O1028</f>
        <v/>
      </c>
      <c r="P1030" s="4">
        <f>交易明細!L517</f>
        <v/>
      </c>
      <c r="Q1030" s="13">
        <f>IF(N1030="已下單",O1030*P1030,0)</f>
        <v/>
      </c>
      <c r="R1030" s="13">
        <f>R1029+Q1030</f>
        <v/>
      </c>
      <c r="S1030" s="19">
        <f>S1029-IF(N1030="已下單",M1030,0)</f>
        <v/>
      </c>
      <c r="T1030" s="19">
        <f>R1030-S1030</f>
        <v/>
      </c>
      <c r="U1030" s="2">
        <f>U1029-IF(N1030="已下單",1,0)</f>
        <v/>
      </c>
      <c r="V1030" s="19">
        <f>IF(資金模擬!$B$9=2,MAX(R1030,0),MAX(V1029,FLOOR(MAX(R1030,0),資金模擬!$B$6)))</f>
        <v/>
      </c>
      <c r="W1030" s="13">
        <f>MAX(W1029,R1030)</f>
        <v/>
      </c>
      <c r="X1030" s="4">
        <f>IF(W1030&gt;0,R1030/W1030-1,-1)</f>
        <v/>
      </c>
      <c r="Y1030" s="19">
        <f>IF(R1030&gt;0,S1030*資金模擬!$B$7/R1030,0)</f>
        <v/>
      </c>
      <c r="Z1030" s="2">
        <f>IF(OR(Z1029=1,R1030&lt;=資金模擬!$B$10),1,0)</f>
        <v/>
      </c>
    </row>
    <row r="1031">
      <c r="A1031" s="2" t="n">
        <v>1029</v>
      </c>
      <c r="B1031" s="7" t="n">
        <v>46292.79166666666</v>
      </c>
      <c r="C1031" s="2" t="inlineStr">
        <is>
          <t>出場</t>
        </is>
      </c>
      <c r="D1031" s="2" t="n">
        <v>513</v>
      </c>
      <c r="E1031" s="2" t="inlineStr">
        <is>
          <t>MARSCOIN_USDT_PERP</t>
        </is>
      </c>
      <c r="F1031" s="2" t="inlineStr">
        <is>
          <t>做多</t>
        </is>
      </c>
      <c r="G1031" s="20" t="n">
        <v>0.13033</v>
      </c>
      <c r="H1031" s="20" t="n">
        <v>0.1342399</v>
      </c>
      <c r="I1031" s="20" t="n">
        <v>0.1238135</v>
      </c>
      <c r="J1031" s="20" t="n">
        <v>0.1342399</v>
      </c>
      <c r="K1031" s="2" t="inlineStr">
        <is>
          <t>止盈</t>
        </is>
      </c>
      <c r="L1031" s="5">
        <f>交易明細!K514</f>
        <v/>
      </c>
      <c r="M1031" s="19">
        <f>M1025</f>
        <v/>
      </c>
      <c r="N1031" s="2">
        <f>N1025</f>
        <v/>
      </c>
      <c r="O1031" s="19">
        <f>O1025</f>
        <v/>
      </c>
      <c r="P1031" s="4">
        <f>交易明細!L514</f>
        <v/>
      </c>
      <c r="Q1031" s="13">
        <f>IF(N1031="已下單",O1031*P1031,0)</f>
        <v/>
      </c>
      <c r="R1031" s="13">
        <f>R1030+Q1031</f>
        <v/>
      </c>
      <c r="S1031" s="19">
        <f>S1030-IF(N1031="已下單",M1031,0)</f>
        <v/>
      </c>
      <c r="T1031" s="19">
        <f>R1031-S1031</f>
        <v/>
      </c>
      <c r="U1031" s="2">
        <f>U1030-IF(N1031="已下單",1,0)</f>
        <v/>
      </c>
      <c r="V1031" s="19">
        <f>IF(資金模擬!$B$9=2,MAX(R1031,0),MAX(V1030,FLOOR(MAX(R1031,0),資金模擬!$B$6)))</f>
        <v/>
      </c>
      <c r="W1031" s="13">
        <f>MAX(W1030,R1031)</f>
        <v/>
      </c>
      <c r="X1031" s="4">
        <f>IF(W1031&gt;0,R1031/W1031-1,-1)</f>
        <v/>
      </c>
      <c r="Y1031" s="19">
        <f>IF(R1031&gt;0,S1031*資金模擬!$B$7/R1031,0)</f>
        <v/>
      </c>
      <c r="Z1031" s="2">
        <f>IF(OR(Z1030=1,R1031&lt;=資金模擬!$B$10),1,0)</f>
        <v/>
      </c>
    </row>
    <row r="1032">
      <c r="A1032" s="2" t="n">
        <v>1030</v>
      </c>
      <c r="B1032" s="7" t="n">
        <v>46292.79166666666</v>
      </c>
      <c r="C1032" s="2" t="inlineStr">
        <is>
          <t>進場</t>
        </is>
      </c>
      <c r="D1032" s="2" t="n">
        <v>517</v>
      </c>
      <c r="E1032" s="2" t="inlineStr">
        <is>
          <t>DASH_USDT_PERP</t>
        </is>
      </c>
      <c r="F1032" s="2" t="inlineStr">
        <is>
          <t>做空</t>
        </is>
      </c>
      <c r="G1032" s="20" t="n">
        <v>69.26000000000001</v>
      </c>
      <c r="H1032" s="20" t="n">
        <v>67.18220000000001</v>
      </c>
      <c r="I1032" s="20" t="n">
        <v>72.72300000000001</v>
      </c>
      <c r="J1032" s="20" t="n"/>
      <c r="K1032" s="2" t="n"/>
      <c r="L1032" s="5" t="n"/>
      <c r="M1032" s="19">
        <f>資金模擬!$B$5*V1031</f>
        <v/>
      </c>
      <c r="N1032" s="2">
        <f>IF(Z1031=1,"已停止",IF(T1031&gt;=M1032,"已下單","資金不足略過"))</f>
        <v/>
      </c>
      <c r="O1032" s="19">
        <f>IF(N1032="已下單",M1032*資金模擬!$B$7,0)</f>
        <v/>
      </c>
      <c r="P1032" s="4" t="n"/>
      <c r="Q1032" s="13" t="n">
        <v>0</v>
      </c>
      <c r="R1032" s="13">
        <f>R1031+Q1032</f>
        <v/>
      </c>
      <c r="S1032" s="19">
        <f>S1031+IF(N1032="已下單",M1032,0)</f>
        <v/>
      </c>
      <c r="T1032" s="19">
        <f>R1032-S1032</f>
        <v/>
      </c>
      <c r="U1032" s="2">
        <f>U1031+IF(N1032="已下單",1,0)</f>
        <v/>
      </c>
      <c r="V1032" s="19">
        <f>IF(資金模擬!$B$9=2,MAX(R1032,0),MAX(V1031,FLOOR(MAX(R1032,0),資金模擬!$B$6)))</f>
        <v/>
      </c>
      <c r="W1032" s="13">
        <f>MAX(W1031,R1032)</f>
        <v/>
      </c>
      <c r="X1032" s="4">
        <f>IF(W1032&gt;0,R1032/W1032-1,-1)</f>
        <v/>
      </c>
      <c r="Y1032" s="19">
        <f>IF(R1032&gt;0,S1032*資金模擬!$B$7/R1032,0)</f>
        <v/>
      </c>
      <c r="Z1032" s="2">
        <f>IF(OR(Z1031=1,R1032&lt;=資金模擬!$B$10),1,0)</f>
        <v/>
      </c>
    </row>
    <row r="1033">
      <c r="A1033" s="2" t="n">
        <v>1031</v>
      </c>
      <c r="B1033" s="7" t="n">
        <v>46292.83333333334</v>
      </c>
      <c r="C1033" s="2" t="inlineStr">
        <is>
          <t>出場</t>
        </is>
      </c>
      <c r="D1033" s="2" t="n">
        <v>511</v>
      </c>
      <c r="E1033" s="2" t="inlineStr">
        <is>
          <t>AKE_USDT_PERP</t>
        </is>
      </c>
      <c r="F1033" s="2" t="inlineStr">
        <is>
          <t>做多</t>
        </is>
      </c>
      <c r="G1033" s="20" t="n">
        <v>0.0342425</v>
      </c>
      <c r="H1033" s="20" t="n">
        <v>0.035269775</v>
      </c>
      <c r="I1033" s="20" t="n">
        <v>0.032530375</v>
      </c>
      <c r="J1033" s="20" t="n">
        <v>0.032530375</v>
      </c>
      <c r="K1033" s="2" t="inlineStr">
        <is>
          <t>止損</t>
        </is>
      </c>
      <c r="L1033" s="5">
        <f>交易明細!K512</f>
        <v/>
      </c>
      <c r="M1033" s="19">
        <f>M1019</f>
        <v/>
      </c>
      <c r="N1033" s="2">
        <f>N1019</f>
        <v/>
      </c>
      <c r="O1033" s="19">
        <f>O1019</f>
        <v/>
      </c>
      <c r="P1033" s="4">
        <f>交易明細!L512</f>
        <v/>
      </c>
      <c r="Q1033" s="13">
        <f>IF(N1033="已下單",O1033*P1033,0)</f>
        <v/>
      </c>
      <c r="R1033" s="13">
        <f>R1032+Q1033</f>
        <v/>
      </c>
      <c r="S1033" s="19">
        <f>S1032-IF(N1033="已下單",M1033,0)</f>
        <v/>
      </c>
      <c r="T1033" s="19">
        <f>R1033-S1033</f>
        <v/>
      </c>
      <c r="U1033" s="2">
        <f>U1032-IF(N1033="已下單",1,0)</f>
        <v/>
      </c>
      <c r="V1033" s="19">
        <f>IF(資金模擬!$B$9=2,MAX(R1033,0),MAX(V1032,FLOOR(MAX(R1033,0),資金模擬!$B$6)))</f>
        <v/>
      </c>
      <c r="W1033" s="13">
        <f>MAX(W1032,R1033)</f>
        <v/>
      </c>
      <c r="X1033" s="4">
        <f>IF(W1033&gt;0,R1033/W1033-1,-1)</f>
        <v/>
      </c>
      <c r="Y1033" s="19">
        <f>IF(R1033&gt;0,S1033*資金模擬!$B$7/R1033,0)</f>
        <v/>
      </c>
      <c r="Z1033" s="2">
        <f>IF(OR(Z1032=1,R1033&lt;=資金模擬!$B$10),1,0)</f>
        <v/>
      </c>
    </row>
    <row r="1034">
      <c r="A1034" s="2" t="n">
        <v>1032</v>
      </c>
      <c r="B1034" s="7" t="n">
        <v>46292.83333333334</v>
      </c>
      <c r="C1034" s="2" t="inlineStr">
        <is>
          <t>出場</t>
        </is>
      </c>
      <c r="D1034" s="2" t="n">
        <v>514</v>
      </c>
      <c r="E1034" s="2" t="inlineStr">
        <is>
          <t>USELESS_USDT_PERP</t>
        </is>
      </c>
      <c r="F1034" s="2" t="inlineStr">
        <is>
          <t>做多</t>
        </is>
      </c>
      <c r="G1034" s="20" t="n">
        <v>0.28713</v>
      </c>
      <c r="H1034" s="20" t="n">
        <v>0.2957439</v>
      </c>
      <c r="I1034" s="20" t="n">
        <v>0.2727735</v>
      </c>
      <c r="J1034" s="20" t="n">
        <v>0.2957439</v>
      </c>
      <c r="K1034" s="2" t="inlineStr">
        <is>
          <t>止盈</t>
        </is>
      </c>
      <c r="L1034" s="5">
        <f>交易明細!K515</f>
        <v/>
      </c>
      <c r="M1034" s="19">
        <f>M1026</f>
        <v/>
      </c>
      <c r="N1034" s="2">
        <f>N1026</f>
        <v/>
      </c>
      <c r="O1034" s="19">
        <f>O1026</f>
        <v/>
      </c>
      <c r="P1034" s="4">
        <f>交易明細!L515</f>
        <v/>
      </c>
      <c r="Q1034" s="13">
        <f>IF(N1034="已下單",O1034*P1034,0)</f>
        <v/>
      </c>
      <c r="R1034" s="13">
        <f>R1033+Q1034</f>
        <v/>
      </c>
      <c r="S1034" s="19">
        <f>S1033-IF(N1034="已下單",M1034,0)</f>
        <v/>
      </c>
      <c r="T1034" s="19">
        <f>R1034-S1034</f>
        <v/>
      </c>
      <c r="U1034" s="2">
        <f>U1033-IF(N1034="已下單",1,0)</f>
        <v/>
      </c>
      <c r="V1034" s="19">
        <f>IF(資金模擬!$B$9=2,MAX(R1034,0),MAX(V1033,FLOOR(MAX(R1034,0),資金模擬!$B$6)))</f>
        <v/>
      </c>
      <c r="W1034" s="13">
        <f>MAX(W1033,R1034)</f>
        <v/>
      </c>
      <c r="X1034" s="4">
        <f>IF(W1034&gt;0,R1034/W1034-1,-1)</f>
        <v/>
      </c>
      <c r="Y1034" s="19">
        <f>IF(R1034&gt;0,S1034*資金模擬!$B$7/R1034,0)</f>
        <v/>
      </c>
      <c r="Z1034" s="2">
        <f>IF(OR(Z1033=1,R1034&lt;=資金模擬!$B$10),1,0)</f>
        <v/>
      </c>
    </row>
    <row r="1035">
      <c r="A1035" s="2" t="n">
        <v>1033</v>
      </c>
      <c r="B1035" s="7" t="n">
        <v>46292.83333333334</v>
      </c>
      <c r="C1035" s="2" t="inlineStr">
        <is>
          <t>進場</t>
        </is>
      </c>
      <c r="D1035" s="2" t="n">
        <v>518</v>
      </c>
      <c r="E1035" s="2" t="inlineStr">
        <is>
          <t>BR_USDT_PERP</t>
        </is>
      </c>
      <c r="F1035" s="2" t="inlineStr">
        <is>
          <t>做空</t>
        </is>
      </c>
      <c r="G1035" s="20" t="n">
        <v>0.90447</v>
      </c>
      <c r="H1035" s="20" t="n">
        <v>0.8773358999999999</v>
      </c>
      <c r="I1035" s="20" t="n">
        <v>0.9496935000000001</v>
      </c>
      <c r="J1035" s="20" t="n"/>
      <c r="K1035" s="2" t="n"/>
      <c r="L1035" s="5" t="n"/>
      <c r="M1035" s="19">
        <f>資金模擬!$B$5*V1034</f>
        <v/>
      </c>
      <c r="N1035" s="2">
        <f>IF(Z1034=1,"已停止",IF(T1034&gt;=M1035,"已下單","資金不足略過"))</f>
        <v/>
      </c>
      <c r="O1035" s="19">
        <f>IF(N1035="已下單",M1035*資金模擬!$B$7,0)</f>
        <v/>
      </c>
      <c r="P1035" s="4" t="n"/>
      <c r="Q1035" s="13" t="n">
        <v>0</v>
      </c>
      <c r="R1035" s="13">
        <f>R1034+Q1035</f>
        <v/>
      </c>
      <c r="S1035" s="19">
        <f>S1034+IF(N1035="已下單",M1035,0)</f>
        <v/>
      </c>
      <c r="T1035" s="19">
        <f>R1035-S1035</f>
        <v/>
      </c>
      <c r="U1035" s="2">
        <f>U1034+IF(N1035="已下單",1,0)</f>
        <v/>
      </c>
      <c r="V1035" s="19">
        <f>IF(資金模擬!$B$9=2,MAX(R1035,0),MAX(V1034,FLOOR(MAX(R1035,0),資金模擬!$B$6)))</f>
        <v/>
      </c>
      <c r="W1035" s="13">
        <f>MAX(W1034,R1035)</f>
        <v/>
      </c>
      <c r="X1035" s="4">
        <f>IF(W1035&gt;0,R1035/W1035-1,-1)</f>
        <v/>
      </c>
      <c r="Y1035" s="19">
        <f>IF(R1035&gt;0,S1035*資金模擬!$B$7/R1035,0)</f>
        <v/>
      </c>
      <c r="Z1035" s="2">
        <f>IF(OR(Z1034=1,R1035&lt;=資金模擬!$B$10),1,0)</f>
        <v/>
      </c>
    </row>
    <row r="1036">
      <c r="A1036" s="2" t="n">
        <v>1034</v>
      </c>
      <c r="B1036" s="7" t="n">
        <v>46292.875</v>
      </c>
      <c r="C1036" s="2" t="inlineStr">
        <is>
          <t>進場</t>
        </is>
      </c>
      <c r="D1036" s="2" t="n">
        <v>519</v>
      </c>
      <c r="E1036" s="2" t="inlineStr">
        <is>
          <t>MARSCOIN_USDT_PERP</t>
        </is>
      </c>
      <c r="F1036" s="2" t="inlineStr">
        <is>
          <t>做空</t>
        </is>
      </c>
      <c r="G1036" s="20" t="n">
        <v>0.1329</v>
      </c>
      <c r="H1036" s="20" t="n">
        <v>0.128913</v>
      </c>
      <c r="I1036" s="20" t="n">
        <v>0.139545</v>
      </c>
      <c r="J1036" s="20" t="n"/>
      <c r="K1036" s="2" t="n"/>
      <c r="L1036" s="5" t="n"/>
      <c r="M1036" s="19">
        <f>資金模擬!$B$5*V1035</f>
        <v/>
      </c>
      <c r="N1036" s="2">
        <f>IF(Z1035=1,"已停止",IF(T1035&gt;=M1036,"已下單","資金不足略過"))</f>
        <v/>
      </c>
      <c r="O1036" s="19">
        <f>IF(N1036="已下單",M1036*資金模擬!$B$7,0)</f>
        <v/>
      </c>
      <c r="P1036" s="4" t="n"/>
      <c r="Q1036" s="13" t="n">
        <v>0</v>
      </c>
      <c r="R1036" s="13">
        <f>R1035+Q1036</f>
        <v/>
      </c>
      <c r="S1036" s="19">
        <f>S1035+IF(N1036="已下單",M1036,0)</f>
        <v/>
      </c>
      <c r="T1036" s="19">
        <f>R1036-S1036</f>
        <v/>
      </c>
      <c r="U1036" s="2">
        <f>U1035+IF(N1036="已下單",1,0)</f>
        <v/>
      </c>
      <c r="V1036" s="19">
        <f>IF(資金模擬!$B$9=2,MAX(R1036,0),MAX(V1035,FLOOR(MAX(R1036,0),資金模擬!$B$6)))</f>
        <v/>
      </c>
      <c r="W1036" s="13">
        <f>MAX(W1035,R1036)</f>
        <v/>
      </c>
      <c r="X1036" s="4">
        <f>IF(W1036&gt;0,R1036/W1036-1,-1)</f>
        <v/>
      </c>
      <c r="Y1036" s="19">
        <f>IF(R1036&gt;0,S1036*資金模擬!$B$7/R1036,0)</f>
        <v/>
      </c>
      <c r="Z1036" s="2">
        <f>IF(OR(Z1035=1,R1036&lt;=資金模擬!$B$10),1,0)</f>
        <v/>
      </c>
    </row>
    <row r="1037">
      <c r="A1037" s="2" t="n">
        <v>1035</v>
      </c>
      <c r="B1037" s="7" t="n">
        <v>46292.91666666666</v>
      </c>
      <c r="C1037" s="2" t="inlineStr">
        <is>
          <t>出場</t>
        </is>
      </c>
      <c r="D1037" s="2" t="n">
        <v>519</v>
      </c>
      <c r="E1037" s="2" t="inlineStr">
        <is>
          <t>MARSCOIN_USDT_PERP</t>
        </is>
      </c>
      <c r="F1037" s="2" t="inlineStr">
        <is>
          <t>做空</t>
        </is>
      </c>
      <c r="G1037" s="20" t="n">
        <v>0.1329</v>
      </c>
      <c r="H1037" s="20" t="n">
        <v>0.128913</v>
      </c>
      <c r="I1037" s="20" t="n">
        <v>0.139545</v>
      </c>
      <c r="J1037" s="20" t="n">
        <v>0.128913</v>
      </c>
      <c r="K1037" s="2" t="inlineStr">
        <is>
          <t>止盈</t>
        </is>
      </c>
      <c r="L1037" s="5">
        <f>交易明細!K520</f>
        <v/>
      </c>
      <c r="M1037" s="19">
        <f>M1036</f>
        <v/>
      </c>
      <c r="N1037" s="2">
        <f>N1036</f>
        <v/>
      </c>
      <c r="O1037" s="19">
        <f>O1036</f>
        <v/>
      </c>
      <c r="P1037" s="4">
        <f>交易明細!L520</f>
        <v/>
      </c>
      <c r="Q1037" s="13">
        <f>IF(N1037="已下單",O1037*P1037,0)</f>
        <v/>
      </c>
      <c r="R1037" s="13">
        <f>R1036+Q1037</f>
        <v/>
      </c>
      <c r="S1037" s="19">
        <f>S1036-IF(N1037="已下單",M1037,0)</f>
        <v/>
      </c>
      <c r="T1037" s="19">
        <f>R1037-S1037</f>
        <v/>
      </c>
      <c r="U1037" s="2">
        <f>U1036-IF(N1037="已下單",1,0)</f>
        <v/>
      </c>
      <c r="V1037" s="19">
        <f>IF(資金模擬!$B$9=2,MAX(R1037,0),MAX(V1036,FLOOR(MAX(R1037,0),資金模擬!$B$6)))</f>
        <v/>
      </c>
      <c r="W1037" s="13">
        <f>MAX(W1036,R1037)</f>
        <v/>
      </c>
      <c r="X1037" s="4">
        <f>IF(W1037&gt;0,R1037/W1037-1,-1)</f>
        <v/>
      </c>
      <c r="Y1037" s="19">
        <f>IF(R1037&gt;0,S1037*資金模擬!$B$7/R1037,0)</f>
        <v/>
      </c>
      <c r="Z1037" s="2">
        <f>IF(OR(Z1036=1,R1037&lt;=資金模擬!$B$10),1,0)</f>
        <v/>
      </c>
    </row>
    <row r="1038">
      <c r="A1038" s="2" t="n">
        <v>1036</v>
      </c>
      <c r="B1038" s="7" t="n">
        <v>46292.95833333334</v>
      </c>
      <c r="C1038" s="2" t="inlineStr">
        <is>
          <t>出場</t>
        </is>
      </c>
      <c r="D1038" s="2" t="n">
        <v>512</v>
      </c>
      <c r="E1038" s="2" t="inlineStr">
        <is>
          <t>PONS_USDT_PERP</t>
        </is>
      </c>
      <c r="F1038" s="2" t="inlineStr">
        <is>
          <t>做空</t>
        </is>
      </c>
      <c r="G1038" s="20" t="n">
        <v>0.6106</v>
      </c>
      <c r="H1038" s="20" t="n">
        <v>0.592282</v>
      </c>
      <c r="I1038" s="20" t="n">
        <v>0.6411300000000001</v>
      </c>
      <c r="J1038" s="20" t="n">
        <v>0.592282</v>
      </c>
      <c r="K1038" s="2" t="inlineStr">
        <is>
          <t>止盈</t>
        </is>
      </c>
      <c r="L1038" s="5">
        <f>交易明細!K513</f>
        <v/>
      </c>
      <c r="M1038" s="19">
        <f>M1023</f>
        <v/>
      </c>
      <c r="N1038" s="2">
        <f>N1023</f>
        <v/>
      </c>
      <c r="O1038" s="19">
        <f>O1023</f>
        <v/>
      </c>
      <c r="P1038" s="4">
        <f>交易明細!L513</f>
        <v/>
      </c>
      <c r="Q1038" s="13">
        <f>IF(N1038="已下單",O1038*P1038,0)</f>
        <v/>
      </c>
      <c r="R1038" s="13">
        <f>R1037+Q1038</f>
        <v/>
      </c>
      <c r="S1038" s="19">
        <f>S1037-IF(N1038="已下單",M1038,0)</f>
        <v/>
      </c>
      <c r="T1038" s="19">
        <f>R1038-S1038</f>
        <v/>
      </c>
      <c r="U1038" s="2">
        <f>U1037-IF(N1038="已下單",1,0)</f>
        <v/>
      </c>
      <c r="V1038" s="19">
        <f>IF(資金模擬!$B$9=2,MAX(R1038,0),MAX(V1037,FLOOR(MAX(R1038,0),資金模擬!$B$6)))</f>
        <v/>
      </c>
      <c r="W1038" s="13">
        <f>MAX(W1037,R1038)</f>
        <v/>
      </c>
      <c r="X1038" s="4">
        <f>IF(W1038&gt;0,R1038/W1038-1,-1)</f>
        <v/>
      </c>
      <c r="Y1038" s="19">
        <f>IF(R1038&gt;0,S1038*資金模擬!$B$7/R1038,0)</f>
        <v/>
      </c>
      <c r="Z1038" s="2">
        <f>IF(OR(Z1037=1,R1038&lt;=資金模擬!$B$10),1,0)</f>
        <v/>
      </c>
    </row>
    <row r="1039">
      <c r="A1039" s="2" t="n">
        <v>1037</v>
      </c>
      <c r="B1039" s="7" t="n">
        <v>46292.95833333334</v>
      </c>
      <c r="C1039" s="2" t="inlineStr">
        <is>
          <t>進場</t>
        </is>
      </c>
      <c r="D1039" s="2" t="n">
        <v>520</v>
      </c>
      <c r="E1039" s="2" t="inlineStr">
        <is>
          <t>MARSCOIN_USDT_PERP</t>
        </is>
      </c>
      <c r="F1039" s="2" t="inlineStr">
        <is>
          <t>做空</t>
        </is>
      </c>
      <c r="G1039" s="20" t="n">
        <v>0.12733</v>
      </c>
      <c r="H1039" s="20" t="n">
        <v>0.1235101</v>
      </c>
      <c r="I1039" s="20" t="n">
        <v>0.1336965</v>
      </c>
      <c r="J1039" s="20" t="n"/>
      <c r="K1039" s="2" t="n"/>
      <c r="L1039" s="5" t="n"/>
      <c r="M1039" s="19">
        <f>資金模擬!$B$5*V1038</f>
        <v/>
      </c>
      <c r="N1039" s="2">
        <f>IF(Z1038=1,"已停止",IF(T1038&gt;=M1039,"已下單","資金不足略過"))</f>
        <v/>
      </c>
      <c r="O1039" s="19">
        <f>IF(N1039="已下單",M1039*資金模擬!$B$7,0)</f>
        <v/>
      </c>
      <c r="P1039" s="4" t="n"/>
      <c r="Q1039" s="13" t="n">
        <v>0</v>
      </c>
      <c r="R1039" s="13">
        <f>R1038+Q1039</f>
        <v/>
      </c>
      <c r="S1039" s="19">
        <f>S1038+IF(N1039="已下單",M1039,0)</f>
        <v/>
      </c>
      <c r="T1039" s="19">
        <f>R1039-S1039</f>
        <v/>
      </c>
      <c r="U1039" s="2">
        <f>U1038+IF(N1039="已下單",1,0)</f>
        <v/>
      </c>
      <c r="V1039" s="19">
        <f>IF(資金模擬!$B$9=2,MAX(R1039,0),MAX(V1038,FLOOR(MAX(R1039,0),資金模擬!$B$6)))</f>
        <v/>
      </c>
      <c r="W1039" s="13">
        <f>MAX(W1038,R1039)</f>
        <v/>
      </c>
      <c r="X1039" s="4">
        <f>IF(W1039&gt;0,R1039/W1039-1,-1)</f>
        <v/>
      </c>
      <c r="Y1039" s="19">
        <f>IF(R1039&gt;0,S1039*資金模擬!$B$7/R1039,0)</f>
        <v/>
      </c>
      <c r="Z1039" s="2">
        <f>IF(OR(Z1038=1,R1039&lt;=資金模擬!$B$10),1,0)</f>
        <v/>
      </c>
    </row>
    <row r="1040">
      <c r="A1040" s="2" t="n">
        <v>1038</v>
      </c>
      <c r="B1040" s="7" t="n">
        <v>46292.95833333334</v>
      </c>
      <c r="C1040" s="2" t="inlineStr">
        <is>
          <t>進場</t>
        </is>
      </c>
      <c r="D1040" s="2" t="n">
        <v>521</v>
      </c>
      <c r="E1040" s="2" t="inlineStr">
        <is>
          <t>QNT_USDT_PERP</t>
        </is>
      </c>
      <c r="F1040" s="2" t="inlineStr">
        <is>
          <t>做多</t>
        </is>
      </c>
      <c r="G1040" s="20" t="n">
        <v>167.24</v>
      </c>
      <c r="H1040" s="20" t="n">
        <v>172.2572</v>
      </c>
      <c r="I1040" s="20" t="n">
        <v>158.878</v>
      </c>
      <c r="J1040" s="20" t="n"/>
      <c r="K1040" s="2" t="n"/>
      <c r="L1040" s="5" t="n"/>
      <c r="M1040" s="19">
        <f>資金模擬!$B$5*V1039</f>
        <v/>
      </c>
      <c r="N1040" s="2">
        <f>IF(Z1039=1,"已停止",IF(T1039&gt;=M1040,"已下單","資金不足略過"))</f>
        <v/>
      </c>
      <c r="O1040" s="19">
        <f>IF(N1040="已下單",M1040*資金模擬!$B$7,0)</f>
        <v/>
      </c>
      <c r="P1040" s="4" t="n"/>
      <c r="Q1040" s="13" t="n">
        <v>0</v>
      </c>
      <c r="R1040" s="13">
        <f>R1039+Q1040</f>
        <v/>
      </c>
      <c r="S1040" s="19">
        <f>S1039+IF(N1040="已下單",M1040,0)</f>
        <v/>
      </c>
      <c r="T1040" s="19">
        <f>R1040-S1040</f>
        <v/>
      </c>
      <c r="U1040" s="2">
        <f>U1039+IF(N1040="已下單",1,0)</f>
        <v/>
      </c>
      <c r="V1040" s="19">
        <f>IF(資金模擬!$B$9=2,MAX(R1040,0),MAX(V1039,FLOOR(MAX(R1040,0),資金模擬!$B$6)))</f>
        <v/>
      </c>
      <c r="W1040" s="13">
        <f>MAX(W1039,R1040)</f>
        <v/>
      </c>
      <c r="X1040" s="4">
        <f>IF(W1040&gt;0,R1040/W1040-1,-1)</f>
        <v/>
      </c>
      <c r="Y1040" s="19">
        <f>IF(R1040&gt;0,S1040*資金模擬!$B$7/R1040,0)</f>
        <v/>
      </c>
      <c r="Z1040" s="2">
        <f>IF(OR(Z1039=1,R1040&lt;=資金模擬!$B$10),1,0)</f>
        <v/>
      </c>
    </row>
    <row r="1041">
      <c r="A1041" s="2" t="n">
        <v>1039</v>
      </c>
      <c r="B1041" s="7" t="n">
        <v>46293</v>
      </c>
      <c r="C1041" s="2" t="inlineStr">
        <is>
          <t>出場</t>
        </is>
      </c>
      <c r="D1041" s="2" t="n">
        <v>517</v>
      </c>
      <c r="E1041" s="2" t="inlineStr">
        <is>
          <t>DASH_USDT_PERP</t>
        </is>
      </c>
      <c r="F1041" s="2" t="inlineStr">
        <is>
          <t>做空</t>
        </is>
      </c>
      <c r="G1041" s="20" t="n">
        <v>69.26000000000001</v>
      </c>
      <c r="H1041" s="20" t="n">
        <v>67.18220000000001</v>
      </c>
      <c r="I1041" s="20" t="n">
        <v>72.72300000000001</v>
      </c>
      <c r="J1041" s="20" t="n">
        <v>67.18220000000001</v>
      </c>
      <c r="K1041" s="2" t="inlineStr">
        <is>
          <t>止盈</t>
        </is>
      </c>
      <c r="L1041" s="5">
        <f>交易明細!K518</f>
        <v/>
      </c>
      <c r="M1041" s="19">
        <f>M1032</f>
        <v/>
      </c>
      <c r="N1041" s="2">
        <f>N1032</f>
        <v/>
      </c>
      <c r="O1041" s="19">
        <f>O1032</f>
        <v/>
      </c>
      <c r="P1041" s="4">
        <f>交易明細!L518</f>
        <v/>
      </c>
      <c r="Q1041" s="13">
        <f>IF(N1041="已下單",O1041*P1041,0)</f>
        <v/>
      </c>
      <c r="R1041" s="13">
        <f>R1040+Q1041</f>
        <v/>
      </c>
      <c r="S1041" s="19">
        <f>S1040-IF(N1041="已下單",M1041,0)</f>
        <v/>
      </c>
      <c r="T1041" s="19">
        <f>R1041-S1041</f>
        <v/>
      </c>
      <c r="U1041" s="2">
        <f>U1040-IF(N1041="已下單",1,0)</f>
        <v/>
      </c>
      <c r="V1041" s="19">
        <f>IF(資金模擬!$B$9=2,MAX(R1041,0),MAX(V1040,FLOOR(MAX(R1041,0),資金模擬!$B$6)))</f>
        <v/>
      </c>
      <c r="W1041" s="13">
        <f>MAX(W1040,R1041)</f>
        <v/>
      </c>
      <c r="X1041" s="4">
        <f>IF(W1041&gt;0,R1041/W1041-1,-1)</f>
        <v/>
      </c>
      <c r="Y1041" s="19">
        <f>IF(R1041&gt;0,S1041*資金模擬!$B$7/R1041,0)</f>
        <v/>
      </c>
      <c r="Z1041" s="2">
        <f>IF(OR(Z1040=1,R1041&lt;=資金模擬!$B$10),1,0)</f>
        <v/>
      </c>
    </row>
    <row r="1042">
      <c r="A1042" s="2" t="n">
        <v>1040</v>
      </c>
      <c r="B1042" s="7" t="n">
        <v>46293</v>
      </c>
      <c r="C1042" s="2" t="inlineStr">
        <is>
          <t>出場</t>
        </is>
      </c>
      <c r="D1042" s="2" t="n">
        <v>521</v>
      </c>
      <c r="E1042" s="2" t="inlineStr">
        <is>
          <t>QNT_USDT_PERP</t>
        </is>
      </c>
      <c r="F1042" s="2" t="inlineStr">
        <is>
          <t>做多</t>
        </is>
      </c>
      <c r="G1042" s="20" t="n">
        <v>167.24</v>
      </c>
      <c r="H1042" s="20" t="n">
        <v>172.2572</v>
      </c>
      <c r="I1042" s="20" t="n">
        <v>158.878</v>
      </c>
      <c r="J1042" s="20" t="n">
        <v>172.2572</v>
      </c>
      <c r="K1042" s="2" t="inlineStr">
        <is>
          <t>止盈</t>
        </is>
      </c>
      <c r="L1042" s="5">
        <f>交易明細!K522</f>
        <v/>
      </c>
      <c r="M1042" s="19">
        <f>M1040</f>
        <v/>
      </c>
      <c r="N1042" s="2">
        <f>N1040</f>
        <v/>
      </c>
      <c r="O1042" s="19">
        <f>O1040</f>
        <v/>
      </c>
      <c r="P1042" s="4">
        <f>交易明細!L522</f>
        <v/>
      </c>
      <c r="Q1042" s="13">
        <f>IF(N1042="已下單",O1042*P1042,0)</f>
        <v/>
      </c>
      <c r="R1042" s="13">
        <f>R1041+Q1042</f>
        <v/>
      </c>
      <c r="S1042" s="19">
        <f>S1041-IF(N1042="已下單",M1042,0)</f>
        <v/>
      </c>
      <c r="T1042" s="19">
        <f>R1042-S1042</f>
        <v/>
      </c>
      <c r="U1042" s="2">
        <f>U1041-IF(N1042="已下單",1,0)</f>
        <v/>
      </c>
      <c r="V1042" s="19">
        <f>IF(資金模擬!$B$9=2,MAX(R1042,0),MAX(V1041,FLOOR(MAX(R1042,0),資金模擬!$B$6)))</f>
        <v/>
      </c>
      <c r="W1042" s="13">
        <f>MAX(W1041,R1042)</f>
        <v/>
      </c>
      <c r="X1042" s="4">
        <f>IF(W1042&gt;0,R1042/W1042-1,-1)</f>
        <v/>
      </c>
      <c r="Y1042" s="19">
        <f>IF(R1042&gt;0,S1042*資金模擬!$B$7/R1042,0)</f>
        <v/>
      </c>
      <c r="Z1042" s="2">
        <f>IF(OR(Z1041=1,R1042&lt;=資金模擬!$B$10),1,0)</f>
        <v/>
      </c>
    </row>
    <row r="1043">
      <c r="A1043" s="2" t="n">
        <v>1041</v>
      </c>
      <c r="B1043" s="7" t="n">
        <v>46293.04166666666</v>
      </c>
      <c r="C1043" s="2" t="inlineStr">
        <is>
          <t>進場</t>
        </is>
      </c>
      <c r="D1043" s="2" t="n">
        <v>522</v>
      </c>
      <c r="E1043" s="2" t="inlineStr">
        <is>
          <t>GRASS_USDT_PERP</t>
        </is>
      </c>
      <c r="F1043" s="2" t="inlineStr">
        <is>
          <t>做多</t>
        </is>
      </c>
      <c r="G1043" s="20" t="n">
        <v>0.6299</v>
      </c>
      <c r="H1043" s="20" t="n">
        <v>0.6487970000000001</v>
      </c>
      <c r="I1043" s="20" t="n">
        <v>0.598405</v>
      </c>
      <c r="J1043" s="20" t="n"/>
      <c r="K1043" s="2" t="n"/>
      <c r="L1043" s="5" t="n"/>
      <c r="M1043" s="19">
        <f>資金模擬!$B$5*V1042</f>
        <v/>
      </c>
      <c r="N1043" s="2">
        <f>IF(Z1042=1,"已停止",IF(T1042&gt;=M1043,"已下單","資金不足略過"))</f>
        <v/>
      </c>
      <c r="O1043" s="19">
        <f>IF(N1043="已下單",M1043*資金模擬!$B$7,0)</f>
        <v/>
      </c>
      <c r="P1043" s="4" t="n"/>
      <c r="Q1043" s="13" t="n">
        <v>0</v>
      </c>
      <c r="R1043" s="13">
        <f>R1042+Q1043</f>
        <v/>
      </c>
      <c r="S1043" s="19">
        <f>S1042+IF(N1043="已下單",M1043,0)</f>
        <v/>
      </c>
      <c r="T1043" s="19">
        <f>R1043-S1043</f>
        <v/>
      </c>
      <c r="U1043" s="2">
        <f>U1042+IF(N1043="已下單",1,0)</f>
        <v/>
      </c>
      <c r="V1043" s="19">
        <f>IF(資金模擬!$B$9=2,MAX(R1043,0),MAX(V1042,FLOOR(MAX(R1043,0),資金模擬!$B$6)))</f>
        <v/>
      </c>
      <c r="W1043" s="13">
        <f>MAX(W1042,R1043)</f>
        <v/>
      </c>
      <c r="X1043" s="4">
        <f>IF(W1043&gt;0,R1043/W1043-1,-1)</f>
        <v/>
      </c>
      <c r="Y1043" s="19">
        <f>IF(R1043&gt;0,S1043*資金模擬!$B$7/R1043,0)</f>
        <v/>
      </c>
      <c r="Z1043" s="2">
        <f>IF(OR(Z1042=1,R1043&lt;=資金模擬!$B$10),1,0)</f>
        <v/>
      </c>
    </row>
    <row r="1044">
      <c r="A1044" s="2" t="n">
        <v>1042</v>
      </c>
      <c r="B1044" s="7" t="n">
        <v>46293.125</v>
      </c>
      <c r="C1044" s="2" t="inlineStr">
        <is>
          <t>進場</t>
        </is>
      </c>
      <c r="D1044" s="2" t="n">
        <v>523</v>
      </c>
      <c r="E1044" s="2" t="inlineStr">
        <is>
          <t>NEAR_USDT_PERP</t>
        </is>
      </c>
      <c r="F1044" s="2" t="inlineStr">
        <is>
          <t>做多</t>
        </is>
      </c>
      <c r="G1044" s="20" t="n">
        <v>5.451</v>
      </c>
      <c r="H1044" s="20" t="n">
        <v>5.614529999999999</v>
      </c>
      <c r="I1044" s="20" t="n">
        <v>5.17845</v>
      </c>
      <c r="J1044" s="20" t="n"/>
      <c r="K1044" s="2" t="n"/>
      <c r="L1044" s="5" t="n"/>
      <c r="M1044" s="19">
        <f>資金模擬!$B$5*V1043</f>
        <v/>
      </c>
      <c r="N1044" s="2">
        <f>IF(Z1043=1,"已停止",IF(T1043&gt;=M1044,"已下單","資金不足略過"))</f>
        <v/>
      </c>
      <c r="O1044" s="19">
        <f>IF(N1044="已下單",M1044*資金模擬!$B$7,0)</f>
        <v/>
      </c>
      <c r="P1044" s="4" t="n"/>
      <c r="Q1044" s="13" t="n">
        <v>0</v>
      </c>
      <c r="R1044" s="13">
        <f>R1043+Q1044</f>
        <v/>
      </c>
      <c r="S1044" s="19">
        <f>S1043+IF(N1044="已下單",M1044,0)</f>
        <v/>
      </c>
      <c r="T1044" s="19">
        <f>R1044-S1044</f>
        <v/>
      </c>
      <c r="U1044" s="2">
        <f>U1043+IF(N1044="已下單",1,0)</f>
        <v/>
      </c>
      <c r="V1044" s="19">
        <f>IF(資金模擬!$B$9=2,MAX(R1044,0),MAX(V1043,FLOOR(MAX(R1044,0),資金模擬!$B$6)))</f>
        <v/>
      </c>
      <c r="W1044" s="13">
        <f>MAX(W1043,R1044)</f>
        <v/>
      </c>
      <c r="X1044" s="4">
        <f>IF(W1044&gt;0,R1044/W1044-1,-1)</f>
        <v/>
      </c>
      <c r="Y1044" s="19">
        <f>IF(R1044&gt;0,S1044*資金模擬!$B$7/R1044,0)</f>
        <v/>
      </c>
      <c r="Z1044" s="2">
        <f>IF(OR(Z1043=1,R1044&lt;=資金模擬!$B$10),1,0)</f>
        <v/>
      </c>
    </row>
    <row r="1045">
      <c r="A1045" s="2" t="n">
        <v>1043</v>
      </c>
      <c r="B1045" s="7" t="n">
        <v>46293.125</v>
      </c>
      <c r="C1045" s="2" t="inlineStr">
        <is>
          <t>進場</t>
        </is>
      </c>
      <c r="D1045" s="2" t="n">
        <v>524</v>
      </c>
      <c r="E1045" s="2" t="inlineStr">
        <is>
          <t>USELESS_USDT_PERP</t>
        </is>
      </c>
      <c r="F1045" s="2" t="inlineStr">
        <is>
          <t>做多</t>
        </is>
      </c>
      <c r="G1045" s="20" t="n">
        <v>0.3012</v>
      </c>
      <c r="H1045" s="20" t="n">
        <v>0.310236</v>
      </c>
      <c r="I1045" s="20" t="n">
        <v>0.28614</v>
      </c>
      <c r="J1045" s="20" t="n"/>
      <c r="K1045" s="2" t="n"/>
      <c r="L1045" s="5" t="n"/>
      <c r="M1045" s="19">
        <f>資金模擬!$B$5*V1044</f>
        <v/>
      </c>
      <c r="N1045" s="2">
        <f>IF(Z1044=1,"已停止",IF(T1044&gt;=M1045,"已下單","資金不足略過"))</f>
        <v/>
      </c>
      <c r="O1045" s="19">
        <f>IF(N1045="已下單",M1045*資金模擬!$B$7,0)</f>
        <v/>
      </c>
      <c r="P1045" s="4" t="n"/>
      <c r="Q1045" s="13" t="n">
        <v>0</v>
      </c>
      <c r="R1045" s="13">
        <f>R1044+Q1045</f>
        <v/>
      </c>
      <c r="S1045" s="19">
        <f>S1044+IF(N1045="已下單",M1045,0)</f>
        <v/>
      </c>
      <c r="T1045" s="19">
        <f>R1045-S1045</f>
        <v/>
      </c>
      <c r="U1045" s="2">
        <f>U1044+IF(N1045="已下單",1,0)</f>
        <v/>
      </c>
      <c r="V1045" s="19">
        <f>IF(資金模擬!$B$9=2,MAX(R1045,0),MAX(V1044,FLOOR(MAX(R1045,0),資金模擬!$B$6)))</f>
        <v/>
      </c>
      <c r="W1045" s="13">
        <f>MAX(W1044,R1045)</f>
        <v/>
      </c>
      <c r="X1045" s="4">
        <f>IF(W1045&gt;0,R1045/W1045-1,-1)</f>
        <v/>
      </c>
      <c r="Y1045" s="19">
        <f>IF(R1045&gt;0,S1045*資金模擬!$B$7/R1045,0)</f>
        <v/>
      </c>
      <c r="Z1045" s="2">
        <f>IF(OR(Z1044=1,R1045&lt;=資金模擬!$B$10),1,0)</f>
        <v/>
      </c>
    </row>
    <row r="1046">
      <c r="A1046" s="2" t="n">
        <v>1044</v>
      </c>
      <c r="B1046" s="7" t="n">
        <v>46293.20833333334</v>
      </c>
      <c r="C1046" s="2" t="inlineStr">
        <is>
          <t>出場</t>
        </is>
      </c>
      <c r="D1046" s="2" t="n">
        <v>518</v>
      </c>
      <c r="E1046" s="2" t="inlineStr">
        <is>
          <t>BR_USDT_PERP</t>
        </is>
      </c>
      <c r="F1046" s="2" t="inlineStr">
        <is>
          <t>做空</t>
        </is>
      </c>
      <c r="G1046" s="20" t="n">
        <v>0.90447</v>
      </c>
      <c r="H1046" s="20" t="n">
        <v>0.8773358999999999</v>
      </c>
      <c r="I1046" s="20" t="n">
        <v>0.9496935000000001</v>
      </c>
      <c r="J1046" s="20" t="n">
        <v>0.8773358999999999</v>
      </c>
      <c r="K1046" s="2" t="inlineStr">
        <is>
          <t>止盈</t>
        </is>
      </c>
      <c r="L1046" s="5">
        <f>交易明細!K519</f>
        <v/>
      </c>
      <c r="M1046" s="19">
        <f>M1035</f>
        <v/>
      </c>
      <c r="N1046" s="2">
        <f>N1035</f>
        <v/>
      </c>
      <c r="O1046" s="19">
        <f>O1035</f>
        <v/>
      </c>
      <c r="P1046" s="4">
        <f>交易明細!L519</f>
        <v/>
      </c>
      <c r="Q1046" s="13">
        <f>IF(N1046="已下單",O1046*P1046,0)</f>
        <v/>
      </c>
      <c r="R1046" s="13">
        <f>R1045+Q1046</f>
        <v/>
      </c>
      <c r="S1046" s="19">
        <f>S1045-IF(N1046="已下單",M1046,0)</f>
        <v/>
      </c>
      <c r="T1046" s="19">
        <f>R1046-S1046</f>
        <v/>
      </c>
      <c r="U1046" s="2">
        <f>U1045-IF(N1046="已下單",1,0)</f>
        <v/>
      </c>
      <c r="V1046" s="19">
        <f>IF(資金模擬!$B$9=2,MAX(R1046,0),MAX(V1045,FLOOR(MAX(R1046,0),資金模擬!$B$6)))</f>
        <v/>
      </c>
      <c r="W1046" s="13">
        <f>MAX(W1045,R1046)</f>
        <v/>
      </c>
      <c r="X1046" s="4">
        <f>IF(W1046&gt;0,R1046/W1046-1,-1)</f>
        <v/>
      </c>
      <c r="Y1046" s="19">
        <f>IF(R1046&gt;0,S1046*資金模擬!$B$7/R1046,0)</f>
        <v/>
      </c>
      <c r="Z1046" s="2">
        <f>IF(OR(Z1045=1,R1046&lt;=資金模擬!$B$10),1,0)</f>
        <v/>
      </c>
    </row>
    <row r="1047">
      <c r="A1047" s="2" t="n">
        <v>1045</v>
      </c>
      <c r="B1047" s="7" t="n">
        <v>46293.20833333334</v>
      </c>
      <c r="C1047" s="2" t="inlineStr">
        <is>
          <t>進場</t>
        </is>
      </c>
      <c r="D1047" s="2" t="n">
        <v>525</v>
      </c>
      <c r="E1047" s="2" t="inlineStr">
        <is>
          <t>PYTH_USDT_PERP</t>
        </is>
      </c>
      <c r="F1047" s="2" t="inlineStr">
        <is>
          <t>做空</t>
        </is>
      </c>
      <c r="G1047" s="20" t="n">
        <v>0.08361</v>
      </c>
      <c r="H1047" s="20" t="n">
        <v>0.0811017</v>
      </c>
      <c r="I1047" s="20" t="n">
        <v>0.08779050000000001</v>
      </c>
      <c r="J1047" s="20" t="n"/>
      <c r="K1047" s="2" t="n"/>
      <c r="L1047" s="5" t="n"/>
      <c r="M1047" s="19">
        <f>資金模擬!$B$5*V1046</f>
        <v/>
      </c>
      <c r="N1047" s="2">
        <f>IF(Z1046=1,"已停止",IF(T1046&gt;=M1047,"已下單","資金不足略過"))</f>
        <v/>
      </c>
      <c r="O1047" s="19">
        <f>IF(N1047="已下單",M1047*資金模擬!$B$7,0)</f>
        <v/>
      </c>
      <c r="P1047" s="4" t="n"/>
      <c r="Q1047" s="13" t="n">
        <v>0</v>
      </c>
      <c r="R1047" s="13">
        <f>R1046+Q1047</f>
        <v/>
      </c>
      <c r="S1047" s="19">
        <f>S1046+IF(N1047="已下單",M1047,0)</f>
        <v/>
      </c>
      <c r="T1047" s="19">
        <f>R1047-S1047</f>
        <v/>
      </c>
      <c r="U1047" s="2">
        <f>U1046+IF(N1047="已下單",1,0)</f>
        <v/>
      </c>
      <c r="V1047" s="19">
        <f>IF(資金模擬!$B$9=2,MAX(R1047,0),MAX(V1046,FLOOR(MAX(R1047,0),資金模擬!$B$6)))</f>
        <v/>
      </c>
      <c r="W1047" s="13">
        <f>MAX(W1046,R1047)</f>
        <v/>
      </c>
      <c r="X1047" s="4">
        <f>IF(W1047&gt;0,R1047/W1047-1,-1)</f>
        <v/>
      </c>
      <c r="Y1047" s="19">
        <f>IF(R1047&gt;0,S1047*資金模擬!$B$7/R1047,0)</f>
        <v/>
      </c>
      <c r="Z1047" s="2">
        <f>IF(OR(Z1046=1,R1047&lt;=資金模擬!$B$10),1,0)</f>
        <v/>
      </c>
    </row>
    <row r="1048">
      <c r="A1048" s="2" t="n">
        <v>1046</v>
      </c>
      <c r="B1048" s="7" t="n">
        <v>46293.25</v>
      </c>
      <c r="C1048" s="2" t="inlineStr">
        <is>
          <t>出場</t>
        </is>
      </c>
      <c r="D1048" s="2" t="n">
        <v>522</v>
      </c>
      <c r="E1048" s="2" t="inlineStr">
        <is>
          <t>GRASS_USDT_PERP</t>
        </is>
      </c>
      <c r="F1048" s="2" t="inlineStr">
        <is>
          <t>做多</t>
        </is>
      </c>
      <c r="G1048" s="20" t="n">
        <v>0.6299</v>
      </c>
      <c r="H1048" s="20" t="n">
        <v>0.6487970000000001</v>
      </c>
      <c r="I1048" s="20" t="n">
        <v>0.598405</v>
      </c>
      <c r="J1048" s="20" t="n">
        <v>0.6487970000000001</v>
      </c>
      <c r="K1048" s="2" t="inlineStr">
        <is>
          <t>止盈</t>
        </is>
      </c>
      <c r="L1048" s="5">
        <f>交易明細!K523</f>
        <v/>
      </c>
      <c r="M1048" s="19">
        <f>M1043</f>
        <v/>
      </c>
      <c r="N1048" s="2">
        <f>N1043</f>
        <v/>
      </c>
      <c r="O1048" s="19">
        <f>O1043</f>
        <v/>
      </c>
      <c r="P1048" s="4">
        <f>交易明細!L523</f>
        <v/>
      </c>
      <c r="Q1048" s="13">
        <f>IF(N1048="已下單",O1048*P1048,0)</f>
        <v/>
      </c>
      <c r="R1048" s="13">
        <f>R1047+Q1048</f>
        <v/>
      </c>
      <c r="S1048" s="19">
        <f>S1047-IF(N1048="已下單",M1048,0)</f>
        <v/>
      </c>
      <c r="T1048" s="19">
        <f>R1048-S1048</f>
        <v/>
      </c>
      <c r="U1048" s="2">
        <f>U1047-IF(N1048="已下單",1,0)</f>
        <v/>
      </c>
      <c r="V1048" s="19">
        <f>IF(資金模擬!$B$9=2,MAX(R1048,0),MAX(V1047,FLOOR(MAX(R1048,0),資金模擬!$B$6)))</f>
        <v/>
      </c>
      <c r="W1048" s="13">
        <f>MAX(W1047,R1048)</f>
        <v/>
      </c>
      <c r="X1048" s="4">
        <f>IF(W1048&gt;0,R1048/W1048-1,-1)</f>
        <v/>
      </c>
      <c r="Y1048" s="19">
        <f>IF(R1048&gt;0,S1048*資金模擬!$B$7/R1048,0)</f>
        <v/>
      </c>
      <c r="Z1048" s="2">
        <f>IF(OR(Z1047=1,R1048&lt;=資金模擬!$B$10),1,0)</f>
        <v/>
      </c>
    </row>
    <row r="1049">
      <c r="A1049" s="2" t="n">
        <v>1047</v>
      </c>
      <c r="B1049" s="7" t="n">
        <v>46293.29166666666</v>
      </c>
      <c r="C1049" s="2" t="inlineStr">
        <is>
          <t>出場</t>
        </is>
      </c>
      <c r="D1049" s="2" t="n">
        <v>520</v>
      </c>
      <c r="E1049" s="2" t="inlineStr">
        <is>
          <t>MARSCOIN_USDT_PERP</t>
        </is>
      </c>
      <c r="F1049" s="2" t="inlineStr">
        <is>
          <t>做空</t>
        </is>
      </c>
      <c r="G1049" s="20" t="n">
        <v>0.12733</v>
      </c>
      <c r="H1049" s="20" t="n">
        <v>0.1235101</v>
      </c>
      <c r="I1049" s="20" t="n">
        <v>0.1336965</v>
      </c>
      <c r="J1049" s="20" t="n">
        <v>0.1235101</v>
      </c>
      <c r="K1049" s="2" t="inlineStr">
        <is>
          <t>止盈</t>
        </is>
      </c>
      <c r="L1049" s="5">
        <f>交易明細!K521</f>
        <v/>
      </c>
      <c r="M1049" s="19">
        <f>M1039</f>
        <v/>
      </c>
      <c r="N1049" s="2">
        <f>N1039</f>
        <v/>
      </c>
      <c r="O1049" s="19">
        <f>O1039</f>
        <v/>
      </c>
      <c r="P1049" s="4">
        <f>交易明細!L521</f>
        <v/>
      </c>
      <c r="Q1049" s="13">
        <f>IF(N1049="已下單",O1049*P1049,0)</f>
        <v/>
      </c>
      <c r="R1049" s="13">
        <f>R1048+Q1049</f>
        <v/>
      </c>
      <c r="S1049" s="19">
        <f>S1048-IF(N1049="已下單",M1049,0)</f>
        <v/>
      </c>
      <c r="T1049" s="19">
        <f>R1049-S1049</f>
        <v/>
      </c>
      <c r="U1049" s="2">
        <f>U1048-IF(N1049="已下單",1,0)</f>
        <v/>
      </c>
      <c r="V1049" s="19">
        <f>IF(資金模擬!$B$9=2,MAX(R1049,0),MAX(V1048,FLOOR(MAX(R1049,0),資金模擬!$B$6)))</f>
        <v/>
      </c>
      <c r="W1049" s="13">
        <f>MAX(W1048,R1049)</f>
        <v/>
      </c>
      <c r="X1049" s="4">
        <f>IF(W1049&gt;0,R1049/W1049-1,-1)</f>
        <v/>
      </c>
      <c r="Y1049" s="19">
        <f>IF(R1049&gt;0,S1049*資金模擬!$B$7/R1049,0)</f>
        <v/>
      </c>
      <c r="Z1049" s="2">
        <f>IF(OR(Z1048=1,R1049&lt;=資金模擬!$B$10),1,0)</f>
        <v/>
      </c>
    </row>
    <row r="1050">
      <c r="A1050" s="2" t="n">
        <v>1048</v>
      </c>
      <c r="B1050" s="7" t="n">
        <v>46293.29166666666</v>
      </c>
      <c r="C1050" s="2" t="inlineStr">
        <is>
          <t>出場</t>
        </is>
      </c>
      <c r="D1050" s="2" t="n">
        <v>524</v>
      </c>
      <c r="E1050" s="2" t="inlineStr">
        <is>
          <t>USELESS_USDT_PERP</t>
        </is>
      </c>
      <c r="F1050" s="2" t="inlineStr">
        <is>
          <t>做多</t>
        </is>
      </c>
      <c r="G1050" s="20" t="n">
        <v>0.3012</v>
      </c>
      <c r="H1050" s="20" t="n">
        <v>0.310236</v>
      </c>
      <c r="I1050" s="20" t="n">
        <v>0.28614</v>
      </c>
      <c r="J1050" s="20" t="n">
        <v>0.28614</v>
      </c>
      <c r="K1050" s="2" t="inlineStr">
        <is>
          <t>止損</t>
        </is>
      </c>
      <c r="L1050" s="5">
        <f>交易明細!K525</f>
        <v/>
      </c>
      <c r="M1050" s="19">
        <f>M1045</f>
        <v/>
      </c>
      <c r="N1050" s="2">
        <f>N1045</f>
        <v/>
      </c>
      <c r="O1050" s="19">
        <f>O1045</f>
        <v/>
      </c>
      <c r="P1050" s="4">
        <f>交易明細!L525</f>
        <v/>
      </c>
      <c r="Q1050" s="13">
        <f>IF(N1050="已下單",O1050*P1050,0)</f>
        <v/>
      </c>
      <c r="R1050" s="13">
        <f>R1049+Q1050</f>
        <v/>
      </c>
      <c r="S1050" s="19">
        <f>S1049-IF(N1050="已下單",M1050,0)</f>
        <v/>
      </c>
      <c r="T1050" s="19">
        <f>R1050-S1050</f>
        <v/>
      </c>
      <c r="U1050" s="2">
        <f>U1049-IF(N1050="已下單",1,0)</f>
        <v/>
      </c>
      <c r="V1050" s="19">
        <f>IF(資金模擬!$B$9=2,MAX(R1050,0),MAX(V1049,FLOOR(MAX(R1050,0),資金模擬!$B$6)))</f>
        <v/>
      </c>
      <c r="W1050" s="13">
        <f>MAX(W1049,R1050)</f>
        <v/>
      </c>
      <c r="X1050" s="4">
        <f>IF(W1050&gt;0,R1050/W1050-1,-1)</f>
        <v/>
      </c>
      <c r="Y1050" s="19">
        <f>IF(R1050&gt;0,S1050*資金模擬!$B$7/R1050,0)</f>
        <v/>
      </c>
      <c r="Z1050" s="2">
        <f>IF(OR(Z1049=1,R1050&lt;=資金模擬!$B$10),1,0)</f>
        <v/>
      </c>
    </row>
    <row r="1051">
      <c r="A1051" s="2" t="n">
        <v>1049</v>
      </c>
      <c r="B1051" s="7" t="n">
        <v>46293.41666666666</v>
      </c>
      <c r="C1051" s="2" t="inlineStr">
        <is>
          <t>進場</t>
        </is>
      </c>
      <c r="D1051" s="2" t="n">
        <v>526</v>
      </c>
      <c r="E1051" s="2" t="inlineStr">
        <is>
          <t>XPL_USDT_PERP</t>
        </is>
      </c>
      <c r="F1051" s="2" t="inlineStr">
        <is>
          <t>做空</t>
        </is>
      </c>
      <c r="G1051" s="20" t="n">
        <v>0.1037</v>
      </c>
      <c r="H1051" s="20" t="n">
        <v>0.100589</v>
      </c>
      <c r="I1051" s="20" t="n">
        <v>0.108885</v>
      </c>
      <c r="J1051" s="20" t="n"/>
      <c r="K1051" s="2" t="n"/>
      <c r="L1051" s="5" t="n"/>
      <c r="M1051" s="19">
        <f>資金模擬!$B$5*V1050</f>
        <v/>
      </c>
      <c r="N1051" s="2">
        <f>IF(Z1050=1,"已停止",IF(T1050&gt;=M1051,"已下單","資金不足略過"))</f>
        <v/>
      </c>
      <c r="O1051" s="19">
        <f>IF(N1051="已下單",M1051*資金模擬!$B$7,0)</f>
        <v/>
      </c>
      <c r="P1051" s="4" t="n"/>
      <c r="Q1051" s="13" t="n">
        <v>0</v>
      </c>
      <c r="R1051" s="13">
        <f>R1050+Q1051</f>
        <v/>
      </c>
      <c r="S1051" s="19">
        <f>S1050+IF(N1051="已下單",M1051,0)</f>
        <v/>
      </c>
      <c r="T1051" s="19">
        <f>R1051-S1051</f>
        <v/>
      </c>
      <c r="U1051" s="2">
        <f>U1050+IF(N1051="已下單",1,0)</f>
        <v/>
      </c>
      <c r="V1051" s="19">
        <f>IF(資金模擬!$B$9=2,MAX(R1051,0),MAX(V1050,FLOOR(MAX(R1051,0),資金模擬!$B$6)))</f>
        <v/>
      </c>
      <c r="W1051" s="13">
        <f>MAX(W1050,R1051)</f>
        <v/>
      </c>
      <c r="X1051" s="4">
        <f>IF(W1051&gt;0,R1051/W1051-1,-1)</f>
        <v/>
      </c>
      <c r="Y1051" s="19">
        <f>IF(R1051&gt;0,S1051*資金模擬!$B$7/R1051,0)</f>
        <v/>
      </c>
      <c r="Z1051" s="2">
        <f>IF(OR(Z1050=1,R1051&lt;=資金模擬!$B$10),1,0)</f>
        <v/>
      </c>
    </row>
    <row r="1052">
      <c r="A1052" s="2" t="n">
        <v>1050</v>
      </c>
      <c r="B1052" s="7" t="n">
        <v>46293.45833333334</v>
      </c>
      <c r="C1052" s="2" t="inlineStr">
        <is>
          <t>進場</t>
        </is>
      </c>
      <c r="D1052" s="2" t="n">
        <v>527</v>
      </c>
      <c r="E1052" s="2" t="inlineStr">
        <is>
          <t>PENGU_USDT_PERP</t>
        </is>
      </c>
      <c r="F1052" s="2" t="inlineStr">
        <is>
          <t>做空</t>
        </is>
      </c>
      <c r="G1052" s="20" t="n">
        <v>0.009993999999999999</v>
      </c>
      <c r="H1052" s="20" t="n">
        <v>0.009694179999999998</v>
      </c>
      <c r="I1052" s="20" t="n">
        <v>0.0104937</v>
      </c>
      <c r="J1052" s="20" t="n"/>
      <c r="K1052" s="2" t="n"/>
      <c r="L1052" s="5" t="n"/>
      <c r="M1052" s="19">
        <f>資金模擬!$B$5*V1051</f>
        <v/>
      </c>
      <c r="N1052" s="2">
        <f>IF(Z1051=1,"已停止",IF(T1051&gt;=M1052,"已下單","資金不足略過"))</f>
        <v/>
      </c>
      <c r="O1052" s="19">
        <f>IF(N1052="已下單",M1052*資金模擬!$B$7,0)</f>
        <v/>
      </c>
      <c r="P1052" s="4" t="n"/>
      <c r="Q1052" s="13" t="n">
        <v>0</v>
      </c>
      <c r="R1052" s="13">
        <f>R1051+Q1052</f>
        <v/>
      </c>
      <c r="S1052" s="19">
        <f>S1051+IF(N1052="已下單",M1052,0)</f>
        <v/>
      </c>
      <c r="T1052" s="19">
        <f>R1052-S1052</f>
        <v/>
      </c>
      <c r="U1052" s="2">
        <f>U1051+IF(N1052="已下單",1,0)</f>
        <v/>
      </c>
      <c r="V1052" s="19">
        <f>IF(資金模擬!$B$9=2,MAX(R1052,0),MAX(V1051,FLOOR(MAX(R1052,0),資金模擬!$B$6)))</f>
        <v/>
      </c>
      <c r="W1052" s="13">
        <f>MAX(W1051,R1052)</f>
        <v/>
      </c>
      <c r="X1052" s="4">
        <f>IF(W1052&gt;0,R1052/W1052-1,-1)</f>
        <v/>
      </c>
      <c r="Y1052" s="19">
        <f>IF(R1052&gt;0,S1052*資金模擬!$B$7/R1052,0)</f>
        <v/>
      </c>
      <c r="Z1052" s="2">
        <f>IF(OR(Z1051=1,R1052&lt;=資金模擬!$B$10),1,0)</f>
        <v/>
      </c>
    </row>
    <row r="1053">
      <c r="A1053" s="2" t="n">
        <v>1051</v>
      </c>
      <c r="B1053" s="7" t="n">
        <v>46293.45833333334</v>
      </c>
      <c r="C1053" s="2" t="inlineStr">
        <is>
          <t>進場</t>
        </is>
      </c>
      <c r="D1053" s="2" t="n">
        <v>528</v>
      </c>
      <c r="E1053" s="2" t="inlineStr">
        <is>
          <t>SAGA_USDT_PERP</t>
        </is>
      </c>
      <c r="F1053" s="2" t="inlineStr">
        <is>
          <t>做空</t>
        </is>
      </c>
      <c r="G1053" s="20" t="n">
        <v>0.02517</v>
      </c>
      <c r="H1053" s="20" t="n">
        <v>0.0244149</v>
      </c>
      <c r="I1053" s="20" t="n">
        <v>0.0264285</v>
      </c>
      <c r="J1053" s="20" t="n"/>
      <c r="K1053" s="2" t="n"/>
      <c r="L1053" s="5" t="n"/>
      <c r="M1053" s="19">
        <f>資金模擬!$B$5*V1052</f>
        <v/>
      </c>
      <c r="N1053" s="2">
        <f>IF(Z1052=1,"已停止",IF(T1052&gt;=M1053,"已下單","資金不足略過"))</f>
        <v/>
      </c>
      <c r="O1053" s="19">
        <f>IF(N1053="已下單",M1053*資金模擬!$B$7,0)</f>
        <v/>
      </c>
      <c r="P1053" s="4" t="n"/>
      <c r="Q1053" s="13" t="n">
        <v>0</v>
      </c>
      <c r="R1053" s="13">
        <f>R1052+Q1053</f>
        <v/>
      </c>
      <c r="S1053" s="19">
        <f>S1052+IF(N1053="已下單",M1053,0)</f>
        <v/>
      </c>
      <c r="T1053" s="19">
        <f>R1053-S1053</f>
        <v/>
      </c>
      <c r="U1053" s="2">
        <f>U1052+IF(N1053="已下單",1,0)</f>
        <v/>
      </c>
      <c r="V1053" s="19">
        <f>IF(資金模擬!$B$9=2,MAX(R1053,0),MAX(V1052,FLOOR(MAX(R1053,0),資金模擬!$B$6)))</f>
        <v/>
      </c>
      <c r="W1053" s="13">
        <f>MAX(W1052,R1053)</f>
        <v/>
      </c>
      <c r="X1053" s="4">
        <f>IF(W1053&gt;0,R1053/W1053-1,-1)</f>
        <v/>
      </c>
      <c r="Y1053" s="19">
        <f>IF(R1053&gt;0,S1053*資金模擬!$B$7/R1053,0)</f>
        <v/>
      </c>
      <c r="Z1053" s="2">
        <f>IF(OR(Z1052=1,R1053&lt;=資金模擬!$B$10),1,0)</f>
        <v/>
      </c>
    </row>
    <row r="1054">
      <c r="A1054" s="2" t="n">
        <v>1052</v>
      </c>
      <c r="B1054" s="7" t="n">
        <v>46293.5</v>
      </c>
      <c r="C1054" s="2" t="inlineStr">
        <is>
          <t>進場</t>
        </is>
      </c>
      <c r="D1054" s="2" t="n">
        <v>529</v>
      </c>
      <c r="E1054" s="2" t="inlineStr">
        <is>
          <t>ARB_USDT_PERP</t>
        </is>
      </c>
      <c r="F1054" s="2" t="inlineStr">
        <is>
          <t>做空</t>
        </is>
      </c>
      <c r="G1054" s="20" t="n">
        <v>0.2144</v>
      </c>
      <c r="H1054" s="20" t="n">
        <v>0.207968</v>
      </c>
      <c r="I1054" s="20" t="n">
        <v>0.22512</v>
      </c>
      <c r="J1054" s="20" t="n"/>
      <c r="K1054" s="2" t="n"/>
      <c r="L1054" s="5" t="n"/>
      <c r="M1054" s="19">
        <f>資金模擬!$B$5*V1053</f>
        <v/>
      </c>
      <c r="N1054" s="2">
        <f>IF(Z1053=1,"已停止",IF(T1053&gt;=M1054,"已下單","資金不足略過"))</f>
        <v/>
      </c>
      <c r="O1054" s="19">
        <f>IF(N1054="已下單",M1054*資金模擬!$B$7,0)</f>
        <v/>
      </c>
      <c r="P1054" s="4" t="n"/>
      <c r="Q1054" s="13" t="n">
        <v>0</v>
      </c>
      <c r="R1054" s="13">
        <f>R1053+Q1054</f>
        <v/>
      </c>
      <c r="S1054" s="19">
        <f>S1053+IF(N1054="已下單",M1054,0)</f>
        <v/>
      </c>
      <c r="T1054" s="19">
        <f>R1054-S1054</f>
        <v/>
      </c>
      <c r="U1054" s="2">
        <f>U1053+IF(N1054="已下單",1,0)</f>
        <v/>
      </c>
      <c r="V1054" s="19">
        <f>IF(資金模擬!$B$9=2,MAX(R1054,0),MAX(V1053,FLOOR(MAX(R1054,0),資金模擬!$B$6)))</f>
        <v/>
      </c>
      <c r="W1054" s="13">
        <f>MAX(W1053,R1054)</f>
        <v/>
      </c>
      <c r="X1054" s="4">
        <f>IF(W1054&gt;0,R1054/W1054-1,-1)</f>
        <v/>
      </c>
      <c r="Y1054" s="19">
        <f>IF(R1054&gt;0,S1054*資金模擬!$B$7/R1054,0)</f>
        <v/>
      </c>
      <c r="Z1054" s="2">
        <f>IF(OR(Z1053=1,R1054&lt;=資金模擬!$B$10),1,0)</f>
        <v/>
      </c>
    </row>
    <row r="1055">
      <c r="A1055" s="2" t="n">
        <v>1053</v>
      </c>
      <c r="B1055" s="7" t="n">
        <v>46293.5</v>
      </c>
      <c r="C1055" s="2" t="inlineStr">
        <is>
          <t>進場</t>
        </is>
      </c>
      <c r="D1055" s="2" t="n">
        <v>530</v>
      </c>
      <c r="E1055" s="2" t="inlineStr">
        <is>
          <t>SOON_USDT_PERP</t>
        </is>
      </c>
      <c r="F1055" s="2" t="inlineStr">
        <is>
          <t>做多</t>
        </is>
      </c>
      <c r="G1055" s="20" t="n">
        <v>0.3167</v>
      </c>
      <c r="H1055" s="20" t="n">
        <v>0.326201</v>
      </c>
      <c r="I1055" s="20" t="n">
        <v>0.300865</v>
      </c>
      <c r="J1055" s="20" t="n"/>
      <c r="K1055" s="2" t="n"/>
      <c r="L1055" s="5" t="n"/>
      <c r="M1055" s="19">
        <f>資金模擬!$B$5*V1054</f>
        <v/>
      </c>
      <c r="N1055" s="2">
        <f>IF(Z1054=1,"已停止",IF(T1054&gt;=M1055,"已下單","資金不足略過"))</f>
        <v/>
      </c>
      <c r="O1055" s="19">
        <f>IF(N1055="已下單",M1055*資金模擬!$B$7,0)</f>
        <v/>
      </c>
      <c r="P1055" s="4" t="n"/>
      <c r="Q1055" s="13" t="n">
        <v>0</v>
      </c>
      <c r="R1055" s="13">
        <f>R1054+Q1055</f>
        <v/>
      </c>
      <c r="S1055" s="19">
        <f>S1054+IF(N1055="已下單",M1055,0)</f>
        <v/>
      </c>
      <c r="T1055" s="19">
        <f>R1055-S1055</f>
        <v/>
      </c>
      <c r="U1055" s="2">
        <f>U1054+IF(N1055="已下單",1,0)</f>
        <v/>
      </c>
      <c r="V1055" s="19">
        <f>IF(資金模擬!$B$9=2,MAX(R1055,0),MAX(V1054,FLOOR(MAX(R1055,0),資金模擬!$B$6)))</f>
        <v/>
      </c>
      <c r="W1055" s="13">
        <f>MAX(W1054,R1055)</f>
        <v/>
      </c>
      <c r="X1055" s="4">
        <f>IF(W1055&gt;0,R1055/W1055-1,-1)</f>
        <v/>
      </c>
      <c r="Y1055" s="19">
        <f>IF(R1055&gt;0,S1055*資金模擬!$B$7/R1055,0)</f>
        <v/>
      </c>
      <c r="Z1055" s="2">
        <f>IF(OR(Z1054=1,R1055&lt;=資金模擬!$B$10),1,0)</f>
        <v/>
      </c>
    </row>
    <row r="1056">
      <c r="A1056" s="2" t="n">
        <v>1054</v>
      </c>
      <c r="B1056" s="7" t="n">
        <v>46293.54166666666</v>
      </c>
      <c r="C1056" s="2" t="inlineStr">
        <is>
          <t>出場</t>
        </is>
      </c>
      <c r="D1056" s="2" t="n">
        <v>523</v>
      </c>
      <c r="E1056" s="2" t="inlineStr">
        <is>
          <t>NEAR_USDT_PERP</t>
        </is>
      </c>
      <c r="F1056" s="2" t="inlineStr">
        <is>
          <t>做多</t>
        </is>
      </c>
      <c r="G1056" s="20" t="n">
        <v>5.451</v>
      </c>
      <c r="H1056" s="20" t="n">
        <v>5.614529999999999</v>
      </c>
      <c r="I1056" s="20" t="n">
        <v>5.17845</v>
      </c>
      <c r="J1056" s="20" t="n">
        <v>5.17845</v>
      </c>
      <c r="K1056" s="2" t="inlineStr">
        <is>
          <t>止損</t>
        </is>
      </c>
      <c r="L1056" s="5">
        <f>交易明細!K524</f>
        <v/>
      </c>
      <c r="M1056" s="19">
        <f>M1044</f>
        <v/>
      </c>
      <c r="N1056" s="2">
        <f>N1044</f>
        <v/>
      </c>
      <c r="O1056" s="19">
        <f>O1044</f>
        <v/>
      </c>
      <c r="P1056" s="4">
        <f>交易明細!L524</f>
        <v/>
      </c>
      <c r="Q1056" s="13">
        <f>IF(N1056="已下單",O1056*P1056,0)</f>
        <v/>
      </c>
      <c r="R1056" s="13">
        <f>R1055+Q1056</f>
        <v/>
      </c>
      <c r="S1056" s="19">
        <f>S1055-IF(N1056="已下單",M1056,0)</f>
        <v/>
      </c>
      <c r="T1056" s="19">
        <f>R1056-S1056</f>
        <v/>
      </c>
      <c r="U1056" s="2">
        <f>U1055-IF(N1056="已下單",1,0)</f>
        <v/>
      </c>
      <c r="V1056" s="19">
        <f>IF(資金模擬!$B$9=2,MAX(R1056,0),MAX(V1055,FLOOR(MAX(R1056,0),資金模擬!$B$6)))</f>
        <v/>
      </c>
      <c r="W1056" s="13">
        <f>MAX(W1055,R1056)</f>
        <v/>
      </c>
      <c r="X1056" s="4">
        <f>IF(W1056&gt;0,R1056/W1056-1,-1)</f>
        <v/>
      </c>
      <c r="Y1056" s="19">
        <f>IF(R1056&gt;0,S1056*資金模擬!$B$7/R1056,0)</f>
        <v/>
      </c>
      <c r="Z1056" s="2">
        <f>IF(OR(Z1055=1,R1056&lt;=資金模擬!$B$10),1,0)</f>
        <v/>
      </c>
    </row>
    <row r="1057">
      <c r="A1057" s="2" t="n">
        <v>1055</v>
      </c>
      <c r="B1057" s="7" t="n">
        <v>46293.54166666666</v>
      </c>
      <c r="C1057" s="2" t="inlineStr">
        <is>
          <t>出場</t>
        </is>
      </c>
      <c r="D1057" s="2" t="n">
        <v>525</v>
      </c>
      <c r="E1057" s="2" t="inlineStr">
        <is>
          <t>PYTH_USDT_PERP</t>
        </is>
      </c>
      <c r="F1057" s="2" t="inlineStr">
        <is>
          <t>做空</t>
        </is>
      </c>
      <c r="G1057" s="20" t="n">
        <v>0.08361</v>
      </c>
      <c r="H1057" s="20" t="n">
        <v>0.0811017</v>
      </c>
      <c r="I1057" s="20" t="n">
        <v>0.08779050000000001</v>
      </c>
      <c r="J1057" s="20" t="n">
        <v>0.0811017</v>
      </c>
      <c r="K1057" s="2" t="inlineStr">
        <is>
          <t>止盈</t>
        </is>
      </c>
      <c r="L1057" s="5">
        <f>交易明細!K526</f>
        <v/>
      </c>
      <c r="M1057" s="19">
        <f>M1047</f>
        <v/>
      </c>
      <c r="N1057" s="2">
        <f>N1047</f>
        <v/>
      </c>
      <c r="O1057" s="19">
        <f>O1047</f>
        <v/>
      </c>
      <c r="P1057" s="4">
        <f>交易明細!L526</f>
        <v/>
      </c>
      <c r="Q1057" s="13">
        <f>IF(N1057="已下單",O1057*P1057,0)</f>
        <v/>
      </c>
      <c r="R1057" s="13">
        <f>R1056+Q1057</f>
        <v/>
      </c>
      <c r="S1057" s="19">
        <f>S1056-IF(N1057="已下單",M1057,0)</f>
        <v/>
      </c>
      <c r="T1057" s="19">
        <f>R1057-S1057</f>
        <v/>
      </c>
      <c r="U1057" s="2">
        <f>U1056-IF(N1057="已下單",1,0)</f>
        <v/>
      </c>
      <c r="V1057" s="19">
        <f>IF(資金模擬!$B$9=2,MAX(R1057,0),MAX(V1056,FLOOR(MAX(R1057,0),資金模擬!$B$6)))</f>
        <v/>
      </c>
      <c r="W1057" s="13">
        <f>MAX(W1056,R1057)</f>
        <v/>
      </c>
      <c r="X1057" s="4">
        <f>IF(W1057&gt;0,R1057/W1057-1,-1)</f>
        <v/>
      </c>
      <c r="Y1057" s="19">
        <f>IF(R1057&gt;0,S1057*資金模擬!$B$7/R1057,0)</f>
        <v/>
      </c>
      <c r="Z1057" s="2">
        <f>IF(OR(Z1056=1,R1057&lt;=資金模擬!$B$10),1,0)</f>
        <v/>
      </c>
    </row>
    <row r="1058">
      <c r="A1058" s="2" t="n">
        <v>1056</v>
      </c>
      <c r="B1058" s="7" t="n">
        <v>46293.54166666666</v>
      </c>
      <c r="C1058" s="2" t="inlineStr">
        <is>
          <t>出場</t>
        </is>
      </c>
      <c r="D1058" s="2" t="n">
        <v>527</v>
      </c>
      <c r="E1058" s="2" t="inlineStr">
        <is>
          <t>PENGU_USDT_PERP</t>
        </is>
      </c>
      <c r="F1058" s="2" t="inlineStr">
        <is>
          <t>做空</t>
        </is>
      </c>
      <c r="G1058" s="20" t="n">
        <v>0.009993999999999999</v>
      </c>
      <c r="H1058" s="20" t="n">
        <v>0.009694179999999998</v>
      </c>
      <c r="I1058" s="20" t="n">
        <v>0.0104937</v>
      </c>
      <c r="J1058" s="20" t="n">
        <v>0.009694179999999998</v>
      </c>
      <c r="K1058" s="2" t="inlineStr">
        <is>
          <t>止盈</t>
        </is>
      </c>
      <c r="L1058" s="5">
        <f>交易明細!K528</f>
        <v/>
      </c>
      <c r="M1058" s="19">
        <f>M1052</f>
        <v/>
      </c>
      <c r="N1058" s="2">
        <f>N1052</f>
        <v/>
      </c>
      <c r="O1058" s="19">
        <f>O1052</f>
        <v/>
      </c>
      <c r="P1058" s="4">
        <f>交易明細!L528</f>
        <v/>
      </c>
      <c r="Q1058" s="13">
        <f>IF(N1058="已下單",O1058*P1058,0)</f>
        <v/>
      </c>
      <c r="R1058" s="13">
        <f>R1057+Q1058</f>
        <v/>
      </c>
      <c r="S1058" s="19">
        <f>S1057-IF(N1058="已下單",M1058,0)</f>
        <v/>
      </c>
      <c r="T1058" s="19">
        <f>R1058-S1058</f>
        <v/>
      </c>
      <c r="U1058" s="2">
        <f>U1057-IF(N1058="已下單",1,0)</f>
        <v/>
      </c>
      <c r="V1058" s="19">
        <f>IF(資金模擬!$B$9=2,MAX(R1058,0),MAX(V1057,FLOOR(MAX(R1058,0),資金模擬!$B$6)))</f>
        <v/>
      </c>
      <c r="W1058" s="13">
        <f>MAX(W1057,R1058)</f>
        <v/>
      </c>
      <c r="X1058" s="4">
        <f>IF(W1058&gt;0,R1058/W1058-1,-1)</f>
        <v/>
      </c>
      <c r="Y1058" s="19">
        <f>IF(R1058&gt;0,S1058*資金模擬!$B$7/R1058,0)</f>
        <v/>
      </c>
      <c r="Z1058" s="2">
        <f>IF(OR(Z1057=1,R1058&lt;=資金模擬!$B$10),1,0)</f>
        <v/>
      </c>
    </row>
    <row r="1059">
      <c r="A1059" s="2" t="n">
        <v>1057</v>
      </c>
      <c r="B1059" s="7" t="n">
        <v>46293.54166666666</v>
      </c>
      <c r="C1059" s="2" t="inlineStr">
        <is>
          <t>出場</t>
        </is>
      </c>
      <c r="D1059" s="2" t="n">
        <v>528</v>
      </c>
      <c r="E1059" s="2" t="inlineStr">
        <is>
          <t>SAGA_USDT_PERP</t>
        </is>
      </c>
      <c r="F1059" s="2" t="inlineStr">
        <is>
          <t>做空</t>
        </is>
      </c>
      <c r="G1059" s="20" t="n">
        <v>0.02517</v>
      </c>
      <c r="H1059" s="20" t="n">
        <v>0.0244149</v>
      </c>
      <c r="I1059" s="20" t="n">
        <v>0.0264285</v>
      </c>
      <c r="J1059" s="20" t="n">
        <v>0.0264285</v>
      </c>
      <c r="K1059" s="2" t="inlineStr">
        <is>
          <t>止損</t>
        </is>
      </c>
      <c r="L1059" s="5">
        <f>交易明細!K529</f>
        <v/>
      </c>
      <c r="M1059" s="19">
        <f>M1053</f>
        <v/>
      </c>
      <c r="N1059" s="2">
        <f>N1053</f>
        <v/>
      </c>
      <c r="O1059" s="19">
        <f>O1053</f>
        <v/>
      </c>
      <c r="P1059" s="4">
        <f>交易明細!L529</f>
        <v/>
      </c>
      <c r="Q1059" s="13">
        <f>IF(N1059="已下單",O1059*P1059,0)</f>
        <v/>
      </c>
      <c r="R1059" s="13">
        <f>R1058+Q1059</f>
        <v/>
      </c>
      <c r="S1059" s="19">
        <f>S1058-IF(N1059="已下單",M1059,0)</f>
        <v/>
      </c>
      <c r="T1059" s="19">
        <f>R1059-S1059</f>
        <v/>
      </c>
      <c r="U1059" s="2">
        <f>U1058-IF(N1059="已下單",1,0)</f>
        <v/>
      </c>
      <c r="V1059" s="19">
        <f>IF(資金模擬!$B$9=2,MAX(R1059,0),MAX(V1058,FLOOR(MAX(R1059,0),資金模擬!$B$6)))</f>
        <v/>
      </c>
      <c r="W1059" s="13">
        <f>MAX(W1058,R1059)</f>
        <v/>
      </c>
      <c r="X1059" s="4">
        <f>IF(W1059&gt;0,R1059/W1059-1,-1)</f>
        <v/>
      </c>
      <c r="Y1059" s="19">
        <f>IF(R1059&gt;0,S1059*資金模擬!$B$7/R1059,0)</f>
        <v/>
      </c>
      <c r="Z1059" s="2">
        <f>IF(OR(Z1058=1,R1059&lt;=資金模擬!$B$10),1,0)</f>
        <v/>
      </c>
    </row>
    <row r="1060">
      <c r="A1060" s="2" t="n">
        <v>1058</v>
      </c>
      <c r="B1060" s="7" t="n">
        <v>46293.54166666666</v>
      </c>
      <c r="C1060" s="2" t="inlineStr">
        <is>
          <t>出場</t>
        </is>
      </c>
      <c r="D1060" s="2" t="n">
        <v>530</v>
      </c>
      <c r="E1060" s="2" t="inlineStr">
        <is>
          <t>SOON_USDT_PERP</t>
        </is>
      </c>
      <c r="F1060" s="2" t="inlineStr">
        <is>
          <t>做多</t>
        </is>
      </c>
      <c r="G1060" s="20" t="n">
        <v>0.3167</v>
      </c>
      <c r="H1060" s="20" t="n">
        <v>0.326201</v>
      </c>
      <c r="I1060" s="20" t="n">
        <v>0.300865</v>
      </c>
      <c r="J1060" s="20" t="n">
        <v>0.326201</v>
      </c>
      <c r="K1060" s="2" t="inlineStr">
        <is>
          <t>止盈</t>
        </is>
      </c>
      <c r="L1060" s="5">
        <f>交易明細!K531</f>
        <v/>
      </c>
      <c r="M1060" s="19">
        <f>M1055</f>
        <v/>
      </c>
      <c r="N1060" s="2">
        <f>N1055</f>
        <v/>
      </c>
      <c r="O1060" s="19">
        <f>O1055</f>
        <v/>
      </c>
      <c r="P1060" s="4">
        <f>交易明細!L531</f>
        <v/>
      </c>
      <c r="Q1060" s="13">
        <f>IF(N1060="已下單",O1060*P1060,0)</f>
        <v/>
      </c>
      <c r="R1060" s="13">
        <f>R1059+Q1060</f>
        <v/>
      </c>
      <c r="S1060" s="19">
        <f>S1059-IF(N1060="已下單",M1060,0)</f>
        <v/>
      </c>
      <c r="T1060" s="19">
        <f>R1060-S1060</f>
        <v/>
      </c>
      <c r="U1060" s="2">
        <f>U1059-IF(N1060="已下單",1,0)</f>
        <v/>
      </c>
      <c r="V1060" s="19">
        <f>IF(資金模擬!$B$9=2,MAX(R1060,0),MAX(V1059,FLOOR(MAX(R1060,0),資金模擬!$B$6)))</f>
        <v/>
      </c>
      <c r="W1060" s="13">
        <f>MAX(W1059,R1060)</f>
        <v/>
      </c>
      <c r="X1060" s="4">
        <f>IF(W1060&gt;0,R1060/W1060-1,-1)</f>
        <v/>
      </c>
      <c r="Y1060" s="19">
        <f>IF(R1060&gt;0,S1060*資金模擬!$B$7/R1060,0)</f>
        <v/>
      </c>
      <c r="Z1060" s="2">
        <f>IF(OR(Z1059=1,R1060&lt;=資金模擬!$B$10),1,0)</f>
        <v/>
      </c>
    </row>
    <row r="1061">
      <c r="A1061" s="2" t="n">
        <v>1059</v>
      </c>
      <c r="B1061" s="7" t="n">
        <v>46293.58333333334</v>
      </c>
      <c r="C1061" s="2" t="inlineStr">
        <is>
          <t>進場</t>
        </is>
      </c>
      <c r="D1061" s="2" t="n">
        <v>531</v>
      </c>
      <c r="E1061" s="2" t="inlineStr">
        <is>
          <t>GRASS_USDT_PERP</t>
        </is>
      </c>
      <c r="F1061" s="2" t="inlineStr">
        <is>
          <t>做多</t>
        </is>
      </c>
      <c r="G1061" s="20" t="n">
        <v>0.6443</v>
      </c>
      <c r="H1061" s="20" t="n">
        <v>0.663629</v>
      </c>
      <c r="I1061" s="20" t="n">
        <v>0.612085</v>
      </c>
      <c r="J1061" s="20" t="n"/>
      <c r="K1061" s="2" t="n"/>
      <c r="L1061" s="5" t="n"/>
      <c r="M1061" s="19">
        <f>資金模擬!$B$5*V1060</f>
        <v/>
      </c>
      <c r="N1061" s="2">
        <f>IF(Z1060=1,"已停止",IF(T1060&gt;=M1061,"已下單","資金不足略過"))</f>
        <v/>
      </c>
      <c r="O1061" s="19">
        <f>IF(N1061="已下單",M1061*資金模擬!$B$7,0)</f>
        <v/>
      </c>
      <c r="P1061" s="4" t="n"/>
      <c r="Q1061" s="13" t="n">
        <v>0</v>
      </c>
      <c r="R1061" s="13">
        <f>R1060+Q1061</f>
        <v/>
      </c>
      <c r="S1061" s="19">
        <f>S1060+IF(N1061="已下單",M1061,0)</f>
        <v/>
      </c>
      <c r="T1061" s="19">
        <f>R1061-S1061</f>
        <v/>
      </c>
      <c r="U1061" s="2">
        <f>U1060+IF(N1061="已下單",1,0)</f>
        <v/>
      </c>
      <c r="V1061" s="19">
        <f>IF(資金模擬!$B$9=2,MAX(R1061,0),MAX(V1060,FLOOR(MAX(R1061,0),資金模擬!$B$6)))</f>
        <v/>
      </c>
      <c r="W1061" s="13">
        <f>MAX(W1060,R1061)</f>
        <v/>
      </c>
      <c r="X1061" s="4">
        <f>IF(W1061&gt;0,R1061/W1061-1,-1)</f>
        <v/>
      </c>
      <c r="Y1061" s="19">
        <f>IF(R1061&gt;0,S1061*資金模擬!$B$7/R1061,0)</f>
        <v/>
      </c>
      <c r="Z1061" s="2">
        <f>IF(OR(Z1060=1,R1061&lt;=資金模擬!$B$10),1,0)</f>
        <v/>
      </c>
    </row>
    <row r="1062">
      <c r="A1062" s="2" t="n">
        <v>1060</v>
      </c>
      <c r="B1062" s="7" t="n">
        <v>46293.58333333334</v>
      </c>
      <c r="C1062" s="2" t="inlineStr">
        <is>
          <t>進場</t>
        </is>
      </c>
      <c r="D1062" s="2" t="n">
        <v>532</v>
      </c>
      <c r="E1062" s="2" t="inlineStr">
        <is>
          <t>MARSCOIN_USDT_PERP</t>
        </is>
      </c>
      <c r="F1062" s="2" t="inlineStr">
        <is>
          <t>做多</t>
        </is>
      </c>
      <c r="G1062" s="20" t="n">
        <v>0.12773</v>
      </c>
      <c r="H1062" s="20" t="n">
        <v>0.1315619</v>
      </c>
      <c r="I1062" s="20" t="n">
        <v>0.1213435</v>
      </c>
      <c r="J1062" s="20" t="n"/>
      <c r="K1062" s="2" t="n"/>
      <c r="L1062" s="5" t="n"/>
      <c r="M1062" s="19">
        <f>資金模擬!$B$5*V1061</f>
        <v/>
      </c>
      <c r="N1062" s="2">
        <f>IF(Z1061=1,"已停止",IF(T1061&gt;=M1062,"已下單","資金不足略過"))</f>
        <v/>
      </c>
      <c r="O1062" s="19">
        <f>IF(N1062="已下單",M1062*資金模擬!$B$7,0)</f>
        <v/>
      </c>
      <c r="P1062" s="4" t="n"/>
      <c r="Q1062" s="13" t="n">
        <v>0</v>
      </c>
      <c r="R1062" s="13">
        <f>R1061+Q1062</f>
        <v/>
      </c>
      <c r="S1062" s="19">
        <f>S1061+IF(N1062="已下單",M1062,0)</f>
        <v/>
      </c>
      <c r="T1062" s="19">
        <f>R1062-S1062</f>
        <v/>
      </c>
      <c r="U1062" s="2">
        <f>U1061+IF(N1062="已下單",1,0)</f>
        <v/>
      </c>
      <c r="V1062" s="19">
        <f>IF(資金模擬!$B$9=2,MAX(R1062,0),MAX(V1061,FLOOR(MAX(R1062,0),資金模擬!$B$6)))</f>
        <v/>
      </c>
      <c r="W1062" s="13">
        <f>MAX(W1061,R1062)</f>
        <v/>
      </c>
      <c r="X1062" s="4">
        <f>IF(W1062&gt;0,R1062/W1062-1,-1)</f>
        <v/>
      </c>
      <c r="Y1062" s="19">
        <f>IF(R1062&gt;0,S1062*資金模擬!$B$7/R1062,0)</f>
        <v/>
      </c>
      <c r="Z1062" s="2">
        <f>IF(OR(Z1061=1,R1062&lt;=資金模擬!$B$10),1,0)</f>
        <v/>
      </c>
    </row>
    <row r="1063">
      <c r="A1063" s="2" t="n">
        <v>1061</v>
      </c>
      <c r="B1063" s="7" t="n">
        <v>46293.58333333334</v>
      </c>
      <c r="C1063" s="2" t="inlineStr">
        <is>
          <t>進場</t>
        </is>
      </c>
      <c r="D1063" s="2" t="n">
        <v>533</v>
      </c>
      <c r="E1063" s="2" t="inlineStr">
        <is>
          <t>NEAR_USDT_PERP</t>
        </is>
      </c>
      <c r="F1063" s="2" t="inlineStr">
        <is>
          <t>做空</t>
        </is>
      </c>
      <c r="G1063" s="20" t="n">
        <v>5.159</v>
      </c>
      <c r="H1063" s="20" t="n">
        <v>5.00423</v>
      </c>
      <c r="I1063" s="20" t="n">
        <v>5.41695</v>
      </c>
      <c r="J1063" s="20" t="n"/>
      <c r="K1063" s="2" t="n"/>
      <c r="L1063" s="5" t="n"/>
      <c r="M1063" s="19">
        <f>資金模擬!$B$5*V1062</f>
        <v/>
      </c>
      <c r="N1063" s="2">
        <f>IF(Z1062=1,"已停止",IF(T1062&gt;=M1063,"已下單","資金不足略過"))</f>
        <v/>
      </c>
      <c r="O1063" s="19">
        <f>IF(N1063="已下單",M1063*資金模擬!$B$7,0)</f>
        <v/>
      </c>
      <c r="P1063" s="4" t="n"/>
      <c r="Q1063" s="13" t="n">
        <v>0</v>
      </c>
      <c r="R1063" s="13">
        <f>R1062+Q1063</f>
        <v/>
      </c>
      <c r="S1063" s="19">
        <f>S1062+IF(N1063="已下單",M1063,0)</f>
        <v/>
      </c>
      <c r="T1063" s="19">
        <f>R1063-S1063</f>
        <v/>
      </c>
      <c r="U1063" s="2">
        <f>U1062+IF(N1063="已下單",1,0)</f>
        <v/>
      </c>
      <c r="V1063" s="19">
        <f>IF(資金模擬!$B$9=2,MAX(R1063,0),MAX(V1062,FLOOR(MAX(R1063,0),資金模擬!$B$6)))</f>
        <v/>
      </c>
      <c r="W1063" s="13">
        <f>MAX(W1062,R1063)</f>
        <v/>
      </c>
      <c r="X1063" s="4">
        <f>IF(W1063&gt;0,R1063/W1063-1,-1)</f>
        <v/>
      </c>
      <c r="Y1063" s="19">
        <f>IF(R1063&gt;0,S1063*資金模擬!$B$7/R1063,0)</f>
        <v/>
      </c>
      <c r="Z1063" s="2">
        <f>IF(OR(Z1062=1,R1063&lt;=資金模擬!$B$10),1,0)</f>
        <v/>
      </c>
    </row>
    <row r="1064">
      <c r="A1064" s="2" t="n">
        <v>1062</v>
      </c>
      <c r="B1064" s="7" t="n">
        <v>46293.625</v>
      </c>
      <c r="C1064" s="2" t="inlineStr">
        <is>
          <t>出場</t>
        </is>
      </c>
      <c r="D1064" s="2" t="n">
        <v>531</v>
      </c>
      <c r="E1064" s="2" t="inlineStr">
        <is>
          <t>GRASS_USDT_PERP</t>
        </is>
      </c>
      <c r="F1064" s="2" t="inlineStr">
        <is>
          <t>做多</t>
        </is>
      </c>
      <c r="G1064" s="20" t="n">
        <v>0.6443</v>
      </c>
      <c r="H1064" s="20" t="n">
        <v>0.663629</v>
      </c>
      <c r="I1064" s="20" t="n">
        <v>0.612085</v>
      </c>
      <c r="J1064" s="20" t="n">
        <v>0.663629</v>
      </c>
      <c r="K1064" s="2" t="inlineStr">
        <is>
          <t>止盈</t>
        </is>
      </c>
      <c r="L1064" s="5">
        <f>交易明細!K532</f>
        <v/>
      </c>
      <c r="M1064" s="19">
        <f>M1061</f>
        <v/>
      </c>
      <c r="N1064" s="2">
        <f>N1061</f>
        <v/>
      </c>
      <c r="O1064" s="19">
        <f>O1061</f>
        <v/>
      </c>
      <c r="P1064" s="4">
        <f>交易明細!L532</f>
        <v/>
      </c>
      <c r="Q1064" s="13">
        <f>IF(N1064="已下單",O1064*P1064,0)</f>
        <v/>
      </c>
      <c r="R1064" s="13">
        <f>R1063+Q1064</f>
        <v/>
      </c>
      <c r="S1064" s="19">
        <f>S1063-IF(N1064="已下單",M1064,0)</f>
        <v/>
      </c>
      <c r="T1064" s="19">
        <f>R1064-S1064</f>
        <v/>
      </c>
      <c r="U1064" s="2">
        <f>U1063-IF(N1064="已下單",1,0)</f>
        <v/>
      </c>
      <c r="V1064" s="19">
        <f>IF(資金模擬!$B$9=2,MAX(R1064,0),MAX(V1063,FLOOR(MAX(R1064,0),資金模擬!$B$6)))</f>
        <v/>
      </c>
      <c r="W1064" s="13">
        <f>MAX(W1063,R1064)</f>
        <v/>
      </c>
      <c r="X1064" s="4">
        <f>IF(W1064&gt;0,R1064/W1064-1,-1)</f>
        <v/>
      </c>
      <c r="Y1064" s="19">
        <f>IF(R1064&gt;0,S1064*資金模擬!$B$7/R1064,0)</f>
        <v/>
      </c>
      <c r="Z1064" s="2">
        <f>IF(OR(Z1063=1,R1064&lt;=資金模擬!$B$10),1,0)</f>
        <v/>
      </c>
    </row>
    <row r="1065">
      <c r="A1065" s="2" t="n">
        <v>1063</v>
      </c>
      <c r="B1065" s="7" t="n">
        <v>46293.625</v>
      </c>
      <c r="C1065" s="2" t="inlineStr">
        <is>
          <t>出場</t>
        </is>
      </c>
      <c r="D1065" s="2" t="n">
        <v>532</v>
      </c>
      <c r="E1065" s="2" t="inlineStr">
        <is>
          <t>MARSCOIN_USDT_PERP</t>
        </is>
      </c>
      <c r="F1065" s="2" t="inlineStr">
        <is>
          <t>做多</t>
        </is>
      </c>
      <c r="G1065" s="20" t="n">
        <v>0.12773</v>
      </c>
      <c r="H1065" s="20" t="n">
        <v>0.1315619</v>
      </c>
      <c r="I1065" s="20" t="n">
        <v>0.1213435</v>
      </c>
      <c r="J1065" s="20" t="n">
        <v>0.1315619</v>
      </c>
      <c r="K1065" s="2" t="inlineStr">
        <is>
          <t>止盈</t>
        </is>
      </c>
      <c r="L1065" s="5">
        <f>交易明細!K533</f>
        <v/>
      </c>
      <c r="M1065" s="19">
        <f>M1062</f>
        <v/>
      </c>
      <c r="N1065" s="2">
        <f>N1062</f>
        <v/>
      </c>
      <c r="O1065" s="19">
        <f>O1062</f>
        <v/>
      </c>
      <c r="P1065" s="4">
        <f>交易明細!L533</f>
        <v/>
      </c>
      <c r="Q1065" s="13">
        <f>IF(N1065="已下單",O1065*P1065,0)</f>
        <v/>
      </c>
      <c r="R1065" s="13">
        <f>R1064+Q1065</f>
        <v/>
      </c>
      <c r="S1065" s="19">
        <f>S1064-IF(N1065="已下單",M1065,0)</f>
        <v/>
      </c>
      <c r="T1065" s="19">
        <f>R1065-S1065</f>
        <v/>
      </c>
      <c r="U1065" s="2">
        <f>U1064-IF(N1065="已下單",1,0)</f>
        <v/>
      </c>
      <c r="V1065" s="19">
        <f>IF(資金模擬!$B$9=2,MAX(R1065,0),MAX(V1064,FLOOR(MAX(R1065,0),資金模擬!$B$6)))</f>
        <v/>
      </c>
      <c r="W1065" s="13">
        <f>MAX(W1064,R1065)</f>
        <v/>
      </c>
      <c r="X1065" s="4">
        <f>IF(W1065&gt;0,R1065/W1065-1,-1)</f>
        <v/>
      </c>
      <c r="Y1065" s="19">
        <f>IF(R1065&gt;0,S1065*資金模擬!$B$7/R1065,0)</f>
        <v/>
      </c>
      <c r="Z1065" s="2">
        <f>IF(OR(Z1064=1,R1065&lt;=資金模擬!$B$10),1,0)</f>
        <v/>
      </c>
    </row>
    <row r="1066">
      <c r="A1066" s="2" t="n">
        <v>1064</v>
      </c>
      <c r="B1066" s="7" t="n">
        <v>46293.625</v>
      </c>
      <c r="C1066" s="2" t="inlineStr">
        <is>
          <t>進場</t>
        </is>
      </c>
      <c r="D1066" s="2" t="n">
        <v>534</v>
      </c>
      <c r="E1066" s="2" t="inlineStr">
        <is>
          <t>SAGA_USDT_PERP</t>
        </is>
      </c>
      <c r="F1066" s="2" t="inlineStr">
        <is>
          <t>做多</t>
        </is>
      </c>
      <c r="G1066" s="20" t="n">
        <v>0.027</v>
      </c>
      <c r="H1066" s="20" t="n">
        <v>0.02781</v>
      </c>
      <c r="I1066" s="20" t="n">
        <v>0.02565</v>
      </c>
      <c r="J1066" s="20" t="n"/>
      <c r="K1066" s="2" t="inlineStr">
        <is>
          <t>未平倉</t>
        </is>
      </c>
      <c r="L1066" s="5" t="n"/>
      <c r="M1066" s="19">
        <f>資金模擬!$B$5*V1065</f>
        <v/>
      </c>
      <c r="N1066" s="2">
        <f>IF(Z1065=1,"已停止",IF(T1065&gt;=M1066,"已下單","資金不足略過"))</f>
        <v/>
      </c>
      <c r="O1066" s="19">
        <f>IF(N1066="已下單",M1066*資金模擬!$B$7,0)</f>
        <v/>
      </c>
      <c r="P1066" s="4" t="n"/>
      <c r="Q1066" s="13" t="n">
        <v>0</v>
      </c>
      <c r="R1066" s="13">
        <f>R1065+Q1066</f>
        <v/>
      </c>
      <c r="S1066" s="19">
        <f>S1065+IF(N1066="已下單",M1066,0)</f>
        <v/>
      </c>
      <c r="T1066" s="19">
        <f>R1066-S1066</f>
        <v/>
      </c>
      <c r="U1066" s="2">
        <f>U1065+IF(N1066="已下單",1,0)</f>
        <v/>
      </c>
      <c r="V1066" s="19">
        <f>IF(資金模擬!$B$9=2,MAX(R1066,0),MAX(V1065,FLOOR(MAX(R1066,0),資金模擬!$B$6)))</f>
        <v/>
      </c>
      <c r="W1066" s="13">
        <f>MAX(W1065,R1066)</f>
        <v/>
      </c>
      <c r="X1066" s="4">
        <f>IF(W1066&gt;0,R1066/W1066-1,-1)</f>
        <v/>
      </c>
      <c r="Y1066" s="19">
        <f>IF(R1066&gt;0,S1066*資金模擬!$B$7/R1066,0)</f>
        <v/>
      </c>
      <c r="Z1066" s="2">
        <f>IF(OR(Z1065=1,R1066&lt;=資金模擬!$B$10),1,0)</f>
        <v/>
      </c>
    </row>
    <row r="1067">
      <c r="A1067" s="2" t="n">
        <v>1065</v>
      </c>
      <c r="B1067" s="7" t="n">
        <v>46293.66666666666</v>
      </c>
      <c r="C1067" s="2" t="inlineStr">
        <is>
          <t>出場</t>
        </is>
      </c>
      <c r="D1067" s="2" t="n">
        <v>529</v>
      </c>
      <c r="E1067" s="2" t="inlineStr">
        <is>
          <t>ARB_USDT_PERP</t>
        </is>
      </c>
      <c r="F1067" s="2" t="inlineStr">
        <is>
          <t>做空</t>
        </is>
      </c>
      <c r="G1067" s="20" t="n">
        <v>0.2144</v>
      </c>
      <c r="H1067" s="20" t="n">
        <v>0.207968</v>
      </c>
      <c r="I1067" s="20" t="n">
        <v>0.22512</v>
      </c>
      <c r="J1067" s="20" t="n">
        <v>0.207968</v>
      </c>
      <c r="K1067" s="2" t="inlineStr">
        <is>
          <t>止盈</t>
        </is>
      </c>
      <c r="L1067" s="5">
        <f>交易明細!K530</f>
        <v/>
      </c>
      <c r="M1067" s="19">
        <f>M1054</f>
        <v/>
      </c>
      <c r="N1067" s="2">
        <f>N1054</f>
        <v/>
      </c>
      <c r="O1067" s="19">
        <f>O1054</f>
        <v/>
      </c>
      <c r="P1067" s="4">
        <f>交易明細!L530</f>
        <v/>
      </c>
      <c r="Q1067" s="13">
        <f>IF(N1067="已下單",O1067*P1067,0)</f>
        <v/>
      </c>
      <c r="R1067" s="13">
        <f>R1066+Q1067</f>
        <v/>
      </c>
      <c r="S1067" s="19">
        <f>S1066-IF(N1067="已下單",M1067,0)</f>
        <v/>
      </c>
      <c r="T1067" s="19">
        <f>R1067-S1067</f>
        <v/>
      </c>
      <c r="U1067" s="2">
        <f>U1066-IF(N1067="已下單",1,0)</f>
        <v/>
      </c>
      <c r="V1067" s="19">
        <f>IF(資金模擬!$B$9=2,MAX(R1067,0),MAX(V1066,FLOOR(MAX(R1067,0),資金模擬!$B$6)))</f>
        <v/>
      </c>
      <c r="W1067" s="13">
        <f>MAX(W1066,R1067)</f>
        <v/>
      </c>
      <c r="X1067" s="4">
        <f>IF(W1067&gt;0,R1067/W1067-1,-1)</f>
        <v/>
      </c>
      <c r="Y1067" s="19">
        <f>IF(R1067&gt;0,S1067*資金模擬!$B$7/R1067,0)</f>
        <v/>
      </c>
      <c r="Z1067" s="2">
        <f>IF(OR(Z1066=1,R1067&lt;=資金模擬!$B$10),1,0)</f>
        <v/>
      </c>
    </row>
    <row r="1068">
      <c r="A1068" s="2" t="n">
        <v>1066</v>
      </c>
      <c r="B1068" s="7" t="n">
        <v>46293.70833333334</v>
      </c>
      <c r="C1068" s="2" t="inlineStr">
        <is>
          <t>進場</t>
        </is>
      </c>
      <c r="D1068" s="2" t="n">
        <v>535</v>
      </c>
      <c r="E1068" s="2" t="inlineStr">
        <is>
          <t>牛来_USDT_PERP</t>
        </is>
      </c>
      <c r="F1068" s="2" t="inlineStr">
        <is>
          <t>做多</t>
        </is>
      </c>
      <c r="G1068" s="20" t="n">
        <v>0.11105</v>
      </c>
      <c r="H1068" s="20" t="n">
        <v>0.1143815</v>
      </c>
      <c r="I1068" s="20" t="n">
        <v>0.1054975</v>
      </c>
      <c r="J1068" s="20" t="n"/>
      <c r="K1068" s="2" t="inlineStr">
        <is>
          <t>未平倉</t>
        </is>
      </c>
      <c r="L1068" s="5" t="n"/>
      <c r="M1068" s="19">
        <f>資金模擬!$B$5*V1067</f>
        <v/>
      </c>
      <c r="N1068" s="2">
        <f>IF(Z1067=1,"已停止",IF(T1067&gt;=M1068,"已下單","資金不足略過"))</f>
        <v/>
      </c>
      <c r="O1068" s="19">
        <f>IF(N1068="已下單",M1068*資金模擬!$B$7,0)</f>
        <v/>
      </c>
      <c r="P1068" s="4" t="n"/>
      <c r="Q1068" s="13" t="n">
        <v>0</v>
      </c>
      <c r="R1068" s="13">
        <f>R1067+Q1068</f>
        <v/>
      </c>
      <c r="S1068" s="19">
        <f>S1067+IF(N1068="已下單",M1068,0)</f>
        <v/>
      </c>
      <c r="T1068" s="19">
        <f>R1068-S1068</f>
        <v/>
      </c>
      <c r="U1068" s="2">
        <f>U1067+IF(N1068="已下單",1,0)</f>
        <v/>
      </c>
      <c r="V1068" s="19">
        <f>IF(資金模擬!$B$9=2,MAX(R1068,0),MAX(V1067,FLOOR(MAX(R1068,0),資金模擬!$B$6)))</f>
        <v/>
      </c>
      <c r="W1068" s="13">
        <f>MAX(W1067,R1068)</f>
        <v/>
      </c>
      <c r="X1068" s="4">
        <f>IF(W1068&gt;0,R1068/W1068-1,-1)</f>
        <v/>
      </c>
      <c r="Y1068" s="19">
        <f>IF(R1068&gt;0,S1068*資金模擬!$B$7/R1068,0)</f>
        <v/>
      </c>
      <c r="Z1068" s="2">
        <f>IF(OR(Z1067=1,R1068&lt;=資金模擬!$B$10),1,0)</f>
        <v/>
      </c>
    </row>
    <row r="1069">
      <c r="A1069" s="2" t="n">
        <v>1067</v>
      </c>
      <c r="B1069" s="7" t="n">
        <v>46293.75</v>
      </c>
      <c r="C1069" s="2" t="inlineStr">
        <is>
          <t>出場</t>
        </is>
      </c>
      <c r="D1069" s="2" t="n">
        <v>526</v>
      </c>
      <c r="E1069" s="2" t="inlineStr">
        <is>
          <t>XPL_USDT_PERP</t>
        </is>
      </c>
      <c r="F1069" s="2" t="inlineStr">
        <is>
          <t>做空</t>
        </is>
      </c>
      <c r="G1069" s="20" t="n">
        <v>0.1037</v>
      </c>
      <c r="H1069" s="20" t="n">
        <v>0.100589</v>
      </c>
      <c r="I1069" s="20" t="n">
        <v>0.108885</v>
      </c>
      <c r="J1069" s="20" t="n">
        <v>0.100589</v>
      </c>
      <c r="K1069" s="2" t="inlineStr">
        <is>
          <t>止盈</t>
        </is>
      </c>
      <c r="L1069" s="5">
        <f>交易明細!K527</f>
        <v/>
      </c>
      <c r="M1069" s="19">
        <f>M1051</f>
        <v/>
      </c>
      <c r="N1069" s="2">
        <f>N1051</f>
        <v/>
      </c>
      <c r="O1069" s="19">
        <f>O1051</f>
        <v/>
      </c>
      <c r="P1069" s="4">
        <f>交易明細!L527</f>
        <v/>
      </c>
      <c r="Q1069" s="13">
        <f>IF(N1069="已下單",O1069*P1069,0)</f>
        <v/>
      </c>
      <c r="R1069" s="13">
        <f>R1068+Q1069</f>
        <v/>
      </c>
      <c r="S1069" s="19">
        <f>S1068-IF(N1069="已下單",M1069,0)</f>
        <v/>
      </c>
      <c r="T1069" s="19">
        <f>R1069-S1069</f>
        <v/>
      </c>
      <c r="U1069" s="2">
        <f>U1068-IF(N1069="已下單",1,0)</f>
        <v/>
      </c>
      <c r="V1069" s="19">
        <f>IF(資金模擬!$B$9=2,MAX(R1069,0),MAX(V1068,FLOOR(MAX(R1069,0),資金模擬!$B$6)))</f>
        <v/>
      </c>
      <c r="W1069" s="13">
        <f>MAX(W1068,R1069)</f>
        <v/>
      </c>
      <c r="X1069" s="4">
        <f>IF(W1069&gt;0,R1069/W1069-1,-1)</f>
        <v/>
      </c>
      <c r="Y1069" s="19">
        <f>IF(R1069&gt;0,S1069*資金模擬!$B$7/R1069,0)</f>
        <v/>
      </c>
      <c r="Z1069" s="2">
        <f>IF(OR(Z1068=1,R1069&lt;=資金模擬!$B$10),1,0)</f>
        <v/>
      </c>
    </row>
    <row r="1070">
      <c r="A1070" s="2" t="n">
        <v>1068</v>
      </c>
      <c r="B1070" s="7" t="n">
        <v>46293.75</v>
      </c>
      <c r="C1070" s="2" t="inlineStr">
        <is>
          <t>出場</t>
        </is>
      </c>
      <c r="D1070" s="2" t="n">
        <v>533</v>
      </c>
      <c r="E1070" s="2" t="inlineStr">
        <is>
          <t>NEAR_USDT_PERP</t>
        </is>
      </c>
      <c r="F1070" s="2" t="inlineStr">
        <is>
          <t>做空</t>
        </is>
      </c>
      <c r="G1070" s="20" t="n">
        <v>5.159</v>
      </c>
      <c r="H1070" s="20" t="n">
        <v>5.00423</v>
      </c>
      <c r="I1070" s="20" t="n">
        <v>5.41695</v>
      </c>
      <c r="J1070" s="20" t="n">
        <v>5.00423</v>
      </c>
      <c r="K1070" s="2" t="inlineStr">
        <is>
          <t>止盈</t>
        </is>
      </c>
      <c r="L1070" s="5">
        <f>交易明細!K534</f>
        <v/>
      </c>
      <c r="M1070" s="19">
        <f>M1063</f>
        <v/>
      </c>
      <c r="N1070" s="2">
        <f>N1063</f>
        <v/>
      </c>
      <c r="O1070" s="19">
        <f>O1063</f>
        <v/>
      </c>
      <c r="P1070" s="4">
        <f>交易明細!L534</f>
        <v/>
      </c>
      <c r="Q1070" s="13">
        <f>IF(N1070="已下單",O1070*P1070,0)</f>
        <v/>
      </c>
      <c r="R1070" s="13">
        <f>R1069+Q1070</f>
        <v/>
      </c>
      <c r="S1070" s="19">
        <f>S1069-IF(N1070="已下單",M1070,0)</f>
        <v/>
      </c>
      <c r="T1070" s="19">
        <f>R1070-S1070</f>
        <v/>
      </c>
      <c r="U1070" s="2">
        <f>U1069-IF(N1070="已下單",1,0)</f>
        <v/>
      </c>
      <c r="V1070" s="19">
        <f>IF(資金模擬!$B$9=2,MAX(R1070,0),MAX(V1069,FLOOR(MAX(R1070,0),資金模擬!$B$6)))</f>
        <v/>
      </c>
      <c r="W1070" s="13">
        <f>MAX(W1069,R1070)</f>
        <v/>
      </c>
      <c r="X1070" s="4">
        <f>IF(W1070&gt;0,R1070/W1070-1,-1)</f>
        <v/>
      </c>
      <c r="Y1070" s="19">
        <f>IF(R1070&gt;0,S1070*資金模擬!$B$7/R1070,0)</f>
        <v/>
      </c>
      <c r="Z1070" s="2">
        <f>IF(OR(Z1069=1,R1070&lt;=資金模擬!$B$10),1,0)</f>
        <v/>
      </c>
    </row>
    <row r="1071">
      <c r="A1071" s="2" t="n">
        <v>1069</v>
      </c>
      <c r="B1071" s="7" t="n">
        <v>46293.75</v>
      </c>
      <c r="C1071" s="2" t="inlineStr">
        <is>
          <t>進場</t>
        </is>
      </c>
      <c r="D1071" s="2" t="n">
        <v>536</v>
      </c>
      <c r="E1071" s="2" t="inlineStr">
        <is>
          <t>GRAM_USDT_PERP</t>
        </is>
      </c>
      <c r="F1071" s="2" t="inlineStr">
        <is>
          <t>做多</t>
        </is>
      </c>
      <c r="G1071" s="20" t="n">
        <v>1.667</v>
      </c>
      <c r="H1071" s="20" t="n">
        <v>1.71701</v>
      </c>
      <c r="I1071" s="20" t="n">
        <v>1.58365</v>
      </c>
      <c r="J1071" s="20" t="n"/>
      <c r="K1071" s="2" t="n"/>
      <c r="L1071" s="5" t="n"/>
      <c r="M1071" s="19">
        <f>資金模擬!$B$5*V1070</f>
        <v/>
      </c>
      <c r="N1071" s="2">
        <f>IF(Z1070=1,"已停止",IF(T1070&gt;=M1071,"已下單","資金不足略過"))</f>
        <v/>
      </c>
      <c r="O1071" s="19">
        <f>IF(N1071="已下單",M1071*資金模擬!$B$7,0)</f>
        <v/>
      </c>
      <c r="P1071" s="4" t="n"/>
      <c r="Q1071" s="13" t="n">
        <v>0</v>
      </c>
      <c r="R1071" s="13">
        <f>R1070+Q1071</f>
        <v/>
      </c>
      <c r="S1071" s="19">
        <f>S1070+IF(N1071="已下單",M1071,0)</f>
        <v/>
      </c>
      <c r="T1071" s="19">
        <f>R1071-S1071</f>
        <v/>
      </c>
      <c r="U1071" s="2">
        <f>U1070+IF(N1071="已下單",1,0)</f>
        <v/>
      </c>
      <c r="V1071" s="19">
        <f>IF(資金模擬!$B$9=2,MAX(R1071,0),MAX(V1070,FLOOR(MAX(R1071,0),資金模擬!$B$6)))</f>
        <v/>
      </c>
      <c r="W1071" s="13">
        <f>MAX(W1070,R1071)</f>
        <v/>
      </c>
      <c r="X1071" s="4">
        <f>IF(W1071&gt;0,R1071/W1071-1,-1)</f>
        <v/>
      </c>
      <c r="Y1071" s="19">
        <f>IF(R1071&gt;0,S1071*資金模擬!$B$7/R1071,0)</f>
        <v/>
      </c>
      <c r="Z1071" s="2">
        <f>IF(OR(Z1070=1,R1071&lt;=資金模擬!$B$10),1,0)</f>
        <v/>
      </c>
    </row>
    <row r="1072">
      <c r="A1072" s="2" t="n">
        <v>1070</v>
      </c>
      <c r="B1072" s="7" t="n">
        <v>46293.79166666666</v>
      </c>
      <c r="C1072" s="2" t="inlineStr">
        <is>
          <t>出場</t>
        </is>
      </c>
      <c r="D1072" s="2" t="n">
        <v>536</v>
      </c>
      <c r="E1072" s="2" t="inlineStr">
        <is>
          <t>GRAM_USDT_PERP</t>
        </is>
      </c>
      <c r="F1072" s="2" t="inlineStr">
        <is>
          <t>做多</t>
        </is>
      </c>
      <c r="G1072" s="20" t="n">
        <v>1.667</v>
      </c>
      <c r="H1072" s="20" t="n">
        <v>1.71701</v>
      </c>
      <c r="I1072" s="20" t="n">
        <v>1.58365</v>
      </c>
      <c r="J1072" s="20" t="n">
        <v>1.71701</v>
      </c>
      <c r="K1072" s="2" t="inlineStr">
        <is>
          <t>止盈</t>
        </is>
      </c>
      <c r="L1072" s="5">
        <f>交易明細!K537</f>
        <v/>
      </c>
      <c r="M1072" s="19">
        <f>M1071</f>
        <v/>
      </c>
      <c r="N1072" s="2">
        <f>N1071</f>
        <v/>
      </c>
      <c r="O1072" s="19">
        <f>O1071</f>
        <v/>
      </c>
      <c r="P1072" s="4">
        <f>交易明細!L537</f>
        <v/>
      </c>
      <c r="Q1072" s="13">
        <f>IF(N1072="已下單",O1072*P1072,0)</f>
        <v/>
      </c>
      <c r="R1072" s="13">
        <f>R1071+Q1072</f>
        <v/>
      </c>
      <c r="S1072" s="19">
        <f>S1071-IF(N1072="已下單",M1072,0)</f>
        <v/>
      </c>
      <c r="T1072" s="19">
        <f>R1072-S1072</f>
        <v/>
      </c>
      <c r="U1072" s="2">
        <f>U1071-IF(N1072="已下單",1,0)</f>
        <v/>
      </c>
      <c r="V1072" s="19">
        <f>IF(資金模擬!$B$9=2,MAX(R1072,0),MAX(V1071,FLOOR(MAX(R1072,0),資金模擬!$B$6)))</f>
        <v/>
      </c>
      <c r="W1072" s="13">
        <f>MAX(W1071,R1072)</f>
        <v/>
      </c>
      <c r="X1072" s="4">
        <f>IF(W1072&gt;0,R1072/W1072-1,-1)</f>
        <v/>
      </c>
      <c r="Y1072" s="19">
        <f>IF(R1072&gt;0,S1072*資金模擬!$B$7/R1072,0)</f>
        <v/>
      </c>
      <c r="Z1072" s="2">
        <f>IF(OR(Z1071=1,R1072&lt;=資金模擬!$B$10),1,0)</f>
        <v/>
      </c>
    </row>
    <row r="1073">
      <c r="A1073" s="2" t="n">
        <v>1071</v>
      </c>
      <c r="B1073" s="7" t="n">
        <v>46293.83333333334</v>
      </c>
      <c r="C1073" s="2" t="inlineStr">
        <is>
          <t>進場</t>
        </is>
      </c>
      <c r="D1073" s="2" t="n">
        <v>537</v>
      </c>
      <c r="E1073" s="2" t="inlineStr">
        <is>
          <t>BTW_USDT_PERP</t>
        </is>
      </c>
      <c r="F1073" s="2" t="inlineStr">
        <is>
          <t>做多</t>
        </is>
      </c>
      <c r="G1073" s="20" t="n">
        <v>1.272503</v>
      </c>
      <c r="H1073" s="20" t="n">
        <v>1.31067809</v>
      </c>
      <c r="I1073" s="20" t="n">
        <v>1.20887785</v>
      </c>
      <c r="J1073" s="20" t="n"/>
      <c r="K1073" s="2" t="inlineStr">
        <is>
          <t>未平倉</t>
        </is>
      </c>
      <c r="L1073" s="5" t="n"/>
      <c r="M1073" s="19">
        <f>資金模擬!$B$5*V1072</f>
        <v/>
      </c>
      <c r="N1073" s="2">
        <f>IF(Z1072=1,"已停止",IF(T1072&gt;=M1073,"已下單","資金不足略過"))</f>
        <v/>
      </c>
      <c r="O1073" s="19">
        <f>IF(N1073="已下單",M1073*資金模擬!$B$7,0)</f>
        <v/>
      </c>
      <c r="P1073" s="4" t="n"/>
      <c r="Q1073" s="13" t="n">
        <v>0</v>
      </c>
      <c r="R1073" s="13">
        <f>R1072+Q1073</f>
        <v/>
      </c>
      <c r="S1073" s="19">
        <f>S1072+IF(N1073="已下單",M1073,0)</f>
        <v/>
      </c>
      <c r="T1073" s="19">
        <f>R1073-S1073</f>
        <v/>
      </c>
      <c r="U1073" s="2">
        <f>U1072+IF(N1073="已下單",1,0)</f>
        <v/>
      </c>
      <c r="V1073" s="19">
        <f>IF(資金模擬!$B$9=2,MAX(R1073,0),MAX(V1072,FLOOR(MAX(R1073,0),資金模擬!$B$6)))</f>
        <v/>
      </c>
      <c r="W1073" s="13">
        <f>MAX(W1072,R1073)</f>
        <v/>
      </c>
      <c r="X1073" s="4">
        <f>IF(W1073&gt;0,R1073/W1073-1,-1)</f>
        <v/>
      </c>
      <c r="Y1073" s="19">
        <f>IF(R1073&gt;0,S1073*資金模擬!$B$7/R1073,0)</f>
        <v/>
      </c>
      <c r="Z1073" s="2">
        <f>IF(OR(Z1072=1,R1073&lt;=資金模擬!$B$10),1,0)</f>
        <v/>
      </c>
    </row>
    <row r="1074">
      <c r="A1074" s="2" t="n">
        <v>1072</v>
      </c>
      <c r="B1074" s="7" t="n">
        <v>46293.83333333334</v>
      </c>
      <c r="C1074" s="2" t="inlineStr">
        <is>
          <t>進場</t>
        </is>
      </c>
      <c r="D1074" s="2" t="n">
        <v>538</v>
      </c>
      <c r="E1074" s="2" t="inlineStr">
        <is>
          <t>PUMP_USDT_PERP</t>
        </is>
      </c>
      <c r="F1074" s="2" t="inlineStr">
        <is>
          <t>做多</t>
        </is>
      </c>
      <c r="G1074" s="20" t="n">
        <v>0.005038</v>
      </c>
      <c r="H1074" s="20" t="n">
        <v>0.00518914</v>
      </c>
      <c r="I1074" s="20" t="n">
        <v>0.0047861</v>
      </c>
      <c r="J1074" s="20" t="n"/>
      <c r="K1074" s="2" t="inlineStr">
        <is>
          <t>未平倉</t>
        </is>
      </c>
      <c r="L1074" s="5" t="n"/>
      <c r="M1074" s="19">
        <f>資金模擬!$B$5*V1073</f>
        <v/>
      </c>
      <c r="N1074" s="2">
        <f>IF(Z1073=1,"已停止",IF(T1073&gt;=M1074,"已下單","資金不足略過"))</f>
        <v/>
      </c>
      <c r="O1074" s="19">
        <f>IF(N1074="已下單",M1074*資金模擬!$B$7,0)</f>
        <v/>
      </c>
      <c r="P1074" s="4" t="n"/>
      <c r="Q1074" s="13" t="n">
        <v>0</v>
      </c>
      <c r="R1074" s="13">
        <f>R1073+Q1074</f>
        <v/>
      </c>
      <c r="S1074" s="19">
        <f>S1073+IF(N1074="已下單",M1074,0)</f>
        <v/>
      </c>
      <c r="T1074" s="19">
        <f>R1074-S1074</f>
        <v/>
      </c>
      <c r="U1074" s="2">
        <f>U1073+IF(N1074="已下單",1,0)</f>
        <v/>
      </c>
      <c r="V1074" s="19">
        <f>IF(資金模擬!$B$9=2,MAX(R1074,0),MAX(V1073,FLOOR(MAX(R1074,0),資金模擬!$B$6)))</f>
        <v/>
      </c>
      <c r="W1074" s="13">
        <f>MAX(W1073,R1074)</f>
        <v/>
      </c>
      <c r="X1074" s="4">
        <f>IF(W1074&gt;0,R1074/W1074-1,-1)</f>
        <v/>
      </c>
      <c r="Y1074" s="19">
        <f>IF(R1074&gt;0,S1074*資金模擬!$B$7/R1074,0)</f>
        <v/>
      </c>
      <c r="Z1074" s="2">
        <f>IF(OR(Z1073=1,R1074&lt;=資金模擬!$B$10),1,0)</f>
        <v/>
      </c>
    </row>
  </sheetData>
  <autoFilter ref="A1:Z1074"/>
  <conditionalFormatting sqref="K2:K107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07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07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2026-09-28 20:37（Dry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IFERROR(AVERAGE(交易明細!$AC$2:$AC$539),(B6+2*B7)/(B5+B6))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53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46290.83333333334</v>
      </c>
      <c r="I469" s="20" t="n">
        <v>0.224175</v>
      </c>
      <c r="J469" s="2" t="inlineStr">
        <is>
          <t>止損</t>
        </is>
      </c>
      <c r="K469" s="5">
        <f>(H469-D469)*24</f>
        <v/>
      </c>
      <c r="L469" s="4">
        <f>IF(C469="做多",I469/E469-1,1-I469/E469)-2*參數!$B$7</f>
        <v/>
      </c>
      <c r="M469" s="2" t="inlineStr"/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0.05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46290.83333333334</v>
      </c>
      <c r="I479" s="20" t="n">
        <v>0.235561</v>
      </c>
      <c r="J479" s="2" t="inlineStr">
        <is>
          <t>止盈</t>
        </is>
      </c>
      <c r="K479" s="5">
        <f>(H479-D479)*24</f>
        <v/>
      </c>
      <c r="L479" s="4">
        <f>IF(C479="做多",I479/E479-1,1-I479/E479)-2*參數!$B$7</f>
        <v/>
      </c>
      <c r="M479" s="2" t="inlineStr"/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0.03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  <row r="480">
      <c r="A480" s="2" t="n">
        <v>479</v>
      </c>
      <c r="B480" s="2" t="inlineStr">
        <is>
          <t>INJ_USDT_PERP</t>
        </is>
      </c>
      <c r="C480" s="2" t="inlineStr">
        <is>
          <t>做多</t>
        </is>
      </c>
      <c r="D480" s="7" t="n">
        <v>46290.83333333334</v>
      </c>
      <c r="E480" s="20" t="n">
        <v>8.26</v>
      </c>
      <c r="F480" s="20" t="n">
        <v>8.5078</v>
      </c>
      <c r="G480" s="20" t="n">
        <v>7.847</v>
      </c>
      <c r="H480" s="7" t="n">
        <v>46291.25</v>
      </c>
      <c r="I480" s="20" t="n">
        <v>7.847</v>
      </c>
      <c r="J480" s="2" t="inlineStr">
        <is>
          <t>止損</t>
        </is>
      </c>
      <c r="K480" s="5">
        <f>(H480-D480)*24</f>
        <v/>
      </c>
      <c r="L480" s="4">
        <f>IF(C480="做多",I480/E480-1,1-I480/E480)-2*參數!$B$7</f>
        <v/>
      </c>
      <c r="M480" s="2" t="inlineStr"/>
      <c r="N480" s="4" t="n">
        <v>0.02545003103662324</v>
      </c>
      <c r="O480" s="4" t="n">
        <v>0.02219678513995091</v>
      </c>
      <c r="P480" s="4" t="n">
        <v>0.02263793541038606</v>
      </c>
      <c r="Q480" s="22" t="n">
        <v>63669.59999999999</v>
      </c>
      <c r="R480" s="22" t="n">
        <v>2958524.9841</v>
      </c>
      <c r="S480" s="4" t="n">
        <v>0.01864406779661021</v>
      </c>
      <c r="T480" s="4" t="n">
        <v>0.05</v>
      </c>
      <c r="U480" s="19" t="n">
        <v>1.760937650676016</v>
      </c>
      <c r="V480" s="19" t="n">
        <v>0.8680000000000021</v>
      </c>
      <c r="W480" s="4" t="n">
        <v>0.04513833531985534</v>
      </c>
      <c r="X480" s="4" t="n">
        <v>0.04888888888888876</v>
      </c>
      <c r="Y480" s="4" t="n">
        <v>-0.001711180182903727</v>
      </c>
      <c r="Z480" s="4" t="n">
        <v>0.00245932117233183</v>
      </c>
      <c r="AA480" s="4" t="n">
        <v>0.03</v>
      </c>
      <c r="AB480" s="4" t="n">
        <v>0.05</v>
      </c>
      <c r="AC480" s="4">
        <f>(AB480+2*參數!$B$7)/(AA480+AB480)</f>
        <v/>
      </c>
    </row>
    <row r="481">
      <c r="A481" s="2" t="n">
        <v>480</v>
      </c>
      <c r="B481" s="2" t="inlineStr">
        <is>
          <t>XPL_USDT_PERP</t>
        </is>
      </c>
      <c r="C481" s="2" t="inlineStr">
        <is>
          <t>做多</t>
        </is>
      </c>
      <c r="D481" s="7" t="n">
        <v>46290.875</v>
      </c>
      <c r="E481" s="20" t="n">
        <v>0.1142</v>
      </c>
      <c r="F481" s="20" t="n">
        <v>0.117626</v>
      </c>
      <c r="G481" s="20" t="n">
        <v>0.10849</v>
      </c>
      <c r="H481" s="7" t="n">
        <v>46290.95833333334</v>
      </c>
      <c r="I481" s="20" t="n">
        <v>0.10849</v>
      </c>
      <c r="J481" s="2" t="inlineStr">
        <is>
          <t>止損</t>
        </is>
      </c>
      <c r="K481" s="5">
        <f>(H481-D481)*24</f>
        <v/>
      </c>
      <c r="L481" s="4">
        <f>IF(C481="做多",I481/E481-1,1-I481/E481)-2*參數!$B$7</f>
        <v/>
      </c>
      <c r="M481" s="2" t="inlineStr"/>
      <c r="N481" s="4" t="n">
        <v>0.02882882882882876</v>
      </c>
      <c r="O481" s="4" t="n">
        <v>0.04394487928255666</v>
      </c>
      <c r="P481" s="4" t="n">
        <v>0.01362446190032407</v>
      </c>
      <c r="Q481" s="22" t="n">
        <v>5555226</v>
      </c>
      <c r="R481" s="22" t="n">
        <v>3705571.857</v>
      </c>
      <c r="S481" s="4" t="n">
        <v>0.01050788091068311</v>
      </c>
      <c r="T481" s="4" t="n">
        <v>0.05</v>
      </c>
      <c r="U481" s="19" t="n">
        <v>0.6664775239439329</v>
      </c>
      <c r="V481" s="19" t="n">
        <v>0.9285714285714267</v>
      </c>
      <c r="W481" s="4" t="n">
        <v>0.1650921259360527</v>
      </c>
      <c r="X481" s="4" t="n">
        <v>0.2831460674157305</v>
      </c>
      <c r="Y481" s="4" t="n">
        <v>-0.001278782967699232</v>
      </c>
      <c r="Z481" s="4" t="n">
        <v>0.001188434985348596</v>
      </c>
      <c r="AA481" s="4" t="n">
        <v>0.03</v>
      </c>
      <c r="AB481" s="4" t="n">
        <v>0.05</v>
      </c>
      <c r="AC481" s="4">
        <f>(AB481+2*參數!$B$7)/(AA481+AB481)</f>
        <v/>
      </c>
    </row>
    <row r="482">
      <c r="A482" s="2" t="n">
        <v>481</v>
      </c>
      <c r="B482" s="2" t="inlineStr">
        <is>
          <t>RAY_USDT_PERP</t>
        </is>
      </c>
      <c r="C482" s="2" t="inlineStr">
        <is>
          <t>做空</t>
        </is>
      </c>
      <c r="D482" s="7" t="n">
        <v>46290.91666666666</v>
      </c>
      <c r="E482" s="20" t="n">
        <v>2.056</v>
      </c>
      <c r="F482" s="20" t="n">
        <v>1.99432</v>
      </c>
      <c r="G482" s="20" t="n">
        <v>2.1588</v>
      </c>
      <c r="H482" s="7" t="n">
        <v>46291.45833333334</v>
      </c>
      <c r="I482" s="20" t="n">
        <v>1.99432</v>
      </c>
      <c r="J482" s="2" t="inlineStr">
        <is>
          <t>止盈</t>
        </is>
      </c>
      <c r="K482" s="5">
        <f>(H482-D482)*24</f>
        <v/>
      </c>
      <c r="L482" s="4">
        <f>IF(C482="做多",I482/E482-1,1-I482/E482)-2*參數!$B$7</f>
        <v/>
      </c>
      <c r="M482" s="2" t="inlineStr"/>
      <c r="N482" s="4" t="n">
        <v>-0.02281368821292773</v>
      </c>
      <c r="O482" s="4" t="n">
        <v>0.02604428196174639</v>
      </c>
      <c r="P482" s="4" t="n">
        <v>-0.01428708409243451</v>
      </c>
      <c r="Q482" s="22" t="n">
        <v>-44169.39999999967</v>
      </c>
      <c r="R482" s="22" t="n">
        <v>1394724.4474</v>
      </c>
      <c r="S482" s="4" t="n">
        <v>0.03</v>
      </c>
      <c r="T482" s="4" t="n">
        <v>0.0325875486381324</v>
      </c>
      <c r="U482" s="19" t="n">
        <v>0.8223103764505041</v>
      </c>
      <c r="V482" s="19" t="n">
        <v>0.8666666666666639</v>
      </c>
      <c r="W482" s="4" t="n">
        <v>-0.06795208759700411</v>
      </c>
      <c r="X482" s="4" t="n">
        <v>0.0115384615384615</v>
      </c>
      <c r="Y482" s="4" t="n">
        <v>0.006367751885096085</v>
      </c>
      <c r="Z482" s="4" t="n">
        <v>0.00507680317064918</v>
      </c>
      <c r="AA482" s="4" t="n">
        <v>0.03</v>
      </c>
      <c r="AB482" s="4" t="n">
        <v>0.05</v>
      </c>
      <c r="AC482" s="4">
        <f>(AB482+2*參數!$B$7)/(AA482+AB482)</f>
        <v/>
      </c>
    </row>
    <row r="483">
      <c r="A483" s="2" t="n">
        <v>482</v>
      </c>
      <c r="B483" s="2" t="inlineStr">
        <is>
          <t>ONDO_USDT_PERP</t>
        </is>
      </c>
      <c r="C483" s="2" t="inlineStr">
        <is>
          <t>做空</t>
        </is>
      </c>
      <c r="D483" s="7" t="n">
        <v>46291</v>
      </c>
      <c r="E483" s="20" t="n">
        <v>0.5331</v>
      </c>
      <c r="F483" s="20" t="n">
        <v>0.517107</v>
      </c>
      <c r="G483" s="20" t="n">
        <v>0.559755</v>
      </c>
      <c r="H483" s="7" t="n">
        <v>46291.79166666666</v>
      </c>
      <c r="I483" s="20" t="n">
        <v>0.559755</v>
      </c>
      <c r="J483" s="2" t="inlineStr">
        <is>
          <t>止損</t>
        </is>
      </c>
      <c r="K483" s="5">
        <f>(H483-D483)*24</f>
        <v/>
      </c>
      <c r="L483" s="4">
        <f>IF(C483="做多",I483/E483-1,1-I483/E483)-2*參數!$B$7</f>
        <v/>
      </c>
      <c r="M483" s="2" t="inlineStr"/>
      <c r="N483" s="4" t="n">
        <v>-0.02039691289966927</v>
      </c>
      <c r="O483" s="4" t="n">
        <v>0.02915199436452103</v>
      </c>
      <c r="P483" s="4" t="n">
        <v>-0.00826907514719688</v>
      </c>
      <c r="Q483" s="22" t="n">
        <v>-3819633.400000002</v>
      </c>
      <c r="R483" s="22" t="n">
        <v>12172895.80578</v>
      </c>
      <c r="S483" s="4" t="n">
        <v>0</v>
      </c>
      <c r="T483" s="4" t="n">
        <v>0.05</v>
      </c>
      <c r="U483" s="19" t="n">
        <v>1.237840237035774</v>
      </c>
      <c r="V483" s="19" t="n">
        <v>0.7115384615384588</v>
      </c>
      <c r="W483" s="4" t="n">
        <v>-0.1604291694148225</v>
      </c>
      <c r="X483" s="4" t="n">
        <v>-0.03897875657766514</v>
      </c>
      <c r="Y483" s="4" t="n">
        <v>0.002459109123711611</v>
      </c>
      <c r="Z483" s="4" t="n">
        <v>0.005874121259811571</v>
      </c>
      <c r="AA483" s="4" t="n">
        <v>0.03</v>
      </c>
      <c r="AB483" s="4" t="n">
        <v>0.05</v>
      </c>
      <c r="AC483" s="4">
        <f>(AB483+2*參數!$B$7)/(AA483+AB483)</f>
        <v/>
      </c>
    </row>
    <row r="484">
      <c r="A484" s="2" t="n">
        <v>483</v>
      </c>
      <c r="B484" s="2" t="inlineStr">
        <is>
          <t>AKE_USDT_PERP</t>
        </is>
      </c>
      <c r="C484" s="2" t="inlineStr">
        <is>
          <t>做空</t>
        </is>
      </c>
      <c r="D484" s="7" t="n">
        <v>46291.04166666666</v>
      </c>
      <c r="E484" s="20" t="n">
        <v>0.0360825</v>
      </c>
      <c r="F484" s="20" t="n">
        <v>0.035000025</v>
      </c>
      <c r="G484" s="20" t="n">
        <v>0.03788662500000001</v>
      </c>
      <c r="H484" s="7" t="n">
        <v>46291.08333333334</v>
      </c>
      <c r="I484" s="20" t="n">
        <v>0.035000025</v>
      </c>
      <c r="J484" s="2" t="inlineStr">
        <is>
          <t>止盈</t>
        </is>
      </c>
      <c r="K484" s="5">
        <f>(H484-D484)*24</f>
        <v/>
      </c>
      <c r="L484" s="4">
        <f>IF(C484="做多",I484/E484-1,1-I484/E484)-2*參數!$B$7</f>
        <v/>
      </c>
      <c r="M484" s="2" t="inlineStr"/>
      <c r="N484" s="4" t="n">
        <v>-0.02767485414785953</v>
      </c>
      <c r="O484" s="4" t="n">
        <v>0.05722180691044247</v>
      </c>
      <c r="P484" s="4" t="n">
        <v>-0.002160085241924792</v>
      </c>
      <c r="Q484" s="22" t="n">
        <v>-9967712</v>
      </c>
      <c r="R484" s="22" t="n">
        <v>6005861.9962034</v>
      </c>
      <c r="S484" s="4" t="n">
        <v>0.03</v>
      </c>
      <c r="T484" s="4" t="n">
        <v>0</v>
      </c>
      <c r="U484" s="19" t="n">
        <v>1.325462817880993</v>
      </c>
      <c r="V484" s="19" t="n">
        <v>0.9577177293934663</v>
      </c>
      <c r="W484" s="4" t="n">
        <v>0.2165651807456267</v>
      </c>
      <c r="X484" s="4" t="n">
        <v>0.1431268478609339</v>
      </c>
      <c r="Y484" s="4" t="n">
        <v>0.0006100254276744099</v>
      </c>
      <c r="Z484" s="4" t="n">
        <v>0.006124352255945098</v>
      </c>
      <c r="AA484" s="4" t="n">
        <v>0.03</v>
      </c>
      <c r="AB484" s="4" t="n">
        <v>0.05</v>
      </c>
      <c r="AC484" s="4">
        <f>(AB484+2*參數!$B$7)/(AA484+AB484)</f>
        <v/>
      </c>
    </row>
    <row r="485">
      <c r="A485" s="2" t="n">
        <v>484</v>
      </c>
      <c r="B485" s="2" t="inlineStr">
        <is>
          <t>QNT_USDT_PERP</t>
        </is>
      </c>
      <c r="C485" s="2" t="inlineStr">
        <is>
          <t>做多</t>
        </is>
      </c>
      <c r="D485" s="7" t="n">
        <v>46291.04166666666</v>
      </c>
      <c r="E485" s="20" t="n">
        <v>97.95999999999999</v>
      </c>
      <c r="F485" s="20" t="n">
        <v>100.8988</v>
      </c>
      <c r="G485" s="20" t="n">
        <v>93.06199999999998</v>
      </c>
      <c r="H485" s="7" t="n">
        <v>46291.5</v>
      </c>
      <c r="I485" s="20" t="n">
        <v>100.8988</v>
      </c>
      <c r="J485" s="2" t="inlineStr">
        <is>
          <t>止盈</t>
        </is>
      </c>
      <c r="K485" s="5">
        <f>(H485-D485)*24</f>
        <v/>
      </c>
      <c r="L485" s="4">
        <f>IF(C485="做多",I485/E485-1,1-I485/E485)-2*參數!$B$7</f>
        <v/>
      </c>
      <c r="M485" s="2" t="inlineStr"/>
      <c r="N485" s="4" t="n">
        <v>0.02608149156803186</v>
      </c>
      <c r="O485" s="4" t="n">
        <v>0.03429944685470611</v>
      </c>
      <c r="P485" s="4" t="n">
        <v>0.03253823532511868</v>
      </c>
      <c r="Q485" s="22" t="n">
        <v>23845.29999999999</v>
      </c>
      <c r="R485" s="22" t="n">
        <v>7018131.49</v>
      </c>
      <c r="S485" s="4" t="n">
        <v>0.03</v>
      </c>
      <c r="T485" s="4" t="n">
        <v>0.01469987750102075</v>
      </c>
      <c r="U485" s="19" t="n">
        <v>0.7800733501806887</v>
      </c>
      <c r="V485" s="19" t="n">
        <v>0.7285714285714276</v>
      </c>
      <c r="W485" s="4" t="n">
        <v>0.2766212542582276</v>
      </c>
      <c r="X485" s="4" t="n">
        <v>0.1486866791744839</v>
      </c>
      <c r="Y485" s="4" t="n">
        <v>-0.0006100254276744099</v>
      </c>
      <c r="Z485" s="4" t="n">
        <v>-0.006124352255945098</v>
      </c>
      <c r="AA485" s="4" t="n">
        <v>0.03</v>
      </c>
      <c r="AB485" s="4" t="n">
        <v>0.05</v>
      </c>
      <c r="AC485" s="4">
        <f>(AB485+2*參數!$B$7)/(AA485+AB485)</f>
        <v/>
      </c>
    </row>
    <row r="486">
      <c r="A486" s="2" t="n">
        <v>485</v>
      </c>
      <c r="B486" s="2" t="inlineStr">
        <is>
          <t>PONS_USDT_PERP</t>
        </is>
      </c>
      <c r="C486" s="2" t="inlineStr">
        <is>
          <t>做多</t>
        </is>
      </c>
      <c r="D486" s="7" t="n">
        <v>46291.125</v>
      </c>
      <c r="E486" s="20" t="n">
        <v>0.6466</v>
      </c>
      <c r="F486" s="20" t="n">
        <v>0.665998</v>
      </c>
      <c r="G486" s="20" t="n">
        <v>0.6142699999999999</v>
      </c>
      <c r="H486" s="7" t="n">
        <v>46291.375</v>
      </c>
      <c r="I486" s="20" t="n">
        <v>0.665998</v>
      </c>
      <c r="J486" s="2" t="inlineStr">
        <is>
          <t>止盈</t>
        </is>
      </c>
      <c r="K486" s="5">
        <f>(H486-D486)*24</f>
        <v/>
      </c>
      <c r="L486" s="4">
        <f>IF(C486="做多",I486/E486-1,1-I486/E486)-2*參數!$B$7</f>
        <v/>
      </c>
      <c r="M486" s="2" t="inlineStr"/>
      <c r="N486" s="4" t="n">
        <v>0.02586070125337137</v>
      </c>
      <c r="O486" s="4" t="n">
        <v>0.02379896793648727</v>
      </c>
      <c r="P486" s="4" t="n">
        <v>0.025453968757434</v>
      </c>
      <c r="Q486" s="22" t="n">
        <v>1294521</v>
      </c>
      <c r="R486" s="22" t="n">
        <v>3089939.1094</v>
      </c>
      <c r="S486" s="4" t="n">
        <v>0.03</v>
      </c>
      <c r="T486" s="4" t="n">
        <v>0.02814723167336841</v>
      </c>
      <c r="U486" s="19" t="n">
        <v>0.3822498884388906</v>
      </c>
      <c r="V486" s="19" t="n">
        <v>0.9289617486338754</v>
      </c>
      <c r="W486" s="4" t="n">
        <v>0.01123208918109886</v>
      </c>
      <c r="X486" s="4" t="n">
        <v>0.02634920634920634</v>
      </c>
      <c r="Y486" s="4" t="n">
        <v>0.00216715900379949</v>
      </c>
      <c r="Z486" s="4" t="n">
        <v>-0.003054856944595619</v>
      </c>
      <c r="AA486" s="4" t="n">
        <v>0.03</v>
      </c>
      <c r="AB486" s="4" t="n">
        <v>0.05</v>
      </c>
      <c r="AC486" s="4">
        <f>(AB486+2*參數!$B$7)/(AA486+AB486)</f>
        <v/>
      </c>
    </row>
    <row r="487">
      <c r="A487" s="2" t="n">
        <v>486</v>
      </c>
      <c r="B487" s="2" t="inlineStr">
        <is>
          <t>XPL_USDT_PERP</t>
        </is>
      </c>
      <c r="C487" s="2" t="inlineStr">
        <is>
          <t>做多</t>
        </is>
      </c>
      <c r="D487" s="7" t="n">
        <v>46291.125</v>
      </c>
      <c r="E487" s="20" t="n">
        <v>0.1141</v>
      </c>
      <c r="F487" s="20" t="n">
        <v>0.117523</v>
      </c>
      <c r="G487" s="20" t="n">
        <v>0.108395</v>
      </c>
      <c r="H487" s="7" t="n">
        <v>46291.70833333334</v>
      </c>
      <c r="I487" s="20" t="n">
        <v>0.117523</v>
      </c>
      <c r="J487" s="2" t="inlineStr">
        <is>
          <t>止盈</t>
        </is>
      </c>
      <c r="K487" s="5">
        <f>(H487-D487)*24</f>
        <v/>
      </c>
      <c r="L487" s="4">
        <f>IF(C487="做多",I487/E487-1,1-I487/E487)-2*參數!$B$7</f>
        <v/>
      </c>
      <c r="M487" s="2" t="inlineStr"/>
      <c r="N487" s="4" t="n">
        <v>0.02515723270440251</v>
      </c>
      <c r="O487" s="4" t="n">
        <v>0.04189406918790371</v>
      </c>
      <c r="P487" s="4" t="n">
        <v>0.004445618205026758</v>
      </c>
      <c r="Q487" s="22" t="n">
        <v>4456018</v>
      </c>
      <c r="R487" s="22" t="n">
        <v>3824323.4029</v>
      </c>
      <c r="S487" s="4" t="n">
        <v>0.03</v>
      </c>
      <c r="T487" s="4" t="n">
        <v>0.03856266432953537</v>
      </c>
      <c r="U487" s="19" t="n">
        <v>0.4989795624645668</v>
      </c>
      <c r="V487" s="19" t="n">
        <v>0.953488372093022</v>
      </c>
      <c r="W487" s="4" t="n">
        <v>0.1569544011924437</v>
      </c>
      <c r="X487" s="4" t="n">
        <v>0.09186602870813387</v>
      </c>
      <c r="Y487" s="4" t="n">
        <v>0.00216715900379949</v>
      </c>
      <c r="Z487" s="4" t="n">
        <v>-0.003054856944595619</v>
      </c>
      <c r="AA487" s="4" t="n">
        <v>0.03</v>
      </c>
      <c r="AB487" s="4" t="n">
        <v>0.05</v>
      </c>
      <c r="AC487" s="4">
        <f>(AB487+2*參數!$B$7)/(AA487+AB487)</f>
        <v/>
      </c>
    </row>
    <row r="488">
      <c r="A488" s="2" t="n">
        <v>487</v>
      </c>
      <c r="B488" s="2" t="inlineStr">
        <is>
          <t>BR_USDT_PERP</t>
        </is>
      </c>
      <c r="C488" s="2" t="inlineStr">
        <is>
          <t>做多</t>
        </is>
      </c>
      <c r="D488" s="7" t="n">
        <v>46291.25</v>
      </c>
      <c r="E488" s="20" t="n">
        <v>0.93702</v>
      </c>
      <c r="F488" s="20" t="n">
        <v>0.9651305999999999</v>
      </c>
      <c r="G488" s="20" t="n">
        <v>0.8901689999999999</v>
      </c>
      <c r="H488" s="7" t="n">
        <v>46291.375</v>
      </c>
      <c r="I488" s="20" t="n">
        <v>0.9651305999999999</v>
      </c>
      <c r="J488" s="2" t="inlineStr">
        <is>
          <t>止盈</t>
        </is>
      </c>
      <c r="K488" s="5">
        <f>(H488-D488)*24</f>
        <v/>
      </c>
      <c r="L488" s="4">
        <f>IF(C488="做多",I488/E488-1,1-I488/E488)-2*參數!$B$7</f>
        <v/>
      </c>
      <c r="M488" s="2" t="inlineStr"/>
      <c r="N488" s="4" t="n">
        <v>0.02250109122653865</v>
      </c>
      <c r="O488" s="4" t="n">
        <v>0.08391143006310035</v>
      </c>
      <c r="P488" s="4" t="n">
        <v>0.003526726762747456</v>
      </c>
      <c r="Q488" s="22" t="n">
        <v>828198</v>
      </c>
      <c r="R488" s="22" t="n">
        <v>3766150.10639</v>
      </c>
      <c r="S488" s="4" t="n">
        <v>0.03</v>
      </c>
      <c r="T488" s="4" t="n">
        <v>0.032720753025549</v>
      </c>
      <c r="U488" s="19" t="n">
        <v>0.4067614262616053</v>
      </c>
      <c r="V488" s="19" t="n">
        <v>0.8142076502732239</v>
      </c>
      <c r="W488" s="4" t="n">
        <v>-0.1182826356670117</v>
      </c>
      <c r="X488" s="4" t="n">
        <v>-0.09622099191728239</v>
      </c>
      <c r="Y488" s="4" t="n">
        <v>-0.001102103180235514</v>
      </c>
      <c r="Z488" s="4" t="n">
        <v>-0.004090140418303911</v>
      </c>
      <c r="AA488" s="4" t="n">
        <v>0.03</v>
      </c>
      <c r="AB488" s="4" t="n">
        <v>0.05</v>
      </c>
      <c r="AC488" s="4">
        <f>(AB488+2*參數!$B$7)/(AA488+AB488)</f>
        <v/>
      </c>
    </row>
    <row r="489">
      <c r="A489" s="2" t="n">
        <v>488</v>
      </c>
      <c r="B489" s="2" t="inlineStr">
        <is>
          <t>ARB_USDT_PERP</t>
        </is>
      </c>
      <c r="C489" s="2" t="inlineStr">
        <is>
          <t>做多</t>
        </is>
      </c>
      <c r="D489" s="7" t="n">
        <v>46291.29166666666</v>
      </c>
      <c r="E489" s="20" t="n">
        <v>0.2287</v>
      </c>
      <c r="F489" s="20" t="n">
        <v>0.235561</v>
      </c>
      <c r="G489" s="20" t="n">
        <v>0.217265</v>
      </c>
      <c r="H489" s="7" t="n">
        <v>46291.75</v>
      </c>
      <c r="I489" s="20" t="n">
        <v>0.217265</v>
      </c>
      <c r="J489" s="2" t="inlineStr">
        <is>
          <t>止損</t>
        </is>
      </c>
      <c r="K489" s="5">
        <f>(H489-D489)*24</f>
        <v/>
      </c>
      <c r="L489" s="4">
        <f>IF(C489="做多",I489/E489-1,1-I489/E489)-2*參數!$B$7</f>
        <v/>
      </c>
      <c r="M489" s="2" t="inlineStr"/>
      <c r="N489" s="4" t="n">
        <v>0.03577898550724634</v>
      </c>
      <c r="O489" s="4" t="n">
        <v>0.02189176279024573</v>
      </c>
      <c r="P489" s="4" t="n">
        <v>0.03269213401968729</v>
      </c>
      <c r="Q489" s="22" t="n">
        <v>1689718.099999996</v>
      </c>
      <c r="R489" s="22" t="n">
        <v>3217414.12221</v>
      </c>
      <c r="S489" s="4" t="n">
        <v>0.004809794490599151</v>
      </c>
      <c r="T489" s="4" t="n">
        <v>0.05</v>
      </c>
      <c r="U489" s="19" t="n">
        <v>1.040648891688508</v>
      </c>
      <c r="V489" s="19" t="n">
        <v>0.7964601769911483</v>
      </c>
      <c r="W489" s="4" t="n">
        <v>0.02735264654486946</v>
      </c>
      <c r="X489" s="4" t="n">
        <v>0.04764086120018329</v>
      </c>
      <c r="Y489" s="4" t="n">
        <v>0.003460410066951525</v>
      </c>
      <c r="Z489" s="4" t="n">
        <v>-0.0005594396279725578</v>
      </c>
      <c r="AA489" s="4" t="n">
        <v>0.03</v>
      </c>
      <c r="AB489" s="4" t="n">
        <v>0.05</v>
      </c>
      <c r="AC489" s="4">
        <f>(AB489+2*參數!$B$7)/(AA489+AB489)</f>
        <v/>
      </c>
    </row>
    <row r="490">
      <c r="A490" s="2" t="n">
        <v>489</v>
      </c>
      <c r="B490" s="2" t="inlineStr">
        <is>
          <t>PENGU_USDT_PERP</t>
        </is>
      </c>
      <c r="C490" s="2" t="inlineStr">
        <is>
          <t>做多</t>
        </is>
      </c>
      <c r="D490" s="7" t="n">
        <v>46291.29166666666</v>
      </c>
      <c r="E490" s="20" t="n">
        <v>0.010271</v>
      </c>
      <c r="F490" s="20" t="n">
        <v>0.01057913</v>
      </c>
      <c r="G490" s="20" t="n">
        <v>0.009757450000000001</v>
      </c>
      <c r="H490" s="7" t="n">
        <v>46292.20833333334</v>
      </c>
      <c r="I490" s="20" t="n">
        <v>0.009757450000000001</v>
      </c>
      <c r="J490" s="2" t="inlineStr">
        <is>
          <t>止損</t>
        </is>
      </c>
      <c r="K490" s="5">
        <f>(H490-D490)*24</f>
        <v/>
      </c>
      <c r="L490" s="4">
        <f>IF(C490="做多",I490/E490-1,1-I490/E490)-2*參數!$B$7</f>
        <v/>
      </c>
      <c r="M490" s="2" t="inlineStr"/>
      <c r="N490" s="4" t="n">
        <v>0.02884904337373539</v>
      </c>
      <c r="O490" s="4" t="n">
        <v>0.0228009807849537</v>
      </c>
      <c r="P490" s="4" t="n">
        <v>0.04255059989037546</v>
      </c>
      <c r="Q490" s="22" t="n">
        <v>122215086</v>
      </c>
      <c r="R490" s="22" t="n">
        <v>2772925.220735</v>
      </c>
      <c r="S490" s="4" t="n">
        <v>0.01947230065232186</v>
      </c>
      <c r="T490" s="4" t="n">
        <v>0.05</v>
      </c>
      <c r="U490" s="19" t="n">
        <v>4.204265378171247</v>
      </c>
      <c r="V490" s="19" t="n">
        <v>0.7684478371501292</v>
      </c>
      <c r="W490" s="4" t="n">
        <v>0.05674160193425615</v>
      </c>
      <c r="X490" s="4" t="n">
        <v>0.05755766062602974</v>
      </c>
      <c r="Y490" s="4" t="n">
        <v>0.003460410066951525</v>
      </c>
      <c r="Z490" s="4" t="n">
        <v>-0.0005594396279725578</v>
      </c>
      <c r="AA490" s="4" t="n">
        <v>0.03</v>
      </c>
      <c r="AB490" s="4" t="n">
        <v>0.05</v>
      </c>
      <c r="AC490" s="4">
        <f>(AB490+2*參數!$B$7)/(AA490+AB490)</f>
        <v/>
      </c>
    </row>
    <row r="491">
      <c r="A491" s="2" t="n">
        <v>490</v>
      </c>
      <c r="B491" s="2" t="inlineStr">
        <is>
          <t>PUMP_USDT_PERP</t>
        </is>
      </c>
      <c r="C491" s="2" t="inlineStr">
        <is>
          <t>做多</t>
        </is>
      </c>
      <c r="D491" s="7" t="n">
        <v>46291.29166666666</v>
      </c>
      <c r="E491" s="20" t="n">
        <v>0.004187</v>
      </c>
      <c r="F491" s="20" t="n">
        <v>0.00431261</v>
      </c>
      <c r="G491" s="20" t="n">
        <v>0.003977649999999999</v>
      </c>
      <c r="H491" s="7" t="n">
        <v>46291.45833333334</v>
      </c>
      <c r="I491" s="20" t="n">
        <v>0.00431261</v>
      </c>
      <c r="J491" s="2" t="inlineStr">
        <is>
          <t>止盈</t>
        </is>
      </c>
      <c r="K491" s="5">
        <f>(H491-D491)*24</f>
        <v/>
      </c>
      <c r="L491" s="4">
        <f>IF(C491="做多",I491/E491-1,1-I491/E491)-2*參數!$B$7</f>
        <v/>
      </c>
      <c r="M491" s="2" t="inlineStr"/>
      <c r="N491" s="4" t="n">
        <v>0.02849422746253993</v>
      </c>
      <c r="O491" s="4" t="n">
        <v>0.0216883177267738</v>
      </c>
      <c r="P491" s="4" t="n">
        <v>0.02998696219035191</v>
      </c>
      <c r="Q491" s="22" t="n">
        <v>100978210</v>
      </c>
      <c r="R491" s="22" t="n">
        <v>6143652.359474</v>
      </c>
      <c r="S491" s="4" t="n">
        <v>0.03</v>
      </c>
      <c r="T491" s="4" t="n">
        <v>0.009792213995700849</v>
      </c>
      <c r="U491" s="19" t="n">
        <v>0.3552138487272078</v>
      </c>
      <c r="V491" s="19" t="n">
        <v>0.9015151515151517</v>
      </c>
      <c r="W491" s="4" t="n">
        <v>0.003751782995912611</v>
      </c>
      <c r="X491" s="4" t="n">
        <v>0.09150156412930133</v>
      </c>
      <c r="Y491" s="4" t="n">
        <v>0.003460410066951525</v>
      </c>
      <c r="Z491" s="4" t="n">
        <v>-0.0005594396279725578</v>
      </c>
      <c r="AA491" s="4" t="n">
        <v>0.03</v>
      </c>
      <c r="AB491" s="4" t="n">
        <v>0.05</v>
      </c>
      <c r="AC491" s="4">
        <f>(AB491+2*參數!$B$7)/(AA491+AB491)</f>
        <v/>
      </c>
    </row>
    <row r="492">
      <c r="A492" s="2" t="n">
        <v>491</v>
      </c>
      <c r="B492" s="2" t="inlineStr">
        <is>
          <t>AERO_USDT_PERP</t>
        </is>
      </c>
      <c r="C492" s="2" t="inlineStr">
        <is>
          <t>做多</t>
        </is>
      </c>
      <c r="D492" s="7" t="n">
        <v>46291.41666666666</v>
      </c>
      <c r="E492" s="20" t="n">
        <v>0.8534</v>
      </c>
      <c r="F492" s="20" t="n">
        <v>0.8790020000000001</v>
      </c>
      <c r="G492" s="20" t="n">
        <v>0.8107300000000001</v>
      </c>
      <c r="H492" s="7" t="n">
        <v>46291.45833333334</v>
      </c>
      <c r="I492" s="20" t="n">
        <v>0.8790020000000001</v>
      </c>
      <c r="J492" s="2" t="inlineStr">
        <is>
          <t>止盈</t>
        </is>
      </c>
      <c r="K492" s="5">
        <f>(H492-D492)*24</f>
        <v/>
      </c>
      <c r="L492" s="4">
        <f>IF(C492="做多",I492/E492-1,1-I492/E492)-2*參數!$B$7</f>
        <v/>
      </c>
      <c r="M492" s="2" t="inlineStr"/>
      <c r="N492" s="4" t="n">
        <v>0.03192261185006062</v>
      </c>
      <c r="O492" s="4" t="n">
        <v>0.0264237348643766</v>
      </c>
      <c r="P492" s="4" t="n">
        <v>0.05699918254105873</v>
      </c>
      <c r="Q492" s="22" t="n">
        <v>536971.8000000003</v>
      </c>
      <c r="R492" s="22" t="n">
        <v>1509375.48743</v>
      </c>
      <c r="S492" s="4" t="n">
        <v>0.03</v>
      </c>
      <c r="T492" s="4" t="n">
        <v>0</v>
      </c>
      <c r="U492" s="19" t="n">
        <v>0.6177384752996335</v>
      </c>
      <c r="V492" s="19" t="n">
        <v>0.9781021897810243</v>
      </c>
      <c r="W492" s="4" t="n">
        <v>0.1925756783874657</v>
      </c>
      <c r="X492" s="4" t="n">
        <v>0.2252692031586505</v>
      </c>
      <c r="Y492" s="4" t="n">
        <v>0.002054394353098399</v>
      </c>
      <c r="Z492" s="4" t="n">
        <v>-0.0001775002492379052</v>
      </c>
      <c r="AA492" s="4" t="n">
        <v>0.03</v>
      </c>
      <c r="AB492" s="4" t="n">
        <v>0.05</v>
      </c>
      <c r="AC492" s="4">
        <f>(AB492+2*參數!$B$7)/(AA492+AB492)</f>
        <v/>
      </c>
    </row>
    <row r="493">
      <c r="A493" s="2" t="n">
        <v>492</v>
      </c>
      <c r="B493" s="2" t="inlineStr">
        <is>
          <t>LYN_USDT_PERP</t>
        </is>
      </c>
      <c r="C493" s="2" t="inlineStr">
        <is>
          <t>做空</t>
        </is>
      </c>
      <c r="D493" s="7" t="n">
        <v>46291.41666666666</v>
      </c>
      <c r="E493" s="20" t="n">
        <v>0.04466</v>
      </c>
      <c r="F493" s="20" t="n">
        <v>0.0433202</v>
      </c>
      <c r="G493" s="20" t="n">
        <v>0.046893</v>
      </c>
      <c r="H493" s="7" t="n">
        <v>46291.45833333334</v>
      </c>
      <c r="I493" s="20" t="n">
        <v>0.0433202</v>
      </c>
      <c r="J493" s="2" t="inlineStr">
        <is>
          <t>止盈</t>
        </is>
      </c>
      <c r="K493" s="5">
        <f>(H493-D493)*24</f>
        <v/>
      </c>
      <c r="L493" s="4">
        <f>IF(C493="做多",I493/E493-1,1-I493/E493)-2*參數!$B$7</f>
        <v/>
      </c>
      <c r="M493" s="2" t="inlineStr"/>
      <c r="N493" s="4" t="n">
        <v>-0.08577277379733883</v>
      </c>
      <c r="O493" s="4" t="n">
        <v>0.1043489340342936</v>
      </c>
      <c r="P493" s="4" t="n">
        <v>-0.04156919973388862</v>
      </c>
      <c r="Q493" s="22" t="n">
        <v>-20200839</v>
      </c>
      <c r="R493" s="22" t="n">
        <v>2273438.35389</v>
      </c>
      <c r="S493" s="4" t="n">
        <v>0.03</v>
      </c>
      <c r="T493" s="4" t="n">
        <v>0</v>
      </c>
      <c r="U493" s="19" t="n">
        <v>2.030562396801389</v>
      </c>
      <c r="V493" s="19" t="n">
        <v>0.9286775631500741</v>
      </c>
      <c r="W493" s="4" t="n">
        <v>-0.08071483018548298</v>
      </c>
      <c r="X493" s="4" t="n">
        <v>-0.1419074405522884</v>
      </c>
      <c r="Y493" s="4" t="n">
        <v>-0.002054394353098399</v>
      </c>
      <c r="Z493" s="4" t="n">
        <v>0.0001775002492379052</v>
      </c>
      <c r="AA493" s="4" t="n">
        <v>0.03</v>
      </c>
      <c r="AB493" s="4" t="n">
        <v>0.05</v>
      </c>
      <c r="AC493" s="4">
        <f>(AB493+2*參數!$B$7)/(AA493+AB493)</f>
        <v/>
      </c>
    </row>
    <row r="494">
      <c r="A494" s="2" t="n">
        <v>493</v>
      </c>
      <c r="B494" s="2" t="inlineStr">
        <is>
          <t>FET_USDT_PERP</t>
        </is>
      </c>
      <c r="C494" s="2" t="inlineStr">
        <is>
          <t>做多</t>
        </is>
      </c>
      <c r="D494" s="7" t="n">
        <v>46291.54166666666</v>
      </c>
      <c r="E494" s="20" t="n">
        <v>0.2468</v>
      </c>
      <c r="F494" s="20" t="n">
        <v>0.254204</v>
      </c>
      <c r="G494" s="20" t="n">
        <v>0.23446</v>
      </c>
      <c r="H494" s="7" t="n">
        <v>46292</v>
      </c>
      <c r="I494" s="20" t="n">
        <v>0.254204</v>
      </c>
      <c r="J494" s="2" t="inlineStr">
        <is>
          <t>止盈</t>
        </is>
      </c>
      <c r="K494" s="5">
        <f>(H494-D494)*24</f>
        <v/>
      </c>
      <c r="L494" s="4">
        <f>IF(C494="做多",I494/E494-1,1-I494/E494)-2*參數!$B$7</f>
        <v/>
      </c>
      <c r="M494" s="2" t="inlineStr"/>
      <c r="N494" s="4" t="n">
        <v>0.02025630425795777</v>
      </c>
      <c r="O494" s="4" t="n">
        <v>0.02015143846387749</v>
      </c>
      <c r="P494" s="4" t="n">
        <v>0.02515109348065381</v>
      </c>
      <c r="Q494" s="22" t="n">
        <v>3914876</v>
      </c>
      <c r="R494" s="22" t="n">
        <v>3487444.9208</v>
      </c>
      <c r="S494" s="4" t="n">
        <v>0.03</v>
      </c>
      <c r="T494" s="4" t="n">
        <v>0.03727714748784439</v>
      </c>
      <c r="U494" s="19" t="n">
        <v>0.4044272584723388</v>
      </c>
      <c r="V494" s="19" t="n">
        <v>0.8983050847457601</v>
      </c>
      <c r="W494" s="4" t="n">
        <v>0.1481419453283461</v>
      </c>
      <c r="X494" s="4" t="n">
        <v>0.08103372755146743</v>
      </c>
      <c r="Y494" s="4" t="n">
        <v>0.000467175554323962</v>
      </c>
      <c r="Z494" s="4" t="n">
        <v>-0.0009745971047463442</v>
      </c>
      <c r="AA494" s="4" t="n">
        <v>0.03</v>
      </c>
      <c r="AB494" s="4" t="n">
        <v>0.05</v>
      </c>
      <c r="AC494" s="4">
        <f>(AB494+2*參數!$B$7)/(AA494+AB494)</f>
        <v/>
      </c>
    </row>
    <row r="495">
      <c r="A495" s="2" t="n">
        <v>494</v>
      </c>
      <c r="B495" s="2" t="inlineStr">
        <is>
          <t>QNT_USDT_PERP</t>
        </is>
      </c>
      <c r="C495" s="2" t="inlineStr">
        <is>
          <t>做多</t>
        </is>
      </c>
      <c r="D495" s="7" t="n">
        <v>46291.58333333334</v>
      </c>
      <c r="E495" s="20" t="n">
        <v>100.72</v>
      </c>
      <c r="F495" s="20" t="n">
        <v>103.7416</v>
      </c>
      <c r="G495" s="20" t="n">
        <v>95.684</v>
      </c>
      <c r="H495" s="7" t="n">
        <v>46291.625</v>
      </c>
      <c r="I495" s="20" t="n">
        <v>103.7416</v>
      </c>
      <c r="J495" s="2" t="inlineStr">
        <is>
          <t>止盈</t>
        </is>
      </c>
      <c r="K495" s="5">
        <f>(H495-D495)*24</f>
        <v/>
      </c>
      <c r="L495" s="4">
        <f>IF(C495="做多",I495/E495-1,1-I495/E495)-2*參數!$B$7</f>
        <v/>
      </c>
      <c r="M495" s="2" t="inlineStr"/>
      <c r="N495" s="4" t="n">
        <v>0.02119030720876003</v>
      </c>
      <c r="O495" s="4" t="n">
        <v>0.02532472971226432</v>
      </c>
      <c r="P495" s="4" t="n">
        <v>0.03071578053285728</v>
      </c>
      <c r="Q495" s="22" t="n">
        <v>8304.399999999998</v>
      </c>
      <c r="R495" s="22" t="n">
        <v>6282037.247</v>
      </c>
      <c r="S495" s="4" t="n">
        <v>0.03</v>
      </c>
      <c r="T495" s="4" t="n">
        <v>0</v>
      </c>
      <c r="U495" s="19" t="n">
        <v>0.6492928044213357</v>
      </c>
      <c r="V495" s="19" t="n">
        <v>0.8168498168498172</v>
      </c>
      <c r="W495" s="4" t="n">
        <v>0.2457714642638484</v>
      </c>
      <c r="X495" s="4" t="n">
        <v>0.03366174055829219</v>
      </c>
      <c r="Y495" s="4" t="n">
        <v>-0.0006349191222631001</v>
      </c>
      <c r="Z495" s="4" t="n">
        <v>-0.001229260507332075</v>
      </c>
      <c r="AA495" s="4" t="n">
        <v>0.03</v>
      </c>
      <c r="AB495" s="4" t="n">
        <v>0.05</v>
      </c>
      <c r="AC495" s="4">
        <f>(AB495+2*參數!$B$7)/(AA495+AB495)</f>
        <v/>
      </c>
    </row>
    <row r="496">
      <c r="A496" s="2" t="n">
        <v>495</v>
      </c>
      <c r="B496" s="2" t="inlineStr">
        <is>
          <t>MUBARAK_USDT_PERP</t>
        </is>
      </c>
      <c r="C496" s="2" t="inlineStr">
        <is>
          <t>做空</t>
        </is>
      </c>
      <c r="D496" s="7" t="n">
        <v>46291.625</v>
      </c>
      <c r="E496" s="20" t="n">
        <v>0.05304</v>
      </c>
      <c r="F496" s="20" t="n">
        <v>0.0514488</v>
      </c>
      <c r="G496" s="20" t="n">
        <v>0.055692</v>
      </c>
      <c r="H496" s="7" t="n">
        <v>46291.75</v>
      </c>
      <c r="I496" s="20" t="n">
        <v>0.055692</v>
      </c>
      <c r="J496" s="2" t="inlineStr">
        <is>
          <t>止損</t>
        </is>
      </c>
      <c r="K496" s="5">
        <f>(H496-D496)*24</f>
        <v/>
      </c>
      <c r="L496" s="4">
        <f>IF(C496="做多",I496/E496-1,1-I496/E496)-2*參數!$B$7</f>
        <v/>
      </c>
      <c r="M496" s="2" t="inlineStr"/>
      <c r="N496" s="4" t="n">
        <v>-0.0307017543859649</v>
      </c>
      <c r="O496" s="4" t="n">
        <v>0.05405359387261636</v>
      </c>
      <c r="P496" s="4" t="n">
        <v>-0.007057678267218481</v>
      </c>
      <c r="Q496" s="22" t="n">
        <v>-3552835</v>
      </c>
      <c r="R496" s="22" t="n">
        <v>1583241.60094</v>
      </c>
      <c r="S496" s="4" t="n">
        <v>0.01715686274509798</v>
      </c>
      <c r="T496" s="4" t="n">
        <v>0.05</v>
      </c>
      <c r="U496" s="19" t="n">
        <v>0.9170324134937781</v>
      </c>
      <c r="V496" s="19" t="n">
        <v>0.5200000000000011</v>
      </c>
      <c r="W496" s="4" t="n">
        <v>0.05583799718033067</v>
      </c>
      <c r="X496" s="4" t="n">
        <v>-0.2380952380952379</v>
      </c>
      <c r="Y496" s="4" t="n">
        <v>0.0003945436167370753</v>
      </c>
      <c r="Z496" s="4" t="n">
        <v>0.001137489756636745</v>
      </c>
      <c r="AA496" s="4" t="n">
        <v>0.03</v>
      </c>
      <c r="AB496" s="4" t="n">
        <v>0.05</v>
      </c>
      <c r="AC496" s="4">
        <f>(AB496+2*參數!$B$7)/(AA496+AB496)</f>
        <v/>
      </c>
    </row>
    <row r="497">
      <c r="A497" s="2" t="n">
        <v>496</v>
      </c>
      <c r="B497" s="2" t="inlineStr">
        <is>
          <t>AKE_USDT_PERP</t>
        </is>
      </c>
      <c r="C497" s="2" t="inlineStr">
        <is>
          <t>做多</t>
        </is>
      </c>
      <c r="D497" s="7" t="n">
        <v>46291.66666666666</v>
      </c>
      <c r="E497" s="20" t="n">
        <v>0.0360925</v>
      </c>
      <c r="F497" s="20" t="n">
        <v>0.037175275</v>
      </c>
      <c r="G497" s="20" t="n">
        <v>0.034287875</v>
      </c>
      <c r="H497" s="7" t="n">
        <v>46291.70833333334</v>
      </c>
      <c r="I497" s="20" t="n">
        <v>0.034287875</v>
      </c>
      <c r="J497" s="2" t="inlineStr">
        <is>
          <t>止損</t>
        </is>
      </c>
      <c r="K497" s="5">
        <f>(H497-D497)*24</f>
        <v/>
      </c>
      <c r="L497" s="4">
        <f>IF(C497="做多",I497/E497-1,1-I497/E497)-2*參數!$B$7</f>
        <v/>
      </c>
      <c r="M497" s="2" t="inlineStr"/>
      <c r="N497" s="4" t="n">
        <v>0.0371408045977013</v>
      </c>
      <c r="O497" s="4" t="n">
        <v>0.04376358834289845</v>
      </c>
      <c r="P497" s="4" t="n">
        <v>0.05753621092767403</v>
      </c>
      <c r="Q497" s="22" t="n">
        <v>38791</v>
      </c>
      <c r="R497" s="22" t="n">
        <v>3709484.1721084</v>
      </c>
      <c r="S497" s="4" t="n">
        <v>0</v>
      </c>
      <c r="T497" s="4" t="n">
        <v>0.05</v>
      </c>
      <c r="U497" s="19" t="n">
        <v>2.141688411708617</v>
      </c>
      <c r="V497" s="19" t="n">
        <v>0.4984609465178913</v>
      </c>
      <c r="W497" s="4" t="n">
        <v>-0.1562042698016067</v>
      </c>
      <c r="X497" s="4" t="n">
        <v>0.01558872771782704</v>
      </c>
      <c r="Y497" s="4" t="n">
        <v>0.00254825527388669</v>
      </c>
      <c r="Z497" s="4" t="n">
        <v>0.001681383112599022</v>
      </c>
      <c r="AA497" s="4" t="n">
        <v>0.03</v>
      </c>
      <c r="AB497" s="4" t="n">
        <v>0.05</v>
      </c>
      <c r="AC497" s="4">
        <f>(AB497+2*參數!$B$7)/(AA497+AB497)</f>
        <v/>
      </c>
    </row>
    <row r="498">
      <c r="A498" s="2" t="n">
        <v>497</v>
      </c>
      <c r="B498" s="2" t="inlineStr">
        <is>
          <t>ENA_USDT_PERP</t>
        </is>
      </c>
      <c r="C498" s="2" t="inlineStr">
        <is>
          <t>做多</t>
        </is>
      </c>
      <c r="D498" s="7" t="n">
        <v>46291.66666666666</v>
      </c>
      <c r="E498" s="20" t="n">
        <v>0.2716</v>
      </c>
      <c r="F498" s="20" t="n">
        <v>0.279748</v>
      </c>
      <c r="G498" s="20" t="n">
        <v>0.25802</v>
      </c>
      <c r="H498" s="7" t="n">
        <v>46291.75</v>
      </c>
      <c r="I498" s="20" t="n">
        <v>0.279748</v>
      </c>
      <c r="J498" s="2" t="inlineStr">
        <is>
          <t>止盈</t>
        </is>
      </c>
      <c r="K498" s="5">
        <f>(H498-D498)*24</f>
        <v/>
      </c>
      <c r="L498" s="4">
        <f>IF(C498="做多",I498/E498-1,1-I498/E498)-2*參數!$B$7</f>
        <v/>
      </c>
      <c r="M498" s="2" t="inlineStr"/>
      <c r="N498" s="4" t="n">
        <v>0.02143663031214738</v>
      </c>
      <c r="O498" s="4" t="n">
        <v>0.02705385502733253</v>
      </c>
      <c r="P498" s="4" t="n">
        <v>0.03474550441938451</v>
      </c>
      <c r="Q498" s="22" t="n">
        <v>21356433</v>
      </c>
      <c r="R498" s="22" t="n">
        <v>15550722.8349</v>
      </c>
      <c r="S498" s="4" t="n">
        <v>0.03</v>
      </c>
      <c r="T498" s="4" t="n">
        <v>0.0003681885125184081</v>
      </c>
      <c r="U498" s="19" t="n">
        <v>0.4511772202793475</v>
      </c>
      <c r="V498" s="19" t="n">
        <v>0.5943396226415122</v>
      </c>
      <c r="W498" s="4" t="n">
        <v>0.2158217988432682</v>
      </c>
      <c r="X498" s="4" t="n">
        <v>0.2328642759872901</v>
      </c>
      <c r="Y498" s="4" t="n">
        <v>0.00254825527388669</v>
      </c>
      <c r="Z498" s="4" t="n">
        <v>0.001681383112599022</v>
      </c>
      <c r="AA498" s="4" t="n">
        <v>0.03</v>
      </c>
      <c r="AB498" s="4" t="n">
        <v>0.05</v>
      </c>
      <c r="AC498" s="4">
        <f>(AB498+2*參數!$B$7)/(AA498+AB498)</f>
        <v/>
      </c>
    </row>
    <row r="499">
      <c r="A499" s="2" t="n">
        <v>498</v>
      </c>
      <c r="B499" s="2" t="inlineStr">
        <is>
          <t>SAGA_USDT_PERP</t>
        </is>
      </c>
      <c r="C499" s="2" t="inlineStr">
        <is>
          <t>做空</t>
        </is>
      </c>
      <c r="D499" s="7" t="n">
        <v>46291.66666666666</v>
      </c>
      <c r="E499" s="20" t="n">
        <v>0.03453</v>
      </c>
      <c r="F499" s="20" t="n">
        <v>0.0334941</v>
      </c>
      <c r="G499" s="20" t="n">
        <v>0.0362565</v>
      </c>
      <c r="H499" s="7" t="n">
        <v>46291.70833333334</v>
      </c>
      <c r="I499" s="20" t="n">
        <v>0.0334941</v>
      </c>
      <c r="J499" s="2" t="inlineStr">
        <is>
          <t>止盈</t>
        </is>
      </c>
      <c r="K499" s="5">
        <f>(H499-D499)*24</f>
        <v/>
      </c>
      <c r="L499" s="4">
        <f>IF(C499="做多",I499/E499-1,1-I499/E499)-2*參數!$B$7</f>
        <v/>
      </c>
      <c r="M499" s="2" t="inlineStr"/>
      <c r="N499" s="4" t="n">
        <v>-0.07202364955657081</v>
      </c>
      <c r="O499" s="4" t="n">
        <v>0.1068577638223083</v>
      </c>
      <c r="P499" s="4" t="n">
        <v>-0.05601574673993281</v>
      </c>
      <c r="Q499" s="22" t="n">
        <v>-7576045.099999987</v>
      </c>
      <c r="R499" s="22" t="n">
        <v>2243283.424849</v>
      </c>
      <c r="S499" s="4" t="n">
        <v>0.03</v>
      </c>
      <c r="T499" s="4" t="n">
        <v>0</v>
      </c>
      <c r="U499" s="19" t="n">
        <v>0.7568498560891384</v>
      </c>
      <c r="V499" s="19" t="n">
        <v>0.7253333333333341</v>
      </c>
      <c r="W499" s="4" t="n">
        <v>0.1916396862073083</v>
      </c>
      <c r="X499" s="4" t="n">
        <v>-0.004363001745200545</v>
      </c>
      <c r="Y499" s="4" t="n">
        <v>-0.00254825527388669</v>
      </c>
      <c r="Z499" s="4" t="n">
        <v>-0.001681383112599022</v>
      </c>
      <c r="AA499" s="4" t="n">
        <v>0.03</v>
      </c>
      <c r="AB499" s="4" t="n">
        <v>0.05</v>
      </c>
      <c r="AC499" s="4">
        <f>(AB499+2*參數!$B$7)/(AA499+AB499)</f>
        <v/>
      </c>
    </row>
    <row r="500">
      <c r="A500" s="2" t="n">
        <v>499</v>
      </c>
      <c r="B500" s="2" t="inlineStr">
        <is>
          <t>AERO_USDT_PERP</t>
        </is>
      </c>
      <c r="C500" s="2" t="inlineStr">
        <is>
          <t>做多</t>
        </is>
      </c>
      <c r="D500" s="7" t="n">
        <v>46291.70833333334</v>
      </c>
      <c r="E500" s="20" t="n">
        <v>0.9006999999999999</v>
      </c>
      <c r="F500" s="20" t="n">
        <v>0.927721</v>
      </c>
      <c r="G500" s="20" t="n">
        <v>0.8556649999999999</v>
      </c>
      <c r="H500" s="7" t="n">
        <v>46291.83333333334</v>
      </c>
      <c r="I500" s="20" t="n">
        <v>0.927721</v>
      </c>
      <c r="J500" s="2" t="inlineStr">
        <is>
          <t>止盈</t>
        </is>
      </c>
      <c r="K500" s="5">
        <f>(H500-D500)*24</f>
        <v/>
      </c>
      <c r="L500" s="4">
        <f>IF(C500="做多",I500/E500-1,1-I500/E500)-2*參數!$B$7</f>
        <v/>
      </c>
      <c r="M500" s="2" t="inlineStr"/>
      <c r="N500" s="4" t="n">
        <v>0.02760981175128352</v>
      </c>
      <c r="O500" s="4" t="n">
        <v>0.02784418497290705</v>
      </c>
      <c r="P500" s="4" t="n">
        <v>0.05456652948442509</v>
      </c>
      <c r="Q500" s="22" t="n">
        <v>587547.2000000007</v>
      </c>
      <c r="R500" s="22" t="n">
        <v>2254017.66845</v>
      </c>
      <c r="S500" s="4" t="n">
        <v>0.03</v>
      </c>
      <c r="T500" s="4" t="n">
        <v>0.0114355501276785</v>
      </c>
      <c r="U500" s="19" t="n">
        <v>0.7215711136420873</v>
      </c>
      <c r="V500" s="19" t="n">
        <v>0.816393442622949</v>
      </c>
      <c r="W500" s="4" t="n">
        <v>0.2342989012314212</v>
      </c>
      <c r="X500" s="4" t="n">
        <v>0.2012536676447052</v>
      </c>
      <c r="Y500" s="4" t="n">
        <v>0.001099018733273782</v>
      </c>
      <c r="Z500" s="4" t="n">
        <v>0.002936393434418427</v>
      </c>
      <c r="AA500" s="4" t="n">
        <v>0.03</v>
      </c>
      <c r="AB500" s="4" t="n">
        <v>0.05</v>
      </c>
      <c r="AC500" s="4">
        <f>(AB500+2*參數!$B$7)/(AA500+AB500)</f>
        <v/>
      </c>
    </row>
    <row r="501">
      <c r="A501" s="2" t="n">
        <v>500</v>
      </c>
      <c r="B501" s="2" t="inlineStr">
        <is>
          <t>USELESS_USDT_PERP</t>
        </is>
      </c>
      <c r="C501" s="2" t="inlineStr">
        <is>
          <t>做空</t>
        </is>
      </c>
      <c r="D501" s="7" t="n">
        <v>46291.70833333334</v>
      </c>
      <c r="E501" s="20" t="n">
        <v>0.28291</v>
      </c>
      <c r="F501" s="20" t="n">
        <v>0.2744227</v>
      </c>
      <c r="G501" s="20" t="n">
        <v>0.2970555</v>
      </c>
      <c r="H501" s="7" t="n">
        <v>46291.75</v>
      </c>
      <c r="I501" s="20" t="n">
        <v>0.2744227</v>
      </c>
      <c r="J501" s="2" t="inlineStr">
        <is>
          <t>止盈</t>
        </is>
      </c>
      <c r="K501" s="5">
        <f>(H501-D501)*24</f>
        <v/>
      </c>
      <c r="L501" s="4">
        <f>IF(C501="做多",I501/E501-1,1-I501/E501)-2*參數!$B$7</f>
        <v/>
      </c>
      <c r="M501" s="2" t="inlineStr"/>
      <c r="N501" s="4" t="n">
        <v>-0.02269586845377924</v>
      </c>
      <c r="O501" s="4" t="n">
        <v>0.02874113772822599</v>
      </c>
      <c r="P501" s="4" t="n">
        <v>-0.02420769258627575</v>
      </c>
      <c r="Q501" s="22" t="n">
        <v>-3295421</v>
      </c>
      <c r="R501" s="22" t="n">
        <v>2751817.14514</v>
      </c>
      <c r="S501" s="4" t="n">
        <v>0.03</v>
      </c>
      <c r="T501" s="4" t="n">
        <v>0</v>
      </c>
      <c r="U501" s="19" t="n">
        <v>1.360684736329517</v>
      </c>
      <c r="V501" s="19" t="n">
        <v>0.8853362734288877</v>
      </c>
      <c r="W501" s="4" t="n">
        <v>0.06058653986638152</v>
      </c>
      <c r="X501" s="4" t="n">
        <v>0.005518841394825724</v>
      </c>
      <c r="Y501" s="4" t="n">
        <v>-0.001099018733273782</v>
      </c>
      <c r="Z501" s="4" t="n">
        <v>-0.002936393434418427</v>
      </c>
      <c r="AA501" s="4" t="n">
        <v>0.03</v>
      </c>
      <c r="AB501" s="4" t="n">
        <v>0.05</v>
      </c>
      <c r="AC501" s="4">
        <f>(AB501+2*參數!$B$7)/(AA501+AB501)</f>
        <v/>
      </c>
    </row>
    <row r="502">
      <c r="A502" s="2" t="n">
        <v>501</v>
      </c>
      <c r="B502" s="2" t="inlineStr">
        <is>
          <t>USELESS_USDT_PERP</t>
        </is>
      </c>
      <c r="C502" s="2" t="inlineStr">
        <is>
          <t>做多</t>
        </is>
      </c>
      <c r="D502" s="7" t="n">
        <v>46291.95833333334</v>
      </c>
      <c r="E502" s="20" t="n">
        <v>0.29344</v>
      </c>
      <c r="F502" s="20" t="n">
        <v>0.3022432</v>
      </c>
      <c r="G502" s="20" t="n">
        <v>0.278768</v>
      </c>
      <c r="H502" s="7" t="n">
        <v>46292.20833333334</v>
      </c>
      <c r="I502" s="20" t="n">
        <v>0.278768</v>
      </c>
      <c r="J502" s="2" t="inlineStr">
        <is>
          <t>止損</t>
        </is>
      </c>
      <c r="K502" s="5">
        <f>(H502-D502)*24</f>
        <v/>
      </c>
      <c r="L502" s="4">
        <f>IF(C502="做多",I502/E502-1,1-I502/E502)-2*參數!$B$7</f>
        <v/>
      </c>
      <c r="M502" s="2" t="inlineStr"/>
      <c r="N502" s="4" t="n">
        <v>0.02773886242644985</v>
      </c>
      <c r="O502" s="4" t="n">
        <v>0.02714119131917923</v>
      </c>
      <c r="P502" s="4" t="n">
        <v>0.02590816681496122</v>
      </c>
      <c r="Q502" s="22" t="n">
        <v>1024608</v>
      </c>
      <c r="R502" s="22" t="n">
        <v>2323393.57515</v>
      </c>
      <c r="S502" s="4" t="n">
        <v>0.01277944383860419</v>
      </c>
      <c r="T502" s="4" t="n">
        <v>0.05</v>
      </c>
      <c r="U502" s="19" t="n">
        <v>4.33362944485502</v>
      </c>
      <c r="V502" s="19" t="n">
        <v>0.785028790786946</v>
      </c>
      <c r="W502" s="4" t="n">
        <v>-0.02411932455914279</v>
      </c>
      <c r="X502" s="4" t="n">
        <v>-0.02459779284669594</v>
      </c>
      <c r="Y502" s="4" t="n">
        <v>0.0008580887978890672</v>
      </c>
      <c r="Z502" s="4" t="n">
        <v>2.441134424913116e-05</v>
      </c>
      <c r="AA502" s="4" t="n">
        <v>0.03</v>
      </c>
      <c r="AB502" s="4" t="n">
        <v>0.05</v>
      </c>
      <c r="AC502" s="4">
        <f>(AB502+2*參數!$B$7)/(AA502+AB502)</f>
        <v/>
      </c>
    </row>
    <row r="503">
      <c r="A503" s="2" t="n">
        <v>502</v>
      </c>
      <c r="B503" s="2" t="inlineStr">
        <is>
          <t>WLD_USDT_PERP</t>
        </is>
      </c>
      <c r="C503" s="2" t="inlineStr">
        <is>
          <t>做多</t>
        </is>
      </c>
      <c r="D503" s="7" t="n">
        <v>46291.95833333334</v>
      </c>
      <c r="E503" s="20" t="n">
        <v>0.5108</v>
      </c>
      <c r="F503" s="20" t="n">
        <v>0.526124</v>
      </c>
      <c r="G503" s="20" t="n">
        <v>0.48526</v>
      </c>
      <c r="H503" s="7" t="n">
        <v>46292</v>
      </c>
      <c r="I503" s="20" t="n">
        <v>0.526124</v>
      </c>
      <c r="J503" s="2" t="inlineStr">
        <is>
          <t>止盈</t>
        </is>
      </c>
      <c r="K503" s="5">
        <f>(H503-D503)*24</f>
        <v/>
      </c>
      <c r="L503" s="4">
        <f>IF(C503="做多",I503/E503-1,1-I503/E503)-2*參數!$B$7</f>
        <v/>
      </c>
      <c r="M503" s="2" t="inlineStr"/>
      <c r="N503" s="4" t="n">
        <v>0.03715736040609152</v>
      </c>
      <c r="O503" s="4" t="n">
        <v>0.02012033948551095</v>
      </c>
      <c r="P503" s="4" t="n">
        <v>0.0546528193587017</v>
      </c>
      <c r="Q503" s="22" t="n">
        <v>162320</v>
      </c>
      <c r="R503" s="22" t="n">
        <v>1795819.3342</v>
      </c>
      <c r="S503" s="4" t="n">
        <v>0.03</v>
      </c>
      <c r="T503" s="4" t="n">
        <v>0</v>
      </c>
      <c r="U503" s="19" t="n">
        <v>2.192132916736635</v>
      </c>
      <c r="V503" s="19" t="n">
        <v>1</v>
      </c>
      <c r="W503" s="4" t="n">
        <v>0.1397257339717701</v>
      </c>
      <c r="X503" s="4" t="n">
        <v>0.1275938189845476</v>
      </c>
      <c r="Y503" s="4" t="n">
        <v>0.0008580887978890672</v>
      </c>
      <c r="Z503" s="4" t="n">
        <v>2.441134424913116e-05</v>
      </c>
      <c r="AA503" s="4" t="n">
        <v>0.03</v>
      </c>
      <c r="AB503" s="4" t="n">
        <v>0.05</v>
      </c>
      <c r="AC503" s="4">
        <f>(AB503+2*參數!$B$7)/(AA503+AB503)</f>
        <v/>
      </c>
    </row>
    <row r="504">
      <c r="A504" s="2" t="n">
        <v>503</v>
      </c>
      <c r="B504" s="2" t="inlineStr">
        <is>
          <t>AKE_USDT_PERP</t>
        </is>
      </c>
      <c r="C504" s="2" t="inlineStr">
        <is>
          <t>做多</t>
        </is>
      </c>
      <c r="D504" s="7" t="n">
        <v>46292</v>
      </c>
      <c r="E504" s="20" t="n">
        <v>0.0345245</v>
      </c>
      <c r="F504" s="20" t="n">
        <v>0.035560235</v>
      </c>
      <c r="G504" s="20" t="n">
        <v>0.03279827499999999</v>
      </c>
      <c r="H504" s="7" t="n">
        <v>46292.29166666666</v>
      </c>
      <c r="I504" s="20" t="n">
        <v>0.03279827499999999</v>
      </c>
      <c r="J504" s="2" t="inlineStr">
        <is>
          <t>止損</t>
        </is>
      </c>
      <c r="K504" s="5">
        <f>(H504-D504)*24</f>
        <v/>
      </c>
      <c r="L504" s="4">
        <f>IF(C504="做多",I504/E504-1,1-I504/E504)-2*參數!$B$7</f>
        <v/>
      </c>
      <c r="M504" s="2" t="inlineStr"/>
      <c r="N504" s="4" t="n">
        <v>0.02057436776682398</v>
      </c>
      <c r="O504" s="4" t="n">
        <v>0.04367170854440915</v>
      </c>
      <c r="P504" s="4" t="n">
        <v>0.03007811998845944</v>
      </c>
      <c r="Q504" s="22" t="n">
        <v>19543508</v>
      </c>
      <c r="R504" s="22" t="n">
        <v>3502572.2021373</v>
      </c>
      <c r="S504" s="4" t="n">
        <v>0.01453750235340112</v>
      </c>
      <c r="T504" s="4" t="n">
        <v>0.05</v>
      </c>
      <c r="U504" s="19" t="n">
        <v>0.857412711631919</v>
      </c>
      <c r="V504" s="19" t="n">
        <v>0.7702841492639491</v>
      </c>
      <c r="W504" s="4" t="n">
        <v>-0.1604778009486288</v>
      </c>
      <c r="X504" s="4" t="n">
        <v>-0.06965871272854651</v>
      </c>
      <c r="Y504" s="4" t="n">
        <v>0.001586103258656379</v>
      </c>
      <c r="Z504" s="4" t="n">
        <v>0.001523969689208649</v>
      </c>
      <c r="AA504" s="4" t="n">
        <v>0.03</v>
      </c>
      <c r="AB504" s="4" t="n">
        <v>0.05</v>
      </c>
      <c r="AC504" s="4">
        <f>(AB504+2*參數!$B$7)/(AA504+AB504)</f>
        <v/>
      </c>
    </row>
    <row r="505">
      <c r="A505" s="2" t="n">
        <v>504</v>
      </c>
      <c r="B505" s="2" t="inlineStr">
        <is>
          <t>BTW_USDT_PERP</t>
        </is>
      </c>
      <c r="C505" s="2" t="inlineStr">
        <is>
          <t>做多</t>
        </is>
      </c>
      <c r="D505" s="7" t="n">
        <v>46292</v>
      </c>
      <c r="E505" s="20" t="n">
        <v>1.057552</v>
      </c>
      <c r="F505" s="20" t="n">
        <v>1.08927856</v>
      </c>
      <c r="G505" s="20" t="n">
        <v>1.0046744</v>
      </c>
      <c r="H505" s="7" t="n">
        <v>46292.33333333334</v>
      </c>
      <c r="I505" s="20" t="n">
        <v>1.0046744</v>
      </c>
      <c r="J505" s="2" t="inlineStr">
        <is>
          <t>止損</t>
        </is>
      </c>
      <c r="K505" s="5">
        <f>(H505-D505)*24</f>
        <v/>
      </c>
      <c r="L505" s="4">
        <f>IF(C505="做多",I505/E505-1,1-I505/E505)-2*參數!$B$7</f>
        <v/>
      </c>
      <c r="M505" s="2" t="inlineStr"/>
      <c r="N505" s="4" t="n">
        <v>0.06179919678714874</v>
      </c>
      <c r="O505" s="4" t="n">
        <v>0.06782500151658741</v>
      </c>
      <c r="P505" s="4" t="n">
        <v>0.03110342385066267</v>
      </c>
      <c r="Q505" s="22" t="n">
        <v>126898</v>
      </c>
      <c r="R505" s="22" t="n">
        <v>1903258.940872</v>
      </c>
      <c r="S505" s="4" t="n">
        <v>0.02744167662677577</v>
      </c>
      <c r="T505" s="4" t="n">
        <v>0.05</v>
      </c>
      <c r="U505" s="19" t="n">
        <v>1.579798830415901</v>
      </c>
      <c r="V505" s="19" t="n">
        <v>0.9108931649815969</v>
      </c>
      <c r="W505" s="4" t="n">
        <v>0.05231673476769805</v>
      </c>
      <c r="X505" s="4" t="n">
        <v>-0.1433364574026267</v>
      </c>
      <c r="Y505" s="4" t="n">
        <v>0.001586103258656379</v>
      </c>
      <c r="Z505" s="4" t="n">
        <v>0.001523969689208649</v>
      </c>
      <c r="AA505" s="4" t="n">
        <v>0.03</v>
      </c>
      <c r="AB505" s="4" t="n">
        <v>0.05</v>
      </c>
      <c r="AC505" s="4">
        <f>(AB505+2*參數!$B$7)/(AA505+AB505)</f>
        <v/>
      </c>
    </row>
    <row r="506">
      <c r="A506" s="2" t="n">
        <v>505</v>
      </c>
      <c r="B506" s="2" t="inlineStr">
        <is>
          <t>LYN_USDT_PERP</t>
        </is>
      </c>
      <c r="C506" s="2" t="inlineStr">
        <is>
          <t>做空</t>
        </is>
      </c>
      <c r="D506" s="7" t="n">
        <v>46292</v>
      </c>
      <c r="E506" s="20" t="n">
        <v>0.04265</v>
      </c>
      <c r="F506" s="20" t="n">
        <v>0.0413705</v>
      </c>
      <c r="G506" s="20" t="n">
        <v>0.0447825</v>
      </c>
      <c r="H506" s="7" t="n">
        <v>46292.08333333334</v>
      </c>
      <c r="I506" s="20" t="n">
        <v>0.0413705</v>
      </c>
      <c r="J506" s="2" t="inlineStr">
        <is>
          <t>止盈</t>
        </is>
      </c>
      <c r="K506" s="5">
        <f>(H506-D506)*24</f>
        <v/>
      </c>
      <c r="L506" s="4">
        <f>IF(C506="做多",I506/E506-1,1-I506/E506)-2*參數!$B$7</f>
        <v/>
      </c>
      <c r="M506" s="2" t="inlineStr"/>
      <c r="N506" s="4" t="n">
        <v>-0.05662464056624639</v>
      </c>
      <c r="O506" s="4" t="n">
        <v>0.06448999931540912</v>
      </c>
      <c r="P506" s="4" t="n">
        <v>-0.05954730377834871</v>
      </c>
      <c r="Q506" s="22" t="n">
        <v>-4249878</v>
      </c>
      <c r="R506" s="22" t="n">
        <v>2519773.3679</v>
      </c>
      <c r="S506" s="4" t="n">
        <v>0.03</v>
      </c>
      <c r="T506" s="4" t="n">
        <v>0.02321219226260252</v>
      </c>
      <c r="U506" s="19" t="n">
        <v>0.8053979470157903</v>
      </c>
      <c r="V506" s="19" t="n">
        <v>0.833333333333333</v>
      </c>
      <c r="W506" s="4" t="n">
        <v>-0.01689500112061126</v>
      </c>
      <c r="X506" s="4" t="n">
        <v>0.04436477705579212</v>
      </c>
      <c r="Y506" s="4" t="n">
        <v>-0.001586103258656379</v>
      </c>
      <c r="Z506" s="4" t="n">
        <v>-0.001523969689208649</v>
      </c>
      <c r="AA506" s="4" t="n">
        <v>0.03</v>
      </c>
      <c r="AB506" s="4" t="n">
        <v>0.05</v>
      </c>
      <c r="AC506" s="4">
        <f>(AB506+2*參數!$B$7)/(AA506+AB506)</f>
        <v/>
      </c>
    </row>
    <row r="507">
      <c r="A507" s="2" t="n">
        <v>506</v>
      </c>
      <c r="B507" s="2" t="inlineStr">
        <is>
          <t>PHA_USDT_PERP</t>
        </is>
      </c>
      <c r="C507" s="2" t="inlineStr">
        <is>
          <t>做空</t>
        </is>
      </c>
      <c r="D507" s="7" t="n">
        <v>46292.04166666666</v>
      </c>
      <c r="E507" s="20" t="n">
        <v>0.07908999999999999</v>
      </c>
      <c r="F507" s="20" t="n">
        <v>0.07671729999999999</v>
      </c>
      <c r="G507" s="20" t="n">
        <v>0.08304449999999999</v>
      </c>
      <c r="H507" s="7" t="n">
        <v>46292.125</v>
      </c>
      <c r="I507" s="20" t="n">
        <v>0.08304449999999999</v>
      </c>
      <c r="J507" s="2" t="inlineStr">
        <is>
          <t>止損</t>
        </is>
      </c>
      <c r="K507" s="5">
        <f>(H507-D507)*24</f>
        <v/>
      </c>
      <c r="L507" s="4">
        <f>IF(C507="做多",I507/E507-1,1-I507/E507)-2*參數!$B$7</f>
        <v/>
      </c>
      <c r="M507" s="2" t="inlineStr"/>
      <c r="N507" s="4" t="n">
        <v>-0.04836963061003496</v>
      </c>
      <c r="O507" s="4" t="n">
        <v>0.06431794092008644</v>
      </c>
      <c r="P507" s="4" t="n">
        <v>-0.04866152245430666</v>
      </c>
      <c r="Q507" s="22" t="n">
        <v>-28818840</v>
      </c>
      <c r="R507" s="22" t="n">
        <v>8159570.02991</v>
      </c>
      <c r="S507" s="4" t="n">
        <v>0.0149197117208244</v>
      </c>
      <c r="T507" s="4" t="n">
        <v>0.05</v>
      </c>
      <c r="U507" s="19" t="n">
        <v>0.3945080474810943</v>
      </c>
      <c r="V507" s="19" t="n">
        <v>0.7750809061488688</v>
      </c>
      <c r="W507" s="4" t="n">
        <v>-0.3488668767822303</v>
      </c>
      <c r="X507" s="4" t="n">
        <v>0.01678269517652919</v>
      </c>
      <c r="Y507" s="4" t="n">
        <v>0.0005064639542708971</v>
      </c>
      <c r="Z507" s="4" t="n">
        <v>-0.0008795048581109466</v>
      </c>
      <c r="AA507" s="4" t="n">
        <v>0.03</v>
      </c>
      <c r="AB507" s="4" t="n">
        <v>0.05</v>
      </c>
      <c r="AC507" s="4">
        <f>(AB507+2*參數!$B$7)/(AA507+AB507)</f>
        <v/>
      </c>
    </row>
    <row r="508">
      <c r="A508" s="2" t="n">
        <v>507</v>
      </c>
      <c r="B508" s="2" t="inlineStr">
        <is>
          <t>NEAR_USDT_PERP</t>
        </is>
      </c>
      <c r="C508" s="2" t="inlineStr">
        <is>
          <t>做多</t>
        </is>
      </c>
      <c r="D508" s="7" t="n">
        <v>46292.25</v>
      </c>
      <c r="E508" s="20" t="n">
        <v>5.038</v>
      </c>
      <c r="F508" s="20" t="n">
        <v>5.18914</v>
      </c>
      <c r="G508" s="20" t="n">
        <v>4.7861</v>
      </c>
      <c r="H508" s="7" t="n">
        <v>46292.58333333334</v>
      </c>
      <c r="I508" s="20" t="n">
        <v>5.18914</v>
      </c>
      <c r="J508" s="2" t="inlineStr">
        <is>
          <t>止盈</t>
        </is>
      </c>
      <c r="K508" s="5">
        <f>(H508-D508)*24</f>
        <v/>
      </c>
      <c r="L508" s="4">
        <f>IF(C508="做多",I508/E508-1,1-I508/E508)-2*參數!$B$7</f>
        <v/>
      </c>
      <c r="M508" s="2" t="inlineStr"/>
      <c r="N508" s="4" t="n">
        <v>0.05221386800334171</v>
      </c>
      <c r="O508" s="4" t="n">
        <v>0.02135694382948518</v>
      </c>
      <c r="P508" s="4" t="n">
        <v>0.03510267815867607</v>
      </c>
      <c r="Q508" s="22" t="n">
        <v>46778</v>
      </c>
      <c r="R508" s="22" t="n">
        <v>13053531.872</v>
      </c>
      <c r="S508" s="4" t="n">
        <v>0.03</v>
      </c>
      <c r="T508" s="4" t="n">
        <v>0.02302500992457335</v>
      </c>
      <c r="U508" s="19" t="n">
        <v>2.997510444700372</v>
      </c>
      <c r="V508" s="19" t="n">
        <v>0.9661654135338367</v>
      </c>
      <c r="W508" s="4" t="n">
        <v>0.08762059786750376</v>
      </c>
      <c r="X508" s="4" t="n">
        <v>0.02273650020300444</v>
      </c>
      <c r="Y508" s="4" t="n">
        <v>0.001464362418983844</v>
      </c>
      <c r="Z508" s="4" t="n">
        <v>0.001209874912145859</v>
      </c>
      <c r="AA508" s="4" t="n">
        <v>0.03</v>
      </c>
      <c r="AB508" s="4" t="n">
        <v>0.05</v>
      </c>
      <c r="AC508" s="4">
        <f>(AB508+2*參數!$B$7)/(AA508+AB508)</f>
        <v/>
      </c>
    </row>
    <row r="509">
      <c r="A509" s="2" t="n">
        <v>508</v>
      </c>
      <c r="B509" s="2" t="inlineStr">
        <is>
          <t>USELESS_USDT_PERP</t>
        </is>
      </c>
      <c r="C509" s="2" t="inlineStr">
        <is>
          <t>做多</t>
        </is>
      </c>
      <c r="D509" s="7" t="n">
        <v>46292.25</v>
      </c>
      <c r="E509" s="20" t="n">
        <v>0.2916</v>
      </c>
      <c r="F509" s="20" t="n">
        <v>0.3003480000000001</v>
      </c>
      <c r="G509" s="20" t="n">
        <v>0.27702</v>
      </c>
      <c r="H509" s="7" t="n">
        <v>46292.54166666666</v>
      </c>
      <c r="I509" s="20" t="n">
        <v>0.27702</v>
      </c>
      <c r="J509" s="2" t="inlineStr">
        <is>
          <t>止損</t>
        </is>
      </c>
      <c r="K509" s="5">
        <f>(H509-D509)*24</f>
        <v/>
      </c>
      <c r="L509" s="4">
        <f>IF(C509="做多",I509/E509-1,1-I509/E509)-2*參數!$B$7</f>
        <v/>
      </c>
      <c r="M509" s="2" t="inlineStr"/>
      <c r="N509" s="4" t="n">
        <v>0.05476379946466059</v>
      </c>
      <c r="O509" s="4" t="n">
        <v>0.02737878369491019</v>
      </c>
      <c r="P509" s="4" t="n">
        <v>0.02420545926798834</v>
      </c>
      <c r="Q509" s="22" t="n">
        <v>1799092</v>
      </c>
      <c r="R509" s="22" t="n">
        <v>2398403.33632</v>
      </c>
      <c r="S509" s="4" t="n">
        <v>0.005589849108367462</v>
      </c>
      <c r="T509" s="4" t="n">
        <v>0.05</v>
      </c>
      <c r="U509" s="19" t="n">
        <v>3.734423153421144</v>
      </c>
      <c r="V509" s="19" t="n">
        <v>1</v>
      </c>
      <c r="W509" s="4" t="n">
        <v>-0.02445127893567478</v>
      </c>
      <c r="X509" s="4" t="n">
        <v>0.02090116584392399</v>
      </c>
      <c r="Y509" s="4" t="n">
        <v>0.001464362418983844</v>
      </c>
      <c r="Z509" s="4" t="n">
        <v>0.001209874912145859</v>
      </c>
      <c r="AA509" s="4" t="n">
        <v>0.03</v>
      </c>
      <c r="AB509" s="4" t="n">
        <v>0.05</v>
      </c>
      <c r="AC509" s="4">
        <f>(AB509+2*參數!$B$7)/(AA509+AB509)</f>
        <v/>
      </c>
    </row>
    <row r="510">
      <c r="A510" s="2" t="n">
        <v>509</v>
      </c>
      <c r="B510" s="2" t="inlineStr">
        <is>
          <t>2Z_USDT_PERP</t>
        </is>
      </c>
      <c r="C510" s="2" t="inlineStr">
        <is>
          <t>做空</t>
        </is>
      </c>
      <c r="D510" s="7" t="n">
        <v>46292.375</v>
      </c>
      <c r="E510" s="20" t="n">
        <v>0.06859999999999999</v>
      </c>
      <c r="F510" s="20" t="n">
        <v>0.06654199999999999</v>
      </c>
      <c r="G510" s="20" t="n">
        <v>0.07203</v>
      </c>
      <c r="H510" s="7" t="n">
        <v>46292.54166666666</v>
      </c>
      <c r="I510" s="20" t="n">
        <v>0.06654199999999999</v>
      </c>
      <c r="J510" s="2" t="inlineStr">
        <is>
          <t>止盈</t>
        </is>
      </c>
      <c r="K510" s="5">
        <f>(H510-D510)*24</f>
        <v/>
      </c>
      <c r="L510" s="4">
        <f>IF(C510="做多",I510/E510-1,1-I510/E510)-2*參數!$B$7</f>
        <v/>
      </c>
      <c r="M510" s="2" t="inlineStr"/>
      <c r="N510" s="4" t="n">
        <v>-0.04109589041095907</v>
      </c>
      <c r="O510" s="4" t="n">
        <v>0.03730083716883047</v>
      </c>
      <c r="P510" s="4" t="n">
        <v>-0.02904376380003415</v>
      </c>
      <c r="Q510" s="22" t="n">
        <v>-5248565</v>
      </c>
      <c r="R510" s="22" t="n">
        <v>1725788.78364</v>
      </c>
      <c r="S510" s="4" t="n">
        <v>0.03</v>
      </c>
      <c r="T510" s="4" t="n">
        <v>0.03702623906705549</v>
      </c>
      <c r="U510" s="19" t="n">
        <v>0.405843119331716</v>
      </c>
      <c r="V510" s="19" t="n">
        <v>0.8909090909090915</v>
      </c>
      <c r="W510" s="4" t="n">
        <v>-0.1863565537552681</v>
      </c>
      <c r="X510" s="4" t="n">
        <v>-0.1995104039167686</v>
      </c>
      <c r="Y510" s="4" t="n">
        <v>0.001629063922098717</v>
      </c>
      <c r="Z510" s="4" t="n">
        <v>-0.002327731983539527</v>
      </c>
      <c r="AA510" s="4" t="n">
        <v>0.03</v>
      </c>
      <c r="AB510" s="4" t="n">
        <v>0.05</v>
      </c>
      <c r="AC510" s="4">
        <f>(AB510+2*參數!$B$7)/(AA510+AB510)</f>
        <v/>
      </c>
    </row>
    <row r="511">
      <c r="A511" s="2" t="n">
        <v>510</v>
      </c>
      <c r="B511" s="2" t="inlineStr">
        <is>
          <t>PHA_USDT_PERP</t>
        </is>
      </c>
      <c r="C511" s="2" t="inlineStr">
        <is>
          <t>做空</t>
        </is>
      </c>
      <c r="D511" s="7" t="n">
        <v>46292.375</v>
      </c>
      <c r="E511" s="20" t="n">
        <v>0.08004</v>
      </c>
      <c r="F511" s="20" t="n">
        <v>0.07763879999999999</v>
      </c>
      <c r="G511" s="20" t="n">
        <v>0.08404200000000001</v>
      </c>
      <c r="H511" s="7" t="n">
        <v>46292.45833333334</v>
      </c>
      <c r="I511" s="20" t="n">
        <v>0.07763879999999999</v>
      </c>
      <c r="J511" s="2" t="inlineStr">
        <is>
          <t>止盈</t>
        </is>
      </c>
      <c r="K511" s="5">
        <f>(H511-D511)*24</f>
        <v/>
      </c>
      <c r="L511" s="4">
        <f>IF(C511="做多",I511/E511-1,1-I511/E511)-2*參數!$B$7</f>
        <v/>
      </c>
      <c r="M511" s="2" t="inlineStr"/>
      <c r="N511" s="4" t="n">
        <v>-0.03333333333333333</v>
      </c>
      <c r="O511" s="4" t="n">
        <v>0.05726673961723217</v>
      </c>
      <c r="P511" s="4" t="n">
        <v>-0.01230911614993058</v>
      </c>
      <c r="Q511" s="22" t="n">
        <v>-4842288</v>
      </c>
      <c r="R511" s="22" t="n">
        <v>4571265.55922</v>
      </c>
      <c r="S511" s="4" t="n">
        <v>0.03</v>
      </c>
      <c r="T511" s="4" t="n">
        <v>0.0241129435282359</v>
      </c>
      <c r="U511" s="19" t="n">
        <v>0.4953535758498118</v>
      </c>
      <c r="V511" s="19" t="n">
        <v>0.8577235772357713</v>
      </c>
      <c r="W511" s="4" t="n">
        <v>-0.3019630297154681</v>
      </c>
      <c r="X511" s="4" t="n">
        <v>0.06342148373508072</v>
      </c>
      <c r="Y511" s="4" t="n">
        <v>0.001629063922098717</v>
      </c>
      <c r="Z511" s="4" t="n">
        <v>-0.002327731983539527</v>
      </c>
      <c r="AA511" s="4" t="n">
        <v>0.03</v>
      </c>
      <c r="AB511" s="4" t="n">
        <v>0.05</v>
      </c>
      <c r="AC511" s="4">
        <f>(AB511+2*參數!$B$7)/(AA511+AB511)</f>
        <v/>
      </c>
    </row>
    <row r="512">
      <c r="A512" s="2" t="n">
        <v>511</v>
      </c>
      <c r="B512" s="2" t="inlineStr">
        <is>
          <t>AKE_USDT_PERP</t>
        </is>
      </c>
      <c r="C512" s="2" t="inlineStr">
        <is>
          <t>做多</t>
        </is>
      </c>
      <c r="D512" s="7" t="n">
        <v>46292.41666666666</v>
      </c>
      <c r="E512" s="20" t="n">
        <v>0.0342425</v>
      </c>
      <c r="F512" s="20" t="n">
        <v>0.035269775</v>
      </c>
      <c r="G512" s="20" t="n">
        <v>0.032530375</v>
      </c>
      <c r="H512" s="7" t="n">
        <v>46292.83333333334</v>
      </c>
      <c r="I512" s="20" t="n">
        <v>0.032530375</v>
      </c>
      <c r="J512" s="2" t="inlineStr">
        <is>
          <t>止損</t>
        </is>
      </c>
      <c r="K512" s="5">
        <f>(H512-D512)*24</f>
        <v/>
      </c>
      <c r="L512" s="4">
        <f>IF(C512="做多",I512/E512-1,1-I512/E512)-2*參數!$B$7</f>
        <v/>
      </c>
      <c r="M512" s="2" t="inlineStr"/>
      <c r="N512" s="4" t="n">
        <v>0.03393873514802914</v>
      </c>
      <c r="O512" s="4" t="n">
        <v>0.03570662649827622</v>
      </c>
      <c r="P512" s="4" t="n">
        <v>0.008997514523169992</v>
      </c>
      <c r="Q512" s="22" t="n">
        <v>12264318</v>
      </c>
      <c r="R512" s="22" t="n">
        <v>2515105.4931761</v>
      </c>
      <c r="S512" s="4" t="n">
        <v>0.006380959334160607</v>
      </c>
      <c r="T512" s="4" t="n">
        <v>0.05</v>
      </c>
      <c r="U512" s="19" t="n">
        <v>0.3758765172870322</v>
      </c>
      <c r="V512" s="19" t="n">
        <v>0.8161370938950377</v>
      </c>
      <c r="W512" s="4" t="n">
        <v>-0.1298370311881859</v>
      </c>
      <c r="X512" s="4" t="n">
        <v>0.02896765178718996</v>
      </c>
      <c r="Y512" s="4" t="n">
        <v>0.002235755956082386</v>
      </c>
      <c r="Z512" s="4" t="n">
        <v>0.00423375291151884</v>
      </c>
      <c r="AA512" s="4" t="n">
        <v>0.03</v>
      </c>
      <c r="AB512" s="4" t="n">
        <v>0.05</v>
      </c>
      <c r="AC512" s="4">
        <f>(AB512+2*參數!$B$7)/(AA512+AB512)</f>
        <v/>
      </c>
    </row>
    <row r="513">
      <c r="A513" s="2" t="n">
        <v>512</v>
      </c>
      <c r="B513" s="2" t="inlineStr">
        <is>
          <t>PONS_USDT_PERP</t>
        </is>
      </c>
      <c r="C513" s="2" t="inlineStr">
        <is>
          <t>做空</t>
        </is>
      </c>
      <c r="D513" s="7" t="n">
        <v>46292.54166666666</v>
      </c>
      <c r="E513" s="20" t="n">
        <v>0.6106</v>
      </c>
      <c r="F513" s="20" t="n">
        <v>0.592282</v>
      </c>
      <c r="G513" s="20" t="n">
        <v>0.6411300000000001</v>
      </c>
      <c r="H513" s="7" t="n">
        <v>46292.95833333334</v>
      </c>
      <c r="I513" s="20" t="n">
        <v>0.592282</v>
      </c>
      <c r="J513" s="2" t="inlineStr">
        <is>
          <t>止盈</t>
        </is>
      </c>
      <c r="K513" s="5">
        <f>(H513-D513)*24</f>
        <v/>
      </c>
      <c r="L513" s="4">
        <f>IF(C513="做多",I513/E513-1,1-I513/E513)-2*參數!$B$7</f>
        <v/>
      </c>
      <c r="M513" s="2" t="inlineStr"/>
      <c r="N513" s="4" t="n">
        <v>-0.02522349936143031</v>
      </c>
      <c r="O513" s="4" t="n">
        <v>0.02117979336762347</v>
      </c>
      <c r="P513" s="4" t="n">
        <v>-0.04131634519519867</v>
      </c>
      <c r="Q513" s="22" t="n">
        <v>-942762</v>
      </c>
      <c r="R513" s="22" t="n">
        <v>1222535.2831</v>
      </c>
      <c r="S513" s="4" t="n">
        <v>0.03</v>
      </c>
      <c r="T513" s="4" t="n">
        <v>0.03078938748771698</v>
      </c>
      <c r="U513" s="19" t="n">
        <v>4.319358665425859</v>
      </c>
      <c r="V513" s="19" t="n">
        <v>0.7867298578199025</v>
      </c>
      <c r="W513" s="4" t="n">
        <v>0.05130503821348276</v>
      </c>
      <c r="X513" s="4" t="n">
        <v>0.04935388447765832</v>
      </c>
      <c r="Y513" s="4" t="n">
        <v>0.0007266804336848454</v>
      </c>
      <c r="Z513" s="4" t="n">
        <v>-0.001754781261988025</v>
      </c>
      <c r="AA513" s="4" t="n">
        <v>0.03</v>
      </c>
      <c r="AB513" s="4" t="n">
        <v>0.05</v>
      </c>
      <c r="AC513" s="4">
        <f>(AB513+2*參數!$B$7)/(AA513+AB513)</f>
        <v/>
      </c>
    </row>
    <row r="514">
      <c r="A514" s="2" t="n">
        <v>513</v>
      </c>
      <c r="B514" s="2" t="inlineStr">
        <is>
          <t>MARSCOIN_USDT_PERP</t>
        </is>
      </c>
      <c r="C514" s="2" t="inlineStr">
        <is>
          <t>做多</t>
        </is>
      </c>
      <c r="D514" s="7" t="n">
        <v>46292.58333333334</v>
      </c>
      <c r="E514" s="20" t="n">
        <v>0.13033</v>
      </c>
      <c r="F514" s="20" t="n">
        <v>0.1342399</v>
      </c>
      <c r="G514" s="20" t="n">
        <v>0.1238135</v>
      </c>
      <c r="H514" s="7" t="n">
        <v>46292.79166666666</v>
      </c>
      <c r="I514" s="20" t="n">
        <v>0.1342399</v>
      </c>
      <c r="J514" s="2" t="inlineStr">
        <is>
          <t>止盈</t>
        </is>
      </c>
      <c r="K514" s="5">
        <f>(H514-D514)*24</f>
        <v/>
      </c>
      <c r="L514" s="4">
        <f>IF(C514="做多",I514/E514-1,1-I514/E514)-2*參數!$B$7</f>
        <v/>
      </c>
      <c r="M514" s="2" t="inlineStr"/>
      <c r="N514" s="4" t="n">
        <v>0.03906561428685307</v>
      </c>
      <c r="O514" s="4" t="n">
        <v>0.03759311108931272</v>
      </c>
      <c r="P514" s="4" t="n">
        <v>0.002646438847260457</v>
      </c>
      <c r="Q514" s="22" t="n">
        <v>2018715</v>
      </c>
      <c r="R514" s="22" t="n">
        <v>1627167.04759</v>
      </c>
      <c r="S514" s="4" t="n">
        <v>0.03</v>
      </c>
      <c r="T514" s="4" t="n">
        <v>0.02117701219980062</v>
      </c>
      <c r="U514" s="19" t="n">
        <v>0.7605143988982556</v>
      </c>
      <c r="V514" s="19" t="n">
        <v>0.780864197530864</v>
      </c>
      <c r="W514" s="4" t="n">
        <v>0.06004854116238523</v>
      </c>
      <c r="X514" s="4" t="n">
        <v>0.1235344827586207</v>
      </c>
      <c r="Y514" s="4" t="n">
        <v>0.001927756008963666</v>
      </c>
      <c r="Z514" s="4" t="n">
        <v>0.003399438038622637</v>
      </c>
      <c r="AA514" s="4" t="n">
        <v>0.03</v>
      </c>
      <c r="AB514" s="4" t="n">
        <v>0.05</v>
      </c>
      <c r="AC514" s="4">
        <f>(AB514+2*參數!$B$7)/(AA514+AB514)</f>
        <v/>
      </c>
    </row>
    <row r="515">
      <c r="A515" s="2" t="n">
        <v>514</v>
      </c>
      <c r="B515" s="2" t="inlineStr">
        <is>
          <t>USELESS_USDT_PERP</t>
        </is>
      </c>
      <c r="C515" s="2" t="inlineStr">
        <is>
          <t>做多</t>
        </is>
      </c>
      <c r="D515" s="7" t="n">
        <v>46292.58333333334</v>
      </c>
      <c r="E515" s="20" t="n">
        <v>0.28713</v>
      </c>
      <c r="F515" s="20" t="n">
        <v>0.2957439</v>
      </c>
      <c r="G515" s="20" t="n">
        <v>0.2727735</v>
      </c>
      <c r="H515" s="7" t="n">
        <v>46292.83333333334</v>
      </c>
      <c r="I515" s="20" t="n">
        <v>0.2957439</v>
      </c>
      <c r="J515" s="2" t="inlineStr">
        <is>
          <t>止盈</t>
        </is>
      </c>
      <c r="K515" s="5">
        <f>(H515-D515)*24</f>
        <v/>
      </c>
      <c r="L515" s="4">
        <f>IF(C515="做多",I515/E515-1,1-I515/E515)-2*參數!$B$7</f>
        <v/>
      </c>
      <c r="M515" s="2" t="inlineStr"/>
      <c r="N515" s="4" t="n">
        <v>0.03548631396732671</v>
      </c>
      <c r="O515" s="4" t="n">
        <v>0.02674984390258296</v>
      </c>
      <c r="P515" s="4" t="n">
        <v>0.006179772327866262</v>
      </c>
      <c r="Q515" s="22" t="n">
        <v>2523766</v>
      </c>
      <c r="R515" s="22" t="n">
        <v>2397788.34765</v>
      </c>
      <c r="S515" s="4" t="n">
        <v>0.03</v>
      </c>
      <c r="T515" s="4" t="n">
        <v>0.004562393340995285</v>
      </c>
      <c r="U515" s="19" t="n">
        <v>2.862832289246734</v>
      </c>
      <c r="V515" s="19" t="n">
        <v>0.8312788906009232</v>
      </c>
      <c r="W515" s="4" t="n">
        <v>-0.02456374936047834</v>
      </c>
      <c r="X515" s="4" t="n">
        <v>0.01671328918947634</v>
      </c>
      <c r="Y515" s="4" t="n">
        <v>0.001927756008963666</v>
      </c>
      <c r="Z515" s="4" t="n">
        <v>0.003399438038622637</v>
      </c>
      <c r="AA515" s="4" t="n">
        <v>0.03</v>
      </c>
      <c r="AB515" s="4" t="n">
        <v>0.05</v>
      </c>
      <c r="AC515" s="4">
        <f>(AB515+2*參數!$B$7)/(AA515+AB515)</f>
        <v/>
      </c>
    </row>
    <row r="516">
      <c r="A516" s="2" t="n">
        <v>515</v>
      </c>
      <c r="B516" s="2" t="inlineStr">
        <is>
          <t>BR_USDT_PERP</t>
        </is>
      </c>
      <c r="C516" s="2" t="inlineStr">
        <is>
          <t>做空</t>
        </is>
      </c>
      <c r="D516" s="7" t="n">
        <v>46292.625</v>
      </c>
      <c r="E516" s="20" t="n">
        <v>0.92489</v>
      </c>
      <c r="F516" s="20" t="n">
        <v>0.8971433</v>
      </c>
      <c r="G516" s="20" t="n">
        <v>0.9711345</v>
      </c>
      <c r="H516" s="7" t="n">
        <v>46292.66666666666</v>
      </c>
      <c r="I516" s="20" t="n">
        <v>0.8971433</v>
      </c>
      <c r="J516" s="2" t="inlineStr">
        <is>
          <t>止盈</t>
        </is>
      </c>
      <c r="K516" s="5">
        <f>(H516-D516)*24</f>
        <v/>
      </c>
      <c r="L516" s="4">
        <f>IF(C516="做多",I516/E516-1,1-I516/E516)-2*參數!$B$7</f>
        <v/>
      </c>
      <c r="M516" s="2" t="inlineStr"/>
      <c r="N516" s="4" t="n">
        <v>-0.02078304323889391</v>
      </c>
      <c r="O516" s="4" t="n">
        <v>0.04122733918557688</v>
      </c>
      <c r="P516" s="4" t="n">
        <v>-0.05228523766389737</v>
      </c>
      <c r="Q516" s="22" t="n">
        <v>-502895</v>
      </c>
      <c r="R516" s="22" t="n">
        <v>2521278.70328</v>
      </c>
      <c r="S516" s="4" t="n">
        <v>0.03</v>
      </c>
      <c r="T516" s="4" t="n">
        <v>0</v>
      </c>
      <c r="U516" s="19" t="n">
        <v>0.3989953284247763</v>
      </c>
      <c r="V516" s="19" t="n">
        <v>0.8492661642205468</v>
      </c>
      <c r="W516" s="4" t="n">
        <v>0.07865873016900804</v>
      </c>
      <c r="X516" s="4" t="n">
        <v>-0.08425359311622227</v>
      </c>
      <c r="Y516" s="4" t="n">
        <v>-0.0002664064960560264</v>
      </c>
      <c r="Z516" s="4" t="n">
        <v>-0.003461280341139128</v>
      </c>
      <c r="AA516" s="4" t="n">
        <v>0.03</v>
      </c>
      <c r="AB516" s="4" t="n">
        <v>0.05</v>
      </c>
      <c r="AC516" s="4">
        <f>(AB516+2*參數!$B$7)/(AA516+AB516)</f>
        <v/>
      </c>
    </row>
    <row r="517">
      <c r="A517" s="2" t="n">
        <v>516</v>
      </c>
      <c r="B517" s="2" t="inlineStr">
        <is>
          <t>WLD_USDT_PERP</t>
        </is>
      </c>
      <c r="C517" s="2" t="inlineStr">
        <is>
          <t>做多</t>
        </is>
      </c>
      <c r="D517" s="7" t="n">
        <v>46292.625</v>
      </c>
      <c r="E517" s="20" t="n">
        <v>0.5365</v>
      </c>
      <c r="F517" s="20" t="n">
        <v>0.5525949999999999</v>
      </c>
      <c r="G517" s="20" t="n">
        <v>0.509675</v>
      </c>
      <c r="H517" s="7" t="n">
        <v>46292.70833333334</v>
      </c>
      <c r="I517" s="20" t="n">
        <v>0.5525949999999999</v>
      </c>
      <c r="J517" s="2" t="inlineStr">
        <is>
          <t>止盈</t>
        </is>
      </c>
      <c r="K517" s="5">
        <f>(H517-D517)*24</f>
        <v/>
      </c>
      <c r="L517" s="4">
        <f>IF(C517="做多",I517/E517-1,1-I517/E517)-2*參數!$B$7</f>
        <v/>
      </c>
      <c r="M517" s="2" t="inlineStr"/>
      <c r="N517" s="4" t="n">
        <v>0.02326912073240517</v>
      </c>
      <c r="O517" s="4" t="n">
        <v>0.02198007141794829</v>
      </c>
      <c r="P517" s="4" t="n">
        <v>0.02952323383514188</v>
      </c>
      <c r="Q517" s="22" t="n">
        <v>670390</v>
      </c>
      <c r="R517" s="22" t="n">
        <v>2477529.9838</v>
      </c>
      <c r="S517" s="4" t="n">
        <v>0.03</v>
      </c>
      <c r="T517" s="4" t="n">
        <v>0.008760484622553411</v>
      </c>
      <c r="U517" s="19" t="n">
        <v>1.73968423504269</v>
      </c>
      <c r="V517" s="19" t="n">
        <v>0.6578947368421023</v>
      </c>
      <c r="W517" s="4" t="n">
        <v>0.1686823623721312</v>
      </c>
      <c r="X517" s="4" t="n">
        <v>0.1179412377578661</v>
      </c>
      <c r="Y517" s="4" t="n">
        <v>0.0002664064960560264</v>
      </c>
      <c r="Z517" s="4" t="n">
        <v>0.003461280341139128</v>
      </c>
      <c r="AA517" s="4" t="n">
        <v>0.03</v>
      </c>
      <c r="AB517" s="4" t="n">
        <v>0.05</v>
      </c>
      <c r="AC517" s="4">
        <f>(AB517+2*參數!$B$7)/(AA517+AB517)</f>
        <v/>
      </c>
    </row>
    <row r="518">
      <c r="A518" s="2" t="n">
        <v>517</v>
      </c>
      <c r="B518" s="2" t="inlineStr">
        <is>
          <t>DASH_USDT_PERP</t>
        </is>
      </c>
      <c r="C518" s="2" t="inlineStr">
        <is>
          <t>做空</t>
        </is>
      </c>
      <c r="D518" s="7" t="n">
        <v>46292.79166666666</v>
      </c>
      <c r="E518" s="20" t="n">
        <v>69.26000000000001</v>
      </c>
      <c r="F518" s="20" t="n">
        <v>67.18220000000001</v>
      </c>
      <c r="G518" s="20" t="n">
        <v>72.72300000000001</v>
      </c>
      <c r="H518" s="7" t="n">
        <v>46293</v>
      </c>
      <c r="I518" s="20" t="n">
        <v>67.18220000000001</v>
      </c>
      <c r="J518" s="2" t="inlineStr">
        <is>
          <t>止盈</t>
        </is>
      </c>
      <c r="K518" s="5">
        <f>(H518-D518)*24</f>
        <v/>
      </c>
      <c r="L518" s="4">
        <f>IF(C518="做多",I518/E518-1,1-I518/E518)-2*參數!$B$7</f>
        <v/>
      </c>
      <c r="M518" s="2" t="inlineStr"/>
      <c r="N518" s="4" t="n">
        <v>-0.0330866955186373</v>
      </c>
      <c r="O518" s="4" t="n">
        <v>0.02348387818705934</v>
      </c>
      <c r="P518" s="4" t="n">
        <v>-0.03146413089078448</v>
      </c>
      <c r="Q518" s="22" t="n">
        <v>-4305.707999999995</v>
      </c>
      <c r="R518" s="22" t="n">
        <v>2266200.10951</v>
      </c>
      <c r="S518" s="4" t="n">
        <v>0.03</v>
      </c>
      <c r="T518" s="4" t="n">
        <v>0</v>
      </c>
      <c r="U518" s="19" t="n">
        <v>1.95150794420327</v>
      </c>
      <c r="V518" s="19" t="n">
        <v>0.8173652694610775</v>
      </c>
      <c r="W518" s="4" t="n">
        <v>-0.08089211835191268</v>
      </c>
      <c r="X518" s="4" t="n">
        <v>-0.05082688514641198</v>
      </c>
      <c r="Y518" s="4" t="n">
        <v>0.0008408873835095143</v>
      </c>
      <c r="Z518" s="4" t="n">
        <v>-0.005806640650586337</v>
      </c>
      <c r="AA518" s="4" t="n">
        <v>0.03</v>
      </c>
      <c r="AB518" s="4" t="n">
        <v>0.05</v>
      </c>
      <c r="AC518" s="4">
        <f>(AB518+2*參數!$B$7)/(AA518+AB518)</f>
        <v/>
      </c>
    </row>
    <row r="519">
      <c r="A519" s="2" t="n">
        <v>518</v>
      </c>
      <c r="B519" s="2" t="inlineStr">
        <is>
          <t>BR_USDT_PERP</t>
        </is>
      </c>
      <c r="C519" s="2" t="inlineStr">
        <is>
          <t>做空</t>
        </is>
      </c>
      <c r="D519" s="7" t="n">
        <v>46292.83333333334</v>
      </c>
      <c r="E519" s="20" t="n">
        <v>0.90447</v>
      </c>
      <c r="F519" s="20" t="n">
        <v>0.8773358999999999</v>
      </c>
      <c r="G519" s="20" t="n">
        <v>0.9496935000000001</v>
      </c>
      <c r="H519" s="7" t="n">
        <v>46293.20833333334</v>
      </c>
      <c r="I519" s="20" t="n">
        <v>0.8773358999999999</v>
      </c>
      <c r="J519" s="2" t="inlineStr">
        <is>
          <t>止盈</t>
        </is>
      </c>
      <c r="K519" s="5">
        <f>(H519-D519)*24</f>
        <v/>
      </c>
      <c r="L519" s="4">
        <f>IF(C519="做多",I519/E519-1,1-I519/E519)-2*參數!$B$7</f>
        <v/>
      </c>
      <c r="M519" s="2" t="inlineStr"/>
      <c r="N519" s="4" t="n">
        <v>-0.03339674261531222</v>
      </c>
      <c r="O519" s="4" t="n">
        <v>0.04348658586170129</v>
      </c>
      <c r="P519" s="4" t="n">
        <v>-0.04554268422982666</v>
      </c>
      <c r="Q519" s="22" t="n">
        <v>-566251</v>
      </c>
      <c r="R519" s="22" t="n">
        <v>2080759.35901</v>
      </c>
      <c r="S519" s="4" t="n">
        <v>0.03</v>
      </c>
      <c r="T519" s="4" t="n">
        <v>0.02665649496390143</v>
      </c>
      <c r="U519" s="19" t="n">
        <v>0.5854506656431276</v>
      </c>
      <c r="V519" s="19" t="n">
        <v>1</v>
      </c>
      <c r="W519" s="4" t="n">
        <v>0.08904711268211363</v>
      </c>
      <c r="X519" s="4" t="n">
        <v>0.07496650541538397</v>
      </c>
      <c r="Y519" s="4" t="n">
        <v>-0.0002192390518973575</v>
      </c>
      <c r="Z519" s="4" t="n">
        <v>-0.005583129785429852</v>
      </c>
      <c r="AA519" s="4" t="n">
        <v>0.03</v>
      </c>
      <c r="AB519" s="4" t="n">
        <v>0.05</v>
      </c>
      <c r="AC519" s="4">
        <f>(AB519+2*參數!$B$7)/(AA519+AB519)</f>
        <v/>
      </c>
    </row>
    <row r="520">
      <c r="A520" s="2" t="n">
        <v>519</v>
      </c>
      <c r="B520" s="2" t="inlineStr">
        <is>
          <t>MARSCOIN_USDT_PERP</t>
        </is>
      </c>
      <c r="C520" s="2" t="inlineStr">
        <is>
          <t>做空</t>
        </is>
      </c>
      <c r="D520" s="7" t="n">
        <v>46292.875</v>
      </c>
      <c r="E520" s="20" t="n">
        <v>0.1329</v>
      </c>
      <c r="F520" s="20" t="n">
        <v>0.128913</v>
      </c>
      <c r="G520" s="20" t="n">
        <v>0.139545</v>
      </c>
      <c r="H520" s="7" t="n">
        <v>46292.91666666666</v>
      </c>
      <c r="I520" s="20" t="n">
        <v>0.128913</v>
      </c>
      <c r="J520" s="2" t="inlineStr">
        <is>
          <t>止盈</t>
        </is>
      </c>
      <c r="K520" s="5">
        <f>(H520-D520)*24</f>
        <v/>
      </c>
      <c r="L520" s="4">
        <f>IF(C520="做多",I520/E520-1,1-I520/E520)-2*參數!$B$7</f>
        <v/>
      </c>
      <c r="M520" s="2" t="inlineStr"/>
      <c r="N520" s="4" t="n">
        <v>-0.0268726660320715</v>
      </c>
      <c r="O520" s="4" t="n">
        <v>0.03600173980988733</v>
      </c>
      <c r="P520" s="4" t="n">
        <v>-0.01047231518951064</v>
      </c>
      <c r="Q520" s="22" t="n">
        <v>-594581</v>
      </c>
      <c r="R520" s="22" t="n">
        <v>2046985.93948</v>
      </c>
      <c r="S520" s="4" t="n">
        <v>0.03</v>
      </c>
      <c r="T520" s="4" t="n">
        <v>0</v>
      </c>
      <c r="U520" s="19" t="n">
        <v>1.160564628116445</v>
      </c>
      <c r="V520" s="19" t="n">
        <v>0.8773291925465861</v>
      </c>
      <c r="W520" s="4" t="n">
        <v>-0.08181764901244448</v>
      </c>
      <c r="X520" s="4" t="n">
        <v>-0.164257555847569</v>
      </c>
      <c r="Y520" s="4" t="n">
        <v>0.0012137996052205</v>
      </c>
      <c r="Z520" s="4" t="n">
        <v>-0.003955374154301472</v>
      </c>
      <c r="AA520" s="4" t="n">
        <v>0.03</v>
      </c>
      <c r="AB520" s="4" t="n">
        <v>0.05</v>
      </c>
      <c r="AC520" s="4">
        <f>(AB520+2*參數!$B$7)/(AA520+AB520)</f>
        <v/>
      </c>
    </row>
    <row r="521">
      <c r="A521" s="2" t="n">
        <v>520</v>
      </c>
      <c r="B521" s="2" t="inlineStr">
        <is>
          <t>MARSCOIN_USDT_PERP</t>
        </is>
      </c>
      <c r="C521" s="2" t="inlineStr">
        <is>
          <t>做空</t>
        </is>
      </c>
      <c r="D521" s="7" t="n">
        <v>46292.95833333334</v>
      </c>
      <c r="E521" s="20" t="n">
        <v>0.12733</v>
      </c>
      <c r="F521" s="20" t="n">
        <v>0.1235101</v>
      </c>
      <c r="G521" s="20" t="n">
        <v>0.1336965</v>
      </c>
      <c r="H521" s="7" t="n">
        <v>46293.29166666666</v>
      </c>
      <c r="I521" s="20" t="n">
        <v>0.1235101</v>
      </c>
      <c r="J521" s="2" t="inlineStr">
        <is>
          <t>止盈</t>
        </is>
      </c>
      <c r="K521" s="5">
        <f>(H521-D521)*24</f>
        <v/>
      </c>
      <c r="L521" s="4">
        <f>IF(C521="做多",I521/E521-1,1-I521/E521)-2*參數!$B$7</f>
        <v/>
      </c>
      <c r="M521" s="2" t="inlineStr"/>
      <c r="N521" s="4" t="n">
        <v>-0.02883075280298986</v>
      </c>
      <c r="O521" s="4" t="n">
        <v>0.03839744213990203</v>
      </c>
      <c r="P521" s="4" t="n">
        <v>-0.04437756580083008</v>
      </c>
      <c r="Q521" s="22" t="n">
        <v>-1423227</v>
      </c>
      <c r="R521" s="22" t="n">
        <v>1989071.19883</v>
      </c>
      <c r="S521" s="4" t="n">
        <v>0.03</v>
      </c>
      <c r="T521" s="4" t="n">
        <v>0.01437210398177968</v>
      </c>
      <c r="U521" s="19" t="n">
        <v>0.8197442992713388</v>
      </c>
      <c r="V521" s="19" t="n">
        <v>0.6672325976230906</v>
      </c>
      <c r="W521" s="4" t="n">
        <v>-0.03652714157676185</v>
      </c>
      <c r="X521" s="4" t="n">
        <v>-0.003783996846669302</v>
      </c>
      <c r="Y521" s="4" t="n">
        <v>0.005928800273908408</v>
      </c>
      <c r="Z521" s="4" t="n">
        <v>3.775541568284968e-05</v>
      </c>
      <c r="AA521" s="4" t="n">
        <v>0.03</v>
      </c>
      <c r="AB521" s="4" t="n">
        <v>0.05</v>
      </c>
      <c r="AC521" s="4">
        <f>(AB521+2*參數!$B$7)/(AA521+AB521)</f>
        <v/>
      </c>
    </row>
    <row r="522">
      <c r="A522" s="2" t="n">
        <v>521</v>
      </c>
      <c r="B522" s="2" t="inlineStr">
        <is>
          <t>QNT_USDT_PERP</t>
        </is>
      </c>
      <c r="C522" s="2" t="inlineStr">
        <is>
          <t>做多</t>
        </is>
      </c>
      <c r="D522" s="7" t="n">
        <v>46292.95833333334</v>
      </c>
      <c r="E522" s="20" t="n">
        <v>167.24</v>
      </c>
      <c r="F522" s="20" t="n">
        <v>172.2572</v>
      </c>
      <c r="G522" s="20" t="n">
        <v>158.878</v>
      </c>
      <c r="H522" s="7" t="n">
        <v>46293</v>
      </c>
      <c r="I522" s="20" t="n">
        <v>172.2572</v>
      </c>
      <c r="J522" s="2" t="inlineStr">
        <is>
          <t>止盈</t>
        </is>
      </c>
      <c r="K522" s="5">
        <f>(H522-D522)*24</f>
        <v/>
      </c>
      <c r="L522" s="4">
        <f>IF(C522="做多",I522/E522-1,1-I522/E522)-2*參數!$B$7</f>
        <v/>
      </c>
      <c r="M522" s="2" t="inlineStr"/>
      <c r="N522" s="4" t="n">
        <v>0.03005666420300557</v>
      </c>
      <c r="O522" s="4" t="n">
        <v>0.06471721827041212</v>
      </c>
      <c r="P522" s="4" t="n">
        <v>0.03595553642166704</v>
      </c>
      <c r="Q522" s="22" t="n">
        <v>16499.80000000002</v>
      </c>
      <c r="R522" s="22" t="n">
        <v>21235155.248</v>
      </c>
      <c r="S522" s="4" t="n">
        <v>0.03</v>
      </c>
      <c r="T522" s="4" t="n">
        <v>0</v>
      </c>
      <c r="U522" s="19" t="n">
        <v>1.150544864223106</v>
      </c>
      <c r="V522" s="19" t="n">
        <v>0.6810126582278495</v>
      </c>
      <c r="W522" s="4" t="n">
        <v>0.6133030943508346</v>
      </c>
      <c r="X522" s="4" t="n">
        <v>0.5108862589213119</v>
      </c>
      <c r="Y522" s="4" t="n">
        <v>-0.005928800273908408</v>
      </c>
      <c r="Z522" s="4" t="n">
        <v>-3.775541568284968e-05</v>
      </c>
      <c r="AA522" s="4" t="n">
        <v>0.03</v>
      </c>
      <c r="AB522" s="4" t="n">
        <v>0.05</v>
      </c>
      <c r="AC522" s="4">
        <f>(AB522+2*參數!$B$7)/(AA522+AB522)</f>
        <v/>
      </c>
    </row>
    <row r="523">
      <c r="A523" s="2" t="n">
        <v>522</v>
      </c>
      <c r="B523" s="2" t="inlineStr">
        <is>
          <t>GRASS_USDT_PERP</t>
        </is>
      </c>
      <c r="C523" s="2" t="inlineStr">
        <is>
          <t>做多</t>
        </is>
      </c>
      <c r="D523" s="7" t="n">
        <v>46293.04166666666</v>
      </c>
      <c r="E523" s="20" t="n">
        <v>0.6299</v>
      </c>
      <c r="F523" s="20" t="n">
        <v>0.6487970000000001</v>
      </c>
      <c r="G523" s="20" t="n">
        <v>0.598405</v>
      </c>
      <c r="H523" s="7" t="n">
        <v>46293.25</v>
      </c>
      <c r="I523" s="20" t="n">
        <v>0.6487970000000001</v>
      </c>
      <c r="J523" s="2" t="inlineStr">
        <is>
          <t>止盈</t>
        </is>
      </c>
      <c r="K523" s="5">
        <f>(H523-D523)*24</f>
        <v/>
      </c>
      <c r="L523" s="4">
        <f>IF(C523="做多",I523/E523-1,1-I523/E523)-2*參數!$B$7</f>
        <v/>
      </c>
      <c r="M523" s="2" t="inlineStr"/>
      <c r="N523" s="4" t="n">
        <v>0.02489424015619912</v>
      </c>
      <c r="O523" s="4" t="n">
        <v>0.03336601129446514</v>
      </c>
      <c r="P523" s="4" t="n">
        <v>0.05605525890035468</v>
      </c>
      <c r="Q523" s="22" t="n">
        <v>623056</v>
      </c>
      <c r="R523" s="22" t="n">
        <v>1385022.098</v>
      </c>
      <c r="S523" s="4" t="n">
        <v>0.03</v>
      </c>
      <c r="T523" s="4" t="n">
        <v>0.01333545007143988</v>
      </c>
      <c r="U523" s="19" t="n">
        <v>1.55793311218756</v>
      </c>
      <c r="V523" s="19" t="n">
        <v>0.8089887640449445</v>
      </c>
      <c r="W523" s="4" t="n">
        <v>0.2502381784115089</v>
      </c>
      <c r="X523" s="4" t="n">
        <v>0.1889392223480557</v>
      </c>
      <c r="Y523" s="4" t="n">
        <v>-0.0003802101223543408</v>
      </c>
      <c r="Z523" s="4" t="n">
        <v>-0.001636575053992062</v>
      </c>
      <c r="AA523" s="4" t="n">
        <v>0.03</v>
      </c>
      <c r="AB523" s="4" t="n">
        <v>0.05</v>
      </c>
      <c r="AC523" s="4">
        <f>(AB523+2*參數!$B$7)/(AA523+AB523)</f>
        <v/>
      </c>
    </row>
    <row r="524">
      <c r="A524" s="2" t="n">
        <v>523</v>
      </c>
      <c r="B524" s="2" t="inlineStr">
        <is>
          <t>NEAR_USDT_PERP</t>
        </is>
      </c>
      <c r="C524" s="2" t="inlineStr">
        <is>
          <t>做多</t>
        </is>
      </c>
      <c r="D524" s="7" t="n">
        <v>46293.125</v>
      </c>
      <c r="E524" s="20" t="n">
        <v>5.451</v>
      </c>
      <c r="F524" s="20" t="n">
        <v>5.614529999999999</v>
      </c>
      <c r="G524" s="20" t="n">
        <v>5.17845</v>
      </c>
      <c r="H524" s="7" t="n">
        <v>46293.54166666666</v>
      </c>
      <c r="I524" s="20" t="n">
        <v>5.17845</v>
      </c>
      <c r="J524" s="2" t="inlineStr">
        <is>
          <t>止損</t>
        </is>
      </c>
      <c r="K524" s="5">
        <f>(H524-D524)*24</f>
        <v/>
      </c>
      <c r="L524" s="4">
        <f>IF(C524="做多",I524/E524-1,1-I524/E524)-2*參數!$B$7</f>
        <v/>
      </c>
      <c r="M524" s="2" t="inlineStr"/>
      <c r="N524" s="4" t="n">
        <v>0.04046573773620921</v>
      </c>
      <c r="O524" s="4" t="n">
        <v>0.02243034377642237</v>
      </c>
      <c r="P524" s="4" t="n">
        <v>0.04570524195482228</v>
      </c>
      <c r="Q524" s="22" t="n">
        <v>340137</v>
      </c>
      <c r="R524" s="22" t="n">
        <v>24648759.998</v>
      </c>
      <c r="S524" s="4" t="n">
        <v>0.02348192992111531</v>
      </c>
      <c r="T524" s="4" t="n">
        <v>0.05</v>
      </c>
      <c r="U524" s="19" t="n">
        <v>1.445182227769576</v>
      </c>
      <c r="V524" s="19" t="n">
        <v>0.90987124463519</v>
      </c>
      <c r="W524" s="4" t="n">
        <v>0.1388279536195549</v>
      </c>
      <c r="X524" s="4" t="n">
        <v>0.1313823163138232</v>
      </c>
      <c r="Y524" s="4" t="n">
        <v>0.002880470528113799</v>
      </c>
      <c r="Z524" s="4" t="n">
        <v>0.002338659758375883</v>
      </c>
      <c r="AA524" s="4" t="n">
        <v>0.03</v>
      </c>
      <c r="AB524" s="4" t="n">
        <v>0.05</v>
      </c>
      <c r="AC524" s="4">
        <f>(AB524+2*參數!$B$7)/(AA524+AB524)</f>
        <v/>
      </c>
    </row>
    <row r="525">
      <c r="A525" s="2" t="n">
        <v>524</v>
      </c>
      <c r="B525" s="2" t="inlineStr">
        <is>
          <t>USELESS_USDT_PERP</t>
        </is>
      </c>
      <c r="C525" s="2" t="inlineStr">
        <is>
          <t>做多</t>
        </is>
      </c>
      <c r="D525" s="7" t="n">
        <v>46293.125</v>
      </c>
      <c r="E525" s="20" t="n">
        <v>0.3012</v>
      </c>
      <c r="F525" s="20" t="n">
        <v>0.310236</v>
      </c>
      <c r="G525" s="20" t="n">
        <v>0.28614</v>
      </c>
      <c r="H525" s="7" t="n">
        <v>46293.29166666666</v>
      </c>
      <c r="I525" s="20" t="n">
        <v>0.28614</v>
      </c>
      <c r="J525" s="2" t="inlineStr">
        <is>
          <t>止損</t>
        </is>
      </c>
      <c r="K525" s="5">
        <f>(H525-D525)*24</f>
        <v/>
      </c>
      <c r="L525" s="4">
        <f>IF(C525="做多",I525/E525-1,1-I525/E525)-2*參數!$B$7</f>
        <v/>
      </c>
      <c r="M525" s="2" t="inlineStr"/>
      <c r="N525" s="4" t="n">
        <v>0.04329754069968828</v>
      </c>
      <c r="O525" s="4" t="n">
        <v>0.02694444768606363</v>
      </c>
      <c r="P525" s="4" t="n">
        <v>0.04173511844030275</v>
      </c>
      <c r="Q525" s="22" t="n">
        <v>1895547</v>
      </c>
      <c r="R525" s="22" t="n">
        <v>2804354.80042</v>
      </c>
      <c r="S525" s="4" t="n">
        <v>0.0006640106241699861</v>
      </c>
      <c r="T525" s="4" t="n">
        <v>0.05</v>
      </c>
      <c r="U525" s="19" t="n">
        <v>2.038170492256046</v>
      </c>
      <c r="V525" s="19" t="n">
        <v>0.9361111111111129</v>
      </c>
      <c r="W525" s="4" t="n">
        <v>0.0420245166365858</v>
      </c>
      <c r="X525" s="4" t="n">
        <v>0.06265876375952573</v>
      </c>
      <c r="Y525" s="4" t="n">
        <v>0.002880470528113799</v>
      </c>
      <c r="Z525" s="4" t="n">
        <v>0.002338659758375883</v>
      </c>
      <c r="AA525" s="4" t="n">
        <v>0.03</v>
      </c>
      <c r="AB525" s="4" t="n">
        <v>0.05</v>
      </c>
      <c r="AC525" s="4">
        <f>(AB525+2*參數!$B$7)/(AA525+AB525)</f>
        <v/>
      </c>
    </row>
    <row r="526">
      <c r="A526" s="2" t="n">
        <v>525</v>
      </c>
      <c r="B526" s="2" t="inlineStr">
        <is>
          <t>PYTH_USDT_PERP</t>
        </is>
      </c>
      <c r="C526" s="2" t="inlineStr">
        <is>
          <t>做空</t>
        </is>
      </c>
      <c r="D526" s="7" t="n">
        <v>46293.20833333334</v>
      </c>
      <c r="E526" s="20" t="n">
        <v>0.08361</v>
      </c>
      <c r="F526" s="20" t="n">
        <v>0.0811017</v>
      </c>
      <c r="G526" s="20" t="n">
        <v>0.08779050000000001</v>
      </c>
      <c r="H526" s="7" t="n">
        <v>46293.54166666666</v>
      </c>
      <c r="I526" s="20" t="n">
        <v>0.0811017</v>
      </c>
      <c r="J526" s="2" t="inlineStr">
        <is>
          <t>止盈</t>
        </is>
      </c>
      <c r="K526" s="5">
        <f>(H526-D526)*24</f>
        <v/>
      </c>
      <c r="L526" s="4">
        <f>IF(C526="做多",I526/E526-1,1-I526/E526)-2*參數!$B$7</f>
        <v/>
      </c>
      <c r="M526" s="2" t="inlineStr"/>
      <c r="N526" s="4" t="n">
        <v>-0.02745143654763293</v>
      </c>
      <c r="O526" s="4" t="n">
        <v>0.02629803311028665</v>
      </c>
      <c r="P526" s="4" t="n">
        <v>-0.01054425391415492</v>
      </c>
      <c r="Q526" s="22" t="n">
        <v>-668415</v>
      </c>
      <c r="R526" s="22" t="n">
        <v>1915212.90539</v>
      </c>
      <c r="S526" s="4" t="n">
        <v>0.03</v>
      </c>
      <c r="T526" s="4" t="n">
        <v>0.01411314436072231</v>
      </c>
      <c r="U526" s="19" t="n">
        <v>0.5427423634880344</v>
      </c>
      <c r="V526" s="19" t="n">
        <v>0.9646643109540626</v>
      </c>
      <c r="W526" s="4" t="n">
        <v>-0.1425049841967825</v>
      </c>
      <c r="X526" s="4" t="n">
        <v>-0.06754341164453526</v>
      </c>
      <c r="Y526" s="4" t="n">
        <v>0.002230308583087037</v>
      </c>
      <c r="Z526" s="4" t="n">
        <v>0.001173363842960184</v>
      </c>
      <c r="AA526" s="4" t="n">
        <v>0.03</v>
      </c>
      <c r="AB526" s="4" t="n">
        <v>0.05</v>
      </c>
      <c r="AC526" s="4">
        <f>(AB526+2*參數!$B$7)/(AA526+AB526)</f>
        <v/>
      </c>
    </row>
    <row r="527">
      <c r="A527" s="2" t="n">
        <v>526</v>
      </c>
      <c r="B527" s="2" t="inlineStr">
        <is>
          <t>XPL_USDT_PERP</t>
        </is>
      </c>
      <c r="C527" s="2" t="inlineStr">
        <is>
          <t>做空</t>
        </is>
      </c>
      <c r="D527" s="7" t="n">
        <v>46293.41666666666</v>
      </c>
      <c r="E527" s="20" t="n">
        <v>0.1037</v>
      </c>
      <c r="F527" s="20" t="n">
        <v>0.100589</v>
      </c>
      <c r="G527" s="20" t="n">
        <v>0.108885</v>
      </c>
      <c r="H527" s="7" t="n">
        <v>46293.75</v>
      </c>
      <c r="I527" s="20" t="n">
        <v>0.100589</v>
      </c>
      <c r="J527" s="2" t="inlineStr">
        <is>
          <t>止盈</t>
        </is>
      </c>
      <c r="K527" s="5">
        <f>(H527-D527)*24</f>
        <v/>
      </c>
      <c r="L527" s="4">
        <f>IF(C527="做多",I527/E527-1,1-I527/E527)-2*參數!$B$7</f>
        <v/>
      </c>
      <c r="M527" s="2" t="inlineStr"/>
      <c r="N527" s="4" t="n">
        <v>-0.03624535315985133</v>
      </c>
      <c r="O527" s="4" t="n">
        <v>0.02667402259457712</v>
      </c>
      <c r="P527" s="4" t="n">
        <v>-0.03932558247255546</v>
      </c>
      <c r="Q527" s="22" t="n">
        <v>-1175792</v>
      </c>
      <c r="R527" s="22" t="n">
        <v>1329700.8207</v>
      </c>
      <c r="S527" s="4" t="n">
        <v>0.03</v>
      </c>
      <c r="T527" s="4" t="n">
        <v>0.025072324011572</v>
      </c>
      <c r="U527" s="19" t="n">
        <v>1.745677417321254</v>
      </c>
      <c r="V527" s="19" t="n">
        <v>1</v>
      </c>
      <c r="W527" s="4" t="n">
        <v>0.03928108208263836</v>
      </c>
      <c r="X527" s="4" t="n">
        <v>0.06660666066606669</v>
      </c>
      <c r="Y527" s="4" t="n">
        <v>0.00525495885458771</v>
      </c>
      <c r="Z527" s="4" t="n">
        <v>0.01072361312397441</v>
      </c>
      <c r="AA527" s="4" t="n">
        <v>0.03</v>
      </c>
      <c r="AB527" s="4" t="n">
        <v>0.05</v>
      </c>
      <c r="AC527" s="4">
        <f>(AB527+2*參數!$B$7)/(AA527+AB527)</f>
        <v/>
      </c>
    </row>
    <row r="528">
      <c r="A528" s="2" t="n">
        <v>527</v>
      </c>
      <c r="B528" s="2" t="inlineStr">
        <is>
          <t>PENGU_USDT_PERP</t>
        </is>
      </c>
      <c r="C528" s="2" t="inlineStr">
        <is>
          <t>做空</t>
        </is>
      </c>
      <c r="D528" s="7" t="n">
        <v>46293.45833333334</v>
      </c>
      <c r="E528" s="20" t="n">
        <v>0.009993999999999999</v>
      </c>
      <c r="F528" s="20" t="n">
        <v>0.009694179999999998</v>
      </c>
      <c r="G528" s="20" t="n">
        <v>0.0104937</v>
      </c>
      <c r="H528" s="7" t="n">
        <v>46293.54166666666</v>
      </c>
      <c r="I528" s="20" t="n">
        <v>0.009694179999999998</v>
      </c>
      <c r="J528" s="2" t="inlineStr">
        <is>
          <t>止盈</t>
        </is>
      </c>
      <c r="K528" s="5">
        <f>(H528-D528)*24</f>
        <v/>
      </c>
      <c r="L528" s="4">
        <f>IF(C528="做多",I528/E528-1,1-I528/E528)-2*參數!$B$7</f>
        <v/>
      </c>
      <c r="M528" s="2" t="inlineStr"/>
      <c r="N528" s="4" t="n">
        <v>-0.02038815918447356</v>
      </c>
      <c r="O528" s="4" t="n">
        <v>0.0220208885687724</v>
      </c>
      <c r="P528" s="4" t="n">
        <v>-0.0163821484284653</v>
      </c>
      <c r="Q528" s="22" t="n">
        <v>-31334335</v>
      </c>
      <c r="R528" s="22" t="n">
        <v>1842552.316575</v>
      </c>
      <c r="S528" s="4" t="n">
        <v>0.03</v>
      </c>
      <c r="T528" s="4" t="n">
        <v>0.006603962377426553</v>
      </c>
      <c r="U528" s="19" t="n">
        <v>0.6863593097214198</v>
      </c>
      <c r="V528" s="19" t="n">
        <v>0.9543973941368075</v>
      </c>
      <c r="W528" s="4" t="n">
        <v>-0.002987686956242408</v>
      </c>
      <c r="X528" s="4" t="n">
        <v>-0.01834114530262876</v>
      </c>
      <c r="Y528" s="4" t="n">
        <v>0.00324805349903956</v>
      </c>
      <c r="Z528" s="4" t="n">
        <v>0.013294157827208</v>
      </c>
      <c r="AA528" s="4" t="n">
        <v>0.03</v>
      </c>
      <c r="AB528" s="4" t="n">
        <v>0.05</v>
      </c>
      <c r="AC528" s="4">
        <f>(AB528+2*參數!$B$7)/(AA528+AB528)</f>
        <v/>
      </c>
    </row>
    <row r="529">
      <c r="A529" s="2" t="n">
        <v>528</v>
      </c>
      <c r="B529" s="2" t="inlineStr">
        <is>
          <t>SAGA_USDT_PERP</t>
        </is>
      </c>
      <c r="C529" s="2" t="inlineStr">
        <is>
          <t>做空</t>
        </is>
      </c>
      <c r="D529" s="7" t="n">
        <v>46293.45833333334</v>
      </c>
      <c r="E529" s="20" t="n">
        <v>0.02517</v>
      </c>
      <c r="F529" s="20" t="n">
        <v>0.0244149</v>
      </c>
      <c r="G529" s="20" t="n">
        <v>0.0264285</v>
      </c>
      <c r="H529" s="7" t="n">
        <v>46293.54166666666</v>
      </c>
      <c r="I529" s="20" t="n">
        <v>0.0264285</v>
      </c>
      <c r="J529" s="2" t="inlineStr">
        <is>
          <t>止損</t>
        </is>
      </c>
      <c r="K529" s="5">
        <f>(H529-D529)*24</f>
        <v/>
      </c>
      <c r="L529" s="4">
        <f>IF(C529="做多",I529/E529-1,1-I529/E529)-2*參數!$B$7</f>
        <v/>
      </c>
      <c r="M529" s="2" t="inlineStr"/>
      <c r="N529" s="4" t="n">
        <v>-0.02630560928433268</v>
      </c>
      <c r="O529" s="4" t="n">
        <v>0.03993965066394831</v>
      </c>
      <c r="P529" s="4" t="n">
        <v>-0.04939950147292094</v>
      </c>
      <c r="Q529" s="22" t="n">
        <v>-2581557.500000007</v>
      </c>
      <c r="R529" s="22" t="n">
        <v>1373182.730952</v>
      </c>
      <c r="S529" s="4" t="n">
        <v>0.0103297576479936</v>
      </c>
      <c r="T529" s="4" t="n">
        <v>0.05</v>
      </c>
      <c r="U529" s="19" t="n">
        <v>0.4697134700485405</v>
      </c>
      <c r="V529" s="19" t="n">
        <v>0.9425287356321822</v>
      </c>
      <c r="W529" s="4" t="n">
        <v>0.3170125472148656</v>
      </c>
      <c r="X529" s="4" t="n">
        <v>0.1769130150425113</v>
      </c>
      <c r="Y529" s="4" t="n">
        <v>0.00324805349903956</v>
      </c>
      <c r="Z529" s="4" t="n">
        <v>0.013294157827208</v>
      </c>
      <c r="AA529" s="4" t="n">
        <v>0.03</v>
      </c>
      <c r="AB529" s="4" t="n">
        <v>0.05</v>
      </c>
      <c r="AC529" s="4">
        <f>(AB529+2*參數!$B$7)/(AA529+AB529)</f>
        <v/>
      </c>
    </row>
    <row r="530">
      <c r="A530" s="2" t="n">
        <v>529</v>
      </c>
      <c r="B530" s="2" t="inlineStr">
        <is>
          <t>ARB_USDT_PERP</t>
        </is>
      </c>
      <c r="C530" s="2" t="inlineStr">
        <is>
          <t>做空</t>
        </is>
      </c>
      <c r="D530" s="7" t="n">
        <v>46293.5</v>
      </c>
      <c r="E530" s="20" t="n">
        <v>0.2144</v>
      </c>
      <c r="F530" s="20" t="n">
        <v>0.207968</v>
      </c>
      <c r="G530" s="20" t="n">
        <v>0.22512</v>
      </c>
      <c r="H530" s="7" t="n">
        <v>46293.66666666666</v>
      </c>
      <c r="I530" s="20" t="n">
        <v>0.207968</v>
      </c>
      <c r="J530" s="2" t="inlineStr">
        <is>
          <t>止盈</t>
        </is>
      </c>
      <c r="K530" s="5">
        <f>(H530-D530)*24</f>
        <v/>
      </c>
      <c r="L530" s="4">
        <f>IF(C530="做多",I530/E530-1,1-I530/E530)-2*參數!$B$7</f>
        <v/>
      </c>
      <c r="M530" s="2" t="inlineStr"/>
      <c r="N530" s="4" t="n">
        <v>-0.02323462414578581</v>
      </c>
      <c r="O530" s="4" t="n">
        <v>0.02320048528532727</v>
      </c>
      <c r="P530" s="4" t="n">
        <v>-0.04469099496502238</v>
      </c>
      <c r="Q530" s="22" t="n">
        <v>-6909547.5</v>
      </c>
      <c r="R530" s="22" t="n">
        <v>3088386.44072</v>
      </c>
      <c r="S530" s="4" t="n">
        <v>0.03</v>
      </c>
      <c r="T530" s="4" t="n">
        <v>0.006996268656716431</v>
      </c>
      <c r="U530" s="19" t="n">
        <v>1.602893173231442</v>
      </c>
      <c r="V530" s="19" t="n">
        <v>0.8289473684210531</v>
      </c>
      <c r="W530" s="4" t="n">
        <v>0.03271359028382459</v>
      </c>
      <c r="X530" s="4" t="n">
        <v>0.04157353598569513</v>
      </c>
      <c r="Y530" s="4" t="n">
        <v>0.00091030770559275</v>
      </c>
      <c r="Z530" s="4" t="n">
        <v>0.01334654517019795</v>
      </c>
      <c r="AA530" s="4" t="n">
        <v>0.03</v>
      </c>
      <c r="AB530" s="4" t="n">
        <v>0.05</v>
      </c>
      <c r="AC530" s="4">
        <f>(AB530+2*參數!$B$7)/(AA530+AB530)</f>
        <v/>
      </c>
    </row>
    <row r="531">
      <c r="A531" s="2" t="n">
        <v>530</v>
      </c>
      <c r="B531" s="2" t="inlineStr">
        <is>
          <t>SOON_USDT_PERP</t>
        </is>
      </c>
      <c r="C531" s="2" t="inlineStr">
        <is>
          <t>做多</t>
        </is>
      </c>
      <c r="D531" s="7" t="n">
        <v>46293.5</v>
      </c>
      <c r="E531" s="20" t="n">
        <v>0.3167</v>
      </c>
      <c r="F531" s="20" t="n">
        <v>0.326201</v>
      </c>
      <c r="G531" s="20" t="n">
        <v>0.300865</v>
      </c>
      <c r="H531" s="7" t="n">
        <v>46293.54166666666</v>
      </c>
      <c r="I531" s="20" t="n">
        <v>0.326201</v>
      </c>
      <c r="J531" s="2" t="inlineStr">
        <is>
          <t>止盈</t>
        </is>
      </c>
      <c r="K531" s="5">
        <f>(H531-D531)*24</f>
        <v/>
      </c>
      <c r="L531" s="4">
        <f>IF(C531="做多",I531/E531-1,1-I531/E531)-2*參數!$B$7</f>
        <v/>
      </c>
      <c r="M531" s="2" t="inlineStr"/>
      <c r="N531" s="4" t="n">
        <v>0.02491909385113256</v>
      </c>
      <c r="O531" s="4" t="n">
        <v>0.06390827115850992</v>
      </c>
      <c r="P531" s="4" t="n">
        <v>0.008807555704206438</v>
      </c>
      <c r="Q531" s="22" t="n">
        <v>1659003</v>
      </c>
      <c r="R531" s="22" t="n">
        <v>2340497.9871</v>
      </c>
      <c r="S531" s="4" t="n">
        <v>0.03</v>
      </c>
      <c r="T531" s="4" t="n">
        <v>0</v>
      </c>
      <c r="U531" s="19" t="n">
        <v>1.158352703534787</v>
      </c>
      <c r="V531" s="19" t="n">
        <v>0.7218543046357592</v>
      </c>
      <c r="W531" s="4" t="n">
        <v>0.3613717744258125</v>
      </c>
      <c r="X531" s="4" t="n">
        <v>0.08682223747426221</v>
      </c>
      <c r="Y531" s="4" t="n">
        <v>-0.00091030770559275</v>
      </c>
      <c r="Z531" s="4" t="n">
        <v>-0.01334654517019795</v>
      </c>
      <c r="AA531" s="4" t="n">
        <v>0.03</v>
      </c>
      <c r="AB531" s="4" t="n">
        <v>0.05</v>
      </c>
      <c r="AC531" s="4">
        <f>(AB531+2*參數!$B$7)/(AA531+AB531)</f>
        <v/>
      </c>
    </row>
    <row r="532">
      <c r="A532" s="2" t="n">
        <v>531</v>
      </c>
      <c r="B532" s="2" t="inlineStr">
        <is>
          <t>GRASS_USDT_PERP</t>
        </is>
      </c>
      <c r="C532" s="2" t="inlineStr">
        <is>
          <t>做多</t>
        </is>
      </c>
      <c r="D532" s="7" t="n">
        <v>46293.58333333334</v>
      </c>
      <c r="E532" s="20" t="n">
        <v>0.6443</v>
      </c>
      <c r="F532" s="20" t="n">
        <v>0.663629</v>
      </c>
      <c r="G532" s="20" t="n">
        <v>0.612085</v>
      </c>
      <c r="H532" s="7" t="n">
        <v>46293.625</v>
      </c>
      <c r="I532" s="20" t="n">
        <v>0.663629</v>
      </c>
      <c r="J532" s="2" t="inlineStr">
        <is>
          <t>止盈</t>
        </is>
      </c>
      <c r="K532" s="5">
        <f>(H532-D532)*24</f>
        <v/>
      </c>
      <c r="L532" s="4">
        <f>IF(C532="做多",I532/E532-1,1-I532/E532)-2*參數!$B$7</f>
        <v/>
      </c>
      <c r="M532" s="2" t="inlineStr"/>
      <c r="N532" s="4" t="n">
        <v>0.0300559552358115</v>
      </c>
      <c r="O532" s="4" t="n">
        <v>0.03788454334489365</v>
      </c>
      <c r="P532" s="4" t="n">
        <v>0.01153936729727612</v>
      </c>
      <c r="Q532" s="22" t="n">
        <v>782208</v>
      </c>
      <c r="R532" s="22" t="n">
        <v>1911293.3703</v>
      </c>
      <c r="S532" s="4" t="n">
        <v>0.03</v>
      </c>
      <c r="T532" s="4" t="n">
        <v>0</v>
      </c>
      <c r="U532" s="19" t="n">
        <v>0.827167981482166</v>
      </c>
      <c r="V532" s="19" t="n">
        <v>0.8138686131386862</v>
      </c>
      <c r="W532" s="4" t="n">
        <v>0.2178778341697618</v>
      </c>
      <c r="X532" s="4" t="n">
        <v>0.1242366079218284</v>
      </c>
      <c r="Y532" s="4" t="n">
        <v>-0.00361192101709007</v>
      </c>
      <c r="Z532" s="4" t="n">
        <v>-0.01342237760644593</v>
      </c>
      <c r="AA532" s="4" t="n">
        <v>0.03</v>
      </c>
      <c r="AB532" s="4" t="n">
        <v>0.05</v>
      </c>
      <c r="AC532" s="4">
        <f>(AB532+2*參數!$B$7)/(AA532+AB532)</f>
        <v/>
      </c>
    </row>
    <row r="533">
      <c r="A533" s="2" t="n">
        <v>532</v>
      </c>
      <c r="B533" s="2" t="inlineStr">
        <is>
          <t>MARSCOIN_USDT_PERP</t>
        </is>
      </c>
      <c r="C533" s="2" t="inlineStr">
        <is>
          <t>做多</t>
        </is>
      </c>
      <c r="D533" s="7" t="n">
        <v>46293.58333333334</v>
      </c>
      <c r="E533" s="20" t="n">
        <v>0.12773</v>
      </c>
      <c r="F533" s="20" t="n">
        <v>0.1315619</v>
      </c>
      <c r="G533" s="20" t="n">
        <v>0.1213435</v>
      </c>
      <c r="H533" s="7" t="n">
        <v>46293.625</v>
      </c>
      <c r="I533" s="20" t="n">
        <v>0.1315619</v>
      </c>
      <c r="J533" s="2" t="inlineStr">
        <is>
          <t>止盈</t>
        </is>
      </c>
      <c r="K533" s="5">
        <f>(H533-D533)*24</f>
        <v/>
      </c>
      <c r="L533" s="4">
        <f>IF(C533="做多",I533/E533-1,1-I533/E533)-2*參數!$B$7</f>
        <v/>
      </c>
      <c r="M533" s="2" t="inlineStr"/>
      <c r="N533" s="4" t="n">
        <v>0.09329795429256182</v>
      </c>
      <c r="O533" s="4" t="n">
        <v>0.03704374127208629</v>
      </c>
      <c r="P533" s="4" t="n">
        <v>0.01165065460680026</v>
      </c>
      <c r="Q533" s="22" t="n">
        <v>463406</v>
      </c>
      <c r="R533" s="22" t="n">
        <v>1271523.5292</v>
      </c>
      <c r="S533" s="4" t="n">
        <v>0.03</v>
      </c>
      <c r="T533" s="4" t="n">
        <v>0</v>
      </c>
      <c r="U533" s="19" t="n">
        <v>8.743727946547059</v>
      </c>
      <c r="V533" s="19" t="n">
        <v>0.5762151958470982</v>
      </c>
      <c r="W533" s="4" t="n">
        <v>0.0532339551478842</v>
      </c>
      <c r="X533" s="4" t="n">
        <v>-0.0199493593186526</v>
      </c>
      <c r="Y533" s="4" t="n">
        <v>-0.00361192101709007</v>
      </c>
      <c r="Z533" s="4" t="n">
        <v>-0.01342237760644593</v>
      </c>
      <c r="AA533" s="4" t="n">
        <v>0.03</v>
      </c>
      <c r="AB533" s="4" t="n">
        <v>0.05</v>
      </c>
      <c r="AC533" s="4">
        <f>(AB533+2*參數!$B$7)/(AA533+AB533)</f>
        <v/>
      </c>
    </row>
    <row r="534">
      <c r="A534" s="2" t="n">
        <v>533</v>
      </c>
      <c r="B534" s="2" t="inlineStr">
        <is>
          <t>NEAR_USDT_PERP</t>
        </is>
      </c>
      <c r="C534" s="2" t="inlineStr">
        <is>
          <t>做空</t>
        </is>
      </c>
      <c r="D534" s="7" t="n">
        <v>46293.58333333334</v>
      </c>
      <c r="E534" s="20" t="n">
        <v>5.159</v>
      </c>
      <c r="F534" s="20" t="n">
        <v>5.00423</v>
      </c>
      <c r="G534" s="20" t="n">
        <v>5.41695</v>
      </c>
      <c r="H534" s="7" t="n">
        <v>46293.75</v>
      </c>
      <c r="I534" s="20" t="n">
        <v>5.00423</v>
      </c>
      <c r="J534" s="2" t="inlineStr">
        <is>
          <t>止盈</t>
        </is>
      </c>
      <c r="K534" s="5">
        <f>(H534-D534)*24</f>
        <v/>
      </c>
      <c r="L534" s="4">
        <f>IF(C534="做多",I534/E534-1,1-I534/E534)-2*參數!$B$7</f>
        <v/>
      </c>
      <c r="M534" s="2" t="inlineStr"/>
      <c r="N534" s="4" t="n">
        <v>-0.02180508153204408</v>
      </c>
      <c r="O534" s="4" t="n">
        <v>0.02311772217646303</v>
      </c>
      <c r="P534" s="4" t="n">
        <v>-0.02549136278204378</v>
      </c>
      <c r="Q534" s="22" t="n">
        <v>-1181211</v>
      </c>
      <c r="R534" s="22" t="n">
        <v>28232676.678</v>
      </c>
      <c r="S534" s="4" t="n">
        <v>0.03</v>
      </c>
      <c r="T534" s="4" t="n">
        <v>0.005233572397751463</v>
      </c>
      <c r="U534" s="19" t="n">
        <v>0.7270716753512492</v>
      </c>
      <c r="V534" s="19" t="n">
        <v>0.8255033557046993</v>
      </c>
      <c r="W534" s="4" t="n">
        <v>-0.05348063139409032</v>
      </c>
      <c r="X534" s="4" t="n">
        <v>0.04356692621431224</v>
      </c>
      <c r="Y534" s="4" t="n">
        <v>0.00361192101709007</v>
      </c>
      <c r="Z534" s="4" t="n">
        <v>0.01342237760644593</v>
      </c>
      <c r="AA534" s="4" t="n">
        <v>0.03</v>
      </c>
      <c r="AB534" s="4" t="n">
        <v>0.05</v>
      </c>
      <c r="AC534" s="4">
        <f>(AB534+2*參數!$B$7)/(AA534+AB534)</f>
        <v/>
      </c>
    </row>
    <row r="535">
      <c r="A535" s="2" t="n">
        <v>534</v>
      </c>
      <c r="B535" s="2" t="inlineStr">
        <is>
          <t>SAGA_USDT_PERP</t>
        </is>
      </c>
      <c r="C535" s="2" t="inlineStr">
        <is>
          <t>做多</t>
        </is>
      </c>
      <c r="D535" s="7" t="n">
        <v>46293.625</v>
      </c>
      <c r="E535" s="20" t="n">
        <v>0.027</v>
      </c>
      <c r="F535" s="20" t="n">
        <v>0.02781</v>
      </c>
      <c r="G535" s="20" t="n">
        <v>0.02565</v>
      </c>
      <c r="H535" s="7" t="n">
        <v>46293.83333333334</v>
      </c>
      <c r="I535" s="20" t="n">
        <v>0.02751</v>
      </c>
      <c r="J535" s="2" t="inlineStr">
        <is>
          <t>未平倉</t>
        </is>
      </c>
      <c r="K535" s="5">
        <f>(H535-D535)*24</f>
        <v/>
      </c>
      <c r="L535" s="4">
        <f>IF(C535="做多",I535/E535-1,1-I535/E535)-2*參數!$B$7</f>
        <v/>
      </c>
      <c r="M535" s="2" t="inlineStr">
        <is>
          <t>持倉中（以最新收盤估值）</t>
        </is>
      </c>
      <c r="N535" s="4" t="n">
        <v>0.0344827586206895</v>
      </c>
      <c r="O535" s="4" t="n">
        <v>0.03749482357560307</v>
      </c>
      <c r="P535" s="4" t="n">
        <v>0.02737771351382201</v>
      </c>
      <c r="Q535" s="22" t="n">
        <v>1307053.599999994</v>
      </c>
      <c r="R535" s="22" t="n">
        <v>1253686.786637</v>
      </c>
      <c r="S535" s="4" t="n">
        <v>0.02814814814814826</v>
      </c>
      <c r="T535" s="4" t="n">
        <v>0.04259259259259252</v>
      </c>
      <c r="U535" s="19" t="n">
        <v>0.6852798738352687</v>
      </c>
      <c r="V535" s="19" t="n">
        <v>0.7230769230769235</v>
      </c>
      <c r="W535" s="4" t="n">
        <v>-0.2503560808615907</v>
      </c>
      <c r="X535" s="4" t="n">
        <v>0.01085735679520772</v>
      </c>
      <c r="Y535" s="4" t="n">
        <v>-0.0002357341736375362</v>
      </c>
      <c r="Z535" s="4" t="n">
        <v>-0.01265091166430987</v>
      </c>
      <c r="AA535" s="4" t="n">
        <v>0.03</v>
      </c>
      <c r="AB535" s="4" t="n">
        <v>0.05</v>
      </c>
      <c r="AC535" s="4">
        <f>(AB535+2*參數!$B$7)/(AA535+AB535)</f>
        <v/>
      </c>
    </row>
    <row r="536">
      <c r="A536" s="2" t="n">
        <v>535</v>
      </c>
      <c r="B536" s="2" t="inlineStr">
        <is>
          <t>牛来_USDT_PERP</t>
        </is>
      </c>
      <c r="C536" s="2" t="inlineStr">
        <is>
          <t>做多</t>
        </is>
      </c>
      <c r="D536" s="7" t="n">
        <v>46293.70833333334</v>
      </c>
      <c r="E536" s="20" t="n">
        <v>0.11105</v>
      </c>
      <c r="F536" s="20" t="n">
        <v>0.1143815</v>
      </c>
      <c r="G536" s="20" t="n">
        <v>0.1054975</v>
      </c>
      <c r="H536" s="7" t="n">
        <v>46293.83333333334</v>
      </c>
      <c r="I536" s="20" t="n">
        <v>0.10961</v>
      </c>
      <c r="J536" s="2" t="inlineStr">
        <is>
          <t>未平倉</t>
        </is>
      </c>
      <c r="K536" s="5">
        <f>(H536-D536)*24</f>
        <v/>
      </c>
      <c r="L536" s="4">
        <f>IF(C536="做多",I536/E536-1,1-I536/E536)-2*參數!$B$7</f>
        <v/>
      </c>
      <c r="M536" s="2" t="inlineStr">
        <is>
          <t>持倉中（以最新收盤估值）</t>
        </is>
      </c>
      <c r="N536" s="4" t="n">
        <v>0.02900296515937728</v>
      </c>
      <c r="O536" s="4" t="n">
        <v>0.03435065256126275</v>
      </c>
      <c r="P536" s="4" t="n">
        <v>0.05071932405773527</v>
      </c>
      <c r="Q536" s="22" t="n">
        <v>2517820</v>
      </c>
      <c r="R536" s="22" t="n">
        <v>1279720.15974</v>
      </c>
      <c r="S536" s="4" t="n">
        <v>0.003872129671319113</v>
      </c>
      <c r="T536" s="4" t="n">
        <v>0.04349392165691135</v>
      </c>
      <c r="U536" s="19" t="n">
        <v>1.770215736556227</v>
      </c>
      <c r="V536" s="19" t="n">
        <v>0.3892288861689104</v>
      </c>
      <c r="W536" s="4" t="n">
        <v>0.06684061468464564</v>
      </c>
      <c r="X536" s="4" t="n">
        <v>0.06881616939364754</v>
      </c>
      <c r="Y536" s="4" t="n">
        <v>0.0002014127840432867</v>
      </c>
      <c r="Z536" s="4" t="n">
        <v>-0.01274552420967456</v>
      </c>
      <c r="AA536" s="4" t="n">
        <v>0.03</v>
      </c>
      <c r="AB536" s="4" t="n">
        <v>0.05</v>
      </c>
      <c r="AC536" s="4">
        <f>(AB536+2*參數!$B$7)/(AA536+AB536)</f>
        <v/>
      </c>
    </row>
    <row r="537">
      <c r="A537" s="2" t="n">
        <v>536</v>
      </c>
      <c r="B537" s="2" t="inlineStr">
        <is>
          <t>GRAM_USDT_PERP</t>
        </is>
      </c>
      <c r="C537" s="2" t="inlineStr">
        <is>
          <t>做多</t>
        </is>
      </c>
      <c r="D537" s="7" t="n">
        <v>46293.75</v>
      </c>
      <c r="E537" s="20" t="n">
        <v>1.667</v>
      </c>
      <c r="F537" s="20" t="n">
        <v>1.71701</v>
      </c>
      <c r="G537" s="20" t="n">
        <v>1.58365</v>
      </c>
      <c r="H537" s="7" t="n">
        <v>46293.79166666666</v>
      </c>
      <c r="I537" s="20" t="n">
        <v>1.71701</v>
      </c>
      <c r="J537" s="2" t="inlineStr">
        <is>
          <t>止盈</t>
        </is>
      </c>
      <c r="K537" s="5">
        <f>(H537-D537)*24</f>
        <v/>
      </c>
      <c r="L537" s="4">
        <f>IF(C537="做多",I537/E537-1,1-I537/E537)-2*參數!$B$7</f>
        <v/>
      </c>
      <c r="M537" s="2" t="inlineStr"/>
      <c r="N537" s="4" t="n">
        <v>0.02332719459791277</v>
      </c>
      <c r="O537" s="4" t="n">
        <v>0.02375793145638156</v>
      </c>
      <c r="P537" s="4" t="n">
        <v>0.02116450733559994</v>
      </c>
      <c r="Q537" s="22" t="n">
        <v>254699.0000000001</v>
      </c>
      <c r="R537" s="22" t="n">
        <v>1435776.6949</v>
      </c>
      <c r="S537" s="4" t="n">
        <v>0.03</v>
      </c>
      <c r="T537" s="4" t="n">
        <v>0</v>
      </c>
      <c r="U537" s="19" t="n">
        <v>1.836301524293314</v>
      </c>
      <c r="V537" s="19" t="n">
        <v>0.8243243243243253</v>
      </c>
      <c r="W537" s="4" t="n">
        <v>0.108001940831234</v>
      </c>
      <c r="X537" s="4" t="n">
        <v>0.03476101800124143</v>
      </c>
      <c r="Y537" s="4" t="n">
        <v>-0.003508941167958857</v>
      </c>
      <c r="Z537" s="4" t="n">
        <v>-0.01483059055923031</v>
      </c>
      <c r="AA537" s="4" t="n">
        <v>0.03</v>
      </c>
      <c r="AB537" s="4" t="n">
        <v>0.05</v>
      </c>
      <c r="AC537" s="4">
        <f>(AB537+2*參數!$B$7)/(AA537+AB537)</f>
        <v/>
      </c>
    </row>
    <row r="538">
      <c r="A538" s="2" t="n">
        <v>537</v>
      </c>
      <c r="B538" s="2" t="inlineStr">
        <is>
          <t>BTW_USDT_PERP</t>
        </is>
      </c>
      <c r="C538" s="2" t="inlineStr">
        <is>
          <t>做多</t>
        </is>
      </c>
      <c r="D538" s="7" t="n">
        <v>46293.83333333334</v>
      </c>
      <c r="E538" s="20" t="n">
        <v>1.272503</v>
      </c>
      <c r="F538" s="20" t="n">
        <v>1.31067809</v>
      </c>
      <c r="G538" s="20" t="n">
        <v>1.20887785</v>
      </c>
      <c r="H538" s="7" t="n">
        <v>46293.83333333334</v>
      </c>
      <c r="I538" s="20" t="n">
        <v>1.272503</v>
      </c>
      <c r="J538" s="2" t="inlineStr">
        <is>
          <t>未平倉</t>
        </is>
      </c>
      <c r="K538" s="5">
        <f>(H538-D538)*24</f>
        <v/>
      </c>
      <c r="L538" s="4">
        <f>IF(C538="做多",I538/E538-1,1-I538/E538)-2*參數!$B$7</f>
        <v/>
      </c>
      <c r="M538" s="2" t="inlineStr">
        <is>
          <t>持倉中（以最新收盤估值）</t>
        </is>
      </c>
      <c r="N538" s="4" t="n">
        <v>0.07452227147983947</v>
      </c>
      <c r="O538" s="4" t="n">
        <v>0.05339395969785964</v>
      </c>
      <c r="P538" s="4" t="n">
        <v>0.006042009210974753</v>
      </c>
      <c r="Q538" s="22" t="n">
        <v>399228</v>
      </c>
      <c r="R538" s="22" t="n">
        <v>1927002.051451</v>
      </c>
      <c r="S538" s="4" t="n">
        <v>0</v>
      </c>
      <c r="T538" s="4" t="n">
        <v>0</v>
      </c>
      <c r="U538" s="19" t="n">
        <v>0.788783340837529</v>
      </c>
      <c r="V538" s="19" t="n">
        <v>0.905032232272249</v>
      </c>
      <c r="W538" s="4" t="n">
        <v>0.1600627994983361</v>
      </c>
      <c r="X538" s="4" t="n">
        <v>0.106235764583152</v>
      </c>
      <c r="Y538" s="4" t="n">
        <v>0.001518173464884143</v>
      </c>
      <c r="Z538" s="4" t="n">
        <v>-0.008155908249181998</v>
      </c>
      <c r="AA538" s="4" t="n">
        <v>0.03</v>
      </c>
      <c r="AB538" s="4" t="n">
        <v>0.05</v>
      </c>
      <c r="AC538" s="4">
        <f>(AB538+2*參數!$B$7)/(AA538+AB538)</f>
        <v/>
      </c>
    </row>
    <row r="539">
      <c r="A539" s="2" t="n">
        <v>538</v>
      </c>
      <c r="B539" s="2" t="inlineStr">
        <is>
          <t>PUMP_USDT_PERP</t>
        </is>
      </c>
      <c r="C539" s="2" t="inlineStr">
        <is>
          <t>做多</t>
        </is>
      </c>
      <c r="D539" s="7" t="n">
        <v>46293.83333333334</v>
      </c>
      <c r="E539" s="20" t="n">
        <v>0.005038</v>
      </c>
      <c r="F539" s="20" t="n">
        <v>0.00518914</v>
      </c>
      <c r="G539" s="20" t="n">
        <v>0.0047861</v>
      </c>
      <c r="H539" s="7" t="n">
        <v>46293.83333333334</v>
      </c>
      <c r="I539" s="20" t="n">
        <v>0.005038</v>
      </c>
      <c r="J539" s="2" t="inlineStr">
        <is>
          <t>未平倉</t>
        </is>
      </c>
      <c r="K539" s="5">
        <f>(H539-D539)*24</f>
        <v/>
      </c>
      <c r="L539" s="4">
        <f>IF(C539="做多",I539/E539-1,1-I539/E539)-2*參數!$B$7</f>
        <v/>
      </c>
      <c r="M539" s="2" t="inlineStr">
        <is>
          <t>持倉中（以最新收盤估值）</t>
        </is>
      </c>
      <c r="N539" s="4" t="n">
        <v>0.043712450797597</v>
      </c>
      <c r="O539" s="4" t="n">
        <v>0.03240819073535812</v>
      </c>
      <c r="P539" s="4" t="n">
        <v>0.004315887049348488</v>
      </c>
      <c r="Q539" s="22" t="n">
        <v>801270657</v>
      </c>
      <c r="R539" s="22" t="n">
        <v>18710831.592867</v>
      </c>
      <c r="S539" s="4" t="n">
        <v>0</v>
      </c>
      <c r="T539" s="4" t="n">
        <v>0</v>
      </c>
      <c r="U539" s="19" t="n">
        <v>0.815293879866603</v>
      </c>
      <c r="V539" s="19" t="n">
        <v>0.959459459459458</v>
      </c>
      <c r="W539" s="4" t="n">
        <v>0.1522381505639974</v>
      </c>
      <c r="X539" s="4" t="n">
        <v>0.1195555555555556</v>
      </c>
      <c r="Y539" s="4" t="n">
        <v>0.001518173464884143</v>
      </c>
      <c r="Z539" s="4" t="n">
        <v>-0.008155908249181998</v>
      </c>
      <c r="AA539" s="4" t="n">
        <v>0.03</v>
      </c>
      <c r="AB539" s="4" t="n">
        <v>0.05</v>
      </c>
      <c r="AC539" s="4">
        <f>(AB539+2*參數!$B$7)/(AA539+AB539)</f>
        <v/>
      </c>
    </row>
  </sheetData>
  <autoFilter ref="A1:AC539"/>
  <conditionalFormatting sqref="J2:J539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COUNTIFS(交易明細!$B$2:$B$539,$A2)</f>
        <v/>
      </c>
      <c r="C2" s="2">
        <f>COUNTIFS(交易明細!$B$2:$B$539,$A2,交易明細!$C$2:$C$539,"做多")</f>
        <v/>
      </c>
      <c r="D2" s="2">
        <f>COUNTIFS(交易明細!$B$2:$B$539,$A2,交易明細!$C$2:$C$539,"做空")</f>
        <v/>
      </c>
      <c r="E2" s="2">
        <f>F2+G2+COUNTIFS(交易明細!$B$2:$B$539,$A2,交易明細!$J$2:$J$539,"時間出場")</f>
        <v/>
      </c>
      <c r="F2" s="2">
        <f>COUNTIFS(交易明細!$B$2:$B$539,$A2,交易明細!$J$2:$J$539,"止盈")</f>
        <v/>
      </c>
      <c r="G2" s="2">
        <f>COUNTIFS(交易明細!$B$2:$B$539,$A2,交易明細!$J$2:$J$539,"止損")</f>
        <v/>
      </c>
      <c r="H2" s="4">
        <f>IFERROR(F2/E2,0)</f>
        <v/>
      </c>
      <c r="I2" s="4">
        <f>IFERROR(AVERAGEIFS(交易明細!$L$2:$L$539,交易明細!$B$2:$B$539,$A2,交易明細!$J$2:$J$539,"&lt;&gt;未平倉"),0)</f>
        <v/>
      </c>
      <c r="J2" s="4">
        <f>SUMIFS(交易明細!$L$2:$L$539,交易明細!$B$2:$B$539,$A2,交易明細!$J$2:$J$539,"&lt;&gt;未平倉")</f>
        <v/>
      </c>
      <c r="K2" s="5">
        <f>IFERROR(AVERAGEIFS(交易明細!$K$2:$K$539,交易明細!$B$2:$B$539,$A2,交易明細!$J$2:$J$539,"&lt;&gt;未平倉"),0)</f>
        <v/>
      </c>
      <c r="L2" s="2">
        <f>COUNTIFS(交易明細!$B$2:$B$539,$A2,交易明細!$J$2:$J$539,"未平倉")</f>
        <v/>
      </c>
    </row>
    <row r="3">
      <c r="A3" s="2" t="inlineStr">
        <is>
          <t>USELESS_USDT_PERP</t>
        </is>
      </c>
      <c r="B3" s="2">
        <f>COUNTIFS(交易明細!$B$2:$B$539,$A3)</f>
        <v/>
      </c>
      <c r="C3" s="2">
        <f>COUNTIFS(交易明細!$B$2:$B$539,$A3,交易明細!$C$2:$C$539,"做多")</f>
        <v/>
      </c>
      <c r="D3" s="2">
        <f>COUNTIFS(交易明細!$B$2:$B$539,$A3,交易明細!$C$2:$C$539,"做空")</f>
        <v/>
      </c>
      <c r="E3" s="2">
        <f>F3+G3+COUNTIFS(交易明細!$B$2:$B$539,$A3,交易明細!$J$2:$J$539,"時間出場")</f>
        <v/>
      </c>
      <c r="F3" s="2">
        <f>COUNTIFS(交易明細!$B$2:$B$539,$A3,交易明細!$J$2:$J$539,"止盈")</f>
        <v/>
      </c>
      <c r="G3" s="2">
        <f>COUNTIFS(交易明細!$B$2:$B$539,$A3,交易明細!$J$2:$J$539,"止損")</f>
        <v/>
      </c>
      <c r="H3" s="4">
        <f>IFERROR(F3/E3,0)</f>
        <v/>
      </c>
      <c r="I3" s="4">
        <f>IFERROR(AVERAGEIFS(交易明細!$L$2:$L$539,交易明細!$B$2:$B$539,$A3,交易明細!$J$2:$J$539,"&lt;&gt;未平倉"),0)</f>
        <v/>
      </c>
      <c r="J3" s="4">
        <f>SUMIFS(交易明細!$L$2:$L$539,交易明細!$B$2:$B$539,$A3,交易明細!$J$2:$J$539,"&lt;&gt;未平倉")</f>
        <v/>
      </c>
      <c r="K3" s="5">
        <f>IFERROR(AVERAGEIFS(交易明細!$K$2:$K$539,交易明細!$B$2:$B$539,$A3,交易明細!$J$2:$J$539,"&lt;&gt;未平倉"),0)</f>
        <v/>
      </c>
      <c r="L3" s="2">
        <f>COUNTIFS(交易明細!$B$2:$B$539,$A3,交易明細!$J$2:$J$539,"未平倉")</f>
        <v/>
      </c>
    </row>
    <row r="4">
      <c r="A4" s="2" t="inlineStr">
        <is>
          <t>PUMP_USDT_PERP</t>
        </is>
      </c>
      <c r="B4" s="2">
        <f>COUNTIFS(交易明細!$B$2:$B$539,$A4)</f>
        <v/>
      </c>
      <c r="C4" s="2">
        <f>COUNTIFS(交易明細!$B$2:$B$539,$A4,交易明細!$C$2:$C$539,"做多")</f>
        <v/>
      </c>
      <c r="D4" s="2">
        <f>COUNTIFS(交易明細!$B$2:$B$539,$A4,交易明細!$C$2:$C$539,"做空")</f>
        <v/>
      </c>
      <c r="E4" s="2">
        <f>F4+G4+COUNTIFS(交易明細!$B$2:$B$539,$A4,交易明細!$J$2:$J$539,"時間出場")</f>
        <v/>
      </c>
      <c r="F4" s="2">
        <f>COUNTIFS(交易明細!$B$2:$B$539,$A4,交易明細!$J$2:$J$539,"止盈")</f>
        <v/>
      </c>
      <c r="G4" s="2">
        <f>COUNTIFS(交易明細!$B$2:$B$539,$A4,交易明細!$J$2:$J$539,"止損")</f>
        <v/>
      </c>
      <c r="H4" s="4">
        <f>IFERROR(F4/E4,0)</f>
        <v/>
      </c>
      <c r="I4" s="4">
        <f>IFERROR(AVERAGEIFS(交易明細!$L$2:$L$539,交易明細!$B$2:$B$539,$A4,交易明細!$J$2:$J$539,"&lt;&gt;未平倉"),0)</f>
        <v/>
      </c>
      <c r="J4" s="4">
        <f>SUMIFS(交易明細!$L$2:$L$539,交易明細!$B$2:$B$539,$A4,交易明細!$J$2:$J$539,"&lt;&gt;未平倉")</f>
        <v/>
      </c>
      <c r="K4" s="5">
        <f>IFERROR(AVERAGEIFS(交易明細!$K$2:$K$539,交易明細!$B$2:$B$539,$A4,交易明細!$J$2:$J$539,"&lt;&gt;未平倉"),0)</f>
        <v/>
      </c>
      <c r="L4" s="2">
        <f>COUNTIFS(交易明細!$B$2:$B$539,$A4,交易明細!$J$2:$J$539,"未平倉")</f>
        <v/>
      </c>
    </row>
    <row r="5">
      <c r="A5" s="2" t="inlineStr">
        <is>
          <t>AKE_USDT_PERP</t>
        </is>
      </c>
      <c r="B5" s="2">
        <f>COUNTIFS(交易明細!$B$2:$B$539,$A5)</f>
        <v/>
      </c>
      <c r="C5" s="2">
        <f>COUNTIFS(交易明細!$B$2:$B$539,$A5,交易明細!$C$2:$C$539,"做多")</f>
        <v/>
      </c>
      <c r="D5" s="2">
        <f>COUNTIFS(交易明細!$B$2:$B$539,$A5,交易明細!$C$2:$C$539,"做空")</f>
        <v/>
      </c>
      <c r="E5" s="2">
        <f>F5+G5+COUNTIFS(交易明細!$B$2:$B$539,$A5,交易明細!$J$2:$J$539,"時間出場")</f>
        <v/>
      </c>
      <c r="F5" s="2">
        <f>COUNTIFS(交易明細!$B$2:$B$539,$A5,交易明細!$J$2:$J$539,"止盈")</f>
        <v/>
      </c>
      <c r="G5" s="2">
        <f>COUNTIFS(交易明細!$B$2:$B$539,$A5,交易明細!$J$2:$J$539,"止損")</f>
        <v/>
      </c>
      <c r="H5" s="4">
        <f>IFERROR(F5/E5,0)</f>
        <v/>
      </c>
      <c r="I5" s="4">
        <f>IFERROR(AVERAGEIFS(交易明細!$L$2:$L$539,交易明細!$B$2:$B$539,$A5,交易明細!$J$2:$J$539,"&lt;&gt;未平倉"),0)</f>
        <v/>
      </c>
      <c r="J5" s="4">
        <f>SUMIFS(交易明細!$L$2:$L$539,交易明細!$B$2:$B$539,$A5,交易明細!$J$2:$J$539,"&lt;&gt;未平倉")</f>
        <v/>
      </c>
      <c r="K5" s="5">
        <f>IFERROR(AVERAGEIFS(交易明細!$K$2:$K$539,交易明細!$B$2:$B$539,$A5,交易明細!$J$2:$J$539,"&lt;&gt;未平倉"),0)</f>
        <v/>
      </c>
      <c r="L5" s="2">
        <f>COUNTIFS(交易明細!$B$2:$B$539,$A5,交易明細!$J$2:$J$539,"未平倉")</f>
        <v/>
      </c>
    </row>
    <row r="6">
      <c r="A6" s="2" t="inlineStr">
        <is>
          <t>MARSCOIN_USDT_PERP</t>
        </is>
      </c>
      <c r="B6" s="2">
        <f>COUNTIFS(交易明細!$B$2:$B$539,$A6)</f>
        <v/>
      </c>
      <c r="C6" s="2">
        <f>COUNTIFS(交易明細!$B$2:$B$539,$A6,交易明細!$C$2:$C$539,"做多")</f>
        <v/>
      </c>
      <c r="D6" s="2">
        <f>COUNTIFS(交易明細!$B$2:$B$539,$A6,交易明細!$C$2:$C$539,"做空")</f>
        <v/>
      </c>
      <c r="E6" s="2">
        <f>F6+G6+COUNTIFS(交易明細!$B$2:$B$539,$A6,交易明細!$J$2:$J$539,"時間出場")</f>
        <v/>
      </c>
      <c r="F6" s="2">
        <f>COUNTIFS(交易明細!$B$2:$B$539,$A6,交易明細!$J$2:$J$539,"止盈")</f>
        <v/>
      </c>
      <c r="G6" s="2">
        <f>COUNTIFS(交易明細!$B$2:$B$539,$A6,交易明細!$J$2:$J$539,"止損")</f>
        <v/>
      </c>
      <c r="H6" s="4">
        <f>IFERROR(F6/E6,0)</f>
        <v/>
      </c>
      <c r="I6" s="4">
        <f>IFERROR(AVERAGEIFS(交易明細!$L$2:$L$539,交易明細!$B$2:$B$539,$A6,交易明細!$J$2:$J$539,"&lt;&gt;未平倉"),0)</f>
        <v/>
      </c>
      <c r="J6" s="4">
        <f>SUMIFS(交易明細!$L$2:$L$539,交易明細!$B$2:$B$539,$A6,交易明細!$J$2:$J$539,"&lt;&gt;未平倉")</f>
        <v/>
      </c>
      <c r="K6" s="5">
        <f>IFERROR(AVERAGEIFS(交易明細!$K$2:$K$539,交易明細!$B$2:$B$539,$A6,交易明細!$J$2:$J$539,"&lt;&gt;未平倉"),0)</f>
        <v/>
      </c>
      <c r="L6" s="2">
        <f>COUNTIFS(交易明細!$B$2:$B$539,$A6,交易明細!$J$2:$J$539,"未平倉")</f>
        <v/>
      </c>
    </row>
    <row r="7">
      <c r="A7" s="2" t="inlineStr">
        <is>
          <t>NEAR_USDT_PERP</t>
        </is>
      </c>
      <c r="B7" s="2">
        <f>COUNTIFS(交易明細!$B$2:$B$539,$A7)</f>
        <v/>
      </c>
      <c r="C7" s="2">
        <f>COUNTIFS(交易明細!$B$2:$B$539,$A7,交易明細!$C$2:$C$539,"做多")</f>
        <v/>
      </c>
      <c r="D7" s="2">
        <f>COUNTIFS(交易明細!$B$2:$B$539,$A7,交易明細!$C$2:$C$539,"做空")</f>
        <v/>
      </c>
      <c r="E7" s="2">
        <f>F7+G7+COUNTIFS(交易明細!$B$2:$B$539,$A7,交易明細!$J$2:$J$539,"時間出場")</f>
        <v/>
      </c>
      <c r="F7" s="2">
        <f>COUNTIFS(交易明細!$B$2:$B$539,$A7,交易明細!$J$2:$J$539,"止盈")</f>
        <v/>
      </c>
      <c r="G7" s="2">
        <f>COUNTIFS(交易明細!$B$2:$B$539,$A7,交易明細!$J$2:$J$539,"止損")</f>
        <v/>
      </c>
      <c r="H7" s="4">
        <f>IFERROR(F7/E7,0)</f>
        <v/>
      </c>
      <c r="I7" s="4">
        <f>IFERROR(AVERAGEIFS(交易明細!$L$2:$L$539,交易明細!$B$2:$B$539,$A7,交易明細!$J$2:$J$539,"&lt;&gt;未平倉"),0)</f>
        <v/>
      </c>
      <c r="J7" s="4">
        <f>SUMIFS(交易明細!$L$2:$L$539,交易明細!$B$2:$B$539,$A7,交易明細!$J$2:$J$539,"&lt;&gt;未平倉")</f>
        <v/>
      </c>
      <c r="K7" s="5">
        <f>IFERROR(AVERAGEIFS(交易明細!$K$2:$K$539,交易明細!$B$2:$B$539,$A7,交易明細!$J$2:$J$539,"&lt;&gt;未平倉"),0)</f>
        <v/>
      </c>
      <c r="L7" s="2">
        <f>COUNTIFS(交易明細!$B$2:$B$539,$A7,交易明細!$J$2:$J$539,"未平倉")</f>
        <v/>
      </c>
    </row>
    <row r="8">
      <c r="A8" s="2" t="inlineStr">
        <is>
          <t>LIT_USDT_PERP</t>
        </is>
      </c>
      <c r="B8" s="2">
        <f>COUNTIFS(交易明細!$B$2:$B$539,$A8)</f>
        <v/>
      </c>
      <c r="C8" s="2">
        <f>COUNTIFS(交易明細!$B$2:$B$539,$A8,交易明細!$C$2:$C$539,"做多")</f>
        <v/>
      </c>
      <c r="D8" s="2">
        <f>COUNTIFS(交易明細!$B$2:$B$539,$A8,交易明細!$C$2:$C$539,"做空")</f>
        <v/>
      </c>
      <c r="E8" s="2">
        <f>F8+G8+COUNTIFS(交易明細!$B$2:$B$539,$A8,交易明細!$J$2:$J$539,"時間出場")</f>
        <v/>
      </c>
      <c r="F8" s="2">
        <f>COUNTIFS(交易明細!$B$2:$B$539,$A8,交易明細!$J$2:$J$539,"止盈")</f>
        <v/>
      </c>
      <c r="G8" s="2">
        <f>COUNTIFS(交易明細!$B$2:$B$539,$A8,交易明細!$J$2:$J$539,"止損")</f>
        <v/>
      </c>
      <c r="H8" s="4">
        <f>IFERROR(F8/E8,0)</f>
        <v/>
      </c>
      <c r="I8" s="4">
        <f>IFERROR(AVERAGEIFS(交易明細!$L$2:$L$539,交易明細!$B$2:$B$539,$A8,交易明細!$J$2:$J$539,"&lt;&gt;未平倉"),0)</f>
        <v/>
      </c>
      <c r="J8" s="4">
        <f>SUMIFS(交易明細!$L$2:$L$539,交易明細!$B$2:$B$539,$A8,交易明細!$J$2:$J$539,"&lt;&gt;未平倉")</f>
        <v/>
      </c>
      <c r="K8" s="5">
        <f>IFERROR(AVERAGEIFS(交易明細!$K$2:$K$539,交易明細!$B$2:$B$539,$A8,交易明細!$J$2:$J$539,"&lt;&gt;未平倉"),0)</f>
        <v/>
      </c>
      <c r="L8" s="2">
        <f>COUNTIFS(交易明細!$B$2:$B$539,$A8,交易明細!$J$2:$J$539,"未平倉")</f>
        <v/>
      </c>
    </row>
    <row r="9">
      <c r="A9" s="2" t="inlineStr">
        <is>
          <t>牛来_USDT_PERP</t>
        </is>
      </c>
      <c r="B9" s="2">
        <f>COUNTIFS(交易明細!$B$2:$B$539,$A9)</f>
        <v/>
      </c>
      <c r="C9" s="2">
        <f>COUNTIFS(交易明細!$B$2:$B$539,$A9,交易明細!$C$2:$C$539,"做多")</f>
        <v/>
      </c>
      <c r="D9" s="2">
        <f>COUNTIFS(交易明細!$B$2:$B$539,$A9,交易明細!$C$2:$C$539,"做空")</f>
        <v/>
      </c>
      <c r="E9" s="2">
        <f>F9+G9+COUNTIFS(交易明細!$B$2:$B$539,$A9,交易明細!$J$2:$J$539,"時間出場")</f>
        <v/>
      </c>
      <c r="F9" s="2">
        <f>COUNTIFS(交易明細!$B$2:$B$539,$A9,交易明細!$J$2:$J$539,"止盈")</f>
        <v/>
      </c>
      <c r="G9" s="2">
        <f>COUNTIFS(交易明細!$B$2:$B$539,$A9,交易明細!$J$2:$J$539,"止損")</f>
        <v/>
      </c>
      <c r="H9" s="4">
        <f>IFERROR(F9/E9,0)</f>
        <v/>
      </c>
      <c r="I9" s="4">
        <f>IFERROR(AVERAGEIFS(交易明細!$L$2:$L$539,交易明細!$B$2:$B$539,$A9,交易明細!$J$2:$J$539,"&lt;&gt;未平倉"),0)</f>
        <v/>
      </c>
      <c r="J9" s="4">
        <f>SUMIFS(交易明細!$L$2:$L$539,交易明細!$B$2:$B$539,$A9,交易明細!$J$2:$J$539,"&lt;&gt;未平倉")</f>
        <v/>
      </c>
      <c r="K9" s="5">
        <f>IFERROR(AVERAGEIFS(交易明細!$K$2:$K$539,交易明細!$B$2:$B$539,$A9,交易明細!$J$2:$J$539,"&lt;&gt;未平倉"),0)</f>
        <v/>
      </c>
      <c r="L9" s="2">
        <f>COUNTIFS(交易明細!$B$2:$B$539,$A9,交易明細!$J$2:$J$539,"未平倉")</f>
        <v/>
      </c>
    </row>
    <row r="10">
      <c r="A10" s="2" t="inlineStr">
        <is>
          <t>ARB_USDT_PERP</t>
        </is>
      </c>
      <c r="B10" s="2">
        <f>COUNTIFS(交易明細!$B$2:$B$539,$A10)</f>
        <v/>
      </c>
      <c r="C10" s="2">
        <f>COUNTIFS(交易明細!$B$2:$B$539,$A10,交易明細!$C$2:$C$539,"做多")</f>
        <v/>
      </c>
      <c r="D10" s="2">
        <f>COUNTIFS(交易明細!$B$2:$B$539,$A10,交易明細!$C$2:$C$539,"做空")</f>
        <v/>
      </c>
      <c r="E10" s="2">
        <f>F10+G10+COUNTIFS(交易明細!$B$2:$B$539,$A10,交易明細!$J$2:$J$539,"時間出場")</f>
        <v/>
      </c>
      <c r="F10" s="2">
        <f>COUNTIFS(交易明細!$B$2:$B$539,$A10,交易明細!$J$2:$J$539,"止盈")</f>
        <v/>
      </c>
      <c r="G10" s="2">
        <f>COUNTIFS(交易明細!$B$2:$B$539,$A10,交易明細!$J$2:$J$539,"止損")</f>
        <v/>
      </c>
      <c r="H10" s="4">
        <f>IFERROR(F10/E10,0)</f>
        <v/>
      </c>
      <c r="I10" s="4">
        <f>IFERROR(AVERAGEIFS(交易明細!$L$2:$L$539,交易明細!$B$2:$B$539,$A10,交易明細!$J$2:$J$539,"&lt;&gt;未平倉"),0)</f>
        <v/>
      </c>
      <c r="J10" s="4">
        <f>SUMIFS(交易明細!$L$2:$L$539,交易明細!$B$2:$B$539,$A10,交易明細!$J$2:$J$539,"&lt;&gt;未平倉")</f>
        <v/>
      </c>
      <c r="K10" s="5">
        <f>IFERROR(AVERAGEIFS(交易明細!$K$2:$K$539,交易明細!$B$2:$B$539,$A10,交易明細!$J$2:$J$539,"&lt;&gt;未平倉"),0)</f>
        <v/>
      </c>
      <c r="L10" s="2">
        <f>COUNTIFS(交易明細!$B$2:$B$539,$A10,交易明細!$J$2:$J$539,"未平倉")</f>
        <v/>
      </c>
    </row>
    <row r="11">
      <c r="A11" s="2" t="inlineStr">
        <is>
          <t>BR_USDT_PERP</t>
        </is>
      </c>
      <c r="B11" s="2">
        <f>COUNTIFS(交易明細!$B$2:$B$539,$A11)</f>
        <v/>
      </c>
      <c r="C11" s="2">
        <f>COUNTIFS(交易明細!$B$2:$B$539,$A11,交易明細!$C$2:$C$539,"做多")</f>
        <v/>
      </c>
      <c r="D11" s="2">
        <f>COUNTIFS(交易明細!$B$2:$B$539,$A11,交易明細!$C$2:$C$539,"做空")</f>
        <v/>
      </c>
      <c r="E11" s="2">
        <f>F11+G11+COUNTIFS(交易明細!$B$2:$B$539,$A11,交易明細!$J$2:$J$539,"時間出場")</f>
        <v/>
      </c>
      <c r="F11" s="2">
        <f>COUNTIFS(交易明細!$B$2:$B$539,$A11,交易明細!$J$2:$J$539,"止盈")</f>
        <v/>
      </c>
      <c r="G11" s="2">
        <f>COUNTIFS(交易明細!$B$2:$B$539,$A11,交易明細!$J$2:$J$539,"止損")</f>
        <v/>
      </c>
      <c r="H11" s="4">
        <f>IFERROR(F11/E11,0)</f>
        <v/>
      </c>
      <c r="I11" s="4">
        <f>IFERROR(AVERAGEIFS(交易明細!$L$2:$L$539,交易明細!$B$2:$B$539,$A11,交易明細!$J$2:$J$539,"&lt;&gt;未平倉"),0)</f>
        <v/>
      </c>
      <c r="J11" s="4">
        <f>SUMIFS(交易明細!$L$2:$L$539,交易明細!$B$2:$B$539,$A11,交易明細!$J$2:$J$539,"&lt;&gt;未平倉")</f>
        <v/>
      </c>
      <c r="K11" s="5">
        <f>IFERROR(AVERAGEIFS(交易明細!$K$2:$K$539,交易明細!$B$2:$B$539,$A11,交易明細!$J$2:$J$539,"&lt;&gt;未平倉"),0)</f>
        <v/>
      </c>
      <c r="L11" s="2">
        <f>COUNTIFS(交易明細!$B$2:$B$539,$A11,交易明細!$J$2:$J$539,"未平倉")</f>
        <v/>
      </c>
    </row>
    <row r="12">
      <c r="A12" s="2" t="inlineStr">
        <is>
          <t>ENA_USDT_PERP</t>
        </is>
      </c>
      <c r="B12" s="2">
        <f>COUNTIFS(交易明細!$B$2:$B$539,$A12)</f>
        <v/>
      </c>
      <c r="C12" s="2">
        <f>COUNTIFS(交易明細!$B$2:$B$539,$A12,交易明細!$C$2:$C$539,"做多")</f>
        <v/>
      </c>
      <c r="D12" s="2">
        <f>COUNTIFS(交易明細!$B$2:$B$539,$A12,交易明細!$C$2:$C$539,"做空")</f>
        <v/>
      </c>
      <c r="E12" s="2">
        <f>F12+G12+COUNTIFS(交易明細!$B$2:$B$539,$A12,交易明細!$J$2:$J$539,"時間出場")</f>
        <v/>
      </c>
      <c r="F12" s="2">
        <f>COUNTIFS(交易明細!$B$2:$B$539,$A12,交易明細!$J$2:$J$539,"止盈")</f>
        <v/>
      </c>
      <c r="G12" s="2">
        <f>COUNTIFS(交易明細!$B$2:$B$539,$A12,交易明細!$J$2:$J$539,"止損")</f>
        <v/>
      </c>
      <c r="H12" s="4">
        <f>IFERROR(F12/E12,0)</f>
        <v/>
      </c>
      <c r="I12" s="4">
        <f>IFERROR(AVERAGEIFS(交易明細!$L$2:$L$539,交易明細!$B$2:$B$539,$A12,交易明細!$J$2:$J$539,"&lt;&gt;未平倉"),0)</f>
        <v/>
      </c>
      <c r="J12" s="4">
        <f>SUMIFS(交易明細!$L$2:$L$539,交易明細!$B$2:$B$539,$A12,交易明細!$J$2:$J$539,"&lt;&gt;未平倉")</f>
        <v/>
      </c>
      <c r="K12" s="5">
        <f>IFERROR(AVERAGEIFS(交易明細!$K$2:$K$539,交易明細!$B$2:$B$539,$A12,交易明細!$J$2:$J$539,"&lt;&gt;未平倉"),0)</f>
        <v/>
      </c>
      <c r="L12" s="2">
        <f>COUNTIFS(交易明細!$B$2:$B$539,$A12,交易明細!$J$2:$J$539,"未平倉")</f>
        <v/>
      </c>
    </row>
    <row r="13">
      <c r="A13" s="2" t="inlineStr">
        <is>
          <t>UNI_USDT_PERP</t>
        </is>
      </c>
      <c r="B13" s="2">
        <f>COUNTIFS(交易明細!$B$2:$B$539,$A13)</f>
        <v/>
      </c>
      <c r="C13" s="2">
        <f>COUNTIFS(交易明細!$B$2:$B$539,$A13,交易明細!$C$2:$C$539,"做多")</f>
        <v/>
      </c>
      <c r="D13" s="2">
        <f>COUNTIFS(交易明細!$B$2:$B$539,$A13,交易明細!$C$2:$C$539,"做空")</f>
        <v/>
      </c>
      <c r="E13" s="2">
        <f>F13+G13+COUNTIFS(交易明細!$B$2:$B$539,$A13,交易明細!$J$2:$J$539,"時間出場")</f>
        <v/>
      </c>
      <c r="F13" s="2">
        <f>COUNTIFS(交易明細!$B$2:$B$539,$A13,交易明細!$J$2:$J$539,"止盈")</f>
        <v/>
      </c>
      <c r="G13" s="2">
        <f>COUNTIFS(交易明細!$B$2:$B$539,$A13,交易明細!$J$2:$J$539,"止損")</f>
        <v/>
      </c>
      <c r="H13" s="4">
        <f>IFERROR(F13/E13,0)</f>
        <v/>
      </c>
      <c r="I13" s="4">
        <f>IFERROR(AVERAGEIFS(交易明細!$L$2:$L$539,交易明細!$B$2:$B$539,$A13,交易明細!$J$2:$J$539,"&lt;&gt;未平倉"),0)</f>
        <v/>
      </c>
      <c r="J13" s="4">
        <f>SUMIFS(交易明細!$L$2:$L$539,交易明細!$B$2:$B$539,$A13,交易明細!$J$2:$J$539,"&lt;&gt;未平倉")</f>
        <v/>
      </c>
      <c r="K13" s="5">
        <f>IFERROR(AVERAGEIFS(交易明細!$K$2:$K$539,交易明細!$B$2:$B$539,$A13,交易明細!$J$2:$J$539,"&lt;&gt;未平倉"),0)</f>
        <v/>
      </c>
      <c r="L13" s="2">
        <f>COUNTIFS(交易明細!$B$2:$B$539,$A13,交易明細!$J$2:$J$539,"未平倉")</f>
        <v/>
      </c>
    </row>
    <row r="14">
      <c r="A14" s="2" t="inlineStr">
        <is>
          <t>VVV_USDT_PERP</t>
        </is>
      </c>
      <c r="B14" s="2">
        <f>COUNTIFS(交易明細!$B$2:$B$539,$A14)</f>
        <v/>
      </c>
      <c r="C14" s="2">
        <f>COUNTIFS(交易明細!$B$2:$B$539,$A14,交易明細!$C$2:$C$539,"做多")</f>
        <v/>
      </c>
      <c r="D14" s="2">
        <f>COUNTIFS(交易明細!$B$2:$B$539,$A14,交易明細!$C$2:$C$539,"做空")</f>
        <v/>
      </c>
      <c r="E14" s="2">
        <f>F14+G14+COUNTIFS(交易明細!$B$2:$B$539,$A14,交易明細!$J$2:$J$539,"時間出場")</f>
        <v/>
      </c>
      <c r="F14" s="2">
        <f>COUNTIFS(交易明細!$B$2:$B$539,$A14,交易明細!$J$2:$J$539,"止盈")</f>
        <v/>
      </c>
      <c r="G14" s="2">
        <f>COUNTIFS(交易明細!$B$2:$B$539,$A14,交易明細!$J$2:$J$539,"止損")</f>
        <v/>
      </c>
      <c r="H14" s="4">
        <f>IFERROR(F14/E14,0)</f>
        <v/>
      </c>
      <c r="I14" s="4">
        <f>IFERROR(AVERAGEIFS(交易明細!$L$2:$L$539,交易明細!$B$2:$B$539,$A14,交易明細!$J$2:$J$539,"&lt;&gt;未平倉"),0)</f>
        <v/>
      </c>
      <c r="J14" s="4">
        <f>SUMIFS(交易明細!$L$2:$L$539,交易明細!$B$2:$B$539,$A14,交易明細!$J$2:$J$539,"&lt;&gt;未平倉")</f>
        <v/>
      </c>
      <c r="K14" s="5">
        <f>IFERROR(AVERAGEIFS(交易明細!$K$2:$K$539,交易明細!$B$2:$B$539,$A14,交易明細!$J$2:$J$539,"&lt;&gt;未平倉"),0)</f>
        <v/>
      </c>
      <c r="L14" s="2">
        <f>COUNTIFS(交易明細!$B$2:$B$539,$A14,交易明細!$J$2:$J$539,"未平倉")</f>
        <v/>
      </c>
    </row>
    <row r="15">
      <c r="A15" s="2" t="inlineStr">
        <is>
          <t>LSK_USDT_PERP</t>
        </is>
      </c>
      <c r="B15" s="2">
        <f>COUNTIFS(交易明細!$B$2:$B$539,$A15)</f>
        <v/>
      </c>
      <c r="C15" s="2">
        <f>COUNTIFS(交易明細!$B$2:$B$539,$A15,交易明細!$C$2:$C$539,"做多")</f>
        <v/>
      </c>
      <c r="D15" s="2">
        <f>COUNTIFS(交易明細!$B$2:$B$539,$A15,交易明細!$C$2:$C$539,"做空")</f>
        <v/>
      </c>
      <c r="E15" s="2">
        <f>F15+G15+COUNTIFS(交易明細!$B$2:$B$539,$A15,交易明細!$J$2:$J$539,"時間出場")</f>
        <v/>
      </c>
      <c r="F15" s="2">
        <f>COUNTIFS(交易明細!$B$2:$B$539,$A15,交易明細!$J$2:$J$539,"止盈")</f>
        <v/>
      </c>
      <c r="G15" s="2">
        <f>COUNTIFS(交易明細!$B$2:$B$539,$A15,交易明細!$J$2:$J$539,"止損")</f>
        <v/>
      </c>
      <c r="H15" s="4">
        <f>IFERROR(F15/E15,0)</f>
        <v/>
      </c>
      <c r="I15" s="4">
        <f>IFERROR(AVERAGEIFS(交易明細!$L$2:$L$539,交易明細!$B$2:$B$539,$A15,交易明細!$J$2:$J$539,"&lt;&gt;未平倉"),0)</f>
        <v/>
      </c>
      <c r="J15" s="4">
        <f>SUMIFS(交易明細!$L$2:$L$539,交易明細!$B$2:$B$539,$A15,交易明細!$J$2:$J$539,"&lt;&gt;未平倉")</f>
        <v/>
      </c>
      <c r="K15" s="5">
        <f>IFERROR(AVERAGEIFS(交易明細!$K$2:$K$539,交易明細!$B$2:$B$539,$A15,交易明細!$J$2:$J$539,"&lt;&gt;未平倉"),0)</f>
        <v/>
      </c>
      <c r="L15" s="2">
        <f>COUNTIFS(交易明細!$B$2:$B$539,$A15,交易明細!$J$2:$J$539,"未平倉")</f>
        <v/>
      </c>
    </row>
    <row r="16">
      <c r="A16" s="2" t="inlineStr">
        <is>
          <t>UAI_USDT_PERP</t>
        </is>
      </c>
      <c r="B16" s="2">
        <f>COUNTIFS(交易明細!$B$2:$B$539,$A16)</f>
        <v/>
      </c>
      <c r="C16" s="2">
        <f>COUNTIFS(交易明細!$B$2:$B$539,$A16,交易明細!$C$2:$C$539,"做多")</f>
        <v/>
      </c>
      <c r="D16" s="2">
        <f>COUNTIFS(交易明細!$B$2:$B$539,$A16,交易明細!$C$2:$C$539,"做空")</f>
        <v/>
      </c>
      <c r="E16" s="2">
        <f>F16+G16+COUNTIFS(交易明細!$B$2:$B$539,$A16,交易明細!$J$2:$J$539,"時間出場")</f>
        <v/>
      </c>
      <c r="F16" s="2">
        <f>COUNTIFS(交易明細!$B$2:$B$539,$A16,交易明細!$J$2:$J$539,"止盈")</f>
        <v/>
      </c>
      <c r="G16" s="2">
        <f>COUNTIFS(交易明細!$B$2:$B$539,$A16,交易明細!$J$2:$J$539,"止損")</f>
        <v/>
      </c>
      <c r="H16" s="4">
        <f>IFERROR(F16/E16,0)</f>
        <v/>
      </c>
      <c r="I16" s="4">
        <f>IFERROR(AVERAGEIFS(交易明細!$L$2:$L$539,交易明細!$B$2:$B$539,$A16,交易明細!$J$2:$J$539,"&lt;&gt;未平倉"),0)</f>
        <v/>
      </c>
      <c r="J16" s="4">
        <f>SUMIFS(交易明細!$L$2:$L$539,交易明細!$B$2:$B$539,$A16,交易明細!$J$2:$J$539,"&lt;&gt;未平倉")</f>
        <v/>
      </c>
      <c r="K16" s="5">
        <f>IFERROR(AVERAGEIFS(交易明細!$K$2:$K$539,交易明細!$B$2:$B$539,$A16,交易明細!$J$2:$J$539,"&lt;&gt;未平倉"),0)</f>
        <v/>
      </c>
      <c r="L16" s="2">
        <f>COUNTIFS(交易明細!$B$2:$B$539,$A16,交易明細!$J$2:$J$539,"未平倉")</f>
        <v/>
      </c>
    </row>
    <row r="17">
      <c r="A17" s="2" t="inlineStr">
        <is>
          <t>BULLA_USDT_PERP</t>
        </is>
      </c>
      <c r="B17" s="2">
        <f>COUNTIFS(交易明細!$B$2:$B$539,$A17)</f>
        <v/>
      </c>
      <c r="C17" s="2">
        <f>COUNTIFS(交易明細!$B$2:$B$539,$A17,交易明細!$C$2:$C$539,"做多")</f>
        <v/>
      </c>
      <c r="D17" s="2">
        <f>COUNTIFS(交易明細!$B$2:$B$539,$A17,交易明細!$C$2:$C$539,"做空")</f>
        <v/>
      </c>
      <c r="E17" s="2">
        <f>F17+G17+COUNTIFS(交易明細!$B$2:$B$539,$A17,交易明細!$J$2:$J$539,"時間出場")</f>
        <v/>
      </c>
      <c r="F17" s="2">
        <f>COUNTIFS(交易明細!$B$2:$B$539,$A17,交易明細!$J$2:$J$539,"止盈")</f>
        <v/>
      </c>
      <c r="G17" s="2">
        <f>COUNTIFS(交易明細!$B$2:$B$539,$A17,交易明細!$J$2:$J$539,"止損")</f>
        <v/>
      </c>
      <c r="H17" s="4">
        <f>IFERROR(F17/E17,0)</f>
        <v/>
      </c>
      <c r="I17" s="4">
        <f>IFERROR(AVERAGEIFS(交易明細!$L$2:$L$539,交易明細!$B$2:$B$539,$A17,交易明細!$J$2:$J$539,"&lt;&gt;未平倉"),0)</f>
        <v/>
      </c>
      <c r="J17" s="4">
        <f>SUMIFS(交易明細!$L$2:$L$539,交易明細!$B$2:$B$539,$A17,交易明細!$J$2:$J$539,"&lt;&gt;未平倉")</f>
        <v/>
      </c>
      <c r="K17" s="5">
        <f>IFERROR(AVERAGEIFS(交易明細!$K$2:$K$539,交易明細!$B$2:$B$539,$A17,交易明細!$J$2:$J$539,"&lt;&gt;未平倉"),0)</f>
        <v/>
      </c>
      <c r="L17" s="2">
        <f>COUNTIFS(交易明細!$B$2:$B$539,$A17,交易明細!$J$2:$J$539,"未平倉")</f>
        <v/>
      </c>
    </row>
    <row r="18">
      <c r="A18" s="2" t="inlineStr">
        <is>
          <t>HEMI_USDT_PERP</t>
        </is>
      </c>
      <c r="B18" s="2">
        <f>COUNTIFS(交易明細!$B$2:$B$539,$A18)</f>
        <v/>
      </c>
      <c r="C18" s="2">
        <f>COUNTIFS(交易明細!$B$2:$B$539,$A18,交易明細!$C$2:$C$539,"做多")</f>
        <v/>
      </c>
      <c r="D18" s="2">
        <f>COUNTIFS(交易明細!$B$2:$B$539,$A18,交易明細!$C$2:$C$539,"做空")</f>
        <v/>
      </c>
      <c r="E18" s="2">
        <f>F18+G18+COUNTIFS(交易明細!$B$2:$B$539,$A18,交易明細!$J$2:$J$539,"時間出場")</f>
        <v/>
      </c>
      <c r="F18" s="2">
        <f>COUNTIFS(交易明細!$B$2:$B$539,$A18,交易明細!$J$2:$J$539,"止盈")</f>
        <v/>
      </c>
      <c r="G18" s="2">
        <f>COUNTIFS(交易明細!$B$2:$B$539,$A18,交易明細!$J$2:$J$539,"止損")</f>
        <v/>
      </c>
      <c r="H18" s="4">
        <f>IFERROR(F18/E18,0)</f>
        <v/>
      </c>
      <c r="I18" s="4">
        <f>IFERROR(AVERAGEIFS(交易明細!$L$2:$L$539,交易明細!$B$2:$B$539,$A18,交易明細!$J$2:$J$539,"&lt;&gt;未平倉"),0)</f>
        <v/>
      </c>
      <c r="J18" s="4">
        <f>SUMIFS(交易明細!$L$2:$L$539,交易明細!$B$2:$B$539,$A18,交易明細!$J$2:$J$539,"&lt;&gt;未平倉")</f>
        <v/>
      </c>
      <c r="K18" s="5">
        <f>IFERROR(AVERAGEIFS(交易明細!$K$2:$K$539,交易明細!$B$2:$B$539,$A18,交易明細!$J$2:$J$539,"&lt;&gt;未平倉"),0)</f>
        <v/>
      </c>
      <c r="L18" s="2">
        <f>COUNTIFS(交易明細!$B$2:$B$539,$A18,交易明細!$J$2:$J$539,"未平倉")</f>
        <v/>
      </c>
    </row>
    <row r="19">
      <c r="A19" s="2" t="inlineStr">
        <is>
          <t>RAY_USDT_PERP</t>
        </is>
      </c>
      <c r="B19" s="2">
        <f>COUNTIFS(交易明細!$B$2:$B$539,$A19)</f>
        <v/>
      </c>
      <c r="C19" s="2">
        <f>COUNTIFS(交易明細!$B$2:$B$539,$A19,交易明細!$C$2:$C$539,"做多")</f>
        <v/>
      </c>
      <c r="D19" s="2">
        <f>COUNTIFS(交易明細!$B$2:$B$539,$A19,交易明細!$C$2:$C$539,"做空")</f>
        <v/>
      </c>
      <c r="E19" s="2">
        <f>F19+G19+COUNTIFS(交易明細!$B$2:$B$539,$A19,交易明細!$J$2:$J$539,"時間出場")</f>
        <v/>
      </c>
      <c r="F19" s="2">
        <f>COUNTIFS(交易明細!$B$2:$B$539,$A19,交易明細!$J$2:$J$539,"止盈")</f>
        <v/>
      </c>
      <c r="G19" s="2">
        <f>COUNTIFS(交易明細!$B$2:$B$539,$A19,交易明細!$J$2:$J$539,"止損")</f>
        <v/>
      </c>
      <c r="H19" s="4">
        <f>IFERROR(F19/E19,0)</f>
        <v/>
      </c>
      <c r="I19" s="4">
        <f>IFERROR(AVERAGEIFS(交易明細!$L$2:$L$539,交易明細!$B$2:$B$539,$A19,交易明細!$J$2:$J$539,"&lt;&gt;未平倉"),0)</f>
        <v/>
      </c>
      <c r="J19" s="4">
        <f>SUMIFS(交易明細!$L$2:$L$539,交易明細!$B$2:$B$539,$A19,交易明細!$J$2:$J$539,"&lt;&gt;未平倉")</f>
        <v/>
      </c>
      <c r="K19" s="5">
        <f>IFERROR(AVERAGEIFS(交易明細!$K$2:$K$539,交易明細!$B$2:$B$539,$A19,交易明細!$J$2:$J$539,"&lt;&gt;未平倉"),0)</f>
        <v/>
      </c>
      <c r="L19" s="2">
        <f>COUNTIFS(交易明細!$B$2:$B$539,$A19,交易明細!$J$2:$J$539,"未平倉")</f>
        <v/>
      </c>
    </row>
    <row r="20">
      <c r="A20" s="2" t="inlineStr">
        <is>
          <t>INJ_USDT_PERP</t>
        </is>
      </c>
      <c r="B20" s="2">
        <f>COUNTIFS(交易明細!$B$2:$B$539,$A20)</f>
        <v/>
      </c>
      <c r="C20" s="2">
        <f>COUNTIFS(交易明細!$B$2:$B$539,$A20,交易明細!$C$2:$C$539,"做多")</f>
        <v/>
      </c>
      <c r="D20" s="2">
        <f>COUNTIFS(交易明細!$B$2:$B$539,$A20,交易明細!$C$2:$C$539,"做空")</f>
        <v/>
      </c>
      <c r="E20" s="2">
        <f>F20+G20+COUNTIFS(交易明細!$B$2:$B$539,$A20,交易明細!$J$2:$J$539,"時間出場")</f>
        <v/>
      </c>
      <c r="F20" s="2">
        <f>COUNTIFS(交易明細!$B$2:$B$539,$A20,交易明細!$J$2:$J$539,"止盈")</f>
        <v/>
      </c>
      <c r="G20" s="2">
        <f>COUNTIFS(交易明細!$B$2:$B$539,$A20,交易明細!$J$2:$J$539,"止損")</f>
        <v/>
      </c>
      <c r="H20" s="4">
        <f>IFERROR(F20/E20,0)</f>
        <v/>
      </c>
      <c r="I20" s="4">
        <f>IFERROR(AVERAGEIFS(交易明細!$L$2:$L$539,交易明細!$B$2:$B$539,$A20,交易明細!$J$2:$J$539,"&lt;&gt;未平倉"),0)</f>
        <v/>
      </c>
      <c r="J20" s="4">
        <f>SUMIFS(交易明細!$L$2:$L$539,交易明細!$B$2:$B$539,$A20,交易明細!$J$2:$J$539,"&lt;&gt;未平倉")</f>
        <v/>
      </c>
      <c r="K20" s="5">
        <f>IFERROR(AVERAGEIFS(交易明細!$K$2:$K$539,交易明細!$B$2:$B$539,$A20,交易明細!$J$2:$J$539,"&lt;&gt;未平倉"),0)</f>
        <v/>
      </c>
      <c r="L20" s="2">
        <f>COUNTIFS(交易明細!$B$2:$B$539,$A20,交易明細!$J$2:$J$539,"未平倉")</f>
        <v/>
      </c>
    </row>
    <row r="21">
      <c r="A21" s="2" t="inlineStr">
        <is>
          <t>DASH_USDT_PERP</t>
        </is>
      </c>
      <c r="B21" s="2">
        <f>COUNTIFS(交易明細!$B$2:$B$539,$A21)</f>
        <v/>
      </c>
      <c r="C21" s="2">
        <f>COUNTIFS(交易明細!$B$2:$B$539,$A21,交易明細!$C$2:$C$539,"做多")</f>
        <v/>
      </c>
      <c r="D21" s="2">
        <f>COUNTIFS(交易明細!$B$2:$B$539,$A21,交易明細!$C$2:$C$539,"做空")</f>
        <v/>
      </c>
      <c r="E21" s="2">
        <f>F21+G21+COUNTIFS(交易明細!$B$2:$B$539,$A21,交易明細!$J$2:$J$539,"時間出場")</f>
        <v/>
      </c>
      <c r="F21" s="2">
        <f>COUNTIFS(交易明細!$B$2:$B$539,$A21,交易明細!$J$2:$J$539,"止盈")</f>
        <v/>
      </c>
      <c r="G21" s="2">
        <f>COUNTIFS(交易明細!$B$2:$B$539,$A21,交易明細!$J$2:$J$539,"止損")</f>
        <v/>
      </c>
      <c r="H21" s="4">
        <f>IFERROR(F21/E21,0)</f>
        <v/>
      </c>
      <c r="I21" s="4">
        <f>IFERROR(AVERAGEIFS(交易明細!$L$2:$L$539,交易明細!$B$2:$B$539,$A21,交易明細!$J$2:$J$539,"&lt;&gt;未平倉"),0)</f>
        <v/>
      </c>
      <c r="J21" s="4">
        <f>SUMIFS(交易明細!$L$2:$L$539,交易明細!$B$2:$B$539,$A21,交易明細!$J$2:$J$539,"&lt;&gt;未平倉")</f>
        <v/>
      </c>
      <c r="K21" s="5">
        <f>IFERROR(AVERAGEIFS(交易明細!$K$2:$K$539,交易明細!$B$2:$B$539,$A21,交易明細!$J$2:$J$539,"&lt;&gt;未平倉"),0)</f>
        <v/>
      </c>
      <c r="L21" s="2">
        <f>COUNTIFS(交易明細!$B$2:$B$539,$A21,交易明細!$J$2:$J$539,"未平倉")</f>
        <v/>
      </c>
    </row>
    <row r="22">
      <c r="A22" s="2" t="inlineStr">
        <is>
          <t>ZEC_USDT_PERP</t>
        </is>
      </c>
      <c r="B22" s="2">
        <f>COUNTIFS(交易明細!$B$2:$B$539,$A22)</f>
        <v/>
      </c>
      <c r="C22" s="2">
        <f>COUNTIFS(交易明細!$B$2:$B$539,$A22,交易明細!$C$2:$C$539,"做多")</f>
        <v/>
      </c>
      <c r="D22" s="2">
        <f>COUNTIFS(交易明細!$B$2:$B$539,$A22,交易明細!$C$2:$C$539,"做空")</f>
        <v/>
      </c>
      <c r="E22" s="2">
        <f>F22+G22+COUNTIFS(交易明細!$B$2:$B$539,$A22,交易明細!$J$2:$J$539,"時間出場")</f>
        <v/>
      </c>
      <c r="F22" s="2">
        <f>COUNTIFS(交易明細!$B$2:$B$539,$A22,交易明細!$J$2:$J$539,"止盈")</f>
        <v/>
      </c>
      <c r="G22" s="2">
        <f>COUNTIFS(交易明細!$B$2:$B$539,$A22,交易明細!$J$2:$J$539,"止損")</f>
        <v/>
      </c>
      <c r="H22" s="4">
        <f>IFERROR(F22/E22,0)</f>
        <v/>
      </c>
      <c r="I22" s="4">
        <f>IFERROR(AVERAGEIFS(交易明細!$L$2:$L$539,交易明細!$B$2:$B$539,$A22,交易明細!$J$2:$J$539,"&lt;&gt;未平倉"),0)</f>
        <v/>
      </c>
      <c r="J22" s="4">
        <f>SUMIFS(交易明細!$L$2:$L$539,交易明細!$B$2:$B$539,$A22,交易明細!$J$2:$J$539,"&lt;&gt;未平倉")</f>
        <v/>
      </c>
      <c r="K22" s="5">
        <f>IFERROR(AVERAGEIFS(交易明細!$K$2:$K$539,交易明細!$B$2:$B$539,$A22,交易明細!$J$2:$J$539,"&lt;&gt;未平倉"),0)</f>
        <v/>
      </c>
      <c r="L22" s="2">
        <f>COUNTIFS(交易明細!$B$2:$B$539,$A22,交易明細!$J$2:$J$539,"未平倉")</f>
        <v/>
      </c>
    </row>
    <row r="23">
      <c r="A23" s="2" t="inlineStr">
        <is>
          <t>ZAMA_USDT_PERP</t>
        </is>
      </c>
      <c r="B23" s="2">
        <f>COUNTIFS(交易明細!$B$2:$B$539,$A23)</f>
        <v/>
      </c>
      <c r="C23" s="2">
        <f>COUNTIFS(交易明細!$B$2:$B$539,$A23,交易明細!$C$2:$C$539,"做多")</f>
        <v/>
      </c>
      <c r="D23" s="2">
        <f>COUNTIFS(交易明細!$B$2:$B$539,$A23,交易明細!$C$2:$C$539,"做空")</f>
        <v/>
      </c>
      <c r="E23" s="2">
        <f>F23+G23+COUNTIFS(交易明細!$B$2:$B$539,$A23,交易明細!$J$2:$J$539,"時間出場")</f>
        <v/>
      </c>
      <c r="F23" s="2">
        <f>COUNTIFS(交易明細!$B$2:$B$539,$A23,交易明細!$J$2:$J$539,"止盈")</f>
        <v/>
      </c>
      <c r="G23" s="2">
        <f>COUNTIFS(交易明細!$B$2:$B$539,$A23,交易明細!$J$2:$J$539,"止損")</f>
        <v/>
      </c>
      <c r="H23" s="4">
        <f>IFERROR(F23/E23,0)</f>
        <v/>
      </c>
      <c r="I23" s="4">
        <f>IFERROR(AVERAGEIFS(交易明細!$L$2:$L$539,交易明細!$B$2:$B$539,$A23,交易明細!$J$2:$J$539,"&lt;&gt;未平倉"),0)</f>
        <v/>
      </c>
      <c r="J23" s="4">
        <f>SUMIFS(交易明細!$L$2:$L$539,交易明細!$B$2:$B$539,$A23,交易明細!$J$2:$J$539,"&lt;&gt;未平倉")</f>
        <v/>
      </c>
      <c r="K23" s="5">
        <f>IFERROR(AVERAGEIFS(交易明細!$K$2:$K$539,交易明細!$B$2:$B$539,$A23,交易明細!$J$2:$J$539,"&lt;&gt;未平倉"),0)</f>
        <v/>
      </c>
      <c r="L23" s="2">
        <f>COUNTIFS(交易明細!$B$2:$B$539,$A23,交易明細!$J$2:$J$539,"未平倉")</f>
        <v/>
      </c>
    </row>
    <row r="24">
      <c r="A24" s="2" t="inlineStr">
        <is>
          <t>XPL_USDT_PERP</t>
        </is>
      </c>
      <c r="B24" s="2">
        <f>COUNTIFS(交易明細!$B$2:$B$539,$A24)</f>
        <v/>
      </c>
      <c r="C24" s="2">
        <f>COUNTIFS(交易明細!$B$2:$B$539,$A24,交易明細!$C$2:$C$539,"做多")</f>
        <v/>
      </c>
      <c r="D24" s="2">
        <f>COUNTIFS(交易明細!$B$2:$B$539,$A24,交易明細!$C$2:$C$539,"做空")</f>
        <v/>
      </c>
      <c r="E24" s="2">
        <f>F24+G24+COUNTIFS(交易明細!$B$2:$B$539,$A24,交易明細!$J$2:$J$539,"時間出場")</f>
        <v/>
      </c>
      <c r="F24" s="2">
        <f>COUNTIFS(交易明細!$B$2:$B$539,$A24,交易明細!$J$2:$J$539,"止盈")</f>
        <v/>
      </c>
      <c r="G24" s="2">
        <f>COUNTIFS(交易明細!$B$2:$B$539,$A24,交易明細!$J$2:$J$539,"止損")</f>
        <v/>
      </c>
      <c r="H24" s="4">
        <f>IFERROR(F24/E24,0)</f>
        <v/>
      </c>
      <c r="I24" s="4">
        <f>IFERROR(AVERAGEIFS(交易明細!$L$2:$L$539,交易明細!$B$2:$B$539,$A24,交易明細!$J$2:$J$539,"&lt;&gt;未平倉"),0)</f>
        <v/>
      </c>
      <c r="J24" s="4">
        <f>SUMIFS(交易明細!$L$2:$L$539,交易明細!$B$2:$B$539,$A24,交易明細!$J$2:$J$539,"&lt;&gt;未平倉")</f>
        <v/>
      </c>
      <c r="K24" s="5">
        <f>IFERROR(AVERAGEIFS(交易明細!$K$2:$K$539,交易明細!$B$2:$B$539,$A24,交易明細!$J$2:$J$539,"&lt;&gt;未平倉"),0)</f>
        <v/>
      </c>
      <c r="L24" s="2">
        <f>COUNTIFS(交易明細!$B$2:$B$539,$A24,交易明細!$J$2:$J$539,"未平倉")</f>
        <v/>
      </c>
    </row>
    <row r="25">
      <c r="A25" s="2" t="inlineStr">
        <is>
          <t>PENGU_USDT_PERP</t>
        </is>
      </c>
      <c r="B25" s="2">
        <f>COUNTIFS(交易明細!$B$2:$B$539,$A25)</f>
        <v/>
      </c>
      <c r="C25" s="2">
        <f>COUNTIFS(交易明細!$B$2:$B$539,$A25,交易明細!$C$2:$C$539,"做多")</f>
        <v/>
      </c>
      <c r="D25" s="2">
        <f>COUNTIFS(交易明細!$B$2:$B$539,$A25,交易明細!$C$2:$C$539,"做空")</f>
        <v/>
      </c>
      <c r="E25" s="2">
        <f>F25+G25+COUNTIFS(交易明細!$B$2:$B$539,$A25,交易明細!$J$2:$J$539,"時間出場")</f>
        <v/>
      </c>
      <c r="F25" s="2">
        <f>COUNTIFS(交易明細!$B$2:$B$539,$A25,交易明細!$J$2:$J$539,"止盈")</f>
        <v/>
      </c>
      <c r="G25" s="2">
        <f>COUNTIFS(交易明細!$B$2:$B$539,$A25,交易明細!$J$2:$J$539,"止損")</f>
        <v/>
      </c>
      <c r="H25" s="4">
        <f>IFERROR(F25/E25,0)</f>
        <v/>
      </c>
      <c r="I25" s="4">
        <f>IFERROR(AVERAGEIFS(交易明細!$L$2:$L$539,交易明細!$B$2:$B$539,$A25,交易明細!$J$2:$J$539,"&lt;&gt;未平倉"),0)</f>
        <v/>
      </c>
      <c r="J25" s="4">
        <f>SUMIFS(交易明細!$L$2:$L$539,交易明細!$B$2:$B$539,$A25,交易明細!$J$2:$J$539,"&lt;&gt;未平倉")</f>
        <v/>
      </c>
      <c r="K25" s="5">
        <f>IFERROR(AVERAGEIFS(交易明細!$K$2:$K$539,交易明細!$B$2:$B$539,$A25,交易明細!$J$2:$J$539,"&lt;&gt;未平倉"),0)</f>
        <v/>
      </c>
      <c r="L25" s="2">
        <f>COUNTIFS(交易明細!$B$2:$B$539,$A25,交易明細!$J$2:$J$539,"未平倉")</f>
        <v/>
      </c>
    </row>
    <row r="26">
      <c r="A26" s="2" t="inlineStr">
        <is>
          <t>WLD_USDT_PERP</t>
        </is>
      </c>
      <c r="B26" s="2">
        <f>COUNTIFS(交易明細!$B$2:$B$539,$A26)</f>
        <v/>
      </c>
      <c r="C26" s="2">
        <f>COUNTIFS(交易明細!$B$2:$B$539,$A26,交易明細!$C$2:$C$539,"做多")</f>
        <v/>
      </c>
      <c r="D26" s="2">
        <f>COUNTIFS(交易明細!$B$2:$B$539,$A26,交易明細!$C$2:$C$539,"做空")</f>
        <v/>
      </c>
      <c r="E26" s="2">
        <f>F26+G26+COUNTIFS(交易明細!$B$2:$B$539,$A26,交易明細!$J$2:$J$539,"時間出場")</f>
        <v/>
      </c>
      <c r="F26" s="2">
        <f>COUNTIFS(交易明細!$B$2:$B$539,$A26,交易明細!$J$2:$J$539,"止盈")</f>
        <v/>
      </c>
      <c r="G26" s="2">
        <f>COUNTIFS(交易明細!$B$2:$B$539,$A26,交易明細!$J$2:$J$539,"止損")</f>
        <v/>
      </c>
      <c r="H26" s="4">
        <f>IFERROR(F26/E26,0)</f>
        <v/>
      </c>
      <c r="I26" s="4">
        <f>IFERROR(AVERAGEIFS(交易明細!$L$2:$L$539,交易明細!$B$2:$B$539,$A26,交易明細!$J$2:$J$539,"&lt;&gt;未平倉"),0)</f>
        <v/>
      </c>
      <c r="J26" s="4">
        <f>SUMIFS(交易明細!$L$2:$L$539,交易明細!$B$2:$B$539,$A26,交易明細!$J$2:$J$539,"&lt;&gt;未平倉")</f>
        <v/>
      </c>
      <c r="K26" s="5">
        <f>IFERROR(AVERAGEIFS(交易明細!$K$2:$K$539,交易明細!$B$2:$B$539,$A26,交易明細!$J$2:$J$539,"&lt;&gt;未平倉"),0)</f>
        <v/>
      </c>
      <c r="L26" s="2">
        <f>COUNTIFS(交易明細!$B$2:$B$539,$A26,交易明細!$J$2:$J$539,"未平倉")</f>
        <v/>
      </c>
    </row>
    <row r="27">
      <c r="A27" s="2" t="inlineStr">
        <is>
          <t>BTW_USDT_PERP</t>
        </is>
      </c>
      <c r="B27" s="2">
        <f>COUNTIFS(交易明細!$B$2:$B$539,$A27)</f>
        <v/>
      </c>
      <c r="C27" s="2">
        <f>COUNTIFS(交易明細!$B$2:$B$539,$A27,交易明細!$C$2:$C$539,"做多")</f>
        <v/>
      </c>
      <c r="D27" s="2">
        <f>COUNTIFS(交易明細!$B$2:$B$539,$A27,交易明細!$C$2:$C$539,"做空")</f>
        <v/>
      </c>
      <c r="E27" s="2">
        <f>F27+G27+COUNTIFS(交易明細!$B$2:$B$539,$A27,交易明細!$J$2:$J$539,"時間出場")</f>
        <v/>
      </c>
      <c r="F27" s="2">
        <f>COUNTIFS(交易明細!$B$2:$B$539,$A27,交易明細!$J$2:$J$539,"止盈")</f>
        <v/>
      </c>
      <c r="G27" s="2">
        <f>COUNTIFS(交易明細!$B$2:$B$539,$A27,交易明細!$J$2:$J$539,"止損")</f>
        <v/>
      </c>
      <c r="H27" s="4">
        <f>IFERROR(F27/E27,0)</f>
        <v/>
      </c>
      <c r="I27" s="4">
        <f>IFERROR(AVERAGEIFS(交易明細!$L$2:$L$539,交易明細!$B$2:$B$539,$A27,交易明細!$J$2:$J$539,"&lt;&gt;未平倉"),0)</f>
        <v/>
      </c>
      <c r="J27" s="4">
        <f>SUMIFS(交易明細!$L$2:$L$539,交易明細!$B$2:$B$539,$A27,交易明細!$J$2:$J$539,"&lt;&gt;未平倉")</f>
        <v/>
      </c>
      <c r="K27" s="5">
        <f>IFERROR(AVERAGEIFS(交易明細!$K$2:$K$539,交易明細!$B$2:$B$539,$A27,交易明細!$J$2:$J$539,"&lt;&gt;未平倉"),0)</f>
        <v/>
      </c>
      <c r="L27" s="2">
        <f>COUNTIFS(交易明細!$B$2:$B$539,$A27,交易明細!$J$2:$J$539,"未平倉")</f>
        <v/>
      </c>
    </row>
    <row r="28">
      <c r="A28" s="2" t="inlineStr">
        <is>
          <t>ONDO_USDT_PERP</t>
        </is>
      </c>
      <c r="B28" s="2">
        <f>COUNTIFS(交易明細!$B$2:$B$539,$A28)</f>
        <v/>
      </c>
      <c r="C28" s="2">
        <f>COUNTIFS(交易明細!$B$2:$B$539,$A28,交易明細!$C$2:$C$539,"做多")</f>
        <v/>
      </c>
      <c r="D28" s="2">
        <f>COUNTIFS(交易明細!$B$2:$B$539,$A28,交易明細!$C$2:$C$539,"做空")</f>
        <v/>
      </c>
      <c r="E28" s="2">
        <f>F28+G28+COUNTIFS(交易明細!$B$2:$B$539,$A28,交易明細!$J$2:$J$539,"時間出場")</f>
        <v/>
      </c>
      <c r="F28" s="2">
        <f>COUNTIFS(交易明細!$B$2:$B$539,$A28,交易明細!$J$2:$J$539,"止盈")</f>
        <v/>
      </c>
      <c r="G28" s="2">
        <f>COUNTIFS(交易明細!$B$2:$B$539,$A28,交易明細!$J$2:$J$539,"止損")</f>
        <v/>
      </c>
      <c r="H28" s="4">
        <f>IFERROR(F28/E28,0)</f>
        <v/>
      </c>
      <c r="I28" s="4">
        <f>IFERROR(AVERAGEIFS(交易明細!$L$2:$L$539,交易明細!$B$2:$B$539,$A28,交易明細!$J$2:$J$539,"&lt;&gt;未平倉"),0)</f>
        <v/>
      </c>
      <c r="J28" s="4">
        <f>SUMIFS(交易明細!$L$2:$L$539,交易明細!$B$2:$B$539,$A28,交易明細!$J$2:$J$539,"&lt;&gt;未平倉")</f>
        <v/>
      </c>
      <c r="K28" s="5">
        <f>IFERROR(AVERAGEIFS(交易明細!$K$2:$K$539,交易明細!$B$2:$B$539,$A28,交易明細!$J$2:$J$539,"&lt;&gt;未平倉"),0)</f>
        <v/>
      </c>
      <c r="L28" s="2">
        <f>COUNTIFS(交易明細!$B$2:$B$539,$A28,交易明細!$J$2:$J$539,"未平倉")</f>
        <v/>
      </c>
    </row>
    <row r="29">
      <c r="A29" s="2" t="inlineStr">
        <is>
          <t>SKR_USDT_PERP</t>
        </is>
      </c>
      <c r="B29" s="2">
        <f>COUNTIFS(交易明細!$B$2:$B$539,$A29)</f>
        <v/>
      </c>
      <c r="C29" s="2">
        <f>COUNTIFS(交易明細!$B$2:$B$539,$A29,交易明細!$C$2:$C$539,"做多")</f>
        <v/>
      </c>
      <c r="D29" s="2">
        <f>COUNTIFS(交易明細!$B$2:$B$539,$A29,交易明細!$C$2:$C$539,"做空")</f>
        <v/>
      </c>
      <c r="E29" s="2">
        <f>F29+G29+COUNTIFS(交易明細!$B$2:$B$539,$A29,交易明細!$J$2:$J$539,"時間出場")</f>
        <v/>
      </c>
      <c r="F29" s="2">
        <f>COUNTIFS(交易明細!$B$2:$B$539,$A29,交易明細!$J$2:$J$539,"止盈")</f>
        <v/>
      </c>
      <c r="G29" s="2">
        <f>COUNTIFS(交易明細!$B$2:$B$539,$A29,交易明細!$J$2:$J$539,"止損")</f>
        <v/>
      </c>
      <c r="H29" s="4">
        <f>IFERROR(F29/E29,0)</f>
        <v/>
      </c>
      <c r="I29" s="4">
        <f>IFERROR(AVERAGEIFS(交易明細!$L$2:$L$539,交易明細!$B$2:$B$539,$A29,交易明細!$J$2:$J$539,"&lt;&gt;未平倉"),0)</f>
        <v/>
      </c>
      <c r="J29" s="4">
        <f>SUMIFS(交易明細!$L$2:$L$539,交易明細!$B$2:$B$539,$A29,交易明細!$J$2:$J$539,"&lt;&gt;未平倉")</f>
        <v/>
      </c>
      <c r="K29" s="5">
        <f>IFERROR(AVERAGEIFS(交易明細!$K$2:$K$539,交易明細!$B$2:$B$539,$A29,交易明細!$J$2:$J$539,"&lt;&gt;未平倉"),0)</f>
        <v/>
      </c>
      <c r="L29" s="2">
        <f>COUNTIFS(交易明細!$B$2:$B$539,$A29,交易明細!$J$2:$J$539,"未平倉")</f>
        <v/>
      </c>
    </row>
    <row r="30">
      <c r="A30" s="2" t="inlineStr">
        <is>
          <t>IOST_USDT_PERP</t>
        </is>
      </c>
      <c r="B30" s="2">
        <f>COUNTIFS(交易明細!$B$2:$B$539,$A30)</f>
        <v/>
      </c>
      <c r="C30" s="2">
        <f>COUNTIFS(交易明細!$B$2:$B$539,$A30,交易明細!$C$2:$C$539,"做多")</f>
        <v/>
      </c>
      <c r="D30" s="2">
        <f>COUNTIFS(交易明細!$B$2:$B$539,$A30,交易明細!$C$2:$C$539,"做空")</f>
        <v/>
      </c>
      <c r="E30" s="2">
        <f>F30+G30+COUNTIFS(交易明細!$B$2:$B$539,$A30,交易明細!$J$2:$J$539,"時間出場")</f>
        <v/>
      </c>
      <c r="F30" s="2">
        <f>COUNTIFS(交易明細!$B$2:$B$539,$A30,交易明細!$J$2:$J$539,"止盈")</f>
        <v/>
      </c>
      <c r="G30" s="2">
        <f>COUNTIFS(交易明細!$B$2:$B$539,$A30,交易明細!$J$2:$J$539,"止損")</f>
        <v/>
      </c>
      <c r="H30" s="4">
        <f>IFERROR(F30/E30,0)</f>
        <v/>
      </c>
      <c r="I30" s="4">
        <f>IFERROR(AVERAGEIFS(交易明細!$L$2:$L$539,交易明細!$B$2:$B$539,$A30,交易明細!$J$2:$J$539,"&lt;&gt;未平倉"),0)</f>
        <v/>
      </c>
      <c r="J30" s="4">
        <f>SUMIFS(交易明細!$L$2:$L$539,交易明細!$B$2:$B$539,$A30,交易明細!$J$2:$J$539,"&lt;&gt;未平倉")</f>
        <v/>
      </c>
      <c r="K30" s="5">
        <f>IFERROR(AVERAGEIFS(交易明細!$K$2:$K$539,交易明細!$B$2:$B$539,$A30,交易明細!$J$2:$J$539,"&lt;&gt;未平倉"),0)</f>
        <v/>
      </c>
      <c r="L30" s="2">
        <f>COUNTIFS(交易明細!$B$2:$B$539,$A30,交易明細!$J$2:$J$539,"未平倉")</f>
        <v/>
      </c>
    </row>
    <row r="31">
      <c r="A31" s="2" t="inlineStr">
        <is>
          <t>AERO_USDT_PERP</t>
        </is>
      </c>
      <c r="B31" s="2">
        <f>COUNTIFS(交易明細!$B$2:$B$539,$A31)</f>
        <v/>
      </c>
      <c r="C31" s="2">
        <f>COUNTIFS(交易明細!$B$2:$B$539,$A31,交易明細!$C$2:$C$539,"做多")</f>
        <v/>
      </c>
      <c r="D31" s="2">
        <f>COUNTIFS(交易明細!$B$2:$B$539,$A31,交易明細!$C$2:$C$539,"做空")</f>
        <v/>
      </c>
      <c r="E31" s="2">
        <f>F31+G31+COUNTIFS(交易明細!$B$2:$B$539,$A31,交易明細!$J$2:$J$539,"時間出場")</f>
        <v/>
      </c>
      <c r="F31" s="2">
        <f>COUNTIFS(交易明細!$B$2:$B$539,$A31,交易明細!$J$2:$J$539,"止盈")</f>
        <v/>
      </c>
      <c r="G31" s="2">
        <f>COUNTIFS(交易明細!$B$2:$B$539,$A31,交易明細!$J$2:$J$539,"止損")</f>
        <v/>
      </c>
      <c r="H31" s="4">
        <f>IFERROR(F31/E31,0)</f>
        <v/>
      </c>
      <c r="I31" s="4">
        <f>IFERROR(AVERAGEIFS(交易明細!$L$2:$L$539,交易明細!$B$2:$B$539,$A31,交易明細!$J$2:$J$539,"&lt;&gt;未平倉"),0)</f>
        <v/>
      </c>
      <c r="J31" s="4">
        <f>SUMIFS(交易明細!$L$2:$L$539,交易明細!$B$2:$B$539,$A31,交易明細!$J$2:$J$539,"&lt;&gt;未平倉")</f>
        <v/>
      </c>
      <c r="K31" s="5">
        <f>IFERROR(AVERAGEIFS(交易明細!$K$2:$K$539,交易明細!$B$2:$B$539,$A31,交易明細!$J$2:$J$539,"&lt;&gt;未平倉"),0)</f>
        <v/>
      </c>
      <c r="L31" s="2">
        <f>COUNTIFS(交易明細!$B$2:$B$539,$A31,交易明細!$J$2:$J$539,"未平倉")</f>
        <v/>
      </c>
    </row>
    <row r="32">
      <c r="A32" s="2" t="inlineStr">
        <is>
          <t>LAB_USDT_PERP</t>
        </is>
      </c>
      <c r="B32" s="2">
        <f>COUNTIFS(交易明細!$B$2:$B$539,$A32)</f>
        <v/>
      </c>
      <c r="C32" s="2">
        <f>COUNTIFS(交易明細!$B$2:$B$539,$A32,交易明細!$C$2:$C$539,"做多")</f>
        <v/>
      </c>
      <c r="D32" s="2">
        <f>COUNTIFS(交易明細!$B$2:$B$539,$A32,交易明細!$C$2:$C$539,"做空")</f>
        <v/>
      </c>
      <c r="E32" s="2">
        <f>F32+G32+COUNTIFS(交易明細!$B$2:$B$539,$A32,交易明細!$J$2:$J$539,"時間出場")</f>
        <v/>
      </c>
      <c r="F32" s="2">
        <f>COUNTIFS(交易明細!$B$2:$B$539,$A32,交易明細!$J$2:$J$539,"止盈")</f>
        <v/>
      </c>
      <c r="G32" s="2">
        <f>COUNTIFS(交易明細!$B$2:$B$539,$A32,交易明細!$J$2:$J$539,"止損")</f>
        <v/>
      </c>
      <c r="H32" s="4">
        <f>IFERROR(F32/E32,0)</f>
        <v/>
      </c>
      <c r="I32" s="4">
        <f>IFERROR(AVERAGEIFS(交易明細!$L$2:$L$539,交易明細!$B$2:$B$539,$A32,交易明細!$J$2:$J$539,"&lt;&gt;未平倉"),0)</f>
        <v/>
      </c>
      <c r="J32" s="4">
        <f>SUMIFS(交易明細!$L$2:$L$539,交易明細!$B$2:$B$539,$A32,交易明細!$J$2:$J$539,"&lt;&gt;未平倉")</f>
        <v/>
      </c>
      <c r="K32" s="5">
        <f>IFERROR(AVERAGEIFS(交易明細!$K$2:$K$539,交易明細!$B$2:$B$539,$A32,交易明細!$J$2:$J$539,"&lt;&gt;未平倉"),0)</f>
        <v/>
      </c>
      <c r="L32" s="2">
        <f>COUNTIFS(交易明細!$B$2:$B$539,$A32,交易明細!$J$2:$J$539,"未平倉")</f>
        <v/>
      </c>
    </row>
    <row r="33">
      <c r="A33" s="2" t="inlineStr">
        <is>
          <t>AIN_USDT_PERP</t>
        </is>
      </c>
      <c r="B33" s="2">
        <f>COUNTIFS(交易明細!$B$2:$B$539,$A33)</f>
        <v/>
      </c>
      <c r="C33" s="2">
        <f>COUNTIFS(交易明細!$B$2:$B$539,$A33,交易明細!$C$2:$C$539,"做多")</f>
        <v/>
      </c>
      <c r="D33" s="2">
        <f>COUNTIFS(交易明細!$B$2:$B$539,$A33,交易明細!$C$2:$C$539,"做空")</f>
        <v/>
      </c>
      <c r="E33" s="2">
        <f>F33+G33+COUNTIFS(交易明細!$B$2:$B$539,$A33,交易明細!$J$2:$J$539,"時間出場")</f>
        <v/>
      </c>
      <c r="F33" s="2">
        <f>COUNTIFS(交易明細!$B$2:$B$539,$A33,交易明細!$J$2:$J$539,"止盈")</f>
        <v/>
      </c>
      <c r="G33" s="2">
        <f>COUNTIFS(交易明細!$B$2:$B$539,$A33,交易明細!$J$2:$J$539,"止損")</f>
        <v/>
      </c>
      <c r="H33" s="4">
        <f>IFERROR(F33/E33,0)</f>
        <v/>
      </c>
      <c r="I33" s="4">
        <f>IFERROR(AVERAGEIFS(交易明細!$L$2:$L$539,交易明細!$B$2:$B$539,$A33,交易明細!$J$2:$J$539,"&lt;&gt;未平倉"),0)</f>
        <v/>
      </c>
      <c r="J33" s="4">
        <f>SUMIFS(交易明細!$L$2:$L$539,交易明細!$B$2:$B$539,$A33,交易明細!$J$2:$J$539,"&lt;&gt;未平倉")</f>
        <v/>
      </c>
      <c r="K33" s="5">
        <f>IFERROR(AVERAGEIFS(交易明細!$K$2:$K$539,交易明細!$B$2:$B$539,$A33,交易明細!$J$2:$J$539,"&lt;&gt;未平倉"),0)</f>
        <v/>
      </c>
      <c r="L33" s="2">
        <f>COUNTIFS(交易明細!$B$2:$B$539,$A33,交易明細!$J$2:$J$539,"未平倉")</f>
        <v/>
      </c>
    </row>
    <row r="34">
      <c r="A34" s="2" t="inlineStr">
        <is>
          <t>NIL_USDT_PERP</t>
        </is>
      </c>
      <c r="B34" s="2">
        <f>COUNTIFS(交易明細!$B$2:$B$539,$A34)</f>
        <v/>
      </c>
      <c r="C34" s="2">
        <f>COUNTIFS(交易明細!$B$2:$B$539,$A34,交易明細!$C$2:$C$539,"做多")</f>
        <v/>
      </c>
      <c r="D34" s="2">
        <f>COUNTIFS(交易明細!$B$2:$B$539,$A34,交易明細!$C$2:$C$539,"做空")</f>
        <v/>
      </c>
      <c r="E34" s="2">
        <f>F34+G34+COUNTIFS(交易明細!$B$2:$B$539,$A34,交易明細!$J$2:$J$539,"時間出場")</f>
        <v/>
      </c>
      <c r="F34" s="2">
        <f>COUNTIFS(交易明細!$B$2:$B$539,$A34,交易明細!$J$2:$J$539,"止盈")</f>
        <v/>
      </c>
      <c r="G34" s="2">
        <f>COUNTIFS(交易明細!$B$2:$B$539,$A34,交易明細!$J$2:$J$539,"止損")</f>
        <v/>
      </c>
      <c r="H34" s="4">
        <f>IFERROR(F34/E34,0)</f>
        <v/>
      </c>
      <c r="I34" s="4">
        <f>IFERROR(AVERAGEIFS(交易明細!$L$2:$L$539,交易明細!$B$2:$B$539,$A34,交易明細!$J$2:$J$539,"&lt;&gt;未平倉"),0)</f>
        <v/>
      </c>
      <c r="J34" s="4">
        <f>SUMIFS(交易明細!$L$2:$L$539,交易明細!$B$2:$B$539,$A34,交易明細!$J$2:$J$539,"&lt;&gt;未平倉")</f>
        <v/>
      </c>
      <c r="K34" s="5">
        <f>IFERROR(AVERAGEIFS(交易明細!$K$2:$K$539,交易明細!$B$2:$B$539,$A34,交易明細!$J$2:$J$539,"&lt;&gt;未平倉"),0)</f>
        <v/>
      </c>
      <c r="L34" s="2">
        <f>COUNTIFS(交易明細!$B$2:$B$539,$A34,交易明細!$J$2:$J$539,"未平倉")</f>
        <v/>
      </c>
    </row>
    <row r="35">
      <c r="A35" s="2" t="inlineStr">
        <is>
          <t>FET_USDT_PERP</t>
        </is>
      </c>
      <c r="B35" s="2">
        <f>COUNTIFS(交易明細!$B$2:$B$539,$A35)</f>
        <v/>
      </c>
      <c r="C35" s="2">
        <f>COUNTIFS(交易明細!$B$2:$B$539,$A35,交易明細!$C$2:$C$539,"做多")</f>
        <v/>
      </c>
      <c r="D35" s="2">
        <f>COUNTIFS(交易明細!$B$2:$B$539,$A35,交易明細!$C$2:$C$539,"做空")</f>
        <v/>
      </c>
      <c r="E35" s="2">
        <f>F35+G35+COUNTIFS(交易明細!$B$2:$B$539,$A35,交易明細!$J$2:$J$539,"時間出場")</f>
        <v/>
      </c>
      <c r="F35" s="2">
        <f>COUNTIFS(交易明細!$B$2:$B$539,$A35,交易明細!$J$2:$J$539,"止盈")</f>
        <v/>
      </c>
      <c r="G35" s="2">
        <f>COUNTIFS(交易明細!$B$2:$B$539,$A35,交易明細!$J$2:$J$539,"止損")</f>
        <v/>
      </c>
      <c r="H35" s="4">
        <f>IFERROR(F35/E35,0)</f>
        <v/>
      </c>
      <c r="I35" s="4">
        <f>IFERROR(AVERAGEIFS(交易明細!$L$2:$L$539,交易明細!$B$2:$B$539,$A35,交易明細!$J$2:$J$539,"&lt;&gt;未平倉"),0)</f>
        <v/>
      </c>
      <c r="J35" s="4">
        <f>SUMIFS(交易明細!$L$2:$L$539,交易明細!$B$2:$B$539,$A35,交易明細!$J$2:$J$539,"&lt;&gt;未平倉")</f>
        <v/>
      </c>
      <c r="K35" s="5">
        <f>IFERROR(AVERAGEIFS(交易明細!$K$2:$K$539,交易明細!$B$2:$B$539,$A35,交易明細!$J$2:$J$539,"&lt;&gt;未平倉"),0)</f>
        <v/>
      </c>
      <c r="L35" s="2">
        <f>COUNTIFS(交易明細!$B$2:$B$539,$A35,交易明細!$J$2:$J$539,"未平倉")</f>
        <v/>
      </c>
    </row>
    <row r="36">
      <c r="A36" s="2" t="inlineStr">
        <is>
          <t>PHA_USDT_PERP</t>
        </is>
      </c>
      <c r="B36" s="2">
        <f>COUNTIFS(交易明細!$B$2:$B$539,$A36)</f>
        <v/>
      </c>
      <c r="C36" s="2">
        <f>COUNTIFS(交易明細!$B$2:$B$539,$A36,交易明細!$C$2:$C$539,"做多")</f>
        <v/>
      </c>
      <c r="D36" s="2">
        <f>COUNTIFS(交易明細!$B$2:$B$539,$A36,交易明細!$C$2:$C$539,"做空")</f>
        <v/>
      </c>
      <c r="E36" s="2">
        <f>F36+G36+COUNTIFS(交易明細!$B$2:$B$539,$A36,交易明細!$J$2:$J$539,"時間出場")</f>
        <v/>
      </c>
      <c r="F36" s="2">
        <f>COUNTIFS(交易明細!$B$2:$B$539,$A36,交易明細!$J$2:$J$539,"止盈")</f>
        <v/>
      </c>
      <c r="G36" s="2">
        <f>COUNTIFS(交易明細!$B$2:$B$539,$A36,交易明細!$J$2:$J$539,"止損")</f>
        <v/>
      </c>
      <c r="H36" s="4">
        <f>IFERROR(F36/E36,0)</f>
        <v/>
      </c>
      <c r="I36" s="4">
        <f>IFERROR(AVERAGEIFS(交易明細!$L$2:$L$539,交易明細!$B$2:$B$539,$A36,交易明細!$J$2:$J$539,"&lt;&gt;未平倉"),0)</f>
        <v/>
      </c>
      <c r="J36" s="4">
        <f>SUMIFS(交易明細!$L$2:$L$539,交易明細!$B$2:$B$539,$A36,交易明細!$J$2:$J$539,"&lt;&gt;未平倉")</f>
        <v/>
      </c>
      <c r="K36" s="5">
        <f>IFERROR(AVERAGEIFS(交易明細!$K$2:$K$539,交易明細!$B$2:$B$539,$A36,交易明細!$J$2:$J$539,"&lt;&gt;未平倉"),0)</f>
        <v/>
      </c>
      <c r="L36" s="2">
        <f>COUNTIFS(交易明細!$B$2:$B$539,$A36,交易明細!$J$2:$J$539,"未平倉")</f>
        <v/>
      </c>
    </row>
    <row r="37">
      <c r="A37" s="2" t="inlineStr">
        <is>
          <t>XMR_USDT_PERP</t>
        </is>
      </c>
      <c r="B37" s="2">
        <f>COUNTIFS(交易明細!$B$2:$B$539,$A37)</f>
        <v/>
      </c>
      <c r="C37" s="2">
        <f>COUNTIFS(交易明細!$B$2:$B$539,$A37,交易明細!$C$2:$C$539,"做多")</f>
        <v/>
      </c>
      <c r="D37" s="2">
        <f>COUNTIFS(交易明細!$B$2:$B$539,$A37,交易明細!$C$2:$C$539,"做空")</f>
        <v/>
      </c>
      <c r="E37" s="2">
        <f>F37+G37+COUNTIFS(交易明細!$B$2:$B$539,$A37,交易明細!$J$2:$J$539,"時間出場")</f>
        <v/>
      </c>
      <c r="F37" s="2">
        <f>COUNTIFS(交易明細!$B$2:$B$539,$A37,交易明細!$J$2:$J$539,"止盈")</f>
        <v/>
      </c>
      <c r="G37" s="2">
        <f>COUNTIFS(交易明細!$B$2:$B$539,$A37,交易明細!$J$2:$J$539,"止損")</f>
        <v/>
      </c>
      <c r="H37" s="4">
        <f>IFERROR(F37/E37,0)</f>
        <v/>
      </c>
      <c r="I37" s="4">
        <f>IFERROR(AVERAGEIFS(交易明細!$L$2:$L$539,交易明細!$B$2:$B$539,$A37,交易明細!$J$2:$J$539,"&lt;&gt;未平倉"),0)</f>
        <v/>
      </c>
      <c r="J37" s="4">
        <f>SUMIFS(交易明細!$L$2:$L$539,交易明細!$B$2:$B$539,$A37,交易明細!$J$2:$J$539,"&lt;&gt;未平倉")</f>
        <v/>
      </c>
      <c r="K37" s="5">
        <f>IFERROR(AVERAGEIFS(交易明細!$K$2:$K$539,交易明細!$B$2:$B$539,$A37,交易明細!$J$2:$J$539,"&lt;&gt;未平倉"),0)</f>
        <v/>
      </c>
      <c r="L37" s="2">
        <f>COUNTIFS(交易明細!$B$2:$B$539,$A37,交易明細!$J$2:$J$539,"未平倉")</f>
        <v/>
      </c>
    </row>
    <row r="38">
      <c r="A38" s="2" t="inlineStr">
        <is>
          <t>BTR_USDT_PERP</t>
        </is>
      </c>
      <c r="B38" s="2">
        <f>COUNTIFS(交易明細!$B$2:$B$539,$A38)</f>
        <v/>
      </c>
      <c r="C38" s="2">
        <f>COUNTIFS(交易明細!$B$2:$B$539,$A38,交易明細!$C$2:$C$539,"做多")</f>
        <v/>
      </c>
      <c r="D38" s="2">
        <f>COUNTIFS(交易明細!$B$2:$B$539,$A38,交易明細!$C$2:$C$539,"做空")</f>
        <v/>
      </c>
      <c r="E38" s="2">
        <f>F38+G38+COUNTIFS(交易明細!$B$2:$B$539,$A38,交易明細!$J$2:$J$539,"時間出場")</f>
        <v/>
      </c>
      <c r="F38" s="2">
        <f>COUNTIFS(交易明細!$B$2:$B$539,$A38,交易明細!$J$2:$J$539,"止盈")</f>
        <v/>
      </c>
      <c r="G38" s="2">
        <f>COUNTIFS(交易明細!$B$2:$B$539,$A38,交易明細!$J$2:$J$539,"止損")</f>
        <v/>
      </c>
      <c r="H38" s="4">
        <f>IFERROR(F38/E38,0)</f>
        <v/>
      </c>
      <c r="I38" s="4">
        <f>IFERROR(AVERAGEIFS(交易明細!$L$2:$L$539,交易明細!$B$2:$B$539,$A38,交易明細!$J$2:$J$539,"&lt;&gt;未平倉"),0)</f>
        <v/>
      </c>
      <c r="J38" s="4">
        <f>SUMIFS(交易明細!$L$2:$L$539,交易明細!$B$2:$B$539,$A38,交易明細!$J$2:$J$539,"&lt;&gt;未平倉")</f>
        <v/>
      </c>
      <c r="K38" s="5">
        <f>IFERROR(AVERAGEIFS(交易明細!$K$2:$K$539,交易明細!$B$2:$B$539,$A38,交易明細!$J$2:$J$539,"&lt;&gt;未平倉"),0)</f>
        <v/>
      </c>
      <c r="L38" s="2">
        <f>COUNTIFS(交易明細!$B$2:$B$539,$A38,交易明細!$J$2:$J$539,"未平倉")</f>
        <v/>
      </c>
    </row>
    <row r="39">
      <c r="A39" s="2" t="inlineStr">
        <is>
          <t>TAO_USDT_PERP</t>
        </is>
      </c>
      <c r="B39" s="2">
        <f>COUNTIFS(交易明細!$B$2:$B$539,$A39)</f>
        <v/>
      </c>
      <c r="C39" s="2">
        <f>COUNTIFS(交易明細!$B$2:$B$539,$A39,交易明細!$C$2:$C$539,"做多")</f>
        <v/>
      </c>
      <c r="D39" s="2">
        <f>COUNTIFS(交易明細!$B$2:$B$539,$A39,交易明細!$C$2:$C$539,"做空")</f>
        <v/>
      </c>
      <c r="E39" s="2">
        <f>F39+G39+COUNTIFS(交易明細!$B$2:$B$539,$A39,交易明細!$J$2:$J$539,"時間出場")</f>
        <v/>
      </c>
      <c r="F39" s="2">
        <f>COUNTIFS(交易明細!$B$2:$B$539,$A39,交易明細!$J$2:$J$539,"止盈")</f>
        <v/>
      </c>
      <c r="G39" s="2">
        <f>COUNTIFS(交易明細!$B$2:$B$539,$A39,交易明細!$J$2:$J$539,"止損")</f>
        <v/>
      </c>
      <c r="H39" s="4">
        <f>IFERROR(F39/E39,0)</f>
        <v/>
      </c>
      <c r="I39" s="4">
        <f>IFERROR(AVERAGEIFS(交易明細!$L$2:$L$539,交易明細!$B$2:$B$539,$A39,交易明細!$J$2:$J$539,"&lt;&gt;未平倉"),0)</f>
        <v/>
      </c>
      <c r="J39" s="4">
        <f>SUMIFS(交易明細!$L$2:$L$539,交易明細!$B$2:$B$539,$A39,交易明細!$J$2:$J$539,"&lt;&gt;未平倉")</f>
        <v/>
      </c>
      <c r="K39" s="5">
        <f>IFERROR(AVERAGEIFS(交易明細!$K$2:$K$539,交易明細!$B$2:$B$539,$A39,交易明細!$J$2:$J$539,"&lt;&gt;未平倉"),0)</f>
        <v/>
      </c>
      <c r="L39" s="2">
        <f>COUNTIFS(交易明細!$B$2:$B$539,$A39,交易明細!$J$2:$J$539,"未平倉")</f>
        <v/>
      </c>
    </row>
    <row r="40">
      <c r="A40" s="2" t="inlineStr">
        <is>
          <t>ICP_USDT_PERP</t>
        </is>
      </c>
      <c r="B40" s="2">
        <f>COUNTIFS(交易明細!$B$2:$B$539,$A40)</f>
        <v/>
      </c>
      <c r="C40" s="2">
        <f>COUNTIFS(交易明細!$B$2:$B$539,$A40,交易明細!$C$2:$C$539,"做多")</f>
        <v/>
      </c>
      <c r="D40" s="2">
        <f>COUNTIFS(交易明細!$B$2:$B$539,$A40,交易明細!$C$2:$C$539,"做空")</f>
        <v/>
      </c>
      <c r="E40" s="2">
        <f>F40+G40+COUNTIFS(交易明細!$B$2:$B$539,$A40,交易明細!$J$2:$J$539,"時間出場")</f>
        <v/>
      </c>
      <c r="F40" s="2">
        <f>COUNTIFS(交易明細!$B$2:$B$539,$A40,交易明細!$J$2:$J$539,"止盈")</f>
        <v/>
      </c>
      <c r="G40" s="2">
        <f>COUNTIFS(交易明細!$B$2:$B$539,$A40,交易明細!$J$2:$J$539,"止損")</f>
        <v/>
      </c>
      <c r="H40" s="4">
        <f>IFERROR(F40/E40,0)</f>
        <v/>
      </c>
      <c r="I40" s="4">
        <f>IFERROR(AVERAGEIFS(交易明細!$L$2:$L$539,交易明細!$B$2:$B$539,$A40,交易明細!$J$2:$J$539,"&lt;&gt;未平倉"),0)</f>
        <v/>
      </c>
      <c r="J40" s="4">
        <f>SUMIFS(交易明細!$L$2:$L$539,交易明細!$B$2:$B$539,$A40,交易明細!$J$2:$J$539,"&lt;&gt;未平倉")</f>
        <v/>
      </c>
      <c r="K40" s="5">
        <f>IFERROR(AVERAGEIFS(交易明細!$K$2:$K$539,交易明細!$B$2:$B$539,$A40,交易明細!$J$2:$J$539,"&lt;&gt;未平倉"),0)</f>
        <v/>
      </c>
      <c r="L40" s="2">
        <f>COUNTIFS(交易明細!$B$2:$B$539,$A40,交易明細!$J$2:$J$539,"未平倉")</f>
        <v/>
      </c>
    </row>
    <row r="41">
      <c r="A41" s="2" t="inlineStr">
        <is>
          <t>MET_USDT_PERP</t>
        </is>
      </c>
      <c r="B41" s="2">
        <f>COUNTIFS(交易明細!$B$2:$B$539,$A41)</f>
        <v/>
      </c>
      <c r="C41" s="2">
        <f>COUNTIFS(交易明細!$B$2:$B$539,$A41,交易明細!$C$2:$C$539,"做多")</f>
        <v/>
      </c>
      <c r="D41" s="2">
        <f>COUNTIFS(交易明細!$B$2:$B$539,$A41,交易明細!$C$2:$C$539,"做空")</f>
        <v/>
      </c>
      <c r="E41" s="2">
        <f>F41+G41+COUNTIFS(交易明細!$B$2:$B$539,$A41,交易明細!$J$2:$J$539,"時間出場")</f>
        <v/>
      </c>
      <c r="F41" s="2">
        <f>COUNTIFS(交易明細!$B$2:$B$539,$A41,交易明細!$J$2:$J$539,"止盈")</f>
        <v/>
      </c>
      <c r="G41" s="2">
        <f>COUNTIFS(交易明細!$B$2:$B$539,$A41,交易明細!$J$2:$J$539,"止損")</f>
        <v/>
      </c>
      <c r="H41" s="4">
        <f>IFERROR(F41/E41,0)</f>
        <v/>
      </c>
      <c r="I41" s="4">
        <f>IFERROR(AVERAGEIFS(交易明細!$L$2:$L$539,交易明細!$B$2:$B$539,$A41,交易明細!$J$2:$J$539,"&lt;&gt;未平倉"),0)</f>
        <v/>
      </c>
      <c r="J41" s="4">
        <f>SUMIFS(交易明細!$L$2:$L$539,交易明細!$B$2:$B$539,$A41,交易明細!$J$2:$J$539,"&lt;&gt;未平倉")</f>
        <v/>
      </c>
      <c r="K41" s="5">
        <f>IFERROR(AVERAGEIFS(交易明細!$K$2:$K$539,交易明細!$B$2:$B$539,$A41,交易明細!$J$2:$J$539,"&lt;&gt;未平倉"),0)</f>
        <v/>
      </c>
      <c r="L41" s="2">
        <f>COUNTIFS(交易明細!$B$2:$B$539,$A41,交易明細!$J$2:$J$539,"未平倉")</f>
        <v/>
      </c>
    </row>
    <row r="42">
      <c r="A42" s="2" t="inlineStr">
        <is>
          <t>FIL_USDT_PERP</t>
        </is>
      </c>
      <c r="B42" s="2">
        <f>COUNTIFS(交易明細!$B$2:$B$539,$A42)</f>
        <v/>
      </c>
      <c r="C42" s="2">
        <f>COUNTIFS(交易明細!$B$2:$B$539,$A42,交易明細!$C$2:$C$539,"做多")</f>
        <v/>
      </c>
      <c r="D42" s="2">
        <f>COUNTIFS(交易明細!$B$2:$B$539,$A42,交易明細!$C$2:$C$539,"做空")</f>
        <v/>
      </c>
      <c r="E42" s="2">
        <f>F42+G42+COUNTIFS(交易明細!$B$2:$B$539,$A42,交易明細!$J$2:$J$539,"時間出場")</f>
        <v/>
      </c>
      <c r="F42" s="2">
        <f>COUNTIFS(交易明細!$B$2:$B$539,$A42,交易明細!$J$2:$J$539,"止盈")</f>
        <v/>
      </c>
      <c r="G42" s="2">
        <f>COUNTIFS(交易明細!$B$2:$B$539,$A42,交易明細!$J$2:$J$539,"止損")</f>
        <v/>
      </c>
      <c r="H42" s="4">
        <f>IFERROR(F42/E42,0)</f>
        <v/>
      </c>
      <c r="I42" s="4">
        <f>IFERROR(AVERAGEIFS(交易明細!$L$2:$L$539,交易明細!$B$2:$B$539,$A42,交易明細!$J$2:$J$539,"&lt;&gt;未平倉"),0)</f>
        <v/>
      </c>
      <c r="J42" s="4">
        <f>SUMIFS(交易明細!$L$2:$L$539,交易明細!$B$2:$B$539,$A42,交易明細!$J$2:$J$539,"&lt;&gt;未平倉")</f>
        <v/>
      </c>
      <c r="K42" s="5">
        <f>IFERROR(AVERAGEIFS(交易明細!$K$2:$K$539,交易明細!$B$2:$B$539,$A42,交易明細!$J$2:$J$539,"&lt;&gt;未平倉"),0)</f>
        <v/>
      </c>
      <c r="L42" s="2">
        <f>COUNTIFS(交易明細!$B$2:$B$539,$A42,交易明細!$J$2:$J$539,"未平倉")</f>
        <v/>
      </c>
    </row>
    <row r="43">
      <c r="A43" s="2" t="inlineStr">
        <is>
          <t>GENIUS_USDT_PERP</t>
        </is>
      </c>
      <c r="B43" s="2">
        <f>COUNTIFS(交易明細!$B$2:$B$539,$A43)</f>
        <v/>
      </c>
      <c r="C43" s="2">
        <f>COUNTIFS(交易明細!$B$2:$B$539,$A43,交易明細!$C$2:$C$539,"做多")</f>
        <v/>
      </c>
      <c r="D43" s="2">
        <f>COUNTIFS(交易明細!$B$2:$B$539,$A43,交易明細!$C$2:$C$539,"做空")</f>
        <v/>
      </c>
      <c r="E43" s="2">
        <f>F43+G43+COUNTIFS(交易明細!$B$2:$B$539,$A43,交易明細!$J$2:$J$539,"時間出場")</f>
        <v/>
      </c>
      <c r="F43" s="2">
        <f>COUNTIFS(交易明細!$B$2:$B$539,$A43,交易明細!$J$2:$J$539,"止盈")</f>
        <v/>
      </c>
      <c r="G43" s="2">
        <f>COUNTIFS(交易明細!$B$2:$B$539,$A43,交易明細!$J$2:$J$539,"止損")</f>
        <v/>
      </c>
      <c r="H43" s="4">
        <f>IFERROR(F43/E43,0)</f>
        <v/>
      </c>
      <c r="I43" s="4">
        <f>IFERROR(AVERAGEIFS(交易明細!$L$2:$L$539,交易明細!$B$2:$B$539,$A43,交易明細!$J$2:$J$539,"&lt;&gt;未平倉"),0)</f>
        <v/>
      </c>
      <c r="J43" s="4">
        <f>SUMIFS(交易明細!$L$2:$L$539,交易明細!$B$2:$B$539,$A43,交易明細!$J$2:$J$539,"&lt;&gt;未平倉")</f>
        <v/>
      </c>
      <c r="K43" s="5">
        <f>IFERROR(AVERAGEIFS(交易明細!$K$2:$K$539,交易明細!$B$2:$B$539,$A43,交易明細!$J$2:$J$539,"&lt;&gt;未平倉"),0)</f>
        <v/>
      </c>
      <c r="L43" s="2">
        <f>COUNTIFS(交易明細!$B$2:$B$539,$A43,交易明細!$J$2:$J$539,"未平倉")</f>
        <v/>
      </c>
    </row>
    <row r="44">
      <c r="A44" s="2" t="inlineStr">
        <is>
          <t>PEPE_USDT_PERP</t>
        </is>
      </c>
      <c r="B44" s="2">
        <f>COUNTIFS(交易明細!$B$2:$B$539,$A44)</f>
        <v/>
      </c>
      <c r="C44" s="2">
        <f>COUNTIFS(交易明細!$B$2:$B$539,$A44,交易明細!$C$2:$C$539,"做多")</f>
        <v/>
      </c>
      <c r="D44" s="2">
        <f>COUNTIFS(交易明細!$B$2:$B$539,$A44,交易明細!$C$2:$C$539,"做空")</f>
        <v/>
      </c>
      <c r="E44" s="2">
        <f>F44+G44+COUNTIFS(交易明細!$B$2:$B$539,$A44,交易明細!$J$2:$J$539,"時間出場")</f>
        <v/>
      </c>
      <c r="F44" s="2">
        <f>COUNTIFS(交易明細!$B$2:$B$539,$A44,交易明細!$J$2:$J$539,"止盈")</f>
        <v/>
      </c>
      <c r="G44" s="2">
        <f>COUNTIFS(交易明細!$B$2:$B$539,$A44,交易明細!$J$2:$J$539,"止損")</f>
        <v/>
      </c>
      <c r="H44" s="4">
        <f>IFERROR(F44/E44,0)</f>
        <v/>
      </c>
      <c r="I44" s="4">
        <f>IFERROR(AVERAGEIFS(交易明細!$L$2:$L$539,交易明細!$B$2:$B$539,$A44,交易明細!$J$2:$J$539,"&lt;&gt;未平倉"),0)</f>
        <v/>
      </c>
      <c r="J44" s="4">
        <f>SUMIFS(交易明細!$L$2:$L$539,交易明細!$B$2:$B$539,$A44,交易明細!$J$2:$J$539,"&lt;&gt;未平倉")</f>
        <v/>
      </c>
      <c r="K44" s="5">
        <f>IFERROR(AVERAGEIFS(交易明細!$K$2:$K$539,交易明細!$B$2:$B$539,$A44,交易明細!$J$2:$J$539,"&lt;&gt;未平倉"),0)</f>
        <v/>
      </c>
      <c r="L44" s="2">
        <f>COUNTIFS(交易明細!$B$2:$B$539,$A44,交易明細!$J$2:$J$539,"未平倉")</f>
        <v/>
      </c>
    </row>
    <row r="45">
      <c r="A45" s="2" t="inlineStr">
        <is>
          <t>SUI_USDT_PERP</t>
        </is>
      </c>
      <c r="B45" s="2">
        <f>COUNTIFS(交易明細!$B$2:$B$539,$A45)</f>
        <v/>
      </c>
      <c r="C45" s="2">
        <f>COUNTIFS(交易明細!$B$2:$B$539,$A45,交易明細!$C$2:$C$539,"做多")</f>
        <v/>
      </c>
      <c r="D45" s="2">
        <f>COUNTIFS(交易明細!$B$2:$B$539,$A45,交易明細!$C$2:$C$539,"做空")</f>
        <v/>
      </c>
      <c r="E45" s="2">
        <f>F45+G45+COUNTIFS(交易明細!$B$2:$B$539,$A45,交易明細!$J$2:$J$539,"時間出場")</f>
        <v/>
      </c>
      <c r="F45" s="2">
        <f>COUNTIFS(交易明細!$B$2:$B$539,$A45,交易明細!$J$2:$J$539,"止盈")</f>
        <v/>
      </c>
      <c r="G45" s="2">
        <f>COUNTIFS(交易明細!$B$2:$B$539,$A45,交易明細!$J$2:$J$539,"止損")</f>
        <v/>
      </c>
      <c r="H45" s="4">
        <f>IFERROR(F45/E45,0)</f>
        <v/>
      </c>
      <c r="I45" s="4">
        <f>IFERROR(AVERAGEIFS(交易明細!$L$2:$L$539,交易明細!$B$2:$B$539,$A45,交易明細!$J$2:$J$539,"&lt;&gt;未平倉"),0)</f>
        <v/>
      </c>
      <c r="J45" s="4">
        <f>SUMIFS(交易明細!$L$2:$L$539,交易明細!$B$2:$B$539,$A45,交易明細!$J$2:$J$539,"&lt;&gt;未平倉")</f>
        <v/>
      </c>
      <c r="K45" s="5">
        <f>IFERROR(AVERAGEIFS(交易明細!$K$2:$K$539,交易明細!$B$2:$B$539,$A45,交易明細!$J$2:$J$539,"&lt;&gt;未平倉"),0)</f>
        <v/>
      </c>
      <c r="L45" s="2">
        <f>COUNTIFS(交易明細!$B$2:$B$539,$A45,交易明細!$J$2:$J$539,"未平倉")</f>
        <v/>
      </c>
    </row>
    <row r="46">
      <c r="A46" s="2" t="inlineStr">
        <is>
          <t>AVAX_USDT_PERP</t>
        </is>
      </c>
      <c r="B46" s="2">
        <f>COUNTIFS(交易明細!$B$2:$B$539,$A46)</f>
        <v/>
      </c>
      <c r="C46" s="2">
        <f>COUNTIFS(交易明細!$B$2:$B$539,$A46,交易明細!$C$2:$C$539,"做多")</f>
        <v/>
      </c>
      <c r="D46" s="2">
        <f>COUNTIFS(交易明細!$B$2:$B$539,$A46,交易明細!$C$2:$C$539,"做空")</f>
        <v/>
      </c>
      <c r="E46" s="2">
        <f>F46+G46+COUNTIFS(交易明細!$B$2:$B$539,$A46,交易明細!$J$2:$J$539,"時間出場")</f>
        <v/>
      </c>
      <c r="F46" s="2">
        <f>COUNTIFS(交易明細!$B$2:$B$539,$A46,交易明細!$J$2:$J$539,"止盈")</f>
        <v/>
      </c>
      <c r="G46" s="2">
        <f>COUNTIFS(交易明細!$B$2:$B$539,$A46,交易明細!$J$2:$J$539,"止損")</f>
        <v/>
      </c>
      <c r="H46" s="4">
        <f>IFERROR(F46/E46,0)</f>
        <v/>
      </c>
      <c r="I46" s="4">
        <f>IFERROR(AVERAGEIFS(交易明細!$L$2:$L$539,交易明細!$B$2:$B$539,$A46,交易明細!$J$2:$J$539,"&lt;&gt;未平倉"),0)</f>
        <v/>
      </c>
      <c r="J46" s="4">
        <f>SUMIFS(交易明細!$L$2:$L$539,交易明細!$B$2:$B$539,$A46,交易明細!$J$2:$J$539,"&lt;&gt;未平倉")</f>
        <v/>
      </c>
      <c r="K46" s="5">
        <f>IFERROR(AVERAGEIFS(交易明細!$K$2:$K$539,交易明細!$B$2:$B$539,$A46,交易明細!$J$2:$J$539,"&lt;&gt;未平倉"),0)</f>
        <v/>
      </c>
      <c r="L46" s="2">
        <f>COUNTIFS(交易明細!$B$2:$B$539,$A46,交易明細!$J$2:$J$539,"未平倉")</f>
        <v/>
      </c>
    </row>
    <row r="47">
      <c r="A47" s="2" t="inlineStr">
        <is>
          <t>DOGE_USDT_PERP</t>
        </is>
      </c>
      <c r="B47" s="2">
        <f>COUNTIFS(交易明細!$B$2:$B$539,$A47)</f>
        <v/>
      </c>
      <c r="C47" s="2">
        <f>COUNTIFS(交易明細!$B$2:$B$539,$A47,交易明細!$C$2:$C$539,"做多")</f>
        <v/>
      </c>
      <c r="D47" s="2">
        <f>COUNTIFS(交易明細!$B$2:$B$539,$A47,交易明細!$C$2:$C$539,"做空")</f>
        <v/>
      </c>
      <c r="E47" s="2">
        <f>F47+G47+COUNTIFS(交易明細!$B$2:$B$539,$A47,交易明細!$J$2:$J$539,"時間出場")</f>
        <v/>
      </c>
      <c r="F47" s="2">
        <f>COUNTIFS(交易明細!$B$2:$B$539,$A47,交易明細!$J$2:$J$539,"止盈")</f>
        <v/>
      </c>
      <c r="G47" s="2">
        <f>COUNTIFS(交易明細!$B$2:$B$539,$A47,交易明細!$J$2:$J$539,"止損")</f>
        <v/>
      </c>
      <c r="H47" s="4">
        <f>IFERROR(F47/E47,0)</f>
        <v/>
      </c>
      <c r="I47" s="4">
        <f>IFERROR(AVERAGEIFS(交易明細!$L$2:$L$539,交易明細!$B$2:$B$539,$A47,交易明細!$J$2:$J$539,"&lt;&gt;未平倉"),0)</f>
        <v/>
      </c>
      <c r="J47" s="4">
        <f>SUMIFS(交易明細!$L$2:$L$539,交易明細!$B$2:$B$539,$A47,交易明細!$J$2:$J$539,"&lt;&gt;未平倉")</f>
        <v/>
      </c>
      <c r="K47" s="5">
        <f>IFERROR(AVERAGEIFS(交易明細!$K$2:$K$539,交易明細!$B$2:$B$539,$A47,交易明細!$J$2:$J$539,"&lt;&gt;未平倉"),0)</f>
        <v/>
      </c>
      <c r="L47" s="2">
        <f>COUNTIFS(交易明細!$B$2:$B$539,$A47,交易明細!$J$2:$J$539,"未平倉")</f>
        <v/>
      </c>
    </row>
    <row r="48">
      <c r="A48" s="2" t="inlineStr">
        <is>
          <t>PYTH_USDT_PERP</t>
        </is>
      </c>
      <c r="B48" s="2">
        <f>COUNTIFS(交易明細!$B$2:$B$539,$A48)</f>
        <v/>
      </c>
      <c r="C48" s="2">
        <f>COUNTIFS(交易明細!$B$2:$B$539,$A48,交易明細!$C$2:$C$539,"做多")</f>
        <v/>
      </c>
      <c r="D48" s="2">
        <f>COUNTIFS(交易明細!$B$2:$B$539,$A48,交易明細!$C$2:$C$539,"做空")</f>
        <v/>
      </c>
      <c r="E48" s="2">
        <f>F48+G48+COUNTIFS(交易明細!$B$2:$B$539,$A48,交易明細!$J$2:$J$539,"時間出場")</f>
        <v/>
      </c>
      <c r="F48" s="2">
        <f>COUNTIFS(交易明細!$B$2:$B$539,$A48,交易明細!$J$2:$J$539,"止盈")</f>
        <v/>
      </c>
      <c r="G48" s="2">
        <f>COUNTIFS(交易明細!$B$2:$B$539,$A48,交易明細!$J$2:$J$539,"止損")</f>
        <v/>
      </c>
      <c r="H48" s="4">
        <f>IFERROR(F48/E48,0)</f>
        <v/>
      </c>
      <c r="I48" s="4">
        <f>IFERROR(AVERAGEIFS(交易明細!$L$2:$L$539,交易明細!$B$2:$B$539,$A48,交易明細!$J$2:$J$539,"&lt;&gt;未平倉"),0)</f>
        <v/>
      </c>
      <c r="J48" s="4">
        <f>SUMIFS(交易明細!$L$2:$L$539,交易明細!$B$2:$B$539,$A48,交易明細!$J$2:$J$539,"&lt;&gt;未平倉")</f>
        <v/>
      </c>
      <c r="K48" s="5">
        <f>IFERROR(AVERAGEIFS(交易明細!$K$2:$K$539,交易明細!$B$2:$B$539,$A48,交易明細!$J$2:$J$539,"&lt;&gt;未平倉"),0)</f>
        <v/>
      </c>
      <c r="L48" s="2">
        <f>COUNTIFS(交易明細!$B$2:$B$539,$A48,交易明細!$J$2:$J$539,"未平倉")</f>
        <v/>
      </c>
    </row>
    <row r="49">
      <c r="A49" s="2" t="inlineStr">
        <is>
          <t>QNT_USDT_PERP</t>
        </is>
      </c>
      <c r="B49" s="2">
        <f>COUNTIFS(交易明細!$B$2:$B$539,$A49)</f>
        <v/>
      </c>
      <c r="C49" s="2">
        <f>COUNTIFS(交易明細!$B$2:$B$539,$A49,交易明細!$C$2:$C$539,"做多")</f>
        <v/>
      </c>
      <c r="D49" s="2">
        <f>COUNTIFS(交易明細!$B$2:$B$539,$A49,交易明細!$C$2:$C$539,"做空")</f>
        <v/>
      </c>
      <c r="E49" s="2">
        <f>F49+G49+COUNTIFS(交易明細!$B$2:$B$539,$A49,交易明細!$J$2:$J$539,"時間出場")</f>
        <v/>
      </c>
      <c r="F49" s="2">
        <f>COUNTIFS(交易明細!$B$2:$B$539,$A49,交易明細!$J$2:$J$539,"止盈")</f>
        <v/>
      </c>
      <c r="G49" s="2">
        <f>COUNTIFS(交易明細!$B$2:$B$539,$A49,交易明細!$J$2:$J$539,"止損")</f>
        <v/>
      </c>
      <c r="H49" s="4">
        <f>IFERROR(F49/E49,0)</f>
        <v/>
      </c>
      <c r="I49" s="4">
        <f>IFERROR(AVERAGEIFS(交易明細!$L$2:$L$539,交易明細!$B$2:$B$539,$A49,交易明細!$J$2:$J$539,"&lt;&gt;未平倉"),0)</f>
        <v/>
      </c>
      <c r="J49" s="4">
        <f>SUMIFS(交易明細!$L$2:$L$539,交易明細!$B$2:$B$539,$A49,交易明細!$J$2:$J$539,"&lt;&gt;未平倉")</f>
        <v/>
      </c>
      <c r="K49" s="5">
        <f>IFERROR(AVERAGEIFS(交易明細!$K$2:$K$539,交易明細!$B$2:$B$539,$A49,交易明細!$J$2:$J$539,"&lt;&gt;未平倉"),0)</f>
        <v/>
      </c>
      <c r="L49" s="2">
        <f>COUNTIFS(交易明細!$B$2:$B$539,$A49,交易明細!$J$2:$J$539,"未平倉")</f>
        <v/>
      </c>
    </row>
    <row r="50">
      <c r="A50" s="2" t="inlineStr">
        <is>
          <t>SAGA_USDT_PERP</t>
        </is>
      </c>
      <c r="B50" s="2">
        <f>COUNTIFS(交易明細!$B$2:$B$539,$A50)</f>
        <v/>
      </c>
      <c r="C50" s="2">
        <f>COUNTIFS(交易明細!$B$2:$B$539,$A50,交易明細!$C$2:$C$539,"做多")</f>
        <v/>
      </c>
      <c r="D50" s="2">
        <f>COUNTIFS(交易明細!$B$2:$B$539,$A50,交易明細!$C$2:$C$539,"做空")</f>
        <v/>
      </c>
      <c r="E50" s="2">
        <f>F50+G50+COUNTIFS(交易明細!$B$2:$B$539,$A50,交易明細!$J$2:$J$539,"時間出場")</f>
        <v/>
      </c>
      <c r="F50" s="2">
        <f>COUNTIFS(交易明細!$B$2:$B$539,$A50,交易明細!$J$2:$J$539,"止盈")</f>
        <v/>
      </c>
      <c r="G50" s="2">
        <f>COUNTIFS(交易明細!$B$2:$B$539,$A50,交易明細!$J$2:$J$539,"止損")</f>
        <v/>
      </c>
      <c r="H50" s="4">
        <f>IFERROR(F50/E50,0)</f>
        <v/>
      </c>
      <c r="I50" s="4">
        <f>IFERROR(AVERAGEIFS(交易明細!$L$2:$L$539,交易明細!$B$2:$B$539,$A50,交易明細!$J$2:$J$539,"&lt;&gt;未平倉"),0)</f>
        <v/>
      </c>
      <c r="J50" s="4">
        <f>SUMIFS(交易明細!$L$2:$L$539,交易明細!$B$2:$B$539,$A50,交易明細!$J$2:$J$539,"&lt;&gt;未平倉")</f>
        <v/>
      </c>
      <c r="K50" s="5">
        <f>IFERROR(AVERAGEIFS(交易明細!$K$2:$K$539,交易明細!$B$2:$B$539,$A50,交易明細!$J$2:$J$539,"&lt;&gt;未平倉"),0)</f>
        <v/>
      </c>
      <c r="L50" s="2">
        <f>COUNTIFS(交易明細!$B$2:$B$539,$A50,交易明細!$J$2:$J$539,"未平倉")</f>
        <v/>
      </c>
    </row>
    <row r="51">
      <c r="A51" s="2" t="inlineStr">
        <is>
          <t>SKYAI_USDT_PERP</t>
        </is>
      </c>
      <c r="B51" s="2">
        <f>COUNTIFS(交易明細!$B$2:$B$539,$A51)</f>
        <v/>
      </c>
      <c r="C51" s="2">
        <f>COUNTIFS(交易明細!$B$2:$B$539,$A51,交易明細!$C$2:$C$539,"做多")</f>
        <v/>
      </c>
      <c r="D51" s="2">
        <f>COUNTIFS(交易明細!$B$2:$B$539,$A51,交易明細!$C$2:$C$539,"做空")</f>
        <v/>
      </c>
      <c r="E51" s="2">
        <f>F51+G51+COUNTIFS(交易明細!$B$2:$B$539,$A51,交易明細!$J$2:$J$539,"時間出場")</f>
        <v/>
      </c>
      <c r="F51" s="2">
        <f>COUNTIFS(交易明細!$B$2:$B$539,$A51,交易明細!$J$2:$J$539,"止盈")</f>
        <v/>
      </c>
      <c r="G51" s="2">
        <f>COUNTIFS(交易明細!$B$2:$B$539,$A51,交易明細!$J$2:$J$539,"止損")</f>
        <v/>
      </c>
      <c r="H51" s="4">
        <f>IFERROR(F51/E51,0)</f>
        <v/>
      </c>
      <c r="I51" s="4">
        <f>IFERROR(AVERAGEIFS(交易明細!$L$2:$L$539,交易明細!$B$2:$B$539,$A51,交易明細!$J$2:$J$539,"&lt;&gt;未平倉"),0)</f>
        <v/>
      </c>
      <c r="J51" s="4">
        <f>SUMIFS(交易明細!$L$2:$L$539,交易明細!$B$2:$B$539,$A51,交易明細!$J$2:$J$539,"&lt;&gt;未平倉")</f>
        <v/>
      </c>
      <c r="K51" s="5">
        <f>IFERROR(AVERAGEIFS(交易明細!$K$2:$K$539,交易明細!$B$2:$B$539,$A51,交易明細!$J$2:$J$539,"&lt;&gt;未平倉"),0)</f>
        <v/>
      </c>
      <c r="L51" s="2">
        <f>COUNTIFS(交易明細!$B$2:$B$539,$A51,交易明細!$J$2:$J$539,"未平倉")</f>
        <v/>
      </c>
    </row>
    <row r="52">
      <c r="A52" s="2" t="inlineStr">
        <is>
          <t>ACE_USDT_PERP</t>
        </is>
      </c>
      <c r="B52" s="2">
        <f>COUNTIFS(交易明細!$B$2:$B$539,$A52)</f>
        <v/>
      </c>
      <c r="C52" s="2">
        <f>COUNTIFS(交易明細!$B$2:$B$539,$A52,交易明細!$C$2:$C$539,"做多")</f>
        <v/>
      </c>
      <c r="D52" s="2">
        <f>COUNTIFS(交易明細!$B$2:$B$539,$A52,交易明細!$C$2:$C$539,"做空")</f>
        <v/>
      </c>
      <c r="E52" s="2">
        <f>F52+G52+COUNTIFS(交易明細!$B$2:$B$539,$A52,交易明細!$J$2:$J$539,"時間出場")</f>
        <v/>
      </c>
      <c r="F52" s="2">
        <f>COUNTIFS(交易明細!$B$2:$B$539,$A52,交易明細!$J$2:$J$539,"止盈")</f>
        <v/>
      </c>
      <c r="G52" s="2">
        <f>COUNTIFS(交易明細!$B$2:$B$539,$A52,交易明細!$J$2:$J$539,"止損")</f>
        <v/>
      </c>
      <c r="H52" s="4">
        <f>IFERROR(F52/E52,0)</f>
        <v/>
      </c>
      <c r="I52" s="4">
        <f>IFERROR(AVERAGEIFS(交易明細!$L$2:$L$539,交易明細!$B$2:$B$539,$A52,交易明細!$J$2:$J$539,"&lt;&gt;未平倉"),0)</f>
        <v/>
      </c>
      <c r="J52" s="4">
        <f>SUMIFS(交易明細!$L$2:$L$539,交易明細!$B$2:$B$539,$A52,交易明細!$J$2:$J$539,"&lt;&gt;未平倉")</f>
        <v/>
      </c>
      <c r="K52" s="5">
        <f>IFERROR(AVERAGEIFS(交易明細!$K$2:$K$539,交易明細!$B$2:$B$539,$A52,交易明細!$J$2:$J$539,"&lt;&gt;未平倉"),0)</f>
        <v/>
      </c>
      <c r="L52" s="2">
        <f>COUNTIFS(交易明細!$B$2:$B$539,$A52,交易明細!$J$2:$J$539,"未平倉")</f>
        <v/>
      </c>
    </row>
    <row r="53">
      <c r="A53" s="2" t="inlineStr">
        <is>
          <t>EDGE_USDT_PERP</t>
        </is>
      </c>
      <c r="B53" s="2">
        <f>COUNTIFS(交易明細!$B$2:$B$539,$A53)</f>
        <v/>
      </c>
      <c r="C53" s="2">
        <f>COUNTIFS(交易明細!$B$2:$B$539,$A53,交易明細!$C$2:$C$539,"做多")</f>
        <v/>
      </c>
      <c r="D53" s="2">
        <f>COUNTIFS(交易明細!$B$2:$B$539,$A53,交易明細!$C$2:$C$539,"做空")</f>
        <v/>
      </c>
      <c r="E53" s="2">
        <f>F53+G53+COUNTIFS(交易明細!$B$2:$B$539,$A53,交易明細!$J$2:$J$539,"時間出場")</f>
        <v/>
      </c>
      <c r="F53" s="2">
        <f>COUNTIFS(交易明細!$B$2:$B$539,$A53,交易明細!$J$2:$J$539,"止盈")</f>
        <v/>
      </c>
      <c r="G53" s="2">
        <f>COUNTIFS(交易明細!$B$2:$B$539,$A53,交易明細!$J$2:$J$539,"止損")</f>
        <v/>
      </c>
      <c r="H53" s="4">
        <f>IFERROR(F53/E53,0)</f>
        <v/>
      </c>
      <c r="I53" s="4">
        <f>IFERROR(AVERAGEIFS(交易明細!$L$2:$L$539,交易明細!$B$2:$B$539,$A53,交易明細!$J$2:$J$539,"&lt;&gt;未平倉"),0)</f>
        <v/>
      </c>
      <c r="J53" s="4">
        <f>SUMIFS(交易明細!$L$2:$L$539,交易明細!$B$2:$B$539,$A53,交易明細!$J$2:$J$539,"&lt;&gt;未平倉")</f>
        <v/>
      </c>
      <c r="K53" s="5">
        <f>IFERROR(AVERAGEIFS(交易明細!$K$2:$K$539,交易明細!$B$2:$B$539,$A53,交易明細!$J$2:$J$539,"&lt;&gt;未平倉"),0)</f>
        <v/>
      </c>
      <c r="L53" s="2">
        <f>COUNTIFS(交易明細!$B$2:$B$539,$A53,交易明細!$J$2:$J$539,"未平倉")</f>
        <v/>
      </c>
    </row>
    <row r="54">
      <c r="A54" s="2" t="inlineStr">
        <is>
          <t>4_USDT_PERP</t>
        </is>
      </c>
      <c r="B54" s="2">
        <f>COUNTIFS(交易明細!$B$2:$B$539,$A54)</f>
        <v/>
      </c>
      <c r="C54" s="2">
        <f>COUNTIFS(交易明細!$B$2:$B$539,$A54,交易明細!$C$2:$C$539,"做多")</f>
        <v/>
      </c>
      <c r="D54" s="2">
        <f>COUNTIFS(交易明細!$B$2:$B$539,$A54,交易明細!$C$2:$C$539,"做空")</f>
        <v/>
      </c>
      <c r="E54" s="2">
        <f>F54+G54+COUNTIFS(交易明細!$B$2:$B$539,$A54,交易明細!$J$2:$J$539,"時間出場")</f>
        <v/>
      </c>
      <c r="F54" s="2">
        <f>COUNTIFS(交易明細!$B$2:$B$539,$A54,交易明細!$J$2:$J$539,"止盈")</f>
        <v/>
      </c>
      <c r="G54" s="2">
        <f>COUNTIFS(交易明細!$B$2:$B$539,$A54,交易明細!$J$2:$J$539,"止損")</f>
        <v/>
      </c>
      <c r="H54" s="4">
        <f>IFERROR(F54/E54,0)</f>
        <v/>
      </c>
      <c r="I54" s="4">
        <f>IFERROR(AVERAGEIFS(交易明細!$L$2:$L$539,交易明細!$B$2:$B$539,$A54,交易明細!$J$2:$J$539,"&lt;&gt;未平倉"),0)</f>
        <v/>
      </c>
      <c r="J54" s="4">
        <f>SUMIFS(交易明細!$L$2:$L$539,交易明細!$B$2:$B$539,$A54,交易明細!$J$2:$J$539,"&lt;&gt;未平倉")</f>
        <v/>
      </c>
      <c r="K54" s="5">
        <f>IFERROR(AVERAGEIFS(交易明細!$K$2:$K$539,交易明細!$B$2:$B$539,$A54,交易明細!$J$2:$J$539,"&lt;&gt;未平倉"),0)</f>
        <v/>
      </c>
      <c r="L54" s="2">
        <f>COUNTIFS(交易明細!$B$2:$B$539,$A54,交易明細!$J$2:$J$539,"未平倉")</f>
        <v/>
      </c>
    </row>
    <row r="55">
      <c r="A55" s="2" t="inlineStr">
        <is>
          <t>ZEN_USDT_PERP</t>
        </is>
      </c>
      <c r="B55" s="2">
        <f>COUNTIFS(交易明細!$B$2:$B$539,$A55)</f>
        <v/>
      </c>
      <c r="C55" s="2">
        <f>COUNTIFS(交易明細!$B$2:$B$539,$A55,交易明細!$C$2:$C$539,"做多")</f>
        <v/>
      </c>
      <c r="D55" s="2">
        <f>COUNTIFS(交易明細!$B$2:$B$539,$A55,交易明細!$C$2:$C$539,"做空")</f>
        <v/>
      </c>
      <c r="E55" s="2">
        <f>F55+G55+COUNTIFS(交易明細!$B$2:$B$539,$A55,交易明細!$J$2:$J$539,"時間出場")</f>
        <v/>
      </c>
      <c r="F55" s="2">
        <f>COUNTIFS(交易明細!$B$2:$B$539,$A55,交易明細!$J$2:$J$539,"止盈")</f>
        <v/>
      </c>
      <c r="G55" s="2">
        <f>COUNTIFS(交易明細!$B$2:$B$539,$A55,交易明細!$J$2:$J$539,"止損")</f>
        <v/>
      </c>
      <c r="H55" s="4">
        <f>IFERROR(F55/E55,0)</f>
        <v/>
      </c>
      <c r="I55" s="4">
        <f>IFERROR(AVERAGEIFS(交易明細!$L$2:$L$539,交易明細!$B$2:$B$539,$A55,交易明細!$J$2:$J$539,"&lt;&gt;未平倉"),0)</f>
        <v/>
      </c>
      <c r="J55" s="4">
        <f>SUMIFS(交易明細!$L$2:$L$539,交易明細!$B$2:$B$539,$A55,交易明細!$J$2:$J$539,"&lt;&gt;未平倉")</f>
        <v/>
      </c>
      <c r="K55" s="5">
        <f>IFERROR(AVERAGEIFS(交易明細!$K$2:$K$539,交易明細!$B$2:$B$539,$A55,交易明細!$J$2:$J$539,"&lt;&gt;未平倉"),0)</f>
        <v/>
      </c>
      <c r="L55" s="2">
        <f>COUNTIFS(交易明細!$B$2:$B$539,$A55,交易明細!$J$2:$J$539,"未平倉")</f>
        <v/>
      </c>
    </row>
    <row r="56">
      <c r="A56" s="2" t="inlineStr">
        <is>
          <t>DOT_USDT_PERP</t>
        </is>
      </c>
      <c r="B56" s="2">
        <f>COUNTIFS(交易明細!$B$2:$B$539,$A56)</f>
        <v/>
      </c>
      <c r="C56" s="2">
        <f>COUNTIFS(交易明細!$B$2:$B$539,$A56,交易明細!$C$2:$C$539,"做多")</f>
        <v/>
      </c>
      <c r="D56" s="2">
        <f>COUNTIFS(交易明細!$B$2:$B$539,$A56,交易明細!$C$2:$C$539,"做空")</f>
        <v/>
      </c>
      <c r="E56" s="2">
        <f>F56+G56+COUNTIFS(交易明細!$B$2:$B$539,$A56,交易明細!$J$2:$J$539,"時間出場")</f>
        <v/>
      </c>
      <c r="F56" s="2">
        <f>COUNTIFS(交易明細!$B$2:$B$539,$A56,交易明細!$J$2:$J$539,"止盈")</f>
        <v/>
      </c>
      <c r="G56" s="2">
        <f>COUNTIFS(交易明細!$B$2:$B$539,$A56,交易明細!$J$2:$J$539,"止損")</f>
        <v/>
      </c>
      <c r="H56" s="4">
        <f>IFERROR(F56/E56,0)</f>
        <v/>
      </c>
      <c r="I56" s="4">
        <f>IFERROR(AVERAGEIFS(交易明細!$L$2:$L$539,交易明細!$B$2:$B$539,$A56,交易明細!$J$2:$J$539,"&lt;&gt;未平倉"),0)</f>
        <v/>
      </c>
      <c r="J56" s="4">
        <f>SUMIFS(交易明細!$L$2:$L$539,交易明細!$B$2:$B$539,$A56,交易明細!$J$2:$J$539,"&lt;&gt;未平倉")</f>
        <v/>
      </c>
      <c r="K56" s="5">
        <f>IFERROR(AVERAGEIFS(交易明細!$K$2:$K$539,交易明細!$B$2:$B$539,$A56,交易明細!$J$2:$J$539,"&lt;&gt;未平倉"),0)</f>
        <v/>
      </c>
      <c r="L56" s="2">
        <f>COUNTIFS(交易明細!$B$2:$B$539,$A56,交易明細!$J$2:$J$539,"未平倉")</f>
        <v/>
      </c>
    </row>
    <row r="57">
      <c r="A57" s="2" t="inlineStr">
        <is>
          <t>RIVER_USDT_PERP</t>
        </is>
      </c>
      <c r="B57" s="2">
        <f>COUNTIFS(交易明細!$B$2:$B$539,$A57)</f>
        <v/>
      </c>
      <c r="C57" s="2">
        <f>COUNTIFS(交易明細!$B$2:$B$539,$A57,交易明細!$C$2:$C$539,"做多")</f>
        <v/>
      </c>
      <c r="D57" s="2">
        <f>COUNTIFS(交易明細!$B$2:$B$539,$A57,交易明細!$C$2:$C$539,"做空")</f>
        <v/>
      </c>
      <c r="E57" s="2">
        <f>F57+G57+COUNTIFS(交易明細!$B$2:$B$539,$A57,交易明細!$J$2:$J$539,"時間出場")</f>
        <v/>
      </c>
      <c r="F57" s="2">
        <f>COUNTIFS(交易明細!$B$2:$B$539,$A57,交易明細!$J$2:$J$539,"止盈")</f>
        <v/>
      </c>
      <c r="G57" s="2">
        <f>COUNTIFS(交易明細!$B$2:$B$539,$A57,交易明細!$J$2:$J$539,"止損")</f>
        <v/>
      </c>
      <c r="H57" s="4">
        <f>IFERROR(F57/E57,0)</f>
        <v/>
      </c>
      <c r="I57" s="4">
        <f>IFERROR(AVERAGEIFS(交易明細!$L$2:$L$539,交易明細!$B$2:$B$539,$A57,交易明細!$J$2:$J$539,"&lt;&gt;未平倉"),0)</f>
        <v/>
      </c>
      <c r="J57" s="4">
        <f>SUMIFS(交易明細!$L$2:$L$539,交易明細!$B$2:$B$539,$A57,交易明細!$J$2:$J$539,"&lt;&gt;未平倉")</f>
        <v/>
      </c>
      <c r="K57" s="5">
        <f>IFERROR(AVERAGEIFS(交易明細!$K$2:$K$539,交易明細!$B$2:$B$539,$A57,交易明細!$J$2:$J$539,"&lt;&gt;未平倉"),0)</f>
        <v/>
      </c>
      <c r="L57" s="2">
        <f>COUNTIFS(交易明細!$B$2:$B$539,$A57,交易明細!$J$2:$J$539,"未平倉")</f>
        <v/>
      </c>
    </row>
    <row r="58">
      <c r="A58" s="2" t="inlineStr">
        <is>
          <t>POWER_USDT_PERP</t>
        </is>
      </c>
      <c r="B58" s="2">
        <f>COUNTIFS(交易明細!$B$2:$B$539,$A58)</f>
        <v/>
      </c>
      <c r="C58" s="2">
        <f>COUNTIFS(交易明細!$B$2:$B$539,$A58,交易明細!$C$2:$C$539,"做多")</f>
        <v/>
      </c>
      <c r="D58" s="2">
        <f>COUNTIFS(交易明細!$B$2:$B$539,$A58,交易明細!$C$2:$C$539,"做空")</f>
        <v/>
      </c>
      <c r="E58" s="2">
        <f>F58+G58+COUNTIFS(交易明細!$B$2:$B$539,$A58,交易明細!$J$2:$J$539,"時間出場")</f>
        <v/>
      </c>
      <c r="F58" s="2">
        <f>COUNTIFS(交易明細!$B$2:$B$539,$A58,交易明細!$J$2:$J$539,"止盈")</f>
        <v/>
      </c>
      <c r="G58" s="2">
        <f>COUNTIFS(交易明細!$B$2:$B$539,$A58,交易明細!$J$2:$J$539,"止損")</f>
        <v/>
      </c>
      <c r="H58" s="4">
        <f>IFERROR(F58/E58,0)</f>
        <v/>
      </c>
      <c r="I58" s="4">
        <f>IFERROR(AVERAGEIFS(交易明細!$L$2:$L$539,交易明細!$B$2:$B$539,$A58,交易明細!$J$2:$J$539,"&lt;&gt;未平倉"),0)</f>
        <v/>
      </c>
      <c r="J58" s="4">
        <f>SUMIFS(交易明細!$L$2:$L$539,交易明細!$B$2:$B$539,$A58,交易明細!$J$2:$J$539,"&lt;&gt;未平倉")</f>
        <v/>
      </c>
      <c r="K58" s="5">
        <f>IFERROR(AVERAGEIFS(交易明細!$K$2:$K$539,交易明細!$B$2:$B$539,$A58,交易明細!$J$2:$J$539,"&lt;&gt;未平倉"),0)</f>
        <v/>
      </c>
      <c r="L58" s="2">
        <f>COUNTIFS(交易明細!$B$2:$B$539,$A58,交易明細!$J$2:$J$539,"未平倉")</f>
        <v/>
      </c>
    </row>
    <row r="59">
      <c r="A59" s="2" t="inlineStr">
        <is>
          <t>PIEVERSE_USDT_PERP</t>
        </is>
      </c>
      <c r="B59" s="2">
        <f>COUNTIFS(交易明細!$B$2:$B$539,$A59)</f>
        <v/>
      </c>
      <c r="C59" s="2">
        <f>COUNTIFS(交易明細!$B$2:$B$539,$A59,交易明細!$C$2:$C$539,"做多")</f>
        <v/>
      </c>
      <c r="D59" s="2">
        <f>COUNTIFS(交易明細!$B$2:$B$539,$A59,交易明細!$C$2:$C$539,"做空")</f>
        <v/>
      </c>
      <c r="E59" s="2">
        <f>F59+G59+COUNTIFS(交易明細!$B$2:$B$539,$A59,交易明細!$J$2:$J$539,"時間出場")</f>
        <v/>
      </c>
      <c r="F59" s="2">
        <f>COUNTIFS(交易明細!$B$2:$B$539,$A59,交易明細!$J$2:$J$539,"止盈")</f>
        <v/>
      </c>
      <c r="G59" s="2">
        <f>COUNTIFS(交易明細!$B$2:$B$539,$A59,交易明細!$J$2:$J$539,"止損")</f>
        <v/>
      </c>
      <c r="H59" s="4">
        <f>IFERROR(F59/E59,0)</f>
        <v/>
      </c>
      <c r="I59" s="4">
        <f>IFERROR(AVERAGEIFS(交易明細!$L$2:$L$539,交易明細!$B$2:$B$539,$A59,交易明細!$J$2:$J$539,"&lt;&gt;未平倉"),0)</f>
        <v/>
      </c>
      <c r="J59" s="4">
        <f>SUMIFS(交易明細!$L$2:$L$539,交易明細!$B$2:$B$539,$A59,交易明細!$J$2:$J$539,"&lt;&gt;未平倉")</f>
        <v/>
      </c>
      <c r="K59" s="5">
        <f>IFERROR(AVERAGEIFS(交易明細!$K$2:$K$539,交易明細!$B$2:$B$539,$A59,交易明細!$J$2:$J$539,"&lt;&gt;未平倉"),0)</f>
        <v/>
      </c>
      <c r="L59" s="2">
        <f>COUNTIFS(交易明細!$B$2:$B$539,$A59,交易明細!$J$2:$J$539,"未平倉")</f>
        <v/>
      </c>
    </row>
    <row r="60">
      <c r="A60" s="2" t="inlineStr">
        <is>
          <t>AR_USDT_PERP</t>
        </is>
      </c>
      <c r="B60" s="2">
        <f>COUNTIFS(交易明細!$B$2:$B$539,$A60)</f>
        <v/>
      </c>
      <c r="C60" s="2">
        <f>COUNTIFS(交易明細!$B$2:$B$539,$A60,交易明細!$C$2:$C$539,"做多")</f>
        <v/>
      </c>
      <c r="D60" s="2">
        <f>COUNTIFS(交易明細!$B$2:$B$539,$A60,交易明細!$C$2:$C$539,"做空")</f>
        <v/>
      </c>
      <c r="E60" s="2">
        <f>F60+G60+COUNTIFS(交易明細!$B$2:$B$539,$A60,交易明細!$J$2:$J$539,"時間出場")</f>
        <v/>
      </c>
      <c r="F60" s="2">
        <f>COUNTIFS(交易明細!$B$2:$B$539,$A60,交易明細!$J$2:$J$539,"止盈")</f>
        <v/>
      </c>
      <c r="G60" s="2">
        <f>COUNTIFS(交易明細!$B$2:$B$539,$A60,交易明細!$J$2:$J$539,"止損")</f>
        <v/>
      </c>
      <c r="H60" s="4">
        <f>IFERROR(F60/E60,0)</f>
        <v/>
      </c>
      <c r="I60" s="4">
        <f>IFERROR(AVERAGEIFS(交易明細!$L$2:$L$539,交易明細!$B$2:$B$539,$A60,交易明細!$J$2:$J$539,"&lt;&gt;未平倉"),0)</f>
        <v/>
      </c>
      <c r="J60" s="4">
        <f>SUMIFS(交易明細!$L$2:$L$539,交易明細!$B$2:$B$539,$A60,交易明細!$J$2:$J$539,"&lt;&gt;未平倉")</f>
        <v/>
      </c>
      <c r="K60" s="5">
        <f>IFERROR(AVERAGEIFS(交易明細!$K$2:$K$539,交易明細!$B$2:$B$539,$A60,交易明細!$J$2:$J$539,"&lt;&gt;未平倉"),0)</f>
        <v/>
      </c>
      <c r="L60" s="2">
        <f>COUNTIFS(交易明細!$B$2:$B$539,$A60,交易明細!$J$2:$J$539,"未平倉")</f>
        <v/>
      </c>
    </row>
    <row r="61">
      <c r="A61" s="2" t="inlineStr">
        <is>
          <t>ZETA_USDT_PERP</t>
        </is>
      </c>
      <c r="B61" s="2">
        <f>COUNTIFS(交易明細!$B$2:$B$539,$A61)</f>
        <v/>
      </c>
      <c r="C61" s="2">
        <f>COUNTIFS(交易明細!$B$2:$B$539,$A61,交易明細!$C$2:$C$539,"做多")</f>
        <v/>
      </c>
      <c r="D61" s="2">
        <f>COUNTIFS(交易明細!$B$2:$B$539,$A61,交易明細!$C$2:$C$539,"做空")</f>
        <v/>
      </c>
      <c r="E61" s="2">
        <f>F61+G61+COUNTIFS(交易明細!$B$2:$B$539,$A61,交易明細!$J$2:$J$539,"時間出場")</f>
        <v/>
      </c>
      <c r="F61" s="2">
        <f>COUNTIFS(交易明細!$B$2:$B$539,$A61,交易明細!$J$2:$J$539,"止盈")</f>
        <v/>
      </c>
      <c r="G61" s="2">
        <f>COUNTIFS(交易明細!$B$2:$B$539,$A61,交易明細!$J$2:$J$539,"止損")</f>
        <v/>
      </c>
      <c r="H61" s="4">
        <f>IFERROR(F61/E61,0)</f>
        <v/>
      </c>
      <c r="I61" s="4">
        <f>IFERROR(AVERAGEIFS(交易明細!$L$2:$L$539,交易明細!$B$2:$B$539,$A61,交易明細!$J$2:$J$539,"&lt;&gt;未平倉"),0)</f>
        <v/>
      </c>
      <c r="J61" s="4">
        <f>SUMIFS(交易明細!$L$2:$L$539,交易明細!$B$2:$B$539,$A61,交易明細!$J$2:$J$539,"&lt;&gt;未平倉")</f>
        <v/>
      </c>
      <c r="K61" s="5">
        <f>IFERROR(AVERAGEIFS(交易明細!$K$2:$K$539,交易明細!$B$2:$B$539,$A61,交易明細!$J$2:$J$539,"&lt;&gt;未平倉"),0)</f>
        <v/>
      </c>
      <c r="L61" s="2">
        <f>COUNTIFS(交易明細!$B$2:$B$539,$A61,交易明細!$J$2:$J$539,"未平倉")</f>
        <v/>
      </c>
    </row>
    <row r="62">
      <c r="A62" s="2" t="inlineStr">
        <is>
          <t>WIF_USDT_PERP</t>
        </is>
      </c>
      <c r="B62" s="2">
        <f>COUNTIFS(交易明細!$B$2:$B$539,$A62)</f>
        <v/>
      </c>
      <c r="C62" s="2">
        <f>COUNTIFS(交易明細!$B$2:$B$539,$A62,交易明細!$C$2:$C$539,"做多")</f>
        <v/>
      </c>
      <c r="D62" s="2">
        <f>COUNTIFS(交易明細!$B$2:$B$539,$A62,交易明細!$C$2:$C$539,"做空")</f>
        <v/>
      </c>
      <c r="E62" s="2">
        <f>F62+G62+COUNTIFS(交易明細!$B$2:$B$539,$A62,交易明細!$J$2:$J$539,"時間出場")</f>
        <v/>
      </c>
      <c r="F62" s="2">
        <f>COUNTIFS(交易明細!$B$2:$B$539,$A62,交易明細!$J$2:$J$539,"止盈")</f>
        <v/>
      </c>
      <c r="G62" s="2">
        <f>COUNTIFS(交易明細!$B$2:$B$539,$A62,交易明細!$J$2:$J$539,"止損")</f>
        <v/>
      </c>
      <c r="H62" s="4">
        <f>IFERROR(F62/E62,0)</f>
        <v/>
      </c>
      <c r="I62" s="4">
        <f>IFERROR(AVERAGEIFS(交易明細!$L$2:$L$539,交易明細!$B$2:$B$539,$A62,交易明細!$J$2:$J$539,"&lt;&gt;未平倉"),0)</f>
        <v/>
      </c>
      <c r="J62" s="4">
        <f>SUMIFS(交易明細!$L$2:$L$539,交易明細!$B$2:$B$539,$A62,交易明細!$J$2:$J$539,"&lt;&gt;未平倉")</f>
        <v/>
      </c>
      <c r="K62" s="5">
        <f>IFERROR(AVERAGEIFS(交易明細!$K$2:$K$539,交易明細!$B$2:$B$539,$A62,交易明細!$J$2:$J$539,"&lt;&gt;未平倉"),0)</f>
        <v/>
      </c>
      <c r="L62" s="2">
        <f>COUNTIFS(交易明細!$B$2:$B$539,$A62,交易明細!$J$2:$J$539,"未平倉")</f>
        <v/>
      </c>
    </row>
    <row r="63">
      <c r="A63" s="2" t="inlineStr">
        <is>
          <t>BCH_USDT_PERP</t>
        </is>
      </c>
      <c r="B63" s="2">
        <f>COUNTIFS(交易明細!$B$2:$B$539,$A63)</f>
        <v/>
      </c>
      <c r="C63" s="2">
        <f>COUNTIFS(交易明細!$B$2:$B$539,$A63,交易明細!$C$2:$C$539,"做多")</f>
        <v/>
      </c>
      <c r="D63" s="2">
        <f>COUNTIFS(交易明細!$B$2:$B$539,$A63,交易明細!$C$2:$C$539,"做空")</f>
        <v/>
      </c>
      <c r="E63" s="2">
        <f>F63+G63+COUNTIFS(交易明細!$B$2:$B$539,$A63,交易明細!$J$2:$J$539,"時間出場")</f>
        <v/>
      </c>
      <c r="F63" s="2">
        <f>COUNTIFS(交易明細!$B$2:$B$539,$A63,交易明細!$J$2:$J$539,"止盈")</f>
        <v/>
      </c>
      <c r="G63" s="2">
        <f>COUNTIFS(交易明細!$B$2:$B$539,$A63,交易明細!$J$2:$J$539,"止損")</f>
        <v/>
      </c>
      <c r="H63" s="4">
        <f>IFERROR(F63/E63,0)</f>
        <v/>
      </c>
      <c r="I63" s="4">
        <f>IFERROR(AVERAGEIFS(交易明細!$L$2:$L$539,交易明細!$B$2:$B$539,$A63,交易明細!$J$2:$J$539,"&lt;&gt;未平倉"),0)</f>
        <v/>
      </c>
      <c r="J63" s="4">
        <f>SUMIFS(交易明細!$L$2:$L$539,交易明細!$B$2:$B$539,$A63,交易明細!$J$2:$J$539,"&lt;&gt;未平倉")</f>
        <v/>
      </c>
      <c r="K63" s="5">
        <f>IFERROR(AVERAGEIFS(交易明細!$K$2:$K$539,交易明細!$B$2:$B$539,$A63,交易明細!$J$2:$J$539,"&lt;&gt;未平倉"),0)</f>
        <v/>
      </c>
      <c r="L63" s="2">
        <f>COUNTIFS(交易明細!$B$2:$B$539,$A63,交易明細!$J$2:$J$539,"未平倉")</f>
        <v/>
      </c>
    </row>
    <row r="64">
      <c r="A64" s="2" t="inlineStr">
        <is>
          <t>ZRO_USDT_PERP</t>
        </is>
      </c>
      <c r="B64" s="2">
        <f>COUNTIFS(交易明細!$B$2:$B$539,$A64)</f>
        <v/>
      </c>
      <c r="C64" s="2">
        <f>COUNTIFS(交易明細!$B$2:$B$539,$A64,交易明細!$C$2:$C$539,"做多")</f>
        <v/>
      </c>
      <c r="D64" s="2">
        <f>COUNTIFS(交易明細!$B$2:$B$539,$A64,交易明細!$C$2:$C$539,"做空")</f>
        <v/>
      </c>
      <c r="E64" s="2">
        <f>F64+G64+COUNTIFS(交易明細!$B$2:$B$539,$A64,交易明細!$J$2:$J$539,"時間出場")</f>
        <v/>
      </c>
      <c r="F64" s="2">
        <f>COUNTIFS(交易明細!$B$2:$B$539,$A64,交易明細!$J$2:$J$539,"止盈")</f>
        <v/>
      </c>
      <c r="G64" s="2">
        <f>COUNTIFS(交易明細!$B$2:$B$539,$A64,交易明細!$J$2:$J$539,"止損")</f>
        <v/>
      </c>
      <c r="H64" s="4">
        <f>IFERROR(F64/E64,0)</f>
        <v/>
      </c>
      <c r="I64" s="4">
        <f>IFERROR(AVERAGEIFS(交易明細!$L$2:$L$539,交易明細!$B$2:$B$539,$A64,交易明細!$J$2:$J$539,"&lt;&gt;未平倉"),0)</f>
        <v/>
      </c>
      <c r="J64" s="4">
        <f>SUMIFS(交易明細!$L$2:$L$539,交易明細!$B$2:$B$539,$A64,交易明細!$J$2:$J$539,"&lt;&gt;未平倉")</f>
        <v/>
      </c>
      <c r="K64" s="5">
        <f>IFERROR(AVERAGEIFS(交易明細!$K$2:$K$539,交易明細!$B$2:$B$539,$A64,交易明細!$J$2:$J$539,"&lt;&gt;未平倉"),0)</f>
        <v/>
      </c>
      <c r="L64" s="2">
        <f>COUNTIFS(交易明細!$B$2:$B$539,$A64,交易明細!$J$2:$J$539,"未平倉")</f>
        <v/>
      </c>
    </row>
    <row r="65">
      <c r="A65" s="2" t="inlineStr">
        <is>
          <t>LYN_USDT_PERP</t>
        </is>
      </c>
      <c r="B65" s="2">
        <f>COUNTIFS(交易明細!$B$2:$B$539,$A65)</f>
        <v/>
      </c>
      <c r="C65" s="2">
        <f>COUNTIFS(交易明細!$B$2:$B$539,$A65,交易明細!$C$2:$C$539,"做多")</f>
        <v/>
      </c>
      <c r="D65" s="2">
        <f>COUNTIFS(交易明細!$B$2:$B$539,$A65,交易明細!$C$2:$C$539,"做空")</f>
        <v/>
      </c>
      <c r="E65" s="2">
        <f>F65+G65+COUNTIFS(交易明細!$B$2:$B$539,$A65,交易明細!$J$2:$J$539,"時間出場")</f>
        <v/>
      </c>
      <c r="F65" s="2">
        <f>COUNTIFS(交易明細!$B$2:$B$539,$A65,交易明細!$J$2:$J$539,"止盈")</f>
        <v/>
      </c>
      <c r="G65" s="2">
        <f>COUNTIFS(交易明細!$B$2:$B$539,$A65,交易明細!$J$2:$J$539,"止損")</f>
        <v/>
      </c>
      <c r="H65" s="4">
        <f>IFERROR(F65/E65,0)</f>
        <v/>
      </c>
      <c r="I65" s="4">
        <f>IFERROR(AVERAGEIFS(交易明細!$L$2:$L$539,交易明細!$B$2:$B$539,$A65,交易明細!$J$2:$J$539,"&lt;&gt;未平倉"),0)</f>
        <v/>
      </c>
      <c r="J65" s="4">
        <f>SUMIFS(交易明細!$L$2:$L$539,交易明細!$B$2:$B$539,$A65,交易明細!$J$2:$J$539,"&lt;&gt;未平倉")</f>
        <v/>
      </c>
      <c r="K65" s="5">
        <f>IFERROR(AVERAGEIFS(交易明細!$K$2:$K$539,交易明細!$B$2:$B$539,$A65,交易明細!$J$2:$J$539,"&lt;&gt;未平倉"),0)</f>
        <v/>
      </c>
      <c r="L65" s="2">
        <f>COUNTIFS(交易明細!$B$2:$B$539,$A65,交易明細!$J$2:$J$539,"未平倉")</f>
        <v/>
      </c>
    </row>
    <row r="66">
      <c r="A66" s="2" t="inlineStr">
        <is>
          <t>GRASS_USDT_PERP</t>
        </is>
      </c>
      <c r="B66" s="2">
        <f>COUNTIFS(交易明細!$B$2:$B$539,$A66)</f>
        <v/>
      </c>
      <c r="C66" s="2">
        <f>COUNTIFS(交易明細!$B$2:$B$539,$A66,交易明細!$C$2:$C$539,"做多")</f>
        <v/>
      </c>
      <c r="D66" s="2">
        <f>COUNTIFS(交易明細!$B$2:$B$539,$A66,交易明細!$C$2:$C$539,"做空")</f>
        <v/>
      </c>
      <c r="E66" s="2">
        <f>F66+G66+COUNTIFS(交易明細!$B$2:$B$539,$A66,交易明細!$J$2:$J$539,"時間出場")</f>
        <v/>
      </c>
      <c r="F66" s="2">
        <f>COUNTIFS(交易明細!$B$2:$B$539,$A66,交易明細!$J$2:$J$539,"止盈")</f>
        <v/>
      </c>
      <c r="G66" s="2">
        <f>COUNTIFS(交易明細!$B$2:$B$539,$A66,交易明細!$J$2:$J$539,"止損")</f>
        <v/>
      </c>
      <c r="H66" s="4">
        <f>IFERROR(F66/E66,0)</f>
        <v/>
      </c>
      <c r="I66" s="4">
        <f>IFERROR(AVERAGEIFS(交易明細!$L$2:$L$539,交易明細!$B$2:$B$539,$A66,交易明細!$J$2:$J$539,"&lt;&gt;未平倉"),0)</f>
        <v/>
      </c>
      <c r="J66" s="4">
        <f>SUMIFS(交易明細!$L$2:$L$539,交易明細!$B$2:$B$539,$A66,交易明細!$J$2:$J$539,"&lt;&gt;未平倉")</f>
        <v/>
      </c>
      <c r="K66" s="5">
        <f>IFERROR(AVERAGEIFS(交易明細!$K$2:$K$539,交易明細!$B$2:$B$539,$A66,交易明細!$J$2:$J$539,"&lt;&gt;未平倉"),0)</f>
        <v/>
      </c>
      <c r="L66" s="2">
        <f>COUNTIFS(交易明細!$B$2:$B$539,$A66,交易明細!$J$2:$J$539,"未平倉")</f>
        <v/>
      </c>
    </row>
    <row r="67">
      <c r="A67" s="2" t="inlineStr">
        <is>
          <t>CRV_USDT_PERP</t>
        </is>
      </c>
      <c r="B67" s="2">
        <f>COUNTIFS(交易明細!$B$2:$B$539,$A67)</f>
        <v/>
      </c>
      <c r="C67" s="2">
        <f>COUNTIFS(交易明細!$B$2:$B$539,$A67,交易明細!$C$2:$C$539,"做多")</f>
        <v/>
      </c>
      <c r="D67" s="2">
        <f>COUNTIFS(交易明細!$B$2:$B$539,$A67,交易明細!$C$2:$C$539,"做空")</f>
        <v/>
      </c>
      <c r="E67" s="2">
        <f>F67+G67+COUNTIFS(交易明細!$B$2:$B$539,$A67,交易明細!$J$2:$J$539,"時間出場")</f>
        <v/>
      </c>
      <c r="F67" s="2">
        <f>COUNTIFS(交易明細!$B$2:$B$539,$A67,交易明細!$J$2:$J$539,"止盈")</f>
        <v/>
      </c>
      <c r="G67" s="2">
        <f>COUNTIFS(交易明細!$B$2:$B$539,$A67,交易明細!$J$2:$J$539,"止損")</f>
        <v/>
      </c>
      <c r="H67" s="4">
        <f>IFERROR(F67/E67,0)</f>
        <v/>
      </c>
      <c r="I67" s="4">
        <f>IFERROR(AVERAGEIFS(交易明細!$L$2:$L$539,交易明細!$B$2:$B$539,$A67,交易明細!$J$2:$J$539,"&lt;&gt;未平倉"),0)</f>
        <v/>
      </c>
      <c r="J67" s="4">
        <f>SUMIFS(交易明細!$L$2:$L$539,交易明細!$B$2:$B$539,$A67,交易明細!$J$2:$J$539,"&lt;&gt;未平倉")</f>
        <v/>
      </c>
      <c r="K67" s="5">
        <f>IFERROR(AVERAGEIFS(交易明細!$K$2:$K$539,交易明細!$B$2:$B$539,$A67,交易明細!$J$2:$J$539,"&lt;&gt;未平倉"),0)</f>
        <v/>
      </c>
      <c r="L67" s="2">
        <f>COUNTIFS(交易明細!$B$2:$B$539,$A67,交易明細!$J$2:$J$539,"未平倉")</f>
        <v/>
      </c>
    </row>
    <row r="68">
      <c r="A68" s="2" t="inlineStr">
        <is>
          <t>MAGMA_USDT_PERP</t>
        </is>
      </c>
      <c r="B68" s="2">
        <f>COUNTIFS(交易明細!$B$2:$B$539,$A68)</f>
        <v/>
      </c>
      <c r="C68" s="2">
        <f>COUNTIFS(交易明細!$B$2:$B$539,$A68,交易明細!$C$2:$C$539,"做多")</f>
        <v/>
      </c>
      <c r="D68" s="2">
        <f>COUNTIFS(交易明細!$B$2:$B$539,$A68,交易明細!$C$2:$C$539,"做空")</f>
        <v/>
      </c>
      <c r="E68" s="2">
        <f>F68+G68+COUNTIFS(交易明細!$B$2:$B$539,$A68,交易明細!$J$2:$J$539,"時間出場")</f>
        <v/>
      </c>
      <c r="F68" s="2">
        <f>COUNTIFS(交易明細!$B$2:$B$539,$A68,交易明細!$J$2:$J$539,"止盈")</f>
        <v/>
      </c>
      <c r="G68" s="2">
        <f>COUNTIFS(交易明細!$B$2:$B$539,$A68,交易明細!$J$2:$J$539,"止損")</f>
        <v/>
      </c>
      <c r="H68" s="4">
        <f>IFERROR(F68/E68,0)</f>
        <v/>
      </c>
      <c r="I68" s="4">
        <f>IFERROR(AVERAGEIFS(交易明細!$L$2:$L$539,交易明細!$B$2:$B$539,$A68,交易明細!$J$2:$J$539,"&lt;&gt;未平倉"),0)</f>
        <v/>
      </c>
      <c r="J68" s="4">
        <f>SUMIFS(交易明細!$L$2:$L$539,交易明細!$B$2:$B$539,$A68,交易明細!$J$2:$J$539,"&lt;&gt;未平倉")</f>
        <v/>
      </c>
      <c r="K68" s="5">
        <f>IFERROR(AVERAGEIFS(交易明細!$K$2:$K$539,交易明細!$B$2:$B$539,$A68,交易明細!$J$2:$J$539,"&lt;&gt;未平倉"),0)</f>
        <v/>
      </c>
      <c r="L68" s="2">
        <f>COUNTIFS(交易明細!$B$2:$B$539,$A68,交易明細!$J$2:$J$539,"未平倉")</f>
        <v/>
      </c>
    </row>
    <row r="69">
      <c r="A69" s="2" t="inlineStr">
        <is>
          <t>TRUMP_USDT_PERP</t>
        </is>
      </c>
      <c r="B69" s="2">
        <f>COUNTIFS(交易明細!$B$2:$B$539,$A69)</f>
        <v/>
      </c>
      <c r="C69" s="2">
        <f>COUNTIFS(交易明細!$B$2:$B$539,$A69,交易明細!$C$2:$C$539,"做多")</f>
        <v/>
      </c>
      <c r="D69" s="2">
        <f>COUNTIFS(交易明細!$B$2:$B$539,$A69,交易明細!$C$2:$C$539,"做空")</f>
        <v/>
      </c>
      <c r="E69" s="2">
        <f>F69+G69+COUNTIFS(交易明細!$B$2:$B$539,$A69,交易明細!$J$2:$J$539,"時間出場")</f>
        <v/>
      </c>
      <c r="F69" s="2">
        <f>COUNTIFS(交易明細!$B$2:$B$539,$A69,交易明細!$J$2:$J$539,"止盈")</f>
        <v/>
      </c>
      <c r="G69" s="2">
        <f>COUNTIFS(交易明細!$B$2:$B$539,$A69,交易明細!$J$2:$J$539,"止損")</f>
        <v/>
      </c>
      <c r="H69" s="4">
        <f>IFERROR(F69/E69,0)</f>
        <v/>
      </c>
      <c r="I69" s="4">
        <f>IFERROR(AVERAGEIFS(交易明細!$L$2:$L$539,交易明細!$B$2:$B$539,$A69,交易明細!$J$2:$J$539,"&lt;&gt;未平倉"),0)</f>
        <v/>
      </c>
      <c r="J69" s="4">
        <f>SUMIFS(交易明細!$L$2:$L$539,交易明細!$B$2:$B$539,$A69,交易明細!$J$2:$J$539,"&lt;&gt;未平倉")</f>
        <v/>
      </c>
      <c r="K69" s="5">
        <f>IFERROR(AVERAGEIFS(交易明細!$K$2:$K$539,交易明細!$B$2:$B$539,$A69,交易明細!$J$2:$J$539,"&lt;&gt;未平倉"),0)</f>
        <v/>
      </c>
      <c r="L69" s="2">
        <f>COUNTIFS(交易明細!$B$2:$B$539,$A69,交易明細!$J$2:$J$539,"未平倉")</f>
        <v/>
      </c>
    </row>
    <row r="70">
      <c r="A70" s="2" t="inlineStr">
        <is>
          <t>CHIP_USDT_PERP</t>
        </is>
      </c>
      <c r="B70" s="2">
        <f>COUNTIFS(交易明細!$B$2:$B$539,$A70)</f>
        <v/>
      </c>
      <c r="C70" s="2">
        <f>COUNTIFS(交易明細!$B$2:$B$539,$A70,交易明細!$C$2:$C$539,"做多")</f>
        <v/>
      </c>
      <c r="D70" s="2">
        <f>COUNTIFS(交易明細!$B$2:$B$539,$A70,交易明細!$C$2:$C$539,"做空")</f>
        <v/>
      </c>
      <c r="E70" s="2">
        <f>F70+G70+COUNTIFS(交易明細!$B$2:$B$539,$A70,交易明細!$J$2:$J$539,"時間出場")</f>
        <v/>
      </c>
      <c r="F70" s="2">
        <f>COUNTIFS(交易明細!$B$2:$B$539,$A70,交易明細!$J$2:$J$539,"止盈")</f>
        <v/>
      </c>
      <c r="G70" s="2">
        <f>COUNTIFS(交易明細!$B$2:$B$539,$A70,交易明細!$J$2:$J$539,"止損")</f>
        <v/>
      </c>
      <c r="H70" s="4">
        <f>IFERROR(F70/E70,0)</f>
        <v/>
      </c>
      <c r="I70" s="4">
        <f>IFERROR(AVERAGEIFS(交易明細!$L$2:$L$539,交易明細!$B$2:$B$539,$A70,交易明細!$J$2:$J$539,"&lt;&gt;未平倉"),0)</f>
        <v/>
      </c>
      <c r="J70" s="4">
        <f>SUMIFS(交易明細!$L$2:$L$539,交易明細!$B$2:$B$539,$A70,交易明細!$J$2:$J$539,"&lt;&gt;未平倉")</f>
        <v/>
      </c>
      <c r="K70" s="5">
        <f>IFERROR(AVERAGEIFS(交易明細!$K$2:$K$539,交易明細!$B$2:$B$539,$A70,交易明細!$J$2:$J$539,"&lt;&gt;未平倉"),0)</f>
        <v/>
      </c>
      <c r="L70" s="2">
        <f>COUNTIFS(交易明細!$B$2:$B$539,$A70,交易明細!$J$2:$J$539,"未平倉")</f>
        <v/>
      </c>
    </row>
    <row r="71">
      <c r="A71" s="2" t="inlineStr">
        <is>
          <t>FARTCOIN_USDT_PERP</t>
        </is>
      </c>
      <c r="B71" s="2">
        <f>COUNTIFS(交易明細!$B$2:$B$539,$A71)</f>
        <v/>
      </c>
      <c r="C71" s="2">
        <f>COUNTIFS(交易明細!$B$2:$B$539,$A71,交易明細!$C$2:$C$539,"做多")</f>
        <v/>
      </c>
      <c r="D71" s="2">
        <f>COUNTIFS(交易明細!$B$2:$B$539,$A71,交易明細!$C$2:$C$539,"做空")</f>
        <v/>
      </c>
      <c r="E71" s="2">
        <f>F71+G71+COUNTIFS(交易明細!$B$2:$B$539,$A71,交易明細!$J$2:$J$539,"時間出場")</f>
        <v/>
      </c>
      <c r="F71" s="2">
        <f>COUNTIFS(交易明細!$B$2:$B$539,$A71,交易明細!$J$2:$J$539,"止盈")</f>
        <v/>
      </c>
      <c r="G71" s="2">
        <f>COUNTIFS(交易明細!$B$2:$B$539,$A71,交易明細!$J$2:$J$539,"止損")</f>
        <v/>
      </c>
      <c r="H71" s="4">
        <f>IFERROR(F71/E71,0)</f>
        <v/>
      </c>
      <c r="I71" s="4">
        <f>IFERROR(AVERAGEIFS(交易明細!$L$2:$L$539,交易明細!$B$2:$B$539,$A71,交易明細!$J$2:$J$539,"&lt;&gt;未平倉"),0)</f>
        <v/>
      </c>
      <c r="J71" s="4">
        <f>SUMIFS(交易明細!$L$2:$L$539,交易明細!$B$2:$B$539,$A71,交易明細!$J$2:$J$539,"&lt;&gt;未平倉")</f>
        <v/>
      </c>
      <c r="K71" s="5">
        <f>IFERROR(AVERAGEIFS(交易明細!$K$2:$K$539,交易明細!$B$2:$B$539,$A71,交易明細!$J$2:$J$539,"&lt;&gt;未平倉"),0)</f>
        <v/>
      </c>
      <c r="L71" s="2">
        <f>COUNTIFS(交易明細!$B$2:$B$539,$A71,交易明細!$J$2:$J$539,"未平倉")</f>
        <v/>
      </c>
    </row>
    <row r="72">
      <c r="A72" s="2" t="inlineStr">
        <is>
          <t>TRIA_USDT_PERP</t>
        </is>
      </c>
      <c r="B72" s="2">
        <f>COUNTIFS(交易明細!$B$2:$B$539,$A72)</f>
        <v/>
      </c>
      <c r="C72" s="2">
        <f>COUNTIFS(交易明細!$B$2:$B$539,$A72,交易明細!$C$2:$C$539,"做多")</f>
        <v/>
      </c>
      <c r="D72" s="2">
        <f>COUNTIFS(交易明細!$B$2:$B$539,$A72,交易明細!$C$2:$C$539,"做空")</f>
        <v/>
      </c>
      <c r="E72" s="2">
        <f>F72+G72+COUNTIFS(交易明細!$B$2:$B$539,$A72,交易明細!$J$2:$J$539,"時間出場")</f>
        <v/>
      </c>
      <c r="F72" s="2">
        <f>COUNTIFS(交易明細!$B$2:$B$539,$A72,交易明細!$J$2:$J$539,"止盈")</f>
        <v/>
      </c>
      <c r="G72" s="2">
        <f>COUNTIFS(交易明細!$B$2:$B$539,$A72,交易明細!$J$2:$J$539,"止損")</f>
        <v/>
      </c>
      <c r="H72" s="4">
        <f>IFERROR(F72/E72,0)</f>
        <v/>
      </c>
      <c r="I72" s="4">
        <f>IFERROR(AVERAGEIFS(交易明細!$L$2:$L$539,交易明細!$B$2:$B$539,$A72,交易明細!$J$2:$J$539,"&lt;&gt;未平倉"),0)</f>
        <v/>
      </c>
      <c r="J72" s="4">
        <f>SUMIFS(交易明細!$L$2:$L$539,交易明細!$B$2:$B$539,$A72,交易明細!$J$2:$J$539,"&lt;&gt;未平倉")</f>
        <v/>
      </c>
      <c r="K72" s="5">
        <f>IFERROR(AVERAGEIFS(交易明細!$K$2:$K$539,交易明細!$B$2:$B$539,$A72,交易明細!$J$2:$J$539,"&lt;&gt;未平倉"),0)</f>
        <v/>
      </c>
      <c r="L72" s="2">
        <f>COUNTIFS(交易明細!$B$2:$B$539,$A72,交易明細!$J$2:$J$539,"未平倉")</f>
        <v/>
      </c>
    </row>
    <row r="73">
      <c r="A73" s="2" t="inlineStr">
        <is>
          <t>KAS_USDT_PERP</t>
        </is>
      </c>
      <c r="B73" s="2">
        <f>COUNTIFS(交易明細!$B$2:$B$539,$A73)</f>
        <v/>
      </c>
      <c r="C73" s="2">
        <f>COUNTIFS(交易明細!$B$2:$B$539,$A73,交易明細!$C$2:$C$539,"做多")</f>
        <v/>
      </c>
      <c r="D73" s="2">
        <f>COUNTIFS(交易明細!$B$2:$B$539,$A73,交易明細!$C$2:$C$539,"做空")</f>
        <v/>
      </c>
      <c r="E73" s="2">
        <f>F73+G73+COUNTIFS(交易明細!$B$2:$B$539,$A73,交易明細!$J$2:$J$539,"時間出場")</f>
        <v/>
      </c>
      <c r="F73" s="2">
        <f>COUNTIFS(交易明細!$B$2:$B$539,$A73,交易明細!$J$2:$J$539,"止盈")</f>
        <v/>
      </c>
      <c r="G73" s="2">
        <f>COUNTIFS(交易明細!$B$2:$B$539,$A73,交易明細!$J$2:$J$539,"止損")</f>
        <v/>
      </c>
      <c r="H73" s="4">
        <f>IFERROR(F73/E73,0)</f>
        <v/>
      </c>
      <c r="I73" s="4">
        <f>IFERROR(AVERAGEIFS(交易明細!$L$2:$L$539,交易明細!$B$2:$B$539,$A73,交易明細!$J$2:$J$539,"&lt;&gt;未平倉"),0)</f>
        <v/>
      </c>
      <c r="J73" s="4">
        <f>SUMIFS(交易明細!$L$2:$L$539,交易明細!$B$2:$B$539,$A73,交易明細!$J$2:$J$539,"&lt;&gt;未平倉")</f>
        <v/>
      </c>
      <c r="K73" s="5">
        <f>IFERROR(AVERAGEIFS(交易明細!$K$2:$K$539,交易明細!$B$2:$B$539,$A73,交易明細!$J$2:$J$539,"&lt;&gt;未平倉"),0)</f>
        <v/>
      </c>
      <c r="L73" s="2">
        <f>COUNTIFS(交易明細!$B$2:$B$539,$A73,交易明細!$J$2:$J$539,"未平倉")</f>
        <v/>
      </c>
    </row>
    <row r="74">
      <c r="A74" s="2" t="inlineStr">
        <is>
          <t>CASHCAT_USDT_PERP</t>
        </is>
      </c>
      <c r="B74" s="2">
        <f>COUNTIFS(交易明細!$B$2:$B$539,$A74)</f>
        <v/>
      </c>
      <c r="C74" s="2">
        <f>COUNTIFS(交易明細!$B$2:$B$539,$A74,交易明細!$C$2:$C$539,"做多")</f>
        <v/>
      </c>
      <c r="D74" s="2">
        <f>COUNTIFS(交易明細!$B$2:$B$539,$A74,交易明細!$C$2:$C$539,"做空")</f>
        <v/>
      </c>
      <c r="E74" s="2">
        <f>F74+G74+COUNTIFS(交易明細!$B$2:$B$539,$A74,交易明細!$J$2:$J$539,"時間出場")</f>
        <v/>
      </c>
      <c r="F74" s="2">
        <f>COUNTIFS(交易明細!$B$2:$B$539,$A74,交易明細!$J$2:$J$539,"止盈")</f>
        <v/>
      </c>
      <c r="G74" s="2">
        <f>COUNTIFS(交易明細!$B$2:$B$539,$A74,交易明細!$J$2:$J$539,"止損")</f>
        <v/>
      </c>
      <c r="H74" s="4">
        <f>IFERROR(F74/E74,0)</f>
        <v/>
      </c>
      <c r="I74" s="4">
        <f>IFERROR(AVERAGEIFS(交易明細!$L$2:$L$539,交易明細!$B$2:$B$539,$A74,交易明細!$J$2:$J$539,"&lt;&gt;未平倉"),0)</f>
        <v/>
      </c>
      <c r="J74" s="4">
        <f>SUMIFS(交易明細!$L$2:$L$539,交易明細!$B$2:$B$539,$A74,交易明細!$J$2:$J$539,"&lt;&gt;未平倉")</f>
        <v/>
      </c>
      <c r="K74" s="5">
        <f>IFERROR(AVERAGEIFS(交易明細!$K$2:$K$539,交易明細!$B$2:$B$539,$A74,交易明細!$J$2:$J$539,"&lt;&gt;未平倉"),0)</f>
        <v/>
      </c>
      <c r="L74" s="2">
        <f>COUNTIFS(交易明細!$B$2:$B$539,$A74,交易明細!$J$2:$J$539,"未平倉")</f>
        <v/>
      </c>
    </row>
    <row r="75">
      <c r="A75" s="2" t="inlineStr">
        <is>
          <t>FF_USDT_PERP</t>
        </is>
      </c>
      <c r="B75" s="2">
        <f>COUNTIFS(交易明細!$B$2:$B$539,$A75)</f>
        <v/>
      </c>
      <c r="C75" s="2">
        <f>COUNTIFS(交易明細!$B$2:$B$539,$A75,交易明細!$C$2:$C$539,"做多")</f>
        <v/>
      </c>
      <c r="D75" s="2">
        <f>COUNTIFS(交易明細!$B$2:$B$539,$A75,交易明細!$C$2:$C$539,"做空")</f>
        <v/>
      </c>
      <c r="E75" s="2">
        <f>F75+G75+COUNTIFS(交易明細!$B$2:$B$539,$A75,交易明細!$J$2:$J$539,"時間出場")</f>
        <v/>
      </c>
      <c r="F75" s="2">
        <f>COUNTIFS(交易明細!$B$2:$B$539,$A75,交易明細!$J$2:$J$539,"止盈")</f>
        <v/>
      </c>
      <c r="G75" s="2">
        <f>COUNTIFS(交易明細!$B$2:$B$539,$A75,交易明細!$J$2:$J$539,"止損")</f>
        <v/>
      </c>
      <c r="H75" s="4">
        <f>IFERROR(F75/E75,0)</f>
        <v/>
      </c>
      <c r="I75" s="4">
        <f>IFERROR(AVERAGEIFS(交易明細!$L$2:$L$539,交易明細!$B$2:$B$539,$A75,交易明細!$J$2:$J$539,"&lt;&gt;未平倉"),0)</f>
        <v/>
      </c>
      <c r="J75" s="4">
        <f>SUMIFS(交易明細!$L$2:$L$539,交易明細!$B$2:$B$539,$A75,交易明細!$J$2:$J$539,"&lt;&gt;未平倉")</f>
        <v/>
      </c>
      <c r="K75" s="5">
        <f>IFERROR(AVERAGEIFS(交易明細!$K$2:$K$539,交易明細!$B$2:$B$539,$A75,交易明細!$J$2:$J$539,"&lt;&gt;未平倉"),0)</f>
        <v/>
      </c>
      <c r="L75" s="2">
        <f>COUNTIFS(交易明細!$B$2:$B$539,$A75,交易明細!$J$2:$J$539,"未平倉")</f>
        <v/>
      </c>
    </row>
    <row r="76">
      <c r="A76" s="2" t="inlineStr">
        <is>
          <t>KAT_USDT_PERP</t>
        </is>
      </c>
      <c r="B76" s="2">
        <f>COUNTIFS(交易明細!$B$2:$B$539,$A76)</f>
        <v/>
      </c>
      <c r="C76" s="2">
        <f>COUNTIFS(交易明細!$B$2:$B$539,$A76,交易明細!$C$2:$C$539,"做多")</f>
        <v/>
      </c>
      <c r="D76" s="2">
        <f>COUNTIFS(交易明細!$B$2:$B$539,$A76,交易明細!$C$2:$C$539,"做空")</f>
        <v/>
      </c>
      <c r="E76" s="2">
        <f>F76+G76+COUNTIFS(交易明細!$B$2:$B$539,$A76,交易明細!$J$2:$J$539,"時間出場")</f>
        <v/>
      </c>
      <c r="F76" s="2">
        <f>COUNTIFS(交易明細!$B$2:$B$539,$A76,交易明細!$J$2:$J$539,"止盈")</f>
        <v/>
      </c>
      <c r="G76" s="2">
        <f>COUNTIFS(交易明細!$B$2:$B$539,$A76,交易明細!$J$2:$J$539,"止損")</f>
        <v/>
      </c>
      <c r="H76" s="4">
        <f>IFERROR(F76/E76,0)</f>
        <v/>
      </c>
      <c r="I76" s="4">
        <f>IFERROR(AVERAGEIFS(交易明細!$L$2:$L$539,交易明細!$B$2:$B$539,$A76,交易明細!$J$2:$J$539,"&lt;&gt;未平倉"),0)</f>
        <v/>
      </c>
      <c r="J76" s="4">
        <f>SUMIFS(交易明細!$L$2:$L$539,交易明細!$B$2:$B$539,$A76,交易明細!$J$2:$J$539,"&lt;&gt;未平倉")</f>
        <v/>
      </c>
      <c r="K76" s="5">
        <f>IFERROR(AVERAGEIFS(交易明細!$K$2:$K$539,交易明細!$B$2:$B$539,$A76,交易明細!$J$2:$J$539,"&lt;&gt;未平倉"),0)</f>
        <v/>
      </c>
      <c r="L76" s="2">
        <f>COUNTIFS(交易明細!$B$2:$B$539,$A76,交易明細!$J$2:$J$539,"未平倉")</f>
        <v/>
      </c>
    </row>
    <row r="77">
      <c r="A77" s="2" t="inlineStr">
        <is>
          <t>CAP_USDT_PERP</t>
        </is>
      </c>
      <c r="B77" s="2">
        <f>COUNTIFS(交易明細!$B$2:$B$539,$A77)</f>
        <v/>
      </c>
      <c r="C77" s="2">
        <f>COUNTIFS(交易明細!$B$2:$B$539,$A77,交易明細!$C$2:$C$539,"做多")</f>
        <v/>
      </c>
      <c r="D77" s="2">
        <f>COUNTIFS(交易明細!$B$2:$B$539,$A77,交易明細!$C$2:$C$539,"做空")</f>
        <v/>
      </c>
      <c r="E77" s="2">
        <f>F77+G77+COUNTIFS(交易明細!$B$2:$B$539,$A77,交易明細!$J$2:$J$539,"時間出場")</f>
        <v/>
      </c>
      <c r="F77" s="2">
        <f>COUNTIFS(交易明細!$B$2:$B$539,$A77,交易明細!$J$2:$J$539,"止盈")</f>
        <v/>
      </c>
      <c r="G77" s="2">
        <f>COUNTIFS(交易明細!$B$2:$B$539,$A77,交易明細!$J$2:$J$539,"止損")</f>
        <v/>
      </c>
      <c r="H77" s="4">
        <f>IFERROR(F77/E77,0)</f>
        <v/>
      </c>
      <c r="I77" s="4">
        <f>IFERROR(AVERAGEIFS(交易明細!$L$2:$L$539,交易明細!$B$2:$B$539,$A77,交易明細!$J$2:$J$539,"&lt;&gt;未平倉"),0)</f>
        <v/>
      </c>
      <c r="J77" s="4">
        <f>SUMIFS(交易明細!$L$2:$L$539,交易明細!$B$2:$B$539,$A77,交易明細!$J$2:$J$539,"&lt;&gt;未平倉")</f>
        <v/>
      </c>
      <c r="K77" s="5">
        <f>IFERROR(AVERAGEIFS(交易明細!$K$2:$K$539,交易明細!$B$2:$B$539,$A77,交易明細!$J$2:$J$539,"&lt;&gt;未平倉"),0)</f>
        <v/>
      </c>
      <c r="L77" s="2">
        <f>COUNTIFS(交易明細!$B$2:$B$539,$A77,交易明細!$J$2:$J$539,"未平倉")</f>
        <v/>
      </c>
    </row>
    <row r="78">
      <c r="A78" s="2" t="inlineStr">
        <is>
          <t>XRP_USDT_PERP</t>
        </is>
      </c>
      <c r="B78" s="2">
        <f>COUNTIFS(交易明細!$B$2:$B$539,$A78)</f>
        <v/>
      </c>
      <c r="C78" s="2">
        <f>COUNTIFS(交易明細!$B$2:$B$539,$A78,交易明細!$C$2:$C$539,"做多")</f>
        <v/>
      </c>
      <c r="D78" s="2">
        <f>COUNTIFS(交易明細!$B$2:$B$539,$A78,交易明細!$C$2:$C$539,"做空")</f>
        <v/>
      </c>
      <c r="E78" s="2">
        <f>F78+G78+COUNTIFS(交易明細!$B$2:$B$539,$A78,交易明細!$J$2:$J$539,"時間出場")</f>
        <v/>
      </c>
      <c r="F78" s="2">
        <f>COUNTIFS(交易明細!$B$2:$B$539,$A78,交易明細!$J$2:$J$539,"止盈")</f>
        <v/>
      </c>
      <c r="G78" s="2">
        <f>COUNTIFS(交易明細!$B$2:$B$539,$A78,交易明細!$J$2:$J$539,"止損")</f>
        <v/>
      </c>
      <c r="H78" s="4">
        <f>IFERROR(F78/E78,0)</f>
        <v/>
      </c>
      <c r="I78" s="4">
        <f>IFERROR(AVERAGEIFS(交易明細!$L$2:$L$539,交易明細!$B$2:$B$539,$A78,交易明細!$J$2:$J$539,"&lt;&gt;未平倉"),0)</f>
        <v/>
      </c>
      <c r="J78" s="4">
        <f>SUMIFS(交易明細!$L$2:$L$539,交易明細!$B$2:$B$539,$A78,交易明細!$J$2:$J$539,"&lt;&gt;未平倉")</f>
        <v/>
      </c>
      <c r="K78" s="5">
        <f>IFERROR(AVERAGEIFS(交易明細!$K$2:$K$539,交易明細!$B$2:$B$539,$A78,交易明細!$J$2:$J$539,"&lt;&gt;未平倉"),0)</f>
        <v/>
      </c>
      <c r="L78" s="2">
        <f>COUNTIFS(交易明細!$B$2:$B$539,$A78,交易明細!$J$2:$J$539,"未平倉")</f>
        <v/>
      </c>
    </row>
    <row r="79">
      <c r="A79" s="2" t="inlineStr">
        <is>
          <t>CROSS_USDT_PERP</t>
        </is>
      </c>
      <c r="B79" s="2">
        <f>COUNTIFS(交易明細!$B$2:$B$539,$A79)</f>
        <v/>
      </c>
      <c r="C79" s="2">
        <f>COUNTIFS(交易明細!$B$2:$B$539,$A79,交易明細!$C$2:$C$539,"做多")</f>
        <v/>
      </c>
      <c r="D79" s="2">
        <f>COUNTIFS(交易明細!$B$2:$B$539,$A79,交易明細!$C$2:$C$539,"做空")</f>
        <v/>
      </c>
      <c r="E79" s="2">
        <f>F79+G79+COUNTIFS(交易明細!$B$2:$B$539,$A79,交易明細!$J$2:$J$539,"時間出場")</f>
        <v/>
      </c>
      <c r="F79" s="2">
        <f>COUNTIFS(交易明細!$B$2:$B$539,$A79,交易明細!$J$2:$J$539,"止盈")</f>
        <v/>
      </c>
      <c r="G79" s="2">
        <f>COUNTIFS(交易明細!$B$2:$B$539,$A79,交易明細!$J$2:$J$539,"止損")</f>
        <v/>
      </c>
      <c r="H79" s="4">
        <f>IFERROR(F79/E79,0)</f>
        <v/>
      </c>
      <c r="I79" s="4">
        <f>IFERROR(AVERAGEIFS(交易明細!$L$2:$L$539,交易明細!$B$2:$B$539,$A79,交易明細!$J$2:$J$539,"&lt;&gt;未平倉"),0)</f>
        <v/>
      </c>
      <c r="J79" s="4">
        <f>SUMIFS(交易明細!$L$2:$L$539,交易明細!$B$2:$B$539,$A79,交易明細!$J$2:$J$539,"&lt;&gt;未平倉")</f>
        <v/>
      </c>
      <c r="K79" s="5">
        <f>IFERROR(AVERAGEIFS(交易明細!$K$2:$K$539,交易明細!$B$2:$B$539,$A79,交易明細!$J$2:$J$539,"&lt;&gt;未平倉"),0)</f>
        <v/>
      </c>
      <c r="L79" s="2">
        <f>COUNTIFS(交易明細!$B$2:$B$539,$A79,交易明細!$J$2:$J$539,"未平倉")</f>
        <v/>
      </c>
    </row>
    <row r="80">
      <c r="A80" s="2" t="inlineStr">
        <is>
          <t>MYX_USDT_PERP</t>
        </is>
      </c>
      <c r="B80" s="2">
        <f>COUNTIFS(交易明細!$B$2:$B$539,$A80)</f>
        <v/>
      </c>
      <c r="C80" s="2">
        <f>COUNTIFS(交易明細!$B$2:$B$539,$A80,交易明細!$C$2:$C$539,"做多")</f>
        <v/>
      </c>
      <c r="D80" s="2">
        <f>COUNTIFS(交易明細!$B$2:$B$539,$A80,交易明細!$C$2:$C$539,"做空")</f>
        <v/>
      </c>
      <c r="E80" s="2">
        <f>F80+G80+COUNTIFS(交易明細!$B$2:$B$539,$A80,交易明細!$J$2:$J$539,"時間出場")</f>
        <v/>
      </c>
      <c r="F80" s="2">
        <f>COUNTIFS(交易明細!$B$2:$B$539,$A80,交易明細!$J$2:$J$539,"止盈")</f>
        <v/>
      </c>
      <c r="G80" s="2">
        <f>COUNTIFS(交易明細!$B$2:$B$539,$A80,交易明細!$J$2:$J$539,"止損")</f>
        <v/>
      </c>
      <c r="H80" s="4">
        <f>IFERROR(F80/E80,0)</f>
        <v/>
      </c>
      <c r="I80" s="4">
        <f>IFERROR(AVERAGEIFS(交易明細!$L$2:$L$539,交易明細!$B$2:$B$539,$A80,交易明細!$J$2:$J$539,"&lt;&gt;未平倉"),0)</f>
        <v/>
      </c>
      <c r="J80" s="4">
        <f>SUMIFS(交易明細!$L$2:$L$539,交易明細!$B$2:$B$539,$A80,交易明細!$J$2:$J$539,"&lt;&gt;未平倉")</f>
        <v/>
      </c>
      <c r="K80" s="5">
        <f>IFERROR(AVERAGEIFS(交易明細!$K$2:$K$539,交易明細!$B$2:$B$539,$A80,交易明細!$J$2:$J$539,"&lt;&gt;未平倉"),0)</f>
        <v/>
      </c>
      <c r="L80" s="2">
        <f>COUNTIFS(交易明細!$B$2:$B$539,$A80,交易明細!$J$2:$J$539,"未平倉")</f>
        <v/>
      </c>
    </row>
    <row r="81">
      <c r="A81" s="2" t="inlineStr">
        <is>
          <t>BANK_USDT_PERP</t>
        </is>
      </c>
      <c r="B81" s="2">
        <f>COUNTIFS(交易明細!$B$2:$B$539,$A81)</f>
        <v/>
      </c>
      <c r="C81" s="2">
        <f>COUNTIFS(交易明細!$B$2:$B$539,$A81,交易明細!$C$2:$C$539,"做多")</f>
        <v/>
      </c>
      <c r="D81" s="2">
        <f>COUNTIFS(交易明細!$B$2:$B$539,$A81,交易明細!$C$2:$C$539,"做空")</f>
        <v/>
      </c>
      <c r="E81" s="2">
        <f>F81+G81+COUNTIFS(交易明細!$B$2:$B$539,$A81,交易明細!$J$2:$J$539,"時間出場")</f>
        <v/>
      </c>
      <c r="F81" s="2">
        <f>COUNTIFS(交易明細!$B$2:$B$539,$A81,交易明細!$J$2:$J$539,"止盈")</f>
        <v/>
      </c>
      <c r="G81" s="2">
        <f>COUNTIFS(交易明細!$B$2:$B$539,$A81,交易明細!$J$2:$J$539,"止損")</f>
        <v/>
      </c>
      <c r="H81" s="4">
        <f>IFERROR(F81/E81,0)</f>
        <v/>
      </c>
      <c r="I81" s="4">
        <f>IFERROR(AVERAGEIFS(交易明細!$L$2:$L$539,交易明細!$B$2:$B$539,$A81,交易明細!$J$2:$J$539,"&lt;&gt;未平倉"),0)</f>
        <v/>
      </c>
      <c r="J81" s="4">
        <f>SUMIFS(交易明細!$L$2:$L$539,交易明細!$B$2:$B$539,$A81,交易明細!$J$2:$J$539,"&lt;&gt;未平倉")</f>
        <v/>
      </c>
      <c r="K81" s="5">
        <f>IFERROR(AVERAGEIFS(交易明細!$K$2:$K$539,交易明細!$B$2:$B$539,$A81,交易明細!$J$2:$J$539,"&lt;&gt;未平倉"),0)</f>
        <v/>
      </c>
      <c r="L81" s="2">
        <f>COUNTIFS(交易明細!$B$2:$B$539,$A81,交易明細!$J$2:$J$539,"未平倉")</f>
        <v/>
      </c>
    </row>
    <row r="82">
      <c r="A82" s="2" t="inlineStr">
        <is>
          <t>ETHFI_USDT_PERP</t>
        </is>
      </c>
      <c r="B82" s="2">
        <f>COUNTIFS(交易明細!$B$2:$B$539,$A82)</f>
        <v/>
      </c>
      <c r="C82" s="2">
        <f>COUNTIFS(交易明細!$B$2:$B$539,$A82,交易明細!$C$2:$C$539,"做多")</f>
        <v/>
      </c>
      <c r="D82" s="2">
        <f>COUNTIFS(交易明細!$B$2:$B$539,$A82,交易明細!$C$2:$C$539,"做空")</f>
        <v/>
      </c>
      <c r="E82" s="2">
        <f>F82+G82+COUNTIFS(交易明細!$B$2:$B$539,$A82,交易明細!$J$2:$J$539,"時間出場")</f>
        <v/>
      </c>
      <c r="F82" s="2">
        <f>COUNTIFS(交易明細!$B$2:$B$539,$A82,交易明細!$J$2:$J$539,"止盈")</f>
        <v/>
      </c>
      <c r="G82" s="2">
        <f>COUNTIFS(交易明細!$B$2:$B$539,$A82,交易明細!$J$2:$J$539,"止損")</f>
        <v/>
      </c>
      <c r="H82" s="4">
        <f>IFERROR(F82/E82,0)</f>
        <v/>
      </c>
      <c r="I82" s="4">
        <f>IFERROR(AVERAGEIFS(交易明細!$L$2:$L$539,交易明細!$B$2:$B$539,$A82,交易明細!$J$2:$J$539,"&lt;&gt;未平倉"),0)</f>
        <v/>
      </c>
      <c r="J82" s="4">
        <f>SUMIFS(交易明細!$L$2:$L$539,交易明細!$B$2:$B$539,$A82,交易明細!$J$2:$J$539,"&lt;&gt;未平倉")</f>
        <v/>
      </c>
      <c r="K82" s="5">
        <f>IFERROR(AVERAGEIFS(交易明細!$K$2:$K$539,交易明細!$B$2:$B$539,$A82,交易明細!$J$2:$J$539,"&lt;&gt;未平倉"),0)</f>
        <v/>
      </c>
      <c r="L82" s="2">
        <f>COUNTIFS(交易明細!$B$2:$B$539,$A82,交易明細!$J$2:$J$539,"未平倉")</f>
        <v/>
      </c>
    </row>
    <row r="83">
      <c r="A83" s="2" t="inlineStr">
        <is>
          <t>HBAR_USDT_PERP</t>
        </is>
      </c>
      <c r="B83" s="2">
        <f>COUNTIFS(交易明細!$B$2:$B$539,$A83)</f>
        <v/>
      </c>
      <c r="C83" s="2">
        <f>COUNTIFS(交易明細!$B$2:$B$539,$A83,交易明細!$C$2:$C$539,"做多")</f>
        <v/>
      </c>
      <c r="D83" s="2">
        <f>COUNTIFS(交易明細!$B$2:$B$539,$A83,交易明細!$C$2:$C$539,"做空")</f>
        <v/>
      </c>
      <c r="E83" s="2">
        <f>F83+G83+COUNTIFS(交易明細!$B$2:$B$539,$A83,交易明細!$J$2:$J$539,"時間出場")</f>
        <v/>
      </c>
      <c r="F83" s="2">
        <f>COUNTIFS(交易明細!$B$2:$B$539,$A83,交易明細!$J$2:$J$539,"止盈")</f>
        <v/>
      </c>
      <c r="G83" s="2">
        <f>COUNTIFS(交易明細!$B$2:$B$539,$A83,交易明細!$J$2:$J$539,"止損")</f>
        <v/>
      </c>
      <c r="H83" s="4">
        <f>IFERROR(F83/E83,0)</f>
        <v/>
      </c>
      <c r="I83" s="4">
        <f>IFERROR(AVERAGEIFS(交易明細!$L$2:$L$539,交易明細!$B$2:$B$539,$A83,交易明細!$J$2:$J$539,"&lt;&gt;未平倉"),0)</f>
        <v/>
      </c>
      <c r="J83" s="4">
        <f>SUMIFS(交易明細!$L$2:$L$539,交易明細!$B$2:$B$539,$A83,交易明細!$J$2:$J$539,"&lt;&gt;未平倉")</f>
        <v/>
      </c>
      <c r="K83" s="5">
        <f>IFERROR(AVERAGEIFS(交易明細!$K$2:$K$539,交易明細!$B$2:$B$539,$A83,交易明細!$J$2:$J$539,"&lt;&gt;未平倉"),0)</f>
        <v/>
      </c>
      <c r="L83" s="2">
        <f>COUNTIFS(交易明細!$B$2:$B$539,$A83,交易明細!$J$2:$J$539,"未平倉")</f>
        <v/>
      </c>
    </row>
    <row r="84">
      <c r="A84" s="2" t="inlineStr">
        <is>
          <t>KITE_USDT_PERP</t>
        </is>
      </c>
      <c r="B84" s="2">
        <f>COUNTIFS(交易明細!$B$2:$B$539,$A84)</f>
        <v/>
      </c>
      <c r="C84" s="2">
        <f>COUNTIFS(交易明細!$B$2:$B$539,$A84,交易明細!$C$2:$C$539,"做多")</f>
        <v/>
      </c>
      <c r="D84" s="2">
        <f>COUNTIFS(交易明細!$B$2:$B$539,$A84,交易明細!$C$2:$C$539,"做空")</f>
        <v/>
      </c>
      <c r="E84" s="2">
        <f>F84+G84+COUNTIFS(交易明細!$B$2:$B$539,$A84,交易明細!$J$2:$J$539,"時間出場")</f>
        <v/>
      </c>
      <c r="F84" s="2">
        <f>COUNTIFS(交易明細!$B$2:$B$539,$A84,交易明細!$J$2:$J$539,"止盈")</f>
        <v/>
      </c>
      <c r="G84" s="2">
        <f>COUNTIFS(交易明細!$B$2:$B$539,$A84,交易明細!$J$2:$J$539,"止損")</f>
        <v/>
      </c>
      <c r="H84" s="4">
        <f>IFERROR(F84/E84,0)</f>
        <v/>
      </c>
      <c r="I84" s="4">
        <f>IFERROR(AVERAGEIFS(交易明細!$L$2:$L$539,交易明細!$B$2:$B$539,$A84,交易明細!$J$2:$J$539,"&lt;&gt;未平倉"),0)</f>
        <v/>
      </c>
      <c r="J84" s="4">
        <f>SUMIFS(交易明細!$L$2:$L$539,交易明細!$B$2:$B$539,$A84,交易明細!$J$2:$J$539,"&lt;&gt;未平倉")</f>
        <v/>
      </c>
      <c r="K84" s="5">
        <f>IFERROR(AVERAGEIFS(交易明細!$K$2:$K$539,交易明細!$B$2:$B$539,$A84,交易明細!$J$2:$J$539,"&lt;&gt;未平倉"),0)</f>
        <v/>
      </c>
      <c r="L84" s="2">
        <f>COUNTIFS(交易明細!$B$2:$B$539,$A84,交易明細!$J$2:$J$539,"未平倉")</f>
        <v/>
      </c>
    </row>
    <row r="85">
      <c r="A85" s="2" t="inlineStr">
        <is>
          <t>ADA_USDT_PERP</t>
        </is>
      </c>
      <c r="B85" s="2">
        <f>COUNTIFS(交易明細!$B$2:$B$539,$A85)</f>
        <v/>
      </c>
      <c r="C85" s="2">
        <f>COUNTIFS(交易明細!$B$2:$B$539,$A85,交易明細!$C$2:$C$539,"做多")</f>
        <v/>
      </c>
      <c r="D85" s="2">
        <f>COUNTIFS(交易明細!$B$2:$B$539,$A85,交易明細!$C$2:$C$539,"做空")</f>
        <v/>
      </c>
      <c r="E85" s="2">
        <f>F85+G85+COUNTIFS(交易明細!$B$2:$B$539,$A85,交易明細!$J$2:$J$539,"時間出場")</f>
        <v/>
      </c>
      <c r="F85" s="2">
        <f>COUNTIFS(交易明細!$B$2:$B$539,$A85,交易明細!$J$2:$J$539,"止盈")</f>
        <v/>
      </c>
      <c r="G85" s="2">
        <f>COUNTIFS(交易明細!$B$2:$B$539,$A85,交易明細!$J$2:$J$539,"止損")</f>
        <v/>
      </c>
      <c r="H85" s="4">
        <f>IFERROR(F85/E85,0)</f>
        <v/>
      </c>
      <c r="I85" s="4">
        <f>IFERROR(AVERAGEIFS(交易明細!$L$2:$L$539,交易明細!$B$2:$B$539,$A85,交易明細!$J$2:$J$539,"&lt;&gt;未平倉"),0)</f>
        <v/>
      </c>
      <c r="J85" s="4">
        <f>SUMIFS(交易明細!$L$2:$L$539,交易明細!$B$2:$B$539,$A85,交易明細!$J$2:$J$539,"&lt;&gt;未平倉")</f>
        <v/>
      </c>
      <c r="K85" s="5">
        <f>IFERROR(AVERAGEIFS(交易明細!$K$2:$K$539,交易明細!$B$2:$B$539,$A85,交易明細!$J$2:$J$539,"&lt;&gt;未平倉"),0)</f>
        <v/>
      </c>
      <c r="L85" s="2">
        <f>COUNTIFS(交易明細!$B$2:$B$539,$A85,交易明細!$J$2:$J$539,"未平倉")</f>
        <v/>
      </c>
    </row>
    <row r="86">
      <c r="A86" s="2" t="inlineStr">
        <is>
          <t>LTC_USDT_PERP</t>
        </is>
      </c>
      <c r="B86" s="2">
        <f>COUNTIFS(交易明細!$B$2:$B$539,$A86)</f>
        <v/>
      </c>
      <c r="C86" s="2">
        <f>COUNTIFS(交易明細!$B$2:$B$539,$A86,交易明細!$C$2:$C$539,"做多")</f>
        <v/>
      </c>
      <c r="D86" s="2">
        <f>COUNTIFS(交易明細!$B$2:$B$539,$A86,交易明細!$C$2:$C$539,"做空")</f>
        <v/>
      </c>
      <c r="E86" s="2">
        <f>F86+G86+COUNTIFS(交易明細!$B$2:$B$539,$A86,交易明細!$J$2:$J$539,"時間出場")</f>
        <v/>
      </c>
      <c r="F86" s="2">
        <f>COUNTIFS(交易明細!$B$2:$B$539,$A86,交易明細!$J$2:$J$539,"止盈")</f>
        <v/>
      </c>
      <c r="G86" s="2">
        <f>COUNTIFS(交易明細!$B$2:$B$539,$A86,交易明細!$J$2:$J$539,"止損")</f>
        <v/>
      </c>
      <c r="H86" s="4">
        <f>IFERROR(F86/E86,0)</f>
        <v/>
      </c>
      <c r="I86" s="4">
        <f>IFERROR(AVERAGEIFS(交易明細!$L$2:$L$539,交易明細!$B$2:$B$539,$A86,交易明細!$J$2:$J$539,"&lt;&gt;未平倉"),0)</f>
        <v/>
      </c>
      <c r="J86" s="4">
        <f>SUMIFS(交易明細!$L$2:$L$539,交易明細!$B$2:$B$539,$A86,交易明細!$J$2:$J$539,"&lt;&gt;未平倉")</f>
        <v/>
      </c>
      <c r="K86" s="5">
        <f>IFERROR(AVERAGEIFS(交易明細!$K$2:$K$539,交易明細!$B$2:$B$539,$A86,交易明細!$J$2:$J$539,"&lt;&gt;未平倉"),0)</f>
        <v/>
      </c>
      <c r="L86" s="2">
        <f>COUNTIFS(交易明細!$B$2:$B$539,$A86,交易明細!$J$2:$J$539,"未平倉")</f>
        <v/>
      </c>
    </row>
    <row r="87">
      <c r="A87" s="2" t="inlineStr">
        <is>
          <t>TIA_USDT_PERP</t>
        </is>
      </c>
      <c r="B87" s="2">
        <f>COUNTIFS(交易明細!$B$2:$B$539,$A87)</f>
        <v/>
      </c>
      <c r="C87" s="2">
        <f>COUNTIFS(交易明細!$B$2:$B$539,$A87,交易明細!$C$2:$C$539,"做多")</f>
        <v/>
      </c>
      <c r="D87" s="2">
        <f>COUNTIFS(交易明細!$B$2:$B$539,$A87,交易明細!$C$2:$C$539,"做空")</f>
        <v/>
      </c>
      <c r="E87" s="2">
        <f>F87+G87+COUNTIFS(交易明細!$B$2:$B$539,$A87,交易明細!$J$2:$J$539,"時間出場")</f>
        <v/>
      </c>
      <c r="F87" s="2">
        <f>COUNTIFS(交易明細!$B$2:$B$539,$A87,交易明細!$J$2:$J$539,"止盈")</f>
        <v/>
      </c>
      <c r="G87" s="2">
        <f>COUNTIFS(交易明細!$B$2:$B$539,$A87,交易明細!$J$2:$J$539,"止損")</f>
        <v/>
      </c>
      <c r="H87" s="4">
        <f>IFERROR(F87/E87,0)</f>
        <v/>
      </c>
      <c r="I87" s="4">
        <f>IFERROR(AVERAGEIFS(交易明細!$L$2:$L$539,交易明細!$B$2:$B$539,$A87,交易明細!$J$2:$J$539,"&lt;&gt;未平倉"),0)</f>
        <v/>
      </c>
      <c r="J87" s="4">
        <f>SUMIFS(交易明細!$L$2:$L$539,交易明細!$B$2:$B$539,$A87,交易明細!$J$2:$J$539,"&lt;&gt;未平倉")</f>
        <v/>
      </c>
      <c r="K87" s="5">
        <f>IFERROR(AVERAGEIFS(交易明細!$K$2:$K$539,交易明細!$B$2:$B$539,$A87,交易明細!$J$2:$J$539,"&lt;&gt;未平倉"),0)</f>
        <v/>
      </c>
      <c r="L87" s="2">
        <f>COUNTIFS(交易明細!$B$2:$B$539,$A87,交易明細!$J$2:$J$539,"未平倉")</f>
        <v/>
      </c>
    </row>
    <row r="88">
      <c r="A88" s="2" t="inlineStr">
        <is>
          <t>NOM_USDT_PERP</t>
        </is>
      </c>
      <c r="B88" s="2">
        <f>COUNTIFS(交易明細!$B$2:$B$539,$A88)</f>
        <v/>
      </c>
      <c r="C88" s="2">
        <f>COUNTIFS(交易明細!$B$2:$B$539,$A88,交易明細!$C$2:$C$539,"做多")</f>
        <v/>
      </c>
      <c r="D88" s="2">
        <f>COUNTIFS(交易明細!$B$2:$B$539,$A88,交易明細!$C$2:$C$539,"做空")</f>
        <v/>
      </c>
      <c r="E88" s="2">
        <f>F88+G88+COUNTIFS(交易明細!$B$2:$B$539,$A88,交易明細!$J$2:$J$539,"時間出場")</f>
        <v/>
      </c>
      <c r="F88" s="2">
        <f>COUNTIFS(交易明細!$B$2:$B$539,$A88,交易明細!$J$2:$J$539,"止盈")</f>
        <v/>
      </c>
      <c r="G88" s="2">
        <f>COUNTIFS(交易明細!$B$2:$B$539,$A88,交易明細!$J$2:$J$539,"止損")</f>
        <v/>
      </c>
      <c r="H88" s="4">
        <f>IFERROR(F88/E88,0)</f>
        <v/>
      </c>
      <c r="I88" s="4">
        <f>IFERROR(AVERAGEIFS(交易明細!$L$2:$L$539,交易明細!$B$2:$B$539,$A88,交易明細!$J$2:$J$539,"&lt;&gt;未平倉"),0)</f>
        <v/>
      </c>
      <c r="J88" s="4">
        <f>SUMIFS(交易明細!$L$2:$L$539,交易明細!$B$2:$B$539,$A88,交易明細!$J$2:$J$539,"&lt;&gt;未平倉")</f>
        <v/>
      </c>
      <c r="K88" s="5">
        <f>IFERROR(AVERAGEIFS(交易明細!$K$2:$K$539,交易明細!$B$2:$B$539,$A88,交易明細!$J$2:$J$539,"&lt;&gt;未平倉"),0)</f>
        <v/>
      </c>
      <c r="L88" s="2">
        <f>COUNTIFS(交易明細!$B$2:$B$539,$A88,交易明細!$J$2:$J$539,"未平倉")</f>
        <v/>
      </c>
    </row>
    <row r="89">
      <c r="A89" s="2" t="inlineStr">
        <is>
          <t>BROCCOLI_USDT_PERP</t>
        </is>
      </c>
      <c r="B89" s="2">
        <f>COUNTIFS(交易明細!$B$2:$B$539,$A89)</f>
        <v/>
      </c>
      <c r="C89" s="2">
        <f>COUNTIFS(交易明細!$B$2:$B$539,$A89,交易明細!$C$2:$C$539,"做多")</f>
        <v/>
      </c>
      <c r="D89" s="2">
        <f>COUNTIFS(交易明細!$B$2:$B$539,$A89,交易明細!$C$2:$C$539,"做空")</f>
        <v/>
      </c>
      <c r="E89" s="2">
        <f>F89+G89+COUNTIFS(交易明細!$B$2:$B$539,$A89,交易明細!$J$2:$J$539,"時間出場")</f>
        <v/>
      </c>
      <c r="F89" s="2">
        <f>COUNTIFS(交易明細!$B$2:$B$539,$A89,交易明細!$J$2:$J$539,"止盈")</f>
        <v/>
      </c>
      <c r="G89" s="2">
        <f>COUNTIFS(交易明細!$B$2:$B$539,$A89,交易明細!$J$2:$J$539,"止損")</f>
        <v/>
      </c>
      <c r="H89" s="4">
        <f>IFERROR(F89/E89,0)</f>
        <v/>
      </c>
      <c r="I89" s="4">
        <f>IFERROR(AVERAGEIFS(交易明細!$L$2:$L$539,交易明細!$B$2:$B$539,$A89,交易明細!$J$2:$J$539,"&lt;&gt;未平倉"),0)</f>
        <v/>
      </c>
      <c r="J89" s="4">
        <f>SUMIFS(交易明細!$L$2:$L$539,交易明細!$B$2:$B$539,$A89,交易明細!$J$2:$J$539,"&lt;&gt;未平倉")</f>
        <v/>
      </c>
      <c r="K89" s="5">
        <f>IFERROR(AVERAGEIFS(交易明細!$K$2:$K$539,交易明細!$B$2:$B$539,$A89,交易明細!$J$2:$J$539,"&lt;&gt;未平倉"),0)</f>
        <v/>
      </c>
      <c r="L89" s="2">
        <f>COUNTIFS(交易明細!$B$2:$B$539,$A89,交易明細!$J$2:$J$539,"未平倉")</f>
        <v/>
      </c>
    </row>
    <row r="90">
      <c r="A90" s="2" t="inlineStr">
        <is>
          <t>MUBARAK_USDT_PERP</t>
        </is>
      </c>
      <c r="B90" s="2">
        <f>COUNTIFS(交易明細!$B$2:$B$539,$A90)</f>
        <v/>
      </c>
      <c r="C90" s="2">
        <f>COUNTIFS(交易明細!$B$2:$B$539,$A90,交易明細!$C$2:$C$539,"做多")</f>
        <v/>
      </c>
      <c r="D90" s="2">
        <f>COUNTIFS(交易明細!$B$2:$B$539,$A90,交易明細!$C$2:$C$539,"做空")</f>
        <v/>
      </c>
      <c r="E90" s="2">
        <f>F90+G90+COUNTIFS(交易明細!$B$2:$B$539,$A90,交易明細!$J$2:$J$539,"時間出場")</f>
        <v/>
      </c>
      <c r="F90" s="2">
        <f>COUNTIFS(交易明細!$B$2:$B$539,$A90,交易明細!$J$2:$J$539,"止盈")</f>
        <v/>
      </c>
      <c r="G90" s="2">
        <f>COUNTIFS(交易明細!$B$2:$B$539,$A90,交易明細!$J$2:$J$539,"止損")</f>
        <v/>
      </c>
      <c r="H90" s="4">
        <f>IFERROR(F90/E90,0)</f>
        <v/>
      </c>
      <c r="I90" s="4">
        <f>IFERROR(AVERAGEIFS(交易明細!$L$2:$L$539,交易明細!$B$2:$B$539,$A90,交易明細!$J$2:$J$539,"&lt;&gt;未平倉"),0)</f>
        <v/>
      </c>
      <c r="J90" s="4">
        <f>SUMIFS(交易明細!$L$2:$L$539,交易明細!$B$2:$B$539,$A90,交易明細!$J$2:$J$539,"&lt;&gt;未平倉")</f>
        <v/>
      </c>
      <c r="K90" s="5">
        <f>IFERROR(AVERAGEIFS(交易明細!$K$2:$K$539,交易明細!$B$2:$B$539,$A90,交易明細!$J$2:$J$539,"&lt;&gt;未平倉"),0)</f>
        <v/>
      </c>
      <c r="L90" s="2">
        <f>COUNTIFS(交易明細!$B$2:$B$539,$A90,交易明細!$J$2:$J$539,"未平倉")</f>
        <v/>
      </c>
    </row>
    <row r="91">
      <c r="A91" s="2" t="inlineStr">
        <is>
          <t>2Z_USDT_PERP</t>
        </is>
      </c>
      <c r="B91" s="2">
        <f>COUNTIFS(交易明細!$B$2:$B$539,$A91)</f>
        <v/>
      </c>
      <c r="C91" s="2">
        <f>COUNTIFS(交易明細!$B$2:$B$539,$A91,交易明細!$C$2:$C$539,"做多")</f>
        <v/>
      </c>
      <c r="D91" s="2">
        <f>COUNTIFS(交易明細!$B$2:$B$539,$A91,交易明細!$C$2:$C$539,"做空")</f>
        <v/>
      </c>
      <c r="E91" s="2">
        <f>F91+G91+COUNTIFS(交易明細!$B$2:$B$539,$A91,交易明細!$J$2:$J$539,"時間出場")</f>
        <v/>
      </c>
      <c r="F91" s="2">
        <f>COUNTIFS(交易明細!$B$2:$B$539,$A91,交易明細!$J$2:$J$539,"止盈")</f>
        <v/>
      </c>
      <c r="G91" s="2">
        <f>COUNTIFS(交易明細!$B$2:$B$539,$A91,交易明細!$J$2:$J$539,"止損")</f>
        <v/>
      </c>
      <c r="H91" s="4">
        <f>IFERROR(F91/E91,0)</f>
        <v/>
      </c>
      <c r="I91" s="4">
        <f>IFERROR(AVERAGEIFS(交易明細!$L$2:$L$539,交易明細!$B$2:$B$539,$A91,交易明細!$J$2:$J$539,"&lt;&gt;未平倉"),0)</f>
        <v/>
      </c>
      <c r="J91" s="4">
        <f>SUMIFS(交易明細!$L$2:$L$539,交易明細!$B$2:$B$539,$A91,交易明細!$J$2:$J$539,"&lt;&gt;未平倉")</f>
        <v/>
      </c>
      <c r="K91" s="5">
        <f>IFERROR(AVERAGEIFS(交易明細!$K$2:$K$539,交易明細!$B$2:$B$539,$A91,交易明細!$J$2:$J$539,"&lt;&gt;未平倉"),0)</f>
        <v/>
      </c>
      <c r="L91" s="2">
        <f>COUNTIFS(交易明細!$B$2:$B$539,$A91,交易明細!$J$2:$J$539,"未平倉")</f>
        <v/>
      </c>
    </row>
    <row r="92">
      <c r="A92" s="2" t="inlineStr">
        <is>
          <t>SOON_USDT_PERP</t>
        </is>
      </c>
      <c r="B92" s="2">
        <f>COUNTIFS(交易明細!$B$2:$B$539,$A92)</f>
        <v/>
      </c>
      <c r="C92" s="2">
        <f>COUNTIFS(交易明細!$B$2:$B$539,$A92,交易明細!$C$2:$C$539,"做多")</f>
        <v/>
      </c>
      <c r="D92" s="2">
        <f>COUNTIFS(交易明細!$B$2:$B$539,$A92,交易明細!$C$2:$C$539,"做空")</f>
        <v/>
      </c>
      <c r="E92" s="2">
        <f>F92+G92+COUNTIFS(交易明細!$B$2:$B$539,$A92,交易明細!$J$2:$J$539,"時間出場")</f>
        <v/>
      </c>
      <c r="F92" s="2">
        <f>COUNTIFS(交易明細!$B$2:$B$539,$A92,交易明細!$J$2:$J$539,"止盈")</f>
        <v/>
      </c>
      <c r="G92" s="2">
        <f>COUNTIFS(交易明細!$B$2:$B$539,$A92,交易明細!$J$2:$J$539,"止損")</f>
        <v/>
      </c>
      <c r="H92" s="4">
        <f>IFERROR(F92/E92,0)</f>
        <v/>
      </c>
      <c r="I92" s="4">
        <f>IFERROR(AVERAGEIFS(交易明細!$L$2:$L$539,交易明細!$B$2:$B$539,$A92,交易明細!$J$2:$J$539,"&lt;&gt;未平倉"),0)</f>
        <v/>
      </c>
      <c r="J92" s="4">
        <f>SUMIFS(交易明細!$L$2:$L$539,交易明細!$B$2:$B$539,$A92,交易明細!$J$2:$J$539,"&lt;&gt;未平倉")</f>
        <v/>
      </c>
      <c r="K92" s="5">
        <f>IFERROR(AVERAGEIFS(交易明細!$K$2:$K$539,交易明細!$B$2:$B$539,$A92,交易明細!$J$2:$J$539,"&lt;&gt;未平倉"),0)</f>
        <v/>
      </c>
      <c r="L92" s="2">
        <f>COUNTIFS(交易明細!$B$2:$B$539,$A92,交易明細!$J$2:$J$539,"未平倉")</f>
        <v/>
      </c>
    </row>
    <row r="93">
      <c r="A93" s="2" t="inlineStr">
        <is>
          <t>GRAM_USDT_PERP</t>
        </is>
      </c>
      <c r="B93" s="2">
        <f>COUNTIFS(交易明細!$B$2:$B$539,$A93)</f>
        <v/>
      </c>
      <c r="C93" s="2">
        <f>COUNTIFS(交易明細!$B$2:$B$539,$A93,交易明細!$C$2:$C$539,"做多")</f>
        <v/>
      </c>
      <c r="D93" s="2">
        <f>COUNTIFS(交易明細!$B$2:$B$539,$A93,交易明細!$C$2:$C$539,"做空")</f>
        <v/>
      </c>
      <c r="E93" s="2">
        <f>F93+G93+COUNTIFS(交易明細!$B$2:$B$539,$A93,交易明細!$J$2:$J$539,"時間出場")</f>
        <v/>
      </c>
      <c r="F93" s="2">
        <f>COUNTIFS(交易明細!$B$2:$B$539,$A93,交易明細!$J$2:$J$539,"止盈")</f>
        <v/>
      </c>
      <c r="G93" s="2">
        <f>COUNTIFS(交易明細!$B$2:$B$539,$A93,交易明細!$J$2:$J$539,"止損")</f>
        <v/>
      </c>
      <c r="H93" s="4">
        <f>IFERROR(F93/E93,0)</f>
        <v/>
      </c>
      <c r="I93" s="4">
        <f>IFERROR(AVERAGEIFS(交易明細!$L$2:$L$539,交易明細!$B$2:$B$539,$A93,交易明細!$J$2:$J$539,"&lt;&gt;未平倉"),0)</f>
        <v/>
      </c>
      <c r="J93" s="4">
        <f>SUMIFS(交易明細!$L$2:$L$539,交易明細!$B$2:$B$539,$A93,交易明細!$J$2:$J$539,"&lt;&gt;未平倉")</f>
        <v/>
      </c>
      <c r="K93" s="5">
        <f>IFERROR(AVERAGEIFS(交易明細!$K$2:$K$539,交易明細!$B$2:$B$539,$A93,交易明細!$J$2:$J$539,"&lt;&gt;未平倉"),0)</f>
        <v/>
      </c>
      <c r="L93" s="2">
        <f>COUNTIFS(交易明細!$B$2:$B$539,$A93,交易明細!$J$2:$J$539,"未平倉")</f>
        <v/>
      </c>
    </row>
  </sheetData>
  <autoFilter ref="A1:L9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>
        <is>
          <t>持倉中</t>
        </is>
      </c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>
        <is>
          <t>持倉中</t>
        </is>
      </c>
      <c r="D307" s="2" t="n"/>
      <c r="E307" s="20" t="n"/>
      <c r="F307" s="20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>
        <is>
          <t>持倉中</t>
        </is>
      </c>
      <c r="D327" s="2" t="n"/>
      <c r="E327" s="20" t="n"/>
      <c r="F327" s="20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>
        <is>
          <t>持倉中</t>
        </is>
      </c>
      <c r="D444" s="2" t="n"/>
      <c r="E444" s="20" t="n"/>
      <c r="F444" s="20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2026-09-28T12:40:31Z</dcterms:created>
  <dcterms:modified xsi:type="dcterms:W3CDTF">2026-09-28T12:40:32Z</dcterms:modified>
</cp:coreProperties>
</file>