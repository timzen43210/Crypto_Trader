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'資金明細'!$A$1:$Z$473</definedName>
    <definedName name="_xlnm._FilterDatabase" localSheetId="5" hidden="1">'交易明細'!$A$1:$AC$237</definedName>
    <definedName name="_xlnm._FilterDatabase" localSheetId="6" hidden="1">'幣種統計'!$A$1:$L$55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05:30（Dry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COUNTIFS(交易明細!$B$2:$B$237,"&lt;&gt;")</f>
        <v/>
      </c>
      <c r="C5" s="2">
        <f>D5+E5+F5</f>
        <v/>
      </c>
      <c r="D5" s="2">
        <f>COUNTIFS(交易明細!$J$2:$J$237,"止盈")</f>
        <v/>
      </c>
      <c r="E5" s="2">
        <f>COUNTIFS(交易明細!$J$2:$J$237,"止損")</f>
        <v/>
      </c>
      <c r="F5" s="2">
        <f>COUNTIFS(交易明細!$J$2:$J$237,"時間出場")</f>
        <v/>
      </c>
      <c r="G5" s="2">
        <f>COUNTIFS(交易明細!$J$2:$J$237,"未平倉")</f>
        <v/>
      </c>
      <c r="H5" s="4">
        <f>IFERROR(D5/C5,0)</f>
        <v/>
      </c>
      <c r="I5" s="4">
        <f>IFERROR(AVERAGEIFS(交易明細!$AC$2:$AC$237,交易明細!$J$2:$J$237,"&lt;&gt;未平倉"),參數!$B$16)</f>
        <v/>
      </c>
      <c r="J5" s="4">
        <f>IFERROR(AVERAGEIFS(交易明細!$L$2:$L$237,交易明細!$J$2:$J$237,"&lt;&gt;未平倉"),0)</f>
        <v/>
      </c>
      <c r="K5" s="4">
        <f>SUMIFS(交易明細!$L$2:$L$237,交易明細!$J$2:$J$237,"&lt;&gt;未平倉")</f>
        <v/>
      </c>
      <c r="L5" s="5">
        <f>IFERROR(AVERAGEIFS(交易明細!$K$2:$K$237,交易明細!$J$2:$J$237,"&lt;&gt;未平倉"),0)</f>
        <v/>
      </c>
      <c r="M5" s="5">
        <f>IFERROR(AVERAGEIFS(交易明細!$K$2:$K$237,交易明細!$J$2:$J$237,"止盈"),0)</f>
        <v/>
      </c>
      <c r="N5" s="5">
        <f>IFERROR(AVERAGEIFS(交易明細!$K$2:$K$237,交易明細!$J$2:$J$237,"止損"),0)</f>
        <v/>
      </c>
      <c r="O5" s="4">
        <f>IFERROR(AVERAGEIFS(交易明細!$L$2:$L$237,交易明細!$J$2:$J$237,"時間出場"),0)</f>
        <v/>
      </c>
      <c r="P5" s="4">
        <f>IFERROR(COUNTIFS(交易明細!$J$2:$J$237,"&lt;&gt;未平倉",交易明細!$L$2:$L$237,"&gt;0")/C5,0)</f>
        <v/>
      </c>
    </row>
    <row r="6">
      <c r="A6" s="2" t="inlineStr">
        <is>
          <t>做多</t>
        </is>
      </c>
      <c r="B6" s="2">
        <f>COUNTIFS(交易明細!$C$2:$C$237,"做多",交易明細!$B$2:$B$237,"&lt;&gt;")</f>
        <v/>
      </c>
      <c r="C6" s="2">
        <f>D6+E6+F6</f>
        <v/>
      </c>
      <c r="D6" s="2">
        <f>COUNTIFS(交易明細!$C$2:$C$237,"做多",交易明細!$J$2:$J$237,"止盈")</f>
        <v/>
      </c>
      <c r="E6" s="2">
        <f>COUNTIFS(交易明細!$C$2:$C$237,"做多",交易明細!$J$2:$J$237,"止損")</f>
        <v/>
      </c>
      <c r="F6" s="2">
        <f>COUNTIFS(交易明細!$C$2:$C$237,"做多",交易明細!$J$2:$J$237,"時間出場")</f>
        <v/>
      </c>
      <c r="G6" s="2">
        <f>COUNTIFS(交易明細!$C$2:$C$237,"做多",交易明細!$J$2:$J$237,"未平倉")</f>
        <v/>
      </c>
      <c r="H6" s="4">
        <f>IFERROR(D6/C6,0)</f>
        <v/>
      </c>
      <c r="I6" s="4">
        <f>IFERROR(AVERAGEIFS(交易明細!$AC$2:$AC$237,交易明細!$C$2:$C$237,"做多",交易明細!$J$2:$J$237,"&lt;&gt;未平倉"),參數!$B$16)</f>
        <v/>
      </c>
      <c r="J6" s="4">
        <f>IFERROR(AVERAGEIFS(交易明細!$L$2:$L$237,交易明細!$C$2:$C$237,"做多",交易明細!$J$2:$J$237,"&lt;&gt;未平倉"),0)</f>
        <v/>
      </c>
      <c r="K6" s="4">
        <f>SUMIFS(交易明細!$L$2:$L$237,交易明細!$C$2:$C$237,"做多",交易明細!$J$2:$J$237,"&lt;&gt;未平倉")</f>
        <v/>
      </c>
      <c r="L6" s="5">
        <f>IFERROR(AVERAGEIFS(交易明細!$K$2:$K$237,交易明細!$C$2:$C$237,"做多",交易明細!$J$2:$J$237,"&lt;&gt;未平倉"),0)</f>
        <v/>
      </c>
      <c r="M6" s="5">
        <f>IFERROR(AVERAGEIFS(交易明細!$K$2:$K$237,交易明細!$C$2:$C$237,"做多",交易明細!$J$2:$J$237,"止盈"),0)</f>
        <v/>
      </c>
      <c r="N6" s="5">
        <f>IFERROR(AVERAGEIFS(交易明細!$K$2:$K$237,交易明細!$C$2:$C$237,"做多",交易明細!$J$2:$J$237,"止損"),0)</f>
        <v/>
      </c>
      <c r="O6" s="4">
        <f>IFERROR(AVERAGEIFS(交易明細!$L$2:$L$237,交易明細!$C$2:$C$237,"做多",交易明細!$J$2:$J$237,"時間出場"),0)</f>
        <v/>
      </c>
      <c r="P6" s="4">
        <f>IFERROR(COUNTIFS(交易明細!$C$2:$C$237,"做多",交易明細!$J$2:$J$237,"&lt;&gt;未平倉",交易明細!$L$2:$L$237,"&gt;0")/C6,0)</f>
        <v/>
      </c>
    </row>
    <row r="7">
      <c r="A7" s="2" t="inlineStr">
        <is>
          <t>做空</t>
        </is>
      </c>
      <c r="B7" s="2">
        <f>COUNTIFS(交易明細!$C$2:$C$237,"做空",交易明細!$B$2:$B$237,"&lt;&gt;")</f>
        <v/>
      </c>
      <c r="C7" s="2">
        <f>D7+E7+F7</f>
        <v/>
      </c>
      <c r="D7" s="2">
        <f>COUNTIFS(交易明細!$C$2:$C$237,"做空",交易明細!$J$2:$J$237,"止盈")</f>
        <v/>
      </c>
      <c r="E7" s="2">
        <f>COUNTIFS(交易明細!$C$2:$C$237,"做空",交易明細!$J$2:$J$237,"止損")</f>
        <v/>
      </c>
      <c r="F7" s="2">
        <f>COUNTIFS(交易明細!$C$2:$C$237,"做空",交易明細!$J$2:$J$237,"時間出場")</f>
        <v/>
      </c>
      <c r="G7" s="2">
        <f>COUNTIFS(交易明細!$C$2:$C$237,"做空",交易明細!$J$2:$J$237,"未平倉")</f>
        <v/>
      </c>
      <c r="H7" s="4">
        <f>IFERROR(D7/C7,0)</f>
        <v/>
      </c>
      <c r="I7" s="4">
        <f>IFERROR(AVERAGEIFS(交易明細!$AC$2:$AC$237,交易明細!$C$2:$C$237,"做空",交易明細!$J$2:$J$237,"&lt;&gt;未平倉"),參數!$B$16)</f>
        <v/>
      </c>
      <c r="J7" s="4">
        <f>IFERROR(AVERAGEIFS(交易明細!$L$2:$L$237,交易明細!$C$2:$C$237,"做空",交易明細!$J$2:$J$237,"&lt;&gt;未平倉"),0)</f>
        <v/>
      </c>
      <c r="K7" s="4">
        <f>SUMIFS(交易明細!$L$2:$L$237,交易明細!$C$2:$C$237,"做空",交易明細!$J$2:$J$237,"&lt;&gt;未平倉")</f>
        <v/>
      </c>
      <c r="L7" s="5">
        <f>IFERROR(AVERAGEIFS(交易明細!$K$2:$K$237,交易明細!$C$2:$C$237,"做空",交易明細!$J$2:$J$237,"&lt;&gt;未平倉"),0)</f>
        <v/>
      </c>
      <c r="M7" s="5">
        <f>IFERROR(AVERAGEIFS(交易明細!$K$2:$K$237,交易明細!$C$2:$C$237,"做空",交易明細!$J$2:$J$237,"止盈"),0)</f>
        <v/>
      </c>
      <c r="N7" s="5">
        <f>IFERROR(AVERAGEIFS(交易明細!$K$2:$K$237,交易明細!$C$2:$C$237,"做空",交易明細!$J$2:$J$237,"止損"),0)</f>
        <v/>
      </c>
      <c r="O7" s="4">
        <f>IFERROR(AVERAGEIFS(交易明細!$L$2:$L$237,交易明細!$C$2:$C$237,"做空",交易明細!$J$2:$J$237,"時間出場"),0)</f>
        <v/>
      </c>
      <c r="P7" s="4">
        <f>IFERROR(COUNTIFS(交易明細!$C$2:$C$237,"做空",交易明細!$J$2:$J$237,"&lt;&gt;未平倉",交易明細!$L$2:$L$237,"&gt;0")/C7,0)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46281.22963460648</v>
      </c>
      <c r="B2" s="7" t="n">
        <v>46281.16666666666</v>
      </c>
      <c r="C2" s="2" t="n">
        <v>442</v>
      </c>
      <c r="D2" s="2" t="n">
        <v>3</v>
      </c>
      <c r="E2" s="2" t="n">
        <v>2</v>
      </c>
      <c r="F2" s="2" t="n">
        <v>0</v>
      </c>
      <c r="G2" s="2" t="n">
        <v>61.9</v>
      </c>
    </row>
    <row r="3">
      <c r="A3" s="7" t="n">
        <v>46281.094529375</v>
      </c>
      <c r="B3" s="7" t="n">
        <v>46281.04166666666</v>
      </c>
      <c r="C3" s="2" t="n">
        <v>442</v>
      </c>
      <c r="D3" s="2" t="n">
        <v>6</v>
      </c>
      <c r="E3" s="2" t="n">
        <v>6</v>
      </c>
      <c r="F3" s="2" t="n">
        <v>0</v>
      </c>
      <c r="G3" s="2" t="n">
        <v>46.5</v>
      </c>
    </row>
    <row r="4">
      <c r="A4" s="7" t="n">
        <v>46280.9017994676</v>
      </c>
      <c r="B4" s="7" t="n">
        <v>46280.83333333334</v>
      </c>
      <c r="C4" s="2" t="n">
        <v>442</v>
      </c>
      <c r="D4" s="2" t="n">
        <v>2</v>
      </c>
      <c r="E4" s="2" t="n">
        <v>4</v>
      </c>
      <c r="F4" s="2" t="n">
        <v>0</v>
      </c>
      <c r="G4" s="2" t="n">
        <v>56.7</v>
      </c>
    </row>
    <row r="5">
      <c r="A5" s="7" t="n">
        <v>46280.66002480324</v>
      </c>
      <c r="B5" s="7" t="n">
        <v>46280.58333333334</v>
      </c>
      <c r="C5" s="2" t="n">
        <v>442</v>
      </c>
      <c r="D5" s="2" t="n">
        <v>2</v>
      </c>
      <c r="E5" s="2" t="n">
        <v>3</v>
      </c>
      <c r="F5" s="2" t="n">
        <v>0</v>
      </c>
      <c r="G5" s="2" t="n">
        <v>67.40000000000001</v>
      </c>
    </row>
    <row r="6">
      <c r="A6" s="7" t="n">
        <v>46280.4778358449</v>
      </c>
      <c r="B6" s="7" t="n">
        <v>46280.41666666666</v>
      </c>
      <c r="C6" s="2" t="n">
        <v>442</v>
      </c>
      <c r="D6" s="2" t="n">
        <v>1</v>
      </c>
      <c r="E6" s="2" t="n">
        <v>0</v>
      </c>
      <c r="F6" s="2" t="n">
        <v>0</v>
      </c>
      <c r="G6" s="2" t="n">
        <v>61.2</v>
      </c>
    </row>
    <row r="7">
      <c r="A7" s="7" t="n">
        <v>46280.39795681713</v>
      </c>
      <c r="B7" s="7" t="n">
        <v>46280.33333333334</v>
      </c>
      <c r="C7" s="2" t="n">
        <v>442</v>
      </c>
      <c r="D7" s="2" t="n">
        <v>0</v>
      </c>
      <c r="E7" s="2" t="n">
        <v>1</v>
      </c>
      <c r="F7" s="2" t="n">
        <v>0</v>
      </c>
      <c r="G7" s="2" t="n">
        <v>66.90000000000001</v>
      </c>
    </row>
    <row r="8">
      <c r="A8" s="7" t="n">
        <v>46280.29983445602</v>
      </c>
      <c r="B8" s="7" t="n">
        <v>46280.25</v>
      </c>
      <c r="C8" s="2" t="n">
        <v>442</v>
      </c>
      <c r="D8" s="2" t="n">
        <v>1</v>
      </c>
      <c r="E8" s="2" t="n">
        <v>1</v>
      </c>
      <c r="F8" s="2" t="n">
        <v>0</v>
      </c>
      <c r="G8" s="2" t="n">
        <v>51.6</v>
      </c>
    </row>
    <row r="9">
      <c r="A9" s="7" t="n">
        <v>46280.14350143519</v>
      </c>
      <c r="B9" s="7" t="n">
        <v>46280.08333333334</v>
      </c>
      <c r="C9" s="2" t="n">
        <v>442</v>
      </c>
      <c r="D9" s="2" t="n">
        <v>3</v>
      </c>
      <c r="E9" s="2" t="n">
        <v>1</v>
      </c>
      <c r="F9" s="2" t="n">
        <v>0</v>
      </c>
      <c r="G9" s="2" t="n">
        <v>57.3</v>
      </c>
    </row>
    <row r="10">
      <c r="A10" s="7" t="n">
        <v>46279.92418226852</v>
      </c>
      <c r="B10" s="7" t="n">
        <v>46279.875</v>
      </c>
      <c r="C10" s="2" t="n">
        <v>442</v>
      </c>
      <c r="D10" s="2" t="n">
        <v>6</v>
      </c>
      <c r="E10" s="2" t="n">
        <v>7</v>
      </c>
      <c r="F10" s="2" t="n">
        <v>0</v>
      </c>
      <c r="G10" s="2" t="n">
        <v>48.1</v>
      </c>
    </row>
    <row r="11">
      <c r="A11" s="7" t="n">
        <v>46279.59996445602</v>
      </c>
      <c r="B11" s="7" t="n">
        <v>46279.54166666666</v>
      </c>
      <c r="C11" s="2" t="n">
        <v>442</v>
      </c>
      <c r="D11" s="2" t="n">
        <v>2</v>
      </c>
      <c r="E11" s="2" t="n">
        <v>3</v>
      </c>
      <c r="F11" s="2" t="n">
        <v>0</v>
      </c>
      <c r="G11" s="2" t="n">
        <v>61</v>
      </c>
    </row>
    <row r="12">
      <c r="A12" s="7" t="n">
        <v>46279.38316741898</v>
      </c>
      <c r="B12" s="7" t="n">
        <v>46279.33333333334</v>
      </c>
      <c r="C12" s="2" t="n">
        <v>442</v>
      </c>
      <c r="D12" s="2" t="n">
        <v>2</v>
      </c>
      <c r="E12" s="2" t="n">
        <v>2</v>
      </c>
      <c r="F12" s="2" t="n">
        <v>0</v>
      </c>
      <c r="G12" s="2" t="n">
        <v>59.9</v>
      </c>
    </row>
    <row r="13">
      <c r="A13" s="7" t="n">
        <v>46279.26932584491</v>
      </c>
      <c r="B13" s="7" t="n">
        <v>46279.20833333334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61.1</v>
      </c>
    </row>
    <row r="14">
      <c r="A14" s="7" t="n">
        <v>46279.14665413195</v>
      </c>
      <c r="B14" s="7" t="n">
        <v>46279.08333333334</v>
      </c>
      <c r="C14" s="2" t="n">
        <v>442</v>
      </c>
      <c r="D14" s="2" t="n">
        <v>1</v>
      </c>
      <c r="E14" s="2" t="n">
        <v>0</v>
      </c>
      <c r="F14" s="2" t="n">
        <v>0</v>
      </c>
      <c r="G14" s="2" t="n">
        <v>55.1</v>
      </c>
    </row>
    <row r="15">
      <c r="A15" s="7" t="n">
        <v>46279.01733591435</v>
      </c>
      <c r="B15" s="7" t="n">
        <v>46278.95833333334</v>
      </c>
      <c r="C15" s="2" t="n">
        <v>442</v>
      </c>
      <c r="D15" s="2" t="n">
        <v>2</v>
      </c>
      <c r="E15" s="2" t="n">
        <v>4</v>
      </c>
      <c r="F15" s="2" t="n">
        <v>0</v>
      </c>
      <c r="G15" s="2" t="n">
        <v>59.7</v>
      </c>
    </row>
    <row r="16">
      <c r="A16" s="7" t="n">
        <v>46278.83725055555</v>
      </c>
      <c r="B16" s="7" t="n">
        <v>46278.79166666666</v>
      </c>
      <c r="C16" s="2" t="n">
        <v>442</v>
      </c>
      <c r="D16" s="2" t="n">
        <v>0</v>
      </c>
      <c r="E16" s="2" t="n">
        <v>3</v>
      </c>
      <c r="F16" s="2" t="n">
        <v>0</v>
      </c>
      <c r="G16" s="2" t="n">
        <v>65.40000000000001</v>
      </c>
    </row>
    <row r="17">
      <c r="A17" s="7" t="n">
        <v>46278.71111972223</v>
      </c>
      <c r="B17" s="7" t="n">
        <v>46278.66666666666</v>
      </c>
      <c r="C17" s="2" t="n">
        <v>442</v>
      </c>
      <c r="D17" s="2" t="n">
        <v>3</v>
      </c>
      <c r="E17" s="2" t="n">
        <v>1</v>
      </c>
      <c r="F17" s="2" t="n">
        <v>0</v>
      </c>
      <c r="G17" s="2" t="n">
        <v>63.6</v>
      </c>
    </row>
    <row r="18">
      <c r="A18" s="7" t="n">
        <v>46278.68053923611</v>
      </c>
      <c r="B18" s="7" t="n">
        <v>46278.625</v>
      </c>
      <c r="C18" s="2" t="n">
        <v>442</v>
      </c>
      <c r="D18" s="2" t="n">
        <v>9</v>
      </c>
      <c r="E18" s="2" t="n">
        <v>10</v>
      </c>
      <c r="F18" s="2" t="n">
        <v>0</v>
      </c>
      <c r="G18" s="2" t="n">
        <v>63.6</v>
      </c>
    </row>
    <row r="19">
      <c r="A19" s="7" t="n">
        <v>46278.07354997685</v>
      </c>
      <c r="B19" s="7" t="n">
        <v>46278</v>
      </c>
      <c r="C19" s="2" t="n">
        <v>442</v>
      </c>
      <c r="D19" s="2" t="n">
        <v>3</v>
      </c>
      <c r="E19" s="2" t="n">
        <v>1</v>
      </c>
      <c r="F19" s="2" t="n">
        <v>0</v>
      </c>
      <c r="G19" s="2" t="n">
        <v>50.2</v>
      </c>
    </row>
    <row r="20">
      <c r="A20" s="7" t="n">
        <v>46277.94390239583</v>
      </c>
      <c r="B20" s="7" t="n">
        <v>46277.875</v>
      </c>
      <c r="C20" s="2" t="n">
        <v>442</v>
      </c>
      <c r="D20" s="2" t="n">
        <v>190</v>
      </c>
      <c r="E20" s="2" t="n">
        <v>186</v>
      </c>
      <c r="F20" s="2" t="n">
        <v>0</v>
      </c>
      <c r="G2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資金明細!R473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MAX(資金明細!$R$2:$R$473)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MIN(資金明細!$R$2:$R$473)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MIN(資金明細!$X$2:$X$473)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COUNTIFS(資金明細!$C$2:$C$473,"進場",資金明細!$N$2:$N$473,"已下單")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COUNTIFS(資金明細!$C$2:$C$473,"進場",資金明細!$N$2:$N$473,"資金不足略過")</f>
        <v/>
      </c>
    </row>
    <row r="11">
      <c r="D11" s="2" t="inlineStr">
        <is>
          <t>止盈筆數</t>
        </is>
      </c>
      <c r="E11" s="15">
        <f>COUNTIFS(資金明細!$C$2:$C$473,"出場",資金明細!$N$2:$N$473,"已下單",資金明細!$K$2:$K$473,"止盈")</f>
        <v/>
      </c>
    </row>
    <row r="12">
      <c r="A12" s="2" t="inlineStr">
        <is>
          <t>每筆止損約虧本金</t>
        </is>
      </c>
      <c r="B12" s="4">
        <f>B5*B7*IFERROR(AVERAGE(交易明細!$AB$2:$AB$237),參數!B6)</f>
        <v/>
      </c>
      <c r="D12" s="2" t="inlineStr">
        <is>
          <t>止損筆數</t>
        </is>
      </c>
      <c r="E12" s="15">
        <f>COUNTIFS(資金明細!$C$2:$C$473,"出場",資金明細!$N$2:$N$473,"已下單",資金明細!$K$2:$K$473,"止損")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IFERROR(E11/COUNTIFS(資金明細!$C$2:$C$473,"出場",資金明細!$N$2:$N$473,"已下單"),0)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MAX(資金明細!$U$2:$U$473)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MAX(資金明細!$S$2:$S$473)</f>
        <v/>
      </c>
    </row>
    <row r="16">
      <c r="D16" s="2" t="inlineStr">
        <is>
          <t>期末下單金額</t>
        </is>
      </c>
      <c r="E16" s="16">
        <f>B5*資金明細!V473</f>
        <v/>
      </c>
    </row>
    <row r="17">
      <c r="D17" s="2" t="inlineStr">
        <is>
          <t>未平倉浮動損益（未計入）</t>
        </is>
      </c>
      <c r="E17" s="10">
        <f>IF(資金明細!N473="已下單",資金明細!O473*交易明細!L237,0)</f>
        <v/>
      </c>
    </row>
    <row r="18">
      <c r="D18" s="2" t="inlineStr">
        <is>
          <t>最大總曝險倍數</t>
        </is>
      </c>
      <c r="E18" s="16">
        <f>MAX(資金明細!$Y$2:$Y$473)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IFERROR(INDEX(資金明細!$B$2:$B$473,MATCH(1,資金明細!$Z$2:$Z$473,0)),"未觸發")</f>
        <v/>
      </c>
    </row>
    <row r="21">
      <c r="D21" s="2" t="inlineStr">
        <is>
          <t>停止後略過筆數</t>
        </is>
      </c>
      <c r="E21" s="15">
        <f>COUNTIFS(資金明細!$C$2:$C$473,"進場",資金明細!$N$2:$N$473,"已停止")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n"/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n"/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17" t="n">
        <v>0.6313</v>
      </c>
      <c r="H451" s="17" t="n">
        <v>0.650239</v>
      </c>
      <c r="I451" s="17" t="n">
        <v>0.5997349999999999</v>
      </c>
      <c r="J451" s="17" t="n">
        <v>0.5997349999999999</v>
      </c>
      <c r="K451" s="2" t="inlineStr">
        <is>
          <t>止損</t>
        </is>
      </c>
      <c r="L451" s="5">
        <f>交易明細!K225</f>
        <v/>
      </c>
      <c r="M451" s="16">
        <f>M449</f>
        <v/>
      </c>
      <c r="N451" s="2">
        <f>N449</f>
        <v/>
      </c>
      <c r="O451" s="16">
        <f>O449</f>
        <v/>
      </c>
      <c r="P451" s="4">
        <f>交易明細!L225</f>
        <v/>
      </c>
      <c r="Q451" s="10">
        <f>IF(N451="已下單",O451*P451,0)</f>
        <v/>
      </c>
      <c r="R451" s="10">
        <f>R450+Q451</f>
        <v/>
      </c>
      <c r="S451" s="16">
        <f>S450-IF(N451="已下單",M451,0)</f>
        <v/>
      </c>
      <c r="T451" s="16">
        <f>R451-S451</f>
        <v/>
      </c>
      <c r="U451" s="2">
        <f>U450-IF(N451="已下單",1,0)</f>
        <v/>
      </c>
      <c r="V451" s="16">
        <f>IF(資金模擬!$B$9=2,MAX(R451,0),MAX(V450,FLOOR(MAX(R451,0),資金模擬!$B$6)))</f>
        <v/>
      </c>
      <c r="W451" s="10">
        <f>MAX(W450,R451)</f>
        <v/>
      </c>
      <c r="X451" s="4">
        <f>IF(W451&gt;0,R451/W451-1,-1)</f>
        <v/>
      </c>
      <c r="Y451" s="16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17" t="n">
        <v>0.3894</v>
      </c>
      <c r="H452" s="17" t="n">
        <v>0.377718</v>
      </c>
      <c r="I452" s="17" t="n">
        <v>0.4088700000000001</v>
      </c>
      <c r="J452" s="17" t="n"/>
      <c r="K452" s="2" t="n"/>
      <c r="L452" s="5" t="n"/>
      <c r="M452" s="16">
        <f>資金模擬!$B$5*V451</f>
        <v/>
      </c>
      <c r="N452" s="2">
        <f>IF(Z451=1,"已停止",IF(T451&gt;=M452,"已下單","資金不足略過"))</f>
        <v/>
      </c>
      <c r="O452" s="16">
        <f>IF(N452="已下單",M452*資金模擬!$B$7,0)</f>
        <v/>
      </c>
      <c r="P452" s="4" t="n"/>
      <c r="Q452" s="10" t="n">
        <v>0</v>
      </c>
      <c r="R452" s="10">
        <f>R451+Q452</f>
        <v/>
      </c>
      <c r="S452" s="16">
        <f>S451+IF(N452="已下單",M452,0)</f>
        <v/>
      </c>
      <c r="T452" s="16">
        <f>R452-S452</f>
        <v/>
      </c>
      <c r="U452" s="2">
        <f>U451+IF(N452="已下單",1,0)</f>
        <v/>
      </c>
      <c r="V452" s="16">
        <f>IF(資金模擬!$B$9=2,MAX(R452,0),MAX(V451,FLOOR(MAX(R452,0),資金模擬!$B$6)))</f>
        <v/>
      </c>
      <c r="W452" s="10">
        <f>MAX(W451,R452)</f>
        <v/>
      </c>
      <c r="X452" s="4">
        <f>IF(W452&gt;0,R452/W452-1,-1)</f>
        <v/>
      </c>
      <c r="Y452" s="16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17" t="n">
        <v>0.3894</v>
      </c>
      <c r="H453" s="17" t="n">
        <v>0.377718</v>
      </c>
      <c r="I453" s="17" t="n">
        <v>0.4088700000000001</v>
      </c>
      <c r="J453" s="17" t="n">
        <v>0.377718</v>
      </c>
      <c r="K453" s="2" t="inlineStr">
        <is>
          <t>止盈</t>
        </is>
      </c>
      <c r="L453" s="5">
        <f>交易明細!K227</f>
        <v/>
      </c>
      <c r="M453" s="16">
        <f>M452</f>
        <v/>
      </c>
      <c r="N453" s="2">
        <f>N452</f>
        <v/>
      </c>
      <c r="O453" s="16">
        <f>O452</f>
        <v/>
      </c>
      <c r="P453" s="4">
        <f>交易明細!L227</f>
        <v/>
      </c>
      <c r="Q453" s="10">
        <f>IF(N453="已下單",O453*P453,0)</f>
        <v/>
      </c>
      <c r="R453" s="10">
        <f>R452+Q453</f>
        <v/>
      </c>
      <c r="S453" s="16">
        <f>S452-IF(N453="已下單",M453,0)</f>
        <v/>
      </c>
      <c r="T453" s="16">
        <f>R453-S453</f>
        <v/>
      </c>
      <c r="U453" s="2">
        <f>U452-IF(N453="已下單",1,0)</f>
        <v/>
      </c>
      <c r="V453" s="16">
        <f>IF(資金模擬!$B$9=2,MAX(R453,0),MAX(V452,FLOOR(MAX(R453,0),資金模擬!$B$6)))</f>
        <v/>
      </c>
      <c r="W453" s="10">
        <f>MAX(W452,R453)</f>
        <v/>
      </c>
      <c r="X453" s="4">
        <f>IF(W453&gt;0,R453/W453-1,-1)</f>
        <v/>
      </c>
      <c r="Y453" s="16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17" t="n">
        <v>0.06137</v>
      </c>
      <c r="H454" s="17" t="n">
        <v>0.0595289</v>
      </c>
      <c r="I454" s="17" t="n">
        <v>0.06443850000000001</v>
      </c>
      <c r="J454" s="17" t="n"/>
      <c r="K454" s="2" t="n"/>
      <c r="L454" s="5" t="n"/>
      <c r="M454" s="16">
        <f>資金模擬!$B$5*V453</f>
        <v/>
      </c>
      <c r="N454" s="2">
        <f>IF(Z453=1,"已停止",IF(T453&gt;=M454,"已下單","資金不足略過"))</f>
        <v/>
      </c>
      <c r="O454" s="16">
        <f>IF(N454="已下單",M454*資金模擬!$B$7,0)</f>
        <v/>
      </c>
      <c r="P454" s="4" t="n"/>
      <c r="Q454" s="10" t="n">
        <v>0</v>
      </c>
      <c r="R454" s="10">
        <f>R453+Q454</f>
        <v/>
      </c>
      <c r="S454" s="16">
        <f>S453+IF(N454="已下單",M454,0)</f>
        <v/>
      </c>
      <c r="T454" s="16">
        <f>R454-S454</f>
        <v/>
      </c>
      <c r="U454" s="2">
        <f>U453+IF(N454="已下單",1,0)</f>
        <v/>
      </c>
      <c r="V454" s="16">
        <f>IF(資金模擬!$B$9=2,MAX(R454,0),MAX(V453,FLOOR(MAX(R454,0),資金模擬!$B$6)))</f>
        <v/>
      </c>
      <c r="W454" s="10">
        <f>MAX(W453,R454)</f>
        <v/>
      </c>
      <c r="X454" s="4">
        <f>IF(W454&gt;0,R454/W454-1,-1)</f>
        <v/>
      </c>
      <c r="Y454" s="16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17" t="n">
        <v>0.20512</v>
      </c>
      <c r="H455" s="17" t="n">
        <v>0.2112736</v>
      </c>
      <c r="I455" s="17" t="n">
        <v>0.194864</v>
      </c>
      <c r="J455" s="17" t="n">
        <v>0.2112736</v>
      </c>
      <c r="K455" s="2" t="inlineStr">
        <is>
          <t>止盈</t>
        </is>
      </c>
      <c r="L455" s="5">
        <f>交易明細!K226</f>
        <v/>
      </c>
      <c r="M455" s="16">
        <f>M450</f>
        <v/>
      </c>
      <c r="N455" s="2">
        <f>N450</f>
        <v/>
      </c>
      <c r="O455" s="16">
        <f>O450</f>
        <v/>
      </c>
      <c r="P455" s="4">
        <f>交易明細!L226</f>
        <v/>
      </c>
      <c r="Q455" s="10">
        <f>IF(N455="已下單",O455*P455,0)</f>
        <v/>
      </c>
      <c r="R455" s="10">
        <f>R454+Q455</f>
        <v/>
      </c>
      <c r="S455" s="16">
        <f>S454-IF(N455="已下單",M455,0)</f>
        <v/>
      </c>
      <c r="T455" s="16">
        <f>R455-S455</f>
        <v/>
      </c>
      <c r="U455" s="2">
        <f>U454-IF(N455="已下單",1,0)</f>
        <v/>
      </c>
      <c r="V455" s="16">
        <f>IF(資金模擬!$B$9=2,MAX(R455,0),MAX(V454,FLOOR(MAX(R455,0),資金模擬!$B$6)))</f>
        <v/>
      </c>
      <c r="W455" s="10">
        <f>MAX(W454,R455)</f>
        <v/>
      </c>
      <c r="X455" s="4">
        <f>IF(W455&gt;0,R455/W455-1,-1)</f>
        <v/>
      </c>
      <c r="Y455" s="16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17" t="n">
        <v>0.06137</v>
      </c>
      <c r="H456" s="17" t="n">
        <v>0.0595289</v>
      </c>
      <c r="I456" s="17" t="n">
        <v>0.06443850000000001</v>
      </c>
      <c r="J456" s="17" t="n">
        <v>0.06443850000000001</v>
      </c>
      <c r="K456" s="2" t="inlineStr">
        <is>
          <t>止損</t>
        </is>
      </c>
      <c r="L456" s="5">
        <f>交易明細!K228</f>
        <v/>
      </c>
      <c r="M456" s="16">
        <f>M454</f>
        <v/>
      </c>
      <c r="N456" s="2">
        <f>N454</f>
        <v/>
      </c>
      <c r="O456" s="16">
        <f>O454</f>
        <v/>
      </c>
      <c r="P456" s="4">
        <f>交易明細!L228</f>
        <v/>
      </c>
      <c r="Q456" s="10">
        <f>IF(N456="已下單",O456*P456,0)</f>
        <v/>
      </c>
      <c r="R456" s="10">
        <f>R455+Q456</f>
        <v/>
      </c>
      <c r="S456" s="16">
        <f>S455-IF(N456="已下單",M456,0)</f>
        <v/>
      </c>
      <c r="T456" s="16">
        <f>R456-S456</f>
        <v/>
      </c>
      <c r="U456" s="2">
        <f>U455-IF(N456="已下單",1,0)</f>
        <v/>
      </c>
      <c r="V456" s="16">
        <f>IF(資金模擬!$B$9=2,MAX(R456,0),MAX(V455,FLOOR(MAX(R456,0),資金模擬!$B$6)))</f>
        <v/>
      </c>
      <c r="W456" s="10">
        <f>MAX(W455,R456)</f>
        <v/>
      </c>
      <c r="X456" s="4">
        <f>IF(W456&gt;0,R456/W456-1,-1)</f>
        <v/>
      </c>
      <c r="Y456" s="16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17" t="n">
        <v>0.11513</v>
      </c>
      <c r="H457" s="17" t="n">
        <v>0.1116761</v>
      </c>
      <c r="I457" s="17" t="n">
        <v>0.1208865</v>
      </c>
      <c r="J457" s="17" t="n"/>
      <c r="K457" s="2" t="n"/>
      <c r="L457" s="5" t="n"/>
      <c r="M457" s="16">
        <f>資金模擬!$B$5*V456</f>
        <v/>
      </c>
      <c r="N457" s="2">
        <f>IF(Z456=1,"已停止",IF(T456&gt;=M457,"已下單","資金不足略過"))</f>
        <v/>
      </c>
      <c r="O457" s="16">
        <f>IF(N457="已下單",M457*資金模擬!$B$7,0)</f>
        <v/>
      </c>
      <c r="P457" s="4" t="n"/>
      <c r="Q457" s="10" t="n">
        <v>0</v>
      </c>
      <c r="R457" s="10">
        <f>R456+Q457</f>
        <v/>
      </c>
      <c r="S457" s="16">
        <f>S456+IF(N457="已下單",M457,0)</f>
        <v/>
      </c>
      <c r="T457" s="16">
        <f>R457-S457</f>
        <v/>
      </c>
      <c r="U457" s="2">
        <f>U456+IF(N457="已下單",1,0)</f>
        <v/>
      </c>
      <c r="V457" s="16">
        <f>IF(資金模擬!$B$9=2,MAX(R457,0),MAX(V456,FLOOR(MAX(R457,0),資金模擬!$B$6)))</f>
        <v/>
      </c>
      <c r="W457" s="10">
        <f>MAX(W456,R457)</f>
        <v/>
      </c>
      <c r="X457" s="4">
        <f>IF(W457&gt;0,R457/W457-1,-1)</f>
        <v/>
      </c>
      <c r="Y457" s="16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17" t="n">
        <v>0.11513</v>
      </c>
      <c r="H458" s="17" t="n">
        <v>0.1116761</v>
      </c>
      <c r="I458" s="17" t="n">
        <v>0.1208865</v>
      </c>
      <c r="J458" s="17" t="n">
        <v>0.1116761</v>
      </c>
      <c r="K458" s="2" t="inlineStr">
        <is>
          <t>止盈</t>
        </is>
      </c>
      <c r="L458" s="5">
        <f>交易明細!K229</f>
        <v/>
      </c>
      <c r="M458" s="16">
        <f>M457</f>
        <v/>
      </c>
      <c r="N458" s="2">
        <f>N457</f>
        <v/>
      </c>
      <c r="O458" s="16">
        <f>O457</f>
        <v/>
      </c>
      <c r="P458" s="4">
        <f>交易明細!L229</f>
        <v/>
      </c>
      <c r="Q458" s="10">
        <f>IF(N458="已下單",O458*P458,0)</f>
        <v/>
      </c>
      <c r="R458" s="10">
        <f>R457+Q458</f>
        <v/>
      </c>
      <c r="S458" s="16">
        <f>S457-IF(N458="已下單",M458,0)</f>
        <v/>
      </c>
      <c r="T458" s="16">
        <f>R458-S458</f>
        <v/>
      </c>
      <c r="U458" s="2">
        <f>U457-IF(N458="已下單",1,0)</f>
        <v/>
      </c>
      <c r="V458" s="16">
        <f>IF(資金模擬!$B$9=2,MAX(R458,0),MAX(V457,FLOOR(MAX(R458,0),資金模擬!$B$6)))</f>
        <v/>
      </c>
      <c r="W458" s="10">
        <f>MAX(W457,R458)</f>
        <v/>
      </c>
      <c r="X458" s="4">
        <f>IF(W458&gt;0,R458/W458-1,-1)</f>
        <v/>
      </c>
      <c r="Y458" s="16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17" t="n">
        <v>4.209</v>
      </c>
      <c r="H459" s="17" t="n">
        <v>4.08273</v>
      </c>
      <c r="I459" s="17" t="n">
        <v>4.419449999999999</v>
      </c>
      <c r="J459" s="17" t="n"/>
      <c r="K459" s="2" t="n"/>
      <c r="L459" s="5" t="n"/>
      <c r="M459" s="16">
        <f>資金模擬!$B$5*V458</f>
        <v/>
      </c>
      <c r="N459" s="2">
        <f>IF(Z458=1,"已停止",IF(T458&gt;=M459,"已下單","資金不足略過"))</f>
        <v/>
      </c>
      <c r="O459" s="16">
        <f>IF(N459="已下單",M459*資金模擬!$B$7,0)</f>
        <v/>
      </c>
      <c r="P459" s="4" t="n"/>
      <c r="Q459" s="10" t="n">
        <v>0</v>
      </c>
      <c r="R459" s="10">
        <f>R458+Q459</f>
        <v/>
      </c>
      <c r="S459" s="16">
        <f>S458+IF(N459="已下單",M459,0)</f>
        <v/>
      </c>
      <c r="T459" s="16">
        <f>R459-S459</f>
        <v/>
      </c>
      <c r="U459" s="2">
        <f>U458+IF(N459="已下單",1,0)</f>
        <v/>
      </c>
      <c r="V459" s="16">
        <f>IF(資金模擬!$B$9=2,MAX(R459,0),MAX(V458,FLOOR(MAX(R459,0),資金模擬!$B$6)))</f>
        <v/>
      </c>
      <c r="W459" s="10">
        <f>MAX(W458,R459)</f>
        <v/>
      </c>
      <c r="X459" s="4">
        <f>IF(W459&gt;0,R459/W459-1,-1)</f>
        <v/>
      </c>
      <c r="Y459" s="16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17" t="n">
        <v>0.6319</v>
      </c>
      <c r="H460" s="17" t="n">
        <v>0.612943</v>
      </c>
      <c r="I460" s="17" t="n">
        <v>0.6634950000000001</v>
      </c>
      <c r="J460" s="17" t="n"/>
      <c r="K460" s="2" t="n"/>
      <c r="L460" s="5" t="n"/>
      <c r="M460" s="16">
        <f>資金模擬!$B$5*V459</f>
        <v/>
      </c>
      <c r="N460" s="2">
        <f>IF(Z459=1,"已停止",IF(T459&gt;=M460,"已下單","資金不足略過"))</f>
        <v/>
      </c>
      <c r="O460" s="16">
        <f>IF(N460="已下單",M460*資金模擬!$B$7,0)</f>
        <v/>
      </c>
      <c r="P460" s="4" t="n"/>
      <c r="Q460" s="10" t="n">
        <v>0</v>
      </c>
      <c r="R460" s="10">
        <f>R459+Q460</f>
        <v/>
      </c>
      <c r="S460" s="16">
        <f>S459+IF(N460="已下單",M460,0)</f>
        <v/>
      </c>
      <c r="T460" s="16">
        <f>R460-S460</f>
        <v/>
      </c>
      <c r="U460" s="2">
        <f>U459+IF(N460="已下單",1,0)</f>
        <v/>
      </c>
      <c r="V460" s="16">
        <f>IF(資金模擬!$B$9=2,MAX(R460,0),MAX(V459,FLOOR(MAX(R460,0),資金模擬!$B$6)))</f>
        <v/>
      </c>
      <c r="W460" s="10">
        <f>MAX(W459,R460)</f>
        <v/>
      </c>
      <c r="X460" s="4">
        <f>IF(W460&gt;0,R460/W460-1,-1)</f>
        <v/>
      </c>
      <c r="Y460" s="16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17" t="n">
        <v>6.252</v>
      </c>
      <c r="H461" s="17" t="n">
        <v>6.064439999999999</v>
      </c>
      <c r="I461" s="17" t="n">
        <v>6.5646</v>
      </c>
      <c r="J461" s="17" t="n"/>
      <c r="K461" s="2" t="n"/>
      <c r="L461" s="5" t="n"/>
      <c r="M461" s="16">
        <f>資金模擬!$B$5*V460</f>
        <v/>
      </c>
      <c r="N461" s="2">
        <f>IF(Z460=1,"已停止",IF(T460&gt;=M461,"已下單","資金不足略過"))</f>
        <v/>
      </c>
      <c r="O461" s="16">
        <f>IF(N461="已下單",M461*資金模擬!$B$7,0)</f>
        <v/>
      </c>
      <c r="P461" s="4" t="n"/>
      <c r="Q461" s="10" t="n">
        <v>0</v>
      </c>
      <c r="R461" s="10">
        <f>R460+Q461</f>
        <v/>
      </c>
      <c r="S461" s="16">
        <f>S460+IF(N461="已下單",M461,0)</f>
        <v/>
      </c>
      <c r="T461" s="16">
        <f>R461-S461</f>
        <v/>
      </c>
      <c r="U461" s="2">
        <f>U460+IF(N461="已下單",1,0)</f>
        <v/>
      </c>
      <c r="V461" s="16">
        <f>IF(資金模擬!$B$9=2,MAX(R461,0),MAX(V460,FLOOR(MAX(R461,0),資金模擬!$B$6)))</f>
        <v/>
      </c>
      <c r="W461" s="10">
        <f>MAX(W460,R461)</f>
        <v/>
      </c>
      <c r="X461" s="4">
        <f>IF(W461&gt;0,R461/W461-1,-1)</f>
        <v/>
      </c>
      <c r="Y461" s="16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17" t="n">
        <v>0.17359</v>
      </c>
      <c r="H462" s="17" t="n">
        <v>0.1787977</v>
      </c>
      <c r="I462" s="17" t="n">
        <v>0.1649105</v>
      </c>
      <c r="J462" s="17" t="n"/>
      <c r="K462" s="2" t="n"/>
      <c r="L462" s="5" t="n"/>
      <c r="M462" s="16">
        <f>資金模擬!$B$5*V461</f>
        <v/>
      </c>
      <c r="N462" s="2">
        <f>IF(Z461=1,"已停止",IF(T461&gt;=M462,"已下單","資金不足略過"))</f>
        <v/>
      </c>
      <c r="O462" s="16">
        <f>IF(N462="已下單",M462*資金模擬!$B$7,0)</f>
        <v/>
      </c>
      <c r="P462" s="4" t="n"/>
      <c r="Q462" s="10" t="n">
        <v>0</v>
      </c>
      <c r="R462" s="10">
        <f>R461+Q462</f>
        <v/>
      </c>
      <c r="S462" s="16">
        <f>S461+IF(N462="已下單",M462,0)</f>
        <v/>
      </c>
      <c r="T462" s="16">
        <f>R462-S462</f>
        <v/>
      </c>
      <c r="U462" s="2">
        <f>U461+IF(N462="已下單",1,0)</f>
        <v/>
      </c>
      <c r="V462" s="16">
        <f>IF(資金模擬!$B$9=2,MAX(R462,0),MAX(V461,FLOOR(MAX(R462,0),資金模擬!$B$6)))</f>
        <v/>
      </c>
      <c r="W462" s="10">
        <f>MAX(W461,R462)</f>
        <v/>
      </c>
      <c r="X462" s="4">
        <f>IF(W462&gt;0,R462/W462-1,-1)</f>
        <v/>
      </c>
      <c r="Y462" s="16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17" t="n">
        <v>4.209</v>
      </c>
      <c r="H463" s="17" t="n">
        <v>4.08273</v>
      </c>
      <c r="I463" s="17" t="n">
        <v>4.419449999999999</v>
      </c>
      <c r="J463" s="17" t="n">
        <v>4.08273</v>
      </c>
      <c r="K463" s="2" t="inlineStr">
        <is>
          <t>止盈</t>
        </is>
      </c>
      <c r="L463" s="5">
        <f>交易明細!K230</f>
        <v/>
      </c>
      <c r="M463" s="16">
        <f>M459</f>
        <v/>
      </c>
      <c r="N463" s="2">
        <f>N459</f>
        <v/>
      </c>
      <c r="O463" s="16">
        <f>O459</f>
        <v/>
      </c>
      <c r="P463" s="4">
        <f>交易明細!L230</f>
        <v/>
      </c>
      <c r="Q463" s="10">
        <f>IF(N463="已下單",O463*P463,0)</f>
        <v/>
      </c>
      <c r="R463" s="10">
        <f>R462+Q463</f>
        <v/>
      </c>
      <c r="S463" s="16">
        <f>S462-IF(N463="已下單",M463,0)</f>
        <v/>
      </c>
      <c r="T463" s="16">
        <f>R463-S463</f>
        <v/>
      </c>
      <c r="U463" s="2">
        <f>U462-IF(N463="已下單",1,0)</f>
        <v/>
      </c>
      <c r="V463" s="16">
        <f>IF(資金模擬!$B$9=2,MAX(R463,0),MAX(V462,FLOOR(MAX(R463,0),資金模擬!$B$6)))</f>
        <v/>
      </c>
      <c r="W463" s="10">
        <f>MAX(W462,R463)</f>
        <v/>
      </c>
      <c r="X463" s="4">
        <f>IF(W463&gt;0,R463/W463-1,-1)</f>
        <v/>
      </c>
      <c r="Y463" s="16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17" t="n">
        <v>0.6319</v>
      </c>
      <c r="H464" s="17" t="n">
        <v>0.612943</v>
      </c>
      <c r="I464" s="17" t="n">
        <v>0.6634950000000001</v>
      </c>
      <c r="J464" s="17" t="n">
        <v>0.6634950000000001</v>
      </c>
      <c r="K464" s="2" t="inlineStr">
        <is>
          <t>止損</t>
        </is>
      </c>
      <c r="L464" s="5">
        <f>交易明細!K231</f>
        <v/>
      </c>
      <c r="M464" s="16">
        <f>M460</f>
        <v/>
      </c>
      <c r="N464" s="2">
        <f>N460</f>
        <v/>
      </c>
      <c r="O464" s="16">
        <f>O460</f>
        <v/>
      </c>
      <c r="P464" s="4">
        <f>交易明細!L231</f>
        <v/>
      </c>
      <c r="Q464" s="10">
        <f>IF(N464="已下單",O464*P464,0)</f>
        <v/>
      </c>
      <c r="R464" s="10">
        <f>R463+Q464</f>
        <v/>
      </c>
      <c r="S464" s="16">
        <f>S463-IF(N464="已下單",M464,0)</f>
        <v/>
      </c>
      <c r="T464" s="16">
        <f>R464-S464</f>
        <v/>
      </c>
      <c r="U464" s="2">
        <f>U463-IF(N464="已下單",1,0)</f>
        <v/>
      </c>
      <c r="V464" s="16">
        <f>IF(資金模擬!$B$9=2,MAX(R464,0),MAX(V463,FLOOR(MAX(R464,0),資金模擬!$B$6)))</f>
        <v/>
      </c>
      <c r="W464" s="10">
        <f>MAX(W463,R464)</f>
        <v/>
      </c>
      <c r="X464" s="4">
        <f>IF(W464&gt;0,R464/W464-1,-1)</f>
        <v/>
      </c>
      <c r="Y464" s="16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17" t="n">
        <v>0.17359</v>
      </c>
      <c r="H465" s="17" t="n">
        <v>0.1787977</v>
      </c>
      <c r="I465" s="17" t="n">
        <v>0.1649105</v>
      </c>
      <c r="J465" s="17" t="n">
        <v>0.1787977</v>
      </c>
      <c r="K465" s="2" t="inlineStr">
        <is>
          <t>止盈</t>
        </is>
      </c>
      <c r="L465" s="5">
        <f>交易明細!K233</f>
        <v/>
      </c>
      <c r="M465" s="16">
        <f>M462</f>
        <v/>
      </c>
      <c r="N465" s="2">
        <f>N462</f>
        <v/>
      </c>
      <c r="O465" s="16">
        <f>O462</f>
        <v/>
      </c>
      <c r="P465" s="4">
        <f>交易明細!L233</f>
        <v/>
      </c>
      <c r="Q465" s="10">
        <f>IF(N465="已下單",O465*P465,0)</f>
        <v/>
      </c>
      <c r="R465" s="10">
        <f>R464+Q465</f>
        <v/>
      </c>
      <c r="S465" s="16">
        <f>S464-IF(N465="已下單",M465,0)</f>
        <v/>
      </c>
      <c r="T465" s="16">
        <f>R465-S465</f>
        <v/>
      </c>
      <c r="U465" s="2">
        <f>U464-IF(N465="已下單",1,0)</f>
        <v/>
      </c>
      <c r="V465" s="16">
        <f>IF(資金模擬!$B$9=2,MAX(R465,0),MAX(V464,FLOOR(MAX(R465,0),資金模擬!$B$6)))</f>
        <v/>
      </c>
      <c r="W465" s="10">
        <f>MAX(W464,R465)</f>
        <v/>
      </c>
      <c r="X465" s="4">
        <f>IF(W465&gt;0,R465/W465-1,-1)</f>
        <v/>
      </c>
      <c r="Y465" s="16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17" t="n">
        <v>0.21036</v>
      </c>
      <c r="H466" s="17" t="n">
        <v>0.2166708</v>
      </c>
      <c r="I466" s="17" t="n">
        <v>0.199842</v>
      </c>
      <c r="J466" s="17" t="n"/>
      <c r="K466" s="2" t="n"/>
      <c r="L466" s="5" t="n"/>
      <c r="M466" s="16">
        <f>資金模擬!$B$5*V465</f>
        <v/>
      </c>
      <c r="N466" s="2">
        <f>IF(Z465=1,"已停止",IF(T465&gt;=M466,"已下單","資金不足略過"))</f>
        <v/>
      </c>
      <c r="O466" s="16">
        <f>IF(N466="已下單",M466*資金模擬!$B$7,0)</f>
        <v/>
      </c>
      <c r="P466" s="4" t="n"/>
      <c r="Q466" s="10" t="n">
        <v>0</v>
      </c>
      <c r="R466" s="10">
        <f>R465+Q466</f>
        <v/>
      </c>
      <c r="S466" s="16">
        <f>S465+IF(N466="已下單",M466,0)</f>
        <v/>
      </c>
      <c r="T466" s="16">
        <f>R466-S466</f>
        <v/>
      </c>
      <c r="U466" s="2">
        <f>U465+IF(N466="已下單",1,0)</f>
        <v/>
      </c>
      <c r="V466" s="16">
        <f>IF(資金模擬!$B$9=2,MAX(R466,0),MAX(V465,FLOOR(MAX(R466,0),資金模擬!$B$6)))</f>
        <v/>
      </c>
      <c r="W466" s="10">
        <f>MAX(W465,R466)</f>
        <v/>
      </c>
      <c r="X466" s="4">
        <f>IF(W466&gt;0,R466/W466-1,-1)</f>
        <v/>
      </c>
      <c r="Y466" s="16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17" t="n">
        <v>6.252</v>
      </c>
      <c r="H467" s="17" t="n">
        <v>6.064439999999999</v>
      </c>
      <c r="I467" s="17" t="n">
        <v>6.5646</v>
      </c>
      <c r="J467" s="17" t="n">
        <v>6.5646</v>
      </c>
      <c r="K467" s="2" t="inlineStr">
        <is>
          <t>止損</t>
        </is>
      </c>
      <c r="L467" s="5">
        <f>交易明細!K232</f>
        <v/>
      </c>
      <c r="M467" s="16">
        <f>M461</f>
        <v/>
      </c>
      <c r="N467" s="2">
        <f>N461</f>
        <v/>
      </c>
      <c r="O467" s="16">
        <f>O461</f>
        <v/>
      </c>
      <c r="P467" s="4">
        <f>交易明細!L232</f>
        <v/>
      </c>
      <c r="Q467" s="10">
        <f>IF(N467="已下單",O467*P467,0)</f>
        <v/>
      </c>
      <c r="R467" s="10">
        <f>R466+Q467</f>
        <v/>
      </c>
      <c r="S467" s="16">
        <f>S466-IF(N467="已下單",M467,0)</f>
        <v/>
      </c>
      <c r="T467" s="16">
        <f>R467-S467</f>
        <v/>
      </c>
      <c r="U467" s="2">
        <f>U466-IF(N467="已下單",1,0)</f>
        <v/>
      </c>
      <c r="V467" s="16">
        <f>IF(資金模擬!$B$9=2,MAX(R467,0),MAX(V466,FLOOR(MAX(R467,0),資金模擬!$B$6)))</f>
        <v/>
      </c>
      <c r="W467" s="10">
        <f>MAX(W466,R467)</f>
        <v/>
      </c>
      <c r="X467" s="4">
        <f>IF(W467&gt;0,R467/W467-1,-1)</f>
        <v/>
      </c>
      <c r="Y467" s="16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17" t="n">
        <v>0.21036</v>
      </c>
      <c r="H468" s="17" t="n">
        <v>0.2166708</v>
      </c>
      <c r="I468" s="17" t="n">
        <v>0.199842</v>
      </c>
      <c r="J468" s="17" t="n">
        <v>0.2166708</v>
      </c>
      <c r="K468" s="2" t="inlineStr">
        <is>
          <t>止盈</t>
        </is>
      </c>
      <c r="L468" s="5">
        <f>交易明細!K234</f>
        <v/>
      </c>
      <c r="M468" s="16">
        <f>M466</f>
        <v/>
      </c>
      <c r="N468" s="2">
        <f>N466</f>
        <v/>
      </c>
      <c r="O468" s="16">
        <f>O466</f>
        <v/>
      </c>
      <c r="P468" s="4">
        <f>交易明細!L234</f>
        <v/>
      </c>
      <c r="Q468" s="10">
        <f>IF(N468="已下單",O468*P468,0)</f>
        <v/>
      </c>
      <c r="R468" s="10">
        <f>R467+Q468</f>
        <v/>
      </c>
      <c r="S468" s="16">
        <f>S467-IF(N468="已下單",M468,0)</f>
        <v/>
      </c>
      <c r="T468" s="16">
        <f>R468-S468</f>
        <v/>
      </c>
      <c r="U468" s="2">
        <f>U467-IF(N468="已下單",1,0)</f>
        <v/>
      </c>
      <c r="V468" s="16">
        <f>IF(資金模擬!$B$9=2,MAX(R468,0),MAX(V467,FLOOR(MAX(R468,0),資金模擬!$B$6)))</f>
        <v/>
      </c>
      <c r="W468" s="10">
        <f>MAX(W467,R468)</f>
        <v/>
      </c>
      <c r="X468" s="4">
        <f>IF(W468&gt;0,R468/W468-1,-1)</f>
        <v/>
      </c>
      <c r="Y468" s="16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17" t="n">
        <v>1.3237</v>
      </c>
      <c r="H469" s="17" t="n">
        <v>1.283989</v>
      </c>
      <c r="I469" s="17" t="n">
        <v>1.389885</v>
      </c>
      <c r="J469" s="17" t="n"/>
      <c r="K469" s="2" t="n"/>
      <c r="L469" s="5" t="n"/>
      <c r="M469" s="16">
        <f>資金模擬!$B$5*V468</f>
        <v/>
      </c>
      <c r="N469" s="2">
        <f>IF(Z468=1,"已停止",IF(T468&gt;=M469,"已下單","資金不足略過"))</f>
        <v/>
      </c>
      <c r="O469" s="16">
        <f>IF(N469="已下單",M469*資金模擬!$B$7,0)</f>
        <v/>
      </c>
      <c r="P469" s="4" t="n"/>
      <c r="Q469" s="10" t="n">
        <v>0</v>
      </c>
      <c r="R469" s="10">
        <f>R468+Q469</f>
        <v/>
      </c>
      <c r="S469" s="16">
        <f>S468+IF(N469="已下單",M469,0)</f>
        <v/>
      </c>
      <c r="T469" s="16">
        <f>R469-S469</f>
        <v/>
      </c>
      <c r="U469" s="2">
        <f>U468+IF(N469="已下單",1,0)</f>
        <v/>
      </c>
      <c r="V469" s="16">
        <f>IF(資金模擬!$B$9=2,MAX(R469,0),MAX(V468,FLOOR(MAX(R469,0),資金模擬!$B$6)))</f>
        <v/>
      </c>
      <c r="W469" s="10">
        <f>MAX(W468,R469)</f>
        <v/>
      </c>
      <c r="X469" s="4">
        <f>IF(W469&gt;0,R469/W469-1,-1)</f>
        <v/>
      </c>
      <c r="Y469" s="16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17" t="n">
        <v>4.163</v>
      </c>
      <c r="H470" s="17" t="n">
        <v>4.038110000000001</v>
      </c>
      <c r="I470" s="17" t="n">
        <v>4.37115</v>
      </c>
      <c r="J470" s="17" t="n"/>
      <c r="K470" s="2" t="n"/>
      <c r="L470" s="5" t="n"/>
      <c r="M470" s="16">
        <f>資金模擬!$B$5*V469</f>
        <v/>
      </c>
      <c r="N470" s="2">
        <f>IF(Z469=1,"已停止",IF(T469&gt;=M470,"已下單","資金不足略過"))</f>
        <v/>
      </c>
      <c r="O470" s="16">
        <f>IF(N470="已下單",M470*資金模擬!$B$7,0)</f>
        <v/>
      </c>
      <c r="P470" s="4" t="n"/>
      <c r="Q470" s="10" t="n">
        <v>0</v>
      </c>
      <c r="R470" s="10">
        <f>R469+Q470</f>
        <v/>
      </c>
      <c r="S470" s="16">
        <f>S469+IF(N470="已下單",M470,0)</f>
        <v/>
      </c>
      <c r="T470" s="16">
        <f>R470-S470</f>
        <v/>
      </c>
      <c r="U470" s="2">
        <f>U469+IF(N470="已下單",1,0)</f>
        <v/>
      </c>
      <c r="V470" s="16">
        <f>IF(資金模擬!$B$9=2,MAX(R470,0),MAX(V469,FLOOR(MAX(R470,0),資金模擬!$B$6)))</f>
        <v/>
      </c>
      <c r="W470" s="10">
        <f>MAX(W469,R470)</f>
        <v/>
      </c>
      <c r="X470" s="4">
        <f>IF(W470&gt;0,R470/W470-1,-1)</f>
        <v/>
      </c>
      <c r="Y470" s="16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17" t="n">
        <v>1.3237</v>
      </c>
      <c r="H471" s="17" t="n">
        <v>1.283989</v>
      </c>
      <c r="I471" s="17" t="n">
        <v>1.389885</v>
      </c>
      <c r="J471" s="17" t="n">
        <v>1.283989</v>
      </c>
      <c r="K471" s="2" t="inlineStr">
        <is>
          <t>止盈</t>
        </is>
      </c>
      <c r="L471" s="5">
        <f>交易明細!K235</f>
        <v/>
      </c>
      <c r="M471" s="16">
        <f>M469</f>
        <v/>
      </c>
      <c r="N471" s="2">
        <f>N469</f>
        <v/>
      </c>
      <c r="O471" s="16">
        <f>O469</f>
        <v/>
      </c>
      <c r="P471" s="4">
        <f>交易明細!L235</f>
        <v/>
      </c>
      <c r="Q471" s="10">
        <f>IF(N471="已下單",O471*P471,0)</f>
        <v/>
      </c>
      <c r="R471" s="10">
        <f>R470+Q471</f>
        <v/>
      </c>
      <c r="S471" s="16">
        <f>S470-IF(N471="已下單",M471,0)</f>
        <v/>
      </c>
      <c r="T471" s="16">
        <f>R471-S471</f>
        <v/>
      </c>
      <c r="U471" s="2">
        <f>U470-IF(N471="已下單",1,0)</f>
        <v/>
      </c>
      <c r="V471" s="16">
        <f>IF(資金模擬!$B$9=2,MAX(R471,0),MAX(V470,FLOOR(MAX(R471,0),資金模擬!$B$6)))</f>
        <v/>
      </c>
      <c r="W471" s="10">
        <f>MAX(W470,R471)</f>
        <v/>
      </c>
      <c r="X471" s="4">
        <f>IF(W471&gt;0,R471/W471-1,-1)</f>
        <v/>
      </c>
      <c r="Y471" s="16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17" t="n">
        <v>4.163</v>
      </c>
      <c r="H472" s="17" t="n">
        <v>4.038110000000001</v>
      </c>
      <c r="I472" s="17" t="n">
        <v>4.37115</v>
      </c>
      <c r="J472" s="17" t="n">
        <v>4.038110000000001</v>
      </c>
      <c r="K472" s="2" t="inlineStr">
        <is>
          <t>止盈</t>
        </is>
      </c>
      <c r="L472" s="5">
        <f>交易明細!K236</f>
        <v/>
      </c>
      <c r="M472" s="16">
        <f>M470</f>
        <v/>
      </c>
      <c r="N472" s="2">
        <f>N470</f>
        <v/>
      </c>
      <c r="O472" s="16">
        <f>O470</f>
        <v/>
      </c>
      <c r="P472" s="4">
        <f>交易明細!L236</f>
        <v/>
      </c>
      <c r="Q472" s="10">
        <f>IF(N472="已下單",O472*P472,0)</f>
        <v/>
      </c>
      <c r="R472" s="10">
        <f>R471+Q472</f>
        <v/>
      </c>
      <c r="S472" s="16">
        <f>S471-IF(N472="已下單",M472,0)</f>
        <v/>
      </c>
      <c r="T472" s="16">
        <f>R472-S472</f>
        <v/>
      </c>
      <c r="U472" s="2">
        <f>U471-IF(N472="已下單",1,0)</f>
        <v/>
      </c>
      <c r="V472" s="16">
        <f>IF(資金模擬!$B$9=2,MAX(R472,0),MAX(V471,FLOOR(MAX(R472,0),資金模擬!$B$6)))</f>
        <v/>
      </c>
      <c r="W472" s="10">
        <f>MAX(W471,R472)</f>
        <v/>
      </c>
      <c r="X472" s="4">
        <f>IF(W472&gt;0,R472/W472-1,-1)</f>
        <v/>
      </c>
      <c r="Y472" s="16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17" t="n">
        <v>0.05174</v>
      </c>
      <c r="H473" s="17" t="n">
        <v>0.0501878</v>
      </c>
      <c r="I473" s="17" t="n">
        <v>0.054327</v>
      </c>
      <c r="J473" s="17" t="n"/>
      <c r="K473" s="2" t="inlineStr">
        <is>
          <t>未平倉</t>
        </is>
      </c>
      <c r="L473" s="5" t="n"/>
      <c r="M473" s="16">
        <f>資金模擬!$B$5*V472</f>
        <v/>
      </c>
      <c r="N473" s="2">
        <f>IF(Z472=1,"已停止",IF(T472&gt;=M473,"已下單","資金不足略過"))</f>
        <v/>
      </c>
      <c r="O473" s="16">
        <f>IF(N473="已下單",M473*資金模擬!$B$7,0)</f>
        <v/>
      </c>
      <c r="P473" s="4" t="n"/>
      <c r="Q473" s="10" t="n">
        <v>0</v>
      </c>
      <c r="R473" s="10">
        <f>R472+Q473</f>
        <v/>
      </c>
      <c r="S473" s="16">
        <f>S472+IF(N473="已下單",M473,0)</f>
        <v/>
      </c>
      <c r="T473" s="16">
        <f>R473-S473</f>
        <v/>
      </c>
      <c r="U473" s="2">
        <f>U472+IF(N473="已下單",1,0)</f>
        <v/>
      </c>
      <c r="V473" s="16">
        <f>IF(資金模擬!$B$9=2,MAX(R473,0),MAX(V472,FLOOR(MAX(R473,0),資金模擬!$B$6)))</f>
        <v/>
      </c>
      <c r="W473" s="10">
        <f>MAX(W472,R473)</f>
        <v/>
      </c>
      <c r="X473" s="4">
        <f>IF(W473&gt;0,R473/W473-1,-1)</f>
        <v/>
      </c>
      <c r="Y473" s="16">
        <f>IF(R473&gt;0,S473*資金模擬!$B$7/R473,0)</f>
        <v/>
      </c>
      <c r="Z473" s="2">
        <f>IF(OR(Z472=1,R473&lt;=資金模擬!$B$10),1,0)</f>
        <v/>
      </c>
    </row>
  </sheetData>
  <autoFilter ref="A1:Z473"/>
  <conditionalFormatting sqref="K2:K47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7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7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05:30（Dry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IFERROR(AVERAGE(交易明細!$AC$2:$AC$237),(B6+2*B7)/(B5+B6))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46280.66666666666</v>
      </c>
      <c r="I225" s="17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46280.875</v>
      </c>
      <c r="I226" s="17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0.03</v>
      </c>
      <c r="T226" s="4" t="n">
        <v>0.04051287051482055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17" t="n">
        <v>0.3894</v>
      </c>
      <c r="F227" s="17" t="n">
        <v>0.377718</v>
      </c>
      <c r="G227" s="17" t="n">
        <v>0.4088700000000001</v>
      </c>
      <c r="H227" s="7" t="n">
        <v>46280.79166666666</v>
      </c>
      <c r="I227" s="17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19" t="n">
        <v>-6448703</v>
      </c>
      <c r="R227" s="19" t="n">
        <v>15364261.8638</v>
      </c>
      <c r="S227" s="4" t="n">
        <v>0.03</v>
      </c>
      <c r="T227" s="4" t="n">
        <v>0</v>
      </c>
      <c r="U227" s="16" t="n">
        <v>0.6187481295028492</v>
      </c>
      <c r="V227" s="16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17" t="n">
        <v>0.06137</v>
      </c>
      <c r="F228" s="17" t="n">
        <v>0.0595289</v>
      </c>
      <c r="G228" s="17" t="n">
        <v>0.06443850000000001</v>
      </c>
      <c r="H228" s="7" t="n">
        <v>46280.875</v>
      </c>
      <c r="I228" s="17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19" t="n">
        <v>-2519277</v>
      </c>
      <c r="R228" s="19" t="n">
        <v>1798381.06354</v>
      </c>
      <c r="S228" s="4" t="n">
        <v>0.002770083102493159</v>
      </c>
      <c r="T228" s="4" t="n">
        <v>0.05</v>
      </c>
      <c r="U228" s="16" t="n">
        <v>0.7600169040732216</v>
      </c>
      <c r="V228" s="16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17" t="n">
        <v>0.11513</v>
      </c>
      <c r="F229" s="17" t="n">
        <v>0.1116761</v>
      </c>
      <c r="G229" s="17" t="n">
        <v>0.1208865</v>
      </c>
      <c r="H229" s="7" t="n">
        <v>46280.95833333334</v>
      </c>
      <c r="I229" s="17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19" t="n">
        <v>-13335483</v>
      </c>
      <c r="R229" s="19" t="n">
        <v>3947406.29375</v>
      </c>
      <c r="S229" s="4" t="n">
        <v>0.03</v>
      </c>
      <c r="T229" s="4" t="n">
        <v>0</v>
      </c>
      <c r="U229" s="16" t="n">
        <v>3.572201315293682</v>
      </c>
      <c r="V229" s="16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17" t="n">
        <v>4.209</v>
      </c>
      <c r="F230" s="17" t="n">
        <v>4.08273</v>
      </c>
      <c r="G230" s="17" t="n">
        <v>4.419449999999999</v>
      </c>
      <c r="H230" s="7" t="n">
        <v>46281.04166666666</v>
      </c>
      <c r="I230" s="17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19" t="n">
        <v>-382515.8999999999</v>
      </c>
      <c r="R230" s="19" t="n">
        <v>3309147.8667</v>
      </c>
      <c r="S230" s="4" t="n">
        <v>0.03</v>
      </c>
      <c r="T230" s="4" t="n">
        <v>0.0168686148728916</v>
      </c>
      <c r="U230" s="16" t="n">
        <v>3.199325144880385</v>
      </c>
      <c r="V230" s="16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17" t="n">
        <v>0.6319</v>
      </c>
      <c r="F231" s="17" t="n">
        <v>0.612943</v>
      </c>
      <c r="G231" s="17" t="n">
        <v>0.6634950000000001</v>
      </c>
      <c r="H231" s="7" t="n">
        <v>46281.04166666666</v>
      </c>
      <c r="I231" s="17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19" t="n">
        <v>-188505</v>
      </c>
      <c r="R231" s="19" t="n">
        <v>3708159.2401</v>
      </c>
      <c r="S231" s="4" t="n">
        <v>0.008229150181990774</v>
      </c>
      <c r="T231" s="4" t="n">
        <v>0.05</v>
      </c>
      <c r="U231" s="16" t="n">
        <v>2.135001569503176</v>
      </c>
      <c r="V231" s="16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17" t="n">
        <v>6.252</v>
      </c>
      <c r="F232" s="17" t="n">
        <v>6.064439999999999</v>
      </c>
      <c r="G232" s="17" t="n">
        <v>6.5646</v>
      </c>
      <c r="H232" s="7" t="n">
        <v>46281.08333333334</v>
      </c>
      <c r="I232" s="17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19" t="n">
        <v>-51002</v>
      </c>
      <c r="R232" s="19" t="n">
        <v>4383325.914</v>
      </c>
      <c r="S232" s="4" t="n">
        <v>0.00175943698016634</v>
      </c>
      <c r="T232" s="4" t="n">
        <v>0.05</v>
      </c>
      <c r="U232" s="16" t="n">
        <v>2.137314918319816</v>
      </c>
      <c r="V232" s="16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17" t="n">
        <v>0.17359</v>
      </c>
      <c r="F233" s="17" t="n">
        <v>0.1787977</v>
      </c>
      <c r="G233" s="17" t="n">
        <v>0.1649105</v>
      </c>
      <c r="H233" s="7" t="n">
        <v>46281.04166666666</v>
      </c>
      <c r="I233" s="17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19" t="n">
        <v>1254089</v>
      </c>
      <c r="R233" s="19" t="n">
        <v>3359749.00031</v>
      </c>
      <c r="S233" s="4" t="n">
        <v>0.03</v>
      </c>
      <c r="T233" s="4" t="n">
        <v>0</v>
      </c>
      <c r="U233" s="16" t="n">
        <v>0.4716771758509334</v>
      </c>
      <c r="V233" s="16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17" t="n">
        <v>0.21036</v>
      </c>
      <c r="F234" s="17" t="n">
        <v>0.2166708</v>
      </c>
      <c r="G234" s="17" t="n">
        <v>0.199842</v>
      </c>
      <c r="H234" s="7" t="n">
        <v>46281.08333333334</v>
      </c>
      <c r="I234" s="17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19" t="n">
        <v>295930</v>
      </c>
      <c r="R234" s="19" t="n">
        <v>1737965.62072</v>
      </c>
      <c r="S234" s="4" t="n">
        <v>0.03</v>
      </c>
      <c r="T234" s="4" t="n">
        <v>0</v>
      </c>
      <c r="U234" s="16" t="n">
        <v>1.905555903024474</v>
      </c>
      <c r="V234" s="16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17" t="n">
        <v>1.3237</v>
      </c>
      <c r="F235" s="17" t="n">
        <v>1.283989</v>
      </c>
      <c r="G235" s="17" t="n">
        <v>1.389885</v>
      </c>
      <c r="H235" s="7" t="n">
        <v>46281.20833333334</v>
      </c>
      <c r="I235" s="17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19" t="n">
        <v>-8152403</v>
      </c>
      <c r="R235" s="19" t="n">
        <v>32885063.0137</v>
      </c>
      <c r="S235" s="4" t="n">
        <v>0.03</v>
      </c>
      <c r="T235" s="4" t="n">
        <v>0.004003928382563915</v>
      </c>
      <c r="U235" s="16" t="n">
        <v>7.440720345189181</v>
      </c>
      <c r="V235" s="16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17" t="n">
        <v>4.163</v>
      </c>
      <c r="F236" s="17" t="n">
        <v>4.038110000000001</v>
      </c>
      <c r="G236" s="17" t="n">
        <v>4.37115</v>
      </c>
      <c r="H236" s="7" t="n">
        <v>46281.20833333334</v>
      </c>
      <c r="I236" s="17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19" t="n">
        <v>-243584.8999999997</v>
      </c>
      <c r="R236" s="19" t="n">
        <v>3360436.3019</v>
      </c>
      <c r="S236" s="4" t="n">
        <v>0.03</v>
      </c>
      <c r="T236" s="4" t="n">
        <v>0</v>
      </c>
      <c r="U236" s="16" t="n">
        <v>1.195482518921788</v>
      </c>
      <c r="V236" s="16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17" t="n">
        <v>0.05174</v>
      </c>
      <c r="F237" s="17" t="n">
        <v>0.0501878</v>
      </c>
      <c r="G237" s="17" t="n">
        <v>0.054327</v>
      </c>
      <c r="H237" s="7" t="n">
        <v>46281.20833333334</v>
      </c>
      <c r="I237" s="17" t="n">
        <v>0.05174</v>
      </c>
      <c r="J237" s="2" t="inlineStr">
        <is>
          <t>未平倉</t>
        </is>
      </c>
      <c r="K237" s="5">
        <f>(H237-D237)*24</f>
        <v/>
      </c>
      <c r="L237" s="4">
        <f>IF(C237="做多",I237/E237-1,1-I237/E237)-2*參數!$B$7</f>
        <v/>
      </c>
      <c r="M237" s="2" t="inlineStr">
        <is>
          <t>持倉中（以最新收盤估值）</t>
        </is>
      </c>
      <c r="N237" s="4" t="n">
        <v>-0.02192816635160688</v>
      </c>
      <c r="O237" s="4" t="n">
        <v>0.02133811929437566</v>
      </c>
      <c r="P237" s="4" t="n">
        <v>-0.005745690731951081</v>
      </c>
      <c r="Q237" s="19" t="n">
        <v>-2201927</v>
      </c>
      <c r="R237" s="19" t="n">
        <v>1761581.08637</v>
      </c>
      <c r="S237" s="4" t="n">
        <v>0</v>
      </c>
      <c r="T237" s="4" t="n">
        <v>0</v>
      </c>
      <c r="U237" s="16" t="n">
        <v>0.8701492201962129</v>
      </c>
      <c r="V237" s="16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</sheetData>
  <autoFilter ref="A1:AC237"/>
  <conditionalFormatting sqref="J2:J23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COUNTIFS(交易明細!$B$2:$B$237,$A2)</f>
        <v/>
      </c>
      <c r="C2" s="2">
        <f>COUNTIFS(交易明細!$B$2:$B$237,$A2,交易明細!$C$2:$C$237,"做多")</f>
        <v/>
      </c>
      <c r="D2" s="2">
        <f>COUNTIFS(交易明細!$B$2:$B$237,$A2,交易明細!$C$2:$C$237,"做空")</f>
        <v/>
      </c>
      <c r="E2" s="2">
        <f>F2+G2+COUNTIFS(交易明細!$B$2:$B$237,$A2,交易明細!$J$2:$J$237,"時間出場")</f>
        <v/>
      </c>
      <c r="F2" s="2">
        <f>COUNTIFS(交易明細!$B$2:$B$237,$A2,交易明細!$J$2:$J$237,"止盈")</f>
        <v/>
      </c>
      <c r="G2" s="2">
        <f>COUNTIFS(交易明細!$B$2:$B$237,$A2,交易明細!$J$2:$J$237,"止損")</f>
        <v/>
      </c>
      <c r="H2" s="4">
        <f>IFERROR(F2/E2,0)</f>
        <v/>
      </c>
      <c r="I2" s="4">
        <f>IFERROR(AVERAGEIFS(交易明細!$L$2:$L$237,交易明細!$B$2:$B$237,$A2,交易明細!$J$2:$J$237,"&lt;&gt;未平倉"),0)</f>
        <v/>
      </c>
      <c r="J2" s="4">
        <f>SUMIFS(交易明細!$L$2:$L$237,交易明細!$B$2:$B$237,$A2,交易明細!$J$2:$J$237,"&lt;&gt;未平倉")</f>
        <v/>
      </c>
      <c r="K2" s="5">
        <f>IFERROR(AVERAGEIFS(交易明細!$K$2:$K$237,交易明細!$B$2:$B$237,$A2,交易明細!$J$2:$J$237,"&lt;&gt;未平倉"),0)</f>
        <v/>
      </c>
      <c r="L2" s="2">
        <f>COUNTIFS(交易明細!$B$2:$B$237,$A2,交易明細!$J$2:$J$237,"未平倉")</f>
        <v/>
      </c>
    </row>
    <row r="3">
      <c r="A3" s="2" t="inlineStr">
        <is>
          <t>PONS_USDT_PERP</t>
        </is>
      </c>
      <c r="B3" s="2">
        <f>COUNTIFS(交易明細!$B$2:$B$237,$A3)</f>
        <v/>
      </c>
      <c r="C3" s="2">
        <f>COUNTIFS(交易明細!$B$2:$B$237,$A3,交易明細!$C$2:$C$237,"做多")</f>
        <v/>
      </c>
      <c r="D3" s="2">
        <f>COUNTIFS(交易明細!$B$2:$B$237,$A3,交易明細!$C$2:$C$237,"做空")</f>
        <v/>
      </c>
      <c r="E3" s="2">
        <f>F3+G3+COUNTIFS(交易明細!$B$2:$B$237,$A3,交易明細!$J$2:$J$237,"時間出場")</f>
        <v/>
      </c>
      <c r="F3" s="2">
        <f>COUNTIFS(交易明細!$B$2:$B$237,$A3,交易明細!$J$2:$J$237,"止盈")</f>
        <v/>
      </c>
      <c r="G3" s="2">
        <f>COUNTIFS(交易明細!$B$2:$B$237,$A3,交易明細!$J$2:$J$237,"止損")</f>
        <v/>
      </c>
      <c r="H3" s="4">
        <f>IFERROR(F3/E3,0)</f>
        <v/>
      </c>
      <c r="I3" s="4">
        <f>IFERROR(AVERAGEIFS(交易明細!$L$2:$L$237,交易明細!$B$2:$B$237,$A3,交易明細!$J$2:$J$237,"&lt;&gt;未平倉"),0)</f>
        <v/>
      </c>
      <c r="J3" s="4">
        <f>SUMIFS(交易明細!$L$2:$L$237,交易明細!$B$2:$B$237,$A3,交易明細!$J$2:$J$237,"&lt;&gt;未平倉")</f>
        <v/>
      </c>
      <c r="K3" s="5">
        <f>IFERROR(AVERAGEIFS(交易明細!$K$2:$K$237,交易明細!$B$2:$B$237,$A3,交易明細!$J$2:$J$237,"&lt;&gt;未平倉"),0)</f>
        <v/>
      </c>
      <c r="L3" s="2">
        <f>COUNTIFS(交易明細!$B$2:$B$237,$A3,交易明細!$J$2:$J$237,"未平倉")</f>
        <v/>
      </c>
    </row>
    <row r="4">
      <c r="A4" s="2" t="inlineStr">
        <is>
          <t>PUMP_USDT_PERP</t>
        </is>
      </c>
      <c r="B4" s="2">
        <f>COUNTIFS(交易明細!$B$2:$B$237,$A4)</f>
        <v/>
      </c>
      <c r="C4" s="2">
        <f>COUNTIFS(交易明細!$B$2:$B$237,$A4,交易明細!$C$2:$C$237,"做多")</f>
        <v/>
      </c>
      <c r="D4" s="2">
        <f>COUNTIFS(交易明細!$B$2:$B$237,$A4,交易明細!$C$2:$C$237,"做空")</f>
        <v/>
      </c>
      <c r="E4" s="2">
        <f>F4+G4+COUNTIFS(交易明細!$B$2:$B$237,$A4,交易明細!$J$2:$J$237,"時間出場")</f>
        <v/>
      </c>
      <c r="F4" s="2">
        <f>COUNTIFS(交易明細!$B$2:$B$237,$A4,交易明細!$J$2:$J$237,"止盈")</f>
        <v/>
      </c>
      <c r="G4" s="2">
        <f>COUNTIFS(交易明細!$B$2:$B$237,$A4,交易明細!$J$2:$J$237,"止損")</f>
        <v/>
      </c>
      <c r="H4" s="4">
        <f>IFERROR(F4/E4,0)</f>
        <v/>
      </c>
      <c r="I4" s="4">
        <f>IFERROR(AVERAGEIFS(交易明細!$L$2:$L$237,交易明細!$B$2:$B$237,$A4,交易明細!$J$2:$J$237,"&lt;&gt;未平倉"),0)</f>
        <v/>
      </c>
      <c r="J4" s="4">
        <f>SUMIFS(交易明細!$L$2:$L$237,交易明細!$B$2:$B$237,$A4,交易明細!$J$2:$J$237,"&lt;&gt;未平倉")</f>
        <v/>
      </c>
      <c r="K4" s="5">
        <f>IFERROR(AVERAGEIFS(交易明細!$K$2:$K$237,交易明細!$B$2:$B$237,$A4,交易明細!$J$2:$J$237,"&lt;&gt;未平倉"),0)</f>
        <v/>
      </c>
      <c r="L4" s="2">
        <f>COUNTIFS(交易明細!$B$2:$B$237,$A4,交易明細!$J$2:$J$237,"未平倉")</f>
        <v/>
      </c>
    </row>
    <row r="5">
      <c r="A5" s="2" t="inlineStr">
        <is>
          <t>LIT_USDT_PERP</t>
        </is>
      </c>
      <c r="B5" s="2">
        <f>COUNTIFS(交易明細!$B$2:$B$237,$A5)</f>
        <v/>
      </c>
      <c r="C5" s="2">
        <f>COUNTIFS(交易明細!$B$2:$B$237,$A5,交易明細!$C$2:$C$237,"做多")</f>
        <v/>
      </c>
      <c r="D5" s="2">
        <f>COUNTIFS(交易明細!$B$2:$B$237,$A5,交易明細!$C$2:$C$237,"做空")</f>
        <v/>
      </c>
      <c r="E5" s="2">
        <f>F5+G5+COUNTIFS(交易明細!$B$2:$B$237,$A5,交易明細!$J$2:$J$237,"時間出場")</f>
        <v/>
      </c>
      <c r="F5" s="2">
        <f>COUNTIFS(交易明細!$B$2:$B$237,$A5,交易明細!$J$2:$J$237,"止盈")</f>
        <v/>
      </c>
      <c r="G5" s="2">
        <f>COUNTIFS(交易明細!$B$2:$B$237,$A5,交易明細!$J$2:$J$237,"止損")</f>
        <v/>
      </c>
      <c r="H5" s="4">
        <f>IFERROR(F5/E5,0)</f>
        <v/>
      </c>
      <c r="I5" s="4">
        <f>IFERROR(AVERAGEIFS(交易明細!$L$2:$L$237,交易明細!$B$2:$B$237,$A5,交易明細!$J$2:$J$237,"&lt;&gt;未平倉"),0)</f>
        <v/>
      </c>
      <c r="J5" s="4">
        <f>SUMIFS(交易明細!$L$2:$L$237,交易明細!$B$2:$B$237,$A5,交易明細!$J$2:$J$237,"&lt;&gt;未平倉")</f>
        <v/>
      </c>
      <c r="K5" s="5">
        <f>IFERROR(AVERAGEIFS(交易明細!$K$2:$K$237,交易明細!$B$2:$B$237,$A5,交易明細!$J$2:$J$237,"&lt;&gt;未平倉"),0)</f>
        <v/>
      </c>
      <c r="L5" s="2">
        <f>COUNTIFS(交易明細!$B$2:$B$237,$A5,交易明細!$J$2:$J$237,"未平倉")</f>
        <v/>
      </c>
    </row>
    <row r="6">
      <c r="A6" s="2" t="inlineStr">
        <is>
          <t>UAI_USDT_PERP</t>
        </is>
      </c>
      <c r="B6" s="2">
        <f>COUNTIFS(交易明細!$B$2:$B$237,$A6)</f>
        <v/>
      </c>
      <c r="C6" s="2">
        <f>COUNTIFS(交易明細!$B$2:$B$237,$A6,交易明細!$C$2:$C$237,"做多")</f>
        <v/>
      </c>
      <c r="D6" s="2">
        <f>COUNTIFS(交易明細!$B$2:$B$237,$A6,交易明細!$C$2:$C$237,"做空")</f>
        <v/>
      </c>
      <c r="E6" s="2">
        <f>F6+G6+COUNTIFS(交易明細!$B$2:$B$237,$A6,交易明細!$J$2:$J$237,"時間出場")</f>
        <v/>
      </c>
      <c r="F6" s="2">
        <f>COUNTIFS(交易明細!$B$2:$B$237,$A6,交易明細!$J$2:$J$237,"止盈")</f>
        <v/>
      </c>
      <c r="G6" s="2">
        <f>COUNTIFS(交易明細!$B$2:$B$237,$A6,交易明細!$J$2:$J$237,"止損")</f>
        <v/>
      </c>
      <c r="H6" s="4">
        <f>IFERROR(F6/E6,0)</f>
        <v/>
      </c>
      <c r="I6" s="4">
        <f>IFERROR(AVERAGEIFS(交易明細!$L$2:$L$237,交易明細!$B$2:$B$237,$A6,交易明細!$J$2:$J$237,"&lt;&gt;未平倉"),0)</f>
        <v/>
      </c>
      <c r="J6" s="4">
        <f>SUMIFS(交易明細!$L$2:$L$237,交易明細!$B$2:$B$237,$A6,交易明細!$J$2:$J$237,"&lt;&gt;未平倉")</f>
        <v/>
      </c>
      <c r="K6" s="5">
        <f>IFERROR(AVERAGEIFS(交易明細!$K$2:$K$237,交易明細!$B$2:$B$237,$A6,交易明細!$J$2:$J$237,"&lt;&gt;未平倉"),0)</f>
        <v/>
      </c>
      <c r="L6" s="2">
        <f>COUNTIFS(交易明細!$B$2:$B$237,$A6,交易明細!$J$2:$J$237,"未平倉")</f>
        <v/>
      </c>
    </row>
    <row r="7">
      <c r="A7" s="2" t="inlineStr">
        <is>
          <t>牛来_USDT_PERP</t>
        </is>
      </c>
      <c r="B7" s="2">
        <f>COUNTIFS(交易明細!$B$2:$B$237,$A7)</f>
        <v/>
      </c>
      <c r="C7" s="2">
        <f>COUNTIFS(交易明細!$B$2:$B$237,$A7,交易明細!$C$2:$C$237,"做多")</f>
        <v/>
      </c>
      <c r="D7" s="2">
        <f>COUNTIFS(交易明細!$B$2:$B$237,$A7,交易明細!$C$2:$C$237,"做空")</f>
        <v/>
      </c>
      <c r="E7" s="2">
        <f>F7+G7+COUNTIFS(交易明細!$B$2:$B$237,$A7,交易明細!$J$2:$J$237,"時間出場")</f>
        <v/>
      </c>
      <c r="F7" s="2">
        <f>COUNTIFS(交易明細!$B$2:$B$237,$A7,交易明細!$J$2:$J$237,"止盈")</f>
        <v/>
      </c>
      <c r="G7" s="2">
        <f>COUNTIFS(交易明細!$B$2:$B$237,$A7,交易明細!$J$2:$J$237,"止損")</f>
        <v/>
      </c>
      <c r="H7" s="4">
        <f>IFERROR(F7/E7,0)</f>
        <v/>
      </c>
      <c r="I7" s="4">
        <f>IFERROR(AVERAGEIFS(交易明細!$L$2:$L$237,交易明細!$B$2:$B$237,$A7,交易明細!$J$2:$J$237,"&lt;&gt;未平倉"),0)</f>
        <v/>
      </c>
      <c r="J7" s="4">
        <f>SUMIFS(交易明細!$L$2:$L$237,交易明細!$B$2:$B$237,$A7,交易明細!$J$2:$J$237,"&lt;&gt;未平倉")</f>
        <v/>
      </c>
      <c r="K7" s="5">
        <f>IFERROR(AVERAGEIFS(交易明細!$K$2:$K$237,交易明細!$B$2:$B$237,$A7,交易明細!$J$2:$J$237,"&lt;&gt;未平倉"),0)</f>
        <v/>
      </c>
      <c r="L7" s="2">
        <f>COUNTIFS(交易明細!$B$2:$B$237,$A7,交易明細!$J$2:$J$237,"未平倉")</f>
        <v/>
      </c>
    </row>
    <row r="8">
      <c r="A8" s="2" t="inlineStr">
        <is>
          <t>MARSCOIN_USDT_PERP</t>
        </is>
      </c>
      <c r="B8" s="2">
        <f>COUNTIFS(交易明細!$B$2:$B$237,$A8)</f>
        <v/>
      </c>
      <c r="C8" s="2">
        <f>COUNTIFS(交易明細!$B$2:$B$237,$A8,交易明細!$C$2:$C$237,"做多")</f>
        <v/>
      </c>
      <c r="D8" s="2">
        <f>COUNTIFS(交易明細!$B$2:$B$237,$A8,交易明細!$C$2:$C$237,"做空")</f>
        <v/>
      </c>
      <c r="E8" s="2">
        <f>F8+G8+COUNTIFS(交易明細!$B$2:$B$237,$A8,交易明細!$J$2:$J$237,"時間出場")</f>
        <v/>
      </c>
      <c r="F8" s="2">
        <f>COUNTIFS(交易明細!$B$2:$B$237,$A8,交易明細!$J$2:$J$237,"止盈")</f>
        <v/>
      </c>
      <c r="G8" s="2">
        <f>COUNTIFS(交易明細!$B$2:$B$237,$A8,交易明細!$J$2:$J$237,"止損")</f>
        <v/>
      </c>
      <c r="H8" s="4">
        <f>IFERROR(F8/E8,0)</f>
        <v/>
      </c>
      <c r="I8" s="4">
        <f>IFERROR(AVERAGEIFS(交易明細!$L$2:$L$237,交易明細!$B$2:$B$237,$A8,交易明細!$J$2:$J$237,"&lt;&gt;未平倉"),0)</f>
        <v/>
      </c>
      <c r="J8" s="4">
        <f>SUMIFS(交易明細!$L$2:$L$237,交易明細!$B$2:$B$237,$A8,交易明細!$J$2:$J$237,"&lt;&gt;未平倉")</f>
        <v/>
      </c>
      <c r="K8" s="5">
        <f>IFERROR(AVERAGEIFS(交易明細!$K$2:$K$237,交易明細!$B$2:$B$237,$A8,交易明細!$J$2:$J$237,"&lt;&gt;未平倉"),0)</f>
        <v/>
      </c>
      <c r="L8" s="2">
        <f>COUNTIFS(交易明細!$B$2:$B$237,$A8,交易明細!$J$2:$J$237,"未平倉")</f>
        <v/>
      </c>
    </row>
    <row r="9">
      <c r="A9" s="2" t="inlineStr">
        <is>
          <t>BULLA_USDT_PERP</t>
        </is>
      </c>
      <c r="B9" s="2">
        <f>COUNTIFS(交易明細!$B$2:$B$237,$A9)</f>
        <v/>
      </c>
      <c r="C9" s="2">
        <f>COUNTIFS(交易明細!$B$2:$B$237,$A9,交易明細!$C$2:$C$237,"做多")</f>
        <v/>
      </c>
      <c r="D9" s="2">
        <f>COUNTIFS(交易明細!$B$2:$B$237,$A9,交易明細!$C$2:$C$237,"做空")</f>
        <v/>
      </c>
      <c r="E9" s="2">
        <f>F9+G9+COUNTIFS(交易明細!$B$2:$B$237,$A9,交易明細!$J$2:$J$237,"時間出場")</f>
        <v/>
      </c>
      <c r="F9" s="2">
        <f>COUNTIFS(交易明細!$B$2:$B$237,$A9,交易明細!$J$2:$J$237,"止盈")</f>
        <v/>
      </c>
      <c r="G9" s="2">
        <f>COUNTIFS(交易明細!$B$2:$B$237,$A9,交易明細!$J$2:$J$237,"止損")</f>
        <v/>
      </c>
      <c r="H9" s="4">
        <f>IFERROR(F9/E9,0)</f>
        <v/>
      </c>
      <c r="I9" s="4">
        <f>IFERROR(AVERAGEIFS(交易明細!$L$2:$L$237,交易明細!$B$2:$B$237,$A9,交易明細!$J$2:$J$237,"&lt;&gt;未平倉"),0)</f>
        <v/>
      </c>
      <c r="J9" s="4">
        <f>SUMIFS(交易明細!$L$2:$L$237,交易明細!$B$2:$B$237,$A9,交易明細!$J$2:$J$237,"&lt;&gt;未平倉")</f>
        <v/>
      </c>
      <c r="K9" s="5">
        <f>IFERROR(AVERAGEIFS(交易明細!$K$2:$K$237,交易明細!$B$2:$B$237,$A9,交易明細!$J$2:$J$237,"&lt;&gt;未平倉"),0)</f>
        <v/>
      </c>
      <c r="L9" s="2">
        <f>COUNTIFS(交易明細!$B$2:$B$237,$A9,交易明細!$J$2:$J$237,"未平倉")</f>
        <v/>
      </c>
    </row>
    <row r="10">
      <c r="A10" s="2" t="inlineStr">
        <is>
          <t>HEMI_USDT_PERP</t>
        </is>
      </c>
      <c r="B10" s="2">
        <f>COUNTIFS(交易明細!$B$2:$B$237,$A10)</f>
        <v/>
      </c>
      <c r="C10" s="2">
        <f>COUNTIFS(交易明細!$B$2:$B$237,$A10,交易明細!$C$2:$C$237,"做多")</f>
        <v/>
      </c>
      <c r="D10" s="2">
        <f>COUNTIFS(交易明細!$B$2:$B$237,$A10,交易明細!$C$2:$C$237,"做空")</f>
        <v/>
      </c>
      <c r="E10" s="2">
        <f>F10+G10+COUNTIFS(交易明細!$B$2:$B$237,$A10,交易明細!$J$2:$J$237,"時間出場")</f>
        <v/>
      </c>
      <c r="F10" s="2">
        <f>COUNTIFS(交易明細!$B$2:$B$237,$A10,交易明細!$J$2:$J$237,"止盈")</f>
        <v/>
      </c>
      <c r="G10" s="2">
        <f>COUNTIFS(交易明細!$B$2:$B$237,$A10,交易明細!$J$2:$J$237,"止損")</f>
        <v/>
      </c>
      <c r="H10" s="4">
        <f>IFERROR(F10/E10,0)</f>
        <v/>
      </c>
      <c r="I10" s="4">
        <f>IFERROR(AVERAGEIFS(交易明細!$L$2:$L$237,交易明細!$B$2:$B$237,$A10,交易明細!$J$2:$J$237,"&lt;&gt;未平倉"),0)</f>
        <v/>
      </c>
      <c r="J10" s="4">
        <f>SUMIFS(交易明細!$L$2:$L$237,交易明細!$B$2:$B$237,$A10,交易明細!$J$2:$J$237,"&lt;&gt;未平倉")</f>
        <v/>
      </c>
      <c r="K10" s="5">
        <f>IFERROR(AVERAGEIFS(交易明細!$K$2:$K$237,交易明細!$B$2:$B$237,$A10,交易明細!$J$2:$J$237,"&lt;&gt;未平倉"),0)</f>
        <v/>
      </c>
      <c r="L10" s="2">
        <f>COUNTIFS(交易明細!$B$2:$B$237,$A10,交易明細!$J$2:$J$237,"未平倉")</f>
        <v/>
      </c>
    </row>
    <row r="11">
      <c r="A11" s="2" t="inlineStr">
        <is>
          <t>AKE_USDT_PERP</t>
        </is>
      </c>
      <c r="B11" s="2">
        <f>COUNTIFS(交易明細!$B$2:$B$237,$A11)</f>
        <v/>
      </c>
      <c r="C11" s="2">
        <f>COUNTIFS(交易明細!$B$2:$B$237,$A11,交易明細!$C$2:$C$237,"做多")</f>
        <v/>
      </c>
      <c r="D11" s="2">
        <f>COUNTIFS(交易明細!$B$2:$B$237,$A11,交易明細!$C$2:$C$237,"做空")</f>
        <v/>
      </c>
      <c r="E11" s="2">
        <f>F11+G11+COUNTIFS(交易明細!$B$2:$B$237,$A11,交易明細!$J$2:$J$237,"時間出場")</f>
        <v/>
      </c>
      <c r="F11" s="2">
        <f>COUNTIFS(交易明細!$B$2:$B$237,$A11,交易明細!$J$2:$J$237,"止盈")</f>
        <v/>
      </c>
      <c r="G11" s="2">
        <f>COUNTIFS(交易明細!$B$2:$B$237,$A11,交易明細!$J$2:$J$237,"止損")</f>
        <v/>
      </c>
      <c r="H11" s="4">
        <f>IFERROR(F11/E11,0)</f>
        <v/>
      </c>
      <c r="I11" s="4">
        <f>IFERROR(AVERAGEIFS(交易明細!$L$2:$L$237,交易明細!$B$2:$B$237,$A11,交易明細!$J$2:$J$237,"&lt;&gt;未平倉"),0)</f>
        <v/>
      </c>
      <c r="J11" s="4">
        <f>SUMIFS(交易明細!$L$2:$L$237,交易明細!$B$2:$B$237,$A11,交易明細!$J$2:$J$237,"&lt;&gt;未平倉")</f>
        <v/>
      </c>
      <c r="K11" s="5">
        <f>IFERROR(AVERAGEIFS(交易明細!$K$2:$K$237,交易明細!$B$2:$B$237,$A11,交易明細!$J$2:$J$237,"&lt;&gt;未平倉"),0)</f>
        <v/>
      </c>
      <c r="L11" s="2">
        <f>COUNTIFS(交易明細!$B$2:$B$237,$A11,交易明細!$J$2:$J$237,"未平倉")</f>
        <v/>
      </c>
    </row>
    <row r="12">
      <c r="A12" s="2" t="inlineStr">
        <is>
          <t>VVV_USDT_PERP</t>
        </is>
      </c>
      <c r="B12" s="2">
        <f>COUNTIFS(交易明細!$B$2:$B$237,$A12)</f>
        <v/>
      </c>
      <c r="C12" s="2">
        <f>COUNTIFS(交易明細!$B$2:$B$237,$A12,交易明細!$C$2:$C$237,"做多")</f>
        <v/>
      </c>
      <c r="D12" s="2">
        <f>COUNTIFS(交易明細!$B$2:$B$237,$A12,交易明細!$C$2:$C$237,"做空")</f>
        <v/>
      </c>
      <c r="E12" s="2">
        <f>F12+G12+COUNTIFS(交易明細!$B$2:$B$237,$A12,交易明細!$J$2:$J$237,"時間出場")</f>
        <v/>
      </c>
      <c r="F12" s="2">
        <f>COUNTIFS(交易明細!$B$2:$B$237,$A12,交易明細!$J$2:$J$237,"止盈")</f>
        <v/>
      </c>
      <c r="G12" s="2">
        <f>COUNTIFS(交易明細!$B$2:$B$237,$A12,交易明細!$J$2:$J$237,"止損")</f>
        <v/>
      </c>
      <c r="H12" s="4">
        <f>IFERROR(F12/E12,0)</f>
        <v/>
      </c>
      <c r="I12" s="4">
        <f>IFERROR(AVERAGEIFS(交易明細!$L$2:$L$237,交易明細!$B$2:$B$237,$A12,交易明細!$J$2:$J$237,"&lt;&gt;未平倉"),0)</f>
        <v/>
      </c>
      <c r="J12" s="4">
        <f>SUMIFS(交易明細!$L$2:$L$237,交易明細!$B$2:$B$237,$A12,交易明細!$J$2:$J$237,"&lt;&gt;未平倉")</f>
        <v/>
      </c>
      <c r="K12" s="5">
        <f>IFERROR(AVERAGEIFS(交易明細!$K$2:$K$237,交易明細!$B$2:$B$237,$A12,交易明細!$J$2:$J$237,"&lt;&gt;未平倉"),0)</f>
        <v/>
      </c>
      <c r="L12" s="2">
        <f>COUNTIFS(交易明細!$B$2:$B$237,$A12,交易明細!$J$2:$J$237,"未平倉")</f>
        <v/>
      </c>
    </row>
    <row r="13">
      <c r="A13" s="2" t="inlineStr">
        <is>
          <t>ARB_USDT_PERP</t>
        </is>
      </c>
      <c r="B13" s="2">
        <f>COUNTIFS(交易明細!$B$2:$B$237,$A13)</f>
        <v/>
      </c>
      <c r="C13" s="2">
        <f>COUNTIFS(交易明細!$B$2:$B$237,$A13,交易明細!$C$2:$C$237,"做多")</f>
        <v/>
      </c>
      <c r="D13" s="2">
        <f>COUNTIFS(交易明細!$B$2:$B$237,$A13,交易明細!$C$2:$C$237,"做空")</f>
        <v/>
      </c>
      <c r="E13" s="2">
        <f>F13+G13+COUNTIFS(交易明細!$B$2:$B$237,$A13,交易明細!$J$2:$J$237,"時間出場")</f>
        <v/>
      </c>
      <c r="F13" s="2">
        <f>COUNTIFS(交易明細!$B$2:$B$237,$A13,交易明細!$J$2:$J$237,"止盈")</f>
        <v/>
      </c>
      <c r="G13" s="2">
        <f>COUNTIFS(交易明細!$B$2:$B$237,$A13,交易明細!$J$2:$J$237,"止損")</f>
        <v/>
      </c>
      <c r="H13" s="4">
        <f>IFERROR(F13/E13,0)</f>
        <v/>
      </c>
      <c r="I13" s="4">
        <f>IFERROR(AVERAGEIFS(交易明細!$L$2:$L$237,交易明細!$B$2:$B$237,$A13,交易明細!$J$2:$J$237,"&lt;&gt;未平倉"),0)</f>
        <v/>
      </c>
      <c r="J13" s="4">
        <f>SUMIFS(交易明細!$L$2:$L$237,交易明細!$B$2:$B$237,$A13,交易明細!$J$2:$J$237,"&lt;&gt;未平倉")</f>
        <v/>
      </c>
      <c r="K13" s="5">
        <f>IFERROR(AVERAGEIFS(交易明細!$K$2:$K$237,交易明細!$B$2:$B$237,$A13,交易明細!$J$2:$J$237,"&lt;&gt;未平倉"),0)</f>
        <v/>
      </c>
      <c r="L13" s="2">
        <f>COUNTIFS(交易明細!$B$2:$B$237,$A13,交易明細!$J$2:$J$237,"未平倉")</f>
        <v/>
      </c>
    </row>
    <row r="14">
      <c r="A14" s="2" t="inlineStr">
        <is>
          <t>UNI_USDT_PERP</t>
        </is>
      </c>
      <c r="B14" s="2">
        <f>COUNTIFS(交易明細!$B$2:$B$237,$A14)</f>
        <v/>
      </c>
      <c r="C14" s="2">
        <f>COUNTIFS(交易明細!$B$2:$B$237,$A14,交易明細!$C$2:$C$237,"做多")</f>
        <v/>
      </c>
      <c r="D14" s="2">
        <f>COUNTIFS(交易明細!$B$2:$B$237,$A14,交易明細!$C$2:$C$237,"做空")</f>
        <v/>
      </c>
      <c r="E14" s="2">
        <f>F14+G14+COUNTIFS(交易明細!$B$2:$B$237,$A14,交易明細!$J$2:$J$237,"時間出場")</f>
        <v/>
      </c>
      <c r="F14" s="2">
        <f>COUNTIFS(交易明細!$B$2:$B$237,$A14,交易明細!$J$2:$J$237,"止盈")</f>
        <v/>
      </c>
      <c r="G14" s="2">
        <f>COUNTIFS(交易明細!$B$2:$B$237,$A14,交易明細!$J$2:$J$237,"止損")</f>
        <v/>
      </c>
      <c r="H14" s="4">
        <f>IFERROR(F14/E14,0)</f>
        <v/>
      </c>
      <c r="I14" s="4">
        <f>IFERROR(AVERAGEIFS(交易明細!$L$2:$L$237,交易明細!$B$2:$B$237,$A14,交易明細!$J$2:$J$237,"&lt;&gt;未平倉"),0)</f>
        <v/>
      </c>
      <c r="J14" s="4">
        <f>SUMIFS(交易明細!$L$2:$L$237,交易明細!$B$2:$B$237,$A14,交易明細!$J$2:$J$237,"&lt;&gt;未平倉")</f>
        <v/>
      </c>
      <c r="K14" s="5">
        <f>IFERROR(AVERAGEIFS(交易明細!$K$2:$K$237,交易明細!$B$2:$B$237,$A14,交易明細!$J$2:$J$237,"&lt;&gt;未平倉"),0)</f>
        <v/>
      </c>
      <c r="L14" s="2">
        <f>COUNTIFS(交易明細!$B$2:$B$237,$A14,交易明細!$J$2:$J$237,"未平倉")</f>
        <v/>
      </c>
    </row>
    <row r="15">
      <c r="A15" s="2" t="inlineStr">
        <is>
          <t>NEAR_USDT_PERP</t>
        </is>
      </c>
      <c r="B15" s="2">
        <f>COUNTIFS(交易明細!$B$2:$B$237,$A15)</f>
        <v/>
      </c>
      <c r="C15" s="2">
        <f>COUNTIFS(交易明細!$B$2:$B$237,$A15,交易明細!$C$2:$C$237,"做多")</f>
        <v/>
      </c>
      <c r="D15" s="2">
        <f>COUNTIFS(交易明細!$B$2:$B$237,$A15,交易明細!$C$2:$C$237,"做空")</f>
        <v/>
      </c>
      <c r="E15" s="2">
        <f>F15+G15+COUNTIFS(交易明細!$B$2:$B$237,$A15,交易明細!$J$2:$J$237,"時間出場")</f>
        <v/>
      </c>
      <c r="F15" s="2">
        <f>COUNTIFS(交易明細!$B$2:$B$237,$A15,交易明細!$J$2:$J$237,"止盈")</f>
        <v/>
      </c>
      <c r="G15" s="2">
        <f>COUNTIFS(交易明細!$B$2:$B$237,$A15,交易明細!$J$2:$J$237,"止損")</f>
        <v/>
      </c>
      <c r="H15" s="4">
        <f>IFERROR(F15/E15,0)</f>
        <v/>
      </c>
      <c r="I15" s="4">
        <f>IFERROR(AVERAGEIFS(交易明細!$L$2:$L$237,交易明細!$B$2:$B$237,$A15,交易明細!$J$2:$J$237,"&lt;&gt;未平倉"),0)</f>
        <v/>
      </c>
      <c r="J15" s="4">
        <f>SUMIFS(交易明細!$L$2:$L$237,交易明細!$B$2:$B$237,$A15,交易明細!$J$2:$J$237,"&lt;&gt;未平倉")</f>
        <v/>
      </c>
      <c r="K15" s="5">
        <f>IFERROR(AVERAGEIFS(交易明細!$K$2:$K$237,交易明細!$B$2:$B$237,$A15,交易明細!$J$2:$J$237,"&lt;&gt;未平倉"),0)</f>
        <v/>
      </c>
      <c r="L15" s="2">
        <f>COUNTIFS(交易明細!$B$2:$B$237,$A15,交易明細!$J$2:$J$237,"未平倉")</f>
        <v/>
      </c>
    </row>
    <row r="16">
      <c r="A16" s="2" t="inlineStr">
        <is>
          <t>RAY_USDT_PERP</t>
        </is>
      </c>
      <c r="B16" s="2">
        <f>COUNTIFS(交易明細!$B$2:$B$237,$A16)</f>
        <v/>
      </c>
      <c r="C16" s="2">
        <f>COUNTIFS(交易明細!$B$2:$B$237,$A16,交易明細!$C$2:$C$237,"做多")</f>
        <v/>
      </c>
      <c r="D16" s="2">
        <f>COUNTIFS(交易明細!$B$2:$B$237,$A16,交易明細!$C$2:$C$237,"做空")</f>
        <v/>
      </c>
      <c r="E16" s="2">
        <f>F16+G16+COUNTIFS(交易明細!$B$2:$B$237,$A16,交易明細!$J$2:$J$237,"時間出場")</f>
        <v/>
      </c>
      <c r="F16" s="2">
        <f>COUNTIFS(交易明細!$B$2:$B$237,$A16,交易明細!$J$2:$J$237,"止盈")</f>
        <v/>
      </c>
      <c r="G16" s="2">
        <f>COUNTIFS(交易明細!$B$2:$B$237,$A16,交易明細!$J$2:$J$237,"止損")</f>
        <v/>
      </c>
      <c r="H16" s="4">
        <f>IFERROR(F16/E16,0)</f>
        <v/>
      </c>
      <c r="I16" s="4">
        <f>IFERROR(AVERAGEIFS(交易明細!$L$2:$L$237,交易明細!$B$2:$B$237,$A16,交易明細!$J$2:$J$237,"&lt;&gt;未平倉"),0)</f>
        <v/>
      </c>
      <c r="J16" s="4">
        <f>SUMIFS(交易明細!$L$2:$L$237,交易明細!$B$2:$B$237,$A16,交易明細!$J$2:$J$237,"&lt;&gt;未平倉")</f>
        <v/>
      </c>
      <c r="K16" s="5">
        <f>IFERROR(AVERAGEIFS(交易明細!$K$2:$K$237,交易明細!$B$2:$B$237,$A16,交易明細!$J$2:$J$237,"&lt;&gt;未平倉"),0)</f>
        <v/>
      </c>
      <c r="L16" s="2">
        <f>COUNTIFS(交易明細!$B$2:$B$237,$A16,交易明細!$J$2:$J$237,"未平倉")</f>
        <v/>
      </c>
    </row>
    <row r="17">
      <c r="A17" s="2" t="inlineStr">
        <is>
          <t>DASH_USDT_PERP</t>
        </is>
      </c>
      <c r="B17" s="2">
        <f>COUNTIFS(交易明細!$B$2:$B$237,$A17)</f>
        <v/>
      </c>
      <c r="C17" s="2">
        <f>COUNTIFS(交易明細!$B$2:$B$237,$A17,交易明細!$C$2:$C$237,"做多")</f>
        <v/>
      </c>
      <c r="D17" s="2">
        <f>COUNTIFS(交易明細!$B$2:$B$237,$A17,交易明細!$C$2:$C$237,"做空")</f>
        <v/>
      </c>
      <c r="E17" s="2">
        <f>F17+G17+COUNTIFS(交易明細!$B$2:$B$237,$A17,交易明細!$J$2:$J$237,"時間出場")</f>
        <v/>
      </c>
      <c r="F17" s="2">
        <f>COUNTIFS(交易明細!$B$2:$B$237,$A17,交易明細!$J$2:$J$237,"止盈")</f>
        <v/>
      </c>
      <c r="G17" s="2">
        <f>COUNTIFS(交易明細!$B$2:$B$237,$A17,交易明細!$J$2:$J$237,"止損")</f>
        <v/>
      </c>
      <c r="H17" s="4">
        <f>IFERROR(F17/E17,0)</f>
        <v/>
      </c>
      <c r="I17" s="4">
        <f>IFERROR(AVERAGEIFS(交易明細!$L$2:$L$237,交易明細!$B$2:$B$237,$A17,交易明細!$J$2:$J$237,"&lt;&gt;未平倉"),0)</f>
        <v/>
      </c>
      <c r="J17" s="4">
        <f>SUMIFS(交易明細!$L$2:$L$237,交易明細!$B$2:$B$237,$A17,交易明細!$J$2:$J$237,"&lt;&gt;未平倉")</f>
        <v/>
      </c>
      <c r="K17" s="5">
        <f>IFERROR(AVERAGEIFS(交易明細!$K$2:$K$237,交易明細!$B$2:$B$237,$A17,交易明細!$J$2:$J$237,"&lt;&gt;未平倉"),0)</f>
        <v/>
      </c>
      <c r="L17" s="2">
        <f>COUNTIFS(交易明細!$B$2:$B$237,$A17,交易明細!$J$2:$J$237,"未平倉")</f>
        <v/>
      </c>
    </row>
    <row r="18">
      <c r="A18" s="2" t="inlineStr">
        <is>
          <t>SKR_USDT_PERP</t>
        </is>
      </c>
      <c r="B18" s="2">
        <f>COUNTIFS(交易明細!$B$2:$B$237,$A18)</f>
        <v/>
      </c>
      <c r="C18" s="2">
        <f>COUNTIFS(交易明細!$B$2:$B$237,$A18,交易明細!$C$2:$C$237,"做多")</f>
        <v/>
      </c>
      <c r="D18" s="2">
        <f>COUNTIFS(交易明細!$B$2:$B$237,$A18,交易明細!$C$2:$C$237,"做空")</f>
        <v/>
      </c>
      <c r="E18" s="2">
        <f>F18+G18+COUNTIFS(交易明細!$B$2:$B$237,$A18,交易明細!$J$2:$J$237,"時間出場")</f>
        <v/>
      </c>
      <c r="F18" s="2">
        <f>COUNTIFS(交易明細!$B$2:$B$237,$A18,交易明細!$J$2:$J$237,"止盈")</f>
        <v/>
      </c>
      <c r="G18" s="2">
        <f>COUNTIFS(交易明細!$B$2:$B$237,$A18,交易明細!$J$2:$J$237,"止損")</f>
        <v/>
      </c>
      <c r="H18" s="4">
        <f>IFERROR(F18/E18,0)</f>
        <v/>
      </c>
      <c r="I18" s="4">
        <f>IFERROR(AVERAGEIFS(交易明細!$L$2:$L$237,交易明細!$B$2:$B$237,$A18,交易明細!$J$2:$J$237,"&lt;&gt;未平倉"),0)</f>
        <v/>
      </c>
      <c r="J18" s="4">
        <f>SUMIFS(交易明細!$L$2:$L$237,交易明細!$B$2:$B$237,$A18,交易明細!$J$2:$J$237,"&lt;&gt;未平倉")</f>
        <v/>
      </c>
      <c r="K18" s="5">
        <f>IFERROR(AVERAGEIFS(交易明細!$K$2:$K$237,交易明細!$B$2:$B$237,$A18,交易明細!$J$2:$J$237,"&lt;&gt;未平倉"),0)</f>
        <v/>
      </c>
      <c r="L18" s="2">
        <f>COUNTIFS(交易明細!$B$2:$B$237,$A18,交易明細!$J$2:$J$237,"未平倉")</f>
        <v/>
      </c>
    </row>
    <row r="19">
      <c r="A19" s="2" t="inlineStr">
        <is>
          <t>IOST_USDT_PERP</t>
        </is>
      </c>
      <c r="B19" s="2">
        <f>COUNTIFS(交易明細!$B$2:$B$237,$A19)</f>
        <v/>
      </c>
      <c r="C19" s="2">
        <f>COUNTIFS(交易明細!$B$2:$B$237,$A19,交易明細!$C$2:$C$237,"做多")</f>
        <v/>
      </c>
      <c r="D19" s="2">
        <f>COUNTIFS(交易明細!$B$2:$B$237,$A19,交易明細!$C$2:$C$237,"做空")</f>
        <v/>
      </c>
      <c r="E19" s="2">
        <f>F19+G19+COUNTIFS(交易明細!$B$2:$B$237,$A19,交易明細!$J$2:$J$237,"時間出場")</f>
        <v/>
      </c>
      <c r="F19" s="2">
        <f>COUNTIFS(交易明細!$B$2:$B$237,$A19,交易明細!$J$2:$J$237,"止盈")</f>
        <v/>
      </c>
      <c r="G19" s="2">
        <f>COUNTIFS(交易明細!$B$2:$B$237,$A19,交易明細!$J$2:$J$237,"止損")</f>
        <v/>
      </c>
      <c r="H19" s="4">
        <f>IFERROR(F19/E19,0)</f>
        <v/>
      </c>
      <c r="I19" s="4">
        <f>IFERROR(AVERAGEIFS(交易明細!$L$2:$L$237,交易明細!$B$2:$B$237,$A19,交易明細!$J$2:$J$237,"&lt;&gt;未平倉"),0)</f>
        <v/>
      </c>
      <c r="J19" s="4">
        <f>SUMIFS(交易明細!$L$2:$L$237,交易明細!$B$2:$B$237,$A19,交易明細!$J$2:$J$237,"&lt;&gt;未平倉")</f>
        <v/>
      </c>
      <c r="K19" s="5">
        <f>IFERROR(AVERAGEIFS(交易明細!$K$2:$K$237,交易明細!$B$2:$B$237,$A19,交易明細!$J$2:$J$237,"&lt;&gt;未平倉"),0)</f>
        <v/>
      </c>
      <c r="L19" s="2">
        <f>COUNTIFS(交易明細!$B$2:$B$237,$A19,交易明細!$J$2:$J$237,"未平倉")</f>
        <v/>
      </c>
    </row>
    <row r="20">
      <c r="A20" s="2" t="inlineStr">
        <is>
          <t>LAB_USDT_PERP</t>
        </is>
      </c>
      <c r="B20" s="2">
        <f>COUNTIFS(交易明細!$B$2:$B$237,$A20)</f>
        <v/>
      </c>
      <c r="C20" s="2">
        <f>COUNTIFS(交易明細!$B$2:$B$237,$A20,交易明細!$C$2:$C$237,"做多")</f>
        <v/>
      </c>
      <c r="D20" s="2">
        <f>COUNTIFS(交易明細!$B$2:$B$237,$A20,交易明細!$C$2:$C$237,"做空")</f>
        <v/>
      </c>
      <c r="E20" s="2">
        <f>F20+G20+COUNTIFS(交易明細!$B$2:$B$237,$A20,交易明細!$J$2:$J$237,"時間出場")</f>
        <v/>
      </c>
      <c r="F20" s="2">
        <f>COUNTIFS(交易明細!$B$2:$B$237,$A20,交易明細!$J$2:$J$237,"止盈")</f>
        <v/>
      </c>
      <c r="G20" s="2">
        <f>COUNTIFS(交易明細!$B$2:$B$237,$A20,交易明細!$J$2:$J$237,"止損")</f>
        <v/>
      </c>
      <c r="H20" s="4">
        <f>IFERROR(F20/E20,0)</f>
        <v/>
      </c>
      <c r="I20" s="4">
        <f>IFERROR(AVERAGEIFS(交易明細!$L$2:$L$237,交易明細!$B$2:$B$237,$A20,交易明細!$J$2:$J$237,"&lt;&gt;未平倉"),0)</f>
        <v/>
      </c>
      <c r="J20" s="4">
        <f>SUMIFS(交易明細!$L$2:$L$237,交易明細!$B$2:$B$237,$A20,交易明細!$J$2:$J$237,"&lt;&gt;未平倉")</f>
        <v/>
      </c>
      <c r="K20" s="5">
        <f>IFERROR(AVERAGEIFS(交易明細!$K$2:$K$237,交易明細!$B$2:$B$237,$A20,交易明細!$J$2:$J$237,"&lt;&gt;未平倉"),0)</f>
        <v/>
      </c>
      <c r="L20" s="2">
        <f>COUNTIFS(交易明細!$B$2:$B$237,$A20,交易明細!$J$2:$J$237,"未平倉")</f>
        <v/>
      </c>
    </row>
    <row r="21">
      <c r="A21" s="2" t="inlineStr">
        <is>
          <t>BTR_USDT_PERP</t>
        </is>
      </c>
      <c r="B21" s="2">
        <f>COUNTIFS(交易明細!$B$2:$B$237,$A21)</f>
        <v/>
      </c>
      <c r="C21" s="2">
        <f>COUNTIFS(交易明細!$B$2:$B$237,$A21,交易明細!$C$2:$C$237,"做多")</f>
        <v/>
      </c>
      <c r="D21" s="2">
        <f>COUNTIFS(交易明細!$B$2:$B$237,$A21,交易明細!$C$2:$C$237,"做空")</f>
        <v/>
      </c>
      <c r="E21" s="2">
        <f>F21+G21+COUNTIFS(交易明細!$B$2:$B$237,$A21,交易明細!$J$2:$J$237,"時間出場")</f>
        <v/>
      </c>
      <c r="F21" s="2">
        <f>COUNTIFS(交易明細!$B$2:$B$237,$A21,交易明細!$J$2:$J$237,"止盈")</f>
        <v/>
      </c>
      <c r="G21" s="2">
        <f>COUNTIFS(交易明細!$B$2:$B$237,$A21,交易明細!$J$2:$J$237,"止損")</f>
        <v/>
      </c>
      <c r="H21" s="4">
        <f>IFERROR(F21/E21,0)</f>
        <v/>
      </c>
      <c r="I21" s="4">
        <f>IFERROR(AVERAGEIFS(交易明細!$L$2:$L$237,交易明細!$B$2:$B$237,$A21,交易明細!$J$2:$J$237,"&lt;&gt;未平倉"),0)</f>
        <v/>
      </c>
      <c r="J21" s="4">
        <f>SUMIFS(交易明細!$L$2:$L$237,交易明細!$B$2:$B$237,$A21,交易明細!$J$2:$J$237,"&lt;&gt;未平倉")</f>
        <v/>
      </c>
      <c r="K21" s="5">
        <f>IFERROR(AVERAGEIFS(交易明細!$K$2:$K$237,交易明細!$B$2:$B$237,$A21,交易明細!$J$2:$J$237,"&lt;&gt;未平倉"),0)</f>
        <v/>
      </c>
      <c r="L21" s="2">
        <f>COUNTIFS(交易明細!$B$2:$B$237,$A21,交易明細!$J$2:$J$237,"未平倉")</f>
        <v/>
      </c>
    </row>
    <row r="22">
      <c r="A22" s="2" t="inlineStr">
        <is>
          <t>XPL_USDT_PERP</t>
        </is>
      </c>
      <c r="B22" s="2">
        <f>COUNTIFS(交易明細!$B$2:$B$237,$A22)</f>
        <v/>
      </c>
      <c r="C22" s="2">
        <f>COUNTIFS(交易明細!$B$2:$B$237,$A22,交易明細!$C$2:$C$237,"做多")</f>
        <v/>
      </c>
      <c r="D22" s="2">
        <f>COUNTIFS(交易明細!$B$2:$B$237,$A22,交易明細!$C$2:$C$237,"做空")</f>
        <v/>
      </c>
      <c r="E22" s="2">
        <f>F22+G22+COUNTIFS(交易明細!$B$2:$B$237,$A22,交易明細!$J$2:$J$237,"時間出場")</f>
        <v/>
      </c>
      <c r="F22" s="2">
        <f>COUNTIFS(交易明細!$B$2:$B$237,$A22,交易明細!$J$2:$J$237,"止盈")</f>
        <v/>
      </c>
      <c r="G22" s="2">
        <f>COUNTIFS(交易明細!$B$2:$B$237,$A22,交易明細!$J$2:$J$237,"止損")</f>
        <v/>
      </c>
      <c r="H22" s="4">
        <f>IFERROR(F22/E22,0)</f>
        <v/>
      </c>
      <c r="I22" s="4">
        <f>IFERROR(AVERAGEIFS(交易明細!$L$2:$L$237,交易明細!$B$2:$B$237,$A22,交易明細!$J$2:$J$237,"&lt;&gt;未平倉"),0)</f>
        <v/>
      </c>
      <c r="J22" s="4">
        <f>SUMIFS(交易明細!$L$2:$L$237,交易明細!$B$2:$B$237,$A22,交易明細!$J$2:$J$237,"&lt;&gt;未平倉")</f>
        <v/>
      </c>
      <c r="K22" s="5">
        <f>IFERROR(AVERAGEIFS(交易明細!$K$2:$K$237,交易明細!$B$2:$B$237,$A22,交易明細!$J$2:$J$237,"&lt;&gt;未平倉"),0)</f>
        <v/>
      </c>
      <c r="L22" s="2">
        <f>COUNTIFS(交易明細!$B$2:$B$237,$A22,交易明細!$J$2:$J$237,"未平倉")</f>
        <v/>
      </c>
    </row>
    <row r="23">
      <c r="A23" s="2" t="inlineStr">
        <is>
          <t>ENA_USDT_PERP</t>
        </is>
      </c>
      <c r="B23" s="2">
        <f>COUNTIFS(交易明細!$B$2:$B$237,$A23)</f>
        <v/>
      </c>
      <c r="C23" s="2">
        <f>COUNTIFS(交易明細!$B$2:$B$237,$A23,交易明細!$C$2:$C$237,"做多")</f>
        <v/>
      </c>
      <c r="D23" s="2">
        <f>COUNTIFS(交易明細!$B$2:$B$237,$A23,交易明細!$C$2:$C$237,"做空")</f>
        <v/>
      </c>
      <c r="E23" s="2">
        <f>F23+G23+COUNTIFS(交易明細!$B$2:$B$237,$A23,交易明細!$J$2:$J$237,"時間出場")</f>
        <v/>
      </c>
      <c r="F23" s="2">
        <f>COUNTIFS(交易明細!$B$2:$B$237,$A23,交易明細!$J$2:$J$237,"止盈")</f>
        <v/>
      </c>
      <c r="G23" s="2">
        <f>COUNTIFS(交易明細!$B$2:$B$237,$A23,交易明細!$J$2:$J$237,"止損")</f>
        <v/>
      </c>
      <c r="H23" s="4">
        <f>IFERROR(F23/E23,0)</f>
        <v/>
      </c>
      <c r="I23" s="4">
        <f>IFERROR(AVERAGEIFS(交易明細!$L$2:$L$237,交易明細!$B$2:$B$237,$A23,交易明細!$J$2:$J$237,"&lt;&gt;未平倉"),0)</f>
        <v/>
      </c>
      <c r="J23" s="4">
        <f>SUMIFS(交易明細!$L$2:$L$237,交易明細!$B$2:$B$237,$A23,交易明細!$J$2:$J$237,"&lt;&gt;未平倉")</f>
        <v/>
      </c>
      <c r="K23" s="5">
        <f>IFERROR(AVERAGEIFS(交易明細!$K$2:$K$237,交易明細!$B$2:$B$237,$A23,交易明細!$J$2:$J$237,"&lt;&gt;未平倉"),0)</f>
        <v/>
      </c>
      <c r="L23" s="2">
        <f>COUNTIFS(交易明細!$B$2:$B$237,$A23,交易明細!$J$2:$J$237,"未平倉")</f>
        <v/>
      </c>
    </row>
    <row r="24">
      <c r="A24" s="2" t="inlineStr">
        <is>
          <t>LSK_USDT_PERP</t>
        </is>
      </c>
      <c r="B24" s="2">
        <f>COUNTIFS(交易明細!$B$2:$B$237,$A24)</f>
        <v/>
      </c>
      <c r="C24" s="2">
        <f>COUNTIFS(交易明細!$B$2:$B$237,$A24,交易明細!$C$2:$C$237,"做多")</f>
        <v/>
      </c>
      <c r="D24" s="2">
        <f>COUNTIFS(交易明細!$B$2:$B$237,$A24,交易明細!$C$2:$C$237,"做空")</f>
        <v/>
      </c>
      <c r="E24" s="2">
        <f>F24+G24+COUNTIFS(交易明細!$B$2:$B$237,$A24,交易明細!$J$2:$J$237,"時間出場")</f>
        <v/>
      </c>
      <c r="F24" s="2">
        <f>COUNTIFS(交易明細!$B$2:$B$237,$A24,交易明細!$J$2:$J$237,"止盈")</f>
        <v/>
      </c>
      <c r="G24" s="2">
        <f>COUNTIFS(交易明細!$B$2:$B$237,$A24,交易明細!$J$2:$J$237,"止損")</f>
        <v/>
      </c>
      <c r="H24" s="4">
        <f>IFERROR(F24/E24,0)</f>
        <v/>
      </c>
      <c r="I24" s="4">
        <f>IFERROR(AVERAGEIFS(交易明細!$L$2:$L$237,交易明細!$B$2:$B$237,$A24,交易明細!$J$2:$J$237,"&lt;&gt;未平倉"),0)</f>
        <v/>
      </c>
      <c r="J24" s="4">
        <f>SUMIFS(交易明細!$L$2:$L$237,交易明細!$B$2:$B$237,$A24,交易明細!$J$2:$J$237,"&lt;&gt;未平倉")</f>
        <v/>
      </c>
      <c r="K24" s="5">
        <f>IFERROR(AVERAGEIFS(交易明細!$K$2:$K$237,交易明細!$B$2:$B$237,$A24,交易明細!$J$2:$J$237,"&lt;&gt;未平倉"),0)</f>
        <v/>
      </c>
      <c r="L24" s="2">
        <f>COUNTIFS(交易明細!$B$2:$B$237,$A24,交易明細!$J$2:$J$237,"未平倉")</f>
        <v/>
      </c>
    </row>
    <row r="25">
      <c r="A25" s="2" t="inlineStr">
        <is>
          <t>SKYAI_USDT_PERP</t>
        </is>
      </c>
      <c r="B25" s="2">
        <f>COUNTIFS(交易明細!$B$2:$B$237,$A25)</f>
        <v/>
      </c>
      <c r="C25" s="2">
        <f>COUNTIFS(交易明細!$B$2:$B$237,$A25,交易明細!$C$2:$C$237,"做多")</f>
        <v/>
      </c>
      <c r="D25" s="2">
        <f>COUNTIFS(交易明細!$B$2:$B$237,$A25,交易明細!$C$2:$C$237,"做空")</f>
        <v/>
      </c>
      <c r="E25" s="2">
        <f>F25+G25+COUNTIFS(交易明細!$B$2:$B$237,$A25,交易明細!$J$2:$J$237,"時間出場")</f>
        <v/>
      </c>
      <c r="F25" s="2">
        <f>COUNTIFS(交易明細!$B$2:$B$237,$A25,交易明細!$J$2:$J$237,"止盈")</f>
        <v/>
      </c>
      <c r="G25" s="2">
        <f>COUNTIFS(交易明細!$B$2:$B$237,$A25,交易明細!$J$2:$J$237,"止損")</f>
        <v/>
      </c>
      <c r="H25" s="4">
        <f>IFERROR(F25/E25,0)</f>
        <v/>
      </c>
      <c r="I25" s="4">
        <f>IFERROR(AVERAGEIFS(交易明細!$L$2:$L$237,交易明細!$B$2:$B$237,$A25,交易明細!$J$2:$J$237,"&lt;&gt;未平倉"),0)</f>
        <v/>
      </c>
      <c r="J25" s="4">
        <f>SUMIFS(交易明細!$L$2:$L$237,交易明細!$B$2:$B$237,$A25,交易明細!$J$2:$J$237,"&lt;&gt;未平倉")</f>
        <v/>
      </c>
      <c r="K25" s="5">
        <f>IFERROR(AVERAGEIFS(交易明細!$K$2:$K$237,交易明細!$B$2:$B$237,$A25,交易明細!$J$2:$J$237,"&lt;&gt;未平倉"),0)</f>
        <v/>
      </c>
      <c r="L25" s="2">
        <f>COUNTIFS(交易明細!$B$2:$B$237,$A25,交易明細!$J$2:$J$237,"未平倉")</f>
        <v/>
      </c>
    </row>
    <row r="26">
      <c r="A26" s="2" t="inlineStr">
        <is>
          <t>ACE_USDT_PERP</t>
        </is>
      </c>
      <c r="B26" s="2">
        <f>COUNTIFS(交易明細!$B$2:$B$237,$A26)</f>
        <v/>
      </c>
      <c r="C26" s="2">
        <f>COUNTIFS(交易明細!$B$2:$B$237,$A26,交易明細!$C$2:$C$237,"做多")</f>
        <v/>
      </c>
      <c r="D26" s="2">
        <f>COUNTIFS(交易明細!$B$2:$B$237,$A26,交易明細!$C$2:$C$237,"做空")</f>
        <v/>
      </c>
      <c r="E26" s="2">
        <f>F26+G26+COUNTIFS(交易明細!$B$2:$B$237,$A26,交易明細!$J$2:$J$237,"時間出場")</f>
        <v/>
      </c>
      <c r="F26" s="2">
        <f>COUNTIFS(交易明細!$B$2:$B$237,$A26,交易明細!$J$2:$J$237,"止盈")</f>
        <v/>
      </c>
      <c r="G26" s="2">
        <f>COUNTIFS(交易明細!$B$2:$B$237,$A26,交易明細!$J$2:$J$237,"止損")</f>
        <v/>
      </c>
      <c r="H26" s="4">
        <f>IFERROR(F26/E26,0)</f>
        <v/>
      </c>
      <c r="I26" s="4">
        <f>IFERROR(AVERAGEIFS(交易明細!$L$2:$L$237,交易明細!$B$2:$B$237,$A26,交易明細!$J$2:$J$237,"&lt;&gt;未平倉"),0)</f>
        <v/>
      </c>
      <c r="J26" s="4">
        <f>SUMIFS(交易明細!$L$2:$L$237,交易明細!$B$2:$B$237,$A26,交易明細!$J$2:$J$237,"&lt;&gt;未平倉")</f>
        <v/>
      </c>
      <c r="K26" s="5">
        <f>IFERROR(AVERAGEIFS(交易明細!$K$2:$K$237,交易明細!$B$2:$B$237,$A26,交易明細!$J$2:$J$237,"&lt;&gt;未平倉"),0)</f>
        <v/>
      </c>
      <c r="L26" s="2">
        <f>COUNTIFS(交易明細!$B$2:$B$237,$A26,交易明細!$J$2:$J$237,"未平倉")</f>
        <v/>
      </c>
    </row>
    <row r="27">
      <c r="A27" s="2" t="inlineStr">
        <is>
          <t>EDGE_USDT_PERP</t>
        </is>
      </c>
      <c r="B27" s="2">
        <f>COUNTIFS(交易明細!$B$2:$B$237,$A27)</f>
        <v/>
      </c>
      <c r="C27" s="2">
        <f>COUNTIFS(交易明細!$B$2:$B$237,$A27,交易明細!$C$2:$C$237,"做多")</f>
        <v/>
      </c>
      <c r="D27" s="2">
        <f>COUNTIFS(交易明細!$B$2:$B$237,$A27,交易明細!$C$2:$C$237,"做空")</f>
        <v/>
      </c>
      <c r="E27" s="2">
        <f>F27+G27+COUNTIFS(交易明細!$B$2:$B$237,$A27,交易明細!$J$2:$J$237,"時間出場")</f>
        <v/>
      </c>
      <c r="F27" s="2">
        <f>COUNTIFS(交易明細!$B$2:$B$237,$A27,交易明細!$J$2:$J$237,"止盈")</f>
        <v/>
      </c>
      <c r="G27" s="2">
        <f>COUNTIFS(交易明細!$B$2:$B$237,$A27,交易明細!$J$2:$J$237,"止損")</f>
        <v/>
      </c>
      <c r="H27" s="4">
        <f>IFERROR(F27/E27,0)</f>
        <v/>
      </c>
      <c r="I27" s="4">
        <f>IFERROR(AVERAGEIFS(交易明細!$L$2:$L$237,交易明細!$B$2:$B$237,$A27,交易明細!$J$2:$J$237,"&lt;&gt;未平倉"),0)</f>
        <v/>
      </c>
      <c r="J27" s="4">
        <f>SUMIFS(交易明細!$L$2:$L$237,交易明細!$B$2:$B$237,$A27,交易明細!$J$2:$J$237,"&lt;&gt;未平倉")</f>
        <v/>
      </c>
      <c r="K27" s="5">
        <f>IFERROR(AVERAGEIFS(交易明細!$K$2:$K$237,交易明細!$B$2:$B$237,$A27,交易明細!$J$2:$J$237,"&lt;&gt;未平倉"),0)</f>
        <v/>
      </c>
      <c r="L27" s="2">
        <f>COUNTIFS(交易明細!$B$2:$B$237,$A27,交易明細!$J$2:$J$237,"未平倉")</f>
        <v/>
      </c>
    </row>
    <row r="28">
      <c r="A28" s="2" t="inlineStr">
        <is>
          <t>4_USDT_PERP</t>
        </is>
      </c>
      <c r="B28" s="2">
        <f>COUNTIFS(交易明細!$B$2:$B$237,$A28)</f>
        <v/>
      </c>
      <c r="C28" s="2">
        <f>COUNTIFS(交易明細!$B$2:$B$237,$A28,交易明細!$C$2:$C$237,"做多")</f>
        <v/>
      </c>
      <c r="D28" s="2">
        <f>COUNTIFS(交易明細!$B$2:$B$237,$A28,交易明細!$C$2:$C$237,"做空")</f>
        <v/>
      </c>
      <c r="E28" s="2">
        <f>F28+G28+COUNTIFS(交易明細!$B$2:$B$237,$A28,交易明細!$J$2:$J$237,"時間出場")</f>
        <v/>
      </c>
      <c r="F28" s="2">
        <f>COUNTIFS(交易明細!$B$2:$B$237,$A28,交易明細!$J$2:$J$237,"止盈")</f>
        <v/>
      </c>
      <c r="G28" s="2">
        <f>COUNTIFS(交易明細!$B$2:$B$237,$A28,交易明細!$J$2:$J$237,"止損")</f>
        <v/>
      </c>
      <c r="H28" s="4">
        <f>IFERROR(F28/E28,0)</f>
        <v/>
      </c>
      <c r="I28" s="4">
        <f>IFERROR(AVERAGEIFS(交易明細!$L$2:$L$237,交易明細!$B$2:$B$237,$A28,交易明細!$J$2:$J$237,"&lt;&gt;未平倉"),0)</f>
        <v/>
      </c>
      <c r="J28" s="4">
        <f>SUMIFS(交易明細!$L$2:$L$237,交易明細!$B$2:$B$237,$A28,交易明細!$J$2:$J$237,"&lt;&gt;未平倉")</f>
        <v/>
      </c>
      <c r="K28" s="5">
        <f>IFERROR(AVERAGEIFS(交易明細!$K$2:$K$237,交易明細!$B$2:$B$237,$A28,交易明細!$J$2:$J$237,"&lt;&gt;未平倉"),0)</f>
        <v/>
      </c>
      <c r="L28" s="2">
        <f>COUNTIFS(交易明細!$B$2:$B$237,$A28,交易明細!$J$2:$J$237,"未平倉")</f>
        <v/>
      </c>
    </row>
    <row r="29">
      <c r="A29" s="2" t="inlineStr">
        <is>
          <t>ZEC_USDT_PERP</t>
        </is>
      </c>
      <c r="B29" s="2">
        <f>COUNTIFS(交易明細!$B$2:$B$237,$A29)</f>
        <v/>
      </c>
      <c r="C29" s="2">
        <f>COUNTIFS(交易明細!$B$2:$B$237,$A29,交易明細!$C$2:$C$237,"做多")</f>
        <v/>
      </c>
      <c r="D29" s="2">
        <f>COUNTIFS(交易明細!$B$2:$B$237,$A29,交易明細!$C$2:$C$237,"做空")</f>
        <v/>
      </c>
      <c r="E29" s="2">
        <f>F29+G29+COUNTIFS(交易明細!$B$2:$B$237,$A29,交易明細!$J$2:$J$237,"時間出場")</f>
        <v/>
      </c>
      <c r="F29" s="2">
        <f>COUNTIFS(交易明細!$B$2:$B$237,$A29,交易明細!$J$2:$J$237,"止盈")</f>
        <v/>
      </c>
      <c r="G29" s="2">
        <f>COUNTIFS(交易明細!$B$2:$B$237,$A29,交易明細!$J$2:$J$237,"止損")</f>
        <v/>
      </c>
      <c r="H29" s="4">
        <f>IFERROR(F29/E29,0)</f>
        <v/>
      </c>
      <c r="I29" s="4">
        <f>IFERROR(AVERAGEIFS(交易明細!$L$2:$L$237,交易明細!$B$2:$B$237,$A29,交易明細!$J$2:$J$237,"&lt;&gt;未平倉"),0)</f>
        <v/>
      </c>
      <c r="J29" s="4">
        <f>SUMIFS(交易明細!$L$2:$L$237,交易明細!$B$2:$B$237,$A29,交易明細!$J$2:$J$237,"&lt;&gt;未平倉")</f>
        <v/>
      </c>
      <c r="K29" s="5">
        <f>IFERROR(AVERAGEIFS(交易明細!$K$2:$K$237,交易明細!$B$2:$B$237,$A29,交易明細!$J$2:$J$237,"&lt;&gt;未平倉"),0)</f>
        <v/>
      </c>
      <c r="L29" s="2">
        <f>COUNTIFS(交易明細!$B$2:$B$237,$A29,交易明細!$J$2:$J$237,"未平倉")</f>
        <v/>
      </c>
    </row>
    <row r="30">
      <c r="A30" s="2" t="inlineStr">
        <is>
          <t>WLD_USDT_PERP</t>
        </is>
      </c>
      <c r="B30" s="2">
        <f>COUNTIFS(交易明細!$B$2:$B$237,$A30)</f>
        <v/>
      </c>
      <c r="C30" s="2">
        <f>COUNTIFS(交易明細!$B$2:$B$237,$A30,交易明細!$C$2:$C$237,"做多")</f>
        <v/>
      </c>
      <c r="D30" s="2">
        <f>COUNTIFS(交易明細!$B$2:$B$237,$A30,交易明細!$C$2:$C$237,"做空")</f>
        <v/>
      </c>
      <c r="E30" s="2">
        <f>F30+G30+COUNTIFS(交易明細!$B$2:$B$237,$A30,交易明細!$J$2:$J$237,"時間出場")</f>
        <v/>
      </c>
      <c r="F30" s="2">
        <f>COUNTIFS(交易明細!$B$2:$B$237,$A30,交易明細!$J$2:$J$237,"止盈")</f>
        <v/>
      </c>
      <c r="G30" s="2">
        <f>COUNTIFS(交易明細!$B$2:$B$237,$A30,交易明細!$J$2:$J$237,"止損")</f>
        <v/>
      </c>
      <c r="H30" s="4">
        <f>IFERROR(F30/E30,0)</f>
        <v/>
      </c>
      <c r="I30" s="4">
        <f>IFERROR(AVERAGEIFS(交易明細!$L$2:$L$237,交易明細!$B$2:$B$237,$A30,交易明細!$J$2:$J$237,"&lt;&gt;未平倉"),0)</f>
        <v/>
      </c>
      <c r="J30" s="4">
        <f>SUMIFS(交易明細!$L$2:$L$237,交易明細!$B$2:$B$237,$A30,交易明細!$J$2:$J$237,"&lt;&gt;未平倉")</f>
        <v/>
      </c>
      <c r="K30" s="5">
        <f>IFERROR(AVERAGEIFS(交易明細!$K$2:$K$237,交易明細!$B$2:$B$237,$A30,交易明細!$J$2:$J$237,"&lt;&gt;未平倉"),0)</f>
        <v/>
      </c>
      <c r="L30" s="2">
        <f>COUNTIFS(交易明細!$B$2:$B$237,$A30,交易明細!$J$2:$J$237,"未平倉")</f>
        <v/>
      </c>
    </row>
    <row r="31">
      <c r="A31" s="2" t="inlineStr">
        <is>
          <t>AERO_USDT_PERP</t>
        </is>
      </c>
      <c r="B31" s="2">
        <f>COUNTIFS(交易明細!$B$2:$B$237,$A31)</f>
        <v/>
      </c>
      <c r="C31" s="2">
        <f>COUNTIFS(交易明細!$B$2:$B$237,$A31,交易明細!$C$2:$C$237,"做多")</f>
        <v/>
      </c>
      <c r="D31" s="2">
        <f>COUNTIFS(交易明細!$B$2:$B$237,$A31,交易明細!$C$2:$C$237,"做空")</f>
        <v/>
      </c>
      <c r="E31" s="2">
        <f>F31+G31+COUNTIFS(交易明細!$B$2:$B$237,$A31,交易明細!$J$2:$J$237,"時間出場")</f>
        <v/>
      </c>
      <c r="F31" s="2">
        <f>COUNTIFS(交易明細!$B$2:$B$237,$A31,交易明細!$J$2:$J$237,"止盈")</f>
        <v/>
      </c>
      <c r="G31" s="2">
        <f>COUNTIFS(交易明細!$B$2:$B$237,$A31,交易明細!$J$2:$J$237,"止損")</f>
        <v/>
      </c>
      <c r="H31" s="4">
        <f>IFERROR(F31/E31,0)</f>
        <v/>
      </c>
      <c r="I31" s="4">
        <f>IFERROR(AVERAGEIFS(交易明細!$L$2:$L$237,交易明細!$B$2:$B$237,$A31,交易明細!$J$2:$J$237,"&lt;&gt;未平倉"),0)</f>
        <v/>
      </c>
      <c r="J31" s="4">
        <f>SUMIFS(交易明細!$L$2:$L$237,交易明細!$B$2:$B$237,$A31,交易明細!$J$2:$J$237,"&lt;&gt;未平倉")</f>
        <v/>
      </c>
      <c r="K31" s="5">
        <f>IFERROR(AVERAGEIFS(交易明細!$K$2:$K$237,交易明細!$B$2:$B$237,$A31,交易明細!$J$2:$J$237,"&lt;&gt;未平倉"),0)</f>
        <v/>
      </c>
      <c r="L31" s="2">
        <f>COUNTIFS(交易明細!$B$2:$B$237,$A31,交易明細!$J$2:$J$237,"未平倉")</f>
        <v/>
      </c>
    </row>
    <row r="32">
      <c r="A32" s="2" t="inlineStr">
        <is>
          <t>DOT_USDT_PERP</t>
        </is>
      </c>
      <c r="B32" s="2">
        <f>COUNTIFS(交易明細!$B$2:$B$237,$A32)</f>
        <v/>
      </c>
      <c r="C32" s="2">
        <f>COUNTIFS(交易明細!$B$2:$B$237,$A32,交易明細!$C$2:$C$237,"做多")</f>
        <v/>
      </c>
      <c r="D32" s="2">
        <f>COUNTIFS(交易明細!$B$2:$B$237,$A32,交易明細!$C$2:$C$237,"做空")</f>
        <v/>
      </c>
      <c r="E32" s="2">
        <f>F32+G32+COUNTIFS(交易明細!$B$2:$B$237,$A32,交易明細!$J$2:$J$237,"時間出場")</f>
        <v/>
      </c>
      <c r="F32" s="2">
        <f>COUNTIFS(交易明細!$B$2:$B$237,$A32,交易明細!$J$2:$J$237,"止盈")</f>
        <v/>
      </c>
      <c r="G32" s="2">
        <f>COUNTIFS(交易明細!$B$2:$B$237,$A32,交易明細!$J$2:$J$237,"止損")</f>
        <v/>
      </c>
      <c r="H32" s="4">
        <f>IFERROR(F32/E32,0)</f>
        <v/>
      </c>
      <c r="I32" s="4">
        <f>IFERROR(AVERAGEIFS(交易明細!$L$2:$L$237,交易明細!$B$2:$B$237,$A32,交易明細!$J$2:$J$237,"&lt;&gt;未平倉"),0)</f>
        <v/>
      </c>
      <c r="J32" s="4">
        <f>SUMIFS(交易明細!$L$2:$L$237,交易明細!$B$2:$B$237,$A32,交易明細!$J$2:$J$237,"&lt;&gt;未平倉")</f>
        <v/>
      </c>
      <c r="K32" s="5">
        <f>IFERROR(AVERAGEIFS(交易明細!$K$2:$K$237,交易明細!$B$2:$B$237,$A32,交易明細!$J$2:$J$237,"&lt;&gt;未平倉"),0)</f>
        <v/>
      </c>
      <c r="L32" s="2">
        <f>COUNTIFS(交易明細!$B$2:$B$237,$A32,交易明細!$J$2:$J$237,"未平倉")</f>
        <v/>
      </c>
    </row>
    <row r="33">
      <c r="A33" s="2" t="inlineStr">
        <is>
          <t>RIVER_USDT_PERP</t>
        </is>
      </c>
      <c r="B33" s="2">
        <f>COUNTIFS(交易明細!$B$2:$B$237,$A33)</f>
        <v/>
      </c>
      <c r="C33" s="2">
        <f>COUNTIFS(交易明細!$B$2:$B$237,$A33,交易明細!$C$2:$C$237,"做多")</f>
        <v/>
      </c>
      <c r="D33" s="2">
        <f>COUNTIFS(交易明細!$B$2:$B$237,$A33,交易明細!$C$2:$C$237,"做空")</f>
        <v/>
      </c>
      <c r="E33" s="2">
        <f>F33+G33+COUNTIFS(交易明細!$B$2:$B$237,$A33,交易明細!$J$2:$J$237,"時間出場")</f>
        <v/>
      </c>
      <c r="F33" s="2">
        <f>COUNTIFS(交易明細!$B$2:$B$237,$A33,交易明細!$J$2:$J$237,"止盈")</f>
        <v/>
      </c>
      <c r="G33" s="2">
        <f>COUNTIFS(交易明細!$B$2:$B$237,$A33,交易明細!$J$2:$J$237,"止損")</f>
        <v/>
      </c>
      <c r="H33" s="4">
        <f>IFERROR(F33/E33,0)</f>
        <v/>
      </c>
      <c r="I33" s="4">
        <f>IFERROR(AVERAGEIFS(交易明細!$L$2:$L$237,交易明細!$B$2:$B$237,$A33,交易明細!$J$2:$J$237,"&lt;&gt;未平倉"),0)</f>
        <v/>
      </c>
      <c r="J33" s="4">
        <f>SUMIFS(交易明細!$L$2:$L$237,交易明細!$B$2:$B$237,$A33,交易明細!$J$2:$J$237,"&lt;&gt;未平倉")</f>
        <v/>
      </c>
      <c r="K33" s="5">
        <f>IFERROR(AVERAGEIFS(交易明細!$K$2:$K$237,交易明細!$B$2:$B$237,$A33,交易明細!$J$2:$J$237,"&lt;&gt;未平倉"),0)</f>
        <v/>
      </c>
      <c r="L33" s="2">
        <f>COUNTIFS(交易明細!$B$2:$B$237,$A33,交易明細!$J$2:$J$237,"未平倉")</f>
        <v/>
      </c>
    </row>
    <row r="34">
      <c r="A34" s="2" t="inlineStr">
        <is>
          <t>FIL_USDT_PERP</t>
        </is>
      </c>
      <c r="B34" s="2">
        <f>COUNTIFS(交易明細!$B$2:$B$237,$A34)</f>
        <v/>
      </c>
      <c r="C34" s="2">
        <f>COUNTIFS(交易明細!$B$2:$B$237,$A34,交易明細!$C$2:$C$237,"做多")</f>
        <v/>
      </c>
      <c r="D34" s="2">
        <f>COUNTIFS(交易明細!$B$2:$B$237,$A34,交易明細!$C$2:$C$237,"做空")</f>
        <v/>
      </c>
      <c r="E34" s="2">
        <f>F34+G34+COUNTIFS(交易明細!$B$2:$B$237,$A34,交易明細!$J$2:$J$237,"時間出場")</f>
        <v/>
      </c>
      <c r="F34" s="2">
        <f>COUNTIFS(交易明細!$B$2:$B$237,$A34,交易明細!$J$2:$J$237,"止盈")</f>
        <v/>
      </c>
      <c r="G34" s="2">
        <f>COUNTIFS(交易明細!$B$2:$B$237,$A34,交易明細!$J$2:$J$237,"止損")</f>
        <v/>
      </c>
      <c r="H34" s="4">
        <f>IFERROR(F34/E34,0)</f>
        <v/>
      </c>
      <c r="I34" s="4">
        <f>IFERROR(AVERAGEIFS(交易明細!$L$2:$L$237,交易明細!$B$2:$B$237,$A34,交易明細!$J$2:$J$237,"&lt;&gt;未平倉"),0)</f>
        <v/>
      </c>
      <c r="J34" s="4">
        <f>SUMIFS(交易明細!$L$2:$L$237,交易明細!$B$2:$B$237,$A34,交易明細!$J$2:$J$237,"&lt;&gt;未平倉")</f>
        <v/>
      </c>
      <c r="K34" s="5">
        <f>IFERROR(AVERAGEIFS(交易明細!$K$2:$K$237,交易明細!$B$2:$B$237,$A34,交易明細!$J$2:$J$237,"&lt;&gt;未平倉"),0)</f>
        <v/>
      </c>
      <c r="L34" s="2">
        <f>COUNTIFS(交易明細!$B$2:$B$237,$A34,交易明細!$J$2:$J$237,"未平倉")</f>
        <v/>
      </c>
    </row>
    <row r="35">
      <c r="A35" s="2" t="inlineStr">
        <is>
          <t>XMR_USDT_PERP</t>
        </is>
      </c>
      <c r="B35" s="2">
        <f>COUNTIFS(交易明細!$B$2:$B$237,$A35)</f>
        <v/>
      </c>
      <c r="C35" s="2">
        <f>COUNTIFS(交易明細!$B$2:$B$237,$A35,交易明細!$C$2:$C$237,"做多")</f>
        <v/>
      </c>
      <c r="D35" s="2">
        <f>COUNTIFS(交易明細!$B$2:$B$237,$A35,交易明細!$C$2:$C$237,"做空")</f>
        <v/>
      </c>
      <c r="E35" s="2">
        <f>F35+G35+COUNTIFS(交易明細!$B$2:$B$237,$A35,交易明細!$J$2:$J$237,"時間出場")</f>
        <v/>
      </c>
      <c r="F35" s="2">
        <f>COUNTIFS(交易明細!$B$2:$B$237,$A35,交易明細!$J$2:$J$237,"止盈")</f>
        <v/>
      </c>
      <c r="G35" s="2">
        <f>COUNTIFS(交易明細!$B$2:$B$237,$A35,交易明細!$J$2:$J$237,"止損")</f>
        <v/>
      </c>
      <c r="H35" s="4">
        <f>IFERROR(F35/E35,0)</f>
        <v/>
      </c>
      <c r="I35" s="4">
        <f>IFERROR(AVERAGEIFS(交易明細!$L$2:$L$237,交易明細!$B$2:$B$237,$A35,交易明細!$J$2:$J$237,"&lt;&gt;未平倉"),0)</f>
        <v/>
      </c>
      <c r="J35" s="4">
        <f>SUMIFS(交易明細!$L$2:$L$237,交易明細!$B$2:$B$237,$A35,交易明細!$J$2:$J$237,"&lt;&gt;未平倉")</f>
        <v/>
      </c>
      <c r="K35" s="5">
        <f>IFERROR(AVERAGEIFS(交易明細!$K$2:$K$237,交易明細!$B$2:$B$237,$A35,交易明細!$J$2:$J$237,"&lt;&gt;未平倉"),0)</f>
        <v/>
      </c>
      <c r="L35" s="2">
        <f>COUNTIFS(交易明細!$B$2:$B$237,$A35,交易明細!$J$2:$J$237,"未平倉")</f>
        <v/>
      </c>
    </row>
    <row r="36">
      <c r="A36" s="2" t="inlineStr">
        <is>
          <t>CRV_USDT_PERP</t>
        </is>
      </c>
      <c r="B36" s="2">
        <f>COUNTIFS(交易明細!$B$2:$B$237,$A36)</f>
        <v/>
      </c>
      <c r="C36" s="2">
        <f>COUNTIFS(交易明細!$B$2:$B$237,$A36,交易明細!$C$2:$C$237,"做多")</f>
        <v/>
      </c>
      <c r="D36" s="2">
        <f>COUNTIFS(交易明細!$B$2:$B$237,$A36,交易明細!$C$2:$C$237,"做空")</f>
        <v/>
      </c>
      <c r="E36" s="2">
        <f>F36+G36+COUNTIFS(交易明細!$B$2:$B$237,$A36,交易明細!$J$2:$J$237,"時間出場")</f>
        <v/>
      </c>
      <c r="F36" s="2">
        <f>COUNTIFS(交易明細!$B$2:$B$237,$A36,交易明細!$J$2:$J$237,"止盈")</f>
        <v/>
      </c>
      <c r="G36" s="2">
        <f>COUNTIFS(交易明細!$B$2:$B$237,$A36,交易明細!$J$2:$J$237,"止損")</f>
        <v/>
      </c>
      <c r="H36" s="4">
        <f>IFERROR(F36/E36,0)</f>
        <v/>
      </c>
      <c r="I36" s="4">
        <f>IFERROR(AVERAGEIFS(交易明細!$L$2:$L$237,交易明細!$B$2:$B$237,$A36,交易明細!$J$2:$J$237,"&lt;&gt;未平倉"),0)</f>
        <v/>
      </c>
      <c r="J36" s="4">
        <f>SUMIFS(交易明細!$L$2:$L$237,交易明細!$B$2:$B$237,$A36,交易明細!$J$2:$J$237,"&lt;&gt;未平倉")</f>
        <v/>
      </c>
      <c r="K36" s="5">
        <f>IFERROR(AVERAGEIFS(交易明細!$K$2:$K$237,交易明細!$B$2:$B$237,$A36,交易明細!$J$2:$J$237,"&lt;&gt;未平倉"),0)</f>
        <v/>
      </c>
      <c r="L36" s="2">
        <f>COUNTIFS(交易明細!$B$2:$B$237,$A36,交易明細!$J$2:$J$237,"未平倉")</f>
        <v/>
      </c>
    </row>
    <row r="37">
      <c r="A37" s="2" t="inlineStr">
        <is>
          <t>MAGMA_USDT_PERP</t>
        </is>
      </c>
      <c r="B37" s="2">
        <f>COUNTIFS(交易明細!$B$2:$B$237,$A37)</f>
        <v/>
      </c>
      <c r="C37" s="2">
        <f>COUNTIFS(交易明細!$B$2:$B$237,$A37,交易明細!$C$2:$C$237,"做多")</f>
        <v/>
      </c>
      <c r="D37" s="2">
        <f>COUNTIFS(交易明細!$B$2:$B$237,$A37,交易明細!$C$2:$C$237,"做空")</f>
        <v/>
      </c>
      <c r="E37" s="2">
        <f>F37+G37+COUNTIFS(交易明細!$B$2:$B$237,$A37,交易明細!$J$2:$J$237,"時間出場")</f>
        <v/>
      </c>
      <c r="F37" s="2">
        <f>COUNTIFS(交易明細!$B$2:$B$237,$A37,交易明細!$J$2:$J$237,"止盈")</f>
        <v/>
      </c>
      <c r="G37" s="2">
        <f>COUNTIFS(交易明細!$B$2:$B$237,$A37,交易明細!$J$2:$J$237,"止損")</f>
        <v/>
      </c>
      <c r="H37" s="4">
        <f>IFERROR(F37/E37,0)</f>
        <v/>
      </c>
      <c r="I37" s="4">
        <f>IFERROR(AVERAGEIFS(交易明細!$L$2:$L$237,交易明細!$B$2:$B$237,$A37,交易明細!$J$2:$J$237,"&lt;&gt;未平倉"),0)</f>
        <v/>
      </c>
      <c r="J37" s="4">
        <f>SUMIFS(交易明細!$L$2:$L$237,交易明細!$B$2:$B$237,$A37,交易明細!$J$2:$J$237,"&lt;&gt;未平倉")</f>
        <v/>
      </c>
      <c r="K37" s="5">
        <f>IFERROR(AVERAGEIFS(交易明細!$K$2:$K$237,交易明細!$B$2:$B$237,$A37,交易明細!$J$2:$J$237,"&lt;&gt;未平倉"),0)</f>
        <v/>
      </c>
      <c r="L37" s="2">
        <f>COUNTIFS(交易明細!$B$2:$B$237,$A37,交易明細!$J$2:$J$237,"未平倉")</f>
        <v/>
      </c>
    </row>
    <row r="38">
      <c r="A38" s="2" t="inlineStr">
        <is>
          <t>TRUMP_USDT_PERP</t>
        </is>
      </c>
      <c r="B38" s="2">
        <f>COUNTIFS(交易明細!$B$2:$B$237,$A38)</f>
        <v/>
      </c>
      <c r="C38" s="2">
        <f>COUNTIFS(交易明細!$B$2:$B$237,$A38,交易明細!$C$2:$C$237,"做多")</f>
        <v/>
      </c>
      <c r="D38" s="2">
        <f>COUNTIFS(交易明細!$B$2:$B$237,$A38,交易明細!$C$2:$C$237,"做空")</f>
        <v/>
      </c>
      <c r="E38" s="2">
        <f>F38+G38+COUNTIFS(交易明細!$B$2:$B$237,$A38,交易明細!$J$2:$J$237,"時間出場")</f>
        <v/>
      </c>
      <c r="F38" s="2">
        <f>COUNTIFS(交易明細!$B$2:$B$237,$A38,交易明細!$J$2:$J$237,"止盈")</f>
        <v/>
      </c>
      <c r="G38" s="2">
        <f>COUNTIFS(交易明細!$B$2:$B$237,$A38,交易明細!$J$2:$J$237,"止損")</f>
        <v/>
      </c>
      <c r="H38" s="4">
        <f>IFERROR(F38/E38,0)</f>
        <v/>
      </c>
      <c r="I38" s="4">
        <f>IFERROR(AVERAGEIFS(交易明細!$L$2:$L$237,交易明細!$B$2:$B$237,$A38,交易明細!$J$2:$J$237,"&lt;&gt;未平倉"),0)</f>
        <v/>
      </c>
      <c r="J38" s="4">
        <f>SUMIFS(交易明細!$L$2:$L$237,交易明細!$B$2:$B$237,$A38,交易明細!$J$2:$J$237,"&lt;&gt;未平倉")</f>
        <v/>
      </c>
      <c r="K38" s="5">
        <f>IFERROR(AVERAGEIFS(交易明細!$K$2:$K$237,交易明細!$B$2:$B$237,$A38,交易明細!$J$2:$J$237,"&lt;&gt;未平倉"),0)</f>
        <v/>
      </c>
      <c r="L38" s="2">
        <f>COUNTIFS(交易明細!$B$2:$B$237,$A38,交易明細!$J$2:$J$237,"未平倉")</f>
        <v/>
      </c>
    </row>
    <row r="39">
      <c r="A39" s="2" t="inlineStr">
        <is>
          <t>CHIP_USDT_PERP</t>
        </is>
      </c>
      <c r="B39" s="2">
        <f>COUNTIFS(交易明細!$B$2:$B$237,$A39)</f>
        <v/>
      </c>
      <c r="C39" s="2">
        <f>COUNTIFS(交易明細!$B$2:$B$237,$A39,交易明細!$C$2:$C$237,"做多")</f>
        <v/>
      </c>
      <c r="D39" s="2">
        <f>COUNTIFS(交易明細!$B$2:$B$237,$A39,交易明細!$C$2:$C$237,"做空")</f>
        <v/>
      </c>
      <c r="E39" s="2">
        <f>F39+G39+COUNTIFS(交易明細!$B$2:$B$237,$A39,交易明細!$J$2:$J$237,"時間出場")</f>
        <v/>
      </c>
      <c r="F39" s="2">
        <f>COUNTIFS(交易明細!$B$2:$B$237,$A39,交易明細!$J$2:$J$237,"止盈")</f>
        <v/>
      </c>
      <c r="G39" s="2">
        <f>COUNTIFS(交易明細!$B$2:$B$237,$A39,交易明細!$J$2:$J$237,"止損")</f>
        <v/>
      </c>
      <c r="H39" s="4">
        <f>IFERROR(F39/E39,0)</f>
        <v/>
      </c>
      <c r="I39" s="4">
        <f>IFERROR(AVERAGEIFS(交易明細!$L$2:$L$237,交易明細!$B$2:$B$237,$A39,交易明細!$J$2:$J$237,"&lt;&gt;未平倉"),0)</f>
        <v/>
      </c>
      <c r="J39" s="4">
        <f>SUMIFS(交易明細!$L$2:$L$237,交易明細!$B$2:$B$237,$A39,交易明細!$J$2:$J$237,"&lt;&gt;未平倉")</f>
        <v/>
      </c>
      <c r="K39" s="5">
        <f>IFERROR(AVERAGEIFS(交易明細!$K$2:$K$237,交易明細!$B$2:$B$237,$A39,交易明細!$J$2:$J$237,"&lt;&gt;未平倉"),0)</f>
        <v/>
      </c>
      <c r="L39" s="2">
        <f>COUNTIFS(交易明細!$B$2:$B$237,$A39,交易明細!$J$2:$J$237,"未平倉")</f>
        <v/>
      </c>
    </row>
    <row r="40">
      <c r="A40" s="2" t="inlineStr">
        <is>
          <t>PENGU_USDT_PERP</t>
        </is>
      </c>
      <c r="B40" s="2">
        <f>COUNTIFS(交易明細!$B$2:$B$237,$A40)</f>
        <v/>
      </c>
      <c r="C40" s="2">
        <f>COUNTIFS(交易明細!$B$2:$B$237,$A40,交易明細!$C$2:$C$237,"做多")</f>
        <v/>
      </c>
      <c r="D40" s="2">
        <f>COUNTIFS(交易明細!$B$2:$B$237,$A40,交易明細!$C$2:$C$237,"做空")</f>
        <v/>
      </c>
      <c r="E40" s="2">
        <f>F40+G40+COUNTIFS(交易明細!$B$2:$B$237,$A40,交易明細!$J$2:$J$237,"時間出場")</f>
        <v/>
      </c>
      <c r="F40" s="2">
        <f>COUNTIFS(交易明細!$B$2:$B$237,$A40,交易明細!$J$2:$J$237,"止盈")</f>
        <v/>
      </c>
      <c r="G40" s="2">
        <f>COUNTIFS(交易明細!$B$2:$B$237,$A40,交易明細!$J$2:$J$237,"止損")</f>
        <v/>
      </c>
      <c r="H40" s="4">
        <f>IFERROR(F40/E40,0)</f>
        <v/>
      </c>
      <c r="I40" s="4">
        <f>IFERROR(AVERAGEIFS(交易明細!$L$2:$L$237,交易明細!$B$2:$B$237,$A40,交易明細!$J$2:$J$237,"&lt;&gt;未平倉"),0)</f>
        <v/>
      </c>
      <c r="J40" s="4">
        <f>SUMIFS(交易明細!$L$2:$L$237,交易明細!$B$2:$B$237,$A40,交易明細!$J$2:$J$237,"&lt;&gt;未平倉")</f>
        <v/>
      </c>
      <c r="K40" s="5">
        <f>IFERROR(AVERAGEIFS(交易明細!$K$2:$K$237,交易明細!$B$2:$B$237,$A40,交易明細!$J$2:$J$237,"&lt;&gt;未平倉"),0)</f>
        <v/>
      </c>
      <c r="L40" s="2">
        <f>COUNTIFS(交易明細!$B$2:$B$237,$A40,交易明細!$J$2:$J$237,"未平倉")</f>
        <v/>
      </c>
    </row>
    <row r="41">
      <c r="A41" s="2" t="inlineStr">
        <is>
          <t>FARTCOIN_USDT_PERP</t>
        </is>
      </c>
      <c r="B41" s="2">
        <f>COUNTIFS(交易明細!$B$2:$B$237,$A41)</f>
        <v/>
      </c>
      <c r="C41" s="2">
        <f>COUNTIFS(交易明細!$B$2:$B$237,$A41,交易明細!$C$2:$C$237,"做多")</f>
        <v/>
      </c>
      <c r="D41" s="2">
        <f>COUNTIFS(交易明細!$B$2:$B$237,$A41,交易明細!$C$2:$C$237,"做空")</f>
        <v/>
      </c>
      <c r="E41" s="2">
        <f>F41+G41+COUNTIFS(交易明細!$B$2:$B$237,$A41,交易明細!$J$2:$J$237,"時間出場")</f>
        <v/>
      </c>
      <c r="F41" s="2">
        <f>COUNTIFS(交易明細!$B$2:$B$237,$A41,交易明細!$J$2:$J$237,"止盈")</f>
        <v/>
      </c>
      <c r="G41" s="2">
        <f>COUNTIFS(交易明細!$B$2:$B$237,$A41,交易明細!$J$2:$J$237,"止損")</f>
        <v/>
      </c>
      <c r="H41" s="4">
        <f>IFERROR(F41/E41,0)</f>
        <v/>
      </c>
      <c r="I41" s="4">
        <f>IFERROR(AVERAGEIFS(交易明細!$L$2:$L$237,交易明細!$B$2:$B$237,$A41,交易明細!$J$2:$J$237,"&lt;&gt;未平倉"),0)</f>
        <v/>
      </c>
      <c r="J41" s="4">
        <f>SUMIFS(交易明細!$L$2:$L$237,交易明細!$B$2:$B$237,$A41,交易明細!$J$2:$J$237,"&lt;&gt;未平倉")</f>
        <v/>
      </c>
      <c r="K41" s="5">
        <f>IFERROR(AVERAGEIFS(交易明細!$K$2:$K$237,交易明細!$B$2:$B$237,$A41,交易明細!$J$2:$J$237,"&lt;&gt;未平倉"),0)</f>
        <v/>
      </c>
      <c r="L41" s="2">
        <f>COUNTIFS(交易明細!$B$2:$B$237,$A41,交易明細!$J$2:$J$237,"未平倉")</f>
        <v/>
      </c>
    </row>
    <row r="42">
      <c r="A42" s="2" t="inlineStr">
        <is>
          <t>TRIA_USDT_PERP</t>
        </is>
      </c>
      <c r="B42" s="2">
        <f>COUNTIFS(交易明細!$B$2:$B$237,$A42)</f>
        <v/>
      </c>
      <c r="C42" s="2">
        <f>COUNTIFS(交易明細!$B$2:$B$237,$A42,交易明細!$C$2:$C$237,"做多")</f>
        <v/>
      </c>
      <c r="D42" s="2">
        <f>COUNTIFS(交易明細!$B$2:$B$237,$A42,交易明細!$C$2:$C$237,"做空")</f>
        <v/>
      </c>
      <c r="E42" s="2">
        <f>F42+G42+COUNTIFS(交易明細!$B$2:$B$237,$A42,交易明細!$J$2:$J$237,"時間出場")</f>
        <v/>
      </c>
      <c r="F42" s="2">
        <f>COUNTIFS(交易明細!$B$2:$B$237,$A42,交易明細!$J$2:$J$237,"止盈")</f>
        <v/>
      </c>
      <c r="G42" s="2">
        <f>COUNTIFS(交易明細!$B$2:$B$237,$A42,交易明細!$J$2:$J$237,"止損")</f>
        <v/>
      </c>
      <c r="H42" s="4">
        <f>IFERROR(F42/E42,0)</f>
        <v/>
      </c>
      <c r="I42" s="4">
        <f>IFERROR(AVERAGEIFS(交易明細!$L$2:$L$237,交易明細!$B$2:$B$237,$A42,交易明細!$J$2:$J$237,"&lt;&gt;未平倉"),0)</f>
        <v/>
      </c>
      <c r="J42" s="4">
        <f>SUMIFS(交易明細!$L$2:$L$237,交易明細!$B$2:$B$237,$A42,交易明細!$J$2:$J$237,"&lt;&gt;未平倉")</f>
        <v/>
      </c>
      <c r="K42" s="5">
        <f>IFERROR(AVERAGEIFS(交易明細!$K$2:$K$237,交易明細!$B$2:$B$237,$A42,交易明細!$J$2:$J$237,"&lt;&gt;未平倉"),0)</f>
        <v/>
      </c>
      <c r="L42" s="2">
        <f>COUNTIFS(交易明細!$B$2:$B$237,$A42,交易明細!$J$2:$J$237,"未平倉")</f>
        <v/>
      </c>
    </row>
    <row r="43">
      <c r="A43" s="2" t="inlineStr">
        <is>
          <t>ZEN_USDT_PERP</t>
        </is>
      </c>
      <c r="B43" s="2">
        <f>COUNTIFS(交易明細!$B$2:$B$237,$A43)</f>
        <v/>
      </c>
      <c r="C43" s="2">
        <f>COUNTIFS(交易明細!$B$2:$B$237,$A43,交易明細!$C$2:$C$237,"做多")</f>
        <v/>
      </c>
      <c r="D43" s="2">
        <f>COUNTIFS(交易明細!$B$2:$B$237,$A43,交易明細!$C$2:$C$237,"做空")</f>
        <v/>
      </c>
      <c r="E43" s="2">
        <f>F43+G43+COUNTIFS(交易明細!$B$2:$B$237,$A43,交易明細!$J$2:$J$237,"時間出場")</f>
        <v/>
      </c>
      <c r="F43" s="2">
        <f>COUNTIFS(交易明細!$B$2:$B$237,$A43,交易明細!$J$2:$J$237,"止盈")</f>
        <v/>
      </c>
      <c r="G43" s="2">
        <f>COUNTIFS(交易明細!$B$2:$B$237,$A43,交易明細!$J$2:$J$237,"止損")</f>
        <v/>
      </c>
      <c r="H43" s="4">
        <f>IFERROR(F43/E43,0)</f>
        <v/>
      </c>
      <c r="I43" s="4">
        <f>IFERROR(AVERAGEIFS(交易明細!$L$2:$L$237,交易明細!$B$2:$B$237,$A43,交易明細!$J$2:$J$237,"&lt;&gt;未平倉"),0)</f>
        <v/>
      </c>
      <c r="J43" s="4">
        <f>SUMIFS(交易明細!$L$2:$L$237,交易明細!$B$2:$B$237,$A43,交易明細!$J$2:$J$237,"&lt;&gt;未平倉")</f>
        <v/>
      </c>
      <c r="K43" s="5">
        <f>IFERROR(AVERAGEIFS(交易明細!$K$2:$K$237,交易明細!$B$2:$B$237,$A43,交易明細!$J$2:$J$237,"&lt;&gt;未平倉"),0)</f>
        <v/>
      </c>
      <c r="L43" s="2">
        <f>COUNTIFS(交易明細!$B$2:$B$237,$A43,交易明細!$J$2:$J$237,"未平倉")</f>
        <v/>
      </c>
    </row>
    <row r="44">
      <c r="A44" s="2" t="inlineStr">
        <is>
          <t>TAO_USDT_PERP</t>
        </is>
      </c>
      <c r="B44" s="2">
        <f>COUNTIFS(交易明細!$B$2:$B$237,$A44)</f>
        <v/>
      </c>
      <c r="C44" s="2">
        <f>COUNTIFS(交易明細!$B$2:$B$237,$A44,交易明細!$C$2:$C$237,"做多")</f>
        <v/>
      </c>
      <c r="D44" s="2">
        <f>COUNTIFS(交易明細!$B$2:$B$237,$A44,交易明細!$C$2:$C$237,"做空")</f>
        <v/>
      </c>
      <c r="E44" s="2">
        <f>F44+G44+COUNTIFS(交易明細!$B$2:$B$237,$A44,交易明細!$J$2:$J$237,"時間出場")</f>
        <v/>
      </c>
      <c r="F44" s="2">
        <f>COUNTIFS(交易明細!$B$2:$B$237,$A44,交易明細!$J$2:$J$237,"止盈")</f>
        <v/>
      </c>
      <c r="G44" s="2">
        <f>COUNTIFS(交易明細!$B$2:$B$237,$A44,交易明細!$J$2:$J$237,"止損")</f>
        <v/>
      </c>
      <c r="H44" s="4">
        <f>IFERROR(F44/E44,0)</f>
        <v/>
      </c>
      <c r="I44" s="4">
        <f>IFERROR(AVERAGEIFS(交易明細!$L$2:$L$237,交易明細!$B$2:$B$237,$A44,交易明細!$J$2:$J$237,"&lt;&gt;未平倉"),0)</f>
        <v/>
      </c>
      <c r="J44" s="4">
        <f>SUMIFS(交易明細!$L$2:$L$237,交易明細!$B$2:$B$237,$A44,交易明細!$J$2:$J$237,"&lt;&gt;未平倉")</f>
        <v/>
      </c>
      <c r="K44" s="5">
        <f>IFERROR(AVERAGEIFS(交易明細!$K$2:$K$237,交易明細!$B$2:$B$237,$A44,交易明細!$J$2:$J$237,"&lt;&gt;未平倉"),0)</f>
        <v/>
      </c>
      <c r="L44" s="2">
        <f>COUNTIFS(交易明細!$B$2:$B$237,$A44,交易明細!$J$2:$J$237,"未平倉")</f>
        <v/>
      </c>
    </row>
    <row r="45">
      <c r="A45" s="2" t="inlineStr">
        <is>
          <t>KAS_USDT_PERP</t>
        </is>
      </c>
      <c r="B45" s="2">
        <f>COUNTIFS(交易明細!$B$2:$B$237,$A45)</f>
        <v/>
      </c>
      <c r="C45" s="2">
        <f>COUNTIFS(交易明細!$B$2:$B$237,$A45,交易明細!$C$2:$C$237,"做多")</f>
        <v/>
      </c>
      <c r="D45" s="2">
        <f>COUNTIFS(交易明細!$B$2:$B$237,$A45,交易明細!$C$2:$C$237,"做空")</f>
        <v/>
      </c>
      <c r="E45" s="2">
        <f>F45+G45+COUNTIFS(交易明細!$B$2:$B$237,$A45,交易明細!$J$2:$J$237,"時間出場")</f>
        <v/>
      </c>
      <c r="F45" s="2">
        <f>COUNTIFS(交易明細!$B$2:$B$237,$A45,交易明細!$J$2:$J$237,"止盈")</f>
        <v/>
      </c>
      <c r="G45" s="2">
        <f>COUNTIFS(交易明細!$B$2:$B$237,$A45,交易明細!$J$2:$J$237,"止損")</f>
        <v/>
      </c>
      <c r="H45" s="4">
        <f>IFERROR(F45/E45,0)</f>
        <v/>
      </c>
      <c r="I45" s="4">
        <f>IFERROR(AVERAGEIFS(交易明細!$L$2:$L$237,交易明細!$B$2:$B$237,$A45,交易明細!$J$2:$J$237,"&lt;&gt;未平倉"),0)</f>
        <v/>
      </c>
      <c r="J45" s="4">
        <f>SUMIFS(交易明細!$L$2:$L$237,交易明細!$B$2:$B$237,$A45,交易明細!$J$2:$J$237,"&lt;&gt;未平倉")</f>
        <v/>
      </c>
      <c r="K45" s="5">
        <f>IFERROR(AVERAGEIFS(交易明細!$K$2:$K$237,交易明細!$B$2:$B$237,$A45,交易明細!$J$2:$J$237,"&lt;&gt;未平倉"),0)</f>
        <v/>
      </c>
      <c r="L45" s="2">
        <f>COUNTIFS(交易明細!$B$2:$B$237,$A45,交易明細!$J$2:$J$237,"未平倉")</f>
        <v/>
      </c>
    </row>
    <row r="46">
      <c r="A46" s="2" t="inlineStr">
        <is>
          <t>CASHCAT_USDT_PERP</t>
        </is>
      </c>
      <c r="B46" s="2">
        <f>COUNTIFS(交易明細!$B$2:$B$237,$A46)</f>
        <v/>
      </c>
      <c r="C46" s="2">
        <f>COUNTIFS(交易明細!$B$2:$B$237,$A46,交易明細!$C$2:$C$237,"做多")</f>
        <v/>
      </c>
      <c r="D46" s="2">
        <f>COUNTIFS(交易明細!$B$2:$B$237,$A46,交易明細!$C$2:$C$237,"做空")</f>
        <v/>
      </c>
      <c r="E46" s="2">
        <f>F46+G46+COUNTIFS(交易明細!$B$2:$B$237,$A46,交易明細!$J$2:$J$237,"時間出場")</f>
        <v/>
      </c>
      <c r="F46" s="2">
        <f>COUNTIFS(交易明細!$B$2:$B$237,$A46,交易明細!$J$2:$J$237,"止盈")</f>
        <v/>
      </c>
      <c r="G46" s="2">
        <f>COUNTIFS(交易明細!$B$2:$B$237,$A46,交易明細!$J$2:$J$237,"止損")</f>
        <v/>
      </c>
      <c r="H46" s="4">
        <f>IFERROR(F46/E46,0)</f>
        <v/>
      </c>
      <c r="I46" s="4">
        <f>IFERROR(AVERAGEIFS(交易明細!$L$2:$L$237,交易明細!$B$2:$B$237,$A46,交易明細!$J$2:$J$237,"&lt;&gt;未平倉"),0)</f>
        <v/>
      </c>
      <c r="J46" s="4">
        <f>SUMIFS(交易明細!$L$2:$L$237,交易明細!$B$2:$B$237,$A46,交易明細!$J$2:$J$237,"&lt;&gt;未平倉")</f>
        <v/>
      </c>
      <c r="K46" s="5">
        <f>IFERROR(AVERAGEIFS(交易明細!$K$2:$K$237,交易明細!$B$2:$B$237,$A46,交易明細!$J$2:$J$237,"&lt;&gt;未平倉"),0)</f>
        <v/>
      </c>
      <c r="L46" s="2">
        <f>COUNTIFS(交易明細!$B$2:$B$237,$A46,交易明細!$J$2:$J$237,"未平倉")</f>
        <v/>
      </c>
    </row>
    <row r="47">
      <c r="A47" s="2" t="inlineStr">
        <is>
          <t>INJ_USDT_PERP</t>
        </is>
      </c>
      <c r="B47" s="2">
        <f>COUNTIFS(交易明細!$B$2:$B$237,$A47)</f>
        <v/>
      </c>
      <c r="C47" s="2">
        <f>COUNTIFS(交易明細!$B$2:$B$237,$A47,交易明細!$C$2:$C$237,"做多")</f>
        <v/>
      </c>
      <c r="D47" s="2">
        <f>COUNTIFS(交易明細!$B$2:$B$237,$A47,交易明細!$C$2:$C$237,"做空")</f>
        <v/>
      </c>
      <c r="E47" s="2">
        <f>F47+G47+COUNTIFS(交易明細!$B$2:$B$237,$A47,交易明細!$J$2:$J$237,"時間出場")</f>
        <v/>
      </c>
      <c r="F47" s="2">
        <f>COUNTIFS(交易明細!$B$2:$B$237,$A47,交易明細!$J$2:$J$237,"止盈")</f>
        <v/>
      </c>
      <c r="G47" s="2">
        <f>COUNTIFS(交易明細!$B$2:$B$237,$A47,交易明細!$J$2:$J$237,"止損")</f>
        <v/>
      </c>
      <c r="H47" s="4">
        <f>IFERROR(F47/E47,0)</f>
        <v/>
      </c>
      <c r="I47" s="4">
        <f>IFERROR(AVERAGEIFS(交易明細!$L$2:$L$237,交易明細!$B$2:$B$237,$A47,交易明細!$J$2:$J$237,"&lt;&gt;未平倉"),0)</f>
        <v/>
      </c>
      <c r="J47" s="4">
        <f>SUMIFS(交易明細!$L$2:$L$237,交易明細!$B$2:$B$237,$A47,交易明細!$J$2:$J$237,"&lt;&gt;未平倉")</f>
        <v/>
      </c>
      <c r="K47" s="5">
        <f>IFERROR(AVERAGEIFS(交易明細!$K$2:$K$237,交易明細!$B$2:$B$237,$A47,交易明細!$J$2:$J$237,"&lt;&gt;未平倉"),0)</f>
        <v/>
      </c>
      <c r="L47" s="2">
        <f>COUNTIFS(交易明細!$B$2:$B$237,$A47,交易明細!$J$2:$J$237,"未平倉")</f>
        <v/>
      </c>
    </row>
    <row r="48">
      <c r="A48" s="2" t="inlineStr">
        <is>
          <t>ICP_USDT_PERP</t>
        </is>
      </c>
      <c r="B48" s="2">
        <f>COUNTIFS(交易明細!$B$2:$B$237,$A48)</f>
        <v/>
      </c>
      <c r="C48" s="2">
        <f>COUNTIFS(交易明細!$B$2:$B$237,$A48,交易明細!$C$2:$C$237,"做多")</f>
        <v/>
      </c>
      <c r="D48" s="2">
        <f>COUNTIFS(交易明細!$B$2:$B$237,$A48,交易明細!$C$2:$C$237,"做空")</f>
        <v/>
      </c>
      <c r="E48" s="2">
        <f>F48+G48+COUNTIFS(交易明細!$B$2:$B$237,$A48,交易明細!$J$2:$J$237,"時間出場")</f>
        <v/>
      </c>
      <c r="F48" s="2">
        <f>COUNTIFS(交易明細!$B$2:$B$237,$A48,交易明細!$J$2:$J$237,"止盈")</f>
        <v/>
      </c>
      <c r="G48" s="2">
        <f>COUNTIFS(交易明細!$B$2:$B$237,$A48,交易明細!$J$2:$J$237,"止損")</f>
        <v/>
      </c>
      <c r="H48" s="4">
        <f>IFERROR(F48/E48,0)</f>
        <v/>
      </c>
      <c r="I48" s="4">
        <f>IFERROR(AVERAGEIFS(交易明細!$L$2:$L$237,交易明細!$B$2:$B$237,$A48,交易明細!$J$2:$J$237,"&lt;&gt;未平倉"),0)</f>
        <v/>
      </c>
      <c r="J48" s="4">
        <f>SUMIFS(交易明細!$L$2:$L$237,交易明細!$B$2:$B$237,$A48,交易明細!$J$2:$J$237,"&lt;&gt;未平倉")</f>
        <v/>
      </c>
      <c r="K48" s="5">
        <f>IFERROR(AVERAGEIFS(交易明細!$K$2:$K$237,交易明細!$B$2:$B$237,$A48,交易明細!$J$2:$J$237,"&lt;&gt;未平倉"),0)</f>
        <v/>
      </c>
      <c r="L48" s="2">
        <f>COUNTIFS(交易明細!$B$2:$B$237,$A48,交易明細!$J$2:$J$237,"未平倉")</f>
        <v/>
      </c>
    </row>
    <row r="49">
      <c r="A49" s="2" t="inlineStr">
        <is>
          <t>FF_USDT_PERP</t>
        </is>
      </c>
      <c r="B49" s="2">
        <f>COUNTIFS(交易明細!$B$2:$B$237,$A49)</f>
        <v/>
      </c>
      <c r="C49" s="2">
        <f>COUNTIFS(交易明細!$B$2:$B$237,$A49,交易明細!$C$2:$C$237,"做多")</f>
        <v/>
      </c>
      <c r="D49" s="2">
        <f>COUNTIFS(交易明細!$B$2:$B$237,$A49,交易明細!$C$2:$C$237,"做空")</f>
        <v/>
      </c>
      <c r="E49" s="2">
        <f>F49+G49+COUNTIFS(交易明細!$B$2:$B$237,$A49,交易明細!$J$2:$J$237,"時間出場")</f>
        <v/>
      </c>
      <c r="F49" s="2">
        <f>COUNTIFS(交易明細!$B$2:$B$237,$A49,交易明細!$J$2:$J$237,"止盈")</f>
        <v/>
      </c>
      <c r="G49" s="2">
        <f>COUNTIFS(交易明細!$B$2:$B$237,$A49,交易明細!$J$2:$J$237,"止損")</f>
        <v/>
      </c>
      <c r="H49" s="4">
        <f>IFERROR(F49/E49,0)</f>
        <v/>
      </c>
      <c r="I49" s="4">
        <f>IFERROR(AVERAGEIFS(交易明細!$L$2:$L$237,交易明細!$B$2:$B$237,$A49,交易明細!$J$2:$J$237,"&lt;&gt;未平倉"),0)</f>
        <v/>
      </c>
      <c r="J49" s="4">
        <f>SUMIFS(交易明細!$L$2:$L$237,交易明細!$B$2:$B$237,$A49,交易明細!$J$2:$J$237,"&lt;&gt;未平倉")</f>
        <v/>
      </c>
      <c r="K49" s="5">
        <f>IFERROR(AVERAGEIFS(交易明細!$K$2:$K$237,交易明細!$B$2:$B$237,$A49,交易明細!$J$2:$J$237,"&lt;&gt;未平倉"),0)</f>
        <v/>
      </c>
      <c r="L49" s="2">
        <f>COUNTIFS(交易明細!$B$2:$B$237,$A49,交易明細!$J$2:$J$237,"未平倉")</f>
        <v/>
      </c>
    </row>
    <row r="50">
      <c r="A50" s="2" t="inlineStr">
        <is>
          <t>KAT_USDT_PERP</t>
        </is>
      </c>
      <c r="B50" s="2">
        <f>COUNTIFS(交易明細!$B$2:$B$237,$A50)</f>
        <v/>
      </c>
      <c r="C50" s="2">
        <f>COUNTIFS(交易明細!$B$2:$B$237,$A50,交易明細!$C$2:$C$237,"做多")</f>
        <v/>
      </c>
      <c r="D50" s="2">
        <f>COUNTIFS(交易明細!$B$2:$B$237,$A50,交易明細!$C$2:$C$237,"做空")</f>
        <v/>
      </c>
      <c r="E50" s="2">
        <f>F50+G50+COUNTIFS(交易明細!$B$2:$B$237,$A50,交易明細!$J$2:$J$237,"時間出場")</f>
        <v/>
      </c>
      <c r="F50" s="2">
        <f>COUNTIFS(交易明細!$B$2:$B$237,$A50,交易明細!$J$2:$J$237,"止盈")</f>
        <v/>
      </c>
      <c r="G50" s="2">
        <f>COUNTIFS(交易明細!$B$2:$B$237,$A50,交易明細!$J$2:$J$237,"止損")</f>
        <v/>
      </c>
      <c r="H50" s="4">
        <f>IFERROR(F50/E50,0)</f>
        <v/>
      </c>
      <c r="I50" s="4">
        <f>IFERROR(AVERAGEIFS(交易明細!$L$2:$L$237,交易明細!$B$2:$B$237,$A50,交易明細!$J$2:$J$237,"&lt;&gt;未平倉"),0)</f>
        <v/>
      </c>
      <c r="J50" s="4">
        <f>SUMIFS(交易明細!$L$2:$L$237,交易明細!$B$2:$B$237,$A50,交易明細!$J$2:$J$237,"&lt;&gt;未平倉")</f>
        <v/>
      </c>
      <c r="K50" s="5">
        <f>IFERROR(AVERAGEIFS(交易明細!$K$2:$K$237,交易明細!$B$2:$B$237,$A50,交易明細!$J$2:$J$237,"&lt;&gt;未平倉"),0)</f>
        <v/>
      </c>
      <c r="L50" s="2">
        <f>COUNTIFS(交易明細!$B$2:$B$237,$A50,交易明細!$J$2:$J$237,"未平倉")</f>
        <v/>
      </c>
    </row>
    <row r="51">
      <c r="A51" s="2" t="inlineStr">
        <is>
          <t>MET_USDT_PERP</t>
        </is>
      </c>
      <c r="B51" s="2">
        <f>COUNTIFS(交易明細!$B$2:$B$237,$A51)</f>
        <v/>
      </c>
      <c r="C51" s="2">
        <f>COUNTIFS(交易明細!$B$2:$B$237,$A51,交易明細!$C$2:$C$237,"做多")</f>
        <v/>
      </c>
      <c r="D51" s="2">
        <f>COUNTIFS(交易明細!$B$2:$B$237,$A51,交易明細!$C$2:$C$237,"做空")</f>
        <v/>
      </c>
      <c r="E51" s="2">
        <f>F51+G51+COUNTIFS(交易明細!$B$2:$B$237,$A51,交易明細!$J$2:$J$237,"時間出場")</f>
        <v/>
      </c>
      <c r="F51" s="2">
        <f>COUNTIFS(交易明細!$B$2:$B$237,$A51,交易明細!$J$2:$J$237,"止盈")</f>
        <v/>
      </c>
      <c r="G51" s="2">
        <f>COUNTIFS(交易明細!$B$2:$B$237,$A51,交易明細!$J$2:$J$237,"止損")</f>
        <v/>
      </c>
      <c r="H51" s="4">
        <f>IFERROR(F51/E51,0)</f>
        <v/>
      </c>
      <c r="I51" s="4">
        <f>IFERROR(AVERAGEIFS(交易明細!$L$2:$L$237,交易明細!$B$2:$B$237,$A51,交易明細!$J$2:$J$237,"&lt;&gt;未平倉"),0)</f>
        <v/>
      </c>
      <c r="J51" s="4">
        <f>SUMIFS(交易明細!$L$2:$L$237,交易明細!$B$2:$B$237,$A51,交易明細!$J$2:$J$237,"&lt;&gt;未平倉")</f>
        <v/>
      </c>
      <c r="K51" s="5">
        <f>IFERROR(AVERAGEIFS(交易明細!$K$2:$K$237,交易明細!$B$2:$B$237,$A51,交易明細!$J$2:$J$237,"&lt;&gt;未平倉"),0)</f>
        <v/>
      </c>
      <c r="L51" s="2">
        <f>COUNTIFS(交易明細!$B$2:$B$237,$A51,交易明細!$J$2:$J$237,"未平倉")</f>
        <v/>
      </c>
    </row>
    <row r="52">
      <c r="A52" s="2" t="inlineStr">
        <is>
          <t>BTW_USDT_PERP</t>
        </is>
      </c>
      <c r="B52" s="2">
        <f>COUNTIFS(交易明細!$B$2:$B$237,$A52)</f>
        <v/>
      </c>
      <c r="C52" s="2">
        <f>COUNTIFS(交易明細!$B$2:$B$237,$A52,交易明細!$C$2:$C$237,"做多")</f>
        <v/>
      </c>
      <c r="D52" s="2">
        <f>COUNTIFS(交易明細!$B$2:$B$237,$A52,交易明細!$C$2:$C$237,"做空")</f>
        <v/>
      </c>
      <c r="E52" s="2">
        <f>F52+G52+COUNTIFS(交易明細!$B$2:$B$237,$A52,交易明細!$J$2:$J$237,"時間出場")</f>
        <v/>
      </c>
      <c r="F52" s="2">
        <f>COUNTIFS(交易明細!$B$2:$B$237,$A52,交易明細!$J$2:$J$237,"止盈")</f>
        <v/>
      </c>
      <c r="G52" s="2">
        <f>COUNTIFS(交易明細!$B$2:$B$237,$A52,交易明細!$J$2:$J$237,"止損")</f>
        <v/>
      </c>
      <c r="H52" s="4">
        <f>IFERROR(F52/E52,0)</f>
        <v/>
      </c>
      <c r="I52" s="4">
        <f>IFERROR(AVERAGEIFS(交易明細!$L$2:$L$237,交易明細!$B$2:$B$237,$A52,交易明細!$J$2:$J$237,"&lt;&gt;未平倉"),0)</f>
        <v/>
      </c>
      <c r="J52" s="4">
        <f>SUMIFS(交易明細!$L$2:$L$237,交易明細!$B$2:$B$237,$A52,交易明細!$J$2:$J$237,"&lt;&gt;未平倉")</f>
        <v/>
      </c>
      <c r="K52" s="5">
        <f>IFERROR(AVERAGEIFS(交易明細!$K$2:$K$237,交易明細!$B$2:$B$237,$A52,交易明細!$J$2:$J$237,"&lt;&gt;未平倉"),0)</f>
        <v/>
      </c>
      <c r="L52" s="2">
        <f>COUNTIFS(交易明細!$B$2:$B$237,$A52,交易明細!$J$2:$J$237,"未平倉")</f>
        <v/>
      </c>
    </row>
    <row r="53">
      <c r="A53" s="2" t="inlineStr">
        <is>
          <t>CAP_USDT_PERP</t>
        </is>
      </c>
      <c r="B53" s="2">
        <f>COUNTIFS(交易明細!$B$2:$B$237,$A53)</f>
        <v/>
      </c>
      <c r="C53" s="2">
        <f>COUNTIFS(交易明細!$B$2:$B$237,$A53,交易明細!$C$2:$C$237,"做多")</f>
        <v/>
      </c>
      <c r="D53" s="2">
        <f>COUNTIFS(交易明細!$B$2:$B$237,$A53,交易明細!$C$2:$C$237,"做空")</f>
        <v/>
      </c>
      <c r="E53" s="2">
        <f>F53+G53+COUNTIFS(交易明細!$B$2:$B$237,$A53,交易明細!$J$2:$J$237,"時間出場")</f>
        <v/>
      </c>
      <c r="F53" s="2">
        <f>COUNTIFS(交易明細!$B$2:$B$237,$A53,交易明細!$J$2:$J$237,"止盈")</f>
        <v/>
      </c>
      <c r="G53" s="2">
        <f>COUNTIFS(交易明細!$B$2:$B$237,$A53,交易明細!$J$2:$J$237,"止損")</f>
        <v/>
      </c>
      <c r="H53" s="4">
        <f>IFERROR(F53/E53,0)</f>
        <v/>
      </c>
      <c r="I53" s="4">
        <f>IFERROR(AVERAGEIFS(交易明細!$L$2:$L$237,交易明細!$B$2:$B$237,$A53,交易明細!$J$2:$J$237,"&lt;&gt;未平倉"),0)</f>
        <v/>
      </c>
      <c r="J53" s="4">
        <f>SUMIFS(交易明細!$L$2:$L$237,交易明細!$B$2:$B$237,$A53,交易明細!$J$2:$J$237,"&lt;&gt;未平倉")</f>
        <v/>
      </c>
      <c r="K53" s="5">
        <f>IFERROR(AVERAGEIFS(交易明細!$K$2:$K$237,交易明細!$B$2:$B$237,$A53,交易明細!$J$2:$J$237,"&lt;&gt;未平倉"),0)</f>
        <v/>
      </c>
      <c r="L53" s="2">
        <f>COUNTIFS(交易明細!$B$2:$B$237,$A53,交易明細!$J$2:$J$237,"未平倉")</f>
        <v/>
      </c>
    </row>
    <row r="54">
      <c r="A54" s="2" t="inlineStr">
        <is>
          <t>POWER_USDT_PERP</t>
        </is>
      </c>
      <c r="B54" s="2">
        <f>COUNTIFS(交易明細!$B$2:$B$237,$A54)</f>
        <v/>
      </c>
      <c r="C54" s="2">
        <f>COUNTIFS(交易明細!$B$2:$B$237,$A54,交易明細!$C$2:$C$237,"做多")</f>
        <v/>
      </c>
      <c r="D54" s="2">
        <f>COUNTIFS(交易明細!$B$2:$B$237,$A54,交易明細!$C$2:$C$237,"做空")</f>
        <v/>
      </c>
      <c r="E54" s="2">
        <f>F54+G54+COUNTIFS(交易明細!$B$2:$B$237,$A54,交易明細!$J$2:$J$237,"時間出場")</f>
        <v/>
      </c>
      <c r="F54" s="2">
        <f>COUNTIFS(交易明細!$B$2:$B$237,$A54,交易明細!$J$2:$J$237,"止盈")</f>
        <v/>
      </c>
      <c r="G54" s="2">
        <f>COUNTIFS(交易明細!$B$2:$B$237,$A54,交易明細!$J$2:$J$237,"止損")</f>
        <v/>
      </c>
      <c r="H54" s="4">
        <f>IFERROR(F54/E54,0)</f>
        <v/>
      </c>
      <c r="I54" s="4">
        <f>IFERROR(AVERAGEIFS(交易明細!$L$2:$L$237,交易明細!$B$2:$B$237,$A54,交易明細!$J$2:$J$237,"&lt;&gt;未平倉"),0)</f>
        <v/>
      </c>
      <c r="J54" s="4">
        <f>SUMIFS(交易明細!$L$2:$L$237,交易明細!$B$2:$B$237,$A54,交易明細!$J$2:$J$237,"&lt;&gt;未平倉")</f>
        <v/>
      </c>
      <c r="K54" s="5">
        <f>IFERROR(AVERAGEIFS(交易明細!$K$2:$K$237,交易明細!$B$2:$B$237,$A54,交易明細!$J$2:$J$237,"&lt;&gt;未平倉"),0)</f>
        <v/>
      </c>
      <c r="L54" s="2">
        <f>COUNTIFS(交易明細!$B$2:$B$237,$A54,交易明細!$J$2:$J$237,"未平倉")</f>
        <v/>
      </c>
    </row>
    <row r="55">
      <c r="A55" s="2" t="inlineStr">
        <is>
          <t>XRP_USDT_PERP</t>
        </is>
      </c>
      <c r="B55" s="2">
        <f>COUNTIFS(交易明細!$B$2:$B$237,$A55)</f>
        <v/>
      </c>
      <c r="C55" s="2">
        <f>COUNTIFS(交易明細!$B$2:$B$237,$A55,交易明細!$C$2:$C$237,"做多")</f>
        <v/>
      </c>
      <c r="D55" s="2">
        <f>COUNTIFS(交易明細!$B$2:$B$237,$A55,交易明細!$C$2:$C$237,"做空")</f>
        <v/>
      </c>
      <c r="E55" s="2">
        <f>F55+G55+COUNTIFS(交易明細!$B$2:$B$237,$A55,交易明細!$J$2:$J$237,"時間出場")</f>
        <v/>
      </c>
      <c r="F55" s="2">
        <f>COUNTIFS(交易明細!$B$2:$B$237,$A55,交易明細!$J$2:$J$237,"止盈")</f>
        <v/>
      </c>
      <c r="G55" s="2">
        <f>COUNTIFS(交易明細!$B$2:$B$237,$A55,交易明細!$J$2:$J$237,"止損")</f>
        <v/>
      </c>
      <c r="H55" s="4">
        <f>IFERROR(F55/E55,0)</f>
        <v/>
      </c>
      <c r="I55" s="4">
        <f>IFERROR(AVERAGEIFS(交易明細!$L$2:$L$237,交易明細!$B$2:$B$237,$A55,交易明細!$J$2:$J$237,"&lt;&gt;未平倉"),0)</f>
        <v/>
      </c>
      <c r="J55" s="4">
        <f>SUMIFS(交易明細!$L$2:$L$237,交易明細!$B$2:$B$237,$A55,交易明細!$J$2:$J$237,"&lt;&gt;未平倉")</f>
        <v/>
      </c>
      <c r="K55" s="5">
        <f>IFERROR(AVERAGEIFS(交易明細!$K$2:$K$237,交易明細!$B$2:$B$237,$A55,交易明細!$J$2:$J$237,"&lt;&gt;未平倉"),0)</f>
        <v/>
      </c>
      <c r="L55" s="2">
        <f>COUNTIFS(交易明細!$B$2:$B$237,$A55,交易明細!$J$2:$J$237,"未平倉")</f>
        <v/>
      </c>
    </row>
  </sheetData>
  <autoFilter ref="A1:L5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>
        <is>
          <t>持倉中</t>
        </is>
      </c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2026-09-15T21:31:42Z</dcterms:created>
  <dcterms:modified xsi:type="dcterms:W3CDTF">2026-09-15T21:31:42Z</dcterms:modified>
</cp:coreProperties>
</file>