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'資金明細'!$A$1:$Z$984</definedName>
    <definedName name="_xlnm._FilterDatabase" localSheetId="6" hidden="1">'交易明細'!$A$1:$AC$495</definedName>
    <definedName name="_xlnm._FilterDatabase" localSheetId="7" hidden="1">'幣種統計'!$A$1:$L$87</definedName>
    <definedName name="_xlnm._FilterDatabase" localSheetId="8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'資金明細'!$R$2:$R$984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14:05（Dry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COUNTIFS(交易明細!$B$2:$B$495,"&lt;&gt;")</f>
        <v/>
      </c>
      <c r="C5" s="2">
        <f>D5+E5+F5</f>
        <v/>
      </c>
      <c r="D5" s="2">
        <f>COUNTIFS(交易明細!$J$2:$J$495,"止盈")</f>
        <v/>
      </c>
      <c r="E5" s="2">
        <f>COUNTIFS(交易明細!$J$2:$J$495,"止損")</f>
        <v/>
      </c>
      <c r="F5" s="2">
        <f>COUNTIFS(交易明細!$J$2:$J$495,"時間出場")</f>
        <v/>
      </c>
      <c r="G5" s="2">
        <f>COUNTIFS(交易明細!$J$2:$J$495,"未平倉")</f>
        <v/>
      </c>
      <c r="H5" s="4">
        <f>IFERROR(D5/C5,0)</f>
        <v/>
      </c>
      <c r="I5" s="4">
        <f>IFERROR(AVERAGEIFS(交易明細!$AC$2:$AC$495,交易明細!$J$2:$J$495,"&lt;&gt;未平倉"),參數!$B$16)</f>
        <v/>
      </c>
      <c r="J5" s="4">
        <f>IFERROR(AVERAGEIFS(交易明細!$L$2:$L$495,交易明細!$J$2:$J$495,"&lt;&gt;未平倉"),0)</f>
        <v/>
      </c>
      <c r="K5" s="4">
        <f>SUMIFS(交易明細!$L$2:$L$495,交易明細!$J$2:$J$495,"&lt;&gt;未平倉")</f>
        <v/>
      </c>
      <c r="L5" s="5">
        <f>IFERROR(AVERAGEIFS(交易明細!$K$2:$K$495,交易明細!$J$2:$J$495,"&lt;&gt;未平倉"),0)</f>
        <v/>
      </c>
      <c r="M5" s="5">
        <f>IFERROR(AVERAGEIFS(交易明細!$K$2:$K$495,交易明細!$J$2:$J$495,"止盈"),0)</f>
        <v/>
      </c>
      <c r="N5" s="5">
        <f>IFERROR(AVERAGEIFS(交易明細!$K$2:$K$495,交易明細!$J$2:$J$495,"止損"),0)</f>
        <v/>
      </c>
      <c r="O5" s="4">
        <f>IFERROR(AVERAGEIFS(交易明細!$L$2:$L$495,交易明細!$J$2:$J$495,"時間出場"),0)</f>
        <v/>
      </c>
      <c r="P5" s="4">
        <f>IFERROR(COUNTIFS(交易明細!$J$2:$J$495,"&lt;&gt;未平倉",交易明細!$L$2:$L$495,"&gt;0")/C5,0)</f>
        <v/>
      </c>
    </row>
    <row r="6">
      <c r="A6" s="2" t="inlineStr">
        <is>
          <t>做多</t>
        </is>
      </c>
      <c r="B6" s="2">
        <f>COUNTIFS(交易明細!$C$2:$C$495,"做多",交易明細!$B$2:$B$495,"&lt;&gt;")</f>
        <v/>
      </c>
      <c r="C6" s="2">
        <f>D6+E6+F6</f>
        <v/>
      </c>
      <c r="D6" s="2">
        <f>COUNTIFS(交易明細!$C$2:$C$495,"做多",交易明細!$J$2:$J$495,"止盈")</f>
        <v/>
      </c>
      <c r="E6" s="2">
        <f>COUNTIFS(交易明細!$C$2:$C$495,"做多",交易明細!$J$2:$J$495,"止損")</f>
        <v/>
      </c>
      <c r="F6" s="2">
        <f>COUNTIFS(交易明細!$C$2:$C$495,"做多",交易明細!$J$2:$J$495,"時間出場")</f>
        <v/>
      </c>
      <c r="G6" s="2">
        <f>COUNTIFS(交易明細!$C$2:$C$495,"做多",交易明細!$J$2:$J$495,"未平倉")</f>
        <v/>
      </c>
      <c r="H6" s="4">
        <f>IFERROR(D6/C6,0)</f>
        <v/>
      </c>
      <c r="I6" s="4">
        <f>IFERROR(AVERAGEIFS(交易明細!$AC$2:$AC$495,交易明細!$C$2:$C$495,"做多",交易明細!$J$2:$J$495,"&lt;&gt;未平倉"),參數!$B$16)</f>
        <v/>
      </c>
      <c r="J6" s="4">
        <f>IFERROR(AVERAGEIFS(交易明細!$L$2:$L$495,交易明細!$C$2:$C$495,"做多",交易明細!$J$2:$J$495,"&lt;&gt;未平倉"),0)</f>
        <v/>
      </c>
      <c r="K6" s="4">
        <f>SUMIFS(交易明細!$L$2:$L$495,交易明細!$C$2:$C$495,"做多",交易明細!$J$2:$J$495,"&lt;&gt;未平倉")</f>
        <v/>
      </c>
      <c r="L6" s="5">
        <f>IFERROR(AVERAGEIFS(交易明細!$K$2:$K$495,交易明細!$C$2:$C$495,"做多",交易明細!$J$2:$J$495,"&lt;&gt;未平倉"),0)</f>
        <v/>
      </c>
      <c r="M6" s="5">
        <f>IFERROR(AVERAGEIFS(交易明細!$K$2:$K$495,交易明細!$C$2:$C$495,"做多",交易明細!$J$2:$J$495,"止盈"),0)</f>
        <v/>
      </c>
      <c r="N6" s="5">
        <f>IFERROR(AVERAGEIFS(交易明細!$K$2:$K$495,交易明細!$C$2:$C$495,"做多",交易明細!$J$2:$J$495,"止損"),0)</f>
        <v/>
      </c>
      <c r="O6" s="4">
        <f>IFERROR(AVERAGEIFS(交易明細!$L$2:$L$495,交易明細!$C$2:$C$495,"做多",交易明細!$J$2:$J$495,"時間出場"),0)</f>
        <v/>
      </c>
      <c r="P6" s="4">
        <f>IFERROR(COUNTIFS(交易明細!$C$2:$C$495,"做多",交易明細!$J$2:$J$495,"&lt;&gt;未平倉",交易明細!$L$2:$L$495,"&gt;0")/C6,0)</f>
        <v/>
      </c>
    </row>
    <row r="7">
      <c r="A7" s="2" t="inlineStr">
        <is>
          <t>做空</t>
        </is>
      </c>
      <c r="B7" s="2">
        <f>COUNTIFS(交易明細!$C$2:$C$495,"做空",交易明細!$B$2:$B$495,"&lt;&gt;")</f>
        <v/>
      </c>
      <c r="C7" s="2">
        <f>D7+E7+F7</f>
        <v/>
      </c>
      <c r="D7" s="2">
        <f>COUNTIFS(交易明細!$C$2:$C$495,"做空",交易明細!$J$2:$J$495,"止盈")</f>
        <v/>
      </c>
      <c r="E7" s="2">
        <f>COUNTIFS(交易明細!$C$2:$C$495,"做空",交易明細!$J$2:$J$495,"止損")</f>
        <v/>
      </c>
      <c r="F7" s="2">
        <f>COUNTIFS(交易明細!$C$2:$C$495,"做空",交易明細!$J$2:$J$495,"時間出場")</f>
        <v/>
      </c>
      <c r="G7" s="2">
        <f>COUNTIFS(交易明細!$C$2:$C$495,"做空",交易明細!$J$2:$J$495,"未平倉")</f>
        <v/>
      </c>
      <c r="H7" s="4">
        <f>IFERROR(D7/C7,0)</f>
        <v/>
      </c>
      <c r="I7" s="4">
        <f>IFERROR(AVERAGEIFS(交易明細!$AC$2:$AC$495,交易明細!$C$2:$C$495,"做空",交易明細!$J$2:$J$495,"&lt;&gt;未平倉"),參數!$B$16)</f>
        <v/>
      </c>
      <c r="J7" s="4">
        <f>IFERROR(AVERAGEIFS(交易明細!$L$2:$L$495,交易明細!$C$2:$C$495,"做空",交易明細!$J$2:$J$495,"&lt;&gt;未平倉"),0)</f>
        <v/>
      </c>
      <c r="K7" s="4">
        <f>SUMIFS(交易明細!$L$2:$L$495,交易明細!$C$2:$C$495,"做空",交易明細!$J$2:$J$495,"&lt;&gt;未平倉")</f>
        <v/>
      </c>
      <c r="L7" s="5">
        <f>IFERROR(AVERAGEIFS(交易明細!$K$2:$K$495,交易明細!$C$2:$C$495,"做空",交易明細!$J$2:$J$495,"&lt;&gt;未平倉"),0)</f>
        <v/>
      </c>
      <c r="M7" s="5">
        <f>IFERROR(AVERAGEIFS(交易明細!$K$2:$K$495,交易明細!$C$2:$C$495,"做空",交易明細!$J$2:$J$495,"止盈"),0)</f>
        <v/>
      </c>
      <c r="N7" s="5">
        <f>IFERROR(AVERAGEIFS(交易明細!$K$2:$K$495,交易明細!$C$2:$C$495,"做空",交易明細!$J$2:$J$495,"止損"),0)</f>
        <v/>
      </c>
      <c r="O7" s="4">
        <f>IFERROR(AVERAGEIFS(交易明細!$L$2:$L$495,交易明細!$C$2:$C$495,"做空",交易明細!$J$2:$J$495,"時間出場"),0)</f>
        <v/>
      </c>
      <c r="P7" s="4">
        <f>IFERROR(COUNTIFS(交易明細!$C$2:$C$495,"做空",交易明細!$J$2:$J$495,"&lt;&gt;未平倉",交易明細!$L$2:$L$495,"&gt;0")/C7,0)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46291.58748165509</v>
      </c>
      <c r="B2" s="7" t="n">
        <v>46291.58611111111</v>
      </c>
      <c r="C2" s="2" t="n">
        <v>433</v>
      </c>
      <c r="D2" s="2" t="n">
        <v>2</v>
      </c>
      <c r="E2" s="2" t="n">
        <v>0</v>
      </c>
      <c r="F2" s="2" t="n">
        <v>0</v>
      </c>
      <c r="G2" s="2" t="n">
        <v>148</v>
      </c>
    </row>
    <row r="3">
      <c r="A3" s="7" t="n">
        <v>46291.52177836806</v>
      </c>
      <c r="B3" s="7" t="n">
        <v>46291.52083333334</v>
      </c>
      <c r="C3" s="2" t="n">
        <v>433</v>
      </c>
      <c r="D3" s="2" t="n">
        <v>2</v>
      </c>
      <c r="E3" s="2" t="n">
        <v>5</v>
      </c>
      <c r="F3" s="2" t="n">
        <v>0</v>
      </c>
      <c r="G3" s="2" t="n">
        <v>187.5</v>
      </c>
    </row>
    <row r="4">
      <c r="A4" s="7" t="n">
        <v>46291.40186751157</v>
      </c>
      <c r="B4" s="7" t="n">
        <v>46291.40069444444</v>
      </c>
      <c r="C4" s="2" t="n">
        <v>433</v>
      </c>
      <c r="D4" s="2" t="n">
        <v>0</v>
      </c>
      <c r="E4" s="2" t="n">
        <v>2</v>
      </c>
      <c r="F4" s="2" t="n">
        <v>0</v>
      </c>
      <c r="G4" s="2" t="n">
        <v>188.1</v>
      </c>
    </row>
    <row r="5">
      <c r="A5" s="7" t="n">
        <v>46291.36540915509</v>
      </c>
      <c r="B5" s="7" t="n">
        <v>46291.36458333334</v>
      </c>
      <c r="C5" s="2" t="n">
        <v>433</v>
      </c>
      <c r="D5" s="2" t="n">
        <v>3</v>
      </c>
      <c r="E5" s="2" t="n">
        <v>0</v>
      </c>
      <c r="F5" s="2" t="n">
        <v>0</v>
      </c>
      <c r="G5" s="2" t="n">
        <v>163.5</v>
      </c>
    </row>
    <row r="6">
      <c r="A6" s="7" t="n">
        <v>46291.26887001158</v>
      </c>
      <c r="B6" s="7" t="n">
        <v>46291.26805555556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184.5</v>
      </c>
    </row>
    <row r="7">
      <c r="A7" s="7" t="n">
        <v>46291.2560487963</v>
      </c>
      <c r="B7" s="7" t="n">
        <v>46291.25486111111</v>
      </c>
      <c r="C7" s="2" t="n">
        <v>433</v>
      </c>
      <c r="D7" s="2" t="n">
        <v>3</v>
      </c>
      <c r="E7" s="2" t="n">
        <v>1</v>
      </c>
      <c r="F7" s="2" t="n">
        <v>0</v>
      </c>
      <c r="G7" s="2" t="n">
        <v>191.6</v>
      </c>
    </row>
    <row r="8">
      <c r="A8" s="7" t="n">
        <v>46291.11246790509</v>
      </c>
      <c r="B8" s="7" t="n">
        <v>46291.11111111111</v>
      </c>
      <c r="C8" s="2" t="n">
        <v>433</v>
      </c>
      <c r="D8" s="2" t="n">
        <v>2</v>
      </c>
      <c r="E8" s="2" t="n">
        <v>1</v>
      </c>
      <c r="F8" s="2" t="n">
        <v>0</v>
      </c>
      <c r="G8" s="2" t="n">
        <v>182.3</v>
      </c>
    </row>
    <row r="9">
      <c r="A9" s="7" t="n">
        <v>46291.02308788194</v>
      </c>
      <c r="B9" s="7" t="n">
        <v>46291.02222222222</v>
      </c>
      <c r="C9" s="2" t="n">
        <v>433</v>
      </c>
      <c r="D9" s="2" t="n">
        <v>1</v>
      </c>
      <c r="E9" s="2" t="n">
        <v>0</v>
      </c>
      <c r="F9" s="2" t="n">
        <v>0</v>
      </c>
      <c r="G9" s="2" t="n">
        <v>140.5</v>
      </c>
    </row>
    <row r="10">
      <c r="A10" s="7" t="n">
        <v>46290.9990443287</v>
      </c>
      <c r="B10" s="7" t="n">
        <v>46290.99791666667</v>
      </c>
      <c r="C10" s="2" t="n">
        <v>433</v>
      </c>
      <c r="D10" s="2" t="n">
        <v>1</v>
      </c>
      <c r="E10" s="2" t="n">
        <v>1</v>
      </c>
      <c r="F10" s="2" t="n">
        <v>0</v>
      </c>
      <c r="G10" s="2" t="n">
        <v>197.5</v>
      </c>
    </row>
    <row r="11">
      <c r="A11" s="7" t="n">
        <v>46290.91267655093</v>
      </c>
      <c r="B11" s="7" t="n">
        <v>46290.91180555556</v>
      </c>
      <c r="C11" s="2" t="n">
        <v>433</v>
      </c>
      <c r="D11" s="2" t="n">
        <v>2</v>
      </c>
      <c r="E11" s="2" t="n">
        <v>2</v>
      </c>
      <c r="F11" s="2" t="n">
        <v>0</v>
      </c>
      <c r="G11" s="2" t="n">
        <v>193.4</v>
      </c>
    </row>
    <row r="12">
      <c r="A12" s="7" t="n">
        <v>46290.82088560185</v>
      </c>
      <c r="B12" s="7" t="n">
        <v>46290.82013888889</v>
      </c>
      <c r="C12" s="2" t="n">
        <v>433</v>
      </c>
      <c r="D12" s="2" t="n">
        <v>1</v>
      </c>
      <c r="E12" s="2" t="n">
        <v>0</v>
      </c>
      <c r="F12" s="2" t="n">
        <v>0</v>
      </c>
      <c r="G12" s="2" t="n">
        <v>174.9</v>
      </c>
    </row>
    <row r="13">
      <c r="A13" s="7" t="n">
        <v>46290.76820827546</v>
      </c>
      <c r="B13" s="7" t="n">
        <v>46290.76736111111</v>
      </c>
      <c r="C13" s="2" t="n">
        <v>433</v>
      </c>
      <c r="D13" s="2" t="n">
        <v>0</v>
      </c>
      <c r="E13" s="2" t="n">
        <v>1</v>
      </c>
      <c r="F13" s="2" t="n">
        <v>0</v>
      </c>
      <c r="G13" s="2" t="n">
        <v>187</v>
      </c>
    </row>
    <row r="14">
      <c r="A14" s="7" t="n">
        <v>46290.709303125</v>
      </c>
      <c r="B14" s="7" t="n">
        <v>46290.70833333334</v>
      </c>
      <c r="C14" s="2" t="n">
        <v>433</v>
      </c>
      <c r="D14" s="2" t="n">
        <v>1</v>
      </c>
      <c r="E14" s="2" t="n">
        <v>3</v>
      </c>
      <c r="F14" s="2" t="n">
        <v>0</v>
      </c>
      <c r="G14" s="2" t="n">
        <v>187.6</v>
      </c>
    </row>
    <row r="15">
      <c r="A15" s="7" t="n">
        <v>46290.66382769676</v>
      </c>
      <c r="B15" s="7" t="n">
        <v>46290.6625</v>
      </c>
      <c r="C15" s="2" t="n">
        <v>433</v>
      </c>
      <c r="D15" s="2" t="n">
        <v>1</v>
      </c>
      <c r="E15" s="2" t="n">
        <v>0</v>
      </c>
      <c r="F15" s="2" t="n">
        <v>0</v>
      </c>
      <c r="G15" s="2" t="n">
        <v>185.1</v>
      </c>
    </row>
    <row r="16">
      <c r="A16" s="7" t="n">
        <v>46290.61757802084</v>
      </c>
      <c r="B16" s="7" t="n">
        <v>46290.61666666667</v>
      </c>
      <c r="C16" s="2" t="n">
        <v>433</v>
      </c>
      <c r="D16" s="2" t="n">
        <v>0</v>
      </c>
      <c r="E16" s="2" t="n">
        <v>2</v>
      </c>
      <c r="F16" s="2" t="n">
        <v>0</v>
      </c>
      <c r="G16" s="2" t="n">
        <v>178.9</v>
      </c>
    </row>
    <row r="17">
      <c r="A17" s="7" t="n">
        <v>46290.55632820602</v>
      </c>
      <c r="B17" s="7" t="n">
        <v>46290.55555555555</v>
      </c>
      <c r="C17" s="2" t="n">
        <v>433</v>
      </c>
      <c r="D17" s="2" t="n">
        <v>1</v>
      </c>
      <c r="E17" s="2" t="n">
        <v>0</v>
      </c>
      <c r="F17" s="2" t="n">
        <v>0</v>
      </c>
      <c r="G17" s="2" t="n">
        <v>179.4</v>
      </c>
    </row>
    <row r="18">
      <c r="A18" s="7" t="n">
        <v>46290.50409561343</v>
      </c>
      <c r="B18" s="7" t="n">
        <v>46290.50277777778</v>
      </c>
      <c r="C18" s="2" t="n">
        <v>433</v>
      </c>
      <c r="D18" s="2" t="n">
        <v>0</v>
      </c>
      <c r="E18" s="2" t="n">
        <v>1</v>
      </c>
      <c r="F18" s="2" t="n">
        <v>0</v>
      </c>
      <c r="G18" s="2" t="n">
        <v>174.5</v>
      </c>
    </row>
    <row r="19">
      <c r="A19" s="7" t="n">
        <v>46290.39966920139</v>
      </c>
      <c r="B19" s="7" t="n">
        <v>46290.39861111111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189.8</v>
      </c>
    </row>
    <row r="20">
      <c r="A20" s="7" t="n">
        <v>46290.3483633912</v>
      </c>
      <c r="B20" s="7" t="n">
        <v>46290.34722222222</v>
      </c>
      <c r="C20" s="2" t="n">
        <v>433</v>
      </c>
      <c r="D20" s="2" t="n">
        <v>0</v>
      </c>
      <c r="E20" s="2" t="n">
        <v>1</v>
      </c>
      <c r="F20" s="2" t="n">
        <v>0</v>
      </c>
      <c r="G20" s="2" t="n">
        <v>163.4</v>
      </c>
    </row>
    <row r="21">
      <c r="A21" s="7" t="n">
        <v>46290.27195019676</v>
      </c>
      <c r="B21" s="7" t="n">
        <v>46290.27083333334</v>
      </c>
      <c r="C21" s="2" t="n">
        <v>433</v>
      </c>
      <c r="D21" s="2" t="n">
        <v>1</v>
      </c>
      <c r="E21" s="2" t="n">
        <v>1</v>
      </c>
      <c r="F21" s="2" t="n">
        <v>1</v>
      </c>
      <c r="G21" s="2" t="n">
        <v>182.9</v>
      </c>
    </row>
    <row r="22">
      <c r="A22" s="7" t="n">
        <v>46290.13587655093</v>
      </c>
      <c r="B22" s="7" t="n">
        <v>46290.13472222222</v>
      </c>
      <c r="C22" s="2" t="n">
        <v>433</v>
      </c>
      <c r="D22" s="2" t="n">
        <v>2</v>
      </c>
      <c r="E22" s="2" t="n">
        <v>6</v>
      </c>
      <c r="F22" s="2" t="n">
        <v>1</v>
      </c>
      <c r="G22" s="2" t="n">
        <v>191.6</v>
      </c>
    </row>
    <row r="23">
      <c r="A23" s="7" t="n">
        <v>46290.02908936342</v>
      </c>
      <c r="B23" s="7" t="n">
        <v>46290.02777777778</v>
      </c>
      <c r="C23" s="2" t="n">
        <v>433</v>
      </c>
      <c r="D23" s="2" t="n">
        <v>2</v>
      </c>
      <c r="E23" s="2" t="n">
        <v>0</v>
      </c>
      <c r="F23" s="2" t="n">
        <v>1</v>
      </c>
      <c r="G23" s="2" t="n">
        <v>166.2</v>
      </c>
    </row>
    <row r="24">
      <c r="A24" s="7" t="n">
        <v>46289.96715996528</v>
      </c>
      <c r="B24" s="7" t="n">
        <v>46289.96597222222</v>
      </c>
      <c r="C24" s="2" t="n">
        <v>433</v>
      </c>
      <c r="D24" s="2" t="n">
        <v>2</v>
      </c>
      <c r="E24" s="2" t="n">
        <v>8</v>
      </c>
      <c r="F24" s="2" t="n">
        <v>1</v>
      </c>
      <c r="G24" s="2" t="n">
        <v>190.1</v>
      </c>
    </row>
    <row r="25">
      <c r="A25" s="7" t="n">
        <v>46289.95004011574</v>
      </c>
      <c r="B25" s="7" t="n">
        <v>46289.94930555556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178.4</v>
      </c>
    </row>
    <row r="26">
      <c r="A26" s="7" t="n">
        <v>46289.94135959491</v>
      </c>
      <c r="B26" s="7" t="n">
        <v>46289.94027777778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183.8</v>
      </c>
    </row>
    <row r="27">
      <c r="A27" s="7" t="n">
        <v>46289.92565313658</v>
      </c>
      <c r="B27" s="7" t="n">
        <v>46289.92430555556</v>
      </c>
      <c r="C27" s="2" t="n">
        <v>433</v>
      </c>
      <c r="D27" s="2" t="n">
        <v>6</v>
      </c>
      <c r="E27" s="2" t="n">
        <v>3</v>
      </c>
      <c r="F27" s="2" t="n">
        <v>1</v>
      </c>
      <c r="G27" s="2" t="n">
        <v>226.2</v>
      </c>
    </row>
    <row r="28">
      <c r="A28" s="7" t="n">
        <v>46289.84896370371</v>
      </c>
      <c r="B28" s="7" t="n">
        <v>46289.84791666667</v>
      </c>
      <c r="C28" s="2" t="n">
        <v>433</v>
      </c>
      <c r="D28" s="2" t="n">
        <v>2</v>
      </c>
      <c r="E28" s="2" t="n">
        <v>2</v>
      </c>
      <c r="F28" s="2" t="n">
        <v>1</v>
      </c>
      <c r="G28" s="2" t="n">
        <v>147.5</v>
      </c>
    </row>
    <row r="29">
      <c r="A29" s="7" t="n">
        <v>46289.78526427083</v>
      </c>
      <c r="B29" s="7" t="n">
        <v>46289.78402777778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186.8</v>
      </c>
    </row>
    <row r="30">
      <c r="A30" s="7" t="n">
        <v>46289.75543116898</v>
      </c>
      <c r="B30" s="7" t="n">
        <v>46289.75</v>
      </c>
      <c r="C30" s="2" t="n">
        <v>433</v>
      </c>
      <c r="D30" s="2" t="n">
        <v>15</v>
      </c>
      <c r="E30" s="2" t="n">
        <v>11</v>
      </c>
      <c r="F30" s="2" t="n">
        <v>1</v>
      </c>
      <c r="G30" s="2" t="n">
        <v>109.8</v>
      </c>
    </row>
    <row r="31">
      <c r="A31" s="7" t="n">
        <v>46289.54138961805</v>
      </c>
      <c r="B31" s="7" t="n">
        <v>46289.53472222222</v>
      </c>
      <c r="C31" s="2" t="n">
        <v>433</v>
      </c>
      <c r="D31" s="2" t="n">
        <v>2</v>
      </c>
      <c r="E31" s="2" t="n">
        <v>3</v>
      </c>
      <c r="F31" s="2" t="n">
        <v>1</v>
      </c>
      <c r="G31" s="2" t="n">
        <v>125.8</v>
      </c>
    </row>
    <row r="32">
      <c r="A32" s="7" t="n">
        <v>46289.32358565972</v>
      </c>
      <c r="B32" s="7" t="n">
        <v>46289.31944444445</v>
      </c>
      <c r="C32" s="2" t="n">
        <v>433</v>
      </c>
      <c r="D32" s="2" t="n">
        <v>2</v>
      </c>
      <c r="E32" s="2" t="n">
        <v>4</v>
      </c>
      <c r="F32" s="2" t="n">
        <v>1</v>
      </c>
      <c r="G32" s="2" t="n">
        <v>130.2</v>
      </c>
    </row>
    <row r="33">
      <c r="A33" s="7" t="n">
        <v>46289.18599210648</v>
      </c>
      <c r="B33" s="7" t="n">
        <v>46289.18055555555</v>
      </c>
      <c r="C33" s="2" t="n">
        <v>433</v>
      </c>
      <c r="D33" s="2" t="n">
        <v>3</v>
      </c>
      <c r="E33" s="2" t="n">
        <v>4</v>
      </c>
      <c r="F33" s="2" t="n">
        <v>1</v>
      </c>
      <c r="G33" s="2" t="n">
        <v>129.3</v>
      </c>
    </row>
    <row r="34">
      <c r="A34" s="7" t="n">
        <v>46289.04908521991</v>
      </c>
      <c r="B34" s="7" t="n">
        <v>46289.04513888889</v>
      </c>
      <c r="C34" s="2" t="n">
        <v>433</v>
      </c>
      <c r="D34" s="2" t="n">
        <v>2</v>
      </c>
      <c r="E34" s="2" t="n">
        <v>8</v>
      </c>
      <c r="F34" s="2" t="n">
        <v>1</v>
      </c>
      <c r="G34" s="2" t="n">
        <v>96.90000000000001</v>
      </c>
    </row>
    <row r="35">
      <c r="A35" s="7" t="n">
        <v>46289.00944646991</v>
      </c>
      <c r="B35" s="7" t="n">
        <v>46289.00347222222</v>
      </c>
      <c r="C35" s="2" t="n">
        <v>433</v>
      </c>
      <c r="D35" s="2" t="n">
        <v>26</v>
      </c>
      <c r="E35" s="2" t="n">
        <v>15</v>
      </c>
      <c r="F35" s="2" t="n">
        <v>1</v>
      </c>
      <c r="G35" s="2" t="n">
        <v>127</v>
      </c>
    </row>
    <row r="36">
      <c r="A36" s="7" t="n">
        <v>46288.82408041666</v>
      </c>
      <c r="B36" s="7" t="n">
        <v>46288.81944444445</v>
      </c>
      <c r="C36" s="2" t="n">
        <v>433</v>
      </c>
      <c r="D36" s="2" t="n">
        <v>1</v>
      </c>
      <c r="E36" s="2" t="n">
        <v>2</v>
      </c>
      <c r="F36" s="2" t="n">
        <v>2</v>
      </c>
      <c r="G36" s="2" t="n">
        <v>118.2</v>
      </c>
    </row>
    <row r="37">
      <c r="A37" s="7" t="n">
        <v>46288.75275025463</v>
      </c>
      <c r="B37" s="7" t="n">
        <v>46288.74652777778</v>
      </c>
      <c r="C37" s="2" t="n">
        <v>433</v>
      </c>
      <c r="D37" s="2" t="n">
        <v>4</v>
      </c>
      <c r="E37" s="2" t="n">
        <v>3</v>
      </c>
      <c r="F37" s="2" t="n">
        <v>2</v>
      </c>
      <c r="G37" s="2" t="n">
        <v>125.5</v>
      </c>
    </row>
    <row r="38">
      <c r="A38" s="7" t="n">
        <v>46288.58577883102</v>
      </c>
      <c r="B38" s="7" t="n">
        <v>46288.57986111111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112.8</v>
      </c>
    </row>
    <row r="39">
      <c r="A39" s="7" t="n">
        <v>46288.57218969907</v>
      </c>
      <c r="B39" s="7" t="n">
        <v>46288.56597222222</v>
      </c>
      <c r="C39" s="2" t="n">
        <v>433</v>
      </c>
      <c r="D39" s="2" t="n">
        <v>4</v>
      </c>
      <c r="E39" s="2" t="n">
        <v>5</v>
      </c>
      <c r="F39" s="2" t="n">
        <v>2</v>
      </c>
      <c r="G39" s="2" t="n">
        <v>99.7</v>
      </c>
    </row>
    <row r="40">
      <c r="A40" s="7" t="n">
        <v>46288.36332482639</v>
      </c>
      <c r="B40" s="7" t="n">
        <v>46288.35763888889</v>
      </c>
      <c r="C40" s="2" t="n">
        <v>441</v>
      </c>
      <c r="D40" s="2" t="n">
        <v>2</v>
      </c>
      <c r="E40" s="2" t="n">
        <v>4</v>
      </c>
      <c r="F40" s="2" t="n">
        <v>2</v>
      </c>
      <c r="G40" s="2" t="n">
        <v>94.40000000000001</v>
      </c>
    </row>
    <row r="41">
      <c r="A41" s="7" t="n">
        <v>46288.26120461806</v>
      </c>
      <c r="B41" s="7" t="n">
        <v>46288.25694444445</v>
      </c>
      <c r="C41" s="2" t="n">
        <v>441</v>
      </c>
      <c r="D41" s="2" t="n">
        <v>0</v>
      </c>
      <c r="E41" s="2" t="n">
        <v>3</v>
      </c>
      <c r="F41" s="2" t="n">
        <v>2</v>
      </c>
      <c r="G41" s="2" t="n">
        <v>103.1</v>
      </c>
    </row>
    <row r="42">
      <c r="A42" s="7" t="n">
        <v>46288.12397528935</v>
      </c>
      <c r="B42" s="7" t="n">
        <v>46288.11805555555</v>
      </c>
      <c r="C42" s="2" t="n">
        <v>441</v>
      </c>
      <c r="D42" s="2" t="n">
        <v>7</v>
      </c>
      <c r="E42" s="2" t="n">
        <v>1</v>
      </c>
      <c r="F42" s="2" t="n">
        <v>2</v>
      </c>
      <c r="G42" s="2" t="n">
        <v>114.4</v>
      </c>
    </row>
    <row r="43">
      <c r="A43" s="7" t="n">
        <v>46287.95840076389</v>
      </c>
      <c r="B43" s="7" t="n">
        <v>46287.95486111111</v>
      </c>
      <c r="C43" s="2" t="n">
        <v>441</v>
      </c>
      <c r="D43" s="2" t="n">
        <v>6</v>
      </c>
      <c r="E43" s="2" t="n">
        <v>5</v>
      </c>
      <c r="F43" s="2" t="n">
        <v>2</v>
      </c>
      <c r="G43" s="2" t="n">
        <v>135.1</v>
      </c>
    </row>
    <row r="44">
      <c r="A44" s="7" t="n">
        <v>46287.75277884259</v>
      </c>
      <c r="B44" s="7" t="n">
        <v>46287.74652777778</v>
      </c>
      <c r="C44" s="2" t="n">
        <v>440</v>
      </c>
      <c r="D44" s="2" t="n">
        <v>1</v>
      </c>
      <c r="E44" s="2" t="n">
        <v>3</v>
      </c>
      <c r="F44" s="2" t="n">
        <v>0</v>
      </c>
      <c r="G44" s="2" t="n">
        <v>130.3</v>
      </c>
    </row>
    <row r="45">
      <c r="A45" s="7" t="n">
        <v>46287.6758560301</v>
      </c>
      <c r="B45" s="7" t="n">
        <v>46287.67013888889</v>
      </c>
      <c r="C45" s="2" t="n">
        <v>440</v>
      </c>
      <c r="D45" s="2" t="n">
        <v>4</v>
      </c>
      <c r="E45" s="2" t="n">
        <v>3</v>
      </c>
      <c r="F45" s="2" t="n">
        <v>0</v>
      </c>
      <c r="G45" s="2" t="n">
        <v>91.7</v>
      </c>
    </row>
    <row r="46">
      <c r="A46" s="7" t="n">
        <v>46287.54602564815</v>
      </c>
      <c r="B46" s="7" t="n">
        <v>46287.54166666666</v>
      </c>
      <c r="C46" s="2" t="n">
        <v>440</v>
      </c>
      <c r="D46" s="2" t="n">
        <v>1</v>
      </c>
      <c r="E46" s="2" t="n">
        <v>3</v>
      </c>
      <c r="F46" s="2" t="n">
        <v>0</v>
      </c>
      <c r="G46" s="2" t="n">
        <v>125.4</v>
      </c>
    </row>
    <row r="47">
      <c r="A47" s="7" t="n">
        <v>46287.51247143518</v>
      </c>
      <c r="B47" s="7" t="n">
        <v>46287.50694444445</v>
      </c>
      <c r="C47" s="2" t="n">
        <v>440</v>
      </c>
      <c r="D47" s="2" t="n">
        <v>7</v>
      </c>
      <c r="E47" s="2" t="n">
        <v>8</v>
      </c>
      <c r="F47" s="2" t="n">
        <v>0</v>
      </c>
      <c r="G47" s="2" t="n">
        <v>102.8</v>
      </c>
    </row>
    <row r="48">
      <c r="A48" s="7" t="n">
        <v>46287.30635083334</v>
      </c>
      <c r="B48" s="7" t="n">
        <v>46287.30208333334</v>
      </c>
      <c r="C48" s="2" t="n">
        <v>440</v>
      </c>
      <c r="D48" s="2" t="n">
        <v>9</v>
      </c>
      <c r="E48" s="2" t="n">
        <v>5</v>
      </c>
      <c r="F48" s="2" t="n">
        <v>0</v>
      </c>
      <c r="G48" s="2" t="n">
        <v>135.9</v>
      </c>
    </row>
    <row r="49">
      <c r="A49" s="7" t="n">
        <v>46287.14961865741</v>
      </c>
      <c r="B49" s="7" t="n">
        <v>46287.14583333334</v>
      </c>
      <c r="C49" s="2" t="n">
        <v>440</v>
      </c>
      <c r="D49" s="2" t="n">
        <v>6</v>
      </c>
      <c r="E49" s="2" t="n">
        <v>5</v>
      </c>
      <c r="F49" s="2" t="n">
        <v>0</v>
      </c>
      <c r="G49" s="2" t="n">
        <v>130.5</v>
      </c>
    </row>
    <row r="50">
      <c r="A50" s="7" t="n">
        <v>46286.92852005787</v>
      </c>
      <c r="B50" s="7" t="n">
        <v>46286.92361111111</v>
      </c>
      <c r="C50" s="2" t="n">
        <v>440</v>
      </c>
      <c r="D50" s="2" t="n">
        <v>2</v>
      </c>
      <c r="E50" s="2" t="n">
        <v>3</v>
      </c>
      <c r="F50" s="2" t="n">
        <v>0</v>
      </c>
      <c r="G50" s="2" t="n">
        <v>112.2</v>
      </c>
    </row>
    <row r="51">
      <c r="A51" s="7" t="n">
        <v>46286.83222814815</v>
      </c>
      <c r="B51" s="7" t="n">
        <v>46286.82638888889</v>
      </c>
      <c r="C51" s="2" t="n">
        <v>440</v>
      </c>
      <c r="D51" s="2" t="n">
        <v>5</v>
      </c>
      <c r="E51" s="2" t="n">
        <v>7</v>
      </c>
      <c r="F51" s="2" t="n">
        <v>0</v>
      </c>
      <c r="G51" s="2" t="n">
        <v>126.4</v>
      </c>
    </row>
    <row r="52">
      <c r="A52" s="7" t="n">
        <v>46286.60261268519</v>
      </c>
      <c r="B52" s="7" t="n">
        <v>46286.59722222222</v>
      </c>
      <c r="C52" s="2" t="n">
        <v>440</v>
      </c>
      <c r="D52" s="2" t="n">
        <v>8</v>
      </c>
      <c r="E52" s="2" t="n">
        <v>5</v>
      </c>
      <c r="F52" s="2" t="n">
        <v>0</v>
      </c>
      <c r="G52" s="2" t="n">
        <v>111.5</v>
      </c>
    </row>
    <row r="53">
      <c r="A53" s="7" t="n">
        <v>46286.38294268519</v>
      </c>
      <c r="B53" s="7" t="n">
        <v>46286.37847222222</v>
      </c>
      <c r="C53" s="2" t="n">
        <v>440</v>
      </c>
      <c r="D53" s="2" t="n">
        <v>3</v>
      </c>
      <c r="E53" s="2" t="n">
        <v>6</v>
      </c>
      <c r="F53" s="2" t="n">
        <v>0</v>
      </c>
      <c r="G53" s="2" t="n">
        <v>102.4</v>
      </c>
    </row>
    <row r="54">
      <c r="A54" s="7" t="n">
        <v>46286.27148542824</v>
      </c>
      <c r="B54" s="7" t="n">
        <v>46286.26736111111</v>
      </c>
      <c r="C54" s="2" t="n">
        <v>440</v>
      </c>
      <c r="D54" s="2" t="n">
        <v>2</v>
      </c>
      <c r="E54" s="2" t="n">
        <v>2</v>
      </c>
      <c r="F54" s="2" t="n">
        <v>0</v>
      </c>
      <c r="G54" s="2" t="n">
        <v>126.7</v>
      </c>
    </row>
    <row r="55">
      <c r="A55" s="7" t="n">
        <v>46286.14641391204</v>
      </c>
      <c r="B55" s="7" t="n">
        <v>46286.14236111111</v>
      </c>
      <c r="C55" s="2" t="n">
        <v>440</v>
      </c>
      <c r="D55" s="2" t="n">
        <v>4</v>
      </c>
      <c r="E55" s="2" t="n">
        <v>4</v>
      </c>
      <c r="F55" s="2" t="n">
        <v>0</v>
      </c>
      <c r="G55" s="2" t="n">
        <v>131.3</v>
      </c>
    </row>
    <row r="56">
      <c r="A56" s="7" t="n">
        <v>46286.03573545139</v>
      </c>
      <c r="B56" s="7" t="n">
        <v>46286.03125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127.3</v>
      </c>
    </row>
    <row r="57">
      <c r="A57" s="7" t="n">
        <v>46286.00283136574</v>
      </c>
      <c r="B57" s="7" t="n">
        <v>46285.99652777778</v>
      </c>
      <c r="C57" s="2" t="n">
        <v>440</v>
      </c>
      <c r="D57" s="2" t="n">
        <v>5</v>
      </c>
      <c r="E57" s="2" t="n">
        <v>5</v>
      </c>
      <c r="F57" s="2" t="n">
        <v>0</v>
      </c>
      <c r="G57" s="2" t="n">
        <v>101.9</v>
      </c>
    </row>
    <row r="58">
      <c r="A58" s="7" t="n">
        <v>46285.85245594908</v>
      </c>
      <c r="B58" s="7" t="n">
        <v>46285.84722222222</v>
      </c>
      <c r="C58" s="2" t="n">
        <v>440</v>
      </c>
      <c r="D58" s="2" t="n">
        <v>7</v>
      </c>
      <c r="E58" s="2" t="n">
        <v>6</v>
      </c>
      <c r="F58" s="2" t="n">
        <v>0</v>
      </c>
      <c r="G58" s="2" t="n">
        <v>100.6</v>
      </c>
    </row>
    <row r="59">
      <c r="A59" s="7" t="n">
        <v>46285.60105145833</v>
      </c>
      <c r="B59" s="7" t="n">
        <v>46285.59722222222</v>
      </c>
      <c r="C59" s="2" t="n">
        <v>440</v>
      </c>
      <c r="D59" s="2" t="n">
        <v>9</v>
      </c>
      <c r="E59" s="2" t="n">
        <v>5</v>
      </c>
      <c r="F59" s="2" t="n">
        <v>0</v>
      </c>
      <c r="G59" s="2" t="n">
        <v>129.1</v>
      </c>
    </row>
    <row r="60">
      <c r="A60" s="7" t="n">
        <v>46285.38559789352</v>
      </c>
      <c r="B60" s="7" t="n">
        <v>46285.38194444445</v>
      </c>
      <c r="C60" s="2" t="n">
        <v>440</v>
      </c>
      <c r="D60" s="2" t="n">
        <v>1</v>
      </c>
      <c r="E60" s="2" t="n">
        <v>1</v>
      </c>
      <c r="F60" s="2" t="n">
        <v>0</v>
      </c>
      <c r="G60" s="2" t="n">
        <v>112.5</v>
      </c>
    </row>
    <row r="61">
      <c r="A61" s="7" t="n">
        <v>46285.29994834491</v>
      </c>
      <c r="B61" s="7" t="n">
        <v>46285.29513888889</v>
      </c>
      <c r="C61" s="2" t="n">
        <v>440</v>
      </c>
      <c r="D61" s="2" t="n">
        <v>1</v>
      </c>
      <c r="E61" s="2" t="n">
        <v>3</v>
      </c>
      <c r="F61" s="2" t="n">
        <v>0</v>
      </c>
      <c r="G61" s="2" t="n">
        <v>128.1</v>
      </c>
    </row>
    <row r="62">
      <c r="A62" s="7" t="n">
        <v>46285.19964518519</v>
      </c>
      <c r="B62" s="7" t="n">
        <v>46285.19444444445</v>
      </c>
      <c r="C62" s="2" t="n">
        <v>440</v>
      </c>
      <c r="D62" s="2" t="n">
        <v>2</v>
      </c>
      <c r="E62" s="2" t="n">
        <v>3</v>
      </c>
      <c r="F62" s="2" t="n">
        <v>0</v>
      </c>
      <c r="G62" s="2" t="n">
        <v>110.6</v>
      </c>
    </row>
    <row r="63">
      <c r="A63" s="7" t="n">
        <v>46285.08704527777</v>
      </c>
      <c r="B63" s="7" t="n">
        <v>46285.08333333334</v>
      </c>
      <c r="C63" s="2" t="n">
        <v>440</v>
      </c>
      <c r="D63" s="2" t="n">
        <v>3</v>
      </c>
      <c r="E63" s="2" t="n">
        <v>3</v>
      </c>
      <c r="F63" s="2" t="n">
        <v>0</v>
      </c>
      <c r="G63" s="2" t="n">
        <v>95.09999999999999</v>
      </c>
    </row>
    <row r="64">
      <c r="A64" s="7" t="n">
        <v>46284.93748335648</v>
      </c>
      <c r="B64" s="7" t="n">
        <v>46284.93055555555</v>
      </c>
      <c r="C64" s="2" t="n">
        <v>440</v>
      </c>
      <c r="D64" s="2" t="n">
        <v>2</v>
      </c>
      <c r="E64" s="2" t="n">
        <v>2</v>
      </c>
      <c r="F64" s="2" t="n">
        <v>0</v>
      </c>
      <c r="G64" s="2" t="n">
        <v>128.7</v>
      </c>
    </row>
    <row r="65">
      <c r="A65" s="7" t="n">
        <v>46284.79727659722</v>
      </c>
      <c r="B65" s="7" t="n">
        <v>46284.79166666666</v>
      </c>
      <c r="C65" s="2" t="n">
        <v>440</v>
      </c>
      <c r="D65" s="2" t="n">
        <v>4</v>
      </c>
      <c r="E65" s="2" t="n">
        <v>5</v>
      </c>
      <c r="F65" s="2" t="n">
        <v>0</v>
      </c>
      <c r="G65" s="2" t="n">
        <v>109.7</v>
      </c>
    </row>
    <row r="66">
      <c r="A66" s="7" t="n">
        <v>46284.58365538195</v>
      </c>
      <c r="B66" s="7" t="n">
        <v>46284.57986111111</v>
      </c>
      <c r="C66" s="2" t="n">
        <v>440</v>
      </c>
      <c r="D66" s="2" t="n">
        <v>5</v>
      </c>
      <c r="E66" s="2" t="n">
        <v>4</v>
      </c>
      <c r="F66" s="2" t="n">
        <v>0</v>
      </c>
      <c r="G66" s="2" t="n">
        <v>101.8</v>
      </c>
    </row>
    <row r="67">
      <c r="A67" s="7" t="n">
        <v>46284.38530752315</v>
      </c>
      <c r="B67" s="7" t="n">
        <v>46284.37847222222</v>
      </c>
      <c r="C67" s="2" t="n">
        <v>440</v>
      </c>
      <c r="D67" s="2" t="n">
        <v>2</v>
      </c>
      <c r="E67" s="2" t="n">
        <v>4</v>
      </c>
      <c r="F67" s="2" t="n">
        <v>0</v>
      </c>
      <c r="G67" s="2" t="n">
        <v>130.8</v>
      </c>
    </row>
    <row r="68">
      <c r="A68" s="7" t="n">
        <v>46284.27664920139</v>
      </c>
      <c r="B68" s="7" t="n">
        <v>46284.27083333334</v>
      </c>
      <c r="C68" s="2" t="n">
        <v>440</v>
      </c>
      <c r="D68" s="2" t="n">
        <v>4</v>
      </c>
      <c r="E68" s="2" t="n">
        <v>1</v>
      </c>
      <c r="F68" s="2" t="n">
        <v>0</v>
      </c>
      <c r="G68" s="2" t="n">
        <v>127.8</v>
      </c>
    </row>
    <row r="69">
      <c r="A69" s="7" t="n">
        <v>46284.15392047453</v>
      </c>
      <c r="B69" s="7" t="n">
        <v>46284.14930555555</v>
      </c>
      <c r="C69" s="2" t="n">
        <v>440</v>
      </c>
      <c r="D69" s="2" t="n">
        <v>3</v>
      </c>
      <c r="E69" s="2" t="n">
        <v>2</v>
      </c>
      <c r="F69" s="2" t="n">
        <v>0</v>
      </c>
      <c r="G69" s="2" t="n">
        <v>135.6</v>
      </c>
    </row>
    <row r="70">
      <c r="A70" s="7" t="n">
        <v>46284.02123533565</v>
      </c>
      <c r="B70" s="7" t="n">
        <v>46284.01736111111</v>
      </c>
      <c r="C70" s="2" t="n">
        <v>440</v>
      </c>
      <c r="D70" s="2" t="n">
        <v>2</v>
      </c>
      <c r="E70" s="2" t="n">
        <v>1</v>
      </c>
      <c r="F70" s="2" t="n">
        <v>0</v>
      </c>
      <c r="G70" s="2" t="n">
        <v>102.8</v>
      </c>
    </row>
    <row r="71">
      <c r="A71" s="7" t="n">
        <v>46283.99753837963</v>
      </c>
      <c r="B71" s="7" t="n">
        <v>46283.99305555555</v>
      </c>
      <c r="C71" s="2" t="n">
        <v>440</v>
      </c>
      <c r="D71" s="2" t="n">
        <v>1</v>
      </c>
      <c r="E71" s="2" t="n">
        <v>3</v>
      </c>
      <c r="F71" s="2" t="n">
        <v>0</v>
      </c>
      <c r="G71" s="2" t="n">
        <v>129.8</v>
      </c>
    </row>
    <row r="72">
      <c r="A72" s="7" t="n">
        <v>46283.80859936342</v>
      </c>
      <c r="B72" s="7" t="n">
        <v>46283.80208333334</v>
      </c>
      <c r="C72" s="2" t="n">
        <v>440</v>
      </c>
      <c r="D72" s="2" t="n">
        <v>0</v>
      </c>
      <c r="E72" s="2" t="n">
        <v>1</v>
      </c>
      <c r="F72" s="2" t="n">
        <v>0</v>
      </c>
      <c r="G72" s="2" t="n">
        <v>127.7</v>
      </c>
    </row>
    <row r="73">
      <c r="A73" s="7" t="n">
        <v>46283.78916202546</v>
      </c>
      <c r="B73" s="7" t="n">
        <v>46283.78472222222</v>
      </c>
      <c r="C73" s="2" t="n">
        <v>440</v>
      </c>
      <c r="D73" s="2" t="n">
        <v>4</v>
      </c>
      <c r="E73" s="2" t="n">
        <v>3</v>
      </c>
      <c r="F73" s="2" t="n">
        <v>0</v>
      </c>
      <c r="G73" s="2" t="n">
        <v>119.1</v>
      </c>
    </row>
    <row r="74">
      <c r="A74" s="7" t="n">
        <v>46283.58323265046</v>
      </c>
      <c r="B74" s="7" t="n">
        <v>46283.57638888889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126.7</v>
      </c>
    </row>
    <row r="75">
      <c r="A75" s="7" t="n">
        <v>46283.57323743056</v>
      </c>
      <c r="B75" s="7" t="n">
        <v>46283.56944444445</v>
      </c>
      <c r="C75" s="2" t="n">
        <v>440</v>
      </c>
      <c r="D75" s="2" t="n">
        <v>4</v>
      </c>
      <c r="E75" s="2" t="n">
        <v>6</v>
      </c>
      <c r="F75" s="2" t="n">
        <v>0</v>
      </c>
      <c r="G75" s="2" t="n">
        <v>94.3</v>
      </c>
    </row>
    <row r="76">
      <c r="A76" s="7" t="n">
        <v>46283.45181144676</v>
      </c>
      <c r="B76" s="7" t="n">
        <v>46283.44791666666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132.3</v>
      </c>
    </row>
    <row r="77">
      <c r="A77" s="7" t="n">
        <v>46283.44134394676</v>
      </c>
      <c r="B77" s="7" t="n">
        <v>46283.4375</v>
      </c>
      <c r="C77" s="2" t="n">
        <v>440</v>
      </c>
      <c r="D77" s="2" t="n">
        <v>4</v>
      </c>
      <c r="E77" s="2" t="n">
        <v>2</v>
      </c>
      <c r="F77" s="2" t="n">
        <v>0</v>
      </c>
      <c r="G77" s="2" t="n">
        <v>373.5</v>
      </c>
    </row>
    <row r="78">
      <c r="A78" s="7" t="n">
        <v>46283.35273409722</v>
      </c>
      <c r="B78" s="7" t="n">
        <v>46283.34722222222</v>
      </c>
      <c r="C78" s="2" t="n">
        <v>440</v>
      </c>
      <c r="D78" s="2" t="n">
        <v>2</v>
      </c>
      <c r="E78" s="2" t="n">
        <v>1</v>
      </c>
      <c r="F78" s="2" t="n">
        <v>0</v>
      </c>
      <c r="G78" s="2" t="n">
        <v>132.3</v>
      </c>
    </row>
    <row r="79">
      <c r="A79" s="7" t="n">
        <v>46283.26014016203</v>
      </c>
      <c r="B79" s="7" t="n">
        <v>46283.25347222222</v>
      </c>
      <c r="C79" s="2" t="n">
        <v>440</v>
      </c>
      <c r="D79" s="2" t="n">
        <v>2</v>
      </c>
      <c r="E79" s="2" t="n">
        <v>0</v>
      </c>
      <c r="F79" s="2" t="n">
        <v>0</v>
      </c>
      <c r="G79" s="2" t="n">
        <v>129.5</v>
      </c>
    </row>
    <row r="80">
      <c r="A80" s="7" t="n">
        <v>46283.09637409722</v>
      </c>
      <c r="B80" s="7" t="n">
        <v>46283.09027777778</v>
      </c>
      <c r="C80" s="2" t="n">
        <v>440</v>
      </c>
      <c r="D80" s="2" t="n">
        <v>6</v>
      </c>
      <c r="E80" s="2" t="n">
        <v>8</v>
      </c>
      <c r="F80" s="2" t="n">
        <v>0</v>
      </c>
      <c r="G80" s="2" t="n">
        <v>131.2</v>
      </c>
    </row>
    <row r="81">
      <c r="A81" s="7" t="n">
        <v>46282.89824439815</v>
      </c>
      <c r="B81" s="7" t="n">
        <v>46282.89236111111</v>
      </c>
      <c r="C81" s="2" t="n">
        <v>440</v>
      </c>
      <c r="D81" s="2" t="n">
        <v>3</v>
      </c>
      <c r="E81" s="2" t="n">
        <v>1</v>
      </c>
      <c r="F81" s="2" t="n">
        <v>0</v>
      </c>
      <c r="G81" s="2" t="n">
        <v>137</v>
      </c>
    </row>
    <row r="82">
      <c r="A82" s="7" t="n">
        <v>46282.65711792824</v>
      </c>
      <c r="B82" s="7" t="n">
        <v>46282.65277777778</v>
      </c>
      <c r="C82" s="2" t="n">
        <v>440</v>
      </c>
      <c r="D82" s="2" t="n">
        <v>2</v>
      </c>
      <c r="E82" s="2" t="n">
        <v>2</v>
      </c>
      <c r="F82" s="2" t="n">
        <v>0</v>
      </c>
      <c r="G82" s="2" t="n">
        <v>126.6</v>
      </c>
    </row>
    <row r="83">
      <c r="A83" s="7" t="n">
        <v>46282.40350203704</v>
      </c>
      <c r="B83" s="7" t="n">
        <v>46282.39930555555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323.7</v>
      </c>
    </row>
    <row r="84">
      <c r="A84" s="7" t="n">
        <v>46282.39577758102</v>
      </c>
      <c r="B84" s="7" t="n">
        <v>46282.33333333334</v>
      </c>
      <c r="C84" s="2" t="n">
        <v>440</v>
      </c>
      <c r="D84" s="2" t="n">
        <v>0</v>
      </c>
      <c r="E84" s="2" t="n">
        <v>6</v>
      </c>
      <c r="F84" s="2" t="n">
        <v>0</v>
      </c>
      <c r="G84" s="2" t="n">
        <v>50.5</v>
      </c>
    </row>
    <row r="85">
      <c r="A85" s="7" t="n">
        <v>46282.29222982639</v>
      </c>
      <c r="B85" s="7" t="n">
        <v>46282.25</v>
      </c>
      <c r="C85" s="2" t="n">
        <v>440</v>
      </c>
      <c r="D85" s="2" t="n">
        <v>2</v>
      </c>
      <c r="E85" s="2" t="n">
        <v>1</v>
      </c>
      <c r="F85" s="2" t="n">
        <v>0</v>
      </c>
      <c r="G85" s="2" t="n">
        <v>66.2</v>
      </c>
    </row>
    <row r="86">
      <c r="A86" s="7" t="n">
        <v>46282.17576607639</v>
      </c>
      <c r="B86" s="7" t="n">
        <v>46282.125</v>
      </c>
      <c r="C86" s="2" t="n">
        <v>440</v>
      </c>
      <c r="D86" s="2" t="n">
        <v>6</v>
      </c>
      <c r="E86" s="2" t="n">
        <v>1</v>
      </c>
      <c r="F86" s="2" t="n">
        <v>0</v>
      </c>
      <c r="G86" s="2" t="n">
        <v>67</v>
      </c>
    </row>
    <row r="87">
      <c r="A87" s="7" t="n">
        <v>46282.04552453704</v>
      </c>
      <c r="B87" s="7" t="n">
        <v>46282</v>
      </c>
      <c r="C87" s="2" t="n">
        <v>440</v>
      </c>
      <c r="D87" s="2" t="n">
        <v>2</v>
      </c>
      <c r="E87" s="2" t="n">
        <v>4</v>
      </c>
      <c r="F87" s="2" t="n">
        <v>0</v>
      </c>
      <c r="G87" s="2" t="n">
        <v>52.9</v>
      </c>
    </row>
    <row r="88">
      <c r="A88" s="7" t="n">
        <v>46281.82298537037</v>
      </c>
      <c r="B88" s="7" t="n">
        <v>46281.75</v>
      </c>
      <c r="C88" s="2" t="n">
        <v>440</v>
      </c>
      <c r="D88" s="2" t="n">
        <v>2</v>
      </c>
      <c r="E88" s="2" t="n">
        <v>4</v>
      </c>
      <c r="F88" s="2" t="n">
        <v>0</v>
      </c>
      <c r="G88" s="2" t="n">
        <v>65.7</v>
      </c>
    </row>
    <row r="89">
      <c r="A89" s="7" t="n">
        <v>46281.58829054398</v>
      </c>
      <c r="B89" s="7" t="n">
        <v>46281.54166666666</v>
      </c>
      <c r="C89" s="2" t="n">
        <v>440</v>
      </c>
      <c r="D89" s="2" t="n">
        <v>7</v>
      </c>
      <c r="E89" s="2" t="n">
        <v>3</v>
      </c>
      <c r="F89" s="2" t="n">
        <v>0</v>
      </c>
      <c r="G89" s="2" t="n">
        <v>54.5</v>
      </c>
    </row>
    <row r="90">
      <c r="A90" s="7" t="n">
        <v>46281.35205523148</v>
      </c>
      <c r="B90" s="7" t="n">
        <v>46281.29166666666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66.90000000000001</v>
      </c>
    </row>
    <row r="91">
      <c r="A91" s="7" t="n">
        <v>46281.22963460648</v>
      </c>
      <c r="B91" s="7" t="n">
        <v>46281.16666666666</v>
      </c>
      <c r="C91" s="2" t="n">
        <v>442</v>
      </c>
      <c r="D91" s="2" t="n">
        <v>3</v>
      </c>
      <c r="E91" s="2" t="n">
        <v>2</v>
      </c>
      <c r="F91" s="2" t="n">
        <v>0</v>
      </c>
      <c r="G91" s="2" t="n">
        <v>61.9</v>
      </c>
    </row>
    <row r="92">
      <c r="A92" s="7" t="n">
        <v>46281.094529375</v>
      </c>
      <c r="B92" s="7" t="n">
        <v>46281.04166666666</v>
      </c>
      <c r="C92" s="2" t="n">
        <v>442</v>
      </c>
      <c r="D92" s="2" t="n">
        <v>6</v>
      </c>
      <c r="E92" s="2" t="n">
        <v>6</v>
      </c>
      <c r="F92" s="2" t="n">
        <v>0</v>
      </c>
      <c r="G92" s="2" t="n">
        <v>46.5</v>
      </c>
    </row>
    <row r="93">
      <c r="A93" s="7" t="n">
        <v>46280.9017994676</v>
      </c>
      <c r="B93" s="7" t="n">
        <v>46280.83333333334</v>
      </c>
      <c r="C93" s="2" t="n">
        <v>442</v>
      </c>
      <c r="D93" s="2" t="n">
        <v>2</v>
      </c>
      <c r="E93" s="2" t="n">
        <v>4</v>
      </c>
      <c r="F93" s="2" t="n">
        <v>0</v>
      </c>
      <c r="G93" s="2" t="n">
        <v>56.7</v>
      </c>
    </row>
    <row r="94">
      <c r="A94" s="7" t="n">
        <v>46280.66002480324</v>
      </c>
      <c r="B94" s="7" t="n">
        <v>46280.58333333334</v>
      </c>
      <c r="C94" s="2" t="n">
        <v>442</v>
      </c>
      <c r="D94" s="2" t="n">
        <v>2</v>
      </c>
      <c r="E94" s="2" t="n">
        <v>3</v>
      </c>
      <c r="F94" s="2" t="n">
        <v>0</v>
      </c>
      <c r="G94" s="2" t="n">
        <v>67.40000000000001</v>
      </c>
    </row>
    <row r="95">
      <c r="A95" s="7" t="n">
        <v>46280.4778358449</v>
      </c>
      <c r="B95" s="7" t="n">
        <v>46280.41666666666</v>
      </c>
      <c r="C95" s="2" t="n">
        <v>442</v>
      </c>
      <c r="D95" s="2" t="n">
        <v>1</v>
      </c>
      <c r="E95" s="2" t="n">
        <v>0</v>
      </c>
      <c r="F95" s="2" t="n">
        <v>0</v>
      </c>
      <c r="G95" s="2" t="n">
        <v>61.2</v>
      </c>
    </row>
    <row r="96">
      <c r="A96" s="7" t="n">
        <v>46280.39795681713</v>
      </c>
      <c r="B96" s="7" t="n">
        <v>46280.33333333334</v>
      </c>
      <c r="C96" s="2" t="n">
        <v>442</v>
      </c>
      <c r="D96" s="2" t="n">
        <v>0</v>
      </c>
      <c r="E96" s="2" t="n">
        <v>1</v>
      </c>
      <c r="F96" s="2" t="n">
        <v>0</v>
      </c>
      <c r="G96" s="2" t="n">
        <v>66.90000000000001</v>
      </c>
    </row>
    <row r="97">
      <c r="A97" s="7" t="n">
        <v>46280.29983445602</v>
      </c>
      <c r="B97" s="7" t="n">
        <v>46280.25</v>
      </c>
      <c r="C97" s="2" t="n">
        <v>442</v>
      </c>
      <c r="D97" s="2" t="n">
        <v>1</v>
      </c>
      <c r="E97" s="2" t="n">
        <v>1</v>
      </c>
      <c r="F97" s="2" t="n">
        <v>0</v>
      </c>
      <c r="G97" s="2" t="n">
        <v>51.6</v>
      </c>
    </row>
    <row r="98">
      <c r="A98" s="7" t="n">
        <v>46280.14350143519</v>
      </c>
      <c r="B98" s="7" t="n">
        <v>46280.08333333334</v>
      </c>
      <c r="C98" s="2" t="n">
        <v>442</v>
      </c>
      <c r="D98" s="2" t="n">
        <v>3</v>
      </c>
      <c r="E98" s="2" t="n">
        <v>1</v>
      </c>
      <c r="F98" s="2" t="n">
        <v>0</v>
      </c>
      <c r="G98" s="2" t="n">
        <v>57.3</v>
      </c>
    </row>
    <row r="99">
      <c r="A99" s="7" t="n">
        <v>46279.92418226852</v>
      </c>
      <c r="B99" s="7" t="n">
        <v>46279.875</v>
      </c>
      <c r="C99" s="2" t="n">
        <v>442</v>
      </c>
      <c r="D99" s="2" t="n">
        <v>6</v>
      </c>
      <c r="E99" s="2" t="n">
        <v>7</v>
      </c>
      <c r="F99" s="2" t="n">
        <v>0</v>
      </c>
      <c r="G99" s="2" t="n">
        <v>48.1</v>
      </c>
    </row>
    <row r="100">
      <c r="A100" s="7" t="n">
        <v>46279.59996445602</v>
      </c>
      <c r="B100" s="7" t="n">
        <v>46279.54166666666</v>
      </c>
      <c r="C100" s="2" t="n">
        <v>442</v>
      </c>
      <c r="D100" s="2" t="n">
        <v>2</v>
      </c>
      <c r="E100" s="2" t="n">
        <v>3</v>
      </c>
      <c r="F100" s="2" t="n">
        <v>0</v>
      </c>
      <c r="G100" s="2" t="n">
        <v>61</v>
      </c>
    </row>
    <row r="101">
      <c r="A101" s="7" t="n">
        <v>46279.38316741898</v>
      </c>
      <c r="B101" s="7" t="n">
        <v>46279.33333333334</v>
      </c>
      <c r="C101" s="2" t="n">
        <v>442</v>
      </c>
      <c r="D101" s="2" t="n">
        <v>2</v>
      </c>
      <c r="E101" s="2" t="n">
        <v>2</v>
      </c>
      <c r="F101" s="2" t="n">
        <v>0</v>
      </c>
      <c r="G101" s="2" t="n">
        <v>59.9</v>
      </c>
    </row>
    <row r="102">
      <c r="A102" s="7" t="n">
        <v>46279.26932584491</v>
      </c>
      <c r="B102" s="7" t="n">
        <v>46279.20833333334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61.1</v>
      </c>
    </row>
    <row r="103">
      <c r="A103" s="7" t="n">
        <v>46279.14665413195</v>
      </c>
      <c r="B103" s="7" t="n">
        <v>46279.08333333334</v>
      </c>
      <c r="C103" s="2" t="n">
        <v>442</v>
      </c>
      <c r="D103" s="2" t="n">
        <v>1</v>
      </c>
      <c r="E103" s="2" t="n">
        <v>0</v>
      </c>
      <c r="F103" s="2" t="n">
        <v>0</v>
      </c>
      <c r="G103" s="2" t="n">
        <v>55.1</v>
      </c>
    </row>
    <row r="104">
      <c r="A104" s="7" t="n">
        <v>46279.01733591435</v>
      </c>
      <c r="B104" s="7" t="n">
        <v>46278.95833333334</v>
      </c>
      <c r="C104" s="2" t="n">
        <v>442</v>
      </c>
      <c r="D104" s="2" t="n">
        <v>2</v>
      </c>
      <c r="E104" s="2" t="n">
        <v>4</v>
      </c>
      <c r="F104" s="2" t="n">
        <v>0</v>
      </c>
      <c r="G104" s="2" t="n">
        <v>59.7</v>
      </c>
    </row>
    <row r="105">
      <c r="A105" s="7" t="n">
        <v>46278.83725055555</v>
      </c>
      <c r="B105" s="7" t="n">
        <v>46278.79166666666</v>
      </c>
      <c r="C105" s="2" t="n">
        <v>442</v>
      </c>
      <c r="D105" s="2" t="n">
        <v>0</v>
      </c>
      <c r="E105" s="2" t="n">
        <v>3</v>
      </c>
      <c r="F105" s="2" t="n">
        <v>0</v>
      </c>
      <c r="G105" s="2" t="n">
        <v>65.40000000000001</v>
      </c>
    </row>
    <row r="106">
      <c r="A106" s="7" t="n">
        <v>46278.71111972223</v>
      </c>
      <c r="B106" s="7" t="n">
        <v>46278.66666666666</v>
      </c>
      <c r="C106" s="2" t="n">
        <v>442</v>
      </c>
      <c r="D106" s="2" t="n">
        <v>3</v>
      </c>
      <c r="E106" s="2" t="n">
        <v>1</v>
      </c>
      <c r="F106" s="2" t="n">
        <v>0</v>
      </c>
      <c r="G106" s="2" t="n">
        <v>63.6</v>
      </c>
    </row>
    <row r="107">
      <c r="A107" s="7" t="n">
        <v>46278.68053923611</v>
      </c>
      <c r="B107" s="7" t="n">
        <v>46278.625</v>
      </c>
      <c r="C107" s="2" t="n">
        <v>442</v>
      </c>
      <c r="D107" s="2" t="n">
        <v>9</v>
      </c>
      <c r="E107" s="2" t="n">
        <v>10</v>
      </c>
      <c r="F107" s="2" t="n">
        <v>0</v>
      </c>
      <c r="G107" s="2" t="n">
        <v>63.6</v>
      </c>
    </row>
    <row r="108">
      <c r="A108" s="7" t="n">
        <v>46278.07354997685</v>
      </c>
      <c r="B108" s="7" t="n">
        <v>46278</v>
      </c>
      <c r="C108" s="2" t="n">
        <v>442</v>
      </c>
      <c r="D108" s="2" t="n">
        <v>3</v>
      </c>
      <c r="E108" s="2" t="n">
        <v>1</v>
      </c>
      <c r="F108" s="2" t="n">
        <v>0</v>
      </c>
      <c r="G108" s="2" t="n">
        <v>50.2</v>
      </c>
    </row>
    <row r="109">
      <c r="A109" s="7" t="n">
        <v>46277.94390239583</v>
      </c>
      <c r="B109" s="7" t="n">
        <v>46277.875</v>
      </c>
      <c r="C109" s="2" t="n">
        <v>442</v>
      </c>
      <c r="D109" s="2" t="n">
        <v>190</v>
      </c>
      <c r="E109" s="2" t="n">
        <v>186</v>
      </c>
      <c r="F109" s="2" t="n">
        <v>0</v>
      </c>
      <c r="G109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+0.90%）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179</v>
      </c>
      <c r="C6" s="10" t="n">
        <v>0.5754189944134078</v>
      </c>
      <c r="D6" s="4" t="n">
        <v>-0.004966480446927382</v>
      </c>
      <c r="E6" s="2" t="n">
        <v>92</v>
      </c>
      <c r="F6" s="10" t="n">
        <v>0.6304347826086957</v>
      </c>
      <c r="G6" s="4" t="n">
        <v>-0.0005652173913043544</v>
      </c>
      <c r="H6" s="2" t="n">
        <v>61</v>
      </c>
      <c r="I6" s="10" t="n">
        <v>0.6229508196721312</v>
      </c>
      <c r="J6" s="4" t="n">
        <v>-0.001163934426229511</v>
      </c>
      <c r="K6" s="2" t="n">
        <v>52</v>
      </c>
      <c r="L6" s="10" t="n">
        <v>0.6346153846153846</v>
      </c>
      <c r="M6" s="4" t="n">
        <v>-0.000230769230769231</v>
      </c>
      <c r="N6" s="2" t="n">
        <v>72</v>
      </c>
      <c r="O6" s="10" t="n">
        <v>0.625</v>
      </c>
      <c r="P6" s="4" t="n">
        <v>-0.001000000000000001</v>
      </c>
      <c r="Q6" s="2" t="n">
        <v>32</v>
      </c>
      <c r="R6" s="10" t="n">
        <v>0.75</v>
      </c>
      <c r="S6" s="4" t="n">
        <v>0.009000000000000005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資金明細!R984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MAX(資金明細!$R$2:$R$984)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MIN(資金明細!$R$2:$R$984)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MIN(資金明細!$X$2:$X$984)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COUNTIFS(資金明細!$C$2:$C$984,"進場",資金明細!$N$2:$N$984,"已下單")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COUNTIFS(資金明細!$C$2:$C$984,"進場",資金明細!$N$2:$N$984,"資金不足略過")</f>
        <v/>
      </c>
    </row>
    <row r="11">
      <c r="D11" s="2" t="inlineStr">
        <is>
          <t>止盈筆數</t>
        </is>
      </c>
      <c r="E11" s="18">
        <f>COUNTIFS(資金明細!$C$2:$C$984,"出場",資金明細!$N$2:$N$984,"已下單",資金明細!$K$2:$K$984,"止盈")</f>
        <v/>
      </c>
    </row>
    <row r="12">
      <c r="A12" s="2" t="inlineStr">
        <is>
          <t>每筆止損約虧本金</t>
        </is>
      </c>
      <c r="B12" s="4">
        <f>B5*B7*IFERROR(AVERAGE(交易明細!$AB$2:$AB$495),參數!B6)</f>
        <v/>
      </c>
      <c r="D12" s="2" t="inlineStr">
        <is>
          <t>止損筆數</t>
        </is>
      </c>
      <c r="E12" s="18">
        <f>COUNTIFS(資金明細!$C$2:$C$984,"出場",資金明細!$N$2:$N$984,"已下單",資金明細!$K$2:$K$984,"止損")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IFERROR(E11/COUNTIFS(資金明細!$C$2:$C$984,"出場",資金明細!$N$2:$N$984,"已下單"),0)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MAX(資金明細!$U$2:$U$984)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MAX(資金明細!$S$2:$S$984)</f>
        <v/>
      </c>
    </row>
    <row r="16">
      <c r="D16" s="2" t="inlineStr">
        <is>
          <t>期末下單金額</t>
        </is>
      </c>
      <c r="E16" s="19">
        <f>B5*資金明細!V984</f>
        <v/>
      </c>
    </row>
    <row r="17">
      <c r="D17" s="2" t="inlineStr">
        <is>
          <t>未平倉浮動損益（未計入）</t>
        </is>
      </c>
      <c r="E17" s="13">
        <f>IF(資金明細!N963="已下單",資金明細!O963*交易明細!L483,0)+IF(資金明細!N968="已下單",資金明細!O968*交易明細!L487,0)+IF(資金明細!N971="已下單",資金明細!O971*交易明細!L489,0)+IF(資金明細!N972="已下單",資金明細!O972*交易明細!L490,0)+IF(資金明細!N983="已下單",資金明細!O983*交易明細!L494,0)+IF(資金明細!N984="已下單",資金明細!O984*交易明細!L495,0)</f>
        <v/>
      </c>
    </row>
    <row r="18">
      <c r="D18" s="2" t="inlineStr">
        <is>
          <t>最大總曝險倍數</t>
        </is>
      </c>
      <c r="E18" s="19">
        <f>MAX(資金明細!$Y$2:$Y$984)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IFERROR(INDEX(資金明細!$B$2:$B$984,MATCH(1,資金明細!$Z$2:$Z$984,0)),"未觸發")</f>
        <v/>
      </c>
    </row>
    <row r="21">
      <c r="D21" s="2" t="inlineStr">
        <is>
          <t>停止後略過筆數</t>
        </is>
      </c>
      <c r="E21" s="18">
        <f>COUNTIFS(資金明細!$C$2:$C$984,"進場",資金明細!$N$2:$N$984,"已停止")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n"/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n"/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n"/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n"/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n"/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n"/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n"/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n"/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n"/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n"/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n"/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  <row r="910">
      <c r="A910" s="2" t="n">
        <v>908</v>
      </c>
      <c r="B910" s="7" t="n">
        <v>46289.79166666666</v>
      </c>
      <c r="C910" s="2" t="inlineStr">
        <is>
          <t>進場</t>
        </is>
      </c>
      <c r="D910" s="2" t="n">
        <v>460</v>
      </c>
      <c r="E910" s="2" t="inlineStr">
        <is>
          <t>AKE_USDT_PERP</t>
        </is>
      </c>
      <c r="F910" s="2" t="inlineStr">
        <is>
          <t>做空</t>
        </is>
      </c>
      <c r="G910" s="20" t="n">
        <v>0.0416545</v>
      </c>
      <c r="H910" s="20" t="n">
        <v>0.040404865</v>
      </c>
      <c r="I910" s="20" t="n">
        <v>0.043737225</v>
      </c>
      <c r="J910" s="20" t="n"/>
      <c r="K910" s="2" t="n"/>
      <c r="L910" s="5" t="n"/>
      <c r="M910" s="19">
        <f>資金模擬!$B$5*V909</f>
        <v/>
      </c>
      <c r="N910" s="2">
        <f>IF(Z909=1,"已停止",IF(T909&gt;=M910,"已下單","資金不足略過"))</f>
        <v/>
      </c>
      <c r="O910" s="19">
        <f>IF(N910="已下單",M910*資金模擬!$B$7,0)</f>
        <v/>
      </c>
      <c r="P910" s="4" t="n"/>
      <c r="Q910" s="13" t="n">
        <v>0</v>
      </c>
      <c r="R910" s="13">
        <f>R909+Q910</f>
        <v/>
      </c>
      <c r="S910" s="19">
        <f>S909+IF(N910="已下單",M910,0)</f>
        <v/>
      </c>
      <c r="T910" s="19">
        <f>R910-S910</f>
        <v/>
      </c>
      <c r="U910" s="2">
        <f>U909+IF(N910="已下單",1,0)</f>
        <v/>
      </c>
      <c r="V910" s="19">
        <f>IF(資金模擬!$B$9=2,MAX(R910,0),MAX(V909,FLOOR(MAX(R910,0),資金模擬!$B$6)))</f>
        <v/>
      </c>
      <c r="W910" s="13">
        <f>MAX(W909,R910)</f>
        <v/>
      </c>
      <c r="X910" s="4">
        <f>IF(W910&gt;0,R910/W910-1,-1)</f>
        <v/>
      </c>
      <c r="Y910" s="19">
        <f>IF(R910&gt;0,S910*資金模擬!$B$7/R910,0)</f>
        <v/>
      </c>
      <c r="Z910" s="2">
        <f>IF(OR(Z909=1,R910&lt;=資金模擬!$B$10),1,0)</f>
        <v/>
      </c>
    </row>
    <row r="911">
      <c r="A911" s="2" t="n">
        <v>909</v>
      </c>
      <c r="B911" s="7" t="n">
        <v>46289.83333333334</v>
      </c>
      <c r="C911" s="2" t="inlineStr">
        <is>
          <t>出場</t>
        </is>
      </c>
      <c r="D911" s="2" t="n">
        <v>452</v>
      </c>
      <c r="E911" s="2" t="inlineStr">
        <is>
          <t>PONS_USDT_PERP</t>
        </is>
      </c>
      <c r="F911" s="2" t="inlineStr">
        <is>
          <t>做空</t>
        </is>
      </c>
      <c r="G911" s="20" t="n">
        <v>0.623</v>
      </c>
      <c r="H911" s="20" t="n">
        <v>0.60431</v>
      </c>
      <c r="I911" s="20" t="n">
        <v>0.65415</v>
      </c>
      <c r="J911" s="20" t="n">
        <v>0.60431</v>
      </c>
      <c r="K911" s="2" t="inlineStr">
        <is>
          <t>止盈</t>
        </is>
      </c>
      <c r="L911" s="5">
        <f>交易明細!K453</f>
        <v/>
      </c>
      <c r="M911" s="19">
        <f>M898</f>
        <v/>
      </c>
      <c r="N911" s="2">
        <f>N898</f>
        <v/>
      </c>
      <c r="O911" s="19">
        <f>O898</f>
        <v/>
      </c>
      <c r="P911" s="4">
        <f>交易明細!L453</f>
        <v/>
      </c>
      <c r="Q911" s="13">
        <f>IF(N911="已下單",O911*P911,0)</f>
        <v/>
      </c>
      <c r="R911" s="13">
        <f>R910+Q911</f>
        <v/>
      </c>
      <c r="S911" s="19">
        <f>S910-IF(N911="已下單",M911,0)</f>
        <v/>
      </c>
      <c r="T911" s="19">
        <f>R911-S911</f>
        <v/>
      </c>
      <c r="U911" s="2">
        <f>U910-IF(N911="已下單",1,0)</f>
        <v/>
      </c>
      <c r="V911" s="19">
        <f>IF(資金模擬!$B$9=2,MAX(R911,0),MAX(V910,FLOOR(MAX(R911,0),資金模擬!$B$6)))</f>
        <v/>
      </c>
      <c r="W911" s="13">
        <f>MAX(W910,R911)</f>
        <v/>
      </c>
      <c r="X911" s="4">
        <f>IF(W911&gt;0,R911/W911-1,-1)</f>
        <v/>
      </c>
      <c r="Y911" s="19">
        <f>IF(R911&gt;0,S911*資金模擬!$B$7/R911,0)</f>
        <v/>
      </c>
      <c r="Z911" s="2">
        <f>IF(OR(Z910=1,R911&lt;=資金模擬!$B$10),1,0)</f>
        <v/>
      </c>
    </row>
    <row r="912">
      <c r="A912" s="2" t="n">
        <v>910</v>
      </c>
      <c r="B912" s="7" t="n">
        <v>46289.83333333334</v>
      </c>
      <c r="C912" s="2" t="inlineStr">
        <is>
          <t>出場</t>
        </is>
      </c>
      <c r="D912" s="2" t="n">
        <v>460</v>
      </c>
      <c r="E912" s="2" t="inlineStr">
        <is>
          <t>AKE_USDT_PERP</t>
        </is>
      </c>
      <c r="F912" s="2" t="inlineStr">
        <is>
          <t>做空</t>
        </is>
      </c>
      <c r="G912" s="20" t="n">
        <v>0.0416545</v>
      </c>
      <c r="H912" s="20" t="n">
        <v>0.040404865</v>
      </c>
      <c r="I912" s="20" t="n">
        <v>0.043737225</v>
      </c>
      <c r="J912" s="20" t="n">
        <v>0.040404865</v>
      </c>
      <c r="K912" s="2" t="inlineStr">
        <is>
          <t>止盈</t>
        </is>
      </c>
      <c r="L912" s="5">
        <f>交易明細!K461</f>
        <v/>
      </c>
      <c r="M912" s="19">
        <f>M910</f>
        <v/>
      </c>
      <c r="N912" s="2">
        <f>N910</f>
        <v/>
      </c>
      <c r="O912" s="19">
        <f>O910</f>
        <v/>
      </c>
      <c r="P912" s="4">
        <f>交易明細!L461</f>
        <v/>
      </c>
      <c r="Q912" s="13">
        <f>IF(N912="已下單",O912*P912,0)</f>
        <v/>
      </c>
      <c r="R912" s="13">
        <f>R911+Q912</f>
        <v/>
      </c>
      <c r="S912" s="19">
        <f>S911-IF(N912="已下單",M912,0)</f>
        <v/>
      </c>
      <c r="T912" s="19">
        <f>R912-S912</f>
        <v/>
      </c>
      <c r="U912" s="2">
        <f>U911-IF(N912="已下單",1,0)</f>
        <v/>
      </c>
      <c r="V912" s="19">
        <f>IF(資金模擬!$B$9=2,MAX(R912,0),MAX(V911,FLOOR(MAX(R912,0),資金模擬!$B$6)))</f>
        <v/>
      </c>
      <c r="W912" s="13">
        <f>MAX(W911,R912)</f>
        <v/>
      </c>
      <c r="X912" s="4">
        <f>IF(W912&gt;0,R912/W912-1,-1)</f>
        <v/>
      </c>
      <c r="Y912" s="19">
        <f>IF(R912&gt;0,S912*資金模擬!$B$7/R912,0)</f>
        <v/>
      </c>
      <c r="Z912" s="2">
        <f>IF(OR(Z911=1,R912&lt;=資金模擬!$B$10),1,0)</f>
        <v/>
      </c>
    </row>
    <row r="913">
      <c r="A913" s="2" t="n">
        <v>911</v>
      </c>
      <c r="B913" s="7" t="n">
        <v>46289.83333333334</v>
      </c>
      <c r="C913" s="2" t="inlineStr">
        <is>
          <t>進場</t>
        </is>
      </c>
      <c r="D913" s="2" t="n">
        <v>461</v>
      </c>
      <c r="E913" s="2" t="inlineStr">
        <is>
          <t>BR_USDT_PERP</t>
        </is>
      </c>
      <c r="F913" s="2" t="inlineStr">
        <is>
          <t>做多</t>
        </is>
      </c>
      <c r="G913" s="20" t="n">
        <v>1.08909</v>
      </c>
      <c r="H913" s="20" t="n">
        <v>1.1217627</v>
      </c>
      <c r="I913" s="20" t="n">
        <v>1.0346355</v>
      </c>
      <c r="J913" s="20" t="n"/>
      <c r="K913" s="2" t="n"/>
      <c r="L913" s="5" t="n"/>
      <c r="M913" s="19">
        <f>資金模擬!$B$5*V912</f>
        <v/>
      </c>
      <c r="N913" s="2">
        <f>IF(Z912=1,"已停止",IF(T912&gt;=M913,"已下單","資金不足略過"))</f>
        <v/>
      </c>
      <c r="O913" s="19">
        <f>IF(N913="已下單",M913*資金模擬!$B$7,0)</f>
        <v/>
      </c>
      <c r="P913" s="4" t="n"/>
      <c r="Q913" s="13" t="n">
        <v>0</v>
      </c>
      <c r="R913" s="13">
        <f>R912+Q913</f>
        <v/>
      </c>
      <c r="S913" s="19">
        <f>S912+IF(N913="已下單",M913,0)</f>
        <v/>
      </c>
      <c r="T913" s="19">
        <f>R913-S913</f>
        <v/>
      </c>
      <c r="U913" s="2">
        <f>U912+IF(N913="已下單",1,0)</f>
        <v/>
      </c>
      <c r="V913" s="19">
        <f>IF(資金模擬!$B$9=2,MAX(R913,0),MAX(V912,FLOOR(MAX(R913,0),資金模擬!$B$6)))</f>
        <v/>
      </c>
      <c r="W913" s="13">
        <f>MAX(W912,R913)</f>
        <v/>
      </c>
      <c r="X913" s="4">
        <f>IF(W913&gt;0,R913/W913-1,-1)</f>
        <v/>
      </c>
      <c r="Y913" s="19">
        <f>IF(R913&gt;0,S913*資金模擬!$B$7/R913,0)</f>
        <v/>
      </c>
      <c r="Z913" s="2">
        <f>IF(OR(Z912=1,R913&lt;=資金模擬!$B$10),1,0)</f>
        <v/>
      </c>
    </row>
    <row r="914">
      <c r="A914" s="2" t="n">
        <v>912</v>
      </c>
      <c r="B914" s="7" t="n">
        <v>46289.875</v>
      </c>
      <c r="C914" s="2" t="inlineStr">
        <is>
          <t>進場</t>
        </is>
      </c>
      <c r="D914" s="2" t="n">
        <v>462</v>
      </c>
      <c r="E914" s="2" t="inlineStr">
        <is>
          <t>NEAR_USDT_PERP</t>
        </is>
      </c>
      <c r="F914" s="2" t="inlineStr">
        <is>
          <t>做多</t>
        </is>
      </c>
      <c r="G914" s="20" t="n">
        <v>4.413</v>
      </c>
      <c r="H914" s="20" t="n">
        <v>4.54539</v>
      </c>
      <c r="I914" s="20" t="n">
        <v>4.19235</v>
      </c>
      <c r="J914" s="20" t="n"/>
      <c r="K914" s="2" t="n"/>
      <c r="L914" s="5" t="n"/>
      <c r="M914" s="19">
        <f>資金模擬!$B$5*V913</f>
        <v/>
      </c>
      <c r="N914" s="2">
        <f>IF(Z913=1,"已停止",IF(T913&gt;=M914,"已下單","資金不足略過"))</f>
        <v/>
      </c>
      <c r="O914" s="19">
        <f>IF(N914="已下單",M914*資金模擬!$B$7,0)</f>
        <v/>
      </c>
      <c r="P914" s="4" t="n"/>
      <c r="Q914" s="13" t="n">
        <v>0</v>
      </c>
      <c r="R914" s="13">
        <f>R913+Q914</f>
        <v/>
      </c>
      <c r="S914" s="19">
        <f>S913+IF(N914="已下單",M914,0)</f>
        <v/>
      </c>
      <c r="T914" s="19">
        <f>R914-S914</f>
        <v/>
      </c>
      <c r="U914" s="2">
        <f>U913+IF(N914="已下單",1,0)</f>
        <v/>
      </c>
      <c r="V914" s="19">
        <f>IF(資金模擬!$B$9=2,MAX(R914,0),MAX(V913,FLOOR(MAX(R914,0),資金模擬!$B$6)))</f>
        <v/>
      </c>
      <c r="W914" s="13">
        <f>MAX(W913,R914)</f>
        <v/>
      </c>
      <c r="X914" s="4">
        <f>IF(W914&gt;0,R914/W914-1,-1)</f>
        <v/>
      </c>
      <c r="Y914" s="19">
        <f>IF(R914&gt;0,S914*資金模擬!$B$7/R914,0)</f>
        <v/>
      </c>
      <c r="Z914" s="2">
        <f>IF(OR(Z913=1,R914&lt;=資金模擬!$B$10),1,0)</f>
        <v/>
      </c>
    </row>
    <row r="915">
      <c r="A915" s="2" t="n">
        <v>913</v>
      </c>
      <c r="B915" s="7" t="n">
        <v>46289.875</v>
      </c>
      <c r="C915" s="2" t="inlineStr">
        <is>
          <t>進場</t>
        </is>
      </c>
      <c r="D915" s="2" t="n">
        <v>463</v>
      </c>
      <c r="E915" s="2" t="inlineStr">
        <is>
          <t>ZRO_USDT_PERP</t>
        </is>
      </c>
      <c r="F915" s="2" t="inlineStr">
        <is>
          <t>做空</t>
        </is>
      </c>
      <c r="G915" s="20" t="n">
        <v>1.4433</v>
      </c>
      <c r="H915" s="20" t="n">
        <v>1.400001</v>
      </c>
      <c r="I915" s="20" t="n">
        <v>1.515465</v>
      </c>
      <c r="J915" s="20" t="n"/>
      <c r="K915" s="2" t="n"/>
      <c r="L915" s="5" t="n"/>
      <c r="M915" s="19">
        <f>資金模擬!$B$5*V914</f>
        <v/>
      </c>
      <c r="N915" s="2">
        <f>IF(Z914=1,"已停止",IF(T914&gt;=M915,"已下單","資金不足略過"))</f>
        <v/>
      </c>
      <c r="O915" s="19">
        <f>IF(N915="已下單",M915*資金模擬!$B$7,0)</f>
        <v/>
      </c>
      <c r="P915" s="4" t="n"/>
      <c r="Q915" s="13" t="n">
        <v>0</v>
      </c>
      <c r="R915" s="13">
        <f>R914+Q915</f>
        <v/>
      </c>
      <c r="S915" s="19">
        <f>S914+IF(N915="已下單",M915,0)</f>
        <v/>
      </c>
      <c r="T915" s="19">
        <f>R915-S915</f>
        <v/>
      </c>
      <c r="U915" s="2">
        <f>U914+IF(N915="已下單",1,0)</f>
        <v/>
      </c>
      <c r="V915" s="19">
        <f>IF(資金模擬!$B$9=2,MAX(R915,0),MAX(V914,FLOOR(MAX(R915,0),資金模擬!$B$6)))</f>
        <v/>
      </c>
      <c r="W915" s="13">
        <f>MAX(W914,R915)</f>
        <v/>
      </c>
      <c r="X915" s="4">
        <f>IF(W915&gt;0,R915/W915-1,-1)</f>
        <v/>
      </c>
      <c r="Y915" s="19">
        <f>IF(R915&gt;0,S915*資金模擬!$B$7/R915,0)</f>
        <v/>
      </c>
      <c r="Z915" s="2">
        <f>IF(OR(Z914=1,R915&lt;=資金模擬!$B$10),1,0)</f>
        <v/>
      </c>
    </row>
    <row r="916">
      <c r="A916" s="2" t="n">
        <v>914</v>
      </c>
      <c r="B916" s="7" t="n">
        <v>46289.91666666666</v>
      </c>
      <c r="C916" s="2" t="inlineStr">
        <is>
          <t>出場</t>
        </is>
      </c>
      <c r="D916" s="2" t="n">
        <v>448</v>
      </c>
      <c r="E916" s="2" t="inlineStr">
        <is>
          <t>ENA_USDT_PERP</t>
        </is>
      </c>
      <c r="F916" s="2" t="inlineStr">
        <is>
          <t>做空</t>
        </is>
      </c>
      <c r="G916" s="20" t="n">
        <v>0.203</v>
      </c>
      <c r="H916" s="20" t="n">
        <v>0.19691</v>
      </c>
      <c r="I916" s="20" t="n">
        <v>0.21315</v>
      </c>
      <c r="J916" s="20" t="n">
        <v>0.21315</v>
      </c>
      <c r="K916" s="2" t="inlineStr">
        <is>
          <t>止損</t>
        </is>
      </c>
      <c r="L916" s="5">
        <f>交易明細!K449</f>
        <v/>
      </c>
      <c r="M916" s="19">
        <f>M894</f>
        <v/>
      </c>
      <c r="N916" s="2">
        <f>N894</f>
        <v/>
      </c>
      <c r="O916" s="19">
        <f>O894</f>
        <v/>
      </c>
      <c r="P916" s="4">
        <f>交易明細!L449</f>
        <v/>
      </c>
      <c r="Q916" s="13">
        <f>IF(N916="已下單",O916*P916,0)</f>
        <v/>
      </c>
      <c r="R916" s="13">
        <f>R915+Q916</f>
        <v/>
      </c>
      <c r="S916" s="19">
        <f>S915-IF(N916="已下單",M916,0)</f>
        <v/>
      </c>
      <c r="T916" s="19">
        <f>R916-S916</f>
        <v/>
      </c>
      <c r="U916" s="2">
        <f>U915-IF(N916="已下單",1,0)</f>
        <v/>
      </c>
      <c r="V916" s="19">
        <f>IF(資金模擬!$B$9=2,MAX(R916,0),MAX(V915,FLOOR(MAX(R916,0),資金模擬!$B$6)))</f>
        <v/>
      </c>
      <c r="W916" s="13">
        <f>MAX(W915,R916)</f>
        <v/>
      </c>
      <c r="X916" s="4">
        <f>IF(W916&gt;0,R916/W916-1,-1)</f>
        <v/>
      </c>
      <c r="Y916" s="19">
        <f>IF(R916&gt;0,S916*資金模擬!$B$7/R916,0)</f>
        <v/>
      </c>
      <c r="Z916" s="2">
        <f>IF(OR(Z915=1,R916&lt;=資金模擬!$B$10),1,0)</f>
        <v/>
      </c>
    </row>
    <row r="917">
      <c r="A917" s="2" t="n">
        <v>915</v>
      </c>
      <c r="B917" s="7" t="n">
        <v>46289.91666666666</v>
      </c>
      <c r="C917" s="2" t="inlineStr">
        <is>
          <t>出場</t>
        </is>
      </c>
      <c r="D917" s="2" t="n">
        <v>449</v>
      </c>
      <c r="E917" s="2" t="inlineStr">
        <is>
          <t>ICP_USDT_PERP</t>
        </is>
      </c>
      <c r="F917" s="2" t="inlineStr">
        <is>
          <t>做空</t>
        </is>
      </c>
      <c r="G917" s="20" t="n">
        <v>2.912</v>
      </c>
      <c r="H917" s="20" t="n">
        <v>2.82464</v>
      </c>
      <c r="I917" s="20" t="n">
        <v>3.0576</v>
      </c>
      <c r="J917" s="20" t="n">
        <v>3.0576</v>
      </c>
      <c r="K917" s="2" t="inlineStr">
        <is>
          <t>止損</t>
        </is>
      </c>
      <c r="L917" s="5">
        <f>交易明細!K450</f>
        <v/>
      </c>
      <c r="M917" s="19">
        <f>M895</f>
        <v/>
      </c>
      <c r="N917" s="2">
        <f>N895</f>
        <v/>
      </c>
      <c r="O917" s="19">
        <f>O895</f>
        <v/>
      </c>
      <c r="P917" s="4">
        <f>交易明細!L450</f>
        <v/>
      </c>
      <c r="Q917" s="13">
        <f>IF(N917="已下單",O917*P917,0)</f>
        <v/>
      </c>
      <c r="R917" s="13">
        <f>R916+Q917</f>
        <v/>
      </c>
      <c r="S917" s="19">
        <f>S916-IF(N917="已下單",M917,0)</f>
        <v/>
      </c>
      <c r="T917" s="19">
        <f>R917-S917</f>
        <v/>
      </c>
      <c r="U917" s="2">
        <f>U916-IF(N917="已下單",1,0)</f>
        <v/>
      </c>
      <c r="V917" s="19">
        <f>IF(資金模擬!$B$9=2,MAX(R917,0),MAX(V916,FLOOR(MAX(R917,0),資金模擬!$B$6)))</f>
        <v/>
      </c>
      <c r="W917" s="13">
        <f>MAX(W916,R917)</f>
        <v/>
      </c>
      <c r="X917" s="4">
        <f>IF(W917&gt;0,R917/W917-1,-1)</f>
        <v/>
      </c>
      <c r="Y917" s="19">
        <f>IF(R917&gt;0,S917*資金模擬!$B$7/R917,0)</f>
        <v/>
      </c>
      <c r="Z917" s="2">
        <f>IF(OR(Z916=1,R917&lt;=資金模擬!$B$10),1,0)</f>
        <v/>
      </c>
    </row>
    <row r="918">
      <c r="A918" s="2" t="n">
        <v>916</v>
      </c>
      <c r="B918" s="7" t="n">
        <v>46289.91666666666</v>
      </c>
      <c r="C918" s="2" t="inlineStr">
        <is>
          <t>出場</t>
        </is>
      </c>
      <c r="D918" s="2" t="n">
        <v>453</v>
      </c>
      <c r="E918" s="2" t="inlineStr">
        <is>
          <t>PYTH_USDT_PERP</t>
        </is>
      </c>
      <c r="F918" s="2" t="inlineStr">
        <is>
          <t>做空</t>
        </is>
      </c>
      <c r="G918" s="20" t="n">
        <v>0.06320000000000001</v>
      </c>
      <c r="H918" s="20" t="n">
        <v>0.061304</v>
      </c>
      <c r="I918" s="20" t="n">
        <v>0.06636000000000002</v>
      </c>
      <c r="J918" s="20" t="n">
        <v>0.06636000000000002</v>
      </c>
      <c r="K918" s="2" t="inlineStr">
        <is>
          <t>止損</t>
        </is>
      </c>
      <c r="L918" s="5">
        <f>交易明細!K454</f>
        <v/>
      </c>
      <c r="M918" s="19">
        <f>M899</f>
        <v/>
      </c>
      <c r="N918" s="2">
        <f>N899</f>
        <v/>
      </c>
      <c r="O918" s="19">
        <f>O899</f>
        <v/>
      </c>
      <c r="P918" s="4">
        <f>交易明細!L454</f>
        <v/>
      </c>
      <c r="Q918" s="13">
        <f>IF(N918="已下單",O918*P918,0)</f>
        <v/>
      </c>
      <c r="R918" s="13">
        <f>R917+Q918</f>
        <v/>
      </c>
      <c r="S918" s="19">
        <f>S917-IF(N918="已下單",M918,0)</f>
        <v/>
      </c>
      <c r="T918" s="19">
        <f>R918-S918</f>
        <v/>
      </c>
      <c r="U918" s="2">
        <f>U917-IF(N918="已下單",1,0)</f>
        <v/>
      </c>
      <c r="V918" s="19">
        <f>IF(資金模擬!$B$9=2,MAX(R918,0),MAX(V917,FLOOR(MAX(R918,0),資金模擬!$B$6)))</f>
        <v/>
      </c>
      <c r="W918" s="13">
        <f>MAX(W917,R918)</f>
        <v/>
      </c>
      <c r="X918" s="4">
        <f>IF(W918&gt;0,R918/W918-1,-1)</f>
        <v/>
      </c>
      <c r="Y918" s="19">
        <f>IF(R918&gt;0,S918*資金模擬!$B$7/R918,0)</f>
        <v/>
      </c>
      <c r="Z918" s="2">
        <f>IF(OR(Z917=1,R918&lt;=資金模擬!$B$10),1,0)</f>
        <v/>
      </c>
    </row>
    <row r="919">
      <c r="A919" s="2" t="n">
        <v>917</v>
      </c>
      <c r="B919" s="7" t="n">
        <v>46289.91666666666</v>
      </c>
      <c r="C919" s="2" t="inlineStr">
        <is>
          <t>進場</t>
        </is>
      </c>
      <c r="D919" s="2" t="n">
        <v>464</v>
      </c>
      <c r="E919" s="2" t="inlineStr">
        <is>
          <t>AKE_USDT_PERP</t>
        </is>
      </c>
      <c r="F919" s="2" t="inlineStr">
        <is>
          <t>做多</t>
        </is>
      </c>
      <c r="G919" s="20" t="n">
        <v>0.0435322</v>
      </c>
      <c r="H919" s="20" t="n">
        <v>0.044838166</v>
      </c>
      <c r="I919" s="20" t="n">
        <v>0.04135559</v>
      </c>
      <c r="J919" s="20" t="n"/>
      <c r="K919" s="2" t="n"/>
      <c r="L919" s="5" t="n"/>
      <c r="M919" s="19">
        <f>資金模擬!$B$5*V918</f>
        <v/>
      </c>
      <c r="N919" s="2">
        <f>IF(Z918=1,"已停止",IF(T918&gt;=M919,"已下單","資金不足略過"))</f>
        <v/>
      </c>
      <c r="O919" s="19">
        <f>IF(N919="已下單",M919*資金模擬!$B$7,0)</f>
        <v/>
      </c>
      <c r="P919" s="4" t="n"/>
      <c r="Q919" s="13" t="n">
        <v>0</v>
      </c>
      <c r="R919" s="13">
        <f>R918+Q919</f>
        <v/>
      </c>
      <c r="S919" s="19">
        <f>S918+IF(N919="已下單",M919,0)</f>
        <v/>
      </c>
      <c r="T919" s="19">
        <f>R919-S919</f>
        <v/>
      </c>
      <c r="U919" s="2">
        <f>U918+IF(N919="已下單",1,0)</f>
        <v/>
      </c>
      <c r="V919" s="19">
        <f>IF(資金模擬!$B$9=2,MAX(R919,0),MAX(V918,FLOOR(MAX(R919,0),資金模擬!$B$6)))</f>
        <v/>
      </c>
      <c r="W919" s="13">
        <f>MAX(W918,R919)</f>
        <v/>
      </c>
      <c r="X919" s="4">
        <f>IF(W919&gt;0,R919/W919-1,-1)</f>
        <v/>
      </c>
      <c r="Y919" s="19">
        <f>IF(R919&gt;0,S919*資金模擬!$B$7/R919,0)</f>
        <v/>
      </c>
      <c r="Z919" s="2">
        <f>IF(OR(Z918=1,R919&lt;=資金模擬!$B$10),1,0)</f>
        <v/>
      </c>
    </row>
    <row r="920">
      <c r="A920" s="2" t="n">
        <v>918</v>
      </c>
      <c r="B920" s="7" t="n">
        <v>46289.91666666666</v>
      </c>
      <c r="C920" s="2" t="inlineStr">
        <is>
          <t>進場</t>
        </is>
      </c>
      <c r="D920" s="2" t="n">
        <v>465</v>
      </c>
      <c r="E920" s="2" t="inlineStr">
        <is>
          <t>BTW_USDT_PERP</t>
        </is>
      </c>
      <c r="F920" s="2" t="inlineStr">
        <is>
          <t>做多</t>
        </is>
      </c>
      <c r="G920" s="20" t="n">
        <v>1.04655</v>
      </c>
      <c r="H920" s="20" t="n">
        <v>1.0779465</v>
      </c>
      <c r="I920" s="20" t="n">
        <v>0.9942225</v>
      </c>
      <c r="J920" s="20" t="n"/>
      <c r="K920" s="2" t="n"/>
      <c r="L920" s="5" t="n"/>
      <c r="M920" s="19">
        <f>資金模擬!$B$5*V919</f>
        <v/>
      </c>
      <c r="N920" s="2">
        <f>IF(Z919=1,"已停止",IF(T919&gt;=M920,"已下單","資金不足略過"))</f>
        <v/>
      </c>
      <c r="O920" s="19">
        <f>IF(N920="已下單",M920*資金模擬!$B$7,0)</f>
        <v/>
      </c>
      <c r="P920" s="4" t="n"/>
      <c r="Q920" s="13" t="n">
        <v>0</v>
      </c>
      <c r="R920" s="13">
        <f>R919+Q920</f>
        <v/>
      </c>
      <c r="S920" s="19">
        <f>S919+IF(N920="已下單",M920,0)</f>
        <v/>
      </c>
      <c r="T920" s="19">
        <f>R920-S920</f>
        <v/>
      </c>
      <c r="U920" s="2">
        <f>U919+IF(N920="已下單",1,0)</f>
        <v/>
      </c>
      <c r="V920" s="19">
        <f>IF(資金模擬!$B$9=2,MAX(R920,0),MAX(V919,FLOOR(MAX(R920,0),資金模擬!$B$6)))</f>
        <v/>
      </c>
      <c r="W920" s="13">
        <f>MAX(W919,R920)</f>
        <v/>
      </c>
      <c r="X920" s="4">
        <f>IF(W920&gt;0,R920/W920-1,-1)</f>
        <v/>
      </c>
      <c r="Y920" s="19">
        <f>IF(R920&gt;0,S920*資金模擬!$B$7/R920,0)</f>
        <v/>
      </c>
      <c r="Z920" s="2">
        <f>IF(OR(Z919=1,R920&lt;=資金模擬!$B$10),1,0)</f>
        <v/>
      </c>
    </row>
    <row r="921">
      <c r="A921" s="2" t="n">
        <v>919</v>
      </c>
      <c r="B921" s="7" t="n">
        <v>46289.91666666666</v>
      </c>
      <c r="C921" s="2" t="inlineStr">
        <is>
          <t>進場</t>
        </is>
      </c>
      <c r="D921" s="2" t="n">
        <v>466</v>
      </c>
      <c r="E921" s="2" t="inlineStr">
        <is>
          <t>FET_USDT_PERP</t>
        </is>
      </c>
      <c r="F921" s="2" t="inlineStr">
        <is>
          <t>做多</t>
        </is>
      </c>
      <c r="G921" s="20" t="n">
        <v>0.2057</v>
      </c>
      <c r="H921" s="20" t="n">
        <v>0.211871</v>
      </c>
      <c r="I921" s="20" t="n">
        <v>0.195415</v>
      </c>
      <c r="J921" s="20" t="n"/>
      <c r="K921" s="2" t="n"/>
      <c r="L921" s="5" t="n"/>
      <c r="M921" s="19">
        <f>資金模擬!$B$5*V920</f>
        <v/>
      </c>
      <c r="N921" s="2">
        <f>IF(Z920=1,"已停止",IF(T920&gt;=M921,"已下單","資金不足略過"))</f>
        <v/>
      </c>
      <c r="O921" s="19">
        <f>IF(N921="已下單",M921*資金模擬!$B$7,0)</f>
        <v/>
      </c>
      <c r="P921" s="4" t="n"/>
      <c r="Q921" s="13" t="n">
        <v>0</v>
      </c>
      <c r="R921" s="13">
        <f>R920+Q921</f>
        <v/>
      </c>
      <c r="S921" s="19">
        <f>S920+IF(N921="已下單",M921,0)</f>
        <v/>
      </c>
      <c r="T921" s="19">
        <f>R921-S921</f>
        <v/>
      </c>
      <c r="U921" s="2">
        <f>U920+IF(N921="已下單",1,0)</f>
        <v/>
      </c>
      <c r="V921" s="19">
        <f>IF(資金模擬!$B$9=2,MAX(R921,0),MAX(V920,FLOOR(MAX(R921,0),資金模擬!$B$6)))</f>
        <v/>
      </c>
      <c r="W921" s="13">
        <f>MAX(W920,R921)</f>
        <v/>
      </c>
      <c r="X921" s="4">
        <f>IF(W921&gt;0,R921/W921-1,-1)</f>
        <v/>
      </c>
      <c r="Y921" s="19">
        <f>IF(R921&gt;0,S921*資金模擬!$B$7/R921,0)</f>
        <v/>
      </c>
      <c r="Z921" s="2">
        <f>IF(OR(Z920=1,R921&lt;=資金模擬!$B$10),1,0)</f>
        <v/>
      </c>
    </row>
    <row r="922">
      <c r="A922" s="2" t="n">
        <v>920</v>
      </c>
      <c r="B922" s="7" t="n">
        <v>46289.91666666666</v>
      </c>
      <c r="C922" s="2" t="inlineStr">
        <is>
          <t>進場</t>
        </is>
      </c>
      <c r="D922" s="2" t="n">
        <v>467</v>
      </c>
      <c r="E922" s="2" t="inlineStr">
        <is>
          <t>RAY_USDT_PERP</t>
        </is>
      </c>
      <c r="F922" s="2" t="inlineStr">
        <is>
          <t>做多</t>
        </is>
      </c>
      <c r="G922" s="20" t="n">
        <v>2.08</v>
      </c>
      <c r="H922" s="20" t="n">
        <v>2.1424</v>
      </c>
      <c r="I922" s="20" t="n">
        <v>1.976</v>
      </c>
      <c r="J922" s="20" t="n"/>
      <c r="K922" s="2" t="n"/>
      <c r="L922" s="5" t="n"/>
      <c r="M922" s="19">
        <f>資金模擬!$B$5*V921</f>
        <v/>
      </c>
      <c r="N922" s="2">
        <f>IF(Z921=1,"已停止",IF(T921&gt;=M922,"已下單","資金不足略過"))</f>
        <v/>
      </c>
      <c r="O922" s="19">
        <f>IF(N922="已下單",M922*資金模擬!$B$7,0)</f>
        <v/>
      </c>
      <c r="P922" s="4" t="n"/>
      <c r="Q922" s="13" t="n">
        <v>0</v>
      </c>
      <c r="R922" s="13">
        <f>R921+Q922</f>
        <v/>
      </c>
      <c r="S922" s="19">
        <f>S921+IF(N922="已下單",M922,0)</f>
        <v/>
      </c>
      <c r="T922" s="19">
        <f>R922-S922</f>
        <v/>
      </c>
      <c r="U922" s="2">
        <f>U921+IF(N922="已下單",1,0)</f>
        <v/>
      </c>
      <c r="V922" s="19">
        <f>IF(資金模擬!$B$9=2,MAX(R922,0),MAX(V921,FLOOR(MAX(R922,0),資金模擬!$B$6)))</f>
        <v/>
      </c>
      <c r="W922" s="13">
        <f>MAX(W921,R922)</f>
        <v/>
      </c>
      <c r="X922" s="4">
        <f>IF(W922&gt;0,R922/W922-1,-1)</f>
        <v/>
      </c>
      <c r="Y922" s="19">
        <f>IF(R922&gt;0,S922*資金模擬!$B$7/R922,0)</f>
        <v/>
      </c>
      <c r="Z922" s="2">
        <f>IF(OR(Z921=1,R922&lt;=資金模擬!$B$10),1,0)</f>
        <v/>
      </c>
    </row>
    <row r="923">
      <c r="A923" s="2" t="n">
        <v>921</v>
      </c>
      <c r="B923" s="7" t="n">
        <v>46289.95833333334</v>
      </c>
      <c r="C923" s="2" t="inlineStr">
        <is>
          <t>出場</t>
        </is>
      </c>
      <c r="D923" s="2" t="n">
        <v>454</v>
      </c>
      <c r="E923" s="2" t="inlineStr">
        <is>
          <t>PEPE_USDT_PERP</t>
        </is>
      </c>
      <c r="F923" s="2" t="inlineStr">
        <is>
          <t>做空</t>
        </is>
      </c>
      <c r="G923" s="20" t="n">
        <v>4.2443e-06</v>
      </c>
      <c r="H923" s="20" t="n">
        <v>4.116971e-06</v>
      </c>
      <c r="I923" s="20" t="n">
        <v>4.456515000000001e-06</v>
      </c>
      <c r="J923" s="20" t="n">
        <v>4.456515000000001e-06</v>
      </c>
      <c r="K923" s="2" t="inlineStr">
        <is>
          <t>止損</t>
        </is>
      </c>
      <c r="L923" s="5">
        <f>交易明細!K455</f>
        <v/>
      </c>
      <c r="M923" s="19">
        <f>M904</f>
        <v/>
      </c>
      <c r="N923" s="2">
        <f>N904</f>
        <v/>
      </c>
      <c r="O923" s="19">
        <f>O904</f>
        <v/>
      </c>
      <c r="P923" s="4">
        <f>交易明細!L455</f>
        <v/>
      </c>
      <c r="Q923" s="13">
        <f>IF(N923="已下單",O923*P923,0)</f>
        <v/>
      </c>
      <c r="R923" s="13">
        <f>R922+Q923</f>
        <v/>
      </c>
      <c r="S923" s="19">
        <f>S922-IF(N923="已下單",M923,0)</f>
        <v/>
      </c>
      <c r="T923" s="19">
        <f>R923-S923</f>
        <v/>
      </c>
      <c r="U923" s="2">
        <f>U922-IF(N923="已下單",1,0)</f>
        <v/>
      </c>
      <c r="V923" s="19">
        <f>IF(資金模擬!$B$9=2,MAX(R923,0),MAX(V922,FLOOR(MAX(R923,0),資金模擬!$B$6)))</f>
        <v/>
      </c>
      <c r="W923" s="13">
        <f>MAX(W922,R923)</f>
        <v/>
      </c>
      <c r="X923" s="4">
        <f>IF(W923&gt;0,R923/W923-1,-1)</f>
        <v/>
      </c>
      <c r="Y923" s="19">
        <f>IF(R923&gt;0,S923*資金模擬!$B$7/R923,0)</f>
        <v/>
      </c>
      <c r="Z923" s="2">
        <f>IF(OR(Z922=1,R923&lt;=資金模擬!$B$10),1,0)</f>
        <v/>
      </c>
    </row>
    <row r="924">
      <c r="A924" s="2" t="n">
        <v>922</v>
      </c>
      <c r="B924" s="7" t="n">
        <v>46289.95833333334</v>
      </c>
      <c r="C924" s="2" t="inlineStr">
        <is>
          <t>出場</t>
        </is>
      </c>
      <c r="D924" s="2" t="n">
        <v>456</v>
      </c>
      <c r="E924" s="2" t="inlineStr">
        <is>
          <t>TAO_USDT_PERP</t>
        </is>
      </c>
      <c r="F924" s="2" t="inlineStr">
        <is>
          <t>做空</t>
        </is>
      </c>
      <c r="G924" s="20" t="n">
        <v>280.61</v>
      </c>
      <c r="H924" s="20" t="n">
        <v>272.1917</v>
      </c>
      <c r="I924" s="20" t="n">
        <v>294.6405</v>
      </c>
      <c r="J924" s="20" t="n">
        <v>294.6405</v>
      </c>
      <c r="K924" s="2" t="inlineStr">
        <is>
          <t>止損</t>
        </is>
      </c>
      <c r="L924" s="5">
        <f>交易明細!K457</f>
        <v/>
      </c>
      <c r="M924" s="19">
        <f>M906</f>
        <v/>
      </c>
      <c r="N924" s="2">
        <f>N906</f>
        <v/>
      </c>
      <c r="O924" s="19">
        <f>O906</f>
        <v/>
      </c>
      <c r="P924" s="4">
        <f>交易明細!L457</f>
        <v/>
      </c>
      <c r="Q924" s="13">
        <f>IF(N924="已下單",O924*P924,0)</f>
        <v/>
      </c>
      <c r="R924" s="13">
        <f>R923+Q924</f>
        <v/>
      </c>
      <c r="S924" s="19">
        <f>S923-IF(N924="已下單",M924,0)</f>
        <v/>
      </c>
      <c r="T924" s="19">
        <f>R924-S924</f>
        <v/>
      </c>
      <c r="U924" s="2">
        <f>U923-IF(N924="已下單",1,0)</f>
        <v/>
      </c>
      <c r="V924" s="19">
        <f>IF(資金模擬!$B$9=2,MAX(R924,0),MAX(V923,FLOOR(MAX(R924,0),資金模擬!$B$6)))</f>
        <v/>
      </c>
      <c r="W924" s="13">
        <f>MAX(W923,R924)</f>
        <v/>
      </c>
      <c r="X924" s="4">
        <f>IF(W924&gt;0,R924/W924-1,-1)</f>
        <v/>
      </c>
      <c r="Y924" s="19">
        <f>IF(R924&gt;0,S924*資金模擬!$B$7/R924,0)</f>
        <v/>
      </c>
      <c r="Z924" s="2">
        <f>IF(OR(Z923=1,R924&lt;=資金模擬!$B$10),1,0)</f>
        <v/>
      </c>
    </row>
    <row r="925">
      <c r="A925" s="2" t="n">
        <v>923</v>
      </c>
      <c r="B925" s="7" t="n">
        <v>46289.95833333334</v>
      </c>
      <c r="C925" s="2" t="inlineStr">
        <is>
          <t>出場</t>
        </is>
      </c>
      <c r="D925" s="2" t="n">
        <v>457</v>
      </c>
      <c r="E925" s="2" t="inlineStr">
        <is>
          <t>UNI_USDT_PERP</t>
        </is>
      </c>
      <c r="F925" s="2" t="inlineStr">
        <is>
          <t>做空</t>
        </is>
      </c>
      <c r="G925" s="20" t="n">
        <v>8.867000000000001</v>
      </c>
      <c r="H925" s="20" t="n">
        <v>8.600990000000001</v>
      </c>
      <c r="I925" s="20" t="n">
        <v>9.310350000000001</v>
      </c>
      <c r="J925" s="20" t="n">
        <v>9.310350000000001</v>
      </c>
      <c r="K925" s="2" t="inlineStr">
        <is>
          <t>止損</t>
        </is>
      </c>
      <c r="L925" s="5">
        <f>交易明細!K458</f>
        <v/>
      </c>
      <c r="M925" s="19">
        <f>M907</f>
        <v/>
      </c>
      <c r="N925" s="2">
        <f>N907</f>
        <v/>
      </c>
      <c r="O925" s="19">
        <f>O907</f>
        <v/>
      </c>
      <c r="P925" s="4">
        <f>交易明細!L458</f>
        <v/>
      </c>
      <c r="Q925" s="13">
        <f>IF(N925="已下單",O925*P925,0)</f>
        <v/>
      </c>
      <c r="R925" s="13">
        <f>R924+Q925</f>
        <v/>
      </c>
      <c r="S925" s="19">
        <f>S924-IF(N925="已下單",M925,0)</f>
        <v/>
      </c>
      <c r="T925" s="19">
        <f>R925-S925</f>
        <v/>
      </c>
      <c r="U925" s="2">
        <f>U924-IF(N925="已下單",1,0)</f>
        <v/>
      </c>
      <c r="V925" s="19">
        <f>IF(資金模擬!$B$9=2,MAX(R925,0),MAX(V924,FLOOR(MAX(R925,0),資金模擬!$B$6)))</f>
        <v/>
      </c>
      <c r="W925" s="13">
        <f>MAX(W924,R925)</f>
        <v/>
      </c>
      <c r="X925" s="4">
        <f>IF(W925&gt;0,R925/W925-1,-1)</f>
        <v/>
      </c>
      <c r="Y925" s="19">
        <f>IF(R925&gt;0,S925*資金模擬!$B$7/R925,0)</f>
        <v/>
      </c>
      <c r="Z925" s="2">
        <f>IF(OR(Z924=1,R925&lt;=資金模擬!$B$10),1,0)</f>
        <v/>
      </c>
    </row>
    <row r="926">
      <c r="A926" s="2" t="n">
        <v>924</v>
      </c>
      <c r="B926" s="7" t="n">
        <v>46289.95833333334</v>
      </c>
      <c r="C926" s="2" t="inlineStr">
        <is>
          <t>出場</t>
        </is>
      </c>
      <c r="D926" s="2" t="n">
        <v>458</v>
      </c>
      <c r="E926" s="2" t="inlineStr">
        <is>
          <t>VVV_USDT_PERP</t>
        </is>
      </c>
      <c r="F926" s="2" t="inlineStr">
        <is>
          <t>做空</t>
        </is>
      </c>
      <c r="G926" s="20" t="n">
        <v>28.736</v>
      </c>
      <c r="H926" s="20" t="n">
        <v>27.87392</v>
      </c>
      <c r="I926" s="20" t="n">
        <v>30.1728</v>
      </c>
      <c r="J926" s="20" t="n">
        <v>30.1728</v>
      </c>
      <c r="K926" s="2" t="inlineStr">
        <is>
          <t>止損</t>
        </is>
      </c>
      <c r="L926" s="5">
        <f>交易明細!K459</f>
        <v/>
      </c>
      <c r="M926" s="19">
        <f>M908</f>
        <v/>
      </c>
      <c r="N926" s="2">
        <f>N908</f>
        <v/>
      </c>
      <c r="O926" s="19">
        <f>O908</f>
        <v/>
      </c>
      <c r="P926" s="4">
        <f>交易明細!L459</f>
        <v/>
      </c>
      <c r="Q926" s="13">
        <f>IF(N926="已下單",O926*P926,0)</f>
        <v/>
      </c>
      <c r="R926" s="13">
        <f>R925+Q926</f>
        <v/>
      </c>
      <c r="S926" s="19">
        <f>S925-IF(N926="已下單",M926,0)</f>
        <v/>
      </c>
      <c r="T926" s="19">
        <f>R926-S926</f>
        <v/>
      </c>
      <c r="U926" s="2">
        <f>U925-IF(N926="已下單",1,0)</f>
        <v/>
      </c>
      <c r="V926" s="19">
        <f>IF(資金模擬!$B$9=2,MAX(R926,0),MAX(V925,FLOOR(MAX(R926,0),資金模擬!$B$6)))</f>
        <v/>
      </c>
      <c r="W926" s="13">
        <f>MAX(W925,R926)</f>
        <v/>
      </c>
      <c r="X926" s="4">
        <f>IF(W926&gt;0,R926/W926-1,-1)</f>
        <v/>
      </c>
      <c r="Y926" s="19">
        <f>IF(R926&gt;0,S926*資金模擬!$B$7/R926,0)</f>
        <v/>
      </c>
      <c r="Z926" s="2">
        <f>IF(OR(Z925=1,R926&lt;=資金模擬!$B$10),1,0)</f>
        <v/>
      </c>
    </row>
    <row r="927">
      <c r="A927" s="2" t="n">
        <v>925</v>
      </c>
      <c r="B927" s="7" t="n">
        <v>46289.95833333334</v>
      </c>
      <c r="C927" s="2" t="inlineStr">
        <is>
          <t>出場</t>
        </is>
      </c>
      <c r="D927" s="2" t="n">
        <v>461</v>
      </c>
      <c r="E927" s="2" t="inlineStr">
        <is>
          <t>BR_USDT_PERP</t>
        </is>
      </c>
      <c r="F927" s="2" t="inlineStr">
        <is>
          <t>做多</t>
        </is>
      </c>
      <c r="G927" s="20" t="n">
        <v>1.08909</v>
      </c>
      <c r="H927" s="20" t="n">
        <v>1.1217627</v>
      </c>
      <c r="I927" s="20" t="n">
        <v>1.0346355</v>
      </c>
      <c r="J927" s="20" t="n">
        <v>1.0346355</v>
      </c>
      <c r="K927" s="2" t="inlineStr">
        <is>
          <t>止損</t>
        </is>
      </c>
      <c r="L927" s="5">
        <f>交易明細!K462</f>
        <v/>
      </c>
      <c r="M927" s="19">
        <f>M913</f>
        <v/>
      </c>
      <c r="N927" s="2">
        <f>N913</f>
        <v/>
      </c>
      <c r="O927" s="19">
        <f>O913</f>
        <v/>
      </c>
      <c r="P927" s="4">
        <f>交易明細!L462</f>
        <v/>
      </c>
      <c r="Q927" s="13">
        <f>IF(N927="已下單",O927*P927,0)</f>
        <v/>
      </c>
      <c r="R927" s="13">
        <f>R926+Q927</f>
        <v/>
      </c>
      <c r="S927" s="19">
        <f>S926-IF(N927="已下單",M927,0)</f>
        <v/>
      </c>
      <c r="T927" s="19">
        <f>R927-S927</f>
        <v/>
      </c>
      <c r="U927" s="2">
        <f>U926-IF(N927="已下單",1,0)</f>
        <v/>
      </c>
      <c r="V927" s="19">
        <f>IF(資金模擬!$B$9=2,MAX(R927,0),MAX(V926,FLOOR(MAX(R927,0),資金模擬!$B$6)))</f>
        <v/>
      </c>
      <c r="W927" s="13">
        <f>MAX(W926,R927)</f>
        <v/>
      </c>
      <c r="X927" s="4">
        <f>IF(W927&gt;0,R927/W927-1,-1)</f>
        <v/>
      </c>
      <c r="Y927" s="19">
        <f>IF(R927&gt;0,S927*資金模擬!$B$7/R927,0)</f>
        <v/>
      </c>
      <c r="Z927" s="2">
        <f>IF(OR(Z926=1,R927&lt;=資金模擬!$B$10),1,0)</f>
        <v/>
      </c>
    </row>
    <row r="928">
      <c r="A928" s="2" t="n">
        <v>926</v>
      </c>
      <c r="B928" s="7" t="n">
        <v>46289.95833333334</v>
      </c>
      <c r="C928" s="2" t="inlineStr">
        <is>
          <t>出場</t>
        </is>
      </c>
      <c r="D928" s="2" t="n">
        <v>462</v>
      </c>
      <c r="E928" s="2" t="inlineStr">
        <is>
          <t>NEAR_USDT_PERP</t>
        </is>
      </c>
      <c r="F928" s="2" t="inlineStr">
        <is>
          <t>做多</t>
        </is>
      </c>
      <c r="G928" s="20" t="n">
        <v>4.413</v>
      </c>
      <c r="H928" s="20" t="n">
        <v>4.54539</v>
      </c>
      <c r="I928" s="20" t="n">
        <v>4.19235</v>
      </c>
      <c r="J928" s="20" t="n">
        <v>4.54539</v>
      </c>
      <c r="K928" s="2" t="inlineStr">
        <is>
          <t>止盈</t>
        </is>
      </c>
      <c r="L928" s="5">
        <f>交易明細!K463</f>
        <v/>
      </c>
      <c r="M928" s="19">
        <f>M914</f>
        <v/>
      </c>
      <c r="N928" s="2">
        <f>N914</f>
        <v/>
      </c>
      <c r="O928" s="19">
        <f>O914</f>
        <v/>
      </c>
      <c r="P928" s="4">
        <f>交易明細!L463</f>
        <v/>
      </c>
      <c r="Q928" s="13">
        <f>IF(N928="已下單",O928*P928,0)</f>
        <v/>
      </c>
      <c r="R928" s="13">
        <f>R927+Q928</f>
        <v/>
      </c>
      <c r="S928" s="19">
        <f>S927-IF(N928="已下單",M928,0)</f>
        <v/>
      </c>
      <c r="T928" s="19">
        <f>R928-S928</f>
        <v/>
      </c>
      <c r="U928" s="2">
        <f>U927-IF(N928="已下單",1,0)</f>
        <v/>
      </c>
      <c r="V928" s="19">
        <f>IF(資金模擬!$B$9=2,MAX(R928,0),MAX(V927,FLOOR(MAX(R928,0),資金模擬!$B$6)))</f>
        <v/>
      </c>
      <c r="W928" s="13">
        <f>MAX(W927,R928)</f>
        <v/>
      </c>
      <c r="X928" s="4">
        <f>IF(W928&gt;0,R928/W928-1,-1)</f>
        <v/>
      </c>
      <c r="Y928" s="19">
        <f>IF(R928&gt;0,S928*資金模擬!$B$7/R928,0)</f>
        <v/>
      </c>
      <c r="Z928" s="2">
        <f>IF(OR(Z927=1,R928&lt;=資金模擬!$B$10),1,0)</f>
        <v/>
      </c>
    </row>
    <row r="929">
      <c r="A929" s="2" t="n">
        <v>927</v>
      </c>
      <c r="B929" s="7" t="n">
        <v>46289.95833333334</v>
      </c>
      <c r="C929" s="2" t="inlineStr">
        <is>
          <t>出場</t>
        </is>
      </c>
      <c r="D929" s="2" t="n">
        <v>464</v>
      </c>
      <c r="E929" s="2" t="inlineStr">
        <is>
          <t>AKE_USDT_PERP</t>
        </is>
      </c>
      <c r="F929" s="2" t="inlineStr">
        <is>
          <t>做多</t>
        </is>
      </c>
      <c r="G929" s="20" t="n">
        <v>0.0435322</v>
      </c>
      <c r="H929" s="20" t="n">
        <v>0.044838166</v>
      </c>
      <c r="I929" s="20" t="n">
        <v>0.04135559</v>
      </c>
      <c r="J929" s="20" t="n">
        <v>0.044838166</v>
      </c>
      <c r="K929" s="2" t="inlineStr">
        <is>
          <t>止盈</t>
        </is>
      </c>
      <c r="L929" s="5">
        <f>交易明細!K465</f>
        <v/>
      </c>
      <c r="M929" s="19">
        <f>M919</f>
        <v/>
      </c>
      <c r="N929" s="2">
        <f>N919</f>
        <v/>
      </c>
      <c r="O929" s="19">
        <f>O919</f>
        <v/>
      </c>
      <c r="P929" s="4">
        <f>交易明細!L465</f>
        <v/>
      </c>
      <c r="Q929" s="13">
        <f>IF(N929="已下單",O929*P929,0)</f>
        <v/>
      </c>
      <c r="R929" s="13">
        <f>R928+Q929</f>
        <v/>
      </c>
      <c r="S929" s="19">
        <f>S928-IF(N929="已下單",M929,0)</f>
        <v/>
      </c>
      <c r="T929" s="19">
        <f>R929-S929</f>
        <v/>
      </c>
      <c r="U929" s="2">
        <f>U928-IF(N929="已下單",1,0)</f>
        <v/>
      </c>
      <c r="V929" s="19">
        <f>IF(資金模擬!$B$9=2,MAX(R929,0),MAX(V928,FLOOR(MAX(R929,0),資金模擬!$B$6)))</f>
        <v/>
      </c>
      <c r="W929" s="13">
        <f>MAX(W928,R929)</f>
        <v/>
      </c>
      <c r="X929" s="4">
        <f>IF(W929&gt;0,R929/W929-1,-1)</f>
        <v/>
      </c>
      <c r="Y929" s="19">
        <f>IF(R929&gt;0,S929*資金模擬!$B$7/R929,0)</f>
        <v/>
      </c>
      <c r="Z929" s="2">
        <f>IF(OR(Z928=1,R929&lt;=資金模擬!$B$10),1,0)</f>
        <v/>
      </c>
    </row>
    <row r="930">
      <c r="A930" s="2" t="n">
        <v>928</v>
      </c>
      <c r="B930" s="7" t="n">
        <v>46289.95833333334</v>
      </c>
      <c r="C930" s="2" t="inlineStr">
        <is>
          <t>出場</t>
        </is>
      </c>
      <c r="D930" s="2" t="n">
        <v>466</v>
      </c>
      <c r="E930" s="2" t="inlineStr">
        <is>
          <t>FET_USDT_PERP</t>
        </is>
      </c>
      <c r="F930" s="2" t="inlineStr">
        <is>
          <t>做多</t>
        </is>
      </c>
      <c r="G930" s="20" t="n">
        <v>0.2057</v>
      </c>
      <c r="H930" s="20" t="n">
        <v>0.211871</v>
      </c>
      <c r="I930" s="20" t="n">
        <v>0.195415</v>
      </c>
      <c r="J930" s="20" t="n">
        <v>0.211871</v>
      </c>
      <c r="K930" s="2" t="inlineStr">
        <is>
          <t>止盈</t>
        </is>
      </c>
      <c r="L930" s="5">
        <f>交易明細!K467</f>
        <v/>
      </c>
      <c r="M930" s="19">
        <f>M921</f>
        <v/>
      </c>
      <c r="N930" s="2">
        <f>N921</f>
        <v/>
      </c>
      <c r="O930" s="19">
        <f>O921</f>
        <v/>
      </c>
      <c r="P930" s="4">
        <f>交易明細!L467</f>
        <v/>
      </c>
      <c r="Q930" s="13">
        <f>IF(N930="已下單",O930*P930,0)</f>
        <v/>
      </c>
      <c r="R930" s="13">
        <f>R929+Q930</f>
        <v/>
      </c>
      <c r="S930" s="19">
        <f>S929-IF(N930="已下單",M930,0)</f>
        <v/>
      </c>
      <c r="T930" s="19">
        <f>R930-S930</f>
        <v/>
      </c>
      <c r="U930" s="2">
        <f>U929-IF(N930="已下單",1,0)</f>
        <v/>
      </c>
      <c r="V930" s="19">
        <f>IF(資金模擬!$B$9=2,MAX(R930,0),MAX(V929,FLOOR(MAX(R930,0),資金模擬!$B$6)))</f>
        <v/>
      </c>
      <c r="W930" s="13">
        <f>MAX(W929,R930)</f>
        <v/>
      </c>
      <c r="X930" s="4">
        <f>IF(W930&gt;0,R930/W930-1,-1)</f>
        <v/>
      </c>
      <c r="Y930" s="19">
        <f>IF(R930&gt;0,S930*資金模擬!$B$7/R930,0)</f>
        <v/>
      </c>
      <c r="Z930" s="2">
        <f>IF(OR(Z929=1,R930&lt;=資金模擬!$B$10),1,0)</f>
        <v/>
      </c>
    </row>
    <row r="931">
      <c r="A931" s="2" t="n">
        <v>929</v>
      </c>
      <c r="B931" s="7" t="n">
        <v>46289.95833333334</v>
      </c>
      <c r="C931" s="2" t="inlineStr">
        <is>
          <t>進場</t>
        </is>
      </c>
      <c r="D931" s="2" t="n">
        <v>468</v>
      </c>
      <c r="E931" s="2" t="inlineStr">
        <is>
          <t>ARB_USDT_PERP</t>
        </is>
      </c>
      <c r="F931" s="2" t="inlineStr">
        <is>
          <t>做空</t>
        </is>
      </c>
      <c r="G931" s="20" t="n">
        <v>0.2135</v>
      </c>
      <c r="H931" s="20" t="n">
        <v>0.207095</v>
      </c>
      <c r="I931" s="20" t="n">
        <v>0.224175</v>
      </c>
      <c r="J931" s="20" t="n"/>
      <c r="K931" s="2" t="n"/>
      <c r="L931" s="5" t="n"/>
      <c r="M931" s="19">
        <f>資金模擬!$B$5*V930</f>
        <v/>
      </c>
      <c r="N931" s="2">
        <f>IF(Z930=1,"已停止",IF(T930&gt;=M931,"已下單","資金不足略過"))</f>
        <v/>
      </c>
      <c r="O931" s="19">
        <f>IF(N931="已下單",M931*資金模擬!$B$7,0)</f>
        <v/>
      </c>
      <c r="P931" s="4" t="n"/>
      <c r="Q931" s="13" t="n">
        <v>0</v>
      </c>
      <c r="R931" s="13">
        <f>R930+Q931</f>
        <v/>
      </c>
      <c r="S931" s="19">
        <f>S930+IF(N931="已下單",M931,0)</f>
        <v/>
      </c>
      <c r="T931" s="19">
        <f>R931-S931</f>
        <v/>
      </c>
      <c r="U931" s="2">
        <f>U930+IF(N931="已下單",1,0)</f>
        <v/>
      </c>
      <c r="V931" s="19">
        <f>IF(資金模擬!$B$9=2,MAX(R931,0),MAX(V930,FLOOR(MAX(R931,0),資金模擬!$B$6)))</f>
        <v/>
      </c>
      <c r="W931" s="13">
        <f>MAX(W930,R931)</f>
        <v/>
      </c>
      <c r="X931" s="4">
        <f>IF(W931&gt;0,R931/W931-1,-1)</f>
        <v/>
      </c>
      <c r="Y931" s="19">
        <f>IF(R931&gt;0,S931*資金模擬!$B$7/R931,0)</f>
        <v/>
      </c>
      <c r="Z931" s="2">
        <f>IF(OR(Z930=1,R931&lt;=資金模擬!$B$10),1,0)</f>
        <v/>
      </c>
    </row>
    <row r="932">
      <c r="A932" s="2" t="n">
        <v>930</v>
      </c>
      <c r="B932" s="7" t="n">
        <v>46289.95833333334</v>
      </c>
      <c r="C932" s="2" t="inlineStr">
        <is>
          <t>進場</t>
        </is>
      </c>
      <c r="D932" s="2" t="n">
        <v>469</v>
      </c>
      <c r="E932" s="2" t="inlineStr">
        <is>
          <t>NOM_USDT_PERP</t>
        </is>
      </c>
      <c r="F932" s="2" t="inlineStr">
        <is>
          <t>做空</t>
        </is>
      </c>
      <c r="G932" s="20" t="n">
        <v>0.00231</v>
      </c>
      <c r="H932" s="20" t="n">
        <v>0.0022407</v>
      </c>
      <c r="I932" s="20" t="n">
        <v>0.0024255</v>
      </c>
      <c r="J932" s="20" t="n"/>
      <c r="K932" s="2" t="n"/>
      <c r="L932" s="5" t="n"/>
      <c r="M932" s="19">
        <f>資金模擬!$B$5*V931</f>
        <v/>
      </c>
      <c r="N932" s="2">
        <f>IF(Z931=1,"已停止",IF(T931&gt;=M932,"已下單","資金不足略過"))</f>
        <v/>
      </c>
      <c r="O932" s="19">
        <f>IF(N932="已下單",M932*資金模擬!$B$7,0)</f>
        <v/>
      </c>
      <c r="P932" s="4" t="n"/>
      <c r="Q932" s="13" t="n">
        <v>0</v>
      </c>
      <c r="R932" s="13">
        <f>R931+Q932</f>
        <v/>
      </c>
      <c r="S932" s="19">
        <f>S931+IF(N932="已下單",M932,0)</f>
        <v/>
      </c>
      <c r="T932" s="19">
        <f>R932-S932</f>
        <v/>
      </c>
      <c r="U932" s="2">
        <f>U931+IF(N932="已下單",1,0)</f>
        <v/>
      </c>
      <c r="V932" s="19">
        <f>IF(資金模擬!$B$9=2,MAX(R932,0),MAX(V931,FLOOR(MAX(R932,0),資金模擬!$B$6)))</f>
        <v/>
      </c>
      <c r="W932" s="13">
        <f>MAX(W931,R932)</f>
        <v/>
      </c>
      <c r="X932" s="4">
        <f>IF(W932&gt;0,R932/W932-1,-1)</f>
        <v/>
      </c>
      <c r="Y932" s="19">
        <f>IF(R932&gt;0,S932*資金模擬!$B$7/R932,0)</f>
        <v/>
      </c>
      <c r="Z932" s="2">
        <f>IF(OR(Z931=1,R932&lt;=資金模擬!$B$10),1,0)</f>
        <v/>
      </c>
    </row>
    <row r="933">
      <c r="A933" s="2" t="n">
        <v>931</v>
      </c>
      <c r="B933" s="7" t="n">
        <v>46290</v>
      </c>
      <c r="C933" s="2" t="inlineStr">
        <is>
          <t>進場</t>
        </is>
      </c>
      <c r="D933" s="2" t="n">
        <v>470</v>
      </c>
      <c r="E933" s="2" t="inlineStr">
        <is>
          <t>PONS_USDT_PERP</t>
        </is>
      </c>
      <c r="F933" s="2" t="inlineStr">
        <is>
          <t>做多</t>
        </is>
      </c>
      <c r="G933" s="20" t="n">
        <v>0.6308</v>
      </c>
      <c r="H933" s="20" t="n">
        <v>0.6497240000000001</v>
      </c>
      <c r="I933" s="20" t="n">
        <v>0.59926</v>
      </c>
      <c r="J933" s="20" t="n"/>
      <c r="K933" s="2" t="n"/>
      <c r="L933" s="5" t="n"/>
      <c r="M933" s="19">
        <f>資金模擬!$B$5*V932</f>
        <v/>
      </c>
      <c r="N933" s="2">
        <f>IF(Z932=1,"已停止",IF(T932&gt;=M933,"已下單","資金不足略過"))</f>
        <v/>
      </c>
      <c r="O933" s="19">
        <f>IF(N933="已下單",M933*資金模擬!$B$7,0)</f>
        <v/>
      </c>
      <c r="P933" s="4" t="n"/>
      <c r="Q933" s="13" t="n">
        <v>0</v>
      </c>
      <c r="R933" s="13">
        <f>R932+Q933</f>
        <v/>
      </c>
      <c r="S933" s="19">
        <f>S932+IF(N933="已下單",M933,0)</f>
        <v/>
      </c>
      <c r="T933" s="19">
        <f>R933-S933</f>
        <v/>
      </c>
      <c r="U933" s="2">
        <f>U932+IF(N933="已下單",1,0)</f>
        <v/>
      </c>
      <c r="V933" s="19">
        <f>IF(資金模擬!$B$9=2,MAX(R933,0),MAX(V932,FLOOR(MAX(R933,0),資金模擬!$B$6)))</f>
        <v/>
      </c>
      <c r="W933" s="13">
        <f>MAX(W932,R933)</f>
        <v/>
      </c>
      <c r="X933" s="4">
        <f>IF(W933&gt;0,R933/W933-1,-1)</f>
        <v/>
      </c>
      <c r="Y933" s="19">
        <f>IF(R933&gt;0,S933*資金模擬!$B$7/R933,0)</f>
        <v/>
      </c>
      <c r="Z933" s="2">
        <f>IF(OR(Z932=1,R933&lt;=資金模擬!$B$10),1,0)</f>
        <v/>
      </c>
    </row>
    <row r="934">
      <c r="A934" s="2" t="n">
        <v>932</v>
      </c>
      <c r="B934" s="7" t="n">
        <v>46290</v>
      </c>
      <c r="C934" s="2" t="inlineStr">
        <is>
          <t>進場</t>
        </is>
      </c>
      <c r="D934" s="2" t="n">
        <v>471</v>
      </c>
      <c r="E934" s="2" t="inlineStr">
        <is>
          <t>USELESS_USDT_PERP</t>
        </is>
      </c>
      <c r="F934" s="2" t="inlineStr">
        <is>
          <t>做多</t>
        </is>
      </c>
      <c r="G934" s="20" t="n">
        <v>0.29391</v>
      </c>
      <c r="H934" s="20" t="n">
        <v>0.3027273</v>
      </c>
      <c r="I934" s="20" t="n">
        <v>0.2792145</v>
      </c>
      <c r="J934" s="20" t="n"/>
      <c r="K934" s="2" t="n"/>
      <c r="L934" s="5" t="n"/>
      <c r="M934" s="19">
        <f>資金模擬!$B$5*V933</f>
        <v/>
      </c>
      <c r="N934" s="2">
        <f>IF(Z933=1,"已停止",IF(T933&gt;=M934,"已下單","資金不足略過"))</f>
        <v/>
      </c>
      <c r="O934" s="19">
        <f>IF(N934="已下單",M934*資金模擬!$B$7,0)</f>
        <v/>
      </c>
      <c r="P934" s="4" t="n"/>
      <c r="Q934" s="13" t="n">
        <v>0</v>
      </c>
      <c r="R934" s="13">
        <f>R933+Q934</f>
        <v/>
      </c>
      <c r="S934" s="19">
        <f>S933+IF(N934="已下單",M934,0)</f>
        <v/>
      </c>
      <c r="T934" s="19">
        <f>R934-S934</f>
        <v/>
      </c>
      <c r="U934" s="2">
        <f>U933+IF(N934="已下單",1,0)</f>
        <v/>
      </c>
      <c r="V934" s="19">
        <f>IF(資金模擬!$B$9=2,MAX(R934,0),MAX(V933,FLOOR(MAX(R934,0),資金模擬!$B$6)))</f>
        <v/>
      </c>
      <c r="W934" s="13">
        <f>MAX(W933,R934)</f>
        <v/>
      </c>
      <c r="X934" s="4">
        <f>IF(W934&gt;0,R934/W934-1,-1)</f>
        <v/>
      </c>
      <c r="Y934" s="19">
        <f>IF(R934&gt;0,S934*資金模擬!$B$7/R934,0)</f>
        <v/>
      </c>
      <c r="Z934" s="2">
        <f>IF(OR(Z933=1,R934&lt;=資金模擬!$B$10),1,0)</f>
        <v/>
      </c>
    </row>
    <row r="935">
      <c r="A935" s="2" t="n">
        <v>933</v>
      </c>
      <c r="B935" s="7" t="n">
        <v>46290.04166666666</v>
      </c>
      <c r="C935" s="2" t="inlineStr">
        <is>
          <t>出場</t>
        </is>
      </c>
      <c r="D935" s="2" t="n">
        <v>465</v>
      </c>
      <c r="E935" s="2" t="inlineStr">
        <is>
          <t>BTW_USDT_PERP</t>
        </is>
      </c>
      <c r="F935" s="2" t="inlineStr">
        <is>
          <t>做多</t>
        </is>
      </c>
      <c r="G935" s="20" t="n">
        <v>1.04655</v>
      </c>
      <c r="H935" s="20" t="n">
        <v>1.0779465</v>
      </c>
      <c r="I935" s="20" t="n">
        <v>0.9942225</v>
      </c>
      <c r="J935" s="20" t="n">
        <v>1.0779465</v>
      </c>
      <c r="K935" s="2" t="inlineStr">
        <is>
          <t>止盈</t>
        </is>
      </c>
      <c r="L935" s="5">
        <f>交易明細!K466</f>
        <v/>
      </c>
      <c r="M935" s="19">
        <f>M920</f>
        <v/>
      </c>
      <c r="N935" s="2">
        <f>N920</f>
        <v/>
      </c>
      <c r="O935" s="19">
        <f>O920</f>
        <v/>
      </c>
      <c r="P935" s="4">
        <f>交易明細!L466</f>
        <v/>
      </c>
      <c r="Q935" s="13">
        <f>IF(N935="已下單",O935*P935,0)</f>
        <v/>
      </c>
      <c r="R935" s="13">
        <f>R934+Q935</f>
        <v/>
      </c>
      <c r="S935" s="19">
        <f>S934-IF(N935="已下單",M935,0)</f>
        <v/>
      </c>
      <c r="T935" s="19">
        <f>R935-S935</f>
        <v/>
      </c>
      <c r="U935" s="2">
        <f>U934-IF(N935="已下單",1,0)</f>
        <v/>
      </c>
      <c r="V935" s="19">
        <f>IF(資金模擬!$B$9=2,MAX(R935,0),MAX(V934,FLOOR(MAX(R935,0),資金模擬!$B$6)))</f>
        <v/>
      </c>
      <c r="W935" s="13">
        <f>MAX(W934,R935)</f>
        <v/>
      </c>
      <c r="X935" s="4">
        <f>IF(W935&gt;0,R935/W935-1,-1)</f>
        <v/>
      </c>
      <c r="Y935" s="19">
        <f>IF(R935&gt;0,S935*資金模擬!$B$7/R935,0)</f>
        <v/>
      </c>
      <c r="Z935" s="2">
        <f>IF(OR(Z934=1,R935&lt;=資金模擬!$B$10),1,0)</f>
        <v/>
      </c>
    </row>
    <row r="936">
      <c r="A936" s="2" t="n">
        <v>934</v>
      </c>
      <c r="B936" s="7" t="n">
        <v>46290.04166666666</v>
      </c>
      <c r="C936" s="2" t="inlineStr">
        <is>
          <t>出場</t>
        </is>
      </c>
      <c r="D936" s="2" t="n">
        <v>469</v>
      </c>
      <c r="E936" s="2" t="inlineStr">
        <is>
          <t>NOM_USDT_PERP</t>
        </is>
      </c>
      <c r="F936" s="2" t="inlineStr">
        <is>
          <t>做空</t>
        </is>
      </c>
      <c r="G936" s="20" t="n">
        <v>0.00231</v>
      </c>
      <c r="H936" s="20" t="n">
        <v>0.0022407</v>
      </c>
      <c r="I936" s="20" t="n">
        <v>0.0024255</v>
      </c>
      <c r="J936" s="20" t="n">
        <v>0.0024255</v>
      </c>
      <c r="K936" s="2" t="inlineStr">
        <is>
          <t>止損</t>
        </is>
      </c>
      <c r="L936" s="5">
        <f>交易明細!K470</f>
        <v/>
      </c>
      <c r="M936" s="19">
        <f>M932</f>
        <v/>
      </c>
      <c r="N936" s="2">
        <f>N932</f>
        <v/>
      </c>
      <c r="O936" s="19">
        <f>O932</f>
        <v/>
      </c>
      <c r="P936" s="4">
        <f>交易明細!L470</f>
        <v/>
      </c>
      <c r="Q936" s="13">
        <f>IF(N936="已下單",O936*P936,0)</f>
        <v/>
      </c>
      <c r="R936" s="13">
        <f>R935+Q936</f>
        <v/>
      </c>
      <c r="S936" s="19">
        <f>S935-IF(N936="已下單",M936,0)</f>
        <v/>
      </c>
      <c r="T936" s="19">
        <f>R936-S936</f>
        <v/>
      </c>
      <c r="U936" s="2">
        <f>U935-IF(N936="已下單",1,0)</f>
        <v/>
      </c>
      <c r="V936" s="19">
        <f>IF(資金模擬!$B$9=2,MAX(R936,0),MAX(V935,FLOOR(MAX(R936,0),資金模擬!$B$6)))</f>
        <v/>
      </c>
      <c r="W936" s="13">
        <f>MAX(W935,R936)</f>
        <v/>
      </c>
      <c r="X936" s="4">
        <f>IF(W936&gt;0,R936/W936-1,-1)</f>
        <v/>
      </c>
      <c r="Y936" s="19">
        <f>IF(R936&gt;0,S936*資金模擬!$B$7/R936,0)</f>
        <v/>
      </c>
      <c r="Z936" s="2">
        <f>IF(OR(Z935=1,R936&lt;=資金模擬!$B$10),1,0)</f>
        <v/>
      </c>
    </row>
    <row r="937">
      <c r="A937" s="2" t="n">
        <v>935</v>
      </c>
      <c r="B937" s="7" t="n">
        <v>46290.04166666666</v>
      </c>
      <c r="C937" s="2" t="inlineStr">
        <is>
          <t>出場</t>
        </is>
      </c>
      <c r="D937" s="2" t="n">
        <v>471</v>
      </c>
      <c r="E937" s="2" t="inlineStr">
        <is>
          <t>USELESS_USDT_PERP</t>
        </is>
      </c>
      <c r="F937" s="2" t="inlineStr">
        <is>
          <t>做多</t>
        </is>
      </c>
      <c r="G937" s="20" t="n">
        <v>0.29391</v>
      </c>
      <c r="H937" s="20" t="n">
        <v>0.3027273</v>
      </c>
      <c r="I937" s="20" t="n">
        <v>0.2792145</v>
      </c>
      <c r="J937" s="20" t="n">
        <v>0.3027273</v>
      </c>
      <c r="K937" s="2" t="inlineStr">
        <is>
          <t>止盈</t>
        </is>
      </c>
      <c r="L937" s="5">
        <f>交易明細!K472</f>
        <v/>
      </c>
      <c r="M937" s="19">
        <f>M934</f>
        <v/>
      </c>
      <c r="N937" s="2">
        <f>N934</f>
        <v/>
      </c>
      <c r="O937" s="19">
        <f>O934</f>
        <v/>
      </c>
      <c r="P937" s="4">
        <f>交易明細!L472</f>
        <v/>
      </c>
      <c r="Q937" s="13">
        <f>IF(N937="已下單",O937*P937,0)</f>
        <v/>
      </c>
      <c r="R937" s="13">
        <f>R936+Q937</f>
        <v/>
      </c>
      <c r="S937" s="19">
        <f>S936-IF(N937="已下單",M937,0)</f>
        <v/>
      </c>
      <c r="T937" s="19">
        <f>R937-S937</f>
        <v/>
      </c>
      <c r="U937" s="2">
        <f>U936-IF(N937="已下單",1,0)</f>
        <v/>
      </c>
      <c r="V937" s="19">
        <f>IF(資金模擬!$B$9=2,MAX(R937,0),MAX(V936,FLOOR(MAX(R937,0),資金模擬!$B$6)))</f>
        <v/>
      </c>
      <c r="W937" s="13">
        <f>MAX(W936,R937)</f>
        <v/>
      </c>
      <c r="X937" s="4">
        <f>IF(W937&gt;0,R937/W937-1,-1)</f>
        <v/>
      </c>
      <c r="Y937" s="19">
        <f>IF(R937&gt;0,S937*資金模擬!$B$7/R937,0)</f>
        <v/>
      </c>
      <c r="Z937" s="2">
        <f>IF(OR(Z936=1,R937&lt;=資金模擬!$B$10),1,0)</f>
        <v/>
      </c>
    </row>
    <row r="938">
      <c r="A938" s="2" t="n">
        <v>936</v>
      </c>
      <c r="B938" s="7" t="n">
        <v>46290.04166666666</v>
      </c>
      <c r="C938" s="2" t="inlineStr">
        <is>
          <t>進場</t>
        </is>
      </c>
      <c r="D938" s="2" t="n">
        <v>472</v>
      </c>
      <c r="E938" s="2" t="inlineStr">
        <is>
          <t>LSK_USDT_PERP</t>
        </is>
      </c>
      <c r="F938" s="2" t="inlineStr">
        <is>
          <t>做多</t>
        </is>
      </c>
      <c r="G938" s="20" t="n">
        <v>0.3986</v>
      </c>
      <c r="H938" s="20" t="n">
        <v>0.410558</v>
      </c>
      <c r="I938" s="20" t="n">
        <v>0.37867</v>
      </c>
      <c r="J938" s="20" t="n"/>
      <c r="K938" s="2" t="n"/>
      <c r="L938" s="5" t="n"/>
      <c r="M938" s="19">
        <f>資金模擬!$B$5*V937</f>
        <v/>
      </c>
      <c r="N938" s="2">
        <f>IF(Z937=1,"已停止",IF(T937&gt;=M938,"已下單","資金不足略過"))</f>
        <v/>
      </c>
      <c r="O938" s="19">
        <f>IF(N938="已下單",M938*資金模擬!$B$7,0)</f>
        <v/>
      </c>
      <c r="P938" s="4" t="n"/>
      <c r="Q938" s="13" t="n">
        <v>0</v>
      </c>
      <c r="R938" s="13">
        <f>R937+Q938</f>
        <v/>
      </c>
      <c r="S938" s="19">
        <f>S937+IF(N938="已下單",M938,0)</f>
        <v/>
      </c>
      <c r="T938" s="19">
        <f>R938-S938</f>
        <v/>
      </c>
      <c r="U938" s="2">
        <f>U937+IF(N938="已下單",1,0)</f>
        <v/>
      </c>
      <c r="V938" s="19">
        <f>IF(資金模擬!$B$9=2,MAX(R938,0),MAX(V937,FLOOR(MAX(R938,0),資金模擬!$B$6)))</f>
        <v/>
      </c>
      <c r="W938" s="13">
        <f>MAX(W937,R938)</f>
        <v/>
      </c>
      <c r="X938" s="4">
        <f>IF(W938&gt;0,R938/W938-1,-1)</f>
        <v/>
      </c>
      <c r="Y938" s="19">
        <f>IF(R938&gt;0,S938*資金模擬!$B$7/R938,0)</f>
        <v/>
      </c>
      <c r="Z938" s="2">
        <f>IF(OR(Z937=1,R938&lt;=資金模擬!$B$10),1,0)</f>
        <v/>
      </c>
    </row>
    <row r="939">
      <c r="A939" s="2" t="n">
        <v>937</v>
      </c>
      <c r="B939" s="7" t="n">
        <v>46290.08333333334</v>
      </c>
      <c r="C939" s="2" t="inlineStr">
        <is>
          <t>出場</t>
        </is>
      </c>
      <c r="D939" s="2" t="n">
        <v>459</v>
      </c>
      <c r="E939" s="2" t="inlineStr">
        <is>
          <t>ZEC_USDT_PERP</t>
        </is>
      </c>
      <c r="F939" s="2" t="inlineStr">
        <is>
          <t>做空</t>
        </is>
      </c>
      <c r="G939" s="20" t="n">
        <v>1478.57</v>
      </c>
      <c r="H939" s="20" t="n">
        <v>1434.2129</v>
      </c>
      <c r="I939" s="20" t="n">
        <v>1552.4985</v>
      </c>
      <c r="J939" s="20" t="n">
        <v>1552.4985</v>
      </c>
      <c r="K939" s="2" t="inlineStr">
        <is>
          <t>止損</t>
        </is>
      </c>
      <c r="L939" s="5">
        <f>交易明細!K460</f>
        <v/>
      </c>
      <c r="M939" s="19">
        <f>M909</f>
        <v/>
      </c>
      <c r="N939" s="2">
        <f>N909</f>
        <v/>
      </c>
      <c r="O939" s="19">
        <f>O909</f>
        <v/>
      </c>
      <c r="P939" s="4">
        <f>交易明細!L460</f>
        <v/>
      </c>
      <c r="Q939" s="13">
        <f>IF(N939="已下單",O939*P939,0)</f>
        <v/>
      </c>
      <c r="R939" s="13">
        <f>R938+Q939</f>
        <v/>
      </c>
      <c r="S939" s="19">
        <f>S938-IF(N939="已下單",M939,0)</f>
        <v/>
      </c>
      <c r="T939" s="19">
        <f>R939-S939</f>
        <v/>
      </c>
      <c r="U939" s="2">
        <f>U938-IF(N939="已下單",1,0)</f>
        <v/>
      </c>
      <c r="V939" s="19">
        <f>IF(資金模擬!$B$9=2,MAX(R939,0),MAX(V938,FLOOR(MAX(R939,0),資金模擬!$B$6)))</f>
        <v/>
      </c>
      <c r="W939" s="13">
        <f>MAX(W938,R939)</f>
        <v/>
      </c>
      <c r="X939" s="4">
        <f>IF(W939&gt;0,R939/W939-1,-1)</f>
        <v/>
      </c>
      <c r="Y939" s="19">
        <f>IF(R939&gt;0,S939*資金模擬!$B$7/R939,0)</f>
        <v/>
      </c>
      <c r="Z939" s="2">
        <f>IF(OR(Z938=1,R939&lt;=資金模擬!$B$10),1,0)</f>
        <v/>
      </c>
    </row>
    <row r="940">
      <c r="A940" s="2" t="n">
        <v>938</v>
      </c>
      <c r="B940" s="7" t="n">
        <v>46290.125</v>
      </c>
      <c r="C940" s="2" t="inlineStr">
        <is>
          <t>出場</t>
        </is>
      </c>
      <c r="D940" s="2" t="n">
        <v>467</v>
      </c>
      <c r="E940" s="2" t="inlineStr">
        <is>
          <t>RAY_USDT_PERP</t>
        </is>
      </c>
      <c r="F940" s="2" t="inlineStr">
        <is>
          <t>做多</t>
        </is>
      </c>
      <c r="G940" s="20" t="n">
        <v>2.08</v>
      </c>
      <c r="H940" s="20" t="n">
        <v>2.1424</v>
      </c>
      <c r="I940" s="20" t="n">
        <v>1.976</v>
      </c>
      <c r="J940" s="20" t="n">
        <v>2.1424</v>
      </c>
      <c r="K940" s="2" t="inlineStr">
        <is>
          <t>止盈</t>
        </is>
      </c>
      <c r="L940" s="5">
        <f>交易明細!K468</f>
        <v/>
      </c>
      <c r="M940" s="19">
        <f>M922</f>
        <v/>
      </c>
      <c r="N940" s="2">
        <f>N922</f>
        <v/>
      </c>
      <c r="O940" s="19">
        <f>O922</f>
        <v/>
      </c>
      <c r="P940" s="4">
        <f>交易明細!L468</f>
        <v/>
      </c>
      <c r="Q940" s="13">
        <f>IF(N940="已下單",O940*P940,0)</f>
        <v/>
      </c>
      <c r="R940" s="13">
        <f>R939+Q940</f>
        <v/>
      </c>
      <c r="S940" s="19">
        <f>S939-IF(N940="已下單",M940,0)</f>
        <v/>
      </c>
      <c r="T940" s="19">
        <f>R940-S940</f>
        <v/>
      </c>
      <c r="U940" s="2">
        <f>U939-IF(N940="已下單",1,0)</f>
        <v/>
      </c>
      <c r="V940" s="19">
        <f>IF(資金模擬!$B$9=2,MAX(R940,0),MAX(V939,FLOOR(MAX(R940,0),資金模擬!$B$6)))</f>
        <v/>
      </c>
      <c r="W940" s="13">
        <f>MAX(W939,R940)</f>
        <v/>
      </c>
      <c r="X940" s="4">
        <f>IF(W940&gt;0,R940/W940-1,-1)</f>
        <v/>
      </c>
      <c r="Y940" s="19">
        <f>IF(R940&gt;0,S940*資金模擬!$B$7/R940,0)</f>
        <v/>
      </c>
      <c r="Z940" s="2">
        <f>IF(OR(Z939=1,R940&lt;=資金模擬!$B$10),1,0)</f>
        <v/>
      </c>
    </row>
    <row r="941">
      <c r="A941" s="2" t="n">
        <v>939</v>
      </c>
      <c r="B941" s="7" t="n">
        <v>46290.125</v>
      </c>
      <c r="C941" s="2" t="inlineStr">
        <is>
          <t>出場</t>
        </is>
      </c>
      <c r="D941" s="2" t="n">
        <v>472</v>
      </c>
      <c r="E941" s="2" t="inlineStr">
        <is>
          <t>LSK_USDT_PERP</t>
        </is>
      </c>
      <c r="F941" s="2" t="inlineStr">
        <is>
          <t>做多</t>
        </is>
      </c>
      <c r="G941" s="20" t="n">
        <v>0.3986</v>
      </c>
      <c r="H941" s="20" t="n">
        <v>0.410558</v>
      </c>
      <c r="I941" s="20" t="n">
        <v>0.37867</v>
      </c>
      <c r="J941" s="20" t="n">
        <v>0.410558</v>
      </c>
      <c r="K941" s="2" t="inlineStr">
        <is>
          <t>止盈</t>
        </is>
      </c>
      <c r="L941" s="5">
        <f>交易明細!K473</f>
        <v/>
      </c>
      <c r="M941" s="19">
        <f>M938</f>
        <v/>
      </c>
      <c r="N941" s="2">
        <f>N938</f>
        <v/>
      </c>
      <c r="O941" s="19">
        <f>O938</f>
        <v/>
      </c>
      <c r="P941" s="4">
        <f>交易明細!L473</f>
        <v/>
      </c>
      <c r="Q941" s="13">
        <f>IF(N941="已下單",O941*P941,0)</f>
        <v/>
      </c>
      <c r="R941" s="13">
        <f>R940+Q941</f>
        <v/>
      </c>
      <c r="S941" s="19">
        <f>S940-IF(N941="已下單",M941,0)</f>
        <v/>
      </c>
      <c r="T941" s="19">
        <f>R941-S941</f>
        <v/>
      </c>
      <c r="U941" s="2">
        <f>U940-IF(N941="已下單",1,0)</f>
        <v/>
      </c>
      <c r="V941" s="19">
        <f>IF(資金模擬!$B$9=2,MAX(R941,0),MAX(V940,FLOOR(MAX(R941,0),資金模擬!$B$6)))</f>
        <v/>
      </c>
      <c r="W941" s="13">
        <f>MAX(W940,R941)</f>
        <v/>
      </c>
      <c r="X941" s="4">
        <f>IF(W941&gt;0,R941/W941-1,-1)</f>
        <v/>
      </c>
      <c r="Y941" s="19">
        <f>IF(R941&gt;0,S941*資金模擬!$B$7/R941,0)</f>
        <v/>
      </c>
      <c r="Z941" s="2">
        <f>IF(OR(Z940=1,R941&lt;=資金模擬!$B$10),1,0)</f>
        <v/>
      </c>
    </row>
    <row r="942">
      <c r="A942" s="2" t="n">
        <v>940</v>
      </c>
      <c r="B942" s="7" t="n">
        <v>46290.125</v>
      </c>
      <c r="C942" s="2" t="inlineStr">
        <is>
          <t>進場</t>
        </is>
      </c>
      <c r="D942" s="2" t="n">
        <v>473</v>
      </c>
      <c r="E942" s="2" t="inlineStr">
        <is>
          <t>LIT_USDT_PERP</t>
        </is>
      </c>
      <c r="F942" s="2" t="inlineStr">
        <is>
          <t>做多</t>
        </is>
      </c>
      <c r="G942" s="20" t="n">
        <v>5.401</v>
      </c>
      <c r="H942" s="20" t="n">
        <v>5.56303</v>
      </c>
      <c r="I942" s="20" t="n">
        <v>5.130949999999999</v>
      </c>
      <c r="J942" s="20" t="n"/>
      <c r="K942" s="2" t="n"/>
      <c r="L942" s="5" t="n"/>
      <c r="M942" s="19">
        <f>資金模擬!$B$5*V941</f>
        <v/>
      </c>
      <c r="N942" s="2">
        <f>IF(Z941=1,"已停止",IF(T941&gt;=M942,"已下單","資金不足略過"))</f>
        <v/>
      </c>
      <c r="O942" s="19">
        <f>IF(N942="已下單",M942*資金模擬!$B$7,0)</f>
        <v/>
      </c>
      <c r="P942" s="4" t="n"/>
      <c r="Q942" s="13" t="n">
        <v>0</v>
      </c>
      <c r="R942" s="13">
        <f>R941+Q942</f>
        <v/>
      </c>
      <c r="S942" s="19">
        <f>S941+IF(N942="已下單",M942,0)</f>
        <v/>
      </c>
      <c r="T942" s="19">
        <f>R942-S942</f>
        <v/>
      </c>
      <c r="U942" s="2">
        <f>U941+IF(N942="已下單",1,0)</f>
        <v/>
      </c>
      <c r="V942" s="19">
        <f>IF(資金模擬!$B$9=2,MAX(R942,0),MAX(V941,FLOOR(MAX(R942,0),資金模擬!$B$6)))</f>
        <v/>
      </c>
      <c r="W942" s="13">
        <f>MAX(W941,R942)</f>
        <v/>
      </c>
      <c r="X942" s="4">
        <f>IF(W942&gt;0,R942/W942-1,-1)</f>
        <v/>
      </c>
      <c r="Y942" s="19">
        <f>IF(R942&gt;0,S942*資金模擬!$B$7/R942,0)</f>
        <v/>
      </c>
      <c r="Z942" s="2">
        <f>IF(OR(Z941=1,R942&lt;=資金模擬!$B$10),1,0)</f>
        <v/>
      </c>
    </row>
    <row r="943">
      <c r="A943" s="2" t="n">
        <v>941</v>
      </c>
      <c r="B943" s="7" t="n">
        <v>46290.20833333334</v>
      </c>
      <c r="C943" s="2" t="inlineStr">
        <is>
          <t>進場</t>
        </is>
      </c>
      <c r="D943" s="2" t="n">
        <v>474</v>
      </c>
      <c r="E943" s="2" t="inlineStr">
        <is>
          <t>BR_USDT_PERP</t>
        </is>
      </c>
      <c r="F943" s="2" t="inlineStr">
        <is>
          <t>做空</t>
        </is>
      </c>
      <c r="G943" s="20" t="n">
        <v>0.9938900000000001</v>
      </c>
      <c r="H943" s="20" t="n">
        <v>0.9640733</v>
      </c>
      <c r="I943" s="20" t="n">
        <v>1.0435845</v>
      </c>
      <c r="J943" s="20" t="n"/>
      <c r="K943" s="2" t="n"/>
      <c r="L943" s="5" t="n"/>
      <c r="M943" s="19">
        <f>資金模擬!$B$5*V942</f>
        <v/>
      </c>
      <c r="N943" s="2">
        <f>IF(Z942=1,"已停止",IF(T942&gt;=M943,"已下單","資金不足略過"))</f>
        <v/>
      </c>
      <c r="O943" s="19">
        <f>IF(N943="已下單",M943*資金模擬!$B$7,0)</f>
        <v/>
      </c>
      <c r="P943" s="4" t="n"/>
      <c r="Q943" s="13" t="n">
        <v>0</v>
      </c>
      <c r="R943" s="13">
        <f>R942+Q943</f>
        <v/>
      </c>
      <c r="S943" s="19">
        <f>S942+IF(N943="已下單",M943,0)</f>
        <v/>
      </c>
      <c r="T943" s="19">
        <f>R943-S943</f>
        <v/>
      </c>
      <c r="U943" s="2">
        <f>U942+IF(N943="已下單",1,0)</f>
        <v/>
      </c>
      <c r="V943" s="19">
        <f>IF(資金模擬!$B$9=2,MAX(R943,0),MAX(V942,FLOOR(MAX(R943,0),資金模擬!$B$6)))</f>
        <v/>
      </c>
      <c r="W943" s="13">
        <f>MAX(W942,R943)</f>
        <v/>
      </c>
      <c r="X943" s="4">
        <f>IF(W943&gt;0,R943/W943-1,-1)</f>
        <v/>
      </c>
      <c r="Y943" s="19">
        <f>IF(R943&gt;0,S943*資金模擬!$B$7/R943,0)</f>
        <v/>
      </c>
      <c r="Z943" s="2">
        <f>IF(OR(Z942=1,R943&lt;=資金模擬!$B$10),1,0)</f>
        <v/>
      </c>
    </row>
    <row r="944">
      <c r="A944" s="2" t="n">
        <v>942</v>
      </c>
      <c r="B944" s="7" t="n">
        <v>46290.25</v>
      </c>
      <c r="C944" s="2" t="inlineStr">
        <is>
          <t>出場</t>
        </is>
      </c>
      <c r="D944" s="2" t="n">
        <v>473</v>
      </c>
      <c r="E944" s="2" t="inlineStr">
        <is>
          <t>LIT_USDT_PERP</t>
        </is>
      </c>
      <c r="F944" s="2" t="inlineStr">
        <is>
          <t>做多</t>
        </is>
      </c>
      <c r="G944" s="20" t="n">
        <v>5.401</v>
      </c>
      <c r="H944" s="20" t="n">
        <v>5.56303</v>
      </c>
      <c r="I944" s="20" t="n">
        <v>5.130949999999999</v>
      </c>
      <c r="J944" s="20" t="n">
        <v>5.130949999999999</v>
      </c>
      <c r="K944" s="2" t="inlineStr">
        <is>
          <t>止損</t>
        </is>
      </c>
      <c r="L944" s="5">
        <f>交易明細!K474</f>
        <v/>
      </c>
      <c r="M944" s="19">
        <f>M942</f>
        <v/>
      </c>
      <c r="N944" s="2">
        <f>N942</f>
        <v/>
      </c>
      <c r="O944" s="19">
        <f>O942</f>
        <v/>
      </c>
      <c r="P944" s="4">
        <f>交易明細!L474</f>
        <v/>
      </c>
      <c r="Q944" s="13">
        <f>IF(N944="已下單",O944*P944,0)</f>
        <v/>
      </c>
      <c r="R944" s="13">
        <f>R943+Q944</f>
        <v/>
      </c>
      <c r="S944" s="19">
        <f>S943-IF(N944="已下單",M944,0)</f>
        <v/>
      </c>
      <c r="T944" s="19">
        <f>R944-S944</f>
        <v/>
      </c>
      <c r="U944" s="2">
        <f>U943-IF(N944="已下單",1,0)</f>
        <v/>
      </c>
      <c r="V944" s="19">
        <f>IF(資金模擬!$B$9=2,MAX(R944,0),MAX(V943,FLOOR(MAX(R944,0),資金模擬!$B$6)))</f>
        <v/>
      </c>
      <c r="W944" s="13">
        <f>MAX(W943,R944)</f>
        <v/>
      </c>
      <c r="X944" s="4">
        <f>IF(W944&gt;0,R944/W944-1,-1)</f>
        <v/>
      </c>
      <c r="Y944" s="19">
        <f>IF(R944&gt;0,S944*資金模擬!$B$7/R944,0)</f>
        <v/>
      </c>
      <c r="Z944" s="2">
        <f>IF(OR(Z943=1,R944&lt;=資金模擬!$B$10),1,0)</f>
        <v/>
      </c>
    </row>
    <row r="945">
      <c r="A945" s="2" t="n">
        <v>943</v>
      </c>
      <c r="B945" s="7" t="n">
        <v>46290.29166666666</v>
      </c>
      <c r="C945" s="2" t="inlineStr">
        <is>
          <t>出場</t>
        </is>
      </c>
      <c r="D945" s="2" t="n">
        <v>474</v>
      </c>
      <c r="E945" s="2" t="inlineStr">
        <is>
          <t>BR_USDT_PERP</t>
        </is>
      </c>
      <c r="F945" s="2" t="inlineStr">
        <is>
          <t>做空</t>
        </is>
      </c>
      <c r="G945" s="20" t="n">
        <v>0.9938900000000001</v>
      </c>
      <c r="H945" s="20" t="n">
        <v>0.9640733</v>
      </c>
      <c r="I945" s="20" t="n">
        <v>1.0435845</v>
      </c>
      <c r="J945" s="20" t="n">
        <v>1.0435845</v>
      </c>
      <c r="K945" s="2" t="inlineStr">
        <is>
          <t>止損</t>
        </is>
      </c>
      <c r="L945" s="5">
        <f>交易明細!K475</f>
        <v/>
      </c>
      <c r="M945" s="19">
        <f>M943</f>
        <v/>
      </c>
      <c r="N945" s="2">
        <f>N943</f>
        <v/>
      </c>
      <c r="O945" s="19">
        <f>O943</f>
        <v/>
      </c>
      <c r="P945" s="4">
        <f>交易明細!L475</f>
        <v/>
      </c>
      <c r="Q945" s="13">
        <f>IF(N945="已下單",O945*P945,0)</f>
        <v/>
      </c>
      <c r="R945" s="13">
        <f>R944+Q945</f>
        <v/>
      </c>
      <c r="S945" s="19">
        <f>S944-IF(N945="已下單",M945,0)</f>
        <v/>
      </c>
      <c r="T945" s="19">
        <f>R945-S945</f>
        <v/>
      </c>
      <c r="U945" s="2">
        <f>U944-IF(N945="已下單",1,0)</f>
        <v/>
      </c>
      <c r="V945" s="19">
        <f>IF(資金模擬!$B$9=2,MAX(R945,0),MAX(V944,FLOOR(MAX(R945,0),資金模擬!$B$6)))</f>
        <v/>
      </c>
      <c r="W945" s="13">
        <f>MAX(W944,R945)</f>
        <v/>
      </c>
      <c r="X945" s="4">
        <f>IF(W945&gt;0,R945/W945-1,-1)</f>
        <v/>
      </c>
      <c r="Y945" s="19">
        <f>IF(R945&gt;0,S945*資金模擬!$B$7/R945,0)</f>
        <v/>
      </c>
      <c r="Z945" s="2">
        <f>IF(OR(Z944=1,R945&lt;=資金模擬!$B$10),1,0)</f>
        <v/>
      </c>
    </row>
    <row r="946">
      <c r="A946" s="2" t="n">
        <v>944</v>
      </c>
      <c r="B946" s="7" t="n">
        <v>46290.41666666666</v>
      </c>
      <c r="C946" s="2" t="inlineStr">
        <is>
          <t>出場</t>
        </is>
      </c>
      <c r="D946" s="2" t="n">
        <v>416</v>
      </c>
      <c r="E946" s="2" t="inlineStr">
        <is>
          <t>ADA_USDT_PERP</t>
        </is>
      </c>
      <c r="F946" s="2" t="inlineStr">
        <is>
          <t>做空</t>
        </is>
      </c>
      <c r="G946" s="20" t="n">
        <v>0.24</v>
      </c>
      <c r="H946" s="20" t="n">
        <v>0.2328</v>
      </c>
      <c r="I946" s="20" t="n">
        <v>0.252</v>
      </c>
      <c r="J946" s="20" t="n">
        <v>0.252</v>
      </c>
      <c r="K946" s="2" t="inlineStr">
        <is>
          <t>止損</t>
        </is>
      </c>
      <c r="L946" s="5">
        <f>交易明細!K417</f>
        <v/>
      </c>
      <c r="M946" s="19">
        <f>M832</f>
        <v/>
      </c>
      <c r="N946" s="2">
        <f>N832</f>
        <v/>
      </c>
      <c r="O946" s="19">
        <f>O832</f>
        <v/>
      </c>
      <c r="P946" s="4">
        <f>交易明細!L417</f>
        <v/>
      </c>
      <c r="Q946" s="13">
        <f>IF(N946="已下單",O946*P946,0)</f>
        <v/>
      </c>
      <c r="R946" s="13">
        <f>R945+Q946</f>
        <v/>
      </c>
      <c r="S946" s="19">
        <f>S945-IF(N946="已下單",M946,0)</f>
        <v/>
      </c>
      <c r="T946" s="19">
        <f>R946-S946</f>
        <v/>
      </c>
      <c r="U946" s="2">
        <f>U945-IF(N946="已下單",1,0)</f>
        <v/>
      </c>
      <c r="V946" s="19">
        <f>IF(資金模擬!$B$9=2,MAX(R946,0),MAX(V945,FLOOR(MAX(R946,0),資金模擬!$B$6)))</f>
        <v/>
      </c>
      <c r="W946" s="13">
        <f>MAX(W945,R946)</f>
        <v/>
      </c>
      <c r="X946" s="4">
        <f>IF(W946&gt;0,R946/W946-1,-1)</f>
        <v/>
      </c>
      <c r="Y946" s="19">
        <f>IF(R946&gt;0,S946*資金模擬!$B$7/R946,0)</f>
        <v/>
      </c>
      <c r="Z946" s="2">
        <f>IF(OR(Z945=1,R946&lt;=資金模擬!$B$10),1,0)</f>
        <v/>
      </c>
    </row>
    <row r="947">
      <c r="A947" s="2" t="n">
        <v>945</v>
      </c>
      <c r="B947" s="7" t="n">
        <v>46290.54166666666</v>
      </c>
      <c r="C947" s="2" t="inlineStr">
        <is>
          <t>進場</t>
        </is>
      </c>
      <c r="D947" s="2" t="n">
        <v>475</v>
      </c>
      <c r="E947" s="2" t="inlineStr">
        <is>
          <t>AKE_USDT_PERP</t>
        </is>
      </c>
      <c r="F947" s="2" t="inlineStr">
        <is>
          <t>做空</t>
        </is>
      </c>
      <c r="G947" s="20" t="n">
        <v>0.0379</v>
      </c>
      <c r="H947" s="20" t="n">
        <v>0.036763</v>
      </c>
      <c r="I947" s="20" t="n">
        <v>0.039795</v>
      </c>
      <c r="J947" s="20" t="n"/>
      <c r="K947" s="2" t="n"/>
      <c r="L947" s="5" t="n"/>
      <c r="M947" s="19">
        <f>資金模擬!$B$5*V946</f>
        <v/>
      </c>
      <c r="N947" s="2">
        <f>IF(Z946=1,"已停止",IF(T946&gt;=M947,"已下單","資金不足略過"))</f>
        <v/>
      </c>
      <c r="O947" s="19">
        <f>IF(N947="已下單",M947*資金模擬!$B$7,0)</f>
        <v/>
      </c>
      <c r="P947" s="4" t="n"/>
      <c r="Q947" s="13" t="n">
        <v>0</v>
      </c>
      <c r="R947" s="13">
        <f>R946+Q947</f>
        <v/>
      </c>
      <c r="S947" s="19">
        <f>S946+IF(N947="已下單",M947,0)</f>
        <v/>
      </c>
      <c r="T947" s="19">
        <f>R947-S947</f>
        <v/>
      </c>
      <c r="U947" s="2">
        <f>U946+IF(N947="已下單",1,0)</f>
        <v/>
      </c>
      <c r="V947" s="19">
        <f>IF(資金模擬!$B$9=2,MAX(R947,0),MAX(V946,FLOOR(MAX(R947,0),資金模擬!$B$6)))</f>
        <v/>
      </c>
      <c r="W947" s="13">
        <f>MAX(W946,R947)</f>
        <v/>
      </c>
      <c r="X947" s="4">
        <f>IF(W947&gt;0,R947/W947-1,-1)</f>
        <v/>
      </c>
      <c r="Y947" s="19">
        <f>IF(R947&gt;0,S947*資金模擬!$B$7/R947,0)</f>
        <v/>
      </c>
      <c r="Z947" s="2">
        <f>IF(OR(Z946=1,R947&lt;=資金模擬!$B$10),1,0)</f>
        <v/>
      </c>
    </row>
    <row r="948">
      <c r="A948" s="2" t="n">
        <v>946</v>
      </c>
      <c r="B948" s="7" t="n">
        <v>46290.55555555555</v>
      </c>
      <c r="C948" s="2" t="inlineStr">
        <is>
          <t>出場</t>
        </is>
      </c>
      <c r="D948" s="2" t="n">
        <v>475</v>
      </c>
      <c r="E948" s="2" t="inlineStr">
        <is>
          <t>AKE_USDT_PERP</t>
        </is>
      </c>
      <c r="F948" s="2" t="inlineStr">
        <is>
          <t>做空</t>
        </is>
      </c>
      <c r="G948" s="20" t="n">
        <v>0.0379</v>
      </c>
      <c r="H948" s="20" t="n">
        <v>0.036763</v>
      </c>
      <c r="I948" s="20" t="n">
        <v>0.039795</v>
      </c>
      <c r="J948" s="20" t="n">
        <v>0.036763</v>
      </c>
      <c r="K948" s="2" t="inlineStr">
        <is>
          <t>止盈</t>
        </is>
      </c>
      <c r="L948" s="5">
        <f>交易明細!K476</f>
        <v/>
      </c>
      <c r="M948" s="19">
        <f>M947</f>
        <v/>
      </c>
      <c r="N948" s="2">
        <f>N947</f>
        <v/>
      </c>
      <c r="O948" s="19">
        <f>O947</f>
        <v/>
      </c>
      <c r="P948" s="4">
        <f>交易明細!L476</f>
        <v/>
      </c>
      <c r="Q948" s="13">
        <f>IF(N948="已下單",O948*P948,0)</f>
        <v/>
      </c>
      <c r="R948" s="13">
        <f>R947+Q948</f>
        <v/>
      </c>
      <c r="S948" s="19">
        <f>S947-IF(N948="已下單",M948,0)</f>
        <v/>
      </c>
      <c r="T948" s="19">
        <f>R948-S948</f>
        <v/>
      </c>
      <c r="U948" s="2">
        <f>U947-IF(N948="已下單",1,0)</f>
        <v/>
      </c>
      <c r="V948" s="19">
        <f>IF(資金模擬!$B$9=2,MAX(R948,0),MAX(V947,FLOOR(MAX(R948,0),資金模擬!$B$6)))</f>
        <v/>
      </c>
      <c r="W948" s="13">
        <f>MAX(W947,R948)</f>
        <v/>
      </c>
      <c r="X948" s="4">
        <f>IF(W948&gt;0,R948/W948-1,-1)</f>
        <v/>
      </c>
      <c r="Y948" s="19">
        <f>IF(R948&gt;0,S948*資金模擬!$B$7/R948,0)</f>
        <v/>
      </c>
      <c r="Z948" s="2">
        <f>IF(OR(Z947=1,R948&lt;=資金模擬!$B$10),1,0)</f>
        <v/>
      </c>
    </row>
    <row r="949">
      <c r="A949" s="2" t="n">
        <v>947</v>
      </c>
      <c r="B949" s="7" t="n">
        <v>46290.58333333334</v>
      </c>
      <c r="C949" s="2" t="inlineStr">
        <is>
          <t>出場</t>
        </is>
      </c>
      <c r="D949" s="2" t="n">
        <v>463</v>
      </c>
      <c r="E949" s="2" t="inlineStr">
        <is>
          <t>ZRO_USDT_PERP</t>
        </is>
      </c>
      <c r="F949" s="2" t="inlineStr">
        <is>
          <t>做空</t>
        </is>
      </c>
      <c r="G949" s="20" t="n">
        <v>1.4433</v>
      </c>
      <c r="H949" s="20" t="n">
        <v>1.400001</v>
      </c>
      <c r="I949" s="20" t="n">
        <v>1.515465</v>
      </c>
      <c r="J949" s="20" t="n">
        <v>1.515465</v>
      </c>
      <c r="K949" s="2" t="inlineStr">
        <is>
          <t>止損</t>
        </is>
      </c>
      <c r="L949" s="5">
        <f>交易明細!K464</f>
        <v/>
      </c>
      <c r="M949" s="19">
        <f>M915</f>
        <v/>
      </c>
      <c r="N949" s="2">
        <f>N915</f>
        <v/>
      </c>
      <c r="O949" s="19">
        <f>O915</f>
        <v/>
      </c>
      <c r="P949" s="4">
        <f>交易明細!L464</f>
        <v/>
      </c>
      <c r="Q949" s="13">
        <f>IF(N949="已下單",O949*P949,0)</f>
        <v/>
      </c>
      <c r="R949" s="13">
        <f>R948+Q949</f>
        <v/>
      </c>
      <c r="S949" s="19">
        <f>S948-IF(N949="已下單",M949,0)</f>
        <v/>
      </c>
      <c r="T949" s="19">
        <f>R949-S949</f>
        <v/>
      </c>
      <c r="U949" s="2">
        <f>U948-IF(N949="已下單",1,0)</f>
        <v/>
      </c>
      <c r="V949" s="19">
        <f>IF(資金模擬!$B$9=2,MAX(R949,0),MAX(V948,FLOOR(MAX(R949,0),資金模擬!$B$6)))</f>
        <v/>
      </c>
      <c r="W949" s="13">
        <f>MAX(W948,R949)</f>
        <v/>
      </c>
      <c r="X949" s="4">
        <f>IF(W949&gt;0,R949/W949-1,-1)</f>
        <v/>
      </c>
      <c r="Y949" s="19">
        <f>IF(R949&gt;0,S949*資金模擬!$B$7/R949,0)</f>
        <v/>
      </c>
      <c r="Z949" s="2">
        <f>IF(OR(Z948=1,R949&lt;=資金模擬!$B$10),1,0)</f>
        <v/>
      </c>
    </row>
    <row r="950">
      <c r="A950" s="2" t="n">
        <v>948</v>
      </c>
      <c r="B950" s="7" t="n">
        <v>46290.625</v>
      </c>
      <c r="C950" s="2" t="inlineStr">
        <is>
          <t>進場</t>
        </is>
      </c>
      <c r="D950" s="2" t="n">
        <v>476</v>
      </c>
      <c r="E950" s="2" t="inlineStr">
        <is>
          <t>BR_USDT_PERP</t>
        </is>
      </c>
      <c r="F950" s="2" t="inlineStr">
        <is>
          <t>做多</t>
        </is>
      </c>
      <c r="G950" s="20" t="n">
        <v>1.02364</v>
      </c>
      <c r="H950" s="20" t="n">
        <v>1.0543492</v>
      </c>
      <c r="I950" s="20" t="n">
        <v>0.972458</v>
      </c>
      <c r="J950" s="20" t="n"/>
      <c r="K950" s="2" t="n"/>
      <c r="L950" s="5" t="n"/>
      <c r="M950" s="19">
        <f>資金模擬!$B$5*V949</f>
        <v/>
      </c>
      <c r="N950" s="2">
        <f>IF(Z949=1,"已停止",IF(T949&gt;=M950,"已下單","資金不足略過"))</f>
        <v/>
      </c>
      <c r="O950" s="19">
        <f>IF(N950="已下單",M950*資金模擬!$B$7,0)</f>
        <v/>
      </c>
      <c r="P950" s="4" t="n"/>
      <c r="Q950" s="13" t="n">
        <v>0</v>
      </c>
      <c r="R950" s="13">
        <f>R949+Q950</f>
        <v/>
      </c>
      <c r="S950" s="19">
        <f>S949+IF(N950="已下單",M950,0)</f>
        <v/>
      </c>
      <c r="T950" s="19">
        <f>R950-S950</f>
        <v/>
      </c>
      <c r="U950" s="2">
        <f>U949+IF(N950="已下單",1,0)</f>
        <v/>
      </c>
      <c r="V950" s="19">
        <f>IF(資金模擬!$B$9=2,MAX(R950,0),MAX(V949,FLOOR(MAX(R950,0),資金模擬!$B$6)))</f>
        <v/>
      </c>
      <c r="W950" s="13">
        <f>MAX(W949,R950)</f>
        <v/>
      </c>
      <c r="X950" s="4">
        <f>IF(W950&gt;0,R950/W950-1,-1)</f>
        <v/>
      </c>
      <c r="Y950" s="19">
        <f>IF(R950&gt;0,S950*資金模擬!$B$7/R950,0)</f>
        <v/>
      </c>
      <c r="Z950" s="2">
        <f>IF(OR(Z949=1,R950&lt;=資金模擬!$B$10),1,0)</f>
        <v/>
      </c>
    </row>
    <row r="951">
      <c r="A951" s="2" t="n">
        <v>949</v>
      </c>
      <c r="B951" s="7" t="n">
        <v>46290.66666666666</v>
      </c>
      <c r="C951" s="2" t="inlineStr">
        <is>
          <t>進場</t>
        </is>
      </c>
      <c r="D951" s="2" t="n">
        <v>477</v>
      </c>
      <c r="E951" s="2" t="inlineStr">
        <is>
          <t>BROCCOLI_USDT_PERP</t>
        </is>
      </c>
      <c r="F951" s="2" t="inlineStr">
        <is>
          <t>做多</t>
        </is>
      </c>
      <c r="G951" s="20" t="n">
        <v>0.03165</v>
      </c>
      <c r="H951" s="20" t="n">
        <v>0.0325995</v>
      </c>
      <c r="I951" s="20" t="n">
        <v>0.0300675</v>
      </c>
      <c r="J951" s="20" t="n"/>
      <c r="K951" s="2" t="n"/>
      <c r="L951" s="5" t="n"/>
      <c r="M951" s="19">
        <f>資金模擬!$B$5*V950</f>
        <v/>
      </c>
      <c r="N951" s="2">
        <f>IF(Z950=1,"已停止",IF(T950&gt;=M951,"已下單","資金不足略過"))</f>
        <v/>
      </c>
      <c r="O951" s="19">
        <f>IF(N951="已下單",M951*資金模擬!$B$7,0)</f>
        <v/>
      </c>
      <c r="P951" s="4" t="n"/>
      <c r="Q951" s="13" t="n">
        <v>0</v>
      </c>
      <c r="R951" s="13">
        <f>R950+Q951</f>
        <v/>
      </c>
      <c r="S951" s="19">
        <f>S950+IF(N951="已下單",M951,0)</f>
        <v/>
      </c>
      <c r="T951" s="19">
        <f>R951-S951</f>
        <v/>
      </c>
      <c r="U951" s="2">
        <f>U950+IF(N951="已下單",1,0)</f>
        <v/>
      </c>
      <c r="V951" s="19">
        <f>IF(資金模擬!$B$9=2,MAX(R951,0),MAX(V950,FLOOR(MAX(R951,0),資金模擬!$B$6)))</f>
        <v/>
      </c>
      <c r="W951" s="13">
        <f>MAX(W950,R951)</f>
        <v/>
      </c>
      <c r="X951" s="4">
        <f>IF(W951&gt;0,R951/W951-1,-1)</f>
        <v/>
      </c>
      <c r="Y951" s="19">
        <f>IF(R951&gt;0,S951*資金模擬!$B$7/R951,0)</f>
        <v/>
      </c>
      <c r="Z951" s="2">
        <f>IF(OR(Z950=1,R951&lt;=資金模擬!$B$10),1,0)</f>
        <v/>
      </c>
    </row>
    <row r="952">
      <c r="A952" s="2" t="n">
        <v>950</v>
      </c>
      <c r="B952" s="7" t="n">
        <v>46290.70833333334</v>
      </c>
      <c r="C952" s="2" t="inlineStr">
        <is>
          <t>出場</t>
        </is>
      </c>
      <c r="D952" s="2" t="n">
        <v>470</v>
      </c>
      <c r="E952" s="2" t="inlineStr">
        <is>
          <t>PONS_USDT_PERP</t>
        </is>
      </c>
      <c r="F952" s="2" t="inlineStr">
        <is>
          <t>做多</t>
        </is>
      </c>
      <c r="G952" s="20" t="n">
        <v>0.6308</v>
      </c>
      <c r="H952" s="20" t="n">
        <v>0.6497240000000001</v>
      </c>
      <c r="I952" s="20" t="n">
        <v>0.59926</v>
      </c>
      <c r="J952" s="20" t="n">
        <v>0.6497240000000001</v>
      </c>
      <c r="K952" s="2" t="inlineStr">
        <is>
          <t>止盈</t>
        </is>
      </c>
      <c r="L952" s="5">
        <f>交易明細!K471</f>
        <v/>
      </c>
      <c r="M952" s="19">
        <f>M933</f>
        <v/>
      </c>
      <c r="N952" s="2">
        <f>N933</f>
        <v/>
      </c>
      <c r="O952" s="19">
        <f>O933</f>
        <v/>
      </c>
      <c r="P952" s="4">
        <f>交易明細!L471</f>
        <v/>
      </c>
      <c r="Q952" s="13">
        <f>IF(N952="已下單",O952*P952,0)</f>
        <v/>
      </c>
      <c r="R952" s="13">
        <f>R951+Q952</f>
        <v/>
      </c>
      <c r="S952" s="19">
        <f>S951-IF(N952="已下單",M952,0)</f>
        <v/>
      </c>
      <c r="T952" s="19">
        <f>R952-S952</f>
        <v/>
      </c>
      <c r="U952" s="2">
        <f>U951-IF(N952="已下單",1,0)</f>
        <v/>
      </c>
      <c r="V952" s="19">
        <f>IF(資金模擬!$B$9=2,MAX(R952,0),MAX(V951,FLOOR(MAX(R952,0),資金模擬!$B$6)))</f>
        <v/>
      </c>
      <c r="W952" s="13">
        <f>MAX(W951,R952)</f>
        <v/>
      </c>
      <c r="X952" s="4">
        <f>IF(W952&gt;0,R952/W952-1,-1)</f>
        <v/>
      </c>
      <c r="Y952" s="19">
        <f>IF(R952&gt;0,S952*資金模擬!$B$7/R952,0)</f>
        <v/>
      </c>
      <c r="Z952" s="2">
        <f>IF(OR(Z951=1,R952&lt;=資金模擬!$B$10),1,0)</f>
        <v/>
      </c>
    </row>
    <row r="953">
      <c r="A953" s="2" t="n">
        <v>951</v>
      </c>
      <c r="B953" s="7" t="n">
        <v>46290.70833333334</v>
      </c>
      <c r="C953" s="2" t="inlineStr">
        <is>
          <t>出場</t>
        </is>
      </c>
      <c r="D953" s="2" t="n">
        <v>476</v>
      </c>
      <c r="E953" s="2" t="inlineStr">
        <is>
          <t>BR_USDT_PERP</t>
        </is>
      </c>
      <c r="F953" s="2" t="inlineStr">
        <is>
          <t>做多</t>
        </is>
      </c>
      <c r="G953" s="20" t="n">
        <v>1.02364</v>
      </c>
      <c r="H953" s="20" t="n">
        <v>1.0543492</v>
      </c>
      <c r="I953" s="20" t="n">
        <v>0.972458</v>
      </c>
      <c r="J953" s="20" t="n">
        <v>0.972458</v>
      </c>
      <c r="K953" s="2" t="inlineStr">
        <is>
          <t>止損</t>
        </is>
      </c>
      <c r="L953" s="5">
        <f>交易明細!K477</f>
        <v/>
      </c>
      <c r="M953" s="19">
        <f>M950</f>
        <v/>
      </c>
      <c r="N953" s="2">
        <f>N950</f>
        <v/>
      </c>
      <c r="O953" s="19">
        <f>O950</f>
        <v/>
      </c>
      <c r="P953" s="4">
        <f>交易明細!L477</f>
        <v/>
      </c>
      <c r="Q953" s="13">
        <f>IF(N953="已下單",O953*P953,0)</f>
        <v/>
      </c>
      <c r="R953" s="13">
        <f>R952+Q953</f>
        <v/>
      </c>
      <c r="S953" s="19">
        <f>S952-IF(N953="已下單",M953,0)</f>
        <v/>
      </c>
      <c r="T953" s="19">
        <f>R953-S953</f>
        <v/>
      </c>
      <c r="U953" s="2">
        <f>U952-IF(N953="已下單",1,0)</f>
        <v/>
      </c>
      <c r="V953" s="19">
        <f>IF(資金模擬!$B$9=2,MAX(R953,0),MAX(V952,FLOOR(MAX(R953,0),資金模擬!$B$6)))</f>
        <v/>
      </c>
      <c r="W953" s="13">
        <f>MAX(W952,R953)</f>
        <v/>
      </c>
      <c r="X953" s="4">
        <f>IF(W953&gt;0,R953/W953-1,-1)</f>
        <v/>
      </c>
      <c r="Y953" s="19">
        <f>IF(R953&gt;0,S953*資金模擬!$B$7/R953,0)</f>
        <v/>
      </c>
      <c r="Z953" s="2">
        <f>IF(OR(Z952=1,R953&lt;=資金模擬!$B$10),1,0)</f>
        <v/>
      </c>
    </row>
    <row r="954">
      <c r="A954" s="2" t="n">
        <v>952</v>
      </c>
      <c r="B954" s="7" t="n">
        <v>46290.70833333334</v>
      </c>
      <c r="C954" s="2" t="inlineStr">
        <is>
          <t>出場</t>
        </is>
      </c>
      <c r="D954" s="2" t="n">
        <v>477</v>
      </c>
      <c r="E954" s="2" t="inlineStr">
        <is>
          <t>BROCCOLI_USDT_PERP</t>
        </is>
      </c>
      <c r="F954" s="2" t="inlineStr">
        <is>
          <t>做多</t>
        </is>
      </c>
      <c r="G954" s="20" t="n">
        <v>0.03165</v>
      </c>
      <c r="H954" s="20" t="n">
        <v>0.0325995</v>
      </c>
      <c r="I954" s="20" t="n">
        <v>0.0300675</v>
      </c>
      <c r="J954" s="20" t="n">
        <v>0.0325995</v>
      </c>
      <c r="K954" s="2" t="inlineStr">
        <is>
          <t>止盈</t>
        </is>
      </c>
      <c r="L954" s="5">
        <f>交易明細!K478</f>
        <v/>
      </c>
      <c r="M954" s="19">
        <f>M951</f>
        <v/>
      </c>
      <c r="N954" s="2">
        <f>N951</f>
        <v/>
      </c>
      <c r="O954" s="19">
        <f>O951</f>
        <v/>
      </c>
      <c r="P954" s="4">
        <f>交易明細!L478</f>
        <v/>
      </c>
      <c r="Q954" s="13">
        <f>IF(N954="已下單",O954*P954,0)</f>
        <v/>
      </c>
      <c r="R954" s="13">
        <f>R953+Q954</f>
        <v/>
      </c>
      <c r="S954" s="19">
        <f>S953-IF(N954="已下單",M954,0)</f>
        <v/>
      </c>
      <c r="T954" s="19">
        <f>R954-S954</f>
        <v/>
      </c>
      <c r="U954" s="2">
        <f>U953-IF(N954="已下單",1,0)</f>
        <v/>
      </c>
      <c r="V954" s="19">
        <f>IF(資金模擬!$B$9=2,MAX(R954,0),MAX(V953,FLOOR(MAX(R954,0),資金模擬!$B$6)))</f>
        <v/>
      </c>
      <c r="W954" s="13">
        <f>MAX(W953,R954)</f>
        <v/>
      </c>
      <c r="X954" s="4">
        <f>IF(W954&gt;0,R954/W954-1,-1)</f>
        <v/>
      </c>
      <c r="Y954" s="19">
        <f>IF(R954&gt;0,S954*資金模擬!$B$7/R954,0)</f>
        <v/>
      </c>
      <c r="Z954" s="2">
        <f>IF(OR(Z953=1,R954&lt;=資金模擬!$B$10),1,0)</f>
        <v/>
      </c>
    </row>
    <row r="955">
      <c r="A955" s="2" t="n">
        <v>953</v>
      </c>
      <c r="B955" s="7" t="n">
        <v>46290.75</v>
      </c>
      <c r="C955" s="2" t="inlineStr">
        <is>
          <t>出場</t>
        </is>
      </c>
      <c r="D955" s="2" t="n">
        <v>455</v>
      </c>
      <c r="E955" s="2" t="inlineStr">
        <is>
          <t>PUMP_USDT_PERP</t>
        </is>
      </c>
      <c r="F955" s="2" t="inlineStr">
        <is>
          <t>做空</t>
        </is>
      </c>
      <c r="G955" s="20" t="n">
        <v>0.003843</v>
      </c>
      <c r="H955" s="20" t="n">
        <v>0.00372771</v>
      </c>
      <c r="I955" s="20" t="n">
        <v>0.00403515</v>
      </c>
      <c r="J955" s="20" t="n">
        <v>0.00403515</v>
      </c>
      <c r="K955" s="2" t="inlineStr">
        <is>
          <t>止損</t>
        </is>
      </c>
      <c r="L955" s="5">
        <f>交易明細!K456</f>
        <v/>
      </c>
      <c r="M955" s="19">
        <f>M905</f>
        <v/>
      </c>
      <c r="N955" s="2">
        <f>N905</f>
        <v/>
      </c>
      <c r="O955" s="19">
        <f>O905</f>
        <v/>
      </c>
      <c r="P955" s="4">
        <f>交易明細!L456</f>
        <v/>
      </c>
      <c r="Q955" s="13">
        <f>IF(N955="已下單",O955*P955,0)</f>
        <v/>
      </c>
      <c r="R955" s="13">
        <f>R954+Q955</f>
        <v/>
      </c>
      <c r="S955" s="19">
        <f>S954-IF(N955="已下單",M955,0)</f>
        <v/>
      </c>
      <c r="T955" s="19">
        <f>R955-S955</f>
        <v/>
      </c>
      <c r="U955" s="2">
        <f>U954-IF(N955="已下單",1,0)</f>
        <v/>
      </c>
      <c r="V955" s="19">
        <f>IF(資金模擬!$B$9=2,MAX(R955,0),MAX(V954,FLOOR(MAX(R955,0),資金模擬!$B$6)))</f>
        <v/>
      </c>
      <c r="W955" s="13">
        <f>MAX(W954,R955)</f>
        <v/>
      </c>
      <c r="X955" s="4">
        <f>IF(W955&gt;0,R955/W955-1,-1)</f>
        <v/>
      </c>
      <c r="Y955" s="19">
        <f>IF(R955&gt;0,S955*資金模擬!$B$7/R955,0)</f>
        <v/>
      </c>
      <c r="Z955" s="2">
        <f>IF(OR(Z954=1,R955&lt;=資金模擬!$B$10),1,0)</f>
        <v/>
      </c>
    </row>
    <row r="956">
      <c r="A956" s="2" t="n">
        <v>954</v>
      </c>
      <c r="B956" s="7" t="n">
        <v>46290.79166666666</v>
      </c>
      <c r="C956" s="2" t="inlineStr">
        <is>
          <t>進場</t>
        </is>
      </c>
      <c r="D956" s="2" t="n">
        <v>478</v>
      </c>
      <c r="E956" s="2" t="inlineStr">
        <is>
          <t>ENA_USDT_PERP</t>
        </is>
      </c>
      <c r="F956" s="2" t="inlineStr">
        <is>
          <t>做多</t>
        </is>
      </c>
      <c r="G956" s="20" t="n">
        <v>0.2287</v>
      </c>
      <c r="H956" s="20" t="n">
        <v>0.235561</v>
      </c>
      <c r="I956" s="20" t="n">
        <v>0.217265</v>
      </c>
      <c r="J956" s="20" t="n"/>
      <c r="K956" s="2" t="n"/>
      <c r="L956" s="5" t="n"/>
      <c r="M956" s="19">
        <f>資金模擬!$B$5*V955</f>
        <v/>
      </c>
      <c r="N956" s="2">
        <f>IF(Z955=1,"已停止",IF(T955&gt;=M956,"已下單","資金不足略過"))</f>
        <v/>
      </c>
      <c r="O956" s="19">
        <f>IF(N956="已下單",M956*資金模擬!$B$7,0)</f>
        <v/>
      </c>
      <c r="P956" s="4" t="n"/>
      <c r="Q956" s="13" t="n">
        <v>0</v>
      </c>
      <c r="R956" s="13">
        <f>R955+Q956</f>
        <v/>
      </c>
      <c r="S956" s="19">
        <f>S955+IF(N956="已下單",M956,0)</f>
        <v/>
      </c>
      <c r="T956" s="19">
        <f>R956-S956</f>
        <v/>
      </c>
      <c r="U956" s="2">
        <f>U955+IF(N956="已下單",1,0)</f>
        <v/>
      </c>
      <c r="V956" s="19">
        <f>IF(資金模擬!$B$9=2,MAX(R956,0),MAX(V955,FLOOR(MAX(R956,0),資金模擬!$B$6)))</f>
        <v/>
      </c>
      <c r="W956" s="13">
        <f>MAX(W955,R956)</f>
        <v/>
      </c>
      <c r="X956" s="4">
        <f>IF(W956&gt;0,R956/W956-1,-1)</f>
        <v/>
      </c>
      <c r="Y956" s="19">
        <f>IF(R956&gt;0,S956*資金模擬!$B$7/R956,0)</f>
        <v/>
      </c>
      <c r="Z956" s="2">
        <f>IF(OR(Z955=1,R956&lt;=資金模擬!$B$10),1,0)</f>
        <v/>
      </c>
    </row>
    <row r="957">
      <c r="A957" s="2" t="n">
        <v>955</v>
      </c>
      <c r="B957" s="7" t="n">
        <v>46290.83333333334</v>
      </c>
      <c r="C957" s="2" t="inlineStr">
        <is>
          <t>出場</t>
        </is>
      </c>
      <c r="D957" s="2" t="n">
        <v>468</v>
      </c>
      <c r="E957" s="2" t="inlineStr">
        <is>
          <t>ARB_USDT_PERP</t>
        </is>
      </c>
      <c r="F957" s="2" t="inlineStr">
        <is>
          <t>做空</t>
        </is>
      </c>
      <c r="G957" s="20" t="n">
        <v>0.2135</v>
      </c>
      <c r="H957" s="20" t="n">
        <v>0.207095</v>
      </c>
      <c r="I957" s="20" t="n">
        <v>0.224175</v>
      </c>
      <c r="J957" s="20" t="n">
        <v>0.224175</v>
      </c>
      <c r="K957" s="2" t="inlineStr">
        <is>
          <t>止損</t>
        </is>
      </c>
      <c r="L957" s="5">
        <f>交易明細!K469</f>
        <v/>
      </c>
      <c r="M957" s="19">
        <f>M931</f>
        <v/>
      </c>
      <c r="N957" s="2">
        <f>N931</f>
        <v/>
      </c>
      <c r="O957" s="19">
        <f>O931</f>
        <v/>
      </c>
      <c r="P957" s="4">
        <f>交易明細!L469</f>
        <v/>
      </c>
      <c r="Q957" s="13">
        <f>IF(N957="已下單",O957*P957,0)</f>
        <v/>
      </c>
      <c r="R957" s="13">
        <f>R956+Q957</f>
        <v/>
      </c>
      <c r="S957" s="19">
        <f>S956-IF(N957="已下單",M957,0)</f>
        <v/>
      </c>
      <c r="T957" s="19">
        <f>R957-S957</f>
        <v/>
      </c>
      <c r="U957" s="2">
        <f>U956-IF(N957="已下單",1,0)</f>
        <v/>
      </c>
      <c r="V957" s="19">
        <f>IF(資金模擬!$B$9=2,MAX(R957,0),MAX(V956,FLOOR(MAX(R957,0),資金模擬!$B$6)))</f>
        <v/>
      </c>
      <c r="W957" s="13">
        <f>MAX(W956,R957)</f>
        <v/>
      </c>
      <c r="X957" s="4">
        <f>IF(W957&gt;0,R957/W957-1,-1)</f>
        <v/>
      </c>
      <c r="Y957" s="19">
        <f>IF(R957&gt;0,S957*資金模擬!$B$7/R957,0)</f>
        <v/>
      </c>
      <c r="Z957" s="2">
        <f>IF(OR(Z956=1,R957&lt;=資金模擬!$B$10),1,0)</f>
        <v/>
      </c>
    </row>
    <row r="958">
      <c r="A958" s="2" t="n">
        <v>956</v>
      </c>
      <c r="B958" s="7" t="n">
        <v>46290.83333333334</v>
      </c>
      <c r="C958" s="2" t="inlineStr">
        <is>
          <t>出場</t>
        </is>
      </c>
      <c r="D958" s="2" t="n">
        <v>478</v>
      </c>
      <c r="E958" s="2" t="inlineStr">
        <is>
          <t>ENA_USDT_PERP</t>
        </is>
      </c>
      <c r="F958" s="2" t="inlineStr">
        <is>
          <t>做多</t>
        </is>
      </c>
      <c r="G958" s="20" t="n">
        <v>0.2287</v>
      </c>
      <c r="H958" s="20" t="n">
        <v>0.235561</v>
      </c>
      <c r="I958" s="20" t="n">
        <v>0.217265</v>
      </c>
      <c r="J958" s="20" t="n">
        <v>0.235561</v>
      </c>
      <c r="K958" s="2" t="inlineStr">
        <is>
          <t>止盈</t>
        </is>
      </c>
      <c r="L958" s="5">
        <f>交易明細!K479</f>
        <v/>
      </c>
      <c r="M958" s="19">
        <f>M956</f>
        <v/>
      </c>
      <c r="N958" s="2">
        <f>N956</f>
        <v/>
      </c>
      <c r="O958" s="19">
        <f>O956</f>
        <v/>
      </c>
      <c r="P958" s="4">
        <f>交易明細!L479</f>
        <v/>
      </c>
      <c r="Q958" s="13">
        <f>IF(N958="已下單",O958*P958,0)</f>
        <v/>
      </c>
      <c r="R958" s="13">
        <f>R957+Q958</f>
        <v/>
      </c>
      <c r="S958" s="19">
        <f>S957-IF(N958="已下單",M958,0)</f>
        <v/>
      </c>
      <c r="T958" s="19">
        <f>R958-S958</f>
        <v/>
      </c>
      <c r="U958" s="2">
        <f>U957-IF(N958="已下單",1,0)</f>
        <v/>
      </c>
      <c r="V958" s="19">
        <f>IF(資金模擬!$B$9=2,MAX(R958,0),MAX(V957,FLOOR(MAX(R958,0),資金模擬!$B$6)))</f>
        <v/>
      </c>
      <c r="W958" s="13">
        <f>MAX(W957,R958)</f>
        <v/>
      </c>
      <c r="X958" s="4">
        <f>IF(W958&gt;0,R958/W958-1,-1)</f>
        <v/>
      </c>
      <c r="Y958" s="19">
        <f>IF(R958&gt;0,S958*資金模擬!$B$7/R958,0)</f>
        <v/>
      </c>
      <c r="Z958" s="2">
        <f>IF(OR(Z957=1,R958&lt;=資金模擬!$B$10),1,0)</f>
        <v/>
      </c>
    </row>
    <row r="959">
      <c r="A959" s="2" t="n">
        <v>957</v>
      </c>
      <c r="B959" s="7" t="n">
        <v>46290.83333333334</v>
      </c>
      <c r="C959" s="2" t="inlineStr">
        <is>
          <t>進場</t>
        </is>
      </c>
      <c r="D959" s="2" t="n">
        <v>479</v>
      </c>
      <c r="E959" s="2" t="inlineStr">
        <is>
          <t>INJ_USDT_PERP</t>
        </is>
      </c>
      <c r="F959" s="2" t="inlineStr">
        <is>
          <t>做多</t>
        </is>
      </c>
      <c r="G959" s="20" t="n">
        <v>8.26</v>
      </c>
      <c r="H959" s="20" t="n">
        <v>8.5078</v>
      </c>
      <c r="I959" s="20" t="n">
        <v>7.847</v>
      </c>
      <c r="J959" s="20" t="n"/>
      <c r="K959" s="2" t="n"/>
      <c r="L959" s="5" t="n"/>
      <c r="M959" s="19">
        <f>資金模擬!$B$5*V958</f>
        <v/>
      </c>
      <c r="N959" s="2">
        <f>IF(Z958=1,"已停止",IF(T958&gt;=M959,"已下單","資金不足略過"))</f>
        <v/>
      </c>
      <c r="O959" s="19">
        <f>IF(N959="已下單",M959*資金模擬!$B$7,0)</f>
        <v/>
      </c>
      <c r="P959" s="4" t="n"/>
      <c r="Q959" s="13" t="n">
        <v>0</v>
      </c>
      <c r="R959" s="13">
        <f>R958+Q959</f>
        <v/>
      </c>
      <c r="S959" s="19">
        <f>S958+IF(N959="已下單",M959,0)</f>
        <v/>
      </c>
      <c r="T959" s="19">
        <f>R959-S959</f>
        <v/>
      </c>
      <c r="U959" s="2">
        <f>U958+IF(N959="已下單",1,0)</f>
        <v/>
      </c>
      <c r="V959" s="19">
        <f>IF(資金模擬!$B$9=2,MAX(R959,0),MAX(V958,FLOOR(MAX(R959,0),資金模擬!$B$6)))</f>
        <v/>
      </c>
      <c r="W959" s="13">
        <f>MAX(W958,R959)</f>
        <v/>
      </c>
      <c r="X959" s="4">
        <f>IF(W959&gt;0,R959/W959-1,-1)</f>
        <v/>
      </c>
      <c r="Y959" s="19">
        <f>IF(R959&gt;0,S959*資金模擬!$B$7/R959,0)</f>
        <v/>
      </c>
      <c r="Z959" s="2">
        <f>IF(OR(Z958=1,R959&lt;=資金模擬!$B$10),1,0)</f>
        <v/>
      </c>
    </row>
    <row r="960">
      <c r="A960" s="2" t="n">
        <v>958</v>
      </c>
      <c r="B960" s="7" t="n">
        <v>46290.875</v>
      </c>
      <c r="C960" s="2" t="inlineStr">
        <is>
          <t>進場</t>
        </is>
      </c>
      <c r="D960" s="2" t="n">
        <v>480</v>
      </c>
      <c r="E960" s="2" t="inlineStr">
        <is>
          <t>XPL_USDT_PERP</t>
        </is>
      </c>
      <c r="F960" s="2" t="inlineStr">
        <is>
          <t>做多</t>
        </is>
      </c>
      <c r="G960" s="20" t="n">
        <v>0.1142</v>
      </c>
      <c r="H960" s="20" t="n">
        <v>0.117626</v>
      </c>
      <c r="I960" s="20" t="n">
        <v>0.10849</v>
      </c>
      <c r="J960" s="20" t="n"/>
      <c r="K960" s="2" t="n"/>
      <c r="L960" s="5" t="n"/>
      <c r="M960" s="19">
        <f>資金模擬!$B$5*V959</f>
        <v/>
      </c>
      <c r="N960" s="2">
        <f>IF(Z959=1,"已停止",IF(T959&gt;=M960,"已下單","資金不足略過"))</f>
        <v/>
      </c>
      <c r="O960" s="19">
        <f>IF(N960="已下單",M960*資金模擬!$B$7,0)</f>
        <v/>
      </c>
      <c r="P960" s="4" t="n"/>
      <c r="Q960" s="13" t="n">
        <v>0</v>
      </c>
      <c r="R960" s="13">
        <f>R959+Q960</f>
        <v/>
      </c>
      <c r="S960" s="19">
        <f>S959+IF(N960="已下單",M960,0)</f>
        <v/>
      </c>
      <c r="T960" s="19">
        <f>R960-S960</f>
        <v/>
      </c>
      <c r="U960" s="2">
        <f>U959+IF(N960="已下單",1,0)</f>
        <v/>
      </c>
      <c r="V960" s="19">
        <f>IF(資金模擬!$B$9=2,MAX(R960,0),MAX(V959,FLOOR(MAX(R960,0),資金模擬!$B$6)))</f>
        <v/>
      </c>
      <c r="W960" s="13">
        <f>MAX(W959,R960)</f>
        <v/>
      </c>
      <c r="X960" s="4">
        <f>IF(W960&gt;0,R960/W960-1,-1)</f>
        <v/>
      </c>
      <c r="Y960" s="19">
        <f>IF(R960&gt;0,S960*資金模擬!$B$7/R960,0)</f>
        <v/>
      </c>
      <c r="Z960" s="2">
        <f>IF(OR(Z959=1,R960&lt;=資金模擬!$B$10),1,0)</f>
        <v/>
      </c>
    </row>
    <row r="961">
      <c r="A961" s="2" t="n">
        <v>959</v>
      </c>
      <c r="B961" s="7" t="n">
        <v>46290.91666666666</v>
      </c>
      <c r="C961" s="2" t="inlineStr">
        <is>
          <t>進場</t>
        </is>
      </c>
      <c r="D961" s="2" t="n">
        <v>481</v>
      </c>
      <c r="E961" s="2" t="inlineStr">
        <is>
          <t>RAY_USDT_PERP</t>
        </is>
      </c>
      <c r="F961" s="2" t="inlineStr">
        <is>
          <t>做空</t>
        </is>
      </c>
      <c r="G961" s="20" t="n">
        <v>2.056</v>
      </c>
      <c r="H961" s="20" t="n">
        <v>1.99432</v>
      </c>
      <c r="I961" s="20" t="n">
        <v>2.1588</v>
      </c>
      <c r="J961" s="20" t="n"/>
      <c r="K961" s="2" t="n"/>
      <c r="L961" s="5" t="n"/>
      <c r="M961" s="19">
        <f>資金模擬!$B$5*V960</f>
        <v/>
      </c>
      <c r="N961" s="2">
        <f>IF(Z960=1,"已停止",IF(T960&gt;=M961,"已下單","資金不足略過"))</f>
        <v/>
      </c>
      <c r="O961" s="19">
        <f>IF(N961="已下單",M961*資金模擬!$B$7,0)</f>
        <v/>
      </c>
      <c r="P961" s="4" t="n"/>
      <c r="Q961" s="13" t="n">
        <v>0</v>
      </c>
      <c r="R961" s="13">
        <f>R960+Q961</f>
        <v/>
      </c>
      <c r="S961" s="19">
        <f>S960+IF(N961="已下單",M961,0)</f>
        <v/>
      </c>
      <c r="T961" s="19">
        <f>R961-S961</f>
        <v/>
      </c>
      <c r="U961" s="2">
        <f>U960+IF(N961="已下單",1,0)</f>
        <v/>
      </c>
      <c r="V961" s="19">
        <f>IF(資金模擬!$B$9=2,MAX(R961,0),MAX(V960,FLOOR(MAX(R961,0),資金模擬!$B$6)))</f>
        <v/>
      </c>
      <c r="W961" s="13">
        <f>MAX(W960,R961)</f>
        <v/>
      </c>
      <c r="X961" s="4">
        <f>IF(W961&gt;0,R961/W961-1,-1)</f>
        <v/>
      </c>
      <c r="Y961" s="19">
        <f>IF(R961&gt;0,S961*資金模擬!$B$7/R961,0)</f>
        <v/>
      </c>
      <c r="Z961" s="2">
        <f>IF(OR(Z960=1,R961&lt;=資金模擬!$B$10),1,0)</f>
        <v/>
      </c>
    </row>
    <row r="962">
      <c r="A962" s="2" t="n">
        <v>960</v>
      </c>
      <c r="B962" s="7" t="n">
        <v>46290.95833333334</v>
      </c>
      <c r="C962" s="2" t="inlineStr">
        <is>
          <t>出場</t>
        </is>
      </c>
      <c r="D962" s="2" t="n">
        <v>480</v>
      </c>
      <c r="E962" s="2" t="inlineStr">
        <is>
          <t>XPL_USDT_PERP</t>
        </is>
      </c>
      <c r="F962" s="2" t="inlineStr">
        <is>
          <t>做多</t>
        </is>
      </c>
      <c r="G962" s="20" t="n">
        <v>0.1142</v>
      </c>
      <c r="H962" s="20" t="n">
        <v>0.117626</v>
      </c>
      <c r="I962" s="20" t="n">
        <v>0.10849</v>
      </c>
      <c r="J962" s="20" t="n">
        <v>0.10849</v>
      </c>
      <c r="K962" s="2" t="inlineStr">
        <is>
          <t>止損</t>
        </is>
      </c>
      <c r="L962" s="5">
        <f>交易明細!K481</f>
        <v/>
      </c>
      <c r="M962" s="19">
        <f>M960</f>
        <v/>
      </c>
      <c r="N962" s="2">
        <f>N960</f>
        <v/>
      </c>
      <c r="O962" s="19">
        <f>O960</f>
        <v/>
      </c>
      <c r="P962" s="4">
        <f>交易明細!L481</f>
        <v/>
      </c>
      <c r="Q962" s="13">
        <f>IF(N962="已下單",O962*P962,0)</f>
        <v/>
      </c>
      <c r="R962" s="13">
        <f>R961+Q962</f>
        <v/>
      </c>
      <c r="S962" s="19">
        <f>S961-IF(N962="已下單",M962,0)</f>
        <v/>
      </c>
      <c r="T962" s="19">
        <f>R962-S962</f>
        <v/>
      </c>
      <c r="U962" s="2">
        <f>U961-IF(N962="已下單",1,0)</f>
        <v/>
      </c>
      <c r="V962" s="19">
        <f>IF(資金模擬!$B$9=2,MAX(R962,0),MAX(V961,FLOOR(MAX(R962,0),資金模擬!$B$6)))</f>
        <v/>
      </c>
      <c r="W962" s="13">
        <f>MAX(W961,R962)</f>
        <v/>
      </c>
      <c r="X962" s="4">
        <f>IF(W962&gt;0,R962/W962-1,-1)</f>
        <v/>
      </c>
      <c r="Y962" s="19">
        <f>IF(R962&gt;0,S962*資金模擬!$B$7/R962,0)</f>
        <v/>
      </c>
      <c r="Z962" s="2">
        <f>IF(OR(Z961=1,R962&lt;=資金模擬!$B$10),1,0)</f>
        <v/>
      </c>
    </row>
    <row r="963">
      <c r="A963" s="2" t="n">
        <v>961</v>
      </c>
      <c r="B963" s="7" t="n">
        <v>46291</v>
      </c>
      <c r="C963" s="2" t="inlineStr">
        <is>
          <t>進場</t>
        </is>
      </c>
      <c r="D963" s="2" t="n">
        <v>482</v>
      </c>
      <c r="E963" s="2" t="inlineStr">
        <is>
          <t>ONDO_USDT_PERP</t>
        </is>
      </c>
      <c r="F963" s="2" t="inlineStr">
        <is>
          <t>做空</t>
        </is>
      </c>
      <c r="G963" s="20" t="n">
        <v>0.5331</v>
      </c>
      <c r="H963" s="20" t="n">
        <v>0.517107</v>
      </c>
      <c r="I963" s="20" t="n">
        <v>0.559755</v>
      </c>
      <c r="J963" s="20" t="n"/>
      <c r="K963" s="2" t="inlineStr">
        <is>
          <t>未平倉</t>
        </is>
      </c>
      <c r="L963" s="5" t="n"/>
      <c r="M963" s="19">
        <f>資金模擬!$B$5*V962</f>
        <v/>
      </c>
      <c r="N963" s="2">
        <f>IF(Z962=1,"已停止",IF(T962&gt;=M963,"已下單","資金不足略過"))</f>
        <v/>
      </c>
      <c r="O963" s="19">
        <f>IF(N963="已下單",M963*資金模擬!$B$7,0)</f>
        <v/>
      </c>
      <c r="P963" s="4" t="n"/>
      <c r="Q963" s="13" t="n">
        <v>0</v>
      </c>
      <c r="R963" s="13">
        <f>R962+Q963</f>
        <v/>
      </c>
      <c r="S963" s="19">
        <f>S962+IF(N963="已下單",M963,0)</f>
        <v/>
      </c>
      <c r="T963" s="19">
        <f>R963-S963</f>
        <v/>
      </c>
      <c r="U963" s="2">
        <f>U962+IF(N963="已下單",1,0)</f>
        <v/>
      </c>
      <c r="V963" s="19">
        <f>IF(資金模擬!$B$9=2,MAX(R963,0),MAX(V962,FLOOR(MAX(R963,0),資金模擬!$B$6)))</f>
        <v/>
      </c>
      <c r="W963" s="13">
        <f>MAX(W962,R963)</f>
        <v/>
      </c>
      <c r="X963" s="4">
        <f>IF(W963&gt;0,R963/W963-1,-1)</f>
        <v/>
      </c>
      <c r="Y963" s="19">
        <f>IF(R963&gt;0,S963*資金模擬!$B$7/R963,0)</f>
        <v/>
      </c>
      <c r="Z963" s="2">
        <f>IF(OR(Z962=1,R963&lt;=資金模擬!$B$10),1,0)</f>
        <v/>
      </c>
    </row>
    <row r="964">
      <c r="A964" s="2" t="n">
        <v>962</v>
      </c>
      <c r="B964" s="7" t="n">
        <v>46291.04166666666</v>
      </c>
      <c r="C964" s="2" t="inlineStr">
        <is>
          <t>進場</t>
        </is>
      </c>
      <c r="D964" s="2" t="n">
        <v>483</v>
      </c>
      <c r="E964" s="2" t="inlineStr">
        <is>
          <t>AKE_USDT_PERP</t>
        </is>
      </c>
      <c r="F964" s="2" t="inlineStr">
        <is>
          <t>做空</t>
        </is>
      </c>
      <c r="G964" s="20" t="n">
        <v>0.0360825</v>
      </c>
      <c r="H964" s="20" t="n">
        <v>0.035000025</v>
      </c>
      <c r="I964" s="20" t="n">
        <v>0.03788662500000001</v>
      </c>
      <c r="J964" s="20" t="n"/>
      <c r="K964" s="2" t="n"/>
      <c r="L964" s="5" t="n"/>
      <c r="M964" s="19">
        <f>資金模擬!$B$5*V963</f>
        <v/>
      </c>
      <c r="N964" s="2">
        <f>IF(Z963=1,"已停止",IF(T963&gt;=M964,"已下單","資金不足略過"))</f>
        <v/>
      </c>
      <c r="O964" s="19">
        <f>IF(N964="已下單",M964*資金模擬!$B$7,0)</f>
        <v/>
      </c>
      <c r="P964" s="4" t="n"/>
      <c r="Q964" s="13" t="n">
        <v>0</v>
      </c>
      <c r="R964" s="13">
        <f>R963+Q964</f>
        <v/>
      </c>
      <c r="S964" s="19">
        <f>S963+IF(N964="已下單",M964,0)</f>
        <v/>
      </c>
      <c r="T964" s="19">
        <f>R964-S964</f>
        <v/>
      </c>
      <c r="U964" s="2">
        <f>U963+IF(N964="已下單",1,0)</f>
        <v/>
      </c>
      <c r="V964" s="19">
        <f>IF(資金模擬!$B$9=2,MAX(R964,0),MAX(V963,FLOOR(MAX(R964,0),資金模擬!$B$6)))</f>
        <v/>
      </c>
      <c r="W964" s="13">
        <f>MAX(W963,R964)</f>
        <v/>
      </c>
      <c r="X964" s="4">
        <f>IF(W964&gt;0,R964/W964-1,-1)</f>
        <v/>
      </c>
      <c r="Y964" s="19">
        <f>IF(R964&gt;0,S964*資金模擬!$B$7/R964,0)</f>
        <v/>
      </c>
      <c r="Z964" s="2">
        <f>IF(OR(Z963=1,R964&lt;=資金模擬!$B$10),1,0)</f>
        <v/>
      </c>
    </row>
    <row r="965">
      <c r="A965" s="2" t="n">
        <v>963</v>
      </c>
      <c r="B965" s="7" t="n">
        <v>46291.04166666666</v>
      </c>
      <c r="C965" s="2" t="inlineStr">
        <is>
          <t>進場</t>
        </is>
      </c>
      <c r="D965" s="2" t="n">
        <v>484</v>
      </c>
      <c r="E965" s="2" t="inlineStr">
        <is>
          <t>QNT_USDT_PERP</t>
        </is>
      </c>
      <c r="F965" s="2" t="inlineStr">
        <is>
          <t>做多</t>
        </is>
      </c>
      <c r="G965" s="20" t="n">
        <v>97.95999999999999</v>
      </c>
      <c r="H965" s="20" t="n">
        <v>100.8988</v>
      </c>
      <c r="I965" s="20" t="n">
        <v>93.06199999999998</v>
      </c>
      <c r="J965" s="20" t="n"/>
      <c r="K965" s="2" t="n"/>
      <c r="L965" s="5" t="n"/>
      <c r="M965" s="19">
        <f>資金模擬!$B$5*V964</f>
        <v/>
      </c>
      <c r="N965" s="2">
        <f>IF(Z964=1,"已停止",IF(T964&gt;=M965,"已下單","資金不足略過"))</f>
        <v/>
      </c>
      <c r="O965" s="19">
        <f>IF(N965="已下單",M965*資金模擬!$B$7,0)</f>
        <v/>
      </c>
      <c r="P965" s="4" t="n"/>
      <c r="Q965" s="13" t="n">
        <v>0</v>
      </c>
      <c r="R965" s="13">
        <f>R964+Q965</f>
        <v/>
      </c>
      <c r="S965" s="19">
        <f>S964+IF(N965="已下單",M965,0)</f>
        <v/>
      </c>
      <c r="T965" s="19">
        <f>R965-S965</f>
        <v/>
      </c>
      <c r="U965" s="2">
        <f>U964+IF(N965="已下單",1,0)</f>
        <v/>
      </c>
      <c r="V965" s="19">
        <f>IF(資金模擬!$B$9=2,MAX(R965,0),MAX(V964,FLOOR(MAX(R965,0),資金模擬!$B$6)))</f>
        <v/>
      </c>
      <c r="W965" s="13">
        <f>MAX(W964,R965)</f>
        <v/>
      </c>
      <c r="X965" s="4">
        <f>IF(W965&gt;0,R965/W965-1,-1)</f>
        <v/>
      </c>
      <c r="Y965" s="19">
        <f>IF(R965&gt;0,S965*資金模擬!$B$7/R965,0)</f>
        <v/>
      </c>
      <c r="Z965" s="2">
        <f>IF(OR(Z964=1,R965&lt;=資金模擬!$B$10),1,0)</f>
        <v/>
      </c>
    </row>
    <row r="966">
      <c r="A966" s="2" t="n">
        <v>964</v>
      </c>
      <c r="B966" s="7" t="n">
        <v>46291.08333333334</v>
      </c>
      <c r="C966" s="2" t="inlineStr">
        <is>
          <t>出場</t>
        </is>
      </c>
      <c r="D966" s="2" t="n">
        <v>483</v>
      </c>
      <c r="E966" s="2" t="inlineStr">
        <is>
          <t>AKE_USDT_PERP</t>
        </is>
      </c>
      <c r="F966" s="2" t="inlineStr">
        <is>
          <t>做空</t>
        </is>
      </c>
      <c r="G966" s="20" t="n">
        <v>0.0360825</v>
      </c>
      <c r="H966" s="20" t="n">
        <v>0.035000025</v>
      </c>
      <c r="I966" s="20" t="n">
        <v>0.03788662500000001</v>
      </c>
      <c r="J966" s="20" t="n">
        <v>0.035000025</v>
      </c>
      <c r="K966" s="2" t="inlineStr">
        <is>
          <t>止盈</t>
        </is>
      </c>
      <c r="L966" s="5">
        <f>交易明細!K484</f>
        <v/>
      </c>
      <c r="M966" s="19">
        <f>M964</f>
        <v/>
      </c>
      <c r="N966" s="2">
        <f>N964</f>
        <v/>
      </c>
      <c r="O966" s="19">
        <f>O964</f>
        <v/>
      </c>
      <c r="P966" s="4">
        <f>交易明細!L484</f>
        <v/>
      </c>
      <c r="Q966" s="13">
        <f>IF(N966="已下單",O966*P966,0)</f>
        <v/>
      </c>
      <c r="R966" s="13">
        <f>R965+Q966</f>
        <v/>
      </c>
      <c r="S966" s="19">
        <f>S965-IF(N966="已下單",M966,0)</f>
        <v/>
      </c>
      <c r="T966" s="19">
        <f>R966-S966</f>
        <v/>
      </c>
      <c r="U966" s="2">
        <f>U965-IF(N966="已下單",1,0)</f>
        <v/>
      </c>
      <c r="V966" s="19">
        <f>IF(資金模擬!$B$9=2,MAX(R966,0),MAX(V965,FLOOR(MAX(R966,0),資金模擬!$B$6)))</f>
        <v/>
      </c>
      <c r="W966" s="13">
        <f>MAX(W965,R966)</f>
        <v/>
      </c>
      <c r="X966" s="4">
        <f>IF(W966&gt;0,R966/W966-1,-1)</f>
        <v/>
      </c>
      <c r="Y966" s="19">
        <f>IF(R966&gt;0,S966*資金模擬!$B$7/R966,0)</f>
        <v/>
      </c>
      <c r="Z966" s="2">
        <f>IF(OR(Z965=1,R966&lt;=資金模擬!$B$10),1,0)</f>
        <v/>
      </c>
    </row>
    <row r="967">
      <c r="A967" s="2" t="n">
        <v>965</v>
      </c>
      <c r="B967" s="7" t="n">
        <v>46291.125</v>
      </c>
      <c r="C967" s="2" t="inlineStr">
        <is>
          <t>進場</t>
        </is>
      </c>
      <c r="D967" s="2" t="n">
        <v>485</v>
      </c>
      <c r="E967" s="2" t="inlineStr">
        <is>
          <t>PONS_USDT_PERP</t>
        </is>
      </c>
      <c r="F967" s="2" t="inlineStr">
        <is>
          <t>做多</t>
        </is>
      </c>
      <c r="G967" s="20" t="n">
        <v>0.6466</v>
      </c>
      <c r="H967" s="20" t="n">
        <v>0.665998</v>
      </c>
      <c r="I967" s="20" t="n">
        <v>0.6142699999999999</v>
      </c>
      <c r="J967" s="20" t="n"/>
      <c r="K967" s="2" t="n"/>
      <c r="L967" s="5" t="n"/>
      <c r="M967" s="19">
        <f>資金模擬!$B$5*V966</f>
        <v/>
      </c>
      <c r="N967" s="2">
        <f>IF(Z966=1,"已停止",IF(T966&gt;=M967,"已下單","資金不足略過"))</f>
        <v/>
      </c>
      <c r="O967" s="19">
        <f>IF(N967="已下單",M967*資金模擬!$B$7,0)</f>
        <v/>
      </c>
      <c r="P967" s="4" t="n"/>
      <c r="Q967" s="13" t="n">
        <v>0</v>
      </c>
      <c r="R967" s="13">
        <f>R966+Q967</f>
        <v/>
      </c>
      <c r="S967" s="19">
        <f>S966+IF(N967="已下單",M967,0)</f>
        <v/>
      </c>
      <c r="T967" s="19">
        <f>R967-S967</f>
        <v/>
      </c>
      <c r="U967" s="2">
        <f>U966+IF(N967="已下單",1,0)</f>
        <v/>
      </c>
      <c r="V967" s="19">
        <f>IF(資金模擬!$B$9=2,MAX(R967,0),MAX(V966,FLOOR(MAX(R967,0),資金模擬!$B$6)))</f>
        <v/>
      </c>
      <c r="W967" s="13">
        <f>MAX(W966,R967)</f>
        <v/>
      </c>
      <c r="X967" s="4">
        <f>IF(W967&gt;0,R967/W967-1,-1)</f>
        <v/>
      </c>
      <c r="Y967" s="19">
        <f>IF(R967&gt;0,S967*資金模擬!$B$7/R967,0)</f>
        <v/>
      </c>
      <c r="Z967" s="2">
        <f>IF(OR(Z966=1,R967&lt;=資金模擬!$B$10),1,0)</f>
        <v/>
      </c>
    </row>
    <row r="968">
      <c r="A968" s="2" t="n">
        <v>966</v>
      </c>
      <c r="B968" s="7" t="n">
        <v>46291.125</v>
      </c>
      <c r="C968" s="2" t="inlineStr">
        <is>
          <t>進場</t>
        </is>
      </c>
      <c r="D968" s="2" t="n">
        <v>486</v>
      </c>
      <c r="E968" s="2" t="inlineStr">
        <is>
          <t>XPL_USDT_PERP</t>
        </is>
      </c>
      <c r="F968" s="2" t="inlineStr">
        <is>
          <t>做多</t>
        </is>
      </c>
      <c r="G968" s="20" t="n">
        <v>0.1141</v>
      </c>
      <c r="H968" s="20" t="n">
        <v>0.117523</v>
      </c>
      <c r="I968" s="20" t="n">
        <v>0.108395</v>
      </c>
      <c r="J968" s="20" t="n"/>
      <c r="K968" s="2" t="inlineStr">
        <is>
          <t>未平倉</t>
        </is>
      </c>
      <c r="L968" s="5" t="n"/>
      <c r="M968" s="19">
        <f>資金模擬!$B$5*V967</f>
        <v/>
      </c>
      <c r="N968" s="2">
        <f>IF(Z967=1,"已停止",IF(T967&gt;=M968,"已下單","資金不足略過"))</f>
        <v/>
      </c>
      <c r="O968" s="19">
        <f>IF(N968="已下單",M968*資金模擬!$B$7,0)</f>
        <v/>
      </c>
      <c r="P968" s="4" t="n"/>
      <c r="Q968" s="13" t="n">
        <v>0</v>
      </c>
      <c r="R968" s="13">
        <f>R967+Q968</f>
        <v/>
      </c>
      <c r="S968" s="19">
        <f>S967+IF(N968="已下單",M968,0)</f>
        <v/>
      </c>
      <c r="T968" s="19">
        <f>R968-S968</f>
        <v/>
      </c>
      <c r="U968" s="2">
        <f>U967+IF(N968="已下單",1,0)</f>
        <v/>
      </c>
      <c r="V968" s="19">
        <f>IF(資金模擬!$B$9=2,MAX(R968,0),MAX(V967,FLOOR(MAX(R968,0),資金模擬!$B$6)))</f>
        <v/>
      </c>
      <c r="W968" s="13">
        <f>MAX(W967,R968)</f>
        <v/>
      </c>
      <c r="X968" s="4">
        <f>IF(W968&gt;0,R968/W968-1,-1)</f>
        <v/>
      </c>
      <c r="Y968" s="19">
        <f>IF(R968&gt;0,S968*資金模擬!$B$7/R968,0)</f>
        <v/>
      </c>
      <c r="Z968" s="2">
        <f>IF(OR(Z967=1,R968&lt;=資金模擬!$B$10),1,0)</f>
        <v/>
      </c>
    </row>
    <row r="969">
      <c r="A969" s="2" t="n">
        <v>967</v>
      </c>
      <c r="B969" s="7" t="n">
        <v>46291.25</v>
      </c>
      <c r="C969" s="2" t="inlineStr">
        <is>
          <t>出場</t>
        </is>
      </c>
      <c r="D969" s="2" t="n">
        <v>479</v>
      </c>
      <c r="E969" s="2" t="inlineStr">
        <is>
          <t>INJ_USDT_PERP</t>
        </is>
      </c>
      <c r="F969" s="2" t="inlineStr">
        <is>
          <t>做多</t>
        </is>
      </c>
      <c r="G969" s="20" t="n">
        <v>8.26</v>
      </c>
      <c r="H969" s="20" t="n">
        <v>8.5078</v>
      </c>
      <c r="I969" s="20" t="n">
        <v>7.847</v>
      </c>
      <c r="J969" s="20" t="n">
        <v>7.847</v>
      </c>
      <c r="K969" s="2" t="inlineStr">
        <is>
          <t>止損</t>
        </is>
      </c>
      <c r="L969" s="5">
        <f>交易明細!K480</f>
        <v/>
      </c>
      <c r="M969" s="19">
        <f>M959</f>
        <v/>
      </c>
      <c r="N969" s="2">
        <f>N959</f>
        <v/>
      </c>
      <c r="O969" s="19">
        <f>O959</f>
        <v/>
      </c>
      <c r="P969" s="4">
        <f>交易明細!L480</f>
        <v/>
      </c>
      <c r="Q969" s="13">
        <f>IF(N969="已下單",O969*P969,0)</f>
        <v/>
      </c>
      <c r="R969" s="13">
        <f>R968+Q969</f>
        <v/>
      </c>
      <c r="S969" s="19">
        <f>S968-IF(N969="已下單",M969,0)</f>
        <v/>
      </c>
      <c r="T969" s="19">
        <f>R969-S969</f>
        <v/>
      </c>
      <c r="U969" s="2">
        <f>U968-IF(N969="已下單",1,0)</f>
        <v/>
      </c>
      <c r="V969" s="19">
        <f>IF(資金模擬!$B$9=2,MAX(R969,0),MAX(V968,FLOOR(MAX(R969,0),資金模擬!$B$6)))</f>
        <v/>
      </c>
      <c r="W969" s="13">
        <f>MAX(W968,R969)</f>
        <v/>
      </c>
      <c r="X969" s="4">
        <f>IF(W969&gt;0,R969/W969-1,-1)</f>
        <v/>
      </c>
      <c r="Y969" s="19">
        <f>IF(R969&gt;0,S969*資金模擬!$B$7/R969,0)</f>
        <v/>
      </c>
      <c r="Z969" s="2">
        <f>IF(OR(Z968=1,R969&lt;=資金模擬!$B$10),1,0)</f>
        <v/>
      </c>
    </row>
    <row r="970">
      <c r="A970" s="2" t="n">
        <v>968</v>
      </c>
      <c r="B970" s="7" t="n">
        <v>46291.25</v>
      </c>
      <c r="C970" s="2" t="inlineStr">
        <is>
          <t>進場</t>
        </is>
      </c>
      <c r="D970" s="2" t="n">
        <v>487</v>
      </c>
      <c r="E970" s="2" t="inlineStr">
        <is>
          <t>BR_USDT_PERP</t>
        </is>
      </c>
      <c r="F970" s="2" t="inlineStr">
        <is>
          <t>做多</t>
        </is>
      </c>
      <c r="G970" s="20" t="n">
        <v>0.93702</v>
      </c>
      <c r="H970" s="20" t="n">
        <v>0.9651305999999999</v>
      </c>
      <c r="I970" s="20" t="n">
        <v>0.8901689999999999</v>
      </c>
      <c r="J970" s="20" t="n"/>
      <c r="K970" s="2" t="n"/>
      <c r="L970" s="5" t="n"/>
      <c r="M970" s="19">
        <f>資金模擬!$B$5*V969</f>
        <v/>
      </c>
      <c r="N970" s="2">
        <f>IF(Z969=1,"已停止",IF(T969&gt;=M970,"已下單","資金不足略過"))</f>
        <v/>
      </c>
      <c r="O970" s="19">
        <f>IF(N970="已下單",M970*資金模擬!$B$7,0)</f>
        <v/>
      </c>
      <c r="P970" s="4" t="n"/>
      <c r="Q970" s="13" t="n">
        <v>0</v>
      </c>
      <c r="R970" s="13">
        <f>R969+Q970</f>
        <v/>
      </c>
      <c r="S970" s="19">
        <f>S969+IF(N970="已下單",M970,0)</f>
        <v/>
      </c>
      <c r="T970" s="19">
        <f>R970-S970</f>
        <v/>
      </c>
      <c r="U970" s="2">
        <f>U969+IF(N970="已下單",1,0)</f>
        <v/>
      </c>
      <c r="V970" s="19">
        <f>IF(資金模擬!$B$9=2,MAX(R970,0),MAX(V969,FLOOR(MAX(R970,0),資金模擬!$B$6)))</f>
        <v/>
      </c>
      <c r="W970" s="13">
        <f>MAX(W969,R970)</f>
        <v/>
      </c>
      <c r="X970" s="4">
        <f>IF(W970&gt;0,R970/W970-1,-1)</f>
        <v/>
      </c>
      <c r="Y970" s="19">
        <f>IF(R970&gt;0,S970*資金模擬!$B$7/R970,0)</f>
        <v/>
      </c>
      <c r="Z970" s="2">
        <f>IF(OR(Z969=1,R970&lt;=資金模擬!$B$10),1,0)</f>
        <v/>
      </c>
    </row>
    <row r="971">
      <c r="A971" s="2" t="n">
        <v>969</v>
      </c>
      <c r="B971" s="7" t="n">
        <v>46291.29166666666</v>
      </c>
      <c r="C971" s="2" t="inlineStr">
        <is>
          <t>進場</t>
        </is>
      </c>
      <c r="D971" s="2" t="n">
        <v>488</v>
      </c>
      <c r="E971" s="2" t="inlineStr">
        <is>
          <t>ARB_USDT_PERP</t>
        </is>
      </c>
      <c r="F971" s="2" t="inlineStr">
        <is>
          <t>做多</t>
        </is>
      </c>
      <c r="G971" s="20" t="n">
        <v>0.2287</v>
      </c>
      <c r="H971" s="20" t="n">
        <v>0.235561</v>
      </c>
      <c r="I971" s="20" t="n">
        <v>0.217265</v>
      </c>
      <c r="J971" s="20" t="n"/>
      <c r="K971" s="2" t="inlineStr">
        <is>
          <t>未平倉</t>
        </is>
      </c>
      <c r="L971" s="5" t="n"/>
      <c r="M971" s="19">
        <f>資金模擬!$B$5*V970</f>
        <v/>
      </c>
      <c r="N971" s="2">
        <f>IF(Z970=1,"已停止",IF(T970&gt;=M971,"已下單","資金不足略過"))</f>
        <v/>
      </c>
      <c r="O971" s="19">
        <f>IF(N971="已下單",M971*資金模擬!$B$7,0)</f>
        <v/>
      </c>
      <c r="P971" s="4" t="n"/>
      <c r="Q971" s="13" t="n">
        <v>0</v>
      </c>
      <c r="R971" s="13">
        <f>R970+Q971</f>
        <v/>
      </c>
      <c r="S971" s="19">
        <f>S970+IF(N971="已下單",M971,0)</f>
        <v/>
      </c>
      <c r="T971" s="19">
        <f>R971-S971</f>
        <v/>
      </c>
      <c r="U971" s="2">
        <f>U970+IF(N971="已下單",1,0)</f>
        <v/>
      </c>
      <c r="V971" s="19">
        <f>IF(資金模擬!$B$9=2,MAX(R971,0),MAX(V970,FLOOR(MAX(R971,0),資金模擬!$B$6)))</f>
        <v/>
      </c>
      <c r="W971" s="13">
        <f>MAX(W970,R971)</f>
        <v/>
      </c>
      <c r="X971" s="4">
        <f>IF(W971&gt;0,R971/W971-1,-1)</f>
        <v/>
      </c>
      <c r="Y971" s="19">
        <f>IF(R971&gt;0,S971*資金模擬!$B$7/R971,0)</f>
        <v/>
      </c>
      <c r="Z971" s="2">
        <f>IF(OR(Z970=1,R971&lt;=資金模擬!$B$10),1,0)</f>
        <v/>
      </c>
    </row>
    <row r="972">
      <c r="A972" s="2" t="n">
        <v>970</v>
      </c>
      <c r="B972" s="7" t="n">
        <v>46291.29166666666</v>
      </c>
      <c r="C972" s="2" t="inlineStr">
        <is>
          <t>進場</t>
        </is>
      </c>
      <c r="D972" s="2" t="n">
        <v>489</v>
      </c>
      <c r="E972" s="2" t="inlineStr">
        <is>
          <t>PENGU_USDT_PERP</t>
        </is>
      </c>
      <c r="F972" s="2" t="inlineStr">
        <is>
          <t>做多</t>
        </is>
      </c>
      <c r="G972" s="20" t="n">
        <v>0.010271</v>
      </c>
      <c r="H972" s="20" t="n">
        <v>0.01057913</v>
      </c>
      <c r="I972" s="20" t="n">
        <v>0.009757450000000001</v>
      </c>
      <c r="J972" s="20" t="n"/>
      <c r="K972" s="2" t="inlineStr">
        <is>
          <t>未平倉</t>
        </is>
      </c>
      <c r="L972" s="5" t="n"/>
      <c r="M972" s="19">
        <f>資金模擬!$B$5*V971</f>
        <v/>
      </c>
      <c r="N972" s="2">
        <f>IF(Z971=1,"已停止",IF(T971&gt;=M972,"已下單","資金不足略過"))</f>
        <v/>
      </c>
      <c r="O972" s="19">
        <f>IF(N972="已下單",M972*資金模擬!$B$7,0)</f>
        <v/>
      </c>
      <c r="P972" s="4" t="n"/>
      <c r="Q972" s="13" t="n">
        <v>0</v>
      </c>
      <c r="R972" s="13">
        <f>R971+Q972</f>
        <v/>
      </c>
      <c r="S972" s="19">
        <f>S971+IF(N972="已下單",M972,0)</f>
        <v/>
      </c>
      <c r="T972" s="19">
        <f>R972-S972</f>
        <v/>
      </c>
      <c r="U972" s="2">
        <f>U971+IF(N972="已下單",1,0)</f>
        <v/>
      </c>
      <c r="V972" s="19">
        <f>IF(資金模擬!$B$9=2,MAX(R972,0),MAX(V971,FLOOR(MAX(R972,0),資金模擬!$B$6)))</f>
        <v/>
      </c>
      <c r="W972" s="13">
        <f>MAX(W971,R972)</f>
        <v/>
      </c>
      <c r="X972" s="4">
        <f>IF(W972&gt;0,R972/W972-1,-1)</f>
        <v/>
      </c>
      <c r="Y972" s="19">
        <f>IF(R972&gt;0,S972*資金模擬!$B$7/R972,0)</f>
        <v/>
      </c>
      <c r="Z972" s="2">
        <f>IF(OR(Z971=1,R972&lt;=資金模擬!$B$10),1,0)</f>
        <v/>
      </c>
    </row>
    <row r="973">
      <c r="A973" s="2" t="n">
        <v>971</v>
      </c>
      <c r="B973" s="7" t="n">
        <v>46291.29166666666</v>
      </c>
      <c r="C973" s="2" t="inlineStr">
        <is>
          <t>進場</t>
        </is>
      </c>
      <c r="D973" s="2" t="n">
        <v>490</v>
      </c>
      <c r="E973" s="2" t="inlineStr">
        <is>
          <t>PUMP_USDT_PERP</t>
        </is>
      </c>
      <c r="F973" s="2" t="inlineStr">
        <is>
          <t>做多</t>
        </is>
      </c>
      <c r="G973" s="20" t="n">
        <v>0.004187</v>
      </c>
      <c r="H973" s="20" t="n">
        <v>0.00431261</v>
      </c>
      <c r="I973" s="20" t="n">
        <v>0.003977649999999999</v>
      </c>
      <c r="J973" s="20" t="n"/>
      <c r="K973" s="2" t="n"/>
      <c r="L973" s="5" t="n"/>
      <c r="M973" s="19">
        <f>資金模擬!$B$5*V972</f>
        <v/>
      </c>
      <c r="N973" s="2">
        <f>IF(Z972=1,"已停止",IF(T972&gt;=M973,"已下單","資金不足略過"))</f>
        <v/>
      </c>
      <c r="O973" s="19">
        <f>IF(N973="已下單",M973*資金模擬!$B$7,0)</f>
        <v/>
      </c>
      <c r="P973" s="4" t="n"/>
      <c r="Q973" s="13" t="n">
        <v>0</v>
      </c>
      <c r="R973" s="13">
        <f>R972+Q973</f>
        <v/>
      </c>
      <c r="S973" s="19">
        <f>S972+IF(N973="已下單",M973,0)</f>
        <v/>
      </c>
      <c r="T973" s="19">
        <f>R973-S973</f>
        <v/>
      </c>
      <c r="U973" s="2">
        <f>U972+IF(N973="已下單",1,0)</f>
        <v/>
      </c>
      <c r="V973" s="19">
        <f>IF(資金模擬!$B$9=2,MAX(R973,0),MAX(V972,FLOOR(MAX(R973,0),資金模擬!$B$6)))</f>
        <v/>
      </c>
      <c r="W973" s="13">
        <f>MAX(W972,R973)</f>
        <v/>
      </c>
      <c r="X973" s="4">
        <f>IF(W973&gt;0,R973/W973-1,-1)</f>
        <v/>
      </c>
      <c r="Y973" s="19">
        <f>IF(R973&gt;0,S973*資金模擬!$B$7/R973,0)</f>
        <v/>
      </c>
      <c r="Z973" s="2">
        <f>IF(OR(Z972=1,R973&lt;=資金模擬!$B$10),1,0)</f>
        <v/>
      </c>
    </row>
    <row r="974">
      <c r="A974" s="2" t="n">
        <v>972</v>
      </c>
      <c r="B974" s="7" t="n">
        <v>46291.375</v>
      </c>
      <c r="C974" s="2" t="inlineStr">
        <is>
          <t>出場</t>
        </is>
      </c>
      <c r="D974" s="2" t="n">
        <v>485</v>
      </c>
      <c r="E974" s="2" t="inlineStr">
        <is>
          <t>PONS_USDT_PERP</t>
        </is>
      </c>
      <c r="F974" s="2" t="inlineStr">
        <is>
          <t>做多</t>
        </is>
      </c>
      <c r="G974" s="20" t="n">
        <v>0.6466</v>
      </c>
      <c r="H974" s="20" t="n">
        <v>0.665998</v>
      </c>
      <c r="I974" s="20" t="n">
        <v>0.6142699999999999</v>
      </c>
      <c r="J974" s="20" t="n">
        <v>0.665998</v>
      </c>
      <c r="K974" s="2" t="inlineStr">
        <is>
          <t>止盈</t>
        </is>
      </c>
      <c r="L974" s="5">
        <f>交易明細!K486</f>
        <v/>
      </c>
      <c r="M974" s="19">
        <f>M967</f>
        <v/>
      </c>
      <c r="N974" s="2">
        <f>N967</f>
        <v/>
      </c>
      <c r="O974" s="19">
        <f>O967</f>
        <v/>
      </c>
      <c r="P974" s="4">
        <f>交易明細!L486</f>
        <v/>
      </c>
      <c r="Q974" s="13">
        <f>IF(N974="已下單",O974*P974,0)</f>
        <v/>
      </c>
      <c r="R974" s="13">
        <f>R973+Q974</f>
        <v/>
      </c>
      <c r="S974" s="19">
        <f>S973-IF(N974="已下單",M974,0)</f>
        <v/>
      </c>
      <c r="T974" s="19">
        <f>R974-S974</f>
        <v/>
      </c>
      <c r="U974" s="2">
        <f>U973-IF(N974="已下單",1,0)</f>
        <v/>
      </c>
      <c r="V974" s="19">
        <f>IF(資金模擬!$B$9=2,MAX(R974,0),MAX(V973,FLOOR(MAX(R974,0),資金模擬!$B$6)))</f>
        <v/>
      </c>
      <c r="W974" s="13">
        <f>MAX(W973,R974)</f>
        <v/>
      </c>
      <c r="X974" s="4">
        <f>IF(W974&gt;0,R974/W974-1,-1)</f>
        <v/>
      </c>
      <c r="Y974" s="19">
        <f>IF(R974&gt;0,S974*資金模擬!$B$7/R974,0)</f>
        <v/>
      </c>
      <c r="Z974" s="2">
        <f>IF(OR(Z973=1,R974&lt;=資金模擬!$B$10),1,0)</f>
        <v/>
      </c>
    </row>
    <row r="975">
      <c r="A975" s="2" t="n">
        <v>973</v>
      </c>
      <c r="B975" s="7" t="n">
        <v>46291.375</v>
      </c>
      <c r="C975" s="2" t="inlineStr">
        <is>
          <t>出場</t>
        </is>
      </c>
      <c r="D975" s="2" t="n">
        <v>487</v>
      </c>
      <c r="E975" s="2" t="inlineStr">
        <is>
          <t>BR_USDT_PERP</t>
        </is>
      </c>
      <c r="F975" s="2" t="inlineStr">
        <is>
          <t>做多</t>
        </is>
      </c>
      <c r="G975" s="20" t="n">
        <v>0.93702</v>
      </c>
      <c r="H975" s="20" t="n">
        <v>0.9651305999999999</v>
      </c>
      <c r="I975" s="20" t="n">
        <v>0.8901689999999999</v>
      </c>
      <c r="J975" s="20" t="n">
        <v>0.9651305999999999</v>
      </c>
      <c r="K975" s="2" t="inlineStr">
        <is>
          <t>止盈</t>
        </is>
      </c>
      <c r="L975" s="5">
        <f>交易明細!K488</f>
        <v/>
      </c>
      <c r="M975" s="19">
        <f>M970</f>
        <v/>
      </c>
      <c r="N975" s="2">
        <f>N970</f>
        <v/>
      </c>
      <c r="O975" s="19">
        <f>O970</f>
        <v/>
      </c>
      <c r="P975" s="4">
        <f>交易明細!L488</f>
        <v/>
      </c>
      <c r="Q975" s="13">
        <f>IF(N975="已下單",O975*P975,0)</f>
        <v/>
      </c>
      <c r="R975" s="13">
        <f>R974+Q975</f>
        <v/>
      </c>
      <c r="S975" s="19">
        <f>S974-IF(N975="已下單",M975,0)</f>
        <v/>
      </c>
      <c r="T975" s="19">
        <f>R975-S975</f>
        <v/>
      </c>
      <c r="U975" s="2">
        <f>U974-IF(N975="已下單",1,0)</f>
        <v/>
      </c>
      <c r="V975" s="19">
        <f>IF(資金模擬!$B$9=2,MAX(R975,0),MAX(V974,FLOOR(MAX(R975,0),資金模擬!$B$6)))</f>
        <v/>
      </c>
      <c r="W975" s="13">
        <f>MAX(W974,R975)</f>
        <v/>
      </c>
      <c r="X975" s="4">
        <f>IF(W975&gt;0,R975/W975-1,-1)</f>
        <v/>
      </c>
      <c r="Y975" s="19">
        <f>IF(R975&gt;0,S975*資金模擬!$B$7/R975,0)</f>
        <v/>
      </c>
      <c r="Z975" s="2">
        <f>IF(OR(Z974=1,R975&lt;=資金模擬!$B$10),1,0)</f>
        <v/>
      </c>
    </row>
    <row r="976">
      <c r="A976" s="2" t="n">
        <v>974</v>
      </c>
      <c r="B976" s="7" t="n">
        <v>46291.41666666666</v>
      </c>
      <c r="C976" s="2" t="inlineStr">
        <is>
          <t>進場</t>
        </is>
      </c>
      <c r="D976" s="2" t="n">
        <v>491</v>
      </c>
      <c r="E976" s="2" t="inlineStr">
        <is>
          <t>AERO_USDT_PERP</t>
        </is>
      </c>
      <c r="F976" s="2" t="inlineStr">
        <is>
          <t>做多</t>
        </is>
      </c>
      <c r="G976" s="20" t="n">
        <v>0.8534</v>
      </c>
      <c r="H976" s="20" t="n">
        <v>0.8790020000000001</v>
      </c>
      <c r="I976" s="20" t="n">
        <v>0.8107300000000001</v>
      </c>
      <c r="J976" s="20" t="n"/>
      <c r="K976" s="2" t="n"/>
      <c r="L976" s="5" t="n"/>
      <c r="M976" s="19">
        <f>資金模擬!$B$5*V975</f>
        <v/>
      </c>
      <c r="N976" s="2">
        <f>IF(Z975=1,"已停止",IF(T975&gt;=M976,"已下單","資金不足略過"))</f>
        <v/>
      </c>
      <c r="O976" s="19">
        <f>IF(N976="已下單",M976*資金模擬!$B$7,0)</f>
        <v/>
      </c>
      <c r="P976" s="4" t="n"/>
      <c r="Q976" s="13" t="n">
        <v>0</v>
      </c>
      <c r="R976" s="13">
        <f>R975+Q976</f>
        <v/>
      </c>
      <c r="S976" s="19">
        <f>S975+IF(N976="已下單",M976,0)</f>
        <v/>
      </c>
      <c r="T976" s="19">
        <f>R976-S976</f>
        <v/>
      </c>
      <c r="U976" s="2">
        <f>U975+IF(N976="已下單",1,0)</f>
        <v/>
      </c>
      <c r="V976" s="19">
        <f>IF(資金模擬!$B$9=2,MAX(R976,0),MAX(V975,FLOOR(MAX(R976,0),資金模擬!$B$6)))</f>
        <v/>
      </c>
      <c r="W976" s="13">
        <f>MAX(W975,R976)</f>
        <v/>
      </c>
      <c r="X976" s="4">
        <f>IF(W976&gt;0,R976/W976-1,-1)</f>
        <v/>
      </c>
      <c r="Y976" s="19">
        <f>IF(R976&gt;0,S976*資金模擬!$B$7/R976,0)</f>
        <v/>
      </c>
      <c r="Z976" s="2">
        <f>IF(OR(Z975=1,R976&lt;=資金模擬!$B$10),1,0)</f>
        <v/>
      </c>
    </row>
    <row r="977">
      <c r="A977" s="2" t="n">
        <v>975</v>
      </c>
      <c r="B977" s="7" t="n">
        <v>46291.41666666666</v>
      </c>
      <c r="C977" s="2" t="inlineStr">
        <is>
          <t>進場</t>
        </is>
      </c>
      <c r="D977" s="2" t="n">
        <v>492</v>
      </c>
      <c r="E977" s="2" t="inlineStr">
        <is>
          <t>LYN_USDT_PERP</t>
        </is>
      </c>
      <c r="F977" s="2" t="inlineStr">
        <is>
          <t>做空</t>
        </is>
      </c>
      <c r="G977" s="20" t="n">
        <v>0.04466</v>
      </c>
      <c r="H977" s="20" t="n">
        <v>0.0433202</v>
      </c>
      <c r="I977" s="20" t="n">
        <v>0.046893</v>
      </c>
      <c r="J977" s="20" t="n"/>
      <c r="K977" s="2" t="n"/>
      <c r="L977" s="5" t="n"/>
      <c r="M977" s="19">
        <f>資金模擬!$B$5*V976</f>
        <v/>
      </c>
      <c r="N977" s="2">
        <f>IF(Z976=1,"已停止",IF(T976&gt;=M977,"已下單","資金不足略過"))</f>
        <v/>
      </c>
      <c r="O977" s="19">
        <f>IF(N977="已下單",M977*資金模擬!$B$7,0)</f>
        <v/>
      </c>
      <c r="P977" s="4" t="n"/>
      <c r="Q977" s="13" t="n">
        <v>0</v>
      </c>
      <c r="R977" s="13">
        <f>R976+Q977</f>
        <v/>
      </c>
      <c r="S977" s="19">
        <f>S976+IF(N977="已下單",M977,0)</f>
        <v/>
      </c>
      <c r="T977" s="19">
        <f>R977-S977</f>
        <v/>
      </c>
      <c r="U977" s="2">
        <f>U976+IF(N977="已下單",1,0)</f>
        <v/>
      </c>
      <c r="V977" s="19">
        <f>IF(資金模擬!$B$9=2,MAX(R977,0),MAX(V976,FLOOR(MAX(R977,0),資金模擬!$B$6)))</f>
        <v/>
      </c>
      <c r="W977" s="13">
        <f>MAX(W976,R977)</f>
        <v/>
      </c>
      <c r="X977" s="4">
        <f>IF(W977&gt;0,R977/W977-1,-1)</f>
        <v/>
      </c>
      <c r="Y977" s="19">
        <f>IF(R977&gt;0,S977*資金模擬!$B$7/R977,0)</f>
        <v/>
      </c>
      <c r="Z977" s="2">
        <f>IF(OR(Z976=1,R977&lt;=資金模擬!$B$10),1,0)</f>
        <v/>
      </c>
    </row>
    <row r="978">
      <c r="A978" s="2" t="n">
        <v>976</v>
      </c>
      <c r="B978" s="7" t="n">
        <v>46291.45833333334</v>
      </c>
      <c r="C978" s="2" t="inlineStr">
        <is>
          <t>出場</t>
        </is>
      </c>
      <c r="D978" s="2" t="n">
        <v>481</v>
      </c>
      <c r="E978" s="2" t="inlineStr">
        <is>
          <t>RAY_USDT_PERP</t>
        </is>
      </c>
      <c r="F978" s="2" t="inlineStr">
        <is>
          <t>做空</t>
        </is>
      </c>
      <c r="G978" s="20" t="n">
        <v>2.056</v>
      </c>
      <c r="H978" s="20" t="n">
        <v>1.99432</v>
      </c>
      <c r="I978" s="20" t="n">
        <v>2.1588</v>
      </c>
      <c r="J978" s="20" t="n">
        <v>1.99432</v>
      </c>
      <c r="K978" s="2" t="inlineStr">
        <is>
          <t>止盈</t>
        </is>
      </c>
      <c r="L978" s="5">
        <f>交易明細!K482</f>
        <v/>
      </c>
      <c r="M978" s="19">
        <f>M961</f>
        <v/>
      </c>
      <c r="N978" s="2">
        <f>N961</f>
        <v/>
      </c>
      <c r="O978" s="19">
        <f>O961</f>
        <v/>
      </c>
      <c r="P978" s="4">
        <f>交易明細!L482</f>
        <v/>
      </c>
      <c r="Q978" s="13">
        <f>IF(N978="已下單",O978*P978,0)</f>
        <v/>
      </c>
      <c r="R978" s="13">
        <f>R977+Q978</f>
        <v/>
      </c>
      <c r="S978" s="19">
        <f>S977-IF(N978="已下單",M978,0)</f>
        <v/>
      </c>
      <c r="T978" s="19">
        <f>R978-S978</f>
        <v/>
      </c>
      <c r="U978" s="2">
        <f>U977-IF(N978="已下單",1,0)</f>
        <v/>
      </c>
      <c r="V978" s="19">
        <f>IF(資金模擬!$B$9=2,MAX(R978,0),MAX(V977,FLOOR(MAX(R978,0),資金模擬!$B$6)))</f>
        <v/>
      </c>
      <c r="W978" s="13">
        <f>MAX(W977,R978)</f>
        <v/>
      </c>
      <c r="X978" s="4">
        <f>IF(W978&gt;0,R978/W978-1,-1)</f>
        <v/>
      </c>
      <c r="Y978" s="19">
        <f>IF(R978&gt;0,S978*資金模擬!$B$7/R978,0)</f>
        <v/>
      </c>
      <c r="Z978" s="2">
        <f>IF(OR(Z977=1,R978&lt;=資金模擬!$B$10),1,0)</f>
        <v/>
      </c>
    </row>
    <row r="979">
      <c r="A979" s="2" t="n">
        <v>977</v>
      </c>
      <c r="B979" s="7" t="n">
        <v>46291.45833333334</v>
      </c>
      <c r="C979" s="2" t="inlineStr">
        <is>
          <t>出場</t>
        </is>
      </c>
      <c r="D979" s="2" t="n">
        <v>490</v>
      </c>
      <c r="E979" s="2" t="inlineStr">
        <is>
          <t>PUMP_USDT_PERP</t>
        </is>
      </c>
      <c r="F979" s="2" t="inlineStr">
        <is>
          <t>做多</t>
        </is>
      </c>
      <c r="G979" s="20" t="n">
        <v>0.004187</v>
      </c>
      <c r="H979" s="20" t="n">
        <v>0.00431261</v>
      </c>
      <c r="I979" s="20" t="n">
        <v>0.003977649999999999</v>
      </c>
      <c r="J979" s="20" t="n">
        <v>0.00431261</v>
      </c>
      <c r="K979" s="2" t="inlineStr">
        <is>
          <t>止盈</t>
        </is>
      </c>
      <c r="L979" s="5">
        <f>交易明細!K491</f>
        <v/>
      </c>
      <c r="M979" s="19">
        <f>M973</f>
        <v/>
      </c>
      <c r="N979" s="2">
        <f>N973</f>
        <v/>
      </c>
      <c r="O979" s="19">
        <f>O973</f>
        <v/>
      </c>
      <c r="P979" s="4">
        <f>交易明細!L491</f>
        <v/>
      </c>
      <c r="Q979" s="13">
        <f>IF(N979="已下單",O979*P979,0)</f>
        <v/>
      </c>
      <c r="R979" s="13">
        <f>R978+Q979</f>
        <v/>
      </c>
      <c r="S979" s="19">
        <f>S978-IF(N979="已下單",M979,0)</f>
        <v/>
      </c>
      <c r="T979" s="19">
        <f>R979-S979</f>
        <v/>
      </c>
      <c r="U979" s="2">
        <f>U978-IF(N979="已下單",1,0)</f>
        <v/>
      </c>
      <c r="V979" s="19">
        <f>IF(資金模擬!$B$9=2,MAX(R979,0),MAX(V978,FLOOR(MAX(R979,0),資金模擬!$B$6)))</f>
        <v/>
      </c>
      <c r="W979" s="13">
        <f>MAX(W978,R979)</f>
        <v/>
      </c>
      <c r="X979" s="4">
        <f>IF(W979&gt;0,R979/W979-1,-1)</f>
        <v/>
      </c>
      <c r="Y979" s="19">
        <f>IF(R979&gt;0,S979*資金模擬!$B$7/R979,0)</f>
        <v/>
      </c>
      <c r="Z979" s="2">
        <f>IF(OR(Z978=1,R979&lt;=資金模擬!$B$10),1,0)</f>
        <v/>
      </c>
    </row>
    <row r="980">
      <c r="A980" s="2" t="n">
        <v>978</v>
      </c>
      <c r="B980" s="7" t="n">
        <v>46291.45833333334</v>
      </c>
      <c r="C980" s="2" t="inlineStr">
        <is>
          <t>出場</t>
        </is>
      </c>
      <c r="D980" s="2" t="n">
        <v>491</v>
      </c>
      <c r="E980" s="2" t="inlineStr">
        <is>
          <t>AERO_USDT_PERP</t>
        </is>
      </c>
      <c r="F980" s="2" t="inlineStr">
        <is>
          <t>做多</t>
        </is>
      </c>
      <c r="G980" s="20" t="n">
        <v>0.8534</v>
      </c>
      <c r="H980" s="20" t="n">
        <v>0.8790020000000001</v>
      </c>
      <c r="I980" s="20" t="n">
        <v>0.8107300000000001</v>
      </c>
      <c r="J980" s="20" t="n">
        <v>0.8790020000000001</v>
      </c>
      <c r="K980" s="2" t="inlineStr">
        <is>
          <t>止盈</t>
        </is>
      </c>
      <c r="L980" s="5">
        <f>交易明細!K492</f>
        <v/>
      </c>
      <c r="M980" s="19">
        <f>M976</f>
        <v/>
      </c>
      <c r="N980" s="2">
        <f>N976</f>
        <v/>
      </c>
      <c r="O980" s="19">
        <f>O976</f>
        <v/>
      </c>
      <c r="P980" s="4">
        <f>交易明細!L492</f>
        <v/>
      </c>
      <c r="Q980" s="13">
        <f>IF(N980="已下單",O980*P980,0)</f>
        <v/>
      </c>
      <c r="R980" s="13">
        <f>R979+Q980</f>
        <v/>
      </c>
      <c r="S980" s="19">
        <f>S979-IF(N980="已下單",M980,0)</f>
        <v/>
      </c>
      <c r="T980" s="19">
        <f>R980-S980</f>
        <v/>
      </c>
      <c r="U980" s="2">
        <f>U979-IF(N980="已下單",1,0)</f>
        <v/>
      </c>
      <c r="V980" s="19">
        <f>IF(資金模擬!$B$9=2,MAX(R980,0),MAX(V979,FLOOR(MAX(R980,0),資金模擬!$B$6)))</f>
        <v/>
      </c>
      <c r="W980" s="13">
        <f>MAX(W979,R980)</f>
        <v/>
      </c>
      <c r="X980" s="4">
        <f>IF(W980&gt;0,R980/W980-1,-1)</f>
        <v/>
      </c>
      <c r="Y980" s="19">
        <f>IF(R980&gt;0,S980*資金模擬!$B$7/R980,0)</f>
        <v/>
      </c>
      <c r="Z980" s="2">
        <f>IF(OR(Z979=1,R980&lt;=資金模擬!$B$10),1,0)</f>
        <v/>
      </c>
    </row>
    <row r="981">
      <c r="A981" s="2" t="n">
        <v>979</v>
      </c>
      <c r="B981" s="7" t="n">
        <v>46291.45833333334</v>
      </c>
      <c r="C981" s="2" t="inlineStr">
        <is>
          <t>出場</t>
        </is>
      </c>
      <c r="D981" s="2" t="n">
        <v>492</v>
      </c>
      <c r="E981" s="2" t="inlineStr">
        <is>
          <t>LYN_USDT_PERP</t>
        </is>
      </c>
      <c r="F981" s="2" t="inlineStr">
        <is>
          <t>做空</t>
        </is>
      </c>
      <c r="G981" s="20" t="n">
        <v>0.04466</v>
      </c>
      <c r="H981" s="20" t="n">
        <v>0.0433202</v>
      </c>
      <c r="I981" s="20" t="n">
        <v>0.046893</v>
      </c>
      <c r="J981" s="20" t="n">
        <v>0.0433202</v>
      </c>
      <c r="K981" s="2" t="inlineStr">
        <is>
          <t>止盈</t>
        </is>
      </c>
      <c r="L981" s="5">
        <f>交易明細!K493</f>
        <v/>
      </c>
      <c r="M981" s="19">
        <f>M977</f>
        <v/>
      </c>
      <c r="N981" s="2">
        <f>N977</f>
        <v/>
      </c>
      <c r="O981" s="19">
        <f>O977</f>
        <v/>
      </c>
      <c r="P981" s="4">
        <f>交易明細!L493</f>
        <v/>
      </c>
      <c r="Q981" s="13">
        <f>IF(N981="已下單",O981*P981,0)</f>
        <v/>
      </c>
      <c r="R981" s="13">
        <f>R980+Q981</f>
        <v/>
      </c>
      <c r="S981" s="19">
        <f>S980-IF(N981="已下單",M981,0)</f>
        <v/>
      </c>
      <c r="T981" s="19">
        <f>R981-S981</f>
        <v/>
      </c>
      <c r="U981" s="2">
        <f>U980-IF(N981="已下單",1,0)</f>
        <v/>
      </c>
      <c r="V981" s="19">
        <f>IF(資金模擬!$B$9=2,MAX(R981,0),MAX(V980,FLOOR(MAX(R981,0),資金模擬!$B$6)))</f>
        <v/>
      </c>
      <c r="W981" s="13">
        <f>MAX(W980,R981)</f>
        <v/>
      </c>
      <c r="X981" s="4">
        <f>IF(W981&gt;0,R981/W981-1,-1)</f>
        <v/>
      </c>
      <c r="Y981" s="19">
        <f>IF(R981&gt;0,S981*資金模擬!$B$7/R981,0)</f>
        <v/>
      </c>
      <c r="Z981" s="2">
        <f>IF(OR(Z980=1,R981&lt;=資金模擬!$B$10),1,0)</f>
        <v/>
      </c>
    </row>
    <row r="982">
      <c r="A982" s="2" t="n">
        <v>980</v>
      </c>
      <c r="B982" s="7" t="n">
        <v>46291.5</v>
      </c>
      <c r="C982" s="2" t="inlineStr">
        <is>
          <t>出場</t>
        </is>
      </c>
      <c r="D982" s="2" t="n">
        <v>484</v>
      </c>
      <c r="E982" s="2" t="inlineStr">
        <is>
          <t>QNT_USDT_PERP</t>
        </is>
      </c>
      <c r="F982" s="2" t="inlineStr">
        <is>
          <t>做多</t>
        </is>
      </c>
      <c r="G982" s="20" t="n">
        <v>97.95999999999999</v>
      </c>
      <c r="H982" s="20" t="n">
        <v>100.8988</v>
      </c>
      <c r="I982" s="20" t="n">
        <v>93.06199999999998</v>
      </c>
      <c r="J982" s="20" t="n">
        <v>100.8988</v>
      </c>
      <c r="K982" s="2" t="inlineStr">
        <is>
          <t>止盈</t>
        </is>
      </c>
      <c r="L982" s="5">
        <f>交易明細!K485</f>
        <v/>
      </c>
      <c r="M982" s="19">
        <f>M965</f>
        <v/>
      </c>
      <c r="N982" s="2">
        <f>N965</f>
        <v/>
      </c>
      <c r="O982" s="19">
        <f>O965</f>
        <v/>
      </c>
      <c r="P982" s="4">
        <f>交易明細!L485</f>
        <v/>
      </c>
      <c r="Q982" s="13">
        <f>IF(N982="已下單",O982*P982,0)</f>
        <v/>
      </c>
      <c r="R982" s="13">
        <f>R981+Q982</f>
        <v/>
      </c>
      <c r="S982" s="19">
        <f>S981-IF(N982="已下單",M982,0)</f>
        <v/>
      </c>
      <c r="T982" s="19">
        <f>R982-S982</f>
        <v/>
      </c>
      <c r="U982" s="2">
        <f>U981-IF(N982="已下單",1,0)</f>
        <v/>
      </c>
      <c r="V982" s="19">
        <f>IF(資金模擬!$B$9=2,MAX(R982,0),MAX(V981,FLOOR(MAX(R982,0),資金模擬!$B$6)))</f>
        <v/>
      </c>
      <c r="W982" s="13">
        <f>MAX(W981,R982)</f>
        <v/>
      </c>
      <c r="X982" s="4">
        <f>IF(W982&gt;0,R982/W982-1,-1)</f>
        <v/>
      </c>
      <c r="Y982" s="19">
        <f>IF(R982&gt;0,S982*資金模擬!$B$7/R982,0)</f>
        <v/>
      </c>
      <c r="Z982" s="2">
        <f>IF(OR(Z981=1,R982&lt;=資金模擬!$B$10),1,0)</f>
        <v/>
      </c>
    </row>
    <row r="983">
      <c r="A983" s="2" t="n">
        <v>981</v>
      </c>
      <c r="B983" s="7" t="n">
        <v>46291.54166666666</v>
      </c>
      <c r="C983" s="2" t="inlineStr">
        <is>
          <t>進場</t>
        </is>
      </c>
      <c r="D983" s="2" t="n">
        <v>493</v>
      </c>
      <c r="E983" s="2" t="inlineStr">
        <is>
          <t>FET_USDT_PERP</t>
        </is>
      </c>
      <c r="F983" s="2" t="inlineStr">
        <is>
          <t>做多</t>
        </is>
      </c>
      <c r="G983" s="20" t="n">
        <v>0.2468</v>
      </c>
      <c r="H983" s="20" t="n">
        <v>0.254204</v>
      </c>
      <c r="I983" s="20" t="n">
        <v>0.23446</v>
      </c>
      <c r="J983" s="20" t="n"/>
      <c r="K983" s="2" t="inlineStr">
        <is>
          <t>未平倉</t>
        </is>
      </c>
      <c r="L983" s="5" t="n"/>
      <c r="M983" s="19">
        <f>資金模擬!$B$5*V982</f>
        <v/>
      </c>
      <c r="N983" s="2">
        <f>IF(Z982=1,"已停止",IF(T982&gt;=M983,"已下單","資金不足略過"))</f>
        <v/>
      </c>
      <c r="O983" s="19">
        <f>IF(N983="已下單",M983*資金模擬!$B$7,0)</f>
        <v/>
      </c>
      <c r="P983" s="4" t="n"/>
      <c r="Q983" s="13" t="n">
        <v>0</v>
      </c>
      <c r="R983" s="13">
        <f>R982+Q983</f>
        <v/>
      </c>
      <c r="S983" s="19">
        <f>S982+IF(N983="已下單",M983,0)</f>
        <v/>
      </c>
      <c r="T983" s="19">
        <f>R983-S983</f>
        <v/>
      </c>
      <c r="U983" s="2">
        <f>U982+IF(N983="已下單",1,0)</f>
        <v/>
      </c>
      <c r="V983" s="19">
        <f>IF(資金模擬!$B$9=2,MAX(R983,0),MAX(V982,FLOOR(MAX(R983,0),資金模擬!$B$6)))</f>
        <v/>
      </c>
      <c r="W983" s="13">
        <f>MAX(W982,R983)</f>
        <v/>
      </c>
      <c r="X983" s="4">
        <f>IF(W983&gt;0,R983/W983-1,-1)</f>
        <v/>
      </c>
      <c r="Y983" s="19">
        <f>IF(R983&gt;0,S983*資金模擬!$B$7/R983,0)</f>
        <v/>
      </c>
      <c r="Z983" s="2">
        <f>IF(OR(Z982=1,R983&lt;=資金模擬!$B$10),1,0)</f>
        <v/>
      </c>
    </row>
    <row r="984">
      <c r="A984" s="2" t="n">
        <v>982</v>
      </c>
      <c r="B984" s="7" t="n">
        <v>46291.58333333334</v>
      </c>
      <c r="C984" s="2" t="inlineStr">
        <is>
          <t>進場</t>
        </is>
      </c>
      <c r="D984" s="2" t="n">
        <v>494</v>
      </c>
      <c r="E984" s="2" t="inlineStr">
        <is>
          <t>QNT_USDT_PERP</t>
        </is>
      </c>
      <c r="F984" s="2" t="inlineStr">
        <is>
          <t>做多</t>
        </is>
      </c>
      <c r="G984" s="20" t="n">
        <v>100.72</v>
      </c>
      <c r="H984" s="20" t="n">
        <v>103.7416</v>
      </c>
      <c r="I984" s="20" t="n">
        <v>95.684</v>
      </c>
      <c r="J984" s="20" t="n"/>
      <c r="K984" s="2" t="inlineStr">
        <is>
          <t>未平倉</t>
        </is>
      </c>
      <c r="L984" s="5" t="n"/>
      <c r="M984" s="19">
        <f>資金模擬!$B$5*V983</f>
        <v/>
      </c>
      <c r="N984" s="2">
        <f>IF(Z983=1,"已停止",IF(T983&gt;=M984,"已下單","資金不足略過"))</f>
        <v/>
      </c>
      <c r="O984" s="19">
        <f>IF(N984="已下單",M984*資金模擬!$B$7,0)</f>
        <v/>
      </c>
      <c r="P984" s="4" t="n"/>
      <c r="Q984" s="13" t="n">
        <v>0</v>
      </c>
      <c r="R984" s="13">
        <f>R983+Q984</f>
        <v/>
      </c>
      <c r="S984" s="19">
        <f>S983+IF(N984="已下單",M984,0)</f>
        <v/>
      </c>
      <c r="T984" s="19">
        <f>R984-S984</f>
        <v/>
      </c>
      <c r="U984" s="2">
        <f>U983+IF(N984="已下單",1,0)</f>
        <v/>
      </c>
      <c r="V984" s="19">
        <f>IF(資金模擬!$B$9=2,MAX(R984,0),MAX(V983,FLOOR(MAX(R984,0),資金模擬!$B$6)))</f>
        <v/>
      </c>
      <c r="W984" s="13">
        <f>MAX(W983,R984)</f>
        <v/>
      </c>
      <c r="X984" s="4">
        <f>IF(W984&gt;0,R984/W984-1,-1)</f>
        <v/>
      </c>
      <c r="Y984" s="19">
        <f>IF(R984&gt;0,S984*資金模擬!$B$7/R984,0)</f>
        <v/>
      </c>
      <c r="Z984" s="2">
        <f>IF(OR(Z983=1,R984&lt;=資金模擬!$B$10),1,0)</f>
        <v/>
      </c>
    </row>
  </sheetData>
  <autoFilter ref="A1:Z984"/>
  <conditionalFormatting sqref="K2:K98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8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8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14:05（Dry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IFERROR(AVERAGE(交易明細!$AC$2:$AC$495),(B6+2*B7)/(B5+B6))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9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46290.41666666666</v>
      </c>
      <c r="I417" s="20" t="n">
        <v>0.252</v>
      </c>
      <c r="J417" s="2" t="inlineStr">
        <is>
          <t>止損</t>
        </is>
      </c>
      <c r="K417" s="5">
        <f>(H417-D417)*24</f>
        <v/>
      </c>
      <c r="L417" s="4">
        <f>IF(C417="做多",I417/E417-1,1-I417/E417)-2*參數!$B$7</f>
        <v/>
      </c>
      <c r="M417" s="2" t="inlineStr"/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0.05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46289.91666666666</v>
      </c>
      <c r="I449" s="20" t="n">
        <v>0.21315</v>
      </c>
      <c r="J449" s="2" t="inlineStr">
        <is>
          <t>止損</t>
        </is>
      </c>
      <c r="K449" s="5">
        <f>(H449-D449)*24</f>
        <v/>
      </c>
      <c r="L449" s="4">
        <f>IF(C449="做多",I449/E449-1,1-I449/E449)-2*參數!$B$7</f>
        <v/>
      </c>
      <c r="M449" s="2" t="inlineStr"/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0.05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46289.91666666666</v>
      </c>
      <c r="I450" s="20" t="n">
        <v>3.0576</v>
      </c>
      <c r="J450" s="2" t="inlineStr">
        <is>
          <t>止損</t>
        </is>
      </c>
      <c r="K450" s="5">
        <f>(H450-D450)*24</f>
        <v/>
      </c>
      <c r="L450" s="4">
        <f>IF(C450="做多",I450/E450-1,1-I450/E450)-2*參數!$B$7</f>
        <v/>
      </c>
      <c r="M450" s="2" t="inlineStr"/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0.05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46289.83333333334</v>
      </c>
      <c r="I453" s="20" t="n">
        <v>0.60431</v>
      </c>
      <c r="J453" s="2" t="inlineStr">
        <is>
          <t>止盈</t>
        </is>
      </c>
      <c r="K453" s="5">
        <f>(H453-D453)*24</f>
        <v/>
      </c>
      <c r="L453" s="4">
        <f>IF(C453="做多",I453/E453-1,1-I453/E453)-2*參數!$B$7</f>
        <v/>
      </c>
      <c r="M453" s="2" t="inlineStr"/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0.03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46289.91666666666</v>
      </c>
      <c r="I454" s="20" t="n">
        <v>0.06636000000000002</v>
      </c>
      <c r="J454" s="2" t="inlineStr">
        <is>
          <t>止損</t>
        </is>
      </c>
      <c r="K454" s="5">
        <f>(H454-D454)*24</f>
        <v/>
      </c>
      <c r="L454" s="4">
        <f>IF(C454="做多",I454/E454-1,1-I454/E454)-2*參數!$B$7</f>
        <v/>
      </c>
      <c r="M454" s="2" t="inlineStr"/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0.05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46289.95833333334</v>
      </c>
      <c r="I455" s="20" t="n">
        <v>4.456515000000001e-06</v>
      </c>
      <c r="J455" s="2" t="inlineStr">
        <is>
          <t>止損</t>
        </is>
      </c>
      <c r="K455" s="5">
        <f>(H455-D455)*24</f>
        <v/>
      </c>
      <c r="L455" s="4">
        <f>IF(C455="做多",I455/E455-1,1-I455/E455)-2*參數!$B$7</f>
        <v/>
      </c>
      <c r="M455" s="2" t="inlineStr"/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0.001837758876610973</v>
      </c>
      <c r="T455" s="4" t="n">
        <v>0.05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46290.75</v>
      </c>
      <c r="I456" s="20" t="n">
        <v>0.00403515</v>
      </c>
      <c r="J456" s="2" t="inlineStr">
        <is>
          <t>止損</t>
        </is>
      </c>
      <c r="K456" s="5">
        <f>(H456-D456)*24</f>
        <v/>
      </c>
      <c r="L456" s="4">
        <f>IF(C456="做多",I456/E456-1,1-I456/E456)-2*參數!$B$7</f>
        <v/>
      </c>
      <c r="M456" s="2" t="inlineStr"/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0.02419984387197505</v>
      </c>
      <c r="T456" s="4" t="n">
        <v>0.05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46289.95833333334</v>
      </c>
      <c r="I457" s="20" t="n">
        <v>294.6405</v>
      </c>
      <c r="J457" s="2" t="inlineStr">
        <is>
          <t>止損</t>
        </is>
      </c>
      <c r="K457" s="5">
        <f>(H457-D457)*24</f>
        <v/>
      </c>
      <c r="L457" s="4">
        <f>IF(C457="做多",I457/E457-1,1-I457/E457)-2*參數!$B$7</f>
        <v/>
      </c>
      <c r="M457" s="2" t="inlineStr"/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0.008053882612879093</v>
      </c>
      <c r="T457" s="4" t="n">
        <v>0.05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46289.95833333334</v>
      </c>
      <c r="I458" s="20" t="n">
        <v>9.310350000000001</v>
      </c>
      <c r="J458" s="2" t="inlineStr">
        <is>
          <t>止損</t>
        </is>
      </c>
      <c r="K458" s="5">
        <f>(H458-D458)*24</f>
        <v/>
      </c>
      <c r="L458" s="4">
        <f>IF(C458="做多",I458/E458-1,1-I458/E458)-2*參數!$B$7</f>
        <v/>
      </c>
      <c r="M458" s="2" t="inlineStr"/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0.001240554866358545</v>
      </c>
      <c r="T458" s="4" t="n">
        <v>0.05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46289.95833333334</v>
      </c>
      <c r="I459" s="20" t="n">
        <v>30.1728</v>
      </c>
      <c r="J459" s="2" t="inlineStr">
        <is>
          <t>止損</t>
        </is>
      </c>
      <c r="K459" s="5">
        <f>(H459-D459)*24</f>
        <v/>
      </c>
      <c r="L459" s="4">
        <f>IF(C459="做多",I459/E459-1,1-I459/E459)-2*參數!$B$7</f>
        <v/>
      </c>
      <c r="M459" s="2" t="inlineStr"/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0.009291481069042318</v>
      </c>
      <c r="T459" s="4" t="n">
        <v>0.05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46290.08333333334</v>
      </c>
      <c r="I460" s="20" t="n">
        <v>1552.4985</v>
      </c>
      <c r="J460" s="2" t="inlineStr">
        <is>
          <t>止損</t>
        </is>
      </c>
      <c r="K460" s="5">
        <f>(H460-D460)*24</f>
        <v/>
      </c>
      <c r="L460" s="4">
        <f>IF(C460="做多",I460/E460-1,1-I460/E460)-2*參數!$B$7</f>
        <v/>
      </c>
      <c r="M460" s="2" t="inlineStr"/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0.01188310326869879</v>
      </c>
      <c r="T460" s="4" t="n">
        <v>0.05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  <row r="461">
      <c r="A461" s="2" t="n">
        <v>460</v>
      </c>
      <c r="B461" s="2" t="inlineStr">
        <is>
          <t>AKE_USDT_PERP</t>
        </is>
      </c>
      <c r="C461" s="2" t="inlineStr">
        <is>
          <t>做空</t>
        </is>
      </c>
      <c r="D461" s="7" t="n">
        <v>46289.79166666666</v>
      </c>
      <c r="E461" s="20" t="n">
        <v>0.0416545</v>
      </c>
      <c r="F461" s="20" t="n">
        <v>0.040404865</v>
      </c>
      <c r="G461" s="20" t="n">
        <v>0.043737225</v>
      </c>
      <c r="H461" s="7" t="n">
        <v>46289.83333333334</v>
      </c>
      <c r="I461" s="20" t="n">
        <v>0.040404865</v>
      </c>
      <c r="J461" s="2" t="inlineStr">
        <is>
          <t>止盈</t>
        </is>
      </c>
      <c r="K461" s="5">
        <f>(H461-D461)*24</f>
        <v/>
      </c>
      <c r="L461" s="4">
        <f>IF(C461="做多",I461/E461-1,1-I461/E461)-2*參數!$B$7</f>
        <v/>
      </c>
      <c r="M461" s="2" t="inlineStr"/>
      <c r="N461" s="4" t="n">
        <v>-0.06905668642332896</v>
      </c>
      <c r="O461" s="4" t="n">
        <v>0.07395234453436214</v>
      </c>
      <c r="P461" s="4" t="n">
        <v>-0.05485245662462679</v>
      </c>
      <c r="Q461" s="22" t="n">
        <v>-5637755</v>
      </c>
      <c r="R461" s="22" t="n">
        <v>4411045.3959551</v>
      </c>
      <c r="S461" s="4" t="n">
        <v>0.03</v>
      </c>
      <c r="T461" s="4" t="n">
        <v>0</v>
      </c>
      <c r="U461" s="19" t="n">
        <v>3.25239333410554</v>
      </c>
      <c r="V461" s="19" t="n">
        <v>0.6875828997041125</v>
      </c>
      <c r="W461" s="4" t="n">
        <v>0.1851251262186002</v>
      </c>
      <c r="X461" s="4" t="n">
        <v>0.1215651953858159</v>
      </c>
      <c r="Y461" s="4" t="n">
        <v>-0.002909959462414458</v>
      </c>
      <c r="Z461" s="4" t="n">
        <v>0.007343993866656406</v>
      </c>
      <c r="AA461" s="4" t="n">
        <v>0.03</v>
      </c>
      <c r="AB461" s="4" t="n">
        <v>0.05</v>
      </c>
      <c r="AC461" s="4">
        <f>(AB461+2*參數!$B$7)/(AA461+AB461)</f>
        <v/>
      </c>
    </row>
    <row r="462">
      <c r="A462" s="2" t="n">
        <v>461</v>
      </c>
      <c r="B462" s="2" t="inlineStr">
        <is>
          <t>BR_USDT_PERP</t>
        </is>
      </c>
      <c r="C462" s="2" t="inlineStr">
        <is>
          <t>做多</t>
        </is>
      </c>
      <c r="D462" s="7" t="n">
        <v>46289.83333333334</v>
      </c>
      <c r="E462" s="20" t="n">
        <v>1.08909</v>
      </c>
      <c r="F462" s="20" t="n">
        <v>1.1217627</v>
      </c>
      <c r="G462" s="20" t="n">
        <v>1.0346355</v>
      </c>
      <c r="H462" s="7" t="n">
        <v>46289.95833333334</v>
      </c>
      <c r="I462" s="20" t="n">
        <v>1.0346355</v>
      </c>
      <c r="J462" s="2" t="inlineStr">
        <is>
          <t>止損</t>
        </is>
      </c>
      <c r="K462" s="5">
        <f>(H462-D462)*24</f>
        <v/>
      </c>
      <c r="L462" s="4">
        <f>IF(C462="做多",I462/E462-1,1-I462/E462)-2*參數!$B$7</f>
        <v/>
      </c>
      <c r="M462" s="2" t="inlineStr"/>
      <c r="N462" s="4" t="n">
        <v>0.05270839777296632</v>
      </c>
      <c r="O462" s="4" t="n">
        <v>0.04364444251008415</v>
      </c>
      <c r="P462" s="4" t="n">
        <v>0.01181420761473584</v>
      </c>
      <c r="Q462" s="22" t="n">
        <v>258554</v>
      </c>
      <c r="R462" s="22" t="n">
        <v>2503346.69662</v>
      </c>
      <c r="S462" s="4" t="n">
        <v>0.002525043843943031</v>
      </c>
      <c r="T462" s="4" t="n">
        <v>0.05</v>
      </c>
      <c r="U462" s="19" t="n">
        <v>1.133758796772193</v>
      </c>
      <c r="V462" s="19" t="n">
        <v>0.7201076125946575</v>
      </c>
      <c r="W462" s="4" t="n">
        <v>-0.03888072480584182</v>
      </c>
      <c r="X462" s="4" t="n">
        <v>0.04146385778355777</v>
      </c>
      <c r="Y462" s="4" t="n">
        <v>-0.0002707442832226015</v>
      </c>
      <c r="Z462" s="4" t="n">
        <v>-0.007308890664622258</v>
      </c>
      <c r="AA462" s="4" t="n">
        <v>0.03</v>
      </c>
      <c r="AB462" s="4" t="n">
        <v>0.05</v>
      </c>
      <c r="AC462" s="4">
        <f>(AB462+2*參數!$B$7)/(AA462+AB462)</f>
        <v/>
      </c>
    </row>
    <row r="463">
      <c r="A463" s="2" t="n">
        <v>462</v>
      </c>
      <c r="B463" s="2" t="inlineStr">
        <is>
          <t>NEAR_USDT_PERP</t>
        </is>
      </c>
      <c r="C463" s="2" t="inlineStr">
        <is>
          <t>做多</t>
        </is>
      </c>
      <c r="D463" s="7" t="n">
        <v>46289.875</v>
      </c>
      <c r="E463" s="20" t="n">
        <v>4.413</v>
      </c>
      <c r="F463" s="20" t="n">
        <v>4.54539</v>
      </c>
      <c r="G463" s="20" t="n">
        <v>4.19235</v>
      </c>
      <c r="H463" s="7" t="n">
        <v>46289.95833333334</v>
      </c>
      <c r="I463" s="20" t="n">
        <v>4.54539</v>
      </c>
      <c r="J463" s="2" t="inlineStr">
        <is>
          <t>止盈</t>
        </is>
      </c>
      <c r="K463" s="5">
        <f>(H463-D463)*24</f>
        <v/>
      </c>
      <c r="L463" s="4">
        <f>IF(C463="做多",I463/E463-1,1-I463/E463)-2*參數!$B$7</f>
        <v/>
      </c>
      <c r="M463" s="2" t="inlineStr"/>
      <c r="N463" s="4" t="n">
        <v>0.0205827937095282</v>
      </c>
      <c r="O463" s="4" t="n">
        <v>0.03424419778699887</v>
      </c>
      <c r="P463" s="4" t="n">
        <v>0.01692571810441179</v>
      </c>
      <c r="Q463" s="22" t="n">
        <v>123578</v>
      </c>
      <c r="R463" s="22" t="n">
        <v>24892309.174</v>
      </c>
      <c r="S463" s="4" t="n">
        <v>0.03</v>
      </c>
      <c r="T463" s="4" t="n">
        <v>0.003852254702016888</v>
      </c>
      <c r="U463" s="19" t="n">
        <v>1.027297050563328</v>
      </c>
      <c r="V463" s="19" t="n">
        <v>0.828125000000004</v>
      </c>
      <c r="W463" s="4" t="n">
        <v>0.03017456708390331</v>
      </c>
      <c r="X463" s="4" t="n">
        <v>-0.06682173821103821</v>
      </c>
      <c r="Y463" s="4" t="n">
        <v>0.001319337096020501</v>
      </c>
      <c r="Z463" s="4" t="n">
        <v>-0.005737104573459662</v>
      </c>
      <c r="AA463" s="4" t="n">
        <v>0.03</v>
      </c>
      <c r="AB463" s="4" t="n">
        <v>0.05</v>
      </c>
      <c r="AC463" s="4">
        <f>(AB463+2*參數!$B$7)/(AA463+AB463)</f>
        <v/>
      </c>
    </row>
    <row r="464">
      <c r="A464" s="2" t="n">
        <v>463</v>
      </c>
      <c r="B464" s="2" t="inlineStr">
        <is>
          <t>ZRO_USDT_PERP</t>
        </is>
      </c>
      <c r="C464" s="2" t="inlineStr">
        <is>
          <t>做空</t>
        </is>
      </c>
      <c r="D464" s="7" t="n">
        <v>46289.875</v>
      </c>
      <c r="E464" s="20" t="n">
        <v>1.4433</v>
      </c>
      <c r="F464" s="20" t="n">
        <v>1.400001</v>
      </c>
      <c r="G464" s="20" t="n">
        <v>1.515465</v>
      </c>
      <c r="H464" s="7" t="n">
        <v>46290.58333333334</v>
      </c>
      <c r="I464" s="20" t="n">
        <v>1.515465</v>
      </c>
      <c r="J464" s="2" t="inlineStr">
        <is>
          <t>止損</t>
        </is>
      </c>
      <c r="K464" s="5">
        <f>(H464-D464)*24</f>
        <v/>
      </c>
      <c r="L464" s="4">
        <f>IF(C464="做多",I464/E464-1,1-I464/E464)-2*參數!$B$7</f>
        <v/>
      </c>
      <c r="M464" s="2" t="inlineStr"/>
      <c r="N464" s="4" t="n">
        <v>-0.02479729729729729</v>
      </c>
      <c r="O464" s="4" t="n">
        <v>0.03932315584493124</v>
      </c>
      <c r="P464" s="4" t="n">
        <v>-0.04837885506123596</v>
      </c>
      <c r="Q464" s="22" t="n">
        <v>-192954.6999999998</v>
      </c>
      <c r="R464" s="22" t="n">
        <v>2209209.26148</v>
      </c>
      <c r="S464" s="4" t="n">
        <v>0.01392641862398669</v>
      </c>
      <c r="T464" s="4" t="n">
        <v>0.05</v>
      </c>
      <c r="U464" s="19" t="n">
        <v>0.5040044134934606</v>
      </c>
      <c r="V464" s="19" t="n">
        <v>0.943127962085309</v>
      </c>
      <c r="W464" s="4" t="n">
        <v>-0.109202623721858</v>
      </c>
      <c r="X464" s="4" t="n">
        <v>0.01742800735244066</v>
      </c>
      <c r="Y464" s="4" t="n">
        <v>-0.001319337096020501</v>
      </c>
      <c r="Z464" s="4" t="n">
        <v>0.005737104573459662</v>
      </c>
      <c r="AA464" s="4" t="n">
        <v>0.03</v>
      </c>
      <c r="AB464" s="4" t="n">
        <v>0.05</v>
      </c>
      <c r="AC464" s="4">
        <f>(AB464+2*參數!$B$7)/(AA464+AB464)</f>
        <v/>
      </c>
    </row>
    <row r="465">
      <c r="A465" s="2" t="n">
        <v>464</v>
      </c>
      <c r="B465" s="2" t="inlineStr">
        <is>
          <t>AKE_USDT_PERP</t>
        </is>
      </c>
      <c r="C465" s="2" t="inlineStr">
        <is>
          <t>做多</t>
        </is>
      </c>
      <c r="D465" s="7" t="n">
        <v>46289.91666666666</v>
      </c>
      <c r="E465" s="20" t="n">
        <v>0.0435322</v>
      </c>
      <c r="F465" s="20" t="n">
        <v>0.044838166</v>
      </c>
      <c r="G465" s="20" t="n">
        <v>0.04135559</v>
      </c>
      <c r="H465" s="7" t="n">
        <v>46289.95833333334</v>
      </c>
      <c r="I465" s="20" t="n">
        <v>0.044838166</v>
      </c>
      <c r="J465" s="2" t="inlineStr">
        <is>
          <t>止盈</t>
        </is>
      </c>
      <c r="K465" s="5">
        <f>(H465-D465)*24</f>
        <v/>
      </c>
      <c r="L465" s="4">
        <f>IF(C465="做多",I465/E465-1,1-I465/E465)-2*參數!$B$7</f>
        <v/>
      </c>
      <c r="M465" s="2" t="inlineStr"/>
      <c r="N465" s="4" t="n">
        <v>0.06929822406720554</v>
      </c>
      <c r="O465" s="4" t="n">
        <v>0.06717465129234079</v>
      </c>
      <c r="P465" s="4" t="n">
        <v>0.005611202492440626</v>
      </c>
      <c r="Q465" s="22" t="n">
        <v>17114666</v>
      </c>
      <c r="R465" s="22" t="n">
        <v>4453000.0568312</v>
      </c>
      <c r="S465" s="4" t="n">
        <v>0.03</v>
      </c>
      <c r="T465" s="4" t="n">
        <v>0</v>
      </c>
      <c r="U465" s="19" t="n">
        <v>2.897780437222638</v>
      </c>
      <c r="V465" s="19" t="n">
        <v>0.8866136673893833</v>
      </c>
      <c r="W465" s="4" t="n">
        <v>-0.1311484927904638</v>
      </c>
      <c r="X465" s="4" t="n">
        <v>-0.1405630577272369</v>
      </c>
      <c r="Y465" s="4" t="n">
        <v>0.007848149437956087</v>
      </c>
      <c r="Z465" s="4" t="n">
        <v>0.002103578749267365</v>
      </c>
      <c r="AA465" s="4" t="n">
        <v>0.03</v>
      </c>
      <c r="AB465" s="4" t="n">
        <v>0.05</v>
      </c>
      <c r="AC465" s="4">
        <f>(AB465+2*參數!$B$7)/(AA465+AB465)</f>
        <v/>
      </c>
    </row>
    <row r="466">
      <c r="A466" s="2" t="n">
        <v>465</v>
      </c>
      <c r="B466" s="2" t="inlineStr">
        <is>
          <t>BTW_USDT_PERP</t>
        </is>
      </c>
      <c r="C466" s="2" t="inlineStr">
        <is>
          <t>做多</t>
        </is>
      </c>
      <c r="D466" s="7" t="n">
        <v>46289.91666666666</v>
      </c>
      <c r="E466" s="20" t="n">
        <v>1.04655</v>
      </c>
      <c r="F466" s="20" t="n">
        <v>1.0779465</v>
      </c>
      <c r="G466" s="20" t="n">
        <v>0.9942225</v>
      </c>
      <c r="H466" s="7" t="n">
        <v>46290.04166666666</v>
      </c>
      <c r="I466" s="20" t="n">
        <v>1.0779465</v>
      </c>
      <c r="J466" s="2" t="inlineStr">
        <is>
          <t>止盈</t>
        </is>
      </c>
      <c r="K466" s="5">
        <f>(H466-D466)*24</f>
        <v/>
      </c>
      <c r="L466" s="4">
        <f>IF(C466="做多",I466/E466-1,1-I466/E466)-2*參數!$B$7</f>
        <v/>
      </c>
      <c r="M466" s="2" t="inlineStr"/>
      <c r="N466" s="4" t="n">
        <v>0.02207438470936496</v>
      </c>
      <c r="O466" s="4" t="n">
        <v>0.0398799549072307</v>
      </c>
      <c r="P466" s="4" t="n">
        <v>0.01046839658830434</v>
      </c>
      <c r="Q466" s="22" t="n">
        <v>174713</v>
      </c>
      <c r="R466" s="22" t="n">
        <v>1317818.61912</v>
      </c>
      <c r="S466" s="4" t="n">
        <v>0.03</v>
      </c>
      <c r="T466" s="4" t="n">
        <v>0.02183459939802224</v>
      </c>
      <c r="U466" s="19" t="n">
        <v>2.406160832314274</v>
      </c>
      <c r="V466" s="19" t="n">
        <v>0.693454128568637</v>
      </c>
      <c r="W466" s="4" t="n">
        <v>0.1880310494818025</v>
      </c>
      <c r="X466" s="4" t="n">
        <v>0.09078231359874267</v>
      </c>
      <c r="Y466" s="4" t="n">
        <v>0.007848149437956087</v>
      </c>
      <c r="Z466" s="4" t="n">
        <v>0.002103578749267365</v>
      </c>
      <c r="AA466" s="4" t="n">
        <v>0.03</v>
      </c>
      <c r="AB466" s="4" t="n">
        <v>0.05</v>
      </c>
      <c r="AC466" s="4">
        <f>(AB466+2*參數!$B$7)/(AA466+AB466)</f>
        <v/>
      </c>
    </row>
    <row r="467">
      <c r="A467" s="2" t="n">
        <v>466</v>
      </c>
      <c r="B467" s="2" t="inlineStr">
        <is>
          <t>FET_USDT_PERP</t>
        </is>
      </c>
      <c r="C467" s="2" t="inlineStr">
        <is>
          <t>做多</t>
        </is>
      </c>
      <c r="D467" s="7" t="n">
        <v>46289.91666666666</v>
      </c>
      <c r="E467" s="20" t="n">
        <v>0.2057</v>
      </c>
      <c r="F467" s="20" t="n">
        <v>0.211871</v>
      </c>
      <c r="G467" s="20" t="n">
        <v>0.195415</v>
      </c>
      <c r="H467" s="7" t="n">
        <v>46289.95833333334</v>
      </c>
      <c r="I467" s="20" t="n">
        <v>0.211871</v>
      </c>
      <c r="J467" s="2" t="inlineStr">
        <is>
          <t>止盈</t>
        </is>
      </c>
      <c r="K467" s="5">
        <f>(H467-D467)*24</f>
        <v/>
      </c>
      <c r="L467" s="4">
        <f>IF(C467="做多",I467/E467-1,1-I467/E467)-2*參數!$B$7</f>
        <v/>
      </c>
      <c r="M467" s="2" t="inlineStr"/>
      <c r="N467" s="4" t="n">
        <v>0.02695956065901139</v>
      </c>
      <c r="O467" s="4" t="n">
        <v>0.02050156468391708</v>
      </c>
      <c r="P467" s="4" t="n">
        <v>0.04445403539059134</v>
      </c>
      <c r="Q467" s="22" t="n">
        <v>863529</v>
      </c>
      <c r="R467" s="22" t="n">
        <v>2547213.1606</v>
      </c>
      <c r="S467" s="4" t="n">
        <v>0.03</v>
      </c>
      <c r="T467" s="4" t="n">
        <v>0</v>
      </c>
      <c r="U467" s="19" t="n">
        <v>2.455057982955989</v>
      </c>
      <c r="V467" s="19" t="n">
        <v>0.7941176470588217</v>
      </c>
      <c r="W467" s="4" t="n">
        <v>0.04631880932276666</v>
      </c>
      <c r="X467" s="4" t="n">
        <v>0.006852667645619093</v>
      </c>
      <c r="Y467" s="4" t="n">
        <v>0.007848149437956087</v>
      </c>
      <c r="Z467" s="4" t="n">
        <v>0.002103578749267365</v>
      </c>
      <c r="AA467" s="4" t="n">
        <v>0.03</v>
      </c>
      <c r="AB467" s="4" t="n">
        <v>0.05</v>
      </c>
      <c r="AC467" s="4">
        <f>(AB467+2*參數!$B$7)/(AA467+AB467)</f>
        <v/>
      </c>
    </row>
    <row r="468">
      <c r="A468" s="2" t="n">
        <v>467</v>
      </c>
      <c r="B468" s="2" t="inlineStr">
        <is>
          <t>RAY_USDT_PERP</t>
        </is>
      </c>
      <c r="C468" s="2" t="inlineStr">
        <is>
          <t>做多</t>
        </is>
      </c>
      <c r="D468" s="7" t="n">
        <v>46289.91666666666</v>
      </c>
      <c r="E468" s="20" t="n">
        <v>2.08</v>
      </c>
      <c r="F468" s="20" t="n">
        <v>2.1424</v>
      </c>
      <c r="G468" s="20" t="n">
        <v>1.976</v>
      </c>
      <c r="H468" s="7" t="n">
        <v>46290.125</v>
      </c>
      <c r="I468" s="20" t="n">
        <v>2.1424</v>
      </c>
      <c r="J468" s="2" t="inlineStr">
        <is>
          <t>止盈</t>
        </is>
      </c>
      <c r="K468" s="5">
        <f>(H468-D468)*24</f>
        <v/>
      </c>
      <c r="L468" s="4">
        <f>IF(C468="做多",I468/E468-1,1-I468/E468)-2*參數!$B$7</f>
        <v/>
      </c>
      <c r="M468" s="2" t="inlineStr"/>
      <c r="N468" s="4" t="n">
        <v>0.03328365623447604</v>
      </c>
      <c r="O468" s="4" t="n">
        <v>0.0318429980169869</v>
      </c>
      <c r="P468" s="4" t="n">
        <v>0.02228884574742596</v>
      </c>
      <c r="Q468" s="22" t="n">
        <v>53020.70000000019</v>
      </c>
      <c r="R468" s="22" t="n">
        <v>2538526.6319</v>
      </c>
      <c r="S468" s="4" t="n">
        <v>0.03</v>
      </c>
      <c r="T468" s="4" t="n">
        <v>0.03125</v>
      </c>
      <c r="U468" s="19" t="n">
        <v>1.734208095402272</v>
      </c>
      <c r="V468" s="19" t="n">
        <v>0.8831168831168844</v>
      </c>
      <c r="W468" s="4" t="n">
        <v>0.1397447629276101</v>
      </c>
      <c r="X468" s="4" t="n">
        <v>0.05852417302798973</v>
      </c>
      <c r="Y468" s="4" t="n">
        <v>0.007848149437956087</v>
      </c>
      <c r="Z468" s="4" t="n">
        <v>0.002103578749267365</v>
      </c>
      <c r="AA468" s="4" t="n">
        <v>0.03</v>
      </c>
      <c r="AB468" s="4" t="n">
        <v>0.05</v>
      </c>
      <c r="AC468" s="4">
        <f>(AB468+2*參數!$B$7)/(AA468+AB468)</f>
        <v/>
      </c>
    </row>
    <row r="469">
      <c r="A469" s="2" t="n">
        <v>468</v>
      </c>
      <c r="B469" s="2" t="inlineStr">
        <is>
          <t>ARB_USDT_PERP</t>
        </is>
      </c>
      <c r="C469" s="2" t="inlineStr">
        <is>
          <t>做空</t>
        </is>
      </c>
      <c r="D469" s="7" t="n">
        <v>46289.95833333334</v>
      </c>
      <c r="E469" s="20" t="n">
        <v>0.2135</v>
      </c>
      <c r="F469" s="20" t="n">
        <v>0.207095</v>
      </c>
      <c r="G469" s="20" t="n">
        <v>0.224175</v>
      </c>
      <c r="H469" s="7" t="n">
        <v>46290.83333333334</v>
      </c>
      <c r="I469" s="20" t="n">
        <v>0.224175</v>
      </c>
      <c r="J469" s="2" t="inlineStr">
        <is>
          <t>止損</t>
        </is>
      </c>
      <c r="K469" s="5">
        <f>(H469-D469)*24</f>
        <v/>
      </c>
      <c r="L469" s="4">
        <f>IF(C469="做多",I469/E469-1,1-I469/E469)-2*參數!$B$7</f>
        <v/>
      </c>
      <c r="M469" s="2" t="inlineStr"/>
      <c r="N469" s="4" t="n">
        <v>-0.0246687985381453</v>
      </c>
      <c r="O469" s="4" t="n">
        <v>0.02285155998277313</v>
      </c>
      <c r="P469" s="4" t="n">
        <v>-0.01305905466312274</v>
      </c>
      <c r="Q469" s="22" t="n">
        <v>-1877563.399999999</v>
      </c>
      <c r="R469" s="22" t="n">
        <v>2380631.63238</v>
      </c>
      <c r="S469" s="4" t="n">
        <v>0.003747072599531553</v>
      </c>
      <c r="T469" s="4" t="n">
        <v>0.05</v>
      </c>
      <c r="U469" s="19" t="n">
        <v>5.594306313809234</v>
      </c>
      <c r="V469" s="19" t="n">
        <v>0.8695652173913043</v>
      </c>
      <c r="W469" s="4" t="n">
        <v>0.03880352423700817</v>
      </c>
      <c r="X469" s="4" t="n">
        <v>0.05572755417956654</v>
      </c>
      <c r="Y469" s="4" t="n">
        <v>0.006905977303842681</v>
      </c>
      <c r="Z469" s="4" t="n">
        <v>0.004434408342318008</v>
      </c>
      <c r="AA469" s="4" t="n">
        <v>0.03</v>
      </c>
      <c r="AB469" s="4" t="n">
        <v>0.05</v>
      </c>
      <c r="AC469" s="4">
        <f>(AB469+2*參數!$B$7)/(AA469+AB469)</f>
        <v/>
      </c>
    </row>
    <row r="470">
      <c r="A470" s="2" t="n">
        <v>469</v>
      </c>
      <c r="B470" s="2" t="inlineStr">
        <is>
          <t>NOM_USDT_PERP</t>
        </is>
      </c>
      <c r="C470" s="2" t="inlineStr">
        <is>
          <t>做空</t>
        </is>
      </c>
      <c r="D470" s="7" t="n">
        <v>46289.95833333334</v>
      </c>
      <c r="E470" s="20" t="n">
        <v>0.00231</v>
      </c>
      <c r="F470" s="20" t="n">
        <v>0.0022407</v>
      </c>
      <c r="G470" s="20" t="n">
        <v>0.0024255</v>
      </c>
      <c r="H470" s="7" t="n">
        <v>46290.04166666666</v>
      </c>
      <c r="I470" s="20" t="n">
        <v>0.0024255</v>
      </c>
      <c r="J470" s="2" t="inlineStr">
        <is>
          <t>止損</t>
        </is>
      </c>
      <c r="K470" s="5">
        <f>(H470-D470)*24</f>
        <v/>
      </c>
      <c r="L470" s="4">
        <f>IF(C470="做多",I470/E470-1,1-I470/E470)-2*參數!$B$7</f>
        <v/>
      </c>
      <c r="M470" s="2" t="inlineStr"/>
      <c r="N470" s="4" t="n">
        <v>-0.08514851485148511</v>
      </c>
      <c r="O470" s="4" t="n">
        <v>0.07525866608251626</v>
      </c>
      <c r="P470" s="4" t="n">
        <v>-0.02533701820636691</v>
      </c>
      <c r="Q470" s="22" t="n">
        <v>-281997417</v>
      </c>
      <c r="R470" s="22" t="n">
        <v>2969493.322377</v>
      </c>
      <c r="S470" s="4" t="n">
        <v>0.02813852813852813</v>
      </c>
      <c r="T470" s="4" t="n">
        <v>0.05</v>
      </c>
      <c r="U470" s="19" t="n">
        <v>1.411860717339981</v>
      </c>
      <c r="V470" s="19" t="n">
        <v>0.8519855595667877</v>
      </c>
      <c r="W470" s="4" t="n">
        <v>-0.2378558835665254</v>
      </c>
      <c r="X470" s="4" t="n">
        <v>-0.3445867287543656</v>
      </c>
      <c r="Y470" s="4" t="n">
        <v>0.006905977303842681</v>
      </c>
      <c r="Z470" s="4" t="n">
        <v>0.004434408342318008</v>
      </c>
      <c r="AA470" s="4" t="n">
        <v>0.03</v>
      </c>
      <c r="AB470" s="4" t="n">
        <v>0.05</v>
      </c>
      <c r="AC470" s="4">
        <f>(AB470+2*參數!$B$7)/(AA470+AB470)</f>
        <v/>
      </c>
    </row>
    <row r="471">
      <c r="A471" s="2" t="n">
        <v>470</v>
      </c>
      <c r="B471" s="2" t="inlineStr">
        <is>
          <t>PONS_USDT_PERP</t>
        </is>
      </c>
      <c r="C471" s="2" t="inlineStr">
        <is>
          <t>做多</t>
        </is>
      </c>
      <c r="D471" s="7" t="n">
        <v>46290</v>
      </c>
      <c r="E471" s="20" t="n">
        <v>0.6308</v>
      </c>
      <c r="F471" s="20" t="n">
        <v>0.6497240000000001</v>
      </c>
      <c r="G471" s="20" t="n">
        <v>0.59926</v>
      </c>
      <c r="H471" s="7" t="n">
        <v>46290.70833333334</v>
      </c>
      <c r="I471" s="20" t="n">
        <v>0.6497240000000001</v>
      </c>
      <c r="J471" s="2" t="inlineStr">
        <is>
          <t>止盈</t>
        </is>
      </c>
      <c r="K471" s="5">
        <f>(H471-D471)*24</f>
        <v/>
      </c>
      <c r="L471" s="4">
        <f>IF(C471="做多",I471/E471-1,1-I471/E471)-2*參數!$B$7</f>
        <v/>
      </c>
      <c r="M471" s="2" t="inlineStr"/>
      <c r="N471" s="4" t="n">
        <v>0.02402597402597406</v>
      </c>
      <c r="O471" s="4" t="n">
        <v>0.02899680939445867</v>
      </c>
      <c r="P471" s="4" t="n">
        <v>0.004818605392059361</v>
      </c>
      <c r="Q471" s="22" t="n">
        <v>189491</v>
      </c>
      <c r="R471" s="22" t="n">
        <v>2095102.2901</v>
      </c>
      <c r="S471" s="4" t="n">
        <v>0.03</v>
      </c>
      <c r="T471" s="4" t="n">
        <v>0.04153455928979077</v>
      </c>
      <c r="U471" s="19" t="n">
        <v>1.192010011000049</v>
      </c>
      <c r="V471" s="19" t="n">
        <v>0.7916666666666686</v>
      </c>
      <c r="W471" s="4" t="n">
        <v>0.0002283336716055739</v>
      </c>
      <c r="X471" s="4" t="n">
        <v>-0.04871060171919772</v>
      </c>
      <c r="Y471" s="4" t="n">
        <v>0.008835981935857218</v>
      </c>
      <c r="Z471" s="4" t="n">
        <v>0.004416433377234297</v>
      </c>
      <c r="AA471" s="4" t="n">
        <v>0.03</v>
      </c>
      <c r="AB471" s="4" t="n">
        <v>0.05</v>
      </c>
      <c r="AC471" s="4">
        <f>(AB471+2*參數!$B$7)/(AA471+AB471)</f>
        <v/>
      </c>
    </row>
    <row r="472">
      <c r="A472" s="2" t="n">
        <v>471</v>
      </c>
      <c r="B472" s="2" t="inlineStr">
        <is>
          <t>USELESS_USDT_PERP</t>
        </is>
      </c>
      <c r="C472" s="2" t="inlineStr">
        <is>
          <t>做多</t>
        </is>
      </c>
      <c r="D472" s="7" t="n">
        <v>46290</v>
      </c>
      <c r="E472" s="20" t="n">
        <v>0.29391</v>
      </c>
      <c r="F472" s="20" t="n">
        <v>0.3027273</v>
      </c>
      <c r="G472" s="20" t="n">
        <v>0.2792145</v>
      </c>
      <c r="H472" s="7" t="n">
        <v>46290.04166666666</v>
      </c>
      <c r="I472" s="20" t="n">
        <v>0.3027273</v>
      </c>
      <c r="J472" s="2" t="inlineStr">
        <is>
          <t>止盈</t>
        </is>
      </c>
      <c r="K472" s="5">
        <f>(H472-D472)*24</f>
        <v/>
      </c>
      <c r="L472" s="4">
        <f>IF(C472="做多",I472/E472-1,1-I472/E472)-2*參數!$B$7</f>
        <v/>
      </c>
      <c r="M472" s="2" t="inlineStr"/>
      <c r="N472" s="4" t="n">
        <v>0.05563537102219662</v>
      </c>
      <c r="O472" s="4" t="n">
        <v>0.0422680886464745</v>
      </c>
      <c r="P472" s="4" t="n">
        <v>0.008335034419111986</v>
      </c>
      <c r="Q472" s="22" t="n">
        <v>178371</v>
      </c>
      <c r="R472" s="22" t="n">
        <v>2769002.43398</v>
      </c>
      <c r="S472" s="4" t="n">
        <v>0.03</v>
      </c>
      <c r="T472" s="4" t="n">
        <v>0</v>
      </c>
      <c r="U472" s="19" t="n">
        <v>1.327586493956245</v>
      </c>
      <c r="V472" s="19" t="n">
        <v>0.9048404840484044</v>
      </c>
      <c r="W472" s="4" t="n">
        <v>0.01004755206688435</v>
      </c>
      <c r="X472" s="4" t="n">
        <v>0.006989413094870889</v>
      </c>
      <c r="Y472" s="4" t="n">
        <v>0.008835981935857218</v>
      </c>
      <c r="Z472" s="4" t="n">
        <v>0.004416433377234297</v>
      </c>
      <c r="AA472" s="4" t="n">
        <v>0.03</v>
      </c>
      <c r="AB472" s="4" t="n">
        <v>0.05</v>
      </c>
      <c r="AC472" s="4">
        <f>(AB472+2*參數!$B$7)/(AA472+AB472)</f>
        <v/>
      </c>
    </row>
    <row r="473">
      <c r="A473" s="2" t="n">
        <v>472</v>
      </c>
      <c r="B473" s="2" t="inlineStr">
        <is>
          <t>LSK_USDT_PERP</t>
        </is>
      </c>
      <c r="C473" s="2" t="inlineStr">
        <is>
          <t>做多</t>
        </is>
      </c>
      <c r="D473" s="7" t="n">
        <v>46290.04166666666</v>
      </c>
      <c r="E473" s="20" t="n">
        <v>0.3986</v>
      </c>
      <c r="F473" s="20" t="n">
        <v>0.410558</v>
      </c>
      <c r="G473" s="20" t="n">
        <v>0.37867</v>
      </c>
      <c r="H473" s="7" t="n">
        <v>46290.125</v>
      </c>
      <c r="I473" s="20" t="n">
        <v>0.410558</v>
      </c>
      <c r="J473" s="2" t="inlineStr">
        <is>
          <t>止盈</t>
        </is>
      </c>
      <c r="K473" s="5">
        <f>(H473-D473)*24</f>
        <v/>
      </c>
      <c r="L473" s="4">
        <f>IF(C473="做多",I473/E473-1,1-I473/E473)-2*參數!$B$7</f>
        <v/>
      </c>
      <c r="M473" s="2" t="inlineStr"/>
      <c r="N473" s="4" t="n">
        <v>0.02494214451015675</v>
      </c>
      <c r="O473" s="4" t="n">
        <v>0.0595446166525628</v>
      </c>
      <c r="P473" s="4" t="n">
        <v>0.05585208534760211</v>
      </c>
      <c r="Q473" s="22" t="n">
        <v>1041316</v>
      </c>
      <c r="R473" s="22" t="n">
        <v>3556266.2393</v>
      </c>
      <c r="S473" s="4" t="n">
        <v>0.03</v>
      </c>
      <c r="T473" s="4" t="n">
        <v>0.01053687907676881</v>
      </c>
      <c r="U473" s="19" t="n">
        <v>0.4397389108666577</v>
      </c>
      <c r="V473" s="19" t="n">
        <v>0.8101265822784813</v>
      </c>
      <c r="W473" s="4" t="n">
        <v>0.1272751954207627</v>
      </c>
      <c r="X473" s="4" t="n">
        <v>0.3357908847184987</v>
      </c>
      <c r="Y473" s="4" t="n">
        <v>0.0008260809274862613</v>
      </c>
      <c r="Z473" s="4" t="n">
        <v>0.005099172665454121</v>
      </c>
      <c r="AA473" s="4" t="n">
        <v>0.03</v>
      </c>
      <c r="AB473" s="4" t="n">
        <v>0.05</v>
      </c>
      <c r="AC473" s="4">
        <f>(AB473+2*參數!$B$7)/(AA473+AB473)</f>
        <v/>
      </c>
    </row>
    <row r="474">
      <c r="A474" s="2" t="n">
        <v>473</v>
      </c>
      <c r="B474" s="2" t="inlineStr">
        <is>
          <t>LIT_USDT_PERP</t>
        </is>
      </c>
      <c r="C474" s="2" t="inlineStr">
        <is>
          <t>做多</t>
        </is>
      </c>
      <c r="D474" s="7" t="n">
        <v>46290.125</v>
      </c>
      <c r="E474" s="20" t="n">
        <v>5.401</v>
      </c>
      <c r="F474" s="20" t="n">
        <v>5.56303</v>
      </c>
      <c r="G474" s="20" t="n">
        <v>5.130949999999999</v>
      </c>
      <c r="H474" s="7" t="n">
        <v>46290.25</v>
      </c>
      <c r="I474" s="20" t="n">
        <v>5.130949999999999</v>
      </c>
      <c r="J474" s="2" t="inlineStr">
        <is>
          <t>止損</t>
        </is>
      </c>
      <c r="K474" s="5">
        <f>(H474-D474)*24</f>
        <v/>
      </c>
      <c r="L474" s="4">
        <f>IF(C474="做多",I474/E474-1,1-I474/E474)-2*參數!$B$7</f>
        <v/>
      </c>
      <c r="M474" s="2" t="inlineStr"/>
      <c r="N474" s="4" t="n">
        <v>0.02194891201513705</v>
      </c>
      <c r="O474" s="4" t="n">
        <v>0.0319402837590255</v>
      </c>
      <c r="P474" s="4" t="n">
        <v>0.02925202477370159</v>
      </c>
      <c r="Q474" s="22" t="n">
        <v>96931.70000000019</v>
      </c>
      <c r="R474" s="22" t="n">
        <v>8411378.3731</v>
      </c>
      <c r="S474" s="4" t="n">
        <v>0.01851508979818561</v>
      </c>
      <c r="T474" s="4" t="n">
        <v>0.05</v>
      </c>
      <c r="U474" s="19" t="n">
        <v>1.176937493109911</v>
      </c>
      <c r="V474" s="19" t="n">
        <v>0.9239130434782596</v>
      </c>
      <c r="W474" s="4" t="n">
        <v>0.07778360914828952</v>
      </c>
      <c r="X474" s="4" t="n">
        <v>0.0003704389701795208</v>
      </c>
      <c r="Y474" s="4" t="n">
        <v>0.004318793830226708</v>
      </c>
      <c r="Z474" s="4" t="n">
        <v>0.005252073765828813</v>
      </c>
      <c r="AA474" s="4" t="n">
        <v>0.03</v>
      </c>
      <c r="AB474" s="4" t="n">
        <v>0.05</v>
      </c>
      <c r="AC474" s="4">
        <f>(AB474+2*參數!$B$7)/(AA474+AB474)</f>
        <v/>
      </c>
    </row>
    <row r="475">
      <c r="A475" s="2" t="n">
        <v>474</v>
      </c>
      <c r="B475" s="2" t="inlineStr">
        <is>
          <t>BR_USDT_PERP</t>
        </is>
      </c>
      <c r="C475" s="2" t="inlineStr">
        <is>
          <t>做空</t>
        </is>
      </c>
      <c r="D475" s="7" t="n">
        <v>46290.20833333334</v>
      </c>
      <c r="E475" s="20" t="n">
        <v>0.9938900000000001</v>
      </c>
      <c r="F475" s="20" t="n">
        <v>0.9640733</v>
      </c>
      <c r="G475" s="20" t="n">
        <v>1.0435845</v>
      </c>
      <c r="H475" s="7" t="n">
        <v>46290.29166666666</v>
      </c>
      <c r="I475" s="20" t="n">
        <v>1.0435845</v>
      </c>
      <c r="J475" s="2" t="inlineStr">
        <is>
          <t>止損</t>
        </is>
      </c>
      <c r="K475" s="5">
        <f>(H475-D475)*24</f>
        <v/>
      </c>
      <c r="L475" s="4">
        <f>IF(C475="做多",I475/E475-1,1-I475/E475)-2*參數!$B$7</f>
        <v/>
      </c>
      <c r="M475" s="2" t="inlineStr"/>
      <c r="N475" s="4" t="n">
        <v>-0.03897698704312513</v>
      </c>
      <c r="O475" s="4" t="n">
        <v>0.04357520576966527</v>
      </c>
      <c r="P475" s="4" t="n">
        <v>-0.05290050352390496</v>
      </c>
      <c r="Q475" s="22" t="n">
        <v>-193441</v>
      </c>
      <c r="R475" s="22" t="n">
        <v>1515788.63546</v>
      </c>
      <c r="S475" s="4" t="n">
        <v>0.009659016591373359</v>
      </c>
      <c r="T475" s="4" t="n">
        <v>0.05</v>
      </c>
      <c r="U475" s="19" t="n">
        <v>1.755483444191534</v>
      </c>
      <c r="V475" s="19" t="n">
        <v>0.6123360312587216</v>
      </c>
      <c r="W475" s="4" t="n">
        <v>0.1117944675829423</v>
      </c>
      <c r="X475" s="4" t="n">
        <v>0.1162751409314815</v>
      </c>
      <c r="Y475" s="4" t="n">
        <v>0.0007217281656491936</v>
      </c>
      <c r="Z475" s="4" t="n">
        <v>-0.003811858624979791</v>
      </c>
      <c r="AA475" s="4" t="n">
        <v>0.03</v>
      </c>
      <c r="AB475" s="4" t="n">
        <v>0.05</v>
      </c>
      <c r="AC475" s="4">
        <f>(AB475+2*參數!$B$7)/(AA475+AB475)</f>
        <v/>
      </c>
    </row>
    <row r="476">
      <c r="A476" s="2" t="n">
        <v>475</v>
      </c>
      <c r="B476" s="2" t="inlineStr">
        <is>
          <t>AKE_USDT_PERP</t>
        </is>
      </c>
      <c r="C476" s="2" t="inlineStr">
        <is>
          <t>做空</t>
        </is>
      </c>
      <c r="D476" s="7" t="n">
        <v>46290.54166666666</v>
      </c>
      <c r="E476" s="20" t="n">
        <v>0.0379</v>
      </c>
      <c r="F476" s="20" t="n">
        <v>0.036763</v>
      </c>
      <c r="G476" s="20" t="n">
        <v>0.039795</v>
      </c>
      <c r="H476" s="7" t="n">
        <v>46290.55555555555</v>
      </c>
      <c r="I476" s="20" t="n">
        <v>0.036763</v>
      </c>
      <c r="J476" s="2" t="inlineStr">
        <is>
          <t>止盈</t>
        </is>
      </c>
      <c r="K476" s="5">
        <f>(H476-D476)*24</f>
        <v/>
      </c>
      <c r="L476" s="4">
        <f>IF(C476="做多",I476/E476-1,1-I476/E476)-2*參數!$B$7</f>
        <v/>
      </c>
      <c r="M476" s="2" t="inlineStr">
        <is>
          <t>同1h觸發；5分K判定先止盈</t>
        </is>
      </c>
      <c r="N476" s="4" t="n">
        <v>-0.02660776659132924</v>
      </c>
      <c r="O476" s="4" t="n">
        <v>0.063000383806915</v>
      </c>
      <c r="P476" s="4" t="n">
        <v>-0.03568610234118363</v>
      </c>
      <c r="Q476" s="22" t="n">
        <v>-16460456</v>
      </c>
      <c r="R476" s="22" t="n">
        <v>7609879.650048</v>
      </c>
      <c r="S476" s="4" t="n">
        <v>0.03</v>
      </c>
      <c r="T476" s="4" t="n">
        <v>0</v>
      </c>
      <c r="U476" s="19" t="n">
        <v>1.203433244084989</v>
      </c>
      <c r="V476" s="19" t="n">
        <v>0.5926286978365998</v>
      </c>
      <c r="W476" s="4" t="n">
        <v>0.1964968790369935</v>
      </c>
      <c r="X476" s="4" t="n">
        <v>0.07809440410600699</v>
      </c>
      <c r="Y476" s="4" t="n">
        <v>0.0003515393504360809</v>
      </c>
      <c r="Z476" s="4" t="n">
        <v>-0.0007319587156975338</v>
      </c>
      <c r="AA476" s="4" t="n">
        <v>0.03</v>
      </c>
      <c r="AB476" s="4" t="n">
        <v>0.05</v>
      </c>
      <c r="AC476" s="4">
        <f>(AB476+2*參數!$B$7)/(AA476+AB476)</f>
        <v/>
      </c>
    </row>
    <row r="477">
      <c r="A477" s="2" t="n">
        <v>476</v>
      </c>
      <c r="B477" s="2" t="inlineStr">
        <is>
          <t>BR_USDT_PERP</t>
        </is>
      </c>
      <c r="C477" s="2" t="inlineStr">
        <is>
          <t>做多</t>
        </is>
      </c>
      <c r="D477" s="7" t="n">
        <v>46290.625</v>
      </c>
      <c r="E477" s="20" t="n">
        <v>1.02364</v>
      </c>
      <c r="F477" s="20" t="n">
        <v>1.0543492</v>
      </c>
      <c r="G477" s="20" t="n">
        <v>0.972458</v>
      </c>
      <c r="H477" s="7" t="n">
        <v>46290.70833333334</v>
      </c>
      <c r="I477" s="20" t="n">
        <v>0.972458</v>
      </c>
      <c r="J477" s="2" t="inlineStr">
        <is>
          <t>止損</t>
        </is>
      </c>
      <c r="K477" s="5">
        <f>(H477-D477)*24</f>
        <v/>
      </c>
      <c r="L477" s="4">
        <f>IF(C477="做多",I477/E477-1,1-I477/E477)-2*參數!$B$7</f>
        <v/>
      </c>
      <c r="M477" s="2" t="inlineStr"/>
      <c r="N477" s="4" t="n">
        <v>0.04158653601554807</v>
      </c>
      <c r="O477" s="4" t="n">
        <v>0.05290948103258551</v>
      </c>
      <c r="P477" s="4" t="n">
        <v>0.01389545082214849</v>
      </c>
      <c r="Q477" s="22" t="n">
        <v>577884</v>
      </c>
      <c r="R477" s="22" t="n">
        <v>2055202.94727</v>
      </c>
      <c r="S477" s="4" t="n">
        <v>0.004269078973076379</v>
      </c>
      <c r="T477" s="4" t="n">
        <v>0.05</v>
      </c>
      <c r="U477" s="19" t="n">
        <v>2.294172520615029</v>
      </c>
      <c r="V477" s="19" t="n">
        <v>0.8054358013120927</v>
      </c>
      <c r="W477" s="4" t="n">
        <v>-0.06984605263397003</v>
      </c>
      <c r="X477" s="4" t="n">
        <v>-0.026328805691892</v>
      </c>
      <c r="Y477" s="4" t="n">
        <v>-0.001816948121318496</v>
      </c>
      <c r="Z477" s="4" t="n">
        <v>-0.00217444888916607</v>
      </c>
      <c r="AA477" s="4" t="n">
        <v>0.03</v>
      </c>
      <c r="AB477" s="4" t="n">
        <v>0.05</v>
      </c>
      <c r="AC477" s="4">
        <f>(AB477+2*參數!$B$7)/(AA477+AB477)</f>
        <v/>
      </c>
    </row>
    <row r="478">
      <c r="A478" s="2" t="n">
        <v>477</v>
      </c>
      <c r="B478" s="2" t="inlineStr">
        <is>
          <t>BROCCOLI_USDT_PERP</t>
        </is>
      </c>
      <c r="C478" s="2" t="inlineStr">
        <is>
          <t>做多</t>
        </is>
      </c>
      <c r="D478" s="7" t="n">
        <v>46290.66666666666</v>
      </c>
      <c r="E478" s="20" t="n">
        <v>0.03165</v>
      </c>
      <c r="F478" s="20" t="n">
        <v>0.0325995</v>
      </c>
      <c r="G478" s="20" t="n">
        <v>0.0300675</v>
      </c>
      <c r="H478" s="7" t="n">
        <v>46290.70833333334</v>
      </c>
      <c r="I478" s="20" t="n">
        <v>0.0325995</v>
      </c>
      <c r="J478" s="2" t="inlineStr">
        <is>
          <t>止盈</t>
        </is>
      </c>
      <c r="K478" s="5">
        <f>(H478-D478)*24</f>
        <v/>
      </c>
      <c r="L478" s="4">
        <f>IF(C478="做多",I478/E478-1,1-I478/E478)-2*參數!$B$7</f>
        <v/>
      </c>
      <c r="M478" s="2" t="inlineStr"/>
      <c r="N478" s="4" t="n">
        <v>0.08390410958904093</v>
      </c>
      <c r="O478" s="4" t="n">
        <v>0.04535571370866524</v>
      </c>
      <c r="P478" s="4" t="n">
        <v>0.05081425654476335</v>
      </c>
      <c r="Q478" s="22" t="n">
        <v>15519801</v>
      </c>
      <c r="R478" s="22" t="n">
        <v>1617523.05954</v>
      </c>
      <c r="S478" s="4" t="n">
        <v>0.03</v>
      </c>
      <c r="T478" s="4" t="n">
        <v>0</v>
      </c>
      <c r="U478" s="19" t="n">
        <v>1.243166835409191</v>
      </c>
      <c r="V478" s="19" t="n">
        <v>0.8025889967637539</v>
      </c>
      <c r="W478" s="4" t="n">
        <v>0.2945579483403888</v>
      </c>
      <c r="X478" s="4" t="n">
        <v>0.2554541848472827</v>
      </c>
      <c r="Y478" s="4" t="n">
        <v>-5.476242630875205e-05</v>
      </c>
      <c r="Z478" s="4" t="n">
        <v>-0.002551139462646734</v>
      </c>
      <c r="AA478" s="4" t="n">
        <v>0.03</v>
      </c>
      <c r="AB478" s="4" t="n">
        <v>0.05</v>
      </c>
      <c r="AC478" s="4">
        <f>(AB478+2*參數!$B$7)/(AA478+AB478)</f>
        <v/>
      </c>
    </row>
    <row r="479">
      <c r="A479" s="2" t="n">
        <v>478</v>
      </c>
      <c r="B479" s="2" t="inlineStr">
        <is>
          <t>ENA_USDT_PERP</t>
        </is>
      </c>
      <c r="C479" s="2" t="inlineStr">
        <is>
          <t>做多</t>
        </is>
      </c>
      <c r="D479" s="7" t="n">
        <v>46290.79166666666</v>
      </c>
      <c r="E479" s="20" t="n">
        <v>0.2287</v>
      </c>
      <c r="F479" s="20" t="n">
        <v>0.235561</v>
      </c>
      <c r="G479" s="20" t="n">
        <v>0.217265</v>
      </c>
      <c r="H479" s="7" t="n">
        <v>46290.83333333334</v>
      </c>
      <c r="I479" s="20" t="n">
        <v>0.235561</v>
      </c>
      <c r="J479" s="2" t="inlineStr">
        <is>
          <t>止盈</t>
        </is>
      </c>
      <c r="K479" s="5">
        <f>(H479-D479)*24</f>
        <v/>
      </c>
      <c r="L479" s="4">
        <f>IF(C479="做多",I479/E479-1,1-I479/E479)-2*參數!$B$7</f>
        <v/>
      </c>
      <c r="M479" s="2" t="inlineStr"/>
      <c r="N479" s="4" t="n">
        <v>0.02143814202769101</v>
      </c>
      <c r="O479" s="4" t="n">
        <v>0.02406050556280026</v>
      </c>
      <c r="P479" s="4" t="n">
        <v>0.02539960095949056</v>
      </c>
      <c r="Q479" s="22" t="n">
        <v>10106584</v>
      </c>
      <c r="R479" s="22" t="n">
        <v>10870741.7587</v>
      </c>
      <c r="S479" s="4" t="n">
        <v>0.03</v>
      </c>
      <c r="T479" s="4" t="n">
        <v>0</v>
      </c>
      <c r="U479" s="19" t="n">
        <v>0.7396802618828543</v>
      </c>
      <c r="V479" s="19" t="n">
        <v>0.9014084507042244</v>
      </c>
      <c r="W479" s="4" t="n">
        <v>0.06997155475709249</v>
      </c>
      <c r="X479" s="4" t="n">
        <v>0.1271562345983241</v>
      </c>
      <c r="Y479" s="4" t="n">
        <v>0.001717668324398014</v>
      </c>
      <c r="Z479" s="4" t="n">
        <v>0.004272448798245065</v>
      </c>
      <c r="AA479" s="4" t="n">
        <v>0.03</v>
      </c>
      <c r="AB479" s="4" t="n">
        <v>0.05</v>
      </c>
      <c r="AC479" s="4">
        <f>(AB479+2*參數!$B$7)/(AA479+AB479)</f>
        <v/>
      </c>
    </row>
    <row r="480">
      <c r="A480" s="2" t="n">
        <v>479</v>
      </c>
      <c r="B480" s="2" t="inlineStr">
        <is>
          <t>INJ_USDT_PERP</t>
        </is>
      </c>
      <c r="C480" s="2" t="inlineStr">
        <is>
          <t>做多</t>
        </is>
      </c>
      <c r="D480" s="7" t="n">
        <v>46290.83333333334</v>
      </c>
      <c r="E480" s="20" t="n">
        <v>8.26</v>
      </c>
      <c r="F480" s="20" t="n">
        <v>8.5078</v>
      </c>
      <c r="G480" s="20" t="n">
        <v>7.847</v>
      </c>
      <c r="H480" s="7" t="n">
        <v>46291.25</v>
      </c>
      <c r="I480" s="20" t="n">
        <v>7.847</v>
      </c>
      <c r="J480" s="2" t="inlineStr">
        <is>
          <t>止損</t>
        </is>
      </c>
      <c r="K480" s="5">
        <f>(H480-D480)*24</f>
        <v/>
      </c>
      <c r="L480" s="4">
        <f>IF(C480="做多",I480/E480-1,1-I480/E480)-2*參數!$B$7</f>
        <v/>
      </c>
      <c r="M480" s="2" t="inlineStr"/>
      <c r="N480" s="4" t="n">
        <v>0.02545003103662324</v>
      </c>
      <c r="O480" s="4" t="n">
        <v>0.02219678513995091</v>
      </c>
      <c r="P480" s="4" t="n">
        <v>0.02263793541038606</v>
      </c>
      <c r="Q480" s="22" t="n">
        <v>63669.59999999999</v>
      </c>
      <c r="R480" s="22" t="n">
        <v>2958524.9841</v>
      </c>
      <c r="S480" s="4" t="n">
        <v>0.01864406779661021</v>
      </c>
      <c r="T480" s="4" t="n">
        <v>0.05</v>
      </c>
      <c r="U480" s="19" t="n">
        <v>1.760937650676016</v>
      </c>
      <c r="V480" s="19" t="n">
        <v>0.8680000000000021</v>
      </c>
      <c r="W480" s="4" t="n">
        <v>0.04513833531985534</v>
      </c>
      <c r="X480" s="4" t="n">
        <v>0.04888888888888876</v>
      </c>
      <c r="Y480" s="4" t="n">
        <v>-0.001711180182903727</v>
      </c>
      <c r="Z480" s="4" t="n">
        <v>0.00245932117233183</v>
      </c>
      <c r="AA480" s="4" t="n">
        <v>0.03</v>
      </c>
      <c r="AB480" s="4" t="n">
        <v>0.05</v>
      </c>
      <c r="AC480" s="4">
        <f>(AB480+2*參數!$B$7)/(AA480+AB480)</f>
        <v/>
      </c>
    </row>
    <row r="481">
      <c r="A481" s="2" t="n">
        <v>480</v>
      </c>
      <c r="B481" s="2" t="inlineStr">
        <is>
          <t>XPL_USDT_PERP</t>
        </is>
      </c>
      <c r="C481" s="2" t="inlineStr">
        <is>
          <t>做多</t>
        </is>
      </c>
      <c r="D481" s="7" t="n">
        <v>46290.875</v>
      </c>
      <c r="E481" s="20" t="n">
        <v>0.1142</v>
      </c>
      <c r="F481" s="20" t="n">
        <v>0.117626</v>
      </c>
      <c r="G481" s="20" t="n">
        <v>0.10849</v>
      </c>
      <c r="H481" s="7" t="n">
        <v>46290.95833333334</v>
      </c>
      <c r="I481" s="20" t="n">
        <v>0.10849</v>
      </c>
      <c r="J481" s="2" t="inlineStr">
        <is>
          <t>止損</t>
        </is>
      </c>
      <c r="K481" s="5">
        <f>(H481-D481)*24</f>
        <v/>
      </c>
      <c r="L481" s="4">
        <f>IF(C481="做多",I481/E481-1,1-I481/E481)-2*參數!$B$7</f>
        <v/>
      </c>
      <c r="M481" s="2" t="inlineStr"/>
      <c r="N481" s="4" t="n">
        <v>0.02882882882882876</v>
      </c>
      <c r="O481" s="4" t="n">
        <v>0.04394487928255666</v>
      </c>
      <c r="P481" s="4" t="n">
        <v>0.01362446190032407</v>
      </c>
      <c r="Q481" s="22" t="n">
        <v>5555226</v>
      </c>
      <c r="R481" s="22" t="n">
        <v>3705571.857</v>
      </c>
      <c r="S481" s="4" t="n">
        <v>0.01050788091068311</v>
      </c>
      <c r="T481" s="4" t="n">
        <v>0.05</v>
      </c>
      <c r="U481" s="19" t="n">
        <v>0.6664775239439329</v>
      </c>
      <c r="V481" s="19" t="n">
        <v>0.9285714285714267</v>
      </c>
      <c r="W481" s="4" t="n">
        <v>0.1650921259360527</v>
      </c>
      <c r="X481" s="4" t="n">
        <v>0.2831460674157305</v>
      </c>
      <c r="Y481" s="4" t="n">
        <v>-0.001278782967699232</v>
      </c>
      <c r="Z481" s="4" t="n">
        <v>0.001188434985348596</v>
      </c>
      <c r="AA481" s="4" t="n">
        <v>0.03</v>
      </c>
      <c r="AB481" s="4" t="n">
        <v>0.05</v>
      </c>
      <c r="AC481" s="4">
        <f>(AB481+2*參數!$B$7)/(AA481+AB481)</f>
        <v/>
      </c>
    </row>
    <row r="482">
      <c r="A482" s="2" t="n">
        <v>481</v>
      </c>
      <c r="B482" s="2" t="inlineStr">
        <is>
          <t>RAY_USDT_PERP</t>
        </is>
      </c>
      <c r="C482" s="2" t="inlineStr">
        <is>
          <t>做空</t>
        </is>
      </c>
      <c r="D482" s="7" t="n">
        <v>46290.91666666666</v>
      </c>
      <c r="E482" s="20" t="n">
        <v>2.056</v>
      </c>
      <c r="F482" s="20" t="n">
        <v>1.99432</v>
      </c>
      <c r="G482" s="20" t="n">
        <v>2.1588</v>
      </c>
      <c r="H482" s="7" t="n">
        <v>46291.45833333334</v>
      </c>
      <c r="I482" s="20" t="n">
        <v>1.99432</v>
      </c>
      <c r="J482" s="2" t="inlineStr">
        <is>
          <t>止盈</t>
        </is>
      </c>
      <c r="K482" s="5">
        <f>(H482-D482)*24</f>
        <v/>
      </c>
      <c r="L482" s="4">
        <f>IF(C482="做多",I482/E482-1,1-I482/E482)-2*參數!$B$7</f>
        <v/>
      </c>
      <c r="M482" s="2" t="inlineStr"/>
      <c r="N482" s="4" t="n">
        <v>-0.02281368821292773</v>
      </c>
      <c r="O482" s="4" t="n">
        <v>0.02604428196174639</v>
      </c>
      <c r="P482" s="4" t="n">
        <v>-0.01428708409243451</v>
      </c>
      <c r="Q482" s="22" t="n">
        <v>-44169.39999999967</v>
      </c>
      <c r="R482" s="22" t="n">
        <v>1394724.4474</v>
      </c>
      <c r="S482" s="4" t="n">
        <v>0.03</v>
      </c>
      <c r="T482" s="4" t="n">
        <v>0.0325875486381324</v>
      </c>
      <c r="U482" s="19" t="n">
        <v>0.8223103764505041</v>
      </c>
      <c r="V482" s="19" t="n">
        <v>0.8666666666666639</v>
      </c>
      <c r="W482" s="4" t="n">
        <v>-0.06795208759700411</v>
      </c>
      <c r="X482" s="4" t="n">
        <v>0.0115384615384615</v>
      </c>
      <c r="Y482" s="4" t="n">
        <v>0.006367751885096085</v>
      </c>
      <c r="Z482" s="4" t="n">
        <v>0.00507680317064918</v>
      </c>
      <c r="AA482" s="4" t="n">
        <v>0.03</v>
      </c>
      <c r="AB482" s="4" t="n">
        <v>0.05</v>
      </c>
      <c r="AC482" s="4">
        <f>(AB482+2*參數!$B$7)/(AA482+AB482)</f>
        <v/>
      </c>
    </row>
    <row r="483">
      <c r="A483" s="2" t="n">
        <v>482</v>
      </c>
      <c r="B483" s="2" t="inlineStr">
        <is>
          <t>ONDO_USDT_PERP</t>
        </is>
      </c>
      <c r="C483" s="2" t="inlineStr">
        <is>
          <t>做空</t>
        </is>
      </c>
      <c r="D483" s="7" t="n">
        <v>46291</v>
      </c>
      <c r="E483" s="20" t="n">
        <v>0.5331</v>
      </c>
      <c r="F483" s="20" t="n">
        <v>0.517107</v>
      </c>
      <c r="G483" s="20" t="n">
        <v>0.559755</v>
      </c>
      <c r="H483" s="7" t="n">
        <v>46291.58333333334</v>
      </c>
      <c r="I483" s="20" t="n">
        <v>0.5416</v>
      </c>
      <c r="J483" s="2" t="inlineStr">
        <is>
          <t>未平倉</t>
        </is>
      </c>
      <c r="K483" s="5">
        <f>(H483-D483)*24</f>
        <v/>
      </c>
      <c r="L483" s="4">
        <f>IF(C483="做多",I483/E483-1,1-I483/E483)-2*參數!$B$7</f>
        <v/>
      </c>
      <c r="M483" s="2" t="inlineStr">
        <is>
          <t>持倉中（以最新收盤估值）</t>
        </is>
      </c>
      <c r="N483" s="4" t="n">
        <v>-0.02039691289966927</v>
      </c>
      <c r="O483" s="4" t="n">
        <v>0.02915199436452103</v>
      </c>
      <c r="P483" s="4" t="n">
        <v>-0.00826907514719688</v>
      </c>
      <c r="Q483" s="22" t="n">
        <v>-3819633.400000002</v>
      </c>
      <c r="R483" s="22" t="n">
        <v>12172895.80578</v>
      </c>
      <c r="S483" s="4" t="n">
        <v>0</v>
      </c>
      <c r="T483" s="4" t="n">
        <v>0.04708309885574935</v>
      </c>
      <c r="U483" s="19" t="n">
        <v>1.237840237035774</v>
      </c>
      <c r="V483" s="19" t="n">
        <v>0.7115384615384588</v>
      </c>
      <c r="W483" s="4" t="n">
        <v>-0.1604291694148225</v>
      </c>
      <c r="X483" s="4" t="n">
        <v>-0.03897875657766514</v>
      </c>
      <c r="Y483" s="4" t="n">
        <v>0.002459109123711611</v>
      </c>
      <c r="Z483" s="4" t="n">
        <v>0.005874121259811571</v>
      </c>
      <c r="AA483" s="4" t="n">
        <v>0.03</v>
      </c>
      <c r="AB483" s="4" t="n">
        <v>0.05</v>
      </c>
      <c r="AC483" s="4">
        <f>(AB483+2*參數!$B$7)/(AA483+AB483)</f>
        <v/>
      </c>
    </row>
    <row r="484">
      <c r="A484" s="2" t="n">
        <v>483</v>
      </c>
      <c r="B484" s="2" t="inlineStr">
        <is>
          <t>AKE_USDT_PERP</t>
        </is>
      </c>
      <c r="C484" s="2" t="inlineStr">
        <is>
          <t>做空</t>
        </is>
      </c>
      <c r="D484" s="7" t="n">
        <v>46291.04166666666</v>
      </c>
      <c r="E484" s="20" t="n">
        <v>0.0360825</v>
      </c>
      <c r="F484" s="20" t="n">
        <v>0.035000025</v>
      </c>
      <c r="G484" s="20" t="n">
        <v>0.03788662500000001</v>
      </c>
      <c r="H484" s="7" t="n">
        <v>46291.08333333334</v>
      </c>
      <c r="I484" s="20" t="n">
        <v>0.035000025</v>
      </c>
      <c r="J484" s="2" t="inlineStr">
        <is>
          <t>止盈</t>
        </is>
      </c>
      <c r="K484" s="5">
        <f>(H484-D484)*24</f>
        <v/>
      </c>
      <c r="L484" s="4">
        <f>IF(C484="做多",I484/E484-1,1-I484/E484)-2*參數!$B$7</f>
        <v/>
      </c>
      <c r="M484" s="2" t="inlineStr"/>
      <c r="N484" s="4" t="n">
        <v>-0.02767485414785953</v>
      </c>
      <c r="O484" s="4" t="n">
        <v>0.05722180691044247</v>
      </c>
      <c r="P484" s="4" t="n">
        <v>-0.002160085241924792</v>
      </c>
      <c r="Q484" s="22" t="n">
        <v>-9967712</v>
      </c>
      <c r="R484" s="22" t="n">
        <v>6005861.9962034</v>
      </c>
      <c r="S484" s="4" t="n">
        <v>0.03</v>
      </c>
      <c r="T484" s="4" t="n">
        <v>0</v>
      </c>
      <c r="U484" s="19" t="n">
        <v>1.325462817880993</v>
      </c>
      <c r="V484" s="19" t="n">
        <v>0.9577177293934663</v>
      </c>
      <c r="W484" s="4" t="n">
        <v>0.2165651807456267</v>
      </c>
      <c r="X484" s="4" t="n">
        <v>0.1431268478609339</v>
      </c>
      <c r="Y484" s="4" t="n">
        <v>0.0006100254276744099</v>
      </c>
      <c r="Z484" s="4" t="n">
        <v>0.006124352255945098</v>
      </c>
      <c r="AA484" s="4" t="n">
        <v>0.03</v>
      </c>
      <c r="AB484" s="4" t="n">
        <v>0.05</v>
      </c>
      <c r="AC484" s="4">
        <f>(AB484+2*參數!$B$7)/(AA484+AB484)</f>
        <v/>
      </c>
    </row>
    <row r="485">
      <c r="A485" s="2" t="n">
        <v>484</v>
      </c>
      <c r="B485" s="2" t="inlineStr">
        <is>
          <t>QNT_USDT_PERP</t>
        </is>
      </c>
      <c r="C485" s="2" t="inlineStr">
        <is>
          <t>做多</t>
        </is>
      </c>
      <c r="D485" s="7" t="n">
        <v>46291.04166666666</v>
      </c>
      <c r="E485" s="20" t="n">
        <v>97.95999999999999</v>
      </c>
      <c r="F485" s="20" t="n">
        <v>100.8988</v>
      </c>
      <c r="G485" s="20" t="n">
        <v>93.06199999999998</v>
      </c>
      <c r="H485" s="7" t="n">
        <v>46291.5</v>
      </c>
      <c r="I485" s="20" t="n">
        <v>100.8988</v>
      </c>
      <c r="J485" s="2" t="inlineStr">
        <is>
          <t>止盈</t>
        </is>
      </c>
      <c r="K485" s="5">
        <f>(H485-D485)*24</f>
        <v/>
      </c>
      <c r="L485" s="4">
        <f>IF(C485="做多",I485/E485-1,1-I485/E485)-2*參數!$B$7</f>
        <v/>
      </c>
      <c r="M485" s="2" t="inlineStr"/>
      <c r="N485" s="4" t="n">
        <v>0.02608149156803186</v>
      </c>
      <c r="O485" s="4" t="n">
        <v>0.03429944685470611</v>
      </c>
      <c r="P485" s="4" t="n">
        <v>0.03253823532511868</v>
      </c>
      <c r="Q485" s="22" t="n">
        <v>23845.29999999999</v>
      </c>
      <c r="R485" s="22" t="n">
        <v>7018131.49</v>
      </c>
      <c r="S485" s="4" t="n">
        <v>0.03</v>
      </c>
      <c r="T485" s="4" t="n">
        <v>0.01469987750102075</v>
      </c>
      <c r="U485" s="19" t="n">
        <v>0.7800733501806887</v>
      </c>
      <c r="V485" s="19" t="n">
        <v>0.7285714285714276</v>
      </c>
      <c r="W485" s="4" t="n">
        <v>0.2766212542582276</v>
      </c>
      <c r="X485" s="4" t="n">
        <v>0.1486866791744839</v>
      </c>
      <c r="Y485" s="4" t="n">
        <v>-0.0006100254276744099</v>
      </c>
      <c r="Z485" s="4" t="n">
        <v>-0.006124352255945098</v>
      </c>
      <c r="AA485" s="4" t="n">
        <v>0.03</v>
      </c>
      <c r="AB485" s="4" t="n">
        <v>0.05</v>
      </c>
      <c r="AC485" s="4">
        <f>(AB485+2*參數!$B$7)/(AA485+AB485)</f>
        <v/>
      </c>
    </row>
    <row r="486">
      <c r="A486" s="2" t="n">
        <v>485</v>
      </c>
      <c r="B486" s="2" t="inlineStr">
        <is>
          <t>PONS_USDT_PERP</t>
        </is>
      </c>
      <c r="C486" s="2" t="inlineStr">
        <is>
          <t>做多</t>
        </is>
      </c>
      <c r="D486" s="7" t="n">
        <v>46291.125</v>
      </c>
      <c r="E486" s="20" t="n">
        <v>0.6466</v>
      </c>
      <c r="F486" s="20" t="n">
        <v>0.665998</v>
      </c>
      <c r="G486" s="20" t="n">
        <v>0.6142699999999999</v>
      </c>
      <c r="H486" s="7" t="n">
        <v>46291.375</v>
      </c>
      <c r="I486" s="20" t="n">
        <v>0.665998</v>
      </c>
      <c r="J486" s="2" t="inlineStr">
        <is>
          <t>止盈</t>
        </is>
      </c>
      <c r="K486" s="5">
        <f>(H486-D486)*24</f>
        <v/>
      </c>
      <c r="L486" s="4">
        <f>IF(C486="做多",I486/E486-1,1-I486/E486)-2*參數!$B$7</f>
        <v/>
      </c>
      <c r="M486" s="2" t="inlineStr"/>
      <c r="N486" s="4" t="n">
        <v>0.02586070125337137</v>
      </c>
      <c r="O486" s="4" t="n">
        <v>0.02379896793648727</v>
      </c>
      <c r="P486" s="4" t="n">
        <v>0.025453968757434</v>
      </c>
      <c r="Q486" s="22" t="n">
        <v>1294521</v>
      </c>
      <c r="R486" s="22" t="n">
        <v>3089939.1094</v>
      </c>
      <c r="S486" s="4" t="n">
        <v>0.03</v>
      </c>
      <c r="T486" s="4" t="n">
        <v>0.02814723167336841</v>
      </c>
      <c r="U486" s="19" t="n">
        <v>0.3822498884388906</v>
      </c>
      <c r="V486" s="19" t="n">
        <v>0.9289617486338754</v>
      </c>
      <c r="W486" s="4" t="n">
        <v>0.01123208918109886</v>
      </c>
      <c r="X486" s="4" t="n">
        <v>0.02634920634920634</v>
      </c>
      <c r="Y486" s="4" t="n">
        <v>0.00216715900379949</v>
      </c>
      <c r="Z486" s="4" t="n">
        <v>-0.003054856944595619</v>
      </c>
      <c r="AA486" s="4" t="n">
        <v>0.03</v>
      </c>
      <c r="AB486" s="4" t="n">
        <v>0.05</v>
      </c>
      <c r="AC486" s="4">
        <f>(AB486+2*參數!$B$7)/(AA486+AB486)</f>
        <v/>
      </c>
    </row>
    <row r="487">
      <c r="A487" s="2" t="n">
        <v>486</v>
      </c>
      <c r="B487" s="2" t="inlineStr">
        <is>
          <t>XPL_USDT_PERP</t>
        </is>
      </c>
      <c r="C487" s="2" t="inlineStr">
        <is>
          <t>做多</t>
        </is>
      </c>
      <c r="D487" s="7" t="n">
        <v>46291.125</v>
      </c>
      <c r="E487" s="20" t="n">
        <v>0.1141</v>
      </c>
      <c r="F487" s="20" t="n">
        <v>0.117523</v>
      </c>
      <c r="G487" s="20" t="n">
        <v>0.108395</v>
      </c>
      <c r="H487" s="7" t="n">
        <v>46291.58333333334</v>
      </c>
      <c r="I487" s="20" t="n">
        <v>0.1118</v>
      </c>
      <c r="J487" s="2" t="inlineStr">
        <is>
          <t>未平倉</t>
        </is>
      </c>
      <c r="K487" s="5">
        <f>(H487-D487)*24</f>
        <v/>
      </c>
      <c r="L487" s="4">
        <f>IF(C487="做多",I487/E487-1,1-I487/E487)-2*參數!$B$7</f>
        <v/>
      </c>
      <c r="M487" s="2" t="inlineStr">
        <is>
          <t>持倉中（以最新收盤估值）</t>
        </is>
      </c>
      <c r="N487" s="4" t="n">
        <v>0.02515723270440251</v>
      </c>
      <c r="O487" s="4" t="n">
        <v>0.04189406918790371</v>
      </c>
      <c r="P487" s="4" t="n">
        <v>0.004445618205026758</v>
      </c>
      <c r="Q487" s="22" t="n">
        <v>4456018</v>
      </c>
      <c r="R487" s="22" t="n">
        <v>3824323.4029</v>
      </c>
      <c r="S487" s="4" t="n">
        <v>0.02366345311130602</v>
      </c>
      <c r="T487" s="4" t="n">
        <v>0.03856266432953537</v>
      </c>
      <c r="U487" s="19" t="n">
        <v>0.4989795624645668</v>
      </c>
      <c r="V487" s="19" t="n">
        <v>0.953488372093022</v>
      </c>
      <c r="W487" s="4" t="n">
        <v>0.1569544011924437</v>
      </c>
      <c r="X487" s="4" t="n">
        <v>0.09186602870813387</v>
      </c>
      <c r="Y487" s="4" t="n">
        <v>0.00216715900379949</v>
      </c>
      <c r="Z487" s="4" t="n">
        <v>-0.003054856944595619</v>
      </c>
      <c r="AA487" s="4" t="n">
        <v>0.03</v>
      </c>
      <c r="AB487" s="4" t="n">
        <v>0.05</v>
      </c>
      <c r="AC487" s="4">
        <f>(AB487+2*參數!$B$7)/(AA487+AB487)</f>
        <v/>
      </c>
    </row>
    <row r="488">
      <c r="A488" s="2" t="n">
        <v>487</v>
      </c>
      <c r="B488" s="2" t="inlineStr">
        <is>
          <t>BR_USDT_PERP</t>
        </is>
      </c>
      <c r="C488" s="2" t="inlineStr">
        <is>
          <t>做多</t>
        </is>
      </c>
      <c r="D488" s="7" t="n">
        <v>46291.25</v>
      </c>
      <c r="E488" s="20" t="n">
        <v>0.93702</v>
      </c>
      <c r="F488" s="20" t="n">
        <v>0.9651305999999999</v>
      </c>
      <c r="G488" s="20" t="n">
        <v>0.8901689999999999</v>
      </c>
      <c r="H488" s="7" t="n">
        <v>46291.375</v>
      </c>
      <c r="I488" s="20" t="n">
        <v>0.9651305999999999</v>
      </c>
      <c r="J488" s="2" t="inlineStr">
        <is>
          <t>止盈</t>
        </is>
      </c>
      <c r="K488" s="5">
        <f>(H488-D488)*24</f>
        <v/>
      </c>
      <c r="L488" s="4">
        <f>IF(C488="做多",I488/E488-1,1-I488/E488)-2*參數!$B$7</f>
        <v/>
      </c>
      <c r="M488" s="2" t="inlineStr"/>
      <c r="N488" s="4" t="n">
        <v>0.02250109122653865</v>
      </c>
      <c r="O488" s="4" t="n">
        <v>0.08391143006310035</v>
      </c>
      <c r="P488" s="4" t="n">
        <v>0.003526726762747456</v>
      </c>
      <c r="Q488" s="22" t="n">
        <v>828198</v>
      </c>
      <c r="R488" s="22" t="n">
        <v>3766150.10639</v>
      </c>
      <c r="S488" s="4" t="n">
        <v>0.03</v>
      </c>
      <c r="T488" s="4" t="n">
        <v>0.032720753025549</v>
      </c>
      <c r="U488" s="19" t="n">
        <v>0.4067614262616053</v>
      </c>
      <c r="V488" s="19" t="n">
        <v>0.8142076502732239</v>
      </c>
      <c r="W488" s="4" t="n">
        <v>-0.1182826356670117</v>
      </c>
      <c r="X488" s="4" t="n">
        <v>-0.09622099191728239</v>
      </c>
      <c r="Y488" s="4" t="n">
        <v>-0.001102103180235514</v>
      </c>
      <c r="Z488" s="4" t="n">
        <v>-0.004090140418303911</v>
      </c>
      <c r="AA488" s="4" t="n">
        <v>0.03</v>
      </c>
      <c r="AB488" s="4" t="n">
        <v>0.05</v>
      </c>
      <c r="AC488" s="4">
        <f>(AB488+2*參數!$B$7)/(AA488+AB488)</f>
        <v/>
      </c>
    </row>
    <row r="489">
      <c r="A489" s="2" t="n">
        <v>488</v>
      </c>
      <c r="B489" s="2" t="inlineStr">
        <is>
          <t>ARB_USDT_PERP</t>
        </is>
      </c>
      <c r="C489" s="2" t="inlineStr">
        <is>
          <t>做多</t>
        </is>
      </c>
      <c r="D489" s="7" t="n">
        <v>46291.29166666666</v>
      </c>
      <c r="E489" s="20" t="n">
        <v>0.2287</v>
      </c>
      <c r="F489" s="20" t="n">
        <v>0.235561</v>
      </c>
      <c r="G489" s="20" t="n">
        <v>0.217265</v>
      </c>
      <c r="H489" s="7" t="n">
        <v>46291.58333333334</v>
      </c>
      <c r="I489" s="20" t="n">
        <v>0.2232</v>
      </c>
      <c r="J489" s="2" t="inlineStr">
        <is>
          <t>未平倉</t>
        </is>
      </c>
      <c r="K489" s="5">
        <f>(H489-D489)*24</f>
        <v/>
      </c>
      <c r="L489" s="4">
        <f>IF(C489="做多",I489/E489-1,1-I489/E489)-2*參數!$B$7</f>
        <v/>
      </c>
      <c r="M489" s="2" t="inlineStr">
        <is>
          <t>持倉中（以最新收盤估值）</t>
        </is>
      </c>
      <c r="N489" s="4" t="n">
        <v>0.03577898550724634</v>
      </c>
      <c r="O489" s="4" t="n">
        <v>0.02189176279024573</v>
      </c>
      <c r="P489" s="4" t="n">
        <v>0.03269213401968729</v>
      </c>
      <c r="Q489" s="22" t="n">
        <v>1689718.099999996</v>
      </c>
      <c r="R489" s="22" t="n">
        <v>3217414.12221</v>
      </c>
      <c r="S489" s="4" t="n">
        <v>0.004809794490599151</v>
      </c>
      <c r="T489" s="4" t="n">
        <v>0.03366856143419317</v>
      </c>
      <c r="U489" s="19" t="n">
        <v>1.040648891688508</v>
      </c>
      <c r="V489" s="19" t="n">
        <v>0.7964601769911483</v>
      </c>
      <c r="W489" s="4" t="n">
        <v>0.02735264654486946</v>
      </c>
      <c r="X489" s="4" t="n">
        <v>0.04764086120018329</v>
      </c>
      <c r="Y489" s="4" t="n">
        <v>0.003460410066951525</v>
      </c>
      <c r="Z489" s="4" t="n">
        <v>-0.0005594396279725578</v>
      </c>
      <c r="AA489" s="4" t="n">
        <v>0.03</v>
      </c>
      <c r="AB489" s="4" t="n">
        <v>0.05</v>
      </c>
      <c r="AC489" s="4">
        <f>(AB489+2*參數!$B$7)/(AA489+AB489)</f>
        <v/>
      </c>
    </row>
    <row r="490">
      <c r="A490" s="2" t="n">
        <v>489</v>
      </c>
      <c r="B490" s="2" t="inlineStr">
        <is>
          <t>PENGU_USDT_PERP</t>
        </is>
      </c>
      <c r="C490" s="2" t="inlineStr">
        <is>
          <t>做多</t>
        </is>
      </c>
      <c r="D490" s="7" t="n">
        <v>46291.29166666666</v>
      </c>
      <c r="E490" s="20" t="n">
        <v>0.010271</v>
      </c>
      <c r="F490" s="20" t="n">
        <v>0.01057913</v>
      </c>
      <c r="G490" s="20" t="n">
        <v>0.009757450000000001</v>
      </c>
      <c r="H490" s="7" t="n">
        <v>46291.58333333334</v>
      </c>
      <c r="I490" s="20" t="n">
        <v>0.010126</v>
      </c>
      <c r="J490" s="2" t="inlineStr">
        <is>
          <t>未平倉</t>
        </is>
      </c>
      <c r="K490" s="5">
        <f>(H490-D490)*24</f>
        <v/>
      </c>
      <c r="L490" s="4">
        <f>IF(C490="做多",I490/E490-1,1-I490/E490)-2*參數!$B$7</f>
        <v/>
      </c>
      <c r="M490" s="2" t="inlineStr">
        <is>
          <t>持倉中（以最新收盤估值）</t>
        </is>
      </c>
      <c r="N490" s="4" t="n">
        <v>0.02884904337373539</v>
      </c>
      <c r="O490" s="4" t="n">
        <v>0.0228009807849537</v>
      </c>
      <c r="P490" s="4" t="n">
        <v>0.04255059989037546</v>
      </c>
      <c r="Q490" s="22" t="n">
        <v>122215086</v>
      </c>
      <c r="R490" s="22" t="n">
        <v>2772925.220735</v>
      </c>
      <c r="S490" s="4" t="n">
        <v>0.01947230065232186</v>
      </c>
      <c r="T490" s="4" t="n">
        <v>0.0188881316327526</v>
      </c>
      <c r="U490" s="19" t="n">
        <v>4.204265378171247</v>
      </c>
      <c r="V490" s="19" t="n">
        <v>0.7684478371501292</v>
      </c>
      <c r="W490" s="4" t="n">
        <v>0.05674160193425615</v>
      </c>
      <c r="X490" s="4" t="n">
        <v>0.05755766062602974</v>
      </c>
      <c r="Y490" s="4" t="n">
        <v>0.003460410066951525</v>
      </c>
      <c r="Z490" s="4" t="n">
        <v>-0.0005594396279725578</v>
      </c>
      <c r="AA490" s="4" t="n">
        <v>0.03</v>
      </c>
      <c r="AB490" s="4" t="n">
        <v>0.05</v>
      </c>
      <c r="AC490" s="4">
        <f>(AB490+2*參數!$B$7)/(AA490+AB490)</f>
        <v/>
      </c>
    </row>
    <row r="491">
      <c r="A491" s="2" t="n">
        <v>490</v>
      </c>
      <c r="B491" s="2" t="inlineStr">
        <is>
          <t>PUMP_USDT_PERP</t>
        </is>
      </c>
      <c r="C491" s="2" t="inlineStr">
        <is>
          <t>做多</t>
        </is>
      </c>
      <c r="D491" s="7" t="n">
        <v>46291.29166666666</v>
      </c>
      <c r="E491" s="20" t="n">
        <v>0.004187</v>
      </c>
      <c r="F491" s="20" t="n">
        <v>0.00431261</v>
      </c>
      <c r="G491" s="20" t="n">
        <v>0.003977649999999999</v>
      </c>
      <c r="H491" s="7" t="n">
        <v>46291.45833333334</v>
      </c>
      <c r="I491" s="20" t="n">
        <v>0.00431261</v>
      </c>
      <c r="J491" s="2" t="inlineStr">
        <is>
          <t>止盈</t>
        </is>
      </c>
      <c r="K491" s="5">
        <f>(H491-D491)*24</f>
        <v/>
      </c>
      <c r="L491" s="4">
        <f>IF(C491="做多",I491/E491-1,1-I491/E491)-2*參數!$B$7</f>
        <v/>
      </c>
      <c r="M491" s="2" t="inlineStr"/>
      <c r="N491" s="4" t="n">
        <v>0.02849422746253993</v>
      </c>
      <c r="O491" s="4" t="n">
        <v>0.0216883177267738</v>
      </c>
      <c r="P491" s="4" t="n">
        <v>0.02998696219035191</v>
      </c>
      <c r="Q491" s="22" t="n">
        <v>100978210</v>
      </c>
      <c r="R491" s="22" t="n">
        <v>6143652.359474</v>
      </c>
      <c r="S491" s="4" t="n">
        <v>0.03</v>
      </c>
      <c r="T491" s="4" t="n">
        <v>0.009792213995700849</v>
      </c>
      <c r="U491" s="19" t="n">
        <v>0.3552138487272078</v>
      </c>
      <c r="V491" s="19" t="n">
        <v>0.9015151515151517</v>
      </c>
      <c r="W491" s="4" t="n">
        <v>0.003751782995912611</v>
      </c>
      <c r="X491" s="4" t="n">
        <v>0.09150156412930133</v>
      </c>
      <c r="Y491" s="4" t="n">
        <v>0.003460410066951525</v>
      </c>
      <c r="Z491" s="4" t="n">
        <v>-0.0005594396279725578</v>
      </c>
      <c r="AA491" s="4" t="n">
        <v>0.03</v>
      </c>
      <c r="AB491" s="4" t="n">
        <v>0.05</v>
      </c>
      <c r="AC491" s="4">
        <f>(AB491+2*參數!$B$7)/(AA491+AB491)</f>
        <v/>
      </c>
    </row>
    <row r="492">
      <c r="A492" s="2" t="n">
        <v>491</v>
      </c>
      <c r="B492" s="2" t="inlineStr">
        <is>
          <t>AERO_USDT_PERP</t>
        </is>
      </c>
      <c r="C492" s="2" t="inlineStr">
        <is>
          <t>做多</t>
        </is>
      </c>
      <c r="D492" s="7" t="n">
        <v>46291.41666666666</v>
      </c>
      <c r="E492" s="20" t="n">
        <v>0.8534</v>
      </c>
      <c r="F492" s="20" t="n">
        <v>0.8790020000000001</v>
      </c>
      <c r="G492" s="20" t="n">
        <v>0.8107300000000001</v>
      </c>
      <c r="H492" s="7" t="n">
        <v>46291.45833333334</v>
      </c>
      <c r="I492" s="20" t="n">
        <v>0.8790020000000001</v>
      </c>
      <c r="J492" s="2" t="inlineStr">
        <is>
          <t>止盈</t>
        </is>
      </c>
      <c r="K492" s="5">
        <f>(H492-D492)*24</f>
        <v/>
      </c>
      <c r="L492" s="4">
        <f>IF(C492="做多",I492/E492-1,1-I492/E492)-2*參數!$B$7</f>
        <v/>
      </c>
      <c r="M492" s="2" t="inlineStr"/>
      <c r="N492" s="4" t="n">
        <v>0.03192261185006062</v>
      </c>
      <c r="O492" s="4" t="n">
        <v>0.0264237348643766</v>
      </c>
      <c r="P492" s="4" t="n">
        <v>0.05699918254105873</v>
      </c>
      <c r="Q492" s="22" t="n">
        <v>536971.8000000003</v>
      </c>
      <c r="R492" s="22" t="n">
        <v>1509375.48743</v>
      </c>
      <c r="S492" s="4" t="n">
        <v>0.03</v>
      </c>
      <c r="T492" s="4" t="n">
        <v>0</v>
      </c>
      <c r="U492" s="19" t="n">
        <v>0.6177384752996335</v>
      </c>
      <c r="V492" s="19" t="n">
        <v>0.9781021897810243</v>
      </c>
      <c r="W492" s="4" t="n">
        <v>0.1925756783874657</v>
      </c>
      <c r="X492" s="4" t="n">
        <v>0.2252692031586505</v>
      </c>
      <c r="Y492" s="4" t="n">
        <v>0.002054394353098399</v>
      </c>
      <c r="Z492" s="4" t="n">
        <v>-0.0001775002492379052</v>
      </c>
      <c r="AA492" s="4" t="n">
        <v>0.03</v>
      </c>
      <c r="AB492" s="4" t="n">
        <v>0.05</v>
      </c>
      <c r="AC492" s="4">
        <f>(AB492+2*參數!$B$7)/(AA492+AB492)</f>
        <v/>
      </c>
    </row>
    <row r="493">
      <c r="A493" s="2" t="n">
        <v>492</v>
      </c>
      <c r="B493" s="2" t="inlineStr">
        <is>
          <t>LYN_USDT_PERP</t>
        </is>
      </c>
      <c r="C493" s="2" t="inlineStr">
        <is>
          <t>做空</t>
        </is>
      </c>
      <c r="D493" s="7" t="n">
        <v>46291.41666666666</v>
      </c>
      <c r="E493" s="20" t="n">
        <v>0.04466</v>
      </c>
      <c r="F493" s="20" t="n">
        <v>0.0433202</v>
      </c>
      <c r="G493" s="20" t="n">
        <v>0.046893</v>
      </c>
      <c r="H493" s="7" t="n">
        <v>46291.45833333334</v>
      </c>
      <c r="I493" s="20" t="n">
        <v>0.0433202</v>
      </c>
      <c r="J493" s="2" t="inlineStr">
        <is>
          <t>止盈</t>
        </is>
      </c>
      <c r="K493" s="5">
        <f>(H493-D493)*24</f>
        <v/>
      </c>
      <c r="L493" s="4">
        <f>IF(C493="做多",I493/E493-1,1-I493/E493)-2*參數!$B$7</f>
        <v/>
      </c>
      <c r="M493" s="2" t="inlineStr"/>
      <c r="N493" s="4" t="n">
        <v>-0.08577277379733883</v>
      </c>
      <c r="O493" s="4" t="n">
        <v>0.1043489340342936</v>
      </c>
      <c r="P493" s="4" t="n">
        <v>-0.04156919973388862</v>
      </c>
      <c r="Q493" s="22" t="n">
        <v>-20200839</v>
      </c>
      <c r="R493" s="22" t="n">
        <v>2273438.35389</v>
      </c>
      <c r="S493" s="4" t="n">
        <v>0.03</v>
      </c>
      <c r="T493" s="4" t="n">
        <v>0</v>
      </c>
      <c r="U493" s="19" t="n">
        <v>2.030562396801389</v>
      </c>
      <c r="V493" s="19" t="n">
        <v>0.9286775631500741</v>
      </c>
      <c r="W493" s="4" t="n">
        <v>-0.08071483018548298</v>
      </c>
      <c r="X493" s="4" t="n">
        <v>-0.1419074405522884</v>
      </c>
      <c r="Y493" s="4" t="n">
        <v>-0.002054394353098399</v>
      </c>
      <c r="Z493" s="4" t="n">
        <v>0.0001775002492379052</v>
      </c>
      <c r="AA493" s="4" t="n">
        <v>0.03</v>
      </c>
      <c r="AB493" s="4" t="n">
        <v>0.05</v>
      </c>
      <c r="AC493" s="4">
        <f>(AB493+2*參數!$B$7)/(AA493+AB493)</f>
        <v/>
      </c>
    </row>
    <row r="494">
      <c r="A494" s="2" t="n">
        <v>493</v>
      </c>
      <c r="B494" s="2" t="inlineStr">
        <is>
          <t>FET_USDT_PERP</t>
        </is>
      </c>
      <c r="C494" s="2" t="inlineStr">
        <is>
          <t>做多</t>
        </is>
      </c>
      <c r="D494" s="7" t="n">
        <v>46291.54166666666</v>
      </c>
      <c r="E494" s="20" t="n">
        <v>0.2468</v>
      </c>
      <c r="F494" s="20" t="n">
        <v>0.254204</v>
      </c>
      <c r="G494" s="20" t="n">
        <v>0.23446</v>
      </c>
      <c r="H494" s="7" t="n">
        <v>46291.58333333334</v>
      </c>
      <c r="I494" s="20" t="n">
        <v>0.2434</v>
      </c>
      <c r="J494" s="2" t="inlineStr">
        <is>
          <t>未平倉</t>
        </is>
      </c>
      <c r="K494" s="5">
        <f>(H494-D494)*24</f>
        <v/>
      </c>
      <c r="L494" s="4">
        <f>IF(C494="做多",I494/E494-1,1-I494/E494)-2*參數!$B$7</f>
        <v/>
      </c>
      <c r="M494" s="2" t="inlineStr">
        <is>
          <t>持倉中（以最新收盤估值）</t>
        </is>
      </c>
      <c r="N494" s="4" t="n">
        <v>0.02025630425795777</v>
      </c>
      <c r="O494" s="4" t="n">
        <v>0.02015143846387749</v>
      </c>
      <c r="P494" s="4" t="n">
        <v>0.02515109348065381</v>
      </c>
      <c r="Q494" s="22" t="n">
        <v>3914876</v>
      </c>
      <c r="R494" s="22" t="n">
        <v>3487444.9208</v>
      </c>
      <c r="S494" s="4" t="n">
        <v>0.0008103727714749986</v>
      </c>
      <c r="T494" s="4" t="n">
        <v>0.01580226904376003</v>
      </c>
      <c r="U494" s="19" t="n">
        <v>0.4044272584723388</v>
      </c>
      <c r="V494" s="19" t="n">
        <v>0.8983050847457601</v>
      </c>
      <c r="W494" s="4" t="n">
        <v>0.1481419453283461</v>
      </c>
      <c r="X494" s="4" t="n">
        <v>0.08103372755146743</v>
      </c>
      <c r="Y494" s="4" t="n">
        <v>0.000467175554323962</v>
      </c>
      <c r="Z494" s="4" t="n">
        <v>-0.0009745971047463442</v>
      </c>
      <c r="AA494" s="4" t="n">
        <v>0.03</v>
      </c>
      <c r="AB494" s="4" t="n">
        <v>0.05</v>
      </c>
      <c r="AC494" s="4">
        <f>(AB494+2*參數!$B$7)/(AA494+AB494)</f>
        <v/>
      </c>
    </row>
    <row r="495">
      <c r="A495" s="2" t="n">
        <v>494</v>
      </c>
      <c r="B495" s="2" t="inlineStr">
        <is>
          <t>QNT_USDT_PERP</t>
        </is>
      </c>
      <c r="C495" s="2" t="inlineStr">
        <is>
          <t>做多</t>
        </is>
      </c>
      <c r="D495" s="7" t="n">
        <v>46291.58333333334</v>
      </c>
      <c r="E495" s="20" t="n">
        <v>100.72</v>
      </c>
      <c r="F495" s="20" t="n">
        <v>103.7416</v>
      </c>
      <c r="G495" s="20" t="n">
        <v>95.684</v>
      </c>
      <c r="H495" s="7" t="n">
        <v>46291.58333333334</v>
      </c>
      <c r="I495" s="20" t="n">
        <v>100.72</v>
      </c>
      <c r="J495" s="2" t="inlineStr">
        <is>
          <t>未平倉</t>
        </is>
      </c>
      <c r="K495" s="5">
        <f>(H495-D495)*24</f>
        <v/>
      </c>
      <c r="L495" s="4">
        <f>IF(C495="做多",I495/E495-1,1-I495/E495)-2*參數!$B$7</f>
        <v/>
      </c>
      <c r="M495" s="2" t="inlineStr">
        <is>
          <t>持倉中（以最新收盤估值）</t>
        </is>
      </c>
      <c r="N495" s="4" t="n">
        <v>0.02119030720876003</v>
      </c>
      <c r="O495" s="4" t="n">
        <v>0.02532472971226432</v>
      </c>
      <c r="P495" s="4" t="n">
        <v>0.03071578053285728</v>
      </c>
      <c r="Q495" s="22" t="n">
        <v>8304.399999999998</v>
      </c>
      <c r="R495" s="22" t="n">
        <v>6282037.247</v>
      </c>
      <c r="S495" s="4" t="n">
        <v>0</v>
      </c>
      <c r="T495" s="4" t="n">
        <v>0</v>
      </c>
      <c r="U495" s="19" t="n">
        <v>0.6492928044213357</v>
      </c>
      <c r="V495" s="19" t="n">
        <v>0.8168498168498172</v>
      </c>
      <c r="W495" s="4" t="n">
        <v>0.2457714642638484</v>
      </c>
      <c r="X495" s="4" t="n">
        <v>0.03366174055829219</v>
      </c>
      <c r="Y495" s="4" t="n">
        <v>-0.0006349191222631001</v>
      </c>
      <c r="Z495" s="4" t="n">
        <v>-0.001229260507332075</v>
      </c>
      <c r="AA495" s="4" t="n">
        <v>0.03</v>
      </c>
      <c r="AB495" s="4" t="n">
        <v>0.05</v>
      </c>
      <c r="AC495" s="4">
        <f>(AB495+2*參數!$B$7)/(AA495+AB495)</f>
        <v/>
      </c>
    </row>
  </sheetData>
  <autoFilter ref="A1:AC495"/>
  <conditionalFormatting sqref="J2:J49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COUNTIFS(交易明細!$B$2:$B$495,$A2)</f>
        <v/>
      </c>
      <c r="C2" s="2">
        <f>COUNTIFS(交易明細!$B$2:$B$495,$A2,交易明細!$C$2:$C$495,"做多")</f>
        <v/>
      </c>
      <c r="D2" s="2">
        <f>COUNTIFS(交易明細!$B$2:$B$495,$A2,交易明細!$C$2:$C$495,"做空")</f>
        <v/>
      </c>
      <c r="E2" s="2">
        <f>F2+G2+COUNTIFS(交易明細!$B$2:$B$495,$A2,交易明細!$J$2:$J$495,"時間出場")</f>
        <v/>
      </c>
      <c r="F2" s="2">
        <f>COUNTIFS(交易明細!$B$2:$B$495,$A2,交易明細!$J$2:$J$495,"止盈")</f>
        <v/>
      </c>
      <c r="G2" s="2">
        <f>COUNTIFS(交易明細!$B$2:$B$495,$A2,交易明細!$J$2:$J$495,"止損")</f>
        <v/>
      </c>
      <c r="H2" s="4">
        <f>IFERROR(F2/E2,0)</f>
        <v/>
      </c>
      <c r="I2" s="4">
        <f>IFERROR(AVERAGEIFS(交易明細!$L$2:$L$495,交易明細!$B$2:$B$495,$A2,交易明細!$J$2:$J$495,"&lt;&gt;未平倉"),0)</f>
        <v/>
      </c>
      <c r="J2" s="4">
        <f>SUMIFS(交易明細!$L$2:$L$495,交易明細!$B$2:$B$495,$A2,交易明細!$J$2:$J$495,"&lt;&gt;未平倉")</f>
        <v/>
      </c>
      <c r="K2" s="5">
        <f>IFERROR(AVERAGEIFS(交易明細!$K$2:$K$495,交易明細!$B$2:$B$495,$A2,交易明細!$J$2:$J$495,"&lt;&gt;未平倉"),0)</f>
        <v/>
      </c>
      <c r="L2" s="2">
        <f>COUNTIFS(交易明細!$B$2:$B$495,$A2,交易明細!$J$2:$J$495,"未平倉")</f>
        <v/>
      </c>
    </row>
    <row r="3">
      <c r="A3" s="2" t="inlineStr">
        <is>
          <t>USELESS_USDT_PERP</t>
        </is>
      </c>
      <c r="B3" s="2">
        <f>COUNTIFS(交易明細!$B$2:$B$495,$A3)</f>
        <v/>
      </c>
      <c r="C3" s="2">
        <f>COUNTIFS(交易明細!$B$2:$B$495,$A3,交易明細!$C$2:$C$495,"做多")</f>
        <v/>
      </c>
      <c r="D3" s="2">
        <f>COUNTIFS(交易明細!$B$2:$B$495,$A3,交易明細!$C$2:$C$495,"做空")</f>
        <v/>
      </c>
      <c r="E3" s="2">
        <f>F3+G3+COUNTIFS(交易明細!$B$2:$B$495,$A3,交易明細!$J$2:$J$495,"時間出場")</f>
        <v/>
      </c>
      <c r="F3" s="2">
        <f>COUNTIFS(交易明細!$B$2:$B$495,$A3,交易明細!$J$2:$J$495,"止盈")</f>
        <v/>
      </c>
      <c r="G3" s="2">
        <f>COUNTIFS(交易明細!$B$2:$B$495,$A3,交易明細!$J$2:$J$495,"止損")</f>
        <v/>
      </c>
      <c r="H3" s="4">
        <f>IFERROR(F3/E3,0)</f>
        <v/>
      </c>
      <c r="I3" s="4">
        <f>IFERROR(AVERAGEIFS(交易明細!$L$2:$L$495,交易明細!$B$2:$B$495,$A3,交易明細!$J$2:$J$495,"&lt;&gt;未平倉"),0)</f>
        <v/>
      </c>
      <c r="J3" s="4">
        <f>SUMIFS(交易明細!$L$2:$L$495,交易明細!$B$2:$B$495,$A3,交易明細!$J$2:$J$495,"&lt;&gt;未平倉")</f>
        <v/>
      </c>
      <c r="K3" s="5">
        <f>IFERROR(AVERAGEIFS(交易明細!$K$2:$K$495,交易明細!$B$2:$B$495,$A3,交易明細!$J$2:$J$495,"&lt;&gt;未平倉"),0)</f>
        <v/>
      </c>
      <c r="L3" s="2">
        <f>COUNTIFS(交易明細!$B$2:$B$495,$A3,交易明細!$J$2:$J$495,"未平倉")</f>
        <v/>
      </c>
    </row>
    <row r="4">
      <c r="A4" s="2" t="inlineStr">
        <is>
          <t>PUMP_USDT_PERP</t>
        </is>
      </c>
      <c r="B4" s="2">
        <f>COUNTIFS(交易明細!$B$2:$B$495,$A4)</f>
        <v/>
      </c>
      <c r="C4" s="2">
        <f>COUNTIFS(交易明細!$B$2:$B$495,$A4,交易明細!$C$2:$C$495,"做多")</f>
        <v/>
      </c>
      <c r="D4" s="2">
        <f>COUNTIFS(交易明細!$B$2:$B$495,$A4,交易明細!$C$2:$C$495,"做空")</f>
        <v/>
      </c>
      <c r="E4" s="2">
        <f>F4+G4+COUNTIFS(交易明細!$B$2:$B$495,$A4,交易明細!$J$2:$J$495,"時間出場")</f>
        <v/>
      </c>
      <c r="F4" s="2">
        <f>COUNTIFS(交易明細!$B$2:$B$495,$A4,交易明細!$J$2:$J$495,"止盈")</f>
        <v/>
      </c>
      <c r="G4" s="2">
        <f>COUNTIFS(交易明細!$B$2:$B$495,$A4,交易明細!$J$2:$J$495,"止損")</f>
        <v/>
      </c>
      <c r="H4" s="4">
        <f>IFERROR(F4/E4,0)</f>
        <v/>
      </c>
      <c r="I4" s="4">
        <f>IFERROR(AVERAGEIFS(交易明細!$L$2:$L$495,交易明細!$B$2:$B$495,$A4,交易明細!$J$2:$J$495,"&lt;&gt;未平倉"),0)</f>
        <v/>
      </c>
      <c r="J4" s="4">
        <f>SUMIFS(交易明細!$L$2:$L$495,交易明細!$B$2:$B$495,$A4,交易明細!$J$2:$J$495,"&lt;&gt;未平倉")</f>
        <v/>
      </c>
      <c r="K4" s="5">
        <f>IFERROR(AVERAGEIFS(交易明細!$K$2:$K$495,交易明細!$B$2:$B$495,$A4,交易明細!$J$2:$J$495,"&lt;&gt;未平倉"),0)</f>
        <v/>
      </c>
      <c r="L4" s="2">
        <f>COUNTIFS(交易明細!$B$2:$B$495,$A4,交易明細!$J$2:$J$495,"未平倉")</f>
        <v/>
      </c>
    </row>
    <row r="5">
      <c r="A5" s="2" t="inlineStr">
        <is>
          <t>LIT_USDT_PERP</t>
        </is>
      </c>
      <c r="B5" s="2">
        <f>COUNTIFS(交易明細!$B$2:$B$495,$A5)</f>
        <v/>
      </c>
      <c r="C5" s="2">
        <f>COUNTIFS(交易明細!$B$2:$B$495,$A5,交易明細!$C$2:$C$495,"做多")</f>
        <v/>
      </c>
      <c r="D5" s="2">
        <f>COUNTIFS(交易明細!$B$2:$B$495,$A5,交易明細!$C$2:$C$495,"做空")</f>
        <v/>
      </c>
      <c r="E5" s="2">
        <f>F5+G5+COUNTIFS(交易明細!$B$2:$B$495,$A5,交易明細!$J$2:$J$495,"時間出場")</f>
        <v/>
      </c>
      <c r="F5" s="2">
        <f>COUNTIFS(交易明細!$B$2:$B$495,$A5,交易明細!$J$2:$J$495,"止盈")</f>
        <v/>
      </c>
      <c r="G5" s="2">
        <f>COUNTIFS(交易明細!$B$2:$B$495,$A5,交易明細!$J$2:$J$495,"止損")</f>
        <v/>
      </c>
      <c r="H5" s="4">
        <f>IFERROR(F5/E5,0)</f>
        <v/>
      </c>
      <c r="I5" s="4">
        <f>IFERROR(AVERAGEIFS(交易明細!$L$2:$L$495,交易明細!$B$2:$B$495,$A5,交易明細!$J$2:$J$495,"&lt;&gt;未平倉"),0)</f>
        <v/>
      </c>
      <c r="J5" s="4">
        <f>SUMIFS(交易明細!$L$2:$L$495,交易明細!$B$2:$B$495,$A5,交易明細!$J$2:$J$495,"&lt;&gt;未平倉")</f>
        <v/>
      </c>
      <c r="K5" s="5">
        <f>IFERROR(AVERAGEIFS(交易明細!$K$2:$K$495,交易明細!$B$2:$B$495,$A5,交易明細!$J$2:$J$495,"&lt;&gt;未平倉"),0)</f>
        <v/>
      </c>
      <c r="L5" s="2">
        <f>COUNTIFS(交易明細!$B$2:$B$495,$A5,交易明細!$J$2:$J$495,"未平倉")</f>
        <v/>
      </c>
    </row>
    <row r="6">
      <c r="A6" s="2" t="inlineStr">
        <is>
          <t>AKE_USDT_PERP</t>
        </is>
      </c>
      <c r="B6" s="2">
        <f>COUNTIFS(交易明細!$B$2:$B$495,$A6)</f>
        <v/>
      </c>
      <c r="C6" s="2">
        <f>COUNTIFS(交易明細!$B$2:$B$495,$A6,交易明細!$C$2:$C$495,"做多")</f>
        <v/>
      </c>
      <c r="D6" s="2">
        <f>COUNTIFS(交易明細!$B$2:$B$495,$A6,交易明細!$C$2:$C$495,"做空")</f>
        <v/>
      </c>
      <c r="E6" s="2">
        <f>F6+G6+COUNTIFS(交易明細!$B$2:$B$495,$A6,交易明細!$J$2:$J$495,"時間出場")</f>
        <v/>
      </c>
      <c r="F6" s="2">
        <f>COUNTIFS(交易明細!$B$2:$B$495,$A6,交易明細!$J$2:$J$495,"止盈")</f>
        <v/>
      </c>
      <c r="G6" s="2">
        <f>COUNTIFS(交易明細!$B$2:$B$495,$A6,交易明細!$J$2:$J$495,"止損")</f>
        <v/>
      </c>
      <c r="H6" s="4">
        <f>IFERROR(F6/E6,0)</f>
        <v/>
      </c>
      <c r="I6" s="4">
        <f>IFERROR(AVERAGEIFS(交易明細!$L$2:$L$495,交易明細!$B$2:$B$495,$A6,交易明細!$J$2:$J$495,"&lt;&gt;未平倉"),0)</f>
        <v/>
      </c>
      <c r="J6" s="4">
        <f>SUMIFS(交易明細!$L$2:$L$495,交易明細!$B$2:$B$495,$A6,交易明細!$J$2:$J$495,"&lt;&gt;未平倉")</f>
        <v/>
      </c>
      <c r="K6" s="5">
        <f>IFERROR(AVERAGEIFS(交易明細!$K$2:$K$495,交易明細!$B$2:$B$495,$A6,交易明細!$J$2:$J$495,"&lt;&gt;未平倉"),0)</f>
        <v/>
      </c>
      <c r="L6" s="2">
        <f>COUNTIFS(交易明細!$B$2:$B$495,$A6,交易明細!$J$2:$J$495,"未平倉")</f>
        <v/>
      </c>
    </row>
    <row r="7">
      <c r="A7" s="2" t="inlineStr">
        <is>
          <t>NEAR_USDT_PERP</t>
        </is>
      </c>
      <c r="B7" s="2">
        <f>COUNTIFS(交易明細!$B$2:$B$495,$A7)</f>
        <v/>
      </c>
      <c r="C7" s="2">
        <f>COUNTIFS(交易明細!$B$2:$B$495,$A7,交易明細!$C$2:$C$495,"做多")</f>
        <v/>
      </c>
      <c r="D7" s="2">
        <f>COUNTIFS(交易明細!$B$2:$B$495,$A7,交易明細!$C$2:$C$495,"做空")</f>
        <v/>
      </c>
      <c r="E7" s="2">
        <f>F7+G7+COUNTIFS(交易明細!$B$2:$B$495,$A7,交易明細!$J$2:$J$495,"時間出場")</f>
        <v/>
      </c>
      <c r="F7" s="2">
        <f>COUNTIFS(交易明細!$B$2:$B$495,$A7,交易明細!$J$2:$J$495,"止盈")</f>
        <v/>
      </c>
      <c r="G7" s="2">
        <f>COUNTIFS(交易明細!$B$2:$B$495,$A7,交易明細!$J$2:$J$495,"止損")</f>
        <v/>
      </c>
      <c r="H7" s="4">
        <f>IFERROR(F7/E7,0)</f>
        <v/>
      </c>
      <c r="I7" s="4">
        <f>IFERROR(AVERAGEIFS(交易明細!$L$2:$L$495,交易明細!$B$2:$B$495,$A7,交易明細!$J$2:$J$495,"&lt;&gt;未平倉"),0)</f>
        <v/>
      </c>
      <c r="J7" s="4">
        <f>SUMIFS(交易明細!$L$2:$L$495,交易明細!$B$2:$B$495,$A7,交易明細!$J$2:$J$495,"&lt;&gt;未平倉")</f>
        <v/>
      </c>
      <c r="K7" s="5">
        <f>IFERROR(AVERAGEIFS(交易明細!$K$2:$K$495,交易明細!$B$2:$B$495,$A7,交易明細!$J$2:$J$495,"&lt;&gt;未平倉"),0)</f>
        <v/>
      </c>
      <c r="L7" s="2">
        <f>COUNTIFS(交易明細!$B$2:$B$495,$A7,交易明細!$J$2:$J$495,"未平倉")</f>
        <v/>
      </c>
    </row>
    <row r="8">
      <c r="A8" s="2" t="inlineStr">
        <is>
          <t>牛来_USDT_PERP</t>
        </is>
      </c>
      <c r="B8" s="2">
        <f>COUNTIFS(交易明細!$B$2:$B$495,$A8)</f>
        <v/>
      </c>
      <c r="C8" s="2">
        <f>COUNTIFS(交易明細!$B$2:$B$495,$A8,交易明細!$C$2:$C$495,"做多")</f>
        <v/>
      </c>
      <c r="D8" s="2">
        <f>COUNTIFS(交易明細!$B$2:$B$495,$A8,交易明細!$C$2:$C$495,"做空")</f>
        <v/>
      </c>
      <c r="E8" s="2">
        <f>F8+G8+COUNTIFS(交易明細!$B$2:$B$495,$A8,交易明細!$J$2:$J$495,"時間出場")</f>
        <v/>
      </c>
      <c r="F8" s="2">
        <f>COUNTIFS(交易明細!$B$2:$B$495,$A8,交易明細!$J$2:$J$495,"止盈")</f>
        <v/>
      </c>
      <c r="G8" s="2">
        <f>COUNTIFS(交易明細!$B$2:$B$495,$A8,交易明細!$J$2:$J$495,"止損")</f>
        <v/>
      </c>
      <c r="H8" s="4">
        <f>IFERROR(F8/E8,0)</f>
        <v/>
      </c>
      <c r="I8" s="4">
        <f>IFERROR(AVERAGEIFS(交易明細!$L$2:$L$495,交易明細!$B$2:$B$495,$A8,交易明細!$J$2:$J$495,"&lt;&gt;未平倉"),0)</f>
        <v/>
      </c>
      <c r="J8" s="4">
        <f>SUMIFS(交易明細!$L$2:$L$495,交易明細!$B$2:$B$495,$A8,交易明細!$J$2:$J$495,"&lt;&gt;未平倉")</f>
        <v/>
      </c>
      <c r="K8" s="5">
        <f>IFERROR(AVERAGEIFS(交易明細!$K$2:$K$495,交易明細!$B$2:$B$495,$A8,交易明細!$J$2:$J$495,"&lt;&gt;未平倉"),0)</f>
        <v/>
      </c>
      <c r="L8" s="2">
        <f>COUNTIFS(交易明細!$B$2:$B$495,$A8,交易明細!$J$2:$J$495,"未平倉")</f>
        <v/>
      </c>
    </row>
    <row r="9">
      <c r="A9" s="2" t="inlineStr">
        <is>
          <t>MARSCOIN_USDT_PERP</t>
        </is>
      </c>
      <c r="B9" s="2">
        <f>COUNTIFS(交易明細!$B$2:$B$495,$A9)</f>
        <v/>
      </c>
      <c r="C9" s="2">
        <f>COUNTIFS(交易明細!$B$2:$B$495,$A9,交易明細!$C$2:$C$495,"做多")</f>
        <v/>
      </c>
      <c r="D9" s="2">
        <f>COUNTIFS(交易明細!$B$2:$B$495,$A9,交易明細!$C$2:$C$495,"做空")</f>
        <v/>
      </c>
      <c r="E9" s="2">
        <f>F9+G9+COUNTIFS(交易明細!$B$2:$B$495,$A9,交易明細!$J$2:$J$495,"時間出場")</f>
        <v/>
      </c>
      <c r="F9" s="2">
        <f>COUNTIFS(交易明細!$B$2:$B$495,$A9,交易明細!$J$2:$J$495,"止盈")</f>
        <v/>
      </c>
      <c r="G9" s="2">
        <f>COUNTIFS(交易明細!$B$2:$B$495,$A9,交易明細!$J$2:$J$495,"止損")</f>
        <v/>
      </c>
      <c r="H9" s="4">
        <f>IFERROR(F9/E9,0)</f>
        <v/>
      </c>
      <c r="I9" s="4">
        <f>IFERROR(AVERAGEIFS(交易明細!$L$2:$L$495,交易明細!$B$2:$B$495,$A9,交易明細!$J$2:$J$495,"&lt;&gt;未平倉"),0)</f>
        <v/>
      </c>
      <c r="J9" s="4">
        <f>SUMIFS(交易明細!$L$2:$L$495,交易明細!$B$2:$B$495,$A9,交易明細!$J$2:$J$495,"&lt;&gt;未平倉")</f>
        <v/>
      </c>
      <c r="K9" s="5">
        <f>IFERROR(AVERAGEIFS(交易明細!$K$2:$K$495,交易明細!$B$2:$B$495,$A9,交易明細!$J$2:$J$495,"&lt;&gt;未平倉"),0)</f>
        <v/>
      </c>
      <c r="L9" s="2">
        <f>COUNTIFS(交易明細!$B$2:$B$495,$A9,交易明細!$J$2:$J$495,"未平倉")</f>
        <v/>
      </c>
    </row>
    <row r="10">
      <c r="A10" s="2" t="inlineStr">
        <is>
          <t>ARB_USDT_PERP</t>
        </is>
      </c>
      <c r="B10" s="2">
        <f>COUNTIFS(交易明細!$B$2:$B$495,$A10)</f>
        <v/>
      </c>
      <c r="C10" s="2">
        <f>COUNTIFS(交易明細!$B$2:$B$495,$A10,交易明細!$C$2:$C$495,"做多")</f>
        <v/>
      </c>
      <c r="D10" s="2">
        <f>COUNTIFS(交易明細!$B$2:$B$495,$A10,交易明細!$C$2:$C$495,"做空")</f>
        <v/>
      </c>
      <c r="E10" s="2">
        <f>F10+G10+COUNTIFS(交易明細!$B$2:$B$495,$A10,交易明細!$J$2:$J$495,"時間出場")</f>
        <v/>
      </c>
      <c r="F10" s="2">
        <f>COUNTIFS(交易明細!$B$2:$B$495,$A10,交易明細!$J$2:$J$495,"止盈")</f>
        <v/>
      </c>
      <c r="G10" s="2">
        <f>COUNTIFS(交易明細!$B$2:$B$495,$A10,交易明細!$J$2:$J$495,"止損")</f>
        <v/>
      </c>
      <c r="H10" s="4">
        <f>IFERROR(F10/E10,0)</f>
        <v/>
      </c>
      <c r="I10" s="4">
        <f>IFERROR(AVERAGEIFS(交易明細!$L$2:$L$495,交易明細!$B$2:$B$495,$A10,交易明細!$J$2:$J$495,"&lt;&gt;未平倉"),0)</f>
        <v/>
      </c>
      <c r="J10" s="4">
        <f>SUMIFS(交易明細!$L$2:$L$495,交易明細!$B$2:$B$495,$A10,交易明細!$J$2:$J$495,"&lt;&gt;未平倉")</f>
        <v/>
      </c>
      <c r="K10" s="5">
        <f>IFERROR(AVERAGEIFS(交易明細!$K$2:$K$495,交易明細!$B$2:$B$495,$A10,交易明細!$J$2:$J$495,"&lt;&gt;未平倉"),0)</f>
        <v/>
      </c>
      <c r="L10" s="2">
        <f>COUNTIFS(交易明細!$B$2:$B$495,$A10,交易明細!$J$2:$J$495,"未平倉")</f>
        <v/>
      </c>
    </row>
    <row r="11">
      <c r="A11" s="2" t="inlineStr">
        <is>
          <t>UNI_USDT_PERP</t>
        </is>
      </c>
      <c r="B11" s="2">
        <f>COUNTIFS(交易明細!$B$2:$B$495,$A11)</f>
        <v/>
      </c>
      <c r="C11" s="2">
        <f>COUNTIFS(交易明細!$B$2:$B$495,$A11,交易明細!$C$2:$C$495,"做多")</f>
        <v/>
      </c>
      <c r="D11" s="2">
        <f>COUNTIFS(交易明細!$B$2:$B$495,$A11,交易明細!$C$2:$C$495,"做空")</f>
        <v/>
      </c>
      <c r="E11" s="2">
        <f>F11+G11+COUNTIFS(交易明細!$B$2:$B$495,$A11,交易明細!$J$2:$J$495,"時間出場")</f>
        <v/>
      </c>
      <c r="F11" s="2">
        <f>COUNTIFS(交易明細!$B$2:$B$495,$A11,交易明細!$J$2:$J$495,"止盈")</f>
        <v/>
      </c>
      <c r="G11" s="2">
        <f>COUNTIFS(交易明細!$B$2:$B$495,$A11,交易明細!$J$2:$J$495,"止損")</f>
        <v/>
      </c>
      <c r="H11" s="4">
        <f>IFERROR(F11/E11,0)</f>
        <v/>
      </c>
      <c r="I11" s="4">
        <f>IFERROR(AVERAGEIFS(交易明細!$L$2:$L$495,交易明細!$B$2:$B$495,$A11,交易明細!$J$2:$J$495,"&lt;&gt;未平倉"),0)</f>
        <v/>
      </c>
      <c r="J11" s="4">
        <f>SUMIFS(交易明細!$L$2:$L$495,交易明細!$B$2:$B$495,$A11,交易明細!$J$2:$J$495,"&lt;&gt;未平倉")</f>
        <v/>
      </c>
      <c r="K11" s="5">
        <f>IFERROR(AVERAGEIFS(交易明細!$K$2:$K$495,交易明細!$B$2:$B$495,$A11,交易明細!$J$2:$J$495,"&lt;&gt;未平倉"),0)</f>
        <v/>
      </c>
      <c r="L11" s="2">
        <f>COUNTIFS(交易明細!$B$2:$B$495,$A11,交易明細!$J$2:$J$495,"未平倉")</f>
        <v/>
      </c>
    </row>
    <row r="12">
      <c r="A12" s="2" t="inlineStr">
        <is>
          <t>ENA_USDT_PERP</t>
        </is>
      </c>
      <c r="B12" s="2">
        <f>COUNTIFS(交易明細!$B$2:$B$495,$A12)</f>
        <v/>
      </c>
      <c r="C12" s="2">
        <f>COUNTIFS(交易明細!$B$2:$B$495,$A12,交易明細!$C$2:$C$495,"做多")</f>
        <v/>
      </c>
      <c r="D12" s="2">
        <f>COUNTIFS(交易明細!$B$2:$B$495,$A12,交易明細!$C$2:$C$495,"做空")</f>
        <v/>
      </c>
      <c r="E12" s="2">
        <f>F12+G12+COUNTIFS(交易明細!$B$2:$B$495,$A12,交易明細!$J$2:$J$495,"時間出場")</f>
        <v/>
      </c>
      <c r="F12" s="2">
        <f>COUNTIFS(交易明細!$B$2:$B$495,$A12,交易明細!$J$2:$J$495,"止盈")</f>
        <v/>
      </c>
      <c r="G12" s="2">
        <f>COUNTIFS(交易明細!$B$2:$B$495,$A12,交易明細!$J$2:$J$495,"止損")</f>
        <v/>
      </c>
      <c r="H12" s="4">
        <f>IFERROR(F12/E12,0)</f>
        <v/>
      </c>
      <c r="I12" s="4">
        <f>IFERROR(AVERAGEIFS(交易明細!$L$2:$L$495,交易明細!$B$2:$B$495,$A12,交易明細!$J$2:$J$495,"&lt;&gt;未平倉"),0)</f>
        <v/>
      </c>
      <c r="J12" s="4">
        <f>SUMIFS(交易明細!$L$2:$L$495,交易明細!$B$2:$B$495,$A12,交易明細!$J$2:$J$495,"&lt;&gt;未平倉")</f>
        <v/>
      </c>
      <c r="K12" s="5">
        <f>IFERROR(AVERAGEIFS(交易明細!$K$2:$K$495,交易明細!$B$2:$B$495,$A12,交易明細!$J$2:$J$495,"&lt;&gt;未平倉"),0)</f>
        <v/>
      </c>
      <c r="L12" s="2">
        <f>COUNTIFS(交易明細!$B$2:$B$495,$A12,交易明細!$J$2:$J$495,"未平倉")</f>
        <v/>
      </c>
    </row>
    <row r="13">
      <c r="A13" s="2" t="inlineStr">
        <is>
          <t>VVV_USDT_PERP</t>
        </is>
      </c>
      <c r="B13" s="2">
        <f>COUNTIFS(交易明細!$B$2:$B$495,$A13)</f>
        <v/>
      </c>
      <c r="C13" s="2">
        <f>COUNTIFS(交易明細!$B$2:$B$495,$A13,交易明細!$C$2:$C$495,"做多")</f>
        <v/>
      </c>
      <c r="D13" s="2">
        <f>COUNTIFS(交易明細!$B$2:$B$495,$A13,交易明細!$C$2:$C$495,"做空")</f>
        <v/>
      </c>
      <c r="E13" s="2">
        <f>F13+G13+COUNTIFS(交易明細!$B$2:$B$495,$A13,交易明細!$J$2:$J$495,"時間出場")</f>
        <v/>
      </c>
      <c r="F13" s="2">
        <f>COUNTIFS(交易明細!$B$2:$B$495,$A13,交易明細!$J$2:$J$495,"止盈")</f>
        <v/>
      </c>
      <c r="G13" s="2">
        <f>COUNTIFS(交易明細!$B$2:$B$495,$A13,交易明細!$J$2:$J$495,"止損")</f>
        <v/>
      </c>
      <c r="H13" s="4">
        <f>IFERROR(F13/E13,0)</f>
        <v/>
      </c>
      <c r="I13" s="4">
        <f>IFERROR(AVERAGEIFS(交易明細!$L$2:$L$495,交易明細!$B$2:$B$495,$A13,交易明細!$J$2:$J$495,"&lt;&gt;未平倉"),0)</f>
        <v/>
      </c>
      <c r="J13" s="4">
        <f>SUMIFS(交易明細!$L$2:$L$495,交易明細!$B$2:$B$495,$A13,交易明細!$J$2:$J$495,"&lt;&gt;未平倉")</f>
        <v/>
      </c>
      <c r="K13" s="5">
        <f>IFERROR(AVERAGEIFS(交易明細!$K$2:$K$495,交易明細!$B$2:$B$495,$A13,交易明細!$J$2:$J$495,"&lt;&gt;未平倉"),0)</f>
        <v/>
      </c>
      <c r="L13" s="2">
        <f>COUNTIFS(交易明細!$B$2:$B$495,$A13,交易明細!$J$2:$J$495,"未平倉")</f>
        <v/>
      </c>
    </row>
    <row r="14">
      <c r="A14" s="2" t="inlineStr">
        <is>
          <t>BR_USDT_PERP</t>
        </is>
      </c>
      <c r="B14" s="2">
        <f>COUNTIFS(交易明細!$B$2:$B$495,$A14)</f>
        <v/>
      </c>
      <c r="C14" s="2">
        <f>COUNTIFS(交易明細!$B$2:$B$495,$A14,交易明細!$C$2:$C$495,"做多")</f>
        <v/>
      </c>
      <c r="D14" s="2">
        <f>COUNTIFS(交易明細!$B$2:$B$495,$A14,交易明細!$C$2:$C$495,"做空")</f>
        <v/>
      </c>
      <c r="E14" s="2">
        <f>F14+G14+COUNTIFS(交易明細!$B$2:$B$495,$A14,交易明細!$J$2:$J$495,"時間出場")</f>
        <v/>
      </c>
      <c r="F14" s="2">
        <f>COUNTIFS(交易明細!$B$2:$B$495,$A14,交易明細!$J$2:$J$495,"止盈")</f>
        <v/>
      </c>
      <c r="G14" s="2">
        <f>COUNTIFS(交易明細!$B$2:$B$495,$A14,交易明細!$J$2:$J$495,"止損")</f>
        <v/>
      </c>
      <c r="H14" s="4">
        <f>IFERROR(F14/E14,0)</f>
        <v/>
      </c>
      <c r="I14" s="4">
        <f>IFERROR(AVERAGEIFS(交易明細!$L$2:$L$495,交易明細!$B$2:$B$495,$A14,交易明細!$J$2:$J$495,"&lt;&gt;未平倉"),0)</f>
        <v/>
      </c>
      <c r="J14" s="4">
        <f>SUMIFS(交易明細!$L$2:$L$495,交易明細!$B$2:$B$495,$A14,交易明細!$J$2:$J$495,"&lt;&gt;未平倉")</f>
        <v/>
      </c>
      <c r="K14" s="5">
        <f>IFERROR(AVERAGEIFS(交易明細!$K$2:$K$495,交易明細!$B$2:$B$495,$A14,交易明細!$J$2:$J$495,"&lt;&gt;未平倉"),0)</f>
        <v/>
      </c>
      <c r="L14" s="2">
        <f>COUNTIFS(交易明細!$B$2:$B$495,$A14,交易明細!$J$2:$J$495,"未平倉")</f>
        <v/>
      </c>
    </row>
    <row r="15">
      <c r="A15" s="2" t="inlineStr">
        <is>
          <t>LSK_USDT_PERP</t>
        </is>
      </c>
      <c r="B15" s="2">
        <f>COUNTIFS(交易明細!$B$2:$B$495,$A15)</f>
        <v/>
      </c>
      <c r="C15" s="2">
        <f>COUNTIFS(交易明細!$B$2:$B$495,$A15,交易明細!$C$2:$C$495,"做多")</f>
        <v/>
      </c>
      <c r="D15" s="2">
        <f>COUNTIFS(交易明細!$B$2:$B$495,$A15,交易明細!$C$2:$C$495,"做空")</f>
        <v/>
      </c>
      <c r="E15" s="2">
        <f>F15+G15+COUNTIFS(交易明細!$B$2:$B$495,$A15,交易明細!$J$2:$J$495,"時間出場")</f>
        <v/>
      </c>
      <c r="F15" s="2">
        <f>COUNTIFS(交易明細!$B$2:$B$495,$A15,交易明細!$J$2:$J$495,"止盈")</f>
        <v/>
      </c>
      <c r="G15" s="2">
        <f>COUNTIFS(交易明細!$B$2:$B$495,$A15,交易明細!$J$2:$J$495,"止損")</f>
        <v/>
      </c>
      <c r="H15" s="4">
        <f>IFERROR(F15/E15,0)</f>
        <v/>
      </c>
      <c r="I15" s="4">
        <f>IFERROR(AVERAGEIFS(交易明細!$L$2:$L$495,交易明細!$B$2:$B$495,$A15,交易明細!$J$2:$J$495,"&lt;&gt;未平倉"),0)</f>
        <v/>
      </c>
      <c r="J15" s="4">
        <f>SUMIFS(交易明細!$L$2:$L$495,交易明細!$B$2:$B$495,$A15,交易明細!$J$2:$J$495,"&lt;&gt;未平倉")</f>
        <v/>
      </c>
      <c r="K15" s="5">
        <f>IFERROR(AVERAGEIFS(交易明細!$K$2:$K$495,交易明細!$B$2:$B$495,$A15,交易明細!$J$2:$J$495,"&lt;&gt;未平倉"),0)</f>
        <v/>
      </c>
      <c r="L15" s="2">
        <f>COUNTIFS(交易明細!$B$2:$B$495,$A15,交易明細!$J$2:$J$495,"未平倉")</f>
        <v/>
      </c>
    </row>
    <row r="16">
      <c r="A16" s="2" t="inlineStr">
        <is>
          <t>UAI_USDT_PERP</t>
        </is>
      </c>
      <c r="B16" s="2">
        <f>COUNTIFS(交易明細!$B$2:$B$495,$A16)</f>
        <v/>
      </c>
      <c r="C16" s="2">
        <f>COUNTIFS(交易明細!$B$2:$B$495,$A16,交易明細!$C$2:$C$495,"做多")</f>
        <v/>
      </c>
      <c r="D16" s="2">
        <f>COUNTIFS(交易明細!$B$2:$B$495,$A16,交易明細!$C$2:$C$495,"做空")</f>
        <v/>
      </c>
      <c r="E16" s="2">
        <f>F16+G16+COUNTIFS(交易明細!$B$2:$B$495,$A16,交易明細!$J$2:$J$495,"時間出場")</f>
        <v/>
      </c>
      <c r="F16" s="2">
        <f>COUNTIFS(交易明細!$B$2:$B$495,$A16,交易明細!$J$2:$J$495,"止盈")</f>
        <v/>
      </c>
      <c r="G16" s="2">
        <f>COUNTIFS(交易明細!$B$2:$B$495,$A16,交易明細!$J$2:$J$495,"止損")</f>
        <v/>
      </c>
      <c r="H16" s="4">
        <f>IFERROR(F16/E16,0)</f>
        <v/>
      </c>
      <c r="I16" s="4">
        <f>IFERROR(AVERAGEIFS(交易明細!$L$2:$L$495,交易明細!$B$2:$B$495,$A16,交易明細!$J$2:$J$495,"&lt;&gt;未平倉"),0)</f>
        <v/>
      </c>
      <c r="J16" s="4">
        <f>SUMIFS(交易明細!$L$2:$L$495,交易明細!$B$2:$B$495,$A16,交易明細!$J$2:$J$495,"&lt;&gt;未平倉")</f>
        <v/>
      </c>
      <c r="K16" s="5">
        <f>IFERROR(AVERAGEIFS(交易明細!$K$2:$K$495,交易明細!$B$2:$B$495,$A16,交易明細!$J$2:$J$495,"&lt;&gt;未平倉"),0)</f>
        <v/>
      </c>
      <c r="L16" s="2">
        <f>COUNTIFS(交易明細!$B$2:$B$495,$A16,交易明細!$J$2:$J$495,"未平倉")</f>
        <v/>
      </c>
    </row>
    <row r="17">
      <c r="A17" s="2" t="inlineStr">
        <is>
          <t>BULLA_USDT_PERP</t>
        </is>
      </c>
      <c r="B17" s="2">
        <f>COUNTIFS(交易明細!$B$2:$B$495,$A17)</f>
        <v/>
      </c>
      <c r="C17" s="2">
        <f>COUNTIFS(交易明細!$B$2:$B$495,$A17,交易明細!$C$2:$C$495,"做多")</f>
        <v/>
      </c>
      <c r="D17" s="2">
        <f>COUNTIFS(交易明細!$B$2:$B$495,$A17,交易明細!$C$2:$C$495,"做空")</f>
        <v/>
      </c>
      <c r="E17" s="2">
        <f>F17+G17+COUNTIFS(交易明細!$B$2:$B$495,$A17,交易明細!$J$2:$J$495,"時間出場")</f>
        <v/>
      </c>
      <c r="F17" s="2">
        <f>COUNTIFS(交易明細!$B$2:$B$495,$A17,交易明細!$J$2:$J$495,"止盈")</f>
        <v/>
      </c>
      <c r="G17" s="2">
        <f>COUNTIFS(交易明細!$B$2:$B$495,$A17,交易明細!$J$2:$J$495,"止損")</f>
        <v/>
      </c>
      <c r="H17" s="4">
        <f>IFERROR(F17/E17,0)</f>
        <v/>
      </c>
      <c r="I17" s="4">
        <f>IFERROR(AVERAGEIFS(交易明細!$L$2:$L$495,交易明細!$B$2:$B$495,$A17,交易明細!$J$2:$J$495,"&lt;&gt;未平倉"),0)</f>
        <v/>
      </c>
      <c r="J17" s="4">
        <f>SUMIFS(交易明細!$L$2:$L$495,交易明細!$B$2:$B$495,$A17,交易明細!$J$2:$J$495,"&lt;&gt;未平倉")</f>
        <v/>
      </c>
      <c r="K17" s="5">
        <f>IFERROR(AVERAGEIFS(交易明細!$K$2:$K$495,交易明細!$B$2:$B$495,$A17,交易明細!$J$2:$J$495,"&lt;&gt;未平倉"),0)</f>
        <v/>
      </c>
      <c r="L17" s="2">
        <f>COUNTIFS(交易明細!$B$2:$B$495,$A17,交易明細!$J$2:$J$495,"未平倉")</f>
        <v/>
      </c>
    </row>
    <row r="18">
      <c r="A18" s="2" t="inlineStr">
        <is>
          <t>HEMI_USDT_PERP</t>
        </is>
      </c>
      <c r="B18" s="2">
        <f>COUNTIFS(交易明細!$B$2:$B$495,$A18)</f>
        <v/>
      </c>
      <c r="C18" s="2">
        <f>COUNTIFS(交易明細!$B$2:$B$495,$A18,交易明細!$C$2:$C$495,"做多")</f>
        <v/>
      </c>
      <c r="D18" s="2">
        <f>COUNTIFS(交易明細!$B$2:$B$495,$A18,交易明細!$C$2:$C$495,"做空")</f>
        <v/>
      </c>
      <c r="E18" s="2">
        <f>F18+G18+COUNTIFS(交易明細!$B$2:$B$495,$A18,交易明細!$J$2:$J$495,"時間出場")</f>
        <v/>
      </c>
      <c r="F18" s="2">
        <f>COUNTIFS(交易明細!$B$2:$B$495,$A18,交易明細!$J$2:$J$495,"止盈")</f>
        <v/>
      </c>
      <c r="G18" s="2">
        <f>COUNTIFS(交易明細!$B$2:$B$495,$A18,交易明細!$J$2:$J$495,"止損")</f>
        <v/>
      </c>
      <c r="H18" s="4">
        <f>IFERROR(F18/E18,0)</f>
        <v/>
      </c>
      <c r="I18" s="4">
        <f>IFERROR(AVERAGEIFS(交易明細!$L$2:$L$495,交易明細!$B$2:$B$495,$A18,交易明細!$J$2:$J$495,"&lt;&gt;未平倉"),0)</f>
        <v/>
      </c>
      <c r="J18" s="4">
        <f>SUMIFS(交易明細!$L$2:$L$495,交易明細!$B$2:$B$495,$A18,交易明細!$J$2:$J$495,"&lt;&gt;未平倉")</f>
        <v/>
      </c>
      <c r="K18" s="5">
        <f>IFERROR(AVERAGEIFS(交易明細!$K$2:$K$495,交易明細!$B$2:$B$495,$A18,交易明細!$J$2:$J$495,"&lt;&gt;未平倉"),0)</f>
        <v/>
      </c>
      <c r="L18" s="2">
        <f>COUNTIFS(交易明細!$B$2:$B$495,$A18,交易明細!$J$2:$J$495,"未平倉")</f>
        <v/>
      </c>
    </row>
    <row r="19">
      <c r="A19" s="2" t="inlineStr">
        <is>
          <t>RAY_USDT_PERP</t>
        </is>
      </c>
      <c r="B19" s="2">
        <f>COUNTIFS(交易明細!$B$2:$B$495,$A19)</f>
        <v/>
      </c>
      <c r="C19" s="2">
        <f>COUNTIFS(交易明細!$B$2:$B$495,$A19,交易明細!$C$2:$C$495,"做多")</f>
        <v/>
      </c>
      <c r="D19" s="2">
        <f>COUNTIFS(交易明細!$B$2:$B$495,$A19,交易明細!$C$2:$C$495,"做空")</f>
        <v/>
      </c>
      <c r="E19" s="2">
        <f>F19+G19+COUNTIFS(交易明細!$B$2:$B$495,$A19,交易明細!$J$2:$J$495,"時間出場")</f>
        <v/>
      </c>
      <c r="F19" s="2">
        <f>COUNTIFS(交易明細!$B$2:$B$495,$A19,交易明細!$J$2:$J$495,"止盈")</f>
        <v/>
      </c>
      <c r="G19" s="2">
        <f>COUNTIFS(交易明細!$B$2:$B$495,$A19,交易明細!$J$2:$J$495,"止損")</f>
        <v/>
      </c>
      <c r="H19" s="4">
        <f>IFERROR(F19/E19,0)</f>
        <v/>
      </c>
      <c r="I19" s="4">
        <f>IFERROR(AVERAGEIFS(交易明細!$L$2:$L$495,交易明細!$B$2:$B$495,$A19,交易明細!$J$2:$J$495,"&lt;&gt;未平倉"),0)</f>
        <v/>
      </c>
      <c r="J19" s="4">
        <f>SUMIFS(交易明細!$L$2:$L$495,交易明細!$B$2:$B$495,$A19,交易明細!$J$2:$J$495,"&lt;&gt;未平倉")</f>
        <v/>
      </c>
      <c r="K19" s="5">
        <f>IFERROR(AVERAGEIFS(交易明細!$K$2:$K$495,交易明細!$B$2:$B$495,$A19,交易明細!$J$2:$J$495,"&lt;&gt;未平倉"),0)</f>
        <v/>
      </c>
      <c r="L19" s="2">
        <f>COUNTIFS(交易明細!$B$2:$B$495,$A19,交易明細!$J$2:$J$495,"未平倉")</f>
        <v/>
      </c>
    </row>
    <row r="20">
      <c r="A20" s="2" t="inlineStr">
        <is>
          <t>INJ_USDT_PERP</t>
        </is>
      </c>
      <c r="B20" s="2">
        <f>COUNTIFS(交易明細!$B$2:$B$495,$A20)</f>
        <v/>
      </c>
      <c r="C20" s="2">
        <f>COUNTIFS(交易明細!$B$2:$B$495,$A20,交易明細!$C$2:$C$495,"做多")</f>
        <v/>
      </c>
      <c r="D20" s="2">
        <f>COUNTIFS(交易明細!$B$2:$B$495,$A20,交易明細!$C$2:$C$495,"做空")</f>
        <v/>
      </c>
      <c r="E20" s="2">
        <f>F20+G20+COUNTIFS(交易明細!$B$2:$B$495,$A20,交易明細!$J$2:$J$495,"時間出場")</f>
        <v/>
      </c>
      <c r="F20" s="2">
        <f>COUNTIFS(交易明細!$B$2:$B$495,$A20,交易明細!$J$2:$J$495,"止盈")</f>
        <v/>
      </c>
      <c r="G20" s="2">
        <f>COUNTIFS(交易明細!$B$2:$B$495,$A20,交易明細!$J$2:$J$495,"止損")</f>
        <v/>
      </c>
      <c r="H20" s="4">
        <f>IFERROR(F20/E20,0)</f>
        <v/>
      </c>
      <c r="I20" s="4">
        <f>IFERROR(AVERAGEIFS(交易明細!$L$2:$L$495,交易明細!$B$2:$B$495,$A20,交易明細!$J$2:$J$495,"&lt;&gt;未平倉"),0)</f>
        <v/>
      </c>
      <c r="J20" s="4">
        <f>SUMIFS(交易明細!$L$2:$L$495,交易明細!$B$2:$B$495,$A20,交易明細!$J$2:$J$495,"&lt;&gt;未平倉")</f>
        <v/>
      </c>
      <c r="K20" s="5">
        <f>IFERROR(AVERAGEIFS(交易明細!$K$2:$K$495,交易明細!$B$2:$B$495,$A20,交易明細!$J$2:$J$495,"&lt;&gt;未平倉"),0)</f>
        <v/>
      </c>
      <c r="L20" s="2">
        <f>COUNTIFS(交易明細!$B$2:$B$495,$A20,交易明細!$J$2:$J$495,"未平倉")</f>
        <v/>
      </c>
    </row>
    <row r="21">
      <c r="A21" s="2" t="inlineStr">
        <is>
          <t>DASH_USDT_PERP</t>
        </is>
      </c>
      <c r="B21" s="2">
        <f>COUNTIFS(交易明細!$B$2:$B$495,$A21)</f>
        <v/>
      </c>
      <c r="C21" s="2">
        <f>COUNTIFS(交易明細!$B$2:$B$495,$A21,交易明細!$C$2:$C$495,"做多")</f>
        <v/>
      </c>
      <c r="D21" s="2">
        <f>COUNTIFS(交易明細!$B$2:$B$495,$A21,交易明細!$C$2:$C$495,"做空")</f>
        <v/>
      </c>
      <c r="E21" s="2">
        <f>F21+G21+COUNTIFS(交易明細!$B$2:$B$495,$A21,交易明細!$J$2:$J$495,"時間出場")</f>
        <v/>
      </c>
      <c r="F21" s="2">
        <f>COUNTIFS(交易明細!$B$2:$B$495,$A21,交易明細!$J$2:$J$495,"止盈")</f>
        <v/>
      </c>
      <c r="G21" s="2">
        <f>COUNTIFS(交易明細!$B$2:$B$495,$A21,交易明細!$J$2:$J$495,"止損")</f>
        <v/>
      </c>
      <c r="H21" s="4">
        <f>IFERROR(F21/E21,0)</f>
        <v/>
      </c>
      <c r="I21" s="4">
        <f>IFERROR(AVERAGEIFS(交易明細!$L$2:$L$495,交易明細!$B$2:$B$495,$A21,交易明細!$J$2:$J$495,"&lt;&gt;未平倉"),0)</f>
        <v/>
      </c>
      <c r="J21" s="4">
        <f>SUMIFS(交易明細!$L$2:$L$495,交易明細!$B$2:$B$495,$A21,交易明細!$J$2:$J$495,"&lt;&gt;未平倉")</f>
        <v/>
      </c>
      <c r="K21" s="5">
        <f>IFERROR(AVERAGEIFS(交易明細!$K$2:$K$495,交易明細!$B$2:$B$495,$A21,交易明細!$J$2:$J$495,"&lt;&gt;未平倉"),0)</f>
        <v/>
      </c>
      <c r="L21" s="2">
        <f>COUNTIFS(交易明細!$B$2:$B$495,$A21,交易明細!$J$2:$J$495,"未平倉")</f>
        <v/>
      </c>
    </row>
    <row r="22">
      <c r="A22" s="2" t="inlineStr">
        <is>
          <t>ZEC_USDT_PERP</t>
        </is>
      </c>
      <c r="B22" s="2">
        <f>COUNTIFS(交易明細!$B$2:$B$495,$A22)</f>
        <v/>
      </c>
      <c r="C22" s="2">
        <f>COUNTIFS(交易明細!$B$2:$B$495,$A22,交易明細!$C$2:$C$495,"做多")</f>
        <v/>
      </c>
      <c r="D22" s="2">
        <f>COUNTIFS(交易明細!$B$2:$B$495,$A22,交易明細!$C$2:$C$495,"做空")</f>
        <v/>
      </c>
      <c r="E22" s="2">
        <f>F22+G22+COUNTIFS(交易明細!$B$2:$B$495,$A22,交易明細!$J$2:$J$495,"時間出場")</f>
        <v/>
      </c>
      <c r="F22" s="2">
        <f>COUNTIFS(交易明細!$B$2:$B$495,$A22,交易明細!$J$2:$J$495,"止盈")</f>
        <v/>
      </c>
      <c r="G22" s="2">
        <f>COUNTIFS(交易明細!$B$2:$B$495,$A22,交易明細!$J$2:$J$495,"止損")</f>
        <v/>
      </c>
      <c r="H22" s="4">
        <f>IFERROR(F22/E22,0)</f>
        <v/>
      </c>
      <c r="I22" s="4">
        <f>IFERROR(AVERAGEIFS(交易明細!$L$2:$L$495,交易明細!$B$2:$B$495,$A22,交易明細!$J$2:$J$495,"&lt;&gt;未平倉"),0)</f>
        <v/>
      </c>
      <c r="J22" s="4">
        <f>SUMIFS(交易明細!$L$2:$L$495,交易明細!$B$2:$B$495,$A22,交易明細!$J$2:$J$495,"&lt;&gt;未平倉")</f>
        <v/>
      </c>
      <c r="K22" s="5">
        <f>IFERROR(AVERAGEIFS(交易明細!$K$2:$K$495,交易明細!$B$2:$B$495,$A22,交易明細!$J$2:$J$495,"&lt;&gt;未平倉"),0)</f>
        <v/>
      </c>
      <c r="L22" s="2">
        <f>COUNTIFS(交易明細!$B$2:$B$495,$A22,交易明細!$J$2:$J$495,"未平倉")</f>
        <v/>
      </c>
    </row>
    <row r="23">
      <c r="A23" s="2" t="inlineStr">
        <is>
          <t>ZAMA_USDT_PERP</t>
        </is>
      </c>
      <c r="B23" s="2">
        <f>COUNTIFS(交易明細!$B$2:$B$495,$A23)</f>
        <v/>
      </c>
      <c r="C23" s="2">
        <f>COUNTIFS(交易明細!$B$2:$B$495,$A23,交易明細!$C$2:$C$495,"做多")</f>
        <v/>
      </c>
      <c r="D23" s="2">
        <f>COUNTIFS(交易明細!$B$2:$B$495,$A23,交易明細!$C$2:$C$495,"做空")</f>
        <v/>
      </c>
      <c r="E23" s="2">
        <f>F23+G23+COUNTIFS(交易明細!$B$2:$B$495,$A23,交易明細!$J$2:$J$495,"時間出場")</f>
        <v/>
      </c>
      <c r="F23" s="2">
        <f>COUNTIFS(交易明細!$B$2:$B$495,$A23,交易明細!$J$2:$J$495,"止盈")</f>
        <v/>
      </c>
      <c r="G23" s="2">
        <f>COUNTIFS(交易明細!$B$2:$B$495,$A23,交易明細!$J$2:$J$495,"止損")</f>
        <v/>
      </c>
      <c r="H23" s="4">
        <f>IFERROR(F23/E23,0)</f>
        <v/>
      </c>
      <c r="I23" s="4">
        <f>IFERROR(AVERAGEIFS(交易明細!$L$2:$L$495,交易明細!$B$2:$B$495,$A23,交易明細!$J$2:$J$495,"&lt;&gt;未平倉"),0)</f>
        <v/>
      </c>
      <c r="J23" s="4">
        <f>SUMIFS(交易明細!$L$2:$L$495,交易明細!$B$2:$B$495,$A23,交易明細!$J$2:$J$495,"&lt;&gt;未平倉")</f>
        <v/>
      </c>
      <c r="K23" s="5">
        <f>IFERROR(AVERAGEIFS(交易明細!$K$2:$K$495,交易明細!$B$2:$B$495,$A23,交易明細!$J$2:$J$495,"&lt;&gt;未平倉"),0)</f>
        <v/>
      </c>
      <c r="L23" s="2">
        <f>COUNTIFS(交易明細!$B$2:$B$495,$A23,交易明細!$J$2:$J$495,"未平倉")</f>
        <v/>
      </c>
    </row>
    <row r="24">
      <c r="A24" s="2" t="inlineStr">
        <is>
          <t>XPL_USDT_PERP</t>
        </is>
      </c>
      <c r="B24" s="2">
        <f>COUNTIFS(交易明細!$B$2:$B$495,$A24)</f>
        <v/>
      </c>
      <c r="C24" s="2">
        <f>COUNTIFS(交易明細!$B$2:$B$495,$A24,交易明細!$C$2:$C$495,"做多")</f>
        <v/>
      </c>
      <c r="D24" s="2">
        <f>COUNTIFS(交易明細!$B$2:$B$495,$A24,交易明細!$C$2:$C$495,"做空")</f>
        <v/>
      </c>
      <c r="E24" s="2">
        <f>F24+G24+COUNTIFS(交易明細!$B$2:$B$495,$A24,交易明細!$J$2:$J$495,"時間出場")</f>
        <v/>
      </c>
      <c r="F24" s="2">
        <f>COUNTIFS(交易明細!$B$2:$B$495,$A24,交易明細!$J$2:$J$495,"止盈")</f>
        <v/>
      </c>
      <c r="G24" s="2">
        <f>COUNTIFS(交易明細!$B$2:$B$495,$A24,交易明細!$J$2:$J$495,"止損")</f>
        <v/>
      </c>
      <c r="H24" s="4">
        <f>IFERROR(F24/E24,0)</f>
        <v/>
      </c>
      <c r="I24" s="4">
        <f>IFERROR(AVERAGEIFS(交易明細!$L$2:$L$495,交易明細!$B$2:$B$495,$A24,交易明細!$J$2:$J$495,"&lt;&gt;未平倉"),0)</f>
        <v/>
      </c>
      <c r="J24" s="4">
        <f>SUMIFS(交易明細!$L$2:$L$495,交易明細!$B$2:$B$495,$A24,交易明細!$J$2:$J$495,"&lt;&gt;未平倉")</f>
        <v/>
      </c>
      <c r="K24" s="5">
        <f>IFERROR(AVERAGEIFS(交易明細!$K$2:$K$495,交易明細!$B$2:$B$495,$A24,交易明細!$J$2:$J$495,"&lt;&gt;未平倉"),0)</f>
        <v/>
      </c>
      <c r="L24" s="2">
        <f>COUNTIFS(交易明細!$B$2:$B$495,$A24,交易明細!$J$2:$J$495,"未平倉")</f>
        <v/>
      </c>
    </row>
    <row r="25">
      <c r="A25" s="2" t="inlineStr">
        <is>
          <t>PENGU_USDT_PERP</t>
        </is>
      </c>
      <c r="B25" s="2">
        <f>COUNTIFS(交易明細!$B$2:$B$495,$A25)</f>
        <v/>
      </c>
      <c r="C25" s="2">
        <f>COUNTIFS(交易明細!$B$2:$B$495,$A25,交易明細!$C$2:$C$495,"做多")</f>
        <v/>
      </c>
      <c r="D25" s="2">
        <f>COUNTIFS(交易明細!$B$2:$B$495,$A25,交易明細!$C$2:$C$495,"做空")</f>
        <v/>
      </c>
      <c r="E25" s="2">
        <f>F25+G25+COUNTIFS(交易明細!$B$2:$B$495,$A25,交易明細!$J$2:$J$495,"時間出場")</f>
        <v/>
      </c>
      <c r="F25" s="2">
        <f>COUNTIFS(交易明細!$B$2:$B$495,$A25,交易明細!$J$2:$J$495,"止盈")</f>
        <v/>
      </c>
      <c r="G25" s="2">
        <f>COUNTIFS(交易明細!$B$2:$B$495,$A25,交易明細!$J$2:$J$495,"止損")</f>
        <v/>
      </c>
      <c r="H25" s="4">
        <f>IFERROR(F25/E25,0)</f>
        <v/>
      </c>
      <c r="I25" s="4">
        <f>IFERROR(AVERAGEIFS(交易明細!$L$2:$L$495,交易明細!$B$2:$B$495,$A25,交易明細!$J$2:$J$495,"&lt;&gt;未平倉"),0)</f>
        <v/>
      </c>
      <c r="J25" s="4">
        <f>SUMIFS(交易明細!$L$2:$L$495,交易明細!$B$2:$B$495,$A25,交易明細!$J$2:$J$495,"&lt;&gt;未平倉")</f>
        <v/>
      </c>
      <c r="K25" s="5">
        <f>IFERROR(AVERAGEIFS(交易明細!$K$2:$K$495,交易明細!$B$2:$B$495,$A25,交易明細!$J$2:$J$495,"&lt;&gt;未平倉"),0)</f>
        <v/>
      </c>
      <c r="L25" s="2">
        <f>COUNTIFS(交易明細!$B$2:$B$495,$A25,交易明細!$J$2:$J$495,"未平倉")</f>
        <v/>
      </c>
    </row>
    <row r="26">
      <c r="A26" s="2" t="inlineStr">
        <is>
          <t>ONDO_USDT_PERP</t>
        </is>
      </c>
      <c r="B26" s="2">
        <f>COUNTIFS(交易明細!$B$2:$B$495,$A26)</f>
        <v/>
      </c>
      <c r="C26" s="2">
        <f>COUNTIFS(交易明細!$B$2:$B$495,$A26,交易明細!$C$2:$C$495,"做多")</f>
        <v/>
      </c>
      <c r="D26" s="2">
        <f>COUNTIFS(交易明細!$B$2:$B$495,$A26,交易明細!$C$2:$C$495,"做空")</f>
        <v/>
      </c>
      <c r="E26" s="2">
        <f>F26+G26+COUNTIFS(交易明細!$B$2:$B$495,$A26,交易明細!$J$2:$J$495,"時間出場")</f>
        <v/>
      </c>
      <c r="F26" s="2">
        <f>COUNTIFS(交易明細!$B$2:$B$495,$A26,交易明細!$J$2:$J$495,"止盈")</f>
        <v/>
      </c>
      <c r="G26" s="2">
        <f>COUNTIFS(交易明細!$B$2:$B$495,$A26,交易明細!$J$2:$J$495,"止損")</f>
        <v/>
      </c>
      <c r="H26" s="4">
        <f>IFERROR(F26/E26,0)</f>
        <v/>
      </c>
      <c r="I26" s="4">
        <f>IFERROR(AVERAGEIFS(交易明細!$L$2:$L$495,交易明細!$B$2:$B$495,$A26,交易明細!$J$2:$J$495,"&lt;&gt;未平倉"),0)</f>
        <v/>
      </c>
      <c r="J26" s="4">
        <f>SUMIFS(交易明細!$L$2:$L$495,交易明細!$B$2:$B$495,$A26,交易明細!$J$2:$J$495,"&lt;&gt;未平倉")</f>
        <v/>
      </c>
      <c r="K26" s="5">
        <f>IFERROR(AVERAGEIFS(交易明細!$K$2:$K$495,交易明細!$B$2:$B$495,$A26,交易明細!$J$2:$J$495,"&lt;&gt;未平倉"),0)</f>
        <v/>
      </c>
      <c r="L26" s="2">
        <f>COUNTIFS(交易明細!$B$2:$B$495,$A26,交易明細!$J$2:$J$495,"未平倉")</f>
        <v/>
      </c>
    </row>
    <row r="27">
      <c r="A27" s="2" t="inlineStr">
        <is>
          <t>SKR_USDT_PERP</t>
        </is>
      </c>
      <c r="B27" s="2">
        <f>COUNTIFS(交易明細!$B$2:$B$495,$A27)</f>
        <v/>
      </c>
      <c r="C27" s="2">
        <f>COUNTIFS(交易明細!$B$2:$B$495,$A27,交易明細!$C$2:$C$495,"做多")</f>
        <v/>
      </c>
      <c r="D27" s="2">
        <f>COUNTIFS(交易明細!$B$2:$B$495,$A27,交易明細!$C$2:$C$495,"做空")</f>
        <v/>
      </c>
      <c r="E27" s="2">
        <f>F27+G27+COUNTIFS(交易明細!$B$2:$B$495,$A27,交易明細!$J$2:$J$495,"時間出場")</f>
        <v/>
      </c>
      <c r="F27" s="2">
        <f>COUNTIFS(交易明細!$B$2:$B$495,$A27,交易明細!$J$2:$J$495,"止盈")</f>
        <v/>
      </c>
      <c r="G27" s="2">
        <f>COUNTIFS(交易明細!$B$2:$B$495,$A27,交易明細!$J$2:$J$495,"止損")</f>
        <v/>
      </c>
      <c r="H27" s="4">
        <f>IFERROR(F27/E27,0)</f>
        <v/>
      </c>
      <c r="I27" s="4">
        <f>IFERROR(AVERAGEIFS(交易明細!$L$2:$L$495,交易明細!$B$2:$B$495,$A27,交易明細!$J$2:$J$495,"&lt;&gt;未平倉"),0)</f>
        <v/>
      </c>
      <c r="J27" s="4">
        <f>SUMIFS(交易明細!$L$2:$L$495,交易明細!$B$2:$B$495,$A27,交易明細!$J$2:$J$495,"&lt;&gt;未平倉")</f>
        <v/>
      </c>
      <c r="K27" s="5">
        <f>IFERROR(AVERAGEIFS(交易明細!$K$2:$K$495,交易明細!$B$2:$B$495,$A27,交易明細!$J$2:$J$495,"&lt;&gt;未平倉"),0)</f>
        <v/>
      </c>
      <c r="L27" s="2">
        <f>COUNTIFS(交易明細!$B$2:$B$495,$A27,交易明細!$J$2:$J$495,"未平倉")</f>
        <v/>
      </c>
    </row>
    <row r="28">
      <c r="A28" s="2" t="inlineStr">
        <is>
          <t>IOST_USDT_PERP</t>
        </is>
      </c>
      <c r="B28" s="2">
        <f>COUNTIFS(交易明細!$B$2:$B$495,$A28)</f>
        <v/>
      </c>
      <c r="C28" s="2">
        <f>COUNTIFS(交易明細!$B$2:$B$495,$A28,交易明細!$C$2:$C$495,"做多")</f>
        <v/>
      </c>
      <c r="D28" s="2">
        <f>COUNTIFS(交易明細!$B$2:$B$495,$A28,交易明細!$C$2:$C$495,"做空")</f>
        <v/>
      </c>
      <c r="E28" s="2">
        <f>F28+G28+COUNTIFS(交易明細!$B$2:$B$495,$A28,交易明細!$J$2:$J$495,"時間出場")</f>
        <v/>
      </c>
      <c r="F28" s="2">
        <f>COUNTIFS(交易明細!$B$2:$B$495,$A28,交易明細!$J$2:$J$495,"止盈")</f>
        <v/>
      </c>
      <c r="G28" s="2">
        <f>COUNTIFS(交易明細!$B$2:$B$495,$A28,交易明細!$J$2:$J$495,"止損")</f>
        <v/>
      </c>
      <c r="H28" s="4">
        <f>IFERROR(F28/E28,0)</f>
        <v/>
      </c>
      <c r="I28" s="4">
        <f>IFERROR(AVERAGEIFS(交易明細!$L$2:$L$495,交易明細!$B$2:$B$495,$A28,交易明細!$J$2:$J$495,"&lt;&gt;未平倉"),0)</f>
        <v/>
      </c>
      <c r="J28" s="4">
        <f>SUMIFS(交易明細!$L$2:$L$495,交易明細!$B$2:$B$495,$A28,交易明細!$J$2:$J$495,"&lt;&gt;未平倉")</f>
        <v/>
      </c>
      <c r="K28" s="5">
        <f>IFERROR(AVERAGEIFS(交易明細!$K$2:$K$495,交易明細!$B$2:$B$495,$A28,交易明細!$J$2:$J$495,"&lt;&gt;未平倉"),0)</f>
        <v/>
      </c>
      <c r="L28" s="2">
        <f>COUNTIFS(交易明細!$B$2:$B$495,$A28,交易明細!$J$2:$J$495,"未平倉")</f>
        <v/>
      </c>
    </row>
    <row r="29">
      <c r="A29" s="2" t="inlineStr">
        <is>
          <t>WLD_USDT_PERP</t>
        </is>
      </c>
      <c r="B29" s="2">
        <f>COUNTIFS(交易明細!$B$2:$B$495,$A29)</f>
        <v/>
      </c>
      <c r="C29" s="2">
        <f>COUNTIFS(交易明細!$B$2:$B$495,$A29,交易明細!$C$2:$C$495,"做多")</f>
        <v/>
      </c>
      <c r="D29" s="2">
        <f>COUNTIFS(交易明細!$B$2:$B$495,$A29,交易明細!$C$2:$C$495,"做空")</f>
        <v/>
      </c>
      <c r="E29" s="2">
        <f>F29+G29+COUNTIFS(交易明細!$B$2:$B$495,$A29,交易明細!$J$2:$J$495,"時間出場")</f>
        <v/>
      </c>
      <c r="F29" s="2">
        <f>COUNTIFS(交易明細!$B$2:$B$495,$A29,交易明細!$J$2:$J$495,"止盈")</f>
        <v/>
      </c>
      <c r="G29" s="2">
        <f>COUNTIFS(交易明細!$B$2:$B$495,$A29,交易明細!$J$2:$J$495,"止損")</f>
        <v/>
      </c>
      <c r="H29" s="4">
        <f>IFERROR(F29/E29,0)</f>
        <v/>
      </c>
      <c r="I29" s="4">
        <f>IFERROR(AVERAGEIFS(交易明細!$L$2:$L$495,交易明細!$B$2:$B$495,$A29,交易明細!$J$2:$J$495,"&lt;&gt;未平倉"),0)</f>
        <v/>
      </c>
      <c r="J29" s="4">
        <f>SUMIFS(交易明細!$L$2:$L$495,交易明細!$B$2:$B$495,$A29,交易明細!$J$2:$J$495,"&lt;&gt;未平倉")</f>
        <v/>
      </c>
      <c r="K29" s="5">
        <f>IFERROR(AVERAGEIFS(交易明細!$K$2:$K$495,交易明細!$B$2:$B$495,$A29,交易明細!$J$2:$J$495,"&lt;&gt;未平倉"),0)</f>
        <v/>
      </c>
      <c r="L29" s="2">
        <f>COUNTIFS(交易明細!$B$2:$B$495,$A29,交易明細!$J$2:$J$495,"未平倉")</f>
        <v/>
      </c>
    </row>
    <row r="30">
      <c r="A30" s="2" t="inlineStr">
        <is>
          <t>LAB_USDT_PERP</t>
        </is>
      </c>
      <c r="B30" s="2">
        <f>COUNTIFS(交易明細!$B$2:$B$495,$A30)</f>
        <v/>
      </c>
      <c r="C30" s="2">
        <f>COUNTIFS(交易明細!$B$2:$B$495,$A30,交易明細!$C$2:$C$495,"做多")</f>
        <v/>
      </c>
      <c r="D30" s="2">
        <f>COUNTIFS(交易明細!$B$2:$B$495,$A30,交易明細!$C$2:$C$495,"做空")</f>
        <v/>
      </c>
      <c r="E30" s="2">
        <f>F30+G30+COUNTIFS(交易明細!$B$2:$B$495,$A30,交易明細!$J$2:$J$495,"時間出場")</f>
        <v/>
      </c>
      <c r="F30" s="2">
        <f>COUNTIFS(交易明細!$B$2:$B$495,$A30,交易明細!$J$2:$J$495,"止盈")</f>
        <v/>
      </c>
      <c r="G30" s="2">
        <f>COUNTIFS(交易明細!$B$2:$B$495,$A30,交易明細!$J$2:$J$495,"止損")</f>
        <v/>
      </c>
      <c r="H30" s="4">
        <f>IFERROR(F30/E30,0)</f>
        <v/>
      </c>
      <c r="I30" s="4">
        <f>IFERROR(AVERAGEIFS(交易明細!$L$2:$L$495,交易明細!$B$2:$B$495,$A30,交易明細!$J$2:$J$495,"&lt;&gt;未平倉"),0)</f>
        <v/>
      </c>
      <c r="J30" s="4">
        <f>SUMIFS(交易明細!$L$2:$L$495,交易明細!$B$2:$B$495,$A30,交易明細!$J$2:$J$495,"&lt;&gt;未平倉")</f>
        <v/>
      </c>
      <c r="K30" s="5">
        <f>IFERROR(AVERAGEIFS(交易明細!$K$2:$K$495,交易明細!$B$2:$B$495,$A30,交易明細!$J$2:$J$495,"&lt;&gt;未平倉"),0)</f>
        <v/>
      </c>
      <c r="L30" s="2">
        <f>COUNTIFS(交易明細!$B$2:$B$495,$A30,交易明細!$J$2:$J$495,"未平倉")</f>
        <v/>
      </c>
    </row>
    <row r="31">
      <c r="A31" s="2" t="inlineStr">
        <is>
          <t>AIN_USDT_PERP</t>
        </is>
      </c>
      <c r="B31" s="2">
        <f>COUNTIFS(交易明細!$B$2:$B$495,$A31)</f>
        <v/>
      </c>
      <c r="C31" s="2">
        <f>COUNTIFS(交易明細!$B$2:$B$495,$A31,交易明細!$C$2:$C$495,"做多")</f>
        <v/>
      </c>
      <c r="D31" s="2">
        <f>COUNTIFS(交易明細!$B$2:$B$495,$A31,交易明細!$C$2:$C$495,"做空")</f>
        <v/>
      </c>
      <c r="E31" s="2">
        <f>F31+G31+COUNTIFS(交易明細!$B$2:$B$495,$A31,交易明細!$J$2:$J$495,"時間出場")</f>
        <v/>
      </c>
      <c r="F31" s="2">
        <f>COUNTIFS(交易明細!$B$2:$B$495,$A31,交易明細!$J$2:$J$495,"止盈")</f>
        <v/>
      </c>
      <c r="G31" s="2">
        <f>COUNTIFS(交易明細!$B$2:$B$495,$A31,交易明細!$J$2:$J$495,"止損")</f>
        <v/>
      </c>
      <c r="H31" s="4">
        <f>IFERROR(F31/E31,0)</f>
        <v/>
      </c>
      <c r="I31" s="4">
        <f>IFERROR(AVERAGEIFS(交易明細!$L$2:$L$495,交易明細!$B$2:$B$495,$A31,交易明細!$J$2:$J$495,"&lt;&gt;未平倉"),0)</f>
        <v/>
      </c>
      <c r="J31" s="4">
        <f>SUMIFS(交易明細!$L$2:$L$495,交易明細!$B$2:$B$495,$A31,交易明細!$J$2:$J$495,"&lt;&gt;未平倉")</f>
        <v/>
      </c>
      <c r="K31" s="5">
        <f>IFERROR(AVERAGEIFS(交易明細!$K$2:$K$495,交易明細!$B$2:$B$495,$A31,交易明細!$J$2:$J$495,"&lt;&gt;未平倉"),0)</f>
        <v/>
      </c>
      <c r="L31" s="2">
        <f>COUNTIFS(交易明細!$B$2:$B$495,$A31,交易明細!$J$2:$J$495,"未平倉")</f>
        <v/>
      </c>
    </row>
    <row r="32">
      <c r="A32" s="2" t="inlineStr">
        <is>
          <t>NIL_USDT_PERP</t>
        </is>
      </c>
      <c r="B32" s="2">
        <f>COUNTIFS(交易明細!$B$2:$B$495,$A32)</f>
        <v/>
      </c>
      <c r="C32" s="2">
        <f>COUNTIFS(交易明細!$B$2:$B$495,$A32,交易明細!$C$2:$C$495,"做多")</f>
        <v/>
      </c>
      <c r="D32" s="2">
        <f>COUNTIFS(交易明細!$B$2:$B$495,$A32,交易明細!$C$2:$C$495,"做空")</f>
        <v/>
      </c>
      <c r="E32" s="2">
        <f>F32+G32+COUNTIFS(交易明細!$B$2:$B$495,$A32,交易明細!$J$2:$J$495,"時間出場")</f>
        <v/>
      </c>
      <c r="F32" s="2">
        <f>COUNTIFS(交易明細!$B$2:$B$495,$A32,交易明細!$J$2:$J$495,"止盈")</f>
        <v/>
      </c>
      <c r="G32" s="2">
        <f>COUNTIFS(交易明細!$B$2:$B$495,$A32,交易明細!$J$2:$J$495,"止損")</f>
        <v/>
      </c>
      <c r="H32" s="4">
        <f>IFERROR(F32/E32,0)</f>
        <v/>
      </c>
      <c r="I32" s="4">
        <f>IFERROR(AVERAGEIFS(交易明細!$L$2:$L$495,交易明細!$B$2:$B$495,$A32,交易明細!$J$2:$J$495,"&lt;&gt;未平倉"),0)</f>
        <v/>
      </c>
      <c r="J32" s="4">
        <f>SUMIFS(交易明細!$L$2:$L$495,交易明細!$B$2:$B$495,$A32,交易明細!$J$2:$J$495,"&lt;&gt;未平倉")</f>
        <v/>
      </c>
      <c r="K32" s="5">
        <f>IFERROR(AVERAGEIFS(交易明細!$K$2:$K$495,交易明細!$B$2:$B$495,$A32,交易明細!$J$2:$J$495,"&lt;&gt;未平倉"),0)</f>
        <v/>
      </c>
      <c r="L32" s="2">
        <f>COUNTIFS(交易明細!$B$2:$B$495,$A32,交易明細!$J$2:$J$495,"未平倉")</f>
        <v/>
      </c>
    </row>
    <row r="33">
      <c r="A33" s="2" t="inlineStr">
        <is>
          <t>FET_USDT_PERP</t>
        </is>
      </c>
      <c r="B33" s="2">
        <f>COUNTIFS(交易明細!$B$2:$B$495,$A33)</f>
        <v/>
      </c>
      <c r="C33" s="2">
        <f>COUNTIFS(交易明細!$B$2:$B$495,$A33,交易明細!$C$2:$C$495,"做多")</f>
        <v/>
      </c>
      <c r="D33" s="2">
        <f>COUNTIFS(交易明細!$B$2:$B$495,$A33,交易明細!$C$2:$C$495,"做空")</f>
        <v/>
      </c>
      <c r="E33" s="2">
        <f>F33+G33+COUNTIFS(交易明細!$B$2:$B$495,$A33,交易明細!$J$2:$J$495,"時間出場")</f>
        <v/>
      </c>
      <c r="F33" s="2">
        <f>COUNTIFS(交易明細!$B$2:$B$495,$A33,交易明細!$J$2:$J$495,"止盈")</f>
        <v/>
      </c>
      <c r="G33" s="2">
        <f>COUNTIFS(交易明細!$B$2:$B$495,$A33,交易明細!$J$2:$J$495,"止損")</f>
        <v/>
      </c>
      <c r="H33" s="4">
        <f>IFERROR(F33/E33,0)</f>
        <v/>
      </c>
      <c r="I33" s="4">
        <f>IFERROR(AVERAGEIFS(交易明細!$L$2:$L$495,交易明細!$B$2:$B$495,$A33,交易明細!$J$2:$J$495,"&lt;&gt;未平倉"),0)</f>
        <v/>
      </c>
      <c r="J33" s="4">
        <f>SUMIFS(交易明細!$L$2:$L$495,交易明細!$B$2:$B$495,$A33,交易明細!$J$2:$J$495,"&lt;&gt;未平倉")</f>
        <v/>
      </c>
      <c r="K33" s="5">
        <f>IFERROR(AVERAGEIFS(交易明細!$K$2:$K$495,交易明細!$B$2:$B$495,$A33,交易明細!$J$2:$J$495,"&lt;&gt;未平倉"),0)</f>
        <v/>
      </c>
      <c r="L33" s="2">
        <f>COUNTIFS(交易明細!$B$2:$B$495,$A33,交易明細!$J$2:$J$495,"未平倉")</f>
        <v/>
      </c>
    </row>
    <row r="34">
      <c r="A34" s="2" t="inlineStr">
        <is>
          <t>XMR_USDT_PERP</t>
        </is>
      </c>
      <c r="B34" s="2">
        <f>COUNTIFS(交易明細!$B$2:$B$495,$A34)</f>
        <v/>
      </c>
      <c r="C34" s="2">
        <f>COUNTIFS(交易明細!$B$2:$B$495,$A34,交易明細!$C$2:$C$495,"做多")</f>
        <v/>
      </c>
      <c r="D34" s="2">
        <f>COUNTIFS(交易明細!$B$2:$B$495,$A34,交易明細!$C$2:$C$495,"做空")</f>
        <v/>
      </c>
      <c r="E34" s="2">
        <f>F34+G34+COUNTIFS(交易明細!$B$2:$B$495,$A34,交易明細!$J$2:$J$495,"時間出場")</f>
        <v/>
      </c>
      <c r="F34" s="2">
        <f>COUNTIFS(交易明細!$B$2:$B$495,$A34,交易明細!$J$2:$J$495,"止盈")</f>
        <v/>
      </c>
      <c r="G34" s="2">
        <f>COUNTIFS(交易明細!$B$2:$B$495,$A34,交易明細!$J$2:$J$495,"止損")</f>
        <v/>
      </c>
      <c r="H34" s="4">
        <f>IFERROR(F34/E34,0)</f>
        <v/>
      </c>
      <c r="I34" s="4">
        <f>IFERROR(AVERAGEIFS(交易明細!$L$2:$L$495,交易明細!$B$2:$B$495,$A34,交易明細!$J$2:$J$495,"&lt;&gt;未平倉"),0)</f>
        <v/>
      </c>
      <c r="J34" s="4">
        <f>SUMIFS(交易明細!$L$2:$L$495,交易明細!$B$2:$B$495,$A34,交易明細!$J$2:$J$495,"&lt;&gt;未平倉")</f>
        <v/>
      </c>
      <c r="K34" s="5">
        <f>IFERROR(AVERAGEIFS(交易明細!$K$2:$K$495,交易明細!$B$2:$B$495,$A34,交易明細!$J$2:$J$495,"&lt;&gt;未平倉"),0)</f>
        <v/>
      </c>
      <c r="L34" s="2">
        <f>COUNTIFS(交易明細!$B$2:$B$495,$A34,交易明細!$J$2:$J$495,"未平倉")</f>
        <v/>
      </c>
    </row>
    <row r="35">
      <c r="A35" s="2" t="inlineStr">
        <is>
          <t>BTR_USDT_PERP</t>
        </is>
      </c>
      <c r="B35" s="2">
        <f>COUNTIFS(交易明細!$B$2:$B$495,$A35)</f>
        <v/>
      </c>
      <c r="C35" s="2">
        <f>COUNTIFS(交易明細!$B$2:$B$495,$A35,交易明細!$C$2:$C$495,"做多")</f>
        <v/>
      </c>
      <c r="D35" s="2">
        <f>COUNTIFS(交易明細!$B$2:$B$495,$A35,交易明細!$C$2:$C$495,"做空")</f>
        <v/>
      </c>
      <c r="E35" s="2">
        <f>F35+G35+COUNTIFS(交易明細!$B$2:$B$495,$A35,交易明細!$J$2:$J$495,"時間出場")</f>
        <v/>
      </c>
      <c r="F35" s="2">
        <f>COUNTIFS(交易明細!$B$2:$B$495,$A35,交易明細!$J$2:$J$495,"止盈")</f>
        <v/>
      </c>
      <c r="G35" s="2">
        <f>COUNTIFS(交易明細!$B$2:$B$495,$A35,交易明細!$J$2:$J$495,"止損")</f>
        <v/>
      </c>
      <c r="H35" s="4">
        <f>IFERROR(F35/E35,0)</f>
        <v/>
      </c>
      <c r="I35" s="4">
        <f>IFERROR(AVERAGEIFS(交易明細!$L$2:$L$495,交易明細!$B$2:$B$495,$A35,交易明細!$J$2:$J$495,"&lt;&gt;未平倉"),0)</f>
        <v/>
      </c>
      <c r="J35" s="4">
        <f>SUMIFS(交易明細!$L$2:$L$495,交易明細!$B$2:$B$495,$A35,交易明細!$J$2:$J$495,"&lt;&gt;未平倉")</f>
        <v/>
      </c>
      <c r="K35" s="5">
        <f>IFERROR(AVERAGEIFS(交易明細!$K$2:$K$495,交易明細!$B$2:$B$495,$A35,交易明細!$J$2:$J$495,"&lt;&gt;未平倉"),0)</f>
        <v/>
      </c>
      <c r="L35" s="2">
        <f>COUNTIFS(交易明細!$B$2:$B$495,$A35,交易明細!$J$2:$J$495,"未平倉")</f>
        <v/>
      </c>
    </row>
    <row r="36">
      <c r="A36" s="2" t="inlineStr">
        <is>
          <t>TAO_USDT_PERP</t>
        </is>
      </c>
      <c r="B36" s="2">
        <f>COUNTIFS(交易明細!$B$2:$B$495,$A36)</f>
        <v/>
      </c>
      <c r="C36" s="2">
        <f>COUNTIFS(交易明細!$B$2:$B$495,$A36,交易明細!$C$2:$C$495,"做多")</f>
        <v/>
      </c>
      <c r="D36" s="2">
        <f>COUNTIFS(交易明細!$B$2:$B$495,$A36,交易明細!$C$2:$C$495,"做空")</f>
        <v/>
      </c>
      <c r="E36" s="2">
        <f>F36+G36+COUNTIFS(交易明細!$B$2:$B$495,$A36,交易明細!$J$2:$J$495,"時間出場")</f>
        <v/>
      </c>
      <c r="F36" s="2">
        <f>COUNTIFS(交易明細!$B$2:$B$495,$A36,交易明細!$J$2:$J$495,"止盈")</f>
        <v/>
      </c>
      <c r="G36" s="2">
        <f>COUNTIFS(交易明細!$B$2:$B$495,$A36,交易明細!$J$2:$J$495,"止損")</f>
        <v/>
      </c>
      <c r="H36" s="4">
        <f>IFERROR(F36/E36,0)</f>
        <v/>
      </c>
      <c r="I36" s="4">
        <f>IFERROR(AVERAGEIFS(交易明細!$L$2:$L$495,交易明細!$B$2:$B$495,$A36,交易明細!$J$2:$J$495,"&lt;&gt;未平倉"),0)</f>
        <v/>
      </c>
      <c r="J36" s="4">
        <f>SUMIFS(交易明細!$L$2:$L$495,交易明細!$B$2:$B$495,$A36,交易明細!$J$2:$J$495,"&lt;&gt;未平倉")</f>
        <v/>
      </c>
      <c r="K36" s="5">
        <f>IFERROR(AVERAGEIFS(交易明細!$K$2:$K$495,交易明細!$B$2:$B$495,$A36,交易明細!$J$2:$J$495,"&lt;&gt;未平倉"),0)</f>
        <v/>
      </c>
      <c r="L36" s="2">
        <f>COUNTIFS(交易明細!$B$2:$B$495,$A36,交易明細!$J$2:$J$495,"未平倉")</f>
        <v/>
      </c>
    </row>
    <row r="37">
      <c r="A37" s="2" t="inlineStr">
        <is>
          <t>AERO_USDT_PERP</t>
        </is>
      </c>
      <c r="B37" s="2">
        <f>COUNTIFS(交易明細!$B$2:$B$495,$A37)</f>
        <v/>
      </c>
      <c r="C37" s="2">
        <f>COUNTIFS(交易明細!$B$2:$B$495,$A37,交易明細!$C$2:$C$495,"做多")</f>
        <v/>
      </c>
      <c r="D37" s="2">
        <f>COUNTIFS(交易明細!$B$2:$B$495,$A37,交易明細!$C$2:$C$495,"做空")</f>
        <v/>
      </c>
      <c r="E37" s="2">
        <f>F37+G37+COUNTIFS(交易明細!$B$2:$B$495,$A37,交易明細!$J$2:$J$495,"時間出場")</f>
        <v/>
      </c>
      <c r="F37" s="2">
        <f>COUNTIFS(交易明細!$B$2:$B$495,$A37,交易明細!$J$2:$J$495,"止盈")</f>
        <v/>
      </c>
      <c r="G37" s="2">
        <f>COUNTIFS(交易明細!$B$2:$B$495,$A37,交易明細!$J$2:$J$495,"止損")</f>
        <v/>
      </c>
      <c r="H37" s="4">
        <f>IFERROR(F37/E37,0)</f>
        <v/>
      </c>
      <c r="I37" s="4">
        <f>IFERROR(AVERAGEIFS(交易明細!$L$2:$L$495,交易明細!$B$2:$B$495,$A37,交易明細!$J$2:$J$495,"&lt;&gt;未平倉"),0)</f>
        <v/>
      </c>
      <c r="J37" s="4">
        <f>SUMIFS(交易明細!$L$2:$L$495,交易明細!$B$2:$B$495,$A37,交易明細!$J$2:$J$495,"&lt;&gt;未平倉")</f>
        <v/>
      </c>
      <c r="K37" s="5">
        <f>IFERROR(AVERAGEIFS(交易明細!$K$2:$K$495,交易明細!$B$2:$B$495,$A37,交易明細!$J$2:$J$495,"&lt;&gt;未平倉"),0)</f>
        <v/>
      </c>
      <c r="L37" s="2">
        <f>COUNTIFS(交易明細!$B$2:$B$495,$A37,交易明細!$J$2:$J$495,"未平倉")</f>
        <v/>
      </c>
    </row>
    <row r="38">
      <c r="A38" s="2" t="inlineStr">
        <is>
          <t>ICP_USDT_PERP</t>
        </is>
      </c>
      <c r="B38" s="2">
        <f>COUNTIFS(交易明細!$B$2:$B$495,$A38)</f>
        <v/>
      </c>
      <c r="C38" s="2">
        <f>COUNTIFS(交易明細!$B$2:$B$495,$A38,交易明細!$C$2:$C$495,"做多")</f>
        <v/>
      </c>
      <c r="D38" s="2">
        <f>COUNTIFS(交易明細!$B$2:$B$495,$A38,交易明細!$C$2:$C$495,"做空")</f>
        <v/>
      </c>
      <c r="E38" s="2">
        <f>F38+G38+COUNTIFS(交易明細!$B$2:$B$495,$A38,交易明細!$J$2:$J$495,"時間出場")</f>
        <v/>
      </c>
      <c r="F38" s="2">
        <f>COUNTIFS(交易明細!$B$2:$B$495,$A38,交易明細!$J$2:$J$495,"止盈")</f>
        <v/>
      </c>
      <c r="G38" s="2">
        <f>COUNTIFS(交易明細!$B$2:$B$495,$A38,交易明細!$J$2:$J$495,"止損")</f>
        <v/>
      </c>
      <c r="H38" s="4">
        <f>IFERROR(F38/E38,0)</f>
        <v/>
      </c>
      <c r="I38" s="4">
        <f>IFERROR(AVERAGEIFS(交易明細!$L$2:$L$495,交易明細!$B$2:$B$495,$A38,交易明細!$J$2:$J$495,"&lt;&gt;未平倉"),0)</f>
        <v/>
      </c>
      <c r="J38" s="4">
        <f>SUMIFS(交易明細!$L$2:$L$495,交易明細!$B$2:$B$495,$A38,交易明細!$J$2:$J$495,"&lt;&gt;未平倉")</f>
        <v/>
      </c>
      <c r="K38" s="5">
        <f>IFERROR(AVERAGEIFS(交易明細!$K$2:$K$495,交易明細!$B$2:$B$495,$A38,交易明細!$J$2:$J$495,"&lt;&gt;未平倉"),0)</f>
        <v/>
      </c>
      <c r="L38" s="2">
        <f>COUNTIFS(交易明細!$B$2:$B$495,$A38,交易明細!$J$2:$J$495,"未平倉")</f>
        <v/>
      </c>
    </row>
    <row r="39">
      <c r="A39" s="2" t="inlineStr">
        <is>
          <t>MET_USDT_PERP</t>
        </is>
      </c>
      <c r="B39" s="2">
        <f>COUNTIFS(交易明細!$B$2:$B$495,$A39)</f>
        <v/>
      </c>
      <c r="C39" s="2">
        <f>COUNTIFS(交易明細!$B$2:$B$495,$A39,交易明細!$C$2:$C$495,"做多")</f>
        <v/>
      </c>
      <c r="D39" s="2">
        <f>COUNTIFS(交易明細!$B$2:$B$495,$A39,交易明細!$C$2:$C$495,"做空")</f>
        <v/>
      </c>
      <c r="E39" s="2">
        <f>F39+G39+COUNTIFS(交易明細!$B$2:$B$495,$A39,交易明細!$J$2:$J$495,"時間出場")</f>
        <v/>
      </c>
      <c r="F39" s="2">
        <f>COUNTIFS(交易明細!$B$2:$B$495,$A39,交易明細!$J$2:$J$495,"止盈")</f>
        <v/>
      </c>
      <c r="G39" s="2">
        <f>COUNTIFS(交易明細!$B$2:$B$495,$A39,交易明細!$J$2:$J$495,"止損")</f>
        <v/>
      </c>
      <c r="H39" s="4">
        <f>IFERROR(F39/E39,0)</f>
        <v/>
      </c>
      <c r="I39" s="4">
        <f>IFERROR(AVERAGEIFS(交易明細!$L$2:$L$495,交易明細!$B$2:$B$495,$A39,交易明細!$J$2:$J$495,"&lt;&gt;未平倉"),0)</f>
        <v/>
      </c>
      <c r="J39" s="4">
        <f>SUMIFS(交易明細!$L$2:$L$495,交易明細!$B$2:$B$495,$A39,交易明細!$J$2:$J$495,"&lt;&gt;未平倉")</f>
        <v/>
      </c>
      <c r="K39" s="5">
        <f>IFERROR(AVERAGEIFS(交易明細!$K$2:$K$495,交易明細!$B$2:$B$495,$A39,交易明細!$J$2:$J$495,"&lt;&gt;未平倉"),0)</f>
        <v/>
      </c>
      <c r="L39" s="2">
        <f>COUNTIFS(交易明細!$B$2:$B$495,$A39,交易明細!$J$2:$J$495,"未平倉")</f>
        <v/>
      </c>
    </row>
    <row r="40">
      <c r="A40" s="2" t="inlineStr">
        <is>
          <t>BTW_USDT_PERP</t>
        </is>
      </c>
      <c r="B40" s="2">
        <f>COUNTIFS(交易明細!$B$2:$B$495,$A40)</f>
        <v/>
      </c>
      <c r="C40" s="2">
        <f>COUNTIFS(交易明細!$B$2:$B$495,$A40,交易明細!$C$2:$C$495,"做多")</f>
        <v/>
      </c>
      <c r="D40" s="2">
        <f>COUNTIFS(交易明細!$B$2:$B$495,$A40,交易明細!$C$2:$C$495,"做空")</f>
        <v/>
      </c>
      <c r="E40" s="2">
        <f>F40+G40+COUNTIFS(交易明細!$B$2:$B$495,$A40,交易明細!$J$2:$J$495,"時間出場")</f>
        <v/>
      </c>
      <c r="F40" s="2">
        <f>COUNTIFS(交易明細!$B$2:$B$495,$A40,交易明細!$J$2:$J$495,"止盈")</f>
        <v/>
      </c>
      <c r="G40" s="2">
        <f>COUNTIFS(交易明細!$B$2:$B$495,$A40,交易明細!$J$2:$J$495,"止損")</f>
        <v/>
      </c>
      <c r="H40" s="4">
        <f>IFERROR(F40/E40,0)</f>
        <v/>
      </c>
      <c r="I40" s="4">
        <f>IFERROR(AVERAGEIFS(交易明細!$L$2:$L$495,交易明細!$B$2:$B$495,$A40,交易明細!$J$2:$J$495,"&lt;&gt;未平倉"),0)</f>
        <v/>
      </c>
      <c r="J40" s="4">
        <f>SUMIFS(交易明細!$L$2:$L$495,交易明細!$B$2:$B$495,$A40,交易明細!$J$2:$J$495,"&lt;&gt;未平倉")</f>
        <v/>
      </c>
      <c r="K40" s="5">
        <f>IFERROR(AVERAGEIFS(交易明細!$K$2:$K$495,交易明細!$B$2:$B$495,$A40,交易明細!$J$2:$J$495,"&lt;&gt;未平倉"),0)</f>
        <v/>
      </c>
      <c r="L40" s="2">
        <f>COUNTIFS(交易明細!$B$2:$B$495,$A40,交易明細!$J$2:$J$495,"未平倉")</f>
        <v/>
      </c>
    </row>
    <row r="41">
      <c r="A41" s="2" t="inlineStr">
        <is>
          <t>FIL_USDT_PERP</t>
        </is>
      </c>
      <c r="B41" s="2">
        <f>COUNTIFS(交易明細!$B$2:$B$495,$A41)</f>
        <v/>
      </c>
      <c r="C41" s="2">
        <f>COUNTIFS(交易明細!$B$2:$B$495,$A41,交易明細!$C$2:$C$495,"做多")</f>
        <v/>
      </c>
      <c r="D41" s="2">
        <f>COUNTIFS(交易明細!$B$2:$B$495,$A41,交易明細!$C$2:$C$495,"做空")</f>
        <v/>
      </c>
      <c r="E41" s="2">
        <f>F41+G41+COUNTIFS(交易明細!$B$2:$B$495,$A41,交易明細!$J$2:$J$495,"時間出場")</f>
        <v/>
      </c>
      <c r="F41" s="2">
        <f>COUNTIFS(交易明細!$B$2:$B$495,$A41,交易明細!$J$2:$J$495,"止盈")</f>
        <v/>
      </c>
      <c r="G41" s="2">
        <f>COUNTIFS(交易明細!$B$2:$B$495,$A41,交易明細!$J$2:$J$495,"止損")</f>
        <v/>
      </c>
      <c r="H41" s="4">
        <f>IFERROR(F41/E41,0)</f>
        <v/>
      </c>
      <c r="I41" s="4">
        <f>IFERROR(AVERAGEIFS(交易明細!$L$2:$L$495,交易明細!$B$2:$B$495,$A41,交易明細!$J$2:$J$495,"&lt;&gt;未平倉"),0)</f>
        <v/>
      </c>
      <c r="J41" s="4">
        <f>SUMIFS(交易明細!$L$2:$L$495,交易明細!$B$2:$B$495,$A41,交易明細!$J$2:$J$495,"&lt;&gt;未平倉")</f>
        <v/>
      </c>
      <c r="K41" s="5">
        <f>IFERROR(AVERAGEIFS(交易明細!$K$2:$K$495,交易明細!$B$2:$B$495,$A41,交易明細!$J$2:$J$495,"&lt;&gt;未平倉"),0)</f>
        <v/>
      </c>
      <c r="L41" s="2">
        <f>COUNTIFS(交易明細!$B$2:$B$495,$A41,交易明細!$J$2:$J$495,"未平倉")</f>
        <v/>
      </c>
    </row>
    <row r="42">
      <c r="A42" s="2" t="inlineStr">
        <is>
          <t>GENIUS_USDT_PERP</t>
        </is>
      </c>
      <c r="B42" s="2">
        <f>COUNTIFS(交易明細!$B$2:$B$495,$A42)</f>
        <v/>
      </c>
      <c r="C42" s="2">
        <f>COUNTIFS(交易明細!$B$2:$B$495,$A42,交易明細!$C$2:$C$495,"做多")</f>
        <v/>
      </c>
      <c r="D42" s="2">
        <f>COUNTIFS(交易明細!$B$2:$B$495,$A42,交易明細!$C$2:$C$495,"做空")</f>
        <v/>
      </c>
      <c r="E42" s="2">
        <f>F42+G42+COUNTIFS(交易明細!$B$2:$B$495,$A42,交易明細!$J$2:$J$495,"時間出場")</f>
        <v/>
      </c>
      <c r="F42" s="2">
        <f>COUNTIFS(交易明細!$B$2:$B$495,$A42,交易明細!$J$2:$J$495,"止盈")</f>
        <v/>
      </c>
      <c r="G42" s="2">
        <f>COUNTIFS(交易明細!$B$2:$B$495,$A42,交易明細!$J$2:$J$495,"止損")</f>
        <v/>
      </c>
      <c r="H42" s="4">
        <f>IFERROR(F42/E42,0)</f>
        <v/>
      </c>
      <c r="I42" s="4">
        <f>IFERROR(AVERAGEIFS(交易明細!$L$2:$L$495,交易明細!$B$2:$B$495,$A42,交易明細!$J$2:$J$495,"&lt;&gt;未平倉"),0)</f>
        <v/>
      </c>
      <c r="J42" s="4">
        <f>SUMIFS(交易明細!$L$2:$L$495,交易明細!$B$2:$B$495,$A42,交易明細!$J$2:$J$495,"&lt;&gt;未平倉")</f>
        <v/>
      </c>
      <c r="K42" s="5">
        <f>IFERROR(AVERAGEIFS(交易明細!$K$2:$K$495,交易明細!$B$2:$B$495,$A42,交易明細!$J$2:$J$495,"&lt;&gt;未平倉"),0)</f>
        <v/>
      </c>
      <c r="L42" s="2">
        <f>COUNTIFS(交易明細!$B$2:$B$495,$A42,交易明細!$J$2:$J$495,"未平倉")</f>
        <v/>
      </c>
    </row>
    <row r="43">
      <c r="A43" s="2" t="inlineStr">
        <is>
          <t>PEPE_USDT_PERP</t>
        </is>
      </c>
      <c r="B43" s="2">
        <f>COUNTIFS(交易明細!$B$2:$B$495,$A43)</f>
        <v/>
      </c>
      <c r="C43" s="2">
        <f>COUNTIFS(交易明細!$B$2:$B$495,$A43,交易明細!$C$2:$C$495,"做多")</f>
        <v/>
      </c>
      <c r="D43" s="2">
        <f>COUNTIFS(交易明細!$B$2:$B$495,$A43,交易明細!$C$2:$C$495,"做空")</f>
        <v/>
      </c>
      <c r="E43" s="2">
        <f>F43+G43+COUNTIFS(交易明細!$B$2:$B$495,$A43,交易明細!$J$2:$J$495,"時間出場")</f>
        <v/>
      </c>
      <c r="F43" s="2">
        <f>COUNTIFS(交易明細!$B$2:$B$495,$A43,交易明細!$J$2:$J$495,"止盈")</f>
        <v/>
      </c>
      <c r="G43" s="2">
        <f>COUNTIFS(交易明細!$B$2:$B$495,$A43,交易明細!$J$2:$J$495,"止損")</f>
        <v/>
      </c>
      <c r="H43" s="4">
        <f>IFERROR(F43/E43,0)</f>
        <v/>
      </c>
      <c r="I43" s="4">
        <f>IFERROR(AVERAGEIFS(交易明細!$L$2:$L$495,交易明細!$B$2:$B$495,$A43,交易明細!$J$2:$J$495,"&lt;&gt;未平倉"),0)</f>
        <v/>
      </c>
      <c r="J43" s="4">
        <f>SUMIFS(交易明細!$L$2:$L$495,交易明細!$B$2:$B$495,$A43,交易明細!$J$2:$J$495,"&lt;&gt;未平倉")</f>
        <v/>
      </c>
      <c r="K43" s="5">
        <f>IFERROR(AVERAGEIFS(交易明細!$K$2:$K$495,交易明細!$B$2:$B$495,$A43,交易明細!$J$2:$J$495,"&lt;&gt;未平倉"),0)</f>
        <v/>
      </c>
      <c r="L43" s="2">
        <f>COUNTIFS(交易明細!$B$2:$B$495,$A43,交易明細!$J$2:$J$495,"未平倉")</f>
        <v/>
      </c>
    </row>
    <row r="44">
      <c r="A44" s="2" t="inlineStr">
        <is>
          <t>SUI_USDT_PERP</t>
        </is>
      </c>
      <c r="B44" s="2">
        <f>COUNTIFS(交易明細!$B$2:$B$495,$A44)</f>
        <v/>
      </c>
      <c r="C44" s="2">
        <f>COUNTIFS(交易明細!$B$2:$B$495,$A44,交易明細!$C$2:$C$495,"做多")</f>
        <v/>
      </c>
      <c r="D44" s="2">
        <f>COUNTIFS(交易明細!$B$2:$B$495,$A44,交易明細!$C$2:$C$495,"做空")</f>
        <v/>
      </c>
      <c r="E44" s="2">
        <f>F44+G44+COUNTIFS(交易明細!$B$2:$B$495,$A44,交易明細!$J$2:$J$495,"時間出場")</f>
        <v/>
      </c>
      <c r="F44" s="2">
        <f>COUNTIFS(交易明細!$B$2:$B$495,$A44,交易明細!$J$2:$J$495,"止盈")</f>
        <v/>
      </c>
      <c r="G44" s="2">
        <f>COUNTIFS(交易明細!$B$2:$B$495,$A44,交易明細!$J$2:$J$495,"止損")</f>
        <v/>
      </c>
      <c r="H44" s="4">
        <f>IFERROR(F44/E44,0)</f>
        <v/>
      </c>
      <c r="I44" s="4">
        <f>IFERROR(AVERAGEIFS(交易明細!$L$2:$L$495,交易明細!$B$2:$B$495,$A44,交易明細!$J$2:$J$495,"&lt;&gt;未平倉"),0)</f>
        <v/>
      </c>
      <c r="J44" s="4">
        <f>SUMIFS(交易明細!$L$2:$L$495,交易明細!$B$2:$B$495,$A44,交易明細!$J$2:$J$495,"&lt;&gt;未平倉")</f>
        <v/>
      </c>
      <c r="K44" s="5">
        <f>IFERROR(AVERAGEIFS(交易明細!$K$2:$K$495,交易明細!$B$2:$B$495,$A44,交易明細!$J$2:$J$495,"&lt;&gt;未平倉"),0)</f>
        <v/>
      </c>
      <c r="L44" s="2">
        <f>COUNTIFS(交易明細!$B$2:$B$495,$A44,交易明細!$J$2:$J$495,"未平倉")</f>
        <v/>
      </c>
    </row>
    <row r="45">
      <c r="A45" s="2" t="inlineStr">
        <is>
          <t>AVAX_USDT_PERP</t>
        </is>
      </c>
      <c r="B45" s="2">
        <f>COUNTIFS(交易明細!$B$2:$B$495,$A45)</f>
        <v/>
      </c>
      <c r="C45" s="2">
        <f>COUNTIFS(交易明細!$B$2:$B$495,$A45,交易明細!$C$2:$C$495,"做多")</f>
        <v/>
      </c>
      <c r="D45" s="2">
        <f>COUNTIFS(交易明細!$B$2:$B$495,$A45,交易明細!$C$2:$C$495,"做空")</f>
        <v/>
      </c>
      <c r="E45" s="2">
        <f>F45+G45+COUNTIFS(交易明細!$B$2:$B$495,$A45,交易明細!$J$2:$J$495,"時間出場")</f>
        <v/>
      </c>
      <c r="F45" s="2">
        <f>COUNTIFS(交易明細!$B$2:$B$495,$A45,交易明細!$J$2:$J$495,"止盈")</f>
        <v/>
      </c>
      <c r="G45" s="2">
        <f>COUNTIFS(交易明細!$B$2:$B$495,$A45,交易明細!$J$2:$J$495,"止損")</f>
        <v/>
      </c>
      <c r="H45" s="4">
        <f>IFERROR(F45/E45,0)</f>
        <v/>
      </c>
      <c r="I45" s="4">
        <f>IFERROR(AVERAGEIFS(交易明細!$L$2:$L$495,交易明細!$B$2:$B$495,$A45,交易明細!$J$2:$J$495,"&lt;&gt;未平倉"),0)</f>
        <v/>
      </c>
      <c r="J45" s="4">
        <f>SUMIFS(交易明細!$L$2:$L$495,交易明細!$B$2:$B$495,$A45,交易明細!$J$2:$J$495,"&lt;&gt;未平倉")</f>
        <v/>
      </c>
      <c r="K45" s="5">
        <f>IFERROR(AVERAGEIFS(交易明細!$K$2:$K$495,交易明細!$B$2:$B$495,$A45,交易明細!$J$2:$J$495,"&lt;&gt;未平倉"),0)</f>
        <v/>
      </c>
      <c r="L45" s="2">
        <f>COUNTIFS(交易明細!$B$2:$B$495,$A45,交易明細!$J$2:$J$495,"未平倉")</f>
        <v/>
      </c>
    </row>
    <row r="46">
      <c r="A46" s="2" t="inlineStr">
        <is>
          <t>DOGE_USDT_PERP</t>
        </is>
      </c>
      <c r="B46" s="2">
        <f>COUNTIFS(交易明細!$B$2:$B$495,$A46)</f>
        <v/>
      </c>
      <c r="C46" s="2">
        <f>COUNTIFS(交易明細!$B$2:$B$495,$A46,交易明細!$C$2:$C$495,"做多")</f>
        <v/>
      </c>
      <c r="D46" s="2">
        <f>COUNTIFS(交易明細!$B$2:$B$495,$A46,交易明細!$C$2:$C$495,"做空")</f>
        <v/>
      </c>
      <c r="E46" s="2">
        <f>F46+G46+COUNTIFS(交易明細!$B$2:$B$495,$A46,交易明細!$J$2:$J$495,"時間出場")</f>
        <v/>
      </c>
      <c r="F46" s="2">
        <f>COUNTIFS(交易明細!$B$2:$B$495,$A46,交易明細!$J$2:$J$495,"止盈")</f>
        <v/>
      </c>
      <c r="G46" s="2">
        <f>COUNTIFS(交易明細!$B$2:$B$495,$A46,交易明細!$J$2:$J$495,"止損")</f>
        <v/>
      </c>
      <c r="H46" s="4">
        <f>IFERROR(F46/E46,0)</f>
        <v/>
      </c>
      <c r="I46" s="4">
        <f>IFERROR(AVERAGEIFS(交易明細!$L$2:$L$495,交易明細!$B$2:$B$495,$A46,交易明細!$J$2:$J$495,"&lt;&gt;未平倉"),0)</f>
        <v/>
      </c>
      <c r="J46" s="4">
        <f>SUMIFS(交易明細!$L$2:$L$495,交易明細!$B$2:$B$495,$A46,交易明細!$J$2:$J$495,"&lt;&gt;未平倉")</f>
        <v/>
      </c>
      <c r="K46" s="5">
        <f>IFERROR(AVERAGEIFS(交易明細!$K$2:$K$495,交易明細!$B$2:$B$495,$A46,交易明細!$J$2:$J$495,"&lt;&gt;未平倉"),0)</f>
        <v/>
      </c>
      <c r="L46" s="2">
        <f>COUNTIFS(交易明細!$B$2:$B$495,$A46,交易明細!$J$2:$J$495,"未平倉")</f>
        <v/>
      </c>
    </row>
    <row r="47">
      <c r="A47" s="2" t="inlineStr">
        <is>
          <t>SKYAI_USDT_PERP</t>
        </is>
      </c>
      <c r="B47" s="2">
        <f>COUNTIFS(交易明細!$B$2:$B$495,$A47)</f>
        <v/>
      </c>
      <c r="C47" s="2">
        <f>COUNTIFS(交易明細!$B$2:$B$495,$A47,交易明細!$C$2:$C$495,"做多")</f>
        <v/>
      </c>
      <c r="D47" s="2">
        <f>COUNTIFS(交易明細!$B$2:$B$495,$A47,交易明細!$C$2:$C$495,"做空")</f>
        <v/>
      </c>
      <c r="E47" s="2">
        <f>F47+G47+COUNTIFS(交易明細!$B$2:$B$495,$A47,交易明細!$J$2:$J$495,"時間出場")</f>
        <v/>
      </c>
      <c r="F47" s="2">
        <f>COUNTIFS(交易明細!$B$2:$B$495,$A47,交易明細!$J$2:$J$495,"止盈")</f>
        <v/>
      </c>
      <c r="G47" s="2">
        <f>COUNTIFS(交易明細!$B$2:$B$495,$A47,交易明細!$J$2:$J$495,"止損")</f>
        <v/>
      </c>
      <c r="H47" s="4">
        <f>IFERROR(F47/E47,0)</f>
        <v/>
      </c>
      <c r="I47" s="4">
        <f>IFERROR(AVERAGEIFS(交易明細!$L$2:$L$495,交易明細!$B$2:$B$495,$A47,交易明細!$J$2:$J$495,"&lt;&gt;未平倉"),0)</f>
        <v/>
      </c>
      <c r="J47" s="4">
        <f>SUMIFS(交易明細!$L$2:$L$495,交易明細!$B$2:$B$495,$A47,交易明細!$J$2:$J$495,"&lt;&gt;未平倉")</f>
        <v/>
      </c>
      <c r="K47" s="5">
        <f>IFERROR(AVERAGEIFS(交易明細!$K$2:$K$495,交易明細!$B$2:$B$495,$A47,交易明細!$J$2:$J$495,"&lt;&gt;未平倉"),0)</f>
        <v/>
      </c>
      <c r="L47" s="2">
        <f>COUNTIFS(交易明細!$B$2:$B$495,$A47,交易明細!$J$2:$J$495,"未平倉")</f>
        <v/>
      </c>
    </row>
    <row r="48">
      <c r="A48" s="2" t="inlineStr">
        <is>
          <t>ACE_USDT_PERP</t>
        </is>
      </c>
      <c r="B48" s="2">
        <f>COUNTIFS(交易明細!$B$2:$B$495,$A48)</f>
        <v/>
      </c>
      <c r="C48" s="2">
        <f>COUNTIFS(交易明細!$B$2:$B$495,$A48,交易明細!$C$2:$C$495,"做多")</f>
        <v/>
      </c>
      <c r="D48" s="2">
        <f>COUNTIFS(交易明細!$B$2:$B$495,$A48,交易明細!$C$2:$C$495,"做空")</f>
        <v/>
      </c>
      <c r="E48" s="2">
        <f>F48+G48+COUNTIFS(交易明細!$B$2:$B$495,$A48,交易明細!$J$2:$J$495,"時間出場")</f>
        <v/>
      </c>
      <c r="F48" s="2">
        <f>COUNTIFS(交易明細!$B$2:$B$495,$A48,交易明細!$J$2:$J$495,"止盈")</f>
        <v/>
      </c>
      <c r="G48" s="2">
        <f>COUNTIFS(交易明細!$B$2:$B$495,$A48,交易明細!$J$2:$J$495,"止損")</f>
        <v/>
      </c>
      <c r="H48" s="4">
        <f>IFERROR(F48/E48,0)</f>
        <v/>
      </c>
      <c r="I48" s="4">
        <f>IFERROR(AVERAGEIFS(交易明細!$L$2:$L$495,交易明細!$B$2:$B$495,$A48,交易明細!$J$2:$J$495,"&lt;&gt;未平倉"),0)</f>
        <v/>
      </c>
      <c r="J48" s="4">
        <f>SUMIFS(交易明細!$L$2:$L$495,交易明細!$B$2:$B$495,$A48,交易明細!$J$2:$J$495,"&lt;&gt;未平倉")</f>
        <v/>
      </c>
      <c r="K48" s="5">
        <f>IFERROR(AVERAGEIFS(交易明細!$K$2:$K$495,交易明細!$B$2:$B$495,$A48,交易明細!$J$2:$J$495,"&lt;&gt;未平倉"),0)</f>
        <v/>
      </c>
      <c r="L48" s="2">
        <f>COUNTIFS(交易明細!$B$2:$B$495,$A48,交易明細!$J$2:$J$495,"未平倉")</f>
        <v/>
      </c>
    </row>
    <row r="49">
      <c r="A49" s="2" t="inlineStr">
        <is>
          <t>EDGE_USDT_PERP</t>
        </is>
      </c>
      <c r="B49" s="2">
        <f>COUNTIFS(交易明細!$B$2:$B$495,$A49)</f>
        <v/>
      </c>
      <c r="C49" s="2">
        <f>COUNTIFS(交易明細!$B$2:$B$495,$A49,交易明細!$C$2:$C$495,"做多")</f>
        <v/>
      </c>
      <c r="D49" s="2">
        <f>COUNTIFS(交易明細!$B$2:$B$495,$A49,交易明細!$C$2:$C$495,"做空")</f>
        <v/>
      </c>
      <c r="E49" s="2">
        <f>F49+G49+COUNTIFS(交易明細!$B$2:$B$495,$A49,交易明細!$J$2:$J$495,"時間出場")</f>
        <v/>
      </c>
      <c r="F49" s="2">
        <f>COUNTIFS(交易明細!$B$2:$B$495,$A49,交易明細!$J$2:$J$495,"止盈")</f>
        <v/>
      </c>
      <c r="G49" s="2">
        <f>COUNTIFS(交易明細!$B$2:$B$495,$A49,交易明細!$J$2:$J$495,"止損")</f>
        <v/>
      </c>
      <c r="H49" s="4">
        <f>IFERROR(F49/E49,0)</f>
        <v/>
      </c>
      <c r="I49" s="4">
        <f>IFERROR(AVERAGEIFS(交易明細!$L$2:$L$495,交易明細!$B$2:$B$495,$A49,交易明細!$J$2:$J$495,"&lt;&gt;未平倉"),0)</f>
        <v/>
      </c>
      <c r="J49" s="4">
        <f>SUMIFS(交易明細!$L$2:$L$495,交易明細!$B$2:$B$495,$A49,交易明細!$J$2:$J$495,"&lt;&gt;未平倉")</f>
        <v/>
      </c>
      <c r="K49" s="5">
        <f>IFERROR(AVERAGEIFS(交易明細!$K$2:$K$495,交易明細!$B$2:$B$495,$A49,交易明細!$J$2:$J$495,"&lt;&gt;未平倉"),0)</f>
        <v/>
      </c>
      <c r="L49" s="2">
        <f>COUNTIFS(交易明細!$B$2:$B$495,$A49,交易明細!$J$2:$J$495,"未平倉")</f>
        <v/>
      </c>
    </row>
    <row r="50">
      <c r="A50" s="2" t="inlineStr">
        <is>
          <t>4_USDT_PERP</t>
        </is>
      </c>
      <c r="B50" s="2">
        <f>COUNTIFS(交易明細!$B$2:$B$495,$A50)</f>
        <v/>
      </c>
      <c r="C50" s="2">
        <f>COUNTIFS(交易明細!$B$2:$B$495,$A50,交易明細!$C$2:$C$495,"做多")</f>
        <v/>
      </c>
      <c r="D50" s="2">
        <f>COUNTIFS(交易明細!$B$2:$B$495,$A50,交易明細!$C$2:$C$495,"做空")</f>
        <v/>
      </c>
      <c r="E50" s="2">
        <f>F50+G50+COUNTIFS(交易明細!$B$2:$B$495,$A50,交易明細!$J$2:$J$495,"時間出場")</f>
        <v/>
      </c>
      <c r="F50" s="2">
        <f>COUNTIFS(交易明細!$B$2:$B$495,$A50,交易明細!$J$2:$J$495,"止盈")</f>
        <v/>
      </c>
      <c r="G50" s="2">
        <f>COUNTIFS(交易明細!$B$2:$B$495,$A50,交易明細!$J$2:$J$495,"止損")</f>
        <v/>
      </c>
      <c r="H50" s="4">
        <f>IFERROR(F50/E50,0)</f>
        <v/>
      </c>
      <c r="I50" s="4">
        <f>IFERROR(AVERAGEIFS(交易明細!$L$2:$L$495,交易明細!$B$2:$B$495,$A50,交易明細!$J$2:$J$495,"&lt;&gt;未平倉"),0)</f>
        <v/>
      </c>
      <c r="J50" s="4">
        <f>SUMIFS(交易明細!$L$2:$L$495,交易明細!$B$2:$B$495,$A50,交易明細!$J$2:$J$495,"&lt;&gt;未平倉")</f>
        <v/>
      </c>
      <c r="K50" s="5">
        <f>IFERROR(AVERAGEIFS(交易明細!$K$2:$K$495,交易明細!$B$2:$B$495,$A50,交易明細!$J$2:$J$495,"&lt;&gt;未平倉"),0)</f>
        <v/>
      </c>
      <c r="L50" s="2">
        <f>COUNTIFS(交易明細!$B$2:$B$495,$A50,交易明細!$J$2:$J$495,"未平倉")</f>
        <v/>
      </c>
    </row>
    <row r="51">
      <c r="A51" s="2" t="inlineStr">
        <is>
          <t>ZEN_USDT_PERP</t>
        </is>
      </c>
      <c r="B51" s="2">
        <f>COUNTIFS(交易明細!$B$2:$B$495,$A51)</f>
        <v/>
      </c>
      <c r="C51" s="2">
        <f>COUNTIFS(交易明細!$B$2:$B$495,$A51,交易明細!$C$2:$C$495,"做多")</f>
        <v/>
      </c>
      <c r="D51" s="2">
        <f>COUNTIFS(交易明細!$B$2:$B$495,$A51,交易明細!$C$2:$C$495,"做空")</f>
        <v/>
      </c>
      <c r="E51" s="2">
        <f>F51+G51+COUNTIFS(交易明細!$B$2:$B$495,$A51,交易明細!$J$2:$J$495,"時間出場")</f>
        <v/>
      </c>
      <c r="F51" s="2">
        <f>COUNTIFS(交易明細!$B$2:$B$495,$A51,交易明細!$J$2:$J$495,"止盈")</f>
        <v/>
      </c>
      <c r="G51" s="2">
        <f>COUNTIFS(交易明細!$B$2:$B$495,$A51,交易明細!$J$2:$J$495,"止損")</f>
        <v/>
      </c>
      <c r="H51" s="4">
        <f>IFERROR(F51/E51,0)</f>
        <v/>
      </c>
      <c r="I51" s="4">
        <f>IFERROR(AVERAGEIFS(交易明細!$L$2:$L$495,交易明細!$B$2:$B$495,$A51,交易明細!$J$2:$J$495,"&lt;&gt;未平倉"),0)</f>
        <v/>
      </c>
      <c r="J51" s="4">
        <f>SUMIFS(交易明細!$L$2:$L$495,交易明細!$B$2:$B$495,$A51,交易明細!$J$2:$J$495,"&lt;&gt;未平倉")</f>
        <v/>
      </c>
      <c r="K51" s="5">
        <f>IFERROR(AVERAGEIFS(交易明細!$K$2:$K$495,交易明細!$B$2:$B$495,$A51,交易明細!$J$2:$J$495,"&lt;&gt;未平倉"),0)</f>
        <v/>
      </c>
      <c r="L51" s="2">
        <f>COUNTIFS(交易明細!$B$2:$B$495,$A51,交易明細!$J$2:$J$495,"未平倉")</f>
        <v/>
      </c>
    </row>
    <row r="52">
      <c r="A52" s="2" t="inlineStr">
        <is>
          <t>DOT_USDT_PERP</t>
        </is>
      </c>
      <c r="B52" s="2">
        <f>COUNTIFS(交易明細!$B$2:$B$495,$A52)</f>
        <v/>
      </c>
      <c r="C52" s="2">
        <f>COUNTIFS(交易明細!$B$2:$B$495,$A52,交易明細!$C$2:$C$495,"做多")</f>
        <v/>
      </c>
      <c r="D52" s="2">
        <f>COUNTIFS(交易明細!$B$2:$B$495,$A52,交易明細!$C$2:$C$495,"做空")</f>
        <v/>
      </c>
      <c r="E52" s="2">
        <f>F52+G52+COUNTIFS(交易明細!$B$2:$B$495,$A52,交易明細!$J$2:$J$495,"時間出場")</f>
        <v/>
      </c>
      <c r="F52" s="2">
        <f>COUNTIFS(交易明細!$B$2:$B$495,$A52,交易明細!$J$2:$J$495,"止盈")</f>
        <v/>
      </c>
      <c r="G52" s="2">
        <f>COUNTIFS(交易明細!$B$2:$B$495,$A52,交易明細!$J$2:$J$495,"止損")</f>
        <v/>
      </c>
      <c r="H52" s="4">
        <f>IFERROR(F52/E52,0)</f>
        <v/>
      </c>
      <c r="I52" s="4">
        <f>IFERROR(AVERAGEIFS(交易明細!$L$2:$L$495,交易明細!$B$2:$B$495,$A52,交易明細!$J$2:$J$495,"&lt;&gt;未平倉"),0)</f>
        <v/>
      </c>
      <c r="J52" s="4">
        <f>SUMIFS(交易明細!$L$2:$L$495,交易明細!$B$2:$B$495,$A52,交易明細!$J$2:$J$495,"&lt;&gt;未平倉")</f>
        <v/>
      </c>
      <c r="K52" s="5">
        <f>IFERROR(AVERAGEIFS(交易明細!$K$2:$K$495,交易明細!$B$2:$B$495,$A52,交易明細!$J$2:$J$495,"&lt;&gt;未平倉"),0)</f>
        <v/>
      </c>
      <c r="L52" s="2">
        <f>COUNTIFS(交易明細!$B$2:$B$495,$A52,交易明細!$J$2:$J$495,"未平倉")</f>
        <v/>
      </c>
    </row>
    <row r="53">
      <c r="A53" s="2" t="inlineStr">
        <is>
          <t>RIVER_USDT_PERP</t>
        </is>
      </c>
      <c r="B53" s="2">
        <f>COUNTIFS(交易明細!$B$2:$B$495,$A53)</f>
        <v/>
      </c>
      <c r="C53" s="2">
        <f>COUNTIFS(交易明細!$B$2:$B$495,$A53,交易明細!$C$2:$C$495,"做多")</f>
        <v/>
      </c>
      <c r="D53" s="2">
        <f>COUNTIFS(交易明細!$B$2:$B$495,$A53,交易明細!$C$2:$C$495,"做空")</f>
        <v/>
      </c>
      <c r="E53" s="2">
        <f>F53+G53+COUNTIFS(交易明細!$B$2:$B$495,$A53,交易明細!$J$2:$J$495,"時間出場")</f>
        <v/>
      </c>
      <c r="F53" s="2">
        <f>COUNTIFS(交易明細!$B$2:$B$495,$A53,交易明細!$J$2:$J$495,"止盈")</f>
        <v/>
      </c>
      <c r="G53" s="2">
        <f>COUNTIFS(交易明細!$B$2:$B$495,$A53,交易明細!$J$2:$J$495,"止損")</f>
        <v/>
      </c>
      <c r="H53" s="4">
        <f>IFERROR(F53/E53,0)</f>
        <v/>
      </c>
      <c r="I53" s="4">
        <f>IFERROR(AVERAGEIFS(交易明細!$L$2:$L$495,交易明細!$B$2:$B$495,$A53,交易明細!$J$2:$J$495,"&lt;&gt;未平倉"),0)</f>
        <v/>
      </c>
      <c r="J53" s="4">
        <f>SUMIFS(交易明細!$L$2:$L$495,交易明細!$B$2:$B$495,$A53,交易明細!$J$2:$J$495,"&lt;&gt;未平倉")</f>
        <v/>
      </c>
      <c r="K53" s="5">
        <f>IFERROR(AVERAGEIFS(交易明細!$K$2:$K$495,交易明細!$B$2:$B$495,$A53,交易明細!$J$2:$J$495,"&lt;&gt;未平倉"),0)</f>
        <v/>
      </c>
      <c r="L53" s="2">
        <f>COUNTIFS(交易明細!$B$2:$B$495,$A53,交易明細!$J$2:$J$495,"未平倉")</f>
        <v/>
      </c>
    </row>
    <row r="54">
      <c r="A54" s="2" t="inlineStr">
        <is>
          <t>POWER_USDT_PERP</t>
        </is>
      </c>
      <c r="B54" s="2">
        <f>COUNTIFS(交易明細!$B$2:$B$495,$A54)</f>
        <v/>
      </c>
      <c r="C54" s="2">
        <f>COUNTIFS(交易明細!$B$2:$B$495,$A54,交易明細!$C$2:$C$495,"做多")</f>
        <v/>
      </c>
      <c r="D54" s="2">
        <f>COUNTIFS(交易明細!$B$2:$B$495,$A54,交易明細!$C$2:$C$495,"做空")</f>
        <v/>
      </c>
      <c r="E54" s="2">
        <f>F54+G54+COUNTIFS(交易明細!$B$2:$B$495,$A54,交易明細!$J$2:$J$495,"時間出場")</f>
        <v/>
      </c>
      <c r="F54" s="2">
        <f>COUNTIFS(交易明細!$B$2:$B$495,$A54,交易明細!$J$2:$J$495,"止盈")</f>
        <v/>
      </c>
      <c r="G54" s="2">
        <f>COUNTIFS(交易明細!$B$2:$B$495,$A54,交易明細!$J$2:$J$495,"止損")</f>
        <v/>
      </c>
      <c r="H54" s="4">
        <f>IFERROR(F54/E54,0)</f>
        <v/>
      </c>
      <c r="I54" s="4">
        <f>IFERROR(AVERAGEIFS(交易明細!$L$2:$L$495,交易明細!$B$2:$B$495,$A54,交易明細!$J$2:$J$495,"&lt;&gt;未平倉"),0)</f>
        <v/>
      </c>
      <c r="J54" s="4">
        <f>SUMIFS(交易明細!$L$2:$L$495,交易明細!$B$2:$B$495,$A54,交易明細!$J$2:$J$495,"&lt;&gt;未平倉")</f>
        <v/>
      </c>
      <c r="K54" s="5">
        <f>IFERROR(AVERAGEIFS(交易明細!$K$2:$K$495,交易明細!$B$2:$B$495,$A54,交易明細!$J$2:$J$495,"&lt;&gt;未平倉"),0)</f>
        <v/>
      </c>
      <c r="L54" s="2">
        <f>COUNTIFS(交易明細!$B$2:$B$495,$A54,交易明細!$J$2:$J$495,"未平倉")</f>
        <v/>
      </c>
    </row>
    <row r="55">
      <c r="A55" s="2" t="inlineStr">
        <is>
          <t>PIEVERSE_USDT_PERP</t>
        </is>
      </c>
      <c r="B55" s="2">
        <f>COUNTIFS(交易明細!$B$2:$B$495,$A55)</f>
        <v/>
      </c>
      <c r="C55" s="2">
        <f>COUNTIFS(交易明細!$B$2:$B$495,$A55,交易明細!$C$2:$C$495,"做多")</f>
        <v/>
      </c>
      <c r="D55" s="2">
        <f>COUNTIFS(交易明細!$B$2:$B$495,$A55,交易明細!$C$2:$C$495,"做空")</f>
        <v/>
      </c>
      <c r="E55" s="2">
        <f>F55+G55+COUNTIFS(交易明細!$B$2:$B$495,$A55,交易明細!$J$2:$J$495,"時間出場")</f>
        <v/>
      </c>
      <c r="F55" s="2">
        <f>COUNTIFS(交易明細!$B$2:$B$495,$A55,交易明細!$J$2:$J$495,"止盈")</f>
        <v/>
      </c>
      <c r="G55" s="2">
        <f>COUNTIFS(交易明細!$B$2:$B$495,$A55,交易明細!$J$2:$J$495,"止損")</f>
        <v/>
      </c>
      <c r="H55" s="4">
        <f>IFERROR(F55/E55,0)</f>
        <v/>
      </c>
      <c r="I55" s="4">
        <f>IFERROR(AVERAGEIFS(交易明細!$L$2:$L$495,交易明細!$B$2:$B$495,$A55,交易明細!$J$2:$J$495,"&lt;&gt;未平倉"),0)</f>
        <v/>
      </c>
      <c r="J55" s="4">
        <f>SUMIFS(交易明細!$L$2:$L$495,交易明細!$B$2:$B$495,$A55,交易明細!$J$2:$J$495,"&lt;&gt;未平倉")</f>
        <v/>
      </c>
      <c r="K55" s="5">
        <f>IFERROR(AVERAGEIFS(交易明細!$K$2:$K$495,交易明細!$B$2:$B$495,$A55,交易明細!$J$2:$J$495,"&lt;&gt;未平倉"),0)</f>
        <v/>
      </c>
      <c r="L55" s="2">
        <f>COUNTIFS(交易明細!$B$2:$B$495,$A55,交易明細!$J$2:$J$495,"未平倉")</f>
        <v/>
      </c>
    </row>
    <row r="56">
      <c r="A56" s="2" t="inlineStr">
        <is>
          <t>AR_USDT_PERP</t>
        </is>
      </c>
      <c r="B56" s="2">
        <f>COUNTIFS(交易明細!$B$2:$B$495,$A56)</f>
        <v/>
      </c>
      <c r="C56" s="2">
        <f>COUNTIFS(交易明細!$B$2:$B$495,$A56,交易明細!$C$2:$C$495,"做多")</f>
        <v/>
      </c>
      <c r="D56" s="2">
        <f>COUNTIFS(交易明細!$B$2:$B$495,$A56,交易明細!$C$2:$C$495,"做空")</f>
        <v/>
      </c>
      <c r="E56" s="2">
        <f>F56+G56+COUNTIFS(交易明細!$B$2:$B$495,$A56,交易明細!$J$2:$J$495,"時間出場")</f>
        <v/>
      </c>
      <c r="F56" s="2">
        <f>COUNTIFS(交易明細!$B$2:$B$495,$A56,交易明細!$J$2:$J$495,"止盈")</f>
        <v/>
      </c>
      <c r="G56" s="2">
        <f>COUNTIFS(交易明細!$B$2:$B$495,$A56,交易明細!$J$2:$J$495,"止損")</f>
        <v/>
      </c>
      <c r="H56" s="4">
        <f>IFERROR(F56/E56,0)</f>
        <v/>
      </c>
      <c r="I56" s="4">
        <f>IFERROR(AVERAGEIFS(交易明細!$L$2:$L$495,交易明細!$B$2:$B$495,$A56,交易明細!$J$2:$J$495,"&lt;&gt;未平倉"),0)</f>
        <v/>
      </c>
      <c r="J56" s="4">
        <f>SUMIFS(交易明細!$L$2:$L$495,交易明細!$B$2:$B$495,$A56,交易明細!$J$2:$J$495,"&lt;&gt;未平倉")</f>
        <v/>
      </c>
      <c r="K56" s="5">
        <f>IFERROR(AVERAGEIFS(交易明細!$K$2:$K$495,交易明細!$B$2:$B$495,$A56,交易明細!$J$2:$J$495,"&lt;&gt;未平倉"),0)</f>
        <v/>
      </c>
      <c r="L56" s="2">
        <f>COUNTIFS(交易明細!$B$2:$B$495,$A56,交易明細!$J$2:$J$495,"未平倉")</f>
        <v/>
      </c>
    </row>
    <row r="57">
      <c r="A57" s="2" t="inlineStr">
        <is>
          <t>PHA_USDT_PERP</t>
        </is>
      </c>
      <c r="B57" s="2">
        <f>COUNTIFS(交易明細!$B$2:$B$495,$A57)</f>
        <v/>
      </c>
      <c r="C57" s="2">
        <f>COUNTIFS(交易明細!$B$2:$B$495,$A57,交易明細!$C$2:$C$495,"做多")</f>
        <v/>
      </c>
      <c r="D57" s="2">
        <f>COUNTIFS(交易明細!$B$2:$B$495,$A57,交易明細!$C$2:$C$495,"做空")</f>
        <v/>
      </c>
      <c r="E57" s="2">
        <f>F57+G57+COUNTIFS(交易明細!$B$2:$B$495,$A57,交易明細!$J$2:$J$495,"時間出場")</f>
        <v/>
      </c>
      <c r="F57" s="2">
        <f>COUNTIFS(交易明細!$B$2:$B$495,$A57,交易明細!$J$2:$J$495,"止盈")</f>
        <v/>
      </c>
      <c r="G57" s="2">
        <f>COUNTIFS(交易明細!$B$2:$B$495,$A57,交易明細!$J$2:$J$495,"止損")</f>
        <v/>
      </c>
      <c r="H57" s="4">
        <f>IFERROR(F57/E57,0)</f>
        <v/>
      </c>
      <c r="I57" s="4">
        <f>IFERROR(AVERAGEIFS(交易明細!$L$2:$L$495,交易明細!$B$2:$B$495,$A57,交易明細!$J$2:$J$495,"&lt;&gt;未平倉"),0)</f>
        <v/>
      </c>
      <c r="J57" s="4">
        <f>SUMIFS(交易明細!$L$2:$L$495,交易明細!$B$2:$B$495,$A57,交易明細!$J$2:$J$495,"&lt;&gt;未平倉")</f>
        <v/>
      </c>
      <c r="K57" s="5">
        <f>IFERROR(AVERAGEIFS(交易明細!$K$2:$K$495,交易明細!$B$2:$B$495,$A57,交易明細!$J$2:$J$495,"&lt;&gt;未平倉"),0)</f>
        <v/>
      </c>
      <c r="L57" s="2">
        <f>COUNTIFS(交易明細!$B$2:$B$495,$A57,交易明細!$J$2:$J$495,"未平倉")</f>
        <v/>
      </c>
    </row>
    <row r="58">
      <c r="A58" s="2" t="inlineStr">
        <is>
          <t>ZETA_USDT_PERP</t>
        </is>
      </c>
      <c r="B58" s="2">
        <f>COUNTIFS(交易明細!$B$2:$B$495,$A58)</f>
        <v/>
      </c>
      <c r="C58" s="2">
        <f>COUNTIFS(交易明細!$B$2:$B$495,$A58,交易明細!$C$2:$C$495,"做多")</f>
        <v/>
      </c>
      <c r="D58" s="2">
        <f>COUNTIFS(交易明細!$B$2:$B$495,$A58,交易明細!$C$2:$C$495,"做空")</f>
        <v/>
      </c>
      <c r="E58" s="2">
        <f>F58+G58+COUNTIFS(交易明細!$B$2:$B$495,$A58,交易明細!$J$2:$J$495,"時間出場")</f>
        <v/>
      </c>
      <c r="F58" s="2">
        <f>COUNTIFS(交易明細!$B$2:$B$495,$A58,交易明細!$J$2:$J$495,"止盈")</f>
        <v/>
      </c>
      <c r="G58" s="2">
        <f>COUNTIFS(交易明細!$B$2:$B$495,$A58,交易明細!$J$2:$J$495,"止損")</f>
        <v/>
      </c>
      <c r="H58" s="4">
        <f>IFERROR(F58/E58,0)</f>
        <v/>
      </c>
      <c r="I58" s="4">
        <f>IFERROR(AVERAGEIFS(交易明細!$L$2:$L$495,交易明細!$B$2:$B$495,$A58,交易明細!$J$2:$J$495,"&lt;&gt;未平倉"),0)</f>
        <v/>
      </c>
      <c r="J58" s="4">
        <f>SUMIFS(交易明細!$L$2:$L$495,交易明細!$B$2:$B$495,$A58,交易明細!$J$2:$J$495,"&lt;&gt;未平倉")</f>
        <v/>
      </c>
      <c r="K58" s="5">
        <f>IFERROR(AVERAGEIFS(交易明細!$K$2:$K$495,交易明細!$B$2:$B$495,$A58,交易明細!$J$2:$J$495,"&lt;&gt;未平倉"),0)</f>
        <v/>
      </c>
      <c r="L58" s="2">
        <f>COUNTIFS(交易明細!$B$2:$B$495,$A58,交易明細!$J$2:$J$495,"未平倉")</f>
        <v/>
      </c>
    </row>
    <row r="59">
      <c r="A59" s="2" t="inlineStr">
        <is>
          <t>WIF_USDT_PERP</t>
        </is>
      </c>
      <c r="B59" s="2">
        <f>COUNTIFS(交易明細!$B$2:$B$495,$A59)</f>
        <v/>
      </c>
      <c r="C59" s="2">
        <f>COUNTIFS(交易明細!$B$2:$B$495,$A59,交易明細!$C$2:$C$495,"做多")</f>
        <v/>
      </c>
      <c r="D59" s="2">
        <f>COUNTIFS(交易明細!$B$2:$B$495,$A59,交易明細!$C$2:$C$495,"做空")</f>
        <v/>
      </c>
      <c r="E59" s="2">
        <f>F59+G59+COUNTIFS(交易明細!$B$2:$B$495,$A59,交易明細!$J$2:$J$495,"時間出場")</f>
        <v/>
      </c>
      <c r="F59" s="2">
        <f>COUNTIFS(交易明細!$B$2:$B$495,$A59,交易明細!$J$2:$J$495,"止盈")</f>
        <v/>
      </c>
      <c r="G59" s="2">
        <f>COUNTIFS(交易明細!$B$2:$B$495,$A59,交易明細!$J$2:$J$495,"止損")</f>
        <v/>
      </c>
      <c r="H59" s="4">
        <f>IFERROR(F59/E59,0)</f>
        <v/>
      </c>
      <c r="I59" s="4">
        <f>IFERROR(AVERAGEIFS(交易明細!$L$2:$L$495,交易明細!$B$2:$B$495,$A59,交易明細!$J$2:$J$495,"&lt;&gt;未平倉"),0)</f>
        <v/>
      </c>
      <c r="J59" s="4">
        <f>SUMIFS(交易明細!$L$2:$L$495,交易明細!$B$2:$B$495,$A59,交易明細!$J$2:$J$495,"&lt;&gt;未平倉")</f>
        <v/>
      </c>
      <c r="K59" s="5">
        <f>IFERROR(AVERAGEIFS(交易明細!$K$2:$K$495,交易明細!$B$2:$B$495,$A59,交易明細!$J$2:$J$495,"&lt;&gt;未平倉"),0)</f>
        <v/>
      </c>
      <c r="L59" s="2">
        <f>COUNTIFS(交易明細!$B$2:$B$495,$A59,交易明細!$J$2:$J$495,"未平倉")</f>
        <v/>
      </c>
    </row>
    <row r="60">
      <c r="A60" s="2" t="inlineStr">
        <is>
          <t>BCH_USDT_PERP</t>
        </is>
      </c>
      <c r="B60" s="2">
        <f>COUNTIFS(交易明細!$B$2:$B$495,$A60)</f>
        <v/>
      </c>
      <c r="C60" s="2">
        <f>COUNTIFS(交易明細!$B$2:$B$495,$A60,交易明細!$C$2:$C$495,"做多")</f>
        <v/>
      </c>
      <c r="D60" s="2">
        <f>COUNTIFS(交易明細!$B$2:$B$495,$A60,交易明細!$C$2:$C$495,"做空")</f>
        <v/>
      </c>
      <c r="E60" s="2">
        <f>F60+G60+COUNTIFS(交易明細!$B$2:$B$495,$A60,交易明細!$J$2:$J$495,"時間出場")</f>
        <v/>
      </c>
      <c r="F60" s="2">
        <f>COUNTIFS(交易明細!$B$2:$B$495,$A60,交易明細!$J$2:$J$495,"止盈")</f>
        <v/>
      </c>
      <c r="G60" s="2">
        <f>COUNTIFS(交易明細!$B$2:$B$495,$A60,交易明細!$J$2:$J$495,"止損")</f>
        <v/>
      </c>
      <c r="H60" s="4">
        <f>IFERROR(F60/E60,0)</f>
        <v/>
      </c>
      <c r="I60" s="4">
        <f>IFERROR(AVERAGEIFS(交易明細!$L$2:$L$495,交易明細!$B$2:$B$495,$A60,交易明細!$J$2:$J$495,"&lt;&gt;未平倉"),0)</f>
        <v/>
      </c>
      <c r="J60" s="4">
        <f>SUMIFS(交易明細!$L$2:$L$495,交易明細!$B$2:$B$495,$A60,交易明細!$J$2:$J$495,"&lt;&gt;未平倉")</f>
        <v/>
      </c>
      <c r="K60" s="5">
        <f>IFERROR(AVERAGEIFS(交易明細!$K$2:$K$495,交易明細!$B$2:$B$495,$A60,交易明細!$J$2:$J$495,"&lt;&gt;未平倉"),0)</f>
        <v/>
      </c>
      <c r="L60" s="2">
        <f>COUNTIFS(交易明細!$B$2:$B$495,$A60,交易明細!$J$2:$J$495,"未平倉")</f>
        <v/>
      </c>
    </row>
    <row r="61">
      <c r="A61" s="2" t="inlineStr">
        <is>
          <t>PYTH_USDT_PERP</t>
        </is>
      </c>
      <c r="B61" s="2">
        <f>COUNTIFS(交易明細!$B$2:$B$495,$A61)</f>
        <v/>
      </c>
      <c r="C61" s="2">
        <f>COUNTIFS(交易明細!$B$2:$B$495,$A61,交易明細!$C$2:$C$495,"做多")</f>
        <v/>
      </c>
      <c r="D61" s="2">
        <f>COUNTIFS(交易明細!$B$2:$B$495,$A61,交易明細!$C$2:$C$495,"做空")</f>
        <v/>
      </c>
      <c r="E61" s="2">
        <f>F61+G61+COUNTIFS(交易明細!$B$2:$B$495,$A61,交易明細!$J$2:$J$495,"時間出場")</f>
        <v/>
      </c>
      <c r="F61" s="2">
        <f>COUNTIFS(交易明細!$B$2:$B$495,$A61,交易明細!$J$2:$J$495,"止盈")</f>
        <v/>
      </c>
      <c r="G61" s="2">
        <f>COUNTIFS(交易明細!$B$2:$B$495,$A61,交易明細!$J$2:$J$495,"止損")</f>
        <v/>
      </c>
      <c r="H61" s="4">
        <f>IFERROR(F61/E61,0)</f>
        <v/>
      </c>
      <c r="I61" s="4">
        <f>IFERROR(AVERAGEIFS(交易明細!$L$2:$L$495,交易明細!$B$2:$B$495,$A61,交易明細!$J$2:$J$495,"&lt;&gt;未平倉"),0)</f>
        <v/>
      </c>
      <c r="J61" s="4">
        <f>SUMIFS(交易明細!$L$2:$L$495,交易明細!$B$2:$B$495,$A61,交易明細!$J$2:$J$495,"&lt;&gt;未平倉")</f>
        <v/>
      </c>
      <c r="K61" s="5">
        <f>IFERROR(AVERAGEIFS(交易明細!$K$2:$K$495,交易明細!$B$2:$B$495,$A61,交易明細!$J$2:$J$495,"&lt;&gt;未平倉"),0)</f>
        <v/>
      </c>
      <c r="L61" s="2">
        <f>COUNTIFS(交易明細!$B$2:$B$495,$A61,交易明細!$J$2:$J$495,"未平倉")</f>
        <v/>
      </c>
    </row>
    <row r="62">
      <c r="A62" s="2" t="inlineStr">
        <is>
          <t>ZRO_USDT_PERP</t>
        </is>
      </c>
      <c r="B62" s="2">
        <f>COUNTIFS(交易明細!$B$2:$B$495,$A62)</f>
        <v/>
      </c>
      <c r="C62" s="2">
        <f>COUNTIFS(交易明細!$B$2:$B$495,$A62,交易明細!$C$2:$C$495,"做多")</f>
        <v/>
      </c>
      <c r="D62" s="2">
        <f>COUNTIFS(交易明細!$B$2:$B$495,$A62,交易明細!$C$2:$C$495,"做空")</f>
        <v/>
      </c>
      <c r="E62" s="2">
        <f>F62+G62+COUNTIFS(交易明細!$B$2:$B$495,$A62,交易明細!$J$2:$J$495,"時間出場")</f>
        <v/>
      </c>
      <c r="F62" s="2">
        <f>COUNTIFS(交易明細!$B$2:$B$495,$A62,交易明細!$J$2:$J$495,"止盈")</f>
        <v/>
      </c>
      <c r="G62" s="2">
        <f>COUNTIFS(交易明細!$B$2:$B$495,$A62,交易明細!$J$2:$J$495,"止損")</f>
        <v/>
      </c>
      <c r="H62" s="4">
        <f>IFERROR(F62/E62,0)</f>
        <v/>
      </c>
      <c r="I62" s="4">
        <f>IFERROR(AVERAGEIFS(交易明細!$L$2:$L$495,交易明細!$B$2:$B$495,$A62,交易明細!$J$2:$J$495,"&lt;&gt;未平倉"),0)</f>
        <v/>
      </c>
      <c r="J62" s="4">
        <f>SUMIFS(交易明細!$L$2:$L$495,交易明細!$B$2:$B$495,$A62,交易明細!$J$2:$J$495,"&lt;&gt;未平倉")</f>
        <v/>
      </c>
      <c r="K62" s="5">
        <f>IFERROR(AVERAGEIFS(交易明細!$K$2:$K$495,交易明細!$B$2:$B$495,$A62,交易明細!$J$2:$J$495,"&lt;&gt;未平倉"),0)</f>
        <v/>
      </c>
      <c r="L62" s="2">
        <f>COUNTIFS(交易明細!$B$2:$B$495,$A62,交易明細!$J$2:$J$495,"未平倉")</f>
        <v/>
      </c>
    </row>
    <row r="63">
      <c r="A63" s="2" t="inlineStr">
        <is>
          <t>QNT_USDT_PERP</t>
        </is>
      </c>
      <c r="B63" s="2">
        <f>COUNTIFS(交易明細!$B$2:$B$495,$A63)</f>
        <v/>
      </c>
      <c r="C63" s="2">
        <f>COUNTIFS(交易明細!$B$2:$B$495,$A63,交易明細!$C$2:$C$495,"做多")</f>
        <v/>
      </c>
      <c r="D63" s="2">
        <f>COUNTIFS(交易明細!$B$2:$B$495,$A63,交易明細!$C$2:$C$495,"做空")</f>
        <v/>
      </c>
      <c r="E63" s="2">
        <f>F63+G63+COUNTIFS(交易明細!$B$2:$B$495,$A63,交易明細!$J$2:$J$495,"時間出場")</f>
        <v/>
      </c>
      <c r="F63" s="2">
        <f>COUNTIFS(交易明細!$B$2:$B$495,$A63,交易明細!$J$2:$J$495,"止盈")</f>
        <v/>
      </c>
      <c r="G63" s="2">
        <f>COUNTIFS(交易明細!$B$2:$B$495,$A63,交易明細!$J$2:$J$495,"止損")</f>
        <v/>
      </c>
      <c r="H63" s="4">
        <f>IFERROR(F63/E63,0)</f>
        <v/>
      </c>
      <c r="I63" s="4">
        <f>IFERROR(AVERAGEIFS(交易明細!$L$2:$L$495,交易明細!$B$2:$B$495,$A63,交易明細!$J$2:$J$495,"&lt;&gt;未平倉"),0)</f>
        <v/>
      </c>
      <c r="J63" s="4">
        <f>SUMIFS(交易明細!$L$2:$L$495,交易明細!$B$2:$B$495,$A63,交易明細!$J$2:$J$495,"&lt;&gt;未平倉")</f>
        <v/>
      </c>
      <c r="K63" s="5">
        <f>IFERROR(AVERAGEIFS(交易明細!$K$2:$K$495,交易明細!$B$2:$B$495,$A63,交易明細!$J$2:$J$495,"&lt;&gt;未平倉"),0)</f>
        <v/>
      </c>
      <c r="L63" s="2">
        <f>COUNTIFS(交易明細!$B$2:$B$495,$A63,交易明細!$J$2:$J$495,"未平倉")</f>
        <v/>
      </c>
    </row>
    <row r="64">
      <c r="A64" s="2" t="inlineStr">
        <is>
          <t>CRV_USDT_PERP</t>
        </is>
      </c>
      <c r="B64" s="2">
        <f>COUNTIFS(交易明細!$B$2:$B$495,$A64)</f>
        <v/>
      </c>
      <c r="C64" s="2">
        <f>COUNTIFS(交易明細!$B$2:$B$495,$A64,交易明細!$C$2:$C$495,"做多")</f>
        <v/>
      </c>
      <c r="D64" s="2">
        <f>COUNTIFS(交易明細!$B$2:$B$495,$A64,交易明細!$C$2:$C$495,"做空")</f>
        <v/>
      </c>
      <c r="E64" s="2">
        <f>F64+G64+COUNTIFS(交易明細!$B$2:$B$495,$A64,交易明細!$J$2:$J$495,"時間出場")</f>
        <v/>
      </c>
      <c r="F64" s="2">
        <f>COUNTIFS(交易明細!$B$2:$B$495,$A64,交易明細!$J$2:$J$495,"止盈")</f>
        <v/>
      </c>
      <c r="G64" s="2">
        <f>COUNTIFS(交易明細!$B$2:$B$495,$A64,交易明細!$J$2:$J$495,"止損")</f>
        <v/>
      </c>
      <c r="H64" s="4">
        <f>IFERROR(F64/E64,0)</f>
        <v/>
      </c>
      <c r="I64" s="4">
        <f>IFERROR(AVERAGEIFS(交易明細!$L$2:$L$495,交易明細!$B$2:$B$495,$A64,交易明細!$J$2:$J$495,"&lt;&gt;未平倉"),0)</f>
        <v/>
      </c>
      <c r="J64" s="4">
        <f>SUMIFS(交易明細!$L$2:$L$495,交易明細!$B$2:$B$495,$A64,交易明細!$J$2:$J$495,"&lt;&gt;未平倉")</f>
        <v/>
      </c>
      <c r="K64" s="5">
        <f>IFERROR(AVERAGEIFS(交易明細!$K$2:$K$495,交易明細!$B$2:$B$495,$A64,交易明細!$J$2:$J$495,"&lt;&gt;未平倉"),0)</f>
        <v/>
      </c>
      <c r="L64" s="2">
        <f>COUNTIFS(交易明細!$B$2:$B$495,$A64,交易明細!$J$2:$J$495,"未平倉")</f>
        <v/>
      </c>
    </row>
    <row r="65">
      <c r="A65" s="2" t="inlineStr">
        <is>
          <t>MAGMA_USDT_PERP</t>
        </is>
      </c>
      <c r="B65" s="2">
        <f>COUNTIFS(交易明細!$B$2:$B$495,$A65)</f>
        <v/>
      </c>
      <c r="C65" s="2">
        <f>COUNTIFS(交易明細!$B$2:$B$495,$A65,交易明細!$C$2:$C$495,"做多")</f>
        <v/>
      </c>
      <c r="D65" s="2">
        <f>COUNTIFS(交易明細!$B$2:$B$495,$A65,交易明細!$C$2:$C$495,"做空")</f>
        <v/>
      </c>
      <c r="E65" s="2">
        <f>F65+G65+COUNTIFS(交易明細!$B$2:$B$495,$A65,交易明細!$J$2:$J$495,"時間出場")</f>
        <v/>
      </c>
      <c r="F65" s="2">
        <f>COUNTIFS(交易明細!$B$2:$B$495,$A65,交易明細!$J$2:$J$495,"止盈")</f>
        <v/>
      </c>
      <c r="G65" s="2">
        <f>COUNTIFS(交易明細!$B$2:$B$495,$A65,交易明細!$J$2:$J$495,"止損")</f>
        <v/>
      </c>
      <c r="H65" s="4">
        <f>IFERROR(F65/E65,0)</f>
        <v/>
      </c>
      <c r="I65" s="4">
        <f>IFERROR(AVERAGEIFS(交易明細!$L$2:$L$495,交易明細!$B$2:$B$495,$A65,交易明細!$J$2:$J$495,"&lt;&gt;未平倉"),0)</f>
        <v/>
      </c>
      <c r="J65" s="4">
        <f>SUMIFS(交易明細!$L$2:$L$495,交易明細!$B$2:$B$495,$A65,交易明細!$J$2:$J$495,"&lt;&gt;未平倉")</f>
        <v/>
      </c>
      <c r="K65" s="5">
        <f>IFERROR(AVERAGEIFS(交易明細!$K$2:$K$495,交易明細!$B$2:$B$495,$A65,交易明細!$J$2:$J$495,"&lt;&gt;未平倉"),0)</f>
        <v/>
      </c>
      <c r="L65" s="2">
        <f>COUNTIFS(交易明細!$B$2:$B$495,$A65,交易明細!$J$2:$J$495,"未平倉")</f>
        <v/>
      </c>
    </row>
    <row r="66">
      <c r="A66" s="2" t="inlineStr">
        <is>
          <t>TRUMP_USDT_PERP</t>
        </is>
      </c>
      <c r="B66" s="2">
        <f>COUNTIFS(交易明細!$B$2:$B$495,$A66)</f>
        <v/>
      </c>
      <c r="C66" s="2">
        <f>COUNTIFS(交易明細!$B$2:$B$495,$A66,交易明細!$C$2:$C$495,"做多")</f>
        <v/>
      </c>
      <c r="D66" s="2">
        <f>COUNTIFS(交易明細!$B$2:$B$495,$A66,交易明細!$C$2:$C$495,"做空")</f>
        <v/>
      </c>
      <c r="E66" s="2">
        <f>F66+G66+COUNTIFS(交易明細!$B$2:$B$495,$A66,交易明細!$J$2:$J$495,"時間出場")</f>
        <v/>
      </c>
      <c r="F66" s="2">
        <f>COUNTIFS(交易明細!$B$2:$B$495,$A66,交易明細!$J$2:$J$495,"止盈")</f>
        <v/>
      </c>
      <c r="G66" s="2">
        <f>COUNTIFS(交易明細!$B$2:$B$495,$A66,交易明細!$J$2:$J$495,"止損")</f>
        <v/>
      </c>
      <c r="H66" s="4">
        <f>IFERROR(F66/E66,0)</f>
        <v/>
      </c>
      <c r="I66" s="4">
        <f>IFERROR(AVERAGEIFS(交易明細!$L$2:$L$495,交易明細!$B$2:$B$495,$A66,交易明細!$J$2:$J$495,"&lt;&gt;未平倉"),0)</f>
        <v/>
      </c>
      <c r="J66" s="4">
        <f>SUMIFS(交易明細!$L$2:$L$495,交易明細!$B$2:$B$495,$A66,交易明細!$J$2:$J$495,"&lt;&gt;未平倉")</f>
        <v/>
      </c>
      <c r="K66" s="5">
        <f>IFERROR(AVERAGEIFS(交易明細!$K$2:$K$495,交易明細!$B$2:$B$495,$A66,交易明細!$J$2:$J$495,"&lt;&gt;未平倉"),0)</f>
        <v/>
      </c>
      <c r="L66" s="2">
        <f>COUNTIFS(交易明細!$B$2:$B$495,$A66,交易明細!$J$2:$J$495,"未平倉")</f>
        <v/>
      </c>
    </row>
    <row r="67">
      <c r="A67" s="2" t="inlineStr">
        <is>
          <t>CHIP_USDT_PERP</t>
        </is>
      </c>
      <c r="B67" s="2">
        <f>COUNTIFS(交易明細!$B$2:$B$495,$A67)</f>
        <v/>
      </c>
      <c r="C67" s="2">
        <f>COUNTIFS(交易明細!$B$2:$B$495,$A67,交易明細!$C$2:$C$495,"做多")</f>
        <v/>
      </c>
      <c r="D67" s="2">
        <f>COUNTIFS(交易明細!$B$2:$B$495,$A67,交易明細!$C$2:$C$495,"做空")</f>
        <v/>
      </c>
      <c r="E67" s="2">
        <f>F67+G67+COUNTIFS(交易明細!$B$2:$B$495,$A67,交易明細!$J$2:$J$495,"時間出場")</f>
        <v/>
      </c>
      <c r="F67" s="2">
        <f>COUNTIFS(交易明細!$B$2:$B$495,$A67,交易明細!$J$2:$J$495,"止盈")</f>
        <v/>
      </c>
      <c r="G67" s="2">
        <f>COUNTIFS(交易明細!$B$2:$B$495,$A67,交易明細!$J$2:$J$495,"止損")</f>
        <v/>
      </c>
      <c r="H67" s="4">
        <f>IFERROR(F67/E67,0)</f>
        <v/>
      </c>
      <c r="I67" s="4">
        <f>IFERROR(AVERAGEIFS(交易明細!$L$2:$L$495,交易明細!$B$2:$B$495,$A67,交易明細!$J$2:$J$495,"&lt;&gt;未平倉"),0)</f>
        <v/>
      </c>
      <c r="J67" s="4">
        <f>SUMIFS(交易明細!$L$2:$L$495,交易明細!$B$2:$B$495,$A67,交易明細!$J$2:$J$495,"&lt;&gt;未平倉")</f>
        <v/>
      </c>
      <c r="K67" s="5">
        <f>IFERROR(AVERAGEIFS(交易明細!$K$2:$K$495,交易明細!$B$2:$B$495,$A67,交易明細!$J$2:$J$495,"&lt;&gt;未平倉"),0)</f>
        <v/>
      </c>
      <c r="L67" s="2">
        <f>COUNTIFS(交易明細!$B$2:$B$495,$A67,交易明細!$J$2:$J$495,"未平倉")</f>
        <v/>
      </c>
    </row>
    <row r="68">
      <c r="A68" s="2" t="inlineStr">
        <is>
          <t>FARTCOIN_USDT_PERP</t>
        </is>
      </c>
      <c r="B68" s="2">
        <f>COUNTIFS(交易明細!$B$2:$B$495,$A68)</f>
        <v/>
      </c>
      <c r="C68" s="2">
        <f>COUNTIFS(交易明細!$B$2:$B$495,$A68,交易明細!$C$2:$C$495,"做多")</f>
        <v/>
      </c>
      <c r="D68" s="2">
        <f>COUNTIFS(交易明細!$B$2:$B$495,$A68,交易明細!$C$2:$C$495,"做空")</f>
        <v/>
      </c>
      <c r="E68" s="2">
        <f>F68+G68+COUNTIFS(交易明細!$B$2:$B$495,$A68,交易明細!$J$2:$J$495,"時間出場")</f>
        <v/>
      </c>
      <c r="F68" s="2">
        <f>COUNTIFS(交易明細!$B$2:$B$495,$A68,交易明細!$J$2:$J$495,"止盈")</f>
        <v/>
      </c>
      <c r="G68" s="2">
        <f>COUNTIFS(交易明細!$B$2:$B$495,$A68,交易明細!$J$2:$J$495,"止損")</f>
        <v/>
      </c>
      <c r="H68" s="4">
        <f>IFERROR(F68/E68,0)</f>
        <v/>
      </c>
      <c r="I68" s="4">
        <f>IFERROR(AVERAGEIFS(交易明細!$L$2:$L$495,交易明細!$B$2:$B$495,$A68,交易明細!$J$2:$J$495,"&lt;&gt;未平倉"),0)</f>
        <v/>
      </c>
      <c r="J68" s="4">
        <f>SUMIFS(交易明細!$L$2:$L$495,交易明細!$B$2:$B$495,$A68,交易明細!$J$2:$J$495,"&lt;&gt;未平倉")</f>
        <v/>
      </c>
      <c r="K68" s="5">
        <f>IFERROR(AVERAGEIFS(交易明細!$K$2:$K$495,交易明細!$B$2:$B$495,$A68,交易明細!$J$2:$J$495,"&lt;&gt;未平倉"),0)</f>
        <v/>
      </c>
      <c r="L68" s="2">
        <f>COUNTIFS(交易明細!$B$2:$B$495,$A68,交易明細!$J$2:$J$495,"未平倉")</f>
        <v/>
      </c>
    </row>
    <row r="69">
      <c r="A69" s="2" t="inlineStr">
        <is>
          <t>TRIA_USDT_PERP</t>
        </is>
      </c>
      <c r="B69" s="2">
        <f>COUNTIFS(交易明細!$B$2:$B$495,$A69)</f>
        <v/>
      </c>
      <c r="C69" s="2">
        <f>COUNTIFS(交易明細!$B$2:$B$495,$A69,交易明細!$C$2:$C$495,"做多")</f>
        <v/>
      </c>
      <c r="D69" s="2">
        <f>COUNTIFS(交易明細!$B$2:$B$495,$A69,交易明細!$C$2:$C$495,"做空")</f>
        <v/>
      </c>
      <c r="E69" s="2">
        <f>F69+G69+COUNTIFS(交易明細!$B$2:$B$495,$A69,交易明細!$J$2:$J$495,"時間出場")</f>
        <v/>
      </c>
      <c r="F69" s="2">
        <f>COUNTIFS(交易明細!$B$2:$B$495,$A69,交易明細!$J$2:$J$495,"止盈")</f>
        <v/>
      </c>
      <c r="G69" s="2">
        <f>COUNTIFS(交易明細!$B$2:$B$495,$A69,交易明細!$J$2:$J$495,"止損")</f>
        <v/>
      </c>
      <c r="H69" s="4">
        <f>IFERROR(F69/E69,0)</f>
        <v/>
      </c>
      <c r="I69" s="4">
        <f>IFERROR(AVERAGEIFS(交易明細!$L$2:$L$495,交易明細!$B$2:$B$495,$A69,交易明細!$J$2:$J$495,"&lt;&gt;未平倉"),0)</f>
        <v/>
      </c>
      <c r="J69" s="4">
        <f>SUMIFS(交易明細!$L$2:$L$495,交易明細!$B$2:$B$495,$A69,交易明細!$J$2:$J$495,"&lt;&gt;未平倉")</f>
        <v/>
      </c>
      <c r="K69" s="5">
        <f>IFERROR(AVERAGEIFS(交易明細!$K$2:$K$495,交易明細!$B$2:$B$495,$A69,交易明細!$J$2:$J$495,"&lt;&gt;未平倉"),0)</f>
        <v/>
      </c>
      <c r="L69" s="2">
        <f>COUNTIFS(交易明細!$B$2:$B$495,$A69,交易明細!$J$2:$J$495,"未平倉")</f>
        <v/>
      </c>
    </row>
    <row r="70">
      <c r="A70" s="2" t="inlineStr">
        <is>
          <t>KAS_USDT_PERP</t>
        </is>
      </c>
      <c r="B70" s="2">
        <f>COUNTIFS(交易明細!$B$2:$B$495,$A70)</f>
        <v/>
      </c>
      <c r="C70" s="2">
        <f>COUNTIFS(交易明細!$B$2:$B$495,$A70,交易明細!$C$2:$C$495,"做多")</f>
        <v/>
      </c>
      <c r="D70" s="2">
        <f>COUNTIFS(交易明細!$B$2:$B$495,$A70,交易明細!$C$2:$C$495,"做空")</f>
        <v/>
      </c>
      <c r="E70" s="2">
        <f>F70+G70+COUNTIFS(交易明細!$B$2:$B$495,$A70,交易明細!$J$2:$J$495,"時間出場")</f>
        <v/>
      </c>
      <c r="F70" s="2">
        <f>COUNTIFS(交易明細!$B$2:$B$495,$A70,交易明細!$J$2:$J$495,"止盈")</f>
        <v/>
      </c>
      <c r="G70" s="2">
        <f>COUNTIFS(交易明細!$B$2:$B$495,$A70,交易明細!$J$2:$J$495,"止損")</f>
        <v/>
      </c>
      <c r="H70" s="4">
        <f>IFERROR(F70/E70,0)</f>
        <v/>
      </c>
      <c r="I70" s="4">
        <f>IFERROR(AVERAGEIFS(交易明細!$L$2:$L$495,交易明細!$B$2:$B$495,$A70,交易明細!$J$2:$J$495,"&lt;&gt;未平倉"),0)</f>
        <v/>
      </c>
      <c r="J70" s="4">
        <f>SUMIFS(交易明細!$L$2:$L$495,交易明細!$B$2:$B$495,$A70,交易明細!$J$2:$J$495,"&lt;&gt;未平倉")</f>
        <v/>
      </c>
      <c r="K70" s="5">
        <f>IFERROR(AVERAGEIFS(交易明細!$K$2:$K$495,交易明細!$B$2:$B$495,$A70,交易明細!$J$2:$J$495,"&lt;&gt;未平倉"),0)</f>
        <v/>
      </c>
      <c r="L70" s="2">
        <f>COUNTIFS(交易明細!$B$2:$B$495,$A70,交易明細!$J$2:$J$495,"未平倉")</f>
        <v/>
      </c>
    </row>
    <row r="71">
      <c r="A71" s="2" t="inlineStr">
        <is>
          <t>CASHCAT_USDT_PERP</t>
        </is>
      </c>
      <c r="B71" s="2">
        <f>COUNTIFS(交易明細!$B$2:$B$495,$A71)</f>
        <v/>
      </c>
      <c r="C71" s="2">
        <f>COUNTIFS(交易明細!$B$2:$B$495,$A71,交易明細!$C$2:$C$495,"做多")</f>
        <v/>
      </c>
      <c r="D71" s="2">
        <f>COUNTIFS(交易明細!$B$2:$B$495,$A71,交易明細!$C$2:$C$495,"做空")</f>
        <v/>
      </c>
      <c r="E71" s="2">
        <f>F71+G71+COUNTIFS(交易明細!$B$2:$B$495,$A71,交易明細!$J$2:$J$495,"時間出場")</f>
        <v/>
      </c>
      <c r="F71" s="2">
        <f>COUNTIFS(交易明細!$B$2:$B$495,$A71,交易明細!$J$2:$J$495,"止盈")</f>
        <v/>
      </c>
      <c r="G71" s="2">
        <f>COUNTIFS(交易明細!$B$2:$B$495,$A71,交易明細!$J$2:$J$495,"止損")</f>
        <v/>
      </c>
      <c r="H71" s="4">
        <f>IFERROR(F71/E71,0)</f>
        <v/>
      </c>
      <c r="I71" s="4">
        <f>IFERROR(AVERAGEIFS(交易明細!$L$2:$L$495,交易明細!$B$2:$B$495,$A71,交易明細!$J$2:$J$495,"&lt;&gt;未平倉"),0)</f>
        <v/>
      </c>
      <c r="J71" s="4">
        <f>SUMIFS(交易明細!$L$2:$L$495,交易明細!$B$2:$B$495,$A71,交易明細!$J$2:$J$495,"&lt;&gt;未平倉")</f>
        <v/>
      </c>
      <c r="K71" s="5">
        <f>IFERROR(AVERAGEIFS(交易明細!$K$2:$K$495,交易明細!$B$2:$B$495,$A71,交易明細!$J$2:$J$495,"&lt;&gt;未平倉"),0)</f>
        <v/>
      </c>
      <c r="L71" s="2">
        <f>COUNTIFS(交易明細!$B$2:$B$495,$A71,交易明細!$J$2:$J$495,"未平倉")</f>
        <v/>
      </c>
    </row>
    <row r="72">
      <c r="A72" s="2" t="inlineStr">
        <is>
          <t>FF_USDT_PERP</t>
        </is>
      </c>
      <c r="B72" s="2">
        <f>COUNTIFS(交易明細!$B$2:$B$495,$A72)</f>
        <v/>
      </c>
      <c r="C72" s="2">
        <f>COUNTIFS(交易明細!$B$2:$B$495,$A72,交易明細!$C$2:$C$495,"做多")</f>
        <v/>
      </c>
      <c r="D72" s="2">
        <f>COUNTIFS(交易明細!$B$2:$B$495,$A72,交易明細!$C$2:$C$495,"做空")</f>
        <v/>
      </c>
      <c r="E72" s="2">
        <f>F72+G72+COUNTIFS(交易明細!$B$2:$B$495,$A72,交易明細!$J$2:$J$495,"時間出場")</f>
        <v/>
      </c>
      <c r="F72" s="2">
        <f>COUNTIFS(交易明細!$B$2:$B$495,$A72,交易明細!$J$2:$J$495,"止盈")</f>
        <v/>
      </c>
      <c r="G72" s="2">
        <f>COUNTIFS(交易明細!$B$2:$B$495,$A72,交易明細!$J$2:$J$495,"止損")</f>
        <v/>
      </c>
      <c r="H72" s="4">
        <f>IFERROR(F72/E72,0)</f>
        <v/>
      </c>
      <c r="I72" s="4">
        <f>IFERROR(AVERAGEIFS(交易明細!$L$2:$L$495,交易明細!$B$2:$B$495,$A72,交易明細!$J$2:$J$495,"&lt;&gt;未平倉"),0)</f>
        <v/>
      </c>
      <c r="J72" s="4">
        <f>SUMIFS(交易明細!$L$2:$L$495,交易明細!$B$2:$B$495,$A72,交易明細!$J$2:$J$495,"&lt;&gt;未平倉")</f>
        <v/>
      </c>
      <c r="K72" s="5">
        <f>IFERROR(AVERAGEIFS(交易明細!$K$2:$K$495,交易明細!$B$2:$B$495,$A72,交易明細!$J$2:$J$495,"&lt;&gt;未平倉"),0)</f>
        <v/>
      </c>
      <c r="L72" s="2">
        <f>COUNTIFS(交易明細!$B$2:$B$495,$A72,交易明細!$J$2:$J$495,"未平倉")</f>
        <v/>
      </c>
    </row>
    <row r="73">
      <c r="A73" s="2" t="inlineStr">
        <is>
          <t>KAT_USDT_PERP</t>
        </is>
      </c>
      <c r="B73" s="2">
        <f>COUNTIFS(交易明細!$B$2:$B$495,$A73)</f>
        <v/>
      </c>
      <c r="C73" s="2">
        <f>COUNTIFS(交易明細!$B$2:$B$495,$A73,交易明細!$C$2:$C$495,"做多")</f>
        <v/>
      </c>
      <c r="D73" s="2">
        <f>COUNTIFS(交易明細!$B$2:$B$495,$A73,交易明細!$C$2:$C$495,"做空")</f>
        <v/>
      </c>
      <c r="E73" s="2">
        <f>F73+G73+COUNTIFS(交易明細!$B$2:$B$495,$A73,交易明細!$J$2:$J$495,"時間出場")</f>
        <v/>
      </c>
      <c r="F73" s="2">
        <f>COUNTIFS(交易明細!$B$2:$B$495,$A73,交易明細!$J$2:$J$495,"止盈")</f>
        <v/>
      </c>
      <c r="G73" s="2">
        <f>COUNTIFS(交易明細!$B$2:$B$495,$A73,交易明細!$J$2:$J$495,"止損")</f>
        <v/>
      </c>
      <c r="H73" s="4">
        <f>IFERROR(F73/E73,0)</f>
        <v/>
      </c>
      <c r="I73" s="4">
        <f>IFERROR(AVERAGEIFS(交易明細!$L$2:$L$495,交易明細!$B$2:$B$495,$A73,交易明細!$J$2:$J$495,"&lt;&gt;未平倉"),0)</f>
        <v/>
      </c>
      <c r="J73" s="4">
        <f>SUMIFS(交易明細!$L$2:$L$495,交易明細!$B$2:$B$495,$A73,交易明細!$J$2:$J$495,"&lt;&gt;未平倉")</f>
        <v/>
      </c>
      <c r="K73" s="5">
        <f>IFERROR(AVERAGEIFS(交易明細!$K$2:$K$495,交易明細!$B$2:$B$495,$A73,交易明細!$J$2:$J$495,"&lt;&gt;未平倉"),0)</f>
        <v/>
      </c>
      <c r="L73" s="2">
        <f>COUNTIFS(交易明細!$B$2:$B$495,$A73,交易明細!$J$2:$J$495,"未平倉")</f>
        <v/>
      </c>
    </row>
    <row r="74">
      <c r="A74" s="2" t="inlineStr">
        <is>
          <t>CAP_USDT_PERP</t>
        </is>
      </c>
      <c r="B74" s="2">
        <f>COUNTIFS(交易明細!$B$2:$B$495,$A74)</f>
        <v/>
      </c>
      <c r="C74" s="2">
        <f>COUNTIFS(交易明細!$B$2:$B$495,$A74,交易明細!$C$2:$C$495,"做多")</f>
        <v/>
      </c>
      <c r="D74" s="2">
        <f>COUNTIFS(交易明細!$B$2:$B$495,$A74,交易明細!$C$2:$C$495,"做空")</f>
        <v/>
      </c>
      <c r="E74" s="2">
        <f>F74+G74+COUNTIFS(交易明細!$B$2:$B$495,$A74,交易明細!$J$2:$J$495,"時間出場")</f>
        <v/>
      </c>
      <c r="F74" s="2">
        <f>COUNTIFS(交易明細!$B$2:$B$495,$A74,交易明細!$J$2:$J$495,"止盈")</f>
        <v/>
      </c>
      <c r="G74" s="2">
        <f>COUNTIFS(交易明細!$B$2:$B$495,$A74,交易明細!$J$2:$J$495,"止損")</f>
        <v/>
      </c>
      <c r="H74" s="4">
        <f>IFERROR(F74/E74,0)</f>
        <v/>
      </c>
      <c r="I74" s="4">
        <f>IFERROR(AVERAGEIFS(交易明細!$L$2:$L$495,交易明細!$B$2:$B$495,$A74,交易明細!$J$2:$J$495,"&lt;&gt;未平倉"),0)</f>
        <v/>
      </c>
      <c r="J74" s="4">
        <f>SUMIFS(交易明細!$L$2:$L$495,交易明細!$B$2:$B$495,$A74,交易明細!$J$2:$J$495,"&lt;&gt;未平倉")</f>
        <v/>
      </c>
      <c r="K74" s="5">
        <f>IFERROR(AVERAGEIFS(交易明細!$K$2:$K$495,交易明細!$B$2:$B$495,$A74,交易明細!$J$2:$J$495,"&lt;&gt;未平倉"),0)</f>
        <v/>
      </c>
      <c r="L74" s="2">
        <f>COUNTIFS(交易明細!$B$2:$B$495,$A74,交易明細!$J$2:$J$495,"未平倉")</f>
        <v/>
      </c>
    </row>
    <row r="75">
      <c r="A75" s="2" t="inlineStr">
        <is>
          <t>XRP_USDT_PERP</t>
        </is>
      </c>
      <c r="B75" s="2">
        <f>COUNTIFS(交易明細!$B$2:$B$495,$A75)</f>
        <v/>
      </c>
      <c r="C75" s="2">
        <f>COUNTIFS(交易明細!$B$2:$B$495,$A75,交易明細!$C$2:$C$495,"做多")</f>
        <v/>
      </c>
      <c r="D75" s="2">
        <f>COUNTIFS(交易明細!$B$2:$B$495,$A75,交易明細!$C$2:$C$495,"做空")</f>
        <v/>
      </c>
      <c r="E75" s="2">
        <f>F75+G75+COUNTIFS(交易明細!$B$2:$B$495,$A75,交易明細!$J$2:$J$495,"時間出場")</f>
        <v/>
      </c>
      <c r="F75" s="2">
        <f>COUNTIFS(交易明細!$B$2:$B$495,$A75,交易明細!$J$2:$J$495,"止盈")</f>
        <v/>
      </c>
      <c r="G75" s="2">
        <f>COUNTIFS(交易明細!$B$2:$B$495,$A75,交易明細!$J$2:$J$495,"止損")</f>
        <v/>
      </c>
      <c r="H75" s="4">
        <f>IFERROR(F75/E75,0)</f>
        <v/>
      </c>
      <c r="I75" s="4">
        <f>IFERROR(AVERAGEIFS(交易明細!$L$2:$L$495,交易明細!$B$2:$B$495,$A75,交易明細!$J$2:$J$495,"&lt;&gt;未平倉"),0)</f>
        <v/>
      </c>
      <c r="J75" s="4">
        <f>SUMIFS(交易明細!$L$2:$L$495,交易明細!$B$2:$B$495,$A75,交易明細!$J$2:$J$495,"&lt;&gt;未平倉")</f>
        <v/>
      </c>
      <c r="K75" s="5">
        <f>IFERROR(AVERAGEIFS(交易明細!$K$2:$K$495,交易明細!$B$2:$B$495,$A75,交易明細!$J$2:$J$495,"&lt;&gt;未平倉"),0)</f>
        <v/>
      </c>
      <c r="L75" s="2">
        <f>COUNTIFS(交易明細!$B$2:$B$495,$A75,交易明細!$J$2:$J$495,"未平倉")</f>
        <v/>
      </c>
    </row>
    <row r="76">
      <c r="A76" s="2" t="inlineStr">
        <is>
          <t>CROSS_USDT_PERP</t>
        </is>
      </c>
      <c r="B76" s="2">
        <f>COUNTIFS(交易明細!$B$2:$B$495,$A76)</f>
        <v/>
      </c>
      <c r="C76" s="2">
        <f>COUNTIFS(交易明細!$B$2:$B$495,$A76,交易明細!$C$2:$C$495,"做多")</f>
        <v/>
      </c>
      <c r="D76" s="2">
        <f>COUNTIFS(交易明細!$B$2:$B$495,$A76,交易明細!$C$2:$C$495,"做空")</f>
        <v/>
      </c>
      <c r="E76" s="2">
        <f>F76+G76+COUNTIFS(交易明細!$B$2:$B$495,$A76,交易明細!$J$2:$J$495,"時間出場")</f>
        <v/>
      </c>
      <c r="F76" s="2">
        <f>COUNTIFS(交易明細!$B$2:$B$495,$A76,交易明細!$J$2:$J$495,"止盈")</f>
        <v/>
      </c>
      <c r="G76" s="2">
        <f>COUNTIFS(交易明細!$B$2:$B$495,$A76,交易明細!$J$2:$J$495,"止損")</f>
        <v/>
      </c>
      <c r="H76" s="4">
        <f>IFERROR(F76/E76,0)</f>
        <v/>
      </c>
      <c r="I76" s="4">
        <f>IFERROR(AVERAGEIFS(交易明細!$L$2:$L$495,交易明細!$B$2:$B$495,$A76,交易明細!$J$2:$J$495,"&lt;&gt;未平倉"),0)</f>
        <v/>
      </c>
      <c r="J76" s="4">
        <f>SUMIFS(交易明細!$L$2:$L$495,交易明細!$B$2:$B$495,$A76,交易明細!$J$2:$J$495,"&lt;&gt;未平倉")</f>
        <v/>
      </c>
      <c r="K76" s="5">
        <f>IFERROR(AVERAGEIFS(交易明細!$K$2:$K$495,交易明細!$B$2:$B$495,$A76,交易明細!$J$2:$J$495,"&lt;&gt;未平倉"),0)</f>
        <v/>
      </c>
      <c r="L76" s="2">
        <f>COUNTIFS(交易明細!$B$2:$B$495,$A76,交易明細!$J$2:$J$495,"未平倉")</f>
        <v/>
      </c>
    </row>
    <row r="77">
      <c r="A77" s="2" t="inlineStr">
        <is>
          <t>MYX_USDT_PERP</t>
        </is>
      </c>
      <c r="B77" s="2">
        <f>COUNTIFS(交易明細!$B$2:$B$495,$A77)</f>
        <v/>
      </c>
      <c r="C77" s="2">
        <f>COUNTIFS(交易明細!$B$2:$B$495,$A77,交易明細!$C$2:$C$495,"做多")</f>
        <v/>
      </c>
      <c r="D77" s="2">
        <f>COUNTIFS(交易明細!$B$2:$B$495,$A77,交易明細!$C$2:$C$495,"做空")</f>
        <v/>
      </c>
      <c r="E77" s="2">
        <f>F77+G77+COUNTIFS(交易明細!$B$2:$B$495,$A77,交易明細!$J$2:$J$495,"時間出場")</f>
        <v/>
      </c>
      <c r="F77" s="2">
        <f>COUNTIFS(交易明細!$B$2:$B$495,$A77,交易明細!$J$2:$J$495,"止盈")</f>
        <v/>
      </c>
      <c r="G77" s="2">
        <f>COUNTIFS(交易明細!$B$2:$B$495,$A77,交易明細!$J$2:$J$495,"止損")</f>
        <v/>
      </c>
      <c r="H77" s="4">
        <f>IFERROR(F77/E77,0)</f>
        <v/>
      </c>
      <c r="I77" s="4">
        <f>IFERROR(AVERAGEIFS(交易明細!$L$2:$L$495,交易明細!$B$2:$B$495,$A77,交易明細!$J$2:$J$495,"&lt;&gt;未平倉"),0)</f>
        <v/>
      </c>
      <c r="J77" s="4">
        <f>SUMIFS(交易明細!$L$2:$L$495,交易明細!$B$2:$B$495,$A77,交易明細!$J$2:$J$495,"&lt;&gt;未平倉")</f>
        <v/>
      </c>
      <c r="K77" s="5">
        <f>IFERROR(AVERAGEIFS(交易明細!$K$2:$K$495,交易明細!$B$2:$B$495,$A77,交易明細!$J$2:$J$495,"&lt;&gt;未平倉"),0)</f>
        <v/>
      </c>
      <c r="L77" s="2">
        <f>COUNTIFS(交易明細!$B$2:$B$495,$A77,交易明細!$J$2:$J$495,"未平倉")</f>
        <v/>
      </c>
    </row>
    <row r="78">
      <c r="A78" s="2" t="inlineStr">
        <is>
          <t>BANK_USDT_PERP</t>
        </is>
      </c>
      <c r="B78" s="2">
        <f>COUNTIFS(交易明細!$B$2:$B$495,$A78)</f>
        <v/>
      </c>
      <c r="C78" s="2">
        <f>COUNTIFS(交易明細!$B$2:$B$495,$A78,交易明細!$C$2:$C$495,"做多")</f>
        <v/>
      </c>
      <c r="D78" s="2">
        <f>COUNTIFS(交易明細!$B$2:$B$495,$A78,交易明細!$C$2:$C$495,"做空")</f>
        <v/>
      </c>
      <c r="E78" s="2">
        <f>F78+G78+COUNTIFS(交易明細!$B$2:$B$495,$A78,交易明細!$J$2:$J$495,"時間出場")</f>
        <v/>
      </c>
      <c r="F78" s="2">
        <f>COUNTIFS(交易明細!$B$2:$B$495,$A78,交易明細!$J$2:$J$495,"止盈")</f>
        <v/>
      </c>
      <c r="G78" s="2">
        <f>COUNTIFS(交易明細!$B$2:$B$495,$A78,交易明細!$J$2:$J$495,"止損")</f>
        <v/>
      </c>
      <c r="H78" s="4">
        <f>IFERROR(F78/E78,0)</f>
        <v/>
      </c>
      <c r="I78" s="4">
        <f>IFERROR(AVERAGEIFS(交易明細!$L$2:$L$495,交易明細!$B$2:$B$495,$A78,交易明細!$J$2:$J$495,"&lt;&gt;未平倉"),0)</f>
        <v/>
      </c>
      <c r="J78" s="4">
        <f>SUMIFS(交易明細!$L$2:$L$495,交易明細!$B$2:$B$495,$A78,交易明細!$J$2:$J$495,"&lt;&gt;未平倉")</f>
        <v/>
      </c>
      <c r="K78" s="5">
        <f>IFERROR(AVERAGEIFS(交易明細!$K$2:$K$495,交易明細!$B$2:$B$495,$A78,交易明細!$J$2:$J$495,"&lt;&gt;未平倉"),0)</f>
        <v/>
      </c>
      <c r="L78" s="2">
        <f>COUNTIFS(交易明細!$B$2:$B$495,$A78,交易明細!$J$2:$J$495,"未平倉")</f>
        <v/>
      </c>
    </row>
    <row r="79">
      <c r="A79" s="2" t="inlineStr">
        <is>
          <t>ETHFI_USDT_PERP</t>
        </is>
      </c>
      <c r="B79" s="2">
        <f>COUNTIFS(交易明細!$B$2:$B$495,$A79)</f>
        <v/>
      </c>
      <c r="C79" s="2">
        <f>COUNTIFS(交易明細!$B$2:$B$495,$A79,交易明細!$C$2:$C$495,"做多")</f>
        <v/>
      </c>
      <c r="D79" s="2">
        <f>COUNTIFS(交易明細!$B$2:$B$495,$A79,交易明細!$C$2:$C$495,"做空")</f>
        <v/>
      </c>
      <c r="E79" s="2">
        <f>F79+G79+COUNTIFS(交易明細!$B$2:$B$495,$A79,交易明細!$J$2:$J$495,"時間出場")</f>
        <v/>
      </c>
      <c r="F79" s="2">
        <f>COUNTIFS(交易明細!$B$2:$B$495,$A79,交易明細!$J$2:$J$495,"止盈")</f>
        <v/>
      </c>
      <c r="G79" s="2">
        <f>COUNTIFS(交易明細!$B$2:$B$495,$A79,交易明細!$J$2:$J$495,"止損")</f>
        <v/>
      </c>
      <c r="H79" s="4">
        <f>IFERROR(F79/E79,0)</f>
        <v/>
      </c>
      <c r="I79" s="4">
        <f>IFERROR(AVERAGEIFS(交易明細!$L$2:$L$495,交易明細!$B$2:$B$495,$A79,交易明細!$J$2:$J$495,"&lt;&gt;未平倉"),0)</f>
        <v/>
      </c>
      <c r="J79" s="4">
        <f>SUMIFS(交易明細!$L$2:$L$495,交易明細!$B$2:$B$495,$A79,交易明細!$J$2:$J$495,"&lt;&gt;未平倉")</f>
        <v/>
      </c>
      <c r="K79" s="5">
        <f>IFERROR(AVERAGEIFS(交易明細!$K$2:$K$495,交易明細!$B$2:$B$495,$A79,交易明細!$J$2:$J$495,"&lt;&gt;未平倉"),0)</f>
        <v/>
      </c>
      <c r="L79" s="2">
        <f>COUNTIFS(交易明細!$B$2:$B$495,$A79,交易明細!$J$2:$J$495,"未平倉")</f>
        <v/>
      </c>
    </row>
    <row r="80">
      <c r="A80" s="2" t="inlineStr">
        <is>
          <t>HBAR_USDT_PERP</t>
        </is>
      </c>
      <c r="B80" s="2">
        <f>COUNTIFS(交易明細!$B$2:$B$495,$A80)</f>
        <v/>
      </c>
      <c r="C80" s="2">
        <f>COUNTIFS(交易明細!$B$2:$B$495,$A80,交易明細!$C$2:$C$495,"做多")</f>
        <v/>
      </c>
      <c r="D80" s="2">
        <f>COUNTIFS(交易明細!$B$2:$B$495,$A80,交易明細!$C$2:$C$495,"做空")</f>
        <v/>
      </c>
      <c r="E80" s="2">
        <f>F80+G80+COUNTIFS(交易明細!$B$2:$B$495,$A80,交易明細!$J$2:$J$495,"時間出場")</f>
        <v/>
      </c>
      <c r="F80" s="2">
        <f>COUNTIFS(交易明細!$B$2:$B$495,$A80,交易明細!$J$2:$J$495,"止盈")</f>
        <v/>
      </c>
      <c r="G80" s="2">
        <f>COUNTIFS(交易明細!$B$2:$B$495,$A80,交易明細!$J$2:$J$495,"止損")</f>
        <v/>
      </c>
      <c r="H80" s="4">
        <f>IFERROR(F80/E80,0)</f>
        <v/>
      </c>
      <c r="I80" s="4">
        <f>IFERROR(AVERAGEIFS(交易明細!$L$2:$L$495,交易明細!$B$2:$B$495,$A80,交易明細!$J$2:$J$495,"&lt;&gt;未平倉"),0)</f>
        <v/>
      </c>
      <c r="J80" s="4">
        <f>SUMIFS(交易明細!$L$2:$L$495,交易明細!$B$2:$B$495,$A80,交易明細!$J$2:$J$495,"&lt;&gt;未平倉")</f>
        <v/>
      </c>
      <c r="K80" s="5">
        <f>IFERROR(AVERAGEIFS(交易明細!$K$2:$K$495,交易明細!$B$2:$B$495,$A80,交易明細!$J$2:$J$495,"&lt;&gt;未平倉"),0)</f>
        <v/>
      </c>
      <c r="L80" s="2">
        <f>COUNTIFS(交易明細!$B$2:$B$495,$A80,交易明細!$J$2:$J$495,"未平倉")</f>
        <v/>
      </c>
    </row>
    <row r="81">
      <c r="A81" s="2" t="inlineStr">
        <is>
          <t>KITE_USDT_PERP</t>
        </is>
      </c>
      <c r="B81" s="2">
        <f>COUNTIFS(交易明細!$B$2:$B$495,$A81)</f>
        <v/>
      </c>
      <c r="C81" s="2">
        <f>COUNTIFS(交易明細!$B$2:$B$495,$A81,交易明細!$C$2:$C$495,"做多")</f>
        <v/>
      </c>
      <c r="D81" s="2">
        <f>COUNTIFS(交易明細!$B$2:$B$495,$A81,交易明細!$C$2:$C$495,"做空")</f>
        <v/>
      </c>
      <c r="E81" s="2">
        <f>F81+G81+COUNTIFS(交易明細!$B$2:$B$495,$A81,交易明細!$J$2:$J$495,"時間出場")</f>
        <v/>
      </c>
      <c r="F81" s="2">
        <f>COUNTIFS(交易明細!$B$2:$B$495,$A81,交易明細!$J$2:$J$495,"止盈")</f>
        <v/>
      </c>
      <c r="G81" s="2">
        <f>COUNTIFS(交易明細!$B$2:$B$495,$A81,交易明細!$J$2:$J$495,"止損")</f>
        <v/>
      </c>
      <c r="H81" s="4">
        <f>IFERROR(F81/E81,0)</f>
        <v/>
      </c>
      <c r="I81" s="4">
        <f>IFERROR(AVERAGEIFS(交易明細!$L$2:$L$495,交易明細!$B$2:$B$495,$A81,交易明細!$J$2:$J$495,"&lt;&gt;未平倉"),0)</f>
        <v/>
      </c>
      <c r="J81" s="4">
        <f>SUMIFS(交易明細!$L$2:$L$495,交易明細!$B$2:$B$495,$A81,交易明細!$J$2:$J$495,"&lt;&gt;未平倉")</f>
        <v/>
      </c>
      <c r="K81" s="5">
        <f>IFERROR(AVERAGEIFS(交易明細!$K$2:$K$495,交易明細!$B$2:$B$495,$A81,交易明細!$J$2:$J$495,"&lt;&gt;未平倉"),0)</f>
        <v/>
      </c>
      <c r="L81" s="2">
        <f>COUNTIFS(交易明細!$B$2:$B$495,$A81,交易明細!$J$2:$J$495,"未平倉")</f>
        <v/>
      </c>
    </row>
    <row r="82">
      <c r="A82" s="2" t="inlineStr">
        <is>
          <t>ADA_USDT_PERP</t>
        </is>
      </c>
      <c r="B82" s="2">
        <f>COUNTIFS(交易明細!$B$2:$B$495,$A82)</f>
        <v/>
      </c>
      <c r="C82" s="2">
        <f>COUNTIFS(交易明細!$B$2:$B$495,$A82,交易明細!$C$2:$C$495,"做多")</f>
        <v/>
      </c>
      <c r="D82" s="2">
        <f>COUNTIFS(交易明細!$B$2:$B$495,$A82,交易明細!$C$2:$C$495,"做空")</f>
        <v/>
      </c>
      <c r="E82" s="2">
        <f>F82+G82+COUNTIFS(交易明細!$B$2:$B$495,$A82,交易明細!$J$2:$J$495,"時間出場")</f>
        <v/>
      </c>
      <c r="F82" s="2">
        <f>COUNTIFS(交易明細!$B$2:$B$495,$A82,交易明細!$J$2:$J$495,"止盈")</f>
        <v/>
      </c>
      <c r="G82" s="2">
        <f>COUNTIFS(交易明細!$B$2:$B$495,$A82,交易明細!$J$2:$J$495,"止損")</f>
        <v/>
      </c>
      <c r="H82" s="4">
        <f>IFERROR(F82/E82,0)</f>
        <v/>
      </c>
      <c r="I82" s="4">
        <f>IFERROR(AVERAGEIFS(交易明細!$L$2:$L$495,交易明細!$B$2:$B$495,$A82,交易明細!$J$2:$J$495,"&lt;&gt;未平倉"),0)</f>
        <v/>
      </c>
      <c r="J82" s="4">
        <f>SUMIFS(交易明細!$L$2:$L$495,交易明細!$B$2:$B$495,$A82,交易明細!$J$2:$J$495,"&lt;&gt;未平倉")</f>
        <v/>
      </c>
      <c r="K82" s="5">
        <f>IFERROR(AVERAGEIFS(交易明細!$K$2:$K$495,交易明細!$B$2:$B$495,$A82,交易明細!$J$2:$J$495,"&lt;&gt;未平倉"),0)</f>
        <v/>
      </c>
      <c r="L82" s="2">
        <f>COUNTIFS(交易明細!$B$2:$B$495,$A82,交易明細!$J$2:$J$495,"未平倉")</f>
        <v/>
      </c>
    </row>
    <row r="83">
      <c r="A83" s="2" t="inlineStr">
        <is>
          <t>LTC_USDT_PERP</t>
        </is>
      </c>
      <c r="B83" s="2">
        <f>COUNTIFS(交易明細!$B$2:$B$495,$A83)</f>
        <v/>
      </c>
      <c r="C83" s="2">
        <f>COUNTIFS(交易明細!$B$2:$B$495,$A83,交易明細!$C$2:$C$495,"做多")</f>
        <v/>
      </c>
      <c r="D83" s="2">
        <f>COUNTIFS(交易明細!$B$2:$B$495,$A83,交易明細!$C$2:$C$495,"做空")</f>
        <v/>
      </c>
      <c r="E83" s="2">
        <f>F83+G83+COUNTIFS(交易明細!$B$2:$B$495,$A83,交易明細!$J$2:$J$495,"時間出場")</f>
        <v/>
      </c>
      <c r="F83" s="2">
        <f>COUNTIFS(交易明細!$B$2:$B$495,$A83,交易明細!$J$2:$J$495,"止盈")</f>
        <v/>
      </c>
      <c r="G83" s="2">
        <f>COUNTIFS(交易明細!$B$2:$B$495,$A83,交易明細!$J$2:$J$495,"止損")</f>
        <v/>
      </c>
      <c r="H83" s="4">
        <f>IFERROR(F83/E83,0)</f>
        <v/>
      </c>
      <c r="I83" s="4">
        <f>IFERROR(AVERAGEIFS(交易明細!$L$2:$L$495,交易明細!$B$2:$B$495,$A83,交易明細!$J$2:$J$495,"&lt;&gt;未平倉"),0)</f>
        <v/>
      </c>
      <c r="J83" s="4">
        <f>SUMIFS(交易明細!$L$2:$L$495,交易明細!$B$2:$B$495,$A83,交易明細!$J$2:$J$495,"&lt;&gt;未平倉")</f>
        <v/>
      </c>
      <c r="K83" s="5">
        <f>IFERROR(AVERAGEIFS(交易明細!$K$2:$K$495,交易明細!$B$2:$B$495,$A83,交易明細!$J$2:$J$495,"&lt;&gt;未平倉"),0)</f>
        <v/>
      </c>
      <c r="L83" s="2">
        <f>COUNTIFS(交易明細!$B$2:$B$495,$A83,交易明細!$J$2:$J$495,"未平倉")</f>
        <v/>
      </c>
    </row>
    <row r="84">
      <c r="A84" s="2" t="inlineStr">
        <is>
          <t>TIA_USDT_PERP</t>
        </is>
      </c>
      <c r="B84" s="2">
        <f>COUNTIFS(交易明細!$B$2:$B$495,$A84)</f>
        <v/>
      </c>
      <c r="C84" s="2">
        <f>COUNTIFS(交易明細!$B$2:$B$495,$A84,交易明細!$C$2:$C$495,"做多")</f>
        <v/>
      </c>
      <c r="D84" s="2">
        <f>COUNTIFS(交易明細!$B$2:$B$495,$A84,交易明細!$C$2:$C$495,"做空")</f>
        <v/>
      </c>
      <c r="E84" s="2">
        <f>F84+G84+COUNTIFS(交易明細!$B$2:$B$495,$A84,交易明細!$J$2:$J$495,"時間出場")</f>
        <v/>
      </c>
      <c r="F84" s="2">
        <f>COUNTIFS(交易明細!$B$2:$B$495,$A84,交易明細!$J$2:$J$495,"止盈")</f>
        <v/>
      </c>
      <c r="G84" s="2">
        <f>COUNTIFS(交易明細!$B$2:$B$495,$A84,交易明細!$J$2:$J$495,"止損")</f>
        <v/>
      </c>
      <c r="H84" s="4">
        <f>IFERROR(F84/E84,0)</f>
        <v/>
      </c>
      <c r="I84" s="4">
        <f>IFERROR(AVERAGEIFS(交易明細!$L$2:$L$495,交易明細!$B$2:$B$495,$A84,交易明細!$J$2:$J$495,"&lt;&gt;未平倉"),0)</f>
        <v/>
      </c>
      <c r="J84" s="4">
        <f>SUMIFS(交易明細!$L$2:$L$495,交易明細!$B$2:$B$495,$A84,交易明細!$J$2:$J$495,"&lt;&gt;未平倉")</f>
        <v/>
      </c>
      <c r="K84" s="5">
        <f>IFERROR(AVERAGEIFS(交易明細!$K$2:$K$495,交易明細!$B$2:$B$495,$A84,交易明細!$J$2:$J$495,"&lt;&gt;未平倉"),0)</f>
        <v/>
      </c>
      <c r="L84" s="2">
        <f>COUNTIFS(交易明細!$B$2:$B$495,$A84,交易明細!$J$2:$J$495,"未平倉")</f>
        <v/>
      </c>
    </row>
    <row r="85">
      <c r="A85" s="2" t="inlineStr">
        <is>
          <t>NOM_USDT_PERP</t>
        </is>
      </c>
      <c r="B85" s="2">
        <f>COUNTIFS(交易明細!$B$2:$B$495,$A85)</f>
        <v/>
      </c>
      <c r="C85" s="2">
        <f>COUNTIFS(交易明細!$B$2:$B$495,$A85,交易明細!$C$2:$C$495,"做多")</f>
        <v/>
      </c>
      <c r="D85" s="2">
        <f>COUNTIFS(交易明細!$B$2:$B$495,$A85,交易明細!$C$2:$C$495,"做空")</f>
        <v/>
      </c>
      <c r="E85" s="2">
        <f>F85+G85+COUNTIFS(交易明細!$B$2:$B$495,$A85,交易明細!$J$2:$J$495,"時間出場")</f>
        <v/>
      </c>
      <c r="F85" s="2">
        <f>COUNTIFS(交易明細!$B$2:$B$495,$A85,交易明細!$J$2:$J$495,"止盈")</f>
        <v/>
      </c>
      <c r="G85" s="2">
        <f>COUNTIFS(交易明細!$B$2:$B$495,$A85,交易明細!$J$2:$J$495,"止損")</f>
        <v/>
      </c>
      <c r="H85" s="4">
        <f>IFERROR(F85/E85,0)</f>
        <v/>
      </c>
      <c r="I85" s="4">
        <f>IFERROR(AVERAGEIFS(交易明細!$L$2:$L$495,交易明細!$B$2:$B$495,$A85,交易明細!$J$2:$J$495,"&lt;&gt;未平倉"),0)</f>
        <v/>
      </c>
      <c r="J85" s="4">
        <f>SUMIFS(交易明細!$L$2:$L$495,交易明細!$B$2:$B$495,$A85,交易明細!$J$2:$J$495,"&lt;&gt;未平倉")</f>
        <v/>
      </c>
      <c r="K85" s="5">
        <f>IFERROR(AVERAGEIFS(交易明細!$K$2:$K$495,交易明細!$B$2:$B$495,$A85,交易明細!$J$2:$J$495,"&lt;&gt;未平倉"),0)</f>
        <v/>
      </c>
      <c r="L85" s="2">
        <f>COUNTIFS(交易明細!$B$2:$B$495,$A85,交易明細!$J$2:$J$495,"未平倉")</f>
        <v/>
      </c>
    </row>
    <row r="86">
      <c r="A86" s="2" t="inlineStr">
        <is>
          <t>BROCCOLI_USDT_PERP</t>
        </is>
      </c>
      <c r="B86" s="2">
        <f>COUNTIFS(交易明細!$B$2:$B$495,$A86)</f>
        <v/>
      </c>
      <c r="C86" s="2">
        <f>COUNTIFS(交易明細!$B$2:$B$495,$A86,交易明細!$C$2:$C$495,"做多")</f>
        <v/>
      </c>
      <c r="D86" s="2">
        <f>COUNTIFS(交易明細!$B$2:$B$495,$A86,交易明細!$C$2:$C$495,"做空")</f>
        <v/>
      </c>
      <c r="E86" s="2">
        <f>F86+G86+COUNTIFS(交易明細!$B$2:$B$495,$A86,交易明細!$J$2:$J$495,"時間出場")</f>
        <v/>
      </c>
      <c r="F86" s="2">
        <f>COUNTIFS(交易明細!$B$2:$B$495,$A86,交易明細!$J$2:$J$495,"止盈")</f>
        <v/>
      </c>
      <c r="G86" s="2">
        <f>COUNTIFS(交易明細!$B$2:$B$495,$A86,交易明細!$J$2:$J$495,"止損")</f>
        <v/>
      </c>
      <c r="H86" s="4">
        <f>IFERROR(F86/E86,0)</f>
        <v/>
      </c>
      <c r="I86" s="4">
        <f>IFERROR(AVERAGEIFS(交易明細!$L$2:$L$495,交易明細!$B$2:$B$495,$A86,交易明細!$J$2:$J$495,"&lt;&gt;未平倉"),0)</f>
        <v/>
      </c>
      <c r="J86" s="4">
        <f>SUMIFS(交易明細!$L$2:$L$495,交易明細!$B$2:$B$495,$A86,交易明細!$J$2:$J$495,"&lt;&gt;未平倉")</f>
        <v/>
      </c>
      <c r="K86" s="5">
        <f>IFERROR(AVERAGEIFS(交易明細!$K$2:$K$495,交易明細!$B$2:$B$495,$A86,交易明細!$J$2:$J$495,"&lt;&gt;未平倉"),0)</f>
        <v/>
      </c>
      <c r="L86" s="2">
        <f>COUNTIFS(交易明細!$B$2:$B$495,$A86,交易明細!$J$2:$J$495,"未平倉")</f>
        <v/>
      </c>
    </row>
    <row r="87">
      <c r="A87" s="2" t="inlineStr">
        <is>
          <t>LYN_USDT_PERP</t>
        </is>
      </c>
      <c r="B87" s="2">
        <f>COUNTIFS(交易明細!$B$2:$B$495,$A87)</f>
        <v/>
      </c>
      <c r="C87" s="2">
        <f>COUNTIFS(交易明細!$B$2:$B$495,$A87,交易明細!$C$2:$C$495,"做多")</f>
        <v/>
      </c>
      <c r="D87" s="2">
        <f>COUNTIFS(交易明細!$B$2:$B$495,$A87,交易明細!$C$2:$C$495,"做空")</f>
        <v/>
      </c>
      <c r="E87" s="2">
        <f>F87+G87+COUNTIFS(交易明細!$B$2:$B$495,$A87,交易明細!$J$2:$J$495,"時間出場")</f>
        <v/>
      </c>
      <c r="F87" s="2">
        <f>COUNTIFS(交易明細!$B$2:$B$495,$A87,交易明細!$J$2:$J$495,"止盈")</f>
        <v/>
      </c>
      <c r="G87" s="2">
        <f>COUNTIFS(交易明細!$B$2:$B$495,$A87,交易明細!$J$2:$J$495,"止損")</f>
        <v/>
      </c>
      <c r="H87" s="4">
        <f>IFERROR(F87/E87,0)</f>
        <v/>
      </c>
      <c r="I87" s="4">
        <f>IFERROR(AVERAGEIFS(交易明細!$L$2:$L$495,交易明細!$B$2:$B$495,$A87,交易明細!$J$2:$J$495,"&lt;&gt;未平倉"),0)</f>
        <v/>
      </c>
      <c r="J87" s="4">
        <f>SUMIFS(交易明細!$L$2:$L$495,交易明細!$B$2:$B$495,$A87,交易明細!$J$2:$J$495,"&lt;&gt;未平倉")</f>
        <v/>
      </c>
      <c r="K87" s="5">
        <f>IFERROR(AVERAGEIFS(交易明細!$K$2:$K$495,交易明細!$B$2:$B$495,$A87,交易明細!$J$2:$J$495,"&lt;&gt;未平倉"),0)</f>
        <v/>
      </c>
      <c r="L87" s="2">
        <f>COUNTIFS(交易明細!$B$2:$B$495,$A87,交易明細!$J$2:$J$495,"未平倉")</f>
        <v/>
      </c>
    </row>
  </sheetData>
  <autoFilter ref="A1:L8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>
        <is>
          <t>持倉中</t>
        </is>
      </c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>
        <is>
          <t>持倉中</t>
        </is>
      </c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>
        <is>
          <t>持倉中</t>
        </is>
      </c>
      <c r="D268" s="2" t="n"/>
      <c r="E268" s="20" t="n"/>
      <c r="F268" s="20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>
        <is>
          <t>持倉中</t>
        </is>
      </c>
      <c r="D284" s="2" t="n"/>
      <c r="E284" s="20" t="n"/>
      <c r="F284" s="20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>
        <is>
          <t>持倉中</t>
        </is>
      </c>
      <c r="D309" s="2" t="n"/>
      <c r="E309" s="20" t="n"/>
      <c r="F309" s="20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>
        <is>
          <t>持倉中</t>
        </is>
      </c>
      <c r="D419" s="2" t="n"/>
      <c r="E419" s="20" t="n"/>
      <c r="F419" s="20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20" t="n"/>
      <c r="F444" s="20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2026-09-26T06:08:26Z</dcterms:created>
  <dcterms:modified xsi:type="dcterms:W3CDTF">2026-09-26T06:08:26Z</dcterms:modified>
</cp:coreProperties>
</file>