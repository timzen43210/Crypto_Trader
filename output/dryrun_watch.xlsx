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'資金明細'!$A$1:$Z$1416</definedName>
    <definedName name="_xlnm._FilterDatabase" localSheetId="6" hidden="1">'交易明細'!$A$1:$AC$711</definedName>
    <definedName name="_xlnm._FilterDatabase" localSheetId="7" hidden="1">'幣種統計'!$A$1:$L$108</definedName>
    <definedName name="_xlnm._FilterDatabase" localSheetId="8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'資金明細'!$R$2:$R$1416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2026-10-10 00:21（Dry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COUNTIFS(交易明細!$B$2:$B$711,"&lt;&gt;")</f>
        <v/>
      </c>
      <c r="C5" s="2">
        <f>D5+E5+F5</f>
        <v/>
      </c>
      <c r="D5" s="2">
        <f>COUNTIFS(交易明細!$J$2:$J$711,"止盈")</f>
        <v/>
      </c>
      <c r="E5" s="2">
        <f>COUNTIFS(交易明細!$J$2:$J$711,"止損")</f>
        <v/>
      </c>
      <c r="F5" s="2">
        <f>COUNTIFS(交易明細!$J$2:$J$711,"時間出場")</f>
        <v/>
      </c>
      <c r="G5" s="2">
        <f>COUNTIFS(交易明細!$J$2:$J$711,"未平倉")</f>
        <v/>
      </c>
      <c r="H5" s="4">
        <f>IFERROR(D5/C5,0)</f>
        <v/>
      </c>
      <c r="I5" s="4">
        <f>IFERROR(AVERAGEIFS(交易明細!$AC$2:$AC$711,交易明細!$J$2:$J$711,"&lt;&gt;未平倉"),參數!$B$16)</f>
        <v/>
      </c>
      <c r="J5" s="4">
        <f>IFERROR(AVERAGEIFS(交易明細!$L$2:$L$711,交易明細!$J$2:$J$711,"&lt;&gt;未平倉"),0)</f>
        <v/>
      </c>
      <c r="K5" s="4">
        <f>SUMIFS(交易明細!$L$2:$L$711,交易明細!$J$2:$J$711,"&lt;&gt;未平倉")</f>
        <v/>
      </c>
      <c r="L5" s="5">
        <f>IFERROR(AVERAGEIFS(交易明細!$K$2:$K$711,交易明細!$J$2:$J$711,"&lt;&gt;未平倉"),0)</f>
        <v/>
      </c>
      <c r="M5" s="5">
        <f>IFERROR(AVERAGEIFS(交易明細!$K$2:$K$711,交易明細!$J$2:$J$711,"止盈"),0)</f>
        <v/>
      </c>
      <c r="N5" s="5">
        <f>IFERROR(AVERAGEIFS(交易明細!$K$2:$K$711,交易明細!$J$2:$J$711,"止損"),0)</f>
        <v/>
      </c>
      <c r="O5" s="4">
        <f>IFERROR(AVERAGEIFS(交易明細!$L$2:$L$711,交易明細!$J$2:$J$711,"時間出場"),0)</f>
        <v/>
      </c>
      <c r="P5" s="4">
        <f>IFERROR(COUNTIFS(交易明細!$J$2:$J$711,"&lt;&gt;未平倉",交易明細!$L$2:$L$711,"&gt;0")/C5,0)</f>
        <v/>
      </c>
    </row>
    <row r="6">
      <c r="A6" s="2" t="inlineStr">
        <is>
          <t>做多</t>
        </is>
      </c>
      <c r="B6" s="2">
        <f>COUNTIFS(交易明細!$C$2:$C$711,"做多",交易明細!$B$2:$B$711,"&lt;&gt;")</f>
        <v/>
      </c>
      <c r="C6" s="2">
        <f>D6+E6+F6</f>
        <v/>
      </c>
      <c r="D6" s="2">
        <f>COUNTIFS(交易明細!$C$2:$C$711,"做多",交易明細!$J$2:$J$711,"止盈")</f>
        <v/>
      </c>
      <c r="E6" s="2">
        <f>COUNTIFS(交易明細!$C$2:$C$711,"做多",交易明細!$J$2:$J$711,"止損")</f>
        <v/>
      </c>
      <c r="F6" s="2">
        <f>COUNTIFS(交易明細!$C$2:$C$711,"做多",交易明細!$J$2:$J$711,"時間出場")</f>
        <v/>
      </c>
      <c r="G6" s="2">
        <f>COUNTIFS(交易明細!$C$2:$C$711,"做多",交易明細!$J$2:$J$711,"未平倉")</f>
        <v/>
      </c>
      <c r="H6" s="4">
        <f>IFERROR(D6/C6,0)</f>
        <v/>
      </c>
      <c r="I6" s="4">
        <f>IFERROR(AVERAGEIFS(交易明細!$AC$2:$AC$711,交易明細!$C$2:$C$711,"做多",交易明細!$J$2:$J$711,"&lt;&gt;未平倉"),參數!$B$16)</f>
        <v/>
      </c>
      <c r="J6" s="4">
        <f>IFERROR(AVERAGEIFS(交易明細!$L$2:$L$711,交易明細!$C$2:$C$711,"做多",交易明細!$J$2:$J$711,"&lt;&gt;未平倉"),0)</f>
        <v/>
      </c>
      <c r="K6" s="4">
        <f>SUMIFS(交易明細!$L$2:$L$711,交易明細!$C$2:$C$711,"做多",交易明細!$J$2:$J$711,"&lt;&gt;未平倉")</f>
        <v/>
      </c>
      <c r="L6" s="5">
        <f>IFERROR(AVERAGEIFS(交易明細!$K$2:$K$711,交易明細!$C$2:$C$711,"做多",交易明細!$J$2:$J$711,"&lt;&gt;未平倉"),0)</f>
        <v/>
      </c>
      <c r="M6" s="5">
        <f>IFERROR(AVERAGEIFS(交易明細!$K$2:$K$711,交易明細!$C$2:$C$711,"做多",交易明細!$J$2:$J$711,"止盈"),0)</f>
        <v/>
      </c>
      <c r="N6" s="5">
        <f>IFERROR(AVERAGEIFS(交易明細!$K$2:$K$711,交易明細!$C$2:$C$711,"做多",交易明細!$J$2:$J$711,"止損"),0)</f>
        <v/>
      </c>
      <c r="O6" s="4">
        <f>IFERROR(AVERAGEIFS(交易明細!$L$2:$L$711,交易明細!$C$2:$C$711,"做多",交易明細!$J$2:$J$711,"時間出場"),0)</f>
        <v/>
      </c>
      <c r="P6" s="4">
        <f>IFERROR(COUNTIFS(交易明細!$C$2:$C$711,"做多",交易明細!$J$2:$J$711,"&lt;&gt;未平倉",交易明細!$L$2:$L$711,"&gt;0")/C6,0)</f>
        <v/>
      </c>
    </row>
    <row r="7">
      <c r="A7" s="2" t="inlineStr">
        <is>
          <t>做空</t>
        </is>
      </c>
      <c r="B7" s="2">
        <f>COUNTIFS(交易明細!$C$2:$C$711,"做空",交易明細!$B$2:$B$711,"&lt;&gt;")</f>
        <v/>
      </c>
      <c r="C7" s="2">
        <f>D7+E7+F7</f>
        <v/>
      </c>
      <c r="D7" s="2">
        <f>COUNTIFS(交易明細!$C$2:$C$711,"做空",交易明細!$J$2:$J$711,"止盈")</f>
        <v/>
      </c>
      <c r="E7" s="2">
        <f>COUNTIFS(交易明細!$C$2:$C$711,"做空",交易明細!$J$2:$J$711,"止損")</f>
        <v/>
      </c>
      <c r="F7" s="2">
        <f>COUNTIFS(交易明細!$C$2:$C$711,"做空",交易明細!$J$2:$J$711,"時間出場")</f>
        <v/>
      </c>
      <c r="G7" s="2">
        <f>COUNTIFS(交易明細!$C$2:$C$711,"做空",交易明細!$J$2:$J$711,"未平倉")</f>
        <v/>
      </c>
      <c r="H7" s="4">
        <f>IFERROR(D7/C7,0)</f>
        <v/>
      </c>
      <c r="I7" s="4">
        <f>IFERROR(AVERAGEIFS(交易明細!$AC$2:$AC$711,交易明細!$C$2:$C$711,"做空",交易明細!$J$2:$J$711,"&lt;&gt;未平倉"),參數!$B$16)</f>
        <v/>
      </c>
      <c r="J7" s="4">
        <f>IFERROR(AVERAGEIFS(交易明細!$L$2:$L$711,交易明細!$C$2:$C$711,"做空",交易明細!$J$2:$J$711,"&lt;&gt;未平倉"),0)</f>
        <v/>
      </c>
      <c r="K7" s="4">
        <f>SUMIFS(交易明細!$L$2:$L$711,交易明細!$C$2:$C$711,"做空",交易明細!$J$2:$J$711,"&lt;&gt;未平倉")</f>
        <v/>
      </c>
      <c r="L7" s="5">
        <f>IFERROR(AVERAGEIFS(交易明細!$K$2:$K$711,交易明細!$C$2:$C$711,"做空",交易明細!$J$2:$J$711,"&lt;&gt;未平倉"),0)</f>
        <v/>
      </c>
      <c r="M7" s="5">
        <f>IFERROR(AVERAGEIFS(交易明細!$K$2:$K$711,交易明細!$C$2:$C$711,"做空",交易明細!$J$2:$J$711,"止盈"),0)</f>
        <v/>
      </c>
      <c r="N7" s="5">
        <f>IFERROR(AVERAGEIFS(交易明細!$K$2:$K$711,交易明細!$C$2:$C$711,"做空",交易明細!$J$2:$J$711,"止損"),0)</f>
        <v/>
      </c>
      <c r="O7" s="4">
        <f>IFERROR(AVERAGEIFS(交易明細!$L$2:$L$711,交易明細!$C$2:$C$711,"做空",交易明細!$J$2:$J$711,"時間出場"),0)</f>
        <v/>
      </c>
      <c r="P7" s="4">
        <f>IFERROR(COUNTIFS(交易明細!$C$2:$C$711,"做空",交易明細!$J$2:$J$711,"&lt;&gt;未平倉",交易明細!$L$2:$L$711,"&gt;0")/C7,0)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46305.01507317129</v>
      </c>
      <c r="B2" s="7" t="n">
        <v>46305.01388888889</v>
      </c>
      <c r="C2" s="2" t="n">
        <v>424</v>
      </c>
      <c r="D2" s="2" t="n">
        <v>0</v>
      </c>
      <c r="E2" s="2" t="n">
        <v>1</v>
      </c>
      <c r="F2" s="2" t="n">
        <v>0</v>
      </c>
      <c r="G2" s="2" t="n">
        <v>158.3</v>
      </c>
    </row>
    <row r="3">
      <c r="A3" s="7" t="n">
        <v>46304.94379155093</v>
      </c>
      <c r="B3" s="7" t="n">
        <v>46304.94305555556</v>
      </c>
      <c r="C3" s="2" t="n">
        <v>424</v>
      </c>
      <c r="D3" s="2" t="n">
        <v>3</v>
      </c>
      <c r="E3" s="2" t="n">
        <v>2</v>
      </c>
      <c r="F3" s="2" t="n">
        <v>0</v>
      </c>
      <c r="G3" s="2" t="n">
        <v>190.6</v>
      </c>
    </row>
    <row r="4">
      <c r="A4" s="7" t="n">
        <v>46304.71967576389</v>
      </c>
      <c r="B4" s="7" t="n">
        <v>46304.71875</v>
      </c>
      <c r="C4" s="2" t="n">
        <v>424</v>
      </c>
      <c r="D4" s="2" t="n">
        <v>4</v>
      </c>
      <c r="E4" s="2" t="n">
        <v>3</v>
      </c>
      <c r="F4" s="2" t="n">
        <v>0</v>
      </c>
      <c r="G4" s="2" t="n">
        <v>172.2</v>
      </c>
    </row>
    <row r="5">
      <c r="A5" s="7" t="n">
        <v>46304.42724962963</v>
      </c>
      <c r="B5" s="7" t="n">
        <v>46304.42638888889</v>
      </c>
      <c r="C5" s="2" t="n">
        <v>424</v>
      </c>
      <c r="D5" s="2" t="n">
        <v>1</v>
      </c>
      <c r="E5" s="2" t="n">
        <v>0</v>
      </c>
      <c r="F5" s="2" t="n">
        <v>0</v>
      </c>
      <c r="G5" s="2" t="n">
        <v>161.8</v>
      </c>
    </row>
    <row r="6">
      <c r="A6" s="7" t="n">
        <v>46304.40418914352</v>
      </c>
      <c r="B6" s="7" t="n">
        <v>46304.40347222222</v>
      </c>
      <c r="C6" s="2" t="n">
        <v>424</v>
      </c>
      <c r="D6" s="2" t="n">
        <v>3</v>
      </c>
      <c r="E6" s="2" t="n">
        <v>0</v>
      </c>
      <c r="F6" s="2" t="n">
        <v>0</v>
      </c>
      <c r="G6" s="2" t="n">
        <v>165.2</v>
      </c>
    </row>
    <row r="7">
      <c r="A7" s="7" t="n">
        <v>46304.25657934028</v>
      </c>
      <c r="B7" s="7" t="n">
        <v>46304.25555555556</v>
      </c>
      <c r="C7" s="2" t="n">
        <v>424</v>
      </c>
      <c r="D7" s="2" t="n">
        <v>1</v>
      </c>
      <c r="E7" s="2" t="n">
        <v>1</v>
      </c>
      <c r="F7" s="2" t="n">
        <v>0</v>
      </c>
      <c r="G7" s="2" t="n">
        <v>191.7</v>
      </c>
    </row>
    <row r="8">
      <c r="A8" s="7" t="n">
        <v>46304.02427626157</v>
      </c>
      <c r="B8" s="7" t="n">
        <v>46304.02291666667</v>
      </c>
      <c r="C8" s="2" t="n">
        <v>424</v>
      </c>
      <c r="D8" s="2" t="n">
        <v>2</v>
      </c>
      <c r="E8" s="2" t="n">
        <v>4</v>
      </c>
      <c r="F8" s="2" t="n">
        <v>0</v>
      </c>
      <c r="G8" s="2" t="n">
        <v>190.7</v>
      </c>
    </row>
    <row r="9">
      <c r="A9" s="7" t="n">
        <v>46303.77544002315</v>
      </c>
      <c r="B9" s="7" t="n">
        <v>46303.77430555555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140.4</v>
      </c>
    </row>
    <row r="10">
      <c r="A10" s="7" t="n">
        <v>46303.71259842593</v>
      </c>
      <c r="B10" s="7" t="n">
        <v>46303.71180555555</v>
      </c>
      <c r="C10" s="2" t="n">
        <v>434</v>
      </c>
      <c r="D10" s="2" t="n">
        <v>5</v>
      </c>
      <c r="E10" s="2" t="n">
        <v>5</v>
      </c>
      <c r="F10" s="2" t="n">
        <v>0</v>
      </c>
      <c r="G10" s="2" t="n">
        <v>141.3</v>
      </c>
    </row>
    <row r="11">
      <c r="A11" s="7" t="n">
        <v>46303.41768807871</v>
      </c>
      <c r="B11" s="7" t="n">
        <v>46303.41666666666</v>
      </c>
      <c r="C11" s="2" t="n">
        <v>434</v>
      </c>
      <c r="D11" s="2" t="n">
        <v>3</v>
      </c>
      <c r="E11" s="2" t="n">
        <v>0</v>
      </c>
      <c r="F11" s="2" t="n">
        <v>0</v>
      </c>
      <c r="G11" s="2" t="n">
        <v>194.5</v>
      </c>
    </row>
    <row r="12">
      <c r="A12" s="7" t="n">
        <v>46303.22279260417</v>
      </c>
      <c r="B12" s="7" t="n">
        <v>46303.22152777778</v>
      </c>
      <c r="C12" s="2" t="n">
        <v>434</v>
      </c>
      <c r="D12" s="2" t="n">
        <v>1</v>
      </c>
      <c r="E12" s="2" t="n">
        <v>4</v>
      </c>
      <c r="F12" s="2" t="n">
        <v>0</v>
      </c>
      <c r="G12" s="2" t="n">
        <v>192.9</v>
      </c>
    </row>
    <row r="13">
      <c r="A13" s="7" t="n">
        <v>46302.98345733796</v>
      </c>
      <c r="B13" s="7" t="n">
        <v>46302.98263888889</v>
      </c>
      <c r="C13" s="2" t="n">
        <v>434</v>
      </c>
      <c r="D13" s="2" t="n">
        <v>2</v>
      </c>
      <c r="E13" s="2" t="n">
        <v>1</v>
      </c>
      <c r="F13" s="2" t="n">
        <v>0</v>
      </c>
      <c r="G13" s="2" t="n">
        <v>189.7</v>
      </c>
    </row>
    <row r="14">
      <c r="A14" s="7" t="n">
        <v>46302.91855568287</v>
      </c>
      <c r="B14" s="7" t="n">
        <v>46302.91736111111</v>
      </c>
      <c r="C14" s="2" t="n">
        <v>434</v>
      </c>
      <c r="D14" s="2" t="n">
        <v>5</v>
      </c>
      <c r="E14" s="2" t="n">
        <v>8</v>
      </c>
      <c r="F14" s="2" t="n">
        <v>0</v>
      </c>
      <c r="G14" s="2" t="n">
        <v>195.1</v>
      </c>
    </row>
    <row r="15">
      <c r="A15" s="7" t="n">
        <v>46302.63748732639</v>
      </c>
      <c r="B15" s="7" t="n">
        <v>46302.63611111111</v>
      </c>
      <c r="C15" s="2" t="n">
        <v>434</v>
      </c>
      <c r="D15" s="2" t="n">
        <v>7</v>
      </c>
      <c r="E15" s="2" t="n">
        <v>4</v>
      </c>
      <c r="F15" s="2" t="n">
        <v>0</v>
      </c>
      <c r="G15" s="2" t="n">
        <v>149.8</v>
      </c>
    </row>
    <row r="16">
      <c r="A16" s="7" t="n">
        <v>46302.36557295139</v>
      </c>
      <c r="B16" s="7" t="n">
        <v>46302.36458333334</v>
      </c>
      <c r="C16" s="2" t="n">
        <v>434</v>
      </c>
      <c r="D16" s="2" t="n">
        <v>1</v>
      </c>
      <c r="E16" s="2" t="n">
        <v>0</v>
      </c>
      <c r="F16" s="2" t="n">
        <v>0</v>
      </c>
      <c r="G16" s="2" t="n">
        <v>187.2</v>
      </c>
    </row>
    <row r="17">
      <c r="A17" s="7" t="n">
        <v>46302.18334195602</v>
      </c>
      <c r="B17" s="7" t="n">
        <v>46302.18263888889</v>
      </c>
      <c r="C17" s="2" t="n">
        <v>434</v>
      </c>
      <c r="D17" s="2" t="n">
        <v>0</v>
      </c>
      <c r="E17" s="2" t="n">
        <v>2</v>
      </c>
      <c r="F17" s="2" t="n">
        <v>0</v>
      </c>
      <c r="G17" s="2" t="n">
        <v>143.5</v>
      </c>
    </row>
    <row r="18">
      <c r="A18" s="7" t="n">
        <v>46301.96957728009</v>
      </c>
      <c r="B18" s="7" t="n">
        <v>46301.96875</v>
      </c>
      <c r="C18" s="2" t="n">
        <v>434</v>
      </c>
      <c r="D18" s="2" t="n">
        <v>0</v>
      </c>
      <c r="E18" s="2" t="n">
        <v>0</v>
      </c>
      <c r="F18" s="2" t="n">
        <v>0</v>
      </c>
      <c r="G18" s="2" t="n">
        <v>153.4</v>
      </c>
    </row>
    <row r="19">
      <c r="A19" s="7" t="n">
        <v>46301.81112700231</v>
      </c>
      <c r="B19" s="7" t="n">
        <v>46301.81041666667</v>
      </c>
      <c r="C19" s="2" t="n">
        <v>434</v>
      </c>
      <c r="D19" s="2" t="n">
        <v>2</v>
      </c>
      <c r="E19" s="2" t="n">
        <v>3</v>
      </c>
      <c r="F19" s="2" t="n">
        <v>0</v>
      </c>
      <c r="G19" s="2" t="n">
        <v>163.5</v>
      </c>
    </row>
    <row r="20">
      <c r="A20" s="7" t="n">
        <v>46301.65108299768</v>
      </c>
      <c r="B20" s="7" t="n">
        <v>46301.65</v>
      </c>
      <c r="C20" s="2" t="n">
        <v>434</v>
      </c>
      <c r="D20" s="2" t="n">
        <v>4</v>
      </c>
      <c r="E20" s="2" t="n">
        <v>3</v>
      </c>
      <c r="F20" s="2" t="n">
        <v>0</v>
      </c>
      <c r="G20" s="2" t="n">
        <v>163.9</v>
      </c>
    </row>
    <row r="21">
      <c r="A21" s="7" t="n">
        <v>46301.36894638889</v>
      </c>
      <c r="B21" s="7" t="n">
        <v>46301.36805555555</v>
      </c>
      <c r="C21" s="2" t="n">
        <v>434</v>
      </c>
      <c r="D21" s="2" t="n">
        <v>1</v>
      </c>
      <c r="E21" s="2" t="n">
        <v>0</v>
      </c>
      <c r="F21" s="2" t="n">
        <v>0</v>
      </c>
      <c r="G21" s="2" t="n">
        <v>163.9</v>
      </c>
    </row>
    <row r="22">
      <c r="A22" s="7" t="n">
        <v>46301.10619697917</v>
      </c>
      <c r="B22" s="7" t="n">
        <v>46301.10486111111</v>
      </c>
      <c r="C22" s="2" t="n">
        <v>434</v>
      </c>
      <c r="D22" s="2" t="n">
        <v>3</v>
      </c>
      <c r="E22" s="2" t="n">
        <v>3</v>
      </c>
      <c r="F22" s="2" t="n">
        <v>0</v>
      </c>
      <c r="G22" s="2" t="n">
        <v>185.1</v>
      </c>
    </row>
    <row r="23">
      <c r="A23" s="7" t="n">
        <v>46300.94284798611</v>
      </c>
      <c r="B23" s="7" t="n">
        <v>46300.94166666667</v>
      </c>
      <c r="C23" s="2" t="n">
        <v>434</v>
      </c>
      <c r="D23" s="2" t="n">
        <v>2</v>
      </c>
      <c r="E23" s="2" t="n">
        <v>5</v>
      </c>
      <c r="F23" s="2" t="n">
        <v>0</v>
      </c>
      <c r="G23" s="2" t="n">
        <v>178.3</v>
      </c>
    </row>
    <row r="24">
      <c r="A24" s="7" t="n">
        <v>46300.71639594907</v>
      </c>
      <c r="B24" s="7" t="n">
        <v>46300.71527777778</v>
      </c>
      <c r="C24" s="2" t="n">
        <v>434</v>
      </c>
      <c r="D24" s="2" t="n">
        <v>6</v>
      </c>
      <c r="E24" s="2" t="n">
        <v>5</v>
      </c>
      <c r="F24" s="2" t="n">
        <v>0</v>
      </c>
      <c r="G24" s="2" t="n">
        <v>191.4</v>
      </c>
    </row>
    <row r="25">
      <c r="A25" s="7" t="n">
        <v>46300.42120295139</v>
      </c>
      <c r="B25" s="7" t="n">
        <v>46300.42013888889</v>
      </c>
      <c r="C25" s="2" t="n">
        <v>435</v>
      </c>
      <c r="D25" s="2" t="n">
        <v>1</v>
      </c>
      <c r="E25" s="2" t="n">
        <v>1</v>
      </c>
      <c r="F25" s="2" t="n">
        <v>0</v>
      </c>
      <c r="G25" s="2" t="n">
        <v>186</v>
      </c>
    </row>
    <row r="26">
      <c r="A26" s="7" t="n">
        <v>46300.30229967592</v>
      </c>
      <c r="B26" s="7" t="n">
        <v>46300.30138888889</v>
      </c>
      <c r="C26" s="2" t="n">
        <v>435</v>
      </c>
      <c r="D26" s="2" t="n">
        <v>4</v>
      </c>
      <c r="E26" s="2" t="n">
        <v>3</v>
      </c>
      <c r="F26" s="2" t="n">
        <v>0</v>
      </c>
      <c r="G26" s="2" t="n">
        <v>186.7</v>
      </c>
    </row>
    <row r="27">
      <c r="A27" s="7" t="n">
        <v>46300.1536875926</v>
      </c>
      <c r="B27" s="7" t="n">
        <v>46300.15277777778</v>
      </c>
      <c r="C27" s="2" t="n">
        <v>435</v>
      </c>
      <c r="D27" s="2" t="n">
        <v>1</v>
      </c>
      <c r="E27" s="2" t="n">
        <v>2</v>
      </c>
      <c r="F27" s="2" t="n">
        <v>0</v>
      </c>
      <c r="G27" s="2" t="n">
        <v>149.8</v>
      </c>
    </row>
    <row r="28">
      <c r="A28" s="7" t="n">
        <v>46299.97588962963</v>
      </c>
      <c r="B28" s="7" t="n">
        <v>46299.975</v>
      </c>
      <c r="C28" s="2" t="n">
        <v>435</v>
      </c>
      <c r="D28" s="2" t="n">
        <v>1</v>
      </c>
      <c r="E28" s="2" t="n">
        <v>1</v>
      </c>
      <c r="F28" s="2" t="n">
        <v>0</v>
      </c>
      <c r="G28" s="2" t="n">
        <v>191.9</v>
      </c>
    </row>
    <row r="29">
      <c r="A29" s="7" t="n">
        <v>46299.90213123843</v>
      </c>
      <c r="B29" s="7" t="n">
        <v>46299.90138888889</v>
      </c>
      <c r="C29" s="2" t="n">
        <v>435</v>
      </c>
      <c r="D29" s="2" t="n">
        <v>3</v>
      </c>
      <c r="E29" s="2" t="n">
        <v>1</v>
      </c>
      <c r="F29" s="2" t="n">
        <v>0</v>
      </c>
      <c r="G29" s="2" t="n">
        <v>188.2</v>
      </c>
    </row>
    <row r="30">
      <c r="A30" s="7" t="n">
        <v>46299.74574608796</v>
      </c>
      <c r="B30" s="7" t="n">
        <v>46299.74444444444</v>
      </c>
      <c r="C30" s="2" t="n">
        <v>435</v>
      </c>
      <c r="D30" s="2" t="n">
        <v>1</v>
      </c>
      <c r="E30" s="2" t="n">
        <v>1</v>
      </c>
      <c r="F30" s="2" t="n">
        <v>1</v>
      </c>
      <c r="G30" s="2" t="n">
        <v>187.4</v>
      </c>
    </row>
    <row r="31">
      <c r="A31" s="7" t="n">
        <v>46299.48719824074</v>
      </c>
      <c r="B31" s="7" t="n">
        <v>46299.48611111111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184.7</v>
      </c>
    </row>
    <row r="32">
      <c r="A32" s="7" t="n">
        <v>46299.44683753472</v>
      </c>
      <c r="B32" s="7" t="n">
        <v>46299.44583333333</v>
      </c>
      <c r="C32" s="2" t="n">
        <v>435</v>
      </c>
      <c r="D32" s="2" t="n">
        <v>0</v>
      </c>
      <c r="E32" s="2" t="n">
        <v>2</v>
      </c>
      <c r="F32" s="2" t="n">
        <v>1</v>
      </c>
      <c r="G32" s="2" t="n">
        <v>189.6</v>
      </c>
    </row>
    <row r="33">
      <c r="A33" s="7" t="n">
        <v>46299.29732329861</v>
      </c>
      <c r="B33" s="7" t="n">
        <v>46299.29652777778</v>
      </c>
      <c r="C33" s="2" t="n">
        <v>435</v>
      </c>
      <c r="D33" s="2" t="n">
        <v>0</v>
      </c>
      <c r="E33" s="2" t="n">
        <v>1</v>
      </c>
      <c r="F33" s="2" t="n">
        <v>1</v>
      </c>
      <c r="G33" s="2" t="n">
        <v>186.6</v>
      </c>
    </row>
    <row r="34">
      <c r="A34" s="7" t="n">
        <v>46299.16534118055</v>
      </c>
      <c r="B34" s="7" t="n">
        <v>46299.16458333333</v>
      </c>
      <c r="C34" s="2" t="n">
        <v>435</v>
      </c>
      <c r="D34" s="2" t="n">
        <v>1</v>
      </c>
      <c r="E34" s="2" t="n">
        <v>2</v>
      </c>
      <c r="F34" s="2" t="n">
        <v>1</v>
      </c>
      <c r="G34" s="2" t="n">
        <v>160.2</v>
      </c>
    </row>
    <row r="35">
      <c r="A35" s="7" t="n">
        <v>46299.01924309028</v>
      </c>
      <c r="B35" s="7" t="n">
        <v>46299.01805555556</v>
      </c>
      <c r="C35" s="2" t="n">
        <v>435</v>
      </c>
      <c r="D35" s="2" t="n">
        <v>2</v>
      </c>
      <c r="E35" s="2" t="n">
        <v>0</v>
      </c>
      <c r="F35" s="2" t="n">
        <v>1</v>
      </c>
      <c r="G35" s="2" t="n">
        <v>194</v>
      </c>
    </row>
    <row r="36">
      <c r="A36" s="7" t="n">
        <v>46298.82413289352</v>
      </c>
      <c r="B36" s="7" t="n">
        <v>46298.82291666666</v>
      </c>
      <c r="C36" s="2" t="n">
        <v>435</v>
      </c>
      <c r="D36" s="2" t="n">
        <v>1</v>
      </c>
      <c r="E36" s="2" t="n">
        <v>0</v>
      </c>
      <c r="F36" s="2" t="n">
        <v>1</v>
      </c>
      <c r="G36" s="2" t="n">
        <v>180.1</v>
      </c>
    </row>
    <row r="37">
      <c r="A37" s="7" t="n">
        <v>46298.64104893518</v>
      </c>
      <c r="B37" s="7" t="n">
        <v>46298.64027777778</v>
      </c>
      <c r="C37" s="2" t="n">
        <v>435</v>
      </c>
      <c r="D37" s="2" t="n">
        <v>0</v>
      </c>
      <c r="E37" s="2" t="n">
        <v>1</v>
      </c>
      <c r="F37" s="2" t="n">
        <v>1</v>
      </c>
      <c r="G37" s="2" t="n">
        <v>180.1</v>
      </c>
    </row>
    <row r="38">
      <c r="A38" s="7" t="n">
        <v>46298.55905060185</v>
      </c>
      <c r="B38" s="7" t="n">
        <v>46298.55833333333</v>
      </c>
      <c r="C38" s="2" t="n">
        <v>435</v>
      </c>
      <c r="D38" s="2" t="n">
        <v>2</v>
      </c>
      <c r="E38" s="2" t="n">
        <v>2</v>
      </c>
      <c r="F38" s="2" t="n">
        <v>1</v>
      </c>
      <c r="G38" s="2" t="n">
        <v>159.7</v>
      </c>
    </row>
    <row r="39">
      <c r="A39" s="7" t="n">
        <v>46298.32651334491</v>
      </c>
      <c r="B39" s="7" t="n">
        <v>46298.32569444444</v>
      </c>
      <c r="C39" s="2" t="n">
        <v>435</v>
      </c>
      <c r="D39" s="2" t="n">
        <v>0</v>
      </c>
      <c r="E39" s="2" t="n">
        <v>2</v>
      </c>
      <c r="F39" s="2" t="n">
        <v>2</v>
      </c>
      <c r="G39" s="2" t="n">
        <v>189.1</v>
      </c>
    </row>
    <row r="40">
      <c r="A40" s="7" t="n">
        <v>46298.14088650463</v>
      </c>
      <c r="B40" s="7" t="n">
        <v>46298.13958333333</v>
      </c>
      <c r="C40" s="2" t="n">
        <v>435</v>
      </c>
      <c r="D40" s="2" t="n">
        <v>6</v>
      </c>
      <c r="E40" s="2" t="n">
        <v>2</v>
      </c>
      <c r="F40" s="2" t="n">
        <v>2</v>
      </c>
      <c r="G40" s="2" t="n">
        <v>195.5</v>
      </c>
    </row>
    <row r="41">
      <c r="A41" s="7" t="n">
        <v>46298.00826386574</v>
      </c>
      <c r="B41" s="7" t="n">
        <v>46298.00694444445</v>
      </c>
      <c r="C41" s="2" t="n">
        <v>435</v>
      </c>
      <c r="D41" s="2" t="n">
        <v>1</v>
      </c>
      <c r="E41" s="2" t="n">
        <v>2</v>
      </c>
      <c r="F41" s="2" t="n">
        <v>2</v>
      </c>
      <c r="G41" s="2" t="n">
        <v>190.7</v>
      </c>
    </row>
    <row r="42">
      <c r="A42" s="7" t="n">
        <v>46297.91349550926</v>
      </c>
      <c r="B42" s="7" t="n">
        <v>46297.9125</v>
      </c>
      <c r="C42" s="2" t="n">
        <v>435</v>
      </c>
      <c r="D42" s="2" t="n">
        <v>0</v>
      </c>
      <c r="E42" s="2" t="n">
        <v>0</v>
      </c>
      <c r="F42" s="2" t="n">
        <v>3</v>
      </c>
      <c r="G42" s="2" t="n">
        <v>179.2</v>
      </c>
    </row>
    <row r="43">
      <c r="A43" s="7" t="n">
        <v>46297.90064986111</v>
      </c>
      <c r="B43" s="7" t="n">
        <v>46297.89930555555</v>
      </c>
      <c r="C43" s="2" t="n">
        <v>435</v>
      </c>
      <c r="D43" s="2" t="n">
        <v>0</v>
      </c>
      <c r="E43" s="2" t="n">
        <v>3</v>
      </c>
      <c r="F43" s="2" t="n">
        <v>3</v>
      </c>
      <c r="G43" s="2" t="n">
        <v>180.1</v>
      </c>
    </row>
    <row r="44">
      <c r="A44" s="7" t="n">
        <v>46297.75623421296</v>
      </c>
      <c r="B44" s="7" t="n">
        <v>46297.75486111111</v>
      </c>
      <c r="C44" s="2" t="n">
        <v>435</v>
      </c>
      <c r="D44" s="2" t="n">
        <v>1</v>
      </c>
      <c r="E44" s="2" t="n">
        <v>0</v>
      </c>
      <c r="F44" s="2" t="n">
        <v>3</v>
      </c>
      <c r="G44" s="2" t="n">
        <v>199.1</v>
      </c>
    </row>
    <row r="45">
      <c r="A45" s="7" t="n">
        <v>46297.70907445602</v>
      </c>
      <c r="B45" s="7" t="n">
        <v>46297.70833333334</v>
      </c>
      <c r="C45" s="2" t="n">
        <v>435</v>
      </c>
      <c r="D45" s="2" t="n">
        <v>0</v>
      </c>
      <c r="E45" s="2" t="n">
        <v>2</v>
      </c>
      <c r="F45" s="2" t="n">
        <v>3</v>
      </c>
      <c r="G45" s="2" t="n">
        <v>148.2</v>
      </c>
    </row>
    <row r="46">
      <c r="A46" s="7" t="n">
        <v>46297.62748648148</v>
      </c>
      <c r="B46" s="7" t="n">
        <v>46297.62638888889</v>
      </c>
      <c r="C46" s="2" t="n">
        <v>435</v>
      </c>
      <c r="D46" s="2" t="n">
        <v>0</v>
      </c>
      <c r="E46" s="2" t="n">
        <v>1</v>
      </c>
      <c r="F46" s="2" t="n">
        <v>3</v>
      </c>
      <c r="G46" s="2" t="n">
        <v>188.8</v>
      </c>
    </row>
    <row r="47">
      <c r="A47" s="7" t="n">
        <v>46297.59146636574</v>
      </c>
      <c r="B47" s="7" t="n">
        <v>46297.59027777778</v>
      </c>
      <c r="C47" s="2" t="n">
        <v>435</v>
      </c>
      <c r="D47" s="2" t="n">
        <v>3</v>
      </c>
      <c r="E47" s="2" t="n">
        <v>1</v>
      </c>
      <c r="F47" s="2" t="n">
        <v>3</v>
      </c>
      <c r="G47" s="2" t="n">
        <v>188.7</v>
      </c>
    </row>
    <row r="48">
      <c r="A48" s="7" t="n">
        <v>46297.47377153935</v>
      </c>
      <c r="B48" s="7" t="n">
        <v>46297.47291666667</v>
      </c>
      <c r="C48" s="2" t="n">
        <v>435</v>
      </c>
      <c r="D48" s="2" t="n">
        <v>0</v>
      </c>
      <c r="E48" s="2" t="n">
        <v>0</v>
      </c>
      <c r="F48" s="2" t="n">
        <v>4</v>
      </c>
      <c r="G48" s="2" t="n">
        <v>159.9</v>
      </c>
    </row>
    <row r="49">
      <c r="A49" s="7" t="n">
        <v>46297.43863659722</v>
      </c>
      <c r="B49" s="7" t="n">
        <v>46297.4375</v>
      </c>
      <c r="C49" s="2" t="n">
        <v>435</v>
      </c>
      <c r="D49" s="2" t="n">
        <v>1</v>
      </c>
      <c r="E49" s="2" t="n">
        <v>0</v>
      </c>
      <c r="F49" s="2" t="n">
        <v>4</v>
      </c>
      <c r="G49" s="2" t="n">
        <v>181.3</v>
      </c>
    </row>
    <row r="50">
      <c r="A50" s="7" t="n">
        <v>46297.36902693287</v>
      </c>
      <c r="B50" s="7" t="n">
        <v>46297.36805555555</v>
      </c>
      <c r="C50" s="2" t="n">
        <v>434</v>
      </c>
      <c r="D50" s="2" t="n">
        <v>0</v>
      </c>
      <c r="E50" s="2" t="n">
        <v>0</v>
      </c>
      <c r="F50" s="2" t="n">
        <v>1</v>
      </c>
      <c r="G50" s="2" t="n">
        <v>191.7</v>
      </c>
    </row>
    <row r="51">
      <c r="A51" s="7" t="n">
        <v>46297.34984872685</v>
      </c>
      <c r="B51" s="7" t="n">
        <v>46297.34861111111</v>
      </c>
      <c r="C51" s="2" t="n">
        <v>434</v>
      </c>
      <c r="D51" s="2" t="n">
        <v>0</v>
      </c>
      <c r="E51" s="2" t="n">
        <v>2</v>
      </c>
      <c r="F51" s="2" t="n">
        <v>1</v>
      </c>
      <c r="G51" s="2" t="n">
        <v>185.3</v>
      </c>
    </row>
    <row r="52">
      <c r="A52" s="7" t="n">
        <v>46297.18230064815</v>
      </c>
      <c r="B52" s="7" t="n">
        <v>46297.18125</v>
      </c>
      <c r="C52" s="2" t="n">
        <v>434</v>
      </c>
      <c r="D52" s="2" t="n">
        <v>4</v>
      </c>
      <c r="E52" s="2" t="n">
        <v>3</v>
      </c>
      <c r="F52" s="2" t="n">
        <v>1</v>
      </c>
      <c r="G52" s="2" t="n">
        <v>159.5</v>
      </c>
    </row>
    <row r="53">
      <c r="A53" s="7" t="n">
        <v>46297.01546863426</v>
      </c>
      <c r="B53" s="7" t="n">
        <v>46297.01458333333</v>
      </c>
      <c r="C53" s="2" t="n">
        <v>434</v>
      </c>
      <c r="D53" s="2" t="n">
        <v>1</v>
      </c>
      <c r="E53" s="2" t="n">
        <v>0</v>
      </c>
      <c r="F53" s="2" t="n">
        <v>2</v>
      </c>
      <c r="G53" s="2" t="n">
        <v>179.4</v>
      </c>
    </row>
    <row r="54">
      <c r="A54" s="7" t="n">
        <v>46296.99918069445</v>
      </c>
      <c r="B54" s="7" t="n">
        <v>46296.99791666667</v>
      </c>
      <c r="C54" s="2" t="n">
        <v>434</v>
      </c>
      <c r="D54" s="2" t="n">
        <v>2</v>
      </c>
      <c r="E54" s="2" t="n">
        <v>1</v>
      </c>
      <c r="F54" s="2" t="n">
        <v>2</v>
      </c>
      <c r="G54" s="2" t="n">
        <v>167.2</v>
      </c>
    </row>
    <row r="55">
      <c r="A55" s="7" t="n">
        <v>46296.94003458333</v>
      </c>
      <c r="B55" s="7" t="n">
        <v>46296.93888888889</v>
      </c>
      <c r="C55" s="2" t="n">
        <v>434</v>
      </c>
      <c r="D55" s="2" t="n">
        <v>1</v>
      </c>
      <c r="E55" s="2" t="n">
        <v>3</v>
      </c>
      <c r="F55" s="2" t="n">
        <v>2</v>
      </c>
      <c r="G55" s="2" t="n">
        <v>189.5</v>
      </c>
    </row>
    <row r="56">
      <c r="A56" s="7" t="n">
        <v>46296.7419153125</v>
      </c>
      <c r="B56" s="7" t="n">
        <v>46296.74097222222</v>
      </c>
      <c r="C56" s="2" t="n">
        <v>434</v>
      </c>
      <c r="D56" s="2" t="n">
        <v>5</v>
      </c>
      <c r="E56" s="2" t="n">
        <v>2</v>
      </c>
      <c r="F56" s="2" t="n">
        <v>2</v>
      </c>
      <c r="G56" s="2" t="n">
        <v>150</v>
      </c>
    </row>
    <row r="57">
      <c r="A57" s="7" t="n">
        <v>46296.63539230324</v>
      </c>
      <c r="B57" s="7" t="n">
        <v>46296.63402777778</v>
      </c>
      <c r="C57" s="2" t="n">
        <v>434</v>
      </c>
      <c r="D57" s="2" t="n">
        <v>1</v>
      </c>
      <c r="E57" s="2" t="n">
        <v>0</v>
      </c>
      <c r="F57" s="2" t="n">
        <v>2</v>
      </c>
      <c r="G57" s="2" t="n">
        <v>195</v>
      </c>
    </row>
    <row r="58">
      <c r="A58" s="7" t="n">
        <v>46296.6196469213</v>
      </c>
      <c r="B58" s="7" t="n">
        <v>46296.61875</v>
      </c>
      <c r="C58" s="2" t="n">
        <v>434</v>
      </c>
      <c r="D58" s="2" t="n">
        <v>0</v>
      </c>
      <c r="E58" s="2" t="n">
        <v>0</v>
      </c>
      <c r="F58" s="2" t="n">
        <v>2</v>
      </c>
      <c r="G58" s="2" t="n">
        <v>190.6</v>
      </c>
    </row>
    <row r="59">
      <c r="A59" s="7" t="n">
        <v>46296.55481784722</v>
      </c>
      <c r="B59" s="7" t="n">
        <v>46296.55347222222</v>
      </c>
      <c r="C59" s="2" t="n">
        <v>434</v>
      </c>
      <c r="D59" s="2" t="n">
        <v>1</v>
      </c>
      <c r="E59" s="2" t="n">
        <v>3</v>
      </c>
      <c r="F59" s="2" t="n">
        <v>2</v>
      </c>
      <c r="G59" s="2" t="n">
        <v>189.9</v>
      </c>
    </row>
    <row r="60">
      <c r="A60" s="7" t="n">
        <v>46296.49238505787</v>
      </c>
      <c r="B60" s="7" t="n">
        <v>46296.49166666667</v>
      </c>
      <c r="C60" s="2" t="n">
        <v>434</v>
      </c>
      <c r="D60" s="2" t="n">
        <v>1</v>
      </c>
      <c r="E60" s="2" t="n">
        <v>1</v>
      </c>
      <c r="F60" s="2" t="n">
        <v>3</v>
      </c>
      <c r="G60" s="2" t="n">
        <v>189.7</v>
      </c>
    </row>
    <row r="61">
      <c r="A61" s="7" t="n">
        <v>46296.35809899306</v>
      </c>
      <c r="B61" s="7" t="n">
        <v>46296.35694444444</v>
      </c>
      <c r="C61" s="2" t="n">
        <v>434</v>
      </c>
      <c r="D61" s="2" t="n">
        <v>2</v>
      </c>
      <c r="E61" s="2" t="n">
        <v>0</v>
      </c>
      <c r="F61" s="2" t="n">
        <v>3</v>
      </c>
      <c r="G61" s="2" t="n">
        <v>152.4</v>
      </c>
    </row>
    <row r="62">
      <c r="A62" s="7" t="n">
        <v>46296.20216918981</v>
      </c>
      <c r="B62" s="7" t="n">
        <v>46296.20138888889</v>
      </c>
      <c r="C62" s="2" t="n">
        <v>434</v>
      </c>
      <c r="D62" s="2" t="n">
        <v>3</v>
      </c>
      <c r="E62" s="2" t="n">
        <v>7</v>
      </c>
      <c r="F62" s="2" t="n">
        <v>3</v>
      </c>
      <c r="G62" s="2" t="n">
        <v>180</v>
      </c>
    </row>
    <row r="63">
      <c r="A63" s="7" t="n">
        <v>46295.99840958334</v>
      </c>
      <c r="B63" s="7" t="n">
        <v>46295.99722222222</v>
      </c>
      <c r="C63" s="2" t="n">
        <v>434</v>
      </c>
      <c r="D63" s="2" t="n">
        <v>4</v>
      </c>
      <c r="E63" s="2" t="n">
        <v>2</v>
      </c>
      <c r="F63" s="2" t="n">
        <v>3</v>
      </c>
      <c r="G63" s="2" t="n">
        <v>187.6</v>
      </c>
    </row>
    <row r="64">
      <c r="A64" s="7" t="n">
        <v>46295.94423819445</v>
      </c>
      <c r="B64" s="7" t="n">
        <v>46295.94305555556</v>
      </c>
      <c r="C64" s="2" t="n">
        <v>434</v>
      </c>
      <c r="D64" s="2" t="n">
        <v>0</v>
      </c>
      <c r="E64" s="2" t="n">
        <v>0</v>
      </c>
      <c r="F64" s="2" t="n">
        <v>3</v>
      </c>
      <c r="G64" s="2" t="n">
        <v>150.7</v>
      </c>
    </row>
    <row r="65">
      <c r="A65" s="7" t="n">
        <v>46295.91675143519</v>
      </c>
      <c r="B65" s="7" t="n">
        <v>46295.91597222222</v>
      </c>
      <c r="C65" s="2" t="n">
        <v>434</v>
      </c>
      <c r="D65" s="2" t="n">
        <v>1</v>
      </c>
      <c r="E65" s="2" t="n">
        <v>4</v>
      </c>
      <c r="F65" s="2" t="n">
        <v>3</v>
      </c>
      <c r="G65" s="2" t="n">
        <v>189.9</v>
      </c>
    </row>
    <row r="66">
      <c r="A66" s="7" t="n">
        <v>46295.87897131944</v>
      </c>
      <c r="B66" s="7" t="n">
        <v>46295.87777777778</v>
      </c>
      <c r="C66" s="2" t="n">
        <v>434</v>
      </c>
      <c r="D66" s="2" t="n">
        <v>2</v>
      </c>
      <c r="E66" s="2" t="n">
        <v>1</v>
      </c>
      <c r="F66" s="2" t="n">
        <v>3</v>
      </c>
      <c r="G66" s="2" t="n">
        <v>187.8</v>
      </c>
    </row>
    <row r="67">
      <c r="A67" s="7" t="n">
        <v>46295.84232043981</v>
      </c>
      <c r="B67" s="7" t="n">
        <v>46295.84097222222</v>
      </c>
      <c r="C67" s="2" t="n">
        <v>434</v>
      </c>
      <c r="D67" s="2" t="n">
        <v>1</v>
      </c>
      <c r="E67" s="2" t="n">
        <v>2</v>
      </c>
      <c r="F67" s="2" t="n">
        <v>3</v>
      </c>
      <c r="G67" s="2" t="n">
        <v>147.8</v>
      </c>
    </row>
    <row r="68">
      <c r="A68" s="7" t="n">
        <v>46295.76311292824</v>
      </c>
      <c r="B68" s="7" t="n">
        <v>46295.76180555556</v>
      </c>
      <c r="C68" s="2" t="n">
        <v>434</v>
      </c>
      <c r="D68" s="2" t="n">
        <v>1</v>
      </c>
      <c r="E68" s="2" t="n">
        <v>1</v>
      </c>
      <c r="F68" s="2" t="n">
        <v>3</v>
      </c>
      <c r="G68" s="2" t="n">
        <v>188</v>
      </c>
    </row>
    <row r="69">
      <c r="A69" s="7" t="n">
        <v>46295.71942712963</v>
      </c>
      <c r="B69" s="7" t="n">
        <v>46295.71805555555</v>
      </c>
      <c r="C69" s="2" t="n">
        <v>434</v>
      </c>
      <c r="D69" s="2" t="n">
        <v>0</v>
      </c>
      <c r="E69" s="2" t="n">
        <v>0</v>
      </c>
      <c r="F69" s="2" t="n">
        <v>3</v>
      </c>
      <c r="G69" s="2" t="n">
        <v>163.9</v>
      </c>
    </row>
    <row r="70">
      <c r="A70" s="7" t="n">
        <v>46295.69435030092</v>
      </c>
      <c r="B70" s="7" t="n">
        <v>46295.69305555556</v>
      </c>
      <c r="C70" s="2" t="n">
        <v>434</v>
      </c>
      <c r="D70" s="2" t="n">
        <v>1</v>
      </c>
      <c r="E70" s="2" t="n">
        <v>3</v>
      </c>
      <c r="F70" s="2" t="n">
        <v>3</v>
      </c>
      <c r="G70" s="2" t="n">
        <v>141.1</v>
      </c>
    </row>
    <row r="71">
      <c r="A71" s="7" t="n">
        <v>46295.5782999537</v>
      </c>
      <c r="B71" s="7" t="n">
        <v>46295.57708333333</v>
      </c>
      <c r="C71" s="2" t="n">
        <v>434</v>
      </c>
      <c r="D71" s="2" t="n">
        <v>1</v>
      </c>
      <c r="E71" s="2" t="n">
        <v>0</v>
      </c>
      <c r="F71" s="2" t="n">
        <v>5</v>
      </c>
      <c r="G71" s="2" t="n">
        <v>191.3</v>
      </c>
    </row>
    <row r="72">
      <c r="A72" s="7" t="n">
        <v>46295.51228863426</v>
      </c>
      <c r="B72" s="7" t="n">
        <v>46295.51111111111</v>
      </c>
      <c r="C72" s="2" t="n">
        <v>434</v>
      </c>
      <c r="D72" s="2" t="n">
        <v>1</v>
      </c>
      <c r="E72" s="2" t="n">
        <v>1</v>
      </c>
      <c r="F72" s="2" t="n">
        <v>5</v>
      </c>
      <c r="G72" s="2" t="n">
        <v>188.8</v>
      </c>
    </row>
    <row r="73">
      <c r="A73" s="7" t="n">
        <v>46295.44308225694</v>
      </c>
      <c r="B73" s="7" t="n">
        <v>46295.44236111111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167.1</v>
      </c>
    </row>
    <row r="74">
      <c r="A74" s="7" t="n">
        <v>46295.42368403935</v>
      </c>
      <c r="B74" s="7" t="n">
        <v>46295.42291666667</v>
      </c>
      <c r="C74" s="2" t="n">
        <v>433</v>
      </c>
      <c r="D74" s="2" t="n">
        <v>5</v>
      </c>
      <c r="E74" s="2" t="n">
        <v>3</v>
      </c>
      <c r="F74" s="2" t="n">
        <v>2</v>
      </c>
      <c r="G74" s="2" t="n">
        <v>150.9</v>
      </c>
    </row>
    <row r="75">
      <c r="A75" s="7" t="n">
        <v>46295.29174006944</v>
      </c>
      <c r="B75" s="7" t="n">
        <v>46295.29097222222</v>
      </c>
      <c r="C75" s="2" t="n">
        <v>433</v>
      </c>
      <c r="D75" s="2" t="n">
        <v>2</v>
      </c>
      <c r="E75" s="2" t="n">
        <v>4</v>
      </c>
      <c r="F75" s="2" t="n">
        <v>2</v>
      </c>
      <c r="G75" s="2" t="n">
        <v>191.4</v>
      </c>
    </row>
    <row r="76">
      <c r="A76" s="7" t="n">
        <v>46295.11156024306</v>
      </c>
      <c r="B76" s="7" t="n">
        <v>46295.11041666667</v>
      </c>
      <c r="C76" s="2" t="n">
        <v>433</v>
      </c>
      <c r="D76" s="2" t="n">
        <v>7</v>
      </c>
      <c r="E76" s="2" t="n">
        <v>9</v>
      </c>
      <c r="F76" s="2" t="n">
        <v>2</v>
      </c>
      <c r="G76" s="2" t="n">
        <v>185.8</v>
      </c>
    </row>
    <row r="77">
      <c r="A77" s="7" t="n">
        <v>46294.99800613426</v>
      </c>
      <c r="B77" s="7" t="n">
        <v>46294.99722222222</v>
      </c>
      <c r="C77" s="2" t="n">
        <v>433</v>
      </c>
      <c r="D77" s="2" t="n">
        <v>3</v>
      </c>
      <c r="E77" s="2" t="n">
        <v>0</v>
      </c>
      <c r="F77" s="2" t="n">
        <v>2</v>
      </c>
      <c r="G77" s="2" t="n">
        <v>153.7</v>
      </c>
    </row>
    <row r="78">
      <c r="A78" s="7" t="n">
        <v>46294.95333178241</v>
      </c>
      <c r="B78" s="7" t="n">
        <v>46294.95208333333</v>
      </c>
      <c r="C78" s="2" t="n">
        <v>433</v>
      </c>
      <c r="D78" s="2" t="n">
        <v>0</v>
      </c>
      <c r="E78" s="2" t="n">
        <v>1</v>
      </c>
      <c r="F78" s="2" t="n">
        <v>2</v>
      </c>
      <c r="G78" s="2" t="n">
        <v>177.4</v>
      </c>
    </row>
    <row r="79">
      <c r="A79" s="7" t="n">
        <v>46294.87612561342</v>
      </c>
      <c r="B79" s="7" t="n">
        <v>46294.875</v>
      </c>
      <c r="C79" s="2" t="n">
        <v>433</v>
      </c>
      <c r="D79" s="2" t="n">
        <v>5</v>
      </c>
      <c r="E79" s="2" t="n">
        <v>7</v>
      </c>
      <c r="F79" s="2" t="n">
        <v>2</v>
      </c>
      <c r="G79" s="2" t="n">
        <v>196.6</v>
      </c>
    </row>
    <row r="80">
      <c r="A80" s="7" t="n">
        <v>46294.76526767361</v>
      </c>
      <c r="B80" s="7" t="n">
        <v>46294.76388888889</v>
      </c>
      <c r="C80" s="2" t="n">
        <v>433</v>
      </c>
      <c r="D80" s="2" t="n">
        <v>2</v>
      </c>
      <c r="E80" s="2" t="n">
        <v>2</v>
      </c>
      <c r="F80" s="2" t="n">
        <v>2</v>
      </c>
      <c r="G80" s="2" t="n">
        <v>182.5</v>
      </c>
    </row>
    <row r="81">
      <c r="A81" s="7" t="n">
        <v>46294.66075324074</v>
      </c>
      <c r="B81" s="7" t="n">
        <v>46294.65972222222</v>
      </c>
      <c r="C81" s="2" t="n">
        <v>433</v>
      </c>
      <c r="D81" s="2" t="n">
        <v>5</v>
      </c>
      <c r="E81" s="2" t="n">
        <v>5</v>
      </c>
      <c r="F81" s="2" t="n">
        <v>3</v>
      </c>
      <c r="G81" s="2" t="n">
        <v>174</v>
      </c>
    </row>
    <row r="82">
      <c r="A82" s="7" t="n">
        <v>46294.57647584491</v>
      </c>
      <c r="B82" s="7" t="n">
        <v>46294.57569444444</v>
      </c>
      <c r="C82" s="2" t="n">
        <v>432</v>
      </c>
      <c r="D82" s="2" t="n">
        <v>4</v>
      </c>
      <c r="E82" s="2" t="n">
        <v>1</v>
      </c>
      <c r="F82" s="2" t="n">
        <v>0</v>
      </c>
      <c r="G82" s="2" t="n">
        <v>147.5</v>
      </c>
    </row>
    <row r="83">
      <c r="A83" s="7" t="n">
        <v>46294.46163141204</v>
      </c>
      <c r="B83" s="7" t="n">
        <v>46294.46041666667</v>
      </c>
      <c r="C83" s="2" t="n">
        <v>432</v>
      </c>
      <c r="D83" s="2" t="n">
        <v>4</v>
      </c>
      <c r="E83" s="2" t="n">
        <v>6</v>
      </c>
      <c r="F83" s="2" t="n">
        <v>0</v>
      </c>
      <c r="G83" s="2" t="n">
        <v>193.3</v>
      </c>
    </row>
    <row r="84">
      <c r="A84" s="7" t="n">
        <v>46294.30606211806</v>
      </c>
      <c r="B84" s="7" t="n">
        <v>46294.30486111111</v>
      </c>
      <c r="C84" s="2" t="n">
        <v>432</v>
      </c>
      <c r="D84" s="2" t="n">
        <v>5</v>
      </c>
      <c r="E84" s="2" t="n">
        <v>5</v>
      </c>
      <c r="F84" s="2" t="n">
        <v>0</v>
      </c>
      <c r="G84" s="2" t="n">
        <v>165.6</v>
      </c>
    </row>
    <row r="85">
      <c r="A85" s="7" t="n">
        <v>46294.07080519676</v>
      </c>
      <c r="B85" s="7" t="n">
        <v>46294.06944444445</v>
      </c>
      <c r="C85" s="2" t="n">
        <v>432</v>
      </c>
      <c r="D85" s="2" t="n">
        <v>3</v>
      </c>
      <c r="E85" s="2" t="n">
        <v>3</v>
      </c>
      <c r="F85" s="2" t="n">
        <v>0</v>
      </c>
      <c r="G85" s="2" t="n">
        <v>193.3</v>
      </c>
    </row>
    <row r="86">
      <c r="A86" s="7" t="n">
        <v>46293.99403509259</v>
      </c>
      <c r="B86" s="7" t="n">
        <v>46293.99305555555</v>
      </c>
      <c r="C86" s="2" t="n">
        <v>432</v>
      </c>
      <c r="D86" s="2" t="n">
        <v>8</v>
      </c>
      <c r="E86" s="2" t="n">
        <v>1</v>
      </c>
      <c r="F86" s="2" t="n">
        <v>0</v>
      </c>
      <c r="G86" s="2" t="n">
        <v>153.6</v>
      </c>
    </row>
    <row r="87">
      <c r="A87" s="7" t="n">
        <v>46293.9460828588</v>
      </c>
      <c r="B87" s="7" t="n">
        <v>46293.94513888889</v>
      </c>
      <c r="C87" s="2" t="n">
        <v>432</v>
      </c>
      <c r="D87" s="2" t="n">
        <v>1</v>
      </c>
      <c r="E87" s="2" t="n">
        <v>3</v>
      </c>
      <c r="F87" s="2" t="n">
        <v>0</v>
      </c>
      <c r="G87" s="2" t="n">
        <v>197.9</v>
      </c>
    </row>
    <row r="88">
      <c r="A88" s="7" t="n">
        <v>46293.85933717593</v>
      </c>
      <c r="B88" s="7" t="n">
        <v>46293.85833333333</v>
      </c>
      <c r="C88" s="2" t="n">
        <v>432</v>
      </c>
      <c r="D88" s="2" t="n">
        <v>4</v>
      </c>
      <c r="E88" s="2" t="n">
        <v>3</v>
      </c>
      <c r="F88" s="2" t="n">
        <v>0</v>
      </c>
      <c r="G88" s="2" t="n">
        <v>185</v>
      </c>
    </row>
    <row r="89">
      <c r="A89" s="7" t="n">
        <v>46293.69837709491</v>
      </c>
      <c r="B89" s="7" t="n">
        <v>46293.69722222222</v>
      </c>
      <c r="C89" s="2" t="n">
        <v>432</v>
      </c>
      <c r="D89" s="2" t="n">
        <v>0</v>
      </c>
      <c r="E89" s="2" t="n">
        <v>0</v>
      </c>
      <c r="F89" s="2" t="n">
        <v>0</v>
      </c>
      <c r="G89" s="2" t="n">
        <v>144.9</v>
      </c>
    </row>
    <row r="90">
      <c r="A90" s="7" t="n">
        <v>46293.67139270833</v>
      </c>
      <c r="B90" s="7" t="n">
        <v>46293.67013888889</v>
      </c>
      <c r="C90" s="2" t="n">
        <v>432</v>
      </c>
      <c r="D90" s="2" t="n">
        <v>4</v>
      </c>
      <c r="E90" s="2" t="n">
        <v>3</v>
      </c>
      <c r="F90" s="2" t="n">
        <v>0</v>
      </c>
      <c r="G90" s="2" t="n">
        <v>186.3</v>
      </c>
    </row>
    <row r="91">
      <c r="A91" s="7" t="n">
        <v>46293.54465268519</v>
      </c>
      <c r="B91" s="7" t="n">
        <v>46293.54375</v>
      </c>
      <c r="C91" s="2" t="n">
        <v>432</v>
      </c>
      <c r="D91" s="2" t="n">
        <v>2</v>
      </c>
      <c r="E91" s="2" t="n">
        <v>5</v>
      </c>
      <c r="F91" s="2" t="n">
        <v>0</v>
      </c>
      <c r="G91" s="2" t="n">
        <v>150</v>
      </c>
    </row>
    <row r="92">
      <c r="A92" s="7" t="n">
        <v>46293.46449744213</v>
      </c>
      <c r="B92" s="7" t="n">
        <v>46293.46319444444</v>
      </c>
      <c r="C92" s="2" t="n">
        <v>432</v>
      </c>
      <c r="D92" s="2" t="n">
        <v>3</v>
      </c>
      <c r="E92" s="2" t="n">
        <v>0</v>
      </c>
      <c r="F92" s="2" t="n">
        <v>0</v>
      </c>
      <c r="G92" s="2" t="n">
        <v>193.4</v>
      </c>
    </row>
    <row r="93">
      <c r="A93" s="7" t="n">
        <v>46293.40532865741</v>
      </c>
      <c r="B93" s="7" t="n">
        <v>46293.40416666667</v>
      </c>
      <c r="C93" s="2" t="n">
        <v>433</v>
      </c>
      <c r="D93" s="2" t="n">
        <v>0</v>
      </c>
      <c r="E93" s="2" t="n">
        <v>2</v>
      </c>
      <c r="F93" s="2" t="n">
        <v>0</v>
      </c>
      <c r="G93" s="2" t="n">
        <v>194.7</v>
      </c>
    </row>
    <row r="94">
      <c r="A94" s="7" t="n">
        <v>46293.26205886574</v>
      </c>
      <c r="B94" s="7" t="n">
        <v>46293.26111111111</v>
      </c>
      <c r="C94" s="2" t="n">
        <v>433</v>
      </c>
      <c r="D94" s="2" t="n">
        <v>1</v>
      </c>
      <c r="E94" s="2" t="n">
        <v>2</v>
      </c>
      <c r="F94" s="2" t="n">
        <v>0</v>
      </c>
      <c r="G94" s="2" t="n">
        <v>178</v>
      </c>
    </row>
    <row r="95">
      <c r="A95" s="7" t="n">
        <v>46293.12570534722</v>
      </c>
      <c r="B95" s="7" t="n">
        <v>46293.125</v>
      </c>
      <c r="C95" s="2" t="n">
        <v>433</v>
      </c>
      <c r="D95" s="2" t="n">
        <v>2</v>
      </c>
      <c r="E95" s="2" t="n">
        <v>0</v>
      </c>
      <c r="F95" s="2" t="n">
        <v>0</v>
      </c>
      <c r="G95" s="2" t="n">
        <v>193.1</v>
      </c>
    </row>
    <row r="96">
      <c r="A96" s="7" t="n">
        <v>46293.08172232639</v>
      </c>
      <c r="B96" s="7" t="n">
        <v>46293.08055555556</v>
      </c>
      <c r="C96" s="2" t="n">
        <v>433</v>
      </c>
      <c r="D96" s="2" t="n">
        <v>1</v>
      </c>
      <c r="E96" s="2" t="n">
        <v>2</v>
      </c>
      <c r="F96" s="2" t="n">
        <v>0</v>
      </c>
      <c r="G96" s="2" t="n">
        <v>148.9</v>
      </c>
    </row>
    <row r="97">
      <c r="A97" s="7" t="n">
        <v>46292.9814453588</v>
      </c>
      <c r="B97" s="7" t="n">
        <v>46292.98055555556</v>
      </c>
      <c r="C97" s="2" t="n">
        <v>433</v>
      </c>
      <c r="D97" s="2" t="n">
        <v>2</v>
      </c>
      <c r="E97" s="2" t="n">
        <v>1</v>
      </c>
      <c r="F97" s="2" t="n">
        <v>0</v>
      </c>
      <c r="G97" s="2" t="n">
        <v>186</v>
      </c>
    </row>
    <row r="98">
      <c r="A98" s="7" t="n">
        <v>46292.9472603125</v>
      </c>
      <c r="B98" s="7" t="n">
        <v>46292.94652777778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192.1</v>
      </c>
    </row>
    <row r="99">
      <c r="A99" s="7" t="n">
        <v>46292.919814375</v>
      </c>
      <c r="B99" s="7" t="n">
        <v>46292.91875</v>
      </c>
      <c r="C99" s="2" t="n">
        <v>433</v>
      </c>
      <c r="D99" s="2" t="n">
        <v>2</v>
      </c>
      <c r="E99" s="2" t="n">
        <v>3</v>
      </c>
      <c r="F99" s="2" t="n">
        <v>0</v>
      </c>
      <c r="G99" s="2" t="n">
        <v>192.5</v>
      </c>
    </row>
    <row r="100">
      <c r="A100" s="7" t="n">
        <v>46292.81065981482</v>
      </c>
      <c r="B100" s="7" t="n">
        <v>46292.80972222222</v>
      </c>
      <c r="C100" s="2" t="n">
        <v>433</v>
      </c>
      <c r="D100" s="2" t="n">
        <v>1</v>
      </c>
      <c r="E100" s="2" t="n">
        <v>1</v>
      </c>
      <c r="F100" s="2" t="n">
        <v>0</v>
      </c>
      <c r="G100" s="2" t="n">
        <v>177.2</v>
      </c>
    </row>
    <row r="101">
      <c r="A101" s="7" t="n">
        <v>46292.73704342593</v>
      </c>
      <c r="B101" s="7" t="n">
        <v>46292.73611111111</v>
      </c>
      <c r="C101" s="2" t="n">
        <v>433</v>
      </c>
      <c r="D101" s="2" t="n">
        <v>0</v>
      </c>
      <c r="E101" s="2" t="n">
        <v>1</v>
      </c>
      <c r="F101" s="2" t="n">
        <v>0</v>
      </c>
      <c r="G101" s="2" t="n">
        <v>147.3</v>
      </c>
    </row>
    <row r="102">
      <c r="A102" s="7" t="n">
        <v>46292.67926077546</v>
      </c>
      <c r="B102" s="7" t="n">
        <v>46292.67847222222</v>
      </c>
      <c r="C102" s="2" t="n">
        <v>433</v>
      </c>
      <c r="D102" s="2" t="n">
        <v>0</v>
      </c>
      <c r="E102" s="2" t="n">
        <v>1</v>
      </c>
      <c r="F102" s="2" t="n">
        <v>0</v>
      </c>
      <c r="G102" s="2" t="n">
        <v>197.6</v>
      </c>
    </row>
    <row r="103">
      <c r="A103" s="7" t="n">
        <v>46292.6274472338</v>
      </c>
      <c r="B103" s="7" t="n">
        <v>46292.62638888889</v>
      </c>
      <c r="C103" s="2" t="n">
        <v>433</v>
      </c>
      <c r="D103" s="2" t="n">
        <v>5</v>
      </c>
      <c r="E103" s="2" t="n">
        <v>3</v>
      </c>
      <c r="F103" s="2" t="n">
        <v>0</v>
      </c>
      <c r="G103" s="2" t="n">
        <v>192.4</v>
      </c>
    </row>
    <row r="104">
      <c r="A104" s="7" t="n">
        <v>46292.50599667824</v>
      </c>
      <c r="B104" s="7" t="n">
        <v>46292.50486111111</v>
      </c>
      <c r="C104" s="2" t="n">
        <v>433</v>
      </c>
      <c r="D104" s="2" t="n">
        <v>1</v>
      </c>
      <c r="E104" s="2" t="n">
        <v>1</v>
      </c>
      <c r="F104" s="2" t="n">
        <v>0</v>
      </c>
      <c r="G104" s="2" t="n">
        <v>191.3</v>
      </c>
    </row>
    <row r="105">
      <c r="A105" s="7" t="n">
        <v>46292.39740747685</v>
      </c>
      <c r="B105" s="7" t="n">
        <v>46292.39652777778</v>
      </c>
      <c r="C105" s="2" t="n">
        <v>433</v>
      </c>
      <c r="D105" s="2" t="n">
        <v>2</v>
      </c>
      <c r="E105" s="2" t="n">
        <v>2</v>
      </c>
      <c r="F105" s="2" t="n">
        <v>0</v>
      </c>
      <c r="G105" s="2" t="n">
        <v>150.9</v>
      </c>
    </row>
    <row r="106">
      <c r="A106" s="7" t="n">
        <v>46292.28951247685</v>
      </c>
      <c r="B106" s="7" t="n">
        <v>46292.28819444445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163.9</v>
      </c>
    </row>
    <row r="107">
      <c r="A107" s="7" t="n">
        <v>46292.28563091435</v>
      </c>
      <c r="B107" s="7" t="n">
        <v>46292.28472222222</v>
      </c>
      <c r="C107" s="2" t="n">
        <v>433</v>
      </c>
      <c r="D107" s="2" t="n">
        <v>2</v>
      </c>
      <c r="E107" s="2" t="n">
        <v>2</v>
      </c>
      <c r="F107" s="2" t="n">
        <v>0</v>
      </c>
      <c r="G107" s="2" t="n">
        <v>186.1</v>
      </c>
    </row>
    <row r="108">
      <c r="A108" s="7" t="n">
        <v>46292.16453692129</v>
      </c>
      <c r="B108" s="7" t="n">
        <v>46292.16319444445</v>
      </c>
      <c r="C108" s="2" t="n">
        <v>433</v>
      </c>
      <c r="D108" s="2" t="n">
        <v>0</v>
      </c>
      <c r="E108" s="2" t="n">
        <v>2</v>
      </c>
      <c r="F108" s="2" t="n">
        <v>0</v>
      </c>
      <c r="G108" s="2" t="n">
        <v>183.8</v>
      </c>
    </row>
    <row r="109">
      <c r="A109" s="7" t="n">
        <v>46292.05207142361</v>
      </c>
      <c r="B109" s="7" t="n">
        <v>46292.05069444444</v>
      </c>
      <c r="C109" s="2" t="n">
        <v>433</v>
      </c>
      <c r="D109" s="2" t="n">
        <v>4</v>
      </c>
      <c r="E109" s="2" t="n">
        <v>2</v>
      </c>
      <c r="F109" s="2" t="n">
        <v>0</v>
      </c>
      <c r="G109" s="2" t="n">
        <v>160.8</v>
      </c>
    </row>
    <row r="110">
      <c r="A110" s="7" t="n">
        <v>46291.98017201389</v>
      </c>
      <c r="B110" s="7" t="n">
        <v>46291.97916666666</v>
      </c>
      <c r="C110" s="2" t="n">
        <v>433</v>
      </c>
      <c r="D110" s="2" t="n">
        <v>2</v>
      </c>
      <c r="E110" s="2" t="n">
        <v>0</v>
      </c>
      <c r="F110" s="2" t="n">
        <v>0</v>
      </c>
      <c r="G110" s="2" t="n">
        <v>148.2</v>
      </c>
    </row>
    <row r="111">
      <c r="A111" s="7" t="n">
        <v>46291.93749069444</v>
      </c>
      <c r="B111" s="7" t="n">
        <v>46291.93611111111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163.1</v>
      </c>
    </row>
    <row r="112">
      <c r="A112" s="7" t="n">
        <v>46291.88266193287</v>
      </c>
      <c r="B112" s="7" t="n">
        <v>46291.88194444445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140.5</v>
      </c>
    </row>
    <row r="113">
      <c r="A113" s="7" t="n">
        <v>46291.83751681713</v>
      </c>
      <c r="B113" s="7" t="n">
        <v>46291.83680555555</v>
      </c>
      <c r="C113" s="2" t="n">
        <v>433</v>
      </c>
      <c r="D113" s="2" t="n">
        <v>0</v>
      </c>
      <c r="E113" s="2" t="n">
        <v>2</v>
      </c>
      <c r="F113" s="2" t="n">
        <v>0</v>
      </c>
      <c r="G113" s="2" t="n">
        <v>186.6</v>
      </c>
    </row>
    <row r="114">
      <c r="A114" s="7" t="n">
        <v>46291.78589450232</v>
      </c>
      <c r="B114" s="7" t="n">
        <v>46291.78472222222</v>
      </c>
      <c r="C114" s="2" t="n">
        <v>433</v>
      </c>
      <c r="D114" s="2" t="n">
        <v>5</v>
      </c>
      <c r="E114" s="2" t="n">
        <v>7</v>
      </c>
      <c r="F114" s="2" t="n">
        <v>0</v>
      </c>
      <c r="G114" s="2" t="n">
        <v>157.8</v>
      </c>
    </row>
    <row r="115">
      <c r="A115" s="7" t="n">
        <v>46291.65882908565</v>
      </c>
      <c r="B115" s="7" t="n">
        <v>46291.65763888889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175.7</v>
      </c>
    </row>
    <row r="116">
      <c r="A116" s="7" t="n">
        <v>46291.63896155093</v>
      </c>
      <c r="B116" s="7" t="n">
        <v>46291.63819444444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177.9</v>
      </c>
    </row>
    <row r="117">
      <c r="A117" s="7" t="n">
        <v>46291.63155474537</v>
      </c>
      <c r="B117" s="7" t="n">
        <v>46291.63055555556</v>
      </c>
      <c r="C117" s="2" t="n">
        <v>433</v>
      </c>
      <c r="D117" s="2" t="n">
        <v>1</v>
      </c>
      <c r="E117" s="2" t="n">
        <v>1</v>
      </c>
      <c r="F117" s="2" t="n">
        <v>0</v>
      </c>
      <c r="G117" s="2" t="n">
        <v>172.6</v>
      </c>
    </row>
    <row r="118">
      <c r="A118" s="7" t="n">
        <v>46291.58748165509</v>
      </c>
      <c r="B118" s="7" t="n">
        <v>46291.58611111111</v>
      </c>
      <c r="C118" s="2" t="n">
        <v>433</v>
      </c>
      <c r="D118" s="2" t="n">
        <v>2</v>
      </c>
      <c r="E118" s="2" t="n">
        <v>0</v>
      </c>
      <c r="F118" s="2" t="n">
        <v>0</v>
      </c>
      <c r="G118" s="2" t="n">
        <v>148</v>
      </c>
    </row>
    <row r="119">
      <c r="A119" s="7" t="n">
        <v>46291.52177836806</v>
      </c>
      <c r="B119" s="7" t="n">
        <v>46291.52083333334</v>
      </c>
      <c r="C119" s="2" t="n">
        <v>433</v>
      </c>
      <c r="D119" s="2" t="n">
        <v>2</v>
      </c>
      <c r="E119" s="2" t="n">
        <v>5</v>
      </c>
      <c r="F119" s="2" t="n">
        <v>0</v>
      </c>
      <c r="G119" s="2" t="n">
        <v>187.5</v>
      </c>
    </row>
    <row r="120">
      <c r="A120" s="7" t="n">
        <v>46291.40186751157</v>
      </c>
      <c r="B120" s="7" t="n">
        <v>46291.40069444444</v>
      </c>
      <c r="C120" s="2" t="n">
        <v>433</v>
      </c>
      <c r="D120" s="2" t="n">
        <v>0</v>
      </c>
      <c r="E120" s="2" t="n">
        <v>2</v>
      </c>
      <c r="F120" s="2" t="n">
        <v>0</v>
      </c>
      <c r="G120" s="2" t="n">
        <v>188.1</v>
      </c>
    </row>
    <row r="121">
      <c r="A121" s="7" t="n">
        <v>46291.36540915509</v>
      </c>
      <c r="B121" s="7" t="n">
        <v>46291.36458333334</v>
      </c>
      <c r="C121" s="2" t="n">
        <v>433</v>
      </c>
      <c r="D121" s="2" t="n">
        <v>3</v>
      </c>
      <c r="E121" s="2" t="n">
        <v>0</v>
      </c>
      <c r="F121" s="2" t="n">
        <v>0</v>
      </c>
      <c r="G121" s="2" t="n">
        <v>163.5</v>
      </c>
    </row>
    <row r="122">
      <c r="A122" s="7" t="n">
        <v>46291.26887001158</v>
      </c>
      <c r="B122" s="7" t="n">
        <v>46291.26805555556</v>
      </c>
      <c r="C122" s="2" t="n">
        <v>433</v>
      </c>
      <c r="D122" s="2" t="n">
        <v>0</v>
      </c>
      <c r="E122" s="2" t="n">
        <v>0</v>
      </c>
      <c r="F122" s="2" t="n">
        <v>0</v>
      </c>
      <c r="G122" s="2" t="n">
        <v>184.5</v>
      </c>
    </row>
    <row r="123">
      <c r="A123" s="7" t="n">
        <v>46291.2560487963</v>
      </c>
      <c r="B123" s="7" t="n">
        <v>46291.25486111111</v>
      </c>
      <c r="C123" s="2" t="n">
        <v>433</v>
      </c>
      <c r="D123" s="2" t="n">
        <v>3</v>
      </c>
      <c r="E123" s="2" t="n">
        <v>1</v>
      </c>
      <c r="F123" s="2" t="n">
        <v>0</v>
      </c>
      <c r="G123" s="2" t="n">
        <v>191.6</v>
      </c>
    </row>
    <row r="124">
      <c r="A124" s="7" t="n">
        <v>46291.11246790509</v>
      </c>
      <c r="B124" s="7" t="n">
        <v>46291.11111111111</v>
      </c>
      <c r="C124" s="2" t="n">
        <v>433</v>
      </c>
      <c r="D124" s="2" t="n">
        <v>2</v>
      </c>
      <c r="E124" s="2" t="n">
        <v>1</v>
      </c>
      <c r="F124" s="2" t="n">
        <v>0</v>
      </c>
      <c r="G124" s="2" t="n">
        <v>182.3</v>
      </c>
    </row>
    <row r="125">
      <c r="A125" s="7" t="n">
        <v>46291.02308788194</v>
      </c>
      <c r="B125" s="7" t="n">
        <v>46291.02222222222</v>
      </c>
      <c r="C125" s="2" t="n">
        <v>433</v>
      </c>
      <c r="D125" s="2" t="n">
        <v>1</v>
      </c>
      <c r="E125" s="2" t="n">
        <v>0</v>
      </c>
      <c r="F125" s="2" t="n">
        <v>0</v>
      </c>
      <c r="G125" s="2" t="n">
        <v>140.5</v>
      </c>
    </row>
    <row r="126">
      <c r="A126" s="7" t="n">
        <v>46290.9990443287</v>
      </c>
      <c r="B126" s="7" t="n">
        <v>46290.99791666667</v>
      </c>
      <c r="C126" s="2" t="n">
        <v>433</v>
      </c>
      <c r="D126" s="2" t="n">
        <v>1</v>
      </c>
      <c r="E126" s="2" t="n">
        <v>1</v>
      </c>
      <c r="F126" s="2" t="n">
        <v>0</v>
      </c>
      <c r="G126" s="2" t="n">
        <v>197.5</v>
      </c>
    </row>
    <row r="127">
      <c r="A127" s="7" t="n">
        <v>46290.91267655093</v>
      </c>
      <c r="B127" s="7" t="n">
        <v>46290.91180555556</v>
      </c>
      <c r="C127" s="2" t="n">
        <v>433</v>
      </c>
      <c r="D127" s="2" t="n">
        <v>2</v>
      </c>
      <c r="E127" s="2" t="n">
        <v>2</v>
      </c>
      <c r="F127" s="2" t="n">
        <v>0</v>
      </c>
      <c r="G127" s="2" t="n">
        <v>193.4</v>
      </c>
    </row>
    <row r="128">
      <c r="A128" s="7" t="n">
        <v>46290.82088560185</v>
      </c>
      <c r="B128" s="7" t="n">
        <v>46290.82013888889</v>
      </c>
      <c r="C128" s="2" t="n">
        <v>433</v>
      </c>
      <c r="D128" s="2" t="n">
        <v>1</v>
      </c>
      <c r="E128" s="2" t="n">
        <v>0</v>
      </c>
      <c r="F128" s="2" t="n">
        <v>0</v>
      </c>
      <c r="G128" s="2" t="n">
        <v>174.9</v>
      </c>
    </row>
    <row r="129">
      <c r="A129" s="7" t="n">
        <v>46290.76820827546</v>
      </c>
      <c r="B129" s="7" t="n">
        <v>46290.76736111111</v>
      </c>
      <c r="C129" s="2" t="n">
        <v>433</v>
      </c>
      <c r="D129" s="2" t="n">
        <v>0</v>
      </c>
      <c r="E129" s="2" t="n">
        <v>1</v>
      </c>
      <c r="F129" s="2" t="n">
        <v>0</v>
      </c>
      <c r="G129" s="2" t="n">
        <v>187</v>
      </c>
    </row>
    <row r="130">
      <c r="A130" s="7" t="n">
        <v>46290.709303125</v>
      </c>
      <c r="B130" s="7" t="n">
        <v>46290.70833333334</v>
      </c>
      <c r="C130" s="2" t="n">
        <v>433</v>
      </c>
      <c r="D130" s="2" t="n">
        <v>1</v>
      </c>
      <c r="E130" s="2" t="n">
        <v>3</v>
      </c>
      <c r="F130" s="2" t="n">
        <v>0</v>
      </c>
      <c r="G130" s="2" t="n">
        <v>187.6</v>
      </c>
    </row>
    <row r="131">
      <c r="A131" s="7" t="n">
        <v>46290.66382769676</v>
      </c>
      <c r="B131" s="7" t="n">
        <v>46290.6625</v>
      </c>
      <c r="C131" s="2" t="n">
        <v>433</v>
      </c>
      <c r="D131" s="2" t="n">
        <v>1</v>
      </c>
      <c r="E131" s="2" t="n">
        <v>0</v>
      </c>
      <c r="F131" s="2" t="n">
        <v>0</v>
      </c>
      <c r="G131" s="2" t="n">
        <v>185.1</v>
      </c>
    </row>
    <row r="132">
      <c r="A132" s="7" t="n">
        <v>46290.61757802084</v>
      </c>
      <c r="B132" s="7" t="n">
        <v>46290.61666666667</v>
      </c>
      <c r="C132" s="2" t="n">
        <v>433</v>
      </c>
      <c r="D132" s="2" t="n">
        <v>0</v>
      </c>
      <c r="E132" s="2" t="n">
        <v>2</v>
      </c>
      <c r="F132" s="2" t="n">
        <v>0</v>
      </c>
      <c r="G132" s="2" t="n">
        <v>178.9</v>
      </c>
    </row>
    <row r="133">
      <c r="A133" s="7" t="n">
        <v>46290.55632820602</v>
      </c>
      <c r="B133" s="7" t="n">
        <v>46290.55555555555</v>
      </c>
      <c r="C133" s="2" t="n">
        <v>433</v>
      </c>
      <c r="D133" s="2" t="n">
        <v>1</v>
      </c>
      <c r="E133" s="2" t="n">
        <v>0</v>
      </c>
      <c r="F133" s="2" t="n">
        <v>0</v>
      </c>
      <c r="G133" s="2" t="n">
        <v>179.4</v>
      </c>
    </row>
    <row r="134">
      <c r="A134" s="7" t="n">
        <v>46290.50409561343</v>
      </c>
      <c r="B134" s="7" t="n">
        <v>46290.50277777778</v>
      </c>
      <c r="C134" s="2" t="n">
        <v>433</v>
      </c>
      <c r="D134" s="2" t="n">
        <v>0</v>
      </c>
      <c r="E134" s="2" t="n">
        <v>1</v>
      </c>
      <c r="F134" s="2" t="n">
        <v>0</v>
      </c>
      <c r="G134" s="2" t="n">
        <v>174.5</v>
      </c>
    </row>
    <row r="135">
      <c r="A135" s="7" t="n">
        <v>46290.39966920139</v>
      </c>
      <c r="B135" s="7" t="n">
        <v>46290.39861111111</v>
      </c>
      <c r="C135" s="2" t="n">
        <v>433</v>
      </c>
      <c r="D135" s="2" t="n">
        <v>0</v>
      </c>
      <c r="E135" s="2" t="n">
        <v>0</v>
      </c>
      <c r="F135" s="2" t="n">
        <v>0</v>
      </c>
      <c r="G135" s="2" t="n">
        <v>189.8</v>
      </c>
    </row>
    <row r="136">
      <c r="A136" s="7" t="n">
        <v>46290.3483633912</v>
      </c>
      <c r="B136" s="7" t="n">
        <v>46290.34722222222</v>
      </c>
      <c r="C136" s="2" t="n">
        <v>433</v>
      </c>
      <c r="D136" s="2" t="n">
        <v>0</v>
      </c>
      <c r="E136" s="2" t="n">
        <v>1</v>
      </c>
      <c r="F136" s="2" t="n">
        <v>0</v>
      </c>
      <c r="G136" s="2" t="n">
        <v>163.4</v>
      </c>
    </row>
    <row r="137">
      <c r="A137" s="7" t="n">
        <v>46290.27195019676</v>
      </c>
      <c r="B137" s="7" t="n">
        <v>46290.27083333334</v>
      </c>
      <c r="C137" s="2" t="n">
        <v>433</v>
      </c>
      <c r="D137" s="2" t="n">
        <v>1</v>
      </c>
      <c r="E137" s="2" t="n">
        <v>1</v>
      </c>
      <c r="F137" s="2" t="n">
        <v>1</v>
      </c>
      <c r="G137" s="2" t="n">
        <v>182.9</v>
      </c>
    </row>
    <row r="138">
      <c r="A138" s="7" t="n">
        <v>46290.13587655093</v>
      </c>
      <c r="B138" s="7" t="n">
        <v>46290.13472222222</v>
      </c>
      <c r="C138" s="2" t="n">
        <v>433</v>
      </c>
      <c r="D138" s="2" t="n">
        <v>2</v>
      </c>
      <c r="E138" s="2" t="n">
        <v>6</v>
      </c>
      <c r="F138" s="2" t="n">
        <v>1</v>
      </c>
      <c r="G138" s="2" t="n">
        <v>191.6</v>
      </c>
    </row>
    <row r="139">
      <c r="A139" s="7" t="n">
        <v>46290.02908936342</v>
      </c>
      <c r="B139" s="7" t="n">
        <v>46290.02777777778</v>
      </c>
      <c r="C139" s="2" t="n">
        <v>433</v>
      </c>
      <c r="D139" s="2" t="n">
        <v>2</v>
      </c>
      <c r="E139" s="2" t="n">
        <v>0</v>
      </c>
      <c r="F139" s="2" t="n">
        <v>1</v>
      </c>
      <c r="G139" s="2" t="n">
        <v>166.2</v>
      </c>
    </row>
    <row r="140">
      <c r="A140" s="7" t="n">
        <v>46289.96715996528</v>
      </c>
      <c r="B140" s="7" t="n">
        <v>46289.96597222222</v>
      </c>
      <c r="C140" s="2" t="n">
        <v>433</v>
      </c>
      <c r="D140" s="2" t="n">
        <v>2</v>
      </c>
      <c r="E140" s="2" t="n">
        <v>8</v>
      </c>
      <c r="F140" s="2" t="n">
        <v>1</v>
      </c>
      <c r="G140" s="2" t="n">
        <v>190.1</v>
      </c>
    </row>
    <row r="141">
      <c r="A141" s="7" t="n">
        <v>46289.95004011574</v>
      </c>
      <c r="B141" s="7" t="n">
        <v>46289.94930555556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178.4</v>
      </c>
    </row>
    <row r="142">
      <c r="A142" s="7" t="n">
        <v>46289.94135959491</v>
      </c>
      <c r="B142" s="7" t="n">
        <v>46289.94027777778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183.8</v>
      </c>
    </row>
    <row r="143">
      <c r="A143" s="7" t="n">
        <v>46289.92565313658</v>
      </c>
      <c r="B143" s="7" t="n">
        <v>46289.92430555556</v>
      </c>
      <c r="C143" s="2" t="n">
        <v>433</v>
      </c>
      <c r="D143" s="2" t="n">
        <v>6</v>
      </c>
      <c r="E143" s="2" t="n">
        <v>3</v>
      </c>
      <c r="F143" s="2" t="n">
        <v>1</v>
      </c>
      <c r="G143" s="2" t="n">
        <v>226.2</v>
      </c>
    </row>
    <row r="144">
      <c r="A144" s="7" t="n">
        <v>46289.84896370371</v>
      </c>
      <c r="B144" s="7" t="n">
        <v>46289.84791666667</v>
      </c>
      <c r="C144" s="2" t="n">
        <v>433</v>
      </c>
      <c r="D144" s="2" t="n">
        <v>2</v>
      </c>
      <c r="E144" s="2" t="n">
        <v>2</v>
      </c>
      <c r="F144" s="2" t="n">
        <v>1</v>
      </c>
      <c r="G144" s="2" t="n">
        <v>147.5</v>
      </c>
    </row>
    <row r="145">
      <c r="A145" s="7" t="n">
        <v>46289.78526427083</v>
      </c>
      <c r="B145" s="7" t="n">
        <v>46289.78402777778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186.8</v>
      </c>
    </row>
    <row r="146">
      <c r="A146" s="7" t="n">
        <v>46289.75543116898</v>
      </c>
      <c r="B146" s="7" t="n">
        <v>46289.75</v>
      </c>
      <c r="C146" s="2" t="n">
        <v>433</v>
      </c>
      <c r="D146" s="2" t="n">
        <v>15</v>
      </c>
      <c r="E146" s="2" t="n">
        <v>11</v>
      </c>
      <c r="F146" s="2" t="n">
        <v>1</v>
      </c>
      <c r="G146" s="2" t="n">
        <v>109.8</v>
      </c>
    </row>
    <row r="147">
      <c r="A147" s="7" t="n">
        <v>46289.54138961805</v>
      </c>
      <c r="B147" s="7" t="n">
        <v>46289.53472222222</v>
      </c>
      <c r="C147" s="2" t="n">
        <v>433</v>
      </c>
      <c r="D147" s="2" t="n">
        <v>2</v>
      </c>
      <c r="E147" s="2" t="n">
        <v>3</v>
      </c>
      <c r="F147" s="2" t="n">
        <v>1</v>
      </c>
      <c r="G147" s="2" t="n">
        <v>125.8</v>
      </c>
    </row>
    <row r="148">
      <c r="A148" s="7" t="n">
        <v>46289.32358565972</v>
      </c>
      <c r="B148" s="7" t="n">
        <v>46289.31944444445</v>
      </c>
      <c r="C148" s="2" t="n">
        <v>433</v>
      </c>
      <c r="D148" s="2" t="n">
        <v>2</v>
      </c>
      <c r="E148" s="2" t="n">
        <v>4</v>
      </c>
      <c r="F148" s="2" t="n">
        <v>1</v>
      </c>
      <c r="G148" s="2" t="n">
        <v>130.2</v>
      </c>
    </row>
    <row r="149">
      <c r="A149" s="7" t="n">
        <v>46289.18599210648</v>
      </c>
      <c r="B149" s="7" t="n">
        <v>46289.18055555555</v>
      </c>
      <c r="C149" s="2" t="n">
        <v>433</v>
      </c>
      <c r="D149" s="2" t="n">
        <v>3</v>
      </c>
      <c r="E149" s="2" t="n">
        <v>4</v>
      </c>
      <c r="F149" s="2" t="n">
        <v>1</v>
      </c>
      <c r="G149" s="2" t="n">
        <v>129.3</v>
      </c>
    </row>
    <row r="150">
      <c r="A150" s="7" t="n">
        <v>46289.04908521991</v>
      </c>
      <c r="B150" s="7" t="n">
        <v>46289.04513888889</v>
      </c>
      <c r="C150" s="2" t="n">
        <v>433</v>
      </c>
      <c r="D150" s="2" t="n">
        <v>2</v>
      </c>
      <c r="E150" s="2" t="n">
        <v>8</v>
      </c>
      <c r="F150" s="2" t="n">
        <v>1</v>
      </c>
      <c r="G150" s="2" t="n">
        <v>96.90000000000001</v>
      </c>
    </row>
    <row r="151">
      <c r="A151" s="7" t="n">
        <v>46289.00944646991</v>
      </c>
      <c r="B151" s="7" t="n">
        <v>46289.00347222222</v>
      </c>
      <c r="C151" s="2" t="n">
        <v>433</v>
      </c>
      <c r="D151" s="2" t="n">
        <v>26</v>
      </c>
      <c r="E151" s="2" t="n">
        <v>15</v>
      </c>
      <c r="F151" s="2" t="n">
        <v>1</v>
      </c>
      <c r="G151" s="2" t="n">
        <v>127</v>
      </c>
    </row>
    <row r="152">
      <c r="A152" s="7" t="n">
        <v>46288.82408041666</v>
      </c>
      <c r="B152" s="7" t="n">
        <v>46288.81944444445</v>
      </c>
      <c r="C152" s="2" t="n">
        <v>433</v>
      </c>
      <c r="D152" s="2" t="n">
        <v>1</v>
      </c>
      <c r="E152" s="2" t="n">
        <v>2</v>
      </c>
      <c r="F152" s="2" t="n">
        <v>2</v>
      </c>
      <c r="G152" s="2" t="n">
        <v>118.2</v>
      </c>
    </row>
    <row r="153">
      <c r="A153" s="7" t="n">
        <v>46288.75275025463</v>
      </c>
      <c r="B153" s="7" t="n">
        <v>46288.74652777778</v>
      </c>
      <c r="C153" s="2" t="n">
        <v>433</v>
      </c>
      <c r="D153" s="2" t="n">
        <v>4</v>
      </c>
      <c r="E153" s="2" t="n">
        <v>3</v>
      </c>
      <c r="F153" s="2" t="n">
        <v>2</v>
      </c>
      <c r="G153" s="2" t="n">
        <v>125.5</v>
      </c>
    </row>
    <row r="154">
      <c r="A154" s="7" t="n">
        <v>46288.58577883102</v>
      </c>
      <c r="B154" s="7" t="n">
        <v>46288.57986111111</v>
      </c>
      <c r="C154" s="2" t="n">
        <v>433</v>
      </c>
      <c r="D154" s="2" t="n">
        <v>0</v>
      </c>
      <c r="E154" s="2" t="n">
        <v>0</v>
      </c>
      <c r="F154" s="2" t="n">
        <v>2</v>
      </c>
      <c r="G154" s="2" t="n">
        <v>112.8</v>
      </c>
    </row>
    <row r="155">
      <c r="A155" s="7" t="n">
        <v>46288.57218969907</v>
      </c>
      <c r="B155" s="7" t="n">
        <v>46288.56597222222</v>
      </c>
      <c r="C155" s="2" t="n">
        <v>433</v>
      </c>
      <c r="D155" s="2" t="n">
        <v>4</v>
      </c>
      <c r="E155" s="2" t="n">
        <v>5</v>
      </c>
      <c r="F155" s="2" t="n">
        <v>2</v>
      </c>
      <c r="G155" s="2" t="n">
        <v>99.7</v>
      </c>
    </row>
    <row r="156">
      <c r="A156" s="7" t="n">
        <v>46288.36332482639</v>
      </c>
      <c r="B156" s="7" t="n">
        <v>46288.35763888889</v>
      </c>
      <c r="C156" s="2" t="n">
        <v>441</v>
      </c>
      <c r="D156" s="2" t="n">
        <v>2</v>
      </c>
      <c r="E156" s="2" t="n">
        <v>4</v>
      </c>
      <c r="F156" s="2" t="n">
        <v>2</v>
      </c>
      <c r="G156" s="2" t="n">
        <v>94.40000000000001</v>
      </c>
    </row>
    <row r="157">
      <c r="A157" s="7" t="n">
        <v>46288.26120461806</v>
      </c>
      <c r="B157" s="7" t="n">
        <v>46288.25694444445</v>
      </c>
      <c r="C157" s="2" t="n">
        <v>441</v>
      </c>
      <c r="D157" s="2" t="n">
        <v>0</v>
      </c>
      <c r="E157" s="2" t="n">
        <v>3</v>
      </c>
      <c r="F157" s="2" t="n">
        <v>2</v>
      </c>
      <c r="G157" s="2" t="n">
        <v>103.1</v>
      </c>
    </row>
    <row r="158">
      <c r="A158" s="7" t="n">
        <v>46288.12397528935</v>
      </c>
      <c r="B158" s="7" t="n">
        <v>46288.11805555555</v>
      </c>
      <c r="C158" s="2" t="n">
        <v>441</v>
      </c>
      <c r="D158" s="2" t="n">
        <v>7</v>
      </c>
      <c r="E158" s="2" t="n">
        <v>1</v>
      </c>
      <c r="F158" s="2" t="n">
        <v>2</v>
      </c>
      <c r="G158" s="2" t="n">
        <v>114.4</v>
      </c>
    </row>
    <row r="159">
      <c r="A159" s="7" t="n">
        <v>46287.95840076389</v>
      </c>
      <c r="B159" s="7" t="n">
        <v>46287.95486111111</v>
      </c>
      <c r="C159" s="2" t="n">
        <v>441</v>
      </c>
      <c r="D159" s="2" t="n">
        <v>6</v>
      </c>
      <c r="E159" s="2" t="n">
        <v>5</v>
      </c>
      <c r="F159" s="2" t="n">
        <v>2</v>
      </c>
      <c r="G159" s="2" t="n">
        <v>135.1</v>
      </c>
    </row>
    <row r="160">
      <c r="A160" s="7" t="n">
        <v>46287.75277884259</v>
      </c>
      <c r="B160" s="7" t="n">
        <v>46287.74652777778</v>
      </c>
      <c r="C160" s="2" t="n">
        <v>440</v>
      </c>
      <c r="D160" s="2" t="n">
        <v>1</v>
      </c>
      <c r="E160" s="2" t="n">
        <v>3</v>
      </c>
      <c r="F160" s="2" t="n">
        <v>0</v>
      </c>
      <c r="G160" s="2" t="n">
        <v>130.3</v>
      </c>
    </row>
    <row r="161">
      <c r="A161" s="7" t="n">
        <v>46287.6758560301</v>
      </c>
      <c r="B161" s="7" t="n">
        <v>46287.67013888889</v>
      </c>
      <c r="C161" s="2" t="n">
        <v>440</v>
      </c>
      <c r="D161" s="2" t="n">
        <v>4</v>
      </c>
      <c r="E161" s="2" t="n">
        <v>3</v>
      </c>
      <c r="F161" s="2" t="n">
        <v>0</v>
      </c>
      <c r="G161" s="2" t="n">
        <v>91.7</v>
      </c>
    </row>
    <row r="162">
      <c r="A162" s="7" t="n">
        <v>46287.54602564815</v>
      </c>
      <c r="B162" s="7" t="n">
        <v>46287.54166666666</v>
      </c>
      <c r="C162" s="2" t="n">
        <v>440</v>
      </c>
      <c r="D162" s="2" t="n">
        <v>1</v>
      </c>
      <c r="E162" s="2" t="n">
        <v>3</v>
      </c>
      <c r="F162" s="2" t="n">
        <v>0</v>
      </c>
      <c r="G162" s="2" t="n">
        <v>125.4</v>
      </c>
    </row>
    <row r="163">
      <c r="A163" s="7" t="n">
        <v>46287.51247143518</v>
      </c>
      <c r="B163" s="7" t="n">
        <v>46287.50694444445</v>
      </c>
      <c r="C163" s="2" t="n">
        <v>440</v>
      </c>
      <c r="D163" s="2" t="n">
        <v>7</v>
      </c>
      <c r="E163" s="2" t="n">
        <v>8</v>
      </c>
      <c r="F163" s="2" t="n">
        <v>0</v>
      </c>
      <c r="G163" s="2" t="n">
        <v>102.8</v>
      </c>
    </row>
    <row r="164">
      <c r="A164" s="7" t="n">
        <v>46287.30635083334</v>
      </c>
      <c r="B164" s="7" t="n">
        <v>46287.30208333334</v>
      </c>
      <c r="C164" s="2" t="n">
        <v>440</v>
      </c>
      <c r="D164" s="2" t="n">
        <v>9</v>
      </c>
      <c r="E164" s="2" t="n">
        <v>5</v>
      </c>
      <c r="F164" s="2" t="n">
        <v>0</v>
      </c>
      <c r="G164" s="2" t="n">
        <v>135.9</v>
      </c>
    </row>
    <row r="165">
      <c r="A165" s="7" t="n">
        <v>46287.14961865741</v>
      </c>
      <c r="B165" s="7" t="n">
        <v>46287.14583333334</v>
      </c>
      <c r="C165" s="2" t="n">
        <v>440</v>
      </c>
      <c r="D165" s="2" t="n">
        <v>6</v>
      </c>
      <c r="E165" s="2" t="n">
        <v>5</v>
      </c>
      <c r="F165" s="2" t="n">
        <v>0</v>
      </c>
      <c r="G165" s="2" t="n">
        <v>130.5</v>
      </c>
    </row>
    <row r="166">
      <c r="A166" s="7" t="n">
        <v>46286.92852005787</v>
      </c>
      <c r="B166" s="7" t="n">
        <v>46286.92361111111</v>
      </c>
      <c r="C166" s="2" t="n">
        <v>440</v>
      </c>
      <c r="D166" s="2" t="n">
        <v>2</v>
      </c>
      <c r="E166" s="2" t="n">
        <v>3</v>
      </c>
      <c r="F166" s="2" t="n">
        <v>0</v>
      </c>
      <c r="G166" s="2" t="n">
        <v>112.2</v>
      </c>
    </row>
    <row r="167">
      <c r="A167" s="7" t="n">
        <v>46286.83222814815</v>
      </c>
      <c r="B167" s="7" t="n">
        <v>46286.82638888889</v>
      </c>
      <c r="C167" s="2" t="n">
        <v>440</v>
      </c>
      <c r="D167" s="2" t="n">
        <v>5</v>
      </c>
      <c r="E167" s="2" t="n">
        <v>7</v>
      </c>
      <c r="F167" s="2" t="n">
        <v>0</v>
      </c>
      <c r="G167" s="2" t="n">
        <v>126.4</v>
      </c>
    </row>
    <row r="168">
      <c r="A168" s="7" t="n">
        <v>46286.60261268519</v>
      </c>
      <c r="B168" s="7" t="n">
        <v>46286.59722222222</v>
      </c>
      <c r="C168" s="2" t="n">
        <v>440</v>
      </c>
      <c r="D168" s="2" t="n">
        <v>8</v>
      </c>
      <c r="E168" s="2" t="n">
        <v>5</v>
      </c>
      <c r="F168" s="2" t="n">
        <v>0</v>
      </c>
      <c r="G168" s="2" t="n">
        <v>111.5</v>
      </c>
    </row>
    <row r="169">
      <c r="A169" s="7" t="n">
        <v>46286.38294268519</v>
      </c>
      <c r="B169" s="7" t="n">
        <v>46286.37847222222</v>
      </c>
      <c r="C169" s="2" t="n">
        <v>440</v>
      </c>
      <c r="D169" s="2" t="n">
        <v>3</v>
      </c>
      <c r="E169" s="2" t="n">
        <v>6</v>
      </c>
      <c r="F169" s="2" t="n">
        <v>0</v>
      </c>
      <c r="G169" s="2" t="n">
        <v>102.4</v>
      </c>
    </row>
    <row r="170">
      <c r="A170" s="7" t="n">
        <v>46286.27148542824</v>
      </c>
      <c r="B170" s="7" t="n">
        <v>46286.26736111111</v>
      </c>
      <c r="C170" s="2" t="n">
        <v>440</v>
      </c>
      <c r="D170" s="2" t="n">
        <v>2</v>
      </c>
      <c r="E170" s="2" t="n">
        <v>2</v>
      </c>
      <c r="F170" s="2" t="n">
        <v>0</v>
      </c>
      <c r="G170" s="2" t="n">
        <v>126.7</v>
      </c>
    </row>
    <row r="171">
      <c r="A171" s="7" t="n">
        <v>46286.14641391204</v>
      </c>
      <c r="B171" s="7" t="n">
        <v>46286.14236111111</v>
      </c>
      <c r="C171" s="2" t="n">
        <v>440</v>
      </c>
      <c r="D171" s="2" t="n">
        <v>4</v>
      </c>
      <c r="E171" s="2" t="n">
        <v>4</v>
      </c>
      <c r="F171" s="2" t="n">
        <v>0</v>
      </c>
      <c r="G171" s="2" t="n">
        <v>131.3</v>
      </c>
    </row>
    <row r="172">
      <c r="A172" s="7" t="n">
        <v>46286.03573545139</v>
      </c>
      <c r="B172" s="7" t="n">
        <v>46286.03125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127.3</v>
      </c>
    </row>
    <row r="173">
      <c r="A173" s="7" t="n">
        <v>46286.00283136574</v>
      </c>
      <c r="B173" s="7" t="n">
        <v>46285.99652777778</v>
      </c>
      <c r="C173" s="2" t="n">
        <v>440</v>
      </c>
      <c r="D173" s="2" t="n">
        <v>5</v>
      </c>
      <c r="E173" s="2" t="n">
        <v>5</v>
      </c>
      <c r="F173" s="2" t="n">
        <v>0</v>
      </c>
      <c r="G173" s="2" t="n">
        <v>101.9</v>
      </c>
    </row>
    <row r="174">
      <c r="A174" s="7" t="n">
        <v>46285.85245594908</v>
      </c>
      <c r="B174" s="7" t="n">
        <v>46285.84722222222</v>
      </c>
      <c r="C174" s="2" t="n">
        <v>440</v>
      </c>
      <c r="D174" s="2" t="n">
        <v>7</v>
      </c>
      <c r="E174" s="2" t="n">
        <v>6</v>
      </c>
      <c r="F174" s="2" t="n">
        <v>0</v>
      </c>
      <c r="G174" s="2" t="n">
        <v>100.6</v>
      </c>
    </row>
    <row r="175">
      <c r="A175" s="7" t="n">
        <v>46285.60105145833</v>
      </c>
      <c r="B175" s="7" t="n">
        <v>46285.59722222222</v>
      </c>
      <c r="C175" s="2" t="n">
        <v>440</v>
      </c>
      <c r="D175" s="2" t="n">
        <v>9</v>
      </c>
      <c r="E175" s="2" t="n">
        <v>5</v>
      </c>
      <c r="F175" s="2" t="n">
        <v>0</v>
      </c>
      <c r="G175" s="2" t="n">
        <v>129.1</v>
      </c>
    </row>
    <row r="176">
      <c r="A176" s="7" t="n">
        <v>46285.38559789352</v>
      </c>
      <c r="B176" s="7" t="n">
        <v>46285.38194444445</v>
      </c>
      <c r="C176" s="2" t="n">
        <v>440</v>
      </c>
      <c r="D176" s="2" t="n">
        <v>1</v>
      </c>
      <c r="E176" s="2" t="n">
        <v>1</v>
      </c>
      <c r="F176" s="2" t="n">
        <v>0</v>
      </c>
      <c r="G176" s="2" t="n">
        <v>112.5</v>
      </c>
    </row>
    <row r="177">
      <c r="A177" s="7" t="n">
        <v>46285.29994834491</v>
      </c>
      <c r="B177" s="7" t="n">
        <v>46285.29513888889</v>
      </c>
      <c r="C177" s="2" t="n">
        <v>440</v>
      </c>
      <c r="D177" s="2" t="n">
        <v>1</v>
      </c>
      <c r="E177" s="2" t="n">
        <v>3</v>
      </c>
      <c r="F177" s="2" t="n">
        <v>0</v>
      </c>
      <c r="G177" s="2" t="n">
        <v>128.1</v>
      </c>
    </row>
    <row r="178">
      <c r="A178" s="7" t="n">
        <v>46285.19964518519</v>
      </c>
      <c r="B178" s="7" t="n">
        <v>46285.19444444445</v>
      </c>
      <c r="C178" s="2" t="n">
        <v>440</v>
      </c>
      <c r="D178" s="2" t="n">
        <v>2</v>
      </c>
      <c r="E178" s="2" t="n">
        <v>3</v>
      </c>
      <c r="F178" s="2" t="n">
        <v>0</v>
      </c>
      <c r="G178" s="2" t="n">
        <v>110.6</v>
      </c>
    </row>
    <row r="179">
      <c r="A179" s="7" t="n">
        <v>46285.08704527777</v>
      </c>
      <c r="B179" s="7" t="n">
        <v>46285.08333333334</v>
      </c>
      <c r="C179" s="2" t="n">
        <v>440</v>
      </c>
      <c r="D179" s="2" t="n">
        <v>3</v>
      </c>
      <c r="E179" s="2" t="n">
        <v>3</v>
      </c>
      <c r="F179" s="2" t="n">
        <v>0</v>
      </c>
      <c r="G179" s="2" t="n">
        <v>95.09999999999999</v>
      </c>
    </row>
    <row r="180">
      <c r="A180" s="7" t="n">
        <v>46284.93748335648</v>
      </c>
      <c r="B180" s="7" t="n">
        <v>46284.93055555555</v>
      </c>
      <c r="C180" s="2" t="n">
        <v>440</v>
      </c>
      <c r="D180" s="2" t="n">
        <v>2</v>
      </c>
      <c r="E180" s="2" t="n">
        <v>2</v>
      </c>
      <c r="F180" s="2" t="n">
        <v>0</v>
      </c>
      <c r="G180" s="2" t="n">
        <v>128.7</v>
      </c>
    </row>
    <row r="181">
      <c r="A181" s="7" t="n">
        <v>46284.79727659722</v>
      </c>
      <c r="B181" s="7" t="n">
        <v>46284.79166666666</v>
      </c>
      <c r="C181" s="2" t="n">
        <v>440</v>
      </c>
      <c r="D181" s="2" t="n">
        <v>4</v>
      </c>
      <c r="E181" s="2" t="n">
        <v>5</v>
      </c>
      <c r="F181" s="2" t="n">
        <v>0</v>
      </c>
      <c r="G181" s="2" t="n">
        <v>109.7</v>
      </c>
    </row>
    <row r="182">
      <c r="A182" s="7" t="n">
        <v>46284.58365538195</v>
      </c>
      <c r="B182" s="7" t="n">
        <v>46284.57986111111</v>
      </c>
      <c r="C182" s="2" t="n">
        <v>440</v>
      </c>
      <c r="D182" s="2" t="n">
        <v>5</v>
      </c>
      <c r="E182" s="2" t="n">
        <v>4</v>
      </c>
      <c r="F182" s="2" t="n">
        <v>0</v>
      </c>
      <c r="G182" s="2" t="n">
        <v>101.8</v>
      </c>
    </row>
    <row r="183">
      <c r="A183" s="7" t="n">
        <v>46284.38530752315</v>
      </c>
      <c r="B183" s="7" t="n">
        <v>46284.37847222222</v>
      </c>
      <c r="C183" s="2" t="n">
        <v>440</v>
      </c>
      <c r="D183" s="2" t="n">
        <v>2</v>
      </c>
      <c r="E183" s="2" t="n">
        <v>4</v>
      </c>
      <c r="F183" s="2" t="n">
        <v>0</v>
      </c>
      <c r="G183" s="2" t="n">
        <v>130.8</v>
      </c>
    </row>
    <row r="184">
      <c r="A184" s="7" t="n">
        <v>46284.27664920139</v>
      </c>
      <c r="B184" s="7" t="n">
        <v>46284.27083333334</v>
      </c>
      <c r="C184" s="2" t="n">
        <v>440</v>
      </c>
      <c r="D184" s="2" t="n">
        <v>4</v>
      </c>
      <c r="E184" s="2" t="n">
        <v>1</v>
      </c>
      <c r="F184" s="2" t="n">
        <v>0</v>
      </c>
      <c r="G184" s="2" t="n">
        <v>127.8</v>
      </c>
    </row>
    <row r="185">
      <c r="A185" s="7" t="n">
        <v>46284.15392047453</v>
      </c>
      <c r="B185" s="7" t="n">
        <v>46284.14930555555</v>
      </c>
      <c r="C185" s="2" t="n">
        <v>440</v>
      </c>
      <c r="D185" s="2" t="n">
        <v>3</v>
      </c>
      <c r="E185" s="2" t="n">
        <v>2</v>
      </c>
      <c r="F185" s="2" t="n">
        <v>0</v>
      </c>
      <c r="G185" s="2" t="n">
        <v>135.6</v>
      </c>
    </row>
    <row r="186">
      <c r="A186" s="7" t="n">
        <v>46284.02123533565</v>
      </c>
      <c r="B186" s="7" t="n">
        <v>46284.01736111111</v>
      </c>
      <c r="C186" s="2" t="n">
        <v>440</v>
      </c>
      <c r="D186" s="2" t="n">
        <v>2</v>
      </c>
      <c r="E186" s="2" t="n">
        <v>1</v>
      </c>
      <c r="F186" s="2" t="n">
        <v>0</v>
      </c>
      <c r="G186" s="2" t="n">
        <v>102.8</v>
      </c>
    </row>
    <row r="187">
      <c r="A187" s="7" t="n">
        <v>46283.99753837963</v>
      </c>
      <c r="B187" s="7" t="n">
        <v>46283.99305555555</v>
      </c>
      <c r="C187" s="2" t="n">
        <v>440</v>
      </c>
      <c r="D187" s="2" t="n">
        <v>1</v>
      </c>
      <c r="E187" s="2" t="n">
        <v>3</v>
      </c>
      <c r="F187" s="2" t="n">
        <v>0</v>
      </c>
      <c r="G187" s="2" t="n">
        <v>129.8</v>
      </c>
    </row>
    <row r="188">
      <c r="A188" s="7" t="n">
        <v>46283.80859936342</v>
      </c>
      <c r="B188" s="7" t="n">
        <v>46283.80208333334</v>
      </c>
      <c r="C188" s="2" t="n">
        <v>440</v>
      </c>
      <c r="D188" s="2" t="n">
        <v>0</v>
      </c>
      <c r="E188" s="2" t="n">
        <v>1</v>
      </c>
      <c r="F188" s="2" t="n">
        <v>0</v>
      </c>
      <c r="G188" s="2" t="n">
        <v>127.7</v>
      </c>
    </row>
    <row r="189">
      <c r="A189" s="7" t="n">
        <v>46283.78916202546</v>
      </c>
      <c r="B189" s="7" t="n">
        <v>46283.78472222222</v>
      </c>
      <c r="C189" s="2" t="n">
        <v>440</v>
      </c>
      <c r="D189" s="2" t="n">
        <v>4</v>
      </c>
      <c r="E189" s="2" t="n">
        <v>3</v>
      </c>
      <c r="F189" s="2" t="n">
        <v>0</v>
      </c>
      <c r="G189" s="2" t="n">
        <v>119.1</v>
      </c>
    </row>
    <row r="190">
      <c r="A190" s="7" t="n">
        <v>46283.58323265046</v>
      </c>
      <c r="B190" s="7" t="n">
        <v>46283.57638888889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126.7</v>
      </c>
    </row>
    <row r="191">
      <c r="A191" s="7" t="n">
        <v>46283.57323743056</v>
      </c>
      <c r="B191" s="7" t="n">
        <v>46283.56944444445</v>
      </c>
      <c r="C191" s="2" t="n">
        <v>440</v>
      </c>
      <c r="D191" s="2" t="n">
        <v>4</v>
      </c>
      <c r="E191" s="2" t="n">
        <v>6</v>
      </c>
      <c r="F191" s="2" t="n">
        <v>0</v>
      </c>
      <c r="G191" s="2" t="n">
        <v>94.3</v>
      </c>
    </row>
    <row r="192">
      <c r="A192" s="7" t="n">
        <v>46283.45181144676</v>
      </c>
      <c r="B192" s="7" t="n">
        <v>46283.44791666666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132.3</v>
      </c>
    </row>
    <row r="193">
      <c r="A193" s="7" t="n">
        <v>46283.44134394676</v>
      </c>
      <c r="B193" s="7" t="n">
        <v>46283.4375</v>
      </c>
      <c r="C193" s="2" t="n">
        <v>440</v>
      </c>
      <c r="D193" s="2" t="n">
        <v>4</v>
      </c>
      <c r="E193" s="2" t="n">
        <v>2</v>
      </c>
      <c r="F193" s="2" t="n">
        <v>0</v>
      </c>
      <c r="G193" s="2" t="n">
        <v>373.5</v>
      </c>
    </row>
    <row r="194">
      <c r="A194" s="7" t="n">
        <v>46283.35273409722</v>
      </c>
      <c r="B194" s="7" t="n">
        <v>46283.34722222222</v>
      </c>
      <c r="C194" s="2" t="n">
        <v>440</v>
      </c>
      <c r="D194" s="2" t="n">
        <v>2</v>
      </c>
      <c r="E194" s="2" t="n">
        <v>1</v>
      </c>
      <c r="F194" s="2" t="n">
        <v>0</v>
      </c>
      <c r="G194" s="2" t="n">
        <v>132.3</v>
      </c>
    </row>
    <row r="195">
      <c r="A195" s="7" t="n">
        <v>46283.26014016203</v>
      </c>
      <c r="B195" s="7" t="n">
        <v>46283.25347222222</v>
      </c>
      <c r="C195" s="2" t="n">
        <v>440</v>
      </c>
      <c r="D195" s="2" t="n">
        <v>2</v>
      </c>
      <c r="E195" s="2" t="n">
        <v>0</v>
      </c>
      <c r="F195" s="2" t="n">
        <v>0</v>
      </c>
      <c r="G195" s="2" t="n">
        <v>129.5</v>
      </c>
    </row>
    <row r="196">
      <c r="A196" s="7" t="n">
        <v>46283.09637409722</v>
      </c>
      <c r="B196" s="7" t="n">
        <v>46283.09027777778</v>
      </c>
      <c r="C196" s="2" t="n">
        <v>440</v>
      </c>
      <c r="D196" s="2" t="n">
        <v>6</v>
      </c>
      <c r="E196" s="2" t="n">
        <v>8</v>
      </c>
      <c r="F196" s="2" t="n">
        <v>0</v>
      </c>
      <c r="G196" s="2" t="n">
        <v>131.2</v>
      </c>
    </row>
    <row r="197">
      <c r="A197" s="7" t="n">
        <v>46282.89824439815</v>
      </c>
      <c r="B197" s="7" t="n">
        <v>46282.89236111111</v>
      </c>
      <c r="C197" s="2" t="n">
        <v>440</v>
      </c>
      <c r="D197" s="2" t="n">
        <v>3</v>
      </c>
      <c r="E197" s="2" t="n">
        <v>1</v>
      </c>
      <c r="F197" s="2" t="n">
        <v>0</v>
      </c>
      <c r="G197" s="2" t="n">
        <v>137</v>
      </c>
    </row>
    <row r="198">
      <c r="A198" s="7" t="n">
        <v>46282.65711792824</v>
      </c>
      <c r="B198" s="7" t="n">
        <v>46282.65277777778</v>
      </c>
      <c r="C198" s="2" t="n">
        <v>440</v>
      </c>
      <c r="D198" s="2" t="n">
        <v>2</v>
      </c>
      <c r="E198" s="2" t="n">
        <v>2</v>
      </c>
      <c r="F198" s="2" t="n">
        <v>0</v>
      </c>
      <c r="G198" s="2" t="n">
        <v>126.6</v>
      </c>
    </row>
    <row r="199">
      <c r="A199" s="7" t="n">
        <v>46282.40350203704</v>
      </c>
      <c r="B199" s="7" t="n">
        <v>46282.39930555555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323.7</v>
      </c>
    </row>
    <row r="200">
      <c r="A200" s="7" t="n">
        <v>46282.39577758102</v>
      </c>
      <c r="B200" s="7" t="n">
        <v>46282.33333333334</v>
      </c>
      <c r="C200" s="2" t="n">
        <v>440</v>
      </c>
      <c r="D200" s="2" t="n">
        <v>0</v>
      </c>
      <c r="E200" s="2" t="n">
        <v>6</v>
      </c>
      <c r="F200" s="2" t="n">
        <v>0</v>
      </c>
      <c r="G200" s="2" t="n">
        <v>50.5</v>
      </c>
    </row>
    <row r="201">
      <c r="A201" s="7" t="n">
        <v>46282.29222982639</v>
      </c>
      <c r="B201" s="7" t="n">
        <v>46282.25</v>
      </c>
      <c r="C201" s="2" t="n">
        <v>440</v>
      </c>
      <c r="D201" s="2" t="n">
        <v>2</v>
      </c>
      <c r="E201" s="2" t="n">
        <v>1</v>
      </c>
      <c r="F201" s="2" t="n">
        <v>0</v>
      </c>
      <c r="G201" s="2" t="n">
        <v>66.2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7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2 個月最佳區間：8% 以上（每筆 +0.64%）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239</v>
      </c>
      <c r="C6" s="10" t="n">
        <v>0.5941422594142259</v>
      </c>
      <c r="D6" s="4" t="n">
        <v>-0.003468619246861928</v>
      </c>
      <c r="E6" s="2" t="n">
        <v>118</v>
      </c>
      <c r="F6" s="10" t="n">
        <v>0.6440677966101694</v>
      </c>
      <c r="G6" s="4" t="n">
        <v>0.0005254237288135533</v>
      </c>
      <c r="H6" s="2" t="n">
        <v>71</v>
      </c>
      <c r="I6" s="10" t="n">
        <v>0.6197183098591549</v>
      </c>
      <c r="J6" s="4" t="n">
        <v>-0.001422535211267613</v>
      </c>
      <c r="K6" s="2" t="n">
        <v>59</v>
      </c>
      <c r="L6" s="10" t="n">
        <v>0.6440677966101694</v>
      </c>
      <c r="M6" s="4" t="n">
        <v>0.0005254237288135561</v>
      </c>
      <c r="N6" s="2" t="n">
        <v>81</v>
      </c>
      <c r="O6" s="10" t="n">
        <v>0.6172839506172839</v>
      </c>
      <c r="P6" s="4" t="n">
        <v>-0.001617283950617284</v>
      </c>
      <c r="Q6" s="2" t="n">
        <v>36</v>
      </c>
      <c r="R6" s="10" t="n">
        <v>0.75</v>
      </c>
      <c r="S6" s="4" t="n">
        <v>0.009000000000000001</v>
      </c>
    </row>
    <row r="7">
      <c r="A7" s="2" t="inlineStr">
        <is>
          <t>2026-10</t>
        </is>
      </c>
      <c r="B7" s="2" t="n">
        <v>49</v>
      </c>
      <c r="C7" s="10" t="n">
        <v>0.5306122448979592</v>
      </c>
      <c r="D7" s="4" t="n">
        <v>-0.008551020408163273</v>
      </c>
      <c r="E7" s="2" t="n">
        <v>21</v>
      </c>
      <c r="F7" s="10" t="n">
        <v>0.6666666666666666</v>
      </c>
      <c r="G7" s="4" t="n">
        <v>0.002333333333333335</v>
      </c>
      <c r="H7" s="2" t="n">
        <v>16</v>
      </c>
      <c r="I7" s="10" t="n">
        <v>0.75</v>
      </c>
      <c r="J7" s="4" t="n">
        <v>0.009000000000000022</v>
      </c>
      <c r="K7" s="2" t="n">
        <v>6</v>
      </c>
      <c r="L7" s="10" t="n">
        <v>0.5</v>
      </c>
      <c r="M7" s="4" t="n">
        <v>-0.01100000000000003</v>
      </c>
      <c r="N7" s="2" t="n">
        <v>5</v>
      </c>
      <c r="O7" s="10" t="n">
        <v>0.6</v>
      </c>
      <c r="P7" s="4" t="n">
        <v>-0.002999999999999981</v>
      </c>
      <c r="Q7" s="2" t="n">
        <v>3</v>
      </c>
      <c r="R7" s="10" t="n">
        <v>0.3333333333333333</v>
      </c>
      <c r="S7" s="4" t="n">
        <v>-0.02433333333333336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資金明細!R1416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MAX(資金明細!$R$2:$R$1416)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MIN(資金明細!$R$2:$R$1416)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MIN(資金明細!$X$2:$X$1416)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COUNTIFS(資金明細!$C$2:$C$1416,"進場",資金明細!$N$2:$N$1416,"已下單")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COUNTIFS(資金明細!$C$2:$C$1416,"進場",資金明細!$N$2:$N$1416,"資金不足略過")</f>
        <v/>
      </c>
    </row>
    <row r="11">
      <c r="D11" s="2" t="inlineStr">
        <is>
          <t>止盈筆數</t>
        </is>
      </c>
      <c r="E11" s="18">
        <f>COUNTIFS(資金明細!$C$2:$C$1416,"出場",資金明細!$N$2:$N$1416,"已下單",資金明細!$K$2:$K$1416,"止盈")</f>
        <v/>
      </c>
    </row>
    <row r="12">
      <c r="A12" s="2" t="inlineStr">
        <is>
          <t>每筆止損約虧本金</t>
        </is>
      </c>
      <c r="B12" s="4">
        <f>B5*B7*IFERROR(AVERAGE(交易明細!$AB$2:$AB$711),參數!B6)</f>
        <v/>
      </c>
      <c r="D12" s="2" t="inlineStr">
        <is>
          <t>止損筆數</t>
        </is>
      </c>
      <c r="E12" s="18">
        <f>COUNTIFS(資金明細!$C$2:$C$1416,"出場",資金明細!$N$2:$N$1416,"已下單",資金明細!$K$2:$K$1416,"止損")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IFERROR(E11/COUNTIFS(資金明細!$C$2:$C$1416,"出場",資金明細!$N$2:$N$1416,"已下單"),0)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MAX(資金明細!$U$2:$U$1416)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MAX(資金明細!$S$2:$S$1416)</f>
        <v/>
      </c>
    </row>
    <row r="16">
      <c r="D16" s="2" t="inlineStr">
        <is>
          <t>期末下單金額</t>
        </is>
      </c>
      <c r="E16" s="19">
        <f>B5*資金明細!V1416</f>
        <v/>
      </c>
    </row>
    <row r="17">
      <c r="D17" s="2" t="inlineStr">
        <is>
          <t>未平倉浮動損益（未計入）</t>
        </is>
      </c>
      <c r="E17" s="13">
        <f>IF(資金明細!N1399="已下單",資金明細!O1399*交易明細!L700,0)+IF(資金明細!N1401="已下單",資金明細!O1401*交易明細!L702,0)+IF(資金明細!N1406="已下單",資金明細!O1406*交易明細!L705,0)+IF(資金明細!N1408="已下單",資金明細!O1408*交易明細!L706,0)+IF(資金明細!N1412="已下單",資金明細!O1412*交易明細!L709,0)+IF(資金明細!N1413="已下單",資金明細!O1413*交易明細!L710,0)</f>
        <v/>
      </c>
    </row>
    <row r="18">
      <c r="D18" s="2" t="inlineStr">
        <is>
          <t>最大總曝險倍數</t>
        </is>
      </c>
      <c r="E18" s="19">
        <f>MAX(資金明細!$Y$2:$Y$1416)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IFERROR(INDEX(資金明細!$B$2:$B$1416,MATCH(1,資金明細!$Z$2:$Z$1416,0)),"未觸發")</f>
        <v/>
      </c>
    </row>
    <row r="21">
      <c r="D21" s="2" t="inlineStr">
        <is>
          <t>停止後略過筆數</t>
        </is>
      </c>
      <c r="E21" s="18">
        <f>COUNTIFS(資金明細!$C$2:$C$1416,"進場",資金明細!$N$2:$N$1416,"已停止")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41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n"/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n"/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n"/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n"/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n"/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n"/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  <row r="985">
      <c r="A985" s="2" t="n">
        <v>983</v>
      </c>
      <c r="B985" s="7" t="n">
        <v>46291.625</v>
      </c>
      <c r="C985" s="2" t="inlineStr">
        <is>
          <t>出場</t>
        </is>
      </c>
      <c r="D985" s="2" t="n">
        <v>494</v>
      </c>
      <c r="E985" s="2" t="inlineStr">
        <is>
          <t>QNT_USDT_PERP</t>
        </is>
      </c>
      <c r="F985" s="2" t="inlineStr">
        <is>
          <t>做多</t>
        </is>
      </c>
      <c r="G985" s="20" t="n">
        <v>100.72</v>
      </c>
      <c r="H985" s="20" t="n">
        <v>103.7416</v>
      </c>
      <c r="I985" s="20" t="n">
        <v>95.684</v>
      </c>
      <c r="J985" s="20" t="n">
        <v>103.7416</v>
      </c>
      <c r="K985" s="2" t="inlineStr">
        <is>
          <t>止盈</t>
        </is>
      </c>
      <c r="L985" s="5">
        <f>交易明細!K495</f>
        <v/>
      </c>
      <c r="M985" s="19">
        <f>M984</f>
        <v/>
      </c>
      <c r="N985" s="2">
        <f>N984</f>
        <v/>
      </c>
      <c r="O985" s="19">
        <f>O984</f>
        <v/>
      </c>
      <c r="P985" s="4">
        <f>交易明細!L495</f>
        <v/>
      </c>
      <c r="Q985" s="13">
        <f>IF(N985="已下單",O985*P985,0)</f>
        <v/>
      </c>
      <c r="R985" s="13">
        <f>R984+Q985</f>
        <v/>
      </c>
      <c r="S985" s="19">
        <f>S984-IF(N985="已下單",M985,0)</f>
        <v/>
      </c>
      <c r="T985" s="19">
        <f>R985-S985</f>
        <v/>
      </c>
      <c r="U985" s="2">
        <f>U984-IF(N985="已下單",1,0)</f>
        <v/>
      </c>
      <c r="V985" s="19">
        <f>IF(資金模擬!$B$9=2,MAX(R985,0),MAX(V984,FLOOR(MAX(R985,0),資金模擬!$B$6)))</f>
        <v/>
      </c>
      <c r="W985" s="13">
        <f>MAX(W984,R985)</f>
        <v/>
      </c>
      <c r="X985" s="4">
        <f>IF(W985&gt;0,R985/W985-1,-1)</f>
        <v/>
      </c>
      <c r="Y985" s="19">
        <f>IF(R985&gt;0,S985*資金模擬!$B$7/R985,0)</f>
        <v/>
      </c>
      <c r="Z985" s="2">
        <f>IF(OR(Z984=1,R985&lt;=資金模擬!$B$10),1,0)</f>
        <v/>
      </c>
    </row>
    <row r="986">
      <c r="A986" s="2" t="n">
        <v>984</v>
      </c>
      <c r="B986" s="7" t="n">
        <v>46291.625</v>
      </c>
      <c r="C986" s="2" t="inlineStr">
        <is>
          <t>進場</t>
        </is>
      </c>
      <c r="D986" s="2" t="n">
        <v>495</v>
      </c>
      <c r="E986" s="2" t="inlineStr">
        <is>
          <t>MUBARAK_USDT_PERP</t>
        </is>
      </c>
      <c r="F986" s="2" t="inlineStr">
        <is>
          <t>做空</t>
        </is>
      </c>
      <c r="G986" s="20" t="n">
        <v>0.05304</v>
      </c>
      <c r="H986" s="20" t="n">
        <v>0.0514488</v>
      </c>
      <c r="I986" s="20" t="n">
        <v>0.055692</v>
      </c>
      <c r="J986" s="20" t="n"/>
      <c r="K986" s="2" t="n"/>
      <c r="L986" s="5" t="n"/>
      <c r="M986" s="19">
        <f>資金模擬!$B$5*V985</f>
        <v/>
      </c>
      <c r="N986" s="2">
        <f>IF(Z985=1,"已停止",IF(T985&gt;=M986,"已下單","資金不足略過"))</f>
        <v/>
      </c>
      <c r="O986" s="19">
        <f>IF(N986="已下單",M986*資金模擬!$B$7,0)</f>
        <v/>
      </c>
      <c r="P986" s="4" t="n"/>
      <c r="Q986" s="13" t="n">
        <v>0</v>
      </c>
      <c r="R986" s="13">
        <f>R985+Q986</f>
        <v/>
      </c>
      <c r="S986" s="19">
        <f>S985+IF(N986="已下單",M986,0)</f>
        <v/>
      </c>
      <c r="T986" s="19">
        <f>R986-S986</f>
        <v/>
      </c>
      <c r="U986" s="2">
        <f>U985+IF(N986="已下單",1,0)</f>
        <v/>
      </c>
      <c r="V986" s="19">
        <f>IF(資金模擬!$B$9=2,MAX(R986,0),MAX(V985,FLOOR(MAX(R986,0),資金模擬!$B$6)))</f>
        <v/>
      </c>
      <c r="W986" s="13">
        <f>MAX(W985,R986)</f>
        <v/>
      </c>
      <c r="X986" s="4">
        <f>IF(W986&gt;0,R986/W986-1,-1)</f>
        <v/>
      </c>
      <c r="Y986" s="19">
        <f>IF(R986&gt;0,S986*資金模擬!$B$7/R986,0)</f>
        <v/>
      </c>
      <c r="Z986" s="2">
        <f>IF(OR(Z985=1,R986&lt;=資金模擬!$B$10),1,0)</f>
        <v/>
      </c>
    </row>
    <row r="987">
      <c r="A987" s="2" t="n">
        <v>985</v>
      </c>
      <c r="B987" s="7" t="n">
        <v>46291.66666666666</v>
      </c>
      <c r="C987" s="2" t="inlineStr">
        <is>
          <t>進場</t>
        </is>
      </c>
      <c r="D987" s="2" t="n">
        <v>496</v>
      </c>
      <c r="E987" s="2" t="inlineStr">
        <is>
          <t>AKE_USDT_PERP</t>
        </is>
      </c>
      <c r="F987" s="2" t="inlineStr">
        <is>
          <t>做多</t>
        </is>
      </c>
      <c r="G987" s="20" t="n">
        <v>0.0360925</v>
      </c>
      <c r="H987" s="20" t="n">
        <v>0.037175275</v>
      </c>
      <c r="I987" s="20" t="n">
        <v>0.034287875</v>
      </c>
      <c r="J987" s="20" t="n"/>
      <c r="K987" s="2" t="n"/>
      <c r="L987" s="5" t="n"/>
      <c r="M987" s="19">
        <f>資金模擬!$B$5*V986</f>
        <v/>
      </c>
      <c r="N987" s="2">
        <f>IF(Z986=1,"已停止",IF(T986&gt;=M987,"已下單","資金不足略過"))</f>
        <v/>
      </c>
      <c r="O987" s="19">
        <f>IF(N987="已下單",M987*資金模擬!$B$7,0)</f>
        <v/>
      </c>
      <c r="P987" s="4" t="n"/>
      <c r="Q987" s="13" t="n">
        <v>0</v>
      </c>
      <c r="R987" s="13">
        <f>R986+Q987</f>
        <v/>
      </c>
      <c r="S987" s="19">
        <f>S986+IF(N987="已下單",M987,0)</f>
        <v/>
      </c>
      <c r="T987" s="19">
        <f>R987-S987</f>
        <v/>
      </c>
      <c r="U987" s="2">
        <f>U986+IF(N987="已下單",1,0)</f>
        <v/>
      </c>
      <c r="V987" s="19">
        <f>IF(資金模擬!$B$9=2,MAX(R987,0),MAX(V986,FLOOR(MAX(R987,0),資金模擬!$B$6)))</f>
        <v/>
      </c>
      <c r="W987" s="13">
        <f>MAX(W986,R987)</f>
        <v/>
      </c>
      <c r="X987" s="4">
        <f>IF(W987&gt;0,R987/W987-1,-1)</f>
        <v/>
      </c>
      <c r="Y987" s="19">
        <f>IF(R987&gt;0,S987*資金模擬!$B$7/R987,0)</f>
        <v/>
      </c>
      <c r="Z987" s="2">
        <f>IF(OR(Z986=1,R987&lt;=資金模擬!$B$10),1,0)</f>
        <v/>
      </c>
    </row>
    <row r="988">
      <c r="A988" s="2" t="n">
        <v>986</v>
      </c>
      <c r="B988" s="7" t="n">
        <v>46291.66666666666</v>
      </c>
      <c r="C988" s="2" t="inlineStr">
        <is>
          <t>進場</t>
        </is>
      </c>
      <c r="D988" s="2" t="n">
        <v>497</v>
      </c>
      <c r="E988" s="2" t="inlineStr">
        <is>
          <t>ENA_USDT_PERP</t>
        </is>
      </c>
      <c r="F988" s="2" t="inlineStr">
        <is>
          <t>做多</t>
        </is>
      </c>
      <c r="G988" s="20" t="n">
        <v>0.2716</v>
      </c>
      <c r="H988" s="20" t="n">
        <v>0.279748</v>
      </c>
      <c r="I988" s="20" t="n">
        <v>0.25802</v>
      </c>
      <c r="J988" s="20" t="n"/>
      <c r="K988" s="2" t="n"/>
      <c r="L988" s="5" t="n"/>
      <c r="M988" s="19">
        <f>資金模擬!$B$5*V987</f>
        <v/>
      </c>
      <c r="N988" s="2">
        <f>IF(Z987=1,"已停止",IF(T987&gt;=M988,"已下單","資金不足略過"))</f>
        <v/>
      </c>
      <c r="O988" s="19">
        <f>IF(N988="已下單",M988*資金模擬!$B$7,0)</f>
        <v/>
      </c>
      <c r="P988" s="4" t="n"/>
      <c r="Q988" s="13" t="n">
        <v>0</v>
      </c>
      <c r="R988" s="13">
        <f>R987+Q988</f>
        <v/>
      </c>
      <c r="S988" s="19">
        <f>S987+IF(N988="已下單",M988,0)</f>
        <v/>
      </c>
      <c r="T988" s="19">
        <f>R988-S988</f>
        <v/>
      </c>
      <c r="U988" s="2">
        <f>U987+IF(N988="已下單",1,0)</f>
        <v/>
      </c>
      <c r="V988" s="19">
        <f>IF(資金模擬!$B$9=2,MAX(R988,0),MAX(V987,FLOOR(MAX(R988,0),資金模擬!$B$6)))</f>
        <v/>
      </c>
      <c r="W988" s="13">
        <f>MAX(W987,R988)</f>
        <v/>
      </c>
      <c r="X988" s="4">
        <f>IF(W988&gt;0,R988/W988-1,-1)</f>
        <v/>
      </c>
      <c r="Y988" s="19">
        <f>IF(R988&gt;0,S988*資金模擬!$B$7/R988,0)</f>
        <v/>
      </c>
      <c r="Z988" s="2">
        <f>IF(OR(Z987=1,R988&lt;=資金模擬!$B$10),1,0)</f>
        <v/>
      </c>
    </row>
    <row r="989">
      <c r="A989" s="2" t="n">
        <v>987</v>
      </c>
      <c r="B989" s="7" t="n">
        <v>46291.66666666666</v>
      </c>
      <c r="C989" s="2" t="inlineStr">
        <is>
          <t>進場</t>
        </is>
      </c>
      <c r="D989" s="2" t="n">
        <v>498</v>
      </c>
      <c r="E989" s="2" t="inlineStr">
        <is>
          <t>SAGA_USDT_PERP</t>
        </is>
      </c>
      <c r="F989" s="2" t="inlineStr">
        <is>
          <t>做空</t>
        </is>
      </c>
      <c r="G989" s="20" t="n">
        <v>0.03453</v>
      </c>
      <c r="H989" s="20" t="n">
        <v>0.0334941</v>
      </c>
      <c r="I989" s="20" t="n">
        <v>0.0362565</v>
      </c>
      <c r="J989" s="20" t="n"/>
      <c r="K989" s="2" t="n"/>
      <c r="L989" s="5" t="n"/>
      <c r="M989" s="19">
        <f>資金模擬!$B$5*V988</f>
        <v/>
      </c>
      <c r="N989" s="2">
        <f>IF(Z988=1,"已停止",IF(T988&gt;=M989,"已下單","資金不足略過"))</f>
        <v/>
      </c>
      <c r="O989" s="19">
        <f>IF(N989="已下單",M989*資金模擬!$B$7,0)</f>
        <v/>
      </c>
      <c r="P989" s="4" t="n"/>
      <c r="Q989" s="13" t="n">
        <v>0</v>
      </c>
      <c r="R989" s="13">
        <f>R988+Q989</f>
        <v/>
      </c>
      <c r="S989" s="19">
        <f>S988+IF(N989="已下單",M989,0)</f>
        <v/>
      </c>
      <c r="T989" s="19">
        <f>R989-S989</f>
        <v/>
      </c>
      <c r="U989" s="2">
        <f>U988+IF(N989="已下單",1,0)</f>
        <v/>
      </c>
      <c r="V989" s="19">
        <f>IF(資金模擬!$B$9=2,MAX(R989,0),MAX(V988,FLOOR(MAX(R989,0),資金模擬!$B$6)))</f>
        <v/>
      </c>
      <c r="W989" s="13">
        <f>MAX(W988,R989)</f>
        <v/>
      </c>
      <c r="X989" s="4">
        <f>IF(W989&gt;0,R989/W989-1,-1)</f>
        <v/>
      </c>
      <c r="Y989" s="19">
        <f>IF(R989&gt;0,S989*資金模擬!$B$7/R989,0)</f>
        <v/>
      </c>
      <c r="Z989" s="2">
        <f>IF(OR(Z988=1,R989&lt;=資金模擬!$B$10),1,0)</f>
        <v/>
      </c>
    </row>
    <row r="990">
      <c r="A990" s="2" t="n">
        <v>988</v>
      </c>
      <c r="B990" s="7" t="n">
        <v>46291.70833333334</v>
      </c>
      <c r="C990" s="2" t="inlineStr">
        <is>
          <t>出場</t>
        </is>
      </c>
      <c r="D990" s="2" t="n">
        <v>486</v>
      </c>
      <c r="E990" s="2" t="inlineStr">
        <is>
          <t>XPL_USDT_PERP</t>
        </is>
      </c>
      <c r="F990" s="2" t="inlineStr">
        <is>
          <t>做多</t>
        </is>
      </c>
      <c r="G990" s="20" t="n">
        <v>0.1141</v>
      </c>
      <c r="H990" s="20" t="n">
        <v>0.117523</v>
      </c>
      <c r="I990" s="20" t="n">
        <v>0.108395</v>
      </c>
      <c r="J990" s="20" t="n">
        <v>0.117523</v>
      </c>
      <c r="K990" s="2" t="inlineStr">
        <is>
          <t>止盈</t>
        </is>
      </c>
      <c r="L990" s="5">
        <f>交易明細!K487</f>
        <v/>
      </c>
      <c r="M990" s="19">
        <f>M968</f>
        <v/>
      </c>
      <c r="N990" s="2">
        <f>N968</f>
        <v/>
      </c>
      <c r="O990" s="19">
        <f>O968</f>
        <v/>
      </c>
      <c r="P990" s="4">
        <f>交易明細!L487</f>
        <v/>
      </c>
      <c r="Q990" s="13">
        <f>IF(N990="已下單",O990*P990,0)</f>
        <v/>
      </c>
      <c r="R990" s="13">
        <f>R989+Q990</f>
        <v/>
      </c>
      <c r="S990" s="19">
        <f>S989-IF(N990="已下單",M990,0)</f>
        <v/>
      </c>
      <c r="T990" s="19">
        <f>R990-S990</f>
        <v/>
      </c>
      <c r="U990" s="2">
        <f>U989-IF(N990="已下單",1,0)</f>
        <v/>
      </c>
      <c r="V990" s="19">
        <f>IF(資金模擬!$B$9=2,MAX(R990,0),MAX(V989,FLOOR(MAX(R990,0),資金模擬!$B$6)))</f>
        <v/>
      </c>
      <c r="W990" s="13">
        <f>MAX(W989,R990)</f>
        <v/>
      </c>
      <c r="X990" s="4">
        <f>IF(W990&gt;0,R990/W990-1,-1)</f>
        <v/>
      </c>
      <c r="Y990" s="19">
        <f>IF(R990&gt;0,S990*資金模擬!$B$7/R990,0)</f>
        <v/>
      </c>
      <c r="Z990" s="2">
        <f>IF(OR(Z989=1,R990&lt;=資金模擬!$B$10),1,0)</f>
        <v/>
      </c>
    </row>
    <row r="991">
      <c r="A991" s="2" t="n">
        <v>989</v>
      </c>
      <c r="B991" s="7" t="n">
        <v>46291.70833333334</v>
      </c>
      <c r="C991" s="2" t="inlineStr">
        <is>
          <t>出場</t>
        </is>
      </c>
      <c r="D991" s="2" t="n">
        <v>496</v>
      </c>
      <c r="E991" s="2" t="inlineStr">
        <is>
          <t>AKE_USDT_PERP</t>
        </is>
      </c>
      <c r="F991" s="2" t="inlineStr">
        <is>
          <t>做多</t>
        </is>
      </c>
      <c r="G991" s="20" t="n">
        <v>0.0360925</v>
      </c>
      <c r="H991" s="20" t="n">
        <v>0.037175275</v>
      </c>
      <c r="I991" s="20" t="n">
        <v>0.034287875</v>
      </c>
      <c r="J991" s="20" t="n">
        <v>0.034287875</v>
      </c>
      <c r="K991" s="2" t="inlineStr">
        <is>
          <t>止損</t>
        </is>
      </c>
      <c r="L991" s="5">
        <f>交易明細!K497</f>
        <v/>
      </c>
      <c r="M991" s="19">
        <f>M987</f>
        <v/>
      </c>
      <c r="N991" s="2">
        <f>N987</f>
        <v/>
      </c>
      <c r="O991" s="19">
        <f>O987</f>
        <v/>
      </c>
      <c r="P991" s="4">
        <f>交易明細!L497</f>
        <v/>
      </c>
      <c r="Q991" s="13">
        <f>IF(N991="已下單",O991*P991,0)</f>
        <v/>
      </c>
      <c r="R991" s="13">
        <f>R990+Q991</f>
        <v/>
      </c>
      <c r="S991" s="19">
        <f>S990-IF(N991="已下單",M991,0)</f>
        <v/>
      </c>
      <c r="T991" s="19">
        <f>R991-S991</f>
        <v/>
      </c>
      <c r="U991" s="2">
        <f>U990-IF(N991="已下單",1,0)</f>
        <v/>
      </c>
      <c r="V991" s="19">
        <f>IF(資金模擬!$B$9=2,MAX(R991,0),MAX(V990,FLOOR(MAX(R991,0),資金模擬!$B$6)))</f>
        <v/>
      </c>
      <c r="W991" s="13">
        <f>MAX(W990,R991)</f>
        <v/>
      </c>
      <c r="X991" s="4">
        <f>IF(W991&gt;0,R991/W991-1,-1)</f>
        <v/>
      </c>
      <c r="Y991" s="19">
        <f>IF(R991&gt;0,S991*資金模擬!$B$7/R991,0)</f>
        <v/>
      </c>
      <c r="Z991" s="2">
        <f>IF(OR(Z990=1,R991&lt;=資金模擬!$B$10),1,0)</f>
        <v/>
      </c>
    </row>
    <row r="992">
      <c r="A992" s="2" t="n">
        <v>990</v>
      </c>
      <c r="B992" s="7" t="n">
        <v>46291.70833333334</v>
      </c>
      <c r="C992" s="2" t="inlineStr">
        <is>
          <t>出場</t>
        </is>
      </c>
      <c r="D992" s="2" t="n">
        <v>498</v>
      </c>
      <c r="E992" s="2" t="inlineStr">
        <is>
          <t>SAGA_USDT_PERP</t>
        </is>
      </c>
      <c r="F992" s="2" t="inlineStr">
        <is>
          <t>做空</t>
        </is>
      </c>
      <c r="G992" s="20" t="n">
        <v>0.03453</v>
      </c>
      <c r="H992" s="20" t="n">
        <v>0.0334941</v>
      </c>
      <c r="I992" s="20" t="n">
        <v>0.0362565</v>
      </c>
      <c r="J992" s="20" t="n">
        <v>0.0334941</v>
      </c>
      <c r="K992" s="2" t="inlineStr">
        <is>
          <t>止盈</t>
        </is>
      </c>
      <c r="L992" s="5">
        <f>交易明細!K499</f>
        <v/>
      </c>
      <c r="M992" s="19">
        <f>M989</f>
        <v/>
      </c>
      <c r="N992" s="2">
        <f>N989</f>
        <v/>
      </c>
      <c r="O992" s="19">
        <f>O989</f>
        <v/>
      </c>
      <c r="P992" s="4">
        <f>交易明細!L499</f>
        <v/>
      </c>
      <c r="Q992" s="13">
        <f>IF(N992="已下單",O992*P992,0)</f>
        <v/>
      </c>
      <c r="R992" s="13">
        <f>R991+Q992</f>
        <v/>
      </c>
      <c r="S992" s="19">
        <f>S991-IF(N992="已下單",M992,0)</f>
        <v/>
      </c>
      <c r="T992" s="19">
        <f>R992-S992</f>
        <v/>
      </c>
      <c r="U992" s="2">
        <f>U991-IF(N992="已下單",1,0)</f>
        <v/>
      </c>
      <c r="V992" s="19">
        <f>IF(資金模擬!$B$9=2,MAX(R992,0),MAX(V991,FLOOR(MAX(R992,0),資金模擬!$B$6)))</f>
        <v/>
      </c>
      <c r="W992" s="13">
        <f>MAX(W991,R992)</f>
        <v/>
      </c>
      <c r="X992" s="4">
        <f>IF(W992&gt;0,R992/W992-1,-1)</f>
        <v/>
      </c>
      <c r="Y992" s="19">
        <f>IF(R992&gt;0,S992*資金模擬!$B$7/R992,0)</f>
        <v/>
      </c>
      <c r="Z992" s="2">
        <f>IF(OR(Z991=1,R992&lt;=資金模擬!$B$10),1,0)</f>
        <v/>
      </c>
    </row>
    <row r="993">
      <c r="A993" s="2" t="n">
        <v>991</v>
      </c>
      <c r="B993" s="7" t="n">
        <v>46291.70833333334</v>
      </c>
      <c r="C993" s="2" t="inlineStr">
        <is>
          <t>進場</t>
        </is>
      </c>
      <c r="D993" s="2" t="n">
        <v>499</v>
      </c>
      <c r="E993" s="2" t="inlineStr">
        <is>
          <t>AERO_USDT_PERP</t>
        </is>
      </c>
      <c r="F993" s="2" t="inlineStr">
        <is>
          <t>做多</t>
        </is>
      </c>
      <c r="G993" s="20" t="n">
        <v>0.9006999999999999</v>
      </c>
      <c r="H993" s="20" t="n">
        <v>0.927721</v>
      </c>
      <c r="I993" s="20" t="n">
        <v>0.8556649999999999</v>
      </c>
      <c r="J993" s="20" t="n"/>
      <c r="K993" s="2" t="n"/>
      <c r="L993" s="5" t="n"/>
      <c r="M993" s="19">
        <f>資金模擬!$B$5*V992</f>
        <v/>
      </c>
      <c r="N993" s="2">
        <f>IF(Z992=1,"已停止",IF(T992&gt;=M993,"已下單","資金不足略過"))</f>
        <v/>
      </c>
      <c r="O993" s="19">
        <f>IF(N993="已下單",M993*資金模擬!$B$7,0)</f>
        <v/>
      </c>
      <c r="P993" s="4" t="n"/>
      <c r="Q993" s="13" t="n">
        <v>0</v>
      </c>
      <c r="R993" s="13">
        <f>R992+Q993</f>
        <v/>
      </c>
      <c r="S993" s="19">
        <f>S992+IF(N993="已下單",M993,0)</f>
        <v/>
      </c>
      <c r="T993" s="19">
        <f>R993-S993</f>
        <v/>
      </c>
      <c r="U993" s="2">
        <f>U992+IF(N993="已下單",1,0)</f>
        <v/>
      </c>
      <c r="V993" s="19">
        <f>IF(資金模擬!$B$9=2,MAX(R993,0),MAX(V992,FLOOR(MAX(R993,0),資金模擬!$B$6)))</f>
        <v/>
      </c>
      <c r="W993" s="13">
        <f>MAX(W992,R993)</f>
        <v/>
      </c>
      <c r="X993" s="4">
        <f>IF(W993&gt;0,R993/W993-1,-1)</f>
        <v/>
      </c>
      <c r="Y993" s="19">
        <f>IF(R993&gt;0,S993*資金模擬!$B$7/R993,0)</f>
        <v/>
      </c>
      <c r="Z993" s="2">
        <f>IF(OR(Z992=1,R993&lt;=資金模擬!$B$10),1,0)</f>
        <v/>
      </c>
    </row>
    <row r="994">
      <c r="A994" s="2" t="n">
        <v>992</v>
      </c>
      <c r="B994" s="7" t="n">
        <v>46291.70833333334</v>
      </c>
      <c r="C994" s="2" t="inlineStr">
        <is>
          <t>進場</t>
        </is>
      </c>
      <c r="D994" s="2" t="n">
        <v>500</v>
      </c>
      <c r="E994" s="2" t="inlineStr">
        <is>
          <t>USELESS_USDT_PERP</t>
        </is>
      </c>
      <c r="F994" s="2" t="inlineStr">
        <is>
          <t>做空</t>
        </is>
      </c>
      <c r="G994" s="20" t="n">
        <v>0.28291</v>
      </c>
      <c r="H994" s="20" t="n">
        <v>0.2744227</v>
      </c>
      <c r="I994" s="20" t="n">
        <v>0.2970555</v>
      </c>
      <c r="J994" s="20" t="n"/>
      <c r="K994" s="2" t="n"/>
      <c r="L994" s="5" t="n"/>
      <c r="M994" s="19">
        <f>資金模擬!$B$5*V993</f>
        <v/>
      </c>
      <c r="N994" s="2">
        <f>IF(Z993=1,"已停止",IF(T993&gt;=M994,"已下單","資金不足略過"))</f>
        <v/>
      </c>
      <c r="O994" s="19">
        <f>IF(N994="已下單",M994*資金模擬!$B$7,0)</f>
        <v/>
      </c>
      <c r="P994" s="4" t="n"/>
      <c r="Q994" s="13" t="n">
        <v>0</v>
      </c>
      <c r="R994" s="13">
        <f>R993+Q994</f>
        <v/>
      </c>
      <c r="S994" s="19">
        <f>S993+IF(N994="已下單",M994,0)</f>
        <v/>
      </c>
      <c r="T994" s="19">
        <f>R994-S994</f>
        <v/>
      </c>
      <c r="U994" s="2">
        <f>U993+IF(N994="已下單",1,0)</f>
        <v/>
      </c>
      <c r="V994" s="19">
        <f>IF(資金模擬!$B$9=2,MAX(R994,0),MAX(V993,FLOOR(MAX(R994,0),資金模擬!$B$6)))</f>
        <v/>
      </c>
      <c r="W994" s="13">
        <f>MAX(W993,R994)</f>
        <v/>
      </c>
      <c r="X994" s="4">
        <f>IF(W994&gt;0,R994/W994-1,-1)</f>
        <v/>
      </c>
      <c r="Y994" s="19">
        <f>IF(R994&gt;0,S994*資金模擬!$B$7/R994,0)</f>
        <v/>
      </c>
      <c r="Z994" s="2">
        <f>IF(OR(Z993=1,R994&lt;=資金模擬!$B$10),1,0)</f>
        <v/>
      </c>
    </row>
    <row r="995">
      <c r="A995" s="2" t="n">
        <v>993</v>
      </c>
      <c r="B995" s="7" t="n">
        <v>46291.75</v>
      </c>
      <c r="C995" s="2" t="inlineStr">
        <is>
          <t>出場</t>
        </is>
      </c>
      <c r="D995" s="2" t="n">
        <v>488</v>
      </c>
      <c r="E995" s="2" t="inlineStr">
        <is>
          <t>ARB_USDT_PERP</t>
        </is>
      </c>
      <c r="F995" s="2" t="inlineStr">
        <is>
          <t>做多</t>
        </is>
      </c>
      <c r="G995" s="20" t="n">
        <v>0.2287</v>
      </c>
      <c r="H995" s="20" t="n">
        <v>0.235561</v>
      </c>
      <c r="I995" s="20" t="n">
        <v>0.217265</v>
      </c>
      <c r="J995" s="20" t="n">
        <v>0.217265</v>
      </c>
      <c r="K995" s="2" t="inlineStr">
        <is>
          <t>止損</t>
        </is>
      </c>
      <c r="L995" s="5">
        <f>交易明細!K489</f>
        <v/>
      </c>
      <c r="M995" s="19">
        <f>M971</f>
        <v/>
      </c>
      <c r="N995" s="2">
        <f>N971</f>
        <v/>
      </c>
      <c r="O995" s="19">
        <f>O971</f>
        <v/>
      </c>
      <c r="P995" s="4">
        <f>交易明細!L489</f>
        <v/>
      </c>
      <c r="Q995" s="13">
        <f>IF(N995="已下單",O995*P995,0)</f>
        <v/>
      </c>
      <c r="R995" s="13">
        <f>R994+Q995</f>
        <v/>
      </c>
      <c r="S995" s="19">
        <f>S994-IF(N995="已下單",M995,0)</f>
        <v/>
      </c>
      <c r="T995" s="19">
        <f>R995-S995</f>
        <v/>
      </c>
      <c r="U995" s="2">
        <f>U994-IF(N995="已下單",1,0)</f>
        <v/>
      </c>
      <c r="V995" s="19">
        <f>IF(資金模擬!$B$9=2,MAX(R995,0),MAX(V994,FLOOR(MAX(R995,0),資金模擬!$B$6)))</f>
        <v/>
      </c>
      <c r="W995" s="13">
        <f>MAX(W994,R995)</f>
        <v/>
      </c>
      <c r="X995" s="4">
        <f>IF(W995&gt;0,R995/W995-1,-1)</f>
        <v/>
      </c>
      <c r="Y995" s="19">
        <f>IF(R995&gt;0,S995*資金模擬!$B$7/R995,0)</f>
        <v/>
      </c>
      <c r="Z995" s="2">
        <f>IF(OR(Z994=1,R995&lt;=資金模擬!$B$10),1,0)</f>
        <v/>
      </c>
    </row>
    <row r="996">
      <c r="A996" s="2" t="n">
        <v>994</v>
      </c>
      <c r="B996" s="7" t="n">
        <v>46291.75</v>
      </c>
      <c r="C996" s="2" t="inlineStr">
        <is>
          <t>出場</t>
        </is>
      </c>
      <c r="D996" s="2" t="n">
        <v>495</v>
      </c>
      <c r="E996" s="2" t="inlineStr">
        <is>
          <t>MUBARAK_USDT_PERP</t>
        </is>
      </c>
      <c r="F996" s="2" t="inlineStr">
        <is>
          <t>做空</t>
        </is>
      </c>
      <c r="G996" s="20" t="n">
        <v>0.05304</v>
      </c>
      <c r="H996" s="20" t="n">
        <v>0.0514488</v>
      </c>
      <c r="I996" s="20" t="n">
        <v>0.055692</v>
      </c>
      <c r="J996" s="20" t="n">
        <v>0.055692</v>
      </c>
      <c r="K996" s="2" t="inlineStr">
        <is>
          <t>止損</t>
        </is>
      </c>
      <c r="L996" s="5">
        <f>交易明細!K496</f>
        <v/>
      </c>
      <c r="M996" s="19">
        <f>M986</f>
        <v/>
      </c>
      <c r="N996" s="2">
        <f>N986</f>
        <v/>
      </c>
      <c r="O996" s="19">
        <f>O986</f>
        <v/>
      </c>
      <c r="P996" s="4">
        <f>交易明細!L496</f>
        <v/>
      </c>
      <c r="Q996" s="13">
        <f>IF(N996="已下單",O996*P996,0)</f>
        <v/>
      </c>
      <c r="R996" s="13">
        <f>R995+Q996</f>
        <v/>
      </c>
      <c r="S996" s="19">
        <f>S995-IF(N996="已下單",M996,0)</f>
        <v/>
      </c>
      <c r="T996" s="19">
        <f>R996-S996</f>
        <v/>
      </c>
      <c r="U996" s="2">
        <f>U995-IF(N996="已下單",1,0)</f>
        <v/>
      </c>
      <c r="V996" s="19">
        <f>IF(資金模擬!$B$9=2,MAX(R996,0),MAX(V995,FLOOR(MAX(R996,0),資金模擬!$B$6)))</f>
        <v/>
      </c>
      <c r="W996" s="13">
        <f>MAX(W995,R996)</f>
        <v/>
      </c>
      <c r="X996" s="4">
        <f>IF(W996&gt;0,R996/W996-1,-1)</f>
        <v/>
      </c>
      <c r="Y996" s="19">
        <f>IF(R996&gt;0,S996*資金模擬!$B$7/R996,0)</f>
        <v/>
      </c>
      <c r="Z996" s="2">
        <f>IF(OR(Z995=1,R996&lt;=資金模擬!$B$10),1,0)</f>
        <v/>
      </c>
    </row>
    <row r="997">
      <c r="A997" s="2" t="n">
        <v>995</v>
      </c>
      <c r="B997" s="7" t="n">
        <v>46291.75</v>
      </c>
      <c r="C997" s="2" t="inlineStr">
        <is>
          <t>出場</t>
        </is>
      </c>
      <c r="D997" s="2" t="n">
        <v>497</v>
      </c>
      <c r="E997" s="2" t="inlineStr">
        <is>
          <t>ENA_USDT_PERP</t>
        </is>
      </c>
      <c r="F997" s="2" t="inlineStr">
        <is>
          <t>做多</t>
        </is>
      </c>
      <c r="G997" s="20" t="n">
        <v>0.2716</v>
      </c>
      <c r="H997" s="20" t="n">
        <v>0.279748</v>
      </c>
      <c r="I997" s="20" t="n">
        <v>0.25802</v>
      </c>
      <c r="J997" s="20" t="n">
        <v>0.279748</v>
      </c>
      <c r="K997" s="2" t="inlineStr">
        <is>
          <t>止盈</t>
        </is>
      </c>
      <c r="L997" s="5">
        <f>交易明細!K498</f>
        <v/>
      </c>
      <c r="M997" s="19">
        <f>M988</f>
        <v/>
      </c>
      <c r="N997" s="2">
        <f>N988</f>
        <v/>
      </c>
      <c r="O997" s="19">
        <f>O988</f>
        <v/>
      </c>
      <c r="P997" s="4">
        <f>交易明細!L498</f>
        <v/>
      </c>
      <c r="Q997" s="13">
        <f>IF(N997="已下單",O997*P997,0)</f>
        <v/>
      </c>
      <c r="R997" s="13">
        <f>R996+Q997</f>
        <v/>
      </c>
      <c r="S997" s="19">
        <f>S996-IF(N997="已下單",M997,0)</f>
        <v/>
      </c>
      <c r="T997" s="19">
        <f>R997-S997</f>
        <v/>
      </c>
      <c r="U997" s="2">
        <f>U996-IF(N997="已下單",1,0)</f>
        <v/>
      </c>
      <c r="V997" s="19">
        <f>IF(資金模擬!$B$9=2,MAX(R997,0),MAX(V996,FLOOR(MAX(R997,0),資金模擬!$B$6)))</f>
        <v/>
      </c>
      <c r="W997" s="13">
        <f>MAX(W996,R997)</f>
        <v/>
      </c>
      <c r="X997" s="4">
        <f>IF(W997&gt;0,R997/W997-1,-1)</f>
        <v/>
      </c>
      <c r="Y997" s="19">
        <f>IF(R997&gt;0,S997*資金模擬!$B$7/R997,0)</f>
        <v/>
      </c>
      <c r="Z997" s="2">
        <f>IF(OR(Z996=1,R997&lt;=資金模擬!$B$10),1,0)</f>
        <v/>
      </c>
    </row>
    <row r="998">
      <c r="A998" s="2" t="n">
        <v>996</v>
      </c>
      <c r="B998" s="7" t="n">
        <v>46291.75</v>
      </c>
      <c r="C998" s="2" t="inlineStr">
        <is>
          <t>出場</t>
        </is>
      </c>
      <c r="D998" s="2" t="n">
        <v>500</v>
      </c>
      <c r="E998" s="2" t="inlineStr">
        <is>
          <t>USELESS_USDT_PERP</t>
        </is>
      </c>
      <c r="F998" s="2" t="inlineStr">
        <is>
          <t>做空</t>
        </is>
      </c>
      <c r="G998" s="20" t="n">
        <v>0.28291</v>
      </c>
      <c r="H998" s="20" t="n">
        <v>0.2744227</v>
      </c>
      <c r="I998" s="20" t="n">
        <v>0.2970555</v>
      </c>
      <c r="J998" s="20" t="n">
        <v>0.2744227</v>
      </c>
      <c r="K998" s="2" t="inlineStr">
        <is>
          <t>止盈</t>
        </is>
      </c>
      <c r="L998" s="5">
        <f>交易明細!K501</f>
        <v/>
      </c>
      <c r="M998" s="19">
        <f>M994</f>
        <v/>
      </c>
      <c r="N998" s="2">
        <f>N994</f>
        <v/>
      </c>
      <c r="O998" s="19">
        <f>O994</f>
        <v/>
      </c>
      <c r="P998" s="4">
        <f>交易明細!L501</f>
        <v/>
      </c>
      <c r="Q998" s="13">
        <f>IF(N998="已下單",O998*P998,0)</f>
        <v/>
      </c>
      <c r="R998" s="13">
        <f>R997+Q998</f>
        <v/>
      </c>
      <c r="S998" s="19">
        <f>S997-IF(N998="已下單",M998,0)</f>
        <v/>
      </c>
      <c r="T998" s="19">
        <f>R998-S998</f>
        <v/>
      </c>
      <c r="U998" s="2">
        <f>U997-IF(N998="已下單",1,0)</f>
        <v/>
      </c>
      <c r="V998" s="19">
        <f>IF(資金模擬!$B$9=2,MAX(R998,0),MAX(V997,FLOOR(MAX(R998,0),資金模擬!$B$6)))</f>
        <v/>
      </c>
      <c r="W998" s="13">
        <f>MAX(W997,R998)</f>
        <v/>
      </c>
      <c r="X998" s="4">
        <f>IF(W998&gt;0,R998/W998-1,-1)</f>
        <v/>
      </c>
      <c r="Y998" s="19">
        <f>IF(R998&gt;0,S998*資金模擬!$B$7/R998,0)</f>
        <v/>
      </c>
      <c r="Z998" s="2">
        <f>IF(OR(Z997=1,R998&lt;=資金模擬!$B$10),1,0)</f>
        <v/>
      </c>
    </row>
    <row r="999">
      <c r="A999" s="2" t="n">
        <v>997</v>
      </c>
      <c r="B999" s="7" t="n">
        <v>46291.79166666666</v>
      </c>
      <c r="C999" s="2" t="inlineStr">
        <is>
          <t>出場</t>
        </is>
      </c>
      <c r="D999" s="2" t="n">
        <v>482</v>
      </c>
      <c r="E999" s="2" t="inlineStr">
        <is>
          <t>ONDO_USDT_PERP</t>
        </is>
      </c>
      <c r="F999" s="2" t="inlineStr">
        <is>
          <t>做空</t>
        </is>
      </c>
      <c r="G999" s="20" t="n">
        <v>0.5331</v>
      </c>
      <c r="H999" s="20" t="n">
        <v>0.517107</v>
      </c>
      <c r="I999" s="20" t="n">
        <v>0.559755</v>
      </c>
      <c r="J999" s="20" t="n">
        <v>0.559755</v>
      </c>
      <c r="K999" s="2" t="inlineStr">
        <is>
          <t>止損</t>
        </is>
      </c>
      <c r="L999" s="5">
        <f>交易明細!K483</f>
        <v/>
      </c>
      <c r="M999" s="19">
        <f>M963</f>
        <v/>
      </c>
      <c r="N999" s="2">
        <f>N963</f>
        <v/>
      </c>
      <c r="O999" s="19">
        <f>O963</f>
        <v/>
      </c>
      <c r="P999" s="4">
        <f>交易明細!L483</f>
        <v/>
      </c>
      <c r="Q999" s="13">
        <f>IF(N999="已下單",O999*P999,0)</f>
        <v/>
      </c>
      <c r="R999" s="13">
        <f>R998+Q999</f>
        <v/>
      </c>
      <c r="S999" s="19">
        <f>S998-IF(N999="已下單",M999,0)</f>
        <v/>
      </c>
      <c r="T999" s="19">
        <f>R999-S999</f>
        <v/>
      </c>
      <c r="U999" s="2">
        <f>U998-IF(N999="已下單",1,0)</f>
        <v/>
      </c>
      <c r="V999" s="19">
        <f>IF(資金模擬!$B$9=2,MAX(R999,0),MAX(V998,FLOOR(MAX(R999,0),資金模擬!$B$6)))</f>
        <v/>
      </c>
      <c r="W999" s="13">
        <f>MAX(W998,R999)</f>
        <v/>
      </c>
      <c r="X999" s="4">
        <f>IF(W999&gt;0,R999/W999-1,-1)</f>
        <v/>
      </c>
      <c r="Y999" s="19">
        <f>IF(R999&gt;0,S999*資金模擬!$B$7/R999,0)</f>
        <v/>
      </c>
      <c r="Z999" s="2">
        <f>IF(OR(Z998=1,R999&lt;=資金模擬!$B$10),1,0)</f>
        <v/>
      </c>
    </row>
    <row r="1000">
      <c r="A1000" s="2" t="n">
        <v>998</v>
      </c>
      <c r="B1000" s="7" t="n">
        <v>46291.83333333334</v>
      </c>
      <c r="C1000" s="2" t="inlineStr">
        <is>
          <t>出場</t>
        </is>
      </c>
      <c r="D1000" s="2" t="n">
        <v>499</v>
      </c>
      <c r="E1000" s="2" t="inlineStr">
        <is>
          <t>AERO_USDT_PERP</t>
        </is>
      </c>
      <c r="F1000" s="2" t="inlineStr">
        <is>
          <t>做多</t>
        </is>
      </c>
      <c r="G1000" s="20" t="n">
        <v>0.9006999999999999</v>
      </c>
      <c r="H1000" s="20" t="n">
        <v>0.927721</v>
      </c>
      <c r="I1000" s="20" t="n">
        <v>0.8556649999999999</v>
      </c>
      <c r="J1000" s="20" t="n">
        <v>0.927721</v>
      </c>
      <c r="K1000" s="2" t="inlineStr">
        <is>
          <t>止盈</t>
        </is>
      </c>
      <c r="L1000" s="5">
        <f>交易明細!K500</f>
        <v/>
      </c>
      <c r="M1000" s="19">
        <f>M993</f>
        <v/>
      </c>
      <c r="N1000" s="2">
        <f>N993</f>
        <v/>
      </c>
      <c r="O1000" s="19">
        <f>O993</f>
        <v/>
      </c>
      <c r="P1000" s="4">
        <f>交易明細!L500</f>
        <v/>
      </c>
      <c r="Q1000" s="13">
        <f>IF(N1000="已下單",O1000*P1000,0)</f>
        <v/>
      </c>
      <c r="R1000" s="13">
        <f>R999+Q1000</f>
        <v/>
      </c>
      <c r="S1000" s="19">
        <f>S999-IF(N1000="已下單",M1000,0)</f>
        <v/>
      </c>
      <c r="T1000" s="19">
        <f>R1000-S1000</f>
        <v/>
      </c>
      <c r="U1000" s="2">
        <f>U999-IF(N1000="已下單",1,0)</f>
        <v/>
      </c>
      <c r="V1000" s="19">
        <f>IF(資金模擬!$B$9=2,MAX(R1000,0),MAX(V999,FLOOR(MAX(R1000,0),資金模擬!$B$6)))</f>
        <v/>
      </c>
      <c r="W1000" s="13">
        <f>MAX(W999,R1000)</f>
        <v/>
      </c>
      <c r="X1000" s="4">
        <f>IF(W1000&gt;0,R1000/W1000-1,-1)</f>
        <v/>
      </c>
      <c r="Y1000" s="19">
        <f>IF(R1000&gt;0,S1000*資金模擬!$B$7/R1000,0)</f>
        <v/>
      </c>
      <c r="Z1000" s="2">
        <f>IF(OR(Z999=1,R1000&lt;=資金模擬!$B$10),1,0)</f>
        <v/>
      </c>
    </row>
    <row r="1001">
      <c r="A1001" s="2" t="n">
        <v>999</v>
      </c>
      <c r="B1001" s="7" t="n">
        <v>46291.95833333334</v>
      </c>
      <c r="C1001" s="2" t="inlineStr">
        <is>
          <t>進場</t>
        </is>
      </c>
      <c r="D1001" s="2" t="n">
        <v>501</v>
      </c>
      <c r="E1001" s="2" t="inlineStr">
        <is>
          <t>USELESS_USDT_PERP</t>
        </is>
      </c>
      <c r="F1001" s="2" t="inlineStr">
        <is>
          <t>做多</t>
        </is>
      </c>
      <c r="G1001" s="20" t="n">
        <v>0.29344</v>
      </c>
      <c r="H1001" s="20" t="n">
        <v>0.3022432</v>
      </c>
      <c r="I1001" s="20" t="n">
        <v>0.278768</v>
      </c>
      <c r="J1001" s="20" t="n"/>
      <c r="K1001" s="2" t="n"/>
      <c r="L1001" s="5" t="n"/>
      <c r="M1001" s="19">
        <f>資金模擬!$B$5*V1000</f>
        <v/>
      </c>
      <c r="N1001" s="2">
        <f>IF(Z1000=1,"已停止",IF(T1000&gt;=M1001,"已下單","資金不足略過"))</f>
        <v/>
      </c>
      <c r="O1001" s="19">
        <f>IF(N1001="已下單",M1001*資金模擬!$B$7,0)</f>
        <v/>
      </c>
      <c r="P1001" s="4" t="n"/>
      <c r="Q1001" s="13" t="n">
        <v>0</v>
      </c>
      <c r="R1001" s="13">
        <f>R1000+Q1001</f>
        <v/>
      </c>
      <c r="S1001" s="19">
        <f>S1000+IF(N1001="已下單",M1001,0)</f>
        <v/>
      </c>
      <c r="T1001" s="19">
        <f>R1001-S1001</f>
        <v/>
      </c>
      <c r="U1001" s="2">
        <f>U1000+IF(N1001="已下單",1,0)</f>
        <v/>
      </c>
      <c r="V1001" s="19">
        <f>IF(資金模擬!$B$9=2,MAX(R1001,0),MAX(V1000,FLOOR(MAX(R1001,0),資金模擬!$B$6)))</f>
        <v/>
      </c>
      <c r="W1001" s="13">
        <f>MAX(W1000,R1001)</f>
        <v/>
      </c>
      <c r="X1001" s="4">
        <f>IF(W1001&gt;0,R1001/W1001-1,-1)</f>
        <v/>
      </c>
      <c r="Y1001" s="19">
        <f>IF(R1001&gt;0,S1001*資金模擬!$B$7/R1001,0)</f>
        <v/>
      </c>
      <c r="Z1001" s="2">
        <f>IF(OR(Z1000=1,R1001&lt;=資金模擬!$B$10),1,0)</f>
        <v/>
      </c>
    </row>
    <row r="1002">
      <c r="A1002" s="2" t="n">
        <v>1000</v>
      </c>
      <c r="B1002" s="7" t="n">
        <v>46291.95833333334</v>
      </c>
      <c r="C1002" s="2" t="inlineStr">
        <is>
          <t>進場</t>
        </is>
      </c>
      <c r="D1002" s="2" t="n">
        <v>502</v>
      </c>
      <c r="E1002" s="2" t="inlineStr">
        <is>
          <t>WLD_USDT_PERP</t>
        </is>
      </c>
      <c r="F1002" s="2" t="inlineStr">
        <is>
          <t>做多</t>
        </is>
      </c>
      <c r="G1002" s="20" t="n">
        <v>0.5108</v>
      </c>
      <c r="H1002" s="20" t="n">
        <v>0.526124</v>
      </c>
      <c r="I1002" s="20" t="n">
        <v>0.48526</v>
      </c>
      <c r="J1002" s="20" t="n"/>
      <c r="K1002" s="2" t="n"/>
      <c r="L1002" s="5" t="n"/>
      <c r="M1002" s="19">
        <f>資金模擬!$B$5*V1001</f>
        <v/>
      </c>
      <c r="N1002" s="2">
        <f>IF(Z1001=1,"已停止",IF(T1001&gt;=M1002,"已下單","資金不足略過"))</f>
        <v/>
      </c>
      <c r="O1002" s="19">
        <f>IF(N1002="已下單",M1002*資金模擬!$B$7,0)</f>
        <v/>
      </c>
      <c r="P1002" s="4" t="n"/>
      <c r="Q1002" s="13" t="n">
        <v>0</v>
      </c>
      <c r="R1002" s="13">
        <f>R1001+Q1002</f>
        <v/>
      </c>
      <c r="S1002" s="19">
        <f>S1001+IF(N1002="已下單",M1002,0)</f>
        <v/>
      </c>
      <c r="T1002" s="19">
        <f>R1002-S1002</f>
        <v/>
      </c>
      <c r="U1002" s="2">
        <f>U1001+IF(N1002="已下單",1,0)</f>
        <v/>
      </c>
      <c r="V1002" s="19">
        <f>IF(資金模擬!$B$9=2,MAX(R1002,0),MAX(V1001,FLOOR(MAX(R1002,0),資金模擬!$B$6)))</f>
        <v/>
      </c>
      <c r="W1002" s="13">
        <f>MAX(W1001,R1002)</f>
        <v/>
      </c>
      <c r="X1002" s="4">
        <f>IF(W1002&gt;0,R1002/W1002-1,-1)</f>
        <v/>
      </c>
      <c r="Y1002" s="19">
        <f>IF(R1002&gt;0,S1002*資金模擬!$B$7/R1002,0)</f>
        <v/>
      </c>
      <c r="Z1002" s="2">
        <f>IF(OR(Z1001=1,R1002&lt;=資金模擬!$B$10),1,0)</f>
        <v/>
      </c>
    </row>
    <row r="1003">
      <c r="A1003" s="2" t="n">
        <v>1001</v>
      </c>
      <c r="B1003" s="7" t="n">
        <v>46292</v>
      </c>
      <c r="C1003" s="2" t="inlineStr">
        <is>
          <t>出場</t>
        </is>
      </c>
      <c r="D1003" s="2" t="n">
        <v>493</v>
      </c>
      <c r="E1003" s="2" t="inlineStr">
        <is>
          <t>FET_USDT_PERP</t>
        </is>
      </c>
      <c r="F1003" s="2" t="inlineStr">
        <is>
          <t>做多</t>
        </is>
      </c>
      <c r="G1003" s="20" t="n">
        <v>0.2468</v>
      </c>
      <c r="H1003" s="20" t="n">
        <v>0.254204</v>
      </c>
      <c r="I1003" s="20" t="n">
        <v>0.23446</v>
      </c>
      <c r="J1003" s="20" t="n">
        <v>0.254204</v>
      </c>
      <c r="K1003" s="2" t="inlineStr">
        <is>
          <t>止盈</t>
        </is>
      </c>
      <c r="L1003" s="5">
        <f>交易明細!K494</f>
        <v/>
      </c>
      <c r="M1003" s="19">
        <f>M983</f>
        <v/>
      </c>
      <c r="N1003" s="2">
        <f>N983</f>
        <v/>
      </c>
      <c r="O1003" s="19">
        <f>O983</f>
        <v/>
      </c>
      <c r="P1003" s="4">
        <f>交易明細!L494</f>
        <v/>
      </c>
      <c r="Q1003" s="13">
        <f>IF(N1003="已下單",O1003*P1003,0)</f>
        <v/>
      </c>
      <c r="R1003" s="13">
        <f>R1002+Q1003</f>
        <v/>
      </c>
      <c r="S1003" s="19">
        <f>S1002-IF(N1003="已下單",M1003,0)</f>
        <v/>
      </c>
      <c r="T1003" s="19">
        <f>R1003-S1003</f>
        <v/>
      </c>
      <c r="U1003" s="2">
        <f>U1002-IF(N1003="已下單",1,0)</f>
        <v/>
      </c>
      <c r="V1003" s="19">
        <f>IF(資金模擬!$B$9=2,MAX(R1003,0),MAX(V1002,FLOOR(MAX(R1003,0),資金模擬!$B$6)))</f>
        <v/>
      </c>
      <c r="W1003" s="13">
        <f>MAX(W1002,R1003)</f>
        <v/>
      </c>
      <c r="X1003" s="4">
        <f>IF(W1003&gt;0,R1003/W1003-1,-1)</f>
        <v/>
      </c>
      <c r="Y1003" s="19">
        <f>IF(R1003&gt;0,S1003*資金模擬!$B$7/R1003,0)</f>
        <v/>
      </c>
      <c r="Z1003" s="2">
        <f>IF(OR(Z1002=1,R1003&lt;=資金模擬!$B$10),1,0)</f>
        <v/>
      </c>
    </row>
    <row r="1004">
      <c r="A1004" s="2" t="n">
        <v>1002</v>
      </c>
      <c r="B1004" s="7" t="n">
        <v>46292</v>
      </c>
      <c r="C1004" s="2" t="inlineStr">
        <is>
          <t>出場</t>
        </is>
      </c>
      <c r="D1004" s="2" t="n">
        <v>502</v>
      </c>
      <c r="E1004" s="2" t="inlineStr">
        <is>
          <t>WLD_USDT_PERP</t>
        </is>
      </c>
      <c r="F1004" s="2" t="inlineStr">
        <is>
          <t>做多</t>
        </is>
      </c>
      <c r="G1004" s="20" t="n">
        <v>0.5108</v>
      </c>
      <c r="H1004" s="20" t="n">
        <v>0.526124</v>
      </c>
      <c r="I1004" s="20" t="n">
        <v>0.48526</v>
      </c>
      <c r="J1004" s="20" t="n">
        <v>0.526124</v>
      </c>
      <c r="K1004" s="2" t="inlineStr">
        <is>
          <t>止盈</t>
        </is>
      </c>
      <c r="L1004" s="5">
        <f>交易明細!K503</f>
        <v/>
      </c>
      <c r="M1004" s="19">
        <f>M1002</f>
        <v/>
      </c>
      <c r="N1004" s="2">
        <f>N1002</f>
        <v/>
      </c>
      <c r="O1004" s="19">
        <f>O1002</f>
        <v/>
      </c>
      <c r="P1004" s="4">
        <f>交易明細!L503</f>
        <v/>
      </c>
      <c r="Q1004" s="13">
        <f>IF(N1004="已下單",O1004*P1004,0)</f>
        <v/>
      </c>
      <c r="R1004" s="13">
        <f>R1003+Q1004</f>
        <v/>
      </c>
      <c r="S1004" s="19">
        <f>S1003-IF(N1004="已下單",M1004,0)</f>
        <v/>
      </c>
      <c r="T1004" s="19">
        <f>R1004-S1004</f>
        <v/>
      </c>
      <c r="U1004" s="2">
        <f>U1003-IF(N1004="已下單",1,0)</f>
        <v/>
      </c>
      <c r="V1004" s="19">
        <f>IF(資金模擬!$B$9=2,MAX(R1004,0),MAX(V1003,FLOOR(MAX(R1004,0),資金模擬!$B$6)))</f>
        <v/>
      </c>
      <c r="W1004" s="13">
        <f>MAX(W1003,R1004)</f>
        <v/>
      </c>
      <c r="X1004" s="4">
        <f>IF(W1004&gt;0,R1004/W1004-1,-1)</f>
        <v/>
      </c>
      <c r="Y1004" s="19">
        <f>IF(R1004&gt;0,S1004*資金模擬!$B$7/R1004,0)</f>
        <v/>
      </c>
      <c r="Z1004" s="2">
        <f>IF(OR(Z1003=1,R1004&lt;=資金模擬!$B$10),1,0)</f>
        <v/>
      </c>
    </row>
    <row r="1005">
      <c r="A1005" s="2" t="n">
        <v>1003</v>
      </c>
      <c r="B1005" s="7" t="n">
        <v>46292</v>
      </c>
      <c r="C1005" s="2" t="inlineStr">
        <is>
          <t>進場</t>
        </is>
      </c>
      <c r="D1005" s="2" t="n">
        <v>503</v>
      </c>
      <c r="E1005" s="2" t="inlineStr">
        <is>
          <t>AKE_USDT_PERP</t>
        </is>
      </c>
      <c r="F1005" s="2" t="inlineStr">
        <is>
          <t>做多</t>
        </is>
      </c>
      <c r="G1005" s="20" t="n">
        <v>0.0345245</v>
      </c>
      <c r="H1005" s="20" t="n">
        <v>0.035560235</v>
      </c>
      <c r="I1005" s="20" t="n">
        <v>0.03279827499999999</v>
      </c>
      <c r="J1005" s="20" t="n"/>
      <c r="K1005" s="2" t="n"/>
      <c r="L1005" s="5" t="n"/>
      <c r="M1005" s="19">
        <f>資金模擬!$B$5*V1004</f>
        <v/>
      </c>
      <c r="N1005" s="2">
        <f>IF(Z1004=1,"已停止",IF(T1004&gt;=M1005,"已下單","資金不足略過"))</f>
        <v/>
      </c>
      <c r="O1005" s="19">
        <f>IF(N1005="已下單",M1005*資金模擬!$B$7,0)</f>
        <v/>
      </c>
      <c r="P1005" s="4" t="n"/>
      <c r="Q1005" s="13" t="n">
        <v>0</v>
      </c>
      <c r="R1005" s="13">
        <f>R1004+Q1005</f>
        <v/>
      </c>
      <c r="S1005" s="19">
        <f>S1004+IF(N1005="已下單",M1005,0)</f>
        <v/>
      </c>
      <c r="T1005" s="19">
        <f>R1005-S1005</f>
        <v/>
      </c>
      <c r="U1005" s="2">
        <f>U1004+IF(N1005="已下單",1,0)</f>
        <v/>
      </c>
      <c r="V1005" s="19">
        <f>IF(資金模擬!$B$9=2,MAX(R1005,0),MAX(V1004,FLOOR(MAX(R1005,0),資金模擬!$B$6)))</f>
        <v/>
      </c>
      <c r="W1005" s="13">
        <f>MAX(W1004,R1005)</f>
        <v/>
      </c>
      <c r="X1005" s="4">
        <f>IF(W1005&gt;0,R1005/W1005-1,-1)</f>
        <v/>
      </c>
      <c r="Y1005" s="19">
        <f>IF(R1005&gt;0,S1005*資金模擬!$B$7/R1005,0)</f>
        <v/>
      </c>
      <c r="Z1005" s="2">
        <f>IF(OR(Z1004=1,R1005&lt;=資金模擬!$B$10),1,0)</f>
        <v/>
      </c>
    </row>
    <row r="1006">
      <c r="A1006" s="2" t="n">
        <v>1004</v>
      </c>
      <c r="B1006" s="7" t="n">
        <v>46292</v>
      </c>
      <c r="C1006" s="2" t="inlineStr">
        <is>
          <t>進場</t>
        </is>
      </c>
      <c r="D1006" s="2" t="n">
        <v>504</v>
      </c>
      <c r="E1006" s="2" t="inlineStr">
        <is>
          <t>BTW_USDT_PERP</t>
        </is>
      </c>
      <c r="F1006" s="2" t="inlineStr">
        <is>
          <t>做多</t>
        </is>
      </c>
      <c r="G1006" s="20" t="n">
        <v>1.057552</v>
      </c>
      <c r="H1006" s="20" t="n">
        <v>1.08927856</v>
      </c>
      <c r="I1006" s="20" t="n">
        <v>1.0046744</v>
      </c>
      <c r="J1006" s="20" t="n"/>
      <c r="K1006" s="2" t="n"/>
      <c r="L1006" s="5" t="n"/>
      <c r="M1006" s="19">
        <f>資金模擬!$B$5*V1005</f>
        <v/>
      </c>
      <c r="N1006" s="2">
        <f>IF(Z1005=1,"已停止",IF(T1005&gt;=M1006,"已下單","資金不足略過"))</f>
        <v/>
      </c>
      <c r="O1006" s="19">
        <f>IF(N1006="已下單",M1006*資金模擬!$B$7,0)</f>
        <v/>
      </c>
      <c r="P1006" s="4" t="n"/>
      <c r="Q1006" s="13" t="n">
        <v>0</v>
      </c>
      <c r="R1006" s="13">
        <f>R1005+Q1006</f>
        <v/>
      </c>
      <c r="S1006" s="19">
        <f>S1005+IF(N1006="已下單",M1006,0)</f>
        <v/>
      </c>
      <c r="T1006" s="19">
        <f>R1006-S1006</f>
        <v/>
      </c>
      <c r="U1006" s="2">
        <f>U1005+IF(N1006="已下單",1,0)</f>
        <v/>
      </c>
      <c r="V1006" s="19">
        <f>IF(資金模擬!$B$9=2,MAX(R1006,0),MAX(V1005,FLOOR(MAX(R1006,0),資金模擬!$B$6)))</f>
        <v/>
      </c>
      <c r="W1006" s="13">
        <f>MAX(W1005,R1006)</f>
        <v/>
      </c>
      <c r="X1006" s="4">
        <f>IF(W1006&gt;0,R1006/W1006-1,-1)</f>
        <v/>
      </c>
      <c r="Y1006" s="19">
        <f>IF(R1006&gt;0,S1006*資金模擬!$B$7/R1006,0)</f>
        <v/>
      </c>
      <c r="Z1006" s="2">
        <f>IF(OR(Z1005=1,R1006&lt;=資金模擬!$B$10),1,0)</f>
        <v/>
      </c>
    </row>
    <row r="1007">
      <c r="A1007" s="2" t="n">
        <v>1005</v>
      </c>
      <c r="B1007" s="7" t="n">
        <v>46292</v>
      </c>
      <c r="C1007" s="2" t="inlineStr">
        <is>
          <t>進場</t>
        </is>
      </c>
      <c r="D1007" s="2" t="n">
        <v>505</v>
      </c>
      <c r="E1007" s="2" t="inlineStr">
        <is>
          <t>LYN_USDT_PERP</t>
        </is>
      </c>
      <c r="F1007" s="2" t="inlineStr">
        <is>
          <t>做空</t>
        </is>
      </c>
      <c r="G1007" s="20" t="n">
        <v>0.04265</v>
      </c>
      <c r="H1007" s="20" t="n">
        <v>0.0413705</v>
      </c>
      <c r="I1007" s="20" t="n">
        <v>0.0447825</v>
      </c>
      <c r="J1007" s="20" t="n"/>
      <c r="K1007" s="2" t="n"/>
      <c r="L1007" s="5" t="n"/>
      <c r="M1007" s="19">
        <f>資金模擬!$B$5*V1006</f>
        <v/>
      </c>
      <c r="N1007" s="2">
        <f>IF(Z1006=1,"已停止",IF(T1006&gt;=M1007,"已下單","資金不足略過"))</f>
        <v/>
      </c>
      <c r="O1007" s="19">
        <f>IF(N1007="已下單",M1007*資金模擬!$B$7,0)</f>
        <v/>
      </c>
      <c r="P1007" s="4" t="n"/>
      <c r="Q1007" s="13" t="n">
        <v>0</v>
      </c>
      <c r="R1007" s="13">
        <f>R1006+Q1007</f>
        <v/>
      </c>
      <c r="S1007" s="19">
        <f>S1006+IF(N1007="已下單",M1007,0)</f>
        <v/>
      </c>
      <c r="T1007" s="19">
        <f>R1007-S1007</f>
        <v/>
      </c>
      <c r="U1007" s="2">
        <f>U1006+IF(N1007="已下單",1,0)</f>
        <v/>
      </c>
      <c r="V1007" s="19">
        <f>IF(資金模擬!$B$9=2,MAX(R1007,0),MAX(V1006,FLOOR(MAX(R1007,0),資金模擬!$B$6)))</f>
        <v/>
      </c>
      <c r="W1007" s="13">
        <f>MAX(W1006,R1007)</f>
        <v/>
      </c>
      <c r="X1007" s="4">
        <f>IF(W1007&gt;0,R1007/W1007-1,-1)</f>
        <v/>
      </c>
      <c r="Y1007" s="19">
        <f>IF(R1007&gt;0,S1007*資金模擬!$B$7/R1007,0)</f>
        <v/>
      </c>
      <c r="Z1007" s="2">
        <f>IF(OR(Z1006=1,R1007&lt;=資金模擬!$B$10),1,0)</f>
        <v/>
      </c>
    </row>
    <row r="1008">
      <c r="A1008" s="2" t="n">
        <v>1006</v>
      </c>
      <c r="B1008" s="7" t="n">
        <v>46292.04166666666</v>
      </c>
      <c r="C1008" s="2" t="inlineStr">
        <is>
          <t>進場</t>
        </is>
      </c>
      <c r="D1008" s="2" t="n">
        <v>506</v>
      </c>
      <c r="E1008" s="2" t="inlineStr">
        <is>
          <t>PHA_USDT_PERP</t>
        </is>
      </c>
      <c r="F1008" s="2" t="inlineStr">
        <is>
          <t>做空</t>
        </is>
      </c>
      <c r="G1008" s="20" t="n">
        <v>0.07908999999999999</v>
      </c>
      <c r="H1008" s="20" t="n">
        <v>0.07671729999999999</v>
      </c>
      <c r="I1008" s="20" t="n">
        <v>0.08304449999999999</v>
      </c>
      <c r="J1008" s="20" t="n"/>
      <c r="K1008" s="2" t="n"/>
      <c r="L1008" s="5" t="n"/>
      <c r="M1008" s="19">
        <f>資金模擬!$B$5*V1007</f>
        <v/>
      </c>
      <c r="N1008" s="2">
        <f>IF(Z1007=1,"已停止",IF(T1007&gt;=M1008,"已下單","資金不足略過"))</f>
        <v/>
      </c>
      <c r="O1008" s="19">
        <f>IF(N1008="已下單",M1008*資金模擬!$B$7,0)</f>
        <v/>
      </c>
      <c r="P1008" s="4" t="n"/>
      <c r="Q1008" s="13" t="n">
        <v>0</v>
      </c>
      <c r="R1008" s="13">
        <f>R1007+Q1008</f>
        <v/>
      </c>
      <c r="S1008" s="19">
        <f>S1007+IF(N1008="已下單",M1008,0)</f>
        <v/>
      </c>
      <c r="T1008" s="19">
        <f>R1008-S1008</f>
        <v/>
      </c>
      <c r="U1008" s="2">
        <f>U1007+IF(N1008="已下單",1,0)</f>
        <v/>
      </c>
      <c r="V1008" s="19">
        <f>IF(資金模擬!$B$9=2,MAX(R1008,0),MAX(V1007,FLOOR(MAX(R1008,0),資金模擬!$B$6)))</f>
        <v/>
      </c>
      <c r="W1008" s="13">
        <f>MAX(W1007,R1008)</f>
        <v/>
      </c>
      <c r="X1008" s="4">
        <f>IF(W1008&gt;0,R1008/W1008-1,-1)</f>
        <v/>
      </c>
      <c r="Y1008" s="19">
        <f>IF(R1008&gt;0,S1008*資金模擬!$B$7/R1008,0)</f>
        <v/>
      </c>
      <c r="Z1008" s="2">
        <f>IF(OR(Z1007=1,R1008&lt;=資金模擬!$B$10),1,0)</f>
        <v/>
      </c>
    </row>
    <row r="1009">
      <c r="A1009" s="2" t="n">
        <v>1007</v>
      </c>
      <c r="B1009" s="7" t="n">
        <v>46292.08333333334</v>
      </c>
      <c r="C1009" s="2" t="inlineStr">
        <is>
          <t>出場</t>
        </is>
      </c>
      <c r="D1009" s="2" t="n">
        <v>505</v>
      </c>
      <c r="E1009" s="2" t="inlineStr">
        <is>
          <t>LYN_USDT_PERP</t>
        </is>
      </c>
      <c r="F1009" s="2" t="inlineStr">
        <is>
          <t>做空</t>
        </is>
      </c>
      <c r="G1009" s="20" t="n">
        <v>0.04265</v>
      </c>
      <c r="H1009" s="20" t="n">
        <v>0.0413705</v>
      </c>
      <c r="I1009" s="20" t="n">
        <v>0.0447825</v>
      </c>
      <c r="J1009" s="20" t="n">
        <v>0.0413705</v>
      </c>
      <c r="K1009" s="2" t="inlineStr">
        <is>
          <t>止盈</t>
        </is>
      </c>
      <c r="L1009" s="5">
        <f>交易明細!K506</f>
        <v/>
      </c>
      <c r="M1009" s="19">
        <f>M1007</f>
        <v/>
      </c>
      <c r="N1009" s="2">
        <f>N1007</f>
        <v/>
      </c>
      <c r="O1009" s="19">
        <f>O1007</f>
        <v/>
      </c>
      <c r="P1009" s="4">
        <f>交易明細!L506</f>
        <v/>
      </c>
      <c r="Q1009" s="13">
        <f>IF(N1009="已下單",O1009*P1009,0)</f>
        <v/>
      </c>
      <c r="R1009" s="13">
        <f>R1008+Q1009</f>
        <v/>
      </c>
      <c r="S1009" s="19">
        <f>S1008-IF(N1009="已下單",M1009,0)</f>
        <v/>
      </c>
      <c r="T1009" s="19">
        <f>R1009-S1009</f>
        <v/>
      </c>
      <c r="U1009" s="2">
        <f>U1008-IF(N1009="已下單",1,0)</f>
        <v/>
      </c>
      <c r="V1009" s="19">
        <f>IF(資金模擬!$B$9=2,MAX(R1009,0),MAX(V1008,FLOOR(MAX(R1009,0),資金模擬!$B$6)))</f>
        <v/>
      </c>
      <c r="W1009" s="13">
        <f>MAX(W1008,R1009)</f>
        <v/>
      </c>
      <c r="X1009" s="4">
        <f>IF(W1009&gt;0,R1009/W1009-1,-1)</f>
        <v/>
      </c>
      <c r="Y1009" s="19">
        <f>IF(R1009&gt;0,S1009*資金模擬!$B$7/R1009,0)</f>
        <v/>
      </c>
      <c r="Z1009" s="2">
        <f>IF(OR(Z1008=1,R1009&lt;=資金模擬!$B$10),1,0)</f>
        <v/>
      </c>
    </row>
    <row r="1010">
      <c r="A1010" s="2" t="n">
        <v>1008</v>
      </c>
      <c r="B1010" s="7" t="n">
        <v>46292.125</v>
      </c>
      <c r="C1010" s="2" t="inlineStr">
        <is>
          <t>出場</t>
        </is>
      </c>
      <c r="D1010" s="2" t="n">
        <v>506</v>
      </c>
      <c r="E1010" s="2" t="inlineStr">
        <is>
          <t>PHA_USDT_PERP</t>
        </is>
      </c>
      <c r="F1010" s="2" t="inlineStr">
        <is>
          <t>做空</t>
        </is>
      </c>
      <c r="G1010" s="20" t="n">
        <v>0.07908999999999999</v>
      </c>
      <c r="H1010" s="20" t="n">
        <v>0.07671729999999999</v>
      </c>
      <c r="I1010" s="20" t="n">
        <v>0.08304449999999999</v>
      </c>
      <c r="J1010" s="20" t="n">
        <v>0.08304449999999999</v>
      </c>
      <c r="K1010" s="2" t="inlineStr">
        <is>
          <t>止損</t>
        </is>
      </c>
      <c r="L1010" s="5">
        <f>交易明細!K507</f>
        <v/>
      </c>
      <c r="M1010" s="19">
        <f>M1008</f>
        <v/>
      </c>
      <c r="N1010" s="2">
        <f>N1008</f>
        <v/>
      </c>
      <c r="O1010" s="19">
        <f>O1008</f>
        <v/>
      </c>
      <c r="P1010" s="4">
        <f>交易明細!L507</f>
        <v/>
      </c>
      <c r="Q1010" s="13">
        <f>IF(N1010="已下單",O1010*P1010,0)</f>
        <v/>
      </c>
      <c r="R1010" s="13">
        <f>R1009+Q1010</f>
        <v/>
      </c>
      <c r="S1010" s="19">
        <f>S1009-IF(N1010="已下單",M1010,0)</f>
        <v/>
      </c>
      <c r="T1010" s="19">
        <f>R1010-S1010</f>
        <v/>
      </c>
      <c r="U1010" s="2">
        <f>U1009-IF(N1010="已下單",1,0)</f>
        <v/>
      </c>
      <c r="V1010" s="19">
        <f>IF(資金模擬!$B$9=2,MAX(R1010,0),MAX(V1009,FLOOR(MAX(R1010,0),資金模擬!$B$6)))</f>
        <v/>
      </c>
      <c r="W1010" s="13">
        <f>MAX(W1009,R1010)</f>
        <v/>
      </c>
      <c r="X1010" s="4">
        <f>IF(W1010&gt;0,R1010/W1010-1,-1)</f>
        <v/>
      </c>
      <c r="Y1010" s="19">
        <f>IF(R1010&gt;0,S1010*資金模擬!$B$7/R1010,0)</f>
        <v/>
      </c>
      <c r="Z1010" s="2">
        <f>IF(OR(Z1009=1,R1010&lt;=資金模擬!$B$10),1,0)</f>
        <v/>
      </c>
    </row>
    <row r="1011">
      <c r="A1011" s="2" t="n">
        <v>1009</v>
      </c>
      <c r="B1011" s="7" t="n">
        <v>46292.20833333334</v>
      </c>
      <c r="C1011" s="2" t="inlineStr">
        <is>
          <t>出場</t>
        </is>
      </c>
      <c r="D1011" s="2" t="n">
        <v>489</v>
      </c>
      <c r="E1011" s="2" t="inlineStr">
        <is>
          <t>PENGU_USDT_PERP</t>
        </is>
      </c>
      <c r="F1011" s="2" t="inlineStr">
        <is>
          <t>做多</t>
        </is>
      </c>
      <c r="G1011" s="20" t="n">
        <v>0.010271</v>
      </c>
      <c r="H1011" s="20" t="n">
        <v>0.01057913</v>
      </c>
      <c r="I1011" s="20" t="n">
        <v>0.009757450000000001</v>
      </c>
      <c r="J1011" s="20" t="n">
        <v>0.009757450000000001</v>
      </c>
      <c r="K1011" s="2" t="inlineStr">
        <is>
          <t>止損</t>
        </is>
      </c>
      <c r="L1011" s="5">
        <f>交易明細!K490</f>
        <v/>
      </c>
      <c r="M1011" s="19">
        <f>M972</f>
        <v/>
      </c>
      <c r="N1011" s="2">
        <f>N972</f>
        <v/>
      </c>
      <c r="O1011" s="19">
        <f>O972</f>
        <v/>
      </c>
      <c r="P1011" s="4">
        <f>交易明細!L490</f>
        <v/>
      </c>
      <c r="Q1011" s="13">
        <f>IF(N1011="已下單",O1011*P1011,0)</f>
        <v/>
      </c>
      <c r="R1011" s="13">
        <f>R1010+Q1011</f>
        <v/>
      </c>
      <c r="S1011" s="19">
        <f>S1010-IF(N1011="已下單",M1011,0)</f>
        <v/>
      </c>
      <c r="T1011" s="19">
        <f>R1011-S1011</f>
        <v/>
      </c>
      <c r="U1011" s="2">
        <f>U1010-IF(N1011="已下單",1,0)</f>
        <v/>
      </c>
      <c r="V1011" s="19">
        <f>IF(資金模擬!$B$9=2,MAX(R1011,0),MAX(V1010,FLOOR(MAX(R1011,0),資金模擬!$B$6)))</f>
        <v/>
      </c>
      <c r="W1011" s="13">
        <f>MAX(W1010,R1011)</f>
        <v/>
      </c>
      <c r="X1011" s="4">
        <f>IF(W1011&gt;0,R1011/W1011-1,-1)</f>
        <v/>
      </c>
      <c r="Y1011" s="19">
        <f>IF(R1011&gt;0,S1011*資金模擬!$B$7/R1011,0)</f>
        <v/>
      </c>
      <c r="Z1011" s="2">
        <f>IF(OR(Z1010=1,R1011&lt;=資金模擬!$B$10),1,0)</f>
        <v/>
      </c>
    </row>
    <row r="1012">
      <c r="A1012" s="2" t="n">
        <v>1010</v>
      </c>
      <c r="B1012" s="7" t="n">
        <v>46292.20833333334</v>
      </c>
      <c r="C1012" s="2" t="inlineStr">
        <is>
          <t>出場</t>
        </is>
      </c>
      <c r="D1012" s="2" t="n">
        <v>501</v>
      </c>
      <c r="E1012" s="2" t="inlineStr">
        <is>
          <t>USELESS_USDT_PERP</t>
        </is>
      </c>
      <c r="F1012" s="2" t="inlineStr">
        <is>
          <t>做多</t>
        </is>
      </c>
      <c r="G1012" s="20" t="n">
        <v>0.29344</v>
      </c>
      <c r="H1012" s="20" t="n">
        <v>0.3022432</v>
      </c>
      <c r="I1012" s="20" t="n">
        <v>0.278768</v>
      </c>
      <c r="J1012" s="20" t="n">
        <v>0.278768</v>
      </c>
      <c r="K1012" s="2" t="inlineStr">
        <is>
          <t>止損</t>
        </is>
      </c>
      <c r="L1012" s="5">
        <f>交易明細!K502</f>
        <v/>
      </c>
      <c r="M1012" s="19">
        <f>M1001</f>
        <v/>
      </c>
      <c r="N1012" s="2">
        <f>N1001</f>
        <v/>
      </c>
      <c r="O1012" s="19">
        <f>O1001</f>
        <v/>
      </c>
      <c r="P1012" s="4">
        <f>交易明細!L502</f>
        <v/>
      </c>
      <c r="Q1012" s="13">
        <f>IF(N1012="已下單",O1012*P1012,0)</f>
        <v/>
      </c>
      <c r="R1012" s="13">
        <f>R1011+Q1012</f>
        <v/>
      </c>
      <c r="S1012" s="19">
        <f>S1011-IF(N1012="已下單",M1012,0)</f>
        <v/>
      </c>
      <c r="T1012" s="19">
        <f>R1012-S1012</f>
        <v/>
      </c>
      <c r="U1012" s="2">
        <f>U1011-IF(N1012="已下單",1,0)</f>
        <v/>
      </c>
      <c r="V1012" s="19">
        <f>IF(資金模擬!$B$9=2,MAX(R1012,0),MAX(V1011,FLOOR(MAX(R1012,0),資金模擬!$B$6)))</f>
        <v/>
      </c>
      <c r="W1012" s="13">
        <f>MAX(W1011,R1012)</f>
        <v/>
      </c>
      <c r="X1012" s="4">
        <f>IF(W1012&gt;0,R1012/W1012-1,-1)</f>
        <v/>
      </c>
      <c r="Y1012" s="19">
        <f>IF(R1012&gt;0,S1012*資金模擬!$B$7/R1012,0)</f>
        <v/>
      </c>
      <c r="Z1012" s="2">
        <f>IF(OR(Z1011=1,R1012&lt;=資金模擬!$B$10),1,0)</f>
        <v/>
      </c>
    </row>
    <row r="1013">
      <c r="A1013" s="2" t="n">
        <v>1011</v>
      </c>
      <c r="B1013" s="7" t="n">
        <v>46292.25</v>
      </c>
      <c r="C1013" s="2" t="inlineStr">
        <is>
          <t>進場</t>
        </is>
      </c>
      <c r="D1013" s="2" t="n">
        <v>507</v>
      </c>
      <c r="E1013" s="2" t="inlineStr">
        <is>
          <t>NEAR_USDT_PERP</t>
        </is>
      </c>
      <c r="F1013" s="2" t="inlineStr">
        <is>
          <t>做多</t>
        </is>
      </c>
      <c r="G1013" s="20" t="n">
        <v>5.038</v>
      </c>
      <c r="H1013" s="20" t="n">
        <v>5.18914</v>
      </c>
      <c r="I1013" s="20" t="n">
        <v>4.7861</v>
      </c>
      <c r="J1013" s="20" t="n"/>
      <c r="K1013" s="2" t="n"/>
      <c r="L1013" s="5" t="n"/>
      <c r="M1013" s="19">
        <f>資金模擬!$B$5*V1012</f>
        <v/>
      </c>
      <c r="N1013" s="2">
        <f>IF(Z1012=1,"已停止",IF(T1012&gt;=M1013,"已下單","資金不足略過"))</f>
        <v/>
      </c>
      <c r="O1013" s="19">
        <f>IF(N1013="已下單",M1013*資金模擬!$B$7,0)</f>
        <v/>
      </c>
      <c r="P1013" s="4" t="n"/>
      <c r="Q1013" s="13" t="n">
        <v>0</v>
      </c>
      <c r="R1013" s="13">
        <f>R1012+Q1013</f>
        <v/>
      </c>
      <c r="S1013" s="19">
        <f>S1012+IF(N1013="已下單",M1013,0)</f>
        <v/>
      </c>
      <c r="T1013" s="19">
        <f>R1013-S1013</f>
        <v/>
      </c>
      <c r="U1013" s="2">
        <f>U1012+IF(N1013="已下單",1,0)</f>
        <v/>
      </c>
      <c r="V1013" s="19">
        <f>IF(資金模擬!$B$9=2,MAX(R1013,0),MAX(V1012,FLOOR(MAX(R1013,0),資金模擬!$B$6)))</f>
        <v/>
      </c>
      <c r="W1013" s="13">
        <f>MAX(W1012,R1013)</f>
        <v/>
      </c>
      <c r="X1013" s="4">
        <f>IF(W1013&gt;0,R1013/W1013-1,-1)</f>
        <v/>
      </c>
      <c r="Y1013" s="19">
        <f>IF(R1013&gt;0,S1013*資金模擬!$B$7/R1013,0)</f>
        <v/>
      </c>
      <c r="Z1013" s="2">
        <f>IF(OR(Z1012=1,R1013&lt;=資金模擬!$B$10),1,0)</f>
        <v/>
      </c>
    </row>
    <row r="1014">
      <c r="A1014" s="2" t="n">
        <v>1012</v>
      </c>
      <c r="B1014" s="7" t="n">
        <v>46292.25</v>
      </c>
      <c r="C1014" s="2" t="inlineStr">
        <is>
          <t>進場</t>
        </is>
      </c>
      <c r="D1014" s="2" t="n">
        <v>508</v>
      </c>
      <c r="E1014" s="2" t="inlineStr">
        <is>
          <t>USELESS_USDT_PERP</t>
        </is>
      </c>
      <c r="F1014" s="2" t="inlineStr">
        <is>
          <t>做多</t>
        </is>
      </c>
      <c r="G1014" s="20" t="n">
        <v>0.2916</v>
      </c>
      <c r="H1014" s="20" t="n">
        <v>0.3003480000000001</v>
      </c>
      <c r="I1014" s="20" t="n">
        <v>0.27702</v>
      </c>
      <c r="J1014" s="20" t="n"/>
      <c r="K1014" s="2" t="n"/>
      <c r="L1014" s="5" t="n"/>
      <c r="M1014" s="19">
        <f>資金模擬!$B$5*V1013</f>
        <v/>
      </c>
      <c r="N1014" s="2">
        <f>IF(Z1013=1,"已停止",IF(T1013&gt;=M1014,"已下單","資金不足略過"))</f>
        <v/>
      </c>
      <c r="O1014" s="19">
        <f>IF(N1014="已下單",M1014*資金模擬!$B$7,0)</f>
        <v/>
      </c>
      <c r="P1014" s="4" t="n"/>
      <c r="Q1014" s="13" t="n">
        <v>0</v>
      </c>
      <c r="R1014" s="13">
        <f>R1013+Q1014</f>
        <v/>
      </c>
      <c r="S1014" s="19">
        <f>S1013+IF(N1014="已下單",M1014,0)</f>
        <v/>
      </c>
      <c r="T1014" s="19">
        <f>R1014-S1014</f>
        <v/>
      </c>
      <c r="U1014" s="2">
        <f>U1013+IF(N1014="已下單",1,0)</f>
        <v/>
      </c>
      <c r="V1014" s="19">
        <f>IF(資金模擬!$B$9=2,MAX(R1014,0),MAX(V1013,FLOOR(MAX(R1014,0),資金模擬!$B$6)))</f>
        <v/>
      </c>
      <c r="W1014" s="13">
        <f>MAX(W1013,R1014)</f>
        <v/>
      </c>
      <c r="X1014" s="4">
        <f>IF(W1014&gt;0,R1014/W1014-1,-1)</f>
        <v/>
      </c>
      <c r="Y1014" s="19">
        <f>IF(R1014&gt;0,S1014*資金模擬!$B$7/R1014,0)</f>
        <v/>
      </c>
      <c r="Z1014" s="2">
        <f>IF(OR(Z1013=1,R1014&lt;=資金模擬!$B$10),1,0)</f>
        <v/>
      </c>
    </row>
    <row r="1015">
      <c r="A1015" s="2" t="n">
        <v>1013</v>
      </c>
      <c r="B1015" s="7" t="n">
        <v>46292.29166666666</v>
      </c>
      <c r="C1015" s="2" t="inlineStr">
        <is>
          <t>出場</t>
        </is>
      </c>
      <c r="D1015" s="2" t="n">
        <v>503</v>
      </c>
      <c r="E1015" s="2" t="inlineStr">
        <is>
          <t>AKE_USDT_PERP</t>
        </is>
      </c>
      <c r="F1015" s="2" t="inlineStr">
        <is>
          <t>做多</t>
        </is>
      </c>
      <c r="G1015" s="20" t="n">
        <v>0.0345245</v>
      </c>
      <c r="H1015" s="20" t="n">
        <v>0.035560235</v>
      </c>
      <c r="I1015" s="20" t="n">
        <v>0.03279827499999999</v>
      </c>
      <c r="J1015" s="20" t="n">
        <v>0.03279827499999999</v>
      </c>
      <c r="K1015" s="2" t="inlineStr">
        <is>
          <t>止損</t>
        </is>
      </c>
      <c r="L1015" s="5">
        <f>交易明細!K504</f>
        <v/>
      </c>
      <c r="M1015" s="19">
        <f>M1005</f>
        <v/>
      </c>
      <c r="N1015" s="2">
        <f>N1005</f>
        <v/>
      </c>
      <c r="O1015" s="19">
        <f>O1005</f>
        <v/>
      </c>
      <c r="P1015" s="4">
        <f>交易明細!L504</f>
        <v/>
      </c>
      <c r="Q1015" s="13">
        <f>IF(N1015="已下單",O1015*P1015,0)</f>
        <v/>
      </c>
      <c r="R1015" s="13">
        <f>R1014+Q1015</f>
        <v/>
      </c>
      <c r="S1015" s="19">
        <f>S1014-IF(N1015="已下單",M1015,0)</f>
        <v/>
      </c>
      <c r="T1015" s="19">
        <f>R1015-S1015</f>
        <v/>
      </c>
      <c r="U1015" s="2">
        <f>U1014-IF(N1015="已下單",1,0)</f>
        <v/>
      </c>
      <c r="V1015" s="19">
        <f>IF(資金模擬!$B$9=2,MAX(R1015,0),MAX(V1014,FLOOR(MAX(R1015,0),資金模擬!$B$6)))</f>
        <v/>
      </c>
      <c r="W1015" s="13">
        <f>MAX(W1014,R1015)</f>
        <v/>
      </c>
      <c r="X1015" s="4">
        <f>IF(W1015&gt;0,R1015/W1015-1,-1)</f>
        <v/>
      </c>
      <c r="Y1015" s="19">
        <f>IF(R1015&gt;0,S1015*資金模擬!$B$7/R1015,0)</f>
        <v/>
      </c>
      <c r="Z1015" s="2">
        <f>IF(OR(Z1014=1,R1015&lt;=資金模擬!$B$10),1,0)</f>
        <v/>
      </c>
    </row>
    <row r="1016">
      <c r="A1016" s="2" t="n">
        <v>1014</v>
      </c>
      <c r="B1016" s="7" t="n">
        <v>46292.33333333334</v>
      </c>
      <c r="C1016" s="2" t="inlineStr">
        <is>
          <t>出場</t>
        </is>
      </c>
      <c r="D1016" s="2" t="n">
        <v>504</v>
      </c>
      <c r="E1016" s="2" t="inlineStr">
        <is>
          <t>BTW_USDT_PERP</t>
        </is>
      </c>
      <c r="F1016" s="2" t="inlineStr">
        <is>
          <t>做多</t>
        </is>
      </c>
      <c r="G1016" s="20" t="n">
        <v>1.057552</v>
      </c>
      <c r="H1016" s="20" t="n">
        <v>1.08927856</v>
      </c>
      <c r="I1016" s="20" t="n">
        <v>1.0046744</v>
      </c>
      <c r="J1016" s="20" t="n">
        <v>1.0046744</v>
      </c>
      <c r="K1016" s="2" t="inlineStr">
        <is>
          <t>止損</t>
        </is>
      </c>
      <c r="L1016" s="5">
        <f>交易明細!K505</f>
        <v/>
      </c>
      <c r="M1016" s="19">
        <f>M1006</f>
        <v/>
      </c>
      <c r="N1016" s="2">
        <f>N1006</f>
        <v/>
      </c>
      <c r="O1016" s="19">
        <f>O1006</f>
        <v/>
      </c>
      <c r="P1016" s="4">
        <f>交易明細!L505</f>
        <v/>
      </c>
      <c r="Q1016" s="13">
        <f>IF(N1016="已下單",O1016*P1016,0)</f>
        <v/>
      </c>
      <c r="R1016" s="13">
        <f>R1015+Q1016</f>
        <v/>
      </c>
      <c r="S1016" s="19">
        <f>S1015-IF(N1016="已下單",M1016,0)</f>
        <v/>
      </c>
      <c r="T1016" s="19">
        <f>R1016-S1016</f>
        <v/>
      </c>
      <c r="U1016" s="2">
        <f>U1015-IF(N1016="已下單",1,0)</f>
        <v/>
      </c>
      <c r="V1016" s="19">
        <f>IF(資金模擬!$B$9=2,MAX(R1016,0),MAX(V1015,FLOOR(MAX(R1016,0),資金模擬!$B$6)))</f>
        <v/>
      </c>
      <c r="W1016" s="13">
        <f>MAX(W1015,R1016)</f>
        <v/>
      </c>
      <c r="X1016" s="4">
        <f>IF(W1016&gt;0,R1016/W1016-1,-1)</f>
        <v/>
      </c>
      <c r="Y1016" s="19">
        <f>IF(R1016&gt;0,S1016*資金模擬!$B$7/R1016,0)</f>
        <v/>
      </c>
      <c r="Z1016" s="2">
        <f>IF(OR(Z1015=1,R1016&lt;=資金模擬!$B$10),1,0)</f>
        <v/>
      </c>
    </row>
    <row r="1017">
      <c r="A1017" s="2" t="n">
        <v>1015</v>
      </c>
      <c r="B1017" s="7" t="n">
        <v>46292.375</v>
      </c>
      <c r="C1017" s="2" t="inlineStr">
        <is>
          <t>進場</t>
        </is>
      </c>
      <c r="D1017" s="2" t="n">
        <v>509</v>
      </c>
      <c r="E1017" s="2" t="inlineStr">
        <is>
          <t>2Z_USDT_PERP</t>
        </is>
      </c>
      <c r="F1017" s="2" t="inlineStr">
        <is>
          <t>做空</t>
        </is>
      </c>
      <c r="G1017" s="20" t="n">
        <v>0.06859999999999999</v>
      </c>
      <c r="H1017" s="20" t="n">
        <v>0.06654199999999999</v>
      </c>
      <c r="I1017" s="20" t="n">
        <v>0.07203</v>
      </c>
      <c r="J1017" s="20" t="n"/>
      <c r="K1017" s="2" t="n"/>
      <c r="L1017" s="5" t="n"/>
      <c r="M1017" s="19">
        <f>資金模擬!$B$5*V1016</f>
        <v/>
      </c>
      <c r="N1017" s="2">
        <f>IF(Z1016=1,"已停止",IF(T1016&gt;=M1017,"已下單","資金不足略過"))</f>
        <v/>
      </c>
      <c r="O1017" s="19">
        <f>IF(N1017="已下單",M1017*資金模擬!$B$7,0)</f>
        <v/>
      </c>
      <c r="P1017" s="4" t="n"/>
      <c r="Q1017" s="13" t="n">
        <v>0</v>
      </c>
      <c r="R1017" s="13">
        <f>R1016+Q1017</f>
        <v/>
      </c>
      <c r="S1017" s="19">
        <f>S1016+IF(N1017="已下單",M1017,0)</f>
        <v/>
      </c>
      <c r="T1017" s="19">
        <f>R1017-S1017</f>
        <v/>
      </c>
      <c r="U1017" s="2">
        <f>U1016+IF(N1017="已下單",1,0)</f>
        <v/>
      </c>
      <c r="V1017" s="19">
        <f>IF(資金模擬!$B$9=2,MAX(R1017,0),MAX(V1016,FLOOR(MAX(R1017,0),資金模擬!$B$6)))</f>
        <v/>
      </c>
      <c r="W1017" s="13">
        <f>MAX(W1016,R1017)</f>
        <v/>
      </c>
      <c r="X1017" s="4">
        <f>IF(W1017&gt;0,R1017/W1017-1,-1)</f>
        <v/>
      </c>
      <c r="Y1017" s="19">
        <f>IF(R1017&gt;0,S1017*資金模擬!$B$7/R1017,0)</f>
        <v/>
      </c>
      <c r="Z1017" s="2">
        <f>IF(OR(Z1016=1,R1017&lt;=資金模擬!$B$10),1,0)</f>
        <v/>
      </c>
    </row>
    <row r="1018">
      <c r="A1018" s="2" t="n">
        <v>1016</v>
      </c>
      <c r="B1018" s="7" t="n">
        <v>46292.375</v>
      </c>
      <c r="C1018" s="2" t="inlineStr">
        <is>
          <t>進場</t>
        </is>
      </c>
      <c r="D1018" s="2" t="n">
        <v>510</v>
      </c>
      <c r="E1018" s="2" t="inlineStr">
        <is>
          <t>PHA_USDT_PERP</t>
        </is>
      </c>
      <c r="F1018" s="2" t="inlineStr">
        <is>
          <t>做空</t>
        </is>
      </c>
      <c r="G1018" s="20" t="n">
        <v>0.08004</v>
      </c>
      <c r="H1018" s="20" t="n">
        <v>0.07763879999999999</v>
      </c>
      <c r="I1018" s="20" t="n">
        <v>0.08404200000000001</v>
      </c>
      <c r="J1018" s="20" t="n"/>
      <c r="K1018" s="2" t="n"/>
      <c r="L1018" s="5" t="n"/>
      <c r="M1018" s="19">
        <f>資金模擬!$B$5*V1017</f>
        <v/>
      </c>
      <c r="N1018" s="2">
        <f>IF(Z1017=1,"已停止",IF(T1017&gt;=M1018,"已下單","資金不足略過"))</f>
        <v/>
      </c>
      <c r="O1018" s="19">
        <f>IF(N1018="已下單",M1018*資金模擬!$B$7,0)</f>
        <v/>
      </c>
      <c r="P1018" s="4" t="n"/>
      <c r="Q1018" s="13" t="n">
        <v>0</v>
      </c>
      <c r="R1018" s="13">
        <f>R1017+Q1018</f>
        <v/>
      </c>
      <c r="S1018" s="19">
        <f>S1017+IF(N1018="已下單",M1018,0)</f>
        <v/>
      </c>
      <c r="T1018" s="19">
        <f>R1018-S1018</f>
        <v/>
      </c>
      <c r="U1018" s="2">
        <f>U1017+IF(N1018="已下單",1,0)</f>
        <v/>
      </c>
      <c r="V1018" s="19">
        <f>IF(資金模擬!$B$9=2,MAX(R1018,0),MAX(V1017,FLOOR(MAX(R1018,0),資金模擬!$B$6)))</f>
        <v/>
      </c>
      <c r="W1018" s="13">
        <f>MAX(W1017,R1018)</f>
        <v/>
      </c>
      <c r="X1018" s="4">
        <f>IF(W1018&gt;0,R1018/W1018-1,-1)</f>
        <v/>
      </c>
      <c r="Y1018" s="19">
        <f>IF(R1018&gt;0,S1018*資金模擬!$B$7/R1018,0)</f>
        <v/>
      </c>
      <c r="Z1018" s="2">
        <f>IF(OR(Z1017=1,R1018&lt;=資金模擬!$B$10),1,0)</f>
        <v/>
      </c>
    </row>
    <row r="1019">
      <c r="A1019" s="2" t="n">
        <v>1017</v>
      </c>
      <c r="B1019" s="7" t="n">
        <v>46292.41666666666</v>
      </c>
      <c r="C1019" s="2" t="inlineStr">
        <is>
          <t>進場</t>
        </is>
      </c>
      <c r="D1019" s="2" t="n">
        <v>511</v>
      </c>
      <c r="E1019" s="2" t="inlineStr">
        <is>
          <t>AKE_USDT_PERP</t>
        </is>
      </c>
      <c r="F1019" s="2" t="inlineStr">
        <is>
          <t>做多</t>
        </is>
      </c>
      <c r="G1019" s="20" t="n">
        <v>0.0342425</v>
      </c>
      <c r="H1019" s="20" t="n">
        <v>0.035269775</v>
      </c>
      <c r="I1019" s="20" t="n">
        <v>0.032530375</v>
      </c>
      <c r="J1019" s="20" t="n"/>
      <c r="K1019" s="2" t="n"/>
      <c r="L1019" s="5" t="n"/>
      <c r="M1019" s="19">
        <f>資金模擬!$B$5*V1018</f>
        <v/>
      </c>
      <c r="N1019" s="2">
        <f>IF(Z1018=1,"已停止",IF(T1018&gt;=M1019,"已下單","資金不足略過"))</f>
        <v/>
      </c>
      <c r="O1019" s="19">
        <f>IF(N1019="已下單",M1019*資金模擬!$B$7,0)</f>
        <v/>
      </c>
      <c r="P1019" s="4" t="n"/>
      <c r="Q1019" s="13" t="n">
        <v>0</v>
      </c>
      <c r="R1019" s="13">
        <f>R1018+Q1019</f>
        <v/>
      </c>
      <c r="S1019" s="19">
        <f>S1018+IF(N1019="已下單",M1019,0)</f>
        <v/>
      </c>
      <c r="T1019" s="19">
        <f>R1019-S1019</f>
        <v/>
      </c>
      <c r="U1019" s="2">
        <f>U1018+IF(N1019="已下單",1,0)</f>
        <v/>
      </c>
      <c r="V1019" s="19">
        <f>IF(資金模擬!$B$9=2,MAX(R1019,0),MAX(V1018,FLOOR(MAX(R1019,0),資金模擬!$B$6)))</f>
        <v/>
      </c>
      <c r="W1019" s="13">
        <f>MAX(W1018,R1019)</f>
        <v/>
      </c>
      <c r="X1019" s="4">
        <f>IF(W1019&gt;0,R1019/W1019-1,-1)</f>
        <v/>
      </c>
      <c r="Y1019" s="19">
        <f>IF(R1019&gt;0,S1019*資金模擬!$B$7/R1019,0)</f>
        <v/>
      </c>
      <c r="Z1019" s="2">
        <f>IF(OR(Z1018=1,R1019&lt;=資金模擬!$B$10),1,0)</f>
        <v/>
      </c>
    </row>
    <row r="1020">
      <c r="A1020" s="2" t="n">
        <v>1018</v>
      </c>
      <c r="B1020" s="7" t="n">
        <v>46292.45833333334</v>
      </c>
      <c r="C1020" s="2" t="inlineStr">
        <is>
          <t>出場</t>
        </is>
      </c>
      <c r="D1020" s="2" t="n">
        <v>510</v>
      </c>
      <c r="E1020" s="2" t="inlineStr">
        <is>
          <t>PHA_USDT_PERP</t>
        </is>
      </c>
      <c r="F1020" s="2" t="inlineStr">
        <is>
          <t>做空</t>
        </is>
      </c>
      <c r="G1020" s="20" t="n">
        <v>0.08004</v>
      </c>
      <c r="H1020" s="20" t="n">
        <v>0.07763879999999999</v>
      </c>
      <c r="I1020" s="20" t="n">
        <v>0.08404200000000001</v>
      </c>
      <c r="J1020" s="20" t="n">
        <v>0.07763879999999999</v>
      </c>
      <c r="K1020" s="2" t="inlineStr">
        <is>
          <t>止盈</t>
        </is>
      </c>
      <c r="L1020" s="5">
        <f>交易明細!K511</f>
        <v/>
      </c>
      <c r="M1020" s="19">
        <f>M1018</f>
        <v/>
      </c>
      <c r="N1020" s="2">
        <f>N1018</f>
        <v/>
      </c>
      <c r="O1020" s="19">
        <f>O1018</f>
        <v/>
      </c>
      <c r="P1020" s="4">
        <f>交易明細!L511</f>
        <v/>
      </c>
      <c r="Q1020" s="13">
        <f>IF(N1020="已下單",O1020*P1020,0)</f>
        <v/>
      </c>
      <c r="R1020" s="13">
        <f>R1019+Q1020</f>
        <v/>
      </c>
      <c r="S1020" s="19">
        <f>S1019-IF(N1020="已下單",M1020,0)</f>
        <v/>
      </c>
      <c r="T1020" s="19">
        <f>R1020-S1020</f>
        <v/>
      </c>
      <c r="U1020" s="2">
        <f>U1019-IF(N1020="已下單",1,0)</f>
        <v/>
      </c>
      <c r="V1020" s="19">
        <f>IF(資金模擬!$B$9=2,MAX(R1020,0),MAX(V1019,FLOOR(MAX(R1020,0),資金模擬!$B$6)))</f>
        <v/>
      </c>
      <c r="W1020" s="13">
        <f>MAX(W1019,R1020)</f>
        <v/>
      </c>
      <c r="X1020" s="4">
        <f>IF(W1020&gt;0,R1020/W1020-1,-1)</f>
        <v/>
      </c>
      <c r="Y1020" s="19">
        <f>IF(R1020&gt;0,S1020*資金模擬!$B$7/R1020,0)</f>
        <v/>
      </c>
      <c r="Z1020" s="2">
        <f>IF(OR(Z1019=1,R1020&lt;=資金模擬!$B$10),1,0)</f>
        <v/>
      </c>
    </row>
    <row r="1021">
      <c r="A1021" s="2" t="n">
        <v>1019</v>
      </c>
      <c r="B1021" s="7" t="n">
        <v>46292.54166666666</v>
      </c>
      <c r="C1021" s="2" t="inlineStr">
        <is>
          <t>出場</t>
        </is>
      </c>
      <c r="D1021" s="2" t="n">
        <v>508</v>
      </c>
      <c r="E1021" s="2" t="inlineStr">
        <is>
          <t>USELESS_USDT_PERP</t>
        </is>
      </c>
      <c r="F1021" s="2" t="inlineStr">
        <is>
          <t>做多</t>
        </is>
      </c>
      <c r="G1021" s="20" t="n">
        <v>0.2916</v>
      </c>
      <c r="H1021" s="20" t="n">
        <v>0.3003480000000001</v>
      </c>
      <c r="I1021" s="20" t="n">
        <v>0.27702</v>
      </c>
      <c r="J1021" s="20" t="n">
        <v>0.27702</v>
      </c>
      <c r="K1021" s="2" t="inlineStr">
        <is>
          <t>止損</t>
        </is>
      </c>
      <c r="L1021" s="5">
        <f>交易明細!K509</f>
        <v/>
      </c>
      <c r="M1021" s="19">
        <f>M1014</f>
        <v/>
      </c>
      <c r="N1021" s="2">
        <f>N1014</f>
        <v/>
      </c>
      <c r="O1021" s="19">
        <f>O1014</f>
        <v/>
      </c>
      <c r="P1021" s="4">
        <f>交易明細!L509</f>
        <v/>
      </c>
      <c r="Q1021" s="13">
        <f>IF(N1021="已下單",O1021*P1021,0)</f>
        <v/>
      </c>
      <c r="R1021" s="13">
        <f>R1020+Q1021</f>
        <v/>
      </c>
      <c r="S1021" s="19">
        <f>S1020-IF(N1021="已下單",M1021,0)</f>
        <v/>
      </c>
      <c r="T1021" s="19">
        <f>R1021-S1021</f>
        <v/>
      </c>
      <c r="U1021" s="2">
        <f>U1020-IF(N1021="已下單",1,0)</f>
        <v/>
      </c>
      <c r="V1021" s="19">
        <f>IF(資金模擬!$B$9=2,MAX(R1021,0),MAX(V1020,FLOOR(MAX(R1021,0),資金模擬!$B$6)))</f>
        <v/>
      </c>
      <c r="W1021" s="13">
        <f>MAX(W1020,R1021)</f>
        <v/>
      </c>
      <c r="X1021" s="4">
        <f>IF(W1021&gt;0,R1021/W1021-1,-1)</f>
        <v/>
      </c>
      <c r="Y1021" s="19">
        <f>IF(R1021&gt;0,S1021*資金模擬!$B$7/R1021,0)</f>
        <v/>
      </c>
      <c r="Z1021" s="2">
        <f>IF(OR(Z1020=1,R1021&lt;=資金模擬!$B$10),1,0)</f>
        <v/>
      </c>
    </row>
    <row r="1022">
      <c r="A1022" s="2" t="n">
        <v>1020</v>
      </c>
      <c r="B1022" s="7" t="n">
        <v>46292.54166666666</v>
      </c>
      <c r="C1022" s="2" t="inlineStr">
        <is>
          <t>出場</t>
        </is>
      </c>
      <c r="D1022" s="2" t="n">
        <v>509</v>
      </c>
      <c r="E1022" s="2" t="inlineStr">
        <is>
          <t>2Z_USDT_PERP</t>
        </is>
      </c>
      <c r="F1022" s="2" t="inlineStr">
        <is>
          <t>做空</t>
        </is>
      </c>
      <c r="G1022" s="20" t="n">
        <v>0.06859999999999999</v>
      </c>
      <c r="H1022" s="20" t="n">
        <v>0.06654199999999999</v>
      </c>
      <c r="I1022" s="20" t="n">
        <v>0.07203</v>
      </c>
      <c r="J1022" s="20" t="n">
        <v>0.06654199999999999</v>
      </c>
      <c r="K1022" s="2" t="inlineStr">
        <is>
          <t>止盈</t>
        </is>
      </c>
      <c r="L1022" s="5">
        <f>交易明細!K510</f>
        <v/>
      </c>
      <c r="M1022" s="19">
        <f>M1017</f>
        <v/>
      </c>
      <c r="N1022" s="2">
        <f>N1017</f>
        <v/>
      </c>
      <c r="O1022" s="19">
        <f>O1017</f>
        <v/>
      </c>
      <c r="P1022" s="4">
        <f>交易明細!L510</f>
        <v/>
      </c>
      <c r="Q1022" s="13">
        <f>IF(N1022="已下單",O1022*P1022,0)</f>
        <v/>
      </c>
      <c r="R1022" s="13">
        <f>R1021+Q1022</f>
        <v/>
      </c>
      <c r="S1022" s="19">
        <f>S1021-IF(N1022="已下單",M1022,0)</f>
        <v/>
      </c>
      <c r="T1022" s="19">
        <f>R1022-S1022</f>
        <v/>
      </c>
      <c r="U1022" s="2">
        <f>U1021-IF(N1022="已下單",1,0)</f>
        <v/>
      </c>
      <c r="V1022" s="19">
        <f>IF(資金模擬!$B$9=2,MAX(R1022,0),MAX(V1021,FLOOR(MAX(R1022,0),資金模擬!$B$6)))</f>
        <v/>
      </c>
      <c r="W1022" s="13">
        <f>MAX(W1021,R1022)</f>
        <v/>
      </c>
      <c r="X1022" s="4">
        <f>IF(W1022&gt;0,R1022/W1022-1,-1)</f>
        <v/>
      </c>
      <c r="Y1022" s="19">
        <f>IF(R1022&gt;0,S1022*資金模擬!$B$7/R1022,0)</f>
        <v/>
      </c>
      <c r="Z1022" s="2">
        <f>IF(OR(Z1021=1,R1022&lt;=資金模擬!$B$10),1,0)</f>
        <v/>
      </c>
    </row>
    <row r="1023">
      <c r="A1023" s="2" t="n">
        <v>1021</v>
      </c>
      <c r="B1023" s="7" t="n">
        <v>46292.54166666666</v>
      </c>
      <c r="C1023" s="2" t="inlineStr">
        <is>
          <t>進場</t>
        </is>
      </c>
      <c r="D1023" s="2" t="n">
        <v>512</v>
      </c>
      <c r="E1023" s="2" t="inlineStr">
        <is>
          <t>PONS_USDT_PERP</t>
        </is>
      </c>
      <c r="F1023" s="2" t="inlineStr">
        <is>
          <t>做空</t>
        </is>
      </c>
      <c r="G1023" s="20" t="n">
        <v>0.6106</v>
      </c>
      <c r="H1023" s="20" t="n">
        <v>0.592282</v>
      </c>
      <c r="I1023" s="20" t="n">
        <v>0.6411300000000001</v>
      </c>
      <c r="J1023" s="20" t="n"/>
      <c r="K1023" s="2" t="n"/>
      <c r="L1023" s="5" t="n"/>
      <c r="M1023" s="19">
        <f>資金模擬!$B$5*V1022</f>
        <v/>
      </c>
      <c r="N1023" s="2">
        <f>IF(Z1022=1,"已停止",IF(T1022&gt;=M1023,"已下單","資金不足略過"))</f>
        <v/>
      </c>
      <c r="O1023" s="19">
        <f>IF(N1023="已下單",M1023*資金模擬!$B$7,0)</f>
        <v/>
      </c>
      <c r="P1023" s="4" t="n"/>
      <c r="Q1023" s="13" t="n">
        <v>0</v>
      </c>
      <c r="R1023" s="13">
        <f>R1022+Q1023</f>
        <v/>
      </c>
      <c r="S1023" s="19">
        <f>S1022+IF(N1023="已下單",M1023,0)</f>
        <v/>
      </c>
      <c r="T1023" s="19">
        <f>R1023-S1023</f>
        <v/>
      </c>
      <c r="U1023" s="2">
        <f>U1022+IF(N1023="已下單",1,0)</f>
        <v/>
      </c>
      <c r="V1023" s="19">
        <f>IF(資金模擬!$B$9=2,MAX(R1023,0),MAX(V1022,FLOOR(MAX(R1023,0),資金模擬!$B$6)))</f>
        <v/>
      </c>
      <c r="W1023" s="13">
        <f>MAX(W1022,R1023)</f>
        <v/>
      </c>
      <c r="X1023" s="4">
        <f>IF(W1023&gt;0,R1023/W1023-1,-1)</f>
        <v/>
      </c>
      <c r="Y1023" s="19">
        <f>IF(R1023&gt;0,S1023*資金模擬!$B$7/R1023,0)</f>
        <v/>
      </c>
      <c r="Z1023" s="2">
        <f>IF(OR(Z1022=1,R1023&lt;=資金模擬!$B$10),1,0)</f>
        <v/>
      </c>
    </row>
    <row r="1024">
      <c r="A1024" s="2" t="n">
        <v>1022</v>
      </c>
      <c r="B1024" s="7" t="n">
        <v>46292.58333333334</v>
      </c>
      <c r="C1024" s="2" t="inlineStr">
        <is>
          <t>出場</t>
        </is>
      </c>
      <c r="D1024" s="2" t="n">
        <v>507</v>
      </c>
      <c r="E1024" s="2" t="inlineStr">
        <is>
          <t>NEAR_USDT_PERP</t>
        </is>
      </c>
      <c r="F1024" s="2" t="inlineStr">
        <is>
          <t>做多</t>
        </is>
      </c>
      <c r="G1024" s="20" t="n">
        <v>5.038</v>
      </c>
      <c r="H1024" s="20" t="n">
        <v>5.18914</v>
      </c>
      <c r="I1024" s="20" t="n">
        <v>4.7861</v>
      </c>
      <c r="J1024" s="20" t="n">
        <v>5.18914</v>
      </c>
      <c r="K1024" s="2" t="inlineStr">
        <is>
          <t>止盈</t>
        </is>
      </c>
      <c r="L1024" s="5">
        <f>交易明細!K508</f>
        <v/>
      </c>
      <c r="M1024" s="19">
        <f>M1013</f>
        <v/>
      </c>
      <c r="N1024" s="2">
        <f>N1013</f>
        <v/>
      </c>
      <c r="O1024" s="19">
        <f>O1013</f>
        <v/>
      </c>
      <c r="P1024" s="4">
        <f>交易明細!L508</f>
        <v/>
      </c>
      <c r="Q1024" s="13">
        <f>IF(N1024="已下單",O1024*P1024,0)</f>
        <v/>
      </c>
      <c r="R1024" s="13">
        <f>R1023+Q1024</f>
        <v/>
      </c>
      <c r="S1024" s="19">
        <f>S1023-IF(N1024="已下單",M1024,0)</f>
        <v/>
      </c>
      <c r="T1024" s="19">
        <f>R1024-S1024</f>
        <v/>
      </c>
      <c r="U1024" s="2">
        <f>U1023-IF(N1024="已下單",1,0)</f>
        <v/>
      </c>
      <c r="V1024" s="19">
        <f>IF(資金模擬!$B$9=2,MAX(R1024,0),MAX(V1023,FLOOR(MAX(R1024,0),資金模擬!$B$6)))</f>
        <v/>
      </c>
      <c r="W1024" s="13">
        <f>MAX(W1023,R1024)</f>
        <v/>
      </c>
      <c r="X1024" s="4">
        <f>IF(W1024&gt;0,R1024/W1024-1,-1)</f>
        <v/>
      </c>
      <c r="Y1024" s="19">
        <f>IF(R1024&gt;0,S1024*資金模擬!$B$7/R1024,0)</f>
        <v/>
      </c>
      <c r="Z1024" s="2">
        <f>IF(OR(Z1023=1,R1024&lt;=資金模擬!$B$10),1,0)</f>
        <v/>
      </c>
    </row>
    <row r="1025">
      <c r="A1025" s="2" t="n">
        <v>1023</v>
      </c>
      <c r="B1025" s="7" t="n">
        <v>46292.58333333334</v>
      </c>
      <c r="C1025" s="2" t="inlineStr">
        <is>
          <t>進場</t>
        </is>
      </c>
      <c r="D1025" s="2" t="n">
        <v>513</v>
      </c>
      <c r="E1025" s="2" t="inlineStr">
        <is>
          <t>MARSCOIN_USDT_PERP</t>
        </is>
      </c>
      <c r="F1025" s="2" t="inlineStr">
        <is>
          <t>做多</t>
        </is>
      </c>
      <c r="G1025" s="20" t="n">
        <v>0.13033</v>
      </c>
      <c r="H1025" s="20" t="n">
        <v>0.1342399</v>
      </c>
      <c r="I1025" s="20" t="n">
        <v>0.1238135</v>
      </c>
      <c r="J1025" s="20" t="n"/>
      <c r="K1025" s="2" t="n"/>
      <c r="L1025" s="5" t="n"/>
      <c r="M1025" s="19">
        <f>資金模擬!$B$5*V1024</f>
        <v/>
      </c>
      <c r="N1025" s="2">
        <f>IF(Z1024=1,"已停止",IF(T1024&gt;=M1025,"已下單","資金不足略過"))</f>
        <v/>
      </c>
      <c r="O1025" s="19">
        <f>IF(N1025="已下單",M1025*資金模擬!$B$7,0)</f>
        <v/>
      </c>
      <c r="P1025" s="4" t="n"/>
      <c r="Q1025" s="13" t="n">
        <v>0</v>
      </c>
      <c r="R1025" s="13">
        <f>R1024+Q1025</f>
        <v/>
      </c>
      <c r="S1025" s="19">
        <f>S1024+IF(N1025="已下單",M1025,0)</f>
        <v/>
      </c>
      <c r="T1025" s="19">
        <f>R1025-S1025</f>
        <v/>
      </c>
      <c r="U1025" s="2">
        <f>U1024+IF(N1025="已下單",1,0)</f>
        <v/>
      </c>
      <c r="V1025" s="19">
        <f>IF(資金模擬!$B$9=2,MAX(R1025,0),MAX(V1024,FLOOR(MAX(R1025,0),資金模擬!$B$6)))</f>
        <v/>
      </c>
      <c r="W1025" s="13">
        <f>MAX(W1024,R1025)</f>
        <v/>
      </c>
      <c r="X1025" s="4">
        <f>IF(W1025&gt;0,R1025/W1025-1,-1)</f>
        <v/>
      </c>
      <c r="Y1025" s="19">
        <f>IF(R1025&gt;0,S1025*資金模擬!$B$7/R1025,0)</f>
        <v/>
      </c>
      <c r="Z1025" s="2">
        <f>IF(OR(Z1024=1,R1025&lt;=資金模擬!$B$10),1,0)</f>
        <v/>
      </c>
    </row>
    <row r="1026">
      <c r="A1026" s="2" t="n">
        <v>1024</v>
      </c>
      <c r="B1026" s="7" t="n">
        <v>46292.58333333334</v>
      </c>
      <c r="C1026" s="2" t="inlineStr">
        <is>
          <t>進場</t>
        </is>
      </c>
      <c r="D1026" s="2" t="n">
        <v>514</v>
      </c>
      <c r="E1026" s="2" t="inlineStr">
        <is>
          <t>USELESS_USDT_PERP</t>
        </is>
      </c>
      <c r="F1026" s="2" t="inlineStr">
        <is>
          <t>做多</t>
        </is>
      </c>
      <c r="G1026" s="20" t="n">
        <v>0.28713</v>
      </c>
      <c r="H1026" s="20" t="n">
        <v>0.2957439</v>
      </c>
      <c r="I1026" s="20" t="n">
        <v>0.2727735</v>
      </c>
      <c r="J1026" s="20" t="n"/>
      <c r="K1026" s="2" t="n"/>
      <c r="L1026" s="5" t="n"/>
      <c r="M1026" s="19">
        <f>資金模擬!$B$5*V1025</f>
        <v/>
      </c>
      <c r="N1026" s="2">
        <f>IF(Z1025=1,"已停止",IF(T1025&gt;=M1026,"已下單","資金不足略過"))</f>
        <v/>
      </c>
      <c r="O1026" s="19">
        <f>IF(N1026="已下單",M1026*資金模擬!$B$7,0)</f>
        <v/>
      </c>
      <c r="P1026" s="4" t="n"/>
      <c r="Q1026" s="13" t="n">
        <v>0</v>
      </c>
      <c r="R1026" s="13">
        <f>R1025+Q1026</f>
        <v/>
      </c>
      <c r="S1026" s="19">
        <f>S1025+IF(N1026="已下單",M1026,0)</f>
        <v/>
      </c>
      <c r="T1026" s="19">
        <f>R1026-S1026</f>
        <v/>
      </c>
      <c r="U1026" s="2">
        <f>U1025+IF(N1026="已下單",1,0)</f>
        <v/>
      </c>
      <c r="V1026" s="19">
        <f>IF(資金模擬!$B$9=2,MAX(R1026,0),MAX(V1025,FLOOR(MAX(R1026,0),資金模擬!$B$6)))</f>
        <v/>
      </c>
      <c r="W1026" s="13">
        <f>MAX(W1025,R1026)</f>
        <v/>
      </c>
      <c r="X1026" s="4">
        <f>IF(W1026&gt;0,R1026/W1026-1,-1)</f>
        <v/>
      </c>
      <c r="Y1026" s="19">
        <f>IF(R1026&gt;0,S1026*資金模擬!$B$7/R1026,0)</f>
        <v/>
      </c>
      <c r="Z1026" s="2">
        <f>IF(OR(Z1025=1,R1026&lt;=資金模擬!$B$10),1,0)</f>
        <v/>
      </c>
    </row>
    <row r="1027">
      <c r="A1027" s="2" t="n">
        <v>1025</v>
      </c>
      <c r="B1027" s="7" t="n">
        <v>46292.625</v>
      </c>
      <c r="C1027" s="2" t="inlineStr">
        <is>
          <t>進場</t>
        </is>
      </c>
      <c r="D1027" s="2" t="n">
        <v>515</v>
      </c>
      <c r="E1027" s="2" t="inlineStr">
        <is>
          <t>BR_USDT_PERP</t>
        </is>
      </c>
      <c r="F1027" s="2" t="inlineStr">
        <is>
          <t>做空</t>
        </is>
      </c>
      <c r="G1027" s="20" t="n">
        <v>0.92489</v>
      </c>
      <c r="H1027" s="20" t="n">
        <v>0.8971433</v>
      </c>
      <c r="I1027" s="20" t="n">
        <v>0.9711345</v>
      </c>
      <c r="J1027" s="20" t="n"/>
      <c r="K1027" s="2" t="n"/>
      <c r="L1027" s="5" t="n"/>
      <c r="M1027" s="19">
        <f>資金模擬!$B$5*V1026</f>
        <v/>
      </c>
      <c r="N1027" s="2">
        <f>IF(Z1026=1,"已停止",IF(T1026&gt;=M1027,"已下單","資金不足略過"))</f>
        <v/>
      </c>
      <c r="O1027" s="19">
        <f>IF(N1027="已下單",M1027*資金模擬!$B$7,0)</f>
        <v/>
      </c>
      <c r="P1027" s="4" t="n"/>
      <c r="Q1027" s="13" t="n">
        <v>0</v>
      </c>
      <c r="R1027" s="13">
        <f>R1026+Q1027</f>
        <v/>
      </c>
      <c r="S1027" s="19">
        <f>S1026+IF(N1027="已下單",M1027,0)</f>
        <v/>
      </c>
      <c r="T1027" s="19">
        <f>R1027-S1027</f>
        <v/>
      </c>
      <c r="U1027" s="2">
        <f>U1026+IF(N1027="已下單",1,0)</f>
        <v/>
      </c>
      <c r="V1027" s="19">
        <f>IF(資金模擬!$B$9=2,MAX(R1027,0),MAX(V1026,FLOOR(MAX(R1027,0),資金模擬!$B$6)))</f>
        <v/>
      </c>
      <c r="W1027" s="13">
        <f>MAX(W1026,R1027)</f>
        <v/>
      </c>
      <c r="X1027" s="4">
        <f>IF(W1027&gt;0,R1027/W1027-1,-1)</f>
        <v/>
      </c>
      <c r="Y1027" s="19">
        <f>IF(R1027&gt;0,S1027*資金模擬!$B$7/R1027,0)</f>
        <v/>
      </c>
      <c r="Z1027" s="2">
        <f>IF(OR(Z1026=1,R1027&lt;=資金模擬!$B$10),1,0)</f>
        <v/>
      </c>
    </row>
    <row r="1028">
      <c r="A1028" s="2" t="n">
        <v>1026</v>
      </c>
      <c r="B1028" s="7" t="n">
        <v>46292.625</v>
      </c>
      <c r="C1028" s="2" t="inlineStr">
        <is>
          <t>進場</t>
        </is>
      </c>
      <c r="D1028" s="2" t="n">
        <v>516</v>
      </c>
      <c r="E1028" s="2" t="inlineStr">
        <is>
          <t>WLD_USDT_PERP</t>
        </is>
      </c>
      <c r="F1028" s="2" t="inlineStr">
        <is>
          <t>做多</t>
        </is>
      </c>
      <c r="G1028" s="20" t="n">
        <v>0.5365</v>
      </c>
      <c r="H1028" s="20" t="n">
        <v>0.5525949999999999</v>
      </c>
      <c r="I1028" s="20" t="n">
        <v>0.509675</v>
      </c>
      <c r="J1028" s="20" t="n"/>
      <c r="K1028" s="2" t="n"/>
      <c r="L1028" s="5" t="n"/>
      <c r="M1028" s="19">
        <f>資金模擬!$B$5*V1027</f>
        <v/>
      </c>
      <c r="N1028" s="2">
        <f>IF(Z1027=1,"已停止",IF(T1027&gt;=M1028,"已下單","資金不足略過"))</f>
        <v/>
      </c>
      <c r="O1028" s="19">
        <f>IF(N1028="已下單",M1028*資金模擬!$B$7,0)</f>
        <v/>
      </c>
      <c r="P1028" s="4" t="n"/>
      <c r="Q1028" s="13" t="n">
        <v>0</v>
      </c>
      <c r="R1028" s="13">
        <f>R1027+Q1028</f>
        <v/>
      </c>
      <c r="S1028" s="19">
        <f>S1027+IF(N1028="已下單",M1028,0)</f>
        <v/>
      </c>
      <c r="T1028" s="19">
        <f>R1028-S1028</f>
        <v/>
      </c>
      <c r="U1028" s="2">
        <f>U1027+IF(N1028="已下單",1,0)</f>
        <v/>
      </c>
      <c r="V1028" s="19">
        <f>IF(資金模擬!$B$9=2,MAX(R1028,0),MAX(V1027,FLOOR(MAX(R1028,0),資金模擬!$B$6)))</f>
        <v/>
      </c>
      <c r="W1028" s="13">
        <f>MAX(W1027,R1028)</f>
        <v/>
      </c>
      <c r="X1028" s="4">
        <f>IF(W1028&gt;0,R1028/W1028-1,-1)</f>
        <v/>
      </c>
      <c r="Y1028" s="19">
        <f>IF(R1028&gt;0,S1028*資金模擬!$B$7/R1028,0)</f>
        <v/>
      </c>
      <c r="Z1028" s="2">
        <f>IF(OR(Z1027=1,R1028&lt;=資金模擬!$B$10),1,0)</f>
        <v/>
      </c>
    </row>
    <row r="1029">
      <c r="A1029" s="2" t="n">
        <v>1027</v>
      </c>
      <c r="B1029" s="7" t="n">
        <v>46292.66666666666</v>
      </c>
      <c r="C1029" s="2" t="inlineStr">
        <is>
          <t>出場</t>
        </is>
      </c>
      <c r="D1029" s="2" t="n">
        <v>515</v>
      </c>
      <c r="E1029" s="2" t="inlineStr">
        <is>
          <t>BR_USDT_PERP</t>
        </is>
      </c>
      <c r="F1029" s="2" t="inlineStr">
        <is>
          <t>做空</t>
        </is>
      </c>
      <c r="G1029" s="20" t="n">
        <v>0.92489</v>
      </c>
      <c r="H1029" s="20" t="n">
        <v>0.8971433</v>
      </c>
      <c r="I1029" s="20" t="n">
        <v>0.9711345</v>
      </c>
      <c r="J1029" s="20" t="n">
        <v>0.8971433</v>
      </c>
      <c r="K1029" s="2" t="inlineStr">
        <is>
          <t>止盈</t>
        </is>
      </c>
      <c r="L1029" s="5">
        <f>交易明細!K516</f>
        <v/>
      </c>
      <c r="M1029" s="19">
        <f>M1027</f>
        <v/>
      </c>
      <c r="N1029" s="2">
        <f>N1027</f>
        <v/>
      </c>
      <c r="O1029" s="19">
        <f>O1027</f>
        <v/>
      </c>
      <c r="P1029" s="4">
        <f>交易明細!L516</f>
        <v/>
      </c>
      <c r="Q1029" s="13">
        <f>IF(N1029="已下單",O1029*P1029,0)</f>
        <v/>
      </c>
      <c r="R1029" s="13">
        <f>R1028+Q1029</f>
        <v/>
      </c>
      <c r="S1029" s="19">
        <f>S1028-IF(N1029="已下單",M1029,0)</f>
        <v/>
      </c>
      <c r="T1029" s="19">
        <f>R1029-S1029</f>
        <v/>
      </c>
      <c r="U1029" s="2">
        <f>U1028-IF(N1029="已下單",1,0)</f>
        <v/>
      </c>
      <c r="V1029" s="19">
        <f>IF(資金模擬!$B$9=2,MAX(R1029,0),MAX(V1028,FLOOR(MAX(R1029,0),資金模擬!$B$6)))</f>
        <v/>
      </c>
      <c r="W1029" s="13">
        <f>MAX(W1028,R1029)</f>
        <v/>
      </c>
      <c r="X1029" s="4">
        <f>IF(W1029&gt;0,R1029/W1029-1,-1)</f>
        <v/>
      </c>
      <c r="Y1029" s="19">
        <f>IF(R1029&gt;0,S1029*資金模擬!$B$7/R1029,0)</f>
        <v/>
      </c>
      <c r="Z1029" s="2">
        <f>IF(OR(Z1028=1,R1029&lt;=資金模擬!$B$10),1,0)</f>
        <v/>
      </c>
    </row>
    <row r="1030">
      <c r="A1030" s="2" t="n">
        <v>1028</v>
      </c>
      <c r="B1030" s="7" t="n">
        <v>46292.70833333334</v>
      </c>
      <c r="C1030" s="2" t="inlineStr">
        <is>
          <t>出場</t>
        </is>
      </c>
      <c r="D1030" s="2" t="n">
        <v>516</v>
      </c>
      <c r="E1030" s="2" t="inlineStr">
        <is>
          <t>WLD_USDT_PERP</t>
        </is>
      </c>
      <c r="F1030" s="2" t="inlineStr">
        <is>
          <t>做多</t>
        </is>
      </c>
      <c r="G1030" s="20" t="n">
        <v>0.5365</v>
      </c>
      <c r="H1030" s="20" t="n">
        <v>0.5525949999999999</v>
      </c>
      <c r="I1030" s="20" t="n">
        <v>0.509675</v>
      </c>
      <c r="J1030" s="20" t="n">
        <v>0.5525949999999999</v>
      </c>
      <c r="K1030" s="2" t="inlineStr">
        <is>
          <t>止盈</t>
        </is>
      </c>
      <c r="L1030" s="5">
        <f>交易明細!K517</f>
        <v/>
      </c>
      <c r="M1030" s="19">
        <f>M1028</f>
        <v/>
      </c>
      <c r="N1030" s="2">
        <f>N1028</f>
        <v/>
      </c>
      <c r="O1030" s="19">
        <f>O1028</f>
        <v/>
      </c>
      <c r="P1030" s="4">
        <f>交易明細!L517</f>
        <v/>
      </c>
      <c r="Q1030" s="13">
        <f>IF(N1030="已下單",O1030*P1030,0)</f>
        <v/>
      </c>
      <c r="R1030" s="13">
        <f>R1029+Q1030</f>
        <v/>
      </c>
      <c r="S1030" s="19">
        <f>S1029-IF(N1030="已下單",M1030,0)</f>
        <v/>
      </c>
      <c r="T1030" s="19">
        <f>R1030-S1030</f>
        <v/>
      </c>
      <c r="U1030" s="2">
        <f>U1029-IF(N1030="已下單",1,0)</f>
        <v/>
      </c>
      <c r="V1030" s="19">
        <f>IF(資金模擬!$B$9=2,MAX(R1030,0),MAX(V1029,FLOOR(MAX(R1030,0),資金模擬!$B$6)))</f>
        <v/>
      </c>
      <c r="W1030" s="13">
        <f>MAX(W1029,R1030)</f>
        <v/>
      </c>
      <c r="X1030" s="4">
        <f>IF(W1030&gt;0,R1030/W1030-1,-1)</f>
        <v/>
      </c>
      <c r="Y1030" s="19">
        <f>IF(R1030&gt;0,S1030*資金模擬!$B$7/R1030,0)</f>
        <v/>
      </c>
      <c r="Z1030" s="2">
        <f>IF(OR(Z1029=1,R1030&lt;=資金模擬!$B$10),1,0)</f>
        <v/>
      </c>
    </row>
    <row r="1031">
      <c r="A1031" s="2" t="n">
        <v>1029</v>
      </c>
      <c r="B1031" s="7" t="n">
        <v>46292.79166666666</v>
      </c>
      <c r="C1031" s="2" t="inlineStr">
        <is>
          <t>出場</t>
        </is>
      </c>
      <c r="D1031" s="2" t="n">
        <v>513</v>
      </c>
      <c r="E1031" s="2" t="inlineStr">
        <is>
          <t>MARSCOIN_USDT_PERP</t>
        </is>
      </c>
      <c r="F1031" s="2" t="inlineStr">
        <is>
          <t>做多</t>
        </is>
      </c>
      <c r="G1031" s="20" t="n">
        <v>0.13033</v>
      </c>
      <c r="H1031" s="20" t="n">
        <v>0.1342399</v>
      </c>
      <c r="I1031" s="20" t="n">
        <v>0.1238135</v>
      </c>
      <c r="J1031" s="20" t="n">
        <v>0.1342399</v>
      </c>
      <c r="K1031" s="2" t="inlineStr">
        <is>
          <t>止盈</t>
        </is>
      </c>
      <c r="L1031" s="5">
        <f>交易明細!K514</f>
        <v/>
      </c>
      <c r="M1031" s="19">
        <f>M1025</f>
        <v/>
      </c>
      <c r="N1031" s="2">
        <f>N1025</f>
        <v/>
      </c>
      <c r="O1031" s="19">
        <f>O1025</f>
        <v/>
      </c>
      <c r="P1031" s="4">
        <f>交易明細!L514</f>
        <v/>
      </c>
      <c r="Q1031" s="13">
        <f>IF(N1031="已下單",O1031*P1031,0)</f>
        <v/>
      </c>
      <c r="R1031" s="13">
        <f>R1030+Q1031</f>
        <v/>
      </c>
      <c r="S1031" s="19">
        <f>S1030-IF(N1031="已下單",M1031,0)</f>
        <v/>
      </c>
      <c r="T1031" s="19">
        <f>R1031-S1031</f>
        <v/>
      </c>
      <c r="U1031" s="2">
        <f>U1030-IF(N1031="已下單",1,0)</f>
        <v/>
      </c>
      <c r="V1031" s="19">
        <f>IF(資金模擬!$B$9=2,MAX(R1031,0),MAX(V1030,FLOOR(MAX(R1031,0),資金模擬!$B$6)))</f>
        <v/>
      </c>
      <c r="W1031" s="13">
        <f>MAX(W1030,R1031)</f>
        <v/>
      </c>
      <c r="X1031" s="4">
        <f>IF(W1031&gt;0,R1031/W1031-1,-1)</f>
        <v/>
      </c>
      <c r="Y1031" s="19">
        <f>IF(R1031&gt;0,S1031*資金模擬!$B$7/R1031,0)</f>
        <v/>
      </c>
      <c r="Z1031" s="2">
        <f>IF(OR(Z1030=1,R1031&lt;=資金模擬!$B$10),1,0)</f>
        <v/>
      </c>
    </row>
    <row r="1032">
      <c r="A1032" s="2" t="n">
        <v>1030</v>
      </c>
      <c r="B1032" s="7" t="n">
        <v>46292.79166666666</v>
      </c>
      <c r="C1032" s="2" t="inlineStr">
        <is>
          <t>進場</t>
        </is>
      </c>
      <c r="D1032" s="2" t="n">
        <v>517</v>
      </c>
      <c r="E1032" s="2" t="inlineStr">
        <is>
          <t>DASH_USDT_PERP</t>
        </is>
      </c>
      <c r="F1032" s="2" t="inlineStr">
        <is>
          <t>做空</t>
        </is>
      </c>
      <c r="G1032" s="20" t="n">
        <v>69.26000000000001</v>
      </c>
      <c r="H1032" s="20" t="n">
        <v>67.18220000000001</v>
      </c>
      <c r="I1032" s="20" t="n">
        <v>72.72300000000001</v>
      </c>
      <c r="J1032" s="20" t="n"/>
      <c r="K1032" s="2" t="n"/>
      <c r="L1032" s="5" t="n"/>
      <c r="M1032" s="19">
        <f>資金模擬!$B$5*V1031</f>
        <v/>
      </c>
      <c r="N1032" s="2">
        <f>IF(Z1031=1,"已停止",IF(T1031&gt;=M1032,"已下單","資金不足略過"))</f>
        <v/>
      </c>
      <c r="O1032" s="19">
        <f>IF(N1032="已下單",M1032*資金模擬!$B$7,0)</f>
        <v/>
      </c>
      <c r="P1032" s="4" t="n"/>
      <c r="Q1032" s="13" t="n">
        <v>0</v>
      </c>
      <c r="R1032" s="13">
        <f>R1031+Q1032</f>
        <v/>
      </c>
      <c r="S1032" s="19">
        <f>S1031+IF(N1032="已下單",M1032,0)</f>
        <v/>
      </c>
      <c r="T1032" s="19">
        <f>R1032-S1032</f>
        <v/>
      </c>
      <c r="U1032" s="2">
        <f>U1031+IF(N1032="已下單",1,0)</f>
        <v/>
      </c>
      <c r="V1032" s="19">
        <f>IF(資金模擬!$B$9=2,MAX(R1032,0),MAX(V1031,FLOOR(MAX(R1032,0),資金模擬!$B$6)))</f>
        <v/>
      </c>
      <c r="W1032" s="13">
        <f>MAX(W1031,R1032)</f>
        <v/>
      </c>
      <c r="X1032" s="4">
        <f>IF(W1032&gt;0,R1032/W1032-1,-1)</f>
        <v/>
      </c>
      <c r="Y1032" s="19">
        <f>IF(R1032&gt;0,S1032*資金模擬!$B$7/R1032,0)</f>
        <v/>
      </c>
      <c r="Z1032" s="2">
        <f>IF(OR(Z1031=1,R1032&lt;=資金模擬!$B$10),1,0)</f>
        <v/>
      </c>
    </row>
    <row r="1033">
      <c r="A1033" s="2" t="n">
        <v>1031</v>
      </c>
      <c r="B1033" s="7" t="n">
        <v>46292.83333333334</v>
      </c>
      <c r="C1033" s="2" t="inlineStr">
        <is>
          <t>出場</t>
        </is>
      </c>
      <c r="D1033" s="2" t="n">
        <v>511</v>
      </c>
      <c r="E1033" s="2" t="inlineStr">
        <is>
          <t>AKE_USDT_PERP</t>
        </is>
      </c>
      <c r="F1033" s="2" t="inlineStr">
        <is>
          <t>做多</t>
        </is>
      </c>
      <c r="G1033" s="20" t="n">
        <v>0.0342425</v>
      </c>
      <c r="H1033" s="20" t="n">
        <v>0.035269775</v>
      </c>
      <c r="I1033" s="20" t="n">
        <v>0.032530375</v>
      </c>
      <c r="J1033" s="20" t="n">
        <v>0.032530375</v>
      </c>
      <c r="K1033" s="2" t="inlineStr">
        <is>
          <t>止損</t>
        </is>
      </c>
      <c r="L1033" s="5">
        <f>交易明細!K512</f>
        <v/>
      </c>
      <c r="M1033" s="19">
        <f>M1019</f>
        <v/>
      </c>
      <c r="N1033" s="2">
        <f>N1019</f>
        <v/>
      </c>
      <c r="O1033" s="19">
        <f>O1019</f>
        <v/>
      </c>
      <c r="P1033" s="4">
        <f>交易明細!L512</f>
        <v/>
      </c>
      <c r="Q1033" s="13">
        <f>IF(N1033="已下單",O1033*P1033,0)</f>
        <v/>
      </c>
      <c r="R1033" s="13">
        <f>R1032+Q1033</f>
        <v/>
      </c>
      <c r="S1033" s="19">
        <f>S1032-IF(N1033="已下單",M1033,0)</f>
        <v/>
      </c>
      <c r="T1033" s="19">
        <f>R1033-S1033</f>
        <v/>
      </c>
      <c r="U1033" s="2">
        <f>U1032-IF(N1033="已下單",1,0)</f>
        <v/>
      </c>
      <c r="V1033" s="19">
        <f>IF(資金模擬!$B$9=2,MAX(R1033,0),MAX(V1032,FLOOR(MAX(R1033,0),資金模擬!$B$6)))</f>
        <v/>
      </c>
      <c r="W1033" s="13">
        <f>MAX(W1032,R1033)</f>
        <v/>
      </c>
      <c r="X1033" s="4">
        <f>IF(W1033&gt;0,R1033/W1033-1,-1)</f>
        <v/>
      </c>
      <c r="Y1033" s="19">
        <f>IF(R1033&gt;0,S1033*資金模擬!$B$7/R1033,0)</f>
        <v/>
      </c>
      <c r="Z1033" s="2">
        <f>IF(OR(Z1032=1,R1033&lt;=資金模擬!$B$10),1,0)</f>
        <v/>
      </c>
    </row>
    <row r="1034">
      <c r="A1034" s="2" t="n">
        <v>1032</v>
      </c>
      <c r="B1034" s="7" t="n">
        <v>46292.83333333334</v>
      </c>
      <c r="C1034" s="2" t="inlineStr">
        <is>
          <t>出場</t>
        </is>
      </c>
      <c r="D1034" s="2" t="n">
        <v>514</v>
      </c>
      <c r="E1034" s="2" t="inlineStr">
        <is>
          <t>USELESS_USDT_PERP</t>
        </is>
      </c>
      <c r="F1034" s="2" t="inlineStr">
        <is>
          <t>做多</t>
        </is>
      </c>
      <c r="G1034" s="20" t="n">
        <v>0.28713</v>
      </c>
      <c r="H1034" s="20" t="n">
        <v>0.2957439</v>
      </c>
      <c r="I1034" s="20" t="n">
        <v>0.2727735</v>
      </c>
      <c r="J1034" s="20" t="n">
        <v>0.2957439</v>
      </c>
      <c r="K1034" s="2" t="inlineStr">
        <is>
          <t>止盈</t>
        </is>
      </c>
      <c r="L1034" s="5">
        <f>交易明細!K515</f>
        <v/>
      </c>
      <c r="M1034" s="19">
        <f>M1026</f>
        <v/>
      </c>
      <c r="N1034" s="2">
        <f>N1026</f>
        <v/>
      </c>
      <c r="O1034" s="19">
        <f>O1026</f>
        <v/>
      </c>
      <c r="P1034" s="4">
        <f>交易明細!L515</f>
        <v/>
      </c>
      <c r="Q1034" s="13">
        <f>IF(N1034="已下單",O1034*P1034,0)</f>
        <v/>
      </c>
      <c r="R1034" s="13">
        <f>R1033+Q1034</f>
        <v/>
      </c>
      <c r="S1034" s="19">
        <f>S1033-IF(N1034="已下單",M1034,0)</f>
        <v/>
      </c>
      <c r="T1034" s="19">
        <f>R1034-S1034</f>
        <v/>
      </c>
      <c r="U1034" s="2">
        <f>U1033-IF(N1034="已下單",1,0)</f>
        <v/>
      </c>
      <c r="V1034" s="19">
        <f>IF(資金模擬!$B$9=2,MAX(R1034,0),MAX(V1033,FLOOR(MAX(R1034,0),資金模擬!$B$6)))</f>
        <v/>
      </c>
      <c r="W1034" s="13">
        <f>MAX(W1033,R1034)</f>
        <v/>
      </c>
      <c r="X1034" s="4">
        <f>IF(W1034&gt;0,R1034/W1034-1,-1)</f>
        <v/>
      </c>
      <c r="Y1034" s="19">
        <f>IF(R1034&gt;0,S1034*資金模擬!$B$7/R1034,0)</f>
        <v/>
      </c>
      <c r="Z1034" s="2">
        <f>IF(OR(Z1033=1,R1034&lt;=資金模擬!$B$10),1,0)</f>
        <v/>
      </c>
    </row>
    <row r="1035">
      <c r="A1035" s="2" t="n">
        <v>1033</v>
      </c>
      <c r="B1035" s="7" t="n">
        <v>46292.83333333334</v>
      </c>
      <c r="C1035" s="2" t="inlineStr">
        <is>
          <t>進場</t>
        </is>
      </c>
      <c r="D1035" s="2" t="n">
        <v>518</v>
      </c>
      <c r="E1035" s="2" t="inlineStr">
        <is>
          <t>BR_USDT_PERP</t>
        </is>
      </c>
      <c r="F1035" s="2" t="inlineStr">
        <is>
          <t>做空</t>
        </is>
      </c>
      <c r="G1035" s="20" t="n">
        <v>0.90447</v>
      </c>
      <c r="H1035" s="20" t="n">
        <v>0.8773358999999999</v>
      </c>
      <c r="I1035" s="20" t="n">
        <v>0.9496935000000001</v>
      </c>
      <c r="J1035" s="20" t="n"/>
      <c r="K1035" s="2" t="n"/>
      <c r="L1035" s="5" t="n"/>
      <c r="M1035" s="19">
        <f>資金模擬!$B$5*V1034</f>
        <v/>
      </c>
      <c r="N1035" s="2">
        <f>IF(Z1034=1,"已停止",IF(T1034&gt;=M1035,"已下單","資金不足略過"))</f>
        <v/>
      </c>
      <c r="O1035" s="19">
        <f>IF(N1035="已下單",M1035*資金模擬!$B$7,0)</f>
        <v/>
      </c>
      <c r="P1035" s="4" t="n"/>
      <c r="Q1035" s="13" t="n">
        <v>0</v>
      </c>
      <c r="R1035" s="13">
        <f>R1034+Q1035</f>
        <v/>
      </c>
      <c r="S1035" s="19">
        <f>S1034+IF(N1035="已下單",M1035,0)</f>
        <v/>
      </c>
      <c r="T1035" s="19">
        <f>R1035-S1035</f>
        <v/>
      </c>
      <c r="U1035" s="2">
        <f>U1034+IF(N1035="已下單",1,0)</f>
        <v/>
      </c>
      <c r="V1035" s="19">
        <f>IF(資金模擬!$B$9=2,MAX(R1035,0),MAX(V1034,FLOOR(MAX(R1035,0),資金模擬!$B$6)))</f>
        <v/>
      </c>
      <c r="W1035" s="13">
        <f>MAX(W1034,R1035)</f>
        <v/>
      </c>
      <c r="X1035" s="4">
        <f>IF(W1035&gt;0,R1035/W1035-1,-1)</f>
        <v/>
      </c>
      <c r="Y1035" s="19">
        <f>IF(R1035&gt;0,S1035*資金模擬!$B$7/R1035,0)</f>
        <v/>
      </c>
      <c r="Z1035" s="2">
        <f>IF(OR(Z1034=1,R1035&lt;=資金模擬!$B$10),1,0)</f>
        <v/>
      </c>
    </row>
    <row r="1036">
      <c r="A1036" s="2" t="n">
        <v>1034</v>
      </c>
      <c r="B1036" s="7" t="n">
        <v>46292.875</v>
      </c>
      <c r="C1036" s="2" t="inlineStr">
        <is>
          <t>進場</t>
        </is>
      </c>
      <c r="D1036" s="2" t="n">
        <v>519</v>
      </c>
      <c r="E1036" s="2" t="inlineStr">
        <is>
          <t>MARSCOIN_USDT_PERP</t>
        </is>
      </c>
      <c r="F1036" s="2" t="inlineStr">
        <is>
          <t>做空</t>
        </is>
      </c>
      <c r="G1036" s="20" t="n">
        <v>0.1329</v>
      </c>
      <c r="H1036" s="20" t="n">
        <v>0.128913</v>
      </c>
      <c r="I1036" s="20" t="n">
        <v>0.139545</v>
      </c>
      <c r="J1036" s="20" t="n"/>
      <c r="K1036" s="2" t="n"/>
      <c r="L1036" s="5" t="n"/>
      <c r="M1036" s="19">
        <f>資金模擬!$B$5*V1035</f>
        <v/>
      </c>
      <c r="N1036" s="2">
        <f>IF(Z1035=1,"已停止",IF(T1035&gt;=M1036,"已下單","資金不足略過"))</f>
        <v/>
      </c>
      <c r="O1036" s="19">
        <f>IF(N1036="已下單",M1036*資金模擬!$B$7,0)</f>
        <v/>
      </c>
      <c r="P1036" s="4" t="n"/>
      <c r="Q1036" s="13" t="n">
        <v>0</v>
      </c>
      <c r="R1036" s="13">
        <f>R1035+Q1036</f>
        <v/>
      </c>
      <c r="S1036" s="19">
        <f>S1035+IF(N1036="已下單",M1036,0)</f>
        <v/>
      </c>
      <c r="T1036" s="19">
        <f>R1036-S1036</f>
        <v/>
      </c>
      <c r="U1036" s="2">
        <f>U1035+IF(N1036="已下單",1,0)</f>
        <v/>
      </c>
      <c r="V1036" s="19">
        <f>IF(資金模擬!$B$9=2,MAX(R1036,0),MAX(V1035,FLOOR(MAX(R1036,0),資金模擬!$B$6)))</f>
        <v/>
      </c>
      <c r="W1036" s="13">
        <f>MAX(W1035,R1036)</f>
        <v/>
      </c>
      <c r="X1036" s="4">
        <f>IF(W1036&gt;0,R1036/W1036-1,-1)</f>
        <v/>
      </c>
      <c r="Y1036" s="19">
        <f>IF(R1036&gt;0,S1036*資金模擬!$B$7/R1036,0)</f>
        <v/>
      </c>
      <c r="Z1036" s="2">
        <f>IF(OR(Z1035=1,R1036&lt;=資金模擬!$B$10),1,0)</f>
        <v/>
      </c>
    </row>
    <row r="1037">
      <c r="A1037" s="2" t="n">
        <v>1035</v>
      </c>
      <c r="B1037" s="7" t="n">
        <v>46292.91666666666</v>
      </c>
      <c r="C1037" s="2" t="inlineStr">
        <is>
          <t>出場</t>
        </is>
      </c>
      <c r="D1037" s="2" t="n">
        <v>519</v>
      </c>
      <c r="E1037" s="2" t="inlineStr">
        <is>
          <t>MARSCOIN_USDT_PERP</t>
        </is>
      </c>
      <c r="F1037" s="2" t="inlineStr">
        <is>
          <t>做空</t>
        </is>
      </c>
      <c r="G1037" s="20" t="n">
        <v>0.1329</v>
      </c>
      <c r="H1037" s="20" t="n">
        <v>0.128913</v>
      </c>
      <c r="I1037" s="20" t="n">
        <v>0.139545</v>
      </c>
      <c r="J1037" s="20" t="n">
        <v>0.128913</v>
      </c>
      <c r="K1037" s="2" t="inlineStr">
        <is>
          <t>止盈</t>
        </is>
      </c>
      <c r="L1037" s="5">
        <f>交易明細!K520</f>
        <v/>
      </c>
      <c r="M1037" s="19">
        <f>M1036</f>
        <v/>
      </c>
      <c r="N1037" s="2">
        <f>N1036</f>
        <v/>
      </c>
      <c r="O1037" s="19">
        <f>O1036</f>
        <v/>
      </c>
      <c r="P1037" s="4">
        <f>交易明細!L520</f>
        <v/>
      </c>
      <c r="Q1037" s="13">
        <f>IF(N1037="已下單",O1037*P1037,0)</f>
        <v/>
      </c>
      <c r="R1037" s="13">
        <f>R1036+Q1037</f>
        <v/>
      </c>
      <c r="S1037" s="19">
        <f>S1036-IF(N1037="已下單",M1037,0)</f>
        <v/>
      </c>
      <c r="T1037" s="19">
        <f>R1037-S1037</f>
        <v/>
      </c>
      <c r="U1037" s="2">
        <f>U1036-IF(N1037="已下單",1,0)</f>
        <v/>
      </c>
      <c r="V1037" s="19">
        <f>IF(資金模擬!$B$9=2,MAX(R1037,0),MAX(V1036,FLOOR(MAX(R1037,0),資金模擬!$B$6)))</f>
        <v/>
      </c>
      <c r="W1037" s="13">
        <f>MAX(W1036,R1037)</f>
        <v/>
      </c>
      <c r="X1037" s="4">
        <f>IF(W1037&gt;0,R1037/W1037-1,-1)</f>
        <v/>
      </c>
      <c r="Y1037" s="19">
        <f>IF(R1037&gt;0,S1037*資金模擬!$B$7/R1037,0)</f>
        <v/>
      </c>
      <c r="Z1037" s="2">
        <f>IF(OR(Z1036=1,R1037&lt;=資金模擬!$B$10),1,0)</f>
        <v/>
      </c>
    </row>
    <row r="1038">
      <c r="A1038" s="2" t="n">
        <v>1036</v>
      </c>
      <c r="B1038" s="7" t="n">
        <v>46292.95833333334</v>
      </c>
      <c r="C1038" s="2" t="inlineStr">
        <is>
          <t>出場</t>
        </is>
      </c>
      <c r="D1038" s="2" t="n">
        <v>512</v>
      </c>
      <c r="E1038" s="2" t="inlineStr">
        <is>
          <t>PONS_USDT_PERP</t>
        </is>
      </c>
      <c r="F1038" s="2" t="inlineStr">
        <is>
          <t>做空</t>
        </is>
      </c>
      <c r="G1038" s="20" t="n">
        <v>0.6106</v>
      </c>
      <c r="H1038" s="20" t="n">
        <v>0.592282</v>
      </c>
      <c r="I1038" s="20" t="n">
        <v>0.6411300000000001</v>
      </c>
      <c r="J1038" s="20" t="n">
        <v>0.592282</v>
      </c>
      <c r="K1038" s="2" t="inlineStr">
        <is>
          <t>止盈</t>
        </is>
      </c>
      <c r="L1038" s="5">
        <f>交易明細!K513</f>
        <v/>
      </c>
      <c r="M1038" s="19">
        <f>M1023</f>
        <v/>
      </c>
      <c r="N1038" s="2">
        <f>N1023</f>
        <v/>
      </c>
      <c r="O1038" s="19">
        <f>O1023</f>
        <v/>
      </c>
      <c r="P1038" s="4">
        <f>交易明細!L513</f>
        <v/>
      </c>
      <c r="Q1038" s="13">
        <f>IF(N1038="已下單",O1038*P1038,0)</f>
        <v/>
      </c>
      <c r="R1038" s="13">
        <f>R1037+Q1038</f>
        <v/>
      </c>
      <c r="S1038" s="19">
        <f>S1037-IF(N1038="已下單",M1038,0)</f>
        <v/>
      </c>
      <c r="T1038" s="19">
        <f>R1038-S1038</f>
        <v/>
      </c>
      <c r="U1038" s="2">
        <f>U1037-IF(N1038="已下單",1,0)</f>
        <v/>
      </c>
      <c r="V1038" s="19">
        <f>IF(資金模擬!$B$9=2,MAX(R1038,0),MAX(V1037,FLOOR(MAX(R1038,0),資金模擬!$B$6)))</f>
        <v/>
      </c>
      <c r="W1038" s="13">
        <f>MAX(W1037,R1038)</f>
        <v/>
      </c>
      <c r="X1038" s="4">
        <f>IF(W1038&gt;0,R1038/W1038-1,-1)</f>
        <v/>
      </c>
      <c r="Y1038" s="19">
        <f>IF(R1038&gt;0,S1038*資金模擬!$B$7/R1038,0)</f>
        <v/>
      </c>
      <c r="Z1038" s="2">
        <f>IF(OR(Z1037=1,R1038&lt;=資金模擬!$B$10),1,0)</f>
        <v/>
      </c>
    </row>
    <row r="1039">
      <c r="A1039" s="2" t="n">
        <v>1037</v>
      </c>
      <c r="B1039" s="7" t="n">
        <v>46292.95833333334</v>
      </c>
      <c r="C1039" s="2" t="inlineStr">
        <is>
          <t>進場</t>
        </is>
      </c>
      <c r="D1039" s="2" t="n">
        <v>520</v>
      </c>
      <c r="E1039" s="2" t="inlineStr">
        <is>
          <t>MARSCOIN_USDT_PERP</t>
        </is>
      </c>
      <c r="F1039" s="2" t="inlineStr">
        <is>
          <t>做空</t>
        </is>
      </c>
      <c r="G1039" s="20" t="n">
        <v>0.12733</v>
      </c>
      <c r="H1039" s="20" t="n">
        <v>0.1235101</v>
      </c>
      <c r="I1039" s="20" t="n">
        <v>0.1336965</v>
      </c>
      <c r="J1039" s="20" t="n"/>
      <c r="K1039" s="2" t="n"/>
      <c r="L1039" s="5" t="n"/>
      <c r="M1039" s="19">
        <f>資金模擬!$B$5*V1038</f>
        <v/>
      </c>
      <c r="N1039" s="2">
        <f>IF(Z1038=1,"已停止",IF(T1038&gt;=M1039,"已下單","資金不足略過"))</f>
        <v/>
      </c>
      <c r="O1039" s="19">
        <f>IF(N1039="已下單",M1039*資金模擬!$B$7,0)</f>
        <v/>
      </c>
      <c r="P1039" s="4" t="n"/>
      <c r="Q1039" s="13" t="n">
        <v>0</v>
      </c>
      <c r="R1039" s="13">
        <f>R1038+Q1039</f>
        <v/>
      </c>
      <c r="S1039" s="19">
        <f>S1038+IF(N1039="已下單",M1039,0)</f>
        <v/>
      </c>
      <c r="T1039" s="19">
        <f>R1039-S1039</f>
        <v/>
      </c>
      <c r="U1039" s="2">
        <f>U1038+IF(N1039="已下單",1,0)</f>
        <v/>
      </c>
      <c r="V1039" s="19">
        <f>IF(資金模擬!$B$9=2,MAX(R1039,0),MAX(V1038,FLOOR(MAX(R1039,0),資金模擬!$B$6)))</f>
        <v/>
      </c>
      <c r="W1039" s="13">
        <f>MAX(W1038,R1039)</f>
        <v/>
      </c>
      <c r="X1039" s="4">
        <f>IF(W1039&gt;0,R1039/W1039-1,-1)</f>
        <v/>
      </c>
      <c r="Y1039" s="19">
        <f>IF(R1039&gt;0,S1039*資金模擬!$B$7/R1039,0)</f>
        <v/>
      </c>
      <c r="Z1039" s="2">
        <f>IF(OR(Z1038=1,R1039&lt;=資金模擬!$B$10),1,0)</f>
        <v/>
      </c>
    </row>
    <row r="1040">
      <c r="A1040" s="2" t="n">
        <v>1038</v>
      </c>
      <c r="B1040" s="7" t="n">
        <v>46292.95833333334</v>
      </c>
      <c r="C1040" s="2" t="inlineStr">
        <is>
          <t>進場</t>
        </is>
      </c>
      <c r="D1040" s="2" t="n">
        <v>521</v>
      </c>
      <c r="E1040" s="2" t="inlineStr">
        <is>
          <t>QNT_USDT_PERP</t>
        </is>
      </c>
      <c r="F1040" s="2" t="inlineStr">
        <is>
          <t>做多</t>
        </is>
      </c>
      <c r="G1040" s="20" t="n">
        <v>167.24</v>
      </c>
      <c r="H1040" s="20" t="n">
        <v>172.2572</v>
      </c>
      <c r="I1040" s="20" t="n">
        <v>158.878</v>
      </c>
      <c r="J1040" s="20" t="n"/>
      <c r="K1040" s="2" t="n"/>
      <c r="L1040" s="5" t="n"/>
      <c r="M1040" s="19">
        <f>資金模擬!$B$5*V1039</f>
        <v/>
      </c>
      <c r="N1040" s="2">
        <f>IF(Z1039=1,"已停止",IF(T1039&gt;=M1040,"已下單","資金不足略過"))</f>
        <v/>
      </c>
      <c r="O1040" s="19">
        <f>IF(N1040="已下單",M1040*資金模擬!$B$7,0)</f>
        <v/>
      </c>
      <c r="P1040" s="4" t="n"/>
      <c r="Q1040" s="13" t="n">
        <v>0</v>
      </c>
      <c r="R1040" s="13">
        <f>R1039+Q1040</f>
        <v/>
      </c>
      <c r="S1040" s="19">
        <f>S1039+IF(N1040="已下單",M1040,0)</f>
        <v/>
      </c>
      <c r="T1040" s="19">
        <f>R1040-S1040</f>
        <v/>
      </c>
      <c r="U1040" s="2">
        <f>U1039+IF(N1040="已下單",1,0)</f>
        <v/>
      </c>
      <c r="V1040" s="19">
        <f>IF(資金模擬!$B$9=2,MAX(R1040,0),MAX(V1039,FLOOR(MAX(R1040,0),資金模擬!$B$6)))</f>
        <v/>
      </c>
      <c r="W1040" s="13">
        <f>MAX(W1039,R1040)</f>
        <v/>
      </c>
      <c r="X1040" s="4">
        <f>IF(W1040&gt;0,R1040/W1040-1,-1)</f>
        <v/>
      </c>
      <c r="Y1040" s="19">
        <f>IF(R1040&gt;0,S1040*資金模擬!$B$7/R1040,0)</f>
        <v/>
      </c>
      <c r="Z1040" s="2">
        <f>IF(OR(Z1039=1,R1040&lt;=資金模擬!$B$10),1,0)</f>
        <v/>
      </c>
    </row>
    <row r="1041">
      <c r="A1041" s="2" t="n">
        <v>1039</v>
      </c>
      <c r="B1041" s="7" t="n">
        <v>46293</v>
      </c>
      <c r="C1041" s="2" t="inlineStr">
        <is>
          <t>出場</t>
        </is>
      </c>
      <c r="D1041" s="2" t="n">
        <v>517</v>
      </c>
      <c r="E1041" s="2" t="inlineStr">
        <is>
          <t>DASH_USDT_PERP</t>
        </is>
      </c>
      <c r="F1041" s="2" t="inlineStr">
        <is>
          <t>做空</t>
        </is>
      </c>
      <c r="G1041" s="20" t="n">
        <v>69.26000000000001</v>
      </c>
      <c r="H1041" s="20" t="n">
        <v>67.18220000000001</v>
      </c>
      <c r="I1041" s="20" t="n">
        <v>72.72300000000001</v>
      </c>
      <c r="J1041" s="20" t="n">
        <v>67.18220000000001</v>
      </c>
      <c r="K1041" s="2" t="inlineStr">
        <is>
          <t>止盈</t>
        </is>
      </c>
      <c r="L1041" s="5">
        <f>交易明細!K518</f>
        <v/>
      </c>
      <c r="M1041" s="19">
        <f>M1032</f>
        <v/>
      </c>
      <c r="N1041" s="2">
        <f>N1032</f>
        <v/>
      </c>
      <c r="O1041" s="19">
        <f>O1032</f>
        <v/>
      </c>
      <c r="P1041" s="4">
        <f>交易明細!L518</f>
        <v/>
      </c>
      <c r="Q1041" s="13">
        <f>IF(N1041="已下單",O1041*P1041,0)</f>
        <v/>
      </c>
      <c r="R1041" s="13">
        <f>R1040+Q1041</f>
        <v/>
      </c>
      <c r="S1041" s="19">
        <f>S1040-IF(N1041="已下單",M1041,0)</f>
        <v/>
      </c>
      <c r="T1041" s="19">
        <f>R1041-S1041</f>
        <v/>
      </c>
      <c r="U1041" s="2">
        <f>U1040-IF(N1041="已下單",1,0)</f>
        <v/>
      </c>
      <c r="V1041" s="19">
        <f>IF(資金模擬!$B$9=2,MAX(R1041,0),MAX(V1040,FLOOR(MAX(R1041,0),資金模擬!$B$6)))</f>
        <v/>
      </c>
      <c r="W1041" s="13">
        <f>MAX(W1040,R1041)</f>
        <v/>
      </c>
      <c r="X1041" s="4">
        <f>IF(W1041&gt;0,R1041/W1041-1,-1)</f>
        <v/>
      </c>
      <c r="Y1041" s="19">
        <f>IF(R1041&gt;0,S1041*資金模擬!$B$7/R1041,0)</f>
        <v/>
      </c>
      <c r="Z1041" s="2">
        <f>IF(OR(Z1040=1,R1041&lt;=資金模擬!$B$10),1,0)</f>
        <v/>
      </c>
    </row>
    <row r="1042">
      <c r="A1042" s="2" t="n">
        <v>1040</v>
      </c>
      <c r="B1042" s="7" t="n">
        <v>46293</v>
      </c>
      <c r="C1042" s="2" t="inlineStr">
        <is>
          <t>出場</t>
        </is>
      </c>
      <c r="D1042" s="2" t="n">
        <v>521</v>
      </c>
      <c r="E1042" s="2" t="inlineStr">
        <is>
          <t>QNT_USDT_PERP</t>
        </is>
      </c>
      <c r="F1042" s="2" t="inlineStr">
        <is>
          <t>做多</t>
        </is>
      </c>
      <c r="G1042" s="20" t="n">
        <v>167.24</v>
      </c>
      <c r="H1042" s="20" t="n">
        <v>172.2572</v>
      </c>
      <c r="I1042" s="20" t="n">
        <v>158.878</v>
      </c>
      <c r="J1042" s="20" t="n">
        <v>172.2572</v>
      </c>
      <c r="K1042" s="2" t="inlineStr">
        <is>
          <t>止盈</t>
        </is>
      </c>
      <c r="L1042" s="5">
        <f>交易明細!K522</f>
        <v/>
      </c>
      <c r="M1042" s="19">
        <f>M1040</f>
        <v/>
      </c>
      <c r="N1042" s="2">
        <f>N1040</f>
        <v/>
      </c>
      <c r="O1042" s="19">
        <f>O1040</f>
        <v/>
      </c>
      <c r="P1042" s="4">
        <f>交易明細!L522</f>
        <v/>
      </c>
      <c r="Q1042" s="13">
        <f>IF(N1042="已下單",O1042*P1042,0)</f>
        <v/>
      </c>
      <c r="R1042" s="13">
        <f>R1041+Q1042</f>
        <v/>
      </c>
      <c r="S1042" s="19">
        <f>S1041-IF(N1042="已下單",M1042,0)</f>
        <v/>
      </c>
      <c r="T1042" s="19">
        <f>R1042-S1042</f>
        <v/>
      </c>
      <c r="U1042" s="2">
        <f>U1041-IF(N1042="已下單",1,0)</f>
        <v/>
      </c>
      <c r="V1042" s="19">
        <f>IF(資金模擬!$B$9=2,MAX(R1042,0),MAX(V1041,FLOOR(MAX(R1042,0),資金模擬!$B$6)))</f>
        <v/>
      </c>
      <c r="W1042" s="13">
        <f>MAX(W1041,R1042)</f>
        <v/>
      </c>
      <c r="X1042" s="4">
        <f>IF(W1042&gt;0,R1042/W1042-1,-1)</f>
        <v/>
      </c>
      <c r="Y1042" s="19">
        <f>IF(R1042&gt;0,S1042*資金模擬!$B$7/R1042,0)</f>
        <v/>
      </c>
      <c r="Z1042" s="2">
        <f>IF(OR(Z1041=1,R1042&lt;=資金模擬!$B$10),1,0)</f>
        <v/>
      </c>
    </row>
    <row r="1043">
      <c r="A1043" s="2" t="n">
        <v>1041</v>
      </c>
      <c r="B1043" s="7" t="n">
        <v>46293.04166666666</v>
      </c>
      <c r="C1043" s="2" t="inlineStr">
        <is>
          <t>進場</t>
        </is>
      </c>
      <c r="D1043" s="2" t="n">
        <v>522</v>
      </c>
      <c r="E1043" s="2" t="inlineStr">
        <is>
          <t>GRASS_USDT_PERP</t>
        </is>
      </c>
      <c r="F1043" s="2" t="inlineStr">
        <is>
          <t>做多</t>
        </is>
      </c>
      <c r="G1043" s="20" t="n">
        <v>0.6299</v>
      </c>
      <c r="H1043" s="20" t="n">
        <v>0.6487970000000001</v>
      </c>
      <c r="I1043" s="20" t="n">
        <v>0.598405</v>
      </c>
      <c r="J1043" s="20" t="n"/>
      <c r="K1043" s="2" t="n"/>
      <c r="L1043" s="5" t="n"/>
      <c r="M1043" s="19">
        <f>資金模擬!$B$5*V1042</f>
        <v/>
      </c>
      <c r="N1043" s="2">
        <f>IF(Z1042=1,"已停止",IF(T1042&gt;=M1043,"已下單","資金不足略過"))</f>
        <v/>
      </c>
      <c r="O1043" s="19">
        <f>IF(N1043="已下單",M1043*資金模擬!$B$7,0)</f>
        <v/>
      </c>
      <c r="P1043" s="4" t="n"/>
      <c r="Q1043" s="13" t="n">
        <v>0</v>
      </c>
      <c r="R1043" s="13">
        <f>R1042+Q1043</f>
        <v/>
      </c>
      <c r="S1043" s="19">
        <f>S1042+IF(N1043="已下單",M1043,0)</f>
        <v/>
      </c>
      <c r="T1043" s="19">
        <f>R1043-S1043</f>
        <v/>
      </c>
      <c r="U1043" s="2">
        <f>U1042+IF(N1043="已下單",1,0)</f>
        <v/>
      </c>
      <c r="V1043" s="19">
        <f>IF(資金模擬!$B$9=2,MAX(R1043,0),MAX(V1042,FLOOR(MAX(R1043,0),資金模擬!$B$6)))</f>
        <v/>
      </c>
      <c r="W1043" s="13">
        <f>MAX(W1042,R1043)</f>
        <v/>
      </c>
      <c r="X1043" s="4">
        <f>IF(W1043&gt;0,R1043/W1043-1,-1)</f>
        <v/>
      </c>
      <c r="Y1043" s="19">
        <f>IF(R1043&gt;0,S1043*資金模擬!$B$7/R1043,0)</f>
        <v/>
      </c>
      <c r="Z1043" s="2">
        <f>IF(OR(Z1042=1,R1043&lt;=資金模擬!$B$10),1,0)</f>
        <v/>
      </c>
    </row>
    <row r="1044">
      <c r="A1044" s="2" t="n">
        <v>1042</v>
      </c>
      <c r="B1044" s="7" t="n">
        <v>46293.125</v>
      </c>
      <c r="C1044" s="2" t="inlineStr">
        <is>
          <t>進場</t>
        </is>
      </c>
      <c r="D1044" s="2" t="n">
        <v>523</v>
      </c>
      <c r="E1044" s="2" t="inlineStr">
        <is>
          <t>NEAR_USDT_PERP</t>
        </is>
      </c>
      <c r="F1044" s="2" t="inlineStr">
        <is>
          <t>做多</t>
        </is>
      </c>
      <c r="G1044" s="20" t="n">
        <v>5.451</v>
      </c>
      <c r="H1044" s="20" t="n">
        <v>5.614529999999999</v>
      </c>
      <c r="I1044" s="20" t="n">
        <v>5.17845</v>
      </c>
      <c r="J1044" s="20" t="n"/>
      <c r="K1044" s="2" t="n"/>
      <c r="L1044" s="5" t="n"/>
      <c r="M1044" s="19">
        <f>資金模擬!$B$5*V1043</f>
        <v/>
      </c>
      <c r="N1044" s="2">
        <f>IF(Z1043=1,"已停止",IF(T1043&gt;=M1044,"已下單","資金不足略過"))</f>
        <v/>
      </c>
      <c r="O1044" s="19">
        <f>IF(N1044="已下單",M1044*資金模擬!$B$7,0)</f>
        <v/>
      </c>
      <c r="P1044" s="4" t="n"/>
      <c r="Q1044" s="13" t="n">
        <v>0</v>
      </c>
      <c r="R1044" s="13">
        <f>R1043+Q1044</f>
        <v/>
      </c>
      <c r="S1044" s="19">
        <f>S1043+IF(N1044="已下單",M1044,0)</f>
        <v/>
      </c>
      <c r="T1044" s="19">
        <f>R1044-S1044</f>
        <v/>
      </c>
      <c r="U1044" s="2">
        <f>U1043+IF(N1044="已下單",1,0)</f>
        <v/>
      </c>
      <c r="V1044" s="19">
        <f>IF(資金模擬!$B$9=2,MAX(R1044,0),MAX(V1043,FLOOR(MAX(R1044,0),資金模擬!$B$6)))</f>
        <v/>
      </c>
      <c r="W1044" s="13">
        <f>MAX(W1043,R1044)</f>
        <v/>
      </c>
      <c r="X1044" s="4">
        <f>IF(W1044&gt;0,R1044/W1044-1,-1)</f>
        <v/>
      </c>
      <c r="Y1044" s="19">
        <f>IF(R1044&gt;0,S1044*資金模擬!$B$7/R1044,0)</f>
        <v/>
      </c>
      <c r="Z1044" s="2">
        <f>IF(OR(Z1043=1,R1044&lt;=資金模擬!$B$10),1,0)</f>
        <v/>
      </c>
    </row>
    <row r="1045">
      <c r="A1045" s="2" t="n">
        <v>1043</v>
      </c>
      <c r="B1045" s="7" t="n">
        <v>46293.125</v>
      </c>
      <c r="C1045" s="2" t="inlineStr">
        <is>
          <t>進場</t>
        </is>
      </c>
      <c r="D1045" s="2" t="n">
        <v>524</v>
      </c>
      <c r="E1045" s="2" t="inlineStr">
        <is>
          <t>USELESS_USDT_PERP</t>
        </is>
      </c>
      <c r="F1045" s="2" t="inlineStr">
        <is>
          <t>做多</t>
        </is>
      </c>
      <c r="G1045" s="20" t="n">
        <v>0.3012</v>
      </c>
      <c r="H1045" s="20" t="n">
        <v>0.310236</v>
      </c>
      <c r="I1045" s="20" t="n">
        <v>0.28614</v>
      </c>
      <c r="J1045" s="20" t="n"/>
      <c r="K1045" s="2" t="n"/>
      <c r="L1045" s="5" t="n"/>
      <c r="M1045" s="19">
        <f>資金模擬!$B$5*V1044</f>
        <v/>
      </c>
      <c r="N1045" s="2">
        <f>IF(Z1044=1,"已停止",IF(T1044&gt;=M1045,"已下單","資金不足略過"))</f>
        <v/>
      </c>
      <c r="O1045" s="19">
        <f>IF(N1045="已下單",M1045*資金模擬!$B$7,0)</f>
        <v/>
      </c>
      <c r="P1045" s="4" t="n"/>
      <c r="Q1045" s="13" t="n">
        <v>0</v>
      </c>
      <c r="R1045" s="13">
        <f>R1044+Q1045</f>
        <v/>
      </c>
      <c r="S1045" s="19">
        <f>S1044+IF(N1045="已下單",M1045,0)</f>
        <v/>
      </c>
      <c r="T1045" s="19">
        <f>R1045-S1045</f>
        <v/>
      </c>
      <c r="U1045" s="2">
        <f>U1044+IF(N1045="已下單",1,0)</f>
        <v/>
      </c>
      <c r="V1045" s="19">
        <f>IF(資金模擬!$B$9=2,MAX(R1045,0),MAX(V1044,FLOOR(MAX(R1045,0),資金模擬!$B$6)))</f>
        <v/>
      </c>
      <c r="W1045" s="13">
        <f>MAX(W1044,R1045)</f>
        <v/>
      </c>
      <c r="X1045" s="4">
        <f>IF(W1045&gt;0,R1045/W1045-1,-1)</f>
        <v/>
      </c>
      <c r="Y1045" s="19">
        <f>IF(R1045&gt;0,S1045*資金模擬!$B$7/R1045,0)</f>
        <v/>
      </c>
      <c r="Z1045" s="2">
        <f>IF(OR(Z1044=1,R1045&lt;=資金模擬!$B$10),1,0)</f>
        <v/>
      </c>
    </row>
    <row r="1046">
      <c r="A1046" s="2" t="n">
        <v>1044</v>
      </c>
      <c r="B1046" s="7" t="n">
        <v>46293.20833333334</v>
      </c>
      <c r="C1046" s="2" t="inlineStr">
        <is>
          <t>出場</t>
        </is>
      </c>
      <c r="D1046" s="2" t="n">
        <v>518</v>
      </c>
      <c r="E1046" s="2" t="inlineStr">
        <is>
          <t>BR_USDT_PERP</t>
        </is>
      </c>
      <c r="F1046" s="2" t="inlineStr">
        <is>
          <t>做空</t>
        </is>
      </c>
      <c r="G1046" s="20" t="n">
        <v>0.90447</v>
      </c>
      <c r="H1046" s="20" t="n">
        <v>0.8773358999999999</v>
      </c>
      <c r="I1046" s="20" t="n">
        <v>0.9496935000000001</v>
      </c>
      <c r="J1046" s="20" t="n">
        <v>0.8773358999999999</v>
      </c>
      <c r="K1046" s="2" t="inlineStr">
        <is>
          <t>止盈</t>
        </is>
      </c>
      <c r="L1046" s="5">
        <f>交易明細!K519</f>
        <v/>
      </c>
      <c r="M1046" s="19">
        <f>M1035</f>
        <v/>
      </c>
      <c r="N1046" s="2">
        <f>N1035</f>
        <v/>
      </c>
      <c r="O1046" s="19">
        <f>O1035</f>
        <v/>
      </c>
      <c r="P1046" s="4">
        <f>交易明細!L519</f>
        <v/>
      </c>
      <c r="Q1046" s="13">
        <f>IF(N1046="已下單",O1046*P1046,0)</f>
        <v/>
      </c>
      <c r="R1046" s="13">
        <f>R1045+Q1046</f>
        <v/>
      </c>
      <c r="S1046" s="19">
        <f>S1045-IF(N1046="已下單",M1046,0)</f>
        <v/>
      </c>
      <c r="T1046" s="19">
        <f>R1046-S1046</f>
        <v/>
      </c>
      <c r="U1046" s="2">
        <f>U1045-IF(N1046="已下單",1,0)</f>
        <v/>
      </c>
      <c r="V1046" s="19">
        <f>IF(資金模擬!$B$9=2,MAX(R1046,0),MAX(V1045,FLOOR(MAX(R1046,0),資金模擬!$B$6)))</f>
        <v/>
      </c>
      <c r="W1046" s="13">
        <f>MAX(W1045,R1046)</f>
        <v/>
      </c>
      <c r="X1046" s="4">
        <f>IF(W1046&gt;0,R1046/W1046-1,-1)</f>
        <v/>
      </c>
      <c r="Y1046" s="19">
        <f>IF(R1046&gt;0,S1046*資金模擬!$B$7/R1046,0)</f>
        <v/>
      </c>
      <c r="Z1046" s="2">
        <f>IF(OR(Z1045=1,R1046&lt;=資金模擬!$B$10),1,0)</f>
        <v/>
      </c>
    </row>
    <row r="1047">
      <c r="A1047" s="2" t="n">
        <v>1045</v>
      </c>
      <c r="B1047" s="7" t="n">
        <v>46293.20833333334</v>
      </c>
      <c r="C1047" s="2" t="inlineStr">
        <is>
          <t>進場</t>
        </is>
      </c>
      <c r="D1047" s="2" t="n">
        <v>525</v>
      </c>
      <c r="E1047" s="2" t="inlineStr">
        <is>
          <t>PYTH_USDT_PERP</t>
        </is>
      </c>
      <c r="F1047" s="2" t="inlineStr">
        <is>
          <t>做空</t>
        </is>
      </c>
      <c r="G1047" s="20" t="n">
        <v>0.08361</v>
      </c>
      <c r="H1047" s="20" t="n">
        <v>0.0811017</v>
      </c>
      <c r="I1047" s="20" t="n">
        <v>0.08779050000000001</v>
      </c>
      <c r="J1047" s="20" t="n"/>
      <c r="K1047" s="2" t="n"/>
      <c r="L1047" s="5" t="n"/>
      <c r="M1047" s="19">
        <f>資金模擬!$B$5*V1046</f>
        <v/>
      </c>
      <c r="N1047" s="2">
        <f>IF(Z1046=1,"已停止",IF(T1046&gt;=M1047,"已下單","資金不足略過"))</f>
        <v/>
      </c>
      <c r="O1047" s="19">
        <f>IF(N1047="已下單",M1047*資金模擬!$B$7,0)</f>
        <v/>
      </c>
      <c r="P1047" s="4" t="n"/>
      <c r="Q1047" s="13" t="n">
        <v>0</v>
      </c>
      <c r="R1047" s="13">
        <f>R1046+Q1047</f>
        <v/>
      </c>
      <c r="S1047" s="19">
        <f>S1046+IF(N1047="已下單",M1047,0)</f>
        <v/>
      </c>
      <c r="T1047" s="19">
        <f>R1047-S1047</f>
        <v/>
      </c>
      <c r="U1047" s="2">
        <f>U1046+IF(N1047="已下單",1,0)</f>
        <v/>
      </c>
      <c r="V1047" s="19">
        <f>IF(資金模擬!$B$9=2,MAX(R1047,0),MAX(V1046,FLOOR(MAX(R1047,0),資金模擬!$B$6)))</f>
        <v/>
      </c>
      <c r="W1047" s="13">
        <f>MAX(W1046,R1047)</f>
        <v/>
      </c>
      <c r="X1047" s="4">
        <f>IF(W1047&gt;0,R1047/W1047-1,-1)</f>
        <v/>
      </c>
      <c r="Y1047" s="19">
        <f>IF(R1047&gt;0,S1047*資金模擬!$B$7/R1047,0)</f>
        <v/>
      </c>
      <c r="Z1047" s="2">
        <f>IF(OR(Z1046=1,R1047&lt;=資金模擬!$B$10),1,0)</f>
        <v/>
      </c>
    </row>
    <row r="1048">
      <c r="A1048" s="2" t="n">
        <v>1046</v>
      </c>
      <c r="B1048" s="7" t="n">
        <v>46293.25</v>
      </c>
      <c r="C1048" s="2" t="inlineStr">
        <is>
          <t>出場</t>
        </is>
      </c>
      <c r="D1048" s="2" t="n">
        <v>522</v>
      </c>
      <c r="E1048" s="2" t="inlineStr">
        <is>
          <t>GRASS_USDT_PERP</t>
        </is>
      </c>
      <c r="F1048" s="2" t="inlineStr">
        <is>
          <t>做多</t>
        </is>
      </c>
      <c r="G1048" s="20" t="n">
        <v>0.6299</v>
      </c>
      <c r="H1048" s="20" t="n">
        <v>0.6487970000000001</v>
      </c>
      <c r="I1048" s="20" t="n">
        <v>0.598405</v>
      </c>
      <c r="J1048" s="20" t="n">
        <v>0.6487970000000001</v>
      </c>
      <c r="K1048" s="2" t="inlineStr">
        <is>
          <t>止盈</t>
        </is>
      </c>
      <c r="L1048" s="5">
        <f>交易明細!K523</f>
        <v/>
      </c>
      <c r="M1048" s="19">
        <f>M1043</f>
        <v/>
      </c>
      <c r="N1048" s="2">
        <f>N1043</f>
        <v/>
      </c>
      <c r="O1048" s="19">
        <f>O1043</f>
        <v/>
      </c>
      <c r="P1048" s="4">
        <f>交易明細!L523</f>
        <v/>
      </c>
      <c r="Q1048" s="13">
        <f>IF(N1048="已下單",O1048*P1048,0)</f>
        <v/>
      </c>
      <c r="R1048" s="13">
        <f>R1047+Q1048</f>
        <v/>
      </c>
      <c r="S1048" s="19">
        <f>S1047-IF(N1048="已下單",M1048,0)</f>
        <v/>
      </c>
      <c r="T1048" s="19">
        <f>R1048-S1048</f>
        <v/>
      </c>
      <c r="U1048" s="2">
        <f>U1047-IF(N1048="已下單",1,0)</f>
        <v/>
      </c>
      <c r="V1048" s="19">
        <f>IF(資金模擬!$B$9=2,MAX(R1048,0),MAX(V1047,FLOOR(MAX(R1048,0),資金模擬!$B$6)))</f>
        <v/>
      </c>
      <c r="W1048" s="13">
        <f>MAX(W1047,R1048)</f>
        <v/>
      </c>
      <c r="X1048" s="4">
        <f>IF(W1048&gt;0,R1048/W1048-1,-1)</f>
        <v/>
      </c>
      <c r="Y1048" s="19">
        <f>IF(R1048&gt;0,S1048*資金模擬!$B$7/R1048,0)</f>
        <v/>
      </c>
      <c r="Z1048" s="2">
        <f>IF(OR(Z1047=1,R1048&lt;=資金模擬!$B$10),1,0)</f>
        <v/>
      </c>
    </row>
    <row r="1049">
      <c r="A1049" s="2" t="n">
        <v>1047</v>
      </c>
      <c r="B1049" s="7" t="n">
        <v>46293.29166666666</v>
      </c>
      <c r="C1049" s="2" t="inlineStr">
        <is>
          <t>出場</t>
        </is>
      </c>
      <c r="D1049" s="2" t="n">
        <v>520</v>
      </c>
      <c r="E1049" s="2" t="inlineStr">
        <is>
          <t>MARSCOIN_USDT_PERP</t>
        </is>
      </c>
      <c r="F1049" s="2" t="inlineStr">
        <is>
          <t>做空</t>
        </is>
      </c>
      <c r="G1049" s="20" t="n">
        <v>0.12733</v>
      </c>
      <c r="H1049" s="20" t="n">
        <v>0.1235101</v>
      </c>
      <c r="I1049" s="20" t="n">
        <v>0.1336965</v>
      </c>
      <c r="J1049" s="20" t="n">
        <v>0.1235101</v>
      </c>
      <c r="K1049" s="2" t="inlineStr">
        <is>
          <t>止盈</t>
        </is>
      </c>
      <c r="L1049" s="5">
        <f>交易明細!K521</f>
        <v/>
      </c>
      <c r="M1049" s="19">
        <f>M1039</f>
        <v/>
      </c>
      <c r="N1049" s="2">
        <f>N1039</f>
        <v/>
      </c>
      <c r="O1049" s="19">
        <f>O1039</f>
        <v/>
      </c>
      <c r="P1049" s="4">
        <f>交易明細!L521</f>
        <v/>
      </c>
      <c r="Q1049" s="13">
        <f>IF(N1049="已下單",O1049*P1049,0)</f>
        <v/>
      </c>
      <c r="R1049" s="13">
        <f>R1048+Q1049</f>
        <v/>
      </c>
      <c r="S1049" s="19">
        <f>S1048-IF(N1049="已下單",M1049,0)</f>
        <v/>
      </c>
      <c r="T1049" s="19">
        <f>R1049-S1049</f>
        <v/>
      </c>
      <c r="U1049" s="2">
        <f>U1048-IF(N1049="已下單",1,0)</f>
        <v/>
      </c>
      <c r="V1049" s="19">
        <f>IF(資金模擬!$B$9=2,MAX(R1049,0),MAX(V1048,FLOOR(MAX(R1049,0),資金模擬!$B$6)))</f>
        <v/>
      </c>
      <c r="W1049" s="13">
        <f>MAX(W1048,R1049)</f>
        <v/>
      </c>
      <c r="X1049" s="4">
        <f>IF(W1049&gt;0,R1049/W1049-1,-1)</f>
        <v/>
      </c>
      <c r="Y1049" s="19">
        <f>IF(R1049&gt;0,S1049*資金模擬!$B$7/R1049,0)</f>
        <v/>
      </c>
      <c r="Z1049" s="2">
        <f>IF(OR(Z1048=1,R1049&lt;=資金模擬!$B$10),1,0)</f>
        <v/>
      </c>
    </row>
    <row r="1050">
      <c r="A1050" s="2" t="n">
        <v>1048</v>
      </c>
      <c r="B1050" s="7" t="n">
        <v>46293.29166666666</v>
      </c>
      <c r="C1050" s="2" t="inlineStr">
        <is>
          <t>出場</t>
        </is>
      </c>
      <c r="D1050" s="2" t="n">
        <v>524</v>
      </c>
      <c r="E1050" s="2" t="inlineStr">
        <is>
          <t>USELESS_USDT_PERP</t>
        </is>
      </c>
      <c r="F1050" s="2" t="inlineStr">
        <is>
          <t>做多</t>
        </is>
      </c>
      <c r="G1050" s="20" t="n">
        <v>0.3012</v>
      </c>
      <c r="H1050" s="20" t="n">
        <v>0.310236</v>
      </c>
      <c r="I1050" s="20" t="n">
        <v>0.28614</v>
      </c>
      <c r="J1050" s="20" t="n">
        <v>0.28614</v>
      </c>
      <c r="K1050" s="2" t="inlineStr">
        <is>
          <t>止損</t>
        </is>
      </c>
      <c r="L1050" s="5">
        <f>交易明細!K525</f>
        <v/>
      </c>
      <c r="M1050" s="19">
        <f>M1045</f>
        <v/>
      </c>
      <c r="N1050" s="2">
        <f>N1045</f>
        <v/>
      </c>
      <c r="O1050" s="19">
        <f>O1045</f>
        <v/>
      </c>
      <c r="P1050" s="4">
        <f>交易明細!L525</f>
        <v/>
      </c>
      <c r="Q1050" s="13">
        <f>IF(N1050="已下單",O1050*P1050,0)</f>
        <v/>
      </c>
      <c r="R1050" s="13">
        <f>R1049+Q1050</f>
        <v/>
      </c>
      <c r="S1050" s="19">
        <f>S1049-IF(N1050="已下單",M1050,0)</f>
        <v/>
      </c>
      <c r="T1050" s="19">
        <f>R1050-S1050</f>
        <v/>
      </c>
      <c r="U1050" s="2">
        <f>U1049-IF(N1050="已下單",1,0)</f>
        <v/>
      </c>
      <c r="V1050" s="19">
        <f>IF(資金模擬!$B$9=2,MAX(R1050,0),MAX(V1049,FLOOR(MAX(R1050,0),資金模擬!$B$6)))</f>
        <v/>
      </c>
      <c r="W1050" s="13">
        <f>MAX(W1049,R1050)</f>
        <v/>
      </c>
      <c r="X1050" s="4">
        <f>IF(W1050&gt;0,R1050/W1050-1,-1)</f>
        <v/>
      </c>
      <c r="Y1050" s="19">
        <f>IF(R1050&gt;0,S1050*資金模擬!$B$7/R1050,0)</f>
        <v/>
      </c>
      <c r="Z1050" s="2">
        <f>IF(OR(Z1049=1,R1050&lt;=資金模擬!$B$10),1,0)</f>
        <v/>
      </c>
    </row>
    <row r="1051">
      <c r="A1051" s="2" t="n">
        <v>1049</v>
      </c>
      <c r="B1051" s="7" t="n">
        <v>46293.41666666666</v>
      </c>
      <c r="C1051" s="2" t="inlineStr">
        <is>
          <t>進場</t>
        </is>
      </c>
      <c r="D1051" s="2" t="n">
        <v>526</v>
      </c>
      <c r="E1051" s="2" t="inlineStr">
        <is>
          <t>XPL_USDT_PERP</t>
        </is>
      </c>
      <c r="F1051" s="2" t="inlineStr">
        <is>
          <t>做空</t>
        </is>
      </c>
      <c r="G1051" s="20" t="n">
        <v>0.1037</v>
      </c>
      <c r="H1051" s="20" t="n">
        <v>0.100589</v>
      </c>
      <c r="I1051" s="20" t="n">
        <v>0.108885</v>
      </c>
      <c r="J1051" s="20" t="n"/>
      <c r="K1051" s="2" t="n"/>
      <c r="L1051" s="5" t="n"/>
      <c r="M1051" s="19">
        <f>資金模擬!$B$5*V1050</f>
        <v/>
      </c>
      <c r="N1051" s="2">
        <f>IF(Z1050=1,"已停止",IF(T1050&gt;=M1051,"已下單","資金不足略過"))</f>
        <v/>
      </c>
      <c r="O1051" s="19">
        <f>IF(N1051="已下單",M1051*資金模擬!$B$7,0)</f>
        <v/>
      </c>
      <c r="P1051" s="4" t="n"/>
      <c r="Q1051" s="13" t="n">
        <v>0</v>
      </c>
      <c r="R1051" s="13">
        <f>R1050+Q1051</f>
        <v/>
      </c>
      <c r="S1051" s="19">
        <f>S1050+IF(N1051="已下單",M1051,0)</f>
        <v/>
      </c>
      <c r="T1051" s="19">
        <f>R1051-S1051</f>
        <v/>
      </c>
      <c r="U1051" s="2">
        <f>U1050+IF(N1051="已下單",1,0)</f>
        <v/>
      </c>
      <c r="V1051" s="19">
        <f>IF(資金模擬!$B$9=2,MAX(R1051,0),MAX(V1050,FLOOR(MAX(R1051,0),資金模擬!$B$6)))</f>
        <v/>
      </c>
      <c r="W1051" s="13">
        <f>MAX(W1050,R1051)</f>
        <v/>
      </c>
      <c r="X1051" s="4">
        <f>IF(W1051&gt;0,R1051/W1051-1,-1)</f>
        <v/>
      </c>
      <c r="Y1051" s="19">
        <f>IF(R1051&gt;0,S1051*資金模擬!$B$7/R1051,0)</f>
        <v/>
      </c>
      <c r="Z1051" s="2">
        <f>IF(OR(Z1050=1,R1051&lt;=資金模擬!$B$10),1,0)</f>
        <v/>
      </c>
    </row>
    <row r="1052">
      <c r="A1052" s="2" t="n">
        <v>1050</v>
      </c>
      <c r="B1052" s="7" t="n">
        <v>46293.45833333334</v>
      </c>
      <c r="C1052" s="2" t="inlineStr">
        <is>
          <t>進場</t>
        </is>
      </c>
      <c r="D1052" s="2" t="n">
        <v>527</v>
      </c>
      <c r="E1052" s="2" t="inlineStr">
        <is>
          <t>PENGU_USDT_PERP</t>
        </is>
      </c>
      <c r="F1052" s="2" t="inlineStr">
        <is>
          <t>做空</t>
        </is>
      </c>
      <c r="G1052" s="20" t="n">
        <v>0.009993999999999999</v>
      </c>
      <c r="H1052" s="20" t="n">
        <v>0.009694179999999998</v>
      </c>
      <c r="I1052" s="20" t="n">
        <v>0.0104937</v>
      </c>
      <c r="J1052" s="20" t="n"/>
      <c r="K1052" s="2" t="n"/>
      <c r="L1052" s="5" t="n"/>
      <c r="M1052" s="19">
        <f>資金模擬!$B$5*V1051</f>
        <v/>
      </c>
      <c r="N1052" s="2">
        <f>IF(Z1051=1,"已停止",IF(T1051&gt;=M1052,"已下單","資金不足略過"))</f>
        <v/>
      </c>
      <c r="O1052" s="19">
        <f>IF(N1052="已下單",M1052*資金模擬!$B$7,0)</f>
        <v/>
      </c>
      <c r="P1052" s="4" t="n"/>
      <c r="Q1052" s="13" t="n">
        <v>0</v>
      </c>
      <c r="R1052" s="13">
        <f>R1051+Q1052</f>
        <v/>
      </c>
      <c r="S1052" s="19">
        <f>S1051+IF(N1052="已下單",M1052,0)</f>
        <v/>
      </c>
      <c r="T1052" s="19">
        <f>R1052-S1052</f>
        <v/>
      </c>
      <c r="U1052" s="2">
        <f>U1051+IF(N1052="已下單",1,0)</f>
        <v/>
      </c>
      <c r="V1052" s="19">
        <f>IF(資金模擬!$B$9=2,MAX(R1052,0),MAX(V1051,FLOOR(MAX(R1052,0),資金模擬!$B$6)))</f>
        <v/>
      </c>
      <c r="W1052" s="13">
        <f>MAX(W1051,R1052)</f>
        <v/>
      </c>
      <c r="X1052" s="4">
        <f>IF(W1052&gt;0,R1052/W1052-1,-1)</f>
        <v/>
      </c>
      <c r="Y1052" s="19">
        <f>IF(R1052&gt;0,S1052*資金模擬!$B$7/R1052,0)</f>
        <v/>
      </c>
      <c r="Z1052" s="2">
        <f>IF(OR(Z1051=1,R1052&lt;=資金模擬!$B$10),1,0)</f>
        <v/>
      </c>
    </row>
    <row r="1053">
      <c r="A1053" s="2" t="n">
        <v>1051</v>
      </c>
      <c r="B1053" s="7" t="n">
        <v>46293.45833333334</v>
      </c>
      <c r="C1053" s="2" t="inlineStr">
        <is>
          <t>進場</t>
        </is>
      </c>
      <c r="D1053" s="2" t="n">
        <v>528</v>
      </c>
      <c r="E1053" s="2" t="inlineStr">
        <is>
          <t>SAGA_USDT_PERP</t>
        </is>
      </c>
      <c r="F1053" s="2" t="inlineStr">
        <is>
          <t>做空</t>
        </is>
      </c>
      <c r="G1053" s="20" t="n">
        <v>0.02517</v>
      </c>
      <c r="H1053" s="20" t="n">
        <v>0.0244149</v>
      </c>
      <c r="I1053" s="20" t="n">
        <v>0.0264285</v>
      </c>
      <c r="J1053" s="20" t="n"/>
      <c r="K1053" s="2" t="n"/>
      <c r="L1053" s="5" t="n"/>
      <c r="M1053" s="19">
        <f>資金模擬!$B$5*V1052</f>
        <v/>
      </c>
      <c r="N1053" s="2">
        <f>IF(Z1052=1,"已停止",IF(T1052&gt;=M1053,"已下單","資金不足略過"))</f>
        <v/>
      </c>
      <c r="O1053" s="19">
        <f>IF(N1053="已下單",M1053*資金模擬!$B$7,0)</f>
        <v/>
      </c>
      <c r="P1053" s="4" t="n"/>
      <c r="Q1053" s="13" t="n">
        <v>0</v>
      </c>
      <c r="R1053" s="13">
        <f>R1052+Q1053</f>
        <v/>
      </c>
      <c r="S1053" s="19">
        <f>S1052+IF(N1053="已下單",M1053,0)</f>
        <v/>
      </c>
      <c r="T1053" s="19">
        <f>R1053-S1053</f>
        <v/>
      </c>
      <c r="U1053" s="2">
        <f>U1052+IF(N1053="已下單",1,0)</f>
        <v/>
      </c>
      <c r="V1053" s="19">
        <f>IF(資金模擬!$B$9=2,MAX(R1053,0),MAX(V1052,FLOOR(MAX(R1053,0),資金模擬!$B$6)))</f>
        <v/>
      </c>
      <c r="W1053" s="13">
        <f>MAX(W1052,R1053)</f>
        <v/>
      </c>
      <c r="X1053" s="4">
        <f>IF(W1053&gt;0,R1053/W1053-1,-1)</f>
        <v/>
      </c>
      <c r="Y1053" s="19">
        <f>IF(R1053&gt;0,S1053*資金模擬!$B$7/R1053,0)</f>
        <v/>
      </c>
      <c r="Z1053" s="2">
        <f>IF(OR(Z1052=1,R1053&lt;=資金模擬!$B$10),1,0)</f>
        <v/>
      </c>
    </row>
    <row r="1054">
      <c r="A1054" s="2" t="n">
        <v>1052</v>
      </c>
      <c r="B1054" s="7" t="n">
        <v>46293.5</v>
      </c>
      <c r="C1054" s="2" t="inlineStr">
        <is>
          <t>進場</t>
        </is>
      </c>
      <c r="D1054" s="2" t="n">
        <v>529</v>
      </c>
      <c r="E1054" s="2" t="inlineStr">
        <is>
          <t>ARB_USDT_PERP</t>
        </is>
      </c>
      <c r="F1054" s="2" t="inlineStr">
        <is>
          <t>做空</t>
        </is>
      </c>
      <c r="G1054" s="20" t="n">
        <v>0.2144</v>
      </c>
      <c r="H1054" s="20" t="n">
        <v>0.207968</v>
      </c>
      <c r="I1054" s="20" t="n">
        <v>0.22512</v>
      </c>
      <c r="J1054" s="20" t="n"/>
      <c r="K1054" s="2" t="n"/>
      <c r="L1054" s="5" t="n"/>
      <c r="M1054" s="19">
        <f>資金模擬!$B$5*V1053</f>
        <v/>
      </c>
      <c r="N1054" s="2">
        <f>IF(Z1053=1,"已停止",IF(T1053&gt;=M1054,"已下單","資金不足略過"))</f>
        <v/>
      </c>
      <c r="O1054" s="19">
        <f>IF(N1054="已下單",M1054*資金模擬!$B$7,0)</f>
        <v/>
      </c>
      <c r="P1054" s="4" t="n"/>
      <c r="Q1054" s="13" t="n">
        <v>0</v>
      </c>
      <c r="R1054" s="13">
        <f>R1053+Q1054</f>
        <v/>
      </c>
      <c r="S1054" s="19">
        <f>S1053+IF(N1054="已下單",M1054,0)</f>
        <v/>
      </c>
      <c r="T1054" s="19">
        <f>R1054-S1054</f>
        <v/>
      </c>
      <c r="U1054" s="2">
        <f>U1053+IF(N1054="已下單",1,0)</f>
        <v/>
      </c>
      <c r="V1054" s="19">
        <f>IF(資金模擬!$B$9=2,MAX(R1054,0),MAX(V1053,FLOOR(MAX(R1054,0),資金模擬!$B$6)))</f>
        <v/>
      </c>
      <c r="W1054" s="13">
        <f>MAX(W1053,R1054)</f>
        <v/>
      </c>
      <c r="X1054" s="4">
        <f>IF(W1054&gt;0,R1054/W1054-1,-1)</f>
        <v/>
      </c>
      <c r="Y1054" s="19">
        <f>IF(R1054&gt;0,S1054*資金模擬!$B$7/R1054,0)</f>
        <v/>
      </c>
      <c r="Z1054" s="2">
        <f>IF(OR(Z1053=1,R1054&lt;=資金模擬!$B$10),1,0)</f>
        <v/>
      </c>
    </row>
    <row r="1055">
      <c r="A1055" s="2" t="n">
        <v>1053</v>
      </c>
      <c r="B1055" s="7" t="n">
        <v>46293.5</v>
      </c>
      <c r="C1055" s="2" t="inlineStr">
        <is>
          <t>進場</t>
        </is>
      </c>
      <c r="D1055" s="2" t="n">
        <v>530</v>
      </c>
      <c r="E1055" s="2" t="inlineStr">
        <is>
          <t>SOON_USDT_PERP</t>
        </is>
      </c>
      <c r="F1055" s="2" t="inlineStr">
        <is>
          <t>做多</t>
        </is>
      </c>
      <c r="G1055" s="20" t="n">
        <v>0.3167</v>
      </c>
      <c r="H1055" s="20" t="n">
        <v>0.326201</v>
      </c>
      <c r="I1055" s="20" t="n">
        <v>0.300865</v>
      </c>
      <c r="J1055" s="20" t="n"/>
      <c r="K1055" s="2" t="n"/>
      <c r="L1055" s="5" t="n"/>
      <c r="M1055" s="19">
        <f>資金模擬!$B$5*V1054</f>
        <v/>
      </c>
      <c r="N1055" s="2">
        <f>IF(Z1054=1,"已停止",IF(T1054&gt;=M1055,"已下單","資金不足略過"))</f>
        <v/>
      </c>
      <c r="O1055" s="19">
        <f>IF(N1055="已下單",M1055*資金模擬!$B$7,0)</f>
        <v/>
      </c>
      <c r="P1055" s="4" t="n"/>
      <c r="Q1055" s="13" t="n">
        <v>0</v>
      </c>
      <c r="R1055" s="13">
        <f>R1054+Q1055</f>
        <v/>
      </c>
      <c r="S1055" s="19">
        <f>S1054+IF(N1055="已下單",M1055,0)</f>
        <v/>
      </c>
      <c r="T1055" s="19">
        <f>R1055-S1055</f>
        <v/>
      </c>
      <c r="U1055" s="2">
        <f>U1054+IF(N1055="已下單",1,0)</f>
        <v/>
      </c>
      <c r="V1055" s="19">
        <f>IF(資金模擬!$B$9=2,MAX(R1055,0),MAX(V1054,FLOOR(MAX(R1055,0),資金模擬!$B$6)))</f>
        <v/>
      </c>
      <c r="W1055" s="13">
        <f>MAX(W1054,R1055)</f>
        <v/>
      </c>
      <c r="X1055" s="4">
        <f>IF(W1055&gt;0,R1055/W1055-1,-1)</f>
        <v/>
      </c>
      <c r="Y1055" s="19">
        <f>IF(R1055&gt;0,S1055*資金模擬!$B$7/R1055,0)</f>
        <v/>
      </c>
      <c r="Z1055" s="2">
        <f>IF(OR(Z1054=1,R1055&lt;=資金模擬!$B$10),1,0)</f>
        <v/>
      </c>
    </row>
    <row r="1056">
      <c r="A1056" s="2" t="n">
        <v>1054</v>
      </c>
      <c r="B1056" s="7" t="n">
        <v>46293.54166666666</v>
      </c>
      <c r="C1056" s="2" t="inlineStr">
        <is>
          <t>出場</t>
        </is>
      </c>
      <c r="D1056" s="2" t="n">
        <v>523</v>
      </c>
      <c r="E1056" s="2" t="inlineStr">
        <is>
          <t>NEAR_USDT_PERP</t>
        </is>
      </c>
      <c r="F1056" s="2" t="inlineStr">
        <is>
          <t>做多</t>
        </is>
      </c>
      <c r="G1056" s="20" t="n">
        <v>5.451</v>
      </c>
      <c r="H1056" s="20" t="n">
        <v>5.614529999999999</v>
      </c>
      <c r="I1056" s="20" t="n">
        <v>5.17845</v>
      </c>
      <c r="J1056" s="20" t="n">
        <v>5.17845</v>
      </c>
      <c r="K1056" s="2" t="inlineStr">
        <is>
          <t>止損</t>
        </is>
      </c>
      <c r="L1056" s="5">
        <f>交易明細!K524</f>
        <v/>
      </c>
      <c r="M1056" s="19">
        <f>M1044</f>
        <v/>
      </c>
      <c r="N1056" s="2">
        <f>N1044</f>
        <v/>
      </c>
      <c r="O1056" s="19">
        <f>O1044</f>
        <v/>
      </c>
      <c r="P1056" s="4">
        <f>交易明細!L524</f>
        <v/>
      </c>
      <c r="Q1056" s="13">
        <f>IF(N1056="已下單",O1056*P1056,0)</f>
        <v/>
      </c>
      <c r="R1056" s="13">
        <f>R1055+Q1056</f>
        <v/>
      </c>
      <c r="S1056" s="19">
        <f>S1055-IF(N1056="已下單",M1056,0)</f>
        <v/>
      </c>
      <c r="T1056" s="19">
        <f>R1056-S1056</f>
        <v/>
      </c>
      <c r="U1056" s="2">
        <f>U1055-IF(N1056="已下單",1,0)</f>
        <v/>
      </c>
      <c r="V1056" s="19">
        <f>IF(資金模擬!$B$9=2,MAX(R1056,0),MAX(V1055,FLOOR(MAX(R1056,0),資金模擬!$B$6)))</f>
        <v/>
      </c>
      <c r="W1056" s="13">
        <f>MAX(W1055,R1056)</f>
        <v/>
      </c>
      <c r="X1056" s="4">
        <f>IF(W1056&gt;0,R1056/W1056-1,-1)</f>
        <v/>
      </c>
      <c r="Y1056" s="19">
        <f>IF(R1056&gt;0,S1056*資金模擬!$B$7/R1056,0)</f>
        <v/>
      </c>
      <c r="Z1056" s="2">
        <f>IF(OR(Z1055=1,R1056&lt;=資金模擬!$B$10),1,0)</f>
        <v/>
      </c>
    </row>
    <row r="1057">
      <c r="A1057" s="2" t="n">
        <v>1055</v>
      </c>
      <c r="B1057" s="7" t="n">
        <v>46293.54166666666</v>
      </c>
      <c r="C1057" s="2" t="inlineStr">
        <is>
          <t>出場</t>
        </is>
      </c>
      <c r="D1057" s="2" t="n">
        <v>525</v>
      </c>
      <c r="E1057" s="2" t="inlineStr">
        <is>
          <t>PYTH_USDT_PERP</t>
        </is>
      </c>
      <c r="F1057" s="2" t="inlineStr">
        <is>
          <t>做空</t>
        </is>
      </c>
      <c r="G1057" s="20" t="n">
        <v>0.08361</v>
      </c>
      <c r="H1057" s="20" t="n">
        <v>0.0811017</v>
      </c>
      <c r="I1057" s="20" t="n">
        <v>0.08779050000000001</v>
      </c>
      <c r="J1057" s="20" t="n">
        <v>0.0811017</v>
      </c>
      <c r="K1057" s="2" t="inlineStr">
        <is>
          <t>止盈</t>
        </is>
      </c>
      <c r="L1057" s="5">
        <f>交易明細!K526</f>
        <v/>
      </c>
      <c r="M1057" s="19">
        <f>M1047</f>
        <v/>
      </c>
      <c r="N1057" s="2">
        <f>N1047</f>
        <v/>
      </c>
      <c r="O1057" s="19">
        <f>O1047</f>
        <v/>
      </c>
      <c r="P1057" s="4">
        <f>交易明細!L526</f>
        <v/>
      </c>
      <c r="Q1057" s="13">
        <f>IF(N1057="已下單",O1057*P1057,0)</f>
        <v/>
      </c>
      <c r="R1057" s="13">
        <f>R1056+Q1057</f>
        <v/>
      </c>
      <c r="S1057" s="19">
        <f>S1056-IF(N1057="已下單",M1057,0)</f>
        <v/>
      </c>
      <c r="T1057" s="19">
        <f>R1057-S1057</f>
        <v/>
      </c>
      <c r="U1057" s="2">
        <f>U1056-IF(N1057="已下單",1,0)</f>
        <v/>
      </c>
      <c r="V1057" s="19">
        <f>IF(資金模擬!$B$9=2,MAX(R1057,0),MAX(V1056,FLOOR(MAX(R1057,0),資金模擬!$B$6)))</f>
        <v/>
      </c>
      <c r="W1057" s="13">
        <f>MAX(W1056,R1057)</f>
        <v/>
      </c>
      <c r="X1057" s="4">
        <f>IF(W1057&gt;0,R1057/W1057-1,-1)</f>
        <v/>
      </c>
      <c r="Y1057" s="19">
        <f>IF(R1057&gt;0,S1057*資金模擬!$B$7/R1057,0)</f>
        <v/>
      </c>
      <c r="Z1057" s="2">
        <f>IF(OR(Z1056=1,R1057&lt;=資金模擬!$B$10),1,0)</f>
        <v/>
      </c>
    </row>
    <row r="1058">
      <c r="A1058" s="2" t="n">
        <v>1056</v>
      </c>
      <c r="B1058" s="7" t="n">
        <v>46293.54166666666</v>
      </c>
      <c r="C1058" s="2" t="inlineStr">
        <is>
          <t>出場</t>
        </is>
      </c>
      <c r="D1058" s="2" t="n">
        <v>527</v>
      </c>
      <c r="E1058" s="2" t="inlineStr">
        <is>
          <t>PENGU_USDT_PERP</t>
        </is>
      </c>
      <c r="F1058" s="2" t="inlineStr">
        <is>
          <t>做空</t>
        </is>
      </c>
      <c r="G1058" s="20" t="n">
        <v>0.009993999999999999</v>
      </c>
      <c r="H1058" s="20" t="n">
        <v>0.009694179999999998</v>
      </c>
      <c r="I1058" s="20" t="n">
        <v>0.0104937</v>
      </c>
      <c r="J1058" s="20" t="n">
        <v>0.009694179999999998</v>
      </c>
      <c r="K1058" s="2" t="inlineStr">
        <is>
          <t>止盈</t>
        </is>
      </c>
      <c r="L1058" s="5">
        <f>交易明細!K528</f>
        <v/>
      </c>
      <c r="M1058" s="19">
        <f>M1052</f>
        <v/>
      </c>
      <c r="N1058" s="2">
        <f>N1052</f>
        <v/>
      </c>
      <c r="O1058" s="19">
        <f>O1052</f>
        <v/>
      </c>
      <c r="P1058" s="4">
        <f>交易明細!L528</f>
        <v/>
      </c>
      <c r="Q1058" s="13">
        <f>IF(N1058="已下單",O1058*P1058,0)</f>
        <v/>
      </c>
      <c r="R1058" s="13">
        <f>R1057+Q1058</f>
        <v/>
      </c>
      <c r="S1058" s="19">
        <f>S1057-IF(N1058="已下單",M1058,0)</f>
        <v/>
      </c>
      <c r="T1058" s="19">
        <f>R1058-S1058</f>
        <v/>
      </c>
      <c r="U1058" s="2">
        <f>U1057-IF(N1058="已下單",1,0)</f>
        <v/>
      </c>
      <c r="V1058" s="19">
        <f>IF(資金模擬!$B$9=2,MAX(R1058,0),MAX(V1057,FLOOR(MAX(R1058,0),資金模擬!$B$6)))</f>
        <v/>
      </c>
      <c r="W1058" s="13">
        <f>MAX(W1057,R1058)</f>
        <v/>
      </c>
      <c r="X1058" s="4">
        <f>IF(W1058&gt;0,R1058/W1058-1,-1)</f>
        <v/>
      </c>
      <c r="Y1058" s="19">
        <f>IF(R1058&gt;0,S1058*資金模擬!$B$7/R1058,0)</f>
        <v/>
      </c>
      <c r="Z1058" s="2">
        <f>IF(OR(Z1057=1,R1058&lt;=資金模擬!$B$10),1,0)</f>
        <v/>
      </c>
    </row>
    <row r="1059">
      <c r="A1059" s="2" t="n">
        <v>1057</v>
      </c>
      <c r="B1059" s="7" t="n">
        <v>46293.54166666666</v>
      </c>
      <c r="C1059" s="2" t="inlineStr">
        <is>
          <t>出場</t>
        </is>
      </c>
      <c r="D1059" s="2" t="n">
        <v>528</v>
      </c>
      <c r="E1059" s="2" t="inlineStr">
        <is>
          <t>SAGA_USDT_PERP</t>
        </is>
      </c>
      <c r="F1059" s="2" t="inlineStr">
        <is>
          <t>做空</t>
        </is>
      </c>
      <c r="G1059" s="20" t="n">
        <v>0.02517</v>
      </c>
      <c r="H1059" s="20" t="n">
        <v>0.0244149</v>
      </c>
      <c r="I1059" s="20" t="n">
        <v>0.0264285</v>
      </c>
      <c r="J1059" s="20" t="n">
        <v>0.0264285</v>
      </c>
      <c r="K1059" s="2" t="inlineStr">
        <is>
          <t>止損</t>
        </is>
      </c>
      <c r="L1059" s="5">
        <f>交易明細!K529</f>
        <v/>
      </c>
      <c r="M1059" s="19">
        <f>M1053</f>
        <v/>
      </c>
      <c r="N1059" s="2">
        <f>N1053</f>
        <v/>
      </c>
      <c r="O1059" s="19">
        <f>O1053</f>
        <v/>
      </c>
      <c r="P1059" s="4">
        <f>交易明細!L529</f>
        <v/>
      </c>
      <c r="Q1059" s="13">
        <f>IF(N1059="已下單",O1059*P1059,0)</f>
        <v/>
      </c>
      <c r="R1059" s="13">
        <f>R1058+Q1059</f>
        <v/>
      </c>
      <c r="S1059" s="19">
        <f>S1058-IF(N1059="已下單",M1059,0)</f>
        <v/>
      </c>
      <c r="T1059" s="19">
        <f>R1059-S1059</f>
        <v/>
      </c>
      <c r="U1059" s="2">
        <f>U1058-IF(N1059="已下單",1,0)</f>
        <v/>
      </c>
      <c r="V1059" s="19">
        <f>IF(資金模擬!$B$9=2,MAX(R1059,0),MAX(V1058,FLOOR(MAX(R1059,0),資金模擬!$B$6)))</f>
        <v/>
      </c>
      <c r="W1059" s="13">
        <f>MAX(W1058,R1059)</f>
        <v/>
      </c>
      <c r="X1059" s="4">
        <f>IF(W1059&gt;0,R1059/W1059-1,-1)</f>
        <v/>
      </c>
      <c r="Y1059" s="19">
        <f>IF(R1059&gt;0,S1059*資金模擬!$B$7/R1059,0)</f>
        <v/>
      </c>
      <c r="Z1059" s="2">
        <f>IF(OR(Z1058=1,R1059&lt;=資金模擬!$B$10),1,0)</f>
        <v/>
      </c>
    </row>
    <row r="1060">
      <c r="A1060" s="2" t="n">
        <v>1058</v>
      </c>
      <c r="B1060" s="7" t="n">
        <v>46293.54166666666</v>
      </c>
      <c r="C1060" s="2" t="inlineStr">
        <is>
          <t>出場</t>
        </is>
      </c>
      <c r="D1060" s="2" t="n">
        <v>530</v>
      </c>
      <c r="E1060" s="2" t="inlineStr">
        <is>
          <t>SOON_USDT_PERP</t>
        </is>
      </c>
      <c r="F1060" s="2" t="inlineStr">
        <is>
          <t>做多</t>
        </is>
      </c>
      <c r="G1060" s="20" t="n">
        <v>0.3167</v>
      </c>
      <c r="H1060" s="20" t="n">
        <v>0.326201</v>
      </c>
      <c r="I1060" s="20" t="n">
        <v>0.300865</v>
      </c>
      <c r="J1060" s="20" t="n">
        <v>0.326201</v>
      </c>
      <c r="K1060" s="2" t="inlineStr">
        <is>
          <t>止盈</t>
        </is>
      </c>
      <c r="L1060" s="5">
        <f>交易明細!K531</f>
        <v/>
      </c>
      <c r="M1060" s="19">
        <f>M1055</f>
        <v/>
      </c>
      <c r="N1060" s="2">
        <f>N1055</f>
        <v/>
      </c>
      <c r="O1060" s="19">
        <f>O1055</f>
        <v/>
      </c>
      <c r="P1060" s="4">
        <f>交易明細!L531</f>
        <v/>
      </c>
      <c r="Q1060" s="13">
        <f>IF(N1060="已下單",O1060*P1060,0)</f>
        <v/>
      </c>
      <c r="R1060" s="13">
        <f>R1059+Q1060</f>
        <v/>
      </c>
      <c r="S1060" s="19">
        <f>S1059-IF(N1060="已下單",M1060,0)</f>
        <v/>
      </c>
      <c r="T1060" s="19">
        <f>R1060-S1060</f>
        <v/>
      </c>
      <c r="U1060" s="2">
        <f>U1059-IF(N1060="已下單",1,0)</f>
        <v/>
      </c>
      <c r="V1060" s="19">
        <f>IF(資金模擬!$B$9=2,MAX(R1060,0),MAX(V1059,FLOOR(MAX(R1060,0),資金模擬!$B$6)))</f>
        <v/>
      </c>
      <c r="W1060" s="13">
        <f>MAX(W1059,R1060)</f>
        <v/>
      </c>
      <c r="X1060" s="4">
        <f>IF(W1060&gt;0,R1060/W1060-1,-1)</f>
        <v/>
      </c>
      <c r="Y1060" s="19">
        <f>IF(R1060&gt;0,S1060*資金模擬!$B$7/R1060,0)</f>
        <v/>
      </c>
      <c r="Z1060" s="2">
        <f>IF(OR(Z1059=1,R1060&lt;=資金模擬!$B$10),1,0)</f>
        <v/>
      </c>
    </row>
    <row r="1061">
      <c r="A1061" s="2" t="n">
        <v>1059</v>
      </c>
      <c r="B1061" s="7" t="n">
        <v>46293.58333333334</v>
      </c>
      <c r="C1061" s="2" t="inlineStr">
        <is>
          <t>進場</t>
        </is>
      </c>
      <c r="D1061" s="2" t="n">
        <v>531</v>
      </c>
      <c r="E1061" s="2" t="inlineStr">
        <is>
          <t>GRASS_USDT_PERP</t>
        </is>
      </c>
      <c r="F1061" s="2" t="inlineStr">
        <is>
          <t>做多</t>
        </is>
      </c>
      <c r="G1061" s="20" t="n">
        <v>0.6443</v>
      </c>
      <c r="H1061" s="20" t="n">
        <v>0.663629</v>
      </c>
      <c r="I1061" s="20" t="n">
        <v>0.612085</v>
      </c>
      <c r="J1061" s="20" t="n"/>
      <c r="K1061" s="2" t="n"/>
      <c r="L1061" s="5" t="n"/>
      <c r="M1061" s="19">
        <f>資金模擬!$B$5*V1060</f>
        <v/>
      </c>
      <c r="N1061" s="2">
        <f>IF(Z1060=1,"已停止",IF(T1060&gt;=M1061,"已下單","資金不足略過"))</f>
        <v/>
      </c>
      <c r="O1061" s="19">
        <f>IF(N1061="已下單",M1061*資金模擬!$B$7,0)</f>
        <v/>
      </c>
      <c r="P1061" s="4" t="n"/>
      <c r="Q1061" s="13" t="n">
        <v>0</v>
      </c>
      <c r="R1061" s="13">
        <f>R1060+Q1061</f>
        <v/>
      </c>
      <c r="S1061" s="19">
        <f>S1060+IF(N1061="已下單",M1061,0)</f>
        <v/>
      </c>
      <c r="T1061" s="19">
        <f>R1061-S1061</f>
        <v/>
      </c>
      <c r="U1061" s="2">
        <f>U1060+IF(N1061="已下單",1,0)</f>
        <v/>
      </c>
      <c r="V1061" s="19">
        <f>IF(資金模擬!$B$9=2,MAX(R1061,0),MAX(V1060,FLOOR(MAX(R1061,0),資金模擬!$B$6)))</f>
        <v/>
      </c>
      <c r="W1061" s="13">
        <f>MAX(W1060,R1061)</f>
        <v/>
      </c>
      <c r="X1061" s="4">
        <f>IF(W1061&gt;0,R1061/W1061-1,-1)</f>
        <v/>
      </c>
      <c r="Y1061" s="19">
        <f>IF(R1061&gt;0,S1061*資金模擬!$B$7/R1061,0)</f>
        <v/>
      </c>
      <c r="Z1061" s="2">
        <f>IF(OR(Z1060=1,R1061&lt;=資金模擬!$B$10),1,0)</f>
        <v/>
      </c>
    </row>
    <row r="1062">
      <c r="A1062" s="2" t="n">
        <v>1060</v>
      </c>
      <c r="B1062" s="7" t="n">
        <v>46293.58333333334</v>
      </c>
      <c r="C1062" s="2" t="inlineStr">
        <is>
          <t>進場</t>
        </is>
      </c>
      <c r="D1062" s="2" t="n">
        <v>532</v>
      </c>
      <c r="E1062" s="2" t="inlineStr">
        <is>
          <t>MARSCOIN_USDT_PERP</t>
        </is>
      </c>
      <c r="F1062" s="2" t="inlineStr">
        <is>
          <t>做多</t>
        </is>
      </c>
      <c r="G1062" s="20" t="n">
        <v>0.12773</v>
      </c>
      <c r="H1062" s="20" t="n">
        <v>0.1315619</v>
      </c>
      <c r="I1062" s="20" t="n">
        <v>0.1213435</v>
      </c>
      <c r="J1062" s="20" t="n"/>
      <c r="K1062" s="2" t="n"/>
      <c r="L1062" s="5" t="n"/>
      <c r="M1062" s="19">
        <f>資金模擬!$B$5*V1061</f>
        <v/>
      </c>
      <c r="N1062" s="2">
        <f>IF(Z1061=1,"已停止",IF(T1061&gt;=M1062,"已下單","資金不足略過"))</f>
        <v/>
      </c>
      <c r="O1062" s="19">
        <f>IF(N1062="已下單",M1062*資金模擬!$B$7,0)</f>
        <v/>
      </c>
      <c r="P1062" s="4" t="n"/>
      <c r="Q1062" s="13" t="n">
        <v>0</v>
      </c>
      <c r="R1062" s="13">
        <f>R1061+Q1062</f>
        <v/>
      </c>
      <c r="S1062" s="19">
        <f>S1061+IF(N1062="已下單",M1062,0)</f>
        <v/>
      </c>
      <c r="T1062" s="19">
        <f>R1062-S1062</f>
        <v/>
      </c>
      <c r="U1062" s="2">
        <f>U1061+IF(N1062="已下單",1,0)</f>
        <v/>
      </c>
      <c r="V1062" s="19">
        <f>IF(資金模擬!$B$9=2,MAX(R1062,0),MAX(V1061,FLOOR(MAX(R1062,0),資金模擬!$B$6)))</f>
        <v/>
      </c>
      <c r="W1062" s="13">
        <f>MAX(W1061,R1062)</f>
        <v/>
      </c>
      <c r="X1062" s="4">
        <f>IF(W1062&gt;0,R1062/W1062-1,-1)</f>
        <v/>
      </c>
      <c r="Y1062" s="19">
        <f>IF(R1062&gt;0,S1062*資金模擬!$B$7/R1062,0)</f>
        <v/>
      </c>
      <c r="Z1062" s="2">
        <f>IF(OR(Z1061=1,R1062&lt;=資金模擬!$B$10),1,0)</f>
        <v/>
      </c>
    </row>
    <row r="1063">
      <c r="A1063" s="2" t="n">
        <v>1061</v>
      </c>
      <c r="B1063" s="7" t="n">
        <v>46293.58333333334</v>
      </c>
      <c r="C1063" s="2" t="inlineStr">
        <is>
          <t>進場</t>
        </is>
      </c>
      <c r="D1063" s="2" t="n">
        <v>533</v>
      </c>
      <c r="E1063" s="2" t="inlineStr">
        <is>
          <t>NEAR_USDT_PERP</t>
        </is>
      </c>
      <c r="F1063" s="2" t="inlineStr">
        <is>
          <t>做空</t>
        </is>
      </c>
      <c r="G1063" s="20" t="n">
        <v>5.159</v>
      </c>
      <c r="H1063" s="20" t="n">
        <v>5.00423</v>
      </c>
      <c r="I1063" s="20" t="n">
        <v>5.41695</v>
      </c>
      <c r="J1063" s="20" t="n"/>
      <c r="K1063" s="2" t="n"/>
      <c r="L1063" s="5" t="n"/>
      <c r="M1063" s="19">
        <f>資金模擬!$B$5*V1062</f>
        <v/>
      </c>
      <c r="N1063" s="2">
        <f>IF(Z1062=1,"已停止",IF(T1062&gt;=M1063,"已下單","資金不足略過"))</f>
        <v/>
      </c>
      <c r="O1063" s="19">
        <f>IF(N1063="已下單",M1063*資金模擬!$B$7,0)</f>
        <v/>
      </c>
      <c r="P1063" s="4" t="n"/>
      <c r="Q1063" s="13" t="n">
        <v>0</v>
      </c>
      <c r="R1063" s="13">
        <f>R1062+Q1063</f>
        <v/>
      </c>
      <c r="S1063" s="19">
        <f>S1062+IF(N1063="已下單",M1063,0)</f>
        <v/>
      </c>
      <c r="T1063" s="19">
        <f>R1063-S1063</f>
        <v/>
      </c>
      <c r="U1063" s="2">
        <f>U1062+IF(N1063="已下單",1,0)</f>
        <v/>
      </c>
      <c r="V1063" s="19">
        <f>IF(資金模擬!$B$9=2,MAX(R1063,0),MAX(V1062,FLOOR(MAX(R1063,0),資金模擬!$B$6)))</f>
        <v/>
      </c>
      <c r="W1063" s="13">
        <f>MAX(W1062,R1063)</f>
        <v/>
      </c>
      <c r="X1063" s="4">
        <f>IF(W1063&gt;0,R1063/W1063-1,-1)</f>
        <v/>
      </c>
      <c r="Y1063" s="19">
        <f>IF(R1063&gt;0,S1063*資金模擬!$B$7/R1063,0)</f>
        <v/>
      </c>
      <c r="Z1063" s="2">
        <f>IF(OR(Z1062=1,R1063&lt;=資金模擬!$B$10),1,0)</f>
        <v/>
      </c>
    </row>
    <row r="1064">
      <c r="A1064" s="2" t="n">
        <v>1062</v>
      </c>
      <c r="B1064" s="7" t="n">
        <v>46293.625</v>
      </c>
      <c r="C1064" s="2" t="inlineStr">
        <is>
          <t>出場</t>
        </is>
      </c>
      <c r="D1064" s="2" t="n">
        <v>531</v>
      </c>
      <c r="E1064" s="2" t="inlineStr">
        <is>
          <t>GRASS_USDT_PERP</t>
        </is>
      </c>
      <c r="F1064" s="2" t="inlineStr">
        <is>
          <t>做多</t>
        </is>
      </c>
      <c r="G1064" s="20" t="n">
        <v>0.6443</v>
      </c>
      <c r="H1064" s="20" t="n">
        <v>0.663629</v>
      </c>
      <c r="I1064" s="20" t="n">
        <v>0.612085</v>
      </c>
      <c r="J1064" s="20" t="n">
        <v>0.663629</v>
      </c>
      <c r="K1064" s="2" t="inlineStr">
        <is>
          <t>止盈</t>
        </is>
      </c>
      <c r="L1064" s="5">
        <f>交易明細!K532</f>
        <v/>
      </c>
      <c r="M1064" s="19">
        <f>M1061</f>
        <v/>
      </c>
      <c r="N1064" s="2">
        <f>N1061</f>
        <v/>
      </c>
      <c r="O1064" s="19">
        <f>O1061</f>
        <v/>
      </c>
      <c r="P1064" s="4">
        <f>交易明細!L532</f>
        <v/>
      </c>
      <c r="Q1064" s="13">
        <f>IF(N1064="已下單",O1064*P1064,0)</f>
        <v/>
      </c>
      <c r="R1064" s="13">
        <f>R1063+Q1064</f>
        <v/>
      </c>
      <c r="S1064" s="19">
        <f>S1063-IF(N1064="已下單",M1064,0)</f>
        <v/>
      </c>
      <c r="T1064" s="19">
        <f>R1064-S1064</f>
        <v/>
      </c>
      <c r="U1064" s="2">
        <f>U1063-IF(N1064="已下單",1,0)</f>
        <v/>
      </c>
      <c r="V1064" s="19">
        <f>IF(資金模擬!$B$9=2,MAX(R1064,0),MAX(V1063,FLOOR(MAX(R1064,0),資金模擬!$B$6)))</f>
        <v/>
      </c>
      <c r="W1064" s="13">
        <f>MAX(W1063,R1064)</f>
        <v/>
      </c>
      <c r="X1064" s="4">
        <f>IF(W1064&gt;0,R1064/W1064-1,-1)</f>
        <v/>
      </c>
      <c r="Y1064" s="19">
        <f>IF(R1064&gt;0,S1064*資金模擬!$B$7/R1064,0)</f>
        <v/>
      </c>
      <c r="Z1064" s="2">
        <f>IF(OR(Z1063=1,R1064&lt;=資金模擬!$B$10),1,0)</f>
        <v/>
      </c>
    </row>
    <row r="1065">
      <c r="A1065" s="2" t="n">
        <v>1063</v>
      </c>
      <c r="B1065" s="7" t="n">
        <v>46293.625</v>
      </c>
      <c r="C1065" s="2" t="inlineStr">
        <is>
          <t>出場</t>
        </is>
      </c>
      <c r="D1065" s="2" t="n">
        <v>532</v>
      </c>
      <c r="E1065" s="2" t="inlineStr">
        <is>
          <t>MARSCOIN_USDT_PERP</t>
        </is>
      </c>
      <c r="F1065" s="2" t="inlineStr">
        <is>
          <t>做多</t>
        </is>
      </c>
      <c r="G1065" s="20" t="n">
        <v>0.12773</v>
      </c>
      <c r="H1065" s="20" t="n">
        <v>0.1315619</v>
      </c>
      <c r="I1065" s="20" t="n">
        <v>0.1213435</v>
      </c>
      <c r="J1065" s="20" t="n">
        <v>0.1315619</v>
      </c>
      <c r="K1065" s="2" t="inlineStr">
        <is>
          <t>止盈</t>
        </is>
      </c>
      <c r="L1065" s="5">
        <f>交易明細!K533</f>
        <v/>
      </c>
      <c r="M1065" s="19">
        <f>M1062</f>
        <v/>
      </c>
      <c r="N1065" s="2">
        <f>N1062</f>
        <v/>
      </c>
      <c r="O1065" s="19">
        <f>O1062</f>
        <v/>
      </c>
      <c r="P1065" s="4">
        <f>交易明細!L533</f>
        <v/>
      </c>
      <c r="Q1065" s="13">
        <f>IF(N1065="已下單",O1065*P1065,0)</f>
        <v/>
      </c>
      <c r="R1065" s="13">
        <f>R1064+Q1065</f>
        <v/>
      </c>
      <c r="S1065" s="19">
        <f>S1064-IF(N1065="已下單",M1065,0)</f>
        <v/>
      </c>
      <c r="T1065" s="19">
        <f>R1065-S1065</f>
        <v/>
      </c>
      <c r="U1065" s="2">
        <f>U1064-IF(N1065="已下單",1,0)</f>
        <v/>
      </c>
      <c r="V1065" s="19">
        <f>IF(資金模擬!$B$9=2,MAX(R1065,0),MAX(V1064,FLOOR(MAX(R1065,0),資金模擬!$B$6)))</f>
        <v/>
      </c>
      <c r="W1065" s="13">
        <f>MAX(W1064,R1065)</f>
        <v/>
      </c>
      <c r="X1065" s="4">
        <f>IF(W1065&gt;0,R1065/W1065-1,-1)</f>
        <v/>
      </c>
      <c r="Y1065" s="19">
        <f>IF(R1065&gt;0,S1065*資金模擬!$B$7/R1065,0)</f>
        <v/>
      </c>
      <c r="Z1065" s="2">
        <f>IF(OR(Z1064=1,R1065&lt;=資金模擬!$B$10),1,0)</f>
        <v/>
      </c>
    </row>
    <row r="1066">
      <c r="A1066" s="2" t="n">
        <v>1064</v>
      </c>
      <c r="B1066" s="7" t="n">
        <v>46293.625</v>
      </c>
      <c r="C1066" s="2" t="inlineStr">
        <is>
          <t>進場</t>
        </is>
      </c>
      <c r="D1066" s="2" t="n">
        <v>534</v>
      </c>
      <c r="E1066" s="2" t="inlineStr">
        <is>
          <t>SAGA_USDT_PERP</t>
        </is>
      </c>
      <c r="F1066" s="2" t="inlineStr">
        <is>
          <t>做多</t>
        </is>
      </c>
      <c r="G1066" s="20" t="n">
        <v>0.027</v>
      </c>
      <c r="H1066" s="20" t="n">
        <v>0.02781</v>
      </c>
      <c r="I1066" s="20" t="n">
        <v>0.02565</v>
      </c>
      <c r="J1066" s="20" t="n"/>
      <c r="K1066" s="2" t="n"/>
      <c r="L1066" s="5" t="n"/>
      <c r="M1066" s="19">
        <f>資金模擬!$B$5*V1065</f>
        <v/>
      </c>
      <c r="N1066" s="2">
        <f>IF(Z1065=1,"已停止",IF(T1065&gt;=M1066,"已下單","資金不足略過"))</f>
        <v/>
      </c>
      <c r="O1066" s="19">
        <f>IF(N1066="已下單",M1066*資金模擬!$B$7,0)</f>
        <v/>
      </c>
      <c r="P1066" s="4" t="n"/>
      <c r="Q1066" s="13" t="n">
        <v>0</v>
      </c>
      <c r="R1066" s="13">
        <f>R1065+Q1066</f>
        <v/>
      </c>
      <c r="S1066" s="19">
        <f>S1065+IF(N1066="已下單",M1066,0)</f>
        <v/>
      </c>
      <c r="T1066" s="19">
        <f>R1066-S1066</f>
        <v/>
      </c>
      <c r="U1066" s="2">
        <f>U1065+IF(N1066="已下單",1,0)</f>
        <v/>
      </c>
      <c r="V1066" s="19">
        <f>IF(資金模擬!$B$9=2,MAX(R1066,0),MAX(V1065,FLOOR(MAX(R1066,0),資金模擬!$B$6)))</f>
        <v/>
      </c>
      <c r="W1066" s="13">
        <f>MAX(W1065,R1066)</f>
        <v/>
      </c>
      <c r="X1066" s="4">
        <f>IF(W1066&gt;0,R1066/W1066-1,-1)</f>
        <v/>
      </c>
      <c r="Y1066" s="19">
        <f>IF(R1066&gt;0,S1066*資金模擬!$B$7/R1066,0)</f>
        <v/>
      </c>
      <c r="Z1066" s="2">
        <f>IF(OR(Z1065=1,R1066&lt;=資金模擬!$B$10),1,0)</f>
        <v/>
      </c>
    </row>
    <row r="1067">
      <c r="A1067" s="2" t="n">
        <v>1065</v>
      </c>
      <c r="B1067" s="7" t="n">
        <v>46293.66666666666</v>
      </c>
      <c r="C1067" s="2" t="inlineStr">
        <is>
          <t>出場</t>
        </is>
      </c>
      <c r="D1067" s="2" t="n">
        <v>529</v>
      </c>
      <c r="E1067" s="2" t="inlineStr">
        <is>
          <t>ARB_USDT_PERP</t>
        </is>
      </c>
      <c r="F1067" s="2" t="inlineStr">
        <is>
          <t>做空</t>
        </is>
      </c>
      <c r="G1067" s="20" t="n">
        <v>0.2144</v>
      </c>
      <c r="H1067" s="20" t="n">
        <v>0.207968</v>
      </c>
      <c r="I1067" s="20" t="n">
        <v>0.22512</v>
      </c>
      <c r="J1067" s="20" t="n">
        <v>0.207968</v>
      </c>
      <c r="K1067" s="2" t="inlineStr">
        <is>
          <t>止盈</t>
        </is>
      </c>
      <c r="L1067" s="5">
        <f>交易明細!K530</f>
        <v/>
      </c>
      <c r="M1067" s="19">
        <f>M1054</f>
        <v/>
      </c>
      <c r="N1067" s="2">
        <f>N1054</f>
        <v/>
      </c>
      <c r="O1067" s="19">
        <f>O1054</f>
        <v/>
      </c>
      <c r="P1067" s="4">
        <f>交易明細!L530</f>
        <v/>
      </c>
      <c r="Q1067" s="13">
        <f>IF(N1067="已下單",O1067*P1067,0)</f>
        <v/>
      </c>
      <c r="R1067" s="13">
        <f>R1066+Q1067</f>
        <v/>
      </c>
      <c r="S1067" s="19">
        <f>S1066-IF(N1067="已下單",M1067,0)</f>
        <v/>
      </c>
      <c r="T1067" s="19">
        <f>R1067-S1067</f>
        <v/>
      </c>
      <c r="U1067" s="2">
        <f>U1066-IF(N1067="已下單",1,0)</f>
        <v/>
      </c>
      <c r="V1067" s="19">
        <f>IF(資金模擬!$B$9=2,MAX(R1067,0),MAX(V1066,FLOOR(MAX(R1067,0),資金模擬!$B$6)))</f>
        <v/>
      </c>
      <c r="W1067" s="13">
        <f>MAX(W1066,R1067)</f>
        <v/>
      </c>
      <c r="X1067" s="4">
        <f>IF(W1067&gt;0,R1067/W1067-1,-1)</f>
        <v/>
      </c>
      <c r="Y1067" s="19">
        <f>IF(R1067&gt;0,S1067*資金模擬!$B$7/R1067,0)</f>
        <v/>
      </c>
      <c r="Z1067" s="2">
        <f>IF(OR(Z1066=1,R1067&lt;=資金模擬!$B$10),1,0)</f>
        <v/>
      </c>
    </row>
    <row r="1068">
      <c r="A1068" s="2" t="n">
        <v>1066</v>
      </c>
      <c r="B1068" s="7" t="n">
        <v>46293.70833333334</v>
      </c>
      <c r="C1068" s="2" t="inlineStr">
        <is>
          <t>進場</t>
        </is>
      </c>
      <c r="D1068" s="2" t="n">
        <v>535</v>
      </c>
      <c r="E1068" s="2" t="inlineStr">
        <is>
          <t>牛来_USDT_PERP</t>
        </is>
      </c>
      <c r="F1068" s="2" t="inlineStr">
        <is>
          <t>做多</t>
        </is>
      </c>
      <c r="G1068" s="20" t="n">
        <v>0.11105</v>
      </c>
      <c r="H1068" s="20" t="n">
        <v>0.1143815</v>
      </c>
      <c r="I1068" s="20" t="n">
        <v>0.1054975</v>
      </c>
      <c r="J1068" s="20" t="n"/>
      <c r="K1068" s="2" t="n"/>
      <c r="L1068" s="5" t="n"/>
      <c r="M1068" s="19">
        <f>資金模擬!$B$5*V1067</f>
        <v/>
      </c>
      <c r="N1068" s="2">
        <f>IF(Z1067=1,"已停止",IF(T1067&gt;=M1068,"已下單","資金不足略過"))</f>
        <v/>
      </c>
      <c r="O1068" s="19">
        <f>IF(N1068="已下單",M1068*資金模擬!$B$7,0)</f>
        <v/>
      </c>
      <c r="P1068" s="4" t="n"/>
      <c r="Q1068" s="13" t="n">
        <v>0</v>
      </c>
      <c r="R1068" s="13">
        <f>R1067+Q1068</f>
        <v/>
      </c>
      <c r="S1068" s="19">
        <f>S1067+IF(N1068="已下單",M1068,0)</f>
        <v/>
      </c>
      <c r="T1068" s="19">
        <f>R1068-S1068</f>
        <v/>
      </c>
      <c r="U1068" s="2">
        <f>U1067+IF(N1068="已下單",1,0)</f>
        <v/>
      </c>
      <c r="V1068" s="19">
        <f>IF(資金模擬!$B$9=2,MAX(R1068,0),MAX(V1067,FLOOR(MAX(R1068,0),資金模擬!$B$6)))</f>
        <v/>
      </c>
      <c r="W1068" s="13">
        <f>MAX(W1067,R1068)</f>
        <v/>
      </c>
      <c r="X1068" s="4">
        <f>IF(W1068&gt;0,R1068/W1068-1,-1)</f>
        <v/>
      </c>
      <c r="Y1068" s="19">
        <f>IF(R1068&gt;0,S1068*資金模擬!$B$7/R1068,0)</f>
        <v/>
      </c>
      <c r="Z1068" s="2">
        <f>IF(OR(Z1067=1,R1068&lt;=資金模擬!$B$10),1,0)</f>
        <v/>
      </c>
    </row>
    <row r="1069">
      <c r="A1069" s="2" t="n">
        <v>1067</v>
      </c>
      <c r="B1069" s="7" t="n">
        <v>46293.75</v>
      </c>
      <c r="C1069" s="2" t="inlineStr">
        <is>
          <t>出場</t>
        </is>
      </c>
      <c r="D1069" s="2" t="n">
        <v>526</v>
      </c>
      <c r="E1069" s="2" t="inlineStr">
        <is>
          <t>XPL_USDT_PERP</t>
        </is>
      </c>
      <c r="F1069" s="2" t="inlineStr">
        <is>
          <t>做空</t>
        </is>
      </c>
      <c r="G1069" s="20" t="n">
        <v>0.1037</v>
      </c>
      <c r="H1069" s="20" t="n">
        <v>0.100589</v>
      </c>
      <c r="I1069" s="20" t="n">
        <v>0.108885</v>
      </c>
      <c r="J1069" s="20" t="n">
        <v>0.100589</v>
      </c>
      <c r="K1069" s="2" t="inlineStr">
        <is>
          <t>止盈</t>
        </is>
      </c>
      <c r="L1069" s="5">
        <f>交易明細!K527</f>
        <v/>
      </c>
      <c r="M1069" s="19">
        <f>M1051</f>
        <v/>
      </c>
      <c r="N1069" s="2">
        <f>N1051</f>
        <v/>
      </c>
      <c r="O1069" s="19">
        <f>O1051</f>
        <v/>
      </c>
      <c r="P1069" s="4">
        <f>交易明細!L527</f>
        <v/>
      </c>
      <c r="Q1069" s="13">
        <f>IF(N1069="已下單",O1069*P1069,0)</f>
        <v/>
      </c>
      <c r="R1069" s="13">
        <f>R1068+Q1069</f>
        <v/>
      </c>
      <c r="S1069" s="19">
        <f>S1068-IF(N1069="已下單",M1069,0)</f>
        <v/>
      </c>
      <c r="T1069" s="19">
        <f>R1069-S1069</f>
        <v/>
      </c>
      <c r="U1069" s="2">
        <f>U1068-IF(N1069="已下單",1,0)</f>
        <v/>
      </c>
      <c r="V1069" s="19">
        <f>IF(資金模擬!$B$9=2,MAX(R1069,0),MAX(V1068,FLOOR(MAX(R1069,0),資金模擬!$B$6)))</f>
        <v/>
      </c>
      <c r="W1069" s="13">
        <f>MAX(W1068,R1069)</f>
        <v/>
      </c>
      <c r="X1069" s="4">
        <f>IF(W1069&gt;0,R1069/W1069-1,-1)</f>
        <v/>
      </c>
      <c r="Y1069" s="19">
        <f>IF(R1069&gt;0,S1069*資金模擬!$B$7/R1069,0)</f>
        <v/>
      </c>
      <c r="Z1069" s="2">
        <f>IF(OR(Z1068=1,R1069&lt;=資金模擬!$B$10),1,0)</f>
        <v/>
      </c>
    </row>
    <row r="1070">
      <c r="A1070" s="2" t="n">
        <v>1068</v>
      </c>
      <c r="B1070" s="7" t="n">
        <v>46293.75</v>
      </c>
      <c r="C1070" s="2" t="inlineStr">
        <is>
          <t>出場</t>
        </is>
      </c>
      <c r="D1070" s="2" t="n">
        <v>533</v>
      </c>
      <c r="E1070" s="2" t="inlineStr">
        <is>
          <t>NEAR_USDT_PERP</t>
        </is>
      </c>
      <c r="F1070" s="2" t="inlineStr">
        <is>
          <t>做空</t>
        </is>
      </c>
      <c r="G1070" s="20" t="n">
        <v>5.159</v>
      </c>
      <c r="H1070" s="20" t="n">
        <v>5.00423</v>
      </c>
      <c r="I1070" s="20" t="n">
        <v>5.41695</v>
      </c>
      <c r="J1070" s="20" t="n">
        <v>5.00423</v>
      </c>
      <c r="K1070" s="2" t="inlineStr">
        <is>
          <t>止盈</t>
        </is>
      </c>
      <c r="L1070" s="5">
        <f>交易明細!K534</f>
        <v/>
      </c>
      <c r="M1070" s="19">
        <f>M1063</f>
        <v/>
      </c>
      <c r="N1070" s="2">
        <f>N1063</f>
        <v/>
      </c>
      <c r="O1070" s="19">
        <f>O1063</f>
        <v/>
      </c>
      <c r="P1070" s="4">
        <f>交易明細!L534</f>
        <v/>
      </c>
      <c r="Q1070" s="13">
        <f>IF(N1070="已下單",O1070*P1070,0)</f>
        <v/>
      </c>
      <c r="R1070" s="13">
        <f>R1069+Q1070</f>
        <v/>
      </c>
      <c r="S1070" s="19">
        <f>S1069-IF(N1070="已下單",M1070,0)</f>
        <v/>
      </c>
      <c r="T1070" s="19">
        <f>R1070-S1070</f>
        <v/>
      </c>
      <c r="U1070" s="2">
        <f>U1069-IF(N1070="已下單",1,0)</f>
        <v/>
      </c>
      <c r="V1070" s="19">
        <f>IF(資金模擬!$B$9=2,MAX(R1070,0),MAX(V1069,FLOOR(MAX(R1070,0),資金模擬!$B$6)))</f>
        <v/>
      </c>
      <c r="W1070" s="13">
        <f>MAX(W1069,R1070)</f>
        <v/>
      </c>
      <c r="X1070" s="4">
        <f>IF(W1070&gt;0,R1070/W1070-1,-1)</f>
        <v/>
      </c>
      <c r="Y1070" s="19">
        <f>IF(R1070&gt;0,S1070*資金模擬!$B$7/R1070,0)</f>
        <v/>
      </c>
      <c r="Z1070" s="2">
        <f>IF(OR(Z1069=1,R1070&lt;=資金模擬!$B$10),1,0)</f>
        <v/>
      </c>
    </row>
    <row r="1071">
      <c r="A1071" s="2" t="n">
        <v>1069</v>
      </c>
      <c r="B1071" s="7" t="n">
        <v>46293.75</v>
      </c>
      <c r="C1071" s="2" t="inlineStr">
        <is>
          <t>進場</t>
        </is>
      </c>
      <c r="D1071" s="2" t="n">
        <v>536</v>
      </c>
      <c r="E1071" s="2" t="inlineStr">
        <is>
          <t>GRAM_USDT_PERP</t>
        </is>
      </c>
      <c r="F1071" s="2" t="inlineStr">
        <is>
          <t>做多</t>
        </is>
      </c>
      <c r="G1071" s="20" t="n">
        <v>1.667</v>
      </c>
      <c r="H1071" s="20" t="n">
        <v>1.71701</v>
      </c>
      <c r="I1071" s="20" t="n">
        <v>1.58365</v>
      </c>
      <c r="J1071" s="20" t="n"/>
      <c r="K1071" s="2" t="n"/>
      <c r="L1071" s="5" t="n"/>
      <c r="M1071" s="19">
        <f>資金模擬!$B$5*V1070</f>
        <v/>
      </c>
      <c r="N1071" s="2">
        <f>IF(Z1070=1,"已停止",IF(T1070&gt;=M1071,"已下單","資金不足略過"))</f>
        <v/>
      </c>
      <c r="O1071" s="19">
        <f>IF(N1071="已下單",M1071*資金模擬!$B$7,0)</f>
        <v/>
      </c>
      <c r="P1071" s="4" t="n"/>
      <c r="Q1071" s="13" t="n">
        <v>0</v>
      </c>
      <c r="R1071" s="13">
        <f>R1070+Q1071</f>
        <v/>
      </c>
      <c r="S1071" s="19">
        <f>S1070+IF(N1071="已下單",M1071,0)</f>
        <v/>
      </c>
      <c r="T1071" s="19">
        <f>R1071-S1071</f>
        <v/>
      </c>
      <c r="U1071" s="2">
        <f>U1070+IF(N1071="已下單",1,0)</f>
        <v/>
      </c>
      <c r="V1071" s="19">
        <f>IF(資金模擬!$B$9=2,MAX(R1071,0),MAX(V1070,FLOOR(MAX(R1071,0),資金模擬!$B$6)))</f>
        <v/>
      </c>
      <c r="W1071" s="13">
        <f>MAX(W1070,R1071)</f>
        <v/>
      </c>
      <c r="X1071" s="4">
        <f>IF(W1071&gt;0,R1071/W1071-1,-1)</f>
        <v/>
      </c>
      <c r="Y1071" s="19">
        <f>IF(R1071&gt;0,S1071*資金模擬!$B$7/R1071,0)</f>
        <v/>
      </c>
      <c r="Z1071" s="2">
        <f>IF(OR(Z1070=1,R1071&lt;=資金模擬!$B$10),1,0)</f>
        <v/>
      </c>
    </row>
    <row r="1072">
      <c r="A1072" s="2" t="n">
        <v>1070</v>
      </c>
      <c r="B1072" s="7" t="n">
        <v>46293.79166666666</v>
      </c>
      <c r="C1072" s="2" t="inlineStr">
        <is>
          <t>出場</t>
        </is>
      </c>
      <c r="D1072" s="2" t="n">
        <v>536</v>
      </c>
      <c r="E1072" s="2" t="inlineStr">
        <is>
          <t>GRAM_USDT_PERP</t>
        </is>
      </c>
      <c r="F1072" s="2" t="inlineStr">
        <is>
          <t>做多</t>
        </is>
      </c>
      <c r="G1072" s="20" t="n">
        <v>1.667</v>
      </c>
      <c r="H1072" s="20" t="n">
        <v>1.71701</v>
      </c>
      <c r="I1072" s="20" t="n">
        <v>1.58365</v>
      </c>
      <c r="J1072" s="20" t="n">
        <v>1.71701</v>
      </c>
      <c r="K1072" s="2" t="inlineStr">
        <is>
          <t>止盈</t>
        </is>
      </c>
      <c r="L1072" s="5">
        <f>交易明細!K537</f>
        <v/>
      </c>
      <c r="M1072" s="19">
        <f>M1071</f>
        <v/>
      </c>
      <c r="N1072" s="2">
        <f>N1071</f>
        <v/>
      </c>
      <c r="O1072" s="19">
        <f>O1071</f>
        <v/>
      </c>
      <c r="P1072" s="4">
        <f>交易明細!L537</f>
        <v/>
      </c>
      <c r="Q1072" s="13">
        <f>IF(N1072="已下單",O1072*P1072,0)</f>
        <v/>
      </c>
      <c r="R1072" s="13">
        <f>R1071+Q1072</f>
        <v/>
      </c>
      <c r="S1072" s="19">
        <f>S1071-IF(N1072="已下單",M1072,0)</f>
        <v/>
      </c>
      <c r="T1072" s="19">
        <f>R1072-S1072</f>
        <v/>
      </c>
      <c r="U1072" s="2">
        <f>U1071-IF(N1072="已下單",1,0)</f>
        <v/>
      </c>
      <c r="V1072" s="19">
        <f>IF(資金模擬!$B$9=2,MAX(R1072,0),MAX(V1071,FLOOR(MAX(R1072,0),資金模擬!$B$6)))</f>
        <v/>
      </c>
      <c r="W1072" s="13">
        <f>MAX(W1071,R1072)</f>
        <v/>
      </c>
      <c r="X1072" s="4">
        <f>IF(W1072&gt;0,R1072/W1072-1,-1)</f>
        <v/>
      </c>
      <c r="Y1072" s="19">
        <f>IF(R1072&gt;0,S1072*資金模擬!$B$7/R1072,0)</f>
        <v/>
      </c>
      <c r="Z1072" s="2">
        <f>IF(OR(Z1071=1,R1072&lt;=資金模擬!$B$10),1,0)</f>
        <v/>
      </c>
    </row>
    <row r="1073">
      <c r="A1073" s="2" t="n">
        <v>1071</v>
      </c>
      <c r="B1073" s="7" t="n">
        <v>46293.83333333334</v>
      </c>
      <c r="C1073" s="2" t="inlineStr">
        <is>
          <t>進場</t>
        </is>
      </c>
      <c r="D1073" s="2" t="n">
        <v>537</v>
      </c>
      <c r="E1073" s="2" t="inlineStr">
        <is>
          <t>BTW_USDT_PERP</t>
        </is>
      </c>
      <c r="F1073" s="2" t="inlineStr">
        <is>
          <t>做多</t>
        </is>
      </c>
      <c r="G1073" s="20" t="n">
        <v>1.272503</v>
      </c>
      <c r="H1073" s="20" t="n">
        <v>1.31067809</v>
      </c>
      <c r="I1073" s="20" t="n">
        <v>1.20887785</v>
      </c>
      <c r="J1073" s="20" t="n"/>
      <c r="K1073" s="2" t="n"/>
      <c r="L1073" s="5" t="n"/>
      <c r="M1073" s="19">
        <f>資金模擬!$B$5*V1072</f>
        <v/>
      </c>
      <c r="N1073" s="2">
        <f>IF(Z1072=1,"已停止",IF(T1072&gt;=M1073,"已下單","資金不足略過"))</f>
        <v/>
      </c>
      <c r="O1073" s="19">
        <f>IF(N1073="已下單",M1073*資金模擬!$B$7,0)</f>
        <v/>
      </c>
      <c r="P1073" s="4" t="n"/>
      <c r="Q1073" s="13" t="n">
        <v>0</v>
      </c>
      <c r="R1073" s="13">
        <f>R1072+Q1073</f>
        <v/>
      </c>
      <c r="S1073" s="19">
        <f>S1072+IF(N1073="已下單",M1073,0)</f>
        <v/>
      </c>
      <c r="T1073" s="19">
        <f>R1073-S1073</f>
        <v/>
      </c>
      <c r="U1073" s="2">
        <f>U1072+IF(N1073="已下單",1,0)</f>
        <v/>
      </c>
      <c r="V1073" s="19">
        <f>IF(資金模擬!$B$9=2,MAX(R1073,0),MAX(V1072,FLOOR(MAX(R1073,0),資金模擬!$B$6)))</f>
        <v/>
      </c>
      <c r="W1073" s="13">
        <f>MAX(W1072,R1073)</f>
        <v/>
      </c>
      <c r="X1073" s="4">
        <f>IF(W1073&gt;0,R1073/W1073-1,-1)</f>
        <v/>
      </c>
      <c r="Y1073" s="19">
        <f>IF(R1073&gt;0,S1073*資金模擬!$B$7/R1073,0)</f>
        <v/>
      </c>
      <c r="Z1073" s="2">
        <f>IF(OR(Z1072=1,R1073&lt;=資金模擬!$B$10),1,0)</f>
        <v/>
      </c>
    </row>
    <row r="1074">
      <c r="A1074" s="2" t="n">
        <v>1072</v>
      </c>
      <c r="B1074" s="7" t="n">
        <v>46293.83333333334</v>
      </c>
      <c r="C1074" s="2" t="inlineStr">
        <is>
          <t>進場</t>
        </is>
      </c>
      <c r="D1074" s="2" t="n">
        <v>538</v>
      </c>
      <c r="E1074" s="2" t="inlineStr">
        <is>
          <t>PUMP_USDT_PERP</t>
        </is>
      </c>
      <c r="F1074" s="2" t="inlineStr">
        <is>
          <t>做多</t>
        </is>
      </c>
      <c r="G1074" s="20" t="n">
        <v>0.005038</v>
      </c>
      <c r="H1074" s="20" t="n">
        <v>0.00518914</v>
      </c>
      <c r="I1074" s="20" t="n">
        <v>0.0047861</v>
      </c>
      <c r="J1074" s="20" t="n"/>
      <c r="K1074" s="2" t="n"/>
      <c r="L1074" s="5" t="n"/>
      <c r="M1074" s="19">
        <f>資金模擬!$B$5*V1073</f>
        <v/>
      </c>
      <c r="N1074" s="2">
        <f>IF(Z1073=1,"已停止",IF(T1073&gt;=M1074,"已下單","資金不足略過"))</f>
        <v/>
      </c>
      <c r="O1074" s="19">
        <f>IF(N1074="已下單",M1074*資金模擬!$B$7,0)</f>
        <v/>
      </c>
      <c r="P1074" s="4" t="n"/>
      <c r="Q1074" s="13" t="n">
        <v>0</v>
      </c>
      <c r="R1074" s="13">
        <f>R1073+Q1074</f>
        <v/>
      </c>
      <c r="S1074" s="19">
        <f>S1073+IF(N1074="已下單",M1074,0)</f>
        <v/>
      </c>
      <c r="T1074" s="19">
        <f>R1074-S1074</f>
        <v/>
      </c>
      <c r="U1074" s="2">
        <f>U1073+IF(N1074="已下單",1,0)</f>
        <v/>
      </c>
      <c r="V1074" s="19">
        <f>IF(資金模擬!$B$9=2,MAX(R1074,0),MAX(V1073,FLOOR(MAX(R1074,0),資金模擬!$B$6)))</f>
        <v/>
      </c>
      <c r="W1074" s="13">
        <f>MAX(W1073,R1074)</f>
        <v/>
      </c>
      <c r="X1074" s="4">
        <f>IF(W1074&gt;0,R1074/W1074-1,-1)</f>
        <v/>
      </c>
      <c r="Y1074" s="19">
        <f>IF(R1074&gt;0,S1074*資金模擬!$B$7/R1074,0)</f>
        <v/>
      </c>
      <c r="Z1074" s="2">
        <f>IF(OR(Z1073=1,R1074&lt;=資金模擬!$B$10),1,0)</f>
        <v/>
      </c>
    </row>
    <row r="1075">
      <c r="A1075" s="2" t="n">
        <v>1073</v>
      </c>
      <c r="B1075" s="7" t="n">
        <v>46293.875</v>
      </c>
      <c r="C1075" s="2" t="inlineStr">
        <is>
          <t>出場</t>
        </is>
      </c>
      <c r="D1075" s="2" t="n">
        <v>535</v>
      </c>
      <c r="E1075" s="2" t="inlineStr">
        <is>
          <t>牛来_USDT_PERP</t>
        </is>
      </c>
      <c r="F1075" s="2" t="inlineStr">
        <is>
          <t>做多</t>
        </is>
      </c>
      <c r="G1075" s="20" t="n">
        <v>0.11105</v>
      </c>
      <c r="H1075" s="20" t="n">
        <v>0.1143815</v>
      </c>
      <c r="I1075" s="20" t="n">
        <v>0.1054975</v>
      </c>
      <c r="J1075" s="20" t="n">
        <v>0.1143815</v>
      </c>
      <c r="K1075" s="2" t="inlineStr">
        <is>
          <t>止盈</t>
        </is>
      </c>
      <c r="L1075" s="5">
        <f>交易明細!K536</f>
        <v/>
      </c>
      <c r="M1075" s="19">
        <f>M1068</f>
        <v/>
      </c>
      <c r="N1075" s="2">
        <f>N1068</f>
        <v/>
      </c>
      <c r="O1075" s="19">
        <f>O1068</f>
        <v/>
      </c>
      <c r="P1075" s="4">
        <f>交易明細!L536</f>
        <v/>
      </c>
      <c r="Q1075" s="13">
        <f>IF(N1075="已下單",O1075*P1075,0)</f>
        <v/>
      </c>
      <c r="R1075" s="13">
        <f>R1074+Q1075</f>
        <v/>
      </c>
      <c r="S1075" s="19">
        <f>S1074-IF(N1075="已下單",M1075,0)</f>
        <v/>
      </c>
      <c r="T1075" s="19">
        <f>R1075-S1075</f>
        <v/>
      </c>
      <c r="U1075" s="2">
        <f>U1074-IF(N1075="已下單",1,0)</f>
        <v/>
      </c>
      <c r="V1075" s="19">
        <f>IF(資金模擬!$B$9=2,MAX(R1075,0),MAX(V1074,FLOOR(MAX(R1075,0),資金模擬!$B$6)))</f>
        <v/>
      </c>
      <c r="W1075" s="13">
        <f>MAX(W1074,R1075)</f>
        <v/>
      </c>
      <c r="X1075" s="4">
        <f>IF(W1075&gt;0,R1075/W1075-1,-1)</f>
        <v/>
      </c>
      <c r="Y1075" s="19">
        <f>IF(R1075&gt;0,S1075*資金模擬!$B$7/R1075,0)</f>
        <v/>
      </c>
      <c r="Z1075" s="2">
        <f>IF(OR(Z1074=1,R1075&lt;=資金模擬!$B$10),1,0)</f>
        <v/>
      </c>
    </row>
    <row r="1076">
      <c r="A1076" s="2" t="n">
        <v>1074</v>
      </c>
      <c r="B1076" s="7" t="n">
        <v>46293.875</v>
      </c>
      <c r="C1076" s="2" t="inlineStr">
        <is>
          <t>出場</t>
        </is>
      </c>
      <c r="D1076" s="2" t="n">
        <v>538</v>
      </c>
      <c r="E1076" s="2" t="inlineStr">
        <is>
          <t>PUMP_USDT_PERP</t>
        </is>
      </c>
      <c r="F1076" s="2" t="inlineStr">
        <is>
          <t>做多</t>
        </is>
      </c>
      <c r="G1076" s="20" t="n">
        <v>0.005038</v>
      </c>
      <c r="H1076" s="20" t="n">
        <v>0.00518914</v>
      </c>
      <c r="I1076" s="20" t="n">
        <v>0.0047861</v>
      </c>
      <c r="J1076" s="20" t="n">
        <v>0.00518914</v>
      </c>
      <c r="K1076" s="2" t="inlineStr">
        <is>
          <t>止盈</t>
        </is>
      </c>
      <c r="L1076" s="5">
        <f>交易明細!K539</f>
        <v/>
      </c>
      <c r="M1076" s="19">
        <f>M1074</f>
        <v/>
      </c>
      <c r="N1076" s="2">
        <f>N1074</f>
        <v/>
      </c>
      <c r="O1076" s="19">
        <f>O1074</f>
        <v/>
      </c>
      <c r="P1076" s="4">
        <f>交易明細!L539</f>
        <v/>
      </c>
      <c r="Q1076" s="13">
        <f>IF(N1076="已下單",O1076*P1076,0)</f>
        <v/>
      </c>
      <c r="R1076" s="13">
        <f>R1075+Q1076</f>
        <v/>
      </c>
      <c r="S1076" s="19">
        <f>S1075-IF(N1076="已下單",M1076,0)</f>
        <v/>
      </c>
      <c r="T1076" s="19">
        <f>R1076-S1076</f>
        <v/>
      </c>
      <c r="U1076" s="2">
        <f>U1075-IF(N1076="已下單",1,0)</f>
        <v/>
      </c>
      <c r="V1076" s="19">
        <f>IF(資金模擬!$B$9=2,MAX(R1076,0),MAX(V1075,FLOOR(MAX(R1076,0),資金模擬!$B$6)))</f>
        <v/>
      </c>
      <c r="W1076" s="13">
        <f>MAX(W1075,R1076)</f>
        <v/>
      </c>
      <c r="X1076" s="4">
        <f>IF(W1076&gt;0,R1076/W1076-1,-1)</f>
        <v/>
      </c>
      <c r="Y1076" s="19">
        <f>IF(R1076&gt;0,S1076*資金模擬!$B$7/R1076,0)</f>
        <v/>
      </c>
      <c r="Z1076" s="2">
        <f>IF(OR(Z1075=1,R1076&lt;=資金模擬!$B$10),1,0)</f>
        <v/>
      </c>
    </row>
    <row r="1077">
      <c r="A1077" s="2" t="n">
        <v>1075</v>
      </c>
      <c r="B1077" s="7" t="n">
        <v>46293.91666666666</v>
      </c>
      <c r="C1077" s="2" t="inlineStr">
        <is>
          <t>出場</t>
        </is>
      </c>
      <c r="D1077" s="2" t="n">
        <v>537</v>
      </c>
      <c r="E1077" s="2" t="inlineStr">
        <is>
          <t>BTW_USDT_PERP</t>
        </is>
      </c>
      <c r="F1077" s="2" t="inlineStr">
        <is>
          <t>做多</t>
        </is>
      </c>
      <c r="G1077" s="20" t="n">
        <v>1.272503</v>
      </c>
      <c r="H1077" s="20" t="n">
        <v>1.31067809</v>
      </c>
      <c r="I1077" s="20" t="n">
        <v>1.20887785</v>
      </c>
      <c r="J1077" s="20" t="n">
        <v>1.31067809</v>
      </c>
      <c r="K1077" s="2" t="inlineStr">
        <is>
          <t>止盈</t>
        </is>
      </c>
      <c r="L1077" s="5">
        <f>交易明細!K538</f>
        <v/>
      </c>
      <c r="M1077" s="19">
        <f>M1073</f>
        <v/>
      </c>
      <c r="N1077" s="2">
        <f>N1073</f>
        <v/>
      </c>
      <c r="O1077" s="19">
        <f>O1073</f>
        <v/>
      </c>
      <c r="P1077" s="4">
        <f>交易明細!L538</f>
        <v/>
      </c>
      <c r="Q1077" s="13">
        <f>IF(N1077="已下單",O1077*P1077,0)</f>
        <v/>
      </c>
      <c r="R1077" s="13">
        <f>R1076+Q1077</f>
        <v/>
      </c>
      <c r="S1077" s="19">
        <f>S1076-IF(N1077="已下單",M1077,0)</f>
        <v/>
      </c>
      <c r="T1077" s="19">
        <f>R1077-S1077</f>
        <v/>
      </c>
      <c r="U1077" s="2">
        <f>U1076-IF(N1077="已下單",1,0)</f>
        <v/>
      </c>
      <c r="V1077" s="19">
        <f>IF(資金模擬!$B$9=2,MAX(R1077,0),MAX(V1076,FLOOR(MAX(R1077,0),資金模擬!$B$6)))</f>
        <v/>
      </c>
      <c r="W1077" s="13">
        <f>MAX(W1076,R1077)</f>
        <v/>
      </c>
      <c r="X1077" s="4">
        <f>IF(W1077&gt;0,R1077/W1077-1,-1)</f>
        <v/>
      </c>
      <c r="Y1077" s="19">
        <f>IF(R1077&gt;0,S1077*資金模擬!$B$7/R1077,0)</f>
        <v/>
      </c>
      <c r="Z1077" s="2">
        <f>IF(OR(Z1076=1,R1077&lt;=資金模擬!$B$10),1,0)</f>
        <v/>
      </c>
    </row>
    <row r="1078">
      <c r="A1078" s="2" t="n">
        <v>1076</v>
      </c>
      <c r="B1078" s="7" t="n">
        <v>46293.91666666666</v>
      </c>
      <c r="C1078" s="2" t="inlineStr">
        <is>
          <t>進場</t>
        </is>
      </c>
      <c r="D1078" s="2" t="n">
        <v>539</v>
      </c>
      <c r="E1078" s="2" t="inlineStr">
        <is>
          <t>USELESS_USDT_PERP</t>
        </is>
      </c>
      <c r="F1078" s="2" t="inlineStr">
        <is>
          <t>做空</t>
        </is>
      </c>
      <c r="G1078" s="20" t="n">
        <v>0.25393</v>
      </c>
      <c r="H1078" s="20" t="n">
        <v>0.2463121</v>
      </c>
      <c r="I1078" s="20" t="n">
        <v>0.2666265</v>
      </c>
      <c r="J1078" s="20" t="n"/>
      <c r="K1078" s="2" t="n"/>
      <c r="L1078" s="5" t="n"/>
      <c r="M1078" s="19">
        <f>資金模擬!$B$5*V1077</f>
        <v/>
      </c>
      <c r="N1078" s="2">
        <f>IF(Z1077=1,"已停止",IF(T1077&gt;=M1078,"已下單","資金不足略過"))</f>
        <v/>
      </c>
      <c r="O1078" s="19">
        <f>IF(N1078="已下單",M1078*資金模擬!$B$7,0)</f>
        <v/>
      </c>
      <c r="P1078" s="4" t="n"/>
      <c r="Q1078" s="13" t="n">
        <v>0</v>
      </c>
      <c r="R1078" s="13">
        <f>R1077+Q1078</f>
        <v/>
      </c>
      <c r="S1078" s="19">
        <f>S1077+IF(N1078="已下單",M1078,0)</f>
        <v/>
      </c>
      <c r="T1078" s="19">
        <f>R1078-S1078</f>
        <v/>
      </c>
      <c r="U1078" s="2">
        <f>U1077+IF(N1078="已下單",1,0)</f>
        <v/>
      </c>
      <c r="V1078" s="19">
        <f>IF(資金模擬!$B$9=2,MAX(R1078,0),MAX(V1077,FLOOR(MAX(R1078,0),資金模擬!$B$6)))</f>
        <v/>
      </c>
      <c r="W1078" s="13">
        <f>MAX(W1077,R1078)</f>
        <v/>
      </c>
      <c r="X1078" s="4">
        <f>IF(W1078&gt;0,R1078/W1078-1,-1)</f>
        <v/>
      </c>
      <c r="Y1078" s="19">
        <f>IF(R1078&gt;0,S1078*資金模擬!$B$7/R1078,0)</f>
        <v/>
      </c>
      <c r="Z1078" s="2">
        <f>IF(OR(Z1077=1,R1078&lt;=資金模擬!$B$10),1,0)</f>
        <v/>
      </c>
    </row>
    <row r="1079">
      <c r="A1079" s="2" t="n">
        <v>1077</v>
      </c>
      <c r="B1079" s="7" t="n">
        <v>46293.95833333334</v>
      </c>
      <c r="C1079" s="2" t="inlineStr">
        <is>
          <t>出場</t>
        </is>
      </c>
      <c r="D1079" s="2" t="n">
        <v>539</v>
      </c>
      <c r="E1079" s="2" t="inlineStr">
        <is>
          <t>USELESS_USDT_PERP</t>
        </is>
      </c>
      <c r="F1079" s="2" t="inlineStr">
        <is>
          <t>做空</t>
        </is>
      </c>
      <c r="G1079" s="20" t="n">
        <v>0.25393</v>
      </c>
      <c r="H1079" s="20" t="n">
        <v>0.2463121</v>
      </c>
      <c r="I1079" s="20" t="n">
        <v>0.2666265</v>
      </c>
      <c r="J1079" s="20" t="n">
        <v>0.2463121</v>
      </c>
      <c r="K1079" s="2" t="inlineStr">
        <is>
          <t>止盈</t>
        </is>
      </c>
      <c r="L1079" s="5">
        <f>交易明細!K540</f>
        <v/>
      </c>
      <c r="M1079" s="19">
        <f>M1078</f>
        <v/>
      </c>
      <c r="N1079" s="2">
        <f>N1078</f>
        <v/>
      </c>
      <c r="O1079" s="19">
        <f>O1078</f>
        <v/>
      </c>
      <c r="P1079" s="4">
        <f>交易明細!L540</f>
        <v/>
      </c>
      <c r="Q1079" s="13">
        <f>IF(N1079="已下單",O1079*P1079,0)</f>
        <v/>
      </c>
      <c r="R1079" s="13">
        <f>R1078+Q1079</f>
        <v/>
      </c>
      <c r="S1079" s="19">
        <f>S1078-IF(N1079="已下單",M1079,0)</f>
        <v/>
      </c>
      <c r="T1079" s="19">
        <f>R1079-S1079</f>
        <v/>
      </c>
      <c r="U1079" s="2">
        <f>U1078-IF(N1079="已下單",1,0)</f>
        <v/>
      </c>
      <c r="V1079" s="19">
        <f>IF(資金模擬!$B$9=2,MAX(R1079,0),MAX(V1078,FLOOR(MAX(R1079,0),資金模擬!$B$6)))</f>
        <v/>
      </c>
      <c r="W1079" s="13">
        <f>MAX(W1078,R1079)</f>
        <v/>
      </c>
      <c r="X1079" s="4">
        <f>IF(W1079&gt;0,R1079/W1079-1,-1)</f>
        <v/>
      </c>
      <c r="Y1079" s="19">
        <f>IF(R1079&gt;0,S1079*資金模擬!$B$7/R1079,0)</f>
        <v/>
      </c>
      <c r="Z1079" s="2">
        <f>IF(OR(Z1078=1,R1079&lt;=資金模擬!$B$10),1,0)</f>
        <v/>
      </c>
    </row>
    <row r="1080">
      <c r="A1080" s="2" t="n">
        <v>1078</v>
      </c>
      <c r="B1080" s="7" t="n">
        <v>46293.95833333334</v>
      </c>
      <c r="C1080" s="2" t="inlineStr">
        <is>
          <t>進場</t>
        </is>
      </c>
      <c r="D1080" s="2" t="n">
        <v>540</v>
      </c>
      <c r="E1080" s="2" t="inlineStr">
        <is>
          <t>DOT_USDT_PERP</t>
        </is>
      </c>
      <c r="F1080" s="2" t="inlineStr">
        <is>
          <t>做空</t>
        </is>
      </c>
      <c r="G1080" s="20" t="n">
        <v>1.162</v>
      </c>
      <c r="H1080" s="20" t="n">
        <v>1.12714</v>
      </c>
      <c r="I1080" s="20" t="n">
        <v>1.2201</v>
      </c>
      <c r="J1080" s="20" t="n"/>
      <c r="K1080" s="2" t="n"/>
      <c r="L1080" s="5" t="n"/>
      <c r="M1080" s="19">
        <f>資金模擬!$B$5*V1079</f>
        <v/>
      </c>
      <c r="N1080" s="2">
        <f>IF(Z1079=1,"已停止",IF(T1079&gt;=M1080,"已下單","資金不足略過"))</f>
        <v/>
      </c>
      <c r="O1080" s="19">
        <f>IF(N1080="已下單",M1080*資金模擬!$B$7,0)</f>
        <v/>
      </c>
      <c r="P1080" s="4" t="n"/>
      <c r="Q1080" s="13" t="n">
        <v>0</v>
      </c>
      <c r="R1080" s="13">
        <f>R1079+Q1080</f>
        <v/>
      </c>
      <c r="S1080" s="19">
        <f>S1079+IF(N1080="已下單",M1080,0)</f>
        <v/>
      </c>
      <c r="T1080" s="19">
        <f>R1080-S1080</f>
        <v/>
      </c>
      <c r="U1080" s="2">
        <f>U1079+IF(N1080="已下單",1,0)</f>
        <v/>
      </c>
      <c r="V1080" s="19">
        <f>IF(資金模擬!$B$9=2,MAX(R1080,0),MAX(V1079,FLOOR(MAX(R1080,0),資金模擬!$B$6)))</f>
        <v/>
      </c>
      <c r="W1080" s="13">
        <f>MAX(W1079,R1080)</f>
        <v/>
      </c>
      <c r="X1080" s="4">
        <f>IF(W1080&gt;0,R1080/W1080-1,-1)</f>
        <v/>
      </c>
      <c r="Y1080" s="19">
        <f>IF(R1080&gt;0,S1080*資金模擬!$B$7/R1080,0)</f>
        <v/>
      </c>
      <c r="Z1080" s="2">
        <f>IF(OR(Z1079=1,R1080&lt;=資金模擬!$B$10),1,0)</f>
        <v/>
      </c>
    </row>
    <row r="1081">
      <c r="A1081" s="2" t="n">
        <v>1079</v>
      </c>
      <c r="B1081" s="7" t="n">
        <v>46293.95833333334</v>
      </c>
      <c r="C1081" s="2" t="inlineStr">
        <is>
          <t>進場</t>
        </is>
      </c>
      <c r="D1081" s="2" t="n">
        <v>541</v>
      </c>
      <c r="E1081" s="2" t="inlineStr">
        <is>
          <t>ENA_USDT_PERP</t>
        </is>
      </c>
      <c r="F1081" s="2" t="inlineStr">
        <is>
          <t>做空</t>
        </is>
      </c>
      <c r="G1081" s="20" t="n">
        <v>0.2609</v>
      </c>
      <c r="H1081" s="20" t="n">
        <v>0.253073</v>
      </c>
      <c r="I1081" s="20" t="n">
        <v>0.273945</v>
      </c>
      <c r="J1081" s="20" t="n"/>
      <c r="K1081" s="2" t="n"/>
      <c r="L1081" s="5" t="n"/>
      <c r="M1081" s="19">
        <f>資金模擬!$B$5*V1080</f>
        <v/>
      </c>
      <c r="N1081" s="2">
        <f>IF(Z1080=1,"已停止",IF(T1080&gt;=M1081,"已下單","資金不足略過"))</f>
        <v/>
      </c>
      <c r="O1081" s="19">
        <f>IF(N1081="已下單",M1081*資金模擬!$B$7,0)</f>
        <v/>
      </c>
      <c r="P1081" s="4" t="n"/>
      <c r="Q1081" s="13" t="n">
        <v>0</v>
      </c>
      <c r="R1081" s="13">
        <f>R1080+Q1081</f>
        <v/>
      </c>
      <c r="S1081" s="19">
        <f>S1080+IF(N1081="已下單",M1081,0)</f>
        <v/>
      </c>
      <c r="T1081" s="19">
        <f>R1081-S1081</f>
        <v/>
      </c>
      <c r="U1081" s="2">
        <f>U1080+IF(N1081="已下單",1,0)</f>
        <v/>
      </c>
      <c r="V1081" s="19">
        <f>IF(資金模擬!$B$9=2,MAX(R1081,0),MAX(V1080,FLOOR(MAX(R1081,0),資金模擬!$B$6)))</f>
        <v/>
      </c>
      <c r="W1081" s="13">
        <f>MAX(W1080,R1081)</f>
        <v/>
      </c>
      <c r="X1081" s="4">
        <f>IF(W1081&gt;0,R1081/W1081-1,-1)</f>
        <v/>
      </c>
      <c r="Y1081" s="19">
        <f>IF(R1081&gt;0,S1081*資金模擬!$B$7/R1081,0)</f>
        <v/>
      </c>
      <c r="Z1081" s="2">
        <f>IF(OR(Z1080=1,R1081&lt;=資金模擬!$B$10),1,0)</f>
        <v/>
      </c>
    </row>
    <row r="1082">
      <c r="A1082" s="2" t="n">
        <v>1080</v>
      </c>
      <c r="B1082" s="7" t="n">
        <v>46293.95833333334</v>
      </c>
      <c r="C1082" s="2" t="inlineStr">
        <is>
          <t>進場</t>
        </is>
      </c>
      <c r="D1082" s="2" t="n">
        <v>542</v>
      </c>
      <c r="E1082" s="2" t="inlineStr">
        <is>
          <t>FET_USDT_PERP</t>
        </is>
      </c>
      <c r="F1082" s="2" t="inlineStr">
        <is>
          <t>做空</t>
        </is>
      </c>
      <c r="G1082" s="20" t="n">
        <v>0.226</v>
      </c>
      <c r="H1082" s="20" t="n">
        <v>0.21922</v>
      </c>
      <c r="I1082" s="20" t="n">
        <v>0.2373</v>
      </c>
      <c r="J1082" s="20" t="n"/>
      <c r="K1082" s="2" t="n"/>
      <c r="L1082" s="5" t="n"/>
      <c r="M1082" s="19">
        <f>資金模擬!$B$5*V1081</f>
        <v/>
      </c>
      <c r="N1082" s="2">
        <f>IF(Z1081=1,"已停止",IF(T1081&gt;=M1082,"已下單","資金不足略過"))</f>
        <v/>
      </c>
      <c r="O1082" s="19">
        <f>IF(N1082="已下單",M1082*資金模擬!$B$7,0)</f>
        <v/>
      </c>
      <c r="P1082" s="4" t="n"/>
      <c r="Q1082" s="13" t="n">
        <v>0</v>
      </c>
      <c r="R1082" s="13">
        <f>R1081+Q1082</f>
        <v/>
      </c>
      <c r="S1082" s="19">
        <f>S1081+IF(N1082="已下單",M1082,0)</f>
        <v/>
      </c>
      <c r="T1082" s="19">
        <f>R1082-S1082</f>
        <v/>
      </c>
      <c r="U1082" s="2">
        <f>U1081+IF(N1082="已下單",1,0)</f>
        <v/>
      </c>
      <c r="V1082" s="19">
        <f>IF(資金模擬!$B$9=2,MAX(R1082,0),MAX(V1081,FLOOR(MAX(R1082,0),資金模擬!$B$6)))</f>
        <v/>
      </c>
      <c r="W1082" s="13">
        <f>MAX(W1081,R1082)</f>
        <v/>
      </c>
      <c r="X1082" s="4">
        <f>IF(W1082&gt;0,R1082/W1082-1,-1)</f>
        <v/>
      </c>
      <c r="Y1082" s="19">
        <f>IF(R1082&gt;0,S1082*資金模擬!$B$7/R1082,0)</f>
        <v/>
      </c>
      <c r="Z1082" s="2">
        <f>IF(OR(Z1081=1,R1082&lt;=資金模擬!$B$10),1,0)</f>
        <v/>
      </c>
    </row>
    <row r="1083">
      <c r="A1083" s="2" t="n">
        <v>1081</v>
      </c>
      <c r="B1083" s="7" t="n">
        <v>46293.95833333334</v>
      </c>
      <c r="C1083" s="2" t="inlineStr">
        <is>
          <t>進場</t>
        </is>
      </c>
      <c r="D1083" s="2" t="n">
        <v>543</v>
      </c>
      <c r="E1083" s="2" t="inlineStr">
        <is>
          <t>KAS_USDT_PERP</t>
        </is>
      </c>
      <c r="F1083" s="2" t="inlineStr">
        <is>
          <t>做空</t>
        </is>
      </c>
      <c r="G1083" s="20" t="n">
        <v>0.04585</v>
      </c>
      <c r="H1083" s="20" t="n">
        <v>0.0444745</v>
      </c>
      <c r="I1083" s="20" t="n">
        <v>0.0481425</v>
      </c>
      <c r="J1083" s="20" t="n"/>
      <c r="K1083" s="2" t="n"/>
      <c r="L1083" s="5" t="n"/>
      <c r="M1083" s="19">
        <f>資金模擬!$B$5*V1082</f>
        <v/>
      </c>
      <c r="N1083" s="2">
        <f>IF(Z1082=1,"已停止",IF(T1082&gt;=M1083,"已下單","資金不足略過"))</f>
        <v/>
      </c>
      <c r="O1083" s="19">
        <f>IF(N1083="已下單",M1083*資金模擬!$B$7,0)</f>
        <v/>
      </c>
      <c r="P1083" s="4" t="n"/>
      <c r="Q1083" s="13" t="n">
        <v>0</v>
      </c>
      <c r="R1083" s="13">
        <f>R1082+Q1083</f>
        <v/>
      </c>
      <c r="S1083" s="19">
        <f>S1082+IF(N1083="已下單",M1083,0)</f>
        <v/>
      </c>
      <c r="T1083" s="19">
        <f>R1083-S1083</f>
        <v/>
      </c>
      <c r="U1083" s="2">
        <f>U1082+IF(N1083="已下單",1,0)</f>
        <v/>
      </c>
      <c r="V1083" s="19">
        <f>IF(資金模擬!$B$9=2,MAX(R1083,0),MAX(V1082,FLOOR(MAX(R1083,0),資金模擬!$B$6)))</f>
        <v/>
      </c>
      <c r="W1083" s="13">
        <f>MAX(W1082,R1083)</f>
        <v/>
      </c>
      <c r="X1083" s="4">
        <f>IF(W1083&gt;0,R1083/W1083-1,-1)</f>
        <v/>
      </c>
      <c r="Y1083" s="19">
        <f>IF(R1083&gt;0,S1083*資金模擬!$B$7/R1083,0)</f>
        <v/>
      </c>
      <c r="Z1083" s="2">
        <f>IF(OR(Z1082=1,R1083&lt;=資金模擬!$B$10),1,0)</f>
        <v/>
      </c>
    </row>
    <row r="1084">
      <c r="A1084" s="2" t="n">
        <v>1082</v>
      </c>
      <c r="B1084" s="7" t="n">
        <v>46293.95833333334</v>
      </c>
      <c r="C1084" s="2" t="inlineStr">
        <is>
          <t>進場</t>
        </is>
      </c>
      <c r="D1084" s="2" t="n">
        <v>544</v>
      </c>
      <c r="E1084" s="2" t="inlineStr">
        <is>
          <t>NEAR_USDT_PERP</t>
        </is>
      </c>
      <c r="F1084" s="2" t="inlineStr">
        <is>
          <t>做空</t>
        </is>
      </c>
      <c r="G1084" s="20" t="n">
        <v>5.038</v>
      </c>
      <c r="H1084" s="20" t="n">
        <v>4.88686</v>
      </c>
      <c r="I1084" s="20" t="n">
        <v>5.2899</v>
      </c>
      <c r="J1084" s="20" t="n"/>
      <c r="K1084" s="2" t="n"/>
      <c r="L1084" s="5" t="n"/>
      <c r="M1084" s="19">
        <f>資金模擬!$B$5*V1083</f>
        <v/>
      </c>
      <c r="N1084" s="2">
        <f>IF(Z1083=1,"已停止",IF(T1083&gt;=M1084,"已下單","資金不足略過"))</f>
        <v/>
      </c>
      <c r="O1084" s="19">
        <f>IF(N1084="已下單",M1084*資金模擬!$B$7,0)</f>
        <v/>
      </c>
      <c r="P1084" s="4" t="n"/>
      <c r="Q1084" s="13" t="n">
        <v>0</v>
      </c>
      <c r="R1084" s="13">
        <f>R1083+Q1084</f>
        <v/>
      </c>
      <c r="S1084" s="19">
        <f>S1083+IF(N1084="已下單",M1084,0)</f>
        <v/>
      </c>
      <c r="T1084" s="19">
        <f>R1084-S1084</f>
        <v/>
      </c>
      <c r="U1084" s="2">
        <f>U1083+IF(N1084="已下單",1,0)</f>
        <v/>
      </c>
      <c r="V1084" s="19">
        <f>IF(資金模擬!$B$9=2,MAX(R1084,0),MAX(V1083,FLOOR(MAX(R1084,0),資金模擬!$B$6)))</f>
        <v/>
      </c>
      <c r="W1084" s="13">
        <f>MAX(W1083,R1084)</f>
        <v/>
      </c>
      <c r="X1084" s="4">
        <f>IF(W1084&gt;0,R1084/W1084-1,-1)</f>
        <v/>
      </c>
      <c r="Y1084" s="19">
        <f>IF(R1084&gt;0,S1084*資金模擬!$B$7/R1084,0)</f>
        <v/>
      </c>
      <c r="Z1084" s="2">
        <f>IF(OR(Z1083=1,R1084&lt;=資金模擬!$B$10),1,0)</f>
        <v/>
      </c>
    </row>
    <row r="1085">
      <c r="A1085" s="2" t="n">
        <v>1083</v>
      </c>
      <c r="B1085" s="7" t="n">
        <v>46293.95833333334</v>
      </c>
      <c r="C1085" s="2" t="inlineStr">
        <is>
          <t>進場</t>
        </is>
      </c>
      <c r="D1085" s="2" t="n">
        <v>545</v>
      </c>
      <c r="E1085" s="2" t="inlineStr">
        <is>
          <t>PENGU_USDT_PERP</t>
        </is>
      </c>
      <c r="F1085" s="2" t="inlineStr">
        <is>
          <t>做空</t>
        </is>
      </c>
      <c r="G1085" s="20" t="n">
        <v>0.009553000000000001</v>
      </c>
      <c r="H1085" s="20" t="n">
        <v>0.009266410000000001</v>
      </c>
      <c r="I1085" s="20" t="n">
        <v>0.01003065</v>
      </c>
      <c r="J1085" s="20" t="n"/>
      <c r="K1085" s="2" t="n"/>
      <c r="L1085" s="5" t="n"/>
      <c r="M1085" s="19">
        <f>資金模擬!$B$5*V1084</f>
        <v/>
      </c>
      <c r="N1085" s="2">
        <f>IF(Z1084=1,"已停止",IF(T1084&gt;=M1085,"已下單","資金不足略過"))</f>
        <v/>
      </c>
      <c r="O1085" s="19">
        <f>IF(N1085="已下單",M1085*資金模擬!$B$7,0)</f>
        <v/>
      </c>
      <c r="P1085" s="4" t="n"/>
      <c r="Q1085" s="13" t="n">
        <v>0</v>
      </c>
      <c r="R1085" s="13">
        <f>R1084+Q1085</f>
        <v/>
      </c>
      <c r="S1085" s="19">
        <f>S1084+IF(N1085="已下單",M1085,0)</f>
        <v/>
      </c>
      <c r="T1085" s="19">
        <f>R1085-S1085</f>
        <v/>
      </c>
      <c r="U1085" s="2">
        <f>U1084+IF(N1085="已下單",1,0)</f>
        <v/>
      </c>
      <c r="V1085" s="19">
        <f>IF(資金模擬!$B$9=2,MAX(R1085,0),MAX(V1084,FLOOR(MAX(R1085,0),資金模擬!$B$6)))</f>
        <v/>
      </c>
      <c r="W1085" s="13">
        <f>MAX(W1084,R1085)</f>
        <v/>
      </c>
      <c r="X1085" s="4">
        <f>IF(W1085&gt;0,R1085/W1085-1,-1)</f>
        <v/>
      </c>
      <c r="Y1085" s="19">
        <f>IF(R1085&gt;0,S1085*資金模擬!$B$7/R1085,0)</f>
        <v/>
      </c>
      <c r="Z1085" s="2">
        <f>IF(OR(Z1084=1,R1085&lt;=資金模擬!$B$10),1,0)</f>
        <v/>
      </c>
    </row>
    <row r="1086">
      <c r="A1086" s="2" t="n">
        <v>1084</v>
      </c>
      <c r="B1086" s="7" t="n">
        <v>46293.95833333334</v>
      </c>
      <c r="C1086" s="2" t="inlineStr">
        <is>
          <t>進場</t>
        </is>
      </c>
      <c r="D1086" s="2" t="n">
        <v>546</v>
      </c>
      <c r="E1086" s="2" t="inlineStr">
        <is>
          <t>SUI_USDT_PERP</t>
        </is>
      </c>
      <c r="F1086" s="2" t="inlineStr">
        <is>
          <t>做空</t>
        </is>
      </c>
      <c r="G1086" s="20" t="n">
        <v>1.1517</v>
      </c>
      <c r="H1086" s="20" t="n">
        <v>1.117149</v>
      </c>
      <c r="I1086" s="20" t="n">
        <v>1.209285</v>
      </c>
      <c r="J1086" s="20" t="n"/>
      <c r="K1086" s="2" t="n"/>
      <c r="L1086" s="5" t="n"/>
      <c r="M1086" s="19">
        <f>資金模擬!$B$5*V1085</f>
        <v/>
      </c>
      <c r="N1086" s="2">
        <f>IF(Z1085=1,"已停止",IF(T1085&gt;=M1086,"已下單","資金不足略過"))</f>
        <v/>
      </c>
      <c r="O1086" s="19">
        <f>IF(N1086="已下單",M1086*資金模擬!$B$7,0)</f>
        <v/>
      </c>
      <c r="P1086" s="4" t="n"/>
      <c r="Q1086" s="13" t="n">
        <v>0</v>
      </c>
      <c r="R1086" s="13">
        <f>R1085+Q1086</f>
        <v/>
      </c>
      <c r="S1086" s="19">
        <f>S1085+IF(N1086="已下單",M1086,0)</f>
        <v/>
      </c>
      <c r="T1086" s="19">
        <f>R1086-S1086</f>
        <v/>
      </c>
      <c r="U1086" s="2">
        <f>U1085+IF(N1086="已下單",1,0)</f>
        <v/>
      </c>
      <c r="V1086" s="19">
        <f>IF(資金模擬!$B$9=2,MAX(R1086,0),MAX(V1085,FLOOR(MAX(R1086,0),資金模擬!$B$6)))</f>
        <v/>
      </c>
      <c r="W1086" s="13">
        <f>MAX(W1085,R1086)</f>
        <v/>
      </c>
      <c r="X1086" s="4">
        <f>IF(W1086&gt;0,R1086/W1086-1,-1)</f>
        <v/>
      </c>
      <c r="Y1086" s="19">
        <f>IF(R1086&gt;0,S1086*資金模擬!$B$7/R1086,0)</f>
        <v/>
      </c>
      <c r="Z1086" s="2">
        <f>IF(OR(Z1085=1,R1086&lt;=資金模擬!$B$10),1,0)</f>
        <v/>
      </c>
    </row>
    <row r="1087">
      <c r="A1087" s="2" t="n">
        <v>1085</v>
      </c>
      <c r="B1087" s="7" t="n">
        <v>46293.95833333334</v>
      </c>
      <c r="C1087" s="2" t="inlineStr">
        <is>
          <t>進場</t>
        </is>
      </c>
      <c r="D1087" s="2" t="n">
        <v>547</v>
      </c>
      <c r="E1087" s="2" t="inlineStr">
        <is>
          <t>XPL_USDT_PERP</t>
        </is>
      </c>
      <c r="F1087" s="2" t="inlineStr">
        <is>
          <t>做空</t>
        </is>
      </c>
      <c r="G1087" s="20" t="n">
        <v>0.0975</v>
      </c>
      <c r="H1087" s="20" t="n">
        <v>0.09457500000000001</v>
      </c>
      <c r="I1087" s="20" t="n">
        <v>0.102375</v>
      </c>
      <c r="J1087" s="20" t="n"/>
      <c r="K1087" s="2" t="n"/>
      <c r="L1087" s="5" t="n"/>
      <c r="M1087" s="19">
        <f>資金模擬!$B$5*V1086</f>
        <v/>
      </c>
      <c r="N1087" s="2">
        <f>IF(Z1086=1,"已停止",IF(T1086&gt;=M1087,"已下單","資金不足略過"))</f>
        <v/>
      </c>
      <c r="O1087" s="19">
        <f>IF(N1087="已下單",M1087*資金模擬!$B$7,0)</f>
        <v/>
      </c>
      <c r="P1087" s="4" t="n"/>
      <c r="Q1087" s="13" t="n">
        <v>0</v>
      </c>
      <c r="R1087" s="13">
        <f>R1086+Q1087</f>
        <v/>
      </c>
      <c r="S1087" s="19">
        <f>S1086+IF(N1087="已下單",M1087,0)</f>
        <v/>
      </c>
      <c r="T1087" s="19">
        <f>R1087-S1087</f>
        <v/>
      </c>
      <c r="U1087" s="2">
        <f>U1086+IF(N1087="已下單",1,0)</f>
        <v/>
      </c>
      <c r="V1087" s="19">
        <f>IF(資金模擬!$B$9=2,MAX(R1087,0),MAX(V1086,FLOOR(MAX(R1087,0),資金模擬!$B$6)))</f>
        <v/>
      </c>
      <c r="W1087" s="13">
        <f>MAX(W1086,R1087)</f>
        <v/>
      </c>
      <c r="X1087" s="4">
        <f>IF(W1087&gt;0,R1087/W1087-1,-1)</f>
        <v/>
      </c>
      <c r="Y1087" s="19">
        <f>IF(R1087&gt;0,S1087*資金模擬!$B$7/R1087,0)</f>
        <v/>
      </c>
      <c r="Z1087" s="2">
        <f>IF(OR(Z1086=1,R1087&lt;=資金模擬!$B$10),1,0)</f>
        <v/>
      </c>
    </row>
    <row r="1088">
      <c r="A1088" s="2" t="n">
        <v>1086</v>
      </c>
      <c r="B1088" s="7" t="n">
        <v>46294</v>
      </c>
      <c r="C1088" s="2" t="inlineStr">
        <is>
          <t>出場</t>
        </is>
      </c>
      <c r="D1088" s="2" t="n">
        <v>544</v>
      </c>
      <c r="E1088" s="2" t="inlineStr">
        <is>
          <t>NEAR_USDT_PERP</t>
        </is>
      </c>
      <c r="F1088" s="2" t="inlineStr">
        <is>
          <t>做空</t>
        </is>
      </c>
      <c r="G1088" s="20" t="n">
        <v>5.038</v>
      </c>
      <c r="H1088" s="20" t="n">
        <v>4.88686</v>
      </c>
      <c r="I1088" s="20" t="n">
        <v>5.2899</v>
      </c>
      <c r="J1088" s="20" t="n">
        <v>4.88686</v>
      </c>
      <c r="K1088" s="2" t="inlineStr">
        <is>
          <t>止盈</t>
        </is>
      </c>
      <c r="L1088" s="5">
        <f>交易明細!K545</f>
        <v/>
      </c>
      <c r="M1088" s="19">
        <f>M1084</f>
        <v/>
      </c>
      <c r="N1088" s="2">
        <f>N1084</f>
        <v/>
      </c>
      <c r="O1088" s="19">
        <f>O1084</f>
        <v/>
      </c>
      <c r="P1088" s="4">
        <f>交易明細!L545</f>
        <v/>
      </c>
      <c r="Q1088" s="13">
        <f>IF(N1088="已下單",O1088*P1088,0)</f>
        <v/>
      </c>
      <c r="R1088" s="13">
        <f>R1087+Q1088</f>
        <v/>
      </c>
      <c r="S1088" s="19">
        <f>S1087-IF(N1088="已下單",M1088,0)</f>
        <v/>
      </c>
      <c r="T1088" s="19">
        <f>R1088-S1088</f>
        <v/>
      </c>
      <c r="U1088" s="2">
        <f>U1087-IF(N1088="已下單",1,0)</f>
        <v/>
      </c>
      <c r="V1088" s="19">
        <f>IF(資金模擬!$B$9=2,MAX(R1088,0),MAX(V1087,FLOOR(MAX(R1088,0),資金模擬!$B$6)))</f>
        <v/>
      </c>
      <c r="W1088" s="13">
        <f>MAX(W1087,R1088)</f>
        <v/>
      </c>
      <c r="X1088" s="4">
        <f>IF(W1088&gt;0,R1088/W1088-1,-1)</f>
        <v/>
      </c>
      <c r="Y1088" s="19">
        <f>IF(R1088&gt;0,S1088*資金模擬!$B$7/R1088,0)</f>
        <v/>
      </c>
      <c r="Z1088" s="2">
        <f>IF(OR(Z1087=1,R1088&lt;=資金模擬!$B$10),1,0)</f>
        <v/>
      </c>
    </row>
    <row r="1089">
      <c r="A1089" s="2" t="n">
        <v>1087</v>
      </c>
      <c r="B1089" s="7" t="n">
        <v>46294</v>
      </c>
      <c r="C1089" s="2" t="inlineStr">
        <is>
          <t>出場</t>
        </is>
      </c>
      <c r="D1089" s="2" t="n">
        <v>545</v>
      </c>
      <c r="E1089" s="2" t="inlineStr">
        <is>
          <t>PENGU_USDT_PERP</t>
        </is>
      </c>
      <c r="F1089" s="2" t="inlineStr">
        <is>
          <t>做空</t>
        </is>
      </c>
      <c r="G1089" s="20" t="n">
        <v>0.009553000000000001</v>
      </c>
      <c r="H1089" s="20" t="n">
        <v>0.009266410000000001</v>
      </c>
      <c r="I1089" s="20" t="n">
        <v>0.01003065</v>
      </c>
      <c r="J1089" s="20" t="n">
        <v>0.009266410000000001</v>
      </c>
      <c r="K1089" s="2" t="inlineStr">
        <is>
          <t>止盈</t>
        </is>
      </c>
      <c r="L1089" s="5">
        <f>交易明細!K546</f>
        <v/>
      </c>
      <c r="M1089" s="19">
        <f>M1085</f>
        <v/>
      </c>
      <c r="N1089" s="2">
        <f>N1085</f>
        <v/>
      </c>
      <c r="O1089" s="19">
        <f>O1085</f>
        <v/>
      </c>
      <c r="P1089" s="4">
        <f>交易明細!L546</f>
        <v/>
      </c>
      <c r="Q1089" s="13">
        <f>IF(N1089="已下單",O1089*P1089,0)</f>
        <v/>
      </c>
      <c r="R1089" s="13">
        <f>R1088+Q1089</f>
        <v/>
      </c>
      <c r="S1089" s="19">
        <f>S1088-IF(N1089="已下單",M1089,0)</f>
        <v/>
      </c>
      <c r="T1089" s="19">
        <f>R1089-S1089</f>
        <v/>
      </c>
      <c r="U1089" s="2">
        <f>U1088-IF(N1089="已下單",1,0)</f>
        <v/>
      </c>
      <c r="V1089" s="19">
        <f>IF(資金模擬!$B$9=2,MAX(R1089,0),MAX(V1088,FLOOR(MAX(R1089,0),資金模擬!$B$6)))</f>
        <v/>
      </c>
      <c r="W1089" s="13">
        <f>MAX(W1088,R1089)</f>
        <v/>
      </c>
      <c r="X1089" s="4">
        <f>IF(W1089&gt;0,R1089/W1089-1,-1)</f>
        <v/>
      </c>
      <c r="Y1089" s="19">
        <f>IF(R1089&gt;0,S1089*資金模擬!$B$7/R1089,0)</f>
        <v/>
      </c>
      <c r="Z1089" s="2">
        <f>IF(OR(Z1088=1,R1089&lt;=資金模擬!$B$10),1,0)</f>
        <v/>
      </c>
    </row>
    <row r="1090">
      <c r="A1090" s="2" t="n">
        <v>1088</v>
      </c>
      <c r="B1090" s="7" t="n">
        <v>46294</v>
      </c>
      <c r="C1090" s="2" t="inlineStr">
        <is>
          <t>進場</t>
        </is>
      </c>
      <c r="D1090" s="2" t="n">
        <v>548</v>
      </c>
      <c r="E1090" s="2" t="inlineStr">
        <is>
          <t>牛来_USDT_PERP</t>
        </is>
      </c>
      <c r="F1090" s="2" t="inlineStr">
        <is>
          <t>做多</t>
        </is>
      </c>
      <c r="G1090" s="20" t="n">
        <v>0.11277</v>
      </c>
      <c r="H1090" s="20" t="n">
        <v>0.1161531</v>
      </c>
      <c r="I1090" s="20" t="n">
        <v>0.1071315</v>
      </c>
      <c r="J1090" s="20" t="n"/>
      <c r="K1090" s="2" t="n"/>
      <c r="L1090" s="5" t="n"/>
      <c r="M1090" s="19">
        <f>資金模擬!$B$5*V1089</f>
        <v/>
      </c>
      <c r="N1090" s="2">
        <f>IF(Z1089=1,"已停止",IF(T1089&gt;=M1090,"已下單","資金不足略過"))</f>
        <v/>
      </c>
      <c r="O1090" s="19">
        <f>IF(N1090="已下單",M1090*資金模擬!$B$7,0)</f>
        <v/>
      </c>
      <c r="P1090" s="4" t="n"/>
      <c r="Q1090" s="13" t="n">
        <v>0</v>
      </c>
      <c r="R1090" s="13">
        <f>R1089+Q1090</f>
        <v/>
      </c>
      <c r="S1090" s="19">
        <f>S1089+IF(N1090="已下單",M1090,0)</f>
        <v/>
      </c>
      <c r="T1090" s="19">
        <f>R1090-S1090</f>
        <v/>
      </c>
      <c r="U1090" s="2">
        <f>U1089+IF(N1090="已下單",1,0)</f>
        <v/>
      </c>
      <c r="V1090" s="19">
        <f>IF(資金模擬!$B$9=2,MAX(R1090,0),MAX(V1089,FLOOR(MAX(R1090,0),資金模擬!$B$6)))</f>
        <v/>
      </c>
      <c r="W1090" s="13">
        <f>MAX(W1089,R1090)</f>
        <v/>
      </c>
      <c r="X1090" s="4">
        <f>IF(W1090&gt;0,R1090/W1090-1,-1)</f>
        <v/>
      </c>
      <c r="Y1090" s="19">
        <f>IF(R1090&gt;0,S1090*資金模擬!$B$7/R1090,0)</f>
        <v/>
      </c>
      <c r="Z1090" s="2">
        <f>IF(OR(Z1089=1,R1090&lt;=資金模擬!$B$10),1,0)</f>
        <v/>
      </c>
    </row>
    <row r="1091">
      <c r="A1091" s="2" t="n">
        <v>1089</v>
      </c>
      <c r="B1091" s="7" t="n">
        <v>46294.04166666666</v>
      </c>
      <c r="C1091" s="2" t="inlineStr">
        <is>
          <t>出場</t>
        </is>
      </c>
      <c r="D1091" s="2" t="n">
        <v>548</v>
      </c>
      <c r="E1091" s="2" t="inlineStr">
        <is>
          <t>牛来_USDT_PERP</t>
        </is>
      </c>
      <c r="F1091" s="2" t="inlineStr">
        <is>
          <t>做多</t>
        </is>
      </c>
      <c r="G1091" s="20" t="n">
        <v>0.11277</v>
      </c>
      <c r="H1091" s="20" t="n">
        <v>0.1161531</v>
      </c>
      <c r="I1091" s="20" t="n">
        <v>0.1071315</v>
      </c>
      <c r="J1091" s="20" t="n">
        <v>0.1161531</v>
      </c>
      <c r="K1091" s="2" t="inlineStr">
        <is>
          <t>止盈</t>
        </is>
      </c>
      <c r="L1091" s="5">
        <f>交易明細!K549</f>
        <v/>
      </c>
      <c r="M1091" s="19">
        <f>M1090</f>
        <v/>
      </c>
      <c r="N1091" s="2">
        <f>N1090</f>
        <v/>
      </c>
      <c r="O1091" s="19">
        <f>O1090</f>
        <v/>
      </c>
      <c r="P1091" s="4">
        <f>交易明細!L549</f>
        <v/>
      </c>
      <c r="Q1091" s="13">
        <f>IF(N1091="已下單",O1091*P1091,0)</f>
        <v/>
      </c>
      <c r="R1091" s="13">
        <f>R1090+Q1091</f>
        <v/>
      </c>
      <c r="S1091" s="19">
        <f>S1090-IF(N1091="已下單",M1091,0)</f>
        <v/>
      </c>
      <c r="T1091" s="19">
        <f>R1091-S1091</f>
        <v/>
      </c>
      <c r="U1091" s="2">
        <f>U1090-IF(N1091="已下單",1,0)</f>
        <v/>
      </c>
      <c r="V1091" s="19">
        <f>IF(資金模擬!$B$9=2,MAX(R1091,0),MAX(V1090,FLOOR(MAX(R1091,0),資金模擬!$B$6)))</f>
        <v/>
      </c>
      <c r="W1091" s="13">
        <f>MAX(W1090,R1091)</f>
        <v/>
      </c>
      <c r="X1091" s="4">
        <f>IF(W1091&gt;0,R1091/W1091-1,-1)</f>
        <v/>
      </c>
      <c r="Y1091" s="19">
        <f>IF(R1091&gt;0,S1091*資金模擬!$B$7/R1091,0)</f>
        <v/>
      </c>
      <c r="Z1091" s="2">
        <f>IF(OR(Z1090=1,R1091&lt;=資金模擬!$B$10),1,0)</f>
        <v/>
      </c>
    </row>
    <row r="1092">
      <c r="A1092" s="2" t="n">
        <v>1090</v>
      </c>
      <c r="B1092" s="7" t="n">
        <v>46294.04166666666</v>
      </c>
      <c r="C1092" s="2" t="inlineStr">
        <is>
          <t>進場</t>
        </is>
      </c>
      <c r="D1092" s="2" t="n">
        <v>549</v>
      </c>
      <c r="E1092" s="2" t="inlineStr">
        <is>
          <t>GRAM_USDT_PERP</t>
        </is>
      </c>
      <c r="F1092" s="2" t="inlineStr">
        <is>
          <t>做多</t>
        </is>
      </c>
      <c r="G1092" s="20" t="n">
        <v>1.656</v>
      </c>
      <c r="H1092" s="20" t="n">
        <v>1.70568</v>
      </c>
      <c r="I1092" s="20" t="n">
        <v>1.5732</v>
      </c>
      <c r="J1092" s="20" t="n"/>
      <c r="K1092" s="2" t="n"/>
      <c r="L1092" s="5" t="n"/>
      <c r="M1092" s="19">
        <f>資金模擬!$B$5*V1091</f>
        <v/>
      </c>
      <c r="N1092" s="2">
        <f>IF(Z1091=1,"已停止",IF(T1091&gt;=M1092,"已下單","資金不足略過"))</f>
        <v/>
      </c>
      <c r="O1092" s="19">
        <f>IF(N1092="已下單",M1092*資金模擬!$B$7,0)</f>
        <v/>
      </c>
      <c r="P1092" s="4" t="n"/>
      <c r="Q1092" s="13" t="n">
        <v>0</v>
      </c>
      <c r="R1092" s="13">
        <f>R1091+Q1092</f>
        <v/>
      </c>
      <c r="S1092" s="19">
        <f>S1091+IF(N1092="已下單",M1092,0)</f>
        <v/>
      </c>
      <c r="T1092" s="19">
        <f>R1092-S1092</f>
        <v/>
      </c>
      <c r="U1092" s="2">
        <f>U1091+IF(N1092="已下單",1,0)</f>
        <v/>
      </c>
      <c r="V1092" s="19">
        <f>IF(資金模擬!$B$9=2,MAX(R1092,0),MAX(V1091,FLOOR(MAX(R1092,0),資金模擬!$B$6)))</f>
        <v/>
      </c>
      <c r="W1092" s="13">
        <f>MAX(W1091,R1092)</f>
        <v/>
      </c>
      <c r="X1092" s="4">
        <f>IF(W1092&gt;0,R1092/W1092-1,-1)</f>
        <v/>
      </c>
      <c r="Y1092" s="19">
        <f>IF(R1092&gt;0,S1092*資金模擬!$B$7/R1092,0)</f>
        <v/>
      </c>
      <c r="Z1092" s="2">
        <f>IF(OR(Z1091=1,R1092&lt;=資金模擬!$B$10),1,0)</f>
        <v/>
      </c>
    </row>
    <row r="1093">
      <c r="A1093" s="2" t="n">
        <v>1091</v>
      </c>
      <c r="B1093" s="7" t="n">
        <v>46294.04166666666</v>
      </c>
      <c r="C1093" s="2" t="inlineStr">
        <is>
          <t>進場</t>
        </is>
      </c>
      <c r="D1093" s="2" t="n">
        <v>550</v>
      </c>
      <c r="E1093" s="2" t="inlineStr">
        <is>
          <t>PUMP_USDT_PERP</t>
        </is>
      </c>
      <c r="F1093" s="2" t="inlineStr">
        <is>
          <t>做多</t>
        </is>
      </c>
      <c r="G1093" s="20" t="n">
        <v>0.005377</v>
      </c>
      <c r="H1093" s="20" t="n">
        <v>0.00553831</v>
      </c>
      <c r="I1093" s="20" t="n">
        <v>0.00510815</v>
      </c>
      <c r="J1093" s="20" t="n"/>
      <c r="K1093" s="2" t="n"/>
      <c r="L1093" s="5" t="n"/>
      <c r="M1093" s="19">
        <f>資金模擬!$B$5*V1092</f>
        <v/>
      </c>
      <c r="N1093" s="2">
        <f>IF(Z1092=1,"已停止",IF(T1092&gt;=M1093,"已下單","資金不足略過"))</f>
        <v/>
      </c>
      <c r="O1093" s="19">
        <f>IF(N1093="已下單",M1093*資金模擬!$B$7,0)</f>
        <v/>
      </c>
      <c r="P1093" s="4" t="n"/>
      <c r="Q1093" s="13" t="n">
        <v>0</v>
      </c>
      <c r="R1093" s="13">
        <f>R1092+Q1093</f>
        <v/>
      </c>
      <c r="S1093" s="19">
        <f>S1092+IF(N1093="已下單",M1093,0)</f>
        <v/>
      </c>
      <c r="T1093" s="19">
        <f>R1093-S1093</f>
        <v/>
      </c>
      <c r="U1093" s="2">
        <f>U1092+IF(N1093="已下單",1,0)</f>
        <v/>
      </c>
      <c r="V1093" s="19">
        <f>IF(資金模擬!$B$9=2,MAX(R1093,0),MAX(V1092,FLOOR(MAX(R1093,0),資金模擬!$B$6)))</f>
        <v/>
      </c>
      <c r="W1093" s="13">
        <f>MAX(W1092,R1093)</f>
        <v/>
      </c>
      <c r="X1093" s="4">
        <f>IF(W1093&gt;0,R1093/W1093-1,-1)</f>
        <v/>
      </c>
      <c r="Y1093" s="19">
        <f>IF(R1093&gt;0,S1093*資金模擬!$B$7/R1093,0)</f>
        <v/>
      </c>
      <c r="Z1093" s="2">
        <f>IF(OR(Z1092=1,R1093&lt;=資金模擬!$B$10),1,0)</f>
        <v/>
      </c>
    </row>
    <row r="1094">
      <c r="A1094" s="2" t="n">
        <v>1092</v>
      </c>
      <c r="B1094" s="7" t="n">
        <v>46294.16666666666</v>
      </c>
      <c r="C1094" s="2" t="inlineStr">
        <is>
          <t>出場</t>
        </is>
      </c>
      <c r="D1094" s="2" t="n">
        <v>543</v>
      </c>
      <c r="E1094" s="2" t="inlineStr">
        <is>
          <t>KAS_USDT_PERP</t>
        </is>
      </c>
      <c r="F1094" s="2" t="inlineStr">
        <is>
          <t>做空</t>
        </is>
      </c>
      <c r="G1094" s="20" t="n">
        <v>0.04585</v>
      </c>
      <c r="H1094" s="20" t="n">
        <v>0.0444745</v>
      </c>
      <c r="I1094" s="20" t="n">
        <v>0.0481425</v>
      </c>
      <c r="J1094" s="20" t="n">
        <v>0.0444745</v>
      </c>
      <c r="K1094" s="2" t="inlineStr">
        <is>
          <t>止盈</t>
        </is>
      </c>
      <c r="L1094" s="5">
        <f>交易明細!K544</f>
        <v/>
      </c>
      <c r="M1094" s="19">
        <f>M1083</f>
        <v/>
      </c>
      <c r="N1094" s="2">
        <f>N1083</f>
        <v/>
      </c>
      <c r="O1094" s="19">
        <f>O1083</f>
        <v/>
      </c>
      <c r="P1094" s="4">
        <f>交易明細!L544</f>
        <v/>
      </c>
      <c r="Q1094" s="13">
        <f>IF(N1094="已下單",O1094*P1094,0)</f>
        <v/>
      </c>
      <c r="R1094" s="13">
        <f>R1093+Q1094</f>
        <v/>
      </c>
      <c r="S1094" s="19">
        <f>S1093-IF(N1094="已下單",M1094,0)</f>
        <v/>
      </c>
      <c r="T1094" s="19">
        <f>R1094-S1094</f>
        <v/>
      </c>
      <c r="U1094" s="2">
        <f>U1093-IF(N1094="已下單",1,0)</f>
        <v/>
      </c>
      <c r="V1094" s="19">
        <f>IF(資金模擬!$B$9=2,MAX(R1094,0),MAX(V1093,FLOOR(MAX(R1094,0),資金模擬!$B$6)))</f>
        <v/>
      </c>
      <c r="W1094" s="13">
        <f>MAX(W1093,R1094)</f>
        <v/>
      </c>
      <c r="X1094" s="4">
        <f>IF(W1094&gt;0,R1094/W1094-1,-1)</f>
        <v/>
      </c>
      <c r="Y1094" s="19">
        <f>IF(R1094&gt;0,S1094*資金模擬!$B$7/R1094,0)</f>
        <v/>
      </c>
      <c r="Z1094" s="2">
        <f>IF(OR(Z1093=1,R1094&lt;=資金模擬!$B$10),1,0)</f>
        <v/>
      </c>
    </row>
    <row r="1095">
      <c r="A1095" s="2" t="n">
        <v>1093</v>
      </c>
      <c r="B1095" s="7" t="n">
        <v>46294.16666666666</v>
      </c>
      <c r="C1095" s="2" t="inlineStr">
        <is>
          <t>出場</t>
        </is>
      </c>
      <c r="D1095" s="2" t="n">
        <v>550</v>
      </c>
      <c r="E1095" s="2" t="inlineStr">
        <is>
          <t>PUMP_USDT_PERP</t>
        </is>
      </c>
      <c r="F1095" s="2" t="inlineStr">
        <is>
          <t>做多</t>
        </is>
      </c>
      <c r="G1095" s="20" t="n">
        <v>0.005377</v>
      </c>
      <c r="H1095" s="20" t="n">
        <v>0.00553831</v>
      </c>
      <c r="I1095" s="20" t="n">
        <v>0.00510815</v>
      </c>
      <c r="J1095" s="20" t="n">
        <v>0.00510815</v>
      </c>
      <c r="K1095" s="2" t="inlineStr">
        <is>
          <t>止損</t>
        </is>
      </c>
      <c r="L1095" s="5">
        <f>交易明細!K551</f>
        <v/>
      </c>
      <c r="M1095" s="19">
        <f>M1093</f>
        <v/>
      </c>
      <c r="N1095" s="2">
        <f>N1093</f>
        <v/>
      </c>
      <c r="O1095" s="19">
        <f>O1093</f>
        <v/>
      </c>
      <c r="P1095" s="4">
        <f>交易明細!L551</f>
        <v/>
      </c>
      <c r="Q1095" s="13">
        <f>IF(N1095="已下單",O1095*P1095,0)</f>
        <v/>
      </c>
      <c r="R1095" s="13">
        <f>R1094+Q1095</f>
        <v/>
      </c>
      <c r="S1095" s="19">
        <f>S1094-IF(N1095="已下單",M1095,0)</f>
        <v/>
      </c>
      <c r="T1095" s="19">
        <f>R1095-S1095</f>
        <v/>
      </c>
      <c r="U1095" s="2">
        <f>U1094-IF(N1095="已下單",1,0)</f>
        <v/>
      </c>
      <c r="V1095" s="19">
        <f>IF(資金模擬!$B$9=2,MAX(R1095,0),MAX(V1094,FLOOR(MAX(R1095,0),資金模擬!$B$6)))</f>
        <v/>
      </c>
      <c r="W1095" s="13">
        <f>MAX(W1094,R1095)</f>
        <v/>
      </c>
      <c r="X1095" s="4">
        <f>IF(W1095&gt;0,R1095/W1095-1,-1)</f>
        <v/>
      </c>
      <c r="Y1095" s="19">
        <f>IF(R1095&gt;0,S1095*資金模擬!$B$7/R1095,0)</f>
        <v/>
      </c>
      <c r="Z1095" s="2">
        <f>IF(OR(Z1094=1,R1095&lt;=資金模擬!$B$10),1,0)</f>
        <v/>
      </c>
    </row>
    <row r="1096">
      <c r="A1096" s="2" t="n">
        <v>1094</v>
      </c>
      <c r="B1096" s="7" t="n">
        <v>46294.16666666666</v>
      </c>
      <c r="C1096" s="2" t="inlineStr">
        <is>
          <t>進場</t>
        </is>
      </c>
      <c r="D1096" s="2" t="n">
        <v>551</v>
      </c>
      <c r="E1096" s="2" t="inlineStr">
        <is>
          <t>ARB_USDT_PERP</t>
        </is>
      </c>
      <c r="F1096" s="2" t="inlineStr">
        <is>
          <t>做空</t>
        </is>
      </c>
      <c r="G1096" s="20" t="n">
        <v>0.201</v>
      </c>
      <c r="H1096" s="20" t="n">
        <v>0.19497</v>
      </c>
      <c r="I1096" s="20" t="n">
        <v>0.21105</v>
      </c>
      <c r="J1096" s="20" t="n"/>
      <c r="K1096" s="2" t="n"/>
      <c r="L1096" s="5" t="n"/>
      <c r="M1096" s="19">
        <f>資金模擬!$B$5*V1095</f>
        <v/>
      </c>
      <c r="N1096" s="2">
        <f>IF(Z1095=1,"已停止",IF(T1095&gt;=M1096,"已下單","資金不足略過"))</f>
        <v/>
      </c>
      <c r="O1096" s="19">
        <f>IF(N1096="已下單",M1096*資金模擬!$B$7,0)</f>
        <v/>
      </c>
      <c r="P1096" s="4" t="n"/>
      <c r="Q1096" s="13" t="n">
        <v>0</v>
      </c>
      <c r="R1096" s="13">
        <f>R1095+Q1096</f>
        <v/>
      </c>
      <c r="S1096" s="19">
        <f>S1095+IF(N1096="已下單",M1096,0)</f>
        <v/>
      </c>
      <c r="T1096" s="19">
        <f>R1096-S1096</f>
        <v/>
      </c>
      <c r="U1096" s="2">
        <f>U1095+IF(N1096="已下單",1,0)</f>
        <v/>
      </c>
      <c r="V1096" s="19">
        <f>IF(資金模擬!$B$9=2,MAX(R1096,0),MAX(V1095,FLOOR(MAX(R1096,0),資金模擬!$B$6)))</f>
        <v/>
      </c>
      <c r="W1096" s="13">
        <f>MAX(W1095,R1096)</f>
        <v/>
      </c>
      <c r="X1096" s="4">
        <f>IF(W1096&gt;0,R1096/W1096-1,-1)</f>
        <v/>
      </c>
      <c r="Y1096" s="19">
        <f>IF(R1096&gt;0,S1096*資金模擬!$B$7/R1096,0)</f>
        <v/>
      </c>
      <c r="Z1096" s="2">
        <f>IF(OR(Z1095=1,R1096&lt;=資金模擬!$B$10),1,0)</f>
        <v/>
      </c>
    </row>
    <row r="1097">
      <c r="A1097" s="2" t="n">
        <v>1095</v>
      </c>
      <c r="B1097" s="7" t="n">
        <v>46294.16666666666</v>
      </c>
      <c r="C1097" s="2" t="inlineStr">
        <is>
          <t>進場</t>
        </is>
      </c>
      <c r="D1097" s="2" t="n">
        <v>552</v>
      </c>
      <c r="E1097" s="2" t="inlineStr">
        <is>
          <t>PENGU_USDT_PERP</t>
        </is>
      </c>
      <c r="F1097" s="2" t="inlineStr">
        <is>
          <t>做空</t>
        </is>
      </c>
      <c r="G1097" s="20" t="n">
        <v>0.009261</v>
      </c>
      <c r="H1097" s="20" t="n">
        <v>0.00898317</v>
      </c>
      <c r="I1097" s="20" t="n">
        <v>0.00972405</v>
      </c>
      <c r="J1097" s="20" t="n"/>
      <c r="K1097" s="2" t="n"/>
      <c r="L1097" s="5" t="n"/>
      <c r="M1097" s="19">
        <f>資金模擬!$B$5*V1096</f>
        <v/>
      </c>
      <c r="N1097" s="2">
        <f>IF(Z1096=1,"已停止",IF(T1096&gt;=M1097,"已下單","資金不足略過"))</f>
        <v/>
      </c>
      <c r="O1097" s="19">
        <f>IF(N1097="已下單",M1097*資金模擬!$B$7,0)</f>
        <v/>
      </c>
      <c r="P1097" s="4" t="n"/>
      <c r="Q1097" s="13" t="n">
        <v>0</v>
      </c>
      <c r="R1097" s="13">
        <f>R1096+Q1097</f>
        <v/>
      </c>
      <c r="S1097" s="19">
        <f>S1096+IF(N1097="已下單",M1097,0)</f>
        <v/>
      </c>
      <c r="T1097" s="19">
        <f>R1097-S1097</f>
        <v/>
      </c>
      <c r="U1097" s="2">
        <f>U1096+IF(N1097="已下單",1,0)</f>
        <v/>
      </c>
      <c r="V1097" s="19">
        <f>IF(資金模擬!$B$9=2,MAX(R1097,0),MAX(V1096,FLOOR(MAX(R1097,0),資金模擬!$B$6)))</f>
        <v/>
      </c>
      <c r="W1097" s="13">
        <f>MAX(W1096,R1097)</f>
        <v/>
      </c>
      <c r="X1097" s="4">
        <f>IF(W1097&gt;0,R1097/W1097-1,-1)</f>
        <v/>
      </c>
      <c r="Y1097" s="19">
        <f>IF(R1097&gt;0,S1097*資金模擬!$B$7/R1097,0)</f>
        <v/>
      </c>
      <c r="Z1097" s="2">
        <f>IF(OR(Z1096=1,R1097&lt;=資金模擬!$B$10),1,0)</f>
        <v/>
      </c>
    </row>
    <row r="1098">
      <c r="A1098" s="2" t="n">
        <v>1096</v>
      </c>
      <c r="B1098" s="7" t="n">
        <v>46294.16666666666</v>
      </c>
      <c r="C1098" s="2" t="inlineStr">
        <is>
          <t>進場</t>
        </is>
      </c>
      <c r="D1098" s="2" t="n">
        <v>553</v>
      </c>
      <c r="E1098" s="2" t="inlineStr">
        <is>
          <t>WLD_USDT_PERP</t>
        </is>
      </c>
      <c r="F1098" s="2" t="inlineStr">
        <is>
          <t>做空</t>
        </is>
      </c>
      <c r="G1098" s="20" t="n">
        <v>0.4821</v>
      </c>
      <c r="H1098" s="20" t="n">
        <v>0.467637</v>
      </c>
      <c r="I1098" s="20" t="n">
        <v>0.506205</v>
      </c>
      <c r="J1098" s="20" t="n"/>
      <c r="K1098" s="2" t="n"/>
      <c r="L1098" s="5" t="n"/>
      <c r="M1098" s="19">
        <f>資金模擬!$B$5*V1097</f>
        <v/>
      </c>
      <c r="N1098" s="2">
        <f>IF(Z1097=1,"已停止",IF(T1097&gt;=M1098,"已下單","資金不足略過"))</f>
        <v/>
      </c>
      <c r="O1098" s="19">
        <f>IF(N1098="已下單",M1098*資金模擬!$B$7,0)</f>
        <v/>
      </c>
      <c r="P1098" s="4" t="n"/>
      <c r="Q1098" s="13" t="n">
        <v>0</v>
      </c>
      <c r="R1098" s="13">
        <f>R1097+Q1098</f>
        <v/>
      </c>
      <c r="S1098" s="19">
        <f>S1097+IF(N1098="已下單",M1098,0)</f>
        <v/>
      </c>
      <c r="T1098" s="19">
        <f>R1098-S1098</f>
        <v/>
      </c>
      <c r="U1098" s="2">
        <f>U1097+IF(N1098="已下單",1,0)</f>
        <v/>
      </c>
      <c r="V1098" s="19">
        <f>IF(資金模擬!$B$9=2,MAX(R1098,0),MAX(V1097,FLOOR(MAX(R1098,0),資金模擬!$B$6)))</f>
        <v/>
      </c>
      <c r="W1098" s="13">
        <f>MAX(W1097,R1098)</f>
        <v/>
      </c>
      <c r="X1098" s="4">
        <f>IF(W1098&gt;0,R1098/W1098-1,-1)</f>
        <v/>
      </c>
      <c r="Y1098" s="19">
        <f>IF(R1098&gt;0,S1098*資金模擬!$B$7/R1098,0)</f>
        <v/>
      </c>
      <c r="Z1098" s="2">
        <f>IF(OR(Z1097=1,R1098&lt;=資金模擬!$B$10),1,0)</f>
        <v/>
      </c>
    </row>
    <row r="1099">
      <c r="A1099" s="2" t="n">
        <v>1097</v>
      </c>
      <c r="B1099" s="7" t="n">
        <v>46294.20833333334</v>
      </c>
      <c r="C1099" s="2" t="inlineStr">
        <is>
          <t>進場</t>
        </is>
      </c>
      <c r="D1099" s="2" t="n">
        <v>554</v>
      </c>
      <c r="E1099" s="2" t="inlineStr">
        <is>
          <t>QNT_USDT_PERP</t>
        </is>
      </c>
      <c r="F1099" s="2" t="inlineStr">
        <is>
          <t>做多</t>
        </is>
      </c>
      <c r="G1099" s="20" t="n">
        <v>248.23</v>
      </c>
      <c r="H1099" s="20" t="n">
        <v>255.6769</v>
      </c>
      <c r="I1099" s="20" t="n">
        <v>235.8185</v>
      </c>
      <c r="J1099" s="20" t="n"/>
      <c r="K1099" s="2" t="n"/>
      <c r="L1099" s="5" t="n"/>
      <c r="M1099" s="19">
        <f>資金模擬!$B$5*V1098</f>
        <v/>
      </c>
      <c r="N1099" s="2">
        <f>IF(Z1098=1,"已停止",IF(T1098&gt;=M1099,"已下單","資金不足略過"))</f>
        <v/>
      </c>
      <c r="O1099" s="19">
        <f>IF(N1099="已下單",M1099*資金模擬!$B$7,0)</f>
        <v/>
      </c>
      <c r="P1099" s="4" t="n"/>
      <c r="Q1099" s="13" t="n">
        <v>0</v>
      </c>
      <c r="R1099" s="13">
        <f>R1098+Q1099</f>
        <v/>
      </c>
      <c r="S1099" s="19">
        <f>S1098+IF(N1099="已下單",M1099,0)</f>
        <v/>
      </c>
      <c r="T1099" s="19">
        <f>R1099-S1099</f>
        <v/>
      </c>
      <c r="U1099" s="2">
        <f>U1098+IF(N1099="已下單",1,0)</f>
        <v/>
      </c>
      <c r="V1099" s="19">
        <f>IF(資金模擬!$B$9=2,MAX(R1099,0),MAX(V1098,FLOOR(MAX(R1099,0),資金模擬!$B$6)))</f>
        <v/>
      </c>
      <c r="W1099" s="13">
        <f>MAX(W1098,R1099)</f>
        <v/>
      </c>
      <c r="X1099" s="4">
        <f>IF(W1099&gt;0,R1099/W1099-1,-1)</f>
        <v/>
      </c>
      <c r="Y1099" s="19">
        <f>IF(R1099&gt;0,S1099*資金模擬!$B$7/R1099,0)</f>
        <v/>
      </c>
      <c r="Z1099" s="2">
        <f>IF(OR(Z1098=1,R1099&lt;=資金模擬!$B$10),1,0)</f>
        <v/>
      </c>
    </row>
    <row r="1100">
      <c r="A1100" s="2" t="n">
        <v>1098</v>
      </c>
      <c r="B1100" s="7" t="n">
        <v>46294.25</v>
      </c>
      <c r="C1100" s="2" t="inlineStr">
        <is>
          <t>出場</t>
        </is>
      </c>
      <c r="D1100" s="2" t="n">
        <v>549</v>
      </c>
      <c r="E1100" s="2" t="inlineStr">
        <is>
          <t>GRAM_USDT_PERP</t>
        </is>
      </c>
      <c r="F1100" s="2" t="inlineStr">
        <is>
          <t>做多</t>
        </is>
      </c>
      <c r="G1100" s="20" t="n">
        <v>1.656</v>
      </c>
      <c r="H1100" s="20" t="n">
        <v>1.70568</v>
      </c>
      <c r="I1100" s="20" t="n">
        <v>1.5732</v>
      </c>
      <c r="J1100" s="20" t="n">
        <v>1.5732</v>
      </c>
      <c r="K1100" s="2" t="inlineStr">
        <is>
          <t>止損</t>
        </is>
      </c>
      <c r="L1100" s="5">
        <f>交易明細!K550</f>
        <v/>
      </c>
      <c r="M1100" s="19">
        <f>M1092</f>
        <v/>
      </c>
      <c r="N1100" s="2">
        <f>N1092</f>
        <v/>
      </c>
      <c r="O1100" s="19">
        <f>O1092</f>
        <v/>
      </c>
      <c r="P1100" s="4">
        <f>交易明細!L550</f>
        <v/>
      </c>
      <c r="Q1100" s="13">
        <f>IF(N1100="已下單",O1100*P1100,0)</f>
        <v/>
      </c>
      <c r="R1100" s="13">
        <f>R1099+Q1100</f>
        <v/>
      </c>
      <c r="S1100" s="19">
        <f>S1099-IF(N1100="已下單",M1100,0)</f>
        <v/>
      </c>
      <c r="T1100" s="19">
        <f>R1100-S1100</f>
        <v/>
      </c>
      <c r="U1100" s="2">
        <f>U1099-IF(N1100="已下單",1,0)</f>
        <v/>
      </c>
      <c r="V1100" s="19">
        <f>IF(資金模擬!$B$9=2,MAX(R1100,0),MAX(V1099,FLOOR(MAX(R1100,0),資金模擬!$B$6)))</f>
        <v/>
      </c>
      <c r="W1100" s="13">
        <f>MAX(W1099,R1100)</f>
        <v/>
      </c>
      <c r="X1100" s="4">
        <f>IF(W1100&gt;0,R1100/W1100-1,-1)</f>
        <v/>
      </c>
      <c r="Y1100" s="19">
        <f>IF(R1100&gt;0,S1100*資金模擬!$B$7/R1100,0)</f>
        <v/>
      </c>
      <c r="Z1100" s="2">
        <f>IF(OR(Z1099=1,R1100&lt;=資金模擬!$B$10),1,0)</f>
        <v/>
      </c>
    </row>
    <row r="1101">
      <c r="A1101" s="2" t="n">
        <v>1099</v>
      </c>
      <c r="B1101" s="7" t="n">
        <v>46294.25</v>
      </c>
      <c r="C1101" s="2" t="inlineStr">
        <is>
          <t>出場</t>
        </is>
      </c>
      <c r="D1101" s="2" t="n">
        <v>554</v>
      </c>
      <c r="E1101" s="2" t="inlineStr">
        <is>
          <t>QNT_USDT_PERP</t>
        </is>
      </c>
      <c r="F1101" s="2" t="inlineStr">
        <is>
          <t>做多</t>
        </is>
      </c>
      <c r="G1101" s="20" t="n">
        <v>248.23</v>
      </c>
      <c r="H1101" s="20" t="n">
        <v>255.6769</v>
      </c>
      <c r="I1101" s="20" t="n">
        <v>235.8185</v>
      </c>
      <c r="J1101" s="20" t="n">
        <v>235.8185</v>
      </c>
      <c r="K1101" s="2" t="inlineStr">
        <is>
          <t>止損</t>
        </is>
      </c>
      <c r="L1101" s="5">
        <f>交易明細!K555</f>
        <v/>
      </c>
      <c r="M1101" s="19">
        <f>M1099</f>
        <v/>
      </c>
      <c r="N1101" s="2">
        <f>N1099</f>
        <v/>
      </c>
      <c r="O1101" s="19">
        <f>O1099</f>
        <v/>
      </c>
      <c r="P1101" s="4">
        <f>交易明細!L555</f>
        <v/>
      </c>
      <c r="Q1101" s="13">
        <f>IF(N1101="已下單",O1101*P1101,0)</f>
        <v/>
      </c>
      <c r="R1101" s="13">
        <f>R1100+Q1101</f>
        <v/>
      </c>
      <c r="S1101" s="19">
        <f>S1100-IF(N1101="已下單",M1101,0)</f>
        <v/>
      </c>
      <c r="T1101" s="19">
        <f>R1101-S1101</f>
        <v/>
      </c>
      <c r="U1101" s="2">
        <f>U1100-IF(N1101="已下單",1,0)</f>
        <v/>
      </c>
      <c r="V1101" s="19">
        <f>IF(資金模擬!$B$9=2,MAX(R1101,0),MAX(V1100,FLOOR(MAX(R1101,0),資金模擬!$B$6)))</f>
        <v/>
      </c>
      <c r="W1101" s="13">
        <f>MAX(W1100,R1101)</f>
        <v/>
      </c>
      <c r="X1101" s="4">
        <f>IF(W1101&gt;0,R1101/W1101-1,-1)</f>
        <v/>
      </c>
      <c r="Y1101" s="19">
        <f>IF(R1101&gt;0,S1101*資金模擬!$B$7/R1101,0)</f>
        <v/>
      </c>
      <c r="Z1101" s="2">
        <f>IF(OR(Z1100=1,R1101&lt;=資金模擬!$B$10),1,0)</f>
        <v/>
      </c>
    </row>
    <row r="1102">
      <c r="A1102" s="2" t="n">
        <v>1100</v>
      </c>
      <c r="B1102" s="7" t="n">
        <v>46294.29166666666</v>
      </c>
      <c r="C1102" s="2" t="inlineStr">
        <is>
          <t>出場</t>
        </is>
      </c>
      <c r="D1102" s="2" t="n">
        <v>541</v>
      </c>
      <c r="E1102" s="2" t="inlineStr">
        <is>
          <t>ENA_USDT_PERP</t>
        </is>
      </c>
      <c r="F1102" s="2" t="inlineStr">
        <is>
          <t>做空</t>
        </is>
      </c>
      <c r="G1102" s="20" t="n">
        <v>0.2609</v>
      </c>
      <c r="H1102" s="20" t="n">
        <v>0.253073</v>
      </c>
      <c r="I1102" s="20" t="n">
        <v>0.273945</v>
      </c>
      <c r="J1102" s="20" t="n">
        <v>0.253073</v>
      </c>
      <c r="K1102" s="2" t="inlineStr">
        <is>
          <t>止盈</t>
        </is>
      </c>
      <c r="L1102" s="5">
        <f>交易明細!K542</f>
        <v/>
      </c>
      <c r="M1102" s="19">
        <f>M1081</f>
        <v/>
      </c>
      <c r="N1102" s="2">
        <f>N1081</f>
        <v/>
      </c>
      <c r="O1102" s="19">
        <f>O1081</f>
        <v/>
      </c>
      <c r="P1102" s="4">
        <f>交易明細!L542</f>
        <v/>
      </c>
      <c r="Q1102" s="13">
        <f>IF(N1102="已下單",O1102*P1102,0)</f>
        <v/>
      </c>
      <c r="R1102" s="13">
        <f>R1101+Q1102</f>
        <v/>
      </c>
      <c r="S1102" s="19">
        <f>S1101-IF(N1102="已下單",M1102,0)</f>
        <v/>
      </c>
      <c r="T1102" s="19">
        <f>R1102-S1102</f>
        <v/>
      </c>
      <c r="U1102" s="2">
        <f>U1101-IF(N1102="已下單",1,0)</f>
        <v/>
      </c>
      <c r="V1102" s="19">
        <f>IF(資金模擬!$B$9=2,MAX(R1102,0),MAX(V1101,FLOOR(MAX(R1102,0),資金模擬!$B$6)))</f>
        <v/>
      </c>
      <c r="W1102" s="13">
        <f>MAX(W1101,R1102)</f>
        <v/>
      </c>
      <c r="X1102" s="4">
        <f>IF(W1102&gt;0,R1102/W1102-1,-1)</f>
        <v/>
      </c>
      <c r="Y1102" s="19">
        <f>IF(R1102&gt;0,S1102*資金模擬!$B$7/R1102,0)</f>
        <v/>
      </c>
      <c r="Z1102" s="2">
        <f>IF(OR(Z1101=1,R1102&lt;=資金模擬!$B$10),1,0)</f>
        <v/>
      </c>
    </row>
    <row r="1103">
      <c r="A1103" s="2" t="n">
        <v>1101</v>
      </c>
      <c r="B1103" s="7" t="n">
        <v>46294.29166666666</v>
      </c>
      <c r="C1103" s="2" t="inlineStr">
        <is>
          <t>進場</t>
        </is>
      </c>
      <c r="D1103" s="2" t="n">
        <v>555</v>
      </c>
      <c r="E1103" s="2" t="inlineStr">
        <is>
          <t>AERO_USDT_PERP</t>
        </is>
      </c>
      <c r="F1103" s="2" t="inlineStr">
        <is>
          <t>做多</t>
        </is>
      </c>
      <c r="G1103" s="20" t="n">
        <v>0.8214</v>
      </c>
      <c r="H1103" s="20" t="n">
        <v>0.8460420000000001</v>
      </c>
      <c r="I1103" s="20" t="n">
        <v>0.78033</v>
      </c>
      <c r="J1103" s="20" t="n"/>
      <c r="K1103" s="2" t="n"/>
      <c r="L1103" s="5" t="n"/>
      <c r="M1103" s="19">
        <f>資金模擬!$B$5*V1102</f>
        <v/>
      </c>
      <c r="N1103" s="2">
        <f>IF(Z1102=1,"已停止",IF(T1102&gt;=M1103,"已下單","資金不足略過"))</f>
        <v/>
      </c>
      <c r="O1103" s="19">
        <f>IF(N1103="已下單",M1103*資金模擬!$B$7,0)</f>
        <v/>
      </c>
      <c r="P1103" s="4" t="n"/>
      <c r="Q1103" s="13" t="n">
        <v>0</v>
      </c>
      <c r="R1103" s="13">
        <f>R1102+Q1103</f>
        <v/>
      </c>
      <c r="S1103" s="19">
        <f>S1102+IF(N1103="已下單",M1103,0)</f>
        <v/>
      </c>
      <c r="T1103" s="19">
        <f>R1103-S1103</f>
        <v/>
      </c>
      <c r="U1103" s="2">
        <f>U1102+IF(N1103="已下單",1,0)</f>
        <v/>
      </c>
      <c r="V1103" s="19">
        <f>IF(資金模擬!$B$9=2,MAX(R1103,0),MAX(V1102,FLOOR(MAX(R1103,0),資金模擬!$B$6)))</f>
        <v/>
      </c>
      <c r="W1103" s="13">
        <f>MAX(W1102,R1103)</f>
        <v/>
      </c>
      <c r="X1103" s="4">
        <f>IF(W1103&gt;0,R1103/W1103-1,-1)</f>
        <v/>
      </c>
      <c r="Y1103" s="19">
        <f>IF(R1103&gt;0,S1103*資金模擬!$B$7/R1103,0)</f>
        <v/>
      </c>
      <c r="Z1103" s="2">
        <f>IF(OR(Z1102=1,R1103&lt;=資金模擬!$B$10),1,0)</f>
        <v/>
      </c>
    </row>
    <row r="1104">
      <c r="A1104" s="2" t="n">
        <v>1102</v>
      </c>
      <c r="B1104" s="7" t="n">
        <v>46294.33333333334</v>
      </c>
      <c r="C1104" s="2" t="inlineStr">
        <is>
          <t>進場</t>
        </is>
      </c>
      <c r="D1104" s="2" t="n">
        <v>556</v>
      </c>
      <c r="E1104" s="2" t="inlineStr">
        <is>
          <t>SOON_USDT_PERP</t>
        </is>
      </c>
      <c r="F1104" s="2" t="inlineStr">
        <is>
          <t>做空</t>
        </is>
      </c>
      <c r="G1104" s="20" t="n">
        <v>0.3111</v>
      </c>
      <c r="H1104" s="20" t="n">
        <v>0.301767</v>
      </c>
      <c r="I1104" s="20" t="n">
        <v>0.326655</v>
      </c>
      <c r="J1104" s="20" t="n"/>
      <c r="K1104" s="2" t="n"/>
      <c r="L1104" s="5" t="n"/>
      <c r="M1104" s="19">
        <f>資金模擬!$B$5*V1103</f>
        <v/>
      </c>
      <c r="N1104" s="2">
        <f>IF(Z1103=1,"已停止",IF(T1103&gt;=M1104,"已下單","資金不足略過"))</f>
        <v/>
      </c>
      <c r="O1104" s="19">
        <f>IF(N1104="已下單",M1104*資金模擬!$B$7,0)</f>
        <v/>
      </c>
      <c r="P1104" s="4" t="n"/>
      <c r="Q1104" s="13" t="n">
        <v>0</v>
      </c>
      <c r="R1104" s="13">
        <f>R1103+Q1104</f>
        <v/>
      </c>
      <c r="S1104" s="19">
        <f>S1103+IF(N1104="已下單",M1104,0)</f>
        <v/>
      </c>
      <c r="T1104" s="19">
        <f>R1104-S1104</f>
        <v/>
      </c>
      <c r="U1104" s="2">
        <f>U1103+IF(N1104="已下單",1,0)</f>
        <v/>
      </c>
      <c r="V1104" s="19">
        <f>IF(資金模擬!$B$9=2,MAX(R1104,0),MAX(V1103,FLOOR(MAX(R1104,0),資金模擬!$B$6)))</f>
        <v/>
      </c>
      <c r="W1104" s="13">
        <f>MAX(W1103,R1104)</f>
        <v/>
      </c>
      <c r="X1104" s="4">
        <f>IF(W1104&gt;0,R1104/W1104-1,-1)</f>
        <v/>
      </c>
      <c r="Y1104" s="19">
        <f>IF(R1104&gt;0,S1104*資金模擬!$B$7/R1104,0)</f>
        <v/>
      </c>
      <c r="Z1104" s="2">
        <f>IF(OR(Z1103=1,R1104&lt;=資金模擬!$B$10),1,0)</f>
        <v/>
      </c>
    </row>
    <row r="1105">
      <c r="A1105" s="2" t="n">
        <v>1103</v>
      </c>
      <c r="B1105" s="7" t="n">
        <v>46294.33333333334</v>
      </c>
      <c r="C1105" s="2" t="inlineStr">
        <is>
          <t>進場</t>
        </is>
      </c>
      <c r="D1105" s="2" t="n">
        <v>557</v>
      </c>
      <c r="E1105" s="2" t="inlineStr">
        <is>
          <t>XLM_USDT_PERP</t>
        </is>
      </c>
      <c r="F1105" s="2" t="inlineStr">
        <is>
          <t>做多</t>
        </is>
      </c>
      <c r="G1105" s="20" t="n">
        <v>0.23239</v>
      </c>
      <c r="H1105" s="20" t="n">
        <v>0.2393617</v>
      </c>
      <c r="I1105" s="20" t="n">
        <v>0.2207705</v>
      </c>
      <c r="J1105" s="20" t="n"/>
      <c r="K1105" s="2" t="n"/>
      <c r="L1105" s="5" t="n"/>
      <c r="M1105" s="19">
        <f>資金模擬!$B$5*V1104</f>
        <v/>
      </c>
      <c r="N1105" s="2">
        <f>IF(Z1104=1,"已停止",IF(T1104&gt;=M1105,"已下單","資金不足略過"))</f>
        <v/>
      </c>
      <c r="O1105" s="19">
        <f>IF(N1105="已下單",M1105*資金模擬!$B$7,0)</f>
        <v/>
      </c>
      <c r="P1105" s="4" t="n"/>
      <c r="Q1105" s="13" t="n">
        <v>0</v>
      </c>
      <c r="R1105" s="13">
        <f>R1104+Q1105</f>
        <v/>
      </c>
      <c r="S1105" s="19">
        <f>S1104+IF(N1105="已下單",M1105,0)</f>
        <v/>
      </c>
      <c r="T1105" s="19">
        <f>R1105-S1105</f>
        <v/>
      </c>
      <c r="U1105" s="2">
        <f>U1104+IF(N1105="已下單",1,0)</f>
        <v/>
      </c>
      <c r="V1105" s="19">
        <f>IF(資金模擬!$B$9=2,MAX(R1105,0),MAX(V1104,FLOOR(MAX(R1105,0),資金模擬!$B$6)))</f>
        <v/>
      </c>
      <c r="W1105" s="13">
        <f>MAX(W1104,R1105)</f>
        <v/>
      </c>
      <c r="X1105" s="4">
        <f>IF(W1105&gt;0,R1105/W1105-1,-1)</f>
        <v/>
      </c>
      <c r="Y1105" s="19">
        <f>IF(R1105&gt;0,S1105*資金模擬!$B$7/R1105,0)</f>
        <v/>
      </c>
      <c r="Z1105" s="2">
        <f>IF(OR(Z1104=1,R1105&lt;=資金模擬!$B$10),1,0)</f>
        <v/>
      </c>
    </row>
    <row r="1106">
      <c r="A1106" s="2" t="n">
        <v>1104</v>
      </c>
      <c r="B1106" s="7" t="n">
        <v>46294.375</v>
      </c>
      <c r="C1106" s="2" t="inlineStr">
        <is>
          <t>出場</t>
        </is>
      </c>
      <c r="D1106" s="2" t="n">
        <v>556</v>
      </c>
      <c r="E1106" s="2" t="inlineStr">
        <is>
          <t>SOON_USDT_PERP</t>
        </is>
      </c>
      <c r="F1106" s="2" t="inlineStr">
        <is>
          <t>做空</t>
        </is>
      </c>
      <c r="G1106" s="20" t="n">
        <v>0.3111</v>
      </c>
      <c r="H1106" s="20" t="n">
        <v>0.301767</v>
      </c>
      <c r="I1106" s="20" t="n">
        <v>0.326655</v>
      </c>
      <c r="J1106" s="20" t="n">
        <v>0.301767</v>
      </c>
      <c r="K1106" s="2" t="inlineStr">
        <is>
          <t>止盈</t>
        </is>
      </c>
      <c r="L1106" s="5">
        <f>交易明細!K557</f>
        <v/>
      </c>
      <c r="M1106" s="19">
        <f>M1104</f>
        <v/>
      </c>
      <c r="N1106" s="2">
        <f>N1104</f>
        <v/>
      </c>
      <c r="O1106" s="19">
        <f>O1104</f>
        <v/>
      </c>
      <c r="P1106" s="4">
        <f>交易明細!L557</f>
        <v/>
      </c>
      <c r="Q1106" s="13">
        <f>IF(N1106="已下單",O1106*P1106,0)</f>
        <v/>
      </c>
      <c r="R1106" s="13">
        <f>R1105+Q1106</f>
        <v/>
      </c>
      <c r="S1106" s="19">
        <f>S1105-IF(N1106="已下單",M1106,0)</f>
        <v/>
      </c>
      <c r="T1106" s="19">
        <f>R1106-S1106</f>
        <v/>
      </c>
      <c r="U1106" s="2">
        <f>U1105-IF(N1106="已下單",1,0)</f>
        <v/>
      </c>
      <c r="V1106" s="19">
        <f>IF(資金模擬!$B$9=2,MAX(R1106,0),MAX(V1105,FLOOR(MAX(R1106,0),資金模擬!$B$6)))</f>
        <v/>
      </c>
      <c r="W1106" s="13">
        <f>MAX(W1105,R1106)</f>
        <v/>
      </c>
      <c r="X1106" s="4">
        <f>IF(W1106&gt;0,R1106/W1106-1,-1)</f>
        <v/>
      </c>
      <c r="Y1106" s="19">
        <f>IF(R1106&gt;0,S1106*資金模擬!$B$7/R1106,0)</f>
        <v/>
      </c>
      <c r="Z1106" s="2">
        <f>IF(OR(Z1105=1,R1106&lt;=資金模擬!$B$10),1,0)</f>
        <v/>
      </c>
    </row>
    <row r="1107">
      <c r="A1107" s="2" t="n">
        <v>1105</v>
      </c>
      <c r="B1107" s="7" t="n">
        <v>46294.41666666666</v>
      </c>
      <c r="C1107" s="2" t="inlineStr">
        <is>
          <t>出場</t>
        </is>
      </c>
      <c r="D1107" s="2" t="n">
        <v>542</v>
      </c>
      <c r="E1107" s="2" t="inlineStr">
        <is>
          <t>FET_USDT_PERP</t>
        </is>
      </c>
      <c r="F1107" s="2" t="inlineStr">
        <is>
          <t>做空</t>
        </is>
      </c>
      <c r="G1107" s="20" t="n">
        <v>0.226</v>
      </c>
      <c r="H1107" s="20" t="n">
        <v>0.21922</v>
      </c>
      <c r="I1107" s="20" t="n">
        <v>0.2373</v>
      </c>
      <c r="J1107" s="20" t="n">
        <v>0.21922</v>
      </c>
      <c r="K1107" s="2" t="inlineStr">
        <is>
          <t>止盈</t>
        </is>
      </c>
      <c r="L1107" s="5">
        <f>交易明細!K543</f>
        <v/>
      </c>
      <c r="M1107" s="19">
        <f>M1082</f>
        <v/>
      </c>
      <c r="N1107" s="2">
        <f>N1082</f>
        <v/>
      </c>
      <c r="O1107" s="19">
        <f>O1082</f>
        <v/>
      </c>
      <c r="P1107" s="4">
        <f>交易明細!L543</f>
        <v/>
      </c>
      <c r="Q1107" s="13">
        <f>IF(N1107="已下單",O1107*P1107,0)</f>
        <v/>
      </c>
      <c r="R1107" s="13">
        <f>R1106+Q1107</f>
        <v/>
      </c>
      <c r="S1107" s="19">
        <f>S1106-IF(N1107="已下單",M1107,0)</f>
        <v/>
      </c>
      <c r="T1107" s="19">
        <f>R1107-S1107</f>
        <v/>
      </c>
      <c r="U1107" s="2">
        <f>U1106-IF(N1107="已下單",1,0)</f>
        <v/>
      </c>
      <c r="V1107" s="19">
        <f>IF(資金模擬!$B$9=2,MAX(R1107,0),MAX(V1106,FLOOR(MAX(R1107,0),資金模擬!$B$6)))</f>
        <v/>
      </c>
      <c r="W1107" s="13">
        <f>MAX(W1106,R1107)</f>
        <v/>
      </c>
      <c r="X1107" s="4">
        <f>IF(W1107&gt;0,R1107/W1107-1,-1)</f>
        <v/>
      </c>
      <c r="Y1107" s="19">
        <f>IF(R1107&gt;0,S1107*資金模擬!$B$7/R1107,0)</f>
        <v/>
      </c>
      <c r="Z1107" s="2">
        <f>IF(OR(Z1106=1,R1107&lt;=資金模擬!$B$10),1,0)</f>
        <v/>
      </c>
    </row>
    <row r="1108">
      <c r="A1108" s="2" t="n">
        <v>1106</v>
      </c>
      <c r="B1108" s="7" t="n">
        <v>46294.41666666666</v>
      </c>
      <c r="C1108" s="2" t="inlineStr">
        <is>
          <t>出場</t>
        </is>
      </c>
      <c r="D1108" s="2" t="n">
        <v>546</v>
      </c>
      <c r="E1108" s="2" t="inlineStr">
        <is>
          <t>SUI_USDT_PERP</t>
        </is>
      </c>
      <c r="F1108" s="2" t="inlineStr">
        <is>
          <t>做空</t>
        </is>
      </c>
      <c r="G1108" s="20" t="n">
        <v>1.1517</v>
      </c>
      <c r="H1108" s="20" t="n">
        <v>1.117149</v>
      </c>
      <c r="I1108" s="20" t="n">
        <v>1.209285</v>
      </c>
      <c r="J1108" s="20" t="n">
        <v>1.117149</v>
      </c>
      <c r="K1108" s="2" t="inlineStr">
        <is>
          <t>止盈</t>
        </is>
      </c>
      <c r="L1108" s="5">
        <f>交易明細!K547</f>
        <v/>
      </c>
      <c r="M1108" s="19">
        <f>M1086</f>
        <v/>
      </c>
      <c r="N1108" s="2">
        <f>N1086</f>
        <v/>
      </c>
      <c r="O1108" s="19">
        <f>O1086</f>
        <v/>
      </c>
      <c r="P1108" s="4">
        <f>交易明細!L547</f>
        <v/>
      </c>
      <c r="Q1108" s="13">
        <f>IF(N1108="已下單",O1108*P1108,0)</f>
        <v/>
      </c>
      <c r="R1108" s="13">
        <f>R1107+Q1108</f>
        <v/>
      </c>
      <c r="S1108" s="19">
        <f>S1107-IF(N1108="已下單",M1108,0)</f>
        <v/>
      </c>
      <c r="T1108" s="19">
        <f>R1108-S1108</f>
        <v/>
      </c>
      <c r="U1108" s="2">
        <f>U1107-IF(N1108="已下單",1,0)</f>
        <v/>
      </c>
      <c r="V1108" s="19">
        <f>IF(資金模擬!$B$9=2,MAX(R1108,0),MAX(V1107,FLOOR(MAX(R1108,0),資金模擬!$B$6)))</f>
        <v/>
      </c>
      <c r="W1108" s="13">
        <f>MAX(W1107,R1108)</f>
        <v/>
      </c>
      <c r="X1108" s="4">
        <f>IF(W1108&gt;0,R1108/W1108-1,-1)</f>
        <v/>
      </c>
      <c r="Y1108" s="19">
        <f>IF(R1108&gt;0,S1108*資金模擬!$B$7/R1108,0)</f>
        <v/>
      </c>
      <c r="Z1108" s="2">
        <f>IF(OR(Z1107=1,R1108&lt;=資金模擬!$B$10),1,0)</f>
        <v/>
      </c>
    </row>
    <row r="1109">
      <c r="A1109" s="2" t="n">
        <v>1107</v>
      </c>
      <c r="B1109" s="7" t="n">
        <v>46294.41666666666</v>
      </c>
      <c r="C1109" s="2" t="inlineStr">
        <is>
          <t>出場</t>
        </is>
      </c>
      <c r="D1109" s="2" t="n">
        <v>551</v>
      </c>
      <c r="E1109" s="2" t="inlineStr">
        <is>
          <t>ARB_USDT_PERP</t>
        </is>
      </c>
      <c r="F1109" s="2" t="inlineStr">
        <is>
          <t>做空</t>
        </is>
      </c>
      <c r="G1109" s="20" t="n">
        <v>0.201</v>
      </c>
      <c r="H1109" s="20" t="n">
        <v>0.19497</v>
      </c>
      <c r="I1109" s="20" t="n">
        <v>0.21105</v>
      </c>
      <c r="J1109" s="20" t="n">
        <v>0.19497</v>
      </c>
      <c r="K1109" s="2" t="inlineStr">
        <is>
          <t>止盈</t>
        </is>
      </c>
      <c r="L1109" s="5">
        <f>交易明細!K552</f>
        <v/>
      </c>
      <c r="M1109" s="19">
        <f>M1096</f>
        <v/>
      </c>
      <c r="N1109" s="2">
        <f>N1096</f>
        <v/>
      </c>
      <c r="O1109" s="19">
        <f>O1096</f>
        <v/>
      </c>
      <c r="P1109" s="4">
        <f>交易明細!L552</f>
        <v/>
      </c>
      <c r="Q1109" s="13">
        <f>IF(N1109="已下單",O1109*P1109,0)</f>
        <v/>
      </c>
      <c r="R1109" s="13">
        <f>R1108+Q1109</f>
        <v/>
      </c>
      <c r="S1109" s="19">
        <f>S1108-IF(N1109="已下單",M1109,0)</f>
        <v/>
      </c>
      <c r="T1109" s="19">
        <f>R1109-S1109</f>
        <v/>
      </c>
      <c r="U1109" s="2">
        <f>U1108-IF(N1109="已下單",1,0)</f>
        <v/>
      </c>
      <c r="V1109" s="19">
        <f>IF(資金模擬!$B$9=2,MAX(R1109,0),MAX(V1108,FLOOR(MAX(R1109,0),資金模擬!$B$6)))</f>
        <v/>
      </c>
      <c r="W1109" s="13">
        <f>MAX(W1108,R1109)</f>
        <v/>
      </c>
      <c r="X1109" s="4">
        <f>IF(W1109&gt;0,R1109/W1109-1,-1)</f>
        <v/>
      </c>
      <c r="Y1109" s="19">
        <f>IF(R1109&gt;0,S1109*資金模擬!$B$7/R1109,0)</f>
        <v/>
      </c>
      <c r="Z1109" s="2">
        <f>IF(OR(Z1108=1,R1109&lt;=資金模擬!$B$10),1,0)</f>
        <v/>
      </c>
    </row>
    <row r="1110">
      <c r="A1110" s="2" t="n">
        <v>1108</v>
      </c>
      <c r="B1110" s="7" t="n">
        <v>46294.41666666666</v>
      </c>
      <c r="C1110" s="2" t="inlineStr">
        <is>
          <t>進場</t>
        </is>
      </c>
      <c r="D1110" s="2" t="n">
        <v>558</v>
      </c>
      <c r="E1110" s="2" t="inlineStr">
        <is>
          <t>GRASS_USDT_PERP</t>
        </is>
      </c>
      <c r="F1110" s="2" t="inlineStr">
        <is>
          <t>做空</t>
        </is>
      </c>
      <c r="G1110" s="20" t="n">
        <v>0.5782</v>
      </c>
      <c r="H1110" s="20" t="n">
        <v>0.5608540000000001</v>
      </c>
      <c r="I1110" s="20" t="n">
        <v>0.60711</v>
      </c>
      <c r="J1110" s="20" t="n"/>
      <c r="K1110" s="2" t="n"/>
      <c r="L1110" s="5" t="n"/>
      <c r="M1110" s="19">
        <f>資金模擬!$B$5*V1109</f>
        <v/>
      </c>
      <c r="N1110" s="2">
        <f>IF(Z1109=1,"已停止",IF(T1109&gt;=M1110,"已下單","資金不足略過"))</f>
        <v/>
      </c>
      <c r="O1110" s="19">
        <f>IF(N1110="已下單",M1110*資金模擬!$B$7,0)</f>
        <v/>
      </c>
      <c r="P1110" s="4" t="n"/>
      <c r="Q1110" s="13" t="n">
        <v>0</v>
      </c>
      <c r="R1110" s="13">
        <f>R1109+Q1110</f>
        <v/>
      </c>
      <c r="S1110" s="19">
        <f>S1109+IF(N1110="已下單",M1110,0)</f>
        <v/>
      </c>
      <c r="T1110" s="19">
        <f>R1110-S1110</f>
        <v/>
      </c>
      <c r="U1110" s="2">
        <f>U1109+IF(N1110="已下單",1,0)</f>
        <v/>
      </c>
      <c r="V1110" s="19">
        <f>IF(資金模擬!$B$9=2,MAX(R1110,0),MAX(V1109,FLOOR(MAX(R1110,0),資金模擬!$B$6)))</f>
        <v/>
      </c>
      <c r="W1110" s="13">
        <f>MAX(W1109,R1110)</f>
        <v/>
      </c>
      <c r="X1110" s="4">
        <f>IF(W1110&gt;0,R1110/W1110-1,-1)</f>
        <v/>
      </c>
      <c r="Y1110" s="19">
        <f>IF(R1110&gt;0,S1110*資金模擬!$B$7/R1110,0)</f>
        <v/>
      </c>
      <c r="Z1110" s="2">
        <f>IF(OR(Z1109=1,R1110&lt;=資金模擬!$B$10),1,0)</f>
        <v/>
      </c>
    </row>
    <row r="1111">
      <c r="A1111" s="2" t="n">
        <v>1109</v>
      </c>
      <c r="B1111" s="7" t="n">
        <v>46294.41666666666</v>
      </c>
      <c r="C1111" s="2" t="inlineStr">
        <is>
          <t>進場</t>
        </is>
      </c>
      <c r="D1111" s="2" t="n">
        <v>559</v>
      </c>
      <c r="E1111" s="2" t="inlineStr">
        <is>
          <t>ONDO_USDT_PERP</t>
        </is>
      </c>
      <c r="F1111" s="2" t="inlineStr">
        <is>
          <t>做空</t>
        </is>
      </c>
      <c r="G1111" s="20" t="n">
        <v>0.5039</v>
      </c>
      <c r="H1111" s="20" t="n">
        <v>0.488783</v>
      </c>
      <c r="I1111" s="20" t="n">
        <v>0.5290950000000001</v>
      </c>
      <c r="J1111" s="20" t="n"/>
      <c r="K1111" s="2" t="n"/>
      <c r="L1111" s="5" t="n"/>
      <c r="M1111" s="19">
        <f>資金模擬!$B$5*V1110</f>
        <v/>
      </c>
      <c r="N1111" s="2">
        <f>IF(Z1110=1,"已停止",IF(T1110&gt;=M1111,"已下單","資金不足略過"))</f>
        <v/>
      </c>
      <c r="O1111" s="19">
        <f>IF(N1111="已下單",M1111*資金模擬!$B$7,0)</f>
        <v/>
      </c>
      <c r="P1111" s="4" t="n"/>
      <c r="Q1111" s="13" t="n">
        <v>0</v>
      </c>
      <c r="R1111" s="13">
        <f>R1110+Q1111</f>
        <v/>
      </c>
      <c r="S1111" s="19">
        <f>S1110+IF(N1111="已下單",M1111,0)</f>
        <v/>
      </c>
      <c r="T1111" s="19">
        <f>R1111-S1111</f>
        <v/>
      </c>
      <c r="U1111" s="2">
        <f>U1110+IF(N1111="已下單",1,0)</f>
        <v/>
      </c>
      <c r="V1111" s="19">
        <f>IF(資金模擬!$B$9=2,MAX(R1111,0),MAX(V1110,FLOOR(MAX(R1111,0),資金模擬!$B$6)))</f>
        <v/>
      </c>
      <c r="W1111" s="13">
        <f>MAX(W1110,R1111)</f>
        <v/>
      </c>
      <c r="X1111" s="4">
        <f>IF(W1111&gt;0,R1111/W1111-1,-1)</f>
        <v/>
      </c>
      <c r="Y1111" s="19">
        <f>IF(R1111&gt;0,S1111*資金模擬!$B$7/R1111,0)</f>
        <v/>
      </c>
      <c r="Z1111" s="2">
        <f>IF(OR(Z1110=1,R1111&lt;=資金模擬!$B$10),1,0)</f>
        <v/>
      </c>
    </row>
    <row r="1112">
      <c r="A1112" s="2" t="n">
        <v>1110</v>
      </c>
      <c r="B1112" s="7" t="n">
        <v>46294.45833333334</v>
      </c>
      <c r="C1112" s="2" t="inlineStr">
        <is>
          <t>出場</t>
        </is>
      </c>
      <c r="D1112" s="2" t="n">
        <v>547</v>
      </c>
      <c r="E1112" s="2" t="inlineStr">
        <is>
          <t>XPL_USDT_PERP</t>
        </is>
      </c>
      <c r="F1112" s="2" t="inlineStr">
        <is>
          <t>做空</t>
        </is>
      </c>
      <c r="G1112" s="20" t="n">
        <v>0.0975</v>
      </c>
      <c r="H1112" s="20" t="n">
        <v>0.09457500000000001</v>
      </c>
      <c r="I1112" s="20" t="n">
        <v>0.102375</v>
      </c>
      <c r="J1112" s="20" t="n">
        <v>0.09457500000000001</v>
      </c>
      <c r="K1112" s="2" t="inlineStr">
        <is>
          <t>止盈</t>
        </is>
      </c>
      <c r="L1112" s="5">
        <f>交易明細!K548</f>
        <v/>
      </c>
      <c r="M1112" s="19">
        <f>M1087</f>
        <v/>
      </c>
      <c r="N1112" s="2">
        <f>N1087</f>
        <v/>
      </c>
      <c r="O1112" s="19">
        <f>O1087</f>
        <v/>
      </c>
      <c r="P1112" s="4">
        <f>交易明細!L548</f>
        <v/>
      </c>
      <c r="Q1112" s="13">
        <f>IF(N1112="已下單",O1112*P1112,0)</f>
        <v/>
      </c>
      <c r="R1112" s="13">
        <f>R1111+Q1112</f>
        <v/>
      </c>
      <c r="S1112" s="19">
        <f>S1111-IF(N1112="已下單",M1112,0)</f>
        <v/>
      </c>
      <c r="T1112" s="19">
        <f>R1112-S1112</f>
        <v/>
      </c>
      <c r="U1112" s="2">
        <f>U1111-IF(N1112="已下單",1,0)</f>
        <v/>
      </c>
      <c r="V1112" s="19">
        <f>IF(資金模擬!$B$9=2,MAX(R1112,0),MAX(V1111,FLOOR(MAX(R1112,0),資金模擬!$B$6)))</f>
        <v/>
      </c>
      <c r="W1112" s="13">
        <f>MAX(W1111,R1112)</f>
        <v/>
      </c>
      <c r="X1112" s="4">
        <f>IF(W1112&gt;0,R1112/W1112-1,-1)</f>
        <v/>
      </c>
      <c r="Y1112" s="19">
        <f>IF(R1112&gt;0,S1112*資金模擬!$B$7/R1112,0)</f>
        <v/>
      </c>
      <c r="Z1112" s="2">
        <f>IF(OR(Z1111=1,R1112&lt;=資金模擬!$B$10),1,0)</f>
        <v/>
      </c>
    </row>
    <row r="1113">
      <c r="A1113" s="2" t="n">
        <v>1111</v>
      </c>
      <c r="B1113" s="7" t="n">
        <v>46294.45833333334</v>
      </c>
      <c r="C1113" s="2" t="inlineStr">
        <is>
          <t>出場</t>
        </is>
      </c>
      <c r="D1113" s="2" t="n">
        <v>553</v>
      </c>
      <c r="E1113" s="2" t="inlineStr">
        <is>
          <t>WLD_USDT_PERP</t>
        </is>
      </c>
      <c r="F1113" s="2" t="inlineStr">
        <is>
          <t>做空</t>
        </is>
      </c>
      <c r="G1113" s="20" t="n">
        <v>0.4821</v>
      </c>
      <c r="H1113" s="20" t="n">
        <v>0.467637</v>
      </c>
      <c r="I1113" s="20" t="n">
        <v>0.506205</v>
      </c>
      <c r="J1113" s="20" t="n">
        <v>0.467637</v>
      </c>
      <c r="K1113" s="2" t="inlineStr">
        <is>
          <t>止盈</t>
        </is>
      </c>
      <c r="L1113" s="5">
        <f>交易明細!K554</f>
        <v/>
      </c>
      <c r="M1113" s="19">
        <f>M1098</f>
        <v/>
      </c>
      <c r="N1113" s="2">
        <f>N1098</f>
        <v/>
      </c>
      <c r="O1113" s="19">
        <f>O1098</f>
        <v/>
      </c>
      <c r="P1113" s="4">
        <f>交易明細!L554</f>
        <v/>
      </c>
      <c r="Q1113" s="13">
        <f>IF(N1113="已下單",O1113*P1113,0)</f>
        <v/>
      </c>
      <c r="R1113" s="13">
        <f>R1112+Q1113</f>
        <v/>
      </c>
      <c r="S1113" s="19">
        <f>S1112-IF(N1113="已下單",M1113,0)</f>
        <v/>
      </c>
      <c r="T1113" s="19">
        <f>R1113-S1113</f>
        <v/>
      </c>
      <c r="U1113" s="2">
        <f>U1112-IF(N1113="已下單",1,0)</f>
        <v/>
      </c>
      <c r="V1113" s="19">
        <f>IF(資金模擬!$B$9=2,MAX(R1113,0),MAX(V1112,FLOOR(MAX(R1113,0),資金模擬!$B$6)))</f>
        <v/>
      </c>
      <c r="W1113" s="13">
        <f>MAX(W1112,R1113)</f>
        <v/>
      </c>
      <c r="X1113" s="4">
        <f>IF(W1113&gt;0,R1113/W1113-1,-1)</f>
        <v/>
      </c>
      <c r="Y1113" s="19">
        <f>IF(R1113&gt;0,S1113*資金模擬!$B$7/R1113,0)</f>
        <v/>
      </c>
      <c r="Z1113" s="2">
        <f>IF(OR(Z1112=1,R1113&lt;=資金模擬!$B$10),1,0)</f>
        <v/>
      </c>
    </row>
    <row r="1114">
      <c r="A1114" s="2" t="n">
        <v>1112</v>
      </c>
      <c r="B1114" s="7" t="n">
        <v>46294.5</v>
      </c>
      <c r="C1114" s="2" t="inlineStr">
        <is>
          <t>出場</t>
        </is>
      </c>
      <c r="D1114" s="2" t="n">
        <v>558</v>
      </c>
      <c r="E1114" s="2" t="inlineStr">
        <is>
          <t>GRASS_USDT_PERP</t>
        </is>
      </c>
      <c r="F1114" s="2" t="inlineStr">
        <is>
          <t>做空</t>
        </is>
      </c>
      <c r="G1114" s="20" t="n">
        <v>0.5782</v>
      </c>
      <c r="H1114" s="20" t="n">
        <v>0.5608540000000001</v>
      </c>
      <c r="I1114" s="20" t="n">
        <v>0.60711</v>
      </c>
      <c r="J1114" s="20" t="n">
        <v>0.60711</v>
      </c>
      <c r="K1114" s="2" t="inlineStr">
        <is>
          <t>止損</t>
        </is>
      </c>
      <c r="L1114" s="5">
        <f>交易明細!K559</f>
        <v/>
      </c>
      <c r="M1114" s="19">
        <f>M1110</f>
        <v/>
      </c>
      <c r="N1114" s="2">
        <f>N1110</f>
        <v/>
      </c>
      <c r="O1114" s="19">
        <f>O1110</f>
        <v/>
      </c>
      <c r="P1114" s="4">
        <f>交易明細!L559</f>
        <v/>
      </c>
      <c r="Q1114" s="13">
        <f>IF(N1114="已下單",O1114*P1114,0)</f>
        <v/>
      </c>
      <c r="R1114" s="13">
        <f>R1113+Q1114</f>
        <v/>
      </c>
      <c r="S1114" s="19">
        <f>S1113-IF(N1114="已下單",M1114,0)</f>
        <v/>
      </c>
      <c r="T1114" s="19">
        <f>R1114-S1114</f>
        <v/>
      </c>
      <c r="U1114" s="2">
        <f>U1113-IF(N1114="已下單",1,0)</f>
        <v/>
      </c>
      <c r="V1114" s="19">
        <f>IF(資金模擬!$B$9=2,MAX(R1114,0),MAX(V1113,FLOOR(MAX(R1114,0),資金模擬!$B$6)))</f>
        <v/>
      </c>
      <c r="W1114" s="13">
        <f>MAX(W1113,R1114)</f>
        <v/>
      </c>
      <c r="X1114" s="4">
        <f>IF(W1114&gt;0,R1114/W1114-1,-1)</f>
        <v/>
      </c>
      <c r="Y1114" s="19">
        <f>IF(R1114&gt;0,S1114*資金模擬!$B$7/R1114,0)</f>
        <v/>
      </c>
      <c r="Z1114" s="2">
        <f>IF(OR(Z1113=1,R1114&lt;=資金模擬!$B$10),1,0)</f>
        <v/>
      </c>
    </row>
    <row r="1115">
      <c r="A1115" s="2" t="n">
        <v>1113</v>
      </c>
      <c r="B1115" s="7" t="n">
        <v>46294.5</v>
      </c>
      <c r="C1115" s="2" t="inlineStr">
        <is>
          <t>進場</t>
        </is>
      </c>
      <c r="D1115" s="2" t="n">
        <v>560</v>
      </c>
      <c r="E1115" s="2" t="inlineStr">
        <is>
          <t>Q_USDT_PERP</t>
        </is>
      </c>
      <c r="F1115" s="2" t="inlineStr">
        <is>
          <t>做空</t>
        </is>
      </c>
      <c r="G1115" s="20" t="n">
        <v>0.022984</v>
      </c>
      <c r="H1115" s="20" t="n">
        <v>0.02229448</v>
      </c>
      <c r="I1115" s="20" t="n">
        <v>0.0241332</v>
      </c>
      <c r="J1115" s="20" t="n"/>
      <c r="K1115" s="2" t="n"/>
      <c r="L1115" s="5" t="n"/>
      <c r="M1115" s="19">
        <f>資金模擬!$B$5*V1114</f>
        <v/>
      </c>
      <c r="N1115" s="2">
        <f>IF(Z1114=1,"已停止",IF(T1114&gt;=M1115,"已下單","資金不足略過"))</f>
        <v/>
      </c>
      <c r="O1115" s="19">
        <f>IF(N1115="已下單",M1115*資金模擬!$B$7,0)</f>
        <v/>
      </c>
      <c r="P1115" s="4" t="n"/>
      <c r="Q1115" s="13" t="n">
        <v>0</v>
      </c>
      <c r="R1115" s="13">
        <f>R1114+Q1115</f>
        <v/>
      </c>
      <c r="S1115" s="19">
        <f>S1114+IF(N1115="已下單",M1115,0)</f>
        <v/>
      </c>
      <c r="T1115" s="19">
        <f>R1115-S1115</f>
        <v/>
      </c>
      <c r="U1115" s="2">
        <f>U1114+IF(N1115="已下單",1,0)</f>
        <v/>
      </c>
      <c r="V1115" s="19">
        <f>IF(資金模擬!$B$9=2,MAX(R1115,0),MAX(V1114,FLOOR(MAX(R1115,0),資金模擬!$B$6)))</f>
        <v/>
      </c>
      <c r="W1115" s="13">
        <f>MAX(W1114,R1115)</f>
        <v/>
      </c>
      <c r="X1115" s="4">
        <f>IF(W1115&gt;0,R1115/W1115-1,-1)</f>
        <v/>
      </c>
      <c r="Y1115" s="19">
        <f>IF(R1115&gt;0,S1115*資金模擬!$B$7/R1115,0)</f>
        <v/>
      </c>
      <c r="Z1115" s="2">
        <f>IF(OR(Z1114=1,R1115&lt;=資金模擬!$B$10),1,0)</f>
        <v/>
      </c>
    </row>
    <row r="1116">
      <c r="A1116" s="2" t="n">
        <v>1114</v>
      </c>
      <c r="B1116" s="7" t="n">
        <v>46294.54166666666</v>
      </c>
      <c r="C1116" s="2" t="inlineStr">
        <is>
          <t>進場</t>
        </is>
      </c>
      <c r="D1116" s="2" t="n">
        <v>561</v>
      </c>
      <c r="E1116" s="2" t="inlineStr">
        <is>
          <t>ALGO_USDT_PERP</t>
        </is>
      </c>
      <c r="F1116" s="2" t="inlineStr">
        <is>
          <t>做多</t>
        </is>
      </c>
      <c r="G1116" s="20" t="n">
        <v>0.1395</v>
      </c>
      <c r="H1116" s="20" t="n">
        <v>0.143685</v>
      </c>
      <c r="I1116" s="20" t="n">
        <v>0.132525</v>
      </c>
      <c r="J1116" s="20" t="n"/>
      <c r="K1116" s="2" t="n"/>
      <c r="L1116" s="5" t="n"/>
      <c r="M1116" s="19">
        <f>資金模擬!$B$5*V1115</f>
        <v/>
      </c>
      <c r="N1116" s="2">
        <f>IF(Z1115=1,"已停止",IF(T1115&gt;=M1116,"已下單","資金不足略過"))</f>
        <v/>
      </c>
      <c r="O1116" s="19">
        <f>IF(N1116="已下單",M1116*資金模擬!$B$7,0)</f>
        <v/>
      </c>
      <c r="P1116" s="4" t="n"/>
      <c r="Q1116" s="13" t="n">
        <v>0</v>
      </c>
      <c r="R1116" s="13">
        <f>R1115+Q1116</f>
        <v/>
      </c>
      <c r="S1116" s="19">
        <f>S1115+IF(N1116="已下單",M1116,0)</f>
        <v/>
      </c>
      <c r="T1116" s="19">
        <f>R1116-S1116</f>
        <v/>
      </c>
      <c r="U1116" s="2">
        <f>U1115+IF(N1116="已下單",1,0)</f>
        <v/>
      </c>
      <c r="V1116" s="19">
        <f>IF(資金模擬!$B$9=2,MAX(R1116,0),MAX(V1115,FLOOR(MAX(R1116,0),資金模擬!$B$6)))</f>
        <v/>
      </c>
      <c r="W1116" s="13">
        <f>MAX(W1115,R1116)</f>
        <v/>
      </c>
      <c r="X1116" s="4">
        <f>IF(W1116&gt;0,R1116/W1116-1,-1)</f>
        <v/>
      </c>
      <c r="Y1116" s="19">
        <f>IF(R1116&gt;0,S1116*資金模擬!$B$7/R1116,0)</f>
        <v/>
      </c>
      <c r="Z1116" s="2">
        <f>IF(OR(Z1115=1,R1116&lt;=資金模擬!$B$10),1,0)</f>
        <v/>
      </c>
    </row>
    <row r="1117">
      <c r="A1117" s="2" t="n">
        <v>1115</v>
      </c>
      <c r="B1117" s="7" t="n">
        <v>46294.54166666666</v>
      </c>
      <c r="C1117" s="2" t="inlineStr">
        <is>
          <t>進場</t>
        </is>
      </c>
      <c r="D1117" s="2" t="n">
        <v>562</v>
      </c>
      <c r="E1117" s="2" t="inlineStr">
        <is>
          <t>MARSCOIN_USDT_PERP</t>
        </is>
      </c>
      <c r="F1117" s="2" t="inlineStr">
        <is>
          <t>做空</t>
        </is>
      </c>
      <c r="G1117" s="20" t="n">
        <v>0.15022</v>
      </c>
      <c r="H1117" s="20" t="n">
        <v>0.1457134</v>
      </c>
      <c r="I1117" s="20" t="n">
        <v>0.157731</v>
      </c>
      <c r="J1117" s="20" t="n"/>
      <c r="K1117" s="2" t="n"/>
      <c r="L1117" s="5" t="n"/>
      <c r="M1117" s="19">
        <f>資金模擬!$B$5*V1116</f>
        <v/>
      </c>
      <c r="N1117" s="2">
        <f>IF(Z1116=1,"已停止",IF(T1116&gt;=M1117,"已下單","資金不足略過"))</f>
        <v/>
      </c>
      <c r="O1117" s="19">
        <f>IF(N1117="已下單",M1117*資金模擬!$B$7,0)</f>
        <v/>
      </c>
      <c r="P1117" s="4" t="n"/>
      <c r="Q1117" s="13" t="n">
        <v>0</v>
      </c>
      <c r="R1117" s="13">
        <f>R1116+Q1117</f>
        <v/>
      </c>
      <c r="S1117" s="19">
        <f>S1116+IF(N1117="已下單",M1117,0)</f>
        <v/>
      </c>
      <c r="T1117" s="19">
        <f>R1117-S1117</f>
        <v/>
      </c>
      <c r="U1117" s="2">
        <f>U1116+IF(N1117="已下單",1,0)</f>
        <v/>
      </c>
      <c r="V1117" s="19">
        <f>IF(資金模擬!$B$9=2,MAX(R1117,0),MAX(V1116,FLOOR(MAX(R1117,0),資金模擬!$B$6)))</f>
        <v/>
      </c>
      <c r="W1117" s="13">
        <f>MAX(W1116,R1117)</f>
        <v/>
      </c>
      <c r="X1117" s="4">
        <f>IF(W1117&gt;0,R1117/W1117-1,-1)</f>
        <v/>
      </c>
      <c r="Y1117" s="19">
        <f>IF(R1117&gt;0,S1117*資金模擬!$B$7/R1117,0)</f>
        <v/>
      </c>
      <c r="Z1117" s="2">
        <f>IF(OR(Z1116=1,R1117&lt;=資金模擬!$B$10),1,0)</f>
        <v/>
      </c>
    </row>
    <row r="1118">
      <c r="A1118" s="2" t="n">
        <v>1116</v>
      </c>
      <c r="B1118" s="7" t="n">
        <v>46294.54166666666</v>
      </c>
      <c r="C1118" s="2" t="inlineStr">
        <is>
          <t>進場</t>
        </is>
      </c>
      <c r="D1118" s="2" t="n">
        <v>563</v>
      </c>
      <c r="E1118" s="2" t="inlineStr">
        <is>
          <t>QNT_USDT_PERP</t>
        </is>
      </c>
      <c r="F1118" s="2" t="inlineStr">
        <is>
          <t>做多</t>
        </is>
      </c>
      <c r="G1118" s="20" t="n">
        <v>242.55</v>
      </c>
      <c r="H1118" s="20" t="n">
        <v>249.8265</v>
      </c>
      <c r="I1118" s="20" t="n">
        <v>230.4225</v>
      </c>
      <c r="J1118" s="20" t="n"/>
      <c r="K1118" s="2" t="n"/>
      <c r="L1118" s="5" t="n"/>
      <c r="M1118" s="19">
        <f>資金模擬!$B$5*V1117</f>
        <v/>
      </c>
      <c r="N1118" s="2">
        <f>IF(Z1117=1,"已停止",IF(T1117&gt;=M1118,"已下單","資金不足略過"))</f>
        <v/>
      </c>
      <c r="O1118" s="19">
        <f>IF(N1118="已下單",M1118*資金模擬!$B$7,0)</f>
        <v/>
      </c>
      <c r="P1118" s="4" t="n"/>
      <c r="Q1118" s="13" t="n">
        <v>0</v>
      </c>
      <c r="R1118" s="13">
        <f>R1117+Q1118</f>
        <v/>
      </c>
      <c r="S1118" s="19">
        <f>S1117+IF(N1118="已下單",M1118,0)</f>
        <v/>
      </c>
      <c r="T1118" s="19">
        <f>R1118-S1118</f>
        <v/>
      </c>
      <c r="U1118" s="2">
        <f>U1117+IF(N1118="已下單",1,0)</f>
        <v/>
      </c>
      <c r="V1118" s="19">
        <f>IF(資金模擬!$B$9=2,MAX(R1118,0),MAX(V1117,FLOOR(MAX(R1118,0),資金模擬!$B$6)))</f>
        <v/>
      </c>
      <c r="W1118" s="13">
        <f>MAX(W1117,R1118)</f>
        <v/>
      </c>
      <c r="X1118" s="4">
        <f>IF(W1118&gt;0,R1118/W1118-1,-1)</f>
        <v/>
      </c>
      <c r="Y1118" s="19">
        <f>IF(R1118&gt;0,S1118*資金模擬!$B$7/R1118,0)</f>
        <v/>
      </c>
      <c r="Z1118" s="2">
        <f>IF(OR(Z1117=1,R1118&lt;=資金模擬!$B$10),1,0)</f>
        <v/>
      </c>
    </row>
    <row r="1119">
      <c r="A1119" s="2" t="n">
        <v>1117</v>
      </c>
      <c r="B1119" s="7" t="n">
        <v>46294.58333333334</v>
      </c>
      <c r="C1119" s="2" t="inlineStr">
        <is>
          <t>出場</t>
        </is>
      </c>
      <c r="D1119" s="2" t="n">
        <v>560</v>
      </c>
      <c r="E1119" s="2" t="inlineStr">
        <is>
          <t>Q_USDT_PERP</t>
        </is>
      </c>
      <c r="F1119" s="2" t="inlineStr">
        <is>
          <t>做空</t>
        </is>
      </c>
      <c r="G1119" s="20" t="n">
        <v>0.022984</v>
      </c>
      <c r="H1119" s="20" t="n">
        <v>0.02229448</v>
      </c>
      <c r="I1119" s="20" t="n">
        <v>0.0241332</v>
      </c>
      <c r="J1119" s="20" t="n">
        <v>0.02229448</v>
      </c>
      <c r="K1119" s="2" t="inlineStr">
        <is>
          <t>止盈</t>
        </is>
      </c>
      <c r="L1119" s="5">
        <f>交易明細!K561</f>
        <v/>
      </c>
      <c r="M1119" s="19">
        <f>M1115</f>
        <v/>
      </c>
      <c r="N1119" s="2">
        <f>N1115</f>
        <v/>
      </c>
      <c r="O1119" s="19">
        <f>O1115</f>
        <v/>
      </c>
      <c r="P1119" s="4">
        <f>交易明細!L561</f>
        <v/>
      </c>
      <c r="Q1119" s="13">
        <f>IF(N1119="已下單",O1119*P1119,0)</f>
        <v/>
      </c>
      <c r="R1119" s="13">
        <f>R1118+Q1119</f>
        <v/>
      </c>
      <c r="S1119" s="19">
        <f>S1118-IF(N1119="已下單",M1119,0)</f>
        <v/>
      </c>
      <c r="T1119" s="19">
        <f>R1119-S1119</f>
        <v/>
      </c>
      <c r="U1119" s="2">
        <f>U1118-IF(N1119="已下單",1,0)</f>
        <v/>
      </c>
      <c r="V1119" s="19">
        <f>IF(資金模擬!$B$9=2,MAX(R1119,0),MAX(V1118,FLOOR(MAX(R1119,0),資金模擬!$B$6)))</f>
        <v/>
      </c>
      <c r="W1119" s="13">
        <f>MAX(W1118,R1119)</f>
        <v/>
      </c>
      <c r="X1119" s="4">
        <f>IF(W1119&gt;0,R1119/W1119-1,-1)</f>
        <v/>
      </c>
      <c r="Y1119" s="19">
        <f>IF(R1119&gt;0,S1119*資金模擬!$B$7/R1119,0)</f>
        <v/>
      </c>
      <c r="Z1119" s="2">
        <f>IF(OR(Z1118=1,R1119&lt;=資金模擬!$B$10),1,0)</f>
        <v/>
      </c>
    </row>
    <row r="1120">
      <c r="A1120" s="2" t="n">
        <v>1118</v>
      </c>
      <c r="B1120" s="7" t="n">
        <v>46294.58333333334</v>
      </c>
      <c r="C1120" s="2" t="inlineStr">
        <is>
          <t>出場</t>
        </is>
      </c>
      <c r="D1120" s="2" t="n">
        <v>562</v>
      </c>
      <c r="E1120" s="2" t="inlineStr">
        <is>
          <t>MARSCOIN_USDT_PERP</t>
        </is>
      </c>
      <c r="F1120" s="2" t="inlineStr">
        <is>
          <t>做空</t>
        </is>
      </c>
      <c r="G1120" s="20" t="n">
        <v>0.15022</v>
      </c>
      <c r="H1120" s="20" t="n">
        <v>0.1457134</v>
      </c>
      <c r="I1120" s="20" t="n">
        <v>0.157731</v>
      </c>
      <c r="J1120" s="20" t="n">
        <v>0.157731</v>
      </c>
      <c r="K1120" s="2" t="inlineStr">
        <is>
          <t>止損</t>
        </is>
      </c>
      <c r="L1120" s="5">
        <f>交易明細!K563</f>
        <v/>
      </c>
      <c r="M1120" s="19">
        <f>M1117</f>
        <v/>
      </c>
      <c r="N1120" s="2">
        <f>N1117</f>
        <v/>
      </c>
      <c r="O1120" s="19">
        <f>O1117</f>
        <v/>
      </c>
      <c r="P1120" s="4">
        <f>交易明細!L563</f>
        <v/>
      </c>
      <c r="Q1120" s="13">
        <f>IF(N1120="已下單",O1120*P1120,0)</f>
        <v/>
      </c>
      <c r="R1120" s="13">
        <f>R1119+Q1120</f>
        <v/>
      </c>
      <c r="S1120" s="19">
        <f>S1119-IF(N1120="已下單",M1120,0)</f>
        <v/>
      </c>
      <c r="T1120" s="19">
        <f>R1120-S1120</f>
        <v/>
      </c>
      <c r="U1120" s="2">
        <f>U1119-IF(N1120="已下單",1,0)</f>
        <v/>
      </c>
      <c r="V1120" s="19">
        <f>IF(資金模擬!$B$9=2,MAX(R1120,0),MAX(V1119,FLOOR(MAX(R1120,0),資金模擬!$B$6)))</f>
        <v/>
      </c>
      <c r="W1120" s="13">
        <f>MAX(W1119,R1120)</f>
        <v/>
      </c>
      <c r="X1120" s="4">
        <f>IF(W1120&gt;0,R1120/W1120-1,-1)</f>
        <v/>
      </c>
      <c r="Y1120" s="19">
        <f>IF(R1120&gt;0,S1120*資金模擬!$B$7/R1120,0)</f>
        <v/>
      </c>
      <c r="Z1120" s="2">
        <f>IF(OR(Z1119=1,R1120&lt;=資金模擬!$B$10),1,0)</f>
        <v/>
      </c>
    </row>
    <row r="1121">
      <c r="A1121" s="2" t="n">
        <v>1119</v>
      </c>
      <c r="B1121" s="7" t="n">
        <v>46294.58333333334</v>
      </c>
      <c r="C1121" s="2" t="inlineStr">
        <is>
          <t>出場</t>
        </is>
      </c>
      <c r="D1121" s="2" t="n">
        <v>563</v>
      </c>
      <c r="E1121" s="2" t="inlineStr">
        <is>
          <t>QNT_USDT_PERP</t>
        </is>
      </c>
      <c r="F1121" s="2" t="inlineStr">
        <is>
          <t>做多</t>
        </is>
      </c>
      <c r="G1121" s="20" t="n">
        <v>242.55</v>
      </c>
      <c r="H1121" s="20" t="n">
        <v>249.8265</v>
      </c>
      <c r="I1121" s="20" t="n">
        <v>230.4225</v>
      </c>
      <c r="J1121" s="20" t="n">
        <v>249.8265</v>
      </c>
      <c r="K1121" s="2" t="inlineStr">
        <is>
          <t>止盈</t>
        </is>
      </c>
      <c r="L1121" s="5">
        <f>交易明細!K564</f>
        <v/>
      </c>
      <c r="M1121" s="19">
        <f>M1118</f>
        <v/>
      </c>
      <c r="N1121" s="2">
        <f>N1118</f>
        <v/>
      </c>
      <c r="O1121" s="19">
        <f>O1118</f>
        <v/>
      </c>
      <c r="P1121" s="4">
        <f>交易明細!L564</f>
        <v/>
      </c>
      <c r="Q1121" s="13">
        <f>IF(N1121="已下單",O1121*P1121,0)</f>
        <v/>
      </c>
      <c r="R1121" s="13">
        <f>R1120+Q1121</f>
        <v/>
      </c>
      <c r="S1121" s="19">
        <f>S1120-IF(N1121="已下單",M1121,0)</f>
        <v/>
      </c>
      <c r="T1121" s="19">
        <f>R1121-S1121</f>
        <v/>
      </c>
      <c r="U1121" s="2">
        <f>U1120-IF(N1121="已下單",1,0)</f>
        <v/>
      </c>
      <c r="V1121" s="19">
        <f>IF(資金模擬!$B$9=2,MAX(R1121,0),MAX(V1120,FLOOR(MAX(R1121,0),資金模擬!$B$6)))</f>
        <v/>
      </c>
      <c r="W1121" s="13">
        <f>MAX(W1120,R1121)</f>
        <v/>
      </c>
      <c r="X1121" s="4">
        <f>IF(W1121&gt;0,R1121/W1121-1,-1)</f>
        <v/>
      </c>
      <c r="Y1121" s="19">
        <f>IF(R1121&gt;0,S1121*資金模擬!$B$7/R1121,0)</f>
        <v/>
      </c>
      <c r="Z1121" s="2">
        <f>IF(OR(Z1120=1,R1121&lt;=資金模擬!$B$10),1,0)</f>
        <v/>
      </c>
    </row>
    <row r="1122">
      <c r="A1122" s="2" t="n">
        <v>1120</v>
      </c>
      <c r="B1122" s="7" t="n">
        <v>46294.625</v>
      </c>
      <c r="C1122" s="2" t="inlineStr">
        <is>
          <t>出場</t>
        </is>
      </c>
      <c r="D1122" s="2" t="n">
        <v>555</v>
      </c>
      <c r="E1122" s="2" t="inlineStr">
        <is>
          <t>AERO_USDT_PERP</t>
        </is>
      </c>
      <c r="F1122" s="2" t="inlineStr">
        <is>
          <t>做多</t>
        </is>
      </c>
      <c r="G1122" s="20" t="n">
        <v>0.8214</v>
      </c>
      <c r="H1122" s="20" t="n">
        <v>0.8460420000000001</v>
      </c>
      <c r="I1122" s="20" t="n">
        <v>0.78033</v>
      </c>
      <c r="J1122" s="20" t="n">
        <v>0.8460420000000001</v>
      </c>
      <c r="K1122" s="2" t="inlineStr">
        <is>
          <t>止盈</t>
        </is>
      </c>
      <c r="L1122" s="5">
        <f>交易明細!K556</f>
        <v/>
      </c>
      <c r="M1122" s="19">
        <f>M1103</f>
        <v/>
      </c>
      <c r="N1122" s="2">
        <f>N1103</f>
        <v/>
      </c>
      <c r="O1122" s="19">
        <f>O1103</f>
        <v/>
      </c>
      <c r="P1122" s="4">
        <f>交易明細!L556</f>
        <v/>
      </c>
      <c r="Q1122" s="13">
        <f>IF(N1122="已下單",O1122*P1122,0)</f>
        <v/>
      </c>
      <c r="R1122" s="13">
        <f>R1121+Q1122</f>
        <v/>
      </c>
      <c r="S1122" s="19">
        <f>S1121-IF(N1122="已下單",M1122,0)</f>
        <v/>
      </c>
      <c r="T1122" s="19">
        <f>R1122-S1122</f>
        <v/>
      </c>
      <c r="U1122" s="2">
        <f>U1121-IF(N1122="已下單",1,0)</f>
        <v/>
      </c>
      <c r="V1122" s="19">
        <f>IF(資金模擬!$B$9=2,MAX(R1122,0),MAX(V1121,FLOOR(MAX(R1122,0),資金模擬!$B$6)))</f>
        <v/>
      </c>
      <c r="W1122" s="13">
        <f>MAX(W1121,R1122)</f>
        <v/>
      </c>
      <c r="X1122" s="4">
        <f>IF(W1122&gt;0,R1122/W1122-1,-1)</f>
        <v/>
      </c>
      <c r="Y1122" s="19">
        <f>IF(R1122&gt;0,S1122*資金模擬!$B$7/R1122,0)</f>
        <v/>
      </c>
      <c r="Z1122" s="2">
        <f>IF(OR(Z1121=1,R1122&lt;=資金模擬!$B$10),1,0)</f>
        <v/>
      </c>
    </row>
    <row r="1123">
      <c r="A1123" s="2" t="n">
        <v>1121</v>
      </c>
      <c r="B1123" s="7" t="n">
        <v>46294.625</v>
      </c>
      <c r="C1123" s="2" t="inlineStr">
        <is>
          <t>出場</t>
        </is>
      </c>
      <c r="D1123" s="2" t="n">
        <v>561</v>
      </c>
      <c r="E1123" s="2" t="inlineStr">
        <is>
          <t>ALGO_USDT_PERP</t>
        </is>
      </c>
      <c r="F1123" s="2" t="inlineStr">
        <is>
          <t>做多</t>
        </is>
      </c>
      <c r="G1123" s="20" t="n">
        <v>0.1395</v>
      </c>
      <c r="H1123" s="20" t="n">
        <v>0.143685</v>
      </c>
      <c r="I1123" s="20" t="n">
        <v>0.132525</v>
      </c>
      <c r="J1123" s="20" t="n">
        <v>0.132525</v>
      </c>
      <c r="K1123" s="2" t="inlineStr">
        <is>
          <t>止損</t>
        </is>
      </c>
      <c r="L1123" s="5">
        <f>交易明細!K562</f>
        <v/>
      </c>
      <c r="M1123" s="19">
        <f>M1116</f>
        <v/>
      </c>
      <c r="N1123" s="2">
        <f>N1116</f>
        <v/>
      </c>
      <c r="O1123" s="19">
        <f>O1116</f>
        <v/>
      </c>
      <c r="P1123" s="4">
        <f>交易明細!L562</f>
        <v/>
      </c>
      <c r="Q1123" s="13">
        <f>IF(N1123="已下單",O1123*P1123,0)</f>
        <v/>
      </c>
      <c r="R1123" s="13">
        <f>R1122+Q1123</f>
        <v/>
      </c>
      <c r="S1123" s="19">
        <f>S1122-IF(N1123="已下單",M1123,0)</f>
        <v/>
      </c>
      <c r="T1123" s="19">
        <f>R1123-S1123</f>
        <v/>
      </c>
      <c r="U1123" s="2">
        <f>U1122-IF(N1123="已下單",1,0)</f>
        <v/>
      </c>
      <c r="V1123" s="19">
        <f>IF(資金模擬!$B$9=2,MAX(R1123,0),MAX(V1122,FLOOR(MAX(R1123,0),資金模擬!$B$6)))</f>
        <v/>
      </c>
      <c r="W1123" s="13">
        <f>MAX(W1122,R1123)</f>
        <v/>
      </c>
      <c r="X1123" s="4">
        <f>IF(W1123&gt;0,R1123/W1123-1,-1)</f>
        <v/>
      </c>
      <c r="Y1123" s="19">
        <f>IF(R1123&gt;0,S1123*資金模擬!$B$7/R1123,0)</f>
        <v/>
      </c>
      <c r="Z1123" s="2">
        <f>IF(OR(Z1122=1,R1123&lt;=資金模擬!$B$10),1,0)</f>
        <v/>
      </c>
    </row>
    <row r="1124">
      <c r="A1124" s="2" t="n">
        <v>1122</v>
      </c>
      <c r="B1124" s="7" t="n">
        <v>46294.625</v>
      </c>
      <c r="C1124" s="2" t="inlineStr">
        <is>
          <t>進場</t>
        </is>
      </c>
      <c r="D1124" s="2" t="n">
        <v>564</v>
      </c>
      <c r="E1124" s="2" t="inlineStr">
        <is>
          <t>AKE_USDT_PERP</t>
        </is>
      </c>
      <c r="F1124" s="2" t="inlineStr">
        <is>
          <t>做多</t>
        </is>
      </c>
      <c r="G1124" s="20" t="n">
        <v>0.032307</v>
      </c>
      <c r="H1124" s="20" t="n">
        <v>0.03327621</v>
      </c>
      <c r="I1124" s="20" t="n">
        <v>0.03069165</v>
      </c>
      <c r="J1124" s="20" t="n"/>
      <c r="K1124" s="2" t="n"/>
      <c r="L1124" s="5" t="n"/>
      <c r="M1124" s="19">
        <f>資金模擬!$B$5*V1123</f>
        <v/>
      </c>
      <c r="N1124" s="2">
        <f>IF(Z1123=1,"已停止",IF(T1123&gt;=M1124,"已下單","資金不足略過"))</f>
        <v/>
      </c>
      <c r="O1124" s="19">
        <f>IF(N1124="已下單",M1124*資金模擬!$B$7,0)</f>
        <v/>
      </c>
      <c r="P1124" s="4" t="n"/>
      <c r="Q1124" s="13" t="n">
        <v>0</v>
      </c>
      <c r="R1124" s="13">
        <f>R1123+Q1124</f>
        <v/>
      </c>
      <c r="S1124" s="19">
        <f>S1123+IF(N1124="已下單",M1124,0)</f>
        <v/>
      </c>
      <c r="T1124" s="19">
        <f>R1124-S1124</f>
        <v/>
      </c>
      <c r="U1124" s="2">
        <f>U1123+IF(N1124="已下單",1,0)</f>
        <v/>
      </c>
      <c r="V1124" s="19">
        <f>IF(資金模擬!$B$9=2,MAX(R1124,0),MAX(V1123,FLOOR(MAX(R1124,0),資金模擬!$B$6)))</f>
        <v/>
      </c>
      <c r="W1124" s="13">
        <f>MAX(W1123,R1124)</f>
        <v/>
      </c>
      <c r="X1124" s="4">
        <f>IF(W1124&gt;0,R1124/W1124-1,-1)</f>
        <v/>
      </c>
      <c r="Y1124" s="19">
        <f>IF(R1124&gt;0,S1124*資金模擬!$B$7/R1124,0)</f>
        <v/>
      </c>
      <c r="Z1124" s="2">
        <f>IF(OR(Z1123=1,R1124&lt;=資金模擬!$B$10),1,0)</f>
        <v/>
      </c>
    </row>
    <row r="1125">
      <c r="A1125" s="2" t="n">
        <v>1123</v>
      </c>
      <c r="B1125" s="7" t="n">
        <v>46294.625</v>
      </c>
      <c r="C1125" s="2" t="inlineStr">
        <is>
          <t>進場</t>
        </is>
      </c>
      <c r="D1125" s="2" t="n">
        <v>565</v>
      </c>
      <c r="E1125" s="2" t="inlineStr">
        <is>
          <t>FET_USDT_PERP</t>
        </is>
      </c>
      <c r="F1125" s="2" t="inlineStr">
        <is>
          <t>做多</t>
        </is>
      </c>
      <c r="G1125" s="20" t="n">
        <v>0.2265</v>
      </c>
      <c r="H1125" s="20" t="n">
        <v>0.233295</v>
      </c>
      <c r="I1125" s="20" t="n">
        <v>0.215175</v>
      </c>
      <c r="J1125" s="20" t="n"/>
      <c r="K1125" s="2" t="n"/>
      <c r="L1125" s="5" t="n"/>
      <c r="M1125" s="19">
        <f>資金模擬!$B$5*V1124</f>
        <v/>
      </c>
      <c r="N1125" s="2">
        <f>IF(Z1124=1,"已停止",IF(T1124&gt;=M1125,"已下單","資金不足略過"))</f>
        <v/>
      </c>
      <c r="O1125" s="19">
        <f>IF(N1125="已下單",M1125*資金模擬!$B$7,0)</f>
        <v/>
      </c>
      <c r="P1125" s="4" t="n"/>
      <c r="Q1125" s="13" t="n">
        <v>0</v>
      </c>
      <c r="R1125" s="13">
        <f>R1124+Q1125</f>
        <v/>
      </c>
      <c r="S1125" s="19">
        <f>S1124+IF(N1125="已下單",M1125,0)</f>
        <v/>
      </c>
      <c r="T1125" s="19">
        <f>R1125-S1125</f>
        <v/>
      </c>
      <c r="U1125" s="2">
        <f>U1124+IF(N1125="已下單",1,0)</f>
        <v/>
      </c>
      <c r="V1125" s="19">
        <f>IF(資金模擬!$B$9=2,MAX(R1125,0),MAX(V1124,FLOOR(MAX(R1125,0),資金模擬!$B$6)))</f>
        <v/>
      </c>
      <c r="W1125" s="13">
        <f>MAX(W1124,R1125)</f>
        <v/>
      </c>
      <c r="X1125" s="4">
        <f>IF(W1125&gt;0,R1125/W1125-1,-1)</f>
        <v/>
      </c>
      <c r="Y1125" s="19">
        <f>IF(R1125&gt;0,S1125*資金模擬!$B$7/R1125,0)</f>
        <v/>
      </c>
      <c r="Z1125" s="2">
        <f>IF(OR(Z1124=1,R1125&lt;=資金模擬!$B$10),1,0)</f>
        <v/>
      </c>
    </row>
    <row r="1126">
      <c r="A1126" s="2" t="n">
        <v>1124</v>
      </c>
      <c r="B1126" s="7" t="n">
        <v>46294.625</v>
      </c>
      <c r="C1126" s="2" t="inlineStr">
        <is>
          <t>進場</t>
        </is>
      </c>
      <c r="D1126" s="2" t="n">
        <v>566</v>
      </c>
      <c r="E1126" s="2" t="inlineStr">
        <is>
          <t>QNT_USDT_PERP</t>
        </is>
      </c>
      <c r="F1126" s="2" t="inlineStr">
        <is>
          <t>做多</t>
        </is>
      </c>
      <c r="G1126" s="20" t="n">
        <v>249.86</v>
      </c>
      <c r="H1126" s="20" t="n">
        <v>257.3558</v>
      </c>
      <c r="I1126" s="20" t="n">
        <v>237.367</v>
      </c>
      <c r="J1126" s="20" t="n"/>
      <c r="K1126" s="2" t="n"/>
      <c r="L1126" s="5" t="n"/>
      <c r="M1126" s="19">
        <f>資金模擬!$B$5*V1125</f>
        <v/>
      </c>
      <c r="N1126" s="2">
        <f>IF(Z1125=1,"已停止",IF(T1125&gt;=M1126,"已下單","資金不足略過"))</f>
        <v/>
      </c>
      <c r="O1126" s="19">
        <f>IF(N1126="已下單",M1126*資金模擬!$B$7,0)</f>
        <v/>
      </c>
      <c r="P1126" s="4" t="n"/>
      <c r="Q1126" s="13" t="n">
        <v>0</v>
      </c>
      <c r="R1126" s="13">
        <f>R1125+Q1126</f>
        <v/>
      </c>
      <c r="S1126" s="19">
        <f>S1125+IF(N1126="已下單",M1126,0)</f>
        <v/>
      </c>
      <c r="T1126" s="19">
        <f>R1126-S1126</f>
        <v/>
      </c>
      <c r="U1126" s="2">
        <f>U1125+IF(N1126="已下單",1,0)</f>
        <v/>
      </c>
      <c r="V1126" s="19">
        <f>IF(資金模擬!$B$9=2,MAX(R1126,0),MAX(V1125,FLOOR(MAX(R1126,0),資金模擬!$B$6)))</f>
        <v/>
      </c>
      <c r="W1126" s="13">
        <f>MAX(W1125,R1126)</f>
        <v/>
      </c>
      <c r="X1126" s="4">
        <f>IF(W1126&gt;0,R1126/W1126-1,-1)</f>
        <v/>
      </c>
      <c r="Y1126" s="19">
        <f>IF(R1126&gt;0,S1126*資金模擬!$B$7/R1126,0)</f>
        <v/>
      </c>
      <c r="Z1126" s="2">
        <f>IF(OR(Z1125=1,R1126&lt;=資金模擬!$B$10),1,0)</f>
        <v/>
      </c>
    </row>
    <row r="1127">
      <c r="A1127" s="2" t="n">
        <v>1125</v>
      </c>
      <c r="B1127" s="7" t="n">
        <v>46294.625</v>
      </c>
      <c r="C1127" s="2" t="inlineStr">
        <is>
          <t>進場</t>
        </is>
      </c>
      <c r="D1127" s="2" t="n">
        <v>567</v>
      </c>
      <c r="E1127" s="2" t="inlineStr">
        <is>
          <t>WLD_USDT_PERP</t>
        </is>
      </c>
      <c r="F1127" s="2" t="inlineStr">
        <is>
          <t>做多</t>
        </is>
      </c>
      <c r="G1127" s="20" t="n">
        <v>0.4923</v>
      </c>
      <c r="H1127" s="20" t="n">
        <v>0.507069</v>
      </c>
      <c r="I1127" s="20" t="n">
        <v>0.467685</v>
      </c>
      <c r="J1127" s="20" t="n"/>
      <c r="K1127" s="2" t="n"/>
      <c r="L1127" s="5" t="n"/>
      <c r="M1127" s="19">
        <f>資金模擬!$B$5*V1126</f>
        <v/>
      </c>
      <c r="N1127" s="2">
        <f>IF(Z1126=1,"已停止",IF(T1126&gt;=M1127,"已下單","資金不足略過"))</f>
        <v/>
      </c>
      <c r="O1127" s="19">
        <f>IF(N1127="已下單",M1127*資金模擬!$B$7,0)</f>
        <v/>
      </c>
      <c r="P1127" s="4" t="n"/>
      <c r="Q1127" s="13" t="n">
        <v>0</v>
      </c>
      <c r="R1127" s="13">
        <f>R1126+Q1127</f>
        <v/>
      </c>
      <c r="S1127" s="19">
        <f>S1126+IF(N1127="已下單",M1127,0)</f>
        <v/>
      </c>
      <c r="T1127" s="19">
        <f>R1127-S1127</f>
        <v/>
      </c>
      <c r="U1127" s="2">
        <f>U1126+IF(N1127="已下單",1,0)</f>
        <v/>
      </c>
      <c r="V1127" s="19">
        <f>IF(資金模擬!$B$9=2,MAX(R1127,0),MAX(V1126,FLOOR(MAX(R1127,0),資金模擬!$B$6)))</f>
        <v/>
      </c>
      <c r="W1127" s="13">
        <f>MAX(W1126,R1127)</f>
        <v/>
      </c>
      <c r="X1127" s="4">
        <f>IF(W1127&gt;0,R1127/W1127-1,-1)</f>
        <v/>
      </c>
      <c r="Y1127" s="19">
        <f>IF(R1127&gt;0,S1127*資金模擬!$B$7/R1127,0)</f>
        <v/>
      </c>
      <c r="Z1127" s="2">
        <f>IF(OR(Z1126=1,R1127&lt;=資金模擬!$B$10),1,0)</f>
        <v/>
      </c>
    </row>
    <row r="1128">
      <c r="A1128" s="2" t="n">
        <v>1126</v>
      </c>
      <c r="B1128" s="7" t="n">
        <v>46294.625</v>
      </c>
      <c r="C1128" s="2" t="inlineStr">
        <is>
          <t>進場</t>
        </is>
      </c>
      <c r="D1128" s="2" t="n">
        <v>568</v>
      </c>
      <c r="E1128" s="2" t="inlineStr">
        <is>
          <t>ZRO_USDT_PERP</t>
        </is>
      </c>
      <c r="F1128" s="2" t="inlineStr">
        <is>
          <t>做多</t>
        </is>
      </c>
      <c r="G1128" s="20" t="n">
        <v>1.5723</v>
      </c>
      <c r="H1128" s="20" t="n">
        <v>1.619469</v>
      </c>
      <c r="I1128" s="20" t="n">
        <v>1.493685</v>
      </c>
      <c r="J1128" s="20" t="n"/>
      <c r="K1128" s="2" t="n"/>
      <c r="L1128" s="5" t="n"/>
      <c r="M1128" s="19">
        <f>資金模擬!$B$5*V1127</f>
        <v/>
      </c>
      <c r="N1128" s="2">
        <f>IF(Z1127=1,"已停止",IF(T1127&gt;=M1128,"已下單","資金不足略過"))</f>
        <v/>
      </c>
      <c r="O1128" s="19">
        <f>IF(N1128="已下單",M1128*資金模擬!$B$7,0)</f>
        <v/>
      </c>
      <c r="P1128" s="4" t="n"/>
      <c r="Q1128" s="13" t="n">
        <v>0</v>
      </c>
      <c r="R1128" s="13">
        <f>R1127+Q1128</f>
        <v/>
      </c>
      <c r="S1128" s="19">
        <f>S1127+IF(N1128="已下單",M1128,0)</f>
        <v/>
      </c>
      <c r="T1128" s="19">
        <f>R1128-S1128</f>
        <v/>
      </c>
      <c r="U1128" s="2">
        <f>U1127+IF(N1128="已下單",1,0)</f>
        <v/>
      </c>
      <c r="V1128" s="19">
        <f>IF(資金模擬!$B$9=2,MAX(R1128,0),MAX(V1127,FLOOR(MAX(R1128,0),資金模擬!$B$6)))</f>
        <v/>
      </c>
      <c r="W1128" s="13">
        <f>MAX(W1127,R1128)</f>
        <v/>
      </c>
      <c r="X1128" s="4">
        <f>IF(W1128&gt;0,R1128/W1128-1,-1)</f>
        <v/>
      </c>
      <c r="Y1128" s="19">
        <f>IF(R1128&gt;0,S1128*資金模擬!$B$7/R1128,0)</f>
        <v/>
      </c>
      <c r="Z1128" s="2">
        <f>IF(OR(Z1127=1,R1128&lt;=資金模擬!$B$10),1,0)</f>
        <v/>
      </c>
    </row>
    <row r="1129">
      <c r="A1129" s="2" t="n">
        <v>1127</v>
      </c>
      <c r="B1129" s="7" t="n">
        <v>46294.66666666666</v>
      </c>
      <c r="C1129" s="2" t="inlineStr">
        <is>
          <t>出場</t>
        </is>
      </c>
      <c r="D1129" s="2" t="n">
        <v>564</v>
      </c>
      <c r="E1129" s="2" t="inlineStr">
        <is>
          <t>AKE_USDT_PERP</t>
        </is>
      </c>
      <c r="F1129" s="2" t="inlineStr">
        <is>
          <t>做多</t>
        </is>
      </c>
      <c r="G1129" s="20" t="n">
        <v>0.032307</v>
      </c>
      <c r="H1129" s="20" t="n">
        <v>0.03327621</v>
      </c>
      <c r="I1129" s="20" t="n">
        <v>0.03069165</v>
      </c>
      <c r="J1129" s="20" t="n">
        <v>0.03327621</v>
      </c>
      <c r="K1129" s="2" t="inlineStr">
        <is>
          <t>止盈</t>
        </is>
      </c>
      <c r="L1129" s="5">
        <f>交易明細!K565</f>
        <v/>
      </c>
      <c r="M1129" s="19">
        <f>M1124</f>
        <v/>
      </c>
      <c r="N1129" s="2">
        <f>N1124</f>
        <v/>
      </c>
      <c r="O1129" s="19">
        <f>O1124</f>
        <v/>
      </c>
      <c r="P1129" s="4">
        <f>交易明細!L565</f>
        <v/>
      </c>
      <c r="Q1129" s="13">
        <f>IF(N1129="已下單",O1129*P1129,0)</f>
        <v/>
      </c>
      <c r="R1129" s="13">
        <f>R1128+Q1129</f>
        <v/>
      </c>
      <c r="S1129" s="19">
        <f>S1128-IF(N1129="已下單",M1129,0)</f>
        <v/>
      </c>
      <c r="T1129" s="19">
        <f>R1129-S1129</f>
        <v/>
      </c>
      <c r="U1129" s="2">
        <f>U1128-IF(N1129="已下單",1,0)</f>
        <v/>
      </c>
      <c r="V1129" s="19">
        <f>IF(資金模擬!$B$9=2,MAX(R1129,0),MAX(V1128,FLOOR(MAX(R1129,0),資金模擬!$B$6)))</f>
        <v/>
      </c>
      <c r="W1129" s="13">
        <f>MAX(W1128,R1129)</f>
        <v/>
      </c>
      <c r="X1129" s="4">
        <f>IF(W1129&gt;0,R1129/W1129-1,-1)</f>
        <v/>
      </c>
      <c r="Y1129" s="19">
        <f>IF(R1129&gt;0,S1129*資金模擬!$B$7/R1129,0)</f>
        <v/>
      </c>
      <c r="Z1129" s="2">
        <f>IF(OR(Z1128=1,R1129&lt;=資金模擬!$B$10),1,0)</f>
        <v/>
      </c>
    </row>
    <row r="1130">
      <c r="A1130" s="2" t="n">
        <v>1128</v>
      </c>
      <c r="B1130" s="7" t="n">
        <v>46294.66666666666</v>
      </c>
      <c r="C1130" s="2" t="inlineStr">
        <is>
          <t>出場</t>
        </is>
      </c>
      <c r="D1130" s="2" t="n">
        <v>566</v>
      </c>
      <c r="E1130" s="2" t="inlineStr">
        <is>
          <t>QNT_USDT_PERP</t>
        </is>
      </c>
      <c r="F1130" s="2" t="inlineStr">
        <is>
          <t>做多</t>
        </is>
      </c>
      <c r="G1130" s="20" t="n">
        <v>249.86</v>
      </c>
      <c r="H1130" s="20" t="n">
        <v>257.3558</v>
      </c>
      <c r="I1130" s="20" t="n">
        <v>237.367</v>
      </c>
      <c r="J1130" s="20" t="n">
        <v>257.3558</v>
      </c>
      <c r="K1130" s="2" t="inlineStr">
        <is>
          <t>止盈</t>
        </is>
      </c>
      <c r="L1130" s="5">
        <f>交易明細!K567</f>
        <v/>
      </c>
      <c r="M1130" s="19">
        <f>M1126</f>
        <v/>
      </c>
      <c r="N1130" s="2">
        <f>N1126</f>
        <v/>
      </c>
      <c r="O1130" s="19">
        <f>O1126</f>
        <v/>
      </c>
      <c r="P1130" s="4">
        <f>交易明細!L567</f>
        <v/>
      </c>
      <c r="Q1130" s="13">
        <f>IF(N1130="已下單",O1130*P1130,0)</f>
        <v/>
      </c>
      <c r="R1130" s="13">
        <f>R1129+Q1130</f>
        <v/>
      </c>
      <c r="S1130" s="19">
        <f>S1129-IF(N1130="已下單",M1130,0)</f>
        <v/>
      </c>
      <c r="T1130" s="19">
        <f>R1130-S1130</f>
        <v/>
      </c>
      <c r="U1130" s="2">
        <f>U1129-IF(N1130="已下單",1,0)</f>
        <v/>
      </c>
      <c r="V1130" s="19">
        <f>IF(資金模擬!$B$9=2,MAX(R1130,0),MAX(V1129,FLOOR(MAX(R1130,0),資金模擬!$B$6)))</f>
        <v/>
      </c>
      <c r="W1130" s="13">
        <f>MAX(W1129,R1130)</f>
        <v/>
      </c>
      <c r="X1130" s="4">
        <f>IF(W1130&gt;0,R1130/W1130-1,-1)</f>
        <v/>
      </c>
      <c r="Y1130" s="19">
        <f>IF(R1130&gt;0,S1130*資金模擬!$B$7/R1130,0)</f>
        <v/>
      </c>
      <c r="Z1130" s="2">
        <f>IF(OR(Z1129=1,R1130&lt;=資金模擬!$B$10),1,0)</f>
        <v/>
      </c>
    </row>
    <row r="1131">
      <c r="A1131" s="2" t="n">
        <v>1129</v>
      </c>
      <c r="B1131" s="7" t="n">
        <v>46294.66666666666</v>
      </c>
      <c r="C1131" s="2" t="inlineStr">
        <is>
          <t>進場</t>
        </is>
      </c>
      <c r="D1131" s="2" t="n">
        <v>569</v>
      </c>
      <c r="E1131" s="2" t="inlineStr">
        <is>
          <t>ALGO_USDT_PERP</t>
        </is>
      </c>
      <c r="F1131" s="2" t="inlineStr">
        <is>
          <t>做空</t>
        </is>
      </c>
      <c r="G1131" s="20" t="n">
        <v>0.1292</v>
      </c>
      <c r="H1131" s="20" t="n">
        <v>0.125324</v>
      </c>
      <c r="I1131" s="20" t="n">
        <v>0.13566</v>
      </c>
      <c r="J1131" s="20" t="n"/>
      <c r="K1131" s="2" t="n"/>
      <c r="L1131" s="5" t="n"/>
      <c r="M1131" s="19">
        <f>資金模擬!$B$5*V1130</f>
        <v/>
      </c>
      <c r="N1131" s="2">
        <f>IF(Z1130=1,"已停止",IF(T1130&gt;=M1131,"已下單","資金不足略過"))</f>
        <v/>
      </c>
      <c r="O1131" s="19">
        <f>IF(N1131="已下單",M1131*資金模擬!$B$7,0)</f>
        <v/>
      </c>
      <c r="P1131" s="4" t="n"/>
      <c r="Q1131" s="13" t="n">
        <v>0</v>
      </c>
      <c r="R1131" s="13">
        <f>R1130+Q1131</f>
        <v/>
      </c>
      <c r="S1131" s="19">
        <f>S1130+IF(N1131="已下單",M1131,0)</f>
        <v/>
      </c>
      <c r="T1131" s="19">
        <f>R1131-S1131</f>
        <v/>
      </c>
      <c r="U1131" s="2">
        <f>U1130+IF(N1131="已下單",1,0)</f>
        <v/>
      </c>
      <c r="V1131" s="19">
        <f>IF(資金模擬!$B$9=2,MAX(R1131,0),MAX(V1130,FLOOR(MAX(R1131,0),資金模擬!$B$6)))</f>
        <v/>
      </c>
      <c r="W1131" s="13">
        <f>MAX(W1130,R1131)</f>
        <v/>
      </c>
      <c r="X1131" s="4">
        <f>IF(W1131&gt;0,R1131/W1131-1,-1)</f>
        <v/>
      </c>
      <c r="Y1131" s="19">
        <f>IF(R1131&gt;0,S1131*資金模擬!$B$7/R1131,0)</f>
        <v/>
      </c>
      <c r="Z1131" s="2">
        <f>IF(OR(Z1130=1,R1131&lt;=資金模擬!$B$10),1,0)</f>
        <v/>
      </c>
    </row>
    <row r="1132">
      <c r="A1132" s="2" t="n">
        <v>1130</v>
      </c>
      <c r="B1132" s="7" t="n">
        <v>46294.75</v>
      </c>
      <c r="C1132" s="2" t="inlineStr">
        <is>
          <t>進場</t>
        </is>
      </c>
      <c r="D1132" s="2" t="n">
        <v>570</v>
      </c>
      <c r="E1132" s="2" t="inlineStr">
        <is>
          <t>MARSCOIN_USDT_PERP</t>
        </is>
      </c>
      <c r="F1132" s="2" t="inlineStr">
        <is>
          <t>做空</t>
        </is>
      </c>
      <c r="G1132" s="20" t="n">
        <v>0.15533</v>
      </c>
      <c r="H1132" s="20" t="n">
        <v>0.1506701</v>
      </c>
      <c r="I1132" s="20" t="n">
        <v>0.1630965</v>
      </c>
      <c r="J1132" s="20" t="n"/>
      <c r="K1132" s="2" t="n"/>
      <c r="L1132" s="5" t="n"/>
      <c r="M1132" s="19">
        <f>資金模擬!$B$5*V1131</f>
        <v/>
      </c>
      <c r="N1132" s="2">
        <f>IF(Z1131=1,"已停止",IF(T1131&gt;=M1132,"已下單","資金不足略過"))</f>
        <v/>
      </c>
      <c r="O1132" s="19">
        <f>IF(N1132="已下單",M1132*資金模擬!$B$7,0)</f>
        <v/>
      </c>
      <c r="P1132" s="4" t="n"/>
      <c r="Q1132" s="13" t="n">
        <v>0</v>
      </c>
      <c r="R1132" s="13">
        <f>R1131+Q1132</f>
        <v/>
      </c>
      <c r="S1132" s="19">
        <f>S1131+IF(N1132="已下單",M1132,0)</f>
        <v/>
      </c>
      <c r="T1132" s="19">
        <f>R1132-S1132</f>
        <v/>
      </c>
      <c r="U1132" s="2">
        <f>U1131+IF(N1132="已下單",1,0)</f>
        <v/>
      </c>
      <c r="V1132" s="19">
        <f>IF(資金模擬!$B$9=2,MAX(R1132,0),MAX(V1131,FLOOR(MAX(R1132,0),資金模擬!$B$6)))</f>
        <v/>
      </c>
      <c r="W1132" s="13">
        <f>MAX(W1131,R1132)</f>
        <v/>
      </c>
      <c r="X1132" s="4">
        <f>IF(W1132&gt;0,R1132/W1132-1,-1)</f>
        <v/>
      </c>
      <c r="Y1132" s="19">
        <f>IF(R1132&gt;0,S1132*資金模擬!$B$7/R1132,0)</f>
        <v/>
      </c>
      <c r="Z1132" s="2">
        <f>IF(OR(Z1131=1,R1132&lt;=資金模擬!$B$10),1,0)</f>
        <v/>
      </c>
    </row>
    <row r="1133">
      <c r="A1133" s="2" t="n">
        <v>1131</v>
      </c>
      <c r="B1133" s="7" t="n">
        <v>46294.79166666666</v>
      </c>
      <c r="C1133" s="2" t="inlineStr">
        <is>
          <t>出場</t>
        </is>
      </c>
      <c r="D1133" s="2" t="n">
        <v>559</v>
      </c>
      <c r="E1133" s="2" t="inlineStr">
        <is>
          <t>ONDO_USDT_PERP</t>
        </is>
      </c>
      <c r="F1133" s="2" t="inlineStr">
        <is>
          <t>做空</t>
        </is>
      </c>
      <c r="G1133" s="20" t="n">
        <v>0.5039</v>
      </c>
      <c r="H1133" s="20" t="n">
        <v>0.488783</v>
      </c>
      <c r="I1133" s="20" t="n">
        <v>0.5290950000000001</v>
      </c>
      <c r="J1133" s="20" t="n">
        <v>0.5290950000000001</v>
      </c>
      <c r="K1133" s="2" t="inlineStr">
        <is>
          <t>止損</t>
        </is>
      </c>
      <c r="L1133" s="5">
        <f>交易明細!K560</f>
        <v/>
      </c>
      <c r="M1133" s="19">
        <f>M1111</f>
        <v/>
      </c>
      <c r="N1133" s="2">
        <f>N1111</f>
        <v/>
      </c>
      <c r="O1133" s="19">
        <f>O1111</f>
        <v/>
      </c>
      <c r="P1133" s="4">
        <f>交易明細!L560</f>
        <v/>
      </c>
      <c r="Q1133" s="13">
        <f>IF(N1133="已下單",O1133*P1133,0)</f>
        <v/>
      </c>
      <c r="R1133" s="13">
        <f>R1132+Q1133</f>
        <v/>
      </c>
      <c r="S1133" s="19">
        <f>S1132-IF(N1133="已下單",M1133,0)</f>
        <v/>
      </c>
      <c r="T1133" s="19">
        <f>R1133-S1133</f>
        <v/>
      </c>
      <c r="U1133" s="2">
        <f>U1132-IF(N1133="已下單",1,0)</f>
        <v/>
      </c>
      <c r="V1133" s="19">
        <f>IF(資金模擬!$B$9=2,MAX(R1133,0),MAX(V1132,FLOOR(MAX(R1133,0),資金模擬!$B$6)))</f>
        <v/>
      </c>
      <c r="W1133" s="13">
        <f>MAX(W1132,R1133)</f>
        <v/>
      </c>
      <c r="X1133" s="4">
        <f>IF(W1133&gt;0,R1133/W1133-1,-1)</f>
        <v/>
      </c>
      <c r="Y1133" s="19">
        <f>IF(R1133&gt;0,S1133*資金模擬!$B$7/R1133,0)</f>
        <v/>
      </c>
      <c r="Z1133" s="2">
        <f>IF(OR(Z1132=1,R1133&lt;=資金模擬!$B$10),1,0)</f>
        <v/>
      </c>
    </row>
    <row r="1134">
      <c r="A1134" s="2" t="n">
        <v>1132</v>
      </c>
      <c r="B1134" s="7" t="n">
        <v>46294.79166666666</v>
      </c>
      <c r="C1134" s="2" t="inlineStr">
        <is>
          <t>出場</t>
        </is>
      </c>
      <c r="D1134" s="2" t="n">
        <v>570</v>
      </c>
      <c r="E1134" s="2" t="inlineStr">
        <is>
          <t>MARSCOIN_USDT_PERP</t>
        </is>
      </c>
      <c r="F1134" s="2" t="inlineStr">
        <is>
          <t>做空</t>
        </is>
      </c>
      <c r="G1134" s="20" t="n">
        <v>0.15533</v>
      </c>
      <c r="H1134" s="20" t="n">
        <v>0.1506701</v>
      </c>
      <c r="I1134" s="20" t="n">
        <v>0.1630965</v>
      </c>
      <c r="J1134" s="20" t="n">
        <v>0.1506701</v>
      </c>
      <c r="K1134" s="2" t="inlineStr">
        <is>
          <t>止盈</t>
        </is>
      </c>
      <c r="L1134" s="5">
        <f>交易明細!K571</f>
        <v/>
      </c>
      <c r="M1134" s="19">
        <f>M1132</f>
        <v/>
      </c>
      <c r="N1134" s="2">
        <f>N1132</f>
        <v/>
      </c>
      <c r="O1134" s="19">
        <f>O1132</f>
        <v/>
      </c>
      <c r="P1134" s="4">
        <f>交易明細!L571</f>
        <v/>
      </c>
      <c r="Q1134" s="13">
        <f>IF(N1134="已下單",O1134*P1134,0)</f>
        <v/>
      </c>
      <c r="R1134" s="13">
        <f>R1133+Q1134</f>
        <v/>
      </c>
      <c r="S1134" s="19">
        <f>S1133-IF(N1134="已下單",M1134,0)</f>
        <v/>
      </c>
      <c r="T1134" s="19">
        <f>R1134-S1134</f>
        <v/>
      </c>
      <c r="U1134" s="2">
        <f>U1133-IF(N1134="已下單",1,0)</f>
        <v/>
      </c>
      <c r="V1134" s="19">
        <f>IF(資金模擬!$B$9=2,MAX(R1134,0),MAX(V1133,FLOOR(MAX(R1134,0),資金模擬!$B$6)))</f>
        <v/>
      </c>
      <c r="W1134" s="13">
        <f>MAX(W1133,R1134)</f>
        <v/>
      </c>
      <c r="X1134" s="4">
        <f>IF(W1134&gt;0,R1134/W1134-1,-1)</f>
        <v/>
      </c>
      <c r="Y1134" s="19">
        <f>IF(R1134&gt;0,S1134*資金模擬!$B$7/R1134,0)</f>
        <v/>
      </c>
      <c r="Z1134" s="2">
        <f>IF(OR(Z1133=1,R1134&lt;=資金模擬!$B$10),1,0)</f>
        <v/>
      </c>
    </row>
    <row r="1135">
      <c r="A1135" s="2" t="n">
        <v>1133</v>
      </c>
      <c r="B1135" s="7" t="n">
        <v>46294.83333333334</v>
      </c>
      <c r="C1135" s="2" t="inlineStr">
        <is>
          <t>出場</t>
        </is>
      </c>
      <c r="D1135" s="2" t="n">
        <v>540</v>
      </c>
      <c r="E1135" s="2" t="inlineStr">
        <is>
          <t>DOT_USDT_PERP</t>
        </is>
      </c>
      <c r="F1135" s="2" t="inlineStr">
        <is>
          <t>做空</t>
        </is>
      </c>
      <c r="G1135" s="20" t="n">
        <v>1.162</v>
      </c>
      <c r="H1135" s="20" t="n">
        <v>1.12714</v>
      </c>
      <c r="I1135" s="20" t="n">
        <v>1.2201</v>
      </c>
      <c r="J1135" s="20" t="n">
        <v>1.2201</v>
      </c>
      <c r="K1135" s="2" t="inlineStr">
        <is>
          <t>止損</t>
        </is>
      </c>
      <c r="L1135" s="5">
        <f>交易明細!K541</f>
        <v/>
      </c>
      <c r="M1135" s="19">
        <f>M1080</f>
        <v/>
      </c>
      <c r="N1135" s="2">
        <f>N1080</f>
        <v/>
      </c>
      <c r="O1135" s="19">
        <f>O1080</f>
        <v/>
      </c>
      <c r="P1135" s="4">
        <f>交易明細!L541</f>
        <v/>
      </c>
      <c r="Q1135" s="13">
        <f>IF(N1135="已下單",O1135*P1135,0)</f>
        <v/>
      </c>
      <c r="R1135" s="13">
        <f>R1134+Q1135</f>
        <v/>
      </c>
      <c r="S1135" s="19">
        <f>S1134-IF(N1135="已下單",M1135,0)</f>
        <v/>
      </c>
      <c r="T1135" s="19">
        <f>R1135-S1135</f>
        <v/>
      </c>
      <c r="U1135" s="2">
        <f>U1134-IF(N1135="已下單",1,0)</f>
        <v/>
      </c>
      <c r="V1135" s="19">
        <f>IF(資金模擬!$B$9=2,MAX(R1135,0),MAX(V1134,FLOOR(MAX(R1135,0),資金模擬!$B$6)))</f>
        <v/>
      </c>
      <c r="W1135" s="13">
        <f>MAX(W1134,R1135)</f>
        <v/>
      </c>
      <c r="X1135" s="4">
        <f>IF(W1135&gt;0,R1135/W1135-1,-1)</f>
        <v/>
      </c>
      <c r="Y1135" s="19">
        <f>IF(R1135&gt;0,S1135*資金模擬!$B$7/R1135,0)</f>
        <v/>
      </c>
      <c r="Z1135" s="2">
        <f>IF(OR(Z1134=1,R1135&lt;=資金模擬!$B$10),1,0)</f>
        <v/>
      </c>
    </row>
    <row r="1136">
      <c r="A1136" s="2" t="n">
        <v>1134</v>
      </c>
      <c r="B1136" s="7" t="n">
        <v>46294.83333333334</v>
      </c>
      <c r="C1136" s="2" t="inlineStr">
        <is>
          <t>出場</t>
        </is>
      </c>
      <c r="D1136" s="2" t="n">
        <v>552</v>
      </c>
      <c r="E1136" s="2" t="inlineStr">
        <is>
          <t>PENGU_USDT_PERP</t>
        </is>
      </c>
      <c r="F1136" s="2" t="inlineStr">
        <is>
          <t>做空</t>
        </is>
      </c>
      <c r="G1136" s="20" t="n">
        <v>0.009261</v>
      </c>
      <c r="H1136" s="20" t="n">
        <v>0.00898317</v>
      </c>
      <c r="I1136" s="20" t="n">
        <v>0.00972405</v>
      </c>
      <c r="J1136" s="20" t="n">
        <v>0.00972405</v>
      </c>
      <c r="K1136" s="2" t="inlineStr">
        <is>
          <t>止損</t>
        </is>
      </c>
      <c r="L1136" s="5">
        <f>交易明細!K553</f>
        <v/>
      </c>
      <c r="M1136" s="19">
        <f>M1097</f>
        <v/>
      </c>
      <c r="N1136" s="2">
        <f>N1097</f>
        <v/>
      </c>
      <c r="O1136" s="19">
        <f>O1097</f>
        <v/>
      </c>
      <c r="P1136" s="4">
        <f>交易明細!L553</f>
        <v/>
      </c>
      <c r="Q1136" s="13">
        <f>IF(N1136="已下單",O1136*P1136,0)</f>
        <v/>
      </c>
      <c r="R1136" s="13">
        <f>R1135+Q1136</f>
        <v/>
      </c>
      <c r="S1136" s="19">
        <f>S1135-IF(N1136="已下單",M1136,0)</f>
        <v/>
      </c>
      <c r="T1136" s="19">
        <f>R1136-S1136</f>
        <v/>
      </c>
      <c r="U1136" s="2">
        <f>U1135-IF(N1136="已下單",1,0)</f>
        <v/>
      </c>
      <c r="V1136" s="19">
        <f>IF(資金模擬!$B$9=2,MAX(R1136,0),MAX(V1135,FLOOR(MAX(R1136,0),資金模擬!$B$6)))</f>
        <v/>
      </c>
      <c r="W1136" s="13">
        <f>MAX(W1135,R1136)</f>
        <v/>
      </c>
      <c r="X1136" s="4">
        <f>IF(W1136&gt;0,R1136/W1136-1,-1)</f>
        <v/>
      </c>
      <c r="Y1136" s="19">
        <f>IF(R1136&gt;0,S1136*資金模擬!$B$7/R1136,0)</f>
        <v/>
      </c>
      <c r="Z1136" s="2">
        <f>IF(OR(Z1135=1,R1136&lt;=資金模擬!$B$10),1,0)</f>
        <v/>
      </c>
    </row>
    <row r="1137">
      <c r="A1137" s="2" t="n">
        <v>1135</v>
      </c>
      <c r="B1137" s="7" t="n">
        <v>46294.83333333334</v>
      </c>
      <c r="C1137" s="2" t="inlineStr">
        <is>
          <t>出場</t>
        </is>
      </c>
      <c r="D1137" s="2" t="n">
        <v>565</v>
      </c>
      <c r="E1137" s="2" t="inlineStr">
        <is>
          <t>FET_USDT_PERP</t>
        </is>
      </c>
      <c r="F1137" s="2" t="inlineStr">
        <is>
          <t>做多</t>
        </is>
      </c>
      <c r="G1137" s="20" t="n">
        <v>0.2265</v>
      </c>
      <c r="H1137" s="20" t="n">
        <v>0.233295</v>
      </c>
      <c r="I1137" s="20" t="n">
        <v>0.215175</v>
      </c>
      <c r="J1137" s="20" t="n">
        <v>0.233295</v>
      </c>
      <c r="K1137" s="2" t="inlineStr">
        <is>
          <t>止盈</t>
        </is>
      </c>
      <c r="L1137" s="5">
        <f>交易明細!K566</f>
        <v/>
      </c>
      <c r="M1137" s="19">
        <f>M1125</f>
        <v/>
      </c>
      <c r="N1137" s="2">
        <f>N1125</f>
        <v/>
      </c>
      <c r="O1137" s="19">
        <f>O1125</f>
        <v/>
      </c>
      <c r="P1137" s="4">
        <f>交易明細!L566</f>
        <v/>
      </c>
      <c r="Q1137" s="13">
        <f>IF(N1137="已下單",O1137*P1137,0)</f>
        <v/>
      </c>
      <c r="R1137" s="13">
        <f>R1136+Q1137</f>
        <v/>
      </c>
      <c r="S1137" s="19">
        <f>S1136-IF(N1137="已下單",M1137,0)</f>
        <v/>
      </c>
      <c r="T1137" s="19">
        <f>R1137-S1137</f>
        <v/>
      </c>
      <c r="U1137" s="2">
        <f>U1136-IF(N1137="已下單",1,0)</f>
        <v/>
      </c>
      <c r="V1137" s="19">
        <f>IF(資金模擬!$B$9=2,MAX(R1137,0),MAX(V1136,FLOOR(MAX(R1137,0),資金模擬!$B$6)))</f>
        <v/>
      </c>
      <c r="W1137" s="13">
        <f>MAX(W1136,R1137)</f>
        <v/>
      </c>
      <c r="X1137" s="4">
        <f>IF(W1137&gt;0,R1137/W1137-1,-1)</f>
        <v/>
      </c>
      <c r="Y1137" s="19">
        <f>IF(R1137&gt;0,S1137*資金模擬!$B$7/R1137,0)</f>
        <v/>
      </c>
      <c r="Z1137" s="2">
        <f>IF(OR(Z1136=1,R1137&lt;=資金模擬!$B$10),1,0)</f>
        <v/>
      </c>
    </row>
    <row r="1138">
      <c r="A1138" s="2" t="n">
        <v>1136</v>
      </c>
      <c r="B1138" s="7" t="n">
        <v>46294.83333333334</v>
      </c>
      <c r="C1138" s="2" t="inlineStr">
        <is>
          <t>進場</t>
        </is>
      </c>
      <c r="D1138" s="2" t="n">
        <v>571</v>
      </c>
      <c r="E1138" s="2" t="inlineStr">
        <is>
          <t>NEAR_USDT_PERP</t>
        </is>
      </c>
      <c r="F1138" s="2" t="inlineStr">
        <is>
          <t>做多</t>
        </is>
      </c>
      <c r="G1138" s="20" t="n">
        <v>4.912</v>
      </c>
      <c r="H1138" s="20" t="n">
        <v>5.05936</v>
      </c>
      <c r="I1138" s="20" t="n">
        <v>4.666399999999999</v>
      </c>
      <c r="J1138" s="20" t="n"/>
      <c r="K1138" s="2" t="n"/>
      <c r="L1138" s="5" t="n"/>
      <c r="M1138" s="19">
        <f>資金模擬!$B$5*V1137</f>
        <v/>
      </c>
      <c r="N1138" s="2">
        <f>IF(Z1137=1,"已停止",IF(T1137&gt;=M1138,"已下單","資金不足略過"))</f>
        <v/>
      </c>
      <c r="O1138" s="19">
        <f>IF(N1138="已下單",M1138*資金模擬!$B$7,0)</f>
        <v/>
      </c>
      <c r="P1138" s="4" t="n"/>
      <c r="Q1138" s="13" t="n">
        <v>0</v>
      </c>
      <c r="R1138" s="13">
        <f>R1137+Q1138</f>
        <v/>
      </c>
      <c r="S1138" s="19">
        <f>S1137+IF(N1138="已下單",M1138,0)</f>
        <v/>
      </c>
      <c r="T1138" s="19">
        <f>R1138-S1138</f>
        <v/>
      </c>
      <c r="U1138" s="2">
        <f>U1137+IF(N1138="已下單",1,0)</f>
        <v/>
      </c>
      <c r="V1138" s="19">
        <f>IF(資金模擬!$B$9=2,MAX(R1138,0),MAX(V1137,FLOOR(MAX(R1138,0),資金模擬!$B$6)))</f>
        <v/>
      </c>
      <c r="W1138" s="13">
        <f>MAX(W1137,R1138)</f>
        <v/>
      </c>
      <c r="X1138" s="4">
        <f>IF(W1138&gt;0,R1138/W1138-1,-1)</f>
        <v/>
      </c>
      <c r="Y1138" s="19">
        <f>IF(R1138&gt;0,S1138*資金模擬!$B$7/R1138,0)</f>
        <v/>
      </c>
      <c r="Z1138" s="2">
        <f>IF(OR(Z1137=1,R1138&lt;=資金模擬!$B$10),1,0)</f>
        <v/>
      </c>
    </row>
    <row r="1139">
      <c r="A1139" s="2" t="n">
        <v>1137</v>
      </c>
      <c r="B1139" s="7" t="n">
        <v>46294.83333333334</v>
      </c>
      <c r="C1139" s="2" t="inlineStr">
        <is>
          <t>進場</t>
        </is>
      </c>
      <c r="D1139" s="2" t="n">
        <v>572</v>
      </c>
      <c r="E1139" s="2" t="inlineStr">
        <is>
          <t>NMR_USDT_PERP</t>
        </is>
      </c>
      <c r="F1139" s="2" t="inlineStr">
        <is>
          <t>做空</t>
        </is>
      </c>
      <c r="G1139" s="20" t="n">
        <v>12.436</v>
      </c>
      <c r="H1139" s="20" t="n">
        <v>12.06292</v>
      </c>
      <c r="I1139" s="20" t="n">
        <v>13.0578</v>
      </c>
      <c r="J1139" s="20" t="n"/>
      <c r="K1139" s="2" t="n"/>
      <c r="L1139" s="5" t="n"/>
      <c r="M1139" s="19">
        <f>資金模擬!$B$5*V1138</f>
        <v/>
      </c>
      <c r="N1139" s="2">
        <f>IF(Z1138=1,"已停止",IF(T1138&gt;=M1139,"已下單","資金不足略過"))</f>
        <v/>
      </c>
      <c r="O1139" s="19">
        <f>IF(N1139="已下單",M1139*資金模擬!$B$7,0)</f>
        <v/>
      </c>
      <c r="P1139" s="4" t="n"/>
      <c r="Q1139" s="13" t="n">
        <v>0</v>
      </c>
      <c r="R1139" s="13">
        <f>R1138+Q1139</f>
        <v/>
      </c>
      <c r="S1139" s="19">
        <f>S1138+IF(N1139="已下單",M1139,0)</f>
        <v/>
      </c>
      <c r="T1139" s="19">
        <f>R1139-S1139</f>
        <v/>
      </c>
      <c r="U1139" s="2">
        <f>U1138+IF(N1139="已下單",1,0)</f>
        <v/>
      </c>
      <c r="V1139" s="19">
        <f>IF(資金模擬!$B$9=2,MAX(R1139,0),MAX(V1138,FLOOR(MAX(R1139,0),資金模擬!$B$6)))</f>
        <v/>
      </c>
      <c r="W1139" s="13">
        <f>MAX(W1138,R1139)</f>
        <v/>
      </c>
      <c r="X1139" s="4">
        <f>IF(W1139&gt;0,R1139/W1139-1,-1)</f>
        <v/>
      </c>
      <c r="Y1139" s="19">
        <f>IF(R1139&gt;0,S1139*資金模擬!$B$7/R1139,0)</f>
        <v/>
      </c>
      <c r="Z1139" s="2">
        <f>IF(OR(Z1138=1,R1139&lt;=資金模擬!$B$10),1,0)</f>
        <v/>
      </c>
    </row>
    <row r="1140">
      <c r="A1140" s="2" t="n">
        <v>1138</v>
      </c>
      <c r="B1140" s="7" t="n">
        <v>46294.83333333334</v>
      </c>
      <c r="C1140" s="2" t="inlineStr">
        <is>
          <t>進場</t>
        </is>
      </c>
      <c r="D1140" s="2" t="n">
        <v>573</v>
      </c>
      <c r="E1140" s="2" t="inlineStr">
        <is>
          <t>USELESS_USDT_PERP</t>
        </is>
      </c>
      <c r="F1140" s="2" t="inlineStr">
        <is>
          <t>做多</t>
        </is>
      </c>
      <c r="G1140" s="20" t="n">
        <v>0.2408</v>
      </c>
      <c r="H1140" s="20" t="n">
        <v>0.248024</v>
      </c>
      <c r="I1140" s="20" t="n">
        <v>0.22876</v>
      </c>
      <c r="J1140" s="20" t="n"/>
      <c r="K1140" s="2" t="n"/>
      <c r="L1140" s="5" t="n"/>
      <c r="M1140" s="19">
        <f>資金模擬!$B$5*V1139</f>
        <v/>
      </c>
      <c r="N1140" s="2">
        <f>IF(Z1139=1,"已停止",IF(T1139&gt;=M1140,"已下單","資金不足略過"))</f>
        <v/>
      </c>
      <c r="O1140" s="19">
        <f>IF(N1140="已下單",M1140*資金模擬!$B$7,0)</f>
        <v/>
      </c>
      <c r="P1140" s="4" t="n"/>
      <c r="Q1140" s="13" t="n">
        <v>0</v>
      </c>
      <c r="R1140" s="13">
        <f>R1139+Q1140</f>
        <v/>
      </c>
      <c r="S1140" s="19">
        <f>S1139+IF(N1140="已下單",M1140,0)</f>
        <v/>
      </c>
      <c r="T1140" s="19">
        <f>R1140-S1140</f>
        <v/>
      </c>
      <c r="U1140" s="2">
        <f>U1139+IF(N1140="已下單",1,0)</f>
        <v/>
      </c>
      <c r="V1140" s="19">
        <f>IF(資金模擬!$B$9=2,MAX(R1140,0),MAX(V1139,FLOOR(MAX(R1140,0),資金模擬!$B$6)))</f>
        <v/>
      </c>
      <c r="W1140" s="13">
        <f>MAX(W1139,R1140)</f>
        <v/>
      </c>
      <c r="X1140" s="4">
        <f>IF(W1140&gt;0,R1140/W1140-1,-1)</f>
        <v/>
      </c>
      <c r="Y1140" s="19">
        <f>IF(R1140&gt;0,S1140*資金模擬!$B$7/R1140,0)</f>
        <v/>
      </c>
      <c r="Z1140" s="2">
        <f>IF(OR(Z1139=1,R1140&lt;=資金模擬!$B$10),1,0)</f>
        <v/>
      </c>
    </row>
    <row r="1141">
      <c r="A1141" s="2" t="n">
        <v>1139</v>
      </c>
      <c r="B1141" s="7" t="n">
        <v>46294.83333333334</v>
      </c>
      <c r="C1141" s="2" t="inlineStr">
        <is>
          <t>進場</t>
        </is>
      </c>
      <c r="D1141" s="2" t="n">
        <v>574</v>
      </c>
      <c r="E1141" s="2" t="inlineStr">
        <is>
          <t>XPL_USDT_PERP</t>
        </is>
      </c>
      <c r="F1141" s="2" t="inlineStr">
        <is>
          <t>做多</t>
        </is>
      </c>
      <c r="G1141" s="20" t="n">
        <v>0.1014</v>
      </c>
      <c r="H1141" s="20" t="n">
        <v>0.104442</v>
      </c>
      <c r="I1141" s="20" t="n">
        <v>0.09633</v>
      </c>
      <c r="J1141" s="20" t="n"/>
      <c r="K1141" s="2" t="n"/>
      <c r="L1141" s="5" t="n"/>
      <c r="M1141" s="19">
        <f>資金模擬!$B$5*V1140</f>
        <v/>
      </c>
      <c r="N1141" s="2">
        <f>IF(Z1140=1,"已停止",IF(T1140&gt;=M1141,"已下單","資金不足略過"))</f>
        <v/>
      </c>
      <c r="O1141" s="19">
        <f>IF(N1141="已下單",M1141*資金模擬!$B$7,0)</f>
        <v/>
      </c>
      <c r="P1141" s="4" t="n"/>
      <c r="Q1141" s="13" t="n">
        <v>0</v>
      </c>
      <c r="R1141" s="13">
        <f>R1140+Q1141</f>
        <v/>
      </c>
      <c r="S1141" s="19">
        <f>S1140+IF(N1141="已下單",M1141,0)</f>
        <v/>
      </c>
      <c r="T1141" s="19">
        <f>R1141-S1141</f>
        <v/>
      </c>
      <c r="U1141" s="2">
        <f>U1140+IF(N1141="已下單",1,0)</f>
        <v/>
      </c>
      <c r="V1141" s="19">
        <f>IF(資金模擬!$B$9=2,MAX(R1141,0),MAX(V1140,FLOOR(MAX(R1141,0),資金模擬!$B$6)))</f>
        <v/>
      </c>
      <c r="W1141" s="13">
        <f>MAX(W1140,R1141)</f>
        <v/>
      </c>
      <c r="X1141" s="4">
        <f>IF(W1141&gt;0,R1141/W1141-1,-1)</f>
        <v/>
      </c>
      <c r="Y1141" s="19">
        <f>IF(R1141&gt;0,S1141*資金模擬!$B$7/R1141,0)</f>
        <v/>
      </c>
      <c r="Z1141" s="2">
        <f>IF(OR(Z1140=1,R1141&lt;=資金模擬!$B$10),1,0)</f>
        <v/>
      </c>
    </row>
    <row r="1142">
      <c r="A1142" s="2" t="n">
        <v>1140</v>
      </c>
      <c r="B1142" s="7" t="n">
        <v>46294.875</v>
      </c>
      <c r="C1142" s="2" t="inlineStr">
        <is>
          <t>出場</t>
        </is>
      </c>
      <c r="D1142" s="2" t="n">
        <v>567</v>
      </c>
      <c r="E1142" s="2" t="inlineStr">
        <is>
          <t>WLD_USDT_PERP</t>
        </is>
      </c>
      <c r="F1142" s="2" t="inlineStr">
        <is>
          <t>做多</t>
        </is>
      </c>
      <c r="G1142" s="20" t="n">
        <v>0.4923</v>
      </c>
      <c r="H1142" s="20" t="n">
        <v>0.507069</v>
      </c>
      <c r="I1142" s="20" t="n">
        <v>0.467685</v>
      </c>
      <c r="J1142" s="20" t="n">
        <v>0.507069</v>
      </c>
      <c r="K1142" s="2" t="inlineStr">
        <is>
          <t>止盈</t>
        </is>
      </c>
      <c r="L1142" s="5">
        <f>交易明細!K568</f>
        <v/>
      </c>
      <c r="M1142" s="19">
        <f>M1127</f>
        <v/>
      </c>
      <c r="N1142" s="2">
        <f>N1127</f>
        <v/>
      </c>
      <c r="O1142" s="19">
        <f>O1127</f>
        <v/>
      </c>
      <c r="P1142" s="4">
        <f>交易明細!L568</f>
        <v/>
      </c>
      <c r="Q1142" s="13">
        <f>IF(N1142="已下單",O1142*P1142,0)</f>
        <v/>
      </c>
      <c r="R1142" s="13">
        <f>R1141+Q1142</f>
        <v/>
      </c>
      <c r="S1142" s="19">
        <f>S1141-IF(N1142="已下單",M1142,0)</f>
        <v/>
      </c>
      <c r="T1142" s="19">
        <f>R1142-S1142</f>
        <v/>
      </c>
      <c r="U1142" s="2">
        <f>U1141-IF(N1142="已下單",1,0)</f>
        <v/>
      </c>
      <c r="V1142" s="19">
        <f>IF(資金模擬!$B$9=2,MAX(R1142,0),MAX(V1141,FLOOR(MAX(R1142,0),資金模擬!$B$6)))</f>
        <v/>
      </c>
      <c r="W1142" s="13">
        <f>MAX(W1141,R1142)</f>
        <v/>
      </c>
      <c r="X1142" s="4">
        <f>IF(W1142&gt;0,R1142/W1142-1,-1)</f>
        <v/>
      </c>
      <c r="Y1142" s="19">
        <f>IF(R1142&gt;0,S1142*資金模擬!$B$7/R1142,0)</f>
        <v/>
      </c>
      <c r="Z1142" s="2">
        <f>IF(OR(Z1141=1,R1142&lt;=資金模擬!$B$10),1,0)</f>
        <v/>
      </c>
    </row>
    <row r="1143">
      <c r="A1143" s="2" t="n">
        <v>1141</v>
      </c>
      <c r="B1143" s="7" t="n">
        <v>46294.875</v>
      </c>
      <c r="C1143" s="2" t="inlineStr">
        <is>
          <t>出場</t>
        </is>
      </c>
      <c r="D1143" s="2" t="n">
        <v>568</v>
      </c>
      <c r="E1143" s="2" t="inlineStr">
        <is>
          <t>ZRO_USDT_PERP</t>
        </is>
      </c>
      <c r="F1143" s="2" t="inlineStr">
        <is>
          <t>做多</t>
        </is>
      </c>
      <c r="G1143" s="20" t="n">
        <v>1.5723</v>
      </c>
      <c r="H1143" s="20" t="n">
        <v>1.619469</v>
      </c>
      <c r="I1143" s="20" t="n">
        <v>1.493685</v>
      </c>
      <c r="J1143" s="20" t="n">
        <v>1.619469</v>
      </c>
      <c r="K1143" s="2" t="inlineStr">
        <is>
          <t>止盈</t>
        </is>
      </c>
      <c r="L1143" s="5">
        <f>交易明細!K569</f>
        <v/>
      </c>
      <c r="M1143" s="19">
        <f>M1128</f>
        <v/>
      </c>
      <c r="N1143" s="2">
        <f>N1128</f>
        <v/>
      </c>
      <c r="O1143" s="19">
        <f>O1128</f>
        <v/>
      </c>
      <c r="P1143" s="4">
        <f>交易明細!L569</f>
        <v/>
      </c>
      <c r="Q1143" s="13">
        <f>IF(N1143="已下單",O1143*P1143,0)</f>
        <v/>
      </c>
      <c r="R1143" s="13">
        <f>R1142+Q1143</f>
        <v/>
      </c>
      <c r="S1143" s="19">
        <f>S1142-IF(N1143="已下單",M1143,0)</f>
        <v/>
      </c>
      <c r="T1143" s="19">
        <f>R1143-S1143</f>
        <v/>
      </c>
      <c r="U1143" s="2">
        <f>U1142-IF(N1143="已下單",1,0)</f>
        <v/>
      </c>
      <c r="V1143" s="19">
        <f>IF(資金模擬!$B$9=2,MAX(R1143,0),MAX(V1142,FLOOR(MAX(R1143,0),資金模擬!$B$6)))</f>
        <v/>
      </c>
      <c r="W1143" s="13">
        <f>MAX(W1142,R1143)</f>
        <v/>
      </c>
      <c r="X1143" s="4">
        <f>IF(W1143&gt;0,R1143/W1143-1,-1)</f>
        <v/>
      </c>
      <c r="Y1143" s="19">
        <f>IF(R1143&gt;0,S1143*資金模擬!$B$7/R1143,0)</f>
        <v/>
      </c>
      <c r="Z1143" s="2">
        <f>IF(OR(Z1142=1,R1143&lt;=資金模擬!$B$10),1,0)</f>
        <v/>
      </c>
    </row>
    <row r="1144">
      <c r="A1144" s="2" t="n">
        <v>1142</v>
      </c>
      <c r="B1144" s="7" t="n">
        <v>46294.875</v>
      </c>
      <c r="C1144" s="2" t="inlineStr">
        <is>
          <t>進場</t>
        </is>
      </c>
      <c r="D1144" s="2" t="n">
        <v>575</v>
      </c>
      <c r="E1144" s="2" t="inlineStr">
        <is>
          <t>HBAR_USDT_PERP</t>
        </is>
      </c>
      <c r="F1144" s="2" t="inlineStr">
        <is>
          <t>做空</t>
        </is>
      </c>
      <c r="G1144" s="20" t="n">
        <v>0.11391</v>
      </c>
      <c r="H1144" s="20" t="n">
        <v>0.1104927</v>
      </c>
      <c r="I1144" s="20" t="n">
        <v>0.1196055</v>
      </c>
      <c r="J1144" s="20" t="n"/>
      <c r="K1144" s="2" t="n"/>
      <c r="L1144" s="5" t="n"/>
      <c r="M1144" s="19">
        <f>資金模擬!$B$5*V1143</f>
        <v/>
      </c>
      <c r="N1144" s="2">
        <f>IF(Z1143=1,"已停止",IF(T1143&gt;=M1144,"已下單","資金不足略過"))</f>
        <v/>
      </c>
      <c r="O1144" s="19">
        <f>IF(N1144="已下單",M1144*資金模擬!$B$7,0)</f>
        <v/>
      </c>
      <c r="P1144" s="4" t="n"/>
      <c r="Q1144" s="13" t="n">
        <v>0</v>
      </c>
      <c r="R1144" s="13">
        <f>R1143+Q1144</f>
        <v/>
      </c>
      <c r="S1144" s="19">
        <f>S1143+IF(N1144="已下單",M1144,0)</f>
        <v/>
      </c>
      <c r="T1144" s="19">
        <f>R1144-S1144</f>
        <v/>
      </c>
      <c r="U1144" s="2">
        <f>U1143+IF(N1144="已下單",1,0)</f>
        <v/>
      </c>
      <c r="V1144" s="19">
        <f>IF(資金模擬!$B$9=2,MAX(R1144,0),MAX(V1143,FLOOR(MAX(R1144,0),資金模擬!$B$6)))</f>
        <v/>
      </c>
      <c r="W1144" s="13">
        <f>MAX(W1143,R1144)</f>
        <v/>
      </c>
      <c r="X1144" s="4">
        <f>IF(W1144&gt;0,R1144/W1144-1,-1)</f>
        <v/>
      </c>
      <c r="Y1144" s="19">
        <f>IF(R1144&gt;0,S1144*資金模擬!$B$7/R1144,0)</f>
        <v/>
      </c>
      <c r="Z1144" s="2">
        <f>IF(OR(Z1143=1,R1144&lt;=資金模擬!$B$10),1,0)</f>
        <v/>
      </c>
    </row>
    <row r="1145">
      <c r="A1145" s="2" t="n">
        <v>1143</v>
      </c>
      <c r="B1145" s="7" t="n">
        <v>46294.91666666666</v>
      </c>
      <c r="C1145" s="2" t="inlineStr">
        <is>
          <t>出場</t>
        </is>
      </c>
      <c r="D1145" s="2" t="n">
        <v>573</v>
      </c>
      <c r="E1145" s="2" t="inlineStr">
        <is>
          <t>USELESS_USDT_PERP</t>
        </is>
      </c>
      <c r="F1145" s="2" t="inlineStr">
        <is>
          <t>做多</t>
        </is>
      </c>
      <c r="G1145" s="20" t="n">
        <v>0.2408</v>
      </c>
      <c r="H1145" s="20" t="n">
        <v>0.248024</v>
      </c>
      <c r="I1145" s="20" t="n">
        <v>0.22876</v>
      </c>
      <c r="J1145" s="20" t="n">
        <v>0.248024</v>
      </c>
      <c r="K1145" s="2" t="inlineStr">
        <is>
          <t>止盈</t>
        </is>
      </c>
      <c r="L1145" s="5">
        <f>交易明細!K574</f>
        <v/>
      </c>
      <c r="M1145" s="19">
        <f>M1140</f>
        <v/>
      </c>
      <c r="N1145" s="2">
        <f>N1140</f>
        <v/>
      </c>
      <c r="O1145" s="19">
        <f>O1140</f>
        <v/>
      </c>
      <c r="P1145" s="4">
        <f>交易明細!L574</f>
        <v/>
      </c>
      <c r="Q1145" s="13">
        <f>IF(N1145="已下單",O1145*P1145,0)</f>
        <v/>
      </c>
      <c r="R1145" s="13">
        <f>R1144+Q1145</f>
        <v/>
      </c>
      <c r="S1145" s="19">
        <f>S1144-IF(N1145="已下單",M1145,0)</f>
        <v/>
      </c>
      <c r="T1145" s="19">
        <f>R1145-S1145</f>
        <v/>
      </c>
      <c r="U1145" s="2">
        <f>U1144-IF(N1145="已下單",1,0)</f>
        <v/>
      </c>
      <c r="V1145" s="19">
        <f>IF(資金模擬!$B$9=2,MAX(R1145,0),MAX(V1144,FLOOR(MAX(R1145,0),資金模擬!$B$6)))</f>
        <v/>
      </c>
      <c r="W1145" s="13">
        <f>MAX(W1144,R1145)</f>
        <v/>
      </c>
      <c r="X1145" s="4">
        <f>IF(W1145&gt;0,R1145/W1145-1,-1)</f>
        <v/>
      </c>
      <c r="Y1145" s="19">
        <f>IF(R1145&gt;0,S1145*資金模擬!$B$7/R1145,0)</f>
        <v/>
      </c>
      <c r="Z1145" s="2">
        <f>IF(OR(Z1144=1,R1145&lt;=資金模擬!$B$10),1,0)</f>
        <v/>
      </c>
    </row>
    <row r="1146">
      <c r="A1146" s="2" t="n">
        <v>1144</v>
      </c>
      <c r="B1146" s="7" t="n">
        <v>46294.95833333334</v>
      </c>
      <c r="C1146" s="2" t="inlineStr">
        <is>
          <t>進場</t>
        </is>
      </c>
      <c r="D1146" s="2" t="n">
        <v>576</v>
      </c>
      <c r="E1146" s="2" t="inlineStr">
        <is>
          <t>CRV_USDT_PERP</t>
        </is>
      </c>
      <c r="F1146" s="2" t="inlineStr">
        <is>
          <t>做多</t>
        </is>
      </c>
      <c r="G1146" s="20" t="n">
        <v>0.4082</v>
      </c>
      <c r="H1146" s="20" t="n">
        <v>0.420446</v>
      </c>
      <c r="I1146" s="20" t="n">
        <v>0.38779</v>
      </c>
      <c r="J1146" s="20" t="n"/>
      <c r="K1146" s="2" t="n"/>
      <c r="L1146" s="5" t="n"/>
      <c r="M1146" s="19">
        <f>資金模擬!$B$5*V1145</f>
        <v/>
      </c>
      <c r="N1146" s="2">
        <f>IF(Z1145=1,"已停止",IF(T1145&gt;=M1146,"已下單","資金不足略過"))</f>
        <v/>
      </c>
      <c r="O1146" s="19">
        <f>IF(N1146="已下單",M1146*資金模擬!$B$7,0)</f>
        <v/>
      </c>
      <c r="P1146" s="4" t="n"/>
      <c r="Q1146" s="13" t="n">
        <v>0</v>
      </c>
      <c r="R1146" s="13">
        <f>R1145+Q1146</f>
        <v/>
      </c>
      <c r="S1146" s="19">
        <f>S1145+IF(N1146="已下單",M1146,0)</f>
        <v/>
      </c>
      <c r="T1146" s="19">
        <f>R1146-S1146</f>
        <v/>
      </c>
      <c r="U1146" s="2">
        <f>U1145+IF(N1146="已下單",1,0)</f>
        <v/>
      </c>
      <c r="V1146" s="19">
        <f>IF(資金模擬!$B$9=2,MAX(R1146,0),MAX(V1145,FLOOR(MAX(R1146,0),資金模擬!$B$6)))</f>
        <v/>
      </c>
      <c r="W1146" s="13">
        <f>MAX(W1145,R1146)</f>
        <v/>
      </c>
      <c r="X1146" s="4">
        <f>IF(W1146&gt;0,R1146/W1146-1,-1)</f>
        <v/>
      </c>
      <c r="Y1146" s="19">
        <f>IF(R1146&gt;0,S1146*資金模擬!$B$7/R1146,0)</f>
        <v/>
      </c>
      <c r="Z1146" s="2">
        <f>IF(OR(Z1145=1,R1146&lt;=資金模擬!$B$10),1,0)</f>
        <v/>
      </c>
    </row>
    <row r="1147">
      <c r="A1147" s="2" t="n">
        <v>1145</v>
      </c>
      <c r="B1147" s="7" t="n">
        <v>46294.95833333334</v>
      </c>
      <c r="C1147" s="2" t="inlineStr">
        <is>
          <t>進場</t>
        </is>
      </c>
      <c r="D1147" s="2" t="n">
        <v>577</v>
      </c>
      <c r="E1147" s="2" t="inlineStr">
        <is>
          <t>QNT_USDT_PERP</t>
        </is>
      </c>
      <c r="F1147" s="2" t="inlineStr">
        <is>
          <t>做空</t>
        </is>
      </c>
      <c r="G1147" s="20" t="n">
        <v>238.76</v>
      </c>
      <c r="H1147" s="20" t="n">
        <v>231.5972</v>
      </c>
      <c r="I1147" s="20" t="n">
        <v>250.698</v>
      </c>
      <c r="J1147" s="20" t="n"/>
      <c r="K1147" s="2" t="n"/>
      <c r="L1147" s="5" t="n"/>
      <c r="M1147" s="19">
        <f>資金模擬!$B$5*V1146</f>
        <v/>
      </c>
      <c r="N1147" s="2">
        <f>IF(Z1146=1,"已停止",IF(T1146&gt;=M1147,"已下單","資金不足略過"))</f>
        <v/>
      </c>
      <c r="O1147" s="19">
        <f>IF(N1147="已下單",M1147*資金模擬!$B$7,0)</f>
        <v/>
      </c>
      <c r="P1147" s="4" t="n"/>
      <c r="Q1147" s="13" t="n">
        <v>0</v>
      </c>
      <c r="R1147" s="13">
        <f>R1146+Q1147</f>
        <v/>
      </c>
      <c r="S1147" s="19">
        <f>S1146+IF(N1147="已下單",M1147,0)</f>
        <v/>
      </c>
      <c r="T1147" s="19">
        <f>R1147-S1147</f>
        <v/>
      </c>
      <c r="U1147" s="2">
        <f>U1146+IF(N1147="已下單",1,0)</f>
        <v/>
      </c>
      <c r="V1147" s="19">
        <f>IF(資金模擬!$B$9=2,MAX(R1147,0),MAX(V1146,FLOOR(MAX(R1147,0),資金模擬!$B$6)))</f>
        <v/>
      </c>
      <c r="W1147" s="13">
        <f>MAX(W1146,R1147)</f>
        <v/>
      </c>
      <c r="X1147" s="4">
        <f>IF(W1147&gt;0,R1147/W1147-1,-1)</f>
        <v/>
      </c>
      <c r="Y1147" s="19">
        <f>IF(R1147&gt;0,S1147*資金模擬!$B$7/R1147,0)</f>
        <v/>
      </c>
      <c r="Z1147" s="2">
        <f>IF(OR(Z1146=1,R1147&lt;=資金模擬!$B$10),1,0)</f>
        <v/>
      </c>
    </row>
    <row r="1148">
      <c r="A1148" s="2" t="n">
        <v>1146</v>
      </c>
      <c r="B1148" s="7" t="n">
        <v>46294.95833333334</v>
      </c>
      <c r="C1148" s="2" t="inlineStr">
        <is>
          <t>進場</t>
        </is>
      </c>
      <c r="D1148" s="2" t="n">
        <v>578</v>
      </c>
      <c r="E1148" s="2" t="inlineStr">
        <is>
          <t>WLD_USDT_PERP</t>
        </is>
      </c>
      <c r="F1148" s="2" t="inlineStr">
        <is>
          <t>做多</t>
        </is>
      </c>
      <c r="G1148" s="20" t="n">
        <v>0.5116000000000001</v>
      </c>
      <c r="H1148" s="20" t="n">
        <v>0.5269480000000001</v>
      </c>
      <c r="I1148" s="20" t="n">
        <v>0.48602</v>
      </c>
      <c r="J1148" s="20" t="n"/>
      <c r="K1148" s="2" t="n"/>
      <c r="L1148" s="5" t="n"/>
      <c r="M1148" s="19">
        <f>資金模擬!$B$5*V1147</f>
        <v/>
      </c>
      <c r="N1148" s="2">
        <f>IF(Z1147=1,"已停止",IF(T1147&gt;=M1148,"已下單","資金不足略過"))</f>
        <v/>
      </c>
      <c r="O1148" s="19">
        <f>IF(N1148="已下單",M1148*資金模擬!$B$7,0)</f>
        <v/>
      </c>
      <c r="P1148" s="4" t="n"/>
      <c r="Q1148" s="13" t="n">
        <v>0</v>
      </c>
      <c r="R1148" s="13">
        <f>R1147+Q1148</f>
        <v/>
      </c>
      <c r="S1148" s="19">
        <f>S1147+IF(N1148="已下單",M1148,0)</f>
        <v/>
      </c>
      <c r="T1148" s="19">
        <f>R1148-S1148</f>
        <v/>
      </c>
      <c r="U1148" s="2">
        <f>U1147+IF(N1148="已下單",1,0)</f>
        <v/>
      </c>
      <c r="V1148" s="19">
        <f>IF(資金模擬!$B$9=2,MAX(R1148,0),MAX(V1147,FLOOR(MAX(R1148,0),資金模擬!$B$6)))</f>
        <v/>
      </c>
      <c r="W1148" s="13">
        <f>MAX(W1147,R1148)</f>
        <v/>
      </c>
      <c r="X1148" s="4">
        <f>IF(W1148&gt;0,R1148/W1148-1,-1)</f>
        <v/>
      </c>
      <c r="Y1148" s="19">
        <f>IF(R1148&gt;0,S1148*資金模擬!$B$7/R1148,0)</f>
        <v/>
      </c>
      <c r="Z1148" s="2">
        <f>IF(OR(Z1147=1,R1148&lt;=資金模擬!$B$10),1,0)</f>
        <v/>
      </c>
    </row>
    <row r="1149">
      <c r="A1149" s="2" t="n">
        <v>1147</v>
      </c>
      <c r="B1149" s="7" t="n">
        <v>46295</v>
      </c>
      <c r="C1149" s="2" t="inlineStr">
        <is>
          <t>出場</t>
        </is>
      </c>
      <c r="D1149" s="2" t="n">
        <v>577</v>
      </c>
      <c r="E1149" s="2" t="inlineStr">
        <is>
          <t>QNT_USDT_PERP</t>
        </is>
      </c>
      <c r="F1149" s="2" t="inlineStr">
        <is>
          <t>做空</t>
        </is>
      </c>
      <c r="G1149" s="20" t="n">
        <v>238.76</v>
      </c>
      <c r="H1149" s="20" t="n">
        <v>231.5972</v>
      </c>
      <c r="I1149" s="20" t="n">
        <v>250.698</v>
      </c>
      <c r="J1149" s="20" t="n">
        <v>250.698</v>
      </c>
      <c r="K1149" s="2" t="inlineStr">
        <is>
          <t>止損</t>
        </is>
      </c>
      <c r="L1149" s="5">
        <f>交易明細!K578</f>
        <v/>
      </c>
      <c r="M1149" s="19">
        <f>M1147</f>
        <v/>
      </c>
      <c r="N1149" s="2">
        <f>N1147</f>
        <v/>
      </c>
      <c r="O1149" s="19">
        <f>O1147</f>
        <v/>
      </c>
      <c r="P1149" s="4">
        <f>交易明細!L578</f>
        <v/>
      </c>
      <c r="Q1149" s="13">
        <f>IF(N1149="已下單",O1149*P1149,0)</f>
        <v/>
      </c>
      <c r="R1149" s="13">
        <f>R1148+Q1149</f>
        <v/>
      </c>
      <c r="S1149" s="19">
        <f>S1148-IF(N1149="已下單",M1149,0)</f>
        <v/>
      </c>
      <c r="T1149" s="19">
        <f>R1149-S1149</f>
        <v/>
      </c>
      <c r="U1149" s="2">
        <f>U1148-IF(N1149="已下單",1,0)</f>
        <v/>
      </c>
      <c r="V1149" s="19">
        <f>IF(資金模擬!$B$9=2,MAX(R1149,0),MAX(V1148,FLOOR(MAX(R1149,0),資金模擬!$B$6)))</f>
        <v/>
      </c>
      <c r="W1149" s="13">
        <f>MAX(W1148,R1149)</f>
        <v/>
      </c>
      <c r="X1149" s="4">
        <f>IF(W1149&gt;0,R1149/W1149-1,-1)</f>
        <v/>
      </c>
      <c r="Y1149" s="19">
        <f>IF(R1149&gt;0,S1149*資金模擬!$B$7/R1149,0)</f>
        <v/>
      </c>
      <c r="Z1149" s="2">
        <f>IF(OR(Z1148=1,R1149&lt;=資金模擬!$B$10),1,0)</f>
        <v/>
      </c>
    </row>
    <row r="1150">
      <c r="A1150" s="2" t="n">
        <v>1148</v>
      </c>
      <c r="B1150" s="7" t="n">
        <v>46295</v>
      </c>
      <c r="C1150" s="2" t="inlineStr">
        <is>
          <t>進場</t>
        </is>
      </c>
      <c r="D1150" s="2" t="n">
        <v>579</v>
      </c>
      <c r="E1150" s="2" t="inlineStr">
        <is>
          <t>AKE_USDT_PERP</t>
        </is>
      </c>
      <c r="F1150" s="2" t="inlineStr">
        <is>
          <t>做空</t>
        </is>
      </c>
      <c r="G1150" s="20" t="n">
        <v>0.0304121</v>
      </c>
      <c r="H1150" s="20" t="n">
        <v>0.029499737</v>
      </c>
      <c r="I1150" s="20" t="n">
        <v>0.03193270500000001</v>
      </c>
      <c r="J1150" s="20" t="n"/>
      <c r="K1150" s="2" t="n"/>
      <c r="L1150" s="5" t="n"/>
      <c r="M1150" s="19">
        <f>資金模擬!$B$5*V1149</f>
        <v/>
      </c>
      <c r="N1150" s="2">
        <f>IF(Z1149=1,"已停止",IF(T1149&gt;=M1150,"已下單","資金不足略過"))</f>
        <v/>
      </c>
      <c r="O1150" s="19">
        <f>IF(N1150="已下單",M1150*資金模擬!$B$7,0)</f>
        <v/>
      </c>
      <c r="P1150" s="4" t="n"/>
      <c r="Q1150" s="13" t="n">
        <v>0</v>
      </c>
      <c r="R1150" s="13">
        <f>R1149+Q1150</f>
        <v/>
      </c>
      <c r="S1150" s="19">
        <f>S1149+IF(N1150="已下單",M1150,0)</f>
        <v/>
      </c>
      <c r="T1150" s="19">
        <f>R1150-S1150</f>
        <v/>
      </c>
      <c r="U1150" s="2">
        <f>U1149+IF(N1150="已下單",1,0)</f>
        <v/>
      </c>
      <c r="V1150" s="19">
        <f>IF(資金模擬!$B$9=2,MAX(R1150,0),MAX(V1149,FLOOR(MAX(R1150,0),資金模擬!$B$6)))</f>
        <v/>
      </c>
      <c r="W1150" s="13">
        <f>MAX(W1149,R1150)</f>
        <v/>
      </c>
      <c r="X1150" s="4">
        <f>IF(W1150&gt;0,R1150/W1150-1,-1)</f>
        <v/>
      </c>
      <c r="Y1150" s="19">
        <f>IF(R1150&gt;0,S1150*資金模擬!$B$7/R1150,0)</f>
        <v/>
      </c>
      <c r="Z1150" s="2">
        <f>IF(OR(Z1149=1,R1150&lt;=資金模擬!$B$10),1,0)</f>
        <v/>
      </c>
    </row>
    <row r="1151">
      <c r="A1151" s="2" t="n">
        <v>1149</v>
      </c>
      <c r="B1151" s="7" t="n">
        <v>46295</v>
      </c>
      <c r="C1151" s="2" t="inlineStr">
        <is>
          <t>進場</t>
        </is>
      </c>
      <c r="D1151" s="2" t="n">
        <v>580</v>
      </c>
      <c r="E1151" s="2" t="inlineStr">
        <is>
          <t>ENA_USDT_PERP</t>
        </is>
      </c>
      <c r="F1151" s="2" t="inlineStr">
        <is>
          <t>做空</t>
        </is>
      </c>
      <c r="G1151" s="20" t="n">
        <v>0.2497</v>
      </c>
      <c r="H1151" s="20" t="n">
        <v>0.242209</v>
      </c>
      <c r="I1151" s="20" t="n">
        <v>0.262185</v>
      </c>
      <c r="J1151" s="20" t="n"/>
      <c r="K1151" s="2" t="n"/>
      <c r="L1151" s="5" t="n"/>
      <c r="M1151" s="19">
        <f>資金模擬!$B$5*V1150</f>
        <v/>
      </c>
      <c r="N1151" s="2">
        <f>IF(Z1150=1,"已停止",IF(T1150&gt;=M1151,"已下單","資金不足略過"))</f>
        <v/>
      </c>
      <c r="O1151" s="19">
        <f>IF(N1151="已下單",M1151*資金模擬!$B$7,0)</f>
        <v/>
      </c>
      <c r="P1151" s="4" t="n"/>
      <c r="Q1151" s="13" t="n">
        <v>0</v>
      </c>
      <c r="R1151" s="13">
        <f>R1150+Q1151</f>
        <v/>
      </c>
      <c r="S1151" s="19">
        <f>S1150+IF(N1151="已下單",M1151,0)</f>
        <v/>
      </c>
      <c r="T1151" s="19">
        <f>R1151-S1151</f>
        <v/>
      </c>
      <c r="U1151" s="2">
        <f>U1150+IF(N1151="已下單",1,0)</f>
        <v/>
      </c>
      <c r="V1151" s="19">
        <f>IF(資金模擬!$B$9=2,MAX(R1151,0),MAX(V1150,FLOOR(MAX(R1151,0),資金模擬!$B$6)))</f>
        <v/>
      </c>
      <c r="W1151" s="13">
        <f>MAX(W1150,R1151)</f>
        <v/>
      </c>
      <c r="X1151" s="4">
        <f>IF(W1151&gt;0,R1151/W1151-1,-1)</f>
        <v/>
      </c>
      <c r="Y1151" s="19">
        <f>IF(R1151&gt;0,S1151*資金模擬!$B$7/R1151,0)</f>
        <v/>
      </c>
      <c r="Z1151" s="2">
        <f>IF(OR(Z1150=1,R1151&lt;=資金模擬!$B$10),1,0)</f>
        <v/>
      </c>
    </row>
    <row r="1152">
      <c r="A1152" s="2" t="n">
        <v>1150</v>
      </c>
      <c r="B1152" s="7" t="n">
        <v>46295</v>
      </c>
      <c r="C1152" s="2" t="inlineStr">
        <is>
          <t>進場</t>
        </is>
      </c>
      <c r="D1152" s="2" t="n">
        <v>581</v>
      </c>
      <c r="E1152" s="2" t="inlineStr">
        <is>
          <t>MARSCOIN_USDT_PERP</t>
        </is>
      </c>
      <c r="F1152" s="2" t="inlineStr">
        <is>
          <t>做空</t>
        </is>
      </c>
      <c r="G1152" s="20" t="n">
        <v>0.14765</v>
      </c>
      <c r="H1152" s="20" t="n">
        <v>0.1432205</v>
      </c>
      <c r="I1152" s="20" t="n">
        <v>0.1550325</v>
      </c>
      <c r="J1152" s="20" t="n"/>
      <c r="K1152" s="2" t="n"/>
      <c r="L1152" s="5" t="n"/>
      <c r="M1152" s="19">
        <f>資金模擬!$B$5*V1151</f>
        <v/>
      </c>
      <c r="N1152" s="2">
        <f>IF(Z1151=1,"已停止",IF(T1151&gt;=M1152,"已下單","資金不足略過"))</f>
        <v/>
      </c>
      <c r="O1152" s="19">
        <f>IF(N1152="已下單",M1152*資金模擬!$B$7,0)</f>
        <v/>
      </c>
      <c r="P1152" s="4" t="n"/>
      <c r="Q1152" s="13" t="n">
        <v>0</v>
      </c>
      <c r="R1152" s="13">
        <f>R1151+Q1152</f>
        <v/>
      </c>
      <c r="S1152" s="19">
        <f>S1151+IF(N1152="已下單",M1152,0)</f>
        <v/>
      </c>
      <c r="T1152" s="19">
        <f>R1152-S1152</f>
        <v/>
      </c>
      <c r="U1152" s="2">
        <f>U1151+IF(N1152="已下單",1,0)</f>
        <v/>
      </c>
      <c r="V1152" s="19">
        <f>IF(資金模擬!$B$9=2,MAX(R1152,0),MAX(V1151,FLOOR(MAX(R1152,0),資金模擬!$B$6)))</f>
        <v/>
      </c>
      <c r="W1152" s="13">
        <f>MAX(W1151,R1152)</f>
        <v/>
      </c>
      <c r="X1152" s="4">
        <f>IF(W1152&gt;0,R1152/W1152-1,-1)</f>
        <v/>
      </c>
      <c r="Y1152" s="19">
        <f>IF(R1152&gt;0,S1152*資金模擬!$B$7/R1152,0)</f>
        <v/>
      </c>
      <c r="Z1152" s="2">
        <f>IF(OR(Z1151=1,R1152&lt;=資金模擬!$B$10),1,0)</f>
        <v/>
      </c>
    </row>
    <row r="1153">
      <c r="A1153" s="2" t="n">
        <v>1151</v>
      </c>
      <c r="B1153" s="7" t="n">
        <v>46295</v>
      </c>
      <c r="C1153" s="2" t="inlineStr">
        <is>
          <t>進場</t>
        </is>
      </c>
      <c r="D1153" s="2" t="n">
        <v>582</v>
      </c>
      <c r="E1153" s="2" t="inlineStr">
        <is>
          <t>ONDO_USDT_PERP</t>
        </is>
      </c>
      <c r="F1153" s="2" t="inlineStr">
        <is>
          <t>做空</t>
        </is>
      </c>
      <c r="G1153" s="20" t="n">
        <v>0.5063</v>
      </c>
      <c r="H1153" s="20" t="n">
        <v>0.491111</v>
      </c>
      <c r="I1153" s="20" t="n">
        <v>0.5316149999999999</v>
      </c>
      <c r="J1153" s="20" t="n"/>
      <c r="K1153" s="2" t="n"/>
      <c r="L1153" s="5" t="n"/>
      <c r="M1153" s="19">
        <f>資金模擬!$B$5*V1152</f>
        <v/>
      </c>
      <c r="N1153" s="2">
        <f>IF(Z1152=1,"已停止",IF(T1152&gt;=M1153,"已下單","資金不足略過"))</f>
        <v/>
      </c>
      <c r="O1153" s="19">
        <f>IF(N1153="已下單",M1153*資金模擬!$B$7,0)</f>
        <v/>
      </c>
      <c r="P1153" s="4" t="n"/>
      <c r="Q1153" s="13" t="n">
        <v>0</v>
      </c>
      <c r="R1153" s="13">
        <f>R1152+Q1153</f>
        <v/>
      </c>
      <c r="S1153" s="19">
        <f>S1152+IF(N1153="已下單",M1153,0)</f>
        <v/>
      </c>
      <c r="T1153" s="19">
        <f>R1153-S1153</f>
        <v/>
      </c>
      <c r="U1153" s="2">
        <f>U1152+IF(N1153="已下單",1,0)</f>
        <v/>
      </c>
      <c r="V1153" s="19">
        <f>IF(資金模擬!$B$9=2,MAX(R1153,0),MAX(V1152,FLOOR(MAX(R1153,0),資金模擬!$B$6)))</f>
        <v/>
      </c>
      <c r="W1153" s="13">
        <f>MAX(W1152,R1153)</f>
        <v/>
      </c>
      <c r="X1153" s="4">
        <f>IF(W1153&gt;0,R1153/W1153-1,-1)</f>
        <v/>
      </c>
      <c r="Y1153" s="19">
        <f>IF(R1153&gt;0,S1153*資金模擬!$B$7/R1153,0)</f>
        <v/>
      </c>
      <c r="Z1153" s="2">
        <f>IF(OR(Z1152=1,R1153&lt;=資金模擬!$B$10),1,0)</f>
        <v/>
      </c>
    </row>
    <row r="1154">
      <c r="A1154" s="2" t="n">
        <v>1152</v>
      </c>
      <c r="B1154" s="7" t="n">
        <v>46295</v>
      </c>
      <c r="C1154" s="2" t="inlineStr">
        <is>
          <t>進場</t>
        </is>
      </c>
      <c r="D1154" s="2" t="n">
        <v>583</v>
      </c>
      <c r="E1154" s="2" t="inlineStr">
        <is>
          <t>PONS_USDT_PERP</t>
        </is>
      </c>
      <c r="F1154" s="2" t="inlineStr">
        <is>
          <t>做空</t>
        </is>
      </c>
      <c r="G1154" s="20" t="n">
        <v>0.5303</v>
      </c>
      <c r="H1154" s="20" t="n">
        <v>0.5143909999999999</v>
      </c>
      <c r="I1154" s="20" t="n">
        <v>0.5568150000000001</v>
      </c>
      <c r="J1154" s="20" t="n"/>
      <c r="K1154" s="2" t="n"/>
      <c r="L1154" s="5" t="n"/>
      <c r="M1154" s="19">
        <f>資金模擬!$B$5*V1153</f>
        <v/>
      </c>
      <c r="N1154" s="2">
        <f>IF(Z1153=1,"已停止",IF(T1153&gt;=M1154,"已下單","資金不足略過"))</f>
        <v/>
      </c>
      <c r="O1154" s="19">
        <f>IF(N1154="已下單",M1154*資金模擬!$B$7,0)</f>
        <v/>
      </c>
      <c r="P1154" s="4" t="n"/>
      <c r="Q1154" s="13" t="n">
        <v>0</v>
      </c>
      <c r="R1154" s="13">
        <f>R1153+Q1154</f>
        <v/>
      </c>
      <c r="S1154" s="19">
        <f>S1153+IF(N1154="已下單",M1154,0)</f>
        <v/>
      </c>
      <c r="T1154" s="19">
        <f>R1154-S1154</f>
        <v/>
      </c>
      <c r="U1154" s="2">
        <f>U1153+IF(N1154="已下單",1,0)</f>
        <v/>
      </c>
      <c r="V1154" s="19">
        <f>IF(資金模擬!$B$9=2,MAX(R1154,0),MAX(V1153,FLOOR(MAX(R1154,0),資金模擬!$B$6)))</f>
        <v/>
      </c>
      <c r="W1154" s="13">
        <f>MAX(W1153,R1154)</f>
        <v/>
      </c>
      <c r="X1154" s="4">
        <f>IF(W1154&gt;0,R1154/W1154-1,-1)</f>
        <v/>
      </c>
      <c r="Y1154" s="19">
        <f>IF(R1154&gt;0,S1154*資金模擬!$B$7/R1154,0)</f>
        <v/>
      </c>
      <c r="Z1154" s="2">
        <f>IF(OR(Z1153=1,R1154&lt;=資金模擬!$B$10),1,0)</f>
        <v/>
      </c>
    </row>
    <row r="1155">
      <c r="A1155" s="2" t="n">
        <v>1153</v>
      </c>
      <c r="B1155" s="7" t="n">
        <v>46295</v>
      </c>
      <c r="C1155" s="2" t="inlineStr">
        <is>
          <t>進場</t>
        </is>
      </c>
      <c r="D1155" s="2" t="n">
        <v>584</v>
      </c>
      <c r="E1155" s="2" t="inlineStr">
        <is>
          <t>SUI_USDT_PERP</t>
        </is>
      </c>
      <c r="F1155" s="2" t="inlineStr">
        <is>
          <t>做空</t>
        </is>
      </c>
      <c r="G1155" s="20" t="n">
        <v>1.1375</v>
      </c>
      <c r="H1155" s="20" t="n">
        <v>1.103375</v>
      </c>
      <c r="I1155" s="20" t="n">
        <v>1.194375</v>
      </c>
      <c r="J1155" s="20" t="n"/>
      <c r="K1155" s="2" t="n"/>
      <c r="L1155" s="5" t="n"/>
      <c r="M1155" s="19">
        <f>資金模擬!$B$5*V1154</f>
        <v/>
      </c>
      <c r="N1155" s="2">
        <f>IF(Z1154=1,"已停止",IF(T1154&gt;=M1155,"已下單","資金不足略過"))</f>
        <v/>
      </c>
      <c r="O1155" s="19">
        <f>IF(N1155="已下單",M1155*資金模擬!$B$7,0)</f>
        <v/>
      </c>
      <c r="P1155" s="4" t="n"/>
      <c r="Q1155" s="13" t="n">
        <v>0</v>
      </c>
      <c r="R1155" s="13">
        <f>R1154+Q1155</f>
        <v/>
      </c>
      <c r="S1155" s="19">
        <f>S1154+IF(N1155="已下單",M1155,0)</f>
        <v/>
      </c>
      <c r="T1155" s="19">
        <f>R1155-S1155</f>
        <v/>
      </c>
      <c r="U1155" s="2">
        <f>U1154+IF(N1155="已下單",1,0)</f>
        <v/>
      </c>
      <c r="V1155" s="19">
        <f>IF(資金模擬!$B$9=2,MAX(R1155,0),MAX(V1154,FLOOR(MAX(R1155,0),資金模擬!$B$6)))</f>
        <v/>
      </c>
      <c r="W1155" s="13">
        <f>MAX(W1154,R1155)</f>
        <v/>
      </c>
      <c r="X1155" s="4">
        <f>IF(W1155&gt;0,R1155/W1155-1,-1)</f>
        <v/>
      </c>
      <c r="Y1155" s="19">
        <f>IF(R1155&gt;0,S1155*資金模擬!$B$7/R1155,0)</f>
        <v/>
      </c>
      <c r="Z1155" s="2">
        <f>IF(OR(Z1154=1,R1155&lt;=資金模擬!$B$10),1,0)</f>
        <v/>
      </c>
    </row>
    <row r="1156">
      <c r="A1156" s="2" t="n">
        <v>1154</v>
      </c>
      <c r="B1156" s="7" t="n">
        <v>46295</v>
      </c>
      <c r="C1156" s="2" t="inlineStr">
        <is>
          <t>進場</t>
        </is>
      </c>
      <c r="D1156" s="2" t="n">
        <v>585</v>
      </c>
      <c r="E1156" s="2" t="inlineStr">
        <is>
          <t>ZEC_USDT_PERP</t>
        </is>
      </c>
      <c r="F1156" s="2" t="inlineStr">
        <is>
          <t>做空</t>
        </is>
      </c>
      <c r="G1156" s="20" t="n">
        <v>1390.63</v>
      </c>
      <c r="H1156" s="20" t="n">
        <v>1348.9111</v>
      </c>
      <c r="I1156" s="20" t="n">
        <v>1460.1615</v>
      </c>
      <c r="J1156" s="20" t="n"/>
      <c r="K1156" s="2" t="n"/>
      <c r="L1156" s="5" t="n"/>
      <c r="M1156" s="19">
        <f>資金模擬!$B$5*V1155</f>
        <v/>
      </c>
      <c r="N1156" s="2">
        <f>IF(Z1155=1,"已停止",IF(T1155&gt;=M1156,"已下單","資金不足略過"))</f>
        <v/>
      </c>
      <c r="O1156" s="19">
        <f>IF(N1156="已下單",M1156*資金模擬!$B$7,0)</f>
        <v/>
      </c>
      <c r="P1156" s="4" t="n"/>
      <c r="Q1156" s="13" t="n">
        <v>0</v>
      </c>
      <c r="R1156" s="13">
        <f>R1155+Q1156</f>
        <v/>
      </c>
      <c r="S1156" s="19">
        <f>S1155+IF(N1156="已下單",M1156,0)</f>
        <v/>
      </c>
      <c r="T1156" s="19">
        <f>R1156-S1156</f>
        <v/>
      </c>
      <c r="U1156" s="2">
        <f>U1155+IF(N1156="已下單",1,0)</f>
        <v/>
      </c>
      <c r="V1156" s="19">
        <f>IF(資金模擬!$B$9=2,MAX(R1156,0),MAX(V1155,FLOOR(MAX(R1156,0),資金模擬!$B$6)))</f>
        <v/>
      </c>
      <c r="W1156" s="13">
        <f>MAX(W1155,R1156)</f>
        <v/>
      </c>
      <c r="X1156" s="4">
        <f>IF(W1156&gt;0,R1156/W1156-1,-1)</f>
        <v/>
      </c>
      <c r="Y1156" s="19">
        <f>IF(R1156&gt;0,S1156*資金模擬!$B$7/R1156,0)</f>
        <v/>
      </c>
      <c r="Z1156" s="2">
        <f>IF(OR(Z1155=1,R1156&lt;=資金模擬!$B$10),1,0)</f>
        <v/>
      </c>
    </row>
    <row r="1157">
      <c r="A1157" s="2" t="n">
        <v>1155</v>
      </c>
      <c r="B1157" s="7" t="n">
        <v>46295.04166666666</v>
      </c>
      <c r="C1157" s="2" t="inlineStr">
        <is>
          <t>出場</t>
        </is>
      </c>
      <c r="D1157" s="2" t="n">
        <v>575</v>
      </c>
      <c r="E1157" s="2" t="inlineStr">
        <is>
          <t>HBAR_USDT_PERP</t>
        </is>
      </c>
      <c r="F1157" s="2" t="inlineStr">
        <is>
          <t>做空</t>
        </is>
      </c>
      <c r="G1157" s="20" t="n">
        <v>0.11391</v>
      </c>
      <c r="H1157" s="20" t="n">
        <v>0.1104927</v>
      </c>
      <c r="I1157" s="20" t="n">
        <v>0.1196055</v>
      </c>
      <c r="J1157" s="20" t="n">
        <v>0.1104927</v>
      </c>
      <c r="K1157" s="2" t="inlineStr">
        <is>
          <t>止盈</t>
        </is>
      </c>
      <c r="L1157" s="5">
        <f>交易明細!K576</f>
        <v/>
      </c>
      <c r="M1157" s="19">
        <f>M1144</f>
        <v/>
      </c>
      <c r="N1157" s="2">
        <f>N1144</f>
        <v/>
      </c>
      <c r="O1157" s="19">
        <f>O1144</f>
        <v/>
      </c>
      <c r="P1157" s="4">
        <f>交易明細!L576</f>
        <v/>
      </c>
      <c r="Q1157" s="13">
        <f>IF(N1157="已下單",O1157*P1157,0)</f>
        <v/>
      </c>
      <c r="R1157" s="13">
        <f>R1156+Q1157</f>
        <v/>
      </c>
      <c r="S1157" s="19">
        <f>S1156-IF(N1157="已下單",M1157,0)</f>
        <v/>
      </c>
      <c r="T1157" s="19">
        <f>R1157-S1157</f>
        <v/>
      </c>
      <c r="U1157" s="2">
        <f>U1156-IF(N1157="已下單",1,0)</f>
        <v/>
      </c>
      <c r="V1157" s="19">
        <f>IF(資金模擬!$B$9=2,MAX(R1157,0),MAX(V1156,FLOOR(MAX(R1157,0),資金模擬!$B$6)))</f>
        <v/>
      </c>
      <c r="W1157" s="13">
        <f>MAX(W1156,R1157)</f>
        <v/>
      </c>
      <c r="X1157" s="4">
        <f>IF(W1157&gt;0,R1157/W1157-1,-1)</f>
        <v/>
      </c>
      <c r="Y1157" s="19">
        <f>IF(R1157&gt;0,S1157*資金模擬!$B$7/R1157,0)</f>
        <v/>
      </c>
      <c r="Z1157" s="2">
        <f>IF(OR(Z1156=1,R1157&lt;=資金模擬!$B$10),1,0)</f>
        <v/>
      </c>
    </row>
    <row r="1158">
      <c r="A1158" s="2" t="n">
        <v>1156</v>
      </c>
      <c r="B1158" s="7" t="n">
        <v>46295.08333333334</v>
      </c>
      <c r="C1158" s="2" t="inlineStr">
        <is>
          <t>出場</t>
        </is>
      </c>
      <c r="D1158" s="2" t="n">
        <v>534</v>
      </c>
      <c r="E1158" s="2" t="inlineStr">
        <is>
          <t>SAGA_USDT_PERP</t>
        </is>
      </c>
      <c r="F1158" s="2" t="inlineStr">
        <is>
          <t>做多</t>
        </is>
      </c>
      <c r="G1158" s="20" t="n">
        <v>0.027</v>
      </c>
      <c r="H1158" s="20" t="n">
        <v>0.02781</v>
      </c>
      <c r="I1158" s="20" t="n">
        <v>0.02565</v>
      </c>
      <c r="J1158" s="20" t="n">
        <v>0.02565</v>
      </c>
      <c r="K1158" s="2" t="inlineStr">
        <is>
          <t>止損</t>
        </is>
      </c>
      <c r="L1158" s="5">
        <f>交易明細!K535</f>
        <v/>
      </c>
      <c r="M1158" s="19">
        <f>M1066</f>
        <v/>
      </c>
      <c r="N1158" s="2">
        <f>N1066</f>
        <v/>
      </c>
      <c r="O1158" s="19">
        <f>O1066</f>
        <v/>
      </c>
      <c r="P1158" s="4">
        <f>交易明細!L535</f>
        <v/>
      </c>
      <c r="Q1158" s="13">
        <f>IF(N1158="已下單",O1158*P1158,0)</f>
        <v/>
      </c>
      <c r="R1158" s="13">
        <f>R1157+Q1158</f>
        <v/>
      </c>
      <c r="S1158" s="19">
        <f>S1157-IF(N1158="已下單",M1158,0)</f>
        <v/>
      </c>
      <c r="T1158" s="19">
        <f>R1158-S1158</f>
        <v/>
      </c>
      <c r="U1158" s="2">
        <f>U1157-IF(N1158="已下單",1,0)</f>
        <v/>
      </c>
      <c r="V1158" s="19">
        <f>IF(資金模擬!$B$9=2,MAX(R1158,0),MAX(V1157,FLOOR(MAX(R1158,0),資金模擬!$B$6)))</f>
        <v/>
      </c>
      <c r="W1158" s="13">
        <f>MAX(W1157,R1158)</f>
        <v/>
      </c>
      <c r="X1158" s="4">
        <f>IF(W1158&gt;0,R1158/W1158-1,-1)</f>
        <v/>
      </c>
      <c r="Y1158" s="19">
        <f>IF(R1158&gt;0,S1158*資金模擬!$B$7/R1158,0)</f>
        <v/>
      </c>
      <c r="Z1158" s="2">
        <f>IF(OR(Z1157=1,R1158&lt;=資金模擬!$B$10),1,0)</f>
        <v/>
      </c>
    </row>
    <row r="1159">
      <c r="A1159" s="2" t="n">
        <v>1157</v>
      </c>
      <c r="B1159" s="7" t="n">
        <v>46295.08333333334</v>
      </c>
      <c r="C1159" s="2" t="inlineStr">
        <is>
          <t>出場</t>
        </is>
      </c>
      <c r="D1159" s="2" t="n">
        <v>557</v>
      </c>
      <c r="E1159" s="2" t="inlineStr">
        <is>
          <t>XLM_USDT_PERP</t>
        </is>
      </c>
      <c r="F1159" s="2" t="inlineStr">
        <is>
          <t>做多</t>
        </is>
      </c>
      <c r="G1159" s="20" t="n">
        <v>0.23239</v>
      </c>
      <c r="H1159" s="20" t="n">
        <v>0.2393617</v>
      </c>
      <c r="I1159" s="20" t="n">
        <v>0.2207705</v>
      </c>
      <c r="J1159" s="20" t="n">
        <v>0.2207705</v>
      </c>
      <c r="K1159" s="2" t="inlineStr">
        <is>
          <t>止損</t>
        </is>
      </c>
      <c r="L1159" s="5">
        <f>交易明細!K558</f>
        <v/>
      </c>
      <c r="M1159" s="19">
        <f>M1105</f>
        <v/>
      </c>
      <c r="N1159" s="2">
        <f>N1105</f>
        <v/>
      </c>
      <c r="O1159" s="19">
        <f>O1105</f>
        <v/>
      </c>
      <c r="P1159" s="4">
        <f>交易明細!L558</f>
        <v/>
      </c>
      <c r="Q1159" s="13">
        <f>IF(N1159="已下單",O1159*P1159,0)</f>
        <v/>
      </c>
      <c r="R1159" s="13">
        <f>R1158+Q1159</f>
        <v/>
      </c>
      <c r="S1159" s="19">
        <f>S1158-IF(N1159="已下單",M1159,0)</f>
        <v/>
      </c>
      <c r="T1159" s="19">
        <f>R1159-S1159</f>
        <v/>
      </c>
      <c r="U1159" s="2">
        <f>U1158-IF(N1159="已下單",1,0)</f>
        <v/>
      </c>
      <c r="V1159" s="19">
        <f>IF(資金模擬!$B$9=2,MAX(R1159,0),MAX(V1158,FLOOR(MAX(R1159,0),資金模擬!$B$6)))</f>
        <v/>
      </c>
      <c r="W1159" s="13">
        <f>MAX(W1158,R1159)</f>
        <v/>
      </c>
      <c r="X1159" s="4">
        <f>IF(W1159&gt;0,R1159/W1159-1,-1)</f>
        <v/>
      </c>
      <c r="Y1159" s="19">
        <f>IF(R1159&gt;0,S1159*資金模擬!$B$7/R1159,0)</f>
        <v/>
      </c>
      <c r="Z1159" s="2">
        <f>IF(OR(Z1158=1,R1159&lt;=資金模擬!$B$10),1,0)</f>
        <v/>
      </c>
    </row>
    <row r="1160">
      <c r="A1160" s="2" t="n">
        <v>1158</v>
      </c>
      <c r="B1160" s="7" t="n">
        <v>46295.08333333334</v>
      </c>
      <c r="C1160" s="2" t="inlineStr">
        <is>
          <t>出場</t>
        </is>
      </c>
      <c r="D1160" s="2" t="n">
        <v>569</v>
      </c>
      <c r="E1160" s="2" t="inlineStr">
        <is>
          <t>ALGO_USDT_PERP</t>
        </is>
      </c>
      <c r="F1160" s="2" t="inlineStr">
        <is>
          <t>做空</t>
        </is>
      </c>
      <c r="G1160" s="20" t="n">
        <v>0.1292</v>
      </c>
      <c r="H1160" s="20" t="n">
        <v>0.125324</v>
      </c>
      <c r="I1160" s="20" t="n">
        <v>0.13566</v>
      </c>
      <c r="J1160" s="20" t="n">
        <v>0.125324</v>
      </c>
      <c r="K1160" s="2" t="inlineStr">
        <is>
          <t>止盈</t>
        </is>
      </c>
      <c r="L1160" s="5">
        <f>交易明細!K570</f>
        <v/>
      </c>
      <c r="M1160" s="19">
        <f>M1131</f>
        <v/>
      </c>
      <c r="N1160" s="2">
        <f>N1131</f>
        <v/>
      </c>
      <c r="O1160" s="19">
        <f>O1131</f>
        <v/>
      </c>
      <c r="P1160" s="4">
        <f>交易明細!L570</f>
        <v/>
      </c>
      <c r="Q1160" s="13">
        <f>IF(N1160="已下單",O1160*P1160,0)</f>
        <v/>
      </c>
      <c r="R1160" s="13">
        <f>R1159+Q1160</f>
        <v/>
      </c>
      <c r="S1160" s="19">
        <f>S1159-IF(N1160="已下單",M1160,0)</f>
        <v/>
      </c>
      <c r="T1160" s="19">
        <f>R1160-S1160</f>
        <v/>
      </c>
      <c r="U1160" s="2">
        <f>U1159-IF(N1160="已下單",1,0)</f>
        <v/>
      </c>
      <c r="V1160" s="19">
        <f>IF(資金模擬!$B$9=2,MAX(R1160,0),MAX(V1159,FLOOR(MAX(R1160,0),資金模擬!$B$6)))</f>
        <v/>
      </c>
      <c r="W1160" s="13">
        <f>MAX(W1159,R1160)</f>
        <v/>
      </c>
      <c r="X1160" s="4">
        <f>IF(W1160&gt;0,R1160/W1160-1,-1)</f>
        <v/>
      </c>
      <c r="Y1160" s="19">
        <f>IF(R1160&gt;0,S1160*資金模擬!$B$7/R1160,0)</f>
        <v/>
      </c>
      <c r="Z1160" s="2">
        <f>IF(OR(Z1159=1,R1160&lt;=資金模擬!$B$10),1,0)</f>
        <v/>
      </c>
    </row>
    <row r="1161">
      <c r="A1161" s="2" t="n">
        <v>1159</v>
      </c>
      <c r="B1161" s="7" t="n">
        <v>46295.08333333334</v>
      </c>
      <c r="C1161" s="2" t="inlineStr">
        <is>
          <t>出場</t>
        </is>
      </c>
      <c r="D1161" s="2" t="n">
        <v>572</v>
      </c>
      <c r="E1161" s="2" t="inlineStr">
        <is>
          <t>NMR_USDT_PERP</t>
        </is>
      </c>
      <c r="F1161" s="2" t="inlineStr">
        <is>
          <t>做空</t>
        </is>
      </c>
      <c r="G1161" s="20" t="n">
        <v>12.436</v>
      </c>
      <c r="H1161" s="20" t="n">
        <v>12.06292</v>
      </c>
      <c r="I1161" s="20" t="n">
        <v>13.0578</v>
      </c>
      <c r="J1161" s="20" t="n">
        <v>13.0578</v>
      </c>
      <c r="K1161" s="2" t="inlineStr">
        <is>
          <t>止損</t>
        </is>
      </c>
      <c r="L1161" s="5">
        <f>交易明細!K573</f>
        <v/>
      </c>
      <c r="M1161" s="19">
        <f>M1139</f>
        <v/>
      </c>
      <c r="N1161" s="2">
        <f>N1139</f>
        <v/>
      </c>
      <c r="O1161" s="19">
        <f>O1139</f>
        <v/>
      </c>
      <c r="P1161" s="4">
        <f>交易明細!L573</f>
        <v/>
      </c>
      <c r="Q1161" s="13">
        <f>IF(N1161="已下單",O1161*P1161,0)</f>
        <v/>
      </c>
      <c r="R1161" s="13">
        <f>R1160+Q1161</f>
        <v/>
      </c>
      <c r="S1161" s="19">
        <f>S1160-IF(N1161="已下單",M1161,0)</f>
        <v/>
      </c>
      <c r="T1161" s="19">
        <f>R1161-S1161</f>
        <v/>
      </c>
      <c r="U1161" s="2">
        <f>U1160-IF(N1161="已下單",1,0)</f>
        <v/>
      </c>
      <c r="V1161" s="19">
        <f>IF(資金模擬!$B$9=2,MAX(R1161,0),MAX(V1160,FLOOR(MAX(R1161,0),資金模擬!$B$6)))</f>
        <v/>
      </c>
      <c r="W1161" s="13">
        <f>MAX(W1160,R1161)</f>
        <v/>
      </c>
      <c r="X1161" s="4">
        <f>IF(W1161&gt;0,R1161/W1161-1,-1)</f>
        <v/>
      </c>
      <c r="Y1161" s="19">
        <f>IF(R1161&gt;0,S1161*資金模擬!$B$7/R1161,0)</f>
        <v/>
      </c>
      <c r="Z1161" s="2">
        <f>IF(OR(Z1160=1,R1161&lt;=資金模擬!$B$10),1,0)</f>
        <v/>
      </c>
    </row>
    <row r="1162">
      <c r="A1162" s="2" t="n">
        <v>1160</v>
      </c>
      <c r="B1162" s="7" t="n">
        <v>46295.08333333334</v>
      </c>
      <c r="C1162" s="2" t="inlineStr">
        <is>
          <t>出場</t>
        </is>
      </c>
      <c r="D1162" s="2" t="n">
        <v>576</v>
      </c>
      <c r="E1162" s="2" t="inlineStr">
        <is>
          <t>CRV_USDT_PERP</t>
        </is>
      </c>
      <c r="F1162" s="2" t="inlineStr">
        <is>
          <t>做多</t>
        </is>
      </c>
      <c r="G1162" s="20" t="n">
        <v>0.4082</v>
      </c>
      <c r="H1162" s="20" t="n">
        <v>0.420446</v>
      </c>
      <c r="I1162" s="20" t="n">
        <v>0.38779</v>
      </c>
      <c r="J1162" s="20" t="n">
        <v>0.38779</v>
      </c>
      <c r="K1162" s="2" t="inlineStr">
        <is>
          <t>止損</t>
        </is>
      </c>
      <c r="L1162" s="5">
        <f>交易明細!K577</f>
        <v/>
      </c>
      <c r="M1162" s="19">
        <f>M1146</f>
        <v/>
      </c>
      <c r="N1162" s="2">
        <f>N1146</f>
        <v/>
      </c>
      <c r="O1162" s="19">
        <f>O1146</f>
        <v/>
      </c>
      <c r="P1162" s="4">
        <f>交易明細!L577</f>
        <v/>
      </c>
      <c r="Q1162" s="13">
        <f>IF(N1162="已下單",O1162*P1162,0)</f>
        <v/>
      </c>
      <c r="R1162" s="13">
        <f>R1161+Q1162</f>
        <v/>
      </c>
      <c r="S1162" s="19">
        <f>S1161-IF(N1162="已下單",M1162,0)</f>
        <v/>
      </c>
      <c r="T1162" s="19">
        <f>R1162-S1162</f>
        <v/>
      </c>
      <c r="U1162" s="2">
        <f>U1161-IF(N1162="已下單",1,0)</f>
        <v/>
      </c>
      <c r="V1162" s="19">
        <f>IF(資金模擬!$B$9=2,MAX(R1162,0),MAX(V1161,FLOOR(MAX(R1162,0),資金模擬!$B$6)))</f>
        <v/>
      </c>
      <c r="W1162" s="13">
        <f>MAX(W1161,R1162)</f>
        <v/>
      </c>
      <c r="X1162" s="4">
        <f>IF(W1162&gt;0,R1162/W1162-1,-1)</f>
        <v/>
      </c>
      <c r="Y1162" s="19">
        <f>IF(R1162&gt;0,S1162*資金模擬!$B$7/R1162,0)</f>
        <v/>
      </c>
      <c r="Z1162" s="2">
        <f>IF(OR(Z1161=1,R1162&lt;=資金模擬!$B$10),1,0)</f>
        <v/>
      </c>
    </row>
    <row r="1163">
      <c r="A1163" s="2" t="n">
        <v>1161</v>
      </c>
      <c r="B1163" s="7" t="n">
        <v>46295.08333333334</v>
      </c>
      <c r="C1163" s="2" t="inlineStr">
        <is>
          <t>出場</t>
        </is>
      </c>
      <c r="D1163" s="2" t="n">
        <v>578</v>
      </c>
      <c r="E1163" s="2" t="inlineStr">
        <is>
          <t>WLD_USDT_PERP</t>
        </is>
      </c>
      <c r="F1163" s="2" t="inlineStr">
        <is>
          <t>做多</t>
        </is>
      </c>
      <c r="G1163" s="20" t="n">
        <v>0.5116000000000001</v>
      </c>
      <c r="H1163" s="20" t="n">
        <v>0.5269480000000001</v>
      </c>
      <c r="I1163" s="20" t="n">
        <v>0.48602</v>
      </c>
      <c r="J1163" s="20" t="n">
        <v>0.48602</v>
      </c>
      <c r="K1163" s="2" t="inlineStr">
        <is>
          <t>止損</t>
        </is>
      </c>
      <c r="L1163" s="5">
        <f>交易明細!K579</f>
        <v/>
      </c>
      <c r="M1163" s="19">
        <f>M1148</f>
        <v/>
      </c>
      <c r="N1163" s="2">
        <f>N1148</f>
        <v/>
      </c>
      <c r="O1163" s="19">
        <f>O1148</f>
        <v/>
      </c>
      <c r="P1163" s="4">
        <f>交易明細!L579</f>
        <v/>
      </c>
      <c r="Q1163" s="13">
        <f>IF(N1163="已下單",O1163*P1163,0)</f>
        <v/>
      </c>
      <c r="R1163" s="13">
        <f>R1162+Q1163</f>
        <v/>
      </c>
      <c r="S1163" s="19">
        <f>S1162-IF(N1163="已下單",M1163,0)</f>
        <v/>
      </c>
      <c r="T1163" s="19">
        <f>R1163-S1163</f>
        <v/>
      </c>
      <c r="U1163" s="2">
        <f>U1162-IF(N1163="已下單",1,0)</f>
        <v/>
      </c>
      <c r="V1163" s="19">
        <f>IF(資金模擬!$B$9=2,MAX(R1163,0),MAX(V1162,FLOOR(MAX(R1163,0),資金模擬!$B$6)))</f>
        <v/>
      </c>
      <c r="W1163" s="13">
        <f>MAX(W1162,R1163)</f>
        <v/>
      </c>
      <c r="X1163" s="4">
        <f>IF(W1163&gt;0,R1163/W1163-1,-1)</f>
        <v/>
      </c>
      <c r="Y1163" s="19">
        <f>IF(R1163&gt;0,S1163*資金模擬!$B$7/R1163,0)</f>
        <v/>
      </c>
      <c r="Z1163" s="2">
        <f>IF(OR(Z1162=1,R1163&lt;=資金模擬!$B$10),1,0)</f>
        <v/>
      </c>
    </row>
    <row r="1164">
      <c r="A1164" s="2" t="n">
        <v>1162</v>
      </c>
      <c r="B1164" s="7" t="n">
        <v>46295.08333333334</v>
      </c>
      <c r="C1164" s="2" t="inlineStr">
        <is>
          <t>出場</t>
        </is>
      </c>
      <c r="D1164" s="2" t="n">
        <v>581</v>
      </c>
      <c r="E1164" s="2" t="inlineStr">
        <is>
          <t>MARSCOIN_USDT_PERP</t>
        </is>
      </c>
      <c r="F1164" s="2" t="inlineStr">
        <is>
          <t>做空</t>
        </is>
      </c>
      <c r="G1164" s="20" t="n">
        <v>0.14765</v>
      </c>
      <c r="H1164" s="20" t="n">
        <v>0.1432205</v>
      </c>
      <c r="I1164" s="20" t="n">
        <v>0.1550325</v>
      </c>
      <c r="J1164" s="20" t="n">
        <v>0.1432205</v>
      </c>
      <c r="K1164" s="2" t="inlineStr">
        <is>
          <t>止盈</t>
        </is>
      </c>
      <c r="L1164" s="5">
        <f>交易明細!K582</f>
        <v/>
      </c>
      <c r="M1164" s="19">
        <f>M1152</f>
        <v/>
      </c>
      <c r="N1164" s="2">
        <f>N1152</f>
        <v/>
      </c>
      <c r="O1164" s="19">
        <f>O1152</f>
        <v/>
      </c>
      <c r="P1164" s="4">
        <f>交易明細!L582</f>
        <v/>
      </c>
      <c r="Q1164" s="13">
        <f>IF(N1164="已下單",O1164*P1164,0)</f>
        <v/>
      </c>
      <c r="R1164" s="13">
        <f>R1163+Q1164</f>
        <v/>
      </c>
      <c r="S1164" s="19">
        <f>S1163-IF(N1164="已下單",M1164,0)</f>
        <v/>
      </c>
      <c r="T1164" s="19">
        <f>R1164-S1164</f>
        <v/>
      </c>
      <c r="U1164" s="2">
        <f>U1163-IF(N1164="已下單",1,0)</f>
        <v/>
      </c>
      <c r="V1164" s="19">
        <f>IF(資金模擬!$B$9=2,MAX(R1164,0),MAX(V1163,FLOOR(MAX(R1164,0),資金模擬!$B$6)))</f>
        <v/>
      </c>
      <c r="W1164" s="13">
        <f>MAX(W1163,R1164)</f>
        <v/>
      </c>
      <c r="X1164" s="4">
        <f>IF(W1164&gt;0,R1164/W1164-1,-1)</f>
        <v/>
      </c>
      <c r="Y1164" s="19">
        <f>IF(R1164&gt;0,S1164*資金模擬!$B$7/R1164,0)</f>
        <v/>
      </c>
      <c r="Z1164" s="2">
        <f>IF(OR(Z1163=1,R1164&lt;=資金模擬!$B$10),1,0)</f>
        <v/>
      </c>
    </row>
    <row r="1165">
      <c r="A1165" s="2" t="n">
        <v>1163</v>
      </c>
      <c r="B1165" s="7" t="n">
        <v>46295.125</v>
      </c>
      <c r="C1165" s="2" t="inlineStr">
        <is>
          <t>出場</t>
        </is>
      </c>
      <c r="D1165" s="2" t="n">
        <v>571</v>
      </c>
      <c r="E1165" s="2" t="inlineStr">
        <is>
          <t>NEAR_USDT_PERP</t>
        </is>
      </c>
      <c r="F1165" s="2" t="inlineStr">
        <is>
          <t>做多</t>
        </is>
      </c>
      <c r="G1165" s="20" t="n">
        <v>4.912</v>
      </c>
      <c r="H1165" s="20" t="n">
        <v>5.05936</v>
      </c>
      <c r="I1165" s="20" t="n">
        <v>4.666399999999999</v>
      </c>
      <c r="J1165" s="20" t="n">
        <v>5.05936</v>
      </c>
      <c r="K1165" s="2" t="inlineStr">
        <is>
          <t>止盈</t>
        </is>
      </c>
      <c r="L1165" s="5">
        <f>交易明細!K572</f>
        <v/>
      </c>
      <c r="M1165" s="19">
        <f>M1138</f>
        <v/>
      </c>
      <c r="N1165" s="2">
        <f>N1138</f>
        <v/>
      </c>
      <c r="O1165" s="19">
        <f>O1138</f>
        <v/>
      </c>
      <c r="P1165" s="4">
        <f>交易明細!L572</f>
        <v/>
      </c>
      <c r="Q1165" s="13">
        <f>IF(N1165="已下單",O1165*P1165,0)</f>
        <v/>
      </c>
      <c r="R1165" s="13">
        <f>R1164+Q1165</f>
        <v/>
      </c>
      <c r="S1165" s="19">
        <f>S1164-IF(N1165="已下單",M1165,0)</f>
        <v/>
      </c>
      <c r="T1165" s="19">
        <f>R1165-S1165</f>
        <v/>
      </c>
      <c r="U1165" s="2">
        <f>U1164-IF(N1165="已下單",1,0)</f>
        <v/>
      </c>
      <c r="V1165" s="19">
        <f>IF(資金模擬!$B$9=2,MAX(R1165,0),MAX(V1164,FLOOR(MAX(R1165,0),資金模擬!$B$6)))</f>
        <v/>
      </c>
      <c r="W1165" s="13">
        <f>MAX(W1164,R1165)</f>
        <v/>
      </c>
      <c r="X1165" s="4">
        <f>IF(W1165&gt;0,R1165/W1165-1,-1)</f>
        <v/>
      </c>
      <c r="Y1165" s="19">
        <f>IF(R1165&gt;0,S1165*資金模擬!$B$7/R1165,0)</f>
        <v/>
      </c>
      <c r="Z1165" s="2">
        <f>IF(OR(Z1164=1,R1165&lt;=資金模擬!$B$10),1,0)</f>
        <v/>
      </c>
    </row>
    <row r="1166">
      <c r="A1166" s="2" t="n">
        <v>1164</v>
      </c>
      <c r="B1166" s="7" t="n">
        <v>46295.125</v>
      </c>
      <c r="C1166" s="2" t="inlineStr">
        <is>
          <t>進場</t>
        </is>
      </c>
      <c r="D1166" s="2" t="n">
        <v>586</v>
      </c>
      <c r="E1166" s="2" t="inlineStr">
        <is>
          <t>ICP_USDT_PERP</t>
        </is>
      </c>
      <c r="F1166" s="2" t="inlineStr">
        <is>
          <t>做多</t>
        </is>
      </c>
      <c r="G1166" s="20" t="n">
        <v>3.4</v>
      </c>
      <c r="H1166" s="20" t="n">
        <v>3.502</v>
      </c>
      <c r="I1166" s="20" t="n">
        <v>3.23</v>
      </c>
      <c r="J1166" s="20" t="n"/>
      <c r="K1166" s="2" t="n"/>
      <c r="L1166" s="5" t="n"/>
      <c r="M1166" s="19">
        <f>資金模擬!$B$5*V1165</f>
        <v/>
      </c>
      <c r="N1166" s="2">
        <f>IF(Z1165=1,"已停止",IF(T1165&gt;=M1166,"已下單","資金不足略過"))</f>
        <v/>
      </c>
      <c r="O1166" s="19">
        <f>IF(N1166="已下單",M1166*資金模擬!$B$7,0)</f>
        <v/>
      </c>
      <c r="P1166" s="4" t="n"/>
      <c r="Q1166" s="13" t="n">
        <v>0</v>
      </c>
      <c r="R1166" s="13">
        <f>R1165+Q1166</f>
        <v/>
      </c>
      <c r="S1166" s="19">
        <f>S1165+IF(N1166="已下單",M1166,0)</f>
        <v/>
      </c>
      <c r="T1166" s="19">
        <f>R1166-S1166</f>
        <v/>
      </c>
      <c r="U1166" s="2">
        <f>U1165+IF(N1166="已下單",1,0)</f>
        <v/>
      </c>
      <c r="V1166" s="19">
        <f>IF(資金模擬!$B$9=2,MAX(R1166,0),MAX(V1165,FLOOR(MAX(R1166,0),資金模擬!$B$6)))</f>
        <v/>
      </c>
      <c r="W1166" s="13">
        <f>MAX(W1165,R1166)</f>
        <v/>
      </c>
      <c r="X1166" s="4">
        <f>IF(W1166&gt;0,R1166/W1166-1,-1)</f>
        <v/>
      </c>
      <c r="Y1166" s="19">
        <f>IF(R1166&gt;0,S1166*資金模擬!$B$7/R1166,0)</f>
        <v/>
      </c>
      <c r="Z1166" s="2">
        <f>IF(OR(Z1165=1,R1166&lt;=資金模擬!$B$10),1,0)</f>
        <v/>
      </c>
    </row>
    <row r="1167">
      <c r="A1167" s="2" t="n">
        <v>1165</v>
      </c>
      <c r="B1167" s="7" t="n">
        <v>46295.125</v>
      </c>
      <c r="C1167" s="2" t="inlineStr">
        <is>
          <t>進場</t>
        </is>
      </c>
      <c r="D1167" s="2" t="n">
        <v>587</v>
      </c>
      <c r="E1167" s="2" t="inlineStr">
        <is>
          <t>USELESS_USDT_PERP</t>
        </is>
      </c>
      <c r="F1167" s="2" t="inlineStr">
        <is>
          <t>做多</t>
        </is>
      </c>
      <c r="G1167" s="20" t="n">
        <v>0.24697</v>
      </c>
      <c r="H1167" s="20" t="n">
        <v>0.2543791</v>
      </c>
      <c r="I1167" s="20" t="n">
        <v>0.2346215</v>
      </c>
      <c r="J1167" s="20" t="n"/>
      <c r="K1167" s="2" t="n"/>
      <c r="L1167" s="5" t="n"/>
      <c r="M1167" s="19">
        <f>資金模擬!$B$5*V1166</f>
        <v/>
      </c>
      <c r="N1167" s="2">
        <f>IF(Z1166=1,"已停止",IF(T1166&gt;=M1167,"已下單","資金不足略過"))</f>
        <v/>
      </c>
      <c r="O1167" s="19">
        <f>IF(N1167="已下單",M1167*資金模擬!$B$7,0)</f>
        <v/>
      </c>
      <c r="P1167" s="4" t="n"/>
      <c r="Q1167" s="13" t="n">
        <v>0</v>
      </c>
      <c r="R1167" s="13">
        <f>R1166+Q1167</f>
        <v/>
      </c>
      <c r="S1167" s="19">
        <f>S1166+IF(N1167="已下單",M1167,0)</f>
        <v/>
      </c>
      <c r="T1167" s="19">
        <f>R1167-S1167</f>
        <v/>
      </c>
      <c r="U1167" s="2">
        <f>U1166+IF(N1167="已下單",1,0)</f>
        <v/>
      </c>
      <c r="V1167" s="19">
        <f>IF(資金模擬!$B$9=2,MAX(R1167,0),MAX(V1166,FLOOR(MAX(R1167,0),資金模擬!$B$6)))</f>
        <v/>
      </c>
      <c r="W1167" s="13">
        <f>MAX(W1166,R1167)</f>
        <v/>
      </c>
      <c r="X1167" s="4">
        <f>IF(W1167&gt;0,R1167/W1167-1,-1)</f>
        <v/>
      </c>
      <c r="Y1167" s="19">
        <f>IF(R1167&gt;0,S1167*資金模擬!$B$7/R1167,0)</f>
        <v/>
      </c>
      <c r="Z1167" s="2">
        <f>IF(OR(Z1166=1,R1167&lt;=資金模擬!$B$10),1,0)</f>
        <v/>
      </c>
    </row>
    <row r="1168">
      <c r="A1168" s="2" t="n">
        <v>1166</v>
      </c>
      <c r="B1168" s="7" t="n">
        <v>46295.20833333334</v>
      </c>
      <c r="C1168" s="2" t="inlineStr">
        <is>
          <t>出場</t>
        </is>
      </c>
      <c r="D1168" s="2" t="n">
        <v>574</v>
      </c>
      <c r="E1168" s="2" t="inlineStr">
        <is>
          <t>XPL_USDT_PERP</t>
        </is>
      </c>
      <c r="F1168" s="2" t="inlineStr">
        <is>
          <t>做多</t>
        </is>
      </c>
      <c r="G1168" s="20" t="n">
        <v>0.1014</v>
      </c>
      <c r="H1168" s="20" t="n">
        <v>0.104442</v>
      </c>
      <c r="I1168" s="20" t="n">
        <v>0.09633</v>
      </c>
      <c r="J1168" s="20" t="n">
        <v>0.09633</v>
      </c>
      <c r="K1168" s="2" t="inlineStr">
        <is>
          <t>止損</t>
        </is>
      </c>
      <c r="L1168" s="5">
        <f>交易明細!K575</f>
        <v/>
      </c>
      <c r="M1168" s="19">
        <f>M1141</f>
        <v/>
      </c>
      <c r="N1168" s="2">
        <f>N1141</f>
        <v/>
      </c>
      <c r="O1168" s="19">
        <f>O1141</f>
        <v/>
      </c>
      <c r="P1168" s="4">
        <f>交易明細!L575</f>
        <v/>
      </c>
      <c r="Q1168" s="13">
        <f>IF(N1168="已下單",O1168*P1168,0)</f>
        <v/>
      </c>
      <c r="R1168" s="13">
        <f>R1167+Q1168</f>
        <v/>
      </c>
      <c r="S1168" s="19">
        <f>S1167-IF(N1168="已下單",M1168,0)</f>
        <v/>
      </c>
      <c r="T1168" s="19">
        <f>R1168-S1168</f>
        <v/>
      </c>
      <c r="U1168" s="2">
        <f>U1167-IF(N1168="已下單",1,0)</f>
        <v/>
      </c>
      <c r="V1168" s="19">
        <f>IF(資金模擬!$B$9=2,MAX(R1168,0),MAX(V1167,FLOOR(MAX(R1168,0),資金模擬!$B$6)))</f>
        <v/>
      </c>
      <c r="W1168" s="13">
        <f>MAX(W1167,R1168)</f>
        <v/>
      </c>
      <c r="X1168" s="4">
        <f>IF(W1168&gt;0,R1168/W1168-1,-1)</f>
        <v/>
      </c>
      <c r="Y1168" s="19">
        <f>IF(R1168&gt;0,S1168*資金模擬!$B$7/R1168,0)</f>
        <v/>
      </c>
      <c r="Z1168" s="2">
        <f>IF(OR(Z1167=1,R1168&lt;=資金模擬!$B$10),1,0)</f>
        <v/>
      </c>
    </row>
    <row r="1169">
      <c r="A1169" s="2" t="n">
        <v>1167</v>
      </c>
      <c r="B1169" s="7" t="n">
        <v>46295.20833333334</v>
      </c>
      <c r="C1169" s="2" t="inlineStr">
        <is>
          <t>出場</t>
        </is>
      </c>
      <c r="D1169" s="2" t="n">
        <v>586</v>
      </c>
      <c r="E1169" s="2" t="inlineStr">
        <is>
          <t>ICP_USDT_PERP</t>
        </is>
      </c>
      <c r="F1169" s="2" t="inlineStr">
        <is>
          <t>做多</t>
        </is>
      </c>
      <c r="G1169" s="20" t="n">
        <v>3.4</v>
      </c>
      <c r="H1169" s="20" t="n">
        <v>3.502</v>
      </c>
      <c r="I1169" s="20" t="n">
        <v>3.23</v>
      </c>
      <c r="J1169" s="20" t="n">
        <v>3.502</v>
      </c>
      <c r="K1169" s="2" t="inlineStr">
        <is>
          <t>止盈</t>
        </is>
      </c>
      <c r="L1169" s="5">
        <f>交易明細!K587</f>
        <v/>
      </c>
      <c r="M1169" s="19">
        <f>M1166</f>
        <v/>
      </c>
      <c r="N1169" s="2">
        <f>N1166</f>
        <v/>
      </c>
      <c r="O1169" s="19">
        <f>O1166</f>
        <v/>
      </c>
      <c r="P1169" s="4">
        <f>交易明細!L587</f>
        <v/>
      </c>
      <c r="Q1169" s="13">
        <f>IF(N1169="已下單",O1169*P1169,0)</f>
        <v/>
      </c>
      <c r="R1169" s="13">
        <f>R1168+Q1169</f>
        <v/>
      </c>
      <c r="S1169" s="19">
        <f>S1168-IF(N1169="已下單",M1169,0)</f>
        <v/>
      </c>
      <c r="T1169" s="19">
        <f>R1169-S1169</f>
        <v/>
      </c>
      <c r="U1169" s="2">
        <f>U1168-IF(N1169="已下單",1,0)</f>
        <v/>
      </c>
      <c r="V1169" s="19">
        <f>IF(資金模擬!$B$9=2,MAX(R1169,0),MAX(V1168,FLOOR(MAX(R1169,0),資金模擬!$B$6)))</f>
        <v/>
      </c>
      <c r="W1169" s="13">
        <f>MAX(W1168,R1169)</f>
        <v/>
      </c>
      <c r="X1169" s="4">
        <f>IF(W1169&gt;0,R1169/W1169-1,-1)</f>
        <v/>
      </c>
      <c r="Y1169" s="19">
        <f>IF(R1169&gt;0,S1169*資金模擬!$B$7/R1169,0)</f>
        <v/>
      </c>
      <c r="Z1169" s="2">
        <f>IF(OR(Z1168=1,R1169&lt;=資金模擬!$B$10),1,0)</f>
        <v/>
      </c>
    </row>
    <row r="1170">
      <c r="A1170" s="2" t="n">
        <v>1168</v>
      </c>
      <c r="B1170" s="7" t="n">
        <v>46295.25</v>
      </c>
      <c r="C1170" s="2" t="inlineStr">
        <is>
          <t>出場</t>
        </is>
      </c>
      <c r="D1170" s="2" t="n">
        <v>583</v>
      </c>
      <c r="E1170" s="2" t="inlineStr">
        <is>
          <t>PONS_USDT_PERP</t>
        </is>
      </c>
      <c r="F1170" s="2" t="inlineStr">
        <is>
          <t>做空</t>
        </is>
      </c>
      <c r="G1170" s="20" t="n">
        <v>0.5303</v>
      </c>
      <c r="H1170" s="20" t="n">
        <v>0.5143909999999999</v>
      </c>
      <c r="I1170" s="20" t="n">
        <v>0.5568150000000001</v>
      </c>
      <c r="J1170" s="20" t="n">
        <v>0.5143909999999999</v>
      </c>
      <c r="K1170" s="2" t="inlineStr">
        <is>
          <t>止盈</t>
        </is>
      </c>
      <c r="L1170" s="5">
        <f>交易明細!K584</f>
        <v/>
      </c>
      <c r="M1170" s="19">
        <f>M1154</f>
        <v/>
      </c>
      <c r="N1170" s="2">
        <f>N1154</f>
        <v/>
      </c>
      <c r="O1170" s="19">
        <f>O1154</f>
        <v/>
      </c>
      <c r="P1170" s="4">
        <f>交易明細!L584</f>
        <v/>
      </c>
      <c r="Q1170" s="13">
        <f>IF(N1170="已下單",O1170*P1170,0)</f>
        <v/>
      </c>
      <c r="R1170" s="13">
        <f>R1169+Q1170</f>
        <v/>
      </c>
      <c r="S1170" s="19">
        <f>S1169-IF(N1170="已下單",M1170,0)</f>
        <v/>
      </c>
      <c r="T1170" s="19">
        <f>R1170-S1170</f>
        <v/>
      </c>
      <c r="U1170" s="2">
        <f>U1169-IF(N1170="已下單",1,0)</f>
        <v/>
      </c>
      <c r="V1170" s="19">
        <f>IF(資金模擬!$B$9=2,MAX(R1170,0),MAX(V1169,FLOOR(MAX(R1170,0),資金模擬!$B$6)))</f>
        <v/>
      </c>
      <c r="W1170" s="13">
        <f>MAX(W1169,R1170)</f>
        <v/>
      </c>
      <c r="X1170" s="4">
        <f>IF(W1170&gt;0,R1170/W1170-1,-1)</f>
        <v/>
      </c>
      <c r="Y1170" s="19">
        <f>IF(R1170&gt;0,S1170*資金模擬!$B$7/R1170,0)</f>
        <v/>
      </c>
      <c r="Z1170" s="2">
        <f>IF(OR(Z1169=1,R1170&lt;=資金模擬!$B$10),1,0)</f>
        <v/>
      </c>
    </row>
    <row r="1171">
      <c r="A1171" s="2" t="n">
        <v>1169</v>
      </c>
      <c r="B1171" s="7" t="n">
        <v>46295.33333333334</v>
      </c>
      <c r="C1171" s="2" t="inlineStr">
        <is>
          <t>進場</t>
        </is>
      </c>
      <c r="D1171" s="2" t="n">
        <v>588</v>
      </c>
      <c r="E1171" s="2" t="inlineStr">
        <is>
          <t>NMR_USDT_PERP</t>
        </is>
      </c>
      <c r="F1171" s="2" t="inlineStr">
        <is>
          <t>做空</t>
        </is>
      </c>
      <c r="G1171" s="20" t="n">
        <v>12.14</v>
      </c>
      <c r="H1171" s="20" t="n">
        <v>11.7758</v>
      </c>
      <c r="I1171" s="20" t="n">
        <v>12.747</v>
      </c>
      <c r="J1171" s="20" t="n"/>
      <c r="K1171" s="2" t="n"/>
      <c r="L1171" s="5" t="n"/>
      <c r="M1171" s="19">
        <f>資金模擬!$B$5*V1170</f>
        <v/>
      </c>
      <c r="N1171" s="2">
        <f>IF(Z1170=1,"已停止",IF(T1170&gt;=M1171,"已下單","資金不足略過"))</f>
        <v/>
      </c>
      <c r="O1171" s="19">
        <f>IF(N1171="已下單",M1171*資金模擬!$B$7,0)</f>
        <v/>
      </c>
      <c r="P1171" s="4" t="n"/>
      <c r="Q1171" s="13" t="n">
        <v>0</v>
      </c>
      <c r="R1171" s="13">
        <f>R1170+Q1171</f>
        <v/>
      </c>
      <c r="S1171" s="19">
        <f>S1170+IF(N1171="已下單",M1171,0)</f>
        <v/>
      </c>
      <c r="T1171" s="19">
        <f>R1171-S1171</f>
        <v/>
      </c>
      <c r="U1171" s="2">
        <f>U1170+IF(N1171="已下單",1,0)</f>
        <v/>
      </c>
      <c r="V1171" s="19">
        <f>IF(資金模擬!$B$9=2,MAX(R1171,0),MAX(V1170,FLOOR(MAX(R1171,0),資金模擬!$B$6)))</f>
        <v/>
      </c>
      <c r="W1171" s="13">
        <f>MAX(W1170,R1171)</f>
        <v/>
      </c>
      <c r="X1171" s="4">
        <f>IF(W1171&gt;0,R1171/W1171-1,-1)</f>
        <v/>
      </c>
      <c r="Y1171" s="19">
        <f>IF(R1171&gt;0,S1171*資金模擬!$B$7/R1171,0)</f>
        <v/>
      </c>
      <c r="Z1171" s="2">
        <f>IF(OR(Z1170=1,R1171&lt;=資金模擬!$B$10),1,0)</f>
        <v/>
      </c>
    </row>
    <row r="1172">
      <c r="A1172" s="2" t="n">
        <v>1170</v>
      </c>
      <c r="B1172" s="7" t="n">
        <v>46295.33333333334</v>
      </c>
      <c r="C1172" s="2" t="inlineStr">
        <is>
          <t>進場</t>
        </is>
      </c>
      <c r="D1172" s="2" t="n">
        <v>589</v>
      </c>
      <c r="E1172" s="2" t="inlineStr">
        <is>
          <t>PONS_USDT_PERP</t>
        </is>
      </c>
      <c r="F1172" s="2" t="inlineStr">
        <is>
          <t>做空</t>
        </is>
      </c>
      <c r="G1172" s="20" t="n">
        <v>0.5039</v>
      </c>
      <c r="H1172" s="20" t="n">
        <v>0.488783</v>
      </c>
      <c r="I1172" s="20" t="n">
        <v>0.5290950000000001</v>
      </c>
      <c r="J1172" s="20" t="n"/>
      <c r="K1172" s="2" t="n"/>
      <c r="L1172" s="5" t="n"/>
      <c r="M1172" s="19">
        <f>資金模擬!$B$5*V1171</f>
        <v/>
      </c>
      <c r="N1172" s="2">
        <f>IF(Z1171=1,"已停止",IF(T1171&gt;=M1172,"已下單","資金不足略過"))</f>
        <v/>
      </c>
      <c r="O1172" s="19">
        <f>IF(N1172="已下單",M1172*資金模擬!$B$7,0)</f>
        <v/>
      </c>
      <c r="P1172" s="4" t="n"/>
      <c r="Q1172" s="13" t="n">
        <v>0</v>
      </c>
      <c r="R1172" s="13">
        <f>R1171+Q1172</f>
        <v/>
      </c>
      <c r="S1172" s="19">
        <f>S1171+IF(N1172="已下單",M1172,0)</f>
        <v/>
      </c>
      <c r="T1172" s="19">
        <f>R1172-S1172</f>
        <v/>
      </c>
      <c r="U1172" s="2">
        <f>U1171+IF(N1172="已下單",1,0)</f>
        <v/>
      </c>
      <c r="V1172" s="19">
        <f>IF(資金模擬!$B$9=2,MAX(R1172,0),MAX(V1171,FLOOR(MAX(R1172,0),資金模擬!$B$6)))</f>
        <v/>
      </c>
      <c r="W1172" s="13">
        <f>MAX(W1171,R1172)</f>
        <v/>
      </c>
      <c r="X1172" s="4">
        <f>IF(W1172&gt;0,R1172/W1172-1,-1)</f>
        <v/>
      </c>
      <c r="Y1172" s="19">
        <f>IF(R1172&gt;0,S1172*資金模擬!$B$7/R1172,0)</f>
        <v/>
      </c>
      <c r="Z1172" s="2">
        <f>IF(OR(Z1171=1,R1172&lt;=資金模擬!$B$10),1,0)</f>
        <v/>
      </c>
    </row>
    <row r="1173">
      <c r="A1173" s="2" t="n">
        <v>1171</v>
      </c>
      <c r="B1173" s="7" t="n">
        <v>46295.33333333334</v>
      </c>
      <c r="C1173" s="2" t="inlineStr">
        <is>
          <t>進場</t>
        </is>
      </c>
      <c r="D1173" s="2" t="n">
        <v>590</v>
      </c>
      <c r="E1173" s="2" t="inlineStr">
        <is>
          <t>QNT_USDT_PERP</t>
        </is>
      </c>
      <c r="F1173" s="2" t="inlineStr">
        <is>
          <t>做多</t>
        </is>
      </c>
      <c r="G1173" s="20" t="n">
        <v>266.63</v>
      </c>
      <c r="H1173" s="20" t="n">
        <v>274.6289</v>
      </c>
      <c r="I1173" s="20" t="n">
        <v>253.2985</v>
      </c>
      <c r="J1173" s="20" t="n"/>
      <c r="K1173" s="2" t="n"/>
      <c r="L1173" s="5" t="n"/>
      <c r="M1173" s="19">
        <f>資金模擬!$B$5*V1172</f>
        <v/>
      </c>
      <c r="N1173" s="2">
        <f>IF(Z1172=1,"已停止",IF(T1172&gt;=M1173,"已下單","資金不足略過"))</f>
        <v/>
      </c>
      <c r="O1173" s="19">
        <f>IF(N1173="已下單",M1173*資金模擬!$B$7,0)</f>
        <v/>
      </c>
      <c r="P1173" s="4" t="n"/>
      <c r="Q1173" s="13" t="n">
        <v>0</v>
      </c>
      <c r="R1173" s="13">
        <f>R1172+Q1173</f>
        <v/>
      </c>
      <c r="S1173" s="19">
        <f>S1172+IF(N1173="已下單",M1173,0)</f>
        <v/>
      </c>
      <c r="T1173" s="19">
        <f>R1173-S1173</f>
        <v/>
      </c>
      <c r="U1173" s="2">
        <f>U1172+IF(N1173="已下單",1,0)</f>
        <v/>
      </c>
      <c r="V1173" s="19">
        <f>IF(資金模擬!$B$9=2,MAX(R1173,0),MAX(V1172,FLOOR(MAX(R1173,0),資金模擬!$B$6)))</f>
        <v/>
      </c>
      <c r="W1173" s="13">
        <f>MAX(W1172,R1173)</f>
        <v/>
      </c>
      <c r="X1173" s="4">
        <f>IF(W1173&gt;0,R1173/W1173-1,-1)</f>
        <v/>
      </c>
      <c r="Y1173" s="19">
        <f>IF(R1173&gt;0,S1173*資金模擬!$B$7/R1173,0)</f>
        <v/>
      </c>
      <c r="Z1173" s="2">
        <f>IF(OR(Z1172=1,R1173&lt;=資金模擬!$B$10),1,0)</f>
        <v/>
      </c>
    </row>
    <row r="1174">
      <c r="A1174" s="2" t="n">
        <v>1172</v>
      </c>
      <c r="B1174" s="7" t="n">
        <v>46295.375</v>
      </c>
      <c r="C1174" s="2" t="inlineStr">
        <is>
          <t>出場</t>
        </is>
      </c>
      <c r="D1174" s="2" t="n">
        <v>588</v>
      </c>
      <c r="E1174" s="2" t="inlineStr">
        <is>
          <t>NMR_USDT_PERP</t>
        </is>
      </c>
      <c r="F1174" s="2" t="inlineStr">
        <is>
          <t>做空</t>
        </is>
      </c>
      <c r="G1174" s="20" t="n">
        <v>12.14</v>
      </c>
      <c r="H1174" s="20" t="n">
        <v>11.7758</v>
      </c>
      <c r="I1174" s="20" t="n">
        <v>12.747</v>
      </c>
      <c r="J1174" s="20" t="n">
        <v>11.7758</v>
      </c>
      <c r="K1174" s="2" t="inlineStr">
        <is>
          <t>止盈</t>
        </is>
      </c>
      <c r="L1174" s="5">
        <f>交易明細!K589</f>
        <v/>
      </c>
      <c r="M1174" s="19">
        <f>M1171</f>
        <v/>
      </c>
      <c r="N1174" s="2">
        <f>N1171</f>
        <v/>
      </c>
      <c r="O1174" s="19">
        <f>O1171</f>
        <v/>
      </c>
      <c r="P1174" s="4">
        <f>交易明細!L589</f>
        <v/>
      </c>
      <c r="Q1174" s="13">
        <f>IF(N1174="已下單",O1174*P1174,0)</f>
        <v/>
      </c>
      <c r="R1174" s="13">
        <f>R1173+Q1174</f>
        <v/>
      </c>
      <c r="S1174" s="19">
        <f>S1173-IF(N1174="已下單",M1174,0)</f>
        <v/>
      </c>
      <c r="T1174" s="19">
        <f>R1174-S1174</f>
        <v/>
      </c>
      <c r="U1174" s="2">
        <f>U1173-IF(N1174="已下單",1,0)</f>
        <v/>
      </c>
      <c r="V1174" s="19">
        <f>IF(資金模擬!$B$9=2,MAX(R1174,0),MAX(V1173,FLOOR(MAX(R1174,0),資金模擬!$B$6)))</f>
        <v/>
      </c>
      <c r="W1174" s="13">
        <f>MAX(W1173,R1174)</f>
        <v/>
      </c>
      <c r="X1174" s="4">
        <f>IF(W1174&gt;0,R1174/W1174-1,-1)</f>
        <v/>
      </c>
      <c r="Y1174" s="19">
        <f>IF(R1174&gt;0,S1174*資金模擬!$B$7/R1174,0)</f>
        <v/>
      </c>
      <c r="Z1174" s="2">
        <f>IF(OR(Z1173=1,R1174&lt;=資金模擬!$B$10),1,0)</f>
        <v/>
      </c>
    </row>
    <row r="1175">
      <c r="A1175" s="2" t="n">
        <v>1173</v>
      </c>
      <c r="B1175" s="7" t="n">
        <v>46295.375</v>
      </c>
      <c r="C1175" s="2" t="inlineStr">
        <is>
          <t>出場</t>
        </is>
      </c>
      <c r="D1175" s="2" t="n">
        <v>590</v>
      </c>
      <c r="E1175" s="2" t="inlineStr">
        <is>
          <t>QNT_USDT_PERP</t>
        </is>
      </c>
      <c r="F1175" s="2" t="inlineStr">
        <is>
          <t>做多</t>
        </is>
      </c>
      <c r="G1175" s="20" t="n">
        <v>266.63</v>
      </c>
      <c r="H1175" s="20" t="n">
        <v>274.6289</v>
      </c>
      <c r="I1175" s="20" t="n">
        <v>253.2985</v>
      </c>
      <c r="J1175" s="20" t="n">
        <v>274.6289</v>
      </c>
      <c r="K1175" s="2" t="inlineStr">
        <is>
          <t>止盈</t>
        </is>
      </c>
      <c r="L1175" s="5">
        <f>交易明細!K591</f>
        <v/>
      </c>
      <c r="M1175" s="19">
        <f>M1173</f>
        <v/>
      </c>
      <c r="N1175" s="2">
        <f>N1173</f>
        <v/>
      </c>
      <c r="O1175" s="19">
        <f>O1173</f>
        <v/>
      </c>
      <c r="P1175" s="4">
        <f>交易明細!L591</f>
        <v/>
      </c>
      <c r="Q1175" s="13">
        <f>IF(N1175="已下單",O1175*P1175,0)</f>
        <v/>
      </c>
      <c r="R1175" s="13">
        <f>R1174+Q1175</f>
        <v/>
      </c>
      <c r="S1175" s="19">
        <f>S1174-IF(N1175="已下單",M1175,0)</f>
        <v/>
      </c>
      <c r="T1175" s="19">
        <f>R1175-S1175</f>
        <v/>
      </c>
      <c r="U1175" s="2">
        <f>U1174-IF(N1175="已下單",1,0)</f>
        <v/>
      </c>
      <c r="V1175" s="19">
        <f>IF(資金模擬!$B$9=2,MAX(R1175,0),MAX(V1174,FLOOR(MAX(R1175,0),資金模擬!$B$6)))</f>
        <v/>
      </c>
      <c r="W1175" s="13">
        <f>MAX(W1174,R1175)</f>
        <v/>
      </c>
      <c r="X1175" s="4">
        <f>IF(W1175&gt;0,R1175/W1175-1,-1)</f>
        <v/>
      </c>
      <c r="Y1175" s="19">
        <f>IF(R1175&gt;0,S1175*資金模擬!$B$7/R1175,0)</f>
        <v/>
      </c>
      <c r="Z1175" s="2">
        <f>IF(OR(Z1174=1,R1175&lt;=資金模擬!$B$10),1,0)</f>
        <v/>
      </c>
    </row>
    <row r="1176">
      <c r="A1176" s="2" t="n">
        <v>1174</v>
      </c>
      <c r="B1176" s="7" t="n">
        <v>46295.375</v>
      </c>
      <c r="C1176" s="2" t="inlineStr">
        <is>
          <t>進場</t>
        </is>
      </c>
      <c r="D1176" s="2" t="n">
        <v>591</v>
      </c>
      <c r="E1176" s="2" t="inlineStr">
        <is>
          <t>0G_USDT_PERP</t>
        </is>
      </c>
      <c r="F1176" s="2" t="inlineStr">
        <is>
          <t>做多</t>
        </is>
      </c>
      <c r="G1176" s="20" t="n">
        <v>0.3385</v>
      </c>
      <c r="H1176" s="20" t="n">
        <v>0.348655</v>
      </c>
      <c r="I1176" s="20" t="n">
        <v>0.321575</v>
      </c>
      <c r="J1176" s="20" t="n"/>
      <c r="K1176" s="2" t="n"/>
      <c r="L1176" s="5" t="n"/>
      <c r="M1176" s="19">
        <f>資金模擬!$B$5*V1175</f>
        <v/>
      </c>
      <c r="N1176" s="2">
        <f>IF(Z1175=1,"已停止",IF(T1175&gt;=M1176,"已下單","資金不足略過"))</f>
        <v/>
      </c>
      <c r="O1176" s="19">
        <f>IF(N1176="已下單",M1176*資金模擬!$B$7,0)</f>
        <v/>
      </c>
      <c r="P1176" s="4" t="n"/>
      <c r="Q1176" s="13" t="n">
        <v>0</v>
      </c>
      <c r="R1176" s="13">
        <f>R1175+Q1176</f>
        <v/>
      </c>
      <c r="S1176" s="19">
        <f>S1175+IF(N1176="已下單",M1176,0)</f>
        <v/>
      </c>
      <c r="T1176" s="19">
        <f>R1176-S1176</f>
        <v/>
      </c>
      <c r="U1176" s="2">
        <f>U1175+IF(N1176="已下單",1,0)</f>
        <v/>
      </c>
      <c r="V1176" s="19">
        <f>IF(資金模擬!$B$9=2,MAX(R1176,0),MAX(V1175,FLOOR(MAX(R1176,0),資金模擬!$B$6)))</f>
        <v/>
      </c>
      <c r="W1176" s="13">
        <f>MAX(W1175,R1176)</f>
        <v/>
      </c>
      <c r="X1176" s="4">
        <f>IF(W1176&gt;0,R1176/W1176-1,-1)</f>
        <v/>
      </c>
      <c r="Y1176" s="19">
        <f>IF(R1176&gt;0,S1176*資金模擬!$B$7/R1176,0)</f>
        <v/>
      </c>
      <c r="Z1176" s="2">
        <f>IF(OR(Z1175=1,R1176&lt;=資金模擬!$B$10),1,0)</f>
        <v/>
      </c>
    </row>
    <row r="1177">
      <c r="A1177" s="2" t="n">
        <v>1175</v>
      </c>
      <c r="B1177" s="7" t="n">
        <v>46295.375</v>
      </c>
      <c r="C1177" s="2" t="inlineStr">
        <is>
          <t>進場</t>
        </is>
      </c>
      <c r="D1177" s="2" t="n">
        <v>592</v>
      </c>
      <c r="E1177" s="2" t="inlineStr">
        <is>
          <t>NEAR_USDT_PERP</t>
        </is>
      </c>
      <c r="F1177" s="2" t="inlineStr">
        <is>
          <t>做多</t>
        </is>
      </c>
      <c r="G1177" s="20" t="n">
        <v>5.015</v>
      </c>
      <c r="H1177" s="20" t="n">
        <v>5.16545</v>
      </c>
      <c r="I1177" s="20" t="n">
        <v>4.76425</v>
      </c>
      <c r="J1177" s="20" t="n"/>
      <c r="K1177" s="2" t="n"/>
      <c r="L1177" s="5" t="n"/>
      <c r="M1177" s="19">
        <f>資金模擬!$B$5*V1176</f>
        <v/>
      </c>
      <c r="N1177" s="2">
        <f>IF(Z1176=1,"已停止",IF(T1176&gt;=M1177,"已下單","資金不足略過"))</f>
        <v/>
      </c>
      <c r="O1177" s="19">
        <f>IF(N1177="已下單",M1177*資金模擬!$B$7,0)</f>
        <v/>
      </c>
      <c r="P1177" s="4" t="n"/>
      <c r="Q1177" s="13" t="n">
        <v>0</v>
      </c>
      <c r="R1177" s="13">
        <f>R1176+Q1177</f>
        <v/>
      </c>
      <c r="S1177" s="19">
        <f>S1176+IF(N1177="已下單",M1177,0)</f>
        <v/>
      </c>
      <c r="T1177" s="19">
        <f>R1177-S1177</f>
        <v/>
      </c>
      <c r="U1177" s="2">
        <f>U1176+IF(N1177="已下單",1,0)</f>
        <v/>
      </c>
      <c r="V1177" s="19">
        <f>IF(資金模擬!$B$9=2,MAX(R1177,0),MAX(V1176,FLOOR(MAX(R1177,0),資金模擬!$B$6)))</f>
        <v/>
      </c>
      <c r="W1177" s="13">
        <f>MAX(W1176,R1177)</f>
        <v/>
      </c>
      <c r="X1177" s="4">
        <f>IF(W1177&gt;0,R1177/W1177-1,-1)</f>
        <v/>
      </c>
      <c r="Y1177" s="19">
        <f>IF(R1177&gt;0,S1177*資金模擬!$B$7/R1177,0)</f>
        <v/>
      </c>
      <c r="Z1177" s="2">
        <f>IF(OR(Z1176=1,R1177&lt;=資金模擬!$B$10),1,0)</f>
        <v/>
      </c>
    </row>
    <row r="1178">
      <c r="A1178" s="2" t="n">
        <v>1176</v>
      </c>
      <c r="B1178" s="7" t="n">
        <v>46295.41666666666</v>
      </c>
      <c r="C1178" s="2" t="inlineStr">
        <is>
          <t>出場</t>
        </is>
      </c>
      <c r="D1178" s="2" t="n">
        <v>589</v>
      </c>
      <c r="E1178" s="2" t="inlineStr">
        <is>
          <t>PONS_USDT_PERP</t>
        </is>
      </c>
      <c r="F1178" s="2" t="inlineStr">
        <is>
          <t>做空</t>
        </is>
      </c>
      <c r="G1178" s="20" t="n">
        <v>0.5039</v>
      </c>
      <c r="H1178" s="20" t="n">
        <v>0.488783</v>
      </c>
      <c r="I1178" s="20" t="n">
        <v>0.5290950000000001</v>
      </c>
      <c r="J1178" s="20" t="n">
        <v>0.5290950000000001</v>
      </c>
      <c r="K1178" s="2" t="inlineStr">
        <is>
          <t>止損</t>
        </is>
      </c>
      <c r="L1178" s="5">
        <f>交易明細!K590</f>
        <v/>
      </c>
      <c r="M1178" s="19">
        <f>M1172</f>
        <v/>
      </c>
      <c r="N1178" s="2">
        <f>N1172</f>
        <v/>
      </c>
      <c r="O1178" s="19">
        <f>O1172</f>
        <v/>
      </c>
      <c r="P1178" s="4">
        <f>交易明細!L590</f>
        <v/>
      </c>
      <c r="Q1178" s="13">
        <f>IF(N1178="已下單",O1178*P1178,0)</f>
        <v/>
      </c>
      <c r="R1178" s="13">
        <f>R1177+Q1178</f>
        <v/>
      </c>
      <c r="S1178" s="19">
        <f>S1177-IF(N1178="已下單",M1178,0)</f>
        <v/>
      </c>
      <c r="T1178" s="19">
        <f>R1178-S1178</f>
        <v/>
      </c>
      <c r="U1178" s="2">
        <f>U1177-IF(N1178="已下單",1,0)</f>
        <v/>
      </c>
      <c r="V1178" s="19">
        <f>IF(資金模擬!$B$9=2,MAX(R1178,0),MAX(V1177,FLOOR(MAX(R1178,0),資金模擬!$B$6)))</f>
        <v/>
      </c>
      <c r="W1178" s="13">
        <f>MAX(W1177,R1178)</f>
        <v/>
      </c>
      <c r="X1178" s="4">
        <f>IF(W1178&gt;0,R1178/W1178-1,-1)</f>
        <v/>
      </c>
      <c r="Y1178" s="19">
        <f>IF(R1178&gt;0,S1178*資金模擬!$B$7/R1178,0)</f>
        <v/>
      </c>
      <c r="Z1178" s="2">
        <f>IF(OR(Z1177=1,R1178&lt;=資金模擬!$B$10),1,0)</f>
        <v/>
      </c>
    </row>
    <row r="1179">
      <c r="A1179" s="2" t="n">
        <v>1177</v>
      </c>
      <c r="B1179" s="7" t="n">
        <v>46295.45833333334</v>
      </c>
      <c r="C1179" s="2" t="inlineStr">
        <is>
          <t>出場</t>
        </is>
      </c>
      <c r="D1179" s="2" t="n">
        <v>591</v>
      </c>
      <c r="E1179" s="2" t="inlineStr">
        <is>
          <t>0G_USDT_PERP</t>
        </is>
      </c>
      <c r="F1179" s="2" t="inlineStr">
        <is>
          <t>做多</t>
        </is>
      </c>
      <c r="G1179" s="20" t="n">
        <v>0.3385</v>
      </c>
      <c r="H1179" s="20" t="n">
        <v>0.348655</v>
      </c>
      <c r="I1179" s="20" t="n">
        <v>0.321575</v>
      </c>
      <c r="J1179" s="20" t="n">
        <v>0.321575</v>
      </c>
      <c r="K1179" s="2" t="inlineStr">
        <is>
          <t>止損</t>
        </is>
      </c>
      <c r="L1179" s="5">
        <f>交易明細!K592</f>
        <v/>
      </c>
      <c r="M1179" s="19">
        <f>M1176</f>
        <v/>
      </c>
      <c r="N1179" s="2">
        <f>N1176</f>
        <v/>
      </c>
      <c r="O1179" s="19">
        <f>O1176</f>
        <v/>
      </c>
      <c r="P1179" s="4">
        <f>交易明細!L592</f>
        <v/>
      </c>
      <c r="Q1179" s="13">
        <f>IF(N1179="已下單",O1179*P1179,0)</f>
        <v/>
      </c>
      <c r="R1179" s="13">
        <f>R1178+Q1179</f>
        <v/>
      </c>
      <c r="S1179" s="19">
        <f>S1178-IF(N1179="已下單",M1179,0)</f>
        <v/>
      </c>
      <c r="T1179" s="19">
        <f>R1179-S1179</f>
        <v/>
      </c>
      <c r="U1179" s="2">
        <f>U1178-IF(N1179="已下單",1,0)</f>
        <v/>
      </c>
      <c r="V1179" s="19">
        <f>IF(資金模擬!$B$9=2,MAX(R1179,0),MAX(V1178,FLOOR(MAX(R1179,0),資金模擬!$B$6)))</f>
        <v/>
      </c>
      <c r="W1179" s="13">
        <f>MAX(W1178,R1179)</f>
        <v/>
      </c>
      <c r="X1179" s="4">
        <f>IF(W1179&gt;0,R1179/W1179-1,-1)</f>
        <v/>
      </c>
      <c r="Y1179" s="19">
        <f>IF(R1179&gt;0,S1179*資金模擬!$B$7/R1179,0)</f>
        <v/>
      </c>
      <c r="Z1179" s="2">
        <f>IF(OR(Z1178=1,R1179&lt;=資金模擬!$B$10),1,0)</f>
        <v/>
      </c>
    </row>
    <row r="1180">
      <c r="A1180" s="2" t="n">
        <v>1178</v>
      </c>
      <c r="B1180" s="7" t="n">
        <v>46295.45833333334</v>
      </c>
      <c r="C1180" s="2" t="inlineStr">
        <is>
          <t>進場</t>
        </is>
      </c>
      <c r="D1180" s="2" t="n">
        <v>593</v>
      </c>
      <c r="E1180" s="2" t="inlineStr">
        <is>
          <t>ICP_USDT_PERP</t>
        </is>
      </c>
      <c r="F1180" s="2" t="inlineStr">
        <is>
          <t>做空</t>
        </is>
      </c>
      <c r="G1180" s="20" t="n">
        <v>3.367</v>
      </c>
      <c r="H1180" s="20" t="n">
        <v>3.26599</v>
      </c>
      <c r="I1180" s="20" t="n">
        <v>3.53535</v>
      </c>
      <c r="J1180" s="20" t="n"/>
      <c r="K1180" s="2" t="n"/>
      <c r="L1180" s="5" t="n"/>
      <c r="M1180" s="19">
        <f>資金模擬!$B$5*V1179</f>
        <v/>
      </c>
      <c r="N1180" s="2">
        <f>IF(Z1179=1,"已停止",IF(T1179&gt;=M1180,"已下單","資金不足略過"))</f>
        <v/>
      </c>
      <c r="O1180" s="19">
        <f>IF(N1180="已下單",M1180*資金模擬!$B$7,0)</f>
        <v/>
      </c>
      <c r="P1180" s="4" t="n"/>
      <c r="Q1180" s="13" t="n">
        <v>0</v>
      </c>
      <c r="R1180" s="13">
        <f>R1179+Q1180</f>
        <v/>
      </c>
      <c r="S1180" s="19">
        <f>S1179+IF(N1180="已下單",M1180,0)</f>
        <v/>
      </c>
      <c r="T1180" s="19">
        <f>R1180-S1180</f>
        <v/>
      </c>
      <c r="U1180" s="2">
        <f>U1179+IF(N1180="已下單",1,0)</f>
        <v/>
      </c>
      <c r="V1180" s="19">
        <f>IF(資金模擬!$B$9=2,MAX(R1180,0),MAX(V1179,FLOOR(MAX(R1180,0),資金模擬!$B$6)))</f>
        <v/>
      </c>
      <c r="W1180" s="13">
        <f>MAX(W1179,R1180)</f>
        <v/>
      </c>
      <c r="X1180" s="4">
        <f>IF(W1180&gt;0,R1180/W1180-1,-1)</f>
        <v/>
      </c>
      <c r="Y1180" s="19">
        <f>IF(R1180&gt;0,S1180*資金模擬!$B$7/R1180,0)</f>
        <v/>
      </c>
      <c r="Z1180" s="2">
        <f>IF(OR(Z1179=1,R1180&lt;=資金模擬!$B$10),1,0)</f>
        <v/>
      </c>
    </row>
    <row r="1181">
      <c r="A1181" s="2" t="n">
        <v>1179</v>
      </c>
      <c r="B1181" s="7" t="n">
        <v>46295.54166666666</v>
      </c>
      <c r="C1181" s="2" t="inlineStr">
        <is>
          <t>進場</t>
        </is>
      </c>
      <c r="D1181" s="2" t="n">
        <v>594</v>
      </c>
      <c r="E1181" s="2" t="inlineStr">
        <is>
          <t>0G_USDT_PERP</t>
        </is>
      </c>
      <c r="F1181" s="2" t="inlineStr">
        <is>
          <t>做多</t>
        </is>
      </c>
      <c r="G1181" s="20" t="n">
        <v>0.3438</v>
      </c>
      <c r="H1181" s="20" t="n">
        <v>0.354114</v>
      </c>
      <c r="I1181" s="20" t="n">
        <v>0.32661</v>
      </c>
      <c r="J1181" s="20" t="n"/>
      <c r="K1181" s="2" t="n"/>
      <c r="L1181" s="5" t="n"/>
      <c r="M1181" s="19">
        <f>資金模擬!$B$5*V1180</f>
        <v/>
      </c>
      <c r="N1181" s="2">
        <f>IF(Z1180=1,"已停止",IF(T1180&gt;=M1181,"已下單","資金不足略過"))</f>
        <v/>
      </c>
      <c r="O1181" s="19">
        <f>IF(N1181="已下單",M1181*資金模擬!$B$7,0)</f>
        <v/>
      </c>
      <c r="P1181" s="4" t="n"/>
      <c r="Q1181" s="13" t="n">
        <v>0</v>
      </c>
      <c r="R1181" s="13">
        <f>R1180+Q1181</f>
        <v/>
      </c>
      <c r="S1181" s="19">
        <f>S1180+IF(N1181="已下單",M1181,0)</f>
        <v/>
      </c>
      <c r="T1181" s="19">
        <f>R1181-S1181</f>
        <v/>
      </c>
      <c r="U1181" s="2">
        <f>U1180+IF(N1181="已下單",1,0)</f>
        <v/>
      </c>
      <c r="V1181" s="19">
        <f>IF(資金模擬!$B$9=2,MAX(R1181,0),MAX(V1180,FLOOR(MAX(R1181,0),資金模擬!$B$6)))</f>
        <v/>
      </c>
      <c r="W1181" s="13">
        <f>MAX(W1180,R1181)</f>
        <v/>
      </c>
      <c r="X1181" s="4">
        <f>IF(W1181&gt;0,R1181/W1181-1,-1)</f>
        <v/>
      </c>
      <c r="Y1181" s="19">
        <f>IF(R1181&gt;0,S1181*資金模擬!$B$7/R1181,0)</f>
        <v/>
      </c>
      <c r="Z1181" s="2">
        <f>IF(OR(Z1180=1,R1181&lt;=資金模擬!$B$10),1,0)</f>
        <v/>
      </c>
    </row>
    <row r="1182">
      <c r="A1182" s="2" t="n">
        <v>1180</v>
      </c>
      <c r="B1182" s="7" t="n">
        <v>46295.58333333334</v>
      </c>
      <c r="C1182" s="2" t="inlineStr">
        <is>
          <t>出場</t>
        </is>
      </c>
      <c r="D1182" s="2" t="n">
        <v>579</v>
      </c>
      <c r="E1182" s="2" t="inlineStr">
        <is>
          <t>AKE_USDT_PERP</t>
        </is>
      </c>
      <c r="F1182" s="2" t="inlineStr">
        <is>
          <t>做空</t>
        </is>
      </c>
      <c r="G1182" s="20" t="n">
        <v>0.0304121</v>
      </c>
      <c r="H1182" s="20" t="n">
        <v>0.029499737</v>
      </c>
      <c r="I1182" s="20" t="n">
        <v>0.03193270500000001</v>
      </c>
      <c r="J1182" s="20" t="n">
        <v>0.03193270500000001</v>
      </c>
      <c r="K1182" s="2" t="inlineStr">
        <is>
          <t>止損</t>
        </is>
      </c>
      <c r="L1182" s="5">
        <f>交易明細!K580</f>
        <v/>
      </c>
      <c r="M1182" s="19">
        <f>M1150</f>
        <v/>
      </c>
      <c r="N1182" s="2">
        <f>N1150</f>
        <v/>
      </c>
      <c r="O1182" s="19">
        <f>O1150</f>
        <v/>
      </c>
      <c r="P1182" s="4">
        <f>交易明細!L580</f>
        <v/>
      </c>
      <c r="Q1182" s="13">
        <f>IF(N1182="已下單",O1182*P1182,0)</f>
        <v/>
      </c>
      <c r="R1182" s="13">
        <f>R1181+Q1182</f>
        <v/>
      </c>
      <c r="S1182" s="19">
        <f>S1181-IF(N1182="已下單",M1182,0)</f>
        <v/>
      </c>
      <c r="T1182" s="19">
        <f>R1182-S1182</f>
        <v/>
      </c>
      <c r="U1182" s="2">
        <f>U1181-IF(N1182="已下單",1,0)</f>
        <v/>
      </c>
      <c r="V1182" s="19">
        <f>IF(資金模擬!$B$9=2,MAX(R1182,0),MAX(V1181,FLOOR(MAX(R1182,0),資金模擬!$B$6)))</f>
        <v/>
      </c>
      <c r="W1182" s="13">
        <f>MAX(W1181,R1182)</f>
        <v/>
      </c>
      <c r="X1182" s="4">
        <f>IF(W1182&gt;0,R1182/W1182-1,-1)</f>
        <v/>
      </c>
      <c r="Y1182" s="19">
        <f>IF(R1182&gt;0,S1182*資金模擬!$B$7/R1182,0)</f>
        <v/>
      </c>
      <c r="Z1182" s="2">
        <f>IF(OR(Z1181=1,R1182&lt;=資金模擬!$B$10),1,0)</f>
        <v/>
      </c>
    </row>
    <row r="1183">
      <c r="A1183" s="2" t="n">
        <v>1181</v>
      </c>
      <c r="B1183" s="7" t="n">
        <v>46295.58333333334</v>
      </c>
      <c r="C1183" s="2" t="inlineStr">
        <is>
          <t>出場</t>
        </is>
      </c>
      <c r="D1183" s="2" t="n">
        <v>594</v>
      </c>
      <c r="E1183" s="2" t="inlineStr">
        <is>
          <t>0G_USDT_PERP</t>
        </is>
      </c>
      <c r="F1183" s="2" t="inlineStr">
        <is>
          <t>做多</t>
        </is>
      </c>
      <c r="G1183" s="20" t="n">
        <v>0.3438</v>
      </c>
      <c r="H1183" s="20" t="n">
        <v>0.354114</v>
      </c>
      <c r="I1183" s="20" t="n">
        <v>0.32661</v>
      </c>
      <c r="J1183" s="20" t="n">
        <v>0.354114</v>
      </c>
      <c r="K1183" s="2" t="inlineStr">
        <is>
          <t>止盈</t>
        </is>
      </c>
      <c r="L1183" s="5">
        <f>交易明細!K595</f>
        <v/>
      </c>
      <c r="M1183" s="19">
        <f>M1181</f>
        <v/>
      </c>
      <c r="N1183" s="2">
        <f>N1181</f>
        <v/>
      </c>
      <c r="O1183" s="19">
        <f>O1181</f>
        <v/>
      </c>
      <c r="P1183" s="4">
        <f>交易明細!L595</f>
        <v/>
      </c>
      <c r="Q1183" s="13">
        <f>IF(N1183="已下單",O1183*P1183,0)</f>
        <v/>
      </c>
      <c r="R1183" s="13">
        <f>R1182+Q1183</f>
        <v/>
      </c>
      <c r="S1183" s="19">
        <f>S1182-IF(N1183="已下單",M1183,0)</f>
        <v/>
      </c>
      <c r="T1183" s="19">
        <f>R1183-S1183</f>
        <v/>
      </c>
      <c r="U1183" s="2">
        <f>U1182-IF(N1183="已下單",1,0)</f>
        <v/>
      </c>
      <c r="V1183" s="19">
        <f>IF(資金模擬!$B$9=2,MAX(R1183,0),MAX(V1182,FLOOR(MAX(R1183,0),資金模擬!$B$6)))</f>
        <v/>
      </c>
      <c r="W1183" s="13">
        <f>MAX(W1182,R1183)</f>
        <v/>
      </c>
      <c r="X1183" s="4">
        <f>IF(W1183&gt;0,R1183/W1183-1,-1)</f>
        <v/>
      </c>
      <c r="Y1183" s="19">
        <f>IF(R1183&gt;0,S1183*資金模擬!$B$7/R1183,0)</f>
        <v/>
      </c>
      <c r="Z1183" s="2">
        <f>IF(OR(Z1182=1,R1183&lt;=資金模擬!$B$10),1,0)</f>
        <v/>
      </c>
    </row>
    <row r="1184">
      <c r="A1184" s="2" t="n">
        <v>1182</v>
      </c>
      <c r="B1184" s="7" t="n">
        <v>46295.625</v>
      </c>
      <c r="C1184" s="2" t="inlineStr">
        <is>
          <t>出場</t>
        </is>
      </c>
      <c r="D1184" s="2" t="n">
        <v>587</v>
      </c>
      <c r="E1184" s="2" t="inlineStr">
        <is>
          <t>USELESS_USDT_PERP</t>
        </is>
      </c>
      <c r="F1184" s="2" t="inlineStr">
        <is>
          <t>做多</t>
        </is>
      </c>
      <c r="G1184" s="20" t="n">
        <v>0.24697</v>
      </c>
      <c r="H1184" s="20" t="n">
        <v>0.2543791</v>
      </c>
      <c r="I1184" s="20" t="n">
        <v>0.2346215</v>
      </c>
      <c r="J1184" s="20" t="n">
        <v>0.2346215</v>
      </c>
      <c r="K1184" s="2" t="inlineStr">
        <is>
          <t>止損</t>
        </is>
      </c>
      <c r="L1184" s="5">
        <f>交易明細!K588</f>
        <v/>
      </c>
      <c r="M1184" s="19">
        <f>M1167</f>
        <v/>
      </c>
      <c r="N1184" s="2">
        <f>N1167</f>
        <v/>
      </c>
      <c r="O1184" s="19">
        <f>O1167</f>
        <v/>
      </c>
      <c r="P1184" s="4">
        <f>交易明細!L588</f>
        <v/>
      </c>
      <c r="Q1184" s="13">
        <f>IF(N1184="已下單",O1184*P1184,0)</f>
        <v/>
      </c>
      <c r="R1184" s="13">
        <f>R1183+Q1184</f>
        <v/>
      </c>
      <c r="S1184" s="19">
        <f>S1183-IF(N1184="已下單",M1184,0)</f>
        <v/>
      </c>
      <c r="T1184" s="19">
        <f>R1184-S1184</f>
        <v/>
      </c>
      <c r="U1184" s="2">
        <f>U1183-IF(N1184="已下單",1,0)</f>
        <v/>
      </c>
      <c r="V1184" s="19">
        <f>IF(資金模擬!$B$9=2,MAX(R1184,0),MAX(V1183,FLOOR(MAX(R1184,0),資金模擬!$B$6)))</f>
        <v/>
      </c>
      <c r="W1184" s="13">
        <f>MAX(W1183,R1184)</f>
        <v/>
      </c>
      <c r="X1184" s="4">
        <f>IF(W1184&gt;0,R1184/W1184-1,-1)</f>
        <v/>
      </c>
      <c r="Y1184" s="19">
        <f>IF(R1184&gt;0,S1184*資金模擬!$B$7/R1184,0)</f>
        <v/>
      </c>
      <c r="Z1184" s="2">
        <f>IF(OR(Z1183=1,R1184&lt;=資金模擬!$B$10),1,0)</f>
        <v/>
      </c>
    </row>
    <row r="1185">
      <c r="A1185" s="2" t="n">
        <v>1183</v>
      </c>
      <c r="B1185" s="7" t="n">
        <v>46295.625</v>
      </c>
      <c r="C1185" s="2" t="inlineStr">
        <is>
          <t>進場</t>
        </is>
      </c>
      <c r="D1185" s="2" t="n">
        <v>595</v>
      </c>
      <c r="E1185" s="2" t="inlineStr">
        <is>
          <t>MARSCOIN_USDT_PERP</t>
        </is>
      </c>
      <c r="F1185" s="2" t="inlineStr">
        <is>
          <t>做空</t>
        </is>
      </c>
      <c r="G1185" s="20" t="n">
        <v>0.1433</v>
      </c>
      <c r="H1185" s="20" t="n">
        <v>0.139001</v>
      </c>
      <c r="I1185" s="20" t="n">
        <v>0.150465</v>
      </c>
      <c r="J1185" s="20" t="n"/>
      <c r="K1185" s="2" t="n"/>
      <c r="L1185" s="5" t="n"/>
      <c r="M1185" s="19">
        <f>資金模擬!$B$5*V1184</f>
        <v/>
      </c>
      <c r="N1185" s="2">
        <f>IF(Z1184=1,"已停止",IF(T1184&gt;=M1185,"已下單","資金不足略過"))</f>
        <v/>
      </c>
      <c r="O1185" s="19">
        <f>IF(N1185="已下單",M1185*資金模擬!$B$7,0)</f>
        <v/>
      </c>
      <c r="P1185" s="4" t="n"/>
      <c r="Q1185" s="13" t="n">
        <v>0</v>
      </c>
      <c r="R1185" s="13">
        <f>R1184+Q1185</f>
        <v/>
      </c>
      <c r="S1185" s="19">
        <f>S1184+IF(N1185="已下單",M1185,0)</f>
        <v/>
      </c>
      <c r="T1185" s="19">
        <f>R1185-S1185</f>
        <v/>
      </c>
      <c r="U1185" s="2">
        <f>U1184+IF(N1185="已下單",1,0)</f>
        <v/>
      </c>
      <c r="V1185" s="19">
        <f>IF(資金模擬!$B$9=2,MAX(R1185,0),MAX(V1184,FLOOR(MAX(R1185,0),資金模擬!$B$6)))</f>
        <v/>
      </c>
      <c r="W1185" s="13">
        <f>MAX(W1184,R1185)</f>
        <v/>
      </c>
      <c r="X1185" s="4">
        <f>IF(W1185&gt;0,R1185/W1185-1,-1)</f>
        <v/>
      </c>
      <c r="Y1185" s="19">
        <f>IF(R1185&gt;0,S1185*資金模擬!$B$7/R1185,0)</f>
        <v/>
      </c>
      <c r="Z1185" s="2">
        <f>IF(OR(Z1184=1,R1185&lt;=資金模擬!$B$10),1,0)</f>
        <v/>
      </c>
    </row>
    <row r="1186">
      <c r="A1186" s="2" t="n">
        <v>1184</v>
      </c>
      <c r="B1186" s="7" t="n">
        <v>46295.75</v>
      </c>
      <c r="C1186" s="2" t="inlineStr">
        <is>
          <t>出場</t>
        </is>
      </c>
      <c r="D1186" s="2" t="n">
        <v>580</v>
      </c>
      <c r="E1186" s="2" t="inlineStr">
        <is>
          <t>ENA_USDT_PERP</t>
        </is>
      </c>
      <c r="F1186" s="2" t="inlineStr">
        <is>
          <t>做空</t>
        </is>
      </c>
      <c r="G1186" s="20" t="n">
        <v>0.2497</v>
      </c>
      <c r="H1186" s="20" t="n">
        <v>0.242209</v>
      </c>
      <c r="I1186" s="20" t="n">
        <v>0.262185</v>
      </c>
      <c r="J1186" s="20" t="n">
        <v>0.262185</v>
      </c>
      <c r="K1186" s="2" t="inlineStr">
        <is>
          <t>止損</t>
        </is>
      </c>
      <c r="L1186" s="5">
        <f>交易明細!K581</f>
        <v/>
      </c>
      <c r="M1186" s="19">
        <f>M1151</f>
        <v/>
      </c>
      <c r="N1186" s="2">
        <f>N1151</f>
        <v/>
      </c>
      <c r="O1186" s="19">
        <f>O1151</f>
        <v/>
      </c>
      <c r="P1186" s="4">
        <f>交易明細!L581</f>
        <v/>
      </c>
      <c r="Q1186" s="13">
        <f>IF(N1186="已下單",O1186*P1186,0)</f>
        <v/>
      </c>
      <c r="R1186" s="13">
        <f>R1185+Q1186</f>
        <v/>
      </c>
      <c r="S1186" s="19">
        <f>S1185-IF(N1186="已下單",M1186,0)</f>
        <v/>
      </c>
      <c r="T1186" s="19">
        <f>R1186-S1186</f>
        <v/>
      </c>
      <c r="U1186" s="2">
        <f>U1185-IF(N1186="已下單",1,0)</f>
        <v/>
      </c>
      <c r="V1186" s="19">
        <f>IF(資金模擬!$B$9=2,MAX(R1186,0),MAX(V1185,FLOOR(MAX(R1186,0),資金模擬!$B$6)))</f>
        <v/>
      </c>
      <c r="W1186" s="13">
        <f>MAX(W1185,R1186)</f>
        <v/>
      </c>
      <c r="X1186" s="4">
        <f>IF(W1186&gt;0,R1186/W1186-1,-1)</f>
        <v/>
      </c>
      <c r="Y1186" s="19">
        <f>IF(R1186&gt;0,S1186*資金模擬!$B$7/R1186,0)</f>
        <v/>
      </c>
      <c r="Z1186" s="2">
        <f>IF(OR(Z1185=1,R1186&lt;=資金模擬!$B$10),1,0)</f>
        <v/>
      </c>
    </row>
    <row r="1187">
      <c r="A1187" s="2" t="n">
        <v>1185</v>
      </c>
      <c r="B1187" s="7" t="n">
        <v>46295.75</v>
      </c>
      <c r="C1187" s="2" t="inlineStr">
        <is>
          <t>進場</t>
        </is>
      </c>
      <c r="D1187" s="2" t="n">
        <v>596</v>
      </c>
      <c r="E1187" s="2" t="inlineStr">
        <is>
          <t>CRV_USDT_PERP</t>
        </is>
      </c>
      <c r="F1187" s="2" t="inlineStr">
        <is>
          <t>做多</t>
        </is>
      </c>
      <c r="G1187" s="20" t="n">
        <v>0.4067</v>
      </c>
      <c r="H1187" s="20" t="n">
        <v>0.418901</v>
      </c>
      <c r="I1187" s="20" t="n">
        <v>0.386365</v>
      </c>
      <c r="J1187" s="20" t="n"/>
      <c r="K1187" s="2" t="n"/>
      <c r="L1187" s="5" t="n"/>
      <c r="M1187" s="19">
        <f>資金模擬!$B$5*V1186</f>
        <v/>
      </c>
      <c r="N1187" s="2">
        <f>IF(Z1186=1,"已停止",IF(T1186&gt;=M1187,"已下單","資金不足略過"))</f>
        <v/>
      </c>
      <c r="O1187" s="19">
        <f>IF(N1187="已下單",M1187*資金模擬!$B$7,0)</f>
        <v/>
      </c>
      <c r="P1187" s="4" t="n"/>
      <c r="Q1187" s="13" t="n">
        <v>0</v>
      </c>
      <c r="R1187" s="13">
        <f>R1186+Q1187</f>
        <v/>
      </c>
      <c r="S1187" s="19">
        <f>S1186+IF(N1187="已下單",M1187,0)</f>
        <v/>
      </c>
      <c r="T1187" s="19">
        <f>R1187-S1187</f>
        <v/>
      </c>
      <c r="U1187" s="2">
        <f>U1186+IF(N1187="已下單",1,0)</f>
        <v/>
      </c>
      <c r="V1187" s="19">
        <f>IF(資金模擬!$B$9=2,MAX(R1187,0),MAX(V1186,FLOOR(MAX(R1187,0),資金模擬!$B$6)))</f>
        <v/>
      </c>
      <c r="W1187" s="13">
        <f>MAX(W1186,R1187)</f>
        <v/>
      </c>
      <c r="X1187" s="4">
        <f>IF(W1187&gt;0,R1187/W1187-1,-1)</f>
        <v/>
      </c>
      <c r="Y1187" s="19">
        <f>IF(R1187&gt;0,S1187*資金模擬!$B$7/R1187,0)</f>
        <v/>
      </c>
      <c r="Z1187" s="2">
        <f>IF(OR(Z1186=1,R1187&lt;=資金模擬!$B$10),1,0)</f>
        <v/>
      </c>
    </row>
    <row r="1188">
      <c r="A1188" s="2" t="n">
        <v>1186</v>
      </c>
      <c r="B1188" s="7" t="n">
        <v>46295.79166666666</v>
      </c>
      <c r="C1188" s="2" t="inlineStr">
        <is>
          <t>出場</t>
        </is>
      </c>
      <c r="D1188" s="2" t="n">
        <v>592</v>
      </c>
      <c r="E1188" s="2" t="inlineStr">
        <is>
          <t>NEAR_USDT_PERP</t>
        </is>
      </c>
      <c r="F1188" s="2" t="inlineStr">
        <is>
          <t>做多</t>
        </is>
      </c>
      <c r="G1188" s="20" t="n">
        <v>5.015</v>
      </c>
      <c r="H1188" s="20" t="n">
        <v>5.16545</v>
      </c>
      <c r="I1188" s="20" t="n">
        <v>4.76425</v>
      </c>
      <c r="J1188" s="20" t="n">
        <v>5.16545</v>
      </c>
      <c r="K1188" s="2" t="inlineStr">
        <is>
          <t>止盈</t>
        </is>
      </c>
      <c r="L1188" s="5">
        <f>交易明細!K593</f>
        <v/>
      </c>
      <c r="M1188" s="19">
        <f>M1177</f>
        <v/>
      </c>
      <c r="N1188" s="2">
        <f>N1177</f>
        <v/>
      </c>
      <c r="O1188" s="19">
        <f>O1177</f>
        <v/>
      </c>
      <c r="P1188" s="4">
        <f>交易明細!L593</f>
        <v/>
      </c>
      <c r="Q1188" s="13">
        <f>IF(N1188="已下單",O1188*P1188,0)</f>
        <v/>
      </c>
      <c r="R1188" s="13">
        <f>R1187+Q1188</f>
        <v/>
      </c>
      <c r="S1188" s="19">
        <f>S1187-IF(N1188="已下單",M1188,0)</f>
        <v/>
      </c>
      <c r="T1188" s="19">
        <f>R1188-S1188</f>
        <v/>
      </c>
      <c r="U1188" s="2">
        <f>U1187-IF(N1188="已下單",1,0)</f>
        <v/>
      </c>
      <c r="V1188" s="19">
        <f>IF(資金模擬!$B$9=2,MAX(R1188,0),MAX(V1187,FLOOR(MAX(R1188,0),資金模擬!$B$6)))</f>
        <v/>
      </c>
      <c r="W1188" s="13">
        <f>MAX(W1187,R1188)</f>
        <v/>
      </c>
      <c r="X1188" s="4">
        <f>IF(W1188&gt;0,R1188/W1188-1,-1)</f>
        <v/>
      </c>
      <c r="Y1188" s="19">
        <f>IF(R1188&gt;0,S1188*資金模擬!$B$7/R1188,0)</f>
        <v/>
      </c>
      <c r="Z1188" s="2">
        <f>IF(OR(Z1187=1,R1188&lt;=資金模擬!$B$10),1,0)</f>
        <v/>
      </c>
    </row>
    <row r="1189">
      <c r="A1189" s="2" t="n">
        <v>1187</v>
      </c>
      <c r="B1189" s="7" t="n">
        <v>46295.79166666666</v>
      </c>
      <c r="C1189" s="2" t="inlineStr">
        <is>
          <t>進場</t>
        </is>
      </c>
      <c r="D1189" s="2" t="n">
        <v>597</v>
      </c>
      <c r="E1189" s="2" t="inlineStr">
        <is>
          <t>PENGU_USDT_PERP</t>
        </is>
      </c>
      <c r="F1189" s="2" t="inlineStr">
        <is>
          <t>做多</t>
        </is>
      </c>
      <c r="G1189" s="20" t="n">
        <v>0.010291</v>
      </c>
      <c r="H1189" s="20" t="n">
        <v>0.01059973</v>
      </c>
      <c r="I1189" s="20" t="n">
        <v>0.009776449999999999</v>
      </c>
      <c r="J1189" s="20" t="n"/>
      <c r="K1189" s="2" t="n"/>
      <c r="L1189" s="5" t="n"/>
      <c r="M1189" s="19">
        <f>資金模擬!$B$5*V1188</f>
        <v/>
      </c>
      <c r="N1189" s="2">
        <f>IF(Z1188=1,"已停止",IF(T1188&gt;=M1189,"已下單","資金不足略過"))</f>
        <v/>
      </c>
      <c r="O1189" s="19">
        <f>IF(N1189="已下單",M1189*資金模擬!$B$7,0)</f>
        <v/>
      </c>
      <c r="P1189" s="4" t="n"/>
      <c r="Q1189" s="13" t="n">
        <v>0</v>
      </c>
      <c r="R1189" s="13">
        <f>R1188+Q1189</f>
        <v/>
      </c>
      <c r="S1189" s="19">
        <f>S1188+IF(N1189="已下單",M1189,0)</f>
        <v/>
      </c>
      <c r="T1189" s="19">
        <f>R1189-S1189</f>
        <v/>
      </c>
      <c r="U1189" s="2">
        <f>U1188+IF(N1189="已下單",1,0)</f>
        <v/>
      </c>
      <c r="V1189" s="19">
        <f>IF(資金模擬!$B$9=2,MAX(R1189,0),MAX(V1188,FLOOR(MAX(R1189,0),資金模擬!$B$6)))</f>
        <v/>
      </c>
      <c r="W1189" s="13">
        <f>MAX(W1188,R1189)</f>
        <v/>
      </c>
      <c r="X1189" s="4">
        <f>IF(W1189&gt;0,R1189/W1189-1,-1)</f>
        <v/>
      </c>
      <c r="Y1189" s="19">
        <f>IF(R1189&gt;0,S1189*資金模擬!$B$7/R1189,0)</f>
        <v/>
      </c>
      <c r="Z1189" s="2">
        <f>IF(OR(Z1188=1,R1189&lt;=資金模擬!$B$10),1,0)</f>
        <v/>
      </c>
    </row>
    <row r="1190">
      <c r="A1190" s="2" t="n">
        <v>1188</v>
      </c>
      <c r="B1190" s="7" t="n">
        <v>46295.83333333334</v>
      </c>
      <c r="C1190" s="2" t="inlineStr">
        <is>
          <t>出場</t>
        </is>
      </c>
      <c r="D1190" s="2" t="n">
        <v>595</v>
      </c>
      <c r="E1190" s="2" t="inlineStr">
        <is>
          <t>MARSCOIN_USDT_PERP</t>
        </is>
      </c>
      <c r="F1190" s="2" t="inlineStr">
        <is>
          <t>做空</t>
        </is>
      </c>
      <c r="G1190" s="20" t="n">
        <v>0.1433</v>
      </c>
      <c r="H1190" s="20" t="n">
        <v>0.139001</v>
      </c>
      <c r="I1190" s="20" t="n">
        <v>0.150465</v>
      </c>
      <c r="J1190" s="20" t="n">
        <v>0.139001</v>
      </c>
      <c r="K1190" s="2" t="inlineStr">
        <is>
          <t>止盈</t>
        </is>
      </c>
      <c r="L1190" s="5">
        <f>交易明細!K596</f>
        <v/>
      </c>
      <c r="M1190" s="19">
        <f>M1185</f>
        <v/>
      </c>
      <c r="N1190" s="2">
        <f>N1185</f>
        <v/>
      </c>
      <c r="O1190" s="19">
        <f>O1185</f>
        <v/>
      </c>
      <c r="P1190" s="4">
        <f>交易明細!L596</f>
        <v/>
      </c>
      <c r="Q1190" s="13">
        <f>IF(N1190="已下單",O1190*P1190,0)</f>
        <v/>
      </c>
      <c r="R1190" s="13">
        <f>R1189+Q1190</f>
        <v/>
      </c>
      <c r="S1190" s="19">
        <f>S1189-IF(N1190="已下單",M1190,0)</f>
        <v/>
      </c>
      <c r="T1190" s="19">
        <f>R1190-S1190</f>
        <v/>
      </c>
      <c r="U1190" s="2">
        <f>U1189-IF(N1190="已下單",1,0)</f>
        <v/>
      </c>
      <c r="V1190" s="19">
        <f>IF(資金模擬!$B$9=2,MAX(R1190,0),MAX(V1189,FLOOR(MAX(R1190,0),資金模擬!$B$6)))</f>
        <v/>
      </c>
      <c r="W1190" s="13">
        <f>MAX(W1189,R1190)</f>
        <v/>
      </c>
      <c r="X1190" s="4">
        <f>IF(W1190&gt;0,R1190/W1190-1,-1)</f>
        <v/>
      </c>
      <c r="Y1190" s="19">
        <f>IF(R1190&gt;0,S1190*資金模擬!$B$7/R1190,0)</f>
        <v/>
      </c>
      <c r="Z1190" s="2">
        <f>IF(OR(Z1189=1,R1190&lt;=資金模擬!$B$10),1,0)</f>
        <v/>
      </c>
    </row>
    <row r="1191">
      <c r="A1191" s="2" t="n">
        <v>1189</v>
      </c>
      <c r="B1191" s="7" t="n">
        <v>46295.875</v>
      </c>
      <c r="C1191" s="2" t="inlineStr">
        <is>
          <t>出場</t>
        </is>
      </c>
      <c r="D1191" s="2" t="n">
        <v>585</v>
      </c>
      <c r="E1191" s="2" t="inlineStr">
        <is>
          <t>ZEC_USDT_PERP</t>
        </is>
      </c>
      <c r="F1191" s="2" t="inlineStr">
        <is>
          <t>做空</t>
        </is>
      </c>
      <c r="G1191" s="20" t="n">
        <v>1390.63</v>
      </c>
      <c r="H1191" s="20" t="n">
        <v>1348.9111</v>
      </c>
      <c r="I1191" s="20" t="n">
        <v>1460.1615</v>
      </c>
      <c r="J1191" s="20" t="n">
        <v>1460.1615</v>
      </c>
      <c r="K1191" s="2" t="inlineStr">
        <is>
          <t>止損</t>
        </is>
      </c>
      <c r="L1191" s="5">
        <f>交易明細!K586</f>
        <v/>
      </c>
      <c r="M1191" s="19">
        <f>M1156</f>
        <v/>
      </c>
      <c r="N1191" s="2">
        <f>N1156</f>
        <v/>
      </c>
      <c r="O1191" s="19">
        <f>O1156</f>
        <v/>
      </c>
      <c r="P1191" s="4">
        <f>交易明細!L586</f>
        <v/>
      </c>
      <c r="Q1191" s="13">
        <f>IF(N1191="已下單",O1191*P1191,0)</f>
        <v/>
      </c>
      <c r="R1191" s="13">
        <f>R1190+Q1191</f>
        <v/>
      </c>
      <c r="S1191" s="19">
        <f>S1190-IF(N1191="已下單",M1191,0)</f>
        <v/>
      </c>
      <c r="T1191" s="19">
        <f>R1191-S1191</f>
        <v/>
      </c>
      <c r="U1191" s="2">
        <f>U1190-IF(N1191="已下單",1,0)</f>
        <v/>
      </c>
      <c r="V1191" s="19">
        <f>IF(資金模擬!$B$9=2,MAX(R1191,0),MAX(V1190,FLOOR(MAX(R1191,0),資金模擬!$B$6)))</f>
        <v/>
      </c>
      <c r="W1191" s="13">
        <f>MAX(W1190,R1191)</f>
        <v/>
      </c>
      <c r="X1191" s="4">
        <f>IF(W1191&gt;0,R1191/W1191-1,-1)</f>
        <v/>
      </c>
      <c r="Y1191" s="19">
        <f>IF(R1191&gt;0,S1191*資金模擬!$B$7/R1191,0)</f>
        <v/>
      </c>
      <c r="Z1191" s="2">
        <f>IF(OR(Z1190=1,R1191&lt;=資金模擬!$B$10),1,0)</f>
        <v/>
      </c>
    </row>
    <row r="1192">
      <c r="A1192" s="2" t="n">
        <v>1190</v>
      </c>
      <c r="B1192" s="7" t="n">
        <v>46295.875</v>
      </c>
      <c r="C1192" s="2" t="inlineStr">
        <is>
          <t>進場</t>
        </is>
      </c>
      <c r="D1192" s="2" t="n">
        <v>598</v>
      </c>
      <c r="E1192" s="2" t="inlineStr">
        <is>
          <t>ENA_USDT_PERP</t>
        </is>
      </c>
      <c r="F1192" s="2" t="inlineStr">
        <is>
          <t>做多</t>
        </is>
      </c>
      <c r="G1192" s="20" t="n">
        <v>0.2619</v>
      </c>
      <c r="H1192" s="20" t="n">
        <v>0.269757</v>
      </c>
      <c r="I1192" s="20" t="n">
        <v>0.248805</v>
      </c>
      <c r="J1192" s="20" t="n"/>
      <c r="K1192" s="2" t="n"/>
      <c r="L1192" s="5" t="n"/>
      <c r="M1192" s="19">
        <f>資金模擬!$B$5*V1191</f>
        <v/>
      </c>
      <c r="N1192" s="2">
        <f>IF(Z1191=1,"已停止",IF(T1191&gt;=M1192,"已下單","資金不足略過"))</f>
        <v/>
      </c>
      <c r="O1192" s="19">
        <f>IF(N1192="已下單",M1192*資金模擬!$B$7,0)</f>
        <v/>
      </c>
      <c r="P1192" s="4" t="n"/>
      <c r="Q1192" s="13" t="n">
        <v>0</v>
      </c>
      <c r="R1192" s="13">
        <f>R1191+Q1192</f>
        <v/>
      </c>
      <c r="S1192" s="19">
        <f>S1191+IF(N1192="已下單",M1192,0)</f>
        <v/>
      </c>
      <c r="T1192" s="19">
        <f>R1192-S1192</f>
        <v/>
      </c>
      <c r="U1192" s="2">
        <f>U1191+IF(N1192="已下單",1,0)</f>
        <v/>
      </c>
      <c r="V1192" s="19">
        <f>IF(資金模擬!$B$9=2,MAX(R1192,0),MAX(V1191,FLOOR(MAX(R1192,0),資金模擬!$B$6)))</f>
        <v/>
      </c>
      <c r="W1192" s="13">
        <f>MAX(W1191,R1192)</f>
        <v/>
      </c>
      <c r="X1192" s="4">
        <f>IF(W1192&gt;0,R1192/W1192-1,-1)</f>
        <v/>
      </c>
      <c r="Y1192" s="19">
        <f>IF(R1192&gt;0,S1192*資金模擬!$B$7/R1192,0)</f>
        <v/>
      </c>
      <c r="Z1192" s="2">
        <f>IF(OR(Z1191=1,R1192&lt;=資金模擬!$B$10),1,0)</f>
        <v/>
      </c>
    </row>
    <row r="1193">
      <c r="A1193" s="2" t="n">
        <v>1191</v>
      </c>
      <c r="B1193" s="7" t="n">
        <v>46295.875</v>
      </c>
      <c r="C1193" s="2" t="inlineStr">
        <is>
          <t>進場</t>
        </is>
      </c>
      <c r="D1193" s="2" t="n">
        <v>599</v>
      </c>
      <c r="E1193" s="2" t="inlineStr">
        <is>
          <t>GRASS_USDT_PERP</t>
        </is>
      </c>
      <c r="F1193" s="2" t="inlineStr">
        <is>
          <t>做多</t>
        </is>
      </c>
      <c r="G1193" s="20" t="n">
        <v>0.7415</v>
      </c>
      <c r="H1193" s="20" t="n">
        <v>0.7637450000000001</v>
      </c>
      <c r="I1193" s="20" t="n">
        <v>0.704425</v>
      </c>
      <c r="J1193" s="20" t="n"/>
      <c r="K1193" s="2" t="n"/>
      <c r="L1193" s="5" t="n"/>
      <c r="M1193" s="19">
        <f>資金模擬!$B$5*V1192</f>
        <v/>
      </c>
      <c r="N1193" s="2">
        <f>IF(Z1192=1,"已停止",IF(T1192&gt;=M1193,"已下單","資金不足略過"))</f>
        <v/>
      </c>
      <c r="O1193" s="19">
        <f>IF(N1193="已下單",M1193*資金模擬!$B$7,0)</f>
        <v/>
      </c>
      <c r="P1193" s="4" t="n"/>
      <c r="Q1193" s="13" t="n">
        <v>0</v>
      </c>
      <c r="R1193" s="13">
        <f>R1192+Q1193</f>
        <v/>
      </c>
      <c r="S1193" s="19">
        <f>S1192+IF(N1193="已下單",M1193,0)</f>
        <v/>
      </c>
      <c r="T1193" s="19">
        <f>R1193-S1193</f>
        <v/>
      </c>
      <c r="U1193" s="2">
        <f>U1192+IF(N1193="已下單",1,0)</f>
        <v/>
      </c>
      <c r="V1193" s="19">
        <f>IF(資金模擬!$B$9=2,MAX(R1193,0),MAX(V1192,FLOOR(MAX(R1193,0),資金模擬!$B$6)))</f>
        <v/>
      </c>
      <c r="W1193" s="13">
        <f>MAX(W1192,R1193)</f>
        <v/>
      </c>
      <c r="X1193" s="4">
        <f>IF(W1193&gt;0,R1193/W1193-1,-1)</f>
        <v/>
      </c>
      <c r="Y1193" s="19">
        <f>IF(R1193&gt;0,S1193*資金模擬!$B$7/R1193,0)</f>
        <v/>
      </c>
      <c r="Z1193" s="2">
        <f>IF(OR(Z1192=1,R1193&lt;=資金模擬!$B$10),1,0)</f>
        <v/>
      </c>
    </row>
    <row r="1194">
      <c r="A1194" s="2" t="n">
        <v>1192</v>
      </c>
      <c r="B1194" s="7" t="n">
        <v>46295.91666666666</v>
      </c>
      <c r="C1194" s="2" t="inlineStr">
        <is>
          <t>出場</t>
        </is>
      </c>
      <c r="D1194" s="2" t="n">
        <v>584</v>
      </c>
      <c r="E1194" s="2" t="inlineStr">
        <is>
          <t>SUI_USDT_PERP</t>
        </is>
      </c>
      <c r="F1194" s="2" t="inlineStr">
        <is>
          <t>做空</t>
        </is>
      </c>
      <c r="G1194" s="20" t="n">
        <v>1.1375</v>
      </c>
      <c r="H1194" s="20" t="n">
        <v>1.103375</v>
      </c>
      <c r="I1194" s="20" t="n">
        <v>1.194375</v>
      </c>
      <c r="J1194" s="20" t="n">
        <v>1.194375</v>
      </c>
      <c r="K1194" s="2" t="inlineStr">
        <is>
          <t>止損</t>
        </is>
      </c>
      <c r="L1194" s="5">
        <f>交易明細!K585</f>
        <v/>
      </c>
      <c r="M1194" s="19">
        <f>M1155</f>
        <v/>
      </c>
      <c r="N1194" s="2">
        <f>N1155</f>
        <v/>
      </c>
      <c r="O1194" s="19">
        <f>O1155</f>
        <v/>
      </c>
      <c r="P1194" s="4">
        <f>交易明細!L585</f>
        <v/>
      </c>
      <c r="Q1194" s="13">
        <f>IF(N1194="已下單",O1194*P1194,0)</f>
        <v/>
      </c>
      <c r="R1194" s="13">
        <f>R1193+Q1194</f>
        <v/>
      </c>
      <c r="S1194" s="19">
        <f>S1193-IF(N1194="已下單",M1194,0)</f>
        <v/>
      </c>
      <c r="T1194" s="19">
        <f>R1194-S1194</f>
        <v/>
      </c>
      <c r="U1194" s="2">
        <f>U1193-IF(N1194="已下單",1,0)</f>
        <v/>
      </c>
      <c r="V1194" s="19">
        <f>IF(資金模擬!$B$9=2,MAX(R1194,0),MAX(V1193,FLOOR(MAX(R1194,0),資金模擬!$B$6)))</f>
        <v/>
      </c>
      <c r="W1194" s="13">
        <f>MAX(W1193,R1194)</f>
        <v/>
      </c>
      <c r="X1194" s="4">
        <f>IF(W1194&gt;0,R1194/W1194-1,-1)</f>
        <v/>
      </c>
      <c r="Y1194" s="19">
        <f>IF(R1194&gt;0,S1194*資金模擬!$B$7/R1194,0)</f>
        <v/>
      </c>
      <c r="Z1194" s="2">
        <f>IF(OR(Z1193=1,R1194&lt;=資金模擬!$B$10),1,0)</f>
        <v/>
      </c>
    </row>
    <row r="1195">
      <c r="A1195" s="2" t="n">
        <v>1193</v>
      </c>
      <c r="B1195" s="7" t="n">
        <v>46295.91666666666</v>
      </c>
      <c r="C1195" s="2" t="inlineStr">
        <is>
          <t>出場</t>
        </is>
      </c>
      <c r="D1195" s="2" t="n">
        <v>593</v>
      </c>
      <c r="E1195" s="2" t="inlineStr">
        <is>
          <t>ICP_USDT_PERP</t>
        </is>
      </c>
      <c r="F1195" s="2" t="inlineStr">
        <is>
          <t>做空</t>
        </is>
      </c>
      <c r="G1195" s="20" t="n">
        <v>3.367</v>
      </c>
      <c r="H1195" s="20" t="n">
        <v>3.26599</v>
      </c>
      <c r="I1195" s="20" t="n">
        <v>3.53535</v>
      </c>
      <c r="J1195" s="20" t="n">
        <v>3.53535</v>
      </c>
      <c r="K1195" s="2" t="inlineStr">
        <is>
          <t>止損</t>
        </is>
      </c>
      <c r="L1195" s="5">
        <f>交易明細!K594</f>
        <v/>
      </c>
      <c r="M1195" s="19">
        <f>M1180</f>
        <v/>
      </c>
      <c r="N1195" s="2">
        <f>N1180</f>
        <v/>
      </c>
      <c r="O1195" s="19">
        <f>O1180</f>
        <v/>
      </c>
      <c r="P1195" s="4">
        <f>交易明細!L594</f>
        <v/>
      </c>
      <c r="Q1195" s="13">
        <f>IF(N1195="已下單",O1195*P1195,0)</f>
        <v/>
      </c>
      <c r="R1195" s="13">
        <f>R1194+Q1195</f>
        <v/>
      </c>
      <c r="S1195" s="19">
        <f>S1194-IF(N1195="已下單",M1195,0)</f>
        <v/>
      </c>
      <c r="T1195" s="19">
        <f>R1195-S1195</f>
        <v/>
      </c>
      <c r="U1195" s="2">
        <f>U1194-IF(N1195="已下單",1,0)</f>
        <v/>
      </c>
      <c r="V1195" s="19">
        <f>IF(資金模擬!$B$9=2,MAX(R1195,0),MAX(V1194,FLOOR(MAX(R1195,0),資金模擬!$B$6)))</f>
        <v/>
      </c>
      <c r="W1195" s="13">
        <f>MAX(W1194,R1195)</f>
        <v/>
      </c>
      <c r="X1195" s="4">
        <f>IF(W1195&gt;0,R1195/W1195-1,-1)</f>
        <v/>
      </c>
      <c r="Y1195" s="19">
        <f>IF(R1195&gt;0,S1195*資金模擬!$B$7/R1195,0)</f>
        <v/>
      </c>
      <c r="Z1195" s="2">
        <f>IF(OR(Z1194=1,R1195&lt;=資金模擬!$B$10),1,0)</f>
        <v/>
      </c>
    </row>
    <row r="1196">
      <c r="A1196" s="2" t="n">
        <v>1194</v>
      </c>
      <c r="B1196" s="7" t="n">
        <v>46295.91666666666</v>
      </c>
      <c r="C1196" s="2" t="inlineStr">
        <is>
          <t>出場</t>
        </is>
      </c>
      <c r="D1196" s="2" t="n">
        <v>597</v>
      </c>
      <c r="E1196" s="2" t="inlineStr">
        <is>
          <t>PENGU_USDT_PERP</t>
        </is>
      </c>
      <c r="F1196" s="2" t="inlineStr">
        <is>
          <t>做多</t>
        </is>
      </c>
      <c r="G1196" s="20" t="n">
        <v>0.010291</v>
      </c>
      <c r="H1196" s="20" t="n">
        <v>0.01059973</v>
      </c>
      <c r="I1196" s="20" t="n">
        <v>0.009776449999999999</v>
      </c>
      <c r="J1196" s="20" t="n">
        <v>0.01059973</v>
      </c>
      <c r="K1196" s="2" t="inlineStr">
        <is>
          <t>止盈</t>
        </is>
      </c>
      <c r="L1196" s="5">
        <f>交易明細!K598</f>
        <v/>
      </c>
      <c r="M1196" s="19">
        <f>M1189</f>
        <v/>
      </c>
      <c r="N1196" s="2">
        <f>N1189</f>
        <v/>
      </c>
      <c r="O1196" s="19">
        <f>O1189</f>
        <v/>
      </c>
      <c r="P1196" s="4">
        <f>交易明細!L598</f>
        <v/>
      </c>
      <c r="Q1196" s="13">
        <f>IF(N1196="已下單",O1196*P1196,0)</f>
        <v/>
      </c>
      <c r="R1196" s="13">
        <f>R1195+Q1196</f>
        <v/>
      </c>
      <c r="S1196" s="19">
        <f>S1195-IF(N1196="已下單",M1196,0)</f>
        <v/>
      </c>
      <c r="T1196" s="19">
        <f>R1196-S1196</f>
        <v/>
      </c>
      <c r="U1196" s="2">
        <f>U1195-IF(N1196="已下單",1,0)</f>
        <v/>
      </c>
      <c r="V1196" s="19">
        <f>IF(資金模擬!$B$9=2,MAX(R1196,0),MAX(V1195,FLOOR(MAX(R1196,0),資金模擬!$B$6)))</f>
        <v/>
      </c>
      <c r="W1196" s="13">
        <f>MAX(W1195,R1196)</f>
        <v/>
      </c>
      <c r="X1196" s="4">
        <f>IF(W1196&gt;0,R1196/W1196-1,-1)</f>
        <v/>
      </c>
      <c r="Y1196" s="19">
        <f>IF(R1196&gt;0,S1196*資金模擬!$B$7/R1196,0)</f>
        <v/>
      </c>
      <c r="Z1196" s="2">
        <f>IF(OR(Z1195=1,R1196&lt;=資金模擬!$B$10),1,0)</f>
        <v/>
      </c>
    </row>
    <row r="1197">
      <c r="A1197" s="2" t="n">
        <v>1195</v>
      </c>
      <c r="B1197" s="7" t="n">
        <v>46295.91666666666</v>
      </c>
      <c r="C1197" s="2" t="inlineStr">
        <is>
          <t>出場</t>
        </is>
      </c>
      <c r="D1197" s="2" t="n">
        <v>598</v>
      </c>
      <c r="E1197" s="2" t="inlineStr">
        <is>
          <t>ENA_USDT_PERP</t>
        </is>
      </c>
      <c r="F1197" s="2" t="inlineStr">
        <is>
          <t>做多</t>
        </is>
      </c>
      <c r="G1197" s="20" t="n">
        <v>0.2619</v>
      </c>
      <c r="H1197" s="20" t="n">
        <v>0.269757</v>
      </c>
      <c r="I1197" s="20" t="n">
        <v>0.248805</v>
      </c>
      <c r="J1197" s="20" t="n">
        <v>0.269757</v>
      </c>
      <c r="K1197" s="2" t="inlineStr">
        <is>
          <t>止盈</t>
        </is>
      </c>
      <c r="L1197" s="5">
        <f>交易明細!K599</f>
        <v/>
      </c>
      <c r="M1197" s="19">
        <f>M1192</f>
        <v/>
      </c>
      <c r="N1197" s="2">
        <f>N1192</f>
        <v/>
      </c>
      <c r="O1197" s="19">
        <f>O1192</f>
        <v/>
      </c>
      <c r="P1197" s="4">
        <f>交易明細!L599</f>
        <v/>
      </c>
      <c r="Q1197" s="13">
        <f>IF(N1197="已下單",O1197*P1197,0)</f>
        <v/>
      </c>
      <c r="R1197" s="13">
        <f>R1196+Q1197</f>
        <v/>
      </c>
      <c r="S1197" s="19">
        <f>S1196-IF(N1197="已下單",M1197,0)</f>
        <v/>
      </c>
      <c r="T1197" s="19">
        <f>R1197-S1197</f>
        <v/>
      </c>
      <c r="U1197" s="2">
        <f>U1196-IF(N1197="已下單",1,0)</f>
        <v/>
      </c>
      <c r="V1197" s="19">
        <f>IF(資金模擬!$B$9=2,MAX(R1197,0),MAX(V1196,FLOOR(MAX(R1197,0),資金模擬!$B$6)))</f>
        <v/>
      </c>
      <c r="W1197" s="13">
        <f>MAX(W1196,R1197)</f>
        <v/>
      </c>
      <c r="X1197" s="4">
        <f>IF(W1197&gt;0,R1197/W1197-1,-1)</f>
        <v/>
      </c>
      <c r="Y1197" s="19">
        <f>IF(R1197&gt;0,S1197*資金模擬!$B$7/R1197,0)</f>
        <v/>
      </c>
      <c r="Z1197" s="2">
        <f>IF(OR(Z1196=1,R1197&lt;=資金模擬!$B$10),1,0)</f>
        <v/>
      </c>
    </row>
    <row r="1198">
      <c r="A1198" s="2" t="n">
        <v>1196</v>
      </c>
      <c r="B1198" s="7" t="n">
        <v>46295.91666666666</v>
      </c>
      <c r="C1198" s="2" t="inlineStr">
        <is>
          <t>進場</t>
        </is>
      </c>
      <c r="D1198" s="2" t="n">
        <v>600</v>
      </c>
      <c r="E1198" s="2" t="inlineStr">
        <is>
          <t>MARSCOIN_USDT_PERP</t>
        </is>
      </c>
      <c r="F1198" s="2" t="inlineStr">
        <is>
          <t>做空</t>
        </is>
      </c>
      <c r="G1198" s="20" t="n">
        <v>0.13971</v>
      </c>
      <c r="H1198" s="20" t="n">
        <v>0.1355187</v>
      </c>
      <c r="I1198" s="20" t="n">
        <v>0.1466955</v>
      </c>
      <c r="J1198" s="20" t="n"/>
      <c r="K1198" s="2" t="n"/>
      <c r="L1198" s="5" t="n"/>
      <c r="M1198" s="19">
        <f>資金模擬!$B$5*V1197</f>
        <v/>
      </c>
      <c r="N1198" s="2">
        <f>IF(Z1197=1,"已停止",IF(T1197&gt;=M1198,"已下單","資金不足略過"))</f>
        <v/>
      </c>
      <c r="O1198" s="19">
        <f>IF(N1198="已下單",M1198*資金模擬!$B$7,0)</f>
        <v/>
      </c>
      <c r="P1198" s="4" t="n"/>
      <c r="Q1198" s="13" t="n">
        <v>0</v>
      </c>
      <c r="R1198" s="13">
        <f>R1197+Q1198</f>
        <v/>
      </c>
      <c r="S1198" s="19">
        <f>S1197+IF(N1198="已下單",M1198,0)</f>
        <v/>
      </c>
      <c r="T1198" s="19">
        <f>R1198-S1198</f>
        <v/>
      </c>
      <c r="U1198" s="2">
        <f>U1197+IF(N1198="已下單",1,0)</f>
        <v/>
      </c>
      <c r="V1198" s="19">
        <f>IF(資金模擬!$B$9=2,MAX(R1198,0),MAX(V1197,FLOOR(MAX(R1198,0),資金模擬!$B$6)))</f>
        <v/>
      </c>
      <c r="W1198" s="13">
        <f>MAX(W1197,R1198)</f>
        <v/>
      </c>
      <c r="X1198" s="4">
        <f>IF(W1198&gt;0,R1198/W1198-1,-1)</f>
        <v/>
      </c>
      <c r="Y1198" s="19">
        <f>IF(R1198&gt;0,S1198*資金模擬!$B$7/R1198,0)</f>
        <v/>
      </c>
      <c r="Z1198" s="2">
        <f>IF(OR(Z1197=1,R1198&lt;=資金模擬!$B$10),1,0)</f>
        <v/>
      </c>
    </row>
    <row r="1199">
      <c r="A1199" s="2" t="n">
        <v>1197</v>
      </c>
      <c r="B1199" s="7" t="n">
        <v>46295.95833333334</v>
      </c>
      <c r="C1199" s="2" t="inlineStr">
        <is>
          <t>出場</t>
        </is>
      </c>
      <c r="D1199" s="2" t="n">
        <v>596</v>
      </c>
      <c r="E1199" s="2" t="inlineStr">
        <is>
          <t>CRV_USDT_PERP</t>
        </is>
      </c>
      <c r="F1199" s="2" t="inlineStr">
        <is>
          <t>做多</t>
        </is>
      </c>
      <c r="G1199" s="20" t="n">
        <v>0.4067</v>
      </c>
      <c r="H1199" s="20" t="n">
        <v>0.418901</v>
      </c>
      <c r="I1199" s="20" t="n">
        <v>0.386365</v>
      </c>
      <c r="J1199" s="20" t="n">
        <v>0.386365</v>
      </c>
      <c r="K1199" s="2" t="inlineStr">
        <is>
          <t>止損</t>
        </is>
      </c>
      <c r="L1199" s="5">
        <f>交易明細!K597</f>
        <v/>
      </c>
      <c r="M1199" s="19">
        <f>M1187</f>
        <v/>
      </c>
      <c r="N1199" s="2">
        <f>N1187</f>
        <v/>
      </c>
      <c r="O1199" s="19">
        <f>O1187</f>
        <v/>
      </c>
      <c r="P1199" s="4">
        <f>交易明細!L597</f>
        <v/>
      </c>
      <c r="Q1199" s="13">
        <f>IF(N1199="已下單",O1199*P1199,0)</f>
        <v/>
      </c>
      <c r="R1199" s="13">
        <f>R1198+Q1199</f>
        <v/>
      </c>
      <c r="S1199" s="19">
        <f>S1198-IF(N1199="已下單",M1199,0)</f>
        <v/>
      </c>
      <c r="T1199" s="19">
        <f>R1199-S1199</f>
        <v/>
      </c>
      <c r="U1199" s="2">
        <f>U1198-IF(N1199="已下單",1,0)</f>
        <v/>
      </c>
      <c r="V1199" s="19">
        <f>IF(資金模擬!$B$9=2,MAX(R1199,0),MAX(V1198,FLOOR(MAX(R1199,0),資金模擬!$B$6)))</f>
        <v/>
      </c>
      <c r="W1199" s="13">
        <f>MAX(W1198,R1199)</f>
        <v/>
      </c>
      <c r="X1199" s="4">
        <f>IF(W1199&gt;0,R1199/W1199-1,-1)</f>
        <v/>
      </c>
      <c r="Y1199" s="19">
        <f>IF(R1199&gt;0,S1199*資金模擬!$B$7/R1199,0)</f>
        <v/>
      </c>
      <c r="Z1199" s="2">
        <f>IF(OR(Z1198=1,R1199&lt;=資金模擬!$B$10),1,0)</f>
        <v/>
      </c>
    </row>
    <row r="1200">
      <c r="A1200" s="2" t="n">
        <v>1198</v>
      </c>
      <c r="B1200" s="7" t="n">
        <v>46295.95833333334</v>
      </c>
      <c r="C1200" s="2" t="inlineStr">
        <is>
          <t>出場</t>
        </is>
      </c>
      <c r="D1200" s="2" t="n">
        <v>600</v>
      </c>
      <c r="E1200" s="2" t="inlineStr">
        <is>
          <t>MARSCOIN_USDT_PERP</t>
        </is>
      </c>
      <c r="F1200" s="2" t="inlineStr">
        <is>
          <t>做空</t>
        </is>
      </c>
      <c r="G1200" s="20" t="n">
        <v>0.13971</v>
      </c>
      <c r="H1200" s="20" t="n">
        <v>0.1355187</v>
      </c>
      <c r="I1200" s="20" t="n">
        <v>0.1466955</v>
      </c>
      <c r="J1200" s="20" t="n">
        <v>0.1355187</v>
      </c>
      <c r="K1200" s="2" t="inlineStr">
        <is>
          <t>止盈</t>
        </is>
      </c>
      <c r="L1200" s="5">
        <f>交易明細!K601</f>
        <v/>
      </c>
      <c r="M1200" s="19">
        <f>M1198</f>
        <v/>
      </c>
      <c r="N1200" s="2">
        <f>N1198</f>
        <v/>
      </c>
      <c r="O1200" s="19">
        <f>O1198</f>
        <v/>
      </c>
      <c r="P1200" s="4">
        <f>交易明細!L601</f>
        <v/>
      </c>
      <c r="Q1200" s="13">
        <f>IF(N1200="已下單",O1200*P1200,0)</f>
        <v/>
      </c>
      <c r="R1200" s="13">
        <f>R1199+Q1200</f>
        <v/>
      </c>
      <c r="S1200" s="19">
        <f>S1199-IF(N1200="已下單",M1200,0)</f>
        <v/>
      </c>
      <c r="T1200" s="19">
        <f>R1200-S1200</f>
        <v/>
      </c>
      <c r="U1200" s="2">
        <f>U1199-IF(N1200="已下單",1,0)</f>
        <v/>
      </c>
      <c r="V1200" s="19">
        <f>IF(資金模擬!$B$9=2,MAX(R1200,0),MAX(V1199,FLOOR(MAX(R1200,0),資金模擬!$B$6)))</f>
        <v/>
      </c>
      <c r="W1200" s="13">
        <f>MAX(W1199,R1200)</f>
        <v/>
      </c>
      <c r="X1200" s="4">
        <f>IF(W1200&gt;0,R1200/W1200-1,-1)</f>
        <v/>
      </c>
      <c r="Y1200" s="19">
        <f>IF(R1200&gt;0,S1200*資金模擬!$B$7/R1200,0)</f>
        <v/>
      </c>
      <c r="Z1200" s="2">
        <f>IF(OR(Z1199=1,R1200&lt;=資金模擬!$B$10),1,0)</f>
        <v/>
      </c>
    </row>
    <row r="1201">
      <c r="A1201" s="2" t="n">
        <v>1199</v>
      </c>
      <c r="B1201" s="7" t="n">
        <v>46295.95833333334</v>
      </c>
      <c r="C1201" s="2" t="inlineStr">
        <is>
          <t>進場</t>
        </is>
      </c>
      <c r="D1201" s="2" t="n">
        <v>601</v>
      </c>
      <c r="E1201" s="2" t="inlineStr">
        <is>
          <t>PENGU_USDT_PERP</t>
        </is>
      </c>
      <c r="F1201" s="2" t="inlineStr">
        <is>
          <t>做空</t>
        </is>
      </c>
      <c r="G1201" s="20" t="n">
        <v>0.009887</v>
      </c>
      <c r="H1201" s="20" t="n">
        <v>0.009590389999999999</v>
      </c>
      <c r="I1201" s="20" t="n">
        <v>0.01038135</v>
      </c>
      <c r="J1201" s="20" t="n"/>
      <c r="K1201" s="2" t="n"/>
      <c r="L1201" s="5" t="n"/>
      <c r="M1201" s="19">
        <f>資金模擬!$B$5*V1200</f>
        <v/>
      </c>
      <c r="N1201" s="2">
        <f>IF(Z1200=1,"已停止",IF(T1200&gt;=M1201,"已下單","資金不足略過"))</f>
        <v/>
      </c>
      <c r="O1201" s="19">
        <f>IF(N1201="已下單",M1201*資金模擬!$B$7,0)</f>
        <v/>
      </c>
      <c r="P1201" s="4" t="n"/>
      <c r="Q1201" s="13" t="n">
        <v>0</v>
      </c>
      <c r="R1201" s="13">
        <f>R1200+Q1201</f>
        <v/>
      </c>
      <c r="S1201" s="19">
        <f>S1200+IF(N1201="已下單",M1201,0)</f>
        <v/>
      </c>
      <c r="T1201" s="19">
        <f>R1201-S1201</f>
        <v/>
      </c>
      <c r="U1201" s="2">
        <f>U1200+IF(N1201="已下單",1,0)</f>
        <v/>
      </c>
      <c r="V1201" s="19">
        <f>IF(資金模擬!$B$9=2,MAX(R1201,0),MAX(V1200,FLOOR(MAX(R1201,0),資金模擬!$B$6)))</f>
        <v/>
      </c>
      <c r="W1201" s="13">
        <f>MAX(W1200,R1201)</f>
        <v/>
      </c>
      <c r="X1201" s="4">
        <f>IF(W1201&gt;0,R1201/W1201-1,-1)</f>
        <v/>
      </c>
      <c r="Y1201" s="19">
        <f>IF(R1201&gt;0,S1201*資金模擬!$B$7/R1201,0)</f>
        <v/>
      </c>
      <c r="Z1201" s="2">
        <f>IF(OR(Z1200=1,R1201&lt;=資金模擬!$B$10),1,0)</f>
        <v/>
      </c>
    </row>
    <row r="1202">
      <c r="A1202" s="2" t="n">
        <v>1200</v>
      </c>
      <c r="B1202" s="7" t="n">
        <v>46295.95833333334</v>
      </c>
      <c r="C1202" s="2" t="inlineStr">
        <is>
          <t>進場</t>
        </is>
      </c>
      <c r="D1202" s="2" t="n">
        <v>602</v>
      </c>
      <c r="E1202" s="2" t="inlineStr">
        <is>
          <t>USELESS_USDT_PERP</t>
        </is>
      </c>
      <c r="F1202" s="2" t="inlineStr">
        <is>
          <t>做空</t>
        </is>
      </c>
      <c r="G1202" s="20" t="n">
        <v>0.24081</v>
      </c>
      <c r="H1202" s="20" t="n">
        <v>0.2335857</v>
      </c>
      <c r="I1202" s="20" t="n">
        <v>0.2528505</v>
      </c>
      <c r="J1202" s="20" t="n"/>
      <c r="K1202" s="2" t="n"/>
      <c r="L1202" s="5" t="n"/>
      <c r="M1202" s="19">
        <f>資金模擬!$B$5*V1201</f>
        <v/>
      </c>
      <c r="N1202" s="2">
        <f>IF(Z1201=1,"已停止",IF(T1201&gt;=M1202,"已下單","資金不足略過"))</f>
        <v/>
      </c>
      <c r="O1202" s="19">
        <f>IF(N1202="已下單",M1202*資金模擬!$B$7,0)</f>
        <v/>
      </c>
      <c r="P1202" s="4" t="n"/>
      <c r="Q1202" s="13" t="n">
        <v>0</v>
      </c>
      <c r="R1202" s="13">
        <f>R1201+Q1202</f>
        <v/>
      </c>
      <c r="S1202" s="19">
        <f>S1201+IF(N1202="已下單",M1202,0)</f>
        <v/>
      </c>
      <c r="T1202" s="19">
        <f>R1202-S1202</f>
        <v/>
      </c>
      <c r="U1202" s="2">
        <f>U1201+IF(N1202="已下單",1,0)</f>
        <v/>
      </c>
      <c r="V1202" s="19">
        <f>IF(資金模擬!$B$9=2,MAX(R1202,0),MAX(V1201,FLOOR(MAX(R1202,0),資金模擬!$B$6)))</f>
        <v/>
      </c>
      <c r="W1202" s="13">
        <f>MAX(W1201,R1202)</f>
        <v/>
      </c>
      <c r="X1202" s="4">
        <f>IF(W1202&gt;0,R1202/W1202-1,-1)</f>
        <v/>
      </c>
      <c r="Y1202" s="19">
        <f>IF(R1202&gt;0,S1202*資金模擬!$B$7/R1202,0)</f>
        <v/>
      </c>
      <c r="Z1202" s="2">
        <f>IF(OR(Z1201=1,R1202&lt;=資金模擬!$B$10),1,0)</f>
        <v/>
      </c>
    </row>
    <row r="1203">
      <c r="A1203" s="2" t="n">
        <v>1201</v>
      </c>
      <c r="B1203" s="7" t="n">
        <v>46295.95833333334</v>
      </c>
      <c r="C1203" s="2" t="inlineStr">
        <is>
          <t>進場</t>
        </is>
      </c>
      <c r="D1203" s="2" t="n">
        <v>603</v>
      </c>
      <c r="E1203" s="2" t="inlineStr">
        <is>
          <t>XPL_USDT_PERP</t>
        </is>
      </c>
      <c r="F1203" s="2" t="inlineStr">
        <is>
          <t>做空</t>
        </is>
      </c>
      <c r="G1203" s="20" t="n">
        <v>0.0948</v>
      </c>
      <c r="H1203" s="20" t="n">
        <v>0.091956</v>
      </c>
      <c r="I1203" s="20" t="n">
        <v>0.09954</v>
      </c>
      <c r="J1203" s="20" t="n"/>
      <c r="K1203" s="2" t="n"/>
      <c r="L1203" s="5" t="n"/>
      <c r="M1203" s="19">
        <f>資金模擬!$B$5*V1202</f>
        <v/>
      </c>
      <c r="N1203" s="2">
        <f>IF(Z1202=1,"已停止",IF(T1202&gt;=M1203,"已下單","資金不足略過"))</f>
        <v/>
      </c>
      <c r="O1203" s="19">
        <f>IF(N1203="已下單",M1203*資金模擬!$B$7,0)</f>
        <v/>
      </c>
      <c r="P1203" s="4" t="n"/>
      <c r="Q1203" s="13" t="n">
        <v>0</v>
      </c>
      <c r="R1203" s="13">
        <f>R1202+Q1203</f>
        <v/>
      </c>
      <c r="S1203" s="19">
        <f>S1202+IF(N1203="已下單",M1203,0)</f>
        <v/>
      </c>
      <c r="T1203" s="19">
        <f>R1203-S1203</f>
        <v/>
      </c>
      <c r="U1203" s="2">
        <f>U1202+IF(N1203="已下單",1,0)</f>
        <v/>
      </c>
      <c r="V1203" s="19">
        <f>IF(資金模擬!$B$9=2,MAX(R1203,0),MAX(V1202,FLOOR(MAX(R1203,0),資金模擬!$B$6)))</f>
        <v/>
      </c>
      <c r="W1203" s="13">
        <f>MAX(W1202,R1203)</f>
        <v/>
      </c>
      <c r="X1203" s="4">
        <f>IF(W1203&gt;0,R1203/W1203-1,-1)</f>
        <v/>
      </c>
      <c r="Y1203" s="19">
        <f>IF(R1203&gt;0,S1203*資金模擬!$B$7/R1203,0)</f>
        <v/>
      </c>
      <c r="Z1203" s="2">
        <f>IF(OR(Z1202=1,R1203&lt;=資金模擬!$B$10),1,0)</f>
        <v/>
      </c>
    </row>
    <row r="1204">
      <c r="A1204" s="2" t="n">
        <v>1202</v>
      </c>
      <c r="B1204" s="7" t="n">
        <v>46295.95833333334</v>
      </c>
      <c r="C1204" s="2" t="inlineStr">
        <is>
          <t>進場</t>
        </is>
      </c>
      <c r="D1204" s="2" t="n">
        <v>604</v>
      </c>
      <c r="E1204" s="2" t="inlineStr">
        <is>
          <t>ZRO_USDT_PERP</t>
        </is>
      </c>
      <c r="F1204" s="2" t="inlineStr">
        <is>
          <t>做空</t>
        </is>
      </c>
      <c r="G1204" s="20" t="n">
        <v>1.7149</v>
      </c>
      <c r="H1204" s="20" t="n">
        <v>1.663453</v>
      </c>
      <c r="I1204" s="20" t="n">
        <v>1.800645</v>
      </c>
      <c r="J1204" s="20" t="n"/>
      <c r="K1204" s="2" t="n"/>
      <c r="L1204" s="5" t="n"/>
      <c r="M1204" s="19">
        <f>資金模擬!$B$5*V1203</f>
        <v/>
      </c>
      <c r="N1204" s="2">
        <f>IF(Z1203=1,"已停止",IF(T1203&gt;=M1204,"已下單","資金不足略過"))</f>
        <v/>
      </c>
      <c r="O1204" s="19">
        <f>IF(N1204="已下單",M1204*資金模擬!$B$7,0)</f>
        <v/>
      </c>
      <c r="P1204" s="4" t="n"/>
      <c r="Q1204" s="13" t="n">
        <v>0</v>
      </c>
      <c r="R1204" s="13">
        <f>R1203+Q1204</f>
        <v/>
      </c>
      <c r="S1204" s="19">
        <f>S1203+IF(N1204="已下單",M1204,0)</f>
        <v/>
      </c>
      <c r="T1204" s="19">
        <f>R1204-S1204</f>
        <v/>
      </c>
      <c r="U1204" s="2">
        <f>U1203+IF(N1204="已下單",1,0)</f>
        <v/>
      </c>
      <c r="V1204" s="19">
        <f>IF(資金模擬!$B$9=2,MAX(R1204,0),MAX(V1203,FLOOR(MAX(R1204,0),資金模擬!$B$6)))</f>
        <v/>
      </c>
      <c r="W1204" s="13">
        <f>MAX(W1203,R1204)</f>
        <v/>
      </c>
      <c r="X1204" s="4">
        <f>IF(W1204&gt;0,R1204/W1204-1,-1)</f>
        <v/>
      </c>
      <c r="Y1204" s="19">
        <f>IF(R1204&gt;0,S1204*資金模擬!$B$7/R1204,0)</f>
        <v/>
      </c>
      <c r="Z1204" s="2">
        <f>IF(OR(Z1203=1,R1204&lt;=資金模擬!$B$10),1,0)</f>
        <v/>
      </c>
    </row>
    <row r="1205">
      <c r="A1205" s="2" t="n">
        <v>1203</v>
      </c>
      <c r="B1205" s="7" t="n">
        <v>46296</v>
      </c>
      <c r="C1205" s="2" t="inlineStr">
        <is>
          <t>進場</t>
        </is>
      </c>
      <c r="D1205" s="2" t="n">
        <v>605</v>
      </c>
      <c r="E1205" s="2" t="inlineStr">
        <is>
          <t>PHA_USDT_PERP</t>
        </is>
      </c>
      <c r="F1205" s="2" t="inlineStr">
        <is>
          <t>做多</t>
        </is>
      </c>
      <c r="G1205" s="20" t="n">
        <v>0.07519000000000001</v>
      </c>
      <c r="H1205" s="20" t="n">
        <v>0.07744570000000001</v>
      </c>
      <c r="I1205" s="20" t="n">
        <v>0.07143050000000001</v>
      </c>
      <c r="J1205" s="20" t="n"/>
      <c r="K1205" s="2" t="n"/>
      <c r="L1205" s="5" t="n"/>
      <c r="M1205" s="19">
        <f>資金模擬!$B$5*V1204</f>
        <v/>
      </c>
      <c r="N1205" s="2">
        <f>IF(Z1204=1,"已停止",IF(T1204&gt;=M1205,"已下單","資金不足略過"))</f>
        <v/>
      </c>
      <c r="O1205" s="19">
        <f>IF(N1205="已下單",M1205*資金模擬!$B$7,0)</f>
        <v/>
      </c>
      <c r="P1205" s="4" t="n"/>
      <c r="Q1205" s="13" t="n">
        <v>0</v>
      </c>
      <c r="R1205" s="13">
        <f>R1204+Q1205</f>
        <v/>
      </c>
      <c r="S1205" s="19">
        <f>S1204+IF(N1205="已下單",M1205,0)</f>
        <v/>
      </c>
      <c r="T1205" s="19">
        <f>R1205-S1205</f>
        <v/>
      </c>
      <c r="U1205" s="2">
        <f>U1204+IF(N1205="已下單",1,0)</f>
        <v/>
      </c>
      <c r="V1205" s="19">
        <f>IF(資金模擬!$B$9=2,MAX(R1205,0),MAX(V1204,FLOOR(MAX(R1205,0),資金模擬!$B$6)))</f>
        <v/>
      </c>
      <c r="W1205" s="13">
        <f>MAX(W1204,R1205)</f>
        <v/>
      </c>
      <c r="X1205" s="4">
        <f>IF(W1205&gt;0,R1205/W1205-1,-1)</f>
        <v/>
      </c>
      <c r="Y1205" s="19">
        <f>IF(R1205&gt;0,S1205*資金模擬!$B$7/R1205,0)</f>
        <v/>
      </c>
      <c r="Z1205" s="2">
        <f>IF(OR(Z1204=1,R1205&lt;=資金模擬!$B$10),1,0)</f>
        <v/>
      </c>
    </row>
    <row r="1206">
      <c r="A1206" s="2" t="n">
        <v>1204</v>
      </c>
      <c r="B1206" s="7" t="n">
        <v>46296.08333333334</v>
      </c>
      <c r="C1206" s="2" t="inlineStr">
        <is>
          <t>出場</t>
        </is>
      </c>
      <c r="D1206" s="2" t="n">
        <v>605</v>
      </c>
      <c r="E1206" s="2" t="inlineStr">
        <is>
          <t>PHA_USDT_PERP</t>
        </is>
      </c>
      <c r="F1206" s="2" t="inlineStr">
        <is>
          <t>做多</t>
        </is>
      </c>
      <c r="G1206" s="20" t="n">
        <v>0.07519000000000001</v>
      </c>
      <c r="H1206" s="20" t="n">
        <v>0.07744570000000001</v>
      </c>
      <c r="I1206" s="20" t="n">
        <v>0.07143050000000001</v>
      </c>
      <c r="J1206" s="20" t="n">
        <v>0.07744570000000001</v>
      </c>
      <c r="K1206" s="2" t="inlineStr">
        <is>
          <t>止盈</t>
        </is>
      </c>
      <c r="L1206" s="5">
        <f>交易明細!K606</f>
        <v/>
      </c>
      <c r="M1206" s="19">
        <f>M1205</f>
        <v/>
      </c>
      <c r="N1206" s="2">
        <f>N1205</f>
        <v/>
      </c>
      <c r="O1206" s="19">
        <f>O1205</f>
        <v/>
      </c>
      <c r="P1206" s="4">
        <f>交易明細!L606</f>
        <v/>
      </c>
      <c r="Q1206" s="13">
        <f>IF(N1206="已下單",O1206*P1206,0)</f>
        <v/>
      </c>
      <c r="R1206" s="13">
        <f>R1205+Q1206</f>
        <v/>
      </c>
      <c r="S1206" s="19">
        <f>S1205-IF(N1206="已下單",M1206,0)</f>
        <v/>
      </c>
      <c r="T1206" s="19">
        <f>R1206-S1206</f>
        <v/>
      </c>
      <c r="U1206" s="2">
        <f>U1205-IF(N1206="已下單",1,0)</f>
        <v/>
      </c>
      <c r="V1206" s="19">
        <f>IF(資金模擬!$B$9=2,MAX(R1206,0),MAX(V1205,FLOOR(MAX(R1206,0),資金模擬!$B$6)))</f>
        <v/>
      </c>
      <c r="W1206" s="13">
        <f>MAX(W1205,R1206)</f>
        <v/>
      </c>
      <c r="X1206" s="4">
        <f>IF(W1206&gt;0,R1206/W1206-1,-1)</f>
        <v/>
      </c>
      <c r="Y1206" s="19">
        <f>IF(R1206&gt;0,S1206*資金模擬!$B$7/R1206,0)</f>
        <v/>
      </c>
      <c r="Z1206" s="2">
        <f>IF(OR(Z1205=1,R1206&lt;=資金模擬!$B$10),1,0)</f>
        <v/>
      </c>
    </row>
    <row r="1207">
      <c r="A1207" s="2" t="n">
        <v>1205</v>
      </c>
      <c r="B1207" s="7" t="n">
        <v>46296.08333333334</v>
      </c>
      <c r="C1207" s="2" t="inlineStr">
        <is>
          <t>進場</t>
        </is>
      </c>
      <c r="D1207" s="2" t="n">
        <v>606</v>
      </c>
      <c r="E1207" s="2" t="inlineStr">
        <is>
          <t>AKE_USDT_PERP</t>
        </is>
      </c>
      <c r="F1207" s="2" t="inlineStr">
        <is>
          <t>做空</t>
        </is>
      </c>
      <c r="G1207" s="20" t="n">
        <v>0.0315705</v>
      </c>
      <c r="H1207" s="20" t="n">
        <v>0.030623385</v>
      </c>
      <c r="I1207" s="20" t="n">
        <v>0.03314902500000001</v>
      </c>
      <c r="J1207" s="20" t="n"/>
      <c r="K1207" s="2" t="n"/>
      <c r="L1207" s="5" t="n"/>
      <c r="M1207" s="19">
        <f>資金模擬!$B$5*V1206</f>
        <v/>
      </c>
      <c r="N1207" s="2">
        <f>IF(Z1206=1,"已停止",IF(T1206&gt;=M1207,"已下單","資金不足略過"))</f>
        <v/>
      </c>
      <c r="O1207" s="19">
        <f>IF(N1207="已下單",M1207*資金模擬!$B$7,0)</f>
        <v/>
      </c>
      <c r="P1207" s="4" t="n"/>
      <c r="Q1207" s="13" t="n">
        <v>0</v>
      </c>
      <c r="R1207" s="13">
        <f>R1206+Q1207</f>
        <v/>
      </c>
      <c r="S1207" s="19">
        <f>S1206+IF(N1207="已下單",M1207,0)</f>
        <v/>
      </c>
      <c r="T1207" s="19">
        <f>R1207-S1207</f>
        <v/>
      </c>
      <c r="U1207" s="2">
        <f>U1206+IF(N1207="已下單",1,0)</f>
        <v/>
      </c>
      <c r="V1207" s="19">
        <f>IF(資金模擬!$B$9=2,MAX(R1207,0),MAX(V1206,FLOOR(MAX(R1207,0),資金模擬!$B$6)))</f>
        <v/>
      </c>
      <c r="W1207" s="13">
        <f>MAX(W1206,R1207)</f>
        <v/>
      </c>
      <c r="X1207" s="4">
        <f>IF(W1207&gt;0,R1207/W1207-1,-1)</f>
        <v/>
      </c>
      <c r="Y1207" s="19">
        <f>IF(R1207&gt;0,S1207*資金模擬!$B$7/R1207,0)</f>
        <v/>
      </c>
      <c r="Z1207" s="2">
        <f>IF(OR(Z1206=1,R1207&lt;=資金模擬!$B$10),1,0)</f>
        <v/>
      </c>
    </row>
    <row r="1208">
      <c r="A1208" s="2" t="n">
        <v>1206</v>
      </c>
      <c r="B1208" s="7" t="n">
        <v>46296.125</v>
      </c>
      <c r="C1208" s="2" t="inlineStr">
        <is>
          <t>出場</t>
        </is>
      </c>
      <c r="D1208" s="2" t="n">
        <v>582</v>
      </c>
      <c r="E1208" s="2" t="inlineStr">
        <is>
          <t>ONDO_USDT_PERP</t>
        </is>
      </c>
      <c r="F1208" s="2" t="inlineStr">
        <is>
          <t>做空</t>
        </is>
      </c>
      <c r="G1208" s="20" t="n">
        <v>0.5063</v>
      </c>
      <c r="H1208" s="20" t="n">
        <v>0.491111</v>
      </c>
      <c r="I1208" s="20" t="n">
        <v>0.5316149999999999</v>
      </c>
      <c r="J1208" s="20" t="n">
        <v>0.491111</v>
      </c>
      <c r="K1208" s="2" t="inlineStr">
        <is>
          <t>止盈</t>
        </is>
      </c>
      <c r="L1208" s="5">
        <f>交易明細!K583</f>
        <v/>
      </c>
      <c r="M1208" s="19">
        <f>M1153</f>
        <v/>
      </c>
      <c r="N1208" s="2">
        <f>N1153</f>
        <v/>
      </c>
      <c r="O1208" s="19">
        <f>O1153</f>
        <v/>
      </c>
      <c r="P1208" s="4">
        <f>交易明細!L583</f>
        <v/>
      </c>
      <c r="Q1208" s="13">
        <f>IF(N1208="已下單",O1208*P1208,0)</f>
        <v/>
      </c>
      <c r="R1208" s="13">
        <f>R1207+Q1208</f>
        <v/>
      </c>
      <c r="S1208" s="19">
        <f>S1207-IF(N1208="已下單",M1208,0)</f>
        <v/>
      </c>
      <c r="T1208" s="19">
        <f>R1208-S1208</f>
        <v/>
      </c>
      <c r="U1208" s="2">
        <f>U1207-IF(N1208="已下單",1,0)</f>
        <v/>
      </c>
      <c r="V1208" s="19">
        <f>IF(資金模擬!$B$9=2,MAX(R1208,0),MAX(V1207,FLOOR(MAX(R1208,0),資金模擬!$B$6)))</f>
        <v/>
      </c>
      <c r="W1208" s="13">
        <f>MAX(W1207,R1208)</f>
        <v/>
      </c>
      <c r="X1208" s="4">
        <f>IF(W1208&gt;0,R1208/W1208-1,-1)</f>
        <v/>
      </c>
      <c r="Y1208" s="19">
        <f>IF(R1208&gt;0,S1208*資金模擬!$B$7/R1208,0)</f>
        <v/>
      </c>
      <c r="Z1208" s="2">
        <f>IF(OR(Z1207=1,R1208&lt;=資金模擬!$B$10),1,0)</f>
        <v/>
      </c>
    </row>
    <row r="1209">
      <c r="A1209" s="2" t="n">
        <v>1207</v>
      </c>
      <c r="B1209" s="7" t="n">
        <v>46296.125</v>
      </c>
      <c r="C1209" s="2" t="inlineStr">
        <is>
          <t>出場</t>
        </is>
      </c>
      <c r="D1209" s="2" t="n">
        <v>599</v>
      </c>
      <c r="E1209" s="2" t="inlineStr">
        <is>
          <t>GRASS_USDT_PERP</t>
        </is>
      </c>
      <c r="F1209" s="2" t="inlineStr">
        <is>
          <t>做多</t>
        </is>
      </c>
      <c r="G1209" s="20" t="n">
        <v>0.7415</v>
      </c>
      <c r="H1209" s="20" t="n">
        <v>0.7637450000000001</v>
      </c>
      <c r="I1209" s="20" t="n">
        <v>0.704425</v>
      </c>
      <c r="J1209" s="20" t="n">
        <v>0.704425</v>
      </c>
      <c r="K1209" s="2" t="inlineStr">
        <is>
          <t>止損</t>
        </is>
      </c>
      <c r="L1209" s="5">
        <f>交易明細!K600</f>
        <v/>
      </c>
      <c r="M1209" s="19">
        <f>M1193</f>
        <v/>
      </c>
      <c r="N1209" s="2">
        <f>N1193</f>
        <v/>
      </c>
      <c r="O1209" s="19">
        <f>O1193</f>
        <v/>
      </c>
      <c r="P1209" s="4">
        <f>交易明細!L600</f>
        <v/>
      </c>
      <c r="Q1209" s="13">
        <f>IF(N1209="已下單",O1209*P1209,0)</f>
        <v/>
      </c>
      <c r="R1209" s="13">
        <f>R1208+Q1209</f>
        <v/>
      </c>
      <c r="S1209" s="19">
        <f>S1208-IF(N1209="已下單",M1209,0)</f>
        <v/>
      </c>
      <c r="T1209" s="19">
        <f>R1209-S1209</f>
        <v/>
      </c>
      <c r="U1209" s="2">
        <f>U1208-IF(N1209="已下單",1,0)</f>
        <v/>
      </c>
      <c r="V1209" s="19">
        <f>IF(資金模擬!$B$9=2,MAX(R1209,0),MAX(V1208,FLOOR(MAX(R1209,0),資金模擬!$B$6)))</f>
        <v/>
      </c>
      <c r="W1209" s="13">
        <f>MAX(W1208,R1209)</f>
        <v/>
      </c>
      <c r="X1209" s="4">
        <f>IF(W1209&gt;0,R1209/W1209-1,-1)</f>
        <v/>
      </c>
      <c r="Y1209" s="19">
        <f>IF(R1209&gt;0,S1209*資金模擬!$B$7/R1209,0)</f>
        <v/>
      </c>
      <c r="Z1209" s="2">
        <f>IF(OR(Z1208=1,R1209&lt;=資金模擬!$B$10),1,0)</f>
        <v/>
      </c>
    </row>
    <row r="1210">
      <c r="A1210" s="2" t="n">
        <v>1208</v>
      </c>
      <c r="B1210" s="7" t="n">
        <v>46296.125</v>
      </c>
      <c r="C1210" s="2" t="inlineStr">
        <is>
          <t>出場</t>
        </is>
      </c>
      <c r="D1210" s="2" t="n">
        <v>603</v>
      </c>
      <c r="E1210" s="2" t="inlineStr">
        <is>
          <t>XPL_USDT_PERP</t>
        </is>
      </c>
      <c r="F1210" s="2" t="inlineStr">
        <is>
          <t>做空</t>
        </is>
      </c>
      <c r="G1210" s="20" t="n">
        <v>0.0948</v>
      </c>
      <c r="H1210" s="20" t="n">
        <v>0.091956</v>
      </c>
      <c r="I1210" s="20" t="n">
        <v>0.09954</v>
      </c>
      <c r="J1210" s="20" t="n">
        <v>0.091956</v>
      </c>
      <c r="K1210" s="2" t="inlineStr">
        <is>
          <t>止盈</t>
        </is>
      </c>
      <c r="L1210" s="5">
        <f>交易明細!K604</f>
        <v/>
      </c>
      <c r="M1210" s="19">
        <f>M1203</f>
        <v/>
      </c>
      <c r="N1210" s="2">
        <f>N1203</f>
        <v/>
      </c>
      <c r="O1210" s="19">
        <f>O1203</f>
        <v/>
      </c>
      <c r="P1210" s="4">
        <f>交易明細!L604</f>
        <v/>
      </c>
      <c r="Q1210" s="13">
        <f>IF(N1210="已下單",O1210*P1210,0)</f>
        <v/>
      </c>
      <c r="R1210" s="13">
        <f>R1209+Q1210</f>
        <v/>
      </c>
      <c r="S1210" s="19">
        <f>S1209-IF(N1210="已下單",M1210,0)</f>
        <v/>
      </c>
      <c r="T1210" s="19">
        <f>R1210-S1210</f>
        <v/>
      </c>
      <c r="U1210" s="2">
        <f>U1209-IF(N1210="已下單",1,0)</f>
        <v/>
      </c>
      <c r="V1210" s="19">
        <f>IF(資金模擬!$B$9=2,MAX(R1210,0),MAX(V1209,FLOOR(MAX(R1210,0),資金模擬!$B$6)))</f>
        <v/>
      </c>
      <c r="W1210" s="13">
        <f>MAX(W1209,R1210)</f>
        <v/>
      </c>
      <c r="X1210" s="4">
        <f>IF(W1210&gt;0,R1210/W1210-1,-1)</f>
        <v/>
      </c>
      <c r="Y1210" s="19">
        <f>IF(R1210&gt;0,S1210*資金模擬!$B$7/R1210,0)</f>
        <v/>
      </c>
      <c r="Z1210" s="2">
        <f>IF(OR(Z1209=1,R1210&lt;=資金模擬!$B$10),1,0)</f>
        <v/>
      </c>
    </row>
    <row r="1211">
      <c r="A1211" s="2" t="n">
        <v>1209</v>
      </c>
      <c r="B1211" s="7" t="n">
        <v>46296.125</v>
      </c>
      <c r="C1211" s="2" t="inlineStr">
        <is>
          <t>進場</t>
        </is>
      </c>
      <c r="D1211" s="2" t="n">
        <v>607</v>
      </c>
      <c r="E1211" s="2" t="inlineStr">
        <is>
          <t>MARSCOIN_USDT_PERP</t>
        </is>
      </c>
      <c r="F1211" s="2" t="inlineStr">
        <is>
          <t>做空</t>
        </is>
      </c>
      <c r="G1211" s="20" t="n">
        <v>0.13691</v>
      </c>
      <c r="H1211" s="20" t="n">
        <v>0.1328027</v>
      </c>
      <c r="I1211" s="20" t="n">
        <v>0.1437555</v>
      </c>
      <c r="J1211" s="20" t="n"/>
      <c r="K1211" s="2" t="n"/>
      <c r="L1211" s="5" t="n"/>
      <c r="M1211" s="19">
        <f>資金模擬!$B$5*V1210</f>
        <v/>
      </c>
      <c r="N1211" s="2">
        <f>IF(Z1210=1,"已停止",IF(T1210&gt;=M1211,"已下單","資金不足略過"))</f>
        <v/>
      </c>
      <c r="O1211" s="19">
        <f>IF(N1211="已下單",M1211*資金模擬!$B$7,0)</f>
        <v/>
      </c>
      <c r="P1211" s="4" t="n"/>
      <c r="Q1211" s="13" t="n">
        <v>0</v>
      </c>
      <c r="R1211" s="13">
        <f>R1210+Q1211</f>
        <v/>
      </c>
      <c r="S1211" s="19">
        <f>S1210+IF(N1211="已下單",M1211,0)</f>
        <v/>
      </c>
      <c r="T1211" s="19">
        <f>R1211-S1211</f>
        <v/>
      </c>
      <c r="U1211" s="2">
        <f>U1210+IF(N1211="已下單",1,0)</f>
        <v/>
      </c>
      <c r="V1211" s="19">
        <f>IF(資金模擬!$B$9=2,MAX(R1211,0),MAX(V1210,FLOOR(MAX(R1211,0),資金模擬!$B$6)))</f>
        <v/>
      </c>
      <c r="W1211" s="13">
        <f>MAX(W1210,R1211)</f>
        <v/>
      </c>
      <c r="X1211" s="4">
        <f>IF(W1211&gt;0,R1211/W1211-1,-1)</f>
        <v/>
      </c>
      <c r="Y1211" s="19">
        <f>IF(R1211&gt;0,S1211*資金模擬!$B$7/R1211,0)</f>
        <v/>
      </c>
      <c r="Z1211" s="2">
        <f>IF(OR(Z1210=1,R1211&lt;=資金模擬!$B$10),1,0)</f>
        <v/>
      </c>
    </row>
    <row r="1212">
      <c r="A1212" s="2" t="n">
        <v>1210</v>
      </c>
      <c r="B1212" s="7" t="n">
        <v>46296.16666666666</v>
      </c>
      <c r="C1212" s="2" t="inlineStr">
        <is>
          <t>出場</t>
        </is>
      </c>
      <c r="D1212" s="2" t="n">
        <v>601</v>
      </c>
      <c r="E1212" s="2" t="inlineStr">
        <is>
          <t>PENGU_USDT_PERP</t>
        </is>
      </c>
      <c r="F1212" s="2" t="inlineStr">
        <is>
          <t>做空</t>
        </is>
      </c>
      <c r="G1212" s="20" t="n">
        <v>0.009887</v>
      </c>
      <c r="H1212" s="20" t="n">
        <v>0.009590389999999999</v>
      </c>
      <c r="I1212" s="20" t="n">
        <v>0.01038135</v>
      </c>
      <c r="J1212" s="20" t="n">
        <v>0.009590389999999999</v>
      </c>
      <c r="K1212" s="2" t="inlineStr">
        <is>
          <t>止盈</t>
        </is>
      </c>
      <c r="L1212" s="5">
        <f>交易明細!K602</f>
        <v/>
      </c>
      <c r="M1212" s="19">
        <f>M1201</f>
        <v/>
      </c>
      <c r="N1212" s="2">
        <f>N1201</f>
        <v/>
      </c>
      <c r="O1212" s="19">
        <f>O1201</f>
        <v/>
      </c>
      <c r="P1212" s="4">
        <f>交易明細!L602</f>
        <v/>
      </c>
      <c r="Q1212" s="13">
        <f>IF(N1212="已下單",O1212*P1212,0)</f>
        <v/>
      </c>
      <c r="R1212" s="13">
        <f>R1211+Q1212</f>
        <v/>
      </c>
      <c r="S1212" s="19">
        <f>S1211-IF(N1212="已下單",M1212,0)</f>
        <v/>
      </c>
      <c r="T1212" s="19">
        <f>R1212-S1212</f>
        <v/>
      </c>
      <c r="U1212" s="2">
        <f>U1211-IF(N1212="已下單",1,0)</f>
        <v/>
      </c>
      <c r="V1212" s="19">
        <f>IF(資金模擬!$B$9=2,MAX(R1212,0),MAX(V1211,FLOOR(MAX(R1212,0),資金模擬!$B$6)))</f>
        <v/>
      </c>
      <c r="W1212" s="13">
        <f>MAX(W1211,R1212)</f>
        <v/>
      </c>
      <c r="X1212" s="4">
        <f>IF(W1212&gt;0,R1212/W1212-1,-1)</f>
        <v/>
      </c>
      <c r="Y1212" s="19">
        <f>IF(R1212&gt;0,S1212*資金模擬!$B$7/R1212,0)</f>
        <v/>
      </c>
      <c r="Z1212" s="2">
        <f>IF(OR(Z1211=1,R1212&lt;=資金模擬!$B$10),1,0)</f>
        <v/>
      </c>
    </row>
    <row r="1213">
      <c r="A1213" s="2" t="n">
        <v>1211</v>
      </c>
      <c r="B1213" s="7" t="n">
        <v>46296.16666666666</v>
      </c>
      <c r="C1213" s="2" t="inlineStr">
        <is>
          <t>出場</t>
        </is>
      </c>
      <c r="D1213" s="2" t="n">
        <v>604</v>
      </c>
      <c r="E1213" s="2" t="inlineStr">
        <is>
          <t>ZRO_USDT_PERP</t>
        </is>
      </c>
      <c r="F1213" s="2" t="inlineStr">
        <is>
          <t>做空</t>
        </is>
      </c>
      <c r="G1213" s="20" t="n">
        <v>1.7149</v>
      </c>
      <c r="H1213" s="20" t="n">
        <v>1.663453</v>
      </c>
      <c r="I1213" s="20" t="n">
        <v>1.800645</v>
      </c>
      <c r="J1213" s="20" t="n">
        <v>1.663453</v>
      </c>
      <c r="K1213" s="2" t="inlineStr">
        <is>
          <t>止盈</t>
        </is>
      </c>
      <c r="L1213" s="5">
        <f>交易明細!K605</f>
        <v/>
      </c>
      <c r="M1213" s="19">
        <f>M1204</f>
        <v/>
      </c>
      <c r="N1213" s="2">
        <f>N1204</f>
        <v/>
      </c>
      <c r="O1213" s="19">
        <f>O1204</f>
        <v/>
      </c>
      <c r="P1213" s="4">
        <f>交易明細!L605</f>
        <v/>
      </c>
      <c r="Q1213" s="13">
        <f>IF(N1213="已下單",O1213*P1213,0)</f>
        <v/>
      </c>
      <c r="R1213" s="13">
        <f>R1212+Q1213</f>
        <v/>
      </c>
      <c r="S1213" s="19">
        <f>S1212-IF(N1213="已下單",M1213,0)</f>
        <v/>
      </c>
      <c r="T1213" s="19">
        <f>R1213-S1213</f>
        <v/>
      </c>
      <c r="U1213" s="2">
        <f>U1212-IF(N1213="已下單",1,0)</f>
        <v/>
      </c>
      <c r="V1213" s="19">
        <f>IF(資金模擬!$B$9=2,MAX(R1213,0),MAX(V1212,FLOOR(MAX(R1213,0),資金模擬!$B$6)))</f>
        <v/>
      </c>
      <c r="W1213" s="13">
        <f>MAX(W1212,R1213)</f>
        <v/>
      </c>
      <c r="X1213" s="4">
        <f>IF(W1213&gt;0,R1213/W1213-1,-1)</f>
        <v/>
      </c>
      <c r="Y1213" s="19">
        <f>IF(R1213&gt;0,S1213*資金模擬!$B$7/R1213,0)</f>
        <v/>
      </c>
      <c r="Z1213" s="2">
        <f>IF(OR(Z1212=1,R1213&lt;=資金模擬!$B$10),1,0)</f>
        <v/>
      </c>
    </row>
    <row r="1214">
      <c r="A1214" s="2" t="n">
        <v>1212</v>
      </c>
      <c r="B1214" s="7" t="n">
        <v>46296.16666666666</v>
      </c>
      <c r="C1214" s="2" t="inlineStr">
        <is>
          <t>出場</t>
        </is>
      </c>
      <c r="D1214" s="2" t="n">
        <v>606</v>
      </c>
      <c r="E1214" s="2" t="inlineStr">
        <is>
          <t>AKE_USDT_PERP</t>
        </is>
      </c>
      <c r="F1214" s="2" t="inlineStr">
        <is>
          <t>做空</t>
        </is>
      </c>
      <c r="G1214" s="20" t="n">
        <v>0.0315705</v>
      </c>
      <c r="H1214" s="20" t="n">
        <v>0.030623385</v>
      </c>
      <c r="I1214" s="20" t="n">
        <v>0.03314902500000001</v>
      </c>
      <c r="J1214" s="20" t="n">
        <v>0.030623385</v>
      </c>
      <c r="K1214" s="2" t="inlineStr">
        <is>
          <t>止盈</t>
        </is>
      </c>
      <c r="L1214" s="5">
        <f>交易明細!K607</f>
        <v/>
      </c>
      <c r="M1214" s="19">
        <f>M1207</f>
        <v/>
      </c>
      <c r="N1214" s="2">
        <f>N1207</f>
        <v/>
      </c>
      <c r="O1214" s="19">
        <f>O1207</f>
        <v/>
      </c>
      <c r="P1214" s="4">
        <f>交易明細!L607</f>
        <v/>
      </c>
      <c r="Q1214" s="13">
        <f>IF(N1214="已下單",O1214*P1214,0)</f>
        <v/>
      </c>
      <c r="R1214" s="13">
        <f>R1213+Q1214</f>
        <v/>
      </c>
      <c r="S1214" s="19">
        <f>S1213-IF(N1214="已下單",M1214,0)</f>
        <v/>
      </c>
      <c r="T1214" s="19">
        <f>R1214-S1214</f>
        <v/>
      </c>
      <c r="U1214" s="2">
        <f>U1213-IF(N1214="已下單",1,0)</f>
        <v/>
      </c>
      <c r="V1214" s="19">
        <f>IF(資金模擬!$B$9=2,MAX(R1214,0),MAX(V1213,FLOOR(MAX(R1214,0),資金模擬!$B$6)))</f>
        <v/>
      </c>
      <c r="W1214" s="13">
        <f>MAX(W1213,R1214)</f>
        <v/>
      </c>
      <c r="X1214" s="4">
        <f>IF(W1214&gt;0,R1214/W1214-1,-1)</f>
        <v/>
      </c>
      <c r="Y1214" s="19">
        <f>IF(R1214&gt;0,S1214*資金模擬!$B$7/R1214,0)</f>
        <v/>
      </c>
      <c r="Z1214" s="2">
        <f>IF(OR(Z1213=1,R1214&lt;=資金模擬!$B$10),1,0)</f>
        <v/>
      </c>
    </row>
    <row r="1215">
      <c r="A1215" s="2" t="n">
        <v>1213</v>
      </c>
      <c r="B1215" s="7" t="n">
        <v>46296.25</v>
      </c>
      <c r="C1215" s="2" t="inlineStr">
        <is>
          <t>進場</t>
        </is>
      </c>
      <c r="D1215" s="2" t="n">
        <v>608</v>
      </c>
      <c r="E1215" s="2" t="inlineStr">
        <is>
          <t>LIT_USDT_PERP</t>
        </is>
      </c>
      <c r="F1215" s="2" t="inlineStr">
        <is>
          <t>做多</t>
        </is>
      </c>
      <c r="G1215" s="20" t="n">
        <v>4.002</v>
      </c>
      <c r="H1215" s="20" t="n">
        <v>4.12206</v>
      </c>
      <c r="I1215" s="20" t="n">
        <v>3.801899999999999</v>
      </c>
      <c r="J1215" s="20" t="n"/>
      <c r="K1215" s="2" t="n"/>
      <c r="L1215" s="5" t="n"/>
      <c r="M1215" s="19">
        <f>資金模擬!$B$5*V1214</f>
        <v/>
      </c>
      <c r="N1215" s="2">
        <f>IF(Z1214=1,"已停止",IF(T1214&gt;=M1215,"已下單","資金不足略過"))</f>
        <v/>
      </c>
      <c r="O1215" s="19">
        <f>IF(N1215="已下單",M1215*資金模擬!$B$7,0)</f>
        <v/>
      </c>
      <c r="P1215" s="4" t="n"/>
      <c r="Q1215" s="13" t="n">
        <v>0</v>
      </c>
      <c r="R1215" s="13">
        <f>R1214+Q1215</f>
        <v/>
      </c>
      <c r="S1215" s="19">
        <f>S1214+IF(N1215="已下單",M1215,0)</f>
        <v/>
      </c>
      <c r="T1215" s="19">
        <f>R1215-S1215</f>
        <v/>
      </c>
      <c r="U1215" s="2">
        <f>U1214+IF(N1215="已下單",1,0)</f>
        <v/>
      </c>
      <c r="V1215" s="19">
        <f>IF(資金模擬!$B$9=2,MAX(R1215,0),MAX(V1214,FLOOR(MAX(R1215,0),資金模擬!$B$6)))</f>
        <v/>
      </c>
      <c r="W1215" s="13">
        <f>MAX(W1214,R1215)</f>
        <v/>
      </c>
      <c r="X1215" s="4">
        <f>IF(W1215&gt;0,R1215/W1215-1,-1)</f>
        <v/>
      </c>
      <c r="Y1215" s="19">
        <f>IF(R1215&gt;0,S1215*資金模擬!$B$7/R1215,0)</f>
        <v/>
      </c>
      <c r="Z1215" s="2">
        <f>IF(OR(Z1214=1,R1215&lt;=資金模擬!$B$10),1,0)</f>
        <v/>
      </c>
    </row>
    <row r="1216">
      <c r="A1216" s="2" t="n">
        <v>1214</v>
      </c>
      <c r="B1216" s="7" t="n">
        <v>46296.29166666666</v>
      </c>
      <c r="C1216" s="2" t="inlineStr">
        <is>
          <t>進場</t>
        </is>
      </c>
      <c r="D1216" s="2" t="n">
        <v>609</v>
      </c>
      <c r="E1216" s="2" t="inlineStr">
        <is>
          <t>ENA_USDT_PERP</t>
        </is>
      </c>
      <c r="F1216" s="2" t="inlineStr">
        <is>
          <t>做多</t>
        </is>
      </c>
      <c r="G1216" s="20" t="n">
        <v>0.2673</v>
      </c>
      <c r="H1216" s="20" t="n">
        <v>0.275319</v>
      </c>
      <c r="I1216" s="20" t="n">
        <v>0.253935</v>
      </c>
      <c r="J1216" s="20" t="n"/>
      <c r="K1216" s="2" t="n"/>
      <c r="L1216" s="5" t="n"/>
      <c r="M1216" s="19">
        <f>資金模擬!$B$5*V1215</f>
        <v/>
      </c>
      <c r="N1216" s="2">
        <f>IF(Z1215=1,"已停止",IF(T1215&gt;=M1216,"已下單","資金不足略過"))</f>
        <v/>
      </c>
      <c r="O1216" s="19">
        <f>IF(N1216="已下單",M1216*資金模擬!$B$7,0)</f>
        <v/>
      </c>
      <c r="P1216" s="4" t="n"/>
      <c r="Q1216" s="13" t="n">
        <v>0</v>
      </c>
      <c r="R1216" s="13">
        <f>R1215+Q1216</f>
        <v/>
      </c>
      <c r="S1216" s="19">
        <f>S1215+IF(N1216="已下單",M1216,0)</f>
        <v/>
      </c>
      <c r="T1216" s="19">
        <f>R1216-S1216</f>
        <v/>
      </c>
      <c r="U1216" s="2">
        <f>U1215+IF(N1216="已下單",1,0)</f>
        <v/>
      </c>
      <c r="V1216" s="19">
        <f>IF(資金模擬!$B$9=2,MAX(R1216,0),MAX(V1215,FLOOR(MAX(R1216,0),資金模擬!$B$6)))</f>
        <v/>
      </c>
      <c r="W1216" s="13">
        <f>MAX(W1215,R1216)</f>
        <v/>
      </c>
      <c r="X1216" s="4">
        <f>IF(W1216&gt;0,R1216/W1216-1,-1)</f>
        <v/>
      </c>
      <c r="Y1216" s="19">
        <f>IF(R1216&gt;0,S1216*資金模擬!$B$7/R1216,0)</f>
        <v/>
      </c>
      <c r="Z1216" s="2">
        <f>IF(OR(Z1215=1,R1216&lt;=資金模擬!$B$10),1,0)</f>
        <v/>
      </c>
    </row>
    <row r="1217">
      <c r="A1217" s="2" t="n">
        <v>1215</v>
      </c>
      <c r="B1217" s="7" t="n">
        <v>46296.375</v>
      </c>
      <c r="C1217" s="2" t="inlineStr">
        <is>
          <t>進場</t>
        </is>
      </c>
      <c r="D1217" s="2" t="n">
        <v>610</v>
      </c>
      <c r="E1217" s="2" t="inlineStr">
        <is>
          <t>QNT_USDT_PERP</t>
        </is>
      </c>
      <c r="F1217" s="2" t="inlineStr">
        <is>
          <t>做多</t>
        </is>
      </c>
      <c r="G1217" s="20" t="n">
        <v>293.05</v>
      </c>
      <c r="H1217" s="20" t="n">
        <v>301.8415</v>
      </c>
      <c r="I1217" s="20" t="n">
        <v>278.3975</v>
      </c>
      <c r="J1217" s="20" t="n"/>
      <c r="K1217" s="2" t="n"/>
      <c r="L1217" s="5" t="n"/>
      <c r="M1217" s="19">
        <f>資金模擬!$B$5*V1216</f>
        <v/>
      </c>
      <c r="N1217" s="2">
        <f>IF(Z1216=1,"已停止",IF(T1216&gt;=M1217,"已下單","資金不足略過"))</f>
        <v/>
      </c>
      <c r="O1217" s="19">
        <f>IF(N1217="已下單",M1217*資金模擬!$B$7,0)</f>
        <v/>
      </c>
      <c r="P1217" s="4" t="n"/>
      <c r="Q1217" s="13" t="n">
        <v>0</v>
      </c>
      <c r="R1217" s="13">
        <f>R1216+Q1217</f>
        <v/>
      </c>
      <c r="S1217" s="19">
        <f>S1216+IF(N1217="已下單",M1217,0)</f>
        <v/>
      </c>
      <c r="T1217" s="19">
        <f>R1217-S1217</f>
        <v/>
      </c>
      <c r="U1217" s="2">
        <f>U1216+IF(N1217="已下單",1,0)</f>
        <v/>
      </c>
      <c r="V1217" s="19">
        <f>IF(資金模擬!$B$9=2,MAX(R1217,0),MAX(V1216,FLOOR(MAX(R1217,0),資金模擬!$B$6)))</f>
        <v/>
      </c>
      <c r="W1217" s="13">
        <f>MAX(W1216,R1217)</f>
        <v/>
      </c>
      <c r="X1217" s="4">
        <f>IF(W1217&gt;0,R1217/W1217-1,-1)</f>
        <v/>
      </c>
      <c r="Y1217" s="19">
        <f>IF(R1217&gt;0,S1217*資金模擬!$B$7/R1217,0)</f>
        <v/>
      </c>
      <c r="Z1217" s="2">
        <f>IF(OR(Z1216=1,R1217&lt;=資金模擬!$B$10),1,0)</f>
        <v/>
      </c>
    </row>
    <row r="1218">
      <c r="A1218" s="2" t="n">
        <v>1216</v>
      </c>
      <c r="B1218" s="7" t="n">
        <v>46296.45833333334</v>
      </c>
      <c r="C1218" s="2" t="inlineStr">
        <is>
          <t>出場</t>
        </is>
      </c>
      <c r="D1218" s="2" t="n">
        <v>602</v>
      </c>
      <c r="E1218" s="2" t="inlineStr">
        <is>
          <t>USELESS_USDT_PERP</t>
        </is>
      </c>
      <c r="F1218" s="2" t="inlineStr">
        <is>
          <t>做空</t>
        </is>
      </c>
      <c r="G1218" s="20" t="n">
        <v>0.24081</v>
      </c>
      <c r="H1218" s="20" t="n">
        <v>0.2335857</v>
      </c>
      <c r="I1218" s="20" t="n">
        <v>0.2528505</v>
      </c>
      <c r="J1218" s="20" t="n">
        <v>0.2335857</v>
      </c>
      <c r="K1218" s="2" t="inlineStr">
        <is>
          <t>止盈</t>
        </is>
      </c>
      <c r="L1218" s="5">
        <f>交易明細!K603</f>
        <v/>
      </c>
      <c r="M1218" s="19">
        <f>M1202</f>
        <v/>
      </c>
      <c r="N1218" s="2">
        <f>N1202</f>
        <v/>
      </c>
      <c r="O1218" s="19">
        <f>O1202</f>
        <v/>
      </c>
      <c r="P1218" s="4">
        <f>交易明細!L603</f>
        <v/>
      </c>
      <c r="Q1218" s="13">
        <f>IF(N1218="已下單",O1218*P1218,0)</f>
        <v/>
      </c>
      <c r="R1218" s="13">
        <f>R1217+Q1218</f>
        <v/>
      </c>
      <c r="S1218" s="19">
        <f>S1217-IF(N1218="已下單",M1218,0)</f>
        <v/>
      </c>
      <c r="T1218" s="19">
        <f>R1218-S1218</f>
        <v/>
      </c>
      <c r="U1218" s="2">
        <f>U1217-IF(N1218="已下單",1,0)</f>
        <v/>
      </c>
      <c r="V1218" s="19">
        <f>IF(資金模擬!$B$9=2,MAX(R1218,0),MAX(V1217,FLOOR(MAX(R1218,0),資金模擬!$B$6)))</f>
        <v/>
      </c>
      <c r="W1218" s="13">
        <f>MAX(W1217,R1218)</f>
        <v/>
      </c>
      <c r="X1218" s="4">
        <f>IF(W1218&gt;0,R1218/W1218-1,-1)</f>
        <v/>
      </c>
      <c r="Y1218" s="19">
        <f>IF(R1218&gt;0,S1218*資金模擬!$B$7/R1218,0)</f>
        <v/>
      </c>
      <c r="Z1218" s="2">
        <f>IF(OR(Z1217=1,R1218&lt;=資金模擬!$B$10),1,0)</f>
        <v/>
      </c>
    </row>
    <row r="1219">
      <c r="A1219" s="2" t="n">
        <v>1217</v>
      </c>
      <c r="B1219" s="7" t="n">
        <v>46296.5</v>
      </c>
      <c r="C1219" s="2" t="inlineStr">
        <is>
          <t>出場</t>
        </is>
      </c>
      <c r="D1219" s="2" t="n">
        <v>610</v>
      </c>
      <c r="E1219" s="2" t="inlineStr">
        <is>
          <t>QNT_USDT_PERP</t>
        </is>
      </c>
      <c r="F1219" s="2" t="inlineStr">
        <is>
          <t>做多</t>
        </is>
      </c>
      <c r="G1219" s="20" t="n">
        <v>293.05</v>
      </c>
      <c r="H1219" s="20" t="n">
        <v>301.8415</v>
      </c>
      <c r="I1219" s="20" t="n">
        <v>278.3975</v>
      </c>
      <c r="J1219" s="20" t="n">
        <v>301.8415</v>
      </c>
      <c r="K1219" s="2" t="inlineStr">
        <is>
          <t>止盈</t>
        </is>
      </c>
      <c r="L1219" s="5">
        <f>交易明細!K611</f>
        <v/>
      </c>
      <c r="M1219" s="19">
        <f>M1217</f>
        <v/>
      </c>
      <c r="N1219" s="2">
        <f>N1217</f>
        <v/>
      </c>
      <c r="O1219" s="19">
        <f>O1217</f>
        <v/>
      </c>
      <c r="P1219" s="4">
        <f>交易明細!L611</f>
        <v/>
      </c>
      <c r="Q1219" s="13">
        <f>IF(N1219="已下單",O1219*P1219,0)</f>
        <v/>
      </c>
      <c r="R1219" s="13">
        <f>R1218+Q1219</f>
        <v/>
      </c>
      <c r="S1219" s="19">
        <f>S1218-IF(N1219="已下單",M1219,0)</f>
        <v/>
      </c>
      <c r="T1219" s="19">
        <f>R1219-S1219</f>
        <v/>
      </c>
      <c r="U1219" s="2">
        <f>U1218-IF(N1219="已下單",1,0)</f>
        <v/>
      </c>
      <c r="V1219" s="19">
        <f>IF(資金模擬!$B$9=2,MAX(R1219,0),MAX(V1218,FLOOR(MAX(R1219,0),資金模擬!$B$6)))</f>
        <v/>
      </c>
      <c r="W1219" s="13">
        <f>MAX(W1218,R1219)</f>
        <v/>
      </c>
      <c r="X1219" s="4">
        <f>IF(W1219&gt;0,R1219/W1219-1,-1)</f>
        <v/>
      </c>
      <c r="Y1219" s="19">
        <f>IF(R1219&gt;0,S1219*資金模擬!$B$7/R1219,0)</f>
        <v/>
      </c>
      <c r="Z1219" s="2">
        <f>IF(OR(Z1218=1,R1219&lt;=資金模擬!$B$10),1,0)</f>
        <v/>
      </c>
    </row>
    <row r="1220">
      <c r="A1220" s="2" t="n">
        <v>1218</v>
      </c>
      <c r="B1220" s="7" t="n">
        <v>46296.5</v>
      </c>
      <c r="C1220" s="2" t="inlineStr">
        <is>
          <t>進場</t>
        </is>
      </c>
      <c r="D1220" s="2" t="n">
        <v>611</v>
      </c>
      <c r="E1220" s="2" t="inlineStr">
        <is>
          <t>GRASS_USDT_PERP</t>
        </is>
      </c>
      <c r="F1220" s="2" t="inlineStr">
        <is>
          <t>做多</t>
        </is>
      </c>
      <c r="G1220" s="20" t="n">
        <v>0.7151999999999999</v>
      </c>
      <c r="H1220" s="20" t="n">
        <v>0.736656</v>
      </c>
      <c r="I1220" s="20" t="n">
        <v>0.6794399999999999</v>
      </c>
      <c r="J1220" s="20" t="n"/>
      <c r="K1220" s="2" t="n"/>
      <c r="L1220" s="5" t="n"/>
      <c r="M1220" s="19">
        <f>資金模擬!$B$5*V1219</f>
        <v/>
      </c>
      <c r="N1220" s="2">
        <f>IF(Z1219=1,"已停止",IF(T1219&gt;=M1220,"已下單","資金不足略過"))</f>
        <v/>
      </c>
      <c r="O1220" s="19">
        <f>IF(N1220="已下單",M1220*資金模擬!$B$7,0)</f>
        <v/>
      </c>
      <c r="P1220" s="4" t="n"/>
      <c r="Q1220" s="13" t="n">
        <v>0</v>
      </c>
      <c r="R1220" s="13">
        <f>R1219+Q1220</f>
        <v/>
      </c>
      <c r="S1220" s="19">
        <f>S1219+IF(N1220="已下單",M1220,0)</f>
        <v/>
      </c>
      <c r="T1220" s="19">
        <f>R1220-S1220</f>
        <v/>
      </c>
      <c r="U1220" s="2">
        <f>U1219+IF(N1220="已下單",1,0)</f>
        <v/>
      </c>
      <c r="V1220" s="19">
        <f>IF(資金模擬!$B$9=2,MAX(R1220,0),MAX(V1219,FLOOR(MAX(R1220,0),資金模擬!$B$6)))</f>
        <v/>
      </c>
      <c r="W1220" s="13">
        <f>MAX(W1219,R1220)</f>
        <v/>
      </c>
      <c r="X1220" s="4">
        <f>IF(W1220&gt;0,R1220/W1220-1,-1)</f>
        <v/>
      </c>
      <c r="Y1220" s="19">
        <f>IF(R1220&gt;0,S1220*資金模擬!$B$7/R1220,0)</f>
        <v/>
      </c>
      <c r="Z1220" s="2">
        <f>IF(OR(Z1219=1,R1220&lt;=資金模擬!$B$10),1,0)</f>
        <v/>
      </c>
    </row>
    <row r="1221">
      <c r="A1221" s="2" t="n">
        <v>1219</v>
      </c>
      <c r="B1221" s="7" t="n">
        <v>46296.54166666666</v>
      </c>
      <c r="C1221" s="2" t="inlineStr">
        <is>
          <t>出場</t>
        </is>
      </c>
      <c r="D1221" s="2" t="n">
        <v>607</v>
      </c>
      <c r="E1221" s="2" t="inlineStr">
        <is>
          <t>MARSCOIN_USDT_PERP</t>
        </is>
      </c>
      <c r="F1221" s="2" t="inlineStr">
        <is>
          <t>做空</t>
        </is>
      </c>
      <c r="G1221" s="20" t="n">
        <v>0.13691</v>
      </c>
      <c r="H1221" s="20" t="n">
        <v>0.1328027</v>
      </c>
      <c r="I1221" s="20" t="n">
        <v>0.1437555</v>
      </c>
      <c r="J1221" s="20" t="n">
        <v>0.1437555</v>
      </c>
      <c r="K1221" s="2" t="inlineStr">
        <is>
          <t>止損</t>
        </is>
      </c>
      <c r="L1221" s="5">
        <f>交易明細!K608</f>
        <v/>
      </c>
      <c r="M1221" s="19">
        <f>M1211</f>
        <v/>
      </c>
      <c r="N1221" s="2">
        <f>N1211</f>
        <v/>
      </c>
      <c r="O1221" s="19">
        <f>O1211</f>
        <v/>
      </c>
      <c r="P1221" s="4">
        <f>交易明細!L608</f>
        <v/>
      </c>
      <c r="Q1221" s="13">
        <f>IF(N1221="已下單",O1221*P1221,0)</f>
        <v/>
      </c>
      <c r="R1221" s="13">
        <f>R1220+Q1221</f>
        <v/>
      </c>
      <c r="S1221" s="19">
        <f>S1220-IF(N1221="已下單",M1221,0)</f>
        <v/>
      </c>
      <c r="T1221" s="19">
        <f>R1221-S1221</f>
        <v/>
      </c>
      <c r="U1221" s="2">
        <f>U1220-IF(N1221="已下單",1,0)</f>
        <v/>
      </c>
      <c r="V1221" s="19">
        <f>IF(資金模擬!$B$9=2,MAX(R1221,0),MAX(V1220,FLOOR(MAX(R1221,0),資金模擬!$B$6)))</f>
        <v/>
      </c>
      <c r="W1221" s="13">
        <f>MAX(W1220,R1221)</f>
        <v/>
      </c>
      <c r="X1221" s="4">
        <f>IF(W1221&gt;0,R1221/W1221-1,-1)</f>
        <v/>
      </c>
      <c r="Y1221" s="19">
        <f>IF(R1221&gt;0,S1221*資金模擬!$B$7/R1221,0)</f>
        <v/>
      </c>
      <c r="Z1221" s="2">
        <f>IF(OR(Z1220=1,R1221&lt;=資金模擬!$B$10),1,0)</f>
        <v/>
      </c>
    </row>
    <row r="1222">
      <c r="A1222" s="2" t="n">
        <v>1220</v>
      </c>
      <c r="B1222" s="7" t="n">
        <v>46296.54166666666</v>
      </c>
      <c r="C1222" s="2" t="inlineStr">
        <is>
          <t>出場</t>
        </is>
      </c>
      <c r="D1222" s="2" t="n">
        <v>609</v>
      </c>
      <c r="E1222" s="2" t="inlineStr">
        <is>
          <t>ENA_USDT_PERP</t>
        </is>
      </c>
      <c r="F1222" s="2" t="inlineStr">
        <is>
          <t>做多</t>
        </is>
      </c>
      <c r="G1222" s="20" t="n">
        <v>0.2673</v>
      </c>
      <c r="H1222" s="20" t="n">
        <v>0.275319</v>
      </c>
      <c r="I1222" s="20" t="n">
        <v>0.253935</v>
      </c>
      <c r="J1222" s="20" t="n">
        <v>0.275319</v>
      </c>
      <c r="K1222" s="2" t="inlineStr">
        <is>
          <t>止盈</t>
        </is>
      </c>
      <c r="L1222" s="5">
        <f>交易明細!K610</f>
        <v/>
      </c>
      <c r="M1222" s="19">
        <f>M1216</f>
        <v/>
      </c>
      <c r="N1222" s="2">
        <f>N1216</f>
        <v/>
      </c>
      <c r="O1222" s="19">
        <f>O1216</f>
        <v/>
      </c>
      <c r="P1222" s="4">
        <f>交易明細!L610</f>
        <v/>
      </c>
      <c r="Q1222" s="13">
        <f>IF(N1222="已下單",O1222*P1222,0)</f>
        <v/>
      </c>
      <c r="R1222" s="13">
        <f>R1221+Q1222</f>
        <v/>
      </c>
      <c r="S1222" s="19">
        <f>S1221-IF(N1222="已下單",M1222,0)</f>
        <v/>
      </c>
      <c r="T1222" s="19">
        <f>R1222-S1222</f>
        <v/>
      </c>
      <c r="U1222" s="2">
        <f>U1221-IF(N1222="已下單",1,0)</f>
        <v/>
      </c>
      <c r="V1222" s="19">
        <f>IF(資金模擬!$B$9=2,MAX(R1222,0),MAX(V1221,FLOOR(MAX(R1222,0),資金模擬!$B$6)))</f>
        <v/>
      </c>
      <c r="W1222" s="13">
        <f>MAX(W1221,R1222)</f>
        <v/>
      </c>
      <c r="X1222" s="4">
        <f>IF(W1222&gt;0,R1222/W1222-1,-1)</f>
        <v/>
      </c>
      <c r="Y1222" s="19">
        <f>IF(R1222&gt;0,S1222*資金模擬!$B$7/R1222,0)</f>
        <v/>
      </c>
      <c r="Z1222" s="2">
        <f>IF(OR(Z1221=1,R1222&lt;=資金模擬!$B$10),1,0)</f>
        <v/>
      </c>
    </row>
    <row r="1223">
      <c r="A1223" s="2" t="n">
        <v>1221</v>
      </c>
      <c r="B1223" s="7" t="n">
        <v>46296.625</v>
      </c>
      <c r="C1223" s="2" t="inlineStr">
        <is>
          <t>進場</t>
        </is>
      </c>
      <c r="D1223" s="2" t="n">
        <v>612</v>
      </c>
      <c r="E1223" s="2" t="inlineStr">
        <is>
          <t>QNT_USDT_PERP</t>
        </is>
      </c>
      <c r="F1223" s="2" t="inlineStr">
        <is>
          <t>做多</t>
        </is>
      </c>
      <c r="G1223" s="20" t="n">
        <v>295.9</v>
      </c>
      <c r="H1223" s="20" t="n">
        <v>304.777</v>
      </c>
      <c r="I1223" s="20" t="n">
        <v>281.105</v>
      </c>
      <c r="J1223" s="20" t="n"/>
      <c r="K1223" s="2" t="n"/>
      <c r="L1223" s="5" t="n"/>
      <c r="M1223" s="19">
        <f>資金模擬!$B$5*V1222</f>
        <v/>
      </c>
      <c r="N1223" s="2">
        <f>IF(Z1222=1,"已停止",IF(T1222&gt;=M1223,"已下單","資金不足略過"))</f>
        <v/>
      </c>
      <c r="O1223" s="19">
        <f>IF(N1223="已下單",M1223*資金模擬!$B$7,0)</f>
        <v/>
      </c>
      <c r="P1223" s="4" t="n"/>
      <c r="Q1223" s="13" t="n">
        <v>0</v>
      </c>
      <c r="R1223" s="13">
        <f>R1222+Q1223</f>
        <v/>
      </c>
      <c r="S1223" s="19">
        <f>S1222+IF(N1223="已下單",M1223,0)</f>
        <v/>
      </c>
      <c r="T1223" s="19">
        <f>R1223-S1223</f>
        <v/>
      </c>
      <c r="U1223" s="2">
        <f>U1222+IF(N1223="已下單",1,0)</f>
        <v/>
      </c>
      <c r="V1223" s="19">
        <f>IF(資金模擬!$B$9=2,MAX(R1223,0),MAX(V1222,FLOOR(MAX(R1223,0),資金模擬!$B$6)))</f>
        <v/>
      </c>
      <c r="W1223" s="13">
        <f>MAX(W1222,R1223)</f>
        <v/>
      </c>
      <c r="X1223" s="4">
        <f>IF(W1223&gt;0,R1223/W1223-1,-1)</f>
        <v/>
      </c>
      <c r="Y1223" s="19">
        <f>IF(R1223&gt;0,S1223*資金模擬!$B$7/R1223,0)</f>
        <v/>
      </c>
      <c r="Z1223" s="2">
        <f>IF(OR(Z1222=1,R1223&lt;=資金模擬!$B$10),1,0)</f>
        <v/>
      </c>
    </row>
    <row r="1224">
      <c r="A1224" s="2" t="n">
        <v>1222</v>
      </c>
      <c r="B1224" s="7" t="n">
        <v>46296.66666666666</v>
      </c>
      <c r="C1224" s="2" t="inlineStr">
        <is>
          <t>進場</t>
        </is>
      </c>
      <c r="D1224" s="2" t="n">
        <v>613</v>
      </c>
      <c r="E1224" s="2" t="inlineStr">
        <is>
          <t>PENGU_USDT_PERP</t>
        </is>
      </c>
      <c r="F1224" s="2" t="inlineStr">
        <is>
          <t>做空</t>
        </is>
      </c>
      <c r="G1224" s="20" t="n">
        <v>0.009639</v>
      </c>
      <c r="H1224" s="20" t="n">
        <v>0.00934983</v>
      </c>
      <c r="I1224" s="20" t="n">
        <v>0.01012095</v>
      </c>
      <c r="J1224" s="20" t="n"/>
      <c r="K1224" s="2" t="n"/>
      <c r="L1224" s="5" t="n"/>
      <c r="M1224" s="19">
        <f>資金模擬!$B$5*V1223</f>
        <v/>
      </c>
      <c r="N1224" s="2">
        <f>IF(Z1223=1,"已停止",IF(T1223&gt;=M1224,"已下單","資金不足略過"))</f>
        <v/>
      </c>
      <c r="O1224" s="19">
        <f>IF(N1224="已下單",M1224*資金模擬!$B$7,0)</f>
        <v/>
      </c>
      <c r="P1224" s="4" t="n"/>
      <c r="Q1224" s="13" t="n">
        <v>0</v>
      </c>
      <c r="R1224" s="13">
        <f>R1223+Q1224</f>
        <v/>
      </c>
      <c r="S1224" s="19">
        <f>S1223+IF(N1224="已下單",M1224,0)</f>
        <v/>
      </c>
      <c r="T1224" s="19">
        <f>R1224-S1224</f>
        <v/>
      </c>
      <c r="U1224" s="2">
        <f>U1223+IF(N1224="已下單",1,0)</f>
        <v/>
      </c>
      <c r="V1224" s="19">
        <f>IF(資金模擬!$B$9=2,MAX(R1224,0),MAX(V1223,FLOOR(MAX(R1224,0),資金模擬!$B$6)))</f>
        <v/>
      </c>
      <c r="W1224" s="13">
        <f>MAX(W1223,R1224)</f>
        <v/>
      </c>
      <c r="X1224" s="4">
        <f>IF(W1224&gt;0,R1224/W1224-1,-1)</f>
        <v/>
      </c>
      <c r="Y1224" s="19">
        <f>IF(R1224&gt;0,S1224*資金模擬!$B$7/R1224,0)</f>
        <v/>
      </c>
      <c r="Z1224" s="2">
        <f>IF(OR(Z1223=1,R1224&lt;=資金模擬!$B$10),1,0)</f>
        <v/>
      </c>
    </row>
    <row r="1225">
      <c r="A1225" s="2" t="n">
        <v>1223</v>
      </c>
      <c r="B1225" s="7" t="n">
        <v>46296.66666666666</v>
      </c>
      <c r="C1225" s="2" t="inlineStr">
        <is>
          <t>進場</t>
        </is>
      </c>
      <c r="D1225" s="2" t="n">
        <v>614</v>
      </c>
      <c r="E1225" s="2" t="inlineStr">
        <is>
          <t>TRUMP_USDT_PERP</t>
        </is>
      </c>
      <c r="F1225" s="2" t="inlineStr">
        <is>
          <t>做空</t>
        </is>
      </c>
      <c r="G1225" s="20" t="n">
        <v>2.048</v>
      </c>
      <c r="H1225" s="20" t="n">
        <v>1.98656</v>
      </c>
      <c r="I1225" s="20" t="n">
        <v>2.1504</v>
      </c>
      <c r="J1225" s="20" t="n"/>
      <c r="K1225" s="2" t="n"/>
      <c r="L1225" s="5" t="n"/>
      <c r="M1225" s="19">
        <f>資金模擬!$B$5*V1224</f>
        <v/>
      </c>
      <c r="N1225" s="2">
        <f>IF(Z1224=1,"已停止",IF(T1224&gt;=M1225,"已下單","資金不足略過"))</f>
        <v/>
      </c>
      <c r="O1225" s="19">
        <f>IF(N1225="已下單",M1225*資金模擬!$B$7,0)</f>
        <v/>
      </c>
      <c r="P1225" s="4" t="n"/>
      <c r="Q1225" s="13" t="n">
        <v>0</v>
      </c>
      <c r="R1225" s="13">
        <f>R1224+Q1225</f>
        <v/>
      </c>
      <c r="S1225" s="19">
        <f>S1224+IF(N1225="已下單",M1225,0)</f>
        <v/>
      </c>
      <c r="T1225" s="19">
        <f>R1225-S1225</f>
        <v/>
      </c>
      <c r="U1225" s="2">
        <f>U1224+IF(N1225="已下單",1,0)</f>
        <v/>
      </c>
      <c r="V1225" s="19">
        <f>IF(資金模擬!$B$9=2,MAX(R1225,0),MAX(V1224,FLOOR(MAX(R1225,0),資金模擬!$B$6)))</f>
        <v/>
      </c>
      <c r="W1225" s="13">
        <f>MAX(W1224,R1225)</f>
        <v/>
      </c>
      <c r="X1225" s="4">
        <f>IF(W1225&gt;0,R1225/W1225-1,-1)</f>
        <v/>
      </c>
      <c r="Y1225" s="19">
        <f>IF(R1225&gt;0,S1225*資金模擬!$B$7/R1225,0)</f>
        <v/>
      </c>
      <c r="Z1225" s="2">
        <f>IF(OR(Z1224=1,R1225&lt;=資金模擬!$B$10),1,0)</f>
        <v/>
      </c>
    </row>
    <row r="1226">
      <c r="A1226" s="2" t="n">
        <v>1224</v>
      </c>
      <c r="B1226" s="7" t="n">
        <v>46296.66666666666</v>
      </c>
      <c r="C1226" s="2" t="inlineStr">
        <is>
          <t>進場</t>
        </is>
      </c>
      <c r="D1226" s="2" t="n">
        <v>615</v>
      </c>
      <c r="E1226" s="2" t="inlineStr">
        <is>
          <t>USELESS_USDT_PERP</t>
        </is>
      </c>
      <c r="F1226" s="2" t="inlineStr">
        <is>
          <t>做空</t>
        </is>
      </c>
      <c r="G1226" s="20" t="n">
        <v>0.23537</v>
      </c>
      <c r="H1226" s="20" t="n">
        <v>0.2283089</v>
      </c>
      <c r="I1226" s="20" t="n">
        <v>0.2471385</v>
      </c>
      <c r="J1226" s="20" t="n"/>
      <c r="K1226" s="2" t="n"/>
      <c r="L1226" s="5" t="n"/>
      <c r="M1226" s="19">
        <f>資金模擬!$B$5*V1225</f>
        <v/>
      </c>
      <c r="N1226" s="2">
        <f>IF(Z1225=1,"已停止",IF(T1225&gt;=M1226,"已下單","資金不足略過"))</f>
        <v/>
      </c>
      <c r="O1226" s="19">
        <f>IF(N1226="已下單",M1226*資金模擬!$B$7,0)</f>
        <v/>
      </c>
      <c r="P1226" s="4" t="n"/>
      <c r="Q1226" s="13" t="n">
        <v>0</v>
      </c>
      <c r="R1226" s="13">
        <f>R1225+Q1226</f>
        <v/>
      </c>
      <c r="S1226" s="19">
        <f>S1225+IF(N1226="已下單",M1226,0)</f>
        <v/>
      </c>
      <c r="T1226" s="19">
        <f>R1226-S1226</f>
        <v/>
      </c>
      <c r="U1226" s="2">
        <f>U1225+IF(N1226="已下單",1,0)</f>
        <v/>
      </c>
      <c r="V1226" s="19">
        <f>IF(資金模擬!$B$9=2,MAX(R1226,0),MAX(V1225,FLOOR(MAX(R1226,0),資金模擬!$B$6)))</f>
        <v/>
      </c>
      <c r="W1226" s="13">
        <f>MAX(W1225,R1226)</f>
        <v/>
      </c>
      <c r="X1226" s="4">
        <f>IF(W1226&gt;0,R1226/W1226-1,-1)</f>
        <v/>
      </c>
      <c r="Y1226" s="19">
        <f>IF(R1226&gt;0,S1226*資金模擬!$B$7/R1226,0)</f>
        <v/>
      </c>
      <c r="Z1226" s="2">
        <f>IF(OR(Z1225=1,R1226&lt;=資金模擬!$B$10),1,0)</f>
        <v/>
      </c>
    </row>
    <row r="1227">
      <c r="A1227" s="2" t="n">
        <v>1225</v>
      </c>
      <c r="B1227" s="7" t="n">
        <v>46296.66666666666</v>
      </c>
      <c r="C1227" s="2" t="inlineStr">
        <is>
          <t>進場</t>
        </is>
      </c>
      <c r="D1227" s="2" t="n">
        <v>616</v>
      </c>
      <c r="E1227" s="2" t="inlineStr">
        <is>
          <t>ZRO_USDT_PERP</t>
        </is>
      </c>
      <c r="F1227" s="2" t="inlineStr">
        <is>
          <t>做空</t>
        </is>
      </c>
      <c r="G1227" s="20" t="n">
        <v>1.6874</v>
      </c>
      <c r="H1227" s="20" t="n">
        <v>1.636778</v>
      </c>
      <c r="I1227" s="20" t="n">
        <v>1.77177</v>
      </c>
      <c r="J1227" s="20" t="n"/>
      <c r="K1227" s="2" t="n"/>
      <c r="L1227" s="5" t="n"/>
      <c r="M1227" s="19">
        <f>資金模擬!$B$5*V1226</f>
        <v/>
      </c>
      <c r="N1227" s="2">
        <f>IF(Z1226=1,"已停止",IF(T1226&gt;=M1227,"已下單","資金不足略過"))</f>
        <v/>
      </c>
      <c r="O1227" s="19">
        <f>IF(N1227="已下單",M1227*資金模擬!$B$7,0)</f>
        <v/>
      </c>
      <c r="P1227" s="4" t="n"/>
      <c r="Q1227" s="13" t="n">
        <v>0</v>
      </c>
      <c r="R1227" s="13">
        <f>R1226+Q1227</f>
        <v/>
      </c>
      <c r="S1227" s="19">
        <f>S1226+IF(N1227="已下單",M1227,0)</f>
        <v/>
      </c>
      <c r="T1227" s="19">
        <f>R1227-S1227</f>
        <v/>
      </c>
      <c r="U1227" s="2">
        <f>U1226+IF(N1227="已下單",1,0)</f>
        <v/>
      </c>
      <c r="V1227" s="19">
        <f>IF(資金模擬!$B$9=2,MAX(R1227,0),MAX(V1226,FLOOR(MAX(R1227,0),資金模擬!$B$6)))</f>
        <v/>
      </c>
      <c r="W1227" s="13">
        <f>MAX(W1226,R1227)</f>
        <v/>
      </c>
      <c r="X1227" s="4">
        <f>IF(W1227&gt;0,R1227/W1227-1,-1)</f>
        <v/>
      </c>
      <c r="Y1227" s="19">
        <f>IF(R1227&gt;0,S1227*資金模擬!$B$7/R1227,0)</f>
        <v/>
      </c>
      <c r="Z1227" s="2">
        <f>IF(OR(Z1226=1,R1227&lt;=資金模擬!$B$10),1,0)</f>
        <v/>
      </c>
    </row>
    <row r="1228">
      <c r="A1228" s="2" t="n">
        <v>1226</v>
      </c>
      <c r="B1228" s="7" t="n">
        <v>46296.70833333334</v>
      </c>
      <c r="C1228" s="2" t="inlineStr">
        <is>
          <t>出場</t>
        </is>
      </c>
      <c r="D1228" s="2" t="n">
        <v>612</v>
      </c>
      <c r="E1228" s="2" t="inlineStr">
        <is>
          <t>QNT_USDT_PERP</t>
        </is>
      </c>
      <c r="F1228" s="2" t="inlineStr">
        <is>
          <t>做多</t>
        </is>
      </c>
      <c r="G1228" s="20" t="n">
        <v>295.9</v>
      </c>
      <c r="H1228" s="20" t="n">
        <v>304.777</v>
      </c>
      <c r="I1228" s="20" t="n">
        <v>281.105</v>
      </c>
      <c r="J1228" s="20" t="n">
        <v>304.777</v>
      </c>
      <c r="K1228" s="2" t="inlineStr">
        <is>
          <t>止盈</t>
        </is>
      </c>
      <c r="L1228" s="5">
        <f>交易明細!K613</f>
        <v/>
      </c>
      <c r="M1228" s="19">
        <f>M1223</f>
        <v/>
      </c>
      <c r="N1228" s="2">
        <f>N1223</f>
        <v/>
      </c>
      <c r="O1228" s="19">
        <f>O1223</f>
        <v/>
      </c>
      <c r="P1228" s="4">
        <f>交易明細!L613</f>
        <v/>
      </c>
      <c r="Q1228" s="13">
        <f>IF(N1228="已下單",O1228*P1228,0)</f>
        <v/>
      </c>
      <c r="R1228" s="13">
        <f>R1227+Q1228</f>
        <v/>
      </c>
      <c r="S1228" s="19">
        <f>S1227-IF(N1228="已下單",M1228,0)</f>
        <v/>
      </c>
      <c r="T1228" s="19">
        <f>R1228-S1228</f>
        <v/>
      </c>
      <c r="U1228" s="2">
        <f>U1227-IF(N1228="已下單",1,0)</f>
        <v/>
      </c>
      <c r="V1228" s="19">
        <f>IF(資金模擬!$B$9=2,MAX(R1228,0),MAX(V1227,FLOOR(MAX(R1228,0),資金模擬!$B$6)))</f>
        <v/>
      </c>
      <c r="W1228" s="13">
        <f>MAX(W1227,R1228)</f>
        <v/>
      </c>
      <c r="X1228" s="4">
        <f>IF(W1228&gt;0,R1228/W1228-1,-1)</f>
        <v/>
      </c>
      <c r="Y1228" s="19">
        <f>IF(R1228&gt;0,S1228*資金模擬!$B$7/R1228,0)</f>
        <v/>
      </c>
      <c r="Z1228" s="2">
        <f>IF(OR(Z1227=1,R1228&lt;=資金模擬!$B$10),1,0)</f>
        <v/>
      </c>
    </row>
    <row r="1229">
      <c r="A1229" s="2" t="n">
        <v>1227</v>
      </c>
      <c r="B1229" s="7" t="n">
        <v>46296.70833333334</v>
      </c>
      <c r="C1229" s="2" t="inlineStr">
        <is>
          <t>出場</t>
        </is>
      </c>
      <c r="D1229" s="2" t="n">
        <v>615</v>
      </c>
      <c r="E1229" s="2" t="inlineStr">
        <is>
          <t>USELESS_USDT_PERP</t>
        </is>
      </c>
      <c r="F1229" s="2" t="inlineStr">
        <is>
          <t>做空</t>
        </is>
      </c>
      <c r="G1229" s="20" t="n">
        <v>0.23537</v>
      </c>
      <c r="H1229" s="20" t="n">
        <v>0.2283089</v>
      </c>
      <c r="I1229" s="20" t="n">
        <v>0.2471385</v>
      </c>
      <c r="J1229" s="20" t="n">
        <v>0.2283089</v>
      </c>
      <c r="K1229" s="2" t="inlineStr">
        <is>
          <t>止盈</t>
        </is>
      </c>
      <c r="L1229" s="5">
        <f>交易明細!K616</f>
        <v/>
      </c>
      <c r="M1229" s="19">
        <f>M1226</f>
        <v/>
      </c>
      <c r="N1229" s="2">
        <f>N1226</f>
        <v/>
      </c>
      <c r="O1229" s="19">
        <f>O1226</f>
        <v/>
      </c>
      <c r="P1229" s="4">
        <f>交易明細!L616</f>
        <v/>
      </c>
      <c r="Q1229" s="13">
        <f>IF(N1229="已下單",O1229*P1229,0)</f>
        <v/>
      </c>
      <c r="R1229" s="13">
        <f>R1228+Q1229</f>
        <v/>
      </c>
      <c r="S1229" s="19">
        <f>S1228-IF(N1229="已下單",M1229,0)</f>
        <v/>
      </c>
      <c r="T1229" s="19">
        <f>R1229-S1229</f>
        <v/>
      </c>
      <c r="U1229" s="2">
        <f>U1228-IF(N1229="已下單",1,0)</f>
        <v/>
      </c>
      <c r="V1229" s="19">
        <f>IF(資金模擬!$B$9=2,MAX(R1229,0),MAX(V1228,FLOOR(MAX(R1229,0),資金模擬!$B$6)))</f>
        <v/>
      </c>
      <c r="W1229" s="13">
        <f>MAX(W1228,R1229)</f>
        <v/>
      </c>
      <c r="X1229" s="4">
        <f>IF(W1229&gt;0,R1229/W1229-1,-1)</f>
        <v/>
      </c>
      <c r="Y1229" s="19">
        <f>IF(R1229&gt;0,S1229*資金模擬!$B$7/R1229,0)</f>
        <v/>
      </c>
      <c r="Z1229" s="2">
        <f>IF(OR(Z1228=1,R1229&lt;=資金模擬!$B$10),1,0)</f>
        <v/>
      </c>
    </row>
    <row r="1230">
      <c r="A1230" s="2" t="n">
        <v>1228</v>
      </c>
      <c r="B1230" s="7" t="n">
        <v>46296.70833333334</v>
      </c>
      <c r="C1230" s="2" t="inlineStr">
        <is>
          <t>進場</t>
        </is>
      </c>
      <c r="D1230" s="2" t="n">
        <v>617</v>
      </c>
      <c r="E1230" s="2" t="inlineStr">
        <is>
          <t>PUMP_USDT_PERP</t>
        </is>
      </c>
      <c r="F1230" s="2" t="inlineStr">
        <is>
          <t>做空</t>
        </is>
      </c>
      <c r="G1230" s="20" t="n">
        <v>0.005504</v>
      </c>
      <c r="H1230" s="20" t="n">
        <v>0.00533888</v>
      </c>
      <c r="I1230" s="20" t="n">
        <v>0.005779200000000001</v>
      </c>
      <c r="J1230" s="20" t="n"/>
      <c r="K1230" s="2" t="n"/>
      <c r="L1230" s="5" t="n"/>
      <c r="M1230" s="19">
        <f>資金模擬!$B$5*V1229</f>
        <v/>
      </c>
      <c r="N1230" s="2">
        <f>IF(Z1229=1,"已停止",IF(T1229&gt;=M1230,"已下單","資金不足略過"))</f>
        <v/>
      </c>
      <c r="O1230" s="19">
        <f>IF(N1230="已下單",M1230*資金模擬!$B$7,0)</f>
        <v/>
      </c>
      <c r="P1230" s="4" t="n"/>
      <c r="Q1230" s="13" t="n">
        <v>0</v>
      </c>
      <c r="R1230" s="13">
        <f>R1229+Q1230</f>
        <v/>
      </c>
      <c r="S1230" s="19">
        <f>S1229+IF(N1230="已下單",M1230,0)</f>
        <v/>
      </c>
      <c r="T1230" s="19">
        <f>R1230-S1230</f>
        <v/>
      </c>
      <c r="U1230" s="2">
        <f>U1229+IF(N1230="已下單",1,0)</f>
        <v/>
      </c>
      <c r="V1230" s="19">
        <f>IF(資金模擬!$B$9=2,MAX(R1230,0),MAX(V1229,FLOOR(MAX(R1230,0),資金模擬!$B$6)))</f>
        <v/>
      </c>
      <c r="W1230" s="13">
        <f>MAX(W1229,R1230)</f>
        <v/>
      </c>
      <c r="X1230" s="4">
        <f>IF(W1230&gt;0,R1230/W1230-1,-1)</f>
        <v/>
      </c>
      <c r="Y1230" s="19">
        <f>IF(R1230&gt;0,S1230*資金模擬!$B$7/R1230,0)</f>
        <v/>
      </c>
      <c r="Z1230" s="2">
        <f>IF(OR(Z1229=1,R1230&lt;=資金模擬!$B$10),1,0)</f>
        <v/>
      </c>
    </row>
    <row r="1231">
      <c r="A1231" s="2" t="n">
        <v>1229</v>
      </c>
      <c r="B1231" s="7" t="n">
        <v>46296.75</v>
      </c>
      <c r="C1231" s="2" t="inlineStr">
        <is>
          <t>出場</t>
        </is>
      </c>
      <c r="D1231" s="2" t="n">
        <v>611</v>
      </c>
      <c r="E1231" s="2" t="inlineStr">
        <is>
          <t>GRASS_USDT_PERP</t>
        </is>
      </c>
      <c r="F1231" s="2" t="inlineStr">
        <is>
          <t>做多</t>
        </is>
      </c>
      <c r="G1231" s="20" t="n">
        <v>0.7151999999999999</v>
      </c>
      <c r="H1231" s="20" t="n">
        <v>0.736656</v>
      </c>
      <c r="I1231" s="20" t="n">
        <v>0.6794399999999999</v>
      </c>
      <c r="J1231" s="20" t="n">
        <v>0.6794399999999999</v>
      </c>
      <c r="K1231" s="2" t="inlineStr">
        <is>
          <t>止損</t>
        </is>
      </c>
      <c r="L1231" s="5">
        <f>交易明細!K612</f>
        <v/>
      </c>
      <c r="M1231" s="19">
        <f>M1220</f>
        <v/>
      </c>
      <c r="N1231" s="2">
        <f>N1220</f>
        <v/>
      </c>
      <c r="O1231" s="19">
        <f>O1220</f>
        <v/>
      </c>
      <c r="P1231" s="4">
        <f>交易明細!L612</f>
        <v/>
      </c>
      <c r="Q1231" s="13">
        <f>IF(N1231="已下單",O1231*P1231,0)</f>
        <v/>
      </c>
      <c r="R1231" s="13">
        <f>R1230+Q1231</f>
        <v/>
      </c>
      <c r="S1231" s="19">
        <f>S1230-IF(N1231="已下單",M1231,0)</f>
        <v/>
      </c>
      <c r="T1231" s="19">
        <f>R1231-S1231</f>
        <v/>
      </c>
      <c r="U1231" s="2">
        <f>U1230-IF(N1231="已下單",1,0)</f>
        <v/>
      </c>
      <c r="V1231" s="19">
        <f>IF(資金模擬!$B$9=2,MAX(R1231,0),MAX(V1230,FLOOR(MAX(R1231,0),資金模擬!$B$6)))</f>
        <v/>
      </c>
      <c r="W1231" s="13">
        <f>MAX(W1230,R1231)</f>
        <v/>
      </c>
      <c r="X1231" s="4">
        <f>IF(W1231&gt;0,R1231/W1231-1,-1)</f>
        <v/>
      </c>
      <c r="Y1231" s="19">
        <f>IF(R1231&gt;0,S1231*資金模擬!$B$7/R1231,0)</f>
        <v/>
      </c>
      <c r="Z1231" s="2">
        <f>IF(OR(Z1230=1,R1231&lt;=資金模擬!$B$10),1,0)</f>
        <v/>
      </c>
    </row>
    <row r="1232">
      <c r="A1232" s="2" t="n">
        <v>1230</v>
      </c>
      <c r="B1232" s="7" t="n">
        <v>46296.75</v>
      </c>
      <c r="C1232" s="2" t="inlineStr">
        <is>
          <t>出場</t>
        </is>
      </c>
      <c r="D1232" s="2" t="n">
        <v>616</v>
      </c>
      <c r="E1232" s="2" t="inlineStr">
        <is>
          <t>ZRO_USDT_PERP</t>
        </is>
      </c>
      <c r="F1232" s="2" t="inlineStr">
        <is>
          <t>做空</t>
        </is>
      </c>
      <c r="G1232" s="20" t="n">
        <v>1.6874</v>
      </c>
      <c r="H1232" s="20" t="n">
        <v>1.636778</v>
      </c>
      <c r="I1232" s="20" t="n">
        <v>1.77177</v>
      </c>
      <c r="J1232" s="20" t="n">
        <v>1.636778</v>
      </c>
      <c r="K1232" s="2" t="inlineStr">
        <is>
          <t>止盈</t>
        </is>
      </c>
      <c r="L1232" s="5">
        <f>交易明細!K617</f>
        <v/>
      </c>
      <c r="M1232" s="19">
        <f>M1227</f>
        <v/>
      </c>
      <c r="N1232" s="2">
        <f>N1227</f>
        <v/>
      </c>
      <c r="O1232" s="19">
        <f>O1227</f>
        <v/>
      </c>
      <c r="P1232" s="4">
        <f>交易明細!L617</f>
        <v/>
      </c>
      <c r="Q1232" s="13">
        <f>IF(N1232="已下單",O1232*P1232,0)</f>
        <v/>
      </c>
      <c r="R1232" s="13">
        <f>R1231+Q1232</f>
        <v/>
      </c>
      <c r="S1232" s="19">
        <f>S1231-IF(N1232="已下單",M1232,0)</f>
        <v/>
      </c>
      <c r="T1232" s="19">
        <f>R1232-S1232</f>
        <v/>
      </c>
      <c r="U1232" s="2">
        <f>U1231-IF(N1232="已下單",1,0)</f>
        <v/>
      </c>
      <c r="V1232" s="19">
        <f>IF(資金模擬!$B$9=2,MAX(R1232,0),MAX(V1231,FLOOR(MAX(R1232,0),資金模擬!$B$6)))</f>
        <v/>
      </c>
      <c r="W1232" s="13">
        <f>MAX(W1231,R1232)</f>
        <v/>
      </c>
      <c r="X1232" s="4">
        <f>IF(W1232&gt;0,R1232/W1232-1,-1)</f>
        <v/>
      </c>
      <c r="Y1232" s="19">
        <f>IF(R1232&gt;0,S1232*資金模擬!$B$7/R1232,0)</f>
        <v/>
      </c>
      <c r="Z1232" s="2">
        <f>IF(OR(Z1231=1,R1232&lt;=資金模擬!$B$10),1,0)</f>
        <v/>
      </c>
    </row>
    <row r="1233">
      <c r="A1233" s="2" t="n">
        <v>1231</v>
      </c>
      <c r="B1233" s="7" t="n">
        <v>46296.79166666666</v>
      </c>
      <c r="C1233" s="2" t="inlineStr">
        <is>
          <t>進場</t>
        </is>
      </c>
      <c r="D1233" s="2" t="n">
        <v>618</v>
      </c>
      <c r="E1233" s="2" t="inlineStr">
        <is>
          <t>QNT_USDT_PERP</t>
        </is>
      </c>
      <c r="F1233" s="2" t="inlineStr">
        <is>
          <t>做空</t>
        </is>
      </c>
      <c r="G1233" s="20" t="n">
        <v>280.07</v>
      </c>
      <c r="H1233" s="20" t="n">
        <v>271.6679</v>
      </c>
      <c r="I1233" s="20" t="n">
        <v>294.0735</v>
      </c>
      <c r="J1233" s="20" t="n"/>
      <c r="K1233" s="2" t="n"/>
      <c r="L1233" s="5" t="n"/>
      <c r="M1233" s="19">
        <f>資金模擬!$B$5*V1232</f>
        <v/>
      </c>
      <c r="N1233" s="2">
        <f>IF(Z1232=1,"已停止",IF(T1232&gt;=M1233,"已下單","資金不足略過"))</f>
        <v/>
      </c>
      <c r="O1233" s="19">
        <f>IF(N1233="已下單",M1233*資金模擬!$B$7,0)</f>
        <v/>
      </c>
      <c r="P1233" s="4" t="n"/>
      <c r="Q1233" s="13" t="n">
        <v>0</v>
      </c>
      <c r="R1233" s="13">
        <f>R1232+Q1233</f>
        <v/>
      </c>
      <c r="S1233" s="19">
        <f>S1232+IF(N1233="已下單",M1233,0)</f>
        <v/>
      </c>
      <c r="T1233" s="19">
        <f>R1233-S1233</f>
        <v/>
      </c>
      <c r="U1233" s="2">
        <f>U1232+IF(N1233="已下單",1,0)</f>
        <v/>
      </c>
      <c r="V1233" s="19">
        <f>IF(資金模擬!$B$9=2,MAX(R1233,0),MAX(V1232,FLOOR(MAX(R1233,0),資金模擬!$B$6)))</f>
        <v/>
      </c>
      <c r="W1233" s="13">
        <f>MAX(W1232,R1233)</f>
        <v/>
      </c>
      <c r="X1233" s="4">
        <f>IF(W1233&gt;0,R1233/W1233-1,-1)</f>
        <v/>
      </c>
      <c r="Y1233" s="19">
        <f>IF(R1233&gt;0,S1233*資金模擬!$B$7/R1233,0)</f>
        <v/>
      </c>
      <c r="Z1233" s="2">
        <f>IF(OR(Z1232=1,R1233&lt;=資金模擬!$B$10),1,0)</f>
        <v/>
      </c>
    </row>
    <row r="1234">
      <c r="A1234" s="2" t="n">
        <v>1232</v>
      </c>
      <c r="B1234" s="7" t="n">
        <v>46296.83333333334</v>
      </c>
      <c r="C1234" s="2" t="inlineStr">
        <is>
          <t>出場</t>
        </is>
      </c>
      <c r="D1234" s="2" t="n">
        <v>618</v>
      </c>
      <c r="E1234" s="2" t="inlineStr">
        <is>
          <t>QNT_USDT_PERP</t>
        </is>
      </c>
      <c r="F1234" s="2" t="inlineStr">
        <is>
          <t>做空</t>
        </is>
      </c>
      <c r="G1234" s="20" t="n">
        <v>280.07</v>
      </c>
      <c r="H1234" s="20" t="n">
        <v>271.6679</v>
      </c>
      <c r="I1234" s="20" t="n">
        <v>294.0735</v>
      </c>
      <c r="J1234" s="20" t="n">
        <v>271.6679</v>
      </c>
      <c r="K1234" s="2" t="inlineStr">
        <is>
          <t>止盈</t>
        </is>
      </c>
      <c r="L1234" s="5">
        <f>交易明細!K619</f>
        <v/>
      </c>
      <c r="M1234" s="19">
        <f>M1233</f>
        <v/>
      </c>
      <c r="N1234" s="2">
        <f>N1233</f>
        <v/>
      </c>
      <c r="O1234" s="19">
        <f>O1233</f>
        <v/>
      </c>
      <c r="P1234" s="4">
        <f>交易明細!L619</f>
        <v/>
      </c>
      <c r="Q1234" s="13">
        <f>IF(N1234="已下單",O1234*P1234,0)</f>
        <v/>
      </c>
      <c r="R1234" s="13">
        <f>R1233+Q1234</f>
        <v/>
      </c>
      <c r="S1234" s="19">
        <f>S1233-IF(N1234="已下單",M1234,0)</f>
        <v/>
      </c>
      <c r="T1234" s="19">
        <f>R1234-S1234</f>
        <v/>
      </c>
      <c r="U1234" s="2">
        <f>U1233-IF(N1234="已下單",1,0)</f>
        <v/>
      </c>
      <c r="V1234" s="19">
        <f>IF(資金模擬!$B$9=2,MAX(R1234,0),MAX(V1233,FLOOR(MAX(R1234,0),資金模擬!$B$6)))</f>
        <v/>
      </c>
      <c r="W1234" s="13">
        <f>MAX(W1233,R1234)</f>
        <v/>
      </c>
      <c r="X1234" s="4">
        <f>IF(W1234&gt;0,R1234/W1234-1,-1)</f>
        <v/>
      </c>
      <c r="Y1234" s="19">
        <f>IF(R1234&gt;0,S1234*資金模擬!$B$7/R1234,0)</f>
        <v/>
      </c>
      <c r="Z1234" s="2">
        <f>IF(OR(Z1233=1,R1234&lt;=資金模擬!$B$10),1,0)</f>
        <v/>
      </c>
    </row>
    <row r="1235">
      <c r="A1235" s="2" t="n">
        <v>1233</v>
      </c>
      <c r="B1235" s="7" t="n">
        <v>46296.95833333334</v>
      </c>
      <c r="C1235" s="2" t="inlineStr">
        <is>
          <t>出場</t>
        </is>
      </c>
      <c r="D1235" s="2" t="n">
        <v>613</v>
      </c>
      <c r="E1235" s="2" t="inlineStr">
        <is>
          <t>PENGU_USDT_PERP</t>
        </is>
      </c>
      <c r="F1235" s="2" t="inlineStr">
        <is>
          <t>做空</t>
        </is>
      </c>
      <c r="G1235" s="20" t="n">
        <v>0.009639</v>
      </c>
      <c r="H1235" s="20" t="n">
        <v>0.00934983</v>
      </c>
      <c r="I1235" s="20" t="n">
        <v>0.01012095</v>
      </c>
      <c r="J1235" s="20" t="n">
        <v>0.00934983</v>
      </c>
      <c r="K1235" s="2" t="inlineStr">
        <is>
          <t>止盈</t>
        </is>
      </c>
      <c r="L1235" s="5">
        <f>交易明細!K614</f>
        <v/>
      </c>
      <c r="M1235" s="19">
        <f>M1224</f>
        <v/>
      </c>
      <c r="N1235" s="2">
        <f>N1224</f>
        <v/>
      </c>
      <c r="O1235" s="19">
        <f>O1224</f>
        <v/>
      </c>
      <c r="P1235" s="4">
        <f>交易明細!L614</f>
        <v/>
      </c>
      <c r="Q1235" s="13">
        <f>IF(N1235="已下單",O1235*P1235,0)</f>
        <v/>
      </c>
      <c r="R1235" s="13">
        <f>R1234+Q1235</f>
        <v/>
      </c>
      <c r="S1235" s="19">
        <f>S1234-IF(N1235="已下單",M1235,0)</f>
        <v/>
      </c>
      <c r="T1235" s="19">
        <f>R1235-S1235</f>
        <v/>
      </c>
      <c r="U1235" s="2">
        <f>U1234-IF(N1235="已下單",1,0)</f>
        <v/>
      </c>
      <c r="V1235" s="19">
        <f>IF(資金模擬!$B$9=2,MAX(R1235,0),MAX(V1234,FLOOR(MAX(R1235,0),資金模擬!$B$6)))</f>
        <v/>
      </c>
      <c r="W1235" s="13">
        <f>MAX(W1234,R1235)</f>
        <v/>
      </c>
      <c r="X1235" s="4">
        <f>IF(W1235&gt;0,R1235/W1235-1,-1)</f>
        <v/>
      </c>
      <c r="Y1235" s="19">
        <f>IF(R1235&gt;0,S1235*資金模擬!$B$7/R1235,0)</f>
        <v/>
      </c>
      <c r="Z1235" s="2">
        <f>IF(OR(Z1234=1,R1235&lt;=資金模擬!$B$10),1,0)</f>
        <v/>
      </c>
    </row>
    <row r="1236">
      <c r="A1236" s="2" t="n">
        <v>1234</v>
      </c>
      <c r="B1236" s="7" t="n">
        <v>46296.95833333334</v>
      </c>
      <c r="C1236" s="2" t="inlineStr">
        <is>
          <t>進場</t>
        </is>
      </c>
      <c r="D1236" s="2" t="n">
        <v>619</v>
      </c>
      <c r="E1236" s="2" t="inlineStr">
        <is>
          <t>ENA_USDT_PERP</t>
        </is>
      </c>
      <c r="F1236" s="2" t="inlineStr">
        <is>
          <t>做空</t>
        </is>
      </c>
      <c r="G1236" s="20" t="n">
        <v>0.2507</v>
      </c>
      <c r="H1236" s="20" t="n">
        <v>0.243179</v>
      </c>
      <c r="I1236" s="20" t="n">
        <v>0.263235</v>
      </c>
      <c r="J1236" s="20" t="n"/>
      <c r="K1236" s="2" t="n"/>
      <c r="L1236" s="5" t="n"/>
      <c r="M1236" s="19">
        <f>資金模擬!$B$5*V1235</f>
        <v/>
      </c>
      <c r="N1236" s="2">
        <f>IF(Z1235=1,"已停止",IF(T1235&gt;=M1236,"已下單","資金不足略過"))</f>
        <v/>
      </c>
      <c r="O1236" s="19">
        <f>IF(N1236="已下單",M1236*資金模擬!$B$7,0)</f>
        <v/>
      </c>
      <c r="P1236" s="4" t="n"/>
      <c r="Q1236" s="13" t="n">
        <v>0</v>
      </c>
      <c r="R1236" s="13">
        <f>R1235+Q1236</f>
        <v/>
      </c>
      <c r="S1236" s="19">
        <f>S1235+IF(N1236="已下單",M1236,0)</f>
        <v/>
      </c>
      <c r="T1236" s="19">
        <f>R1236-S1236</f>
        <v/>
      </c>
      <c r="U1236" s="2">
        <f>U1235+IF(N1236="已下單",1,0)</f>
        <v/>
      </c>
      <c r="V1236" s="19">
        <f>IF(資金模擬!$B$9=2,MAX(R1236,0),MAX(V1235,FLOOR(MAX(R1236,0),資金模擬!$B$6)))</f>
        <v/>
      </c>
      <c r="W1236" s="13">
        <f>MAX(W1235,R1236)</f>
        <v/>
      </c>
      <c r="X1236" s="4">
        <f>IF(W1236&gt;0,R1236/W1236-1,-1)</f>
        <v/>
      </c>
      <c r="Y1236" s="19">
        <f>IF(R1236&gt;0,S1236*資金模擬!$B$7/R1236,0)</f>
        <v/>
      </c>
      <c r="Z1236" s="2">
        <f>IF(OR(Z1235=1,R1236&lt;=資金模擬!$B$10),1,0)</f>
        <v/>
      </c>
    </row>
    <row r="1237">
      <c r="A1237" s="2" t="n">
        <v>1235</v>
      </c>
      <c r="B1237" s="7" t="n">
        <v>46296.95833333334</v>
      </c>
      <c r="C1237" s="2" t="inlineStr">
        <is>
          <t>進場</t>
        </is>
      </c>
      <c r="D1237" s="2" t="n">
        <v>620</v>
      </c>
      <c r="E1237" s="2" t="inlineStr">
        <is>
          <t>USELESS_USDT_PERP</t>
        </is>
      </c>
      <c r="F1237" s="2" t="inlineStr">
        <is>
          <t>做空</t>
        </is>
      </c>
      <c r="G1237" s="20" t="n">
        <v>0.22404</v>
      </c>
      <c r="H1237" s="20" t="n">
        <v>0.2173188</v>
      </c>
      <c r="I1237" s="20" t="n">
        <v>0.235242</v>
      </c>
      <c r="J1237" s="20" t="n"/>
      <c r="K1237" s="2" t="n"/>
      <c r="L1237" s="5" t="n"/>
      <c r="M1237" s="19">
        <f>資金模擬!$B$5*V1236</f>
        <v/>
      </c>
      <c r="N1237" s="2">
        <f>IF(Z1236=1,"已停止",IF(T1236&gt;=M1237,"已下單","資金不足略過"))</f>
        <v/>
      </c>
      <c r="O1237" s="19">
        <f>IF(N1237="已下單",M1237*資金模擬!$B$7,0)</f>
        <v/>
      </c>
      <c r="P1237" s="4" t="n"/>
      <c r="Q1237" s="13" t="n">
        <v>0</v>
      </c>
      <c r="R1237" s="13">
        <f>R1236+Q1237</f>
        <v/>
      </c>
      <c r="S1237" s="19">
        <f>S1236+IF(N1237="已下單",M1237,0)</f>
        <v/>
      </c>
      <c r="T1237" s="19">
        <f>R1237-S1237</f>
        <v/>
      </c>
      <c r="U1237" s="2">
        <f>U1236+IF(N1237="已下單",1,0)</f>
        <v/>
      </c>
      <c r="V1237" s="19">
        <f>IF(資金模擬!$B$9=2,MAX(R1237,0),MAX(V1236,FLOOR(MAX(R1237,0),資金模擬!$B$6)))</f>
        <v/>
      </c>
      <c r="W1237" s="13">
        <f>MAX(W1236,R1237)</f>
        <v/>
      </c>
      <c r="X1237" s="4">
        <f>IF(W1237&gt;0,R1237/W1237-1,-1)</f>
        <v/>
      </c>
      <c r="Y1237" s="19">
        <f>IF(R1237&gt;0,S1237*資金模擬!$B$7/R1237,0)</f>
        <v/>
      </c>
      <c r="Z1237" s="2">
        <f>IF(OR(Z1236=1,R1237&lt;=資金模擬!$B$10),1,0)</f>
        <v/>
      </c>
    </row>
    <row r="1238">
      <c r="A1238" s="2" t="n">
        <v>1236</v>
      </c>
      <c r="B1238" s="7" t="n">
        <v>46297</v>
      </c>
      <c r="C1238" s="2" t="inlineStr">
        <is>
          <t>進場</t>
        </is>
      </c>
      <c r="D1238" s="2" t="n">
        <v>621</v>
      </c>
      <c r="E1238" s="2" t="inlineStr">
        <is>
          <t>MON_USDT_PERP</t>
        </is>
      </c>
      <c r="F1238" s="2" t="inlineStr">
        <is>
          <t>做多</t>
        </is>
      </c>
      <c r="G1238" s="20" t="n">
        <v>0.03282</v>
      </c>
      <c r="H1238" s="20" t="n">
        <v>0.0338046</v>
      </c>
      <c r="I1238" s="20" t="n">
        <v>0.031179</v>
      </c>
      <c r="J1238" s="20" t="n"/>
      <c r="K1238" s="2" t="n"/>
      <c r="L1238" s="5" t="n"/>
      <c r="M1238" s="19">
        <f>資金模擬!$B$5*V1237</f>
        <v/>
      </c>
      <c r="N1238" s="2">
        <f>IF(Z1237=1,"已停止",IF(T1237&gt;=M1238,"已下單","資金不足略過"))</f>
        <v/>
      </c>
      <c r="O1238" s="19">
        <f>IF(N1238="已下單",M1238*資金模擬!$B$7,0)</f>
        <v/>
      </c>
      <c r="P1238" s="4" t="n"/>
      <c r="Q1238" s="13" t="n">
        <v>0</v>
      </c>
      <c r="R1238" s="13">
        <f>R1237+Q1238</f>
        <v/>
      </c>
      <c r="S1238" s="19">
        <f>S1237+IF(N1238="已下單",M1238,0)</f>
        <v/>
      </c>
      <c r="T1238" s="19">
        <f>R1238-S1238</f>
        <v/>
      </c>
      <c r="U1238" s="2">
        <f>U1237+IF(N1238="已下單",1,0)</f>
        <v/>
      </c>
      <c r="V1238" s="19">
        <f>IF(資金模擬!$B$9=2,MAX(R1238,0),MAX(V1237,FLOOR(MAX(R1238,0),資金模擬!$B$6)))</f>
        <v/>
      </c>
      <c r="W1238" s="13">
        <f>MAX(W1237,R1238)</f>
        <v/>
      </c>
      <c r="X1238" s="4">
        <f>IF(W1238&gt;0,R1238/W1238-1,-1)</f>
        <v/>
      </c>
      <c r="Y1238" s="19">
        <f>IF(R1238&gt;0,S1238*資金模擬!$B$7/R1238,0)</f>
        <v/>
      </c>
      <c r="Z1238" s="2">
        <f>IF(OR(Z1237=1,R1238&lt;=資金模擬!$B$10),1,0)</f>
        <v/>
      </c>
    </row>
    <row r="1239">
      <c r="A1239" s="2" t="n">
        <v>1237</v>
      </c>
      <c r="B1239" s="7" t="n">
        <v>46297.04166666666</v>
      </c>
      <c r="C1239" s="2" t="inlineStr">
        <is>
          <t>進場</t>
        </is>
      </c>
      <c r="D1239" s="2" t="n">
        <v>622</v>
      </c>
      <c r="E1239" s="2" t="inlineStr">
        <is>
          <t>ZEC_USDT_PERP</t>
        </is>
      </c>
      <c r="F1239" s="2" t="inlineStr">
        <is>
          <t>做空</t>
        </is>
      </c>
      <c r="G1239" s="20" t="n">
        <v>1342.99</v>
      </c>
      <c r="H1239" s="20" t="n">
        <v>1302.7003</v>
      </c>
      <c r="I1239" s="20" t="n">
        <v>1410.1395</v>
      </c>
      <c r="J1239" s="20" t="n"/>
      <c r="K1239" s="2" t="n"/>
      <c r="L1239" s="5" t="n"/>
      <c r="M1239" s="19">
        <f>資金模擬!$B$5*V1238</f>
        <v/>
      </c>
      <c r="N1239" s="2">
        <f>IF(Z1238=1,"已停止",IF(T1238&gt;=M1239,"已下單","資金不足略過"))</f>
        <v/>
      </c>
      <c r="O1239" s="19">
        <f>IF(N1239="已下單",M1239*資金模擬!$B$7,0)</f>
        <v/>
      </c>
      <c r="P1239" s="4" t="n"/>
      <c r="Q1239" s="13" t="n">
        <v>0</v>
      </c>
      <c r="R1239" s="13">
        <f>R1238+Q1239</f>
        <v/>
      </c>
      <c r="S1239" s="19">
        <f>S1238+IF(N1239="已下單",M1239,0)</f>
        <v/>
      </c>
      <c r="T1239" s="19">
        <f>R1239-S1239</f>
        <v/>
      </c>
      <c r="U1239" s="2">
        <f>U1238+IF(N1239="已下單",1,0)</f>
        <v/>
      </c>
      <c r="V1239" s="19">
        <f>IF(資金模擬!$B$9=2,MAX(R1239,0),MAX(V1238,FLOOR(MAX(R1239,0),資金模擬!$B$6)))</f>
        <v/>
      </c>
      <c r="W1239" s="13">
        <f>MAX(W1238,R1239)</f>
        <v/>
      </c>
      <c r="X1239" s="4">
        <f>IF(W1239&gt;0,R1239/W1239-1,-1)</f>
        <v/>
      </c>
      <c r="Y1239" s="19">
        <f>IF(R1239&gt;0,S1239*資金模擬!$B$7/R1239,0)</f>
        <v/>
      </c>
      <c r="Z1239" s="2">
        <f>IF(OR(Z1238=1,R1239&lt;=資金模擬!$B$10),1,0)</f>
        <v/>
      </c>
    </row>
    <row r="1240">
      <c r="A1240" s="2" t="n">
        <v>1238</v>
      </c>
      <c r="B1240" s="7" t="n">
        <v>46297.08333333334</v>
      </c>
      <c r="C1240" s="2" t="inlineStr">
        <is>
          <t>出場</t>
        </is>
      </c>
      <c r="D1240" s="2" t="n">
        <v>617</v>
      </c>
      <c r="E1240" s="2" t="inlineStr">
        <is>
          <t>PUMP_USDT_PERP</t>
        </is>
      </c>
      <c r="F1240" s="2" t="inlineStr">
        <is>
          <t>做空</t>
        </is>
      </c>
      <c r="G1240" s="20" t="n">
        <v>0.005504</v>
      </c>
      <c r="H1240" s="20" t="n">
        <v>0.00533888</v>
      </c>
      <c r="I1240" s="20" t="n">
        <v>0.005779200000000001</v>
      </c>
      <c r="J1240" s="20" t="n">
        <v>0.005779200000000001</v>
      </c>
      <c r="K1240" s="2" t="inlineStr">
        <is>
          <t>止損</t>
        </is>
      </c>
      <c r="L1240" s="5">
        <f>交易明細!K618</f>
        <v/>
      </c>
      <c r="M1240" s="19">
        <f>M1230</f>
        <v/>
      </c>
      <c r="N1240" s="2">
        <f>N1230</f>
        <v/>
      </c>
      <c r="O1240" s="19">
        <f>O1230</f>
        <v/>
      </c>
      <c r="P1240" s="4">
        <f>交易明細!L618</f>
        <v/>
      </c>
      <c r="Q1240" s="13">
        <f>IF(N1240="已下單",O1240*P1240,0)</f>
        <v/>
      </c>
      <c r="R1240" s="13">
        <f>R1239+Q1240</f>
        <v/>
      </c>
      <c r="S1240" s="19">
        <f>S1239-IF(N1240="已下單",M1240,0)</f>
        <v/>
      </c>
      <c r="T1240" s="19">
        <f>R1240-S1240</f>
        <v/>
      </c>
      <c r="U1240" s="2">
        <f>U1239-IF(N1240="已下單",1,0)</f>
        <v/>
      </c>
      <c r="V1240" s="19">
        <f>IF(資金模擬!$B$9=2,MAX(R1240,0),MAX(V1239,FLOOR(MAX(R1240,0),資金模擬!$B$6)))</f>
        <v/>
      </c>
      <c r="W1240" s="13">
        <f>MAX(W1239,R1240)</f>
        <v/>
      </c>
      <c r="X1240" s="4">
        <f>IF(W1240&gt;0,R1240/W1240-1,-1)</f>
        <v/>
      </c>
      <c r="Y1240" s="19">
        <f>IF(R1240&gt;0,S1240*資金模擬!$B$7/R1240,0)</f>
        <v/>
      </c>
      <c r="Z1240" s="2">
        <f>IF(OR(Z1239=1,R1240&lt;=資金模擬!$B$10),1,0)</f>
        <v/>
      </c>
    </row>
    <row r="1241">
      <c r="A1241" s="2" t="n">
        <v>1239</v>
      </c>
      <c r="B1241" s="7" t="n">
        <v>46297.08333333334</v>
      </c>
      <c r="C1241" s="2" t="inlineStr">
        <is>
          <t>出場</t>
        </is>
      </c>
      <c r="D1241" s="2" t="n">
        <v>620</v>
      </c>
      <c r="E1241" s="2" t="inlineStr">
        <is>
          <t>USELESS_USDT_PERP</t>
        </is>
      </c>
      <c r="F1241" s="2" t="inlineStr">
        <is>
          <t>做空</t>
        </is>
      </c>
      <c r="G1241" s="20" t="n">
        <v>0.22404</v>
      </c>
      <c r="H1241" s="20" t="n">
        <v>0.2173188</v>
      </c>
      <c r="I1241" s="20" t="n">
        <v>0.235242</v>
      </c>
      <c r="J1241" s="20" t="n">
        <v>0.235242</v>
      </c>
      <c r="K1241" s="2" t="inlineStr">
        <is>
          <t>止損</t>
        </is>
      </c>
      <c r="L1241" s="5">
        <f>交易明細!K621</f>
        <v/>
      </c>
      <c r="M1241" s="19">
        <f>M1237</f>
        <v/>
      </c>
      <c r="N1241" s="2">
        <f>N1237</f>
        <v/>
      </c>
      <c r="O1241" s="19">
        <f>O1237</f>
        <v/>
      </c>
      <c r="P1241" s="4">
        <f>交易明細!L621</f>
        <v/>
      </c>
      <c r="Q1241" s="13">
        <f>IF(N1241="已下單",O1241*P1241,0)</f>
        <v/>
      </c>
      <c r="R1241" s="13">
        <f>R1240+Q1241</f>
        <v/>
      </c>
      <c r="S1241" s="19">
        <f>S1240-IF(N1241="已下單",M1241,0)</f>
        <v/>
      </c>
      <c r="T1241" s="19">
        <f>R1241-S1241</f>
        <v/>
      </c>
      <c r="U1241" s="2">
        <f>U1240-IF(N1241="已下單",1,0)</f>
        <v/>
      </c>
      <c r="V1241" s="19">
        <f>IF(資金模擬!$B$9=2,MAX(R1241,0),MAX(V1240,FLOOR(MAX(R1241,0),資金模擬!$B$6)))</f>
        <v/>
      </c>
      <c r="W1241" s="13">
        <f>MAX(W1240,R1241)</f>
        <v/>
      </c>
      <c r="X1241" s="4">
        <f>IF(W1241&gt;0,R1241/W1241-1,-1)</f>
        <v/>
      </c>
      <c r="Y1241" s="19">
        <f>IF(R1241&gt;0,S1241*資金模擬!$B$7/R1241,0)</f>
        <v/>
      </c>
      <c r="Z1241" s="2">
        <f>IF(OR(Z1240=1,R1241&lt;=資金模擬!$B$10),1,0)</f>
        <v/>
      </c>
    </row>
    <row r="1242">
      <c r="A1242" s="2" t="n">
        <v>1240</v>
      </c>
      <c r="B1242" s="7" t="n">
        <v>46297.08333333334</v>
      </c>
      <c r="C1242" s="2" t="inlineStr">
        <is>
          <t>出場</t>
        </is>
      </c>
      <c r="D1242" s="2" t="n">
        <v>621</v>
      </c>
      <c r="E1242" s="2" t="inlineStr">
        <is>
          <t>MON_USDT_PERP</t>
        </is>
      </c>
      <c r="F1242" s="2" t="inlineStr">
        <is>
          <t>做多</t>
        </is>
      </c>
      <c r="G1242" s="20" t="n">
        <v>0.03282</v>
      </c>
      <c r="H1242" s="20" t="n">
        <v>0.0338046</v>
      </c>
      <c r="I1242" s="20" t="n">
        <v>0.031179</v>
      </c>
      <c r="J1242" s="20" t="n">
        <v>0.0338046</v>
      </c>
      <c r="K1242" s="2" t="inlineStr">
        <is>
          <t>止盈</t>
        </is>
      </c>
      <c r="L1242" s="5">
        <f>交易明細!K622</f>
        <v/>
      </c>
      <c r="M1242" s="19">
        <f>M1238</f>
        <v/>
      </c>
      <c r="N1242" s="2">
        <f>N1238</f>
        <v/>
      </c>
      <c r="O1242" s="19">
        <f>O1238</f>
        <v/>
      </c>
      <c r="P1242" s="4">
        <f>交易明細!L622</f>
        <v/>
      </c>
      <c r="Q1242" s="13">
        <f>IF(N1242="已下單",O1242*P1242,0)</f>
        <v/>
      </c>
      <c r="R1242" s="13">
        <f>R1241+Q1242</f>
        <v/>
      </c>
      <c r="S1242" s="19">
        <f>S1241-IF(N1242="已下單",M1242,0)</f>
        <v/>
      </c>
      <c r="T1242" s="19">
        <f>R1242-S1242</f>
        <v/>
      </c>
      <c r="U1242" s="2">
        <f>U1241-IF(N1242="已下單",1,0)</f>
        <v/>
      </c>
      <c r="V1242" s="19">
        <f>IF(資金模擬!$B$9=2,MAX(R1242,0),MAX(V1241,FLOOR(MAX(R1242,0),資金模擬!$B$6)))</f>
        <v/>
      </c>
      <c r="W1242" s="13">
        <f>MAX(W1241,R1242)</f>
        <v/>
      </c>
      <c r="X1242" s="4">
        <f>IF(W1242&gt;0,R1242/W1242-1,-1)</f>
        <v/>
      </c>
      <c r="Y1242" s="19">
        <f>IF(R1242&gt;0,S1242*資金模擬!$B$7/R1242,0)</f>
        <v/>
      </c>
      <c r="Z1242" s="2">
        <f>IF(OR(Z1241=1,R1242&lt;=資金模擬!$B$10),1,0)</f>
        <v/>
      </c>
    </row>
    <row r="1243">
      <c r="A1243" s="2" t="n">
        <v>1241</v>
      </c>
      <c r="B1243" s="7" t="n">
        <v>46297.08333333334</v>
      </c>
      <c r="C1243" s="2" t="inlineStr">
        <is>
          <t>進場</t>
        </is>
      </c>
      <c r="D1243" s="2" t="n">
        <v>623</v>
      </c>
      <c r="E1243" s="2" t="inlineStr">
        <is>
          <t>FET_USDT_PERP</t>
        </is>
      </c>
      <c r="F1243" s="2" t="inlineStr">
        <is>
          <t>做多</t>
        </is>
      </c>
      <c r="G1243" s="20" t="n">
        <v>0.2334</v>
      </c>
      <c r="H1243" s="20" t="n">
        <v>0.240402</v>
      </c>
      <c r="I1243" s="20" t="n">
        <v>0.22173</v>
      </c>
      <c r="J1243" s="20" t="n"/>
      <c r="K1243" s="2" t="n"/>
      <c r="L1243" s="5" t="n"/>
      <c r="M1243" s="19">
        <f>資金模擬!$B$5*V1242</f>
        <v/>
      </c>
      <c r="N1243" s="2">
        <f>IF(Z1242=1,"已停止",IF(T1242&gt;=M1243,"已下單","資金不足略過"))</f>
        <v/>
      </c>
      <c r="O1243" s="19">
        <f>IF(N1243="已下單",M1243*資金模擬!$B$7,0)</f>
        <v/>
      </c>
      <c r="P1243" s="4" t="n"/>
      <c r="Q1243" s="13" t="n">
        <v>0</v>
      </c>
      <c r="R1243" s="13">
        <f>R1242+Q1243</f>
        <v/>
      </c>
      <c r="S1243" s="19">
        <f>S1242+IF(N1243="已下單",M1243,0)</f>
        <v/>
      </c>
      <c r="T1243" s="19">
        <f>R1243-S1243</f>
        <v/>
      </c>
      <c r="U1243" s="2">
        <f>U1242+IF(N1243="已下單",1,0)</f>
        <v/>
      </c>
      <c r="V1243" s="19">
        <f>IF(資金模擬!$B$9=2,MAX(R1243,0),MAX(V1242,FLOOR(MAX(R1243,0),資金模擬!$B$6)))</f>
        <v/>
      </c>
      <c r="W1243" s="13">
        <f>MAX(W1242,R1243)</f>
        <v/>
      </c>
      <c r="X1243" s="4">
        <f>IF(W1243&gt;0,R1243/W1243-1,-1)</f>
        <v/>
      </c>
      <c r="Y1243" s="19">
        <f>IF(R1243&gt;0,S1243*資金模擬!$B$7/R1243,0)</f>
        <v/>
      </c>
      <c r="Z1243" s="2">
        <f>IF(OR(Z1242=1,R1243&lt;=資金模擬!$B$10),1,0)</f>
        <v/>
      </c>
    </row>
    <row r="1244">
      <c r="A1244" s="2" t="n">
        <v>1242</v>
      </c>
      <c r="B1244" s="7" t="n">
        <v>46297.08333333334</v>
      </c>
      <c r="C1244" s="2" t="inlineStr">
        <is>
          <t>進場</t>
        </is>
      </c>
      <c r="D1244" s="2" t="n">
        <v>624</v>
      </c>
      <c r="E1244" s="2" t="inlineStr">
        <is>
          <t>SUI_USDT_PERP</t>
        </is>
      </c>
      <c r="F1244" s="2" t="inlineStr">
        <is>
          <t>做多</t>
        </is>
      </c>
      <c r="G1244" s="20" t="n">
        <v>1.1891</v>
      </c>
      <c r="H1244" s="20" t="n">
        <v>1.224773</v>
      </c>
      <c r="I1244" s="20" t="n">
        <v>1.129645</v>
      </c>
      <c r="J1244" s="20" t="n"/>
      <c r="K1244" s="2" t="n"/>
      <c r="L1244" s="5" t="n"/>
      <c r="M1244" s="19">
        <f>資金模擬!$B$5*V1243</f>
        <v/>
      </c>
      <c r="N1244" s="2">
        <f>IF(Z1243=1,"已停止",IF(T1243&gt;=M1244,"已下單","資金不足略過"))</f>
        <v/>
      </c>
      <c r="O1244" s="19">
        <f>IF(N1244="已下單",M1244*資金模擬!$B$7,0)</f>
        <v/>
      </c>
      <c r="P1244" s="4" t="n"/>
      <c r="Q1244" s="13" t="n">
        <v>0</v>
      </c>
      <c r="R1244" s="13">
        <f>R1243+Q1244</f>
        <v/>
      </c>
      <c r="S1244" s="19">
        <f>S1243+IF(N1244="已下單",M1244,0)</f>
        <v/>
      </c>
      <c r="T1244" s="19">
        <f>R1244-S1244</f>
        <v/>
      </c>
      <c r="U1244" s="2">
        <f>U1243+IF(N1244="已下單",1,0)</f>
        <v/>
      </c>
      <c r="V1244" s="19">
        <f>IF(資金模擬!$B$9=2,MAX(R1244,0),MAX(V1243,FLOOR(MAX(R1244,0),資金模擬!$B$6)))</f>
        <v/>
      </c>
      <c r="W1244" s="13">
        <f>MAX(W1243,R1244)</f>
        <v/>
      </c>
      <c r="X1244" s="4">
        <f>IF(W1244&gt;0,R1244/W1244-1,-1)</f>
        <v/>
      </c>
      <c r="Y1244" s="19">
        <f>IF(R1244&gt;0,S1244*資金模擬!$B$7/R1244,0)</f>
        <v/>
      </c>
      <c r="Z1244" s="2">
        <f>IF(OR(Z1243=1,R1244&lt;=資金模擬!$B$10),1,0)</f>
        <v/>
      </c>
    </row>
    <row r="1245">
      <c r="A1245" s="2" t="n">
        <v>1243</v>
      </c>
      <c r="B1245" s="7" t="n">
        <v>46297.16666666666</v>
      </c>
      <c r="C1245" s="2" t="inlineStr">
        <is>
          <t>進場</t>
        </is>
      </c>
      <c r="D1245" s="2" t="n">
        <v>625</v>
      </c>
      <c r="E1245" s="2" t="inlineStr">
        <is>
          <t>PUMP_USDT_PERP</t>
        </is>
      </c>
      <c r="F1245" s="2" t="inlineStr">
        <is>
          <t>做多</t>
        </is>
      </c>
      <c r="G1245" s="20" t="n">
        <v>0.005866</v>
      </c>
      <c r="H1245" s="20" t="n">
        <v>0.00604198</v>
      </c>
      <c r="I1245" s="20" t="n">
        <v>0.005572699999999999</v>
      </c>
      <c r="J1245" s="20" t="n"/>
      <c r="K1245" s="2" t="n"/>
      <c r="L1245" s="5" t="n"/>
      <c r="M1245" s="19">
        <f>資金模擬!$B$5*V1244</f>
        <v/>
      </c>
      <c r="N1245" s="2">
        <f>IF(Z1244=1,"已停止",IF(T1244&gt;=M1245,"已下單","資金不足略過"))</f>
        <v/>
      </c>
      <c r="O1245" s="19">
        <f>IF(N1245="已下單",M1245*資金模擬!$B$7,0)</f>
        <v/>
      </c>
      <c r="P1245" s="4" t="n"/>
      <c r="Q1245" s="13" t="n">
        <v>0</v>
      </c>
      <c r="R1245" s="13">
        <f>R1244+Q1245</f>
        <v/>
      </c>
      <c r="S1245" s="19">
        <f>S1244+IF(N1245="已下單",M1245,0)</f>
        <v/>
      </c>
      <c r="T1245" s="19">
        <f>R1245-S1245</f>
        <v/>
      </c>
      <c r="U1245" s="2">
        <f>U1244+IF(N1245="已下單",1,0)</f>
        <v/>
      </c>
      <c r="V1245" s="19">
        <f>IF(資金模擬!$B$9=2,MAX(R1245,0),MAX(V1244,FLOOR(MAX(R1245,0),資金模擬!$B$6)))</f>
        <v/>
      </c>
      <c r="W1245" s="13">
        <f>MAX(W1244,R1245)</f>
        <v/>
      </c>
      <c r="X1245" s="4">
        <f>IF(W1245&gt;0,R1245/W1245-1,-1)</f>
        <v/>
      </c>
      <c r="Y1245" s="19">
        <f>IF(R1245&gt;0,S1245*資金模擬!$B$7/R1245,0)</f>
        <v/>
      </c>
      <c r="Z1245" s="2">
        <f>IF(OR(Z1244=1,R1245&lt;=資金模擬!$B$10),1,0)</f>
        <v/>
      </c>
    </row>
    <row r="1246">
      <c r="A1246" s="2" t="n">
        <v>1244</v>
      </c>
      <c r="B1246" s="7" t="n">
        <v>46297.25</v>
      </c>
      <c r="C1246" s="2" t="inlineStr">
        <is>
          <t>出場</t>
        </is>
      </c>
      <c r="D1246" s="2" t="n">
        <v>608</v>
      </c>
      <c r="E1246" s="2" t="inlineStr">
        <is>
          <t>LIT_USDT_PERP</t>
        </is>
      </c>
      <c r="F1246" s="2" t="inlineStr">
        <is>
          <t>做多</t>
        </is>
      </c>
      <c r="G1246" s="20" t="n">
        <v>4.002</v>
      </c>
      <c r="H1246" s="20" t="n">
        <v>4.12206</v>
      </c>
      <c r="I1246" s="20" t="n">
        <v>3.801899999999999</v>
      </c>
      <c r="J1246" s="20" t="n">
        <v>3.801899999999999</v>
      </c>
      <c r="K1246" s="2" t="inlineStr">
        <is>
          <t>止損</t>
        </is>
      </c>
      <c r="L1246" s="5">
        <f>交易明細!K609</f>
        <v/>
      </c>
      <c r="M1246" s="19">
        <f>M1215</f>
        <v/>
      </c>
      <c r="N1246" s="2">
        <f>N1215</f>
        <v/>
      </c>
      <c r="O1246" s="19">
        <f>O1215</f>
        <v/>
      </c>
      <c r="P1246" s="4">
        <f>交易明細!L609</f>
        <v/>
      </c>
      <c r="Q1246" s="13">
        <f>IF(N1246="已下單",O1246*P1246,0)</f>
        <v/>
      </c>
      <c r="R1246" s="13">
        <f>R1245+Q1246</f>
        <v/>
      </c>
      <c r="S1246" s="19">
        <f>S1245-IF(N1246="已下單",M1246,0)</f>
        <v/>
      </c>
      <c r="T1246" s="19">
        <f>R1246-S1246</f>
        <v/>
      </c>
      <c r="U1246" s="2">
        <f>U1245-IF(N1246="已下單",1,0)</f>
        <v/>
      </c>
      <c r="V1246" s="19">
        <f>IF(資金模擬!$B$9=2,MAX(R1246,0),MAX(V1245,FLOOR(MAX(R1246,0),資金模擬!$B$6)))</f>
        <v/>
      </c>
      <c r="W1246" s="13">
        <f>MAX(W1245,R1246)</f>
        <v/>
      </c>
      <c r="X1246" s="4">
        <f>IF(W1246&gt;0,R1246/W1246-1,-1)</f>
        <v/>
      </c>
      <c r="Y1246" s="19">
        <f>IF(R1246&gt;0,S1246*資金模擬!$B$7/R1246,0)</f>
        <v/>
      </c>
      <c r="Z1246" s="2">
        <f>IF(OR(Z1245=1,R1246&lt;=資金模擬!$B$10),1,0)</f>
        <v/>
      </c>
    </row>
    <row r="1247">
      <c r="A1247" s="2" t="n">
        <v>1245</v>
      </c>
      <c r="B1247" s="7" t="n">
        <v>46297.25</v>
      </c>
      <c r="C1247" s="2" t="inlineStr">
        <is>
          <t>出場</t>
        </is>
      </c>
      <c r="D1247" s="2" t="n">
        <v>619</v>
      </c>
      <c r="E1247" s="2" t="inlineStr">
        <is>
          <t>ENA_USDT_PERP</t>
        </is>
      </c>
      <c r="F1247" s="2" t="inlineStr">
        <is>
          <t>做空</t>
        </is>
      </c>
      <c r="G1247" s="20" t="n">
        <v>0.2507</v>
      </c>
      <c r="H1247" s="20" t="n">
        <v>0.243179</v>
      </c>
      <c r="I1247" s="20" t="n">
        <v>0.263235</v>
      </c>
      <c r="J1247" s="20" t="n">
        <v>0.243179</v>
      </c>
      <c r="K1247" s="2" t="inlineStr">
        <is>
          <t>止盈</t>
        </is>
      </c>
      <c r="L1247" s="5">
        <f>交易明細!K620</f>
        <v/>
      </c>
      <c r="M1247" s="19">
        <f>M1236</f>
        <v/>
      </c>
      <c r="N1247" s="2">
        <f>N1236</f>
        <v/>
      </c>
      <c r="O1247" s="19">
        <f>O1236</f>
        <v/>
      </c>
      <c r="P1247" s="4">
        <f>交易明細!L620</f>
        <v/>
      </c>
      <c r="Q1247" s="13">
        <f>IF(N1247="已下單",O1247*P1247,0)</f>
        <v/>
      </c>
      <c r="R1247" s="13">
        <f>R1246+Q1247</f>
        <v/>
      </c>
      <c r="S1247" s="19">
        <f>S1246-IF(N1247="已下單",M1247,0)</f>
        <v/>
      </c>
      <c r="T1247" s="19">
        <f>R1247-S1247</f>
        <v/>
      </c>
      <c r="U1247" s="2">
        <f>U1246-IF(N1247="已下單",1,0)</f>
        <v/>
      </c>
      <c r="V1247" s="19">
        <f>IF(資金模擬!$B$9=2,MAX(R1247,0),MAX(V1246,FLOOR(MAX(R1247,0),資金模擬!$B$6)))</f>
        <v/>
      </c>
      <c r="W1247" s="13">
        <f>MAX(W1246,R1247)</f>
        <v/>
      </c>
      <c r="X1247" s="4">
        <f>IF(W1247&gt;0,R1247/W1247-1,-1)</f>
        <v/>
      </c>
      <c r="Y1247" s="19">
        <f>IF(R1247&gt;0,S1247*資金模擬!$B$7/R1247,0)</f>
        <v/>
      </c>
      <c r="Z1247" s="2">
        <f>IF(OR(Z1246=1,R1247&lt;=資金模擬!$B$10),1,0)</f>
        <v/>
      </c>
    </row>
    <row r="1248">
      <c r="A1248" s="2" t="n">
        <v>1246</v>
      </c>
      <c r="B1248" s="7" t="n">
        <v>46297.41666666666</v>
      </c>
      <c r="C1248" s="2" t="inlineStr">
        <is>
          <t>進場</t>
        </is>
      </c>
      <c r="D1248" s="2" t="n">
        <v>626</v>
      </c>
      <c r="E1248" s="2" t="inlineStr">
        <is>
          <t>SOON_USDT_PERP</t>
        </is>
      </c>
      <c r="F1248" s="2" t="inlineStr">
        <is>
          <t>做空</t>
        </is>
      </c>
      <c r="G1248" s="20" t="n">
        <v>0.4203</v>
      </c>
      <c r="H1248" s="20" t="n">
        <v>0.407691</v>
      </c>
      <c r="I1248" s="20" t="n">
        <v>0.441315</v>
      </c>
      <c r="J1248" s="20" t="n"/>
      <c r="K1248" s="2" t="n"/>
      <c r="L1248" s="5" t="n"/>
      <c r="M1248" s="19">
        <f>資金模擬!$B$5*V1247</f>
        <v/>
      </c>
      <c r="N1248" s="2">
        <f>IF(Z1247=1,"已停止",IF(T1247&gt;=M1248,"已下單","資金不足略過"))</f>
        <v/>
      </c>
      <c r="O1248" s="19">
        <f>IF(N1248="已下單",M1248*資金模擬!$B$7,0)</f>
        <v/>
      </c>
      <c r="P1248" s="4" t="n"/>
      <c r="Q1248" s="13" t="n">
        <v>0</v>
      </c>
      <c r="R1248" s="13">
        <f>R1247+Q1248</f>
        <v/>
      </c>
      <c r="S1248" s="19">
        <f>S1247+IF(N1248="已下單",M1248,0)</f>
        <v/>
      </c>
      <c r="T1248" s="19">
        <f>R1248-S1248</f>
        <v/>
      </c>
      <c r="U1248" s="2">
        <f>U1247+IF(N1248="已下單",1,0)</f>
        <v/>
      </c>
      <c r="V1248" s="19">
        <f>IF(資金模擬!$B$9=2,MAX(R1248,0),MAX(V1247,FLOOR(MAX(R1248,0),資金模擬!$B$6)))</f>
        <v/>
      </c>
      <c r="W1248" s="13">
        <f>MAX(W1247,R1248)</f>
        <v/>
      </c>
      <c r="X1248" s="4">
        <f>IF(W1248&gt;0,R1248/W1248-1,-1)</f>
        <v/>
      </c>
      <c r="Y1248" s="19">
        <f>IF(R1248&gt;0,S1248*資金模擬!$B$7/R1248,0)</f>
        <v/>
      </c>
      <c r="Z1248" s="2">
        <f>IF(OR(Z1247=1,R1248&lt;=資金模擬!$B$10),1,0)</f>
        <v/>
      </c>
    </row>
    <row r="1249">
      <c r="A1249" s="2" t="n">
        <v>1247</v>
      </c>
      <c r="B1249" s="7" t="n">
        <v>46297.54166666666</v>
      </c>
      <c r="C1249" s="2" t="inlineStr">
        <is>
          <t>出場</t>
        </is>
      </c>
      <c r="D1249" s="2" t="n">
        <v>623</v>
      </c>
      <c r="E1249" s="2" t="inlineStr">
        <is>
          <t>FET_USDT_PERP</t>
        </is>
      </c>
      <c r="F1249" s="2" t="inlineStr">
        <is>
          <t>做多</t>
        </is>
      </c>
      <c r="G1249" s="20" t="n">
        <v>0.2334</v>
      </c>
      <c r="H1249" s="20" t="n">
        <v>0.240402</v>
      </c>
      <c r="I1249" s="20" t="n">
        <v>0.22173</v>
      </c>
      <c r="J1249" s="20" t="n">
        <v>0.240402</v>
      </c>
      <c r="K1249" s="2" t="inlineStr">
        <is>
          <t>止盈</t>
        </is>
      </c>
      <c r="L1249" s="5">
        <f>交易明細!K624</f>
        <v/>
      </c>
      <c r="M1249" s="19">
        <f>M1243</f>
        <v/>
      </c>
      <c r="N1249" s="2">
        <f>N1243</f>
        <v/>
      </c>
      <c r="O1249" s="19">
        <f>O1243</f>
        <v/>
      </c>
      <c r="P1249" s="4">
        <f>交易明細!L624</f>
        <v/>
      </c>
      <c r="Q1249" s="13">
        <f>IF(N1249="已下單",O1249*P1249,0)</f>
        <v/>
      </c>
      <c r="R1249" s="13">
        <f>R1248+Q1249</f>
        <v/>
      </c>
      <c r="S1249" s="19">
        <f>S1248-IF(N1249="已下單",M1249,0)</f>
        <v/>
      </c>
      <c r="T1249" s="19">
        <f>R1249-S1249</f>
        <v/>
      </c>
      <c r="U1249" s="2">
        <f>U1248-IF(N1249="已下單",1,0)</f>
        <v/>
      </c>
      <c r="V1249" s="19">
        <f>IF(資金模擬!$B$9=2,MAX(R1249,0),MAX(V1248,FLOOR(MAX(R1249,0),資金模擬!$B$6)))</f>
        <v/>
      </c>
      <c r="W1249" s="13">
        <f>MAX(W1248,R1249)</f>
        <v/>
      </c>
      <c r="X1249" s="4">
        <f>IF(W1249&gt;0,R1249/W1249-1,-1)</f>
        <v/>
      </c>
      <c r="Y1249" s="19">
        <f>IF(R1249&gt;0,S1249*資金模擬!$B$7/R1249,0)</f>
        <v/>
      </c>
      <c r="Z1249" s="2">
        <f>IF(OR(Z1248=1,R1249&lt;=資金模擬!$B$10),1,0)</f>
        <v/>
      </c>
    </row>
    <row r="1250">
      <c r="A1250" s="2" t="n">
        <v>1248</v>
      </c>
      <c r="B1250" s="7" t="n">
        <v>46297.54166666666</v>
      </c>
      <c r="C1250" s="2" t="inlineStr">
        <is>
          <t>進場</t>
        </is>
      </c>
      <c r="D1250" s="2" t="n">
        <v>627</v>
      </c>
      <c r="E1250" s="2" t="inlineStr">
        <is>
          <t>BTW_USDT_PERP</t>
        </is>
      </c>
      <c r="F1250" s="2" t="inlineStr">
        <is>
          <t>做多</t>
        </is>
      </c>
      <c r="G1250" s="20" t="n">
        <v>1.478098</v>
      </c>
      <c r="H1250" s="20" t="n">
        <v>1.52244094</v>
      </c>
      <c r="I1250" s="20" t="n">
        <v>1.4041931</v>
      </c>
      <c r="J1250" s="20" t="n"/>
      <c r="K1250" s="2" t="n"/>
      <c r="L1250" s="5" t="n"/>
      <c r="M1250" s="19">
        <f>資金模擬!$B$5*V1249</f>
        <v/>
      </c>
      <c r="N1250" s="2">
        <f>IF(Z1249=1,"已停止",IF(T1249&gt;=M1250,"已下單","資金不足略過"))</f>
        <v/>
      </c>
      <c r="O1250" s="19">
        <f>IF(N1250="已下單",M1250*資金模擬!$B$7,0)</f>
        <v/>
      </c>
      <c r="P1250" s="4" t="n"/>
      <c r="Q1250" s="13" t="n">
        <v>0</v>
      </c>
      <c r="R1250" s="13">
        <f>R1249+Q1250</f>
        <v/>
      </c>
      <c r="S1250" s="19">
        <f>S1249+IF(N1250="已下單",M1250,0)</f>
        <v/>
      </c>
      <c r="T1250" s="19">
        <f>R1250-S1250</f>
        <v/>
      </c>
      <c r="U1250" s="2">
        <f>U1249+IF(N1250="已下單",1,0)</f>
        <v/>
      </c>
      <c r="V1250" s="19">
        <f>IF(資金模擬!$B$9=2,MAX(R1250,0),MAX(V1249,FLOOR(MAX(R1250,0),資金模擬!$B$6)))</f>
        <v/>
      </c>
      <c r="W1250" s="13">
        <f>MAX(W1249,R1250)</f>
        <v/>
      </c>
      <c r="X1250" s="4">
        <f>IF(W1250&gt;0,R1250/W1250-1,-1)</f>
        <v/>
      </c>
      <c r="Y1250" s="19">
        <f>IF(R1250&gt;0,S1250*資金模擬!$B$7/R1250,0)</f>
        <v/>
      </c>
      <c r="Z1250" s="2">
        <f>IF(OR(Z1249=1,R1250&lt;=資金模擬!$B$10),1,0)</f>
        <v/>
      </c>
    </row>
    <row r="1251">
      <c r="A1251" s="2" t="n">
        <v>1249</v>
      </c>
      <c r="B1251" s="7" t="n">
        <v>46297.54166666666</v>
      </c>
      <c r="C1251" s="2" t="inlineStr">
        <is>
          <t>進場</t>
        </is>
      </c>
      <c r="D1251" s="2" t="n">
        <v>628</v>
      </c>
      <c r="E1251" s="2" t="inlineStr">
        <is>
          <t>GRASS_USDT_PERP</t>
        </is>
      </c>
      <c r="F1251" s="2" t="inlineStr">
        <is>
          <t>做多</t>
        </is>
      </c>
      <c r="G1251" s="20" t="n">
        <v>0.7277</v>
      </c>
      <c r="H1251" s="20" t="n">
        <v>0.7495310000000001</v>
      </c>
      <c r="I1251" s="20" t="n">
        <v>0.691315</v>
      </c>
      <c r="J1251" s="20" t="n"/>
      <c r="K1251" s="2" t="n"/>
      <c r="L1251" s="5" t="n"/>
      <c r="M1251" s="19">
        <f>資金模擬!$B$5*V1250</f>
        <v/>
      </c>
      <c r="N1251" s="2">
        <f>IF(Z1250=1,"已停止",IF(T1250&gt;=M1251,"已下單","資金不足略過"))</f>
        <v/>
      </c>
      <c r="O1251" s="19">
        <f>IF(N1251="已下單",M1251*資金模擬!$B$7,0)</f>
        <v/>
      </c>
      <c r="P1251" s="4" t="n"/>
      <c r="Q1251" s="13" t="n">
        <v>0</v>
      </c>
      <c r="R1251" s="13">
        <f>R1250+Q1251</f>
        <v/>
      </c>
      <c r="S1251" s="19">
        <f>S1250+IF(N1251="已下單",M1251,0)</f>
        <v/>
      </c>
      <c r="T1251" s="19">
        <f>R1251-S1251</f>
        <v/>
      </c>
      <c r="U1251" s="2">
        <f>U1250+IF(N1251="已下單",1,0)</f>
        <v/>
      </c>
      <c r="V1251" s="19">
        <f>IF(資金模擬!$B$9=2,MAX(R1251,0),MAX(V1250,FLOOR(MAX(R1251,0),資金模擬!$B$6)))</f>
        <v/>
      </c>
      <c r="W1251" s="13">
        <f>MAX(W1250,R1251)</f>
        <v/>
      </c>
      <c r="X1251" s="4">
        <f>IF(W1251&gt;0,R1251/W1251-1,-1)</f>
        <v/>
      </c>
      <c r="Y1251" s="19">
        <f>IF(R1251&gt;0,S1251*資金模擬!$B$7/R1251,0)</f>
        <v/>
      </c>
      <c r="Z1251" s="2">
        <f>IF(OR(Z1250=1,R1251&lt;=資金模擬!$B$10),1,0)</f>
        <v/>
      </c>
    </row>
    <row r="1252">
      <c r="A1252" s="2" t="n">
        <v>1250</v>
      </c>
      <c r="B1252" s="7" t="n">
        <v>46297.58333333334</v>
      </c>
      <c r="C1252" s="2" t="inlineStr">
        <is>
          <t>進場</t>
        </is>
      </c>
      <c r="D1252" s="2" t="n">
        <v>629</v>
      </c>
      <c r="E1252" s="2" t="inlineStr">
        <is>
          <t>QNT_USDT_PERP</t>
        </is>
      </c>
      <c r="F1252" s="2" t="inlineStr">
        <is>
          <t>做空</t>
        </is>
      </c>
      <c r="G1252" s="20" t="n">
        <v>246.02</v>
      </c>
      <c r="H1252" s="20" t="n">
        <v>238.6394</v>
      </c>
      <c r="I1252" s="20" t="n">
        <v>258.321</v>
      </c>
      <c r="J1252" s="20" t="n"/>
      <c r="K1252" s="2" t="n"/>
      <c r="L1252" s="5" t="n"/>
      <c r="M1252" s="19">
        <f>資金模擬!$B$5*V1251</f>
        <v/>
      </c>
      <c r="N1252" s="2">
        <f>IF(Z1251=1,"已停止",IF(T1251&gt;=M1252,"已下單","資金不足略過"))</f>
        <v/>
      </c>
      <c r="O1252" s="19">
        <f>IF(N1252="已下單",M1252*資金模擬!$B$7,0)</f>
        <v/>
      </c>
      <c r="P1252" s="4" t="n"/>
      <c r="Q1252" s="13" t="n">
        <v>0</v>
      </c>
      <c r="R1252" s="13">
        <f>R1251+Q1252</f>
        <v/>
      </c>
      <c r="S1252" s="19">
        <f>S1251+IF(N1252="已下單",M1252,0)</f>
        <v/>
      </c>
      <c r="T1252" s="19">
        <f>R1252-S1252</f>
        <v/>
      </c>
      <c r="U1252" s="2">
        <f>U1251+IF(N1252="已下單",1,0)</f>
        <v/>
      </c>
      <c r="V1252" s="19">
        <f>IF(資金模擬!$B$9=2,MAX(R1252,0),MAX(V1251,FLOOR(MAX(R1252,0),資金模擬!$B$6)))</f>
        <v/>
      </c>
      <c r="W1252" s="13">
        <f>MAX(W1251,R1252)</f>
        <v/>
      </c>
      <c r="X1252" s="4">
        <f>IF(W1252&gt;0,R1252/W1252-1,-1)</f>
        <v/>
      </c>
      <c r="Y1252" s="19">
        <f>IF(R1252&gt;0,S1252*資金模擬!$B$7/R1252,0)</f>
        <v/>
      </c>
      <c r="Z1252" s="2">
        <f>IF(OR(Z1251=1,R1252&lt;=資金模擬!$B$10),1,0)</f>
        <v/>
      </c>
    </row>
    <row r="1253">
      <c r="A1253" s="2" t="n">
        <v>1251</v>
      </c>
      <c r="B1253" s="7" t="n">
        <v>46297.625</v>
      </c>
      <c r="C1253" s="2" t="inlineStr">
        <is>
          <t>出場</t>
        </is>
      </c>
      <c r="D1253" s="2" t="n">
        <v>629</v>
      </c>
      <c r="E1253" s="2" t="inlineStr">
        <is>
          <t>QNT_USDT_PERP</t>
        </is>
      </c>
      <c r="F1253" s="2" t="inlineStr">
        <is>
          <t>做空</t>
        </is>
      </c>
      <c r="G1253" s="20" t="n">
        <v>246.02</v>
      </c>
      <c r="H1253" s="20" t="n">
        <v>238.6394</v>
      </c>
      <c r="I1253" s="20" t="n">
        <v>258.321</v>
      </c>
      <c r="J1253" s="20" t="n">
        <v>238.6394</v>
      </c>
      <c r="K1253" s="2" t="inlineStr">
        <is>
          <t>止盈</t>
        </is>
      </c>
      <c r="L1253" s="5">
        <f>交易明細!K630</f>
        <v/>
      </c>
      <c r="M1253" s="19">
        <f>M1252</f>
        <v/>
      </c>
      <c r="N1253" s="2">
        <f>N1252</f>
        <v/>
      </c>
      <c r="O1253" s="19">
        <f>O1252</f>
        <v/>
      </c>
      <c r="P1253" s="4">
        <f>交易明細!L630</f>
        <v/>
      </c>
      <c r="Q1253" s="13">
        <f>IF(N1253="已下單",O1253*P1253,0)</f>
        <v/>
      </c>
      <c r="R1253" s="13">
        <f>R1252+Q1253</f>
        <v/>
      </c>
      <c r="S1253" s="19">
        <f>S1252-IF(N1253="已下單",M1253,0)</f>
        <v/>
      </c>
      <c r="T1253" s="19">
        <f>R1253-S1253</f>
        <v/>
      </c>
      <c r="U1253" s="2">
        <f>U1252-IF(N1253="已下單",1,0)</f>
        <v/>
      </c>
      <c r="V1253" s="19">
        <f>IF(資金模擬!$B$9=2,MAX(R1253,0),MAX(V1252,FLOOR(MAX(R1253,0),資金模擬!$B$6)))</f>
        <v/>
      </c>
      <c r="W1253" s="13">
        <f>MAX(W1252,R1253)</f>
        <v/>
      </c>
      <c r="X1253" s="4">
        <f>IF(W1253&gt;0,R1253/W1253-1,-1)</f>
        <v/>
      </c>
      <c r="Y1253" s="19">
        <f>IF(R1253&gt;0,S1253*資金模擬!$B$7/R1253,0)</f>
        <v/>
      </c>
      <c r="Z1253" s="2">
        <f>IF(OR(Z1252=1,R1253&lt;=資金模擬!$B$10),1,0)</f>
        <v/>
      </c>
    </row>
    <row r="1254">
      <c r="A1254" s="2" t="n">
        <v>1252</v>
      </c>
      <c r="B1254" s="7" t="n">
        <v>46297.66666666666</v>
      </c>
      <c r="C1254" s="2" t="inlineStr">
        <is>
          <t>出場</t>
        </is>
      </c>
      <c r="D1254" s="2" t="n">
        <v>625</v>
      </c>
      <c r="E1254" s="2" t="inlineStr">
        <is>
          <t>PUMP_USDT_PERP</t>
        </is>
      </c>
      <c r="F1254" s="2" t="inlineStr">
        <is>
          <t>做多</t>
        </is>
      </c>
      <c r="G1254" s="20" t="n">
        <v>0.005866</v>
      </c>
      <c r="H1254" s="20" t="n">
        <v>0.00604198</v>
      </c>
      <c r="I1254" s="20" t="n">
        <v>0.005572699999999999</v>
      </c>
      <c r="J1254" s="20" t="n">
        <v>0.00604198</v>
      </c>
      <c r="K1254" s="2" t="inlineStr">
        <is>
          <t>止盈</t>
        </is>
      </c>
      <c r="L1254" s="5">
        <f>交易明細!K626</f>
        <v/>
      </c>
      <c r="M1254" s="19">
        <f>M1245</f>
        <v/>
      </c>
      <c r="N1254" s="2">
        <f>N1245</f>
        <v/>
      </c>
      <c r="O1254" s="19">
        <f>O1245</f>
        <v/>
      </c>
      <c r="P1254" s="4">
        <f>交易明細!L626</f>
        <v/>
      </c>
      <c r="Q1254" s="13">
        <f>IF(N1254="已下單",O1254*P1254,0)</f>
        <v/>
      </c>
      <c r="R1254" s="13">
        <f>R1253+Q1254</f>
        <v/>
      </c>
      <c r="S1254" s="19">
        <f>S1253-IF(N1254="已下單",M1254,0)</f>
        <v/>
      </c>
      <c r="T1254" s="19">
        <f>R1254-S1254</f>
        <v/>
      </c>
      <c r="U1254" s="2">
        <f>U1253-IF(N1254="已下單",1,0)</f>
        <v/>
      </c>
      <c r="V1254" s="19">
        <f>IF(資金模擬!$B$9=2,MAX(R1254,0),MAX(V1253,FLOOR(MAX(R1254,0),資金模擬!$B$6)))</f>
        <v/>
      </c>
      <c r="W1254" s="13">
        <f>MAX(W1253,R1254)</f>
        <v/>
      </c>
      <c r="X1254" s="4">
        <f>IF(W1254&gt;0,R1254/W1254-1,-1)</f>
        <v/>
      </c>
      <c r="Y1254" s="19">
        <f>IF(R1254&gt;0,S1254*資金模擬!$B$7/R1254,0)</f>
        <v/>
      </c>
      <c r="Z1254" s="2">
        <f>IF(OR(Z1253=1,R1254&lt;=資金模擬!$B$10),1,0)</f>
        <v/>
      </c>
    </row>
    <row r="1255">
      <c r="A1255" s="2" t="n">
        <v>1253</v>
      </c>
      <c r="B1255" s="7" t="n">
        <v>46297.66666666666</v>
      </c>
      <c r="C1255" s="2" t="inlineStr">
        <is>
          <t>出場</t>
        </is>
      </c>
      <c r="D1255" s="2" t="n">
        <v>626</v>
      </c>
      <c r="E1255" s="2" t="inlineStr">
        <is>
          <t>SOON_USDT_PERP</t>
        </is>
      </c>
      <c r="F1255" s="2" t="inlineStr">
        <is>
          <t>做空</t>
        </is>
      </c>
      <c r="G1255" s="20" t="n">
        <v>0.4203</v>
      </c>
      <c r="H1255" s="20" t="n">
        <v>0.407691</v>
      </c>
      <c r="I1255" s="20" t="n">
        <v>0.441315</v>
      </c>
      <c r="J1255" s="20" t="n">
        <v>0.407691</v>
      </c>
      <c r="K1255" s="2" t="inlineStr">
        <is>
          <t>止盈</t>
        </is>
      </c>
      <c r="L1255" s="5">
        <f>交易明細!K627</f>
        <v/>
      </c>
      <c r="M1255" s="19">
        <f>M1248</f>
        <v/>
      </c>
      <c r="N1255" s="2">
        <f>N1248</f>
        <v/>
      </c>
      <c r="O1255" s="19">
        <f>O1248</f>
        <v/>
      </c>
      <c r="P1255" s="4">
        <f>交易明細!L627</f>
        <v/>
      </c>
      <c r="Q1255" s="13">
        <f>IF(N1255="已下單",O1255*P1255,0)</f>
        <v/>
      </c>
      <c r="R1255" s="13">
        <f>R1254+Q1255</f>
        <v/>
      </c>
      <c r="S1255" s="19">
        <f>S1254-IF(N1255="已下單",M1255,0)</f>
        <v/>
      </c>
      <c r="T1255" s="19">
        <f>R1255-S1255</f>
        <v/>
      </c>
      <c r="U1255" s="2">
        <f>U1254-IF(N1255="已下單",1,0)</f>
        <v/>
      </c>
      <c r="V1255" s="19">
        <f>IF(資金模擬!$B$9=2,MAX(R1255,0),MAX(V1254,FLOOR(MAX(R1255,0),資金模擬!$B$6)))</f>
        <v/>
      </c>
      <c r="W1255" s="13">
        <f>MAX(W1254,R1255)</f>
        <v/>
      </c>
      <c r="X1255" s="4">
        <f>IF(W1255&gt;0,R1255/W1255-1,-1)</f>
        <v/>
      </c>
      <c r="Y1255" s="19">
        <f>IF(R1255&gt;0,S1255*資金模擬!$B$7/R1255,0)</f>
        <v/>
      </c>
      <c r="Z1255" s="2">
        <f>IF(OR(Z1254=1,R1255&lt;=資金模擬!$B$10),1,0)</f>
        <v/>
      </c>
    </row>
    <row r="1256">
      <c r="A1256" s="2" t="n">
        <v>1254</v>
      </c>
      <c r="B1256" s="7" t="n">
        <v>46297.75</v>
      </c>
      <c r="C1256" s="2" t="inlineStr">
        <is>
          <t>進場</t>
        </is>
      </c>
      <c r="D1256" s="2" t="n">
        <v>630</v>
      </c>
      <c r="E1256" s="2" t="inlineStr">
        <is>
          <t>AKE_USDT_PERP</t>
        </is>
      </c>
      <c r="F1256" s="2" t="inlineStr">
        <is>
          <t>做多</t>
        </is>
      </c>
      <c r="G1256" s="20" t="n">
        <v>0.0322171</v>
      </c>
      <c r="H1256" s="20" t="n">
        <v>0.033183613</v>
      </c>
      <c r="I1256" s="20" t="n">
        <v>0.030606245</v>
      </c>
      <c r="J1256" s="20" t="n"/>
      <c r="K1256" s="2" t="n"/>
      <c r="L1256" s="5" t="n"/>
      <c r="M1256" s="19">
        <f>資金模擬!$B$5*V1255</f>
        <v/>
      </c>
      <c r="N1256" s="2">
        <f>IF(Z1255=1,"已停止",IF(T1255&gt;=M1256,"已下單","資金不足略過"))</f>
        <v/>
      </c>
      <c r="O1256" s="19">
        <f>IF(N1256="已下單",M1256*資金模擬!$B$7,0)</f>
        <v/>
      </c>
      <c r="P1256" s="4" t="n"/>
      <c r="Q1256" s="13" t="n">
        <v>0</v>
      </c>
      <c r="R1256" s="13">
        <f>R1255+Q1256</f>
        <v/>
      </c>
      <c r="S1256" s="19">
        <f>S1255+IF(N1256="已下單",M1256,0)</f>
        <v/>
      </c>
      <c r="T1256" s="19">
        <f>R1256-S1256</f>
        <v/>
      </c>
      <c r="U1256" s="2">
        <f>U1255+IF(N1256="已下單",1,0)</f>
        <v/>
      </c>
      <c r="V1256" s="19">
        <f>IF(資金模擬!$B$9=2,MAX(R1256,0),MAX(V1255,FLOOR(MAX(R1256,0),資金模擬!$B$6)))</f>
        <v/>
      </c>
      <c r="W1256" s="13">
        <f>MAX(W1255,R1256)</f>
        <v/>
      </c>
      <c r="X1256" s="4">
        <f>IF(W1256&gt;0,R1256/W1256-1,-1)</f>
        <v/>
      </c>
      <c r="Y1256" s="19">
        <f>IF(R1256&gt;0,S1256*資金模擬!$B$7/R1256,0)</f>
        <v/>
      </c>
      <c r="Z1256" s="2">
        <f>IF(OR(Z1255=1,R1256&lt;=資金模擬!$B$10),1,0)</f>
        <v/>
      </c>
    </row>
    <row r="1257">
      <c r="A1257" s="2" t="n">
        <v>1255</v>
      </c>
      <c r="B1257" s="7" t="n">
        <v>46297.79166666666</v>
      </c>
      <c r="C1257" s="2" t="inlineStr">
        <is>
          <t>出場</t>
        </is>
      </c>
      <c r="D1257" s="2" t="n">
        <v>628</v>
      </c>
      <c r="E1257" s="2" t="inlineStr">
        <is>
          <t>GRASS_USDT_PERP</t>
        </is>
      </c>
      <c r="F1257" s="2" t="inlineStr">
        <is>
          <t>做多</t>
        </is>
      </c>
      <c r="G1257" s="20" t="n">
        <v>0.7277</v>
      </c>
      <c r="H1257" s="20" t="n">
        <v>0.7495310000000001</v>
      </c>
      <c r="I1257" s="20" t="n">
        <v>0.691315</v>
      </c>
      <c r="J1257" s="20" t="n">
        <v>0.691315</v>
      </c>
      <c r="K1257" s="2" t="inlineStr">
        <is>
          <t>止損</t>
        </is>
      </c>
      <c r="L1257" s="5">
        <f>交易明細!K629</f>
        <v/>
      </c>
      <c r="M1257" s="19">
        <f>M1251</f>
        <v/>
      </c>
      <c r="N1257" s="2">
        <f>N1251</f>
        <v/>
      </c>
      <c r="O1257" s="19">
        <f>O1251</f>
        <v/>
      </c>
      <c r="P1257" s="4">
        <f>交易明細!L629</f>
        <v/>
      </c>
      <c r="Q1257" s="13">
        <f>IF(N1257="已下單",O1257*P1257,0)</f>
        <v/>
      </c>
      <c r="R1257" s="13">
        <f>R1256+Q1257</f>
        <v/>
      </c>
      <c r="S1257" s="19">
        <f>S1256-IF(N1257="已下單",M1257,0)</f>
        <v/>
      </c>
      <c r="T1257" s="19">
        <f>R1257-S1257</f>
        <v/>
      </c>
      <c r="U1257" s="2">
        <f>U1256-IF(N1257="已下單",1,0)</f>
        <v/>
      </c>
      <c r="V1257" s="19">
        <f>IF(資金模擬!$B$9=2,MAX(R1257,0),MAX(V1256,FLOOR(MAX(R1257,0),資金模擬!$B$6)))</f>
        <v/>
      </c>
      <c r="W1257" s="13">
        <f>MAX(W1256,R1257)</f>
        <v/>
      </c>
      <c r="X1257" s="4">
        <f>IF(W1257&gt;0,R1257/W1257-1,-1)</f>
        <v/>
      </c>
      <c r="Y1257" s="19">
        <f>IF(R1257&gt;0,S1257*資金模擬!$B$7/R1257,0)</f>
        <v/>
      </c>
      <c r="Z1257" s="2">
        <f>IF(OR(Z1256=1,R1257&lt;=資金模擬!$B$10),1,0)</f>
        <v/>
      </c>
    </row>
    <row r="1258">
      <c r="A1258" s="2" t="n">
        <v>1256</v>
      </c>
      <c r="B1258" s="7" t="n">
        <v>46297.83333333334</v>
      </c>
      <c r="C1258" s="2" t="inlineStr">
        <is>
          <t>出場</t>
        </is>
      </c>
      <c r="D1258" s="2" t="n">
        <v>614</v>
      </c>
      <c r="E1258" s="2" t="inlineStr">
        <is>
          <t>TRUMP_USDT_PERP</t>
        </is>
      </c>
      <c r="F1258" s="2" t="inlineStr">
        <is>
          <t>做空</t>
        </is>
      </c>
      <c r="G1258" s="20" t="n">
        <v>2.048</v>
      </c>
      <c r="H1258" s="20" t="n">
        <v>1.98656</v>
      </c>
      <c r="I1258" s="20" t="n">
        <v>2.1504</v>
      </c>
      <c r="J1258" s="20" t="n">
        <v>2.1504</v>
      </c>
      <c r="K1258" s="2" t="inlineStr">
        <is>
          <t>止損</t>
        </is>
      </c>
      <c r="L1258" s="5">
        <f>交易明細!K615</f>
        <v/>
      </c>
      <c r="M1258" s="19">
        <f>M1225</f>
        <v/>
      </c>
      <c r="N1258" s="2">
        <f>N1225</f>
        <v/>
      </c>
      <c r="O1258" s="19">
        <f>O1225</f>
        <v/>
      </c>
      <c r="P1258" s="4">
        <f>交易明細!L615</f>
        <v/>
      </c>
      <c r="Q1258" s="13">
        <f>IF(N1258="已下單",O1258*P1258,0)</f>
        <v/>
      </c>
      <c r="R1258" s="13">
        <f>R1257+Q1258</f>
        <v/>
      </c>
      <c r="S1258" s="19">
        <f>S1257-IF(N1258="已下單",M1258,0)</f>
        <v/>
      </c>
      <c r="T1258" s="19">
        <f>R1258-S1258</f>
        <v/>
      </c>
      <c r="U1258" s="2">
        <f>U1257-IF(N1258="已下單",1,0)</f>
        <v/>
      </c>
      <c r="V1258" s="19">
        <f>IF(資金模擬!$B$9=2,MAX(R1258,0),MAX(V1257,FLOOR(MAX(R1258,0),資金模擬!$B$6)))</f>
        <v/>
      </c>
      <c r="W1258" s="13">
        <f>MAX(W1257,R1258)</f>
        <v/>
      </c>
      <c r="X1258" s="4">
        <f>IF(W1258&gt;0,R1258/W1258-1,-1)</f>
        <v/>
      </c>
      <c r="Y1258" s="19">
        <f>IF(R1258&gt;0,S1258*資金模擬!$B$7/R1258,0)</f>
        <v/>
      </c>
      <c r="Z1258" s="2">
        <f>IF(OR(Z1257=1,R1258&lt;=資金模擬!$B$10),1,0)</f>
        <v/>
      </c>
    </row>
    <row r="1259">
      <c r="A1259" s="2" t="n">
        <v>1257</v>
      </c>
      <c r="B1259" s="7" t="n">
        <v>46297.83333333334</v>
      </c>
      <c r="C1259" s="2" t="inlineStr">
        <is>
          <t>出場</t>
        </is>
      </c>
      <c r="D1259" s="2" t="n">
        <v>627</v>
      </c>
      <c r="E1259" s="2" t="inlineStr">
        <is>
          <t>BTW_USDT_PERP</t>
        </is>
      </c>
      <c r="F1259" s="2" t="inlineStr">
        <is>
          <t>做多</t>
        </is>
      </c>
      <c r="G1259" s="20" t="n">
        <v>1.478098</v>
      </c>
      <c r="H1259" s="20" t="n">
        <v>1.52244094</v>
      </c>
      <c r="I1259" s="20" t="n">
        <v>1.4041931</v>
      </c>
      <c r="J1259" s="20" t="n">
        <v>1.4041931</v>
      </c>
      <c r="K1259" s="2" t="inlineStr">
        <is>
          <t>止損</t>
        </is>
      </c>
      <c r="L1259" s="5">
        <f>交易明細!K628</f>
        <v/>
      </c>
      <c r="M1259" s="19">
        <f>M1250</f>
        <v/>
      </c>
      <c r="N1259" s="2">
        <f>N1250</f>
        <v/>
      </c>
      <c r="O1259" s="19">
        <f>O1250</f>
        <v/>
      </c>
      <c r="P1259" s="4">
        <f>交易明細!L628</f>
        <v/>
      </c>
      <c r="Q1259" s="13">
        <f>IF(N1259="已下單",O1259*P1259,0)</f>
        <v/>
      </c>
      <c r="R1259" s="13">
        <f>R1258+Q1259</f>
        <v/>
      </c>
      <c r="S1259" s="19">
        <f>S1258-IF(N1259="已下單",M1259,0)</f>
        <v/>
      </c>
      <c r="T1259" s="19">
        <f>R1259-S1259</f>
        <v/>
      </c>
      <c r="U1259" s="2">
        <f>U1258-IF(N1259="已下單",1,0)</f>
        <v/>
      </c>
      <c r="V1259" s="19">
        <f>IF(資金模擬!$B$9=2,MAX(R1259,0),MAX(V1258,FLOOR(MAX(R1259,0),資金模擬!$B$6)))</f>
        <v/>
      </c>
      <c r="W1259" s="13">
        <f>MAX(W1258,R1259)</f>
        <v/>
      </c>
      <c r="X1259" s="4">
        <f>IF(W1259&gt;0,R1259/W1259-1,-1)</f>
        <v/>
      </c>
      <c r="Y1259" s="19">
        <f>IF(R1259&gt;0,S1259*資金模擬!$B$7/R1259,0)</f>
        <v/>
      </c>
      <c r="Z1259" s="2">
        <f>IF(OR(Z1258=1,R1259&lt;=資金模擬!$B$10),1,0)</f>
        <v/>
      </c>
    </row>
    <row r="1260">
      <c r="A1260" s="2" t="n">
        <v>1258</v>
      </c>
      <c r="B1260" s="7" t="n">
        <v>46297.91666666666</v>
      </c>
      <c r="C1260" s="2" t="inlineStr">
        <is>
          <t>出場</t>
        </is>
      </c>
      <c r="D1260" s="2" t="n">
        <v>622</v>
      </c>
      <c r="E1260" s="2" t="inlineStr">
        <is>
          <t>ZEC_USDT_PERP</t>
        </is>
      </c>
      <c r="F1260" s="2" t="inlineStr">
        <is>
          <t>做空</t>
        </is>
      </c>
      <c r="G1260" s="20" t="n">
        <v>1342.99</v>
      </c>
      <c r="H1260" s="20" t="n">
        <v>1302.7003</v>
      </c>
      <c r="I1260" s="20" t="n">
        <v>1410.1395</v>
      </c>
      <c r="J1260" s="20" t="n">
        <v>1410.1395</v>
      </c>
      <c r="K1260" s="2" t="inlineStr">
        <is>
          <t>止損</t>
        </is>
      </c>
      <c r="L1260" s="5">
        <f>交易明細!K623</f>
        <v/>
      </c>
      <c r="M1260" s="19">
        <f>M1239</f>
        <v/>
      </c>
      <c r="N1260" s="2">
        <f>N1239</f>
        <v/>
      </c>
      <c r="O1260" s="19">
        <f>O1239</f>
        <v/>
      </c>
      <c r="P1260" s="4">
        <f>交易明細!L623</f>
        <v/>
      </c>
      <c r="Q1260" s="13">
        <f>IF(N1260="已下單",O1260*P1260,0)</f>
        <v/>
      </c>
      <c r="R1260" s="13">
        <f>R1259+Q1260</f>
        <v/>
      </c>
      <c r="S1260" s="19">
        <f>S1259-IF(N1260="已下單",M1260,0)</f>
        <v/>
      </c>
      <c r="T1260" s="19">
        <f>R1260-S1260</f>
        <v/>
      </c>
      <c r="U1260" s="2">
        <f>U1259-IF(N1260="已下單",1,0)</f>
        <v/>
      </c>
      <c r="V1260" s="19">
        <f>IF(資金模擬!$B$9=2,MAX(R1260,0),MAX(V1259,FLOOR(MAX(R1260,0),資金模擬!$B$6)))</f>
        <v/>
      </c>
      <c r="W1260" s="13">
        <f>MAX(W1259,R1260)</f>
        <v/>
      </c>
      <c r="X1260" s="4">
        <f>IF(W1260&gt;0,R1260/W1260-1,-1)</f>
        <v/>
      </c>
      <c r="Y1260" s="19">
        <f>IF(R1260&gt;0,S1260*資金模擬!$B$7/R1260,0)</f>
        <v/>
      </c>
      <c r="Z1260" s="2">
        <f>IF(OR(Z1259=1,R1260&lt;=資金模擬!$B$10),1,0)</f>
        <v/>
      </c>
    </row>
    <row r="1261">
      <c r="A1261" s="2" t="n">
        <v>1259</v>
      </c>
      <c r="B1261" s="7" t="n">
        <v>46297.91666666666</v>
      </c>
      <c r="C1261" s="2" t="inlineStr">
        <is>
          <t>進場</t>
        </is>
      </c>
      <c r="D1261" s="2" t="n">
        <v>631</v>
      </c>
      <c r="E1261" s="2" t="inlineStr">
        <is>
          <t>PUMP_USDT_PERP</t>
        </is>
      </c>
      <c r="F1261" s="2" t="inlineStr">
        <is>
          <t>做多</t>
        </is>
      </c>
      <c r="G1261" s="20" t="n">
        <v>0.006062</v>
      </c>
      <c r="H1261" s="20" t="n">
        <v>0.00624386</v>
      </c>
      <c r="I1261" s="20" t="n">
        <v>0.005758899999999999</v>
      </c>
      <c r="J1261" s="20" t="n"/>
      <c r="K1261" s="2" t="n"/>
      <c r="L1261" s="5" t="n"/>
      <c r="M1261" s="19">
        <f>資金模擬!$B$5*V1260</f>
        <v/>
      </c>
      <c r="N1261" s="2">
        <f>IF(Z1260=1,"已停止",IF(T1260&gt;=M1261,"已下單","資金不足略過"))</f>
        <v/>
      </c>
      <c r="O1261" s="19">
        <f>IF(N1261="已下單",M1261*資金模擬!$B$7,0)</f>
        <v/>
      </c>
      <c r="P1261" s="4" t="n"/>
      <c r="Q1261" s="13" t="n">
        <v>0</v>
      </c>
      <c r="R1261" s="13">
        <f>R1260+Q1261</f>
        <v/>
      </c>
      <c r="S1261" s="19">
        <f>S1260+IF(N1261="已下單",M1261,0)</f>
        <v/>
      </c>
      <c r="T1261" s="19">
        <f>R1261-S1261</f>
        <v/>
      </c>
      <c r="U1261" s="2">
        <f>U1260+IF(N1261="已下單",1,0)</f>
        <v/>
      </c>
      <c r="V1261" s="19">
        <f>IF(資金模擬!$B$9=2,MAX(R1261,0),MAX(V1260,FLOOR(MAX(R1261,0),資金模擬!$B$6)))</f>
        <v/>
      </c>
      <c r="W1261" s="13">
        <f>MAX(W1260,R1261)</f>
        <v/>
      </c>
      <c r="X1261" s="4">
        <f>IF(W1261&gt;0,R1261/W1261-1,-1)</f>
        <v/>
      </c>
      <c r="Y1261" s="19">
        <f>IF(R1261&gt;0,S1261*資金模擬!$B$7/R1261,0)</f>
        <v/>
      </c>
      <c r="Z1261" s="2">
        <f>IF(OR(Z1260=1,R1261&lt;=資金模擬!$B$10),1,0)</f>
        <v/>
      </c>
    </row>
    <row r="1262">
      <c r="A1262" s="2" t="n">
        <v>1260</v>
      </c>
      <c r="B1262" s="7" t="n">
        <v>46298</v>
      </c>
      <c r="C1262" s="2" t="inlineStr">
        <is>
          <t>出場</t>
        </is>
      </c>
      <c r="D1262" s="2" t="n">
        <v>630</v>
      </c>
      <c r="E1262" s="2" t="inlineStr">
        <is>
          <t>AKE_USDT_PERP</t>
        </is>
      </c>
      <c r="F1262" s="2" t="inlineStr">
        <is>
          <t>做多</t>
        </is>
      </c>
      <c r="G1262" s="20" t="n">
        <v>0.0322171</v>
      </c>
      <c r="H1262" s="20" t="n">
        <v>0.033183613</v>
      </c>
      <c r="I1262" s="20" t="n">
        <v>0.030606245</v>
      </c>
      <c r="J1262" s="20" t="n">
        <v>0.033183613</v>
      </c>
      <c r="K1262" s="2" t="inlineStr">
        <is>
          <t>止盈</t>
        </is>
      </c>
      <c r="L1262" s="5">
        <f>交易明細!K631</f>
        <v/>
      </c>
      <c r="M1262" s="19">
        <f>M1256</f>
        <v/>
      </c>
      <c r="N1262" s="2">
        <f>N1256</f>
        <v/>
      </c>
      <c r="O1262" s="19">
        <f>O1256</f>
        <v/>
      </c>
      <c r="P1262" s="4">
        <f>交易明細!L631</f>
        <v/>
      </c>
      <c r="Q1262" s="13">
        <f>IF(N1262="已下單",O1262*P1262,0)</f>
        <v/>
      </c>
      <c r="R1262" s="13">
        <f>R1261+Q1262</f>
        <v/>
      </c>
      <c r="S1262" s="19">
        <f>S1261-IF(N1262="已下單",M1262,0)</f>
        <v/>
      </c>
      <c r="T1262" s="19">
        <f>R1262-S1262</f>
        <v/>
      </c>
      <c r="U1262" s="2">
        <f>U1261-IF(N1262="已下單",1,0)</f>
        <v/>
      </c>
      <c r="V1262" s="19">
        <f>IF(資金模擬!$B$9=2,MAX(R1262,0),MAX(V1261,FLOOR(MAX(R1262,0),資金模擬!$B$6)))</f>
        <v/>
      </c>
      <c r="W1262" s="13">
        <f>MAX(W1261,R1262)</f>
        <v/>
      </c>
      <c r="X1262" s="4">
        <f>IF(W1262&gt;0,R1262/W1262-1,-1)</f>
        <v/>
      </c>
      <c r="Y1262" s="19">
        <f>IF(R1262&gt;0,S1262*資金模擬!$B$7/R1262,0)</f>
        <v/>
      </c>
      <c r="Z1262" s="2">
        <f>IF(OR(Z1261=1,R1262&lt;=資金模擬!$B$10),1,0)</f>
        <v/>
      </c>
    </row>
    <row r="1263">
      <c r="A1263" s="2" t="n">
        <v>1261</v>
      </c>
      <c r="B1263" s="7" t="n">
        <v>46298.125</v>
      </c>
      <c r="C1263" s="2" t="inlineStr">
        <is>
          <t>出場</t>
        </is>
      </c>
      <c r="D1263" s="2" t="n">
        <v>624</v>
      </c>
      <c r="E1263" s="2" t="inlineStr">
        <is>
          <t>SUI_USDT_PERP</t>
        </is>
      </c>
      <c r="F1263" s="2" t="inlineStr">
        <is>
          <t>做多</t>
        </is>
      </c>
      <c r="G1263" s="20" t="n">
        <v>1.1891</v>
      </c>
      <c r="H1263" s="20" t="n">
        <v>1.224773</v>
      </c>
      <c r="I1263" s="20" t="n">
        <v>1.129645</v>
      </c>
      <c r="J1263" s="20" t="n">
        <v>1.129645</v>
      </c>
      <c r="K1263" s="2" t="inlineStr">
        <is>
          <t>止損</t>
        </is>
      </c>
      <c r="L1263" s="5">
        <f>交易明細!K625</f>
        <v/>
      </c>
      <c r="M1263" s="19">
        <f>M1244</f>
        <v/>
      </c>
      <c r="N1263" s="2">
        <f>N1244</f>
        <v/>
      </c>
      <c r="O1263" s="19">
        <f>O1244</f>
        <v/>
      </c>
      <c r="P1263" s="4">
        <f>交易明細!L625</f>
        <v/>
      </c>
      <c r="Q1263" s="13">
        <f>IF(N1263="已下單",O1263*P1263,0)</f>
        <v/>
      </c>
      <c r="R1263" s="13">
        <f>R1262+Q1263</f>
        <v/>
      </c>
      <c r="S1263" s="19">
        <f>S1262-IF(N1263="已下單",M1263,0)</f>
        <v/>
      </c>
      <c r="T1263" s="19">
        <f>R1263-S1263</f>
        <v/>
      </c>
      <c r="U1263" s="2">
        <f>U1262-IF(N1263="已下單",1,0)</f>
        <v/>
      </c>
      <c r="V1263" s="19">
        <f>IF(資金模擬!$B$9=2,MAX(R1263,0),MAX(V1262,FLOOR(MAX(R1263,0),資金模擬!$B$6)))</f>
        <v/>
      </c>
      <c r="W1263" s="13">
        <f>MAX(W1262,R1263)</f>
        <v/>
      </c>
      <c r="X1263" s="4">
        <f>IF(W1263&gt;0,R1263/W1263-1,-1)</f>
        <v/>
      </c>
      <c r="Y1263" s="19">
        <f>IF(R1263&gt;0,S1263*資金模擬!$B$7/R1263,0)</f>
        <v/>
      </c>
      <c r="Z1263" s="2">
        <f>IF(OR(Z1262=1,R1263&lt;=資金模擬!$B$10),1,0)</f>
        <v/>
      </c>
    </row>
    <row r="1264">
      <c r="A1264" s="2" t="n">
        <v>1262</v>
      </c>
      <c r="B1264" s="7" t="n">
        <v>46298.125</v>
      </c>
      <c r="C1264" s="2" t="inlineStr">
        <is>
          <t>出場</t>
        </is>
      </c>
      <c r="D1264" s="2" t="n">
        <v>631</v>
      </c>
      <c r="E1264" s="2" t="inlineStr">
        <is>
          <t>PUMP_USDT_PERP</t>
        </is>
      </c>
      <c r="F1264" s="2" t="inlineStr">
        <is>
          <t>做多</t>
        </is>
      </c>
      <c r="G1264" s="20" t="n">
        <v>0.006062</v>
      </c>
      <c r="H1264" s="20" t="n">
        <v>0.00624386</v>
      </c>
      <c r="I1264" s="20" t="n">
        <v>0.005758899999999999</v>
      </c>
      <c r="J1264" s="20" t="n">
        <v>0.005758899999999999</v>
      </c>
      <c r="K1264" s="2" t="inlineStr">
        <is>
          <t>止損</t>
        </is>
      </c>
      <c r="L1264" s="5">
        <f>交易明細!K632</f>
        <v/>
      </c>
      <c r="M1264" s="19">
        <f>M1261</f>
        <v/>
      </c>
      <c r="N1264" s="2">
        <f>N1261</f>
        <v/>
      </c>
      <c r="O1264" s="19">
        <f>O1261</f>
        <v/>
      </c>
      <c r="P1264" s="4">
        <f>交易明細!L632</f>
        <v/>
      </c>
      <c r="Q1264" s="13">
        <f>IF(N1264="已下單",O1264*P1264,0)</f>
        <v/>
      </c>
      <c r="R1264" s="13">
        <f>R1263+Q1264</f>
        <v/>
      </c>
      <c r="S1264" s="19">
        <f>S1263-IF(N1264="已下單",M1264,0)</f>
        <v/>
      </c>
      <c r="T1264" s="19">
        <f>R1264-S1264</f>
        <v/>
      </c>
      <c r="U1264" s="2">
        <f>U1263-IF(N1264="已下單",1,0)</f>
        <v/>
      </c>
      <c r="V1264" s="19">
        <f>IF(資金模擬!$B$9=2,MAX(R1264,0),MAX(V1263,FLOOR(MAX(R1264,0),資金模擬!$B$6)))</f>
        <v/>
      </c>
      <c r="W1264" s="13">
        <f>MAX(W1263,R1264)</f>
        <v/>
      </c>
      <c r="X1264" s="4">
        <f>IF(W1264&gt;0,R1264/W1264-1,-1)</f>
        <v/>
      </c>
      <c r="Y1264" s="19">
        <f>IF(R1264&gt;0,S1264*資金模擬!$B$7/R1264,0)</f>
        <v/>
      </c>
      <c r="Z1264" s="2">
        <f>IF(OR(Z1263=1,R1264&lt;=資金模擬!$B$10),1,0)</f>
        <v/>
      </c>
    </row>
    <row r="1265">
      <c r="A1265" s="2" t="n">
        <v>1263</v>
      </c>
      <c r="B1265" s="7" t="n">
        <v>46298.125</v>
      </c>
      <c r="C1265" s="2" t="inlineStr">
        <is>
          <t>進場</t>
        </is>
      </c>
      <c r="D1265" s="2" t="n">
        <v>632</v>
      </c>
      <c r="E1265" s="2" t="inlineStr">
        <is>
          <t>ENA_USDT_PERP</t>
        </is>
      </c>
      <c r="F1265" s="2" t="inlineStr">
        <is>
          <t>做空</t>
        </is>
      </c>
      <c r="G1265" s="20" t="n">
        <v>0.2357</v>
      </c>
      <c r="H1265" s="20" t="n">
        <v>0.228629</v>
      </c>
      <c r="I1265" s="20" t="n">
        <v>0.247485</v>
      </c>
      <c r="J1265" s="20" t="n"/>
      <c r="K1265" s="2" t="n"/>
      <c r="L1265" s="5" t="n"/>
      <c r="M1265" s="19">
        <f>資金模擬!$B$5*V1264</f>
        <v/>
      </c>
      <c r="N1265" s="2">
        <f>IF(Z1264=1,"已停止",IF(T1264&gt;=M1265,"已下單","資金不足略過"))</f>
        <v/>
      </c>
      <c r="O1265" s="19">
        <f>IF(N1265="已下單",M1265*資金模擬!$B$7,0)</f>
        <v/>
      </c>
      <c r="P1265" s="4" t="n"/>
      <c r="Q1265" s="13" t="n">
        <v>0</v>
      </c>
      <c r="R1265" s="13">
        <f>R1264+Q1265</f>
        <v/>
      </c>
      <c r="S1265" s="19">
        <f>S1264+IF(N1265="已下單",M1265,0)</f>
        <v/>
      </c>
      <c r="T1265" s="19">
        <f>R1265-S1265</f>
        <v/>
      </c>
      <c r="U1265" s="2">
        <f>U1264+IF(N1265="已下單",1,0)</f>
        <v/>
      </c>
      <c r="V1265" s="19">
        <f>IF(資金模擬!$B$9=2,MAX(R1265,0),MAX(V1264,FLOOR(MAX(R1265,0),資金模擬!$B$6)))</f>
        <v/>
      </c>
      <c r="W1265" s="13">
        <f>MAX(W1264,R1265)</f>
        <v/>
      </c>
      <c r="X1265" s="4">
        <f>IF(W1265&gt;0,R1265/W1265-1,-1)</f>
        <v/>
      </c>
      <c r="Y1265" s="19">
        <f>IF(R1265&gt;0,S1265*資金模擬!$B$7/R1265,0)</f>
        <v/>
      </c>
      <c r="Z1265" s="2">
        <f>IF(OR(Z1264=1,R1265&lt;=資金模擬!$B$10),1,0)</f>
        <v/>
      </c>
    </row>
    <row r="1266">
      <c r="A1266" s="2" t="n">
        <v>1264</v>
      </c>
      <c r="B1266" s="7" t="n">
        <v>46298.125</v>
      </c>
      <c r="C1266" s="2" t="inlineStr">
        <is>
          <t>進場</t>
        </is>
      </c>
      <c r="D1266" s="2" t="n">
        <v>633</v>
      </c>
      <c r="E1266" s="2" t="inlineStr">
        <is>
          <t>GRASS_USDT_PERP</t>
        </is>
      </c>
      <c r="F1266" s="2" t="inlineStr">
        <is>
          <t>做空</t>
        </is>
      </c>
      <c r="G1266" s="20" t="n">
        <v>0.6742</v>
      </c>
      <c r="H1266" s="20" t="n">
        <v>0.6539740000000001</v>
      </c>
      <c r="I1266" s="20" t="n">
        <v>0.70791</v>
      </c>
      <c r="J1266" s="20" t="n"/>
      <c r="K1266" s="2" t="n"/>
      <c r="L1266" s="5" t="n"/>
      <c r="M1266" s="19">
        <f>資金模擬!$B$5*V1265</f>
        <v/>
      </c>
      <c r="N1266" s="2">
        <f>IF(Z1265=1,"已停止",IF(T1265&gt;=M1266,"已下單","資金不足略過"))</f>
        <v/>
      </c>
      <c r="O1266" s="19">
        <f>IF(N1266="已下單",M1266*資金模擬!$B$7,0)</f>
        <v/>
      </c>
      <c r="P1266" s="4" t="n"/>
      <c r="Q1266" s="13" t="n">
        <v>0</v>
      </c>
      <c r="R1266" s="13">
        <f>R1265+Q1266</f>
        <v/>
      </c>
      <c r="S1266" s="19">
        <f>S1265+IF(N1266="已下單",M1266,0)</f>
        <v/>
      </c>
      <c r="T1266" s="19">
        <f>R1266-S1266</f>
        <v/>
      </c>
      <c r="U1266" s="2">
        <f>U1265+IF(N1266="已下單",1,0)</f>
        <v/>
      </c>
      <c r="V1266" s="19">
        <f>IF(資金模擬!$B$9=2,MAX(R1266,0),MAX(V1265,FLOOR(MAX(R1266,0),資金模擬!$B$6)))</f>
        <v/>
      </c>
      <c r="W1266" s="13">
        <f>MAX(W1265,R1266)</f>
        <v/>
      </c>
      <c r="X1266" s="4">
        <f>IF(W1266&gt;0,R1266/W1266-1,-1)</f>
        <v/>
      </c>
      <c r="Y1266" s="19">
        <f>IF(R1266&gt;0,S1266*資金模擬!$B$7/R1266,0)</f>
        <v/>
      </c>
      <c r="Z1266" s="2">
        <f>IF(OR(Z1265=1,R1266&lt;=資金模擬!$B$10),1,0)</f>
        <v/>
      </c>
    </row>
    <row r="1267">
      <c r="A1267" s="2" t="n">
        <v>1265</v>
      </c>
      <c r="B1267" s="7" t="n">
        <v>46298.125</v>
      </c>
      <c r="C1267" s="2" t="inlineStr">
        <is>
          <t>進場</t>
        </is>
      </c>
      <c r="D1267" s="2" t="n">
        <v>634</v>
      </c>
      <c r="E1267" s="2" t="inlineStr">
        <is>
          <t>NEAR_USDT_PERP</t>
        </is>
      </c>
      <c r="F1267" s="2" t="inlineStr">
        <is>
          <t>做空</t>
        </is>
      </c>
      <c r="G1267" s="20" t="n">
        <v>4.641</v>
      </c>
      <c r="H1267" s="20" t="n">
        <v>4.50177</v>
      </c>
      <c r="I1267" s="20" t="n">
        <v>4.87305</v>
      </c>
      <c r="J1267" s="20" t="n"/>
      <c r="K1267" s="2" t="n"/>
      <c r="L1267" s="5" t="n"/>
      <c r="M1267" s="19">
        <f>資金模擬!$B$5*V1266</f>
        <v/>
      </c>
      <c r="N1267" s="2">
        <f>IF(Z1266=1,"已停止",IF(T1266&gt;=M1267,"已下單","資金不足略過"))</f>
        <v/>
      </c>
      <c r="O1267" s="19">
        <f>IF(N1267="已下單",M1267*資金模擬!$B$7,0)</f>
        <v/>
      </c>
      <c r="P1267" s="4" t="n"/>
      <c r="Q1267" s="13" t="n">
        <v>0</v>
      </c>
      <c r="R1267" s="13">
        <f>R1266+Q1267</f>
        <v/>
      </c>
      <c r="S1267" s="19">
        <f>S1266+IF(N1267="已下單",M1267,0)</f>
        <v/>
      </c>
      <c r="T1267" s="19">
        <f>R1267-S1267</f>
        <v/>
      </c>
      <c r="U1267" s="2">
        <f>U1266+IF(N1267="已下單",1,0)</f>
        <v/>
      </c>
      <c r="V1267" s="19">
        <f>IF(資金模擬!$B$9=2,MAX(R1267,0),MAX(V1266,FLOOR(MAX(R1267,0),資金模擬!$B$6)))</f>
        <v/>
      </c>
      <c r="W1267" s="13">
        <f>MAX(W1266,R1267)</f>
        <v/>
      </c>
      <c r="X1267" s="4">
        <f>IF(W1267&gt;0,R1267/W1267-1,-1)</f>
        <v/>
      </c>
      <c r="Y1267" s="19">
        <f>IF(R1267&gt;0,S1267*資金模擬!$B$7/R1267,0)</f>
        <v/>
      </c>
      <c r="Z1267" s="2">
        <f>IF(OR(Z1266=1,R1267&lt;=資金模擬!$B$10),1,0)</f>
        <v/>
      </c>
    </row>
    <row r="1268">
      <c r="A1268" s="2" t="n">
        <v>1266</v>
      </c>
      <c r="B1268" s="7" t="n">
        <v>46298.125</v>
      </c>
      <c r="C1268" s="2" t="inlineStr">
        <is>
          <t>進場</t>
        </is>
      </c>
      <c r="D1268" s="2" t="n">
        <v>635</v>
      </c>
      <c r="E1268" s="2" t="inlineStr">
        <is>
          <t>ONDO_USDT_PERP</t>
        </is>
      </c>
      <c r="F1268" s="2" t="inlineStr">
        <is>
          <t>做空</t>
        </is>
      </c>
      <c r="G1268" s="20" t="n">
        <v>0.4785</v>
      </c>
      <c r="H1268" s="20" t="n">
        <v>0.464145</v>
      </c>
      <c r="I1268" s="20" t="n">
        <v>0.502425</v>
      </c>
      <c r="J1268" s="20" t="n"/>
      <c r="K1268" s="2" t="n"/>
      <c r="L1268" s="5" t="n"/>
      <c r="M1268" s="19">
        <f>資金模擬!$B$5*V1267</f>
        <v/>
      </c>
      <c r="N1268" s="2">
        <f>IF(Z1267=1,"已停止",IF(T1267&gt;=M1268,"已下單","資金不足略過"))</f>
        <v/>
      </c>
      <c r="O1268" s="19">
        <f>IF(N1268="已下單",M1268*資金模擬!$B$7,0)</f>
        <v/>
      </c>
      <c r="P1268" s="4" t="n"/>
      <c r="Q1268" s="13" t="n">
        <v>0</v>
      </c>
      <c r="R1268" s="13">
        <f>R1267+Q1268</f>
        <v/>
      </c>
      <c r="S1268" s="19">
        <f>S1267+IF(N1268="已下單",M1268,0)</f>
        <v/>
      </c>
      <c r="T1268" s="19">
        <f>R1268-S1268</f>
        <v/>
      </c>
      <c r="U1268" s="2">
        <f>U1267+IF(N1268="已下單",1,0)</f>
        <v/>
      </c>
      <c r="V1268" s="19">
        <f>IF(資金模擬!$B$9=2,MAX(R1268,0),MAX(V1267,FLOOR(MAX(R1268,0),資金模擬!$B$6)))</f>
        <v/>
      </c>
      <c r="W1268" s="13">
        <f>MAX(W1267,R1268)</f>
        <v/>
      </c>
      <c r="X1268" s="4">
        <f>IF(W1268&gt;0,R1268/W1268-1,-1)</f>
        <v/>
      </c>
      <c r="Y1268" s="19">
        <f>IF(R1268&gt;0,S1268*資金模擬!$B$7/R1268,0)</f>
        <v/>
      </c>
      <c r="Z1268" s="2">
        <f>IF(OR(Z1267=1,R1268&lt;=資金模擬!$B$10),1,0)</f>
        <v/>
      </c>
    </row>
    <row r="1269">
      <c r="A1269" s="2" t="n">
        <v>1267</v>
      </c>
      <c r="B1269" s="7" t="n">
        <v>46298.125</v>
      </c>
      <c r="C1269" s="2" t="inlineStr">
        <is>
          <t>進場</t>
        </is>
      </c>
      <c r="D1269" s="2" t="n">
        <v>636</v>
      </c>
      <c r="E1269" s="2" t="inlineStr">
        <is>
          <t>QNT_USDT_PERP</t>
        </is>
      </c>
      <c r="F1269" s="2" t="inlineStr">
        <is>
          <t>做空</t>
        </is>
      </c>
      <c r="G1269" s="20" t="n">
        <v>236.04</v>
      </c>
      <c r="H1269" s="20" t="n">
        <v>228.9588</v>
      </c>
      <c r="I1269" s="20" t="n">
        <v>247.842</v>
      </c>
      <c r="J1269" s="20" t="n"/>
      <c r="K1269" s="2" t="n"/>
      <c r="L1269" s="5" t="n"/>
      <c r="M1269" s="19">
        <f>資金模擬!$B$5*V1268</f>
        <v/>
      </c>
      <c r="N1269" s="2">
        <f>IF(Z1268=1,"已停止",IF(T1268&gt;=M1269,"已下單","資金不足略過"))</f>
        <v/>
      </c>
      <c r="O1269" s="19">
        <f>IF(N1269="已下單",M1269*資金模擬!$B$7,0)</f>
        <v/>
      </c>
      <c r="P1269" s="4" t="n"/>
      <c r="Q1269" s="13" t="n">
        <v>0</v>
      </c>
      <c r="R1269" s="13">
        <f>R1268+Q1269</f>
        <v/>
      </c>
      <c r="S1269" s="19">
        <f>S1268+IF(N1269="已下單",M1269,0)</f>
        <v/>
      </c>
      <c r="T1269" s="19">
        <f>R1269-S1269</f>
        <v/>
      </c>
      <c r="U1269" s="2">
        <f>U1268+IF(N1269="已下單",1,0)</f>
        <v/>
      </c>
      <c r="V1269" s="19">
        <f>IF(資金模擬!$B$9=2,MAX(R1269,0),MAX(V1268,FLOOR(MAX(R1269,0),資金模擬!$B$6)))</f>
        <v/>
      </c>
      <c r="W1269" s="13">
        <f>MAX(W1268,R1269)</f>
        <v/>
      </c>
      <c r="X1269" s="4">
        <f>IF(W1269&gt;0,R1269/W1269-1,-1)</f>
        <v/>
      </c>
      <c r="Y1269" s="19">
        <f>IF(R1269&gt;0,S1269*資金模擬!$B$7/R1269,0)</f>
        <v/>
      </c>
      <c r="Z1269" s="2">
        <f>IF(OR(Z1268=1,R1269&lt;=資金模擬!$B$10),1,0)</f>
        <v/>
      </c>
    </row>
    <row r="1270">
      <c r="A1270" s="2" t="n">
        <v>1268</v>
      </c>
      <c r="B1270" s="7" t="n">
        <v>46298.125</v>
      </c>
      <c r="C1270" s="2" t="inlineStr">
        <is>
          <t>進場</t>
        </is>
      </c>
      <c r="D1270" s="2" t="n">
        <v>637</v>
      </c>
      <c r="E1270" s="2" t="inlineStr">
        <is>
          <t>ZEC_USDT_PERP</t>
        </is>
      </c>
      <c r="F1270" s="2" t="inlineStr">
        <is>
          <t>做空</t>
        </is>
      </c>
      <c r="G1270" s="20" t="n">
        <v>1304.61</v>
      </c>
      <c r="H1270" s="20" t="n">
        <v>1265.4717</v>
      </c>
      <c r="I1270" s="20" t="n">
        <v>1369.8405</v>
      </c>
      <c r="J1270" s="20" t="n"/>
      <c r="K1270" s="2" t="n"/>
      <c r="L1270" s="5" t="n"/>
      <c r="M1270" s="19">
        <f>資金模擬!$B$5*V1269</f>
        <v/>
      </c>
      <c r="N1270" s="2">
        <f>IF(Z1269=1,"已停止",IF(T1269&gt;=M1270,"已下單","資金不足略過"))</f>
        <v/>
      </c>
      <c r="O1270" s="19">
        <f>IF(N1270="已下單",M1270*資金模擬!$B$7,0)</f>
        <v/>
      </c>
      <c r="P1270" s="4" t="n"/>
      <c r="Q1270" s="13" t="n">
        <v>0</v>
      </c>
      <c r="R1270" s="13">
        <f>R1269+Q1270</f>
        <v/>
      </c>
      <c r="S1270" s="19">
        <f>S1269+IF(N1270="已下單",M1270,0)</f>
        <v/>
      </c>
      <c r="T1270" s="19">
        <f>R1270-S1270</f>
        <v/>
      </c>
      <c r="U1270" s="2">
        <f>U1269+IF(N1270="已下單",1,0)</f>
        <v/>
      </c>
      <c r="V1270" s="19">
        <f>IF(資金模擬!$B$9=2,MAX(R1270,0),MAX(V1269,FLOOR(MAX(R1270,0),資金模擬!$B$6)))</f>
        <v/>
      </c>
      <c r="W1270" s="13">
        <f>MAX(W1269,R1270)</f>
        <v/>
      </c>
      <c r="X1270" s="4">
        <f>IF(W1270&gt;0,R1270/W1270-1,-1)</f>
        <v/>
      </c>
      <c r="Y1270" s="19">
        <f>IF(R1270&gt;0,S1270*資金模擬!$B$7/R1270,0)</f>
        <v/>
      </c>
      <c r="Z1270" s="2">
        <f>IF(OR(Z1269=1,R1270&lt;=資金模擬!$B$10),1,0)</f>
        <v/>
      </c>
    </row>
    <row r="1271">
      <c r="A1271" s="2" t="n">
        <v>1269</v>
      </c>
      <c r="B1271" s="7" t="n">
        <v>46298.16666666666</v>
      </c>
      <c r="C1271" s="2" t="inlineStr">
        <is>
          <t>出場</t>
        </is>
      </c>
      <c r="D1271" s="2" t="n">
        <v>636</v>
      </c>
      <c r="E1271" s="2" t="inlineStr">
        <is>
          <t>QNT_USDT_PERP</t>
        </is>
      </c>
      <c r="F1271" s="2" t="inlineStr">
        <is>
          <t>做空</t>
        </is>
      </c>
      <c r="G1271" s="20" t="n">
        <v>236.04</v>
      </c>
      <c r="H1271" s="20" t="n">
        <v>228.9588</v>
      </c>
      <c r="I1271" s="20" t="n">
        <v>247.842</v>
      </c>
      <c r="J1271" s="20" t="n">
        <v>228.9588</v>
      </c>
      <c r="K1271" s="2" t="inlineStr">
        <is>
          <t>止盈</t>
        </is>
      </c>
      <c r="L1271" s="5">
        <f>交易明細!K637</f>
        <v/>
      </c>
      <c r="M1271" s="19">
        <f>M1269</f>
        <v/>
      </c>
      <c r="N1271" s="2">
        <f>N1269</f>
        <v/>
      </c>
      <c r="O1271" s="19">
        <f>O1269</f>
        <v/>
      </c>
      <c r="P1271" s="4">
        <f>交易明細!L637</f>
        <v/>
      </c>
      <c r="Q1271" s="13">
        <f>IF(N1271="已下單",O1271*P1271,0)</f>
        <v/>
      </c>
      <c r="R1271" s="13">
        <f>R1270+Q1271</f>
        <v/>
      </c>
      <c r="S1271" s="19">
        <f>S1270-IF(N1271="已下單",M1271,0)</f>
        <v/>
      </c>
      <c r="T1271" s="19">
        <f>R1271-S1271</f>
        <v/>
      </c>
      <c r="U1271" s="2">
        <f>U1270-IF(N1271="已下單",1,0)</f>
        <v/>
      </c>
      <c r="V1271" s="19">
        <f>IF(資金模擬!$B$9=2,MAX(R1271,0),MAX(V1270,FLOOR(MAX(R1271,0),資金模擬!$B$6)))</f>
        <v/>
      </c>
      <c r="W1271" s="13">
        <f>MAX(W1270,R1271)</f>
        <v/>
      </c>
      <c r="X1271" s="4">
        <f>IF(W1271&gt;0,R1271/W1271-1,-1)</f>
        <v/>
      </c>
      <c r="Y1271" s="19">
        <f>IF(R1271&gt;0,S1271*資金模擬!$B$7/R1271,0)</f>
        <v/>
      </c>
      <c r="Z1271" s="2">
        <f>IF(OR(Z1270=1,R1271&lt;=資金模擬!$B$10),1,0)</f>
        <v/>
      </c>
    </row>
    <row r="1272">
      <c r="A1272" s="2" t="n">
        <v>1270</v>
      </c>
      <c r="B1272" s="7" t="n">
        <v>46298.29166666666</v>
      </c>
      <c r="C1272" s="2" t="inlineStr">
        <is>
          <t>出場</t>
        </is>
      </c>
      <c r="D1272" s="2" t="n">
        <v>632</v>
      </c>
      <c r="E1272" s="2" t="inlineStr">
        <is>
          <t>ENA_USDT_PERP</t>
        </is>
      </c>
      <c r="F1272" s="2" t="inlineStr">
        <is>
          <t>做空</t>
        </is>
      </c>
      <c r="G1272" s="20" t="n">
        <v>0.2357</v>
      </c>
      <c r="H1272" s="20" t="n">
        <v>0.228629</v>
      </c>
      <c r="I1272" s="20" t="n">
        <v>0.247485</v>
      </c>
      <c r="J1272" s="20" t="n">
        <v>0.228629</v>
      </c>
      <c r="K1272" s="2" t="inlineStr">
        <is>
          <t>止盈</t>
        </is>
      </c>
      <c r="L1272" s="5">
        <f>交易明細!K633</f>
        <v/>
      </c>
      <c r="M1272" s="19">
        <f>M1265</f>
        <v/>
      </c>
      <c r="N1272" s="2">
        <f>N1265</f>
        <v/>
      </c>
      <c r="O1272" s="19">
        <f>O1265</f>
        <v/>
      </c>
      <c r="P1272" s="4">
        <f>交易明細!L633</f>
        <v/>
      </c>
      <c r="Q1272" s="13">
        <f>IF(N1272="已下單",O1272*P1272,0)</f>
        <v/>
      </c>
      <c r="R1272" s="13">
        <f>R1271+Q1272</f>
        <v/>
      </c>
      <c r="S1272" s="19">
        <f>S1271-IF(N1272="已下單",M1272,0)</f>
        <v/>
      </c>
      <c r="T1272" s="19">
        <f>R1272-S1272</f>
        <v/>
      </c>
      <c r="U1272" s="2">
        <f>U1271-IF(N1272="已下單",1,0)</f>
        <v/>
      </c>
      <c r="V1272" s="19">
        <f>IF(資金模擬!$B$9=2,MAX(R1272,0),MAX(V1271,FLOOR(MAX(R1272,0),資金模擬!$B$6)))</f>
        <v/>
      </c>
      <c r="W1272" s="13">
        <f>MAX(W1271,R1272)</f>
        <v/>
      </c>
      <c r="X1272" s="4">
        <f>IF(W1272&gt;0,R1272/W1272-1,-1)</f>
        <v/>
      </c>
      <c r="Y1272" s="19">
        <f>IF(R1272&gt;0,S1272*資金模擬!$B$7/R1272,0)</f>
        <v/>
      </c>
      <c r="Z1272" s="2">
        <f>IF(OR(Z1271=1,R1272&lt;=資金模擬!$B$10),1,0)</f>
        <v/>
      </c>
    </row>
    <row r="1273">
      <c r="A1273" s="2" t="n">
        <v>1271</v>
      </c>
      <c r="B1273" s="7" t="n">
        <v>46298.33333333334</v>
      </c>
      <c r="C1273" s="2" t="inlineStr">
        <is>
          <t>進場</t>
        </is>
      </c>
      <c r="D1273" s="2" t="n">
        <v>638</v>
      </c>
      <c r="E1273" s="2" t="inlineStr">
        <is>
          <t>WLD_USDT_PERP</t>
        </is>
      </c>
      <c r="F1273" s="2" t="inlineStr">
        <is>
          <t>做多</t>
        </is>
      </c>
      <c r="G1273" s="20" t="n">
        <v>0.5565</v>
      </c>
      <c r="H1273" s="20" t="n">
        <v>0.573195</v>
      </c>
      <c r="I1273" s="20" t="n">
        <v>0.528675</v>
      </c>
      <c r="J1273" s="20" t="n"/>
      <c r="K1273" s="2" t="n"/>
      <c r="L1273" s="5" t="n"/>
      <c r="M1273" s="19">
        <f>資金模擬!$B$5*V1272</f>
        <v/>
      </c>
      <c r="N1273" s="2">
        <f>IF(Z1272=1,"已停止",IF(T1272&gt;=M1273,"已下單","資金不足略過"))</f>
        <v/>
      </c>
      <c r="O1273" s="19">
        <f>IF(N1273="已下單",M1273*資金模擬!$B$7,0)</f>
        <v/>
      </c>
      <c r="P1273" s="4" t="n"/>
      <c r="Q1273" s="13" t="n">
        <v>0</v>
      </c>
      <c r="R1273" s="13">
        <f>R1272+Q1273</f>
        <v/>
      </c>
      <c r="S1273" s="19">
        <f>S1272+IF(N1273="已下單",M1273,0)</f>
        <v/>
      </c>
      <c r="T1273" s="19">
        <f>R1273-S1273</f>
        <v/>
      </c>
      <c r="U1273" s="2">
        <f>U1272+IF(N1273="已下單",1,0)</f>
        <v/>
      </c>
      <c r="V1273" s="19">
        <f>IF(資金模擬!$B$9=2,MAX(R1273,0),MAX(V1272,FLOOR(MAX(R1273,0),資金模擬!$B$6)))</f>
        <v/>
      </c>
      <c r="W1273" s="13">
        <f>MAX(W1272,R1273)</f>
        <v/>
      </c>
      <c r="X1273" s="4">
        <f>IF(W1273&gt;0,R1273/W1273-1,-1)</f>
        <v/>
      </c>
      <c r="Y1273" s="19">
        <f>IF(R1273&gt;0,S1273*資金模擬!$B$7/R1273,0)</f>
        <v/>
      </c>
      <c r="Z1273" s="2">
        <f>IF(OR(Z1272=1,R1273&lt;=資金模擬!$B$10),1,0)</f>
        <v/>
      </c>
    </row>
    <row r="1274">
      <c r="A1274" s="2" t="n">
        <v>1272</v>
      </c>
      <c r="B1274" s="7" t="n">
        <v>46298.375</v>
      </c>
      <c r="C1274" s="2" t="inlineStr">
        <is>
          <t>出場</t>
        </is>
      </c>
      <c r="D1274" s="2" t="n">
        <v>633</v>
      </c>
      <c r="E1274" s="2" t="inlineStr">
        <is>
          <t>GRASS_USDT_PERP</t>
        </is>
      </c>
      <c r="F1274" s="2" t="inlineStr">
        <is>
          <t>做空</t>
        </is>
      </c>
      <c r="G1274" s="20" t="n">
        <v>0.6742</v>
      </c>
      <c r="H1274" s="20" t="n">
        <v>0.6539740000000001</v>
      </c>
      <c r="I1274" s="20" t="n">
        <v>0.70791</v>
      </c>
      <c r="J1274" s="20" t="n">
        <v>0.70791</v>
      </c>
      <c r="K1274" s="2" t="inlineStr">
        <is>
          <t>止損</t>
        </is>
      </c>
      <c r="L1274" s="5">
        <f>交易明細!K634</f>
        <v/>
      </c>
      <c r="M1274" s="19">
        <f>M1266</f>
        <v/>
      </c>
      <c r="N1274" s="2">
        <f>N1266</f>
        <v/>
      </c>
      <c r="O1274" s="19">
        <f>O1266</f>
        <v/>
      </c>
      <c r="P1274" s="4">
        <f>交易明細!L634</f>
        <v/>
      </c>
      <c r="Q1274" s="13">
        <f>IF(N1274="已下單",O1274*P1274,0)</f>
        <v/>
      </c>
      <c r="R1274" s="13">
        <f>R1273+Q1274</f>
        <v/>
      </c>
      <c r="S1274" s="19">
        <f>S1273-IF(N1274="已下單",M1274,0)</f>
        <v/>
      </c>
      <c r="T1274" s="19">
        <f>R1274-S1274</f>
        <v/>
      </c>
      <c r="U1274" s="2">
        <f>U1273-IF(N1274="已下單",1,0)</f>
        <v/>
      </c>
      <c r="V1274" s="19">
        <f>IF(資金模擬!$B$9=2,MAX(R1274,0),MAX(V1273,FLOOR(MAX(R1274,0),資金模擬!$B$6)))</f>
        <v/>
      </c>
      <c r="W1274" s="13">
        <f>MAX(W1273,R1274)</f>
        <v/>
      </c>
      <c r="X1274" s="4">
        <f>IF(W1274&gt;0,R1274/W1274-1,-1)</f>
        <v/>
      </c>
      <c r="Y1274" s="19">
        <f>IF(R1274&gt;0,S1274*資金模擬!$B$7/R1274,0)</f>
        <v/>
      </c>
      <c r="Z1274" s="2">
        <f>IF(OR(Z1273=1,R1274&lt;=資金模擬!$B$10),1,0)</f>
        <v/>
      </c>
    </row>
    <row r="1275">
      <c r="A1275" s="2" t="n">
        <v>1273</v>
      </c>
      <c r="B1275" s="7" t="n">
        <v>46298.41666666666</v>
      </c>
      <c r="C1275" s="2" t="inlineStr">
        <is>
          <t>進場</t>
        </is>
      </c>
      <c r="D1275" s="2" t="n">
        <v>639</v>
      </c>
      <c r="E1275" s="2" t="inlineStr">
        <is>
          <t>PUMP_USDT_PERP</t>
        </is>
      </c>
      <c r="F1275" s="2" t="inlineStr">
        <is>
          <t>做空</t>
        </is>
      </c>
      <c r="G1275" s="20" t="n">
        <v>0.005555</v>
      </c>
      <c r="H1275" s="20" t="n">
        <v>0.00538835</v>
      </c>
      <c r="I1275" s="20" t="n">
        <v>0.00583275</v>
      </c>
      <c r="J1275" s="20" t="n"/>
      <c r="K1275" s="2" t="n"/>
      <c r="L1275" s="5" t="n"/>
      <c r="M1275" s="19">
        <f>資金模擬!$B$5*V1274</f>
        <v/>
      </c>
      <c r="N1275" s="2">
        <f>IF(Z1274=1,"已停止",IF(T1274&gt;=M1275,"已下單","資金不足略過"))</f>
        <v/>
      </c>
      <c r="O1275" s="19">
        <f>IF(N1275="已下單",M1275*資金模擬!$B$7,0)</f>
        <v/>
      </c>
      <c r="P1275" s="4" t="n"/>
      <c r="Q1275" s="13" t="n">
        <v>0</v>
      </c>
      <c r="R1275" s="13">
        <f>R1274+Q1275</f>
        <v/>
      </c>
      <c r="S1275" s="19">
        <f>S1274+IF(N1275="已下單",M1275,0)</f>
        <v/>
      </c>
      <c r="T1275" s="19">
        <f>R1275-S1275</f>
        <v/>
      </c>
      <c r="U1275" s="2">
        <f>U1274+IF(N1275="已下單",1,0)</f>
        <v/>
      </c>
      <c r="V1275" s="19">
        <f>IF(資金模擬!$B$9=2,MAX(R1275,0),MAX(V1274,FLOOR(MAX(R1275,0),資金模擬!$B$6)))</f>
        <v/>
      </c>
      <c r="W1275" s="13">
        <f>MAX(W1274,R1275)</f>
        <v/>
      </c>
      <c r="X1275" s="4">
        <f>IF(W1275&gt;0,R1275/W1275-1,-1)</f>
        <v/>
      </c>
      <c r="Y1275" s="19">
        <f>IF(R1275&gt;0,S1275*資金模擬!$B$7/R1275,0)</f>
        <v/>
      </c>
      <c r="Z1275" s="2">
        <f>IF(OR(Z1274=1,R1275&lt;=資金模擬!$B$10),1,0)</f>
        <v/>
      </c>
    </row>
    <row r="1276">
      <c r="A1276" s="2" t="n">
        <v>1274</v>
      </c>
      <c r="B1276" s="7" t="n">
        <v>46298.45833333334</v>
      </c>
      <c r="C1276" s="2" t="inlineStr">
        <is>
          <t>出場</t>
        </is>
      </c>
      <c r="D1276" s="2" t="n">
        <v>638</v>
      </c>
      <c r="E1276" s="2" t="inlineStr">
        <is>
          <t>WLD_USDT_PERP</t>
        </is>
      </c>
      <c r="F1276" s="2" t="inlineStr">
        <is>
          <t>做多</t>
        </is>
      </c>
      <c r="G1276" s="20" t="n">
        <v>0.5565</v>
      </c>
      <c r="H1276" s="20" t="n">
        <v>0.573195</v>
      </c>
      <c r="I1276" s="20" t="n">
        <v>0.528675</v>
      </c>
      <c r="J1276" s="20" t="n">
        <v>0.573195</v>
      </c>
      <c r="K1276" s="2" t="inlineStr">
        <is>
          <t>止盈</t>
        </is>
      </c>
      <c r="L1276" s="5">
        <f>交易明細!K639</f>
        <v/>
      </c>
      <c r="M1276" s="19">
        <f>M1273</f>
        <v/>
      </c>
      <c r="N1276" s="2">
        <f>N1273</f>
        <v/>
      </c>
      <c r="O1276" s="19">
        <f>O1273</f>
        <v/>
      </c>
      <c r="P1276" s="4">
        <f>交易明細!L639</f>
        <v/>
      </c>
      <c r="Q1276" s="13">
        <f>IF(N1276="已下單",O1276*P1276,0)</f>
        <v/>
      </c>
      <c r="R1276" s="13">
        <f>R1275+Q1276</f>
        <v/>
      </c>
      <c r="S1276" s="19">
        <f>S1275-IF(N1276="已下單",M1276,0)</f>
        <v/>
      </c>
      <c r="T1276" s="19">
        <f>R1276-S1276</f>
        <v/>
      </c>
      <c r="U1276" s="2">
        <f>U1275-IF(N1276="已下單",1,0)</f>
        <v/>
      </c>
      <c r="V1276" s="19">
        <f>IF(資金模擬!$B$9=2,MAX(R1276,0),MAX(V1275,FLOOR(MAX(R1276,0),資金模擬!$B$6)))</f>
        <v/>
      </c>
      <c r="W1276" s="13">
        <f>MAX(W1275,R1276)</f>
        <v/>
      </c>
      <c r="X1276" s="4">
        <f>IF(W1276&gt;0,R1276/W1276-1,-1)</f>
        <v/>
      </c>
      <c r="Y1276" s="19">
        <f>IF(R1276&gt;0,S1276*資金模擬!$B$7/R1276,0)</f>
        <v/>
      </c>
      <c r="Z1276" s="2">
        <f>IF(OR(Z1275=1,R1276&lt;=資金模擬!$B$10),1,0)</f>
        <v/>
      </c>
    </row>
    <row r="1277">
      <c r="A1277" s="2" t="n">
        <v>1275</v>
      </c>
      <c r="B1277" s="7" t="n">
        <v>46298.58333333334</v>
      </c>
      <c r="C1277" s="2" t="inlineStr">
        <is>
          <t>出場</t>
        </is>
      </c>
      <c r="D1277" s="2" t="n">
        <v>639</v>
      </c>
      <c r="E1277" s="2" t="inlineStr">
        <is>
          <t>PUMP_USDT_PERP</t>
        </is>
      </c>
      <c r="F1277" s="2" t="inlineStr">
        <is>
          <t>做空</t>
        </is>
      </c>
      <c r="G1277" s="20" t="n">
        <v>0.005555</v>
      </c>
      <c r="H1277" s="20" t="n">
        <v>0.00538835</v>
      </c>
      <c r="I1277" s="20" t="n">
        <v>0.00583275</v>
      </c>
      <c r="J1277" s="20" t="n">
        <v>0.00538835</v>
      </c>
      <c r="K1277" s="2" t="inlineStr">
        <is>
          <t>止盈</t>
        </is>
      </c>
      <c r="L1277" s="5">
        <f>交易明細!K640</f>
        <v/>
      </c>
      <c r="M1277" s="19">
        <f>M1275</f>
        <v/>
      </c>
      <c r="N1277" s="2">
        <f>N1275</f>
        <v/>
      </c>
      <c r="O1277" s="19">
        <f>O1275</f>
        <v/>
      </c>
      <c r="P1277" s="4">
        <f>交易明細!L640</f>
        <v/>
      </c>
      <c r="Q1277" s="13">
        <f>IF(N1277="已下單",O1277*P1277,0)</f>
        <v/>
      </c>
      <c r="R1277" s="13">
        <f>R1276+Q1277</f>
        <v/>
      </c>
      <c r="S1277" s="19">
        <f>S1276-IF(N1277="已下單",M1277,0)</f>
        <v/>
      </c>
      <c r="T1277" s="19">
        <f>R1277-S1277</f>
        <v/>
      </c>
      <c r="U1277" s="2">
        <f>U1276-IF(N1277="已下單",1,0)</f>
        <v/>
      </c>
      <c r="V1277" s="19">
        <f>IF(資金模擬!$B$9=2,MAX(R1277,0),MAX(V1276,FLOOR(MAX(R1277,0),資金模擬!$B$6)))</f>
        <v/>
      </c>
      <c r="W1277" s="13">
        <f>MAX(W1276,R1277)</f>
        <v/>
      </c>
      <c r="X1277" s="4">
        <f>IF(W1277&gt;0,R1277/W1277-1,-1)</f>
        <v/>
      </c>
      <c r="Y1277" s="19">
        <f>IF(R1277&gt;0,S1277*資金模擬!$B$7/R1277,0)</f>
        <v/>
      </c>
      <c r="Z1277" s="2">
        <f>IF(OR(Z1276=1,R1277&lt;=資金模擬!$B$10),1,0)</f>
        <v/>
      </c>
    </row>
    <row r="1278">
      <c r="A1278" s="2" t="n">
        <v>1276</v>
      </c>
      <c r="B1278" s="7" t="n">
        <v>46298.79166666666</v>
      </c>
      <c r="C1278" s="2" t="inlineStr">
        <is>
          <t>進場</t>
        </is>
      </c>
      <c r="D1278" s="2" t="n">
        <v>640</v>
      </c>
      <c r="E1278" s="2" t="inlineStr">
        <is>
          <t>NIGHT_USDT_PERP</t>
        </is>
      </c>
      <c r="F1278" s="2" t="inlineStr">
        <is>
          <t>做多</t>
        </is>
      </c>
      <c r="G1278" s="20" t="n">
        <v>0.05079</v>
      </c>
      <c r="H1278" s="20" t="n">
        <v>0.0523137</v>
      </c>
      <c r="I1278" s="20" t="n">
        <v>0.0482505</v>
      </c>
      <c r="J1278" s="20" t="n"/>
      <c r="K1278" s="2" t="n"/>
      <c r="L1278" s="5" t="n"/>
      <c r="M1278" s="19">
        <f>資金模擬!$B$5*V1277</f>
        <v/>
      </c>
      <c r="N1278" s="2">
        <f>IF(Z1277=1,"已停止",IF(T1277&gt;=M1278,"已下單","資金不足略過"))</f>
        <v/>
      </c>
      <c r="O1278" s="19">
        <f>IF(N1278="已下單",M1278*資金模擬!$B$7,0)</f>
        <v/>
      </c>
      <c r="P1278" s="4" t="n"/>
      <c r="Q1278" s="13" t="n">
        <v>0</v>
      </c>
      <c r="R1278" s="13">
        <f>R1277+Q1278</f>
        <v/>
      </c>
      <c r="S1278" s="19">
        <f>S1277+IF(N1278="已下單",M1278,0)</f>
        <v/>
      </c>
      <c r="T1278" s="19">
        <f>R1278-S1278</f>
        <v/>
      </c>
      <c r="U1278" s="2">
        <f>U1277+IF(N1278="已下單",1,0)</f>
        <v/>
      </c>
      <c r="V1278" s="19">
        <f>IF(資金模擬!$B$9=2,MAX(R1278,0),MAX(V1277,FLOOR(MAX(R1278,0),資金模擬!$B$6)))</f>
        <v/>
      </c>
      <c r="W1278" s="13">
        <f>MAX(W1277,R1278)</f>
        <v/>
      </c>
      <c r="X1278" s="4">
        <f>IF(W1278&gt;0,R1278/W1278-1,-1)</f>
        <v/>
      </c>
      <c r="Y1278" s="19">
        <f>IF(R1278&gt;0,S1278*資金模擬!$B$7/R1278,0)</f>
        <v/>
      </c>
      <c r="Z1278" s="2">
        <f>IF(OR(Z1277=1,R1278&lt;=資金模擬!$B$10),1,0)</f>
        <v/>
      </c>
    </row>
    <row r="1279">
      <c r="A1279" s="2" t="n">
        <v>1277</v>
      </c>
      <c r="B1279" s="7" t="n">
        <v>46298.95833333334</v>
      </c>
      <c r="C1279" s="2" t="inlineStr">
        <is>
          <t>進場</t>
        </is>
      </c>
      <c r="D1279" s="2" t="n">
        <v>641</v>
      </c>
      <c r="E1279" s="2" t="inlineStr">
        <is>
          <t>MOVR_USDT_PERP</t>
        </is>
      </c>
      <c r="F1279" s="2" t="inlineStr">
        <is>
          <t>做空</t>
        </is>
      </c>
      <c r="G1279" s="20" t="n">
        <v>1.833</v>
      </c>
      <c r="H1279" s="20" t="n">
        <v>1.77801</v>
      </c>
      <c r="I1279" s="20" t="n">
        <v>1.92465</v>
      </c>
      <c r="J1279" s="20" t="n"/>
      <c r="K1279" s="2" t="n"/>
      <c r="L1279" s="5" t="n"/>
      <c r="M1279" s="19">
        <f>資金模擬!$B$5*V1278</f>
        <v/>
      </c>
      <c r="N1279" s="2">
        <f>IF(Z1278=1,"已停止",IF(T1278&gt;=M1279,"已下單","資金不足略過"))</f>
        <v/>
      </c>
      <c r="O1279" s="19">
        <f>IF(N1279="已下單",M1279*資金模擬!$B$7,0)</f>
        <v/>
      </c>
      <c r="P1279" s="4" t="n"/>
      <c r="Q1279" s="13" t="n">
        <v>0</v>
      </c>
      <c r="R1279" s="13">
        <f>R1278+Q1279</f>
        <v/>
      </c>
      <c r="S1279" s="19">
        <f>S1278+IF(N1279="已下單",M1279,0)</f>
        <v/>
      </c>
      <c r="T1279" s="19">
        <f>R1279-S1279</f>
        <v/>
      </c>
      <c r="U1279" s="2">
        <f>U1278+IF(N1279="已下單",1,0)</f>
        <v/>
      </c>
      <c r="V1279" s="19">
        <f>IF(資金模擬!$B$9=2,MAX(R1279,0),MAX(V1278,FLOOR(MAX(R1279,0),資金模擬!$B$6)))</f>
        <v/>
      </c>
      <c r="W1279" s="13">
        <f>MAX(W1278,R1279)</f>
        <v/>
      </c>
      <c r="X1279" s="4">
        <f>IF(W1279&gt;0,R1279/W1279-1,-1)</f>
        <v/>
      </c>
      <c r="Y1279" s="19">
        <f>IF(R1279&gt;0,S1279*資金模擬!$B$7/R1279,0)</f>
        <v/>
      </c>
      <c r="Z1279" s="2">
        <f>IF(OR(Z1278=1,R1279&lt;=資金模擬!$B$10),1,0)</f>
        <v/>
      </c>
    </row>
    <row r="1280">
      <c r="A1280" s="2" t="n">
        <v>1278</v>
      </c>
      <c r="B1280" s="7" t="n">
        <v>46298.95833333334</v>
      </c>
      <c r="C1280" s="2" t="inlineStr">
        <is>
          <t>進場</t>
        </is>
      </c>
      <c r="D1280" s="2" t="n">
        <v>642</v>
      </c>
      <c r="E1280" s="2" t="inlineStr">
        <is>
          <t>QNT_USDT_PERP</t>
        </is>
      </c>
      <c r="F1280" s="2" t="inlineStr">
        <is>
          <t>做空</t>
        </is>
      </c>
      <c r="G1280" s="20" t="n">
        <v>248.45</v>
      </c>
      <c r="H1280" s="20" t="n">
        <v>240.9965</v>
      </c>
      <c r="I1280" s="20" t="n">
        <v>260.8725</v>
      </c>
      <c r="J1280" s="20" t="n"/>
      <c r="K1280" s="2" t="n"/>
      <c r="L1280" s="5" t="n"/>
      <c r="M1280" s="19">
        <f>資金模擬!$B$5*V1279</f>
        <v/>
      </c>
      <c r="N1280" s="2">
        <f>IF(Z1279=1,"已停止",IF(T1279&gt;=M1280,"已下單","資金不足略過"))</f>
        <v/>
      </c>
      <c r="O1280" s="19">
        <f>IF(N1280="已下單",M1280*資金模擬!$B$7,0)</f>
        <v/>
      </c>
      <c r="P1280" s="4" t="n"/>
      <c r="Q1280" s="13" t="n">
        <v>0</v>
      </c>
      <c r="R1280" s="13">
        <f>R1279+Q1280</f>
        <v/>
      </c>
      <c r="S1280" s="19">
        <f>S1279+IF(N1280="已下單",M1280,0)</f>
        <v/>
      </c>
      <c r="T1280" s="19">
        <f>R1280-S1280</f>
        <v/>
      </c>
      <c r="U1280" s="2">
        <f>U1279+IF(N1280="已下單",1,0)</f>
        <v/>
      </c>
      <c r="V1280" s="19">
        <f>IF(資金模擬!$B$9=2,MAX(R1280,0),MAX(V1279,FLOOR(MAX(R1280,0),資金模擬!$B$6)))</f>
        <v/>
      </c>
      <c r="W1280" s="13">
        <f>MAX(W1279,R1280)</f>
        <v/>
      </c>
      <c r="X1280" s="4">
        <f>IF(W1280&gt;0,R1280/W1280-1,-1)</f>
        <v/>
      </c>
      <c r="Y1280" s="19">
        <f>IF(R1280&gt;0,S1280*資金模擬!$B$7/R1280,0)</f>
        <v/>
      </c>
      <c r="Z1280" s="2">
        <f>IF(OR(Z1279=1,R1280&lt;=資金模擬!$B$10),1,0)</f>
        <v/>
      </c>
    </row>
    <row r="1281">
      <c r="A1281" s="2" t="n">
        <v>1279</v>
      </c>
      <c r="B1281" s="7" t="n">
        <v>46299.04166666666</v>
      </c>
      <c r="C1281" s="2" t="inlineStr">
        <is>
          <t>出場</t>
        </is>
      </c>
      <c r="D1281" s="2" t="n">
        <v>641</v>
      </c>
      <c r="E1281" s="2" t="inlineStr">
        <is>
          <t>MOVR_USDT_PERP</t>
        </is>
      </c>
      <c r="F1281" s="2" t="inlineStr">
        <is>
          <t>做空</t>
        </is>
      </c>
      <c r="G1281" s="20" t="n">
        <v>1.833</v>
      </c>
      <c r="H1281" s="20" t="n">
        <v>1.77801</v>
      </c>
      <c r="I1281" s="20" t="n">
        <v>1.92465</v>
      </c>
      <c r="J1281" s="20" t="n">
        <v>1.92465</v>
      </c>
      <c r="K1281" s="2" t="inlineStr">
        <is>
          <t>止損</t>
        </is>
      </c>
      <c r="L1281" s="5">
        <f>交易明細!K642</f>
        <v/>
      </c>
      <c r="M1281" s="19">
        <f>M1279</f>
        <v/>
      </c>
      <c r="N1281" s="2">
        <f>N1279</f>
        <v/>
      </c>
      <c r="O1281" s="19">
        <f>O1279</f>
        <v/>
      </c>
      <c r="P1281" s="4">
        <f>交易明細!L642</f>
        <v/>
      </c>
      <c r="Q1281" s="13">
        <f>IF(N1281="已下單",O1281*P1281,0)</f>
        <v/>
      </c>
      <c r="R1281" s="13">
        <f>R1280+Q1281</f>
        <v/>
      </c>
      <c r="S1281" s="19">
        <f>S1280-IF(N1281="已下單",M1281,0)</f>
        <v/>
      </c>
      <c r="T1281" s="19">
        <f>R1281-S1281</f>
        <v/>
      </c>
      <c r="U1281" s="2">
        <f>U1280-IF(N1281="已下單",1,0)</f>
        <v/>
      </c>
      <c r="V1281" s="19">
        <f>IF(資金模擬!$B$9=2,MAX(R1281,0),MAX(V1280,FLOOR(MAX(R1281,0),資金模擬!$B$6)))</f>
        <v/>
      </c>
      <c r="W1281" s="13">
        <f>MAX(W1280,R1281)</f>
        <v/>
      </c>
      <c r="X1281" s="4">
        <f>IF(W1281&gt;0,R1281/W1281-1,-1)</f>
        <v/>
      </c>
      <c r="Y1281" s="19">
        <f>IF(R1281&gt;0,S1281*資金模擬!$B$7/R1281,0)</f>
        <v/>
      </c>
      <c r="Z1281" s="2">
        <f>IF(OR(Z1280=1,R1281&lt;=資金模擬!$B$10),1,0)</f>
        <v/>
      </c>
    </row>
    <row r="1282">
      <c r="A1282" s="2" t="n">
        <v>1280</v>
      </c>
      <c r="B1282" s="7" t="n">
        <v>46299.04166666666</v>
      </c>
      <c r="C1282" s="2" t="inlineStr">
        <is>
          <t>進場</t>
        </is>
      </c>
      <c r="D1282" s="2" t="n">
        <v>643</v>
      </c>
      <c r="E1282" s="2" t="inlineStr">
        <is>
          <t>PONS_USDT_PERP</t>
        </is>
      </c>
      <c r="F1282" s="2" t="inlineStr">
        <is>
          <t>做空</t>
        </is>
      </c>
      <c r="G1282" s="20" t="n">
        <v>0.409</v>
      </c>
      <c r="H1282" s="20" t="n">
        <v>0.39673</v>
      </c>
      <c r="I1282" s="20" t="n">
        <v>0.42945</v>
      </c>
      <c r="J1282" s="20" t="n"/>
      <c r="K1282" s="2" t="n"/>
      <c r="L1282" s="5" t="n"/>
      <c r="M1282" s="19">
        <f>資金模擬!$B$5*V1281</f>
        <v/>
      </c>
      <c r="N1282" s="2">
        <f>IF(Z1281=1,"已停止",IF(T1281&gt;=M1282,"已下單","資金不足略過"))</f>
        <v/>
      </c>
      <c r="O1282" s="19">
        <f>IF(N1282="已下單",M1282*資金模擬!$B$7,0)</f>
        <v/>
      </c>
      <c r="P1282" s="4" t="n"/>
      <c r="Q1282" s="13" t="n">
        <v>0</v>
      </c>
      <c r="R1282" s="13">
        <f>R1281+Q1282</f>
        <v/>
      </c>
      <c r="S1282" s="19">
        <f>S1281+IF(N1282="已下單",M1282,0)</f>
        <v/>
      </c>
      <c r="T1282" s="19">
        <f>R1282-S1282</f>
        <v/>
      </c>
      <c r="U1282" s="2">
        <f>U1281+IF(N1282="已下單",1,0)</f>
        <v/>
      </c>
      <c r="V1282" s="19">
        <f>IF(資金模擬!$B$9=2,MAX(R1282,0),MAX(V1281,FLOOR(MAX(R1282,0),資金模擬!$B$6)))</f>
        <v/>
      </c>
      <c r="W1282" s="13">
        <f>MAX(W1281,R1282)</f>
        <v/>
      </c>
      <c r="X1282" s="4">
        <f>IF(W1282&gt;0,R1282/W1282-1,-1)</f>
        <v/>
      </c>
      <c r="Y1282" s="19">
        <f>IF(R1282&gt;0,S1282*資金模擬!$B$7/R1282,0)</f>
        <v/>
      </c>
      <c r="Z1282" s="2">
        <f>IF(OR(Z1281=1,R1282&lt;=資金模擬!$B$10),1,0)</f>
        <v/>
      </c>
    </row>
    <row r="1283">
      <c r="A1283" s="2" t="n">
        <v>1281</v>
      </c>
      <c r="B1283" s="7" t="n">
        <v>46299.125</v>
      </c>
      <c r="C1283" s="2" t="inlineStr">
        <is>
          <t>出場</t>
        </is>
      </c>
      <c r="D1283" s="2" t="n">
        <v>640</v>
      </c>
      <c r="E1283" s="2" t="inlineStr">
        <is>
          <t>NIGHT_USDT_PERP</t>
        </is>
      </c>
      <c r="F1283" s="2" t="inlineStr">
        <is>
          <t>做多</t>
        </is>
      </c>
      <c r="G1283" s="20" t="n">
        <v>0.05079</v>
      </c>
      <c r="H1283" s="20" t="n">
        <v>0.0523137</v>
      </c>
      <c r="I1283" s="20" t="n">
        <v>0.0482505</v>
      </c>
      <c r="J1283" s="20" t="n">
        <v>0.0482505</v>
      </c>
      <c r="K1283" s="2" t="inlineStr">
        <is>
          <t>止損</t>
        </is>
      </c>
      <c r="L1283" s="5">
        <f>交易明細!K641</f>
        <v/>
      </c>
      <c r="M1283" s="19">
        <f>M1278</f>
        <v/>
      </c>
      <c r="N1283" s="2">
        <f>N1278</f>
        <v/>
      </c>
      <c r="O1283" s="19">
        <f>O1278</f>
        <v/>
      </c>
      <c r="P1283" s="4">
        <f>交易明細!L641</f>
        <v/>
      </c>
      <c r="Q1283" s="13">
        <f>IF(N1283="已下單",O1283*P1283,0)</f>
        <v/>
      </c>
      <c r="R1283" s="13">
        <f>R1282+Q1283</f>
        <v/>
      </c>
      <c r="S1283" s="19">
        <f>S1282-IF(N1283="已下單",M1283,0)</f>
        <v/>
      </c>
      <c r="T1283" s="19">
        <f>R1283-S1283</f>
        <v/>
      </c>
      <c r="U1283" s="2">
        <f>U1282-IF(N1283="已下單",1,0)</f>
        <v/>
      </c>
      <c r="V1283" s="19">
        <f>IF(資金模擬!$B$9=2,MAX(R1283,0),MAX(V1282,FLOOR(MAX(R1283,0),資金模擬!$B$6)))</f>
        <v/>
      </c>
      <c r="W1283" s="13">
        <f>MAX(W1282,R1283)</f>
        <v/>
      </c>
      <c r="X1283" s="4">
        <f>IF(W1283&gt;0,R1283/W1283-1,-1)</f>
        <v/>
      </c>
      <c r="Y1283" s="19">
        <f>IF(R1283&gt;0,S1283*資金模擬!$B$7/R1283,0)</f>
        <v/>
      </c>
      <c r="Z1283" s="2">
        <f>IF(OR(Z1282=1,R1283&lt;=資金模擬!$B$10),1,0)</f>
        <v/>
      </c>
    </row>
    <row r="1284">
      <c r="A1284" s="2" t="n">
        <v>1282</v>
      </c>
      <c r="B1284" s="7" t="n">
        <v>46299.20833333334</v>
      </c>
      <c r="C1284" s="2" t="inlineStr">
        <is>
          <t>出場</t>
        </is>
      </c>
      <c r="D1284" s="2" t="n">
        <v>642</v>
      </c>
      <c r="E1284" s="2" t="inlineStr">
        <is>
          <t>QNT_USDT_PERP</t>
        </is>
      </c>
      <c r="F1284" s="2" t="inlineStr">
        <is>
          <t>做空</t>
        </is>
      </c>
      <c r="G1284" s="20" t="n">
        <v>248.45</v>
      </c>
      <c r="H1284" s="20" t="n">
        <v>240.9965</v>
      </c>
      <c r="I1284" s="20" t="n">
        <v>260.8725</v>
      </c>
      <c r="J1284" s="20" t="n">
        <v>260.8725</v>
      </c>
      <c r="K1284" s="2" t="inlineStr">
        <is>
          <t>止損</t>
        </is>
      </c>
      <c r="L1284" s="5">
        <f>交易明細!K643</f>
        <v/>
      </c>
      <c r="M1284" s="19">
        <f>M1280</f>
        <v/>
      </c>
      <c r="N1284" s="2">
        <f>N1280</f>
        <v/>
      </c>
      <c r="O1284" s="19">
        <f>O1280</f>
        <v/>
      </c>
      <c r="P1284" s="4">
        <f>交易明細!L643</f>
        <v/>
      </c>
      <c r="Q1284" s="13">
        <f>IF(N1284="已下單",O1284*P1284,0)</f>
        <v/>
      </c>
      <c r="R1284" s="13">
        <f>R1283+Q1284</f>
        <v/>
      </c>
      <c r="S1284" s="19">
        <f>S1283-IF(N1284="已下單",M1284,0)</f>
        <v/>
      </c>
      <c r="T1284" s="19">
        <f>R1284-S1284</f>
        <v/>
      </c>
      <c r="U1284" s="2">
        <f>U1283-IF(N1284="已下單",1,0)</f>
        <v/>
      </c>
      <c r="V1284" s="19">
        <f>IF(資金模擬!$B$9=2,MAX(R1284,0),MAX(V1283,FLOOR(MAX(R1284,0),資金模擬!$B$6)))</f>
        <v/>
      </c>
      <c r="W1284" s="13">
        <f>MAX(W1283,R1284)</f>
        <v/>
      </c>
      <c r="X1284" s="4">
        <f>IF(W1284&gt;0,R1284/W1284-1,-1)</f>
        <v/>
      </c>
      <c r="Y1284" s="19">
        <f>IF(R1284&gt;0,S1284*資金模擬!$B$7/R1284,0)</f>
        <v/>
      </c>
      <c r="Z1284" s="2">
        <f>IF(OR(Z1283=1,R1284&lt;=資金模擬!$B$10),1,0)</f>
        <v/>
      </c>
    </row>
    <row r="1285">
      <c r="A1285" s="2" t="n">
        <v>1283</v>
      </c>
      <c r="B1285" s="7" t="n">
        <v>46299.33333333334</v>
      </c>
      <c r="C1285" s="2" t="inlineStr">
        <is>
          <t>出場</t>
        </is>
      </c>
      <c r="D1285" s="2" t="n">
        <v>635</v>
      </c>
      <c r="E1285" s="2" t="inlineStr">
        <is>
          <t>ONDO_USDT_PERP</t>
        </is>
      </c>
      <c r="F1285" s="2" t="inlineStr">
        <is>
          <t>做空</t>
        </is>
      </c>
      <c r="G1285" s="20" t="n">
        <v>0.4785</v>
      </c>
      <c r="H1285" s="20" t="n">
        <v>0.464145</v>
      </c>
      <c r="I1285" s="20" t="n">
        <v>0.502425</v>
      </c>
      <c r="J1285" s="20" t="n">
        <v>0.502425</v>
      </c>
      <c r="K1285" s="2" t="inlineStr">
        <is>
          <t>止損</t>
        </is>
      </c>
      <c r="L1285" s="5">
        <f>交易明細!K636</f>
        <v/>
      </c>
      <c r="M1285" s="19">
        <f>M1268</f>
        <v/>
      </c>
      <c r="N1285" s="2">
        <f>N1268</f>
        <v/>
      </c>
      <c r="O1285" s="19">
        <f>O1268</f>
        <v/>
      </c>
      <c r="P1285" s="4">
        <f>交易明細!L636</f>
        <v/>
      </c>
      <c r="Q1285" s="13">
        <f>IF(N1285="已下單",O1285*P1285,0)</f>
        <v/>
      </c>
      <c r="R1285" s="13">
        <f>R1284+Q1285</f>
        <v/>
      </c>
      <c r="S1285" s="19">
        <f>S1284-IF(N1285="已下單",M1285,0)</f>
        <v/>
      </c>
      <c r="T1285" s="19">
        <f>R1285-S1285</f>
        <v/>
      </c>
      <c r="U1285" s="2">
        <f>U1284-IF(N1285="已下單",1,0)</f>
        <v/>
      </c>
      <c r="V1285" s="19">
        <f>IF(資金模擬!$B$9=2,MAX(R1285,0),MAX(V1284,FLOOR(MAX(R1285,0),資金模擬!$B$6)))</f>
        <v/>
      </c>
      <c r="W1285" s="13">
        <f>MAX(W1284,R1285)</f>
        <v/>
      </c>
      <c r="X1285" s="4">
        <f>IF(W1285&gt;0,R1285/W1285-1,-1)</f>
        <v/>
      </c>
      <c r="Y1285" s="19">
        <f>IF(R1285&gt;0,S1285*資金模擬!$B$7/R1285,0)</f>
        <v/>
      </c>
      <c r="Z1285" s="2">
        <f>IF(OR(Z1284=1,R1285&lt;=資金模擬!$B$10),1,0)</f>
        <v/>
      </c>
    </row>
    <row r="1286">
      <c r="A1286" s="2" t="n">
        <v>1284</v>
      </c>
      <c r="B1286" s="7" t="n">
        <v>46299.375</v>
      </c>
      <c r="C1286" s="2" t="inlineStr">
        <is>
          <t>出場</t>
        </is>
      </c>
      <c r="D1286" s="2" t="n">
        <v>634</v>
      </c>
      <c r="E1286" s="2" t="inlineStr">
        <is>
          <t>NEAR_USDT_PERP</t>
        </is>
      </c>
      <c r="F1286" s="2" t="inlineStr">
        <is>
          <t>做空</t>
        </is>
      </c>
      <c r="G1286" s="20" t="n">
        <v>4.641</v>
      </c>
      <c r="H1286" s="20" t="n">
        <v>4.50177</v>
      </c>
      <c r="I1286" s="20" t="n">
        <v>4.87305</v>
      </c>
      <c r="J1286" s="20" t="n">
        <v>4.87305</v>
      </c>
      <c r="K1286" s="2" t="inlineStr">
        <is>
          <t>止損</t>
        </is>
      </c>
      <c r="L1286" s="5">
        <f>交易明細!K635</f>
        <v/>
      </c>
      <c r="M1286" s="19">
        <f>M1267</f>
        <v/>
      </c>
      <c r="N1286" s="2">
        <f>N1267</f>
        <v/>
      </c>
      <c r="O1286" s="19">
        <f>O1267</f>
        <v/>
      </c>
      <c r="P1286" s="4">
        <f>交易明細!L635</f>
        <v/>
      </c>
      <c r="Q1286" s="13">
        <f>IF(N1286="已下單",O1286*P1286,0)</f>
        <v/>
      </c>
      <c r="R1286" s="13">
        <f>R1285+Q1286</f>
        <v/>
      </c>
      <c r="S1286" s="19">
        <f>S1285-IF(N1286="已下單",M1286,0)</f>
        <v/>
      </c>
      <c r="T1286" s="19">
        <f>R1286-S1286</f>
        <v/>
      </c>
      <c r="U1286" s="2">
        <f>U1285-IF(N1286="已下單",1,0)</f>
        <v/>
      </c>
      <c r="V1286" s="19">
        <f>IF(資金模擬!$B$9=2,MAX(R1286,0),MAX(V1285,FLOOR(MAX(R1286,0),資金模擬!$B$6)))</f>
        <v/>
      </c>
      <c r="W1286" s="13">
        <f>MAX(W1285,R1286)</f>
        <v/>
      </c>
      <c r="X1286" s="4">
        <f>IF(W1286&gt;0,R1286/W1286-1,-1)</f>
        <v/>
      </c>
      <c r="Y1286" s="19">
        <f>IF(R1286&gt;0,S1286*資金模擬!$B$7/R1286,0)</f>
        <v/>
      </c>
      <c r="Z1286" s="2">
        <f>IF(OR(Z1285=1,R1286&lt;=資金模擬!$B$10),1,0)</f>
        <v/>
      </c>
    </row>
    <row r="1287">
      <c r="A1287" s="2" t="n">
        <v>1285</v>
      </c>
      <c r="B1287" s="7" t="n">
        <v>46299.625</v>
      </c>
      <c r="C1287" s="2" t="inlineStr">
        <is>
          <t>出場</t>
        </is>
      </c>
      <c r="D1287" s="2" t="n">
        <v>643</v>
      </c>
      <c r="E1287" s="2" t="inlineStr">
        <is>
          <t>PONS_USDT_PERP</t>
        </is>
      </c>
      <c r="F1287" s="2" t="inlineStr">
        <is>
          <t>做空</t>
        </is>
      </c>
      <c r="G1287" s="20" t="n">
        <v>0.409</v>
      </c>
      <c r="H1287" s="20" t="n">
        <v>0.39673</v>
      </c>
      <c r="I1287" s="20" t="n">
        <v>0.42945</v>
      </c>
      <c r="J1287" s="20" t="n">
        <v>0.42945</v>
      </c>
      <c r="K1287" s="2" t="inlineStr">
        <is>
          <t>止損</t>
        </is>
      </c>
      <c r="L1287" s="5">
        <f>交易明細!K644</f>
        <v/>
      </c>
      <c r="M1287" s="19">
        <f>M1282</f>
        <v/>
      </c>
      <c r="N1287" s="2">
        <f>N1282</f>
        <v/>
      </c>
      <c r="O1287" s="19">
        <f>O1282</f>
        <v/>
      </c>
      <c r="P1287" s="4">
        <f>交易明細!L644</f>
        <v/>
      </c>
      <c r="Q1287" s="13">
        <f>IF(N1287="已下單",O1287*P1287,0)</f>
        <v/>
      </c>
      <c r="R1287" s="13">
        <f>R1286+Q1287</f>
        <v/>
      </c>
      <c r="S1287" s="19">
        <f>S1286-IF(N1287="已下單",M1287,0)</f>
        <v/>
      </c>
      <c r="T1287" s="19">
        <f>R1287-S1287</f>
        <v/>
      </c>
      <c r="U1287" s="2">
        <f>U1286-IF(N1287="已下單",1,0)</f>
        <v/>
      </c>
      <c r="V1287" s="19">
        <f>IF(資金模擬!$B$9=2,MAX(R1287,0),MAX(V1286,FLOOR(MAX(R1287,0),資金模擬!$B$6)))</f>
        <v/>
      </c>
      <c r="W1287" s="13">
        <f>MAX(W1286,R1287)</f>
        <v/>
      </c>
      <c r="X1287" s="4">
        <f>IF(W1287&gt;0,R1287/W1287-1,-1)</f>
        <v/>
      </c>
      <c r="Y1287" s="19">
        <f>IF(R1287&gt;0,S1287*資金模擬!$B$7/R1287,0)</f>
        <v/>
      </c>
      <c r="Z1287" s="2">
        <f>IF(OR(Z1286=1,R1287&lt;=資金模擬!$B$10),1,0)</f>
        <v/>
      </c>
    </row>
    <row r="1288">
      <c r="A1288" s="2" t="n">
        <v>1286</v>
      </c>
      <c r="B1288" s="7" t="n">
        <v>46299.70833333334</v>
      </c>
      <c r="C1288" s="2" t="inlineStr">
        <is>
          <t>進場</t>
        </is>
      </c>
      <c r="D1288" s="2" t="n">
        <v>644</v>
      </c>
      <c r="E1288" s="2" t="inlineStr">
        <is>
          <t>SAND_USDT_PERP</t>
        </is>
      </c>
      <c r="F1288" s="2" t="inlineStr">
        <is>
          <t>做空</t>
        </is>
      </c>
      <c r="G1288" s="20" t="n">
        <v>0.07376000000000001</v>
      </c>
      <c r="H1288" s="20" t="n">
        <v>0.07154720000000001</v>
      </c>
      <c r="I1288" s="20" t="n">
        <v>0.077448</v>
      </c>
      <c r="J1288" s="20" t="n"/>
      <c r="K1288" s="2" t="n"/>
      <c r="L1288" s="5" t="n"/>
      <c r="M1288" s="19">
        <f>資金模擬!$B$5*V1287</f>
        <v/>
      </c>
      <c r="N1288" s="2">
        <f>IF(Z1287=1,"已停止",IF(T1287&gt;=M1288,"已下單","資金不足略過"))</f>
        <v/>
      </c>
      <c r="O1288" s="19">
        <f>IF(N1288="已下單",M1288*資金模擬!$B$7,0)</f>
        <v/>
      </c>
      <c r="P1288" s="4" t="n"/>
      <c r="Q1288" s="13" t="n">
        <v>0</v>
      </c>
      <c r="R1288" s="13">
        <f>R1287+Q1288</f>
        <v/>
      </c>
      <c r="S1288" s="19">
        <f>S1287+IF(N1288="已下單",M1288,0)</f>
        <v/>
      </c>
      <c r="T1288" s="19">
        <f>R1288-S1288</f>
        <v/>
      </c>
      <c r="U1288" s="2">
        <f>U1287+IF(N1288="已下單",1,0)</f>
        <v/>
      </c>
      <c r="V1288" s="19">
        <f>IF(資金模擬!$B$9=2,MAX(R1288,0),MAX(V1287,FLOOR(MAX(R1288,0),資金模擬!$B$6)))</f>
        <v/>
      </c>
      <c r="W1288" s="13">
        <f>MAX(W1287,R1288)</f>
        <v/>
      </c>
      <c r="X1288" s="4">
        <f>IF(W1288&gt;0,R1288/W1288-1,-1)</f>
        <v/>
      </c>
      <c r="Y1288" s="19">
        <f>IF(R1288&gt;0,S1288*資金模擬!$B$7/R1288,0)</f>
        <v/>
      </c>
      <c r="Z1288" s="2">
        <f>IF(OR(Z1287=1,R1288&lt;=資金模擬!$B$10),1,0)</f>
        <v/>
      </c>
    </row>
    <row r="1289">
      <c r="A1289" s="2" t="n">
        <v>1287</v>
      </c>
      <c r="B1289" s="7" t="n">
        <v>46299.79166666666</v>
      </c>
      <c r="C1289" s="2" t="inlineStr">
        <is>
          <t>進場</t>
        </is>
      </c>
      <c r="D1289" s="2" t="n">
        <v>645</v>
      </c>
      <c r="E1289" s="2" t="inlineStr">
        <is>
          <t>ZRO_USDT_PERP</t>
        </is>
      </c>
      <c r="F1289" s="2" t="inlineStr">
        <is>
          <t>做空</t>
        </is>
      </c>
      <c r="G1289" s="20" t="n">
        <v>1.9861</v>
      </c>
      <c r="H1289" s="20" t="n">
        <v>1.926517</v>
      </c>
      <c r="I1289" s="20" t="n">
        <v>2.085405</v>
      </c>
      <c r="J1289" s="20" t="n"/>
      <c r="K1289" s="2" t="n"/>
      <c r="L1289" s="5" t="n"/>
      <c r="M1289" s="19">
        <f>資金模擬!$B$5*V1288</f>
        <v/>
      </c>
      <c r="N1289" s="2">
        <f>IF(Z1288=1,"已停止",IF(T1288&gt;=M1289,"已下單","資金不足略過"))</f>
        <v/>
      </c>
      <c r="O1289" s="19">
        <f>IF(N1289="已下單",M1289*資金模擬!$B$7,0)</f>
        <v/>
      </c>
      <c r="P1289" s="4" t="n"/>
      <c r="Q1289" s="13" t="n">
        <v>0</v>
      </c>
      <c r="R1289" s="13">
        <f>R1288+Q1289</f>
        <v/>
      </c>
      <c r="S1289" s="19">
        <f>S1288+IF(N1289="已下單",M1289,0)</f>
        <v/>
      </c>
      <c r="T1289" s="19">
        <f>R1289-S1289</f>
        <v/>
      </c>
      <c r="U1289" s="2">
        <f>U1288+IF(N1289="已下單",1,0)</f>
        <v/>
      </c>
      <c r="V1289" s="19">
        <f>IF(資金模擬!$B$9=2,MAX(R1289,0),MAX(V1288,FLOOR(MAX(R1289,0),資金模擬!$B$6)))</f>
        <v/>
      </c>
      <c r="W1289" s="13">
        <f>MAX(W1288,R1289)</f>
        <v/>
      </c>
      <c r="X1289" s="4">
        <f>IF(W1289&gt;0,R1289/W1289-1,-1)</f>
        <v/>
      </c>
      <c r="Y1289" s="19">
        <f>IF(R1289&gt;0,S1289*資金模擬!$B$7/R1289,0)</f>
        <v/>
      </c>
      <c r="Z1289" s="2">
        <f>IF(OR(Z1288=1,R1289&lt;=資金模擬!$B$10),1,0)</f>
        <v/>
      </c>
    </row>
    <row r="1290">
      <c r="A1290" s="2" t="n">
        <v>1288</v>
      </c>
      <c r="B1290" s="7" t="n">
        <v>46299.83333333334</v>
      </c>
      <c r="C1290" s="2" t="inlineStr">
        <is>
          <t>出場</t>
        </is>
      </c>
      <c r="D1290" s="2" t="n">
        <v>644</v>
      </c>
      <c r="E1290" s="2" t="inlineStr">
        <is>
          <t>SAND_USDT_PERP</t>
        </is>
      </c>
      <c r="F1290" s="2" t="inlineStr">
        <is>
          <t>做空</t>
        </is>
      </c>
      <c r="G1290" s="20" t="n">
        <v>0.07376000000000001</v>
      </c>
      <c r="H1290" s="20" t="n">
        <v>0.07154720000000001</v>
      </c>
      <c r="I1290" s="20" t="n">
        <v>0.077448</v>
      </c>
      <c r="J1290" s="20" t="n">
        <v>0.077448</v>
      </c>
      <c r="K1290" s="2" t="inlineStr">
        <is>
          <t>止損</t>
        </is>
      </c>
      <c r="L1290" s="5">
        <f>交易明細!K645</f>
        <v/>
      </c>
      <c r="M1290" s="19">
        <f>M1288</f>
        <v/>
      </c>
      <c r="N1290" s="2">
        <f>N1288</f>
        <v/>
      </c>
      <c r="O1290" s="19">
        <f>O1288</f>
        <v/>
      </c>
      <c r="P1290" s="4">
        <f>交易明細!L645</f>
        <v/>
      </c>
      <c r="Q1290" s="13">
        <f>IF(N1290="已下單",O1290*P1290,0)</f>
        <v/>
      </c>
      <c r="R1290" s="13">
        <f>R1289+Q1290</f>
        <v/>
      </c>
      <c r="S1290" s="19">
        <f>S1289-IF(N1290="已下單",M1290,0)</f>
        <v/>
      </c>
      <c r="T1290" s="19">
        <f>R1290-S1290</f>
        <v/>
      </c>
      <c r="U1290" s="2">
        <f>U1289-IF(N1290="已下單",1,0)</f>
        <v/>
      </c>
      <c r="V1290" s="19">
        <f>IF(資金模擬!$B$9=2,MAX(R1290,0),MAX(V1289,FLOOR(MAX(R1290,0),資金模擬!$B$6)))</f>
        <v/>
      </c>
      <c r="W1290" s="13">
        <f>MAX(W1289,R1290)</f>
        <v/>
      </c>
      <c r="X1290" s="4">
        <f>IF(W1290&gt;0,R1290/W1290-1,-1)</f>
        <v/>
      </c>
      <c r="Y1290" s="19">
        <f>IF(R1290&gt;0,S1290*資金模擬!$B$7/R1290,0)</f>
        <v/>
      </c>
      <c r="Z1290" s="2">
        <f>IF(OR(Z1289=1,R1290&lt;=資金模擬!$B$10),1,0)</f>
        <v/>
      </c>
    </row>
    <row r="1291">
      <c r="A1291" s="2" t="n">
        <v>1289</v>
      </c>
      <c r="B1291" s="7" t="n">
        <v>46299.83333333334</v>
      </c>
      <c r="C1291" s="2" t="inlineStr">
        <is>
          <t>進場</t>
        </is>
      </c>
      <c r="D1291" s="2" t="n">
        <v>646</v>
      </c>
      <c r="E1291" s="2" t="inlineStr">
        <is>
          <t>AKE_USDT_PERP</t>
        </is>
      </c>
      <c r="F1291" s="2" t="inlineStr">
        <is>
          <t>做多</t>
        </is>
      </c>
      <c r="G1291" s="20" t="n">
        <v>0.0354325</v>
      </c>
      <c r="H1291" s="20" t="n">
        <v>0.036495475</v>
      </c>
      <c r="I1291" s="20" t="n">
        <v>0.033660875</v>
      </c>
      <c r="J1291" s="20" t="n"/>
      <c r="K1291" s="2" t="n"/>
      <c r="L1291" s="5" t="n"/>
      <c r="M1291" s="19">
        <f>資金模擬!$B$5*V1290</f>
        <v/>
      </c>
      <c r="N1291" s="2">
        <f>IF(Z1290=1,"已停止",IF(T1290&gt;=M1291,"已下單","資金不足略過"))</f>
        <v/>
      </c>
      <c r="O1291" s="19">
        <f>IF(N1291="已下單",M1291*資金模擬!$B$7,0)</f>
        <v/>
      </c>
      <c r="P1291" s="4" t="n"/>
      <c r="Q1291" s="13" t="n">
        <v>0</v>
      </c>
      <c r="R1291" s="13">
        <f>R1290+Q1291</f>
        <v/>
      </c>
      <c r="S1291" s="19">
        <f>S1290+IF(N1291="已下單",M1291,0)</f>
        <v/>
      </c>
      <c r="T1291" s="19">
        <f>R1291-S1291</f>
        <v/>
      </c>
      <c r="U1291" s="2">
        <f>U1290+IF(N1291="已下單",1,0)</f>
        <v/>
      </c>
      <c r="V1291" s="19">
        <f>IF(資金模擬!$B$9=2,MAX(R1291,0),MAX(V1290,FLOOR(MAX(R1291,0),資金模擬!$B$6)))</f>
        <v/>
      </c>
      <c r="W1291" s="13">
        <f>MAX(W1290,R1291)</f>
        <v/>
      </c>
      <c r="X1291" s="4">
        <f>IF(W1291&gt;0,R1291/W1291-1,-1)</f>
        <v/>
      </c>
      <c r="Y1291" s="19">
        <f>IF(R1291&gt;0,S1291*資金模擬!$B$7/R1291,0)</f>
        <v/>
      </c>
      <c r="Z1291" s="2">
        <f>IF(OR(Z1290=1,R1291&lt;=資金模擬!$B$10),1,0)</f>
        <v/>
      </c>
    </row>
    <row r="1292">
      <c r="A1292" s="2" t="n">
        <v>1290</v>
      </c>
      <c r="B1292" s="7" t="n">
        <v>46299.83333333334</v>
      </c>
      <c r="C1292" s="2" t="inlineStr">
        <is>
          <t>進場</t>
        </is>
      </c>
      <c r="D1292" s="2" t="n">
        <v>647</v>
      </c>
      <c r="E1292" s="2" t="inlineStr">
        <is>
          <t>STRK_USDT_PERP</t>
        </is>
      </c>
      <c r="F1292" s="2" t="inlineStr">
        <is>
          <t>做多</t>
        </is>
      </c>
      <c r="G1292" s="20" t="n">
        <v>0.0551</v>
      </c>
      <c r="H1292" s="20" t="n">
        <v>0.056753</v>
      </c>
      <c r="I1292" s="20" t="n">
        <v>0.052345</v>
      </c>
      <c r="J1292" s="20" t="n"/>
      <c r="K1292" s="2" t="n"/>
      <c r="L1292" s="5" t="n"/>
      <c r="M1292" s="19">
        <f>資金模擬!$B$5*V1291</f>
        <v/>
      </c>
      <c r="N1292" s="2">
        <f>IF(Z1291=1,"已停止",IF(T1291&gt;=M1292,"已下單","資金不足略過"))</f>
        <v/>
      </c>
      <c r="O1292" s="19">
        <f>IF(N1292="已下單",M1292*資金模擬!$B$7,0)</f>
        <v/>
      </c>
      <c r="P1292" s="4" t="n"/>
      <c r="Q1292" s="13" t="n">
        <v>0</v>
      </c>
      <c r="R1292" s="13">
        <f>R1291+Q1292</f>
        <v/>
      </c>
      <c r="S1292" s="19">
        <f>S1291+IF(N1292="已下單",M1292,0)</f>
        <v/>
      </c>
      <c r="T1292" s="19">
        <f>R1292-S1292</f>
        <v/>
      </c>
      <c r="U1292" s="2">
        <f>U1291+IF(N1292="已下單",1,0)</f>
        <v/>
      </c>
      <c r="V1292" s="19">
        <f>IF(資金模擬!$B$9=2,MAX(R1292,0),MAX(V1291,FLOOR(MAX(R1292,0),資金模擬!$B$6)))</f>
        <v/>
      </c>
      <c r="W1292" s="13">
        <f>MAX(W1291,R1292)</f>
        <v/>
      </c>
      <c r="X1292" s="4">
        <f>IF(W1292&gt;0,R1292/W1292-1,-1)</f>
        <v/>
      </c>
      <c r="Y1292" s="19">
        <f>IF(R1292&gt;0,S1292*資金模擬!$B$7/R1292,0)</f>
        <v/>
      </c>
      <c r="Z1292" s="2">
        <f>IF(OR(Z1291=1,R1292&lt;=資金模擬!$B$10),1,0)</f>
        <v/>
      </c>
    </row>
    <row r="1293">
      <c r="A1293" s="2" t="n">
        <v>1291</v>
      </c>
      <c r="B1293" s="7" t="n">
        <v>46299.91666666666</v>
      </c>
      <c r="C1293" s="2" t="inlineStr">
        <is>
          <t>出場</t>
        </is>
      </c>
      <c r="D1293" s="2" t="n">
        <v>647</v>
      </c>
      <c r="E1293" s="2" t="inlineStr">
        <is>
          <t>STRK_USDT_PERP</t>
        </is>
      </c>
      <c r="F1293" s="2" t="inlineStr">
        <is>
          <t>做多</t>
        </is>
      </c>
      <c r="G1293" s="20" t="n">
        <v>0.0551</v>
      </c>
      <c r="H1293" s="20" t="n">
        <v>0.056753</v>
      </c>
      <c r="I1293" s="20" t="n">
        <v>0.052345</v>
      </c>
      <c r="J1293" s="20" t="n">
        <v>0.056753</v>
      </c>
      <c r="K1293" s="2" t="inlineStr">
        <is>
          <t>止盈</t>
        </is>
      </c>
      <c r="L1293" s="5">
        <f>交易明細!K648</f>
        <v/>
      </c>
      <c r="M1293" s="19">
        <f>M1292</f>
        <v/>
      </c>
      <c r="N1293" s="2">
        <f>N1292</f>
        <v/>
      </c>
      <c r="O1293" s="19">
        <f>O1292</f>
        <v/>
      </c>
      <c r="P1293" s="4">
        <f>交易明細!L648</f>
        <v/>
      </c>
      <c r="Q1293" s="13">
        <f>IF(N1293="已下單",O1293*P1293,0)</f>
        <v/>
      </c>
      <c r="R1293" s="13">
        <f>R1292+Q1293</f>
        <v/>
      </c>
      <c r="S1293" s="19">
        <f>S1292-IF(N1293="已下單",M1293,0)</f>
        <v/>
      </c>
      <c r="T1293" s="19">
        <f>R1293-S1293</f>
        <v/>
      </c>
      <c r="U1293" s="2">
        <f>U1292-IF(N1293="已下單",1,0)</f>
        <v/>
      </c>
      <c r="V1293" s="19">
        <f>IF(資金模擬!$B$9=2,MAX(R1293,0),MAX(V1292,FLOOR(MAX(R1293,0),資金模擬!$B$6)))</f>
        <v/>
      </c>
      <c r="W1293" s="13">
        <f>MAX(W1292,R1293)</f>
        <v/>
      </c>
      <c r="X1293" s="4">
        <f>IF(W1293&gt;0,R1293/W1293-1,-1)</f>
        <v/>
      </c>
      <c r="Y1293" s="19">
        <f>IF(R1293&gt;0,S1293*資金模擬!$B$7/R1293,0)</f>
        <v/>
      </c>
      <c r="Z1293" s="2">
        <f>IF(OR(Z1292=1,R1293&lt;=資金模擬!$B$10),1,0)</f>
        <v/>
      </c>
    </row>
    <row r="1294">
      <c r="A1294" s="2" t="n">
        <v>1292</v>
      </c>
      <c r="B1294" s="7" t="n">
        <v>46299.95833333334</v>
      </c>
      <c r="C1294" s="2" t="inlineStr">
        <is>
          <t>進場</t>
        </is>
      </c>
      <c r="D1294" s="2" t="n">
        <v>648</v>
      </c>
      <c r="E1294" s="2" t="inlineStr">
        <is>
          <t>PONS_USDT_PERP</t>
        </is>
      </c>
      <c r="F1294" s="2" t="inlineStr">
        <is>
          <t>做空</t>
        </is>
      </c>
      <c r="G1294" s="20" t="n">
        <v>0.3893</v>
      </c>
      <c r="H1294" s="20" t="n">
        <v>0.377621</v>
      </c>
      <c r="I1294" s="20" t="n">
        <v>0.408765</v>
      </c>
      <c r="J1294" s="20" t="n"/>
      <c r="K1294" s="2" t="n"/>
      <c r="L1294" s="5" t="n"/>
      <c r="M1294" s="19">
        <f>資金模擬!$B$5*V1293</f>
        <v/>
      </c>
      <c r="N1294" s="2">
        <f>IF(Z1293=1,"已停止",IF(T1293&gt;=M1294,"已下單","資金不足略過"))</f>
        <v/>
      </c>
      <c r="O1294" s="19">
        <f>IF(N1294="已下單",M1294*資金模擬!$B$7,0)</f>
        <v/>
      </c>
      <c r="P1294" s="4" t="n"/>
      <c r="Q1294" s="13" t="n">
        <v>0</v>
      </c>
      <c r="R1294" s="13">
        <f>R1293+Q1294</f>
        <v/>
      </c>
      <c r="S1294" s="19">
        <f>S1293+IF(N1294="已下單",M1294,0)</f>
        <v/>
      </c>
      <c r="T1294" s="19">
        <f>R1294-S1294</f>
        <v/>
      </c>
      <c r="U1294" s="2">
        <f>U1293+IF(N1294="已下單",1,0)</f>
        <v/>
      </c>
      <c r="V1294" s="19">
        <f>IF(資金模擬!$B$9=2,MAX(R1294,0),MAX(V1293,FLOOR(MAX(R1294,0),資金模擬!$B$6)))</f>
        <v/>
      </c>
      <c r="W1294" s="13">
        <f>MAX(W1293,R1294)</f>
        <v/>
      </c>
      <c r="X1294" s="4">
        <f>IF(W1294&gt;0,R1294/W1294-1,-1)</f>
        <v/>
      </c>
      <c r="Y1294" s="19">
        <f>IF(R1294&gt;0,S1294*資金模擬!$B$7/R1294,0)</f>
        <v/>
      </c>
      <c r="Z1294" s="2">
        <f>IF(OR(Z1293=1,R1294&lt;=資金模擬!$B$10),1,0)</f>
        <v/>
      </c>
    </row>
    <row r="1295">
      <c r="A1295" s="2" t="n">
        <v>1293</v>
      </c>
      <c r="B1295" s="7" t="n">
        <v>46300.04166666666</v>
      </c>
      <c r="C1295" s="2" t="inlineStr">
        <is>
          <t>出場</t>
        </is>
      </c>
      <c r="D1295" s="2" t="n">
        <v>648</v>
      </c>
      <c r="E1295" s="2" t="inlineStr">
        <is>
          <t>PONS_USDT_PERP</t>
        </is>
      </c>
      <c r="F1295" s="2" t="inlineStr">
        <is>
          <t>做空</t>
        </is>
      </c>
      <c r="G1295" s="20" t="n">
        <v>0.3893</v>
      </c>
      <c r="H1295" s="20" t="n">
        <v>0.377621</v>
      </c>
      <c r="I1295" s="20" t="n">
        <v>0.408765</v>
      </c>
      <c r="J1295" s="20" t="n">
        <v>0.377621</v>
      </c>
      <c r="K1295" s="2" t="inlineStr">
        <is>
          <t>止盈</t>
        </is>
      </c>
      <c r="L1295" s="5">
        <f>交易明細!K649</f>
        <v/>
      </c>
      <c r="M1295" s="19">
        <f>M1294</f>
        <v/>
      </c>
      <c r="N1295" s="2">
        <f>N1294</f>
        <v/>
      </c>
      <c r="O1295" s="19">
        <f>O1294</f>
        <v/>
      </c>
      <c r="P1295" s="4">
        <f>交易明細!L649</f>
        <v/>
      </c>
      <c r="Q1295" s="13">
        <f>IF(N1295="已下單",O1295*P1295,0)</f>
        <v/>
      </c>
      <c r="R1295" s="13">
        <f>R1294+Q1295</f>
        <v/>
      </c>
      <c r="S1295" s="19">
        <f>S1294-IF(N1295="已下單",M1295,0)</f>
        <v/>
      </c>
      <c r="T1295" s="19">
        <f>R1295-S1295</f>
        <v/>
      </c>
      <c r="U1295" s="2">
        <f>U1294-IF(N1295="已下單",1,0)</f>
        <v/>
      </c>
      <c r="V1295" s="19">
        <f>IF(資金模擬!$B$9=2,MAX(R1295,0),MAX(V1294,FLOOR(MAX(R1295,0),資金模擬!$B$6)))</f>
        <v/>
      </c>
      <c r="W1295" s="13">
        <f>MAX(W1294,R1295)</f>
        <v/>
      </c>
      <c r="X1295" s="4">
        <f>IF(W1295&gt;0,R1295/W1295-1,-1)</f>
        <v/>
      </c>
      <c r="Y1295" s="19">
        <f>IF(R1295&gt;0,S1295*資金模擬!$B$7/R1295,0)</f>
        <v/>
      </c>
      <c r="Z1295" s="2">
        <f>IF(OR(Z1294=1,R1295&lt;=資金模擬!$B$10),1,0)</f>
        <v/>
      </c>
    </row>
    <row r="1296">
      <c r="A1296" s="2" t="n">
        <v>1294</v>
      </c>
      <c r="B1296" s="7" t="n">
        <v>46300.04166666666</v>
      </c>
      <c r="C1296" s="2" t="inlineStr">
        <is>
          <t>進場</t>
        </is>
      </c>
      <c r="D1296" s="2" t="n">
        <v>649</v>
      </c>
      <c r="E1296" s="2" t="inlineStr">
        <is>
          <t>BR_USDT_PERP</t>
        </is>
      </c>
      <c r="F1296" s="2" t="inlineStr">
        <is>
          <t>做空</t>
        </is>
      </c>
      <c r="G1296" s="20" t="n">
        <v>0.4638</v>
      </c>
      <c r="H1296" s="20" t="n">
        <v>0.449886</v>
      </c>
      <c r="I1296" s="20" t="n">
        <v>0.48699</v>
      </c>
      <c r="J1296" s="20" t="n"/>
      <c r="K1296" s="2" t="n"/>
      <c r="L1296" s="5" t="n"/>
      <c r="M1296" s="19">
        <f>資金模擬!$B$5*V1295</f>
        <v/>
      </c>
      <c r="N1296" s="2">
        <f>IF(Z1295=1,"已停止",IF(T1295&gt;=M1296,"已下單","資金不足略過"))</f>
        <v/>
      </c>
      <c r="O1296" s="19">
        <f>IF(N1296="已下單",M1296*資金模擬!$B$7,0)</f>
        <v/>
      </c>
      <c r="P1296" s="4" t="n"/>
      <c r="Q1296" s="13" t="n">
        <v>0</v>
      </c>
      <c r="R1296" s="13">
        <f>R1295+Q1296</f>
        <v/>
      </c>
      <c r="S1296" s="19">
        <f>S1295+IF(N1296="已下單",M1296,0)</f>
        <v/>
      </c>
      <c r="T1296" s="19">
        <f>R1296-S1296</f>
        <v/>
      </c>
      <c r="U1296" s="2">
        <f>U1295+IF(N1296="已下單",1,0)</f>
        <v/>
      </c>
      <c r="V1296" s="19">
        <f>IF(資金模擬!$B$9=2,MAX(R1296,0),MAX(V1295,FLOOR(MAX(R1296,0),資金模擬!$B$6)))</f>
        <v/>
      </c>
      <c r="W1296" s="13">
        <f>MAX(W1295,R1296)</f>
        <v/>
      </c>
      <c r="X1296" s="4">
        <f>IF(W1296&gt;0,R1296/W1296-1,-1)</f>
        <v/>
      </c>
      <c r="Y1296" s="19">
        <f>IF(R1296&gt;0,S1296*資金模擬!$B$7/R1296,0)</f>
        <v/>
      </c>
      <c r="Z1296" s="2">
        <f>IF(OR(Z1295=1,R1296&lt;=資金模擬!$B$10),1,0)</f>
        <v/>
      </c>
    </row>
    <row r="1297">
      <c r="A1297" s="2" t="n">
        <v>1295</v>
      </c>
      <c r="B1297" s="7" t="n">
        <v>46300.125</v>
      </c>
      <c r="C1297" s="2" t="inlineStr">
        <is>
          <t>出場</t>
        </is>
      </c>
      <c r="D1297" s="2" t="n">
        <v>649</v>
      </c>
      <c r="E1297" s="2" t="inlineStr">
        <is>
          <t>BR_USDT_PERP</t>
        </is>
      </c>
      <c r="F1297" s="2" t="inlineStr">
        <is>
          <t>做空</t>
        </is>
      </c>
      <c r="G1297" s="20" t="n">
        <v>0.4638</v>
      </c>
      <c r="H1297" s="20" t="n">
        <v>0.449886</v>
      </c>
      <c r="I1297" s="20" t="n">
        <v>0.48699</v>
      </c>
      <c r="J1297" s="20" t="n">
        <v>0.449886</v>
      </c>
      <c r="K1297" s="2" t="inlineStr">
        <is>
          <t>止盈</t>
        </is>
      </c>
      <c r="L1297" s="5">
        <f>交易明細!K650</f>
        <v/>
      </c>
      <c r="M1297" s="19">
        <f>M1296</f>
        <v/>
      </c>
      <c r="N1297" s="2">
        <f>N1296</f>
        <v/>
      </c>
      <c r="O1297" s="19">
        <f>O1296</f>
        <v/>
      </c>
      <c r="P1297" s="4">
        <f>交易明細!L650</f>
        <v/>
      </c>
      <c r="Q1297" s="13">
        <f>IF(N1297="已下單",O1297*P1297,0)</f>
        <v/>
      </c>
      <c r="R1297" s="13">
        <f>R1296+Q1297</f>
        <v/>
      </c>
      <c r="S1297" s="19">
        <f>S1296-IF(N1297="已下單",M1297,0)</f>
        <v/>
      </c>
      <c r="T1297" s="19">
        <f>R1297-S1297</f>
        <v/>
      </c>
      <c r="U1297" s="2">
        <f>U1296-IF(N1297="已下單",1,0)</f>
        <v/>
      </c>
      <c r="V1297" s="19">
        <f>IF(資金模擬!$B$9=2,MAX(R1297,0),MAX(V1296,FLOOR(MAX(R1297,0),資金模擬!$B$6)))</f>
        <v/>
      </c>
      <c r="W1297" s="13">
        <f>MAX(W1296,R1297)</f>
        <v/>
      </c>
      <c r="X1297" s="4">
        <f>IF(W1297&gt;0,R1297/W1297-1,-1)</f>
        <v/>
      </c>
      <c r="Y1297" s="19">
        <f>IF(R1297&gt;0,S1297*資金模擬!$B$7/R1297,0)</f>
        <v/>
      </c>
      <c r="Z1297" s="2">
        <f>IF(OR(Z1296=1,R1297&lt;=資金模擬!$B$10),1,0)</f>
        <v/>
      </c>
    </row>
    <row r="1298">
      <c r="A1298" s="2" t="n">
        <v>1296</v>
      </c>
      <c r="B1298" s="7" t="n">
        <v>46300.16666666666</v>
      </c>
      <c r="C1298" s="2" t="inlineStr">
        <is>
          <t>進場</t>
        </is>
      </c>
      <c r="D1298" s="2" t="n">
        <v>650</v>
      </c>
      <c r="E1298" s="2" t="inlineStr">
        <is>
          <t>MUBARAK_USDT_PERP</t>
        </is>
      </c>
      <c r="F1298" s="2" t="inlineStr">
        <is>
          <t>做空</t>
        </is>
      </c>
      <c r="G1298" s="20" t="n">
        <v>0.06798</v>
      </c>
      <c r="H1298" s="20" t="n">
        <v>0.0659406</v>
      </c>
      <c r="I1298" s="20" t="n">
        <v>0.071379</v>
      </c>
      <c r="J1298" s="20" t="n"/>
      <c r="K1298" s="2" t="n"/>
      <c r="L1298" s="5" t="n"/>
      <c r="M1298" s="19">
        <f>資金模擬!$B$5*V1297</f>
        <v/>
      </c>
      <c r="N1298" s="2">
        <f>IF(Z1297=1,"已停止",IF(T1297&gt;=M1298,"已下單","資金不足略過"))</f>
        <v/>
      </c>
      <c r="O1298" s="19">
        <f>IF(N1298="已下單",M1298*資金模擬!$B$7,0)</f>
        <v/>
      </c>
      <c r="P1298" s="4" t="n"/>
      <c r="Q1298" s="13" t="n">
        <v>0</v>
      </c>
      <c r="R1298" s="13">
        <f>R1297+Q1298</f>
        <v/>
      </c>
      <c r="S1298" s="19">
        <f>S1297+IF(N1298="已下單",M1298,0)</f>
        <v/>
      </c>
      <c r="T1298" s="19">
        <f>R1298-S1298</f>
        <v/>
      </c>
      <c r="U1298" s="2">
        <f>U1297+IF(N1298="已下單",1,0)</f>
        <v/>
      </c>
      <c r="V1298" s="19">
        <f>IF(資金模擬!$B$9=2,MAX(R1298,0),MAX(V1297,FLOOR(MAX(R1298,0),資金模擬!$B$6)))</f>
        <v/>
      </c>
      <c r="W1298" s="13">
        <f>MAX(W1297,R1298)</f>
        <v/>
      </c>
      <c r="X1298" s="4">
        <f>IF(W1298&gt;0,R1298/W1298-1,-1)</f>
        <v/>
      </c>
      <c r="Y1298" s="19">
        <f>IF(R1298&gt;0,S1298*資金模擬!$B$7/R1298,0)</f>
        <v/>
      </c>
      <c r="Z1298" s="2">
        <f>IF(OR(Z1297=1,R1298&lt;=資金模擬!$B$10),1,0)</f>
        <v/>
      </c>
    </row>
    <row r="1299">
      <c r="A1299" s="2" t="n">
        <v>1297</v>
      </c>
      <c r="B1299" s="7" t="n">
        <v>46300.20833333334</v>
      </c>
      <c r="C1299" s="2" t="inlineStr">
        <is>
          <t>出場</t>
        </is>
      </c>
      <c r="D1299" s="2" t="n">
        <v>650</v>
      </c>
      <c r="E1299" s="2" t="inlineStr">
        <is>
          <t>MUBARAK_USDT_PERP</t>
        </is>
      </c>
      <c r="F1299" s="2" t="inlineStr">
        <is>
          <t>做空</t>
        </is>
      </c>
      <c r="G1299" s="20" t="n">
        <v>0.06798</v>
      </c>
      <c r="H1299" s="20" t="n">
        <v>0.0659406</v>
      </c>
      <c r="I1299" s="20" t="n">
        <v>0.071379</v>
      </c>
      <c r="J1299" s="20" t="n">
        <v>0.0659406</v>
      </c>
      <c r="K1299" s="2" t="inlineStr">
        <is>
          <t>止盈</t>
        </is>
      </c>
      <c r="L1299" s="5">
        <f>交易明細!K651</f>
        <v/>
      </c>
      <c r="M1299" s="19">
        <f>M1298</f>
        <v/>
      </c>
      <c r="N1299" s="2">
        <f>N1298</f>
        <v/>
      </c>
      <c r="O1299" s="19">
        <f>O1298</f>
        <v/>
      </c>
      <c r="P1299" s="4">
        <f>交易明細!L651</f>
        <v/>
      </c>
      <c r="Q1299" s="13">
        <f>IF(N1299="已下單",O1299*P1299,0)</f>
        <v/>
      </c>
      <c r="R1299" s="13">
        <f>R1298+Q1299</f>
        <v/>
      </c>
      <c r="S1299" s="19">
        <f>S1298-IF(N1299="已下單",M1299,0)</f>
        <v/>
      </c>
      <c r="T1299" s="19">
        <f>R1299-S1299</f>
        <v/>
      </c>
      <c r="U1299" s="2">
        <f>U1298-IF(N1299="已下單",1,0)</f>
        <v/>
      </c>
      <c r="V1299" s="19">
        <f>IF(資金模擬!$B$9=2,MAX(R1299,0),MAX(V1298,FLOOR(MAX(R1299,0),資金模擬!$B$6)))</f>
        <v/>
      </c>
      <c r="W1299" s="13">
        <f>MAX(W1298,R1299)</f>
        <v/>
      </c>
      <c r="X1299" s="4">
        <f>IF(W1299&gt;0,R1299/W1299-1,-1)</f>
        <v/>
      </c>
      <c r="Y1299" s="19">
        <f>IF(R1299&gt;0,S1299*資金模擬!$B$7/R1299,0)</f>
        <v/>
      </c>
      <c r="Z1299" s="2">
        <f>IF(OR(Z1298=1,R1299&lt;=資金模擬!$B$10),1,0)</f>
        <v/>
      </c>
    </row>
    <row r="1300">
      <c r="A1300" s="2" t="n">
        <v>1298</v>
      </c>
      <c r="B1300" s="7" t="n">
        <v>46300.20833333334</v>
      </c>
      <c r="C1300" s="2" t="inlineStr">
        <is>
          <t>進場</t>
        </is>
      </c>
      <c r="D1300" s="2" t="n">
        <v>651</v>
      </c>
      <c r="E1300" s="2" t="inlineStr">
        <is>
          <t>QNT_USDT_PERP</t>
        </is>
      </c>
      <c r="F1300" s="2" t="inlineStr">
        <is>
          <t>做空</t>
        </is>
      </c>
      <c r="G1300" s="20" t="n">
        <v>249.63</v>
      </c>
      <c r="H1300" s="20" t="n">
        <v>242.1411</v>
      </c>
      <c r="I1300" s="20" t="n">
        <v>262.1115</v>
      </c>
      <c r="J1300" s="20" t="n"/>
      <c r="K1300" s="2" t="n"/>
      <c r="L1300" s="5" t="n"/>
      <c r="M1300" s="19">
        <f>資金模擬!$B$5*V1299</f>
        <v/>
      </c>
      <c r="N1300" s="2">
        <f>IF(Z1299=1,"已停止",IF(T1299&gt;=M1300,"已下單","資金不足略過"))</f>
        <v/>
      </c>
      <c r="O1300" s="19">
        <f>IF(N1300="已下單",M1300*資金模擬!$B$7,0)</f>
        <v/>
      </c>
      <c r="P1300" s="4" t="n"/>
      <c r="Q1300" s="13" t="n">
        <v>0</v>
      </c>
      <c r="R1300" s="13">
        <f>R1299+Q1300</f>
        <v/>
      </c>
      <c r="S1300" s="19">
        <f>S1299+IF(N1300="已下單",M1300,0)</f>
        <v/>
      </c>
      <c r="T1300" s="19">
        <f>R1300-S1300</f>
        <v/>
      </c>
      <c r="U1300" s="2">
        <f>U1299+IF(N1300="已下單",1,0)</f>
        <v/>
      </c>
      <c r="V1300" s="19">
        <f>IF(資金模擬!$B$9=2,MAX(R1300,0),MAX(V1299,FLOOR(MAX(R1300,0),資金模擬!$B$6)))</f>
        <v/>
      </c>
      <c r="W1300" s="13">
        <f>MAX(W1299,R1300)</f>
        <v/>
      </c>
      <c r="X1300" s="4">
        <f>IF(W1300&gt;0,R1300/W1300-1,-1)</f>
        <v/>
      </c>
      <c r="Y1300" s="19">
        <f>IF(R1300&gt;0,S1300*資金模擬!$B$7/R1300,0)</f>
        <v/>
      </c>
      <c r="Z1300" s="2">
        <f>IF(OR(Z1299=1,R1300&lt;=資金模擬!$B$10),1,0)</f>
        <v/>
      </c>
    </row>
    <row r="1301">
      <c r="A1301" s="2" t="n">
        <v>1299</v>
      </c>
      <c r="B1301" s="7" t="n">
        <v>46300.20833333334</v>
      </c>
      <c r="C1301" s="2" t="inlineStr">
        <is>
          <t>進場</t>
        </is>
      </c>
      <c r="D1301" s="2" t="n">
        <v>652</v>
      </c>
      <c r="E1301" s="2" t="inlineStr">
        <is>
          <t>STRK_USDT_PERP</t>
        </is>
      </c>
      <c r="F1301" s="2" t="inlineStr">
        <is>
          <t>做多</t>
        </is>
      </c>
      <c r="G1301" s="20" t="n">
        <v>0.0569</v>
      </c>
      <c r="H1301" s="20" t="n">
        <v>0.058607</v>
      </c>
      <c r="I1301" s="20" t="n">
        <v>0.054055</v>
      </c>
      <c r="J1301" s="20" t="n"/>
      <c r="K1301" s="2" t="n"/>
      <c r="L1301" s="5" t="n"/>
      <c r="M1301" s="19">
        <f>資金模擬!$B$5*V1300</f>
        <v/>
      </c>
      <c r="N1301" s="2">
        <f>IF(Z1300=1,"已停止",IF(T1300&gt;=M1301,"已下單","資金不足略過"))</f>
        <v/>
      </c>
      <c r="O1301" s="19">
        <f>IF(N1301="已下單",M1301*資金模擬!$B$7,0)</f>
        <v/>
      </c>
      <c r="P1301" s="4" t="n"/>
      <c r="Q1301" s="13" t="n">
        <v>0</v>
      </c>
      <c r="R1301" s="13">
        <f>R1300+Q1301</f>
        <v/>
      </c>
      <c r="S1301" s="19">
        <f>S1300+IF(N1301="已下單",M1301,0)</f>
        <v/>
      </c>
      <c r="T1301" s="19">
        <f>R1301-S1301</f>
        <v/>
      </c>
      <c r="U1301" s="2">
        <f>U1300+IF(N1301="已下單",1,0)</f>
        <v/>
      </c>
      <c r="V1301" s="19">
        <f>IF(資金模擬!$B$9=2,MAX(R1301,0),MAX(V1300,FLOOR(MAX(R1301,0),資金模擬!$B$6)))</f>
        <v/>
      </c>
      <c r="W1301" s="13">
        <f>MAX(W1300,R1301)</f>
        <v/>
      </c>
      <c r="X1301" s="4">
        <f>IF(W1301&gt;0,R1301/W1301-1,-1)</f>
        <v/>
      </c>
      <c r="Y1301" s="19">
        <f>IF(R1301&gt;0,S1301*資金模擬!$B$7/R1301,0)</f>
        <v/>
      </c>
      <c r="Z1301" s="2">
        <f>IF(OR(Z1300=1,R1301&lt;=資金模擬!$B$10),1,0)</f>
        <v/>
      </c>
    </row>
    <row r="1302">
      <c r="A1302" s="2" t="n">
        <v>1300</v>
      </c>
      <c r="B1302" s="7" t="n">
        <v>46300.25</v>
      </c>
      <c r="C1302" s="2" t="inlineStr">
        <is>
          <t>出場</t>
        </is>
      </c>
      <c r="D1302" s="2" t="n">
        <v>652</v>
      </c>
      <c r="E1302" s="2" t="inlineStr">
        <is>
          <t>STRK_USDT_PERP</t>
        </is>
      </c>
      <c r="F1302" s="2" t="inlineStr">
        <is>
          <t>做多</t>
        </is>
      </c>
      <c r="G1302" s="20" t="n">
        <v>0.0569</v>
      </c>
      <c r="H1302" s="20" t="n">
        <v>0.058607</v>
      </c>
      <c r="I1302" s="20" t="n">
        <v>0.054055</v>
      </c>
      <c r="J1302" s="20" t="n">
        <v>0.058607</v>
      </c>
      <c r="K1302" s="2" t="inlineStr">
        <is>
          <t>止盈</t>
        </is>
      </c>
      <c r="L1302" s="5">
        <f>交易明細!K653</f>
        <v/>
      </c>
      <c r="M1302" s="19">
        <f>M1301</f>
        <v/>
      </c>
      <c r="N1302" s="2">
        <f>N1301</f>
        <v/>
      </c>
      <c r="O1302" s="19">
        <f>O1301</f>
        <v/>
      </c>
      <c r="P1302" s="4">
        <f>交易明細!L653</f>
        <v/>
      </c>
      <c r="Q1302" s="13">
        <f>IF(N1302="已下單",O1302*P1302,0)</f>
        <v/>
      </c>
      <c r="R1302" s="13">
        <f>R1301+Q1302</f>
        <v/>
      </c>
      <c r="S1302" s="19">
        <f>S1301-IF(N1302="已下單",M1302,0)</f>
        <v/>
      </c>
      <c r="T1302" s="19">
        <f>R1302-S1302</f>
        <v/>
      </c>
      <c r="U1302" s="2">
        <f>U1301-IF(N1302="已下單",1,0)</f>
        <v/>
      </c>
      <c r="V1302" s="19">
        <f>IF(資金模擬!$B$9=2,MAX(R1302,0),MAX(V1301,FLOOR(MAX(R1302,0),資金模擬!$B$6)))</f>
        <v/>
      </c>
      <c r="W1302" s="13">
        <f>MAX(W1301,R1302)</f>
        <v/>
      </c>
      <c r="X1302" s="4">
        <f>IF(W1302&gt;0,R1302/W1302-1,-1)</f>
        <v/>
      </c>
      <c r="Y1302" s="19">
        <f>IF(R1302&gt;0,S1302*資金模擬!$B$7/R1302,0)</f>
        <v/>
      </c>
      <c r="Z1302" s="2">
        <f>IF(OR(Z1301=1,R1302&lt;=資金模擬!$B$10),1,0)</f>
        <v/>
      </c>
    </row>
    <row r="1303">
      <c r="A1303" s="2" t="n">
        <v>1301</v>
      </c>
      <c r="B1303" s="7" t="n">
        <v>46300.25</v>
      </c>
      <c r="C1303" s="2" t="inlineStr">
        <is>
          <t>進場</t>
        </is>
      </c>
      <c r="D1303" s="2" t="n">
        <v>653</v>
      </c>
      <c r="E1303" s="2" t="inlineStr">
        <is>
          <t>BEAMX_USDT_PERP</t>
        </is>
      </c>
      <c r="F1303" s="2" t="inlineStr">
        <is>
          <t>做空</t>
        </is>
      </c>
      <c r="G1303" s="20" t="n">
        <v>0.002531</v>
      </c>
      <c r="H1303" s="20" t="n">
        <v>0.00245507</v>
      </c>
      <c r="I1303" s="20" t="n">
        <v>0.00265755</v>
      </c>
      <c r="J1303" s="20" t="n"/>
      <c r="K1303" s="2" t="n"/>
      <c r="L1303" s="5" t="n"/>
      <c r="M1303" s="19">
        <f>資金模擬!$B$5*V1302</f>
        <v/>
      </c>
      <c r="N1303" s="2">
        <f>IF(Z1302=1,"已停止",IF(T1302&gt;=M1303,"已下單","資金不足略過"))</f>
        <v/>
      </c>
      <c r="O1303" s="19">
        <f>IF(N1303="已下單",M1303*資金模擬!$B$7,0)</f>
        <v/>
      </c>
      <c r="P1303" s="4" t="n"/>
      <c r="Q1303" s="13" t="n">
        <v>0</v>
      </c>
      <c r="R1303" s="13">
        <f>R1302+Q1303</f>
        <v/>
      </c>
      <c r="S1303" s="19">
        <f>S1302+IF(N1303="已下單",M1303,0)</f>
        <v/>
      </c>
      <c r="T1303" s="19">
        <f>R1303-S1303</f>
        <v/>
      </c>
      <c r="U1303" s="2">
        <f>U1302+IF(N1303="已下單",1,0)</f>
        <v/>
      </c>
      <c r="V1303" s="19">
        <f>IF(資金模擬!$B$9=2,MAX(R1303,0),MAX(V1302,FLOOR(MAX(R1303,0),資金模擬!$B$6)))</f>
        <v/>
      </c>
      <c r="W1303" s="13">
        <f>MAX(W1302,R1303)</f>
        <v/>
      </c>
      <c r="X1303" s="4">
        <f>IF(W1303&gt;0,R1303/W1303-1,-1)</f>
        <v/>
      </c>
      <c r="Y1303" s="19">
        <f>IF(R1303&gt;0,S1303*資金模擬!$B$7/R1303,0)</f>
        <v/>
      </c>
      <c r="Z1303" s="2">
        <f>IF(OR(Z1302=1,R1303&lt;=資金模擬!$B$10),1,0)</f>
        <v/>
      </c>
    </row>
    <row r="1304">
      <c r="A1304" s="2" t="n">
        <v>1302</v>
      </c>
      <c r="B1304" s="7" t="n">
        <v>46300.29166666666</v>
      </c>
      <c r="C1304" s="2" t="inlineStr">
        <is>
          <t>出場</t>
        </is>
      </c>
      <c r="D1304" s="2" t="n">
        <v>646</v>
      </c>
      <c r="E1304" s="2" t="inlineStr">
        <is>
          <t>AKE_USDT_PERP</t>
        </is>
      </c>
      <c r="F1304" s="2" t="inlineStr">
        <is>
          <t>做多</t>
        </is>
      </c>
      <c r="G1304" s="20" t="n">
        <v>0.0354325</v>
      </c>
      <c r="H1304" s="20" t="n">
        <v>0.036495475</v>
      </c>
      <c r="I1304" s="20" t="n">
        <v>0.033660875</v>
      </c>
      <c r="J1304" s="20" t="n">
        <v>0.033660875</v>
      </c>
      <c r="K1304" s="2" t="inlineStr">
        <is>
          <t>止損</t>
        </is>
      </c>
      <c r="L1304" s="5">
        <f>交易明細!K647</f>
        <v/>
      </c>
      <c r="M1304" s="19">
        <f>M1291</f>
        <v/>
      </c>
      <c r="N1304" s="2">
        <f>N1291</f>
        <v/>
      </c>
      <c r="O1304" s="19">
        <f>O1291</f>
        <v/>
      </c>
      <c r="P1304" s="4">
        <f>交易明細!L647</f>
        <v/>
      </c>
      <c r="Q1304" s="13">
        <f>IF(N1304="已下單",O1304*P1304,0)</f>
        <v/>
      </c>
      <c r="R1304" s="13">
        <f>R1303+Q1304</f>
        <v/>
      </c>
      <c r="S1304" s="19">
        <f>S1303-IF(N1304="已下單",M1304,0)</f>
        <v/>
      </c>
      <c r="T1304" s="19">
        <f>R1304-S1304</f>
        <v/>
      </c>
      <c r="U1304" s="2">
        <f>U1303-IF(N1304="已下單",1,0)</f>
        <v/>
      </c>
      <c r="V1304" s="19">
        <f>IF(資金模擬!$B$9=2,MAX(R1304,0),MAX(V1303,FLOOR(MAX(R1304,0),資金模擬!$B$6)))</f>
        <v/>
      </c>
      <c r="W1304" s="13">
        <f>MAX(W1303,R1304)</f>
        <v/>
      </c>
      <c r="X1304" s="4">
        <f>IF(W1304&gt;0,R1304/W1304-1,-1)</f>
        <v/>
      </c>
      <c r="Y1304" s="19">
        <f>IF(R1304&gt;0,S1304*資金模擬!$B$7/R1304,0)</f>
        <v/>
      </c>
      <c r="Z1304" s="2">
        <f>IF(OR(Z1303=1,R1304&lt;=資金模擬!$B$10),1,0)</f>
        <v/>
      </c>
    </row>
    <row r="1305">
      <c r="A1305" s="2" t="n">
        <v>1303</v>
      </c>
      <c r="B1305" s="7" t="n">
        <v>46300.375</v>
      </c>
      <c r="C1305" s="2" t="inlineStr">
        <is>
          <t>進場</t>
        </is>
      </c>
      <c r="D1305" s="2" t="n">
        <v>654</v>
      </c>
      <c r="E1305" s="2" t="inlineStr">
        <is>
          <t>SAND_USDT_PERP</t>
        </is>
      </c>
      <c r="F1305" s="2" t="inlineStr">
        <is>
          <t>做空</t>
        </is>
      </c>
      <c r="G1305" s="20" t="n">
        <v>0.07375</v>
      </c>
      <c r="H1305" s="20" t="n">
        <v>0.07153749999999999</v>
      </c>
      <c r="I1305" s="20" t="n">
        <v>0.07743749999999999</v>
      </c>
      <c r="J1305" s="20" t="n"/>
      <c r="K1305" s="2" t="n"/>
      <c r="L1305" s="5" t="n"/>
      <c r="M1305" s="19">
        <f>資金模擬!$B$5*V1304</f>
        <v/>
      </c>
      <c r="N1305" s="2">
        <f>IF(Z1304=1,"已停止",IF(T1304&gt;=M1305,"已下單","資金不足略過"))</f>
        <v/>
      </c>
      <c r="O1305" s="19">
        <f>IF(N1305="已下單",M1305*資金模擬!$B$7,0)</f>
        <v/>
      </c>
      <c r="P1305" s="4" t="n"/>
      <c r="Q1305" s="13" t="n">
        <v>0</v>
      </c>
      <c r="R1305" s="13">
        <f>R1304+Q1305</f>
        <v/>
      </c>
      <c r="S1305" s="19">
        <f>S1304+IF(N1305="已下單",M1305,0)</f>
        <v/>
      </c>
      <c r="T1305" s="19">
        <f>R1305-S1305</f>
        <v/>
      </c>
      <c r="U1305" s="2">
        <f>U1304+IF(N1305="已下單",1,0)</f>
        <v/>
      </c>
      <c r="V1305" s="19">
        <f>IF(資金模擬!$B$9=2,MAX(R1305,0),MAX(V1304,FLOOR(MAX(R1305,0),資金模擬!$B$6)))</f>
        <v/>
      </c>
      <c r="W1305" s="13">
        <f>MAX(W1304,R1305)</f>
        <v/>
      </c>
      <c r="X1305" s="4">
        <f>IF(W1305&gt;0,R1305/W1305-1,-1)</f>
        <v/>
      </c>
      <c r="Y1305" s="19">
        <f>IF(R1305&gt;0,S1305*資金模擬!$B$7/R1305,0)</f>
        <v/>
      </c>
      <c r="Z1305" s="2">
        <f>IF(OR(Z1304=1,R1305&lt;=資金模擬!$B$10),1,0)</f>
        <v/>
      </c>
    </row>
    <row r="1306">
      <c r="A1306" s="2" t="n">
        <v>1304</v>
      </c>
      <c r="B1306" s="7" t="n">
        <v>46300.41666666666</v>
      </c>
      <c r="C1306" s="2" t="inlineStr">
        <is>
          <t>出場</t>
        </is>
      </c>
      <c r="D1306" s="2" t="n">
        <v>645</v>
      </c>
      <c r="E1306" s="2" t="inlineStr">
        <is>
          <t>ZRO_USDT_PERP</t>
        </is>
      </c>
      <c r="F1306" s="2" t="inlineStr">
        <is>
          <t>做空</t>
        </is>
      </c>
      <c r="G1306" s="20" t="n">
        <v>1.9861</v>
      </c>
      <c r="H1306" s="20" t="n">
        <v>1.926517</v>
      </c>
      <c r="I1306" s="20" t="n">
        <v>2.085405</v>
      </c>
      <c r="J1306" s="20" t="n">
        <v>1.926517</v>
      </c>
      <c r="K1306" s="2" t="inlineStr">
        <is>
          <t>止盈</t>
        </is>
      </c>
      <c r="L1306" s="5">
        <f>交易明細!K646</f>
        <v/>
      </c>
      <c r="M1306" s="19">
        <f>M1289</f>
        <v/>
      </c>
      <c r="N1306" s="2">
        <f>N1289</f>
        <v/>
      </c>
      <c r="O1306" s="19">
        <f>O1289</f>
        <v/>
      </c>
      <c r="P1306" s="4">
        <f>交易明細!L646</f>
        <v/>
      </c>
      <c r="Q1306" s="13">
        <f>IF(N1306="已下單",O1306*P1306,0)</f>
        <v/>
      </c>
      <c r="R1306" s="13">
        <f>R1305+Q1306</f>
        <v/>
      </c>
      <c r="S1306" s="19">
        <f>S1305-IF(N1306="已下單",M1306,0)</f>
        <v/>
      </c>
      <c r="T1306" s="19">
        <f>R1306-S1306</f>
        <v/>
      </c>
      <c r="U1306" s="2">
        <f>U1305-IF(N1306="已下單",1,0)</f>
        <v/>
      </c>
      <c r="V1306" s="19">
        <f>IF(資金模擬!$B$9=2,MAX(R1306,0),MAX(V1305,FLOOR(MAX(R1306,0),資金模擬!$B$6)))</f>
        <v/>
      </c>
      <c r="W1306" s="13">
        <f>MAX(W1305,R1306)</f>
        <v/>
      </c>
      <c r="X1306" s="4">
        <f>IF(W1306&gt;0,R1306/W1306-1,-1)</f>
        <v/>
      </c>
      <c r="Y1306" s="19">
        <f>IF(R1306&gt;0,S1306*資金模擬!$B$7/R1306,0)</f>
        <v/>
      </c>
      <c r="Z1306" s="2">
        <f>IF(OR(Z1305=1,R1306&lt;=資金模擬!$B$10),1,0)</f>
        <v/>
      </c>
    </row>
    <row r="1307">
      <c r="A1307" s="2" t="n">
        <v>1305</v>
      </c>
      <c r="B1307" s="7" t="n">
        <v>46300.45833333334</v>
      </c>
      <c r="C1307" s="2" t="inlineStr">
        <is>
          <t>出場</t>
        </is>
      </c>
      <c r="D1307" s="2" t="n">
        <v>653</v>
      </c>
      <c r="E1307" s="2" t="inlineStr">
        <is>
          <t>BEAMX_USDT_PERP</t>
        </is>
      </c>
      <c r="F1307" s="2" t="inlineStr">
        <is>
          <t>做空</t>
        </is>
      </c>
      <c r="G1307" s="20" t="n">
        <v>0.002531</v>
      </c>
      <c r="H1307" s="20" t="n">
        <v>0.00245507</v>
      </c>
      <c r="I1307" s="20" t="n">
        <v>0.00265755</v>
      </c>
      <c r="J1307" s="20" t="n">
        <v>0.00245507</v>
      </c>
      <c r="K1307" s="2" t="inlineStr">
        <is>
          <t>止盈</t>
        </is>
      </c>
      <c r="L1307" s="5">
        <f>交易明細!K654</f>
        <v/>
      </c>
      <c r="M1307" s="19">
        <f>M1303</f>
        <v/>
      </c>
      <c r="N1307" s="2">
        <f>N1303</f>
        <v/>
      </c>
      <c r="O1307" s="19">
        <f>O1303</f>
        <v/>
      </c>
      <c r="P1307" s="4">
        <f>交易明細!L654</f>
        <v/>
      </c>
      <c r="Q1307" s="13">
        <f>IF(N1307="已下單",O1307*P1307,0)</f>
        <v/>
      </c>
      <c r="R1307" s="13">
        <f>R1306+Q1307</f>
        <v/>
      </c>
      <c r="S1307" s="19">
        <f>S1306-IF(N1307="已下單",M1307,0)</f>
        <v/>
      </c>
      <c r="T1307" s="19">
        <f>R1307-S1307</f>
        <v/>
      </c>
      <c r="U1307" s="2">
        <f>U1306-IF(N1307="已下單",1,0)</f>
        <v/>
      </c>
      <c r="V1307" s="19">
        <f>IF(資金模擬!$B$9=2,MAX(R1307,0),MAX(V1306,FLOOR(MAX(R1307,0),資金模擬!$B$6)))</f>
        <v/>
      </c>
      <c r="W1307" s="13">
        <f>MAX(W1306,R1307)</f>
        <v/>
      </c>
      <c r="X1307" s="4">
        <f>IF(W1307&gt;0,R1307/W1307-1,-1)</f>
        <v/>
      </c>
      <c r="Y1307" s="19">
        <f>IF(R1307&gt;0,S1307*資金模擬!$B$7/R1307,0)</f>
        <v/>
      </c>
      <c r="Z1307" s="2">
        <f>IF(OR(Z1306=1,R1307&lt;=資金模擬!$B$10),1,0)</f>
        <v/>
      </c>
    </row>
    <row r="1308">
      <c r="A1308" s="2" t="n">
        <v>1306</v>
      </c>
      <c r="B1308" s="7" t="n">
        <v>46300.5</v>
      </c>
      <c r="C1308" s="2" t="inlineStr">
        <is>
          <t>出場</t>
        </is>
      </c>
      <c r="D1308" s="2" t="n">
        <v>654</v>
      </c>
      <c r="E1308" s="2" t="inlineStr">
        <is>
          <t>SAND_USDT_PERP</t>
        </is>
      </c>
      <c r="F1308" s="2" t="inlineStr">
        <is>
          <t>做空</t>
        </is>
      </c>
      <c r="G1308" s="20" t="n">
        <v>0.07375</v>
      </c>
      <c r="H1308" s="20" t="n">
        <v>0.07153749999999999</v>
      </c>
      <c r="I1308" s="20" t="n">
        <v>0.07743749999999999</v>
      </c>
      <c r="J1308" s="20" t="n">
        <v>0.07153749999999999</v>
      </c>
      <c r="K1308" s="2" t="inlineStr">
        <is>
          <t>止盈</t>
        </is>
      </c>
      <c r="L1308" s="5">
        <f>交易明細!K655</f>
        <v/>
      </c>
      <c r="M1308" s="19">
        <f>M1305</f>
        <v/>
      </c>
      <c r="N1308" s="2">
        <f>N1305</f>
        <v/>
      </c>
      <c r="O1308" s="19">
        <f>O1305</f>
        <v/>
      </c>
      <c r="P1308" s="4">
        <f>交易明細!L655</f>
        <v/>
      </c>
      <c r="Q1308" s="13">
        <f>IF(N1308="已下單",O1308*P1308,0)</f>
        <v/>
      </c>
      <c r="R1308" s="13">
        <f>R1307+Q1308</f>
        <v/>
      </c>
      <c r="S1308" s="19">
        <f>S1307-IF(N1308="已下單",M1308,0)</f>
        <v/>
      </c>
      <c r="T1308" s="19">
        <f>R1308-S1308</f>
        <v/>
      </c>
      <c r="U1308" s="2">
        <f>U1307-IF(N1308="已下單",1,0)</f>
        <v/>
      </c>
      <c r="V1308" s="19">
        <f>IF(資金模擬!$B$9=2,MAX(R1308,0),MAX(V1307,FLOOR(MAX(R1308,0),資金模擬!$B$6)))</f>
        <v/>
      </c>
      <c r="W1308" s="13">
        <f>MAX(W1307,R1308)</f>
        <v/>
      </c>
      <c r="X1308" s="4">
        <f>IF(W1308&gt;0,R1308/W1308-1,-1)</f>
        <v/>
      </c>
      <c r="Y1308" s="19">
        <f>IF(R1308&gt;0,S1308*資金模擬!$B$7/R1308,0)</f>
        <v/>
      </c>
      <c r="Z1308" s="2">
        <f>IF(OR(Z1307=1,R1308&lt;=資金模擬!$B$10),1,0)</f>
        <v/>
      </c>
    </row>
    <row r="1309">
      <c r="A1309" s="2" t="n">
        <v>1307</v>
      </c>
      <c r="B1309" s="7" t="n">
        <v>46300.54166666666</v>
      </c>
      <c r="C1309" s="2" t="inlineStr">
        <is>
          <t>進場</t>
        </is>
      </c>
      <c r="D1309" s="2" t="n">
        <v>655</v>
      </c>
      <c r="E1309" s="2" t="inlineStr">
        <is>
          <t>AIN_USDT_PERP</t>
        </is>
      </c>
      <c r="F1309" s="2" t="inlineStr">
        <is>
          <t>做空</t>
        </is>
      </c>
      <c r="G1309" s="20" t="n">
        <v>0.05426</v>
      </c>
      <c r="H1309" s="20" t="n">
        <v>0.0526322</v>
      </c>
      <c r="I1309" s="20" t="n">
        <v>0.056973</v>
      </c>
      <c r="J1309" s="20" t="n"/>
      <c r="K1309" s="2" t="n"/>
      <c r="L1309" s="5" t="n"/>
      <c r="M1309" s="19">
        <f>資金模擬!$B$5*V1308</f>
        <v/>
      </c>
      <c r="N1309" s="2">
        <f>IF(Z1308=1,"已停止",IF(T1308&gt;=M1309,"已下單","資金不足略過"))</f>
        <v/>
      </c>
      <c r="O1309" s="19">
        <f>IF(N1309="已下單",M1309*資金模擬!$B$7,0)</f>
        <v/>
      </c>
      <c r="P1309" s="4" t="n"/>
      <c r="Q1309" s="13" t="n">
        <v>0</v>
      </c>
      <c r="R1309" s="13">
        <f>R1308+Q1309</f>
        <v/>
      </c>
      <c r="S1309" s="19">
        <f>S1308+IF(N1309="已下單",M1309,0)</f>
        <v/>
      </c>
      <c r="T1309" s="19">
        <f>R1309-S1309</f>
        <v/>
      </c>
      <c r="U1309" s="2">
        <f>U1308+IF(N1309="已下單",1,0)</f>
        <v/>
      </c>
      <c r="V1309" s="19">
        <f>IF(資金模擬!$B$9=2,MAX(R1309,0),MAX(V1308,FLOOR(MAX(R1309,0),資金模擬!$B$6)))</f>
        <v/>
      </c>
      <c r="W1309" s="13">
        <f>MAX(W1308,R1309)</f>
        <v/>
      </c>
      <c r="X1309" s="4">
        <f>IF(W1309&gt;0,R1309/W1309-1,-1)</f>
        <v/>
      </c>
      <c r="Y1309" s="19">
        <f>IF(R1309&gt;0,S1309*資金模擬!$B$7/R1309,0)</f>
        <v/>
      </c>
      <c r="Z1309" s="2">
        <f>IF(OR(Z1308=1,R1309&lt;=資金模擬!$B$10),1,0)</f>
        <v/>
      </c>
    </row>
    <row r="1310">
      <c r="A1310" s="2" t="n">
        <v>1308</v>
      </c>
      <c r="B1310" s="7" t="n">
        <v>46300.54166666666</v>
      </c>
      <c r="C1310" s="2" t="inlineStr">
        <is>
          <t>進場</t>
        </is>
      </c>
      <c r="D1310" s="2" t="n">
        <v>656</v>
      </c>
      <c r="E1310" s="2" t="inlineStr">
        <is>
          <t>MUBARAK_USDT_PERP</t>
        </is>
      </c>
      <c r="F1310" s="2" t="inlineStr">
        <is>
          <t>做多</t>
        </is>
      </c>
      <c r="G1310" s="20" t="n">
        <v>0.07333000000000001</v>
      </c>
      <c r="H1310" s="20" t="n">
        <v>0.07552990000000001</v>
      </c>
      <c r="I1310" s="20" t="n">
        <v>0.0696635</v>
      </c>
      <c r="J1310" s="20" t="n"/>
      <c r="K1310" s="2" t="n"/>
      <c r="L1310" s="5" t="n"/>
      <c r="M1310" s="19">
        <f>資金模擬!$B$5*V1309</f>
        <v/>
      </c>
      <c r="N1310" s="2">
        <f>IF(Z1309=1,"已停止",IF(T1309&gt;=M1310,"已下單","資金不足略過"))</f>
        <v/>
      </c>
      <c r="O1310" s="19">
        <f>IF(N1310="已下單",M1310*資金模擬!$B$7,0)</f>
        <v/>
      </c>
      <c r="P1310" s="4" t="n"/>
      <c r="Q1310" s="13" t="n">
        <v>0</v>
      </c>
      <c r="R1310" s="13">
        <f>R1309+Q1310</f>
        <v/>
      </c>
      <c r="S1310" s="19">
        <f>S1309+IF(N1310="已下單",M1310,0)</f>
        <v/>
      </c>
      <c r="T1310" s="19">
        <f>R1310-S1310</f>
        <v/>
      </c>
      <c r="U1310" s="2">
        <f>U1309+IF(N1310="已下單",1,0)</f>
        <v/>
      </c>
      <c r="V1310" s="19">
        <f>IF(資金模擬!$B$9=2,MAX(R1310,0),MAX(V1309,FLOOR(MAX(R1310,0),資金模擬!$B$6)))</f>
        <v/>
      </c>
      <c r="W1310" s="13">
        <f>MAX(W1309,R1310)</f>
        <v/>
      </c>
      <c r="X1310" s="4">
        <f>IF(W1310&gt;0,R1310/W1310-1,-1)</f>
        <v/>
      </c>
      <c r="Y1310" s="19">
        <f>IF(R1310&gt;0,S1310*資金模擬!$B$7/R1310,0)</f>
        <v/>
      </c>
      <c r="Z1310" s="2">
        <f>IF(OR(Z1309=1,R1310&lt;=資金模擬!$B$10),1,0)</f>
        <v/>
      </c>
    </row>
    <row r="1311">
      <c r="A1311" s="2" t="n">
        <v>1309</v>
      </c>
      <c r="B1311" s="7" t="n">
        <v>46300.55208333334</v>
      </c>
      <c r="C1311" s="2" t="inlineStr">
        <is>
          <t>出場</t>
        </is>
      </c>
      <c r="D1311" s="2" t="n">
        <v>655</v>
      </c>
      <c r="E1311" s="2" t="inlineStr">
        <is>
          <t>AIN_USDT_PERP</t>
        </is>
      </c>
      <c r="F1311" s="2" t="inlineStr">
        <is>
          <t>做空</t>
        </is>
      </c>
      <c r="G1311" s="20" t="n">
        <v>0.05426</v>
      </c>
      <c r="H1311" s="20" t="n">
        <v>0.0526322</v>
      </c>
      <c r="I1311" s="20" t="n">
        <v>0.056973</v>
      </c>
      <c r="J1311" s="20" t="n">
        <v>0.0526322</v>
      </c>
      <c r="K1311" s="2" t="inlineStr">
        <is>
          <t>止盈</t>
        </is>
      </c>
      <c r="L1311" s="5">
        <f>交易明細!K656</f>
        <v/>
      </c>
      <c r="M1311" s="19">
        <f>M1309</f>
        <v/>
      </c>
      <c r="N1311" s="2">
        <f>N1309</f>
        <v/>
      </c>
      <c r="O1311" s="19">
        <f>O1309</f>
        <v/>
      </c>
      <c r="P1311" s="4">
        <f>交易明細!L656</f>
        <v/>
      </c>
      <c r="Q1311" s="13">
        <f>IF(N1311="已下單",O1311*P1311,0)</f>
        <v/>
      </c>
      <c r="R1311" s="13">
        <f>R1310+Q1311</f>
        <v/>
      </c>
      <c r="S1311" s="19">
        <f>S1310-IF(N1311="已下單",M1311,0)</f>
        <v/>
      </c>
      <c r="T1311" s="19">
        <f>R1311-S1311</f>
        <v/>
      </c>
      <c r="U1311" s="2">
        <f>U1310-IF(N1311="已下單",1,0)</f>
        <v/>
      </c>
      <c r="V1311" s="19">
        <f>IF(資金模擬!$B$9=2,MAX(R1311,0),MAX(V1310,FLOOR(MAX(R1311,0),資金模擬!$B$6)))</f>
        <v/>
      </c>
      <c r="W1311" s="13">
        <f>MAX(W1310,R1311)</f>
        <v/>
      </c>
      <c r="X1311" s="4">
        <f>IF(W1311&gt;0,R1311/W1311-1,-1)</f>
        <v/>
      </c>
      <c r="Y1311" s="19">
        <f>IF(R1311&gt;0,S1311*資金模擬!$B$7/R1311,0)</f>
        <v/>
      </c>
      <c r="Z1311" s="2">
        <f>IF(OR(Z1310=1,R1311&lt;=資金模擬!$B$10),1,0)</f>
        <v/>
      </c>
    </row>
    <row r="1312">
      <c r="A1312" s="2" t="n">
        <v>1310</v>
      </c>
      <c r="B1312" s="7" t="n">
        <v>46300.58333333334</v>
      </c>
      <c r="C1312" s="2" t="inlineStr">
        <is>
          <t>出場</t>
        </is>
      </c>
      <c r="D1312" s="2" t="n">
        <v>656</v>
      </c>
      <c r="E1312" s="2" t="inlineStr">
        <is>
          <t>MUBARAK_USDT_PERP</t>
        </is>
      </c>
      <c r="F1312" s="2" t="inlineStr">
        <is>
          <t>做多</t>
        </is>
      </c>
      <c r="G1312" s="20" t="n">
        <v>0.07333000000000001</v>
      </c>
      <c r="H1312" s="20" t="n">
        <v>0.07552990000000001</v>
      </c>
      <c r="I1312" s="20" t="n">
        <v>0.0696635</v>
      </c>
      <c r="J1312" s="20" t="n">
        <v>0.07552990000000001</v>
      </c>
      <c r="K1312" s="2" t="inlineStr">
        <is>
          <t>止盈</t>
        </is>
      </c>
      <c r="L1312" s="5">
        <f>交易明細!K657</f>
        <v/>
      </c>
      <c r="M1312" s="19">
        <f>M1310</f>
        <v/>
      </c>
      <c r="N1312" s="2">
        <f>N1310</f>
        <v/>
      </c>
      <c r="O1312" s="19">
        <f>O1310</f>
        <v/>
      </c>
      <c r="P1312" s="4">
        <f>交易明細!L657</f>
        <v/>
      </c>
      <c r="Q1312" s="13">
        <f>IF(N1312="已下單",O1312*P1312,0)</f>
        <v/>
      </c>
      <c r="R1312" s="13">
        <f>R1311+Q1312</f>
        <v/>
      </c>
      <c r="S1312" s="19">
        <f>S1311-IF(N1312="已下單",M1312,0)</f>
        <v/>
      </c>
      <c r="T1312" s="19">
        <f>R1312-S1312</f>
        <v/>
      </c>
      <c r="U1312" s="2">
        <f>U1311-IF(N1312="已下單",1,0)</f>
        <v/>
      </c>
      <c r="V1312" s="19">
        <f>IF(資金模擬!$B$9=2,MAX(R1312,0),MAX(V1311,FLOOR(MAX(R1312,0),資金模擬!$B$6)))</f>
        <v/>
      </c>
      <c r="W1312" s="13">
        <f>MAX(W1311,R1312)</f>
        <v/>
      </c>
      <c r="X1312" s="4">
        <f>IF(W1312&gt;0,R1312/W1312-1,-1)</f>
        <v/>
      </c>
      <c r="Y1312" s="19">
        <f>IF(R1312&gt;0,S1312*資金模擬!$B$7/R1312,0)</f>
        <v/>
      </c>
      <c r="Z1312" s="2">
        <f>IF(OR(Z1311=1,R1312&lt;=資金模擬!$B$10),1,0)</f>
        <v/>
      </c>
    </row>
    <row r="1313">
      <c r="A1313" s="2" t="n">
        <v>1311</v>
      </c>
      <c r="B1313" s="7" t="n">
        <v>46300.58333333334</v>
      </c>
      <c r="C1313" s="2" t="inlineStr">
        <is>
          <t>進場</t>
        </is>
      </c>
      <c r="D1313" s="2" t="n">
        <v>657</v>
      </c>
      <c r="E1313" s="2" t="inlineStr">
        <is>
          <t>BR_USDT_PERP</t>
        </is>
      </c>
      <c r="F1313" s="2" t="inlineStr">
        <is>
          <t>做空</t>
        </is>
      </c>
      <c r="G1313" s="20" t="n">
        <v>0.42459</v>
      </c>
      <c r="H1313" s="20" t="n">
        <v>0.4118523</v>
      </c>
      <c r="I1313" s="20" t="n">
        <v>0.4458195</v>
      </c>
      <c r="J1313" s="20" t="n"/>
      <c r="K1313" s="2" t="n"/>
      <c r="L1313" s="5" t="n"/>
      <c r="M1313" s="19">
        <f>資金模擬!$B$5*V1312</f>
        <v/>
      </c>
      <c r="N1313" s="2">
        <f>IF(Z1312=1,"已停止",IF(T1312&gt;=M1313,"已下單","資金不足略過"))</f>
        <v/>
      </c>
      <c r="O1313" s="19">
        <f>IF(N1313="已下單",M1313*資金模擬!$B$7,0)</f>
        <v/>
      </c>
      <c r="P1313" s="4" t="n"/>
      <c r="Q1313" s="13" t="n">
        <v>0</v>
      </c>
      <c r="R1313" s="13">
        <f>R1312+Q1313</f>
        <v/>
      </c>
      <c r="S1313" s="19">
        <f>S1312+IF(N1313="已下單",M1313,0)</f>
        <v/>
      </c>
      <c r="T1313" s="19">
        <f>R1313-S1313</f>
        <v/>
      </c>
      <c r="U1313" s="2">
        <f>U1312+IF(N1313="已下單",1,0)</f>
        <v/>
      </c>
      <c r="V1313" s="19">
        <f>IF(資金模擬!$B$9=2,MAX(R1313,0),MAX(V1312,FLOOR(MAX(R1313,0),資金模擬!$B$6)))</f>
        <v/>
      </c>
      <c r="W1313" s="13">
        <f>MAX(W1312,R1313)</f>
        <v/>
      </c>
      <c r="X1313" s="4">
        <f>IF(W1313&gt;0,R1313/W1313-1,-1)</f>
        <v/>
      </c>
      <c r="Y1313" s="19">
        <f>IF(R1313&gt;0,S1313*資金模擬!$B$7/R1313,0)</f>
        <v/>
      </c>
      <c r="Z1313" s="2">
        <f>IF(OR(Z1312=1,R1313&lt;=資金模擬!$B$10),1,0)</f>
        <v/>
      </c>
    </row>
    <row r="1314">
      <c r="A1314" s="2" t="n">
        <v>1312</v>
      </c>
      <c r="B1314" s="7" t="n">
        <v>46300.625</v>
      </c>
      <c r="C1314" s="2" t="inlineStr">
        <is>
          <t>進場</t>
        </is>
      </c>
      <c r="D1314" s="2" t="n">
        <v>658</v>
      </c>
      <c r="E1314" s="2" t="inlineStr">
        <is>
          <t>AIN_USDT_PERP</t>
        </is>
      </c>
      <c r="F1314" s="2" t="inlineStr">
        <is>
          <t>做空</t>
        </is>
      </c>
      <c r="G1314" s="20" t="n">
        <v>0.05491</v>
      </c>
      <c r="H1314" s="20" t="n">
        <v>0.0532627</v>
      </c>
      <c r="I1314" s="20" t="n">
        <v>0.05765550000000001</v>
      </c>
      <c r="J1314" s="20" t="n"/>
      <c r="K1314" s="2" t="n"/>
      <c r="L1314" s="5" t="n"/>
      <c r="M1314" s="19">
        <f>資金模擬!$B$5*V1313</f>
        <v/>
      </c>
      <c r="N1314" s="2">
        <f>IF(Z1313=1,"已停止",IF(T1313&gt;=M1314,"已下單","資金不足略過"))</f>
        <v/>
      </c>
      <c r="O1314" s="19">
        <f>IF(N1314="已下單",M1314*資金模擬!$B$7,0)</f>
        <v/>
      </c>
      <c r="P1314" s="4" t="n"/>
      <c r="Q1314" s="13" t="n">
        <v>0</v>
      </c>
      <c r="R1314" s="13">
        <f>R1313+Q1314</f>
        <v/>
      </c>
      <c r="S1314" s="19">
        <f>S1313+IF(N1314="已下單",M1314,0)</f>
        <v/>
      </c>
      <c r="T1314" s="19">
        <f>R1314-S1314</f>
        <v/>
      </c>
      <c r="U1314" s="2">
        <f>U1313+IF(N1314="已下單",1,0)</f>
        <v/>
      </c>
      <c r="V1314" s="19">
        <f>IF(資金模擬!$B$9=2,MAX(R1314,0),MAX(V1313,FLOOR(MAX(R1314,0),資金模擬!$B$6)))</f>
        <v/>
      </c>
      <c r="W1314" s="13">
        <f>MAX(W1313,R1314)</f>
        <v/>
      </c>
      <c r="X1314" s="4">
        <f>IF(W1314&gt;0,R1314/W1314-1,-1)</f>
        <v/>
      </c>
      <c r="Y1314" s="19">
        <f>IF(R1314&gt;0,S1314*資金模擬!$B$7/R1314,0)</f>
        <v/>
      </c>
      <c r="Z1314" s="2">
        <f>IF(OR(Z1313=1,R1314&lt;=資金模擬!$B$10),1,0)</f>
        <v/>
      </c>
    </row>
    <row r="1315">
      <c r="A1315" s="2" t="n">
        <v>1313</v>
      </c>
      <c r="B1315" s="7" t="n">
        <v>46300.66666666666</v>
      </c>
      <c r="C1315" s="2" t="inlineStr">
        <is>
          <t>進場</t>
        </is>
      </c>
      <c r="D1315" s="2" t="n">
        <v>659</v>
      </c>
      <c r="E1315" s="2" t="inlineStr">
        <is>
          <t>FET_USDT_PERP</t>
        </is>
      </c>
      <c r="F1315" s="2" t="inlineStr">
        <is>
          <t>做多</t>
        </is>
      </c>
      <c r="G1315" s="20" t="n">
        <v>0.2612</v>
      </c>
      <c r="H1315" s="20" t="n">
        <v>0.269036</v>
      </c>
      <c r="I1315" s="20" t="n">
        <v>0.24814</v>
      </c>
      <c r="J1315" s="20" t="n"/>
      <c r="K1315" s="2" t="n"/>
      <c r="L1315" s="5" t="n"/>
      <c r="M1315" s="19">
        <f>資金模擬!$B$5*V1314</f>
        <v/>
      </c>
      <c r="N1315" s="2">
        <f>IF(Z1314=1,"已停止",IF(T1314&gt;=M1315,"已下單","資金不足略過"))</f>
        <v/>
      </c>
      <c r="O1315" s="19">
        <f>IF(N1315="已下單",M1315*資金模擬!$B$7,0)</f>
        <v/>
      </c>
      <c r="P1315" s="4" t="n"/>
      <c r="Q1315" s="13" t="n">
        <v>0</v>
      </c>
      <c r="R1315" s="13">
        <f>R1314+Q1315</f>
        <v/>
      </c>
      <c r="S1315" s="19">
        <f>S1314+IF(N1315="已下單",M1315,0)</f>
        <v/>
      </c>
      <c r="T1315" s="19">
        <f>R1315-S1315</f>
        <v/>
      </c>
      <c r="U1315" s="2">
        <f>U1314+IF(N1315="已下單",1,0)</f>
        <v/>
      </c>
      <c r="V1315" s="19">
        <f>IF(資金模擬!$B$9=2,MAX(R1315,0),MAX(V1314,FLOOR(MAX(R1315,0),資金模擬!$B$6)))</f>
        <v/>
      </c>
      <c r="W1315" s="13">
        <f>MAX(W1314,R1315)</f>
        <v/>
      </c>
      <c r="X1315" s="4">
        <f>IF(W1315&gt;0,R1315/W1315-1,-1)</f>
        <v/>
      </c>
      <c r="Y1315" s="19">
        <f>IF(R1315&gt;0,S1315*資金模擬!$B$7/R1315,0)</f>
        <v/>
      </c>
      <c r="Z1315" s="2">
        <f>IF(OR(Z1314=1,R1315&lt;=資金模擬!$B$10),1,0)</f>
        <v/>
      </c>
    </row>
    <row r="1316">
      <c r="A1316" s="2" t="n">
        <v>1314</v>
      </c>
      <c r="B1316" s="7" t="n">
        <v>46300.70833333334</v>
      </c>
      <c r="C1316" s="2" t="inlineStr">
        <is>
          <t>出場</t>
        </is>
      </c>
      <c r="D1316" s="2" t="n">
        <v>659</v>
      </c>
      <c r="E1316" s="2" t="inlineStr">
        <is>
          <t>FET_USDT_PERP</t>
        </is>
      </c>
      <c r="F1316" s="2" t="inlineStr">
        <is>
          <t>做多</t>
        </is>
      </c>
      <c r="G1316" s="20" t="n">
        <v>0.2612</v>
      </c>
      <c r="H1316" s="20" t="n">
        <v>0.269036</v>
      </c>
      <c r="I1316" s="20" t="n">
        <v>0.24814</v>
      </c>
      <c r="J1316" s="20" t="n">
        <v>0.269036</v>
      </c>
      <c r="K1316" s="2" t="inlineStr">
        <is>
          <t>止盈</t>
        </is>
      </c>
      <c r="L1316" s="5">
        <f>交易明細!K660</f>
        <v/>
      </c>
      <c r="M1316" s="19">
        <f>M1315</f>
        <v/>
      </c>
      <c r="N1316" s="2">
        <f>N1315</f>
        <v/>
      </c>
      <c r="O1316" s="19">
        <f>O1315</f>
        <v/>
      </c>
      <c r="P1316" s="4">
        <f>交易明細!L660</f>
        <v/>
      </c>
      <c r="Q1316" s="13">
        <f>IF(N1316="已下單",O1316*P1316,0)</f>
        <v/>
      </c>
      <c r="R1316" s="13">
        <f>R1315+Q1316</f>
        <v/>
      </c>
      <c r="S1316" s="19">
        <f>S1315-IF(N1316="已下單",M1316,0)</f>
        <v/>
      </c>
      <c r="T1316" s="19">
        <f>R1316-S1316</f>
        <v/>
      </c>
      <c r="U1316" s="2">
        <f>U1315-IF(N1316="已下單",1,0)</f>
        <v/>
      </c>
      <c r="V1316" s="19">
        <f>IF(資金模擬!$B$9=2,MAX(R1316,0),MAX(V1315,FLOOR(MAX(R1316,0),資金模擬!$B$6)))</f>
        <v/>
      </c>
      <c r="W1316" s="13">
        <f>MAX(W1315,R1316)</f>
        <v/>
      </c>
      <c r="X1316" s="4">
        <f>IF(W1316&gt;0,R1316/W1316-1,-1)</f>
        <v/>
      </c>
      <c r="Y1316" s="19">
        <f>IF(R1316&gt;0,S1316*資金模擬!$B$7/R1316,0)</f>
        <v/>
      </c>
      <c r="Z1316" s="2">
        <f>IF(OR(Z1315=1,R1316&lt;=資金模擬!$B$10),1,0)</f>
        <v/>
      </c>
    </row>
    <row r="1317">
      <c r="A1317" s="2" t="n">
        <v>1315</v>
      </c>
      <c r="B1317" s="7" t="n">
        <v>46300.70833333334</v>
      </c>
      <c r="C1317" s="2" t="inlineStr">
        <is>
          <t>進場</t>
        </is>
      </c>
      <c r="D1317" s="2" t="n">
        <v>660</v>
      </c>
      <c r="E1317" s="2" t="inlineStr">
        <is>
          <t>STRK_USDT_PERP</t>
        </is>
      </c>
      <c r="F1317" s="2" t="inlineStr">
        <is>
          <t>做多</t>
        </is>
      </c>
      <c r="G1317" s="20" t="n">
        <v>0.059</v>
      </c>
      <c r="H1317" s="20" t="n">
        <v>0.06077</v>
      </c>
      <c r="I1317" s="20" t="n">
        <v>0.05605</v>
      </c>
      <c r="J1317" s="20" t="n"/>
      <c r="K1317" s="2" t="n"/>
      <c r="L1317" s="5" t="n"/>
      <c r="M1317" s="19">
        <f>資金模擬!$B$5*V1316</f>
        <v/>
      </c>
      <c r="N1317" s="2">
        <f>IF(Z1316=1,"已停止",IF(T1316&gt;=M1317,"已下單","資金不足略過"))</f>
        <v/>
      </c>
      <c r="O1317" s="19">
        <f>IF(N1317="已下單",M1317*資金模擬!$B$7,0)</f>
        <v/>
      </c>
      <c r="P1317" s="4" t="n"/>
      <c r="Q1317" s="13" t="n">
        <v>0</v>
      </c>
      <c r="R1317" s="13">
        <f>R1316+Q1317</f>
        <v/>
      </c>
      <c r="S1317" s="19">
        <f>S1316+IF(N1317="已下單",M1317,0)</f>
        <v/>
      </c>
      <c r="T1317" s="19">
        <f>R1317-S1317</f>
        <v/>
      </c>
      <c r="U1317" s="2">
        <f>U1316+IF(N1317="已下單",1,0)</f>
        <v/>
      </c>
      <c r="V1317" s="19">
        <f>IF(資金模擬!$B$9=2,MAX(R1317,0),MAX(V1316,FLOOR(MAX(R1317,0),資金模擬!$B$6)))</f>
        <v/>
      </c>
      <c r="W1317" s="13">
        <f>MAX(W1316,R1317)</f>
        <v/>
      </c>
      <c r="X1317" s="4">
        <f>IF(W1317&gt;0,R1317/W1317-1,-1)</f>
        <v/>
      </c>
      <c r="Y1317" s="19">
        <f>IF(R1317&gt;0,S1317*資金模擬!$B$7/R1317,0)</f>
        <v/>
      </c>
      <c r="Z1317" s="2">
        <f>IF(OR(Z1316=1,R1317&lt;=資金模擬!$B$10),1,0)</f>
        <v/>
      </c>
    </row>
    <row r="1318">
      <c r="A1318" s="2" t="n">
        <v>1316</v>
      </c>
      <c r="B1318" s="7" t="n">
        <v>46300.75</v>
      </c>
      <c r="C1318" s="2" t="inlineStr">
        <is>
          <t>出場</t>
        </is>
      </c>
      <c r="D1318" s="2" t="n">
        <v>657</v>
      </c>
      <c r="E1318" s="2" t="inlineStr">
        <is>
          <t>BR_USDT_PERP</t>
        </is>
      </c>
      <c r="F1318" s="2" t="inlineStr">
        <is>
          <t>做空</t>
        </is>
      </c>
      <c r="G1318" s="20" t="n">
        <v>0.42459</v>
      </c>
      <c r="H1318" s="20" t="n">
        <v>0.4118523</v>
      </c>
      <c r="I1318" s="20" t="n">
        <v>0.4458195</v>
      </c>
      <c r="J1318" s="20" t="n">
        <v>0.4118523</v>
      </c>
      <c r="K1318" s="2" t="inlineStr">
        <is>
          <t>止盈</t>
        </is>
      </c>
      <c r="L1318" s="5">
        <f>交易明細!K658</f>
        <v/>
      </c>
      <c r="M1318" s="19">
        <f>M1313</f>
        <v/>
      </c>
      <c r="N1318" s="2">
        <f>N1313</f>
        <v/>
      </c>
      <c r="O1318" s="19">
        <f>O1313</f>
        <v/>
      </c>
      <c r="P1318" s="4">
        <f>交易明細!L658</f>
        <v/>
      </c>
      <c r="Q1318" s="13">
        <f>IF(N1318="已下單",O1318*P1318,0)</f>
        <v/>
      </c>
      <c r="R1318" s="13">
        <f>R1317+Q1318</f>
        <v/>
      </c>
      <c r="S1318" s="19">
        <f>S1317-IF(N1318="已下單",M1318,0)</f>
        <v/>
      </c>
      <c r="T1318" s="19">
        <f>R1318-S1318</f>
        <v/>
      </c>
      <c r="U1318" s="2">
        <f>U1317-IF(N1318="已下單",1,0)</f>
        <v/>
      </c>
      <c r="V1318" s="19">
        <f>IF(資金模擬!$B$9=2,MAX(R1318,0),MAX(V1317,FLOOR(MAX(R1318,0),資金模擬!$B$6)))</f>
        <v/>
      </c>
      <c r="W1318" s="13">
        <f>MAX(W1317,R1318)</f>
        <v/>
      </c>
      <c r="X1318" s="4">
        <f>IF(W1318&gt;0,R1318/W1318-1,-1)</f>
        <v/>
      </c>
      <c r="Y1318" s="19">
        <f>IF(R1318&gt;0,S1318*資金模擬!$B$7/R1318,0)</f>
        <v/>
      </c>
      <c r="Z1318" s="2">
        <f>IF(OR(Z1317=1,R1318&lt;=資金模擬!$B$10),1,0)</f>
        <v/>
      </c>
    </row>
    <row r="1319">
      <c r="A1319" s="2" t="n">
        <v>1317</v>
      </c>
      <c r="B1319" s="7" t="n">
        <v>46300.75</v>
      </c>
      <c r="C1319" s="2" t="inlineStr">
        <is>
          <t>出場</t>
        </is>
      </c>
      <c r="D1319" s="2" t="n">
        <v>658</v>
      </c>
      <c r="E1319" s="2" t="inlineStr">
        <is>
          <t>AIN_USDT_PERP</t>
        </is>
      </c>
      <c r="F1319" s="2" t="inlineStr">
        <is>
          <t>做空</t>
        </is>
      </c>
      <c r="G1319" s="20" t="n">
        <v>0.05491</v>
      </c>
      <c r="H1319" s="20" t="n">
        <v>0.0532627</v>
      </c>
      <c r="I1319" s="20" t="n">
        <v>0.05765550000000001</v>
      </c>
      <c r="J1319" s="20" t="n">
        <v>0.05765550000000001</v>
      </c>
      <c r="K1319" s="2" t="inlineStr">
        <is>
          <t>止損</t>
        </is>
      </c>
      <c r="L1319" s="5">
        <f>交易明細!K659</f>
        <v/>
      </c>
      <c r="M1319" s="19">
        <f>M1314</f>
        <v/>
      </c>
      <c r="N1319" s="2">
        <f>N1314</f>
        <v/>
      </c>
      <c r="O1319" s="19">
        <f>O1314</f>
        <v/>
      </c>
      <c r="P1319" s="4">
        <f>交易明細!L659</f>
        <v/>
      </c>
      <c r="Q1319" s="13">
        <f>IF(N1319="已下單",O1319*P1319,0)</f>
        <v/>
      </c>
      <c r="R1319" s="13">
        <f>R1318+Q1319</f>
        <v/>
      </c>
      <c r="S1319" s="19">
        <f>S1318-IF(N1319="已下單",M1319,0)</f>
        <v/>
      </c>
      <c r="T1319" s="19">
        <f>R1319-S1319</f>
        <v/>
      </c>
      <c r="U1319" s="2">
        <f>U1318-IF(N1319="已下單",1,0)</f>
        <v/>
      </c>
      <c r="V1319" s="19">
        <f>IF(資金模擬!$B$9=2,MAX(R1319,0),MAX(V1318,FLOOR(MAX(R1319,0),資金模擬!$B$6)))</f>
        <v/>
      </c>
      <c r="W1319" s="13">
        <f>MAX(W1318,R1319)</f>
        <v/>
      </c>
      <c r="X1319" s="4">
        <f>IF(W1319&gt;0,R1319/W1319-1,-1)</f>
        <v/>
      </c>
      <c r="Y1319" s="19">
        <f>IF(R1319&gt;0,S1319*資金模擬!$B$7/R1319,0)</f>
        <v/>
      </c>
      <c r="Z1319" s="2">
        <f>IF(OR(Z1318=1,R1319&lt;=資金模擬!$B$10),1,0)</f>
        <v/>
      </c>
    </row>
    <row r="1320">
      <c r="A1320" s="2" t="n">
        <v>1318</v>
      </c>
      <c r="B1320" s="7" t="n">
        <v>46300.75</v>
      </c>
      <c r="C1320" s="2" t="inlineStr">
        <is>
          <t>進場</t>
        </is>
      </c>
      <c r="D1320" s="2" t="n">
        <v>661</v>
      </c>
      <c r="E1320" s="2" t="inlineStr">
        <is>
          <t>BTW_USDT_PERP</t>
        </is>
      </c>
      <c r="F1320" s="2" t="inlineStr">
        <is>
          <t>做多</t>
        </is>
      </c>
      <c r="G1320" s="20" t="n">
        <v>1.189999</v>
      </c>
      <c r="H1320" s="20" t="n">
        <v>1.22569897</v>
      </c>
      <c r="I1320" s="20" t="n">
        <v>1.13049905</v>
      </c>
      <c r="J1320" s="20" t="n"/>
      <c r="K1320" s="2" t="n"/>
      <c r="L1320" s="5" t="n"/>
      <c r="M1320" s="19">
        <f>資金模擬!$B$5*V1319</f>
        <v/>
      </c>
      <c r="N1320" s="2">
        <f>IF(Z1319=1,"已停止",IF(T1319&gt;=M1320,"已下單","資金不足略過"))</f>
        <v/>
      </c>
      <c r="O1320" s="19">
        <f>IF(N1320="已下單",M1320*資金模擬!$B$7,0)</f>
        <v/>
      </c>
      <c r="P1320" s="4" t="n"/>
      <c r="Q1320" s="13" t="n">
        <v>0</v>
      </c>
      <c r="R1320" s="13">
        <f>R1319+Q1320</f>
        <v/>
      </c>
      <c r="S1320" s="19">
        <f>S1319+IF(N1320="已下單",M1320,0)</f>
        <v/>
      </c>
      <c r="T1320" s="19">
        <f>R1320-S1320</f>
        <v/>
      </c>
      <c r="U1320" s="2">
        <f>U1319+IF(N1320="已下單",1,0)</f>
        <v/>
      </c>
      <c r="V1320" s="19">
        <f>IF(資金模擬!$B$9=2,MAX(R1320,0),MAX(V1319,FLOOR(MAX(R1320,0),資金模擬!$B$6)))</f>
        <v/>
      </c>
      <c r="W1320" s="13">
        <f>MAX(W1319,R1320)</f>
        <v/>
      </c>
      <c r="X1320" s="4">
        <f>IF(W1320&gt;0,R1320/W1320-1,-1)</f>
        <v/>
      </c>
      <c r="Y1320" s="19">
        <f>IF(R1320&gt;0,S1320*資金模擬!$B$7/R1320,0)</f>
        <v/>
      </c>
      <c r="Z1320" s="2">
        <f>IF(OR(Z1319=1,R1320&lt;=資金模擬!$B$10),1,0)</f>
        <v/>
      </c>
    </row>
    <row r="1321">
      <c r="A1321" s="2" t="n">
        <v>1319</v>
      </c>
      <c r="B1321" s="7" t="n">
        <v>46300.83333333334</v>
      </c>
      <c r="C1321" s="2" t="inlineStr">
        <is>
          <t>出場</t>
        </is>
      </c>
      <c r="D1321" s="2" t="n">
        <v>661</v>
      </c>
      <c r="E1321" s="2" t="inlineStr">
        <is>
          <t>BTW_USDT_PERP</t>
        </is>
      </c>
      <c r="F1321" s="2" t="inlineStr">
        <is>
          <t>做多</t>
        </is>
      </c>
      <c r="G1321" s="20" t="n">
        <v>1.189999</v>
      </c>
      <c r="H1321" s="20" t="n">
        <v>1.22569897</v>
      </c>
      <c r="I1321" s="20" t="n">
        <v>1.13049905</v>
      </c>
      <c r="J1321" s="20" t="n">
        <v>1.22569897</v>
      </c>
      <c r="K1321" s="2" t="inlineStr">
        <is>
          <t>止盈</t>
        </is>
      </c>
      <c r="L1321" s="5">
        <f>交易明細!K662</f>
        <v/>
      </c>
      <c r="M1321" s="19">
        <f>M1320</f>
        <v/>
      </c>
      <c r="N1321" s="2">
        <f>N1320</f>
        <v/>
      </c>
      <c r="O1321" s="19">
        <f>O1320</f>
        <v/>
      </c>
      <c r="P1321" s="4">
        <f>交易明細!L662</f>
        <v/>
      </c>
      <c r="Q1321" s="13">
        <f>IF(N1321="已下單",O1321*P1321,0)</f>
        <v/>
      </c>
      <c r="R1321" s="13">
        <f>R1320+Q1321</f>
        <v/>
      </c>
      <c r="S1321" s="19">
        <f>S1320-IF(N1321="已下單",M1321,0)</f>
        <v/>
      </c>
      <c r="T1321" s="19">
        <f>R1321-S1321</f>
        <v/>
      </c>
      <c r="U1321" s="2">
        <f>U1320-IF(N1321="已下單",1,0)</f>
        <v/>
      </c>
      <c r="V1321" s="19">
        <f>IF(資金模擬!$B$9=2,MAX(R1321,0),MAX(V1320,FLOOR(MAX(R1321,0),資金模擬!$B$6)))</f>
        <v/>
      </c>
      <c r="W1321" s="13">
        <f>MAX(W1320,R1321)</f>
        <v/>
      </c>
      <c r="X1321" s="4">
        <f>IF(W1321&gt;0,R1321/W1321-1,-1)</f>
        <v/>
      </c>
      <c r="Y1321" s="19">
        <f>IF(R1321&gt;0,S1321*資金模擬!$B$7/R1321,0)</f>
        <v/>
      </c>
      <c r="Z1321" s="2">
        <f>IF(OR(Z1320=1,R1321&lt;=資金模擬!$B$10),1,0)</f>
        <v/>
      </c>
    </row>
    <row r="1322">
      <c r="A1322" s="2" t="n">
        <v>1320</v>
      </c>
      <c r="B1322" s="7" t="n">
        <v>46300.875</v>
      </c>
      <c r="C1322" s="2" t="inlineStr">
        <is>
          <t>出場</t>
        </is>
      </c>
      <c r="D1322" s="2" t="n">
        <v>651</v>
      </c>
      <c r="E1322" s="2" t="inlineStr">
        <is>
          <t>QNT_USDT_PERP</t>
        </is>
      </c>
      <c r="F1322" s="2" t="inlineStr">
        <is>
          <t>做空</t>
        </is>
      </c>
      <c r="G1322" s="20" t="n">
        <v>249.63</v>
      </c>
      <c r="H1322" s="20" t="n">
        <v>242.1411</v>
      </c>
      <c r="I1322" s="20" t="n">
        <v>262.1115</v>
      </c>
      <c r="J1322" s="20" t="n">
        <v>262.1115</v>
      </c>
      <c r="K1322" s="2" t="inlineStr">
        <is>
          <t>止損</t>
        </is>
      </c>
      <c r="L1322" s="5">
        <f>交易明細!K652</f>
        <v/>
      </c>
      <c r="M1322" s="19">
        <f>M1300</f>
        <v/>
      </c>
      <c r="N1322" s="2">
        <f>N1300</f>
        <v/>
      </c>
      <c r="O1322" s="19">
        <f>O1300</f>
        <v/>
      </c>
      <c r="P1322" s="4">
        <f>交易明細!L652</f>
        <v/>
      </c>
      <c r="Q1322" s="13">
        <f>IF(N1322="已下單",O1322*P1322,0)</f>
        <v/>
      </c>
      <c r="R1322" s="13">
        <f>R1321+Q1322</f>
        <v/>
      </c>
      <c r="S1322" s="19">
        <f>S1321-IF(N1322="已下單",M1322,0)</f>
        <v/>
      </c>
      <c r="T1322" s="19">
        <f>R1322-S1322</f>
        <v/>
      </c>
      <c r="U1322" s="2">
        <f>U1321-IF(N1322="已下單",1,0)</f>
        <v/>
      </c>
      <c r="V1322" s="19">
        <f>IF(資金模擬!$B$9=2,MAX(R1322,0),MAX(V1321,FLOOR(MAX(R1322,0),資金模擬!$B$6)))</f>
        <v/>
      </c>
      <c r="W1322" s="13">
        <f>MAX(W1321,R1322)</f>
        <v/>
      </c>
      <c r="X1322" s="4">
        <f>IF(W1322&gt;0,R1322/W1322-1,-1)</f>
        <v/>
      </c>
      <c r="Y1322" s="19">
        <f>IF(R1322&gt;0,S1322*資金模擬!$B$7/R1322,0)</f>
        <v/>
      </c>
      <c r="Z1322" s="2">
        <f>IF(OR(Z1321=1,R1322&lt;=資金模擬!$B$10),1,0)</f>
        <v/>
      </c>
    </row>
    <row r="1323">
      <c r="A1323" s="2" t="n">
        <v>1321</v>
      </c>
      <c r="B1323" s="7" t="n">
        <v>46300.875</v>
      </c>
      <c r="C1323" s="2" t="inlineStr">
        <is>
          <t>出場</t>
        </is>
      </c>
      <c r="D1323" s="2" t="n">
        <v>660</v>
      </c>
      <c r="E1323" s="2" t="inlineStr">
        <is>
          <t>STRK_USDT_PERP</t>
        </is>
      </c>
      <c r="F1323" s="2" t="inlineStr">
        <is>
          <t>做多</t>
        </is>
      </c>
      <c r="G1323" s="20" t="n">
        <v>0.059</v>
      </c>
      <c r="H1323" s="20" t="n">
        <v>0.06077</v>
      </c>
      <c r="I1323" s="20" t="n">
        <v>0.05605</v>
      </c>
      <c r="J1323" s="20" t="n">
        <v>0.05605</v>
      </c>
      <c r="K1323" s="2" t="inlineStr">
        <is>
          <t>止損</t>
        </is>
      </c>
      <c r="L1323" s="5">
        <f>交易明細!K661</f>
        <v/>
      </c>
      <c r="M1323" s="19">
        <f>M1317</f>
        <v/>
      </c>
      <c r="N1323" s="2">
        <f>N1317</f>
        <v/>
      </c>
      <c r="O1323" s="19">
        <f>O1317</f>
        <v/>
      </c>
      <c r="P1323" s="4">
        <f>交易明細!L661</f>
        <v/>
      </c>
      <c r="Q1323" s="13">
        <f>IF(N1323="已下單",O1323*P1323,0)</f>
        <v/>
      </c>
      <c r="R1323" s="13">
        <f>R1322+Q1323</f>
        <v/>
      </c>
      <c r="S1323" s="19">
        <f>S1322-IF(N1323="已下單",M1323,0)</f>
        <v/>
      </c>
      <c r="T1323" s="19">
        <f>R1323-S1323</f>
        <v/>
      </c>
      <c r="U1323" s="2">
        <f>U1322-IF(N1323="已下單",1,0)</f>
        <v/>
      </c>
      <c r="V1323" s="19">
        <f>IF(資金模擬!$B$9=2,MAX(R1323,0),MAX(V1322,FLOOR(MAX(R1323,0),資金模擬!$B$6)))</f>
        <v/>
      </c>
      <c r="W1323" s="13">
        <f>MAX(W1322,R1323)</f>
        <v/>
      </c>
      <c r="X1323" s="4">
        <f>IF(W1323&gt;0,R1323/W1323-1,-1)</f>
        <v/>
      </c>
      <c r="Y1323" s="19">
        <f>IF(R1323&gt;0,S1323*資金模擬!$B$7/R1323,0)</f>
        <v/>
      </c>
      <c r="Z1323" s="2">
        <f>IF(OR(Z1322=1,R1323&lt;=資金模擬!$B$10),1,0)</f>
        <v/>
      </c>
    </row>
    <row r="1324">
      <c r="A1324" s="2" t="n">
        <v>1322</v>
      </c>
      <c r="B1324" s="7" t="n">
        <v>46300.91666666666</v>
      </c>
      <c r="C1324" s="2" t="inlineStr">
        <is>
          <t>進場</t>
        </is>
      </c>
      <c r="D1324" s="2" t="n">
        <v>662</v>
      </c>
      <c r="E1324" s="2" t="inlineStr">
        <is>
          <t>NIL_USDT_PERP</t>
        </is>
      </c>
      <c r="F1324" s="2" t="inlineStr">
        <is>
          <t>做多</t>
        </is>
      </c>
      <c r="G1324" s="20" t="n">
        <v>0.09872</v>
      </c>
      <c r="H1324" s="20" t="n">
        <v>0.1016816</v>
      </c>
      <c r="I1324" s="20" t="n">
        <v>0.09378399999999999</v>
      </c>
      <c r="J1324" s="20" t="n"/>
      <c r="K1324" s="2" t="n"/>
      <c r="L1324" s="5" t="n"/>
      <c r="M1324" s="19">
        <f>資金模擬!$B$5*V1323</f>
        <v/>
      </c>
      <c r="N1324" s="2">
        <f>IF(Z1323=1,"已停止",IF(T1323&gt;=M1324,"已下單","資金不足略過"))</f>
        <v/>
      </c>
      <c r="O1324" s="19">
        <f>IF(N1324="已下單",M1324*資金模擬!$B$7,0)</f>
        <v/>
      </c>
      <c r="P1324" s="4" t="n"/>
      <c r="Q1324" s="13" t="n">
        <v>0</v>
      </c>
      <c r="R1324" s="13">
        <f>R1323+Q1324</f>
        <v/>
      </c>
      <c r="S1324" s="19">
        <f>S1323+IF(N1324="已下單",M1324,0)</f>
        <v/>
      </c>
      <c r="T1324" s="19">
        <f>R1324-S1324</f>
        <v/>
      </c>
      <c r="U1324" s="2">
        <f>U1323+IF(N1324="已下單",1,0)</f>
        <v/>
      </c>
      <c r="V1324" s="19">
        <f>IF(資金模擬!$B$9=2,MAX(R1324,0),MAX(V1323,FLOOR(MAX(R1324,0),資金模擬!$B$6)))</f>
        <v/>
      </c>
      <c r="W1324" s="13">
        <f>MAX(W1323,R1324)</f>
        <v/>
      </c>
      <c r="X1324" s="4">
        <f>IF(W1324&gt;0,R1324/W1324-1,-1)</f>
        <v/>
      </c>
      <c r="Y1324" s="19">
        <f>IF(R1324&gt;0,S1324*資金模擬!$B$7/R1324,0)</f>
        <v/>
      </c>
      <c r="Z1324" s="2">
        <f>IF(OR(Z1323=1,R1324&lt;=資金模擬!$B$10),1,0)</f>
        <v/>
      </c>
    </row>
    <row r="1325">
      <c r="A1325" s="2" t="n">
        <v>1323</v>
      </c>
      <c r="B1325" s="7" t="n">
        <v>46300.95833333334</v>
      </c>
      <c r="C1325" s="2" t="inlineStr">
        <is>
          <t>進場</t>
        </is>
      </c>
      <c r="D1325" s="2" t="n">
        <v>663</v>
      </c>
      <c r="E1325" s="2" t="inlineStr">
        <is>
          <t>FET_USDT_PERP</t>
        </is>
      </c>
      <c r="F1325" s="2" t="inlineStr">
        <is>
          <t>做空</t>
        </is>
      </c>
      <c r="G1325" s="20" t="n">
        <v>0.2492</v>
      </c>
      <c r="H1325" s="20" t="n">
        <v>0.241724</v>
      </c>
      <c r="I1325" s="20" t="n">
        <v>0.26166</v>
      </c>
      <c r="J1325" s="20" t="n"/>
      <c r="K1325" s="2" t="n"/>
      <c r="L1325" s="5" t="n"/>
      <c r="M1325" s="19">
        <f>資金模擬!$B$5*V1324</f>
        <v/>
      </c>
      <c r="N1325" s="2">
        <f>IF(Z1324=1,"已停止",IF(T1324&gt;=M1325,"已下單","資金不足略過"))</f>
        <v/>
      </c>
      <c r="O1325" s="19">
        <f>IF(N1325="已下單",M1325*資金模擬!$B$7,0)</f>
        <v/>
      </c>
      <c r="P1325" s="4" t="n"/>
      <c r="Q1325" s="13" t="n">
        <v>0</v>
      </c>
      <c r="R1325" s="13">
        <f>R1324+Q1325</f>
        <v/>
      </c>
      <c r="S1325" s="19">
        <f>S1324+IF(N1325="已下單",M1325,0)</f>
        <v/>
      </c>
      <c r="T1325" s="19">
        <f>R1325-S1325</f>
        <v/>
      </c>
      <c r="U1325" s="2">
        <f>U1324+IF(N1325="已下單",1,0)</f>
        <v/>
      </c>
      <c r="V1325" s="19">
        <f>IF(資金模擬!$B$9=2,MAX(R1325,0),MAX(V1324,FLOOR(MAX(R1325,0),資金模擬!$B$6)))</f>
        <v/>
      </c>
      <c r="W1325" s="13">
        <f>MAX(W1324,R1325)</f>
        <v/>
      </c>
      <c r="X1325" s="4">
        <f>IF(W1325&gt;0,R1325/W1325-1,-1)</f>
        <v/>
      </c>
      <c r="Y1325" s="19">
        <f>IF(R1325&gt;0,S1325*資金模擬!$B$7/R1325,0)</f>
        <v/>
      </c>
      <c r="Z1325" s="2">
        <f>IF(OR(Z1324=1,R1325&lt;=資金模擬!$B$10),1,0)</f>
        <v/>
      </c>
    </row>
    <row r="1326">
      <c r="A1326" s="2" t="n">
        <v>1324</v>
      </c>
      <c r="B1326" s="7" t="n">
        <v>46300.95833333334</v>
      </c>
      <c r="C1326" s="2" t="inlineStr">
        <is>
          <t>進場</t>
        </is>
      </c>
      <c r="D1326" s="2" t="n">
        <v>664</v>
      </c>
      <c r="E1326" s="2" t="inlineStr">
        <is>
          <t>SAND_USDT_PERP</t>
        </is>
      </c>
      <c r="F1326" s="2" t="inlineStr">
        <is>
          <t>做空</t>
        </is>
      </c>
      <c r="G1326" s="20" t="n">
        <v>0.06942</v>
      </c>
      <c r="H1326" s="20" t="n">
        <v>0.06733739999999999</v>
      </c>
      <c r="I1326" s="20" t="n">
        <v>0.072891</v>
      </c>
      <c r="J1326" s="20" t="n"/>
      <c r="K1326" s="2" t="n"/>
      <c r="L1326" s="5" t="n"/>
      <c r="M1326" s="19">
        <f>資金模擬!$B$5*V1325</f>
        <v/>
      </c>
      <c r="N1326" s="2">
        <f>IF(Z1325=1,"已停止",IF(T1325&gt;=M1326,"已下單","資金不足略過"))</f>
        <v/>
      </c>
      <c r="O1326" s="19">
        <f>IF(N1326="已下單",M1326*資金模擬!$B$7,0)</f>
        <v/>
      </c>
      <c r="P1326" s="4" t="n"/>
      <c r="Q1326" s="13" t="n">
        <v>0</v>
      </c>
      <c r="R1326" s="13">
        <f>R1325+Q1326</f>
        <v/>
      </c>
      <c r="S1326" s="19">
        <f>S1325+IF(N1326="已下單",M1326,0)</f>
        <v/>
      </c>
      <c r="T1326" s="19">
        <f>R1326-S1326</f>
        <v/>
      </c>
      <c r="U1326" s="2">
        <f>U1325+IF(N1326="已下單",1,0)</f>
        <v/>
      </c>
      <c r="V1326" s="19">
        <f>IF(資金模擬!$B$9=2,MAX(R1326,0),MAX(V1325,FLOOR(MAX(R1326,0),資金模擬!$B$6)))</f>
        <v/>
      </c>
      <c r="W1326" s="13">
        <f>MAX(W1325,R1326)</f>
        <v/>
      </c>
      <c r="X1326" s="4">
        <f>IF(W1326&gt;0,R1326/W1326-1,-1)</f>
        <v/>
      </c>
      <c r="Y1326" s="19">
        <f>IF(R1326&gt;0,S1326*資金模擬!$B$7/R1326,0)</f>
        <v/>
      </c>
      <c r="Z1326" s="2">
        <f>IF(OR(Z1325=1,R1326&lt;=資金模擬!$B$10),1,0)</f>
        <v/>
      </c>
    </row>
    <row r="1327">
      <c r="A1327" s="2" t="n">
        <v>1325</v>
      </c>
      <c r="B1327" s="7" t="n">
        <v>46301</v>
      </c>
      <c r="C1327" s="2" t="inlineStr">
        <is>
          <t>出場</t>
        </is>
      </c>
      <c r="D1327" s="2" t="n">
        <v>662</v>
      </c>
      <c r="E1327" s="2" t="inlineStr">
        <is>
          <t>NIL_USDT_PERP</t>
        </is>
      </c>
      <c r="F1327" s="2" t="inlineStr">
        <is>
          <t>做多</t>
        </is>
      </c>
      <c r="G1327" s="20" t="n">
        <v>0.09872</v>
      </c>
      <c r="H1327" s="20" t="n">
        <v>0.1016816</v>
      </c>
      <c r="I1327" s="20" t="n">
        <v>0.09378399999999999</v>
      </c>
      <c r="J1327" s="20" t="n">
        <v>0.1016816</v>
      </c>
      <c r="K1327" s="2" t="inlineStr">
        <is>
          <t>止盈</t>
        </is>
      </c>
      <c r="L1327" s="5">
        <f>交易明細!K663</f>
        <v/>
      </c>
      <c r="M1327" s="19">
        <f>M1324</f>
        <v/>
      </c>
      <c r="N1327" s="2">
        <f>N1324</f>
        <v/>
      </c>
      <c r="O1327" s="19">
        <f>O1324</f>
        <v/>
      </c>
      <c r="P1327" s="4">
        <f>交易明細!L663</f>
        <v/>
      </c>
      <c r="Q1327" s="13">
        <f>IF(N1327="已下單",O1327*P1327,0)</f>
        <v/>
      </c>
      <c r="R1327" s="13">
        <f>R1326+Q1327</f>
        <v/>
      </c>
      <c r="S1327" s="19">
        <f>S1326-IF(N1327="已下單",M1327,0)</f>
        <v/>
      </c>
      <c r="T1327" s="19">
        <f>R1327-S1327</f>
        <v/>
      </c>
      <c r="U1327" s="2">
        <f>U1326-IF(N1327="已下單",1,0)</f>
        <v/>
      </c>
      <c r="V1327" s="19">
        <f>IF(資金模擬!$B$9=2,MAX(R1327,0),MAX(V1326,FLOOR(MAX(R1327,0),資金模擬!$B$6)))</f>
        <v/>
      </c>
      <c r="W1327" s="13">
        <f>MAX(W1326,R1327)</f>
        <v/>
      </c>
      <c r="X1327" s="4">
        <f>IF(W1327&gt;0,R1327/W1327-1,-1)</f>
        <v/>
      </c>
      <c r="Y1327" s="19">
        <f>IF(R1327&gt;0,S1327*資金模擬!$B$7/R1327,0)</f>
        <v/>
      </c>
      <c r="Z1327" s="2">
        <f>IF(OR(Z1326=1,R1327&lt;=資金模擬!$B$10),1,0)</f>
        <v/>
      </c>
    </row>
    <row r="1328">
      <c r="A1328" s="2" t="n">
        <v>1326</v>
      </c>
      <c r="B1328" s="7" t="n">
        <v>46301</v>
      </c>
      <c r="C1328" s="2" t="inlineStr">
        <is>
          <t>出場</t>
        </is>
      </c>
      <c r="D1328" s="2" t="n">
        <v>664</v>
      </c>
      <c r="E1328" s="2" t="inlineStr">
        <is>
          <t>SAND_USDT_PERP</t>
        </is>
      </c>
      <c r="F1328" s="2" t="inlineStr">
        <is>
          <t>做空</t>
        </is>
      </c>
      <c r="G1328" s="20" t="n">
        <v>0.06942</v>
      </c>
      <c r="H1328" s="20" t="n">
        <v>0.06733739999999999</v>
      </c>
      <c r="I1328" s="20" t="n">
        <v>0.072891</v>
      </c>
      <c r="J1328" s="20" t="n">
        <v>0.06733739999999999</v>
      </c>
      <c r="K1328" s="2" t="inlineStr">
        <is>
          <t>止盈</t>
        </is>
      </c>
      <c r="L1328" s="5">
        <f>交易明細!K665</f>
        <v/>
      </c>
      <c r="M1328" s="19">
        <f>M1326</f>
        <v/>
      </c>
      <c r="N1328" s="2">
        <f>N1326</f>
        <v/>
      </c>
      <c r="O1328" s="19">
        <f>O1326</f>
        <v/>
      </c>
      <c r="P1328" s="4">
        <f>交易明細!L665</f>
        <v/>
      </c>
      <c r="Q1328" s="13">
        <f>IF(N1328="已下單",O1328*P1328,0)</f>
        <v/>
      </c>
      <c r="R1328" s="13">
        <f>R1327+Q1328</f>
        <v/>
      </c>
      <c r="S1328" s="19">
        <f>S1327-IF(N1328="已下單",M1328,0)</f>
        <v/>
      </c>
      <c r="T1328" s="19">
        <f>R1328-S1328</f>
        <v/>
      </c>
      <c r="U1328" s="2">
        <f>U1327-IF(N1328="已下單",1,0)</f>
        <v/>
      </c>
      <c r="V1328" s="19">
        <f>IF(資金模擬!$B$9=2,MAX(R1328,0),MAX(V1327,FLOOR(MAX(R1328,0),資金模擬!$B$6)))</f>
        <v/>
      </c>
      <c r="W1328" s="13">
        <f>MAX(W1327,R1328)</f>
        <v/>
      </c>
      <c r="X1328" s="4">
        <f>IF(W1328&gt;0,R1328/W1328-1,-1)</f>
        <v/>
      </c>
      <c r="Y1328" s="19">
        <f>IF(R1328&gt;0,S1328*資金模擬!$B$7/R1328,0)</f>
        <v/>
      </c>
      <c r="Z1328" s="2">
        <f>IF(OR(Z1327=1,R1328&lt;=資金模擬!$B$10),1,0)</f>
        <v/>
      </c>
    </row>
    <row r="1329">
      <c r="A1329" s="2" t="n">
        <v>1327</v>
      </c>
      <c r="B1329" s="7" t="n">
        <v>46301</v>
      </c>
      <c r="C1329" s="2" t="inlineStr">
        <is>
          <t>進場</t>
        </is>
      </c>
      <c r="D1329" s="2" t="n">
        <v>665</v>
      </c>
      <c r="E1329" s="2" t="inlineStr">
        <is>
          <t>BTW_USDT_PERP</t>
        </is>
      </c>
      <c r="F1329" s="2" t="inlineStr">
        <is>
          <t>做多</t>
        </is>
      </c>
      <c r="G1329" s="20" t="n">
        <v>1.209897</v>
      </c>
      <c r="H1329" s="20" t="n">
        <v>1.24619391</v>
      </c>
      <c r="I1329" s="20" t="n">
        <v>1.14940215</v>
      </c>
      <c r="J1329" s="20" t="n"/>
      <c r="K1329" s="2" t="n"/>
      <c r="L1329" s="5" t="n"/>
      <c r="M1329" s="19">
        <f>資金模擬!$B$5*V1328</f>
        <v/>
      </c>
      <c r="N1329" s="2">
        <f>IF(Z1328=1,"已停止",IF(T1328&gt;=M1329,"已下單","資金不足略過"))</f>
        <v/>
      </c>
      <c r="O1329" s="19">
        <f>IF(N1329="已下單",M1329*資金模擬!$B$7,0)</f>
        <v/>
      </c>
      <c r="P1329" s="4" t="n"/>
      <c r="Q1329" s="13" t="n">
        <v>0</v>
      </c>
      <c r="R1329" s="13">
        <f>R1328+Q1329</f>
        <v/>
      </c>
      <c r="S1329" s="19">
        <f>S1328+IF(N1329="已下單",M1329,0)</f>
        <v/>
      </c>
      <c r="T1329" s="19">
        <f>R1329-S1329</f>
        <v/>
      </c>
      <c r="U1329" s="2">
        <f>U1328+IF(N1329="已下單",1,0)</f>
        <v/>
      </c>
      <c r="V1329" s="19">
        <f>IF(資金模擬!$B$9=2,MAX(R1329,0),MAX(V1328,FLOOR(MAX(R1329,0),資金模擬!$B$6)))</f>
        <v/>
      </c>
      <c r="W1329" s="13">
        <f>MAX(W1328,R1329)</f>
        <v/>
      </c>
      <c r="X1329" s="4">
        <f>IF(W1329&gt;0,R1329/W1329-1,-1)</f>
        <v/>
      </c>
      <c r="Y1329" s="19">
        <f>IF(R1329&gt;0,S1329*資金模擬!$B$7/R1329,0)</f>
        <v/>
      </c>
      <c r="Z1329" s="2">
        <f>IF(OR(Z1328=1,R1329&lt;=資金模擬!$B$10),1,0)</f>
        <v/>
      </c>
    </row>
    <row r="1330">
      <c r="A1330" s="2" t="n">
        <v>1328</v>
      </c>
      <c r="B1330" s="7" t="n">
        <v>46301.08333333334</v>
      </c>
      <c r="C1330" s="2" t="inlineStr">
        <is>
          <t>出場</t>
        </is>
      </c>
      <c r="D1330" s="2" t="n">
        <v>665</v>
      </c>
      <c r="E1330" s="2" t="inlineStr">
        <is>
          <t>BTW_USDT_PERP</t>
        </is>
      </c>
      <c r="F1330" s="2" t="inlineStr">
        <is>
          <t>做多</t>
        </is>
      </c>
      <c r="G1330" s="20" t="n">
        <v>1.209897</v>
      </c>
      <c r="H1330" s="20" t="n">
        <v>1.24619391</v>
      </c>
      <c r="I1330" s="20" t="n">
        <v>1.14940215</v>
      </c>
      <c r="J1330" s="20" t="n">
        <v>1.24619391</v>
      </c>
      <c r="K1330" s="2" t="inlineStr">
        <is>
          <t>止盈</t>
        </is>
      </c>
      <c r="L1330" s="5">
        <f>交易明細!K666</f>
        <v/>
      </c>
      <c r="M1330" s="19">
        <f>M1329</f>
        <v/>
      </c>
      <c r="N1330" s="2">
        <f>N1329</f>
        <v/>
      </c>
      <c r="O1330" s="19">
        <f>O1329</f>
        <v/>
      </c>
      <c r="P1330" s="4">
        <f>交易明細!L666</f>
        <v/>
      </c>
      <c r="Q1330" s="13">
        <f>IF(N1330="已下單",O1330*P1330,0)</f>
        <v/>
      </c>
      <c r="R1330" s="13">
        <f>R1329+Q1330</f>
        <v/>
      </c>
      <c r="S1330" s="19">
        <f>S1329-IF(N1330="已下單",M1330,0)</f>
        <v/>
      </c>
      <c r="T1330" s="19">
        <f>R1330-S1330</f>
        <v/>
      </c>
      <c r="U1330" s="2">
        <f>U1329-IF(N1330="已下單",1,0)</f>
        <v/>
      </c>
      <c r="V1330" s="19">
        <f>IF(資金模擬!$B$9=2,MAX(R1330,0),MAX(V1329,FLOOR(MAX(R1330,0),資金模擬!$B$6)))</f>
        <v/>
      </c>
      <c r="W1330" s="13">
        <f>MAX(W1329,R1330)</f>
        <v/>
      </c>
      <c r="X1330" s="4">
        <f>IF(W1330&gt;0,R1330/W1330-1,-1)</f>
        <v/>
      </c>
      <c r="Y1330" s="19">
        <f>IF(R1330&gt;0,S1330*資金模擬!$B$7/R1330,0)</f>
        <v/>
      </c>
      <c r="Z1330" s="2">
        <f>IF(OR(Z1329=1,R1330&lt;=資金模擬!$B$10),1,0)</f>
        <v/>
      </c>
    </row>
    <row r="1331">
      <c r="A1331" s="2" t="n">
        <v>1329</v>
      </c>
      <c r="B1331" s="7" t="n">
        <v>46301.25</v>
      </c>
      <c r="C1331" s="2" t="inlineStr">
        <is>
          <t>進場</t>
        </is>
      </c>
      <c r="D1331" s="2" t="n">
        <v>666</v>
      </c>
      <c r="E1331" s="2" t="inlineStr">
        <is>
          <t>QNT_USDT_PERP</t>
        </is>
      </c>
      <c r="F1331" s="2" t="inlineStr">
        <is>
          <t>做多</t>
        </is>
      </c>
      <c r="G1331" s="20" t="n">
        <v>258.78</v>
      </c>
      <c r="H1331" s="20" t="n">
        <v>266.5434</v>
      </c>
      <c r="I1331" s="20" t="n">
        <v>245.841</v>
      </c>
      <c r="J1331" s="20" t="n"/>
      <c r="K1331" s="2" t="n"/>
      <c r="L1331" s="5" t="n"/>
      <c r="M1331" s="19">
        <f>資金模擬!$B$5*V1330</f>
        <v/>
      </c>
      <c r="N1331" s="2">
        <f>IF(Z1330=1,"已停止",IF(T1330&gt;=M1331,"已下單","資金不足略過"))</f>
        <v/>
      </c>
      <c r="O1331" s="19">
        <f>IF(N1331="已下單",M1331*資金模擬!$B$7,0)</f>
        <v/>
      </c>
      <c r="P1331" s="4" t="n"/>
      <c r="Q1331" s="13" t="n">
        <v>0</v>
      </c>
      <c r="R1331" s="13">
        <f>R1330+Q1331</f>
        <v/>
      </c>
      <c r="S1331" s="19">
        <f>S1330+IF(N1331="已下單",M1331,0)</f>
        <v/>
      </c>
      <c r="T1331" s="19">
        <f>R1331-S1331</f>
        <v/>
      </c>
      <c r="U1331" s="2">
        <f>U1330+IF(N1331="已下單",1,0)</f>
        <v/>
      </c>
      <c r="V1331" s="19">
        <f>IF(資金模擬!$B$9=2,MAX(R1331,0),MAX(V1330,FLOOR(MAX(R1331,0),資金模擬!$B$6)))</f>
        <v/>
      </c>
      <c r="W1331" s="13">
        <f>MAX(W1330,R1331)</f>
        <v/>
      </c>
      <c r="X1331" s="4">
        <f>IF(W1331&gt;0,R1331/W1331-1,-1)</f>
        <v/>
      </c>
      <c r="Y1331" s="19">
        <f>IF(R1331&gt;0,S1331*資金模擬!$B$7/R1331,0)</f>
        <v/>
      </c>
      <c r="Z1331" s="2">
        <f>IF(OR(Z1330=1,R1331&lt;=資金模擬!$B$10),1,0)</f>
        <v/>
      </c>
    </row>
    <row r="1332">
      <c r="A1332" s="2" t="n">
        <v>1330</v>
      </c>
      <c r="B1332" s="7" t="n">
        <v>46301.375</v>
      </c>
      <c r="C1332" s="2" t="inlineStr">
        <is>
          <t>出場</t>
        </is>
      </c>
      <c r="D1332" s="2" t="n">
        <v>666</v>
      </c>
      <c r="E1332" s="2" t="inlineStr">
        <is>
          <t>QNT_USDT_PERP</t>
        </is>
      </c>
      <c r="F1332" s="2" t="inlineStr">
        <is>
          <t>做多</t>
        </is>
      </c>
      <c r="G1332" s="20" t="n">
        <v>258.78</v>
      </c>
      <c r="H1332" s="20" t="n">
        <v>266.5434</v>
      </c>
      <c r="I1332" s="20" t="n">
        <v>245.841</v>
      </c>
      <c r="J1332" s="20" t="n">
        <v>266.5434</v>
      </c>
      <c r="K1332" s="2" t="inlineStr">
        <is>
          <t>止盈</t>
        </is>
      </c>
      <c r="L1332" s="5">
        <f>交易明細!K667</f>
        <v/>
      </c>
      <c r="M1332" s="19">
        <f>M1331</f>
        <v/>
      </c>
      <c r="N1332" s="2">
        <f>N1331</f>
        <v/>
      </c>
      <c r="O1332" s="19">
        <f>O1331</f>
        <v/>
      </c>
      <c r="P1332" s="4">
        <f>交易明細!L667</f>
        <v/>
      </c>
      <c r="Q1332" s="13">
        <f>IF(N1332="已下單",O1332*P1332,0)</f>
        <v/>
      </c>
      <c r="R1332" s="13">
        <f>R1331+Q1332</f>
        <v/>
      </c>
      <c r="S1332" s="19">
        <f>S1331-IF(N1332="已下單",M1332,0)</f>
        <v/>
      </c>
      <c r="T1332" s="19">
        <f>R1332-S1332</f>
        <v/>
      </c>
      <c r="U1332" s="2">
        <f>U1331-IF(N1332="已下單",1,0)</f>
        <v/>
      </c>
      <c r="V1332" s="19">
        <f>IF(資金模擬!$B$9=2,MAX(R1332,0),MAX(V1331,FLOOR(MAX(R1332,0),資金模擬!$B$6)))</f>
        <v/>
      </c>
      <c r="W1332" s="13">
        <f>MAX(W1331,R1332)</f>
        <v/>
      </c>
      <c r="X1332" s="4">
        <f>IF(W1332&gt;0,R1332/W1332-1,-1)</f>
        <v/>
      </c>
      <c r="Y1332" s="19">
        <f>IF(R1332&gt;0,S1332*資金模擬!$B$7/R1332,0)</f>
        <v/>
      </c>
      <c r="Z1332" s="2">
        <f>IF(OR(Z1331=1,R1332&lt;=資金模擬!$B$10),1,0)</f>
        <v/>
      </c>
    </row>
    <row r="1333">
      <c r="A1333" s="2" t="n">
        <v>1331</v>
      </c>
      <c r="B1333" s="7" t="n">
        <v>46301.375</v>
      </c>
      <c r="C1333" s="2" t="inlineStr">
        <is>
          <t>進場</t>
        </is>
      </c>
      <c r="D1333" s="2" t="n">
        <v>667</v>
      </c>
      <c r="E1333" s="2" t="inlineStr">
        <is>
          <t>SAND_USDT_PERP</t>
        </is>
      </c>
      <c r="F1333" s="2" t="inlineStr">
        <is>
          <t>做空</t>
        </is>
      </c>
      <c r="G1333" s="20" t="n">
        <v>0.06743</v>
      </c>
      <c r="H1333" s="20" t="n">
        <v>0.0654071</v>
      </c>
      <c r="I1333" s="20" t="n">
        <v>0.0708015</v>
      </c>
      <c r="J1333" s="20" t="n"/>
      <c r="K1333" s="2" t="n"/>
      <c r="L1333" s="5" t="n"/>
      <c r="M1333" s="19">
        <f>資金模擬!$B$5*V1332</f>
        <v/>
      </c>
      <c r="N1333" s="2">
        <f>IF(Z1332=1,"已停止",IF(T1332&gt;=M1333,"已下單","資金不足略過"))</f>
        <v/>
      </c>
      <c r="O1333" s="19">
        <f>IF(N1333="已下單",M1333*資金模擬!$B$7,0)</f>
        <v/>
      </c>
      <c r="P1333" s="4" t="n"/>
      <c r="Q1333" s="13" t="n">
        <v>0</v>
      </c>
      <c r="R1333" s="13">
        <f>R1332+Q1333</f>
        <v/>
      </c>
      <c r="S1333" s="19">
        <f>S1332+IF(N1333="已下單",M1333,0)</f>
        <v/>
      </c>
      <c r="T1333" s="19">
        <f>R1333-S1333</f>
        <v/>
      </c>
      <c r="U1333" s="2">
        <f>U1332+IF(N1333="已下單",1,0)</f>
        <v/>
      </c>
      <c r="V1333" s="19">
        <f>IF(資金模擬!$B$9=2,MAX(R1333,0),MAX(V1332,FLOOR(MAX(R1333,0),資金模擬!$B$6)))</f>
        <v/>
      </c>
      <c r="W1333" s="13">
        <f>MAX(W1332,R1333)</f>
        <v/>
      </c>
      <c r="X1333" s="4">
        <f>IF(W1333&gt;0,R1333/W1333-1,-1)</f>
        <v/>
      </c>
      <c r="Y1333" s="19">
        <f>IF(R1333&gt;0,S1333*資金模擬!$B$7/R1333,0)</f>
        <v/>
      </c>
      <c r="Z1333" s="2">
        <f>IF(OR(Z1332=1,R1333&lt;=資金模擬!$B$10),1,0)</f>
        <v/>
      </c>
    </row>
    <row r="1334">
      <c r="A1334" s="2" t="n">
        <v>1332</v>
      </c>
      <c r="B1334" s="7" t="n">
        <v>46301.45833333334</v>
      </c>
      <c r="C1334" s="2" t="inlineStr">
        <is>
          <t>進場</t>
        </is>
      </c>
      <c r="D1334" s="2" t="n">
        <v>668</v>
      </c>
      <c r="E1334" s="2" t="inlineStr">
        <is>
          <t>BR_USDT_PERP</t>
        </is>
      </c>
      <c r="F1334" s="2" t="inlineStr">
        <is>
          <t>做空</t>
        </is>
      </c>
      <c r="G1334" s="20" t="n">
        <v>0.40543</v>
      </c>
      <c r="H1334" s="20" t="n">
        <v>0.3932671</v>
      </c>
      <c r="I1334" s="20" t="n">
        <v>0.4257015</v>
      </c>
      <c r="J1334" s="20" t="n"/>
      <c r="K1334" s="2" t="n"/>
      <c r="L1334" s="5" t="n"/>
      <c r="M1334" s="19">
        <f>資金模擬!$B$5*V1333</f>
        <v/>
      </c>
      <c r="N1334" s="2">
        <f>IF(Z1333=1,"已停止",IF(T1333&gt;=M1334,"已下單","資金不足略過"))</f>
        <v/>
      </c>
      <c r="O1334" s="19">
        <f>IF(N1334="已下單",M1334*資金模擬!$B$7,0)</f>
        <v/>
      </c>
      <c r="P1334" s="4" t="n"/>
      <c r="Q1334" s="13" t="n">
        <v>0</v>
      </c>
      <c r="R1334" s="13">
        <f>R1333+Q1334</f>
        <v/>
      </c>
      <c r="S1334" s="19">
        <f>S1333+IF(N1334="已下單",M1334,0)</f>
        <v/>
      </c>
      <c r="T1334" s="19">
        <f>R1334-S1334</f>
        <v/>
      </c>
      <c r="U1334" s="2">
        <f>U1333+IF(N1334="已下單",1,0)</f>
        <v/>
      </c>
      <c r="V1334" s="19">
        <f>IF(資金模擬!$B$9=2,MAX(R1334,0),MAX(V1333,FLOOR(MAX(R1334,0),資金模擬!$B$6)))</f>
        <v/>
      </c>
      <c r="W1334" s="13">
        <f>MAX(W1333,R1334)</f>
        <v/>
      </c>
      <c r="X1334" s="4">
        <f>IF(W1334&gt;0,R1334/W1334-1,-1)</f>
        <v/>
      </c>
      <c r="Y1334" s="19">
        <f>IF(R1334&gt;0,S1334*資金模擬!$B$7/R1334,0)</f>
        <v/>
      </c>
      <c r="Z1334" s="2">
        <f>IF(OR(Z1333=1,R1334&lt;=資金模擬!$B$10),1,0)</f>
        <v/>
      </c>
    </row>
    <row r="1335">
      <c r="A1335" s="2" t="n">
        <v>1333</v>
      </c>
      <c r="B1335" s="7" t="n">
        <v>46301.5</v>
      </c>
      <c r="C1335" s="2" t="inlineStr">
        <is>
          <t>進場</t>
        </is>
      </c>
      <c r="D1335" s="2" t="n">
        <v>669</v>
      </c>
      <c r="E1335" s="2" t="inlineStr">
        <is>
          <t>NIL_USDT_PERP</t>
        </is>
      </c>
      <c r="F1335" s="2" t="inlineStr">
        <is>
          <t>做空</t>
        </is>
      </c>
      <c r="G1335" s="20" t="n">
        <v>0.10057</v>
      </c>
      <c r="H1335" s="20" t="n">
        <v>0.0975529</v>
      </c>
      <c r="I1335" s="20" t="n">
        <v>0.1055985</v>
      </c>
      <c r="J1335" s="20" t="n"/>
      <c r="K1335" s="2" t="n"/>
      <c r="L1335" s="5" t="n"/>
      <c r="M1335" s="19">
        <f>資金模擬!$B$5*V1334</f>
        <v/>
      </c>
      <c r="N1335" s="2">
        <f>IF(Z1334=1,"已停止",IF(T1334&gt;=M1335,"已下單","資金不足略過"))</f>
        <v/>
      </c>
      <c r="O1335" s="19">
        <f>IF(N1335="已下單",M1335*資金模擬!$B$7,0)</f>
        <v/>
      </c>
      <c r="P1335" s="4" t="n"/>
      <c r="Q1335" s="13" t="n">
        <v>0</v>
      </c>
      <c r="R1335" s="13">
        <f>R1334+Q1335</f>
        <v/>
      </c>
      <c r="S1335" s="19">
        <f>S1334+IF(N1335="已下單",M1335,0)</f>
        <v/>
      </c>
      <c r="T1335" s="19">
        <f>R1335-S1335</f>
        <v/>
      </c>
      <c r="U1335" s="2">
        <f>U1334+IF(N1335="已下單",1,0)</f>
        <v/>
      </c>
      <c r="V1335" s="19">
        <f>IF(資金模擬!$B$9=2,MAX(R1335,0),MAX(V1334,FLOOR(MAX(R1335,0),資金模擬!$B$6)))</f>
        <v/>
      </c>
      <c r="W1335" s="13">
        <f>MAX(W1334,R1335)</f>
        <v/>
      </c>
      <c r="X1335" s="4">
        <f>IF(W1335&gt;0,R1335/W1335-1,-1)</f>
        <v/>
      </c>
      <c r="Y1335" s="19">
        <f>IF(R1335&gt;0,S1335*資金模擬!$B$7/R1335,0)</f>
        <v/>
      </c>
      <c r="Z1335" s="2">
        <f>IF(OR(Z1334=1,R1335&lt;=資金模擬!$B$10),1,0)</f>
        <v/>
      </c>
    </row>
    <row r="1336">
      <c r="A1336" s="2" t="n">
        <v>1334</v>
      </c>
      <c r="B1336" s="7" t="n">
        <v>46301.54166666666</v>
      </c>
      <c r="C1336" s="2" t="inlineStr">
        <is>
          <t>出場</t>
        </is>
      </c>
      <c r="D1336" s="2" t="n">
        <v>668</v>
      </c>
      <c r="E1336" s="2" t="inlineStr">
        <is>
          <t>BR_USDT_PERP</t>
        </is>
      </c>
      <c r="F1336" s="2" t="inlineStr">
        <is>
          <t>做空</t>
        </is>
      </c>
      <c r="G1336" s="20" t="n">
        <v>0.40543</v>
      </c>
      <c r="H1336" s="20" t="n">
        <v>0.3932671</v>
      </c>
      <c r="I1336" s="20" t="n">
        <v>0.4257015</v>
      </c>
      <c r="J1336" s="20" t="n">
        <v>0.3932671</v>
      </c>
      <c r="K1336" s="2" t="inlineStr">
        <is>
          <t>止盈</t>
        </is>
      </c>
      <c r="L1336" s="5">
        <f>交易明細!K669</f>
        <v/>
      </c>
      <c r="M1336" s="19">
        <f>M1334</f>
        <v/>
      </c>
      <c r="N1336" s="2">
        <f>N1334</f>
        <v/>
      </c>
      <c r="O1336" s="19">
        <f>O1334</f>
        <v/>
      </c>
      <c r="P1336" s="4">
        <f>交易明細!L669</f>
        <v/>
      </c>
      <c r="Q1336" s="13">
        <f>IF(N1336="已下單",O1336*P1336,0)</f>
        <v/>
      </c>
      <c r="R1336" s="13">
        <f>R1335+Q1336</f>
        <v/>
      </c>
      <c r="S1336" s="19">
        <f>S1335-IF(N1336="已下單",M1336,0)</f>
        <v/>
      </c>
      <c r="T1336" s="19">
        <f>R1336-S1336</f>
        <v/>
      </c>
      <c r="U1336" s="2">
        <f>U1335-IF(N1336="已下單",1,0)</f>
        <v/>
      </c>
      <c r="V1336" s="19">
        <f>IF(資金模擬!$B$9=2,MAX(R1336,0),MAX(V1335,FLOOR(MAX(R1336,0),資金模擬!$B$6)))</f>
        <v/>
      </c>
      <c r="W1336" s="13">
        <f>MAX(W1335,R1336)</f>
        <v/>
      </c>
      <c r="X1336" s="4">
        <f>IF(W1336&gt;0,R1336/W1336-1,-1)</f>
        <v/>
      </c>
      <c r="Y1336" s="19">
        <f>IF(R1336&gt;0,S1336*資金模擬!$B$7/R1336,0)</f>
        <v/>
      </c>
      <c r="Z1336" s="2">
        <f>IF(OR(Z1335=1,R1336&lt;=資金模擬!$B$10),1,0)</f>
        <v/>
      </c>
    </row>
    <row r="1337">
      <c r="A1337" s="2" t="n">
        <v>1335</v>
      </c>
      <c r="B1337" s="7" t="n">
        <v>46301.58333333334</v>
      </c>
      <c r="C1337" s="2" t="inlineStr">
        <is>
          <t>出場</t>
        </is>
      </c>
      <c r="D1337" s="2" t="n">
        <v>667</v>
      </c>
      <c r="E1337" s="2" t="inlineStr">
        <is>
          <t>SAND_USDT_PERP</t>
        </is>
      </c>
      <c r="F1337" s="2" t="inlineStr">
        <is>
          <t>做空</t>
        </is>
      </c>
      <c r="G1337" s="20" t="n">
        <v>0.06743</v>
      </c>
      <c r="H1337" s="20" t="n">
        <v>0.0654071</v>
      </c>
      <c r="I1337" s="20" t="n">
        <v>0.0708015</v>
      </c>
      <c r="J1337" s="20" t="n">
        <v>0.0654071</v>
      </c>
      <c r="K1337" s="2" t="inlineStr">
        <is>
          <t>止盈</t>
        </is>
      </c>
      <c r="L1337" s="5">
        <f>交易明細!K668</f>
        <v/>
      </c>
      <c r="M1337" s="19">
        <f>M1333</f>
        <v/>
      </c>
      <c r="N1337" s="2">
        <f>N1333</f>
        <v/>
      </c>
      <c r="O1337" s="19">
        <f>O1333</f>
        <v/>
      </c>
      <c r="P1337" s="4">
        <f>交易明細!L668</f>
        <v/>
      </c>
      <c r="Q1337" s="13">
        <f>IF(N1337="已下單",O1337*P1337,0)</f>
        <v/>
      </c>
      <c r="R1337" s="13">
        <f>R1336+Q1337</f>
        <v/>
      </c>
      <c r="S1337" s="19">
        <f>S1336-IF(N1337="已下單",M1337,0)</f>
        <v/>
      </c>
      <c r="T1337" s="19">
        <f>R1337-S1337</f>
        <v/>
      </c>
      <c r="U1337" s="2">
        <f>U1336-IF(N1337="已下單",1,0)</f>
        <v/>
      </c>
      <c r="V1337" s="19">
        <f>IF(資金模擬!$B$9=2,MAX(R1337,0),MAX(V1336,FLOOR(MAX(R1337,0),資金模擬!$B$6)))</f>
        <v/>
      </c>
      <c r="W1337" s="13">
        <f>MAX(W1336,R1337)</f>
        <v/>
      </c>
      <c r="X1337" s="4">
        <f>IF(W1337&gt;0,R1337/W1337-1,-1)</f>
        <v/>
      </c>
      <c r="Y1337" s="19">
        <f>IF(R1337&gt;0,S1337*資金模擬!$B$7/R1337,0)</f>
        <v/>
      </c>
      <c r="Z1337" s="2">
        <f>IF(OR(Z1336=1,R1337&lt;=資金模擬!$B$10),1,0)</f>
        <v/>
      </c>
    </row>
    <row r="1338">
      <c r="A1338" s="2" t="n">
        <v>1336</v>
      </c>
      <c r="B1338" s="7" t="n">
        <v>46301.58333333334</v>
      </c>
      <c r="C1338" s="2" t="inlineStr">
        <is>
          <t>進場</t>
        </is>
      </c>
      <c r="D1338" s="2" t="n">
        <v>670</v>
      </c>
      <c r="E1338" s="2" t="inlineStr">
        <is>
          <t>MUBARAK_USDT_PERP</t>
        </is>
      </c>
      <c r="F1338" s="2" t="inlineStr">
        <is>
          <t>做空</t>
        </is>
      </c>
      <c r="G1338" s="20" t="n">
        <v>0.07226</v>
      </c>
      <c r="H1338" s="20" t="n">
        <v>0.07009220000000001</v>
      </c>
      <c r="I1338" s="20" t="n">
        <v>0.07587300000000001</v>
      </c>
      <c r="J1338" s="20" t="n"/>
      <c r="K1338" s="2" t="n"/>
      <c r="L1338" s="5" t="n"/>
      <c r="M1338" s="19">
        <f>資金模擬!$B$5*V1337</f>
        <v/>
      </c>
      <c r="N1338" s="2">
        <f>IF(Z1337=1,"已停止",IF(T1337&gt;=M1338,"已下單","資金不足略過"))</f>
        <v/>
      </c>
      <c r="O1338" s="19">
        <f>IF(N1338="已下單",M1338*資金模擬!$B$7,0)</f>
        <v/>
      </c>
      <c r="P1338" s="4" t="n"/>
      <c r="Q1338" s="13" t="n">
        <v>0</v>
      </c>
      <c r="R1338" s="13">
        <f>R1337+Q1338</f>
        <v/>
      </c>
      <c r="S1338" s="19">
        <f>S1337+IF(N1338="已下單",M1338,0)</f>
        <v/>
      </c>
      <c r="T1338" s="19">
        <f>R1338-S1338</f>
        <v/>
      </c>
      <c r="U1338" s="2">
        <f>U1337+IF(N1338="已下單",1,0)</f>
        <v/>
      </c>
      <c r="V1338" s="19">
        <f>IF(資金模擬!$B$9=2,MAX(R1338,0),MAX(V1337,FLOOR(MAX(R1338,0),資金模擬!$B$6)))</f>
        <v/>
      </c>
      <c r="W1338" s="13">
        <f>MAX(W1337,R1338)</f>
        <v/>
      </c>
      <c r="X1338" s="4">
        <f>IF(W1338&gt;0,R1338/W1338-1,-1)</f>
        <v/>
      </c>
      <c r="Y1338" s="19">
        <f>IF(R1338&gt;0,S1338*資金模擬!$B$7/R1338,0)</f>
        <v/>
      </c>
      <c r="Z1338" s="2">
        <f>IF(OR(Z1337=1,R1338&lt;=資金模擬!$B$10),1,0)</f>
        <v/>
      </c>
    </row>
    <row r="1339">
      <c r="A1339" s="2" t="n">
        <v>1337</v>
      </c>
      <c r="B1339" s="7" t="n">
        <v>46301.70833333334</v>
      </c>
      <c r="C1339" s="2" t="inlineStr">
        <is>
          <t>出場</t>
        </is>
      </c>
      <c r="D1339" s="2" t="n">
        <v>670</v>
      </c>
      <c r="E1339" s="2" t="inlineStr">
        <is>
          <t>MUBARAK_USDT_PERP</t>
        </is>
      </c>
      <c r="F1339" s="2" t="inlineStr">
        <is>
          <t>做空</t>
        </is>
      </c>
      <c r="G1339" s="20" t="n">
        <v>0.07226</v>
      </c>
      <c r="H1339" s="20" t="n">
        <v>0.07009220000000001</v>
      </c>
      <c r="I1339" s="20" t="n">
        <v>0.07587300000000001</v>
      </c>
      <c r="J1339" s="20" t="n">
        <v>0.07009220000000001</v>
      </c>
      <c r="K1339" s="2" t="inlineStr">
        <is>
          <t>止盈</t>
        </is>
      </c>
      <c r="L1339" s="5">
        <f>交易明細!K671</f>
        <v/>
      </c>
      <c r="M1339" s="19">
        <f>M1338</f>
        <v/>
      </c>
      <c r="N1339" s="2">
        <f>N1338</f>
        <v/>
      </c>
      <c r="O1339" s="19">
        <f>O1338</f>
        <v/>
      </c>
      <c r="P1339" s="4">
        <f>交易明細!L671</f>
        <v/>
      </c>
      <c r="Q1339" s="13">
        <f>IF(N1339="已下單",O1339*P1339,0)</f>
        <v/>
      </c>
      <c r="R1339" s="13">
        <f>R1338+Q1339</f>
        <v/>
      </c>
      <c r="S1339" s="19">
        <f>S1338-IF(N1339="已下單",M1339,0)</f>
        <v/>
      </c>
      <c r="T1339" s="19">
        <f>R1339-S1339</f>
        <v/>
      </c>
      <c r="U1339" s="2">
        <f>U1338-IF(N1339="已下單",1,0)</f>
        <v/>
      </c>
      <c r="V1339" s="19">
        <f>IF(資金模擬!$B$9=2,MAX(R1339,0),MAX(V1338,FLOOR(MAX(R1339,0),資金模擬!$B$6)))</f>
        <v/>
      </c>
      <c r="W1339" s="13">
        <f>MAX(W1338,R1339)</f>
        <v/>
      </c>
      <c r="X1339" s="4">
        <f>IF(W1339&gt;0,R1339/W1339-1,-1)</f>
        <v/>
      </c>
      <c r="Y1339" s="19">
        <f>IF(R1339&gt;0,S1339*資金模擬!$B$7/R1339,0)</f>
        <v/>
      </c>
      <c r="Z1339" s="2">
        <f>IF(OR(Z1338=1,R1339&lt;=資金模擬!$B$10),1,0)</f>
        <v/>
      </c>
    </row>
    <row r="1340">
      <c r="A1340" s="2" t="n">
        <v>1338</v>
      </c>
      <c r="B1340" s="7" t="n">
        <v>46301.70833333334</v>
      </c>
      <c r="C1340" s="2" t="inlineStr">
        <is>
          <t>進場</t>
        </is>
      </c>
      <c r="D1340" s="2" t="n">
        <v>671</v>
      </c>
      <c r="E1340" s="2" t="inlineStr">
        <is>
          <t>AIN_USDT_PERP</t>
        </is>
      </c>
      <c r="F1340" s="2" t="inlineStr">
        <is>
          <t>做空</t>
        </is>
      </c>
      <c r="G1340" s="20" t="n">
        <v>0.05618</v>
      </c>
      <c r="H1340" s="20" t="n">
        <v>0.0544946</v>
      </c>
      <c r="I1340" s="20" t="n">
        <v>0.05898900000000001</v>
      </c>
      <c r="J1340" s="20" t="n"/>
      <c r="K1340" s="2" t="n"/>
      <c r="L1340" s="5" t="n"/>
      <c r="M1340" s="19">
        <f>資金模擬!$B$5*V1339</f>
        <v/>
      </c>
      <c r="N1340" s="2">
        <f>IF(Z1339=1,"已停止",IF(T1339&gt;=M1340,"已下單","資金不足略過"))</f>
        <v/>
      </c>
      <c r="O1340" s="19">
        <f>IF(N1340="已下單",M1340*資金模擬!$B$7,0)</f>
        <v/>
      </c>
      <c r="P1340" s="4" t="n"/>
      <c r="Q1340" s="13" t="n">
        <v>0</v>
      </c>
      <c r="R1340" s="13">
        <f>R1339+Q1340</f>
        <v/>
      </c>
      <c r="S1340" s="19">
        <f>S1339+IF(N1340="已下單",M1340,0)</f>
        <v/>
      </c>
      <c r="T1340" s="19">
        <f>R1340-S1340</f>
        <v/>
      </c>
      <c r="U1340" s="2">
        <f>U1339+IF(N1340="已下單",1,0)</f>
        <v/>
      </c>
      <c r="V1340" s="19">
        <f>IF(資金模擬!$B$9=2,MAX(R1340,0),MAX(V1339,FLOOR(MAX(R1340,0),資金模擬!$B$6)))</f>
        <v/>
      </c>
      <c r="W1340" s="13">
        <f>MAX(W1339,R1340)</f>
        <v/>
      </c>
      <c r="X1340" s="4">
        <f>IF(W1340&gt;0,R1340/W1340-1,-1)</f>
        <v/>
      </c>
      <c r="Y1340" s="19">
        <f>IF(R1340&gt;0,S1340*資金模擬!$B$7/R1340,0)</f>
        <v/>
      </c>
      <c r="Z1340" s="2">
        <f>IF(OR(Z1339=1,R1340&lt;=資金模擬!$B$10),1,0)</f>
        <v/>
      </c>
    </row>
    <row r="1341">
      <c r="A1341" s="2" t="n">
        <v>1339</v>
      </c>
      <c r="B1341" s="7" t="n">
        <v>46301.75</v>
      </c>
      <c r="C1341" s="2" t="inlineStr">
        <is>
          <t>出場</t>
        </is>
      </c>
      <c r="D1341" s="2" t="n">
        <v>637</v>
      </c>
      <c r="E1341" s="2" t="inlineStr">
        <is>
          <t>ZEC_USDT_PERP</t>
        </is>
      </c>
      <c r="F1341" s="2" t="inlineStr">
        <is>
          <t>做空</t>
        </is>
      </c>
      <c r="G1341" s="20" t="n">
        <v>1304.61</v>
      </c>
      <c r="H1341" s="20" t="n">
        <v>1265.4717</v>
      </c>
      <c r="I1341" s="20" t="n">
        <v>1369.8405</v>
      </c>
      <c r="J1341" s="20" t="n">
        <v>1369.8405</v>
      </c>
      <c r="K1341" s="2" t="inlineStr">
        <is>
          <t>止損</t>
        </is>
      </c>
      <c r="L1341" s="5">
        <f>交易明細!K638</f>
        <v/>
      </c>
      <c r="M1341" s="19">
        <f>M1270</f>
        <v/>
      </c>
      <c r="N1341" s="2">
        <f>N1270</f>
        <v/>
      </c>
      <c r="O1341" s="19">
        <f>O1270</f>
        <v/>
      </c>
      <c r="P1341" s="4">
        <f>交易明細!L638</f>
        <v/>
      </c>
      <c r="Q1341" s="13">
        <f>IF(N1341="已下單",O1341*P1341,0)</f>
        <v/>
      </c>
      <c r="R1341" s="13">
        <f>R1340+Q1341</f>
        <v/>
      </c>
      <c r="S1341" s="19">
        <f>S1340-IF(N1341="已下單",M1341,0)</f>
        <v/>
      </c>
      <c r="T1341" s="19">
        <f>R1341-S1341</f>
        <v/>
      </c>
      <c r="U1341" s="2">
        <f>U1340-IF(N1341="已下單",1,0)</f>
        <v/>
      </c>
      <c r="V1341" s="19">
        <f>IF(資金模擬!$B$9=2,MAX(R1341,0),MAX(V1340,FLOOR(MAX(R1341,0),資金模擬!$B$6)))</f>
        <v/>
      </c>
      <c r="W1341" s="13">
        <f>MAX(W1340,R1341)</f>
        <v/>
      </c>
      <c r="X1341" s="4">
        <f>IF(W1341&gt;0,R1341/W1341-1,-1)</f>
        <v/>
      </c>
      <c r="Y1341" s="19">
        <f>IF(R1341&gt;0,S1341*資金模擬!$B$7/R1341,0)</f>
        <v/>
      </c>
      <c r="Z1341" s="2">
        <f>IF(OR(Z1340=1,R1341&lt;=資金模擬!$B$10),1,0)</f>
        <v/>
      </c>
    </row>
    <row r="1342">
      <c r="A1342" s="2" t="n">
        <v>1340</v>
      </c>
      <c r="B1342" s="7" t="n">
        <v>46301.75</v>
      </c>
      <c r="C1342" s="2" t="inlineStr">
        <is>
          <t>出場</t>
        </is>
      </c>
      <c r="D1342" s="2" t="n">
        <v>671</v>
      </c>
      <c r="E1342" s="2" t="inlineStr">
        <is>
          <t>AIN_USDT_PERP</t>
        </is>
      </c>
      <c r="F1342" s="2" t="inlineStr">
        <is>
          <t>做空</t>
        </is>
      </c>
      <c r="G1342" s="20" t="n">
        <v>0.05618</v>
      </c>
      <c r="H1342" s="20" t="n">
        <v>0.0544946</v>
      </c>
      <c r="I1342" s="20" t="n">
        <v>0.05898900000000001</v>
      </c>
      <c r="J1342" s="20" t="n">
        <v>0.0544946</v>
      </c>
      <c r="K1342" s="2" t="inlineStr">
        <is>
          <t>止盈</t>
        </is>
      </c>
      <c r="L1342" s="5">
        <f>交易明細!K672</f>
        <v/>
      </c>
      <c r="M1342" s="19">
        <f>M1340</f>
        <v/>
      </c>
      <c r="N1342" s="2">
        <f>N1340</f>
        <v/>
      </c>
      <c r="O1342" s="19">
        <f>O1340</f>
        <v/>
      </c>
      <c r="P1342" s="4">
        <f>交易明細!L672</f>
        <v/>
      </c>
      <c r="Q1342" s="13">
        <f>IF(N1342="已下單",O1342*P1342,0)</f>
        <v/>
      </c>
      <c r="R1342" s="13">
        <f>R1341+Q1342</f>
        <v/>
      </c>
      <c r="S1342" s="19">
        <f>S1341-IF(N1342="已下單",M1342,0)</f>
        <v/>
      </c>
      <c r="T1342" s="19">
        <f>R1342-S1342</f>
        <v/>
      </c>
      <c r="U1342" s="2">
        <f>U1341-IF(N1342="已下單",1,0)</f>
        <v/>
      </c>
      <c r="V1342" s="19">
        <f>IF(資金模擬!$B$9=2,MAX(R1342,0),MAX(V1341,FLOOR(MAX(R1342,0),資金模擬!$B$6)))</f>
        <v/>
      </c>
      <c r="W1342" s="13">
        <f>MAX(W1341,R1342)</f>
        <v/>
      </c>
      <c r="X1342" s="4">
        <f>IF(W1342&gt;0,R1342/W1342-1,-1)</f>
        <v/>
      </c>
      <c r="Y1342" s="19">
        <f>IF(R1342&gt;0,S1342*資金模擬!$B$7/R1342,0)</f>
        <v/>
      </c>
      <c r="Z1342" s="2">
        <f>IF(OR(Z1341=1,R1342&lt;=資金模擬!$B$10),1,0)</f>
        <v/>
      </c>
    </row>
    <row r="1343">
      <c r="A1343" s="2" t="n">
        <v>1341</v>
      </c>
      <c r="B1343" s="7" t="n">
        <v>46301.75</v>
      </c>
      <c r="C1343" s="2" t="inlineStr">
        <is>
          <t>進場</t>
        </is>
      </c>
      <c r="D1343" s="2" t="n">
        <v>672</v>
      </c>
      <c r="E1343" s="2" t="inlineStr">
        <is>
          <t>MUBARAK_USDT_PERP</t>
        </is>
      </c>
      <c r="F1343" s="2" t="inlineStr">
        <is>
          <t>做多</t>
        </is>
      </c>
      <c r="G1343" s="20" t="n">
        <v>0.07776</v>
      </c>
      <c r="H1343" s="20" t="n">
        <v>0.08009279999999999</v>
      </c>
      <c r="I1343" s="20" t="n">
        <v>0.07387199999999999</v>
      </c>
      <c r="J1343" s="20" t="n"/>
      <c r="K1343" s="2" t="n"/>
      <c r="L1343" s="5" t="n"/>
      <c r="M1343" s="19">
        <f>資金模擬!$B$5*V1342</f>
        <v/>
      </c>
      <c r="N1343" s="2">
        <f>IF(Z1342=1,"已停止",IF(T1342&gt;=M1343,"已下單","資金不足略過"))</f>
        <v/>
      </c>
      <c r="O1343" s="19">
        <f>IF(N1343="已下單",M1343*資金模擬!$B$7,0)</f>
        <v/>
      </c>
      <c r="P1343" s="4" t="n"/>
      <c r="Q1343" s="13" t="n">
        <v>0</v>
      </c>
      <c r="R1343" s="13">
        <f>R1342+Q1343</f>
        <v/>
      </c>
      <c r="S1343" s="19">
        <f>S1342+IF(N1343="已下單",M1343,0)</f>
        <v/>
      </c>
      <c r="T1343" s="19">
        <f>R1343-S1343</f>
        <v/>
      </c>
      <c r="U1343" s="2">
        <f>U1342+IF(N1343="已下單",1,0)</f>
        <v/>
      </c>
      <c r="V1343" s="19">
        <f>IF(資金模擬!$B$9=2,MAX(R1343,0),MAX(V1342,FLOOR(MAX(R1343,0),資金模擬!$B$6)))</f>
        <v/>
      </c>
      <c r="W1343" s="13">
        <f>MAX(W1342,R1343)</f>
        <v/>
      </c>
      <c r="X1343" s="4">
        <f>IF(W1343&gt;0,R1343/W1343-1,-1)</f>
        <v/>
      </c>
      <c r="Y1343" s="19">
        <f>IF(R1343&gt;0,S1343*資金模擬!$B$7/R1343,0)</f>
        <v/>
      </c>
      <c r="Z1343" s="2">
        <f>IF(OR(Z1342=1,R1343&lt;=資金模擬!$B$10),1,0)</f>
        <v/>
      </c>
    </row>
    <row r="1344">
      <c r="A1344" s="2" t="n">
        <v>1342</v>
      </c>
      <c r="B1344" s="7" t="n">
        <v>46302.125</v>
      </c>
      <c r="C1344" s="2" t="inlineStr">
        <is>
          <t>出場</t>
        </is>
      </c>
      <c r="D1344" s="2" t="n">
        <v>663</v>
      </c>
      <c r="E1344" s="2" t="inlineStr">
        <is>
          <t>FET_USDT_PERP</t>
        </is>
      </c>
      <c r="F1344" s="2" t="inlineStr">
        <is>
          <t>做空</t>
        </is>
      </c>
      <c r="G1344" s="20" t="n">
        <v>0.2492</v>
      </c>
      <c r="H1344" s="20" t="n">
        <v>0.241724</v>
      </c>
      <c r="I1344" s="20" t="n">
        <v>0.26166</v>
      </c>
      <c r="J1344" s="20" t="n">
        <v>0.241724</v>
      </c>
      <c r="K1344" s="2" t="inlineStr">
        <is>
          <t>止盈</t>
        </is>
      </c>
      <c r="L1344" s="5">
        <f>交易明細!K664</f>
        <v/>
      </c>
      <c r="M1344" s="19">
        <f>M1325</f>
        <v/>
      </c>
      <c r="N1344" s="2">
        <f>N1325</f>
        <v/>
      </c>
      <c r="O1344" s="19">
        <f>O1325</f>
        <v/>
      </c>
      <c r="P1344" s="4">
        <f>交易明細!L664</f>
        <v/>
      </c>
      <c r="Q1344" s="13">
        <f>IF(N1344="已下單",O1344*P1344,0)</f>
        <v/>
      </c>
      <c r="R1344" s="13">
        <f>R1343+Q1344</f>
        <v/>
      </c>
      <c r="S1344" s="19">
        <f>S1343-IF(N1344="已下單",M1344,0)</f>
        <v/>
      </c>
      <c r="T1344" s="19">
        <f>R1344-S1344</f>
        <v/>
      </c>
      <c r="U1344" s="2">
        <f>U1343-IF(N1344="已下單",1,0)</f>
        <v/>
      </c>
      <c r="V1344" s="19">
        <f>IF(資金模擬!$B$9=2,MAX(R1344,0),MAX(V1343,FLOOR(MAX(R1344,0),資金模擬!$B$6)))</f>
        <v/>
      </c>
      <c r="W1344" s="13">
        <f>MAX(W1343,R1344)</f>
        <v/>
      </c>
      <c r="X1344" s="4">
        <f>IF(W1344&gt;0,R1344/W1344-1,-1)</f>
        <v/>
      </c>
      <c r="Y1344" s="19">
        <f>IF(R1344&gt;0,S1344*資金模擬!$B$7/R1344,0)</f>
        <v/>
      </c>
      <c r="Z1344" s="2">
        <f>IF(OR(Z1343=1,R1344&lt;=資金模擬!$B$10),1,0)</f>
        <v/>
      </c>
    </row>
    <row r="1345">
      <c r="A1345" s="2" t="n">
        <v>1343</v>
      </c>
      <c r="B1345" s="7" t="n">
        <v>46302.16666666666</v>
      </c>
      <c r="C1345" s="2" t="inlineStr">
        <is>
          <t>出場</t>
        </is>
      </c>
      <c r="D1345" s="2" t="n">
        <v>669</v>
      </c>
      <c r="E1345" s="2" t="inlineStr">
        <is>
          <t>NIL_USDT_PERP</t>
        </is>
      </c>
      <c r="F1345" s="2" t="inlineStr">
        <is>
          <t>做空</t>
        </is>
      </c>
      <c r="G1345" s="20" t="n">
        <v>0.10057</v>
      </c>
      <c r="H1345" s="20" t="n">
        <v>0.0975529</v>
      </c>
      <c r="I1345" s="20" t="n">
        <v>0.1055985</v>
      </c>
      <c r="J1345" s="20" t="n">
        <v>0.0975529</v>
      </c>
      <c r="K1345" s="2" t="inlineStr">
        <is>
          <t>止盈</t>
        </is>
      </c>
      <c r="L1345" s="5">
        <f>交易明細!K670</f>
        <v/>
      </c>
      <c r="M1345" s="19">
        <f>M1335</f>
        <v/>
      </c>
      <c r="N1345" s="2">
        <f>N1335</f>
        <v/>
      </c>
      <c r="O1345" s="19">
        <f>O1335</f>
        <v/>
      </c>
      <c r="P1345" s="4">
        <f>交易明細!L670</f>
        <v/>
      </c>
      <c r="Q1345" s="13">
        <f>IF(N1345="已下單",O1345*P1345,0)</f>
        <v/>
      </c>
      <c r="R1345" s="13">
        <f>R1344+Q1345</f>
        <v/>
      </c>
      <c r="S1345" s="19">
        <f>S1344-IF(N1345="已下單",M1345,0)</f>
        <v/>
      </c>
      <c r="T1345" s="19">
        <f>R1345-S1345</f>
        <v/>
      </c>
      <c r="U1345" s="2">
        <f>U1344-IF(N1345="已下單",1,0)</f>
        <v/>
      </c>
      <c r="V1345" s="19">
        <f>IF(資金模擬!$B$9=2,MAX(R1345,0),MAX(V1344,FLOOR(MAX(R1345,0),資金模擬!$B$6)))</f>
        <v/>
      </c>
      <c r="W1345" s="13">
        <f>MAX(W1344,R1345)</f>
        <v/>
      </c>
      <c r="X1345" s="4">
        <f>IF(W1345&gt;0,R1345/W1345-1,-1)</f>
        <v/>
      </c>
      <c r="Y1345" s="19">
        <f>IF(R1345&gt;0,S1345*資金模擬!$B$7/R1345,0)</f>
        <v/>
      </c>
      <c r="Z1345" s="2">
        <f>IF(OR(Z1344=1,R1345&lt;=資金模擬!$B$10),1,0)</f>
        <v/>
      </c>
    </row>
    <row r="1346">
      <c r="A1346" s="2" t="n">
        <v>1344</v>
      </c>
      <c r="B1346" s="7" t="n">
        <v>46302.20833333334</v>
      </c>
      <c r="C1346" s="2" t="inlineStr">
        <is>
          <t>進場</t>
        </is>
      </c>
      <c r="D1346" s="2" t="n">
        <v>673</v>
      </c>
      <c r="E1346" s="2" t="inlineStr">
        <is>
          <t>PUMP_USDT_PERP</t>
        </is>
      </c>
      <c r="F1346" s="2" t="inlineStr">
        <is>
          <t>做空</t>
        </is>
      </c>
      <c r="G1346" s="20" t="n">
        <v>0.006211</v>
      </c>
      <c r="H1346" s="20" t="n">
        <v>0.00602467</v>
      </c>
      <c r="I1346" s="20" t="n">
        <v>0.006521550000000001</v>
      </c>
      <c r="J1346" s="20" t="n"/>
      <c r="K1346" s="2" t="n"/>
      <c r="L1346" s="5" t="n"/>
      <c r="M1346" s="19">
        <f>資金模擬!$B$5*V1345</f>
        <v/>
      </c>
      <c r="N1346" s="2">
        <f>IF(Z1345=1,"已停止",IF(T1345&gt;=M1346,"已下單","資金不足略過"))</f>
        <v/>
      </c>
      <c r="O1346" s="19">
        <f>IF(N1346="已下單",M1346*資金模擬!$B$7,0)</f>
        <v/>
      </c>
      <c r="P1346" s="4" t="n"/>
      <c r="Q1346" s="13" t="n">
        <v>0</v>
      </c>
      <c r="R1346" s="13">
        <f>R1345+Q1346</f>
        <v/>
      </c>
      <c r="S1346" s="19">
        <f>S1345+IF(N1346="已下單",M1346,0)</f>
        <v/>
      </c>
      <c r="T1346" s="19">
        <f>R1346-S1346</f>
        <v/>
      </c>
      <c r="U1346" s="2">
        <f>U1345+IF(N1346="已下單",1,0)</f>
        <v/>
      </c>
      <c r="V1346" s="19">
        <f>IF(資金模擬!$B$9=2,MAX(R1346,0),MAX(V1345,FLOOR(MAX(R1346,0),資金模擬!$B$6)))</f>
        <v/>
      </c>
      <c r="W1346" s="13">
        <f>MAX(W1345,R1346)</f>
        <v/>
      </c>
      <c r="X1346" s="4">
        <f>IF(W1346&gt;0,R1346/W1346-1,-1)</f>
        <v/>
      </c>
      <c r="Y1346" s="19">
        <f>IF(R1346&gt;0,S1346*資金模擬!$B$7/R1346,0)</f>
        <v/>
      </c>
      <c r="Z1346" s="2">
        <f>IF(OR(Z1345=1,R1346&lt;=資金模擬!$B$10),1,0)</f>
        <v/>
      </c>
    </row>
    <row r="1347">
      <c r="A1347" s="2" t="n">
        <v>1345</v>
      </c>
      <c r="B1347" s="7" t="n">
        <v>46302.375</v>
      </c>
      <c r="C1347" s="2" t="inlineStr">
        <is>
          <t>進場</t>
        </is>
      </c>
      <c r="D1347" s="2" t="n">
        <v>674</v>
      </c>
      <c r="E1347" s="2" t="inlineStr">
        <is>
          <t>BR_USDT_PERP</t>
        </is>
      </c>
      <c r="F1347" s="2" t="inlineStr">
        <is>
          <t>做多</t>
        </is>
      </c>
      <c r="G1347" s="20" t="n">
        <v>0.60021</v>
      </c>
      <c r="H1347" s="20" t="n">
        <v>0.6182163000000001</v>
      </c>
      <c r="I1347" s="20" t="n">
        <v>0.5701995</v>
      </c>
      <c r="J1347" s="20" t="n"/>
      <c r="K1347" s="2" t="n"/>
      <c r="L1347" s="5" t="n"/>
      <c r="M1347" s="19">
        <f>資金模擬!$B$5*V1346</f>
        <v/>
      </c>
      <c r="N1347" s="2">
        <f>IF(Z1346=1,"已停止",IF(T1346&gt;=M1347,"已下單","資金不足略過"))</f>
        <v/>
      </c>
      <c r="O1347" s="19">
        <f>IF(N1347="已下單",M1347*資金模擬!$B$7,0)</f>
        <v/>
      </c>
      <c r="P1347" s="4" t="n"/>
      <c r="Q1347" s="13" t="n">
        <v>0</v>
      </c>
      <c r="R1347" s="13">
        <f>R1346+Q1347</f>
        <v/>
      </c>
      <c r="S1347" s="19">
        <f>S1346+IF(N1347="已下單",M1347,0)</f>
        <v/>
      </c>
      <c r="T1347" s="19">
        <f>R1347-S1347</f>
        <v/>
      </c>
      <c r="U1347" s="2">
        <f>U1346+IF(N1347="已下單",1,0)</f>
        <v/>
      </c>
      <c r="V1347" s="19">
        <f>IF(資金模擬!$B$9=2,MAX(R1347,0),MAX(V1346,FLOOR(MAX(R1347,0),資金模擬!$B$6)))</f>
        <v/>
      </c>
      <c r="W1347" s="13">
        <f>MAX(W1346,R1347)</f>
        <v/>
      </c>
      <c r="X1347" s="4">
        <f>IF(W1347&gt;0,R1347/W1347-1,-1)</f>
        <v/>
      </c>
      <c r="Y1347" s="19">
        <f>IF(R1347&gt;0,S1347*資金模擬!$B$7/R1347,0)</f>
        <v/>
      </c>
      <c r="Z1347" s="2">
        <f>IF(OR(Z1346=1,R1347&lt;=資金模擬!$B$10),1,0)</f>
        <v/>
      </c>
    </row>
    <row r="1348">
      <c r="A1348" s="2" t="n">
        <v>1346</v>
      </c>
      <c r="B1348" s="7" t="n">
        <v>46302.41666666666</v>
      </c>
      <c r="C1348" s="2" t="inlineStr">
        <is>
          <t>出場</t>
        </is>
      </c>
      <c r="D1348" s="2" t="n">
        <v>674</v>
      </c>
      <c r="E1348" s="2" t="inlineStr">
        <is>
          <t>BR_USDT_PERP</t>
        </is>
      </c>
      <c r="F1348" s="2" t="inlineStr">
        <is>
          <t>做多</t>
        </is>
      </c>
      <c r="G1348" s="20" t="n">
        <v>0.60021</v>
      </c>
      <c r="H1348" s="20" t="n">
        <v>0.6182163000000001</v>
      </c>
      <c r="I1348" s="20" t="n">
        <v>0.5701995</v>
      </c>
      <c r="J1348" s="20" t="n">
        <v>0.5701995</v>
      </c>
      <c r="K1348" s="2" t="inlineStr">
        <is>
          <t>止損</t>
        </is>
      </c>
      <c r="L1348" s="5">
        <f>交易明細!K675</f>
        <v/>
      </c>
      <c r="M1348" s="19">
        <f>M1347</f>
        <v/>
      </c>
      <c r="N1348" s="2">
        <f>N1347</f>
        <v/>
      </c>
      <c r="O1348" s="19">
        <f>O1347</f>
        <v/>
      </c>
      <c r="P1348" s="4">
        <f>交易明細!L675</f>
        <v/>
      </c>
      <c r="Q1348" s="13">
        <f>IF(N1348="已下單",O1348*P1348,0)</f>
        <v/>
      </c>
      <c r="R1348" s="13">
        <f>R1347+Q1348</f>
        <v/>
      </c>
      <c r="S1348" s="19">
        <f>S1347-IF(N1348="已下單",M1348,0)</f>
        <v/>
      </c>
      <c r="T1348" s="19">
        <f>R1348-S1348</f>
        <v/>
      </c>
      <c r="U1348" s="2">
        <f>U1347-IF(N1348="已下單",1,0)</f>
        <v/>
      </c>
      <c r="V1348" s="19">
        <f>IF(資金模擬!$B$9=2,MAX(R1348,0),MAX(V1347,FLOOR(MAX(R1348,0),資金模擬!$B$6)))</f>
        <v/>
      </c>
      <c r="W1348" s="13">
        <f>MAX(W1347,R1348)</f>
        <v/>
      </c>
      <c r="X1348" s="4">
        <f>IF(W1348&gt;0,R1348/W1348-1,-1)</f>
        <v/>
      </c>
      <c r="Y1348" s="19">
        <f>IF(R1348&gt;0,S1348*資金模擬!$B$7/R1348,0)</f>
        <v/>
      </c>
      <c r="Z1348" s="2">
        <f>IF(OR(Z1347=1,R1348&lt;=資金模擬!$B$10),1,0)</f>
        <v/>
      </c>
    </row>
    <row r="1349">
      <c r="A1349" s="2" t="n">
        <v>1347</v>
      </c>
      <c r="B1349" s="7" t="n">
        <v>46302.41666666666</v>
      </c>
      <c r="C1349" s="2" t="inlineStr">
        <is>
          <t>進場</t>
        </is>
      </c>
      <c r="D1349" s="2" t="n">
        <v>675</v>
      </c>
      <c r="E1349" s="2" t="inlineStr">
        <is>
          <t>API3_USDT_PERP</t>
        </is>
      </c>
      <c r="F1349" s="2" t="inlineStr">
        <is>
          <t>做空</t>
        </is>
      </c>
      <c r="G1349" s="20" t="n">
        <v>0.3407</v>
      </c>
      <c r="H1349" s="20" t="n">
        <v>0.330479</v>
      </c>
      <c r="I1349" s="20" t="n">
        <v>0.357735</v>
      </c>
      <c r="J1349" s="20" t="n"/>
      <c r="K1349" s="2" t="n"/>
      <c r="L1349" s="5" t="n"/>
      <c r="M1349" s="19">
        <f>資金模擬!$B$5*V1348</f>
        <v/>
      </c>
      <c r="N1349" s="2">
        <f>IF(Z1348=1,"已停止",IF(T1348&gt;=M1349,"已下單","資金不足略過"))</f>
        <v/>
      </c>
      <c r="O1349" s="19">
        <f>IF(N1349="已下單",M1349*資金模擬!$B$7,0)</f>
        <v/>
      </c>
      <c r="P1349" s="4" t="n"/>
      <c r="Q1349" s="13" t="n">
        <v>0</v>
      </c>
      <c r="R1349" s="13">
        <f>R1348+Q1349</f>
        <v/>
      </c>
      <c r="S1349" s="19">
        <f>S1348+IF(N1349="已下單",M1349,0)</f>
        <v/>
      </c>
      <c r="T1349" s="19">
        <f>R1349-S1349</f>
        <v/>
      </c>
      <c r="U1349" s="2">
        <f>U1348+IF(N1349="已下單",1,0)</f>
        <v/>
      </c>
      <c r="V1349" s="19">
        <f>IF(資金模擬!$B$9=2,MAX(R1349,0),MAX(V1348,FLOOR(MAX(R1349,0),資金模擬!$B$6)))</f>
        <v/>
      </c>
      <c r="W1349" s="13">
        <f>MAX(W1348,R1349)</f>
        <v/>
      </c>
      <c r="X1349" s="4">
        <f>IF(W1349&gt;0,R1349/W1349-1,-1)</f>
        <v/>
      </c>
      <c r="Y1349" s="19">
        <f>IF(R1349&gt;0,S1349*資金模擬!$B$7/R1349,0)</f>
        <v/>
      </c>
      <c r="Z1349" s="2">
        <f>IF(OR(Z1348=1,R1349&lt;=資金模擬!$B$10),1,0)</f>
        <v/>
      </c>
    </row>
    <row r="1350">
      <c r="A1350" s="2" t="n">
        <v>1348</v>
      </c>
      <c r="B1350" s="7" t="n">
        <v>46302.45833333334</v>
      </c>
      <c r="C1350" s="2" t="inlineStr">
        <is>
          <t>出場</t>
        </is>
      </c>
      <c r="D1350" s="2" t="n">
        <v>673</v>
      </c>
      <c r="E1350" s="2" t="inlineStr">
        <is>
          <t>PUMP_USDT_PERP</t>
        </is>
      </c>
      <c r="F1350" s="2" t="inlineStr">
        <is>
          <t>做空</t>
        </is>
      </c>
      <c r="G1350" s="20" t="n">
        <v>0.006211</v>
      </c>
      <c r="H1350" s="20" t="n">
        <v>0.00602467</v>
      </c>
      <c r="I1350" s="20" t="n">
        <v>0.006521550000000001</v>
      </c>
      <c r="J1350" s="20" t="n">
        <v>0.00602467</v>
      </c>
      <c r="K1350" s="2" t="inlineStr">
        <is>
          <t>止盈</t>
        </is>
      </c>
      <c r="L1350" s="5">
        <f>交易明細!K674</f>
        <v/>
      </c>
      <c r="M1350" s="19">
        <f>M1346</f>
        <v/>
      </c>
      <c r="N1350" s="2">
        <f>N1346</f>
        <v/>
      </c>
      <c r="O1350" s="19">
        <f>O1346</f>
        <v/>
      </c>
      <c r="P1350" s="4">
        <f>交易明細!L674</f>
        <v/>
      </c>
      <c r="Q1350" s="13">
        <f>IF(N1350="已下單",O1350*P1350,0)</f>
        <v/>
      </c>
      <c r="R1350" s="13">
        <f>R1349+Q1350</f>
        <v/>
      </c>
      <c r="S1350" s="19">
        <f>S1349-IF(N1350="已下單",M1350,0)</f>
        <v/>
      </c>
      <c r="T1350" s="19">
        <f>R1350-S1350</f>
        <v/>
      </c>
      <c r="U1350" s="2">
        <f>U1349-IF(N1350="已下單",1,0)</f>
        <v/>
      </c>
      <c r="V1350" s="19">
        <f>IF(資金模擬!$B$9=2,MAX(R1350,0),MAX(V1349,FLOOR(MAX(R1350,0),資金模擬!$B$6)))</f>
        <v/>
      </c>
      <c r="W1350" s="13">
        <f>MAX(W1349,R1350)</f>
        <v/>
      </c>
      <c r="X1350" s="4">
        <f>IF(W1350&gt;0,R1350/W1350-1,-1)</f>
        <v/>
      </c>
      <c r="Y1350" s="19">
        <f>IF(R1350&gt;0,S1350*資金模擬!$B$7/R1350,0)</f>
        <v/>
      </c>
      <c r="Z1350" s="2">
        <f>IF(OR(Z1349=1,R1350&lt;=資金模擬!$B$10),1,0)</f>
        <v/>
      </c>
    </row>
    <row r="1351">
      <c r="A1351" s="2" t="n">
        <v>1349</v>
      </c>
      <c r="B1351" s="7" t="n">
        <v>46302.45833333334</v>
      </c>
      <c r="C1351" s="2" t="inlineStr">
        <is>
          <t>出場</t>
        </is>
      </c>
      <c r="D1351" s="2" t="n">
        <v>675</v>
      </c>
      <c r="E1351" s="2" t="inlineStr">
        <is>
          <t>API3_USDT_PERP</t>
        </is>
      </c>
      <c r="F1351" s="2" t="inlineStr">
        <is>
          <t>做空</t>
        </is>
      </c>
      <c r="G1351" s="20" t="n">
        <v>0.3407</v>
      </c>
      <c r="H1351" s="20" t="n">
        <v>0.330479</v>
      </c>
      <c r="I1351" s="20" t="n">
        <v>0.357735</v>
      </c>
      <c r="J1351" s="20" t="n">
        <v>0.330479</v>
      </c>
      <c r="K1351" s="2" t="inlineStr">
        <is>
          <t>止盈</t>
        </is>
      </c>
      <c r="L1351" s="5">
        <f>交易明細!K676</f>
        <v/>
      </c>
      <c r="M1351" s="19">
        <f>M1349</f>
        <v/>
      </c>
      <c r="N1351" s="2">
        <f>N1349</f>
        <v/>
      </c>
      <c r="O1351" s="19">
        <f>O1349</f>
        <v/>
      </c>
      <c r="P1351" s="4">
        <f>交易明細!L676</f>
        <v/>
      </c>
      <c r="Q1351" s="13">
        <f>IF(N1351="已下單",O1351*P1351,0)</f>
        <v/>
      </c>
      <c r="R1351" s="13">
        <f>R1350+Q1351</f>
        <v/>
      </c>
      <c r="S1351" s="19">
        <f>S1350-IF(N1351="已下單",M1351,0)</f>
        <v/>
      </c>
      <c r="T1351" s="19">
        <f>R1351-S1351</f>
        <v/>
      </c>
      <c r="U1351" s="2">
        <f>U1350-IF(N1351="已下單",1,0)</f>
        <v/>
      </c>
      <c r="V1351" s="19">
        <f>IF(資金模擬!$B$9=2,MAX(R1351,0),MAX(V1350,FLOOR(MAX(R1351,0),資金模擬!$B$6)))</f>
        <v/>
      </c>
      <c r="W1351" s="13">
        <f>MAX(W1350,R1351)</f>
        <v/>
      </c>
      <c r="X1351" s="4">
        <f>IF(W1351&gt;0,R1351/W1351-1,-1)</f>
        <v/>
      </c>
      <c r="Y1351" s="19">
        <f>IF(R1351&gt;0,S1351*資金模擬!$B$7/R1351,0)</f>
        <v/>
      </c>
      <c r="Z1351" s="2">
        <f>IF(OR(Z1350=1,R1351&lt;=資金模擬!$B$10),1,0)</f>
        <v/>
      </c>
    </row>
    <row r="1352">
      <c r="A1352" s="2" t="n">
        <v>1350</v>
      </c>
      <c r="B1352" s="7" t="n">
        <v>46302.5</v>
      </c>
      <c r="C1352" s="2" t="inlineStr">
        <is>
          <t>進場</t>
        </is>
      </c>
      <c r="D1352" s="2" t="n">
        <v>676</v>
      </c>
      <c r="E1352" s="2" t="inlineStr">
        <is>
          <t>PONS_USDT_PERP</t>
        </is>
      </c>
      <c r="F1352" s="2" t="inlineStr">
        <is>
          <t>做多</t>
        </is>
      </c>
      <c r="G1352" s="20" t="n">
        <v>0.413</v>
      </c>
      <c r="H1352" s="20" t="n">
        <v>0.42539</v>
      </c>
      <c r="I1352" s="20" t="n">
        <v>0.39235</v>
      </c>
      <c r="J1352" s="20" t="n"/>
      <c r="K1352" s="2" t="n"/>
      <c r="L1352" s="5" t="n"/>
      <c r="M1352" s="19">
        <f>資金模擬!$B$5*V1351</f>
        <v/>
      </c>
      <c r="N1352" s="2">
        <f>IF(Z1351=1,"已停止",IF(T1351&gt;=M1352,"已下單","資金不足略過"))</f>
        <v/>
      </c>
      <c r="O1352" s="19">
        <f>IF(N1352="已下單",M1352*資金模擬!$B$7,0)</f>
        <v/>
      </c>
      <c r="P1352" s="4" t="n"/>
      <c r="Q1352" s="13" t="n">
        <v>0</v>
      </c>
      <c r="R1352" s="13">
        <f>R1351+Q1352</f>
        <v/>
      </c>
      <c r="S1352" s="19">
        <f>S1351+IF(N1352="已下單",M1352,0)</f>
        <v/>
      </c>
      <c r="T1352" s="19">
        <f>R1352-S1352</f>
        <v/>
      </c>
      <c r="U1352" s="2">
        <f>U1351+IF(N1352="已下單",1,0)</f>
        <v/>
      </c>
      <c r="V1352" s="19">
        <f>IF(資金模擬!$B$9=2,MAX(R1352,0),MAX(V1351,FLOOR(MAX(R1352,0),資金模擬!$B$6)))</f>
        <v/>
      </c>
      <c r="W1352" s="13">
        <f>MAX(W1351,R1352)</f>
        <v/>
      </c>
      <c r="X1352" s="4">
        <f>IF(W1352&gt;0,R1352/W1352-1,-1)</f>
        <v/>
      </c>
      <c r="Y1352" s="19">
        <f>IF(R1352&gt;0,S1352*資金模擬!$B$7/R1352,0)</f>
        <v/>
      </c>
      <c r="Z1352" s="2">
        <f>IF(OR(Z1351=1,R1352&lt;=資金模擬!$B$10),1,0)</f>
        <v/>
      </c>
    </row>
    <row r="1353">
      <c r="A1353" s="2" t="n">
        <v>1351</v>
      </c>
      <c r="B1353" s="7" t="n">
        <v>46302.5</v>
      </c>
      <c r="C1353" s="2" t="inlineStr">
        <is>
          <t>進場</t>
        </is>
      </c>
      <c r="D1353" s="2" t="n">
        <v>677</v>
      </c>
      <c r="E1353" s="2" t="inlineStr">
        <is>
          <t>ZRO_USDT_PERP</t>
        </is>
      </c>
      <c r="F1353" s="2" t="inlineStr">
        <is>
          <t>做空</t>
        </is>
      </c>
      <c r="G1353" s="20" t="n">
        <v>2.1723</v>
      </c>
      <c r="H1353" s="20" t="n">
        <v>2.107131</v>
      </c>
      <c r="I1353" s="20" t="n">
        <v>2.280915</v>
      </c>
      <c r="J1353" s="20" t="n"/>
      <c r="K1353" s="2" t="n"/>
      <c r="L1353" s="5" t="n"/>
      <c r="M1353" s="19">
        <f>資金模擬!$B$5*V1352</f>
        <v/>
      </c>
      <c r="N1353" s="2">
        <f>IF(Z1352=1,"已停止",IF(T1352&gt;=M1353,"已下單","資金不足略過"))</f>
        <v/>
      </c>
      <c r="O1353" s="19">
        <f>IF(N1353="已下單",M1353*資金模擬!$B$7,0)</f>
        <v/>
      </c>
      <c r="P1353" s="4" t="n"/>
      <c r="Q1353" s="13" t="n">
        <v>0</v>
      </c>
      <c r="R1353" s="13">
        <f>R1352+Q1353</f>
        <v/>
      </c>
      <c r="S1353" s="19">
        <f>S1352+IF(N1353="已下單",M1353,0)</f>
        <v/>
      </c>
      <c r="T1353" s="19">
        <f>R1353-S1353</f>
        <v/>
      </c>
      <c r="U1353" s="2">
        <f>U1352+IF(N1353="已下單",1,0)</f>
        <v/>
      </c>
      <c r="V1353" s="19">
        <f>IF(資金模擬!$B$9=2,MAX(R1353,0),MAX(V1352,FLOOR(MAX(R1353,0),資金模擬!$B$6)))</f>
        <v/>
      </c>
      <c r="W1353" s="13">
        <f>MAX(W1352,R1353)</f>
        <v/>
      </c>
      <c r="X1353" s="4">
        <f>IF(W1353&gt;0,R1353/W1353-1,-1)</f>
        <v/>
      </c>
      <c r="Y1353" s="19">
        <f>IF(R1353&gt;0,S1353*資金模擬!$B$7/R1353,0)</f>
        <v/>
      </c>
      <c r="Z1353" s="2">
        <f>IF(OR(Z1352=1,R1353&lt;=資金模擬!$B$10),1,0)</f>
        <v/>
      </c>
    </row>
    <row r="1354">
      <c r="A1354" s="2" t="n">
        <v>1352</v>
      </c>
      <c r="B1354" s="7" t="n">
        <v>46302.58333333334</v>
      </c>
      <c r="C1354" s="2" t="inlineStr">
        <is>
          <t>進場</t>
        </is>
      </c>
      <c r="D1354" s="2" t="n">
        <v>678</v>
      </c>
      <c r="E1354" s="2" t="inlineStr">
        <is>
          <t>BR_USDT_PERP</t>
        </is>
      </c>
      <c r="F1354" s="2" t="inlineStr">
        <is>
          <t>做多</t>
        </is>
      </c>
      <c r="G1354" s="20" t="n">
        <v>0.59982</v>
      </c>
      <c r="H1354" s="20" t="n">
        <v>0.6178146</v>
      </c>
      <c r="I1354" s="20" t="n">
        <v>0.569829</v>
      </c>
      <c r="J1354" s="20" t="n"/>
      <c r="K1354" s="2" t="n"/>
      <c r="L1354" s="5" t="n"/>
      <c r="M1354" s="19">
        <f>資金模擬!$B$5*V1353</f>
        <v/>
      </c>
      <c r="N1354" s="2">
        <f>IF(Z1353=1,"已停止",IF(T1353&gt;=M1354,"已下單","資金不足略過"))</f>
        <v/>
      </c>
      <c r="O1354" s="19">
        <f>IF(N1354="已下單",M1354*資金模擬!$B$7,0)</f>
        <v/>
      </c>
      <c r="P1354" s="4" t="n"/>
      <c r="Q1354" s="13" t="n">
        <v>0</v>
      </c>
      <c r="R1354" s="13">
        <f>R1353+Q1354</f>
        <v/>
      </c>
      <c r="S1354" s="19">
        <f>S1353+IF(N1354="已下單",M1354,0)</f>
        <v/>
      </c>
      <c r="T1354" s="19">
        <f>R1354-S1354</f>
        <v/>
      </c>
      <c r="U1354" s="2">
        <f>U1353+IF(N1354="已下單",1,0)</f>
        <v/>
      </c>
      <c r="V1354" s="19">
        <f>IF(資金模擬!$B$9=2,MAX(R1354,0),MAX(V1353,FLOOR(MAX(R1354,0),資金模擬!$B$6)))</f>
        <v/>
      </c>
      <c r="W1354" s="13">
        <f>MAX(W1353,R1354)</f>
        <v/>
      </c>
      <c r="X1354" s="4">
        <f>IF(W1354&gt;0,R1354/W1354-1,-1)</f>
        <v/>
      </c>
      <c r="Y1354" s="19">
        <f>IF(R1354&gt;0,S1354*資金模擬!$B$7/R1354,0)</f>
        <v/>
      </c>
      <c r="Z1354" s="2">
        <f>IF(OR(Z1353=1,R1354&lt;=資金模擬!$B$10),1,0)</f>
        <v/>
      </c>
    </row>
    <row r="1355">
      <c r="A1355" s="2" t="n">
        <v>1353</v>
      </c>
      <c r="B1355" s="7" t="n">
        <v>46302.58333333334</v>
      </c>
      <c r="C1355" s="2" t="inlineStr">
        <is>
          <t>進場</t>
        </is>
      </c>
      <c r="D1355" s="2" t="n">
        <v>679</v>
      </c>
      <c r="E1355" s="2" t="inlineStr">
        <is>
          <t>PUMP_USDT_PERP</t>
        </is>
      </c>
      <c r="F1355" s="2" t="inlineStr">
        <is>
          <t>做多</t>
        </is>
      </c>
      <c r="G1355" s="20" t="n">
        <v>0.006498</v>
      </c>
      <c r="H1355" s="20" t="n">
        <v>0.006692940000000001</v>
      </c>
      <c r="I1355" s="20" t="n">
        <v>0.0061731</v>
      </c>
      <c r="J1355" s="20" t="n"/>
      <c r="K1355" s="2" t="n"/>
      <c r="L1355" s="5" t="n"/>
      <c r="M1355" s="19">
        <f>資金模擬!$B$5*V1354</f>
        <v/>
      </c>
      <c r="N1355" s="2">
        <f>IF(Z1354=1,"已停止",IF(T1354&gt;=M1355,"已下單","資金不足略過"))</f>
        <v/>
      </c>
      <c r="O1355" s="19">
        <f>IF(N1355="已下單",M1355*資金模擬!$B$7,0)</f>
        <v/>
      </c>
      <c r="P1355" s="4" t="n"/>
      <c r="Q1355" s="13" t="n">
        <v>0</v>
      </c>
      <c r="R1355" s="13">
        <f>R1354+Q1355</f>
        <v/>
      </c>
      <c r="S1355" s="19">
        <f>S1354+IF(N1355="已下單",M1355,0)</f>
        <v/>
      </c>
      <c r="T1355" s="19">
        <f>R1355-S1355</f>
        <v/>
      </c>
      <c r="U1355" s="2">
        <f>U1354+IF(N1355="已下單",1,0)</f>
        <v/>
      </c>
      <c r="V1355" s="19">
        <f>IF(資金模擬!$B$9=2,MAX(R1355,0),MAX(V1354,FLOOR(MAX(R1355,0),資金模擬!$B$6)))</f>
        <v/>
      </c>
      <c r="W1355" s="13">
        <f>MAX(W1354,R1355)</f>
        <v/>
      </c>
      <c r="X1355" s="4">
        <f>IF(W1355&gt;0,R1355/W1355-1,-1)</f>
        <v/>
      </c>
      <c r="Y1355" s="19">
        <f>IF(R1355&gt;0,S1355*資金模擬!$B$7/R1355,0)</f>
        <v/>
      </c>
      <c r="Z1355" s="2">
        <f>IF(OR(Z1354=1,R1355&lt;=資金模擬!$B$10),1,0)</f>
        <v/>
      </c>
    </row>
    <row r="1356">
      <c r="A1356" s="2" t="n">
        <v>1354</v>
      </c>
      <c r="B1356" s="7" t="n">
        <v>46302.625</v>
      </c>
      <c r="C1356" s="2" t="inlineStr">
        <is>
          <t>出場</t>
        </is>
      </c>
      <c r="D1356" s="2" t="n">
        <v>678</v>
      </c>
      <c r="E1356" s="2" t="inlineStr">
        <is>
          <t>BR_USDT_PERP</t>
        </is>
      </c>
      <c r="F1356" s="2" t="inlineStr">
        <is>
          <t>做多</t>
        </is>
      </c>
      <c r="G1356" s="20" t="n">
        <v>0.59982</v>
      </c>
      <c r="H1356" s="20" t="n">
        <v>0.6178146</v>
      </c>
      <c r="I1356" s="20" t="n">
        <v>0.569829</v>
      </c>
      <c r="J1356" s="20" t="n">
        <v>0.569829</v>
      </c>
      <c r="K1356" s="2" t="inlineStr">
        <is>
          <t>止損</t>
        </is>
      </c>
      <c r="L1356" s="5">
        <f>交易明細!K679</f>
        <v/>
      </c>
      <c r="M1356" s="19">
        <f>M1354</f>
        <v/>
      </c>
      <c r="N1356" s="2">
        <f>N1354</f>
        <v/>
      </c>
      <c r="O1356" s="19">
        <f>O1354</f>
        <v/>
      </c>
      <c r="P1356" s="4">
        <f>交易明細!L679</f>
        <v/>
      </c>
      <c r="Q1356" s="13">
        <f>IF(N1356="已下單",O1356*P1356,0)</f>
        <v/>
      </c>
      <c r="R1356" s="13">
        <f>R1355+Q1356</f>
        <v/>
      </c>
      <c r="S1356" s="19">
        <f>S1355-IF(N1356="已下單",M1356,0)</f>
        <v/>
      </c>
      <c r="T1356" s="19">
        <f>R1356-S1356</f>
        <v/>
      </c>
      <c r="U1356" s="2">
        <f>U1355-IF(N1356="已下單",1,0)</f>
        <v/>
      </c>
      <c r="V1356" s="19">
        <f>IF(資金模擬!$B$9=2,MAX(R1356,0),MAX(V1355,FLOOR(MAX(R1356,0),資金模擬!$B$6)))</f>
        <v/>
      </c>
      <c r="W1356" s="13">
        <f>MAX(W1355,R1356)</f>
        <v/>
      </c>
      <c r="X1356" s="4">
        <f>IF(W1356&gt;0,R1356/W1356-1,-1)</f>
        <v/>
      </c>
      <c r="Y1356" s="19">
        <f>IF(R1356&gt;0,S1356*資金模擬!$B$7/R1356,0)</f>
        <v/>
      </c>
      <c r="Z1356" s="2">
        <f>IF(OR(Z1355=1,R1356&lt;=資金模擬!$B$10),1,0)</f>
        <v/>
      </c>
    </row>
    <row r="1357">
      <c r="A1357" s="2" t="n">
        <v>1355</v>
      </c>
      <c r="B1357" s="7" t="n">
        <v>46302.625</v>
      </c>
      <c r="C1357" s="2" t="inlineStr">
        <is>
          <t>進場</t>
        </is>
      </c>
      <c r="D1357" s="2" t="n">
        <v>680</v>
      </c>
      <c r="E1357" s="2" t="inlineStr">
        <is>
          <t>US_USDT_PERP</t>
        </is>
      </c>
      <c r="F1357" s="2" t="inlineStr">
        <is>
          <t>做多</t>
        </is>
      </c>
      <c r="G1357" s="20" t="n">
        <v>0.01482</v>
      </c>
      <c r="H1357" s="20" t="n">
        <v>0.0152646</v>
      </c>
      <c r="I1357" s="20" t="n">
        <v>0.014079</v>
      </c>
      <c r="J1357" s="20" t="n"/>
      <c r="K1357" s="2" t="n"/>
      <c r="L1357" s="5" t="n"/>
      <c r="M1357" s="19">
        <f>資金模擬!$B$5*V1356</f>
        <v/>
      </c>
      <c r="N1357" s="2">
        <f>IF(Z1356=1,"已停止",IF(T1356&gt;=M1357,"已下單","資金不足略過"))</f>
        <v/>
      </c>
      <c r="O1357" s="19">
        <f>IF(N1357="已下單",M1357*資金模擬!$B$7,0)</f>
        <v/>
      </c>
      <c r="P1357" s="4" t="n"/>
      <c r="Q1357" s="13" t="n">
        <v>0</v>
      </c>
      <c r="R1357" s="13">
        <f>R1356+Q1357</f>
        <v/>
      </c>
      <c r="S1357" s="19">
        <f>S1356+IF(N1357="已下單",M1357,0)</f>
        <v/>
      </c>
      <c r="T1357" s="19">
        <f>R1357-S1357</f>
        <v/>
      </c>
      <c r="U1357" s="2">
        <f>U1356+IF(N1357="已下單",1,0)</f>
        <v/>
      </c>
      <c r="V1357" s="19">
        <f>IF(資金模擬!$B$9=2,MAX(R1357,0),MAX(V1356,FLOOR(MAX(R1357,0),資金模擬!$B$6)))</f>
        <v/>
      </c>
      <c r="W1357" s="13">
        <f>MAX(W1356,R1357)</f>
        <v/>
      </c>
      <c r="X1357" s="4">
        <f>IF(W1357&gt;0,R1357/W1357-1,-1)</f>
        <v/>
      </c>
      <c r="Y1357" s="19">
        <f>IF(R1357&gt;0,S1357*資金模擬!$B$7/R1357,0)</f>
        <v/>
      </c>
      <c r="Z1357" s="2">
        <f>IF(OR(Z1356=1,R1357&lt;=資金模擬!$B$10),1,0)</f>
        <v/>
      </c>
    </row>
    <row r="1358">
      <c r="A1358" s="2" t="n">
        <v>1356</v>
      </c>
      <c r="B1358" s="7" t="n">
        <v>46302.66666666666</v>
      </c>
      <c r="C1358" s="2" t="inlineStr">
        <is>
          <t>進場</t>
        </is>
      </c>
      <c r="D1358" s="2" t="n">
        <v>681</v>
      </c>
      <c r="E1358" s="2" t="inlineStr">
        <is>
          <t>NMR_USDT_PERP</t>
        </is>
      </c>
      <c r="F1358" s="2" t="inlineStr">
        <is>
          <t>做多</t>
        </is>
      </c>
      <c r="G1358" s="20" t="n">
        <v>16.872</v>
      </c>
      <c r="H1358" s="20" t="n">
        <v>17.37816</v>
      </c>
      <c r="I1358" s="20" t="n">
        <v>16.0284</v>
      </c>
      <c r="J1358" s="20" t="n"/>
      <c r="K1358" s="2" t="n"/>
      <c r="L1358" s="5" t="n"/>
      <c r="M1358" s="19">
        <f>資金模擬!$B$5*V1357</f>
        <v/>
      </c>
      <c r="N1358" s="2">
        <f>IF(Z1357=1,"已停止",IF(T1357&gt;=M1358,"已下單","資金不足略過"))</f>
        <v/>
      </c>
      <c r="O1358" s="19">
        <f>IF(N1358="已下單",M1358*資金模擬!$B$7,0)</f>
        <v/>
      </c>
      <c r="P1358" s="4" t="n"/>
      <c r="Q1358" s="13" t="n">
        <v>0</v>
      </c>
      <c r="R1358" s="13">
        <f>R1357+Q1358</f>
        <v/>
      </c>
      <c r="S1358" s="19">
        <f>S1357+IF(N1358="已下單",M1358,0)</f>
        <v/>
      </c>
      <c r="T1358" s="19">
        <f>R1358-S1358</f>
        <v/>
      </c>
      <c r="U1358" s="2">
        <f>U1357+IF(N1358="已下單",1,0)</f>
        <v/>
      </c>
      <c r="V1358" s="19">
        <f>IF(資金模擬!$B$9=2,MAX(R1358,0),MAX(V1357,FLOOR(MAX(R1358,0),資金模擬!$B$6)))</f>
        <v/>
      </c>
      <c r="W1358" s="13">
        <f>MAX(W1357,R1358)</f>
        <v/>
      </c>
      <c r="X1358" s="4">
        <f>IF(W1358&gt;0,R1358/W1358-1,-1)</f>
        <v/>
      </c>
      <c r="Y1358" s="19">
        <f>IF(R1358&gt;0,S1358*資金模擬!$B$7/R1358,0)</f>
        <v/>
      </c>
      <c r="Z1358" s="2">
        <f>IF(OR(Z1357=1,R1358&lt;=資金模擬!$B$10),1,0)</f>
        <v/>
      </c>
    </row>
    <row r="1359">
      <c r="A1359" s="2" t="n">
        <v>1357</v>
      </c>
      <c r="B1359" s="7" t="n">
        <v>46302.75</v>
      </c>
      <c r="C1359" s="2" t="inlineStr">
        <is>
          <t>進場</t>
        </is>
      </c>
      <c r="D1359" s="2" t="n">
        <v>682</v>
      </c>
      <c r="E1359" s="2" t="inlineStr">
        <is>
          <t>NEAR_USDT_PERP</t>
        </is>
      </c>
      <c r="F1359" s="2" t="inlineStr">
        <is>
          <t>做空</t>
        </is>
      </c>
      <c r="G1359" s="20" t="n">
        <v>4.979</v>
      </c>
      <c r="H1359" s="20" t="n">
        <v>4.82963</v>
      </c>
      <c r="I1359" s="20" t="n">
        <v>5.22795</v>
      </c>
      <c r="J1359" s="20" t="n"/>
      <c r="K1359" s="2" t="n"/>
      <c r="L1359" s="5" t="n"/>
      <c r="M1359" s="19">
        <f>資金模擬!$B$5*V1358</f>
        <v/>
      </c>
      <c r="N1359" s="2">
        <f>IF(Z1358=1,"已停止",IF(T1358&gt;=M1359,"已下單","資金不足略過"))</f>
        <v/>
      </c>
      <c r="O1359" s="19">
        <f>IF(N1359="已下單",M1359*資金模擬!$B$7,0)</f>
        <v/>
      </c>
      <c r="P1359" s="4" t="n"/>
      <c r="Q1359" s="13" t="n">
        <v>0</v>
      </c>
      <c r="R1359" s="13">
        <f>R1358+Q1359</f>
        <v/>
      </c>
      <c r="S1359" s="19">
        <f>S1358+IF(N1359="已下單",M1359,0)</f>
        <v/>
      </c>
      <c r="T1359" s="19">
        <f>R1359-S1359</f>
        <v/>
      </c>
      <c r="U1359" s="2">
        <f>U1358+IF(N1359="已下單",1,0)</f>
        <v/>
      </c>
      <c r="V1359" s="19">
        <f>IF(資金模擬!$B$9=2,MAX(R1359,0),MAX(V1358,FLOOR(MAX(R1359,0),資金模擬!$B$6)))</f>
        <v/>
      </c>
      <c r="W1359" s="13">
        <f>MAX(W1358,R1359)</f>
        <v/>
      </c>
      <c r="X1359" s="4">
        <f>IF(W1359&gt;0,R1359/W1359-1,-1)</f>
        <v/>
      </c>
      <c r="Y1359" s="19">
        <f>IF(R1359&gt;0,S1359*資金模擬!$B$7/R1359,0)</f>
        <v/>
      </c>
      <c r="Z1359" s="2">
        <f>IF(OR(Z1358=1,R1359&lt;=資金模擬!$B$10),1,0)</f>
        <v/>
      </c>
    </row>
    <row r="1360">
      <c r="A1360" s="2" t="n">
        <v>1358</v>
      </c>
      <c r="B1360" s="7" t="n">
        <v>46302.75</v>
      </c>
      <c r="C1360" s="2" t="inlineStr">
        <is>
          <t>進場</t>
        </is>
      </c>
      <c r="D1360" s="2" t="n">
        <v>683</v>
      </c>
      <c r="E1360" s="2" t="inlineStr">
        <is>
          <t>ORCA_USDT_PERP</t>
        </is>
      </c>
      <c r="F1360" s="2" t="inlineStr">
        <is>
          <t>做空</t>
        </is>
      </c>
      <c r="G1360" s="20" t="n">
        <v>2.841</v>
      </c>
      <c r="H1360" s="20" t="n">
        <v>2.75577</v>
      </c>
      <c r="I1360" s="20" t="n">
        <v>2.98305</v>
      </c>
      <c r="J1360" s="20" t="n"/>
      <c r="K1360" s="2" t="n"/>
      <c r="L1360" s="5" t="n"/>
      <c r="M1360" s="19">
        <f>資金模擬!$B$5*V1359</f>
        <v/>
      </c>
      <c r="N1360" s="2">
        <f>IF(Z1359=1,"已停止",IF(T1359&gt;=M1360,"已下單","資金不足略過"))</f>
        <v/>
      </c>
      <c r="O1360" s="19">
        <f>IF(N1360="已下單",M1360*資金模擬!$B$7,0)</f>
        <v/>
      </c>
      <c r="P1360" s="4" t="n"/>
      <c r="Q1360" s="13" t="n">
        <v>0</v>
      </c>
      <c r="R1360" s="13">
        <f>R1359+Q1360</f>
        <v/>
      </c>
      <c r="S1360" s="19">
        <f>S1359+IF(N1360="已下單",M1360,0)</f>
        <v/>
      </c>
      <c r="T1360" s="19">
        <f>R1360-S1360</f>
        <v/>
      </c>
      <c r="U1360" s="2">
        <f>U1359+IF(N1360="已下單",1,0)</f>
        <v/>
      </c>
      <c r="V1360" s="19">
        <f>IF(資金模擬!$B$9=2,MAX(R1360,0),MAX(V1359,FLOOR(MAX(R1360,0),資金模擬!$B$6)))</f>
        <v/>
      </c>
      <c r="W1360" s="13">
        <f>MAX(W1359,R1360)</f>
        <v/>
      </c>
      <c r="X1360" s="4">
        <f>IF(W1360&gt;0,R1360/W1360-1,-1)</f>
        <v/>
      </c>
      <c r="Y1360" s="19">
        <f>IF(R1360&gt;0,S1360*資金模擬!$B$7/R1360,0)</f>
        <v/>
      </c>
      <c r="Z1360" s="2">
        <f>IF(OR(Z1359=1,R1360&lt;=資金模擬!$B$10),1,0)</f>
        <v/>
      </c>
    </row>
    <row r="1361">
      <c r="A1361" s="2" t="n">
        <v>1359</v>
      </c>
      <c r="B1361" s="7" t="n">
        <v>46302.75</v>
      </c>
      <c r="C1361" s="2" t="inlineStr">
        <is>
          <t>進場</t>
        </is>
      </c>
      <c r="D1361" s="2" t="n">
        <v>684</v>
      </c>
      <c r="E1361" s="2" t="inlineStr">
        <is>
          <t>QNT_USDT_PERP</t>
        </is>
      </c>
      <c r="F1361" s="2" t="inlineStr">
        <is>
          <t>做空</t>
        </is>
      </c>
      <c r="G1361" s="20" t="n">
        <v>243.64</v>
      </c>
      <c r="H1361" s="20" t="n">
        <v>236.3308</v>
      </c>
      <c r="I1361" s="20" t="n">
        <v>255.822</v>
      </c>
      <c r="J1361" s="20" t="n"/>
      <c r="K1361" s="2" t="n"/>
      <c r="L1361" s="5" t="n"/>
      <c r="M1361" s="19">
        <f>資金模擬!$B$5*V1360</f>
        <v/>
      </c>
      <c r="N1361" s="2">
        <f>IF(Z1360=1,"已停止",IF(T1360&gt;=M1361,"已下單","資金不足略過"))</f>
        <v/>
      </c>
      <c r="O1361" s="19">
        <f>IF(N1361="已下單",M1361*資金模擬!$B$7,0)</f>
        <v/>
      </c>
      <c r="P1361" s="4" t="n"/>
      <c r="Q1361" s="13" t="n">
        <v>0</v>
      </c>
      <c r="R1361" s="13">
        <f>R1360+Q1361</f>
        <v/>
      </c>
      <c r="S1361" s="19">
        <f>S1360+IF(N1361="已下單",M1361,0)</f>
        <v/>
      </c>
      <c r="T1361" s="19">
        <f>R1361-S1361</f>
        <v/>
      </c>
      <c r="U1361" s="2">
        <f>U1360+IF(N1361="已下單",1,0)</f>
        <v/>
      </c>
      <c r="V1361" s="19">
        <f>IF(資金模擬!$B$9=2,MAX(R1361,0),MAX(V1360,FLOOR(MAX(R1361,0),資金模擬!$B$6)))</f>
        <v/>
      </c>
      <c r="W1361" s="13">
        <f>MAX(W1360,R1361)</f>
        <v/>
      </c>
      <c r="X1361" s="4">
        <f>IF(W1361&gt;0,R1361/W1361-1,-1)</f>
        <v/>
      </c>
      <c r="Y1361" s="19">
        <f>IF(R1361&gt;0,S1361*資金模擬!$B$7/R1361,0)</f>
        <v/>
      </c>
      <c r="Z1361" s="2">
        <f>IF(OR(Z1360=1,R1361&lt;=資金模擬!$B$10),1,0)</f>
        <v/>
      </c>
    </row>
    <row r="1362">
      <c r="A1362" s="2" t="n">
        <v>1360</v>
      </c>
      <c r="B1362" s="7" t="n">
        <v>46302.79166666666</v>
      </c>
      <c r="C1362" s="2" t="inlineStr">
        <is>
          <t>出場</t>
        </is>
      </c>
      <c r="D1362" s="2" t="n">
        <v>681</v>
      </c>
      <c r="E1362" s="2" t="inlineStr">
        <is>
          <t>NMR_USDT_PERP</t>
        </is>
      </c>
      <c r="F1362" s="2" t="inlineStr">
        <is>
          <t>做多</t>
        </is>
      </c>
      <c r="G1362" s="20" t="n">
        <v>16.872</v>
      </c>
      <c r="H1362" s="20" t="n">
        <v>17.37816</v>
      </c>
      <c r="I1362" s="20" t="n">
        <v>16.0284</v>
      </c>
      <c r="J1362" s="20" t="n">
        <v>16.0284</v>
      </c>
      <c r="K1362" s="2" t="inlineStr">
        <is>
          <t>止損</t>
        </is>
      </c>
      <c r="L1362" s="5">
        <f>交易明細!K682</f>
        <v/>
      </c>
      <c r="M1362" s="19">
        <f>M1358</f>
        <v/>
      </c>
      <c r="N1362" s="2">
        <f>N1358</f>
        <v/>
      </c>
      <c r="O1362" s="19">
        <f>O1358</f>
        <v/>
      </c>
      <c r="P1362" s="4">
        <f>交易明細!L682</f>
        <v/>
      </c>
      <c r="Q1362" s="13">
        <f>IF(N1362="已下單",O1362*P1362,0)</f>
        <v/>
      </c>
      <c r="R1362" s="13">
        <f>R1361+Q1362</f>
        <v/>
      </c>
      <c r="S1362" s="19">
        <f>S1361-IF(N1362="已下單",M1362,0)</f>
        <v/>
      </c>
      <c r="T1362" s="19">
        <f>R1362-S1362</f>
        <v/>
      </c>
      <c r="U1362" s="2">
        <f>U1361-IF(N1362="已下單",1,0)</f>
        <v/>
      </c>
      <c r="V1362" s="19">
        <f>IF(資金模擬!$B$9=2,MAX(R1362,0),MAX(V1361,FLOOR(MAX(R1362,0),資金模擬!$B$6)))</f>
        <v/>
      </c>
      <c r="W1362" s="13">
        <f>MAX(W1361,R1362)</f>
        <v/>
      </c>
      <c r="X1362" s="4">
        <f>IF(W1362&gt;0,R1362/W1362-1,-1)</f>
        <v/>
      </c>
      <c r="Y1362" s="19">
        <f>IF(R1362&gt;0,S1362*資金模擬!$B$7/R1362,0)</f>
        <v/>
      </c>
      <c r="Z1362" s="2">
        <f>IF(OR(Z1361=1,R1362&lt;=資金模擬!$B$10),1,0)</f>
        <v/>
      </c>
    </row>
    <row r="1363">
      <c r="A1363" s="2" t="n">
        <v>1361</v>
      </c>
      <c r="B1363" s="7" t="n">
        <v>46302.83333333334</v>
      </c>
      <c r="C1363" s="2" t="inlineStr">
        <is>
          <t>出場</t>
        </is>
      </c>
      <c r="D1363" s="2" t="n">
        <v>677</v>
      </c>
      <c r="E1363" s="2" t="inlineStr">
        <is>
          <t>ZRO_USDT_PERP</t>
        </is>
      </c>
      <c r="F1363" s="2" t="inlineStr">
        <is>
          <t>做空</t>
        </is>
      </c>
      <c r="G1363" s="20" t="n">
        <v>2.1723</v>
      </c>
      <c r="H1363" s="20" t="n">
        <v>2.107131</v>
      </c>
      <c r="I1363" s="20" t="n">
        <v>2.280915</v>
      </c>
      <c r="J1363" s="20" t="n">
        <v>2.107131</v>
      </c>
      <c r="K1363" s="2" t="inlineStr">
        <is>
          <t>止盈</t>
        </is>
      </c>
      <c r="L1363" s="5">
        <f>交易明細!K678</f>
        <v/>
      </c>
      <c r="M1363" s="19">
        <f>M1353</f>
        <v/>
      </c>
      <c r="N1363" s="2">
        <f>N1353</f>
        <v/>
      </c>
      <c r="O1363" s="19">
        <f>O1353</f>
        <v/>
      </c>
      <c r="P1363" s="4">
        <f>交易明細!L678</f>
        <v/>
      </c>
      <c r="Q1363" s="13">
        <f>IF(N1363="已下單",O1363*P1363,0)</f>
        <v/>
      </c>
      <c r="R1363" s="13">
        <f>R1362+Q1363</f>
        <v/>
      </c>
      <c r="S1363" s="19">
        <f>S1362-IF(N1363="已下單",M1363,0)</f>
        <v/>
      </c>
      <c r="T1363" s="19">
        <f>R1363-S1363</f>
        <v/>
      </c>
      <c r="U1363" s="2">
        <f>U1362-IF(N1363="已下單",1,0)</f>
        <v/>
      </c>
      <c r="V1363" s="19">
        <f>IF(資金模擬!$B$9=2,MAX(R1363,0),MAX(V1362,FLOOR(MAX(R1363,0),資金模擬!$B$6)))</f>
        <v/>
      </c>
      <c r="W1363" s="13">
        <f>MAX(W1362,R1363)</f>
        <v/>
      </c>
      <c r="X1363" s="4">
        <f>IF(W1363&gt;0,R1363/W1363-1,-1)</f>
        <v/>
      </c>
      <c r="Y1363" s="19">
        <f>IF(R1363&gt;0,S1363*資金模擬!$B$7/R1363,0)</f>
        <v/>
      </c>
      <c r="Z1363" s="2">
        <f>IF(OR(Z1362=1,R1363&lt;=資金模擬!$B$10),1,0)</f>
        <v/>
      </c>
    </row>
    <row r="1364">
      <c r="A1364" s="2" t="n">
        <v>1362</v>
      </c>
      <c r="B1364" s="7" t="n">
        <v>46302.83333333334</v>
      </c>
      <c r="C1364" s="2" t="inlineStr">
        <is>
          <t>出場</t>
        </is>
      </c>
      <c r="D1364" s="2" t="n">
        <v>680</v>
      </c>
      <c r="E1364" s="2" t="inlineStr">
        <is>
          <t>US_USDT_PERP</t>
        </is>
      </c>
      <c r="F1364" s="2" t="inlineStr">
        <is>
          <t>做多</t>
        </is>
      </c>
      <c r="G1364" s="20" t="n">
        <v>0.01482</v>
      </c>
      <c r="H1364" s="20" t="n">
        <v>0.0152646</v>
      </c>
      <c r="I1364" s="20" t="n">
        <v>0.014079</v>
      </c>
      <c r="J1364" s="20" t="n">
        <v>0.014079</v>
      </c>
      <c r="K1364" s="2" t="inlineStr">
        <is>
          <t>止損</t>
        </is>
      </c>
      <c r="L1364" s="5">
        <f>交易明細!K681</f>
        <v/>
      </c>
      <c r="M1364" s="19">
        <f>M1357</f>
        <v/>
      </c>
      <c r="N1364" s="2">
        <f>N1357</f>
        <v/>
      </c>
      <c r="O1364" s="19">
        <f>O1357</f>
        <v/>
      </c>
      <c r="P1364" s="4">
        <f>交易明細!L681</f>
        <v/>
      </c>
      <c r="Q1364" s="13">
        <f>IF(N1364="已下單",O1364*P1364,0)</f>
        <v/>
      </c>
      <c r="R1364" s="13">
        <f>R1363+Q1364</f>
        <v/>
      </c>
      <c r="S1364" s="19">
        <f>S1363-IF(N1364="已下單",M1364,0)</f>
        <v/>
      </c>
      <c r="T1364" s="19">
        <f>R1364-S1364</f>
        <v/>
      </c>
      <c r="U1364" s="2">
        <f>U1363-IF(N1364="已下單",1,0)</f>
        <v/>
      </c>
      <c r="V1364" s="19">
        <f>IF(資金模擬!$B$9=2,MAX(R1364,0),MAX(V1363,FLOOR(MAX(R1364,0),資金模擬!$B$6)))</f>
        <v/>
      </c>
      <c r="W1364" s="13">
        <f>MAX(W1363,R1364)</f>
        <v/>
      </c>
      <c r="X1364" s="4">
        <f>IF(W1364&gt;0,R1364/W1364-1,-1)</f>
        <v/>
      </c>
      <c r="Y1364" s="19">
        <f>IF(R1364&gt;0,S1364*資金模擬!$B$7/R1364,0)</f>
        <v/>
      </c>
      <c r="Z1364" s="2">
        <f>IF(OR(Z1363=1,R1364&lt;=資金模擬!$B$10),1,0)</f>
        <v/>
      </c>
    </row>
    <row r="1365">
      <c r="A1365" s="2" t="n">
        <v>1363</v>
      </c>
      <c r="B1365" s="7" t="n">
        <v>46302.83333333334</v>
      </c>
      <c r="C1365" s="2" t="inlineStr">
        <is>
          <t>出場</t>
        </is>
      </c>
      <c r="D1365" s="2" t="n">
        <v>683</v>
      </c>
      <c r="E1365" s="2" t="inlineStr">
        <is>
          <t>ORCA_USDT_PERP</t>
        </is>
      </c>
      <c r="F1365" s="2" t="inlineStr">
        <is>
          <t>做空</t>
        </is>
      </c>
      <c r="G1365" s="20" t="n">
        <v>2.841</v>
      </c>
      <c r="H1365" s="20" t="n">
        <v>2.75577</v>
      </c>
      <c r="I1365" s="20" t="n">
        <v>2.98305</v>
      </c>
      <c r="J1365" s="20" t="n">
        <v>2.75577</v>
      </c>
      <c r="K1365" s="2" t="inlineStr">
        <is>
          <t>止盈</t>
        </is>
      </c>
      <c r="L1365" s="5">
        <f>交易明細!K684</f>
        <v/>
      </c>
      <c r="M1365" s="19">
        <f>M1360</f>
        <v/>
      </c>
      <c r="N1365" s="2">
        <f>N1360</f>
        <v/>
      </c>
      <c r="O1365" s="19">
        <f>O1360</f>
        <v/>
      </c>
      <c r="P1365" s="4">
        <f>交易明細!L684</f>
        <v/>
      </c>
      <c r="Q1365" s="13">
        <f>IF(N1365="已下單",O1365*P1365,0)</f>
        <v/>
      </c>
      <c r="R1365" s="13">
        <f>R1364+Q1365</f>
        <v/>
      </c>
      <c r="S1365" s="19">
        <f>S1364-IF(N1365="已下單",M1365,0)</f>
        <v/>
      </c>
      <c r="T1365" s="19">
        <f>R1365-S1365</f>
        <v/>
      </c>
      <c r="U1365" s="2">
        <f>U1364-IF(N1365="已下單",1,0)</f>
        <v/>
      </c>
      <c r="V1365" s="19">
        <f>IF(資金模擬!$B$9=2,MAX(R1365,0),MAX(V1364,FLOOR(MAX(R1365,0),資金模擬!$B$6)))</f>
        <v/>
      </c>
      <c r="W1365" s="13">
        <f>MAX(W1364,R1365)</f>
        <v/>
      </c>
      <c r="X1365" s="4">
        <f>IF(W1365&gt;0,R1365/W1365-1,-1)</f>
        <v/>
      </c>
      <c r="Y1365" s="19">
        <f>IF(R1365&gt;0,S1365*資金模擬!$B$7/R1365,0)</f>
        <v/>
      </c>
      <c r="Z1365" s="2">
        <f>IF(OR(Z1364=1,R1365&lt;=資金模擬!$B$10),1,0)</f>
        <v/>
      </c>
    </row>
    <row r="1366">
      <c r="A1366" s="2" t="n">
        <v>1364</v>
      </c>
      <c r="B1366" s="7" t="n">
        <v>46302.83333333334</v>
      </c>
      <c r="C1366" s="2" t="inlineStr">
        <is>
          <t>進場</t>
        </is>
      </c>
      <c r="D1366" s="2" t="n">
        <v>685</v>
      </c>
      <c r="E1366" s="2" t="inlineStr">
        <is>
          <t>NMR_USDT_PERP</t>
        </is>
      </c>
      <c r="F1366" s="2" t="inlineStr">
        <is>
          <t>做空</t>
        </is>
      </c>
      <c r="G1366" s="20" t="n">
        <v>16.218</v>
      </c>
      <c r="H1366" s="20" t="n">
        <v>15.73146</v>
      </c>
      <c r="I1366" s="20" t="n">
        <v>17.0289</v>
      </c>
      <c r="J1366" s="20" t="n"/>
      <c r="K1366" s="2" t="n"/>
      <c r="L1366" s="5" t="n"/>
      <c r="M1366" s="19">
        <f>資金模擬!$B$5*V1365</f>
        <v/>
      </c>
      <c r="N1366" s="2">
        <f>IF(Z1365=1,"已停止",IF(T1365&gt;=M1366,"已下單","資金不足略過"))</f>
        <v/>
      </c>
      <c r="O1366" s="19">
        <f>IF(N1366="已下單",M1366*資金模擬!$B$7,0)</f>
        <v/>
      </c>
      <c r="P1366" s="4" t="n"/>
      <c r="Q1366" s="13" t="n">
        <v>0</v>
      </c>
      <c r="R1366" s="13">
        <f>R1365+Q1366</f>
        <v/>
      </c>
      <c r="S1366" s="19">
        <f>S1365+IF(N1366="已下單",M1366,0)</f>
        <v/>
      </c>
      <c r="T1366" s="19">
        <f>R1366-S1366</f>
        <v/>
      </c>
      <c r="U1366" s="2">
        <f>U1365+IF(N1366="已下單",1,0)</f>
        <v/>
      </c>
      <c r="V1366" s="19">
        <f>IF(資金模擬!$B$9=2,MAX(R1366,0),MAX(V1365,FLOOR(MAX(R1366,0),資金模擬!$B$6)))</f>
        <v/>
      </c>
      <c r="W1366" s="13">
        <f>MAX(W1365,R1366)</f>
        <v/>
      </c>
      <c r="X1366" s="4">
        <f>IF(W1366&gt;0,R1366/W1366-1,-1)</f>
        <v/>
      </c>
      <c r="Y1366" s="19">
        <f>IF(R1366&gt;0,S1366*資金模擬!$B$7/R1366,0)</f>
        <v/>
      </c>
      <c r="Z1366" s="2">
        <f>IF(OR(Z1365=1,R1366&lt;=資金模擬!$B$10),1,0)</f>
        <v/>
      </c>
    </row>
    <row r="1367">
      <c r="A1367" s="2" t="n">
        <v>1365</v>
      </c>
      <c r="B1367" s="7" t="n">
        <v>46302.875</v>
      </c>
      <c r="C1367" s="2" t="inlineStr">
        <is>
          <t>出場</t>
        </is>
      </c>
      <c r="D1367" s="2" t="n">
        <v>685</v>
      </c>
      <c r="E1367" s="2" t="inlineStr">
        <is>
          <t>NMR_USDT_PERP</t>
        </is>
      </c>
      <c r="F1367" s="2" t="inlineStr">
        <is>
          <t>做空</t>
        </is>
      </c>
      <c r="G1367" s="20" t="n">
        <v>16.218</v>
      </c>
      <c r="H1367" s="20" t="n">
        <v>15.73146</v>
      </c>
      <c r="I1367" s="20" t="n">
        <v>17.0289</v>
      </c>
      <c r="J1367" s="20" t="n">
        <v>15.73146</v>
      </c>
      <c r="K1367" s="2" t="inlineStr">
        <is>
          <t>止盈</t>
        </is>
      </c>
      <c r="L1367" s="5">
        <f>交易明細!K686</f>
        <v/>
      </c>
      <c r="M1367" s="19">
        <f>M1366</f>
        <v/>
      </c>
      <c r="N1367" s="2">
        <f>N1366</f>
        <v/>
      </c>
      <c r="O1367" s="19">
        <f>O1366</f>
        <v/>
      </c>
      <c r="P1367" s="4">
        <f>交易明細!L686</f>
        <v/>
      </c>
      <c r="Q1367" s="13">
        <f>IF(N1367="已下單",O1367*P1367,0)</f>
        <v/>
      </c>
      <c r="R1367" s="13">
        <f>R1366+Q1367</f>
        <v/>
      </c>
      <c r="S1367" s="19">
        <f>S1366-IF(N1367="已下單",M1367,0)</f>
        <v/>
      </c>
      <c r="T1367" s="19">
        <f>R1367-S1367</f>
        <v/>
      </c>
      <c r="U1367" s="2">
        <f>U1366-IF(N1367="已下單",1,0)</f>
        <v/>
      </c>
      <c r="V1367" s="19">
        <f>IF(資金模擬!$B$9=2,MAX(R1367,0),MAX(V1366,FLOOR(MAX(R1367,0),資金模擬!$B$6)))</f>
        <v/>
      </c>
      <c r="W1367" s="13">
        <f>MAX(W1366,R1367)</f>
        <v/>
      </c>
      <c r="X1367" s="4">
        <f>IF(W1367&gt;0,R1367/W1367-1,-1)</f>
        <v/>
      </c>
      <c r="Y1367" s="19">
        <f>IF(R1367&gt;0,S1367*資金模擬!$B$7/R1367,0)</f>
        <v/>
      </c>
      <c r="Z1367" s="2">
        <f>IF(OR(Z1366=1,R1367&lt;=資金模擬!$B$10),1,0)</f>
        <v/>
      </c>
    </row>
    <row r="1368">
      <c r="A1368" s="2" t="n">
        <v>1366</v>
      </c>
      <c r="B1368" s="7" t="n">
        <v>46302.91666666666</v>
      </c>
      <c r="C1368" s="2" t="inlineStr">
        <is>
          <t>出場</t>
        </is>
      </c>
      <c r="D1368" s="2" t="n">
        <v>676</v>
      </c>
      <c r="E1368" s="2" t="inlineStr">
        <is>
          <t>PONS_USDT_PERP</t>
        </is>
      </c>
      <c r="F1368" s="2" t="inlineStr">
        <is>
          <t>做多</t>
        </is>
      </c>
      <c r="G1368" s="20" t="n">
        <v>0.413</v>
      </c>
      <c r="H1368" s="20" t="n">
        <v>0.42539</v>
      </c>
      <c r="I1368" s="20" t="n">
        <v>0.39235</v>
      </c>
      <c r="J1368" s="20" t="n">
        <v>0.39235</v>
      </c>
      <c r="K1368" s="2" t="inlineStr">
        <is>
          <t>止損</t>
        </is>
      </c>
      <c r="L1368" s="5">
        <f>交易明細!K677</f>
        <v/>
      </c>
      <c r="M1368" s="19">
        <f>M1352</f>
        <v/>
      </c>
      <c r="N1368" s="2">
        <f>N1352</f>
        <v/>
      </c>
      <c r="O1368" s="19">
        <f>O1352</f>
        <v/>
      </c>
      <c r="P1368" s="4">
        <f>交易明細!L677</f>
        <v/>
      </c>
      <c r="Q1368" s="13">
        <f>IF(N1368="已下單",O1368*P1368,0)</f>
        <v/>
      </c>
      <c r="R1368" s="13">
        <f>R1367+Q1368</f>
        <v/>
      </c>
      <c r="S1368" s="19">
        <f>S1367-IF(N1368="已下單",M1368,0)</f>
        <v/>
      </c>
      <c r="T1368" s="19">
        <f>R1368-S1368</f>
        <v/>
      </c>
      <c r="U1368" s="2">
        <f>U1367-IF(N1368="已下單",1,0)</f>
        <v/>
      </c>
      <c r="V1368" s="19">
        <f>IF(資金模擬!$B$9=2,MAX(R1368,0),MAX(V1367,FLOOR(MAX(R1368,0),資金模擬!$B$6)))</f>
        <v/>
      </c>
      <c r="W1368" s="13">
        <f>MAX(W1367,R1368)</f>
        <v/>
      </c>
      <c r="X1368" s="4">
        <f>IF(W1368&gt;0,R1368/W1368-1,-1)</f>
        <v/>
      </c>
      <c r="Y1368" s="19">
        <f>IF(R1368&gt;0,S1368*資金模擬!$B$7/R1368,0)</f>
        <v/>
      </c>
      <c r="Z1368" s="2">
        <f>IF(OR(Z1367=1,R1368&lt;=資金模擬!$B$10),1,0)</f>
        <v/>
      </c>
    </row>
    <row r="1369">
      <c r="A1369" s="2" t="n">
        <v>1367</v>
      </c>
      <c r="B1369" s="7" t="n">
        <v>46302.91666666666</v>
      </c>
      <c r="C1369" s="2" t="inlineStr">
        <is>
          <t>出場</t>
        </is>
      </c>
      <c r="D1369" s="2" t="n">
        <v>679</v>
      </c>
      <c r="E1369" s="2" t="inlineStr">
        <is>
          <t>PUMP_USDT_PERP</t>
        </is>
      </c>
      <c r="F1369" s="2" t="inlineStr">
        <is>
          <t>做多</t>
        </is>
      </c>
      <c r="G1369" s="20" t="n">
        <v>0.006498</v>
      </c>
      <c r="H1369" s="20" t="n">
        <v>0.006692940000000001</v>
      </c>
      <c r="I1369" s="20" t="n">
        <v>0.0061731</v>
      </c>
      <c r="J1369" s="20" t="n">
        <v>0.0061731</v>
      </c>
      <c r="K1369" s="2" t="inlineStr">
        <is>
          <t>止損</t>
        </is>
      </c>
      <c r="L1369" s="5">
        <f>交易明細!K680</f>
        <v/>
      </c>
      <c r="M1369" s="19">
        <f>M1355</f>
        <v/>
      </c>
      <c r="N1369" s="2">
        <f>N1355</f>
        <v/>
      </c>
      <c r="O1369" s="19">
        <f>O1355</f>
        <v/>
      </c>
      <c r="P1369" s="4">
        <f>交易明細!L680</f>
        <v/>
      </c>
      <c r="Q1369" s="13">
        <f>IF(N1369="已下單",O1369*P1369,0)</f>
        <v/>
      </c>
      <c r="R1369" s="13">
        <f>R1368+Q1369</f>
        <v/>
      </c>
      <c r="S1369" s="19">
        <f>S1368-IF(N1369="已下單",M1369,0)</f>
        <v/>
      </c>
      <c r="T1369" s="19">
        <f>R1369-S1369</f>
        <v/>
      </c>
      <c r="U1369" s="2">
        <f>U1368-IF(N1369="已下單",1,0)</f>
        <v/>
      </c>
      <c r="V1369" s="19">
        <f>IF(資金模擬!$B$9=2,MAX(R1369,0),MAX(V1368,FLOOR(MAX(R1369,0),資金模擬!$B$6)))</f>
        <v/>
      </c>
      <c r="W1369" s="13">
        <f>MAX(W1368,R1369)</f>
        <v/>
      </c>
      <c r="X1369" s="4">
        <f>IF(W1369&gt;0,R1369/W1369-1,-1)</f>
        <v/>
      </c>
      <c r="Y1369" s="19">
        <f>IF(R1369&gt;0,S1369*資金模擬!$B$7/R1369,0)</f>
        <v/>
      </c>
      <c r="Z1369" s="2">
        <f>IF(OR(Z1368=1,R1369&lt;=資金模擬!$B$10),1,0)</f>
        <v/>
      </c>
    </row>
    <row r="1370">
      <c r="A1370" s="2" t="n">
        <v>1368</v>
      </c>
      <c r="B1370" s="7" t="n">
        <v>46302.91666666666</v>
      </c>
      <c r="C1370" s="2" t="inlineStr">
        <is>
          <t>出場</t>
        </is>
      </c>
      <c r="D1370" s="2" t="n">
        <v>684</v>
      </c>
      <c r="E1370" s="2" t="inlineStr">
        <is>
          <t>QNT_USDT_PERP</t>
        </is>
      </c>
      <c r="F1370" s="2" t="inlineStr">
        <is>
          <t>做空</t>
        </is>
      </c>
      <c r="G1370" s="20" t="n">
        <v>243.64</v>
      </c>
      <c r="H1370" s="20" t="n">
        <v>236.3308</v>
      </c>
      <c r="I1370" s="20" t="n">
        <v>255.822</v>
      </c>
      <c r="J1370" s="20" t="n">
        <v>236.3308</v>
      </c>
      <c r="K1370" s="2" t="inlineStr">
        <is>
          <t>止盈</t>
        </is>
      </c>
      <c r="L1370" s="5">
        <f>交易明細!K685</f>
        <v/>
      </c>
      <c r="M1370" s="19">
        <f>M1361</f>
        <v/>
      </c>
      <c r="N1370" s="2">
        <f>N1361</f>
        <v/>
      </c>
      <c r="O1370" s="19">
        <f>O1361</f>
        <v/>
      </c>
      <c r="P1370" s="4">
        <f>交易明細!L685</f>
        <v/>
      </c>
      <c r="Q1370" s="13">
        <f>IF(N1370="已下單",O1370*P1370,0)</f>
        <v/>
      </c>
      <c r="R1370" s="13">
        <f>R1369+Q1370</f>
        <v/>
      </c>
      <c r="S1370" s="19">
        <f>S1369-IF(N1370="已下單",M1370,0)</f>
        <v/>
      </c>
      <c r="T1370" s="19">
        <f>R1370-S1370</f>
        <v/>
      </c>
      <c r="U1370" s="2">
        <f>U1369-IF(N1370="已下單",1,0)</f>
        <v/>
      </c>
      <c r="V1370" s="19">
        <f>IF(資金模擬!$B$9=2,MAX(R1370,0),MAX(V1369,FLOOR(MAX(R1370,0),資金模擬!$B$6)))</f>
        <v/>
      </c>
      <c r="W1370" s="13">
        <f>MAX(W1369,R1370)</f>
        <v/>
      </c>
      <c r="X1370" s="4">
        <f>IF(W1370&gt;0,R1370/W1370-1,-1)</f>
        <v/>
      </c>
      <c r="Y1370" s="19">
        <f>IF(R1370&gt;0,S1370*資金模擬!$B$7/R1370,0)</f>
        <v/>
      </c>
      <c r="Z1370" s="2">
        <f>IF(OR(Z1369=1,R1370&lt;=資金模擬!$B$10),1,0)</f>
        <v/>
      </c>
    </row>
    <row r="1371">
      <c r="A1371" s="2" t="n">
        <v>1369</v>
      </c>
      <c r="B1371" s="7" t="n">
        <v>46302.95833333334</v>
      </c>
      <c r="C1371" s="2" t="inlineStr">
        <is>
          <t>出場</t>
        </is>
      </c>
      <c r="D1371" s="2" t="n">
        <v>672</v>
      </c>
      <c r="E1371" s="2" t="inlineStr">
        <is>
          <t>MUBARAK_USDT_PERP</t>
        </is>
      </c>
      <c r="F1371" s="2" t="inlineStr">
        <is>
          <t>做多</t>
        </is>
      </c>
      <c r="G1371" s="20" t="n">
        <v>0.07776</v>
      </c>
      <c r="H1371" s="20" t="n">
        <v>0.08009279999999999</v>
      </c>
      <c r="I1371" s="20" t="n">
        <v>0.07387199999999999</v>
      </c>
      <c r="J1371" s="20" t="n">
        <v>0.07387199999999999</v>
      </c>
      <c r="K1371" s="2" t="inlineStr">
        <is>
          <t>止損</t>
        </is>
      </c>
      <c r="L1371" s="5">
        <f>交易明細!K673</f>
        <v/>
      </c>
      <c r="M1371" s="19">
        <f>M1343</f>
        <v/>
      </c>
      <c r="N1371" s="2">
        <f>N1343</f>
        <v/>
      </c>
      <c r="O1371" s="19">
        <f>O1343</f>
        <v/>
      </c>
      <c r="P1371" s="4">
        <f>交易明細!L673</f>
        <v/>
      </c>
      <c r="Q1371" s="13">
        <f>IF(N1371="已下單",O1371*P1371,0)</f>
        <v/>
      </c>
      <c r="R1371" s="13">
        <f>R1370+Q1371</f>
        <v/>
      </c>
      <c r="S1371" s="19">
        <f>S1370-IF(N1371="已下單",M1371,0)</f>
        <v/>
      </c>
      <c r="T1371" s="19">
        <f>R1371-S1371</f>
        <v/>
      </c>
      <c r="U1371" s="2">
        <f>U1370-IF(N1371="已下單",1,0)</f>
        <v/>
      </c>
      <c r="V1371" s="19">
        <f>IF(資金模擬!$B$9=2,MAX(R1371,0),MAX(V1370,FLOOR(MAX(R1371,0),資金模擬!$B$6)))</f>
        <v/>
      </c>
      <c r="W1371" s="13">
        <f>MAX(W1370,R1371)</f>
        <v/>
      </c>
      <c r="X1371" s="4">
        <f>IF(W1371&gt;0,R1371/W1371-1,-1)</f>
        <v/>
      </c>
      <c r="Y1371" s="19">
        <f>IF(R1371&gt;0,S1371*資金模擬!$B$7/R1371,0)</f>
        <v/>
      </c>
      <c r="Z1371" s="2">
        <f>IF(OR(Z1370=1,R1371&lt;=資金模擬!$B$10),1,0)</f>
        <v/>
      </c>
    </row>
    <row r="1372">
      <c r="A1372" s="2" t="n">
        <v>1370</v>
      </c>
      <c r="B1372" s="7" t="n">
        <v>46302.95833333334</v>
      </c>
      <c r="C1372" s="2" t="inlineStr">
        <is>
          <t>進場</t>
        </is>
      </c>
      <c r="D1372" s="2" t="n">
        <v>686</v>
      </c>
      <c r="E1372" s="2" t="inlineStr">
        <is>
          <t>PUMP_USDT_PERP</t>
        </is>
      </c>
      <c r="F1372" s="2" t="inlineStr">
        <is>
          <t>做空</t>
        </is>
      </c>
      <c r="G1372" s="20" t="n">
        <v>0.006048</v>
      </c>
      <c r="H1372" s="20" t="n">
        <v>0.00586656</v>
      </c>
      <c r="I1372" s="20" t="n">
        <v>0.006350400000000001</v>
      </c>
      <c r="J1372" s="20" t="n"/>
      <c r="K1372" s="2" t="n"/>
      <c r="L1372" s="5" t="n"/>
      <c r="M1372" s="19">
        <f>資金模擬!$B$5*V1371</f>
        <v/>
      </c>
      <c r="N1372" s="2">
        <f>IF(Z1371=1,"已停止",IF(T1371&gt;=M1372,"已下單","資金不足略過"))</f>
        <v/>
      </c>
      <c r="O1372" s="19">
        <f>IF(N1372="已下單",M1372*資金模擬!$B$7,0)</f>
        <v/>
      </c>
      <c r="P1372" s="4" t="n"/>
      <c r="Q1372" s="13" t="n">
        <v>0</v>
      </c>
      <c r="R1372" s="13">
        <f>R1371+Q1372</f>
        <v/>
      </c>
      <c r="S1372" s="19">
        <f>S1371+IF(N1372="已下單",M1372,0)</f>
        <v/>
      </c>
      <c r="T1372" s="19">
        <f>R1372-S1372</f>
        <v/>
      </c>
      <c r="U1372" s="2">
        <f>U1371+IF(N1372="已下單",1,0)</f>
        <v/>
      </c>
      <c r="V1372" s="19">
        <f>IF(資金模擬!$B$9=2,MAX(R1372,0),MAX(V1371,FLOOR(MAX(R1372,0),資金模擬!$B$6)))</f>
        <v/>
      </c>
      <c r="W1372" s="13">
        <f>MAX(W1371,R1372)</f>
        <v/>
      </c>
      <c r="X1372" s="4">
        <f>IF(W1372&gt;0,R1372/W1372-1,-1)</f>
        <v/>
      </c>
      <c r="Y1372" s="19">
        <f>IF(R1372&gt;0,S1372*資金模擬!$B$7/R1372,0)</f>
        <v/>
      </c>
      <c r="Z1372" s="2">
        <f>IF(OR(Z1371=1,R1372&lt;=資金模擬!$B$10),1,0)</f>
        <v/>
      </c>
    </row>
    <row r="1373">
      <c r="A1373" s="2" t="n">
        <v>1371</v>
      </c>
      <c r="B1373" s="7" t="n">
        <v>46302.95833333334</v>
      </c>
      <c r="C1373" s="2" t="inlineStr">
        <is>
          <t>進場</t>
        </is>
      </c>
      <c r="D1373" s="2" t="n">
        <v>687</v>
      </c>
      <c r="E1373" s="2" t="inlineStr">
        <is>
          <t>SAND_USDT_PERP</t>
        </is>
      </c>
      <c r="F1373" s="2" t="inlineStr">
        <is>
          <t>做多</t>
        </is>
      </c>
      <c r="G1373" s="20" t="n">
        <v>0.07385</v>
      </c>
      <c r="H1373" s="20" t="n">
        <v>0.07606549999999999</v>
      </c>
      <c r="I1373" s="20" t="n">
        <v>0.0701575</v>
      </c>
      <c r="J1373" s="20" t="n"/>
      <c r="K1373" s="2" t="n"/>
      <c r="L1373" s="5" t="n"/>
      <c r="M1373" s="19">
        <f>資金模擬!$B$5*V1372</f>
        <v/>
      </c>
      <c r="N1373" s="2">
        <f>IF(Z1372=1,"已停止",IF(T1372&gt;=M1373,"已下單","資金不足略過"))</f>
        <v/>
      </c>
      <c r="O1373" s="19">
        <f>IF(N1373="已下單",M1373*資金模擬!$B$7,0)</f>
        <v/>
      </c>
      <c r="P1373" s="4" t="n"/>
      <c r="Q1373" s="13" t="n">
        <v>0</v>
      </c>
      <c r="R1373" s="13">
        <f>R1372+Q1373</f>
        <v/>
      </c>
      <c r="S1373" s="19">
        <f>S1372+IF(N1373="已下單",M1373,0)</f>
        <v/>
      </c>
      <c r="T1373" s="19">
        <f>R1373-S1373</f>
        <v/>
      </c>
      <c r="U1373" s="2">
        <f>U1372+IF(N1373="已下單",1,0)</f>
        <v/>
      </c>
      <c r="V1373" s="19">
        <f>IF(資金模擬!$B$9=2,MAX(R1373,0),MAX(V1372,FLOOR(MAX(R1373,0),資金模擬!$B$6)))</f>
        <v/>
      </c>
      <c r="W1373" s="13">
        <f>MAX(W1372,R1373)</f>
        <v/>
      </c>
      <c r="X1373" s="4">
        <f>IF(W1373&gt;0,R1373/W1373-1,-1)</f>
        <v/>
      </c>
      <c r="Y1373" s="19">
        <f>IF(R1373&gt;0,S1373*資金模擬!$B$7/R1373,0)</f>
        <v/>
      </c>
      <c r="Z1373" s="2">
        <f>IF(OR(Z1372=1,R1373&lt;=資金模擬!$B$10),1,0)</f>
        <v/>
      </c>
    </row>
    <row r="1374">
      <c r="A1374" s="2" t="n">
        <v>1372</v>
      </c>
      <c r="B1374" s="7" t="n">
        <v>46303</v>
      </c>
      <c r="C1374" s="2" t="inlineStr">
        <is>
          <t>出場</t>
        </is>
      </c>
      <c r="D1374" s="2" t="n">
        <v>687</v>
      </c>
      <c r="E1374" s="2" t="inlineStr">
        <is>
          <t>SAND_USDT_PERP</t>
        </is>
      </c>
      <c r="F1374" s="2" t="inlineStr">
        <is>
          <t>做多</t>
        </is>
      </c>
      <c r="G1374" s="20" t="n">
        <v>0.07385</v>
      </c>
      <c r="H1374" s="20" t="n">
        <v>0.07606549999999999</v>
      </c>
      <c r="I1374" s="20" t="n">
        <v>0.0701575</v>
      </c>
      <c r="J1374" s="20" t="n">
        <v>0.07606549999999999</v>
      </c>
      <c r="K1374" s="2" t="inlineStr">
        <is>
          <t>止盈</t>
        </is>
      </c>
      <c r="L1374" s="5">
        <f>交易明細!K688</f>
        <v/>
      </c>
      <c r="M1374" s="19">
        <f>M1373</f>
        <v/>
      </c>
      <c r="N1374" s="2">
        <f>N1373</f>
        <v/>
      </c>
      <c r="O1374" s="19">
        <f>O1373</f>
        <v/>
      </c>
      <c r="P1374" s="4">
        <f>交易明細!L688</f>
        <v/>
      </c>
      <c r="Q1374" s="13">
        <f>IF(N1374="已下單",O1374*P1374,0)</f>
        <v/>
      </c>
      <c r="R1374" s="13">
        <f>R1373+Q1374</f>
        <v/>
      </c>
      <c r="S1374" s="19">
        <f>S1373-IF(N1374="已下單",M1374,0)</f>
        <v/>
      </c>
      <c r="T1374" s="19">
        <f>R1374-S1374</f>
        <v/>
      </c>
      <c r="U1374" s="2">
        <f>U1373-IF(N1374="已下單",1,0)</f>
        <v/>
      </c>
      <c r="V1374" s="19">
        <f>IF(資金模擬!$B$9=2,MAX(R1374,0),MAX(V1373,FLOOR(MAX(R1374,0),資金模擬!$B$6)))</f>
        <v/>
      </c>
      <c r="W1374" s="13">
        <f>MAX(W1373,R1374)</f>
        <v/>
      </c>
      <c r="X1374" s="4">
        <f>IF(W1374&gt;0,R1374/W1374-1,-1)</f>
        <v/>
      </c>
      <c r="Y1374" s="19">
        <f>IF(R1374&gt;0,S1374*資金模擬!$B$7/R1374,0)</f>
        <v/>
      </c>
      <c r="Z1374" s="2">
        <f>IF(OR(Z1373=1,R1374&lt;=資金模擬!$B$10),1,0)</f>
        <v/>
      </c>
    </row>
    <row r="1375">
      <c r="A1375" s="2" t="n">
        <v>1373</v>
      </c>
      <c r="B1375" s="7" t="n">
        <v>46303</v>
      </c>
      <c r="C1375" s="2" t="inlineStr">
        <is>
          <t>進場</t>
        </is>
      </c>
      <c r="D1375" s="2" t="n">
        <v>688</v>
      </c>
      <c r="E1375" s="2" t="inlineStr">
        <is>
          <t>PONS_USDT_PERP</t>
        </is>
      </c>
      <c r="F1375" s="2" t="inlineStr">
        <is>
          <t>做多</t>
        </is>
      </c>
      <c r="G1375" s="20" t="n">
        <v>0.4106</v>
      </c>
      <c r="H1375" s="20" t="n">
        <v>0.422918</v>
      </c>
      <c r="I1375" s="20" t="n">
        <v>0.39007</v>
      </c>
      <c r="J1375" s="20" t="n"/>
      <c r="K1375" s="2" t="n"/>
      <c r="L1375" s="5" t="n"/>
      <c r="M1375" s="19">
        <f>資金模擬!$B$5*V1374</f>
        <v/>
      </c>
      <c r="N1375" s="2">
        <f>IF(Z1374=1,"已停止",IF(T1374&gt;=M1375,"已下單","資金不足略過"))</f>
        <v/>
      </c>
      <c r="O1375" s="19">
        <f>IF(N1375="已下單",M1375*資金模擬!$B$7,0)</f>
        <v/>
      </c>
      <c r="P1375" s="4" t="n"/>
      <c r="Q1375" s="13" t="n">
        <v>0</v>
      </c>
      <c r="R1375" s="13">
        <f>R1374+Q1375</f>
        <v/>
      </c>
      <c r="S1375" s="19">
        <f>S1374+IF(N1375="已下單",M1375,0)</f>
        <v/>
      </c>
      <c r="T1375" s="19">
        <f>R1375-S1375</f>
        <v/>
      </c>
      <c r="U1375" s="2">
        <f>U1374+IF(N1375="已下單",1,0)</f>
        <v/>
      </c>
      <c r="V1375" s="19">
        <f>IF(資金模擬!$B$9=2,MAX(R1375,0),MAX(V1374,FLOOR(MAX(R1375,0),資金模擬!$B$6)))</f>
        <v/>
      </c>
      <c r="W1375" s="13">
        <f>MAX(W1374,R1375)</f>
        <v/>
      </c>
      <c r="X1375" s="4">
        <f>IF(W1375&gt;0,R1375/W1375-1,-1)</f>
        <v/>
      </c>
      <c r="Y1375" s="19">
        <f>IF(R1375&gt;0,S1375*資金模擬!$B$7/R1375,0)</f>
        <v/>
      </c>
      <c r="Z1375" s="2">
        <f>IF(OR(Z1374=1,R1375&lt;=資金模擬!$B$10),1,0)</f>
        <v/>
      </c>
    </row>
    <row r="1376">
      <c r="A1376" s="2" t="n">
        <v>1374</v>
      </c>
      <c r="B1376" s="7" t="n">
        <v>46303.125</v>
      </c>
      <c r="C1376" s="2" t="inlineStr">
        <is>
          <t>出場</t>
        </is>
      </c>
      <c r="D1376" s="2" t="n">
        <v>682</v>
      </c>
      <c r="E1376" s="2" t="inlineStr">
        <is>
          <t>NEAR_USDT_PERP</t>
        </is>
      </c>
      <c r="F1376" s="2" t="inlineStr">
        <is>
          <t>做空</t>
        </is>
      </c>
      <c r="G1376" s="20" t="n">
        <v>4.979</v>
      </c>
      <c r="H1376" s="20" t="n">
        <v>4.82963</v>
      </c>
      <c r="I1376" s="20" t="n">
        <v>5.22795</v>
      </c>
      <c r="J1376" s="20" t="n">
        <v>5.22795</v>
      </c>
      <c r="K1376" s="2" t="inlineStr">
        <is>
          <t>止損</t>
        </is>
      </c>
      <c r="L1376" s="5">
        <f>交易明細!K683</f>
        <v/>
      </c>
      <c r="M1376" s="19">
        <f>M1359</f>
        <v/>
      </c>
      <c r="N1376" s="2">
        <f>N1359</f>
        <v/>
      </c>
      <c r="O1376" s="19">
        <f>O1359</f>
        <v/>
      </c>
      <c r="P1376" s="4">
        <f>交易明細!L683</f>
        <v/>
      </c>
      <c r="Q1376" s="13">
        <f>IF(N1376="已下單",O1376*P1376,0)</f>
        <v/>
      </c>
      <c r="R1376" s="13">
        <f>R1375+Q1376</f>
        <v/>
      </c>
      <c r="S1376" s="19">
        <f>S1375-IF(N1376="已下單",M1376,0)</f>
        <v/>
      </c>
      <c r="T1376" s="19">
        <f>R1376-S1376</f>
        <v/>
      </c>
      <c r="U1376" s="2">
        <f>U1375-IF(N1376="已下單",1,0)</f>
        <v/>
      </c>
      <c r="V1376" s="19">
        <f>IF(資金模擬!$B$9=2,MAX(R1376,0),MAX(V1375,FLOOR(MAX(R1376,0),資金模擬!$B$6)))</f>
        <v/>
      </c>
      <c r="W1376" s="13">
        <f>MAX(W1375,R1376)</f>
        <v/>
      </c>
      <c r="X1376" s="4">
        <f>IF(W1376&gt;0,R1376/W1376-1,-1)</f>
        <v/>
      </c>
      <c r="Y1376" s="19">
        <f>IF(R1376&gt;0,S1376*資金模擬!$B$7/R1376,0)</f>
        <v/>
      </c>
      <c r="Z1376" s="2">
        <f>IF(OR(Z1375=1,R1376&lt;=資金模擬!$B$10),1,0)</f>
        <v/>
      </c>
    </row>
    <row r="1377">
      <c r="A1377" s="2" t="n">
        <v>1375</v>
      </c>
      <c r="B1377" s="7" t="n">
        <v>46303.125</v>
      </c>
      <c r="C1377" s="2" t="inlineStr">
        <is>
          <t>出場</t>
        </is>
      </c>
      <c r="D1377" s="2" t="n">
        <v>686</v>
      </c>
      <c r="E1377" s="2" t="inlineStr">
        <is>
          <t>PUMP_USDT_PERP</t>
        </is>
      </c>
      <c r="F1377" s="2" t="inlineStr">
        <is>
          <t>做空</t>
        </is>
      </c>
      <c r="G1377" s="20" t="n">
        <v>0.006048</v>
      </c>
      <c r="H1377" s="20" t="n">
        <v>0.00586656</v>
      </c>
      <c r="I1377" s="20" t="n">
        <v>0.006350400000000001</v>
      </c>
      <c r="J1377" s="20" t="n">
        <v>0.006350400000000001</v>
      </c>
      <c r="K1377" s="2" t="inlineStr">
        <is>
          <t>止損</t>
        </is>
      </c>
      <c r="L1377" s="5">
        <f>交易明細!K687</f>
        <v/>
      </c>
      <c r="M1377" s="19">
        <f>M1372</f>
        <v/>
      </c>
      <c r="N1377" s="2">
        <f>N1372</f>
        <v/>
      </c>
      <c r="O1377" s="19">
        <f>O1372</f>
        <v/>
      </c>
      <c r="P1377" s="4">
        <f>交易明細!L687</f>
        <v/>
      </c>
      <c r="Q1377" s="13">
        <f>IF(N1377="已下單",O1377*P1377,0)</f>
        <v/>
      </c>
      <c r="R1377" s="13">
        <f>R1376+Q1377</f>
        <v/>
      </c>
      <c r="S1377" s="19">
        <f>S1376-IF(N1377="已下單",M1377,0)</f>
        <v/>
      </c>
      <c r="T1377" s="19">
        <f>R1377-S1377</f>
        <v/>
      </c>
      <c r="U1377" s="2">
        <f>U1376-IF(N1377="已下單",1,0)</f>
        <v/>
      </c>
      <c r="V1377" s="19">
        <f>IF(資金模擬!$B$9=2,MAX(R1377,0),MAX(V1376,FLOOR(MAX(R1377,0),資金模擬!$B$6)))</f>
        <v/>
      </c>
      <c r="W1377" s="13">
        <f>MAX(W1376,R1377)</f>
        <v/>
      </c>
      <c r="X1377" s="4">
        <f>IF(W1377&gt;0,R1377/W1377-1,-1)</f>
        <v/>
      </c>
      <c r="Y1377" s="19">
        <f>IF(R1377&gt;0,S1377*資金模擬!$B$7/R1377,0)</f>
        <v/>
      </c>
      <c r="Z1377" s="2">
        <f>IF(OR(Z1376=1,R1377&lt;=資金模擬!$B$10),1,0)</f>
        <v/>
      </c>
    </row>
    <row r="1378">
      <c r="A1378" s="2" t="n">
        <v>1376</v>
      </c>
      <c r="B1378" s="7" t="n">
        <v>46303.20833333334</v>
      </c>
      <c r="C1378" s="2" t="inlineStr">
        <is>
          <t>出場</t>
        </is>
      </c>
      <c r="D1378" s="2" t="n">
        <v>688</v>
      </c>
      <c r="E1378" s="2" t="inlineStr">
        <is>
          <t>PONS_USDT_PERP</t>
        </is>
      </c>
      <c r="F1378" s="2" t="inlineStr">
        <is>
          <t>做多</t>
        </is>
      </c>
      <c r="G1378" s="20" t="n">
        <v>0.4106</v>
      </c>
      <c r="H1378" s="20" t="n">
        <v>0.422918</v>
      </c>
      <c r="I1378" s="20" t="n">
        <v>0.39007</v>
      </c>
      <c r="J1378" s="20" t="n">
        <v>0.39007</v>
      </c>
      <c r="K1378" s="2" t="inlineStr">
        <is>
          <t>止損</t>
        </is>
      </c>
      <c r="L1378" s="5">
        <f>交易明細!K689</f>
        <v/>
      </c>
      <c r="M1378" s="19">
        <f>M1375</f>
        <v/>
      </c>
      <c r="N1378" s="2">
        <f>N1375</f>
        <v/>
      </c>
      <c r="O1378" s="19">
        <f>O1375</f>
        <v/>
      </c>
      <c r="P1378" s="4">
        <f>交易明細!L689</f>
        <v/>
      </c>
      <c r="Q1378" s="13">
        <f>IF(N1378="已下單",O1378*P1378,0)</f>
        <v/>
      </c>
      <c r="R1378" s="13">
        <f>R1377+Q1378</f>
        <v/>
      </c>
      <c r="S1378" s="19">
        <f>S1377-IF(N1378="已下單",M1378,0)</f>
        <v/>
      </c>
      <c r="T1378" s="19">
        <f>R1378-S1378</f>
        <v/>
      </c>
      <c r="U1378" s="2">
        <f>U1377-IF(N1378="已下單",1,0)</f>
        <v/>
      </c>
      <c r="V1378" s="19">
        <f>IF(資金模擬!$B$9=2,MAX(R1378,0),MAX(V1377,FLOOR(MAX(R1378,0),資金模擬!$B$6)))</f>
        <v/>
      </c>
      <c r="W1378" s="13">
        <f>MAX(W1377,R1378)</f>
        <v/>
      </c>
      <c r="X1378" s="4">
        <f>IF(W1378&gt;0,R1378/W1378-1,-1)</f>
        <v/>
      </c>
      <c r="Y1378" s="19">
        <f>IF(R1378&gt;0,S1378*資金模擬!$B$7/R1378,0)</f>
        <v/>
      </c>
      <c r="Z1378" s="2">
        <f>IF(OR(Z1377=1,R1378&lt;=資金模擬!$B$10),1,0)</f>
        <v/>
      </c>
    </row>
    <row r="1379">
      <c r="A1379" s="2" t="n">
        <v>1377</v>
      </c>
      <c r="B1379" s="7" t="n">
        <v>46303.25</v>
      </c>
      <c r="C1379" s="2" t="inlineStr">
        <is>
          <t>進場</t>
        </is>
      </c>
      <c r="D1379" s="2" t="n">
        <v>689</v>
      </c>
      <c r="E1379" s="2" t="inlineStr">
        <is>
          <t>PUMP_USDT_PERP</t>
        </is>
      </c>
      <c r="F1379" s="2" t="inlineStr">
        <is>
          <t>做空</t>
        </is>
      </c>
      <c r="G1379" s="20" t="n">
        <v>0.006115</v>
      </c>
      <c r="H1379" s="20" t="n">
        <v>0.00593155</v>
      </c>
      <c r="I1379" s="20" t="n">
        <v>0.00642075</v>
      </c>
      <c r="J1379" s="20" t="n"/>
      <c r="K1379" s="2" t="n"/>
      <c r="L1379" s="5" t="n"/>
      <c r="M1379" s="19">
        <f>資金模擬!$B$5*V1378</f>
        <v/>
      </c>
      <c r="N1379" s="2">
        <f>IF(Z1378=1,"已停止",IF(T1378&gt;=M1379,"已下單","資金不足略過"))</f>
        <v/>
      </c>
      <c r="O1379" s="19">
        <f>IF(N1379="已下單",M1379*資金模擬!$B$7,0)</f>
        <v/>
      </c>
      <c r="P1379" s="4" t="n"/>
      <c r="Q1379" s="13" t="n">
        <v>0</v>
      </c>
      <c r="R1379" s="13">
        <f>R1378+Q1379</f>
        <v/>
      </c>
      <c r="S1379" s="19">
        <f>S1378+IF(N1379="已下單",M1379,0)</f>
        <v/>
      </c>
      <c r="T1379" s="19">
        <f>R1379-S1379</f>
        <v/>
      </c>
      <c r="U1379" s="2">
        <f>U1378+IF(N1379="已下單",1,0)</f>
        <v/>
      </c>
      <c r="V1379" s="19">
        <f>IF(資金模擬!$B$9=2,MAX(R1379,0),MAX(V1378,FLOOR(MAX(R1379,0),資金模擬!$B$6)))</f>
        <v/>
      </c>
      <c r="W1379" s="13">
        <f>MAX(W1378,R1379)</f>
        <v/>
      </c>
      <c r="X1379" s="4">
        <f>IF(W1379&gt;0,R1379/W1379-1,-1)</f>
        <v/>
      </c>
      <c r="Y1379" s="19">
        <f>IF(R1379&gt;0,S1379*資金模擬!$B$7/R1379,0)</f>
        <v/>
      </c>
      <c r="Z1379" s="2">
        <f>IF(OR(Z1378=1,R1379&lt;=資金模擬!$B$10),1,0)</f>
        <v/>
      </c>
    </row>
    <row r="1380">
      <c r="A1380" s="2" t="n">
        <v>1378</v>
      </c>
      <c r="B1380" s="7" t="n">
        <v>46303.29166666666</v>
      </c>
      <c r="C1380" s="2" t="inlineStr">
        <is>
          <t>進場</t>
        </is>
      </c>
      <c r="D1380" s="2" t="n">
        <v>690</v>
      </c>
      <c r="E1380" s="2" t="inlineStr">
        <is>
          <t>ZRO_USDT_PERP</t>
        </is>
      </c>
      <c r="F1380" s="2" t="inlineStr">
        <is>
          <t>做多</t>
        </is>
      </c>
      <c r="G1380" s="20" t="n">
        <v>2.227</v>
      </c>
      <c r="H1380" s="20" t="n">
        <v>2.29381</v>
      </c>
      <c r="I1380" s="20" t="n">
        <v>2.11565</v>
      </c>
      <c r="J1380" s="20" t="n"/>
      <c r="K1380" s="2" t="n"/>
      <c r="L1380" s="5" t="n"/>
      <c r="M1380" s="19">
        <f>資金模擬!$B$5*V1379</f>
        <v/>
      </c>
      <c r="N1380" s="2">
        <f>IF(Z1379=1,"已停止",IF(T1379&gt;=M1380,"已下單","資金不足略過"))</f>
        <v/>
      </c>
      <c r="O1380" s="19">
        <f>IF(N1380="已下單",M1380*資金模擬!$B$7,0)</f>
        <v/>
      </c>
      <c r="P1380" s="4" t="n"/>
      <c r="Q1380" s="13" t="n">
        <v>0</v>
      </c>
      <c r="R1380" s="13">
        <f>R1379+Q1380</f>
        <v/>
      </c>
      <c r="S1380" s="19">
        <f>S1379+IF(N1380="已下單",M1380,0)</f>
        <v/>
      </c>
      <c r="T1380" s="19">
        <f>R1380-S1380</f>
        <v/>
      </c>
      <c r="U1380" s="2">
        <f>U1379+IF(N1380="已下單",1,0)</f>
        <v/>
      </c>
      <c r="V1380" s="19">
        <f>IF(資金模擬!$B$9=2,MAX(R1380,0),MAX(V1379,FLOOR(MAX(R1380,0),資金模擬!$B$6)))</f>
        <v/>
      </c>
      <c r="W1380" s="13">
        <f>MAX(W1379,R1380)</f>
        <v/>
      </c>
      <c r="X1380" s="4">
        <f>IF(W1380&gt;0,R1380/W1380-1,-1)</f>
        <v/>
      </c>
      <c r="Y1380" s="19">
        <f>IF(R1380&gt;0,S1380*資金模擬!$B$7/R1380,0)</f>
        <v/>
      </c>
      <c r="Z1380" s="2">
        <f>IF(OR(Z1379=1,R1380&lt;=資金模擬!$B$10),1,0)</f>
        <v/>
      </c>
    </row>
    <row r="1381">
      <c r="A1381" s="2" t="n">
        <v>1379</v>
      </c>
      <c r="B1381" s="7" t="n">
        <v>46303.41666666666</v>
      </c>
      <c r="C1381" s="2" t="inlineStr">
        <is>
          <t>進場</t>
        </is>
      </c>
      <c r="D1381" s="2" t="n">
        <v>691</v>
      </c>
      <c r="E1381" s="2" t="inlineStr">
        <is>
          <t>PONS_USDT_PERP</t>
        </is>
      </c>
      <c r="F1381" s="2" t="inlineStr">
        <is>
          <t>做空</t>
        </is>
      </c>
      <c r="G1381" s="20" t="n">
        <v>0.3795</v>
      </c>
      <c r="H1381" s="20" t="n">
        <v>0.368115</v>
      </c>
      <c r="I1381" s="20" t="n">
        <v>0.398475</v>
      </c>
      <c r="J1381" s="20" t="n"/>
      <c r="K1381" s="2" t="n"/>
      <c r="L1381" s="5" t="n"/>
      <c r="M1381" s="19">
        <f>資金模擬!$B$5*V1380</f>
        <v/>
      </c>
      <c r="N1381" s="2">
        <f>IF(Z1380=1,"已停止",IF(T1380&gt;=M1381,"已下單","資金不足略過"))</f>
        <v/>
      </c>
      <c r="O1381" s="19">
        <f>IF(N1381="已下單",M1381*資金模擬!$B$7,0)</f>
        <v/>
      </c>
      <c r="P1381" s="4" t="n"/>
      <c r="Q1381" s="13" t="n">
        <v>0</v>
      </c>
      <c r="R1381" s="13">
        <f>R1380+Q1381</f>
        <v/>
      </c>
      <c r="S1381" s="19">
        <f>S1380+IF(N1381="已下單",M1381,0)</f>
        <v/>
      </c>
      <c r="T1381" s="19">
        <f>R1381-S1381</f>
        <v/>
      </c>
      <c r="U1381" s="2">
        <f>U1380+IF(N1381="已下單",1,0)</f>
        <v/>
      </c>
      <c r="V1381" s="19">
        <f>IF(資金模擬!$B$9=2,MAX(R1381,0),MAX(V1380,FLOOR(MAX(R1381,0),資金模擬!$B$6)))</f>
        <v/>
      </c>
      <c r="W1381" s="13">
        <f>MAX(W1380,R1381)</f>
        <v/>
      </c>
      <c r="X1381" s="4">
        <f>IF(W1381&gt;0,R1381/W1381-1,-1)</f>
        <v/>
      </c>
      <c r="Y1381" s="19">
        <f>IF(R1381&gt;0,S1381*資金模擬!$B$7/R1381,0)</f>
        <v/>
      </c>
      <c r="Z1381" s="2">
        <f>IF(OR(Z1380=1,R1381&lt;=資金模擬!$B$10),1,0)</f>
        <v/>
      </c>
    </row>
    <row r="1382">
      <c r="A1382" s="2" t="n">
        <v>1380</v>
      </c>
      <c r="B1382" s="7" t="n">
        <v>46303.45833333334</v>
      </c>
      <c r="C1382" s="2" t="inlineStr">
        <is>
          <t>出場</t>
        </is>
      </c>
      <c r="D1382" s="2" t="n">
        <v>691</v>
      </c>
      <c r="E1382" s="2" t="inlineStr">
        <is>
          <t>PONS_USDT_PERP</t>
        </is>
      </c>
      <c r="F1382" s="2" t="inlineStr">
        <is>
          <t>做空</t>
        </is>
      </c>
      <c r="G1382" s="20" t="n">
        <v>0.3795</v>
      </c>
      <c r="H1382" s="20" t="n">
        <v>0.368115</v>
      </c>
      <c r="I1382" s="20" t="n">
        <v>0.398475</v>
      </c>
      <c r="J1382" s="20" t="n">
        <v>0.398475</v>
      </c>
      <c r="K1382" s="2" t="inlineStr">
        <is>
          <t>止損</t>
        </is>
      </c>
      <c r="L1382" s="5">
        <f>交易明細!K692</f>
        <v/>
      </c>
      <c r="M1382" s="19">
        <f>M1381</f>
        <v/>
      </c>
      <c r="N1382" s="2">
        <f>N1381</f>
        <v/>
      </c>
      <c r="O1382" s="19">
        <f>O1381</f>
        <v/>
      </c>
      <c r="P1382" s="4">
        <f>交易明細!L692</f>
        <v/>
      </c>
      <c r="Q1382" s="13">
        <f>IF(N1382="已下單",O1382*P1382,0)</f>
        <v/>
      </c>
      <c r="R1382" s="13">
        <f>R1381+Q1382</f>
        <v/>
      </c>
      <c r="S1382" s="19">
        <f>S1381-IF(N1382="已下單",M1382,0)</f>
        <v/>
      </c>
      <c r="T1382" s="19">
        <f>R1382-S1382</f>
        <v/>
      </c>
      <c r="U1382" s="2">
        <f>U1381-IF(N1382="已下單",1,0)</f>
        <v/>
      </c>
      <c r="V1382" s="19">
        <f>IF(資金模擬!$B$9=2,MAX(R1382,0),MAX(V1381,FLOOR(MAX(R1382,0),資金模擬!$B$6)))</f>
        <v/>
      </c>
      <c r="W1382" s="13">
        <f>MAX(W1381,R1382)</f>
        <v/>
      </c>
      <c r="X1382" s="4">
        <f>IF(W1382&gt;0,R1382/W1382-1,-1)</f>
        <v/>
      </c>
      <c r="Y1382" s="19">
        <f>IF(R1382&gt;0,S1382*資金模擬!$B$7/R1382,0)</f>
        <v/>
      </c>
      <c r="Z1382" s="2">
        <f>IF(OR(Z1381=1,R1382&lt;=資金模擬!$B$10),1,0)</f>
        <v/>
      </c>
    </row>
    <row r="1383">
      <c r="A1383" s="2" t="n">
        <v>1381</v>
      </c>
      <c r="B1383" s="7" t="n">
        <v>46303.45833333334</v>
      </c>
      <c r="C1383" s="2" t="inlineStr">
        <is>
          <t>進場</t>
        </is>
      </c>
      <c r="D1383" s="2" t="n">
        <v>692</v>
      </c>
      <c r="E1383" s="2" t="inlineStr">
        <is>
          <t>NMR_USDT_PERP</t>
        </is>
      </c>
      <c r="F1383" s="2" t="inlineStr">
        <is>
          <t>做空</t>
        </is>
      </c>
      <c r="G1383" s="20" t="n">
        <v>14.521</v>
      </c>
      <c r="H1383" s="20" t="n">
        <v>14.08537</v>
      </c>
      <c r="I1383" s="20" t="n">
        <v>15.24705</v>
      </c>
      <c r="J1383" s="20" t="n"/>
      <c r="K1383" s="2" t="n"/>
      <c r="L1383" s="5" t="n"/>
      <c r="M1383" s="19">
        <f>資金模擬!$B$5*V1382</f>
        <v/>
      </c>
      <c r="N1383" s="2">
        <f>IF(Z1382=1,"已停止",IF(T1382&gt;=M1383,"已下單","資金不足略過"))</f>
        <v/>
      </c>
      <c r="O1383" s="19">
        <f>IF(N1383="已下單",M1383*資金模擬!$B$7,0)</f>
        <v/>
      </c>
      <c r="P1383" s="4" t="n"/>
      <c r="Q1383" s="13" t="n">
        <v>0</v>
      </c>
      <c r="R1383" s="13">
        <f>R1382+Q1383</f>
        <v/>
      </c>
      <c r="S1383" s="19">
        <f>S1382+IF(N1383="已下單",M1383,0)</f>
        <v/>
      </c>
      <c r="T1383" s="19">
        <f>R1383-S1383</f>
        <v/>
      </c>
      <c r="U1383" s="2">
        <f>U1382+IF(N1383="已下單",1,0)</f>
        <v/>
      </c>
      <c r="V1383" s="19">
        <f>IF(資金模擬!$B$9=2,MAX(R1383,0),MAX(V1382,FLOOR(MAX(R1383,0),資金模擬!$B$6)))</f>
        <v/>
      </c>
      <c r="W1383" s="13">
        <f>MAX(W1382,R1383)</f>
        <v/>
      </c>
      <c r="X1383" s="4">
        <f>IF(W1383&gt;0,R1383/W1383-1,-1)</f>
        <v/>
      </c>
      <c r="Y1383" s="19">
        <f>IF(R1383&gt;0,S1383*資金模擬!$B$7/R1383,0)</f>
        <v/>
      </c>
      <c r="Z1383" s="2">
        <f>IF(OR(Z1382=1,R1383&lt;=資金模擬!$B$10),1,0)</f>
        <v/>
      </c>
    </row>
    <row r="1384">
      <c r="A1384" s="2" t="n">
        <v>1382</v>
      </c>
      <c r="B1384" s="7" t="n">
        <v>46303.5</v>
      </c>
      <c r="C1384" s="2" t="inlineStr">
        <is>
          <t>出場</t>
        </is>
      </c>
      <c r="D1384" s="2" t="n">
        <v>692</v>
      </c>
      <c r="E1384" s="2" t="inlineStr">
        <is>
          <t>NMR_USDT_PERP</t>
        </is>
      </c>
      <c r="F1384" s="2" t="inlineStr">
        <is>
          <t>做空</t>
        </is>
      </c>
      <c r="G1384" s="20" t="n">
        <v>14.521</v>
      </c>
      <c r="H1384" s="20" t="n">
        <v>14.08537</v>
      </c>
      <c r="I1384" s="20" t="n">
        <v>15.24705</v>
      </c>
      <c r="J1384" s="20" t="n">
        <v>14.08537</v>
      </c>
      <c r="K1384" s="2" t="inlineStr">
        <is>
          <t>止盈</t>
        </is>
      </c>
      <c r="L1384" s="5">
        <f>交易明細!K693</f>
        <v/>
      </c>
      <c r="M1384" s="19">
        <f>M1383</f>
        <v/>
      </c>
      <c r="N1384" s="2">
        <f>N1383</f>
        <v/>
      </c>
      <c r="O1384" s="19">
        <f>O1383</f>
        <v/>
      </c>
      <c r="P1384" s="4">
        <f>交易明細!L693</f>
        <v/>
      </c>
      <c r="Q1384" s="13">
        <f>IF(N1384="已下單",O1384*P1384,0)</f>
        <v/>
      </c>
      <c r="R1384" s="13">
        <f>R1383+Q1384</f>
        <v/>
      </c>
      <c r="S1384" s="19">
        <f>S1383-IF(N1384="已下單",M1384,0)</f>
        <v/>
      </c>
      <c r="T1384" s="19">
        <f>R1384-S1384</f>
        <v/>
      </c>
      <c r="U1384" s="2">
        <f>U1383-IF(N1384="已下單",1,0)</f>
        <v/>
      </c>
      <c r="V1384" s="19">
        <f>IF(資金模擬!$B$9=2,MAX(R1384,0),MAX(V1383,FLOOR(MAX(R1384,0),資金模擬!$B$6)))</f>
        <v/>
      </c>
      <c r="W1384" s="13">
        <f>MAX(W1383,R1384)</f>
        <v/>
      </c>
      <c r="X1384" s="4">
        <f>IF(W1384&gt;0,R1384/W1384-1,-1)</f>
        <v/>
      </c>
      <c r="Y1384" s="19">
        <f>IF(R1384&gt;0,S1384*資金模擬!$B$7/R1384,0)</f>
        <v/>
      </c>
      <c r="Z1384" s="2">
        <f>IF(OR(Z1383=1,R1384&lt;=資金模擬!$B$10),1,0)</f>
        <v/>
      </c>
    </row>
    <row r="1385">
      <c r="A1385" s="2" t="n">
        <v>1383</v>
      </c>
      <c r="B1385" s="7" t="n">
        <v>46303.54166666666</v>
      </c>
      <c r="C1385" s="2" t="inlineStr">
        <is>
          <t>出場</t>
        </is>
      </c>
      <c r="D1385" s="2" t="n">
        <v>689</v>
      </c>
      <c r="E1385" s="2" t="inlineStr">
        <is>
          <t>PUMP_USDT_PERP</t>
        </is>
      </c>
      <c r="F1385" s="2" t="inlineStr">
        <is>
          <t>做空</t>
        </is>
      </c>
      <c r="G1385" s="20" t="n">
        <v>0.006115</v>
      </c>
      <c r="H1385" s="20" t="n">
        <v>0.00593155</v>
      </c>
      <c r="I1385" s="20" t="n">
        <v>0.00642075</v>
      </c>
      <c r="J1385" s="20" t="n">
        <v>0.00593155</v>
      </c>
      <c r="K1385" s="2" t="inlineStr">
        <is>
          <t>止盈</t>
        </is>
      </c>
      <c r="L1385" s="5">
        <f>交易明細!K690</f>
        <v/>
      </c>
      <c r="M1385" s="19">
        <f>M1379</f>
        <v/>
      </c>
      <c r="N1385" s="2">
        <f>N1379</f>
        <v/>
      </c>
      <c r="O1385" s="19">
        <f>O1379</f>
        <v/>
      </c>
      <c r="P1385" s="4">
        <f>交易明細!L690</f>
        <v/>
      </c>
      <c r="Q1385" s="13">
        <f>IF(N1385="已下單",O1385*P1385,0)</f>
        <v/>
      </c>
      <c r="R1385" s="13">
        <f>R1384+Q1385</f>
        <v/>
      </c>
      <c r="S1385" s="19">
        <f>S1384-IF(N1385="已下單",M1385,0)</f>
        <v/>
      </c>
      <c r="T1385" s="19">
        <f>R1385-S1385</f>
        <v/>
      </c>
      <c r="U1385" s="2">
        <f>U1384-IF(N1385="已下單",1,0)</f>
        <v/>
      </c>
      <c r="V1385" s="19">
        <f>IF(資金模擬!$B$9=2,MAX(R1385,0),MAX(V1384,FLOOR(MAX(R1385,0),資金模擬!$B$6)))</f>
        <v/>
      </c>
      <c r="W1385" s="13">
        <f>MAX(W1384,R1385)</f>
        <v/>
      </c>
      <c r="X1385" s="4">
        <f>IF(W1385&gt;0,R1385/W1385-1,-1)</f>
        <v/>
      </c>
      <c r="Y1385" s="19">
        <f>IF(R1385&gt;0,S1385*資金模擬!$B$7/R1385,0)</f>
        <v/>
      </c>
      <c r="Z1385" s="2">
        <f>IF(OR(Z1384=1,R1385&lt;=資金模擬!$B$10),1,0)</f>
        <v/>
      </c>
    </row>
    <row r="1386">
      <c r="A1386" s="2" t="n">
        <v>1384</v>
      </c>
      <c r="B1386" s="7" t="n">
        <v>46303.54166666666</v>
      </c>
      <c r="C1386" s="2" t="inlineStr">
        <is>
          <t>出場</t>
        </is>
      </c>
      <c r="D1386" s="2" t="n">
        <v>690</v>
      </c>
      <c r="E1386" s="2" t="inlineStr">
        <is>
          <t>ZRO_USDT_PERP</t>
        </is>
      </c>
      <c r="F1386" s="2" t="inlineStr">
        <is>
          <t>做多</t>
        </is>
      </c>
      <c r="G1386" s="20" t="n">
        <v>2.227</v>
      </c>
      <c r="H1386" s="20" t="n">
        <v>2.29381</v>
      </c>
      <c r="I1386" s="20" t="n">
        <v>2.11565</v>
      </c>
      <c r="J1386" s="20" t="n">
        <v>2.11565</v>
      </c>
      <c r="K1386" s="2" t="inlineStr">
        <is>
          <t>止損</t>
        </is>
      </c>
      <c r="L1386" s="5">
        <f>交易明細!K691</f>
        <v/>
      </c>
      <c r="M1386" s="19">
        <f>M1380</f>
        <v/>
      </c>
      <c r="N1386" s="2">
        <f>N1380</f>
        <v/>
      </c>
      <c r="O1386" s="19">
        <f>O1380</f>
        <v/>
      </c>
      <c r="P1386" s="4">
        <f>交易明細!L691</f>
        <v/>
      </c>
      <c r="Q1386" s="13">
        <f>IF(N1386="已下單",O1386*P1386,0)</f>
        <v/>
      </c>
      <c r="R1386" s="13">
        <f>R1385+Q1386</f>
        <v/>
      </c>
      <c r="S1386" s="19">
        <f>S1385-IF(N1386="已下單",M1386,0)</f>
        <v/>
      </c>
      <c r="T1386" s="19">
        <f>R1386-S1386</f>
        <v/>
      </c>
      <c r="U1386" s="2">
        <f>U1385-IF(N1386="已下單",1,0)</f>
        <v/>
      </c>
      <c r="V1386" s="19">
        <f>IF(資金模擬!$B$9=2,MAX(R1386,0),MAX(V1385,FLOOR(MAX(R1386,0),資金模擬!$B$6)))</f>
        <v/>
      </c>
      <c r="W1386" s="13">
        <f>MAX(W1385,R1386)</f>
        <v/>
      </c>
      <c r="X1386" s="4">
        <f>IF(W1386&gt;0,R1386/W1386-1,-1)</f>
        <v/>
      </c>
      <c r="Y1386" s="19">
        <f>IF(R1386&gt;0,S1386*資金模擬!$B$7/R1386,0)</f>
        <v/>
      </c>
      <c r="Z1386" s="2">
        <f>IF(OR(Z1385=1,R1386&lt;=資金模擬!$B$10),1,0)</f>
        <v/>
      </c>
    </row>
    <row r="1387">
      <c r="A1387" s="2" t="n">
        <v>1385</v>
      </c>
      <c r="B1387" s="7" t="n">
        <v>46303.58333333334</v>
      </c>
      <c r="C1387" s="2" t="inlineStr">
        <is>
          <t>進場</t>
        </is>
      </c>
      <c r="D1387" s="2" t="n">
        <v>693</v>
      </c>
      <c r="E1387" s="2" t="inlineStr">
        <is>
          <t>BR_USDT_PERP</t>
        </is>
      </c>
      <c r="F1387" s="2" t="inlineStr">
        <is>
          <t>做空</t>
        </is>
      </c>
      <c r="G1387" s="20" t="n">
        <v>0.49247</v>
      </c>
      <c r="H1387" s="20" t="n">
        <v>0.4776959</v>
      </c>
      <c r="I1387" s="20" t="n">
        <v>0.5170935000000001</v>
      </c>
      <c r="J1387" s="20" t="n"/>
      <c r="K1387" s="2" t="n"/>
      <c r="L1387" s="5" t="n"/>
      <c r="M1387" s="19">
        <f>資金模擬!$B$5*V1386</f>
        <v/>
      </c>
      <c r="N1387" s="2">
        <f>IF(Z1386=1,"已停止",IF(T1386&gt;=M1387,"已下單","資金不足略過"))</f>
        <v/>
      </c>
      <c r="O1387" s="19">
        <f>IF(N1387="已下單",M1387*資金模擬!$B$7,0)</f>
        <v/>
      </c>
      <c r="P1387" s="4" t="n"/>
      <c r="Q1387" s="13" t="n">
        <v>0</v>
      </c>
      <c r="R1387" s="13">
        <f>R1386+Q1387</f>
        <v/>
      </c>
      <c r="S1387" s="19">
        <f>S1386+IF(N1387="已下單",M1387,0)</f>
        <v/>
      </c>
      <c r="T1387" s="19">
        <f>R1387-S1387</f>
        <v/>
      </c>
      <c r="U1387" s="2">
        <f>U1386+IF(N1387="已下單",1,0)</f>
        <v/>
      </c>
      <c r="V1387" s="19">
        <f>IF(資金模擬!$B$9=2,MAX(R1387,0),MAX(V1386,FLOOR(MAX(R1387,0),資金模擬!$B$6)))</f>
        <v/>
      </c>
      <c r="W1387" s="13">
        <f>MAX(W1386,R1387)</f>
        <v/>
      </c>
      <c r="X1387" s="4">
        <f>IF(W1387&gt;0,R1387/W1387-1,-1)</f>
        <v/>
      </c>
      <c r="Y1387" s="19">
        <f>IF(R1387&gt;0,S1387*資金模擬!$B$7/R1387,0)</f>
        <v/>
      </c>
      <c r="Z1387" s="2">
        <f>IF(OR(Z1386=1,R1387&lt;=資金模擬!$B$10),1,0)</f>
        <v/>
      </c>
    </row>
    <row r="1388">
      <c r="A1388" s="2" t="n">
        <v>1386</v>
      </c>
      <c r="B1388" s="7" t="n">
        <v>46303.625</v>
      </c>
      <c r="C1388" s="2" t="inlineStr">
        <is>
          <t>進場</t>
        </is>
      </c>
      <c r="D1388" s="2" t="n">
        <v>694</v>
      </c>
      <c r="E1388" s="2" t="inlineStr">
        <is>
          <t>MOVR_USDT_PERP</t>
        </is>
      </c>
      <c r="F1388" s="2" t="inlineStr">
        <is>
          <t>做空</t>
        </is>
      </c>
      <c r="G1388" s="20" t="n">
        <v>1.911</v>
      </c>
      <c r="H1388" s="20" t="n">
        <v>1.85367</v>
      </c>
      <c r="I1388" s="20" t="n">
        <v>2.00655</v>
      </c>
      <c r="J1388" s="20" t="n"/>
      <c r="K1388" s="2" t="n"/>
      <c r="L1388" s="5" t="n"/>
      <c r="M1388" s="19">
        <f>資金模擬!$B$5*V1387</f>
        <v/>
      </c>
      <c r="N1388" s="2">
        <f>IF(Z1387=1,"已停止",IF(T1387&gt;=M1388,"已下單","資金不足略過"))</f>
        <v/>
      </c>
      <c r="O1388" s="19">
        <f>IF(N1388="已下單",M1388*資金模擬!$B$7,0)</f>
        <v/>
      </c>
      <c r="P1388" s="4" t="n"/>
      <c r="Q1388" s="13" t="n">
        <v>0</v>
      </c>
      <c r="R1388" s="13">
        <f>R1387+Q1388</f>
        <v/>
      </c>
      <c r="S1388" s="19">
        <f>S1387+IF(N1388="已下單",M1388,0)</f>
        <v/>
      </c>
      <c r="T1388" s="19">
        <f>R1388-S1388</f>
        <v/>
      </c>
      <c r="U1388" s="2">
        <f>U1387+IF(N1388="已下單",1,0)</f>
        <v/>
      </c>
      <c r="V1388" s="19">
        <f>IF(資金模擬!$B$9=2,MAX(R1388,0),MAX(V1387,FLOOR(MAX(R1388,0),資金模擬!$B$6)))</f>
        <v/>
      </c>
      <c r="W1388" s="13">
        <f>MAX(W1387,R1388)</f>
        <v/>
      </c>
      <c r="X1388" s="4">
        <f>IF(W1388&gt;0,R1388/W1388-1,-1)</f>
        <v/>
      </c>
      <c r="Y1388" s="19">
        <f>IF(R1388&gt;0,S1388*資金模擬!$B$7/R1388,0)</f>
        <v/>
      </c>
      <c r="Z1388" s="2">
        <f>IF(OR(Z1387=1,R1388&lt;=資金模擬!$B$10),1,0)</f>
        <v/>
      </c>
    </row>
    <row r="1389">
      <c r="A1389" s="2" t="n">
        <v>1387</v>
      </c>
      <c r="B1389" s="7" t="n">
        <v>46303.625</v>
      </c>
      <c r="C1389" s="2" t="inlineStr">
        <is>
          <t>進場</t>
        </is>
      </c>
      <c r="D1389" s="2" t="n">
        <v>695</v>
      </c>
      <c r="E1389" s="2" t="inlineStr">
        <is>
          <t>NEAR_USDT_PERP</t>
        </is>
      </c>
      <c r="F1389" s="2" t="inlineStr">
        <is>
          <t>做多</t>
        </is>
      </c>
      <c r="G1389" s="20" t="n">
        <v>5.503</v>
      </c>
      <c r="H1389" s="20" t="n">
        <v>5.66809</v>
      </c>
      <c r="I1389" s="20" t="n">
        <v>5.22785</v>
      </c>
      <c r="J1389" s="20" t="n"/>
      <c r="K1389" s="2" t="n"/>
      <c r="L1389" s="5" t="n"/>
      <c r="M1389" s="19">
        <f>資金模擬!$B$5*V1388</f>
        <v/>
      </c>
      <c r="N1389" s="2">
        <f>IF(Z1388=1,"已停止",IF(T1388&gt;=M1389,"已下單","資金不足略過"))</f>
        <v/>
      </c>
      <c r="O1389" s="19">
        <f>IF(N1389="已下單",M1389*資金模擬!$B$7,0)</f>
        <v/>
      </c>
      <c r="P1389" s="4" t="n"/>
      <c r="Q1389" s="13" t="n">
        <v>0</v>
      </c>
      <c r="R1389" s="13">
        <f>R1388+Q1389</f>
        <v/>
      </c>
      <c r="S1389" s="19">
        <f>S1388+IF(N1389="已下單",M1389,0)</f>
        <v/>
      </c>
      <c r="T1389" s="19">
        <f>R1389-S1389</f>
        <v/>
      </c>
      <c r="U1389" s="2">
        <f>U1388+IF(N1389="已下單",1,0)</f>
        <v/>
      </c>
      <c r="V1389" s="19">
        <f>IF(資金模擬!$B$9=2,MAX(R1389,0),MAX(V1388,FLOOR(MAX(R1389,0),資金模擬!$B$6)))</f>
        <v/>
      </c>
      <c r="W1389" s="13">
        <f>MAX(W1388,R1389)</f>
        <v/>
      </c>
      <c r="X1389" s="4">
        <f>IF(W1389&gt;0,R1389/W1389-1,-1)</f>
        <v/>
      </c>
      <c r="Y1389" s="19">
        <f>IF(R1389&gt;0,S1389*資金模擬!$B$7/R1389,0)</f>
        <v/>
      </c>
      <c r="Z1389" s="2">
        <f>IF(OR(Z1388=1,R1389&lt;=資金模擬!$B$10),1,0)</f>
        <v/>
      </c>
    </row>
    <row r="1390">
      <c r="A1390" s="2" t="n">
        <v>1388</v>
      </c>
      <c r="B1390" s="7" t="n">
        <v>46303.625</v>
      </c>
      <c r="C1390" s="2" t="inlineStr">
        <is>
          <t>進場</t>
        </is>
      </c>
      <c r="D1390" s="2" t="n">
        <v>696</v>
      </c>
      <c r="E1390" s="2" t="inlineStr">
        <is>
          <t>RAY_USDT_PERP</t>
        </is>
      </c>
      <c r="F1390" s="2" t="inlineStr">
        <is>
          <t>做多</t>
        </is>
      </c>
      <c r="G1390" s="20" t="n">
        <v>2.499</v>
      </c>
      <c r="H1390" s="20" t="n">
        <v>2.57397</v>
      </c>
      <c r="I1390" s="20" t="n">
        <v>2.37405</v>
      </c>
      <c r="J1390" s="20" t="n"/>
      <c r="K1390" s="2" t="n"/>
      <c r="L1390" s="5" t="n"/>
      <c r="M1390" s="19">
        <f>資金模擬!$B$5*V1389</f>
        <v/>
      </c>
      <c r="N1390" s="2">
        <f>IF(Z1389=1,"已停止",IF(T1389&gt;=M1390,"已下單","資金不足略過"))</f>
        <v/>
      </c>
      <c r="O1390" s="19">
        <f>IF(N1390="已下單",M1390*資金模擬!$B$7,0)</f>
        <v/>
      </c>
      <c r="P1390" s="4" t="n"/>
      <c r="Q1390" s="13" t="n">
        <v>0</v>
      </c>
      <c r="R1390" s="13">
        <f>R1389+Q1390</f>
        <v/>
      </c>
      <c r="S1390" s="19">
        <f>S1389+IF(N1390="已下單",M1390,0)</f>
        <v/>
      </c>
      <c r="T1390" s="19">
        <f>R1390-S1390</f>
        <v/>
      </c>
      <c r="U1390" s="2">
        <f>U1389+IF(N1390="已下單",1,0)</f>
        <v/>
      </c>
      <c r="V1390" s="19">
        <f>IF(資金模擬!$B$9=2,MAX(R1390,0),MAX(V1389,FLOOR(MAX(R1390,0),資金模擬!$B$6)))</f>
        <v/>
      </c>
      <c r="W1390" s="13">
        <f>MAX(W1389,R1390)</f>
        <v/>
      </c>
      <c r="X1390" s="4">
        <f>IF(W1390&gt;0,R1390/W1390-1,-1)</f>
        <v/>
      </c>
      <c r="Y1390" s="19">
        <f>IF(R1390&gt;0,S1390*資金模擬!$B$7/R1390,0)</f>
        <v/>
      </c>
      <c r="Z1390" s="2">
        <f>IF(OR(Z1389=1,R1390&lt;=資金模擬!$B$10),1,0)</f>
        <v/>
      </c>
    </row>
    <row r="1391">
      <c r="A1391" s="2" t="n">
        <v>1389</v>
      </c>
      <c r="B1391" s="7" t="n">
        <v>46303.70833333334</v>
      </c>
      <c r="C1391" s="2" t="inlineStr">
        <is>
          <t>出場</t>
        </is>
      </c>
      <c r="D1391" s="2" t="n">
        <v>695</v>
      </c>
      <c r="E1391" s="2" t="inlineStr">
        <is>
          <t>NEAR_USDT_PERP</t>
        </is>
      </c>
      <c r="F1391" s="2" t="inlineStr">
        <is>
          <t>做多</t>
        </is>
      </c>
      <c r="G1391" s="20" t="n">
        <v>5.503</v>
      </c>
      <c r="H1391" s="20" t="n">
        <v>5.66809</v>
      </c>
      <c r="I1391" s="20" t="n">
        <v>5.22785</v>
      </c>
      <c r="J1391" s="20" t="n">
        <v>5.22785</v>
      </c>
      <c r="K1391" s="2" t="inlineStr">
        <is>
          <t>止損</t>
        </is>
      </c>
      <c r="L1391" s="5">
        <f>交易明細!K696</f>
        <v/>
      </c>
      <c r="M1391" s="19">
        <f>M1389</f>
        <v/>
      </c>
      <c r="N1391" s="2">
        <f>N1389</f>
        <v/>
      </c>
      <c r="O1391" s="19">
        <f>O1389</f>
        <v/>
      </c>
      <c r="P1391" s="4">
        <f>交易明細!L696</f>
        <v/>
      </c>
      <c r="Q1391" s="13">
        <f>IF(N1391="已下單",O1391*P1391,0)</f>
        <v/>
      </c>
      <c r="R1391" s="13">
        <f>R1390+Q1391</f>
        <v/>
      </c>
      <c r="S1391" s="19">
        <f>S1390-IF(N1391="已下單",M1391,0)</f>
        <v/>
      </c>
      <c r="T1391" s="19">
        <f>R1391-S1391</f>
        <v/>
      </c>
      <c r="U1391" s="2">
        <f>U1390-IF(N1391="已下單",1,0)</f>
        <v/>
      </c>
      <c r="V1391" s="19">
        <f>IF(資金模擬!$B$9=2,MAX(R1391,0),MAX(V1390,FLOOR(MAX(R1391,0),資金模擬!$B$6)))</f>
        <v/>
      </c>
      <c r="W1391" s="13">
        <f>MAX(W1390,R1391)</f>
        <v/>
      </c>
      <c r="X1391" s="4">
        <f>IF(W1391&gt;0,R1391/W1391-1,-1)</f>
        <v/>
      </c>
      <c r="Y1391" s="19">
        <f>IF(R1391&gt;0,S1391*資金模擬!$B$7/R1391,0)</f>
        <v/>
      </c>
      <c r="Z1391" s="2">
        <f>IF(OR(Z1390=1,R1391&lt;=資金模擬!$B$10),1,0)</f>
        <v/>
      </c>
    </row>
    <row r="1392">
      <c r="A1392" s="2" t="n">
        <v>1390</v>
      </c>
      <c r="B1392" s="7" t="n">
        <v>46303.79166666666</v>
      </c>
      <c r="C1392" s="2" t="inlineStr">
        <is>
          <t>進場</t>
        </is>
      </c>
      <c r="D1392" s="2" t="n">
        <v>697</v>
      </c>
      <c r="E1392" s="2" t="inlineStr">
        <is>
          <t>W_USDT_PERP</t>
        </is>
      </c>
      <c r="F1392" s="2" t="inlineStr">
        <is>
          <t>做空</t>
        </is>
      </c>
      <c r="G1392" s="20" t="n">
        <v>0.01588</v>
      </c>
      <c r="H1392" s="20" t="n">
        <v>0.0154036</v>
      </c>
      <c r="I1392" s="20" t="n">
        <v>0.016674</v>
      </c>
      <c r="J1392" s="20" t="n"/>
      <c r="K1392" s="2" t="n"/>
      <c r="L1392" s="5" t="n"/>
      <c r="M1392" s="19">
        <f>資金模擬!$B$5*V1391</f>
        <v/>
      </c>
      <c r="N1392" s="2">
        <f>IF(Z1391=1,"已停止",IF(T1391&gt;=M1392,"已下單","資金不足略過"))</f>
        <v/>
      </c>
      <c r="O1392" s="19">
        <f>IF(N1392="已下單",M1392*資金模擬!$B$7,0)</f>
        <v/>
      </c>
      <c r="P1392" s="4" t="n"/>
      <c r="Q1392" s="13" t="n">
        <v>0</v>
      </c>
      <c r="R1392" s="13">
        <f>R1391+Q1392</f>
        <v/>
      </c>
      <c r="S1392" s="19">
        <f>S1391+IF(N1392="已下單",M1392,0)</f>
        <v/>
      </c>
      <c r="T1392" s="19">
        <f>R1392-S1392</f>
        <v/>
      </c>
      <c r="U1392" s="2">
        <f>U1391+IF(N1392="已下單",1,0)</f>
        <v/>
      </c>
      <c r="V1392" s="19">
        <f>IF(資金模擬!$B$9=2,MAX(R1392,0),MAX(V1391,FLOOR(MAX(R1392,0),資金模擬!$B$6)))</f>
        <v/>
      </c>
      <c r="W1392" s="13">
        <f>MAX(W1391,R1392)</f>
        <v/>
      </c>
      <c r="X1392" s="4">
        <f>IF(W1392&gt;0,R1392/W1392-1,-1)</f>
        <v/>
      </c>
      <c r="Y1392" s="19">
        <f>IF(R1392&gt;0,S1392*資金模擬!$B$7/R1392,0)</f>
        <v/>
      </c>
      <c r="Z1392" s="2">
        <f>IF(OR(Z1391=1,R1392&lt;=資金模擬!$B$10),1,0)</f>
        <v/>
      </c>
    </row>
    <row r="1393">
      <c r="A1393" s="2" t="n">
        <v>1391</v>
      </c>
      <c r="B1393" s="7" t="n">
        <v>46303.875</v>
      </c>
      <c r="C1393" s="2" t="inlineStr">
        <is>
          <t>出場</t>
        </is>
      </c>
      <c r="D1393" s="2" t="n">
        <v>697</v>
      </c>
      <c r="E1393" s="2" t="inlineStr">
        <is>
          <t>W_USDT_PERP</t>
        </is>
      </c>
      <c r="F1393" s="2" t="inlineStr">
        <is>
          <t>做空</t>
        </is>
      </c>
      <c r="G1393" s="20" t="n">
        <v>0.01588</v>
      </c>
      <c r="H1393" s="20" t="n">
        <v>0.0154036</v>
      </c>
      <c r="I1393" s="20" t="n">
        <v>0.016674</v>
      </c>
      <c r="J1393" s="20" t="n">
        <v>0.016674</v>
      </c>
      <c r="K1393" s="2" t="inlineStr">
        <is>
          <t>止損</t>
        </is>
      </c>
      <c r="L1393" s="5">
        <f>交易明細!K698</f>
        <v/>
      </c>
      <c r="M1393" s="19">
        <f>M1392</f>
        <v/>
      </c>
      <c r="N1393" s="2">
        <f>N1392</f>
        <v/>
      </c>
      <c r="O1393" s="19">
        <f>O1392</f>
        <v/>
      </c>
      <c r="P1393" s="4">
        <f>交易明細!L698</f>
        <v/>
      </c>
      <c r="Q1393" s="13">
        <f>IF(N1393="已下單",O1393*P1393,0)</f>
        <v/>
      </c>
      <c r="R1393" s="13">
        <f>R1392+Q1393</f>
        <v/>
      </c>
      <c r="S1393" s="19">
        <f>S1392-IF(N1393="已下單",M1393,0)</f>
        <v/>
      </c>
      <c r="T1393" s="19">
        <f>R1393-S1393</f>
        <v/>
      </c>
      <c r="U1393" s="2">
        <f>U1392-IF(N1393="已下單",1,0)</f>
        <v/>
      </c>
      <c r="V1393" s="19">
        <f>IF(資金模擬!$B$9=2,MAX(R1393,0),MAX(V1392,FLOOR(MAX(R1393,0),資金模擬!$B$6)))</f>
        <v/>
      </c>
      <c r="W1393" s="13">
        <f>MAX(W1392,R1393)</f>
        <v/>
      </c>
      <c r="X1393" s="4">
        <f>IF(W1393&gt;0,R1393/W1393-1,-1)</f>
        <v/>
      </c>
      <c r="Y1393" s="19">
        <f>IF(R1393&gt;0,S1393*資金模擬!$B$7/R1393,0)</f>
        <v/>
      </c>
      <c r="Z1393" s="2">
        <f>IF(OR(Z1392=1,R1393&lt;=資金模擬!$B$10),1,0)</f>
        <v/>
      </c>
    </row>
    <row r="1394">
      <c r="A1394" s="2" t="n">
        <v>1392</v>
      </c>
      <c r="B1394" s="7" t="n">
        <v>46303.91666666666</v>
      </c>
      <c r="C1394" s="2" t="inlineStr">
        <is>
          <t>出場</t>
        </is>
      </c>
      <c r="D1394" s="2" t="n">
        <v>694</v>
      </c>
      <c r="E1394" s="2" t="inlineStr">
        <is>
          <t>MOVR_USDT_PERP</t>
        </is>
      </c>
      <c r="F1394" s="2" t="inlineStr">
        <is>
          <t>做空</t>
        </is>
      </c>
      <c r="G1394" s="20" t="n">
        <v>1.911</v>
      </c>
      <c r="H1394" s="20" t="n">
        <v>1.85367</v>
      </c>
      <c r="I1394" s="20" t="n">
        <v>2.00655</v>
      </c>
      <c r="J1394" s="20" t="n">
        <v>1.85367</v>
      </c>
      <c r="K1394" s="2" t="inlineStr">
        <is>
          <t>止盈</t>
        </is>
      </c>
      <c r="L1394" s="5">
        <f>交易明細!K695</f>
        <v/>
      </c>
      <c r="M1394" s="19">
        <f>M1388</f>
        <v/>
      </c>
      <c r="N1394" s="2">
        <f>N1388</f>
        <v/>
      </c>
      <c r="O1394" s="19">
        <f>O1388</f>
        <v/>
      </c>
      <c r="P1394" s="4">
        <f>交易明細!L695</f>
        <v/>
      </c>
      <c r="Q1394" s="13">
        <f>IF(N1394="已下單",O1394*P1394,0)</f>
        <v/>
      </c>
      <c r="R1394" s="13">
        <f>R1393+Q1394</f>
        <v/>
      </c>
      <c r="S1394" s="19">
        <f>S1393-IF(N1394="已下單",M1394,0)</f>
        <v/>
      </c>
      <c r="T1394" s="19">
        <f>R1394-S1394</f>
        <v/>
      </c>
      <c r="U1394" s="2">
        <f>U1393-IF(N1394="已下單",1,0)</f>
        <v/>
      </c>
      <c r="V1394" s="19">
        <f>IF(資金模擬!$B$9=2,MAX(R1394,0),MAX(V1393,FLOOR(MAX(R1394,0),資金模擬!$B$6)))</f>
        <v/>
      </c>
      <c r="W1394" s="13">
        <f>MAX(W1393,R1394)</f>
        <v/>
      </c>
      <c r="X1394" s="4">
        <f>IF(W1394&gt;0,R1394/W1394-1,-1)</f>
        <v/>
      </c>
      <c r="Y1394" s="19">
        <f>IF(R1394&gt;0,S1394*資金模擬!$B$7/R1394,0)</f>
        <v/>
      </c>
      <c r="Z1394" s="2">
        <f>IF(OR(Z1393=1,R1394&lt;=資金模擬!$B$10),1,0)</f>
        <v/>
      </c>
    </row>
    <row r="1395">
      <c r="A1395" s="2" t="n">
        <v>1393</v>
      </c>
      <c r="B1395" s="7" t="n">
        <v>46303.91666666666</v>
      </c>
      <c r="C1395" s="2" t="inlineStr">
        <is>
          <t>出場</t>
        </is>
      </c>
      <c r="D1395" s="2" t="n">
        <v>696</v>
      </c>
      <c r="E1395" s="2" t="inlineStr">
        <is>
          <t>RAY_USDT_PERP</t>
        </is>
      </c>
      <c r="F1395" s="2" t="inlineStr">
        <is>
          <t>做多</t>
        </is>
      </c>
      <c r="G1395" s="20" t="n">
        <v>2.499</v>
      </c>
      <c r="H1395" s="20" t="n">
        <v>2.57397</v>
      </c>
      <c r="I1395" s="20" t="n">
        <v>2.37405</v>
      </c>
      <c r="J1395" s="20" t="n">
        <v>2.37405</v>
      </c>
      <c r="K1395" s="2" t="inlineStr">
        <is>
          <t>止損</t>
        </is>
      </c>
      <c r="L1395" s="5">
        <f>交易明細!K697</f>
        <v/>
      </c>
      <c r="M1395" s="19">
        <f>M1390</f>
        <v/>
      </c>
      <c r="N1395" s="2">
        <f>N1390</f>
        <v/>
      </c>
      <c r="O1395" s="19">
        <f>O1390</f>
        <v/>
      </c>
      <c r="P1395" s="4">
        <f>交易明細!L697</f>
        <v/>
      </c>
      <c r="Q1395" s="13">
        <f>IF(N1395="已下單",O1395*P1395,0)</f>
        <v/>
      </c>
      <c r="R1395" s="13">
        <f>R1394+Q1395</f>
        <v/>
      </c>
      <c r="S1395" s="19">
        <f>S1394-IF(N1395="已下單",M1395,0)</f>
        <v/>
      </c>
      <c r="T1395" s="19">
        <f>R1395-S1395</f>
        <v/>
      </c>
      <c r="U1395" s="2">
        <f>U1394-IF(N1395="已下單",1,0)</f>
        <v/>
      </c>
      <c r="V1395" s="19">
        <f>IF(資金模擬!$B$9=2,MAX(R1395,0),MAX(V1394,FLOOR(MAX(R1395,0),資金模擬!$B$6)))</f>
        <v/>
      </c>
      <c r="W1395" s="13">
        <f>MAX(W1394,R1395)</f>
        <v/>
      </c>
      <c r="X1395" s="4">
        <f>IF(W1395&gt;0,R1395/W1395-1,-1)</f>
        <v/>
      </c>
      <c r="Y1395" s="19">
        <f>IF(R1395&gt;0,S1395*資金模擬!$B$7/R1395,0)</f>
        <v/>
      </c>
      <c r="Z1395" s="2">
        <f>IF(OR(Z1394=1,R1395&lt;=資金模擬!$B$10),1,0)</f>
        <v/>
      </c>
    </row>
    <row r="1396">
      <c r="A1396" s="2" t="n">
        <v>1394</v>
      </c>
      <c r="B1396" s="7" t="n">
        <v>46303.95833333334</v>
      </c>
      <c r="C1396" s="2" t="inlineStr">
        <is>
          <t>出場</t>
        </is>
      </c>
      <c r="D1396" s="2" t="n">
        <v>693</v>
      </c>
      <c r="E1396" s="2" t="inlineStr">
        <is>
          <t>BR_USDT_PERP</t>
        </is>
      </c>
      <c r="F1396" s="2" t="inlineStr">
        <is>
          <t>做空</t>
        </is>
      </c>
      <c r="G1396" s="20" t="n">
        <v>0.49247</v>
      </c>
      <c r="H1396" s="20" t="n">
        <v>0.4776959</v>
      </c>
      <c r="I1396" s="20" t="n">
        <v>0.5170935000000001</v>
      </c>
      <c r="J1396" s="20" t="n">
        <v>0.5170935000000001</v>
      </c>
      <c r="K1396" s="2" t="inlineStr">
        <is>
          <t>止損</t>
        </is>
      </c>
      <c r="L1396" s="5">
        <f>交易明細!K694</f>
        <v/>
      </c>
      <c r="M1396" s="19">
        <f>M1387</f>
        <v/>
      </c>
      <c r="N1396" s="2">
        <f>N1387</f>
        <v/>
      </c>
      <c r="O1396" s="19">
        <f>O1387</f>
        <v/>
      </c>
      <c r="P1396" s="4">
        <f>交易明細!L694</f>
        <v/>
      </c>
      <c r="Q1396" s="13">
        <f>IF(N1396="已下單",O1396*P1396,0)</f>
        <v/>
      </c>
      <c r="R1396" s="13">
        <f>R1395+Q1396</f>
        <v/>
      </c>
      <c r="S1396" s="19">
        <f>S1395-IF(N1396="已下單",M1396,0)</f>
        <v/>
      </c>
      <c r="T1396" s="19">
        <f>R1396-S1396</f>
        <v/>
      </c>
      <c r="U1396" s="2">
        <f>U1395-IF(N1396="已下單",1,0)</f>
        <v/>
      </c>
      <c r="V1396" s="19">
        <f>IF(資金模擬!$B$9=2,MAX(R1396,0),MAX(V1395,FLOOR(MAX(R1396,0),資金模擬!$B$6)))</f>
        <v/>
      </c>
      <c r="W1396" s="13">
        <f>MAX(W1395,R1396)</f>
        <v/>
      </c>
      <c r="X1396" s="4">
        <f>IF(W1396&gt;0,R1396/W1396-1,-1)</f>
        <v/>
      </c>
      <c r="Y1396" s="19">
        <f>IF(R1396&gt;0,S1396*資金模擬!$B$7/R1396,0)</f>
        <v/>
      </c>
      <c r="Z1396" s="2">
        <f>IF(OR(Z1395=1,R1396&lt;=資金模擬!$B$10),1,0)</f>
        <v/>
      </c>
    </row>
    <row r="1397">
      <c r="A1397" s="2" t="n">
        <v>1395</v>
      </c>
      <c r="B1397" s="7" t="n">
        <v>46304</v>
      </c>
      <c r="C1397" s="2" t="inlineStr">
        <is>
          <t>進場</t>
        </is>
      </c>
      <c r="D1397" s="2" t="n">
        <v>698</v>
      </c>
      <c r="E1397" s="2" t="inlineStr">
        <is>
          <t>RAY_USDT_PERP</t>
        </is>
      </c>
      <c r="F1397" s="2" t="inlineStr">
        <is>
          <t>做空</t>
        </is>
      </c>
      <c r="G1397" s="20" t="n">
        <v>2.317</v>
      </c>
      <c r="H1397" s="20" t="n">
        <v>2.24749</v>
      </c>
      <c r="I1397" s="20" t="n">
        <v>2.43285</v>
      </c>
      <c r="J1397" s="20" t="n"/>
      <c r="K1397" s="2" t="n"/>
      <c r="L1397" s="5" t="n"/>
      <c r="M1397" s="19">
        <f>資金模擬!$B$5*V1396</f>
        <v/>
      </c>
      <c r="N1397" s="2">
        <f>IF(Z1396=1,"已停止",IF(T1396&gt;=M1397,"已下單","資金不足略過"))</f>
        <v/>
      </c>
      <c r="O1397" s="19">
        <f>IF(N1397="已下單",M1397*資金模擬!$B$7,0)</f>
        <v/>
      </c>
      <c r="P1397" s="4" t="n"/>
      <c r="Q1397" s="13" t="n">
        <v>0</v>
      </c>
      <c r="R1397" s="13">
        <f>R1396+Q1397</f>
        <v/>
      </c>
      <c r="S1397" s="19">
        <f>S1396+IF(N1397="已下單",M1397,0)</f>
        <v/>
      </c>
      <c r="T1397" s="19">
        <f>R1397-S1397</f>
        <v/>
      </c>
      <c r="U1397" s="2">
        <f>U1396+IF(N1397="已下單",1,0)</f>
        <v/>
      </c>
      <c r="V1397" s="19">
        <f>IF(資金模擬!$B$9=2,MAX(R1397,0),MAX(V1396,FLOOR(MAX(R1397,0),資金模擬!$B$6)))</f>
        <v/>
      </c>
      <c r="W1397" s="13">
        <f>MAX(W1396,R1397)</f>
        <v/>
      </c>
      <c r="X1397" s="4">
        <f>IF(W1397&gt;0,R1397/W1397-1,-1)</f>
        <v/>
      </c>
      <c r="Y1397" s="19">
        <f>IF(R1397&gt;0,S1397*資金模擬!$B$7/R1397,0)</f>
        <v/>
      </c>
      <c r="Z1397" s="2">
        <f>IF(OR(Z1396=1,R1397&lt;=資金模擬!$B$10),1,0)</f>
        <v/>
      </c>
    </row>
    <row r="1398">
      <c r="A1398" s="2" t="n">
        <v>1396</v>
      </c>
      <c r="B1398" s="7" t="n">
        <v>46304.08333333334</v>
      </c>
      <c r="C1398" s="2" t="inlineStr">
        <is>
          <t>出場</t>
        </is>
      </c>
      <c r="D1398" s="2" t="n">
        <v>698</v>
      </c>
      <c r="E1398" s="2" t="inlineStr">
        <is>
          <t>RAY_USDT_PERP</t>
        </is>
      </c>
      <c r="F1398" s="2" t="inlineStr">
        <is>
          <t>做空</t>
        </is>
      </c>
      <c r="G1398" s="20" t="n">
        <v>2.317</v>
      </c>
      <c r="H1398" s="20" t="n">
        <v>2.24749</v>
      </c>
      <c r="I1398" s="20" t="n">
        <v>2.43285</v>
      </c>
      <c r="J1398" s="20" t="n">
        <v>2.24749</v>
      </c>
      <c r="K1398" s="2" t="inlineStr">
        <is>
          <t>止盈</t>
        </is>
      </c>
      <c r="L1398" s="5">
        <f>交易明細!K699</f>
        <v/>
      </c>
      <c r="M1398" s="19">
        <f>M1397</f>
        <v/>
      </c>
      <c r="N1398" s="2">
        <f>N1397</f>
        <v/>
      </c>
      <c r="O1398" s="19">
        <f>O1397</f>
        <v/>
      </c>
      <c r="P1398" s="4">
        <f>交易明細!L699</f>
        <v/>
      </c>
      <c r="Q1398" s="13">
        <f>IF(N1398="已下單",O1398*P1398,0)</f>
        <v/>
      </c>
      <c r="R1398" s="13">
        <f>R1397+Q1398</f>
        <v/>
      </c>
      <c r="S1398" s="19">
        <f>S1397-IF(N1398="已下單",M1398,0)</f>
        <v/>
      </c>
      <c r="T1398" s="19">
        <f>R1398-S1398</f>
        <v/>
      </c>
      <c r="U1398" s="2">
        <f>U1397-IF(N1398="已下單",1,0)</f>
        <v/>
      </c>
      <c r="V1398" s="19">
        <f>IF(資金模擬!$B$9=2,MAX(R1398,0),MAX(V1397,FLOOR(MAX(R1398,0),資金模擬!$B$6)))</f>
        <v/>
      </c>
      <c r="W1398" s="13">
        <f>MAX(W1397,R1398)</f>
        <v/>
      </c>
      <c r="X1398" s="4">
        <f>IF(W1398&gt;0,R1398/W1398-1,-1)</f>
        <v/>
      </c>
      <c r="Y1398" s="19">
        <f>IF(R1398&gt;0,S1398*資金模擬!$B$7/R1398,0)</f>
        <v/>
      </c>
      <c r="Z1398" s="2">
        <f>IF(OR(Z1397=1,R1398&lt;=資金模擬!$B$10),1,0)</f>
        <v/>
      </c>
    </row>
    <row r="1399">
      <c r="A1399" s="2" t="n">
        <v>1397</v>
      </c>
      <c r="B1399" s="7" t="n">
        <v>46304.20833333334</v>
      </c>
      <c r="C1399" s="2" t="inlineStr">
        <is>
          <t>進場</t>
        </is>
      </c>
      <c r="D1399" s="2" t="n">
        <v>699</v>
      </c>
      <c r="E1399" s="2" t="inlineStr">
        <is>
          <t>FIL_USDT_PERP</t>
        </is>
      </c>
      <c r="F1399" s="2" t="inlineStr">
        <is>
          <t>做多</t>
        </is>
      </c>
      <c r="G1399" s="20" t="n">
        <v>1.071</v>
      </c>
      <c r="H1399" s="20" t="n">
        <v>1.10313</v>
      </c>
      <c r="I1399" s="20" t="n">
        <v>1.01745</v>
      </c>
      <c r="J1399" s="20" t="n"/>
      <c r="K1399" s="2" t="inlineStr">
        <is>
          <t>未平倉</t>
        </is>
      </c>
      <c r="L1399" s="5" t="n"/>
      <c r="M1399" s="19">
        <f>資金模擬!$B$5*V1398</f>
        <v/>
      </c>
      <c r="N1399" s="2">
        <f>IF(Z1398=1,"已停止",IF(T1398&gt;=M1399,"已下單","資金不足略過"))</f>
        <v/>
      </c>
      <c r="O1399" s="19">
        <f>IF(N1399="已下單",M1399*資金模擬!$B$7,0)</f>
        <v/>
      </c>
      <c r="P1399" s="4" t="n"/>
      <c r="Q1399" s="13" t="n">
        <v>0</v>
      </c>
      <c r="R1399" s="13">
        <f>R1398+Q1399</f>
        <v/>
      </c>
      <c r="S1399" s="19">
        <f>S1398+IF(N1399="已下單",M1399,0)</f>
        <v/>
      </c>
      <c r="T1399" s="19">
        <f>R1399-S1399</f>
        <v/>
      </c>
      <c r="U1399" s="2">
        <f>U1398+IF(N1399="已下單",1,0)</f>
        <v/>
      </c>
      <c r="V1399" s="19">
        <f>IF(資金模擬!$B$9=2,MAX(R1399,0),MAX(V1398,FLOOR(MAX(R1399,0),資金模擬!$B$6)))</f>
        <v/>
      </c>
      <c r="W1399" s="13">
        <f>MAX(W1398,R1399)</f>
        <v/>
      </c>
      <c r="X1399" s="4">
        <f>IF(W1399&gt;0,R1399/W1399-1,-1)</f>
        <v/>
      </c>
      <c r="Y1399" s="19">
        <f>IF(R1399&gt;0,S1399*資金模擬!$B$7/R1399,0)</f>
        <v/>
      </c>
      <c r="Z1399" s="2">
        <f>IF(OR(Z1398=1,R1399&lt;=資金模擬!$B$10),1,0)</f>
        <v/>
      </c>
    </row>
    <row r="1400">
      <c r="A1400" s="2" t="n">
        <v>1398</v>
      </c>
      <c r="B1400" s="7" t="n">
        <v>46304.33333333334</v>
      </c>
      <c r="C1400" s="2" t="inlineStr">
        <is>
          <t>進場</t>
        </is>
      </c>
      <c r="D1400" s="2" t="n">
        <v>700</v>
      </c>
      <c r="E1400" s="2" t="inlineStr">
        <is>
          <t>ONDO_USDT_PERP</t>
        </is>
      </c>
      <c r="F1400" s="2" t="inlineStr">
        <is>
          <t>做空</t>
        </is>
      </c>
      <c r="G1400" s="20" t="n">
        <v>0.4702</v>
      </c>
      <c r="H1400" s="20" t="n">
        <v>0.456094</v>
      </c>
      <c r="I1400" s="20" t="n">
        <v>0.49371</v>
      </c>
      <c r="J1400" s="20" t="n"/>
      <c r="K1400" s="2" t="n"/>
      <c r="L1400" s="5" t="n"/>
      <c r="M1400" s="19">
        <f>資金模擬!$B$5*V1399</f>
        <v/>
      </c>
      <c r="N1400" s="2">
        <f>IF(Z1399=1,"已停止",IF(T1399&gt;=M1400,"已下單","資金不足略過"))</f>
        <v/>
      </c>
      <c r="O1400" s="19">
        <f>IF(N1400="已下單",M1400*資金模擬!$B$7,0)</f>
        <v/>
      </c>
      <c r="P1400" s="4" t="n"/>
      <c r="Q1400" s="13" t="n">
        <v>0</v>
      </c>
      <c r="R1400" s="13">
        <f>R1399+Q1400</f>
        <v/>
      </c>
      <c r="S1400" s="19">
        <f>S1399+IF(N1400="已下單",M1400,0)</f>
        <v/>
      </c>
      <c r="T1400" s="19">
        <f>R1400-S1400</f>
        <v/>
      </c>
      <c r="U1400" s="2">
        <f>U1399+IF(N1400="已下單",1,0)</f>
        <v/>
      </c>
      <c r="V1400" s="19">
        <f>IF(資金模擬!$B$9=2,MAX(R1400,0),MAX(V1399,FLOOR(MAX(R1400,0),資金模擬!$B$6)))</f>
        <v/>
      </c>
      <c r="W1400" s="13">
        <f>MAX(W1399,R1400)</f>
        <v/>
      </c>
      <c r="X1400" s="4">
        <f>IF(W1400&gt;0,R1400/W1400-1,-1)</f>
        <v/>
      </c>
      <c r="Y1400" s="19">
        <f>IF(R1400&gt;0,S1400*資金模擬!$B$7/R1400,0)</f>
        <v/>
      </c>
      <c r="Z1400" s="2">
        <f>IF(OR(Z1399=1,R1400&lt;=資金模擬!$B$10),1,0)</f>
        <v/>
      </c>
    </row>
    <row r="1401">
      <c r="A1401" s="2" t="n">
        <v>1399</v>
      </c>
      <c r="B1401" s="7" t="n">
        <v>46304.33333333334</v>
      </c>
      <c r="C1401" s="2" t="inlineStr">
        <is>
          <t>進場</t>
        </is>
      </c>
      <c r="D1401" s="2" t="n">
        <v>701</v>
      </c>
      <c r="E1401" s="2" t="inlineStr">
        <is>
          <t>UNI_USDT_PERP</t>
        </is>
      </c>
      <c r="F1401" s="2" t="inlineStr">
        <is>
          <t>做空</t>
        </is>
      </c>
      <c r="G1401" s="20" t="n">
        <v>7.114</v>
      </c>
      <c r="H1401" s="20" t="n">
        <v>6.90058</v>
      </c>
      <c r="I1401" s="20" t="n">
        <v>7.4697</v>
      </c>
      <c r="J1401" s="20" t="n"/>
      <c r="K1401" s="2" t="inlineStr">
        <is>
          <t>未平倉</t>
        </is>
      </c>
      <c r="L1401" s="5" t="n"/>
      <c r="M1401" s="19">
        <f>資金模擬!$B$5*V1400</f>
        <v/>
      </c>
      <c r="N1401" s="2">
        <f>IF(Z1400=1,"已停止",IF(T1400&gt;=M1401,"已下單","資金不足略過"))</f>
        <v/>
      </c>
      <c r="O1401" s="19">
        <f>IF(N1401="已下單",M1401*資金模擬!$B$7,0)</f>
        <v/>
      </c>
      <c r="P1401" s="4" t="n"/>
      <c r="Q1401" s="13" t="n">
        <v>0</v>
      </c>
      <c r="R1401" s="13">
        <f>R1400+Q1401</f>
        <v/>
      </c>
      <c r="S1401" s="19">
        <f>S1400+IF(N1401="已下單",M1401,0)</f>
        <v/>
      </c>
      <c r="T1401" s="19">
        <f>R1401-S1401</f>
        <v/>
      </c>
      <c r="U1401" s="2">
        <f>U1400+IF(N1401="已下單",1,0)</f>
        <v/>
      </c>
      <c r="V1401" s="19">
        <f>IF(資金模擬!$B$9=2,MAX(R1401,0),MAX(V1400,FLOOR(MAX(R1401,0),資金模擬!$B$6)))</f>
        <v/>
      </c>
      <c r="W1401" s="13">
        <f>MAX(W1400,R1401)</f>
        <v/>
      </c>
      <c r="X1401" s="4">
        <f>IF(W1401&gt;0,R1401/W1401-1,-1)</f>
        <v/>
      </c>
      <c r="Y1401" s="19">
        <f>IF(R1401&gt;0,S1401*資金模擬!$B$7/R1401,0)</f>
        <v/>
      </c>
      <c r="Z1401" s="2">
        <f>IF(OR(Z1400=1,R1401&lt;=資金模擬!$B$10),1,0)</f>
        <v/>
      </c>
    </row>
    <row r="1402">
      <c r="A1402" s="2" t="n">
        <v>1400</v>
      </c>
      <c r="B1402" s="7" t="n">
        <v>46304.375</v>
      </c>
      <c r="C1402" s="2" t="inlineStr">
        <is>
          <t>進場</t>
        </is>
      </c>
      <c r="D1402" s="2" t="n">
        <v>702</v>
      </c>
      <c r="E1402" s="2" t="inlineStr">
        <is>
          <t>DOT_USDT_PERP</t>
        </is>
      </c>
      <c r="F1402" s="2" t="inlineStr">
        <is>
          <t>做多</t>
        </is>
      </c>
      <c r="G1402" s="20" t="n">
        <v>1.121</v>
      </c>
      <c r="H1402" s="20" t="n">
        <v>1.15463</v>
      </c>
      <c r="I1402" s="20" t="n">
        <v>1.06495</v>
      </c>
      <c r="J1402" s="20" t="n"/>
      <c r="K1402" s="2" t="n"/>
      <c r="L1402" s="5" t="n"/>
      <c r="M1402" s="19">
        <f>資金模擬!$B$5*V1401</f>
        <v/>
      </c>
      <c r="N1402" s="2">
        <f>IF(Z1401=1,"已停止",IF(T1401&gt;=M1402,"已下單","資金不足略過"))</f>
        <v/>
      </c>
      <c r="O1402" s="19">
        <f>IF(N1402="已下單",M1402*資金模擬!$B$7,0)</f>
        <v/>
      </c>
      <c r="P1402" s="4" t="n"/>
      <c r="Q1402" s="13" t="n">
        <v>0</v>
      </c>
      <c r="R1402" s="13">
        <f>R1401+Q1402</f>
        <v/>
      </c>
      <c r="S1402" s="19">
        <f>S1401+IF(N1402="已下單",M1402,0)</f>
        <v/>
      </c>
      <c r="T1402" s="19">
        <f>R1402-S1402</f>
        <v/>
      </c>
      <c r="U1402" s="2">
        <f>U1401+IF(N1402="已下單",1,0)</f>
        <v/>
      </c>
      <c r="V1402" s="19">
        <f>IF(資金模擬!$B$9=2,MAX(R1402,0),MAX(V1401,FLOOR(MAX(R1402,0),資金模擬!$B$6)))</f>
        <v/>
      </c>
      <c r="W1402" s="13">
        <f>MAX(W1401,R1402)</f>
        <v/>
      </c>
      <c r="X1402" s="4">
        <f>IF(W1402&gt;0,R1402/W1402-1,-1)</f>
        <v/>
      </c>
      <c r="Y1402" s="19">
        <f>IF(R1402&gt;0,S1402*資金模擬!$B$7/R1402,0)</f>
        <v/>
      </c>
      <c r="Z1402" s="2">
        <f>IF(OR(Z1401=1,R1402&lt;=資金模擬!$B$10),1,0)</f>
        <v/>
      </c>
    </row>
    <row r="1403">
      <c r="A1403" s="2" t="n">
        <v>1401</v>
      </c>
      <c r="B1403" s="7" t="n">
        <v>46304.41666666666</v>
      </c>
      <c r="C1403" s="2" t="inlineStr">
        <is>
          <t>進場</t>
        </is>
      </c>
      <c r="D1403" s="2" t="n">
        <v>703</v>
      </c>
      <c r="E1403" s="2" t="inlineStr">
        <is>
          <t>TIA_USDT_PERP</t>
        </is>
      </c>
      <c r="F1403" s="2" t="inlineStr">
        <is>
          <t>做多</t>
        </is>
      </c>
      <c r="G1403" s="20" t="n">
        <v>0.5079</v>
      </c>
      <c r="H1403" s="20" t="n">
        <v>0.5231370000000001</v>
      </c>
      <c r="I1403" s="20" t="n">
        <v>0.482505</v>
      </c>
      <c r="J1403" s="20" t="n"/>
      <c r="K1403" s="2" t="n"/>
      <c r="L1403" s="5" t="n"/>
      <c r="M1403" s="19">
        <f>資金模擬!$B$5*V1402</f>
        <v/>
      </c>
      <c r="N1403" s="2">
        <f>IF(Z1402=1,"已停止",IF(T1402&gt;=M1403,"已下單","資金不足略過"))</f>
        <v/>
      </c>
      <c r="O1403" s="19">
        <f>IF(N1403="已下單",M1403*資金模擬!$B$7,0)</f>
        <v/>
      </c>
      <c r="P1403" s="4" t="n"/>
      <c r="Q1403" s="13" t="n">
        <v>0</v>
      </c>
      <c r="R1403" s="13">
        <f>R1402+Q1403</f>
        <v/>
      </c>
      <c r="S1403" s="19">
        <f>S1402+IF(N1403="已下單",M1403,0)</f>
        <v/>
      </c>
      <c r="T1403" s="19">
        <f>R1403-S1403</f>
        <v/>
      </c>
      <c r="U1403" s="2">
        <f>U1402+IF(N1403="已下單",1,0)</f>
        <v/>
      </c>
      <c r="V1403" s="19">
        <f>IF(資金模擬!$B$9=2,MAX(R1403,0),MAX(V1402,FLOOR(MAX(R1403,0),資金模擬!$B$6)))</f>
        <v/>
      </c>
      <c r="W1403" s="13">
        <f>MAX(W1402,R1403)</f>
        <v/>
      </c>
      <c r="X1403" s="4">
        <f>IF(W1403&gt;0,R1403/W1403-1,-1)</f>
        <v/>
      </c>
      <c r="Y1403" s="19">
        <f>IF(R1403&gt;0,S1403*資金模擬!$B$7/R1403,0)</f>
        <v/>
      </c>
      <c r="Z1403" s="2">
        <f>IF(OR(Z1402=1,R1403&lt;=資金模擬!$B$10),1,0)</f>
        <v/>
      </c>
    </row>
    <row r="1404">
      <c r="A1404" s="2" t="n">
        <v>1402</v>
      </c>
      <c r="B1404" s="7" t="n">
        <v>46304.5</v>
      </c>
      <c r="C1404" s="2" t="inlineStr">
        <is>
          <t>出場</t>
        </is>
      </c>
      <c r="D1404" s="2" t="n">
        <v>702</v>
      </c>
      <c r="E1404" s="2" t="inlineStr">
        <is>
          <t>DOT_USDT_PERP</t>
        </is>
      </c>
      <c r="F1404" s="2" t="inlineStr">
        <is>
          <t>做多</t>
        </is>
      </c>
      <c r="G1404" s="20" t="n">
        <v>1.121</v>
      </c>
      <c r="H1404" s="20" t="n">
        <v>1.15463</v>
      </c>
      <c r="I1404" s="20" t="n">
        <v>1.06495</v>
      </c>
      <c r="J1404" s="20" t="n">
        <v>1.15463</v>
      </c>
      <c r="K1404" s="2" t="inlineStr">
        <is>
          <t>止盈</t>
        </is>
      </c>
      <c r="L1404" s="5">
        <f>交易明細!K703</f>
        <v/>
      </c>
      <c r="M1404" s="19">
        <f>M1402</f>
        <v/>
      </c>
      <c r="N1404" s="2">
        <f>N1402</f>
        <v/>
      </c>
      <c r="O1404" s="19">
        <f>O1402</f>
        <v/>
      </c>
      <c r="P1404" s="4">
        <f>交易明細!L703</f>
        <v/>
      </c>
      <c r="Q1404" s="13">
        <f>IF(N1404="已下單",O1404*P1404,0)</f>
        <v/>
      </c>
      <c r="R1404" s="13">
        <f>R1403+Q1404</f>
        <v/>
      </c>
      <c r="S1404" s="19">
        <f>S1403-IF(N1404="已下單",M1404,0)</f>
        <v/>
      </c>
      <c r="T1404" s="19">
        <f>R1404-S1404</f>
        <v/>
      </c>
      <c r="U1404" s="2">
        <f>U1403-IF(N1404="已下單",1,0)</f>
        <v/>
      </c>
      <c r="V1404" s="19">
        <f>IF(資金模擬!$B$9=2,MAX(R1404,0),MAX(V1403,FLOOR(MAX(R1404,0),資金模擬!$B$6)))</f>
        <v/>
      </c>
      <c r="W1404" s="13">
        <f>MAX(W1403,R1404)</f>
        <v/>
      </c>
      <c r="X1404" s="4">
        <f>IF(W1404&gt;0,R1404/W1404-1,-1)</f>
        <v/>
      </c>
      <c r="Y1404" s="19">
        <f>IF(R1404&gt;0,S1404*資金模擬!$B$7/R1404,0)</f>
        <v/>
      </c>
      <c r="Z1404" s="2">
        <f>IF(OR(Z1403=1,R1404&lt;=資金模擬!$B$10),1,0)</f>
        <v/>
      </c>
    </row>
    <row r="1405">
      <c r="A1405" s="2" t="n">
        <v>1403</v>
      </c>
      <c r="B1405" s="7" t="n">
        <v>46304.54166666666</v>
      </c>
      <c r="C1405" s="2" t="inlineStr">
        <is>
          <t>出場</t>
        </is>
      </c>
      <c r="D1405" s="2" t="n">
        <v>703</v>
      </c>
      <c r="E1405" s="2" t="inlineStr">
        <is>
          <t>TIA_USDT_PERP</t>
        </is>
      </c>
      <c r="F1405" s="2" t="inlineStr">
        <is>
          <t>做多</t>
        </is>
      </c>
      <c r="G1405" s="20" t="n">
        <v>0.5079</v>
      </c>
      <c r="H1405" s="20" t="n">
        <v>0.5231370000000001</v>
      </c>
      <c r="I1405" s="20" t="n">
        <v>0.482505</v>
      </c>
      <c r="J1405" s="20" t="n">
        <v>0.5231370000000001</v>
      </c>
      <c r="K1405" s="2" t="inlineStr">
        <is>
          <t>止盈</t>
        </is>
      </c>
      <c r="L1405" s="5">
        <f>交易明細!K704</f>
        <v/>
      </c>
      <c r="M1405" s="19">
        <f>M1403</f>
        <v/>
      </c>
      <c r="N1405" s="2">
        <f>N1403</f>
        <v/>
      </c>
      <c r="O1405" s="19">
        <f>O1403</f>
        <v/>
      </c>
      <c r="P1405" s="4">
        <f>交易明細!L704</f>
        <v/>
      </c>
      <c r="Q1405" s="13">
        <f>IF(N1405="已下單",O1405*P1405,0)</f>
        <v/>
      </c>
      <c r="R1405" s="13">
        <f>R1404+Q1405</f>
        <v/>
      </c>
      <c r="S1405" s="19">
        <f>S1404-IF(N1405="已下單",M1405,0)</f>
        <v/>
      </c>
      <c r="T1405" s="19">
        <f>R1405-S1405</f>
        <v/>
      </c>
      <c r="U1405" s="2">
        <f>U1404-IF(N1405="已下單",1,0)</f>
        <v/>
      </c>
      <c r="V1405" s="19">
        <f>IF(資金模擬!$B$9=2,MAX(R1405,0),MAX(V1404,FLOOR(MAX(R1405,0),資金模擬!$B$6)))</f>
        <v/>
      </c>
      <c r="W1405" s="13">
        <f>MAX(W1404,R1405)</f>
        <v/>
      </c>
      <c r="X1405" s="4">
        <f>IF(W1405&gt;0,R1405/W1405-1,-1)</f>
        <v/>
      </c>
      <c r="Y1405" s="19">
        <f>IF(R1405&gt;0,S1405*資金模擬!$B$7/R1405,0)</f>
        <v/>
      </c>
      <c r="Z1405" s="2">
        <f>IF(OR(Z1404=1,R1405&lt;=資金模擬!$B$10),1,0)</f>
        <v/>
      </c>
    </row>
    <row r="1406">
      <c r="A1406" s="2" t="n">
        <v>1404</v>
      </c>
      <c r="B1406" s="7" t="n">
        <v>46304.58333333334</v>
      </c>
      <c r="C1406" s="2" t="inlineStr">
        <is>
          <t>進場</t>
        </is>
      </c>
      <c r="D1406" s="2" t="n">
        <v>704</v>
      </c>
      <c r="E1406" s="2" t="inlineStr">
        <is>
          <t>NEAR_USDT_PERP</t>
        </is>
      </c>
      <c r="F1406" s="2" t="inlineStr">
        <is>
          <t>做多</t>
        </is>
      </c>
      <c r="G1406" s="20" t="n">
        <v>4.84</v>
      </c>
      <c r="H1406" s="20" t="n">
        <v>4.9852</v>
      </c>
      <c r="I1406" s="20" t="n">
        <v>4.598</v>
      </c>
      <c r="J1406" s="20" t="n"/>
      <c r="K1406" s="2" t="inlineStr">
        <is>
          <t>未平倉</t>
        </is>
      </c>
      <c r="L1406" s="5" t="n"/>
      <c r="M1406" s="19">
        <f>資金模擬!$B$5*V1405</f>
        <v/>
      </c>
      <c r="N1406" s="2">
        <f>IF(Z1405=1,"已停止",IF(T1405&gt;=M1406,"已下單","資金不足略過"))</f>
        <v/>
      </c>
      <c r="O1406" s="19">
        <f>IF(N1406="已下單",M1406*資金模擬!$B$7,0)</f>
        <v/>
      </c>
      <c r="P1406" s="4" t="n"/>
      <c r="Q1406" s="13" t="n">
        <v>0</v>
      </c>
      <c r="R1406" s="13">
        <f>R1405+Q1406</f>
        <v/>
      </c>
      <c r="S1406" s="19">
        <f>S1405+IF(N1406="已下單",M1406,0)</f>
        <v/>
      </c>
      <c r="T1406" s="19">
        <f>R1406-S1406</f>
        <v/>
      </c>
      <c r="U1406" s="2">
        <f>U1405+IF(N1406="已下單",1,0)</f>
        <v/>
      </c>
      <c r="V1406" s="19">
        <f>IF(資金模擬!$B$9=2,MAX(R1406,0),MAX(V1405,FLOOR(MAX(R1406,0),資金模擬!$B$6)))</f>
        <v/>
      </c>
      <c r="W1406" s="13">
        <f>MAX(W1405,R1406)</f>
        <v/>
      </c>
      <c r="X1406" s="4">
        <f>IF(W1406&gt;0,R1406/W1406-1,-1)</f>
        <v/>
      </c>
      <c r="Y1406" s="19">
        <f>IF(R1406&gt;0,S1406*資金模擬!$B$7/R1406,0)</f>
        <v/>
      </c>
      <c r="Z1406" s="2">
        <f>IF(OR(Z1405=1,R1406&lt;=資金模擬!$B$10),1,0)</f>
        <v/>
      </c>
    </row>
    <row r="1407">
      <c r="A1407" s="2" t="n">
        <v>1405</v>
      </c>
      <c r="B1407" s="7" t="n">
        <v>46304.70833333334</v>
      </c>
      <c r="C1407" s="2" t="inlineStr">
        <is>
          <t>出場</t>
        </is>
      </c>
      <c r="D1407" s="2" t="n">
        <v>700</v>
      </c>
      <c r="E1407" s="2" t="inlineStr">
        <is>
          <t>ONDO_USDT_PERP</t>
        </is>
      </c>
      <c r="F1407" s="2" t="inlineStr">
        <is>
          <t>做空</t>
        </is>
      </c>
      <c r="G1407" s="20" t="n">
        <v>0.4702</v>
      </c>
      <c r="H1407" s="20" t="n">
        <v>0.456094</v>
      </c>
      <c r="I1407" s="20" t="n">
        <v>0.49371</v>
      </c>
      <c r="J1407" s="20" t="n">
        <v>0.49371</v>
      </c>
      <c r="K1407" s="2" t="inlineStr">
        <is>
          <t>止損</t>
        </is>
      </c>
      <c r="L1407" s="5">
        <f>交易明細!K701</f>
        <v/>
      </c>
      <c r="M1407" s="19">
        <f>M1400</f>
        <v/>
      </c>
      <c r="N1407" s="2">
        <f>N1400</f>
        <v/>
      </c>
      <c r="O1407" s="19">
        <f>O1400</f>
        <v/>
      </c>
      <c r="P1407" s="4">
        <f>交易明細!L701</f>
        <v/>
      </c>
      <c r="Q1407" s="13">
        <f>IF(N1407="已下單",O1407*P1407,0)</f>
        <v/>
      </c>
      <c r="R1407" s="13">
        <f>R1406+Q1407</f>
        <v/>
      </c>
      <c r="S1407" s="19">
        <f>S1406-IF(N1407="已下單",M1407,0)</f>
        <v/>
      </c>
      <c r="T1407" s="19">
        <f>R1407-S1407</f>
        <v/>
      </c>
      <c r="U1407" s="2">
        <f>U1406-IF(N1407="已下單",1,0)</f>
        <v/>
      </c>
      <c r="V1407" s="19">
        <f>IF(資金模擬!$B$9=2,MAX(R1407,0),MAX(V1406,FLOOR(MAX(R1407,0),資金模擬!$B$6)))</f>
        <v/>
      </c>
      <c r="W1407" s="13">
        <f>MAX(W1406,R1407)</f>
        <v/>
      </c>
      <c r="X1407" s="4">
        <f>IF(W1407&gt;0,R1407/W1407-1,-1)</f>
        <v/>
      </c>
      <c r="Y1407" s="19">
        <f>IF(R1407&gt;0,S1407*資金模擬!$B$7/R1407,0)</f>
        <v/>
      </c>
      <c r="Z1407" s="2">
        <f>IF(OR(Z1406=1,R1407&lt;=資金模擬!$B$10),1,0)</f>
        <v/>
      </c>
    </row>
    <row r="1408">
      <c r="A1408" s="2" t="n">
        <v>1406</v>
      </c>
      <c r="B1408" s="7" t="n">
        <v>46304.70833333334</v>
      </c>
      <c r="C1408" s="2" t="inlineStr">
        <is>
          <t>進場</t>
        </is>
      </c>
      <c r="D1408" s="2" t="n">
        <v>705</v>
      </c>
      <c r="E1408" s="2" t="inlineStr">
        <is>
          <t>MET_USDT_PERP</t>
        </is>
      </c>
      <c r="F1408" s="2" t="inlineStr">
        <is>
          <t>做空</t>
        </is>
      </c>
      <c r="G1408" s="20" t="n">
        <v>0.4176</v>
      </c>
      <c r="H1408" s="20" t="n">
        <v>0.405072</v>
      </c>
      <c r="I1408" s="20" t="n">
        <v>0.43848</v>
      </c>
      <c r="J1408" s="20" t="n"/>
      <c r="K1408" s="2" t="inlineStr">
        <is>
          <t>未平倉</t>
        </is>
      </c>
      <c r="L1408" s="5" t="n"/>
      <c r="M1408" s="19">
        <f>資金模擬!$B$5*V1407</f>
        <v/>
      </c>
      <c r="N1408" s="2">
        <f>IF(Z1407=1,"已停止",IF(T1407&gt;=M1408,"已下單","資金不足略過"))</f>
        <v/>
      </c>
      <c r="O1408" s="19">
        <f>IF(N1408="已下單",M1408*資金模擬!$B$7,0)</f>
        <v/>
      </c>
      <c r="P1408" s="4" t="n"/>
      <c r="Q1408" s="13" t="n">
        <v>0</v>
      </c>
      <c r="R1408" s="13">
        <f>R1407+Q1408</f>
        <v/>
      </c>
      <c r="S1408" s="19">
        <f>S1407+IF(N1408="已下單",M1408,0)</f>
        <v/>
      </c>
      <c r="T1408" s="19">
        <f>R1408-S1408</f>
        <v/>
      </c>
      <c r="U1408" s="2">
        <f>U1407+IF(N1408="已下單",1,0)</f>
        <v/>
      </c>
      <c r="V1408" s="19">
        <f>IF(資金模擬!$B$9=2,MAX(R1408,0),MAX(V1407,FLOOR(MAX(R1408,0),資金模擬!$B$6)))</f>
        <v/>
      </c>
      <c r="W1408" s="13">
        <f>MAX(W1407,R1408)</f>
        <v/>
      </c>
      <c r="X1408" s="4">
        <f>IF(W1408&gt;0,R1408/W1408-1,-1)</f>
        <v/>
      </c>
      <c r="Y1408" s="19">
        <f>IF(R1408&gt;0,S1408*資金模擬!$B$7/R1408,0)</f>
        <v/>
      </c>
      <c r="Z1408" s="2">
        <f>IF(OR(Z1407=1,R1408&lt;=資金模擬!$B$10),1,0)</f>
        <v/>
      </c>
    </row>
    <row r="1409">
      <c r="A1409" s="2" t="n">
        <v>1407</v>
      </c>
      <c r="B1409" s="7" t="n">
        <v>46304.70833333334</v>
      </c>
      <c r="C1409" s="2" t="inlineStr">
        <is>
          <t>進場</t>
        </is>
      </c>
      <c r="D1409" s="2" t="n">
        <v>706</v>
      </c>
      <c r="E1409" s="2" t="inlineStr">
        <is>
          <t>PONS_USDT_PERP</t>
        </is>
      </c>
      <c r="F1409" s="2" t="inlineStr">
        <is>
          <t>做空</t>
        </is>
      </c>
      <c r="G1409" s="20" t="n">
        <v>0.3532</v>
      </c>
      <c r="H1409" s="20" t="n">
        <v>0.342604</v>
      </c>
      <c r="I1409" s="20" t="n">
        <v>0.37086</v>
      </c>
      <c r="J1409" s="20" t="n"/>
      <c r="K1409" s="2" t="n"/>
      <c r="L1409" s="5" t="n"/>
      <c r="M1409" s="19">
        <f>資金模擬!$B$5*V1408</f>
        <v/>
      </c>
      <c r="N1409" s="2">
        <f>IF(Z1408=1,"已停止",IF(T1408&gt;=M1409,"已下單","資金不足略過"))</f>
        <v/>
      </c>
      <c r="O1409" s="19">
        <f>IF(N1409="已下單",M1409*資金模擬!$B$7,0)</f>
        <v/>
      </c>
      <c r="P1409" s="4" t="n"/>
      <c r="Q1409" s="13" t="n">
        <v>0</v>
      </c>
      <c r="R1409" s="13">
        <f>R1408+Q1409</f>
        <v/>
      </c>
      <c r="S1409" s="19">
        <f>S1408+IF(N1409="已下單",M1409,0)</f>
        <v/>
      </c>
      <c r="T1409" s="19">
        <f>R1409-S1409</f>
        <v/>
      </c>
      <c r="U1409" s="2">
        <f>U1408+IF(N1409="已下單",1,0)</f>
        <v/>
      </c>
      <c r="V1409" s="19">
        <f>IF(資金模擬!$B$9=2,MAX(R1409,0),MAX(V1408,FLOOR(MAX(R1409,0),資金模擬!$B$6)))</f>
        <v/>
      </c>
      <c r="W1409" s="13">
        <f>MAX(W1408,R1409)</f>
        <v/>
      </c>
      <c r="X1409" s="4">
        <f>IF(W1409&gt;0,R1409/W1409-1,-1)</f>
        <v/>
      </c>
      <c r="Y1409" s="19">
        <f>IF(R1409&gt;0,S1409*資金模擬!$B$7/R1409,0)</f>
        <v/>
      </c>
      <c r="Z1409" s="2">
        <f>IF(OR(Z1408=1,R1409&lt;=資金模擬!$B$10),1,0)</f>
        <v/>
      </c>
    </row>
    <row r="1410">
      <c r="A1410" s="2" t="n">
        <v>1408</v>
      </c>
      <c r="B1410" s="7" t="n">
        <v>46304.70833333334</v>
      </c>
      <c r="C1410" s="2" t="inlineStr">
        <is>
          <t>進場</t>
        </is>
      </c>
      <c r="D1410" s="2" t="n">
        <v>707</v>
      </c>
      <c r="E1410" s="2" t="inlineStr">
        <is>
          <t>SAND_USDT_PERP</t>
        </is>
      </c>
      <c r="F1410" s="2" t="inlineStr">
        <is>
          <t>做空</t>
        </is>
      </c>
      <c r="G1410" s="20" t="n">
        <v>0.06838</v>
      </c>
      <c r="H1410" s="20" t="n">
        <v>0.0663286</v>
      </c>
      <c r="I1410" s="20" t="n">
        <v>0.071799</v>
      </c>
      <c r="J1410" s="20" t="n"/>
      <c r="K1410" s="2" t="n"/>
      <c r="L1410" s="5" t="n"/>
      <c r="M1410" s="19">
        <f>資金模擬!$B$5*V1409</f>
        <v/>
      </c>
      <c r="N1410" s="2">
        <f>IF(Z1409=1,"已停止",IF(T1409&gt;=M1410,"已下單","資金不足略過"))</f>
        <v/>
      </c>
      <c r="O1410" s="19">
        <f>IF(N1410="已下單",M1410*資金模擬!$B$7,0)</f>
        <v/>
      </c>
      <c r="P1410" s="4" t="n"/>
      <c r="Q1410" s="13" t="n">
        <v>0</v>
      </c>
      <c r="R1410" s="13">
        <f>R1409+Q1410</f>
        <v/>
      </c>
      <c r="S1410" s="19">
        <f>S1409+IF(N1410="已下單",M1410,0)</f>
        <v/>
      </c>
      <c r="T1410" s="19">
        <f>R1410-S1410</f>
        <v/>
      </c>
      <c r="U1410" s="2">
        <f>U1409+IF(N1410="已下單",1,0)</f>
        <v/>
      </c>
      <c r="V1410" s="19">
        <f>IF(資金模擬!$B$9=2,MAX(R1410,0),MAX(V1409,FLOOR(MAX(R1410,0),資金模擬!$B$6)))</f>
        <v/>
      </c>
      <c r="W1410" s="13">
        <f>MAX(W1409,R1410)</f>
        <v/>
      </c>
      <c r="X1410" s="4">
        <f>IF(W1410&gt;0,R1410/W1410-1,-1)</f>
        <v/>
      </c>
      <c r="Y1410" s="19">
        <f>IF(R1410&gt;0,S1410*資金模擬!$B$7/R1410,0)</f>
        <v/>
      </c>
      <c r="Z1410" s="2">
        <f>IF(OR(Z1409=1,R1410&lt;=資金模擬!$B$10),1,0)</f>
        <v/>
      </c>
    </row>
    <row r="1411">
      <c r="A1411" s="2" t="n">
        <v>1409</v>
      </c>
      <c r="B1411" s="7" t="n">
        <v>46304.79166666666</v>
      </c>
      <c r="C1411" s="2" t="inlineStr">
        <is>
          <t>出場</t>
        </is>
      </c>
      <c r="D1411" s="2" t="n">
        <v>707</v>
      </c>
      <c r="E1411" s="2" t="inlineStr">
        <is>
          <t>SAND_USDT_PERP</t>
        </is>
      </c>
      <c r="F1411" s="2" t="inlineStr">
        <is>
          <t>做空</t>
        </is>
      </c>
      <c r="G1411" s="20" t="n">
        <v>0.06838</v>
      </c>
      <c r="H1411" s="20" t="n">
        <v>0.0663286</v>
      </c>
      <c r="I1411" s="20" t="n">
        <v>0.071799</v>
      </c>
      <c r="J1411" s="20" t="n">
        <v>0.0663286</v>
      </c>
      <c r="K1411" s="2" t="inlineStr">
        <is>
          <t>止盈</t>
        </is>
      </c>
      <c r="L1411" s="5">
        <f>交易明細!K708</f>
        <v/>
      </c>
      <c r="M1411" s="19">
        <f>M1410</f>
        <v/>
      </c>
      <c r="N1411" s="2">
        <f>N1410</f>
        <v/>
      </c>
      <c r="O1411" s="19">
        <f>O1410</f>
        <v/>
      </c>
      <c r="P1411" s="4">
        <f>交易明細!L708</f>
        <v/>
      </c>
      <c r="Q1411" s="13">
        <f>IF(N1411="已下單",O1411*P1411,0)</f>
        <v/>
      </c>
      <c r="R1411" s="13">
        <f>R1410+Q1411</f>
        <v/>
      </c>
      <c r="S1411" s="19">
        <f>S1410-IF(N1411="已下單",M1411,0)</f>
        <v/>
      </c>
      <c r="T1411" s="19">
        <f>R1411-S1411</f>
        <v/>
      </c>
      <c r="U1411" s="2">
        <f>U1410-IF(N1411="已下單",1,0)</f>
        <v/>
      </c>
      <c r="V1411" s="19">
        <f>IF(資金模擬!$B$9=2,MAX(R1411,0),MAX(V1410,FLOOR(MAX(R1411,0),資金模擬!$B$6)))</f>
        <v/>
      </c>
      <c r="W1411" s="13">
        <f>MAX(W1410,R1411)</f>
        <v/>
      </c>
      <c r="X1411" s="4">
        <f>IF(W1411&gt;0,R1411/W1411-1,-1)</f>
        <v/>
      </c>
      <c r="Y1411" s="19">
        <f>IF(R1411&gt;0,S1411*資金模擬!$B$7/R1411,0)</f>
        <v/>
      </c>
      <c r="Z1411" s="2">
        <f>IF(OR(Z1410=1,R1411&lt;=資金模擬!$B$10),1,0)</f>
        <v/>
      </c>
    </row>
    <row r="1412">
      <c r="A1412" s="2" t="n">
        <v>1410</v>
      </c>
      <c r="B1412" s="7" t="n">
        <v>46304.79166666666</v>
      </c>
      <c r="C1412" s="2" t="inlineStr">
        <is>
          <t>進場</t>
        </is>
      </c>
      <c r="D1412" s="2" t="n">
        <v>708</v>
      </c>
      <c r="E1412" s="2" t="inlineStr">
        <is>
          <t>TIA_USDT_PERP</t>
        </is>
      </c>
      <c r="F1412" s="2" t="inlineStr">
        <is>
          <t>做空</t>
        </is>
      </c>
      <c r="G1412" s="20" t="n">
        <v>0.4746</v>
      </c>
      <c r="H1412" s="20" t="n">
        <v>0.460362</v>
      </c>
      <c r="I1412" s="20" t="n">
        <v>0.4983300000000001</v>
      </c>
      <c r="J1412" s="20" t="n"/>
      <c r="K1412" s="2" t="inlineStr">
        <is>
          <t>未平倉</t>
        </is>
      </c>
      <c r="L1412" s="5" t="n"/>
      <c r="M1412" s="19">
        <f>資金模擬!$B$5*V1411</f>
        <v/>
      </c>
      <c r="N1412" s="2">
        <f>IF(Z1411=1,"已停止",IF(T1411&gt;=M1412,"已下單","資金不足略過"))</f>
        <v/>
      </c>
      <c r="O1412" s="19">
        <f>IF(N1412="已下單",M1412*資金模擬!$B$7,0)</f>
        <v/>
      </c>
      <c r="P1412" s="4" t="n"/>
      <c r="Q1412" s="13" t="n">
        <v>0</v>
      </c>
      <c r="R1412" s="13">
        <f>R1411+Q1412</f>
        <v/>
      </c>
      <c r="S1412" s="19">
        <f>S1411+IF(N1412="已下單",M1412,0)</f>
        <v/>
      </c>
      <c r="T1412" s="19">
        <f>R1412-S1412</f>
        <v/>
      </c>
      <c r="U1412" s="2">
        <f>U1411+IF(N1412="已下單",1,0)</f>
        <v/>
      </c>
      <c r="V1412" s="19">
        <f>IF(資金模擬!$B$9=2,MAX(R1412,0),MAX(V1411,FLOOR(MAX(R1412,0),資金模擬!$B$6)))</f>
        <v/>
      </c>
      <c r="W1412" s="13">
        <f>MAX(W1411,R1412)</f>
        <v/>
      </c>
      <c r="X1412" s="4">
        <f>IF(W1412&gt;0,R1412/W1412-1,-1)</f>
        <v/>
      </c>
      <c r="Y1412" s="19">
        <f>IF(R1412&gt;0,S1412*資金模擬!$B$7/R1412,0)</f>
        <v/>
      </c>
      <c r="Z1412" s="2">
        <f>IF(OR(Z1411=1,R1412&lt;=資金模擬!$B$10),1,0)</f>
        <v/>
      </c>
    </row>
    <row r="1413">
      <c r="A1413" s="2" t="n">
        <v>1411</v>
      </c>
      <c r="B1413" s="7" t="n">
        <v>46304.83333333334</v>
      </c>
      <c r="C1413" s="2" t="inlineStr">
        <is>
          <t>進場</t>
        </is>
      </c>
      <c r="D1413" s="2" t="n">
        <v>709</v>
      </c>
      <c r="E1413" s="2" t="inlineStr">
        <is>
          <t>RAY_USDT_PERP</t>
        </is>
      </c>
      <c r="F1413" s="2" t="inlineStr">
        <is>
          <t>做多</t>
        </is>
      </c>
      <c r="G1413" s="20" t="n">
        <v>2.458</v>
      </c>
      <c r="H1413" s="20" t="n">
        <v>2.53174</v>
      </c>
      <c r="I1413" s="20" t="n">
        <v>2.3351</v>
      </c>
      <c r="J1413" s="20" t="n"/>
      <c r="K1413" s="2" t="inlineStr">
        <is>
          <t>未平倉</t>
        </is>
      </c>
      <c r="L1413" s="5" t="n"/>
      <c r="M1413" s="19">
        <f>資金模擬!$B$5*V1412</f>
        <v/>
      </c>
      <c r="N1413" s="2">
        <f>IF(Z1412=1,"已停止",IF(T1412&gt;=M1413,"已下單","資金不足略過"))</f>
        <v/>
      </c>
      <c r="O1413" s="19">
        <f>IF(N1413="已下單",M1413*資金模擬!$B$7,0)</f>
        <v/>
      </c>
      <c r="P1413" s="4" t="n"/>
      <c r="Q1413" s="13" t="n">
        <v>0</v>
      </c>
      <c r="R1413" s="13">
        <f>R1412+Q1413</f>
        <v/>
      </c>
      <c r="S1413" s="19">
        <f>S1412+IF(N1413="已下單",M1413,0)</f>
        <v/>
      </c>
      <c r="T1413" s="19">
        <f>R1413-S1413</f>
        <v/>
      </c>
      <c r="U1413" s="2">
        <f>U1412+IF(N1413="已下單",1,0)</f>
        <v/>
      </c>
      <c r="V1413" s="19">
        <f>IF(資金模擬!$B$9=2,MAX(R1413,0),MAX(V1412,FLOOR(MAX(R1413,0),資金模擬!$B$6)))</f>
        <v/>
      </c>
      <c r="W1413" s="13">
        <f>MAX(W1412,R1413)</f>
        <v/>
      </c>
      <c r="X1413" s="4">
        <f>IF(W1413&gt;0,R1413/W1413-1,-1)</f>
        <v/>
      </c>
      <c r="Y1413" s="19">
        <f>IF(R1413&gt;0,S1413*資金模擬!$B$7/R1413,0)</f>
        <v/>
      </c>
      <c r="Z1413" s="2">
        <f>IF(OR(Z1412=1,R1413&lt;=資金模擬!$B$10),1,0)</f>
        <v/>
      </c>
    </row>
    <row r="1414">
      <c r="A1414" s="2" t="n">
        <v>1412</v>
      </c>
      <c r="B1414" s="7" t="n">
        <v>46304.875</v>
      </c>
      <c r="C1414" s="2" t="inlineStr">
        <is>
          <t>進場</t>
        </is>
      </c>
      <c r="D1414" s="2" t="n">
        <v>710</v>
      </c>
      <c r="E1414" s="2" t="inlineStr">
        <is>
          <t>PUMP_USDT_PERP</t>
        </is>
      </c>
      <c r="F1414" s="2" t="inlineStr">
        <is>
          <t>做空</t>
        </is>
      </c>
      <c r="G1414" s="20" t="n">
        <v>0.005603</v>
      </c>
      <c r="H1414" s="20" t="n">
        <v>0.00543491</v>
      </c>
      <c r="I1414" s="20" t="n">
        <v>0.00588315</v>
      </c>
      <c r="J1414" s="20" t="n"/>
      <c r="K1414" s="2" t="n"/>
      <c r="L1414" s="5" t="n"/>
      <c r="M1414" s="19">
        <f>資金模擬!$B$5*V1413</f>
        <v/>
      </c>
      <c r="N1414" s="2">
        <f>IF(Z1413=1,"已停止",IF(T1413&gt;=M1414,"已下單","資金不足略過"))</f>
        <v/>
      </c>
      <c r="O1414" s="19">
        <f>IF(N1414="已下單",M1414*資金模擬!$B$7,0)</f>
        <v/>
      </c>
      <c r="P1414" s="4" t="n"/>
      <c r="Q1414" s="13" t="n">
        <v>0</v>
      </c>
      <c r="R1414" s="13">
        <f>R1413+Q1414</f>
        <v/>
      </c>
      <c r="S1414" s="19">
        <f>S1413+IF(N1414="已下單",M1414,0)</f>
        <v/>
      </c>
      <c r="T1414" s="19">
        <f>R1414-S1414</f>
        <v/>
      </c>
      <c r="U1414" s="2">
        <f>U1413+IF(N1414="已下單",1,0)</f>
        <v/>
      </c>
      <c r="V1414" s="19">
        <f>IF(資金模擬!$B$9=2,MAX(R1414,0),MAX(V1413,FLOOR(MAX(R1414,0),資金模擬!$B$6)))</f>
        <v/>
      </c>
      <c r="W1414" s="13">
        <f>MAX(W1413,R1414)</f>
        <v/>
      </c>
      <c r="X1414" s="4">
        <f>IF(W1414&gt;0,R1414/W1414-1,-1)</f>
        <v/>
      </c>
      <c r="Y1414" s="19">
        <f>IF(R1414&gt;0,S1414*資金模擬!$B$7/R1414,0)</f>
        <v/>
      </c>
      <c r="Z1414" s="2">
        <f>IF(OR(Z1413=1,R1414&lt;=資金模擬!$B$10),1,0)</f>
        <v/>
      </c>
    </row>
    <row r="1415">
      <c r="A1415" s="2" t="n">
        <v>1413</v>
      </c>
      <c r="B1415" s="7" t="n">
        <v>46304.91666666666</v>
      </c>
      <c r="C1415" s="2" t="inlineStr">
        <is>
          <t>出場</t>
        </is>
      </c>
      <c r="D1415" s="2" t="n">
        <v>706</v>
      </c>
      <c r="E1415" s="2" t="inlineStr">
        <is>
          <t>PONS_USDT_PERP</t>
        </is>
      </c>
      <c r="F1415" s="2" t="inlineStr">
        <is>
          <t>做空</t>
        </is>
      </c>
      <c r="G1415" s="20" t="n">
        <v>0.3532</v>
      </c>
      <c r="H1415" s="20" t="n">
        <v>0.342604</v>
      </c>
      <c r="I1415" s="20" t="n">
        <v>0.37086</v>
      </c>
      <c r="J1415" s="20" t="n">
        <v>0.342604</v>
      </c>
      <c r="K1415" s="2" t="inlineStr">
        <is>
          <t>止盈</t>
        </is>
      </c>
      <c r="L1415" s="5">
        <f>交易明細!K707</f>
        <v/>
      </c>
      <c r="M1415" s="19">
        <f>M1409</f>
        <v/>
      </c>
      <c r="N1415" s="2">
        <f>N1409</f>
        <v/>
      </c>
      <c r="O1415" s="19">
        <f>O1409</f>
        <v/>
      </c>
      <c r="P1415" s="4">
        <f>交易明細!L707</f>
        <v/>
      </c>
      <c r="Q1415" s="13">
        <f>IF(N1415="已下單",O1415*P1415,0)</f>
        <v/>
      </c>
      <c r="R1415" s="13">
        <f>R1414+Q1415</f>
        <v/>
      </c>
      <c r="S1415" s="19">
        <f>S1414-IF(N1415="已下單",M1415,0)</f>
        <v/>
      </c>
      <c r="T1415" s="19">
        <f>R1415-S1415</f>
        <v/>
      </c>
      <c r="U1415" s="2">
        <f>U1414-IF(N1415="已下單",1,0)</f>
        <v/>
      </c>
      <c r="V1415" s="19">
        <f>IF(資金模擬!$B$9=2,MAX(R1415,0),MAX(V1414,FLOOR(MAX(R1415,0),資金模擬!$B$6)))</f>
        <v/>
      </c>
      <c r="W1415" s="13">
        <f>MAX(W1414,R1415)</f>
        <v/>
      </c>
      <c r="X1415" s="4">
        <f>IF(W1415&gt;0,R1415/W1415-1,-1)</f>
        <v/>
      </c>
      <c r="Y1415" s="19">
        <f>IF(R1415&gt;0,S1415*資金模擬!$B$7/R1415,0)</f>
        <v/>
      </c>
      <c r="Z1415" s="2">
        <f>IF(OR(Z1414=1,R1415&lt;=資金模擬!$B$10),1,0)</f>
        <v/>
      </c>
    </row>
    <row r="1416">
      <c r="A1416" s="2" t="n">
        <v>1414</v>
      </c>
      <c r="B1416" s="7" t="n">
        <v>46304.95833333334</v>
      </c>
      <c r="C1416" s="2" t="inlineStr">
        <is>
          <t>出場</t>
        </is>
      </c>
      <c r="D1416" s="2" t="n">
        <v>710</v>
      </c>
      <c r="E1416" s="2" t="inlineStr">
        <is>
          <t>PUMP_USDT_PERP</t>
        </is>
      </c>
      <c r="F1416" s="2" t="inlineStr">
        <is>
          <t>做空</t>
        </is>
      </c>
      <c r="G1416" s="20" t="n">
        <v>0.005603</v>
      </c>
      <c r="H1416" s="20" t="n">
        <v>0.00543491</v>
      </c>
      <c r="I1416" s="20" t="n">
        <v>0.00588315</v>
      </c>
      <c r="J1416" s="20" t="n">
        <v>0.00543491</v>
      </c>
      <c r="K1416" s="2" t="inlineStr">
        <is>
          <t>止盈</t>
        </is>
      </c>
      <c r="L1416" s="5">
        <f>交易明細!K711</f>
        <v/>
      </c>
      <c r="M1416" s="19">
        <f>M1414</f>
        <v/>
      </c>
      <c r="N1416" s="2">
        <f>N1414</f>
        <v/>
      </c>
      <c r="O1416" s="19">
        <f>O1414</f>
        <v/>
      </c>
      <c r="P1416" s="4">
        <f>交易明細!L711</f>
        <v/>
      </c>
      <c r="Q1416" s="13">
        <f>IF(N1416="已下單",O1416*P1416,0)</f>
        <v/>
      </c>
      <c r="R1416" s="13">
        <f>R1415+Q1416</f>
        <v/>
      </c>
      <c r="S1416" s="19">
        <f>S1415-IF(N1416="已下單",M1416,0)</f>
        <v/>
      </c>
      <c r="T1416" s="19">
        <f>R1416-S1416</f>
        <v/>
      </c>
      <c r="U1416" s="2">
        <f>U1415-IF(N1416="已下單",1,0)</f>
        <v/>
      </c>
      <c r="V1416" s="19">
        <f>IF(資金模擬!$B$9=2,MAX(R1416,0),MAX(V1415,FLOOR(MAX(R1416,0),資金模擬!$B$6)))</f>
        <v/>
      </c>
      <c r="W1416" s="13">
        <f>MAX(W1415,R1416)</f>
        <v/>
      </c>
      <c r="X1416" s="4">
        <f>IF(W1416&gt;0,R1416/W1416-1,-1)</f>
        <v/>
      </c>
      <c r="Y1416" s="19">
        <f>IF(R1416&gt;0,S1416*資金模擬!$B$7/R1416,0)</f>
        <v/>
      </c>
      <c r="Z1416" s="2">
        <f>IF(OR(Z1415=1,R1416&lt;=資金模擬!$B$10),1,0)</f>
        <v/>
      </c>
    </row>
  </sheetData>
  <autoFilter ref="A1:Z1416"/>
  <conditionalFormatting sqref="K2:K141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41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41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2026-10-10 00:21（Dry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IFERROR(AVERAGE(交易明細!$AC$2:$AC$711),(B6+2*B7)/(B5+B6))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7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46291.79166666666</v>
      </c>
      <c r="I483" s="20" t="n">
        <v>0.559755</v>
      </c>
      <c r="J483" s="2" t="inlineStr">
        <is>
          <t>止損</t>
        </is>
      </c>
      <c r="K483" s="5">
        <f>(H483-D483)*24</f>
        <v/>
      </c>
      <c r="L483" s="4">
        <f>IF(C483="做多",I483/E483-1,1-I483/E483)-2*參數!$B$7</f>
        <v/>
      </c>
      <c r="M483" s="2" t="inlineStr"/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46291.70833333334</v>
      </c>
      <c r="I487" s="20" t="n">
        <v>0.117523</v>
      </c>
      <c r="J487" s="2" t="inlineStr">
        <is>
          <t>止盈</t>
        </is>
      </c>
      <c r="K487" s="5">
        <f>(H487-D487)*24</f>
        <v/>
      </c>
      <c r="L487" s="4">
        <f>IF(C487="做多",I487/E487-1,1-I487/E487)-2*參數!$B$7</f>
        <v/>
      </c>
      <c r="M487" s="2" t="inlineStr"/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0.03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46291.75</v>
      </c>
      <c r="I489" s="20" t="n">
        <v>0.217265</v>
      </c>
      <c r="J489" s="2" t="inlineStr">
        <is>
          <t>止損</t>
        </is>
      </c>
      <c r="K489" s="5">
        <f>(H489-D489)*24</f>
        <v/>
      </c>
      <c r="L489" s="4">
        <f>IF(C489="做多",I489/E489-1,1-I489/E489)-2*參數!$B$7</f>
        <v/>
      </c>
      <c r="M489" s="2" t="inlineStr"/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0.05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46292.20833333334</v>
      </c>
      <c r="I490" s="20" t="n">
        <v>0.009757450000000001</v>
      </c>
      <c r="J490" s="2" t="inlineStr">
        <is>
          <t>止損</t>
        </is>
      </c>
      <c r="K490" s="5">
        <f>(H490-D490)*24</f>
        <v/>
      </c>
      <c r="L490" s="4">
        <f>IF(C490="做多",I490/E490-1,1-I490/E490)-2*參數!$B$7</f>
        <v/>
      </c>
      <c r="M490" s="2" t="inlineStr"/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0.05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46292</v>
      </c>
      <c r="I494" s="20" t="n">
        <v>0.254204</v>
      </c>
      <c r="J494" s="2" t="inlineStr">
        <is>
          <t>止盈</t>
        </is>
      </c>
      <c r="K494" s="5">
        <f>(H494-D494)*24</f>
        <v/>
      </c>
      <c r="L494" s="4">
        <f>IF(C494="做多",I494/E494-1,1-I494/E494)-2*參數!$B$7</f>
        <v/>
      </c>
      <c r="M494" s="2" t="inlineStr"/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0.03</v>
      </c>
      <c r="T494" s="4" t="n">
        <v>0.03727714748784439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46291.625</v>
      </c>
      <c r="I495" s="20" t="n">
        <v>103.7416</v>
      </c>
      <c r="J495" s="2" t="inlineStr">
        <is>
          <t>止盈</t>
        </is>
      </c>
      <c r="K495" s="5">
        <f>(H495-D495)*24</f>
        <v/>
      </c>
      <c r="L495" s="4">
        <f>IF(C495="做多",I495/E495-1,1-I495/E495)-2*參數!$B$7</f>
        <v/>
      </c>
      <c r="M495" s="2" t="inlineStr"/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0.03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  <row r="496">
      <c r="A496" s="2" t="n">
        <v>495</v>
      </c>
      <c r="B496" s="2" t="inlineStr">
        <is>
          <t>MUBARAK_USDT_PERP</t>
        </is>
      </c>
      <c r="C496" s="2" t="inlineStr">
        <is>
          <t>做空</t>
        </is>
      </c>
      <c r="D496" s="7" t="n">
        <v>46291.625</v>
      </c>
      <c r="E496" s="20" t="n">
        <v>0.05304</v>
      </c>
      <c r="F496" s="20" t="n">
        <v>0.0514488</v>
      </c>
      <c r="G496" s="20" t="n">
        <v>0.055692</v>
      </c>
      <c r="H496" s="7" t="n">
        <v>46291.75</v>
      </c>
      <c r="I496" s="20" t="n">
        <v>0.055692</v>
      </c>
      <c r="J496" s="2" t="inlineStr">
        <is>
          <t>止損</t>
        </is>
      </c>
      <c r="K496" s="5">
        <f>(H496-D496)*24</f>
        <v/>
      </c>
      <c r="L496" s="4">
        <f>IF(C496="做多",I496/E496-1,1-I496/E496)-2*參數!$B$7</f>
        <v/>
      </c>
      <c r="M496" s="2" t="inlineStr"/>
      <c r="N496" s="4" t="n">
        <v>-0.0307017543859649</v>
      </c>
      <c r="O496" s="4" t="n">
        <v>0.05405359387261636</v>
      </c>
      <c r="P496" s="4" t="n">
        <v>-0.007057678267218481</v>
      </c>
      <c r="Q496" s="22" t="n">
        <v>-3552835</v>
      </c>
      <c r="R496" s="22" t="n">
        <v>1583241.60094</v>
      </c>
      <c r="S496" s="4" t="n">
        <v>0.01715686274509798</v>
      </c>
      <c r="T496" s="4" t="n">
        <v>0.05</v>
      </c>
      <c r="U496" s="19" t="n">
        <v>0.9170324134937781</v>
      </c>
      <c r="V496" s="19" t="n">
        <v>0.5200000000000011</v>
      </c>
      <c r="W496" s="4" t="n">
        <v>0.05583799718033067</v>
      </c>
      <c r="X496" s="4" t="n">
        <v>-0.2380952380952379</v>
      </c>
      <c r="Y496" s="4" t="n">
        <v>0.0003945436167370753</v>
      </c>
      <c r="Z496" s="4" t="n">
        <v>0.001137489756636745</v>
      </c>
      <c r="AA496" s="4" t="n">
        <v>0.03</v>
      </c>
      <c r="AB496" s="4" t="n">
        <v>0.05</v>
      </c>
      <c r="AC496" s="4">
        <f>(AB496+2*參數!$B$7)/(AA496+AB496)</f>
        <v/>
      </c>
    </row>
    <row r="497">
      <c r="A497" s="2" t="n">
        <v>496</v>
      </c>
      <c r="B497" s="2" t="inlineStr">
        <is>
          <t>AKE_USDT_PERP</t>
        </is>
      </c>
      <c r="C497" s="2" t="inlineStr">
        <is>
          <t>做多</t>
        </is>
      </c>
      <c r="D497" s="7" t="n">
        <v>46291.66666666666</v>
      </c>
      <c r="E497" s="20" t="n">
        <v>0.0360925</v>
      </c>
      <c r="F497" s="20" t="n">
        <v>0.037175275</v>
      </c>
      <c r="G497" s="20" t="n">
        <v>0.034287875</v>
      </c>
      <c r="H497" s="7" t="n">
        <v>46291.70833333334</v>
      </c>
      <c r="I497" s="20" t="n">
        <v>0.034287875</v>
      </c>
      <c r="J497" s="2" t="inlineStr">
        <is>
          <t>止損</t>
        </is>
      </c>
      <c r="K497" s="5">
        <f>(H497-D497)*24</f>
        <v/>
      </c>
      <c r="L497" s="4">
        <f>IF(C497="做多",I497/E497-1,1-I497/E497)-2*參數!$B$7</f>
        <v/>
      </c>
      <c r="M497" s="2" t="inlineStr"/>
      <c r="N497" s="4" t="n">
        <v>0.0371408045977013</v>
      </c>
      <c r="O497" s="4" t="n">
        <v>0.04376358834289845</v>
      </c>
      <c r="P497" s="4" t="n">
        <v>0.05753621092767403</v>
      </c>
      <c r="Q497" s="22" t="n">
        <v>38791</v>
      </c>
      <c r="R497" s="22" t="n">
        <v>3709484.1721084</v>
      </c>
      <c r="S497" s="4" t="n">
        <v>0</v>
      </c>
      <c r="T497" s="4" t="n">
        <v>0.05</v>
      </c>
      <c r="U497" s="19" t="n">
        <v>2.141688411708617</v>
      </c>
      <c r="V497" s="19" t="n">
        <v>0.4984609465178913</v>
      </c>
      <c r="W497" s="4" t="n">
        <v>-0.1562042698016067</v>
      </c>
      <c r="X497" s="4" t="n">
        <v>0.01558872771782704</v>
      </c>
      <c r="Y497" s="4" t="n">
        <v>0.00254825527388669</v>
      </c>
      <c r="Z497" s="4" t="n">
        <v>0.001681383112599022</v>
      </c>
      <c r="AA497" s="4" t="n">
        <v>0.03</v>
      </c>
      <c r="AB497" s="4" t="n">
        <v>0.05</v>
      </c>
      <c r="AC497" s="4">
        <f>(AB497+2*參數!$B$7)/(AA497+AB497)</f>
        <v/>
      </c>
    </row>
    <row r="498">
      <c r="A498" s="2" t="n">
        <v>497</v>
      </c>
      <c r="B498" s="2" t="inlineStr">
        <is>
          <t>ENA_USDT_PERP</t>
        </is>
      </c>
      <c r="C498" s="2" t="inlineStr">
        <is>
          <t>做多</t>
        </is>
      </c>
      <c r="D498" s="7" t="n">
        <v>46291.66666666666</v>
      </c>
      <c r="E498" s="20" t="n">
        <v>0.2716</v>
      </c>
      <c r="F498" s="20" t="n">
        <v>0.279748</v>
      </c>
      <c r="G498" s="20" t="n">
        <v>0.25802</v>
      </c>
      <c r="H498" s="7" t="n">
        <v>46291.75</v>
      </c>
      <c r="I498" s="20" t="n">
        <v>0.279748</v>
      </c>
      <c r="J498" s="2" t="inlineStr">
        <is>
          <t>止盈</t>
        </is>
      </c>
      <c r="K498" s="5">
        <f>(H498-D498)*24</f>
        <v/>
      </c>
      <c r="L498" s="4">
        <f>IF(C498="做多",I498/E498-1,1-I498/E498)-2*參數!$B$7</f>
        <v/>
      </c>
      <c r="M498" s="2" t="inlineStr"/>
      <c r="N498" s="4" t="n">
        <v>0.02143663031214738</v>
      </c>
      <c r="O498" s="4" t="n">
        <v>0.02705385502733253</v>
      </c>
      <c r="P498" s="4" t="n">
        <v>0.03474550441938451</v>
      </c>
      <c r="Q498" s="22" t="n">
        <v>21356433</v>
      </c>
      <c r="R498" s="22" t="n">
        <v>15550722.8349</v>
      </c>
      <c r="S498" s="4" t="n">
        <v>0.03</v>
      </c>
      <c r="T498" s="4" t="n">
        <v>0.0003681885125184081</v>
      </c>
      <c r="U498" s="19" t="n">
        <v>0.4511772202793475</v>
      </c>
      <c r="V498" s="19" t="n">
        <v>0.5943396226415122</v>
      </c>
      <c r="W498" s="4" t="n">
        <v>0.2158217988432682</v>
      </c>
      <c r="X498" s="4" t="n">
        <v>0.2328642759872901</v>
      </c>
      <c r="Y498" s="4" t="n">
        <v>0.00254825527388669</v>
      </c>
      <c r="Z498" s="4" t="n">
        <v>0.001681383112599022</v>
      </c>
      <c r="AA498" s="4" t="n">
        <v>0.03</v>
      </c>
      <c r="AB498" s="4" t="n">
        <v>0.05</v>
      </c>
      <c r="AC498" s="4">
        <f>(AB498+2*參數!$B$7)/(AA498+AB498)</f>
        <v/>
      </c>
    </row>
    <row r="499">
      <c r="A499" s="2" t="n">
        <v>498</v>
      </c>
      <c r="B499" s="2" t="inlineStr">
        <is>
          <t>SAGA_USDT_PERP</t>
        </is>
      </c>
      <c r="C499" s="2" t="inlineStr">
        <is>
          <t>做空</t>
        </is>
      </c>
      <c r="D499" s="7" t="n">
        <v>46291.66666666666</v>
      </c>
      <c r="E499" s="20" t="n">
        <v>0.03453</v>
      </c>
      <c r="F499" s="20" t="n">
        <v>0.0334941</v>
      </c>
      <c r="G499" s="20" t="n">
        <v>0.0362565</v>
      </c>
      <c r="H499" s="7" t="n">
        <v>46291.70833333334</v>
      </c>
      <c r="I499" s="20" t="n">
        <v>0.0334941</v>
      </c>
      <c r="J499" s="2" t="inlineStr">
        <is>
          <t>止盈</t>
        </is>
      </c>
      <c r="K499" s="5">
        <f>(H499-D499)*24</f>
        <v/>
      </c>
      <c r="L499" s="4">
        <f>IF(C499="做多",I499/E499-1,1-I499/E499)-2*參數!$B$7</f>
        <v/>
      </c>
      <c r="M499" s="2" t="inlineStr"/>
      <c r="N499" s="4" t="n">
        <v>-0.07202364955657081</v>
      </c>
      <c r="O499" s="4" t="n">
        <v>0.1068577638223083</v>
      </c>
      <c r="P499" s="4" t="n">
        <v>-0.05601574673993281</v>
      </c>
      <c r="Q499" s="22" t="n">
        <v>-7576045.099999987</v>
      </c>
      <c r="R499" s="22" t="n">
        <v>2243283.424849</v>
      </c>
      <c r="S499" s="4" t="n">
        <v>0.03</v>
      </c>
      <c r="T499" s="4" t="n">
        <v>0</v>
      </c>
      <c r="U499" s="19" t="n">
        <v>0.7568498560891384</v>
      </c>
      <c r="V499" s="19" t="n">
        <v>0.7253333333333341</v>
      </c>
      <c r="W499" s="4" t="n">
        <v>0.1916396862073083</v>
      </c>
      <c r="X499" s="4" t="n">
        <v>-0.004363001745200545</v>
      </c>
      <c r="Y499" s="4" t="n">
        <v>-0.00254825527388669</v>
      </c>
      <c r="Z499" s="4" t="n">
        <v>-0.001681383112599022</v>
      </c>
      <c r="AA499" s="4" t="n">
        <v>0.03</v>
      </c>
      <c r="AB499" s="4" t="n">
        <v>0.05</v>
      </c>
      <c r="AC499" s="4">
        <f>(AB499+2*參數!$B$7)/(AA499+AB499)</f>
        <v/>
      </c>
    </row>
    <row r="500">
      <c r="A500" s="2" t="n">
        <v>499</v>
      </c>
      <c r="B500" s="2" t="inlineStr">
        <is>
          <t>AERO_USDT_PERP</t>
        </is>
      </c>
      <c r="C500" s="2" t="inlineStr">
        <is>
          <t>做多</t>
        </is>
      </c>
      <c r="D500" s="7" t="n">
        <v>46291.70833333334</v>
      </c>
      <c r="E500" s="20" t="n">
        <v>0.9006999999999999</v>
      </c>
      <c r="F500" s="20" t="n">
        <v>0.927721</v>
      </c>
      <c r="G500" s="20" t="n">
        <v>0.8556649999999999</v>
      </c>
      <c r="H500" s="7" t="n">
        <v>46291.83333333334</v>
      </c>
      <c r="I500" s="20" t="n">
        <v>0.927721</v>
      </c>
      <c r="J500" s="2" t="inlineStr">
        <is>
          <t>止盈</t>
        </is>
      </c>
      <c r="K500" s="5">
        <f>(H500-D500)*24</f>
        <v/>
      </c>
      <c r="L500" s="4">
        <f>IF(C500="做多",I500/E500-1,1-I500/E500)-2*參數!$B$7</f>
        <v/>
      </c>
      <c r="M500" s="2" t="inlineStr"/>
      <c r="N500" s="4" t="n">
        <v>0.02760981175128352</v>
      </c>
      <c r="O500" s="4" t="n">
        <v>0.02784418497290705</v>
      </c>
      <c r="P500" s="4" t="n">
        <v>0.05456652948442509</v>
      </c>
      <c r="Q500" s="22" t="n">
        <v>587547.2000000007</v>
      </c>
      <c r="R500" s="22" t="n">
        <v>2254017.66845</v>
      </c>
      <c r="S500" s="4" t="n">
        <v>0.03</v>
      </c>
      <c r="T500" s="4" t="n">
        <v>0.0114355501276785</v>
      </c>
      <c r="U500" s="19" t="n">
        <v>0.7215711136420873</v>
      </c>
      <c r="V500" s="19" t="n">
        <v>0.816393442622949</v>
      </c>
      <c r="W500" s="4" t="n">
        <v>0.2342989012314212</v>
      </c>
      <c r="X500" s="4" t="n">
        <v>0.2012536676447052</v>
      </c>
      <c r="Y500" s="4" t="n">
        <v>0.001099018733273782</v>
      </c>
      <c r="Z500" s="4" t="n">
        <v>0.002936393434418427</v>
      </c>
      <c r="AA500" s="4" t="n">
        <v>0.03</v>
      </c>
      <c r="AB500" s="4" t="n">
        <v>0.05</v>
      </c>
      <c r="AC500" s="4">
        <f>(AB500+2*參數!$B$7)/(AA500+AB500)</f>
        <v/>
      </c>
    </row>
    <row r="501">
      <c r="A501" s="2" t="n">
        <v>500</v>
      </c>
      <c r="B501" s="2" t="inlineStr">
        <is>
          <t>USELESS_USDT_PERP</t>
        </is>
      </c>
      <c r="C501" s="2" t="inlineStr">
        <is>
          <t>做空</t>
        </is>
      </c>
      <c r="D501" s="7" t="n">
        <v>46291.70833333334</v>
      </c>
      <c r="E501" s="20" t="n">
        <v>0.28291</v>
      </c>
      <c r="F501" s="20" t="n">
        <v>0.2744227</v>
      </c>
      <c r="G501" s="20" t="n">
        <v>0.2970555</v>
      </c>
      <c r="H501" s="7" t="n">
        <v>46291.75</v>
      </c>
      <c r="I501" s="20" t="n">
        <v>0.2744227</v>
      </c>
      <c r="J501" s="2" t="inlineStr">
        <is>
          <t>止盈</t>
        </is>
      </c>
      <c r="K501" s="5">
        <f>(H501-D501)*24</f>
        <v/>
      </c>
      <c r="L501" s="4">
        <f>IF(C501="做多",I501/E501-1,1-I501/E501)-2*參數!$B$7</f>
        <v/>
      </c>
      <c r="M501" s="2" t="inlineStr"/>
      <c r="N501" s="4" t="n">
        <v>-0.02269586845377924</v>
      </c>
      <c r="O501" s="4" t="n">
        <v>0.02874113772822599</v>
      </c>
      <c r="P501" s="4" t="n">
        <v>-0.02420769258627575</v>
      </c>
      <c r="Q501" s="22" t="n">
        <v>-3295421</v>
      </c>
      <c r="R501" s="22" t="n">
        <v>2751817.14514</v>
      </c>
      <c r="S501" s="4" t="n">
        <v>0.03</v>
      </c>
      <c r="T501" s="4" t="n">
        <v>0</v>
      </c>
      <c r="U501" s="19" t="n">
        <v>1.360684736329517</v>
      </c>
      <c r="V501" s="19" t="n">
        <v>0.8853362734288877</v>
      </c>
      <c r="W501" s="4" t="n">
        <v>0.06058653986638152</v>
      </c>
      <c r="X501" s="4" t="n">
        <v>0.005518841394825724</v>
      </c>
      <c r="Y501" s="4" t="n">
        <v>-0.001099018733273782</v>
      </c>
      <c r="Z501" s="4" t="n">
        <v>-0.002936393434418427</v>
      </c>
      <c r="AA501" s="4" t="n">
        <v>0.03</v>
      </c>
      <c r="AB501" s="4" t="n">
        <v>0.05</v>
      </c>
      <c r="AC501" s="4">
        <f>(AB501+2*參數!$B$7)/(AA501+AB501)</f>
        <v/>
      </c>
    </row>
    <row r="502">
      <c r="A502" s="2" t="n">
        <v>501</v>
      </c>
      <c r="B502" s="2" t="inlineStr">
        <is>
          <t>USELESS_USDT_PERP</t>
        </is>
      </c>
      <c r="C502" s="2" t="inlineStr">
        <is>
          <t>做多</t>
        </is>
      </c>
      <c r="D502" s="7" t="n">
        <v>46291.95833333334</v>
      </c>
      <c r="E502" s="20" t="n">
        <v>0.29344</v>
      </c>
      <c r="F502" s="20" t="n">
        <v>0.3022432</v>
      </c>
      <c r="G502" s="20" t="n">
        <v>0.278768</v>
      </c>
      <c r="H502" s="7" t="n">
        <v>46292.20833333334</v>
      </c>
      <c r="I502" s="20" t="n">
        <v>0.278768</v>
      </c>
      <c r="J502" s="2" t="inlineStr">
        <is>
          <t>止損</t>
        </is>
      </c>
      <c r="K502" s="5">
        <f>(H502-D502)*24</f>
        <v/>
      </c>
      <c r="L502" s="4">
        <f>IF(C502="做多",I502/E502-1,1-I502/E502)-2*參數!$B$7</f>
        <v/>
      </c>
      <c r="M502" s="2" t="inlineStr"/>
      <c r="N502" s="4" t="n">
        <v>0.02773886242644985</v>
      </c>
      <c r="O502" s="4" t="n">
        <v>0.02714119131917923</v>
      </c>
      <c r="P502" s="4" t="n">
        <v>0.02590816681496122</v>
      </c>
      <c r="Q502" s="22" t="n">
        <v>1024608</v>
      </c>
      <c r="R502" s="22" t="n">
        <v>2323393.57515</v>
      </c>
      <c r="S502" s="4" t="n">
        <v>0.01277944383860419</v>
      </c>
      <c r="T502" s="4" t="n">
        <v>0.05</v>
      </c>
      <c r="U502" s="19" t="n">
        <v>4.33362944485502</v>
      </c>
      <c r="V502" s="19" t="n">
        <v>0.785028790786946</v>
      </c>
      <c r="W502" s="4" t="n">
        <v>-0.02411932455914279</v>
      </c>
      <c r="X502" s="4" t="n">
        <v>-0.02459779284669594</v>
      </c>
      <c r="Y502" s="4" t="n">
        <v>0.0008580887978890672</v>
      </c>
      <c r="Z502" s="4" t="n">
        <v>2.441134424913116e-05</v>
      </c>
      <c r="AA502" s="4" t="n">
        <v>0.03</v>
      </c>
      <c r="AB502" s="4" t="n">
        <v>0.05</v>
      </c>
      <c r="AC502" s="4">
        <f>(AB502+2*參數!$B$7)/(AA502+AB502)</f>
        <v/>
      </c>
    </row>
    <row r="503">
      <c r="A503" s="2" t="n">
        <v>502</v>
      </c>
      <c r="B503" s="2" t="inlineStr">
        <is>
          <t>WLD_USDT_PERP</t>
        </is>
      </c>
      <c r="C503" s="2" t="inlineStr">
        <is>
          <t>做多</t>
        </is>
      </c>
      <c r="D503" s="7" t="n">
        <v>46291.95833333334</v>
      </c>
      <c r="E503" s="20" t="n">
        <v>0.5108</v>
      </c>
      <c r="F503" s="20" t="n">
        <v>0.526124</v>
      </c>
      <c r="G503" s="20" t="n">
        <v>0.48526</v>
      </c>
      <c r="H503" s="7" t="n">
        <v>46292</v>
      </c>
      <c r="I503" s="20" t="n">
        <v>0.526124</v>
      </c>
      <c r="J503" s="2" t="inlineStr">
        <is>
          <t>止盈</t>
        </is>
      </c>
      <c r="K503" s="5">
        <f>(H503-D503)*24</f>
        <v/>
      </c>
      <c r="L503" s="4">
        <f>IF(C503="做多",I503/E503-1,1-I503/E503)-2*參數!$B$7</f>
        <v/>
      </c>
      <c r="M503" s="2" t="inlineStr"/>
      <c r="N503" s="4" t="n">
        <v>0.03715736040609152</v>
      </c>
      <c r="O503" s="4" t="n">
        <v>0.02012033948551095</v>
      </c>
      <c r="P503" s="4" t="n">
        <v>0.0546528193587017</v>
      </c>
      <c r="Q503" s="22" t="n">
        <v>162320</v>
      </c>
      <c r="R503" s="22" t="n">
        <v>1795819.3342</v>
      </c>
      <c r="S503" s="4" t="n">
        <v>0.03</v>
      </c>
      <c r="T503" s="4" t="n">
        <v>0</v>
      </c>
      <c r="U503" s="19" t="n">
        <v>2.192132916736635</v>
      </c>
      <c r="V503" s="19" t="n">
        <v>1</v>
      </c>
      <c r="W503" s="4" t="n">
        <v>0.1397257339717701</v>
      </c>
      <c r="X503" s="4" t="n">
        <v>0.1275938189845476</v>
      </c>
      <c r="Y503" s="4" t="n">
        <v>0.0008580887978890672</v>
      </c>
      <c r="Z503" s="4" t="n">
        <v>2.441134424913116e-05</v>
      </c>
      <c r="AA503" s="4" t="n">
        <v>0.03</v>
      </c>
      <c r="AB503" s="4" t="n">
        <v>0.05</v>
      </c>
      <c r="AC503" s="4">
        <f>(AB503+2*參數!$B$7)/(AA503+AB503)</f>
        <v/>
      </c>
    </row>
    <row r="504">
      <c r="A504" s="2" t="n">
        <v>503</v>
      </c>
      <c r="B504" s="2" t="inlineStr">
        <is>
          <t>AKE_USDT_PERP</t>
        </is>
      </c>
      <c r="C504" s="2" t="inlineStr">
        <is>
          <t>做多</t>
        </is>
      </c>
      <c r="D504" s="7" t="n">
        <v>46292</v>
      </c>
      <c r="E504" s="20" t="n">
        <v>0.0345245</v>
      </c>
      <c r="F504" s="20" t="n">
        <v>0.035560235</v>
      </c>
      <c r="G504" s="20" t="n">
        <v>0.03279827499999999</v>
      </c>
      <c r="H504" s="7" t="n">
        <v>46292.29166666666</v>
      </c>
      <c r="I504" s="20" t="n">
        <v>0.03279827499999999</v>
      </c>
      <c r="J504" s="2" t="inlineStr">
        <is>
          <t>止損</t>
        </is>
      </c>
      <c r="K504" s="5">
        <f>(H504-D504)*24</f>
        <v/>
      </c>
      <c r="L504" s="4">
        <f>IF(C504="做多",I504/E504-1,1-I504/E504)-2*參數!$B$7</f>
        <v/>
      </c>
      <c r="M504" s="2" t="inlineStr"/>
      <c r="N504" s="4" t="n">
        <v>0.02057436776682398</v>
      </c>
      <c r="O504" s="4" t="n">
        <v>0.04367170854440915</v>
      </c>
      <c r="P504" s="4" t="n">
        <v>0.03007811998845944</v>
      </c>
      <c r="Q504" s="22" t="n">
        <v>19543508</v>
      </c>
      <c r="R504" s="22" t="n">
        <v>3502572.2021373</v>
      </c>
      <c r="S504" s="4" t="n">
        <v>0.01453750235340112</v>
      </c>
      <c r="T504" s="4" t="n">
        <v>0.05</v>
      </c>
      <c r="U504" s="19" t="n">
        <v>0.857412711631919</v>
      </c>
      <c r="V504" s="19" t="n">
        <v>0.7702841492639491</v>
      </c>
      <c r="W504" s="4" t="n">
        <v>-0.1604778009486288</v>
      </c>
      <c r="X504" s="4" t="n">
        <v>-0.06965871272854651</v>
      </c>
      <c r="Y504" s="4" t="n">
        <v>0.001586103258656379</v>
      </c>
      <c r="Z504" s="4" t="n">
        <v>0.001523969689208649</v>
      </c>
      <c r="AA504" s="4" t="n">
        <v>0.03</v>
      </c>
      <c r="AB504" s="4" t="n">
        <v>0.05</v>
      </c>
      <c r="AC504" s="4">
        <f>(AB504+2*參數!$B$7)/(AA504+AB504)</f>
        <v/>
      </c>
    </row>
    <row r="505">
      <c r="A505" s="2" t="n">
        <v>504</v>
      </c>
      <c r="B505" s="2" t="inlineStr">
        <is>
          <t>BTW_USDT_PERP</t>
        </is>
      </c>
      <c r="C505" s="2" t="inlineStr">
        <is>
          <t>做多</t>
        </is>
      </c>
      <c r="D505" s="7" t="n">
        <v>46292</v>
      </c>
      <c r="E505" s="20" t="n">
        <v>1.057552</v>
      </c>
      <c r="F505" s="20" t="n">
        <v>1.08927856</v>
      </c>
      <c r="G505" s="20" t="n">
        <v>1.0046744</v>
      </c>
      <c r="H505" s="7" t="n">
        <v>46292.33333333334</v>
      </c>
      <c r="I505" s="20" t="n">
        <v>1.0046744</v>
      </c>
      <c r="J505" s="2" t="inlineStr">
        <is>
          <t>止損</t>
        </is>
      </c>
      <c r="K505" s="5">
        <f>(H505-D505)*24</f>
        <v/>
      </c>
      <c r="L505" s="4">
        <f>IF(C505="做多",I505/E505-1,1-I505/E505)-2*參數!$B$7</f>
        <v/>
      </c>
      <c r="M505" s="2" t="inlineStr"/>
      <c r="N505" s="4" t="n">
        <v>0.06179919678714874</v>
      </c>
      <c r="O505" s="4" t="n">
        <v>0.06782500151658741</v>
      </c>
      <c r="P505" s="4" t="n">
        <v>0.03110342385066267</v>
      </c>
      <c r="Q505" s="22" t="n">
        <v>126898</v>
      </c>
      <c r="R505" s="22" t="n">
        <v>1903258.940872</v>
      </c>
      <c r="S505" s="4" t="n">
        <v>0.02744167662677577</v>
      </c>
      <c r="T505" s="4" t="n">
        <v>0.05</v>
      </c>
      <c r="U505" s="19" t="n">
        <v>1.579798830415901</v>
      </c>
      <c r="V505" s="19" t="n">
        <v>0.9108931649815969</v>
      </c>
      <c r="W505" s="4" t="n">
        <v>0.05231673476769805</v>
      </c>
      <c r="X505" s="4" t="n">
        <v>-0.1433364574026267</v>
      </c>
      <c r="Y505" s="4" t="n">
        <v>0.001586103258656379</v>
      </c>
      <c r="Z505" s="4" t="n">
        <v>0.001523969689208649</v>
      </c>
      <c r="AA505" s="4" t="n">
        <v>0.03</v>
      </c>
      <c r="AB505" s="4" t="n">
        <v>0.05</v>
      </c>
      <c r="AC505" s="4">
        <f>(AB505+2*參數!$B$7)/(AA505+AB505)</f>
        <v/>
      </c>
    </row>
    <row r="506">
      <c r="A506" s="2" t="n">
        <v>505</v>
      </c>
      <c r="B506" s="2" t="inlineStr">
        <is>
          <t>LYN_USDT_PERP</t>
        </is>
      </c>
      <c r="C506" s="2" t="inlineStr">
        <is>
          <t>做空</t>
        </is>
      </c>
      <c r="D506" s="7" t="n">
        <v>46292</v>
      </c>
      <c r="E506" s="20" t="n">
        <v>0.04265</v>
      </c>
      <c r="F506" s="20" t="n">
        <v>0.0413705</v>
      </c>
      <c r="G506" s="20" t="n">
        <v>0.0447825</v>
      </c>
      <c r="H506" s="7" t="n">
        <v>46292.08333333334</v>
      </c>
      <c r="I506" s="20" t="n">
        <v>0.0413705</v>
      </c>
      <c r="J506" s="2" t="inlineStr">
        <is>
          <t>止盈</t>
        </is>
      </c>
      <c r="K506" s="5">
        <f>(H506-D506)*24</f>
        <v/>
      </c>
      <c r="L506" s="4">
        <f>IF(C506="做多",I506/E506-1,1-I506/E506)-2*參數!$B$7</f>
        <v/>
      </c>
      <c r="M506" s="2" t="inlineStr"/>
      <c r="N506" s="4" t="n">
        <v>-0.05662464056624639</v>
      </c>
      <c r="O506" s="4" t="n">
        <v>0.06448999931540912</v>
      </c>
      <c r="P506" s="4" t="n">
        <v>-0.05954730377834871</v>
      </c>
      <c r="Q506" s="22" t="n">
        <v>-4249878</v>
      </c>
      <c r="R506" s="22" t="n">
        <v>2519773.3679</v>
      </c>
      <c r="S506" s="4" t="n">
        <v>0.03</v>
      </c>
      <c r="T506" s="4" t="n">
        <v>0.02321219226260252</v>
      </c>
      <c r="U506" s="19" t="n">
        <v>0.8053979470157903</v>
      </c>
      <c r="V506" s="19" t="n">
        <v>0.833333333333333</v>
      </c>
      <c r="W506" s="4" t="n">
        <v>-0.01689500112061126</v>
      </c>
      <c r="X506" s="4" t="n">
        <v>0.04436477705579212</v>
      </c>
      <c r="Y506" s="4" t="n">
        <v>-0.001586103258656379</v>
      </c>
      <c r="Z506" s="4" t="n">
        <v>-0.001523969689208649</v>
      </c>
      <c r="AA506" s="4" t="n">
        <v>0.03</v>
      </c>
      <c r="AB506" s="4" t="n">
        <v>0.05</v>
      </c>
      <c r="AC506" s="4">
        <f>(AB506+2*參數!$B$7)/(AA506+AB506)</f>
        <v/>
      </c>
    </row>
    <row r="507">
      <c r="A507" s="2" t="n">
        <v>506</v>
      </c>
      <c r="B507" s="2" t="inlineStr">
        <is>
          <t>PHA_USDT_PERP</t>
        </is>
      </c>
      <c r="C507" s="2" t="inlineStr">
        <is>
          <t>做空</t>
        </is>
      </c>
      <c r="D507" s="7" t="n">
        <v>46292.04166666666</v>
      </c>
      <c r="E507" s="20" t="n">
        <v>0.07908999999999999</v>
      </c>
      <c r="F507" s="20" t="n">
        <v>0.07671729999999999</v>
      </c>
      <c r="G507" s="20" t="n">
        <v>0.08304449999999999</v>
      </c>
      <c r="H507" s="7" t="n">
        <v>46292.125</v>
      </c>
      <c r="I507" s="20" t="n">
        <v>0.08304449999999999</v>
      </c>
      <c r="J507" s="2" t="inlineStr">
        <is>
          <t>止損</t>
        </is>
      </c>
      <c r="K507" s="5">
        <f>(H507-D507)*24</f>
        <v/>
      </c>
      <c r="L507" s="4">
        <f>IF(C507="做多",I507/E507-1,1-I507/E507)-2*參數!$B$7</f>
        <v/>
      </c>
      <c r="M507" s="2" t="inlineStr"/>
      <c r="N507" s="4" t="n">
        <v>-0.04836963061003496</v>
      </c>
      <c r="O507" s="4" t="n">
        <v>0.06431794092008644</v>
      </c>
      <c r="P507" s="4" t="n">
        <v>-0.04866152245430666</v>
      </c>
      <c r="Q507" s="22" t="n">
        <v>-28818840</v>
      </c>
      <c r="R507" s="22" t="n">
        <v>8159570.02991</v>
      </c>
      <c r="S507" s="4" t="n">
        <v>0.0149197117208244</v>
      </c>
      <c r="T507" s="4" t="n">
        <v>0.05</v>
      </c>
      <c r="U507" s="19" t="n">
        <v>0.3945080474810943</v>
      </c>
      <c r="V507" s="19" t="n">
        <v>0.7750809061488688</v>
      </c>
      <c r="W507" s="4" t="n">
        <v>-0.3488668767822303</v>
      </c>
      <c r="X507" s="4" t="n">
        <v>0.01678269517652919</v>
      </c>
      <c r="Y507" s="4" t="n">
        <v>0.0005064639542708971</v>
      </c>
      <c r="Z507" s="4" t="n">
        <v>-0.0008795048581109466</v>
      </c>
      <c r="AA507" s="4" t="n">
        <v>0.03</v>
      </c>
      <c r="AB507" s="4" t="n">
        <v>0.05</v>
      </c>
      <c r="AC507" s="4">
        <f>(AB507+2*參數!$B$7)/(AA507+AB507)</f>
        <v/>
      </c>
    </row>
    <row r="508">
      <c r="A508" s="2" t="n">
        <v>507</v>
      </c>
      <c r="B508" s="2" t="inlineStr">
        <is>
          <t>NEAR_USDT_PERP</t>
        </is>
      </c>
      <c r="C508" s="2" t="inlineStr">
        <is>
          <t>做多</t>
        </is>
      </c>
      <c r="D508" s="7" t="n">
        <v>46292.25</v>
      </c>
      <c r="E508" s="20" t="n">
        <v>5.038</v>
      </c>
      <c r="F508" s="20" t="n">
        <v>5.18914</v>
      </c>
      <c r="G508" s="20" t="n">
        <v>4.7861</v>
      </c>
      <c r="H508" s="7" t="n">
        <v>46292.58333333334</v>
      </c>
      <c r="I508" s="20" t="n">
        <v>5.18914</v>
      </c>
      <c r="J508" s="2" t="inlineStr">
        <is>
          <t>止盈</t>
        </is>
      </c>
      <c r="K508" s="5">
        <f>(H508-D508)*24</f>
        <v/>
      </c>
      <c r="L508" s="4">
        <f>IF(C508="做多",I508/E508-1,1-I508/E508)-2*參數!$B$7</f>
        <v/>
      </c>
      <c r="M508" s="2" t="inlineStr"/>
      <c r="N508" s="4" t="n">
        <v>0.05221386800334171</v>
      </c>
      <c r="O508" s="4" t="n">
        <v>0.02135694382948518</v>
      </c>
      <c r="P508" s="4" t="n">
        <v>0.03510267815867607</v>
      </c>
      <c r="Q508" s="22" t="n">
        <v>46778</v>
      </c>
      <c r="R508" s="22" t="n">
        <v>13053531.872</v>
      </c>
      <c r="S508" s="4" t="n">
        <v>0.03</v>
      </c>
      <c r="T508" s="4" t="n">
        <v>0.02302500992457335</v>
      </c>
      <c r="U508" s="19" t="n">
        <v>2.997510444700372</v>
      </c>
      <c r="V508" s="19" t="n">
        <v>0.9661654135338367</v>
      </c>
      <c r="W508" s="4" t="n">
        <v>0.08762059786750376</v>
      </c>
      <c r="X508" s="4" t="n">
        <v>0.02273650020300444</v>
      </c>
      <c r="Y508" s="4" t="n">
        <v>0.001464362418983844</v>
      </c>
      <c r="Z508" s="4" t="n">
        <v>0.001209874912145859</v>
      </c>
      <c r="AA508" s="4" t="n">
        <v>0.03</v>
      </c>
      <c r="AB508" s="4" t="n">
        <v>0.05</v>
      </c>
      <c r="AC508" s="4">
        <f>(AB508+2*參數!$B$7)/(AA508+AB508)</f>
        <v/>
      </c>
    </row>
    <row r="509">
      <c r="A509" s="2" t="n">
        <v>508</v>
      </c>
      <c r="B509" s="2" t="inlineStr">
        <is>
          <t>USELESS_USDT_PERP</t>
        </is>
      </c>
      <c r="C509" s="2" t="inlineStr">
        <is>
          <t>做多</t>
        </is>
      </c>
      <c r="D509" s="7" t="n">
        <v>46292.25</v>
      </c>
      <c r="E509" s="20" t="n">
        <v>0.2916</v>
      </c>
      <c r="F509" s="20" t="n">
        <v>0.3003480000000001</v>
      </c>
      <c r="G509" s="20" t="n">
        <v>0.27702</v>
      </c>
      <c r="H509" s="7" t="n">
        <v>46292.54166666666</v>
      </c>
      <c r="I509" s="20" t="n">
        <v>0.27702</v>
      </c>
      <c r="J509" s="2" t="inlineStr">
        <is>
          <t>止損</t>
        </is>
      </c>
      <c r="K509" s="5">
        <f>(H509-D509)*24</f>
        <v/>
      </c>
      <c r="L509" s="4">
        <f>IF(C509="做多",I509/E509-1,1-I509/E509)-2*參數!$B$7</f>
        <v/>
      </c>
      <c r="M509" s="2" t="inlineStr"/>
      <c r="N509" s="4" t="n">
        <v>0.05476379946466059</v>
      </c>
      <c r="O509" s="4" t="n">
        <v>0.02737878369491019</v>
      </c>
      <c r="P509" s="4" t="n">
        <v>0.02420545926798834</v>
      </c>
      <c r="Q509" s="22" t="n">
        <v>1799092</v>
      </c>
      <c r="R509" s="22" t="n">
        <v>2398403.33632</v>
      </c>
      <c r="S509" s="4" t="n">
        <v>0.005589849108367462</v>
      </c>
      <c r="T509" s="4" t="n">
        <v>0.05</v>
      </c>
      <c r="U509" s="19" t="n">
        <v>3.734423153421144</v>
      </c>
      <c r="V509" s="19" t="n">
        <v>1</v>
      </c>
      <c r="W509" s="4" t="n">
        <v>-0.02445127893567478</v>
      </c>
      <c r="X509" s="4" t="n">
        <v>0.02090116584392399</v>
      </c>
      <c r="Y509" s="4" t="n">
        <v>0.001464362418983844</v>
      </c>
      <c r="Z509" s="4" t="n">
        <v>0.001209874912145859</v>
      </c>
      <c r="AA509" s="4" t="n">
        <v>0.03</v>
      </c>
      <c r="AB509" s="4" t="n">
        <v>0.05</v>
      </c>
      <c r="AC509" s="4">
        <f>(AB509+2*參數!$B$7)/(AA509+AB509)</f>
        <v/>
      </c>
    </row>
    <row r="510">
      <c r="A510" s="2" t="n">
        <v>509</v>
      </c>
      <c r="B510" s="2" t="inlineStr">
        <is>
          <t>2Z_USDT_PERP</t>
        </is>
      </c>
      <c r="C510" s="2" t="inlineStr">
        <is>
          <t>做空</t>
        </is>
      </c>
      <c r="D510" s="7" t="n">
        <v>46292.375</v>
      </c>
      <c r="E510" s="20" t="n">
        <v>0.06859999999999999</v>
      </c>
      <c r="F510" s="20" t="n">
        <v>0.06654199999999999</v>
      </c>
      <c r="G510" s="20" t="n">
        <v>0.07203</v>
      </c>
      <c r="H510" s="7" t="n">
        <v>46292.54166666666</v>
      </c>
      <c r="I510" s="20" t="n">
        <v>0.06654199999999999</v>
      </c>
      <c r="J510" s="2" t="inlineStr">
        <is>
          <t>止盈</t>
        </is>
      </c>
      <c r="K510" s="5">
        <f>(H510-D510)*24</f>
        <v/>
      </c>
      <c r="L510" s="4">
        <f>IF(C510="做多",I510/E510-1,1-I510/E510)-2*參數!$B$7</f>
        <v/>
      </c>
      <c r="M510" s="2" t="inlineStr"/>
      <c r="N510" s="4" t="n">
        <v>-0.04109589041095907</v>
      </c>
      <c r="O510" s="4" t="n">
        <v>0.03730083716883047</v>
      </c>
      <c r="P510" s="4" t="n">
        <v>-0.02904376380003415</v>
      </c>
      <c r="Q510" s="22" t="n">
        <v>-5248565</v>
      </c>
      <c r="R510" s="22" t="n">
        <v>1725788.78364</v>
      </c>
      <c r="S510" s="4" t="n">
        <v>0.03</v>
      </c>
      <c r="T510" s="4" t="n">
        <v>0.03702623906705549</v>
      </c>
      <c r="U510" s="19" t="n">
        <v>0.405843119331716</v>
      </c>
      <c r="V510" s="19" t="n">
        <v>0.8909090909090915</v>
      </c>
      <c r="W510" s="4" t="n">
        <v>-0.1863565537552681</v>
      </c>
      <c r="X510" s="4" t="n">
        <v>-0.1995104039167686</v>
      </c>
      <c r="Y510" s="4" t="n">
        <v>0.001629063922098717</v>
      </c>
      <c r="Z510" s="4" t="n">
        <v>-0.002327731983539527</v>
      </c>
      <c r="AA510" s="4" t="n">
        <v>0.03</v>
      </c>
      <c r="AB510" s="4" t="n">
        <v>0.05</v>
      </c>
      <c r="AC510" s="4">
        <f>(AB510+2*參數!$B$7)/(AA510+AB510)</f>
        <v/>
      </c>
    </row>
    <row r="511">
      <c r="A511" s="2" t="n">
        <v>510</v>
      </c>
      <c r="B511" s="2" t="inlineStr">
        <is>
          <t>PHA_USDT_PERP</t>
        </is>
      </c>
      <c r="C511" s="2" t="inlineStr">
        <is>
          <t>做空</t>
        </is>
      </c>
      <c r="D511" s="7" t="n">
        <v>46292.375</v>
      </c>
      <c r="E511" s="20" t="n">
        <v>0.08004</v>
      </c>
      <c r="F511" s="20" t="n">
        <v>0.07763879999999999</v>
      </c>
      <c r="G511" s="20" t="n">
        <v>0.08404200000000001</v>
      </c>
      <c r="H511" s="7" t="n">
        <v>46292.45833333334</v>
      </c>
      <c r="I511" s="20" t="n">
        <v>0.07763879999999999</v>
      </c>
      <c r="J511" s="2" t="inlineStr">
        <is>
          <t>止盈</t>
        </is>
      </c>
      <c r="K511" s="5">
        <f>(H511-D511)*24</f>
        <v/>
      </c>
      <c r="L511" s="4">
        <f>IF(C511="做多",I511/E511-1,1-I511/E511)-2*參數!$B$7</f>
        <v/>
      </c>
      <c r="M511" s="2" t="inlineStr"/>
      <c r="N511" s="4" t="n">
        <v>-0.03333333333333333</v>
      </c>
      <c r="O511" s="4" t="n">
        <v>0.05726673961723217</v>
      </c>
      <c r="P511" s="4" t="n">
        <v>-0.01230911614993058</v>
      </c>
      <c r="Q511" s="22" t="n">
        <v>-4842288</v>
      </c>
      <c r="R511" s="22" t="n">
        <v>4571265.55922</v>
      </c>
      <c r="S511" s="4" t="n">
        <v>0.03</v>
      </c>
      <c r="T511" s="4" t="n">
        <v>0.0241129435282359</v>
      </c>
      <c r="U511" s="19" t="n">
        <v>0.4953535758498118</v>
      </c>
      <c r="V511" s="19" t="n">
        <v>0.8577235772357713</v>
      </c>
      <c r="W511" s="4" t="n">
        <v>-0.3019630297154681</v>
      </c>
      <c r="X511" s="4" t="n">
        <v>0.06342148373508072</v>
      </c>
      <c r="Y511" s="4" t="n">
        <v>0.001629063922098717</v>
      </c>
      <c r="Z511" s="4" t="n">
        <v>-0.002327731983539527</v>
      </c>
      <c r="AA511" s="4" t="n">
        <v>0.03</v>
      </c>
      <c r="AB511" s="4" t="n">
        <v>0.05</v>
      </c>
      <c r="AC511" s="4">
        <f>(AB511+2*參數!$B$7)/(AA511+AB511)</f>
        <v/>
      </c>
    </row>
    <row r="512">
      <c r="A512" s="2" t="n">
        <v>511</v>
      </c>
      <c r="B512" s="2" t="inlineStr">
        <is>
          <t>AKE_USDT_PERP</t>
        </is>
      </c>
      <c r="C512" s="2" t="inlineStr">
        <is>
          <t>做多</t>
        </is>
      </c>
      <c r="D512" s="7" t="n">
        <v>46292.41666666666</v>
      </c>
      <c r="E512" s="20" t="n">
        <v>0.0342425</v>
      </c>
      <c r="F512" s="20" t="n">
        <v>0.035269775</v>
      </c>
      <c r="G512" s="20" t="n">
        <v>0.032530375</v>
      </c>
      <c r="H512" s="7" t="n">
        <v>46292.83333333334</v>
      </c>
      <c r="I512" s="20" t="n">
        <v>0.032530375</v>
      </c>
      <c r="J512" s="2" t="inlineStr">
        <is>
          <t>止損</t>
        </is>
      </c>
      <c r="K512" s="5">
        <f>(H512-D512)*24</f>
        <v/>
      </c>
      <c r="L512" s="4">
        <f>IF(C512="做多",I512/E512-1,1-I512/E512)-2*參數!$B$7</f>
        <v/>
      </c>
      <c r="M512" s="2" t="inlineStr"/>
      <c r="N512" s="4" t="n">
        <v>0.03393873514802914</v>
      </c>
      <c r="O512" s="4" t="n">
        <v>0.03570662649827622</v>
      </c>
      <c r="P512" s="4" t="n">
        <v>0.008997514523169992</v>
      </c>
      <c r="Q512" s="22" t="n">
        <v>12264318</v>
      </c>
      <c r="R512" s="22" t="n">
        <v>2515105.4931761</v>
      </c>
      <c r="S512" s="4" t="n">
        <v>0.006380959334160607</v>
      </c>
      <c r="T512" s="4" t="n">
        <v>0.05</v>
      </c>
      <c r="U512" s="19" t="n">
        <v>0.3758765172870322</v>
      </c>
      <c r="V512" s="19" t="n">
        <v>0.8161370938950377</v>
      </c>
      <c r="W512" s="4" t="n">
        <v>-0.1298370311881859</v>
      </c>
      <c r="X512" s="4" t="n">
        <v>0.02896765178718996</v>
      </c>
      <c r="Y512" s="4" t="n">
        <v>0.002235755956082386</v>
      </c>
      <c r="Z512" s="4" t="n">
        <v>0.00423375291151884</v>
      </c>
      <c r="AA512" s="4" t="n">
        <v>0.03</v>
      </c>
      <c r="AB512" s="4" t="n">
        <v>0.05</v>
      </c>
      <c r="AC512" s="4">
        <f>(AB512+2*參數!$B$7)/(AA512+AB512)</f>
        <v/>
      </c>
    </row>
    <row r="513">
      <c r="A513" s="2" t="n">
        <v>512</v>
      </c>
      <c r="B513" s="2" t="inlineStr">
        <is>
          <t>PONS_USDT_PERP</t>
        </is>
      </c>
      <c r="C513" s="2" t="inlineStr">
        <is>
          <t>做空</t>
        </is>
      </c>
      <c r="D513" s="7" t="n">
        <v>46292.54166666666</v>
      </c>
      <c r="E513" s="20" t="n">
        <v>0.6106</v>
      </c>
      <c r="F513" s="20" t="n">
        <v>0.592282</v>
      </c>
      <c r="G513" s="20" t="n">
        <v>0.6411300000000001</v>
      </c>
      <c r="H513" s="7" t="n">
        <v>46292.95833333334</v>
      </c>
      <c r="I513" s="20" t="n">
        <v>0.592282</v>
      </c>
      <c r="J513" s="2" t="inlineStr">
        <is>
          <t>止盈</t>
        </is>
      </c>
      <c r="K513" s="5">
        <f>(H513-D513)*24</f>
        <v/>
      </c>
      <c r="L513" s="4">
        <f>IF(C513="做多",I513/E513-1,1-I513/E513)-2*參數!$B$7</f>
        <v/>
      </c>
      <c r="M513" s="2" t="inlineStr"/>
      <c r="N513" s="4" t="n">
        <v>-0.02522349936143031</v>
      </c>
      <c r="O513" s="4" t="n">
        <v>0.02117979336762347</v>
      </c>
      <c r="P513" s="4" t="n">
        <v>-0.04131634519519867</v>
      </c>
      <c r="Q513" s="22" t="n">
        <v>-942762</v>
      </c>
      <c r="R513" s="22" t="n">
        <v>1222535.2831</v>
      </c>
      <c r="S513" s="4" t="n">
        <v>0.03</v>
      </c>
      <c r="T513" s="4" t="n">
        <v>0.03078938748771698</v>
      </c>
      <c r="U513" s="19" t="n">
        <v>4.319358665425859</v>
      </c>
      <c r="V513" s="19" t="n">
        <v>0.7867298578199025</v>
      </c>
      <c r="W513" s="4" t="n">
        <v>0.05130503821348276</v>
      </c>
      <c r="X513" s="4" t="n">
        <v>0.04935388447765832</v>
      </c>
      <c r="Y513" s="4" t="n">
        <v>0.0007266804336848454</v>
      </c>
      <c r="Z513" s="4" t="n">
        <v>-0.001754781261988025</v>
      </c>
      <c r="AA513" s="4" t="n">
        <v>0.03</v>
      </c>
      <c r="AB513" s="4" t="n">
        <v>0.05</v>
      </c>
      <c r="AC513" s="4">
        <f>(AB513+2*參數!$B$7)/(AA513+AB513)</f>
        <v/>
      </c>
    </row>
    <row r="514">
      <c r="A514" s="2" t="n">
        <v>513</v>
      </c>
      <c r="B514" s="2" t="inlineStr">
        <is>
          <t>MARSCOIN_USDT_PERP</t>
        </is>
      </c>
      <c r="C514" s="2" t="inlineStr">
        <is>
          <t>做多</t>
        </is>
      </c>
      <c r="D514" s="7" t="n">
        <v>46292.58333333334</v>
      </c>
      <c r="E514" s="20" t="n">
        <v>0.13033</v>
      </c>
      <c r="F514" s="20" t="n">
        <v>0.1342399</v>
      </c>
      <c r="G514" s="20" t="n">
        <v>0.1238135</v>
      </c>
      <c r="H514" s="7" t="n">
        <v>46292.79166666666</v>
      </c>
      <c r="I514" s="20" t="n">
        <v>0.1342399</v>
      </c>
      <c r="J514" s="2" t="inlineStr">
        <is>
          <t>止盈</t>
        </is>
      </c>
      <c r="K514" s="5">
        <f>(H514-D514)*24</f>
        <v/>
      </c>
      <c r="L514" s="4">
        <f>IF(C514="做多",I514/E514-1,1-I514/E514)-2*參數!$B$7</f>
        <v/>
      </c>
      <c r="M514" s="2" t="inlineStr"/>
      <c r="N514" s="4" t="n">
        <v>0.03906561428685307</v>
      </c>
      <c r="O514" s="4" t="n">
        <v>0.03759311108931272</v>
      </c>
      <c r="P514" s="4" t="n">
        <v>0.002646438847260457</v>
      </c>
      <c r="Q514" s="22" t="n">
        <v>2018715</v>
      </c>
      <c r="R514" s="22" t="n">
        <v>1627167.04759</v>
      </c>
      <c r="S514" s="4" t="n">
        <v>0.03</v>
      </c>
      <c r="T514" s="4" t="n">
        <v>0.02117701219980062</v>
      </c>
      <c r="U514" s="19" t="n">
        <v>0.7605143988982556</v>
      </c>
      <c r="V514" s="19" t="n">
        <v>0.780864197530864</v>
      </c>
      <c r="W514" s="4" t="n">
        <v>0.06004854116238523</v>
      </c>
      <c r="X514" s="4" t="n">
        <v>0.1235344827586207</v>
      </c>
      <c r="Y514" s="4" t="n">
        <v>0.001927756008963666</v>
      </c>
      <c r="Z514" s="4" t="n">
        <v>0.003399438038622637</v>
      </c>
      <c r="AA514" s="4" t="n">
        <v>0.03</v>
      </c>
      <c r="AB514" s="4" t="n">
        <v>0.05</v>
      </c>
      <c r="AC514" s="4">
        <f>(AB514+2*參數!$B$7)/(AA514+AB514)</f>
        <v/>
      </c>
    </row>
    <row r="515">
      <c r="A515" s="2" t="n">
        <v>514</v>
      </c>
      <c r="B515" s="2" t="inlineStr">
        <is>
          <t>USELESS_USDT_PERP</t>
        </is>
      </c>
      <c r="C515" s="2" t="inlineStr">
        <is>
          <t>做多</t>
        </is>
      </c>
      <c r="D515" s="7" t="n">
        <v>46292.58333333334</v>
      </c>
      <c r="E515" s="20" t="n">
        <v>0.28713</v>
      </c>
      <c r="F515" s="20" t="n">
        <v>0.2957439</v>
      </c>
      <c r="G515" s="20" t="n">
        <v>0.2727735</v>
      </c>
      <c r="H515" s="7" t="n">
        <v>46292.83333333334</v>
      </c>
      <c r="I515" s="20" t="n">
        <v>0.2957439</v>
      </c>
      <c r="J515" s="2" t="inlineStr">
        <is>
          <t>止盈</t>
        </is>
      </c>
      <c r="K515" s="5">
        <f>(H515-D515)*24</f>
        <v/>
      </c>
      <c r="L515" s="4">
        <f>IF(C515="做多",I515/E515-1,1-I515/E515)-2*參數!$B$7</f>
        <v/>
      </c>
      <c r="M515" s="2" t="inlineStr"/>
      <c r="N515" s="4" t="n">
        <v>0.03548631396732671</v>
      </c>
      <c r="O515" s="4" t="n">
        <v>0.02674984390258296</v>
      </c>
      <c r="P515" s="4" t="n">
        <v>0.006179772327866262</v>
      </c>
      <c r="Q515" s="22" t="n">
        <v>2523766</v>
      </c>
      <c r="R515" s="22" t="n">
        <v>2397788.34765</v>
      </c>
      <c r="S515" s="4" t="n">
        <v>0.03</v>
      </c>
      <c r="T515" s="4" t="n">
        <v>0.004562393340995285</v>
      </c>
      <c r="U515" s="19" t="n">
        <v>2.862832289246734</v>
      </c>
      <c r="V515" s="19" t="n">
        <v>0.8312788906009232</v>
      </c>
      <c r="W515" s="4" t="n">
        <v>-0.02456374936047834</v>
      </c>
      <c r="X515" s="4" t="n">
        <v>0.01671328918947634</v>
      </c>
      <c r="Y515" s="4" t="n">
        <v>0.001927756008963666</v>
      </c>
      <c r="Z515" s="4" t="n">
        <v>0.003399438038622637</v>
      </c>
      <c r="AA515" s="4" t="n">
        <v>0.03</v>
      </c>
      <c r="AB515" s="4" t="n">
        <v>0.05</v>
      </c>
      <c r="AC515" s="4">
        <f>(AB515+2*參數!$B$7)/(AA515+AB515)</f>
        <v/>
      </c>
    </row>
    <row r="516">
      <c r="A516" s="2" t="n">
        <v>515</v>
      </c>
      <c r="B516" s="2" t="inlineStr">
        <is>
          <t>BR_USDT_PERP</t>
        </is>
      </c>
      <c r="C516" s="2" t="inlineStr">
        <is>
          <t>做空</t>
        </is>
      </c>
      <c r="D516" s="7" t="n">
        <v>46292.625</v>
      </c>
      <c r="E516" s="20" t="n">
        <v>0.92489</v>
      </c>
      <c r="F516" s="20" t="n">
        <v>0.8971433</v>
      </c>
      <c r="G516" s="20" t="n">
        <v>0.9711345</v>
      </c>
      <c r="H516" s="7" t="n">
        <v>46292.66666666666</v>
      </c>
      <c r="I516" s="20" t="n">
        <v>0.8971433</v>
      </c>
      <c r="J516" s="2" t="inlineStr">
        <is>
          <t>止盈</t>
        </is>
      </c>
      <c r="K516" s="5">
        <f>(H516-D516)*24</f>
        <v/>
      </c>
      <c r="L516" s="4">
        <f>IF(C516="做多",I516/E516-1,1-I516/E516)-2*參數!$B$7</f>
        <v/>
      </c>
      <c r="M516" s="2" t="inlineStr"/>
      <c r="N516" s="4" t="n">
        <v>-0.02078304323889391</v>
      </c>
      <c r="O516" s="4" t="n">
        <v>0.04122733918557688</v>
      </c>
      <c r="P516" s="4" t="n">
        <v>-0.05228523766389737</v>
      </c>
      <c r="Q516" s="22" t="n">
        <v>-502895</v>
      </c>
      <c r="R516" s="22" t="n">
        <v>2521278.70328</v>
      </c>
      <c r="S516" s="4" t="n">
        <v>0.03</v>
      </c>
      <c r="T516" s="4" t="n">
        <v>0</v>
      </c>
      <c r="U516" s="19" t="n">
        <v>0.3989953284247763</v>
      </c>
      <c r="V516" s="19" t="n">
        <v>0.8492661642205468</v>
      </c>
      <c r="W516" s="4" t="n">
        <v>0.07865873016900804</v>
      </c>
      <c r="X516" s="4" t="n">
        <v>-0.08425359311622227</v>
      </c>
      <c r="Y516" s="4" t="n">
        <v>-0.0002664064960560264</v>
      </c>
      <c r="Z516" s="4" t="n">
        <v>-0.003461280341139128</v>
      </c>
      <c r="AA516" s="4" t="n">
        <v>0.03</v>
      </c>
      <c r="AB516" s="4" t="n">
        <v>0.05</v>
      </c>
      <c r="AC516" s="4">
        <f>(AB516+2*參數!$B$7)/(AA516+AB516)</f>
        <v/>
      </c>
    </row>
    <row r="517">
      <c r="A517" s="2" t="n">
        <v>516</v>
      </c>
      <c r="B517" s="2" t="inlineStr">
        <is>
          <t>WLD_USDT_PERP</t>
        </is>
      </c>
      <c r="C517" s="2" t="inlineStr">
        <is>
          <t>做多</t>
        </is>
      </c>
      <c r="D517" s="7" t="n">
        <v>46292.625</v>
      </c>
      <c r="E517" s="20" t="n">
        <v>0.5365</v>
      </c>
      <c r="F517" s="20" t="n">
        <v>0.5525949999999999</v>
      </c>
      <c r="G517" s="20" t="n">
        <v>0.509675</v>
      </c>
      <c r="H517" s="7" t="n">
        <v>46292.70833333334</v>
      </c>
      <c r="I517" s="20" t="n">
        <v>0.5525949999999999</v>
      </c>
      <c r="J517" s="2" t="inlineStr">
        <is>
          <t>止盈</t>
        </is>
      </c>
      <c r="K517" s="5">
        <f>(H517-D517)*24</f>
        <v/>
      </c>
      <c r="L517" s="4">
        <f>IF(C517="做多",I517/E517-1,1-I517/E517)-2*參數!$B$7</f>
        <v/>
      </c>
      <c r="M517" s="2" t="inlineStr"/>
      <c r="N517" s="4" t="n">
        <v>0.02326912073240517</v>
      </c>
      <c r="O517" s="4" t="n">
        <v>0.02198007141794829</v>
      </c>
      <c r="P517" s="4" t="n">
        <v>0.02952323383514188</v>
      </c>
      <c r="Q517" s="22" t="n">
        <v>670390</v>
      </c>
      <c r="R517" s="22" t="n">
        <v>2477529.9838</v>
      </c>
      <c r="S517" s="4" t="n">
        <v>0.03</v>
      </c>
      <c r="T517" s="4" t="n">
        <v>0.008760484622553411</v>
      </c>
      <c r="U517" s="19" t="n">
        <v>1.73968423504269</v>
      </c>
      <c r="V517" s="19" t="n">
        <v>0.6578947368421023</v>
      </c>
      <c r="W517" s="4" t="n">
        <v>0.1686823623721312</v>
      </c>
      <c r="X517" s="4" t="n">
        <v>0.1179412377578661</v>
      </c>
      <c r="Y517" s="4" t="n">
        <v>0.0002664064960560264</v>
      </c>
      <c r="Z517" s="4" t="n">
        <v>0.003461280341139128</v>
      </c>
      <c r="AA517" s="4" t="n">
        <v>0.03</v>
      </c>
      <c r="AB517" s="4" t="n">
        <v>0.05</v>
      </c>
      <c r="AC517" s="4">
        <f>(AB517+2*參數!$B$7)/(AA517+AB517)</f>
        <v/>
      </c>
    </row>
    <row r="518">
      <c r="A518" s="2" t="n">
        <v>517</v>
      </c>
      <c r="B518" s="2" t="inlineStr">
        <is>
          <t>DASH_USDT_PERP</t>
        </is>
      </c>
      <c r="C518" s="2" t="inlineStr">
        <is>
          <t>做空</t>
        </is>
      </c>
      <c r="D518" s="7" t="n">
        <v>46292.79166666666</v>
      </c>
      <c r="E518" s="20" t="n">
        <v>69.26000000000001</v>
      </c>
      <c r="F518" s="20" t="n">
        <v>67.18220000000001</v>
      </c>
      <c r="G518" s="20" t="n">
        <v>72.72300000000001</v>
      </c>
      <c r="H518" s="7" t="n">
        <v>46293</v>
      </c>
      <c r="I518" s="20" t="n">
        <v>67.18220000000001</v>
      </c>
      <c r="J518" s="2" t="inlineStr">
        <is>
          <t>止盈</t>
        </is>
      </c>
      <c r="K518" s="5">
        <f>(H518-D518)*24</f>
        <v/>
      </c>
      <c r="L518" s="4">
        <f>IF(C518="做多",I518/E518-1,1-I518/E518)-2*參數!$B$7</f>
        <v/>
      </c>
      <c r="M518" s="2" t="inlineStr"/>
      <c r="N518" s="4" t="n">
        <v>-0.0330866955186373</v>
      </c>
      <c r="O518" s="4" t="n">
        <v>0.02348387818705934</v>
      </c>
      <c r="P518" s="4" t="n">
        <v>-0.03146413089078448</v>
      </c>
      <c r="Q518" s="22" t="n">
        <v>-4305.707999999995</v>
      </c>
      <c r="R518" s="22" t="n">
        <v>2266200.10951</v>
      </c>
      <c r="S518" s="4" t="n">
        <v>0.03</v>
      </c>
      <c r="T518" s="4" t="n">
        <v>0</v>
      </c>
      <c r="U518" s="19" t="n">
        <v>1.95150794420327</v>
      </c>
      <c r="V518" s="19" t="n">
        <v>0.8173652694610775</v>
      </c>
      <c r="W518" s="4" t="n">
        <v>-0.08089211835191268</v>
      </c>
      <c r="X518" s="4" t="n">
        <v>-0.05082688514641198</v>
      </c>
      <c r="Y518" s="4" t="n">
        <v>0.0008408873835095143</v>
      </c>
      <c r="Z518" s="4" t="n">
        <v>-0.005806640650586337</v>
      </c>
      <c r="AA518" s="4" t="n">
        <v>0.03</v>
      </c>
      <c r="AB518" s="4" t="n">
        <v>0.05</v>
      </c>
      <c r="AC518" s="4">
        <f>(AB518+2*參數!$B$7)/(AA518+AB518)</f>
        <v/>
      </c>
    </row>
    <row r="519">
      <c r="A519" s="2" t="n">
        <v>518</v>
      </c>
      <c r="B519" s="2" t="inlineStr">
        <is>
          <t>BR_USDT_PERP</t>
        </is>
      </c>
      <c r="C519" s="2" t="inlineStr">
        <is>
          <t>做空</t>
        </is>
      </c>
      <c r="D519" s="7" t="n">
        <v>46292.83333333334</v>
      </c>
      <c r="E519" s="20" t="n">
        <v>0.90447</v>
      </c>
      <c r="F519" s="20" t="n">
        <v>0.8773358999999999</v>
      </c>
      <c r="G519" s="20" t="n">
        <v>0.9496935000000001</v>
      </c>
      <c r="H519" s="7" t="n">
        <v>46293.20833333334</v>
      </c>
      <c r="I519" s="20" t="n">
        <v>0.8773358999999999</v>
      </c>
      <c r="J519" s="2" t="inlineStr">
        <is>
          <t>止盈</t>
        </is>
      </c>
      <c r="K519" s="5">
        <f>(H519-D519)*24</f>
        <v/>
      </c>
      <c r="L519" s="4">
        <f>IF(C519="做多",I519/E519-1,1-I519/E519)-2*參數!$B$7</f>
        <v/>
      </c>
      <c r="M519" s="2" t="inlineStr"/>
      <c r="N519" s="4" t="n">
        <v>-0.03339674261531222</v>
      </c>
      <c r="O519" s="4" t="n">
        <v>0.04348658586170129</v>
      </c>
      <c r="P519" s="4" t="n">
        <v>-0.04554268422982666</v>
      </c>
      <c r="Q519" s="22" t="n">
        <v>-566251</v>
      </c>
      <c r="R519" s="22" t="n">
        <v>2080759.35901</v>
      </c>
      <c r="S519" s="4" t="n">
        <v>0.03</v>
      </c>
      <c r="T519" s="4" t="n">
        <v>0.02665649496390143</v>
      </c>
      <c r="U519" s="19" t="n">
        <v>0.5854506656431276</v>
      </c>
      <c r="V519" s="19" t="n">
        <v>1</v>
      </c>
      <c r="W519" s="4" t="n">
        <v>0.08904711268211363</v>
      </c>
      <c r="X519" s="4" t="n">
        <v>0.07496650541538397</v>
      </c>
      <c r="Y519" s="4" t="n">
        <v>-0.0002192390518973575</v>
      </c>
      <c r="Z519" s="4" t="n">
        <v>-0.005583129785429852</v>
      </c>
      <c r="AA519" s="4" t="n">
        <v>0.03</v>
      </c>
      <c r="AB519" s="4" t="n">
        <v>0.05</v>
      </c>
      <c r="AC519" s="4">
        <f>(AB519+2*參數!$B$7)/(AA519+AB519)</f>
        <v/>
      </c>
    </row>
    <row r="520">
      <c r="A520" s="2" t="n">
        <v>519</v>
      </c>
      <c r="B520" s="2" t="inlineStr">
        <is>
          <t>MARSCOIN_USDT_PERP</t>
        </is>
      </c>
      <c r="C520" s="2" t="inlineStr">
        <is>
          <t>做空</t>
        </is>
      </c>
      <c r="D520" s="7" t="n">
        <v>46292.875</v>
      </c>
      <c r="E520" s="20" t="n">
        <v>0.1329</v>
      </c>
      <c r="F520" s="20" t="n">
        <v>0.128913</v>
      </c>
      <c r="G520" s="20" t="n">
        <v>0.139545</v>
      </c>
      <c r="H520" s="7" t="n">
        <v>46292.91666666666</v>
      </c>
      <c r="I520" s="20" t="n">
        <v>0.128913</v>
      </c>
      <c r="J520" s="2" t="inlineStr">
        <is>
          <t>止盈</t>
        </is>
      </c>
      <c r="K520" s="5">
        <f>(H520-D520)*24</f>
        <v/>
      </c>
      <c r="L520" s="4">
        <f>IF(C520="做多",I520/E520-1,1-I520/E520)-2*參數!$B$7</f>
        <v/>
      </c>
      <c r="M520" s="2" t="inlineStr"/>
      <c r="N520" s="4" t="n">
        <v>-0.0268726660320715</v>
      </c>
      <c r="O520" s="4" t="n">
        <v>0.03600173980988733</v>
      </c>
      <c r="P520" s="4" t="n">
        <v>-0.01047231518951064</v>
      </c>
      <c r="Q520" s="22" t="n">
        <v>-594581</v>
      </c>
      <c r="R520" s="22" t="n">
        <v>2046985.93948</v>
      </c>
      <c r="S520" s="4" t="n">
        <v>0.03</v>
      </c>
      <c r="T520" s="4" t="n">
        <v>0</v>
      </c>
      <c r="U520" s="19" t="n">
        <v>1.160564628116445</v>
      </c>
      <c r="V520" s="19" t="n">
        <v>0.8773291925465861</v>
      </c>
      <c r="W520" s="4" t="n">
        <v>-0.08181764901244448</v>
      </c>
      <c r="X520" s="4" t="n">
        <v>-0.164257555847569</v>
      </c>
      <c r="Y520" s="4" t="n">
        <v>0.0012137996052205</v>
      </c>
      <c r="Z520" s="4" t="n">
        <v>-0.003955374154301472</v>
      </c>
      <c r="AA520" s="4" t="n">
        <v>0.03</v>
      </c>
      <c r="AB520" s="4" t="n">
        <v>0.05</v>
      </c>
      <c r="AC520" s="4">
        <f>(AB520+2*參數!$B$7)/(AA520+AB520)</f>
        <v/>
      </c>
    </row>
    <row r="521">
      <c r="A521" s="2" t="n">
        <v>520</v>
      </c>
      <c r="B521" s="2" t="inlineStr">
        <is>
          <t>MARSCOIN_USDT_PERP</t>
        </is>
      </c>
      <c r="C521" s="2" t="inlineStr">
        <is>
          <t>做空</t>
        </is>
      </c>
      <c r="D521" s="7" t="n">
        <v>46292.95833333334</v>
      </c>
      <c r="E521" s="20" t="n">
        <v>0.12733</v>
      </c>
      <c r="F521" s="20" t="n">
        <v>0.1235101</v>
      </c>
      <c r="G521" s="20" t="n">
        <v>0.1336965</v>
      </c>
      <c r="H521" s="7" t="n">
        <v>46293.29166666666</v>
      </c>
      <c r="I521" s="20" t="n">
        <v>0.1235101</v>
      </c>
      <c r="J521" s="2" t="inlineStr">
        <is>
          <t>止盈</t>
        </is>
      </c>
      <c r="K521" s="5">
        <f>(H521-D521)*24</f>
        <v/>
      </c>
      <c r="L521" s="4">
        <f>IF(C521="做多",I521/E521-1,1-I521/E521)-2*參數!$B$7</f>
        <v/>
      </c>
      <c r="M521" s="2" t="inlineStr"/>
      <c r="N521" s="4" t="n">
        <v>-0.02883075280298986</v>
      </c>
      <c r="O521" s="4" t="n">
        <v>0.03839744213990203</v>
      </c>
      <c r="P521" s="4" t="n">
        <v>-0.04437756580083008</v>
      </c>
      <c r="Q521" s="22" t="n">
        <v>-1423227</v>
      </c>
      <c r="R521" s="22" t="n">
        <v>1989071.19883</v>
      </c>
      <c r="S521" s="4" t="n">
        <v>0.03</v>
      </c>
      <c r="T521" s="4" t="n">
        <v>0.01437210398177968</v>
      </c>
      <c r="U521" s="19" t="n">
        <v>0.8197442992713388</v>
      </c>
      <c r="V521" s="19" t="n">
        <v>0.6672325976230906</v>
      </c>
      <c r="W521" s="4" t="n">
        <v>-0.03652714157676185</v>
      </c>
      <c r="X521" s="4" t="n">
        <v>-0.003783996846669302</v>
      </c>
      <c r="Y521" s="4" t="n">
        <v>0.005928800273908408</v>
      </c>
      <c r="Z521" s="4" t="n">
        <v>3.775541568284968e-05</v>
      </c>
      <c r="AA521" s="4" t="n">
        <v>0.03</v>
      </c>
      <c r="AB521" s="4" t="n">
        <v>0.05</v>
      </c>
      <c r="AC521" s="4">
        <f>(AB521+2*參數!$B$7)/(AA521+AB521)</f>
        <v/>
      </c>
    </row>
    <row r="522">
      <c r="A522" s="2" t="n">
        <v>521</v>
      </c>
      <c r="B522" s="2" t="inlineStr">
        <is>
          <t>QNT_USDT_PERP</t>
        </is>
      </c>
      <c r="C522" s="2" t="inlineStr">
        <is>
          <t>做多</t>
        </is>
      </c>
      <c r="D522" s="7" t="n">
        <v>46292.95833333334</v>
      </c>
      <c r="E522" s="20" t="n">
        <v>167.24</v>
      </c>
      <c r="F522" s="20" t="n">
        <v>172.2572</v>
      </c>
      <c r="G522" s="20" t="n">
        <v>158.878</v>
      </c>
      <c r="H522" s="7" t="n">
        <v>46293</v>
      </c>
      <c r="I522" s="20" t="n">
        <v>172.2572</v>
      </c>
      <c r="J522" s="2" t="inlineStr">
        <is>
          <t>止盈</t>
        </is>
      </c>
      <c r="K522" s="5">
        <f>(H522-D522)*24</f>
        <v/>
      </c>
      <c r="L522" s="4">
        <f>IF(C522="做多",I522/E522-1,1-I522/E522)-2*參數!$B$7</f>
        <v/>
      </c>
      <c r="M522" s="2" t="inlineStr"/>
      <c r="N522" s="4" t="n">
        <v>0.03005666420300557</v>
      </c>
      <c r="O522" s="4" t="n">
        <v>0.06471721827041212</v>
      </c>
      <c r="P522" s="4" t="n">
        <v>0.03595553642166704</v>
      </c>
      <c r="Q522" s="22" t="n">
        <v>16499.80000000002</v>
      </c>
      <c r="R522" s="22" t="n">
        <v>21235155.248</v>
      </c>
      <c r="S522" s="4" t="n">
        <v>0.03</v>
      </c>
      <c r="T522" s="4" t="n">
        <v>0</v>
      </c>
      <c r="U522" s="19" t="n">
        <v>1.150544864223106</v>
      </c>
      <c r="V522" s="19" t="n">
        <v>0.6810126582278495</v>
      </c>
      <c r="W522" s="4" t="n">
        <v>0.6133030943508346</v>
      </c>
      <c r="X522" s="4" t="n">
        <v>0.5108862589213119</v>
      </c>
      <c r="Y522" s="4" t="n">
        <v>-0.005928800273908408</v>
      </c>
      <c r="Z522" s="4" t="n">
        <v>-3.775541568284968e-05</v>
      </c>
      <c r="AA522" s="4" t="n">
        <v>0.03</v>
      </c>
      <c r="AB522" s="4" t="n">
        <v>0.05</v>
      </c>
      <c r="AC522" s="4">
        <f>(AB522+2*參數!$B$7)/(AA522+AB522)</f>
        <v/>
      </c>
    </row>
    <row r="523">
      <c r="A523" s="2" t="n">
        <v>522</v>
      </c>
      <c r="B523" s="2" t="inlineStr">
        <is>
          <t>GRASS_USDT_PERP</t>
        </is>
      </c>
      <c r="C523" s="2" t="inlineStr">
        <is>
          <t>做多</t>
        </is>
      </c>
      <c r="D523" s="7" t="n">
        <v>46293.04166666666</v>
      </c>
      <c r="E523" s="20" t="n">
        <v>0.6299</v>
      </c>
      <c r="F523" s="20" t="n">
        <v>0.6487970000000001</v>
      </c>
      <c r="G523" s="20" t="n">
        <v>0.598405</v>
      </c>
      <c r="H523" s="7" t="n">
        <v>46293.25</v>
      </c>
      <c r="I523" s="20" t="n">
        <v>0.6487970000000001</v>
      </c>
      <c r="J523" s="2" t="inlineStr">
        <is>
          <t>止盈</t>
        </is>
      </c>
      <c r="K523" s="5">
        <f>(H523-D523)*24</f>
        <v/>
      </c>
      <c r="L523" s="4">
        <f>IF(C523="做多",I523/E523-1,1-I523/E523)-2*參數!$B$7</f>
        <v/>
      </c>
      <c r="M523" s="2" t="inlineStr"/>
      <c r="N523" s="4" t="n">
        <v>0.02489424015619912</v>
      </c>
      <c r="O523" s="4" t="n">
        <v>0.03336601129446514</v>
      </c>
      <c r="P523" s="4" t="n">
        <v>0.05605525890035468</v>
      </c>
      <c r="Q523" s="22" t="n">
        <v>623056</v>
      </c>
      <c r="R523" s="22" t="n">
        <v>1385022.098</v>
      </c>
      <c r="S523" s="4" t="n">
        <v>0.03</v>
      </c>
      <c r="T523" s="4" t="n">
        <v>0.01333545007143988</v>
      </c>
      <c r="U523" s="19" t="n">
        <v>1.55793311218756</v>
      </c>
      <c r="V523" s="19" t="n">
        <v>0.8089887640449445</v>
      </c>
      <c r="W523" s="4" t="n">
        <v>0.2502381784115089</v>
      </c>
      <c r="X523" s="4" t="n">
        <v>0.1889392223480557</v>
      </c>
      <c r="Y523" s="4" t="n">
        <v>-0.0003802101223543408</v>
      </c>
      <c r="Z523" s="4" t="n">
        <v>-0.001636575053992062</v>
      </c>
      <c r="AA523" s="4" t="n">
        <v>0.03</v>
      </c>
      <c r="AB523" s="4" t="n">
        <v>0.05</v>
      </c>
      <c r="AC523" s="4">
        <f>(AB523+2*參數!$B$7)/(AA523+AB523)</f>
        <v/>
      </c>
    </row>
    <row r="524">
      <c r="A524" s="2" t="n">
        <v>523</v>
      </c>
      <c r="B524" s="2" t="inlineStr">
        <is>
          <t>NEAR_USDT_PERP</t>
        </is>
      </c>
      <c r="C524" s="2" t="inlineStr">
        <is>
          <t>做多</t>
        </is>
      </c>
      <c r="D524" s="7" t="n">
        <v>46293.125</v>
      </c>
      <c r="E524" s="20" t="n">
        <v>5.451</v>
      </c>
      <c r="F524" s="20" t="n">
        <v>5.614529999999999</v>
      </c>
      <c r="G524" s="20" t="n">
        <v>5.17845</v>
      </c>
      <c r="H524" s="7" t="n">
        <v>46293.54166666666</v>
      </c>
      <c r="I524" s="20" t="n">
        <v>5.17845</v>
      </c>
      <c r="J524" s="2" t="inlineStr">
        <is>
          <t>止損</t>
        </is>
      </c>
      <c r="K524" s="5">
        <f>(H524-D524)*24</f>
        <v/>
      </c>
      <c r="L524" s="4">
        <f>IF(C524="做多",I524/E524-1,1-I524/E524)-2*參數!$B$7</f>
        <v/>
      </c>
      <c r="M524" s="2" t="inlineStr"/>
      <c r="N524" s="4" t="n">
        <v>0.04046573773620921</v>
      </c>
      <c r="O524" s="4" t="n">
        <v>0.02243034377642237</v>
      </c>
      <c r="P524" s="4" t="n">
        <v>0.04570524195482228</v>
      </c>
      <c r="Q524" s="22" t="n">
        <v>340137</v>
      </c>
      <c r="R524" s="22" t="n">
        <v>24648759.998</v>
      </c>
      <c r="S524" s="4" t="n">
        <v>0.02348192992111531</v>
      </c>
      <c r="T524" s="4" t="n">
        <v>0.05</v>
      </c>
      <c r="U524" s="19" t="n">
        <v>1.445182227769576</v>
      </c>
      <c r="V524" s="19" t="n">
        <v>0.90987124463519</v>
      </c>
      <c r="W524" s="4" t="n">
        <v>0.1388279536195549</v>
      </c>
      <c r="X524" s="4" t="n">
        <v>0.1313823163138232</v>
      </c>
      <c r="Y524" s="4" t="n">
        <v>0.002880470528113799</v>
      </c>
      <c r="Z524" s="4" t="n">
        <v>0.002338659758375883</v>
      </c>
      <c r="AA524" s="4" t="n">
        <v>0.03</v>
      </c>
      <c r="AB524" s="4" t="n">
        <v>0.05</v>
      </c>
      <c r="AC524" s="4">
        <f>(AB524+2*參數!$B$7)/(AA524+AB524)</f>
        <v/>
      </c>
    </row>
    <row r="525">
      <c r="A525" s="2" t="n">
        <v>524</v>
      </c>
      <c r="B525" s="2" t="inlineStr">
        <is>
          <t>USELESS_USDT_PERP</t>
        </is>
      </c>
      <c r="C525" s="2" t="inlineStr">
        <is>
          <t>做多</t>
        </is>
      </c>
      <c r="D525" s="7" t="n">
        <v>46293.125</v>
      </c>
      <c r="E525" s="20" t="n">
        <v>0.3012</v>
      </c>
      <c r="F525" s="20" t="n">
        <v>0.310236</v>
      </c>
      <c r="G525" s="20" t="n">
        <v>0.28614</v>
      </c>
      <c r="H525" s="7" t="n">
        <v>46293.29166666666</v>
      </c>
      <c r="I525" s="20" t="n">
        <v>0.28614</v>
      </c>
      <c r="J525" s="2" t="inlineStr">
        <is>
          <t>止損</t>
        </is>
      </c>
      <c r="K525" s="5">
        <f>(H525-D525)*24</f>
        <v/>
      </c>
      <c r="L525" s="4">
        <f>IF(C525="做多",I525/E525-1,1-I525/E525)-2*參數!$B$7</f>
        <v/>
      </c>
      <c r="M525" s="2" t="inlineStr"/>
      <c r="N525" s="4" t="n">
        <v>0.04329754069968828</v>
      </c>
      <c r="O525" s="4" t="n">
        <v>0.02694444768606363</v>
      </c>
      <c r="P525" s="4" t="n">
        <v>0.04173511844030275</v>
      </c>
      <c r="Q525" s="22" t="n">
        <v>1895547</v>
      </c>
      <c r="R525" s="22" t="n">
        <v>2804354.80042</v>
      </c>
      <c r="S525" s="4" t="n">
        <v>0.0006640106241699861</v>
      </c>
      <c r="T525" s="4" t="n">
        <v>0.05</v>
      </c>
      <c r="U525" s="19" t="n">
        <v>2.038170492256046</v>
      </c>
      <c r="V525" s="19" t="n">
        <v>0.9361111111111129</v>
      </c>
      <c r="W525" s="4" t="n">
        <v>0.0420245166365858</v>
      </c>
      <c r="X525" s="4" t="n">
        <v>0.06265876375952573</v>
      </c>
      <c r="Y525" s="4" t="n">
        <v>0.002880470528113799</v>
      </c>
      <c r="Z525" s="4" t="n">
        <v>0.002338659758375883</v>
      </c>
      <c r="AA525" s="4" t="n">
        <v>0.03</v>
      </c>
      <c r="AB525" s="4" t="n">
        <v>0.05</v>
      </c>
      <c r="AC525" s="4">
        <f>(AB525+2*參數!$B$7)/(AA525+AB525)</f>
        <v/>
      </c>
    </row>
    <row r="526">
      <c r="A526" s="2" t="n">
        <v>525</v>
      </c>
      <c r="B526" s="2" t="inlineStr">
        <is>
          <t>PYTH_USDT_PERP</t>
        </is>
      </c>
      <c r="C526" s="2" t="inlineStr">
        <is>
          <t>做空</t>
        </is>
      </c>
      <c r="D526" s="7" t="n">
        <v>46293.20833333334</v>
      </c>
      <c r="E526" s="20" t="n">
        <v>0.08361</v>
      </c>
      <c r="F526" s="20" t="n">
        <v>0.0811017</v>
      </c>
      <c r="G526" s="20" t="n">
        <v>0.08779050000000001</v>
      </c>
      <c r="H526" s="7" t="n">
        <v>46293.54166666666</v>
      </c>
      <c r="I526" s="20" t="n">
        <v>0.0811017</v>
      </c>
      <c r="J526" s="2" t="inlineStr">
        <is>
          <t>止盈</t>
        </is>
      </c>
      <c r="K526" s="5">
        <f>(H526-D526)*24</f>
        <v/>
      </c>
      <c r="L526" s="4">
        <f>IF(C526="做多",I526/E526-1,1-I526/E526)-2*參數!$B$7</f>
        <v/>
      </c>
      <c r="M526" s="2" t="inlineStr"/>
      <c r="N526" s="4" t="n">
        <v>-0.02745143654763293</v>
      </c>
      <c r="O526" s="4" t="n">
        <v>0.02629803311028665</v>
      </c>
      <c r="P526" s="4" t="n">
        <v>-0.01054425391415492</v>
      </c>
      <c r="Q526" s="22" t="n">
        <v>-668415</v>
      </c>
      <c r="R526" s="22" t="n">
        <v>1915212.90539</v>
      </c>
      <c r="S526" s="4" t="n">
        <v>0.03</v>
      </c>
      <c r="T526" s="4" t="n">
        <v>0.01411314436072231</v>
      </c>
      <c r="U526" s="19" t="n">
        <v>0.5427423634880344</v>
      </c>
      <c r="V526" s="19" t="n">
        <v>0.9646643109540626</v>
      </c>
      <c r="W526" s="4" t="n">
        <v>-0.1425049841967825</v>
      </c>
      <c r="X526" s="4" t="n">
        <v>-0.06754341164453526</v>
      </c>
      <c r="Y526" s="4" t="n">
        <v>0.002230308583087037</v>
      </c>
      <c r="Z526" s="4" t="n">
        <v>0.001173363842960184</v>
      </c>
      <c r="AA526" s="4" t="n">
        <v>0.03</v>
      </c>
      <c r="AB526" s="4" t="n">
        <v>0.05</v>
      </c>
      <c r="AC526" s="4">
        <f>(AB526+2*參數!$B$7)/(AA526+AB526)</f>
        <v/>
      </c>
    </row>
    <row r="527">
      <c r="A527" s="2" t="n">
        <v>526</v>
      </c>
      <c r="B527" s="2" t="inlineStr">
        <is>
          <t>XPL_USDT_PERP</t>
        </is>
      </c>
      <c r="C527" s="2" t="inlineStr">
        <is>
          <t>做空</t>
        </is>
      </c>
      <c r="D527" s="7" t="n">
        <v>46293.41666666666</v>
      </c>
      <c r="E527" s="20" t="n">
        <v>0.1037</v>
      </c>
      <c r="F527" s="20" t="n">
        <v>0.100589</v>
      </c>
      <c r="G527" s="20" t="n">
        <v>0.108885</v>
      </c>
      <c r="H527" s="7" t="n">
        <v>46293.75</v>
      </c>
      <c r="I527" s="20" t="n">
        <v>0.100589</v>
      </c>
      <c r="J527" s="2" t="inlineStr">
        <is>
          <t>止盈</t>
        </is>
      </c>
      <c r="K527" s="5">
        <f>(H527-D527)*24</f>
        <v/>
      </c>
      <c r="L527" s="4">
        <f>IF(C527="做多",I527/E527-1,1-I527/E527)-2*參數!$B$7</f>
        <v/>
      </c>
      <c r="M527" s="2" t="inlineStr"/>
      <c r="N527" s="4" t="n">
        <v>-0.03624535315985133</v>
      </c>
      <c r="O527" s="4" t="n">
        <v>0.02667402259457712</v>
      </c>
      <c r="P527" s="4" t="n">
        <v>-0.03932558247255546</v>
      </c>
      <c r="Q527" s="22" t="n">
        <v>-1175792</v>
      </c>
      <c r="R527" s="22" t="n">
        <v>1329700.8207</v>
      </c>
      <c r="S527" s="4" t="n">
        <v>0.03</v>
      </c>
      <c r="T527" s="4" t="n">
        <v>0.025072324011572</v>
      </c>
      <c r="U527" s="19" t="n">
        <v>1.745677417321254</v>
      </c>
      <c r="V527" s="19" t="n">
        <v>1</v>
      </c>
      <c r="W527" s="4" t="n">
        <v>0.03928108208263836</v>
      </c>
      <c r="X527" s="4" t="n">
        <v>0.06660666066606669</v>
      </c>
      <c r="Y527" s="4" t="n">
        <v>0.00525495885458771</v>
      </c>
      <c r="Z527" s="4" t="n">
        <v>0.01072361312397441</v>
      </c>
      <c r="AA527" s="4" t="n">
        <v>0.03</v>
      </c>
      <c r="AB527" s="4" t="n">
        <v>0.05</v>
      </c>
      <c r="AC527" s="4">
        <f>(AB527+2*參數!$B$7)/(AA527+AB527)</f>
        <v/>
      </c>
    </row>
    <row r="528">
      <c r="A528" s="2" t="n">
        <v>527</v>
      </c>
      <c r="B528" s="2" t="inlineStr">
        <is>
          <t>PENGU_USDT_PERP</t>
        </is>
      </c>
      <c r="C528" s="2" t="inlineStr">
        <is>
          <t>做空</t>
        </is>
      </c>
      <c r="D528" s="7" t="n">
        <v>46293.45833333334</v>
      </c>
      <c r="E528" s="20" t="n">
        <v>0.009993999999999999</v>
      </c>
      <c r="F528" s="20" t="n">
        <v>0.009694179999999998</v>
      </c>
      <c r="G528" s="20" t="n">
        <v>0.0104937</v>
      </c>
      <c r="H528" s="7" t="n">
        <v>46293.54166666666</v>
      </c>
      <c r="I528" s="20" t="n">
        <v>0.009694179999999998</v>
      </c>
      <c r="J528" s="2" t="inlineStr">
        <is>
          <t>止盈</t>
        </is>
      </c>
      <c r="K528" s="5">
        <f>(H528-D528)*24</f>
        <v/>
      </c>
      <c r="L528" s="4">
        <f>IF(C528="做多",I528/E528-1,1-I528/E528)-2*參數!$B$7</f>
        <v/>
      </c>
      <c r="M528" s="2" t="inlineStr"/>
      <c r="N528" s="4" t="n">
        <v>-0.02038815918447356</v>
      </c>
      <c r="O528" s="4" t="n">
        <v>0.0220208885687724</v>
      </c>
      <c r="P528" s="4" t="n">
        <v>-0.0163821484284653</v>
      </c>
      <c r="Q528" s="22" t="n">
        <v>-31334335</v>
      </c>
      <c r="R528" s="22" t="n">
        <v>1842552.316575</v>
      </c>
      <c r="S528" s="4" t="n">
        <v>0.03</v>
      </c>
      <c r="T528" s="4" t="n">
        <v>0.006603962377426553</v>
      </c>
      <c r="U528" s="19" t="n">
        <v>0.6863593097214198</v>
      </c>
      <c r="V528" s="19" t="n">
        <v>0.9543973941368075</v>
      </c>
      <c r="W528" s="4" t="n">
        <v>-0.002987686956242408</v>
      </c>
      <c r="X528" s="4" t="n">
        <v>-0.01834114530262876</v>
      </c>
      <c r="Y528" s="4" t="n">
        <v>0.00324805349903956</v>
      </c>
      <c r="Z528" s="4" t="n">
        <v>0.013294157827208</v>
      </c>
      <c r="AA528" s="4" t="n">
        <v>0.03</v>
      </c>
      <c r="AB528" s="4" t="n">
        <v>0.05</v>
      </c>
      <c r="AC528" s="4">
        <f>(AB528+2*參數!$B$7)/(AA528+AB528)</f>
        <v/>
      </c>
    </row>
    <row r="529">
      <c r="A529" s="2" t="n">
        <v>528</v>
      </c>
      <c r="B529" s="2" t="inlineStr">
        <is>
          <t>SAGA_USDT_PERP</t>
        </is>
      </c>
      <c r="C529" s="2" t="inlineStr">
        <is>
          <t>做空</t>
        </is>
      </c>
      <c r="D529" s="7" t="n">
        <v>46293.45833333334</v>
      </c>
      <c r="E529" s="20" t="n">
        <v>0.02517</v>
      </c>
      <c r="F529" s="20" t="n">
        <v>0.0244149</v>
      </c>
      <c r="G529" s="20" t="n">
        <v>0.0264285</v>
      </c>
      <c r="H529" s="7" t="n">
        <v>46293.54166666666</v>
      </c>
      <c r="I529" s="20" t="n">
        <v>0.0264285</v>
      </c>
      <c r="J529" s="2" t="inlineStr">
        <is>
          <t>止損</t>
        </is>
      </c>
      <c r="K529" s="5">
        <f>(H529-D529)*24</f>
        <v/>
      </c>
      <c r="L529" s="4">
        <f>IF(C529="做多",I529/E529-1,1-I529/E529)-2*參數!$B$7</f>
        <v/>
      </c>
      <c r="M529" s="2" t="inlineStr"/>
      <c r="N529" s="4" t="n">
        <v>-0.02630560928433268</v>
      </c>
      <c r="O529" s="4" t="n">
        <v>0.03993965066394831</v>
      </c>
      <c r="P529" s="4" t="n">
        <v>-0.04939950147292094</v>
      </c>
      <c r="Q529" s="22" t="n">
        <v>-2581557.500000007</v>
      </c>
      <c r="R529" s="22" t="n">
        <v>1373182.730952</v>
      </c>
      <c r="S529" s="4" t="n">
        <v>0.0103297576479936</v>
      </c>
      <c r="T529" s="4" t="n">
        <v>0.05</v>
      </c>
      <c r="U529" s="19" t="n">
        <v>0.4697134700485405</v>
      </c>
      <c r="V529" s="19" t="n">
        <v>0.9425287356321822</v>
      </c>
      <c r="W529" s="4" t="n">
        <v>0.3170125472148656</v>
      </c>
      <c r="X529" s="4" t="n">
        <v>0.1769130150425113</v>
      </c>
      <c r="Y529" s="4" t="n">
        <v>0.00324805349903956</v>
      </c>
      <c r="Z529" s="4" t="n">
        <v>0.013294157827208</v>
      </c>
      <c r="AA529" s="4" t="n">
        <v>0.03</v>
      </c>
      <c r="AB529" s="4" t="n">
        <v>0.05</v>
      </c>
      <c r="AC529" s="4">
        <f>(AB529+2*參數!$B$7)/(AA529+AB529)</f>
        <v/>
      </c>
    </row>
    <row r="530">
      <c r="A530" s="2" t="n">
        <v>529</v>
      </c>
      <c r="B530" s="2" t="inlineStr">
        <is>
          <t>ARB_USDT_PERP</t>
        </is>
      </c>
      <c r="C530" s="2" t="inlineStr">
        <is>
          <t>做空</t>
        </is>
      </c>
      <c r="D530" s="7" t="n">
        <v>46293.5</v>
      </c>
      <c r="E530" s="20" t="n">
        <v>0.2144</v>
      </c>
      <c r="F530" s="20" t="n">
        <v>0.207968</v>
      </c>
      <c r="G530" s="20" t="n">
        <v>0.22512</v>
      </c>
      <c r="H530" s="7" t="n">
        <v>46293.66666666666</v>
      </c>
      <c r="I530" s="20" t="n">
        <v>0.207968</v>
      </c>
      <c r="J530" s="2" t="inlineStr">
        <is>
          <t>止盈</t>
        </is>
      </c>
      <c r="K530" s="5">
        <f>(H530-D530)*24</f>
        <v/>
      </c>
      <c r="L530" s="4">
        <f>IF(C530="做多",I530/E530-1,1-I530/E530)-2*參數!$B$7</f>
        <v/>
      </c>
      <c r="M530" s="2" t="inlineStr"/>
      <c r="N530" s="4" t="n">
        <v>-0.02323462414578581</v>
      </c>
      <c r="O530" s="4" t="n">
        <v>0.02320048528532727</v>
      </c>
      <c r="P530" s="4" t="n">
        <v>-0.04469099496502238</v>
      </c>
      <c r="Q530" s="22" t="n">
        <v>-6909547.5</v>
      </c>
      <c r="R530" s="22" t="n">
        <v>3088386.44072</v>
      </c>
      <c r="S530" s="4" t="n">
        <v>0.03</v>
      </c>
      <c r="T530" s="4" t="n">
        <v>0.006996268656716431</v>
      </c>
      <c r="U530" s="19" t="n">
        <v>1.602893173231442</v>
      </c>
      <c r="V530" s="19" t="n">
        <v>0.8289473684210531</v>
      </c>
      <c r="W530" s="4" t="n">
        <v>0.03271359028382459</v>
      </c>
      <c r="X530" s="4" t="n">
        <v>0.04157353598569513</v>
      </c>
      <c r="Y530" s="4" t="n">
        <v>0.00091030770559275</v>
      </c>
      <c r="Z530" s="4" t="n">
        <v>0.01334654517019795</v>
      </c>
      <c r="AA530" s="4" t="n">
        <v>0.03</v>
      </c>
      <c r="AB530" s="4" t="n">
        <v>0.05</v>
      </c>
      <c r="AC530" s="4">
        <f>(AB530+2*參數!$B$7)/(AA530+AB530)</f>
        <v/>
      </c>
    </row>
    <row r="531">
      <c r="A531" s="2" t="n">
        <v>530</v>
      </c>
      <c r="B531" s="2" t="inlineStr">
        <is>
          <t>SOON_USDT_PERP</t>
        </is>
      </c>
      <c r="C531" s="2" t="inlineStr">
        <is>
          <t>做多</t>
        </is>
      </c>
      <c r="D531" s="7" t="n">
        <v>46293.5</v>
      </c>
      <c r="E531" s="20" t="n">
        <v>0.3167</v>
      </c>
      <c r="F531" s="20" t="n">
        <v>0.326201</v>
      </c>
      <c r="G531" s="20" t="n">
        <v>0.300865</v>
      </c>
      <c r="H531" s="7" t="n">
        <v>46293.54166666666</v>
      </c>
      <c r="I531" s="20" t="n">
        <v>0.326201</v>
      </c>
      <c r="J531" s="2" t="inlineStr">
        <is>
          <t>止盈</t>
        </is>
      </c>
      <c r="K531" s="5">
        <f>(H531-D531)*24</f>
        <v/>
      </c>
      <c r="L531" s="4">
        <f>IF(C531="做多",I531/E531-1,1-I531/E531)-2*參數!$B$7</f>
        <v/>
      </c>
      <c r="M531" s="2" t="inlineStr"/>
      <c r="N531" s="4" t="n">
        <v>0.02491909385113256</v>
      </c>
      <c r="O531" s="4" t="n">
        <v>0.06390827115850992</v>
      </c>
      <c r="P531" s="4" t="n">
        <v>0.008807555704206438</v>
      </c>
      <c r="Q531" s="22" t="n">
        <v>1659003</v>
      </c>
      <c r="R531" s="22" t="n">
        <v>2340497.9871</v>
      </c>
      <c r="S531" s="4" t="n">
        <v>0.03</v>
      </c>
      <c r="T531" s="4" t="n">
        <v>0</v>
      </c>
      <c r="U531" s="19" t="n">
        <v>1.158352703534787</v>
      </c>
      <c r="V531" s="19" t="n">
        <v>0.7218543046357592</v>
      </c>
      <c r="W531" s="4" t="n">
        <v>0.3613717744258125</v>
      </c>
      <c r="X531" s="4" t="n">
        <v>0.08682223747426221</v>
      </c>
      <c r="Y531" s="4" t="n">
        <v>-0.00091030770559275</v>
      </c>
      <c r="Z531" s="4" t="n">
        <v>-0.01334654517019795</v>
      </c>
      <c r="AA531" s="4" t="n">
        <v>0.03</v>
      </c>
      <c r="AB531" s="4" t="n">
        <v>0.05</v>
      </c>
      <c r="AC531" s="4">
        <f>(AB531+2*參數!$B$7)/(AA531+AB531)</f>
        <v/>
      </c>
    </row>
    <row r="532">
      <c r="A532" s="2" t="n">
        <v>531</v>
      </c>
      <c r="B532" s="2" t="inlineStr">
        <is>
          <t>GRASS_USDT_PERP</t>
        </is>
      </c>
      <c r="C532" s="2" t="inlineStr">
        <is>
          <t>做多</t>
        </is>
      </c>
      <c r="D532" s="7" t="n">
        <v>46293.58333333334</v>
      </c>
      <c r="E532" s="20" t="n">
        <v>0.6443</v>
      </c>
      <c r="F532" s="20" t="n">
        <v>0.663629</v>
      </c>
      <c r="G532" s="20" t="n">
        <v>0.612085</v>
      </c>
      <c r="H532" s="7" t="n">
        <v>46293.625</v>
      </c>
      <c r="I532" s="20" t="n">
        <v>0.663629</v>
      </c>
      <c r="J532" s="2" t="inlineStr">
        <is>
          <t>止盈</t>
        </is>
      </c>
      <c r="K532" s="5">
        <f>(H532-D532)*24</f>
        <v/>
      </c>
      <c r="L532" s="4">
        <f>IF(C532="做多",I532/E532-1,1-I532/E532)-2*參數!$B$7</f>
        <v/>
      </c>
      <c r="M532" s="2" t="inlineStr"/>
      <c r="N532" s="4" t="n">
        <v>0.0300559552358115</v>
      </c>
      <c r="O532" s="4" t="n">
        <v>0.03788454334489365</v>
      </c>
      <c r="P532" s="4" t="n">
        <v>0.01153936729727612</v>
      </c>
      <c r="Q532" s="22" t="n">
        <v>782208</v>
      </c>
      <c r="R532" s="22" t="n">
        <v>1911293.3703</v>
      </c>
      <c r="S532" s="4" t="n">
        <v>0.03</v>
      </c>
      <c r="T532" s="4" t="n">
        <v>0</v>
      </c>
      <c r="U532" s="19" t="n">
        <v>0.827167981482166</v>
      </c>
      <c r="V532" s="19" t="n">
        <v>0.8138686131386862</v>
      </c>
      <c r="W532" s="4" t="n">
        <v>0.2178778341697618</v>
      </c>
      <c r="X532" s="4" t="n">
        <v>0.1242366079218284</v>
      </c>
      <c r="Y532" s="4" t="n">
        <v>-0.00361192101709007</v>
      </c>
      <c r="Z532" s="4" t="n">
        <v>-0.01342237760644593</v>
      </c>
      <c r="AA532" s="4" t="n">
        <v>0.03</v>
      </c>
      <c r="AB532" s="4" t="n">
        <v>0.05</v>
      </c>
      <c r="AC532" s="4">
        <f>(AB532+2*參數!$B$7)/(AA532+AB532)</f>
        <v/>
      </c>
    </row>
    <row r="533">
      <c r="A533" s="2" t="n">
        <v>532</v>
      </c>
      <c r="B533" s="2" t="inlineStr">
        <is>
          <t>MARSCOIN_USDT_PERP</t>
        </is>
      </c>
      <c r="C533" s="2" t="inlineStr">
        <is>
          <t>做多</t>
        </is>
      </c>
      <c r="D533" s="7" t="n">
        <v>46293.58333333334</v>
      </c>
      <c r="E533" s="20" t="n">
        <v>0.12773</v>
      </c>
      <c r="F533" s="20" t="n">
        <v>0.1315619</v>
      </c>
      <c r="G533" s="20" t="n">
        <v>0.1213435</v>
      </c>
      <c r="H533" s="7" t="n">
        <v>46293.625</v>
      </c>
      <c r="I533" s="20" t="n">
        <v>0.1315619</v>
      </c>
      <c r="J533" s="2" t="inlineStr">
        <is>
          <t>止盈</t>
        </is>
      </c>
      <c r="K533" s="5">
        <f>(H533-D533)*24</f>
        <v/>
      </c>
      <c r="L533" s="4">
        <f>IF(C533="做多",I533/E533-1,1-I533/E533)-2*參數!$B$7</f>
        <v/>
      </c>
      <c r="M533" s="2" t="inlineStr"/>
      <c r="N533" s="4" t="n">
        <v>0.09329795429256182</v>
      </c>
      <c r="O533" s="4" t="n">
        <v>0.03704374127208629</v>
      </c>
      <c r="P533" s="4" t="n">
        <v>0.01165065460680026</v>
      </c>
      <c r="Q533" s="22" t="n">
        <v>463406</v>
      </c>
      <c r="R533" s="22" t="n">
        <v>1271523.5292</v>
      </c>
      <c r="S533" s="4" t="n">
        <v>0.03</v>
      </c>
      <c r="T533" s="4" t="n">
        <v>0</v>
      </c>
      <c r="U533" s="19" t="n">
        <v>8.743727946547059</v>
      </c>
      <c r="V533" s="19" t="n">
        <v>0.5762151958470982</v>
      </c>
      <c r="W533" s="4" t="n">
        <v>0.0532339551478842</v>
      </c>
      <c r="X533" s="4" t="n">
        <v>-0.0199493593186526</v>
      </c>
      <c r="Y533" s="4" t="n">
        <v>-0.00361192101709007</v>
      </c>
      <c r="Z533" s="4" t="n">
        <v>-0.01342237760644593</v>
      </c>
      <c r="AA533" s="4" t="n">
        <v>0.03</v>
      </c>
      <c r="AB533" s="4" t="n">
        <v>0.05</v>
      </c>
      <c r="AC533" s="4">
        <f>(AB533+2*參數!$B$7)/(AA533+AB533)</f>
        <v/>
      </c>
    </row>
    <row r="534">
      <c r="A534" s="2" t="n">
        <v>533</v>
      </c>
      <c r="B534" s="2" t="inlineStr">
        <is>
          <t>NEAR_USDT_PERP</t>
        </is>
      </c>
      <c r="C534" s="2" t="inlineStr">
        <is>
          <t>做空</t>
        </is>
      </c>
      <c r="D534" s="7" t="n">
        <v>46293.58333333334</v>
      </c>
      <c r="E534" s="20" t="n">
        <v>5.159</v>
      </c>
      <c r="F534" s="20" t="n">
        <v>5.00423</v>
      </c>
      <c r="G534" s="20" t="n">
        <v>5.41695</v>
      </c>
      <c r="H534" s="7" t="n">
        <v>46293.75</v>
      </c>
      <c r="I534" s="20" t="n">
        <v>5.00423</v>
      </c>
      <c r="J534" s="2" t="inlineStr">
        <is>
          <t>止盈</t>
        </is>
      </c>
      <c r="K534" s="5">
        <f>(H534-D534)*24</f>
        <v/>
      </c>
      <c r="L534" s="4">
        <f>IF(C534="做多",I534/E534-1,1-I534/E534)-2*參數!$B$7</f>
        <v/>
      </c>
      <c r="M534" s="2" t="inlineStr"/>
      <c r="N534" s="4" t="n">
        <v>-0.02180508153204408</v>
      </c>
      <c r="O534" s="4" t="n">
        <v>0.02311772217646303</v>
      </c>
      <c r="P534" s="4" t="n">
        <v>-0.02549136278204378</v>
      </c>
      <c r="Q534" s="22" t="n">
        <v>-1181211</v>
      </c>
      <c r="R534" s="22" t="n">
        <v>28232676.678</v>
      </c>
      <c r="S534" s="4" t="n">
        <v>0.03</v>
      </c>
      <c r="T534" s="4" t="n">
        <v>0.005233572397751463</v>
      </c>
      <c r="U534" s="19" t="n">
        <v>0.7270716753512492</v>
      </c>
      <c r="V534" s="19" t="n">
        <v>0.8255033557046993</v>
      </c>
      <c r="W534" s="4" t="n">
        <v>-0.05348063139409032</v>
      </c>
      <c r="X534" s="4" t="n">
        <v>0.04356692621431224</v>
      </c>
      <c r="Y534" s="4" t="n">
        <v>0.00361192101709007</v>
      </c>
      <c r="Z534" s="4" t="n">
        <v>0.01342237760644593</v>
      </c>
      <c r="AA534" s="4" t="n">
        <v>0.03</v>
      </c>
      <c r="AB534" s="4" t="n">
        <v>0.05</v>
      </c>
      <c r="AC534" s="4">
        <f>(AB534+2*參數!$B$7)/(AA534+AB534)</f>
        <v/>
      </c>
    </row>
    <row r="535">
      <c r="A535" s="2" t="n">
        <v>534</v>
      </c>
      <c r="B535" s="2" t="inlineStr">
        <is>
          <t>SAGA_USDT_PERP</t>
        </is>
      </c>
      <c r="C535" s="2" t="inlineStr">
        <is>
          <t>做多</t>
        </is>
      </c>
      <c r="D535" s="7" t="n">
        <v>46293.625</v>
      </c>
      <c r="E535" s="20" t="n">
        <v>0.027</v>
      </c>
      <c r="F535" s="20" t="n">
        <v>0.02781</v>
      </c>
      <c r="G535" s="20" t="n">
        <v>0.02565</v>
      </c>
      <c r="H535" s="7" t="n">
        <v>46295.08333333334</v>
      </c>
      <c r="I535" s="20" t="n">
        <v>0.02565</v>
      </c>
      <c r="J535" s="2" t="inlineStr">
        <is>
          <t>止損</t>
        </is>
      </c>
      <c r="K535" s="5">
        <f>(H535-D535)*24</f>
        <v/>
      </c>
      <c r="L535" s="4">
        <f>IF(C535="做多",I535/E535-1,1-I535/E535)-2*參數!$B$7</f>
        <v/>
      </c>
      <c r="M535" s="2" t="inlineStr"/>
      <c r="N535" s="4" t="n">
        <v>0.0344827586206895</v>
      </c>
      <c r="O535" s="4" t="n">
        <v>0.03749482357560307</v>
      </c>
      <c r="P535" s="4" t="n">
        <v>0.02737771351382201</v>
      </c>
      <c r="Q535" s="22" t="n">
        <v>1307053.599999994</v>
      </c>
      <c r="R535" s="22" t="n">
        <v>1253686.786637</v>
      </c>
      <c r="S535" s="4" t="n">
        <v>0.02814814814814826</v>
      </c>
      <c r="T535" s="4" t="n">
        <v>0.05</v>
      </c>
      <c r="U535" s="19" t="n">
        <v>0.6852798738352687</v>
      </c>
      <c r="V535" s="19" t="n">
        <v>0.7230769230769235</v>
      </c>
      <c r="W535" s="4" t="n">
        <v>-0.2503560808615907</v>
      </c>
      <c r="X535" s="4" t="n">
        <v>0.01085735679520772</v>
      </c>
      <c r="Y535" s="4" t="n">
        <v>-0.0002357341736375362</v>
      </c>
      <c r="Z535" s="4" t="n">
        <v>-0.01265091166430987</v>
      </c>
      <c r="AA535" s="4" t="n">
        <v>0.03</v>
      </c>
      <c r="AB535" s="4" t="n">
        <v>0.05</v>
      </c>
      <c r="AC535" s="4">
        <f>(AB535+2*參數!$B$7)/(AA535+AB535)</f>
        <v/>
      </c>
    </row>
    <row r="536">
      <c r="A536" s="2" t="n">
        <v>535</v>
      </c>
      <c r="B536" s="2" t="inlineStr">
        <is>
          <t>牛来_USDT_PERP</t>
        </is>
      </c>
      <c r="C536" s="2" t="inlineStr">
        <is>
          <t>做多</t>
        </is>
      </c>
      <c r="D536" s="7" t="n">
        <v>46293.70833333334</v>
      </c>
      <c r="E536" s="20" t="n">
        <v>0.11105</v>
      </c>
      <c r="F536" s="20" t="n">
        <v>0.1143815</v>
      </c>
      <c r="G536" s="20" t="n">
        <v>0.1054975</v>
      </c>
      <c r="H536" s="7" t="n">
        <v>46293.875</v>
      </c>
      <c r="I536" s="20" t="n">
        <v>0.1143815</v>
      </c>
      <c r="J536" s="2" t="inlineStr">
        <is>
          <t>止盈</t>
        </is>
      </c>
      <c r="K536" s="5">
        <f>(H536-D536)*24</f>
        <v/>
      </c>
      <c r="L536" s="4">
        <f>IF(C536="做多",I536/E536-1,1-I536/E536)-2*參數!$B$7</f>
        <v/>
      </c>
      <c r="M536" s="2" t="inlineStr"/>
      <c r="N536" s="4" t="n">
        <v>0.02900296515937728</v>
      </c>
      <c r="O536" s="4" t="n">
        <v>0.03435065256126275</v>
      </c>
      <c r="P536" s="4" t="n">
        <v>0.05071932405773527</v>
      </c>
      <c r="Q536" s="22" t="n">
        <v>2517820</v>
      </c>
      <c r="R536" s="22" t="n">
        <v>1279720.15974</v>
      </c>
      <c r="S536" s="4" t="n">
        <v>0.03</v>
      </c>
      <c r="T536" s="4" t="n">
        <v>0.04349392165691135</v>
      </c>
      <c r="U536" s="19" t="n">
        <v>1.770215736556227</v>
      </c>
      <c r="V536" s="19" t="n">
        <v>0.3892288861689104</v>
      </c>
      <c r="W536" s="4" t="n">
        <v>0.06684061468464564</v>
      </c>
      <c r="X536" s="4" t="n">
        <v>0.06881616939364754</v>
      </c>
      <c r="Y536" s="4" t="n">
        <v>0.0002014127840432867</v>
      </c>
      <c r="Z536" s="4" t="n">
        <v>-0.01274552420967456</v>
      </c>
      <c r="AA536" s="4" t="n">
        <v>0.03</v>
      </c>
      <c r="AB536" s="4" t="n">
        <v>0.05</v>
      </c>
      <c r="AC536" s="4">
        <f>(AB536+2*參數!$B$7)/(AA536+AB536)</f>
        <v/>
      </c>
    </row>
    <row r="537">
      <c r="A537" s="2" t="n">
        <v>536</v>
      </c>
      <c r="B537" s="2" t="inlineStr">
        <is>
          <t>GRAM_USDT_PERP</t>
        </is>
      </c>
      <c r="C537" s="2" t="inlineStr">
        <is>
          <t>做多</t>
        </is>
      </c>
      <c r="D537" s="7" t="n">
        <v>46293.75</v>
      </c>
      <c r="E537" s="20" t="n">
        <v>1.667</v>
      </c>
      <c r="F537" s="20" t="n">
        <v>1.71701</v>
      </c>
      <c r="G537" s="20" t="n">
        <v>1.58365</v>
      </c>
      <c r="H537" s="7" t="n">
        <v>46293.79166666666</v>
      </c>
      <c r="I537" s="20" t="n">
        <v>1.71701</v>
      </c>
      <c r="J537" s="2" t="inlineStr">
        <is>
          <t>止盈</t>
        </is>
      </c>
      <c r="K537" s="5">
        <f>(H537-D537)*24</f>
        <v/>
      </c>
      <c r="L537" s="4">
        <f>IF(C537="做多",I537/E537-1,1-I537/E537)-2*參數!$B$7</f>
        <v/>
      </c>
      <c r="M537" s="2" t="inlineStr"/>
      <c r="N537" s="4" t="n">
        <v>0.02332719459791277</v>
      </c>
      <c r="O537" s="4" t="n">
        <v>0.02375793145638156</v>
      </c>
      <c r="P537" s="4" t="n">
        <v>0.02116450733559994</v>
      </c>
      <c r="Q537" s="22" t="n">
        <v>254699.0000000001</v>
      </c>
      <c r="R537" s="22" t="n">
        <v>1435776.6949</v>
      </c>
      <c r="S537" s="4" t="n">
        <v>0.03</v>
      </c>
      <c r="T537" s="4" t="n">
        <v>0</v>
      </c>
      <c r="U537" s="19" t="n">
        <v>1.836301524293314</v>
      </c>
      <c r="V537" s="19" t="n">
        <v>0.8243243243243253</v>
      </c>
      <c r="W537" s="4" t="n">
        <v>0.108001940831234</v>
      </c>
      <c r="X537" s="4" t="n">
        <v>0.03476101800124143</v>
      </c>
      <c r="Y537" s="4" t="n">
        <v>-0.003508941167958857</v>
      </c>
      <c r="Z537" s="4" t="n">
        <v>-0.01483059055923031</v>
      </c>
      <c r="AA537" s="4" t="n">
        <v>0.03</v>
      </c>
      <c r="AB537" s="4" t="n">
        <v>0.05</v>
      </c>
      <c r="AC537" s="4">
        <f>(AB537+2*參數!$B$7)/(AA537+AB537)</f>
        <v/>
      </c>
    </row>
    <row r="538">
      <c r="A538" s="2" t="n">
        <v>537</v>
      </c>
      <c r="B538" s="2" t="inlineStr">
        <is>
          <t>BTW_USDT_PERP</t>
        </is>
      </c>
      <c r="C538" s="2" t="inlineStr">
        <is>
          <t>做多</t>
        </is>
      </c>
      <c r="D538" s="7" t="n">
        <v>46293.83333333334</v>
      </c>
      <c r="E538" s="20" t="n">
        <v>1.272503</v>
      </c>
      <c r="F538" s="20" t="n">
        <v>1.31067809</v>
      </c>
      <c r="G538" s="20" t="n">
        <v>1.20887785</v>
      </c>
      <c r="H538" s="7" t="n">
        <v>46293.91666666666</v>
      </c>
      <c r="I538" s="20" t="n">
        <v>1.31067809</v>
      </c>
      <c r="J538" s="2" t="inlineStr">
        <is>
          <t>止盈</t>
        </is>
      </c>
      <c r="K538" s="5">
        <f>(H538-D538)*24</f>
        <v/>
      </c>
      <c r="L538" s="4">
        <f>IF(C538="做多",I538/E538-1,1-I538/E538)-2*參數!$B$7</f>
        <v/>
      </c>
      <c r="M538" s="2" t="inlineStr"/>
      <c r="N538" s="4" t="n">
        <v>0.07452227147983947</v>
      </c>
      <c r="O538" s="4" t="n">
        <v>0.05339395969785964</v>
      </c>
      <c r="P538" s="4" t="n">
        <v>0.006042009210974753</v>
      </c>
      <c r="Q538" s="22" t="n">
        <v>399228</v>
      </c>
      <c r="R538" s="22" t="n">
        <v>1927002.051451</v>
      </c>
      <c r="S538" s="4" t="n">
        <v>0.03</v>
      </c>
      <c r="T538" s="4" t="n">
        <v>0.02357951218975507</v>
      </c>
      <c r="U538" s="19" t="n">
        <v>0.788783340837529</v>
      </c>
      <c r="V538" s="19" t="n">
        <v>0.905032232272249</v>
      </c>
      <c r="W538" s="4" t="n">
        <v>0.1600627994983361</v>
      </c>
      <c r="X538" s="4" t="n">
        <v>0.106235764583152</v>
      </c>
      <c r="Y538" s="4" t="n">
        <v>0.001518173464884143</v>
      </c>
      <c r="Z538" s="4" t="n">
        <v>-0.008155908249181998</v>
      </c>
      <c r="AA538" s="4" t="n">
        <v>0.03</v>
      </c>
      <c r="AB538" s="4" t="n">
        <v>0.05</v>
      </c>
      <c r="AC538" s="4">
        <f>(AB538+2*參數!$B$7)/(AA538+AB538)</f>
        <v/>
      </c>
    </row>
    <row r="539">
      <c r="A539" s="2" t="n">
        <v>538</v>
      </c>
      <c r="B539" s="2" t="inlineStr">
        <is>
          <t>PUMP_USDT_PERP</t>
        </is>
      </c>
      <c r="C539" s="2" t="inlineStr">
        <is>
          <t>做多</t>
        </is>
      </c>
      <c r="D539" s="7" t="n">
        <v>46293.83333333334</v>
      </c>
      <c r="E539" s="20" t="n">
        <v>0.005038</v>
      </c>
      <c r="F539" s="20" t="n">
        <v>0.00518914</v>
      </c>
      <c r="G539" s="20" t="n">
        <v>0.0047861</v>
      </c>
      <c r="H539" s="7" t="n">
        <v>46293.875</v>
      </c>
      <c r="I539" s="20" t="n">
        <v>0.00518914</v>
      </c>
      <c r="J539" s="2" t="inlineStr">
        <is>
          <t>止盈</t>
        </is>
      </c>
      <c r="K539" s="5">
        <f>(H539-D539)*24</f>
        <v/>
      </c>
      <c r="L539" s="4">
        <f>IF(C539="做多",I539/E539-1,1-I539/E539)-2*參數!$B$7</f>
        <v/>
      </c>
      <c r="M539" s="2" t="inlineStr"/>
      <c r="N539" s="4" t="n">
        <v>0.043712450797597</v>
      </c>
      <c r="O539" s="4" t="n">
        <v>0.03240819073535812</v>
      </c>
      <c r="P539" s="4" t="n">
        <v>0.004315887049348488</v>
      </c>
      <c r="Q539" s="22" t="n">
        <v>801270657</v>
      </c>
      <c r="R539" s="22" t="n">
        <v>18710831.592867</v>
      </c>
      <c r="S539" s="4" t="n">
        <v>0.03</v>
      </c>
      <c r="T539" s="4" t="n">
        <v>0</v>
      </c>
      <c r="U539" s="19" t="n">
        <v>0.815293879866603</v>
      </c>
      <c r="V539" s="19" t="n">
        <v>0.959459459459458</v>
      </c>
      <c r="W539" s="4" t="n">
        <v>0.1522381505639974</v>
      </c>
      <c r="X539" s="4" t="n">
        <v>0.1195555555555556</v>
      </c>
      <c r="Y539" s="4" t="n">
        <v>0.001518173464884143</v>
      </c>
      <c r="Z539" s="4" t="n">
        <v>-0.008155908249181998</v>
      </c>
      <c r="AA539" s="4" t="n">
        <v>0.03</v>
      </c>
      <c r="AB539" s="4" t="n">
        <v>0.05</v>
      </c>
      <c r="AC539" s="4">
        <f>(AB539+2*參數!$B$7)/(AA539+AB539)</f>
        <v/>
      </c>
    </row>
    <row r="540">
      <c r="A540" s="2" t="n">
        <v>539</v>
      </c>
      <c r="B540" s="2" t="inlineStr">
        <is>
          <t>USELESS_USDT_PERP</t>
        </is>
      </c>
      <c r="C540" s="2" t="inlineStr">
        <is>
          <t>做空</t>
        </is>
      </c>
      <c r="D540" s="7" t="n">
        <v>46293.91666666666</v>
      </c>
      <c r="E540" s="20" t="n">
        <v>0.25393</v>
      </c>
      <c r="F540" s="20" t="n">
        <v>0.2463121</v>
      </c>
      <c r="G540" s="20" t="n">
        <v>0.2666265</v>
      </c>
      <c r="H540" s="7" t="n">
        <v>46293.95833333334</v>
      </c>
      <c r="I540" s="20" t="n">
        <v>0.2463121</v>
      </c>
      <c r="J540" s="2" t="inlineStr">
        <is>
          <t>止盈</t>
        </is>
      </c>
      <c r="K540" s="5">
        <f>(H540-D540)*24</f>
        <v/>
      </c>
      <c r="L540" s="4">
        <f>IF(C540="做多",I540/E540-1,1-I540/E540)-2*參數!$B$7</f>
        <v/>
      </c>
      <c r="M540" s="2" t="inlineStr"/>
      <c r="N540" s="4" t="n">
        <v>-0.02405934125062448</v>
      </c>
      <c r="O540" s="4" t="n">
        <v>0.03040294450375939</v>
      </c>
      <c r="P540" s="4" t="n">
        <v>-0.05542360492431064</v>
      </c>
      <c r="Q540" s="22" t="n">
        <v>-701284</v>
      </c>
      <c r="R540" s="22" t="n">
        <v>2701031.37274</v>
      </c>
      <c r="S540" s="4" t="n">
        <v>0.03</v>
      </c>
      <c r="T540" s="4" t="n">
        <v>0</v>
      </c>
      <c r="U540" s="19" t="n">
        <v>0.8004038855375264</v>
      </c>
      <c r="V540" s="19" t="n">
        <v>0.9366515837104068</v>
      </c>
      <c r="W540" s="4" t="n">
        <v>0.1041526210935667</v>
      </c>
      <c r="X540" s="4" t="n">
        <v>0.1434017001754149</v>
      </c>
      <c r="Y540" s="4" t="n">
        <v>-0.0007492842300806934</v>
      </c>
      <c r="Z540" s="4" t="n">
        <v>0.0004750818721237504</v>
      </c>
      <c r="AA540" s="4" t="n">
        <v>0.03</v>
      </c>
      <c r="AB540" s="4" t="n">
        <v>0.05</v>
      </c>
      <c r="AC540" s="4">
        <f>(AB540+2*參數!$B$7)/(AA540+AB540)</f>
        <v/>
      </c>
    </row>
    <row r="541">
      <c r="A541" s="2" t="n">
        <v>540</v>
      </c>
      <c r="B541" s="2" t="inlineStr">
        <is>
          <t>DOT_USDT_PERP</t>
        </is>
      </c>
      <c r="C541" s="2" t="inlineStr">
        <is>
          <t>做空</t>
        </is>
      </c>
      <c r="D541" s="7" t="n">
        <v>46293.95833333334</v>
      </c>
      <c r="E541" s="20" t="n">
        <v>1.162</v>
      </c>
      <c r="F541" s="20" t="n">
        <v>1.12714</v>
      </c>
      <c r="G541" s="20" t="n">
        <v>1.2201</v>
      </c>
      <c r="H541" s="7" t="n">
        <v>46294.83333333334</v>
      </c>
      <c r="I541" s="20" t="n">
        <v>1.2201</v>
      </c>
      <c r="J541" s="2" t="inlineStr">
        <is>
          <t>止損</t>
        </is>
      </c>
      <c r="K541" s="5">
        <f>(H541-D541)*24</f>
        <v/>
      </c>
      <c r="L541" s="4">
        <f>IF(C541="做多",I541/E541-1,1-I541/E541)-2*參數!$B$7</f>
        <v/>
      </c>
      <c r="M541" s="2" t="inlineStr"/>
      <c r="N541" s="4" t="n">
        <v>-0.02434928631402189</v>
      </c>
      <c r="O541" s="4" t="n">
        <v>0.02053425520481983</v>
      </c>
      <c r="P541" s="4" t="n">
        <v>-0.05235687489805907</v>
      </c>
      <c r="Q541" s="22" t="n">
        <v>-535084</v>
      </c>
      <c r="R541" s="22" t="n">
        <v>1580997.391</v>
      </c>
      <c r="S541" s="4" t="n">
        <v>0.0180722891566264</v>
      </c>
      <c r="T541" s="4" t="n">
        <v>0.05</v>
      </c>
      <c r="U541" s="19" t="n">
        <v>1.375690141024064</v>
      </c>
      <c r="V541" s="19" t="n">
        <v>0.7894736842105263</v>
      </c>
      <c r="W541" s="4" t="n">
        <v>0.03952654113835119</v>
      </c>
      <c r="X541" s="4" t="n">
        <v>0.05528455284552847</v>
      </c>
      <c r="Y541" s="4" t="n">
        <v>0.007397528974153467</v>
      </c>
      <c r="Z541" s="4" t="n">
        <v>0.006807736058262903</v>
      </c>
      <c r="AA541" s="4" t="n">
        <v>0.03</v>
      </c>
      <c r="AB541" s="4" t="n">
        <v>0.05</v>
      </c>
      <c r="AC541" s="4">
        <f>(AB541+2*參數!$B$7)/(AA541+AB541)</f>
        <v/>
      </c>
    </row>
    <row r="542">
      <c r="A542" s="2" t="n">
        <v>541</v>
      </c>
      <c r="B542" s="2" t="inlineStr">
        <is>
          <t>ENA_USDT_PERP</t>
        </is>
      </c>
      <c r="C542" s="2" t="inlineStr">
        <is>
          <t>做空</t>
        </is>
      </c>
      <c r="D542" s="7" t="n">
        <v>46293.95833333334</v>
      </c>
      <c r="E542" s="20" t="n">
        <v>0.2609</v>
      </c>
      <c r="F542" s="20" t="n">
        <v>0.253073</v>
      </c>
      <c r="G542" s="20" t="n">
        <v>0.273945</v>
      </c>
      <c r="H542" s="7" t="n">
        <v>46294.29166666666</v>
      </c>
      <c r="I542" s="20" t="n">
        <v>0.253073</v>
      </c>
      <c r="J542" s="2" t="inlineStr">
        <is>
          <t>止盈</t>
        </is>
      </c>
      <c r="K542" s="5">
        <f>(H542-D542)*24</f>
        <v/>
      </c>
      <c r="L542" s="4">
        <f>IF(C542="做多",I542/E542-1,1-I542/E542)-2*參數!$B$7</f>
        <v/>
      </c>
      <c r="M542" s="2" t="inlineStr"/>
      <c r="N542" s="4" t="n">
        <v>-0.02794336810730258</v>
      </c>
      <c r="O542" s="4" t="n">
        <v>0.02366987069584239</v>
      </c>
      <c r="P542" s="4" t="n">
        <v>-0.0318211336858707</v>
      </c>
      <c r="Q542" s="22" t="n">
        <v>-23111946</v>
      </c>
      <c r="R542" s="22" t="n">
        <v>14262833.4294</v>
      </c>
      <c r="S542" s="4" t="n">
        <v>0.03</v>
      </c>
      <c r="T542" s="4" t="n">
        <v>0.01456496742046753</v>
      </c>
      <c r="U542" s="19" t="n">
        <v>1.931560950934976</v>
      </c>
      <c r="V542" s="19" t="n">
        <v>0.7438016528925581</v>
      </c>
      <c r="W542" s="4" t="n">
        <v>-0.01255506180505694</v>
      </c>
      <c r="X542" s="4" t="n">
        <v>0.02975083674228318</v>
      </c>
      <c r="Y542" s="4" t="n">
        <v>0.007397528974153467</v>
      </c>
      <c r="Z542" s="4" t="n">
        <v>0.006807736058262903</v>
      </c>
      <c r="AA542" s="4" t="n">
        <v>0.03</v>
      </c>
      <c r="AB542" s="4" t="n">
        <v>0.05</v>
      </c>
      <c r="AC542" s="4">
        <f>(AB542+2*參數!$B$7)/(AA542+AB542)</f>
        <v/>
      </c>
    </row>
    <row r="543">
      <c r="A543" s="2" t="n">
        <v>542</v>
      </c>
      <c r="B543" s="2" t="inlineStr">
        <is>
          <t>FET_USDT_PERP</t>
        </is>
      </c>
      <c r="C543" s="2" t="inlineStr">
        <is>
          <t>做空</t>
        </is>
      </c>
      <c r="D543" s="7" t="n">
        <v>46293.95833333334</v>
      </c>
      <c r="E543" s="20" t="n">
        <v>0.226</v>
      </c>
      <c r="F543" s="20" t="n">
        <v>0.21922</v>
      </c>
      <c r="G543" s="20" t="n">
        <v>0.2373</v>
      </c>
      <c r="H543" s="7" t="n">
        <v>46294.41666666666</v>
      </c>
      <c r="I543" s="20" t="n">
        <v>0.21922</v>
      </c>
      <c r="J543" s="2" t="inlineStr">
        <is>
          <t>止盈</t>
        </is>
      </c>
      <c r="K543" s="5">
        <f>(H543-D543)*24</f>
        <v/>
      </c>
      <c r="L543" s="4">
        <f>IF(C543="做多",I543/E543-1,1-I543/E543)-2*參數!$B$7</f>
        <v/>
      </c>
      <c r="M543" s="2" t="inlineStr"/>
      <c r="N543" s="4" t="n">
        <v>-0.03129018431204456</v>
      </c>
      <c r="O543" s="4" t="n">
        <v>0.02152060156348648</v>
      </c>
      <c r="P543" s="4" t="n">
        <v>-0.04954159306922346</v>
      </c>
      <c r="Q543" s="22" t="n">
        <v>-2695382</v>
      </c>
      <c r="R543" s="22" t="n">
        <v>1849432.871</v>
      </c>
      <c r="S543" s="4" t="n">
        <v>0.03</v>
      </c>
      <c r="T543" s="4" t="n">
        <v>0.0331858407079646</v>
      </c>
      <c r="U543" s="19" t="n">
        <v>2.11706922872537</v>
      </c>
      <c r="V543" s="19" t="n">
        <v>0.7849462365591396</v>
      </c>
      <c r="W543" s="4" t="n">
        <v>0.04796407538776504</v>
      </c>
      <c r="X543" s="4" t="n">
        <v>0.05911740216486261</v>
      </c>
      <c r="Y543" s="4" t="n">
        <v>0.007397528974153467</v>
      </c>
      <c r="Z543" s="4" t="n">
        <v>0.006807736058262903</v>
      </c>
      <c r="AA543" s="4" t="n">
        <v>0.03</v>
      </c>
      <c r="AB543" s="4" t="n">
        <v>0.05</v>
      </c>
      <c r="AC543" s="4">
        <f>(AB543+2*參數!$B$7)/(AA543+AB543)</f>
        <v/>
      </c>
    </row>
    <row r="544">
      <c r="A544" s="2" t="n">
        <v>543</v>
      </c>
      <c r="B544" s="2" t="inlineStr">
        <is>
          <t>KAS_USDT_PERP</t>
        </is>
      </c>
      <c r="C544" s="2" t="inlineStr">
        <is>
          <t>做空</t>
        </is>
      </c>
      <c r="D544" s="7" t="n">
        <v>46293.95833333334</v>
      </c>
      <c r="E544" s="20" t="n">
        <v>0.04585</v>
      </c>
      <c r="F544" s="20" t="n">
        <v>0.0444745</v>
      </c>
      <c r="G544" s="20" t="n">
        <v>0.0481425</v>
      </c>
      <c r="H544" s="7" t="n">
        <v>46294.16666666666</v>
      </c>
      <c r="I544" s="20" t="n">
        <v>0.0444745</v>
      </c>
      <c r="J544" s="2" t="inlineStr">
        <is>
          <t>止盈</t>
        </is>
      </c>
      <c r="K544" s="5">
        <f>(H544-D544)*24</f>
        <v/>
      </c>
      <c r="L544" s="4">
        <f>IF(C544="做多",I544/E544-1,1-I544/E544)-2*參數!$B$7</f>
        <v/>
      </c>
      <c r="M544" s="2" t="inlineStr"/>
      <c r="N544" s="4" t="n">
        <v>-0.0419974926870037</v>
      </c>
      <c r="O544" s="4" t="n">
        <v>0.02477467319098705</v>
      </c>
      <c r="P544" s="4" t="n">
        <v>-0.03073735836292912</v>
      </c>
      <c r="Q544" s="22" t="n">
        <v>-9852525</v>
      </c>
      <c r="R544" s="22" t="n">
        <v>1437466.83027</v>
      </c>
      <c r="S544" s="4" t="n">
        <v>0.03</v>
      </c>
      <c r="T544" s="4" t="n">
        <v>0.02617230098146117</v>
      </c>
      <c r="U544" s="19" t="n">
        <v>2.963917468520354</v>
      </c>
      <c r="V544" s="19" t="n">
        <v>0.712765957446807</v>
      </c>
      <c r="W544" s="4" t="n">
        <v>-0.02929621730833998</v>
      </c>
      <c r="X544" s="4" t="n">
        <v>0.02612574341546292</v>
      </c>
      <c r="Y544" s="4" t="n">
        <v>0.007397528974153467</v>
      </c>
      <c r="Z544" s="4" t="n">
        <v>0.006807736058262903</v>
      </c>
      <c r="AA544" s="4" t="n">
        <v>0.03</v>
      </c>
      <c r="AB544" s="4" t="n">
        <v>0.05</v>
      </c>
      <c r="AC544" s="4">
        <f>(AB544+2*參數!$B$7)/(AA544+AB544)</f>
        <v/>
      </c>
    </row>
    <row r="545">
      <c r="A545" s="2" t="n">
        <v>544</v>
      </c>
      <c r="B545" s="2" t="inlineStr">
        <is>
          <t>NEAR_USDT_PERP</t>
        </is>
      </c>
      <c r="C545" s="2" t="inlineStr">
        <is>
          <t>做空</t>
        </is>
      </c>
      <c r="D545" s="7" t="n">
        <v>46293.95833333334</v>
      </c>
      <c r="E545" s="20" t="n">
        <v>5.038</v>
      </c>
      <c r="F545" s="20" t="n">
        <v>4.88686</v>
      </c>
      <c r="G545" s="20" t="n">
        <v>5.2899</v>
      </c>
      <c r="H545" s="7" t="n">
        <v>46294</v>
      </c>
      <c r="I545" s="20" t="n">
        <v>4.88686</v>
      </c>
      <c r="J545" s="2" t="inlineStr">
        <is>
          <t>止盈</t>
        </is>
      </c>
      <c r="K545" s="5">
        <f>(H545-D545)*24</f>
        <v/>
      </c>
      <c r="L545" s="4">
        <f>IF(C545="做多",I545/E545-1,1-I545/E545)-2*參數!$B$7</f>
        <v/>
      </c>
      <c r="M545" s="2" t="inlineStr"/>
      <c r="N545" s="4" t="n">
        <v>-0.03505075656004597</v>
      </c>
      <c r="O545" s="4" t="n">
        <v>0.02529369308587579</v>
      </c>
      <c r="P545" s="4" t="n">
        <v>-0.03914556811138137</v>
      </c>
      <c r="Q545" s="22" t="n">
        <v>-583833</v>
      </c>
      <c r="R545" s="22" t="n">
        <v>31884702.381</v>
      </c>
      <c r="S545" s="4" t="n">
        <v>0.03</v>
      </c>
      <c r="T545" s="4" t="n">
        <v>0</v>
      </c>
      <c r="U545" s="19" t="n">
        <v>2.73055887718104</v>
      </c>
      <c r="V545" s="19" t="n">
        <v>0.7540983606557363</v>
      </c>
      <c r="W545" s="4" t="n">
        <v>-0.01382080445614298</v>
      </c>
      <c r="X545" s="4" t="n">
        <v>0.03689543108392268</v>
      </c>
      <c r="Y545" s="4" t="n">
        <v>0.007397528974153467</v>
      </c>
      <c r="Z545" s="4" t="n">
        <v>0.006807736058262903</v>
      </c>
      <c r="AA545" s="4" t="n">
        <v>0.03</v>
      </c>
      <c r="AB545" s="4" t="n">
        <v>0.05</v>
      </c>
      <c r="AC545" s="4">
        <f>(AB545+2*參數!$B$7)/(AA545+AB545)</f>
        <v/>
      </c>
    </row>
    <row r="546">
      <c r="A546" s="2" t="n">
        <v>545</v>
      </c>
      <c r="B546" s="2" t="inlineStr">
        <is>
          <t>PENGU_USDT_PERP</t>
        </is>
      </c>
      <c r="C546" s="2" t="inlineStr">
        <is>
          <t>做空</t>
        </is>
      </c>
      <c r="D546" s="7" t="n">
        <v>46293.95833333334</v>
      </c>
      <c r="E546" s="20" t="n">
        <v>0.009553000000000001</v>
      </c>
      <c r="F546" s="20" t="n">
        <v>0.009266410000000001</v>
      </c>
      <c r="G546" s="20" t="n">
        <v>0.01003065</v>
      </c>
      <c r="H546" s="7" t="n">
        <v>46294</v>
      </c>
      <c r="I546" s="20" t="n">
        <v>0.009266410000000001</v>
      </c>
      <c r="J546" s="2" t="inlineStr">
        <is>
          <t>止盈</t>
        </is>
      </c>
      <c r="K546" s="5">
        <f>(H546-D546)*24</f>
        <v/>
      </c>
      <c r="L546" s="4">
        <f>IF(C546="做多",I546/E546-1,1-I546/E546)-2*參數!$B$7</f>
        <v/>
      </c>
      <c r="M546" s="2" t="inlineStr"/>
      <c r="N546" s="4" t="n">
        <v>-0.0394167923579688</v>
      </c>
      <c r="O546" s="4" t="n">
        <v>0.02536374345310685</v>
      </c>
      <c r="P546" s="4" t="n">
        <v>-0.03199983787289229</v>
      </c>
      <c r="Q546" s="22" t="n">
        <v>-24545680</v>
      </c>
      <c r="R546" s="22" t="n">
        <v>1482605.834108</v>
      </c>
      <c r="S546" s="4" t="n">
        <v>0.03</v>
      </c>
      <c r="T546" s="4" t="n">
        <v>0</v>
      </c>
      <c r="U546" s="19" t="n">
        <v>1.585666443555085</v>
      </c>
      <c r="V546" s="19" t="n">
        <v>0.8132780082987525</v>
      </c>
      <c r="W546" s="4" t="n">
        <v>0.04008955010917425</v>
      </c>
      <c r="X546" s="4" t="n">
        <v>0.05518741964197404</v>
      </c>
      <c r="Y546" s="4" t="n">
        <v>0.007397528974153467</v>
      </c>
      <c r="Z546" s="4" t="n">
        <v>0.006807736058262903</v>
      </c>
      <c r="AA546" s="4" t="n">
        <v>0.03</v>
      </c>
      <c r="AB546" s="4" t="n">
        <v>0.05</v>
      </c>
      <c r="AC546" s="4">
        <f>(AB546+2*參數!$B$7)/(AA546+AB546)</f>
        <v/>
      </c>
    </row>
    <row r="547">
      <c r="A547" s="2" t="n">
        <v>546</v>
      </c>
      <c r="B547" s="2" t="inlineStr">
        <is>
          <t>SUI_USDT_PERP</t>
        </is>
      </c>
      <c r="C547" s="2" t="inlineStr">
        <is>
          <t>做空</t>
        </is>
      </c>
      <c r="D547" s="7" t="n">
        <v>46293.95833333334</v>
      </c>
      <c r="E547" s="20" t="n">
        <v>1.1517</v>
      </c>
      <c r="F547" s="20" t="n">
        <v>1.117149</v>
      </c>
      <c r="G547" s="20" t="n">
        <v>1.209285</v>
      </c>
      <c r="H547" s="7" t="n">
        <v>46294.41666666666</v>
      </c>
      <c r="I547" s="20" t="n">
        <v>1.117149</v>
      </c>
      <c r="J547" s="2" t="inlineStr">
        <is>
          <t>止盈</t>
        </is>
      </c>
      <c r="K547" s="5">
        <f>(H547-D547)*24</f>
        <v/>
      </c>
      <c r="L547" s="4">
        <f>IF(C547="做多",I547/E547-1,1-I547/E547)-2*參數!$B$7</f>
        <v/>
      </c>
      <c r="M547" s="2" t="inlineStr"/>
      <c r="N547" s="4" t="n">
        <v>-0.02439644218551473</v>
      </c>
      <c r="O547" s="4" t="n">
        <v>0.02218184360315067</v>
      </c>
      <c r="P547" s="4" t="n">
        <v>-0.05545326679324047</v>
      </c>
      <c r="Q547" s="22" t="n">
        <v>-5865060.999999999</v>
      </c>
      <c r="R547" s="22" t="n">
        <v>15727649.0929</v>
      </c>
      <c r="S547" s="4" t="n">
        <v>0.03</v>
      </c>
      <c r="T547" s="4" t="n">
        <v>0.02387774594078329</v>
      </c>
      <c r="U547" s="19" t="n">
        <v>1.693532221999434</v>
      </c>
      <c r="V547" s="19" t="n">
        <v>0.8495575221238975</v>
      </c>
      <c r="W547" s="4" t="n">
        <v>-0.003246592036572071</v>
      </c>
      <c r="X547" s="4" t="n">
        <v>0.07135945815191103</v>
      </c>
      <c r="Y547" s="4" t="n">
        <v>0.007397528974153467</v>
      </c>
      <c r="Z547" s="4" t="n">
        <v>0.006807736058262903</v>
      </c>
      <c r="AA547" s="4" t="n">
        <v>0.03</v>
      </c>
      <c r="AB547" s="4" t="n">
        <v>0.05</v>
      </c>
      <c r="AC547" s="4">
        <f>(AB547+2*參數!$B$7)/(AA547+AB547)</f>
        <v/>
      </c>
    </row>
    <row r="548">
      <c r="A548" s="2" t="n">
        <v>547</v>
      </c>
      <c r="B548" s="2" t="inlineStr">
        <is>
          <t>XPL_USDT_PERP</t>
        </is>
      </c>
      <c r="C548" s="2" t="inlineStr">
        <is>
          <t>做空</t>
        </is>
      </c>
      <c r="D548" s="7" t="n">
        <v>46293.95833333334</v>
      </c>
      <c r="E548" s="20" t="n">
        <v>0.0975</v>
      </c>
      <c r="F548" s="20" t="n">
        <v>0.09457500000000001</v>
      </c>
      <c r="G548" s="20" t="n">
        <v>0.102375</v>
      </c>
      <c r="H548" s="7" t="n">
        <v>46294.45833333334</v>
      </c>
      <c r="I548" s="20" t="n">
        <v>0.09457500000000001</v>
      </c>
      <c r="J548" s="2" t="inlineStr">
        <is>
          <t>止盈</t>
        </is>
      </c>
      <c r="K548" s="5">
        <f>(H548-D548)*24</f>
        <v/>
      </c>
      <c r="L548" s="4">
        <f>IF(C548="做多",I548/E548-1,1-I548/E548)-2*參數!$B$7</f>
        <v/>
      </c>
      <c r="M548" s="2" t="inlineStr"/>
      <c r="N548" s="4" t="n">
        <v>-0.04505386875612138</v>
      </c>
      <c r="O548" s="4" t="n">
        <v>0.0268686724342471</v>
      </c>
      <c r="P548" s="4" t="n">
        <v>-0.05878945844193451</v>
      </c>
      <c r="Q548" s="22" t="n">
        <v>-6366559</v>
      </c>
      <c r="R548" s="22" t="n">
        <v>1864235.9185</v>
      </c>
      <c r="S548" s="4" t="n">
        <v>0.03</v>
      </c>
      <c r="T548" s="4" t="n">
        <v>0.04512820512820515</v>
      </c>
      <c r="U548" s="19" t="n">
        <v>2.688132512127669</v>
      </c>
      <c r="V548" s="19" t="n">
        <v>0.7666666666666666</v>
      </c>
      <c r="W548" s="4" t="n">
        <v>0.1101822529272722</v>
      </c>
      <c r="X548" s="4" t="n">
        <v>0.07844990548204156</v>
      </c>
      <c r="Y548" s="4" t="n">
        <v>0.007397528974153467</v>
      </c>
      <c r="Z548" s="4" t="n">
        <v>0.006807736058262903</v>
      </c>
      <c r="AA548" s="4" t="n">
        <v>0.03</v>
      </c>
      <c r="AB548" s="4" t="n">
        <v>0.05</v>
      </c>
      <c r="AC548" s="4">
        <f>(AB548+2*參數!$B$7)/(AA548+AB548)</f>
        <v/>
      </c>
    </row>
    <row r="549">
      <c r="A549" s="2" t="n">
        <v>548</v>
      </c>
      <c r="B549" s="2" t="inlineStr">
        <is>
          <t>牛来_USDT_PERP</t>
        </is>
      </c>
      <c r="C549" s="2" t="inlineStr">
        <is>
          <t>做多</t>
        </is>
      </c>
      <c r="D549" s="7" t="n">
        <v>46294</v>
      </c>
      <c r="E549" s="20" t="n">
        <v>0.11277</v>
      </c>
      <c r="F549" s="20" t="n">
        <v>0.1161531</v>
      </c>
      <c r="G549" s="20" t="n">
        <v>0.1071315</v>
      </c>
      <c r="H549" s="7" t="n">
        <v>46294.04166666666</v>
      </c>
      <c r="I549" s="20" t="n">
        <v>0.1161531</v>
      </c>
      <c r="J549" s="2" t="inlineStr">
        <is>
          <t>止盈</t>
        </is>
      </c>
      <c r="K549" s="5">
        <f>(H549-D549)*24</f>
        <v/>
      </c>
      <c r="L549" s="4">
        <f>IF(C549="做多",I549/E549-1,1-I549/E549)-2*參數!$B$7</f>
        <v/>
      </c>
      <c r="M549" s="2" t="inlineStr"/>
      <c r="N549" s="4" t="n">
        <v>0.02230078868642904</v>
      </c>
      <c r="O549" s="4" t="n">
        <v>0.03611474526457348</v>
      </c>
      <c r="P549" s="4" t="n">
        <v>0.05528131945256742</v>
      </c>
      <c r="Q549" s="22" t="n">
        <v>2057744</v>
      </c>
      <c r="R549" s="22" t="n">
        <v>1431007.07786</v>
      </c>
      <c r="S549" s="4" t="n">
        <v>0.03</v>
      </c>
      <c r="T549" s="4" t="n">
        <v>0</v>
      </c>
      <c r="U549" s="19" t="n">
        <v>1.309308597589198</v>
      </c>
      <c r="V549" s="19" t="n">
        <v>0.6870229007633567</v>
      </c>
      <c r="W549" s="4" t="n">
        <v>0.07910674420184649</v>
      </c>
      <c r="X549" s="4" t="n">
        <v>0.0511744966442953</v>
      </c>
      <c r="Y549" s="4" t="n">
        <v>0.004110108988378158</v>
      </c>
      <c r="Z549" s="4" t="n">
        <v>-0.001910263717960659</v>
      </c>
      <c r="AA549" s="4" t="n">
        <v>0.03</v>
      </c>
      <c r="AB549" s="4" t="n">
        <v>0.05</v>
      </c>
      <c r="AC549" s="4">
        <f>(AB549+2*參數!$B$7)/(AA549+AB549)</f>
        <v/>
      </c>
    </row>
    <row r="550">
      <c r="A550" s="2" t="n">
        <v>549</v>
      </c>
      <c r="B550" s="2" t="inlineStr">
        <is>
          <t>GRAM_USDT_PERP</t>
        </is>
      </c>
      <c r="C550" s="2" t="inlineStr">
        <is>
          <t>做多</t>
        </is>
      </c>
      <c r="D550" s="7" t="n">
        <v>46294.04166666666</v>
      </c>
      <c r="E550" s="20" t="n">
        <v>1.656</v>
      </c>
      <c r="F550" s="20" t="n">
        <v>1.70568</v>
      </c>
      <c r="G550" s="20" t="n">
        <v>1.5732</v>
      </c>
      <c r="H550" s="7" t="n">
        <v>46294.25</v>
      </c>
      <c r="I550" s="20" t="n">
        <v>1.5732</v>
      </c>
      <c r="J550" s="2" t="inlineStr">
        <is>
          <t>止損</t>
        </is>
      </c>
      <c r="K550" s="5">
        <f>(H550-D550)*24</f>
        <v/>
      </c>
      <c r="L550" s="4">
        <f>IF(C550="做多",I550/E550-1,1-I550/E550)-2*參數!$B$7</f>
        <v/>
      </c>
      <c r="M550" s="2" t="inlineStr"/>
      <c r="N550" s="4" t="n">
        <v>0.02857142857142847</v>
      </c>
      <c r="O550" s="4" t="n">
        <v>0.02668143904933917</v>
      </c>
      <c r="P550" s="4" t="n">
        <v>0.01259630671395384</v>
      </c>
      <c r="Q550" s="22" t="n">
        <v>198156.5999999999</v>
      </c>
      <c r="R550" s="22" t="n">
        <v>1441606.521</v>
      </c>
      <c r="S550" s="4" t="n">
        <v>0.01449275362318847</v>
      </c>
      <c r="T550" s="4" t="n">
        <v>0.05</v>
      </c>
      <c r="U550" s="19" t="n">
        <v>0.780295095887059</v>
      </c>
      <c r="V550" s="19" t="n">
        <v>1</v>
      </c>
      <c r="W550" s="4" t="n">
        <v>0.08839960565231664</v>
      </c>
      <c r="X550" s="4" t="n">
        <v>-0.0119331742243437</v>
      </c>
      <c r="Y550" s="4" t="n">
        <v>0.004244488285356285</v>
      </c>
      <c r="Z550" s="4" t="n">
        <v>0.002820133167229955</v>
      </c>
      <c r="AA550" s="4" t="n">
        <v>0.03</v>
      </c>
      <c r="AB550" s="4" t="n">
        <v>0.05</v>
      </c>
      <c r="AC550" s="4">
        <f>(AB550+2*參數!$B$7)/(AA550+AB550)</f>
        <v/>
      </c>
    </row>
    <row r="551">
      <c r="A551" s="2" t="n">
        <v>550</v>
      </c>
      <c r="B551" s="2" t="inlineStr">
        <is>
          <t>PUMP_USDT_PERP</t>
        </is>
      </c>
      <c r="C551" s="2" t="inlineStr">
        <is>
          <t>做多</t>
        </is>
      </c>
      <c r="D551" s="7" t="n">
        <v>46294.04166666666</v>
      </c>
      <c r="E551" s="20" t="n">
        <v>0.005377</v>
      </c>
      <c r="F551" s="20" t="n">
        <v>0.00553831</v>
      </c>
      <c r="G551" s="20" t="n">
        <v>0.00510815</v>
      </c>
      <c r="H551" s="7" t="n">
        <v>46294.16666666666</v>
      </c>
      <c r="I551" s="20" t="n">
        <v>0.00510815</v>
      </c>
      <c r="J551" s="2" t="inlineStr">
        <is>
          <t>止損</t>
        </is>
      </c>
      <c r="K551" s="5">
        <f>(H551-D551)*24</f>
        <v/>
      </c>
      <c r="L551" s="4">
        <f>IF(C551="做多",I551/E551-1,1-I551/E551)-2*參數!$B$7</f>
        <v/>
      </c>
      <c r="M551" s="2" t="inlineStr"/>
      <c r="N551" s="4" t="n">
        <v>0.05410703783571846</v>
      </c>
      <c r="O551" s="4" t="n">
        <v>0.03999133172754338</v>
      </c>
      <c r="P551" s="4" t="n">
        <v>0.05735101812067978</v>
      </c>
      <c r="Q551" s="22" t="n">
        <v>1014219454</v>
      </c>
      <c r="R551" s="22" t="n">
        <v>25957771.815866</v>
      </c>
      <c r="S551" s="4" t="n">
        <v>0.002417705039985174</v>
      </c>
      <c r="T551" s="4" t="n">
        <v>0.05</v>
      </c>
      <c r="U551" s="19" t="n">
        <v>2.135357851118454</v>
      </c>
      <c r="V551" s="19" t="n">
        <v>0.641732283464567</v>
      </c>
      <c r="W551" s="4" t="n">
        <v>0.2107088174367286</v>
      </c>
      <c r="X551" s="4" t="n">
        <v>0.1045603944124898</v>
      </c>
      <c r="Y551" s="4" t="n">
        <v>0.004244488285356285</v>
      </c>
      <c r="Z551" s="4" t="n">
        <v>0.002820133167229955</v>
      </c>
      <c r="AA551" s="4" t="n">
        <v>0.03</v>
      </c>
      <c r="AB551" s="4" t="n">
        <v>0.05</v>
      </c>
      <c r="AC551" s="4">
        <f>(AB551+2*參數!$B$7)/(AA551+AB551)</f>
        <v/>
      </c>
    </row>
    <row r="552">
      <c r="A552" s="2" t="n">
        <v>551</v>
      </c>
      <c r="B552" s="2" t="inlineStr">
        <is>
          <t>ARB_USDT_PERP</t>
        </is>
      </c>
      <c r="C552" s="2" t="inlineStr">
        <is>
          <t>做空</t>
        </is>
      </c>
      <c r="D552" s="7" t="n">
        <v>46294.16666666666</v>
      </c>
      <c r="E552" s="20" t="n">
        <v>0.201</v>
      </c>
      <c r="F552" s="20" t="n">
        <v>0.19497</v>
      </c>
      <c r="G552" s="20" t="n">
        <v>0.21105</v>
      </c>
      <c r="H552" s="7" t="n">
        <v>46294.41666666666</v>
      </c>
      <c r="I552" s="20" t="n">
        <v>0.19497</v>
      </c>
      <c r="J552" s="2" t="inlineStr">
        <is>
          <t>止盈</t>
        </is>
      </c>
      <c r="K552" s="5">
        <f>(H552-D552)*24</f>
        <v/>
      </c>
      <c r="L552" s="4">
        <f>IF(C552="做多",I552/E552-1,1-I552/E552)-2*參數!$B$7</f>
        <v/>
      </c>
      <c r="M552" s="2" t="inlineStr"/>
      <c r="N552" s="4" t="n">
        <v>-0.02851619139681005</v>
      </c>
      <c r="O552" s="4" t="n">
        <v>0.02405879581954288</v>
      </c>
      <c r="P552" s="4" t="n">
        <v>-0.04301664008379558</v>
      </c>
      <c r="Q552" s="22" t="n">
        <v>-2380614.3</v>
      </c>
      <c r="R552" s="22" t="n">
        <v>2317608.77964</v>
      </c>
      <c r="S552" s="4" t="n">
        <v>0.03</v>
      </c>
      <c r="T552" s="4" t="n">
        <v>0.01243781094527341</v>
      </c>
      <c r="U552" s="19" t="n">
        <v>0.7435943323225109</v>
      </c>
      <c r="V552" s="19" t="n">
        <v>0.8108108108108089</v>
      </c>
      <c r="W552" s="4" t="n">
        <v>0.08768649095175629</v>
      </c>
      <c r="X552" s="4" t="n">
        <v>0.1172595520421608</v>
      </c>
      <c r="Y552" s="4" t="n">
        <v>0.007726245663659537</v>
      </c>
      <c r="Z552" s="4" t="n">
        <v>-3.35342569228736e-05</v>
      </c>
      <c r="AA552" s="4" t="n">
        <v>0.03</v>
      </c>
      <c r="AB552" s="4" t="n">
        <v>0.05</v>
      </c>
      <c r="AC552" s="4">
        <f>(AB552+2*參數!$B$7)/(AA552+AB552)</f>
        <v/>
      </c>
    </row>
    <row r="553">
      <c r="A553" s="2" t="n">
        <v>552</v>
      </c>
      <c r="B553" s="2" t="inlineStr">
        <is>
          <t>PENGU_USDT_PERP</t>
        </is>
      </c>
      <c r="C553" s="2" t="inlineStr">
        <is>
          <t>做空</t>
        </is>
      </c>
      <c r="D553" s="7" t="n">
        <v>46294.16666666666</v>
      </c>
      <c r="E553" s="20" t="n">
        <v>0.009261</v>
      </c>
      <c r="F553" s="20" t="n">
        <v>0.00898317</v>
      </c>
      <c r="G553" s="20" t="n">
        <v>0.00972405</v>
      </c>
      <c r="H553" s="7" t="n">
        <v>46294.83333333334</v>
      </c>
      <c r="I553" s="20" t="n">
        <v>0.00972405</v>
      </c>
      <c r="J553" s="2" t="inlineStr">
        <is>
          <t>止損</t>
        </is>
      </c>
      <c r="K553" s="5">
        <f>(H553-D553)*24</f>
        <v/>
      </c>
      <c r="L553" s="4">
        <f>IF(C553="做多",I553/E553-1,1-I553/E553)-2*參數!$B$7</f>
        <v/>
      </c>
      <c r="M553" s="2" t="inlineStr"/>
      <c r="N553" s="4" t="n">
        <v>-0.04070851460534486</v>
      </c>
      <c r="O553" s="4" t="n">
        <v>0.02860808834075046</v>
      </c>
      <c r="P553" s="4" t="n">
        <v>-0.04704084625160143</v>
      </c>
      <c r="Q553" s="22" t="n">
        <v>-27128558</v>
      </c>
      <c r="R553" s="22" t="n">
        <v>1300019.24386</v>
      </c>
      <c r="S553" s="4" t="n">
        <v>0.02980239714933597</v>
      </c>
      <c r="T553" s="4" t="n">
        <v>0.05</v>
      </c>
      <c r="U553" s="19" t="n">
        <v>0.53954579617332</v>
      </c>
      <c r="V553" s="19" t="n">
        <v>0.9850746268656697</v>
      </c>
      <c r="W553" s="4" t="n">
        <v>0.06801169790737871</v>
      </c>
      <c r="X553" s="4" t="n">
        <v>0.08161443871479568</v>
      </c>
      <c r="Y553" s="4" t="n">
        <v>0.007726245663659537</v>
      </c>
      <c r="Z553" s="4" t="n">
        <v>-3.35342569228736e-05</v>
      </c>
      <c r="AA553" s="4" t="n">
        <v>0.03</v>
      </c>
      <c r="AB553" s="4" t="n">
        <v>0.05</v>
      </c>
      <c r="AC553" s="4">
        <f>(AB553+2*參數!$B$7)/(AA553+AB553)</f>
        <v/>
      </c>
    </row>
    <row r="554">
      <c r="A554" s="2" t="n">
        <v>553</v>
      </c>
      <c r="B554" s="2" t="inlineStr">
        <is>
          <t>WLD_USDT_PERP</t>
        </is>
      </c>
      <c r="C554" s="2" t="inlineStr">
        <is>
          <t>做空</t>
        </is>
      </c>
      <c r="D554" s="7" t="n">
        <v>46294.16666666666</v>
      </c>
      <c r="E554" s="20" t="n">
        <v>0.4821</v>
      </c>
      <c r="F554" s="20" t="n">
        <v>0.467637</v>
      </c>
      <c r="G554" s="20" t="n">
        <v>0.506205</v>
      </c>
      <c r="H554" s="7" t="n">
        <v>46294.45833333334</v>
      </c>
      <c r="I554" s="20" t="n">
        <v>0.467637</v>
      </c>
      <c r="J554" s="2" t="inlineStr">
        <is>
          <t>止盈</t>
        </is>
      </c>
      <c r="K554" s="5">
        <f>(H554-D554)*24</f>
        <v/>
      </c>
      <c r="L554" s="4">
        <f>IF(C554="做多",I554/E554-1,1-I554/E554)-2*參數!$B$7</f>
        <v/>
      </c>
      <c r="M554" s="2" t="inlineStr"/>
      <c r="N554" s="4" t="n">
        <v>-0.03406131035864557</v>
      </c>
      <c r="O554" s="4" t="n">
        <v>0.02762349580532621</v>
      </c>
      <c r="P554" s="4" t="n">
        <v>-0.05707244562666247</v>
      </c>
      <c r="Q554" s="22" t="n">
        <v>-999647</v>
      </c>
      <c r="R554" s="22" t="n">
        <v>2161202.7534</v>
      </c>
      <c r="S554" s="4" t="n">
        <v>0.03</v>
      </c>
      <c r="T554" s="4" t="n">
        <v>0.0302841734080066</v>
      </c>
      <c r="U554" s="19" t="n">
        <v>1.149343250901845</v>
      </c>
      <c r="V554" s="19" t="n">
        <v>0.9558011049723775</v>
      </c>
      <c r="W554" s="4" t="n">
        <v>0.033627594833185</v>
      </c>
      <c r="X554" s="4" t="n">
        <v>0.1389533845329523</v>
      </c>
      <c r="Y554" s="4" t="n">
        <v>0.007726245663659537</v>
      </c>
      <c r="Z554" s="4" t="n">
        <v>-3.35342569228736e-05</v>
      </c>
      <c r="AA554" s="4" t="n">
        <v>0.03</v>
      </c>
      <c r="AB554" s="4" t="n">
        <v>0.05</v>
      </c>
      <c r="AC554" s="4">
        <f>(AB554+2*參數!$B$7)/(AA554+AB554)</f>
        <v/>
      </c>
    </row>
    <row r="555">
      <c r="A555" s="2" t="n">
        <v>554</v>
      </c>
      <c r="B555" s="2" t="inlineStr">
        <is>
          <t>QNT_USDT_PERP</t>
        </is>
      </c>
      <c r="C555" s="2" t="inlineStr">
        <is>
          <t>做多</t>
        </is>
      </c>
      <c r="D555" s="7" t="n">
        <v>46294.20833333334</v>
      </c>
      <c r="E555" s="20" t="n">
        <v>248.23</v>
      </c>
      <c r="F555" s="20" t="n">
        <v>255.6769</v>
      </c>
      <c r="G555" s="20" t="n">
        <v>235.8185</v>
      </c>
      <c r="H555" s="7" t="n">
        <v>46294.25</v>
      </c>
      <c r="I555" s="20" t="n">
        <v>235.8185</v>
      </c>
      <c r="J555" s="2" t="inlineStr">
        <is>
          <t>止損</t>
        </is>
      </c>
      <c r="K555" s="5">
        <f>(H555-D555)*24</f>
        <v/>
      </c>
      <c r="L555" s="4">
        <f>IF(C555="做多",I555/E555-1,1-I555/E555)-2*參數!$B$7</f>
        <v/>
      </c>
      <c r="M555" s="2" t="inlineStr"/>
      <c r="N555" s="4" t="n">
        <v>0.02663468298937088</v>
      </c>
      <c r="O555" s="4" t="n">
        <v>0.09185308732072979</v>
      </c>
      <c r="P555" s="4" t="n">
        <v>0.003608429777126387</v>
      </c>
      <c r="Q555" s="22" t="n">
        <v>10110.40000000001</v>
      </c>
      <c r="R555" s="22" t="n">
        <v>49041338.199</v>
      </c>
      <c r="S555" s="4" t="n">
        <v>0</v>
      </c>
      <c r="T555" s="4" t="n">
        <v>0.05</v>
      </c>
      <c r="U555" s="19" t="n">
        <v>0.699975402051037</v>
      </c>
      <c r="V555" s="19" t="n">
        <v>0.9088586030664377</v>
      </c>
      <c r="W555" s="4" t="n">
        <v>0.6149756904618</v>
      </c>
      <c r="X555" s="4" t="n">
        <v>0.2623576078112286</v>
      </c>
      <c r="Y555" s="4" t="n">
        <v>0.00179723192690151</v>
      </c>
      <c r="Z555" s="4" t="n">
        <v>0.002186621944845868</v>
      </c>
      <c r="AA555" s="4" t="n">
        <v>0.03</v>
      </c>
      <c r="AB555" s="4" t="n">
        <v>0.05</v>
      </c>
      <c r="AC555" s="4">
        <f>(AB555+2*參數!$B$7)/(AA555+AB555)</f>
        <v/>
      </c>
    </row>
    <row r="556">
      <c r="A556" s="2" t="n">
        <v>555</v>
      </c>
      <c r="B556" s="2" t="inlineStr">
        <is>
          <t>AERO_USDT_PERP</t>
        </is>
      </c>
      <c r="C556" s="2" t="inlineStr">
        <is>
          <t>做多</t>
        </is>
      </c>
      <c r="D556" s="7" t="n">
        <v>46294.29166666666</v>
      </c>
      <c r="E556" s="20" t="n">
        <v>0.8214</v>
      </c>
      <c r="F556" s="20" t="n">
        <v>0.8460420000000001</v>
      </c>
      <c r="G556" s="20" t="n">
        <v>0.78033</v>
      </c>
      <c r="H556" s="7" t="n">
        <v>46294.625</v>
      </c>
      <c r="I556" s="20" t="n">
        <v>0.8460420000000001</v>
      </c>
      <c r="J556" s="2" t="inlineStr">
        <is>
          <t>止盈</t>
        </is>
      </c>
      <c r="K556" s="5">
        <f>(H556-D556)*24</f>
        <v/>
      </c>
      <c r="L556" s="4">
        <f>IF(C556="做多",I556/E556-1,1-I556/E556)-2*參數!$B$7</f>
        <v/>
      </c>
      <c r="M556" s="2" t="inlineStr"/>
      <c r="N556" s="4" t="n">
        <v>0.02253205527200297</v>
      </c>
      <c r="O556" s="4" t="n">
        <v>0.02183360854830257</v>
      </c>
      <c r="P556" s="4" t="n">
        <v>0.02604459434139028</v>
      </c>
      <c r="Q556" s="22" t="n">
        <v>231547.8000000007</v>
      </c>
      <c r="R556" s="22" t="n">
        <v>1402892.30276</v>
      </c>
      <c r="S556" s="4" t="n">
        <v>0.03</v>
      </c>
      <c r="T556" s="4" t="n">
        <v>0.03481860238617007</v>
      </c>
      <c r="U556" s="19" t="n">
        <v>0.8539543898511452</v>
      </c>
      <c r="V556" s="19" t="n">
        <v>0.9801980198019824</v>
      </c>
      <c r="W556" s="4" t="n">
        <v>-0.002982313678223214</v>
      </c>
      <c r="X556" s="4" t="n">
        <v>-0.02585388994307392</v>
      </c>
      <c r="Y556" s="4" t="n">
        <v>0.004066076752909487</v>
      </c>
      <c r="Z556" s="4" t="n">
        <v>0.002558189507701369</v>
      </c>
      <c r="AA556" s="4" t="n">
        <v>0.03</v>
      </c>
      <c r="AB556" s="4" t="n">
        <v>0.05</v>
      </c>
      <c r="AC556" s="4">
        <f>(AB556+2*參數!$B$7)/(AA556+AB556)</f>
        <v/>
      </c>
    </row>
    <row r="557">
      <c r="A557" s="2" t="n">
        <v>556</v>
      </c>
      <c r="B557" s="2" t="inlineStr">
        <is>
          <t>SOON_USDT_PERP</t>
        </is>
      </c>
      <c r="C557" s="2" t="inlineStr">
        <is>
          <t>做空</t>
        </is>
      </c>
      <c r="D557" s="7" t="n">
        <v>46294.33333333334</v>
      </c>
      <c r="E557" s="20" t="n">
        <v>0.3111</v>
      </c>
      <c r="F557" s="20" t="n">
        <v>0.301767</v>
      </c>
      <c r="G557" s="20" t="n">
        <v>0.326655</v>
      </c>
      <c r="H557" s="7" t="n">
        <v>46294.375</v>
      </c>
      <c r="I557" s="20" t="n">
        <v>0.301767</v>
      </c>
      <c r="J557" s="2" t="inlineStr">
        <is>
          <t>止盈</t>
        </is>
      </c>
      <c r="K557" s="5">
        <f>(H557-D557)*24</f>
        <v/>
      </c>
      <c r="L557" s="4">
        <f>IF(C557="做多",I557/E557-1,1-I557/E557)-2*參數!$B$7</f>
        <v/>
      </c>
      <c r="M557" s="2" t="inlineStr"/>
      <c r="N557" s="4" t="n">
        <v>-0.0916788321167884</v>
      </c>
      <c r="O557" s="4" t="n">
        <v>0.05908391422045129</v>
      </c>
      <c r="P557" s="4" t="n">
        <v>-0.04640755272192243</v>
      </c>
      <c r="Q557" s="22" t="n">
        <v>-456555</v>
      </c>
      <c r="R557" s="22" t="n">
        <v>1551658.6776</v>
      </c>
      <c r="S557" s="4" t="n">
        <v>0.03</v>
      </c>
      <c r="T557" s="4" t="n">
        <v>0</v>
      </c>
      <c r="U557" s="19" t="n">
        <v>0.5042858152605679</v>
      </c>
      <c r="V557" s="19" t="n">
        <v>0.9109195402298853</v>
      </c>
      <c r="W557" s="4" t="n">
        <v>-0.2032581957702244</v>
      </c>
      <c r="X557" s="4" t="n">
        <v>0.05526875189796532</v>
      </c>
      <c r="Y557" s="4" t="n">
        <v>0.0006358200162366323</v>
      </c>
      <c r="Z557" s="4" t="n">
        <v>-0.001825372351592636</v>
      </c>
      <c r="AA557" s="4" t="n">
        <v>0.03</v>
      </c>
      <c r="AB557" s="4" t="n">
        <v>0.05</v>
      </c>
      <c r="AC557" s="4">
        <f>(AB557+2*參數!$B$7)/(AA557+AB557)</f>
        <v/>
      </c>
    </row>
    <row r="558">
      <c r="A558" s="2" t="n">
        <v>557</v>
      </c>
      <c r="B558" s="2" t="inlineStr">
        <is>
          <t>XLM_USDT_PERP</t>
        </is>
      </c>
      <c r="C558" s="2" t="inlineStr">
        <is>
          <t>做多</t>
        </is>
      </c>
      <c r="D558" s="7" t="n">
        <v>46294.33333333334</v>
      </c>
      <c r="E558" s="20" t="n">
        <v>0.23239</v>
      </c>
      <c r="F558" s="20" t="n">
        <v>0.2393617</v>
      </c>
      <c r="G558" s="20" t="n">
        <v>0.2207705</v>
      </c>
      <c r="H558" s="7" t="n">
        <v>46295.08333333334</v>
      </c>
      <c r="I558" s="20" t="n">
        <v>0.2207705</v>
      </c>
      <c r="J558" s="2" t="inlineStr">
        <is>
          <t>止損</t>
        </is>
      </c>
      <c r="K558" s="5">
        <f>(H558-D558)*24</f>
        <v/>
      </c>
      <c r="L558" s="4">
        <f>IF(C558="做多",I558/E558-1,1-I558/E558)-2*參數!$B$7</f>
        <v/>
      </c>
      <c r="M558" s="2" t="inlineStr"/>
      <c r="N558" s="4" t="n">
        <v>0.03325774754346189</v>
      </c>
      <c r="O558" s="4" t="n">
        <v>0.0229360644908917</v>
      </c>
      <c r="P558" s="4" t="n">
        <v>0.05891251748602278</v>
      </c>
      <c r="Q558" s="22" t="n">
        <v>1301792</v>
      </c>
      <c r="R558" s="22" t="n">
        <v>3304394.12467</v>
      </c>
      <c r="S558" s="4" t="n">
        <v>0.0197082490640732</v>
      </c>
      <c r="T558" s="4" t="n">
        <v>0.05</v>
      </c>
      <c r="U558" s="19" t="n">
        <v>0.4901379053432751</v>
      </c>
      <c r="V558" s="19" t="n">
        <v>0.9556354916067168</v>
      </c>
      <c r="W558" s="4" t="n">
        <v>0.06646413378184302</v>
      </c>
      <c r="X558" s="4" t="n">
        <v>0.07677694374942079</v>
      </c>
      <c r="Y558" s="4" t="n">
        <v>-0.0006358200162366323</v>
      </c>
      <c r="Z558" s="4" t="n">
        <v>0.001825372351592636</v>
      </c>
      <c r="AA558" s="4" t="n">
        <v>0.03</v>
      </c>
      <c r="AB558" s="4" t="n">
        <v>0.05</v>
      </c>
      <c r="AC558" s="4">
        <f>(AB558+2*參數!$B$7)/(AA558+AB558)</f>
        <v/>
      </c>
    </row>
    <row r="559">
      <c r="A559" s="2" t="n">
        <v>558</v>
      </c>
      <c r="B559" s="2" t="inlineStr">
        <is>
          <t>GRASS_USDT_PERP</t>
        </is>
      </c>
      <c r="C559" s="2" t="inlineStr">
        <is>
          <t>做空</t>
        </is>
      </c>
      <c r="D559" s="7" t="n">
        <v>46294.41666666666</v>
      </c>
      <c r="E559" s="20" t="n">
        <v>0.5782</v>
      </c>
      <c r="F559" s="20" t="n">
        <v>0.5608540000000001</v>
      </c>
      <c r="G559" s="20" t="n">
        <v>0.60711</v>
      </c>
      <c r="H559" s="7" t="n">
        <v>46294.5</v>
      </c>
      <c r="I559" s="20" t="n">
        <v>0.60711</v>
      </c>
      <c r="J559" s="2" t="inlineStr">
        <is>
          <t>止損</t>
        </is>
      </c>
      <c r="K559" s="5">
        <f>(H559-D559)*24</f>
        <v/>
      </c>
      <c r="L559" s="4">
        <f>IF(C559="做多",I559/E559-1,1-I559/E559)-2*參數!$B$7</f>
        <v/>
      </c>
      <c r="M559" s="2" t="inlineStr"/>
      <c r="N559" s="4" t="n">
        <v>-0.02479338842975198</v>
      </c>
      <c r="O559" s="4" t="n">
        <v>0.04287490846006238</v>
      </c>
      <c r="P559" s="4" t="n">
        <v>-0.01342843005101768</v>
      </c>
      <c r="Q559" s="22" t="n">
        <v>-169579</v>
      </c>
      <c r="R559" s="22" t="n">
        <v>1726637.6587</v>
      </c>
      <c r="S559" s="4" t="n">
        <v>0.00916637841577328</v>
      </c>
      <c r="T559" s="4" t="n">
        <v>0.05</v>
      </c>
      <c r="U559" s="19" t="n">
        <v>1.282366705349845</v>
      </c>
      <c r="V559" s="19" t="n">
        <v>0.7557755775577533</v>
      </c>
      <c r="W559" s="4" t="n">
        <v>-0.03526563820491901</v>
      </c>
      <c r="X559" s="4" t="n">
        <v>0.1171171171171171</v>
      </c>
      <c r="Y559" s="4" t="n">
        <v>0.001410891892964505</v>
      </c>
      <c r="Z559" s="4" t="n">
        <v>0.003192974795087844</v>
      </c>
      <c r="AA559" s="4" t="n">
        <v>0.03</v>
      </c>
      <c r="AB559" s="4" t="n">
        <v>0.05</v>
      </c>
      <c r="AC559" s="4">
        <f>(AB559+2*參數!$B$7)/(AA559+AB559)</f>
        <v/>
      </c>
    </row>
    <row r="560">
      <c r="A560" s="2" t="n">
        <v>559</v>
      </c>
      <c r="B560" s="2" t="inlineStr">
        <is>
          <t>ONDO_USDT_PERP</t>
        </is>
      </c>
      <c r="C560" s="2" t="inlineStr">
        <is>
          <t>做空</t>
        </is>
      </c>
      <c r="D560" s="7" t="n">
        <v>46294.41666666666</v>
      </c>
      <c r="E560" s="20" t="n">
        <v>0.5039</v>
      </c>
      <c r="F560" s="20" t="n">
        <v>0.488783</v>
      </c>
      <c r="G560" s="20" t="n">
        <v>0.5290950000000001</v>
      </c>
      <c r="H560" s="7" t="n">
        <v>46294.79166666666</v>
      </c>
      <c r="I560" s="20" t="n">
        <v>0.5290950000000001</v>
      </c>
      <c r="J560" s="2" t="inlineStr">
        <is>
          <t>止損</t>
        </is>
      </c>
      <c r="K560" s="5">
        <f>(H560-D560)*24</f>
        <v/>
      </c>
      <c r="L560" s="4">
        <f>IF(C560="做多",I560/E560-1,1-I560/E560)-2*參數!$B$7</f>
        <v/>
      </c>
      <c r="M560" s="2" t="inlineStr"/>
      <c r="N560" s="4" t="n">
        <v>-0.02231276678308103</v>
      </c>
      <c r="O560" s="4" t="n">
        <v>0.02865176103908038</v>
      </c>
      <c r="P560" s="4" t="n">
        <v>-0.0299355087111367</v>
      </c>
      <c r="Q560" s="22" t="n">
        <v>-3946038.200000003</v>
      </c>
      <c r="R560" s="22" t="n">
        <v>8224554.02528</v>
      </c>
      <c r="S560" s="4" t="n">
        <v>0.02460805715419734</v>
      </c>
      <c r="T560" s="4" t="n">
        <v>0.05</v>
      </c>
      <c r="U560" s="19" t="n">
        <v>1.296058021092515</v>
      </c>
      <c r="V560" s="19" t="n">
        <v>0.7607655502392345</v>
      </c>
      <c r="W560" s="4" t="n">
        <v>0.06762537746462183</v>
      </c>
      <c r="X560" s="4" t="n">
        <v>0.120746815564474</v>
      </c>
      <c r="Y560" s="4" t="n">
        <v>0.001410891892964505</v>
      </c>
      <c r="Z560" s="4" t="n">
        <v>0.003192974795087844</v>
      </c>
      <c r="AA560" s="4" t="n">
        <v>0.03</v>
      </c>
      <c r="AB560" s="4" t="n">
        <v>0.05</v>
      </c>
      <c r="AC560" s="4">
        <f>(AB560+2*參數!$B$7)/(AA560+AB560)</f>
        <v/>
      </c>
    </row>
    <row r="561">
      <c r="A561" s="2" t="n">
        <v>560</v>
      </c>
      <c r="B561" s="2" t="inlineStr">
        <is>
          <t>Q_USDT_PERP</t>
        </is>
      </c>
      <c r="C561" s="2" t="inlineStr">
        <is>
          <t>做空</t>
        </is>
      </c>
      <c r="D561" s="7" t="n">
        <v>46294.5</v>
      </c>
      <c r="E561" s="20" t="n">
        <v>0.022984</v>
      </c>
      <c r="F561" s="20" t="n">
        <v>0.02229448</v>
      </c>
      <c r="G561" s="20" t="n">
        <v>0.0241332</v>
      </c>
      <c r="H561" s="7" t="n">
        <v>46294.58333333334</v>
      </c>
      <c r="I561" s="20" t="n">
        <v>0.02229448</v>
      </c>
      <c r="J561" s="2" t="inlineStr">
        <is>
          <t>止盈</t>
        </is>
      </c>
      <c r="K561" s="5">
        <f>(H561-D561)*24</f>
        <v/>
      </c>
      <c r="L561" s="4">
        <f>IF(C561="做多",I561/E561-1,1-I561/E561)-2*參數!$B$7</f>
        <v/>
      </c>
      <c r="M561" s="2" t="inlineStr"/>
      <c r="N561" s="4" t="n">
        <v>-0.0216660281786063</v>
      </c>
      <c r="O561" s="4" t="n">
        <v>0.08720940124740337</v>
      </c>
      <c r="P561" s="4" t="n">
        <v>-0.02415413813161016</v>
      </c>
      <c r="Q561" s="22" t="n">
        <v>-18851211</v>
      </c>
      <c r="R561" s="22" t="n">
        <v>2554778.310301</v>
      </c>
      <c r="S561" s="4" t="n">
        <v>0.03</v>
      </c>
      <c r="T561" s="4" t="n">
        <v>0.02771493212669673</v>
      </c>
      <c r="U561" s="19" t="n">
        <v>0.8624512734836455</v>
      </c>
      <c r="V561" s="19" t="n">
        <v>0.6913183279742758</v>
      </c>
      <c r="W561" s="4" t="n">
        <v>0.2182379401535701</v>
      </c>
      <c r="X561" s="4" t="n">
        <v>0.2624350170078942</v>
      </c>
      <c r="Y561" s="4" t="n">
        <v>-0.001105585194562497</v>
      </c>
      <c r="Z561" s="4" t="n">
        <v>0.003004283754906911</v>
      </c>
      <c r="AA561" s="4" t="n">
        <v>0.03</v>
      </c>
      <c r="AB561" s="4" t="n">
        <v>0.05</v>
      </c>
      <c r="AC561" s="4">
        <f>(AB561+2*參數!$B$7)/(AA561+AB561)</f>
        <v/>
      </c>
    </row>
    <row r="562">
      <c r="A562" s="2" t="n">
        <v>561</v>
      </c>
      <c r="B562" s="2" t="inlineStr">
        <is>
          <t>ALGO_USDT_PERP</t>
        </is>
      </c>
      <c r="C562" s="2" t="inlineStr">
        <is>
          <t>做多</t>
        </is>
      </c>
      <c r="D562" s="7" t="n">
        <v>46294.54166666666</v>
      </c>
      <c r="E562" s="20" t="n">
        <v>0.1395</v>
      </c>
      <c r="F562" s="20" t="n">
        <v>0.143685</v>
      </c>
      <c r="G562" s="20" t="n">
        <v>0.132525</v>
      </c>
      <c r="H562" s="7" t="n">
        <v>46294.625</v>
      </c>
      <c r="I562" s="20" t="n">
        <v>0.132525</v>
      </c>
      <c r="J562" s="2" t="inlineStr">
        <is>
          <t>止損</t>
        </is>
      </c>
      <c r="K562" s="5">
        <f>(H562-D562)*24</f>
        <v/>
      </c>
      <c r="L562" s="4">
        <f>IF(C562="做多",I562/E562-1,1-I562/E562)-2*參數!$B$7</f>
        <v/>
      </c>
      <c r="M562" s="2" t="inlineStr"/>
      <c r="N562" s="4" t="n">
        <v>0.02952029520295207</v>
      </c>
      <c r="O562" s="4" t="n">
        <v>0.030577997183018</v>
      </c>
      <c r="P562" s="4" t="n">
        <v>0.04513953923955794</v>
      </c>
      <c r="Q562" s="22" t="n">
        <v>1270673</v>
      </c>
      <c r="R562" s="22" t="n">
        <v>1440323.56367</v>
      </c>
      <c r="S562" s="4" t="n">
        <v>0.006451612903225712</v>
      </c>
      <c r="T562" s="4" t="n">
        <v>0.05</v>
      </c>
      <c r="U562" s="19" t="n">
        <v>0.8773313056604888</v>
      </c>
      <c r="V562" s="19" t="n">
        <v>0.9818181818181838</v>
      </c>
      <c r="W562" s="4" t="n">
        <v>0.1612613212573257</v>
      </c>
      <c r="X562" s="4" t="n">
        <v>0.1752316764953665</v>
      </c>
      <c r="Y562" s="4" t="n">
        <v>0.001584889117977939</v>
      </c>
      <c r="Z562" s="4" t="n">
        <v>-0.001564898257602421</v>
      </c>
      <c r="AA562" s="4" t="n">
        <v>0.03</v>
      </c>
      <c r="AB562" s="4" t="n">
        <v>0.05</v>
      </c>
      <c r="AC562" s="4">
        <f>(AB562+2*參數!$B$7)/(AA562+AB562)</f>
        <v/>
      </c>
    </row>
    <row r="563">
      <c r="A563" s="2" t="n">
        <v>562</v>
      </c>
      <c r="B563" s="2" t="inlineStr">
        <is>
          <t>MARSCOIN_USDT_PERP</t>
        </is>
      </c>
      <c r="C563" s="2" t="inlineStr">
        <is>
          <t>做空</t>
        </is>
      </c>
      <c r="D563" s="7" t="n">
        <v>46294.54166666666</v>
      </c>
      <c r="E563" s="20" t="n">
        <v>0.15022</v>
      </c>
      <c r="F563" s="20" t="n">
        <v>0.1457134</v>
      </c>
      <c r="G563" s="20" t="n">
        <v>0.157731</v>
      </c>
      <c r="H563" s="7" t="n">
        <v>46294.58333333334</v>
      </c>
      <c r="I563" s="20" t="n">
        <v>0.157731</v>
      </c>
      <c r="J563" s="2" t="inlineStr">
        <is>
          <t>止損</t>
        </is>
      </c>
      <c r="K563" s="5">
        <f>(H563-D563)*24</f>
        <v/>
      </c>
      <c r="L563" s="4">
        <f>IF(C563="做多",I563/E563-1,1-I563/E563)-2*參數!$B$7</f>
        <v/>
      </c>
      <c r="M563" s="2" t="inlineStr"/>
      <c r="N563" s="4" t="n">
        <v>-0.03624815551421068</v>
      </c>
      <c r="O563" s="4" t="n">
        <v>0.05111384714618071</v>
      </c>
      <c r="P563" s="4" t="n">
        <v>-0.02313089733835361</v>
      </c>
      <c r="Q563" s="22" t="n">
        <v>-6144850</v>
      </c>
      <c r="R563" s="22" t="n">
        <v>5258717.4209</v>
      </c>
      <c r="S563" s="4" t="n">
        <v>0</v>
      </c>
      <c r="T563" s="4" t="n">
        <v>0.05</v>
      </c>
      <c r="U563" s="19" t="n">
        <v>0.7004993856839368</v>
      </c>
      <c r="V563" s="19" t="n">
        <v>0.8116646415552864</v>
      </c>
      <c r="W563" s="4" t="n">
        <v>-0.1602051636930393</v>
      </c>
      <c r="X563" s="4" t="n">
        <v>-0.285799880167765</v>
      </c>
      <c r="Y563" s="4" t="n">
        <v>-0.001584889117977939</v>
      </c>
      <c r="Z563" s="4" t="n">
        <v>0.001564898257602421</v>
      </c>
      <c r="AA563" s="4" t="n">
        <v>0.03</v>
      </c>
      <c r="AB563" s="4" t="n">
        <v>0.05</v>
      </c>
      <c r="AC563" s="4">
        <f>(AB563+2*參數!$B$7)/(AA563+AB563)</f>
        <v/>
      </c>
    </row>
    <row r="564">
      <c r="A564" s="2" t="n">
        <v>563</v>
      </c>
      <c r="B564" s="2" t="inlineStr">
        <is>
          <t>QNT_USDT_PERP</t>
        </is>
      </c>
      <c r="C564" s="2" t="inlineStr">
        <is>
          <t>做多</t>
        </is>
      </c>
      <c r="D564" s="7" t="n">
        <v>46294.54166666666</v>
      </c>
      <c r="E564" s="20" t="n">
        <v>242.55</v>
      </c>
      <c r="F564" s="20" t="n">
        <v>249.8265</v>
      </c>
      <c r="G564" s="20" t="n">
        <v>230.4225</v>
      </c>
      <c r="H564" s="7" t="n">
        <v>46294.58333333334</v>
      </c>
      <c r="I564" s="20" t="n">
        <v>249.8265</v>
      </c>
      <c r="J564" s="2" t="inlineStr">
        <is>
          <t>止盈</t>
        </is>
      </c>
      <c r="K564" s="5">
        <f>(H564-D564)*24</f>
        <v/>
      </c>
      <c r="L564" s="4">
        <f>IF(C564="做多",I564/E564-1,1-I564/E564)-2*參數!$B$7</f>
        <v/>
      </c>
      <c r="M564" s="2" t="inlineStr"/>
      <c r="N564" s="4" t="n">
        <v>0.0213491662455787</v>
      </c>
      <c r="O564" s="4" t="n">
        <v>0.0823876113533535</v>
      </c>
      <c r="P564" s="4" t="n">
        <v>0.03855787963775725</v>
      </c>
      <c r="Q564" s="22" t="n">
        <v>6226.10000000002</v>
      </c>
      <c r="R564" s="22" t="n">
        <v>34666678.455</v>
      </c>
      <c r="S564" s="4" t="n">
        <v>0.03</v>
      </c>
      <c r="T564" s="4" t="n">
        <v>0</v>
      </c>
      <c r="U564" s="19" t="n">
        <v>0.8829219516366509</v>
      </c>
      <c r="V564" s="19" t="n">
        <v>0.4822190611664296</v>
      </c>
      <c r="W564" s="4" t="n">
        <v>0.4696054332079327</v>
      </c>
      <c r="X564" s="4" t="n">
        <v>-0.0705472103004291</v>
      </c>
      <c r="Y564" s="4" t="n">
        <v>0.001584889117977939</v>
      </c>
      <c r="Z564" s="4" t="n">
        <v>-0.001564898257602421</v>
      </c>
      <c r="AA564" s="4" t="n">
        <v>0.03</v>
      </c>
      <c r="AB564" s="4" t="n">
        <v>0.05</v>
      </c>
      <c r="AC564" s="4">
        <f>(AB564+2*參數!$B$7)/(AA564+AB564)</f>
        <v/>
      </c>
    </row>
    <row r="565">
      <c r="A565" s="2" t="n">
        <v>564</v>
      </c>
      <c r="B565" s="2" t="inlineStr">
        <is>
          <t>AKE_USDT_PERP</t>
        </is>
      </c>
      <c r="C565" s="2" t="inlineStr">
        <is>
          <t>做多</t>
        </is>
      </c>
      <c r="D565" s="7" t="n">
        <v>46294.625</v>
      </c>
      <c r="E565" s="20" t="n">
        <v>0.032307</v>
      </c>
      <c r="F565" s="20" t="n">
        <v>0.03327621</v>
      </c>
      <c r="G565" s="20" t="n">
        <v>0.03069165</v>
      </c>
      <c r="H565" s="7" t="n">
        <v>46294.66666666666</v>
      </c>
      <c r="I565" s="20" t="n">
        <v>0.03327621</v>
      </c>
      <c r="J565" s="2" t="inlineStr">
        <is>
          <t>止盈</t>
        </is>
      </c>
      <c r="K565" s="5">
        <f>(H565-D565)*24</f>
        <v/>
      </c>
      <c r="L565" s="4">
        <f>IF(C565="做多",I565/E565-1,1-I565/E565)-2*參數!$B$7</f>
        <v/>
      </c>
      <c r="M565" s="2" t="inlineStr"/>
      <c r="N565" s="4" t="n">
        <v>0.03370822467883605</v>
      </c>
      <c r="O565" s="4" t="n">
        <v>0.03145944602924243</v>
      </c>
      <c r="P565" s="4" t="n">
        <v>0.02378014347562374</v>
      </c>
      <c r="Q565" s="22" t="n">
        <v>1741557</v>
      </c>
      <c r="R565" s="22" t="n">
        <v>2295706.9510722</v>
      </c>
      <c r="S565" s="4" t="n">
        <v>0.03</v>
      </c>
      <c r="T565" s="4" t="n">
        <v>0</v>
      </c>
      <c r="U565" s="19" t="n">
        <v>0.8444456272274087</v>
      </c>
      <c r="V565" s="19" t="n">
        <v>1</v>
      </c>
      <c r="W565" s="4" t="n">
        <v>-0.02043954300034501</v>
      </c>
      <c r="X565" s="4" t="n">
        <v>0.1289246090678782</v>
      </c>
      <c r="Y565" s="4" t="n">
        <v>0.006791480912149428</v>
      </c>
      <c r="Z565" s="4" t="n">
        <v>0.006944819208043684</v>
      </c>
      <c r="AA565" s="4" t="n">
        <v>0.03</v>
      </c>
      <c r="AB565" s="4" t="n">
        <v>0.05</v>
      </c>
      <c r="AC565" s="4">
        <f>(AB565+2*參數!$B$7)/(AA565+AB565)</f>
        <v/>
      </c>
    </row>
    <row r="566">
      <c r="A566" s="2" t="n">
        <v>565</v>
      </c>
      <c r="B566" s="2" t="inlineStr">
        <is>
          <t>FET_USDT_PERP</t>
        </is>
      </c>
      <c r="C566" s="2" t="inlineStr">
        <is>
          <t>做多</t>
        </is>
      </c>
      <c r="D566" s="7" t="n">
        <v>46294.625</v>
      </c>
      <c r="E566" s="20" t="n">
        <v>0.2265</v>
      </c>
      <c r="F566" s="20" t="n">
        <v>0.233295</v>
      </c>
      <c r="G566" s="20" t="n">
        <v>0.215175</v>
      </c>
      <c r="H566" s="7" t="n">
        <v>46294.83333333334</v>
      </c>
      <c r="I566" s="20" t="n">
        <v>0.233295</v>
      </c>
      <c r="J566" s="2" t="inlineStr">
        <is>
          <t>止盈</t>
        </is>
      </c>
      <c r="K566" s="5">
        <f>(H566-D566)*24</f>
        <v/>
      </c>
      <c r="L566" s="4">
        <f>IF(C566="做多",I566/E566-1,1-I566/E566)-2*參數!$B$7</f>
        <v/>
      </c>
      <c r="M566" s="2" t="inlineStr"/>
      <c r="N566" s="4" t="n">
        <v>0.02073005858494836</v>
      </c>
      <c r="O566" s="4" t="n">
        <v>0.02123937473695294</v>
      </c>
      <c r="P566" s="4" t="n">
        <v>0.004701916252661587</v>
      </c>
      <c r="Q566" s="22" t="n">
        <v>1510136</v>
      </c>
      <c r="R566" s="22" t="n">
        <v>1662445.9093</v>
      </c>
      <c r="S566" s="4" t="n">
        <v>0.03</v>
      </c>
      <c r="T566" s="4" t="n">
        <v>0.008830022075055233</v>
      </c>
      <c r="U566" s="19" t="n">
        <v>1.89892941882411</v>
      </c>
      <c r="V566" s="19" t="n">
        <v>0.781250000000002</v>
      </c>
      <c r="W566" s="4" t="n">
        <v>-0.04842727925823531</v>
      </c>
      <c r="X566" s="4" t="n">
        <v>-0.03039383561643838</v>
      </c>
      <c r="Y566" s="4" t="n">
        <v>0.006791480912149428</v>
      </c>
      <c r="Z566" s="4" t="n">
        <v>0.006944819208043684</v>
      </c>
      <c r="AA566" s="4" t="n">
        <v>0.03</v>
      </c>
      <c r="AB566" s="4" t="n">
        <v>0.05</v>
      </c>
      <c r="AC566" s="4">
        <f>(AB566+2*參數!$B$7)/(AA566+AB566)</f>
        <v/>
      </c>
    </row>
    <row r="567">
      <c r="A567" s="2" t="n">
        <v>566</v>
      </c>
      <c r="B567" s="2" t="inlineStr">
        <is>
          <t>QNT_USDT_PERP</t>
        </is>
      </c>
      <c r="C567" s="2" t="inlineStr">
        <is>
          <t>做多</t>
        </is>
      </c>
      <c r="D567" s="7" t="n">
        <v>46294.625</v>
      </c>
      <c r="E567" s="20" t="n">
        <v>249.86</v>
      </c>
      <c r="F567" s="20" t="n">
        <v>257.3558</v>
      </c>
      <c r="G567" s="20" t="n">
        <v>237.367</v>
      </c>
      <c r="H567" s="7" t="n">
        <v>46294.66666666666</v>
      </c>
      <c r="I567" s="20" t="n">
        <v>257.3558</v>
      </c>
      <c r="J567" s="2" t="inlineStr">
        <is>
          <t>止盈</t>
        </is>
      </c>
      <c r="K567" s="5">
        <f>(H567-D567)*24</f>
        <v/>
      </c>
      <c r="L567" s="4">
        <f>IF(C567="做多",I567/E567-1,1-I567/E567)-2*參數!$B$7</f>
        <v/>
      </c>
      <c r="M567" s="2" t="inlineStr"/>
      <c r="N567" s="4" t="n">
        <v>0.03495982105873585</v>
      </c>
      <c r="O567" s="4" t="n">
        <v>0.0774116455746799</v>
      </c>
      <c r="P567" s="4" t="n">
        <v>0.05959085357579053</v>
      </c>
      <c r="Q567" s="22" t="n">
        <v>9397.200000000012</v>
      </c>
      <c r="R567" s="22" t="n">
        <v>33185699.354</v>
      </c>
      <c r="S567" s="4" t="n">
        <v>0.03</v>
      </c>
      <c r="T567" s="4" t="n">
        <v>0</v>
      </c>
      <c r="U567" s="19" t="n">
        <v>1.054372024752277</v>
      </c>
      <c r="V567" s="19" t="n">
        <v>0.8053645116918855</v>
      </c>
      <c r="W567" s="4" t="n">
        <v>0.4858035178565803</v>
      </c>
      <c r="X567" s="4" t="n">
        <v>-0.1292559679386652</v>
      </c>
      <c r="Y567" s="4" t="n">
        <v>0.006791480912149428</v>
      </c>
      <c r="Z567" s="4" t="n">
        <v>0.006944819208043684</v>
      </c>
      <c r="AA567" s="4" t="n">
        <v>0.03</v>
      </c>
      <c r="AB567" s="4" t="n">
        <v>0.05</v>
      </c>
      <c r="AC567" s="4">
        <f>(AB567+2*參數!$B$7)/(AA567+AB567)</f>
        <v/>
      </c>
    </row>
    <row r="568">
      <c r="A568" s="2" t="n">
        <v>567</v>
      </c>
      <c r="B568" s="2" t="inlineStr">
        <is>
          <t>WLD_USDT_PERP</t>
        </is>
      </c>
      <c r="C568" s="2" t="inlineStr">
        <is>
          <t>做多</t>
        </is>
      </c>
      <c r="D568" s="7" t="n">
        <v>46294.625</v>
      </c>
      <c r="E568" s="20" t="n">
        <v>0.4923</v>
      </c>
      <c r="F568" s="20" t="n">
        <v>0.507069</v>
      </c>
      <c r="G568" s="20" t="n">
        <v>0.467685</v>
      </c>
      <c r="H568" s="7" t="n">
        <v>46294.875</v>
      </c>
      <c r="I568" s="20" t="n">
        <v>0.507069</v>
      </c>
      <c r="J568" s="2" t="inlineStr">
        <is>
          <t>止盈</t>
        </is>
      </c>
      <c r="K568" s="5">
        <f>(H568-D568)*24</f>
        <v/>
      </c>
      <c r="L568" s="4">
        <f>IF(C568="做多",I568/E568-1,1-I568/E568)-2*參數!$B$7</f>
        <v/>
      </c>
      <c r="M568" s="2" t="inlineStr"/>
      <c r="N568" s="4" t="n">
        <v>0.02031088082901555</v>
      </c>
      <c r="O568" s="4" t="n">
        <v>0.02422170198509294</v>
      </c>
      <c r="P568" s="4" t="n">
        <v>0.005730395611804218</v>
      </c>
      <c r="Q568" s="22" t="n">
        <v>207574</v>
      </c>
      <c r="R568" s="22" t="n">
        <v>1961234.0486</v>
      </c>
      <c r="S568" s="4" t="n">
        <v>0.03</v>
      </c>
      <c r="T568" s="4" t="n">
        <v>0.001218769043266232</v>
      </c>
      <c r="U568" s="19" t="n">
        <v>1.634974353008004</v>
      </c>
      <c r="V568" s="19" t="n">
        <v>0.8770491803278692</v>
      </c>
      <c r="W568" s="4" t="n">
        <v>-0.02222098639888126</v>
      </c>
      <c r="X568" s="4" t="n">
        <v>-0.05254041570438783</v>
      </c>
      <c r="Y568" s="4" t="n">
        <v>0.006791480912149428</v>
      </c>
      <c r="Z568" s="4" t="n">
        <v>0.006944819208043684</v>
      </c>
      <c r="AA568" s="4" t="n">
        <v>0.03</v>
      </c>
      <c r="AB568" s="4" t="n">
        <v>0.05</v>
      </c>
      <c r="AC568" s="4">
        <f>(AB568+2*參數!$B$7)/(AA568+AB568)</f>
        <v/>
      </c>
    </row>
    <row r="569">
      <c r="A569" s="2" t="n">
        <v>568</v>
      </c>
      <c r="B569" s="2" t="inlineStr">
        <is>
          <t>ZRO_USDT_PERP</t>
        </is>
      </c>
      <c r="C569" s="2" t="inlineStr">
        <is>
          <t>做多</t>
        </is>
      </c>
      <c r="D569" s="7" t="n">
        <v>46294.625</v>
      </c>
      <c r="E569" s="20" t="n">
        <v>1.5723</v>
      </c>
      <c r="F569" s="20" t="n">
        <v>1.619469</v>
      </c>
      <c r="G569" s="20" t="n">
        <v>1.493685</v>
      </c>
      <c r="H569" s="7" t="n">
        <v>46294.875</v>
      </c>
      <c r="I569" s="20" t="n">
        <v>1.619469</v>
      </c>
      <c r="J569" s="2" t="inlineStr">
        <is>
          <t>止盈</t>
        </is>
      </c>
      <c r="K569" s="5">
        <f>(H569-D569)*24</f>
        <v/>
      </c>
      <c r="L569" s="4">
        <f>IF(C569="做多",I569/E569-1,1-I569/E569)-2*參數!$B$7</f>
        <v/>
      </c>
      <c r="M569" s="2" t="inlineStr"/>
      <c r="N569" s="4" t="n">
        <v>0.03027324552781607</v>
      </c>
      <c r="O569" s="4" t="n">
        <v>0.03013035551490918</v>
      </c>
      <c r="P569" s="4" t="n">
        <v>0.01662038219443374</v>
      </c>
      <c r="Q569" s="22" t="n">
        <v>154710.0000000003</v>
      </c>
      <c r="R569" s="22" t="n">
        <v>2323528.81044</v>
      </c>
      <c r="S569" s="4" t="n">
        <v>0.03</v>
      </c>
      <c r="T569" s="4" t="n">
        <v>0.01761750302105203</v>
      </c>
      <c r="U569" s="19" t="n">
        <v>0.9309726159640219</v>
      </c>
      <c r="V569" s="19" t="n">
        <v>0.8732612055641424</v>
      </c>
      <c r="W569" s="4" t="n">
        <v>-0.006755553084850763</v>
      </c>
      <c r="X569" s="4" t="n">
        <v>0.033863755917938</v>
      </c>
      <c r="Y569" s="4" t="n">
        <v>0.006791480912149428</v>
      </c>
      <c r="Z569" s="4" t="n">
        <v>0.006944819208043684</v>
      </c>
      <c r="AA569" s="4" t="n">
        <v>0.03</v>
      </c>
      <c r="AB569" s="4" t="n">
        <v>0.05</v>
      </c>
      <c r="AC569" s="4">
        <f>(AB569+2*參數!$B$7)/(AA569+AB569)</f>
        <v/>
      </c>
    </row>
    <row r="570">
      <c r="A570" s="2" t="n">
        <v>569</v>
      </c>
      <c r="B570" s="2" t="inlineStr">
        <is>
          <t>ALGO_USDT_PERP</t>
        </is>
      </c>
      <c r="C570" s="2" t="inlineStr">
        <is>
          <t>做空</t>
        </is>
      </c>
      <c r="D570" s="7" t="n">
        <v>46294.66666666666</v>
      </c>
      <c r="E570" s="20" t="n">
        <v>0.1292</v>
      </c>
      <c r="F570" s="20" t="n">
        <v>0.125324</v>
      </c>
      <c r="G570" s="20" t="n">
        <v>0.13566</v>
      </c>
      <c r="H570" s="7" t="n">
        <v>46295.08333333334</v>
      </c>
      <c r="I570" s="20" t="n">
        <v>0.125324</v>
      </c>
      <c r="J570" s="2" t="inlineStr">
        <is>
          <t>止盈</t>
        </is>
      </c>
      <c r="K570" s="5">
        <f>(H570-D570)*24</f>
        <v/>
      </c>
      <c r="L570" s="4">
        <f>IF(C570="做多",I570/E570-1,1-I570/E570)-2*參數!$B$7</f>
        <v/>
      </c>
      <c r="M570" s="2" t="inlineStr"/>
      <c r="N570" s="4" t="n">
        <v>-0.0293012772351614</v>
      </c>
      <c r="O570" s="4" t="n">
        <v>0.03366616508533998</v>
      </c>
      <c r="P570" s="4" t="n">
        <v>-0.03538898014036129</v>
      </c>
      <c r="Q570" s="22" t="n">
        <v>-2603388.9</v>
      </c>
      <c r="R570" s="22" t="n">
        <v>1651492.16308</v>
      </c>
      <c r="S570" s="4" t="n">
        <v>0.03</v>
      </c>
      <c r="T570" s="4" t="n">
        <v>0.03328173374612997</v>
      </c>
      <c r="U570" s="19" t="n">
        <v>1.200441422980244</v>
      </c>
      <c r="V570" s="19" t="n">
        <v>0.9285714285714234</v>
      </c>
      <c r="W570" s="4" t="n">
        <v>-0.07046687932391582</v>
      </c>
      <c r="X570" s="4" t="n">
        <v>-0.1186147186147186</v>
      </c>
      <c r="Y570" s="4" t="n">
        <v>0.0002155660096468948</v>
      </c>
      <c r="Z570" s="4" t="n">
        <v>-0.006189341742086851</v>
      </c>
      <c r="AA570" s="4" t="n">
        <v>0.03</v>
      </c>
      <c r="AB570" s="4" t="n">
        <v>0.05</v>
      </c>
      <c r="AC570" s="4">
        <f>(AB570+2*參數!$B$7)/(AA570+AB570)</f>
        <v/>
      </c>
    </row>
    <row r="571">
      <c r="A571" s="2" t="n">
        <v>570</v>
      </c>
      <c r="B571" s="2" t="inlineStr">
        <is>
          <t>MARSCOIN_USDT_PERP</t>
        </is>
      </c>
      <c r="C571" s="2" t="inlineStr">
        <is>
          <t>做空</t>
        </is>
      </c>
      <c r="D571" s="7" t="n">
        <v>46294.75</v>
      </c>
      <c r="E571" s="20" t="n">
        <v>0.15533</v>
      </c>
      <c r="F571" s="20" t="n">
        <v>0.1506701</v>
      </c>
      <c r="G571" s="20" t="n">
        <v>0.1630965</v>
      </c>
      <c r="H571" s="7" t="n">
        <v>46294.79166666666</v>
      </c>
      <c r="I571" s="20" t="n">
        <v>0.1506701</v>
      </c>
      <c r="J571" s="2" t="inlineStr">
        <is>
          <t>止盈</t>
        </is>
      </c>
      <c r="K571" s="5">
        <f>(H571-D571)*24</f>
        <v/>
      </c>
      <c r="L571" s="4">
        <f>IF(C571="做多",I571/E571-1,1-I571/E571)-2*參數!$B$7</f>
        <v/>
      </c>
      <c r="M571" s="2" t="inlineStr"/>
      <c r="N571" s="4" t="n">
        <v>-0.02258998238107235</v>
      </c>
      <c r="O571" s="4" t="n">
        <v>0.05117914316707088</v>
      </c>
      <c r="P571" s="4" t="n">
        <v>-0.001991775893086634</v>
      </c>
      <c r="Q571" s="22" t="n">
        <v>-2089441</v>
      </c>
      <c r="R571" s="22" t="n">
        <v>3468787.43639</v>
      </c>
      <c r="S571" s="4" t="n">
        <v>0.03</v>
      </c>
      <c r="T571" s="4" t="n">
        <v>0</v>
      </c>
      <c r="U571" s="19" t="n">
        <v>0.4139815473407603</v>
      </c>
      <c r="V571" s="19" t="n">
        <v>0.642655367231638</v>
      </c>
      <c r="W571" s="4" t="n">
        <v>-0.178094555493616</v>
      </c>
      <c r="X571" s="4" t="n">
        <v>-0.05673855364310487</v>
      </c>
      <c r="Y571" s="4" t="n">
        <v>-0.004422562223589832</v>
      </c>
      <c r="Z571" s="4" t="n">
        <v>-0.008841269367792393</v>
      </c>
      <c r="AA571" s="4" t="n">
        <v>0.03</v>
      </c>
      <c r="AB571" s="4" t="n">
        <v>0.05</v>
      </c>
      <c r="AC571" s="4">
        <f>(AB571+2*參數!$B$7)/(AA571+AB571)</f>
        <v/>
      </c>
    </row>
    <row r="572">
      <c r="A572" s="2" t="n">
        <v>571</v>
      </c>
      <c r="B572" s="2" t="inlineStr">
        <is>
          <t>NEAR_USDT_PERP</t>
        </is>
      </c>
      <c r="C572" s="2" t="inlineStr">
        <is>
          <t>做多</t>
        </is>
      </c>
      <c r="D572" s="7" t="n">
        <v>46294.83333333334</v>
      </c>
      <c r="E572" s="20" t="n">
        <v>4.912</v>
      </c>
      <c r="F572" s="20" t="n">
        <v>5.05936</v>
      </c>
      <c r="G572" s="20" t="n">
        <v>4.666399999999999</v>
      </c>
      <c r="H572" s="7" t="n">
        <v>46295.125</v>
      </c>
      <c r="I572" s="20" t="n">
        <v>5.05936</v>
      </c>
      <c r="J572" s="2" t="inlineStr">
        <is>
          <t>止盈</t>
        </is>
      </c>
      <c r="K572" s="5">
        <f>(H572-D572)*24</f>
        <v/>
      </c>
      <c r="L572" s="4">
        <f>IF(C572="做多",I572/E572-1,1-I572/E572)-2*參數!$B$7</f>
        <v/>
      </c>
      <c r="M572" s="2" t="inlineStr"/>
      <c r="N572" s="4" t="n">
        <v>0.03020134228187921</v>
      </c>
      <c r="O572" s="4" t="n">
        <v>0.02324720546503203</v>
      </c>
      <c r="P572" s="4" t="n">
        <v>0.02999612073936597</v>
      </c>
      <c r="Q572" s="22" t="n">
        <v>590101</v>
      </c>
      <c r="R572" s="22" t="n">
        <v>20951766.724</v>
      </c>
      <c r="S572" s="4" t="n">
        <v>0.03</v>
      </c>
      <c r="T572" s="4" t="n">
        <v>0.03074104234527686</v>
      </c>
      <c r="U572" s="19" t="n">
        <v>0.9430933009164973</v>
      </c>
      <c r="V572" s="19" t="n">
        <v>0.8988095238095218</v>
      </c>
      <c r="W572" s="4" t="n">
        <v>-0.02065750726232696</v>
      </c>
      <c r="X572" s="4" t="n">
        <v>-0.04491541901613838</v>
      </c>
      <c r="Y572" s="4" t="n">
        <v>0.003864916063691215</v>
      </c>
      <c r="Z572" s="4" t="n">
        <v>0.008813412492413075</v>
      </c>
      <c r="AA572" s="4" t="n">
        <v>0.03</v>
      </c>
      <c r="AB572" s="4" t="n">
        <v>0.05</v>
      </c>
      <c r="AC572" s="4">
        <f>(AB572+2*參數!$B$7)/(AA572+AB572)</f>
        <v/>
      </c>
    </row>
    <row r="573">
      <c r="A573" s="2" t="n">
        <v>572</v>
      </c>
      <c r="B573" s="2" t="inlineStr">
        <is>
          <t>NMR_USDT_PERP</t>
        </is>
      </c>
      <c r="C573" s="2" t="inlineStr">
        <is>
          <t>做空</t>
        </is>
      </c>
      <c r="D573" s="7" t="n">
        <v>46294.83333333334</v>
      </c>
      <c r="E573" s="20" t="n">
        <v>12.436</v>
      </c>
      <c r="F573" s="20" t="n">
        <v>12.06292</v>
      </c>
      <c r="G573" s="20" t="n">
        <v>13.0578</v>
      </c>
      <c r="H573" s="7" t="n">
        <v>46295.08333333334</v>
      </c>
      <c r="I573" s="20" t="n">
        <v>13.0578</v>
      </c>
      <c r="J573" s="2" t="inlineStr">
        <is>
          <t>止損</t>
        </is>
      </c>
      <c r="K573" s="5">
        <f>(H573-D573)*24</f>
        <v/>
      </c>
      <c r="L573" s="4">
        <f>IF(C573="做多",I573/E573-1,1-I573/E573)-2*參數!$B$7</f>
        <v/>
      </c>
      <c r="M573" s="2" t="inlineStr"/>
      <c r="N573" s="4" t="n">
        <v>-0.04183681331381461</v>
      </c>
      <c r="O573" s="4" t="n">
        <v>0.06517882332897196</v>
      </c>
      <c r="P573" s="4" t="n">
        <v>-0.04073926944689776</v>
      </c>
      <c r="Q573" s="22" t="n">
        <v>-17700.99999999999</v>
      </c>
      <c r="R573" s="22" t="n">
        <v>2270331.5709</v>
      </c>
      <c r="S573" s="4" t="n">
        <v>0.02967192023158571</v>
      </c>
      <c r="T573" s="4" t="n">
        <v>0.05</v>
      </c>
      <c r="U573" s="19" t="n">
        <v>0.6476192980322686</v>
      </c>
      <c r="V573" s="19" t="n">
        <v>0.6925343811394888</v>
      </c>
      <c r="W573" s="4" t="n">
        <v>-0.1852354507011247</v>
      </c>
      <c r="X573" s="4" t="n">
        <v>-0.1102580126774395</v>
      </c>
      <c r="Y573" s="4" t="n">
        <v>-0.003864916063691215</v>
      </c>
      <c r="Z573" s="4" t="n">
        <v>-0.008813412492413075</v>
      </c>
      <c r="AA573" s="4" t="n">
        <v>0.03</v>
      </c>
      <c r="AB573" s="4" t="n">
        <v>0.05</v>
      </c>
      <c r="AC573" s="4">
        <f>(AB573+2*參數!$B$7)/(AA573+AB573)</f>
        <v/>
      </c>
    </row>
    <row r="574">
      <c r="A574" s="2" t="n">
        <v>573</v>
      </c>
      <c r="B574" s="2" t="inlineStr">
        <is>
          <t>USELESS_USDT_PERP</t>
        </is>
      </c>
      <c r="C574" s="2" t="inlineStr">
        <is>
          <t>做多</t>
        </is>
      </c>
      <c r="D574" s="7" t="n">
        <v>46294.83333333334</v>
      </c>
      <c r="E574" s="20" t="n">
        <v>0.2408</v>
      </c>
      <c r="F574" s="20" t="n">
        <v>0.248024</v>
      </c>
      <c r="G574" s="20" t="n">
        <v>0.22876</v>
      </c>
      <c r="H574" s="7" t="n">
        <v>46294.91666666666</v>
      </c>
      <c r="I574" s="20" t="n">
        <v>0.248024</v>
      </c>
      <c r="J574" s="2" t="inlineStr">
        <is>
          <t>止盈</t>
        </is>
      </c>
      <c r="K574" s="5">
        <f>(H574-D574)*24</f>
        <v/>
      </c>
      <c r="L574" s="4">
        <f>IF(C574="做多",I574/E574-1,1-I574/E574)-2*參數!$B$7</f>
        <v/>
      </c>
      <c r="M574" s="2" t="inlineStr"/>
      <c r="N574" s="4" t="n">
        <v>0.03712636747351183</v>
      </c>
      <c r="O574" s="4" t="n">
        <v>0.02863726667906993</v>
      </c>
      <c r="P574" s="4" t="n">
        <v>0.0200861227195801</v>
      </c>
      <c r="Q574" s="22" t="n">
        <v>656347</v>
      </c>
      <c r="R574" s="22" t="n">
        <v>1693522.05731</v>
      </c>
      <c r="S574" s="4" t="n">
        <v>0.03</v>
      </c>
      <c r="T574" s="4" t="n">
        <v>0.01715116279069762</v>
      </c>
      <c r="U574" s="19" t="n">
        <v>1.843069502001943</v>
      </c>
      <c r="V574" s="19" t="n">
        <v>0.9029045643153522</v>
      </c>
      <c r="W574" s="4" t="n">
        <v>-0.1190239604994929</v>
      </c>
      <c r="X574" s="4" t="n">
        <v>-0.0364531231243248</v>
      </c>
      <c r="Y574" s="4" t="n">
        <v>0.003864916063691215</v>
      </c>
      <c r="Z574" s="4" t="n">
        <v>0.008813412492413075</v>
      </c>
      <c r="AA574" s="4" t="n">
        <v>0.03</v>
      </c>
      <c r="AB574" s="4" t="n">
        <v>0.05</v>
      </c>
      <c r="AC574" s="4">
        <f>(AB574+2*參數!$B$7)/(AA574+AB574)</f>
        <v/>
      </c>
    </row>
    <row r="575">
      <c r="A575" s="2" t="n">
        <v>574</v>
      </c>
      <c r="B575" s="2" t="inlineStr">
        <is>
          <t>XPL_USDT_PERP</t>
        </is>
      </c>
      <c r="C575" s="2" t="inlineStr">
        <is>
          <t>做多</t>
        </is>
      </c>
      <c r="D575" s="7" t="n">
        <v>46294.83333333334</v>
      </c>
      <c r="E575" s="20" t="n">
        <v>0.1014</v>
      </c>
      <c r="F575" s="20" t="n">
        <v>0.104442</v>
      </c>
      <c r="G575" s="20" t="n">
        <v>0.09633</v>
      </c>
      <c r="H575" s="7" t="n">
        <v>46295.20833333334</v>
      </c>
      <c r="I575" s="20" t="n">
        <v>0.09633</v>
      </c>
      <c r="J575" s="2" t="inlineStr">
        <is>
          <t>止損</t>
        </is>
      </c>
      <c r="K575" s="5">
        <f>(H575-D575)*24</f>
        <v/>
      </c>
      <c r="L575" s="4">
        <f>IF(C575="做多",I575/E575-1,1-I575/E575)-2*參數!$B$7</f>
        <v/>
      </c>
      <c r="M575" s="2" t="inlineStr"/>
      <c r="N575" s="4" t="n">
        <v>0.02424242424242418</v>
      </c>
      <c r="O575" s="4" t="n">
        <v>0.02294119061067637</v>
      </c>
      <c r="P575" s="4" t="n">
        <v>0.03022606045212073</v>
      </c>
      <c r="Q575" s="22" t="n">
        <v>1723789</v>
      </c>
      <c r="R575" s="22" t="n">
        <v>1280589.9927</v>
      </c>
      <c r="S575" s="4" t="n">
        <v>0.002958579881656709</v>
      </c>
      <c r="T575" s="4" t="n">
        <v>0.05</v>
      </c>
      <c r="U575" s="19" t="n">
        <v>1.36573022490722</v>
      </c>
      <c r="V575" s="19" t="n">
        <v>0.7317073170731727</v>
      </c>
      <c r="W575" s="4" t="n">
        <v>-0.05950006956360421</v>
      </c>
      <c r="X575" s="4" t="n">
        <v>0.01197604790419171</v>
      </c>
      <c r="Y575" s="4" t="n">
        <v>0.003864916063691215</v>
      </c>
      <c r="Z575" s="4" t="n">
        <v>0.008813412492413075</v>
      </c>
      <c r="AA575" s="4" t="n">
        <v>0.03</v>
      </c>
      <c r="AB575" s="4" t="n">
        <v>0.05</v>
      </c>
      <c r="AC575" s="4">
        <f>(AB575+2*參數!$B$7)/(AA575+AB575)</f>
        <v/>
      </c>
    </row>
    <row r="576">
      <c r="A576" s="2" t="n">
        <v>575</v>
      </c>
      <c r="B576" s="2" t="inlineStr">
        <is>
          <t>HBAR_USDT_PERP</t>
        </is>
      </c>
      <c r="C576" s="2" t="inlineStr">
        <is>
          <t>做空</t>
        </is>
      </c>
      <c r="D576" s="7" t="n">
        <v>46294.875</v>
      </c>
      <c r="E576" s="20" t="n">
        <v>0.11391</v>
      </c>
      <c r="F576" s="20" t="n">
        <v>0.1104927</v>
      </c>
      <c r="G576" s="20" t="n">
        <v>0.1196055</v>
      </c>
      <c r="H576" s="7" t="n">
        <v>46295.04166666666</v>
      </c>
      <c r="I576" s="20" t="n">
        <v>0.1104927</v>
      </c>
      <c r="J576" s="2" t="inlineStr">
        <is>
          <t>止盈</t>
        </is>
      </c>
      <c r="K576" s="5">
        <f>(H576-D576)*24</f>
        <v/>
      </c>
      <c r="L576" s="4">
        <f>IF(C576="做多",I576/E576-1,1-I576/E576)-2*參數!$B$7</f>
        <v/>
      </c>
      <c r="M576" s="2" t="inlineStr"/>
      <c r="N576" s="4" t="n">
        <v>-0.03865305089037052</v>
      </c>
      <c r="O576" s="4" t="n">
        <v>0.03137700581768168</v>
      </c>
      <c r="P576" s="4" t="n">
        <v>-0.05289282997218803</v>
      </c>
      <c r="Q576" s="22" t="n">
        <v>-13262018</v>
      </c>
      <c r="R576" s="22" t="n">
        <v>9790558.49247</v>
      </c>
      <c r="S576" s="4" t="n">
        <v>0.03</v>
      </c>
      <c r="T576" s="4" t="n">
        <v>0.01167588447019585</v>
      </c>
      <c r="U576" s="19" t="n">
        <v>1.430878123339915</v>
      </c>
      <c r="V576" s="19" t="n">
        <v>0.9256505576208183</v>
      </c>
      <c r="W576" s="4" t="n">
        <v>-0.1206926236564427</v>
      </c>
      <c r="X576" s="4" t="n">
        <v>0.04558022622538749</v>
      </c>
      <c r="Y576" s="4" t="n">
        <v>0.0003593841365705508</v>
      </c>
      <c r="Z576" s="4" t="n">
        <v>-0.008091829000232087</v>
      </c>
      <c r="AA576" s="4" t="n">
        <v>0.03</v>
      </c>
      <c r="AB576" s="4" t="n">
        <v>0.05</v>
      </c>
      <c r="AC576" s="4">
        <f>(AB576+2*參數!$B$7)/(AA576+AB576)</f>
        <v/>
      </c>
    </row>
    <row r="577">
      <c r="A577" s="2" t="n">
        <v>576</v>
      </c>
      <c r="B577" s="2" t="inlineStr">
        <is>
          <t>CRV_USDT_PERP</t>
        </is>
      </c>
      <c r="C577" s="2" t="inlineStr">
        <is>
          <t>做多</t>
        </is>
      </c>
      <c r="D577" s="7" t="n">
        <v>46294.95833333334</v>
      </c>
      <c r="E577" s="20" t="n">
        <v>0.4082</v>
      </c>
      <c r="F577" s="20" t="n">
        <v>0.420446</v>
      </c>
      <c r="G577" s="20" t="n">
        <v>0.38779</v>
      </c>
      <c r="H577" s="7" t="n">
        <v>46295.08333333334</v>
      </c>
      <c r="I577" s="20" t="n">
        <v>0.38779</v>
      </c>
      <c r="J577" s="2" t="inlineStr">
        <is>
          <t>止損</t>
        </is>
      </c>
      <c r="K577" s="5">
        <f>(H577-D577)*24</f>
        <v/>
      </c>
      <c r="L577" s="4">
        <f>IF(C577="做多",I577/E577-1,1-I577/E577)-2*參數!$B$7</f>
        <v/>
      </c>
      <c r="M577" s="2" t="inlineStr"/>
      <c r="N577" s="4" t="n">
        <v>0.02049999999999996</v>
      </c>
      <c r="O577" s="4" t="n">
        <v>0.02392330563674425</v>
      </c>
      <c r="P577" s="4" t="n">
        <v>0.0599431338691041</v>
      </c>
      <c r="Q577" s="22" t="n">
        <v>1638645.799999999</v>
      </c>
      <c r="R577" s="22" t="n">
        <v>2324086.42643</v>
      </c>
      <c r="S577" s="4" t="n">
        <v>0.01739343459088682</v>
      </c>
      <c r="T577" s="4" t="n">
        <v>0.05</v>
      </c>
      <c r="U577" s="19" t="n">
        <v>2.220296428374984</v>
      </c>
      <c r="V577" s="19" t="n">
        <v>0.8195488721804506</v>
      </c>
      <c r="W577" s="4" t="n">
        <v>0.1554345333963607</v>
      </c>
      <c r="X577" s="4" t="n">
        <v>0.2579352850539292</v>
      </c>
      <c r="Y577" s="4" t="n">
        <v>-0.00529260852877611</v>
      </c>
      <c r="Z577" s="4" t="n">
        <v>0.001243694809398121</v>
      </c>
      <c r="AA577" s="4" t="n">
        <v>0.03</v>
      </c>
      <c r="AB577" s="4" t="n">
        <v>0.05</v>
      </c>
      <c r="AC577" s="4">
        <f>(AB577+2*參數!$B$7)/(AA577+AB577)</f>
        <v/>
      </c>
    </row>
    <row r="578">
      <c r="A578" s="2" t="n">
        <v>577</v>
      </c>
      <c r="B578" s="2" t="inlineStr">
        <is>
          <t>QNT_USDT_PERP</t>
        </is>
      </c>
      <c r="C578" s="2" t="inlineStr">
        <is>
          <t>做空</t>
        </is>
      </c>
      <c r="D578" s="7" t="n">
        <v>46294.95833333334</v>
      </c>
      <c r="E578" s="20" t="n">
        <v>238.76</v>
      </c>
      <c r="F578" s="20" t="n">
        <v>231.5972</v>
      </c>
      <c r="G578" s="20" t="n">
        <v>250.698</v>
      </c>
      <c r="H578" s="7" t="n">
        <v>46295</v>
      </c>
      <c r="I578" s="20" t="n">
        <v>250.698</v>
      </c>
      <c r="J578" s="2" t="inlineStr">
        <is>
          <t>止損</t>
        </is>
      </c>
      <c r="K578" s="5">
        <f>(H578-D578)*24</f>
        <v/>
      </c>
      <c r="L578" s="4">
        <f>IF(C578="做多",I578/E578-1,1-I578/E578)-2*參數!$B$7</f>
        <v/>
      </c>
      <c r="M578" s="2" t="inlineStr"/>
      <c r="N578" s="4" t="n">
        <v>-0.04914376742333737</v>
      </c>
      <c r="O578" s="4" t="n">
        <v>0.07783490193349724</v>
      </c>
      <c r="P578" s="4" t="n">
        <v>-0.01385501487932361</v>
      </c>
      <c r="Q578" s="22" t="n">
        <v>-5165.799999999974</v>
      </c>
      <c r="R578" s="22" t="n">
        <v>30748609.163</v>
      </c>
      <c r="S578" s="4" t="n">
        <v>0</v>
      </c>
      <c r="T578" s="4" t="n">
        <v>0.05</v>
      </c>
      <c r="U578" s="19" t="n">
        <v>1.031888722069075</v>
      </c>
      <c r="V578" s="19" t="n">
        <v>0.929761904761906</v>
      </c>
      <c r="W578" s="4" t="n">
        <v>-0.3222133616870457</v>
      </c>
      <c r="X578" s="4" t="n">
        <v>-0.03704990661512397</v>
      </c>
      <c r="Y578" s="4" t="n">
        <v>0.00529260852877611</v>
      </c>
      <c r="Z578" s="4" t="n">
        <v>-0.001243694809398121</v>
      </c>
      <c r="AA578" s="4" t="n">
        <v>0.03</v>
      </c>
      <c r="AB578" s="4" t="n">
        <v>0.05</v>
      </c>
      <c r="AC578" s="4">
        <f>(AB578+2*參數!$B$7)/(AA578+AB578)</f>
        <v/>
      </c>
    </row>
    <row r="579">
      <c r="A579" s="2" t="n">
        <v>578</v>
      </c>
      <c r="B579" s="2" t="inlineStr">
        <is>
          <t>WLD_USDT_PERP</t>
        </is>
      </c>
      <c r="C579" s="2" t="inlineStr">
        <is>
          <t>做多</t>
        </is>
      </c>
      <c r="D579" s="7" t="n">
        <v>46294.95833333334</v>
      </c>
      <c r="E579" s="20" t="n">
        <v>0.5116000000000001</v>
      </c>
      <c r="F579" s="20" t="n">
        <v>0.5269480000000001</v>
      </c>
      <c r="G579" s="20" t="n">
        <v>0.48602</v>
      </c>
      <c r="H579" s="7" t="n">
        <v>46295.08333333334</v>
      </c>
      <c r="I579" s="20" t="n">
        <v>0.48602</v>
      </c>
      <c r="J579" s="2" t="inlineStr">
        <is>
          <t>止損</t>
        </is>
      </c>
      <c r="K579" s="5">
        <f>(H579-D579)*24</f>
        <v/>
      </c>
      <c r="L579" s="4">
        <f>IF(C579="做多",I579/E579-1,1-I579/E579)-2*參數!$B$7</f>
        <v/>
      </c>
      <c r="M579" s="2" t="inlineStr"/>
      <c r="N579" s="4" t="n">
        <v>0.02586725486264307</v>
      </c>
      <c r="O579" s="4" t="n">
        <v>0.0225779413178444</v>
      </c>
      <c r="P579" s="4" t="n">
        <v>0.04400706072015259</v>
      </c>
      <c r="Q579" s="22" t="n">
        <v>142997</v>
      </c>
      <c r="R579" s="22" t="n">
        <v>1731027.6478</v>
      </c>
      <c r="S579" s="4" t="n">
        <v>0.008209538702111052</v>
      </c>
      <c r="T579" s="4" t="n">
        <v>0.05</v>
      </c>
      <c r="U579" s="19" t="n">
        <v>1.987178318361773</v>
      </c>
      <c r="V579" s="19" t="n">
        <v>0.5984555984556004</v>
      </c>
      <c r="W579" s="4" t="n">
        <v>0.006280401332003693</v>
      </c>
      <c r="X579" s="4" t="n">
        <v>0.05159301130524163</v>
      </c>
      <c r="Y579" s="4" t="n">
        <v>-0.00529260852877611</v>
      </c>
      <c r="Z579" s="4" t="n">
        <v>0.001243694809398121</v>
      </c>
      <c r="AA579" s="4" t="n">
        <v>0.03</v>
      </c>
      <c r="AB579" s="4" t="n">
        <v>0.05</v>
      </c>
      <c r="AC579" s="4">
        <f>(AB579+2*參數!$B$7)/(AA579+AB579)</f>
        <v/>
      </c>
    </row>
    <row r="580">
      <c r="A580" s="2" t="n">
        <v>579</v>
      </c>
      <c r="B580" s="2" t="inlineStr">
        <is>
          <t>AKE_USDT_PERP</t>
        </is>
      </c>
      <c r="C580" s="2" t="inlineStr">
        <is>
          <t>做空</t>
        </is>
      </c>
      <c r="D580" s="7" t="n">
        <v>46295</v>
      </c>
      <c r="E580" s="20" t="n">
        <v>0.0304121</v>
      </c>
      <c r="F580" s="20" t="n">
        <v>0.029499737</v>
      </c>
      <c r="G580" s="20" t="n">
        <v>0.03193270500000001</v>
      </c>
      <c r="H580" s="7" t="n">
        <v>46295.58333333334</v>
      </c>
      <c r="I580" s="20" t="n">
        <v>0.03193270500000001</v>
      </c>
      <c r="J580" s="2" t="inlineStr">
        <is>
          <t>止損</t>
        </is>
      </c>
      <c r="K580" s="5">
        <f>(H580-D580)*24</f>
        <v/>
      </c>
      <c r="L580" s="4">
        <f>IF(C580="做多",I580/E580-1,1-I580/E580)-2*參數!$B$7</f>
        <v/>
      </c>
      <c r="M580" s="2" t="inlineStr"/>
      <c r="N580" s="4" t="n">
        <v>-0.02197745654515926</v>
      </c>
      <c r="O580" s="4" t="n">
        <v>0.02958534648878185</v>
      </c>
      <c r="P580" s="4" t="n">
        <v>-0.02762259590213267</v>
      </c>
      <c r="Q580" s="22" t="n">
        <v>-15542350</v>
      </c>
      <c r="R580" s="22" t="n">
        <v>1345138.5304826</v>
      </c>
      <c r="S580" s="4" t="n">
        <v>0.01297181056224339</v>
      </c>
      <c r="T580" s="4" t="n">
        <v>0.05</v>
      </c>
      <c r="U580" s="19" t="n">
        <v>1.075790365723831</v>
      </c>
      <c r="V580" s="19" t="n">
        <v>0.8008869179600865</v>
      </c>
      <c r="W580" s="4" t="n">
        <v>0.06410557243410364</v>
      </c>
      <c r="X580" s="4" t="n">
        <v>0.0254593579563297</v>
      </c>
      <c r="Y580" s="4" t="n">
        <v>0.008008629824261648</v>
      </c>
      <c r="Z580" s="4" t="n">
        <v>0.006590069537486865</v>
      </c>
      <c r="AA580" s="4" t="n">
        <v>0.03</v>
      </c>
      <c r="AB580" s="4" t="n">
        <v>0.05</v>
      </c>
      <c r="AC580" s="4">
        <f>(AB580+2*參數!$B$7)/(AA580+AB580)</f>
        <v/>
      </c>
    </row>
    <row r="581">
      <c r="A581" s="2" t="n">
        <v>580</v>
      </c>
      <c r="B581" s="2" t="inlineStr">
        <is>
          <t>ENA_USDT_PERP</t>
        </is>
      </c>
      <c r="C581" s="2" t="inlineStr">
        <is>
          <t>做空</t>
        </is>
      </c>
      <c r="D581" s="7" t="n">
        <v>46295</v>
      </c>
      <c r="E581" s="20" t="n">
        <v>0.2497</v>
      </c>
      <c r="F581" s="20" t="n">
        <v>0.242209</v>
      </c>
      <c r="G581" s="20" t="n">
        <v>0.262185</v>
      </c>
      <c r="H581" s="7" t="n">
        <v>46295.75</v>
      </c>
      <c r="I581" s="20" t="n">
        <v>0.262185</v>
      </c>
      <c r="J581" s="2" t="inlineStr">
        <is>
          <t>止損</t>
        </is>
      </c>
      <c r="K581" s="5">
        <f>(H581-D581)*24</f>
        <v/>
      </c>
      <c r="L581" s="4">
        <f>IF(C581="做多",I581/E581-1,1-I581/E581)-2*參數!$B$7</f>
        <v/>
      </c>
      <c r="M581" s="2" t="inlineStr"/>
      <c r="N581" s="4" t="n">
        <v>-0.0211681693453547</v>
      </c>
      <c r="O581" s="4" t="n">
        <v>0.02015069743794901</v>
      </c>
      <c r="P581" s="4" t="n">
        <v>-0.01337495307900505</v>
      </c>
      <c r="Q581" s="22" t="n">
        <v>-7037969</v>
      </c>
      <c r="R581" s="22" t="n">
        <v>4946953.4611</v>
      </c>
      <c r="S581" s="4" t="n">
        <v>0.02563075690828998</v>
      </c>
      <c r="T581" s="4" t="n">
        <v>0.05</v>
      </c>
      <c r="U581" s="19" t="n">
        <v>2.388782557692978</v>
      </c>
      <c r="V581" s="19" t="n">
        <v>0.8059701492537316</v>
      </c>
      <c r="W581" s="4" t="n">
        <v>0.06073087701480184</v>
      </c>
      <c r="X581" s="4" t="n">
        <v>0.03553495558130559</v>
      </c>
      <c r="Y581" s="4" t="n">
        <v>0.008008629824261648</v>
      </c>
      <c r="Z581" s="4" t="n">
        <v>0.006590069537486865</v>
      </c>
      <c r="AA581" s="4" t="n">
        <v>0.03</v>
      </c>
      <c r="AB581" s="4" t="n">
        <v>0.05</v>
      </c>
      <c r="AC581" s="4">
        <f>(AB581+2*參數!$B$7)/(AA581+AB581)</f>
        <v/>
      </c>
    </row>
    <row r="582">
      <c r="A582" s="2" t="n">
        <v>581</v>
      </c>
      <c r="B582" s="2" t="inlineStr">
        <is>
          <t>MARSCOIN_USDT_PERP</t>
        </is>
      </c>
      <c r="C582" s="2" t="inlineStr">
        <is>
          <t>做空</t>
        </is>
      </c>
      <c r="D582" s="7" t="n">
        <v>46295</v>
      </c>
      <c r="E582" s="20" t="n">
        <v>0.14765</v>
      </c>
      <c r="F582" s="20" t="n">
        <v>0.1432205</v>
      </c>
      <c r="G582" s="20" t="n">
        <v>0.1550325</v>
      </c>
      <c r="H582" s="7" t="n">
        <v>46295.08333333334</v>
      </c>
      <c r="I582" s="20" t="n">
        <v>0.1432205</v>
      </c>
      <c r="J582" s="2" t="inlineStr">
        <is>
          <t>止盈</t>
        </is>
      </c>
      <c r="K582" s="5">
        <f>(H582-D582)*24</f>
        <v/>
      </c>
      <c r="L582" s="4">
        <f>IF(C582="做多",I582/E582-1,1-I582/E582)-2*參數!$B$7</f>
        <v/>
      </c>
      <c r="M582" s="2" t="inlineStr"/>
      <c r="N582" s="4" t="n">
        <v>-0.03673016701461373</v>
      </c>
      <c r="O582" s="4" t="n">
        <v>0.05122274448860223</v>
      </c>
      <c r="P582" s="4" t="n">
        <v>-0.04257974989706037</v>
      </c>
      <c r="Q582" s="22" t="n">
        <v>-2056201</v>
      </c>
      <c r="R582" s="22" t="n">
        <v>2827652.21486</v>
      </c>
      <c r="S582" s="4" t="n">
        <v>0.03</v>
      </c>
      <c r="T582" s="4" t="n">
        <v>0.01063325431764306</v>
      </c>
      <c r="U582" s="19" t="n">
        <v>1.007134146371226</v>
      </c>
      <c r="V582" s="19" t="n">
        <v>0.7531285551763359</v>
      </c>
      <c r="W582" s="4" t="n">
        <v>-0.1013799137842937</v>
      </c>
      <c r="X582" s="4" t="n">
        <v>-0.02165790202048146</v>
      </c>
      <c r="Y582" s="4" t="n">
        <v>0.008008629824261648</v>
      </c>
      <c r="Z582" s="4" t="n">
        <v>0.006590069537486865</v>
      </c>
      <c r="AA582" s="4" t="n">
        <v>0.03</v>
      </c>
      <c r="AB582" s="4" t="n">
        <v>0.05</v>
      </c>
      <c r="AC582" s="4">
        <f>(AB582+2*參數!$B$7)/(AA582+AB582)</f>
        <v/>
      </c>
    </row>
    <row r="583">
      <c r="A583" s="2" t="n">
        <v>582</v>
      </c>
      <c r="B583" s="2" t="inlineStr">
        <is>
          <t>ONDO_USDT_PERP</t>
        </is>
      </c>
      <c r="C583" s="2" t="inlineStr">
        <is>
          <t>做空</t>
        </is>
      </c>
      <c r="D583" s="7" t="n">
        <v>46295</v>
      </c>
      <c r="E583" s="20" t="n">
        <v>0.5063</v>
      </c>
      <c r="F583" s="20" t="n">
        <v>0.491111</v>
      </c>
      <c r="G583" s="20" t="n">
        <v>0.5316149999999999</v>
      </c>
      <c r="H583" s="7" t="n">
        <v>46296.125</v>
      </c>
      <c r="I583" s="20" t="n">
        <v>0.491111</v>
      </c>
      <c r="J583" s="2" t="inlineStr">
        <is>
          <t>止盈</t>
        </is>
      </c>
      <c r="K583" s="5">
        <f>(H583-D583)*24</f>
        <v/>
      </c>
      <c r="L583" s="4">
        <f>IF(C583="做多",I583/E583-1,1-I583/E583)-2*參數!$B$7</f>
        <v/>
      </c>
      <c r="M583" s="2" t="inlineStr"/>
      <c r="N583" s="4" t="n">
        <v>-0.022020475178675</v>
      </c>
      <c r="O583" s="4" t="n">
        <v>0.02406271720025907</v>
      </c>
      <c r="P583" s="4" t="n">
        <v>-0.01645395030790442</v>
      </c>
      <c r="Q583" s="22" t="n">
        <v>-1789270.4</v>
      </c>
      <c r="R583" s="22" t="n">
        <v>4562936.85444</v>
      </c>
      <c r="S583" s="4" t="n">
        <v>0.03</v>
      </c>
      <c r="T583" s="4" t="n">
        <v>0.03772466916847717</v>
      </c>
      <c r="U583" s="19" t="n">
        <v>1.638860437426083</v>
      </c>
      <c r="V583" s="19" t="n">
        <v>0.9076923076923094</v>
      </c>
      <c r="W583" s="4" t="n">
        <v>0.05756608950423125</v>
      </c>
      <c r="X583" s="4" t="n">
        <v>0.01498054474708177</v>
      </c>
      <c r="Y583" s="4" t="n">
        <v>0.008008629824261648</v>
      </c>
      <c r="Z583" s="4" t="n">
        <v>0.006590069537486865</v>
      </c>
      <c r="AA583" s="4" t="n">
        <v>0.03</v>
      </c>
      <c r="AB583" s="4" t="n">
        <v>0.05</v>
      </c>
      <c r="AC583" s="4">
        <f>(AB583+2*參數!$B$7)/(AA583+AB583)</f>
        <v/>
      </c>
    </row>
    <row r="584">
      <c r="A584" s="2" t="n">
        <v>583</v>
      </c>
      <c r="B584" s="2" t="inlineStr">
        <is>
          <t>PONS_USDT_PERP</t>
        </is>
      </c>
      <c r="C584" s="2" t="inlineStr">
        <is>
          <t>做空</t>
        </is>
      </c>
      <c r="D584" s="7" t="n">
        <v>46295</v>
      </c>
      <c r="E584" s="20" t="n">
        <v>0.5303</v>
      </c>
      <c r="F584" s="20" t="n">
        <v>0.5143909999999999</v>
      </c>
      <c r="G584" s="20" t="n">
        <v>0.5568150000000001</v>
      </c>
      <c r="H584" s="7" t="n">
        <v>46295.25</v>
      </c>
      <c r="I584" s="20" t="n">
        <v>0.5143909999999999</v>
      </c>
      <c r="J584" s="2" t="inlineStr">
        <is>
          <t>止盈</t>
        </is>
      </c>
      <c r="K584" s="5">
        <f>(H584-D584)*24</f>
        <v/>
      </c>
      <c r="L584" s="4">
        <f>IF(C584="做多",I584/E584-1,1-I584/E584)-2*參數!$B$7</f>
        <v/>
      </c>
      <c r="M584" s="2" t="inlineStr"/>
      <c r="N584" s="4" t="n">
        <v>-0.0259000734753857</v>
      </c>
      <c r="O584" s="4" t="n">
        <v>0.02570358572076427</v>
      </c>
      <c r="P584" s="4" t="n">
        <v>-0.006342692786943549</v>
      </c>
      <c r="Q584" s="22" t="n">
        <v>-829401</v>
      </c>
      <c r="R584" s="22" t="n">
        <v>1566373.312</v>
      </c>
      <c r="S584" s="4" t="n">
        <v>0.03</v>
      </c>
      <c r="T584" s="4" t="n">
        <v>0.0116914953799736</v>
      </c>
      <c r="U584" s="19" t="n">
        <v>2.746349949864698</v>
      </c>
      <c r="V584" s="19" t="n">
        <v>0.7468354430379751</v>
      </c>
      <c r="W584" s="4" t="n">
        <v>0.1018562428019784</v>
      </c>
      <c r="X584" s="4" t="n">
        <v>-0.01590038314176234</v>
      </c>
      <c r="Y584" s="4" t="n">
        <v>0.008008629824261648</v>
      </c>
      <c r="Z584" s="4" t="n">
        <v>0.006590069537486865</v>
      </c>
      <c r="AA584" s="4" t="n">
        <v>0.03</v>
      </c>
      <c r="AB584" s="4" t="n">
        <v>0.05</v>
      </c>
      <c r="AC584" s="4">
        <f>(AB584+2*參數!$B$7)/(AA584+AB584)</f>
        <v/>
      </c>
    </row>
    <row r="585">
      <c r="A585" s="2" t="n">
        <v>584</v>
      </c>
      <c r="B585" s="2" t="inlineStr">
        <is>
          <t>SUI_USDT_PERP</t>
        </is>
      </c>
      <c r="C585" s="2" t="inlineStr">
        <is>
          <t>做空</t>
        </is>
      </c>
      <c r="D585" s="7" t="n">
        <v>46295</v>
      </c>
      <c r="E585" s="20" t="n">
        <v>1.1375</v>
      </c>
      <c r="F585" s="20" t="n">
        <v>1.103375</v>
      </c>
      <c r="G585" s="20" t="n">
        <v>1.194375</v>
      </c>
      <c r="H585" s="7" t="n">
        <v>46295.91666666666</v>
      </c>
      <c r="I585" s="20" t="n">
        <v>1.194375</v>
      </c>
      <c r="J585" s="2" t="inlineStr">
        <is>
          <t>止損</t>
        </is>
      </c>
      <c r="K585" s="5">
        <f>(H585-D585)*24</f>
        <v/>
      </c>
      <c r="L585" s="4">
        <f>IF(C585="做多",I585/E585-1,1-I585/E585)-2*參數!$B$7</f>
        <v/>
      </c>
      <c r="M585" s="2" t="inlineStr"/>
      <c r="N585" s="4" t="n">
        <v>-0.02226233453670279</v>
      </c>
      <c r="O585" s="4" t="n">
        <v>0.02091791123895854</v>
      </c>
      <c r="P585" s="4" t="n">
        <v>-0.009142025879903759</v>
      </c>
      <c r="Q585" s="22" t="n">
        <v>-2531839.1</v>
      </c>
      <c r="R585" s="22" t="n">
        <v>19516384.53976</v>
      </c>
      <c r="S585" s="4" t="n">
        <v>0.009318681318681299</v>
      </c>
      <c r="T585" s="4" t="n">
        <v>0.05</v>
      </c>
      <c r="U585" s="19" t="n">
        <v>4.769043390900904</v>
      </c>
      <c r="V585" s="19" t="n">
        <v>0.8085106382978727</v>
      </c>
      <c r="W585" s="4" t="n">
        <v>0.03701339546113736</v>
      </c>
      <c r="X585" s="4" t="n">
        <v>0.0105254001391788</v>
      </c>
      <c r="Y585" s="4" t="n">
        <v>0.008008629824261648</v>
      </c>
      <c r="Z585" s="4" t="n">
        <v>0.006590069537486865</v>
      </c>
      <c r="AA585" s="4" t="n">
        <v>0.03</v>
      </c>
      <c r="AB585" s="4" t="n">
        <v>0.05</v>
      </c>
      <c r="AC585" s="4">
        <f>(AB585+2*參數!$B$7)/(AA585+AB585)</f>
        <v/>
      </c>
    </row>
    <row r="586">
      <c r="A586" s="2" t="n">
        <v>585</v>
      </c>
      <c r="B586" s="2" t="inlineStr">
        <is>
          <t>ZEC_USDT_PERP</t>
        </is>
      </c>
      <c r="C586" s="2" t="inlineStr">
        <is>
          <t>做空</t>
        </is>
      </c>
      <c r="D586" s="7" t="n">
        <v>46295</v>
      </c>
      <c r="E586" s="20" t="n">
        <v>1390.63</v>
      </c>
      <c r="F586" s="20" t="n">
        <v>1348.9111</v>
      </c>
      <c r="G586" s="20" t="n">
        <v>1460.1615</v>
      </c>
      <c r="H586" s="7" t="n">
        <v>46295.875</v>
      </c>
      <c r="I586" s="20" t="n">
        <v>1460.1615</v>
      </c>
      <c r="J586" s="2" t="inlineStr">
        <is>
          <t>止損</t>
        </is>
      </c>
      <c r="K586" s="5">
        <f>(H586-D586)*24</f>
        <v/>
      </c>
      <c r="L586" s="4">
        <f>IF(C586="做多",I586/E586-1,1-I586/E586)-2*參數!$B$7</f>
        <v/>
      </c>
      <c r="M586" s="2" t="inlineStr"/>
      <c r="N586" s="4" t="n">
        <v>-0.03065641533238983</v>
      </c>
      <c r="O586" s="4" t="n">
        <v>0.02126396792292171</v>
      </c>
      <c r="P586" s="4" t="n">
        <v>-0.02387029954658604</v>
      </c>
      <c r="Q586" s="22" t="n">
        <v>-1431.941000000021</v>
      </c>
      <c r="R586" s="22" t="n">
        <v>37395070.33852</v>
      </c>
      <c r="S586" s="4" t="n">
        <v>0.006975255819304915</v>
      </c>
      <c r="T586" s="4" t="n">
        <v>0.05</v>
      </c>
      <c r="U586" s="19" t="n">
        <v>2.032096690593243</v>
      </c>
      <c r="V586" s="19" t="n">
        <v>0.7704918032786867</v>
      </c>
      <c r="W586" s="4" t="n">
        <v>0.1006349421721262</v>
      </c>
      <c r="X586" s="4" t="n">
        <v>0.09121029930728008</v>
      </c>
      <c r="Y586" s="4" t="n">
        <v>0.008008629824261648</v>
      </c>
      <c r="Z586" s="4" t="n">
        <v>0.006590069537486865</v>
      </c>
      <c r="AA586" s="4" t="n">
        <v>0.03</v>
      </c>
      <c r="AB586" s="4" t="n">
        <v>0.05</v>
      </c>
      <c r="AC586" s="4">
        <f>(AB586+2*參數!$B$7)/(AA586+AB586)</f>
        <v/>
      </c>
    </row>
    <row r="587">
      <c r="A587" s="2" t="n">
        <v>586</v>
      </c>
      <c r="B587" s="2" t="inlineStr">
        <is>
          <t>ICP_USDT_PERP</t>
        </is>
      </c>
      <c r="C587" s="2" t="inlineStr">
        <is>
          <t>做多</t>
        </is>
      </c>
      <c r="D587" s="7" t="n">
        <v>46295.125</v>
      </c>
      <c r="E587" s="20" t="n">
        <v>3.4</v>
      </c>
      <c r="F587" s="20" t="n">
        <v>3.502</v>
      </c>
      <c r="G587" s="20" t="n">
        <v>3.23</v>
      </c>
      <c r="H587" s="7" t="n">
        <v>46295.20833333334</v>
      </c>
      <c r="I587" s="20" t="n">
        <v>3.502</v>
      </c>
      <c r="J587" s="2" t="inlineStr">
        <is>
          <t>止盈</t>
        </is>
      </c>
      <c r="K587" s="5">
        <f>(H587-D587)*24</f>
        <v/>
      </c>
      <c r="L587" s="4">
        <f>IF(C587="做多",I587/E587-1,1-I587/E587)-2*參數!$B$7</f>
        <v/>
      </c>
      <c r="M587" s="2" t="inlineStr"/>
      <c r="N587" s="4" t="n">
        <v>0.02102102102102088</v>
      </c>
      <c r="O587" s="4" t="n">
        <v>0.0218710623462973</v>
      </c>
      <c r="P587" s="4" t="n">
        <v>0.03293231255316553</v>
      </c>
      <c r="Q587" s="22" t="n">
        <v>395824</v>
      </c>
      <c r="R587" s="22" t="n">
        <v>8782008.918</v>
      </c>
      <c r="S587" s="4" t="n">
        <v>0.03</v>
      </c>
      <c r="T587" s="4" t="n">
        <v>0.002352941176470558</v>
      </c>
      <c r="U587" s="19" t="n">
        <v>0.7483172834731399</v>
      </c>
      <c r="V587" s="19" t="n">
        <v>0.9733333333333304</v>
      </c>
      <c r="W587" s="4" t="n">
        <v>0.07261611069398266</v>
      </c>
      <c r="X587" s="4" t="n">
        <v>0.1143887250081939</v>
      </c>
      <c r="Y587" s="4" t="n">
        <v>0.006882009956335589</v>
      </c>
      <c r="Z587" s="4" t="n">
        <v>0.0005919370078024677</v>
      </c>
      <c r="AA587" s="4" t="n">
        <v>0.03</v>
      </c>
      <c r="AB587" s="4" t="n">
        <v>0.05</v>
      </c>
      <c r="AC587" s="4">
        <f>(AB587+2*參數!$B$7)/(AA587+AB587)</f>
        <v/>
      </c>
    </row>
    <row r="588">
      <c r="A588" s="2" t="n">
        <v>587</v>
      </c>
      <c r="B588" s="2" t="inlineStr">
        <is>
          <t>USELESS_USDT_PERP</t>
        </is>
      </c>
      <c r="C588" s="2" t="inlineStr">
        <is>
          <t>做多</t>
        </is>
      </c>
      <c r="D588" s="7" t="n">
        <v>46295.125</v>
      </c>
      <c r="E588" s="20" t="n">
        <v>0.24697</v>
      </c>
      <c r="F588" s="20" t="n">
        <v>0.2543791</v>
      </c>
      <c r="G588" s="20" t="n">
        <v>0.2346215</v>
      </c>
      <c r="H588" s="7" t="n">
        <v>46295.625</v>
      </c>
      <c r="I588" s="20" t="n">
        <v>0.2346215</v>
      </c>
      <c r="J588" s="2" t="inlineStr">
        <is>
          <t>止損</t>
        </is>
      </c>
      <c r="K588" s="5">
        <f>(H588-D588)*24</f>
        <v/>
      </c>
      <c r="L588" s="4">
        <f>IF(C588="做多",I588/E588-1,1-I588/E588)-2*參數!$B$7</f>
        <v/>
      </c>
      <c r="M588" s="2" t="inlineStr"/>
      <c r="N588" s="4" t="n">
        <v>0.05786858562494634</v>
      </c>
      <c r="O588" s="4" t="n">
        <v>0.03398915447810644</v>
      </c>
      <c r="P588" s="4" t="n">
        <v>0.04848895238135675</v>
      </c>
      <c r="Q588" s="22" t="n">
        <v>435744</v>
      </c>
      <c r="R588" s="22" t="n">
        <v>1708038.79514</v>
      </c>
      <c r="S588" s="4" t="n">
        <v>0.003927602542818986</v>
      </c>
      <c r="T588" s="4" t="n">
        <v>0.05</v>
      </c>
      <c r="U588" s="19" t="n">
        <v>1.798167882625093</v>
      </c>
      <c r="V588" s="19" t="n">
        <v>0.8348736906962407</v>
      </c>
      <c r="W588" s="4" t="n">
        <v>-0.08319783801441827</v>
      </c>
      <c r="X588" s="4" t="n">
        <v>0.001825409703066772</v>
      </c>
      <c r="Y588" s="4" t="n">
        <v>0.006882009956335589</v>
      </c>
      <c r="Z588" s="4" t="n">
        <v>0.0005919370078024677</v>
      </c>
      <c r="AA588" s="4" t="n">
        <v>0.03</v>
      </c>
      <c r="AB588" s="4" t="n">
        <v>0.05</v>
      </c>
      <c r="AC588" s="4">
        <f>(AB588+2*參數!$B$7)/(AA588+AB588)</f>
        <v/>
      </c>
    </row>
    <row r="589">
      <c r="A589" s="2" t="n">
        <v>588</v>
      </c>
      <c r="B589" s="2" t="inlineStr">
        <is>
          <t>NMR_USDT_PERP</t>
        </is>
      </c>
      <c r="C589" s="2" t="inlineStr">
        <is>
          <t>做空</t>
        </is>
      </c>
      <c r="D589" s="7" t="n">
        <v>46295.33333333334</v>
      </c>
      <c r="E589" s="20" t="n">
        <v>12.14</v>
      </c>
      <c r="F589" s="20" t="n">
        <v>11.7758</v>
      </c>
      <c r="G589" s="20" t="n">
        <v>12.747</v>
      </c>
      <c r="H589" s="7" t="n">
        <v>46295.375</v>
      </c>
      <c r="I589" s="20" t="n">
        <v>11.7758</v>
      </c>
      <c r="J589" s="2" t="inlineStr">
        <is>
          <t>止盈</t>
        </is>
      </c>
      <c r="K589" s="5">
        <f>(H589-D589)*24</f>
        <v/>
      </c>
      <c r="L589" s="4">
        <f>IF(C589="做多",I589/E589-1,1-I589/E589)-2*參數!$B$7</f>
        <v/>
      </c>
      <c r="M589" s="2" t="inlineStr"/>
      <c r="N589" s="4" t="n">
        <v>-0.02466457780991393</v>
      </c>
      <c r="O589" s="4" t="n">
        <v>0.04886181714502152</v>
      </c>
      <c r="P589" s="4" t="n">
        <v>-0.0417365564874197</v>
      </c>
      <c r="Q589" s="22" t="n">
        <v>-30578.3</v>
      </c>
      <c r="R589" s="22" t="n">
        <v>1822970.5057</v>
      </c>
      <c r="S589" s="4" t="n">
        <v>0.03</v>
      </c>
      <c r="T589" s="4" t="n">
        <v>0</v>
      </c>
      <c r="U589" s="19" t="n">
        <v>0.4172592288228109</v>
      </c>
      <c r="V589" s="19" t="n">
        <v>0.9109195402298835</v>
      </c>
      <c r="W589" s="4" t="n">
        <v>-0.1210731273969403</v>
      </c>
      <c r="X589" s="4" t="n">
        <v>0.1390070921985815</v>
      </c>
      <c r="Y589" s="4" t="n">
        <v>-0.0005025426263833843</v>
      </c>
      <c r="Z589" s="4" t="n">
        <v>0.0006858132270707307</v>
      </c>
      <c r="AA589" s="4" t="n">
        <v>0.03</v>
      </c>
      <c r="AB589" s="4" t="n">
        <v>0.05</v>
      </c>
      <c r="AC589" s="4">
        <f>(AB589+2*參數!$B$7)/(AA589+AB589)</f>
        <v/>
      </c>
    </row>
    <row r="590">
      <c r="A590" s="2" t="n">
        <v>589</v>
      </c>
      <c r="B590" s="2" t="inlineStr">
        <is>
          <t>PONS_USDT_PERP</t>
        </is>
      </c>
      <c r="C590" s="2" t="inlineStr">
        <is>
          <t>做空</t>
        </is>
      </c>
      <c r="D590" s="7" t="n">
        <v>46295.33333333334</v>
      </c>
      <c r="E590" s="20" t="n">
        <v>0.5039</v>
      </c>
      <c r="F590" s="20" t="n">
        <v>0.488783</v>
      </c>
      <c r="G590" s="20" t="n">
        <v>0.5290950000000001</v>
      </c>
      <c r="H590" s="7" t="n">
        <v>46295.41666666666</v>
      </c>
      <c r="I590" s="20" t="n">
        <v>0.5290950000000001</v>
      </c>
      <c r="J590" s="2" t="inlineStr">
        <is>
          <t>止損</t>
        </is>
      </c>
      <c r="K590" s="5">
        <f>(H590-D590)*24</f>
        <v/>
      </c>
      <c r="L590" s="4">
        <f>IF(C590="做多",I590/E590-1,1-I590/E590)-2*參數!$B$7</f>
        <v/>
      </c>
      <c r="M590" s="2" t="inlineStr"/>
      <c r="N590" s="4" t="n">
        <v>-0.07388347730196654</v>
      </c>
      <c r="O590" s="4" t="n">
        <v>0.03599405405275091</v>
      </c>
      <c r="P590" s="4" t="n">
        <v>-0.05042776919308012</v>
      </c>
      <c r="Q590" s="22" t="n">
        <v>-1160749</v>
      </c>
      <c r="R590" s="22" t="n">
        <v>1838053.361</v>
      </c>
      <c r="S590" s="4" t="n">
        <v>0.01805913871799958</v>
      </c>
      <c r="T590" s="4" t="n">
        <v>0.05</v>
      </c>
      <c r="U590" s="19" t="n">
        <v>3.156918728939454</v>
      </c>
      <c r="V590" s="19" t="n">
        <v>0.6482649842271291</v>
      </c>
      <c r="W590" s="4" t="n">
        <v>0.1331558014395222</v>
      </c>
      <c r="X590" s="4" t="n">
        <v>0.07132325838555098</v>
      </c>
      <c r="Y590" s="4" t="n">
        <v>-0.0005025426263833843</v>
      </c>
      <c r="Z590" s="4" t="n">
        <v>0.0006858132270707307</v>
      </c>
      <c r="AA590" s="4" t="n">
        <v>0.03</v>
      </c>
      <c r="AB590" s="4" t="n">
        <v>0.05</v>
      </c>
      <c r="AC590" s="4">
        <f>(AB590+2*參數!$B$7)/(AA590+AB590)</f>
        <v/>
      </c>
    </row>
    <row r="591">
      <c r="A591" s="2" t="n">
        <v>590</v>
      </c>
      <c r="B591" s="2" t="inlineStr">
        <is>
          <t>QNT_USDT_PERP</t>
        </is>
      </c>
      <c r="C591" s="2" t="inlineStr">
        <is>
          <t>做多</t>
        </is>
      </c>
      <c r="D591" s="7" t="n">
        <v>46295.33333333334</v>
      </c>
      <c r="E591" s="20" t="n">
        <v>266.63</v>
      </c>
      <c r="F591" s="20" t="n">
        <v>274.6289</v>
      </c>
      <c r="G591" s="20" t="n">
        <v>253.2985</v>
      </c>
      <c r="H591" s="7" t="n">
        <v>46295.375</v>
      </c>
      <c r="I591" s="20" t="n">
        <v>274.6289</v>
      </c>
      <c r="J591" s="2" t="inlineStr">
        <is>
          <t>止盈</t>
        </is>
      </c>
      <c r="K591" s="5">
        <f>(H591-D591)*24</f>
        <v/>
      </c>
      <c r="L591" s="4">
        <f>IF(C591="做多",I591/E591-1,1-I591/E591)-2*參數!$B$7</f>
        <v/>
      </c>
      <c r="M591" s="2" t="inlineStr"/>
      <c r="N591" s="4" t="n">
        <v>0.02447552447552459</v>
      </c>
      <c r="O591" s="4" t="n">
        <v>0.06095114726192204</v>
      </c>
      <c r="P591" s="4" t="n">
        <v>0.04580675148018365</v>
      </c>
      <c r="Q591" s="22" t="n">
        <v>11974.20000000003</v>
      </c>
      <c r="R591" s="22" t="n">
        <v>29936273.583</v>
      </c>
      <c r="S591" s="4" t="n">
        <v>0.03</v>
      </c>
      <c r="T591" s="4" t="n">
        <v>0</v>
      </c>
      <c r="U591" s="19" t="n">
        <v>0.5421545532451262</v>
      </c>
      <c r="V591" s="19" t="n">
        <v>0.7014925373134332</v>
      </c>
      <c r="W591" s="4" t="n">
        <v>0.3653595136057153</v>
      </c>
      <c r="X591" s="4" t="n">
        <v>0.156445176960444</v>
      </c>
      <c r="Y591" s="4" t="n">
        <v>0.0005025426263833843</v>
      </c>
      <c r="Z591" s="4" t="n">
        <v>-0.0006858132270707307</v>
      </c>
      <c r="AA591" s="4" t="n">
        <v>0.03</v>
      </c>
      <c r="AB591" s="4" t="n">
        <v>0.05</v>
      </c>
      <c r="AC591" s="4">
        <f>(AB591+2*參數!$B$7)/(AA591+AB591)</f>
        <v/>
      </c>
    </row>
    <row r="592">
      <c r="A592" s="2" t="n">
        <v>591</v>
      </c>
      <c r="B592" s="2" t="inlineStr">
        <is>
          <t>0G_USDT_PERP</t>
        </is>
      </c>
      <c r="C592" s="2" t="inlineStr">
        <is>
          <t>做多</t>
        </is>
      </c>
      <c r="D592" s="7" t="n">
        <v>46295.375</v>
      </c>
      <c r="E592" s="20" t="n">
        <v>0.3385</v>
      </c>
      <c r="F592" s="20" t="n">
        <v>0.348655</v>
      </c>
      <c r="G592" s="20" t="n">
        <v>0.321575</v>
      </c>
      <c r="H592" s="7" t="n">
        <v>46295.45833333334</v>
      </c>
      <c r="I592" s="20" t="n">
        <v>0.321575</v>
      </c>
      <c r="J592" s="2" t="inlineStr">
        <is>
          <t>止損</t>
        </is>
      </c>
      <c r="K592" s="5">
        <f>(H592-D592)*24</f>
        <v/>
      </c>
      <c r="L592" s="4">
        <f>IF(C592="做多",I592/E592-1,1-I592/E592)-2*參數!$B$7</f>
        <v/>
      </c>
      <c r="M592" s="2" t="inlineStr"/>
      <c r="N592" s="4" t="n">
        <v>0.03295697284101329</v>
      </c>
      <c r="O592" s="4" t="n">
        <v>0.03703140575398926</v>
      </c>
      <c r="P592" s="4" t="n">
        <v>0.0456082907316171</v>
      </c>
      <c r="Q592" s="22" t="n">
        <v>989109</v>
      </c>
      <c r="R592" s="22" t="n">
        <v>1244885.7431</v>
      </c>
      <c r="S592" s="4" t="n">
        <v>0.02836041358936492</v>
      </c>
      <c r="T592" s="4" t="n">
        <v>0.05</v>
      </c>
      <c r="U592" s="19" t="n">
        <v>0.395824152338427</v>
      </c>
      <c r="V592" s="19" t="n">
        <v>0.9510489510489525</v>
      </c>
      <c r="W592" s="4" t="n">
        <v>0.2302648794812898</v>
      </c>
      <c r="X592" s="4" t="n">
        <v>0.1505778382053025</v>
      </c>
      <c r="Y592" s="4" t="n">
        <v>-0.002406209263666415</v>
      </c>
      <c r="Z592" s="4" t="n">
        <v>-0.003239276978704519</v>
      </c>
      <c r="AA592" s="4" t="n">
        <v>0.03</v>
      </c>
      <c r="AB592" s="4" t="n">
        <v>0.05</v>
      </c>
      <c r="AC592" s="4">
        <f>(AB592+2*參數!$B$7)/(AA592+AB592)</f>
        <v/>
      </c>
    </row>
    <row r="593">
      <c r="A593" s="2" t="n">
        <v>592</v>
      </c>
      <c r="B593" s="2" t="inlineStr">
        <is>
          <t>NEAR_USDT_PERP</t>
        </is>
      </c>
      <c r="C593" s="2" t="inlineStr">
        <is>
          <t>做多</t>
        </is>
      </c>
      <c r="D593" s="7" t="n">
        <v>46295.375</v>
      </c>
      <c r="E593" s="20" t="n">
        <v>5.015</v>
      </c>
      <c r="F593" s="20" t="n">
        <v>5.16545</v>
      </c>
      <c r="G593" s="20" t="n">
        <v>4.76425</v>
      </c>
      <c r="H593" s="7" t="n">
        <v>46295.79166666666</v>
      </c>
      <c r="I593" s="20" t="n">
        <v>5.16545</v>
      </c>
      <c r="J593" s="2" t="inlineStr">
        <is>
          <t>止盈</t>
        </is>
      </c>
      <c r="K593" s="5">
        <f>(H593-D593)*24</f>
        <v/>
      </c>
      <c r="L593" s="4">
        <f>IF(C593="做多",I593/E593-1,1-I593/E593)-2*參數!$B$7</f>
        <v/>
      </c>
      <c r="M593" s="2" t="inlineStr"/>
      <c r="N593" s="4" t="n">
        <v>0.02724293322408844</v>
      </c>
      <c r="O593" s="4" t="n">
        <v>0.02785074298604965</v>
      </c>
      <c r="P593" s="4" t="n">
        <v>0.02550994325443479</v>
      </c>
      <c r="Q593" s="22" t="n">
        <v>295373</v>
      </c>
      <c r="R593" s="22" t="n">
        <v>17009161.645</v>
      </c>
      <c r="S593" s="4" t="n">
        <v>0.03</v>
      </c>
      <c r="T593" s="4" t="n">
        <v>0.03668993020937172</v>
      </c>
      <c r="U593" s="19" t="n">
        <v>0.7803039222493587</v>
      </c>
      <c r="V593" s="19" t="n">
        <v>0.7790697674418586</v>
      </c>
      <c r="W593" s="4" t="n">
        <v>0.001439756858813812</v>
      </c>
      <c r="X593" s="4" t="n">
        <v>0.05379281361630572</v>
      </c>
      <c r="Y593" s="4" t="n">
        <v>-0.002406209263666415</v>
      </c>
      <c r="Z593" s="4" t="n">
        <v>-0.003239276978704519</v>
      </c>
      <c r="AA593" s="4" t="n">
        <v>0.03</v>
      </c>
      <c r="AB593" s="4" t="n">
        <v>0.05</v>
      </c>
      <c r="AC593" s="4">
        <f>(AB593+2*參數!$B$7)/(AA593+AB593)</f>
        <v/>
      </c>
    </row>
    <row r="594">
      <c r="A594" s="2" t="n">
        <v>593</v>
      </c>
      <c r="B594" s="2" t="inlineStr">
        <is>
          <t>ICP_USDT_PERP</t>
        </is>
      </c>
      <c r="C594" s="2" t="inlineStr">
        <is>
          <t>做空</t>
        </is>
      </c>
      <c r="D594" s="7" t="n">
        <v>46295.45833333334</v>
      </c>
      <c r="E594" s="20" t="n">
        <v>3.367</v>
      </c>
      <c r="F594" s="20" t="n">
        <v>3.26599</v>
      </c>
      <c r="G594" s="20" t="n">
        <v>3.53535</v>
      </c>
      <c r="H594" s="7" t="n">
        <v>46295.91666666666</v>
      </c>
      <c r="I594" s="20" t="n">
        <v>3.53535</v>
      </c>
      <c r="J594" s="2" t="inlineStr">
        <is>
          <t>止損</t>
        </is>
      </c>
      <c r="K594" s="5">
        <f>(H594-D594)*24</f>
        <v/>
      </c>
      <c r="L594" s="4">
        <f>IF(C594="做多",I594/E594-1,1-I594/E594)-2*參數!$B$7</f>
        <v/>
      </c>
      <c r="M594" s="2" t="inlineStr"/>
      <c r="N594" s="4" t="n">
        <v>-0.03191489361702138</v>
      </c>
      <c r="O594" s="4" t="n">
        <v>0.02311466772285521</v>
      </c>
      <c r="P594" s="4" t="n">
        <v>-0.007414176849490639</v>
      </c>
      <c r="Q594" s="22" t="n">
        <v>-68723</v>
      </c>
      <c r="R594" s="22" t="n">
        <v>9831154.977</v>
      </c>
      <c r="S594" s="4" t="n">
        <v>0.007722007722007707</v>
      </c>
      <c r="T594" s="4" t="n">
        <v>0.05</v>
      </c>
      <c r="U594" s="19" t="n">
        <v>1.20863052750866</v>
      </c>
      <c r="V594" s="19" t="n">
        <v>0.849315068493152</v>
      </c>
      <c r="W594" s="4" t="n">
        <v>-0.05451071892763748</v>
      </c>
      <c r="X594" s="4" t="n">
        <v>-0.08964401294498381</v>
      </c>
      <c r="Y594" s="4" t="n">
        <v>0.0008032764086111088</v>
      </c>
      <c r="Z594" s="4" t="n">
        <v>0.003762961009642019</v>
      </c>
      <c r="AA594" s="4" t="n">
        <v>0.03</v>
      </c>
      <c r="AB594" s="4" t="n">
        <v>0.05</v>
      </c>
      <c r="AC594" s="4">
        <f>(AB594+2*參數!$B$7)/(AA594+AB594)</f>
        <v/>
      </c>
    </row>
    <row r="595">
      <c r="A595" s="2" t="n">
        <v>594</v>
      </c>
      <c r="B595" s="2" t="inlineStr">
        <is>
          <t>0G_USDT_PERP</t>
        </is>
      </c>
      <c r="C595" s="2" t="inlineStr">
        <is>
          <t>做多</t>
        </is>
      </c>
      <c r="D595" s="7" t="n">
        <v>46295.54166666666</v>
      </c>
      <c r="E595" s="20" t="n">
        <v>0.3438</v>
      </c>
      <c r="F595" s="20" t="n">
        <v>0.354114</v>
      </c>
      <c r="G595" s="20" t="n">
        <v>0.32661</v>
      </c>
      <c r="H595" s="7" t="n">
        <v>46295.58333333334</v>
      </c>
      <c r="I595" s="20" t="n">
        <v>0.354114</v>
      </c>
      <c r="J595" s="2" t="inlineStr">
        <is>
          <t>止盈</t>
        </is>
      </c>
      <c r="K595" s="5">
        <f>(H595-D595)*24</f>
        <v/>
      </c>
      <c r="L595" s="4">
        <f>IF(C595="做多",I595/E595-1,1-I595/E595)-2*參數!$B$7</f>
        <v/>
      </c>
      <c r="M595" s="2" t="inlineStr"/>
      <c r="N595" s="4" t="n">
        <v>0.04371584699453535</v>
      </c>
      <c r="O595" s="4" t="n">
        <v>0.03869151137683779</v>
      </c>
      <c r="P595" s="4" t="n">
        <v>0.03859225134053323</v>
      </c>
      <c r="Q595" s="22" t="n">
        <v>967736</v>
      </c>
      <c r="R595" s="22" t="n">
        <v>1248329.0989</v>
      </c>
      <c r="S595" s="4" t="n">
        <v>0.03</v>
      </c>
      <c r="T595" s="4" t="n">
        <v>0</v>
      </c>
      <c r="U595" s="19" t="n">
        <v>0.4356238604469228</v>
      </c>
      <c r="V595" s="19" t="n">
        <v>0.8595505617977526</v>
      </c>
      <c r="W595" s="4" t="n">
        <v>0.2358326773139512</v>
      </c>
      <c r="X595" s="4" t="n">
        <v>0.1433322248087794</v>
      </c>
      <c r="Y595" s="4" t="n">
        <v>-0.001200914135840225</v>
      </c>
      <c r="Z595" s="4" t="n">
        <v>-0.005010246600318013</v>
      </c>
      <c r="AA595" s="4" t="n">
        <v>0.03</v>
      </c>
      <c r="AB595" s="4" t="n">
        <v>0.05</v>
      </c>
      <c r="AC595" s="4">
        <f>(AB595+2*參數!$B$7)/(AA595+AB595)</f>
        <v/>
      </c>
    </row>
    <row r="596">
      <c r="A596" s="2" t="n">
        <v>595</v>
      </c>
      <c r="B596" s="2" t="inlineStr">
        <is>
          <t>MARSCOIN_USDT_PERP</t>
        </is>
      </c>
      <c r="C596" s="2" t="inlineStr">
        <is>
          <t>做空</t>
        </is>
      </c>
      <c r="D596" s="7" t="n">
        <v>46295.625</v>
      </c>
      <c r="E596" s="20" t="n">
        <v>0.1433</v>
      </c>
      <c r="F596" s="20" t="n">
        <v>0.139001</v>
      </c>
      <c r="G596" s="20" t="n">
        <v>0.150465</v>
      </c>
      <c r="H596" s="7" t="n">
        <v>46295.83333333334</v>
      </c>
      <c r="I596" s="20" t="n">
        <v>0.139001</v>
      </c>
      <c r="J596" s="2" t="inlineStr">
        <is>
          <t>止盈</t>
        </is>
      </c>
      <c r="K596" s="5">
        <f>(H596-D596)*24</f>
        <v/>
      </c>
      <c r="L596" s="4">
        <f>IF(C596="做多",I596/E596-1,1-I596/E596)-2*參數!$B$7</f>
        <v/>
      </c>
      <c r="M596" s="2" t="inlineStr"/>
      <c r="N596" s="4" t="n">
        <v>-0.021976521976522</v>
      </c>
      <c r="O596" s="4" t="n">
        <v>0.0443015911247541</v>
      </c>
      <c r="P596" s="4" t="n">
        <v>-0.0150221156060224</v>
      </c>
      <c r="Q596" s="22" t="n">
        <v>-2885956</v>
      </c>
      <c r="R596" s="22" t="n">
        <v>2417452.85878</v>
      </c>
      <c r="S596" s="4" t="n">
        <v>0.03</v>
      </c>
      <c r="T596" s="4" t="n">
        <v>0.01332868108862528</v>
      </c>
      <c r="U596" s="19" t="n">
        <v>0.7824203796561451</v>
      </c>
      <c r="V596" s="19" t="n">
        <v>0.6943005181347122</v>
      </c>
      <c r="W596" s="4" t="n">
        <v>-0.03617501740817408</v>
      </c>
      <c r="X596" s="4" t="n">
        <v>0.1128033680039623</v>
      </c>
      <c r="Y596" s="4" t="n">
        <v>0.004118909670739246</v>
      </c>
      <c r="Z596" s="4" t="n">
        <v>0.005895712467155589</v>
      </c>
      <c r="AA596" s="4" t="n">
        <v>0.03</v>
      </c>
      <c r="AB596" s="4" t="n">
        <v>0.05</v>
      </c>
      <c r="AC596" s="4">
        <f>(AB596+2*參數!$B$7)/(AA596+AB596)</f>
        <v/>
      </c>
    </row>
    <row r="597">
      <c r="A597" s="2" t="n">
        <v>596</v>
      </c>
      <c r="B597" s="2" t="inlineStr">
        <is>
          <t>CRV_USDT_PERP</t>
        </is>
      </c>
      <c r="C597" s="2" t="inlineStr">
        <is>
          <t>做多</t>
        </is>
      </c>
      <c r="D597" s="7" t="n">
        <v>46295.75</v>
      </c>
      <c r="E597" s="20" t="n">
        <v>0.4067</v>
      </c>
      <c r="F597" s="20" t="n">
        <v>0.418901</v>
      </c>
      <c r="G597" s="20" t="n">
        <v>0.386365</v>
      </c>
      <c r="H597" s="7" t="n">
        <v>46295.95833333334</v>
      </c>
      <c r="I597" s="20" t="n">
        <v>0.386365</v>
      </c>
      <c r="J597" s="2" t="inlineStr">
        <is>
          <t>止損</t>
        </is>
      </c>
      <c r="K597" s="5">
        <f>(H597-D597)*24</f>
        <v/>
      </c>
      <c r="L597" s="4">
        <f>IF(C597="做多",I597/E597-1,1-I597/E597)-2*參數!$B$7</f>
        <v/>
      </c>
      <c r="M597" s="2" t="inlineStr"/>
      <c r="N597" s="4" t="n">
        <v>0.02237305178481663</v>
      </c>
      <c r="O597" s="4" t="n">
        <v>0.0226877841479326</v>
      </c>
      <c r="P597" s="4" t="n">
        <v>0.0437170389950341</v>
      </c>
      <c r="Q597" s="22" t="n">
        <v>424305.0000000005</v>
      </c>
      <c r="R597" s="22" t="n">
        <v>2595217.40737</v>
      </c>
      <c r="S597" s="4" t="n">
        <v>0.007376444553725214</v>
      </c>
      <c r="T597" s="4" t="n">
        <v>0.05</v>
      </c>
      <c r="U597" s="19" t="n">
        <v>2.347745339122507</v>
      </c>
      <c r="V597" s="19" t="n">
        <v>0.6734693877551038</v>
      </c>
      <c r="W597" s="4" t="n">
        <v>0.1263837459529671</v>
      </c>
      <c r="X597" s="4" t="n">
        <v>0.02753916119252153</v>
      </c>
      <c r="Y597" s="4" t="n">
        <v>0.006906578112145789</v>
      </c>
      <c r="Z597" s="4" t="n">
        <v>0.002914420065798673</v>
      </c>
      <c r="AA597" s="4" t="n">
        <v>0.03</v>
      </c>
      <c r="AB597" s="4" t="n">
        <v>0.05</v>
      </c>
      <c r="AC597" s="4">
        <f>(AB597+2*參數!$B$7)/(AA597+AB597)</f>
        <v/>
      </c>
    </row>
    <row r="598">
      <c r="A598" s="2" t="n">
        <v>597</v>
      </c>
      <c r="B598" s="2" t="inlineStr">
        <is>
          <t>PENGU_USDT_PERP</t>
        </is>
      </c>
      <c r="C598" s="2" t="inlineStr">
        <is>
          <t>做多</t>
        </is>
      </c>
      <c r="D598" s="7" t="n">
        <v>46295.79166666666</v>
      </c>
      <c r="E598" s="20" t="n">
        <v>0.010291</v>
      </c>
      <c r="F598" s="20" t="n">
        <v>0.01059973</v>
      </c>
      <c r="G598" s="20" t="n">
        <v>0.009776449999999999</v>
      </c>
      <c r="H598" s="7" t="n">
        <v>46295.91666666666</v>
      </c>
      <c r="I598" s="20" t="n">
        <v>0.01059973</v>
      </c>
      <c r="J598" s="2" t="inlineStr">
        <is>
          <t>止盈</t>
        </is>
      </c>
      <c r="K598" s="5">
        <f>(H598-D598)*24</f>
        <v/>
      </c>
      <c r="L598" s="4">
        <f>IF(C598="做多",I598/E598-1,1-I598/E598)-2*參數!$B$7</f>
        <v/>
      </c>
      <c r="M598" s="2" t="inlineStr"/>
      <c r="N598" s="4" t="n">
        <v>0.03729462755770596</v>
      </c>
      <c r="O598" s="4" t="n">
        <v>0.02174809054765868</v>
      </c>
      <c r="P598" s="4" t="n">
        <v>0.04004123377935875</v>
      </c>
      <c r="Q598" s="22" t="n">
        <v>13325243</v>
      </c>
      <c r="R598" s="22" t="n">
        <v>1257440.430942</v>
      </c>
      <c r="S598" s="4" t="n">
        <v>0.03</v>
      </c>
      <c r="T598" s="4" t="n">
        <v>0.0296375473714896</v>
      </c>
      <c r="U598" s="19" t="n">
        <v>1.05106600917923</v>
      </c>
      <c r="V598" s="19" t="n">
        <v>0.9268867924528306</v>
      </c>
      <c r="W598" s="4" t="n">
        <v>0.04474081473743419</v>
      </c>
      <c r="X598" s="4" t="n">
        <v>0.06986173198877221</v>
      </c>
      <c r="Y598" s="4" t="n">
        <v>0.003345865875876264</v>
      </c>
      <c r="Z598" s="4" t="n">
        <v>0.006170027108580278</v>
      </c>
      <c r="AA598" s="4" t="n">
        <v>0.03</v>
      </c>
      <c r="AB598" s="4" t="n">
        <v>0.05</v>
      </c>
      <c r="AC598" s="4">
        <f>(AB598+2*參數!$B$7)/(AA598+AB598)</f>
        <v/>
      </c>
    </row>
    <row r="599">
      <c r="A599" s="2" t="n">
        <v>598</v>
      </c>
      <c r="B599" s="2" t="inlineStr">
        <is>
          <t>ENA_USDT_PERP</t>
        </is>
      </c>
      <c r="C599" s="2" t="inlineStr">
        <is>
          <t>做多</t>
        </is>
      </c>
      <c r="D599" s="7" t="n">
        <v>46295.875</v>
      </c>
      <c r="E599" s="20" t="n">
        <v>0.2619</v>
      </c>
      <c r="F599" s="20" t="n">
        <v>0.269757</v>
      </c>
      <c r="G599" s="20" t="n">
        <v>0.248805</v>
      </c>
      <c r="H599" s="7" t="n">
        <v>46295.91666666666</v>
      </c>
      <c r="I599" s="20" t="n">
        <v>0.269757</v>
      </c>
      <c r="J599" s="2" t="inlineStr">
        <is>
          <t>止盈</t>
        </is>
      </c>
      <c r="K599" s="5">
        <f>(H599-D599)*24</f>
        <v/>
      </c>
      <c r="L599" s="4">
        <f>IF(C599="做多",I599/E599-1,1-I599/E599)-2*參數!$B$7</f>
        <v/>
      </c>
      <c r="M599" s="2" t="inlineStr"/>
      <c r="N599" s="4" t="n">
        <v>0.02344665885111374</v>
      </c>
      <c r="O599" s="4" t="n">
        <v>0.02120803658456026</v>
      </c>
      <c r="P599" s="4" t="n">
        <v>0.04413347685683533</v>
      </c>
      <c r="Q599" s="22" t="n">
        <v>7002292</v>
      </c>
      <c r="R599" s="22" t="n">
        <v>6475106.3181</v>
      </c>
      <c r="S599" s="4" t="n">
        <v>0.03</v>
      </c>
      <c r="T599" s="4" t="n">
        <v>0</v>
      </c>
      <c r="U599" s="19" t="n">
        <v>1.277716652618792</v>
      </c>
      <c r="V599" s="19" t="n">
        <v>0.7661290322580673</v>
      </c>
      <c r="W599" s="4" t="n">
        <v>-0.005026156528874837</v>
      </c>
      <c r="X599" s="4" t="n">
        <v>0.02988596146283906</v>
      </c>
      <c r="Y599" s="4" t="n">
        <v>0.01641212592286156</v>
      </c>
      <c r="Z599" s="4" t="n">
        <v>0.02089101627568257</v>
      </c>
      <c r="AA599" s="4" t="n">
        <v>0.03</v>
      </c>
      <c r="AB599" s="4" t="n">
        <v>0.05</v>
      </c>
      <c r="AC599" s="4">
        <f>(AB599+2*參數!$B$7)/(AA599+AB599)</f>
        <v/>
      </c>
    </row>
    <row r="600">
      <c r="A600" s="2" t="n">
        <v>599</v>
      </c>
      <c r="B600" s="2" t="inlineStr">
        <is>
          <t>GRASS_USDT_PERP</t>
        </is>
      </c>
      <c r="C600" s="2" t="inlineStr">
        <is>
          <t>做多</t>
        </is>
      </c>
      <c r="D600" s="7" t="n">
        <v>46295.875</v>
      </c>
      <c r="E600" s="20" t="n">
        <v>0.7415</v>
      </c>
      <c r="F600" s="20" t="n">
        <v>0.7637450000000001</v>
      </c>
      <c r="G600" s="20" t="n">
        <v>0.704425</v>
      </c>
      <c r="H600" s="7" t="n">
        <v>46296.125</v>
      </c>
      <c r="I600" s="20" t="n">
        <v>0.704425</v>
      </c>
      <c r="J600" s="2" t="inlineStr">
        <is>
          <t>止損</t>
        </is>
      </c>
      <c r="K600" s="5">
        <f>(H600-D600)*24</f>
        <v/>
      </c>
      <c r="L600" s="4">
        <f>IF(C600="做多",I600/E600-1,1-I600/E600)-2*參數!$B$7</f>
        <v/>
      </c>
      <c r="M600" s="2" t="inlineStr"/>
      <c r="N600" s="4" t="n">
        <v>0.02914642609299101</v>
      </c>
      <c r="O600" s="4" t="n">
        <v>0.04001735217310287</v>
      </c>
      <c r="P600" s="4" t="n">
        <v>0.02258231339424244</v>
      </c>
      <c r="Q600" s="22" t="n">
        <v>485650</v>
      </c>
      <c r="R600" s="22" t="n">
        <v>3472179.7355</v>
      </c>
      <c r="S600" s="4" t="n">
        <v>0.01078894133513142</v>
      </c>
      <c r="T600" s="4" t="n">
        <v>0.05</v>
      </c>
      <c r="U600" s="19" t="n">
        <v>0.9903919231037386</v>
      </c>
      <c r="V600" s="19" t="n">
        <v>0.6638418079096069</v>
      </c>
      <c r="W600" s="4" t="n">
        <v>0.1714171066392414</v>
      </c>
      <c r="X600" s="4" t="n">
        <v>0.04702061564529791</v>
      </c>
      <c r="Y600" s="4" t="n">
        <v>0.01641212592286156</v>
      </c>
      <c r="Z600" s="4" t="n">
        <v>0.02089101627568257</v>
      </c>
      <c r="AA600" s="4" t="n">
        <v>0.03</v>
      </c>
      <c r="AB600" s="4" t="n">
        <v>0.05</v>
      </c>
      <c r="AC600" s="4">
        <f>(AB600+2*參數!$B$7)/(AA600+AB600)</f>
        <v/>
      </c>
    </row>
    <row r="601">
      <c r="A601" s="2" t="n">
        <v>600</v>
      </c>
      <c r="B601" s="2" t="inlineStr">
        <is>
          <t>MARSCOIN_USDT_PERP</t>
        </is>
      </c>
      <c r="C601" s="2" t="inlineStr">
        <is>
          <t>做空</t>
        </is>
      </c>
      <c r="D601" s="7" t="n">
        <v>46295.91666666666</v>
      </c>
      <c r="E601" s="20" t="n">
        <v>0.13971</v>
      </c>
      <c r="F601" s="20" t="n">
        <v>0.1355187</v>
      </c>
      <c r="G601" s="20" t="n">
        <v>0.1466955</v>
      </c>
      <c r="H601" s="7" t="n">
        <v>46295.95833333334</v>
      </c>
      <c r="I601" s="20" t="n">
        <v>0.1355187</v>
      </c>
      <c r="J601" s="2" t="inlineStr">
        <is>
          <t>止盈</t>
        </is>
      </c>
      <c r="K601" s="5">
        <f>(H601-D601)*24</f>
        <v/>
      </c>
      <c r="L601" s="4">
        <f>IF(C601="做多",I601/E601-1,1-I601/E601)-2*參數!$B$7</f>
        <v/>
      </c>
      <c r="M601" s="2" t="inlineStr"/>
      <c r="N601" s="4" t="n">
        <v>-0.02047255135665715</v>
      </c>
      <c r="O601" s="4" t="n">
        <v>0.04031975843328887</v>
      </c>
      <c r="P601" s="4" t="n">
        <v>-0.02849295064582869</v>
      </c>
      <c r="Q601" s="22" t="n">
        <v>-548984</v>
      </c>
      <c r="R601" s="22" t="n">
        <v>2449307.06671</v>
      </c>
      <c r="S601" s="4" t="n">
        <v>0.03</v>
      </c>
      <c r="T601" s="4" t="n">
        <v>0</v>
      </c>
      <c r="U601" s="19" t="n">
        <v>0.6335560761389536</v>
      </c>
      <c r="V601" s="19" t="n">
        <v>0.5767790262172271</v>
      </c>
      <c r="W601" s="4" t="n">
        <v>0.002542371066232341</v>
      </c>
      <c r="X601" s="4" t="n">
        <v>0.06260064412238331</v>
      </c>
      <c r="Y601" s="4" t="n">
        <v>0.007614373948801156</v>
      </c>
      <c r="Z601" s="4" t="n">
        <v>-0.01216739558112701</v>
      </c>
      <c r="AA601" s="4" t="n">
        <v>0.03</v>
      </c>
      <c r="AB601" s="4" t="n">
        <v>0.05</v>
      </c>
      <c r="AC601" s="4">
        <f>(AB601+2*參數!$B$7)/(AA601+AB601)</f>
        <v/>
      </c>
    </row>
    <row r="602">
      <c r="A602" s="2" t="n">
        <v>601</v>
      </c>
      <c r="B602" s="2" t="inlineStr">
        <is>
          <t>PENGU_USDT_PERP</t>
        </is>
      </c>
      <c r="C602" s="2" t="inlineStr">
        <is>
          <t>做空</t>
        </is>
      </c>
      <c r="D602" s="7" t="n">
        <v>46295.95833333334</v>
      </c>
      <c r="E602" s="20" t="n">
        <v>0.009887</v>
      </c>
      <c r="F602" s="20" t="n">
        <v>0.009590389999999999</v>
      </c>
      <c r="G602" s="20" t="n">
        <v>0.01038135</v>
      </c>
      <c r="H602" s="7" t="n">
        <v>46296.16666666666</v>
      </c>
      <c r="I602" s="20" t="n">
        <v>0.009590389999999999</v>
      </c>
      <c r="J602" s="2" t="inlineStr">
        <is>
          <t>止盈</t>
        </is>
      </c>
      <c r="K602" s="5">
        <f>(H602-D602)*24</f>
        <v/>
      </c>
      <c r="L602" s="4">
        <f>IF(C602="做多",I602/E602-1,1-I602/E602)-2*參數!$B$7</f>
        <v/>
      </c>
      <c r="M602" s="2" t="inlineStr"/>
      <c r="N602" s="4" t="n">
        <v>-0.0373868172524584</v>
      </c>
      <c r="O602" s="4" t="n">
        <v>0.02748106650925217</v>
      </c>
      <c r="P602" s="4" t="n">
        <v>-0.008861800028068911</v>
      </c>
      <c r="Q602" s="22" t="n">
        <v>-20414823</v>
      </c>
      <c r="R602" s="22" t="n">
        <v>1526203.425818</v>
      </c>
      <c r="S602" s="4" t="n">
        <v>0.03</v>
      </c>
      <c r="T602" s="4" t="n">
        <v>0.01537372307069873</v>
      </c>
      <c r="U602" s="19" t="n">
        <v>1.661749263146216</v>
      </c>
      <c r="V602" s="19" t="n">
        <v>0.8571428571428567</v>
      </c>
      <c r="W602" s="4" t="n">
        <v>-0.003690111820032316</v>
      </c>
      <c r="X602" s="4" t="n">
        <v>0.0056321029870261</v>
      </c>
      <c r="Y602" s="4" t="n">
        <v>0.01002356678714023</v>
      </c>
      <c r="Z602" s="4" t="n">
        <v>-0.001932933620754529</v>
      </c>
      <c r="AA602" s="4" t="n">
        <v>0.03</v>
      </c>
      <c r="AB602" s="4" t="n">
        <v>0.05</v>
      </c>
      <c r="AC602" s="4">
        <f>(AB602+2*參數!$B$7)/(AA602+AB602)</f>
        <v/>
      </c>
    </row>
    <row r="603">
      <c r="A603" s="2" t="n">
        <v>602</v>
      </c>
      <c r="B603" s="2" t="inlineStr">
        <is>
          <t>USELESS_USDT_PERP</t>
        </is>
      </c>
      <c r="C603" s="2" t="inlineStr">
        <is>
          <t>做空</t>
        </is>
      </c>
      <c r="D603" s="7" t="n">
        <v>46295.95833333334</v>
      </c>
      <c r="E603" s="20" t="n">
        <v>0.24081</v>
      </c>
      <c r="F603" s="20" t="n">
        <v>0.2335857</v>
      </c>
      <c r="G603" s="20" t="n">
        <v>0.2528505</v>
      </c>
      <c r="H603" s="7" t="n">
        <v>46296.45833333334</v>
      </c>
      <c r="I603" s="20" t="n">
        <v>0.2335857</v>
      </c>
      <c r="J603" s="2" t="inlineStr">
        <is>
          <t>止盈</t>
        </is>
      </c>
      <c r="K603" s="5">
        <f>(H603-D603)*24</f>
        <v/>
      </c>
      <c r="L603" s="4">
        <f>IF(C603="做多",I603/E603-1,1-I603/E603)-2*參數!$B$7</f>
        <v/>
      </c>
      <c r="M603" s="2" t="inlineStr"/>
      <c r="N603" s="4" t="n">
        <v>-0.05084545347049785</v>
      </c>
      <c r="O603" s="4" t="n">
        <v>0.03538162511693999</v>
      </c>
      <c r="P603" s="4" t="n">
        <v>-0.001111673400310265</v>
      </c>
      <c r="Q603" s="22" t="n">
        <v>-1584701</v>
      </c>
      <c r="R603" s="22" t="n">
        <v>1921586.3479</v>
      </c>
      <c r="S603" s="4" t="n">
        <v>0.03</v>
      </c>
      <c r="T603" s="4" t="n">
        <v>0.04995639715958644</v>
      </c>
      <c r="U603" s="19" t="n">
        <v>2.676359826968058</v>
      </c>
      <c r="V603" s="19" t="n">
        <v>0.9611244019138765</v>
      </c>
      <c r="W603" s="4" t="n">
        <v>0.07380876098989109</v>
      </c>
      <c r="X603" s="4" t="n">
        <v>0.01193993106843916</v>
      </c>
      <c r="Y603" s="4" t="n">
        <v>0.01002356678714023</v>
      </c>
      <c r="Z603" s="4" t="n">
        <v>-0.001932933620754529</v>
      </c>
      <c r="AA603" s="4" t="n">
        <v>0.03</v>
      </c>
      <c r="AB603" s="4" t="n">
        <v>0.05</v>
      </c>
      <c r="AC603" s="4">
        <f>(AB603+2*參數!$B$7)/(AA603+AB603)</f>
        <v/>
      </c>
    </row>
    <row r="604">
      <c r="A604" s="2" t="n">
        <v>603</v>
      </c>
      <c r="B604" s="2" t="inlineStr">
        <is>
          <t>XPL_USDT_PERP</t>
        </is>
      </c>
      <c r="C604" s="2" t="inlineStr">
        <is>
          <t>做空</t>
        </is>
      </c>
      <c r="D604" s="7" t="n">
        <v>46295.95833333334</v>
      </c>
      <c r="E604" s="20" t="n">
        <v>0.0948</v>
      </c>
      <c r="F604" s="20" t="n">
        <v>0.091956</v>
      </c>
      <c r="G604" s="20" t="n">
        <v>0.09954</v>
      </c>
      <c r="H604" s="7" t="n">
        <v>46296.125</v>
      </c>
      <c r="I604" s="20" t="n">
        <v>0.091956</v>
      </c>
      <c r="J604" s="2" t="inlineStr">
        <is>
          <t>止盈</t>
        </is>
      </c>
      <c r="K604" s="5">
        <f>(H604-D604)*24</f>
        <v/>
      </c>
      <c r="L604" s="4">
        <f>IF(C604="做多",I604/E604-1,1-I604/E604)-2*參數!$B$7</f>
        <v/>
      </c>
      <c r="M604" s="2" t="inlineStr"/>
      <c r="N604" s="4" t="n">
        <v>-0.03067484662576692</v>
      </c>
      <c r="O604" s="4" t="n">
        <v>0.02522477491090687</v>
      </c>
      <c r="P604" s="4" t="n">
        <v>-0.01893821794473782</v>
      </c>
      <c r="Q604" s="22" t="n">
        <v>-576597</v>
      </c>
      <c r="R604" s="22" t="n">
        <v>1337513.2666</v>
      </c>
      <c r="S604" s="4" t="n">
        <v>0.03</v>
      </c>
      <c r="T604" s="4" t="n">
        <v>0.01793248945147696</v>
      </c>
      <c r="U604" s="19" t="n">
        <v>3.877402060471611</v>
      </c>
      <c r="V604" s="19" t="n">
        <v>0.642857142857143</v>
      </c>
      <c r="W604" s="4" t="n">
        <v>0.08376583838325269</v>
      </c>
      <c r="X604" s="4" t="n">
        <v>0.06231454005934722</v>
      </c>
      <c r="Y604" s="4" t="n">
        <v>0.01002356678714023</v>
      </c>
      <c r="Z604" s="4" t="n">
        <v>-0.001932933620754529</v>
      </c>
      <c r="AA604" s="4" t="n">
        <v>0.03</v>
      </c>
      <c r="AB604" s="4" t="n">
        <v>0.05</v>
      </c>
      <c r="AC604" s="4">
        <f>(AB604+2*參數!$B$7)/(AA604+AB604)</f>
        <v/>
      </c>
    </row>
    <row r="605">
      <c r="A605" s="2" t="n">
        <v>604</v>
      </c>
      <c r="B605" s="2" t="inlineStr">
        <is>
          <t>ZRO_USDT_PERP</t>
        </is>
      </c>
      <c r="C605" s="2" t="inlineStr">
        <is>
          <t>做空</t>
        </is>
      </c>
      <c r="D605" s="7" t="n">
        <v>46295.95833333334</v>
      </c>
      <c r="E605" s="20" t="n">
        <v>1.7149</v>
      </c>
      <c r="F605" s="20" t="n">
        <v>1.663453</v>
      </c>
      <c r="G605" s="20" t="n">
        <v>1.800645</v>
      </c>
      <c r="H605" s="7" t="n">
        <v>46296.16666666666</v>
      </c>
      <c r="I605" s="20" t="n">
        <v>1.663453</v>
      </c>
      <c r="J605" s="2" t="inlineStr">
        <is>
          <t>止盈</t>
        </is>
      </c>
      <c r="K605" s="5">
        <f>(H605-D605)*24</f>
        <v/>
      </c>
      <c r="L605" s="4">
        <f>IF(C605="做多",I605/E605-1,1-I605/E605)-2*參數!$B$7</f>
        <v/>
      </c>
      <c r="M605" s="2" t="inlineStr"/>
      <c r="N605" s="4" t="n">
        <v>-0.04621802002224695</v>
      </c>
      <c r="O605" s="4" t="n">
        <v>0.03190784866350879</v>
      </c>
      <c r="P605" s="4" t="n">
        <v>-0.01355506150540853</v>
      </c>
      <c r="Q605" s="22" t="n">
        <v>-295798.0999999999</v>
      </c>
      <c r="R605" s="22" t="n">
        <v>1624506.62814</v>
      </c>
      <c r="S605" s="4" t="n">
        <v>0.03</v>
      </c>
      <c r="T605" s="4" t="n">
        <v>0.02559916030089204</v>
      </c>
      <c r="U605" s="19" t="n">
        <v>6.067586546115861</v>
      </c>
      <c r="V605" s="19" t="n">
        <v>0.7892156862745096</v>
      </c>
      <c r="W605" s="4" t="n">
        <v>-0.05697195317002213</v>
      </c>
      <c r="X605" s="4" t="n">
        <v>-0.01054802592810855</v>
      </c>
      <c r="Y605" s="4" t="n">
        <v>0.01002356678714023</v>
      </c>
      <c r="Z605" s="4" t="n">
        <v>-0.001932933620754529</v>
      </c>
      <c r="AA605" s="4" t="n">
        <v>0.03</v>
      </c>
      <c r="AB605" s="4" t="n">
        <v>0.05</v>
      </c>
      <c r="AC605" s="4">
        <f>(AB605+2*參數!$B$7)/(AA605+AB605)</f>
        <v/>
      </c>
    </row>
    <row r="606">
      <c r="A606" s="2" t="n">
        <v>605</v>
      </c>
      <c r="B606" s="2" t="inlineStr">
        <is>
          <t>PHA_USDT_PERP</t>
        </is>
      </c>
      <c r="C606" s="2" t="inlineStr">
        <is>
          <t>做多</t>
        </is>
      </c>
      <c r="D606" s="7" t="n">
        <v>46296</v>
      </c>
      <c r="E606" s="20" t="n">
        <v>0.07519000000000001</v>
      </c>
      <c r="F606" s="20" t="n">
        <v>0.07744570000000001</v>
      </c>
      <c r="G606" s="20" t="n">
        <v>0.07143050000000001</v>
      </c>
      <c r="H606" s="7" t="n">
        <v>46296.08333333334</v>
      </c>
      <c r="I606" s="20" t="n">
        <v>0.07744570000000001</v>
      </c>
      <c r="J606" s="2" t="inlineStr">
        <is>
          <t>止盈</t>
        </is>
      </c>
      <c r="K606" s="5">
        <f>(H606-D606)*24</f>
        <v/>
      </c>
      <c r="L606" s="4">
        <f>IF(C606="做多",I606/E606-1,1-I606/E606)-2*參數!$B$7</f>
        <v/>
      </c>
      <c r="M606" s="2" t="inlineStr"/>
      <c r="N606" s="4" t="n">
        <v>0.03226249313563989</v>
      </c>
      <c r="O606" s="4" t="n">
        <v>0.04325478371179949</v>
      </c>
      <c r="P606" s="4" t="n">
        <v>0.01414871663452089</v>
      </c>
      <c r="Q606" s="22" t="n">
        <v>1342932</v>
      </c>
      <c r="R606" s="22" t="n">
        <v>2050727.64119</v>
      </c>
      <c r="S606" s="4" t="n">
        <v>0.03</v>
      </c>
      <c r="T606" s="4" t="n">
        <v>0.008910759409496039</v>
      </c>
      <c r="U606" s="19" t="n">
        <v>0.6264437294439223</v>
      </c>
      <c r="V606" s="19" t="n">
        <v>0.9917355371900859</v>
      </c>
      <c r="W606" s="4" t="n">
        <v>0.085911030106266</v>
      </c>
      <c r="X606" s="4" t="n">
        <v>0.1358006042296074</v>
      </c>
      <c r="Y606" s="4" t="n">
        <v>0.004086554245634977</v>
      </c>
      <c r="Z606" s="4" t="n">
        <v>0.005694103967529784</v>
      </c>
      <c r="AA606" s="4" t="n">
        <v>0.03</v>
      </c>
      <c r="AB606" s="4" t="n">
        <v>0.05</v>
      </c>
      <c r="AC606" s="4">
        <f>(AB606+2*參數!$B$7)/(AA606+AB606)</f>
        <v/>
      </c>
    </row>
    <row r="607">
      <c r="A607" s="2" t="n">
        <v>606</v>
      </c>
      <c r="B607" s="2" t="inlineStr">
        <is>
          <t>AKE_USDT_PERP</t>
        </is>
      </c>
      <c r="C607" s="2" t="inlineStr">
        <is>
          <t>做空</t>
        </is>
      </c>
      <c r="D607" s="7" t="n">
        <v>46296.08333333334</v>
      </c>
      <c r="E607" s="20" t="n">
        <v>0.0315705</v>
      </c>
      <c r="F607" s="20" t="n">
        <v>0.030623385</v>
      </c>
      <c r="G607" s="20" t="n">
        <v>0.03314902500000001</v>
      </c>
      <c r="H607" s="7" t="n">
        <v>46296.16666666666</v>
      </c>
      <c r="I607" s="20" t="n">
        <v>0.030623385</v>
      </c>
      <c r="J607" s="2" t="inlineStr">
        <is>
          <t>止盈</t>
        </is>
      </c>
      <c r="K607" s="5">
        <f>(H607-D607)*24</f>
        <v/>
      </c>
      <c r="L607" s="4">
        <f>IF(C607="做多",I607/E607-1,1-I607/E607)-2*參數!$B$7</f>
        <v/>
      </c>
      <c r="M607" s="2" t="inlineStr"/>
      <c r="N607" s="4" t="n">
        <v>-0.03752877155008139</v>
      </c>
      <c r="O607" s="4" t="n">
        <v>0.04475015705481564</v>
      </c>
      <c r="P607" s="4" t="n">
        <v>-0.01964620253223526</v>
      </c>
      <c r="Q607" s="22" t="n">
        <v>-1847553</v>
      </c>
      <c r="R607" s="22" t="n">
        <v>2713585.3607079</v>
      </c>
      <c r="S607" s="4" t="n">
        <v>0.03</v>
      </c>
      <c r="T607" s="4" t="n">
        <v>0.009774948131958672</v>
      </c>
      <c r="U607" s="19" t="n">
        <v>1.061978298035052</v>
      </c>
      <c r="V607" s="19" t="n">
        <v>0.6729953330504872</v>
      </c>
      <c r="W607" s="4" t="n">
        <v>0.01104300074811182</v>
      </c>
      <c r="X607" s="4" t="n">
        <v>-0.04335971710428477</v>
      </c>
      <c r="Y607" s="4" t="n">
        <v>0.003714500546738386</v>
      </c>
      <c r="Z607" s="4" t="n">
        <v>-0.003737025081417267</v>
      </c>
      <c r="AA607" s="4" t="n">
        <v>0.03</v>
      </c>
      <c r="AB607" s="4" t="n">
        <v>0.05</v>
      </c>
      <c r="AC607" s="4">
        <f>(AB607+2*參數!$B$7)/(AA607+AB607)</f>
        <v/>
      </c>
    </row>
    <row r="608">
      <c r="A608" s="2" t="n">
        <v>607</v>
      </c>
      <c r="B608" s="2" t="inlineStr">
        <is>
          <t>MARSCOIN_USDT_PERP</t>
        </is>
      </c>
      <c r="C608" s="2" t="inlineStr">
        <is>
          <t>做空</t>
        </is>
      </c>
      <c r="D608" s="7" t="n">
        <v>46296.125</v>
      </c>
      <c r="E608" s="20" t="n">
        <v>0.13691</v>
      </c>
      <c r="F608" s="20" t="n">
        <v>0.1328027</v>
      </c>
      <c r="G608" s="20" t="n">
        <v>0.1437555</v>
      </c>
      <c r="H608" s="7" t="n">
        <v>46296.54166666666</v>
      </c>
      <c r="I608" s="20" t="n">
        <v>0.1437555</v>
      </c>
      <c r="J608" s="2" t="inlineStr">
        <is>
          <t>止損</t>
        </is>
      </c>
      <c r="K608" s="5">
        <f>(H608-D608)*24</f>
        <v/>
      </c>
      <c r="L608" s="4">
        <f>IF(C608="做多",I608/E608-1,1-I608/E608)-2*參數!$B$7</f>
        <v/>
      </c>
      <c r="M608" s="2" t="inlineStr"/>
      <c r="N608" s="4" t="n">
        <v>-0.0294889062167718</v>
      </c>
      <c r="O608" s="4" t="n">
        <v>0.04063057762195713</v>
      </c>
      <c r="P608" s="4" t="n">
        <v>-0.0406754720947341</v>
      </c>
      <c r="Q608" s="22" t="n">
        <v>-1351877</v>
      </c>
      <c r="R608" s="22" t="n">
        <v>1784314.92957</v>
      </c>
      <c r="S608" s="4" t="n">
        <v>0.02351910013877734</v>
      </c>
      <c r="T608" s="4" t="n">
        <v>0.05</v>
      </c>
      <c r="U608" s="19" t="n">
        <v>0.3592850534517553</v>
      </c>
      <c r="V608" s="19" t="n">
        <v>0.8475609756097562</v>
      </c>
      <c r="W608" s="4" t="n">
        <v>0.02966292994876518</v>
      </c>
      <c r="X608" s="4" t="n">
        <v>0.03733652088313888</v>
      </c>
      <c r="Y608" s="4" t="n">
        <v>0.001082078447711354</v>
      </c>
      <c r="Z608" s="4" t="n">
        <v>-0.002447819501788517</v>
      </c>
      <c r="AA608" s="4" t="n">
        <v>0.03</v>
      </c>
      <c r="AB608" s="4" t="n">
        <v>0.05</v>
      </c>
      <c r="AC608" s="4">
        <f>(AB608+2*參數!$B$7)/(AA608+AB608)</f>
        <v/>
      </c>
    </row>
    <row r="609">
      <c r="A609" s="2" t="n">
        <v>608</v>
      </c>
      <c r="B609" s="2" t="inlineStr">
        <is>
          <t>LIT_USDT_PERP</t>
        </is>
      </c>
      <c r="C609" s="2" t="inlineStr">
        <is>
          <t>做多</t>
        </is>
      </c>
      <c r="D609" s="7" t="n">
        <v>46296.25</v>
      </c>
      <c r="E609" s="20" t="n">
        <v>4.002</v>
      </c>
      <c r="F609" s="20" t="n">
        <v>4.12206</v>
      </c>
      <c r="G609" s="20" t="n">
        <v>3.801899999999999</v>
      </c>
      <c r="H609" s="7" t="n">
        <v>46297.25</v>
      </c>
      <c r="I609" s="20" t="n">
        <v>3.801899999999999</v>
      </c>
      <c r="J609" s="2" t="inlineStr">
        <is>
          <t>止損</t>
        </is>
      </c>
      <c r="K609" s="5">
        <f>(H609-D609)*24</f>
        <v/>
      </c>
      <c r="L609" s="4">
        <f>IF(C609="做多",I609/E609-1,1-I609/E609)-2*參數!$B$7</f>
        <v/>
      </c>
      <c r="M609" s="2" t="inlineStr"/>
      <c r="N609" s="4" t="n">
        <v>0.04736979848207268</v>
      </c>
      <c r="O609" s="4" t="n">
        <v>0.03287156870971417</v>
      </c>
      <c r="P609" s="4" t="n">
        <v>0.03316079565256658</v>
      </c>
      <c r="Q609" s="22" t="n">
        <v>227027.4</v>
      </c>
      <c r="R609" s="22" t="n">
        <v>8089292.425100001</v>
      </c>
      <c r="S609" s="4" t="n">
        <v>0.02748625687156436</v>
      </c>
      <c r="T609" s="4" t="n">
        <v>0.05</v>
      </c>
      <c r="U609" s="19" t="n">
        <v>1.243888407122965</v>
      </c>
      <c r="V609" s="19" t="n">
        <v>0.6954887218045098</v>
      </c>
      <c r="W609" s="4" t="n">
        <v>-0.0883245400617807</v>
      </c>
      <c r="X609" s="4" t="n">
        <v>-0.1052984574111335</v>
      </c>
      <c r="Y609" s="4" t="n">
        <v>0.001011533393754371</v>
      </c>
      <c r="Z609" s="4" t="n">
        <v>-0.0001543598291831039</v>
      </c>
      <c r="AA609" s="4" t="n">
        <v>0.03</v>
      </c>
      <c r="AB609" s="4" t="n">
        <v>0.05</v>
      </c>
      <c r="AC609" s="4">
        <f>(AB609+2*參數!$B$7)/(AA609+AB609)</f>
        <v/>
      </c>
    </row>
    <row r="610">
      <c r="A610" s="2" t="n">
        <v>609</v>
      </c>
      <c r="B610" s="2" t="inlineStr">
        <is>
          <t>ENA_USDT_PERP</t>
        </is>
      </c>
      <c r="C610" s="2" t="inlineStr">
        <is>
          <t>做多</t>
        </is>
      </c>
      <c r="D610" s="7" t="n">
        <v>46296.29166666666</v>
      </c>
      <c r="E610" s="20" t="n">
        <v>0.2673</v>
      </c>
      <c r="F610" s="20" t="n">
        <v>0.275319</v>
      </c>
      <c r="G610" s="20" t="n">
        <v>0.253935</v>
      </c>
      <c r="H610" s="7" t="n">
        <v>46296.54166666666</v>
      </c>
      <c r="I610" s="20" t="n">
        <v>0.275319</v>
      </c>
      <c r="J610" s="2" t="inlineStr">
        <is>
          <t>止盈</t>
        </is>
      </c>
      <c r="K610" s="5">
        <f>(H610-D610)*24</f>
        <v/>
      </c>
      <c r="L610" s="4">
        <f>IF(C610="做多",I610/E610-1,1-I610/E610)-2*參數!$B$7</f>
        <v/>
      </c>
      <c r="M610" s="2" t="inlineStr"/>
      <c r="N610" s="4" t="n">
        <v>0.033243138770777</v>
      </c>
      <c r="O610" s="4" t="n">
        <v>0.02664856068734225</v>
      </c>
      <c r="P610" s="4" t="n">
        <v>0.03091193088686195</v>
      </c>
      <c r="Q610" s="22" t="n">
        <v>6457314</v>
      </c>
      <c r="R610" s="22" t="n">
        <v>8692616.575399999</v>
      </c>
      <c r="S610" s="4" t="n">
        <v>0.03</v>
      </c>
      <c r="T610" s="4" t="n">
        <v>0.02020202020202011</v>
      </c>
      <c r="U610" s="19" t="n">
        <v>0.5501166712426034</v>
      </c>
      <c r="V610" s="19" t="n">
        <v>0.8846153846153816</v>
      </c>
      <c r="W610" s="4" t="n">
        <v>0.01960245803151506</v>
      </c>
      <c r="X610" s="4" t="n">
        <v>0.0632458233890214</v>
      </c>
      <c r="Y610" s="4" t="n">
        <v>-0.0008600095556616782</v>
      </c>
      <c r="Z610" s="4" t="n">
        <v>-0.001197099569417936</v>
      </c>
      <c r="AA610" s="4" t="n">
        <v>0.03</v>
      </c>
      <c r="AB610" s="4" t="n">
        <v>0.05</v>
      </c>
      <c r="AC610" s="4">
        <f>(AB610+2*參數!$B$7)/(AA610+AB610)</f>
        <v/>
      </c>
    </row>
    <row r="611">
      <c r="A611" s="2" t="n">
        <v>610</v>
      </c>
      <c r="B611" s="2" t="inlineStr">
        <is>
          <t>QNT_USDT_PERP</t>
        </is>
      </c>
      <c r="C611" s="2" t="inlineStr">
        <is>
          <t>做多</t>
        </is>
      </c>
      <c r="D611" s="7" t="n">
        <v>46296.375</v>
      </c>
      <c r="E611" s="20" t="n">
        <v>293.05</v>
      </c>
      <c r="F611" s="20" t="n">
        <v>301.8415</v>
      </c>
      <c r="G611" s="20" t="n">
        <v>278.3975</v>
      </c>
      <c r="H611" s="7" t="n">
        <v>46296.5</v>
      </c>
      <c r="I611" s="20" t="n">
        <v>301.8415</v>
      </c>
      <c r="J611" s="2" t="inlineStr">
        <is>
          <t>止盈</t>
        </is>
      </c>
      <c r="K611" s="5">
        <f>(H611-D611)*24</f>
        <v/>
      </c>
      <c r="L611" s="4">
        <f>IF(C611="做多",I611/E611-1,1-I611/E611)-2*參數!$B$7</f>
        <v/>
      </c>
      <c r="M611" s="2" t="inlineStr"/>
      <c r="N611" s="4" t="n">
        <v>0.02157847033396076</v>
      </c>
      <c r="O611" s="4" t="n">
        <v>0.04820280603049324</v>
      </c>
      <c r="P611" s="4" t="n">
        <v>0.001168399907074624</v>
      </c>
      <c r="Q611" s="22" t="n">
        <v>16260.10000000002</v>
      </c>
      <c r="R611" s="22" t="n">
        <v>38135637.675</v>
      </c>
      <c r="S611" s="4" t="n">
        <v>0.03</v>
      </c>
      <c r="T611" s="4" t="n">
        <v>0.013717795598021</v>
      </c>
      <c r="U611" s="19" t="n">
        <v>0.6294021237891406</v>
      </c>
      <c r="V611" s="19" t="n">
        <v>0.812977099236644</v>
      </c>
      <c r="W611" s="4" t="n">
        <v>0.2139506772730455</v>
      </c>
      <c r="X611" s="4" t="n">
        <v>0.08040849432237129</v>
      </c>
      <c r="Y611" s="4" t="n">
        <v>-0.001398711845019274</v>
      </c>
      <c r="Z611" s="4" t="n">
        <v>-0.003797053908234482</v>
      </c>
      <c r="AA611" s="4" t="n">
        <v>0.03</v>
      </c>
      <c r="AB611" s="4" t="n">
        <v>0.05</v>
      </c>
      <c r="AC611" s="4">
        <f>(AB611+2*參數!$B$7)/(AA611+AB611)</f>
        <v/>
      </c>
    </row>
    <row r="612">
      <c r="A612" s="2" t="n">
        <v>611</v>
      </c>
      <c r="B612" s="2" t="inlineStr">
        <is>
          <t>GRASS_USDT_PERP</t>
        </is>
      </c>
      <c r="C612" s="2" t="inlineStr">
        <is>
          <t>做多</t>
        </is>
      </c>
      <c r="D612" s="7" t="n">
        <v>46296.5</v>
      </c>
      <c r="E612" s="20" t="n">
        <v>0.7151999999999999</v>
      </c>
      <c r="F612" s="20" t="n">
        <v>0.736656</v>
      </c>
      <c r="G612" s="20" t="n">
        <v>0.6794399999999999</v>
      </c>
      <c r="H612" s="7" t="n">
        <v>46296.75</v>
      </c>
      <c r="I612" s="20" t="n">
        <v>0.6794399999999999</v>
      </c>
      <c r="J612" s="2" t="inlineStr">
        <is>
          <t>止損</t>
        </is>
      </c>
      <c r="K612" s="5">
        <f>(H612-D612)*24</f>
        <v/>
      </c>
      <c r="L612" s="4">
        <f>IF(C612="做多",I612/E612-1,1-I612/E612)-2*參數!$B$7</f>
        <v/>
      </c>
      <c r="M612" s="2" t="inlineStr"/>
      <c r="N612" s="4" t="n">
        <v>0.03547126103952514</v>
      </c>
      <c r="O612" s="4" t="n">
        <v>0.03083937424143357</v>
      </c>
      <c r="P612" s="4" t="n">
        <v>0.004184100418409775</v>
      </c>
      <c r="Q612" s="22" t="n">
        <v>184896</v>
      </c>
      <c r="R612" s="22" t="n">
        <v>1662701.7606</v>
      </c>
      <c r="S612" s="4" t="n">
        <v>0.01691834451901575</v>
      </c>
      <c r="T612" s="4" t="n">
        <v>0.05</v>
      </c>
      <c r="U612" s="19" t="n">
        <v>0.5759402686391357</v>
      </c>
      <c r="V612" s="19" t="n">
        <v>0.919413919413916</v>
      </c>
      <c r="W612" s="4" t="n">
        <v>0.0895396877627872</v>
      </c>
      <c r="X612" s="4" t="n">
        <v>-0.01378929950358521</v>
      </c>
      <c r="Y612" s="4" t="n">
        <v>0.003254741004823369</v>
      </c>
      <c r="Z612" s="4" t="n">
        <v>-0.001317614056283611</v>
      </c>
      <c r="AA612" s="4" t="n">
        <v>0.03</v>
      </c>
      <c r="AB612" s="4" t="n">
        <v>0.05</v>
      </c>
      <c r="AC612" s="4">
        <f>(AB612+2*參數!$B$7)/(AA612+AB612)</f>
        <v/>
      </c>
    </row>
    <row r="613">
      <c r="A613" s="2" t="n">
        <v>612</v>
      </c>
      <c r="B613" s="2" t="inlineStr">
        <is>
          <t>QNT_USDT_PERP</t>
        </is>
      </c>
      <c r="C613" s="2" t="inlineStr">
        <is>
          <t>做多</t>
        </is>
      </c>
      <c r="D613" s="7" t="n">
        <v>46296.625</v>
      </c>
      <c r="E613" s="20" t="n">
        <v>295.9</v>
      </c>
      <c r="F613" s="20" t="n">
        <v>304.777</v>
      </c>
      <c r="G613" s="20" t="n">
        <v>281.105</v>
      </c>
      <c r="H613" s="7" t="n">
        <v>46296.70833333334</v>
      </c>
      <c r="I613" s="20" t="n">
        <v>304.777</v>
      </c>
      <c r="J613" s="2" t="inlineStr">
        <is>
          <t>止盈</t>
        </is>
      </c>
      <c r="K613" s="5">
        <f>(H613-D613)*24</f>
        <v/>
      </c>
      <c r="L613" s="4">
        <f>IF(C613="做多",I613/E613-1,1-I613/E613)-2*參數!$B$7</f>
        <v/>
      </c>
      <c r="M613" s="2" t="inlineStr"/>
      <c r="N613" s="4" t="n">
        <v>0.02511692360990825</v>
      </c>
      <c r="O613" s="4" t="n">
        <v>0.04408760138668844</v>
      </c>
      <c r="P613" s="4" t="n">
        <v>0.003595170261836866</v>
      </c>
      <c r="Q613" s="22" t="n">
        <v>3146.900000000023</v>
      </c>
      <c r="R613" s="22" t="n">
        <v>33065153.294</v>
      </c>
      <c r="S613" s="4" t="n">
        <v>0.03</v>
      </c>
      <c r="T613" s="4" t="n">
        <v>0.01784386617100364</v>
      </c>
      <c r="U613" s="19" t="n">
        <v>0.7273659376127977</v>
      </c>
      <c r="V613" s="19" t="n">
        <v>0.9544383346425734</v>
      </c>
      <c r="W613" s="4" t="n">
        <v>0.1849869086779166</v>
      </c>
      <c r="X613" s="4" t="n">
        <v>0.03689946385394394</v>
      </c>
      <c r="Y613" s="4" t="n">
        <v>-0.002108950995669323</v>
      </c>
      <c r="Z613" s="4" t="n">
        <v>0.001865580276251722</v>
      </c>
      <c r="AA613" s="4" t="n">
        <v>0.03</v>
      </c>
      <c r="AB613" s="4" t="n">
        <v>0.05</v>
      </c>
      <c r="AC613" s="4">
        <f>(AB613+2*參數!$B$7)/(AA613+AB613)</f>
        <v/>
      </c>
    </row>
    <row r="614">
      <c r="A614" s="2" t="n">
        <v>613</v>
      </c>
      <c r="B614" s="2" t="inlineStr">
        <is>
          <t>PENGU_USDT_PERP</t>
        </is>
      </c>
      <c r="C614" s="2" t="inlineStr">
        <is>
          <t>做空</t>
        </is>
      </c>
      <c r="D614" s="7" t="n">
        <v>46296.66666666666</v>
      </c>
      <c r="E614" s="20" t="n">
        <v>0.009639</v>
      </c>
      <c r="F614" s="20" t="n">
        <v>0.00934983</v>
      </c>
      <c r="G614" s="20" t="n">
        <v>0.01012095</v>
      </c>
      <c r="H614" s="7" t="n">
        <v>46296.95833333334</v>
      </c>
      <c r="I614" s="20" t="n">
        <v>0.00934983</v>
      </c>
      <c r="J614" s="2" t="inlineStr">
        <is>
          <t>止盈</t>
        </is>
      </c>
      <c r="K614" s="5">
        <f>(H614-D614)*24</f>
        <v/>
      </c>
      <c r="L614" s="4">
        <f>IF(C614="做多",I614/E614-1,1-I614/E614)-2*參數!$B$7</f>
        <v/>
      </c>
      <c r="M614" s="2" t="inlineStr"/>
      <c r="N614" s="4" t="n">
        <v>-0.02161997563946405</v>
      </c>
      <c r="O614" s="4" t="n">
        <v>0.02050352338629812</v>
      </c>
      <c r="P614" s="4" t="n">
        <v>-0.0178016446396364</v>
      </c>
      <c r="Q614" s="22" t="n">
        <v>-31659152</v>
      </c>
      <c r="R614" s="22" t="n">
        <v>1320444.247704</v>
      </c>
      <c r="S614" s="4" t="n">
        <v>0.03</v>
      </c>
      <c r="T614" s="4" t="n">
        <v>0.01442058304803395</v>
      </c>
      <c r="U614" s="19" t="n">
        <v>1.04965760807159</v>
      </c>
      <c r="V614" s="19" t="n">
        <v>0.8407407407407417</v>
      </c>
      <c r="W614" s="4" t="n">
        <v>0.01772357259612845</v>
      </c>
      <c r="X614" s="4" t="n">
        <v>0.02389873417721522</v>
      </c>
      <c r="Y614" s="4" t="n">
        <v>0.008332322417824334</v>
      </c>
      <c r="Z614" s="4" t="n">
        <v>0.006185358368606564</v>
      </c>
      <c r="AA614" s="4" t="n">
        <v>0.03</v>
      </c>
      <c r="AB614" s="4" t="n">
        <v>0.05</v>
      </c>
      <c r="AC614" s="4">
        <f>(AB614+2*參數!$B$7)/(AA614+AB614)</f>
        <v/>
      </c>
    </row>
    <row r="615">
      <c r="A615" s="2" t="n">
        <v>614</v>
      </c>
      <c r="B615" s="2" t="inlineStr">
        <is>
          <t>TRUMP_USDT_PERP</t>
        </is>
      </c>
      <c r="C615" s="2" t="inlineStr">
        <is>
          <t>做空</t>
        </is>
      </c>
      <c r="D615" s="7" t="n">
        <v>46296.66666666666</v>
      </c>
      <c r="E615" s="20" t="n">
        <v>2.048</v>
      </c>
      <c r="F615" s="20" t="n">
        <v>1.98656</v>
      </c>
      <c r="G615" s="20" t="n">
        <v>2.1504</v>
      </c>
      <c r="H615" s="7" t="n">
        <v>46297.83333333334</v>
      </c>
      <c r="I615" s="20" t="n">
        <v>2.1504</v>
      </c>
      <c r="J615" s="2" t="inlineStr">
        <is>
          <t>止損</t>
        </is>
      </c>
      <c r="K615" s="5">
        <f>(H615-D615)*24</f>
        <v/>
      </c>
      <c r="L615" s="4">
        <f>IF(C615="做多",I615/E615-1,1-I615/E615)-2*參數!$B$7</f>
        <v/>
      </c>
      <c r="M615" s="2" t="inlineStr"/>
      <c r="N615" s="4" t="n">
        <v>-0.04254324450677871</v>
      </c>
      <c r="O615" s="4" t="n">
        <v>0.02403038778066662</v>
      </c>
      <c r="P615" s="4" t="n">
        <v>-0.0184989935780695</v>
      </c>
      <c r="Q615" s="22" t="n">
        <v>-242850.9000000004</v>
      </c>
      <c r="R615" s="22" t="n">
        <v>1228935.616</v>
      </c>
      <c r="S615" s="4" t="n">
        <v>0.013671875</v>
      </c>
      <c r="T615" s="4" t="n">
        <v>0.05</v>
      </c>
      <c r="U615" s="19" t="n">
        <v>6.1409279877125</v>
      </c>
      <c r="V615" s="19" t="n">
        <v>0.8225806451612885</v>
      </c>
      <c r="W615" s="4" t="n">
        <v>0.004331740328940126</v>
      </c>
      <c r="X615" s="4" t="n">
        <v>-0.004413928396272526</v>
      </c>
      <c r="Y615" s="4" t="n">
        <v>0.008332322417824334</v>
      </c>
      <c r="Z615" s="4" t="n">
        <v>0.006185358368606564</v>
      </c>
      <c r="AA615" s="4" t="n">
        <v>0.03</v>
      </c>
      <c r="AB615" s="4" t="n">
        <v>0.05</v>
      </c>
      <c r="AC615" s="4">
        <f>(AB615+2*參數!$B$7)/(AA615+AB615)</f>
        <v/>
      </c>
    </row>
    <row r="616">
      <c r="A616" s="2" t="n">
        <v>615</v>
      </c>
      <c r="B616" s="2" t="inlineStr">
        <is>
          <t>USELESS_USDT_PERP</t>
        </is>
      </c>
      <c r="C616" s="2" t="inlineStr">
        <is>
          <t>做空</t>
        </is>
      </c>
      <c r="D616" s="7" t="n">
        <v>46296.66666666666</v>
      </c>
      <c r="E616" s="20" t="n">
        <v>0.23537</v>
      </c>
      <c r="F616" s="20" t="n">
        <v>0.2283089</v>
      </c>
      <c r="G616" s="20" t="n">
        <v>0.2471385</v>
      </c>
      <c r="H616" s="7" t="n">
        <v>46296.70833333334</v>
      </c>
      <c r="I616" s="20" t="n">
        <v>0.2283089</v>
      </c>
      <c r="J616" s="2" t="inlineStr">
        <is>
          <t>止盈</t>
        </is>
      </c>
      <c r="K616" s="5">
        <f>(H616-D616)*24</f>
        <v/>
      </c>
      <c r="L616" s="4">
        <f>IF(C616="做多",I616/E616-1,1-I616/E616)-2*參數!$B$7</f>
        <v/>
      </c>
      <c r="M616" s="2" t="inlineStr"/>
      <c r="N616" s="4" t="n">
        <v>-0.0371446103497648</v>
      </c>
      <c r="O616" s="4" t="n">
        <v>0.02953282516135427</v>
      </c>
      <c r="P616" s="4" t="n">
        <v>-0.02719570159123774</v>
      </c>
      <c r="Q616" s="22" t="n">
        <v>-1305590</v>
      </c>
      <c r="R616" s="22" t="n">
        <v>2238830.43097</v>
      </c>
      <c r="S616" s="4" t="n">
        <v>0.03</v>
      </c>
      <c r="T616" s="4" t="n">
        <v>0</v>
      </c>
      <c r="U616" s="19" t="n">
        <v>1.677514771788916</v>
      </c>
      <c r="V616" s="19" t="n">
        <v>0.936477382098172</v>
      </c>
      <c r="W616" s="4" t="n">
        <v>0.06716292209421271</v>
      </c>
      <c r="X616" s="4" t="n">
        <v>0.01084261399453668</v>
      </c>
      <c r="Y616" s="4" t="n">
        <v>0.008332322417824334</v>
      </c>
      <c r="Z616" s="4" t="n">
        <v>0.006185358368606564</v>
      </c>
      <c r="AA616" s="4" t="n">
        <v>0.03</v>
      </c>
      <c r="AB616" s="4" t="n">
        <v>0.05</v>
      </c>
      <c r="AC616" s="4">
        <f>(AB616+2*參數!$B$7)/(AA616+AB616)</f>
        <v/>
      </c>
    </row>
    <row r="617">
      <c r="A617" s="2" t="n">
        <v>616</v>
      </c>
      <c r="B617" s="2" t="inlineStr">
        <is>
          <t>ZRO_USDT_PERP</t>
        </is>
      </c>
      <c r="C617" s="2" t="inlineStr">
        <is>
          <t>做空</t>
        </is>
      </c>
      <c r="D617" s="7" t="n">
        <v>46296.66666666666</v>
      </c>
      <c r="E617" s="20" t="n">
        <v>1.6874</v>
      </c>
      <c r="F617" s="20" t="n">
        <v>1.636778</v>
      </c>
      <c r="G617" s="20" t="n">
        <v>1.77177</v>
      </c>
      <c r="H617" s="7" t="n">
        <v>46296.75</v>
      </c>
      <c r="I617" s="20" t="n">
        <v>1.636778</v>
      </c>
      <c r="J617" s="2" t="inlineStr">
        <is>
          <t>止盈</t>
        </is>
      </c>
      <c r="K617" s="5">
        <f>(H617-D617)*24</f>
        <v/>
      </c>
      <c r="L617" s="4">
        <f>IF(C617="做多",I617/E617-1,1-I617/E617)-2*參數!$B$7</f>
        <v/>
      </c>
      <c r="M617" s="2" t="inlineStr"/>
      <c r="N617" s="4" t="n">
        <v>-0.0219671941111691</v>
      </c>
      <c r="O617" s="4" t="n">
        <v>0.02701523057419197</v>
      </c>
      <c r="P617" s="4" t="n">
        <v>-0.01774565817851581</v>
      </c>
      <c r="Q617" s="22" t="n">
        <v>-62364.30000000016</v>
      </c>
      <c r="R617" s="22" t="n">
        <v>1236074.44238</v>
      </c>
      <c r="S617" s="4" t="n">
        <v>0.03</v>
      </c>
      <c r="T617" s="4" t="n">
        <v>0.006044802654972203</v>
      </c>
      <c r="U617" s="19" t="n">
        <v>0.6674984871732903</v>
      </c>
      <c r="V617" s="19" t="n">
        <v>0.5929878048780488</v>
      </c>
      <c r="W617" s="4" t="n">
        <v>-0.02868791995815512</v>
      </c>
      <c r="X617" s="4" t="n">
        <v>0.0582654314097556</v>
      </c>
      <c r="Y617" s="4" t="n">
        <v>0.008332322417824334</v>
      </c>
      <c r="Z617" s="4" t="n">
        <v>0.006185358368606564</v>
      </c>
      <c r="AA617" s="4" t="n">
        <v>0.03</v>
      </c>
      <c r="AB617" s="4" t="n">
        <v>0.05</v>
      </c>
      <c r="AC617" s="4">
        <f>(AB617+2*參數!$B$7)/(AA617+AB617)</f>
        <v/>
      </c>
    </row>
    <row r="618">
      <c r="A618" s="2" t="n">
        <v>617</v>
      </c>
      <c r="B618" s="2" t="inlineStr">
        <is>
          <t>PUMP_USDT_PERP</t>
        </is>
      </c>
      <c r="C618" s="2" t="inlineStr">
        <is>
          <t>做空</t>
        </is>
      </c>
      <c r="D618" s="7" t="n">
        <v>46296.70833333334</v>
      </c>
      <c r="E618" s="20" t="n">
        <v>0.005504</v>
      </c>
      <c r="F618" s="20" t="n">
        <v>0.00533888</v>
      </c>
      <c r="G618" s="20" t="n">
        <v>0.005779200000000001</v>
      </c>
      <c r="H618" s="7" t="n">
        <v>46297.08333333334</v>
      </c>
      <c r="I618" s="20" t="n">
        <v>0.005779200000000001</v>
      </c>
      <c r="J618" s="2" t="inlineStr">
        <is>
          <t>止損</t>
        </is>
      </c>
      <c r="K618" s="5">
        <f>(H618-D618)*24</f>
        <v/>
      </c>
      <c r="L618" s="4">
        <f>IF(C618="做多",I618/E618-1,1-I618/E618)-2*參數!$B$7</f>
        <v/>
      </c>
      <c r="M618" s="2" t="inlineStr"/>
      <c r="N618" s="4" t="n">
        <v>-0.02029191883232462</v>
      </c>
      <c r="O618" s="4" t="n">
        <v>0.02806889175827834</v>
      </c>
      <c r="P618" s="4" t="n">
        <v>-0.04864790120042517</v>
      </c>
      <c r="Q618" s="22" t="n">
        <v>-180207104</v>
      </c>
      <c r="R618" s="22" t="n">
        <v>10618427.763089</v>
      </c>
      <c r="S618" s="4" t="n">
        <v>0.02125726744186041</v>
      </c>
      <c r="T618" s="4" t="n">
        <v>0.05</v>
      </c>
      <c r="U618" s="19" t="n">
        <v>1.134272917785697</v>
      </c>
      <c r="V618" s="19" t="n">
        <v>0.9415204678362546</v>
      </c>
      <c r="W618" s="4" t="n">
        <v>-0.0357273237061877</v>
      </c>
      <c r="X618" s="4" t="n">
        <v>0.0475860875584011</v>
      </c>
      <c r="Y618" s="4" t="n">
        <v>-0.0017210031949495</v>
      </c>
      <c r="Z618" s="4" t="n">
        <v>0.003444777961438827</v>
      </c>
      <c r="AA618" s="4" t="n">
        <v>0.03</v>
      </c>
      <c r="AB618" s="4" t="n">
        <v>0.05</v>
      </c>
      <c r="AC618" s="4">
        <f>(AB618+2*參數!$B$7)/(AA618+AB618)</f>
        <v/>
      </c>
    </row>
    <row r="619">
      <c r="A619" s="2" t="n">
        <v>618</v>
      </c>
      <c r="B619" s="2" t="inlineStr">
        <is>
          <t>QNT_USDT_PERP</t>
        </is>
      </c>
      <c r="C619" s="2" t="inlineStr">
        <is>
          <t>做空</t>
        </is>
      </c>
      <c r="D619" s="7" t="n">
        <v>46296.79166666666</v>
      </c>
      <c r="E619" s="20" t="n">
        <v>280.07</v>
      </c>
      <c r="F619" s="20" t="n">
        <v>271.6679</v>
      </c>
      <c r="G619" s="20" t="n">
        <v>294.0735</v>
      </c>
      <c r="H619" s="7" t="n">
        <v>46296.83333333334</v>
      </c>
      <c r="I619" s="20" t="n">
        <v>271.6679</v>
      </c>
      <c r="J619" s="2" t="inlineStr">
        <is>
          <t>止盈</t>
        </is>
      </c>
      <c r="K619" s="5">
        <f>(H619-D619)*24</f>
        <v/>
      </c>
      <c r="L619" s="4">
        <f>IF(C619="做多",I619/E619-1,1-I619/E619)-2*參數!$B$7</f>
        <v/>
      </c>
      <c r="M619" s="2" t="inlineStr"/>
      <c r="N619" s="4" t="n">
        <v>-0.02797348419116374</v>
      </c>
      <c r="O619" s="4" t="n">
        <v>0.04426659132489046</v>
      </c>
      <c r="P619" s="4" t="n">
        <v>-0.04283114464162141</v>
      </c>
      <c r="Q619" s="22" t="n">
        <v>-7734.300000000017</v>
      </c>
      <c r="R619" s="22" t="n">
        <v>32409389.735</v>
      </c>
      <c r="S619" s="4" t="n">
        <v>0.03</v>
      </c>
      <c r="T619" s="4" t="n">
        <v>0</v>
      </c>
      <c r="U619" s="19" t="n">
        <v>1.135062622714911</v>
      </c>
      <c r="V619" s="19" t="n">
        <v>0.927007299270074</v>
      </c>
      <c r="W619" s="4" t="n">
        <v>-0.101418862825432</v>
      </c>
      <c r="X619" s="4" t="n">
        <v>0.05378560086489415</v>
      </c>
      <c r="Y619" s="4" t="n">
        <v>-0.002209068644718482</v>
      </c>
      <c r="Z619" s="4" t="n">
        <v>-0.001810895655993017</v>
      </c>
      <c r="AA619" s="4" t="n">
        <v>0.03</v>
      </c>
      <c r="AB619" s="4" t="n">
        <v>0.05</v>
      </c>
      <c r="AC619" s="4">
        <f>(AB619+2*參數!$B$7)/(AA619+AB619)</f>
        <v/>
      </c>
    </row>
    <row r="620">
      <c r="A620" s="2" t="n">
        <v>619</v>
      </c>
      <c r="B620" s="2" t="inlineStr">
        <is>
          <t>ENA_USDT_PERP</t>
        </is>
      </c>
      <c r="C620" s="2" t="inlineStr">
        <is>
          <t>做空</t>
        </is>
      </c>
      <c r="D620" s="7" t="n">
        <v>46296.95833333334</v>
      </c>
      <c r="E620" s="20" t="n">
        <v>0.2507</v>
      </c>
      <c r="F620" s="20" t="n">
        <v>0.243179</v>
      </c>
      <c r="G620" s="20" t="n">
        <v>0.263235</v>
      </c>
      <c r="H620" s="7" t="n">
        <v>46297.25</v>
      </c>
      <c r="I620" s="20" t="n">
        <v>0.243179</v>
      </c>
      <c r="J620" s="2" t="inlineStr">
        <is>
          <t>止盈</t>
        </is>
      </c>
      <c r="K620" s="5">
        <f>(H620-D620)*24</f>
        <v/>
      </c>
      <c r="L620" s="4">
        <f>IF(C620="做多",I620/E620-1,1-I620/E620)-2*參數!$B$7</f>
        <v/>
      </c>
      <c r="M620" s="2" t="inlineStr"/>
      <c r="N620" s="4" t="n">
        <v>-0.03241991509069864</v>
      </c>
      <c r="O620" s="4" t="n">
        <v>0.02486364784281831</v>
      </c>
      <c r="P620" s="4" t="n">
        <v>-0.04937054451691203</v>
      </c>
      <c r="Q620" s="22" t="n">
        <v>-12281195</v>
      </c>
      <c r="R620" s="22" t="n">
        <v>9186359.7991</v>
      </c>
      <c r="S620" s="4" t="n">
        <v>0.03</v>
      </c>
      <c r="T620" s="4" t="n">
        <v>0.007179896290387067</v>
      </c>
      <c r="U620" s="19" t="n">
        <v>1.531604081042404</v>
      </c>
      <c r="V620" s="19" t="n">
        <v>1</v>
      </c>
      <c r="W620" s="4" t="n">
        <v>0.04023949986792286</v>
      </c>
      <c r="X620" s="4" t="n">
        <v>0.05037878787878802</v>
      </c>
      <c r="Y620" s="4" t="n">
        <v>-0.001201269913909009</v>
      </c>
      <c r="Z620" s="4" t="n">
        <v>-0.003280617273379471</v>
      </c>
      <c r="AA620" s="4" t="n">
        <v>0.03</v>
      </c>
      <c r="AB620" s="4" t="n">
        <v>0.05</v>
      </c>
      <c r="AC620" s="4">
        <f>(AB620+2*參數!$B$7)/(AA620+AB620)</f>
        <v/>
      </c>
    </row>
    <row r="621">
      <c r="A621" s="2" t="n">
        <v>620</v>
      </c>
      <c r="B621" s="2" t="inlineStr">
        <is>
          <t>USELESS_USDT_PERP</t>
        </is>
      </c>
      <c r="C621" s="2" t="inlineStr">
        <is>
          <t>做空</t>
        </is>
      </c>
      <c r="D621" s="7" t="n">
        <v>46296.95833333334</v>
      </c>
      <c r="E621" s="20" t="n">
        <v>0.22404</v>
      </c>
      <c r="F621" s="20" t="n">
        <v>0.2173188</v>
      </c>
      <c r="G621" s="20" t="n">
        <v>0.235242</v>
      </c>
      <c r="H621" s="7" t="n">
        <v>46297.08333333334</v>
      </c>
      <c r="I621" s="20" t="n">
        <v>0.235242</v>
      </c>
      <c r="J621" s="2" t="inlineStr">
        <is>
          <t>止損</t>
        </is>
      </c>
      <c r="K621" s="5">
        <f>(H621-D621)*24</f>
        <v/>
      </c>
      <c r="L621" s="4">
        <f>IF(C621="做多",I621/E621-1,1-I621/E621)-2*參數!$B$7</f>
        <v/>
      </c>
      <c r="M621" s="2" t="inlineStr"/>
      <c r="N621" s="4" t="n">
        <v>-0.02506527415143611</v>
      </c>
      <c r="O621" s="4" t="n">
        <v>0.03021868644588973</v>
      </c>
      <c r="P621" s="4" t="n">
        <v>-0.04716945022136609</v>
      </c>
      <c r="Q621" s="22" t="n">
        <v>-739065</v>
      </c>
      <c r="R621" s="22" t="n">
        <v>1557590.7416</v>
      </c>
      <c r="S621" s="4" t="n">
        <v>0.008837707552222684</v>
      </c>
      <c r="T621" s="4" t="n">
        <v>0.05</v>
      </c>
      <c r="U621" s="19" t="n">
        <v>1.266894690015044</v>
      </c>
      <c r="V621" s="19" t="n">
        <v>0.94291986827662</v>
      </c>
      <c r="W621" s="4" t="n">
        <v>0.09703452984453242</v>
      </c>
      <c r="X621" s="4" t="n">
        <v>0.06963996511772774</v>
      </c>
      <c r="Y621" s="4" t="n">
        <v>-0.001201269913909009</v>
      </c>
      <c r="Z621" s="4" t="n">
        <v>-0.003280617273379471</v>
      </c>
      <c r="AA621" s="4" t="n">
        <v>0.03</v>
      </c>
      <c r="AB621" s="4" t="n">
        <v>0.05</v>
      </c>
      <c r="AC621" s="4">
        <f>(AB621+2*參數!$B$7)/(AA621+AB621)</f>
        <v/>
      </c>
    </row>
    <row r="622">
      <c r="A622" s="2" t="n">
        <v>621</v>
      </c>
      <c r="B622" s="2" t="inlineStr">
        <is>
          <t>MON_USDT_PERP</t>
        </is>
      </c>
      <c r="C622" s="2" t="inlineStr">
        <is>
          <t>做多</t>
        </is>
      </c>
      <c r="D622" s="7" t="n">
        <v>46297</v>
      </c>
      <c r="E622" s="20" t="n">
        <v>0.03282</v>
      </c>
      <c r="F622" s="20" t="n">
        <v>0.0338046</v>
      </c>
      <c r="G622" s="20" t="n">
        <v>0.031179</v>
      </c>
      <c r="H622" s="7" t="n">
        <v>46297.08333333334</v>
      </c>
      <c r="I622" s="20" t="n">
        <v>0.0338046</v>
      </c>
      <c r="J622" s="2" t="inlineStr">
        <is>
          <t>止盈</t>
        </is>
      </c>
      <c r="K622" s="5">
        <f>(H622-D622)*24</f>
        <v/>
      </c>
      <c r="L622" s="4">
        <f>IF(C622="做多",I622/E622-1,1-I622/E622)-2*參數!$B$7</f>
        <v/>
      </c>
      <c r="M622" s="2" t="inlineStr"/>
      <c r="N622" s="4" t="n">
        <v>0.02755165936130233</v>
      </c>
      <c r="O622" s="4" t="n">
        <v>0.03146297420511188</v>
      </c>
      <c r="P622" s="4" t="n">
        <v>0.02378538563518684</v>
      </c>
      <c r="Q622" s="22" t="n">
        <v>10030048</v>
      </c>
      <c r="R622" s="22" t="n">
        <v>1344335.34283</v>
      </c>
      <c r="S622" s="4" t="n">
        <v>0.03</v>
      </c>
      <c r="T622" s="4" t="n">
        <v>0.01035953686776359</v>
      </c>
      <c r="U622" s="19" t="n">
        <v>0.9041390822741897</v>
      </c>
      <c r="V622" s="19" t="n">
        <v>0.9568965517241368</v>
      </c>
      <c r="W622" s="4" t="n">
        <v>0.1449542820662206</v>
      </c>
      <c r="X622" s="4" t="n">
        <v>0.1827027027027028</v>
      </c>
      <c r="Y622" s="4" t="n">
        <v>0.00135575870113791</v>
      </c>
      <c r="Z622" s="4" t="n">
        <v>0.004301707987046877</v>
      </c>
      <c r="AA622" s="4" t="n">
        <v>0.03</v>
      </c>
      <c r="AB622" s="4" t="n">
        <v>0.05</v>
      </c>
      <c r="AC622" s="4">
        <f>(AB622+2*參數!$B$7)/(AA622+AB622)</f>
        <v/>
      </c>
    </row>
    <row r="623">
      <c r="A623" s="2" t="n">
        <v>622</v>
      </c>
      <c r="B623" s="2" t="inlineStr">
        <is>
          <t>ZEC_USDT_PERP</t>
        </is>
      </c>
      <c r="C623" s="2" t="inlineStr">
        <is>
          <t>做空</t>
        </is>
      </c>
      <c r="D623" s="7" t="n">
        <v>46297.04166666666</v>
      </c>
      <c r="E623" s="20" t="n">
        <v>1342.99</v>
      </c>
      <c r="F623" s="20" t="n">
        <v>1302.7003</v>
      </c>
      <c r="G623" s="20" t="n">
        <v>1410.1395</v>
      </c>
      <c r="H623" s="7" t="n">
        <v>46297.91666666666</v>
      </c>
      <c r="I623" s="20" t="n">
        <v>1410.1395</v>
      </c>
      <c r="J623" s="2" t="inlineStr">
        <is>
          <t>止損</t>
        </is>
      </c>
      <c r="K623" s="5">
        <f>(H623-D623)*24</f>
        <v/>
      </c>
      <c r="L623" s="4">
        <f>IF(C623="做多",I623/E623-1,1-I623/E623)-2*參數!$B$7</f>
        <v/>
      </c>
      <c r="M623" s="2" t="inlineStr"/>
      <c r="N623" s="4" t="n">
        <v>-0.02549124894784194</v>
      </c>
      <c r="O623" s="4" t="n">
        <v>0.02012359621363647</v>
      </c>
      <c r="P623" s="4" t="n">
        <v>-0.04719742351183787</v>
      </c>
      <c r="Q623" s="22" t="n">
        <v>-3314.648999999983</v>
      </c>
      <c r="R623" s="22" t="n">
        <v>23236863.09183</v>
      </c>
      <c r="S623" s="4" t="n">
        <v>0.02798978398945628</v>
      </c>
      <c r="T623" s="4" t="n">
        <v>0.05</v>
      </c>
      <c r="U623" s="19" t="n">
        <v>1.909541995997852</v>
      </c>
      <c r="V623" s="19" t="n">
        <v>0.8067721751932275</v>
      </c>
      <c r="W623" s="4" t="n">
        <v>0.08283345791092767</v>
      </c>
      <c r="X623" s="4" t="n">
        <v>0.08540588395532556</v>
      </c>
      <c r="Y623" s="4" t="n">
        <v>-0.0004707230472422719</v>
      </c>
      <c r="Z623" s="4" t="n">
        <v>-0.004456626981526934</v>
      </c>
      <c r="AA623" s="4" t="n">
        <v>0.03</v>
      </c>
      <c r="AB623" s="4" t="n">
        <v>0.05</v>
      </c>
      <c r="AC623" s="4">
        <f>(AB623+2*參數!$B$7)/(AA623+AB623)</f>
        <v/>
      </c>
    </row>
    <row r="624">
      <c r="A624" s="2" t="n">
        <v>623</v>
      </c>
      <c r="B624" s="2" t="inlineStr">
        <is>
          <t>FET_USDT_PERP</t>
        </is>
      </c>
      <c r="C624" s="2" t="inlineStr">
        <is>
          <t>做多</t>
        </is>
      </c>
      <c r="D624" s="7" t="n">
        <v>46297.08333333334</v>
      </c>
      <c r="E624" s="20" t="n">
        <v>0.2334</v>
      </c>
      <c r="F624" s="20" t="n">
        <v>0.240402</v>
      </c>
      <c r="G624" s="20" t="n">
        <v>0.22173</v>
      </c>
      <c r="H624" s="7" t="n">
        <v>46297.54166666666</v>
      </c>
      <c r="I624" s="20" t="n">
        <v>0.240402</v>
      </c>
      <c r="J624" s="2" t="inlineStr">
        <is>
          <t>止盈</t>
        </is>
      </c>
      <c r="K624" s="5">
        <f>(H624-D624)*24</f>
        <v/>
      </c>
      <c r="L624" s="4">
        <f>IF(C624="做多",I624/E624-1,1-I624/E624)-2*參數!$B$7</f>
        <v/>
      </c>
      <c r="M624" s="2" t="inlineStr"/>
      <c r="N624" s="4" t="n">
        <v>0.03964365256124713</v>
      </c>
      <c r="O624" s="4" t="n">
        <v>0.02487624612930435</v>
      </c>
      <c r="P624" s="4" t="n">
        <v>0.005731029430775081</v>
      </c>
      <c r="Q624" s="22" t="n">
        <v>1723274</v>
      </c>
      <c r="R624" s="22" t="n">
        <v>2140001.84</v>
      </c>
      <c r="S624" s="4" t="n">
        <v>0.03</v>
      </c>
      <c r="T624" s="4" t="n">
        <v>0.02956298200514129</v>
      </c>
      <c r="U624" s="19" t="n">
        <v>2.652663548979065</v>
      </c>
      <c r="V624" s="19" t="n">
        <v>0.9684210526315794</v>
      </c>
      <c r="W624" s="4" t="n">
        <v>0.01698460144138192</v>
      </c>
      <c r="X624" s="4" t="n">
        <v>0.04804669959586882</v>
      </c>
      <c r="Y624" s="4" t="n">
        <v>0.008322887643987142</v>
      </c>
      <c r="Z624" s="4" t="n">
        <v>0.01212447988577603</v>
      </c>
      <c r="AA624" s="4" t="n">
        <v>0.03</v>
      </c>
      <c r="AB624" s="4" t="n">
        <v>0.05</v>
      </c>
      <c r="AC624" s="4">
        <f>(AB624+2*參數!$B$7)/(AA624+AB624)</f>
        <v/>
      </c>
    </row>
    <row r="625">
      <c r="A625" s="2" t="n">
        <v>624</v>
      </c>
      <c r="B625" s="2" t="inlineStr">
        <is>
          <t>SUI_USDT_PERP</t>
        </is>
      </c>
      <c r="C625" s="2" t="inlineStr">
        <is>
          <t>做多</t>
        </is>
      </c>
      <c r="D625" s="7" t="n">
        <v>46297.08333333334</v>
      </c>
      <c r="E625" s="20" t="n">
        <v>1.1891</v>
      </c>
      <c r="F625" s="20" t="n">
        <v>1.224773</v>
      </c>
      <c r="G625" s="20" t="n">
        <v>1.129645</v>
      </c>
      <c r="H625" s="7" t="n">
        <v>46298.125</v>
      </c>
      <c r="I625" s="20" t="n">
        <v>1.129645</v>
      </c>
      <c r="J625" s="2" t="inlineStr">
        <is>
          <t>止損</t>
        </is>
      </c>
      <c r="K625" s="5">
        <f>(H625-D625)*24</f>
        <v/>
      </c>
      <c r="L625" s="4">
        <f>IF(C625="做多",I625/E625-1,1-I625/E625)-2*參數!$B$7</f>
        <v/>
      </c>
      <c r="M625" s="2" t="inlineStr"/>
      <c r="N625" s="4" t="n">
        <v>0.0376090750436302</v>
      </c>
      <c r="O625" s="4" t="n">
        <v>0.02031872003666682</v>
      </c>
      <c r="P625" s="4" t="n">
        <v>0.02151530640734345</v>
      </c>
      <c r="Q625" s="22" t="n">
        <v>45567.5</v>
      </c>
      <c r="R625" s="22" t="n">
        <v>13779979.05593</v>
      </c>
      <c r="S625" s="4" t="n">
        <v>0.02455638718358411</v>
      </c>
      <c r="T625" s="4" t="n">
        <v>0.05</v>
      </c>
      <c r="U625" s="19" t="n">
        <v>1.136496834382209</v>
      </c>
      <c r="V625" s="19" t="n">
        <v>0.8263358778625977</v>
      </c>
      <c r="W625" s="4" t="n">
        <v>0.0125868694962783</v>
      </c>
      <c r="X625" s="4" t="n">
        <v>0.0134662916560131</v>
      </c>
      <c r="Y625" s="4" t="n">
        <v>0.008322887643987142</v>
      </c>
      <c r="Z625" s="4" t="n">
        <v>0.01212447988577603</v>
      </c>
      <c r="AA625" s="4" t="n">
        <v>0.03</v>
      </c>
      <c r="AB625" s="4" t="n">
        <v>0.05</v>
      </c>
      <c r="AC625" s="4">
        <f>(AB625+2*參數!$B$7)/(AA625+AB625)</f>
        <v/>
      </c>
    </row>
    <row r="626">
      <c r="A626" s="2" t="n">
        <v>625</v>
      </c>
      <c r="B626" s="2" t="inlineStr">
        <is>
          <t>PUMP_USDT_PERP</t>
        </is>
      </c>
      <c r="C626" s="2" t="inlineStr">
        <is>
          <t>做多</t>
        </is>
      </c>
      <c r="D626" s="7" t="n">
        <v>46297.16666666666</v>
      </c>
      <c r="E626" s="20" t="n">
        <v>0.005866</v>
      </c>
      <c r="F626" s="20" t="n">
        <v>0.00604198</v>
      </c>
      <c r="G626" s="20" t="n">
        <v>0.005572699999999999</v>
      </c>
      <c r="H626" s="7" t="n">
        <v>46297.66666666666</v>
      </c>
      <c r="I626" s="20" t="n">
        <v>0.00604198</v>
      </c>
      <c r="J626" s="2" t="inlineStr">
        <is>
          <t>止盈</t>
        </is>
      </c>
      <c r="K626" s="5">
        <f>(H626-D626)*24</f>
        <v/>
      </c>
      <c r="L626" s="4">
        <f>IF(C626="做多",I626/E626-1,1-I626/E626)-2*參數!$B$7</f>
        <v/>
      </c>
      <c r="M626" s="2" t="inlineStr"/>
      <c r="N626" s="4" t="n">
        <v>0.02409217877094982</v>
      </c>
      <c r="O626" s="4" t="n">
        <v>0.02787154617308079</v>
      </c>
      <c r="P626" s="4" t="n">
        <v>0.03138461538461534</v>
      </c>
      <c r="Q626" s="22" t="n">
        <v>681369684</v>
      </c>
      <c r="R626" s="22" t="n">
        <v>17299082.696639</v>
      </c>
      <c r="S626" s="4" t="n">
        <v>0.03</v>
      </c>
      <c r="T626" s="4" t="n">
        <v>0.04261847937265584</v>
      </c>
      <c r="U626" s="19" t="n">
        <v>0.9852371179053044</v>
      </c>
      <c r="V626" s="19" t="n">
        <v>0.8625592417061595</v>
      </c>
      <c r="W626" s="4" t="n">
        <v>0.07931274310295966</v>
      </c>
      <c r="X626" s="4" t="n">
        <v>0.01681400589356907</v>
      </c>
      <c r="Y626" s="4" t="n">
        <v>-0.001545449183035452</v>
      </c>
      <c r="Z626" s="4" t="n">
        <v>0.008050744374498819</v>
      </c>
      <c r="AA626" s="4" t="n">
        <v>0.03</v>
      </c>
      <c r="AB626" s="4" t="n">
        <v>0.05</v>
      </c>
      <c r="AC626" s="4">
        <f>(AB626+2*參數!$B$7)/(AA626+AB626)</f>
        <v/>
      </c>
    </row>
    <row r="627">
      <c r="A627" s="2" t="n">
        <v>626</v>
      </c>
      <c r="B627" s="2" t="inlineStr">
        <is>
          <t>SOON_USDT_PERP</t>
        </is>
      </c>
      <c r="C627" s="2" t="inlineStr">
        <is>
          <t>做空</t>
        </is>
      </c>
      <c r="D627" s="7" t="n">
        <v>46297.41666666666</v>
      </c>
      <c r="E627" s="20" t="n">
        <v>0.4203</v>
      </c>
      <c r="F627" s="20" t="n">
        <v>0.407691</v>
      </c>
      <c r="G627" s="20" t="n">
        <v>0.441315</v>
      </c>
      <c r="H627" s="7" t="n">
        <v>46297.66666666666</v>
      </c>
      <c r="I627" s="20" t="n">
        <v>0.407691</v>
      </c>
      <c r="J627" s="2" t="inlineStr">
        <is>
          <t>止盈</t>
        </is>
      </c>
      <c r="K627" s="5">
        <f>(H627-D627)*24</f>
        <v/>
      </c>
      <c r="L627" s="4">
        <f>IF(C627="做多",I627/E627-1,1-I627/E627)-2*參數!$B$7</f>
        <v/>
      </c>
      <c r="M627" s="2" t="inlineStr"/>
      <c r="N627" s="4" t="n">
        <v>-0.03578802477632481</v>
      </c>
      <c r="O627" s="4" t="n">
        <v>0.04611682119041084</v>
      </c>
      <c r="P627" s="4" t="n">
        <v>-0.03743315508021405</v>
      </c>
      <c r="Q627" s="22" t="n">
        <v>-108859</v>
      </c>
      <c r="R627" s="22" t="n">
        <v>1540108.0758</v>
      </c>
      <c r="S627" s="4" t="n">
        <v>0.03</v>
      </c>
      <c r="T627" s="4" t="n">
        <v>0.04639543183440398</v>
      </c>
      <c r="U627" s="19" t="n">
        <v>1.075287445162872</v>
      </c>
      <c r="V627" s="19" t="n">
        <v>0.7583081570996978</v>
      </c>
      <c r="W627" s="4" t="n">
        <v>-0.0624448618164446</v>
      </c>
      <c r="X627" s="4" t="n">
        <v>0.1632490543499899</v>
      </c>
      <c r="Y627" s="4" t="n">
        <v>-0.001397035311719419</v>
      </c>
      <c r="Z627" s="4" t="n">
        <v>-0.007369454399954289</v>
      </c>
      <c r="AA627" s="4" t="n">
        <v>0.03</v>
      </c>
      <c r="AB627" s="4" t="n">
        <v>0.05</v>
      </c>
      <c r="AC627" s="4">
        <f>(AB627+2*參數!$B$7)/(AA627+AB627)</f>
        <v/>
      </c>
    </row>
    <row r="628">
      <c r="A628" s="2" t="n">
        <v>627</v>
      </c>
      <c r="B628" s="2" t="inlineStr">
        <is>
          <t>BTW_USDT_PERP</t>
        </is>
      </c>
      <c r="C628" s="2" t="inlineStr">
        <is>
          <t>做多</t>
        </is>
      </c>
      <c r="D628" s="7" t="n">
        <v>46297.54166666666</v>
      </c>
      <c r="E628" s="20" t="n">
        <v>1.478098</v>
      </c>
      <c r="F628" s="20" t="n">
        <v>1.52244094</v>
      </c>
      <c r="G628" s="20" t="n">
        <v>1.4041931</v>
      </c>
      <c r="H628" s="7" t="n">
        <v>46297.83333333334</v>
      </c>
      <c r="I628" s="20" t="n">
        <v>1.4041931</v>
      </c>
      <c r="J628" s="2" t="inlineStr">
        <is>
          <t>止損</t>
        </is>
      </c>
      <c r="K628" s="5">
        <f>(H628-D628)*24</f>
        <v/>
      </c>
      <c r="L628" s="4">
        <f>IF(C628="做多",I628/E628-1,1-I628/E628)-2*參數!$B$7</f>
        <v/>
      </c>
      <c r="M628" s="2" t="inlineStr"/>
      <c r="N628" s="4" t="n">
        <v>0.026635179718701</v>
      </c>
      <c r="O628" s="4" t="n">
        <v>0.02553007596447025</v>
      </c>
      <c r="P628" s="4" t="n">
        <v>0.0333800525779393</v>
      </c>
      <c r="Q628" s="22" t="n">
        <v>573845</v>
      </c>
      <c r="R628" s="22" t="n">
        <v>1927302.809079</v>
      </c>
      <c r="S628" s="4" t="n">
        <v>0.006187681736935069</v>
      </c>
      <c r="T628" s="4" t="n">
        <v>0.05</v>
      </c>
      <c r="U628" s="19" t="n">
        <v>0.8613149507078793</v>
      </c>
      <c r="V628" s="19" t="n">
        <v>0.8472285995408316</v>
      </c>
      <c r="W628" s="4" t="n">
        <v>0.1436031479868187</v>
      </c>
      <c r="X628" s="4" t="n">
        <v>0.08108633928062048</v>
      </c>
      <c r="Y628" s="4" t="n">
        <v>0.01346450373552521</v>
      </c>
      <c r="Z628" s="4" t="n">
        <v>0.02442271528693785</v>
      </c>
      <c r="AA628" s="4" t="n">
        <v>0.03</v>
      </c>
      <c r="AB628" s="4" t="n">
        <v>0.05</v>
      </c>
      <c r="AC628" s="4">
        <f>(AB628+2*參數!$B$7)/(AA628+AB628)</f>
        <v/>
      </c>
    </row>
    <row r="629">
      <c r="A629" s="2" t="n">
        <v>628</v>
      </c>
      <c r="B629" s="2" t="inlineStr">
        <is>
          <t>GRASS_USDT_PERP</t>
        </is>
      </c>
      <c r="C629" s="2" t="inlineStr">
        <is>
          <t>做多</t>
        </is>
      </c>
      <c r="D629" s="7" t="n">
        <v>46297.54166666666</v>
      </c>
      <c r="E629" s="20" t="n">
        <v>0.7277</v>
      </c>
      <c r="F629" s="20" t="n">
        <v>0.7495310000000001</v>
      </c>
      <c r="G629" s="20" t="n">
        <v>0.691315</v>
      </c>
      <c r="H629" s="7" t="n">
        <v>46297.79166666666</v>
      </c>
      <c r="I629" s="20" t="n">
        <v>0.691315</v>
      </c>
      <c r="J629" s="2" t="inlineStr">
        <is>
          <t>止損</t>
        </is>
      </c>
      <c r="K629" s="5">
        <f>(H629-D629)*24</f>
        <v/>
      </c>
      <c r="L629" s="4">
        <f>IF(C629="做多",I629/E629-1,1-I629/E629)-2*參數!$B$7</f>
        <v/>
      </c>
      <c r="M629" s="2" t="inlineStr"/>
      <c r="N629" s="4" t="n">
        <v>0.02651996050218663</v>
      </c>
      <c r="O629" s="4" t="n">
        <v>0.03071202938370978</v>
      </c>
      <c r="P629" s="4" t="n">
        <v>0.04502046384720315</v>
      </c>
      <c r="Q629" s="22" t="n">
        <v>83837</v>
      </c>
      <c r="R629" s="22" t="n">
        <v>1628120.136</v>
      </c>
      <c r="S629" s="4" t="n">
        <v>0.001923869726535576</v>
      </c>
      <c r="T629" s="4" t="n">
        <v>0.05</v>
      </c>
      <c r="U629" s="19" t="n">
        <v>2.027289500222116</v>
      </c>
      <c r="V629" s="19" t="n">
        <v>0.8941979522184303</v>
      </c>
      <c r="W629" s="4" t="n">
        <v>0.07281015226031684</v>
      </c>
      <c r="X629" s="4" t="n">
        <v>0.02927864214992937</v>
      </c>
      <c r="Y629" s="4" t="n">
        <v>0.01346450373552521</v>
      </c>
      <c r="Z629" s="4" t="n">
        <v>0.02442271528693785</v>
      </c>
      <c r="AA629" s="4" t="n">
        <v>0.03</v>
      </c>
      <c r="AB629" s="4" t="n">
        <v>0.05</v>
      </c>
      <c r="AC629" s="4">
        <f>(AB629+2*參數!$B$7)/(AA629+AB629)</f>
        <v/>
      </c>
    </row>
    <row r="630">
      <c r="A630" s="2" t="n">
        <v>629</v>
      </c>
      <c r="B630" s="2" t="inlineStr">
        <is>
          <t>QNT_USDT_PERP</t>
        </is>
      </c>
      <c r="C630" s="2" t="inlineStr">
        <is>
          <t>做空</t>
        </is>
      </c>
      <c r="D630" s="7" t="n">
        <v>46297.58333333334</v>
      </c>
      <c r="E630" s="20" t="n">
        <v>246.02</v>
      </c>
      <c r="F630" s="20" t="n">
        <v>238.6394</v>
      </c>
      <c r="G630" s="20" t="n">
        <v>258.321</v>
      </c>
      <c r="H630" s="7" t="n">
        <v>46297.625</v>
      </c>
      <c r="I630" s="20" t="n">
        <v>238.6394</v>
      </c>
      <c r="J630" s="2" t="inlineStr">
        <is>
          <t>止盈</t>
        </is>
      </c>
      <c r="K630" s="5">
        <f>(H630-D630)*24</f>
        <v/>
      </c>
      <c r="L630" s="4">
        <f>IF(C630="做多",I630/E630-1,1-I630/E630)-2*參數!$B$7</f>
        <v/>
      </c>
      <c r="M630" s="2" t="inlineStr"/>
      <c r="N630" s="4" t="n">
        <v>-0.02954518559425656</v>
      </c>
      <c r="O630" s="4" t="n">
        <v>0.04417834052277191</v>
      </c>
      <c r="P630" s="4" t="n">
        <v>-0.04802258247381808</v>
      </c>
      <c r="Q630" s="22" t="n">
        <v>-27203.10000000003</v>
      </c>
      <c r="R630" s="22" t="n">
        <v>24350392.272</v>
      </c>
      <c r="S630" s="4" t="n">
        <v>0.03</v>
      </c>
      <c r="T630" s="4" t="n">
        <v>0</v>
      </c>
      <c r="U630" s="19" t="n">
        <v>0.808141204731194</v>
      </c>
      <c r="V630" s="19" t="n">
        <v>0.8127530364372451</v>
      </c>
      <c r="W630" s="4" t="n">
        <v>0.07039977872779069</v>
      </c>
      <c r="X630" s="4" t="n">
        <v>0.1476875108262601</v>
      </c>
      <c r="Y630" s="4" t="n">
        <v>0.007651150038959997</v>
      </c>
      <c r="Z630" s="4" t="n">
        <v>-0.01525264012076555</v>
      </c>
      <c r="AA630" s="4" t="n">
        <v>0.03</v>
      </c>
      <c r="AB630" s="4" t="n">
        <v>0.05</v>
      </c>
      <c r="AC630" s="4">
        <f>(AB630+2*參數!$B$7)/(AA630+AB630)</f>
        <v/>
      </c>
    </row>
    <row r="631">
      <c r="A631" s="2" t="n">
        <v>630</v>
      </c>
      <c r="B631" s="2" t="inlineStr">
        <is>
          <t>AKE_USDT_PERP</t>
        </is>
      </c>
      <c r="C631" s="2" t="inlineStr">
        <is>
          <t>做多</t>
        </is>
      </c>
      <c r="D631" s="7" t="n">
        <v>46297.75</v>
      </c>
      <c r="E631" s="20" t="n">
        <v>0.0322171</v>
      </c>
      <c r="F631" s="20" t="n">
        <v>0.033183613</v>
      </c>
      <c r="G631" s="20" t="n">
        <v>0.030606245</v>
      </c>
      <c r="H631" s="7" t="n">
        <v>46298</v>
      </c>
      <c r="I631" s="20" t="n">
        <v>0.033183613</v>
      </c>
      <c r="J631" s="2" t="inlineStr">
        <is>
          <t>止盈</t>
        </is>
      </c>
      <c r="K631" s="5">
        <f>(H631-D631)*24</f>
        <v/>
      </c>
      <c r="L631" s="4">
        <f>IF(C631="做多",I631/E631-1,1-I631/E631)-2*參數!$B$7</f>
        <v/>
      </c>
      <c r="M631" s="2" t="inlineStr"/>
      <c r="N631" s="4" t="n">
        <v>0.02824907442869917</v>
      </c>
      <c r="O631" s="4" t="n">
        <v>0.02258548123517901</v>
      </c>
      <c r="P631" s="4" t="n">
        <v>0.02186745801386514</v>
      </c>
      <c r="Q631" s="22" t="n">
        <v>772397</v>
      </c>
      <c r="R631" s="22" t="n">
        <v>1216142.9776951</v>
      </c>
      <c r="S631" s="4" t="n">
        <v>0.03</v>
      </c>
      <c r="T631" s="4" t="n">
        <v>0.01352077002585583</v>
      </c>
      <c r="U631" s="19" t="n">
        <v>3.164695856171438</v>
      </c>
      <c r="V631" s="19" t="n">
        <v>0.4859905195475651</v>
      </c>
      <c r="W631" s="4" t="n">
        <v>0.02252058333226481</v>
      </c>
      <c r="X631" s="4" t="n">
        <v>-0.01929621624912481</v>
      </c>
      <c r="Y631" s="4" t="n">
        <v>0.001382748816485257</v>
      </c>
      <c r="Z631" s="4" t="n">
        <v>0.01403937594107019</v>
      </c>
      <c r="AA631" s="4" t="n">
        <v>0.03</v>
      </c>
      <c r="AB631" s="4" t="n">
        <v>0.05</v>
      </c>
      <c r="AC631" s="4">
        <f>(AB631+2*參數!$B$7)/(AA631+AB631)</f>
        <v/>
      </c>
    </row>
    <row r="632">
      <c r="A632" s="2" t="n">
        <v>631</v>
      </c>
      <c r="B632" s="2" t="inlineStr">
        <is>
          <t>PUMP_USDT_PERP</t>
        </is>
      </c>
      <c r="C632" s="2" t="inlineStr">
        <is>
          <t>做多</t>
        </is>
      </c>
      <c r="D632" s="7" t="n">
        <v>46297.91666666666</v>
      </c>
      <c r="E632" s="20" t="n">
        <v>0.006062</v>
      </c>
      <c r="F632" s="20" t="n">
        <v>0.00624386</v>
      </c>
      <c r="G632" s="20" t="n">
        <v>0.005758899999999999</v>
      </c>
      <c r="H632" s="7" t="n">
        <v>46298.125</v>
      </c>
      <c r="I632" s="20" t="n">
        <v>0.005758899999999999</v>
      </c>
      <c r="J632" s="2" t="inlineStr">
        <is>
          <t>止損</t>
        </is>
      </c>
      <c r="K632" s="5">
        <f>(H632-D632)*24</f>
        <v/>
      </c>
      <c r="L632" s="4">
        <f>IF(C632="做多",I632/E632-1,1-I632/E632)-2*參數!$B$7</f>
        <v/>
      </c>
      <c r="M632" s="2" t="inlineStr"/>
      <c r="N632" s="4" t="n">
        <v>0.02019522046448996</v>
      </c>
      <c r="O632" s="4" t="n">
        <v>0.02753290947813887</v>
      </c>
      <c r="P632" s="4" t="n">
        <v>0.03846713890482989</v>
      </c>
      <c r="Q632" s="22" t="n">
        <v>36579717</v>
      </c>
      <c r="R632" s="22" t="n">
        <v>22639599.01511</v>
      </c>
      <c r="S632" s="4" t="n">
        <v>0.02045529528208512</v>
      </c>
      <c r="T632" s="4" t="n">
        <v>0.05</v>
      </c>
      <c r="U632" s="19" t="n">
        <v>2.075885252796168</v>
      </c>
      <c r="V632" s="19" t="n">
        <v>0.6714285714285693</v>
      </c>
      <c r="W632" s="4" t="n">
        <v>0.086015976724646</v>
      </c>
      <c r="X632" s="4" t="n">
        <v>0.08288674526616657</v>
      </c>
      <c r="Y632" s="4" t="n">
        <v>-0.002817833138178738</v>
      </c>
      <c r="Z632" s="4" t="n">
        <v>0.01119144676459061</v>
      </c>
      <c r="AA632" s="4" t="n">
        <v>0.03</v>
      </c>
      <c r="AB632" s="4" t="n">
        <v>0.05</v>
      </c>
      <c r="AC632" s="4">
        <f>(AB632+2*參數!$B$7)/(AA632+AB632)</f>
        <v/>
      </c>
    </row>
    <row r="633">
      <c r="A633" s="2" t="n">
        <v>632</v>
      </c>
      <c r="B633" s="2" t="inlineStr">
        <is>
          <t>ENA_USDT_PERP</t>
        </is>
      </c>
      <c r="C633" s="2" t="inlineStr">
        <is>
          <t>做空</t>
        </is>
      </c>
      <c r="D633" s="7" t="n">
        <v>46298.125</v>
      </c>
      <c r="E633" s="20" t="n">
        <v>0.2357</v>
      </c>
      <c r="F633" s="20" t="n">
        <v>0.228629</v>
      </c>
      <c r="G633" s="20" t="n">
        <v>0.247485</v>
      </c>
      <c r="H633" s="7" t="n">
        <v>46298.29166666666</v>
      </c>
      <c r="I633" s="20" t="n">
        <v>0.228629</v>
      </c>
      <c r="J633" s="2" t="inlineStr">
        <is>
          <t>止盈</t>
        </is>
      </c>
      <c r="K633" s="5">
        <f>(H633-D633)*24</f>
        <v/>
      </c>
      <c r="L633" s="4">
        <f>IF(C633="做多",I633/E633-1,1-I633/E633)-2*參數!$B$7</f>
        <v/>
      </c>
      <c r="M633" s="2" t="inlineStr"/>
      <c r="N633" s="4" t="n">
        <v>-0.02804123711340212</v>
      </c>
      <c r="O633" s="4" t="n">
        <v>0.02034399481287853</v>
      </c>
      <c r="P633" s="4" t="n">
        <v>-0.03534082305032016</v>
      </c>
      <c r="Q633" s="22" t="n">
        <v>-1504339</v>
      </c>
      <c r="R633" s="22" t="n">
        <v>5214511.7783</v>
      </c>
      <c r="S633" s="4" t="n">
        <v>0.03</v>
      </c>
      <c r="T633" s="4" t="n">
        <v>0.008061094611794717</v>
      </c>
      <c r="U633" s="19" t="n">
        <v>1.888381614590556</v>
      </c>
      <c r="V633" s="19" t="n">
        <v>0.6785714285714289</v>
      </c>
      <c r="W633" s="4" t="n">
        <v>0.0711220231175147</v>
      </c>
      <c r="X633" s="4" t="n">
        <v>0.04148027653517694</v>
      </c>
      <c r="Y633" s="4" t="n">
        <v>0.006200772884155881</v>
      </c>
      <c r="Z633" s="4" t="n">
        <v>0.01678035433241143</v>
      </c>
      <c r="AA633" s="4" t="n">
        <v>0.03</v>
      </c>
      <c r="AB633" s="4" t="n">
        <v>0.05</v>
      </c>
      <c r="AC633" s="4">
        <f>(AB633+2*參數!$B$7)/(AA633+AB633)</f>
        <v/>
      </c>
    </row>
    <row r="634">
      <c r="A634" s="2" t="n">
        <v>633</v>
      </c>
      <c r="B634" s="2" t="inlineStr">
        <is>
          <t>GRASS_USDT_PERP</t>
        </is>
      </c>
      <c r="C634" s="2" t="inlineStr">
        <is>
          <t>做空</t>
        </is>
      </c>
      <c r="D634" s="7" t="n">
        <v>46298.125</v>
      </c>
      <c r="E634" s="20" t="n">
        <v>0.6742</v>
      </c>
      <c r="F634" s="20" t="n">
        <v>0.6539740000000001</v>
      </c>
      <c r="G634" s="20" t="n">
        <v>0.70791</v>
      </c>
      <c r="H634" s="7" t="n">
        <v>46298.375</v>
      </c>
      <c r="I634" s="20" t="n">
        <v>0.70791</v>
      </c>
      <c r="J634" s="2" t="inlineStr">
        <is>
          <t>止損</t>
        </is>
      </c>
      <c r="K634" s="5">
        <f>(H634-D634)*24</f>
        <v/>
      </c>
      <c r="L634" s="4">
        <f>IF(C634="做多",I634/E634-1,1-I634/E634)-2*參數!$B$7</f>
        <v/>
      </c>
      <c r="M634" s="2" t="inlineStr"/>
      <c r="N634" s="4" t="n">
        <v>-0.02304013911027392</v>
      </c>
      <c r="O634" s="4" t="n">
        <v>0.02960103414913232</v>
      </c>
      <c r="P634" s="4" t="n">
        <v>-0.04195530924722013</v>
      </c>
      <c r="Q634" s="22" t="n">
        <v>-416129</v>
      </c>
      <c r="R634" s="22" t="n">
        <v>1243559.6297</v>
      </c>
      <c r="S634" s="4" t="n">
        <v>0.0261050133491546</v>
      </c>
      <c r="T634" s="4" t="n">
        <v>0.05</v>
      </c>
      <c r="U634" s="19" t="n">
        <v>1.560922508996538</v>
      </c>
      <c r="V634" s="19" t="n">
        <v>0.6413994169096215</v>
      </c>
      <c r="W634" s="4" t="n">
        <v>0.02313781117378499</v>
      </c>
      <c r="X634" s="4" t="n">
        <v>0.03644419036730018</v>
      </c>
      <c r="Y634" s="4" t="n">
        <v>0.006200772884155881</v>
      </c>
      <c r="Z634" s="4" t="n">
        <v>0.01678035433241143</v>
      </c>
      <c r="AA634" s="4" t="n">
        <v>0.03</v>
      </c>
      <c r="AB634" s="4" t="n">
        <v>0.05</v>
      </c>
      <c r="AC634" s="4">
        <f>(AB634+2*參數!$B$7)/(AA634+AB634)</f>
        <v/>
      </c>
    </row>
    <row r="635">
      <c r="A635" s="2" t="n">
        <v>634</v>
      </c>
      <c r="B635" s="2" t="inlineStr">
        <is>
          <t>NEAR_USDT_PERP</t>
        </is>
      </c>
      <c r="C635" s="2" t="inlineStr">
        <is>
          <t>做空</t>
        </is>
      </c>
      <c r="D635" s="7" t="n">
        <v>46298.125</v>
      </c>
      <c r="E635" s="20" t="n">
        <v>4.641</v>
      </c>
      <c r="F635" s="20" t="n">
        <v>4.50177</v>
      </c>
      <c r="G635" s="20" t="n">
        <v>4.87305</v>
      </c>
      <c r="H635" s="7" t="n">
        <v>46299.375</v>
      </c>
      <c r="I635" s="20" t="n">
        <v>4.87305</v>
      </c>
      <c r="J635" s="2" t="inlineStr">
        <is>
          <t>止損</t>
        </is>
      </c>
      <c r="K635" s="5">
        <f>(H635-D635)*24</f>
        <v/>
      </c>
      <c r="L635" s="4">
        <f>IF(C635="做多",I635/E635-1,1-I635/E635)-2*參數!$B$7</f>
        <v/>
      </c>
      <c r="M635" s="2" t="inlineStr"/>
      <c r="N635" s="4" t="n">
        <v>-0.02785923753665687</v>
      </c>
      <c r="O635" s="4" t="n">
        <v>0.02357143945843483</v>
      </c>
      <c r="P635" s="4" t="n">
        <v>-0.05005577672933448</v>
      </c>
      <c r="Q635" s="22" t="n">
        <v>-736827</v>
      </c>
      <c r="R635" s="22" t="n">
        <v>14583033.332</v>
      </c>
      <c r="S635" s="4" t="n">
        <v>0.01077354018530485</v>
      </c>
      <c r="T635" s="4" t="n">
        <v>0.05</v>
      </c>
      <c r="U635" s="19" t="n">
        <v>2.34821120666669</v>
      </c>
      <c r="V635" s="19" t="n">
        <v>0.7988826815642474</v>
      </c>
      <c r="W635" s="4" t="n">
        <v>0.0699286965374335</v>
      </c>
      <c r="X635" s="4" t="n">
        <v>0.05092024539877293</v>
      </c>
      <c r="Y635" s="4" t="n">
        <v>0.006200772884155881</v>
      </c>
      <c r="Z635" s="4" t="n">
        <v>0.01678035433241143</v>
      </c>
      <c r="AA635" s="4" t="n">
        <v>0.03</v>
      </c>
      <c r="AB635" s="4" t="n">
        <v>0.05</v>
      </c>
      <c r="AC635" s="4">
        <f>(AB635+2*參數!$B$7)/(AA635+AB635)</f>
        <v/>
      </c>
    </row>
    <row r="636">
      <c r="A636" s="2" t="n">
        <v>635</v>
      </c>
      <c r="B636" s="2" t="inlineStr">
        <is>
          <t>ONDO_USDT_PERP</t>
        </is>
      </c>
      <c r="C636" s="2" t="inlineStr">
        <is>
          <t>做空</t>
        </is>
      </c>
      <c r="D636" s="7" t="n">
        <v>46298.125</v>
      </c>
      <c r="E636" s="20" t="n">
        <v>0.4785</v>
      </c>
      <c r="F636" s="20" t="n">
        <v>0.464145</v>
      </c>
      <c r="G636" s="20" t="n">
        <v>0.502425</v>
      </c>
      <c r="H636" s="7" t="n">
        <v>46299.33333333334</v>
      </c>
      <c r="I636" s="20" t="n">
        <v>0.502425</v>
      </c>
      <c r="J636" s="2" t="inlineStr">
        <is>
          <t>止損</t>
        </is>
      </c>
      <c r="K636" s="5">
        <f>(H636-D636)*24</f>
        <v/>
      </c>
      <c r="L636" s="4">
        <f>IF(C636="做多",I636/E636-1,1-I636/E636)-2*參數!$B$7</f>
        <v/>
      </c>
      <c r="M636" s="2" t="inlineStr"/>
      <c r="N636" s="4" t="n">
        <v>-0.043573855686588</v>
      </c>
      <c r="O636" s="4" t="n">
        <v>0.02013264771409454</v>
      </c>
      <c r="P636" s="4" t="n">
        <v>-0.0465658437443961</v>
      </c>
      <c r="Q636" s="22" t="n">
        <v>-1369624.600000001</v>
      </c>
      <c r="R636" s="22" t="n">
        <v>2630021.9239</v>
      </c>
      <c r="S636" s="4" t="n">
        <v>0.01400208986415885</v>
      </c>
      <c r="T636" s="4" t="n">
        <v>0.05</v>
      </c>
      <c r="U636" s="19" t="n">
        <v>3.067194507791859</v>
      </c>
      <c r="V636" s="19" t="n">
        <v>0.8020833333333343</v>
      </c>
      <c r="W636" s="4" t="n">
        <v>0.0519758922521566</v>
      </c>
      <c r="X636" s="4" t="n">
        <v>0.03333333333333333</v>
      </c>
      <c r="Y636" s="4" t="n">
        <v>0.006200772884155881</v>
      </c>
      <c r="Z636" s="4" t="n">
        <v>0.01678035433241143</v>
      </c>
      <c r="AA636" s="4" t="n">
        <v>0.03</v>
      </c>
      <c r="AB636" s="4" t="n">
        <v>0.05</v>
      </c>
      <c r="AC636" s="4">
        <f>(AB636+2*參數!$B$7)/(AA636+AB636)</f>
        <v/>
      </c>
    </row>
    <row r="637">
      <c r="A637" s="2" t="n">
        <v>636</v>
      </c>
      <c r="B637" s="2" t="inlineStr">
        <is>
          <t>QNT_USDT_PERP</t>
        </is>
      </c>
      <c r="C637" s="2" t="inlineStr">
        <is>
          <t>做空</t>
        </is>
      </c>
      <c r="D637" s="7" t="n">
        <v>46298.125</v>
      </c>
      <c r="E637" s="20" t="n">
        <v>236.04</v>
      </c>
      <c r="F637" s="20" t="n">
        <v>228.9588</v>
      </c>
      <c r="G637" s="20" t="n">
        <v>247.842</v>
      </c>
      <c r="H637" s="7" t="n">
        <v>46298.16666666666</v>
      </c>
      <c r="I637" s="20" t="n">
        <v>228.9588</v>
      </c>
      <c r="J637" s="2" t="inlineStr">
        <is>
          <t>止盈</t>
        </is>
      </c>
      <c r="K637" s="5">
        <f>(H637-D637)*24</f>
        <v/>
      </c>
      <c r="L637" s="4">
        <f>IF(C637="做多",I637/E637-1,1-I637/E637)-2*參數!$B$7</f>
        <v/>
      </c>
      <c r="M637" s="2" t="inlineStr"/>
      <c r="N637" s="4" t="n">
        <v>-0.03242467718794839</v>
      </c>
      <c r="O637" s="4" t="n">
        <v>0.04090266259757121</v>
      </c>
      <c r="P637" s="4" t="n">
        <v>-0.03148772741820338</v>
      </c>
      <c r="Q637" s="22" t="n">
        <v>-24841.60000000005</v>
      </c>
      <c r="R637" s="22" t="n">
        <v>24701097.613</v>
      </c>
      <c r="S637" s="4" t="n">
        <v>0.03</v>
      </c>
      <c r="T637" s="4" t="n">
        <v>0</v>
      </c>
      <c r="U637" s="19" t="n">
        <v>1.051931759713719</v>
      </c>
      <c r="V637" s="19" t="n">
        <v>0.8109090909090924</v>
      </c>
      <c r="W637" s="4" t="n">
        <v>0.1041271863088287</v>
      </c>
      <c r="X637" s="4" t="n">
        <v>0.1018264840182649</v>
      </c>
      <c r="Y637" s="4" t="n">
        <v>0.006200772884155881</v>
      </c>
      <c r="Z637" s="4" t="n">
        <v>0.01678035433241143</v>
      </c>
      <c r="AA637" s="4" t="n">
        <v>0.03</v>
      </c>
      <c r="AB637" s="4" t="n">
        <v>0.05</v>
      </c>
      <c r="AC637" s="4">
        <f>(AB637+2*參數!$B$7)/(AA637+AB637)</f>
        <v/>
      </c>
    </row>
    <row r="638">
      <c r="A638" s="2" t="n">
        <v>637</v>
      </c>
      <c r="B638" s="2" t="inlineStr">
        <is>
          <t>ZEC_USDT_PERP</t>
        </is>
      </c>
      <c r="C638" s="2" t="inlineStr">
        <is>
          <t>做空</t>
        </is>
      </c>
      <c r="D638" s="7" t="n">
        <v>46298.125</v>
      </c>
      <c r="E638" s="20" t="n">
        <v>1304.61</v>
      </c>
      <c r="F638" s="20" t="n">
        <v>1265.4717</v>
      </c>
      <c r="G638" s="20" t="n">
        <v>1369.8405</v>
      </c>
      <c r="H638" s="7" t="n">
        <v>46301.75</v>
      </c>
      <c r="I638" s="20" t="n">
        <v>1369.8405</v>
      </c>
      <c r="J638" s="2" t="inlineStr">
        <is>
          <t>止損</t>
        </is>
      </c>
      <c r="K638" s="5">
        <f>(H638-D638)*24</f>
        <v/>
      </c>
      <c r="L638" s="4">
        <f>IF(C638="做多",I638/E638-1,1-I638/E638)-2*參數!$B$7</f>
        <v/>
      </c>
      <c r="M638" s="2" t="inlineStr"/>
      <c r="N638" s="4" t="n">
        <v>-0.04429777009406044</v>
      </c>
      <c r="O638" s="4" t="n">
        <v>0.02267004471775878</v>
      </c>
      <c r="P638" s="4" t="n">
        <v>-0.04459872135685572</v>
      </c>
      <c r="Q638" s="22" t="n">
        <v>-6960.476000000017</v>
      </c>
      <c r="R638" s="22" t="n">
        <v>26918687.01739</v>
      </c>
      <c r="S638" s="4" t="n">
        <v>0.02111742206483158</v>
      </c>
      <c r="T638" s="4" t="n">
        <v>0.05</v>
      </c>
      <c r="U638" s="19" t="n">
        <v>1.844577413789034</v>
      </c>
      <c r="V638" s="19" t="n">
        <v>0.6648615510370909</v>
      </c>
      <c r="W638" s="4" t="n">
        <v>0.07308728202513615</v>
      </c>
      <c r="X638" s="4" t="n">
        <v>0.02611246724744143</v>
      </c>
      <c r="Y638" s="4" t="n">
        <v>0.006200772884155881</v>
      </c>
      <c r="Z638" s="4" t="n">
        <v>0.01678035433241143</v>
      </c>
      <c r="AA638" s="4" t="n">
        <v>0.03</v>
      </c>
      <c r="AB638" s="4" t="n">
        <v>0.05</v>
      </c>
      <c r="AC638" s="4">
        <f>(AB638+2*參數!$B$7)/(AA638+AB638)</f>
        <v/>
      </c>
    </row>
    <row r="639">
      <c r="A639" s="2" t="n">
        <v>638</v>
      </c>
      <c r="B639" s="2" t="inlineStr">
        <is>
          <t>WLD_USDT_PERP</t>
        </is>
      </c>
      <c r="C639" s="2" t="inlineStr">
        <is>
          <t>做多</t>
        </is>
      </c>
      <c r="D639" s="7" t="n">
        <v>46298.33333333334</v>
      </c>
      <c r="E639" s="20" t="n">
        <v>0.5565</v>
      </c>
      <c r="F639" s="20" t="n">
        <v>0.573195</v>
      </c>
      <c r="G639" s="20" t="n">
        <v>0.528675</v>
      </c>
      <c r="H639" s="7" t="n">
        <v>46298.45833333334</v>
      </c>
      <c r="I639" s="20" t="n">
        <v>0.573195</v>
      </c>
      <c r="J639" s="2" t="inlineStr">
        <is>
          <t>止盈</t>
        </is>
      </c>
      <c r="K639" s="5">
        <f>(H639-D639)*24</f>
        <v/>
      </c>
      <c r="L639" s="4">
        <f>IF(C639="做多",I639/E639-1,1-I639/E639)-2*參數!$B$7</f>
        <v/>
      </c>
      <c r="M639" s="2" t="inlineStr"/>
      <c r="N639" s="4" t="n">
        <v>0.03227601558152471</v>
      </c>
      <c r="O639" s="4" t="n">
        <v>0.02840419537602715</v>
      </c>
      <c r="P639" s="4" t="n">
        <v>0.01514045968624611</v>
      </c>
      <c r="Q639" s="22" t="n">
        <v>361168</v>
      </c>
      <c r="R639" s="22" t="n">
        <v>2029332.3822</v>
      </c>
      <c r="S639" s="4" t="n">
        <v>0.03</v>
      </c>
      <c r="T639" s="4" t="n">
        <v>0.0005390835579514031</v>
      </c>
      <c r="U639" s="19" t="n">
        <v>0.4773580813643464</v>
      </c>
      <c r="V639" s="19" t="n">
        <v>0.8584474885844755</v>
      </c>
      <c r="W639" s="4" t="n">
        <v>0.07871414947314559</v>
      </c>
      <c r="X639" s="4" t="n">
        <v>0.1006724683544302</v>
      </c>
      <c r="Y639" s="4" t="n">
        <v>-0.0003857285181161352</v>
      </c>
      <c r="Z639" s="4" t="n">
        <v>-0.01205659133048753</v>
      </c>
      <c r="AA639" s="4" t="n">
        <v>0.03</v>
      </c>
      <c r="AB639" s="4" t="n">
        <v>0.05</v>
      </c>
      <c r="AC639" s="4">
        <f>(AB639+2*參數!$B$7)/(AA639+AB639)</f>
        <v/>
      </c>
    </row>
    <row r="640">
      <c r="A640" s="2" t="n">
        <v>639</v>
      </c>
      <c r="B640" s="2" t="inlineStr">
        <is>
          <t>PUMP_USDT_PERP</t>
        </is>
      </c>
      <c r="C640" s="2" t="inlineStr">
        <is>
          <t>做空</t>
        </is>
      </c>
      <c r="D640" s="7" t="n">
        <v>46298.41666666666</v>
      </c>
      <c r="E640" s="20" t="n">
        <v>0.005555</v>
      </c>
      <c r="F640" s="20" t="n">
        <v>0.00538835</v>
      </c>
      <c r="G640" s="20" t="n">
        <v>0.00583275</v>
      </c>
      <c r="H640" s="7" t="n">
        <v>46298.58333333334</v>
      </c>
      <c r="I640" s="20" t="n">
        <v>0.00538835</v>
      </c>
      <c r="J640" s="2" t="inlineStr">
        <is>
          <t>止盈</t>
        </is>
      </c>
      <c r="K640" s="5">
        <f>(H640-D640)*24</f>
        <v/>
      </c>
      <c r="L640" s="4">
        <f>IF(C640="做多",I640/E640-1,1-I640/E640)-2*參數!$B$7</f>
        <v/>
      </c>
      <c r="M640" s="2" t="inlineStr"/>
      <c r="N640" s="4" t="n">
        <v>-0.02475421348314599</v>
      </c>
      <c r="O640" s="4" t="n">
        <v>0.03618849398975257</v>
      </c>
      <c r="P640" s="4" t="n">
        <v>-0.02644630995986608</v>
      </c>
      <c r="Q640" s="22" t="n">
        <v>-1713693714</v>
      </c>
      <c r="R640" s="22" t="n">
        <v>29548753.853471</v>
      </c>
      <c r="S640" s="4" t="n">
        <v>0.03</v>
      </c>
      <c r="T640" s="4" t="n">
        <v>0.008280828082808389</v>
      </c>
      <c r="U640" s="19" t="n">
        <v>0.703892591469981</v>
      </c>
      <c r="V640" s="19" t="n">
        <v>0.9437229437229439</v>
      </c>
      <c r="W640" s="4" t="n">
        <v>0.01433866649159554</v>
      </c>
      <c r="X640" s="4" t="n">
        <v>0.03357689631176053</v>
      </c>
      <c r="Y640" s="4" t="n">
        <v>0.0001181893393216171</v>
      </c>
      <c r="Z640" s="4" t="n">
        <v>0.008725732747653536</v>
      </c>
      <c r="AA640" s="4" t="n">
        <v>0.03</v>
      </c>
      <c r="AB640" s="4" t="n">
        <v>0.05</v>
      </c>
      <c r="AC640" s="4">
        <f>(AB640+2*參數!$B$7)/(AA640+AB640)</f>
        <v/>
      </c>
    </row>
    <row r="641">
      <c r="A641" s="2" t="n">
        <v>640</v>
      </c>
      <c r="B641" s="2" t="inlineStr">
        <is>
          <t>NIGHT_USDT_PERP</t>
        </is>
      </c>
      <c r="C641" s="2" t="inlineStr">
        <is>
          <t>做多</t>
        </is>
      </c>
      <c r="D641" s="7" t="n">
        <v>46298.79166666666</v>
      </c>
      <c r="E641" s="20" t="n">
        <v>0.05079</v>
      </c>
      <c r="F641" s="20" t="n">
        <v>0.0523137</v>
      </c>
      <c r="G641" s="20" t="n">
        <v>0.0482505</v>
      </c>
      <c r="H641" s="7" t="n">
        <v>46299.125</v>
      </c>
      <c r="I641" s="20" t="n">
        <v>0.0482505</v>
      </c>
      <c r="J641" s="2" t="inlineStr">
        <is>
          <t>止損</t>
        </is>
      </c>
      <c r="K641" s="5">
        <f>(H641-D641)*24</f>
        <v/>
      </c>
      <c r="L641" s="4">
        <f>IF(C641="做多",I641/E641-1,1-I641/E641)-2*參數!$B$7</f>
        <v/>
      </c>
      <c r="M641" s="2" t="inlineStr"/>
      <c r="N641" s="4" t="n">
        <v>0.02399193548387113</v>
      </c>
      <c r="O641" s="4" t="n">
        <v>0.04052618803456381</v>
      </c>
      <c r="P641" s="4" t="n">
        <v>0.03207583593265784</v>
      </c>
      <c r="Q641" s="22" t="n">
        <v>2438290</v>
      </c>
      <c r="R641" s="22" t="n">
        <v>1899975.63755</v>
      </c>
      <c r="S641" s="4" t="n">
        <v>0.003740893876747364</v>
      </c>
      <c r="T641" s="4" t="n">
        <v>0.05</v>
      </c>
      <c r="U641" s="19" t="n">
        <v>1.228907720209728</v>
      </c>
      <c r="V641" s="19" t="n">
        <v>0.645569620253165</v>
      </c>
      <c r="W641" s="4" t="n">
        <v>0.2745646680334966</v>
      </c>
      <c r="X641" s="4" t="n">
        <v>0.1370047011417059</v>
      </c>
      <c r="Y641" s="4" t="n">
        <v>0.000497921974089266</v>
      </c>
      <c r="Z641" s="4" t="n">
        <v>-1.743602383008636e-05</v>
      </c>
      <c r="AA641" s="4" t="n">
        <v>0.03</v>
      </c>
      <c r="AB641" s="4" t="n">
        <v>0.05</v>
      </c>
      <c r="AC641" s="4">
        <f>(AB641+2*參數!$B$7)/(AA641+AB641)</f>
        <v/>
      </c>
    </row>
    <row r="642">
      <c r="A642" s="2" t="n">
        <v>641</v>
      </c>
      <c r="B642" s="2" t="inlineStr">
        <is>
          <t>MOVR_USDT_PERP</t>
        </is>
      </c>
      <c r="C642" s="2" t="inlineStr">
        <is>
          <t>做空</t>
        </is>
      </c>
      <c r="D642" s="7" t="n">
        <v>46298.95833333334</v>
      </c>
      <c r="E642" s="20" t="n">
        <v>1.833</v>
      </c>
      <c r="F642" s="20" t="n">
        <v>1.77801</v>
      </c>
      <c r="G642" s="20" t="n">
        <v>1.92465</v>
      </c>
      <c r="H642" s="7" t="n">
        <v>46299.04166666666</v>
      </c>
      <c r="I642" s="20" t="n">
        <v>1.92465</v>
      </c>
      <c r="J642" s="2" t="inlineStr">
        <is>
          <t>止損</t>
        </is>
      </c>
      <c r="K642" s="5">
        <f>(H642-D642)*24</f>
        <v/>
      </c>
      <c r="L642" s="4">
        <f>IF(C642="做多",I642/E642-1,1-I642/E642)-2*參數!$B$7</f>
        <v/>
      </c>
      <c r="M642" s="2" t="inlineStr"/>
      <c r="N642" s="4" t="n">
        <v>-0.04181913225300582</v>
      </c>
      <c r="O642" s="4" t="n">
        <v>0.07432794399974541</v>
      </c>
      <c r="P642" s="4" t="n">
        <v>-0.02463683286330021</v>
      </c>
      <c r="Q642" s="22" t="n">
        <v>-235028.99</v>
      </c>
      <c r="R642" s="22" t="n">
        <v>1729143.69055</v>
      </c>
      <c r="S642" s="4" t="n">
        <v>0.02018548827059463</v>
      </c>
      <c r="T642" s="4" t="n">
        <v>0.05</v>
      </c>
      <c r="U642" s="19" t="n">
        <v>1.838209994791279</v>
      </c>
      <c r="V642" s="19" t="n">
        <v>0.9062500000000009</v>
      </c>
      <c r="W642" s="4" t="n">
        <v>0.096585952478351</v>
      </c>
      <c r="X642" s="4" t="n">
        <v>0.1813309513175525</v>
      </c>
      <c r="Y642" s="4" t="n">
        <v>8.370203490248862e-05</v>
      </c>
      <c r="Z642" s="4" t="n">
        <v>-0.002794354540752497</v>
      </c>
      <c r="AA642" s="4" t="n">
        <v>0.03</v>
      </c>
      <c r="AB642" s="4" t="n">
        <v>0.05</v>
      </c>
      <c r="AC642" s="4">
        <f>(AB642+2*參數!$B$7)/(AA642+AB642)</f>
        <v/>
      </c>
    </row>
    <row r="643">
      <c r="A643" s="2" t="n">
        <v>642</v>
      </c>
      <c r="B643" s="2" t="inlineStr">
        <is>
          <t>QNT_USDT_PERP</t>
        </is>
      </c>
      <c r="C643" s="2" t="inlineStr">
        <is>
          <t>做空</t>
        </is>
      </c>
      <c r="D643" s="7" t="n">
        <v>46298.95833333334</v>
      </c>
      <c r="E643" s="20" t="n">
        <v>248.45</v>
      </c>
      <c r="F643" s="20" t="n">
        <v>240.9965</v>
      </c>
      <c r="G643" s="20" t="n">
        <v>260.8725</v>
      </c>
      <c r="H643" s="7" t="n">
        <v>46299.20833333334</v>
      </c>
      <c r="I643" s="20" t="n">
        <v>260.8725</v>
      </c>
      <c r="J643" s="2" t="inlineStr">
        <is>
          <t>止損</t>
        </is>
      </c>
      <c r="K643" s="5">
        <f>(H643-D643)*24</f>
        <v/>
      </c>
      <c r="L643" s="4">
        <f>IF(C643="做多",I643/E643-1,1-I643/E643)-2*參數!$B$7</f>
        <v/>
      </c>
      <c r="M643" s="2" t="inlineStr"/>
      <c r="N643" s="4" t="n">
        <v>-0.02311956906381485</v>
      </c>
      <c r="O643" s="4" t="n">
        <v>0.03185029683463876</v>
      </c>
      <c r="P643" s="4" t="n">
        <v>-0.007182888939949672</v>
      </c>
      <c r="Q643" s="22" t="n">
        <v>-12128.59999999999</v>
      </c>
      <c r="R643" s="22" t="n">
        <v>21266438.911</v>
      </c>
      <c r="S643" s="4" t="n">
        <v>0.00768766351378547</v>
      </c>
      <c r="T643" s="4" t="n">
        <v>0.05</v>
      </c>
      <c r="U643" s="19" t="n">
        <v>0.9778231379303013</v>
      </c>
      <c r="V643" s="19" t="n">
        <v>0.8600583090379036</v>
      </c>
      <c r="W643" s="4" t="n">
        <v>0.0642780177081006</v>
      </c>
      <c r="X643" s="4" t="n">
        <v>0.004328136897367107</v>
      </c>
      <c r="Y643" s="4" t="n">
        <v>8.370203490248862e-05</v>
      </c>
      <c r="Z643" s="4" t="n">
        <v>-0.002794354540752497</v>
      </c>
      <c r="AA643" s="4" t="n">
        <v>0.03</v>
      </c>
      <c r="AB643" s="4" t="n">
        <v>0.05</v>
      </c>
      <c r="AC643" s="4">
        <f>(AB643+2*參數!$B$7)/(AA643+AB643)</f>
        <v/>
      </c>
    </row>
    <row r="644">
      <c r="A644" s="2" t="n">
        <v>643</v>
      </c>
      <c r="B644" s="2" t="inlineStr">
        <is>
          <t>PONS_USDT_PERP</t>
        </is>
      </c>
      <c r="C644" s="2" t="inlineStr">
        <is>
          <t>做空</t>
        </is>
      </c>
      <c r="D644" s="7" t="n">
        <v>46299.04166666666</v>
      </c>
      <c r="E644" s="20" t="n">
        <v>0.409</v>
      </c>
      <c r="F644" s="20" t="n">
        <v>0.39673</v>
      </c>
      <c r="G644" s="20" t="n">
        <v>0.42945</v>
      </c>
      <c r="H644" s="7" t="n">
        <v>46299.625</v>
      </c>
      <c r="I644" s="20" t="n">
        <v>0.42945</v>
      </c>
      <c r="J644" s="2" t="inlineStr">
        <is>
          <t>止損</t>
        </is>
      </c>
      <c r="K644" s="5">
        <f>(H644-D644)*24</f>
        <v/>
      </c>
      <c r="L644" s="4">
        <f>IF(C644="做多",I644/E644-1,1-I644/E644)-2*參數!$B$7</f>
        <v/>
      </c>
      <c r="M644" s="2" t="inlineStr"/>
      <c r="N644" s="4" t="n">
        <v>-0.02246653919694075</v>
      </c>
      <c r="O644" s="4" t="n">
        <v>0.02611360616223982</v>
      </c>
      <c r="P644" s="4" t="n">
        <v>-0.04655337203067811</v>
      </c>
      <c r="Q644" s="22" t="n">
        <v>-1731597</v>
      </c>
      <c r="R644" s="22" t="n">
        <v>1820779.0469</v>
      </c>
      <c r="S644" s="4" t="n">
        <v>0.01833740831295827</v>
      </c>
      <c r="T644" s="4" t="n">
        <v>0.05</v>
      </c>
      <c r="U644" s="19" t="n">
        <v>3.067784356543565</v>
      </c>
      <c r="V644" s="19" t="n">
        <v>0.7034482758620713</v>
      </c>
      <c r="W644" s="4" t="n">
        <v>0.1959344558796066</v>
      </c>
      <c r="X644" s="4" t="n">
        <v>0.2056710040784619</v>
      </c>
      <c r="Y644" s="4" t="n">
        <v>0.0001296633115303036</v>
      </c>
      <c r="Z644" s="4" t="n">
        <v>-0.002294460398875486</v>
      </c>
      <c r="AA644" s="4" t="n">
        <v>0.03</v>
      </c>
      <c r="AB644" s="4" t="n">
        <v>0.05</v>
      </c>
      <c r="AC644" s="4">
        <f>(AB644+2*參數!$B$7)/(AA644+AB644)</f>
        <v/>
      </c>
    </row>
    <row r="645">
      <c r="A645" s="2" t="n">
        <v>644</v>
      </c>
      <c r="B645" s="2" t="inlineStr">
        <is>
          <t>SAND_USDT_PERP</t>
        </is>
      </c>
      <c r="C645" s="2" t="inlineStr">
        <is>
          <t>做空</t>
        </is>
      </c>
      <c r="D645" s="7" t="n">
        <v>46299.70833333334</v>
      </c>
      <c r="E645" s="20" t="n">
        <v>0.07376000000000001</v>
      </c>
      <c r="F645" s="20" t="n">
        <v>0.07154720000000001</v>
      </c>
      <c r="G645" s="20" t="n">
        <v>0.077448</v>
      </c>
      <c r="H645" s="7" t="n">
        <v>46299.83333333334</v>
      </c>
      <c r="I645" s="20" t="n">
        <v>0.077448</v>
      </c>
      <c r="J645" s="2" t="inlineStr">
        <is>
          <t>止損</t>
        </is>
      </c>
      <c r="K645" s="5">
        <f>(H645-D645)*24</f>
        <v/>
      </c>
      <c r="L645" s="4">
        <f>IF(C645="做多",I645/E645-1,1-I645/E645)-2*參數!$B$7</f>
        <v/>
      </c>
      <c r="M645" s="2" t="inlineStr"/>
      <c r="N645" s="4" t="n">
        <v>-0.02947368421052621</v>
      </c>
      <c r="O645" s="4" t="n">
        <v>0.04125918282275797</v>
      </c>
      <c r="P645" s="4" t="n">
        <v>-0.01329694732054465</v>
      </c>
      <c r="Q645" s="22" t="n">
        <v>-17241278</v>
      </c>
      <c r="R645" s="22" t="n">
        <v>5964581.82923</v>
      </c>
      <c r="S645" s="4" t="n">
        <v>0.01043926247288507</v>
      </c>
      <c r="T645" s="4" t="n">
        <v>0.05</v>
      </c>
      <c r="U645" s="19" t="n">
        <v>0.4724709462305032</v>
      </c>
      <c r="V645" s="19" t="n">
        <v>0.9033333333333293</v>
      </c>
      <c r="W645" s="4" t="n">
        <v>-0.2807957047501963</v>
      </c>
      <c r="X645" s="4" t="n">
        <v>-0.004083855159270566</v>
      </c>
      <c r="Y645" s="4" t="n">
        <v>7.993426582131313e-05</v>
      </c>
      <c r="Z645" s="4" t="n">
        <v>-0.002732068285852263</v>
      </c>
      <c r="AA645" s="4" t="n">
        <v>0.03</v>
      </c>
      <c r="AB645" s="4" t="n">
        <v>0.05</v>
      </c>
      <c r="AC645" s="4">
        <f>(AB645+2*參數!$B$7)/(AA645+AB645)</f>
        <v/>
      </c>
    </row>
    <row r="646">
      <c r="A646" s="2" t="n">
        <v>645</v>
      </c>
      <c r="B646" s="2" t="inlineStr">
        <is>
          <t>ZRO_USDT_PERP</t>
        </is>
      </c>
      <c r="C646" s="2" t="inlineStr">
        <is>
          <t>做空</t>
        </is>
      </c>
      <c r="D646" s="7" t="n">
        <v>46299.79166666666</v>
      </c>
      <c r="E646" s="20" t="n">
        <v>1.9861</v>
      </c>
      <c r="F646" s="20" t="n">
        <v>1.926517</v>
      </c>
      <c r="G646" s="20" t="n">
        <v>2.085405</v>
      </c>
      <c r="H646" s="7" t="n">
        <v>46300.41666666666</v>
      </c>
      <c r="I646" s="20" t="n">
        <v>1.926517</v>
      </c>
      <c r="J646" s="2" t="inlineStr">
        <is>
          <t>止盈</t>
        </is>
      </c>
      <c r="K646" s="5">
        <f>(H646-D646)*24</f>
        <v/>
      </c>
      <c r="L646" s="4">
        <f>IF(C646="做多",I646/E646-1,1-I646/E646)-2*參數!$B$7</f>
        <v/>
      </c>
      <c r="M646" s="2" t="inlineStr"/>
      <c r="N646" s="4" t="n">
        <v>-0.0230693556320708</v>
      </c>
      <c r="O646" s="4" t="n">
        <v>0.02512629811057469</v>
      </c>
      <c r="P646" s="4" t="n">
        <v>-0.02187376109016692</v>
      </c>
      <c r="Q646" s="22" t="n">
        <v>-55541.40000000026</v>
      </c>
      <c r="R646" s="22" t="n">
        <v>1394504.78729</v>
      </c>
      <c r="S646" s="4" t="n">
        <v>0.03</v>
      </c>
      <c r="T646" s="4" t="n">
        <v>0.0245707668294648</v>
      </c>
      <c r="U646" s="19" t="n">
        <v>1.430390735278891</v>
      </c>
      <c r="V646" s="19" t="n">
        <v>0.8898601398601402</v>
      </c>
      <c r="W646" s="4" t="n">
        <v>-0.08181037788468237</v>
      </c>
      <c r="X646" s="4" t="n">
        <v>-0.006537603892154742</v>
      </c>
      <c r="Y646" s="4" t="n">
        <v>-0.0003873707736967713</v>
      </c>
      <c r="Z646" s="4" t="n">
        <v>-0.004157660719049217</v>
      </c>
      <c r="AA646" s="4" t="n">
        <v>0.03</v>
      </c>
      <c r="AB646" s="4" t="n">
        <v>0.05</v>
      </c>
      <c r="AC646" s="4">
        <f>(AB646+2*參數!$B$7)/(AA646+AB646)</f>
        <v/>
      </c>
    </row>
    <row r="647">
      <c r="A647" s="2" t="n">
        <v>646</v>
      </c>
      <c r="B647" s="2" t="inlineStr">
        <is>
          <t>AKE_USDT_PERP</t>
        </is>
      </c>
      <c r="C647" s="2" t="inlineStr">
        <is>
          <t>做多</t>
        </is>
      </c>
      <c r="D647" s="7" t="n">
        <v>46299.83333333334</v>
      </c>
      <c r="E647" s="20" t="n">
        <v>0.0354325</v>
      </c>
      <c r="F647" s="20" t="n">
        <v>0.036495475</v>
      </c>
      <c r="G647" s="20" t="n">
        <v>0.033660875</v>
      </c>
      <c r="H647" s="7" t="n">
        <v>46300.29166666666</v>
      </c>
      <c r="I647" s="20" t="n">
        <v>0.033660875</v>
      </c>
      <c r="J647" s="2" t="inlineStr">
        <is>
          <t>止損</t>
        </is>
      </c>
      <c r="K647" s="5">
        <f>(H647-D647)*24</f>
        <v/>
      </c>
      <c r="L647" s="4">
        <f>IF(C647="做多",I647/E647-1,1-I647/E647)-2*參數!$B$7</f>
        <v/>
      </c>
      <c r="M647" s="2" t="inlineStr"/>
      <c r="N647" s="4" t="n">
        <v>0.03089859036092002</v>
      </c>
      <c r="O647" s="4" t="n">
        <v>0.02193759066353424</v>
      </c>
      <c r="P647" s="4" t="n">
        <v>0.03355521261717631</v>
      </c>
      <c r="Q647" s="22" t="n">
        <v>10880485</v>
      </c>
      <c r="R647" s="22" t="n">
        <v>1420854.4899258</v>
      </c>
      <c r="S647" s="4" t="n">
        <v>0.004622874479644379</v>
      </c>
      <c r="T647" s="4" t="n">
        <v>0.05</v>
      </c>
      <c r="U647" s="19" t="n">
        <v>2.298384857236499</v>
      </c>
      <c r="V647" s="19" t="n">
        <v>0.8098987626546655</v>
      </c>
      <c r="W647" s="4" t="n">
        <v>0.08527370644226062</v>
      </c>
      <c r="X647" s="4" t="n">
        <v>0.08890732801671808</v>
      </c>
      <c r="Y647" s="4" t="n">
        <v>0.0004822658751717501</v>
      </c>
      <c r="Z647" s="4" t="n">
        <v>0.004388260159833957</v>
      </c>
      <c r="AA647" s="4" t="n">
        <v>0.03</v>
      </c>
      <c r="AB647" s="4" t="n">
        <v>0.05</v>
      </c>
      <c r="AC647" s="4">
        <f>(AB647+2*參數!$B$7)/(AA647+AB647)</f>
        <v/>
      </c>
    </row>
    <row r="648">
      <c r="A648" s="2" t="n">
        <v>647</v>
      </c>
      <c r="B648" s="2" t="inlineStr">
        <is>
          <t>STRK_USDT_PERP</t>
        </is>
      </c>
      <c r="C648" s="2" t="inlineStr">
        <is>
          <t>做多</t>
        </is>
      </c>
      <c r="D648" s="7" t="n">
        <v>46299.83333333334</v>
      </c>
      <c r="E648" s="20" t="n">
        <v>0.0551</v>
      </c>
      <c r="F648" s="20" t="n">
        <v>0.056753</v>
      </c>
      <c r="G648" s="20" t="n">
        <v>0.052345</v>
      </c>
      <c r="H648" s="7" t="n">
        <v>46299.91666666666</v>
      </c>
      <c r="I648" s="20" t="n">
        <v>0.056753</v>
      </c>
      <c r="J648" s="2" t="inlineStr">
        <is>
          <t>止盈</t>
        </is>
      </c>
      <c r="K648" s="5">
        <f>(H648-D648)*24</f>
        <v/>
      </c>
      <c r="L648" s="4">
        <f>IF(C648="做多",I648/E648-1,1-I648/E648)-2*參數!$B$7</f>
        <v/>
      </c>
      <c r="M648" s="2" t="inlineStr"/>
      <c r="N648" s="4" t="n">
        <v>0.02416356877323422</v>
      </c>
      <c r="O648" s="4" t="n">
        <v>0.03194809171041452</v>
      </c>
      <c r="P648" s="4" t="n">
        <v>0.03795799189978322</v>
      </c>
      <c r="Q648" s="22" t="n">
        <v>7326853.399999999</v>
      </c>
      <c r="R648" s="22" t="n">
        <v>1454753.21715</v>
      </c>
      <c r="S648" s="4" t="n">
        <v>0.03</v>
      </c>
      <c r="T648" s="4" t="n">
        <v>0.01088929219600732</v>
      </c>
      <c r="U648" s="19" t="n">
        <v>0.8167406049323216</v>
      </c>
      <c r="V648" s="19" t="n">
        <v>0.6842105263157912</v>
      </c>
      <c r="W648" s="4" t="n">
        <v>0.2233298550209808</v>
      </c>
      <c r="X648" s="4" t="n">
        <v>0.2494331065759638</v>
      </c>
      <c r="Y648" s="4" t="n">
        <v>0.0004822658751717501</v>
      </c>
      <c r="Z648" s="4" t="n">
        <v>0.004388260159833957</v>
      </c>
      <c r="AA648" s="4" t="n">
        <v>0.03</v>
      </c>
      <c r="AB648" s="4" t="n">
        <v>0.05</v>
      </c>
      <c r="AC648" s="4">
        <f>(AB648+2*參數!$B$7)/(AA648+AB648)</f>
        <v/>
      </c>
    </row>
    <row r="649">
      <c r="A649" s="2" t="n">
        <v>648</v>
      </c>
      <c r="B649" s="2" t="inlineStr">
        <is>
          <t>PONS_USDT_PERP</t>
        </is>
      </c>
      <c r="C649" s="2" t="inlineStr">
        <is>
          <t>做空</t>
        </is>
      </c>
      <c r="D649" s="7" t="n">
        <v>46299.95833333334</v>
      </c>
      <c r="E649" s="20" t="n">
        <v>0.3893</v>
      </c>
      <c r="F649" s="20" t="n">
        <v>0.377621</v>
      </c>
      <c r="G649" s="20" t="n">
        <v>0.408765</v>
      </c>
      <c r="H649" s="7" t="n">
        <v>46300.04166666666</v>
      </c>
      <c r="I649" s="20" t="n">
        <v>0.377621</v>
      </c>
      <c r="J649" s="2" t="inlineStr">
        <is>
          <t>止盈</t>
        </is>
      </c>
      <c r="K649" s="5">
        <f>(H649-D649)*24</f>
        <v/>
      </c>
      <c r="L649" s="4">
        <f>IF(C649="做多",I649/E649-1,1-I649/E649)-2*參數!$B$7</f>
        <v/>
      </c>
      <c r="M649" s="2" t="inlineStr"/>
      <c r="N649" s="4" t="n">
        <v>-0.0437239007614838</v>
      </c>
      <c r="O649" s="4" t="n">
        <v>0.02444417758474732</v>
      </c>
      <c r="P649" s="4" t="n">
        <v>-0.05698540543813979</v>
      </c>
      <c r="Q649" s="22" t="n">
        <v>-522909</v>
      </c>
      <c r="R649" s="22" t="n">
        <v>1331616.6116</v>
      </c>
      <c r="S649" s="4" t="n">
        <v>0.03</v>
      </c>
      <c r="T649" s="4" t="n">
        <v>0.01746724890829698</v>
      </c>
      <c r="U649" s="19" t="n">
        <v>2.812115234733599</v>
      </c>
      <c r="V649" s="19" t="n">
        <v>0.7478991596638658</v>
      </c>
      <c r="W649" s="4" t="n">
        <v>0.1910632541574113</v>
      </c>
      <c r="X649" s="4" t="n">
        <v>0.07375684035212948</v>
      </c>
      <c r="Y649" s="4" t="n">
        <v>-0.0006103630251470538</v>
      </c>
      <c r="Z649" s="4" t="n">
        <v>-0.003701277385755652</v>
      </c>
      <c r="AA649" s="4" t="n">
        <v>0.03</v>
      </c>
      <c r="AB649" s="4" t="n">
        <v>0.05</v>
      </c>
      <c r="AC649" s="4">
        <f>(AB649+2*參數!$B$7)/(AA649+AB649)</f>
        <v/>
      </c>
    </row>
    <row r="650">
      <c r="A650" s="2" t="n">
        <v>649</v>
      </c>
      <c r="B650" s="2" t="inlineStr">
        <is>
          <t>BR_USDT_PERP</t>
        </is>
      </c>
      <c r="C650" s="2" t="inlineStr">
        <is>
          <t>做空</t>
        </is>
      </c>
      <c r="D650" s="7" t="n">
        <v>46300.04166666666</v>
      </c>
      <c r="E650" s="20" t="n">
        <v>0.4638</v>
      </c>
      <c r="F650" s="20" t="n">
        <v>0.449886</v>
      </c>
      <c r="G650" s="20" t="n">
        <v>0.48699</v>
      </c>
      <c r="H650" s="7" t="n">
        <v>46300.125</v>
      </c>
      <c r="I650" s="20" t="n">
        <v>0.449886</v>
      </c>
      <c r="J650" s="2" t="inlineStr">
        <is>
          <t>止盈</t>
        </is>
      </c>
      <c r="K650" s="5">
        <f>(H650-D650)*24</f>
        <v/>
      </c>
      <c r="L650" s="4">
        <f>IF(C650="做多",I650/E650-1,1-I650/E650)-2*參數!$B$7</f>
        <v/>
      </c>
      <c r="M650" s="2" t="inlineStr"/>
      <c r="N650" s="4" t="n">
        <v>-0.02162219175192492</v>
      </c>
      <c r="O650" s="4" t="n">
        <v>0.04663552337620593</v>
      </c>
      <c r="P650" s="4" t="n">
        <v>-0.05482446084949633</v>
      </c>
      <c r="Q650" s="22" t="n">
        <v>-347573</v>
      </c>
      <c r="R650" s="22" t="n">
        <v>2100041.53168</v>
      </c>
      <c r="S650" s="4" t="n">
        <v>0.03</v>
      </c>
      <c r="T650" s="4" t="n">
        <v>0.0004959034066407408</v>
      </c>
      <c r="U650" s="19" t="n">
        <v>1.505642896858296</v>
      </c>
      <c r="V650" s="19" t="n">
        <v>0.8474414155906278</v>
      </c>
      <c r="W650" s="4" t="n">
        <v>0.2736480190386281</v>
      </c>
      <c r="X650" s="4" t="n">
        <v>0.1377098555413018</v>
      </c>
      <c r="Y650" s="4" t="n">
        <v>-0.001350732869398019</v>
      </c>
      <c r="Z650" s="4" t="n">
        <v>-0.004035115536327405</v>
      </c>
      <c r="AA650" s="4" t="n">
        <v>0.03</v>
      </c>
      <c r="AB650" s="4" t="n">
        <v>0.05</v>
      </c>
      <c r="AC650" s="4">
        <f>(AB650+2*參數!$B$7)/(AA650+AB650)</f>
        <v/>
      </c>
    </row>
    <row r="651">
      <c r="A651" s="2" t="n">
        <v>650</v>
      </c>
      <c r="B651" s="2" t="inlineStr">
        <is>
          <t>MUBARAK_USDT_PERP</t>
        </is>
      </c>
      <c r="C651" s="2" t="inlineStr">
        <is>
          <t>做空</t>
        </is>
      </c>
      <c r="D651" s="7" t="n">
        <v>46300.16666666666</v>
      </c>
      <c r="E651" s="20" t="n">
        <v>0.06798</v>
      </c>
      <c r="F651" s="20" t="n">
        <v>0.0659406</v>
      </c>
      <c r="G651" s="20" t="n">
        <v>0.071379</v>
      </c>
      <c r="H651" s="7" t="n">
        <v>46300.20833333334</v>
      </c>
      <c r="I651" s="20" t="n">
        <v>0.0659406</v>
      </c>
      <c r="J651" s="2" t="inlineStr">
        <is>
          <t>止盈</t>
        </is>
      </c>
      <c r="K651" s="5">
        <f>(H651-D651)*24</f>
        <v/>
      </c>
      <c r="L651" s="4">
        <f>IF(C651="做多",I651/E651-1,1-I651/E651)-2*參數!$B$7</f>
        <v/>
      </c>
      <c r="M651" s="2" t="inlineStr"/>
      <c r="N651" s="4" t="n">
        <v>-0.03533418475947225</v>
      </c>
      <c r="O651" s="4" t="n">
        <v>0.03769290420868293</v>
      </c>
      <c r="P651" s="4" t="n">
        <v>-0.009175114233451742</v>
      </c>
      <c r="Q651" s="22" t="n">
        <v>-5846237</v>
      </c>
      <c r="R651" s="22" t="n">
        <v>2111481.1147</v>
      </c>
      <c r="S651" s="4" t="n">
        <v>0.03</v>
      </c>
      <c r="T651" s="4" t="n">
        <v>0</v>
      </c>
      <c r="U651" s="19" t="n">
        <v>1.457907231249404</v>
      </c>
      <c r="V651" s="19" t="n">
        <v>0.8993288590604044</v>
      </c>
      <c r="W651" s="4" t="n">
        <v>-0.0767403183654074</v>
      </c>
      <c r="X651" s="4" t="n">
        <v>-0.07597340930674257</v>
      </c>
      <c r="Y651" s="4" t="n">
        <v>-0.001062173493026508</v>
      </c>
      <c r="Z651" s="4" t="n">
        <v>-0.003638019445358687</v>
      </c>
      <c r="AA651" s="4" t="n">
        <v>0.03</v>
      </c>
      <c r="AB651" s="4" t="n">
        <v>0.05</v>
      </c>
      <c r="AC651" s="4">
        <f>(AB651+2*參數!$B$7)/(AA651+AB651)</f>
        <v/>
      </c>
    </row>
    <row r="652">
      <c r="A652" s="2" t="n">
        <v>651</v>
      </c>
      <c r="B652" s="2" t="inlineStr">
        <is>
          <t>QNT_USDT_PERP</t>
        </is>
      </c>
      <c r="C652" s="2" t="inlineStr">
        <is>
          <t>做空</t>
        </is>
      </c>
      <c r="D652" s="7" t="n">
        <v>46300.20833333334</v>
      </c>
      <c r="E652" s="20" t="n">
        <v>249.63</v>
      </c>
      <c r="F652" s="20" t="n">
        <v>242.1411</v>
      </c>
      <c r="G652" s="20" t="n">
        <v>262.1115</v>
      </c>
      <c r="H652" s="7" t="n">
        <v>46300.875</v>
      </c>
      <c r="I652" s="20" t="n">
        <v>262.1115</v>
      </c>
      <c r="J652" s="2" t="inlineStr">
        <is>
          <t>止損</t>
        </is>
      </c>
      <c r="K652" s="5">
        <f>(H652-D652)*24</f>
        <v/>
      </c>
      <c r="L652" s="4">
        <f>IF(C652="做多",I652/E652-1,1-I652/E652)-2*參數!$B$7</f>
        <v/>
      </c>
      <c r="M652" s="2" t="inlineStr"/>
      <c r="N652" s="4" t="n">
        <v>-0.03037483006409014</v>
      </c>
      <c r="O652" s="4" t="n">
        <v>0.02583698684634097</v>
      </c>
      <c r="P652" s="4" t="n">
        <v>-0.04125083294766496</v>
      </c>
      <c r="Q652" s="22" t="n">
        <v>-23314.70000000001</v>
      </c>
      <c r="R652" s="22" t="n">
        <v>17853425.585</v>
      </c>
      <c r="S652" s="4" t="n">
        <v>0.02079077034010335</v>
      </c>
      <c r="T652" s="4" t="n">
        <v>0.05</v>
      </c>
      <c r="U652" s="19" t="n">
        <v>1.649609212830093</v>
      </c>
      <c r="V652" s="19" t="n">
        <v>0.4599894011658721</v>
      </c>
      <c r="W652" s="4" t="n">
        <v>0.04192641758467819</v>
      </c>
      <c r="X652" s="4" t="n">
        <v>0.05796445148873552</v>
      </c>
      <c r="Y652" s="4" t="n">
        <v>-0.004729034963004031</v>
      </c>
      <c r="Z652" s="4" t="n">
        <v>-0.007771798266619223</v>
      </c>
      <c r="AA652" s="4" t="n">
        <v>0.03</v>
      </c>
      <c r="AB652" s="4" t="n">
        <v>0.05</v>
      </c>
      <c r="AC652" s="4">
        <f>(AB652+2*參數!$B$7)/(AA652+AB652)</f>
        <v/>
      </c>
    </row>
    <row r="653">
      <c r="A653" s="2" t="n">
        <v>652</v>
      </c>
      <c r="B653" s="2" t="inlineStr">
        <is>
          <t>STRK_USDT_PERP</t>
        </is>
      </c>
      <c r="C653" s="2" t="inlineStr">
        <is>
          <t>做多</t>
        </is>
      </c>
      <c r="D653" s="7" t="n">
        <v>46300.20833333334</v>
      </c>
      <c r="E653" s="20" t="n">
        <v>0.0569</v>
      </c>
      <c r="F653" s="20" t="n">
        <v>0.058607</v>
      </c>
      <c r="G653" s="20" t="n">
        <v>0.054055</v>
      </c>
      <c r="H653" s="7" t="n">
        <v>46300.25</v>
      </c>
      <c r="I653" s="20" t="n">
        <v>0.058607</v>
      </c>
      <c r="J653" s="2" t="inlineStr">
        <is>
          <t>止盈</t>
        </is>
      </c>
      <c r="K653" s="5">
        <f>(H653-D653)*24</f>
        <v/>
      </c>
      <c r="L653" s="4">
        <f>IF(C653="做多",I653/E653-1,1-I653/E653)-2*參數!$B$7</f>
        <v/>
      </c>
      <c r="M653" s="2" t="inlineStr"/>
      <c r="N653" s="4" t="n">
        <v>0.04212454212454197</v>
      </c>
      <c r="O653" s="4" t="n">
        <v>0.03113584318746771</v>
      </c>
      <c r="P653" s="4" t="n">
        <v>0.04155226066263951</v>
      </c>
      <c r="Q653" s="22" t="n">
        <v>2596931.000000002</v>
      </c>
      <c r="R653" s="22" t="n">
        <v>1975553.64584</v>
      </c>
      <c r="S653" s="4" t="n">
        <v>0.03</v>
      </c>
      <c r="T653" s="4" t="n">
        <v>0</v>
      </c>
      <c r="U653" s="19" t="n">
        <v>0.6106920643371504</v>
      </c>
      <c r="V653" s="19" t="n">
        <v>0.9599999999999989</v>
      </c>
      <c r="W653" s="4" t="n">
        <v>0.2295524774726105</v>
      </c>
      <c r="X653" s="4" t="n">
        <v>0.1005802707930368</v>
      </c>
      <c r="Y653" s="4" t="n">
        <v>0.004729034963004031</v>
      </c>
      <c r="Z653" s="4" t="n">
        <v>0.007771798266619223</v>
      </c>
      <c r="AA653" s="4" t="n">
        <v>0.03</v>
      </c>
      <c r="AB653" s="4" t="n">
        <v>0.05</v>
      </c>
      <c r="AC653" s="4">
        <f>(AB653+2*參數!$B$7)/(AA653+AB653)</f>
        <v/>
      </c>
    </row>
    <row r="654">
      <c r="A654" s="2" t="n">
        <v>653</v>
      </c>
      <c r="B654" s="2" t="inlineStr">
        <is>
          <t>BEAMX_USDT_PERP</t>
        </is>
      </c>
      <c r="C654" s="2" t="inlineStr">
        <is>
          <t>做空</t>
        </is>
      </c>
      <c r="D654" s="7" t="n">
        <v>46300.25</v>
      </c>
      <c r="E654" s="20" t="n">
        <v>0.002531</v>
      </c>
      <c r="F654" s="20" t="n">
        <v>0.00245507</v>
      </c>
      <c r="G654" s="20" t="n">
        <v>0.00265755</v>
      </c>
      <c r="H654" s="7" t="n">
        <v>46300.45833333334</v>
      </c>
      <c r="I654" s="20" t="n">
        <v>0.00245507</v>
      </c>
      <c r="J654" s="2" t="inlineStr">
        <is>
          <t>止盈</t>
        </is>
      </c>
      <c r="K654" s="5">
        <f>(H654-D654)*24</f>
        <v/>
      </c>
      <c r="L654" s="4">
        <f>IF(C654="做多",I654/E654-1,1-I654/E654)-2*參數!$B$7</f>
        <v/>
      </c>
      <c r="M654" s="2" t="inlineStr"/>
      <c r="N654" s="4" t="n">
        <v>-0.02164669501352923</v>
      </c>
      <c r="O654" s="4" t="n">
        <v>0.0392543970578305</v>
      </c>
      <c r="P654" s="4" t="n">
        <v>-0.01689648475432126</v>
      </c>
      <c r="Q654" s="22" t="n">
        <v>-227853078</v>
      </c>
      <c r="R654" s="22" t="n">
        <v>1971820.563502</v>
      </c>
      <c r="S654" s="4" t="n">
        <v>0.03</v>
      </c>
      <c r="T654" s="4" t="n">
        <v>0.01619913077834867</v>
      </c>
      <c r="U654" s="19" t="n">
        <v>0.8644105883622295</v>
      </c>
      <c r="V654" s="19" t="n">
        <v>0.8141592920354002</v>
      </c>
      <c r="W654" s="4" t="n">
        <v>-0.1617712536204938</v>
      </c>
      <c r="X654" s="4" t="n">
        <v>-0.1854800936768148</v>
      </c>
      <c r="Y654" s="4" t="n">
        <v>-0.0004359421479127601</v>
      </c>
      <c r="Z654" s="4" t="n">
        <v>-0.007581638423965531</v>
      </c>
      <c r="AA654" s="4" t="n">
        <v>0.03</v>
      </c>
      <c r="AB654" s="4" t="n">
        <v>0.05</v>
      </c>
      <c r="AC654" s="4">
        <f>(AB654+2*參數!$B$7)/(AA654+AB654)</f>
        <v/>
      </c>
    </row>
    <row r="655">
      <c r="A655" s="2" t="n">
        <v>654</v>
      </c>
      <c r="B655" s="2" t="inlineStr">
        <is>
          <t>SAND_USDT_PERP</t>
        </is>
      </c>
      <c r="C655" s="2" t="inlineStr">
        <is>
          <t>做空</t>
        </is>
      </c>
      <c r="D655" s="7" t="n">
        <v>46300.375</v>
      </c>
      <c r="E655" s="20" t="n">
        <v>0.07375</v>
      </c>
      <c r="F655" s="20" t="n">
        <v>0.07153749999999999</v>
      </c>
      <c r="G655" s="20" t="n">
        <v>0.07743749999999999</v>
      </c>
      <c r="H655" s="7" t="n">
        <v>46300.5</v>
      </c>
      <c r="I655" s="20" t="n">
        <v>0.07153749999999999</v>
      </c>
      <c r="J655" s="2" t="inlineStr">
        <is>
          <t>止盈</t>
        </is>
      </c>
      <c r="K655" s="5">
        <f>(H655-D655)*24</f>
        <v/>
      </c>
      <c r="L655" s="4">
        <f>IF(C655="做多",I655/E655-1,1-I655/E655)-2*參數!$B$7</f>
        <v/>
      </c>
      <c r="M655" s="2" t="inlineStr"/>
      <c r="N655" s="4" t="n">
        <v>-0.0306256572029443</v>
      </c>
      <c r="O655" s="4" t="n">
        <v>0.03335260867959673</v>
      </c>
      <c r="P655" s="4" t="n">
        <v>-0.02705769053178719</v>
      </c>
      <c r="Q655" s="22" t="n">
        <v>-18873683</v>
      </c>
      <c r="R655" s="22" t="n">
        <v>4812883.96593</v>
      </c>
      <c r="S655" s="4" t="n">
        <v>0.03</v>
      </c>
      <c r="T655" s="4" t="n">
        <v>0.006101694915254363</v>
      </c>
      <c r="U655" s="19" t="n">
        <v>2.192628903613089</v>
      </c>
      <c r="V655" s="19" t="n">
        <v>0.7265625000000009</v>
      </c>
      <c r="W655" s="4" t="n">
        <v>-0.1775694965591019</v>
      </c>
      <c r="X655" s="4" t="n">
        <v>0.01073105298457422</v>
      </c>
      <c r="Y655" s="4" t="n">
        <v>-0.001403630477511797</v>
      </c>
      <c r="Z655" s="4" t="n">
        <v>-0.01369869747499353</v>
      </c>
      <c r="AA655" s="4" t="n">
        <v>0.03</v>
      </c>
      <c r="AB655" s="4" t="n">
        <v>0.05</v>
      </c>
      <c r="AC655" s="4">
        <f>(AB655+2*參數!$B$7)/(AA655+AB655)</f>
        <v/>
      </c>
    </row>
    <row r="656">
      <c r="A656" s="2" t="n">
        <v>655</v>
      </c>
      <c r="B656" s="2" t="inlineStr">
        <is>
          <t>AIN_USDT_PERP</t>
        </is>
      </c>
      <c r="C656" s="2" t="inlineStr">
        <is>
          <t>做空</t>
        </is>
      </c>
      <c r="D656" s="7" t="n">
        <v>46300.54166666666</v>
      </c>
      <c r="E656" s="20" t="n">
        <v>0.05426</v>
      </c>
      <c r="F656" s="20" t="n">
        <v>0.0526322</v>
      </c>
      <c r="G656" s="20" t="n">
        <v>0.056973</v>
      </c>
      <c r="H656" s="7" t="n">
        <v>46300.55208333334</v>
      </c>
      <c r="I656" s="20" t="n">
        <v>0.0526322</v>
      </c>
      <c r="J656" s="2" t="inlineStr">
        <is>
          <t>止盈</t>
        </is>
      </c>
      <c r="K656" s="5">
        <f>(H656-D656)*24</f>
        <v/>
      </c>
      <c r="L656" s="4">
        <f>IF(C656="做多",I656/E656-1,1-I656/E656)-2*參數!$B$7</f>
        <v/>
      </c>
      <c r="M656" s="2" t="inlineStr">
        <is>
          <t>同1h觸發；5分K判定先止盈</t>
        </is>
      </c>
      <c r="N656" s="4" t="n">
        <v>-0.05470383275261315</v>
      </c>
      <c r="O656" s="4" t="n">
        <v>0.1029712674940552</v>
      </c>
      <c r="P656" s="4" t="n">
        <v>-0.03313465016616324</v>
      </c>
      <c r="Q656" s="22" t="n">
        <v>-35686339</v>
      </c>
      <c r="R656" s="22" t="n">
        <v>8526655.47634</v>
      </c>
      <c r="S656" s="4" t="n">
        <v>0.03</v>
      </c>
      <c r="T656" s="4" t="n">
        <v>0</v>
      </c>
      <c r="U656" s="19" t="n">
        <v>2.209284187567097</v>
      </c>
      <c r="V656" s="19" t="n">
        <v>0.8686131386861301</v>
      </c>
      <c r="W656" s="4" t="n">
        <v>-0.5565430172149182</v>
      </c>
      <c r="X656" s="4" t="n">
        <v>-0.09483454398708635</v>
      </c>
      <c r="Y656" s="4" t="n">
        <v>0.006393942140750397</v>
      </c>
      <c r="Z656" s="4" t="n">
        <v>0.002011210040397504</v>
      </c>
      <c r="AA656" s="4" t="n">
        <v>0.03</v>
      </c>
      <c r="AB656" s="4" t="n">
        <v>0.05</v>
      </c>
      <c r="AC656" s="4">
        <f>(AB656+2*參數!$B$7)/(AA656+AB656)</f>
        <v/>
      </c>
    </row>
    <row r="657">
      <c r="A657" s="2" t="n">
        <v>656</v>
      </c>
      <c r="B657" s="2" t="inlineStr">
        <is>
          <t>MUBARAK_USDT_PERP</t>
        </is>
      </c>
      <c r="C657" s="2" t="inlineStr">
        <is>
          <t>做多</t>
        </is>
      </c>
      <c r="D657" s="7" t="n">
        <v>46300.54166666666</v>
      </c>
      <c r="E657" s="20" t="n">
        <v>0.07333000000000001</v>
      </c>
      <c r="F657" s="20" t="n">
        <v>0.07552990000000001</v>
      </c>
      <c r="G657" s="20" t="n">
        <v>0.0696635</v>
      </c>
      <c r="H657" s="7" t="n">
        <v>46300.58333333334</v>
      </c>
      <c r="I657" s="20" t="n">
        <v>0.07552990000000001</v>
      </c>
      <c r="J657" s="2" t="inlineStr">
        <is>
          <t>止盈</t>
        </is>
      </c>
      <c r="K657" s="5">
        <f>(H657-D657)*24</f>
        <v/>
      </c>
      <c r="L657" s="4">
        <f>IF(C657="做多",I657/E657-1,1-I657/E657)-2*參數!$B$7</f>
        <v/>
      </c>
      <c r="M657" s="2" t="inlineStr"/>
      <c r="N657" s="4" t="n">
        <v>0.04652490366776107</v>
      </c>
      <c r="O657" s="4" t="n">
        <v>0.03273464028154172</v>
      </c>
      <c r="P657" s="4" t="n">
        <v>0.05425843924319973</v>
      </c>
      <c r="Q657" s="22" t="n">
        <v>514394</v>
      </c>
      <c r="R657" s="22" t="n">
        <v>2446782.55352</v>
      </c>
      <c r="S657" s="4" t="n">
        <v>0.03</v>
      </c>
      <c r="T657" s="4" t="n">
        <v>0</v>
      </c>
      <c r="U657" s="19" t="n">
        <v>1.603874556189139</v>
      </c>
      <c r="V657" s="19" t="n">
        <v>0.9741602067183491</v>
      </c>
      <c r="W657" s="4" t="n">
        <v>0.1488382367455905</v>
      </c>
      <c r="X657" s="4" t="n">
        <v>0.1168138897349986</v>
      </c>
      <c r="Y657" s="4" t="n">
        <v>-0.006393942140750397</v>
      </c>
      <c r="Z657" s="4" t="n">
        <v>-0.002011210040397504</v>
      </c>
      <c r="AA657" s="4" t="n">
        <v>0.03</v>
      </c>
      <c r="AB657" s="4" t="n">
        <v>0.05</v>
      </c>
      <c r="AC657" s="4">
        <f>(AB657+2*參數!$B$7)/(AA657+AB657)</f>
        <v/>
      </c>
    </row>
    <row r="658">
      <c r="A658" s="2" t="n">
        <v>657</v>
      </c>
      <c r="B658" s="2" t="inlineStr">
        <is>
          <t>BR_USDT_PERP</t>
        </is>
      </c>
      <c r="C658" s="2" t="inlineStr">
        <is>
          <t>做空</t>
        </is>
      </c>
      <c r="D658" s="7" t="n">
        <v>46300.58333333334</v>
      </c>
      <c r="E658" s="20" t="n">
        <v>0.42459</v>
      </c>
      <c r="F658" s="20" t="n">
        <v>0.4118523</v>
      </c>
      <c r="G658" s="20" t="n">
        <v>0.4458195</v>
      </c>
      <c r="H658" s="7" t="n">
        <v>46300.75</v>
      </c>
      <c r="I658" s="20" t="n">
        <v>0.4118523</v>
      </c>
      <c r="J658" s="2" t="inlineStr">
        <is>
          <t>止盈</t>
        </is>
      </c>
      <c r="K658" s="5">
        <f>(H658-D658)*24</f>
        <v/>
      </c>
      <c r="L658" s="4">
        <f>IF(C658="做多",I658/E658-1,1-I658/E658)-2*參數!$B$7</f>
        <v/>
      </c>
      <c r="M658" s="2" t="inlineStr"/>
      <c r="N658" s="4" t="n">
        <v>-0.08523106754282017</v>
      </c>
      <c r="O658" s="4" t="n">
        <v>0.0483706678368491</v>
      </c>
      <c r="P658" s="4" t="n">
        <v>-0.0533353102428813</v>
      </c>
      <c r="Q658" s="22" t="n">
        <v>-1164785</v>
      </c>
      <c r="R658" s="22" t="n">
        <v>1480971.55315</v>
      </c>
      <c r="S658" s="4" t="n">
        <v>0.03</v>
      </c>
      <c r="T658" s="4" t="n">
        <v>0.0433359240679243</v>
      </c>
      <c r="U658" s="19" t="n">
        <v>0.5391984736800192</v>
      </c>
      <c r="V658" s="19" t="n">
        <v>0.9416199497390292</v>
      </c>
      <c r="W658" s="4" t="n">
        <v>0.295563755553207</v>
      </c>
      <c r="X658" s="4" t="n">
        <v>0.1375205671453817</v>
      </c>
      <c r="Y658" s="4" t="n">
        <v>-0.002739181286549597</v>
      </c>
      <c r="Z658" s="4" t="n">
        <v>-0.0004045529771283807</v>
      </c>
      <c r="AA658" s="4" t="n">
        <v>0.03</v>
      </c>
      <c r="AB658" s="4" t="n">
        <v>0.05</v>
      </c>
      <c r="AC658" s="4">
        <f>(AB658+2*參數!$B$7)/(AA658+AB658)</f>
        <v/>
      </c>
    </row>
    <row r="659">
      <c r="A659" s="2" t="n">
        <v>658</v>
      </c>
      <c r="B659" s="2" t="inlineStr">
        <is>
          <t>AIN_USDT_PERP</t>
        </is>
      </c>
      <c r="C659" s="2" t="inlineStr">
        <is>
          <t>做空</t>
        </is>
      </c>
      <c r="D659" s="7" t="n">
        <v>46300.625</v>
      </c>
      <c r="E659" s="20" t="n">
        <v>0.05491</v>
      </c>
      <c r="F659" s="20" t="n">
        <v>0.0532627</v>
      </c>
      <c r="G659" s="20" t="n">
        <v>0.05765550000000001</v>
      </c>
      <c r="H659" s="7" t="n">
        <v>46300.75</v>
      </c>
      <c r="I659" s="20" t="n">
        <v>0.05765550000000001</v>
      </c>
      <c r="J659" s="2" t="inlineStr">
        <is>
          <t>止損</t>
        </is>
      </c>
      <c r="K659" s="5">
        <f>(H659-D659)*24</f>
        <v/>
      </c>
      <c r="L659" s="4">
        <f>IF(C659="做多",I659/E659-1,1-I659/E659)-2*參數!$B$7</f>
        <v/>
      </c>
      <c r="M659" s="2" t="inlineStr"/>
      <c r="N659" s="4" t="n">
        <v>-0.03734221598877985</v>
      </c>
      <c r="O659" s="4" t="n">
        <v>0.1014173791477368</v>
      </c>
      <c r="P659" s="4" t="n">
        <v>-0.02368336830126938</v>
      </c>
      <c r="Q659" s="22" t="n">
        <v>-34824414</v>
      </c>
      <c r="R659" s="22" t="n">
        <v>6764458.088640001</v>
      </c>
      <c r="S659" s="4" t="n">
        <v>0.0107448552176288</v>
      </c>
      <c r="T659" s="4" t="n">
        <v>0.05</v>
      </c>
      <c r="U659" s="19" t="n">
        <v>1.314298526292645</v>
      </c>
      <c r="V659" s="19" t="n">
        <v>0.6010101010101011</v>
      </c>
      <c r="W659" s="4" t="n">
        <v>-0.5459026962502498</v>
      </c>
      <c r="X659" s="4" t="n">
        <v>-0.05616464704750901</v>
      </c>
      <c r="Y659" s="4" t="n">
        <v>-0.005606864005262668</v>
      </c>
      <c r="Z659" s="4" t="n">
        <v>-0.00543165797347922</v>
      </c>
      <c r="AA659" s="4" t="n">
        <v>0.03</v>
      </c>
      <c r="AB659" s="4" t="n">
        <v>0.05</v>
      </c>
      <c r="AC659" s="4">
        <f>(AB659+2*參數!$B$7)/(AA659+AB659)</f>
        <v/>
      </c>
    </row>
    <row r="660">
      <c r="A660" s="2" t="n">
        <v>659</v>
      </c>
      <c r="B660" s="2" t="inlineStr">
        <is>
          <t>FET_USDT_PERP</t>
        </is>
      </c>
      <c r="C660" s="2" t="inlineStr">
        <is>
          <t>做多</t>
        </is>
      </c>
      <c r="D660" s="7" t="n">
        <v>46300.66666666666</v>
      </c>
      <c r="E660" s="20" t="n">
        <v>0.2612</v>
      </c>
      <c r="F660" s="20" t="n">
        <v>0.269036</v>
      </c>
      <c r="G660" s="20" t="n">
        <v>0.24814</v>
      </c>
      <c r="H660" s="7" t="n">
        <v>46300.70833333334</v>
      </c>
      <c r="I660" s="20" t="n">
        <v>0.269036</v>
      </c>
      <c r="J660" s="2" t="inlineStr">
        <is>
          <t>止盈</t>
        </is>
      </c>
      <c r="K660" s="5">
        <f>(H660-D660)*24</f>
        <v/>
      </c>
      <c r="L660" s="4">
        <f>IF(C660="做多",I660/E660-1,1-I660/E660)-2*參數!$B$7</f>
        <v/>
      </c>
      <c r="M660" s="2" t="inlineStr"/>
      <c r="N660" s="4" t="n">
        <v>0.02552021986650965</v>
      </c>
      <c r="O660" s="4" t="n">
        <v>0.02213642514208095</v>
      </c>
      <c r="P660" s="4" t="n">
        <v>0.03554225226475305</v>
      </c>
      <c r="Q660" s="22" t="n">
        <v>6563015</v>
      </c>
      <c r="R660" s="22" t="n">
        <v>6241263.9639</v>
      </c>
      <c r="S660" s="4" t="n">
        <v>0.03</v>
      </c>
      <c r="T660" s="4" t="n">
        <v>0</v>
      </c>
      <c r="U660" s="19" t="n">
        <v>1.354395866231527</v>
      </c>
      <c r="V660" s="19" t="n">
        <v>0.7142857142857122</v>
      </c>
      <c r="W660" s="4" t="n">
        <v>0.1226730966779706</v>
      </c>
      <c r="X660" s="4" t="n">
        <v>0.1614050689195199</v>
      </c>
      <c r="Y660" s="4" t="n">
        <v>7.771278514523416e-05</v>
      </c>
      <c r="Z660" s="4" t="n">
        <v>0.004948539593969681</v>
      </c>
      <c r="AA660" s="4" t="n">
        <v>0.03</v>
      </c>
      <c r="AB660" s="4" t="n">
        <v>0.05</v>
      </c>
      <c r="AC660" s="4">
        <f>(AB660+2*參數!$B$7)/(AA660+AB660)</f>
        <v/>
      </c>
    </row>
    <row r="661">
      <c r="A661" s="2" t="n">
        <v>660</v>
      </c>
      <c r="B661" s="2" t="inlineStr">
        <is>
          <t>STRK_USDT_PERP</t>
        </is>
      </c>
      <c r="C661" s="2" t="inlineStr">
        <is>
          <t>做多</t>
        </is>
      </c>
      <c r="D661" s="7" t="n">
        <v>46300.70833333334</v>
      </c>
      <c r="E661" s="20" t="n">
        <v>0.059</v>
      </c>
      <c r="F661" s="20" t="n">
        <v>0.06077</v>
      </c>
      <c r="G661" s="20" t="n">
        <v>0.05605</v>
      </c>
      <c r="H661" s="7" t="n">
        <v>46300.875</v>
      </c>
      <c r="I661" s="20" t="n">
        <v>0.05605</v>
      </c>
      <c r="J661" s="2" t="inlineStr">
        <is>
          <t>止損</t>
        </is>
      </c>
      <c r="K661" s="5">
        <f>(H661-D661)*24</f>
        <v/>
      </c>
      <c r="L661" s="4">
        <f>IF(C661="做多",I661/E661-1,1-I661/E661)-2*參數!$B$7</f>
        <v/>
      </c>
      <c r="M661" s="2" t="inlineStr"/>
      <c r="N661" s="4" t="n">
        <v>0.03146853146853146</v>
      </c>
      <c r="O661" s="4" t="n">
        <v>0.02842604601413339</v>
      </c>
      <c r="P661" s="4" t="n">
        <v>0.02573018080667588</v>
      </c>
      <c r="Q661" s="22" t="n">
        <v>4787406.799999997</v>
      </c>
      <c r="R661" s="22" t="n">
        <v>1850623.67745</v>
      </c>
      <c r="S661" s="4" t="n">
        <v>0.005084745762711895</v>
      </c>
      <c r="T661" s="4" t="n">
        <v>0.05</v>
      </c>
      <c r="U661" s="19" t="n">
        <v>0.7974710099794765</v>
      </c>
      <c r="V661" s="19" t="n">
        <v>0.952380952380951</v>
      </c>
      <c r="W661" s="4" t="n">
        <v>0.2254392888298093</v>
      </c>
      <c r="X661" s="4" t="n">
        <v>0.09461966604823724</v>
      </c>
      <c r="Y661" s="4" t="n">
        <v>-0.0003850543251344707</v>
      </c>
      <c r="Z661" s="4" t="n">
        <v>0.003913167528309724</v>
      </c>
      <c r="AA661" s="4" t="n">
        <v>0.03</v>
      </c>
      <c r="AB661" s="4" t="n">
        <v>0.05</v>
      </c>
      <c r="AC661" s="4">
        <f>(AB661+2*參數!$B$7)/(AA661+AB661)</f>
        <v/>
      </c>
    </row>
    <row r="662">
      <c r="A662" s="2" t="n">
        <v>661</v>
      </c>
      <c r="B662" s="2" t="inlineStr">
        <is>
          <t>BTW_USDT_PERP</t>
        </is>
      </c>
      <c r="C662" s="2" t="inlineStr">
        <is>
          <t>做多</t>
        </is>
      </c>
      <c r="D662" s="7" t="n">
        <v>46300.75</v>
      </c>
      <c r="E662" s="20" t="n">
        <v>1.189999</v>
      </c>
      <c r="F662" s="20" t="n">
        <v>1.22569897</v>
      </c>
      <c r="G662" s="20" t="n">
        <v>1.13049905</v>
      </c>
      <c r="H662" s="7" t="n">
        <v>46300.83333333334</v>
      </c>
      <c r="I662" s="20" t="n">
        <v>1.22569897</v>
      </c>
      <c r="J662" s="2" t="inlineStr">
        <is>
          <t>止盈</t>
        </is>
      </c>
      <c r="K662" s="5">
        <f>(H662-D662)*24</f>
        <v/>
      </c>
      <c r="L662" s="4">
        <f>IF(C662="做多",I662/E662-1,1-I662/E662)-2*參數!$B$7</f>
        <v/>
      </c>
      <c r="M662" s="2" t="inlineStr"/>
      <c r="N662" s="4" t="n">
        <v>0.02224984494432602</v>
      </c>
      <c r="O662" s="4" t="n">
        <v>0.06814372353023643</v>
      </c>
      <c r="P662" s="4" t="n">
        <v>0.008757463222070605</v>
      </c>
      <c r="Q662" s="22" t="n">
        <v>331179</v>
      </c>
      <c r="R662" s="22" t="n">
        <v>2588578.428845</v>
      </c>
      <c r="S662" s="4" t="n">
        <v>0.03</v>
      </c>
      <c r="T662" s="4" t="n">
        <v>0.00637563560977783</v>
      </c>
      <c r="U662" s="19" t="n">
        <v>1.335092149082703</v>
      </c>
      <c r="V662" s="19" t="n">
        <v>0.9497215643602385</v>
      </c>
      <c r="W662" s="4" t="n">
        <v>-0.09925889230156504</v>
      </c>
      <c r="X662" s="4" t="n">
        <v>0.01362086118663597</v>
      </c>
      <c r="Y662" s="4" t="n">
        <v>-0.002934269576880366</v>
      </c>
      <c r="Z662" s="4" t="n">
        <v>0.0005360378328145288</v>
      </c>
      <c r="AA662" s="4" t="n">
        <v>0.03</v>
      </c>
      <c r="AB662" s="4" t="n">
        <v>0.05</v>
      </c>
      <c r="AC662" s="4">
        <f>(AB662+2*參數!$B$7)/(AA662+AB662)</f>
        <v/>
      </c>
    </row>
    <row r="663">
      <c r="A663" s="2" t="n">
        <v>662</v>
      </c>
      <c r="B663" s="2" t="inlineStr">
        <is>
          <t>NIL_USDT_PERP</t>
        </is>
      </c>
      <c r="C663" s="2" t="inlineStr">
        <is>
          <t>做多</t>
        </is>
      </c>
      <c r="D663" s="7" t="n">
        <v>46300.91666666666</v>
      </c>
      <c r="E663" s="20" t="n">
        <v>0.09872</v>
      </c>
      <c r="F663" s="20" t="n">
        <v>0.1016816</v>
      </c>
      <c r="G663" s="20" t="n">
        <v>0.09378399999999999</v>
      </c>
      <c r="H663" s="7" t="n">
        <v>46301</v>
      </c>
      <c r="I663" s="20" t="n">
        <v>0.1016816</v>
      </c>
      <c r="J663" s="2" t="inlineStr">
        <is>
          <t>止盈</t>
        </is>
      </c>
      <c r="K663" s="5">
        <f>(H663-D663)*24</f>
        <v/>
      </c>
      <c r="L663" s="4">
        <f>IF(C663="做多",I663/E663-1,1-I663/E663)-2*參數!$B$7</f>
        <v/>
      </c>
      <c r="M663" s="2" t="inlineStr"/>
      <c r="N663" s="4" t="n">
        <v>0.02608876416172956</v>
      </c>
      <c r="O663" s="4" t="n">
        <v>0.03792984992778904</v>
      </c>
      <c r="P663" s="4" t="n">
        <v>0.02580088739258279</v>
      </c>
      <c r="Q663" s="22" t="n">
        <v>3467356.699999999</v>
      </c>
      <c r="R663" s="22" t="n">
        <v>3033692.393848</v>
      </c>
      <c r="S663" s="4" t="n">
        <v>0.03</v>
      </c>
      <c r="T663" s="4" t="n">
        <v>0.01448541329011344</v>
      </c>
      <c r="U663" s="19" t="n">
        <v>1.107020625597417</v>
      </c>
      <c r="V663" s="19" t="n">
        <v>0.7514970059880244</v>
      </c>
      <c r="W663" s="4" t="n">
        <v>0.14928076817405</v>
      </c>
      <c r="X663" s="4" t="n">
        <v>0.131461318051576</v>
      </c>
      <c r="Y663" s="4" t="n">
        <v>0.006156885263659317</v>
      </c>
      <c r="Z663" s="4" t="n">
        <v>0.003760396225520601</v>
      </c>
      <c r="AA663" s="4" t="n">
        <v>0.03</v>
      </c>
      <c r="AB663" s="4" t="n">
        <v>0.05</v>
      </c>
      <c r="AC663" s="4">
        <f>(AB663+2*參數!$B$7)/(AA663+AB663)</f>
        <v/>
      </c>
    </row>
    <row r="664">
      <c r="A664" s="2" t="n">
        <v>663</v>
      </c>
      <c r="B664" s="2" t="inlineStr">
        <is>
          <t>FET_USDT_PERP</t>
        </is>
      </c>
      <c r="C664" s="2" t="inlineStr">
        <is>
          <t>做空</t>
        </is>
      </c>
      <c r="D664" s="7" t="n">
        <v>46300.95833333334</v>
      </c>
      <c r="E664" s="20" t="n">
        <v>0.2492</v>
      </c>
      <c r="F664" s="20" t="n">
        <v>0.241724</v>
      </c>
      <c r="G664" s="20" t="n">
        <v>0.26166</v>
      </c>
      <c r="H664" s="7" t="n">
        <v>46302.125</v>
      </c>
      <c r="I664" s="20" t="n">
        <v>0.241724</v>
      </c>
      <c r="J664" s="2" t="inlineStr">
        <is>
          <t>止盈</t>
        </is>
      </c>
      <c r="K664" s="5">
        <f>(H664-D664)*24</f>
        <v/>
      </c>
      <c r="L664" s="4">
        <f>IF(C664="做多",I664/E664-1,1-I664/E664)-2*參數!$B$7</f>
        <v/>
      </c>
      <c r="M664" s="2" t="inlineStr"/>
      <c r="N664" s="4" t="n">
        <v>-0.03110419906687389</v>
      </c>
      <c r="O664" s="4" t="n">
        <v>0.02594514528957778</v>
      </c>
      <c r="P664" s="4" t="n">
        <v>-0.03364032961706243</v>
      </c>
      <c r="Q664" s="22" t="n">
        <v>-335045</v>
      </c>
      <c r="R664" s="22" t="n">
        <v>5889252.235499999</v>
      </c>
      <c r="S664" s="4" t="n">
        <v>0.03</v>
      </c>
      <c r="T664" s="4" t="n">
        <v>0.02929373996789719</v>
      </c>
      <c r="U664" s="19" t="n">
        <v>0.6141870481091037</v>
      </c>
      <c r="V664" s="19" t="n">
        <v>0.9299999999999995</v>
      </c>
      <c r="W664" s="4" t="n">
        <v>-0.06347567064687665</v>
      </c>
      <c r="X664" s="4" t="n">
        <v>-0.03790087463556846</v>
      </c>
      <c r="Y664" s="4" t="n">
        <v>0.009100096430229243</v>
      </c>
      <c r="Z664" s="4" t="n">
        <v>0.005547712277368722</v>
      </c>
      <c r="AA664" s="4" t="n">
        <v>0.03</v>
      </c>
      <c r="AB664" s="4" t="n">
        <v>0.05</v>
      </c>
      <c r="AC664" s="4">
        <f>(AB664+2*參數!$B$7)/(AA664+AB664)</f>
        <v/>
      </c>
    </row>
    <row r="665">
      <c r="A665" s="2" t="n">
        <v>664</v>
      </c>
      <c r="B665" s="2" t="inlineStr">
        <is>
          <t>SAND_USDT_PERP</t>
        </is>
      </c>
      <c r="C665" s="2" t="inlineStr">
        <is>
          <t>做空</t>
        </is>
      </c>
      <c r="D665" s="7" t="n">
        <v>46300.95833333334</v>
      </c>
      <c r="E665" s="20" t="n">
        <v>0.06942</v>
      </c>
      <c r="F665" s="20" t="n">
        <v>0.06733739999999999</v>
      </c>
      <c r="G665" s="20" t="n">
        <v>0.072891</v>
      </c>
      <c r="H665" s="7" t="n">
        <v>46301</v>
      </c>
      <c r="I665" s="20" t="n">
        <v>0.06733739999999999</v>
      </c>
      <c r="J665" s="2" t="inlineStr">
        <is>
          <t>止盈</t>
        </is>
      </c>
      <c r="K665" s="5">
        <f>(H665-D665)*24</f>
        <v/>
      </c>
      <c r="L665" s="4">
        <f>IF(C665="做多",I665/E665-1,1-I665/E665)-2*參數!$B$7</f>
        <v/>
      </c>
      <c r="M665" s="2" t="inlineStr"/>
      <c r="N665" s="4" t="n">
        <v>-0.02936241610738266</v>
      </c>
      <c r="O665" s="4" t="n">
        <v>0.02789387942735251</v>
      </c>
      <c r="P665" s="4" t="n">
        <v>-0.0499260962391197</v>
      </c>
      <c r="Q665" s="22" t="n">
        <v>-11032780</v>
      </c>
      <c r="R665" s="22" t="n">
        <v>2595442.1574</v>
      </c>
      <c r="S665" s="4" t="n">
        <v>0.03</v>
      </c>
      <c r="T665" s="4" t="n">
        <v>0</v>
      </c>
      <c r="U665" s="19" t="n">
        <v>2.405828911445115</v>
      </c>
      <c r="V665" s="19" t="n">
        <v>0.6919540229885066</v>
      </c>
      <c r="W665" s="4" t="n">
        <v>-0.04200595903724769</v>
      </c>
      <c r="X665" s="4" t="n">
        <v>0.1129568106312292</v>
      </c>
      <c r="Y665" s="4" t="n">
        <v>0.009100096430229243</v>
      </c>
      <c r="Z665" s="4" t="n">
        <v>0.005547712277368722</v>
      </c>
      <c r="AA665" s="4" t="n">
        <v>0.03</v>
      </c>
      <c r="AB665" s="4" t="n">
        <v>0.05</v>
      </c>
      <c r="AC665" s="4">
        <f>(AB665+2*參數!$B$7)/(AA665+AB665)</f>
        <v/>
      </c>
    </row>
    <row r="666">
      <c r="A666" s="2" t="n">
        <v>665</v>
      </c>
      <c r="B666" s="2" t="inlineStr">
        <is>
          <t>BTW_USDT_PERP</t>
        </is>
      </c>
      <c r="C666" s="2" t="inlineStr">
        <is>
          <t>做多</t>
        </is>
      </c>
      <c r="D666" s="7" t="n">
        <v>46301</v>
      </c>
      <c r="E666" s="20" t="n">
        <v>1.209897</v>
      </c>
      <c r="F666" s="20" t="n">
        <v>1.24619391</v>
      </c>
      <c r="G666" s="20" t="n">
        <v>1.14940215</v>
      </c>
      <c r="H666" s="7" t="n">
        <v>46301.08333333334</v>
      </c>
      <c r="I666" s="20" t="n">
        <v>1.24619391</v>
      </c>
      <c r="J666" s="2" t="inlineStr">
        <is>
          <t>止盈</t>
        </is>
      </c>
      <c r="K666" s="5">
        <f>(H666-D666)*24</f>
        <v/>
      </c>
      <c r="L666" s="4">
        <f>IF(C666="做多",I666/E666-1,1-I666/E666)-2*參數!$B$7</f>
        <v/>
      </c>
      <c r="M666" s="2" t="inlineStr"/>
      <c r="N666" s="4" t="n">
        <v>0.04243053461422486</v>
      </c>
      <c r="O666" s="4" t="n">
        <v>0.05545621001758195</v>
      </c>
      <c r="P666" s="4" t="n">
        <v>0.03209460489739868</v>
      </c>
      <c r="Q666" s="22" t="n">
        <v>70476</v>
      </c>
      <c r="R666" s="22" t="n">
        <v>2788289.443381</v>
      </c>
      <c r="S666" s="4" t="n">
        <v>0.03</v>
      </c>
      <c r="T666" s="4" t="n">
        <v>0.01647826219917903</v>
      </c>
      <c r="U666" s="19" t="n">
        <v>0.7276550161250628</v>
      </c>
      <c r="V666" s="19" t="n">
        <v>0.8109424142280132</v>
      </c>
      <c r="W666" s="4" t="n">
        <v>-0.07562517238957123</v>
      </c>
      <c r="X666" s="4" t="n">
        <v>0.01014067197606172</v>
      </c>
      <c r="Y666" s="4" t="n">
        <v>-0.004409002121554928</v>
      </c>
      <c r="Z666" s="4" t="n">
        <v>-0.009836085383021276</v>
      </c>
      <c r="AA666" s="4" t="n">
        <v>0.03</v>
      </c>
      <c r="AB666" s="4" t="n">
        <v>0.05</v>
      </c>
      <c r="AC666" s="4">
        <f>(AB666+2*參數!$B$7)/(AA666+AB666)</f>
        <v/>
      </c>
    </row>
    <row r="667">
      <c r="A667" s="2" t="n">
        <v>666</v>
      </c>
      <c r="B667" s="2" t="inlineStr">
        <is>
          <t>QNT_USDT_PERP</t>
        </is>
      </c>
      <c r="C667" s="2" t="inlineStr">
        <is>
          <t>做多</t>
        </is>
      </c>
      <c r="D667" s="7" t="n">
        <v>46301.25</v>
      </c>
      <c r="E667" s="20" t="n">
        <v>258.78</v>
      </c>
      <c r="F667" s="20" t="n">
        <v>266.5434</v>
      </c>
      <c r="G667" s="20" t="n">
        <v>245.841</v>
      </c>
      <c r="H667" s="7" t="n">
        <v>46301.375</v>
      </c>
      <c r="I667" s="20" t="n">
        <v>266.5434</v>
      </c>
      <c r="J667" s="2" t="inlineStr">
        <is>
          <t>止盈</t>
        </is>
      </c>
      <c r="K667" s="5">
        <f>(H667-D667)*24</f>
        <v/>
      </c>
      <c r="L667" s="4">
        <f>IF(C667="做多",I667/E667-1,1-I667/E667)-2*參數!$B$7</f>
        <v/>
      </c>
      <c r="M667" s="2" t="inlineStr"/>
      <c r="N667" s="4" t="n">
        <v>0.02248212098462976</v>
      </c>
      <c r="O667" s="4" t="n">
        <v>0.02287789572550736</v>
      </c>
      <c r="P667" s="4" t="n">
        <v>0.02154973334228094</v>
      </c>
      <c r="Q667" s="22" t="n">
        <v>3737.899999999987</v>
      </c>
      <c r="R667" s="22" t="n">
        <v>15098777.699</v>
      </c>
      <c r="S667" s="4" t="n">
        <v>0.03</v>
      </c>
      <c r="T667" s="4" t="n">
        <v>0.01425921632274507</v>
      </c>
      <c r="U667" s="19" t="n">
        <v>1.186573843456004</v>
      </c>
      <c r="V667" s="19" t="n">
        <v>0.7438307873090471</v>
      </c>
      <c r="W667" s="4" t="n">
        <v>0.02489848245478199</v>
      </c>
      <c r="X667" s="4" t="n">
        <v>0.04233294397228815</v>
      </c>
      <c r="Y667" s="4" t="n">
        <v>0.001937387734154639</v>
      </c>
      <c r="Z667" s="4" t="n">
        <v>0.0004580089103551899</v>
      </c>
      <c r="AA667" s="4" t="n">
        <v>0.03</v>
      </c>
      <c r="AB667" s="4" t="n">
        <v>0.05</v>
      </c>
      <c r="AC667" s="4">
        <f>(AB667+2*參數!$B$7)/(AA667+AB667)</f>
        <v/>
      </c>
    </row>
    <row r="668">
      <c r="A668" s="2" t="n">
        <v>667</v>
      </c>
      <c r="B668" s="2" t="inlineStr">
        <is>
          <t>SAND_USDT_PERP</t>
        </is>
      </c>
      <c r="C668" s="2" t="inlineStr">
        <is>
          <t>做空</t>
        </is>
      </c>
      <c r="D668" s="7" t="n">
        <v>46301.375</v>
      </c>
      <c r="E668" s="20" t="n">
        <v>0.06743</v>
      </c>
      <c r="F668" s="20" t="n">
        <v>0.0654071</v>
      </c>
      <c r="G668" s="20" t="n">
        <v>0.0708015</v>
      </c>
      <c r="H668" s="7" t="n">
        <v>46301.58333333334</v>
      </c>
      <c r="I668" s="20" t="n">
        <v>0.0654071</v>
      </c>
      <c r="J668" s="2" t="inlineStr">
        <is>
          <t>止盈</t>
        </is>
      </c>
      <c r="K668" s="5">
        <f>(H668-D668)*24</f>
        <v/>
      </c>
      <c r="L668" s="4">
        <f>IF(C668="做多",I668/E668-1,1-I668/E668)-2*參數!$B$7</f>
        <v/>
      </c>
      <c r="M668" s="2" t="inlineStr"/>
      <c r="N668" s="4" t="n">
        <v>-0.03159557661927326</v>
      </c>
      <c r="O668" s="4" t="n">
        <v>0.02424621650972385</v>
      </c>
      <c r="P668" s="4" t="n">
        <v>-0.03945868945868936</v>
      </c>
      <c r="Q668" s="22" t="n">
        <v>-9335301</v>
      </c>
      <c r="R668" s="22" t="n">
        <v>1616872.34639</v>
      </c>
      <c r="S668" s="4" t="n">
        <v>0.03</v>
      </c>
      <c r="T668" s="4" t="n">
        <v>0.003855850511641723</v>
      </c>
      <c r="U668" s="19" t="n">
        <v>0.9210553274219884</v>
      </c>
      <c r="V668" s="19" t="n">
        <v>0.9543726235741412</v>
      </c>
      <c r="W668" s="4" t="n">
        <v>0.02386980684405793</v>
      </c>
      <c r="X668" s="4" t="n">
        <v>0.08569491525423722</v>
      </c>
      <c r="Y668" s="4" t="n">
        <v>-0.001810605106093099</v>
      </c>
      <c r="Z668" s="4" t="n">
        <v>-0.0004670735297698236</v>
      </c>
      <c r="AA668" s="4" t="n">
        <v>0.03</v>
      </c>
      <c r="AB668" s="4" t="n">
        <v>0.05</v>
      </c>
      <c r="AC668" s="4">
        <f>(AB668+2*參數!$B$7)/(AA668+AB668)</f>
        <v/>
      </c>
    </row>
    <row r="669">
      <c r="A669" s="2" t="n">
        <v>668</v>
      </c>
      <c r="B669" s="2" t="inlineStr">
        <is>
          <t>BR_USDT_PERP</t>
        </is>
      </c>
      <c r="C669" s="2" t="inlineStr">
        <is>
          <t>做空</t>
        </is>
      </c>
      <c r="D669" s="7" t="n">
        <v>46301.45833333334</v>
      </c>
      <c r="E669" s="20" t="n">
        <v>0.40543</v>
      </c>
      <c r="F669" s="20" t="n">
        <v>0.3932671</v>
      </c>
      <c r="G669" s="20" t="n">
        <v>0.4257015</v>
      </c>
      <c r="H669" s="7" t="n">
        <v>46301.54166666666</v>
      </c>
      <c r="I669" s="20" t="n">
        <v>0.3932671</v>
      </c>
      <c r="J669" s="2" t="inlineStr">
        <is>
          <t>止盈</t>
        </is>
      </c>
      <c r="K669" s="5">
        <f>(H669-D669)*24</f>
        <v/>
      </c>
      <c r="L669" s="4">
        <f>IF(C669="做多",I669/E669-1,1-I669/E669)-2*參數!$B$7</f>
        <v/>
      </c>
      <c r="M669" s="2" t="inlineStr"/>
      <c r="N669" s="4" t="n">
        <v>-0.04117396651215588</v>
      </c>
      <c r="O669" s="4" t="n">
        <v>0.06702498958243375</v>
      </c>
      <c r="P669" s="4" t="n">
        <v>-0.03334291017597135</v>
      </c>
      <c r="Q669" s="22" t="n">
        <v>-675711</v>
      </c>
      <c r="R669" s="22" t="n">
        <v>1632203.68484</v>
      </c>
      <c r="S669" s="4" t="n">
        <v>0.03</v>
      </c>
      <c r="T669" s="4" t="n">
        <v>0.02034876550822573</v>
      </c>
      <c r="U669" s="19" t="n">
        <v>1.042713757344873</v>
      </c>
      <c r="V669" s="19" t="n">
        <v>0.9679460143399393</v>
      </c>
      <c r="W669" s="4" t="n">
        <v>0.2448973814368014</v>
      </c>
      <c r="X669" s="4" t="n">
        <v>0.05153698591681088</v>
      </c>
      <c r="Y669" s="4" t="n">
        <v>0.001564941571621792</v>
      </c>
      <c r="Z669" s="4" t="n">
        <v>0.003480269294688143</v>
      </c>
      <c r="AA669" s="4" t="n">
        <v>0.03</v>
      </c>
      <c r="AB669" s="4" t="n">
        <v>0.05</v>
      </c>
      <c r="AC669" s="4">
        <f>(AB669+2*參數!$B$7)/(AA669+AB669)</f>
        <v/>
      </c>
    </row>
    <row r="670">
      <c r="A670" s="2" t="n">
        <v>669</v>
      </c>
      <c r="B670" s="2" t="inlineStr">
        <is>
          <t>NIL_USDT_PERP</t>
        </is>
      </c>
      <c r="C670" s="2" t="inlineStr">
        <is>
          <t>做空</t>
        </is>
      </c>
      <c r="D670" s="7" t="n">
        <v>46301.5</v>
      </c>
      <c r="E670" s="20" t="n">
        <v>0.10057</v>
      </c>
      <c r="F670" s="20" t="n">
        <v>0.0975529</v>
      </c>
      <c r="G670" s="20" t="n">
        <v>0.1055985</v>
      </c>
      <c r="H670" s="7" t="n">
        <v>46302.16666666666</v>
      </c>
      <c r="I670" s="20" t="n">
        <v>0.0975529</v>
      </c>
      <c r="J670" s="2" t="inlineStr">
        <is>
          <t>止盈</t>
        </is>
      </c>
      <c r="K670" s="5">
        <f>(H670-D670)*24</f>
        <v/>
      </c>
      <c r="L670" s="4">
        <f>IF(C670="做多",I670/E670-1,1-I670/E670)-2*參數!$B$7</f>
        <v/>
      </c>
      <c r="M670" s="2" t="inlineStr"/>
      <c r="N670" s="4" t="n">
        <v>-0.02264334305150628</v>
      </c>
      <c r="O670" s="4" t="n">
        <v>0.04425505301749631</v>
      </c>
      <c r="P670" s="4" t="n">
        <v>-0.0345171865924897</v>
      </c>
      <c r="Q670" s="22" t="n">
        <v>-2504527.200000001</v>
      </c>
      <c r="R670" s="22" t="n">
        <v>5850223.11494</v>
      </c>
      <c r="S670" s="4" t="n">
        <v>0.03</v>
      </c>
      <c r="T670" s="4" t="n">
        <v>0.037884060853137</v>
      </c>
      <c r="U670" s="19" t="n">
        <v>0.3721253351349912</v>
      </c>
      <c r="V670" s="19" t="n">
        <v>0.8823529411764683</v>
      </c>
      <c r="W670" s="4" t="n">
        <v>-0.1276711689791197</v>
      </c>
      <c r="X670" s="4" t="n">
        <v>-0.004996502448286311</v>
      </c>
      <c r="Y670" s="4" t="n">
        <v>0.0002023576419837303</v>
      </c>
      <c r="Z670" s="4" t="n">
        <v>0.003248149578605974</v>
      </c>
      <c r="AA670" s="4" t="n">
        <v>0.03</v>
      </c>
      <c r="AB670" s="4" t="n">
        <v>0.05</v>
      </c>
      <c r="AC670" s="4">
        <f>(AB670+2*參數!$B$7)/(AA670+AB670)</f>
        <v/>
      </c>
    </row>
    <row r="671">
      <c r="A671" s="2" t="n">
        <v>670</v>
      </c>
      <c r="B671" s="2" t="inlineStr">
        <is>
          <t>MUBARAK_USDT_PERP</t>
        </is>
      </c>
      <c r="C671" s="2" t="inlineStr">
        <is>
          <t>做空</t>
        </is>
      </c>
      <c r="D671" s="7" t="n">
        <v>46301.58333333334</v>
      </c>
      <c r="E671" s="20" t="n">
        <v>0.07226</v>
      </c>
      <c r="F671" s="20" t="n">
        <v>0.07009220000000001</v>
      </c>
      <c r="G671" s="20" t="n">
        <v>0.07587300000000001</v>
      </c>
      <c r="H671" s="7" t="n">
        <v>46301.70833333334</v>
      </c>
      <c r="I671" s="20" t="n">
        <v>0.07009220000000001</v>
      </c>
      <c r="J671" s="2" t="inlineStr">
        <is>
          <t>止盈</t>
        </is>
      </c>
      <c r="K671" s="5">
        <f>(H671-D671)*24</f>
        <v/>
      </c>
      <c r="L671" s="4">
        <f>IF(C671="做多",I671/E671-1,1-I671/E671)-2*參數!$B$7</f>
        <v/>
      </c>
      <c r="M671" s="2" t="inlineStr"/>
      <c r="N671" s="4" t="n">
        <v>-0.03666177842954255</v>
      </c>
      <c r="O671" s="4" t="n">
        <v>0.03216257948182671</v>
      </c>
      <c r="P671" s="4" t="n">
        <v>-0.03857795754362392</v>
      </c>
      <c r="Q671" s="22" t="n">
        <v>-2362488</v>
      </c>
      <c r="R671" s="22" t="n">
        <v>1780119.04581</v>
      </c>
      <c r="S671" s="4" t="n">
        <v>0.03</v>
      </c>
      <c r="T671" s="4" t="n">
        <v>0.0305840022142263</v>
      </c>
      <c r="U671" s="19" t="n">
        <v>0.3996870573702052</v>
      </c>
      <c r="V671" s="19" t="n">
        <v>0.7922606924643569</v>
      </c>
      <c r="W671" s="4" t="n">
        <v>-0.07129143545046568</v>
      </c>
      <c r="X671" s="4" t="n">
        <v>0.07144692881007453</v>
      </c>
      <c r="Y671" s="4" t="n">
        <v>0.001236209487265216</v>
      </c>
      <c r="Z671" s="4" t="n">
        <v>0.002590128689635374</v>
      </c>
      <c r="AA671" s="4" t="n">
        <v>0.03</v>
      </c>
      <c r="AB671" s="4" t="n">
        <v>0.05</v>
      </c>
      <c r="AC671" s="4">
        <f>(AB671+2*參數!$B$7)/(AA671+AB671)</f>
        <v/>
      </c>
    </row>
    <row r="672">
      <c r="A672" s="2" t="n">
        <v>671</v>
      </c>
      <c r="B672" s="2" t="inlineStr">
        <is>
          <t>AIN_USDT_PERP</t>
        </is>
      </c>
      <c r="C672" s="2" t="inlineStr">
        <is>
          <t>做空</t>
        </is>
      </c>
      <c r="D672" s="7" t="n">
        <v>46301.70833333334</v>
      </c>
      <c r="E672" s="20" t="n">
        <v>0.05618</v>
      </c>
      <c r="F672" s="20" t="n">
        <v>0.0544946</v>
      </c>
      <c r="G672" s="20" t="n">
        <v>0.05898900000000001</v>
      </c>
      <c r="H672" s="7" t="n">
        <v>46301.75</v>
      </c>
      <c r="I672" s="20" t="n">
        <v>0.0544946</v>
      </c>
      <c r="J672" s="2" t="inlineStr">
        <is>
          <t>止盈</t>
        </is>
      </c>
      <c r="K672" s="5">
        <f>(H672-D672)*24</f>
        <v/>
      </c>
      <c r="L672" s="4">
        <f>IF(C672="做多",I672/E672-1,1-I672/E672)-2*參數!$B$7</f>
        <v/>
      </c>
      <c r="M672" s="2" t="inlineStr"/>
      <c r="N672" s="4" t="n">
        <v>-0.03586751330015447</v>
      </c>
      <c r="O672" s="4" t="n">
        <v>0.06484578401135765</v>
      </c>
      <c r="P672" s="4" t="n">
        <v>-0.008392830351863556</v>
      </c>
      <c r="Q672" s="22" t="n">
        <v>-2140082</v>
      </c>
      <c r="R672" s="22" t="n">
        <v>3483162.63301</v>
      </c>
      <c r="S672" s="4" t="n">
        <v>0.03</v>
      </c>
      <c r="T672" s="4" t="n">
        <v>0</v>
      </c>
      <c r="U672" s="19" t="n">
        <v>0.453834765963818</v>
      </c>
      <c r="V672" s="19" t="n">
        <v>0.8750000000000007</v>
      </c>
      <c r="W672" s="4" t="n">
        <v>-0.2707331030723334</v>
      </c>
      <c r="X672" s="4" t="n">
        <v>-0.007171029042667643</v>
      </c>
      <c r="Y672" s="4" t="n">
        <v>-0.00535945664020665</v>
      </c>
      <c r="Z672" s="4" t="n">
        <v>-0.003942049064421527</v>
      </c>
      <c r="AA672" s="4" t="n">
        <v>0.03</v>
      </c>
      <c r="AB672" s="4" t="n">
        <v>0.05</v>
      </c>
      <c r="AC672" s="4">
        <f>(AB672+2*參數!$B$7)/(AA672+AB672)</f>
        <v/>
      </c>
    </row>
    <row r="673">
      <c r="A673" s="2" t="n">
        <v>672</v>
      </c>
      <c r="B673" s="2" t="inlineStr">
        <is>
          <t>MUBARAK_USDT_PERP</t>
        </is>
      </c>
      <c r="C673" s="2" t="inlineStr">
        <is>
          <t>做多</t>
        </is>
      </c>
      <c r="D673" s="7" t="n">
        <v>46301.75</v>
      </c>
      <c r="E673" s="20" t="n">
        <v>0.07776</v>
      </c>
      <c r="F673" s="20" t="n">
        <v>0.08009279999999999</v>
      </c>
      <c r="G673" s="20" t="n">
        <v>0.07387199999999999</v>
      </c>
      <c r="H673" s="7" t="n">
        <v>46302.95833333334</v>
      </c>
      <c r="I673" s="20" t="n">
        <v>0.07387199999999999</v>
      </c>
      <c r="J673" s="2" t="inlineStr">
        <is>
          <t>止損</t>
        </is>
      </c>
      <c r="K673" s="5">
        <f>(H673-D673)*24</f>
        <v/>
      </c>
      <c r="L673" s="4">
        <f>IF(C673="做多",I673/E673-1,1-I673/E673)-2*參數!$B$7</f>
        <v/>
      </c>
      <c r="M673" s="2" t="inlineStr"/>
      <c r="N673" s="4" t="n">
        <v>0.05209038019212553</v>
      </c>
      <c r="O673" s="4" t="n">
        <v>0.0359636158351773</v>
      </c>
      <c r="P673" s="4" t="n">
        <v>0.04071308118525652</v>
      </c>
      <c r="Q673" s="22" t="n">
        <v>95617</v>
      </c>
      <c r="R673" s="22" t="n">
        <v>1384508.19077</v>
      </c>
      <c r="S673" s="4" t="n">
        <v>0.004372427983539096</v>
      </c>
      <c r="T673" s="4" t="n">
        <v>0.05</v>
      </c>
      <c r="U673" s="19" t="n">
        <v>1.252468485880023</v>
      </c>
      <c r="V673" s="19" t="n">
        <v>0.9831932773109221</v>
      </c>
      <c r="W673" s="4" t="n">
        <v>0.1461588349743528</v>
      </c>
      <c r="X673" s="4" t="n">
        <v>0.04445936870382794</v>
      </c>
      <c r="Y673" s="4" t="n">
        <v>-0.0002489220164543227</v>
      </c>
      <c r="Z673" s="4" t="n">
        <v>0.003946786999536656</v>
      </c>
      <c r="AA673" s="4" t="n">
        <v>0.03</v>
      </c>
      <c r="AB673" s="4" t="n">
        <v>0.05</v>
      </c>
      <c r="AC673" s="4">
        <f>(AB673+2*參數!$B$7)/(AA673+AB673)</f>
        <v/>
      </c>
    </row>
    <row r="674">
      <c r="A674" s="2" t="n">
        <v>673</v>
      </c>
      <c r="B674" s="2" t="inlineStr">
        <is>
          <t>PUMP_USDT_PERP</t>
        </is>
      </c>
      <c r="C674" s="2" t="inlineStr">
        <is>
          <t>做空</t>
        </is>
      </c>
      <c r="D674" s="7" t="n">
        <v>46302.20833333334</v>
      </c>
      <c r="E674" s="20" t="n">
        <v>0.006211</v>
      </c>
      <c r="F674" s="20" t="n">
        <v>0.00602467</v>
      </c>
      <c r="G674" s="20" t="n">
        <v>0.006521550000000001</v>
      </c>
      <c r="H674" s="7" t="n">
        <v>46302.45833333334</v>
      </c>
      <c r="I674" s="20" t="n">
        <v>0.00602467</v>
      </c>
      <c r="J674" s="2" t="inlineStr">
        <is>
          <t>止盈</t>
        </is>
      </c>
      <c r="K674" s="5">
        <f>(H674-D674)*24</f>
        <v/>
      </c>
      <c r="L674" s="4">
        <f>IF(C674="做多",I674/E674-1,1-I674/E674)-2*參數!$B$7</f>
        <v/>
      </c>
      <c r="M674" s="2" t="inlineStr"/>
      <c r="N674" s="4" t="n">
        <v>-0.02111899133175721</v>
      </c>
      <c r="O674" s="4" t="n">
        <v>0.02098837967533907</v>
      </c>
      <c r="P674" s="4" t="n">
        <v>-0.01555677072188788</v>
      </c>
      <c r="Q674" s="22" t="n">
        <v>-161934167</v>
      </c>
      <c r="R674" s="22" t="n">
        <v>9943483.202306999</v>
      </c>
      <c r="S674" s="4" t="n">
        <v>0.03</v>
      </c>
      <c r="T674" s="4" t="n">
        <v>0.005796168088874509</v>
      </c>
      <c r="U674" s="19" t="n">
        <v>0.652755851158441</v>
      </c>
      <c r="V674" s="19" t="n">
        <v>0.9622641509433912</v>
      </c>
      <c r="W674" s="4" t="n">
        <v>-0.006669530053404982</v>
      </c>
      <c r="X674" s="4" t="n">
        <v>0.04475545985850504</v>
      </c>
      <c r="Y674" s="4" t="n">
        <v>-7.713064645997747e-05</v>
      </c>
      <c r="Z674" s="4" t="n">
        <v>0.002147100679472991</v>
      </c>
      <c r="AA674" s="4" t="n">
        <v>0.03</v>
      </c>
      <c r="AB674" s="4" t="n">
        <v>0.05</v>
      </c>
      <c r="AC674" s="4">
        <f>(AB674+2*參數!$B$7)/(AA674+AB674)</f>
        <v/>
      </c>
    </row>
    <row r="675">
      <c r="A675" s="2" t="n">
        <v>674</v>
      </c>
      <c r="B675" s="2" t="inlineStr">
        <is>
          <t>BR_USDT_PERP</t>
        </is>
      </c>
      <c r="C675" s="2" t="inlineStr">
        <is>
          <t>做多</t>
        </is>
      </c>
      <c r="D675" s="7" t="n">
        <v>46302.375</v>
      </c>
      <c r="E675" s="20" t="n">
        <v>0.60021</v>
      </c>
      <c r="F675" s="20" t="n">
        <v>0.6182163000000001</v>
      </c>
      <c r="G675" s="20" t="n">
        <v>0.5701995</v>
      </c>
      <c r="H675" s="7" t="n">
        <v>46302.41666666666</v>
      </c>
      <c r="I675" s="20" t="n">
        <v>0.5701995</v>
      </c>
      <c r="J675" s="2" t="inlineStr">
        <is>
          <t>止損</t>
        </is>
      </c>
      <c r="K675" s="5">
        <f>(H675-D675)*24</f>
        <v/>
      </c>
      <c r="L675" s="4">
        <f>IF(C675="做多",I675/E675-1,1-I675/E675)-2*參數!$B$7</f>
        <v/>
      </c>
      <c r="M675" s="2" t="inlineStr"/>
      <c r="N675" s="4" t="n">
        <v>0.04679270291952986</v>
      </c>
      <c r="O675" s="4" t="n">
        <v>0.08154678582586401</v>
      </c>
      <c r="P675" s="4" t="n">
        <v>0.05683706016845402</v>
      </c>
      <c r="Q675" s="22" t="n">
        <v>825664</v>
      </c>
      <c r="R675" s="22" t="n">
        <v>10612672.46913</v>
      </c>
      <c r="S675" s="4" t="n">
        <v>0</v>
      </c>
      <c r="T675" s="4" t="n">
        <v>0.05</v>
      </c>
      <c r="U675" s="19" t="n">
        <v>0.372549125435927</v>
      </c>
      <c r="V675" s="19" t="n">
        <v>0.8673437980917225</v>
      </c>
      <c r="W675" s="4" t="n">
        <v>0.1815455192571782</v>
      </c>
      <c r="X675" s="4" t="n">
        <v>0.2508283838699594</v>
      </c>
      <c r="Y675" s="4" t="n">
        <v>-7.835542488521252e-05</v>
      </c>
      <c r="Z675" s="4" t="n">
        <v>-0.002954423767254744</v>
      </c>
      <c r="AA675" s="4" t="n">
        <v>0.03</v>
      </c>
      <c r="AB675" s="4" t="n">
        <v>0.05</v>
      </c>
      <c r="AC675" s="4">
        <f>(AB675+2*參數!$B$7)/(AA675+AB675)</f>
        <v/>
      </c>
    </row>
    <row r="676">
      <c r="A676" s="2" t="n">
        <v>675</v>
      </c>
      <c r="B676" s="2" t="inlineStr">
        <is>
          <t>API3_USDT_PERP</t>
        </is>
      </c>
      <c r="C676" s="2" t="inlineStr">
        <is>
          <t>做空</t>
        </is>
      </c>
      <c r="D676" s="7" t="n">
        <v>46302.41666666666</v>
      </c>
      <c r="E676" s="20" t="n">
        <v>0.3407</v>
      </c>
      <c r="F676" s="20" t="n">
        <v>0.330479</v>
      </c>
      <c r="G676" s="20" t="n">
        <v>0.357735</v>
      </c>
      <c r="H676" s="7" t="n">
        <v>46302.45833333334</v>
      </c>
      <c r="I676" s="20" t="n">
        <v>0.330479</v>
      </c>
      <c r="J676" s="2" t="inlineStr">
        <is>
          <t>止盈</t>
        </is>
      </c>
      <c r="K676" s="5">
        <f>(H676-D676)*24</f>
        <v/>
      </c>
      <c r="L676" s="4">
        <f>IF(C676="做多",I676/E676-1,1-I676/E676)-2*參數!$B$7</f>
        <v/>
      </c>
      <c r="M676" s="2" t="inlineStr"/>
      <c r="N676" s="4" t="n">
        <v>-0.02378223495702003</v>
      </c>
      <c r="O676" s="4" t="n">
        <v>0.03409255830445387</v>
      </c>
      <c r="P676" s="4" t="n">
        <v>-0.01573040199916231</v>
      </c>
      <c r="Q676" s="22" t="n">
        <v>-2122217</v>
      </c>
      <c r="R676" s="22" t="n">
        <v>2340633.18171</v>
      </c>
      <c r="S676" s="4" t="n">
        <v>0.03</v>
      </c>
      <c r="T676" s="4" t="n">
        <v>0</v>
      </c>
      <c r="U676" s="19" t="n">
        <v>0.6123144429689111</v>
      </c>
      <c r="V676" s="19" t="n">
        <v>1</v>
      </c>
      <c r="W676" s="4" t="n">
        <v>-0.1156701388775188</v>
      </c>
      <c r="X676" s="4" t="n">
        <v>-0.1000968679367131</v>
      </c>
      <c r="Y676" s="4" t="n">
        <v>0.01368403447441024</v>
      </c>
      <c r="Z676" s="4" t="n">
        <v>0.01593974777906682</v>
      </c>
      <c r="AA676" s="4" t="n">
        <v>0.03</v>
      </c>
      <c r="AB676" s="4" t="n">
        <v>0.05</v>
      </c>
      <c r="AC676" s="4">
        <f>(AB676+2*參數!$B$7)/(AA676+AB676)</f>
        <v/>
      </c>
    </row>
    <row r="677">
      <c r="A677" s="2" t="n">
        <v>676</v>
      </c>
      <c r="B677" s="2" t="inlineStr">
        <is>
          <t>PONS_USDT_PERP</t>
        </is>
      </c>
      <c r="C677" s="2" t="inlineStr">
        <is>
          <t>做多</t>
        </is>
      </c>
      <c r="D677" s="7" t="n">
        <v>46302.5</v>
      </c>
      <c r="E677" s="20" t="n">
        <v>0.413</v>
      </c>
      <c r="F677" s="20" t="n">
        <v>0.42539</v>
      </c>
      <c r="G677" s="20" t="n">
        <v>0.39235</v>
      </c>
      <c r="H677" s="7" t="n">
        <v>46302.91666666666</v>
      </c>
      <c r="I677" s="20" t="n">
        <v>0.39235</v>
      </c>
      <c r="J677" s="2" t="inlineStr">
        <is>
          <t>止損</t>
        </is>
      </c>
      <c r="K677" s="5">
        <f>(H677-D677)*24</f>
        <v/>
      </c>
      <c r="L677" s="4">
        <f>IF(C677="做多",I677/E677-1,1-I677/E677)-2*參數!$B$7</f>
        <v/>
      </c>
      <c r="M677" s="2" t="inlineStr"/>
      <c r="N677" s="4" t="n">
        <v>0.03146853146853146</v>
      </c>
      <c r="O677" s="4" t="n">
        <v>0.02945083497750937</v>
      </c>
      <c r="P677" s="4" t="n">
        <v>0.026801253045597</v>
      </c>
      <c r="Q677" s="22" t="n">
        <v>625915</v>
      </c>
      <c r="R677" s="22" t="n">
        <v>1654317.789</v>
      </c>
      <c r="S677" s="4" t="n">
        <v>0.008716707021791947</v>
      </c>
      <c r="T677" s="4" t="n">
        <v>0.05</v>
      </c>
      <c r="U677" s="19" t="n">
        <v>1.211084584077962</v>
      </c>
      <c r="V677" s="19" t="n">
        <v>0.6984126984126968</v>
      </c>
      <c r="W677" s="4" t="n">
        <v>0.02504281353155768</v>
      </c>
      <c r="X677" s="4" t="n">
        <v>0.08827404479578393</v>
      </c>
      <c r="Y677" s="4" t="n">
        <v>0.003452817852523715</v>
      </c>
      <c r="Z677" s="4" t="n">
        <v>-0.01693845260934435</v>
      </c>
      <c r="AA677" s="4" t="n">
        <v>0.03</v>
      </c>
      <c r="AB677" s="4" t="n">
        <v>0.05</v>
      </c>
      <c r="AC677" s="4">
        <f>(AB677+2*參數!$B$7)/(AA677+AB677)</f>
        <v/>
      </c>
    </row>
    <row r="678">
      <c r="A678" s="2" t="n">
        <v>677</v>
      </c>
      <c r="B678" s="2" t="inlineStr">
        <is>
          <t>ZRO_USDT_PERP</t>
        </is>
      </c>
      <c r="C678" s="2" t="inlineStr">
        <is>
          <t>做空</t>
        </is>
      </c>
      <c r="D678" s="7" t="n">
        <v>46302.5</v>
      </c>
      <c r="E678" s="20" t="n">
        <v>2.1723</v>
      </c>
      <c r="F678" s="20" t="n">
        <v>2.107131</v>
      </c>
      <c r="G678" s="20" t="n">
        <v>2.280915</v>
      </c>
      <c r="H678" s="7" t="n">
        <v>46302.83333333334</v>
      </c>
      <c r="I678" s="20" t="n">
        <v>2.107131</v>
      </c>
      <c r="J678" s="2" t="inlineStr">
        <is>
          <t>止盈</t>
        </is>
      </c>
      <c r="K678" s="5">
        <f>(H678-D678)*24</f>
        <v/>
      </c>
      <c r="L678" s="4">
        <f>IF(C678="做多",I678/E678-1,1-I678/E678)-2*參數!$B$7</f>
        <v/>
      </c>
      <c r="M678" s="2" t="inlineStr"/>
      <c r="N678" s="4" t="n">
        <v>-0.02175087814104304</v>
      </c>
      <c r="O678" s="4" t="n">
        <v>0.02248499223832428</v>
      </c>
      <c r="P678" s="4" t="n">
        <v>-0.01948128153972528</v>
      </c>
      <c r="Q678" s="22" t="n">
        <v>-39728.19999999995</v>
      </c>
      <c r="R678" s="22" t="n">
        <v>1489504.71986</v>
      </c>
      <c r="S678" s="4" t="n">
        <v>0.03</v>
      </c>
      <c r="T678" s="4" t="n">
        <v>0.03843852138286596</v>
      </c>
      <c r="U678" s="19" t="n">
        <v>1.397934502453033</v>
      </c>
      <c r="V678" s="19" t="n">
        <v>0.9731182795698915</v>
      </c>
      <c r="W678" s="4" t="n">
        <v>-0.06801562863361532</v>
      </c>
      <c r="X678" s="4" t="n">
        <v>-0.01499859826184458</v>
      </c>
      <c r="Y678" s="4" t="n">
        <v>-0.003452817852523715</v>
      </c>
      <c r="Z678" s="4" t="n">
        <v>0.01693845260934435</v>
      </c>
      <c r="AA678" s="4" t="n">
        <v>0.03</v>
      </c>
      <c r="AB678" s="4" t="n">
        <v>0.05</v>
      </c>
      <c r="AC678" s="4">
        <f>(AB678+2*參數!$B$7)/(AA678+AB678)</f>
        <v/>
      </c>
    </row>
    <row r="679">
      <c r="A679" s="2" t="n">
        <v>678</v>
      </c>
      <c r="B679" s="2" t="inlineStr">
        <is>
          <t>BR_USDT_PERP</t>
        </is>
      </c>
      <c r="C679" s="2" t="inlineStr">
        <is>
          <t>做多</t>
        </is>
      </c>
      <c r="D679" s="7" t="n">
        <v>46302.58333333334</v>
      </c>
      <c r="E679" s="20" t="n">
        <v>0.59982</v>
      </c>
      <c r="F679" s="20" t="n">
        <v>0.6178146</v>
      </c>
      <c r="G679" s="20" t="n">
        <v>0.569829</v>
      </c>
      <c r="H679" s="7" t="n">
        <v>46302.625</v>
      </c>
      <c r="I679" s="20" t="n">
        <v>0.569829</v>
      </c>
      <c r="J679" s="2" t="inlineStr">
        <is>
          <t>止損</t>
        </is>
      </c>
      <c r="K679" s="5">
        <f>(H679-D679)*24</f>
        <v/>
      </c>
      <c r="L679" s="4">
        <f>IF(C679="做多",I679/E679-1,1-I679/E679)-2*參數!$B$7</f>
        <v/>
      </c>
      <c r="M679" s="2" t="inlineStr"/>
      <c r="N679" s="4" t="n">
        <v>0.03127417774186347</v>
      </c>
      <c r="O679" s="4" t="n">
        <v>0.07718059390269948</v>
      </c>
      <c r="P679" s="4" t="n">
        <v>0.02245473001651765</v>
      </c>
      <c r="Q679" s="22" t="n">
        <v>995373</v>
      </c>
      <c r="R679" s="22" t="n">
        <v>11705856.50736</v>
      </c>
      <c r="S679" s="4" t="n">
        <v>0</v>
      </c>
      <c r="T679" s="4" t="n">
        <v>0.05</v>
      </c>
      <c r="U679" s="19" t="n">
        <v>1.289437895413672</v>
      </c>
      <c r="V679" s="19" t="n">
        <v>0.8505074160811866</v>
      </c>
      <c r="W679" s="4" t="n">
        <v>0.1897021797520948</v>
      </c>
      <c r="X679" s="4" t="n">
        <v>0.5143145670285281</v>
      </c>
      <c r="Y679" s="4" t="n">
        <v>0.002720669234667517</v>
      </c>
      <c r="Z679" s="4" t="n">
        <v>-0.01272857669772443</v>
      </c>
      <c r="AA679" s="4" t="n">
        <v>0.03</v>
      </c>
      <c r="AB679" s="4" t="n">
        <v>0.05</v>
      </c>
      <c r="AC679" s="4">
        <f>(AB679+2*參數!$B$7)/(AA679+AB679)</f>
        <v/>
      </c>
    </row>
    <row r="680">
      <c r="A680" s="2" t="n">
        <v>679</v>
      </c>
      <c r="B680" s="2" t="inlineStr">
        <is>
          <t>PUMP_USDT_PERP</t>
        </is>
      </c>
      <c r="C680" s="2" t="inlineStr">
        <is>
          <t>做多</t>
        </is>
      </c>
      <c r="D680" s="7" t="n">
        <v>46302.58333333334</v>
      </c>
      <c r="E680" s="20" t="n">
        <v>0.006498</v>
      </c>
      <c r="F680" s="20" t="n">
        <v>0.006692940000000001</v>
      </c>
      <c r="G680" s="20" t="n">
        <v>0.0061731</v>
      </c>
      <c r="H680" s="7" t="n">
        <v>46302.91666666666</v>
      </c>
      <c r="I680" s="20" t="n">
        <v>0.0061731</v>
      </c>
      <c r="J680" s="2" t="inlineStr">
        <is>
          <t>止損</t>
        </is>
      </c>
      <c r="K680" s="5">
        <f>(H680-D680)*24</f>
        <v/>
      </c>
      <c r="L680" s="4">
        <f>IF(C680="做多",I680/E680-1,1-I680/E680)-2*參數!$B$7</f>
        <v/>
      </c>
      <c r="M680" s="2" t="inlineStr"/>
      <c r="N680" s="4" t="n">
        <v>0.03603316326530615</v>
      </c>
      <c r="O680" s="4" t="n">
        <v>0.02121035954782538</v>
      </c>
      <c r="P680" s="4" t="n">
        <v>0.03705831657569658</v>
      </c>
      <c r="Q680" s="22" t="n">
        <v>338538618</v>
      </c>
      <c r="R680" s="22" t="n">
        <v>10992336.601592</v>
      </c>
      <c r="S680" s="4" t="n">
        <v>0.02493074792243766</v>
      </c>
      <c r="T680" s="4" t="n">
        <v>0.05</v>
      </c>
      <c r="U680" s="19" t="n">
        <v>1.552336287700203</v>
      </c>
      <c r="V680" s="19" t="n">
        <v>0.8901960784313749</v>
      </c>
      <c r="W680" s="4" t="n">
        <v>0.041125915671685</v>
      </c>
      <c r="X680" s="4" t="n">
        <v>0.03389021479713605</v>
      </c>
      <c r="Y680" s="4" t="n">
        <v>0.002720669234667517</v>
      </c>
      <c r="Z680" s="4" t="n">
        <v>-0.01272857669772443</v>
      </c>
      <c r="AA680" s="4" t="n">
        <v>0.03</v>
      </c>
      <c r="AB680" s="4" t="n">
        <v>0.05</v>
      </c>
      <c r="AC680" s="4">
        <f>(AB680+2*參數!$B$7)/(AA680+AB680)</f>
        <v/>
      </c>
    </row>
    <row r="681">
      <c r="A681" s="2" t="n">
        <v>680</v>
      </c>
      <c r="B681" s="2" t="inlineStr">
        <is>
          <t>US_USDT_PERP</t>
        </is>
      </c>
      <c r="C681" s="2" t="inlineStr">
        <is>
          <t>做多</t>
        </is>
      </c>
      <c r="D681" s="7" t="n">
        <v>46302.625</v>
      </c>
      <c r="E681" s="20" t="n">
        <v>0.01482</v>
      </c>
      <c r="F681" s="20" t="n">
        <v>0.0152646</v>
      </c>
      <c r="G681" s="20" t="n">
        <v>0.014079</v>
      </c>
      <c r="H681" s="7" t="n">
        <v>46302.83333333334</v>
      </c>
      <c r="I681" s="20" t="n">
        <v>0.014079</v>
      </c>
      <c r="J681" s="2" t="inlineStr">
        <is>
          <t>止損</t>
        </is>
      </c>
      <c r="K681" s="5">
        <f>(H681-D681)*24</f>
        <v/>
      </c>
      <c r="L681" s="4">
        <f>IF(C681="做多",I681/E681-1,1-I681/E681)-2*參數!$B$7</f>
        <v/>
      </c>
      <c r="M681" s="2" t="inlineStr"/>
      <c r="N681" s="4" t="n">
        <v>0.03636363636363638</v>
      </c>
      <c r="O681" s="4" t="n">
        <v>0.05713596659952648</v>
      </c>
      <c r="P681" s="4" t="n">
        <v>0.01170768338055095</v>
      </c>
      <c r="Q681" s="22" t="n">
        <v>3957945</v>
      </c>
      <c r="R681" s="22" t="n">
        <v>1225691.72392</v>
      </c>
      <c r="S681" s="4" t="n">
        <v>0.01821862348178138</v>
      </c>
      <c r="T681" s="4" t="n">
        <v>0.05</v>
      </c>
      <c r="U681" s="19" t="n">
        <v>0.57596212901949</v>
      </c>
      <c r="V681" s="19" t="n">
        <v>0.8034188034188039</v>
      </c>
      <c r="W681" s="4" t="n">
        <v>-0.0603780044762019</v>
      </c>
      <c r="X681" s="4" t="n">
        <v>0.3243967828418231</v>
      </c>
      <c r="Y681" s="4" t="n">
        <v>-0.001262325169743561</v>
      </c>
      <c r="Z681" s="4" t="n">
        <v>-0.01285536532589182</v>
      </c>
      <c r="AA681" s="4" t="n">
        <v>0.03</v>
      </c>
      <c r="AB681" s="4" t="n">
        <v>0.05</v>
      </c>
      <c r="AC681" s="4">
        <f>(AB681+2*參數!$B$7)/(AA681+AB681)</f>
        <v/>
      </c>
    </row>
    <row r="682">
      <c r="A682" s="2" t="n">
        <v>681</v>
      </c>
      <c r="B682" s="2" t="inlineStr">
        <is>
          <t>NMR_USDT_PERP</t>
        </is>
      </c>
      <c r="C682" s="2" t="inlineStr">
        <is>
          <t>做多</t>
        </is>
      </c>
      <c r="D682" s="7" t="n">
        <v>46302.66666666666</v>
      </c>
      <c r="E682" s="20" t="n">
        <v>16.872</v>
      </c>
      <c r="F682" s="20" t="n">
        <v>17.37816</v>
      </c>
      <c r="G682" s="20" t="n">
        <v>16.0284</v>
      </c>
      <c r="H682" s="7" t="n">
        <v>46302.79166666666</v>
      </c>
      <c r="I682" s="20" t="n">
        <v>16.0284</v>
      </c>
      <c r="J682" s="2" t="inlineStr">
        <is>
          <t>止損</t>
        </is>
      </c>
      <c r="K682" s="5">
        <f>(H682-D682)*24</f>
        <v/>
      </c>
      <c r="L682" s="4">
        <f>IF(C682="做多",I682/E682-1,1-I682/E682)-2*參數!$B$7</f>
        <v/>
      </c>
      <c r="M682" s="2" t="inlineStr"/>
      <c r="N682" s="4" t="n">
        <v>0.02328966521106257</v>
      </c>
      <c r="O682" s="4" t="n">
        <v>0.05078668393412098</v>
      </c>
      <c r="P682" s="4" t="n">
        <v>0.03781709027384772</v>
      </c>
      <c r="Q682" s="22" t="n">
        <v>76195.70000000001</v>
      </c>
      <c r="R682" s="22" t="n">
        <v>3639898.9194</v>
      </c>
      <c r="S682" s="4" t="n">
        <v>0.01019440493124701</v>
      </c>
      <c r="T682" s="4" t="n">
        <v>0.05</v>
      </c>
      <c r="U682" s="19" t="n">
        <v>0.7032717546372286</v>
      </c>
      <c r="V682" s="19" t="n">
        <v>0.5714285714285714</v>
      </c>
      <c r="W682" s="4" t="n">
        <v>0.3335072140748558</v>
      </c>
      <c r="X682" s="4" t="n">
        <v>0.3963419680542912</v>
      </c>
      <c r="Y682" s="4" t="n">
        <v>-0.001042972114156826</v>
      </c>
      <c r="Z682" s="4" t="n">
        <v>-0.01265982549042122</v>
      </c>
      <c r="AA682" s="4" t="n">
        <v>0.03</v>
      </c>
      <c r="AB682" s="4" t="n">
        <v>0.05</v>
      </c>
      <c r="AC682" s="4">
        <f>(AB682+2*參數!$B$7)/(AA682+AB682)</f>
        <v/>
      </c>
    </row>
    <row r="683">
      <c r="A683" s="2" t="n">
        <v>682</v>
      </c>
      <c r="B683" s="2" t="inlineStr">
        <is>
          <t>NEAR_USDT_PERP</t>
        </is>
      </c>
      <c r="C683" s="2" t="inlineStr">
        <is>
          <t>做空</t>
        </is>
      </c>
      <c r="D683" s="7" t="n">
        <v>46302.75</v>
      </c>
      <c r="E683" s="20" t="n">
        <v>4.979</v>
      </c>
      <c r="F683" s="20" t="n">
        <v>4.82963</v>
      </c>
      <c r="G683" s="20" t="n">
        <v>5.22795</v>
      </c>
      <c r="H683" s="7" t="n">
        <v>46303.125</v>
      </c>
      <c r="I683" s="20" t="n">
        <v>5.22795</v>
      </c>
      <c r="J683" s="2" t="inlineStr">
        <is>
          <t>止損</t>
        </is>
      </c>
      <c r="K683" s="5">
        <f>(H683-D683)*24</f>
        <v/>
      </c>
      <c r="L683" s="4">
        <f>IF(C683="做多",I683/E683-1,1-I683/E683)-2*參數!$B$7</f>
        <v/>
      </c>
      <c r="M683" s="2" t="inlineStr"/>
      <c r="N683" s="4" t="n">
        <v>-0.03282828282828276</v>
      </c>
      <c r="O683" s="4" t="n">
        <v>0.02095428543381231</v>
      </c>
      <c r="P683" s="4" t="n">
        <v>-0.01940896692302396</v>
      </c>
      <c r="Q683" s="22" t="n">
        <v>-1073545</v>
      </c>
      <c r="R683" s="22" t="n">
        <v>12021332.71</v>
      </c>
      <c r="S683" s="4" t="n">
        <v>0.005623619200642804</v>
      </c>
      <c r="T683" s="4" t="n">
        <v>0.05</v>
      </c>
      <c r="U683" s="19" t="n">
        <v>0.9673362479055525</v>
      </c>
      <c r="V683" s="19" t="n">
        <v>0.9259259259259247</v>
      </c>
      <c r="W683" s="4" t="n">
        <v>-0.0001305653479566349</v>
      </c>
      <c r="X683" s="4" t="n">
        <v>0.0532420612283705</v>
      </c>
      <c r="Y683" s="4" t="n">
        <v>0.001743536817467195</v>
      </c>
      <c r="Z683" s="4" t="n">
        <v>0.01378162112215664</v>
      </c>
      <c r="AA683" s="4" t="n">
        <v>0.03</v>
      </c>
      <c r="AB683" s="4" t="n">
        <v>0.05</v>
      </c>
      <c r="AC683" s="4">
        <f>(AB683+2*參數!$B$7)/(AA683+AB683)</f>
        <v/>
      </c>
    </row>
    <row r="684">
      <c r="A684" s="2" t="n">
        <v>683</v>
      </c>
      <c r="B684" s="2" t="inlineStr">
        <is>
          <t>ORCA_USDT_PERP</t>
        </is>
      </c>
      <c r="C684" s="2" t="inlineStr">
        <is>
          <t>做空</t>
        </is>
      </c>
      <c r="D684" s="7" t="n">
        <v>46302.75</v>
      </c>
      <c r="E684" s="20" t="n">
        <v>2.841</v>
      </c>
      <c r="F684" s="20" t="n">
        <v>2.75577</v>
      </c>
      <c r="G684" s="20" t="n">
        <v>2.98305</v>
      </c>
      <c r="H684" s="7" t="n">
        <v>46302.83333333334</v>
      </c>
      <c r="I684" s="20" t="n">
        <v>2.75577</v>
      </c>
      <c r="J684" s="2" t="inlineStr">
        <is>
          <t>止盈</t>
        </is>
      </c>
      <c r="K684" s="5">
        <f>(H684-D684)*24</f>
        <v/>
      </c>
      <c r="L684" s="4">
        <f>IF(C684="做多",I684/E684-1,1-I684/E684)-2*參數!$B$7</f>
        <v/>
      </c>
      <c r="M684" s="2" t="inlineStr"/>
      <c r="N684" s="4" t="n">
        <v>-0.02068252326783859</v>
      </c>
      <c r="O684" s="4" t="n">
        <v>0.05680458546534</v>
      </c>
      <c r="P684" s="4" t="n">
        <v>-0.03039197283322803</v>
      </c>
      <c r="Q684" s="22" t="n">
        <v>-396614.6</v>
      </c>
      <c r="R684" s="22" t="n">
        <v>5652967.892</v>
      </c>
      <c r="S684" s="4" t="n">
        <v>0.03</v>
      </c>
      <c r="T684" s="4" t="n">
        <v>0.01302358324533603</v>
      </c>
      <c r="U684" s="19" t="n">
        <v>0.8760831130245141</v>
      </c>
      <c r="V684" s="19" t="n">
        <v>0.6428571428571409</v>
      </c>
      <c r="W684" s="4" t="n">
        <v>-0.2954620070769345</v>
      </c>
      <c r="X684" s="4" t="n">
        <v>-0.1115023474178405</v>
      </c>
      <c r="Y684" s="4" t="n">
        <v>0.001743536817467195</v>
      </c>
      <c r="Z684" s="4" t="n">
        <v>0.01378162112215664</v>
      </c>
      <c r="AA684" s="4" t="n">
        <v>0.03</v>
      </c>
      <c r="AB684" s="4" t="n">
        <v>0.05</v>
      </c>
      <c r="AC684" s="4">
        <f>(AB684+2*參數!$B$7)/(AA684+AB684)</f>
        <v/>
      </c>
    </row>
    <row r="685">
      <c r="A685" s="2" t="n">
        <v>684</v>
      </c>
      <c r="B685" s="2" t="inlineStr">
        <is>
          <t>QNT_USDT_PERP</t>
        </is>
      </c>
      <c r="C685" s="2" t="inlineStr">
        <is>
          <t>做空</t>
        </is>
      </c>
      <c r="D685" s="7" t="n">
        <v>46302.75</v>
      </c>
      <c r="E685" s="20" t="n">
        <v>243.64</v>
      </c>
      <c r="F685" s="20" t="n">
        <v>236.3308</v>
      </c>
      <c r="G685" s="20" t="n">
        <v>255.822</v>
      </c>
      <c r="H685" s="7" t="n">
        <v>46302.91666666666</v>
      </c>
      <c r="I685" s="20" t="n">
        <v>236.3308</v>
      </c>
      <c r="J685" s="2" t="inlineStr">
        <is>
          <t>止盈</t>
        </is>
      </c>
      <c r="K685" s="5">
        <f>(H685-D685)*24</f>
        <v/>
      </c>
      <c r="L685" s="4">
        <f>IF(C685="做多",I685/E685-1,1-I685/E685)-2*參數!$B$7</f>
        <v/>
      </c>
      <c r="M685" s="2" t="inlineStr"/>
      <c r="N685" s="4" t="n">
        <v>-0.03524194187059482</v>
      </c>
      <c r="O685" s="4" t="n">
        <v>0.02342984028772711</v>
      </c>
      <c r="P685" s="4" t="n">
        <v>-0.05418887495681268</v>
      </c>
      <c r="Q685" s="22" t="n">
        <v>-9880.599999999991</v>
      </c>
      <c r="R685" s="22" t="n">
        <v>14125728.225</v>
      </c>
      <c r="S685" s="4" t="n">
        <v>0.03</v>
      </c>
      <c r="T685" s="4" t="n">
        <v>0.00939911344606803</v>
      </c>
      <c r="U685" s="19" t="n">
        <v>1.100979497576834</v>
      </c>
      <c r="V685" s="19" t="n">
        <v>0.8221024258760117</v>
      </c>
      <c r="W685" s="4" t="n">
        <v>0.05212200719506477</v>
      </c>
      <c r="X685" s="4" t="n">
        <v>0.04108942065491195</v>
      </c>
      <c r="Y685" s="4" t="n">
        <v>0.001743536817467195</v>
      </c>
      <c r="Z685" s="4" t="n">
        <v>0.01378162112215664</v>
      </c>
      <c r="AA685" s="4" t="n">
        <v>0.03</v>
      </c>
      <c r="AB685" s="4" t="n">
        <v>0.05</v>
      </c>
      <c r="AC685" s="4">
        <f>(AB685+2*參數!$B$7)/(AA685+AB685)</f>
        <v/>
      </c>
    </row>
    <row r="686">
      <c r="A686" s="2" t="n">
        <v>685</v>
      </c>
      <c r="B686" s="2" t="inlineStr">
        <is>
          <t>NMR_USDT_PERP</t>
        </is>
      </c>
      <c r="C686" s="2" t="inlineStr">
        <is>
          <t>做空</t>
        </is>
      </c>
      <c r="D686" s="7" t="n">
        <v>46302.83333333334</v>
      </c>
      <c r="E686" s="20" t="n">
        <v>16.218</v>
      </c>
      <c r="F686" s="20" t="n">
        <v>15.73146</v>
      </c>
      <c r="G686" s="20" t="n">
        <v>17.0289</v>
      </c>
      <c r="H686" s="7" t="n">
        <v>46302.875</v>
      </c>
      <c r="I686" s="20" t="n">
        <v>15.73146</v>
      </c>
      <c r="J686" s="2" t="inlineStr">
        <is>
          <t>止盈</t>
        </is>
      </c>
      <c r="K686" s="5">
        <f>(H686-D686)*24</f>
        <v/>
      </c>
      <c r="L686" s="4">
        <f>IF(C686="做多",I686/E686-1,1-I686/E686)-2*參數!$B$7</f>
        <v/>
      </c>
      <c r="M686" s="2" t="inlineStr"/>
      <c r="N686" s="4" t="n">
        <v>-0.03950251702694707</v>
      </c>
      <c r="O686" s="4" t="n">
        <v>0.05214511647282047</v>
      </c>
      <c r="P686" s="4" t="n">
        <v>-0.003456380478363164</v>
      </c>
      <c r="Q686" s="22" t="n">
        <v>-10356.59999999998</v>
      </c>
      <c r="R686" s="22" t="n">
        <v>3911760.4664</v>
      </c>
      <c r="S686" s="4" t="n">
        <v>0.03</v>
      </c>
      <c r="T686" s="4" t="n">
        <v>0</v>
      </c>
      <c r="U686" s="19" t="n">
        <v>1.105568009991615</v>
      </c>
      <c r="V686" s="19" t="n">
        <v>0.7581300813008131</v>
      </c>
      <c r="W686" s="4" t="n">
        <v>-0.2619008344200611</v>
      </c>
      <c r="X686" s="4" t="n">
        <v>-0.04108357940685581</v>
      </c>
      <c r="Y686" s="4" t="n">
        <v>1.19463608397874e-05</v>
      </c>
      <c r="Z686" s="4" t="n">
        <v>0.0116469017300268</v>
      </c>
      <c r="AA686" s="4" t="n">
        <v>0.03</v>
      </c>
      <c r="AB686" s="4" t="n">
        <v>0.05</v>
      </c>
      <c r="AC686" s="4">
        <f>(AB686+2*參數!$B$7)/(AA686+AB686)</f>
        <v/>
      </c>
    </row>
    <row r="687">
      <c r="A687" s="2" t="n">
        <v>686</v>
      </c>
      <c r="B687" s="2" t="inlineStr">
        <is>
          <t>PUMP_USDT_PERP</t>
        </is>
      </c>
      <c r="C687" s="2" t="inlineStr">
        <is>
          <t>做空</t>
        </is>
      </c>
      <c r="D687" s="7" t="n">
        <v>46302.95833333334</v>
      </c>
      <c r="E687" s="20" t="n">
        <v>0.006048</v>
      </c>
      <c r="F687" s="20" t="n">
        <v>0.00586656</v>
      </c>
      <c r="G687" s="20" t="n">
        <v>0.006350400000000001</v>
      </c>
      <c r="H687" s="7" t="n">
        <v>46303.125</v>
      </c>
      <c r="I687" s="20" t="n">
        <v>0.006350400000000001</v>
      </c>
      <c r="J687" s="2" t="inlineStr">
        <is>
          <t>止損</t>
        </is>
      </c>
      <c r="K687" s="5">
        <f>(H687-D687)*24</f>
        <v/>
      </c>
      <c r="L687" s="4">
        <f>IF(C687="做多",I687/E687-1,1-I687/E687)-2*參數!$B$7</f>
        <v/>
      </c>
      <c r="M687" s="2" t="inlineStr"/>
      <c r="N687" s="4" t="n">
        <v>-0.02796528447444546</v>
      </c>
      <c r="O687" s="4" t="n">
        <v>0.02707655146292992</v>
      </c>
      <c r="P687" s="4" t="n">
        <v>-0.04134667966428107</v>
      </c>
      <c r="Q687" s="22" t="n">
        <v>-3224504674</v>
      </c>
      <c r="R687" s="22" t="n">
        <v>33372174.457005</v>
      </c>
      <c r="S687" s="4" t="n">
        <v>0.004960317460317554</v>
      </c>
      <c r="T687" s="4" t="n">
        <v>0.05</v>
      </c>
      <c r="U687" s="19" t="n">
        <v>3.493174710273188</v>
      </c>
      <c r="V687" s="19" t="n">
        <v>0.9185185185185174</v>
      </c>
      <c r="W687" s="4" t="n">
        <v>0.04324385891643578</v>
      </c>
      <c r="X687" s="4" t="n">
        <v>0.05233469131933555</v>
      </c>
      <c r="Y687" s="4" t="n">
        <v>0.002008536883111534</v>
      </c>
      <c r="Z687" s="4" t="n">
        <v>0.01612510413447976</v>
      </c>
      <c r="AA687" s="4" t="n">
        <v>0.03</v>
      </c>
      <c r="AB687" s="4" t="n">
        <v>0.05</v>
      </c>
      <c r="AC687" s="4">
        <f>(AB687+2*參數!$B$7)/(AA687+AB687)</f>
        <v/>
      </c>
    </row>
    <row r="688">
      <c r="A688" s="2" t="n">
        <v>687</v>
      </c>
      <c r="B688" s="2" t="inlineStr">
        <is>
          <t>SAND_USDT_PERP</t>
        </is>
      </c>
      <c r="C688" s="2" t="inlineStr">
        <is>
          <t>做多</t>
        </is>
      </c>
      <c r="D688" s="7" t="n">
        <v>46302.95833333334</v>
      </c>
      <c r="E688" s="20" t="n">
        <v>0.07385</v>
      </c>
      <c r="F688" s="20" t="n">
        <v>0.07606549999999999</v>
      </c>
      <c r="G688" s="20" t="n">
        <v>0.0701575</v>
      </c>
      <c r="H688" s="7" t="n">
        <v>46303</v>
      </c>
      <c r="I688" s="20" t="n">
        <v>0.07606549999999999</v>
      </c>
      <c r="J688" s="2" t="inlineStr">
        <is>
          <t>止盈</t>
        </is>
      </c>
      <c r="K688" s="5">
        <f>(H688-D688)*24</f>
        <v/>
      </c>
      <c r="L688" s="4">
        <f>IF(C688="做多",I688/E688-1,1-I688/E688)-2*參數!$B$7</f>
        <v/>
      </c>
      <c r="M688" s="2" t="inlineStr"/>
      <c r="N688" s="4" t="n">
        <v>0.05575411007862763</v>
      </c>
      <c r="O688" s="4" t="n">
        <v>0.02882930073134663</v>
      </c>
      <c r="P688" s="4" t="n">
        <v>0.05436737957225679</v>
      </c>
      <c r="Q688" s="22" t="n">
        <v>1181540</v>
      </c>
      <c r="R688" s="22" t="n">
        <v>2081119.82239</v>
      </c>
      <c r="S688" s="4" t="n">
        <v>0.03</v>
      </c>
      <c r="T688" s="4" t="n">
        <v>0</v>
      </c>
      <c r="U688" s="19" t="n">
        <v>1.994457281787416</v>
      </c>
      <c r="V688" s="19" t="n">
        <v>0.9444444444444458</v>
      </c>
      <c r="W688" s="4" t="n">
        <v>0.03508206371676459</v>
      </c>
      <c r="X688" s="4" t="n">
        <v>0.1201274078568177</v>
      </c>
      <c r="Y688" s="4" t="n">
        <v>-0.002008536883111534</v>
      </c>
      <c r="Z688" s="4" t="n">
        <v>-0.01612510413447976</v>
      </c>
      <c r="AA688" s="4" t="n">
        <v>0.03</v>
      </c>
      <c r="AB688" s="4" t="n">
        <v>0.05</v>
      </c>
      <c r="AC688" s="4">
        <f>(AB688+2*參數!$B$7)/(AA688+AB688)</f>
        <v/>
      </c>
    </row>
    <row r="689">
      <c r="A689" s="2" t="n">
        <v>688</v>
      </c>
      <c r="B689" s="2" t="inlineStr">
        <is>
          <t>PONS_USDT_PERP</t>
        </is>
      </c>
      <c r="C689" s="2" t="inlineStr">
        <is>
          <t>做多</t>
        </is>
      </c>
      <c r="D689" s="7" t="n">
        <v>46303</v>
      </c>
      <c r="E689" s="20" t="n">
        <v>0.4106</v>
      </c>
      <c r="F689" s="20" t="n">
        <v>0.422918</v>
      </c>
      <c r="G689" s="20" t="n">
        <v>0.39007</v>
      </c>
      <c r="H689" s="7" t="n">
        <v>46303.20833333334</v>
      </c>
      <c r="I689" s="20" t="n">
        <v>0.39007</v>
      </c>
      <c r="J689" s="2" t="inlineStr">
        <is>
          <t>止損</t>
        </is>
      </c>
      <c r="K689" s="5">
        <f>(H689-D689)*24</f>
        <v/>
      </c>
      <c r="L689" s="4">
        <f>IF(C689="做多",I689/E689-1,1-I689/E689)-2*參數!$B$7</f>
        <v/>
      </c>
      <c r="M689" s="2" t="inlineStr"/>
      <c r="N689" s="4" t="n">
        <v>0.04107505070993933</v>
      </c>
      <c r="O689" s="4" t="n">
        <v>0.02923286650864818</v>
      </c>
      <c r="P689" s="4" t="n">
        <v>0.02032702151980548</v>
      </c>
      <c r="Q689" s="22" t="n">
        <v>682400</v>
      </c>
      <c r="R689" s="22" t="n">
        <v>1652287.0612</v>
      </c>
      <c r="S689" s="4" t="n">
        <v>0.0289819775937652</v>
      </c>
      <c r="T689" s="4" t="n">
        <v>0.05</v>
      </c>
      <c r="U689" s="19" t="n">
        <v>1.584058437195894</v>
      </c>
      <c r="V689" s="19" t="n">
        <v>0.8063241106719382</v>
      </c>
      <c r="W689" s="4" t="n">
        <v>0.02670790835144121</v>
      </c>
      <c r="X689" s="4" t="n">
        <v>0.009093143278446902</v>
      </c>
      <c r="Y689" s="4" t="n">
        <v>0.005220654606456376</v>
      </c>
      <c r="Z689" s="4" t="n">
        <v>-0.009721813454727779</v>
      </c>
      <c r="AA689" s="4" t="n">
        <v>0.03</v>
      </c>
      <c r="AB689" s="4" t="n">
        <v>0.05</v>
      </c>
      <c r="AC689" s="4">
        <f>(AB689+2*參數!$B$7)/(AA689+AB689)</f>
        <v/>
      </c>
    </row>
    <row r="690">
      <c r="A690" s="2" t="n">
        <v>689</v>
      </c>
      <c r="B690" s="2" t="inlineStr">
        <is>
          <t>PUMP_USDT_PERP</t>
        </is>
      </c>
      <c r="C690" s="2" t="inlineStr">
        <is>
          <t>做空</t>
        </is>
      </c>
      <c r="D690" s="7" t="n">
        <v>46303.25</v>
      </c>
      <c r="E690" s="20" t="n">
        <v>0.006115</v>
      </c>
      <c r="F690" s="20" t="n">
        <v>0.00593155</v>
      </c>
      <c r="G690" s="20" t="n">
        <v>0.00642075</v>
      </c>
      <c r="H690" s="7" t="n">
        <v>46303.54166666666</v>
      </c>
      <c r="I690" s="20" t="n">
        <v>0.00593155</v>
      </c>
      <c r="J690" s="2" t="inlineStr">
        <is>
          <t>止盈</t>
        </is>
      </c>
      <c r="K690" s="5">
        <f>(H690-D690)*24</f>
        <v/>
      </c>
      <c r="L690" s="4">
        <f>IF(C690="做多",I690/E690-1,1-I690/E690)-2*參數!$B$7</f>
        <v/>
      </c>
      <c r="M690" s="2" t="inlineStr"/>
      <c r="N690" s="4" t="n">
        <v>-0.03579312519709876</v>
      </c>
      <c r="O690" s="4" t="n">
        <v>0.03029703094626046</v>
      </c>
      <c r="P690" s="4" t="n">
        <v>-0.03350719140192815</v>
      </c>
      <c r="Q690" s="22" t="n">
        <v>-2661861942</v>
      </c>
      <c r="R690" s="22" t="n">
        <v>40166653.548618</v>
      </c>
      <c r="S690" s="4" t="n">
        <v>0.03</v>
      </c>
      <c r="T690" s="4" t="n">
        <v>0.04300899427636962</v>
      </c>
      <c r="U690" s="19" t="n">
        <v>0.6825683596420122</v>
      </c>
      <c r="V690" s="19" t="n">
        <v>0.8413284132841339</v>
      </c>
      <c r="W690" s="4" t="n">
        <v>0.03688805378936899</v>
      </c>
      <c r="X690" s="4" t="n">
        <v>0.005691056910569148</v>
      </c>
      <c r="Y690" s="4" t="n">
        <v>0.003181657916008107</v>
      </c>
      <c r="Z690" s="4" t="n">
        <v>0.005974397761642991</v>
      </c>
      <c r="AA690" s="4" t="n">
        <v>0.03</v>
      </c>
      <c r="AB690" s="4" t="n">
        <v>0.05</v>
      </c>
      <c r="AC690" s="4">
        <f>(AB690+2*參數!$B$7)/(AA690+AB690)</f>
        <v/>
      </c>
    </row>
    <row r="691">
      <c r="A691" s="2" t="n">
        <v>690</v>
      </c>
      <c r="B691" s="2" t="inlineStr">
        <is>
          <t>ZRO_USDT_PERP</t>
        </is>
      </c>
      <c r="C691" s="2" t="inlineStr">
        <is>
          <t>做多</t>
        </is>
      </c>
      <c r="D691" s="7" t="n">
        <v>46303.29166666666</v>
      </c>
      <c r="E691" s="20" t="n">
        <v>2.227</v>
      </c>
      <c r="F691" s="20" t="n">
        <v>2.29381</v>
      </c>
      <c r="G691" s="20" t="n">
        <v>2.11565</v>
      </c>
      <c r="H691" s="7" t="n">
        <v>46303.54166666666</v>
      </c>
      <c r="I691" s="20" t="n">
        <v>2.11565</v>
      </c>
      <c r="J691" s="2" t="inlineStr">
        <is>
          <t>止損</t>
        </is>
      </c>
      <c r="K691" s="5">
        <f>(H691-D691)*24</f>
        <v/>
      </c>
      <c r="L691" s="4">
        <f>IF(C691="做多",I691/E691-1,1-I691/E691)-2*參數!$B$7</f>
        <v/>
      </c>
      <c r="M691" s="2" t="inlineStr"/>
      <c r="N691" s="4" t="n">
        <v>0.02395512437353431</v>
      </c>
      <c r="O691" s="4" t="n">
        <v>0.02321954260160883</v>
      </c>
      <c r="P691" s="4" t="n">
        <v>0.02601668716857164</v>
      </c>
      <c r="Q691" s="22" t="n">
        <v>45655.29999999999</v>
      </c>
      <c r="R691" s="22" t="n">
        <v>1617227.84274</v>
      </c>
      <c r="S691" s="4" t="n">
        <v>0.02047597665020229</v>
      </c>
      <c r="T691" s="4" t="n">
        <v>0.05</v>
      </c>
      <c r="U691" s="19" t="n">
        <v>0.9377502230902405</v>
      </c>
      <c r="V691" s="19" t="n">
        <v>0.833827893175073</v>
      </c>
      <c r="W691" s="4" t="n">
        <v>0.06834685437333787</v>
      </c>
      <c r="X691" s="4" t="n">
        <v>-0.01394731016161177</v>
      </c>
      <c r="Y691" s="4" t="n">
        <v>0.0009263837707187417</v>
      </c>
      <c r="Z691" s="4" t="n">
        <v>-0.004684732409403258</v>
      </c>
      <c r="AA691" s="4" t="n">
        <v>0.03</v>
      </c>
      <c r="AB691" s="4" t="n">
        <v>0.05</v>
      </c>
      <c r="AC691" s="4">
        <f>(AB691+2*參數!$B$7)/(AA691+AB691)</f>
        <v/>
      </c>
    </row>
    <row r="692">
      <c r="A692" s="2" t="n">
        <v>691</v>
      </c>
      <c r="B692" s="2" t="inlineStr">
        <is>
          <t>PONS_USDT_PERP</t>
        </is>
      </c>
      <c r="C692" s="2" t="inlineStr">
        <is>
          <t>做空</t>
        </is>
      </c>
      <c r="D692" s="7" t="n">
        <v>46303.41666666666</v>
      </c>
      <c r="E692" s="20" t="n">
        <v>0.3795</v>
      </c>
      <c r="F692" s="20" t="n">
        <v>0.368115</v>
      </c>
      <c r="G692" s="20" t="n">
        <v>0.398475</v>
      </c>
      <c r="H692" s="7" t="n">
        <v>46303.45833333334</v>
      </c>
      <c r="I692" s="20" t="n">
        <v>0.398475</v>
      </c>
      <c r="J692" s="2" t="inlineStr">
        <is>
          <t>止損</t>
        </is>
      </c>
      <c r="K692" s="5">
        <f>(H692-D692)*24</f>
        <v/>
      </c>
      <c r="L692" s="4">
        <f>IF(C692="做多",I692/E692-1,1-I692/E692)-2*參數!$B$7</f>
        <v/>
      </c>
      <c r="M692" s="2" t="inlineStr"/>
      <c r="N692" s="4" t="n">
        <v>-0.02341739577972202</v>
      </c>
      <c r="O692" s="4" t="n">
        <v>0.03060136328300481</v>
      </c>
      <c r="P692" s="4" t="n">
        <v>-0.04242837137125777</v>
      </c>
      <c r="Q692" s="22" t="n">
        <v>-378034</v>
      </c>
      <c r="R692" s="22" t="n">
        <v>1566960.5064</v>
      </c>
      <c r="S692" s="4" t="n">
        <v>0</v>
      </c>
      <c r="T692" s="4" t="n">
        <v>0.05</v>
      </c>
      <c r="U692" s="19" t="n">
        <v>0.5700581799886529</v>
      </c>
      <c r="V692" s="19" t="n">
        <v>0.926470588235294</v>
      </c>
      <c r="W692" s="4" t="n">
        <v>0.04511005767082321</v>
      </c>
      <c r="X692" s="4" t="n">
        <v>0.01988636363636365</v>
      </c>
      <c r="Y692" s="4" t="n">
        <v>0.003222051552824845</v>
      </c>
      <c r="Z692" s="4" t="n">
        <v>0.004615413191225937</v>
      </c>
      <c r="AA692" s="4" t="n">
        <v>0.03</v>
      </c>
      <c r="AB692" s="4" t="n">
        <v>0.05</v>
      </c>
      <c r="AC692" s="4">
        <f>(AB692+2*參數!$B$7)/(AA692+AB692)</f>
        <v/>
      </c>
    </row>
    <row r="693">
      <c r="A693" s="2" t="n">
        <v>692</v>
      </c>
      <c r="B693" s="2" t="inlineStr">
        <is>
          <t>NMR_USDT_PERP</t>
        </is>
      </c>
      <c r="C693" s="2" t="inlineStr">
        <is>
          <t>做空</t>
        </is>
      </c>
      <c r="D693" s="7" t="n">
        <v>46303.45833333334</v>
      </c>
      <c r="E693" s="20" t="n">
        <v>14.521</v>
      </c>
      <c r="F693" s="20" t="n">
        <v>14.08537</v>
      </c>
      <c r="G693" s="20" t="n">
        <v>15.24705</v>
      </c>
      <c r="H693" s="7" t="n">
        <v>46303.5</v>
      </c>
      <c r="I693" s="20" t="n">
        <v>14.08537</v>
      </c>
      <c r="J693" s="2" t="inlineStr">
        <is>
          <t>止盈</t>
        </is>
      </c>
      <c r="K693" s="5">
        <f>(H693-D693)*24</f>
        <v/>
      </c>
      <c r="L693" s="4">
        <f>IF(C693="做多",I693/E693-1,1-I693/E693)-2*參數!$B$7</f>
        <v/>
      </c>
      <c r="M693" s="2" t="inlineStr"/>
      <c r="N693" s="4" t="n">
        <v>-0.04611443210930832</v>
      </c>
      <c r="O693" s="4" t="n">
        <v>0.04187701289700435</v>
      </c>
      <c r="P693" s="4" t="n">
        <v>-0.04706592642175589</v>
      </c>
      <c r="Q693" s="22" t="n">
        <v>-5698.799999999988</v>
      </c>
      <c r="R693" s="22" t="n">
        <v>1957250.7354</v>
      </c>
      <c r="S693" s="4" t="n">
        <v>0.03</v>
      </c>
      <c r="T693" s="4" t="n">
        <v>0</v>
      </c>
      <c r="U693" s="19" t="n">
        <v>0.5571676817437956</v>
      </c>
      <c r="V693" s="19" t="n">
        <v>0.8672248803827743</v>
      </c>
      <c r="W693" s="4" t="n">
        <v>-0.08577722312905145</v>
      </c>
      <c r="X693" s="4" t="n">
        <v>0.1006441223832528</v>
      </c>
      <c r="Y693" s="4" t="n">
        <v>-0.0008391170610435594</v>
      </c>
      <c r="Z693" s="4" t="n">
        <v>0.00315344161126796</v>
      </c>
      <c r="AA693" s="4" t="n">
        <v>0.03</v>
      </c>
      <c r="AB693" s="4" t="n">
        <v>0.05</v>
      </c>
      <c r="AC693" s="4">
        <f>(AB693+2*參數!$B$7)/(AA693+AB693)</f>
        <v/>
      </c>
    </row>
    <row r="694">
      <c r="A694" s="2" t="n">
        <v>693</v>
      </c>
      <c r="B694" s="2" t="inlineStr">
        <is>
          <t>BR_USDT_PERP</t>
        </is>
      </c>
      <c r="C694" s="2" t="inlineStr">
        <is>
          <t>做空</t>
        </is>
      </c>
      <c r="D694" s="7" t="n">
        <v>46303.58333333334</v>
      </c>
      <c r="E694" s="20" t="n">
        <v>0.49247</v>
      </c>
      <c r="F694" s="20" t="n">
        <v>0.4776959</v>
      </c>
      <c r="G694" s="20" t="n">
        <v>0.5170935000000001</v>
      </c>
      <c r="H694" s="7" t="n">
        <v>46303.95833333334</v>
      </c>
      <c r="I694" s="20" t="n">
        <v>0.5170935000000001</v>
      </c>
      <c r="J694" s="2" t="inlineStr">
        <is>
          <t>止損</t>
        </is>
      </c>
      <c r="K694" s="5">
        <f>(H694-D694)*24</f>
        <v/>
      </c>
      <c r="L694" s="4">
        <f>IF(C694="做多",I694/E694-1,1-I694/E694)-2*參數!$B$7</f>
        <v/>
      </c>
      <c r="M694" s="2" t="inlineStr"/>
      <c r="N694" s="4" t="n">
        <v>-0.03066627300462554</v>
      </c>
      <c r="O694" s="4" t="n">
        <v>0.05373379225663191</v>
      </c>
      <c r="P694" s="4" t="n">
        <v>-0.04767613988507602</v>
      </c>
      <c r="Q694" s="22" t="n">
        <v>-3431458</v>
      </c>
      <c r="R694" s="22" t="n">
        <v>5541544.02533</v>
      </c>
      <c r="S694" s="4" t="n">
        <v>0.02302678335736186</v>
      </c>
      <c r="T694" s="4" t="n">
        <v>0.05</v>
      </c>
      <c r="U694" s="19" t="n">
        <v>0.5155083240913878</v>
      </c>
      <c r="V694" s="19" t="n">
        <v>0.7415603900975243</v>
      </c>
      <c r="W694" s="4" t="n">
        <v>0.001978937939573933</v>
      </c>
      <c r="X694" s="4" t="n">
        <v>0.1789703577739988</v>
      </c>
      <c r="Y694" s="4" t="n">
        <v>-0.0003014089962716238</v>
      </c>
      <c r="Z694" s="4" t="n">
        <v>0.006840486517389999</v>
      </c>
      <c r="AA694" s="4" t="n">
        <v>0.03</v>
      </c>
      <c r="AB694" s="4" t="n">
        <v>0.05</v>
      </c>
      <c r="AC694" s="4">
        <f>(AB694+2*參數!$B$7)/(AA694+AB694)</f>
        <v/>
      </c>
    </row>
    <row r="695">
      <c r="A695" s="2" t="n">
        <v>694</v>
      </c>
      <c r="B695" s="2" t="inlineStr">
        <is>
          <t>MOVR_USDT_PERP</t>
        </is>
      </c>
      <c r="C695" s="2" t="inlineStr">
        <is>
          <t>做空</t>
        </is>
      </c>
      <c r="D695" s="7" t="n">
        <v>46303.625</v>
      </c>
      <c r="E695" s="20" t="n">
        <v>1.911</v>
      </c>
      <c r="F695" s="20" t="n">
        <v>1.85367</v>
      </c>
      <c r="G695" s="20" t="n">
        <v>2.00655</v>
      </c>
      <c r="H695" s="7" t="n">
        <v>46303.91666666666</v>
      </c>
      <c r="I695" s="20" t="n">
        <v>1.85367</v>
      </c>
      <c r="J695" s="2" t="inlineStr">
        <is>
          <t>止盈</t>
        </is>
      </c>
      <c r="K695" s="5">
        <f>(H695-D695)*24</f>
        <v/>
      </c>
      <c r="L695" s="4">
        <f>IF(C695="做多",I695/E695-1,1-I695/E695)-2*參數!$B$7</f>
        <v/>
      </c>
      <c r="M695" s="2" t="inlineStr"/>
      <c r="N695" s="4" t="n">
        <v>-0.03338391502276183</v>
      </c>
      <c r="O695" s="4" t="n">
        <v>0.03448824704328084</v>
      </c>
      <c r="P695" s="4" t="n">
        <v>-0.01063912401956979</v>
      </c>
      <c r="Q695" s="22" t="n">
        <v>-84234.08999999962</v>
      </c>
      <c r="R695" s="22" t="n">
        <v>1200640.51983</v>
      </c>
      <c r="S695" s="4" t="n">
        <v>0.03</v>
      </c>
      <c r="T695" s="4" t="n">
        <v>0.01883830455259039</v>
      </c>
      <c r="U695" s="19" t="n">
        <v>1.059280775148493</v>
      </c>
      <c r="V695" s="19" t="n">
        <v>0.8363636363636364</v>
      </c>
      <c r="W695" s="4" t="n">
        <v>-0.007932656807105642</v>
      </c>
      <c r="X695" s="4" t="n">
        <v>-0.003149606299212682</v>
      </c>
      <c r="Y695" s="4" t="n">
        <v>-0.002457739823251037</v>
      </c>
      <c r="Z695" s="4" t="n">
        <v>0.00388028550541808</v>
      </c>
      <c r="AA695" s="4" t="n">
        <v>0.03</v>
      </c>
      <c r="AB695" s="4" t="n">
        <v>0.05</v>
      </c>
      <c r="AC695" s="4">
        <f>(AB695+2*參數!$B$7)/(AA695+AB695)</f>
        <v/>
      </c>
    </row>
    <row r="696">
      <c r="A696" s="2" t="n">
        <v>695</v>
      </c>
      <c r="B696" s="2" t="inlineStr">
        <is>
          <t>NEAR_USDT_PERP</t>
        </is>
      </c>
      <c r="C696" s="2" t="inlineStr">
        <is>
          <t>做多</t>
        </is>
      </c>
      <c r="D696" s="7" t="n">
        <v>46303.625</v>
      </c>
      <c r="E696" s="20" t="n">
        <v>5.503</v>
      </c>
      <c r="F696" s="20" t="n">
        <v>5.66809</v>
      </c>
      <c r="G696" s="20" t="n">
        <v>5.22785</v>
      </c>
      <c r="H696" s="7" t="n">
        <v>46303.70833333334</v>
      </c>
      <c r="I696" s="20" t="n">
        <v>5.22785</v>
      </c>
      <c r="J696" s="2" t="inlineStr">
        <is>
          <t>止損</t>
        </is>
      </c>
      <c r="K696" s="5">
        <f>(H696-D696)*24</f>
        <v/>
      </c>
      <c r="L696" s="4">
        <f>IF(C696="做多",I696/E696-1,1-I696/E696)-2*參數!$B$7</f>
        <v/>
      </c>
      <c r="M696" s="2" t="inlineStr"/>
      <c r="N696" s="4" t="n">
        <v>0.02362351190476186</v>
      </c>
      <c r="O696" s="4" t="n">
        <v>0.02425498502161128</v>
      </c>
      <c r="P696" s="4" t="n">
        <v>0.047352594115184</v>
      </c>
      <c r="Q696" s="22" t="n">
        <v>1697858</v>
      </c>
      <c r="R696" s="22" t="n">
        <v>22448669.271</v>
      </c>
      <c r="S696" s="4" t="n">
        <v>0.01617299654733784</v>
      </c>
      <c r="T696" s="4" t="n">
        <v>0.05</v>
      </c>
      <c r="U696" s="19" t="n">
        <v>1.826510220657799</v>
      </c>
      <c r="V696" s="19" t="n">
        <v>0.7789473684210531</v>
      </c>
      <c r="W696" s="4" t="n">
        <v>0.08142418632803117</v>
      </c>
      <c r="X696" s="4" t="n">
        <v>0.06174030484275517</v>
      </c>
      <c r="Y696" s="4" t="n">
        <v>0.002457739823251037</v>
      </c>
      <c r="Z696" s="4" t="n">
        <v>-0.00388028550541808</v>
      </c>
      <c r="AA696" s="4" t="n">
        <v>0.03</v>
      </c>
      <c r="AB696" s="4" t="n">
        <v>0.05</v>
      </c>
      <c r="AC696" s="4">
        <f>(AB696+2*參數!$B$7)/(AA696+AB696)</f>
        <v/>
      </c>
    </row>
    <row r="697">
      <c r="A697" s="2" t="n">
        <v>696</v>
      </c>
      <c r="B697" s="2" t="inlineStr">
        <is>
          <t>RAY_USDT_PERP</t>
        </is>
      </c>
      <c r="C697" s="2" t="inlineStr">
        <is>
          <t>做多</t>
        </is>
      </c>
      <c r="D697" s="7" t="n">
        <v>46303.625</v>
      </c>
      <c r="E697" s="20" t="n">
        <v>2.499</v>
      </c>
      <c r="F697" s="20" t="n">
        <v>2.57397</v>
      </c>
      <c r="G697" s="20" t="n">
        <v>2.37405</v>
      </c>
      <c r="H697" s="7" t="n">
        <v>46303.91666666666</v>
      </c>
      <c r="I697" s="20" t="n">
        <v>2.37405</v>
      </c>
      <c r="J697" s="2" t="inlineStr">
        <is>
          <t>止損</t>
        </is>
      </c>
      <c r="K697" s="5">
        <f>(H697-D697)*24</f>
        <v/>
      </c>
      <c r="L697" s="4">
        <f>IF(C697="做多",I697/E697-1,1-I697/E697)-2*參數!$B$7</f>
        <v/>
      </c>
      <c r="M697" s="2" t="inlineStr"/>
      <c r="N697" s="4" t="n">
        <v>0.02586206896551735</v>
      </c>
      <c r="O697" s="4" t="n">
        <v>0.02721728691386215</v>
      </c>
      <c r="P697" s="4" t="n">
        <v>0.01891869852401551</v>
      </c>
      <c r="Q697" s="22" t="n">
        <v>419662.1000000001</v>
      </c>
      <c r="R697" s="22" t="n">
        <v>3308057.7116</v>
      </c>
      <c r="S697" s="4" t="n">
        <v>0.01120448179271705</v>
      </c>
      <c r="T697" s="4" t="n">
        <v>0.05</v>
      </c>
      <c r="U697" s="19" t="n">
        <v>0.4725016790195516</v>
      </c>
      <c r="V697" s="19" t="n">
        <v>0.8125000000000031</v>
      </c>
      <c r="W697" s="4" t="n">
        <v>0.1368857791466305</v>
      </c>
      <c r="X697" s="4" t="n">
        <v>0.09991197183098599</v>
      </c>
      <c r="Y697" s="4" t="n">
        <v>0.002457739823251037</v>
      </c>
      <c r="Z697" s="4" t="n">
        <v>-0.00388028550541808</v>
      </c>
      <c r="AA697" s="4" t="n">
        <v>0.03</v>
      </c>
      <c r="AB697" s="4" t="n">
        <v>0.05</v>
      </c>
      <c r="AC697" s="4">
        <f>(AB697+2*參數!$B$7)/(AA697+AB697)</f>
        <v/>
      </c>
    </row>
    <row r="698">
      <c r="A698" s="2" t="n">
        <v>697</v>
      </c>
      <c r="B698" s="2" t="inlineStr">
        <is>
          <t>W_USDT_PERP</t>
        </is>
      </c>
      <c r="C698" s="2" t="inlineStr">
        <is>
          <t>做空</t>
        </is>
      </c>
      <c r="D698" s="7" t="n">
        <v>46303.79166666666</v>
      </c>
      <c r="E698" s="20" t="n">
        <v>0.01588</v>
      </c>
      <c r="F698" s="20" t="n">
        <v>0.0154036</v>
      </c>
      <c r="G698" s="20" t="n">
        <v>0.016674</v>
      </c>
      <c r="H698" s="7" t="n">
        <v>46303.875</v>
      </c>
      <c r="I698" s="20" t="n">
        <v>0.016674</v>
      </c>
      <c r="J698" s="2" t="inlineStr">
        <is>
          <t>止損</t>
        </is>
      </c>
      <c r="K698" s="5">
        <f>(H698-D698)*24</f>
        <v/>
      </c>
      <c r="L698" s="4">
        <f>IF(C698="做多",I698/E698-1,1-I698/E698)-2*參數!$B$7</f>
        <v/>
      </c>
      <c r="M698" s="2" t="inlineStr"/>
      <c r="N698" s="4" t="n">
        <v>-0.02636419374616816</v>
      </c>
      <c r="O698" s="4" t="n">
        <v>0.04264730565616298</v>
      </c>
      <c r="P698" s="4" t="n">
        <v>-0.004825468446450043</v>
      </c>
      <c r="Q698" s="22" t="n">
        <v>-29367149.9</v>
      </c>
      <c r="R698" s="22" t="n">
        <v>1379670.50972</v>
      </c>
      <c r="S698" s="4" t="n">
        <v>0.001259445843828644</v>
      </c>
      <c r="T698" s="4" t="n">
        <v>0.05</v>
      </c>
      <c r="U698" s="19" t="n">
        <v>0.5937353710811151</v>
      </c>
      <c r="V698" s="19" t="n">
        <v>0.6984126984127007</v>
      </c>
      <c r="W698" s="4" t="n">
        <v>-0.07879701904198999</v>
      </c>
      <c r="X698" s="4" t="n">
        <v>-0.1432685385169186</v>
      </c>
      <c r="Y698" s="4" t="n">
        <v>0.004756860857005218</v>
      </c>
      <c r="Z698" s="4" t="n">
        <v>0.00470253160785794</v>
      </c>
      <c r="AA698" s="4" t="n">
        <v>0.03</v>
      </c>
      <c r="AB698" s="4" t="n">
        <v>0.05</v>
      </c>
      <c r="AC698" s="4">
        <f>(AB698+2*參數!$B$7)/(AA698+AB698)</f>
        <v/>
      </c>
    </row>
    <row r="699">
      <c r="A699" s="2" t="n">
        <v>698</v>
      </c>
      <c r="B699" s="2" t="inlineStr">
        <is>
          <t>RAY_USDT_PERP</t>
        </is>
      </c>
      <c r="C699" s="2" t="inlineStr">
        <is>
          <t>做空</t>
        </is>
      </c>
      <c r="D699" s="7" t="n">
        <v>46304</v>
      </c>
      <c r="E699" s="20" t="n">
        <v>2.317</v>
      </c>
      <c r="F699" s="20" t="n">
        <v>2.24749</v>
      </c>
      <c r="G699" s="20" t="n">
        <v>2.43285</v>
      </c>
      <c r="H699" s="7" t="n">
        <v>46304.08333333334</v>
      </c>
      <c r="I699" s="20" t="n">
        <v>2.24749</v>
      </c>
      <c r="J699" s="2" t="inlineStr">
        <is>
          <t>止盈</t>
        </is>
      </c>
      <c r="K699" s="5">
        <f>(H699-D699)*24</f>
        <v/>
      </c>
      <c r="L699" s="4">
        <f>IF(C699="做多",I699/E699-1,1-I699/E699)-2*參數!$B$7</f>
        <v/>
      </c>
      <c r="M699" s="2" t="inlineStr"/>
      <c r="N699" s="4" t="n">
        <v>-0.02973199329983234</v>
      </c>
      <c r="O699" s="4" t="n">
        <v>0.02971729566355709</v>
      </c>
      <c r="P699" s="4" t="n">
        <v>-0.05153710753612495</v>
      </c>
      <c r="Q699" s="22" t="n">
        <v>-166272.7999999998</v>
      </c>
      <c r="R699" s="22" t="n">
        <v>1904880.2329</v>
      </c>
      <c r="S699" s="4" t="n">
        <v>0.03</v>
      </c>
      <c r="T699" s="4" t="n">
        <v>0.01769529564091488</v>
      </c>
      <c r="U699" s="19" t="n">
        <v>1.73898457320772</v>
      </c>
      <c r="V699" s="19" t="n">
        <v>0.7799999999999978</v>
      </c>
      <c r="W699" s="4" t="n">
        <v>-0.03959618620302874</v>
      </c>
      <c r="X699" s="4" t="n">
        <v>0.06080259424402101</v>
      </c>
      <c r="Y699" s="4" t="n">
        <v>0.02010391904234798</v>
      </c>
      <c r="Z699" s="4" t="n">
        <v>0.02140050225915124</v>
      </c>
      <c r="AA699" s="4" t="n">
        <v>0.03</v>
      </c>
      <c r="AB699" s="4" t="n">
        <v>0.05</v>
      </c>
      <c r="AC699" s="4">
        <f>(AB699+2*參數!$B$7)/(AA699+AB699)</f>
        <v/>
      </c>
    </row>
    <row r="700">
      <c r="A700" s="2" t="n">
        <v>699</v>
      </c>
      <c r="B700" s="2" t="inlineStr">
        <is>
          <t>FIL_USDT_PERP</t>
        </is>
      </c>
      <c r="C700" s="2" t="inlineStr">
        <is>
          <t>做多</t>
        </is>
      </c>
      <c r="D700" s="7" t="n">
        <v>46304.20833333334</v>
      </c>
      <c r="E700" s="20" t="n">
        <v>1.071</v>
      </c>
      <c r="F700" s="20" t="n">
        <v>1.10313</v>
      </c>
      <c r="G700" s="20" t="n">
        <v>1.01745</v>
      </c>
      <c r="H700" s="7" t="n">
        <v>46305</v>
      </c>
      <c r="I700" s="20" t="n">
        <v>1.07</v>
      </c>
      <c r="J700" s="2" t="inlineStr">
        <is>
          <t>未平倉</t>
        </is>
      </c>
      <c r="K700" s="5">
        <f>(H700-D700)*24</f>
        <v/>
      </c>
      <c r="L700" s="4">
        <f>IF(C700="做多",I700/E700-1,1-I700/E700)-2*參數!$B$7</f>
        <v/>
      </c>
      <c r="M700" s="2" t="inlineStr">
        <is>
          <t>持倉中（以最新收盤估值）</t>
        </is>
      </c>
      <c r="N700" s="4" t="n">
        <v>0.02194656488549618</v>
      </c>
      <c r="O700" s="4" t="n">
        <v>0.02395788222182893</v>
      </c>
      <c r="P700" s="4" t="n">
        <v>0.01511776693047717</v>
      </c>
      <c r="Q700" s="22" t="n">
        <v>282265.9000000004</v>
      </c>
      <c r="R700" s="22" t="n">
        <v>1218469.3597</v>
      </c>
      <c r="S700" s="4" t="n">
        <v>0.02614379084967333</v>
      </c>
      <c r="T700" s="4" t="n">
        <v>0.0121381886087768</v>
      </c>
      <c r="U700" s="19" t="n">
        <v>5.830001931699137</v>
      </c>
      <c r="V700" s="19" t="n">
        <v>0.8484848484848456</v>
      </c>
      <c r="W700" s="4" t="n">
        <v>-0.02173913043478259</v>
      </c>
      <c r="X700" s="4" t="n">
        <v>0.0298076923076922</v>
      </c>
      <c r="Y700" s="4" t="n">
        <v>0.0004649370193865465</v>
      </c>
      <c r="Z700" s="4" t="n">
        <v>-0.006254727139784477</v>
      </c>
      <c r="AA700" s="4" t="n">
        <v>0.03</v>
      </c>
      <c r="AB700" s="4" t="n">
        <v>0.05</v>
      </c>
      <c r="AC700" s="4">
        <f>(AB700+2*參數!$B$7)/(AA700+AB700)</f>
        <v/>
      </c>
    </row>
    <row r="701">
      <c r="A701" s="2" t="n">
        <v>700</v>
      </c>
      <c r="B701" s="2" t="inlineStr">
        <is>
          <t>ONDO_USDT_PERP</t>
        </is>
      </c>
      <c r="C701" s="2" t="inlineStr">
        <is>
          <t>做空</t>
        </is>
      </c>
      <c r="D701" s="7" t="n">
        <v>46304.33333333334</v>
      </c>
      <c r="E701" s="20" t="n">
        <v>0.4702</v>
      </c>
      <c r="F701" s="20" t="n">
        <v>0.456094</v>
      </c>
      <c r="G701" s="20" t="n">
        <v>0.49371</v>
      </c>
      <c r="H701" s="7" t="n">
        <v>46304.70833333334</v>
      </c>
      <c r="I701" s="20" t="n">
        <v>0.49371</v>
      </c>
      <c r="J701" s="2" t="inlineStr">
        <is>
          <t>止損</t>
        </is>
      </c>
      <c r="K701" s="5">
        <f>(H701-D701)*24</f>
        <v/>
      </c>
      <c r="L701" s="4">
        <f>IF(C701="做多",I701/E701-1,1-I701/E701)-2*參數!$B$7</f>
        <v/>
      </c>
      <c r="M701" s="2" t="inlineStr"/>
      <c r="N701" s="4" t="n">
        <v>-0.02224994801414015</v>
      </c>
      <c r="O701" s="4" t="n">
        <v>0.02625585462023725</v>
      </c>
      <c r="P701" s="4" t="n">
        <v>-0.008435259384226068</v>
      </c>
      <c r="Q701" s="22" t="n">
        <v>-872042.2000000011</v>
      </c>
      <c r="R701" s="22" t="n">
        <v>6415625.02335</v>
      </c>
      <c r="S701" s="4" t="n">
        <v>0.01829008932369203</v>
      </c>
      <c r="T701" s="4" t="n">
        <v>0.05</v>
      </c>
      <c r="U701" s="19" t="n">
        <v>1.163756808012635</v>
      </c>
      <c r="V701" s="19" t="n">
        <v>0.9290780141843971</v>
      </c>
      <c r="W701" s="4" t="n">
        <v>0.02893773801557986</v>
      </c>
      <c r="X701" s="4" t="n">
        <v>-0</v>
      </c>
      <c r="Y701" s="4" t="n">
        <v>0.001894559401949603</v>
      </c>
      <c r="Z701" s="4" t="n">
        <v>0.004749040204236832</v>
      </c>
      <c r="AA701" s="4" t="n">
        <v>0.03</v>
      </c>
      <c r="AB701" s="4" t="n">
        <v>0.05</v>
      </c>
      <c r="AC701" s="4">
        <f>(AB701+2*參數!$B$7)/(AA701+AB701)</f>
        <v/>
      </c>
    </row>
    <row r="702">
      <c r="A702" s="2" t="n">
        <v>701</v>
      </c>
      <c r="B702" s="2" t="inlineStr">
        <is>
          <t>UNI_USDT_PERP</t>
        </is>
      </c>
      <c r="C702" s="2" t="inlineStr">
        <is>
          <t>做空</t>
        </is>
      </c>
      <c r="D702" s="7" t="n">
        <v>46304.33333333334</v>
      </c>
      <c r="E702" s="20" t="n">
        <v>7.114</v>
      </c>
      <c r="F702" s="20" t="n">
        <v>6.90058</v>
      </c>
      <c r="G702" s="20" t="n">
        <v>7.4697</v>
      </c>
      <c r="H702" s="7" t="n">
        <v>46305</v>
      </c>
      <c r="I702" s="20" t="n">
        <v>7.361</v>
      </c>
      <c r="J702" s="2" t="inlineStr">
        <is>
          <t>未平倉</t>
        </is>
      </c>
      <c r="K702" s="5">
        <f>(H702-D702)*24</f>
        <v/>
      </c>
      <c r="L702" s="4">
        <f>IF(C702="做多",I702/E702-1,1-I702/E702)-2*參數!$B$7</f>
        <v/>
      </c>
      <c r="M702" s="2" t="inlineStr">
        <is>
          <t>持倉中（以最新收盤估值）</t>
        </is>
      </c>
      <c r="N702" s="4" t="n">
        <v>-0.0298649938633575</v>
      </c>
      <c r="O702" s="4" t="n">
        <v>0.02079959367181373</v>
      </c>
      <c r="P702" s="4" t="n">
        <v>-0.05163737193971751</v>
      </c>
      <c r="Q702" s="22" t="n">
        <v>-190476</v>
      </c>
      <c r="R702" s="22" t="n">
        <v>5860962.716</v>
      </c>
      <c r="S702" s="4" t="n">
        <v>0.001686814731515218</v>
      </c>
      <c r="T702" s="4" t="n">
        <v>0.0475119482710149</v>
      </c>
      <c r="U702" s="19" t="n">
        <v>2.335135619931069</v>
      </c>
      <c r="V702" s="19" t="n">
        <v>0.7181571815718153</v>
      </c>
      <c r="W702" s="4" t="n">
        <v>0.1505600643826276</v>
      </c>
      <c r="X702" s="4" t="n">
        <v>0.1002908814974074</v>
      </c>
      <c r="Y702" s="4" t="n">
        <v>0.001894559401949603</v>
      </c>
      <c r="Z702" s="4" t="n">
        <v>0.004749040204236832</v>
      </c>
      <c r="AA702" s="4" t="n">
        <v>0.03</v>
      </c>
      <c r="AB702" s="4" t="n">
        <v>0.05</v>
      </c>
      <c r="AC702" s="4">
        <f>(AB702+2*參數!$B$7)/(AA702+AB702)</f>
        <v/>
      </c>
    </row>
    <row r="703">
      <c r="A703" s="2" t="n">
        <v>702</v>
      </c>
      <c r="B703" s="2" t="inlineStr">
        <is>
          <t>DOT_USDT_PERP</t>
        </is>
      </c>
      <c r="C703" s="2" t="inlineStr">
        <is>
          <t>做多</t>
        </is>
      </c>
      <c r="D703" s="7" t="n">
        <v>46304.375</v>
      </c>
      <c r="E703" s="20" t="n">
        <v>1.121</v>
      </c>
      <c r="F703" s="20" t="n">
        <v>1.15463</v>
      </c>
      <c r="G703" s="20" t="n">
        <v>1.06495</v>
      </c>
      <c r="H703" s="7" t="n">
        <v>46304.5</v>
      </c>
      <c r="I703" s="20" t="n">
        <v>1.15463</v>
      </c>
      <c r="J703" s="2" t="inlineStr">
        <is>
          <t>止盈</t>
        </is>
      </c>
      <c r="K703" s="5">
        <f>(H703-D703)*24</f>
        <v/>
      </c>
      <c r="L703" s="4">
        <f>IF(C703="做多",I703/E703-1,1-I703/E703)-2*參數!$B$7</f>
        <v/>
      </c>
      <c r="M703" s="2" t="inlineStr"/>
      <c r="N703" s="4" t="n">
        <v>0.02844036697247709</v>
      </c>
      <c r="O703" s="4" t="n">
        <v>0.02022781570806486</v>
      </c>
      <c r="P703" s="4" t="n">
        <v>0.03437139561707037</v>
      </c>
      <c r="Q703" s="22" t="n">
        <v>71023.49999999988</v>
      </c>
      <c r="R703" s="22" t="n">
        <v>1778498.7035</v>
      </c>
      <c r="S703" s="4" t="n">
        <v>0.03</v>
      </c>
      <c r="T703" s="4" t="n">
        <v>0.001784121320249743</v>
      </c>
      <c r="U703" s="19" t="n">
        <v>2.690840990223081</v>
      </c>
      <c r="V703" s="19" t="n">
        <v>0.647058823529411</v>
      </c>
      <c r="W703" s="4" t="n">
        <v>-0.03410363783625425</v>
      </c>
      <c r="X703" s="4" t="n">
        <v>0.0008928571428570287</v>
      </c>
      <c r="Y703" s="4" t="n">
        <v>0.0008322023132776302</v>
      </c>
      <c r="Z703" s="4" t="n">
        <v>-0.003415158663912621</v>
      </c>
      <c r="AA703" s="4" t="n">
        <v>0.03</v>
      </c>
      <c r="AB703" s="4" t="n">
        <v>0.05</v>
      </c>
      <c r="AC703" s="4">
        <f>(AB703+2*參數!$B$7)/(AA703+AB703)</f>
        <v/>
      </c>
    </row>
    <row r="704">
      <c r="A704" s="2" t="n">
        <v>703</v>
      </c>
      <c r="B704" s="2" t="inlineStr">
        <is>
          <t>TIA_USDT_PERP</t>
        </is>
      </c>
      <c r="C704" s="2" t="inlineStr">
        <is>
          <t>做多</t>
        </is>
      </c>
      <c r="D704" s="7" t="n">
        <v>46304.41666666666</v>
      </c>
      <c r="E704" s="20" t="n">
        <v>0.5079</v>
      </c>
      <c r="F704" s="20" t="n">
        <v>0.5231370000000001</v>
      </c>
      <c r="G704" s="20" t="n">
        <v>0.482505</v>
      </c>
      <c r="H704" s="7" t="n">
        <v>46304.54166666666</v>
      </c>
      <c r="I704" s="20" t="n">
        <v>0.5231370000000001</v>
      </c>
      <c r="J704" s="2" t="inlineStr">
        <is>
          <t>止盈</t>
        </is>
      </c>
      <c r="K704" s="5">
        <f>(H704-D704)*24</f>
        <v/>
      </c>
      <c r="L704" s="4">
        <f>IF(C704="做多",I704/E704-1,1-I704/E704)-2*參數!$B$7</f>
        <v/>
      </c>
      <c r="M704" s="2" t="inlineStr"/>
      <c r="N704" s="4" t="n">
        <v>0.02275473217881596</v>
      </c>
      <c r="O704" s="4" t="n">
        <v>0.03362243301764871</v>
      </c>
      <c r="P704" s="4" t="n">
        <v>0.03729270484437563</v>
      </c>
      <c r="Q704" s="22" t="n">
        <v>58165.70000000006</v>
      </c>
      <c r="R704" s="22" t="n">
        <v>1853550.36724</v>
      </c>
      <c r="S704" s="4" t="n">
        <v>0.03</v>
      </c>
      <c r="T704" s="4" t="n">
        <v>0.0163417995668439</v>
      </c>
      <c r="U704" s="19" t="n">
        <v>0.7274228215728342</v>
      </c>
      <c r="V704" s="19" t="n">
        <v>0.6214953271028044</v>
      </c>
      <c r="W704" s="4" t="n">
        <v>0.07610263972490405</v>
      </c>
      <c r="X704" s="4" t="n">
        <v>0.07446583456737899</v>
      </c>
      <c r="Y704" s="4" t="n">
        <v>0.002042091541950342</v>
      </c>
      <c r="Z704" s="4" t="n">
        <v>-0.0009594073582442908</v>
      </c>
      <c r="AA704" s="4" t="n">
        <v>0.03</v>
      </c>
      <c r="AB704" s="4" t="n">
        <v>0.05</v>
      </c>
      <c r="AC704" s="4">
        <f>(AB704+2*參數!$B$7)/(AA704+AB704)</f>
        <v/>
      </c>
    </row>
    <row r="705">
      <c r="A705" s="2" t="n">
        <v>704</v>
      </c>
      <c r="B705" s="2" t="inlineStr">
        <is>
          <t>NEAR_USDT_PERP</t>
        </is>
      </c>
      <c r="C705" s="2" t="inlineStr">
        <is>
          <t>做多</t>
        </is>
      </c>
      <c r="D705" s="7" t="n">
        <v>46304.58333333334</v>
      </c>
      <c r="E705" s="20" t="n">
        <v>4.84</v>
      </c>
      <c r="F705" s="20" t="n">
        <v>4.9852</v>
      </c>
      <c r="G705" s="20" t="n">
        <v>4.598</v>
      </c>
      <c r="H705" s="7" t="n">
        <v>46305</v>
      </c>
      <c r="I705" s="20" t="n">
        <v>4.75</v>
      </c>
      <c r="J705" s="2" t="inlineStr">
        <is>
          <t>未平倉</t>
        </is>
      </c>
      <c r="K705" s="5">
        <f>(H705-D705)*24</f>
        <v/>
      </c>
      <c r="L705" s="4">
        <f>IF(C705="做多",I705/E705-1,1-I705/E705)-2*參數!$B$7</f>
        <v/>
      </c>
      <c r="M705" s="2" t="inlineStr">
        <is>
          <t>持倉中（以最新收盤估值）</t>
        </is>
      </c>
      <c r="N705" s="4" t="n">
        <v>0.02651113467656407</v>
      </c>
      <c r="O705" s="4" t="n">
        <v>0.02859288847330055</v>
      </c>
      <c r="P705" s="4" t="n">
        <v>0.02517395126187472</v>
      </c>
      <c r="Q705" s="22" t="n">
        <v>55803</v>
      </c>
      <c r="R705" s="22" t="n">
        <v>27747168.449</v>
      </c>
      <c r="S705" s="4" t="n">
        <v>0.0161157024793388</v>
      </c>
      <c r="T705" s="4" t="n">
        <v>0.02314049586776856</v>
      </c>
      <c r="U705" s="19" t="n">
        <v>0.7786688998307392</v>
      </c>
      <c r="V705" s="19" t="n">
        <v>0.7647058823529409</v>
      </c>
      <c r="W705" s="4" t="n">
        <v>-0.04523871990973172</v>
      </c>
      <c r="X705" s="4" t="n">
        <v>-0.09970238095238104</v>
      </c>
      <c r="Y705" s="4" t="n">
        <v>0.001383043425374098</v>
      </c>
      <c r="Z705" s="4" t="n">
        <v>0.005298706957240773</v>
      </c>
      <c r="AA705" s="4" t="n">
        <v>0.03</v>
      </c>
      <c r="AB705" s="4" t="n">
        <v>0.05</v>
      </c>
      <c r="AC705" s="4">
        <f>(AB705+2*參數!$B$7)/(AA705+AB705)</f>
        <v/>
      </c>
    </row>
    <row r="706">
      <c r="A706" s="2" t="n">
        <v>705</v>
      </c>
      <c r="B706" s="2" t="inlineStr">
        <is>
          <t>MET_USDT_PERP</t>
        </is>
      </c>
      <c r="C706" s="2" t="inlineStr">
        <is>
          <t>做空</t>
        </is>
      </c>
      <c r="D706" s="7" t="n">
        <v>46304.70833333334</v>
      </c>
      <c r="E706" s="20" t="n">
        <v>0.4176</v>
      </c>
      <c r="F706" s="20" t="n">
        <v>0.405072</v>
      </c>
      <c r="G706" s="20" t="n">
        <v>0.43848</v>
      </c>
      <c r="H706" s="7" t="n">
        <v>46305</v>
      </c>
      <c r="I706" s="20" t="n">
        <v>0.4147</v>
      </c>
      <c r="J706" s="2" t="inlineStr">
        <is>
          <t>未平倉</t>
        </is>
      </c>
      <c r="K706" s="5">
        <f>(H706-D706)*24</f>
        <v/>
      </c>
      <c r="L706" s="4">
        <f>IF(C706="做多",I706/E706-1,1-I706/E706)-2*參數!$B$7</f>
        <v/>
      </c>
      <c r="M706" s="2" t="inlineStr">
        <is>
          <t>持倉中（以最新收盤估值）</t>
        </is>
      </c>
      <c r="N706" s="4" t="n">
        <v>-0.08139023317201932</v>
      </c>
      <c r="O706" s="4" t="n">
        <v>0.04903738004624246</v>
      </c>
      <c r="P706" s="4" t="n">
        <v>-0.04464500188737519</v>
      </c>
      <c r="Q706" s="22" t="n">
        <v>-480684</v>
      </c>
      <c r="R706" s="22" t="n">
        <v>4393423.4952</v>
      </c>
      <c r="S706" s="4" t="n">
        <v>0.007423371647509724</v>
      </c>
      <c r="T706" s="4" t="n">
        <v>0.03352490421455934</v>
      </c>
      <c r="U706" s="19" t="n">
        <v>1.951544594662052</v>
      </c>
      <c r="V706" s="19" t="n">
        <v>0.7632653061224489</v>
      </c>
      <c r="W706" s="4" t="n">
        <v>-0.143758627489647</v>
      </c>
      <c r="X706" s="4" t="n">
        <v>0.1959953792837889</v>
      </c>
      <c r="Y706" s="4" t="n">
        <v>-0.0004405739565114253</v>
      </c>
      <c r="Z706" s="4" t="n">
        <v>-0.009117300871661183</v>
      </c>
      <c r="AA706" s="4" t="n">
        <v>0.03</v>
      </c>
      <c r="AB706" s="4" t="n">
        <v>0.05</v>
      </c>
      <c r="AC706" s="4">
        <f>(AB706+2*參數!$B$7)/(AA706+AB706)</f>
        <v/>
      </c>
    </row>
    <row r="707">
      <c r="A707" s="2" t="n">
        <v>706</v>
      </c>
      <c r="B707" s="2" t="inlineStr">
        <is>
          <t>PONS_USDT_PERP</t>
        </is>
      </c>
      <c r="C707" s="2" t="inlineStr">
        <is>
          <t>做空</t>
        </is>
      </c>
      <c r="D707" s="7" t="n">
        <v>46304.70833333334</v>
      </c>
      <c r="E707" s="20" t="n">
        <v>0.3532</v>
      </c>
      <c r="F707" s="20" t="n">
        <v>0.342604</v>
      </c>
      <c r="G707" s="20" t="n">
        <v>0.37086</v>
      </c>
      <c r="H707" s="7" t="n">
        <v>46304.91666666666</v>
      </c>
      <c r="I707" s="20" t="n">
        <v>0.342604</v>
      </c>
      <c r="J707" s="2" t="inlineStr">
        <is>
          <t>止盈</t>
        </is>
      </c>
      <c r="K707" s="5">
        <f>(H707-D707)*24</f>
        <v/>
      </c>
      <c r="L707" s="4">
        <f>IF(C707="做多",I707/E707-1,1-I707/E707)-2*參數!$B$7</f>
        <v/>
      </c>
      <c r="M707" s="2" t="inlineStr"/>
      <c r="N707" s="4" t="n">
        <v>-0.02106430155210637</v>
      </c>
      <c r="O707" s="4" t="n">
        <v>0.02878126685700399</v>
      </c>
      <c r="P707" s="4" t="n">
        <v>-0.01253896584983982</v>
      </c>
      <c r="Q707" s="22" t="n">
        <v>-1503006</v>
      </c>
      <c r="R707" s="22" t="n">
        <v>1900870.9348</v>
      </c>
      <c r="S707" s="4" t="n">
        <v>0.03</v>
      </c>
      <c r="T707" s="4" t="n">
        <v>0.01528878822197055</v>
      </c>
      <c r="U707" s="19" t="n">
        <v>0.4124132918011001</v>
      </c>
      <c r="V707" s="19" t="n">
        <v>0.9156626506024058</v>
      </c>
      <c r="W707" s="4" t="n">
        <v>0.08995107069884656</v>
      </c>
      <c r="X707" s="4" t="n">
        <v>0.1192019950124689</v>
      </c>
      <c r="Y707" s="4" t="n">
        <v>-0.0004405739565114253</v>
      </c>
      <c r="Z707" s="4" t="n">
        <v>-0.009117300871661183</v>
      </c>
      <c r="AA707" s="4" t="n">
        <v>0.03</v>
      </c>
      <c r="AB707" s="4" t="n">
        <v>0.05</v>
      </c>
      <c r="AC707" s="4">
        <f>(AB707+2*參數!$B$7)/(AA707+AB707)</f>
        <v/>
      </c>
    </row>
    <row r="708">
      <c r="A708" s="2" t="n">
        <v>707</v>
      </c>
      <c r="B708" s="2" t="inlineStr">
        <is>
          <t>SAND_USDT_PERP</t>
        </is>
      </c>
      <c r="C708" s="2" t="inlineStr">
        <is>
          <t>做空</t>
        </is>
      </c>
      <c r="D708" s="7" t="n">
        <v>46304.70833333334</v>
      </c>
      <c r="E708" s="20" t="n">
        <v>0.06838</v>
      </c>
      <c r="F708" s="20" t="n">
        <v>0.0663286</v>
      </c>
      <c r="G708" s="20" t="n">
        <v>0.071799</v>
      </c>
      <c r="H708" s="7" t="n">
        <v>46304.79166666666</v>
      </c>
      <c r="I708" s="20" t="n">
        <v>0.0663286</v>
      </c>
      <c r="J708" s="2" t="inlineStr">
        <is>
          <t>止盈</t>
        </is>
      </c>
      <c r="K708" s="5">
        <f>(H708-D708)*24</f>
        <v/>
      </c>
      <c r="L708" s="4">
        <f>IF(C708="做多",I708/E708-1,1-I708/E708)-2*參數!$B$7</f>
        <v/>
      </c>
      <c r="M708" s="2" t="inlineStr"/>
      <c r="N708" s="4" t="n">
        <v>-0.0291069146670454</v>
      </c>
      <c r="O708" s="4" t="n">
        <v>0.02697148003728226</v>
      </c>
      <c r="P708" s="4" t="n">
        <v>-0.005208181791730881</v>
      </c>
      <c r="Q708" s="22" t="n">
        <v>-6960485</v>
      </c>
      <c r="R708" s="22" t="n">
        <v>1307080.64351</v>
      </c>
      <c r="S708" s="4" t="n">
        <v>0.03</v>
      </c>
      <c r="T708" s="4" t="n">
        <v>0.01769523252412997</v>
      </c>
      <c r="U708" s="19" t="n">
        <v>0.5458948843957731</v>
      </c>
      <c r="V708" s="19" t="n">
        <v>0.9857142857142847</v>
      </c>
      <c r="W708" s="4" t="n">
        <v>0.03046698653599678</v>
      </c>
      <c r="X708" s="4" t="n">
        <v>0.05890448665015147</v>
      </c>
      <c r="Y708" s="4" t="n">
        <v>-0.0004405739565114253</v>
      </c>
      <c r="Z708" s="4" t="n">
        <v>-0.009117300871661183</v>
      </c>
      <c r="AA708" s="4" t="n">
        <v>0.03</v>
      </c>
      <c r="AB708" s="4" t="n">
        <v>0.05</v>
      </c>
      <c r="AC708" s="4">
        <f>(AB708+2*參數!$B$7)/(AA708+AB708)</f>
        <v/>
      </c>
    </row>
    <row r="709">
      <c r="A709" s="2" t="n">
        <v>708</v>
      </c>
      <c r="B709" s="2" t="inlineStr">
        <is>
          <t>TIA_USDT_PERP</t>
        </is>
      </c>
      <c r="C709" s="2" t="inlineStr">
        <is>
          <t>做空</t>
        </is>
      </c>
      <c r="D709" s="7" t="n">
        <v>46304.79166666666</v>
      </c>
      <c r="E709" s="20" t="n">
        <v>0.4746</v>
      </c>
      <c r="F709" s="20" t="n">
        <v>0.460362</v>
      </c>
      <c r="G709" s="20" t="n">
        <v>0.4983300000000001</v>
      </c>
      <c r="H709" s="7" t="n">
        <v>46305</v>
      </c>
      <c r="I709" s="20" t="n">
        <v>0.4746</v>
      </c>
      <c r="J709" s="2" t="inlineStr">
        <is>
          <t>未平倉</t>
        </is>
      </c>
      <c r="K709" s="5">
        <f>(H709-D709)*24</f>
        <v/>
      </c>
      <c r="L709" s="4">
        <f>IF(C709="做多",I709/E709-1,1-I709/E709)-2*參數!$B$7</f>
        <v/>
      </c>
      <c r="M709" s="2" t="inlineStr">
        <is>
          <t>持倉中（以最新收盤估值）</t>
        </is>
      </c>
      <c r="N709" s="4" t="n">
        <v>-0.04794383149448345</v>
      </c>
      <c r="O709" s="4" t="n">
        <v>0.0346755261879782</v>
      </c>
      <c r="P709" s="4" t="n">
        <v>-0.05052465214912316</v>
      </c>
      <c r="Q709" s="22" t="n">
        <v>-194925</v>
      </c>
      <c r="R709" s="22" t="n">
        <v>1988113.43477</v>
      </c>
      <c r="S709" s="4" t="n">
        <v>0.01727770754319435</v>
      </c>
      <c r="T709" s="4" t="n">
        <v>0.02591656131479136</v>
      </c>
      <c r="U709" s="19" t="n">
        <v>1.549628483766294</v>
      </c>
      <c r="V709" s="19" t="n">
        <v>0.7158469945355188</v>
      </c>
      <c r="W709" s="4" t="n">
        <v>-0.0001938850346043797</v>
      </c>
      <c r="X709" s="4" t="n">
        <v>0.0224510813594232</v>
      </c>
      <c r="Y709" s="4" t="n">
        <v>0.001147494153589945</v>
      </c>
      <c r="Z709" s="4" t="n">
        <v>-0.007255363402892234</v>
      </c>
      <c r="AA709" s="4" t="n">
        <v>0.03</v>
      </c>
      <c r="AB709" s="4" t="n">
        <v>0.05</v>
      </c>
      <c r="AC709" s="4">
        <f>(AB709+2*參數!$B$7)/(AA709+AB709)</f>
        <v/>
      </c>
    </row>
    <row r="710">
      <c r="A710" s="2" t="n">
        <v>709</v>
      </c>
      <c r="B710" s="2" t="inlineStr">
        <is>
          <t>RAY_USDT_PERP</t>
        </is>
      </c>
      <c r="C710" s="2" t="inlineStr">
        <is>
          <t>做多</t>
        </is>
      </c>
      <c r="D710" s="7" t="n">
        <v>46304.83333333334</v>
      </c>
      <c r="E710" s="20" t="n">
        <v>2.458</v>
      </c>
      <c r="F710" s="20" t="n">
        <v>2.53174</v>
      </c>
      <c r="G710" s="20" t="n">
        <v>2.3351</v>
      </c>
      <c r="H710" s="7" t="n">
        <v>46305</v>
      </c>
      <c r="I710" s="20" t="n">
        <v>2.362</v>
      </c>
      <c r="J710" s="2" t="inlineStr">
        <is>
          <t>未平倉</t>
        </is>
      </c>
      <c r="K710" s="5">
        <f>(H710-D710)*24</f>
        <v/>
      </c>
      <c r="L710" s="4">
        <f>IF(C710="做多",I710/E710-1,1-I710/E710)-2*參數!$B$7</f>
        <v/>
      </c>
      <c r="M710" s="2" t="inlineStr">
        <is>
          <t>持倉中（以最新收盤估值）</t>
        </is>
      </c>
      <c r="N710" s="4" t="n">
        <v>0.03625632377740318</v>
      </c>
      <c r="O710" s="4" t="n">
        <v>0.02665047149692906</v>
      </c>
      <c r="P710" s="4" t="n">
        <v>0.03257787393139955</v>
      </c>
      <c r="Q710" s="22" t="n">
        <v>76406.49999999953</v>
      </c>
      <c r="R710" s="22" t="n">
        <v>1272826.6979</v>
      </c>
      <c r="S710" s="4" t="n">
        <v>0.008136696501220619</v>
      </c>
      <c r="T710" s="4" t="n">
        <v>0.04109031733116353</v>
      </c>
      <c r="U710" s="19" t="n">
        <v>0.9402937463839878</v>
      </c>
      <c r="V710" s="19" t="n">
        <v>0.7394957983193298</v>
      </c>
      <c r="W710" s="4" t="n">
        <v>0.07513712591089239</v>
      </c>
      <c r="X710" s="4" t="n">
        <v>-0.002435064935064846</v>
      </c>
      <c r="Y710" s="4" t="n">
        <v>0.008313136209403771</v>
      </c>
      <c r="Z710" s="4" t="n">
        <v>0.01426246403025799</v>
      </c>
      <c r="AA710" s="4" t="n">
        <v>0.03</v>
      </c>
      <c r="AB710" s="4" t="n">
        <v>0.05</v>
      </c>
      <c r="AC710" s="4">
        <f>(AB710+2*參數!$B$7)/(AA710+AB710)</f>
        <v/>
      </c>
    </row>
    <row r="711">
      <c r="A711" s="2" t="n">
        <v>710</v>
      </c>
      <c r="B711" s="2" t="inlineStr">
        <is>
          <t>PUMP_USDT_PERP</t>
        </is>
      </c>
      <c r="C711" s="2" t="inlineStr">
        <is>
          <t>做空</t>
        </is>
      </c>
      <c r="D711" s="7" t="n">
        <v>46304.875</v>
      </c>
      <c r="E711" s="20" t="n">
        <v>0.005603</v>
      </c>
      <c r="F711" s="20" t="n">
        <v>0.00543491</v>
      </c>
      <c r="G711" s="20" t="n">
        <v>0.00588315</v>
      </c>
      <c r="H711" s="7" t="n">
        <v>46304.95833333334</v>
      </c>
      <c r="I711" s="20" t="n">
        <v>0.00543491</v>
      </c>
      <c r="J711" s="2" t="inlineStr">
        <is>
          <t>止盈</t>
        </is>
      </c>
      <c r="K711" s="5">
        <f>(H711-D711)*24</f>
        <v/>
      </c>
      <c r="L711" s="4">
        <f>IF(C711="做多",I711/E711-1,1-I711/E711)-2*參數!$B$7</f>
        <v/>
      </c>
      <c r="M711" s="2" t="inlineStr"/>
      <c r="N711" s="4" t="n">
        <v>-0.02182262569832394</v>
      </c>
      <c r="O711" s="4" t="n">
        <v>0.02576887257419623</v>
      </c>
      <c r="P711" s="4" t="n">
        <v>-0.00013383894713348</v>
      </c>
      <c r="Q711" s="22" t="n">
        <v>-411110242</v>
      </c>
      <c r="R711" s="22" t="n">
        <v>24018779.837438</v>
      </c>
      <c r="S711" s="4" t="n">
        <v>0.03</v>
      </c>
      <c r="T711" s="4" t="n">
        <v>0.005711226128859437</v>
      </c>
      <c r="U711" s="19" t="n">
        <v>6.434905264781751</v>
      </c>
      <c r="V711" s="19" t="n">
        <v>0.8272251308900516</v>
      </c>
      <c r="W711" s="4" t="n">
        <v>0.08341826260074958</v>
      </c>
      <c r="X711" s="4" t="n">
        <v>0.02961551783858662</v>
      </c>
      <c r="Y711" s="4" t="n">
        <v>0.002624810710766035</v>
      </c>
      <c r="Z711" s="4" t="n">
        <v>-0.010319459615028</v>
      </c>
      <c r="AA711" s="4" t="n">
        <v>0.03</v>
      </c>
      <c r="AB711" s="4" t="n">
        <v>0.05</v>
      </c>
      <c r="AC711" s="4">
        <f>(AB711+2*參數!$B$7)/(AA711+AB711)</f>
        <v/>
      </c>
    </row>
  </sheetData>
  <autoFilter ref="A1:AC711"/>
  <conditionalFormatting sqref="J2:J711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COUNTIFS(交易明細!$B$2:$B$711,$A2)</f>
        <v/>
      </c>
      <c r="C2" s="2">
        <f>COUNTIFS(交易明細!$B$2:$B$711,$A2,交易明細!$C$2:$C$711,"做多")</f>
        <v/>
      </c>
      <c r="D2" s="2">
        <f>COUNTIFS(交易明細!$B$2:$B$711,$A2,交易明細!$C$2:$C$711,"做空")</f>
        <v/>
      </c>
      <c r="E2" s="2">
        <f>F2+G2+COUNTIFS(交易明細!$B$2:$B$711,$A2,交易明細!$J$2:$J$711,"時間出場")</f>
        <v/>
      </c>
      <c r="F2" s="2">
        <f>COUNTIFS(交易明細!$B$2:$B$711,$A2,交易明細!$J$2:$J$711,"止盈")</f>
        <v/>
      </c>
      <c r="G2" s="2">
        <f>COUNTIFS(交易明細!$B$2:$B$711,$A2,交易明細!$J$2:$J$711,"止損")</f>
        <v/>
      </c>
      <c r="H2" s="4">
        <f>IFERROR(F2/E2,0)</f>
        <v/>
      </c>
      <c r="I2" s="4">
        <f>IFERROR(AVERAGEIFS(交易明細!$L$2:$L$711,交易明細!$B$2:$B$711,$A2,交易明細!$J$2:$J$711,"&lt;&gt;未平倉"),0)</f>
        <v/>
      </c>
      <c r="J2" s="4">
        <f>SUMIFS(交易明細!$L$2:$L$711,交易明細!$B$2:$B$711,$A2,交易明細!$J$2:$J$711,"&lt;&gt;未平倉")</f>
        <v/>
      </c>
      <c r="K2" s="5">
        <f>IFERROR(AVERAGEIFS(交易明細!$K$2:$K$711,交易明細!$B$2:$B$711,$A2,交易明細!$J$2:$J$711,"&lt;&gt;未平倉"),0)</f>
        <v/>
      </c>
      <c r="L2" s="2">
        <f>COUNTIFS(交易明細!$B$2:$B$711,$A2,交易明細!$J$2:$J$711,"未平倉")</f>
        <v/>
      </c>
    </row>
    <row r="3">
      <c r="A3" s="2" t="inlineStr">
        <is>
          <t>USELESS_USDT_PERP</t>
        </is>
      </c>
      <c r="B3" s="2">
        <f>COUNTIFS(交易明細!$B$2:$B$711,$A3)</f>
        <v/>
      </c>
      <c r="C3" s="2">
        <f>COUNTIFS(交易明細!$B$2:$B$711,$A3,交易明細!$C$2:$C$711,"做多")</f>
        <v/>
      </c>
      <c r="D3" s="2">
        <f>COUNTIFS(交易明細!$B$2:$B$711,$A3,交易明細!$C$2:$C$711,"做空")</f>
        <v/>
      </c>
      <c r="E3" s="2">
        <f>F3+G3+COUNTIFS(交易明細!$B$2:$B$711,$A3,交易明細!$J$2:$J$711,"時間出場")</f>
        <v/>
      </c>
      <c r="F3" s="2">
        <f>COUNTIFS(交易明細!$B$2:$B$711,$A3,交易明細!$J$2:$J$711,"止盈")</f>
        <v/>
      </c>
      <c r="G3" s="2">
        <f>COUNTIFS(交易明細!$B$2:$B$711,$A3,交易明細!$J$2:$J$711,"止損")</f>
        <v/>
      </c>
      <c r="H3" s="4">
        <f>IFERROR(F3/E3,0)</f>
        <v/>
      </c>
      <c r="I3" s="4">
        <f>IFERROR(AVERAGEIFS(交易明細!$L$2:$L$711,交易明細!$B$2:$B$711,$A3,交易明細!$J$2:$J$711,"&lt;&gt;未平倉"),0)</f>
        <v/>
      </c>
      <c r="J3" s="4">
        <f>SUMIFS(交易明細!$L$2:$L$711,交易明細!$B$2:$B$711,$A3,交易明細!$J$2:$J$711,"&lt;&gt;未平倉")</f>
        <v/>
      </c>
      <c r="K3" s="5">
        <f>IFERROR(AVERAGEIFS(交易明細!$K$2:$K$711,交易明細!$B$2:$B$711,$A3,交易明細!$J$2:$J$711,"&lt;&gt;未平倉"),0)</f>
        <v/>
      </c>
      <c r="L3" s="2">
        <f>COUNTIFS(交易明細!$B$2:$B$711,$A3,交易明細!$J$2:$J$711,"未平倉")</f>
        <v/>
      </c>
    </row>
    <row r="4">
      <c r="A4" s="2" t="inlineStr">
        <is>
          <t>PUMP_USDT_PERP</t>
        </is>
      </c>
      <c r="B4" s="2">
        <f>COUNTIFS(交易明細!$B$2:$B$711,$A4)</f>
        <v/>
      </c>
      <c r="C4" s="2">
        <f>COUNTIFS(交易明細!$B$2:$B$711,$A4,交易明細!$C$2:$C$711,"做多")</f>
        <v/>
      </c>
      <c r="D4" s="2">
        <f>COUNTIFS(交易明細!$B$2:$B$711,$A4,交易明細!$C$2:$C$711,"做空")</f>
        <v/>
      </c>
      <c r="E4" s="2">
        <f>F4+G4+COUNTIFS(交易明細!$B$2:$B$711,$A4,交易明細!$J$2:$J$711,"時間出場")</f>
        <v/>
      </c>
      <c r="F4" s="2">
        <f>COUNTIFS(交易明細!$B$2:$B$711,$A4,交易明細!$J$2:$J$711,"止盈")</f>
        <v/>
      </c>
      <c r="G4" s="2">
        <f>COUNTIFS(交易明細!$B$2:$B$711,$A4,交易明細!$J$2:$J$711,"止損")</f>
        <v/>
      </c>
      <c r="H4" s="4">
        <f>IFERROR(F4/E4,0)</f>
        <v/>
      </c>
      <c r="I4" s="4">
        <f>IFERROR(AVERAGEIFS(交易明細!$L$2:$L$711,交易明細!$B$2:$B$711,$A4,交易明細!$J$2:$J$711,"&lt;&gt;未平倉"),0)</f>
        <v/>
      </c>
      <c r="J4" s="4">
        <f>SUMIFS(交易明細!$L$2:$L$711,交易明細!$B$2:$B$711,$A4,交易明細!$J$2:$J$711,"&lt;&gt;未平倉")</f>
        <v/>
      </c>
      <c r="K4" s="5">
        <f>IFERROR(AVERAGEIFS(交易明細!$K$2:$K$711,交易明細!$B$2:$B$711,$A4,交易明細!$J$2:$J$711,"&lt;&gt;未平倉"),0)</f>
        <v/>
      </c>
      <c r="L4" s="2">
        <f>COUNTIFS(交易明細!$B$2:$B$711,$A4,交易明細!$J$2:$J$711,"未平倉")</f>
        <v/>
      </c>
    </row>
    <row r="5">
      <c r="A5" s="2" t="inlineStr">
        <is>
          <t>NEAR_USDT_PERP</t>
        </is>
      </c>
      <c r="B5" s="2">
        <f>COUNTIFS(交易明細!$B$2:$B$711,$A5)</f>
        <v/>
      </c>
      <c r="C5" s="2">
        <f>COUNTIFS(交易明細!$B$2:$B$711,$A5,交易明細!$C$2:$C$711,"做多")</f>
        <v/>
      </c>
      <c r="D5" s="2">
        <f>COUNTIFS(交易明細!$B$2:$B$711,$A5,交易明細!$C$2:$C$711,"做空")</f>
        <v/>
      </c>
      <c r="E5" s="2">
        <f>F5+G5+COUNTIFS(交易明細!$B$2:$B$711,$A5,交易明細!$J$2:$J$711,"時間出場")</f>
        <v/>
      </c>
      <c r="F5" s="2">
        <f>COUNTIFS(交易明細!$B$2:$B$711,$A5,交易明細!$J$2:$J$711,"止盈")</f>
        <v/>
      </c>
      <c r="G5" s="2">
        <f>COUNTIFS(交易明細!$B$2:$B$711,$A5,交易明細!$J$2:$J$711,"止損")</f>
        <v/>
      </c>
      <c r="H5" s="4">
        <f>IFERROR(F5/E5,0)</f>
        <v/>
      </c>
      <c r="I5" s="4">
        <f>IFERROR(AVERAGEIFS(交易明細!$L$2:$L$711,交易明細!$B$2:$B$711,$A5,交易明細!$J$2:$J$711,"&lt;&gt;未平倉"),0)</f>
        <v/>
      </c>
      <c r="J5" s="4">
        <f>SUMIFS(交易明細!$L$2:$L$711,交易明細!$B$2:$B$711,$A5,交易明細!$J$2:$J$711,"&lt;&gt;未平倉")</f>
        <v/>
      </c>
      <c r="K5" s="5">
        <f>IFERROR(AVERAGEIFS(交易明細!$K$2:$K$711,交易明細!$B$2:$B$711,$A5,交易明細!$J$2:$J$711,"&lt;&gt;未平倉"),0)</f>
        <v/>
      </c>
      <c r="L5" s="2">
        <f>COUNTIFS(交易明細!$B$2:$B$711,$A5,交易明細!$J$2:$J$711,"未平倉")</f>
        <v/>
      </c>
    </row>
    <row r="6">
      <c r="A6" s="2" t="inlineStr">
        <is>
          <t>MARSCOIN_USDT_PERP</t>
        </is>
      </c>
      <c r="B6" s="2">
        <f>COUNTIFS(交易明細!$B$2:$B$711,$A6)</f>
        <v/>
      </c>
      <c r="C6" s="2">
        <f>COUNTIFS(交易明細!$B$2:$B$711,$A6,交易明細!$C$2:$C$711,"做多")</f>
        <v/>
      </c>
      <c r="D6" s="2">
        <f>COUNTIFS(交易明細!$B$2:$B$711,$A6,交易明細!$C$2:$C$711,"做空")</f>
        <v/>
      </c>
      <c r="E6" s="2">
        <f>F6+G6+COUNTIFS(交易明細!$B$2:$B$711,$A6,交易明細!$J$2:$J$711,"時間出場")</f>
        <v/>
      </c>
      <c r="F6" s="2">
        <f>COUNTIFS(交易明細!$B$2:$B$711,$A6,交易明細!$J$2:$J$711,"止盈")</f>
        <v/>
      </c>
      <c r="G6" s="2">
        <f>COUNTIFS(交易明細!$B$2:$B$711,$A6,交易明細!$J$2:$J$711,"止損")</f>
        <v/>
      </c>
      <c r="H6" s="4">
        <f>IFERROR(F6/E6,0)</f>
        <v/>
      </c>
      <c r="I6" s="4">
        <f>IFERROR(AVERAGEIFS(交易明細!$L$2:$L$711,交易明細!$B$2:$B$711,$A6,交易明細!$J$2:$J$711,"&lt;&gt;未平倉"),0)</f>
        <v/>
      </c>
      <c r="J6" s="4">
        <f>SUMIFS(交易明細!$L$2:$L$711,交易明細!$B$2:$B$711,$A6,交易明細!$J$2:$J$711,"&lt;&gt;未平倉")</f>
        <v/>
      </c>
      <c r="K6" s="5">
        <f>IFERROR(AVERAGEIFS(交易明細!$K$2:$K$711,交易明細!$B$2:$B$711,$A6,交易明細!$J$2:$J$711,"&lt;&gt;未平倉"),0)</f>
        <v/>
      </c>
      <c r="L6" s="2">
        <f>COUNTIFS(交易明細!$B$2:$B$711,$A6,交易明細!$J$2:$J$711,"未平倉")</f>
        <v/>
      </c>
    </row>
    <row r="7">
      <c r="A7" s="2" t="inlineStr">
        <is>
          <t>AKE_USDT_PERP</t>
        </is>
      </c>
      <c r="B7" s="2">
        <f>COUNTIFS(交易明細!$B$2:$B$711,$A7)</f>
        <v/>
      </c>
      <c r="C7" s="2">
        <f>COUNTIFS(交易明細!$B$2:$B$711,$A7,交易明細!$C$2:$C$711,"做多")</f>
        <v/>
      </c>
      <c r="D7" s="2">
        <f>COUNTIFS(交易明細!$B$2:$B$711,$A7,交易明細!$C$2:$C$711,"做空")</f>
        <v/>
      </c>
      <c r="E7" s="2">
        <f>F7+G7+COUNTIFS(交易明細!$B$2:$B$711,$A7,交易明細!$J$2:$J$711,"時間出場")</f>
        <v/>
      </c>
      <c r="F7" s="2">
        <f>COUNTIFS(交易明細!$B$2:$B$711,$A7,交易明細!$J$2:$J$711,"止盈")</f>
        <v/>
      </c>
      <c r="G7" s="2">
        <f>COUNTIFS(交易明細!$B$2:$B$711,$A7,交易明細!$J$2:$J$711,"止損")</f>
        <v/>
      </c>
      <c r="H7" s="4">
        <f>IFERROR(F7/E7,0)</f>
        <v/>
      </c>
      <c r="I7" s="4">
        <f>IFERROR(AVERAGEIFS(交易明細!$L$2:$L$711,交易明細!$B$2:$B$711,$A7,交易明細!$J$2:$J$711,"&lt;&gt;未平倉"),0)</f>
        <v/>
      </c>
      <c r="J7" s="4">
        <f>SUMIFS(交易明細!$L$2:$L$711,交易明細!$B$2:$B$711,$A7,交易明細!$J$2:$J$711,"&lt;&gt;未平倉")</f>
        <v/>
      </c>
      <c r="K7" s="5">
        <f>IFERROR(AVERAGEIFS(交易明細!$K$2:$K$711,交易明細!$B$2:$B$711,$A7,交易明細!$J$2:$J$711,"&lt;&gt;未平倉"),0)</f>
        <v/>
      </c>
      <c r="L7" s="2">
        <f>COUNTIFS(交易明細!$B$2:$B$711,$A7,交易明細!$J$2:$J$711,"未平倉")</f>
        <v/>
      </c>
    </row>
    <row r="8">
      <c r="A8" s="2" t="inlineStr">
        <is>
          <t>BR_USDT_PERP</t>
        </is>
      </c>
      <c r="B8" s="2">
        <f>COUNTIFS(交易明細!$B$2:$B$711,$A8)</f>
        <v/>
      </c>
      <c r="C8" s="2">
        <f>COUNTIFS(交易明細!$B$2:$B$711,$A8,交易明細!$C$2:$C$711,"做多")</f>
        <v/>
      </c>
      <c r="D8" s="2">
        <f>COUNTIFS(交易明細!$B$2:$B$711,$A8,交易明細!$C$2:$C$711,"做空")</f>
        <v/>
      </c>
      <c r="E8" s="2">
        <f>F8+G8+COUNTIFS(交易明細!$B$2:$B$711,$A8,交易明細!$J$2:$J$711,"時間出場")</f>
        <v/>
      </c>
      <c r="F8" s="2">
        <f>COUNTIFS(交易明細!$B$2:$B$711,$A8,交易明細!$J$2:$J$711,"止盈")</f>
        <v/>
      </c>
      <c r="G8" s="2">
        <f>COUNTIFS(交易明細!$B$2:$B$711,$A8,交易明細!$J$2:$J$711,"止損")</f>
        <v/>
      </c>
      <c r="H8" s="4">
        <f>IFERROR(F8/E8,0)</f>
        <v/>
      </c>
      <c r="I8" s="4">
        <f>IFERROR(AVERAGEIFS(交易明細!$L$2:$L$711,交易明細!$B$2:$B$711,$A8,交易明細!$J$2:$J$711,"&lt;&gt;未平倉"),0)</f>
        <v/>
      </c>
      <c r="J8" s="4">
        <f>SUMIFS(交易明細!$L$2:$L$711,交易明細!$B$2:$B$711,$A8,交易明細!$J$2:$J$711,"&lt;&gt;未平倉")</f>
        <v/>
      </c>
      <c r="K8" s="5">
        <f>IFERROR(AVERAGEIFS(交易明細!$K$2:$K$711,交易明細!$B$2:$B$711,$A8,交易明細!$J$2:$J$711,"&lt;&gt;未平倉"),0)</f>
        <v/>
      </c>
      <c r="L8" s="2">
        <f>COUNTIFS(交易明細!$B$2:$B$711,$A8,交易明細!$J$2:$J$711,"未平倉")</f>
        <v/>
      </c>
    </row>
    <row r="9">
      <c r="A9" s="2" t="inlineStr">
        <is>
          <t>LIT_USDT_PERP</t>
        </is>
      </c>
      <c r="B9" s="2">
        <f>COUNTIFS(交易明細!$B$2:$B$711,$A9)</f>
        <v/>
      </c>
      <c r="C9" s="2">
        <f>COUNTIFS(交易明細!$B$2:$B$711,$A9,交易明細!$C$2:$C$711,"做多")</f>
        <v/>
      </c>
      <c r="D9" s="2">
        <f>COUNTIFS(交易明細!$B$2:$B$711,$A9,交易明細!$C$2:$C$711,"做空")</f>
        <v/>
      </c>
      <c r="E9" s="2">
        <f>F9+G9+COUNTIFS(交易明細!$B$2:$B$711,$A9,交易明細!$J$2:$J$711,"時間出場")</f>
        <v/>
      </c>
      <c r="F9" s="2">
        <f>COUNTIFS(交易明細!$B$2:$B$711,$A9,交易明細!$J$2:$J$711,"止盈")</f>
        <v/>
      </c>
      <c r="G9" s="2">
        <f>COUNTIFS(交易明細!$B$2:$B$711,$A9,交易明細!$J$2:$J$711,"止損")</f>
        <v/>
      </c>
      <c r="H9" s="4">
        <f>IFERROR(F9/E9,0)</f>
        <v/>
      </c>
      <c r="I9" s="4">
        <f>IFERROR(AVERAGEIFS(交易明細!$L$2:$L$711,交易明細!$B$2:$B$711,$A9,交易明細!$J$2:$J$711,"&lt;&gt;未平倉"),0)</f>
        <v/>
      </c>
      <c r="J9" s="4">
        <f>SUMIFS(交易明細!$L$2:$L$711,交易明細!$B$2:$B$711,$A9,交易明細!$J$2:$J$711,"&lt;&gt;未平倉")</f>
        <v/>
      </c>
      <c r="K9" s="5">
        <f>IFERROR(AVERAGEIFS(交易明細!$K$2:$K$711,交易明細!$B$2:$B$711,$A9,交易明細!$J$2:$J$711,"&lt;&gt;未平倉"),0)</f>
        <v/>
      </c>
      <c r="L9" s="2">
        <f>COUNTIFS(交易明細!$B$2:$B$711,$A9,交易明細!$J$2:$J$711,"未平倉")</f>
        <v/>
      </c>
    </row>
    <row r="10">
      <c r="A10" s="2" t="inlineStr">
        <is>
          <t>ENA_USDT_PERP</t>
        </is>
      </c>
      <c r="B10" s="2">
        <f>COUNTIFS(交易明細!$B$2:$B$711,$A10)</f>
        <v/>
      </c>
      <c r="C10" s="2">
        <f>COUNTIFS(交易明細!$B$2:$B$711,$A10,交易明細!$C$2:$C$711,"做多")</f>
        <v/>
      </c>
      <c r="D10" s="2">
        <f>COUNTIFS(交易明細!$B$2:$B$711,$A10,交易明細!$C$2:$C$711,"做空")</f>
        <v/>
      </c>
      <c r="E10" s="2">
        <f>F10+G10+COUNTIFS(交易明細!$B$2:$B$711,$A10,交易明細!$J$2:$J$711,"時間出場")</f>
        <v/>
      </c>
      <c r="F10" s="2">
        <f>COUNTIFS(交易明細!$B$2:$B$711,$A10,交易明細!$J$2:$J$711,"止盈")</f>
        <v/>
      </c>
      <c r="G10" s="2">
        <f>COUNTIFS(交易明細!$B$2:$B$711,$A10,交易明細!$J$2:$J$711,"止損")</f>
        <v/>
      </c>
      <c r="H10" s="4">
        <f>IFERROR(F10/E10,0)</f>
        <v/>
      </c>
      <c r="I10" s="4">
        <f>IFERROR(AVERAGEIFS(交易明細!$L$2:$L$711,交易明細!$B$2:$B$711,$A10,交易明細!$J$2:$J$711,"&lt;&gt;未平倉"),0)</f>
        <v/>
      </c>
      <c r="J10" s="4">
        <f>SUMIFS(交易明細!$L$2:$L$711,交易明細!$B$2:$B$711,$A10,交易明細!$J$2:$J$711,"&lt;&gt;未平倉")</f>
        <v/>
      </c>
      <c r="K10" s="5">
        <f>IFERROR(AVERAGEIFS(交易明細!$K$2:$K$711,交易明細!$B$2:$B$711,$A10,交易明細!$J$2:$J$711,"&lt;&gt;未平倉"),0)</f>
        <v/>
      </c>
      <c r="L10" s="2">
        <f>COUNTIFS(交易明細!$B$2:$B$711,$A10,交易明細!$J$2:$J$711,"未平倉")</f>
        <v/>
      </c>
    </row>
    <row r="11">
      <c r="A11" s="2" t="inlineStr">
        <is>
          <t>牛来_USDT_PERP</t>
        </is>
      </c>
      <c r="B11" s="2">
        <f>COUNTIFS(交易明細!$B$2:$B$711,$A11)</f>
        <v/>
      </c>
      <c r="C11" s="2">
        <f>COUNTIFS(交易明細!$B$2:$B$711,$A11,交易明細!$C$2:$C$711,"做多")</f>
        <v/>
      </c>
      <c r="D11" s="2">
        <f>COUNTIFS(交易明細!$B$2:$B$711,$A11,交易明細!$C$2:$C$711,"做空")</f>
        <v/>
      </c>
      <c r="E11" s="2">
        <f>F11+G11+COUNTIFS(交易明細!$B$2:$B$711,$A11,交易明細!$J$2:$J$711,"時間出場")</f>
        <v/>
      </c>
      <c r="F11" s="2">
        <f>COUNTIFS(交易明細!$B$2:$B$711,$A11,交易明細!$J$2:$J$711,"止盈")</f>
        <v/>
      </c>
      <c r="G11" s="2">
        <f>COUNTIFS(交易明細!$B$2:$B$711,$A11,交易明細!$J$2:$J$711,"止損")</f>
        <v/>
      </c>
      <c r="H11" s="4">
        <f>IFERROR(F11/E11,0)</f>
        <v/>
      </c>
      <c r="I11" s="4">
        <f>IFERROR(AVERAGEIFS(交易明細!$L$2:$L$711,交易明細!$B$2:$B$711,$A11,交易明細!$J$2:$J$711,"&lt;&gt;未平倉"),0)</f>
        <v/>
      </c>
      <c r="J11" s="4">
        <f>SUMIFS(交易明細!$L$2:$L$711,交易明細!$B$2:$B$711,$A11,交易明細!$J$2:$J$711,"&lt;&gt;未平倉")</f>
        <v/>
      </c>
      <c r="K11" s="5">
        <f>IFERROR(AVERAGEIFS(交易明細!$K$2:$K$711,交易明細!$B$2:$B$711,$A11,交易明細!$J$2:$J$711,"&lt;&gt;未平倉"),0)</f>
        <v/>
      </c>
      <c r="L11" s="2">
        <f>COUNTIFS(交易明細!$B$2:$B$711,$A11,交易明細!$J$2:$J$711,"未平倉")</f>
        <v/>
      </c>
    </row>
    <row r="12">
      <c r="A12" s="2" t="inlineStr">
        <is>
          <t>ARB_USDT_PERP</t>
        </is>
      </c>
      <c r="B12" s="2">
        <f>COUNTIFS(交易明細!$B$2:$B$711,$A12)</f>
        <v/>
      </c>
      <c r="C12" s="2">
        <f>COUNTIFS(交易明細!$B$2:$B$711,$A12,交易明細!$C$2:$C$711,"做多")</f>
        <v/>
      </c>
      <c r="D12" s="2">
        <f>COUNTIFS(交易明細!$B$2:$B$711,$A12,交易明細!$C$2:$C$711,"做空")</f>
        <v/>
      </c>
      <c r="E12" s="2">
        <f>F12+G12+COUNTIFS(交易明細!$B$2:$B$711,$A12,交易明細!$J$2:$J$711,"時間出場")</f>
        <v/>
      </c>
      <c r="F12" s="2">
        <f>COUNTIFS(交易明細!$B$2:$B$711,$A12,交易明細!$J$2:$J$711,"止盈")</f>
        <v/>
      </c>
      <c r="G12" s="2">
        <f>COUNTIFS(交易明細!$B$2:$B$711,$A12,交易明細!$J$2:$J$711,"止損")</f>
        <v/>
      </c>
      <c r="H12" s="4">
        <f>IFERROR(F12/E12,0)</f>
        <v/>
      </c>
      <c r="I12" s="4">
        <f>IFERROR(AVERAGEIFS(交易明細!$L$2:$L$711,交易明細!$B$2:$B$711,$A12,交易明細!$J$2:$J$711,"&lt;&gt;未平倉"),0)</f>
        <v/>
      </c>
      <c r="J12" s="4">
        <f>SUMIFS(交易明細!$L$2:$L$711,交易明細!$B$2:$B$711,$A12,交易明細!$J$2:$J$711,"&lt;&gt;未平倉")</f>
        <v/>
      </c>
      <c r="K12" s="5">
        <f>IFERROR(AVERAGEIFS(交易明細!$K$2:$K$711,交易明細!$B$2:$B$711,$A12,交易明細!$J$2:$J$711,"&lt;&gt;未平倉"),0)</f>
        <v/>
      </c>
      <c r="L12" s="2">
        <f>COUNTIFS(交易明細!$B$2:$B$711,$A12,交易明細!$J$2:$J$711,"未平倉")</f>
        <v/>
      </c>
    </row>
    <row r="13">
      <c r="A13" s="2" t="inlineStr">
        <is>
          <t>QNT_USDT_PERP</t>
        </is>
      </c>
      <c r="B13" s="2">
        <f>COUNTIFS(交易明細!$B$2:$B$711,$A13)</f>
        <v/>
      </c>
      <c r="C13" s="2">
        <f>COUNTIFS(交易明細!$B$2:$B$711,$A13,交易明細!$C$2:$C$711,"做多")</f>
        <v/>
      </c>
      <c r="D13" s="2">
        <f>COUNTIFS(交易明細!$B$2:$B$711,$A13,交易明細!$C$2:$C$711,"做空")</f>
        <v/>
      </c>
      <c r="E13" s="2">
        <f>F13+G13+COUNTIFS(交易明細!$B$2:$B$711,$A13,交易明細!$J$2:$J$711,"時間出場")</f>
        <v/>
      </c>
      <c r="F13" s="2">
        <f>COUNTIFS(交易明細!$B$2:$B$711,$A13,交易明細!$J$2:$J$711,"止盈")</f>
        <v/>
      </c>
      <c r="G13" s="2">
        <f>COUNTIFS(交易明細!$B$2:$B$711,$A13,交易明細!$J$2:$J$711,"止損")</f>
        <v/>
      </c>
      <c r="H13" s="4">
        <f>IFERROR(F13/E13,0)</f>
        <v/>
      </c>
      <c r="I13" s="4">
        <f>IFERROR(AVERAGEIFS(交易明細!$L$2:$L$711,交易明細!$B$2:$B$711,$A13,交易明細!$J$2:$J$711,"&lt;&gt;未平倉"),0)</f>
        <v/>
      </c>
      <c r="J13" s="4">
        <f>SUMIFS(交易明細!$L$2:$L$711,交易明細!$B$2:$B$711,$A13,交易明細!$J$2:$J$711,"&lt;&gt;未平倉")</f>
        <v/>
      </c>
      <c r="K13" s="5">
        <f>IFERROR(AVERAGEIFS(交易明細!$K$2:$K$711,交易明細!$B$2:$B$711,$A13,交易明細!$J$2:$J$711,"&lt;&gt;未平倉"),0)</f>
        <v/>
      </c>
      <c r="L13" s="2">
        <f>COUNTIFS(交易明細!$B$2:$B$711,$A13,交易明細!$J$2:$J$711,"未平倉")</f>
        <v/>
      </c>
    </row>
    <row r="14">
      <c r="A14" s="2" t="inlineStr">
        <is>
          <t>UNI_USDT_PERP</t>
        </is>
      </c>
      <c r="B14" s="2">
        <f>COUNTIFS(交易明細!$B$2:$B$711,$A14)</f>
        <v/>
      </c>
      <c r="C14" s="2">
        <f>COUNTIFS(交易明細!$B$2:$B$711,$A14,交易明細!$C$2:$C$711,"做多")</f>
        <v/>
      </c>
      <c r="D14" s="2">
        <f>COUNTIFS(交易明細!$B$2:$B$711,$A14,交易明細!$C$2:$C$711,"做空")</f>
        <v/>
      </c>
      <c r="E14" s="2">
        <f>F14+G14+COUNTIFS(交易明細!$B$2:$B$711,$A14,交易明細!$J$2:$J$711,"時間出場")</f>
        <v/>
      </c>
      <c r="F14" s="2">
        <f>COUNTIFS(交易明細!$B$2:$B$711,$A14,交易明細!$J$2:$J$711,"止盈")</f>
        <v/>
      </c>
      <c r="G14" s="2">
        <f>COUNTIFS(交易明細!$B$2:$B$711,$A14,交易明細!$J$2:$J$711,"止損")</f>
        <v/>
      </c>
      <c r="H14" s="4">
        <f>IFERROR(F14/E14,0)</f>
        <v/>
      </c>
      <c r="I14" s="4">
        <f>IFERROR(AVERAGEIFS(交易明細!$L$2:$L$711,交易明細!$B$2:$B$711,$A14,交易明細!$J$2:$J$711,"&lt;&gt;未平倉"),0)</f>
        <v/>
      </c>
      <c r="J14" s="4">
        <f>SUMIFS(交易明細!$L$2:$L$711,交易明細!$B$2:$B$711,$A14,交易明細!$J$2:$J$711,"&lt;&gt;未平倉")</f>
        <v/>
      </c>
      <c r="K14" s="5">
        <f>IFERROR(AVERAGEIFS(交易明細!$K$2:$K$711,交易明細!$B$2:$B$711,$A14,交易明細!$J$2:$J$711,"&lt;&gt;未平倉"),0)</f>
        <v/>
      </c>
      <c r="L14" s="2">
        <f>COUNTIFS(交易明細!$B$2:$B$711,$A14,交易明細!$J$2:$J$711,"未平倉")</f>
        <v/>
      </c>
    </row>
    <row r="15">
      <c r="A15" s="2" t="inlineStr">
        <is>
          <t>VVV_USDT_PERP</t>
        </is>
      </c>
      <c r="B15" s="2">
        <f>COUNTIFS(交易明細!$B$2:$B$711,$A15)</f>
        <v/>
      </c>
      <c r="C15" s="2">
        <f>COUNTIFS(交易明細!$B$2:$B$711,$A15,交易明細!$C$2:$C$711,"做多")</f>
        <v/>
      </c>
      <c r="D15" s="2">
        <f>COUNTIFS(交易明細!$B$2:$B$711,$A15,交易明細!$C$2:$C$711,"做空")</f>
        <v/>
      </c>
      <c r="E15" s="2">
        <f>F15+G15+COUNTIFS(交易明細!$B$2:$B$711,$A15,交易明細!$J$2:$J$711,"時間出場")</f>
        <v/>
      </c>
      <c r="F15" s="2">
        <f>COUNTIFS(交易明細!$B$2:$B$711,$A15,交易明細!$J$2:$J$711,"止盈")</f>
        <v/>
      </c>
      <c r="G15" s="2">
        <f>COUNTIFS(交易明細!$B$2:$B$711,$A15,交易明細!$J$2:$J$711,"止損")</f>
        <v/>
      </c>
      <c r="H15" s="4">
        <f>IFERROR(F15/E15,0)</f>
        <v/>
      </c>
      <c r="I15" s="4">
        <f>IFERROR(AVERAGEIFS(交易明細!$L$2:$L$711,交易明細!$B$2:$B$711,$A15,交易明細!$J$2:$J$711,"&lt;&gt;未平倉"),0)</f>
        <v/>
      </c>
      <c r="J15" s="4">
        <f>SUMIFS(交易明細!$L$2:$L$711,交易明細!$B$2:$B$711,$A15,交易明細!$J$2:$J$711,"&lt;&gt;未平倉")</f>
        <v/>
      </c>
      <c r="K15" s="5">
        <f>IFERROR(AVERAGEIFS(交易明細!$K$2:$K$711,交易明細!$B$2:$B$711,$A15,交易明細!$J$2:$J$711,"&lt;&gt;未平倉"),0)</f>
        <v/>
      </c>
      <c r="L15" s="2">
        <f>COUNTIFS(交易明細!$B$2:$B$711,$A15,交易明細!$J$2:$J$711,"未平倉")</f>
        <v/>
      </c>
    </row>
    <row r="16">
      <c r="A16" s="2" t="inlineStr">
        <is>
          <t>LSK_USDT_PERP</t>
        </is>
      </c>
      <c r="B16" s="2">
        <f>COUNTIFS(交易明細!$B$2:$B$711,$A16)</f>
        <v/>
      </c>
      <c r="C16" s="2">
        <f>COUNTIFS(交易明細!$B$2:$B$711,$A16,交易明細!$C$2:$C$711,"做多")</f>
        <v/>
      </c>
      <c r="D16" s="2">
        <f>COUNTIFS(交易明細!$B$2:$B$711,$A16,交易明細!$C$2:$C$711,"做空")</f>
        <v/>
      </c>
      <c r="E16" s="2">
        <f>F16+G16+COUNTIFS(交易明細!$B$2:$B$711,$A16,交易明細!$J$2:$J$711,"時間出場")</f>
        <v/>
      </c>
      <c r="F16" s="2">
        <f>COUNTIFS(交易明細!$B$2:$B$711,$A16,交易明細!$J$2:$J$711,"止盈")</f>
        <v/>
      </c>
      <c r="G16" s="2">
        <f>COUNTIFS(交易明細!$B$2:$B$711,$A16,交易明細!$J$2:$J$711,"止損")</f>
        <v/>
      </c>
      <c r="H16" s="4">
        <f>IFERROR(F16/E16,0)</f>
        <v/>
      </c>
      <c r="I16" s="4">
        <f>IFERROR(AVERAGEIFS(交易明細!$L$2:$L$711,交易明細!$B$2:$B$711,$A16,交易明細!$J$2:$J$711,"&lt;&gt;未平倉"),0)</f>
        <v/>
      </c>
      <c r="J16" s="4">
        <f>SUMIFS(交易明細!$L$2:$L$711,交易明細!$B$2:$B$711,$A16,交易明細!$J$2:$J$711,"&lt;&gt;未平倉")</f>
        <v/>
      </c>
      <c r="K16" s="5">
        <f>IFERROR(AVERAGEIFS(交易明細!$K$2:$K$711,交易明細!$B$2:$B$711,$A16,交易明細!$J$2:$J$711,"&lt;&gt;未平倉"),0)</f>
        <v/>
      </c>
      <c r="L16" s="2">
        <f>COUNTIFS(交易明細!$B$2:$B$711,$A16,交易明細!$J$2:$J$711,"未平倉")</f>
        <v/>
      </c>
    </row>
    <row r="17">
      <c r="A17" s="2" t="inlineStr">
        <is>
          <t>UAI_USDT_PERP</t>
        </is>
      </c>
      <c r="B17" s="2">
        <f>COUNTIFS(交易明細!$B$2:$B$711,$A17)</f>
        <v/>
      </c>
      <c r="C17" s="2">
        <f>COUNTIFS(交易明細!$B$2:$B$711,$A17,交易明細!$C$2:$C$711,"做多")</f>
        <v/>
      </c>
      <c r="D17" s="2">
        <f>COUNTIFS(交易明細!$B$2:$B$711,$A17,交易明細!$C$2:$C$711,"做空")</f>
        <v/>
      </c>
      <c r="E17" s="2">
        <f>F17+G17+COUNTIFS(交易明細!$B$2:$B$711,$A17,交易明細!$J$2:$J$711,"時間出場")</f>
        <v/>
      </c>
      <c r="F17" s="2">
        <f>COUNTIFS(交易明細!$B$2:$B$711,$A17,交易明細!$J$2:$J$711,"止盈")</f>
        <v/>
      </c>
      <c r="G17" s="2">
        <f>COUNTIFS(交易明細!$B$2:$B$711,$A17,交易明細!$J$2:$J$711,"止損")</f>
        <v/>
      </c>
      <c r="H17" s="4">
        <f>IFERROR(F17/E17,0)</f>
        <v/>
      </c>
      <c r="I17" s="4">
        <f>IFERROR(AVERAGEIFS(交易明細!$L$2:$L$711,交易明細!$B$2:$B$711,$A17,交易明細!$J$2:$J$711,"&lt;&gt;未平倉"),0)</f>
        <v/>
      </c>
      <c r="J17" s="4">
        <f>SUMIFS(交易明細!$L$2:$L$711,交易明細!$B$2:$B$711,$A17,交易明細!$J$2:$J$711,"&lt;&gt;未平倉")</f>
        <v/>
      </c>
      <c r="K17" s="5">
        <f>IFERROR(AVERAGEIFS(交易明細!$K$2:$K$711,交易明細!$B$2:$B$711,$A17,交易明細!$J$2:$J$711,"&lt;&gt;未平倉"),0)</f>
        <v/>
      </c>
      <c r="L17" s="2">
        <f>COUNTIFS(交易明細!$B$2:$B$711,$A17,交易明細!$J$2:$J$711,"未平倉")</f>
        <v/>
      </c>
    </row>
    <row r="18">
      <c r="A18" s="2" t="inlineStr">
        <is>
          <t>RAY_USDT_PERP</t>
        </is>
      </c>
      <c r="B18" s="2">
        <f>COUNTIFS(交易明細!$B$2:$B$711,$A18)</f>
        <v/>
      </c>
      <c r="C18" s="2">
        <f>COUNTIFS(交易明細!$B$2:$B$711,$A18,交易明細!$C$2:$C$711,"做多")</f>
        <v/>
      </c>
      <c r="D18" s="2">
        <f>COUNTIFS(交易明細!$B$2:$B$711,$A18,交易明細!$C$2:$C$711,"做空")</f>
        <v/>
      </c>
      <c r="E18" s="2">
        <f>F18+G18+COUNTIFS(交易明細!$B$2:$B$711,$A18,交易明細!$J$2:$J$711,"時間出場")</f>
        <v/>
      </c>
      <c r="F18" s="2">
        <f>COUNTIFS(交易明細!$B$2:$B$711,$A18,交易明細!$J$2:$J$711,"止盈")</f>
        <v/>
      </c>
      <c r="G18" s="2">
        <f>COUNTIFS(交易明細!$B$2:$B$711,$A18,交易明細!$J$2:$J$711,"止損")</f>
        <v/>
      </c>
      <c r="H18" s="4">
        <f>IFERROR(F18/E18,0)</f>
        <v/>
      </c>
      <c r="I18" s="4">
        <f>IFERROR(AVERAGEIFS(交易明細!$L$2:$L$711,交易明細!$B$2:$B$711,$A18,交易明細!$J$2:$J$711,"&lt;&gt;未平倉"),0)</f>
        <v/>
      </c>
      <c r="J18" s="4">
        <f>SUMIFS(交易明細!$L$2:$L$711,交易明細!$B$2:$B$711,$A18,交易明細!$J$2:$J$711,"&lt;&gt;未平倉")</f>
        <v/>
      </c>
      <c r="K18" s="5">
        <f>IFERROR(AVERAGEIFS(交易明細!$K$2:$K$711,交易明細!$B$2:$B$711,$A18,交易明細!$J$2:$J$711,"&lt;&gt;未平倉"),0)</f>
        <v/>
      </c>
      <c r="L18" s="2">
        <f>COUNTIFS(交易明細!$B$2:$B$711,$A18,交易明細!$J$2:$J$711,"未平倉")</f>
        <v/>
      </c>
    </row>
    <row r="19">
      <c r="A19" s="2" t="inlineStr">
        <is>
          <t>BULLA_USDT_PERP</t>
        </is>
      </c>
      <c r="B19" s="2">
        <f>COUNTIFS(交易明細!$B$2:$B$711,$A19)</f>
        <v/>
      </c>
      <c r="C19" s="2">
        <f>COUNTIFS(交易明細!$B$2:$B$711,$A19,交易明細!$C$2:$C$711,"做多")</f>
        <v/>
      </c>
      <c r="D19" s="2">
        <f>COUNTIFS(交易明細!$B$2:$B$711,$A19,交易明細!$C$2:$C$711,"做空")</f>
        <v/>
      </c>
      <c r="E19" s="2">
        <f>F19+G19+COUNTIFS(交易明細!$B$2:$B$711,$A19,交易明細!$J$2:$J$711,"時間出場")</f>
        <v/>
      </c>
      <c r="F19" s="2">
        <f>COUNTIFS(交易明細!$B$2:$B$711,$A19,交易明細!$J$2:$J$711,"止盈")</f>
        <v/>
      </c>
      <c r="G19" s="2">
        <f>COUNTIFS(交易明細!$B$2:$B$711,$A19,交易明細!$J$2:$J$711,"止損")</f>
        <v/>
      </c>
      <c r="H19" s="4">
        <f>IFERROR(F19/E19,0)</f>
        <v/>
      </c>
      <c r="I19" s="4">
        <f>IFERROR(AVERAGEIFS(交易明細!$L$2:$L$711,交易明細!$B$2:$B$711,$A19,交易明細!$J$2:$J$711,"&lt;&gt;未平倉"),0)</f>
        <v/>
      </c>
      <c r="J19" s="4">
        <f>SUMIFS(交易明細!$L$2:$L$711,交易明細!$B$2:$B$711,$A19,交易明細!$J$2:$J$711,"&lt;&gt;未平倉")</f>
        <v/>
      </c>
      <c r="K19" s="5">
        <f>IFERROR(AVERAGEIFS(交易明細!$K$2:$K$711,交易明細!$B$2:$B$711,$A19,交易明細!$J$2:$J$711,"&lt;&gt;未平倉"),0)</f>
        <v/>
      </c>
      <c r="L19" s="2">
        <f>COUNTIFS(交易明細!$B$2:$B$711,$A19,交易明細!$J$2:$J$711,"未平倉")</f>
        <v/>
      </c>
    </row>
    <row r="20">
      <c r="A20" s="2" t="inlineStr">
        <is>
          <t>PENGU_USDT_PERP</t>
        </is>
      </c>
      <c r="B20" s="2">
        <f>COUNTIFS(交易明細!$B$2:$B$711,$A20)</f>
        <v/>
      </c>
      <c r="C20" s="2">
        <f>COUNTIFS(交易明細!$B$2:$B$711,$A20,交易明細!$C$2:$C$711,"做多")</f>
        <v/>
      </c>
      <c r="D20" s="2">
        <f>COUNTIFS(交易明細!$B$2:$B$711,$A20,交易明細!$C$2:$C$711,"做空")</f>
        <v/>
      </c>
      <c r="E20" s="2">
        <f>F20+G20+COUNTIFS(交易明細!$B$2:$B$711,$A20,交易明細!$J$2:$J$711,"時間出場")</f>
        <v/>
      </c>
      <c r="F20" s="2">
        <f>COUNTIFS(交易明細!$B$2:$B$711,$A20,交易明細!$J$2:$J$711,"止盈")</f>
        <v/>
      </c>
      <c r="G20" s="2">
        <f>COUNTIFS(交易明細!$B$2:$B$711,$A20,交易明細!$J$2:$J$711,"止損")</f>
        <v/>
      </c>
      <c r="H20" s="4">
        <f>IFERROR(F20/E20,0)</f>
        <v/>
      </c>
      <c r="I20" s="4">
        <f>IFERROR(AVERAGEIFS(交易明細!$L$2:$L$711,交易明細!$B$2:$B$711,$A20,交易明細!$J$2:$J$711,"&lt;&gt;未平倉"),0)</f>
        <v/>
      </c>
      <c r="J20" s="4">
        <f>SUMIFS(交易明細!$L$2:$L$711,交易明細!$B$2:$B$711,$A20,交易明細!$J$2:$J$711,"&lt;&gt;未平倉")</f>
        <v/>
      </c>
      <c r="K20" s="5">
        <f>IFERROR(AVERAGEIFS(交易明細!$K$2:$K$711,交易明細!$B$2:$B$711,$A20,交易明細!$J$2:$J$711,"&lt;&gt;未平倉"),0)</f>
        <v/>
      </c>
      <c r="L20" s="2">
        <f>COUNTIFS(交易明細!$B$2:$B$711,$A20,交易明細!$J$2:$J$711,"未平倉")</f>
        <v/>
      </c>
    </row>
    <row r="21">
      <c r="A21" s="2" t="inlineStr">
        <is>
          <t>HEMI_USDT_PERP</t>
        </is>
      </c>
      <c r="B21" s="2">
        <f>COUNTIFS(交易明細!$B$2:$B$711,$A21)</f>
        <v/>
      </c>
      <c r="C21" s="2">
        <f>COUNTIFS(交易明細!$B$2:$B$711,$A21,交易明細!$C$2:$C$711,"做多")</f>
        <v/>
      </c>
      <c r="D21" s="2">
        <f>COUNTIFS(交易明細!$B$2:$B$711,$A21,交易明細!$C$2:$C$711,"做空")</f>
        <v/>
      </c>
      <c r="E21" s="2">
        <f>F21+G21+COUNTIFS(交易明細!$B$2:$B$711,$A21,交易明細!$J$2:$J$711,"時間出場")</f>
        <v/>
      </c>
      <c r="F21" s="2">
        <f>COUNTIFS(交易明細!$B$2:$B$711,$A21,交易明細!$J$2:$J$711,"止盈")</f>
        <v/>
      </c>
      <c r="G21" s="2">
        <f>COUNTIFS(交易明細!$B$2:$B$711,$A21,交易明細!$J$2:$J$711,"止損")</f>
        <v/>
      </c>
      <c r="H21" s="4">
        <f>IFERROR(F21/E21,0)</f>
        <v/>
      </c>
      <c r="I21" s="4">
        <f>IFERROR(AVERAGEIFS(交易明細!$L$2:$L$711,交易明細!$B$2:$B$711,$A21,交易明細!$J$2:$J$711,"&lt;&gt;未平倉"),0)</f>
        <v/>
      </c>
      <c r="J21" s="4">
        <f>SUMIFS(交易明細!$L$2:$L$711,交易明細!$B$2:$B$711,$A21,交易明細!$J$2:$J$711,"&lt;&gt;未平倉")</f>
        <v/>
      </c>
      <c r="K21" s="5">
        <f>IFERROR(AVERAGEIFS(交易明細!$K$2:$K$711,交易明細!$B$2:$B$711,$A21,交易明細!$J$2:$J$711,"&lt;&gt;未平倉"),0)</f>
        <v/>
      </c>
      <c r="L21" s="2">
        <f>COUNTIFS(交易明細!$B$2:$B$711,$A21,交易明細!$J$2:$J$711,"未平倉")</f>
        <v/>
      </c>
    </row>
    <row r="22">
      <c r="A22" s="2" t="inlineStr">
        <is>
          <t>ZEC_USDT_PERP</t>
        </is>
      </c>
      <c r="B22" s="2">
        <f>COUNTIFS(交易明細!$B$2:$B$711,$A22)</f>
        <v/>
      </c>
      <c r="C22" s="2">
        <f>COUNTIFS(交易明細!$B$2:$B$711,$A22,交易明細!$C$2:$C$711,"做多")</f>
        <v/>
      </c>
      <c r="D22" s="2">
        <f>COUNTIFS(交易明細!$B$2:$B$711,$A22,交易明細!$C$2:$C$711,"做空")</f>
        <v/>
      </c>
      <c r="E22" s="2">
        <f>F22+G22+COUNTIFS(交易明細!$B$2:$B$711,$A22,交易明細!$J$2:$J$711,"時間出場")</f>
        <v/>
      </c>
      <c r="F22" s="2">
        <f>COUNTIFS(交易明細!$B$2:$B$711,$A22,交易明細!$J$2:$J$711,"止盈")</f>
        <v/>
      </c>
      <c r="G22" s="2">
        <f>COUNTIFS(交易明細!$B$2:$B$711,$A22,交易明細!$J$2:$J$711,"止損")</f>
        <v/>
      </c>
      <c r="H22" s="4">
        <f>IFERROR(F22/E22,0)</f>
        <v/>
      </c>
      <c r="I22" s="4">
        <f>IFERROR(AVERAGEIFS(交易明細!$L$2:$L$711,交易明細!$B$2:$B$711,$A22,交易明細!$J$2:$J$711,"&lt;&gt;未平倉"),0)</f>
        <v/>
      </c>
      <c r="J22" s="4">
        <f>SUMIFS(交易明細!$L$2:$L$711,交易明細!$B$2:$B$711,$A22,交易明細!$J$2:$J$711,"&lt;&gt;未平倉")</f>
        <v/>
      </c>
      <c r="K22" s="5">
        <f>IFERROR(AVERAGEIFS(交易明細!$K$2:$K$711,交易明細!$B$2:$B$711,$A22,交易明細!$J$2:$J$711,"&lt;&gt;未平倉"),0)</f>
        <v/>
      </c>
      <c r="L22" s="2">
        <f>COUNTIFS(交易明細!$B$2:$B$711,$A22,交易明細!$J$2:$J$711,"未平倉")</f>
        <v/>
      </c>
    </row>
    <row r="23">
      <c r="A23" s="2" t="inlineStr">
        <is>
          <t>WLD_USDT_PERP</t>
        </is>
      </c>
      <c r="B23" s="2">
        <f>COUNTIFS(交易明細!$B$2:$B$711,$A23)</f>
        <v/>
      </c>
      <c r="C23" s="2">
        <f>COUNTIFS(交易明細!$B$2:$B$711,$A23,交易明細!$C$2:$C$711,"做多")</f>
        <v/>
      </c>
      <c r="D23" s="2">
        <f>COUNTIFS(交易明細!$B$2:$B$711,$A23,交易明細!$C$2:$C$711,"做空")</f>
        <v/>
      </c>
      <c r="E23" s="2">
        <f>F23+G23+COUNTIFS(交易明細!$B$2:$B$711,$A23,交易明細!$J$2:$J$711,"時間出場")</f>
        <v/>
      </c>
      <c r="F23" s="2">
        <f>COUNTIFS(交易明細!$B$2:$B$711,$A23,交易明細!$J$2:$J$711,"止盈")</f>
        <v/>
      </c>
      <c r="G23" s="2">
        <f>COUNTIFS(交易明細!$B$2:$B$711,$A23,交易明細!$J$2:$J$711,"止損")</f>
        <v/>
      </c>
      <c r="H23" s="4">
        <f>IFERROR(F23/E23,0)</f>
        <v/>
      </c>
      <c r="I23" s="4">
        <f>IFERROR(AVERAGEIFS(交易明細!$L$2:$L$711,交易明細!$B$2:$B$711,$A23,交易明細!$J$2:$J$711,"&lt;&gt;未平倉"),0)</f>
        <v/>
      </c>
      <c r="J23" s="4">
        <f>SUMIFS(交易明細!$L$2:$L$711,交易明細!$B$2:$B$711,$A23,交易明細!$J$2:$J$711,"&lt;&gt;未平倉")</f>
        <v/>
      </c>
      <c r="K23" s="5">
        <f>IFERROR(AVERAGEIFS(交易明細!$K$2:$K$711,交易明細!$B$2:$B$711,$A23,交易明細!$J$2:$J$711,"&lt;&gt;未平倉"),0)</f>
        <v/>
      </c>
      <c r="L23" s="2">
        <f>COUNTIFS(交易明細!$B$2:$B$711,$A23,交易明細!$J$2:$J$711,"未平倉")</f>
        <v/>
      </c>
    </row>
    <row r="24">
      <c r="A24" s="2" t="inlineStr">
        <is>
          <t>XPL_USDT_PERP</t>
        </is>
      </c>
      <c r="B24" s="2">
        <f>COUNTIFS(交易明細!$B$2:$B$711,$A24)</f>
        <v/>
      </c>
      <c r="C24" s="2">
        <f>COUNTIFS(交易明細!$B$2:$B$711,$A24,交易明細!$C$2:$C$711,"做多")</f>
        <v/>
      </c>
      <c r="D24" s="2">
        <f>COUNTIFS(交易明細!$B$2:$B$711,$A24,交易明細!$C$2:$C$711,"做空")</f>
        <v/>
      </c>
      <c r="E24" s="2">
        <f>F24+G24+COUNTIFS(交易明細!$B$2:$B$711,$A24,交易明細!$J$2:$J$711,"時間出場")</f>
        <v/>
      </c>
      <c r="F24" s="2">
        <f>COUNTIFS(交易明細!$B$2:$B$711,$A24,交易明細!$J$2:$J$711,"止盈")</f>
        <v/>
      </c>
      <c r="G24" s="2">
        <f>COUNTIFS(交易明細!$B$2:$B$711,$A24,交易明細!$J$2:$J$711,"止損")</f>
        <v/>
      </c>
      <c r="H24" s="4">
        <f>IFERROR(F24/E24,0)</f>
        <v/>
      </c>
      <c r="I24" s="4">
        <f>IFERROR(AVERAGEIFS(交易明細!$L$2:$L$711,交易明細!$B$2:$B$711,$A24,交易明細!$J$2:$J$711,"&lt;&gt;未平倉"),0)</f>
        <v/>
      </c>
      <c r="J24" s="4">
        <f>SUMIFS(交易明細!$L$2:$L$711,交易明細!$B$2:$B$711,$A24,交易明細!$J$2:$J$711,"&lt;&gt;未平倉")</f>
        <v/>
      </c>
      <c r="K24" s="5">
        <f>IFERROR(AVERAGEIFS(交易明細!$K$2:$K$711,交易明細!$B$2:$B$711,$A24,交易明細!$J$2:$J$711,"&lt;&gt;未平倉"),0)</f>
        <v/>
      </c>
      <c r="L24" s="2">
        <f>COUNTIFS(交易明細!$B$2:$B$711,$A24,交易明細!$J$2:$J$711,"未平倉")</f>
        <v/>
      </c>
    </row>
    <row r="25">
      <c r="A25" s="2" t="inlineStr">
        <is>
          <t>INJ_USDT_PERP</t>
        </is>
      </c>
      <c r="B25" s="2">
        <f>COUNTIFS(交易明細!$B$2:$B$711,$A25)</f>
        <v/>
      </c>
      <c r="C25" s="2">
        <f>COUNTIFS(交易明細!$B$2:$B$711,$A25,交易明細!$C$2:$C$711,"做多")</f>
        <v/>
      </c>
      <c r="D25" s="2">
        <f>COUNTIFS(交易明細!$B$2:$B$711,$A25,交易明細!$C$2:$C$711,"做空")</f>
        <v/>
      </c>
      <c r="E25" s="2">
        <f>F25+G25+COUNTIFS(交易明細!$B$2:$B$711,$A25,交易明細!$J$2:$J$711,"時間出場")</f>
        <v/>
      </c>
      <c r="F25" s="2">
        <f>COUNTIFS(交易明細!$B$2:$B$711,$A25,交易明細!$J$2:$J$711,"止盈")</f>
        <v/>
      </c>
      <c r="G25" s="2">
        <f>COUNTIFS(交易明細!$B$2:$B$711,$A25,交易明細!$J$2:$J$711,"止損")</f>
        <v/>
      </c>
      <c r="H25" s="4">
        <f>IFERROR(F25/E25,0)</f>
        <v/>
      </c>
      <c r="I25" s="4">
        <f>IFERROR(AVERAGEIFS(交易明細!$L$2:$L$711,交易明細!$B$2:$B$711,$A25,交易明細!$J$2:$J$711,"&lt;&gt;未平倉"),0)</f>
        <v/>
      </c>
      <c r="J25" s="4">
        <f>SUMIFS(交易明細!$L$2:$L$711,交易明細!$B$2:$B$711,$A25,交易明細!$J$2:$J$711,"&lt;&gt;未平倉")</f>
        <v/>
      </c>
      <c r="K25" s="5">
        <f>IFERROR(AVERAGEIFS(交易明細!$K$2:$K$711,交易明細!$B$2:$B$711,$A25,交易明細!$J$2:$J$711,"&lt;&gt;未平倉"),0)</f>
        <v/>
      </c>
      <c r="L25" s="2">
        <f>COUNTIFS(交易明細!$B$2:$B$711,$A25,交易明細!$J$2:$J$711,"未平倉")</f>
        <v/>
      </c>
    </row>
    <row r="26">
      <c r="A26" s="2" t="inlineStr">
        <is>
          <t>ONDO_USDT_PERP</t>
        </is>
      </c>
      <c r="B26" s="2">
        <f>COUNTIFS(交易明細!$B$2:$B$711,$A26)</f>
        <v/>
      </c>
      <c r="C26" s="2">
        <f>COUNTIFS(交易明細!$B$2:$B$711,$A26,交易明細!$C$2:$C$711,"做多")</f>
        <v/>
      </c>
      <c r="D26" s="2">
        <f>COUNTIFS(交易明細!$B$2:$B$711,$A26,交易明細!$C$2:$C$711,"做空")</f>
        <v/>
      </c>
      <c r="E26" s="2">
        <f>F26+G26+COUNTIFS(交易明細!$B$2:$B$711,$A26,交易明細!$J$2:$J$711,"時間出場")</f>
        <v/>
      </c>
      <c r="F26" s="2">
        <f>COUNTIFS(交易明細!$B$2:$B$711,$A26,交易明細!$J$2:$J$711,"止盈")</f>
        <v/>
      </c>
      <c r="G26" s="2">
        <f>COUNTIFS(交易明細!$B$2:$B$711,$A26,交易明細!$J$2:$J$711,"止損")</f>
        <v/>
      </c>
      <c r="H26" s="4">
        <f>IFERROR(F26/E26,0)</f>
        <v/>
      </c>
      <c r="I26" s="4">
        <f>IFERROR(AVERAGEIFS(交易明細!$L$2:$L$711,交易明細!$B$2:$B$711,$A26,交易明細!$J$2:$J$711,"&lt;&gt;未平倉"),0)</f>
        <v/>
      </c>
      <c r="J26" s="4">
        <f>SUMIFS(交易明細!$L$2:$L$711,交易明細!$B$2:$B$711,$A26,交易明細!$J$2:$J$711,"&lt;&gt;未平倉")</f>
        <v/>
      </c>
      <c r="K26" s="5">
        <f>IFERROR(AVERAGEIFS(交易明細!$K$2:$K$711,交易明細!$B$2:$B$711,$A26,交易明細!$J$2:$J$711,"&lt;&gt;未平倉"),0)</f>
        <v/>
      </c>
      <c r="L26" s="2">
        <f>COUNTIFS(交易明細!$B$2:$B$711,$A26,交易明細!$J$2:$J$711,"未平倉")</f>
        <v/>
      </c>
    </row>
    <row r="27">
      <c r="A27" s="2" t="inlineStr">
        <is>
          <t>FET_USDT_PERP</t>
        </is>
      </c>
      <c r="B27" s="2">
        <f>COUNTIFS(交易明細!$B$2:$B$711,$A27)</f>
        <v/>
      </c>
      <c r="C27" s="2">
        <f>COUNTIFS(交易明細!$B$2:$B$711,$A27,交易明細!$C$2:$C$711,"做多")</f>
        <v/>
      </c>
      <c r="D27" s="2">
        <f>COUNTIFS(交易明細!$B$2:$B$711,$A27,交易明細!$C$2:$C$711,"做空")</f>
        <v/>
      </c>
      <c r="E27" s="2">
        <f>F27+G27+COUNTIFS(交易明細!$B$2:$B$711,$A27,交易明細!$J$2:$J$711,"時間出場")</f>
        <v/>
      </c>
      <c r="F27" s="2">
        <f>COUNTIFS(交易明細!$B$2:$B$711,$A27,交易明細!$J$2:$J$711,"止盈")</f>
        <v/>
      </c>
      <c r="G27" s="2">
        <f>COUNTIFS(交易明細!$B$2:$B$711,$A27,交易明細!$J$2:$J$711,"止損")</f>
        <v/>
      </c>
      <c r="H27" s="4">
        <f>IFERROR(F27/E27,0)</f>
        <v/>
      </c>
      <c r="I27" s="4">
        <f>IFERROR(AVERAGEIFS(交易明細!$L$2:$L$711,交易明細!$B$2:$B$711,$A27,交易明細!$J$2:$J$711,"&lt;&gt;未平倉"),0)</f>
        <v/>
      </c>
      <c r="J27" s="4">
        <f>SUMIFS(交易明細!$L$2:$L$711,交易明細!$B$2:$B$711,$A27,交易明細!$J$2:$J$711,"&lt;&gt;未平倉")</f>
        <v/>
      </c>
      <c r="K27" s="5">
        <f>IFERROR(AVERAGEIFS(交易明細!$K$2:$K$711,交易明細!$B$2:$B$711,$A27,交易明細!$J$2:$J$711,"&lt;&gt;未平倉"),0)</f>
        <v/>
      </c>
      <c r="L27" s="2">
        <f>COUNTIFS(交易明細!$B$2:$B$711,$A27,交易明細!$J$2:$J$711,"未平倉")</f>
        <v/>
      </c>
    </row>
    <row r="28">
      <c r="A28" s="2" t="inlineStr">
        <is>
          <t>DASH_USDT_PERP</t>
        </is>
      </c>
      <c r="B28" s="2">
        <f>COUNTIFS(交易明細!$B$2:$B$711,$A28)</f>
        <v/>
      </c>
      <c r="C28" s="2">
        <f>COUNTIFS(交易明細!$B$2:$B$711,$A28,交易明細!$C$2:$C$711,"做多")</f>
        <v/>
      </c>
      <c r="D28" s="2">
        <f>COUNTIFS(交易明細!$B$2:$B$711,$A28,交易明細!$C$2:$C$711,"做空")</f>
        <v/>
      </c>
      <c r="E28" s="2">
        <f>F28+G28+COUNTIFS(交易明細!$B$2:$B$711,$A28,交易明細!$J$2:$J$711,"時間出場")</f>
        <v/>
      </c>
      <c r="F28" s="2">
        <f>COUNTIFS(交易明細!$B$2:$B$711,$A28,交易明細!$J$2:$J$711,"止盈")</f>
        <v/>
      </c>
      <c r="G28" s="2">
        <f>COUNTIFS(交易明細!$B$2:$B$711,$A28,交易明細!$J$2:$J$711,"止損")</f>
        <v/>
      </c>
      <c r="H28" s="4">
        <f>IFERROR(F28/E28,0)</f>
        <v/>
      </c>
      <c r="I28" s="4">
        <f>IFERROR(AVERAGEIFS(交易明細!$L$2:$L$711,交易明細!$B$2:$B$711,$A28,交易明細!$J$2:$J$711,"&lt;&gt;未平倉"),0)</f>
        <v/>
      </c>
      <c r="J28" s="4">
        <f>SUMIFS(交易明細!$L$2:$L$711,交易明細!$B$2:$B$711,$A28,交易明細!$J$2:$J$711,"&lt;&gt;未平倉")</f>
        <v/>
      </c>
      <c r="K28" s="5">
        <f>IFERROR(AVERAGEIFS(交易明細!$K$2:$K$711,交易明細!$B$2:$B$711,$A28,交易明細!$J$2:$J$711,"&lt;&gt;未平倉"),0)</f>
        <v/>
      </c>
      <c r="L28" s="2">
        <f>COUNTIFS(交易明細!$B$2:$B$711,$A28,交易明細!$J$2:$J$711,"未平倉")</f>
        <v/>
      </c>
    </row>
    <row r="29">
      <c r="A29" s="2" t="inlineStr">
        <is>
          <t>BTW_USDT_PERP</t>
        </is>
      </c>
      <c r="B29" s="2">
        <f>COUNTIFS(交易明細!$B$2:$B$711,$A29)</f>
        <v/>
      </c>
      <c r="C29" s="2">
        <f>COUNTIFS(交易明細!$B$2:$B$711,$A29,交易明細!$C$2:$C$711,"做多")</f>
        <v/>
      </c>
      <c r="D29" s="2">
        <f>COUNTIFS(交易明細!$B$2:$B$711,$A29,交易明細!$C$2:$C$711,"做空")</f>
        <v/>
      </c>
      <c r="E29" s="2">
        <f>F29+G29+COUNTIFS(交易明細!$B$2:$B$711,$A29,交易明細!$J$2:$J$711,"時間出場")</f>
        <v/>
      </c>
      <c r="F29" s="2">
        <f>COUNTIFS(交易明細!$B$2:$B$711,$A29,交易明細!$J$2:$J$711,"止盈")</f>
        <v/>
      </c>
      <c r="G29" s="2">
        <f>COUNTIFS(交易明細!$B$2:$B$711,$A29,交易明細!$J$2:$J$711,"止損")</f>
        <v/>
      </c>
      <c r="H29" s="4">
        <f>IFERROR(F29/E29,0)</f>
        <v/>
      </c>
      <c r="I29" s="4">
        <f>IFERROR(AVERAGEIFS(交易明細!$L$2:$L$711,交易明細!$B$2:$B$711,$A29,交易明細!$J$2:$J$711,"&lt;&gt;未平倉"),0)</f>
        <v/>
      </c>
      <c r="J29" s="4">
        <f>SUMIFS(交易明細!$L$2:$L$711,交易明細!$B$2:$B$711,$A29,交易明細!$J$2:$J$711,"&lt;&gt;未平倉")</f>
        <v/>
      </c>
      <c r="K29" s="5">
        <f>IFERROR(AVERAGEIFS(交易明細!$K$2:$K$711,交易明細!$B$2:$B$711,$A29,交易明細!$J$2:$J$711,"&lt;&gt;未平倉"),0)</f>
        <v/>
      </c>
      <c r="L29" s="2">
        <f>COUNTIFS(交易明細!$B$2:$B$711,$A29,交易明細!$J$2:$J$711,"未平倉")</f>
        <v/>
      </c>
    </row>
    <row r="30">
      <c r="A30" s="2" t="inlineStr">
        <is>
          <t>ZRO_USDT_PERP</t>
        </is>
      </c>
      <c r="B30" s="2">
        <f>COUNTIFS(交易明細!$B$2:$B$711,$A30)</f>
        <v/>
      </c>
      <c r="C30" s="2">
        <f>COUNTIFS(交易明細!$B$2:$B$711,$A30,交易明細!$C$2:$C$711,"做多")</f>
        <v/>
      </c>
      <c r="D30" s="2">
        <f>COUNTIFS(交易明細!$B$2:$B$711,$A30,交易明細!$C$2:$C$711,"做空")</f>
        <v/>
      </c>
      <c r="E30" s="2">
        <f>F30+G30+COUNTIFS(交易明細!$B$2:$B$711,$A30,交易明細!$J$2:$J$711,"時間出場")</f>
        <v/>
      </c>
      <c r="F30" s="2">
        <f>COUNTIFS(交易明細!$B$2:$B$711,$A30,交易明細!$J$2:$J$711,"止盈")</f>
        <v/>
      </c>
      <c r="G30" s="2">
        <f>COUNTIFS(交易明細!$B$2:$B$711,$A30,交易明細!$J$2:$J$711,"止損")</f>
        <v/>
      </c>
      <c r="H30" s="4">
        <f>IFERROR(F30/E30,0)</f>
        <v/>
      </c>
      <c r="I30" s="4">
        <f>IFERROR(AVERAGEIFS(交易明細!$L$2:$L$711,交易明細!$B$2:$B$711,$A30,交易明細!$J$2:$J$711,"&lt;&gt;未平倉"),0)</f>
        <v/>
      </c>
      <c r="J30" s="4">
        <f>SUMIFS(交易明細!$L$2:$L$711,交易明細!$B$2:$B$711,$A30,交易明細!$J$2:$J$711,"&lt;&gt;未平倉")</f>
        <v/>
      </c>
      <c r="K30" s="5">
        <f>IFERROR(AVERAGEIFS(交易明細!$K$2:$K$711,交易明細!$B$2:$B$711,$A30,交易明細!$J$2:$J$711,"&lt;&gt;未平倉"),0)</f>
        <v/>
      </c>
      <c r="L30" s="2">
        <f>COUNTIFS(交易明細!$B$2:$B$711,$A30,交易明細!$J$2:$J$711,"未平倉")</f>
        <v/>
      </c>
    </row>
    <row r="31">
      <c r="A31" s="2" t="inlineStr">
        <is>
          <t>AIN_USDT_PERP</t>
        </is>
      </c>
      <c r="B31" s="2">
        <f>COUNTIFS(交易明細!$B$2:$B$711,$A31)</f>
        <v/>
      </c>
      <c r="C31" s="2">
        <f>COUNTIFS(交易明細!$B$2:$B$711,$A31,交易明細!$C$2:$C$711,"做多")</f>
        <v/>
      </c>
      <c r="D31" s="2">
        <f>COUNTIFS(交易明細!$B$2:$B$711,$A31,交易明細!$C$2:$C$711,"做空")</f>
        <v/>
      </c>
      <c r="E31" s="2">
        <f>F31+G31+COUNTIFS(交易明細!$B$2:$B$711,$A31,交易明細!$J$2:$J$711,"時間出場")</f>
        <v/>
      </c>
      <c r="F31" s="2">
        <f>COUNTIFS(交易明細!$B$2:$B$711,$A31,交易明細!$J$2:$J$711,"止盈")</f>
        <v/>
      </c>
      <c r="G31" s="2">
        <f>COUNTIFS(交易明細!$B$2:$B$711,$A31,交易明細!$J$2:$J$711,"止損")</f>
        <v/>
      </c>
      <c r="H31" s="4">
        <f>IFERROR(F31/E31,0)</f>
        <v/>
      </c>
      <c r="I31" s="4">
        <f>IFERROR(AVERAGEIFS(交易明細!$L$2:$L$711,交易明細!$B$2:$B$711,$A31,交易明細!$J$2:$J$711,"&lt;&gt;未平倉"),0)</f>
        <v/>
      </c>
      <c r="J31" s="4">
        <f>SUMIFS(交易明細!$L$2:$L$711,交易明細!$B$2:$B$711,$A31,交易明細!$J$2:$J$711,"&lt;&gt;未平倉")</f>
        <v/>
      </c>
      <c r="K31" s="5">
        <f>IFERROR(AVERAGEIFS(交易明細!$K$2:$K$711,交易明細!$B$2:$B$711,$A31,交易明細!$J$2:$J$711,"&lt;&gt;未平倉"),0)</f>
        <v/>
      </c>
      <c r="L31" s="2">
        <f>COUNTIFS(交易明細!$B$2:$B$711,$A31,交易明細!$J$2:$J$711,"未平倉")</f>
        <v/>
      </c>
    </row>
    <row r="32">
      <c r="A32" s="2" t="inlineStr">
        <is>
          <t>ZAMA_USDT_PERP</t>
        </is>
      </c>
      <c r="B32" s="2">
        <f>COUNTIFS(交易明細!$B$2:$B$711,$A32)</f>
        <v/>
      </c>
      <c r="C32" s="2">
        <f>COUNTIFS(交易明細!$B$2:$B$711,$A32,交易明細!$C$2:$C$711,"做多")</f>
        <v/>
      </c>
      <c r="D32" s="2">
        <f>COUNTIFS(交易明細!$B$2:$B$711,$A32,交易明細!$C$2:$C$711,"做空")</f>
        <v/>
      </c>
      <c r="E32" s="2">
        <f>F32+G32+COUNTIFS(交易明細!$B$2:$B$711,$A32,交易明細!$J$2:$J$711,"時間出場")</f>
        <v/>
      </c>
      <c r="F32" s="2">
        <f>COUNTIFS(交易明細!$B$2:$B$711,$A32,交易明細!$J$2:$J$711,"止盈")</f>
        <v/>
      </c>
      <c r="G32" s="2">
        <f>COUNTIFS(交易明細!$B$2:$B$711,$A32,交易明細!$J$2:$J$711,"止損")</f>
        <v/>
      </c>
      <c r="H32" s="4">
        <f>IFERROR(F32/E32,0)</f>
        <v/>
      </c>
      <c r="I32" s="4">
        <f>IFERROR(AVERAGEIFS(交易明細!$L$2:$L$711,交易明細!$B$2:$B$711,$A32,交易明細!$J$2:$J$711,"&lt;&gt;未平倉"),0)</f>
        <v/>
      </c>
      <c r="J32" s="4">
        <f>SUMIFS(交易明細!$L$2:$L$711,交易明細!$B$2:$B$711,$A32,交易明細!$J$2:$J$711,"&lt;&gt;未平倉")</f>
        <v/>
      </c>
      <c r="K32" s="5">
        <f>IFERROR(AVERAGEIFS(交易明細!$K$2:$K$711,交易明細!$B$2:$B$711,$A32,交易明細!$J$2:$J$711,"&lt;&gt;未平倉"),0)</f>
        <v/>
      </c>
      <c r="L32" s="2">
        <f>COUNTIFS(交易明細!$B$2:$B$711,$A32,交易明細!$J$2:$J$711,"未平倉")</f>
        <v/>
      </c>
    </row>
    <row r="33">
      <c r="A33" s="2" t="inlineStr">
        <is>
          <t>GRASS_USDT_PERP</t>
        </is>
      </c>
      <c r="B33" s="2">
        <f>COUNTIFS(交易明細!$B$2:$B$711,$A33)</f>
        <v/>
      </c>
      <c r="C33" s="2">
        <f>COUNTIFS(交易明細!$B$2:$B$711,$A33,交易明細!$C$2:$C$711,"做多")</f>
        <v/>
      </c>
      <c r="D33" s="2">
        <f>COUNTIFS(交易明細!$B$2:$B$711,$A33,交易明細!$C$2:$C$711,"做空")</f>
        <v/>
      </c>
      <c r="E33" s="2">
        <f>F33+G33+COUNTIFS(交易明細!$B$2:$B$711,$A33,交易明細!$J$2:$J$711,"時間出場")</f>
        <v/>
      </c>
      <c r="F33" s="2">
        <f>COUNTIFS(交易明細!$B$2:$B$711,$A33,交易明細!$J$2:$J$711,"止盈")</f>
        <v/>
      </c>
      <c r="G33" s="2">
        <f>COUNTIFS(交易明細!$B$2:$B$711,$A33,交易明細!$J$2:$J$711,"止損")</f>
        <v/>
      </c>
      <c r="H33" s="4">
        <f>IFERROR(F33/E33,0)</f>
        <v/>
      </c>
      <c r="I33" s="4">
        <f>IFERROR(AVERAGEIFS(交易明細!$L$2:$L$711,交易明細!$B$2:$B$711,$A33,交易明細!$J$2:$J$711,"&lt;&gt;未平倉"),0)</f>
        <v/>
      </c>
      <c r="J33" s="4">
        <f>SUMIFS(交易明細!$L$2:$L$711,交易明細!$B$2:$B$711,$A33,交易明細!$J$2:$J$711,"&lt;&gt;未平倉")</f>
        <v/>
      </c>
      <c r="K33" s="5">
        <f>IFERROR(AVERAGEIFS(交易明細!$K$2:$K$711,交易明細!$B$2:$B$711,$A33,交易明細!$J$2:$J$711,"&lt;&gt;未平倉"),0)</f>
        <v/>
      </c>
      <c r="L33" s="2">
        <f>COUNTIFS(交易明細!$B$2:$B$711,$A33,交易明細!$J$2:$J$711,"未平倉")</f>
        <v/>
      </c>
    </row>
    <row r="34">
      <c r="A34" s="2" t="inlineStr">
        <is>
          <t>SUI_USDT_PERP</t>
        </is>
      </c>
      <c r="B34" s="2">
        <f>COUNTIFS(交易明細!$B$2:$B$711,$A34)</f>
        <v/>
      </c>
      <c r="C34" s="2">
        <f>COUNTIFS(交易明細!$B$2:$B$711,$A34,交易明細!$C$2:$C$711,"做多")</f>
        <v/>
      </c>
      <c r="D34" s="2">
        <f>COUNTIFS(交易明細!$B$2:$B$711,$A34,交易明細!$C$2:$C$711,"做空")</f>
        <v/>
      </c>
      <c r="E34" s="2">
        <f>F34+G34+COUNTIFS(交易明細!$B$2:$B$711,$A34,交易明細!$J$2:$J$711,"時間出場")</f>
        <v/>
      </c>
      <c r="F34" s="2">
        <f>COUNTIFS(交易明細!$B$2:$B$711,$A34,交易明細!$J$2:$J$711,"止盈")</f>
        <v/>
      </c>
      <c r="G34" s="2">
        <f>COUNTIFS(交易明細!$B$2:$B$711,$A34,交易明細!$J$2:$J$711,"止損")</f>
        <v/>
      </c>
      <c r="H34" s="4">
        <f>IFERROR(F34/E34,0)</f>
        <v/>
      </c>
      <c r="I34" s="4">
        <f>IFERROR(AVERAGEIFS(交易明細!$L$2:$L$711,交易明細!$B$2:$B$711,$A34,交易明細!$J$2:$J$711,"&lt;&gt;未平倉"),0)</f>
        <v/>
      </c>
      <c r="J34" s="4">
        <f>SUMIFS(交易明細!$L$2:$L$711,交易明細!$B$2:$B$711,$A34,交易明細!$J$2:$J$711,"&lt;&gt;未平倉")</f>
        <v/>
      </c>
      <c r="K34" s="5">
        <f>IFERROR(AVERAGEIFS(交易明細!$K$2:$K$711,交易明細!$B$2:$B$711,$A34,交易明細!$J$2:$J$711,"&lt;&gt;未平倉"),0)</f>
        <v/>
      </c>
      <c r="L34" s="2">
        <f>COUNTIFS(交易明細!$B$2:$B$711,$A34,交易明細!$J$2:$J$711,"未平倉")</f>
        <v/>
      </c>
    </row>
    <row r="35">
      <c r="A35" s="2" t="inlineStr">
        <is>
          <t>NIL_USDT_PERP</t>
        </is>
      </c>
      <c r="B35" s="2">
        <f>COUNTIFS(交易明細!$B$2:$B$711,$A35)</f>
        <v/>
      </c>
      <c r="C35" s="2">
        <f>COUNTIFS(交易明細!$B$2:$B$711,$A35,交易明細!$C$2:$C$711,"做多")</f>
        <v/>
      </c>
      <c r="D35" s="2">
        <f>COUNTIFS(交易明細!$B$2:$B$711,$A35,交易明細!$C$2:$C$711,"做空")</f>
        <v/>
      </c>
      <c r="E35" s="2">
        <f>F35+G35+COUNTIFS(交易明細!$B$2:$B$711,$A35,交易明細!$J$2:$J$711,"時間出場")</f>
        <v/>
      </c>
      <c r="F35" s="2">
        <f>COUNTIFS(交易明細!$B$2:$B$711,$A35,交易明細!$J$2:$J$711,"止盈")</f>
        <v/>
      </c>
      <c r="G35" s="2">
        <f>COUNTIFS(交易明細!$B$2:$B$711,$A35,交易明細!$J$2:$J$711,"止損")</f>
        <v/>
      </c>
      <c r="H35" s="4">
        <f>IFERROR(F35/E35,0)</f>
        <v/>
      </c>
      <c r="I35" s="4">
        <f>IFERROR(AVERAGEIFS(交易明細!$L$2:$L$711,交易明細!$B$2:$B$711,$A35,交易明細!$J$2:$J$711,"&lt;&gt;未平倉"),0)</f>
        <v/>
      </c>
      <c r="J35" s="4">
        <f>SUMIFS(交易明細!$L$2:$L$711,交易明細!$B$2:$B$711,$A35,交易明細!$J$2:$J$711,"&lt;&gt;未平倉")</f>
        <v/>
      </c>
      <c r="K35" s="5">
        <f>IFERROR(AVERAGEIFS(交易明細!$K$2:$K$711,交易明細!$B$2:$B$711,$A35,交易明細!$J$2:$J$711,"&lt;&gt;未平倉"),0)</f>
        <v/>
      </c>
      <c r="L35" s="2">
        <f>COUNTIFS(交易明細!$B$2:$B$711,$A35,交易明細!$J$2:$J$711,"未平倉")</f>
        <v/>
      </c>
    </row>
    <row r="36">
      <c r="A36" s="2" t="inlineStr">
        <is>
          <t>SAND_USDT_PERP</t>
        </is>
      </c>
      <c r="B36" s="2">
        <f>COUNTIFS(交易明細!$B$2:$B$711,$A36)</f>
        <v/>
      </c>
      <c r="C36" s="2">
        <f>COUNTIFS(交易明細!$B$2:$B$711,$A36,交易明細!$C$2:$C$711,"做多")</f>
        <v/>
      </c>
      <c r="D36" s="2">
        <f>COUNTIFS(交易明細!$B$2:$B$711,$A36,交易明細!$C$2:$C$711,"做空")</f>
        <v/>
      </c>
      <c r="E36" s="2">
        <f>F36+G36+COUNTIFS(交易明細!$B$2:$B$711,$A36,交易明細!$J$2:$J$711,"時間出場")</f>
        <v/>
      </c>
      <c r="F36" s="2">
        <f>COUNTIFS(交易明細!$B$2:$B$711,$A36,交易明細!$J$2:$J$711,"止盈")</f>
        <v/>
      </c>
      <c r="G36" s="2">
        <f>COUNTIFS(交易明細!$B$2:$B$711,$A36,交易明細!$J$2:$J$711,"止損")</f>
        <v/>
      </c>
      <c r="H36" s="4">
        <f>IFERROR(F36/E36,0)</f>
        <v/>
      </c>
      <c r="I36" s="4">
        <f>IFERROR(AVERAGEIFS(交易明細!$L$2:$L$711,交易明細!$B$2:$B$711,$A36,交易明細!$J$2:$J$711,"&lt;&gt;未平倉"),0)</f>
        <v/>
      </c>
      <c r="J36" s="4">
        <f>SUMIFS(交易明細!$L$2:$L$711,交易明細!$B$2:$B$711,$A36,交易明細!$J$2:$J$711,"&lt;&gt;未平倉")</f>
        <v/>
      </c>
      <c r="K36" s="5">
        <f>IFERROR(AVERAGEIFS(交易明細!$K$2:$K$711,交易明細!$B$2:$B$711,$A36,交易明細!$J$2:$J$711,"&lt;&gt;未平倉"),0)</f>
        <v/>
      </c>
      <c r="L36" s="2">
        <f>COUNTIFS(交易明細!$B$2:$B$711,$A36,交易明細!$J$2:$J$711,"未平倉")</f>
        <v/>
      </c>
    </row>
    <row r="37">
      <c r="A37" s="2" t="inlineStr">
        <is>
          <t>AERO_USDT_PERP</t>
        </is>
      </c>
      <c r="B37" s="2">
        <f>COUNTIFS(交易明細!$B$2:$B$711,$A37)</f>
        <v/>
      </c>
      <c r="C37" s="2">
        <f>COUNTIFS(交易明細!$B$2:$B$711,$A37,交易明細!$C$2:$C$711,"做多")</f>
        <v/>
      </c>
      <c r="D37" s="2">
        <f>COUNTIFS(交易明細!$B$2:$B$711,$A37,交易明細!$C$2:$C$711,"做空")</f>
        <v/>
      </c>
      <c r="E37" s="2">
        <f>F37+G37+COUNTIFS(交易明細!$B$2:$B$711,$A37,交易明細!$J$2:$J$711,"時間出場")</f>
        <v/>
      </c>
      <c r="F37" s="2">
        <f>COUNTIFS(交易明細!$B$2:$B$711,$A37,交易明細!$J$2:$J$711,"止盈")</f>
        <v/>
      </c>
      <c r="G37" s="2">
        <f>COUNTIFS(交易明細!$B$2:$B$711,$A37,交易明細!$J$2:$J$711,"止損")</f>
        <v/>
      </c>
      <c r="H37" s="4">
        <f>IFERROR(F37/E37,0)</f>
        <v/>
      </c>
      <c r="I37" s="4">
        <f>IFERROR(AVERAGEIFS(交易明細!$L$2:$L$711,交易明細!$B$2:$B$711,$A37,交易明細!$J$2:$J$711,"&lt;&gt;未平倉"),0)</f>
        <v/>
      </c>
      <c r="J37" s="4">
        <f>SUMIFS(交易明細!$L$2:$L$711,交易明細!$B$2:$B$711,$A37,交易明細!$J$2:$J$711,"&lt;&gt;未平倉")</f>
        <v/>
      </c>
      <c r="K37" s="5">
        <f>IFERROR(AVERAGEIFS(交易明細!$K$2:$K$711,交易明細!$B$2:$B$711,$A37,交易明細!$J$2:$J$711,"&lt;&gt;未平倉"),0)</f>
        <v/>
      </c>
      <c r="L37" s="2">
        <f>COUNTIFS(交易明細!$B$2:$B$711,$A37,交易明細!$J$2:$J$711,"未平倉")</f>
        <v/>
      </c>
    </row>
    <row r="38">
      <c r="A38" s="2" t="inlineStr">
        <is>
          <t>ICP_USDT_PERP</t>
        </is>
      </c>
      <c r="B38" s="2">
        <f>COUNTIFS(交易明細!$B$2:$B$711,$A38)</f>
        <v/>
      </c>
      <c r="C38" s="2">
        <f>COUNTIFS(交易明細!$B$2:$B$711,$A38,交易明細!$C$2:$C$711,"做多")</f>
        <v/>
      </c>
      <c r="D38" s="2">
        <f>COUNTIFS(交易明細!$B$2:$B$711,$A38,交易明細!$C$2:$C$711,"做空")</f>
        <v/>
      </c>
      <c r="E38" s="2">
        <f>F38+G38+COUNTIFS(交易明細!$B$2:$B$711,$A38,交易明細!$J$2:$J$711,"時間出場")</f>
        <v/>
      </c>
      <c r="F38" s="2">
        <f>COUNTIFS(交易明細!$B$2:$B$711,$A38,交易明細!$J$2:$J$711,"止盈")</f>
        <v/>
      </c>
      <c r="G38" s="2">
        <f>COUNTIFS(交易明細!$B$2:$B$711,$A38,交易明細!$J$2:$J$711,"止損")</f>
        <v/>
      </c>
      <c r="H38" s="4">
        <f>IFERROR(F38/E38,0)</f>
        <v/>
      </c>
      <c r="I38" s="4">
        <f>IFERROR(AVERAGEIFS(交易明細!$L$2:$L$711,交易明細!$B$2:$B$711,$A38,交易明細!$J$2:$J$711,"&lt;&gt;未平倉"),0)</f>
        <v/>
      </c>
      <c r="J38" s="4">
        <f>SUMIFS(交易明細!$L$2:$L$711,交易明細!$B$2:$B$711,$A38,交易明細!$J$2:$J$711,"&lt;&gt;未平倉")</f>
        <v/>
      </c>
      <c r="K38" s="5">
        <f>IFERROR(AVERAGEIFS(交易明細!$K$2:$K$711,交易明細!$B$2:$B$711,$A38,交易明細!$J$2:$J$711,"&lt;&gt;未平倉"),0)</f>
        <v/>
      </c>
      <c r="L38" s="2">
        <f>COUNTIFS(交易明細!$B$2:$B$711,$A38,交易明細!$J$2:$J$711,"未平倉")</f>
        <v/>
      </c>
    </row>
    <row r="39">
      <c r="A39" s="2" t="inlineStr">
        <is>
          <t>PHA_USDT_PERP</t>
        </is>
      </c>
      <c r="B39" s="2">
        <f>COUNTIFS(交易明細!$B$2:$B$711,$A39)</f>
        <v/>
      </c>
      <c r="C39" s="2">
        <f>COUNTIFS(交易明細!$B$2:$B$711,$A39,交易明細!$C$2:$C$711,"做多")</f>
        <v/>
      </c>
      <c r="D39" s="2">
        <f>COUNTIFS(交易明細!$B$2:$B$711,$A39,交易明細!$C$2:$C$711,"做空")</f>
        <v/>
      </c>
      <c r="E39" s="2">
        <f>F39+G39+COUNTIFS(交易明細!$B$2:$B$711,$A39,交易明細!$J$2:$J$711,"時間出場")</f>
        <v/>
      </c>
      <c r="F39" s="2">
        <f>COUNTIFS(交易明細!$B$2:$B$711,$A39,交易明細!$J$2:$J$711,"止盈")</f>
        <v/>
      </c>
      <c r="G39" s="2">
        <f>COUNTIFS(交易明細!$B$2:$B$711,$A39,交易明細!$J$2:$J$711,"止損")</f>
        <v/>
      </c>
      <c r="H39" s="4">
        <f>IFERROR(F39/E39,0)</f>
        <v/>
      </c>
      <c r="I39" s="4">
        <f>IFERROR(AVERAGEIFS(交易明細!$L$2:$L$711,交易明細!$B$2:$B$711,$A39,交易明細!$J$2:$J$711,"&lt;&gt;未平倉"),0)</f>
        <v/>
      </c>
      <c r="J39" s="4">
        <f>SUMIFS(交易明細!$L$2:$L$711,交易明細!$B$2:$B$711,$A39,交易明細!$J$2:$J$711,"&lt;&gt;未平倉")</f>
        <v/>
      </c>
      <c r="K39" s="5">
        <f>IFERROR(AVERAGEIFS(交易明細!$K$2:$K$711,交易明細!$B$2:$B$711,$A39,交易明細!$J$2:$J$711,"&lt;&gt;未平倉"),0)</f>
        <v/>
      </c>
      <c r="L39" s="2">
        <f>COUNTIFS(交易明細!$B$2:$B$711,$A39,交易明細!$J$2:$J$711,"未平倉")</f>
        <v/>
      </c>
    </row>
    <row r="40">
      <c r="A40" s="2" t="inlineStr">
        <is>
          <t>MUBARAK_USDT_PERP</t>
        </is>
      </c>
      <c r="B40" s="2">
        <f>COUNTIFS(交易明細!$B$2:$B$711,$A40)</f>
        <v/>
      </c>
      <c r="C40" s="2">
        <f>COUNTIFS(交易明細!$B$2:$B$711,$A40,交易明細!$C$2:$C$711,"做多")</f>
        <v/>
      </c>
      <c r="D40" s="2">
        <f>COUNTIFS(交易明細!$B$2:$B$711,$A40,交易明細!$C$2:$C$711,"做空")</f>
        <v/>
      </c>
      <c r="E40" s="2">
        <f>F40+G40+COUNTIFS(交易明細!$B$2:$B$711,$A40,交易明細!$J$2:$J$711,"時間出場")</f>
        <v/>
      </c>
      <c r="F40" s="2">
        <f>COUNTIFS(交易明細!$B$2:$B$711,$A40,交易明細!$J$2:$J$711,"止盈")</f>
        <v/>
      </c>
      <c r="G40" s="2">
        <f>COUNTIFS(交易明細!$B$2:$B$711,$A40,交易明細!$J$2:$J$711,"止損")</f>
        <v/>
      </c>
      <c r="H40" s="4">
        <f>IFERROR(F40/E40,0)</f>
        <v/>
      </c>
      <c r="I40" s="4">
        <f>IFERROR(AVERAGEIFS(交易明細!$L$2:$L$711,交易明細!$B$2:$B$711,$A40,交易明細!$J$2:$J$711,"&lt;&gt;未平倉"),0)</f>
        <v/>
      </c>
      <c r="J40" s="4">
        <f>SUMIFS(交易明細!$L$2:$L$711,交易明細!$B$2:$B$711,$A40,交易明細!$J$2:$J$711,"&lt;&gt;未平倉")</f>
        <v/>
      </c>
      <c r="K40" s="5">
        <f>IFERROR(AVERAGEIFS(交易明細!$K$2:$K$711,交易明細!$B$2:$B$711,$A40,交易明細!$J$2:$J$711,"&lt;&gt;未平倉"),0)</f>
        <v/>
      </c>
      <c r="L40" s="2">
        <f>COUNTIFS(交易明細!$B$2:$B$711,$A40,交易明細!$J$2:$J$711,"未平倉")</f>
        <v/>
      </c>
    </row>
    <row r="41">
      <c r="A41" s="2" t="inlineStr">
        <is>
          <t>NMR_USDT_PERP</t>
        </is>
      </c>
      <c r="B41" s="2">
        <f>COUNTIFS(交易明細!$B$2:$B$711,$A41)</f>
        <v/>
      </c>
      <c r="C41" s="2">
        <f>COUNTIFS(交易明細!$B$2:$B$711,$A41,交易明細!$C$2:$C$711,"做多")</f>
        <v/>
      </c>
      <c r="D41" s="2">
        <f>COUNTIFS(交易明細!$B$2:$B$711,$A41,交易明細!$C$2:$C$711,"做空")</f>
        <v/>
      </c>
      <c r="E41" s="2">
        <f>F41+G41+COUNTIFS(交易明細!$B$2:$B$711,$A41,交易明細!$J$2:$J$711,"時間出場")</f>
        <v/>
      </c>
      <c r="F41" s="2">
        <f>COUNTIFS(交易明細!$B$2:$B$711,$A41,交易明細!$J$2:$J$711,"止盈")</f>
        <v/>
      </c>
      <c r="G41" s="2">
        <f>COUNTIFS(交易明細!$B$2:$B$711,$A41,交易明細!$J$2:$J$711,"止損")</f>
        <v/>
      </c>
      <c r="H41" s="4">
        <f>IFERROR(F41/E41,0)</f>
        <v/>
      </c>
      <c r="I41" s="4">
        <f>IFERROR(AVERAGEIFS(交易明細!$L$2:$L$711,交易明細!$B$2:$B$711,$A41,交易明細!$J$2:$J$711,"&lt;&gt;未平倉"),0)</f>
        <v/>
      </c>
      <c r="J41" s="4">
        <f>SUMIFS(交易明細!$L$2:$L$711,交易明細!$B$2:$B$711,$A41,交易明細!$J$2:$J$711,"&lt;&gt;未平倉")</f>
        <v/>
      </c>
      <c r="K41" s="5">
        <f>IFERROR(AVERAGEIFS(交易明細!$K$2:$K$711,交易明細!$B$2:$B$711,$A41,交易明細!$J$2:$J$711,"&lt;&gt;未平倉"),0)</f>
        <v/>
      </c>
      <c r="L41" s="2">
        <f>COUNTIFS(交易明細!$B$2:$B$711,$A41,交易明細!$J$2:$J$711,"未平倉")</f>
        <v/>
      </c>
    </row>
    <row r="42">
      <c r="A42" s="2" t="inlineStr">
        <is>
          <t>SKR_USDT_PERP</t>
        </is>
      </c>
      <c r="B42" s="2">
        <f>COUNTIFS(交易明細!$B$2:$B$711,$A42)</f>
        <v/>
      </c>
      <c r="C42" s="2">
        <f>COUNTIFS(交易明細!$B$2:$B$711,$A42,交易明細!$C$2:$C$711,"做多")</f>
        <v/>
      </c>
      <c r="D42" s="2">
        <f>COUNTIFS(交易明細!$B$2:$B$711,$A42,交易明細!$C$2:$C$711,"做空")</f>
        <v/>
      </c>
      <c r="E42" s="2">
        <f>F42+G42+COUNTIFS(交易明細!$B$2:$B$711,$A42,交易明細!$J$2:$J$711,"時間出場")</f>
        <v/>
      </c>
      <c r="F42" s="2">
        <f>COUNTIFS(交易明細!$B$2:$B$711,$A42,交易明細!$J$2:$J$711,"止盈")</f>
        <v/>
      </c>
      <c r="G42" s="2">
        <f>COUNTIFS(交易明細!$B$2:$B$711,$A42,交易明細!$J$2:$J$711,"止損")</f>
        <v/>
      </c>
      <c r="H42" s="4">
        <f>IFERROR(F42/E42,0)</f>
        <v/>
      </c>
      <c r="I42" s="4">
        <f>IFERROR(AVERAGEIFS(交易明細!$L$2:$L$711,交易明細!$B$2:$B$711,$A42,交易明細!$J$2:$J$711,"&lt;&gt;未平倉"),0)</f>
        <v/>
      </c>
      <c r="J42" s="4">
        <f>SUMIFS(交易明細!$L$2:$L$711,交易明細!$B$2:$B$711,$A42,交易明細!$J$2:$J$711,"&lt;&gt;未平倉")</f>
        <v/>
      </c>
      <c r="K42" s="5">
        <f>IFERROR(AVERAGEIFS(交易明細!$K$2:$K$711,交易明細!$B$2:$B$711,$A42,交易明細!$J$2:$J$711,"&lt;&gt;未平倉"),0)</f>
        <v/>
      </c>
      <c r="L42" s="2">
        <f>COUNTIFS(交易明細!$B$2:$B$711,$A42,交易明細!$J$2:$J$711,"未平倉")</f>
        <v/>
      </c>
    </row>
    <row r="43">
      <c r="A43" s="2" t="inlineStr">
        <is>
          <t>IOST_USDT_PERP</t>
        </is>
      </c>
      <c r="B43" s="2">
        <f>COUNTIFS(交易明細!$B$2:$B$711,$A43)</f>
        <v/>
      </c>
      <c r="C43" s="2">
        <f>COUNTIFS(交易明細!$B$2:$B$711,$A43,交易明細!$C$2:$C$711,"做多")</f>
        <v/>
      </c>
      <c r="D43" s="2">
        <f>COUNTIFS(交易明細!$B$2:$B$711,$A43,交易明細!$C$2:$C$711,"做空")</f>
        <v/>
      </c>
      <c r="E43" s="2">
        <f>F43+G43+COUNTIFS(交易明細!$B$2:$B$711,$A43,交易明細!$J$2:$J$711,"時間出場")</f>
        <v/>
      </c>
      <c r="F43" s="2">
        <f>COUNTIFS(交易明細!$B$2:$B$711,$A43,交易明細!$J$2:$J$711,"止盈")</f>
        <v/>
      </c>
      <c r="G43" s="2">
        <f>COUNTIFS(交易明細!$B$2:$B$711,$A43,交易明細!$J$2:$J$711,"止損")</f>
        <v/>
      </c>
      <c r="H43" s="4">
        <f>IFERROR(F43/E43,0)</f>
        <v/>
      </c>
      <c r="I43" s="4">
        <f>IFERROR(AVERAGEIFS(交易明細!$L$2:$L$711,交易明細!$B$2:$B$711,$A43,交易明細!$J$2:$J$711,"&lt;&gt;未平倉"),0)</f>
        <v/>
      </c>
      <c r="J43" s="4">
        <f>SUMIFS(交易明細!$L$2:$L$711,交易明細!$B$2:$B$711,$A43,交易明細!$J$2:$J$711,"&lt;&gt;未平倉")</f>
        <v/>
      </c>
      <c r="K43" s="5">
        <f>IFERROR(AVERAGEIFS(交易明細!$K$2:$K$711,交易明細!$B$2:$B$711,$A43,交易明細!$J$2:$J$711,"&lt;&gt;未平倉"),0)</f>
        <v/>
      </c>
      <c r="L43" s="2">
        <f>COUNTIFS(交易明細!$B$2:$B$711,$A43,交易明細!$J$2:$J$711,"未平倉")</f>
        <v/>
      </c>
    </row>
    <row r="44">
      <c r="A44" s="2" t="inlineStr">
        <is>
          <t>DOT_USDT_PERP</t>
        </is>
      </c>
      <c r="B44" s="2">
        <f>COUNTIFS(交易明細!$B$2:$B$711,$A44)</f>
        <v/>
      </c>
      <c r="C44" s="2">
        <f>COUNTIFS(交易明細!$B$2:$B$711,$A44,交易明細!$C$2:$C$711,"做多")</f>
        <v/>
      </c>
      <c r="D44" s="2">
        <f>COUNTIFS(交易明細!$B$2:$B$711,$A44,交易明細!$C$2:$C$711,"做空")</f>
        <v/>
      </c>
      <c r="E44" s="2">
        <f>F44+G44+COUNTIFS(交易明細!$B$2:$B$711,$A44,交易明細!$J$2:$J$711,"時間出場")</f>
        <v/>
      </c>
      <c r="F44" s="2">
        <f>COUNTIFS(交易明細!$B$2:$B$711,$A44,交易明細!$J$2:$J$711,"止盈")</f>
        <v/>
      </c>
      <c r="G44" s="2">
        <f>COUNTIFS(交易明細!$B$2:$B$711,$A44,交易明細!$J$2:$J$711,"止損")</f>
        <v/>
      </c>
      <c r="H44" s="4">
        <f>IFERROR(F44/E44,0)</f>
        <v/>
      </c>
      <c r="I44" s="4">
        <f>IFERROR(AVERAGEIFS(交易明細!$L$2:$L$711,交易明細!$B$2:$B$711,$A44,交易明細!$J$2:$J$711,"&lt;&gt;未平倉"),0)</f>
        <v/>
      </c>
      <c r="J44" s="4">
        <f>SUMIFS(交易明細!$L$2:$L$711,交易明細!$B$2:$B$711,$A44,交易明細!$J$2:$J$711,"&lt;&gt;未平倉")</f>
        <v/>
      </c>
      <c r="K44" s="5">
        <f>IFERROR(AVERAGEIFS(交易明細!$K$2:$K$711,交易明細!$B$2:$B$711,$A44,交易明細!$J$2:$J$711,"&lt;&gt;未平倉"),0)</f>
        <v/>
      </c>
      <c r="L44" s="2">
        <f>COUNTIFS(交易明細!$B$2:$B$711,$A44,交易明細!$J$2:$J$711,"未平倉")</f>
        <v/>
      </c>
    </row>
    <row r="45">
      <c r="A45" s="2" t="inlineStr">
        <is>
          <t>MET_USDT_PERP</t>
        </is>
      </c>
      <c r="B45" s="2">
        <f>COUNTIFS(交易明細!$B$2:$B$711,$A45)</f>
        <v/>
      </c>
      <c r="C45" s="2">
        <f>COUNTIFS(交易明細!$B$2:$B$711,$A45,交易明細!$C$2:$C$711,"做多")</f>
        <v/>
      </c>
      <c r="D45" s="2">
        <f>COUNTIFS(交易明細!$B$2:$B$711,$A45,交易明細!$C$2:$C$711,"做空")</f>
        <v/>
      </c>
      <c r="E45" s="2">
        <f>F45+G45+COUNTIFS(交易明細!$B$2:$B$711,$A45,交易明細!$J$2:$J$711,"時間出場")</f>
        <v/>
      </c>
      <c r="F45" s="2">
        <f>COUNTIFS(交易明細!$B$2:$B$711,$A45,交易明細!$J$2:$J$711,"止盈")</f>
        <v/>
      </c>
      <c r="G45" s="2">
        <f>COUNTIFS(交易明細!$B$2:$B$711,$A45,交易明細!$J$2:$J$711,"止損")</f>
        <v/>
      </c>
      <c r="H45" s="4">
        <f>IFERROR(F45/E45,0)</f>
        <v/>
      </c>
      <c r="I45" s="4">
        <f>IFERROR(AVERAGEIFS(交易明細!$L$2:$L$711,交易明細!$B$2:$B$711,$A45,交易明細!$J$2:$J$711,"&lt;&gt;未平倉"),0)</f>
        <v/>
      </c>
      <c r="J45" s="4">
        <f>SUMIFS(交易明細!$L$2:$L$711,交易明細!$B$2:$B$711,$A45,交易明細!$J$2:$J$711,"&lt;&gt;未平倉")</f>
        <v/>
      </c>
      <c r="K45" s="5">
        <f>IFERROR(AVERAGEIFS(交易明細!$K$2:$K$711,交易明細!$B$2:$B$711,$A45,交易明細!$J$2:$J$711,"&lt;&gt;未平倉"),0)</f>
        <v/>
      </c>
      <c r="L45" s="2">
        <f>COUNTIFS(交易明細!$B$2:$B$711,$A45,交易明細!$J$2:$J$711,"未平倉")</f>
        <v/>
      </c>
    </row>
    <row r="46">
      <c r="A46" s="2" t="inlineStr">
        <is>
          <t>LAB_USDT_PERP</t>
        </is>
      </c>
      <c r="B46" s="2">
        <f>COUNTIFS(交易明細!$B$2:$B$711,$A46)</f>
        <v/>
      </c>
      <c r="C46" s="2">
        <f>COUNTIFS(交易明細!$B$2:$B$711,$A46,交易明細!$C$2:$C$711,"做多")</f>
        <v/>
      </c>
      <c r="D46" s="2">
        <f>COUNTIFS(交易明細!$B$2:$B$711,$A46,交易明細!$C$2:$C$711,"做空")</f>
        <v/>
      </c>
      <c r="E46" s="2">
        <f>F46+G46+COUNTIFS(交易明細!$B$2:$B$711,$A46,交易明細!$J$2:$J$711,"時間出場")</f>
        <v/>
      </c>
      <c r="F46" s="2">
        <f>COUNTIFS(交易明細!$B$2:$B$711,$A46,交易明細!$J$2:$J$711,"止盈")</f>
        <v/>
      </c>
      <c r="G46" s="2">
        <f>COUNTIFS(交易明細!$B$2:$B$711,$A46,交易明細!$J$2:$J$711,"止損")</f>
        <v/>
      </c>
      <c r="H46" s="4">
        <f>IFERROR(F46/E46,0)</f>
        <v/>
      </c>
      <c r="I46" s="4">
        <f>IFERROR(AVERAGEIFS(交易明細!$L$2:$L$711,交易明細!$B$2:$B$711,$A46,交易明細!$J$2:$J$711,"&lt;&gt;未平倉"),0)</f>
        <v/>
      </c>
      <c r="J46" s="4">
        <f>SUMIFS(交易明細!$L$2:$L$711,交易明細!$B$2:$B$711,$A46,交易明細!$J$2:$J$711,"&lt;&gt;未平倉")</f>
        <v/>
      </c>
      <c r="K46" s="5">
        <f>IFERROR(AVERAGEIFS(交易明細!$K$2:$K$711,交易明細!$B$2:$B$711,$A46,交易明細!$J$2:$J$711,"&lt;&gt;未平倉"),0)</f>
        <v/>
      </c>
      <c r="L46" s="2">
        <f>COUNTIFS(交易明細!$B$2:$B$711,$A46,交易明細!$J$2:$J$711,"未平倉")</f>
        <v/>
      </c>
    </row>
    <row r="47">
      <c r="A47" s="2" t="inlineStr">
        <is>
          <t>FIL_USDT_PERP</t>
        </is>
      </c>
      <c r="B47" s="2">
        <f>COUNTIFS(交易明細!$B$2:$B$711,$A47)</f>
        <v/>
      </c>
      <c r="C47" s="2">
        <f>COUNTIFS(交易明細!$B$2:$B$711,$A47,交易明細!$C$2:$C$711,"做多")</f>
        <v/>
      </c>
      <c r="D47" s="2">
        <f>COUNTIFS(交易明細!$B$2:$B$711,$A47,交易明細!$C$2:$C$711,"做空")</f>
        <v/>
      </c>
      <c r="E47" s="2">
        <f>F47+G47+COUNTIFS(交易明細!$B$2:$B$711,$A47,交易明細!$J$2:$J$711,"時間出場")</f>
        <v/>
      </c>
      <c r="F47" s="2">
        <f>COUNTIFS(交易明細!$B$2:$B$711,$A47,交易明細!$J$2:$J$711,"止盈")</f>
        <v/>
      </c>
      <c r="G47" s="2">
        <f>COUNTIFS(交易明細!$B$2:$B$711,$A47,交易明細!$J$2:$J$711,"止損")</f>
        <v/>
      </c>
      <c r="H47" s="4">
        <f>IFERROR(F47/E47,0)</f>
        <v/>
      </c>
      <c r="I47" s="4">
        <f>IFERROR(AVERAGEIFS(交易明細!$L$2:$L$711,交易明細!$B$2:$B$711,$A47,交易明細!$J$2:$J$711,"&lt;&gt;未平倉"),0)</f>
        <v/>
      </c>
      <c r="J47" s="4">
        <f>SUMIFS(交易明細!$L$2:$L$711,交易明細!$B$2:$B$711,$A47,交易明細!$J$2:$J$711,"&lt;&gt;未平倉")</f>
        <v/>
      </c>
      <c r="K47" s="5">
        <f>IFERROR(AVERAGEIFS(交易明細!$K$2:$K$711,交易明細!$B$2:$B$711,$A47,交易明細!$J$2:$J$711,"&lt;&gt;未平倉"),0)</f>
        <v/>
      </c>
      <c r="L47" s="2">
        <f>COUNTIFS(交易明細!$B$2:$B$711,$A47,交易明細!$J$2:$J$711,"未平倉")</f>
        <v/>
      </c>
    </row>
    <row r="48">
      <c r="A48" s="2" t="inlineStr">
        <is>
          <t>XMR_USDT_PERP</t>
        </is>
      </c>
      <c r="B48" s="2">
        <f>COUNTIFS(交易明細!$B$2:$B$711,$A48)</f>
        <v/>
      </c>
      <c r="C48" s="2">
        <f>COUNTIFS(交易明細!$B$2:$B$711,$A48,交易明細!$C$2:$C$711,"做多")</f>
        <v/>
      </c>
      <c r="D48" s="2">
        <f>COUNTIFS(交易明細!$B$2:$B$711,$A48,交易明細!$C$2:$C$711,"做空")</f>
        <v/>
      </c>
      <c r="E48" s="2">
        <f>F48+G48+COUNTIFS(交易明細!$B$2:$B$711,$A48,交易明細!$J$2:$J$711,"時間出場")</f>
        <v/>
      </c>
      <c r="F48" s="2">
        <f>COUNTIFS(交易明細!$B$2:$B$711,$A48,交易明細!$J$2:$J$711,"止盈")</f>
        <v/>
      </c>
      <c r="G48" s="2">
        <f>COUNTIFS(交易明細!$B$2:$B$711,$A48,交易明細!$J$2:$J$711,"止損")</f>
        <v/>
      </c>
      <c r="H48" s="4">
        <f>IFERROR(F48/E48,0)</f>
        <v/>
      </c>
      <c r="I48" s="4">
        <f>IFERROR(AVERAGEIFS(交易明細!$L$2:$L$711,交易明細!$B$2:$B$711,$A48,交易明細!$J$2:$J$711,"&lt;&gt;未平倉"),0)</f>
        <v/>
      </c>
      <c r="J48" s="4">
        <f>SUMIFS(交易明細!$L$2:$L$711,交易明細!$B$2:$B$711,$A48,交易明細!$J$2:$J$711,"&lt;&gt;未平倉")</f>
        <v/>
      </c>
      <c r="K48" s="5">
        <f>IFERROR(AVERAGEIFS(交易明細!$K$2:$K$711,交易明細!$B$2:$B$711,$A48,交易明細!$J$2:$J$711,"&lt;&gt;未平倉"),0)</f>
        <v/>
      </c>
      <c r="L48" s="2">
        <f>COUNTIFS(交易明細!$B$2:$B$711,$A48,交易明細!$J$2:$J$711,"未平倉")</f>
        <v/>
      </c>
    </row>
    <row r="49">
      <c r="A49" s="2" t="inlineStr">
        <is>
          <t>CRV_USDT_PERP</t>
        </is>
      </c>
      <c r="B49" s="2">
        <f>COUNTIFS(交易明細!$B$2:$B$711,$A49)</f>
        <v/>
      </c>
      <c r="C49" s="2">
        <f>COUNTIFS(交易明細!$B$2:$B$711,$A49,交易明細!$C$2:$C$711,"做多")</f>
        <v/>
      </c>
      <c r="D49" s="2">
        <f>COUNTIFS(交易明細!$B$2:$B$711,$A49,交易明細!$C$2:$C$711,"做空")</f>
        <v/>
      </c>
      <c r="E49" s="2">
        <f>F49+G49+COUNTIFS(交易明細!$B$2:$B$711,$A49,交易明細!$J$2:$J$711,"時間出場")</f>
        <v/>
      </c>
      <c r="F49" s="2">
        <f>COUNTIFS(交易明細!$B$2:$B$711,$A49,交易明細!$J$2:$J$711,"止盈")</f>
        <v/>
      </c>
      <c r="G49" s="2">
        <f>COUNTIFS(交易明細!$B$2:$B$711,$A49,交易明細!$J$2:$J$711,"止損")</f>
        <v/>
      </c>
      <c r="H49" s="4">
        <f>IFERROR(F49/E49,0)</f>
        <v/>
      </c>
      <c r="I49" s="4">
        <f>IFERROR(AVERAGEIFS(交易明細!$L$2:$L$711,交易明細!$B$2:$B$711,$A49,交易明細!$J$2:$J$711,"&lt;&gt;未平倉"),0)</f>
        <v/>
      </c>
      <c r="J49" s="4">
        <f>SUMIFS(交易明細!$L$2:$L$711,交易明細!$B$2:$B$711,$A49,交易明細!$J$2:$J$711,"&lt;&gt;未平倉")</f>
        <v/>
      </c>
      <c r="K49" s="5">
        <f>IFERROR(AVERAGEIFS(交易明細!$K$2:$K$711,交易明細!$B$2:$B$711,$A49,交易明細!$J$2:$J$711,"&lt;&gt;未平倉"),0)</f>
        <v/>
      </c>
      <c r="L49" s="2">
        <f>COUNTIFS(交易明細!$B$2:$B$711,$A49,交易明細!$J$2:$J$711,"未平倉")</f>
        <v/>
      </c>
    </row>
    <row r="50">
      <c r="A50" s="2" t="inlineStr">
        <is>
          <t>BTR_USDT_PERP</t>
        </is>
      </c>
      <c r="B50" s="2">
        <f>COUNTIFS(交易明細!$B$2:$B$711,$A50)</f>
        <v/>
      </c>
      <c r="C50" s="2">
        <f>COUNTIFS(交易明細!$B$2:$B$711,$A50,交易明細!$C$2:$C$711,"做多")</f>
        <v/>
      </c>
      <c r="D50" s="2">
        <f>COUNTIFS(交易明細!$B$2:$B$711,$A50,交易明細!$C$2:$C$711,"做空")</f>
        <v/>
      </c>
      <c r="E50" s="2">
        <f>F50+G50+COUNTIFS(交易明細!$B$2:$B$711,$A50,交易明細!$J$2:$J$711,"時間出場")</f>
        <v/>
      </c>
      <c r="F50" s="2">
        <f>COUNTIFS(交易明細!$B$2:$B$711,$A50,交易明細!$J$2:$J$711,"止盈")</f>
        <v/>
      </c>
      <c r="G50" s="2">
        <f>COUNTIFS(交易明細!$B$2:$B$711,$A50,交易明細!$J$2:$J$711,"止損")</f>
        <v/>
      </c>
      <c r="H50" s="4">
        <f>IFERROR(F50/E50,0)</f>
        <v/>
      </c>
      <c r="I50" s="4">
        <f>IFERROR(AVERAGEIFS(交易明細!$L$2:$L$711,交易明細!$B$2:$B$711,$A50,交易明細!$J$2:$J$711,"&lt;&gt;未平倉"),0)</f>
        <v/>
      </c>
      <c r="J50" s="4">
        <f>SUMIFS(交易明細!$L$2:$L$711,交易明細!$B$2:$B$711,$A50,交易明細!$J$2:$J$711,"&lt;&gt;未平倉")</f>
        <v/>
      </c>
      <c r="K50" s="5">
        <f>IFERROR(AVERAGEIFS(交易明細!$K$2:$K$711,交易明細!$B$2:$B$711,$A50,交易明細!$J$2:$J$711,"&lt;&gt;未平倉"),0)</f>
        <v/>
      </c>
      <c r="L50" s="2">
        <f>COUNTIFS(交易明細!$B$2:$B$711,$A50,交易明細!$J$2:$J$711,"未平倉")</f>
        <v/>
      </c>
    </row>
    <row r="51">
      <c r="A51" s="2" t="inlineStr">
        <is>
          <t>TAO_USDT_PERP</t>
        </is>
      </c>
      <c r="B51" s="2">
        <f>COUNTIFS(交易明細!$B$2:$B$711,$A51)</f>
        <v/>
      </c>
      <c r="C51" s="2">
        <f>COUNTIFS(交易明細!$B$2:$B$711,$A51,交易明細!$C$2:$C$711,"做多")</f>
        <v/>
      </c>
      <c r="D51" s="2">
        <f>COUNTIFS(交易明細!$B$2:$B$711,$A51,交易明細!$C$2:$C$711,"做空")</f>
        <v/>
      </c>
      <c r="E51" s="2">
        <f>F51+G51+COUNTIFS(交易明細!$B$2:$B$711,$A51,交易明細!$J$2:$J$711,"時間出場")</f>
        <v/>
      </c>
      <c r="F51" s="2">
        <f>COUNTIFS(交易明細!$B$2:$B$711,$A51,交易明細!$J$2:$J$711,"止盈")</f>
        <v/>
      </c>
      <c r="G51" s="2">
        <f>COUNTIFS(交易明細!$B$2:$B$711,$A51,交易明細!$J$2:$J$711,"止損")</f>
        <v/>
      </c>
      <c r="H51" s="4">
        <f>IFERROR(F51/E51,0)</f>
        <v/>
      </c>
      <c r="I51" s="4">
        <f>IFERROR(AVERAGEIFS(交易明細!$L$2:$L$711,交易明細!$B$2:$B$711,$A51,交易明細!$J$2:$J$711,"&lt;&gt;未平倉"),0)</f>
        <v/>
      </c>
      <c r="J51" s="4">
        <f>SUMIFS(交易明細!$L$2:$L$711,交易明細!$B$2:$B$711,$A51,交易明細!$J$2:$J$711,"&lt;&gt;未平倉")</f>
        <v/>
      </c>
      <c r="K51" s="5">
        <f>IFERROR(AVERAGEIFS(交易明細!$K$2:$K$711,交易明細!$B$2:$B$711,$A51,交易明細!$J$2:$J$711,"&lt;&gt;未平倉"),0)</f>
        <v/>
      </c>
      <c r="L51" s="2">
        <f>COUNTIFS(交易明細!$B$2:$B$711,$A51,交易明細!$J$2:$J$711,"未平倉")</f>
        <v/>
      </c>
    </row>
    <row r="52">
      <c r="A52" s="2" t="inlineStr">
        <is>
          <t>GENIUS_USDT_PERP</t>
        </is>
      </c>
      <c r="B52" s="2">
        <f>COUNTIFS(交易明細!$B$2:$B$711,$A52)</f>
        <v/>
      </c>
      <c r="C52" s="2">
        <f>COUNTIFS(交易明細!$B$2:$B$711,$A52,交易明細!$C$2:$C$711,"做多")</f>
        <v/>
      </c>
      <c r="D52" s="2">
        <f>COUNTIFS(交易明細!$B$2:$B$711,$A52,交易明細!$C$2:$C$711,"做空")</f>
        <v/>
      </c>
      <c r="E52" s="2">
        <f>F52+G52+COUNTIFS(交易明細!$B$2:$B$711,$A52,交易明細!$J$2:$J$711,"時間出場")</f>
        <v/>
      </c>
      <c r="F52" s="2">
        <f>COUNTIFS(交易明細!$B$2:$B$711,$A52,交易明細!$J$2:$J$711,"止盈")</f>
        <v/>
      </c>
      <c r="G52" s="2">
        <f>COUNTIFS(交易明細!$B$2:$B$711,$A52,交易明細!$J$2:$J$711,"止損")</f>
        <v/>
      </c>
      <c r="H52" s="4">
        <f>IFERROR(F52/E52,0)</f>
        <v/>
      </c>
      <c r="I52" s="4">
        <f>IFERROR(AVERAGEIFS(交易明細!$L$2:$L$711,交易明細!$B$2:$B$711,$A52,交易明細!$J$2:$J$711,"&lt;&gt;未平倉"),0)</f>
        <v/>
      </c>
      <c r="J52" s="4">
        <f>SUMIFS(交易明細!$L$2:$L$711,交易明細!$B$2:$B$711,$A52,交易明細!$J$2:$J$711,"&lt;&gt;未平倉")</f>
        <v/>
      </c>
      <c r="K52" s="5">
        <f>IFERROR(AVERAGEIFS(交易明細!$K$2:$K$711,交易明細!$B$2:$B$711,$A52,交易明細!$J$2:$J$711,"&lt;&gt;未平倉"),0)</f>
        <v/>
      </c>
      <c r="L52" s="2">
        <f>COUNTIFS(交易明細!$B$2:$B$711,$A52,交易明細!$J$2:$J$711,"未平倉")</f>
        <v/>
      </c>
    </row>
    <row r="53">
      <c r="A53" s="2" t="inlineStr">
        <is>
          <t>PEPE_USDT_PERP</t>
        </is>
      </c>
      <c r="B53" s="2">
        <f>COUNTIFS(交易明細!$B$2:$B$711,$A53)</f>
        <v/>
      </c>
      <c r="C53" s="2">
        <f>COUNTIFS(交易明細!$B$2:$B$711,$A53,交易明細!$C$2:$C$711,"做多")</f>
        <v/>
      </c>
      <c r="D53" s="2">
        <f>COUNTIFS(交易明細!$B$2:$B$711,$A53,交易明細!$C$2:$C$711,"做空")</f>
        <v/>
      </c>
      <c r="E53" s="2">
        <f>F53+G53+COUNTIFS(交易明細!$B$2:$B$711,$A53,交易明細!$J$2:$J$711,"時間出場")</f>
        <v/>
      </c>
      <c r="F53" s="2">
        <f>COUNTIFS(交易明細!$B$2:$B$711,$A53,交易明細!$J$2:$J$711,"止盈")</f>
        <v/>
      </c>
      <c r="G53" s="2">
        <f>COUNTIFS(交易明細!$B$2:$B$711,$A53,交易明細!$J$2:$J$711,"止損")</f>
        <v/>
      </c>
      <c r="H53" s="4">
        <f>IFERROR(F53/E53,0)</f>
        <v/>
      </c>
      <c r="I53" s="4">
        <f>IFERROR(AVERAGEIFS(交易明細!$L$2:$L$711,交易明細!$B$2:$B$711,$A53,交易明細!$J$2:$J$711,"&lt;&gt;未平倉"),0)</f>
        <v/>
      </c>
      <c r="J53" s="4">
        <f>SUMIFS(交易明細!$L$2:$L$711,交易明細!$B$2:$B$711,$A53,交易明細!$J$2:$J$711,"&lt;&gt;未平倉")</f>
        <v/>
      </c>
      <c r="K53" s="5">
        <f>IFERROR(AVERAGEIFS(交易明細!$K$2:$K$711,交易明細!$B$2:$B$711,$A53,交易明細!$J$2:$J$711,"&lt;&gt;未平倉"),0)</f>
        <v/>
      </c>
      <c r="L53" s="2">
        <f>COUNTIFS(交易明細!$B$2:$B$711,$A53,交易明細!$J$2:$J$711,"未平倉")</f>
        <v/>
      </c>
    </row>
    <row r="54">
      <c r="A54" s="2" t="inlineStr">
        <is>
          <t>AVAX_USDT_PERP</t>
        </is>
      </c>
      <c r="B54" s="2">
        <f>COUNTIFS(交易明細!$B$2:$B$711,$A54)</f>
        <v/>
      </c>
      <c r="C54" s="2">
        <f>COUNTIFS(交易明細!$B$2:$B$711,$A54,交易明細!$C$2:$C$711,"做多")</f>
        <v/>
      </c>
      <c r="D54" s="2">
        <f>COUNTIFS(交易明細!$B$2:$B$711,$A54,交易明細!$C$2:$C$711,"做空")</f>
        <v/>
      </c>
      <c r="E54" s="2">
        <f>F54+G54+COUNTIFS(交易明細!$B$2:$B$711,$A54,交易明細!$J$2:$J$711,"時間出場")</f>
        <v/>
      </c>
      <c r="F54" s="2">
        <f>COUNTIFS(交易明細!$B$2:$B$711,$A54,交易明細!$J$2:$J$711,"止盈")</f>
        <v/>
      </c>
      <c r="G54" s="2">
        <f>COUNTIFS(交易明細!$B$2:$B$711,$A54,交易明細!$J$2:$J$711,"止損")</f>
        <v/>
      </c>
      <c r="H54" s="4">
        <f>IFERROR(F54/E54,0)</f>
        <v/>
      </c>
      <c r="I54" s="4">
        <f>IFERROR(AVERAGEIFS(交易明細!$L$2:$L$711,交易明細!$B$2:$B$711,$A54,交易明細!$J$2:$J$711,"&lt;&gt;未平倉"),0)</f>
        <v/>
      </c>
      <c r="J54" s="4">
        <f>SUMIFS(交易明細!$L$2:$L$711,交易明細!$B$2:$B$711,$A54,交易明細!$J$2:$J$711,"&lt;&gt;未平倉")</f>
        <v/>
      </c>
      <c r="K54" s="5">
        <f>IFERROR(AVERAGEIFS(交易明細!$K$2:$K$711,交易明細!$B$2:$B$711,$A54,交易明細!$J$2:$J$711,"&lt;&gt;未平倉"),0)</f>
        <v/>
      </c>
      <c r="L54" s="2">
        <f>COUNTIFS(交易明細!$B$2:$B$711,$A54,交易明細!$J$2:$J$711,"未平倉")</f>
        <v/>
      </c>
    </row>
    <row r="55">
      <c r="A55" s="2" t="inlineStr">
        <is>
          <t>DOGE_USDT_PERP</t>
        </is>
      </c>
      <c r="B55" s="2">
        <f>COUNTIFS(交易明細!$B$2:$B$711,$A55)</f>
        <v/>
      </c>
      <c r="C55" s="2">
        <f>COUNTIFS(交易明細!$B$2:$B$711,$A55,交易明細!$C$2:$C$711,"做多")</f>
        <v/>
      </c>
      <c r="D55" s="2">
        <f>COUNTIFS(交易明細!$B$2:$B$711,$A55,交易明細!$C$2:$C$711,"做空")</f>
        <v/>
      </c>
      <c r="E55" s="2">
        <f>F55+G55+COUNTIFS(交易明細!$B$2:$B$711,$A55,交易明細!$J$2:$J$711,"時間出場")</f>
        <v/>
      </c>
      <c r="F55" s="2">
        <f>COUNTIFS(交易明細!$B$2:$B$711,$A55,交易明細!$J$2:$J$711,"止盈")</f>
        <v/>
      </c>
      <c r="G55" s="2">
        <f>COUNTIFS(交易明細!$B$2:$B$711,$A55,交易明細!$J$2:$J$711,"止損")</f>
        <v/>
      </c>
      <c r="H55" s="4">
        <f>IFERROR(F55/E55,0)</f>
        <v/>
      </c>
      <c r="I55" s="4">
        <f>IFERROR(AVERAGEIFS(交易明細!$L$2:$L$711,交易明細!$B$2:$B$711,$A55,交易明細!$J$2:$J$711,"&lt;&gt;未平倉"),0)</f>
        <v/>
      </c>
      <c r="J55" s="4">
        <f>SUMIFS(交易明細!$L$2:$L$711,交易明細!$B$2:$B$711,$A55,交易明細!$J$2:$J$711,"&lt;&gt;未平倉")</f>
        <v/>
      </c>
      <c r="K55" s="5">
        <f>IFERROR(AVERAGEIFS(交易明細!$K$2:$K$711,交易明細!$B$2:$B$711,$A55,交易明細!$J$2:$J$711,"&lt;&gt;未平倉"),0)</f>
        <v/>
      </c>
      <c r="L55" s="2">
        <f>COUNTIFS(交易明細!$B$2:$B$711,$A55,交易明細!$J$2:$J$711,"未平倉")</f>
        <v/>
      </c>
    </row>
    <row r="56">
      <c r="A56" s="2" t="inlineStr">
        <is>
          <t>PYTH_USDT_PERP</t>
        </is>
      </c>
      <c r="B56" s="2">
        <f>COUNTIFS(交易明細!$B$2:$B$711,$A56)</f>
        <v/>
      </c>
      <c r="C56" s="2">
        <f>COUNTIFS(交易明細!$B$2:$B$711,$A56,交易明細!$C$2:$C$711,"做多")</f>
        <v/>
      </c>
      <c r="D56" s="2">
        <f>COUNTIFS(交易明細!$B$2:$B$711,$A56,交易明細!$C$2:$C$711,"做空")</f>
        <v/>
      </c>
      <c r="E56" s="2">
        <f>F56+G56+COUNTIFS(交易明細!$B$2:$B$711,$A56,交易明細!$J$2:$J$711,"時間出場")</f>
        <v/>
      </c>
      <c r="F56" s="2">
        <f>COUNTIFS(交易明細!$B$2:$B$711,$A56,交易明細!$J$2:$J$711,"止盈")</f>
        <v/>
      </c>
      <c r="G56" s="2">
        <f>COUNTIFS(交易明細!$B$2:$B$711,$A56,交易明細!$J$2:$J$711,"止損")</f>
        <v/>
      </c>
      <c r="H56" s="4">
        <f>IFERROR(F56/E56,0)</f>
        <v/>
      </c>
      <c r="I56" s="4">
        <f>IFERROR(AVERAGEIFS(交易明細!$L$2:$L$711,交易明細!$B$2:$B$711,$A56,交易明細!$J$2:$J$711,"&lt;&gt;未平倉"),0)</f>
        <v/>
      </c>
      <c r="J56" s="4">
        <f>SUMIFS(交易明細!$L$2:$L$711,交易明細!$B$2:$B$711,$A56,交易明細!$J$2:$J$711,"&lt;&gt;未平倉")</f>
        <v/>
      </c>
      <c r="K56" s="5">
        <f>IFERROR(AVERAGEIFS(交易明細!$K$2:$K$711,交易明細!$B$2:$B$711,$A56,交易明細!$J$2:$J$711,"&lt;&gt;未平倉"),0)</f>
        <v/>
      </c>
      <c r="L56" s="2">
        <f>COUNTIFS(交易明細!$B$2:$B$711,$A56,交易明細!$J$2:$J$711,"未平倉")</f>
        <v/>
      </c>
    </row>
    <row r="57">
      <c r="A57" s="2" t="inlineStr">
        <is>
          <t>TIA_USDT_PERP</t>
        </is>
      </c>
      <c r="B57" s="2">
        <f>COUNTIFS(交易明細!$B$2:$B$711,$A57)</f>
        <v/>
      </c>
      <c r="C57" s="2">
        <f>COUNTIFS(交易明細!$B$2:$B$711,$A57,交易明細!$C$2:$C$711,"做多")</f>
        <v/>
      </c>
      <c r="D57" s="2">
        <f>COUNTIFS(交易明細!$B$2:$B$711,$A57,交易明細!$C$2:$C$711,"做空")</f>
        <v/>
      </c>
      <c r="E57" s="2">
        <f>F57+G57+COUNTIFS(交易明細!$B$2:$B$711,$A57,交易明細!$J$2:$J$711,"時間出場")</f>
        <v/>
      </c>
      <c r="F57" s="2">
        <f>COUNTIFS(交易明細!$B$2:$B$711,$A57,交易明細!$J$2:$J$711,"止盈")</f>
        <v/>
      </c>
      <c r="G57" s="2">
        <f>COUNTIFS(交易明細!$B$2:$B$711,$A57,交易明細!$J$2:$J$711,"止損")</f>
        <v/>
      </c>
      <c r="H57" s="4">
        <f>IFERROR(F57/E57,0)</f>
        <v/>
      </c>
      <c r="I57" s="4">
        <f>IFERROR(AVERAGEIFS(交易明細!$L$2:$L$711,交易明細!$B$2:$B$711,$A57,交易明細!$J$2:$J$711,"&lt;&gt;未平倉"),0)</f>
        <v/>
      </c>
      <c r="J57" s="4">
        <f>SUMIFS(交易明細!$L$2:$L$711,交易明細!$B$2:$B$711,$A57,交易明細!$J$2:$J$711,"&lt;&gt;未平倉")</f>
        <v/>
      </c>
      <c r="K57" s="5">
        <f>IFERROR(AVERAGEIFS(交易明細!$K$2:$K$711,交易明細!$B$2:$B$711,$A57,交易明細!$J$2:$J$711,"&lt;&gt;未平倉"),0)</f>
        <v/>
      </c>
      <c r="L57" s="2">
        <f>COUNTIFS(交易明細!$B$2:$B$711,$A57,交易明細!$J$2:$J$711,"未平倉")</f>
        <v/>
      </c>
    </row>
    <row r="58">
      <c r="A58" s="2" t="inlineStr">
        <is>
          <t>SAGA_USDT_PERP</t>
        </is>
      </c>
      <c r="B58" s="2">
        <f>COUNTIFS(交易明細!$B$2:$B$711,$A58)</f>
        <v/>
      </c>
      <c r="C58" s="2">
        <f>COUNTIFS(交易明細!$B$2:$B$711,$A58,交易明細!$C$2:$C$711,"做多")</f>
        <v/>
      </c>
      <c r="D58" s="2">
        <f>COUNTIFS(交易明細!$B$2:$B$711,$A58,交易明細!$C$2:$C$711,"做空")</f>
        <v/>
      </c>
      <c r="E58" s="2">
        <f>F58+G58+COUNTIFS(交易明細!$B$2:$B$711,$A58,交易明細!$J$2:$J$711,"時間出場")</f>
        <v/>
      </c>
      <c r="F58" s="2">
        <f>COUNTIFS(交易明細!$B$2:$B$711,$A58,交易明細!$J$2:$J$711,"止盈")</f>
        <v/>
      </c>
      <c r="G58" s="2">
        <f>COUNTIFS(交易明細!$B$2:$B$711,$A58,交易明細!$J$2:$J$711,"止損")</f>
        <v/>
      </c>
      <c r="H58" s="4">
        <f>IFERROR(F58/E58,0)</f>
        <v/>
      </c>
      <c r="I58" s="4">
        <f>IFERROR(AVERAGEIFS(交易明細!$L$2:$L$711,交易明細!$B$2:$B$711,$A58,交易明細!$J$2:$J$711,"&lt;&gt;未平倉"),0)</f>
        <v/>
      </c>
      <c r="J58" s="4">
        <f>SUMIFS(交易明細!$L$2:$L$711,交易明細!$B$2:$B$711,$A58,交易明細!$J$2:$J$711,"&lt;&gt;未平倉")</f>
        <v/>
      </c>
      <c r="K58" s="5">
        <f>IFERROR(AVERAGEIFS(交易明細!$K$2:$K$711,交易明細!$B$2:$B$711,$A58,交易明細!$J$2:$J$711,"&lt;&gt;未平倉"),0)</f>
        <v/>
      </c>
      <c r="L58" s="2">
        <f>COUNTIFS(交易明細!$B$2:$B$711,$A58,交易明細!$J$2:$J$711,"未平倉")</f>
        <v/>
      </c>
    </row>
    <row r="59">
      <c r="A59" s="2" t="inlineStr">
        <is>
          <t>SOON_USDT_PERP</t>
        </is>
      </c>
      <c r="B59" s="2">
        <f>COUNTIFS(交易明細!$B$2:$B$711,$A59)</f>
        <v/>
      </c>
      <c r="C59" s="2">
        <f>COUNTIFS(交易明細!$B$2:$B$711,$A59,交易明細!$C$2:$C$711,"做多")</f>
        <v/>
      </c>
      <c r="D59" s="2">
        <f>COUNTIFS(交易明細!$B$2:$B$711,$A59,交易明細!$C$2:$C$711,"做空")</f>
        <v/>
      </c>
      <c r="E59" s="2">
        <f>F59+G59+COUNTIFS(交易明細!$B$2:$B$711,$A59,交易明細!$J$2:$J$711,"時間出場")</f>
        <v/>
      </c>
      <c r="F59" s="2">
        <f>COUNTIFS(交易明細!$B$2:$B$711,$A59,交易明細!$J$2:$J$711,"止盈")</f>
        <v/>
      </c>
      <c r="G59" s="2">
        <f>COUNTIFS(交易明細!$B$2:$B$711,$A59,交易明細!$J$2:$J$711,"止損")</f>
        <v/>
      </c>
      <c r="H59" s="4">
        <f>IFERROR(F59/E59,0)</f>
        <v/>
      </c>
      <c r="I59" s="4">
        <f>IFERROR(AVERAGEIFS(交易明細!$L$2:$L$711,交易明細!$B$2:$B$711,$A59,交易明細!$J$2:$J$711,"&lt;&gt;未平倉"),0)</f>
        <v/>
      </c>
      <c r="J59" s="4">
        <f>SUMIFS(交易明細!$L$2:$L$711,交易明細!$B$2:$B$711,$A59,交易明細!$J$2:$J$711,"&lt;&gt;未平倉")</f>
        <v/>
      </c>
      <c r="K59" s="5">
        <f>IFERROR(AVERAGEIFS(交易明細!$K$2:$K$711,交易明細!$B$2:$B$711,$A59,交易明細!$J$2:$J$711,"&lt;&gt;未平倉"),0)</f>
        <v/>
      </c>
      <c r="L59" s="2">
        <f>COUNTIFS(交易明細!$B$2:$B$711,$A59,交易明細!$J$2:$J$711,"未平倉")</f>
        <v/>
      </c>
    </row>
    <row r="60">
      <c r="A60" s="2" t="inlineStr">
        <is>
          <t>STRK_USDT_PERP</t>
        </is>
      </c>
      <c r="B60" s="2">
        <f>COUNTIFS(交易明細!$B$2:$B$711,$A60)</f>
        <v/>
      </c>
      <c r="C60" s="2">
        <f>COUNTIFS(交易明細!$B$2:$B$711,$A60,交易明細!$C$2:$C$711,"做多")</f>
        <v/>
      </c>
      <c r="D60" s="2">
        <f>COUNTIFS(交易明細!$B$2:$B$711,$A60,交易明細!$C$2:$C$711,"做空")</f>
        <v/>
      </c>
      <c r="E60" s="2">
        <f>F60+G60+COUNTIFS(交易明細!$B$2:$B$711,$A60,交易明細!$J$2:$J$711,"時間出場")</f>
        <v/>
      </c>
      <c r="F60" s="2">
        <f>COUNTIFS(交易明細!$B$2:$B$711,$A60,交易明細!$J$2:$J$711,"止盈")</f>
        <v/>
      </c>
      <c r="G60" s="2">
        <f>COUNTIFS(交易明細!$B$2:$B$711,$A60,交易明細!$J$2:$J$711,"止損")</f>
        <v/>
      </c>
      <c r="H60" s="4">
        <f>IFERROR(F60/E60,0)</f>
        <v/>
      </c>
      <c r="I60" s="4">
        <f>IFERROR(AVERAGEIFS(交易明細!$L$2:$L$711,交易明細!$B$2:$B$711,$A60,交易明細!$J$2:$J$711,"&lt;&gt;未平倉"),0)</f>
        <v/>
      </c>
      <c r="J60" s="4">
        <f>SUMIFS(交易明細!$L$2:$L$711,交易明細!$B$2:$B$711,$A60,交易明細!$J$2:$J$711,"&lt;&gt;未平倉")</f>
        <v/>
      </c>
      <c r="K60" s="5">
        <f>IFERROR(AVERAGEIFS(交易明細!$K$2:$K$711,交易明細!$B$2:$B$711,$A60,交易明細!$J$2:$J$711,"&lt;&gt;未平倉"),0)</f>
        <v/>
      </c>
      <c r="L60" s="2">
        <f>COUNTIFS(交易明細!$B$2:$B$711,$A60,交易明細!$J$2:$J$711,"未平倉")</f>
        <v/>
      </c>
    </row>
    <row r="61">
      <c r="A61" s="2" t="inlineStr">
        <is>
          <t>SKYAI_USDT_PERP</t>
        </is>
      </c>
      <c r="B61" s="2">
        <f>COUNTIFS(交易明細!$B$2:$B$711,$A61)</f>
        <v/>
      </c>
      <c r="C61" s="2">
        <f>COUNTIFS(交易明細!$B$2:$B$711,$A61,交易明細!$C$2:$C$711,"做多")</f>
        <v/>
      </c>
      <c r="D61" s="2">
        <f>COUNTIFS(交易明細!$B$2:$B$711,$A61,交易明細!$C$2:$C$711,"做空")</f>
        <v/>
      </c>
      <c r="E61" s="2">
        <f>F61+G61+COUNTIFS(交易明細!$B$2:$B$711,$A61,交易明細!$J$2:$J$711,"時間出場")</f>
        <v/>
      </c>
      <c r="F61" s="2">
        <f>COUNTIFS(交易明細!$B$2:$B$711,$A61,交易明細!$J$2:$J$711,"止盈")</f>
        <v/>
      </c>
      <c r="G61" s="2">
        <f>COUNTIFS(交易明細!$B$2:$B$711,$A61,交易明細!$J$2:$J$711,"止損")</f>
        <v/>
      </c>
      <c r="H61" s="4">
        <f>IFERROR(F61/E61,0)</f>
        <v/>
      </c>
      <c r="I61" s="4">
        <f>IFERROR(AVERAGEIFS(交易明細!$L$2:$L$711,交易明細!$B$2:$B$711,$A61,交易明細!$J$2:$J$711,"&lt;&gt;未平倉"),0)</f>
        <v/>
      </c>
      <c r="J61" s="4">
        <f>SUMIFS(交易明細!$L$2:$L$711,交易明細!$B$2:$B$711,$A61,交易明細!$J$2:$J$711,"&lt;&gt;未平倉")</f>
        <v/>
      </c>
      <c r="K61" s="5">
        <f>IFERROR(AVERAGEIFS(交易明細!$K$2:$K$711,交易明細!$B$2:$B$711,$A61,交易明細!$J$2:$J$711,"&lt;&gt;未平倉"),0)</f>
        <v/>
      </c>
      <c r="L61" s="2">
        <f>COUNTIFS(交易明細!$B$2:$B$711,$A61,交易明細!$J$2:$J$711,"未平倉")</f>
        <v/>
      </c>
    </row>
    <row r="62">
      <c r="A62" s="2" t="inlineStr">
        <is>
          <t>ACE_USDT_PERP</t>
        </is>
      </c>
      <c r="B62" s="2">
        <f>COUNTIFS(交易明細!$B$2:$B$711,$A62)</f>
        <v/>
      </c>
      <c r="C62" s="2">
        <f>COUNTIFS(交易明細!$B$2:$B$711,$A62,交易明細!$C$2:$C$711,"做多")</f>
        <v/>
      </c>
      <c r="D62" s="2">
        <f>COUNTIFS(交易明細!$B$2:$B$711,$A62,交易明細!$C$2:$C$711,"做空")</f>
        <v/>
      </c>
      <c r="E62" s="2">
        <f>F62+G62+COUNTIFS(交易明細!$B$2:$B$711,$A62,交易明細!$J$2:$J$711,"時間出場")</f>
        <v/>
      </c>
      <c r="F62" s="2">
        <f>COUNTIFS(交易明細!$B$2:$B$711,$A62,交易明細!$J$2:$J$711,"止盈")</f>
        <v/>
      </c>
      <c r="G62" s="2">
        <f>COUNTIFS(交易明細!$B$2:$B$711,$A62,交易明細!$J$2:$J$711,"止損")</f>
        <v/>
      </c>
      <c r="H62" s="4">
        <f>IFERROR(F62/E62,0)</f>
        <v/>
      </c>
      <c r="I62" s="4">
        <f>IFERROR(AVERAGEIFS(交易明細!$L$2:$L$711,交易明細!$B$2:$B$711,$A62,交易明細!$J$2:$J$711,"&lt;&gt;未平倉"),0)</f>
        <v/>
      </c>
      <c r="J62" s="4">
        <f>SUMIFS(交易明細!$L$2:$L$711,交易明細!$B$2:$B$711,$A62,交易明細!$J$2:$J$711,"&lt;&gt;未平倉")</f>
        <v/>
      </c>
      <c r="K62" s="5">
        <f>IFERROR(AVERAGEIFS(交易明細!$K$2:$K$711,交易明細!$B$2:$B$711,$A62,交易明細!$J$2:$J$711,"&lt;&gt;未平倉"),0)</f>
        <v/>
      </c>
      <c r="L62" s="2">
        <f>COUNTIFS(交易明細!$B$2:$B$711,$A62,交易明細!$J$2:$J$711,"未平倉")</f>
        <v/>
      </c>
    </row>
    <row r="63">
      <c r="A63" s="2" t="inlineStr">
        <is>
          <t>TRUMP_USDT_PERP</t>
        </is>
      </c>
      <c r="B63" s="2">
        <f>COUNTIFS(交易明細!$B$2:$B$711,$A63)</f>
        <v/>
      </c>
      <c r="C63" s="2">
        <f>COUNTIFS(交易明細!$B$2:$B$711,$A63,交易明細!$C$2:$C$711,"做多")</f>
        <v/>
      </c>
      <c r="D63" s="2">
        <f>COUNTIFS(交易明細!$B$2:$B$711,$A63,交易明細!$C$2:$C$711,"做空")</f>
        <v/>
      </c>
      <c r="E63" s="2">
        <f>F63+G63+COUNTIFS(交易明細!$B$2:$B$711,$A63,交易明細!$J$2:$J$711,"時間出場")</f>
        <v/>
      </c>
      <c r="F63" s="2">
        <f>COUNTIFS(交易明細!$B$2:$B$711,$A63,交易明細!$J$2:$J$711,"止盈")</f>
        <v/>
      </c>
      <c r="G63" s="2">
        <f>COUNTIFS(交易明細!$B$2:$B$711,$A63,交易明細!$J$2:$J$711,"止損")</f>
        <v/>
      </c>
      <c r="H63" s="4">
        <f>IFERROR(F63/E63,0)</f>
        <v/>
      </c>
      <c r="I63" s="4">
        <f>IFERROR(AVERAGEIFS(交易明細!$L$2:$L$711,交易明細!$B$2:$B$711,$A63,交易明細!$J$2:$J$711,"&lt;&gt;未平倉"),0)</f>
        <v/>
      </c>
      <c r="J63" s="4">
        <f>SUMIFS(交易明細!$L$2:$L$711,交易明細!$B$2:$B$711,$A63,交易明細!$J$2:$J$711,"&lt;&gt;未平倉")</f>
        <v/>
      </c>
      <c r="K63" s="5">
        <f>IFERROR(AVERAGEIFS(交易明細!$K$2:$K$711,交易明細!$B$2:$B$711,$A63,交易明細!$J$2:$J$711,"&lt;&gt;未平倉"),0)</f>
        <v/>
      </c>
      <c r="L63" s="2">
        <f>COUNTIFS(交易明細!$B$2:$B$711,$A63,交易明細!$J$2:$J$711,"未平倉")</f>
        <v/>
      </c>
    </row>
    <row r="64">
      <c r="A64" s="2" t="inlineStr">
        <is>
          <t>EDGE_USDT_PERP</t>
        </is>
      </c>
      <c r="B64" s="2">
        <f>COUNTIFS(交易明細!$B$2:$B$711,$A64)</f>
        <v/>
      </c>
      <c r="C64" s="2">
        <f>COUNTIFS(交易明細!$B$2:$B$711,$A64,交易明細!$C$2:$C$711,"做多")</f>
        <v/>
      </c>
      <c r="D64" s="2">
        <f>COUNTIFS(交易明細!$B$2:$B$711,$A64,交易明細!$C$2:$C$711,"做空")</f>
        <v/>
      </c>
      <c r="E64" s="2">
        <f>F64+G64+COUNTIFS(交易明細!$B$2:$B$711,$A64,交易明細!$J$2:$J$711,"時間出場")</f>
        <v/>
      </c>
      <c r="F64" s="2">
        <f>COUNTIFS(交易明細!$B$2:$B$711,$A64,交易明細!$J$2:$J$711,"止盈")</f>
        <v/>
      </c>
      <c r="G64" s="2">
        <f>COUNTIFS(交易明細!$B$2:$B$711,$A64,交易明細!$J$2:$J$711,"止損")</f>
        <v/>
      </c>
      <c r="H64" s="4">
        <f>IFERROR(F64/E64,0)</f>
        <v/>
      </c>
      <c r="I64" s="4">
        <f>IFERROR(AVERAGEIFS(交易明細!$L$2:$L$711,交易明細!$B$2:$B$711,$A64,交易明細!$J$2:$J$711,"&lt;&gt;未平倉"),0)</f>
        <v/>
      </c>
      <c r="J64" s="4">
        <f>SUMIFS(交易明細!$L$2:$L$711,交易明細!$B$2:$B$711,$A64,交易明細!$J$2:$J$711,"&lt;&gt;未平倉")</f>
        <v/>
      </c>
      <c r="K64" s="5">
        <f>IFERROR(AVERAGEIFS(交易明細!$K$2:$K$711,交易明細!$B$2:$B$711,$A64,交易明細!$J$2:$J$711,"&lt;&gt;未平倉"),0)</f>
        <v/>
      </c>
      <c r="L64" s="2">
        <f>COUNTIFS(交易明細!$B$2:$B$711,$A64,交易明細!$J$2:$J$711,"未平倉")</f>
        <v/>
      </c>
    </row>
    <row r="65">
      <c r="A65" s="2" t="inlineStr">
        <is>
          <t>4_USDT_PERP</t>
        </is>
      </c>
      <c r="B65" s="2">
        <f>COUNTIFS(交易明細!$B$2:$B$711,$A65)</f>
        <v/>
      </c>
      <c r="C65" s="2">
        <f>COUNTIFS(交易明細!$B$2:$B$711,$A65,交易明細!$C$2:$C$711,"做多")</f>
        <v/>
      </c>
      <c r="D65" s="2">
        <f>COUNTIFS(交易明細!$B$2:$B$711,$A65,交易明細!$C$2:$C$711,"做空")</f>
        <v/>
      </c>
      <c r="E65" s="2">
        <f>F65+G65+COUNTIFS(交易明細!$B$2:$B$711,$A65,交易明細!$J$2:$J$711,"時間出場")</f>
        <v/>
      </c>
      <c r="F65" s="2">
        <f>COUNTIFS(交易明細!$B$2:$B$711,$A65,交易明細!$J$2:$J$711,"止盈")</f>
        <v/>
      </c>
      <c r="G65" s="2">
        <f>COUNTIFS(交易明細!$B$2:$B$711,$A65,交易明細!$J$2:$J$711,"止損")</f>
        <v/>
      </c>
      <c r="H65" s="4">
        <f>IFERROR(F65/E65,0)</f>
        <v/>
      </c>
      <c r="I65" s="4">
        <f>IFERROR(AVERAGEIFS(交易明細!$L$2:$L$711,交易明細!$B$2:$B$711,$A65,交易明細!$J$2:$J$711,"&lt;&gt;未平倉"),0)</f>
        <v/>
      </c>
      <c r="J65" s="4">
        <f>SUMIFS(交易明細!$L$2:$L$711,交易明細!$B$2:$B$711,$A65,交易明細!$J$2:$J$711,"&lt;&gt;未平倉")</f>
        <v/>
      </c>
      <c r="K65" s="5">
        <f>IFERROR(AVERAGEIFS(交易明細!$K$2:$K$711,交易明細!$B$2:$B$711,$A65,交易明細!$J$2:$J$711,"&lt;&gt;未平倉"),0)</f>
        <v/>
      </c>
      <c r="L65" s="2">
        <f>COUNTIFS(交易明細!$B$2:$B$711,$A65,交易明細!$J$2:$J$711,"未平倉")</f>
        <v/>
      </c>
    </row>
    <row r="66">
      <c r="A66" s="2" t="inlineStr">
        <is>
          <t>ZEN_USDT_PERP</t>
        </is>
      </c>
      <c r="B66" s="2">
        <f>COUNTIFS(交易明細!$B$2:$B$711,$A66)</f>
        <v/>
      </c>
      <c r="C66" s="2">
        <f>COUNTIFS(交易明細!$B$2:$B$711,$A66,交易明細!$C$2:$C$711,"做多")</f>
        <v/>
      </c>
      <c r="D66" s="2">
        <f>COUNTIFS(交易明細!$B$2:$B$711,$A66,交易明細!$C$2:$C$711,"做空")</f>
        <v/>
      </c>
      <c r="E66" s="2">
        <f>F66+G66+COUNTIFS(交易明細!$B$2:$B$711,$A66,交易明細!$J$2:$J$711,"時間出場")</f>
        <v/>
      </c>
      <c r="F66" s="2">
        <f>COUNTIFS(交易明細!$B$2:$B$711,$A66,交易明細!$J$2:$J$711,"止盈")</f>
        <v/>
      </c>
      <c r="G66" s="2">
        <f>COUNTIFS(交易明細!$B$2:$B$711,$A66,交易明細!$J$2:$J$711,"止損")</f>
        <v/>
      </c>
      <c r="H66" s="4">
        <f>IFERROR(F66/E66,0)</f>
        <v/>
      </c>
      <c r="I66" s="4">
        <f>IFERROR(AVERAGEIFS(交易明細!$L$2:$L$711,交易明細!$B$2:$B$711,$A66,交易明細!$J$2:$J$711,"&lt;&gt;未平倉"),0)</f>
        <v/>
      </c>
      <c r="J66" s="4">
        <f>SUMIFS(交易明細!$L$2:$L$711,交易明細!$B$2:$B$711,$A66,交易明細!$J$2:$J$711,"&lt;&gt;未平倉")</f>
        <v/>
      </c>
      <c r="K66" s="5">
        <f>IFERROR(AVERAGEIFS(交易明細!$K$2:$K$711,交易明細!$B$2:$B$711,$A66,交易明細!$J$2:$J$711,"&lt;&gt;未平倉"),0)</f>
        <v/>
      </c>
      <c r="L66" s="2">
        <f>COUNTIFS(交易明細!$B$2:$B$711,$A66,交易明細!$J$2:$J$711,"未平倉")</f>
        <v/>
      </c>
    </row>
    <row r="67">
      <c r="A67" s="2" t="inlineStr">
        <is>
          <t>KAS_USDT_PERP</t>
        </is>
      </c>
      <c r="B67" s="2">
        <f>COUNTIFS(交易明細!$B$2:$B$711,$A67)</f>
        <v/>
      </c>
      <c r="C67" s="2">
        <f>COUNTIFS(交易明細!$B$2:$B$711,$A67,交易明細!$C$2:$C$711,"做多")</f>
        <v/>
      </c>
      <c r="D67" s="2">
        <f>COUNTIFS(交易明細!$B$2:$B$711,$A67,交易明細!$C$2:$C$711,"做空")</f>
        <v/>
      </c>
      <c r="E67" s="2">
        <f>F67+G67+COUNTIFS(交易明細!$B$2:$B$711,$A67,交易明細!$J$2:$J$711,"時間出場")</f>
        <v/>
      </c>
      <c r="F67" s="2">
        <f>COUNTIFS(交易明細!$B$2:$B$711,$A67,交易明細!$J$2:$J$711,"止盈")</f>
        <v/>
      </c>
      <c r="G67" s="2">
        <f>COUNTIFS(交易明細!$B$2:$B$711,$A67,交易明細!$J$2:$J$711,"止損")</f>
        <v/>
      </c>
      <c r="H67" s="4">
        <f>IFERROR(F67/E67,0)</f>
        <v/>
      </c>
      <c r="I67" s="4">
        <f>IFERROR(AVERAGEIFS(交易明細!$L$2:$L$711,交易明細!$B$2:$B$711,$A67,交易明細!$J$2:$J$711,"&lt;&gt;未平倉"),0)</f>
        <v/>
      </c>
      <c r="J67" s="4">
        <f>SUMIFS(交易明細!$L$2:$L$711,交易明細!$B$2:$B$711,$A67,交易明細!$J$2:$J$711,"&lt;&gt;未平倉")</f>
        <v/>
      </c>
      <c r="K67" s="5">
        <f>IFERROR(AVERAGEIFS(交易明細!$K$2:$K$711,交易明細!$B$2:$B$711,$A67,交易明細!$J$2:$J$711,"&lt;&gt;未平倉"),0)</f>
        <v/>
      </c>
      <c r="L67" s="2">
        <f>COUNTIFS(交易明細!$B$2:$B$711,$A67,交易明細!$J$2:$J$711,"未平倉")</f>
        <v/>
      </c>
    </row>
    <row r="68">
      <c r="A68" s="2" t="inlineStr">
        <is>
          <t>RIVER_USDT_PERP</t>
        </is>
      </c>
      <c r="B68" s="2">
        <f>COUNTIFS(交易明細!$B$2:$B$711,$A68)</f>
        <v/>
      </c>
      <c r="C68" s="2">
        <f>COUNTIFS(交易明細!$B$2:$B$711,$A68,交易明細!$C$2:$C$711,"做多")</f>
        <v/>
      </c>
      <c r="D68" s="2">
        <f>COUNTIFS(交易明細!$B$2:$B$711,$A68,交易明細!$C$2:$C$711,"做空")</f>
        <v/>
      </c>
      <c r="E68" s="2">
        <f>F68+G68+COUNTIFS(交易明細!$B$2:$B$711,$A68,交易明細!$J$2:$J$711,"時間出場")</f>
        <v/>
      </c>
      <c r="F68" s="2">
        <f>COUNTIFS(交易明細!$B$2:$B$711,$A68,交易明細!$J$2:$J$711,"止盈")</f>
        <v/>
      </c>
      <c r="G68" s="2">
        <f>COUNTIFS(交易明細!$B$2:$B$711,$A68,交易明細!$J$2:$J$711,"止損")</f>
        <v/>
      </c>
      <c r="H68" s="4">
        <f>IFERROR(F68/E68,0)</f>
        <v/>
      </c>
      <c r="I68" s="4">
        <f>IFERROR(AVERAGEIFS(交易明細!$L$2:$L$711,交易明細!$B$2:$B$711,$A68,交易明細!$J$2:$J$711,"&lt;&gt;未平倉"),0)</f>
        <v/>
      </c>
      <c r="J68" s="4">
        <f>SUMIFS(交易明細!$L$2:$L$711,交易明細!$B$2:$B$711,$A68,交易明細!$J$2:$J$711,"&lt;&gt;未平倉")</f>
        <v/>
      </c>
      <c r="K68" s="5">
        <f>IFERROR(AVERAGEIFS(交易明細!$K$2:$K$711,交易明細!$B$2:$B$711,$A68,交易明細!$J$2:$J$711,"&lt;&gt;未平倉"),0)</f>
        <v/>
      </c>
      <c r="L68" s="2">
        <f>COUNTIFS(交易明細!$B$2:$B$711,$A68,交易明細!$J$2:$J$711,"未平倉")</f>
        <v/>
      </c>
    </row>
    <row r="69">
      <c r="A69" s="2" t="inlineStr">
        <is>
          <t>POWER_USDT_PERP</t>
        </is>
      </c>
      <c r="B69" s="2">
        <f>COUNTIFS(交易明細!$B$2:$B$711,$A69)</f>
        <v/>
      </c>
      <c r="C69" s="2">
        <f>COUNTIFS(交易明細!$B$2:$B$711,$A69,交易明細!$C$2:$C$711,"做多")</f>
        <v/>
      </c>
      <c r="D69" s="2">
        <f>COUNTIFS(交易明細!$B$2:$B$711,$A69,交易明細!$C$2:$C$711,"做空")</f>
        <v/>
      </c>
      <c r="E69" s="2">
        <f>F69+G69+COUNTIFS(交易明細!$B$2:$B$711,$A69,交易明細!$J$2:$J$711,"時間出場")</f>
        <v/>
      </c>
      <c r="F69" s="2">
        <f>COUNTIFS(交易明細!$B$2:$B$711,$A69,交易明細!$J$2:$J$711,"止盈")</f>
        <v/>
      </c>
      <c r="G69" s="2">
        <f>COUNTIFS(交易明細!$B$2:$B$711,$A69,交易明細!$J$2:$J$711,"止損")</f>
        <v/>
      </c>
      <c r="H69" s="4">
        <f>IFERROR(F69/E69,0)</f>
        <v/>
      </c>
      <c r="I69" s="4">
        <f>IFERROR(AVERAGEIFS(交易明細!$L$2:$L$711,交易明細!$B$2:$B$711,$A69,交易明細!$J$2:$J$711,"&lt;&gt;未平倉"),0)</f>
        <v/>
      </c>
      <c r="J69" s="4">
        <f>SUMIFS(交易明細!$L$2:$L$711,交易明細!$B$2:$B$711,$A69,交易明細!$J$2:$J$711,"&lt;&gt;未平倉")</f>
        <v/>
      </c>
      <c r="K69" s="5">
        <f>IFERROR(AVERAGEIFS(交易明細!$K$2:$K$711,交易明細!$B$2:$B$711,$A69,交易明細!$J$2:$J$711,"&lt;&gt;未平倉"),0)</f>
        <v/>
      </c>
      <c r="L69" s="2">
        <f>COUNTIFS(交易明細!$B$2:$B$711,$A69,交易明細!$J$2:$J$711,"未平倉")</f>
        <v/>
      </c>
    </row>
    <row r="70">
      <c r="A70" s="2" t="inlineStr">
        <is>
          <t>PIEVERSE_USDT_PERP</t>
        </is>
      </c>
      <c r="B70" s="2">
        <f>COUNTIFS(交易明細!$B$2:$B$711,$A70)</f>
        <v/>
      </c>
      <c r="C70" s="2">
        <f>COUNTIFS(交易明細!$B$2:$B$711,$A70,交易明細!$C$2:$C$711,"做多")</f>
        <v/>
      </c>
      <c r="D70" s="2">
        <f>COUNTIFS(交易明細!$B$2:$B$711,$A70,交易明細!$C$2:$C$711,"做空")</f>
        <v/>
      </c>
      <c r="E70" s="2">
        <f>F70+G70+COUNTIFS(交易明細!$B$2:$B$711,$A70,交易明細!$J$2:$J$711,"時間出場")</f>
        <v/>
      </c>
      <c r="F70" s="2">
        <f>COUNTIFS(交易明細!$B$2:$B$711,$A70,交易明細!$J$2:$J$711,"止盈")</f>
        <v/>
      </c>
      <c r="G70" s="2">
        <f>COUNTIFS(交易明細!$B$2:$B$711,$A70,交易明細!$J$2:$J$711,"止損")</f>
        <v/>
      </c>
      <c r="H70" s="4">
        <f>IFERROR(F70/E70,0)</f>
        <v/>
      </c>
      <c r="I70" s="4">
        <f>IFERROR(AVERAGEIFS(交易明細!$L$2:$L$711,交易明細!$B$2:$B$711,$A70,交易明細!$J$2:$J$711,"&lt;&gt;未平倉"),0)</f>
        <v/>
      </c>
      <c r="J70" s="4">
        <f>SUMIFS(交易明細!$L$2:$L$711,交易明細!$B$2:$B$711,$A70,交易明細!$J$2:$J$711,"&lt;&gt;未平倉")</f>
        <v/>
      </c>
      <c r="K70" s="5">
        <f>IFERROR(AVERAGEIFS(交易明細!$K$2:$K$711,交易明細!$B$2:$B$711,$A70,交易明細!$J$2:$J$711,"&lt;&gt;未平倉"),0)</f>
        <v/>
      </c>
      <c r="L70" s="2">
        <f>COUNTIFS(交易明細!$B$2:$B$711,$A70,交易明細!$J$2:$J$711,"未平倉")</f>
        <v/>
      </c>
    </row>
    <row r="71">
      <c r="A71" s="2" t="inlineStr">
        <is>
          <t>AR_USDT_PERP</t>
        </is>
      </c>
      <c r="B71" s="2">
        <f>COUNTIFS(交易明細!$B$2:$B$711,$A71)</f>
        <v/>
      </c>
      <c r="C71" s="2">
        <f>COUNTIFS(交易明細!$B$2:$B$711,$A71,交易明細!$C$2:$C$711,"做多")</f>
        <v/>
      </c>
      <c r="D71" s="2">
        <f>COUNTIFS(交易明細!$B$2:$B$711,$A71,交易明細!$C$2:$C$711,"做空")</f>
        <v/>
      </c>
      <c r="E71" s="2">
        <f>F71+G71+COUNTIFS(交易明細!$B$2:$B$711,$A71,交易明細!$J$2:$J$711,"時間出場")</f>
        <v/>
      </c>
      <c r="F71" s="2">
        <f>COUNTIFS(交易明細!$B$2:$B$711,$A71,交易明細!$J$2:$J$711,"止盈")</f>
        <v/>
      </c>
      <c r="G71" s="2">
        <f>COUNTIFS(交易明細!$B$2:$B$711,$A71,交易明細!$J$2:$J$711,"止損")</f>
        <v/>
      </c>
      <c r="H71" s="4">
        <f>IFERROR(F71/E71,0)</f>
        <v/>
      </c>
      <c r="I71" s="4">
        <f>IFERROR(AVERAGEIFS(交易明細!$L$2:$L$711,交易明細!$B$2:$B$711,$A71,交易明細!$J$2:$J$711,"&lt;&gt;未平倉"),0)</f>
        <v/>
      </c>
      <c r="J71" s="4">
        <f>SUMIFS(交易明細!$L$2:$L$711,交易明細!$B$2:$B$711,$A71,交易明細!$J$2:$J$711,"&lt;&gt;未平倉")</f>
        <v/>
      </c>
      <c r="K71" s="5">
        <f>IFERROR(AVERAGEIFS(交易明細!$K$2:$K$711,交易明細!$B$2:$B$711,$A71,交易明細!$J$2:$J$711,"&lt;&gt;未平倉"),0)</f>
        <v/>
      </c>
      <c r="L71" s="2">
        <f>COUNTIFS(交易明細!$B$2:$B$711,$A71,交易明細!$J$2:$J$711,"未平倉")</f>
        <v/>
      </c>
    </row>
    <row r="72">
      <c r="A72" s="2" t="inlineStr">
        <is>
          <t>ZETA_USDT_PERP</t>
        </is>
      </c>
      <c r="B72" s="2">
        <f>COUNTIFS(交易明細!$B$2:$B$711,$A72)</f>
        <v/>
      </c>
      <c r="C72" s="2">
        <f>COUNTIFS(交易明細!$B$2:$B$711,$A72,交易明細!$C$2:$C$711,"做多")</f>
        <v/>
      </c>
      <c r="D72" s="2">
        <f>COUNTIFS(交易明細!$B$2:$B$711,$A72,交易明細!$C$2:$C$711,"做空")</f>
        <v/>
      </c>
      <c r="E72" s="2">
        <f>F72+G72+COUNTIFS(交易明細!$B$2:$B$711,$A72,交易明細!$J$2:$J$711,"時間出場")</f>
        <v/>
      </c>
      <c r="F72" s="2">
        <f>COUNTIFS(交易明細!$B$2:$B$711,$A72,交易明細!$J$2:$J$711,"止盈")</f>
        <v/>
      </c>
      <c r="G72" s="2">
        <f>COUNTIFS(交易明細!$B$2:$B$711,$A72,交易明細!$J$2:$J$711,"止損")</f>
        <v/>
      </c>
      <c r="H72" s="4">
        <f>IFERROR(F72/E72,0)</f>
        <v/>
      </c>
      <c r="I72" s="4">
        <f>IFERROR(AVERAGEIFS(交易明細!$L$2:$L$711,交易明細!$B$2:$B$711,$A72,交易明細!$J$2:$J$711,"&lt;&gt;未平倉"),0)</f>
        <v/>
      </c>
      <c r="J72" s="4">
        <f>SUMIFS(交易明細!$L$2:$L$711,交易明細!$B$2:$B$711,$A72,交易明細!$J$2:$J$711,"&lt;&gt;未平倉")</f>
        <v/>
      </c>
      <c r="K72" s="5">
        <f>IFERROR(AVERAGEIFS(交易明細!$K$2:$K$711,交易明細!$B$2:$B$711,$A72,交易明細!$J$2:$J$711,"&lt;&gt;未平倉"),0)</f>
        <v/>
      </c>
      <c r="L72" s="2">
        <f>COUNTIFS(交易明細!$B$2:$B$711,$A72,交易明細!$J$2:$J$711,"未平倉")</f>
        <v/>
      </c>
    </row>
    <row r="73">
      <c r="A73" s="2" t="inlineStr">
        <is>
          <t>WIF_USDT_PERP</t>
        </is>
      </c>
      <c r="B73" s="2">
        <f>COUNTIFS(交易明細!$B$2:$B$711,$A73)</f>
        <v/>
      </c>
      <c r="C73" s="2">
        <f>COUNTIFS(交易明細!$B$2:$B$711,$A73,交易明細!$C$2:$C$711,"做多")</f>
        <v/>
      </c>
      <c r="D73" s="2">
        <f>COUNTIFS(交易明細!$B$2:$B$711,$A73,交易明細!$C$2:$C$711,"做空")</f>
        <v/>
      </c>
      <c r="E73" s="2">
        <f>F73+G73+COUNTIFS(交易明細!$B$2:$B$711,$A73,交易明細!$J$2:$J$711,"時間出場")</f>
        <v/>
      </c>
      <c r="F73" s="2">
        <f>COUNTIFS(交易明細!$B$2:$B$711,$A73,交易明細!$J$2:$J$711,"止盈")</f>
        <v/>
      </c>
      <c r="G73" s="2">
        <f>COUNTIFS(交易明細!$B$2:$B$711,$A73,交易明細!$J$2:$J$711,"止損")</f>
        <v/>
      </c>
      <c r="H73" s="4">
        <f>IFERROR(F73/E73,0)</f>
        <v/>
      </c>
      <c r="I73" s="4">
        <f>IFERROR(AVERAGEIFS(交易明細!$L$2:$L$711,交易明細!$B$2:$B$711,$A73,交易明細!$J$2:$J$711,"&lt;&gt;未平倉"),0)</f>
        <v/>
      </c>
      <c r="J73" s="4">
        <f>SUMIFS(交易明細!$L$2:$L$711,交易明細!$B$2:$B$711,$A73,交易明細!$J$2:$J$711,"&lt;&gt;未平倉")</f>
        <v/>
      </c>
      <c r="K73" s="5">
        <f>IFERROR(AVERAGEIFS(交易明細!$K$2:$K$711,交易明細!$B$2:$B$711,$A73,交易明細!$J$2:$J$711,"&lt;&gt;未平倉"),0)</f>
        <v/>
      </c>
      <c r="L73" s="2">
        <f>COUNTIFS(交易明細!$B$2:$B$711,$A73,交易明細!$J$2:$J$711,"未平倉")</f>
        <v/>
      </c>
    </row>
    <row r="74">
      <c r="A74" s="2" t="inlineStr">
        <is>
          <t>HBAR_USDT_PERP</t>
        </is>
      </c>
      <c r="B74" s="2">
        <f>COUNTIFS(交易明細!$B$2:$B$711,$A74)</f>
        <v/>
      </c>
      <c r="C74" s="2">
        <f>COUNTIFS(交易明細!$B$2:$B$711,$A74,交易明細!$C$2:$C$711,"做多")</f>
        <v/>
      </c>
      <c r="D74" s="2">
        <f>COUNTIFS(交易明細!$B$2:$B$711,$A74,交易明細!$C$2:$C$711,"做空")</f>
        <v/>
      </c>
      <c r="E74" s="2">
        <f>F74+G74+COUNTIFS(交易明細!$B$2:$B$711,$A74,交易明細!$J$2:$J$711,"時間出場")</f>
        <v/>
      </c>
      <c r="F74" s="2">
        <f>COUNTIFS(交易明細!$B$2:$B$711,$A74,交易明細!$J$2:$J$711,"止盈")</f>
        <v/>
      </c>
      <c r="G74" s="2">
        <f>COUNTIFS(交易明細!$B$2:$B$711,$A74,交易明細!$J$2:$J$711,"止損")</f>
        <v/>
      </c>
      <c r="H74" s="4">
        <f>IFERROR(F74/E74,0)</f>
        <v/>
      </c>
      <c r="I74" s="4">
        <f>IFERROR(AVERAGEIFS(交易明細!$L$2:$L$711,交易明細!$B$2:$B$711,$A74,交易明細!$J$2:$J$711,"&lt;&gt;未平倉"),0)</f>
        <v/>
      </c>
      <c r="J74" s="4">
        <f>SUMIFS(交易明細!$L$2:$L$711,交易明細!$B$2:$B$711,$A74,交易明細!$J$2:$J$711,"&lt;&gt;未平倉")</f>
        <v/>
      </c>
      <c r="K74" s="5">
        <f>IFERROR(AVERAGEIFS(交易明細!$K$2:$K$711,交易明細!$B$2:$B$711,$A74,交易明細!$J$2:$J$711,"&lt;&gt;未平倉"),0)</f>
        <v/>
      </c>
      <c r="L74" s="2">
        <f>COUNTIFS(交易明細!$B$2:$B$711,$A74,交易明細!$J$2:$J$711,"未平倉")</f>
        <v/>
      </c>
    </row>
    <row r="75">
      <c r="A75" s="2" t="inlineStr">
        <is>
          <t>BCH_USDT_PERP</t>
        </is>
      </c>
      <c r="B75" s="2">
        <f>COUNTIFS(交易明細!$B$2:$B$711,$A75)</f>
        <v/>
      </c>
      <c r="C75" s="2">
        <f>COUNTIFS(交易明細!$B$2:$B$711,$A75,交易明細!$C$2:$C$711,"做多")</f>
        <v/>
      </c>
      <c r="D75" s="2">
        <f>COUNTIFS(交易明細!$B$2:$B$711,$A75,交易明細!$C$2:$C$711,"做空")</f>
        <v/>
      </c>
      <c r="E75" s="2">
        <f>F75+G75+COUNTIFS(交易明細!$B$2:$B$711,$A75,交易明細!$J$2:$J$711,"時間出場")</f>
        <v/>
      </c>
      <c r="F75" s="2">
        <f>COUNTIFS(交易明細!$B$2:$B$711,$A75,交易明細!$J$2:$J$711,"止盈")</f>
        <v/>
      </c>
      <c r="G75" s="2">
        <f>COUNTIFS(交易明細!$B$2:$B$711,$A75,交易明細!$J$2:$J$711,"止損")</f>
        <v/>
      </c>
      <c r="H75" s="4">
        <f>IFERROR(F75/E75,0)</f>
        <v/>
      </c>
      <c r="I75" s="4">
        <f>IFERROR(AVERAGEIFS(交易明細!$L$2:$L$711,交易明細!$B$2:$B$711,$A75,交易明細!$J$2:$J$711,"&lt;&gt;未平倉"),0)</f>
        <v/>
      </c>
      <c r="J75" s="4">
        <f>SUMIFS(交易明細!$L$2:$L$711,交易明細!$B$2:$B$711,$A75,交易明細!$J$2:$J$711,"&lt;&gt;未平倉")</f>
        <v/>
      </c>
      <c r="K75" s="5">
        <f>IFERROR(AVERAGEIFS(交易明細!$K$2:$K$711,交易明細!$B$2:$B$711,$A75,交易明細!$J$2:$J$711,"&lt;&gt;未平倉"),0)</f>
        <v/>
      </c>
      <c r="L75" s="2">
        <f>COUNTIFS(交易明細!$B$2:$B$711,$A75,交易明細!$J$2:$J$711,"未平倉")</f>
        <v/>
      </c>
    </row>
    <row r="76">
      <c r="A76" s="2" t="inlineStr">
        <is>
          <t>LYN_USDT_PERP</t>
        </is>
      </c>
      <c r="B76" s="2">
        <f>COUNTIFS(交易明細!$B$2:$B$711,$A76)</f>
        <v/>
      </c>
      <c r="C76" s="2">
        <f>COUNTIFS(交易明細!$B$2:$B$711,$A76,交易明細!$C$2:$C$711,"做多")</f>
        <v/>
      </c>
      <c r="D76" s="2">
        <f>COUNTIFS(交易明細!$B$2:$B$711,$A76,交易明細!$C$2:$C$711,"做空")</f>
        <v/>
      </c>
      <c r="E76" s="2">
        <f>F76+G76+COUNTIFS(交易明細!$B$2:$B$711,$A76,交易明細!$J$2:$J$711,"時間出場")</f>
        <v/>
      </c>
      <c r="F76" s="2">
        <f>COUNTIFS(交易明細!$B$2:$B$711,$A76,交易明細!$J$2:$J$711,"止盈")</f>
        <v/>
      </c>
      <c r="G76" s="2">
        <f>COUNTIFS(交易明細!$B$2:$B$711,$A76,交易明細!$J$2:$J$711,"止損")</f>
        <v/>
      </c>
      <c r="H76" s="4">
        <f>IFERROR(F76/E76,0)</f>
        <v/>
      </c>
      <c r="I76" s="4">
        <f>IFERROR(AVERAGEIFS(交易明細!$L$2:$L$711,交易明細!$B$2:$B$711,$A76,交易明細!$J$2:$J$711,"&lt;&gt;未平倉"),0)</f>
        <v/>
      </c>
      <c r="J76" s="4">
        <f>SUMIFS(交易明細!$L$2:$L$711,交易明細!$B$2:$B$711,$A76,交易明細!$J$2:$J$711,"&lt;&gt;未平倉")</f>
        <v/>
      </c>
      <c r="K76" s="5">
        <f>IFERROR(AVERAGEIFS(交易明細!$K$2:$K$711,交易明細!$B$2:$B$711,$A76,交易明細!$J$2:$J$711,"&lt;&gt;未平倉"),0)</f>
        <v/>
      </c>
      <c r="L76" s="2">
        <f>COUNTIFS(交易明細!$B$2:$B$711,$A76,交易明細!$J$2:$J$711,"未平倉")</f>
        <v/>
      </c>
    </row>
    <row r="77">
      <c r="A77" s="2" t="inlineStr">
        <is>
          <t>GRAM_USDT_PERP</t>
        </is>
      </c>
      <c r="B77" s="2">
        <f>COUNTIFS(交易明細!$B$2:$B$711,$A77)</f>
        <v/>
      </c>
      <c r="C77" s="2">
        <f>COUNTIFS(交易明細!$B$2:$B$711,$A77,交易明細!$C$2:$C$711,"做多")</f>
        <v/>
      </c>
      <c r="D77" s="2">
        <f>COUNTIFS(交易明細!$B$2:$B$711,$A77,交易明細!$C$2:$C$711,"做空")</f>
        <v/>
      </c>
      <c r="E77" s="2">
        <f>F77+G77+COUNTIFS(交易明細!$B$2:$B$711,$A77,交易明細!$J$2:$J$711,"時間出場")</f>
        <v/>
      </c>
      <c r="F77" s="2">
        <f>COUNTIFS(交易明細!$B$2:$B$711,$A77,交易明細!$J$2:$J$711,"止盈")</f>
        <v/>
      </c>
      <c r="G77" s="2">
        <f>COUNTIFS(交易明細!$B$2:$B$711,$A77,交易明細!$J$2:$J$711,"止損")</f>
        <v/>
      </c>
      <c r="H77" s="4">
        <f>IFERROR(F77/E77,0)</f>
        <v/>
      </c>
      <c r="I77" s="4">
        <f>IFERROR(AVERAGEIFS(交易明細!$L$2:$L$711,交易明細!$B$2:$B$711,$A77,交易明細!$J$2:$J$711,"&lt;&gt;未平倉"),0)</f>
        <v/>
      </c>
      <c r="J77" s="4">
        <f>SUMIFS(交易明細!$L$2:$L$711,交易明細!$B$2:$B$711,$A77,交易明細!$J$2:$J$711,"&lt;&gt;未平倉")</f>
        <v/>
      </c>
      <c r="K77" s="5">
        <f>IFERROR(AVERAGEIFS(交易明細!$K$2:$K$711,交易明細!$B$2:$B$711,$A77,交易明細!$J$2:$J$711,"&lt;&gt;未平倉"),0)</f>
        <v/>
      </c>
      <c r="L77" s="2">
        <f>COUNTIFS(交易明細!$B$2:$B$711,$A77,交易明細!$J$2:$J$711,"未平倉")</f>
        <v/>
      </c>
    </row>
    <row r="78">
      <c r="A78" s="2" t="inlineStr">
        <is>
          <t>ALGO_USDT_PERP</t>
        </is>
      </c>
      <c r="B78" s="2">
        <f>COUNTIFS(交易明細!$B$2:$B$711,$A78)</f>
        <v/>
      </c>
      <c r="C78" s="2">
        <f>COUNTIFS(交易明細!$B$2:$B$711,$A78,交易明細!$C$2:$C$711,"做多")</f>
        <v/>
      </c>
      <c r="D78" s="2">
        <f>COUNTIFS(交易明細!$B$2:$B$711,$A78,交易明細!$C$2:$C$711,"做空")</f>
        <v/>
      </c>
      <c r="E78" s="2">
        <f>F78+G78+COUNTIFS(交易明細!$B$2:$B$711,$A78,交易明細!$J$2:$J$711,"時間出場")</f>
        <v/>
      </c>
      <c r="F78" s="2">
        <f>COUNTIFS(交易明細!$B$2:$B$711,$A78,交易明細!$J$2:$J$711,"止盈")</f>
        <v/>
      </c>
      <c r="G78" s="2">
        <f>COUNTIFS(交易明細!$B$2:$B$711,$A78,交易明細!$J$2:$J$711,"止損")</f>
        <v/>
      </c>
      <c r="H78" s="4">
        <f>IFERROR(F78/E78,0)</f>
        <v/>
      </c>
      <c r="I78" s="4">
        <f>IFERROR(AVERAGEIFS(交易明細!$L$2:$L$711,交易明細!$B$2:$B$711,$A78,交易明細!$J$2:$J$711,"&lt;&gt;未平倉"),0)</f>
        <v/>
      </c>
      <c r="J78" s="4">
        <f>SUMIFS(交易明細!$L$2:$L$711,交易明細!$B$2:$B$711,$A78,交易明細!$J$2:$J$711,"&lt;&gt;未平倉")</f>
        <v/>
      </c>
      <c r="K78" s="5">
        <f>IFERROR(AVERAGEIFS(交易明細!$K$2:$K$711,交易明細!$B$2:$B$711,$A78,交易明細!$J$2:$J$711,"&lt;&gt;未平倉"),0)</f>
        <v/>
      </c>
      <c r="L78" s="2">
        <f>COUNTIFS(交易明細!$B$2:$B$711,$A78,交易明細!$J$2:$J$711,"未平倉")</f>
        <v/>
      </c>
    </row>
    <row r="79">
      <c r="A79" s="2" t="inlineStr">
        <is>
          <t>0G_USDT_PERP</t>
        </is>
      </c>
      <c r="B79" s="2">
        <f>COUNTIFS(交易明細!$B$2:$B$711,$A79)</f>
        <v/>
      </c>
      <c r="C79" s="2">
        <f>COUNTIFS(交易明細!$B$2:$B$711,$A79,交易明細!$C$2:$C$711,"做多")</f>
        <v/>
      </c>
      <c r="D79" s="2">
        <f>COUNTIFS(交易明細!$B$2:$B$711,$A79,交易明細!$C$2:$C$711,"做空")</f>
        <v/>
      </c>
      <c r="E79" s="2">
        <f>F79+G79+COUNTIFS(交易明細!$B$2:$B$711,$A79,交易明細!$J$2:$J$711,"時間出場")</f>
        <v/>
      </c>
      <c r="F79" s="2">
        <f>COUNTIFS(交易明細!$B$2:$B$711,$A79,交易明細!$J$2:$J$711,"止盈")</f>
        <v/>
      </c>
      <c r="G79" s="2">
        <f>COUNTIFS(交易明細!$B$2:$B$711,$A79,交易明細!$J$2:$J$711,"止損")</f>
        <v/>
      </c>
      <c r="H79" s="4">
        <f>IFERROR(F79/E79,0)</f>
        <v/>
      </c>
      <c r="I79" s="4">
        <f>IFERROR(AVERAGEIFS(交易明細!$L$2:$L$711,交易明細!$B$2:$B$711,$A79,交易明細!$J$2:$J$711,"&lt;&gt;未平倉"),0)</f>
        <v/>
      </c>
      <c r="J79" s="4">
        <f>SUMIFS(交易明細!$L$2:$L$711,交易明細!$B$2:$B$711,$A79,交易明細!$J$2:$J$711,"&lt;&gt;未平倉")</f>
        <v/>
      </c>
      <c r="K79" s="5">
        <f>IFERROR(AVERAGEIFS(交易明細!$K$2:$K$711,交易明細!$B$2:$B$711,$A79,交易明細!$J$2:$J$711,"&lt;&gt;未平倉"),0)</f>
        <v/>
      </c>
      <c r="L79" s="2">
        <f>COUNTIFS(交易明細!$B$2:$B$711,$A79,交易明細!$J$2:$J$711,"未平倉")</f>
        <v/>
      </c>
    </row>
    <row r="80">
      <c r="A80" s="2" t="inlineStr">
        <is>
          <t>MOVR_USDT_PERP</t>
        </is>
      </c>
      <c r="B80" s="2">
        <f>COUNTIFS(交易明細!$B$2:$B$711,$A80)</f>
        <v/>
      </c>
      <c r="C80" s="2">
        <f>COUNTIFS(交易明細!$B$2:$B$711,$A80,交易明細!$C$2:$C$711,"做多")</f>
        <v/>
      </c>
      <c r="D80" s="2">
        <f>COUNTIFS(交易明細!$B$2:$B$711,$A80,交易明細!$C$2:$C$711,"做空")</f>
        <v/>
      </c>
      <c r="E80" s="2">
        <f>F80+G80+COUNTIFS(交易明細!$B$2:$B$711,$A80,交易明細!$J$2:$J$711,"時間出場")</f>
        <v/>
      </c>
      <c r="F80" s="2">
        <f>COUNTIFS(交易明細!$B$2:$B$711,$A80,交易明細!$J$2:$J$711,"止盈")</f>
        <v/>
      </c>
      <c r="G80" s="2">
        <f>COUNTIFS(交易明細!$B$2:$B$711,$A80,交易明細!$J$2:$J$711,"止損")</f>
        <v/>
      </c>
      <c r="H80" s="4">
        <f>IFERROR(F80/E80,0)</f>
        <v/>
      </c>
      <c r="I80" s="4">
        <f>IFERROR(AVERAGEIFS(交易明細!$L$2:$L$711,交易明細!$B$2:$B$711,$A80,交易明細!$J$2:$J$711,"&lt;&gt;未平倉"),0)</f>
        <v/>
      </c>
      <c r="J80" s="4">
        <f>SUMIFS(交易明細!$L$2:$L$711,交易明細!$B$2:$B$711,$A80,交易明細!$J$2:$J$711,"&lt;&gt;未平倉")</f>
        <v/>
      </c>
      <c r="K80" s="5">
        <f>IFERROR(AVERAGEIFS(交易明細!$K$2:$K$711,交易明細!$B$2:$B$711,$A80,交易明細!$J$2:$J$711,"&lt;&gt;未平倉"),0)</f>
        <v/>
      </c>
      <c r="L80" s="2">
        <f>COUNTIFS(交易明細!$B$2:$B$711,$A80,交易明細!$J$2:$J$711,"未平倉")</f>
        <v/>
      </c>
    </row>
    <row r="81">
      <c r="A81" s="2" t="inlineStr">
        <is>
          <t>MAGMA_USDT_PERP</t>
        </is>
      </c>
      <c r="B81" s="2">
        <f>COUNTIFS(交易明細!$B$2:$B$711,$A81)</f>
        <v/>
      </c>
      <c r="C81" s="2">
        <f>COUNTIFS(交易明細!$B$2:$B$711,$A81,交易明細!$C$2:$C$711,"做多")</f>
        <v/>
      </c>
      <c r="D81" s="2">
        <f>COUNTIFS(交易明細!$B$2:$B$711,$A81,交易明細!$C$2:$C$711,"做空")</f>
        <v/>
      </c>
      <c r="E81" s="2">
        <f>F81+G81+COUNTIFS(交易明細!$B$2:$B$711,$A81,交易明細!$J$2:$J$711,"時間出場")</f>
        <v/>
      </c>
      <c r="F81" s="2">
        <f>COUNTIFS(交易明細!$B$2:$B$711,$A81,交易明細!$J$2:$J$711,"止盈")</f>
        <v/>
      </c>
      <c r="G81" s="2">
        <f>COUNTIFS(交易明細!$B$2:$B$711,$A81,交易明細!$J$2:$J$711,"止損")</f>
        <v/>
      </c>
      <c r="H81" s="4">
        <f>IFERROR(F81/E81,0)</f>
        <v/>
      </c>
      <c r="I81" s="4">
        <f>IFERROR(AVERAGEIFS(交易明細!$L$2:$L$711,交易明細!$B$2:$B$711,$A81,交易明細!$J$2:$J$711,"&lt;&gt;未平倉"),0)</f>
        <v/>
      </c>
      <c r="J81" s="4">
        <f>SUMIFS(交易明細!$L$2:$L$711,交易明細!$B$2:$B$711,$A81,交易明細!$J$2:$J$711,"&lt;&gt;未平倉")</f>
        <v/>
      </c>
      <c r="K81" s="5">
        <f>IFERROR(AVERAGEIFS(交易明細!$K$2:$K$711,交易明細!$B$2:$B$711,$A81,交易明細!$J$2:$J$711,"&lt;&gt;未平倉"),0)</f>
        <v/>
      </c>
      <c r="L81" s="2">
        <f>COUNTIFS(交易明細!$B$2:$B$711,$A81,交易明細!$J$2:$J$711,"未平倉")</f>
        <v/>
      </c>
    </row>
    <row r="82">
      <c r="A82" s="2" t="inlineStr">
        <is>
          <t>CHIP_USDT_PERP</t>
        </is>
      </c>
      <c r="B82" s="2">
        <f>COUNTIFS(交易明細!$B$2:$B$711,$A82)</f>
        <v/>
      </c>
      <c r="C82" s="2">
        <f>COUNTIFS(交易明細!$B$2:$B$711,$A82,交易明細!$C$2:$C$711,"做多")</f>
        <v/>
      </c>
      <c r="D82" s="2">
        <f>COUNTIFS(交易明細!$B$2:$B$711,$A82,交易明細!$C$2:$C$711,"做空")</f>
        <v/>
      </c>
      <c r="E82" s="2">
        <f>F82+G82+COUNTIFS(交易明細!$B$2:$B$711,$A82,交易明細!$J$2:$J$711,"時間出場")</f>
        <v/>
      </c>
      <c r="F82" s="2">
        <f>COUNTIFS(交易明細!$B$2:$B$711,$A82,交易明細!$J$2:$J$711,"止盈")</f>
        <v/>
      </c>
      <c r="G82" s="2">
        <f>COUNTIFS(交易明細!$B$2:$B$711,$A82,交易明細!$J$2:$J$711,"止損")</f>
        <v/>
      </c>
      <c r="H82" s="4">
        <f>IFERROR(F82/E82,0)</f>
        <v/>
      </c>
      <c r="I82" s="4">
        <f>IFERROR(AVERAGEIFS(交易明細!$L$2:$L$711,交易明細!$B$2:$B$711,$A82,交易明細!$J$2:$J$711,"&lt;&gt;未平倉"),0)</f>
        <v/>
      </c>
      <c r="J82" s="4">
        <f>SUMIFS(交易明細!$L$2:$L$711,交易明細!$B$2:$B$711,$A82,交易明細!$J$2:$J$711,"&lt;&gt;未平倉")</f>
        <v/>
      </c>
      <c r="K82" s="5">
        <f>IFERROR(AVERAGEIFS(交易明細!$K$2:$K$711,交易明細!$B$2:$B$711,$A82,交易明細!$J$2:$J$711,"&lt;&gt;未平倉"),0)</f>
        <v/>
      </c>
      <c r="L82" s="2">
        <f>COUNTIFS(交易明細!$B$2:$B$711,$A82,交易明細!$J$2:$J$711,"未平倉")</f>
        <v/>
      </c>
    </row>
    <row r="83">
      <c r="A83" s="2" t="inlineStr">
        <is>
          <t>FARTCOIN_USDT_PERP</t>
        </is>
      </c>
      <c r="B83" s="2">
        <f>COUNTIFS(交易明細!$B$2:$B$711,$A83)</f>
        <v/>
      </c>
      <c r="C83" s="2">
        <f>COUNTIFS(交易明細!$B$2:$B$711,$A83,交易明細!$C$2:$C$711,"做多")</f>
        <v/>
      </c>
      <c r="D83" s="2">
        <f>COUNTIFS(交易明細!$B$2:$B$711,$A83,交易明細!$C$2:$C$711,"做空")</f>
        <v/>
      </c>
      <c r="E83" s="2">
        <f>F83+G83+COUNTIFS(交易明細!$B$2:$B$711,$A83,交易明細!$J$2:$J$711,"時間出場")</f>
        <v/>
      </c>
      <c r="F83" s="2">
        <f>COUNTIFS(交易明細!$B$2:$B$711,$A83,交易明細!$J$2:$J$711,"止盈")</f>
        <v/>
      </c>
      <c r="G83" s="2">
        <f>COUNTIFS(交易明細!$B$2:$B$711,$A83,交易明細!$J$2:$J$711,"止損")</f>
        <v/>
      </c>
      <c r="H83" s="4">
        <f>IFERROR(F83/E83,0)</f>
        <v/>
      </c>
      <c r="I83" s="4">
        <f>IFERROR(AVERAGEIFS(交易明細!$L$2:$L$711,交易明細!$B$2:$B$711,$A83,交易明細!$J$2:$J$711,"&lt;&gt;未平倉"),0)</f>
        <v/>
      </c>
      <c r="J83" s="4">
        <f>SUMIFS(交易明細!$L$2:$L$711,交易明細!$B$2:$B$711,$A83,交易明細!$J$2:$J$711,"&lt;&gt;未平倉")</f>
        <v/>
      </c>
      <c r="K83" s="5">
        <f>IFERROR(AVERAGEIFS(交易明細!$K$2:$K$711,交易明細!$B$2:$B$711,$A83,交易明細!$J$2:$J$711,"&lt;&gt;未平倉"),0)</f>
        <v/>
      </c>
      <c r="L83" s="2">
        <f>COUNTIFS(交易明細!$B$2:$B$711,$A83,交易明細!$J$2:$J$711,"未平倉")</f>
        <v/>
      </c>
    </row>
    <row r="84">
      <c r="A84" s="2" t="inlineStr">
        <is>
          <t>TRIA_USDT_PERP</t>
        </is>
      </c>
      <c r="B84" s="2">
        <f>COUNTIFS(交易明細!$B$2:$B$711,$A84)</f>
        <v/>
      </c>
      <c r="C84" s="2">
        <f>COUNTIFS(交易明細!$B$2:$B$711,$A84,交易明細!$C$2:$C$711,"做多")</f>
        <v/>
      </c>
      <c r="D84" s="2">
        <f>COUNTIFS(交易明細!$B$2:$B$711,$A84,交易明細!$C$2:$C$711,"做空")</f>
        <v/>
      </c>
      <c r="E84" s="2">
        <f>F84+G84+COUNTIFS(交易明細!$B$2:$B$711,$A84,交易明細!$J$2:$J$711,"時間出場")</f>
        <v/>
      </c>
      <c r="F84" s="2">
        <f>COUNTIFS(交易明細!$B$2:$B$711,$A84,交易明細!$J$2:$J$711,"止盈")</f>
        <v/>
      </c>
      <c r="G84" s="2">
        <f>COUNTIFS(交易明細!$B$2:$B$711,$A84,交易明細!$J$2:$J$711,"止損")</f>
        <v/>
      </c>
      <c r="H84" s="4">
        <f>IFERROR(F84/E84,0)</f>
        <v/>
      </c>
      <c r="I84" s="4">
        <f>IFERROR(AVERAGEIFS(交易明細!$L$2:$L$711,交易明細!$B$2:$B$711,$A84,交易明細!$J$2:$J$711,"&lt;&gt;未平倉"),0)</f>
        <v/>
      </c>
      <c r="J84" s="4">
        <f>SUMIFS(交易明細!$L$2:$L$711,交易明細!$B$2:$B$711,$A84,交易明細!$J$2:$J$711,"&lt;&gt;未平倉")</f>
        <v/>
      </c>
      <c r="K84" s="5">
        <f>IFERROR(AVERAGEIFS(交易明細!$K$2:$K$711,交易明細!$B$2:$B$711,$A84,交易明細!$J$2:$J$711,"&lt;&gt;未平倉"),0)</f>
        <v/>
      </c>
      <c r="L84" s="2">
        <f>COUNTIFS(交易明細!$B$2:$B$711,$A84,交易明細!$J$2:$J$711,"未平倉")</f>
        <v/>
      </c>
    </row>
    <row r="85">
      <c r="A85" s="2" t="inlineStr">
        <is>
          <t>CASHCAT_USDT_PERP</t>
        </is>
      </c>
      <c r="B85" s="2">
        <f>COUNTIFS(交易明細!$B$2:$B$711,$A85)</f>
        <v/>
      </c>
      <c r="C85" s="2">
        <f>COUNTIFS(交易明細!$B$2:$B$711,$A85,交易明細!$C$2:$C$711,"做多")</f>
        <v/>
      </c>
      <c r="D85" s="2">
        <f>COUNTIFS(交易明細!$B$2:$B$711,$A85,交易明細!$C$2:$C$711,"做空")</f>
        <v/>
      </c>
      <c r="E85" s="2">
        <f>F85+G85+COUNTIFS(交易明細!$B$2:$B$711,$A85,交易明細!$J$2:$J$711,"時間出場")</f>
        <v/>
      </c>
      <c r="F85" s="2">
        <f>COUNTIFS(交易明細!$B$2:$B$711,$A85,交易明細!$J$2:$J$711,"止盈")</f>
        <v/>
      </c>
      <c r="G85" s="2">
        <f>COUNTIFS(交易明細!$B$2:$B$711,$A85,交易明細!$J$2:$J$711,"止損")</f>
        <v/>
      </c>
      <c r="H85" s="4">
        <f>IFERROR(F85/E85,0)</f>
        <v/>
      </c>
      <c r="I85" s="4">
        <f>IFERROR(AVERAGEIFS(交易明細!$L$2:$L$711,交易明細!$B$2:$B$711,$A85,交易明細!$J$2:$J$711,"&lt;&gt;未平倉"),0)</f>
        <v/>
      </c>
      <c r="J85" s="4">
        <f>SUMIFS(交易明細!$L$2:$L$711,交易明細!$B$2:$B$711,$A85,交易明細!$J$2:$J$711,"&lt;&gt;未平倉")</f>
        <v/>
      </c>
      <c r="K85" s="5">
        <f>IFERROR(AVERAGEIFS(交易明細!$K$2:$K$711,交易明細!$B$2:$B$711,$A85,交易明細!$J$2:$J$711,"&lt;&gt;未平倉"),0)</f>
        <v/>
      </c>
      <c r="L85" s="2">
        <f>COUNTIFS(交易明細!$B$2:$B$711,$A85,交易明細!$J$2:$J$711,"未平倉")</f>
        <v/>
      </c>
    </row>
    <row r="86">
      <c r="A86" s="2" t="inlineStr">
        <is>
          <t>FF_USDT_PERP</t>
        </is>
      </c>
      <c r="B86" s="2">
        <f>COUNTIFS(交易明細!$B$2:$B$711,$A86)</f>
        <v/>
      </c>
      <c r="C86" s="2">
        <f>COUNTIFS(交易明細!$B$2:$B$711,$A86,交易明細!$C$2:$C$711,"做多")</f>
        <v/>
      </c>
      <c r="D86" s="2">
        <f>COUNTIFS(交易明細!$B$2:$B$711,$A86,交易明細!$C$2:$C$711,"做空")</f>
        <v/>
      </c>
      <c r="E86" s="2">
        <f>F86+G86+COUNTIFS(交易明細!$B$2:$B$711,$A86,交易明細!$J$2:$J$711,"時間出場")</f>
        <v/>
      </c>
      <c r="F86" s="2">
        <f>COUNTIFS(交易明細!$B$2:$B$711,$A86,交易明細!$J$2:$J$711,"止盈")</f>
        <v/>
      </c>
      <c r="G86" s="2">
        <f>COUNTIFS(交易明細!$B$2:$B$711,$A86,交易明細!$J$2:$J$711,"止損")</f>
        <v/>
      </c>
      <c r="H86" s="4">
        <f>IFERROR(F86/E86,0)</f>
        <v/>
      </c>
      <c r="I86" s="4">
        <f>IFERROR(AVERAGEIFS(交易明細!$L$2:$L$711,交易明細!$B$2:$B$711,$A86,交易明細!$J$2:$J$711,"&lt;&gt;未平倉"),0)</f>
        <v/>
      </c>
      <c r="J86" s="4">
        <f>SUMIFS(交易明細!$L$2:$L$711,交易明細!$B$2:$B$711,$A86,交易明細!$J$2:$J$711,"&lt;&gt;未平倉")</f>
        <v/>
      </c>
      <c r="K86" s="5">
        <f>IFERROR(AVERAGEIFS(交易明細!$K$2:$K$711,交易明細!$B$2:$B$711,$A86,交易明細!$J$2:$J$711,"&lt;&gt;未平倉"),0)</f>
        <v/>
      </c>
      <c r="L86" s="2">
        <f>COUNTIFS(交易明細!$B$2:$B$711,$A86,交易明細!$J$2:$J$711,"未平倉")</f>
        <v/>
      </c>
    </row>
    <row r="87">
      <c r="A87" s="2" t="inlineStr">
        <is>
          <t>KAT_USDT_PERP</t>
        </is>
      </c>
      <c r="B87" s="2">
        <f>COUNTIFS(交易明細!$B$2:$B$711,$A87)</f>
        <v/>
      </c>
      <c r="C87" s="2">
        <f>COUNTIFS(交易明細!$B$2:$B$711,$A87,交易明細!$C$2:$C$711,"做多")</f>
        <v/>
      </c>
      <c r="D87" s="2">
        <f>COUNTIFS(交易明細!$B$2:$B$711,$A87,交易明細!$C$2:$C$711,"做空")</f>
        <v/>
      </c>
      <c r="E87" s="2">
        <f>F87+G87+COUNTIFS(交易明細!$B$2:$B$711,$A87,交易明細!$J$2:$J$711,"時間出場")</f>
        <v/>
      </c>
      <c r="F87" s="2">
        <f>COUNTIFS(交易明細!$B$2:$B$711,$A87,交易明細!$J$2:$J$711,"止盈")</f>
        <v/>
      </c>
      <c r="G87" s="2">
        <f>COUNTIFS(交易明細!$B$2:$B$711,$A87,交易明細!$J$2:$J$711,"止損")</f>
        <v/>
      </c>
      <c r="H87" s="4">
        <f>IFERROR(F87/E87,0)</f>
        <v/>
      </c>
      <c r="I87" s="4">
        <f>IFERROR(AVERAGEIFS(交易明細!$L$2:$L$711,交易明細!$B$2:$B$711,$A87,交易明細!$J$2:$J$711,"&lt;&gt;未平倉"),0)</f>
        <v/>
      </c>
      <c r="J87" s="4">
        <f>SUMIFS(交易明細!$L$2:$L$711,交易明細!$B$2:$B$711,$A87,交易明細!$J$2:$J$711,"&lt;&gt;未平倉")</f>
        <v/>
      </c>
      <c r="K87" s="5">
        <f>IFERROR(AVERAGEIFS(交易明細!$K$2:$K$711,交易明細!$B$2:$B$711,$A87,交易明細!$J$2:$J$711,"&lt;&gt;未平倉"),0)</f>
        <v/>
      </c>
      <c r="L87" s="2">
        <f>COUNTIFS(交易明細!$B$2:$B$711,$A87,交易明細!$J$2:$J$711,"未平倉")</f>
        <v/>
      </c>
    </row>
    <row r="88">
      <c r="A88" s="2" t="inlineStr">
        <is>
          <t>CAP_USDT_PERP</t>
        </is>
      </c>
      <c r="B88" s="2">
        <f>COUNTIFS(交易明細!$B$2:$B$711,$A88)</f>
        <v/>
      </c>
      <c r="C88" s="2">
        <f>COUNTIFS(交易明細!$B$2:$B$711,$A88,交易明細!$C$2:$C$711,"做多")</f>
        <v/>
      </c>
      <c r="D88" s="2">
        <f>COUNTIFS(交易明細!$B$2:$B$711,$A88,交易明細!$C$2:$C$711,"做空")</f>
        <v/>
      </c>
      <c r="E88" s="2">
        <f>F88+G88+COUNTIFS(交易明細!$B$2:$B$711,$A88,交易明細!$J$2:$J$711,"時間出場")</f>
        <v/>
      </c>
      <c r="F88" s="2">
        <f>COUNTIFS(交易明細!$B$2:$B$711,$A88,交易明細!$J$2:$J$711,"止盈")</f>
        <v/>
      </c>
      <c r="G88" s="2">
        <f>COUNTIFS(交易明細!$B$2:$B$711,$A88,交易明細!$J$2:$J$711,"止損")</f>
        <v/>
      </c>
      <c r="H88" s="4">
        <f>IFERROR(F88/E88,0)</f>
        <v/>
      </c>
      <c r="I88" s="4">
        <f>IFERROR(AVERAGEIFS(交易明細!$L$2:$L$711,交易明細!$B$2:$B$711,$A88,交易明細!$J$2:$J$711,"&lt;&gt;未平倉"),0)</f>
        <v/>
      </c>
      <c r="J88" s="4">
        <f>SUMIFS(交易明細!$L$2:$L$711,交易明細!$B$2:$B$711,$A88,交易明細!$J$2:$J$711,"&lt;&gt;未平倉")</f>
        <v/>
      </c>
      <c r="K88" s="5">
        <f>IFERROR(AVERAGEIFS(交易明細!$K$2:$K$711,交易明細!$B$2:$B$711,$A88,交易明細!$J$2:$J$711,"&lt;&gt;未平倉"),0)</f>
        <v/>
      </c>
      <c r="L88" s="2">
        <f>COUNTIFS(交易明細!$B$2:$B$711,$A88,交易明細!$J$2:$J$711,"未平倉")</f>
        <v/>
      </c>
    </row>
    <row r="89">
      <c r="A89" s="2" t="inlineStr">
        <is>
          <t>XRP_USDT_PERP</t>
        </is>
      </c>
      <c r="B89" s="2">
        <f>COUNTIFS(交易明細!$B$2:$B$711,$A89)</f>
        <v/>
      </c>
      <c r="C89" s="2">
        <f>COUNTIFS(交易明細!$B$2:$B$711,$A89,交易明細!$C$2:$C$711,"做多")</f>
        <v/>
      </c>
      <c r="D89" s="2">
        <f>COUNTIFS(交易明細!$B$2:$B$711,$A89,交易明細!$C$2:$C$711,"做空")</f>
        <v/>
      </c>
      <c r="E89" s="2">
        <f>F89+G89+COUNTIFS(交易明細!$B$2:$B$711,$A89,交易明細!$J$2:$J$711,"時間出場")</f>
        <v/>
      </c>
      <c r="F89" s="2">
        <f>COUNTIFS(交易明細!$B$2:$B$711,$A89,交易明細!$J$2:$J$711,"止盈")</f>
        <v/>
      </c>
      <c r="G89" s="2">
        <f>COUNTIFS(交易明細!$B$2:$B$711,$A89,交易明細!$J$2:$J$711,"止損")</f>
        <v/>
      </c>
      <c r="H89" s="4">
        <f>IFERROR(F89/E89,0)</f>
        <v/>
      </c>
      <c r="I89" s="4">
        <f>IFERROR(AVERAGEIFS(交易明細!$L$2:$L$711,交易明細!$B$2:$B$711,$A89,交易明細!$J$2:$J$711,"&lt;&gt;未平倉"),0)</f>
        <v/>
      </c>
      <c r="J89" s="4">
        <f>SUMIFS(交易明細!$L$2:$L$711,交易明細!$B$2:$B$711,$A89,交易明細!$J$2:$J$711,"&lt;&gt;未平倉")</f>
        <v/>
      </c>
      <c r="K89" s="5">
        <f>IFERROR(AVERAGEIFS(交易明細!$K$2:$K$711,交易明細!$B$2:$B$711,$A89,交易明細!$J$2:$J$711,"&lt;&gt;未平倉"),0)</f>
        <v/>
      </c>
      <c r="L89" s="2">
        <f>COUNTIFS(交易明細!$B$2:$B$711,$A89,交易明細!$J$2:$J$711,"未平倉")</f>
        <v/>
      </c>
    </row>
    <row r="90">
      <c r="A90" s="2" t="inlineStr">
        <is>
          <t>CROSS_USDT_PERP</t>
        </is>
      </c>
      <c r="B90" s="2">
        <f>COUNTIFS(交易明細!$B$2:$B$711,$A90)</f>
        <v/>
      </c>
      <c r="C90" s="2">
        <f>COUNTIFS(交易明細!$B$2:$B$711,$A90,交易明細!$C$2:$C$711,"做多")</f>
        <v/>
      </c>
      <c r="D90" s="2">
        <f>COUNTIFS(交易明細!$B$2:$B$711,$A90,交易明細!$C$2:$C$711,"做空")</f>
        <v/>
      </c>
      <c r="E90" s="2">
        <f>F90+G90+COUNTIFS(交易明細!$B$2:$B$711,$A90,交易明細!$J$2:$J$711,"時間出場")</f>
        <v/>
      </c>
      <c r="F90" s="2">
        <f>COUNTIFS(交易明細!$B$2:$B$711,$A90,交易明細!$J$2:$J$711,"止盈")</f>
        <v/>
      </c>
      <c r="G90" s="2">
        <f>COUNTIFS(交易明細!$B$2:$B$711,$A90,交易明細!$J$2:$J$711,"止損")</f>
        <v/>
      </c>
      <c r="H90" s="4">
        <f>IFERROR(F90/E90,0)</f>
        <v/>
      </c>
      <c r="I90" s="4">
        <f>IFERROR(AVERAGEIFS(交易明細!$L$2:$L$711,交易明細!$B$2:$B$711,$A90,交易明細!$J$2:$J$711,"&lt;&gt;未平倉"),0)</f>
        <v/>
      </c>
      <c r="J90" s="4">
        <f>SUMIFS(交易明細!$L$2:$L$711,交易明細!$B$2:$B$711,$A90,交易明細!$J$2:$J$711,"&lt;&gt;未平倉")</f>
        <v/>
      </c>
      <c r="K90" s="5">
        <f>IFERROR(AVERAGEIFS(交易明細!$K$2:$K$711,交易明細!$B$2:$B$711,$A90,交易明細!$J$2:$J$711,"&lt;&gt;未平倉"),0)</f>
        <v/>
      </c>
      <c r="L90" s="2">
        <f>COUNTIFS(交易明細!$B$2:$B$711,$A90,交易明細!$J$2:$J$711,"未平倉")</f>
        <v/>
      </c>
    </row>
    <row r="91">
      <c r="A91" s="2" t="inlineStr">
        <is>
          <t>MYX_USDT_PERP</t>
        </is>
      </c>
      <c r="B91" s="2">
        <f>COUNTIFS(交易明細!$B$2:$B$711,$A91)</f>
        <v/>
      </c>
      <c r="C91" s="2">
        <f>COUNTIFS(交易明細!$B$2:$B$711,$A91,交易明細!$C$2:$C$711,"做多")</f>
        <v/>
      </c>
      <c r="D91" s="2">
        <f>COUNTIFS(交易明細!$B$2:$B$711,$A91,交易明細!$C$2:$C$711,"做空")</f>
        <v/>
      </c>
      <c r="E91" s="2">
        <f>F91+G91+COUNTIFS(交易明細!$B$2:$B$711,$A91,交易明細!$J$2:$J$711,"時間出場")</f>
        <v/>
      </c>
      <c r="F91" s="2">
        <f>COUNTIFS(交易明細!$B$2:$B$711,$A91,交易明細!$J$2:$J$711,"止盈")</f>
        <v/>
      </c>
      <c r="G91" s="2">
        <f>COUNTIFS(交易明細!$B$2:$B$711,$A91,交易明細!$J$2:$J$711,"止損")</f>
        <v/>
      </c>
      <c r="H91" s="4">
        <f>IFERROR(F91/E91,0)</f>
        <v/>
      </c>
      <c r="I91" s="4">
        <f>IFERROR(AVERAGEIFS(交易明細!$L$2:$L$711,交易明細!$B$2:$B$711,$A91,交易明細!$J$2:$J$711,"&lt;&gt;未平倉"),0)</f>
        <v/>
      </c>
      <c r="J91" s="4">
        <f>SUMIFS(交易明細!$L$2:$L$711,交易明細!$B$2:$B$711,$A91,交易明細!$J$2:$J$711,"&lt;&gt;未平倉")</f>
        <v/>
      </c>
      <c r="K91" s="5">
        <f>IFERROR(AVERAGEIFS(交易明細!$K$2:$K$711,交易明細!$B$2:$B$711,$A91,交易明細!$J$2:$J$711,"&lt;&gt;未平倉"),0)</f>
        <v/>
      </c>
      <c r="L91" s="2">
        <f>COUNTIFS(交易明細!$B$2:$B$711,$A91,交易明細!$J$2:$J$711,"未平倉")</f>
        <v/>
      </c>
    </row>
    <row r="92">
      <c r="A92" s="2" t="inlineStr">
        <is>
          <t>BANK_USDT_PERP</t>
        </is>
      </c>
      <c r="B92" s="2">
        <f>COUNTIFS(交易明細!$B$2:$B$711,$A92)</f>
        <v/>
      </c>
      <c r="C92" s="2">
        <f>COUNTIFS(交易明細!$B$2:$B$711,$A92,交易明細!$C$2:$C$711,"做多")</f>
        <v/>
      </c>
      <c r="D92" s="2">
        <f>COUNTIFS(交易明細!$B$2:$B$711,$A92,交易明細!$C$2:$C$711,"做空")</f>
        <v/>
      </c>
      <c r="E92" s="2">
        <f>F92+G92+COUNTIFS(交易明細!$B$2:$B$711,$A92,交易明細!$J$2:$J$711,"時間出場")</f>
        <v/>
      </c>
      <c r="F92" s="2">
        <f>COUNTIFS(交易明細!$B$2:$B$711,$A92,交易明細!$J$2:$J$711,"止盈")</f>
        <v/>
      </c>
      <c r="G92" s="2">
        <f>COUNTIFS(交易明細!$B$2:$B$711,$A92,交易明細!$J$2:$J$711,"止損")</f>
        <v/>
      </c>
      <c r="H92" s="4">
        <f>IFERROR(F92/E92,0)</f>
        <v/>
      </c>
      <c r="I92" s="4">
        <f>IFERROR(AVERAGEIFS(交易明細!$L$2:$L$711,交易明細!$B$2:$B$711,$A92,交易明細!$J$2:$J$711,"&lt;&gt;未平倉"),0)</f>
        <v/>
      </c>
      <c r="J92" s="4">
        <f>SUMIFS(交易明細!$L$2:$L$711,交易明細!$B$2:$B$711,$A92,交易明細!$J$2:$J$711,"&lt;&gt;未平倉")</f>
        <v/>
      </c>
      <c r="K92" s="5">
        <f>IFERROR(AVERAGEIFS(交易明細!$K$2:$K$711,交易明細!$B$2:$B$711,$A92,交易明細!$J$2:$J$711,"&lt;&gt;未平倉"),0)</f>
        <v/>
      </c>
      <c r="L92" s="2">
        <f>COUNTIFS(交易明細!$B$2:$B$711,$A92,交易明細!$J$2:$J$711,"未平倉")</f>
        <v/>
      </c>
    </row>
    <row r="93">
      <c r="A93" s="2" t="inlineStr">
        <is>
          <t>ETHFI_USDT_PERP</t>
        </is>
      </c>
      <c r="B93" s="2">
        <f>COUNTIFS(交易明細!$B$2:$B$711,$A93)</f>
        <v/>
      </c>
      <c r="C93" s="2">
        <f>COUNTIFS(交易明細!$B$2:$B$711,$A93,交易明細!$C$2:$C$711,"做多")</f>
        <v/>
      </c>
      <c r="D93" s="2">
        <f>COUNTIFS(交易明細!$B$2:$B$711,$A93,交易明細!$C$2:$C$711,"做空")</f>
        <v/>
      </c>
      <c r="E93" s="2">
        <f>F93+G93+COUNTIFS(交易明細!$B$2:$B$711,$A93,交易明細!$J$2:$J$711,"時間出場")</f>
        <v/>
      </c>
      <c r="F93" s="2">
        <f>COUNTIFS(交易明細!$B$2:$B$711,$A93,交易明細!$J$2:$J$711,"止盈")</f>
        <v/>
      </c>
      <c r="G93" s="2">
        <f>COUNTIFS(交易明細!$B$2:$B$711,$A93,交易明細!$J$2:$J$711,"止損")</f>
        <v/>
      </c>
      <c r="H93" s="4">
        <f>IFERROR(F93/E93,0)</f>
        <v/>
      </c>
      <c r="I93" s="4">
        <f>IFERROR(AVERAGEIFS(交易明細!$L$2:$L$711,交易明細!$B$2:$B$711,$A93,交易明細!$J$2:$J$711,"&lt;&gt;未平倉"),0)</f>
        <v/>
      </c>
      <c r="J93" s="4">
        <f>SUMIFS(交易明細!$L$2:$L$711,交易明細!$B$2:$B$711,$A93,交易明細!$J$2:$J$711,"&lt;&gt;未平倉")</f>
        <v/>
      </c>
      <c r="K93" s="5">
        <f>IFERROR(AVERAGEIFS(交易明細!$K$2:$K$711,交易明細!$B$2:$B$711,$A93,交易明細!$J$2:$J$711,"&lt;&gt;未平倉"),0)</f>
        <v/>
      </c>
      <c r="L93" s="2">
        <f>COUNTIFS(交易明細!$B$2:$B$711,$A93,交易明細!$J$2:$J$711,"未平倉")</f>
        <v/>
      </c>
    </row>
    <row r="94">
      <c r="A94" s="2" t="inlineStr">
        <is>
          <t>KITE_USDT_PERP</t>
        </is>
      </c>
      <c r="B94" s="2">
        <f>COUNTIFS(交易明細!$B$2:$B$711,$A94)</f>
        <v/>
      </c>
      <c r="C94" s="2">
        <f>COUNTIFS(交易明細!$B$2:$B$711,$A94,交易明細!$C$2:$C$711,"做多")</f>
        <v/>
      </c>
      <c r="D94" s="2">
        <f>COUNTIFS(交易明細!$B$2:$B$711,$A94,交易明細!$C$2:$C$711,"做空")</f>
        <v/>
      </c>
      <c r="E94" s="2">
        <f>F94+G94+COUNTIFS(交易明細!$B$2:$B$711,$A94,交易明細!$J$2:$J$711,"時間出場")</f>
        <v/>
      </c>
      <c r="F94" s="2">
        <f>COUNTIFS(交易明細!$B$2:$B$711,$A94,交易明細!$J$2:$J$711,"止盈")</f>
        <v/>
      </c>
      <c r="G94" s="2">
        <f>COUNTIFS(交易明細!$B$2:$B$711,$A94,交易明細!$J$2:$J$711,"止損")</f>
        <v/>
      </c>
      <c r="H94" s="4">
        <f>IFERROR(F94/E94,0)</f>
        <v/>
      </c>
      <c r="I94" s="4">
        <f>IFERROR(AVERAGEIFS(交易明細!$L$2:$L$711,交易明細!$B$2:$B$711,$A94,交易明細!$J$2:$J$711,"&lt;&gt;未平倉"),0)</f>
        <v/>
      </c>
      <c r="J94" s="4">
        <f>SUMIFS(交易明細!$L$2:$L$711,交易明細!$B$2:$B$711,$A94,交易明細!$J$2:$J$711,"&lt;&gt;未平倉")</f>
        <v/>
      </c>
      <c r="K94" s="5">
        <f>IFERROR(AVERAGEIFS(交易明細!$K$2:$K$711,交易明細!$B$2:$B$711,$A94,交易明細!$J$2:$J$711,"&lt;&gt;未平倉"),0)</f>
        <v/>
      </c>
      <c r="L94" s="2">
        <f>COUNTIFS(交易明細!$B$2:$B$711,$A94,交易明細!$J$2:$J$711,"未平倉")</f>
        <v/>
      </c>
    </row>
    <row r="95">
      <c r="A95" s="2" t="inlineStr">
        <is>
          <t>ADA_USDT_PERP</t>
        </is>
      </c>
      <c r="B95" s="2">
        <f>COUNTIFS(交易明細!$B$2:$B$711,$A95)</f>
        <v/>
      </c>
      <c r="C95" s="2">
        <f>COUNTIFS(交易明細!$B$2:$B$711,$A95,交易明細!$C$2:$C$711,"做多")</f>
        <v/>
      </c>
      <c r="D95" s="2">
        <f>COUNTIFS(交易明細!$B$2:$B$711,$A95,交易明細!$C$2:$C$711,"做空")</f>
        <v/>
      </c>
      <c r="E95" s="2">
        <f>F95+G95+COUNTIFS(交易明細!$B$2:$B$711,$A95,交易明細!$J$2:$J$711,"時間出場")</f>
        <v/>
      </c>
      <c r="F95" s="2">
        <f>COUNTIFS(交易明細!$B$2:$B$711,$A95,交易明細!$J$2:$J$711,"止盈")</f>
        <v/>
      </c>
      <c r="G95" s="2">
        <f>COUNTIFS(交易明細!$B$2:$B$711,$A95,交易明細!$J$2:$J$711,"止損")</f>
        <v/>
      </c>
      <c r="H95" s="4">
        <f>IFERROR(F95/E95,0)</f>
        <v/>
      </c>
      <c r="I95" s="4">
        <f>IFERROR(AVERAGEIFS(交易明細!$L$2:$L$711,交易明細!$B$2:$B$711,$A95,交易明細!$J$2:$J$711,"&lt;&gt;未平倉"),0)</f>
        <v/>
      </c>
      <c r="J95" s="4">
        <f>SUMIFS(交易明細!$L$2:$L$711,交易明細!$B$2:$B$711,$A95,交易明細!$J$2:$J$711,"&lt;&gt;未平倉")</f>
        <v/>
      </c>
      <c r="K95" s="5">
        <f>IFERROR(AVERAGEIFS(交易明細!$K$2:$K$711,交易明細!$B$2:$B$711,$A95,交易明細!$J$2:$J$711,"&lt;&gt;未平倉"),0)</f>
        <v/>
      </c>
      <c r="L95" s="2">
        <f>COUNTIFS(交易明細!$B$2:$B$711,$A95,交易明細!$J$2:$J$711,"未平倉")</f>
        <v/>
      </c>
    </row>
    <row r="96">
      <c r="A96" s="2" t="inlineStr">
        <is>
          <t>LTC_USDT_PERP</t>
        </is>
      </c>
      <c r="B96" s="2">
        <f>COUNTIFS(交易明細!$B$2:$B$711,$A96)</f>
        <v/>
      </c>
      <c r="C96" s="2">
        <f>COUNTIFS(交易明細!$B$2:$B$711,$A96,交易明細!$C$2:$C$711,"做多")</f>
        <v/>
      </c>
      <c r="D96" s="2">
        <f>COUNTIFS(交易明細!$B$2:$B$711,$A96,交易明細!$C$2:$C$711,"做空")</f>
        <v/>
      </c>
      <c r="E96" s="2">
        <f>F96+G96+COUNTIFS(交易明細!$B$2:$B$711,$A96,交易明細!$J$2:$J$711,"時間出場")</f>
        <v/>
      </c>
      <c r="F96" s="2">
        <f>COUNTIFS(交易明細!$B$2:$B$711,$A96,交易明細!$J$2:$J$711,"止盈")</f>
        <v/>
      </c>
      <c r="G96" s="2">
        <f>COUNTIFS(交易明細!$B$2:$B$711,$A96,交易明細!$J$2:$J$711,"止損")</f>
        <v/>
      </c>
      <c r="H96" s="4">
        <f>IFERROR(F96/E96,0)</f>
        <v/>
      </c>
      <c r="I96" s="4">
        <f>IFERROR(AVERAGEIFS(交易明細!$L$2:$L$711,交易明細!$B$2:$B$711,$A96,交易明細!$J$2:$J$711,"&lt;&gt;未平倉"),0)</f>
        <v/>
      </c>
      <c r="J96" s="4">
        <f>SUMIFS(交易明細!$L$2:$L$711,交易明細!$B$2:$B$711,$A96,交易明細!$J$2:$J$711,"&lt;&gt;未平倉")</f>
        <v/>
      </c>
      <c r="K96" s="5">
        <f>IFERROR(AVERAGEIFS(交易明細!$K$2:$K$711,交易明細!$B$2:$B$711,$A96,交易明細!$J$2:$J$711,"&lt;&gt;未平倉"),0)</f>
        <v/>
      </c>
      <c r="L96" s="2">
        <f>COUNTIFS(交易明細!$B$2:$B$711,$A96,交易明細!$J$2:$J$711,"未平倉")</f>
        <v/>
      </c>
    </row>
    <row r="97">
      <c r="A97" s="2" t="inlineStr">
        <is>
          <t>NOM_USDT_PERP</t>
        </is>
      </c>
      <c r="B97" s="2">
        <f>COUNTIFS(交易明細!$B$2:$B$711,$A97)</f>
        <v/>
      </c>
      <c r="C97" s="2">
        <f>COUNTIFS(交易明細!$B$2:$B$711,$A97,交易明細!$C$2:$C$711,"做多")</f>
        <v/>
      </c>
      <c r="D97" s="2">
        <f>COUNTIFS(交易明細!$B$2:$B$711,$A97,交易明細!$C$2:$C$711,"做空")</f>
        <v/>
      </c>
      <c r="E97" s="2">
        <f>F97+G97+COUNTIFS(交易明細!$B$2:$B$711,$A97,交易明細!$J$2:$J$711,"時間出場")</f>
        <v/>
      </c>
      <c r="F97" s="2">
        <f>COUNTIFS(交易明細!$B$2:$B$711,$A97,交易明細!$J$2:$J$711,"止盈")</f>
        <v/>
      </c>
      <c r="G97" s="2">
        <f>COUNTIFS(交易明細!$B$2:$B$711,$A97,交易明細!$J$2:$J$711,"止損")</f>
        <v/>
      </c>
      <c r="H97" s="4">
        <f>IFERROR(F97/E97,0)</f>
        <v/>
      </c>
      <c r="I97" s="4">
        <f>IFERROR(AVERAGEIFS(交易明細!$L$2:$L$711,交易明細!$B$2:$B$711,$A97,交易明細!$J$2:$J$711,"&lt;&gt;未平倉"),0)</f>
        <v/>
      </c>
      <c r="J97" s="4">
        <f>SUMIFS(交易明細!$L$2:$L$711,交易明細!$B$2:$B$711,$A97,交易明細!$J$2:$J$711,"&lt;&gt;未平倉")</f>
        <v/>
      </c>
      <c r="K97" s="5">
        <f>IFERROR(AVERAGEIFS(交易明細!$K$2:$K$711,交易明細!$B$2:$B$711,$A97,交易明細!$J$2:$J$711,"&lt;&gt;未平倉"),0)</f>
        <v/>
      </c>
      <c r="L97" s="2">
        <f>COUNTIFS(交易明細!$B$2:$B$711,$A97,交易明細!$J$2:$J$711,"未平倉")</f>
        <v/>
      </c>
    </row>
    <row r="98">
      <c r="A98" s="2" t="inlineStr">
        <is>
          <t>BROCCOLI_USDT_PERP</t>
        </is>
      </c>
      <c r="B98" s="2">
        <f>COUNTIFS(交易明細!$B$2:$B$711,$A98)</f>
        <v/>
      </c>
      <c r="C98" s="2">
        <f>COUNTIFS(交易明細!$B$2:$B$711,$A98,交易明細!$C$2:$C$711,"做多")</f>
        <v/>
      </c>
      <c r="D98" s="2">
        <f>COUNTIFS(交易明細!$B$2:$B$711,$A98,交易明細!$C$2:$C$711,"做空")</f>
        <v/>
      </c>
      <c r="E98" s="2">
        <f>F98+G98+COUNTIFS(交易明細!$B$2:$B$711,$A98,交易明細!$J$2:$J$711,"時間出場")</f>
        <v/>
      </c>
      <c r="F98" s="2">
        <f>COUNTIFS(交易明細!$B$2:$B$711,$A98,交易明細!$J$2:$J$711,"止盈")</f>
        <v/>
      </c>
      <c r="G98" s="2">
        <f>COUNTIFS(交易明細!$B$2:$B$711,$A98,交易明細!$J$2:$J$711,"止損")</f>
        <v/>
      </c>
      <c r="H98" s="4">
        <f>IFERROR(F98/E98,0)</f>
        <v/>
      </c>
      <c r="I98" s="4">
        <f>IFERROR(AVERAGEIFS(交易明細!$L$2:$L$711,交易明細!$B$2:$B$711,$A98,交易明細!$J$2:$J$711,"&lt;&gt;未平倉"),0)</f>
        <v/>
      </c>
      <c r="J98" s="4">
        <f>SUMIFS(交易明細!$L$2:$L$711,交易明細!$B$2:$B$711,$A98,交易明細!$J$2:$J$711,"&lt;&gt;未平倉")</f>
        <v/>
      </c>
      <c r="K98" s="5">
        <f>IFERROR(AVERAGEIFS(交易明細!$K$2:$K$711,交易明細!$B$2:$B$711,$A98,交易明細!$J$2:$J$711,"&lt;&gt;未平倉"),0)</f>
        <v/>
      </c>
      <c r="L98" s="2">
        <f>COUNTIFS(交易明細!$B$2:$B$711,$A98,交易明細!$J$2:$J$711,"未平倉")</f>
        <v/>
      </c>
    </row>
    <row r="99">
      <c r="A99" s="2" t="inlineStr">
        <is>
          <t>2Z_USDT_PERP</t>
        </is>
      </c>
      <c r="B99" s="2">
        <f>COUNTIFS(交易明細!$B$2:$B$711,$A99)</f>
        <v/>
      </c>
      <c r="C99" s="2">
        <f>COUNTIFS(交易明細!$B$2:$B$711,$A99,交易明細!$C$2:$C$711,"做多")</f>
        <v/>
      </c>
      <c r="D99" s="2">
        <f>COUNTIFS(交易明細!$B$2:$B$711,$A99,交易明細!$C$2:$C$711,"做空")</f>
        <v/>
      </c>
      <c r="E99" s="2">
        <f>F99+G99+COUNTIFS(交易明細!$B$2:$B$711,$A99,交易明細!$J$2:$J$711,"時間出場")</f>
        <v/>
      </c>
      <c r="F99" s="2">
        <f>COUNTIFS(交易明細!$B$2:$B$711,$A99,交易明細!$J$2:$J$711,"止盈")</f>
        <v/>
      </c>
      <c r="G99" s="2">
        <f>COUNTIFS(交易明細!$B$2:$B$711,$A99,交易明細!$J$2:$J$711,"止損")</f>
        <v/>
      </c>
      <c r="H99" s="4">
        <f>IFERROR(F99/E99,0)</f>
        <v/>
      </c>
      <c r="I99" s="4">
        <f>IFERROR(AVERAGEIFS(交易明細!$L$2:$L$711,交易明細!$B$2:$B$711,$A99,交易明細!$J$2:$J$711,"&lt;&gt;未平倉"),0)</f>
        <v/>
      </c>
      <c r="J99" s="4">
        <f>SUMIFS(交易明細!$L$2:$L$711,交易明細!$B$2:$B$711,$A99,交易明細!$J$2:$J$711,"&lt;&gt;未平倉")</f>
        <v/>
      </c>
      <c r="K99" s="5">
        <f>IFERROR(AVERAGEIFS(交易明細!$K$2:$K$711,交易明細!$B$2:$B$711,$A99,交易明細!$J$2:$J$711,"&lt;&gt;未平倉"),0)</f>
        <v/>
      </c>
      <c r="L99" s="2">
        <f>COUNTIFS(交易明細!$B$2:$B$711,$A99,交易明細!$J$2:$J$711,"未平倉")</f>
        <v/>
      </c>
    </row>
    <row r="100">
      <c r="A100" s="2" t="inlineStr">
        <is>
          <t>XLM_USDT_PERP</t>
        </is>
      </c>
      <c r="B100" s="2">
        <f>COUNTIFS(交易明細!$B$2:$B$711,$A100)</f>
        <v/>
      </c>
      <c r="C100" s="2">
        <f>COUNTIFS(交易明細!$B$2:$B$711,$A100,交易明細!$C$2:$C$711,"做多")</f>
        <v/>
      </c>
      <c r="D100" s="2">
        <f>COUNTIFS(交易明細!$B$2:$B$711,$A100,交易明細!$C$2:$C$711,"做空")</f>
        <v/>
      </c>
      <c r="E100" s="2">
        <f>F100+G100+COUNTIFS(交易明細!$B$2:$B$711,$A100,交易明細!$J$2:$J$711,"時間出場")</f>
        <v/>
      </c>
      <c r="F100" s="2">
        <f>COUNTIFS(交易明細!$B$2:$B$711,$A100,交易明細!$J$2:$J$711,"止盈")</f>
        <v/>
      </c>
      <c r="G100" s="2">
        <f>COUNTIFS(交易明細!$B$2:$B$711,$A100,交易明細!$J$2:$J$711,"止損")</f>
        <v/>
      </c>
      <c r="H100" s="4">
        <f>IFERROR(F100/E100,0)</f>
        <v/>
      </c>
      <c r="I100" s="4">
        <f>IFERROR(AVERAGEIFS(交易明細!$L$2:$L$711,交易明細!$B$2:$B$711,$A100,交易明細!$J$2:$J$711,"&lt;&gt;未平倉"),0)</f>
        <v/>
      </c>
      <c r="J100" s="4">
        <f>SUMIFS(交易明細!$L$2:$L$711,交易明細!$B$2:$B$711,$A100,交易明細!$J$2:$J$711,"&lt;&gt;未平倉")</f>
        <v/>
      </c>
      <c r="K100" s="5">
        <f>IFERROR(AVERAGEIFS(交易明細!$K$2:$K$711,交易明細!$B$2:$B$711,$A100,交易明細!$J$2:$J$711,"&lt;&gt;未平倉"),0)</f>
        <v/>
      </c>
      <c r="L100" s="2">
        <f>COUNTIFS(交易明細!$B$2:$B$711,$A100,交易明細!$J$2:$J$711,"未平倉")</f>
        <v/>
      </c>
    </row>
    <row r="101">
      <c r="A101" s="2" t="inlineStr">
        <is>
          <t>Q_USDT_PERP</t>
        </is>
      </c>
      <c r="B101" s="2">
        <f>COUNTIFS(交易明細!$B$2:$B$711,$A101)</f>
        <v/>
      </c>
      <c r="C101" s="2">
        <f>COUNTIFS(交易明細!$B$2:$B$711,$A101,交易明細!$C$2:$C$711,"做多")</f>
        <v/>
      </c>
      <c r="D101" s="2">
        <f>COUNTIFS(交易明細!$B$2:$B$711,$A101,交易明細!$C$2:$C$711,"做空")</f>
        <v/>
      </c>
      <c r="E101" s="2">
        <f>F101+G101+COUNTIFS(交易明細!$B$2:$B$711,$A101,交易明細!$J$2:$J$711,"時間出場")</f>
        <v/>
      </c>
      <c r="F101" s="2">
        <f>COUNTIFS(交易明細!$B$2:$B$711,$A101,交易明細!$J$2:$J$711,"止盈")</f>
        <v/>
      </c>
      <c r="G101" s="2">
        <f>COUNTIFS(交易明細!$B$2:$B$711,$A101,交易明細!$J$2:$J$711,"止損")</f>
        <v/>
      </c>
      <c r="H101" s="4">
        <f>IFERROR(F101/E101,0)</f>
        <v/>
      </c>
      <c r="I101" s="4">
        <f>IFERROR(AVERAGEIFS(交易明細!$L$2:$L$711,交易明細!$B$2:$B$711,$A101,交易明細!$J$2:$J$711,"&lt;&gt;未平倉"),0)</f>
        <v/>
      </c>
      <c r="J101" s="4">
        <f>SUMIFS(交易明細!$L$2:$L$711,交易明細!$B$2:$B$711,$A101,交易明細!$J$2:$J$711,"&lt;&gt;未平倉")</f>
        <v/>
      </c>
      <c r="K101" s="5">
        <f>IFERROR(AVERAGEIFS(交易明細!$K$2:$K$711,交易明細!$B$2:$B$711,$A101,交易明細!$J$2:$J$711,"&lt;&gt;未平倉"),0)</f>
        <v/>
      </c>
      <c r="L101" s="2">
        <f>COUNTIFS(交易明細!$B$2:$B$711,$A101,交易明細!$J$2:$J$711,"未平倉")</f>
        <v/>
      </c>
    </row>
    <row r="102">
      <c r="A102" s="2" t="inlineStr">
        <is>
          <t>MON_USDT_PERP</t>
        </is>
      </c>
      <c r="B102" s="2">
        <f>COUNTIFS(交易明細!$B$2:$B$711,$A102)</f>
        <v/>
      </c>
      <c r="C102" s="2">
        <f>COUNTIFS(交易明細!$B$2:$B$711,$A102,交易明細!$C$2:$C$711,"做多")</f>
        <v/>
      </c>
      <c r="D102" s="2">
        <f>COUNTIFS(交易明細!$B$2:$B$711,$A102,交易明細!$C$2:$C$711,"做空")</f>
        <v/>
      </c>
      <c r="E102" s="2">
        <f>F102+G102+COUNTIFS(交易明細!$B$2:$B$711,$A102,交易明細!$J$2:$J$711,"時間出場")</f>
        <v/>
      </c>
      <c r="F102" s="2">
        <f>COUNTIFS(交易明細!$B$2:$B$711,$A102,交易明細!$J$2:$J$711,"止盈")</f>
        <v/>
      </c>
      <c r="G102" s="2">
        <f>COUNTIFS(交易明細!$B$2:$B$711,$A102,交易明細!$J$2:$J$711,"止損")</f>
        <v/>
      </c>
      <c r="H102" s="4">
        <f>IFERROR(F102/E102,0)</f>
        <v/>
      </c>
      <c r="I102" s="4">
        <f>IFERROR(AVERAGEIFS(交易明細!$L$2:$L$711,交易明細!$B$2:$B$711,$A102,交易明細!$J$2:$J$711,"&lt;&gt;未平倉"),0)</f>
        <v/>
      </c>
      <c r="J102" s="4">
        <f>SUMIFS(交易明細!$L$2:$L$711,交易明細!$B$2:$B$711,$A102,交易明細!$J$2:$J$711,"&lt;&gt;未平倉")</f>
        <v/>
      </c>
      <c r="K102" s="5">
        <f>IFERROR(AVERAGEIFS(交易明細!$K$2:$K$711,交易明細!$B$2:$B$711,$A102,交易明細!$J$2:$J$711,"&lt;&gt;未平倉"),0)</f>
        <v/>
      </c>
      <c r="L102" s="2">
        <f>COUNTIFS(交易明細!$B$2:$B$711,$A102,交易明細!$J$2:$J$711,"未平倉")</f>
        <v/>
      </c>
    </row>
    <row r="103">
      <c r="A103" s="2" t="inlineStr">
        <is>
          <t>NIGHT_USDT_PERP</t>
        </is>
      </c>
      <c r="B103" s="2">
        <f>COUNTIFS(交易明細!$B$2:$B$711,$A103)</f>
        <v/>
      </c>
      <c r="C103" s="2">
        <f>COUNTIFS(交易明細!$B$2:$B$711,$A103,交易明細!$C$2:$C$711,"做多")</f>
        <v/>
      </c>
      <c r="D103" s="2">
        <f>COUNTIFS(交易明細!$B$2:$B$711,$A103,交易明細!$C$2:$C$711,"做空")</f>
        <v/>
      </c>
      <c r="E103" s="2">
        <f>F103+G103+COUNTIFS(交易明細!$B$2:$B$711,$A103,交易明細!$J$2:$J$711,"時間出場")</f>
        <v/>
      </c>
      <c r="F103" s="2">
        <f>COUNTIFS(交易明細!$B$2:$B$711,$A103,交易明細!$J$2:$J$711,"止盈")</f>
        <v/>
      </c>
      <c r="G103" s="2">
        <f>COUNTIFS(交易明細!$B$2:$B$711,$A103,交易明細!$J$2:$J$711,"止損")</f>
        <v/>
      </c>
      <c r="H103" s="4">
        <f>IFERROR(F103/E103,0)</f>
        <v/>
      </c>
      <c r="I103" s="4">
        <f>IFERROR(AVERAGEIFS(交易明細!$L$2:$L$711,交易明細!$B$2:$B$711,$A103,交易明細!$J$2:$J$711,"&lt;&gt;未平倉"),0)</f>
        <v/>
      </c>
      <c r="J103" s="4">
        <f>SUMIFS(交易明細!$L$2:$L$711,交易明細!$B$2:$B$711,$A103,交易明細!$J$2:$J$711,"&lt;&gt;未平倉")</f>
        <v/>
      </c>
      <c r="K103" s="5">
        <f>IFERROR(AVERAGEIFS(交易明細!$K$2:$K$711,交易明細!$B$2:$B$711,$A103,交易明細!$J$2:$J$711,"&lt;&gt;未平倉"),0)</f>
        <v/>
      </c>
      <c r="L103" s="2">
        <f>COUNTIFS(交易明細!$B$2:$B$711,$A103,交易明細!$J$2:$J$711,"未平倉")</f>
        <v/>
      </c>
    </row>
    <row r="104">
      <c r="A104" s="2" t="inlineStr">
        <is>
          <t>BEAMX_USDT_PERP</t>
        </is>
      </c>
      <c r="B104" s="2">
        <f>COUNTIFS(交易明細!$B$2:$B$711,$A104)</f>
        <v/>
      </c>
      <c r="C104" s="2">
        <f>COUNTIFS(交易明細!$B$2:$B$711,$A104,交易明細!$C$2:$C$711,"做多")</f>
        <v/>
      </c>
      <c r="D104" s="2">
        <f>COUNTIFS(交易明細!$B$2:$B$711,$A104,交易明細!$C$2:$C$711,"做空")</f>
        <v/>
      </c>
      <c r="E104" s="2">
        <f>F104+G104+COUNTIFS(交易明細!$B$2:$B$711,$A104,交易明細!$J$2:$J$711,"時間出場")</f>
        <v/>
      </c>
      <c r="F104" s="2">
        <f>COUNTIFS(交易明細!$B$2:$B$711,$A104,交易明細!$J$2:$J$711,"止盈")</f>
        <v/>
      </c>
      <c r="G104" s="2">
        <f>COUNTIFS(交易明細!$B$2:$B$711,$A104,交易明細!$J$2:$J$711,"止損")</f>
        <v/>
      </c>
      <c r="H104" s="4">
        <f>IFERROR(F104/E104,0)</f>
        <v/>
      </c>
      <c r="I104" s="4">
        <f>IFERROR(AVERAGEIFS(交易明細!$L$2:$L$711,交易明細!$B$2:$B$711,$A104,交易明細!$J$2:$J$711,"&lt;&gt;未平倉"),0)</f>
        <v/>
      </c>
      <c r="J104" s="4">
        <f>SUMIFS(交易明細!$L$2:$L$711,交易明細!$B$2:$B$711,$A104,交易明細!$J$2:$J$711,"&lt;&gt;未平倉")</f>
        <v/>
      </c>
      <c r="K104" s="5">
        <f>IFERROR(AVERAGEIFS(交易明細!$K$2:$K$711,交易明細!$B$2:$B$711,$A104,交易明細!$J$2:$J$711,"&lt;&gt;未平倉"),0)</f>
        <v/>
      </c>
      <c r="L104" s="2">
        <f>COUNTIFS(交易明細!$B$2:$B$711,$A104,交易明細!$J$2:$J$711,"未平倉")</f>
        <v/>
      </c>
    </row>
    <row r="105">
      <c r="A105" s="2" t="inlineStr">
        <is>
          <t>API3_USDT_PERP</t>
        </is>
      </c>
      <c r="B105" s="2">
        <f>COUNTIFS(交易明細!$B$2:$B$711,$A105)</f>
        <v/>
      </c>
      <c r="C105" s="2">
        <f>COUNTIFS(交易明細!$B$2:$B$711,$A105,交易明細!$C$2:$C$711,"做多")</f>
        <v/>
      </c>
      <c r="D105" s="2">
        <f>COUNTIFS(交易明細!$B$2:$B$711,$A105,交易明細!$C$2:$C$711,"做空")</f>
        <v/>
      </c>
      <c r="E105" s="2">
        <f>F105+G105+COUNTIFS(交易明細!$B$2:$B$711,$A105,交易明細!$J$2:$J$711,"時間出場")</f>
        <v/>
      </c>
      <c r="F105" s="2">
        <f>COUNTIFS(交易明細!$B$2:$B$711,$A105,交易明細!$J$2:$J$711,"止盈")</f>
        <v/>
      </c>
      <c r="G105" s="2">
        <f>COUNTIFS(交易明細!$B$2:$B$711,$A105,交易明細!$J$2:$J$711,"止損")</f>
        <v/>
      </c>
      <c r="H105" s="4">
        <f>IFERROR(F105/E105,0)</f>
        <v/>
      </c>
      <c r="I105" s="4">
        <f>IFERROR(AVERAGEIFS(交易明細!$L$2:$L$711,交易明細!$B$2:$B$711,$A105,交易明細!$J$2:$J$711,"&lt;&gt;未平倉"),0)</f>
        <v/>
      </c>
      <c r="J105" s="4">
        <f>SUMIFS(交易明細!$L$2:$L$711,交易明細!$B$2:$B$711,$A105,交易明細!$J$2:$J$711,"&lt;&gt;未平倉")</f>
        <v/>
      </c>
      <c r="K105" s="5">
        <f>IFERROR(AVERAGEIFS(交易明細!$K$2:$K$711,交易明細!$B$2:$B$711,$A105,交易明細!$J$2:$J$711,"&lt;&gt;未平倉"),0)</f>
        <v/>
      </c>
      <c r="L105" s="2">
        <f>COUNTIFS(交易明細!$B$2:$B$711,$A105,交易明細!$J$2:$J$711,"未平倉")</f>
        <v/>
      </c>
    </row>
    <row r="106">
      <c r="A106" s="2" t="inlineStr">
        <is>
          <t>US_USDT_PERP</t>
        </is>
      </c>
      <c r="B106" s="2">
        <f>COUNTIFS(交易明細!$B$2:$B$711,$A106)</f>
        <v/>
      </c>
      <c r="C106" s="2">
        <f>COUNTIFS(交易明細!$B$2:$B$711,$A106,交易明細!$C$2:$C$711,"做多")</f>
        <v/>
      </c>
      <c r="D106" s="2">
        <f>COUNTIFS(交易明細!$B$2:$B$711,$A106,交易明細!$C$2:$C$711,"做空")</f>
        <v/>
      </c>
      <c r="E106" s="2">
        <f>F106+G106+COUNTIFS(交易明細!$B$2:$B$711,$A106,交易明細!$J$2:$J$711,"時間出場")</f>
        <v/>
      </c>
      <c r="F106" s="2">
        <f>COUNTIFS(交易明細!$B$2:$B$711,$A106,交易明細!$J$2:$J$711,"止盈")</f>
        <v/>
      </c>
      <c r="G106" s="2">
        <f>COUNTIFS(交易明細!$B$2:$B$711,$A106,交易明細!$J$2:$J$711,"止損")</f>
        <v/>
      </c>
      <c r="H106" s="4">
        <f>IFERROR(F106/E106,0)</f>
        <v/>
      </c>
      <c r="I106" s="4">
        <f>IFERROR(AVERAGEIFS(交易明細!$L$2:$L$711,交易明細!$B$2:$B$711,$A106,交易明細!$J$2:$J$711,"&lt;&gt;未平倉"),0)</f>
        <v/>
      </c>
      <c r="J106" s="4">
        <f>SUMIFS(交易明細!$L$2:$L$711,交易明細!$B$2:$B$711,$A106,交易明細!$J$2:$J$711,"&lt;&gt;未平倉")</f>
        <v/>
      </c>
      <c r="K106" s="5">
        <f>IFERROR(AVERAGEIFS(交易明細!$K$2:$K$711,交易明細!$B$2:$B$711,$A106,交易明細!$J$2:$J$711,"&lt;&gt;未平倉"),0)</f>
        <v/>
      </c>
      <c r="L106" s="2">
        <f>COUNTIFS(交易明細!$B$2:$B$711,$A106,交易明細!$J$2:$J$711,"未平倉")</f>
        <v/>
      </c>
    </row>
    <row r="107">
      <c r="A107" s="2" t="inlineStr">
        <is>
          <t>ORCA_USDT_PERP</t>
        </is>
      </c>
      <c r="B107" s="2">
        <f>COUNTIFS(交易明細!$B$2:$B$711,$A107)</f>
        <v/>
      </c>
      <c r="C107" s="2">
        <f>COUNTIFS(交易明細!$B$2:$B$711,$A107,交易明細!$C$2:$C$711,"做多")</f>
        <v/>
      </c>
      <c r="D107" s="2">
        <f>COUNTIFS(交易明細!$B$2:$B$711,$A107,交易明細!$C$2:$C$711,"做空")</f>
        <v/>
      </c>
      <c r="E107" s="2">
        <f>F107+G107+COUNTIFS(交易明細!$B$2:$B$711,$A107,交易明細!$J$2:$J$711,"時間出場")</f>
        <v/>
      </c>
      <c r="F107" s="2">
        <f>COUNTIFS(交易明細!$B$2:$B$711,$A107,交易明細!$J$2:$J$711,"止盈")</f>
        <v/>
      </c>
      <c r="G107" s="2">
        <f>COUNTIFS(交易明細!$B$2:$B$711,$A107,交易明細!$J$2:$J$711,"止損")</f>
        <v/>
      </c>
      <c r="H107" s="4">
        <f>IFERROR(F107/E107,0)</f>
        <v/>
      </c>
      <c r="I107" s="4">
        <f>IFERROR(AVERAGEIFS(交易明細!$L$2:$L$711,交易明細!$B$2:$B$711,$A107,交易明細!$J$2:$J$711,"&lt;&gt;未平倉"),0)</f>
        <v/>
      </c>
      <c r="J107" s="4">
        <f>SUMIFS(交易明細!$L$2:$L$711,交易明細!$B$2:$B$711,$A107,交易明細!$J$2:$J$711,"&lt;&gt;未平倉")</f>
        <v/>
      </c>
      <c r="K107" s="5">
        <f>IFERROR(AVERAGEIFS(交易明細!$K$2:$K$711,交易明細!$B$2:$B$711,$A107,交易明細!$J$2:$J$711,"&lt;&gt;未平倉"),0)</f>
        <v/>
      </c>
      <c r="L107" s="2">
        <f>COUNTIFS(交易明細!$B$2:$B$711,$A107,交易明細!$J$2:$J$711,"未平倉")</f>
        <v/>
      </c>
    </row>
    <row r="108">
      <c r="A108" s="2" t="inlineStr">
        <is>
          <t>W_USDT_PERP</t>
        </is>
      </c>
      <c r="B108" s="2">
        <f>COUNTIFS(交易明細!$B$2:$B$711,$A108)</f>
        <v/>
      </c>
      <c r="C108" s="2">
        <f>COUNTIFS(交易明細!$B$2:$B$711,$A108,交易明細!$C$2:$C$711,"做多")</f>
        <v/>
      </c>
      <c r="D108" s="2">
        <f>COUNTIFS(交易明細!$B$2:$B$711,$A108,交易明細!$C$2:$C$711,"做空")</f>
        <v/>
      </c>
      <c r="E108" s="2">
        <f>F108+G108+COUNTIFS(交易明細!$B$2:$B$711,$A108,交易明細!$J$2:$J$711,"時間出場")</f>
        <v/>
      </c>
      <c r="F108" s="2">
        <f>COUNTIFS(交易明細!$B$2:$B$711,$A108,交易明細!$J$2:$J$711,"止盈")</f>
        <v/>
      </c>
      <c r="G108" s="2">
        <f>COUNTIFS(交易明細!$B$2:$B$711,$A108,交易明細!$J$2:$J$711,"止損")</f>
        <v/>
      </c>
      <c r="H108" s="4">
        <f>IFERROR(F108/E108,0)</f>
        <v/>
      </c>
      <c r="I108" s="4">
        <f>IFERROR(AVERAGEIFS(交易明細!$L$2:$L$711,交易明細!$B$2:$B$711,$A108,交易明細!$J$2:$J$711,"&lt;&gt;未平倉"),0)</f>
        <v/>
      </c>
      <c r="J108" s="4">
        <f>SUMIFS(交易明細!$L$2:$L$711,交易明細!$B$2:$B$711,$A108,交易明細!$J$2:$J$711,"&lt;&gt;未平倉")</f>
        <v/>
      </c>
      <c r="K108" s="5">
        <f>IFERROR(AVERAGEIFS(交易明細!$K$2:$K$711,交易明細!$B$2:$B$711,$A108,交易明細!$J$2:$J$711,"&lt;&gt;未平倉"),0)</f>
        <v/>
      </c>
      <c r="L108" s="2">
        <f>COUNTIFS(交易明細!$B$2:$B$711,$A108,交易明細!$J$2:$J$711,"未平倉")</f>
        <v/>
      </c>
    </row>
  </sheetData>
  <autoFilter ref="A1:L10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>
        <is>
          <t>持倉中</t>
        </is>
      </c>
      <c r="D152" s="2" t="n"/>
      <c r="E152" s="20" t="n"/>
      <c r="F152" s="20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>
        <is>
          <t>持倉中</t>
        </is>
      </c>
      <c r="D241" s="2" t="n"/>
      <c r="E241" s="20" t="n"/>
      <c r="F241" s="20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>
        <is>
          <t>持倉中</t>
        </is>
      </c>
      <c r="D257" s="2" t="n"/>
      <c r="E257" s="20" t="n"/>
      <c r="F257" s="20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>
        <is>
          <t>持倉中</t>
        </is>
      </c>
      <c r="D317" s="2" t="n"/>
      <c r="E317" s="20" t="n"/>
      <c r="F317" s="20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>
        <is>
          <t>持倉中</t>
        </is>
      </c>
      <c r="D377" s="2" t="n"/>
      <c r="E377" s="20" t="n"/>
      <c r="F377" s="20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>
        <is>
          <t>持倉中</t>
        </is>
      </c>
      <c r="D397" s="2" t="n"/>
      <c r="E397" s="20" t="n"/>
      <c r="F397" s="20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20" t="n"/>
      <c r="F445" s="20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20" t="n"/>
      <c r="F446" s="20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20" t="n"/>
      <c r="F447" s="20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2026-10-09T16:24:20Z</dcterms:created>
  <dcterms:modified xsi:type="dcterms:W3CDTF">2026-10-09T16:24:21Z</dcterms:modified>
</cp:coreProperties>
</file>