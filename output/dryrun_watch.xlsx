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'資金明細'!$A$1:$Z$511</definedName>
    <definedName name="_xlnm._FilterDatabase" localSheetId="5" hidden="1">'交易明細'!$A$1:$AC$256</definedName>
    <definedName name="_xlnm._FilterDatabase" localSheetId="6" hidden="1">'幣種統計'!$A$1:$L$56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09:41（Dry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COUNTIFS(交易明細!$B$2:$B$256,"&lt;&gt;")</f>
        <v/>
      </c>
      <c r="C5" s="2">
        <f>D5+E5+F5</f>
        <v/>
      </c>
      <c r="D5" s="2">
        <f>COUNTIFS(交易明細!$J$2:$J$256,"止盈")</f>
        <v/>
      </c>
      <c r="E5" s="2">
        <f>COUNTIFS(交易明細!$J$2:$J$256,"止損")</f>
        <v/>
      </c>
      <c r="F5" s="2">
        <f>COUNTIFS(交易明細!$J$2:$J$256,"時間出場")</f>
        <v/>
      </c>
      <c r="G5" s="2">
        <f>COUNTIFS(交易明細!$J$2:$J$256,"未平倉")</f>
        <v/>
      </c>
      <c r="H5" s="4">
        <f>IFERROR(D5/C5,0)</f>
        <v/>
      </c>
      <c r="I5" s="4">
        <f>IFERROR(AVERAGEIFS(交易明細!$AC$2:$AC$256,交易明細!$J$2:$J$256,"&lt;&gt;未平倉"),參數!$B$16)</f>
        <v/>
      </c>
      <c r="J5" s="4">
        <f>IFERROR(AVERAGEIFS(交易明細!$L$2:$L$256,交易明細!$J$2:$J$256,"&lt;&gt;未平倉"),0)</f>
        <v/>
      </c>
      <c r="K5" s="4">
        <f>SUMIFS(交易明細!$L$2:$L$256,交易明細!$J$2:$J$256,"&lt;&gt;未平倉")</f>
        <v/>
      </c>
      <c r="L5" s="5">
        <f>IFERROR(AVERAGEIFS(交易明細!$K$2:$K$256,交易明細!$J$2:$J$256,"&lt;&gt;未平倉"),0)</f>
        <v/>
      </c>
      <c r="M5" s="5">
        <f>IFERROR(AVERAGEIFS(交易明細!$K$2:$K$256,交易明細!$J$2:$J$256,"止盈"),0)</f>
        <v/>
      </c>
      <c r="N5" s="5">
        <f>IFERROR(AVERAGEIFS(交易明細!$K$2:$K$256,交易明細!$J$2:$J$256,"止損"),0)</f>
        <v/>
      </c>
      <c r="O5" s="4">
        <f>IFERROR(AVERAGEIFS(交易明細!$L$2:$L$256,交易明細!$J$2:$J$256,"時間出場"),0)</f>
        <v/>
      </c>
      <c r="P5" s="4">
        <f>IFERROR(COUNTIFS(交易明細!$J$2:$J$256,"&lt;&gt;未平倉",交易明細!$L$2:$L$256,"&gt;0")/C5,0)</f>
        <v/>
      </c>
    </row>
    <row r="6">
      <c r="A6" s="2" t="inlineStr">
        <is>
          <t>做多</t>
        </is>
      </c>
      <c r="B6" s="2">
        <f>COUNTIFS(交易明細!$C$2:$C$256,"做多",交易明細!$B$2:$B$256,"&lt;&gt;")</f>
        <v/>
      </c>
      <c r="C6" s="2">
        <f>D6+E6+F6</f>
        <v/>
      </c>
      <c r="D6" s="2">
        <f>COUNTIFS(交易明細!$C$2:$C$256,"做多",交易明細!$J$2:$J$256,"止盈")</f>
        <v/>
      </c>
      <c r="E6" s="2">
        <f>COUNTIFS(交易明細!$C$2:$C$256,"做多",交易明細!$J$2:$J$256,"止損")</f>
        <v/>
      </c>
      <c r="F6" s="2">
        <f>COUNTIFS(交易明細!$C$2:$C$256,"做多",交易明細!$J$2:$J$256,"時間出場")</f>
        <v/>
      </c>
      <c r="G6" s="2">
        <f>COUNTIFS(交易明細!$C$2:$C$256,"做多",交易明細!$J$2:$J$256,"未平倉")</f>
        <v/>
      </c>
      <c r="H6" s="4">
        <f>IFERROR(D6/C6,0)</f>
        <v/>
      </c>
      <c r="I6" s="4">
        <f>IFERROR(AVERAGEIFS(交易明細!$AC$2:$AC$256,交易明細!$C$2:$C$256,"做多",交易明細!$J$2:$J$256,"&lt;&gt;未平倉"),參數!$B$16)</f>
        <v/>
      </c>
      <c r="J6" s="4">
        <f>IFERROR(AVERAGEIFS(交易明細!$L$2:$L$256,交易明細!$C$2:$C$256,"做多",交易明細!$J$2:$J$256,"&lt;&gt;未平倉"),0)</f>
        <v/>
      </c>
      <c r="K6" s="4">
        <f>SUMIFS(交易明細!$L$2:$L$256,交易明細!$C$2:$C$256,"做多",交易明細!$J$2:$J$256,"&lt;&gt;未平倉")</f>
        <v/>
      </c>
      <c r="L6" s="5">
        <f>IFERROR(AVERAGEIFS(交易明細!$K$2:$K$256,交易明細!$C$2:$C$256,"做多",交易明細!$J$2:$J$256,"&lt;&gt;未平倉"),0)</f>
        <v/>
      </c>
      <c r="M6" s="5">
        <f>IFERROR(AVERAGEIFS(交易明細!$K$2:$K$256,交易明細!$C$2:$C$256,"做多",交易明細!$J$2:$J$256,"止盈"),0)</f>
        <v/>
      </c>
      <c r="N6" s="5">
        <f>IFERROR(AVERAGEIFS(交易明細!$K$2:$K$256,交易明細!$C$2:$C$256,"做多",交易明細!$J$2:$J$256,"止損"),0)</f>
        <v/>
      </c>
      <c r="O6" s="4">
        <f>IFERROR(AVERAGEIFS(交易明細!$L$2:$L$256,交易明細!$C$2:$C$256,"做多",交易明細!$J$2:$J$256,"時間出場"),0)</f>
        <v/>
      </c>
      <c r="P6" s="4">
        <f>IFERROR(COUNTIFS(交易明細!$C$2:$C$256,"做多",交易明細!$J$2:$J$256,"&lt;&gt;未平倉",交易明細!$L$2:$L$256,"&gt;0")/C6,0)</f>
        <v/>
      </c>
    </row>
    <row r="7">
      <c r="A7" s="2" t="inlineStr">
        <is>
          <t>做空</t>
        </is>
      </c>
      <c r="B7" s="2">
        <f>COUNTIFS(交易明細!$C$2:$C$256,"做空",交易明細!$B$2:$B$256,"&lt;&gt;")</f>
        <v/>
      </c>
      <c r="C7" s="2">
        <f>D7+E7+F7</f>
        <v/>
      </c>
      <c r="D7" s="2">
        <f>COUNTIFS(交易明細!$C$2:$C$256,"做空",交易明細!$J$2:$J$256,"止盈")</f>
        <v/>
      </c>
      <c r="E7" s="2">
        <f>COUNTIFS(交易明細!$C$2:$C$256,"做空",交易明細!$J$2:$J$256,"止損")</f>
        <v/>
      </c>
      <c r="F7" s="2">
        <f>COUNTIFS(交易明細!$C$2:$C$256,"做空",交易明細!$J$2:$J$256,"時間出場")</f>
        <v/>
      </c>
      <c r="G7" s="2">
        <f>COUNTIFS(交易明細!$C$2:$C$256,"做空",交易明細!$J$2:$J$256,"未平倉")</f>
        <v/>
      </c>
      <c r="H7" s="4">
        <f>IFERROR(D7/C7,0)</f>
        <v/>
      </c>
      <c r="I7" s="4">
        <f>IFERROR(AVERAGEIFS(交易明細!$AC$2:$AC$256,交易明細!$C$2:$C$256,"做空",交易明細!$J$2:$J$256,"&lt;&gt;未平倉"),參數!$B$16)</f>
        <v/>
      </c>
      <c r="J7" s="4">
        <f>IFERROR(AVERAGEIFS(交易明細!$L$2:$L$256,交易明細!$C$2:$C$256,"做空",交易明細!$J$2:$J$256,"&lt;&gt;未平倉"),0)</f>
        <v/>
      </c>
      <c r="K7" s="4">
        <f>SUMIFS(交易明細!$L$2:$L$256,交易明細!$C$2:$C$256,"做空",交易明細!$J$2:$J$256,"&lt;&gt;未平倉")</f>
        <v/>
      </c>
      <c r="L7" s="5">
        <f>IFERROR(AVERAGEIFS(交易明細!$K$2:$K$256,交易明細!$C$2:$C$256,"做空",交易明細!$J$2:$J$256,"&lt;&gt;未平倉"),0)</f>
        <v/>
      </c>
      <c r="M7" s="5">
        <f>IFERROR(AVERAGEIFS(交易明細!$K$2:$K$256,交易明細!$C$2:$C$256,"做空",交易明細!$J$2:$J$256,"止盈"),0)</f>
        <v/>
      </c>
      <c r="N7" s="5">
        <f>IFERROR(AVERAGEIFS(交易明細!$K$2:$K$256,交易明細!$C$2:$C$256,"做空",交易明細!$J$2:$J$256,"止損"),0)</f>
        <v/>
      </c>
      <c r="O7" s="4">
        <f>IFERROR(AVERAGEIFS(交易明細!$L$2:$L$256,交易明細!$C$2:$C$256,"做空",交易明細!$J$2:$J$256,"時間出場"),0)</f>
        <v/>
      </c>
      <c r="P7" s="4">
        <f>IFERROR(COUNTIFS(交易明細!$C$2:$C$256,"做空",交易明細!$J$2:$J$256,"&lt;&gt;未平倉",交易明細!$L$2:$L$256,"&gt;0")/C7,0)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46282.40350203704</v>
      </c>
      <c r="B2" s="7" t="n">
        <v>46282.39930555555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323.7</v>
      </c>
    </row>
    <row r="3">
      <c r="A3" s="7" t="n">
        <v>46282.39577758102</v>
      </c>
      <c r="B3" s="7" t="n">
        <v>46282.33333333334</v>
      </c>
      <c r="C3" s="2" t="n">
        <v>440</v>
      </c>
      <c r="D3" s="2" t="n">
        <v>0</v>
      </c>
      <c r="E3" s="2" t="n">
        <v>6</v>
      </c>
      <c r="F3" s="2" t="n">
        <v>0</v>
      </c>
      <c r="G3" s="2" t="n">
        <v>50.5</v>
      </c>
    </row>
    <row r="4">
      <c r="A4" s="7" t="n">
        <v>46282.29222982639</v>
      </c>
      <c r="B4" s="7" t="n">
        <v>46282.25</v>
      </c>
      <c r="C4" s="2" t="n">
        <v>440</v>
      </c>
      <c r="D4" s="2" t="n">
        <v>2</v>
      </c>
      <c r="E4" s="2" t="n">
        <v>1</v>
      </c>
      <c r="F4" s="2" t="n">
        <v>0</v>
      </c>
      <c r="G4" s="2" t="n">
        <v>66.2</v>
      </c>
    </row>
    <row r="5">
      <c r="A5" s="7" t="n">
        <v>46282.17576607639</v>
      </c>
      <c r="B5" s="7" t="n">
        <v>46282.125</v>
      </c>
      <c r="C5" s="2" t="n">
        <v>440</v>
      </c>
      <c r="D5" s="2" t="n">
        <v>6</v>
      </c>
      <c r="E5" s="2" t="n">
        <v>1</v>
      </c>
      <c r="F5" s="2" t="n">
        <v>0</v>
      </c>
      <c r="G5" s="2" t="n">
        <v>67</v>
      </c>
    </row>
    <row r="6">
      <c r="A6" s="7" t="n">
        <v>46282.04552453704</v>
      </c>
      <c r="B6" s="7" t="n">
        <v>46282</v>
      </c>
      <c r="C6" s="2" t="n">
        <v>440</v>
      </c>
      <c r="D6" s="2" t="n">
        <v>2</v>
      </c>
      <c r="E6" s="2" t="n">
        <v>4</v>
      </c>
      <c r="F6" s="2" t="n">
        <v>0</v>
      </c>
      <c r="G6" s="2" t="n">
        <v>52.9</v>
      </c>
    </row>
    <row r="7">
      <c r="A7" s="7" t="n">
        <v>46281.82298537037</v>
      </c>
      <c r="B7" s="7" t="n">
        <v>46281.75</v>
      </c>
      <c r="C7" s="2" t="n">
        <v>440</v>
      </c>
      <c r="D7" s="2" t="n">
        <v>2</v>
      </c>
      <c r="E7" s="2" t="n">
        <v>4</v>
      </c>
      <c r="F7" s="2" t="n">
        <v>0</v>
      </c>
      <c r="G7" s="2" t="n">
        <v>65.7</v>
      </c>
    </row>
    <row r="8">
      <c r="A8" s="7" t="n">
        <v>46281.58829054398</v>
      </c>
      <c r="B8" s="7" t="n">
        <v>46281.54166666666</v>
      </c>
      <c r="C8" s="2" t="n">
        <v>440</v>
      </c>
      <c r="D8" s="2" t="n">
        <v>7</v>
      </c>
      <c r="E8" s="2" t="n">
        <v>3</v>
      </c>
      <c r="F8" s="2" t="n">
        <v>0</v>
      </c>
      <c r="G8" s="2" t="n">
        <v>54.5</v>
      </c>
    </row>
    <row r="9">
      <c r="A9" s="7" t="n">
        <v>46281.35205523148</v>
      </c>
      <c r="B9" s="7" t="n">
        <v>46281.29166666666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66.90000000000001</v>
      </c>
    </row>
    <row r="10">
      <c r="A10" s="7" t="n">
        <v>46281.22963460648</v>
      </c>
      <c r="B10" s="7" t="n">
        <v>46281.16666666666</v>
      </c>
      <c r="C10" s="2" t="n">
        <v>442</v>
      </c>
      <c r="D10" s="2" t="n">
        <v>3</v>
      </c>
      <c r="E10" s="2" t="n">
        <v>2</v>
      </c>
      <c r="F10" s="2" t="n">
        <v>0</v>
      </c>
      <c r="G10" s="2" t="n">
        <v>61.9</v>
      </c>
    </row>
    <row r="11">
      <c r="A11" s="7" t="n">
        <v>46281.094529375</v>
      </c>
      <c r="B11" s="7" t="n">
        <v>46281.04166666666</v>
      </c>
      <c r="C11" s="2" t="n">
        <v>442</v>
      </c>
      <c r="D11" s="2" t="n">
        <v>6</v>
      </c>
      <c r="E11" s="2" t="n">
        <v>6</v>
      </c>
      <c r="F11" s="2" t="n">
        <v>0</v>
      </c>
      <c r="G11" s="2" t="n">
        <v>46.5</v>
      </c>
    </row>
    <row r="12">
      <c r="A12" s="7" t="n">
        <v>46280.9017994676</v>
      </c>
      <c r="B12" s="7" t="n">
        <v>46280.83333333334</v>
      </c>
      <c r="C12" s="2" t="n">
        <v>442</v>
      </c>
      <c r="D12" s="2" t="n">
        <v>2</v>
      </c>
      <c r="E12" s="2" t="n">
        <v>4</v>
      </c>
      <c r="F12" s="2" t="n">
        <v>0</v>
      </c>
      <c r="G12" s="2" t="n">
        <v>56.7</v>
      </c>
    </row>
    <row r="13">
      <c r="A13" s="7" t="n">
        <v>46280.66002480324</v>
      </c>
      <c r="B13" s="7" t="n">
        <v>46280.58333333334</v>
      </c>
      <c r="C13" s="2" t="n">
        <v>442</v>
      </c>
      <c r="D13" s="2" t="n">
        <v>2</v>
      </c>
      <c r="E13" s="2" t="n">
        <v>3</v>
      </c>
      <c r="F13" s="2" t="n">
        <v>0</v>
      </c>
      <c r="G13" s="2" t="n">
        <v>67.40000000000001</v>
      </c>
    </row>
    <row r="14">
      <c r="A14" s="7" t="n">
        <v>46280.4778358449</v>
      </c>
      <c r="B14" s="7" t="n">
        <v>46280.41666666666</v>
      </c>
      <c r="C14" s="2" t="n">
        <v>442</v>
      </c>
      <c r="D14" s="2" t="n">
        <v>1</v>
      </c>
      <c r="E14" s="2" t="n">
        <v>0</v>
      </c>
      <c r="F14" s="2" t="n">
        <v>0</v>
      </c>
      <c r="G14" s="2" t="n">
        <v>61.2</v>
      </c>
    </row>
    <row r="15">
      <c r="A15" s="7" t="n">
        <v>46280.39795681713</v>
      </c>
      <c r="B15" s="7" t="n">
        <v>46280.33333333334</v>
      </c>
      <c r="C15" s="2" t="n">
        <v>442</v>
      </c>
      <c r="D15" s="2" t="n">
        <v>0</v>
      </c>
      <c r="E15" s="2" t="n">
        <v>1</v>
      </c>
      <c r="F15" s="2" t="n">
        <v>0</v>
      </c>
      <c r="G15" s="2" t="n">
        <v>66.90000000000001</v>
      </c>
    </row>
    <row r="16">
      <c r="A16" s="7" t="n">
        <v>46280.29983445602</v>
      </c>
      <c r="B16" s="7" t="n">
        <v>46280.25</v>
      </c>
      <c r="C16" s="2" t="n">
        <v>442</v>
      </c>
      <c r="D16" s="2" t="n">
        <v>1</v>
      </c>
      <c r="E16" s="2" t="n">
        <v>1</v>
      </c>
      <c r="F16" s="2" t="n">
        <v>0</v>
      </c>
      <c r="G16" s="2" t="n">
        <v>51.6</v>
      </c>
    </row>
    <row r="17">
      <c r="A17" s="7" t="n">
        <v>46280.14350143519</v>
      </c>
      <c r="B17" s="7" t="n">
        <v>46280.08333333334</v>
      </c>
      <c r="C17" s="2" t="n">
        <v>442</v>
      </c>
      <c r="D17" s="2" t="n">
        <v>3</v>
      </c>
      <c r="E17" s="2" t="n">
        <v>1</v>
      </c>
      <c r="F17" s="2" t="n">
        <v>0</v>
      </c>
      <c r="G17" s="2" t="n">
        <v>57.3</v>
      </c>
    </row>
    <row r="18">
      <c r="A18" s="7" t="n">
        <v>46279.92418226852</v>
      </c>
      <c r="B18" s="7" t="n">
        <v>46279.875</v>
      </c>
      <c r="C18" s="2" t="n">
        <v>442</v>
      </c>
      <c r="D18" s="2" t="n">
        <v>6</v>
      </c>
      <c r="E18" s="2" t="n">
        <v>7</v>
      </c>
      <c r="F18" s="2" t="n">
        <v>0</v>
      </c>
      <c r="G18" s="2" t="n">
        <v>48.1</v>
      </c>
    </row>
    <row r="19">
      <c r="A19" s="7" t="n">
        <v>46279.59996445602</v>
      </c>
      <c r="B19" s="7" t="n">
        <v>46279.54166666666</v>
      </c>
      <c r="C19" s="2" t="n">
        <v>442</v>
      </c>
      <c r="D19" s="2" t="n">
        <v>2</v>
      </c>
      <c r="E19" s="2" t="n">
        <v>3</v>
      </c>
      <c r="F19" s="2" t="n">
        <v>0</v>
      </c>
      <c r="G19" s="2" t="n">
        <v>61</v>
      </c>
    </row>
    <row r="20">
      <c r="A20" s="7" t="n">
        <v>46279.38316741898</v>
      </c>
      <c r="B20" s="7" t="n">
        <v>46279.33333333334</v>
      </c>
      <c r="C20" s="2" t="n">
        <v>442</v>
      </c>
      <c r="D20" s="2" t="n">
        <v>2</v>
      </c>
      <c r="E20" s="2" t="n">
        <v>2</v>
      </c>
      <c r="F20" s="2" t="n">
        <v>0</v>
      </c>
      <c r="G20" s="2" t="n">
        <v>59.9</v>
      </c>
    </row>
    <row r="21">
      <c r="A21" s="7" t="n">
        <v>46279.26932584491</v>
      </c>
      <c r="B21" s="7" t="n">
        <v>46279.20833333334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61.1</v>
      </c>
    </row>
    <row r="22">
      <c r="A22" s="7" t="n">
        <v>46279.14665413195</v>
      </c>
      <c r="B22" s="7" t="n">
        <v>46279.08333333334</v>
      </c>
      <c r="C22" s="2" t="n">
        <v>442</v>
      </c>
      <c r="D22" s="2" t="n">
        <v>1</v>
      </c>
      <c r="E22" s="2" t="n">
        <v>0</v>
      </c>
      <c r="F22" s="2" t="n">
        <v>0</v>
      </c>
      <c r="G22" s="2" t="n">
        <v>55.1</v>
      </c>
    </row>
    <row r="23">
      <c r="A23" s="7" t="n">
        <v>46279.01733591435</v>
      </c>
      <c r="B23" s="7" t="n">
        <v>46278.95833333334</v>
      </c>
      <c r="C23" s="2" t="n">
        <v>442</v>
      </c>
      <c r="D23" s="2" t="n">
        <v>2</v>
      </c>
      <c r="E23" s="2" t="n">
        <v>4</v>
      </c>
      <c r="F23" s="2" t="n">
        <v>0</v>
      </c>
      <c r="G23" s="2" t="n">
        <v>59.7</v>
      </c>
    </row>
    <row r="24">
      <c r="A24" s="7" t="n">
        <v>46278.83725055555</v>
      </c>
      <c r="B24" s="7" t="n">
        <v>46278.79166666666</v>
      </c>
      <c r="C24" s="2" t="n">
        <v>442</v>
      </c>
      <c r="D24" s="2" t="n">
        <v>0</v>
      </c>
      <c r="E24" s="2" t="n">
        <v>3</v>
      </c>
      <c r="F24" s="2" t="n">
        <v>0</v>
      </c>
      <c r="G24" s="2" t="n">
        <v>65.40000000000001</v>
      </c>
    </row>
    <row r="25">
      <c r="A25" s="7" t="n">
        <v>46278.71111972223</v>
      </c>
      <c r="B25" s="7" t="n">
        <v>46278.66666666666</v>
      </c>
      <c r="C25" s="2" t="n">
        <v>442</v>
      </c>
      <c r="D25" s="2" t="n">
        <v>3</v>
      </c>
      <c r="E25" s="2" t="n">
        <v>1</v>
      </c>
      <c r="F25" s="2" t="n">
        <v>0</v>
      </c>
      <c r="G25" s="2" t="n">
        <v>63.6</v>
      </c>
    </row>
    <row r="26">
      <c r="A26" s="7" t="n">
        <v>46278.68053923611</v>
      </c>
      <c r="B26" s="7" t="n">
        <v>46278.625</v>
      </c>
      <c r="C26" s="2" t="n">
        <v>442</v>
      </c>
      <c r="D26" s="2" t="n">
        <v>9</v>
      </c>
      <c r="E26" s="2" t="n">
        <v>10</v>
      </c>
      <c r="F26" s="2" t="n">
        <v>0</v>
      </c>
      <c r="G26" s="2" t="n">
        <v>63.6</v>
      </c>
    </row>
    <row r="27">
      <c r="A27" s="7" t="n">
        <v>46278.07354997685</v>
      </c>
      <c r="B27" s="7" t="n">
        <v>46278</v>
      </c>
      <c r="C27" s="2" t="n">
        <v>442</v>
      </c>
      <c r="D27" s="2" t="n">
        <v>3</v>
      </c>
      <c r="E27" s="2" t="n">
        <v>1</v>
      </c>
      <c r="F27" s="2" t="n">
        <v>0</v>
      </c>
      <c r="G27" s="2" t="n">
        <v>50.2</v>
      </c>
    </row>
    <row r="28">
      <c r="A28" s="7" t="n">
        <v>46277.94390239583</v>
      </c>
      <c r="B28" s="7" t="n">
        <v>46277.875</v>
      </c>
      <c r="C28" s="2" t="n">
        <v>442</v>
      </c>
      <c r="D28" s="2" t="n">
        <v>190</v>
      </c>
      <c r="E28" s="2" t="n">
        <v>186</v>
      </c>
      <c r="F28" s="2" t="n">
        <v>0</v>
      </c>
      <c r="G2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資金明細!R511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MAX(資金明細!$R$2:$R$511)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MIN(資金明細!$R$2:$R$511)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MIN(資金明細!$X$2:$X$511)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COUNTIFS(資金明細!$C$2:$C$511,"進場",資金明細!$N$2:$N$511,"已下單")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COUNTIFS(資金明細!$C$2:$C$511,"進場",資金明細!$N$2:$N$511,"資金不足略過")</f>
        <v/>
      </c>
    </row>
    <row r="11">
      <c r="D11" s="2" t="inlineStr">
        <is>
          <t>止盈筆數</t>
        </is>
      </c>
      <c r="E11" s="15">
        <f>COUNTIFS(資金明細!$C$2:$C$511,"出場",資金明細!$N$2:$N$511,"已下單",資金明細!$K$2:$K$511,"止盈")</f>
        <v/>
      </c>
    </row>
    <row r="12">
      <c r="A12" s="2" t="inlineStr">
        <is>
          <t>每筆止損約虧本金</t>
        </is>
      </c>
      <c r="B12" s="4">
        <f>B5*B7*IFERROR(AVERAGE(交易明細!$AB$2:$AB$256),參數!B6)</f>
        <v/>
      </c>
      <c r="D12" s="2" t="inlineStr">
        <is>
          <t>止損筆數</t>
        </is>
      </c>
      <c r="E12" s="15">
        <f>COUNTIFS(資金明細!$C$2:$C$511,"出場",資金明細!$N$2:$N$511,"已下單",資金明細!$K$2:$K$511,"止損")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IFERROR(E11/COUNTIFS(資金明細!$C$2:$C$511,"出場",資金明細!$N$2:$N$511,"已下單"),0)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MAX(資金明細!$U$2:$U$511)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MAX(資金明細!$S$2:$S$511)</f>
        <v/>
      </c>
    </row>
    <row r="16">
      <c r="D16" s="2" t="inlineStr">
        <is>
          <t>期末下單金額</t>
        </is>
      </c>
      <c r="E16" s="16">
        <f>B5*資金明細!V511</f>
        <v/>
      </c>
    </row>
    <row r="17">
      <c r="D17" s="2" t="inlineStr">
        <is>
          <t>未平倉浮動損益（未計入）</t>
        </is>
      </c>
      <c r="E17" s="10">
        <f>IF(資金明細!N501="已下單",資金明細!O501*交易明細!L253,0)</f>
        <v/>
      </c>
    </row>
    <row r="18">
      <c r="D18" s="2" t="inlineStr">
        <is>
          <t>最大總曝險倍數</t>
        </is>
      </c>
      <c r="E18" s="16">
        <f>MAX(資金明細!$Y$2:$Y$511)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IFERROR(INDEX(資金明細!$B$2:$B$511,MATCH(1,資金明細!$Z$2:$Z$511,0)),"未觸發")</f>
        <v/>
      </c>
    </row>
    <row r="21">
      <c r="D21" s="2" t="inlineStr">
        <is>
          <t>停止後略過筆數</t>
        </is>
      </c>
      <c r="E21" s="15">
        <f>COUNTIFS(資金明細!$C$2:$C$511,"進場",資金明細!$N$2:$N$511,"已停止")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n"/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17" t="n">
        <v>0.22015</v>
      </c>
      <c r="H474" s="17" t="n">
        <v>0.2267545</v>
      </c>
      <c r="I474" s="17" t="n">
        <v>0.2091425</v>
      </c>
      <c r="J474" s="17" t="n"/>
      <c r="K474" s="2" t="n"/>
      <c r="L474" s="5" t="n"/>
      <c r="M474" s="16">
        <f>資金模擬!$B$5*V473</f>
        <v/>
      </c>
      <c r="N474" s="2">
        <f>IF(Z473=1,"已停止",IF(T473&gt;=M474,"已下單","資金不足略過"))</f>
        <v/>
      </c>
      <c r="O474" s="16">
        <f>IF(N474="已下單",M474*資金模擬!$B$7,0)</f>
        <v/>
      </c>
      <c r="P474" s="4" t="n"/>
      <c r="Q474" s="10" t="n">
        <v>0</v>
      </c>
      <c r="R474" s="10">
        <f>R473+Q474</f>
        <v/>
      </c>
      <c r="S474" s="16">
        <f>S473+IF(N474="已下單",M474,0)</f>
        <v/>
      </c>
      <c r="T474" s="16">
        <f>R474-S474</f>
        <v/>
      </c>
      <c r="U474" s="2">
        <f>U473+IF(N474="已下單",1,0)</f>
        <v/>
      </c>
      <c r="V474" s="16">
        <f>IF(資金模擬!$B$9=2,MAX(R474,0),MAX(V473,FLOOR(MAX(R474,0),資金模擬!$B$6)))</f>
        <v/>
      </c>
      <c r="W474" s="10">
        <f>MAX(W473,R474)</f>
        <v/>
      </c>
      <c r="X474" s="4">
        <f>IF(W474&gt;0,R474/W474-1,-1)</f>
        <v/>
      </c>
      <c r="Y474" s="16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17" t="n">
        <v>0.6093</v>
      </c>
      <c r="H475" s="17" t="n">
        <v>0.5910209999999999</v>
      </c>
      <c r="I475" s="17" t="n">
        <v>0.639765</v>
      </c>
      <c r="J475" s="17" t="n"/>
      <c r="K475" s="2" t="n"/>
      <c r="L475" s="5" t="n"/>
      <c r="M475" s="16">
        <f>資金模擬!$B$5*V474</f>
        <v/>
      </c>
      <c r="N475" s="2">
        <f>IF(Z474=1,"已停止",IF(T474&gt;=M475,"已下單","資金不足略過"))</f>
        <v/>
      </c>
      <c r="O475" s="16">
        <f>IF(N475="已下單",M475*資金模擬!$B$7,0)</f>
        <v/>
      </c>
      <c r="P475" s="4" t="n"/>
      <c r="Q475" s="10" t="n">
        <v>0</v>
      </c>
      <c r="R475" s="10">
        <f>R474+Q475</f>
        <v/>
      </c>
      <c r="S475" s="16">
        <f>S474+IF(N475="已下單",M475,0)</f>
        <v/>
      </c>
      <c r="T475" s="16">
        <f>R475-S475</f>
        <v/>
      </c>
      <c r="U475" s="2">
        <f>U474+IF(N475="已下單",1,0)</f>
        <v/>
      </c>
      <c r="V475" s="16">
        <f>IF(資金模擬!$B$9=2,MAX(R475,0),MAX(V474,FLOOR(MAX(R475,0),資金模擬!$B$6)))</f>
        <v/>
      </c>
      <c r="W475" s="10">
        <f>MAX(W474,R475)</f>
        <v/>
      </c>
      <c r="X475" s="4">
        <f>IF(W475&gt;0,R475/W475-1,-1)</f>
        <v/>
      </c>
      <c r="Y475" s="16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17" t="n">
        <v>0.003404</v>
      </c>
      <c r="H476" s="17" t="n">
        <v>0.00330188</v>
      </c>
      <c r="I476" s="17" t="n">
        <v>0.0035742</v>
      </c>
      <c r="J476" s="17" t="n"/>
      <c r="K476" s="2" t="n"/>
      <c r="L476" s="5" t="n"/>
      <c r="M476" s="16">
        <f>資金模擬!$B$5*V475</f>
        <v/>
      </c>
      <c r="N476" s="2">
        <f>IF(Z475=1,"已停止",IF(T475&gt;=M476,"已下單","資金不足略過"))</f>
        <v/>
      </c>
      <c r="O476" s="16">
        <f>IF(N476="已下單",M476*資金模擬!$B$7,0)</f>
        <v/>
      </c>
      <c r="P476" s="4" t="n"/>
      <c r="Q476" s="10" t="n">
        <v>0</v>
      </c>
      <c r="R476" s="10">
        <f>R475+Q476</f>
        <v/>
      </c>
      <c r="S476" s="16">
        <f>S475+IF(N476="已下單",M476,0)</f>
        <v/>
      </c>
      <c r="T476" s="16">
        <f>R476-S476</f>
        <v/>
      </c>
      <c r="U476" s="2">
        <f>U475+IF(N476="已下單",1,0)</f>
        <v/>
      </c>
      <c r="V476" s="16">
        <f>IF(資金模擬!$B$9=2,MAX(R476,0),MAX(V475,FLOOR(MAX(R476,0),資金模擬!$B$6)))</f>
        <v/>
      </c>
      <c r="W476" s="10">
        <f>MAX(W475,R476)</f>
        <v/>
      </c>
      <c r="X476" s="4">
        <f>IF(W476&gt;0,R476/W476-1,-1)</f>
        <v/>
      </c>
      <c r="Y476" s="16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17" t="n">
        <v>6.241</v>
      </c>
      <c r="H477" s="17" t="n">
        <v>6.053769999999999</v>
      </c>
      <c r="I477" s="17" t="n">
        <v>6.55305</v>
      </c>
      <c r="J477" s="17" t="n"/>
      <c r="K477" s="2" t="n"/>
      <c r="L477" s="5" t="n"/>
      <c r="M477" s="16">
        <f>資金模擬!$B$5*V476</f>
        <v/>
      </c>
      <c r="N477" s="2">
        <f>IF(Z476=1,"已停止",IF(T476&gt;=M477,"已下單","資金不足略過"))</f>
        <v/>
      </c>
      <c r="O477" s="16">
        <f>IF(N477="已下單",M477*資金模擬!$B$7,0)</f>
        <v/>
      </c>
      <c r="P477" s="4" t="n"/>
      <c r="Q477" s="10" t="n">
        <v>0</v>
      </c>
      <c r="R477" s="10">
        <f>R476+Q477</f>
        <v/>
      </c>
      <c r="S477" s="16">
        <f>S476+IF(N477="已下單",M477,0)</f>
        <v/>
      </c>
      <c r="T477" s="16">
        <f>R477-S477</f>
        <v/>
      </c>
      <c r="U477" s="2">
        <f>U476+IF(N477="已下單",1,0)</f>
        <v/>
      </c>
      <c r="V477" s="16">
        <f>IF(資金模擬!$B$9=2,MAX(R477,0),MAX(V476,FLOOR(MAX(R477,0),資金模擬!$B$6)))</f>
        <v/>
      </c>
      <c r="W477" s="10">
        <f>MAX(W476,R477)</f>
        <v/>
      </c>
      <c r="X477" s="4">
        <f>IF(W477&gt;0,R477/W477-1,-1)</f>
        <v/>
      </c>
      <c r="Y477" s="16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17" t="n">
        <v>0.11407</v>
      </c>
      <c r="H478" s="17" t="n">
        <v>0.1106479</v>
      </c>
      <c r="I478" s="17" t="n">
        <v>0.1197735</v>
      </c>
      <c r="J478" s="17" t="n"/>
      <c r="K478" s="2" t="n"/>
      <c r="L478" s="5" t="n"/>
      <c r="M478" s="16">
        <f>資金模擬!$B$5*V477</f>
        <v/>
      </c>
      <c r="N478" s="2">
        <f>IF(Z477=1,"已停止",IF(T477&gt;=M478,"已下單","資金不足略過"))</f>
        <v/>
      </c>
      <c r="O478" s="16">
        <f>IF(N478="已下單",M478*資金模擬!$B$7,0)</f>
        <v/>
      </c>
      <c r="P478" s="4" t="n"/>
      <c r="Q478" s="10" t="n">
        <v>0</v>
      </c>
      <c r="R478" s="10">
        <f>R477+Q478</f>
        <v/>
      </c>
      <c r="S478" s="16">
        <f>S477+IF(N478="已下單",M478,0)</f>
        <v/>
      </c>
      <c r="T478" s="16">
        <f>R478-S478</f>
        <v/>
      </c>
      <c r="U478" s="2">
        <f>U477+IF(N478="已下單",1,0)</f>
        <v/>
      </c>
      <c r="V478" s="16">
        <f>IF(資金模擬!$B$9=2,MAX(R478,0),MAX(V477,FLOOR(MAX(R478,0),資金模擬!$B$6)))</f>
        <v/>
      </c>
      <c r="W478" s="10">
        <f>MAX(W477,R478)</f>
        <v/>
      </c>
      <c r="X478" s="4">
        <f>IF(W478&gt;0,R478/W478-1,-1)</f>
        <v/>
      </c>
      <c r="Y478" s="16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17" t="n">
        <v>0.16882</v>
      </c>
      <c r="H479" s="17" t="n">
        <v>0.1637554</v>
      </c>
      <c r="I479" s="17" t="n">
        <v>0.177261</v>
      </c>
      <c r="J479" s="17" t="n"/>
      <c r="K479" s="2" t="n"/>
      <c r="L479" s="5" t="n"/>
      <c r="M479" s="16">
        <f>資金模擬!$B$5*V478</f>
        <v/>
      </c>
      <c r="N479" s="2">
        <f>IF(Z478=1,"已停止",IF(T478&gt;=M479,"已下單","資金不足略過"))</f>
        <v/>
      </c>
      <c r="O479" s="16">
        <f>IF(N479="已下單",M479*資金模擬!$B$7,0)</f>
        <v/>
      </c>
      <c r="P479" s="4" t="n"/>
      <c r="Q479" s="10" t="n">
        <v>0</v>
      </c>
      <c r="R479" s="10">
        <f>R478+Q479</f>
        <v/>
      </c>
      <c r="S479" s="16">
        <f>S478+IF(N479="已下單",M479,0)</f>
        <v/>
      </c>
      <c r="T479" s="16">
        <f>R479-S479</f>
        <v/>
      </c>
      <c r="U479" s="2">
        <f>U478+IF(N479="已下單",1,0)</f>
        <v/>
      </c>
      <c r="V479" s="16">
        <f>IF(資金模擬!$B$9=2,MAX(R479,0),MAX(V478,FLOOR(MAX(R479,0),資金模擬!$B$6)))</f>
        <v/>
      </c>
      <c r="W479" s="10">
        <f>MAX(W478,R479)</f>
        <v/>
      </c>
      <c r="X479" s="4">
        <f>IF(W479&gt;0,R479/W479-1,-1)</f>
        <v/>
      </c>
      <c r="Y479" s="16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17" t="n">
        <v>0.6093</v>
      </c>
      <c r="H480" s="17" t="n">
        <v>0.5910209999999999</v>
      </c>
      <c r="I480" s="17" t="n">
        <v>0.639765</v>
      </c>
      <c r="J480" s="17" t="n">
        <v>0.5910209999999999</v>
      </c>
      <c r="K480" s="2" t="inlineStr">
        <is>
          <t>止盈</t>
        </is>
      </c>
      <c r="L480" s="5">
        <f>交易明細!K239</f>
        <v/>
      </c>
      <c r="M480" s="16">
        <f>M475</f>
        <v/>
      </c>
      <c r="N480" s="2">
        <f>N475</f>
        <v/>
      </c>
      <c r="O480" s="16">
        <f>O475</f>
        <v/>
      </c>
      <c r="P480" s="4">
        <f>交易明細!L239</f>
        <v/>
      </c>
      <c r="Q480" s="10">
        <f>IF(N480="已下單",O480*P480,0)</f>
        <v/>
      </c>
      <c r="R480" s="10">
        <f>R479+Q480</f>
        <v/>
      </c>
      <c r="S480" s="16">
        <f>S479-IF(N480="已下單",M480,0)</f>
        <v/>
      </c>
      <c r="T480" s="16">
        <f>R480-S480</f>
        <v/>
      </c>
      <c r="U480" s="2">
        <f>U479-IF(N480="已下單",1,0)</f>
        <v/>
      </c>
      <c r="V480" s="16">
        <f>IF(資金模擬!$B$9=2,MAX(R480,0),MAX(V479,FLOOR(MAX(R480,0),資金模擬!$B$6)))</f>
        <v/>
      </c>
      <c r="W480" s="10">
        <f>MAX(W479,R480)</f>
        <v/>
      </c>
      <c r="X480" s="4">
        <f>IF(W480&gt;0,R480/W480-1,-1)</f>
        <v/>
      </c>
      <c r="Y480" s="16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17" t="n">
        <v>0.16882</v>
      </c>
      <c r="H481" s="17" t="n">
        <v>0.1637554</v>
      </c>
      <c r="I481" s="17" t="n">
        <v>0.177261</v>
      </c>
      <c r="J481" s="17" t="n">
        <v>0.1637554</v>
      </c>
      <c r="K481" s="2" t="inlineStr">
        <is>
          <t>止盈</t>
        </is>
      </c>
      <c r="L481" s="5">
        <f>交易明細!K243</f>
        <v/>
      </c>
      <c r="M481" s="16">
        <f>M479</f>
        <v/>
      </c>
      <c r="N481" s="2">
        <f>N479</f>
        <v/>
      </c>
      <c r="O481" s="16">
        <f>O479</f>
        <v/>
      </c>
      <c r="P481" s="4">
        <f>交易明細!L243</f>
        <v/>
      </c>
      <c r="Q481" s="10">
        <f>IF(N481="已下單",O481*P481,0)</f>
        <v/>
      </c>
      <c r="R481" s="10">
        <f>R480+Q481</f>
        <v/>
      </c>
      <c r="S481" s="16">
        <f>S480-IF(N481="已下單",M481,0)</f>
        <v/>
      </c>
      <c r="T481" s="16">
        <f>R481-S481</f>
        <v/>
      </c>
      <c r="U481" s="2">
        <f>U480-IF(N481="已下單",1,0)</f>
        <v/>
      </c>
      <c r="V481" s="16">
        <f>IF(資金模擬!$B$9=2,MAX(R481,0),MAX(V480,FLOOR(MAX(R481,0),資金模擬!$B$6)))</f>
        <v/>
      </c>
      <c r="W481" s="10">
        <f>MAX(W480,R481)</f>
        <v/>
      </c>
      <c r="X481" s="4">
        <f>IF(W481&gt;0,R481/W481-1,-1)</f>
        <v/>
      </c>
      <c r="Y481" s="16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17" t="n">
        <v>0.22015</v>
      </c>
      <c r="H482" s="17" t="n">
        <v>0.2267545</v>
      </c>
      <c r="I482" s="17" t="n">
        <v>0.2091425</v>
      </c>
      <c r="J482" s="17" t="n">
        <v>0.2267545</v>
      </c>
      <c r="K482" s="2" t="inlineStr">
        <is>
          <t>止盈</t>
        </is>
      </c>
      <c r="L482" s="5">
        <f>交易明細!K238</f>
        <v/>
      </c>
      <c r="M482" s="16">
        <f>M474</f>
        <v/>
      </c>
      <c r="N482" s="2">
        <f>N474</f>
        <v/>
      </c>
      <c r="O482" s="16">
        <f>O474</f>
        <v/>
      </c>
      <c r="P482" s="4">
        <f>交易明細!L238</f>
        <v/>
      </c>
      <c r="Q482" s="10">
        <f>IF(N482="已下單",O482*P482,0)</f>
        <v/>
      </c>
      <c r="R482" s="10">
        <f>R481+Q482</f>
        <v/>
      </c>
      <c r="S482" s="16">
        <f>S481-IF(N482="已下單",M482,0)</f>
        <v/>
      </c>
      <c r="T482" s="16">
        <f>R482-S482</f>
        <v/>
      </c>
      <c r="U482" s="2">
        <f>U481-IF(N482="已下單",1,0)</f>
        <v/>
      </c>
      <c r="V482" s="16">
        <f>IF(資金模擬!$B$9=2,MAX(R482,0),MAX(V481,FLOOR(MAX(R482,0),資金模擬!$B$6)))</f>
        <v/>
      </c>
      <c r="W482" s="10">
        <f>MAX(W481,R482)</f>
        <v/>
      </c>
      <c r="X482" s="4">
        <f>IF(W482&gt;0,R482/W482-1,-1)</f>
        <v/>
      </c>
      <c r="Y482" s="16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17" t="n">
        <v>0.0280655</v>
      </c>
      <c r="H483" s="17" t="n">
        <v>0.028907465</v>
      </c>
      <c r="I483" s="17" t="n">
        <v>0.026662225</v>
      </c>
      <c r="J483" s="17" t="n"/>
      <c r="K483" s="2" t="n"/>
      <c r="L483" s="5" t="n"/>
      <c r="M483" s="16">
        <f>資金模擬!$B$5*V482</f>
        <v/>
      </c>
      <c r="N483" s="2">
        <f>IF(Z482=1,"已停止",IF(T482&gt;=M483,"已下單","資金不足略過"))</f>
        <v/>
      </c>
      <c r="O483" s="16">
        <f>IF(N483="已下單",M483*資金模擬!$B$7,0)</f>
        <v/>
      </c>
      <c r="P483" s="4" t="n"/>
      <c r="Q483" s="10" t="n">
        <v>0</v>
      </c>
      <c r="R483" s="10">
        <f>R482+Q483</f>
        <v/>
      </c>
      <c r="S483" s="16">
        <f>S482+IF(N483="已下單",M483,0)</f>
        <v/>
      </c>
      <c r="T483" s="16">
        <f>R483-S483</f>
        <v/>
      </c>
      <c r="U483" s="2">
        <f>U482+IF(N483="已下單",1,0)</f>
        <v/>
      </c>
      <c r="V483" s="16">
        <f>IF(資金模擬!$B$9=2,MAX(R483,0),MAX(V482,FLOOR(MAX(R483,0),資金模擬!$B$6)))</f>
        <v/>
      </c>
      <c r="W483" s="10">
        <f>MAX(W482,R483)</f>
        <v/>
      </c>
      <c r="X483" s="4">
        <f>IF(W483&gt;0,R483/W483-1,-1)</f>
        <v/>
      </c>
      <c r="Y483" s="16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17" t="n">
        <v>0.0280655</v>
      </c>
      <c r="H484" s="17" t="n">
        <v>0.028907465</v>
      </c>
      <c r="I484" s="17" t="n">
        <v>0.026662225</v>
      </c>
      <c r="J484" s="17" t="n">
        <v>0.026662225</v>
      </c>
      <c r="K484" s="2" t="inlineStr">
        <is>
          <t>止損</t>
        </is>
      </c>
      <c r="L484" s="5">
        <f>交易明細!K244</f>
        <v/>
      </c>
      <c r="M484" s="16">
        <f>M483</f>
        <v/>
      </c>
      <c r="N484" s="2">
        <f>N483</f>
        <v/>
      </c>
      <c r="O484" s="16">
        <f>O483</f>
        <v/>
      </c>
      <c r="P484" s="4">
        <f>交易明細!L244</f>
        <v/>
      </c>
      <c r="Q484" s="10">
        <f>IF(N484="已下單",O484*P484,0)</f>
        <v/>
      </c>
      <c r="R484" s="10">
        <f>R483+Q484</f>
        <v/>
      </c>
      <c r="S484" s="16">
        <f>S483-IF(N484="已下單",M484,0)</f>
        <v/>
      </c>
      <c r="T484" s="16">
        <f>R484-S484</f>
        <v/>
      </c>
      <c r="U484" s="2">
        <f>U483-IF(N484="已下單",1,0)</f>
        <v/>
      </c>
      <c r="V484" s="16">
        <f>IF(資金模擬!$B$9=2,MAX(R484,0),MAX(V483,FLOOR(MAX(R484,0),資金模擬!$B$6)))</f>
        <v/>
      </c>
      <c r="W484" s="10">
        <f>MAX(W483,R484)</f>
        <v/>
      </c>
      <c r="X484" s="4">
        <f>IF(W484&gt;0,R484/W484-1,-1)</f>
        <v/>
      </c>
      <c r="Y484" s="16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17" t="n">
        <v>1187.67</v>
      </c>
      <c r="H485" s="17" t="n">
        <v>1223.3001</v>
      </c>
      <c r="I485" s="17" t="n">
        <v>1128.2865</v>
      </c>
      <c r="J485" s="17" t="n"/>
      <c r="K485" s="2" t="n"/>
      <c r="L485" s="5" t="n"/>
      <c r="M485" s="16">
        <f>資金模擬!$B$5*V484</f>
        <v/>
      </c>
      <c r="N485" s="2">
        <f>IF(Z484=1,"已停止",IF(T484&gt;=M485,"已下單","資金不足略過"))</f>
        <v/>
      </c>
      <c r="O485" s="16">
        <f>IF(N485="已下單",M485*資金模擬!$B$7,0)</f>
        <v/>
      </c>
      <c r="P485" s="4" t="n"/>
      <c r="Q485" s="10" t="n">
        <v>0</v>
      </c>
      <c r="R485" s="10">
        <f>R484+Q485</f>
        <v/>
      </c>
      <c r="S485" s="16">
        <f>S484+IF(N485="已下單",M485,0)</f>
        <v/>
      </c>
      <c r="T485" s="16">
        <f>R485-S485</f>
        <v/>
      </c>
      <c r="U485" s="2">
        <f>U484+IF(N485="已下單",1,0)</f>
        <v/>
      </c>
      <c r="V485" s="16">
        <f>IF(資金模擬!$B$9=2,MAX(R485,0),MAX(V484,FLOOR(MAX(R485,0),資金模擬!$B$6)))</f>
        <v/>
      </c>
      <c r="W485" s="10">
        <f>MAX(W484,R485)</f>
        <v/>
      </c>
      <c r="X485" s="4">
        <f>IF(W485&gt;0,R485/W485-1,-1)</f>
        <v/>
      </c>
      <c r="Y485" s="16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17" t="n">
        <v>0.05174</v>
      </c>
      <c r="H486" s="17" t="n">
        <v>0.0501878</v>
      </c>
      <c r="I486" s="17" t="n">
        <v>0.054327</v>
      </c>
      <c r="J486" s="17" t="n">
        <v>0.054327</v>
      </c>
      <c r="K486" s="2" t="inlineStr">
        <is>
          <t>止損</t>
        </is>
      </c>
      <c r="L486" s="5">
        <f>交易明細!K237</f>
        <v/>
      </c>
      <c r="M486" s="16">
        <f>M473</f>
        <v/>
      </c>
      <c r="N486" s="2">
        <f>N473</f>
        <v/>
      </c>
      <c r="O486" s="16">
        <f>O473</f>
        <v/>
      </c>
      <c r="P486" s="4">
        <f>交易明細!L237</f>
        <v/>
      </c>
      <c r="Q486" s="10">
        <f>IF(N486="已下單",O486*P486,0)</f>
        <v/>
      </c>
      <c r="R486" s="10">
        <f>R485+Q486</f>
        <v/>
      </c>
      <c r="S486" s="16">
        <f>S485-IF(N486="已下單",M486,0)</f>
        <v/>
      </c>
      <c r="T486" s="16">
        <f>R486-S486</f>
        <v/>
      </c>
      <c r="U486" s="2">
        <f>U485-IF(N486="已下單",1,0)</f>
        <v/>
      </c>
      <c r="V486" s="16">
        <f>IF(資金模擬!$B$9=2,MAX(R486,0),MAX(V485,FLOOR(MAX(R486,0),資金模擬!$B$6)))</f>
        <v/>
      </c>
      <c r="W486" s="10">
        <f>MAX(W485,R486)</f>
        <v/>
      </c>
      <c r="X486" s="4">
        <f>IF(W486&gt;0,R486/W486-1,-1)</f>
        <v/>
      </c>
      <c r="Y486" s="16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17" t="n">
        <v>0.11407</v>
      </c>
      <c r="H487" s="17" t="n">
        <v>0.1106479</v>
      </c>
      <c r="I487" s="17" t="n">
        <v>0.1197735</v>
      </c>
      <c r="J487" s="17" t="n">
        <v>0.1106479</v>
      </c>
      <c r="K487" s="2" t="inlineStr">
        <is>
          <t>止盈</t>
        </is>
      </c>
      <c r="L487" s="5">
        <f>交易明細!K242</f>
        <v/>
      </c>
      <c r="M487" s="16">
        <f>M478</f>
        <v/>
      </c>
      <c r="N487" s="2">
        <f>N478</f>
        <v/>
      </c>
      <c r="O487" s="16">
        <f>O478</f>
        <v/>
      </c>
      <c r="P487" s="4">
        <f>交易明細!L242</f>
        <v/>
      </c>
      <c r="Q487" s="10">
        <f>IF(N487="已下單",O487*P487,0)</f>
        <v/>
      </c>
      <c r="R487" s="10">
        <f>R486+Q487</f>
        <v/>
      </c>
      <c r="S487" s="16">
        <f>S486-IF(N487="已下單",M487,0)</f>
        <v/>
      </c>
      <c r="T487" s="16">
        <f>R487-S487</f>
        <v/>
      </c>
      <c r="U487" s="2">
        <f>U486-IF(N487="已下單",1,0)</f>
        <v/>
      </c>
      <c r="V487" s="16">
        <f>IF(資金模擬!$B$9=2,MAX(R487,0),MAX(V486,FLOOR(MAX(R487,0),資金模擬!$B$6)))</f>
        <v/>
      </c>
      <c r="W487" s="10">
        <f>MAX(W486,R487)</f>
        <v/>
      </c>
      <c r="X487" s="4">
        <f>IF(W487&gt;0,R487/W487-1,-1)</f>
        <v/>
      </c>
      <c r="Y487" s="16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17" t="n">
        <v>0.003404</v>
      </c>
      <c r="H488" s="17" t="n">
        <v>0.00330188</v>
      </c>
      <c r="I488" s="17" t="n">
        <v>0.0035742</v>
      </c>
      <c r="J488" s="17" t="n">
        <v>0.0035742</v>
      </c>
      <c r="K488" s="2" t="inlineStr">
        <is>
          <t>止損</t>
        </is>
      </c>
      <c r="L488" s="5">
        <f>交易明細!K240</f>
        <v/>
      </c>
      <c r="M488" s="16">
        <f>M476</f>
        <v/>
      </c>
      <c r="N488" s="2">
        <f>N476</f>
        <v/>
      </c>
      <c r="O488" s="16">
        <f>O476</f>
        <v/>
      </c>
      <c r="P488" s="4">
        <f>交易明細!L240</f>
        <v/>
      </c>
      <c r="Q488" s="10">
        <f>IF(N488="已下單",O488*P488,0)</f>
        <v/>
      </c>
      <c r="R488" s="10">
        <f>R487+Q488</f>
        <v/>
      </c>
      <c r="S488" s="16">
        <f>S487-IF(N488="已下單",M488,0)</f>
        <v/>
      </c>
      <c r="T488" s="16">
        <f>R488-S488</f>
        <v/>
      </c>
      <c r="U488" s="2">
        <f>U487-IF(N488="已下單",1,0)</f>
        <v/>
      </c>
      <c r="V488" s="16">
        <f>IF(資金模擬!$B$9=2,MAX(R488,0),MAX(V487,FLOOR(MAX(R488,0),資金模擬!$B$6)))</f>
        <v/>
      </c>
      <c r="W488" s="10">
        <f>MAX(W487,R488)</f>
        <v/>
      </c>
      <c r="X488" s="4">
        <f>IF(W488&gt;0,R488/W488-1,-1)</f>
        <v/>
      </c>
      <c r="Y488" s="16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17" t="n">
        <v>0.0287685</v>
      </c>
      <c r="H489" s="17" t="n">
        <v>0.029631555</v>
      </c>
      <c r="I489" s="17" t="n">
        <v>0.027330075</v>
      </c>
      <c r="J489" s="17" t="n"/>
      <c r="K489" s="2" t="n"/>
      <c r="L489" s="5" t="n"/>
      <c r="M489" s="16">
        <f>資金模擬!$B$5*V488</f>
        <v/>
      </c>
      <c r="N489" s="2">
        <f>IF(Z488=1,"已停止",IF(T488&gt;=M489,"已下單","資金不足略過"))</f>
        <v/>
      </c>
      <c r="O489" s="16">
        <f>IF(N489="已下單",M489*資金模擬!$B$7,0)</f>
        <v/>
      </c>
      <c r="P489" s="4" t="n"/>
      <c r="Q489" s="10" t="n">
        <v>0</v>
      </c>
      <c r="R489" s="10">
        <f>R488+Q489</f>
        <v/>
      </c>
      <c r="S489" s="16">
        <f>S488+IF(N489="已下單",M489,0)</f>
        <v/>
      </c>
      <c r="T489" s="16">
        <f>R489-S489</f>
        <v/>
      </c>
      <c r="U489" s="2">
        <f>U488+IF(N489="已下單",1,0)</f>
        <v/>
      </c>
      <c r="V489" s="16">
        <f>IF(資金模擬!$B$9=2,MAX(R489,0),MAX(V488,FLOOR(MAX(R489,0),資金模擬!$B$6)))</f>
        <v/>
      </c>
      <c r="W489" s="10">
        <f>MAX(W488,R489)</f>
        <v/>
      </c>
      <c r="X489" s="4">
        <f>IF(W489&gt;0,R489/W489-1,-1)</f>
        <v/>
      </c>
      <c r="Y489" s="16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17" t="n">
        <v>1187.67</v>
      </c>
      <c r="H490" s="17" t="n">
        <v>1223.3001</v>
      </c>
      <c r="I490" s="17" t="n">
        <v>1128.2865</v>
      </c>
      <c r="J490" s="17" t="n">
        <v>1223.3001</v>
      </c>
      <c r="K490" s="2" t="inlineStr">
        <is>
          <t>止盈</t>
        </is>
      </c>
      <c r="L490" s="5">
        <f>交易明細!K245</f>
        <v/>
      </c>
      <c r="M490" s="16">
        <f>M485</f>
        <v/>
      </c>
      <c r="N490" s="2">
        <f>N485</f>
        <v/>
      </c>
      <c r="O490" s="16">
        <f>O485</f>
        <v/>
      </c>
      <c r="P490" s="4">
        <f>交易明細!L245</f>
        <v/>
      </c>
      <c r="Q490" s="10">
        <f>IF(N490="已下單",O490*P490,0)</f>
        <v/>
      </c>
      <c r="R490" s="10">
        <f>R489+Q490</f>
        <v/>
      </c>
      <c r="S490" s="16">
        <f>S489-IF(N490="已下單",M490,0)</f>
        <v/>
      </c>
      <c r="T490" s="16">
        <f>R490-S490</f>
        <v/>
      </c>
      <c r="U490" s="2">
        <f>U489-IF(N490="已下單",1,0)</f>
        <v/>
      </c>
      <c r="V490" s="16">
        <f>IF(資金模擬!$B$9=2,MAX(R490,0),MAX(V489,FLOOR(MAX(R490,0),資金模擬!$B$6)))</f>
        <v/>
      </c>
      <c r="W490" s="10">
        <f>MAX(W489,R490)</f>
        <v/>
      </c>
      <c r="X490" s="4">
        <f>IF(W490&gt;0,R490/W490-1,-1)</f>
        <v/>
      </c>
      <c r="Y490" s="16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17" t="n">
        <v>0.0287685</v>
      </c>
      <c r="H491" s="17" t="n">
        <v>0.029631555</v>
      </c>
      <c r="I491" s="17" t="n">
        <v>0.027330075</v>
      </c>
      <c r="J491" s="17" t="n">
        <v>0.027330075</v>
      </c>
      <c r="K491" s="2" t="inlineStr">
        <is>
          <t>止損</t>
        </is>
      </c>
      <c r="L491" s="5">
        <f>交易明細!K246</f>
        <v/>
      </c>
      <c r="M491" s="16">
        <f>M489</f>
        <v/>
      </c>
      <c r="N491" s="2">
        <f>N489</f>
        <v/>
      </c>
      <c r="O491" s="16">
        <f>O489</f>
        <v/>
      </c>
      <c r="P491" s="4">
        <f>交易明細!L246</f>
        <v/>
      </c>
      <c r="Q491" s="10">
        <f>IF(N491="已下單",O491*P491,0)</f>
        <v/>
      </c>
      <c r="R491" s="10">
        <f>R490+Q491</f>
        <v/>
      </c>
      <c r="S491" s="16">
        <f>S490-IF(N491="已下單",M491,0)</f>
        <v/>
      </c>
      <c r="T491" s="16">
        <f>R491-S491</f>
        <v/>
      </c>
      <c r="U491" s="2">
        <f>U490-IF(N491="已下單",1,0)</f>
        <v/>
      </c>
      <c r="V491" s="16">
        <f>IF(資金模擬!$B$9=2,MAX(R491,0),MAX(V490,FLOOR(MAX(R491,0),資金模擬!$B$6)))</f>
        <v/>
      </c>
      <c r="W491" s="10">
        <f>MAX(W490,R491)</f>
        <v/>
      </c>
      <c r="X491" s="4">
        <f>IF(W491&gt;0,R491/W491-1,-1)</f>
        <v/>
      </c>
      <c r="Y491" s="16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17" t="n">
        <v>0.10822</v>
      </c>
      <c r="H492" s="17" t="n">
        <v>0.1049734</v>
      </c>
      <c r="I492" s="17" t="n">
        <v>0.113631</v>
      </c>
      <c r="J492" s="17" t="n"/>
      <c r="K492" s="2" t="n"/>
      <c r="L492" s="5" t="n"/>
      <c r="M492" s="16">
        <f>資金模擬!$B$5*V491</f>
        <v/>
      </c>
      <c r="N492" s="2">
        <f>IF(Z491=1,"已停止",IF(T491&gt;=M492,"已下單","資金不足略過"))</f>
        <v/>
      </c>
      <c r="O492" s="16">
        <f>IF(N492="已下單",M492*資金模擬!$B$7,0)</f>
        <v/>
      </c>
      <c r="P492" s="4" t="n"/>
      <c r="Q492" s="10" t="n">
        <v>0</v>
      </c>
      <c r="R492" s="10">
        <f>R491+Q492</f>
        <v/>
      </c>
      <c r="S492" s="16">
        <f>S491+IF(N492="已下單",M492,0)</f>
        <v/>
      </c>
      <c r="T492" s="16">
        <f>R492-S492</f>
        <v/>
      </c>
      <c r="U492" s="2">
        <f>U491+IF(N492="已下單",1,0)</f>
        <v/>
      </c>
      <c r="V492" s="16">
        <f>IF(資金模擬!$B$9=2,MAX(R492,0),MAX(V491,FLOOR(MAX(R492,0),資金模擬!$B$6)))</f>
        <v/>
      </c>
      <c r="W492" s="10">
        <f>MAX(W491,R492)</f>
        <v/>
      </c>
      <c r="X492" s="4">
        <f>IF(W492&gt;0,R492/W492-1,-1)</f>
        <v/>
      </c>
      <c r="Y492" s="16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17" t="n">
        <v>6.241</v>
      </c>
      <c r="H493" s="17" t="n">
        <v>6.053769999999999</v>
      </c>
      <c r="I493" s="17" t="n">
        <v>6.55305</v>
      </c>
      <c r="J493" s="17" t="n">
        <v>6.053769999999999</v>
      </c>
      <c r="K493" s="2" t="inlineStr">
        <is>
          <t>止盈</t>
        </is>
      </c>
      <c r="L493" s="5">
        <f>交易明細!K241</f>
        <v/>
      </c>
      <c r="M493" s="16">
        <f>M477</f>
        <v/>
      </c>
      <c r="N493" s="2">
        <f>N477</f>
        <v/>
      </c>
      <c r="O493" s="16">
        <f>O477</f>
        <v/>
      </c>
      <c r="P493" s="4">
        <f>交易明細!L241</f>
        <v/>
      </c>
      <c r="Q493" s="10">
        <f>IF(N493="已下單",O493*P493,0)</f>
        <v/>
      </c>
      <c r="R493" s="10">
        <f>R492+Q493</f>
        <v/>
      </c>
      <c r="S493" s="16">
        <f>S492-IF(N493="已下單",M493,0)</f>
        <v/>
      </c>
      <c r="T493" s="16">
        <f>R493-S493</f>
        <v/>
      </c>
      <c r="U493" s="2">
        <f>U492-IF(N493="已下單",1,0)</f>
        <v/>
      </c>
      <c r="V493" s="16">
        <f>IF(資金模擬!$B$9=2,MAX(R493,0),MAX(V492,FLOOR(MAX(R493,0),資金模擬!$B$6)))</f>
        <v/>
      </c>
      <c r="W493" s="10">
        <f>MAX(W492,R493)</f>
        <v/>
      </c>
      <c r="X493" s="4">
        <f>IF(W493&gt;0,R493/W493-1,-1)</f>
        <v/>
      </c>
      <c r="Y493" s="16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17" t="n">
        <v>0.10822</v>
      </c>
      <c r="H494" s="17" t="n">
        <v>0.1049734</v>
      </c>
      <c r="I494" s="17" t="n">
        <v>0.113631</v>
      </c>
      <c r="J494" s="17" t="n">
        <v>0.1049734</v>
      </c>
      <c r="K494" s="2" t="inlineStr">
        <is>
          <t>止盈</t>
        </is>
      </c>
      <c r="L494" s="5">
        <f>交易明細!K247</f>
        <v/>
      </c>
      <c r="M494" s="16">
        <f>M492</f>
        <v/>
      </c>
      <c r="N494" s="2">
        <f>N492</f>
        <v/>
      </c>
      <c r="O494" s="16">
        <f>O492</f>
        <v/>
      </c>
      <c r="P494" s="4">
        <f>交易明細!L247</f>
        <v/>
      </c>
      <c r="Q494" s="10">
        <f>IF(N494="已下單",O494*P494,0)</f>
        <v/>
      </c>
      <c r="R494" s="10">
        <f>R493+Q494</f>
        <v/>
      </c>
      <c r="S494" s="16">
        <f>S493-IF(N494="已下單",M494,0)</f>
        <v/>
      </c>
      <c r="T494" s="16">
        <f>R494-S494</f>
        <v/>
      </c>
      <c r="U494" s="2">
        <f>U493-IF(N494="已下單",1,0)</f>
        <v/>
      </c>
      <c r="V494" s="16">
        <f>IF(資金模擬!$B$9=2,MAX(R494,0),MAX(V493,FLOOR(MAX(R494,0),資金模擬!$B$6)))</f>
        <v/>
      </c>
      <c r="W494" s="10">
        <f>MAX(W493,R494)</f>
        <v/>
      </c>
      <c r="X494" s="4">
        <f>IF(W494&gt;0,R494/W494-1,-1)</f>
        <v/>
      </c>
      <c r="Y494" s="16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17" t="n">
        <v>0.225</v>
      </c>
      <c r="H495" s="17" t="n">
        <v>0.21825</v>
      </c>
      <c r="I495" s="17" t="n">
        <v>0.23625</v>
      </c>
      <c r="J495" s="17" t="n"/>
      <c r="K495" s="2" t="n"/>
      <c r="L495" s="5" t="n"/>
      <c r="M495" s="16">
        <f>資金模擬!$B$5*V494</f>
        <v/>
      </c>
      <c r="N495" s="2">
        <f>IF(Z494=1,"已停止",IF(T494&gt;=M495,"已下單","資金不足略過"))</f>
        <v/>
      </c>
      <c r="O495" s="16">
        <f>IF(N495="已下單",M495*資金模擬!$B$7,0)</f>
        <v/>
      </c>
      <c r="P495" s="4" t="n"/>
      <c r="Q495" s="10" t="n">
        <v>0</v>
      </c>
      <c r="R495" s="10">
        <f>R494+Q495</f>
        <v/>
      </c>
      <c r="S495" s="16">
        <f>S494+IF(N495="已下單",M495,0)</f>
        <v/>
      </c>
      <c r="T495" s="16">
        <f>R495-S495</f>
        <v/>
      </c>
      <c r="U495" s="2">
        <f>U494+IF(N495="已下單",1,0)</f>
        <v/>
      </c>
      <c r="V495" s="16">
        <f>IF(資金模擬!$B$9=2,MAX(R495,0),MAX(V494,FLOOR(MAX(R495,0),資金模擬!$B$6)))</f>
        <v/>
      </c>
      <c r="W495" s="10">
        <f>MAX(W494,R495)</f>
        <v/>
      </c>
      <c r="X495" s="4">
        <f>IF(W495&gt;0,R495/W495-1,-1)</f>
        <v/>
      </c>
      <c r="Y495" s="16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17" t="n">
        <v>0.225</v>
      </c>
      <c r="H496" s="17" t="n">
        <v>0.21825</v>
      </c>
      <c r="I496" s="17" t="n">
        <v>0.23625</v>
      </c>
      <c r="J496" s="17" t="n">
        <v>0.23625</v>
      </c>
      <c r="K496" s="2" t="inlineStr">
        <is>
          <t>止損</t>
        </is>
      </c>
      <c r="L496" s="5">
        <f>交易明細!K248</f>
        <v/>
      </c>
      <c r="M496" s="16">
        <f>M495</f>
        <v/>
      </c>
      <c r="N496" s="2">
        <f>N495</f>
        <v/>
      </c>
      <c r="O496" s="16">
        <f>O495</f>
        <v/>
      </c>
      <c r="P496" s="4">
        <f>交易明細!L248</f>
        <v/>
      </c>
      <c r="Q496" s="10">
        <f>IF(N496="已下單",O496*P496,0)</f>
        <v/>
      </c>
      <c r="R496" s="10">
        <f>R495+Q496</f>
        <v/>
      </c>
      <c r="S496" s="16">
        <f>S495-IF(N496="已下單",M496,0)</f>
        <v/>
      </c>
      <c r="T496" s="16">
        <f>R496-S496</f>
        <v/>
      </c>
      <c r="U496" s="2">
        <f>U495-IF(N496="已下單",1,0)</f>
        <v/>
      </c>
      <c r="V496" s="16">
        <f>IF(資金模擬!$B$9=2,MAX(R496,0),MAX(V495,FLOOR(MAX(R496,0),資金模擬!$B$6)))</f>
        <v/>
      </c>
      <c r="W496" s="10">
        <f>MAX(W495,R496)</f>
        <v/>
      </c>
      <c r="X496" s="4">
        <f>IF(W496&gt;0,R496/W496-1,-1)</f>
        <v/>
      </c>
      <c r="Y496" s="16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17" t="n">
        <v>0.1633</v>
      </c>
      <c r="H497" s="17" t="n">
        <v>0.168199</v>
      </c>
      <c r="I497" s="17" t="n">
        <v>0.155135</v>
      </c>
      <c r="J497" s="17" t="n"/>
      <c r="K497" s="2" t="n"/>
      <c r="L497" s="5" t="n"/>
      <c r="M497" s="16">
        <f>資金模擬!$B$5*V496</f>
        <v/>
      </c>
      <c r="N497" s="2">
        <f>IF(Z496=1,"已停止",IF(T496&gt;=M497,"已下單","資金不足略過"))</f>
        <v/>
      </c>
      <c r="O497" s="16">
        <f>IF(N497="已下單",M497*資金模擬!$B$7,0)</f>
        <v/>
      </c>
      <c r="P497" s="4" t="n"/>
      <c r="Q497" s="10" t="n">
        <v>0</v>
      </c>
      <c r="R497" s="10">
        <f>R496+Q497</f>
        <v/>
      </c>
      <c r="S497" s="16">
        <f>S496+IF(N497="已下單",M497,0)</f>
        <v/>
      </c>
      <c r="T497" s="16">
        <f>R497-S497</f>
        <v/>
      </c>
      <c r="U497" s="2">
        <f>U496+IF(N497="已下單",1,0)</f>
        <v/>
      </c>
      <c r="V497" s="16">
        <f>IF(資金模擬!$B$9=2,MAX(R497,0),MAX(V496,FLOOR(MAX(R497,0),資金模擬!$B$6)))</f>
        <v/>
      </c>
      <c r="W497" s="10">
        <f>MAX(W496,R497)</f>
        <v/>
      </c>
      <c r="X497" s="4">
        <f>IF(W497&gt;0,R497/W497-1,-1)</f>
        <v/>
      </c>
      <c r="Y497" s="16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17" t="n">
        <v>0.1469</v>
      </c>
      <c r="H498" s="17" t="n">
        <v>0.151307</v>
      </c>
      <c r="I498" s="17" t="n">
        <v>0.139555</v>
      </c>
      <c r="J498" s="17" t="n"/>
      <c r="K498" s="2" t="n"/>
      <c r="L498" s="5" t="n"/>
      <c r="M498" s="16">
        <f>資金模擬!$B$5*V497</f>
        <v/>
      </c>
      <c r="N498" s="2">
        <f>IF(Z497=1,"已停止",IF(T497&gt;=M498,"已下單","資金不足略過"))</f>
        <v/>
      </c>
      <c r="O498" s="16">
        <f>IF(N498="已下單",M498*資金模擬!$B$7,0)</f>
        <v/>
      </c>
      <c r="P498" s="4" t="n"/>
      <c r="Q498" s="10" t="n">
        <v>0</v>
      </c>
      <c r="R498" s="10">
        <f>R497+Q498</f>
        <v/>
      </c>
      <c r="S498" s="16">
        <f>S497+IF(N498="已下單",M498,0)</f>
        <v/>
      </c>
      <c r="T498" s="16">
        <f>R498-S498</f>
        <v/>
      </c>
      <c r="U498" s="2">
        <f>U497+IF(N498="已下單",1,0)</f>
        <v/>
      </c>
      <c r="V498" s="16">
        <f>IF(資金模擬!$B$9=2,MAX(R498,0),MAX(V497,FLOOR(MAX(R498,0),資金模擬!$B$6)))</f>
        <v/>
      </c>
      <c r="W498" s="10">
        <f>MAX(W497,R498)</f>
        <v/>
      </c>
      <c r="X498" s="4">
        <f>IF(W498&gt;0,R498/W498-1,-1)</f>
        <v/>
      </c>
      <c r="Y498" s="16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17" t="n">
        <v>6.296</v>
      </c>
      <c r="H499" s="17" t="n">
        <v>6.48488</v>
      </c>
      <c r="I499" s="17" t="n">
        <v>5.9812</v>
      </c>
      <c r="J499" s="17" t="n"/>
      <c r="K499" s="2" t="n"/>
      <c r="L499" s="5" t="n"/>
      <c r="M499" s="16">
        <f>資金模擬!$B$5*V498</f>
        <v/>
      </c>
      <c r="N499" s="2">
        <f>IF(Z498=1,"已停止",IF(T498&gt;=M499,"已下單","資金不足略過"))</f>
        <v/>
      </c>
      <c r="O499" s="16">
        <f>IF(N499="已下單",M499*資金模擬!$B$7,0)</f>
        <v/>
      </c>
      <c r="P499" s="4" t="n"/>
      <c r="Q499" s="10" t="n">
        <v>0</v>
      </c>
      <c r="R499" s="10">
        <f>R498+Q499</f>
        <v/>
      </c>
      <c r="S499" s="16">
        <f>S498+IF(N499="已下單",M499,0)</f>
        <v/>
      </c>
      <c r="T499" s="16">
        <f>R499-S499</f>
        <v/>
      </c>
      <c r="U499" s="2">
        <f>U498+IF(N499="已下單",1,0)</f>
        <v/>
      </c>
      <c r="V499" s="16">
        <f>IF(資金模擬!$B$9=2,MAX(R499,0),MAX(V498,FLOOR(MAX(R499,0),資金模擬!$B$6)))</f>
        <v/>
      </c>
      <c r="W499" s="10">
        <f>MAX(W498,R499)</f>
        <v/>
      </c>
      <c r="X499" s="4">
        <f>IF(W499&gt;0,R499/W499-1,-1)</f>
        <v/>
      </c>
      <c r="Y499" s="16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17" t="n">
        <v>23.266</v>
      </c>
      <c r="H500" s="17" t="n">
        <v>23.96398</v>
      </c>
      <c r="I500" s="17" t="n">
        <v>22.1027</v>
      </c>
      <c r="J500" s="17" t="n"/>
      <c r="K500" s="2" t="n"/>
      <c r="L500" s="5" t="n"/>
      <c r="M500" s="16">
        <f>資金模擬!$B$5*V499</f>
        <v/>
      </c>
      <c r="N500" s="2">
        <f>IF(Z499=1,"已停止",IF(T499&gt;=M500,"已下單","資金不足略過"))</f>
        <v/>
      </c>
      <c r="O500" s="16">
        <f>IF(N500="已下單",M500*資金模擬!$B$7,0)</f>
        <v/>
      </c>
      <c r="P500" s="4" t="n"/>
      <c r="Q500" s="10" t="n">
        <v>0</v>
      </c>
      <c r="R500" s="10">
        <f>R499+Q500</f>
        <v/>
      </c>
      <c r="S500" s="16">
        <f>S499+IF(N500="已下單",M500,0)</f>
        <v/>
      </c>
      <c r="T500" s="16">
        <f>R500-S500</f>
        <v/>
      </c>
      <c r="U500" s="2">
        <f>U499+IF(N500="已下單",1,0)</f>
        <v/>
      </c>
      <c r="V500" s="16">
        <f>IF(資金模擬!$B$9=2,MAX(R500,0),MAX(V499,FLOOR(MAX(R500,0),資金模擬!$B$6)))</f>
        <v/>
      </c>
      <c r="W500" s="10">
        <f>MAX(W499,R500)</f>
        <v/>
      </c>
      <c r="X500" s="4">
        <f>IF(W500&gt;0,R500/W500-1,-1)</f>
        <v/>
      </c>
      <c r="Y500" s="16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17" t="n">
        <v>6.741</v>
      </c>
      <c r="H501" s="17" t="n">
        <v>6.94323</v>
      </c>
      <c r="I501" s="17" t="n">
        <v>6.403949999999999</v>
      </c>
      <c r="J501" s="17" t="n"/>
      <c r="K501" s="2" t="inlineStr">
        <is>
          <t>未平倉</t>
        </is>
      </c>
      <c r="L501" s="5" t="n"/>
      <c r="M501" s="16">
        <f>資金模擬!$B$5*V500</f>
        <v/>
      </c>
      <c r="N501" s="2">
        <f>IF(Z500=1,"已停止",IF(T500&gt;=M501,"已下單","資金不足略過"))</f>
        <v/>
      </c>
      <c r="O501" s="16">
        <f>IF(N501="已下單",M501*資金模擬!$B$7,0)</f>
        <v/>
      </c>
      <c r="P501" s="4" t="n"/>
      <c r="Q501" s="10" t="n">
        <v>0</v>
      </c>
      <c r="R501" s="10">
        <f>R500+Q501</f>
        <v/>
      </c>
      <c r="S501" s="16">
        <f>S500+IF(N501="已下單",M501,0)</f>
        <v/>
      </c>
      <c r="T501" s="16">
        <f>R501-S501</f>
        <v/>
      </c>
      <c r="U501" s="2">
        <f>U500+IF(N501="已下單",1,0)</f>
        <v/>
      </c>
      <c r="V501" s="16">
        <f>IF(資金模擬!$B$9=2,MAX(R501,0),MAX(V500,FLOOR(MAX(R501,0),資金模擬!$B$6)))</f>
        <v/>
      </c>
      <c r="W501" s="10">
        <f>MAX(W500,R501)</f>
        <v/>
      </c>
      <c r="X501" s="4">
        <f>IF(W501&gt;0,R501/W501-1,-1)</f>
        <v/>
      </c>
      <c r="Y501" s="16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17" t="n">
        <v>2.547</v>
      </c>
      <c r="H502" s="17" t="n">
        <v>2.62341</v>
      </c>
      <c r="I502" s="17" t="n">
        <v>2.41965</v>
      </c>
      <c r="J502" s="17" t="n"/>
      <c r="K502" s="2" t="n"/>
      <c r="L502" s="5" t="n"/>
      <c r="M502" s="16">
        <f>資金模擬!$B$5*V501</f>
        <v/>
      </c>
      <c r="N502" s="2">
        <f>IF(Z501=1,"已停止",IF(T501&gt;=M502,"已下單","資金不足略過"))</f>
        <v/>
      </c>
      <c r="O502" s="16">
        <f>IF(N502="已下單",M502*資金模擬!$B$7,0)</f>
        <v/>
      </c>
      <c r="P502" s="4" t="n"/>
      <c r="Q502" s="10" t="n">
        <v>0</v>
      </c>
      <c r="R502" s="10">
        <f>R501+Q502</f>
        <v/>
      </c>
      <c r="S502" s="16">
        <f>S501+IF(N502="已下單",M502,0)</f>
        <v/>
      </c>
      <c r="T502" s="16">
        <f>R502-S502</f>
        <v/>
      </c>
      <c r="U502" s="2">
        <f>U501+IF(N502="已下單",1,0)</f>
        <v/>
      </c>
      <c r="V502" s="16">
        <f>IF(資金模擬!$B$9=2,MAX(R502,0),MAX(V501,FLOOR(MAX(R502,0),資金模擬!$B$6)))</f>
        <v/>
      </c>
      <c r="W502" s="10">
        <f>MAX(W501,R502)</f>
        <v/>
      </c>
      <c r="X502" s="4">
        <f>IF(W502&gt;0,R502/W502-1,-1)</f>
        <v/>
      </c>
      <c r="Y502" s="16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17" t="n">
        <v>6.296</v>
      </c>
      <c r="H503" s="17" t="n">
        <v>6.48488</v>
      </c>
      <c r="I503" s="17" t="n">
        <v>5.9812</v>
      </c>
      <c r="J503" s="17" t="n">
        <v>6.48488</v>
      </c>
      <c r="K503" s="2" t="inlineStr">
        <is>
          <t>止盈</t>
        </is>
      </c>
      <c r="L503" s="5">
        <f>交易明細!K251</f>
        <v/>
      </c>
      <c r="M503" s="16">
        <f>M499</f>
        <v/>
      </c>
      <c r="N503" s="2">
        <f>N499</f>
        <v/>
      </c>
      <c r="O503" s="16">
        <f>O499</f>
        <v/>
      </c>
      <c r="P503" s="4">
        <f>交易明細!L251</f>
        <v/>
      </c>
      <c r="Q503" s="10">
        <f>IF(N503="已下單",O503*P503,0)</f>
        <v/>
      </c>
      <c r="R503" s="10">
        <f>R502+Q503</f>
        <v/>
      </c>
      <c r="S503" s="16">
        <f>S502-IF(N503="已下單",M503,0)</f>
        <v/>
      </c>
      <c r="T503" s="16">
        <f>R503-S503</f>
        <v/>
      </c>
      <c r="U503" s="2">
        <f>U502-IF(N503="已下單",1,0)</f>
        <v/>
      </c>
      <c r="V503" s="16">
        <f>IF(資金模擬!$B$9=2,MAX(R503,0),MAX(V502,FLOOR(MAX(R503,0),資金模擬!$B$6)))</f>
        <v/>
      </c>
      <c r="W503" s="10">
        <f>MAX(W502,R503)</f>
        <v/>
      </c>
      <c r="X503" s="4">
        <f>IF(W503&gt;0,R503/W503-1,-1)</f>
        <v/>
      </c>
      <c r="Y503" s="16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17" t="n">
        <v>0.5614</v>
      </c>
      <c r="H504" s="17" t="n">
        <v>0.544558</v>
      </c>
      <c r="I504" s="17" t="n">
        <v>0.58947</v>
      </c>
      <c r="J504" s="17" t="n"/>
      <c r="K504" s="2" t="n"/>
      <c r="L504" s="5" t="n"/>
      <c r="M504" s="16">
        <f>資金模擬!$B$5*V503</f>
        <v/>
      </c>
      <c r="N504" s="2">
        <f>IF(Z503=1,"已停止",IF(T503&gt;=M504,"已下單","資金不足略過"))</f>
        <v/>
      </c>
      <c r="O504" s="16">
        <f>IF(N504="已下單",M504*資金模擬!$B$7,0)</f>
        <v/>
      </c>
      <c r="P504" s="4" t="n"/>
      <c r="Q504" s="10" t="n">
        <v>0</v>
      </c>
      <c r="R504" s="10">
        <f>R503+Q504</f>
        <v/>
      </c>
      <c r="S504" s="16">
        <f>S503+IF(N504="已下單",M504,0)</f>
        <v/>
      </c>
      <c r="T504" s="16">
        <f>R504-S504</f>
        <v/>
      </c>
      <c r="U504" s="2">
        <f>U503+IF(N504="已下單",1,0)</f>
        <v/>
      </c>
      <c r="V504" s="16">
        <f>IF(資金模擬!$B$9=2,MAX(R504,0),MAX(V503,FLOOR(MAX(R504,0),資金模擬!$B$6)))</f>
        <v/>
      </c>
      <c r="W504" s="10">
        <f>MAX(W503,R504)</f>
        <v/>
      </c>
      <c r="X504" s="4">
        <f>IF(W504&gt;0,R504/W504-1,-1)</f>
        <v/>
      </c>
      <c r="Y504" s="16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17" t="n">
        <v>0.02344</v>
      </c>
      <c r="H505" s="17" t="n">
        <v>0.0227368</v>
      </c>
      <c r="I505" s="17" t="n">
        <v>0.024612</v>
      </c>
      <c r="J505" s="17" t="n"/>
      <c r="K505" s="2" t="n"/>
      <c r="L505" s="5" t="n"/>
      <c r="M505" s="16">
        <f>資金模擬!$B$5*V504</f>
        <v/>
      </c>
      <c r="N505" s="2">
        <f>IF(Z504=1,"已停止",IF(T504&gt;=M505,"已下單","資金不足略過"))</f>
        <v/>
      </c>
      <c r="O505" s="16">
        <f>IF(N505="已下單",M505*資金模擬!$B$7,0)</f>
        <v/>
      </c>
      <c r="P505" s="4" t="n"/>
      <c r="Q505" s="10" t="n">
        <v>0</v>
      </c>
      <c r="R505" s="10">
        <f>R504+Q505</f>
        <v/>
      </c>
      <c r="S505" s="16">
        <f>S504+IF(N505="已下單",M505,0)</f>
        <v/>
      </c>
      <c r="T505" s="16">
        <f>R505-S505</f>
        <v/>
      </c>
      <c r="U505" s="2">
        <f>U504+IF(N505="已下單",1,0)</f>
        <v/>
      </c>
      <c r="V505" s="16">
        <f>IF(資金模擬!$B$9=2,MAX(R505,0),MAX(V504,FLOOR(MAX(R505,0),資金模擬!$B$6)))</f>
        <v/>
      </c>
      <c r="W505" s="10">
        <f>MAX(W504,R505)</f>
        <v/>
      </c>
      <c r="X505" s="4">
        <f>IF(W505&gt;0,R505/W505-1,-1)</f>
        <v/>
      </c>
      <c r="Y505" s="16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17" t="n">
        <v>0.1633</v>
      </c>
      <c r="H506" s="17" t="n">
        <v>0.168199</v>
      </c>
      <c r="I506" s="17" t="n">
        <v>0.155135</v>
      </c>
      <c r="J506" s="17" t="n">
        <v>0.168199</v>
      </c>
      <c r="K506" s="2" t="inlineStr">
        <is>
          <t>止盈</t>
        </is>
      </c>
      <c r="L506" s="5">
        <f>交易明細!K249</f>
        <v/>
      </c>
      <c r="M506" s="16">
        <f>M497</f>
        <v/>
      </c>
      <c r="N506" s="2">
        <f>N497</f>
        <v/>
      </c>
      <c r="O506" s="16">
        <f>O497</f>
        <v/>
      </c>
      <c r="P506" s="4">
        <f>交易明細!L249</f>
        <v/>
      </c>
      <c r="Q506" s="10">
        <f>IF(N506="已下單",O506*P506,0)</f>
        <v/>
      </c>
      <c r="R506" s="10">
        <f>R505+Q506</f>
        <v/>
      </c>
      <c r="S506" s="16">
        <f>S505-IF(N506="已下單",M506,0)</f>
        <v/>
      </c>
      <c r="T506" s="16">
        <f>R506-S506</f>
        <v/>
      </c>
      <c r="U506" s="2">
        <f>U505-IF(N506="已下單",1,0)</f>
        <v/>
      </c>
      <c r="V506" s="16">
        <f>IF(資金模擬!$B$9=2,MAX(R506,0),MAX(V505,FLOOR(MAX(R506,0),資金模擬!$B$6)))</f>
        <v/>
      </c>
      <c r="W506" s="10">
        <f>MAX(W505,R506)</f>
        <v/>
      </c>
      <c r="X506" s="4">
        <f>IF(W506&gt;0,R506/W506-1,-1)</f>
        <v/>
      </c>
      <c r="Y506" s="16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17" t="n">
        <v>2.547</v>
      </c>
      <c r="H507" s="17" t="n">
        <v>2.62341</v>
      </c>
      <c r="I507" s="17" t="n">
        <v>2.41965</v>
      </c>
      <c r="J507" s="17" t="n">
        <v>2.62341</v>
      </c>
      <c r="K507" s="2" t="inlineStr">
        <is>
          <t>止盈</t>
        </is>
      </c>
      <c r="L507" s="5">
        <f>交易明細!K254</f>
        <v/>
      </c>
      <c r="M507" s="16">
        <f>M502</f>
        <v/>
      </c>
      <c r="N507" s="2">
        <f>N502</f>
        <v/>
      </c>
      <c r="O507" s="16">
        <f>O502</f>
        <v/>
      </c>
      <c r="P507" s="4">
        <f>交易明細!L254</f>
        <v/>
      </c>
      <c r="Q507" s="10">
        <f>IF(N507="已下單",O507*P507,0)</f>
        <v/>
      </c>
      <c r="R507" s="10">
        <f>R506+Q507</f>
        <v/>
      </c>
      <c r="S507" s="16">
        <f>S506-IF(N507="已下單",M507,0)</f>
        <v/>
      </c>
      <c r="T507" s="16">
        <f>R507-S507</f>
        <v/>
      </c>
      <c r="U507" s="2">
        <f>U506-IF(N507="已下單",1,0)</f>
        <v/>
      </c>
      <c r="V507" s="16">
        <f>IF(資金模擬!$B$9=2,MAX(R507,0),MAX(V506,FLOOR(MAX(R507,0),資金模擬!$B$6)))</f>
        <v/>
      </c>
      <c r="W507" s="10">
        <f>MAX(W506,R507)</f>
        <v/>
      </c>
      <c r="X507" s="4">
        <f>IF(W507&gt;0,R507/W507-1,-1)</f>
        <v/>
      </c>
      <c r="Y507" s="16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17" t="n">
        <v>0.1469</v>
      </c>
      <c r="H508" s="17" t="n">
        <v>0.151307</v>
      </c>
      <c r="I508" s="17" t="n">
        <v>0.139555</v>
      </c>
      <c r="J508" s="17" t="n">
        <v>0.151307</v>
      </c>
      <c r="K508" s="2" t="inlineStr">
        <is>
          <t>止盈</t>
        </is>
      </c>
      <c r="L508" s="5">
        <f>交易明細!K250</f>
        <v/>
      </c>
      <c r="M508" s="16">
        <f>M498</f>
        <v/>
      </c>
      <c r="N508" s="2">
        <f>N498</f>
        <v/>
      </c>
      <c r="O508" s="16">
        <f>O498</f>
        <v/>
      </c>
      <c r="P508" s="4">
        <f>交易明細!L250</f>
        <v/>
      </c>
      <c r="Q508" s="10">
        <f>IF(N508="已下單",O508*P508,0)</f>
        <v/>
      </c>
      <c r="R508" s="10">
        <f>R507+Q508</f>
        <v/>
      </c>
      <c r="S508" s="16">
        <f>S507-IF(N508="已下單",M508,0)</f>
        <v/>
      </c>
      <c r="T508" s="16">
        <f>R508-S508</f>
        <v/>
      </c>
      <c r="U508" s="2">
        <f>U507-IF(N508="已下單",1,0)</f>
        <v/>
      </c>
      <c r="V508" s="16">
        <f>IF(資金模擬!$B$9=2,MAX(R508,0),MAX(V507,FLOOR(MAX(R508,0),資金模擬!$B$6)))</f>
        <v/>
      </c>
      <c r="W508" s="10">
        <f>MAX(W507,R508)</f>
        <v/>
      </c>
      <c r="X508" s="4">
        <f>IF(W508&gt;0,R508/W508-1,-1)</f>
        <v/>
      </c>
      <c r="Y508" s="16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17" t="n">
        <v>23.266</v>
      </c>
      <c r="H509" s="17" t="n">
        <v>23.96398</v>
      </c>
      <c r="I509" s="17" t="n">
        <v>22.1027</v>
      </c>
      <c r="J509" s="17" t="n">
        <v>23.96398</v>
      </c>
      <c r="K509" s="2" t="inlineStr">
        <is>
          <t>止盈</t>
        </is>
      </c>
      <c r="L509" s="5">
        <f>交易明細!K252</f>
        <v/>
      </c>
      <c r="M509" s="16">
        <f>M500</f>
        <v/>
      </c>
      <c r="N509" s="2">
        <f>N500</f>
        <v/>
      </c>
      <c r="O509" s="16">
        <f>O500</f>
        <v/>
      </c>
      <c r="P509" s="4">
        <f>交易明細!L252</f>
        <v/>
      </c>
      <c r="Q509" s="10">
        <f>IF(N509="已下單",O509*P509,0)</f>
        <v/>
      </c>
      <c r="R509" s="10">
        <f>R508+Q509</f>
        <v/>
      </c>
      <c r="S509" s="16">
        <f>S508-IF(N509="已下單",M509,0)</f>
        <v/>
      </c>
      <c r="T509" s="16">
        <f>R509-S509</f>
        <v/>
      </c>
      <c r="U509" s="2">
        <f>U508-IF(N509="已下單",1,0)</f>
        <v/>
      </c>
      <c r="V509" s="16">
        <f>IF(資金模擬!$B$9=2,MAX(R509,0),MAX(V508,FLOOR(MAX(R509,0),資金模擬!$B$6)))</f>
        <v/>
      </c>
      <c r="W509" s="10">
        <f>MAX(W508,R509)</f>
        <v/>
      </c>
      <c r="X509" s="4">
        <f>IF(W509&gt;0,R509/W509-1,-1)</f>
        <v/>
      </c>
      <c r="Y509" s="16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17" t="n">
        <v>0.5614</v>
      </c>
      <c r="H510" s="17" t="n">
        <v>0.544558</v>
      </c>
      <c r="I510" s="17" t="n">
        <v>0.58947</v>
      </c>
      <c r="J510" s="17" t="n">
        <v>0.58947</v>
      </c>
      <c r="K510" s="2" t="inlineStr">
        <is>
          <t>止損</t>
        </is>
      </c>
      <c r="L510" s="5">
        <f>交易明細!K255</f>
        <v/>
      </c>
      <c r="M510" s="16">
        <f>M504</f>
        <v/>
      </c>
      <c r="N510" s="2">
        <f>N504</f>
        <v/>
      </c>
      <c r="O510" s="16">
        <f>O504</f>
        <v/>
      </c>
      <c r="P510" s="4">
        <f>交易明細!L255</f>
        <v/>
      </c>
      <c r="Q510" s="10">
        <f>IF(N510="已下單",O510*P510,0)</f>
        <v/>
      </c>
      <c r="R510" s="10">
        <f>R509+Q510</f>
        <v/>
      </c>
      <c r="S510" s="16">
        <f>S509-IF(N510="已下單",M510,0)</f>
        <v/>
      </c>
      <c r="T510" s="16">
        <f>R510-S510</f>
        <v/>
      </c>
      <c r="U510" s="2">
        <f>U509-IF(N510="已下單",1,0)</f>
        <v/>
      </c>
      <c r="V510" s="16">
        <f>IF(資金模擬!$B$9=2,MAX(R510,0),MAX(V509,FLOOR(MAX(R510,0),資金模擬!$B$6)))</f>
        <v/>
      </c>
      <c r="W510" s="10">
        <f>MAX(W509,R510)</f>
        <v/>
      </c>
      <c r="X510" s="4">
        <f>IF(W510&gt;0,R510/W510-1,-1)</f>
        <v/>
      </c>
      <c r="Y510" s="16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17" t="n">
        <v>0.02344</v>
      </c>
      <c r="H511" s="17" t="n">
        <v>0.0227368</v>
      </c>
      <c r="I511" s="17" t="n">
        <v>0.024612</v>
      </c>
      <c r="J511" s="17" t="n">
        <v>0.0227368</v>
      </c>
      <c r="K511" s="2" t="inlineStr">
        <is>
          <t>止盈</t>
        </is>
      </c>
      <c r="L511" s="5">
        <f>交易明細!K256</f>
        <v/>
      </c>
      <c r="M511" s="16">
        <f>M505</f>
        <v/>
      </c>
      <c r="N511" s="2">
        <f>N505</f>
        <v/>
      </c>
      <c r="O511" s="16">
        <f>O505</f>
        <v/>
      </c>
      <c r="P511" s="4">
        <f>交易明細!L256</f>
        <v/>
      </c>
      <c r="Q511" s="10">
        <f>IF(N511="已下單",O511*P511,0)</f>
        <v/>
      </c>
      <c r="R511" s="10">
        <f>R510+Q511</f>
        <v/>
      </c>
      <c r="S511" s="16">
        <f>S510-IF(N511="已下單",M511,0)</f>
        <v/>
      </c>
      <c r="T511" s="16">
        <f>R511-S511</f>
        <v/>
      </c>
      <c r="U511" s="2">
        <f>U510-IF(N511="已下單",1,0)</f>
        <v/>
      </c>
      <c r="V511" s="16">
        <f>IF(資金模擬!$B$9=2,MAX(R511,0),MAX(V510,FLOOR(MAX(R511,0),資金模擬!$B$6)))</f>
        <v/>
      </c>
      <c r="W511" s="10">
        <f>MAX(W510,R511)</f>
        <v/>
      </c>
      <c r="X511" s="4">
        <f>IF(W511&gt;0,R511/W511-1,-1)</f>
        <v/>
      </c>
      <c r="Y511" s="16">
        <f>IF(R511&gt;0,S511*資金模擬!$B$7/R511,0)</f>
        <v/>
      </c>
      <c r="Z511" s="2">
        <f>IF(OR(Z510=1,R511&lt;=資金模擬!$B$10),1,0)</f>
        <v/>
      </c>
    </row>
  </sheetData>
  <autoFilter ref="A1:Z511"/>
  <conditionalFormatting sqref="K2:K51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1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1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09:41（Dry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IFERROR(AVERAGE(交易明細!$AC$2:$AC$256),(B6+2*B7)/(B5+B6))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46281.70833333334</v>
      </c>
      <c r="I237" s="17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0.009277155005798288</v>
      </c>
      <c r="T237" s="4" t="n">
        <v>0.05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17" t="n">
        <v>0.22015</v>
      </c>
      <c r="F238" s="17" t="n">
        <v>0.2267545</v>
      </c>
      <c r="G238" s="17" t="n">
        <v>0.2091425</v>
      </c>
      <c r="H238" s="7" t="n">
        <v>46281.54166666666</v>
      </c>
      <c r="I238" s="17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19" t="n">
        <v>581393</v>
      </c>
      <c r="R238" s="19" t="n">
        <v>1734895.76827</v>
      </c>
      <c r="S238" s="4" t="n">
        <v>0.03</v>
      </c>
      <c r="T238" s="4" t="n">
        <v>0.02243924596865776</v>
      </c>
      <c r="U238" s="16" t="n">
        <v>0.7511306159793725</v>
      </c>
      <c r="V238" s="16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17" t="n">
        <v>0.6093</v>
      </c>
      <c r="F239" s="17" t="n">
        <v>0.5910209999999999</v>
      </c>
      <c r="G239" s="17" t="n">
        <v>0.639765</v>
      </c>
      <c r="H239" s="7" t="n">
        <v>46281.5</v>
      </c>
      <c r="I239" s="17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19" t="n">
        <v>-522329</v>
      </c>
      <c r="R239" s="19" t="n">
        <v>3799658.9706</v>
      </c>
      <c r="S239" s="4" t="n">
        <v>0.03</v>
      </c>
      <c r="T239" s="4" t="n">
        <v>0.008042015427539795</v>
      </c>
      <c r="U239" s="16" t="n">
        <v>0.4664810909990809</v>
      </c>
      <c r="V239" s="16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17" t="n">
        <v>0.003404</v>
      </c>
      <c r="F240" s="17" t="n">
        <v>0.00330188</v>
      </c>
      <c r="G240" s="17" t="n">
        <v>0.0035742</v>
      </c>
      <c r="H240" s="7" t="n">
        <v>46281.75</v>
      </c>
      <c r="I240" s="17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19" t="n">
        <v>-20457617</v>
      </c>
      <c r="R240" s="19" t="n">
        <v>2582208.096545</v>
      </c>
      <c r="S240" s="4" t="n">
        <v>0.001175088131609936</v>
      </c>
      <c r="T240" s="4" t="n">
        <v>0.05</v>
      </c>
      <c r="U240" s="16" t="n">
        <v>1.872317074448306</v>
      </c>
      <c r="V240" s="16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17" t="n">
        <v>6.241</v>
      </c>
      <c r="F241" s="17" t="n">
        <v>6.053769999999999</v>
      </c>
      <c r="G241" s="17" t="n">
        <v>6.55305</v>
      </c>
      <c r="H241" s="7" t="n">
        <v>46281.95833333334</v>
      </c>
      <c r="I241" s="17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19" t="n">
        <v>-8309</v>
      </c>
      <c r="R241" s="19" t="n">
        <v>4628640.403</v>
      </c>
      <c r="S241" s="4" t="n">
        <v>0.03</v>
      </c>
      <c r="T241" s="4" t="n">
        <v>0.03573145329274174</v>
      </c>
      <c r="U241" s="16" t="n">
        <v>0.7170819771843435</v>
      </c>
      <c r="V241" s="16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17" t="n">
        <v>0.11407</v>
      </c>
      <c r="F242" s="17" t="n">
        <v>0.1106479</v>
      </c>
      <c r="G242" s="17" t="n">
        <v>0.1197735</v>
      </c>
      <c r="H242" s="7" t="n">
        <v>46281.70833333334</v>
      </c>
      <c r="I242" s="17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19" t="n">
        <v>-6985142</v>
      </c>
      <c r="R242" s="19" t="n">
        <v>2887294.37661</v>
      </c>
      <c r="S242" s="4" t="n">
        <v>0.03</v>
      </c>
      <c r="T242" s="4" t="n">
        <v>0.01981239589725603</v>
      </c>
      <c r="U242" s="16" t="n">
        <v>0.7082025381006778</v>
      </c>
      <c r="V242" s="16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17" t="n">
        <v>0.16882</v>
      </c>
      <c r="F243" s="17" t="n">
        <v>0.1637554</v>
      </c>
      <c r="G243" s="17" t="n">
        <v>0.177261</v>
      </c>
      <c r="H243" s="7" t="n">
        <v>46281.5</v>
      </c>
      <c r="I243" s="17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19" t="n">
        <v>-5918706</v>
      </c>
      <c r="R243" s="19" t="n">
        <v>4059428.69729</v>
      </c>
      <c r="S243" s="4" t="n">
        <v>0.03</v>
      </c>
      <c r="T243" s="4" t="n">
        <v>0</v>
      </c>
      <c r="U243" s="16" t="n">
        <v>4.658083192416719</v>
      </c>
      <c r="V243" s="16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17" t="n">
        <v>0.0280655</v>
      </c>
      <c r="F244" s="17" t="n">
        <v>0.028907465</v>
      </c>
      <c r="G244" s="17" t="n">
        <v>0.026662225</v>
      </c>
      <c r="H244" s="7" t="n">
        <v>46281.625</v>
      </c>
      <c r="I244" s="17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19" t="n">
        <v>152267858</v>
      </c>
      <c r="R244" s="19" t="n">
        <v>12370801.771743</v>
      </c>
      <c r="S244" s="4" t="n">
        <v>0.02044146728189422</v>
      </c>
      <c r="T244" s="4" t="n">
        <v>0.05</v>
      </c>
      <c r="U244" s="16" t="n">
        <v>0.6997433505358437</v>
      </c>
      <c r="V244" s="16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17" t="n">
        <v>1187.67</v>
      </c>
      <c r="F245" s="17" t="n">
        <v>1223.3001</v>
      </c>
      <c r="G245" s="17" t="n">
        <v>1128.2865</v>
      </c>
      <c r="H245" s="7" t="n">
        <v>46281.83333333334</v>
      </c>
      <c r="I245" s="17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19" t="n">
        <v>2618.917999999991</v>
      </c>
      <c r="R245" s="19" t="n">
        <v>25970903.79783</v>
      </c>
      <c r="S245" s="4" t="n">
        <v>0.03</v>
      </c>
      <c r="T245" s="4" t="n">
        <v>0.01571985484183325</v>
      </c>
      <c r="U245" s="16" t="n">
        <v>0.9711796671273036</v>
      </c>
      <c r="V245" s="16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17" t="n">
        <v>0.0287685</v>
      </c>
      <c r="F246" s="17" t="n">
        <v>0.029631555</v>
      </c>
      <c r="G246" s="17" t="n">
        <v>0.027330075</v>
      </c>
      <c r="H246" s="7" t="n">
        <v>46281.875</v>
      </c>
      <c r="I246" s="17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19" t="n">
        <v>16989750</v>
      </c>
      <c r="R246" s="19" t="n">
        <v>11434612.3498025</v>
      </c>
      <c r="S246" s="4" t="n">
        <v>0.01709161061577769</v>
      </c>
      <c r="T246" s="4" t="n">
        <v>0.05</v>
      </c>
      <c r="U246" s="16" t="n">
        <v>0.6044001920117454</v>
      </c>
      <c r="V246" s="16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17" t="n">
        <v>0.10822</v>
      </c>
      <c r="F247" s="17" t="n">
        <v>0.1049734</v>
      </c>
      <c r="G247" s="17" t="n">
        <v>0.113631</v>
      </c>
      <c r="H247" s="7" t="n">
        <v>46282</v>
      </c>
      <c r="I247" s="17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19" t="n">
        <v>-1313029</v>
      </c>
      <c r="R247" s="19" t="n">
        <v>3530687.4792</v>
      </c>
      <c r="S247" s="4" t="n">
        <v>0.03</v>
      </c>
      <c r="T247" s="4" t="n">
        <v>0.01561633709111065</v>
      </c>
      <c r="U247" s="16" t="n">
        <v>4.678764547478839</v>
      </c>
      <c r="V247" s="16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17" t="n">
        <v>0.225</v>
      </c>
      <c r="F248" s="17" t="n">
        <v>0.21825</v>
      </c>
      <c r="G248" s="17" t="n">
        <v>0.23625</v>
      </c>
      <c r="H248" s="7" t="n">
        <v>46282.125</v>
      </c>
      <c r="I248" s="17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19" t="n">
        <v>-778608</v>
      </c>
      <c r="R248" s="19" t="n">
        <v>2914314.34629</v>
      </c>
      <c r="S248" s="4" t="n">
        <v>0.01364444444444457</v>
      </c>
      <c r="T248" s="4" t="n">
        <v>0.05</v>
      </c>
      <c r="U248" s="16" t="n">
        <v>1.22830388521858</v>
      </c>
      <c r="V248" s="16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17" t="n">
        <v>0.1633</v>
      </c>
      <c r="F249" s="17" t="n">
        <v>0.168199</v>
      </c>
      <c r="G249" s="17" t="n">
        <v>0.155135</v>
      </c>
      <c r="H249" s="7" t="n">
        <v>46282.33333333334</v>
      </c>
      <c r="I249" s="17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19" t="n">
        <v>4728317.000000002</v>
      </c>
      <c r="R249" s="19" t="n">
        <v>4536947.58375</v>
      </c>
      <c r="S249" s="4" t="n">
        <v>0.03</v>
      </c>
      <c r="T249" s="4" t="n">
        <v>0.03919167176974891</v>
      </c>
      <c r="U249" s="16" t="n">
        <v>1.68259846757864</v>
      </c>
      <c r="V249" s="16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17" t="n">
        <v>0.1469</v>
      </c>
      <c r="F250" s="17" t="n">
        <v>0.151307</v>
      </c>
      <c r="G250" s="17" t="n">
        <v>0.139555</v>
      </c>
      <c r="H250" s="7" t="n">
        <v>46282.375</v>
      </c>
      <c r="I250" s="17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19" t="n">
        <v>9489715</v>
      </c>
      <c r="R250" s="19" t="n">
        <v>4292644.2501</v>
      </c>
      <c r="S250" s="4" t="n">
        <v>0.03</v>
      </c>
      <c r="T250" s="4" t="n">
        <v>0.02178352620830504</v>
      </c>
      <c r="U250" s="16" t="n">
        <v>2.765192083529199</v>
      </c>
      <c r="V250" s="16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17" t="n">
        <v>6.296</v>
      </c>
      <c r="F251" s="17" t="n">
        <v>6.48488</v>
      </c>
      <c r="G251" s="17" t="n">
        <v>5.9812</v>
      </c>
      <c r="H251" s="7" t="n">
        <v>46282.20833333334</v>
      </c>
      <c r="I251" s="17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19" t="n">
        <v>31842</v>
      </c>
      <c r="R251" s="19" t="n">
        <v>3831093.943</v>
      </c>
      <c r="S251" s="4" t="n">
        <v>0.03</v>
      </c>
      <c r="T251" s="4" t="n">
        <v>0.01254764930114372</v>
      </c>
      <c r="U251" s="16" t="n">
        <v>4.174686847950839</v>
      </c>
      <c r="V251" s="16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17" t="n">
        <v>23.266</v>
      </c>
      <c r="F252" s="17" t="n">
        <v>23.96398</v>
      </c>
      <c r="G252" s="17" t="n">
        <v>22.1027</v>
      </c>
      <c r="H252" s="7" t="n">
        <v>46282.375</v>
      </c>
      <c r="I252" s="17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19" t="n">
        <v>24756.23000000003</v>
      </c>
      <c r="R252" s="19" t="n">
        <v>1607833.34184</v>
      </c>
      <c r="S252" s="4" t="n">
        <v>0.03</v>
      </c>
      <c r="T252" s="4" t="n">
        <v>0.0467635175793002</v>
      </c>
      <c r="U252" s="16" t="n">
        <v>4.424885051501956</v>
      </c>
      <c r="V252" s="16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17" t="n">
        <v>6.741</v>
      </c>
      <c r="F253" s="17" t="n">
        <v>6.94323</v>
      </c>
      <c r="G253" s="17" t="n">
        <v>6.403949999999999</v>
      </c>
      <c r="H253" s="7" t="n">
        <v>46282.375</v>
      </c>
      <c r="I253" s="17" t="n">
        <v>6.931</v>
      </c>
      <c r="J253" s="2" t="inlineStr">
        <is>
          <t>未平倉</t>
        </is>
      </c>
      <c r="K253" s="5">
        <f>(H253-D253)*24</f>
        <v/>
      </c>
      <c r="L253" s="4">
        <f>IF(C253="做多",I253/E253-1,1-I253/E253)-2*參數!$B$7</f>
        <v/>
      </c>
      <c r="M253" s="2" t="inlineStr">
        <is>
          <t>持倉中（以最新收盤估值）</t>
        </is>
      </c>
      <c r="N253" s="4" t="n">
        <v>0.03596127247579539</v>
      </c>
      <c r="O253" s="4" t="n">
        <v>0.02228641893368193</v>
      </c>
      <c r="P253" s="4" t="n">
        <v>0.05414597912349972</v>
      </c>
      <c r="Q253" s="19" t="n">
        <v>161895.5</v>
      </c>
      <c r="R253" s="19" t="n">
        <v>1210685.2987</v>
      </c>
      <c r="S253" s="4" t="n">
        <v>0.0281857291203087</v>
      </c>
      <c r="T253" s="4" t="n">
        <v>0.02329031300993922</v>
      </c>
      <c r="U253" s="16" t="n">
        <v>1.771923740229836</v>
      </c>
      <c r="V253" s="16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17" t="n">
        <v>2.547</v>
      </c>
      <c r="F254" s="17" t="n">
        <v>2.62341</v>
      </c>
      <c r="G254" s="17" t="n">
        <v>2.41965</v>
      </c>
      <c r="H254" s="7" t="n">
        <v>46282.33333333334</v>
      </c>
      <c r="I254" s="17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19" t="n">
        <v>395901</v>
      </c>
      <c r="R254" s="19" t="n">
        <v>4474252.094000001</v>
      </c>
      <c r="S254" s="4" t="n">
        <v>0.03</v>
      </c>
      <c r="T254" s="4" t="n">
        <v>0.01020808794660399</v>
      </c>
      <c r="U254" s="16" t="n">
        <v>3.612551793805155</v>
      </c>
      <c r="V254" s="16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17" t="n">
        <v>0.5614</v>
      </c>
      <c r="F255" s="17" t="n">
        <v>0.544558</v>
      </c>
      <c r="G255" s="17" t="n">
        <v>0.58947</v>
      </c>
      <c r="H255" s="7" t="n">
        <v>46282.375</v>
      </c>
      <c r="I255" s="17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19" t="n">
        <v>-459060</v>
      </c>
      <c r="R255" s="19" t="n">
        <v>3179156.2687</v>
      </c>
      <c r="S255" s="4" t="n">
        <v>0.02315639472746711</v>
      </c>
      <c r="T255" s="4" t="n">
        <v>0.05</v>
      </c>
      <c r="U255" s="16" t="n">
        <v>0.9381406590446995</v>
      </c>
      <c r="V255" s="16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17" t="n">
        <v>0.02344</v>
      </c>
      <c r="F256" s="17" t="n">
        <v>0.0227368</v>
      </c>
      <c r="G256" s="17" t="n">
        <v>0.024612</v>
      </c>
      <c r="H256" s="7" t="n">
        <v>46282.375</v>
      </c>
      <c r="I256" s="17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19" t="n">
        <v>-33284980</v>
      </c>
      <c r="R256" s="19" t="n">
        <v>4829684.85459</v>
      </c>
      <c r="S256" s="4" t="n">
        <v>0.03</v>
      </c>
      <c r="T256" s="4" t="n">
        <v>0.01706484641638228</v>
      </c>
      <c r="U256" s="16" t="n">
        <v>0.8939750352695403</v>
      </c>
      <c r="V256" s="16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</sheetData>
  <autoFilter ref="A1:AC256"/>
  <conditionalFormatting sqref="J2:J25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COUNTIFS(交易明細!$B$2:$B$256,$A2)</f>
        <v/>
      </c>
      <c r="C2" s="2">
        <f>COUNTIFS(交易明細!$B$2:$B$256,$A2,交易明細!$C$2:$C$256,"做多")</f>
        <v/>
      </c>
      <c r="D2" s="2">
        <f>COUNTIFS(交易明細!$B$2:$B$256,$A2,交易明細!$C$2:$C$256,"做空")</f>
        <v/>
      </c>
      <c r="E2" s="2">
        <f>F2+G2+COUNTIFS(交易明細!$B$2:$B$256,$A2,交易明細!$J$2:$J$256,"時間出場")</f>
        <v/>
      </c>
      <c r="F2" s="2">
        <f>COUNTIFS(交易明細!$B$2:$B$256,$A2,交易明細!$J$2:$J$256,"止盈")</f>
        <v/>
      </c>
      <c r="G2" s="2">
        <f>COUNTIFS(交易明細!$B$2:$B$256,$A2,交易明細!$J$2:$J$256,"止損")</f>
        <v/>
      </c>
      <c r="H2" s="4">
        <f>IFERROR(F2/E2,0)</f>
        <v/>
      </c>
      <c r="I2" s="4">
        <f>IFERROR(AVERAGEIFS(交易明細!$L$2:$L$256,交易明細!$B$2:$B$256,$A2,交易明細!$J$2:$J$256,"&lt;&gt;未平倉"),0)</f>
        <v/>
      </c>
      <c r="J2" s="4">
        <f>SUMIFS(交易明細!$L$2:$L$256,交易明細!$B$2:$B$256,$A2,交易明細!$J$2:$J$256,"&lt;&gt;未平倉")</f>
        <v/>
      </c>
      <c r="K2" s="5">
        <f>IFERROR(AVERAGEIFS(交易明細!$K$2:$K$256,交易明細!$B$2:$B$256,$A2,交易明細!$J$2:$J$256,"&lt;&gt;未平倉"),0)</f>
        <v/>
      </c>
      <c r="L2" s="2">
        <f>COUNTIFS(交易明細!$B$2:$B$256,$A2,交易明細!$J$2:$J$256,"未平倉")</f>
        <v/>
      </c>
    </row>
    <row r="3">
      <c r="A3" s="2" t="inlineStr">
        <is>
          <t>PONS_USDT_PERP</t>
        </is>
      </c>
      <c r="B3" s="2">
        <f>COUNTIFS(交易明細!$B$2:$B$256,$A3)</f>
        <v/>
      </c>
      <c r="C3" s="2">
        <f>COUNTIFS(交易明細!$B$2:$B$256,$A3,交易明細!$C$2:$C$256,"做多")</f>
        <v/>
      </c>
      <c r="D3" s="2">
        <f>COUNTIFS(交易明細!$B$2:$B$256,$A3,交易明細!$C$2:$C$256,"做空")</f>
        <v/>
      </c>
      <c r="E3" s="2">
        <f>F3+G3+COUNTIFS(交易明細!$B$2:$B$256,$A3,交易明細!$J$2:$J$256,"時間出場")</f>
        <v/>
      </c>
      <c r="F3" s="2">
        <f>COUNTIFS(交易明細!$B$2:$B$256,$A3,交易明細!$J$2:$J$256,"止盈")</f>
        <v/>
      </c>
      <c r="G3" s="2">
        <f>COUNTIFS(交易明細!$B$2:$B$256,$A3,交易明細!$J$2:$J$256,"止損")</f>
        <v/>
      </c>
      <c r="H3" s="4">
        <f>IFERROR(F3/E3,0)</f>
        <v/>
      </c>
      <c r="I3" s="4">
        <f>IFERROR(AVERAGEIFS(交易明細!$L$2:$L$256,交易明細!$B$2:$B$256,$A3,交易明細!$J$2:$J$256,"&lt;&gt;未平倉"),0)</f>
        <v/>
      </c>
      <c r="J3" s="4">
        <f>SUMIFS(交易明細!$L$2:$L$256,交易明細!$B$2:$B$256,$A3,交易明細!$J$2:$J$256,"&lt;&gt;未平倉")</f>
        <v/>
      </c>
      <c r="K3" s="5">
        <f>IFERROR(AVERAGEIFS(交易明細!$K$2:$K$256,交易明細!$B$2:$B$256,$A3,交易明細!$J$2:$J$256,"&lt;&gt;未平倉"),0)</f>
        <v/>
      </c>
      <c r="L3" s="2">
        <f>COUNTIFS(交易明細!$B$2:$B$256,$A3,交易明細!$J$2:$J$256,"未平倉")</f>
        <v/>
      </c>
    </row>
    <row r="4">
      <c r="A4" s="2" t="inlineStr">
        <is>
          <t>PUMP_USDT_PERP</t>
        </is>
      </c>
      <c r="B4" s="2">
        <f>COUNTIFS(交易明細!$B$2:$B$256,$A4)</f>
        <v/>
      </c>
      <c r="C4" s="2">
        <f>COUNTIFS(交易明細!$B$2:$B$256,$A4,交易明細!$C$2:$C$256,"做多")</f>
        <v/>
      </c>
      <c r="D4" s="2">
        <f>COUNTIFS(交易明細!$B$2:$B$256,$A4,交易明細!$C$2:$C$256,"做空")</f>
        <v/>
      </c>
      <c r="E4" s="2">
        <f>F4+G4+COUNTIFS(交易明細!$B$2:$B$256,$A4,交易明細!$J$2:$J$256,"時間出場")</f>
        <v/>
      </c>
      <c r="F4" s="2">
        <f>COUNTIFS(交易明細!$B$2:$B$256,$A4,交易明細!$J$2:$J$256,"止盈")</f>
        <v/>
      </c>
      <c r="G4" s="2">
        <f>COUNTIFS(交易明細!$B$2:$B$256,$A4,交易明細!$J$2:$J$256,"止損")</f>
        <v/>
      </c>
      <c r="H4" s="4">
        <f>IFERROR(F4/E4,0)</f>
        <v/>
      </c>
      <c r="I4" s="4">
        <f>IFERROR(AVERAGEIFS(交易明細!$L$2:$L$256,交易明細!$B$2:$B$256,$A4,交易明細!$J$2:$J$256,"&lt;&gt;未平倉"),0)</f>
        <v/>
      </c>
      <c r="J4" s="4">
        <f>SUMIFS(交易明細!$L$2:$L$256,交易明細!$B$2:$B$256,$A4,交易明細!$J$2:$J$256,"&lt;&gt;未平倉")</f>
        <v/>
      </c>
      <c r="K4" s="5">
        <f>IFERROR(AVERAGEIFS(交易明細!$K$2:$K$256,交易明細!$B$2:$B$256,$A4,交易明細!$J$2:$J$256,"&lt;&gt;未平倉"),0)</f>
        <v/>
      </c>
      <c r="L4" s="2">
        <f>COUNTIFS(交易明細!$B$2:$B$256,$A4,交易明細!$J$2:$J$256,"未平倉")</f>
        <v/>
      </c>
    </row>
    <row r="5">
      <c r="A5" s="2" t="inlineStr">
        <is>
          <t>牛来_USDT_PERP</t>
        </is>
      </c>
      <c r="B5" s="2">
        <f>COUNTIFS(交易明細!$B$2:$B$256,$A5)</f>
        <v/>
      </c>
      <c r="C5" s="2">
        <f>COUNTIFS(交易明細!$B$2:$B$256,$A5,交易明細!$C$2:$C$256,"做多")</f>
        <v/>
      </c>
      <c r="D5" s="2">
        <f>COUNTIFS(交易明細!$B$2:$B$256,$A5,交易明細!$C$2:$C$256,"做空")</f>
        <v/>
      </c>
      <c r="E5" s="2">
        <f>F5+G5+COUNTIFS(交易明細!$B$2:$B$256,$A5,交易明細!$J$2:$J$256,"時間出場")</f>
        <v/>
      </c>
      <c r="F5" s="2">
        <f>COUNTIFS(交易明細!$B$2:$B$256,$A5,交易明細!$J$2:$J$256,"止盈")</f>
        <v/>
      </c>
      <c r="G5" s="2">
        <f>COUNTIFS(交易明細!$B$2:$B$256,$A5,交易明細!$J$2:$J$256,"止損")</f>
        <v/>
      </c>
      <c r="H5" s="4">
        <f>IFERROR(F5/E5,0)</f>
        <v/>
      </c>
      <c r="I5" s="4">
        <f>IFERROR(AVERAGEIFS(交易明細!$L$2:$L$256,交易明細!$B$2:$B$256,$A5,交易明細!$J$2:$J$256,"&lt;&gt;未平倉"),0)</f>
        <v/>
      </c>
      <c r="J5" s="4">
        <f>SUMIFS(交易明細!$L$2:$L$256,交易明細!$B$2:$B$256,$A5,交易明細!$J$2:$J$256,"&lt;&gt;未平倉")</f>
        <v/>
      </c>
      <c r="K5" s="5">
        <f>IFERROR(AVERAGEIFS(交易明細!$K$2:$K$256,交易明細!$B$2:$B$256,$A5,交易明細!$J$2:$J$256,"&lt;&gt;未平倉"),0)</f>
        <v/>
      </c>
      <c r="L5" s="2">
        <f>COUNTIFS(交易明細!$B$2:$B$256,$A5,交易明細!$J$2:$J$256,"未平倉")</f>
        <v/>
      </c>
    </row>
    <row r="6">
      <c r="A6" s="2" t="inlineStr">
        <is>
          <t>LIT_USDT_PERP</t>
        </is>
      </c>
      <c r="B6" s="2">
        <f>COUNTIFS(交易明細!$B$2:$B$256,$A6)</f>
        <v/>
      </c>
      <c r="C6" s="2">
        <f>COUNTIFS(交易明細!$B$2:$B$256,$A6,交易明細!$C$2:$C$256,"做多")</f>
        <v/>
      </c>
      <c r="D6" s="2">
        <f>COUNTIFS(交易明細!$B$2:$B$256,$A6,交易明細!$C$2:$C$256,"做空")</f>
        <v/>
      </c>
      <c r="E6" s="2">
        <f>F6+G6+COUNTIFS(交易明細!$B$2:$B$256,$A6,交易明細!$J$2:$J$256,"時間出場")</f>
        <v/>
      </c>
      <c r="F6" s="2">
        <f>COUNTIFS(交易明細!$B$2:$B$256,$A6,交易明細!$J$2:$J$256,"止盈")</f>
        <v/>
      </c>
      <c r="G6" s="2">
        <f>COUNTIFS(交易明細!$B$2:$B$256,$A6,交易明細!$J$2:$J$256,"止損")</f>
        <v/>
      </c>
      <c r="H6" s="4">
        <f>IFERROR(F6/E6,0)</f>
        <v/>
      </c>
      <c r="I6" s="4">
        <f>IFERROR(AVERAGEIFS(交易明細!$L$2:$L$256,交易明細!$B$2:$B$256,$A6,交易明細!$J$2:$J$256,"&lt;&gt;未平倉"),0)</f>
        <v/>
      </c>
      <c r="J6" s="4">
        <f>SUMIFS(交易明細!$L$2:$L$256,交易明細!$B$2:$B$256,$A6,交易明細!$J$2:$J$256,"&lt;&gt;未平倉")</f>
        <v/>
      </c>
      <c r="K6" s="5">
        <f>IFERROR(AVERAGEIFS(交易明細!$K$2:$K$256,交易明細!$B$2:$B$256,$A6,交易明細!$J$2:$J$256,"&lt;&gt;未平倉"),0)</f>
        <v/>
      </c>
      <c r="L6" s="2">
        <f>COUNTIFS(交易明細!$B$2:$B$256,$A6,交易明細!$J$2:$J$256,"未平倉")</f>
        <v/>
      </c>
    </row>
    <row r="7">
      <c r="A7" s="2" t="inlineStr">
        <is>
          <t>UAI_USDT_PERP</t>
        </is>
      </c>
      <c r="B7" s="2">
        <f>COUNTIFS(交易明細!$B$2:$B$256,$A7)</f>
        <v/>
      </c>
      <c r="C7" s="2">
        <f>COUNTIFS(交易明細!$B$2:$B$256,$A7,交易明細!$C$2:$C$256,"做多")</f>
        <v/>
      </c>
      <c r="D7" s="2">
        <f>COUNTIFS(交易明細!$B$2:$B$256,$A7,交易明細!$C$2:$C$256,"做空")</f>
        <v/>
      </c>
      <c r="E7" s="2">
        <f>F7+G7+COUNTIFS(交易明細!$B$2:$B$256,$A7,交易明細!$J$2:$J$256,"時間出場")</f>
        <v/>
      </c>
      <c r="F7" s="2">
        <f>COUNTIFS(交易明細!$B$2:$B$256,$A7,交易明細!$J$2:$J$256,"止盈")</f>
        <v/>
      </c>
      <c r="G7" s="2">
        <f>COUNTIFS(交易明細!$B$2:$B$256,$A7,交易明細!$J$2:$J$256,"止損")</f>
        <v/>
      </c>
      <c r="H7" s="4">
        <f>IFERROR(F7/E7,0)</f>
        <v/>
      </c>
      <c r="I7" s="4">
        <f>IFERROR(AVERAGEIFS(交易明細!$L$2:$L$256,交易明細!$B$2:$B$256,$A7,交易明細!$J$2:$J$256,"&lt;&gt;未平倉"),0)</f>
        <v/>
      </c>
      <c r="J7" s="4">
        <f>SUMIFS(交易明細!$L$2:$L$256,交易明細!$B$2:$B$256,$A7,交易明細!$J$2:$J$256,"&lt;&gt;未平倉")</f>
        <v/>
      </c>
      <c r="K7" s="5">
        <f>IFERROR(AVERAGEIFS(交易明細!$K$2:$K$256,交易明細!$B$2:$B$256,$A7,交易明細!$J$2:$J$256,"&lt;&gt;未平倉"),0)</f>
        <v/>
      </c>
      <c r="L7" s="2">
        <f>COUNTIFS(交易明細!$B$2:$B$256,$A7,交易明細!$J$2:$J$256,"未平倉")</f>
        <v/>
      </c>
    </row>
    <row r="8">
      <c r="A8" s="2" t="inlineStr">
        <is>
          <t>MARSCOIN_USDT_PERP</t>
        </is>
      </c>
      <c r="B8" s="2">
        <f>COUNTIFS(交易明細!$B$2:$B$256,$A8)</f>
        <v/>
      </c>
      <c r="C8" s="2">
        <f>COUNTIFS(交易明細!$B$2:$B$256,$A8,交易明細!$C$2:$C$256,"做多")</f>
        <v/>
      </c>
      <c r="D8" s="2">
        <f>COUNTIFS(交易明細!$B$2:$B$256,$A8,交易明細!$C$2:$C$256,"做空")</f>
        <v/>
      </c>
      <c r="E8" s="2">
        <f>F8+G8+COUNTIFS(交易明細!$B$2:$B$256,$A8,交易明細!$J$2:$J$256,"時間出場")</f>
        <v/>
      </c>
      <c r="F8" s="2">
        <f>COUNTIFS(交易明細!$B$2:$B$256,$A8,交易明細!$J$2:$J$256,"止盈")</f>
        <v/>
      </c>
      <c r="G8" s="2">
        <f>COUNTIFS(交易明細!$B$2:$B$256,$A8,交易明細!$J$2:$J$256,"止損")</f>
        <v/>
      </c>
      <c r="H8" s="4">
        <f>IFERROR(F8/E8,0)</f>
        <v/>
      </c>
      <c r="I8" s="4">
        <f>IFERROR(AVERAGEIFS(交易明細!$L$2:$L$256,交易明細!$B$2:$B$256,$A8,交易明細!$J$2:$J$256,"&lt;&gt;未平倉"),0)</f>
        <v/>
      </c>
      <c r="J8" s="4">
        <f>SUMIFS(交易明細!$L$2:$L$256,交易明細!$B$2:$B$256,$A8,交易明細!$J$2:$J$256,"&lt;&gt;未平倉")</f>
        <v/>
      </c>
      <c r="K8" s="5">
        <f>IFERROR(AVERAGEIFS(交易明細!$K$2:$K$256,交易明細!$B$2:$B$256,$A8,交易明細!$J$2:$J$256,"&lt;&gt;未平倉"),0)</f>
        <v/>
      </c>
      <c r="L8" s="2">
        <f>COUNTIFS(交易明細!$B$2:$B$256,$A8,交易明細!$J$2:$J$256,"未平倉")</f>
        <v/>
      </c>
    </row>
    <row r="9">
      <c r="A9" s="2" t="inlineStr">
        <is>
          <t>BULLA_USDT_PERP</t>
        </is>
      </c>
      <c r="B9" s="2">
        <f>COUNTIFS(交易明細!$B$2:$B$256,$A9)</f>
        <v/>
      </c>
      <c r="C9" s="2">
        <f>COUNTIFS(交易明細!$B$2:$B$256,$A9,交易明細!$C$2:$C$256,"做多")</f>
        <v/>
      </c>
      <c r="D9" s="2">
        <f>COUNTIFS(交易明細!$B$2:$B$256,$A9,交易明細!$C$2:$C$256,"做空")</f>
        <v/>
      </c>
      <c r="E9" s="2">
        <f>F9+G9+COUNTIFS(交易明細!$B$2:$B$256,$A9,交易明細!$J$2:$J$256,"時間出場")</f>
        <v/>
      </c>
      <c r="F9" s="2">
        <f>COUNTIFS(交易明細!$B$2:$B$256,$A9,交易明細!$J$2:$J$256,"止盈")</f>
        <v/>
      </c>
      <c r="G9" s="2">
        <f>COUNTIFS(交易明細!$B$2:$B$256,$A9,交易明細!$J$2:$J$256,"止損")</f>
        <v/>
      </c>
      <c r="H9" s="4">
        <f>IFERROR(F9/E9,0)</f>
        <v/>
      </c>
      <c r="I9" s="4">
        <f>IFERROR(AVERAGEIFS(交易明細!$L$2:$L$256,交易明細!$B$2:$B$256,$A9,交易明細!$J$2:$J$256,"&lt;&gt;未平倉"),0)</f>
        <v/>
      </c>
      <c r="J9" s="4">
        <f>SUMIFS(交易明細!$L$2:$L$256,交易明細!$B$2:$B$256,$A9,交易明細!$J$2:$J$256,"&lt;&gt;未平倉")</f>
        <v/>
      </c>
      <c r="K9" s="5">
        <f>IFERROR(AVERAGEIFS(交易明細!$K$2:$K$256,交易明細!$B$2:$B$256,$A9,交易明細!$J$2:$J$256,"&lt;&gt;未平倉"),0)</f>
        <v/>
      </c>
      <c r="L9" s="2">
        <f>COUNTIFS(交易明細!$B$2:$B$256,$A9,交易明細!$J$2:$J$256,"未平倉")</f>
        <v/>
      </c>
    </row>
    <row r="10">
      <c r="A10" s="2" t="inlineStr">
        <is>
          <t>HEMI_USDT_PERP</t>
        </is>
      </c>
      <c r="B10" s="2">
        <f>COUNTIFS(交易明細!$B$2:$B$256,$A10)</f>
        <v/>
      </c>
      <c r="C10" s="2">
        <f>COUNTIFS(交易明細!$B$2:$B$256,$A10,交易明細!$C$2:$C$256,"做多")</f>
        <v/>
      </c>
      <c r="D10" s="2">
        <f>COUNTIFS(交易明細!$B$2:$B$256,$A10,交易明細!$C$2:$C$256,"做空")</f>
        <v/>
      </c>
      <c r="E10" s="2">
        <f>F10+G10+COUNTIFS(交易明細!$B$2:$B$256,$A10,交易明細!$J$2:$J$256,"時間出場")</f>
        <v/>
      </c>
      <c r="F10" s="2">
        <f>COUNTIFS(交易明細!$B$2:$B$256,$A10,交易明細!$J$2:$J$256,"止盈")</f>
        <v/>
      </c>
      <c r="G10" s="2">
        <f>COUNTIFS(交易明細!$B$2:$B$256,$A10,交易明細!$J$2:$J$256,"止損")</f>
        <v/>
      </c>
      <c r="H10" s="4">
        <f>IFERROR(F10/E10,0)</f>
        <v/>
      </c>
      <c r="I10" s="4">
        <f>IFERROR(AVERAGEIFS(交易明細!$L$2:$L$256,交易明細!$B$2:$B$256,$A10,交易明細!$J$2:$J$256,"&lt;&gt;未平倉"),0)</f>
        <v/>
      </c>
      <c r="J10" s="4">
        <f>SUMIFS(交易明細!$L$2:$L$256,交易明細!$B$2:$B$256,$A10,交易明細!$J$2:$J$256,"&lt;&gt;未平倉")</f>
        <v/>
      </c>
      <c r="K10" s="5">
        <f>IFERROR(AVERAGEIFS(交易明細!$K$2:$K$256,交易明細!$B$2:$B$256,$A10,交易明細!$J$2:$J$256,"&lt;&gt;未平倉"),0)</f>
        <v/>
      </c>
      <c r="L10" s="2">
        <f>COUNTIFS(交易明細!$B$2:$B$256,$A10,交易明細!$J$2:$J$256,"未平倉")</f>
        <v/>
      </c>
    </row>
    <row r="11">
      <c r="A11" s="2" t="inlineStr">
        <is>
          <t>AKE_USDT_PERP</t>
        </is>
      </c>
      <c r="B11" s="2">
        <f>COUNTIFS(交易明細!$B$2:$B$256,$A11)</f>
        <v/>
      </c>
      <c r="C11" s="2">
        <f>COUNTIFS(交易明細!$B$2:$B$256,$A11,交易明細!$C$2:$C$256,"做多")</f>
        <v/>
      </c>
      <c r="D11" s="2">
        <f>COUNTIFS(交易明細!$B$2:$B$256,$A11,交易明細!$C$2:$C$256,"做空")</f>
        <v/>
      </c>
      <c r="E11" s="2">
        <f>F11+G11+COUNTIFS(交易明細!$B$2:$B$256,$A11,交易明細!$J$2:$J$256,"時間出場")</f>
        <v/>
      </c>
      <c r="F11" s="2">
        <f>COUNTIFS(交易明細!$B$2:$B$256,$A11,交易明細!$J$2:$J$256,"止盈")</f>
        <v/>
      </c>
      <c r="G11" s="2">
        <f>COUNTIFS(交易明細!$B$2:$B$256,$A11,交易明細!$J$2:$J$256,"止損")</f>
        <v/>
      </c>
      <c r="H11" s="4">
        <f>IFERROR(F11/E11,0)</f>
        <v/>
      </c>
      <c r="I11" s="4">
        <f>IFERROR(AVERAGEIFS(交易明細!$L$2:$L$256,交易明細!$B$2:$B$256,$A11,交易明細!$J$2:$J$256,"&lt;&gt;未平倉"),0)</f>
        <v/>
      </c>
      <c r="J11" s="4">
        <f>SUMIFS(交易明細!$L$2:$L$256,交易明細!$B$2:$B$256,$A11,交易明細!$J$2:$J$256,"&lt;&gt;未平倉")</f>
        <v/>
      </c>
      <c r="K11" s="5">
        <f>IFERROR(AVERAGEIFS(交易明細!$K$2:$K$256,交易明細!$B$2:$B$256,$A11,交易明細!$J$2:$J$256,"&lt;&gt;未平倉"),0)</f>
        <v/>
      </c>
      <c r="L11" s="2">
        <f>COUNTIFS(交易明細!$B$2:$B$256,$A11,交易明細!$J$2:$J$256,"未平倉")</f>
        <v/>
      </c>
    </row>
    <row r="12">
      <c r="A12" s="2" t="inlineStr">
        <is>
          <t>VVV_USDT_PERP</t>
        </is>
      </c>
      <c r="B12" s="2">
        <f>COUNTIFS(交易明細!$B$2:$B$256,$A12)</f>
        <v/>
      </c>
      <c r="C12" s="2">
        <f>COUNTIFS(交易明細!$B$2:$B$256,$A12,交易明細!$C$2:$C$256,"做多")</f>
        <v/>
      </c>
      <c r="D12" s="2">
        <f>COUNTIFS(交易明細!$B$2:$B$256,$A12,交易明細!$C$2:$C$256,"做空")</f>
        <v/>
      </c>
      <c r="E12" s="2">
        <f>F12+G12+COUNTIFS(交易明細!$B$2:$B$256,$A12,交易明細!$J$2:$J$256,"時間出場")</f>
        <v/>
      </c>
      <c r="F12" s="2">
        <f>COUNTIFS(交易明細!$B$2:$B$256,$A12,交易明細!$J$2:$J$256,"止盈")</f>
        <v/>
      </c>
      <c r="G12" s="2">
        <f>COUNTIFS(交易明細!$B$2:$B$256,$A12,交易明細!$J$2:$J$256,"止損")</f>
        <v/>
      </c>
      <c r="H12" s="4">
        <f>IFERROR(F12/E12,0)</f>
        <v/>
      </c>
      <c r="I12" s="4">
        <f>IFERROR(AVERAGEIFS(交易明細!$L$2:$L$256,交易明細!$B$2:$B$256,$A12,交易明細!$J$2:$J$256,"&lt;&gt;未平倉"),0)</f>
        <v/>
      </c>
      <c r="J12" s="4">
        <f>SUMIFS(交易明細!$L$2:$L$256,交易明細!$B$2:$B$256,$A12,交易明細!$J$2:$J$256,"&lt;&gt;未平倉")</f>
        <v/>
      </c>
      <c r="K12" s="5">
        <f>IFERROR(AVERAGEIFS(交易明細!$K$2:$K$256,交易明細!$B$2:$B$256,$A12,交易明細!$J$2:$J$256,"&lt;&gt;未平倉"),0)</f>
        <v/>
      </c>
      <c r="L12" s="2">
        <f>COUNTIFS(交易明細!$B$2:$B$256,$A12,交易明細!$J$2:$J$256,"未平倉")</f>
        <v/>
      </c>
    </row>
    <row r="13">
      <c r="A13" s="2" t="inlineStr">
        <is>
          <t>UNI_USDT_PERP</t>
        </is>
      </c>
      <c r="B13" s="2">
        <f>COUNTIFS(交易明細!$B$2:$B$256,$A13)</f>
        <v/>
      </c>
      <c r="C13" s="2">
        <f>COUNTIFS(交易明細!$B$2:$B$256,$A13,交易明細!$C$2:$C$256,"做多")</f>
        <v/>
      </c>
      <c r="D13" s="2">
        <f>COUNTIFS(交易明細!$B$2:$B$256,$A13,交易明細!$C$2:$C$256,"做空")</f>
        <v/>
      </c>
      <c r="E13" s="2">
        <f>F13+G13+COUNTIFS(交易明細!$B$2:$B$256,$A13,交易明細!$J$2:$J$256,"時間出場")</f>
        <v/>
      </c>
      <c r="F13" s="2">
        <f>COUNTIFS(交易明細!$B$2:$B$256,$A13,交易明細!$J$2:$J$256,"止盈")</f>
        <v/>
      </c>
      <c r="G13" s="2">
        <f>COUNTIFS(交易明細!$B$2:$B$256,$A13,交易明細!$J$2:$J$256,"止損")</f>
        <v/>
      </c>
      <c r="H13" s="4">
        <f>IFERROR(F13/E13,0)</f>
        <v/>
      </c>
      <c r="I13" s="4">
        <f>IFERROR(AVERAGEIFS(交易明細!$L$2:$L$256,交易明細!$B$2:$B$256,$A13,交易明細!$J$2:$J$256,"&lt;&gt;未平倉"),0)</f>
        <v/>
      </c>
      <c r="J13" s="4">
        <f>SUMIFS(交易明細!$L$2:$L$256,交易明細!$B$2:$B$256,$A13,交易明細!$J$2:$J$256,"&lt;&gt;未平倉")</f>
        <v/>
      </c>
      <c r="K13" s="5">
        <f>IFERROR(AVERAGEIFS(交易明細!$K$2:$K$256,交易明細!$B$2:$B$256,$A13,交易明細!$J$2:$J$256,"&lt;&gt;未平倉"),0)</f>
        <v/>
      </c>
      <c r="L13" s="2">
        <f>COUNTIFS(交易明細!$B$2:$B$256,$A13,交易明細!$J$2:$J$256,"未平倉")</f>
        <v/>
      </c>
    </row>
    <row r="14">
      <c r="A14" s="2" t="inlineStr">
        <is>
          <t>ARB_USDT_PERP</t>
        </is>
      </c>
      <c r="B14" s="2">
        <f>COUNTIFS(交易明細!$B$2:$B$256,$A14)</f>
        <v/>
      </c>
      <c r="C14" s="2">
        <f>COUNTIFS(交易明細!$B$2:$B$256,$A14,交易明細!$C$2:$C$256,"做多")</f>
        <v/>
      </c>
      <c r="D14" s="2">
        <f>COUNTIFS(交易明細!$B$2:$B$256,$A14,交易明細!$C$2:$C$256,"做空")</f>
        <v/>
      </c>
      <c r="E14" s="2">
        <f>F14+G14+COUNTIFS(交易明細!$B$2:$B$256,$A14,交易明細!$J$2:$J$256,"時間出場")</f>
        <v/>
      </c>
      <c r="F14" s="2">
        <f>COUNTIFS(交易明細!$B$2:$B$256,$A14,交易明細!$J$2:$J$256,"止盈")</f>
        <v/>
      </c>
      <c r="G14" s="2">
        <f>COUNTIFS(交易明細!$B$2:$B$256,$A14,交易明細!$J$2:$J$256,"止損")</f>
        <v/>
      </c>
      <c r="H14" s="4">
        <f>IFERROR(F14/E14,0)</f>
        <v/>
      </c>
      <c r="I14" s="4">
        <f>IFERROR(AVERAGEIFS(交易明細!$L$2:$L$256,交易明細!$B$2:$B$256,$A14,交易明細!$J$2:$J$256,"&lt;&gt;未平倉"),0)</f>
        <v/>
      </c>
      <c r="J14" s="4">
        <f>SUMIFS(交易明細!$L$2:$L$256,交易明細!$B$2:$B$256,$A14,交易明細!$J$2:$J$256,"&lt;&gt;未平倉")</f>
        <v/>
      </c>
      <c r="K14" s="5">
        <f>IFERROR(AVERAGEIFS(交易明細!$K$2:$K$256,交易明細!$B$2:$B$256,$A14,交易明細!$J$2:$J$256,"&lt;&gt;未平倉"),0)</f>
        <v/>
      </c>
      <c r="L14" s="2">
        <f>COUNTIFS(交易明細!$B$2:$B$256,$A14,交易明細!$J$2:$J$256,"未平倉")</f>
        <v/>
      </c>
    </row>
    <row r="15">
      <c r="A15" s="2" t="inlineStr">
        <is>
          <t>NEAR_USDT_PERP</t>
        </is>
      </c>
      <c r="B15" s="2">
        <f>COUNTIFS(交易明細!$B$2:$B$256,$A15)</f>
        <v/>
      </c>
      <c r="C15" s="2">
        <f>COUNTIFS(交易明細!$B$2:$B$256,$A15,交易明細!$C$2:$C$256,"做多")</f>
        <v/>
      </c>
      <c r="D15" s="2">
        <f>COUNTIFS(交易明細!$B$2:$B$256,$A15,交易明細!$C$2:$C$256,"做空")</f>
        <v/>
      </c>
      <c r="E15" s="2">
        <f>F15+G15+COUNTIFS(交易明細!$B$2:$B$256,$A15,交易明細!$J$2:$J$256,"時間出場")</f>
        <v/>
      </c>
      <c r="F15" s="2">
        <f>COUNTIFS(交易明細!$B$2:$B$256,$A15,交易明細!$J$2:$J$256,"止盈")</f>
        <v/>
      </c>
      <c r="G15" s="2">
        <f>COUNTIFS(交易明細!$B$2:$B$256,$A15,交易明細!$J$2:$J$256,"止損")</f>
        <v/>
      </c>
      <c r="H15" s="4">
        <f>IFERROR(F15/E15,0)</f>
        <v/>
      </c>
      <c r="I15" s="4">
        <f>IFERROR(AVERAGEIFS(交易明細!$L$2:$L$256,交易明細!$B$2:$B$256,$A15,交易明細!$J$2:$J$256,"&lt;&gt;未平倉"),0)</f>
        <v/>
      </c>
      <c r="J15" s="4">
        <f>SUMIFS(交易明細!$L$2:$L$256,交易明細!$B$2:$B$256,$A15,交易明細!$J$2:$J$256,"&lt;&gt;未平倉")</f>
        <v/>
      </c>
      <c r="K15" s="5">
        <f>IFERROR(AVERAGEIFS(交易明細!$K$2:$K$256,交易明細!$B$2:$B$256,$A15,交易明細!$J$2:$J$256,"&lt;&gt;未平倉"),0)</f>
        <v/>
      </c>
      <c r="L15" s="2">
        <f>COUNTIFS(交易明細!$B$2:$B$256,$A15,交易明細!$J$2:$J$256,"未平倉")</f>
        <v/>
      </c>
    </row>
    <row r="16">
      <c r="A16" s="2" t="inlineStr">
        <is>
          <t>RAY_USDT_PERP</t>
        </is>
      </c>
      <c r="B16" s="2">
        <f>COUNTIFS(交易明細!$B$2:$B$256,$A16)</f>
        <v/>
      </c>
      <c r="C16" s="2">
        <f>COUNTIFS(交易明細!$B$2:$B$256,$A16,交易明細!$C$2:$C$256,"做多")</f>
        <v/>
      </c>
      <c r="D16" s="2">
        <f>COUNTIFS(交易明細!$B$2:$B$256,$A16,交易明細!$C$2:$C$256,"做空")</f>
        <v/>
      </c>
      <c r="E16" s="2">
        <f>F16+G16+COUNTIFS(交易明細!$B$2:$B$256,$A16,交易明細!$J$2:$J$256,"時間出場")</f>
        <v/>
      </c>
      <c r="F16" s="2">
        <f>COUNTIFS(交易明細!$B$2:$B$256,$A16,交易明細!$J$2:$J$256,"止盈")</f>
        <v/>
      </c>
      <c r="G16" s="2">
        <f>COUNTIFS(交易明細!$B$2:$B$256,$A16,交易明細!$J$2:$J$256,"止損")</f>
        <v/>
      </c>
      <c r="H16" s="4">
        <f>IFERROR(F16/E16,0)</f>
        <v/>
      </c>
      <c r="I16" s="4">
        <f>IFERROR(AVERAGEIFS(交易明細!$L$2:$L$256,交易明細!$B$2:$B$256,$A16,交易明細!$J$2:$J$256,"&lt;&gt;未平倉"),0)</f>
        <v/>
      </c>
      <c r="J16" s="4">
        <f>SUMIFS(交易明細!$L$2:$L$256,交易明細!$B$2:$B$256,$A16,交易明細!$J$2:$J$256,"&lt;&gt;未平倉")</f>
        <v/>
      </c>
      <c r="K16" s="5">
        <f>IFERROR(AVERAGEIFS(交易明細!$K$2:$K$256,交易明細!$B$2:$B$256,$A16,交易明細!$J$2:$J$256,"&lt;&gt;未平倉"),0)</f>
        <v/>
      </c>
      <c r="L16" s="2">
        <f>COUNTIFS(交易明細!$B$2:$B$256,$A16,交易明細!$J$2:$J$256,"未平倉")</f>
        <v/>
      </c>
    </row>
    <row r="17">
      <c r="A17" s="2" t="inlineStr">
        <is>
          <t>DASH_USDT_PERP</t>
        </is>
      </c>
      <c r="B17" s="2">
        <f>COUNTIFS(交易明細!$B$2:$B$256,$A17)</f>
        <v/>
      </c>
      <c r="C17" s="2">
        <f>COUNTIFS(交易明細!$B$2:$B$256,$A17,交易明細!$C$2:$C$256,"做多")</f>
        <v/>
      </c>
      <c r="D17" s="2">
        <f>COUNTIFS(交易明細!$B$2:$B$256,$A17,交易明細!$C$2:$C$256,"做空")</f>
        <v/>
      </c>
      <c r="E17" s="2">
        <f>F17+G17+COUNTIFS(交易明細!$B$2:$B$256,$A17,交易明細!$J$2:$J$256,"時間出場")</f>
        <v/>
      </c>
      <c r="F17" s="2">
        <f>COUNTIFS(交易明細!$B$2:$B$256,$A17,交易明細!$J$2:$J$256,"止盈")</f>
        <v/>
      </c>
      <c r="G17" s="2">
        <f>COUNTIFS(交易明細!$B$2:$B$256,$A17,交易明細!$J$2:$J$256,"止損")</f>
        <v/>
      </c>
      <c r="H17" s="4">
        <f>IFERROR(F17/E17,0)</f>
        <v/>
      </c>
      <c r="I17" s="4">
        <f>IFERROR(AVERAGEIFS(交易明細!$L$2:$L$256,交易明細!$B$2:$B$256,$A17,交易明細!$J$2:$J$256,"&lt;&gt;未平倉"),0)</f>
        <v/>
      </c>
      <c r="J17" s="4">
        <f>SUMIFS(交易明細!$L$2:$L$256,交易明細!$B$2:$B$256,$A17,交易明細!$J$2:$J$256,"&lt;&gt;未平倉")</f>
        <v/>
      </c>
      <c r="K17" s="5">
        <f>IFERROR(AVERAGEIFS(交易明細!$K$2:$K$256,交易明細!$B$2:$B$256,$A17,交易明細!$J$2:$J$256,"&lt;&gt;未平倉"),0)</f>
        <v/>
      </c>
      <c r="L17" s="2">
        <f>COUNTIFS(交易明細!$B$2:$B$256,$A17,交易明細!$J$2:$J$256,"未平倉")</f>
        <v/>
      </c>
    </row>
    <row r="18">
      <c r="A18" s="2" t="inlineStr">
        <is>
          <t>SKR_USDT_PERP</t>
        </is>
      </c>
      <c r="B18" s="2">
        <f>COUNTIFS(交易明細!$B$2:$B$256,$A18)</f>
        <v/>
      </c>
      <c r="C18" s="2">
        <f>COUNTIFS(交易明細!$B$2:$B$256,$A18,交易明細!$C$2:$C$256,"做多")</f>
        <v/>
      </c>
      <c r="D18" s="2">
        <f>COUNTIFS(交易明細!$B$2:$B$256,$A18,交易明細!$C$2:$C$256,"做空")</f>
        <v/>
      </c>
      <c r="E18" s="2">
        <f>F18+G18+COUNTIFS(交易明細!$B$2:$B$256,$A18,交易明細!$J$2:$J$256,"時間出場")</f>
        <v/>
      </c>
      <c r="F18" s="2">
        <f>COUNTIFS(交易明細!$B$2:$B$256,$A18,交易明細!$J$2:$J$256,"止盈")</f>
        <v/>
      </c>
      <c r="G18" s="2">
        <f>COUNTIFS(交易明細!$B$2:$B$256,$A18,交易明細!$J$2:$J$256,"止損")</f>
        <v/>
      </c>
      <c r="H18" s="4">
        <f>IFERROR(F18/E18,0)</f>
        <v/>
      </c>
      <c r="I18" s="4">
        <f>IFERROR(AVERAGEIFS(交易明細!$L$2:$L$256,交易明細!$B$2:$B$256,$A18,交易明細!$J$2:$J$256,"&lt;&gt;未平倉"),0)</f>
        <v/>
      </c>
      <c r="J18" s="4">
        <f>SUMIFS(交易明細!$L$2:$L$256,交易明細!$B$2:$B$256,$A18,交易明細!$J$2:$J$256,"&lt;&gt;未平倉")</f>
        <v/>
      </c>
      <c r="K18" s="5">
        <f>IFERROR(AVERAGEIFS(交易明細!$K$2:$K$256,交易明細!$B$2:$B$256,$A18,交易明細!$J$2:$J$256,"&lt;&gt;未平倉"),0)</f>
        <v/>
      </c>
      <c r="L18" s="2">
        <f>COUNTIFS(交易明細!$B$2:$B$256,$A18,交易明細!$J$2:$J$256,"未平倉")</f>
        <v/>
      </c>
    </row>
    <row r="19">
      <c r="A19" s="2" t="inlineStr">
        <is>
          <t>ENA_USDT_PERP</t>
        </is>
      </c>
      <c r="B19" s="2">
        <f>COUNTIFS(交易明細!$B$2:$B$256,$A19)</f>
        <v/>
      </c>
      <c r="C19" s="2">
        <f>COUNTIFS(交易明細!$B$2:$B$256,$A19,交易明細!$C$2:$C$256,"做多")</f>
        <v/>
      </c>
      <c r="D19" s="2">
        <f>COUNTIFS(交易明細!$B$2:$B$256,$A19,交易明細!$C$2:$C$256,"做空")</f>
        <v/>
      </c>
      <c r="E19" s="2">
        <f>F19+G19+COUNTIFS(交易明細!$B$2:$B$256,$A19,交易明細!$J$2:$J$256,"時間出場")</f>
        <v/>
      </c>
      <c r="F19" s="2">
        <f>COUNTIFS(交易明細!$B$2:$B$256,$A19,交易明細!$J$2:$J$256,"止盈")</f>
        <v/>
      </c>
      <c r="G19" s="2">
        <f>COUNTIFS(交易明細!$B$2:$B$256,$A19,交易明細!$J$2:$J$256,"止損")</f>
        <v/>
      </c>
      <c r="H19" s="4">
        <f>IFERROR(F19/E19,0)</f>
        <v/>
      </c>
      <c r="I19" s="4">
        <f>IFERROR(AVERAGEIFS(交易明細!$L$2:$L$256,交易明細!$B$2:$B$256,$A19,交易明細!$J$2:$J$256,"&lt;&gt;未平倉"),0)</f>
        <v/>
      </c>
      <c r="J19" s="4">
        <f>SUMIFS(交易明細!$L$2:$L$256,交易明細!$B$2:$B$256,$A19,交易明細!$J$2:$J$256,"&lt;&gt;未平倉")</f>
        <v/>
      </c>
      <c r="K19" s="5">
        <f>IFERROR(AVERAGEIFS(交易明細!$K$2:$K$256,交易明細!$B$2:$B$256,$A19,交易明細!$J$2:$J$256,"&lt;&gt;未平倉"),0)</f>
        <v/>
      </c>
      <c r="L19" s="2">
        <f>COUNTIFS(交易明細!$B$2:$B$256,$A19,交易明細!$J$2:$J$256,"未平倉")</f>
        <v/>
      </c>
    </row>
    <row r="20">
      <c r="A20" s="2" t="inlineStr">
        <is>
          <t>IOST_USDT_PERP</t>
        </is>
      </c>
      <c r="B20" s="2">
        <f>COUNTIFS(交易明細!$B$2:$B$256,$A20)</f>
        <v/>
      </c>
      <c r="C20" s="2">
        <f>COUNTIFS(交易明細!$B$2:$B$256,$A20,交易明細!$C$2:$C$256,"做多")</f>
        <v/>
      </c>
      <c r="D20" s="2">
        <f>COUNTIFS(交易明細!$B$2:$B$256,$A20,交易明細!$C$2:$C$256,"做空")</f>
        <v/>
      </c>
      <c r="E20" s="2">
        <f>F20+G20+COUNTIFS(交易明細!$B$2:$B$256,$A20,交易明細!$J$2:$J$256,"時間出場")</f>
        <v/>
      </c>
      <c r="F20" s="2">
        <f>COUNTIFS(交易明細!$B$2:$B$256,$A20,交易明細!$J$2:$J$256,"止盈")</f>
        <v/>
      </c>
      <c r="G20" s="2">
        <f>COUNTIFS(交易明細!$B$2:$B$256,$A20,交易明細!$J$2:$J$256,"止損")</f>
        <v/>
      </c>
      <c r="H20" s="4">
        <f>IFERROR(F20/E20,0)</f>
        <v/>
      </c>
      <c r="I20" s="4">
        <f>IFERROR(AVERAGEIFS(交易明細!$L$2:$L$256,交易明細!$B$2:$B$256,$A20,交易明細!$J$2:$J$256,"&lt;&gt;未平倉"),0)</f>
        <v/>
      </c>
      <c r="J20" s="4">
        <f>SUMIFS(交易明細!$L$2:$L$256,交易明細!$B$2:$B$256,$A20,交易明細!$J$2:$J$256,"&lt;&gt;未平倉")</f>
        <v/>
      </c>
      <c r="K20" s="5">
        <f>IFERROR(AVERAGEIFS(交易明細!$K$2:$K$256,交易明細!$B$2:$B$256,$A20,交易明細!$J$2:$J$256,"&lt;&gt;未平倉"),0)</f>
        <v/>
      </c>
      <c r="L20" s="2">
        <f>COUNTIFS(交易明細!$B$2:$B$256,$A20,交易明細!$J$2:$J$256,"未平倉")</f>
        <v/>
      </c>
    </row>
    <row r="21">
      <c r="A21" s="2" t="inlineStr">
        <is>
          <t>LAB_USDT_PERP</t>
        </is>
      </c>
      <c r="B21" s="2">
        <f>COUNTIFS(交易明細!$B$2:$B$256,$A21)</f>
        <v/>
      </c>
      <c r="C21" s="2">
        <f>COUNTIFS(交易明細!$B$2:$B$256,$A21,交易明細!$C$2:$C$256,"做多")</f>
        <v/>
      </c>
      <c r="D21" s="2">
        <f>COUNTIFS(交易明細!$B$2:$B$256,$A21,交易明細!$C$2:$C$256,"做空")</f>
        <v/>
      </c>
      <c r="E21" s="2">
        <f>F21+G21+COUNTIFS(交易明細!$B$2:$B$256,$A21,交易明細!$J$2:$J$256,"時間出場")</f>
        <v/>
      </c>
      <c r="F21" s="2">
        <f>COUNTIFS(交易明細!$B$2:$B$256,$A21,交易明細!$J$2:$J$256,"止盈")</f>
        <v/>
      </c>
      <c r="G21" s="2">
        <f>COUNTIFS(交易明細!$B$2:$B$256,$A21,交易明細!$J$2:$J$256,"止損")</f>
        <v/>
      </c>
      <c r="H21" s="4">
        <f>IFERROR(F21/E21,0)</f>
        <v/>
      </c>
      <c r="I21" s="4">
        <f>IFERROR(AVERAGEIFS(交易明細!$L$2:$L$256,交易明細!$B$2:$B$256,$A21,交易明細!$J$2:$J$256,"&lt;&gt;未平倉"),0)</f>
        <v/>
      </c>
      <c r="J21" s="4">
        <f>SUMIFS(交易明細!$L$2:$L$256,交易明細!$B$2:$B$256,$A21,交易明細!$J$2:$J$256,"&lt;&gt;未平倉")</f>
        <v/>
      </c>
      <c r="K21" s="5">
        <f>IFERROR(AVERAGEIFS(交易明細!$K$2:$K$256,交易明細!$B$2:$B$256,$A21,交易明細!$J$2:$J$256,"&lt;&gt;未平倉"),0)</f>
        <v/>
      </c>
      <c r="L21" s="2">
        <f>COUNTIFS(交易明細!$B$2:$B$256,$A21,交易明細!$J$2:$J$256,"未平倉")</f>
        <v/>
      </c>
    </row>
    <row r="22">
      <c r="A22" s="2" t="inlineStr">
        <is>
          <t>BTR_USDT_PERP</t>
        </is>
      </c>
      <c r="B22" s="2">
        <f>COUNTIFS(交易明細!$B$2:$B$256,$A22)</f>
        <v/>
      </c>
      <c r="C22" s="2">
        <f>COUNTIFS(交易明細!$B$2:$B$256,$A22,交易明細!$C$2:$C$256,"做多")</f>
        <v/>
      </c>
      <c r="D22" s="2">
        <f>COUNTIFS(交易明細!$B$2:$B$256,$A22,交易明細!$C$2:$C$256,"做空")</f>
        <v/>
      </c>
      <c r="E22" s="2">
        <f>F22+G22+COUNTIFS(交易明細!$B$2:$B$256,$A22,交易明細!$J$2:$J$256,"時間出場")</f>
        <v/>
      </c>
      <c r="F22" s="2">
        <f>COUNTIFS(交易明細!$B$2:$B$256,$A22,交易明細!$J$2:$J$256,"止盈")</f>
        <v/>
      </c>
      <c r="G22" s="2">
        <f>COUNTIFS(交易明細!$B$2:$B$256,$A22,交易明細!$J$2:$J$256,"止損")</f>
        <v/>
      </c>
      <c r="H22" s="4">
        <f>IFERROR(F22/E22,0)</f>
        <v/>
      </c>
      <c r="I22" s="4">
        <f>IFERROR(AVERAGEIFS(交易明細!$L$2:$L$256,交易明細!$B$2:$B$256,$A22,交易明細!$J$2:$J$256,"&lt;&gt;未平倉"),0)</f>
        <v/>
      </c>
      <c r="J22" s="4">
        <f>SUMIFS(交易明細!$L$2:$L$256,交易明細!$B$2:$B$256,$A22,交易明細!$J$2:$J$256,"&lt;&gt;未平倉")</f>
        <v/>
      </c>
      <c r="K22" s="5">
        <f>IFERROR(AVERAGEIFS(交易明細!$K$2:$K$256,交易明細!$B$2:$B$256,$A22,交易明細!$J$2:$J$256,"&lt;&gt;未平倉"),0)</f>
        <v/>
      </c>
      <c r="L22" s="2">
        <f>COUNTIFS(交易明細!$B$2:$B$256,$A22,交易明細!$J$2:$J$256,"未平倉")</f>
        <v/>
      </c>
    </row>
    <row r="23">
      <c r="A23" s="2" t="inlineStr">
        <is>
          <t>XPL_USDT_PERP</t>
        </is>
      </c>
      <c r="B23" s="2">
        <f>COUNTIFS(交易明細!$B$2:$B$256,$A23)</f>
        <v/>
      </c>
      <c r="C23" s="2">
        <f>COUNTIFS(交易明細!$B$2:$B$256,$A23,交易明細!$C$2:$C$256,"做多")</f>
        <v/>
      </c>
      <c r="D23" s="2">
        <f>COUNTIFS(交易明細!$B$2:$B$256,$A23,交易明細!$C$2:$C$256,"做空")</f>
        <v/>
      </c>
      <c r="E23" s="2">
        <f>F23+G23+COUNTIFS(交易明細!$B$2:$B$256,$A23,交易明細!$J$2:$J$256,"時間出場")</f>
        <v/>
      </c>
      <c r="F23" s="2">
        <f>COUNTIFS(交易明細!$B$2:$B$256,$A23,交易明細!$J$2:$J$256,"止盈")</f>
        <v/>
      </c>
      <c r="G23" s="2">
        <f>COUNTIFS(交易明細!$B$2:$B$256,$A23,交易明細!$J$2:$J$256,"止損")</f>
        <v/>
      </c>
      <c r="H23" s="4">
        <f>IFERROR(F23/E23,0)</f>
        <v/>
      </c>
      <c r="I23" s="4">
        <f>IFERROR(AVERAGEIFS(交易明細!$L$2:$L$256,交易明細!$B$2:$B$256,$A23,交易明細!$J$2:$J$256,"&lt;&gt;未平倉"),0)</f>
        <v/>
      </c>
      <c r="J23" s="4">
        <f>SUMIFS(交易明細!$L$2:$L$256,交易明細!$B$2:$B$256,$A23,交易明細!$J$2:$J$256,"&lt;&gt;未平倉")</f>
        <v/>
      </c>
      <c r="K23" s="5">
        <f>IFERROR(AVERAGEIFS(交易明細!$K$2:$K$256,交易明細!$B$2:$B$256,$A23,交易明細!$J$2:$J$256,"&lt;&gt;未平倉"),0)</f>
        <v/>
      </c>
      <c r="L23" s="2">
        <f>COUNTIFS(交易明細!$B$2:$B$256,$A23,交易明細!$J$2:$J$256,"未平倉")</f>
        <v/>
      </c>
    </row>
    <row r="24">
      <c r="A24" s="2" t="inlineStr">
        <is>
          <t>ZEC_USDT_PERP</t>
        </is>
      </c>
      <c r="B24" s="2">
        <f>COUNTIFS(交易明細!$B$2:$B$256,$A24)</f>
        <v/>
      </c>
      <c r="C24" s="2">
        <f>COUNTIFS(交易明細!$B$2:$B$256,$A24,交易明細!$C$2:$C$256,"做多")</f>
        <v/>
      </c>
      <c r="D24" s="2">
        <f>COUNTIFS(交易明細!$B$2:$B$256,$A24,交易明細!$C$2:$C$256,"做空")</f>
        <v/>
      </c>
      <c r="E24" s="2">
        <f>F24+G24+COUNTIFS(交易明細!$B$2:$B$256,$A24,交易明細!$J$2:$J$256,"時間出場")</f>
        <v/>
      </c>
      <c r="F24" s="2">
        <f>COUNTIFS(交易明細!$B$2:$B$256,$A24,交易明細!$J$2:$J$256,"止盈")</f>
        <v/>
      </c>
      <c r="G24" s="2">
        <f>COUNTIFS(交易明細!$B$2:$B$256,$A24,交易明細!$J$2:$J$256,"止損")</f>
        <v/>
      </c>
      <c r="H24" s="4">
        <f>IFERROR(F24/E24,0)</f>
        <v/>
      </c>
      <c r="I24" s="4">
        <f>IFERROR(AVERAGEIFS(交易明細!$L$2:$L$256,交易明細!$B$2:$B$256,$A24,交易明細!$J$2:$J$256,"&lt;&gt;未平倉"),0)</f>
        <v/>
      </c>
      <c r="J24" s="4">
        <f>SUMIFS(交易明細!$L$2:$L$256,交易明細!$B$2:$B$256,$A24,交易明細!$J$2:$J$256,"&lt;&gt;未平倉")</f>
        <v/>
      </c>
      <c r="K24" s="5">
        <f>IFERROR(AVERAGEIFS(交易明細!$K$2:$K$256,交易明細!$B$2:$B$256,$A24,交易明細!$J$2:$J$256,"&lt;&gt;未平倉"),0)</f>
        <v/>
      </c>
      <c r="L24" s="2">
        <f>COUNTIFS(交易明細!$B$2:$B$256,$A24,交易明細!$J$2:$J$256,"未平倉")</f>
        <v/>
      </c>
    </row>
    <row r="25">
      <c r="A25" s="2" t="inlineStr">
        <is>
          <t>LSK_USDT_PERP</t>
        </is>
      </c>
      <c r="B25" s="2">
        <f>COUNTIFS(交易明細!$B$2:$B$256,$A25)</f>
        <v/>
      </c>
      <c r="C25" s="2">
        <f>COUNTIFS(交易明細!$B$2:$B$256,$A25,交易明細!$C$2:$C$256,"做多")</f>
        <v/>
      </c>
      <c r="D25" s="2">
        <f>COUNTIFS(交易明細!$B$2:$B$256,$A25,交易明細!$C$2:$C$256,"做空")</f>
        <v/>
      </c>
      <c r="E25" s="2">
        <f>F25+G25+COUNTIFS(交易明細!$B$2:$B$256,$A25,交易明細!$J$2:$J$256,"時間出場")</f>
        <v/>
      </c>
      <c r="F25" s="2">
        <f>COUNTIFS(交易明細!$B$2:$B$256,$A25,交易明細!$J$2:$J$256,"止盈")</f>
        <v/>
      </c>
      <c r="G25" s="2">
        <f>COUNTIFS(交易明細!$B$2:$B$256,$A25,交易明細!$J$2:$J$256,"止損")</f>
        <v/>
      </c>
      <c r="H25" s="4">
        <f>IFERROR(F25/E25,0)</f>
        <v/>
      </c>
      <c r="I25" s="4">
        <f>IFERROR(AVERAGEIFS(交易明細!$L$2:$L$256,交易明細!$B$2:$B$256,$A25,交易明細!$J$2:$J$256,"&lt;&gt;未平倉"),0)</f>
        <v/>
      </c>
      <c r="J25" s="4">
        <f>SUMIFS(交易明細!$L$2:$L$256,交易明細!$B$2:$B$256,$A25,交易明細!$J$2:$J$256,"&lt;&gt;未平倉")</f>
        <v/>
      </c>
      <c r="K25" s="5">
        <f>IFERROR(AVERAGEIFS(交易明細!$K$2:$K$256,交易明細!$B$2:$B$256,$A25,交易明細!$J$2:$J$256,"&lt;&gt;未平倉"),0)</f>
        <v/>
      </c>
      <c r="L25" s="2">
        <f>COUNTIFS(交易明細!$B$2:$B$256,$A25,交易明細!$J$2:$J$256,"未平倉")</f>
        <v/>
      </c>
    </row>
    <row r="26">
      <c r="A26" s="2" t="inlineStr">
        <is>
          <t>SKYAI_USDT_PERP</t>
        </is>
      </c>
      <c r="B26" s="2">
        <f>COUNTIFS(交易明細!$B$2:$B$256,$A26)</f>
        <v/>
      </c>
      <c r="C26" s="2">
        <f>COUNTIFS(交易明細!$B$2:$B$256,$A26,交易明細!$C$2:$C$256,"做多")</f>
        <v/>
      </c>
      <c r="D26" s="2">
        <f>COUNTIFS(交易明細!$B$2:$B$256,$A26,交易明細!$C$2:$C$256,"做空")</f>
        <v/>
      </c>
      <c r="E26" s="2">
        <f>F26+G26+COUNTIFS(交易明細!$B$2:$B$256,$A26,交易明細!$J$2:$J$256,"時間出場")</f>
        <v/>
      </c>
      <c r="F26" s="2">
        <f>COUNTIFS(交易明細!$B$2:$B$256,$A26,交易明細!$J$2:$J$256,"止盈")</f>
        <v/>
      </c>
      <c r="G26" s="2">
        <f>COUNTIFS(交易明細!$B$2:$B$256,$A26,交易明細!$J$2:$J$256,"止損")</f>
        <v/>
      </c>
      <c r="H26" s="4">
        <f>IFERROR(F26/E26,0)</f>
        <v/>
      </c>
      <c r="I26" s="4">
        <f>IFERROR(AVERAGEIFS(交易明細!$L$2:$L$256,交易明細!$B$2:$B$256,$A26,交易明細!$J$2:$J$256,"&lt;&gt;未平倉"),0)</f>
        <v/>
      </c>
      <c r="J26" s="4">
        <f>SUMIFS(交易明細!$L$2:$L$256,交易明細!$B$2:$B$256,$A26,交易明細!$J$2:$J$256,"&lt;&gt;未平倉")</f>
        <v/>
      </c>
      <c r="K26" s="5">
        <f>IFERROR(AVERAGEIFS(交易明細!$K$2:$K$256,交易明細!$B$2:$B$256,$A26,交易明細!$J$2:$J$256,"&lt;&gt;未平倉"),0)</f>
        <v/>
      </c>
      <c r="L26" s="2">
        <f>COUNTIFS(交易明細!$B$2:$B$256,$A26,交易明細!$J$2:$J$256,"未平倉")</f>
        <v/>
      </c>
    </row>
    <row r="27">
      <c r="A27" s="2" t="inlineStr">
        <is>
          <t>ACE_USDT_PERP</t>
        </is>
      </c>
      <c r="B27" s="2">
        <f>COUNTIFS(交易明細!$B$2:$B$256,$A27)</f>
        <v/>
      </c>
      <c r="C27" s="2">
        <f>COUNTIFS(交易明細!$B$2:$B$256,$A27,交易明細!$C$2:$C$256,"做多")</f>
        <v/>
      </c>
      <c r="D27" s="2">
        <f>COUNTIFS(交易明細!$B$2:$B$256,$A27,交易明細!$C$2:$C$256,"做空")</f>
        <v/>
      </c>
      <c r="E27" s="2">
        <f>F27+G27+COUNTIFS(交易明細!$B$2:$B$256,$A27,交易明細!$J$2:$J$256,"時間出場")</f>
        <v/>
      </c>
      <c r="F27" s="2">
        <f>COUNTIFS(交易明細!$B$2:$B$256,$A27,交易明細!$J$2:$J$256,"止盈")</f>
        <v/>
      </c>
      <c r="G27" s="2">
        <f>COUNTIFS(交易明細!$B$2:$B$256,$A27,交易明細!$J$2:$J$256,"止損")</f>
        <v/>
      </c>
      <c r="H27" s="4">
        <f>IFERROR(F27/E27,0)</f>
        <v/>
      </c>
      <c r="I27" s="4">
        <f>IFERROR(AVERAGEIFS(交易明細!$L$2:$L$256,交易明細!$B$2:$B$256,$A27,交易明細!$J$2:$J$256,"&lt;&gt;未平倉"),0)</f>
        <v/>
      </c>
      <c r="J27" s="4">
        <f>SUMIFS(交易明細!$L$2:$L$256,交易明細!$B$2:$B$256,$A27,交易明細!$J$2:$J$256,"&lt;&gt;未平倉")</f>
        <v/>
      </c>
      <c r="K27" s="5">
        <f>IFERROR(AVERAGEIFS(交易明細!$K$2:$K$256,交易明細!$B$2:$B$256,$A27,交易明細!$J$2:$J$256,"&lt;&gt;未平倉"),0)</f>
        <v/>
      </c>
      <c r="L27" s="2">
        <f>COUNTIFS(交易明細!$B$2:$B$256,$A27,交易明細!$J$2:$J$256,"未平倉")</f>
        <v/>
      </c>
    </row>
    <row r="28">
      <c r="A28" s="2" t="inlineStr">
        <is>
          <t>EDGE_USDT_PERP</t>
        </is>
      </c>
      <c r="B28" s="2">
        <f>COUNTIFS(交易明細!$B$2:$B$256,$A28)</f>
        <v/>
      </c>
      <c r="C28" s="2">
        <f>COUNTIFS(交易明細!$B$2:$B$256,$A28,交易明細!$C$2:$C$256,"做多")</f>
        <v/>
      </c>
      <c r="D28" s="2">
        <f>COUNTIFS(交易明細!$B$2:$B$256,$A28,交易明細!$C$2:$C$256,"做空")</f>
        <v/>
      </c>
      <c r="E28" s="2">
        <f>F28+G28+COUNTIFS(交易明細!$B$2:$B$256,$A28,交易明細!$J$2:$J$256,"時間出場")</f>
        <v/>
      </c>
      <c r="F28" s="2">
        <f>COUNTIFS(交易明細!$B$2:$B$256,$A28,交易明細!$J$2:$J$256,"止盈")</f>
        <v/>
      </c>
      <c r="G28" s="2">
        <f>COUNTIFS(交易明細!$B$2:$B$256,$A28,交易明細!$J$2:$J$256,"止損")</f>
        <v/>
      </c>
      <c r="H28" s="4">
        <f>IFERROR(F28/E28,0)</f>
        <v/>
      </c>
      <c r="I28" s="4">
        <f>IFERROR(AVERAGEIFS(交易明細!$L$2:$L$256,交易明細!$B$2:$B$256,$A28,交易明細!$J$2:$J$256,"&lt;&gt;未平倉"),0)</f>
        <v/>
      </c>
      <c r="J28" s="4">
        <f>SUMIFS(交易明細!$L$2:$L$256,交易明細!$B$2:$B$256,$A28,交易明細!$J$2:$J$256,"&lt;&gt;未平倉")</f>
        <v/>
      </c>
      <c r="K28" s="5">
        <f>IFERROR(AVERAGEIFS(交易明細!$K$2:$K$256,交易明細!$B$2:$B$256,$A28,交易明細!$J$2:$J$256,"&lt;&gt;未平倉"),0)</f>
        <v/>
      </c>
      <c r="L28" s="2">
        <f>COUNTIFS(交易明細!$B$2:$B$256,$A28,交易明細!$J$2:$J$256,"未平倉")</f>
        <v/>
      </c>
    </row>
    <row r="29">
      <c r="A29" s="2" t="inlineStr">
        <is>
          <t>4_USDT_PERP</t>
        </is>
      </c>
      <c r="B29" s="2">
        <f>COUNTIFS(交易明細!$B$2:$B$256,$A29)</f>
        <v/>
      </c>
      <c r="C29" s="2">
        <f>COUNTIFS(交易明細!$B$2:$B$256,$A29,交易明細!$C$2:$C$256,"做多")</f>
        <v/>
      </c>
      <c r="D29" s="2">
        <f>COUNTIFS(交易明細!$B$2:$B$256,$A29,交易明細!$C$2:$C$256,"做空")</f>
        <v/>
      </c>
      <c r="E29" s="2">
        <f>F29+G29+COUNTIFS(交易明細!$B$2:$B$256,$A29,交易明細!$J$2:$J$256,"時間出場")</f>
        <v/>
      </c>
      <c r="F29" s="2">
        <f>COUNTIFS(交易明細!$B$2:$B$256,$A29,交易明細!$J$2:$J$256,"止盈")</f>
        <v/>
      </c>
      <c r="G29" s="2">
        <f>COUNTIFS(交易明細!$B$2:$B$256,$A29,交易明細!$J$2:$J$256,"止損")</f>
        <v/>
      </c>
      <c r="H29" s="4">
        <f>IFERROR(F29/E29,0)</f>
        <v/>
      </c>
      <c r="I29" s="4">
        <f>IFERROR(AVERAGEIFS(交易明細!$L$2:$L$256,交易明細!$B$2:$B$256,$A29,交易明細!$J$2:$J$256,"&lt;&gt;未平倉"),0)</f>
        <v/>
      </c>
      <c r="J29" s="4">
        <f>SUMIFS(交易明細!$L$2:$L$256,交易明細!$B$2:$B$256,$A29,交易明細!$J$2:$J$256,"&lt;&gt;未平倉")</f>
        <v/>
      </c>
      <c r="K29" s="5">
        <f>IFERROR(AVERAGEIFS(交易明細!$K$2:$K$256,交易明細!$B$2:$B$256,$A29,交易明細!$J$2:$J$256,"&lt;&gt;未平倉"),0)</f>
        <v/>
      </c>
      <c r="L29" s="2">
        <f>COUNTIFS(交易明細!$B$2:$B$256,$A29,交易明細!$J$2:$J$256,"未平倉")</f>
        <v/>
      </c>
    </row>
    <row r="30">
      <c r="A30" s="2" t="inlineStr">
        <is>
          <t>ZEN_USDT_PERP</t>
        </is>
      </c>
      <c r="B30" s="2">
        <f>COUNTIFS(交易明細!$B$2:$B$256,$A30)</f>
        <v/>
      </c>
      <c r="C30" s="2">
        <f>COUNTIFS(交易明細!$B$2:$B$256,$A30,交易明細!$C$2:$C$256,"做多")</f>
        <v/>
      </c>
      <c r="D30" s="2">
        <f>COUNTIFS(交易明細!$B$2:$B$256,$A30,交易明細!$C$2:$C$256,"做空")</f>
        <v/>
      </c>
      <c r="E30" s="2">
        <f>F30+G30+COUNTIFS(交易明細!$B$2:$B$256,$A30,交易明細!$J$2:$J$256,"時間出場")</f>
        <v/>
      </c>
      <c r="F30" s="2">
        <f>COUNTIFS(交易明細!$B$2:$B$256,$A30,交易明細!$J$2:$J$256,"止盈")</f>
        <v/>
      </c>
      <c r="G30" s="2">
        <f>COUNTIFS(交易明細!$B$2:$B$256,$A30,交易明細!$J$2:$J$256,"止損")</f>
        <v/>
      </c>
      <c r="H30" s="4">
        <f>IFERROR(F30/E30,0)</f>
        <v/>
      </c>
      <c r="I30" s="4">
        <f>IFERROR(AVERAGEIFS(交易明細!$L$2:$L$256,交易明細!$B$2:$B$256,$A30,交易明細!$J$2:$J$256,"&lt;&gt;未平倉"),0)</f>
        <v/>
      </c>
      <c r="J30" s="4">
        <f>SUMIFS(交易明細!$L$2:$L$256,交易明細!$B$2:$B$256,$A30,交易明細!$J$2:$J$256,"&lt;&gt;未平倉")</f>
        <v/>
      </c>
      <c r="K30" s="5">
        <f>IFERROR(AVERAGEIFS(交易明細!$K$2:$K$256,交易明細!$B$2:$B$256,$A30,交易明細!$J$2:$J$256,"&lt;&gt;未平倉"),0)</f>
        <v/>
      </c>
      <c r="L30" s="2">
        <f>COUNTIFS(交易明細!$B$2:$B$256,$A30,交易明細!$J$2:$J$256,"未平倉")</f>
        <v/>
      </c>
    </row>
    <row r="31">
      <c r="A31" s="2" t="inlineStr">
        <is>
          <t>WLD_USDT_PERP</t>
        </is>
      </c>
      <c r="B31" s="2">
        <f>COUNTIFS(交易明細!$B$2:$B$256,$A31)</f>
        <v/>
      </c>
      <c r="C31" s="2">
        <f>COUNTIFS(交易明細!$B$2:$B$256,$A31,交易明細!$C$2:$C$256,"做多")</f>
        <v/>
      </c>
      <c r="D31" s="2">
        <f>COUNTIFS(交易明細!$B$2:$B$256,$A31,交易明細!$C$2:$C$256,"做空")</f>
        <v/>
      </c>
      <c r="E31" s="2">
        <f>F31+G31+COUNTIFS(交易明細!$B$2:$B$256,$A31,交易明細!$J$2:$J$256,"時間出場")</f>
        <v/>
      </c>
      <c r="F31" s="2">
        <f>COUNTIFS(交易明細!$B$2:$B$256,$A31,交易明細!$J$2:$J$256,"止盈")</f>
        <v/>
      </c>
      <c r="G31" s="2">
        <f>COUNTIFS(交易明細!$B$2:$B$256,$A31,交易明細!$J$2:$J$256,"止損")</f>
        <v/>
      </c>
      <c r="H31" s="4">
        <f>IFERROR(F31/E31,0)</f>
        <v/>
      </c>
      <c r="I31" s="4">
        <f>IFERROR(AVERAGEIFS(交易明細!$L$2:$L$256,交易明細!$B$2:$B$256,$A31,交易明細!$J$2:$J$256,"&lt;&gt;未平倉"),0)</f>
        <v/>
      </c>
      <c r="J31" s="4">
        <f>SUMIFS(交易明細!$L$2:$L$256,交易明細!$B$2:$B$256,$A31,交易明細!$J$2:$J$256,"&lt;&gt;未平倉")</f>
        <v/>
      </c>
      <c r="K31" s="5">
        <f>IFERROR(AVERAGEIFS(交易明細!$K$2:$K$256,交易明細!$B$2:$B$256,$A31,交易明細!$J$2:$J$256,"&lt;&gt;未平倉"),0)</f>
        <v/>
      </c>
      <c r="L31" s="2">
        <f>COUNTIFS(交易明細!$B$2:$B$256,$A31,交易明細!$J$2:$J$256,"未平倉")</f>
        <v/>
      </c>
    </row>
    <row r="32">
      <c r="A32" s="2" t="inlineStr">
        <is>
          <t>AERO_USDT_PERP</t>
        </is>
      </c>
      <c r="B32" s="2">
        <f>COUNTIFS(交易明細!$B$2:$B$256,$A32)</f>
        <v/>
      </c>
      <c r="C32" s="2">
        <f>COUNTIFS(交易明細!$B$2:$B$256,$A32,交易明細!$C$2:$C$256,"做多")</f>
        <v/>
      </c>
      <c r="D32" s="2">
        <f>COUNTIFS(交易明細!$B$2:$B$256,$A32,交易明細!$C$2:$C$256,"做空")</f>
        <v/>
      </c>
      <c r="E32" s="2">
        <f>F32+G32+COUNTIFS(交易明細!$B$2:$B$256,$A32,交易明細!$J$2:$J$256,"時間出場")</f>
        <v/>
      </c>
      <c r="F32" s="2">
        <f>COUNTIFS(交易明細!$B$2:$B$256,$A32,交易明細!$J$2:$J$256,"止盈")</f>
        <v/>
      </c>
      <c r="G32" s="2">
        <f>COUNTIFS(交易明細!$B$2:$B$256,$A32,交易明細!$J$2:$J$256,"止損")</f>
        <v/>
      </c>
      <c r="H32" s="4">
        <f>IFERROR(F32/E32,0)</f>
        <v/>
      </c>
      <c r="I32" s="4">
        <f>IFERROR(AVERAGEIFS(交易明細!$L$2:$L$256,交易明細!$B$2:$B$256,$A32,交易明細!$J$2:$J$256,"&lt;&gt;未平倉"),0)</f>
        <v/>
      </c>
      <c r="J32" s="4">
        <f>SUMIFS(交易明細!$L$2:$L$256,交易明細!$B$2:$B$256,$A32,交易明細!$J$2:$J$256,"&lt;&gt;未平倉")</f>
        <v/>
      </c>
      <c r="K32" s="5">
        <f>IFERROR(AVERAGEIFS(交易明細!$K$2:$K$256,交易明細!$B$2:$B$256,$A32,交易明細!$J$2:$J$256,"&lt;&gt;未平倉"),0)</f>
        <v/>
      </c>
      <c r="L32" s="2">
        <f>COUNTIFS(交易明細!$B$2:$B$256,$A32,交易明細!$J$2:$J$256,"未平倉")</f>
        <v/>
      </c>
    </row>
    <row r="33">
      <c r="A33" s="2" t="inlineStr">
        <is>
          <t>DOT_USDT_PERP</t>
        </is>
      </c>
      <c r="B33" s="2">
        <f>COUNTIFS(交易明細!$B$2:$B$256,$A33)</f>
        <v/>
      </c>
      <c r="C33" s="2">
        <f>COUNTIFS(交易明細!$B$2:$B$256,$A33,交易明細!$C$2:$C$256,"做多")</f>
        <v/>
      </c>
      <c r="D33" s="2">
        <f>COUNTIFS(交易明細!$B$2:$B$256,$A33,交易明細!$C$2:$C$256,"做空")</f>
        <v/>
      </c>
      <c r="E33" s="2">
        <f>F33+G33+COUNTIFS(交易明細!$B$2:$B$256,$A33,交易明細!$J$2:$J$256,"時間出場")</f>
        <v/>
      </c>
      <c r="F33" s="2">
        <f>COUNTIFS(交易明細!$B$2:$B$256,$A33,交易明細!$J$2:$J$256,"止盈")</f>
        <v/>
      </c>
      <c r="G33" s="2">
        <f>COUNTIFS(交易明細!$B$2:$B$256,$A33,交易明細!$J$2:$J$256,"止損")</f>
        <v/>
      </c>
      <c r="H33" s="4">
        <f>IFERROR(F33/E33,0)</f>
        <v/>
      </c>
      <c r="I33" s="4">
        <f>IFERROR(AVERAGEIFS(交易明細!$L$2:$L$256,交易明細!$B$2:$B$256,$A33,交易明細!$J$2:$J$256,"&lt;&gt;未平倉"),0)</f>
        <v/>
      </c>
      <c r="J33" s="4">
        <f>SUMIFS(交易明細!$L$2:$L$256,交易明細!$B$2:$B$256,$A33,交易明細!$J$2:$J$256,"&lt;&gt;未平倉")</f>
        <v/>
      </c>
      <c r="K33" s="5">
        <f>IFERROR(AVERAGEIFS(交易明細!$K$2:$K$256,交易明細!$B$2:$B$256,$A33,交易明細!$J$2:$J$256,"&lt;&gt;未平倉"),0)</f>
        <v/>
      </c>
      <c r="L33" s="2">
        <f>COUNTIFS(交易明細!$B$2:$B$256,$A33,交易明細!$J$2:$J$256,"未平倉")</f>
        <v/>
      </c>
    </row>
    <row r="34">
      <c r="A34" s="2" t="inlineStr">
        <is>
          <t>RIVER_USDT_PERP</t>
        </is>
      </c>
      <c r="B34" s="2">
        <f>COUNTIFS(交易明細!$B$2:$B$256,$A34)</f>
        <v/>
      </c>
      <c r="C34" s="2">
        <f>COUNTIFS(交易明細!$B$2:$B$256,$A34,交易明細!$C$2:$C$256,"做多")</f>
        <v/>
      </c>
      <c r="D34" s="2">
        <f>COUNTIFS(交易明細!$B$2:$B$256,$A34,交易明細!$C$2:$C$256,"做空")</f>
        <v/>
      </c>
      <c r="E34" s="2">
        <f>F34+G34+COUNTIFS(交易明細!$B$2:$B$256,$A34,交易明細!$J$2:$J$256,"時間出場")</f>
        <v/>
      </c>
      <c r="F34" s="2">
        <f>COUNTIFS(交易明細!$B$2:$B$256,$A34,交易明細!$J$2:$J$256,"止盈")</f>
        <v/>
      </c>
      <c r="G34" s="2">
        <f>COUNTIFS(交易明細!$B$2:$B$256,$A34,交易明細!$J$2:$J$256,"止損")</f>
        <v/>
      </c>
      <c r="H34" s="4">
        <f>IFERROR(F34/E34,0)</f>
        <v/>
      </c>
      <c r="I34" s="4">
        <f>IFERROR(AVERAGEIFS(交易明細!$L$2:$L$256,交易明細!$B$2:$B$256,$A34,交易明細!$J$2:$J$256,"&lt;&gt;未平倉"),0)</f>
        <v/>
      </c>
      <c r="J34" s="4">
        <f>SUMIFS(交易明細!$L$2:$L$256,交易明細!$B$2:$B$256,$A34,交易明細!$J$2:$J$256,"&lt;&gt;未平倉")</f>
        <v/>
      </c>
      <c r="K34" s="5">
        <f>IFERROR(AVERAGEIFS(交易明細!$K$2:$K$256,交易明細!$B$2:$B$256,$A34,交易明細!$J$2:$J$256,"&lt;&gt;未平倉"),0)</f>
        <v/>
      </c>
      <c r="L34" s="2">
        <f>COUNTIFS(交易明細!$B$2:$B$256,$A34,交易明細!$J$2:$J$256,"未平倉")</f>
        <v/>
      </c>
    </row>
    <row r="35">
      <c r="A35" s="2" t="inlineStr">
        <is>
          <t>FIL_USDT_PERP</t>
        </is>
      </c>
      <c r="B35" s="2">
        <f>COUNTIFS(交易明細!$B$2:$B$256,$A35)</f>
        <v/>
      </c>
      <c r="C35" s="2">
        <f>COUNTIFS(交易明細!$B$2:$B$256,$A35,交易明細!$C$2:$C$256,"做多")</f>
        <v/>
      </c>
      <c r="D35" s="2">
        <f>COUNTIFS(交易明細!$B$2:$B$256,$A35,交易明細!$C$2:$C$256,"做空")</f>
        <v/>
      </c>
      <c r="E35" s="2">
        <f>F35+G35+COUNTIFS(交易明細!$B$2:$B$256,$A35,交易明細!$J$2:$J$256,"時間出場")</f>
        <v/>
      </c>
      <c r="F35" s="2">
        <f>COUNTIFS(交易明細!$B$2:$B$256,$A35,交易明細!$J$2:$J$256,"止盈")</f>
        <v/>
      </c>
      <c r="G35" s="2">
        <f>COUNTIFS(交易明細!$B$2:$B$256,$A35,交易明細!$J$2:$J$256,"止損")</f>
        <v/>
      </c>
      <c r="H35" s="4">
        <f>IFERROR(F35/E35,0)</f>
        <v/>
      </c>
      <c r="I35" s="4">
        <f>IFERROR(AVERAGEIFS(交易明細!$L$2:$L$256,交易明細!$B$2:$B$256,$A35,交易明細!$J$2:$J$256,"&lt;&gt;未平倉"),0)</f>
        <v/>
      </c>
      <c r="J35" s="4">
        <f>SUMIFS(交易明細!$L$2:$L$256,交易明細!$B$2:$B$256,$A35,交易明細!$J$2:$J$256,"&lt;&gt;未平倉")</f>
        <v/>
      </c>
      <c r="K35" s="5">
        <f>IFERROR(AVERAGEIFS(交易明細!$K$2:$K$256,交易明細!$B$2:$B$256,$A35,交易明細!$J$2:$J$256,"&lt;&gt;未平倉"),0)</f>
        <v/>
      </c>
      <c r="L35" s="2">
        <f>COUNTIFS(交易明細!$B$2:$B$256,$A35,交易明細!$J$2:$J$256,"未平倉")</f>
        <v/>
      </c>
    </row>
    <row r="36">
      <c r="A36" s="2" t="inlineStr">
        <is>
          <t>POWER_USDT_PERP</t>
        </is>
      </c>
      <c r="B36" s="2">
        <f>COUNTIFS(交易明細!$B$2:$B$256,$A36)</f>
        <v/>
      </c>
      <c r="C36" s="2">
        <f>COUNTIFS(交易明細!$B$2:$B$256,$A36,交易明細!$C$2:$C$256,"做多")</f>
        <v/>
      </c>
      <c r="D36" s="2">
        <f>COUNTIFS(交易明細!$B$2:$B$256,$A36,交易明細!$C$2:$C$256,"做空")</f>
        <v/>
      </c>
      <c r="E36" s="2">
        <f>F36+G36+COUNTIFS(交易明細!$B$2:$B$256,$A36,交易明細!$J$2:$J$256,"時間出場")</f>
        <v/>
      </c>
      <c r="F36" s="2">
        <f>COUNTIFS(交易明細!$B$2:$B$256,$A36,交易明細!$J$2:$J$256,"止盈")</f>
        <v/>
      </c>
      <c r="G36" s="2">
        <f>COUNTIFS(交易明細!$B$2:$B$256,$A36,交易明細!$J$2:$J$256,"止損")</f>
        <v/>
      </c>
      <c r="H36" s="4">
        <f>IFERROR(F36/E36,0)</f>
        <v/>
      </c>
      <c r="I36" s="4">
        <f>IFERROR(AVERAGEIFS(交易明細!$L$2:$L$256,交易明細!$B$2:$B$256,$A36,交易明細!$J$2:$J$256,"&lt;&gt;未平倉"),0)</f>
        <v/>
      </c>
      <c r="J36" s="4">
        <f>SUMIFS(交易明細!$L$2:$L$256,交易明細!$B$2:$B$256,$A36,交易明細!$J$2:$J$256,"&lt;&gt;未平倉")</f>
        <v/>
      </c>
      <c r="K36" s="5">
        <f>IFERROR(AVERAGEIFS(交易明細!$K$2:$K$256,交易明細!$B$2:$B$256,$A36,交易明細!$J$2:$J$256,"&lt;&gt;未平倉"),0)</f>
        <v/>
      </c>
      <c r="L36" s="2">
        <f>COUNTIFS(交易明細!$B$2:$B$256,$A36,交易明細!$J$2:$J$256,"未平倉")</f>
        <v/>
      </c>
    </row>
    <row r="37">
      <c r="A37" s="2" t="inlineStr">
        <is>
          <t>XMR_USDT_PERP</t>
        </is>
      </c>
      <c r="B37" s="2">
        <f>COUNTIFS(交易明細!$B$2:$B$256,$A37)</f>
        <v/>
      </c>
      <c r="C37" s="2">
        <f>COUNTIFS(交易明細!$B$2:$B$256,$A37,交易明細!$C$2:$C$256,"做多")</f>
        <v/>
      </c>
      <c r="D37" s="2">
        <f>COUNTIFS(交易明細!$B$2:$B$256,$A37,交易明細!$C$2:$C$256,"做空")</f>
        <v/>
      </c>
      <c r="E37" s="2">
        <f>F37+G37+COUNTIFS(交易明細!$B$2:$B$256,$A37,交易明細!$J$2:$J$256,"時間出場")</f>
        <v/>
      </c>
      <c r="F37" s="2">
        <f>COUNTIFS(交易明細!$B$2:$B$256,$A37,交易明細!$J$2:$J$256,"止盈")</f>
        <v/>
      </c>
      <c r="G37" s="2">
        <f>COUNTIFS(交易明細!$B$2:$B$256,$A37,交易明細!$J$2:$J$256,"止損")</f>
        <v/>
      </c>
      <c r="H37" s="4">
        <f>IFERROR(F37/E37,0)</f>
        <v/>
      </c>
      <c r="I37" s="4">
        <f>IFERROR(AVERAGEIFS(交易明細!$L$2:$L$256,交易明細!$B$2:$B$256,$A37,交易明細!$J$2:$J$256,"&lt;&gt;未平倉"),0)</f>
        <v/>
      </c>
      <c r="J37" s="4">
        <f>SUMIFS(交易明細!$L$2:$L$256,交易明細!$B$2:$B$256,$A37,交易明細!$J$2:$J$256,"&lt;&gt;未平倉")</f>
        <v/>
      </c>
      <c r="K37" s="5">
        <f>IFERROR(AVERAGEIFS(交易明細!$K$2:$K$256,交易明細!$B$2:$B$256,$A37,交易明細!$J$2:$J$256,"&lt;&gt;未平倉"),0)</f>
        <v/>
      </c>
      <c r="L37" s="2">
        <f>COUNTIFS(交易明細!$B$2:$B$256,$A37,交易明細!$J$2:$J$256,"未平倉")</f>
        <v/>
      </c>
    </row>
    <row r="38">
      <c r="A38" s="2" t="inlineStr">
        <is>
          <t>CRV_USDT_PERP</t>
        </is>
      </c>
      <c r="B38" s="2">
        <f>COUNTIFS(交易明細!$B$2:$B$256,$A38)</f>
        <v/>
      </c>
      <c r="C38" s="2">
        <f>COUNTIFS(交易明細!$B$2:$B$256,$A38,交易明細!$C$2:$C$256,"做多")</f>
        <v/>
      </c>
      <c r="D38" s="2">
        <f>COUNTIFS(交易明細!$B$2:$B$256,$A38,交易明細!$C$2:$C$256,"做空")</f>
        <v/>
      </c>
      <c r="E38" s="2">
        <f>F38+G38+COUNTIFS(交易明細!$B$2:$B$256,$A38,交易明細!$J$2:$J$256,"時間出場")</f>
        <v/>
      </c>
      <c r="F38" s="2">
        <f>COUNTIFS(交易明細!$B$2:$B$256,$A38,交易明細!$J$2:$J$256,"止盈")</f>
        <v/>
      </c>
      <c r="G38" s="2">
        <f>COUNTIFS(交易明細!$B$2:$B$256,$A38,交易明細!$J$2:$J$256,"止損")</f>
        <v/>
      </c>
      <c r="H38" s="4">
        <f>IFERROR(F38/E38,0)</f>
        <v/>
      </c>
      <c r="I38" s="4">
        <f>IFERROR(AVERAGEIFS(交易明細!$L$2:$L$256,交易明細!$B$2:$B$256,$A38,交易明細!$J$2:$J$256,"&lt;&gt;未平倉"),0)</f>
        <v/>
      </c>
      <c r="J38" s="4">
        <f>SUMIFS(交易明細!$L$2:$L$256,交易明細!$B$2:$B$256,$A38,交易明細!$J$2:$J$256,"&lt;&gt;未平倉")</f>
        <v/>
      </c>
      <c r="K38" s="5">
        <f>IFERROR(AVERAGEIFS(交易明細!$K$2:$K$256,交易明細!$B$2:$B$256,$A38,交易明細!$J$2:$J$256,"&lt;&gt;未平倉"),0)</f>
        <v/>
      </c>
      <c r="L38" s="2">
        <f>COUNTIFS(交易明細!$B$2:$B$256,$A38,交易明細!$J$2:$J$256,"未平倉")</f>
        <v/>
      </c>
    </row>
    <row r="39">
      <c r="A39" s="2" t="inlineStr">
        <is>
          <t>MAGMA_USDT_PERP</t>
        </is>
      </c>
      <c r="B39" s="2">
        <f>COUNTIFS(交易明細!$B$2:$B$256,$A39)</f>
        <v/>
      </c>
      <c r="C39" s="2">
        <f>COUNTIFS(交易明細!$B$2:$B$256,$A39,交易明細!$C$2:$C$256,"做多")</f>
        <v/>
      </c>
      <c r="D39" s="2">
        <f>COUNTIFS(交易明細!$B$2:$B$256,$A39,交易明細!$C$2:$C$256,"做空")</f>
        <v/>
      </c>
      <c r="E39" s="2">
        <f>F39+G39+COUNTIFS(交易明細!$B$2:$B$256,$A39,交易明細!$J$2:$J$256,"時間出場")</f>
        <v/>
      </c>
      <c r="F39" s="2">
        <f>COUNTIFS(交易明細!$B$2:$B$256,$A39,交易明細!$J$2:$J$256,"止盈")</f>
        <v/>
      </c>
      <c r="G39" s="2">
        <f>COUNTIFS(交易明細!$B$2:$B$256,$A39,交易明細!$J$2:$J$256,"止損")</f>
        <v/>
      </c>
      <c r="H39" s="4">
        <f>IFERROR(F39/E39,0)</f>
        <v/>
      </c>
      <c r="I39" s="4">
        <f>IFERROR(AVERAGEIFS(交易明細!$L$2:$L$256,交易明細!$B$2:$B$256,$A39,交易明細!$J$2:$J$256,"&lt;&gt;未平倉"),0)</f>
        <v/>
      </c>
      <c r="J39" s="4">
        <f>SUMIFS(交易明細!$L$2:$L$256,交易明細!$B$2:$B$256,$A39,交易明細!$J$2:$J$256,"&lt;&gt;未平倉")</f>
        <v/>
      </c>
      <c r="K39" s="5">
        <f>IFERROR(AVERAGEIFS(交易明細!$K$2:$K$256,交易明細!$B$2:$B$256,$A39,交易明細!$J$2:$J$256,"&lt;&gt;未平倉"),0)</f>
        <v/>
      </c>
      <c r="L39" s="2">
        <f>COUNTIFS(交易明細!$B$2:$B$256,$A39,交易明細!$J$2:$J$256,"未平倉")</f>
        <v/>
      </c>
    </row>
    <row r="40">
      <c r="A40" s="2" t="inlineStr">
        <is>
          <t>TRUMP_USDT_PERP</t>
        </is>
      </c>
      <c r="B40" s="2">
        <f>COUNTIFS(交易明細!$B$2:$B$256,$A40)</f>
        <v/>
      </c>
      <c r="C40" s="2">
        <f>COUNTIFS(交易明細!$B$2:$B$256,$A40,交易明細!$C$2:$C$256,"做多")</f>
        <v/>
      </c>
      <c r="D40" s="2">
        <f>COUNTIFS(交易明細!$B$2:$B$256,$A40,交易明細!$C$2:$C$256,"做空")</f>
        <v/>
      </c>
      <c r="E40" s="2">
        <f>F40+G40+COUNTIFS(交易明細!$B$2:$B$256,$A40,交易明細!$J$2:$J$256,"時間出場")</f>
        <v/>
      </c>
      <c r="F40" s="2">
        <f>COUNTIFS(交易明細!$B$2:$B$256,$A40,交易明細!$J$2:$J$256,"止盈")</f>
        <v/>
      </c>
      <c r="G40" s="2">
        <f>COUNTIFS(交易明細!$B$2:$B$256,$A40,交易明細!$J$2:$J$256,"止損")</f>
        <v/>
      </c>
      <c r="H40" s="4">
        <f>IFERROR(F40/E40,0)</f>
        <v/>
      </c>
      <c r="I40" s="4">
        <f>IFERROR(AVERAGEIFS(交易明細!$L$2:$L$256,交易明細!$B$2:$B$256,$A40,交易明細!$J$2:$J$256,"&lt;&gt;未平倉"),0)</f>
        <v/>
      </c>
      <c r="J40" s="4">
        <f>SUMIFS(交易明細!$L$2:$L$256,交易明細!$B$2:$B$256,$A40,交易明細!$J$2:$J$256,"&lt;&gt;未平倉")</f>
        <v/>
      </c>
      <c r="K40" s="5">
        <f>IFERROR(AVERAGEIFS(交易明細!$K$2:$K$256,交易明細!$B$2:$B$256,$A40,交易明細!$J$2:$J$256,"&lt;&gt;未平倉"),0)</f>
        <v/>
      </c>
      <c r="L40" s="2">
        <f>COUNTIFS(交易明細!$B$2:$B$256,$A40,交易明細!$J$2:$J$256,"未平倉")</f>
        <v/>
      </c>
    </row>
    <row r="41">
      <c r="A41" s="2" t="inlineStr">
        <is>
          <t>CHIP_USDT_PERP</t>
        </is>
      </c>
      <c r="B41" s="2">
        <f>COUNTIFS(交易明細!$B$2:$B$256,$A41)</f>
        <v/>
      </c>
      <c r="C41" s="2">
        <f>COUNTIFS(交易明細!$B$2:$B$256,$A41,交易明細!$C$2:$C$256,"做多")</f>
        <v/>
      </c>
      <c r="D41" s="2">
        <f>COUNTIFS(交易明細!$B$2:$B$256,$A41,交易明細!$C$2:$C$256,"做空")</f>
        <v/>
      </c>
      <c r="E41" s="2">
        <f>F41+G41+COUNTIFS(交易明細!$B$2:$B$256,$A41,交易明細!$J$2:$J$256,"時間出場")</f>
        <v/>
      </c>
      <c r="F41" s="2">
        <f>COUNTIFS(交易明細!$B$2:$B$256,$A41,交易明細!$J$2:$J$256,"止盈")</f>
        <v/>
      </c>
      <c r="G41" s="2">
        <f>COUNTIFS(交易明細!$B$2:$B$256,$A41,交易明細!$J$2:$J$256,"止損")</f>
        <v/>
      </c>
      <c r="H41" s="4">
        <f>IFERROR(F41/E41,0)</f>
        <v/>
      </c>
      <c r="I41" s="4">
        <f>IFERROR(AVERAGEIFS(交易明細!$L$2:$L$256,交易明細!$B$2:$B$256,$A41,交易明細!$J$2:$J$256,"&lt;&gt;未平倉"),0)</f>
        <v/>
      </c>
      <c r="J41" s="4">
        <f>SUMIFS(交易明細!$L$2:$L$256,交易明細!$B$2:$B$256,$A41,交易明細!$J$2:$J$256,"&lt;&gt;未平倉")</f>
        <v/>
      </c>
      <c r="K41" s="5">
        <f>IFERROR(AVERAGEIFS(交易明細!$K$2:$K$256,交易明細!$B$2:$B$256,$A41,交易明細!$J$2:$J$256,"&lt;&gt;未平倉"),0)</f>
        <v/>
      </c>
      <c r="L41" s="2">
        <f>COUNTIFS(交易明細!$B$2:$B$256,$A41,交易明細!$J$2:$J$256,"未平倉")</f>
        <v/>
      </c>
    </row>
    <row r="42">
      <c r="A42" s="2" t="inlineStr">
        <is>
          <t>PENGU_USDT_PERP</t>
        </is>
      </c>
      <c r="B42" s="2">
        <f>COUNTIFS(交易明細!$B$2:$B$256,$A42)</f>
        <v/>
      </c>
      <c r="C42" s="2">
        <f>COUNTIFS(交易明細!$B$2:$B$256,$A42,交易明細!$C$2:$C$256,"做多")</f>
        <v/>
      </c>
      <c r="D42" s="2">
        <f>COUNTIFS(交易明細!$B$2:$B$256,$A42,交易明細!$C$2:$C$256,"做空")</f>
        <v/>
      </c>
      <c r="E42" s="2">
        <f>F42+G42+COUNTIFS(交易明細!$B$2:$B$256,$A42,交易明細!$J$2:$J$256,"時間出場")</f>
        <v/>
      </c>
      <c r="F42" s="2">
        <f>COUNTIFS(交易明細!$B$2:$B$256,$A42,交易明細!$J$2:$J$256,"止盈")</f>
        <v/>
      </c>
      <c r="G42" s="2">
        <f>COUNTIFS(交易明細!$B$2:$B$256,$A42,交易明細!$J$2:$J$256,"止損")</f>
        <v/>
      </c>
      <c r="H42" s="4">
        <f>IFERROR(F42/E42,0)</f>
        <v/>
      </c>
      <c r="I42" s="4">
        <f>IFERROR(AVERAGEIFS(交易明細!$L$2:$L$256,交易明細!$B$2:$B$256,$A42,交易明細!$J$2:$J$256,"&lt;&gt;未平倉"),0)</f>
        <v/>
      </c>
      <c r="J42" s="4">
        <f>SUMIFS(交易明細!$L$2:$L$256,交易明細!$B$2:$B$256,$A42,交易明細!$J$2:$J$256,"&lt;&gt;未平倉")</f>
        <v/>
      </c>
      <c r="K42" s="5">
        <f>IFERROR(AVERAGEIFS(交易明細!$K$2:$K$256,交易明細!$B$2:$B$256,$A42,交易明細!$J$2:$J$256,"&lt;&gt;未平倉"),0)</f>
        <v/>
      </c>
      <c r="L42" s="2">
        <f>COUNTIFS(交易明細!$B$2:$B$256,$A42,交易明細!$J$2:$J$256,"未平倉")</f>
        <v/>
      </c>
    </row>
    <row r="43">
      <c r="A43" s="2" t="inlineStr">
        <is>
          <t>FARTCOIN_USDT_PERP</t>
        </is>
      </c>
      <c r="B43" s="2">
        <f>COUNTIFS(交易明細!$B$2:$B$256,$A43)</f>
        <v/>
      </c>
      <c r="C43" s="2">
        <f>COUNTIFS(交易明細!$B$2:$B$256,$A43,交易明細!$C$2:$C$256,"做多")</f>
        <v/>
      </c>
      <c r="D43" s="2">
        <f>COUNTIFS(交易明細!$B$2:$B$256,$A43,交易明細!$C$2:$C$256,"做空")</f>
        <v/>
      </c>
      <c r="E43" s="2">
        <f>F43+G43+COUNTIFS(交易明細!$B$2:$B$256,$A43,交易明細!$J$2:$J$256,"時間出場")</f>
        <v/>
      </c>
      <c r="F43" s="2">
        <f>COUNTIFS(交易明細!$B$2:$B$256,$A43,交易明細!$J$2:$J$256,"止盈")</f>
        <v/>
      </c>
      <c r="G43" s="2">
        <f>COUNTIFS(交易明細!$B$2:$B$256,$A43,交易明細!$J$2:$J$256,"止損")</f>
        <v/>
      </c>
      <c r="H43" s="4">
        <f>IFERROR(F43/E43,0)</f>
        <v/>
      </c>
      <c r="I43" s="4">
        <f>IFERROR(AVERAGEIFS(交易明細!$L$2:$L$256,交易明細!$B$2:$B$256,$A43,交易明細!$J$2:$J$256,"&lt;&gt;未平倉"),0)</f>
        <v/>
      </c>
      <c r="J43" s="4">
        <f>SUMIFS(交易明細!$L$2:$L$256,交易明細!$B$2:$B$256,$A43,交易明細!$J$2:$J$256,"&lt;&gt;未平倉")</f>
        <v/>
      </c>
      <c r="K43" s="5">
        <f>IFERROR(AVERAGEIFS(交易明細!$K$2:$K$256,交易明細!$B$2:$B$256,$A43,交易明細!$J$2:$J$256,"&lt;&gt;未平倉"),0)</f>
        <v/>
      </c>
      <c r="L43" s="2">
        <f>COUNTIFS(交易明細!$B$2:$B$256,$A43,交易明細!$J$2:$J$256,"未平倉")</f>
        <v/>
      </c>
    </row>
    <row r="44">
      <c r="A44" s="2" t="inlineStr">
        <is>
          <t>TRIA_USDT_PERP</t>
        </is>
      </c>
      <c r="B44" s="2">
        <f>COUNTIFS(交易明細!$B$2:$B$256,$A44)</f>
        <v/>
      </c>
      <c r="C44" s="2">
        <f>COUNTIFS(交易明細!$B$2:$B$256,$A44,交易明細!$C$2:$C$256,"做多")</f>
        <v/>
      </c>
      <c r="D44" s="2">
        <f>COUNTIFS(交易明細!$B$2:$B$256,$A44,交易明細!$C$2:$C$256,"做空")</f>
        <v/>
      </c>
      <c r="E44" s="2">
        <f>F44+G44+COUNTIFS(交易明細!$B$2:$B$256,$A44,交易明細!$J$2:$J$256,"時間出場")</f>
        <v/>
      </c>
      <c r="F44" s="2">
        <f>COUNTIFS(交易明細!$B$2:$B$256,$A44,交易明細!$J$2:$J$256,"止盈")</f>
        <v/>
      </c>
      <c r="G44" s="2">
        <f>COUNTIFS(交易明細!$B$2:$B$256,$A44,交易明細!$J$2:$J$256,"止損")</f>
        <v/>
      </c>
      <c r="H44" s="4">
        <f>IFERROR(F44/E44,0)</f>
        <v/>
      </c>
      <c r="I44" s="4">
        <f>IFERROR(AVERAGEIFS(交易明細!$L$2:$L$256,交易明細!$B$2:$B$256,$A44,交易明細!$J$2:$J$256,"&lt;&gt;未平倉"),0)</f>
        <v/>
      </c>
      <c r="J44" s="4">
        <f>SUMIFS(交易明細!$L$2:$L$256,交易明細!$B$2:$B$256,$A44,交易明細!$J$2:$J$256,"&lt;&gt;未平倉")</f>
        <v/>
      </c>
      <c r="K44" s="5">
        <f>IFERROR(AVERAGEIFS(交易明細!$K$2:$K$256,交易明細!$B$2:$B$256,$A44,交易明細!$J$2:$J$256,"&lt;&gt;未平倉"),0)</f>
        <v/>
      </c>
      <c r="L44" s="2">
        <f>COUNTIFS(交易明細!$B$2:$B$256,$A44,交易明細!$J$2:$J$256,"未平倉")</f>
        <v/>
      </c>
    </row>
    <row r="45">
      <c r="A45" s="2" t="inlineStr">
        <is>
          <t>TAO_USDT_PERP</t>
        </is>
      </c>
      <c r="B45" s="2">
        <f>COUNTIFS(交易明細!$B$2:$B$256,$A45)</f>
        <v/>
      </c>
      <c r="C45" s="2">
        <f>COUNTIFS(交易明細!$B$2:$B$256,$A45,交易明細!$C$2:$C$256,"做多")</f>
        <v/>
      </c>
      <c r="D45" s="2">
        <f>COUNTIFS(交易明細!$B$2:$B$256,$A45,交易明細!$C$2:$C$256,"做空")</f>
        <v/>
      </c>
      <c r="E45" s="2">
        <f>F45+G45+COUNTIFS(交易明細!$B$2:$B$256,$A45,交易明細!$J$2:$J$256,"時間出場")</f>
        <v/>
      </c>
      <c r="F45" s="2">
        <f>COUNTIFS(交易明細!$B$2:$B$256,$A45,交易明細!$J$2:$J$256,"止盈")</f>
        <v/>
      </c>
      <c r="G45" s="2">
        <f>COUNTIFS(交易明細!$B$2:$B$256,$A45,交易明細!$J$2:$J$256,"止損")</f>
        <v/>
      </c>
      <c r="H45" s="4">
        <f>IFERROR(F45/E45,0)</f>
        <v/>
      </c>
      <c r="I45" s="4">
        <f>IFERROR(AVERAGEIFS(交易明細!$L$2:$L$256,交易明細!$B$2:$B$256,$A45,交易明細!$J$2:$J$256,"&lt;&gt;未平倉"),0)</f>
        <v/>
      </c>
      <c r="J45" s="4">
        <f>SUMIFS(交易明細!$L$2:$L$256,交易明細!$B$2:$B$256,$A45,交易明細!$J$2:$J$256,"&lt;&gt;未平倉")</f>
        <v/>
      </c>
      <c r="K45" s="5">
        <f>IFERROR(AVERAGEIFS(交易明細!$K$2:$K$256,交易明細!$B$2:$B$256,$A45,交易明細!$J$2:$J$256,"&lt;&gt;未平倉"),0)</f>
        <v/>
      </c>
      <c r="L45" s="2">
        <f>COUNTIFS(交易明細!$B$2:$B$256,$A45,交易明細!$J$2:$J$256,"未平倉")</f>
        <v/>
      </c>
    </row>
    <row r="46">
      <c r="A46" s="2" t="inlineStr">
        <is>
          <t>KAS_USDT_PERP</t>
        </is>
      </c>
      <c r="B46" s="2">
        <f>COUNTIFS(交易明細!$B$2:$B$256,$A46)</f>
        <v/>
      </c>
      <c r="C46" s="2">
        <f>COUNTIFS(交易明細!$B$2:$B$256,$A46,交易明細!$C$2:$C$256,"做多")</f>
        <v/>
      </c>
      <c r="D46" s="2">
        <f>COUNTIFS(交易明細!$B$2:$B$256,$A46,交易明細!$C$2:$C$256,"做空")</f>
        <v/>
      </c>
      <c r="E46" s="2">
        <f>F46+G46+COUNTIFS(交易明細!$B$2:$B$256,$A46,交易明細!$J$2:$J$256,"時間出場")</f>
        <v/>
      </c>
      <c r="F46" s="2">
        <f>COUNTIFS(交易明細!$B$2:$B$256,$A46,交易明細!$J$2:$J$256,"止盈")</f>
        <v/>
      </c>
      <c r="G46" s="2">
        <f>COUNTIFS(交易明細!$B$2:$B$256,$A46,交易明細!$J$2:$J$256,"止損")</f>
        <v/>
      </c>
      <c r="H46" s="4">
        <f>IFERROR(F46/E46,0)</f>
        <v/>
      </c>
      <c r="I46" s="4">
        <f>IFERROR(AVERAGEIFS(交易明細!$L$2:$L$256,交易明細!$B$2:$B$256,$A46,交易明細!$J$2:$J$256,"&lt;&gt;未平倉"),0)</f>
        <v/>
      </c>
      <c r="J46" s="4">
        <f>SUMIFS(交易明細!$L$2:$L$256,交易明細!$B$2:$B$256,$A46,交易明細!$J$2:$J$256,"&lt;&gt;未平倉")</f>
        <v/>
      </c>
      <c r="K46" s="5">
        <f>IFERROR(AVERAGEIFS(交易明細!$K$2:$K$256,交易明細!$B$2:$B$256,$A46,交易明細!$J$2:$J$256,"&lt;&gt;未平倉"),0)</f>
        <v/>
      </c>
      <c r="L46" s="2">
        <f>COUNTIFS(交易明細!$B$2:$B$256,$A46,交易明細!$J$2:$J$256,"未平倉")</f>
        <v/>
      </c>
    </row>
    <row r="47">
      <c r="A47" s="2" t="inlineStr">
        <is>
          <t>CASHCAT_USDT_PERP</t>
        </is>
      </c>
      <c r="B47" s="2">
        <f>COUNTIFS(交易明細!$B$2:$B$256,$A47)</f>
        <v/>
      </c>
      <c r="C47" s="2">
        <f>COUNTIFS(交易明細!$B$2:$B$256,$A47,交易明細!$C$2:$C$256,"做多")</f>
        <v/>
      </c>
      <c r="D47" s="2">
        <f>COUNTIFS(交易明細!$B$2:$B$256,$A47,交易明細!$C$2:$C$256,"做空")</f>
        <v/>
      </c>
      <c r="E47" s="2">
        <f>F47+G47+COUNTIFS(交易明細!$B$2:$B$256,$A47,交易明細!$J$2:$J$256,"時間出場")</f>
        <v/>
      </c>
      <c r="F47" s="2">
        <f>COUNTIFS(交易明細!$B$2:$B$256,$A47,交易明細!$J$2:$J$256,"止盈")</f>
        <v/>
      </c>
      <c r="G47" s="2">
        <f>COUNTIFS(交易明細!$B$2:$B$256,$A47,交易明細!$J$2:$J$256,"止損")</f>
        <v/>
      </c>
      <c r="H47" s="4">
        <f>IFERROR(F47/E47,0)</f>
        <v/>
      </c>
      <c r="I47" s="4">
        <f>IFERROR(AVERAGEIFS(交易明細!$L$2:$L$256,交易明細!$B$2:$B$256,$A47,交易明細!$J$2:$J$256,"&lt;&gt;未平倉"),0)</f>
        <v/>
      </c>
      <c r="J47" s="4">
        <f>SUMIFS(交易明細!$L$2:$L$256,交易明細!$B$2:$B$256,$A47,交易明細!$J$2:$J$256,"&lt;&gt;未平倉")</f>
        <v/>
      </c>
      <c r="K47" s="5">
        <f>IFERROR(AVERAGEIFS(交易明細!$K$2:$K$256,交易明細!$B$2:$B$256,$A47,交易明細!$J$2:$J$256,"&lt;&gt;未平倉"),0)</f>
        <v/>
      </c>
      <c r="L47" s="2">
        <f>COUNTIFS(交易明細!$B$2:$B$256,$A47,交易明細!$J$2:$J$256,"未平倉")</f>
        <v/>
      </c>
    </row>
    <row r="48">
      <c r="A48" s="2" t="inlineStr">
        <is>
          <t>INJ_USDT_PERP</t>
        </is>
      </c>
      <c r="B48" s="2">
        <f>COUNTIFS(交易明細!$B$2:$B$256,$A48)</f>
        <v/>
      </c>
      <c r="C48" s="2">
        <f>COUNTIFS(交易明細!$B$2:$B$256,$A48,交易明細!$C$2:$C$256,"做多")</f>
        <v/>
      </c>
      <c r="D48" s="2">
        <f>COUNTIFS(交易明細!$B$2:$B$256,$A48,交易明細!$C$2:$C$256,"做空")</f>
        <v/>
      </c>
      <c r="E48" s="2">
        <f>F48+G48+COUNTIFS(交易明細!$B$2:$B$256,$A48,交易明細!$J$2:$J$256,"時間出場")</f>
        <v/>
      </c>
      <c r="F48" s="2">
        <f>COUNTIFS(交易明細!$B$2:$B$256,$A48,交易明細!$J$2:$J$256,"止盈")</f>
        <v/>
      </c>
      <c r="G48" s="2">
        <f>COUNTIFS(交易明細!$B$2:$B$256,$A48,交易明細!$J$2:$J$256,"止損")</f>
        <v/>
      </c>
      <c r="H48" s="4">
        <f>IFERROR(F48/E48,0)</f>
        <v/>
      </c>
      <c r="I48" s="4">
        <f>IFERROR(AVERAGEIFS(交易明細!$L$2:$L$256,交易明細!$B$2:$B$256,$A48,交易明細!$J$2:$J$256,"&lt;&gt;未平倉"),0)</f>
        <v/>
      </c>
      <c r="J48" s="4">
        <f>SUMIFS(交易明細!$L$2:$L$256,交易明細!$B$2:$B$256,$A48,交易明細!$J$2:$J$256,"&lt;&gt;未平倉")</f>
        <v/>
      </c>
      <c r="K48" s="5">
        <f>IFERROR(AVERAGEIFS(交易明細!$K$2:$K$256,交易明細!$B$2:$B$256,$A48,交易明細!$J$2:$J$256,"&lt;&gt;未平倉"),0)</f>
        <v/>
      </c>
      <c r="L48" s="2">
        <f>COUNTIFS(交易明細!$B$2:$B$256,$A48,交易明細!$J$2:$J$256,"未平倉")</f>
        <v/>
      </c>
    </row>
    <row r="49">
      <c r="A49" s="2" t="inlineStr">
        <is>
          <t>ICP_USDT_PERP</t>
        </is>
      </c>
      <c r="B49" s="2">
        <f>COUNTIFS(交易明細!$B$2:$B$256,$A49)</f>
        <v/>
      </c>
      <c r="C49" s="2">
        <f>COUNTIFS(交易明細!$B$2:$B$256,$A49,交易明細!$C$2:$C$256,"做多")</f>
        <v/>
      </c>
      <c r="D49" s="2">
        <f>COUNTIFS(交易明細!$B$2:$B$256,$A49,交易明細!$C$2:$C$256,"做空")</f>
        <v/>
      </c>
      <c r="E49" s="2">
        <f>F49+G49+COUNTIFS(交易明細!$B$2:$B$256,$A49,交易明細!$J$2:$J$256,"時間出場")</f>
        <v/>
      </c>
      <c r="F49" s="2">
        <f>COUNTIFS(交易明細!$B$2:$B$256,$A49,交易明細!$J$2:$J$256,"止盈")</f>
        <v/>
      </c>
      <c r="G49" s="2">
        <f>COUNTIFS(交易明細!$B$2:$B$256,$A49,交易明細!$J$2:$J$256,"止損")</f>
        <v/>
      </c>
      <c r="H49" s="4">
        <f>IFERROR(F49/E49,0)</f>
        <v/>
      </c>
      <c r="I49" s="4">
        <f>IFERROR(AVERAGEIFS(交易明細!$L$2:$L$256,交易明細!$B$2:$B$256,$A49,交易明細!$J$2:$J$256,"&lt;&gt;未平倉"),0)</f>
        <v/>
      </c>
      <c r="J49" s="4">
        <f>SUMIFS(交易明細!$L$2:$L$256,交易明細!$B$2:$B$256,$A49,交易明細!$J$2:$J$256,"&lt;&gt;未平倉")</f>
        <v/>
      </c>
      <c r="K49" s="5">
        <f>IFERROR(AVERAGEIFS(交易明細!$K$2:$K$256,交易明細!$B$2:$B$256,$A49,交易明細!$J$2:$J$256,"&lt;&gt;未平倉"),0)</f>
        <v/>
      </c>
      <c r="L49" s="2">
        <f>COUNTIFS(交易明細!$B$2:$B$256,$A49,交易明細!$J$2:$J$256,"未平倉")</f>
        <v/>
      </c>
    </row>
    <row r="50">
      <c r="A50" s="2" t="inlineStr">
        <is>
          <t>FF_USDT_PERP</t>
        </is>
      </c>
      <c r="B50" s="2">
        <f>COUNTIFS(交易明細!$B$2:$B$256,$A50)</f>
        <v/>
      </c>
      <c r="C50" s="2">
        <f>COUNTIFS(交易明細!$B$2:$B$256,$A50,交易明細!$C$2:$C$256,"做多")</f>
        <v/>
      </c>
      <c r="D50" s="2">
        <f>COUNTIFS(交易明細!$B$2:$B$256,$A50,交易明細!$C$2:$C$256,"做空")</f>
        <v/>
      </c>
      <c r="E50" s="2">
        <f>F50+G50+COUNTIFS(交易明細!$B$2:$B$256,$A50,交易明細!$J$2:$J$256,"時間出場")</f>
        <v/>
      </c>
      <c r="F50" s="2">
        <f>COUNTIFS(交易明細!$B$2:$B$256,$A50,交易明細!$J$2:$J$256,"止盈")</f>
        <v/>
      </c>
      <c r="G50" s="2">
        <f>COUNTIFS(交易明細!$B$2:$B$256,$A50,交易明細!$J$2:$J$256,"止損")</f>
        <v/>
      </c>
      <c r="H50" s="4">
        <f>IFERROR(F50/E50,0)</f>
        <v/>
      </c>
      <c r="I50" s="4">
        <f>IFERROR(AVERAGEIFS(交易明細!$L$2:$L$256,交易明細!$B$2:$B$256,$A50,交易明細!$J$2:$J$256,"&lt;&gt;未平倉"),0)</f>
        <v/>
      </c>
      <c r="J50" s="4">
        <f>SUMIFS(交易明細!$L$2:$L$256,交易明細!$B$2:$B$256,$A50,交易明細!$J$2:$J$256,"&lt;&gt;未平倉")</f>
        <v/>
      </c>
      <c r="K50" s="5">
        <f>IFERROR(AVERAGEIFS(交易明細!$K$2:$K$256,交易明細!$B$2:$B$256,$A50,交易明細!$J$2:$J$256,"&lt;&gt;未平倉"),0)</f>
        <v/>
      </c>
      <c r="L50" s="2">
        <f>COUNTIFS(交易明細!$B$2:$B$256,$A50,交易明細!$J$2:$J$256,"未平倉")</f>
        <v/>
      </c>
    </row>
    <row r="51">
      <c r="A51" s="2" t="inlineStr">
        <is>
          <t>KAT_USDT_PERP</t>
        </is>
      </c>
      <c r="B51" s="2">
        <f>COUNTIFS(交易明細!$B$2:$B$256,$A51)</f>
        <v/>
      </c>
      <c r="C51" s="2">
        <f>COUNTIFS(交易明細!$B$2:$B$256,$A51,交易明細!$C$2:$C$256,"做多")</f>
        <v/>
      </c>
      <c r="D51" s="2">
        <f>COUNTIFS(交易明細!$B$2:$B$256,$A51,交易明細!$C$2:$C$256,"做空")</f>
        <v/>
      </c>
      <c r="E51" s="2">
        <f>F51+G51+COUNTIFS(交易明細!$B$2:$B$256,$A51,交易明細!$J$2:$J$256,"時間出場")</f>
        <v/>
      </c>
      <c r="F51" s="2">
        <f>COUNTIFS(交易明細!$B$2:$B$256,$A51,交易明細!$J$2:$J$256,"止盈")</f>
        <v/>
      </c>
      <c r="G51" s="2">
        <f>COUNTIFS(交易明細!$B$2:$B$256,$A51,交易明細!$J$2:$J$256,"止損")</f>
        <v/>
      </c>
      <c r="H51" s="4">
        <f>IFERROR(F51/E51,0)</f>
        <v/>
      </c>
      <c r="I51" s="4">
        <f>IFERROR(AVERAGEIFS(交易明細!$L$2:$L$256,交易明細!$B$2:$B$256,$A51,交易明細!$J$2:$J$256,"&lt;&gt;未平倉"),0)</f>
        <v/>
      </c>
      <c r="J51" s="4">
        <f>SUMIFS(交易明細!$L$2:$L$256,交易明細!$B$2:$B$256,$A51,交易明細!$J$2:$J$256,"&lt;&gt;未平倉")</f>
        <v/>
      </c>
      <c r="K51" s="5">
        <f>IFERROR(AVERAGEIFS(交易明細!$K$2:$K$256,交易明細!$B$2:$B$256,$A51,交易明細!$J$2:$J$256,"&lt;&gt;未平倉"),0)</f>
        <v/>
      </c>
      <c r="L51" s="2">
        <f>COUNTIFS(交易明細!$B$2:$B$256,$A51,交易明細!$J$2:$J$256,"未平倉")</f>
        <v/>
      </c>
    </row>
    <row r="52">
      <c r="A52" s="2" t="inlineStr">
        <is>
          <t>MET_USDT_PERP</t>
        </is>
      </c>
      <c r="B52" s="2">
        <f>COUNTIFS(交易明細!$B$2:$B$256,$A52)</f>
        <v/>
      </c>
      <c r="C52" s="2">
        <f>COUNTIFS(交易明細!$B$2:$B$256,$A52,交易明細!$C$2:$C$256,"做多")</f>
        <v/>
      </c>
      <c r="D52" s="2">
        <f>COUNTIFS(交易明細!$B$2:$B$256,$A52,交易明細!$C$2:$C$256,"做空")</f>
        <v/>
      </c>
      <c r="E52" s="2">
        <f>F52+G52+COUNTIFS(交易明細!$B$2:$B$256,$A52,交易明細!$J$2:$J$256,"時間出場")</f>
        <v/>
      </c>
      <c r="F52" s="2">
        <f>COUNTIFS(交易明細!$B$2:$B$256,$A52,交易明細!$J$2:$J$256,"止盈")</f>
        <v/>
      </c>
      <c r="G52" s="2">
        <f>COUNTIFS(交易明細!$B$2:$B$256,$A52,交易明細!$J$2:$J$256,"止損")</f>
        <v/>
      </c>
      <c r="H52" s="4">
        <f>IFERROR(F52/E52,0)</f>
        <v/>
      </c>
      <c r="I52" s="4">
        <f>IFERROR(AVERAGEIFS(交易明細!$L$2:$L$256,交易明細!$B$2:$B$256,$A52,交易明細!$J$2:$J$256,"&lt;&gt;未平倉"),0)</f>
        <v/>
      </c>
      <c r="J52" s="4">
        <f>SUMIFS(交易明細!$L$2:$L$256,交易明細!$B$2:$B$256,$A52,交易明細!$J$2:$J$256,"&lt;&gt;未平倉")</f>
        <v/>
      </c>
      <c r="K52" s="5">
        <f>IFERROR(AVERAGEIFS(交易明細!$K$2:$K$256,交易明細!$B$2:$B$256,$A52,交易明細!$J$2:$J$256,"&lt;&gt;未平倉"),0)</f>
        <v/>
      </c>
      <c r="L52" s="2">
        <f>COUNTIFS(交易明細!$B$2:$B$256,$A52,交易明細!$J$2:$J$256,"未平倉")</f>
        <v/>
      </c>
    </row>
    <row r="53">
      <c r="A53" s="2" t="inlineStr">
        <is>
          <t>BTW_USDT_PERP</t>
        </is>
      </c>
      <c r="B53" s="2">
        <f>COUNTIFS(交易明細!$B$2:$B$256,$A53)</f>
        <v/>
      </c>
      <c r="C53" s="2">
        <f>COUNTIFS(交易明細!$B$2:$B$256,$A53,交易明細!$C$2:$C$256,"做多")</f>
        <v/>
      </c>
      <c r="D53" s="2">
        <f>COUNTIFS(交易明細!$B$2:$B$256,$A53,交易明細!$C$2:$C$256,"做空")</f>
        <v/>
      </c>
      <c r="E53" s="2">
        <f>F53+G53+COUNTIFS(交易明細!$B$2:$B$256,$A53,交易明細!$J$2:$J$256,"時間出場")</f>
        <v/>
      </c>
      <c r="F53" s="2">
        <f>COUNTIFS(交易明細!$B$2:$B$256,$A53,交易明細!$J$2:$J$256,"止盈")</f>
        <v/>
      </c>
      <c r="G53" s="2">
        <f>COUNTIFS(交易明細!$B$2:$B$256,$A53,交易明細!$J$2:$J$256,"止損")</f>
        <v/>
      </c>
      <c r="H53" s="4">
        <f>IFERROR(F53/E53,0)</f>
        <v/>
      </c>
      <c r="I53" s="4">
        <f>IFERROR(AVERAGEIFS(交易明細!$L$2:$L$256,交易明細!$B$2:$B$256,$A53,交易明細!$J$2:$J$256,"&lt;&gt;未平倉"),0)</f>
        <v/>
      </c>
      <c r="J53" s="4">
        <f>SUMIFS(交易明細!$L$2:$L$256,交易明細!$B$2:$B$256,$A53,交易明細!$J$2:$J$256,"&lt;&gt;未平倉")</f>
        <v/>
      </c>
      <c r="K53" s="5">
        <f>IFERROR(AVERAGEIFS(交易明細!$K$2:$K$256,交易明細!$B$2:$B$256,$A53,交易明細!$J$2:$J$256,"&lt;&gt;未平倉"),0)</f>
        <v/>
      </c>
      <c r="L53" s="2">
        <f>COUNTIFS(交易明細!$B$2:$B$256,$A53,交易明細!$J$2:$J$256,"未平倉")</f>
        <v/>
      </c>
    </row>
    <row r="54">
      <c r="A54" s="2" t="inlineStr">
        <is>
          <t>CAP_USDT_PERP</t>
        </is>
      </c>
      <c r="B54" s="2">
        <f>COUNTIFS(交易明細!$B$2:$B$256,$A54)</f>
        <v/>
      </c>
      <c r="C54" s="2">
        <f>COUNTIFS(交易明細!$B$2:$B$256,$A54,交易明細!$C$2:$C$256,"做多")</f>
        <v/>
      </c>
      <c r="D54" s="2">
        <f>COUNTIFS(交易明細!$B$2:$B$256,$A54,交易明細!$C$2:$C$256,"做空")</f>
        <v/>
      </c>
      <c r="E54" s="2">
        <f>F54+G54+COUNTIFS(交易明細!$B$2:$B$256,$A54,交易明細!$J$2:$J$256,"時間出場")</f>
        <v/>
      </c>
      <c r="F54" s="2">
        <f>COUNTIFS(交易明細!$B$2:$B$256,$A54,交易明細!$J$2:$J$256,"止盈")</f>
        <v/>
      </c>
      <c r="G54" s="2">
        <f>COUNTIFS(交易明細!$B$2:$B$256,$A54,交易明細!$J$2:$J$256,"止損")</f>
        <v/>
      </c>
      <c r="H54" s="4">
        <f>IFERROR(F54/E54,0)</f>
        <v/>
      </c>
      <c r="I54" s="4">
        <f>IFERROR(AVERAGEIFS(交易明細!$L$2:$L$256,交易明細!$B$2:$B$256,$A54,交易明細!$J$2:$J$256,"&lt;&gt;未平倉"),0)</f>
        <v/>
      </c>
      <c r="J54" s="4">
        <f>SUMIFS(交易明細!$L$2:$L$256,交易明細!$B$2:$B$256,$A54,交易明細!$J$2:$J$256,"&lt;&gt;未平倉")</f>
        <v/>
      </c>
      <c r="K54" s="5">
        <f>IFERROR(AVERAGEIFS(交易明細!$K$2:$K$256,交易明細!$B$2:$B$256,$A54,交易明細!$J$2:$J$256,"&lt;&gt;未平倉"),0)</f>
        <v/>
      </c>
      <c r="L54" s="2">
        <f>COUNTIFS(交易明細!$B$2:$B$256,$A54,交易明細!$J$2:$J$256,"未平倉")</f>
        <v/>
      </c>
    </row>
    <row r="55">
      <c r="A55" s="2" t="inlineStr">
        <is>
          <t>XRP_USDT_PERP</t>
        </is>
      </c>
      <c r="B55" s="2">
        <f>COUNTIFS(交易明細!$B$2:$B$256,$A55)</f>
        <v/>
      </c>
      <c r="C55" s="2">
        <f>COUNTIFS(交易明細!$B$2:$B$256,$A55,交易明細!$C$2:$C$256,"做多")</f>
        <v/>
      </c>
      <c r="D55" s="2">
        <f>COUNTIFS(交易明細!$B$2:$B$256,$A55,交易明細!$C$2:$C$256,"做空")</f>
        <v/>
      </c>
      <c r="E55" s="2">
        <f>F55+G55+COUNTIFS(交易明細!$B$2:$B$256,$A55,交易明細!$J$2:$J$256,"時間出場")</f>
        <v/>
      </c>
      <c r="F55" s="2">
        <f>COUNTIFS(交易明細!$B$2:$B$256,$A55,交易明細!$J$2:$J$256,"止盈")</f>
        <v/>
      </c>
      <c r="G55" s="2">
        <f>COUNTIFS(交易明細!$B$2:$B$256,$A55,交易明細!$J$2:$J$256,"止損")</f>
        <v/>
      </c>
      <c r="H55" s="4">
        <f>IFERROR(F55/E55,0)</f>
        <v/>
      </c>
      <c r="I55" s="4">
        <f>IFERROR(AVERAGEIFS(交易明細!$L$2:$L$256,交易明細!$B$2:$B$256,$A55,交易明細!$J$2:$J$256,"&lt;&gt;未平倉"),0)</f>
        <v/>
      </c>
      <c r="J55" s="4">
        <f>SUMIFS(交易明細!$L$2:$L$256,交易明細!$B$2:$B$256,$A55,交易明細!$J$2:$J$256,"&lt;&gt;未平倉")</f>
        <v/>
      </c>
      <c r="K55" s="5">
        <f>IFERROR(AVERAGEIFS(交易明細!$K$2:$K$256,交易明細!$B$2:$B$256,$A55,交易明細!$J$2:$J$256,"&lt;&gt;未平倉"),0)</f>
        <v/>
      </c>
      <c r="L55" s="2">
        <f>COUNTIFS(交易明細!$B$2:$B$256,$A55,交易明細!$J$2:$J$256,"未平倉")</f>
        <v/>
      </c>
    </row>
    <row r="56">
      <c r="A56" s="2" t="inlineStr">
        <is>
          <t>AIN_USDT_PERP</t>
        </is>
      </c>
      <c r="B56" s="2">
        <f>COUNTIFS(交易明細!$B$2:$B$256,$A56)</f>
        <v/>
      </c>
      <c r="C56" s="2">
        <f>COUNTIFS(交易明細!$B$2:$B$256,$A56,交易明細!$C$2:$C$256,"做多")</f>
        <v/>
      </c>
      <c r="D56" s="2">
        <f>COUNTIFS(交易明細!$B$2:$B$256,$A56,交易明細!$C$2:$C$256,"做空")</f>
        <v/>
      </c>
      <c r="E56" s="2">
        <f>F56+G56+COUNTIFS(交易明細!$B$2:$B$256,$A56,交易明細!$J$2:$J$256,"時間出場")</f>
        <v/>
      </c>
      <c r="F56" s="2">
        <f>COUNTIFS(交易明細!$B$2:$B$256,$A56,交易明細!$J$2:$J$256,"止盈")</f>
        <v/>
      </c>
      <c r="G56" s="2">
        <f>COUNTIFS(交易明細!$B$2:$B$256,$A56,交易明細!$J$2:$J$256,"止損")</f>
        <v/>
      </c>
      <c r="H56" s="4">
        <f>IFERROR(F56/E56,0)</f>
        <v/>
      </c>
      <c r="I56" s="4">
        <f>IFERROR(AVERAGEIFS(交易明細!$L$2:$L$256,交易明細!$B$2:$B$256,$A56,交易明細!$J$2:$J$256,"&lt;&gt;未平倉"),0)</f>
        <v/>
      </c>
      <c r="J56" s="4">
        <f>SUMIFS(交易明細!$L$2:$L$256,交易明細!$B$2:$B$256,$A56,交易明細!$J$2:$J$256,"&lt;&gt;未平倉")</f>
        <v/>
      </c>
      <c r="K56" s="5">
        <f>IFERROR(AVERAGEIFS(交易明細!$K$2:$K$256,交易明細!$B$2:$B$256,$A56,交易明細!$J$2:$J$256,"&lt;&gt;未平倉"),0)</f>
        <v/>
      </c>
      <c r="L56" s="2">
        <f>COUNTIFS(交易明細!$B$2:$B$256,$A56,交易明細!$J$2:$J$256,"未平倉")</f>
        <v/>
      </c>
    </row>
  </sheetData>
  <autoFilter ref="A1:L5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2026-09-17T01:46:26Z</dcterms:created>
  <dcterms:modified xsi:type="dcterms:W3CDTF">2026-09-17T01:46:26Z</dcterms:modified>
</cp:coreProperties>
</file>