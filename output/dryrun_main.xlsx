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'資金明細'!$A$1:$Z$75</definedName>
    <definedName name="_xlnm._FilterDatabase" localSheetId="6" hidden="1">'交易明細'!$A$1:$AC$38</definedName>
    <definedName name="_xlnm._FilterDatabase" localSheetId="7" hidden="1">'幣種統計'!$A$1:$L$17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'資金明細'!$R$2:$R$75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2026-09-18 06:14（Dry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COUNTIFS(交易明細!$B$2:$B$38,"&lt;&gt;")</f>
        <v/>
      </c>
      <c r="C5" s="2">
        <f>D5+E5+F5</f>
        <v/>
      </c>
      <c r="D5" s="2">
        <f>COUNTIFS(交易明細!$J$2:$J$38,"止盈")</f>
        <v/>
      </c>
      <c r="E5" s="2">
        <f>COUNTIFS(交易明細!$J$2:$J$38,"止損")</f>
        <v/>
      </c>
      <c r="F5" s="2">
        <f>COUNTIFS(交易明細!$J$2:$J$38,"時間出場")</f>
        <v/>
      </c>
      <c r="G5" s="2">
        <f>COUNTIFS(交易明細!$J$2:$J$38,"未平倉")</f>
        <v/>
      </c>
      <c r="H5" s="4">
        <f>IFERROR(D5/C5,0)</f>
        <v/>
      </c>
      <c r="I5" s="4">
        <f>IFERROR(AVERAGEIFS(交易明細!$AC$2:$AC$38,交易明細!$J$2:$J$38,"&lt;&gt;未平倉"),參數!$B$16)</f>
        <v/>
      </c>
      <c r="J5" s="4">
        <f>IFERROR(AVERAGEIFS(交易明細!$L$2:$L$38,交易明細!$J$2:$J$38,"&lt;&gt;未平倉"),0)</f>
        <v/>
      </c>
      <c r="K5" s="4">
        <f>SUMIFS(交易明細!$L$2:$L$38,交易明細!$J$2:$J$38,"&lt;&gt;未平倉")</f>
        <v/>
      </c>
      <c r="L5" s="5">
        <f>IFERROR(AVERAGEIFS(交易明細!$K$2:$K$38,交易明細!$J$2:$J$38,"&lt;&gt;未平倉"),0)</f>
        <v/>
      </c>
      <c r="M5" s="5">
        <f>IFERROR(AVERAGEIFS(交易明細!$K$2:$K$38,交易明細!$J$2:$J$38,"止盈"),0)</f>
        <v/>
      </c>
      <c r="N5" s="5">
        <f>IFERROR(AVERAGEIFS(交易明細!$K$2:$K$38,交易明細!$J$2:$J$38,"止損"),0)</f>
        <v/>
      </c>
      <c r="O5" s="4">
        <f>IFERROR(AVERAGEIFS(交易明細!$L$2:$L$38,交易明細!$J$2:$J$38,"時間出場"),0)</f>
        <v/>
      </c>
      <c r="P5" s="4">
        <f>IFERROR(COUNTIFS(交易明細!$J$2:$J$38,"&lt;&gt;未平倉",交易明細!$L$2:$L$38,"&gt;0")/C5,0)</f>
        <v/>
      </c>
    </row>
    <row r="6">
      <c r="A6" s="2" t="inlineStr">
        <is>
          <t>做多</t>
        </is>
      </c>
      <c r="B6" s="2">
        <f>COUNTIFS(交易明細!$C$2:$C$38,"做多",交易明細!$B$2:$B$38,"&lt;&gt;")</f>
        <v/>
      </c>
      <c r="C6" s="2">
        <f>D6+E6+F6</f>
        <v/>
      </c>
      <c r="D6" s="2">
        <f>COUNTIFS(交易明細!$C$2:$C$38,"做多",交易明細!$J$2:$J$38,"止盈")</f>
        <v/>
      </c>
      <c r="E6" s="2">
        <f>COUNTIFS(交易明細!$C$2:$C$38,"做多",交易明細!$J$2:$J$38,"止損")</f>
        <v/>
      </c>
      <c r="F6" s="2">
        <f>COUNTIFS(交易明細!$C$2:$C$38,"做多",交易明細!$J$2:$J$38,"時間出場")</f>
        <v/>
      </c>
      <c r="G6" s="2">
        <f>COUNTIFS(交易明細!$C$2:$C$38,"做多",交易明細!$J$2:$J$38,"未平倉")</f>
        <v/>
      </c>
      <c r="H6" s="4">
        <f>IFERROR(D6/C6,0)</f>
        <v/>
      </c>
      <c r="I6" s="4">
        <f>IFERROR(AVERAGEIFS(交易明細!$AC$2:$AC$38,交易明細!$C$2:$C$38,"做多",交易明細!$J$2:$J$38,"&lt;&gt;未平倉"),參數!$B$16)</f>
        <v/>
      </c>
      <c r="J6" s="4">
        <f>IFERROR(AVERAGEIFS(交易明細!$L$2:$L$38,交易明細!$C$2:$C$38,"做多",交易明細!$J$2:$J$38,"&lt;&gt;未平倉"),0)</f>
        <v/>
      </c>
      <c r="K6" s="4">
        <f>SUMIFS(交易明細!$L$2:$L$38,交易明細!$C$2:$C$38,"做多",交易明細!$J$2:$J$38,"&lt;&gt;未平倉")</f>
        <v/>
      </c>
      <c r="L6" s="5">
        <f>IFERROR(AVERAGEIFS(交易明細!$K$2:$K$38,交易明細!$C$2:$C$38,"做多",交易明細!$J$2:$J$38,"&lt;&gt;未平倉"),0)</f>
        <v/>
      </c>
      <c r="M6" s="5">
        <f>IFERROR(AVERAGEIFS(交易明細!$K$2:$K$38,交易明細!$C$2:$C$38,"做多",交易明細!$J$2:$J$38,"止盈"),0)</f>
        <v/>
      </c>
      <c r="N6" s="5">
        <f>IFERROR(AVERAGEIFS(交易明細!$K$2:$K$38,交易明細!$C$2:$C$38,"做多",交易明細!$J$2:$J$38,"止損"),0)</f>
        <v/>
      </c>
      <c r="O6" s="4">
        <f>IFERROR(AVERAGEIFS(交易明細!$L$2:$L$38,交易明細!$C$2:$C$38,"做多",交易明細!$J$2:$J$38,"時間出場"),0)</f>
        <v/>
      </c>
      <c r="P6" s="4">
        <f>IFERROR(COUNTIFS(交易明細!$C$2:$C$38,"做多",交易明細!$J$2:$J$38,"&lt;&gt;未平倉",交易明細!$L$2:$L$38,"&gt;0")/C6,0)</f>
        <v/>
      </c>
    </row>
    <row r="7">
      <c r="A7" s="2" t="inlineStr">
        <is>
          <t>做空</t>
        </is>
      </c>
      <c r="B7" s="2">
        <f>COUNTIFS(交易明細!$C$2:$C$38,"做空",交易明細!$B$2:$B$38,"&lt;&gt;")</f>
        <v/>
      </c>
      <c r="C7" s="2">
        <f>D7+E7+F7</f>
        <v/>
      </c>
      <c r="D7" s="2">
        <f>COUNTIFS(交易明細!$C$2:$C$38,"做空",交易明細!$J$2:$J$38,"止盈")</f>
        <v/>
      </c>
      <c r="E7" s="2">
        <f>COUNTIFS(交易明細!$C$2:$C$38,"做空",交易明細!$J$2:$J$38,"止損")</f>
        <v/>
      </c>
      <c r="F7" s="2">
        <f>COUNTIFS(交易明細!$C$2:$C$38,"做空",交易明細!$J$2:$J$38,"時間出場")</f>
        <v/>
      </c>
      <c r="G7" s="2">
        <f>COUNTIFS(交易明細!$C$2:$C$38,"做空",交易明細!$J$2:$J$38,"未平倉")</f>
        <v/>
      </c>
      <c r="H7" s="4">
        <f>IFERROR(D7/C7,0)</f>
        <v/>
      </c>
      <c r="I7" s="4">
        <f>IFERROR(AVERAGEIFS(交易明細!$AC$2:$AC$38,交易明細!$C$2:$C$38,"做空",交易明細!$J$2:$J$38,"&lt;&gt;未平倉"),參數!$B$16)</f>
        <v/>
      </c>
      <c r="J7" s="4">
        <f>IFERROR(AVERAGEIFS(交易明細!$L$2:$L$38,交易明細!$C$2:$C$38,"做空",交易明細!$J$2:$J$38,"&lt;&gt;未平倉"),0)</f>
        <v/>
      </c>
      <c r="K7" s="4">
        <f>SUMIFS(交易明細!$L$2:$L$38,交易明細!$C$2:$C$38,"做空",交易明細!$J$2:$J$38,"&lt;&gt;未平倉")</f>
        <v/>
      </c>
      <c r="L7" s="5">
        <f>IFERROR(AVERAGEIFS(交易明細!$K$2:$K$38,交易明細!$C$2:$C$38,"做空",交易明細!$J$2:$J$38,"&lt;&gt;未平倉"),0)</f>
        <v/>
      </c>
      <c r="M7" s="5">
        <f>IFERROR(AVERAGEIFS(交易明細!$K$2:$K$38,交易明細!$C$2:$C$38,"做空",交易明細!$J$2:$J$38,"止盈"),0)</f>
        <v/>
      </c>
      <c r="N7" s="5">
        <f>IFERROR(AVERAGEIFS(交易明細!$K$2:$K$38,交易明細!$C$2:$C$38,"做空",交易明細!$J$2:$J$38,"止損"),0)</f>
        <v/>
      </c>
      <c r="O7" s="4">
        <f>IFERROR(AVERAGEIFS(交易明細!$L$2:$L$38,交易明細!$C$2:$C$38,"做空",交易明細!$J$2:$J$38,"時間出場"),0)</f>
        <v/>
      </c>
      <c r="P7" s="4">
        <f>IFERROR(COUNTIFS(交易明細!$C$2:$C$38,"做空",交易明細!$J$2:$J$38,"&lt;&gt;未平倉",交易明細!$L$2:$L$38,"&gt;0")/C7,0)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46283.26014016203</v>
      </c>
      <c r="B2" s="7" t="n">
        <v>46283.25347222222</v>
      </c>
      <c r="C2" s="2" t="n">
        <v>440</v>
      </c>
      <c r="D2" s="2" t="n">
        <v>1</v>
      </c>
      <c r="E2" s="2" t="n">
        <v>0</v>
      </c>
      <c r="F2" s="2" t="n">
        <v>0</v>
      </c>
      <c r="G2" s="2" t="n">
        <v>129.5</v>
      </c>
    </row>
    <row r="3">
      <c r="A3" s="7" t="n">
        <v>46283.09637409722</v>
      </c>
      <c r="B3" s="7" t="n">
        <v>46283.09027777778</v>
      </c>
      <c r="C3" s="2" t="n">
        <v>440</v>
      </c>
      <c r="D3" s="2" t="n">
        <v>0</v>
      </c>
      <c r="E3" s="2" t="n">
        <v>1</v>
      </c>
      <c r="F3" s="2" t="n">
        <v>0</v>
      </c>
      <c r="G3" s="2" t="n">
        <v>131.2</v>
      </c>
    </row>
    <row r="4">
      <c r="A4" s="7" t="n">
        <v>46282.89824439815</v>
      </c>
      <c r="B4" s="7" t="n">
        <v>46282.89236111111</v>
      </c>
      <c r="C4" s="2" t="n">
        <v>440</v>
      </c>
      <c r="D4" s="2" t="n">
        <v>1</v>
      </c>
      <c r="E4" s="2" t="n">
        <v>0</v>
      </c>
      <c r="F4" s="2" t="n">
        <v>0</v>
      </c>
      <c r="G4" s="2" t="n">
        <v>137</v>
      </c>
    </row>
    <row r="5">
      <c r="A5" s="7" t="n">
        <v>46282.65711792824</v>
      </c>
      <c r="B5" s="7" t="n">
        <v>46282.65277777778</v>
      </c>
      <c r="C5" s="2" t="n">
        <v>440</v>
      </c>
      <c r="D5" s="2" t="n">
        <v>1</v>
      </c>
      <c r="E5" s="2" t="n">
        <v>1</v>
      </c>
      <c r="F5" s="2" t="n">
        <v>0</v>
      </c>
      <c r="G5" s="2" t="n">
        <v>126.6</v>
      </c>
    </row>
    <row r="6">
      <c r="A6" s="7" t="n">
        <v>46282.40350203704</v>
      </c>
      <c r="B6" s="7" t="n">
        <v>46282.39930555555</v>
      </c>
      <c r="C6" s="2" t="n">
        <v>440</v>
      </c>
      <c r="D6" s="2" t="n">
        <v>0</v>
      </c>
      <c r="E6" s="2" t="n">
        <v>0</v>
      </c>
      <c r="F6" s="2" t="n">
        <v>0</v>
      </c>
      <c r="G6" s="2" t="n">
        <v>323.7</v>
      </c>
    </row>
    <row r="7">
      <c r="A7" s="7" t="n">
        <v>46282.39577758102</v>
      </c>
      <c r="B7" s="7" t="n">
        <v>46282.33333333334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50.5</v>
      </c>
    </row>
    <row r="8">
      <c r="A8" s="7" t="n">
        <v>46282.29222982639</v>
      </c>
      <c r="B8" s="7" t="n">
        <v>46282.25</v>
      </c>
      <c r="C8" s="2" t="n">
        <v>440</v>
      </c>
      <c r="D8" s="2" t="n">
        <v>0</v>
      </c>
      <c r="E8" s="2" t="n">
        <v>0</v>
      </c>
      <c r="F8" s="2" t="n">
        <v>0</v>
      </c>
      <c r="G8" s="2" t="n">
        <v>66.2</v>
      </c>
    </row>
    <row r="9">
      <c r="A9" s="7" t="n">
        <v>46282.17576607639</v>
      </c>
      <c r="B9" s="7" t="n">
        <v>46282.125</v>
      </c>
      <c r="C9" s="2" t="n">
        <v>440</v>
      </c>
      <c r="D9" s="2" t="n">
        <v>0</v>
      </c>
      <c r="E9" s="2" t="n">
        <v>1</v>
      </c>
      <c r="F9" s="2" t="n">
        <v>0</v>
      </c>
      <c r="G9" s="2" t="n">
        <v>67</v>
      </c>
    </row>
    <row r="10">
      <c r="A10" s="7" t="n">
        <v>46282.04552453704</v>
      </c>
      <c r="B10" s="7" t="n">
        <v>46282</v>
      </c>
      <c r="C10" s="2" t="n">
        <v>440</v>
      </c>
      <c r="D10" s="2" t="n">
        <v>1</v>
      </c>
      <c r="E10" s="2" t="n">
        <v>0</v>
      </c>
      <c r="F10" s="2" t="n">
        <v>0</v>
      </c>
      <c r="G10" s="2" t="n">
        <v>52.9</v>
      </c>
    </row>
    <row r="11">
      <c r="A11" s="7" t="n">
        <v>46281.82298537037</v>
      </c>
      <c r="B11" s="7" t="n">
        <v>46281.75</v>
      </c>
      <c r="C11" s="2" t="n">
        <v>440</v>
      </c>
      <c r="D11" s="2" t="n">
        <v>0</v>
      </c>
      <c r="E11" s="2" t="n">
        <v>1</v>
      </c>
      <c r="F11" s="2" t="n">
        <v>0</v>
      </c>
      <c r="G11" s="2" t="n">
        <v>65.7</v>
      </c>
    </row>
    <row r="12">
      <c r="A12" s="7" t="n">
        <v>46281.58829054398</v>
      </c>
      <c r="B12" s="7" t="n">
        <v>46281.54166666666</v>
      </c>
      <c r="C12" s="2" t="n">
        <v>440</v>
      </c>
      <c r="D12" s="2" t="n">
        <v>2</v>
      </c>
      <c r="E12" s="2" t="n">
        <v>1</v>
      </c>
      <c r="F12" s="2" t="n">
        <v>0</v>
      </c>
      <c r="G12" s="2" t="n">
        <v>54.5</v>
      </c>
    </row>
    <row r="13">
      <c r="A13" s="7" t="n">
        <v>46281.35205523148</v>
      </c>
      <c r="B13" s="7" t="n">
        <v>46281.29166666666</v>
      </c>
      <c r="C13" s="2" t="n">
        <v>442</v>
      </c>
      <c r="D13" s="2" t="n">
        <v>0</v>
      </c>
      <c r="E13" s="2" t="n">
        <v>0</v>
      </c>
      <c r="F13" s="2" t="n">
        <v>0</v>
      </c>
      <c r="G13" s="2" t="n">
        <v>66.90000000000001</v>
      </c>
    </row>
    <row r="14">
      <c r="A14" s="7" t="n">
        <v>46281.22963460648</v>
      </c>
      <c r="B14" s="7" t="n">
        <v>46281.16666666666</v>
      </c>
      <c r="C14" s="2" t="n">
        <v>442</v>
      </c>
      <c r="D14" s="2" t="n">
        <v>0</v>
      </c>
      <c r="E14" s="2" t="n">
        <v>0</v>
      </c>
      <c r="F14" s="2" t="n">
        <v>0</v>
      </c>
      <c r="G14" s="2" t="n">
        <v>61.9</v>
      </c>
    </row>
    <row r="15">
      <c r="A15" s="7" t="n">
        <v>46281.094529375</v>
      </c>
      <c r="B15" s="7" t="n">
        <v>46281.04166666666</v>
      </c>
      <c r="C15" s="2" t="n">
        <v>442</v>
      </c>
      <c r="D15" s="2" t="n">
        <v>2</v>
      </c>
      <c r="E15" s="2" t="n">
        <v>2</v>
      </c>
      <c r="F15" s="2" t="n">
        <v>0</v>
      </c>
      <c r="G15" s="2" t="n">
        <v>46.5</v>
      </c>
    </row>
    <row r="16">
      <c r="A16" s="7" t="n">
        <v>46280.9017994676</v>
      </c>
      <c r="B16" s="7" t="n">
        <v>46280.83333333334</v>
      </c>
      <c r="C16" s="2" t="n">
        <v>442</v>
      </c>
      <c r="D16" s="2" t="n">
        <v>0</v>
      </c>
      <c r="E16" s="2" t="n">
        <v>0</v>
      </c>
      <c r="F16" s="2" t="n">
        <v>0</v>
      </c>
      <c r="G16" s="2" t="n">
        <v>56.7</v>
      </c>
    </row>
    <row r="17">
      <c r="A17" s="7" t="n">
        <v>46280.66002480324</v>
      </c>
      <c r="B17" s="7" t="n">
        <v>46280.58333333334</v>
      </c>
      <c r="C17" s="2" t="n">
        <v>442</v>
      </c>
      <c r="D17" s="2" t="n">
        <v>0</v>
      </c>
      <c r="E17" s="2" t="n">
        <v>0</v>
      </c>
      <c r="F17" s="2" t="n">
        <v>0</v>
      </c>
      <c r="G17" s="2" t="n">
        <v>67.40000000000001</v>
      </c>
    </row>
    <row r="18">
      <c r="A18" s="7" t="n">
        <v>46280.4778358449</v>
      </c>
      <c r="B18" s="7" t="n">
        <v>46280.41666666666</v>
      </c>
      <c r="C18" s="2" t="n">
        <v>442</v>
      </c>
      <c r="D18" s="2" t="n">
        <v>0</v>
      </c>
      <c r="E18" s="2" t="n">
        <v>0</v>
      </c>
      <c r="F18" s="2" t="n">
        <v>0</v>
      </c>
      <c r="G18" s="2" t="n">
        <v>61.2</v>
      </c>
    </row>
    <row r="19">
      <c r="A19" s="7" t="n">
        <v>46280.39795681713</v>
      </c>
      <c r="B19" s="7" t="n">
        <v>46280.33333333334</v>
      </c>
      <c r="C19" s="2" t="n">
        <v>442</v>
      </c>
      <c r="D19" s="2" t="n">
        <v>0</v>
      </c>
      <c r="E19" s="2" t="n">
        <v>0</v>
      </c>
      <c r="F19" s="2" t="n">
        <v>0</v>
      </c>
      <c r="G19" s="2" t="n">
        <v>66.90000000000001</v>
      </c>
    </row>
    <row r="20">
      <c r="A20" s="7" t="n">
        <v>46280.29983445602</v>
      </c>
      <c r="B20" s="7" t="n">
        <v>46280.25</v>
      </c>
      <c r="C20" s="2" t="n">
        <v>442</v>
      </c>
      <c r="D20" s="2" t="n">
        <v>0</v>
      </c>
      <c r="E20" s="2" t="n">
        <v>1</v>
      </c>
      <c r="F20" s="2" t="n">
        <v>0</v>
      </c>
      <c r="G20" s="2" t="n">
        <v>51.6</v>
      </c>
    </row>
    <row r="21">
      <c r="A21" s="7" t="n">
        <v>46280.14350143519</v>
      </c>
      <c r="B21" s="7" t="n">
        <v>46280.08333333334</v>
      </c>
      <c r="C21" s="2" t="n">
        <v>442</v>
      </c>
      <c r="D21" s="2" t="n">
        <v>1</v>
      </c>
      <c r="E21" s="2" t="n">
        <v>0</v>
      </c>
      <c r="F21" s="2" t="n">
        <v>0</v>
      </c>
      <c r="G21" s="2" t="n">
        <v>57.3</v>
      </c>
    </row>
    <row r="22">
      <c r="A22" s="7" t="n">
        <v>46279.92418226852</v>
      </c>
      <c r="B22" s="7" t="n">
        <v>46279.875</v>
      </c>
      <c r="C22" s="2" t="n">
        <v>442</v>
      </c>
      <c r="D22" s="2" t="n">
        <v>0</v>
      </c>
      <c r="E22" s="2" t="n">
        <v>0</v>
      </c>
      <c r="F22" s="2" t="n">
        <v>0</v>
      </c>
      <c r="G22" s="2" t="n">
        <v>48.1</v>
      </c>
    </row>
    <row r="23">
      <c r="A23" s="7" t="n">
        <v>46279.59996445602</v>
      </c>
      <c r="B23" s="7" t="n">
        <v>46279.54166666666</v>
      </c>
      <c r="C23" s="2" t="n">
        <v>442</v>
      </c>
      <c r="D23" s="2" t="n">
        <v>0</v>
      </c>
      <c r="E23" s="2" t="n">
        <v>0</v>
      </c>
      <c r="F23" s="2" t="n">
        <v>0</v>
      </c>
      <c r="G23" s="2" t="n">
        <v>61</v>
      </c>
    </row>
    <row r="24">
      <c r="A24" s="7" t="n">
        <v>46279.38316741898</v>
      </c>
      <c r="B24" s="7" t="n">
        <v>46279.33333333334</v>
      </c>
      <c r="C24" s="2" t="n">
        <v>442</v>
      </c>
      <c r="D24" s="2" t="n">
        <v>0</v>
      </c>
      <c r="E24" s="2" t="n">
        <v>0</v>
      </c>
      <c r="F24" s="2" t="n">
        <v>0</v>
      </c>
      <c r="G24" s="2" t="n">
        <v>59.9</v>
      </c>
    </row>
    <row r="25">
      <c r="A25" s="7" t="n">
        <v>46279.26932584491</v>
      </c>
      <c r="B25" s="7" t="n">
        <v>46279.20833333334</v>
      </c>
      <c r="C25" s="2" t="n">
        <v>442</v>
      </c>
      <c r="D25" s="2" t="n">
        <v>0</v>
      </c>
      <c r="E25" s="2" t="n">
        <v>0</v>
      </c>
      <c r="F25" s="2" t="n">
        <v>0</v>
      </c>
      <c r="G25" s="2" t="n">
        <v>61.1</v>
      </c>
    </row>
    <row r="26">
      <c r="A26" s="7" t="n">
        <v>46279.14665413195</v>
      </c>
      <c r="B26" s="7" t="n">
        <v>46279.08333333334</v>
      </c>
      <c r="C26" s="2" t="n">
        <v>442</v>
      </c>
      <c r="D26" s="2" t="n">
        <v>0</v>
      </c>
      <c r="E26" s="2" t="n">
        <v>0</v>
      </c>
      <c r="F26" s="2" t="n">
        <v>0</v>
      </c>
      <c r="G26" s="2" t="n">
        <v>55.1</v>
      </c>
    </row>
    <row r="27">
      <c r="A27" s="7" t="n">
        <v>46279.01733591435</v>
      </c>
      <c r="B27" s="7" t="n">
        <v>46278.95833333334</v>
      </c>
      <c r="C27" s="2" t="n">
        <v>442</v>
      </c>
      <c r="D27" s="2" t="n">
        <v>1</v>
      </c>
      <c r="E27" s="2" t="n">
        <v>1</v>
      </c>
      <c r="F27" s="2" t="n">
        <v>0</v>
      </c>
      <c r="G27" s="2" t="n">
        <v>59.7</v>
      </c>
    </row>
    <row r="28">
      <c r="A28" s="7" t="n">
        <v>46278.83725055555</v>
      </c>
      <c r="B28" s="7" t="n">
        <v>46278.79166666666</v>
      </c>
      <c r="C28" s="2" t="n">
        <v>442</v>
      </c>
      <c r="D28" s="2" t="n">
        <v>0</v>
      </c>
      <c r="E28" s="2" t="n">
        <v>0</v>
      </c>
      <c r="F28" s="2" t="n">
        <v>0</v>
      </c>
      <c r="G28" s="2" t="n">
        <v>65.40000000000001</v>
      </c>
    </row>
    <row r="29">
      <c r="A29" s="7" t="n">
        <v>46278.71111972223</v>
      </c>
      <c r="B29" s="7" t="n">
        <v>46278.66666666666</v>
      </c>
      <c r="C29" s="2" t="n">
        <v>442</v>
      </c>
      <c r="D29" s="2" t="n">
        <v>0</v>
      </c>
      <c r="E29" s="2" t="n">
        <v>1</v>
      </c>
      <c r="F29" s="2" t="n">
        <v>0</v>
      </c>
      <c r="G29" s="2" t="n">
        <v>63.6</v>
      </c>
    </row>
    <row r="30">
      <c r="A30" s="7" t="n">
        <v>46278.68053923611</v>
      </c>
      <c r="B30" s="7" t="n">
        <v>46278.625</v>
      </c>
      <c r="C30" s="2" t="n">
        <v>442</v>
      </c>
      <c r="D30" s="2" t="n">
        <v>2</v>
      </c>
      <c r="E30" s="2" t="n">
        <v>1</v>
      </c>
      <c r="F30" s="2" t="n">
        <v>0</v>
      </c>
      <c r="G30" s="2" t="n">
        <v>63.6</v>
      </c>
    </row>
    <row r="31">
      <c r="A31" s="7" t="n">
        <v>46278.07354997685</v>
      </c>
      <c r="B31" s="7" t="n">
        <v>46278</v>
      </c>
      <c r="C31" s="2" t="n">
        <v>442</v>
      </c>
      <c r="D31" s="2" t="n">
        <v>0</v>
      </c>
      <c r="E31" s="2" t="n">
        <v>0</v>
      </c>
      <c r="F31" s="2" t="n">
        <v>0</v>
      </c>
      <c r="G31" s="2" t="n">
        <v>50.2</v>
      </c>
    </row>
    <row r="32">
      <c r="A32" s="7" t="n">
        <v>46277.94390239583</v>
      </c>
      <c r="B32" s="7" t="n">
        <v>46277.875</v>
      </c>
      <c r="C32" s="2" t="n">
        <v>442</v>
      </c>
      <c r="D32" s="2" t="n">
        <v>25</v>
      </c>
      <c r="E32" s="2" t="n">
        <v>25</v>
      </c>
      <c r="F32" s="2" t="n">
        <v>0</v>
      </c>
      <c r="G32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+0.98%）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83</v>
      </c>
      <c r="C6" s="10" t="n">
        <v>0.6144578313253012</v>
      </c>
      <c r="D6" s="4" t="n">
        <v>-0.001843373493975911</v>
      </c>
      <c r="E6" s="2" t="n">
        <v>39</v>
      </c>
      <c r="F6" s="10" t="n">
        <v>0.6410256410256411</v>
      </c>
      <c r="G6" s="4" t="n">
        <v>0.0002820512820512766</v>
      </c>
      <c r="H6" s="2" t="n">
        <v>33</v>
      </c>
      <c r="I6" s="10" t="n">
        <v>0.5454545454545454</v>
      </c>
      <c r="J6" s="4" t="n">
        <v>-0.00736363636363637</v>
      </c>
      <c r="K6" s="2" t="n">
        <v>35</v>
      </c>
      <c r="L6" s="10" t="n">
        <v>0.7142857142857143</v>
      </c>
      <c r="M6" s="4" t="n">
        <v>0.006142857142857145</v>
      </c>
      <c r="N6" s="2" t="n">
        <v>50</v>
      </c>
      <c r="O6" s="10" t="n">
        <v>0.62</v>
      </c>
      <c r="P6" s="4" t="n">
        <v>-0.001400000000000006</v>
      </c>
      <c r="Q6" s="2" t="n">
        <v>25</v>
      </c>
      <c r="R6" s="10" t="n">
        <v>0.76</v>
      </c>
      <c r="S6" s="4" t="n">
        <v>0.009800000000000005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資金明細!R75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MAX(資金明細!$R$2:$R$75)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MIN(資金明細!$R$2:$R$75)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MIN(資金明細!$X$2:$X$75)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COUNTIFS(資金明細!$C$2:$C$75,"進場",資金明細!$N$2:$N$75,"已下單")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COUNTIFS(資金明細!$C$2:$C$75,"進場",資金明細!$N$2:$N$75,"資金不足略過")</f>
        <v/>
      </c>
    </row>
    <row r="11">
      <c r="D11" s="2" t="inlineStr">
        <is>
          <t>止盈筆數</t>
        </is>
      </c>
      <c r="E11" s="18">
        <f>COUNTIFS(資金明細!$C$2:$C$75,"出場",資金明細!$N$2:$N$75,"已下單",資金明細!$K$2:$K$75,"止盈")</f>
        <v/>
      </c>
    </row>
    <row r="12">
      <c r="A12" s="2" t="inlineStr">
        <is>
          <t>每筆止損約虧本金</t>
        </is>
      </c>
      <c r="B12" s="4">
        <f>B5*B7*IFERROR(AVERAGE(交易明細!$AB$2:$AB$38),參數!B6)</f>
        <v/>
      </c>
      <c r="D12" s="2" t="inlineStr">
        <is>
          <t>止損筆數</t>
        </is>
      </c>
      <c r="E12" s="18">
        <f>COUNTIFS(資金明細!$C$2:$C$75,"出場",資金明細!$N$2:$N$75,"已下單",資金明細!$K$2:$K$75,"止損")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IFERROR(E11/COUNTIFS(資金明細!$C$2:$C$75,"出場",資金明細!$N$2:$N$75,"已下單"),0)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MAX(資金明細!$U$2:$U$75)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MAX(資金明細!$S$2:$S$75)</f>
        <v/>
      </c>
    </row>
    <row r="16">
      <c r="D16" s="2" t="inlineStr">
        <is>
          <t>期末下單金額</t>
        </is>
      </c>
      <c r="E16" s="19">
        <f>B5*資金明細!V75</f>
        <v/>
      </c>
    </row>
    <row r="17">
      <c r="D17" s="2" t="inlineStr">
        <is>
          <t>未平倉浮動損益（未計入）</t>
        </is>
      </c>
      <c r="E17" s="13">
        <f>IF(資金明細!N75="已下單",資金明細!O75*交易明細!L38,0)</f>
        <v/>
      </c>
    </row>
    <row r="18">
      <c r="D18" s="2" t="inlineStr">
        <is>
          <t>最大總曝險倍數</t>
        </is>
      </c>
      <c r="E18" s="19">
        <f>MAX(資金明細!$Y$2:$Y$75)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IFERROR(INDEX(資金明細!$B$2:$B$75,MATCH(1,資金明細!$Z$2:$Z$75,0)),"未觸發")</f>
        <v/>
      </c>
    </row>
    <row r="21">
      <c r="D21" s="2" t="inlineStr">
        <is>
          <t>停止後略過筆數</t>
        </is>
      </c>
      <c r="E21" s="18">
        <f>COUNTIFS(資金明細!$C$2:$C$75,"進場",資金明細!$N$2:$N$75,"已停止")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46266.75</v>
      </c>
      <c r="C3" s="2" t="inlineStr">
        <is>
          <t>進場</t>
        </is>
      </c>
      <c r="D3" s="2" t="n">
        <v>1</v>
      </c>
      <c r="E3" s="2" t="inlineStr">
        <is>
          <t>USELESS_USDT_PERP</t>
        </is>
      </c>
      <c r="F3" s="2" t="inlineStr">
        <is>
          <t>做多</t>
        </is>
      </c>
      <c r="G3" s="20" t="n">
        <v>0.09113</v>
      </c>
      <c r="H3" s="20" t="n">
        <v>0.0938639</v>
      </c>
      <c r="I3" s="20" t="n">
        <v>0.0865735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46266.79166666666</v>
      </c>
      <c r="C4" s="2" t="inlineStr">
        <is>
          <t>出場</t>
        </is>
      </c>
      <c r="D4" s="2" t="n">
        <v>1</v>
      </c>
      <c r="E4" s="2" t="inlineStr">
        <is>
          <t>USELESS_USDT_PERP</t>
        </is>
      </c>
      <c r="F4" s="2" t="inlineStr">
        <is>
          <t>做多</t>
        </is>
      </c>
      <c r="G4" s="20" t="n">
        <v>0.09113</v>
      </c>
      <c r="H4" s="20" t="n">
        <v>0.0938639</v>
      </c>
      <c r="I4" s="20" t="n">
        <v>0.0865735</v>
      </c>
      <c r="J4" s="20" t="n">
        <v>0.0938639</v>
      </c>
      <c r="K4" s="2" t="inlineStr">
        <is>
          <t>止盈</t>
        </is>
      </c>
      <c r="L4" s="5">
        <f>交易明細!K2</f>
        <v/>
      </c>
      <c r="M4" s="19">
        <f>M3</f>
        <v/>
      </c>
      <c r="N4" s="2">
        <f>N3</f>
        <v/>
      </c>
      <c r="O4" s="19">
        <f>O3</f>
        <v/>
      </c>
      <c r="P4" s="4">
        <f>交易明細!L2</f>
        <v/>
      </c>
      <c r="Q4" s="13">
        <f>IF(N4="已下單",O4*P4,0)</f>
        <v/>
      </c>
      <c r="R4" s="13">
        <f>R3+Q4</f>
        <v/>
      </c>
      <c r="S4" s="19">
        <f>S3-IF(N4="已下單",M4,0)</f>
        <v/>
      </c>
      <c r="T4" s="19">
        <f>R4-S4</f>
        <v/>
      </c>
      <c r="U4" s="2">
        <f>U3-IF(N4="已下單",1,0)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46267.83333333334</v>
      </c>
      <c r="C5" s="2" t="inlineStr">
        <is>
          <t>進場</t>
        </is>
      </c>
      <c r="D5" s="2" t="n">
        <v>2</v>
      </c>
      <c r="E5" s="2" t="inlineStr">
        <is>
          <t>ACE_USDT_PERP</t>
        </is>
      </c>
      <c r="F5" s="2" t="inlineStr">
        <is>
          <t>做空</t>
        </is>
      </c>
      <c r="G5" s="20" t="n">
        <v>0.19257</v>
      </c>
      <c r="H5" s="20" t="n">
        <v>0.1867929</v>
      </c>
      <c r="I5" s="20" t="n">
        <v>0.2021985</v>
      </c>
      <c r="J5" s="20" t="n"/>
      <c r="K5" s="2" t="n"/>
      <c r="L5" s="5" t="n"/>
      <c r="M5" s="19">
        <f>資金模擬!$B$5*V4</f>
        <v/>
      </c>
      <c r="N5" s="2">
        <f>IF(Z4=1,"已停止",IF(T4&gt;=M5,"已下單","資金不足略過"))</f>
        <v/>
      </c>
      <c r="O5" s="19">
        <f>IF(N5="已下單",M5*資金模擬!$B$7,0)</f>
        <v/>
      </c>
      <c r="P5" s="4" t="n"/>
      <c r="Q5" s="13" t="n">
        <v>0</v>
      </c>
      <c r="R5" s="13">
        <f>R4+Q5</f>
        <v/>
      </c>
      <c r="S5" s="19">
        <f>S4+IF(N5="已下單",M5,0)</f>
        <v/>
      </c>
      <c r="T5" s="19">
        <f>R5-S5</f>
        <v/>
      </c>
      <c r="U5" s="2">
        <f>U4+IF(N5="已下單",1,0)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46267.875</v>
      </c>
      <c r="C6" s="2" t="inlineStr">
        <is>
          <t>出場</t>
        </is>
      </c>
      <c r="D6" s="2" t="n">
        <v>2</v>
      </c>
      <c r="E6" s="2" t="inlineStr">
        <is>
          <t>ACE_USDT_PERP</t>
        </is>
      </c>
      <c r="F6" s="2" t="inlineStr">
        <is>
          <t>做空</t>
        </is>
      </c>
      <c r="G6" s="20" t="n">
        <v>0.19257</v>
      </c>
      <c r="H6" s="20" t="n">
        <v>0.1867929</v>
      </c>
      <c r="I6" s="20" t="n">
        <v>0.2021985</v>
      </c>
      <c r="J6" s="20" t="n">
        <v>0.1867929</v>
      </c>
      <c r="K6" s="2" t="inlineStr">
        <is>
          <t>止盈</t>
        </is>
      </c>
      <c r="L6" s="5">
        <f>交易明細!K3</f>
        <v/>
      </c>
      <c r="M6" s="19">
        <f>M5</f>
        <v/>
      </c>
      <c r="N6" s="2">
        <f>N5</f>
        <v/>
      </c>
      <c r="O6" s="19">
        <f>O5</f>
        <v/>
      </c>
      <c r="P6" s="4">
        <f>交易明細!L3</f>
        <v/>
      </c>
      <c r="Q6" s="13">
        <f>IF(N6="已下單",O6*P6,0)</f>
        <v/>
      </c>
      <c r="R6" s="13">
        <f>R5+Q6</f>
        <v/>
      </c>
      <c r="S6" s="19">
        <f>S5-IF(N6="已下單",M6,0)</f>
        <v/>
      </c>
      <c r="T6" s="19">
        <f>R6-S6</f>
        <v/>
      </c>
      <c r="U6" s="2">
        <f>U5-IF(N6="已下單",1,0)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46271.5</v>
      </c>
      <c r="C7" s="2" t="inlineStr">
        <is>
          <t>進場</t>
        </is>
      </c>
      <c r="D7" s="2" t="n">
        <v>3</v>
      </c>
      <c r="E7" s="2" t="inlineStr">
        <is>
          <t>HEMI_USDT_PERP</t>
        </is>
      </c>
      <c r="F7" s="2" t="inlineStr">
        <is>
          <t>做空</t>
        </is>
      </c>
      <c r="G7" s="20" t="n">
        <v>0.01166</v>
      </c>
      <c r="H7" s="20" t="n">
        <v>0.0113102</v>
      </c>
      <c r="I7" s="20" t="n">
        <v>0.012243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46271.54166666666</v>
      </c>
      <c r="C8" s="2" t="inlineStr">
        <is>
          <t>出場</t>
        </is>
      </c>
      <c r="D8" s="2" t="n">
        <v>3</v>
      </c>
      <c r="E8" s="2" t="inlineStr">
        <is>
          <t>HEMI_USDT_PERP</t>
        </is>
      </c>
      <c r="F8" s="2" t="inlineStr">
        <is>
          <t>做空</t>
        </is>
      </c>
      <c r="G8" s="20" t="n">
        <v>0.01166</v>
      </c>
      <c r="H8" s="20" t="n">
        <v>0.0113102</v>
      </c>
      <c r="I8" s="20" t="n">
        <v>0.012243</v>
      </c>
      <c r="J8" s="20" t="n">
        <v>0.0113102</v>
      </c>
      <c r="K8" s="2" t="inlineStr">
        <is>
          <t>止盈</t>
        </is>
      </c>
      <c r="L8" s="5">
        <f>交易明細!K4</f>
        <v/>
      </c>
      <c r="M8" s="19">
        <f>M7</f>
        <v/>
      </c>
      <c r="N8" s="2">
        <f>N7</f>
        <v/>
      </c>
      <c r="O8" s="19">
        <f>O7</f>
        <v/>
      </c>
      <c r="P8" s="4">
        <f>交易明細!L4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46271.58333333334</v>
      </c>
      <c r="C9" s="2" t="inlineStr">
        <is>
          <t>進場</t>
        </is>
      </c>
      <c r="D9" s="2" t="n">
        <v>4</v>
      </c>
      <c r="E9" s="2" t="inlineStr">
        <is>
          <t>HEMI_USDT_PERP</t>
        </is>
      </c>
      <c r="F9" s="2" t="inlineStr">
        <is>
          <t>做空</t>
        </is>
      </c>
      <c r="G9" s="20" t="n">
        <v>0.01128</v>
      </c>
      <c r="H9" s="20" t="n">
        <v>0.0109416</v>
      </c>
      <c r="I9" s="20" t="n">
        <v>0.011844</v>
      </c>
      <c r="J9" s="20" t="n"/>
      <c r="K9" s="2" t="n"/>
      <c r="L9" s="5" t="n"/>
      <c r="M9" s="19">
        <f>資金模擬!$B$5*V8</f>
        <v/>
      </c>
      <c r="N9" s="2">
        <f>IF(Z8=1,"已停止",IF(T8&gt;=M9,"已下單","資金不足略過"))</f>
        <v/>
      </c>
      <c r="O9" s="19">
        <f>IF(N9="已下單",M9*資金模擬!$B$7,0)</f>
        <v/>
      </c>
      <c r="P9" s="4" t="n"/>
      <c r="Q9" s="13" t="n">
        <v>0</v>
      </c>
      <c r="R9" s="13">
        <f>R8+Q9</f>
        <v/>
      </c>
      <c r="S9" s="19">
        <f>S8+IF(N9="已下單",M9,0)</f>
        <v/>
      </c>
      <c r="T9" s="19">
        <f>R9-S9</f>
        <v/>
      </c>
      <c r="U9" s="2">
        <f>U8+IF(N9="已下單",1,0)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46271.75</v>
      </c>
      <c r="C10" s="2" t="inlineStr">
        <is>
          <t>出場</t>
        </is>
      </c>
      <c r="D10" s="2" t="n">
        <v>4</v>
      </c>
      <c r="E10" s="2" t="inlineStr">
        <is>
          <t>HEMI_USDT_PERP</t>
        </is>
      </c>
      <c r="F10" s="2" t="inlineStr">
        <is>
          <t>做空</t>
        </is>
      </c>
      <c r="G10" s="20" t="n">
        <v>0.01128</v>
      </c>
      <c r="H10" s="20" t="n">
        <v>0.0109416</v>
      </c>
      <c r="I10" s="20" t="n">
        <v>0.011844</v>
      </c>
      <c r="J10" s="20" t="n">
        <v>0.011844</v>
      </c>
      <c r="K10" s="2" t="inlineStr">
        <is>
          <t>止損</t>
        </is>
      </c>
      <c r="L10" s="5">
        <f>交易明細!K5</f>
        <v/>
      </c>
      <c r="M10" s="19">
        <f>M9</f>
        <v/>
      </c>
      <c r="N10" s="2">
        <f>N9</f>
        <v/>
      </c>
      <c r="O10" s="19">
        <f>O9</f>
        <v/>
      </c>
      <c r="P10" s="4">
        <f>交易明細!L5</f>
        <v/>
      </c>
      <c r="Q10" s="13">
        <f>IF(N10="已下單",O10*P10,0)</f>
        <v/>
      </c>
      <c r="R10" s="13">
        <f>R9+Q10</f>
        <v/>
      </c>
      <c r="S10" s="19">
        <f>S9-IF(N10="已下單",M10,0)</f>
        <v/>
      </c>
      <c r="T10" s="19">
        <f>R10-S10</f>
        <v/>
      </c>
      <c r="U10" s="2">
        <f>U9-IF(N10="已下單",1,0)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46271.95833333334</v>
      </c>
      <c r="C11" s="2" t="inlineStr">
        <is>
          <t>進場</t>
        </is>
      </c>
      <c r="D11" s="2" t="n">
        <v>5</v>
      </c>
      <c r="E11" s="2" t="inlineStr">
        <is>
          <t>ARB_USDT_PERP</t>
        </is>
      </c>
      <c r="F11" s="2" t="inlineStr">
        <is>
          <t>做空</t>
        </is>
      </c>
      <c r="G11" s="20" t="n">
        <v>0.1862</v>
      </c>
      <c r="H11" s="20" t="n">
        <v>0.180614</v>
      </c>
      <c r="I11" s="20" t="n">
        <v>0.19551</v>
      </c>
      <c r="J11" s="20" t="n"/>
      <c r="K11" s="2" t="n"/>
      <c r="L11" s="5" t="n"/>
      <c r="M11" s="19">
        <f>資金模擬!$B$5*V10</f>
        <v/>
      </c>
      <c r="N11" s="2">
        <f>IF(Z10=1,"已停止",IF(T10&gt;=M11,"已下單","資金不足略過"))</f>
        <v/>
      </c>
      <c r="O11" s="19">
        <f>IF(N11="已下單",M11*資金模擬!$B$7,0)</f>
        <v/>
      </c>
      <c r="P11" s="4" t="n"/>
      <c r="Q11" s="13" t="n">
        <v>0</v>
      </c>
      <c r="R11" s="13">
        <f>R10+Q11</f>
        <v/>
      </c>
      <c r="S11" s="19">
        <f>S10+IF(N11="已下單",M11,0)</f>
        <v/>
      </c>
      <c r="T11" s="19">
        <f>R11-S11</f>
        <v/>
      </c>
      <c r="U11" s="2">
        <f>U10+IF(N11="已下單",1,0)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46271.95833333334</v>
      </c>
      <c r="C12" s="2" t="inlineStr">
        <is>
          <t>進場</t>
        </is>
      </c>
      <c r="D12" s="2" t="n">
        <v>6</v>
      </c>
      <c r="E12" s="2" t="inlineStr">
        <is>
          <t>DASH_USDT_PERP</t>
        </is>
      </c>
      <c r="F12" s="2" t="inlineStr">
        <is>
          <t>做空</t>
        </is>
      </c>
      <c r="G12" s="20" t="n">
        <v>67.53</v>
      </c>
      <c r="H12" s="20" t="n">
        <v>65.50409999999999</v>
      </c>
      <c r="I12" s="20" t="n">
        <v>70.90650000000001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46272.125</v>
      </c>
      <c r="C13" s="2" t="inlineStr">
        <is>
          <t>出場</t>
        </is>
      </c>
      <c r="D13" s="2" t="n">
        <v>6</v>
      </c>
      <c r="E13" s="2" t="inlineStr">
        <is>
          <t>DASH_USDT_PERP</t>
        </is>
      </c>
      <c r="F13" s="2" t="inlineStr">
        <is>
          <t>做空</t>
        </is>
      </c>
      <c r="G13" s="20" t="n">
        <v>67.53</v>
      </c>
      <c r="H13" s="20" t="n">
        <v>65.50409999999999</v>
      </c>
      <c r="I13" s="20" t="n">
        <v>70.90650000000001</v>
      </c>
      <c r="J13" s="20" t="n">
        <v>70.90650000000001</v>
      </c>
      <c r="K13" s="2" t="inlineStr">
        <is>
          <t>止損</t>
        </is>
      </c>
      <c r="L13" s="5">
        <f>交易明細!K7</f>
        <v/>
      </c>
      <c r="M13" s="19">
        <f>M12</f>
        <v/>
      </c>
      <c r="N13" s="2">
        <f>N12</f>
        <v/>
      </c>
      <c r="O13" s="19">
        <f>O12</f>
        <v/>
      </c>
      <c r="P13" s="4">
        <f>交易明細!L7</f>
        <v/>
      </c>
      <c r="Q13" s="13">
        <f>IF(N13="已下單",O13*P13,0)</f>
        <v/>
      </c>
      <c r="R13" s="13">
        <f>R12+Q13</f>
        <v/>
      </c>
      <c r="S13" s="19">
        <f>S12-IF(N13="已下單",M13,0)</f>
        <v/>
      </c>
      <c r="T13" s="19">
        <f>R13-S13</f>
        <v/>
      </c>
      <c r="U13" s="2">
        <f>U12-IF(N13="已下單",1,0)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46272.5</v>
      </c>
      <c r="C14" s="2" t="inlineStr">
        <is>
          <t>出場</t>
        </is>
      </c>
      <c r="D14" s="2" t="n">
        <v>5</v>
      </c>
      <c r="E14" s="2" t="inlineStr">
        <is>
          <t>ARB_USDT_PERP</t>
        </is>
      </c>
      <c r="F14" s="2" t="inlineStr">
        <is>
          <t>做空</t>
        </is>
      </c>
      <c r="G14" s="20" t="n">
        <v>0.1862</v>
      </c>
      <c r="H14" s="20" t="n">
        <v>0.180614</v>
      </c>
      <c r="I14" s="20" t="n">
        <v>0.19551</v>
      </c>
      <c r="J14" s="20" t="n">
        <v>0.180614</v>
      </c>
      <c r="K14" s="2" t="inlineStr">
        <is>
          <t>止盈</t>
        </is>
      </c>
      <c r="L14" s="5">
        <f>交易明細!K6</f>
        <v/>
      </c>
      <c r="M14" s="19">
        <f>M11</f>
        <v/>
      </c>
      <c r="N14" s="2">
        <f>N11</f>
        <v/>
      </c>
      <c r="O14" s="19">
        <f>O11</f>
        <v/>
      </c>
      <c r="P14" s="4">
        <f>交易明細!L6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46272.91666666666</v>
      </c>
      <c r="C15" s="2" t="inlineStr">
        <is>
          <t>進場</t>
        </is>
      </c>
      <c r="D15" s="2" t="n">
        <v>7</v>
      </c>
      <c r="E15" s="2" t="inlineStr">
        <is>
          <t>RAY_USDT_PERP</t>
        </is>
      </c>
      <c r="F15" s="2" t="inlineStr">
        <is>
          <t>做空</t>
        </is>
      </c>
      <c r="G15" s="20" t="n">
        <v>1.177</v>
      </c>
      <c r="H15" s="20" t="n">
        <v>1.14169</v>
      </c>
      <c r="I15" s="20" t="n">
        <v>1.23585</v>
      </c>
      <c r="J15" s="20" t="n"/>
      <c r="K15" s="2" t="n"/>
      <c r="L15" s="5" t="n"/>
      <c r="M15" s="19">
        <f>資金模擬!$B$5*V14</f>
        <v/>
      </c>
      <c r="N15" s="2">
        <f>IF(Z14=1,"已停止",IF(T14&gt;=M15,"已下單","資金不足略過"))</f>
        <v/>
      </c>
      <c r="O15" s="19">
        <f>IF(N15="已下單",M15*資金模擬!$B$7,0)</f>
        <v/>
      </c>
      <c r="P15" s="4" t="n"/>
      <c r="Q15" s="13" t="n">
        <v>0</v>
      </c>
      <c r="R15" s="13">
        <f>R14+Q15</f>
        <v/>
      </c>
      <c r="S15" s="19">
        <f>S14+IF(N15="已下單",M15,0)</f>
        <v/>
      </c>
      <c r="T15" s="19">
        <f>R15-S15</f>
        <v/>
      </c>
      <c r="U15" s="2">
        <f>U14+IF(N15="已下單",1,0)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46273.41666666666</v>
      </c>
      <c r="C16" s="2" t="inlineStr">
        <is>
          <t>進場</t>
        </is>
      </c>
      <c r="D16" s="2" t="n">
        <v>8</v>
      </c>
      <c r="E16" s="2" t="inlineStr">
        <is>
          <t>IOST_USDT_PERP</t>
        </is>
      </c>
      <c r="F16" s="2" t="inlineStr">
        <is>
          <t>做多</t>
        </is>
      </c>
      <c r="G16" s="20" t="n">
        <v>0.000941</v>
      </c>
      <c r="H16" s="20" t="n">
        <v>0.0009692300000000001</v>
      </c>
      <c r="I16" s="20" t="n">
        <v>0.0008939499999999999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46273.5</v>
      </c>
      <c r="C17" s="2" t="inlineStr">
        <is>
          <t>出場</t>
        </is>
      </c>
      <c r="D17" s="2" t="n">
        <v>7</v>
      </c>
      <c r="E17" s="2" t="inlineStr">
        <is>
          <t>RAY_USDT_PERP</t>
        </is>
      </c>
      <c r="F17" s="2" t="inlineStr">
        <is>
          <t>做空</t>
        </is>
      </c>
      <c r="G17" s="20" t="n">
        <v>1.177</v>
      </c>
      <c r="H17" s="20" t="n">
        <v>1.14169</v>
      </c>
      <c r="I17" s="20" t="n">
        <v>1.23585</v>
      </c>
      <c r="J17" s="20" t="n">
        <v>1.23585</v>
      </c>
      <c r="K17" s="2" t="inlineStr">
        <is>
          <t>止損</t>
        </is>
      </c>
      <c r="L17" s="5">
        <f>交易明細!K8</f>
        <v/>
      </c>
      <c r="M17" s="19">
        <f>M15</f>
        <v/>
      </c>
      <c r="N17" s="2">
        <f>N15</f>
        <v/>
      </c>
      <c r="O17" s="19">
        <f>O15</f>
        <v/>
      </c>
      <c r="P17" s="4">
        <f>交易明細!L8</f>
        <v/>
      </c>
      <c r="Q17" s="13">
        <f>IF(N17="已下單",O17*P17,0)</f>
        <v/>
      </c>
      <c r="R17" s="13">
        <f>R16+Q17</f>
        <v/>
      </c>
      <c r="S17" s="19">
        <f>S16-IF(N17="已下單",M17,0)</f>
        <v/>
      </c>
      <c r="T17" s="19">
        <f>R17-S17</f>
        <v/>
      </c>
      <c r="U17" s="2">
        <f>U16-IF(N17="已下單",1,0)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46273.5</v>
      </c>
      <c r="C18" s="2" t="inlineStr">
        <is>
          <t>出場</t>
        </is>
      </c>
      <c r="D18" s="2" t="n">
        <v>8</v>
      </c>
      <c r="E18" s="2" t="inlineStr">
        <is>
          <t>IOST_USDT_PERP</t>
        </is>
      </c>
      <c r="F18" s="2" t="inlineStr">
        <is>
          <t>做多</t>
        </is>
      </c>
      <c r="G18" s="20" t="n">
        <v>0.000941</v>
      </c>
      <c r="H18" s="20" t="n">
        <v>0.0009692300000000001</v>
      </c>
      <c r="I18" s="20" t="n">
        <v>0.0008939499999999999</v>
      </c>
      <c r="J18" s="20" t="n">
        <v>0.0009692300000000001</v>
      </c>
      <c r="K18" s="2" t="inlineStr">
        <is>
          <t>止盈</t>
        </is>
      </c>
      <c r="L18" s="5">
        <f>交易明細!K9</f>
        <v/>
      </c>
      <c r="M18" s="19">
        <f>M16</f>
        <v/>
      </c>
      <c r="N18" s="2">
        <f>N16</f>
        <v/>
      </c>
      <c r="O18" s="19">
        <f>O16</f>
        <v/>
      </c>
      <c r="P18" s="4">
        <f>交易明細!L9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46273.58333333334</v>
      </c>
      <c r="C19" s="2" t="inlineStr">
        <is>
          <t>進場</t>
        </is>
      </c>
      <c r="D19" s="2" t="n">
        <v>9</v>
      </c>
      <c r="E19" s="2" t="inlineStr">
        <is>
          <t>BULLA_USDT_PERP</t>
        </is>
      </c>
      <c r="F19" s="2" t="inlineStr">
        <is>
          <t>做空</t>
        </is>
      </c>
      <c r="G19" s="20" t="n">
        <v>0.07796</v>
      </c>
      <c r="H19" s="20" t="n">
        <v>0.0756212</v>
      </c>
      <c r="I19" s="20" t="n">
        <v>0.081858</v>
      </c>
      <c r="J19" s="20" t="n"/>
      <c r="K19" s="2" t="n"/>
      <c r="L19" s="5" t="n"/>
      <c r="M19" s="19">
        <f>資金模擬!$B$5*V18</f>
        <v/>
      </c>
      <c r="N19" s="2">
        <f>IF(Z18=1,"已停止",IF(T18&gt;=M19,"已下單","資金不足略過"))</f>
        <v/>
      </c>
      <c r="O19" s="19">
        <f>IF(N19="已下單",M19*資金模擬!$B$7,0)</f>
        <v/>
      </c>
      <c r="P19" s="4" t="n"/>
      <c r="Q19" s="13" t="n">
        <v>0</v>
      </c>
      <c r="R19" s="13">
        <f>R18+Q19</f>
        <v/>
      </c>
      <c r="S19" s="19">
        <f>S18+IF(N19="已下單",M19,0)</f>
        <v/>
      </c>
      <c r="T19" s="19">
        <f>R19-S19</f>
        <v/>
      </c>
      <c r="U19" s="2">
        <f>U18+IF(N19="已下單",1,0)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46273.58333333334</v>
      </c>
      <c r="C20" s="2" t="inlineStr">
        <is>
          <t>進場</t>
        </is>
      </c>
      <c r="D20" s="2" t="n">
        <v>10</v>
      </c>
      <c r="E20" s="2" t="inlineStr">
        <is>
          <t>USELESS_USDT_PERP</t>
        </is>
      </c>
      <c r="F20" s="2" t="inlineStr">
        <is>
          <t>做多</t>
        </is>
      </c>
      <c r="G20" s="20" t="n">
        <v>0.24093</v>
      </c>
      <c r="H20" s="20" t="n">
        <v>0.2481579</v>
      </c>
      <c r="I20" s="20" t="n">
        <v>0.2288835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46273.625</v>
      </c>
      <c r="C21" s="2" t="inlineStr">
        <is>
          <t>出場</t>
        </is>
      </c>
      <c r="D21" s="2" t="n">
        <v>10</v>
      </c>
      <c r="E21" s="2" t="inlineStr">
        <is>
          <t>USELESS_USDT_PERP</t>
        </is>
      </c>
      <c r="F21" s="2" t="inlineStr">
        <is>
          <t>做多</t>
        </is>
      </c>
      <c r="G21" s="20" t="n">
        <v>0.24093</v>
      </c>
      <c r="H21" s="20" t="n">
        <v>0.2481579</v>
      </c>
      <c r="I21" s="20" t="n">
        <v>0.2288835</v>
      </c>
      <c r="J21" s="20" t="n">
        <v>0.2481579</v>
      </c>
      <c r="K21" s="2" t="inlineStr">
        <is>
          <t>止盈</t>
        </is>
      </c>
      <c r="L21" s="5">
        <f>交易明細!K11</f>
        <v/>
      </c>
      <c r="M21" s="19">
        <f>M20</f>
        <v/>
      </c>
      <c r="N21" s="2">
        <f>N20</f>
        <v/>
      </c>
      <c r="O21" s="19">
        <f>O20</f>
        <v/>
      </c>
      <c r="P21" s="4">
        <f>交易明細!L11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46273.75</v>
      </c>
      <c r="C22" s="2" t="inlineStr">
        <is>
          <t>進場</t>
        </is>
      </c>
      <c r="D22" s="2" t="n">
        <v>11</v>
      </c>
      <c r="E22" s="2" t="inlineStr">
        <is>
          <t>UAI_USDT_PERP</t>
        </is>
      </c>
      <c r="F22" s="2" t="inlineStr">
        <is>
          <t>做多</t>
        </is>
      </c>
      <c r="G22" s="20" t="n">
        <v>0.7282999999999999</v>
      </c>
      <c r="H22" s="20" t="n">
        <v>0.750149</v>
      </c>
      <c r="I22" s="20" t="n">
        <v>0.691885</v>
      </c>
      <c r="J22" s="20" t="n"/>
      <c r="K22" s="2" t="n"/>
      <c r="L22" s="5" t="n"/>
      <c r="M22" s="19">
        <f>資金模擬!$B$5*V21</f>
        <v/>
      </c>
      <c r="N22" s="2">
        <f>IF(Z21=1,"已停止",IF(T21&gt;=M22,"已下單","資金不足略過"))</f>
        <v/>
      </c>
      <c r="O22" s="19">
        <f>IF(N22="已下單",M22*資金模擬!$B$7,0)</f>
        <v/>
      </c>
      <c r="P22" s="4" t="n"/>
      <c r="Q22" s="13" t="n">
        <v>0</v>
      </c>
      <c r="R22" s="13">
        <f>R21+Q22</f>
        <v/>
      </c>
      <c r="S22" s="19">
        <f>S21+IF(N22="已下單",M22,0)</f>
        <v/>
      </c>
      <c r="T22" s="19">
        <f>R22-S22</f>
        <v/>
      </c>
      <c r="U22" s="2">
        <f>U21+IF(N22="已下單",1,0)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46273.79166666666</v>
      </c>
      <c r="C23" s="2" t="inlineStr">
        <is>
          <t>進場</t>
        </is>
      </c>
      <c r="D23" s="2" t="n">
        <v>12</v>
      </c>
      <c r="E23" s="2" t="inlineStr">
        <is>
          <t>CASHCAT_USDT_PERP</t>
        </is>
      </c>
      <c r="F23" s="2" t="inlineStr">
        <is>
          <t>做空</t>
        </is>
      </c>
      <c r="G23" s="20" t="n">
        <v>0.1787</v>
      </c>
      <c r="H23" s="20" t="n">
        <v>0.173339</v>
      </c>
      <c r="I23" s="20" t="n">
        <v>0.187635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46273.83333333334</v>
      </c>
      <c r="C24" s="2" t="inlineStr">
        <is>
          <t>出場</t>
        </is>
      </c>
      <c r="D24" s="2" t="n">
        <v>9</v>
      </c>
      <c r="E24" s="2" t="inlineStr">
        <is>
          <t>BULLA_USDT_PERP</t>
        </is>
      </c>
      <c r="F24" s="2" t="inlineStr">
        <is>
          <t>做空</t>
        </is>
      </c>
      <c r="G24" s="20" t="n">
        <v>0.07796</v>
      </c>
      <c r="H24" s="20" t="n">
        <v>0.0756212</v>
      </c>
      <c r="I24" s="20" t="n">
        <v>0.081858</v>
      </c>
      <c r="J24" s="20" t="n">
        <v>0.081858</v>
      </c>
      <c r="K24" s="2" t="inlineStr">
        <is>
          <t>止損</t>
        </is>
      </c>
      <c r="L24" s="5">
        <f>交易明細!K10</f>
        <v/>
      </c>
      <c r="M24" s="19">
        <f>M19</f>
        <v/>
      </c>
      <c r="N24" s="2">
        <f>N19</f>
        <v/>
      </c>
      <c r="O24" s="19">
        <f>O19</f>
        <v/>
      </c>
      <c r="P24" s="4">
        <f>交易明細!L10</f>
        <v/>
      </c>
      <c r="Q24" s="13">
        <f>IF(N24="已下單",O24*P24,0)</f>
        <v/>
      </c>
      <c r="R24" s="13">
        <f>R23+Q24</f>
        <v/>
      </c>
      <c r="S24" s="19">
        <f>S23-IF(N24="已下單",M24,0)</f>
        <v/>
      </c>
      <c r="T24" s="19">
        <f>R24-S24</f>
        <v/>
      </c>
      <c r="U24" s="2">
        <f>U23-IF(N24="已下單",1,0)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46273.83333333334</v>
      </c>
      <c r="C25" s="2" t="inlineStr">
        <is>
          <t>出場</t>
        </is>
      </c>
      <c r="D25" s="2" t="n">
        <v>11</v>
      </c>
      <c r="E25" s="2" t="inlineStr">
        <is>
          <t>UAI_USDT_PERP</t>
        </is>
      </c>
      <c r="F25" s="2" t="inlineStr">
        <is>
          <t>做多</t>
        </is>
      </c>
      <c r="G25" s="20" t="n">
        <v>0.7282999999999999</v>
      </c>
      <c r="H25" s="20" t="n">
        <v>0.750149</v>
      </c>
      <c r="I25" s="20" t="n">
        <v>0.691885</v>
      </c>
      <c r="J25" s="20" t="n">
        <v>0.750149</v>
      </c>
      <c r="K25" s="2" t="inlineStr">
        <is>
          <t>止盈</t>
        </is>
      </c>
      <c r="L25" s="5">
        <f>交易明細!K12</f>
        <v/>
      </c>
      <c r="M25" s="19">
        <f>M22</f>
        <v/>
      </c>
      <c r="N25" s="2">
        <f>N22</f>
        <v/>
      </c>
      <c r="O25" s="19">
        <f>O22</f>
        <v/>
      </c>
      <c r="P25" s="4">
        <f>交易明細!L12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46273.875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20" t="n">
        <v>0.1787</v>
      </c>
      <c r="H26" s="20" t="n">
        <v>0.173339</v>
      </c>
      <c r="I26" s="20" t="n">
        <v>0.187635</v>
      </c>
      <c r="J26" s="20" t="n">
        <v>0.173339</v>
      </c>
      <c r="K26" s="2" t="inlineStr">
        <is>
          <t>止盈</t>
        </is>
      </c>
      <c r="L26" s="5">
        <f>交易明細!K13</f>
        <v/>
      </c>
      <c r="M26" s="19">
        <f>M23</f>
        <v/>
      </c>
      <c r="N26" s="2">
        <f>N23</f>
        <v/>
      </c>
      <c r="O26" s="19">
        <f>O23</f>
        <v/>
      </c>
      <c r="P26" s="4">
        <f>交易明細!L13</f>
        <v/>
      </c>
      <c r="Q26" s="13">
        <f>IF(N26="已下單",O26*P26,0)</f>
        <v/>
      </c>
      <c r="R26" s="13">
        <f>R25+Q26</f>
        <v/>
      </c>
      <c r="S26" s="19">
        <f>S25-IF(N26="已下單",M26,0)</f>
        <v/>
      </c>
      <c r="T26" s="19">
        <f>R26-S26</f>
        <v/>
      </c>
      <c r="U26" s="2">
        <f>U25-IF(N26="已下單",1,0)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46274.08333333334</v>
      </c>
      <c r="C27" s="2" t="inlineStr">
        <is>
          <t>進場</t>
        </is>
      </c>
      <c r="D27" s="2" t="n">
        <v>13</v>
      </c>
      <c r="E27" s="2" t="inlineStr">
        <is>
          <t>UAI_USDT_PERP</t>
        </is>
      </c>
      <c r="F27" s="2" t="inlineStr">
        <is>
          <t>做多</t>
        </is>
      </c>
      <c r="G27" s="20" t="n">
        <v>0.7446</v>
      </c>
      <c r="H27" s="20" t="n">
        <v>0.766938</v>
      </c>
      <c r="I27" s="20" t="n">
        <v>0.7073700000000001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46274.20833333334</v>
      </c>
      <c r="C28" s="2" t="inlineStr">
        <is>
          <t>出場</t>
        </is>
      </c>
      <c r="D28" s="2" t="n">
        <v>13</v>
      </c>
      <c r="E28" s="2" t="inlineStr">
        <is>
          <t>UAI_USDT_PERP</t>
        </is>
      </c>
      <c r="F28" s="2" t="inlineStr">
        <is>
          <t>做多</t>
        </is>
      </c>
      <c r="G28" s="20" t="n">
        <v>0.7446</v>
      </c>
      <c r="H28" s="20" t="n">
        <v>0.766938</v>
      </c>
      <c r="I28" s="20" t="n">
        <v>0.7073700000000001</v>
      </c>
      <c r="J28" s="20" t="n">
        <v>0.7073700000000001</v>
      </c>
      <c r="K28" s="2" t="inlineStr">
        <is>
          <t>止損</t>
        </is>
      </c>
      <c r="L28" s="5">
        <f>交易明細!K14</f>
        <v/>
      </c>
      <c r="M28" s="19">
        <f>M27</f>
        <v/>
      </c>
      <c r="N28" s="2">
        <f>N27</f>
        <v/>
      </c>
      <c r="O28" s="19">
        <f>O27</f>
        <v/>
      </c>
      <c r="P28" s="4">
        <f>交易明細!L14</f>
        <v/>
      </c>
      <c r="Q28" s="13">
        <f>IF(N28="已下單",O28*P28,0)</f>
        <v/>
      </c>
      <c r="R28" s="13">
        <f>R27+Q28</f>
        <v/>
      </c>
      <c r="S28" s="19">
        <f>S27-IF(N28="已下單",M28,0)</f>
        <v/>
      </c>
      <c r="T28" s="19">
        <f>R28-S28</f>
        <v/>
      </c>
      <c r="U28" s="2">
        <f>U27-IF(N28="已下單",1,0)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46274.54166666666</v>
      </c>
      <c r="C29" s="2" t="inlineStr">
        <is>
          <t>進場</t>
        </is>
      </c>
      <c r="D29" s="2" t="n">
        <v>14</v>
      </c>
      <c r="E29" s="2" t="inlineStr">
        <is>
          <t>PONS_USDT_PERP</t>
        </is>
      </c>
      <c r="F29" s="2" t="inlineStr">
        <is>
          <t>做多</t>
        </is>
      </c>
      <c r="G29" s="20" t="n">
        <v>0.8091</v>
      </c>
      <c r="H29" s="20" t="n">
        <v>0.833373</v>
      </c>
      <c r="I29" s="20" t="n">
        <v>0.768645</v>
      </c>
      <c r="J29" s="20" t="n"/>
      <c r="K29" s="2" t="n"/>
      <c r="L29" s="5" t="n"/>
      <c r="M29" s="19">
        <f>資金模擬!$B$5*V28</f>
        <v/>
      </c>
      <c r="N29" s="2">
        <f>IF(Z28=1,"已停止",IF(T28&gt;=M29,"已下單","資金不足略過"))</f>
        <v/>
      </c>
      <c r="O29" s="19">
        <f>IF(N29="已下單",M29*資金模擬!$B$7,0)</f>
        <v/>
      </c>
      <c r="P29" s="4" t="n"/>
      <c r="Q29" s="13" t="n">
        <v>0</v>
      </c>
      <c r="R29" s="13">
        <f>R28+Q29</f>
        <v/>
      </c>
      <c r="S29" s="19">
        <f>S28+IF(N29="已下單",M29,0)</f>
        <v/>
      </c>
      <c r="T29" s="19">
        <f>R29-S29</f>
        <v/>
      </c>
      <c r="U29" s="2">
        <f>U28+IF(N29="已下單",1,0)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46274.70833333334</v>
      </c>
      <c r="C30" s="2" t="inlineStr">
        <is>
          <t>出場</t>
        </is>
      </c>
      <c r="D30" s="2" t="n">
        <v>14</v>
      </c>
      <c r="E30" s="2" t="inlineStr">
        <is>
          <t>PONS_USDT_PERP</t>
        </is>
      </c>
      <c r="F30" s="2" t="inlineStr">
        <is>
          <t>做多</t>
        </is>
      </c>
      <c r="G30" s="20" t="n">
        <v>0.8091</v>
      </c>
      <c r="H30" s="20" t="n">
        <v>0.833373</v>
      </c>
      <c r="I30" s="20" t="n">
        <v>0.768645</v>
      </c>
      <c r="J30" s="20" t="n">
        <v>0.833373</v>
      </c>
      <c r="K30" s="2" t="inlineStr">
        <is>
          <t>止盈</t>
        </is>
      </c>
      <c r="L30" s="5">
        <f>交易明細!K15</f>
        <v/>
      </c>
      <c r="M30" s="19">
        <f>M29</f>
        <v/>
      </c>
      <c r="N30" s="2">
        <f>N29</f>
        <v/>
      </c>
      <c r="O30" s="19">
        <f>O29</f>
        <v/>
      </c>
      <c r="P30" s="4">
        <f>交易明細!L15</f>
        <v/>
      </c>
      <c r="Q30" s="13">
        <f>IF(N30="已下單",O30*P30,0)</f>
        <v/>
      </c>
      <c r="R30" s="13">
        <f>R29+Q30</f>
        <v/>
      </c>
      <c r="S30" s="19">
        <f>S29-IF(N30="已下單",M30,0)</f>
        <v/>
      </c>
      <c r="T30" s="19">
        <f>R30-S30</f>
        <v/>
      </c>
      <c r="U30" s="2">
        <f>U29-IF(N30="已下單",1,0)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46274.875</v>
      </c>
      <c r="C31" s="2" t="inlineStr">
        <is>
          <t>進場</t>
        </is>
      </c>
      <c r="D31" s="2" t="n">
        <v>15</v>
      </c>
      <c r="E31" s="2" t="inlineStr">
        <is>
          <t>PONS_USDT_PERP</t>
        </is>
      </c>
      <c r="F31" s="2" t="inlineStr">
        <is>
          <t>做多</t>
        </is>
      </c>
      <c r="G31" s="20" t="n">
        <v>0.8066</v>
      </c>
      <c r="H31" s="20" t="n">
        <v>0.830798</v>
      </c>
      <c r="I31" s="20" t="n">
        <v>0.7662699999999999</v>
      </c>
      <c r="J31" s="20" t="n"/>
      <c r="K31" s="2" t="n"/>
      <c r="L31" s="5" t="n"/>
      <c r="M31" s="19">
        <f>資金模擬!$B$5*V30</f>
        <v/>
      </c>
      <c r="N31" s="2">
        <f>IF(Z30=1,"已停止",IF(T30&gt;=M31,"已下單","資金不足略過"))</f>
        <v/>
      </c>
      <c r="O31" s="19">
        <f>IF(N31="已下單",M31*資金模擬!$B$7,0)</f>
        <v/>
      </c>
      <c r="P31" s="4" t="n"/>
      <c r="Q31" s="13" t="n">
        <v>0</v>
      </c>
      <c r="R31" s="13">
        <f>R30+Q31</f>
        <v/>
      </c>
      <c r="S31" s="19">
        <f>S30+IF(N31="已下單",M31,0)</f>
        <v/>
      </c>
      <c r="T31" s="19">
        <f>R31-S31</f>
        <v/>
      </c>
      <c r="U31" s="2">
        <f>U30+IF(N31="已下單",1,0)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46274.95833333334</v>
      </c>
      <c r="C32" s="2" t="inlineStr">
        <is>
          <t>出場</t>
        </is>
      </c>
      <c r="D32" s="2" t="n">
        <v>15</v>
      </c>
      <c r="E32" s="2" t="inlineStr">
        <is>
          <t>PONS_USDT_PERP</t>
        </is>
      </c>
      <c r="F32" s="2" t="inlineStr">
        <is>
          <t>做多</t>
        </is>
      </c>
      <c r="G32" s="20" t="n">
        <v>0.8066</v>
      </c>
      <c r="H32" s="20" t="n">
        <v>0.830798</v>
      </c>
      <c r="I32" s="20" t="n">
        <v>0.7662699999999999</v>
      </c>
      <c r="J32" s="20" t="n">
        <v>0.7662699999999999</v>
      </c>
      <c r="K32" s="2" t="inlineStr">
        <is>
          <t>止損</t>
        </is>
      </c>
      <c r="L32" s="5">
        <f>交易明細!K16</f>
        <v/>
      </c>
      <c r="M32" s="19">
        <f>M31</f>
        <v/>
      </c>
      <c r="N32" s="2">
        <f>N31</f>
        <v/>
      </c>
      <c r="O32" s="19">
        <f>O31</f>
        <v/>
      </c>
      <c r="P32" s="4">
        <f>交易明細!L16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46275.04166666666</v>
      </c>
      <c r="C33" s="2" t="inlineStr">
        <is>
          <t>進場</t>
        </is>
      </c>
      <c r="D33" s="2" t="n">
        <v>16</v>
      </c>
      <c r="E33" s="2" t="inlineStr">
        <is>
          <t>AKE_USDT_PERP</t>
        </is>
      </c>
      <c r="F33" s="2" t="inlineStr">
        <is>
          <t>做空</t>
        </is>
      </c>
      <c r="G33" s="20" t="n">
        <v>0.0151607</v>
      </c>
      <c r="H33" s="20" t="n">
        <v>0.014705879</v>
      </c>
      <c r="I33" s="20" t="n">
        <v>0.015918735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46275.08333333334</v>
      </c>
      <c r="C34" s="2" t="inlineStr">
        <is>
          <t>進場</t>
        </is>
      </c>
      <c r="D34" s="2" t="n">
        <v>17</v>
      </c>
      <c r="E34" s="2" t="inlineStr">
        <is>
          <t>RAY_USDT_PERP</t>
        </is>
      </c>
      <c r="F34" s="2" t="inlineStr">
        <is>
          <t>做多</t>
        </is>
      </c>
      <c r="G34" s="20" t="n">
        <v>1.365</v>
      </c>
      <c r="H34" s="20" t="n">
        <v>1.40595</v>
      </c>
      <c r="I34" s="20" t="n">
        <v>1.29675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46275.16666666666</v>
      </c>
      <c r="C35" s="2" t="inlineStr">
        <is>
          <t>出場</t>
        </is>
      </c>
      <c r="D35" s="2" t="n">
        <v>17</v>
      </c>
      <c r="E35" s="2" t="inlineStr">
        <is>
          <t>RAY_USDT_PERP</t>
        </is>
      </c>
      <c r="F35" s="2" t="inlineStr">
        <is>
          <t>做多</t>
        </is>
      </c>
      <c r="G35" s="20" t="n">
        <v>1.365</v>
      </c>
      <c r="H35" s="20" t="n">
        <v>1.40595</v>
      </c>
      <c r="I35" s="20" t="n">
        <v>1.29675</v>
      </c>
      <c r="J35" s="20" t="n">
        <v>1.29675</v>
      </c>
      <c r="K35" s="2" t="inlineStr">
        <is>
          <t>止損</t>
        </is>
      </c>
      <c r="L35" s="5">
        <f>交易明細!K18</f>
        <v/>
      </c>
      <c r="M35" s="19">
        <f>M34</f>
        <v/>
      </c>
      <c r="N35" s="2">
        <f>N34</f>
        <v/>
      </c>
      <c r="O35" s="19">
        <f>O34</f>
        <v/>
      </c>
      <c r="P35" s="4">
        <f>交易明細!L18</f>
        <v/>
      </c>
      <c r="Q35" s="13">
        <f>IF(N35="已下單",O35*P35,0)</f>
        <v/>
      </c>
      <c r="R35" s="13">
        <f>R34+Q35</f>
        <v/>
      </c>
      <c r="S35" s="19">
        <f>S34-IF(N35="已下單",M35,0)</f>
        <v/>
      </c>
      <c r="T35" s="19">
        <f>R35-S35</f>
        <v/>
      </c>
      <c r="U35" s="2">
        <f>U34-IF(N35="已下單",1,0)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46275.29166666666</v>
      </c>
      <c r="C36" s="2" t="inlineStr">
        <is>
          <t>出場</t>
        </is>
      </c>
      <c r="D36" s="2" t="n">
        <v>16</v>
      </c>
      <c r="E36" s="2" t="inlineStr">
        <is>
          <t>AKE_USDT_PERP</t>
        </is>
      </c>
      <c r="F36" s="2" t="inlineStr">
        <is>
          <t>做空</t>
        </is>
      </c>
      <c r="G36" s="20" t="n">
        <v>0.0151607</v>
      </c>
      <c r="H36" s="20" t="n">
        <v>0.014705879</v>
      </c>
      <c r="I36" s="20" t="n">
        <v>0.015918735</v>
      </c>
      <c r="J36" s="20" t="n">
        <v>0.014705879</v>
      </c>
      <c r="K36" s="2" t="inlineStr">
        <is>
          <t>止盈</t>
        </is>
      </c>
      <c r="L36" s="5">
        <f>交易明細!K17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交易明細!L17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46275.54166666666</v>
      </c>
      <c r="C37" s="2" t="inlineStr">
        <is>
          <t>進場</t>
        </is>
      </c>
      <c r="D37" s="2" t="n">
        <v>18</v>
      </c>
      <c r="E37" s="2" t="inlineStr">
        <is>
          <t>RAY_USDT_PERP</t>
        </is>
      </c>
      <c r="F37" s="2" t="inlineStr">
        <is>
          <t>做多</t>
        </is>
      </c>
      <c r="G37" s="20" t="n">
        <v>1.33</v>
      </c>
      <c r="H37" s="20" t="n">
        <v>1.3699</v>
      </c>
      <c r="I37" s="20" t="n">
        <v>1.2635</v>
      </c>
      <c r="J37" s="20" t="n"/>
      <c r="K37" s="2" t="n"/>
      <c r="L37" s="5" t="n"/>
      <c r="M37" s="19">
        <f>資金模擬!$B$5*V36</f>
        <v/>
      </c>
      <c r="N37" s="2">
        <f>IF(Z36=1,"已停止",IF(T36&gt;=M37,"已下單","資金不足略過"))</f>
        <v/>
      </c>
      <c r="O37" s="19">
        <f>IF(N37="已下單",M37*資金模擬!$B$7,0)</f>
        <v/>
      </c>
      <c r="P37" s="4" t="n"/>
      <c r="Q37" s="13" t="n">
        <v>0</v>
      </c>
      <c r="R37" s="13">
        <f>R36+Q37</f>
        <v/>
      </c>
      <c r="S37" s="19">
        <f>S36+IF(N37="已下單",M37,0)</f>
        <v/>
      </c>
      <c r="T37" s="19">
        <f>R37-S37</f>
        <v/>
      </c>
      <c r="U37" s="2">
        <f>U36+IF(N37="已下單",1,0)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46275.58333333334</v>
      </c>
      <c r="C38" s="2" t="inlineStr">
        <is>
          <t>出場</t>
        </is>
      </c>
      <c r="D38" s="2" t="n">
        <v>18</v>
      </c>
      <c r="E38" s="2" t="inlineStr">
        <is>
          <t>RAY_USDT_PERP</t>
        </is>
      </c>
      <c r="F38" s="2" t="inlineStr">
        <is>
          <t>做多</t>
        </is>
      </c>
      <c r="G38" s="20" t="n">
        <v>1.33</v>
      </c>
      <c r="H38" s="20" t="n">
        <v>1.3699</v>
      </c>
      <c r="I38" s="20" t="n">
        <v>1.2635</v>
      </c>
      <c r="J38" s="20" t="n">
        <v>1.3699</v>
      </c>
      <c r="K38" s="2" t="inlineStr">
        <is>
          <t>止盈</t>
        </is>
      </c>
      <c r="L38" s="5">
        <f>交易明細!K19</f>
        <v/>
      </c>
      <c r="M38" s="19">
        <f>M37</f>
        <v/>
      </c>
      <c r="N38" s="2">
        <f>N37</f>
        <v/>
      </c>
      <c r="O38" s="19">
        <f>O37</f>
        <v/>
      </c>
      <c r="P38" s="4">
        <f>交易明細!L19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46275.875</v>
      </c>
      <c r="C39" s="2" t="inlineStr">
        <is>
          <t>進場</t>
        </is>
      </c>
      <c r="D39" s="2" t="n">
        <v>19</v>
      </c>
      <c r="E39" s="2" t="inlineStr">
        <is>
          <t>RAY_USDT_PERP</t>
        </is>
      </c>
      <c r="F39" s="2" t="inlineStr">
        <is>
          <t>做空</t>
        </is>
      </c>
      <c r="G39" s="20" t="n">
        <v>1.286</v>
      </c>
      <c r="H39" s="20" t="n">
        <v>1.24742</v>
      </c>
      <c r="I39" s="20" t="n">
        <v>1.3503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46275.875</v>
      </c>
      <c r="C40" s="2" t="inlineStr">
        <is>
          <t>進場</t>
        </is>
      </c>
      <c r="D40" s="2" t="n">
        <v>20</v>
      </c>
      <c r="E40" s="2" t="inlineStr">
        <is>
          <t>VVV_USDT_PERP</t>
        </is>
      </c>
      <c r="F40" s="2" t="inlineStr">
        <is>
          <t>做空</t>
        </is>
      </c>
      <c r="G40" s="20" t="n">
        <v>23.292</v>
      </c>
      <c r="H40" s="20" t="n">
        <v>22.59324</v>
      </c>
      <c r="I40" s="20" t="n">
        <v>24.4566</v>
      </c>
      <c r="J40" s="20" t="n"/>
      <c r="K40" s="2" t="n"/>
      <c r="L40" s="5" t="n"/>
      <c r="M40" s="19">
        <f>資金模擬!$B$5*V39</f>
        <v/>
      </c>
      <c r="N40" s="2">
        <f>IF(Z39=1,"已停止",IF(T39&gt;=M40,"已下單","資金不足略過"))</f>
        <v/>
      </c>
      <c r="O40" s="19">
        <f>IF(N40="已下單",M40*資金模擬!$B$7,0)</f>
        <v/>
      </c>
      <c r="P40" s="4" t="n"/>
      <c r="Q40" s="13" t="n">
        <v>0</v>
      </c>
      <c r="R40" s="13">
        <f>R39+Q40</f>
        <v/>
      </c>
      <c r="S40" s="19">
        <f>S39+IF(N40="已下單",M40,0)</f>
        <v/>
      </c>
      <c r="T40" s="19">
        <f>R40-S40</f>
        <v/>
      </c>
      <c r="U40" s="2">
        <f>U39+IF(N40="已下單",1,0)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46275.91666666666</v>
      </c>
      <c r="C41" s="2" t="inlineStr">
        <is>
          <t>出場</t>
        </is>
      </c>
      <c r="D41" s="2" t="n">
        <v>20</v>
      </c>
      <c r="E41" s="2" t="inlineStr">
        <is>
          <t>VVV_USDT_PERP</t>
        </is>
      </c>
      <c r="F41" s="2" t="inlineStr">
        <is>
          <t>做空</t>
        </is>
      </c>
      <c r="G41" s="20" t="n">
        <v>23.292</v>
      </c>
      <c r="H41" s="20" t="n">
        <v>22.59324</v>
      </c>
      <c r="I41" s="20" t="n">
        <v>24.4566</v>
      </c>
      <c r="J41" s="20" t="n">
        <v>24.4566</v>
      </c>
      <c r="K41" s="2" t="inlineStr">
        <is>
          <t>止損</t>
        </is>
      </c>
      <c r="L41" s="5">
        <f>交易明細!K21</f>
        <v/>
      </c>
      <c r="M41" s="19">
        <f>M40</f>
        <v/>
      </c>
      <c r="N41" s="2">
        <f>N40</f>
        <v/>
      </c>
      <c r="O41" s="19">
        <f>O40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46276.08333333334</v>
      </c>
      <c r="C42" s="2" t="inlineStr">
        <is>
          <t>進場</t>
        </is>
      </c>
      <c r="D42" s="2" t="n">
        <v>21</v>
      </c>
      <c r="E42" s="2" t="inlineStr">
        <is>
          <t>VVV_USDT_PERP</t>
        </is>
      </c>
      <c r="F42" s="2" t="inlineStr">
        <is>
          <t>做多</t>
        </is>
      </c>
      <c r="G42" s="20" t="n">
        <v>25.016</v>
      </c>
      <c r="H42" s="20" t="n">
        <v>25.76648</v>
      </c>
      <c r="I42" s="20" t="n">
        <v>23.7652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46276.16666666666</v>
      </c>
      <c r="C43" s="2" t="inlineStr">
        <is>
          <t>出場</t>
        </is>
      </c>
      <c r="D43" s="2" t="n">
        <v>19</v>
      </c>
      <c r="E43" s="2" t="inlineStr">
        <is>
          <t>RAY_USDT_PERP</t>
        </is>
      </c>
      <c r="F43" s="2" t="inlineStr">
        <is>
          <t>做空</t>
        </is>
      </c>
      <c r="G43" s="20" t="n">
        <v>1.286</v>
      </c>
      <c r="H43" s="20" t="n">
        <v>1.24742</v>
      </c>
      <c r="I43" s="20" t="n">
        <v>1.3503</v>
      </c>
      <c r="J43" s="20" t="n">
        <v>1.3503</v>
      </c>
      <c r="K43" s="2" t="inlineStr">
        <is>
          <t>止損</t>
        </is>
      </c>
      <c r="L43" s="5">
        <f>交易明細!K20</f>
        <v/>
      </c>
      <c r="M43" s="19">
        <f>M39</f>
        <v/>
      </c>
      <c r="N43" s="2">
        <f>N39</f>
        <v/>
      </c>
      <c r="O43" s="19">
        <f>O39</f>
        <v/>
      </c>
      <c r="P43" s="4">
        <f>交易明細!L20</f>
        <v/>
      </c>
      <c r="Q43" s="13">
        <f>IF(N43="已下單",O43*P43,0)</f>
        <v/>
      </c>
      <c r="R43" s="13">
        <f>R42+Q43</f>
        <v/>
      </c>
      <c r="S43" s="19">
        <f>S42-IF(N43="已下單",M43,0)</f>
        <v/>
      </c>
      <c r="T43" s="19">
        <f>R43-S43</f>
        <v/>
      </c>
      <c r="U43" s="2">
        <f>U42-IF(N43="已下單",1,0)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46276.375</v>
      </c>
      <c r="C44" s="2" t="inlineStr">
        <is>
          <t>出場</t>
        </is>
      </c>
      <c r="D44" s="2" t="n">
        <v>21</v>
      </c>
      <c r="E44" s="2" t="inlineStr">
        <is>
          <t>VVV_USDT_PERP</t>
        </is>
      </c>
      <c r="F44" s="2" t="inlineStr">
        <is>
          <t>做多</t>
        </is>
      </c>
      <c r="G44" s="20" t="n">
        <v>25.016</v>
      </c>
      <c r="H44" s="20" t="n">
        <v>25.76648</v>
      </c>
      <c r="I44" s="20" t="n">
        <v>23.7652</v>
      </c>
      <c r="J44" s="20" t="n">
        <v>23.7652</v>
      </c>
      <c r="K44" s="2" t="inlineStr">
        <is>
          <t>止損</t>
        </is>
      </c>
      <c r="L44" s="5">
        <f>交易明細!K22</f>
        <v/>
      </c>
      <c r="M44" s="19">
        <f>M42</f>
        <v/>
      </c>
      <c r="N44" s="2">
        <f>N42</f>
        <v/>
      </c>
      <c r="O44" s="19">
        <f>O42</f>
        <v/>
      </c>
      <c r="P44" s="4">
        <f>交易明細!L22</f>
        <v/>
      </c>
      <c r="Q44" s="13">
        <f>IF(N44="已下單",O44*P44,0)</f>
        <v/>
      </c>
      <c r="R44" s="13">
        <f>R43+Q44</f>
        <v/>
      </c>
      <c r="S44" s="19">
        <f>S43-IF(N44="已下單",M44,0)</f>
        <v/>
      </c>
      <c r="T44" s="19">
        <f>R44-S44</f>
        <v/>
      </c>
      <c r="U44" s="2">
        <f>U43-IF(N44="已下單",1,0)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46276.45833333334</v>
      </c>
      <c r="C45" s="2" t="inlineStr">
        <is>
          <t>進場</t>
        </is>
      </c>
      <c r="D45" s="2" t="n">
        <v>22</v>
      </c>
      <c r="E45" s="2" t="inlineStr">
        <is>
          <t>BULLA_USDT_PERP</t>
        </is>
      </c>
      <c r="F45" s="2" t="inlineStr">
        <is>
          <t>做空</t>
        </is>
      </c>
      <c r="G45" s="20" t="n">
        <v>0.07525999999999999</v>
      </c>
      <c r="H45" s="20" t="n">
        <v>0.07300219999999999</v>
      </c>
      <c r="I45" s="20" t="n">
        <v>0.079023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46276.45833333334</v>
      </c>
      <c r="C46" s="2" t="inlineStr">
        <is>
          <t>進場</t>
        </is>
      </c>
      <c r="D46" s="2" t="n">
        <v>23</v>
      </c>
      <c r="E46" s="2" t="inlineStr">
        <is>
          <t>VVV_USDT_PERP</t>
        </is>
      </c>
      <c r="F46" s="2" t="inlineStr">
        <is>
          <t>做空</t>
        </is>
      </c>
      <c r="G46" s="20" t="n">
        <v>23.446</v>
      </c>
      <c r="H46" s="20" t="n">
        <v>22.74262</v>
      </c>
      <c r="I46" s="20" t="n">
        <v>24.6183</v>
      </c>
      <c r="J46" s="20" t="n"/>
      <c r="K46" s="2" t="n"/>
      <c r="L46" s="5" t="n"/>
      <c r="M46" s="19">
        <f>資金模擬!$B$5*V45</f>
        <v/>
      </c>
      <c r="N46" s="2">
        <f>IF(Z45=1,"已停止",IF(T45&gt;=M46,"已下單","資金不足略過"))</f>
        <v/>
      </c>
      <c r="O46" s="19">
        <f>IF(N46="已下單",M46*資金模擬!$B$7,0)</f>
        <v/>
      </c>
      <c r="P46" s="4" t="n"/>
      <c r="Q46" s="13" t="n">
        <v>0</v>
      </c>
      <c r="R46" s="13">
        <f>R45+Q46</f>
        <v/>
      </c>
      <c r="S46" s="19">
        <f>S45+IF(N46="已下單",M46,0)</f>
        <v/>
      </c>
      <c r="T46" s="19">
        <f>R46-S46</f>
        <v/>
      </c>
      <c r="U46" s="2">
        <f>U45+IF(N46="已下單",1,0)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46276.54166666666</v>
      </c>
      <c r="C47" s="2" t="inlineStr">
        <is>
          <t>出場</t>
        </is>
      </c>
      <c r="D47" s="2" t="n">
        <v>22</v>
      </c>
      <c r="E47" s="2" t="inlineStr">
        <is>
          <t>BULLA_USDT_PERP</t>
        </is>
      </c>
      <c r="F47" s="2" t="inlineStr">
        <is>
          <t>做空</t>
        </is>
      </c>
      <c r="G47" s="20" t="n">
        <v>0.07525999999999999</v>
      </c>
      <c r="H47" s="20" t="n">
        <v>0.07300219999999999</v>
      </c>
      <c r="I47" s="20" t="n">
        <v>0.079023</v>
      </c>
      <c r="J47" s="20" t="n">
        <v>0.079023</v>
      </c>
      <c r="K47" s="2" t="inlineStr">
        <is>
          <t>止損</t>
        </is>
      </c>
      <c r="L47" s="5">
        <f>交易明細!K23</f>
        <v/>
      </c>
      <c r="M47" s="19">
        <f>M45</f>
        <v/>
      </c>
      <c r="N47" s="2">
        <f>N45</f>
        <v/>
      </c>
      <c r="O47" s="19">
        <f>O45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46276.58333333334</v>
      </c>
      <c r="C48" s="2" t="inlineStr">
        <is>
          <t>出場</t>
        </is>
      </c>
      <c r="D48" s="2" t="n">
        <v>23</v>
      </c>
      <c r="E48" s="2" t="inlineStr">
        <is>
          <t>VVV_USDT_PERP</t>
        </is>
      </c>
      <c r="F48" s="2" t="inlineStr">
        <is>
          <t>做空</t>
        </is>
      </c>
      <c r="G48" s="20" t="n">
        <v>23.446</v>
      </c>
      <c r="H48" s="20" t="n">
        <v>22.74262</v>
      </c>
      <c r="I48" s="20" t="n">
        <v>24.6183</v>
      </c>
      <c r="J48" s="20" t="n">
        <v>24.6183</v>
      </c>
      <c r="K48" s="2" t="inlineStr">
        <is>
          <t>止損</t>
        </is>
      </c>
      <c r="L48" s="5">
        <f>交易明細!K24</f>
        <v/>
      </c>
      <c r="M48" s="19">
        <f>M46</f>
        <v/>
      </c>
      <c r="N48" s="2">
        <f>N46</f>
        <v/>
      </c>
      <c r="O48" s="19">
        <f>O46</f>
        <v/>
      </c>
      <c r="P48" s="4">
        <f>交易明細!L24</f>
        <v/>
      </c>
      <c r="Q48" s="13">
        <f>IF(N48="已下單",O48*P48,0)</f>
        <v/>
      </c>
      <c r="R48" s="13">
        <f>R47+Q48</f>
        <v/>
      </c>
      <c r="S48" s="19">
        <f>S47-IF(N48="已下單",M48,0)</f>
        <v/>
      </c>
      <c r="T48" s="19">
        <f>R48-S48</f>
        <v/>
      </c>
      <c r="U48" s="2">
        <f>U47-IF(N48="已下單",1,0)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46277.41666666666</v>
      </c>
      <c r="C49" s="2" t="inlineStr">
        <is>
          <t>進場</t>
        </is>
      </c>
      <c r="D49" s="2" t="n">
        <v>24</v>
      </c>
      <c r="E49" s="2" t="inlineStr">
        <is>
          <t>RAY_USDT_PERP</t>
        </is>
      </c>
      <c r="F49" s="2" t="inlineStr">
        <is>
          <t>做多</t>
        </is>
      </c>
      <c r="G49" s="20" t="n">
        <v>1.716</v>
      </c>
      <c r="H49" s="20" t="n">
        <v>1.76748</v>
      </c>
      <c r="I49" s="20" t="n">
        <v>1.6302</v>
      </c>
      <c r="J49" s="20" t="n"/>
      <c r="K49" s="2" t="n"/>
      <c r="L49" s="5" t="n"/>
      <c r="M49" s="19">
        <f>資金模擬!$B$5*V48</f>
        <v/>
      </c>
      <c r="N49" s="2">
        <f>IF(Z48=1,"已停止",IF(T48&gt;=M49,"已下單","資金不足略過"))</f>
        <v/>
      </c>
      <c r="O49" s="19">
        <f>IF(N49="已下單",M49*資金模擬!$B$7,0)</f>
        <v/>
      </c>
      <c r="P49" s="4" t="n"/>
      <c r="Q49" s="13" t="n">
        <v>0</v>
      </c>
      <c r="R49" s="13">
        <f>R48+Q49</f>
        <v/>
      </c>
      <c r="S49" s="19">
        <f>S48+IF(N49="已下單",M49,0)</f>
        <v/>
      </c>
      <c r="T49" s="19">
        <f>R49-S49</f>
        <v/>
      </c>
      <c r="U49" s="2">
        <f>U48+IF(N49="已下單",1,0)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46277.5</v>
      </c>
      <c r="C50" s="2" t="inlineStr">
        <is>
          <t>出場</t>
        </is>
      </c>
      <c r="D50" s="2" t="n">
        <v>24</v>
      </c>
      <c r="E50" s="2" t="inlineStr">
        <is>
          <t>RAY_USDT_PERP</t>
        </is>
      </c>
      <c r="F50" s="2" t="inlineStr">
        <is>
          <t>做多</t>
        </is>
      </c>
      <c r="G50" s="20" t="n">
        <v>1.716</v>
      </c>
      <c r="H50" s="20" t="n">
        <v>1.76748</v>
      </c>
      <c r="I50" s="20" t="n">
        <v>1.6302</v>
      </c>
      <c r="J50" s="20" t="n">
        <v>1.6302</v>
      </c>
      <c r="K50" s="2" t="inlineStr">
        <is>
          <t>止損</t>
        </is>
      </c>
      <c r="L50" s="5">
        <f>交易明細!K25</f>
        <v/>
      </c>
      <c r="M50" s="19">
        <f>M49</f>
        <v/>
      </c>
      <c r="N50" s="2">
        <f>N49</f>
        <v/>
      </c>
      <c r="O50" s="19">
        <f>O49</f>
        <v/>
      </c>
      <c r="P50" s="4">
        <f>交易明細!L25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46277.625</v>
      </c>
      <c r="C51" s="2" t="inlineStr">
        <is>
          <t>進場</t>
        </is>
      </c>
      <c r="D51" s="2" t="n">
        <v>25</v>
      </c>
      <c r="E51" s="2" t="inlineStr">
        <is>
          <t>UAI_USDT_PERP</t>
        </is>
      </c>
      <c r="F51" s="2" t="inlineStr">
        <is>
          <t>做多</t>
        </is>
      </c>
      <c r="G51" s="20" t="n">
        <v>0.6982</v>
      </c>
      <c r="H51" s="20" t="n">
        <v>0.7191460000000001</v>
      </c>
      <c r="I51" s="20" t="n">
        <v>0.66329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46277.66666666666</v>
      </c>
      <c r="C52" s="2" t="inlineStr">
        <is>
          <t>出場</t>
        </is>
      </c>
      <c r="D52" s="2" t="n">
        <v>25</v>
      </c>
      <c r="E52" s="2" t="inlineStr">
        <is>
          <t>UAI_USDT_PERP</t>
        </is>
      </c>
      <c r="F52" s="2" t="inlineStr">
        <is>
          <t>做多</t>
        </is>
      </c>
      <c r="G52" s="20" t="n">
        <v>0.6982</v>
      </c>
      <c r="H52" s="20" t="n">
        <v>0.7191460000000001</v>
      </c>
      <c r="I52" s="20" t="n">
        <v>0.66329</v>
      </c>
      <c r="J52" s="20" t="n">
        <v>0.7191460000000001</v>
      </c>
      <c r="K52" s="2" t="inlineStr">
        <is>
          <t>止盈</t>
        </is>
      </c>
      <c r="L52" s="5">
        <f>交易明細!K26</f>
        <v/>
      </c>
      <c r="M52" s="19">
        <f>M51</f>
        <v/>
      </c>
      <c r="N52" s="2">
        <f>N51</f>
        <v/>
      </c>
      <c r="O52" s="19">
        <f>O51</f>
        <v/>
      </c>
      <c r="P52" s="4">
        <f>交易明細!L26</f>
        <v/>
      </c>
      <c r="Q52" s="13">
        <f>IF(N52="已下單",O52*P52,0)</f>
        <v/>
      </c>
      <c r="R52" s="13">
        <f>R51+Q52</f>
        <v/>
      </c>
      <c r="S52" s="19">
        <f>S51-IF(N52="已下單",M52,0)</f>
        <v/>
      </c>
      <c r="T52" s="19">
        <f>R52-S52</f>
        <v/>
      </c>
      <c r="U52" s="2">
        <f>U51-IF(N52="已下單",1,0)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46278.08333333334</v>
      </c>
      <c r="C53" s="2" t="inlineStr">
        <is>
          <t>進場</t>
        </is>
      </c>
      <c r="D53" s="2" t="n">
        <v>26</v>
      </c>
      <c r="E53" s="2" t="inlineStr">
        <is>
          <t>RIVER_USDT_PERP</t>
        </is>
      </c>
      <c r="F53" s="2" t="inlineStr">
        <is>
          <t>做多</t>
        </is>
      </c>
      <c r="G53" s="20" t="n">
        <v>1.412</v>
      </c>
      <c r="H53" s="20" t="n">
        <v>1.45436</v>
      </c>
      <c r="I53" s="20" t="n">
        <v>1.3414</v>
      </c>
      <c r="J53" s="20" t="n"/>
      <c r="K53" s="2" t="n"/>
      <c r="L53" s="5" t="n"/>
      <c r="M53" s="19">
        <f>資金模擬!$B$5*V52</f>
        <v/>
      </c>
      <c r="N53" s="2">
        <f>IF(Z52=1,"已停止",IF(T52&gt;=M53,"已下單","資金不足略過"))</f>
        <v/>
      </c>
      <c r="O53" s="19">
        <f>IF(N53="已下單",M53*資金模擬!$B$7,0)</f>
        <v/>
      </c>
      <c r="P53" s="4" t="n"/>
      <c r="Q53" s="13" t="n">
        <v>0</v>
      </c>
      <c r="R53" s="13">
        <f>R52+Q53</f>
        <v/>
      </c>
      <c r="S53" s="19">
        <f>S52+IF(N53="已下單",M53,0)</f>
        <v/>
      </c>
      <c r="T53" s="19">
        <f>R53-S53</f>
        <v/>
      </c>
      <c r="U53" s="2">
        <f>U52+IF(N53="已下單",1,0)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46278.125</v>
      </c>
      <c r="C54" s="2" t="inlineStr">
        <is>
          <t>出場</t>
        </is>
      </c>
      <c r="D54" s="2" t="n">
        <v>26</v>
      </c>
      <c r="E54" s="2" t="inlineStr">
        <is>
          <t>RIVER_USDT_PERP</t>
        </is>
      </c>
      <c r="F54" s="2" t="inlineStr">
        <is>
          <t>做多</t>
        </is>
      </c>
      <c r="G54" s="20" t="n">
        <v>1.412</v>
      </c>
      <c r="H54" s="20" t="n">
        <v>1.45436</v>
      </c>
      <c r="I54" s="20" t="n">
        <v>1.3414</v>
      </c>
      <c r="J54" s="20" t="n">
        <v>1.45436</v>
      </c>
      <c r="K54" s="2" t="inlineStr">
        <is>
          <t>止盈</t>
        </is>
      </c>
      <c r="L54" s="5">
        <f>交易明細!K27</f>
        <v/>
      </c>
      <c r="M54" s="19">
        <f>M53</f>
        <v/>
      </c>
      <c r="N54" s="2">
        <f>N53</f>
        <v/>
      </c>
      <c r="O54" s="19">
        <f>O53</f>
        <v/>
      </c>
      <c r="P54" s="4">
        <f>交易明細!L27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46278.5</v>
      </c>
      <c r="C55" s="2" t="inlineStr">
        <is>
          <t>進場</t>
        </is>
      </c>
      <c r="D55" s="2" t="n">
        <v>27</v>
      </c>
      <c r="E55" s="2" t="inlineStr">
        <is>
          <t>RIVER_USDT_PERP</t>
        </is>
      </c>
      <c r="F55" s="2" t="inlineStr">
        <is>
          <t>做空</t>
        </is>
      </c>
      <c r="G55" s="20" t="n">
        <v>1.261</v>
      </c>
      <c r="H55" s="20" t="n">
        <v>1.22317</v>
      </c>
      <c r="I55" s="20" t="n">
        <v>1.32405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46278.70833333334</v>
      </c>
      <c r="C56" s="2" t="inlineStr">
        <is>
          <t>出場</t>
        </is>
      </c>
      <c r="D56" s="2" t="n">
        <v>27</v>
      </c>
      <c r="E56" s="2" t="inlineStr">
        <is>
          <t>RIVER_USDT_PERP</t>
        </is>
      </c>
      <c r="F56" s="2" t="inlineStr">
        <is>
          <t>做空</t>
        </is>
      </c>
      <c r="G56" s="20" t="n">
        <v>1.261</v>
      </c>
      <c r="H56" s="20" t="n">
        <v>1.22317</v>
      </c>
      <c r="I56" s="20" t="n">
        <v>1.32405</v>
      </c>
      <c r="J56" s="20" t="n">
        <v>1.22317</v>
      </c>
      <c r="K56" s="2" t="inlineStr">
        <is>
          <t>止盈</t>
        </is>
      </c>
      <c r="L56" s="5">
        <f>交易明細!K28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交易明細!L28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46278.95833333334</v>
      </c>
      <c r="C57" s="2" t="inlineStr">
        <is>
          <t>進場</t>
        </is>
      </c>
      <c r="D57" s="2" t="n">
        <v>28</v>
      </c>
      <c r="E57" s="2" t="inlineStr">
        <is>
          <t>LAB_USDT_PERP</t>
        </is>
      </c>
      <c r="F57" s="2" t="inlineStr">
        <is>
          <t>做多</t>
        </is>
      </c>
      <c r="G57" s="20" t="n">
        <v>0.06897</v>
      </c>
      <c r="H57" s="20" t="n">
        <v>0.07103910000000001</v>
      </c>
      <c r="I57" s="20" t="n">
        <v>0.0655215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46279</v>
      </c>
      <c r="C58" s="2" t="inlineStr">
        <is>
          <t>出場</t>
        </is>
      </c>
      <c r="D58" s="2" t="n">
        <v>28</v>
      </c>
      <c r="E58" s="2" t="inlineStr">
        <is>
          <t>LAB_USDT_PERP</t>
        </is>
      </c>
      <c r="F58" s="2" t="inlineStr">
        <is>
          <t>做多</t>
        </is>
      </c>
      <c r="G58" s="20" t="n">
        <v>0.06897</v>
      </c>
      <c r="H58" s="20" t="n">
        <v>0.07103910000000001</v>
      </c>
      <c r="I58" s="20" t="n">
        <v>0.0655215</v>
      </c>
      <c r="J58" s="20" t="n">
        <v>0.07103910000000001</v>
      </c>
      <c r="K58" s="2" t="inlineStr">
        <is>
          <t>止盈</t>
        </is>
      </c>
      <c r="L58" s="5">
        <f>交易明細!K29</f>
        <v/>
      </c>
      <c r="M58" s="19">
        <f>M57</f>
        <v/>
      </c>
      <c r="N58" s="2">
        <f>N57</f>
        <v/>
      </c>
      <c r="O58" s="19">
        <f>O57</f>
        <v/>
      </c>
      <c r="P58" s="4">
        <f>交易明細!L29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46280.08333333334</v>
      </c>
      <c r="C59" s="2" t="inlineStr">
        <is>
          <t>進場</t>
        </is>
      </c>
      <c r="D59" s="2" t="n">
        <v>29</v>
      </c>
      <c r="E59" s="2" t="inlineStr">
        <is>
          <t>USELESS_USDT_PERP</t>
        </is>
      </c>
      <c r="F59" s="2" t="inlineStr">
        <is>
          <t>做多</t>
        </is>
      </c>
      <c r="G59" s="20" t="n">
        <v>0.21527</v>
      </c>
      <c r="H59" s="20" t="n">
        <v>0.2217281</v>
      </c>
      <c r="I59" s="20" t="n">
        <v>0.2045065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46280.25</v>
      </c>
      <c r="C60" s="2" t="inlineStr">
        <is>
          <t>出場</t>
        </is>
      </c>
      <c r="D60" s="2" t="n">
        <v>29</v>
      </c>
      <c r="E60" s="2" t="inlineStr">
        <is>
          <t>USELESS_USDT_PERP</t>
        </is>
      </c>
      <c r="F60" s="2" t="inlineStr">
        <is>
          <t>做多</t>
        </is>
      </c>
      <c r="G60" s="20" t="n">
        <v>0.21527</v>
      </c>
      <c r="H60" s="20" t="n">
        <v>0.2217281</v>
      </c>
      <c r="I60" s="20" t="n">
        <v>0.2045065</v>
      </c>
      <c r="J60" s="20" t="n">
        <v>0.2045065</v>
      </c>
      <c r="K60" s="2" t="inlineStr">
        <is>
          <t>止損</t>
        </is>
      </c>
      <c r="L60" s="5">
        <f>交易明細!K30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交易明細!L30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46280.91666666666</v>
      </c>
      <c r="C61" s="2" t="inlineStr">
        <is>
          <t>進場</t>
        </is>
      </c>
      <c r="D61" s="2" t="n">
        <v>30</v>
      </c>
      <c r="E61" s="2" t="inlineStr">
        <is>
          <t>牛来_USDT_PERP</t>
        </is>
      </c>
      <c r="F61" s="2" t="inlineStr">
        <is>
          <t>做空</t>
        </is>
      </c>
      <c r="G61" s="20" t="n">
        <v>0.11513</v>
      </c>
      <c r="H61" s="20" t="n">
        <v>0.1116761</v>
      </c>
      <c r="I61" s="20" t="n">
        <v>0.1208865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46280.95833333334</v>
      </c>
      <c r="C62" s="2" t="inlineStr">
        <is>
          <t>出場</t>
        </is>
      </c>
      <c r="D62" s="2" t="n">
        <v>30</v>
      </c>
      <c r="E62" s="2" t="inlineStr">
        <is>
          <t>牛来_USDT_PERP</t>
        </is>
      </c>
      <c r="F62" s="2" t="inlineStr">
        <is>
          <t>做空</t>
        </is>
      </c>
      <c r="G62" s="20" t="n">
        <v>0.11513</v>
      </c>
      <c r="H62" s="20" t="n">
        <v>0.1116761</v>
      </c>
      <c r="I62" s="20" t="n">
        <v>0.1208865</v>
      </c>
      <c r="J62" s="20" t="n">
        <v>0.1116761</v>
      </c>
      <c r="K62" s="2" t="inlineStr">
        <is>
          <t>止盈</t>
        </is>
      </c>
      <c r="L62" s="5">
        <f>交易明細!K31</f>
        <v/>
      </c>
      <c r="M62" s="19">
        <f>M61</f>
        <v/>
      </c>
      <c r="N62" s="2">
        <f>N61</f>
        <v/>
      </c>
      <c r="O62" s="19">
        <f>O61</f>
        <v/>
      </c>
      <c r="P62" s="4">
        <f>交易明細!L31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46280.95833333334</v>
      </c>
      <c r="C63" s="2" t="inlineStr">
        <is>
          <t>進場</t>
        </is>
      </c>
      <c r="D63" s="2" t="n">
        <v>31</v>
      </c>
      <c r="E63" s="2" t="inlineStr">
        <is>
          <t>PONS_USDT_PERP</t>
        </is>
      </c>
      <c r="F63" s="2" t="inlineStr">
        <is>
          <t>做空</t>
        </is>
      </c>
      <c r="G63" s="20" t="n">
        <v>0.6319</v>
      </c>
      <c r="H63" s="20" t="n">
        <v>0.612943</v>
      </c>
      <c r="I63" s="20" t="n">
        <v>0.6634950000000001</v>
      </c>
      <c r="J63" s="20" t="n"/>
      <c r="K63" s="2" t="n"/>
      <c r="L63" s="5" t="n"/>
      <c r="M63" s="19">
        <f>資金模擬!$B$5*V62</f>
        <v/>
      </c>
      <c r="N63" s="2">
        <f>IF(Z62=1,"已停止",IF(T62&gt;=M63,"已下單","資金不足略過"))</f>
        <v/>
      </c>
      <c r="O63" s="19">
        <f>IF(N63="已下單",M63*資金模擬!$B$7,0)</f>
        <v/>
      </c>
      <c r="P63" s="4" t="n"/>
      <c r="Q63" s="13" t="n">
        <v>0</v>
      </c>
      <c r="R63" s="13">
        <f>R62+Q63</f>
        <v/>
      </c>
      <c r="S63" s="19">
        <f>S62+IF(N63="已下單",M63,0)</f>
        <v/>
      </c>
      <c r="T63" s="19">
        <f>R63-S63</f>
        <v/>
      </c>
      <c r="U63" s="2">
        <f>U62+IF(N63="已下單",1,0)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46281.04166666666</v>
      </c>
      <c r="C64" s="2" t="inlineStr">
        <is>
          <t>出場</t>
        </is>
      </c>
      <c r="D64" s="2" t="n">
        <v>31</v>
      </c>
      <c r="E64" s="2" t="inlineStr">
        <is>
          <t>PONS_USDT_PERP</t>
        </is>
      </c>
      <c r="F64" s="2" t="inlineStr">
        <is>
          <t>做空</t>
        </is>
      </c>
      <c r="G64" s="20" t="n">
        <v>0.6319</v>
      </c>
      <c r="H64" s="20" t="n">
        <v>0.612943</v>
      </c>
      <c r="I64" s="20" t="n">
        <v>0.6634950000000001</v>
      </c>
      <c r="J64" s="20" t="n">
        <v>0.6634950000000001</v>
      </c>
      <c r="K64" s="2" t="inlineStr">
        <is>
          <t>止損</t>
        </is>
      </c>
      <c r="L64" s="5">
        <f>交易明細!K32</f>
        <v/>
      </c>
      <c r="M64" s="19">
        <f>M63</f>
        <v/>
      </c>
      <c r="N64" s="2">
        <f>N63</f>
        <v/>
      </c>
      <c r="O64" s="19">
        <f>O63</f>
        <v/>
      </c>
      <c r="P64" s="4">
        <f>交易明細!L32</f>
        <v/>
      </c>
      <c r="Q64" s="13">
        <f>IF(N64="已下單",O64*P64,0)</f>
        <v/>
      </c>
      <c r="R64" s="13">
        <f>R63+Q64</f>
        <v/>
      </c>
      <c r="S64" s="19">
        <f>S63-IF(N64="已下單",M64,0)</f>
        <v/>
      </c>
      <c r="T64" s="19">
        <f>R64-S64</f>
        <v/>
      </c>
      <c r="U64" s="2">
        <f>U63-IF(N64="已下單",1,0)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46281.41666666666</v>
      </c>
      <c r="C65" s="2" t="inlineStr">
        <is>
          <t>進場</t>
        </is>
      </c>
      <c r="D65" s="2" t="n">
        <v>32</v>
      </c>
      <c r="E65" s="2" t="inlineStr">
        <is>
          <t>PONS_USDT_PERP</t>
        </is>
      </c>
      <c r="F65" s="2" t="inlineStr">
        <is>
          <t>做空</t>
        </is>
      </c>
      <c r="G65" s="20" t="n">
        <v>0.6093</v>
      </c>
      <c r="H65" s="20" t="n">
        <v>0.5910209999999999</v>
      </c>
      <c r="I65" s="20" t="n">
        <v>0.639765</v>
      </c>
      <c r="J65" s="20" t="n"/>
      <c r="K65" s="2" t="n"/>
      <c r="L65" s="5" t="n"/>
      <c r="M65" s="19">
        <f>資金模擬!$B$5*V64</f>
        <v/>
      </c>
      <c r="N65" s="2">
        <f>IF(Z64=1,"已停止",IF(T64&gt;=M65,"已下單","資金不足略過"))</f>
        <v/>
      </c>
      <c r="O65" s="19">
        <f>IF(N65="已下單",M65*資金模擬!$B$7,0)</f>
        <v/>
      </c>
      <c r="P65" s="4" t="n"/>
      <c r="Q65" s="13" t="n">
        <v>0</v>
      </c>
      <c r="R65" s="13">
        <f>R64+Q65</f>
        <v/>
      </c>
      <c r="S65" s="19">
        <f>S64+IF(N65="已下單",M65,0)</f>
        <v/>
      </c>
      <c r="T65" s="19">
        <f>R65-S65</f>
        <v/>
      </c>
      <c r="U65" s="2">
        <f>U64+IF(N65="已下單",1,0)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46281.41666666666</v>
      </c>
      <c r="C66" s="2" t="inlineStr">
        <is>
          <t>進場</t>
        </is>
      </c>
      <c r="D66" s="2" t="n">
        <v>33</v>
      </c>
      <c r="E66" s="2" t="inlineStr">
        <is>
          <t>牛来_USDT_PERP</t>
        </is>
      </c>
      <c r="F66" s="2" t="inlineStr">
        <is>
          <t>做空</t>
        </is>
      </c>
      <c r="G66" s="20" t="n">
        <v>0.11407</v>
      </c>
      <c r="H66" s="20" t="n">
        <v>0.1106479</v>
      </c>
      <c r="I66" s="20" t="n">
        <v>0.1197735</v>
      </c>
      <c r="J66" s="20" t="n"/>
      <c r="K66" s="2" t="n"/>
      <c r="L66" s="5" t="n"/>
      <c r="M66" s="19">
        <f>資金模擬!$B$5*V65</f>
        <v/>
      </c>
      <c r="N66" s="2">
        <f>IF(Z65=1,"已停止",IF(T65&gt;=M66,"已下單","資金不足略過"))</f>
        <v/>
      </c>
      <c r="O66" s="19">
        <f>IF(N66="已下單",M66*資金模擬!$B$7,0)</f>
        <v/>
      </c>
      <c r="P66" s="4" t="n"/>
      <c r="Q66" s="13" t="n">
        <v>0</v>
      </c>
      <c r="R66" s="13">
        <f>R65+Q66</f>
        <v/>
      </c>
      <c r="S66" s="19">
        <f>S65+IF(N66="已下單",M66,0)</f>
        <v/>
      </c>
      <c r="T66" s="19">
        <f>R66-S66</f>
        <v/>
      </c>
      <c r="U66" s="2">
        <f>U65+IF(N66="已下單",1,0)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46281.5</v>
      </c>
      <c r="C67" s="2" t="inlineStr">
        <is>
          <t>出場</t>
        </is>
      </c>
      <c r="D67" s="2" t="n">
        <v>32</v>
      </c>
      <c r="E67" s="2" t="inlineStr">
        <is>
          <t>PONS_USDT_PERP</t>
        </is>
      </c>
      <c r="F67" s="2" t="inlineStr">
        <is>
          <t>做空</t>
        </is>
      </c>
      <c r="G67" s="20" t="n">
        <v>0.6093</v>
      </c>
      <c r="H67" s="20" t="n">
        <v>0.5910209999999999</v>
      </c>
      <c r="I67" s="20" t="n">
        <v>0.639765</v>
      </c>
      <c r="J67" s="20" t="n">
        <v>0.5910209999999999</v>
      </c>
      <c r="K67" s="2" t="inlineStr">
        <is>
          <t>止盈</t>
        </is>
      </c>
      <c r="L67" s="5">
        <f>交易明細!K33</f>
        <v/>
      </c>
      <c r="M67" s="19">
        <f>M65</f>
        <v/>
      </c>
      <c r="N67" s="2">
        <f>N65</f>
        <v/>
      </c>
      <c r="O67" s="19">
        <f>O65</f>
        <v/>
      </c>
      <c r="P67" s="4">
        <f>交易明細!L33</f>
        <v/>
      </c>
      <c r="Q67" s="13">
        <f>IF(N67="已下單",O67*P67,0)</f>
        <v/>
      </c>
      <c r="R67" s="13">
        <f>R66+Q67</f>
        <v/>
      </c>
      <c r="S67" s="19">
        <f>S66-IF(N67="已下單",M67,0)</f>
        <v/>
      </c>
      <c r="T67" s="19">
        <f>R67-S67</f>
        <v/>
      </c>
      <c r="U67" s="2">
        <f>U66-IF(N67="已下單",1,0)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46281.70833333334</v>
      </c>
      <c r="C68" s="2" t="inlineStr">
        <is>
          <t>出場</t>
        </is>
      </c>
      <c r="D68" s="2" t="n">
        <v>33</v>
      </c>
      <c r="E68" s="2" t="inlineStr">
        <is>
          <t>牛来_USDT_PERP</t>
        </is>
      </c>
      <c r="F68" s="2" t="inlineStr">
        <is>
          <t>做空</t>
        </is>
      </c>
      <c r="G68" s="20" t="n">
        <v>0.11407</v>
      </c>
      <c r="H68" s="20" t="n">
        <v>0.1106479</v>
      </c>
      <c r="I68" s="20" t="n">
        <v>0.1197735</v>
      </c>
      <c r="J68" s="20" t="n">
        <v>0.1106479</v>
      </c>
      <c r="K68" s="2" t="inlineStr">
        <is>
          <t>止盈</t>
        </is>
      </c>
      <c r="L68" s="5">
        <f>交易明細!K34</f>
        <v/>
      </c>
      <c r="M68" s="19">
        <f>M66</f>
        <v/>
      </c>
      <c r="N68" s="2">
        <f>N66</f>
        <v/>
      </c>
      <c r="O68" s="19">
        <f>O66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46282</v>
      </c>
      <c r="C69" s="2" t="inlineStr">
        <is>
          <t>進場</t>
        </is>
      </c>
      <c r="D69" s="2" t="n">
        <v>34</v>
      </c>
      <c r="E69" s="2" t="inlineStr">
        <is>
          <t>USELESS_USDT_PERP</t>
        </is>
      </c>
      <c r="F69" s="2" t="inlineStr">
        <is>
          <t>做空</t>
        </is>
      </c>
      <c r="G69" s="20" t="n">
        <v>0.225</v>
      </c>
      <c r="H69" s="20" t="n">
        <v>0.21825</v>
      </c>
      <c r="I69" s="20" t="n">
        <v>0.23625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46282.125</v>
      </c>
      <c r="C70" s="2" t="inlineStr">
        <is>
          <t>出場</t>
        </is>
      </c>
      <c r="D70" s="2" t="n">
        <v>34</v>
      </c>
      <c r="E70" s="2" t="inlineStr">
        <is>
          <t>USELESS_USDT_PERP</t>
        </is>
      </c>
      <c r="F70" s="2" t="inlineStr">
        <is>
          <t>做空</t>
        </is>
      </c>
      <c r="G70" s="20" t="n">
        <v>0.225</v>
      </c>
      <c r="H70" s="20" t="n">
        <v>0.21825</v>
      </c>
      <c r="I70" s="20" t="n">
        <v>0.23625</v>
      </c>
      <c r="J70" s="20" t="n">
        <v>0.23625</v>
      </c>
      <c r="K70" s="2" t="inlineStr">
        <is>
          <t>止損</t>
        </is>
      </c>
      <c r="L70" s="5">
        <f>交易明細!K35</f>
        <v/>
      </c>
      <c r="M70" s="19">
        <f>M69</f>
        <v/>
      </c>
      <c r="N70" s="2">
        <f>N69</f>
        <v/>
      </c>
      <c r="O70" s="19">
        <f>O69</f>
        <v/>
      </c>
      <c r="P70" s="4">
        <f>交易明細!L35</f>
        <v/>
      </c>
      <c r="Q70" s="13">
        <f>IF(N70="已下單",O70*P70,0)</f>
        <v/>
      </c>
      <c r="R70" s="13">
        <f>R69+Q70</f>
        <v/>
      </c>
      <c r="S70" s="19">
        <f>S69-IF(N70="已下單",M70,0)</f>
        <v/>
      </c>
      <c r="T70" s="19">
        <f>R70-S70</f>
        <v/>
      </c>
      <c r="U70" s="2">
        <f>U69-IF(N70="已下單",1,0)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46282.45833333334</v>
      </c>
      <c r="C71" s="2" t="inlineStr">
        <is>
          <t>進場</t>
        </is>
      </c>
      <c r="D71" s="2" t="n">
        <v>35</v>
      </c>
      <c r="E71" s="2" t="inlineStr">
        <is>
          <t>USELESS_USDT_PERP</t>
        </is>
      </c>
      <c r="F71" s="2" t="inlineStr">
        <is>
          <t>做多</t>
        </is>
      </c>
      <c r="G71" s="20" t="n">
        <v>0.24275</v>
      </c>
      <c r="H71" s="20" t="n">
        <v>0.2500325</v>
      </c>
      <c r="I71" s="20" t="n">
        <v>0.2306125</v>
      </c>
      <c r="J71" s="20" t="n"/>
      <c r="K71" s="2" t="n"/>
      <c r="L71" s="5" t="n"/>
      <c r="M71" s="19">
        <f>資金模擬!$B$5*V70</f>
        <v/>
      </c>
      <c r="N71" s="2">
        <f>IF(Z70=1,"已停止",IF(T70&gt;=M71,"已下單","資金不足略過"))</f>
        <v/>
      </c>
      <c r="O71" s="19">
        <f>IF(N71="已下單",M71*資金模擬!$B$7,0)</f>
        <v/>
      </c>
      <c r="P71" s="4" t="n"/>
      <c r="Q71" s="13" t="n">
        <v>0</v>
      </c>
      <c r="R71" s="13">
        <f>R70+Q71</f>
        <v/>
      </c>
      <c r="S71" s="19">
        <f>S70+IF(N71="已下單",M71,0)</f>
        <v/>
      </c>
      <c r="T71" s="19">
        <f>R71-S71</f>
        <v/>
      </c>
      <c r="U71" s="2">
        <f>U70+IF(N71="已下單",1,0)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46282.5</v>
      </c>
      <c r="C72" s="2" t="inlineStr">
        <is>
          <t>出場</t>
        </is>
      </c>
      <c r="D72" s="2" t="n">
        <v>35</v>
      </c>
      <c r="E72" s="2" t="inlineStr">
        <is>
          <t>USELESS_USDT_PERP</t>
        </is>
      </c>
      <c r="F72" s="2" t="inlineStr">
        <is>
          <t>做多</t>
        </is>
      </c>
      <c r="G72" s="20" t="n">
        <v>0.24275</v>
      </c>
      <c r="H72" s="20" t="n">
        <v>0.2500325</v>
      </c>
      <c r="I72" s="20" t="n">
        <v>0.2306125</v>
      </c>
      <c r="J72" s="20" t="n">
        <v>0.2500325</v>
      </c>
      <c r="K72" s="2" t="inlineStr">
        <is>
          <t>止盈</t>
        </is>
      </c>
      <c r="L72" s="5">
        <f>交易明細!K36</f>
        <v/>
      </c>
      <c r="M72" s="19">
        <f>M71</f>
        <v/>
      </c>
      <c r="N72" s="2">
        <f>N71</f>
        <v/>
      </c>
      <c r="O72" s="19">
        <f>O71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46282.83333333334</v>
      </c>
      <c r="C73" s="2" t="inlineStr">
        <is>
          <t>進場</t>
        </is>
      </c>
      <c r="D73" s="2" t="n">
        <v>36</v>
      </c>
      <c r="E73" s="2" t="inlineStr">
        <is>
          <t>牛来_USDT_PERP</t>
        </is>
      </c>
      <c r="F73" s="2" t="inlineStr">
        <is>
          <t>做空</t>
        </is>
      </c>
      <c r="G73" s="20" t="n">
        <v>0.10472</v>
      </c>
      <c r="H73" s="20" t="n">
        <v>0.1015784</v>
      </c>
      <c r="I73" s="20" t="n">
        <v>0.109956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46282.91666666666</v>
      </c>
      <c r="C74" s="2" t="inlineStr">
        <is>
          <t>出場</t>
        </is>
      </c>
      <c r="D74" s="2" t="n">
        <v>36</v>
      </c>
      <c r="E74" s="2" t="inlineStr">
        <is>
          <t>牛来_USDT_PERP</t>
        </is>
      </c>
      <c r="F74" s="2" t="inlineStr">
        <is>
          <t>做空</t>
        </is>
      </c>
      <c r="G74" s="20" t="n">
        <v>0.10472</v>
      </c>
      <c r="H74" s="20" t="n">
        <v>0.1015784</v>
      </c>
      <c r="I74" s="20" t="n">
        <v>0.109956</v>
      </c>
      <c r="J74" s="20" t="n">
        <v>0.109956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46283.20833333334</v>
      </c>
      <c r="C75" s="2" t="inlineStr">
        <is>
          <t>進場</t>
        </is>
      </c>
      <c r="D75" s="2" t="n">
        <v>37</v>
      </c>
      <c r="E75" s="2" t="inlineStr">
        <is>
          <t>AKE_USDT_PERP</t>
        </is>
      </c>
      <c r="F75" s="2" t="inlineStr">
        <is>
          <t>做多</t>
        </is>
      </c>
      <c r="G75" s="20" t="n">
        <v>0.0214905</v>
      </c>
      <c r="H75" s="20" t="n">
        <v>0.022135215</v>
      </c>
      <c r="I75" s="20" t="n">
        <v>0.020415975</v>
      </c>
      <c r="J75" s="20" t="n"/>
      <c r="K75" s="2" t="inlineStr">
        <is>
          <t>未平倉</t>
        </is>
      </c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</sheetData>
  <autoFilter ref="A1:Z75"/>
  <conditionalFormatting sqref="K2:K75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75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75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2026-09-18 06:14（Dry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0.04</v>
      </c>
      <c r="C10" s="2" t="inlineStr">
        <is>
          <t>ATR(14) ÷ 收盤，上限 5.0%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IFERROR(AVERAGE(交易明細!$AC$2:$AC$38),(B6+2*B7)/(B5+B6))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3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USELESS_USDT_PERP</t>
        </is>
      </c>
      <c r="C2" s="2" t="inlineStr">
        <is>
          <t>做多</t>
        </is>
      </c>
      <c r="D2" s="7" t="n">
        <v>46266.75</v>
      </c>
      <c r="E2" s="20" t="n">
        <v>0.09113</v>
      </c>
      <c r="F2" s="20" t="n">
        <v>0.0938639</v>
      </c>
      <c r="G2" s="20" t="n">
        <v>0.0865735</v>
      </c>
      <c r="H2" s="7" t="n">
        <v>46266.79166666666</v>
      </c>
      <c r="I2" s="20" t="n">
        <v>0.0938639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0.03134902670891826</v>
      </c>
      <c r="O2" s="4" t="n">
        <v>0.04174065720300272</v>
      </c>
      <c r="P2" s="4" t="n">
        <v>0.01693969557648534</v>
      </c>
      <c r="Q2" s="22" t="n">
        <v>4835282</v>
      </c>
      <c r="R2" s="22" t="n">
        <v>3907392.8932</v>
      </c>
      <c r="S2" s="4" t="n">
        <v>0.03</v>
      </c>
      <c r="T2" s="4" t="n">
        <v>0</v>
      </c>
      <c r="U2" s="19" t="n">
        <v>0.8352760034916105</v>
      </c>
      <c r="V2" s="19" t="n">
        <v>0.6997635933806161</v>
      </c>
      <c r="W2" s="4" t="n">
        <v>0.3208337500344234</v>
      </c>
      <c r="X2" s="4" t="n">
        <v>0.3165270153134931</v>
      </c>
      <c r="Y2" s="4" t="n">
        <v>0.0003249835260326073</v>
      </c>
      <c r="Z2" s="4" t="n">
        <v>-0.009362698788719204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ACE_USDT_PERP</t>
        </is>
      </c>
      <c r="C3" s="2" t="inlineStr">
        <is>
          <t>做空</t>
        </is>
      </c>
      <c r="D3" s="7" t="n">
        <v>46267.83333333334</v>
      </c>
      <c r="E3" s="20" t="n">
        <v>0.19257</v>
      </c>
      <c r="F3" s="20" t="n">
        <v>0.1867929</v>
      </c>
      <c r="G3" s="20" t="n">
        <v>0.2021985</v>
      </c>
      <c r="H3" s="7" t="n">
        <v>46267.875</v>
      </c>
      <c r="I3" s="20" t="n">
        <v>0.1867929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-0.05025646084040247</v>
      </c>
      <c r="O3" s="4" t="n">
        <v>0.04931606622199357</v>
      </c>
      <c r="P3" s="4" t="n">
        <v>-0.0519070665097755</v>
      </c>
      <c r="Q3" s="22" t="n">
        <v>-1654553.749999993</v>
      </c>
      <c r="R3" s="22" t="n">
        <v>2513068.0053246</v>
      </c>
      <c r="S3" s="4" t="n">
        <v>0.03</v>
      </c>
      <c r="T3" s="4" t="n">
        <v>0</v>
      </c>
      <c r="U3" s="19" t="n">
        <v>1.581615562742938</v>
      </c>
      <c r="V3" s="19" t="n">
        <v>0.6308203991130821</v>
      </c>
      <c r="W3" s="4" t="n">
        <v>-0.04647143981254054</v>
      </c>
      <c r="X3" s="4" t="n">
        <v>-0.08441265908323015</v>
      </c>
      <c r="Y3" s="4" t="n">
        <v>-0.001948089228488881</v>
      </c>
      <c r="Z3" s="4" t="n">
        <v>0.005695833578277743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HEMI_USDT_PERP</t>
        </is>
      </c>
      <c r="C4" s="2" t="inlineStr">
        <is>
          <t>做空</t>
        </is>
      </c>
      <c r="D4" s="7" t="n">
        <v>46271.5</v>
      </c>
      <c r="E4" s="20" t="n">
        <v>0.01166</v>
      </c>
      <c r="F4" s="20" t="n">
        <v>0.0113102</v>
      </c>
      <c r="G4" s="20" t="n">
        <v>0.012243</v>
      </c>
      <c r="H4" s="7" t="n">
        <v>46271.54166666666</v>
      </c>
      <c r="I4" s="20" t="n">
        <v>0.0113102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-0.02508361204013376</v>
      </c>
      <c r="O4" s="4" t="n">
        <v>0.04674940283171153</v>
      </c>
      <c r="P4" s="4" t="n">
        <v>-0.04143373890167701</v>
      </c>
      <c r="Q4" s="22" t="n">
        <v>-60572711</v>
      </c>
      <c r="R4" s="22" t="n">
        <v>1222480.36925</v>
      </c>
      <c r="S4" s="4" t="n">
        <v>0.03</v>
      </c>
      <c r="T4" s="4" t="n">
        <v>0</v>
      </c>
      <c r="U4" s="19" t="n">
        <v>0.7248367471056822</v>
      </c>
      <c r="V4" s="19" t="n">
        <v>0.5125000000000006</v>
      </c>
      <c r="W4" s="4" t="n">
        <v>0.2118692757443645</v>
      </c>
      <c r="X4" s="4" t="n">
        <v>0.1677373304782298</v>
      </c>
      <c r="Y4" s="4" t="n">
        <v>-0.001488629947127951</v>
      </c>
      <c r="Z4" s="4" t="n">
        <v>-0.002709940474321382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HEMI_USDT_PERP</t>
        </is>
      </c>
      <c r="C5" s="2" t="inlineStr">
        <is>
          <t>做空</t>
        </is>
      </c>
      <c r="D5" s="7" t="n">
        <v>46271.58333333334</v>
      </c>
      <c r="E5" s="20" t="n">
        <v>0.01128</v>
      </c>
      <c r="F5" s="20" t="n">
        <v>0.0109416</v>
      </c>
      <c r="G5" s="20" t="n">
        <v>0.011844</v>
      </c>
      <c r="H5" s="7" t="n">
        <v>46271.75</v>
      </c>
      <c r="I5" s="20" t="n">
        <v>0.011844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-0.02337662337662327</v>
      </c>
      <c r="O5" s="4" t="n">
        <v>0.04711317134172856</v>
      </c>
      <c r="P5" s="4" t="n">
        <v>-0.05158279732627058</v>
      </c>
      <c r="Q5" s="22" t="n">
        <v>-65936388</v>
      </c>
      <c r="R5" s="22" t="n">
        <v>1231916.4476</v>
      </c>
      <c r="S5" s="4" t="n">
        <v>0.00265957446808518</v>
      </c>
      <c r="T5" s="4" t="n">
        <v>0.05</v>
      </c>
      <c r="U5" s="19" t="n">
        <v>0.3502152078149993</v>
      </c>
      <c r="V5" s="19" t="n">
        <v>0.9148936170212764</v>
      </c>
      <c r="W5" s="4" t="n">
        <v>0.2338413888662483</v>
      </c>
      <c r="X5" s="4" t="n">
        <v>0.195435092724679</v>
      </c>
      <c r="Y5" s="4" t="n">
        <v>-0.001627330126277693</v>
      </c>
      <c r="Z5" s="4" t="n">
        <v>-0.001889588130687292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ARB_USDT_PERP</t>
        </is>
      </c>
      <c r="C6" s="2" t="inlineStr">
        <is>
          <t>做空</t>
        </is>
      </c>
      <c r="D6" s="7" t="n">
        <v>46271.95833333334</v>
      </c>
      <c r="E6" s="20" t="n">
        <v>0.1862</v>
      </c>
      <c r="F6" s="20" t="n">
        <v>0.180614</v>
      </c>
      <c r="G6" s="20" t="n">
        <v>0.19551</v>
      </c>
      <c r="H6" s="7" t="n">
        <v>46272.5</v>
      </c>
      <c r="I6" s="20" t="n">
        <v>0.180614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-0.03673047077082248</v>
      </c>
      <c r="O6" s="4" t="n">
        <v>0.04247159968427301</v>
      </c>
      <c r="P6" s="4" t="n">
        <v>-0.005049560501215633</v>
      </c>
      <c r="Q6" s="22" t="n">
        <v>-2146168.2</v>
      </c>
      <c r="R6" s="22" t="n">
        <v>6861448.897129999</v>
      </c>
      <c r="S6" s="4" t="n">
        <v>0.03</v>
      </c>
      <c r="T6" s="4" t="n">
        <v>0.03061224489795911</v>
      </c>
      <c r="U6" s="19" t="n">
        <v>2.51942219716008</v>
      </c>
      <c r="V6" s="19" t="n">
        <v>0.7319587628865984</v>
      </c>
      <c r="W6" s="4" t="n">
        <v>-0.3035016731305042</v>
      </c>
      <c r="X6" s="4" t="n">
        <v>-0.3854166666666667</v>
      </c>
      <c r="Y6" s="4" t="n">
        <v>0.003597996851909313</v>
      </c>
      <c r="Z6" s="4" t="n">
        <v>0.003938029837522672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DASH_USDT_PERP</t>
        </is>
      </c>
      <c r="C7" s="2" t="inlineStr">
        <is>
          <t>做空</t>
        </is>
      </c>
      <c r="D7" s="7" t="n">
        <v>46271.95833333334</v>
      </c>
      <c r="E7" s="20" t="n">
        <v>67.53</v>
      </c>
      <c r="F7" s="20" t="n">
        <v>65.50409999999999</v>
      </c>
      <c r="G7" s="20" t="n">
        <v>70.90650000000001</v>
      </c>
      <c r="H7" s="7" t="n">
        <v>46272.125</v>
      </c>
      <c r="I7" s="20" t="n">
        <v>70.90650000000001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-0.02102058567700782</v>
      </c>
      <c r="O7" s="4" t="n">
        <v>0.04320472960877879</v>
      </c>
      <c r="P7" s="4" t="n">
        <v>-0.02260046460128973</v>
      </c>
      <c r="Q7" s="22" t="n">
        <v>-405.6010000000024</v>
      </c>
      <c r="R7" s="22" t="n">
        <v>3888972.18861</v>
      </c>
      <c r="S7" s="4" t="n">
        <v>0.01554864504664588</v>
      </c>
      <c r="T7" s="4" t="n">
        <v>0.05</v>
      </c>
      <c r="U7" s="19" t="n">
        <v>0.6172389244500216</v>
      </c>
      <c r="V7" s="19" t="n">
        <v>0.5826771653543308</v>
      </c>
      <c r="W7" s="4" t="n">
        <v>-0.216305299294316</v>
      </c>
      <c r="X7" s="4" t="n">
        <v>0.01127379209370416</v>
      </c>
      <c r="Y7" s="4" t="n">
        <v>0.003597996851909313</v>
      </c>
      <c r="Z7" s="4" t="n">
        <v>0.003938029837522672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RAY_USDT_PERP</t>
        </is>
      </c>
      <c r="C8" s="2" t="inlineStr">
        <is>
          <t>做空</t>
        </is>
      </c>
      <c r="D8" s="7" t="n">
        <v>46272.91666666666</v>
      </c>
      <c r="E8" s="20" t="n">
        <v>1.177</v>
      </c>
      <c r="F8" s="20" t="n">
        <v>1.14169</v>
      </c>
      <c r="G8" s="20" t="n">
        <v>1.23585</v>
      </c>
      <c r="H8" s="7" t="n">
        <v>46273.5</v>
      </c>
      <c r="I8" s="20" t="n">
        <v>1.23585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-0.02242524916943511</v>
      </c>
      <c r="O8" s="4" t="n">
        <v>0.04291291884126462</v>
      </c>
      <c r="P8" s="4" t="n">
        <v>-0.04067161137827047</v>
      </c>
      <c r="Q8" s="22" t="n">
        <v>-480078.0999999999</v>
      </c>
      <c r="R8" s="22" t="n">
        <v>3560306.627</v>
      </c>
      <c r="S8" s="4" t="n">
        <v>0.0263381478334751</v>
      </c>
      <c r="T8" s="4" t="n">
        <v>0.05</v>
      </c>
      <c r="U8" s="19" t="n">
        <v>0.4533770567023754</v>
      </c>
      <c r="V8" s="19" t="n">
        <v>0.8205128205128182</v>
      </c>
      <c r="W8" s="4" t="n">
        <v>-0.2073033131603241</v>
      </c>
      <c r="X8" s="4" t="n">
        <v>0.1408759124087592</v>
      </c>
      <c r="Y8" s="4" t="n">
        <v>0.003178437400241707</v>
      </c>
      <c r="Z8" s="4" t="n">
        <v>0.004739797389268552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IOST_USDT_PERP</t>
        </is>
      </c>
      <c r="C9" s="2" t="inlineStr">
        <is>
          <t>做多</t>
        </is>
      </c>
      <c r="D9" s="7" t="n">
        <v>46273.41666666666</v>
      </c>
      <c r="E9" s="20" t="n">
        <v>0.000941</v>
      </c>
      <c r="F9" s="20" t="n">
        <v>0.0009692300000000001</v>
      </c>
      <c r="G9" s="20" t="n">
        <v>0.0008939499999999999</v>
      </c>
      <c r="H9" s="7" t="n">
        <v>46273.5</v>
      </c>
      <c r="I9" s="20" t="n">
        <v>0.0009692300000000001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0.02617230098146139</v>
      </c>
      <c r="O9" s="4" t="n">
        <v>0.04966185075469765</v>
      </c>
      <c r="P9" s="4" t="n">
        <v>0.02835910605977832</v>
      </c>
      <c r="Q9" s="22" t="n">
        <v>225683598</v>
      </c>
      <c r="R9" s="22" t="n">
        <v>2501561.764947</v>
      </c>
      <c r="S9" s="4" t="n">
        <v>0.03</v>
      </c>
      <c r="T9" s="4" t="n">
        <v>0.01275239107332626</v>
      </c>
      <c r="U9" s="19" t="n">
        <v>0.6087334046657858</v>
      </c>
      <c r="V9" s="19" t="n">
        <v>0.8139534883720934</v>
      </c>
      <c r="W9" s="4" t="n">
        <v>0.31430087852843</v>
      </c>
      <c r="X9" s="4" t="n">
        <v>0.3385490753911806</v>
      </c>
      <c r="Y9" s="4" t="n">
        <v>0.001539976969713752</v>
      </c>
      <c r="Z9" s="4" t="n">
        <v>0.002124414410480613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BULLA_USDT_PERP</t>
        </is>
      </c>
      <c r="C10" s="2" t="inlineStr">
        <is>
          <t>做空</t>
        </is>
      </c>
      <c r="D10" s="7" t="n">
        <v>46273.58333333334</v>
      </c>
      <c r="E10" s="20" t="n">
        <v>0.07796</v>
      </c>
      <c r="F10" s="20" t="n">
        <v>0.0756212</v>
      </c>
      <c r="G10" s="20" t="n">
        <v>0.081858</v>
      </c>
      <c r="H10" s="7" t="n">
        <v>46273.83333333334</v>
      </c>
      <c r="I10" s="20" t="n">
        <v>0.081858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-0.02865686518813848</v>
      </c>
      <c r="O10" s="4" t="n">
        <v>0.04892197944354508</v>
      </c>
      <c r="P10" s="4" t="n">
        <v>-0.007934235558355152</v>
      </c>
      <c r="Q10" s="22" t="n">
        <v>-107361</v>
      </c>
      <c r="R10" s="22" t="n">
        <v>3529147.21184</v>
      </c>
      <c r="S10" s="4" t="n">
        <v>0.01924063622370453</v>
      </c>
      <c r="T10" s="4" t="n">
        <v>0.05</v>
      </c>
      <c r="U10" s="19" t="n">
        <v>0.5534734364007831</v>
      </c>
      <c r="V10" s="19" t="n">
        <v>0.7323529411764682</v>
      </c>
      <c r="W10" s="4" t="n">
        <v>-0.1925978164262145</v>
      </c>
      <c r="X10" s="4" t="n">
        <v>0.006119326874043818</v>
      </c>
      <c r="Y10" s="4" t="n">
        <v>0.00123458359822004</v>
      </c>
      <c r="Z10" s="4" t="n">
        <v>0.007010211173510084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USELESS_USDT_PERP</t>
        </is>
      </c>
      <c r="C11" s="2" t="inlineStr">
        <is>
          <t>做多</t>
        </is>
      </c>
      <c r="D11" s="7" t="n">
        <v>46273.58333333334</v>
      </c>
      <c r="E11" s="20" t="n">
        <v>0.24093</v>
      </c>
      <c r="F11" s="20" t="n">
        <v>0.2481579</v>
      </c>
      <c r="G11" s="20" t="n">
        <v>0.2288835</v>
      </c>
      <c r="H11" s="7" t="n">
        <v>46273.625</v>
      </c>
      <c r="I11" s="20" t="n">
        <v>0.2481579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0.0864937993235626</v>
      </c>
      <c r="O11" s="4" t="n">
        <v>0.04862484005267798</v>
      </c>
      <c r="P11" s="4" t="n">
        <v>0.05327352848599309</v>
      </c>
      <c r="Q11" s="22" t="n">
        <v>679513</v>
      </c>
      <c r="R11" s="22" t="n">
        <v>4215211.47851</v>
      </c>
      <c r="S11" s="4" t="n">
        <v>0.03</v>
      </c>
      <c r="T11" s="4" t="n">
        <v>0</v>
      </c>
      <c r="U11" s="19" t="n">
        <v>0.8052885806174136</v>
      </c>
      <c r="V11" s="19" t="n">
        <v>0.8621151271753689</v>
      </c>
      <c r="W11" s="4" t="n">
        <v>0.01364868509238448</v>
      </c>
      <c r="X11" s="4" t="n">
        <v>0.09260351004489586</v>
      </c>
      <c r="Y11" s="4" t="n">
        <v>-0.00123458359822004</v>
      </c>
      <c r="Z11" s="4" t="n">
        <v>-0.007010211173510084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UAI_USDT_PERP</t>
        </is>
      </c>
      <c r="C12" s="2" t="inlineStr">
        <is>
          <t>做多</t>
        </is>
      </c>
      <c r="D12" s="7" t="n">
        <v>46273.75</v>
      </c>
      <c r="E12" s="20" t="n">
        <v>0.7282999999999999</v>
      </c>
      <c r="F12" s="20" t="n">
        <v>0.750149</v>
      </c>
      <c r="G12" s="20" t="n">
        <v>0.691885</v>
      </c>
      <c r="H12" s="7" t="n">
        <v>46273.83333333334</v>
      </c>
      <c r="I12" s="20" t="n">
        <v>0.750149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0.02231892195395835</v>
      </c>
      <c r="O12" s="4" t="n">
        <v>0.04664801455271905</v>
      </c>
      <c r="P12" s="4" t="n">
        <v>0.01829519794747014</v>
      </c>
      <c r="Q12" s="22" t="n">
        <v>1249843</v>
      </c>
      <c r="R12" s="22" t="n">
        <v>5140456.2015</v>
      </c>
      <c r="S12" s="4" t="n">
        <v>0.03</v>
      </c>
      <c r="T12" s="4" t="n">
        <v>0.006453384594260481</v>
      </c>
      <c r="U12" s="19" t="n">
        <v>1.068646902945055</v>
      </c>
      <c r="V12" s="19" t="n">
        <v>0.8738738738738727</v>
      </c>
      <c r="W12" s="4" t="n">
        <v>0.2926482516501987</v>
      </c>
      <c r="X12" s="4" t="n">
        <v>0.1465680100755666</v>
      </c>
      <c r="Y12" s="4" t="n">
        <v>0.00424895211223042</v>
      </c>
      <c r="Z12" s="4" t="n">
        <v>-0.00243660765421716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46273.79166666666</v>
      </c>
      <c r="E13" s="20" t="n">
        <v>0.1787</v>
      </c>
      <c r="F13" s="20" t="n">
        <v>0.173339</v>
      </c>
      <c r="G13" s="20" t="n">
        <v>0.187635</v>
      </c>
      <c r="H13" s="7" t="n">
        <v>46273.875</v>
      </c>
      <c r="I13" s="20" t="n">
        <v>0.173339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-0.02562704471101418</v>
      </c>
      <c r="O13" s="4" t="n">
        <v>0.04743066258406835</v>
      </c>
      <c r="P13" s="4" t="n">
        <v>-0.05964690714868315</v>
      </c>
      <c r="Q13" s="22" t="n">
        <v>-608095</v>
      </c>
      <c r="R13" s="22" t="n">
        <v>1922965.0831</v>
      </c>
      <c r="S13" s="4" t="n">
        <v>0.03</v>
      </c>
      <c r="T13" s="4" t="n">
        <v>0.006715165081141672</v>
      </c>
      <c r="U13" s="19" t="n">
        <v>2.678733376469101</v>
      </c>
      <c r="V13" s="19" t="n">
        <v>0.8613861386138628</v>
      </c>
      <c r="W13" s="4" t="n">
        <v>0.221805133386171</v>
      </c>
      <c r="X13" s="4" t="n">
        <v>0.1703806870937791</v>
      </c>
      <c r="Y13" s="4" t="n">
        <v>0.002534012287736753</v>
      </c>
      <c r="Z13" s="4" t="n">
        <v>0.004571300074293405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UAI_USDT_PERP</t>
        </is>
      </c>
      <c r="C14" s="2" t="inlineStr">
        <is>
          <t>做多</t>
        </is>
      </c>
      <c r="D14" s="7" t="n">
        <v>46274.08333333334</v>
      </c>
      <c r="E14" s="20" t="n">
        <v>0.7446</v>
      </c>
      <c r="F14" s="20" t="n">
        <v>0.766938</v>
      </c>
      <c r="G14" s="20" t="n">
        <v>0.7073700000000001</v>
      </c>
      <c r="H14" s="7" t="n">
        <v>46274.20833333334</v>
      </c>
      <c r="I14" s="20" t="n">
        <v>0.7073700000000001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0.02675124103695548</v>
      </c>
      <c r="O14" s="4" t="n">
        <v>0.04454342423750336</v>
      </c>
      <c r="P14" s="4" t="n">
        <v>0.02032147114844407</v>
      </c>
      <c r="Q14" s="22" t="n">
        <v>1024515</v>
      </c>
      <c r="R14" s="22" t="n">
        <v>4766286.3946</v>
      </c>
      <c r="S14" s="4" t="n">
        <v>0.003491807681976766</v>
      </c>
      <c r="T14" s="4" t="n">
        <v>0.05</v>
      </c>
      <c r="U14" s="19" t="n">
        <v>0.7723512405947648</v>
      </c>
      <c r="V14" s="19" t="n">
        <v>0.9168704156479228</v>
      </c>
      <c r="W14" s="4" t="n">
        <v>0.2569082689911988</v>
      </c>
      <c r="X14" s="4" t="n">
        <v>0.003233629749393785</v>
      </c>
      <c r="Y14" s="4" t="n">
        <v>-0.002949174078780259</v>
      </c>
      <c r="Z14" s="4" t="n">
        <v>-0.00255304695657721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PONS_USDT_PERP</t>
        </is>
      </c>
      <c r="C15" s="2" t="inlineStr">
        <is>
          <t>做多</t>
        </is>
      </c>
      <c r="D15" s="7" t="n">
        <v>46274.54166666666</v>
      </c>
      <c r="E15" s="20" t="n">
        <v>0.8091</v>
      </c>
      <c r="F15" s="20" t="n">
        <v>0.833373</v>
      </c>
      <c r="G15" s="20" t="n">
        <v>0.768645</v>
      </c>
      <c r="H15" s="7" t="n">
        <v>46274.70833333334</v>
      </c>
      <c r="I15" s="20" t="n">
        <v>0.833373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0.0582003662045516</v>
      </c>
      <c r="O15" s="4" t="n">
        <v>0.04569447016875642</v>
      </c>
      <c r="P15" s="4" t="n">
        <v>0.03845931706315331</v>
      </c>
      <c r="Q15" s="22" t="n">
        <v>5419793</v>
      </c>
      <c r="R15" s="22" t="n">
        <v>11243844.1629</v>
      </c>
      <c r="S15" s="4" t="n">
        <v>0.03</v>
      </c>
      <c r="T15" s="4" t="n">
        <v>0.02410085279940688</v>
      </c>
      <c r="U15" s="19" t="n">
        <v>0.6149788240205761</v>
      </c>
      <c r="V15" s="19" t="n">
        <v>1</v>
      </c>
      <c r="W15" s="4" t="n">
        <v>0.003844908381006817</v>
      </c>
      <c r="X15" s="4" t="n">
        <v>0.172608695652174</v>
      </c>
      <c r="Y15" s="4" t="n">
        <v>0.006898771784506819</v>
      </c>
      <c r="Z15" s="4" t="n">
        <v>0.007295313963002314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PONS_USDT_PERP</t>
        </is>
      </c>
      <c r="C16" s="2" t="inlineStr">
        <is>
          <t>做多</t>
        </is>
      </c>
      <c r="D16" s="7" t="n">
        <v>46274.875</v>
      </c>
      <c r="E16" s="20" t="n">
        <v>0.8066</v>
      </c>
      <c r="F16" s="20" t="n">
        <v>0.830798</v>
      </c>
      <c r="G16" s="20" t="n">
        <v>0.7662699999999999</v>
      </c>
      <c r="H16" s="7" t="n">
        <v>46274.95833333334</v>
      </c>
      <c r="I16" s="20" t="n">
        <v>0.7662699999999999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0.03264626808347204</v>
      </c>
      <c r="O16" s="4" t="n">
        <v>0.04159531370999592</v>
      </c>
      <c r="P16" s="4" t="n">
        <v>0.01433601609657953</v>
      </c>
      <c r="Q16" s="22" t="n">
        <v>466047</v>
      </c>
      <c r="R16" s="22" t="n">
        <v>10103179.1206</v>
      </c>
      <c r="S16" s="4" t="n">
        <v>0.002603520952144889</v>
      </c>
      <c r="T16" s="4" t="n">
        <v>0.05</v>
      </c>
      <c r="U16" s="19" t="n">
        <v>1.648022119137153</v>
      </c>
      <c r="V16" s="19" t="n">
        <v>0.8281622911694512</v>
      </c>
      <c r="W16" s="4" t="n">
        <v>-0.006887517021795242</v>
      </c>
      <c r="X16" s="4" t="n">
        <v>0.07160887471768285</v>
      </c>
      <c r="Y16" s="4" t="n">
        <v>0.003588474501019068</v>
      </c>
      <c r="Z16" s="4" t="n">
        <v>0.009254340501077651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AKE_USDT_PERP</t>
        </is>
      </c>
      <c r="C17" s="2" t="inlineStr">
        <is>
          <t>做空</t>
        </is>
      </c>
      <c r="D17" s="7" t="n">
        <v>46275.04166666666</v>
      </c>
      <c r="E17" s="20" t="n">
        <v>0.0151607</v>
      </c>
      <c r="F17" s="20" t="n">
        <v>0.014705879</v>
      </c>
      <c r="G17" s="20" t="n">
        <v>0.015918735</v>
      </c>
      <c r="H17" s="7" t="n">
        <v>46275.29166666666</v>
      </c>
      <c r="I17" s="20" t="n">
        <v>0.014705879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-0.02656907123824204</v>
      </c>
      <c r="O17" s="4" t="n">
        <v>0.04491481230211565</v>
      </c>
      <c r="P17" s="4" t="n">
        <v>-0.03106581673673436</v>
      </c>
      <c r="Q17" s="22" t="n">
        <v>-13040704</v>
      </c>
      <c r="R17" s="22" t="n">
        <v>3092940.1034152</v>
      </c>
      <c r="S17" s="4" t="n">
        <v>0.03</v>
      </c>
      <c r="T17" s="4" t="n">
        <v>0.03028883890585532</v>
      </c>
      <c r="U17" s="19" t="n">
        <v>8.31398505972493</v>
      </c>
      <c r="V17" s="19" t="n">
        <v>0.6192244837319871</v>
      </c>
      <c r="W17" s="4" t="n">
        <v>0.0755249080872713</v>
      </c>
      <c r="X17" s="4" t="n">
        <v>0.2038618270422417</v>
      </c>
      <c r="Y17" s="4" t="n">
        <v>-0.002540409825633194</v>
      </c>
      <c r="Z17" s="4" t="n">
        <v>0.00189978323489759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RAY_USDT_PERP</t>
        </is>
      </c>
      <c r="C18" s="2" t="inlineStr">
        <is>
          <t>做多</t>
        </is>
      </c>
      <c r="D18" s="7" t="n">
        <v>46275.08333333334</v>
      </c>
      <c r="E18" s="20" t="n">
        <v>1.365</v>
      </c>
      <c r="F18" s="20" t="n">
        <v>1.40595</v>
      </c>
      <c r="G18" s="20" t="n">
        <v>1.29675</v>
      </c>
      <c r="H18" s="7" t="n">
        <v>46275.16666666666</v>
      </c>
      <c r="I18" s="20" t="n">
        <v>1.29675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0.02247191011235961</v>
      </c>
      <c r="O18" s="4" t="n">
        <v>0.04799131109558633</v>
      </c>
      <c r="P18" s="4" t="n">
        <v>0.05592944998839644</v>
      </c>
      <c r="Q18" s="22" t="n">
        <v>228613.4000000001</v>
      </c>
      <c r="R18" s="22" t="n">
        <v>2431364.9724</v>
      </c>
      <c r="S18" s="4" t="n">
        <v>0.02710622710622701</v>
      </c>
      <c r="T18" s="4" t="n">
        <v>0.05</v>
      </c>
      <c r="U18" s="19" t="n">
        <v>0.9511020296400551</v>
      </c>
      <c r="V18" s="19" t="n">
        <v>0.6521739130434777</v>
      </c>
      <c r="W18" s="4" t="n">
        <v>0.1683042897736997</v>
      </c>
      <c r="X18" s="4" t="n">
        <v>0.1900610287707061</v>
      </c>
      <c r="Y18" s="4" t="n">
        <v>-0.00040243951981489</v>
      </c>
      <c r="Z18" s="4" t="n">
        <v>-0.002477908933204542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RAY_USDT_PERP</t>
        </is>
      </c>
      <c r="C19" s="2" t="inlineStr">
        <is>
          <t>做多</t>
        </is>
      </c>
      <c r="D19" s="7" t="n">
        <v>46275.54166666666</v>
      </c>
      <c r="E19" s="20" t="n">
        <v>1.33</v>
      </c>
      <c r="F19" s="20" t="n">
        <v>1.3699</v>
      </c>
      <c r="G19" s="20" t="n">
        <v>1.2635</v>
      </c>
      <c r="H19" s="7" t="n">
        <v>46275.58333333334</v>
      </c>
      <c r="I19" s="20" t="n">
        <v>1.3699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0.03744149765990645</v>
      </c>
      <c r="O19" s="4" t="n">
        <v>0.04572465884313836</v>
      </c>
      <c r="P19" s="4" t="n">
        <v>0.02607622280512278</v>
      </c>
      <c r="Q19" s="22" t="n">
        <v>13454.30000000028</v>
      </c>
      <c r="R19" s="22" t="n">
        <v>2474062.1371</v>
      </c>
      <c r="S19" s="4" t="n">
        <v>0.03</v>
      </c>
      <c r="T19" s="4" t="n">
        <v>0</v>
      </c>
      <c r="U19" s="19" t="n">
        <v>1.260890814524471</v>
      </c>
      <c r="V19" s="19" t="n">
        <v>0.5555555555555556</v>
      </c>
      <c r="W19" s="4" t="n">
        <v>0.09812987656359651</v>
      </c>
      <c r="X19" s="4" t="n">
        <v>0.06230031948881787</v>
      </c>
      <c r="Y19" s="4" t="n">
        <v>0.001006419114810919</v>
      </c>
      <c r="Z19" s="4" t="n">
        <v>-0.002265062320720879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RAY_USDT_PERP</t>
        </is>
      </c>
      <c r="C20" s="2" t="inlineStr">
        <is>
          <t>做空</t>
        </is>
      </c>
      <c r="D20" s="7" t="n">
        <v>46275.875</v>
      </c>
      <c r="E20" s="20" t="n">
        <v>1.286</v>
      </c>
      <c r="F20" s="20" t="n">
        <v>1.24742</v>
      </c>
      <c r="G20" s="20" t="n">
        <v>1.3503</v>
      </c>
      <c r="H20" s="7" t="n">
        <v>46276.16666666666</v>
      </c>
      <c r="I20" s="20" t="n">
        <v>1.3503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-0.04244229337304539</v>
      </c>
      <c r="O20" s="4" t="n">
        <v>0.04587158086118715</v>
      </c>
      <c r="P20" s="4" t="n">
        <v>-0.01050282768437671</v>
      </c>
      <c r="Q20" s="22" t="n">
        <v>-237735.5999999999</v>
      </c>
      <c r="R20" s="22" t="n">
        <v>2421626.3634</v>
      </c>
      <c r="S20" s="4" t="n">
        <v>0.02643856920684295</v>
      </c>
      <c r="T20" s="4" t="n">
        <v>0.05</v>
      </c>
      <c r="U20" s="19" t="n">
        <v>0.6488037141102702</v>
      </c>
      <c r="V20" s="19" t="n">
        <v>0.8378378378378378</v>
      </c>
      <c r="W20" s="4" t="n">
        <v>-0.04361939541489157</v>
      </c>
      <c r="X20" s="4" t="n">
        <v>0.04457652303120363</v>
      </c>
      <c r="Y20" s="4" t="n">
        <v>0.01236741397168239</v>
      </c>
      <c r="Z20" s="4" t="n">
        <v>0.01629830704241075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VVV_USDT_PERP</t>
        </is>
      </c>
      <c r="C21" s="2" t="inlineStr">
        <is>
          <t>做空</t>
        </is>
      </c>
      <c r="D21" s="7" t="n">
        <v>46275.875</v>
      </c>
      <c r="E21" s="20" t="n">
        <v>23.292</v>
      </c>
      <c r="F21" s="20" t="n">
        <v>22.59324</v>
      </c>
      <c r="G21" s="20" t="n">
        <v>24.4566</v>
      </c>
      <c r="H21" s="7" t="n">
        <v>46275.91666666666</v>
      </c>
      <c r="I21" s="20" t="n">
        <v>24.4566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-0.02637629059900504</v>
      </c>
      <c r="O21" s="4" t="n">
        <v>0.04641505003504217</v>
      </c>
      <c r="P21" s="4" t="n">
        <v>-0.01964539380228325</v>
      </c>
      <c r="Q21" s="22" t="n">
        <v>-35674.3</v>
      </c>
      <c r="R21" s="22" t="n">
        <v>10729485.04223</v>
      </c>
      <c r="S21" s="4" t="n">
        <v>0</v>
      </c>
      <c r="T21" s="4" t="n">
        <v>0.05</v>
      </c>
      <c r="U21" s="19" t="n">
        <v>1.575610786892112</v>
      </c>
      <c r="V21" s="19" t="n">
        <v>0.7127845884413292</v>
      </c>
      <c r="W21" s="4" t="n">
        <v>-0.1153318868942759</v>
      </c>
      <c r="X21" s="4" t="n">
        <v>0.1622185454283864</v>
      </c>
      <c r="Y21" s="4" t="n">
        <v>0.01236741397168239</v>
      </c>
      <c r="Z21" s="4" t="n">
        <v>0.01629830704241075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VVV_USDT_PERP</t>
        </is>
      </c>
      <c r="C22" s="2" t="inlineStr">
        <is>
          <t>做多</t>
        </is>
      </c>
      <c r="D22" s="7" t="n">
        <v>46276.08333333334</v>
      </c>
      <c r="E22" s="20" t="n">
        <v>25.016</v>
      </c>
      <c r="F22" s="20" t="n">
        <v>25.76648</v>
      </c>
      <c r="G22" s="20" t="n">
        <v>23.7652</v>
      </c>
      <c r="H22" s="7" t="n">
        <v>46276.375</v>
      </c>
      <c r="I22" s="20" t="n">
        <v>23.7652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0.05339397001852775</v>
      </c>
      <c r="O22" s="4" t="n">
        <v>0.04472129955124805</v>
      </c>
      <c r="P22" s="4" t="n">
        <v>0.05560537170466184</v>
      </c>
      <c r="Q22" s="22" t="n">
        <v>6747.979999999996</v>
      </c>
      <c r="R22" s="22" t="n">
        <v>9187643.20025</v>
      </c>
      <c r="S22" s="4" t="n">
        <v>0.02630316597377691</v>
      </c>
      <c r="T22" s="4" t="n">
        <v>0.05</v>
      </c>
      <c r="U22" s="19" t="n">
        <v>1.09901111874392</v>
      </c>
      <c r="V22" s="19" t="n">
        <v>0.8169449598021009</v>
      </c>
      <c r="W22" s="4" t="n">
        <v>0.1783281080429278</v>
      </c>
      <c r="X22" s="4" t="n">
        <v>-0.01266921892883932</v>
      </c>
      <c r="Y22" s="4" t="n">
        <v>0.001618462654848773</v>
      </c>
      <c r="Z22" s="4" t="n">
        <v>-0.00714224747695813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BULLA_USDT_PERP</t>
        </is>
      </c>
      <c r="C23" s="2" t="inlineStr">
        <is>
          <t>做空</t>
        </is>
      </c>
      <c r="D23" s="7" t="n">
        <v>46276.45833333334</v>
      </c>
      <c r="E23" s="20" t="n">
        <v>0.07525999999999999</v>
      </c>
      <c r="F23" s="20" t="n">
        <v>0.07300219999999999</v>
      </c>
      <c r="G23" s="20" t="n">
        <v>0.079023</v>
      </c>
      <c r="H23" s="7" t="n">
        <v>46276.54166666666</v>
      </c>
      <c r="I23" s="20" t="n">
        <v>0.079023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-0.02017966410623628</v>
      </c>
      <c r="O23" s="4" t="n">
        <v>0.04823724419003356</v>
      </c>
      <c r="P23" s="4" t="n">
        <v>-0.05145413870246085</v>
      </c>
      <c r="Q23" s="22" t="n">
        <v>-4500436</v>
      </c>
      <c r="R23" s="22" t="n">
        <v>1429060.99886</v>
      </c>
      <c r="S23" s="4" t="n">
        <v>0.0001328727079457082</v>
      </c>
      <c r="T23" s="4" t="n">
        <v>0.05</v>
      </c>
      <c r="U23" s="19" t="n">
        <v>1.179648508398454</v>
      </c>
      <c r="V23" s="19" t="n">
        <v>0.6402877697841751</v>
      </c>
      <c r="W23" s="4" t="n">
        <v>0.0592064883000839</v>
      </c>
      <c r="X23" s="4" t="n">
        <v>0.1051129607609989</v>
      </c>
      <c r="Y23" s="4" t="n">
        <v>0.001734964936813466</v>
      </c>
      <c r="Z23" s="4" t="n">
        <v>0.005970263210509419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VVV_USDT_PERP</t>
        </is>
      </c>
      <c r="C24" s="2" t="inlineStr">
        <is>
          <t>做空</t>
        </is>
      </c>
      <c r="D24" s="7" t="n">
        <v>46276.45833333334</v>
      </c>
      <c r="E24" s="20" t="n">
        <v>23.446</v>
      </c>
      <c r="F24" s="20" t="n">
        <v>22.74262</v>
      </c>
      <c r="G24" s="20" t="n">
        <v>24.6183</v>
      </c>
      <c r="H24" s="7" t="n">
        <v>46276.58333333334</v>
      </c>
      <c r="I24" s="20" t="n">
        <v>24.6183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-0.02858800132582029</v>
      </c>
      <c r="O24" s="4" t="n">
        <v>0.04189686119826182</v>
      </c>
      <c r="P24" s="4" t="n">
        <v>-0.02906067853112593</v>
      </c>
      <c r="Q24" s="22" t="n">
        <v>-56586.84000000003</v>
      </c>
      <c r="R24" s="22" t="n">
        <v>7115164.396330001</v>
      </c>
      <c r="S24" s="4" t="n">
        <v>0.005331399812334769</v>
      </c>
      <c r="T24" s="4" t="n">
        <v>0.05</v>
      </c>
      <c r="U24" s="19" t="n">
        <v>0.477057045992042</v>
      </c>
      <c r="V24" s="19" t="n">
        <v>0.9759036144578291</v>
      </c>
      <c r="W24" s="4" t="n">
        <v>-0.07103180113873098</v>
      </c>
      <c r="X24" s="4" t="n">
        <v>0.009881756756756732</v>
      </c>
      <c r="Y24" s="4" t="n">
        <v>0.001734964936813466</v>
      </c>
      <c r="Z24" s="4" t="n">
        <v>0.005970263210509419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RAY_USDT_PERP</t>
        </is>
      </c>
      <c r="C25" s="2" t="inlineStr">
        <is>
          <t>做多</t>
        </is>
      </c>
      <c r="D25" s="7" t="n">
        <v>46277.41666666666</v>
      </c>
      <c r="E25" s="20" t="n">
        <v>1.716</v>
      </c>
      <c r="F25" s="20" t="n">
        <v>1.76748</v>
      </c>
      <c r="G25" s="20" t="n">
        <v>1.6302</v>
      </c>
      <c r="H25" s="7" t="n">
        <v>46277.5</v>
      </c>
      <c r="I25" s="20" t="n">
        <v>1.6302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0.04000000000000004</v>
      </c>
      <c r="O25" s="4" t="n">
        <v>0.04282887250254052</v>
      </c>
      <c r="P25" s="4" t="n">
        <v>0.05939004815409299</v>
      </c>
      <c r="Q25" s="22" t="n">
        <v>721092.5999999996</v>
      </c>
      <c r="R25" s="22" t="n">
        <v>4467953.1854</v>
      </c>
      <c r="S25" s="4" t="n">
        <v>0.01515151515151514</v>
      </c>
      <c r="T25" s="4" t="n">
        <v>0.05</v>
      </c>
      <c r="U25" s="19" t="n">
        <v>0.480733710492018</v>
      </c>
      <c r="V25" s="19" t="n">
        <v>0.8888888888888876</v>
      </c>
      <c r="W25" s="4" t="n">
        <v>0.2746234067207416</v>
      </c>
      <c r="X25" s="4" t="n">
        <v>0.1432378414390407</v>
      </c>
      <c r="Y25" s="4" t="n">
        <v>-0.0001993481058047974</v>
      </c>
      <c r="Z25" s="4" t="n">
        <v>-0.002897721507352458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UAI_USDT_PERP</t>
        </is>
      </c>
      <c r="C26" s="2" t="inlineStr">
        <is>
          <t>做多</t>
        </is>
      </c>
      <c r="D26" s="7" t="n">
        <v>46277.625</v>
      </c>
      <c r="E26" s="20" t="n">
        <v>0.6982</v>
      </c>
      <c r="F26" s="20" t="n">
        <v>0.7191460000000001</v>
      </c>
      <c r="G26" s="20" t="n">
        <v>0.66329</v>
      </c>
      <c r="H26" s="7" t="n">
        <v>46277.66666666666</v>
      </c>
      <c r="I26" s="20" t="n">
        <v>0.7191460000000001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0.07069467873025603</v>
      </c>
      <c r="O26" s="4" t="n">
        <v>0.04655508252481794</v>
      </c>
      <c r="P26" s="4" t="n">
        <v>0.05840799187472534</v>
      </c>
      <c r="Q26" s="22" t="n">
        <v>12818</v>
      </c>
      <c r="R26" s="22" t="n">
        <v>1384633.5535</v>
      </c>
      <c r="S26" s="4" t="n">
        <v>0.03</v>
      </c>
      <c r="T26" s="4" t="n">
        <v>0</v>
      </c>
      <c r="U26" s="19" t="n">
        <v>3.50905131059224</v>
      </c>
      <c r="V26" s="19" t="n">
        <v>0.579800498753118</v>
      </c>
      <c r="W26" s="4" t="n">
        <v>0.002663909412719434</v>
      </c>
      <c r="X26" s="4" t="n">
        <v>0.1590305444887119</v>
      </c>
      <c r="Y26" s="4" t="n">
        <v>0.001065073116880644</v>
      </c>
      <c r="Z26" s="4" t="n">
        <v>-0.002830626471078013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RIVER_USDT_PERP</t>
        </is>
      </c>
      <c r="C27" s="2" t="inlineStr">
        <is>
          <t>做多</t>
        </is>
      </c>
      <c r="D27" s="7" t="n">
        <v>46278.08333333334</v>
      </c>
      <c r="E27" s="20" t="n">
        <v>1.412</v>
      </c>
      <c r="F27" s="20" t="n">
        <v>1.45436</v>
      </c>
      <c r="G27" s="20" t="n">
        <v>1.3414</v>
      </c>
      <c r="H27" s="7" t="n">
        <v>46278.125</v>
      </c>
      <c r="I27" s="20" t="n">
        <v>1.45436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0.06485671191553544</v>
      </c>
      <c r="O27" s="4" t="n">
        <v>0.0402440441641955</v>
      </c>
      <c r="P27" s="4" t="n">
        <v>0.05724233461869632</v>
      </c>
      <c r="Q27" s="22" t="n">
        <v>358363.9</v>
      </c>
      <c r="R27" s="22" t="n">
        <v>2323206.5163</v>
      </c>
      <c r="S27" s="4" t="n">
        <v>0.03</v>
      </c>
      <c r="T27" s="4" t="n">
        <v>0</v>
      </c>
      <c r="U27" s="19" t="n">
        <v>1.628344958438214</v>
      </c>
      <c r="V27" s="19" t="n">
        <v>0.9374999999999999</v>
      </c>
      <c r="W27" s="4" t="n">
        <v>0.1756477719309932</v>
      </c>
      <c r="X27" s="4" t="n">
        <v>0.1489015459723351</v>
      </c>
      <c r="Y27" s="4" t="n">
        <v>-0.001973460448671305</v>
      </c>
      <c r="Z27" s="4" t="n">
        <v>-0.001188114198741208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RIVER_USDT_PERP</t>
        </is>
      </c>
      <c r="C28" s="2" t="inlineStr">
        <is>
          <t>做空</t>
        </is>
      </c>
      <c r="D28" s="7" t="n">
        <v>46278.5</v>
      </c>
      <c r="E28" s="20" t="n">
        <v>1.261</v>
      </c>
      <c r="F28" s="20" t="n">
        <v>1.22317</v>
      </c>
      <c r="G28" s="20" t="n">
        <v>1.32405</v>
      </c>
      <c r="H28" s="7" t="n">
        <v>46278.70833333334</v>
      </c>
      <c r="I28" s="20" t="n">
        <v>1.22317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-0.03149001536098317</v>
      </c>
      <c r="O28" s="4" t="n">
        <v>0.04700685788213382</v>
      </c>
      <c r="P28" s="4" t="n">
        <v>-0.05684367988032912</v>
      </c>
      <c r="Q28" s="22" t="n">
        <v>-166098.5</v>
      </c>
      <c r="R28" s="22" t="n">
        <v>1633132.5949</v>
      </c>
      <c r="S28" s="4" t="n">
        <v>0.03</v>
      </c>
      <c r="T28" s="4" t="n">
        <v>0.04203013481364004</v>
      </c>
      <c r="U28" s="19" t="n">
        <v>2.452428134930138</v>
      </c>
      <c r="V28" s="19" t="n">
        <v>0.875</v>
      </c>
      <c r="W28" s="4" t="n">
        <v>-0.03967416397335244</v>
      </c>
      <c r="X28" s="4" t="n">
        <v>0.1181818181818182</v>
      </c>
      <c r="Y28" s="4" t="n">
        <v>0.001314973745824233</v>
      </c>
      <c r="Z28" s="4" t="n">
        <v>0.001197595179174393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LAB_USDT_PERP</t>
        </is>
      </c>
      <c r="C29" s="2" t="inlineStr">
        <is>
          <t>做多</t>
        </is>
      </c>
      <c r="D29" s="7" t="n">
        <v>46278.95833333334</v>
      </c>
      <c r="E29" s="20" t="n">
        <v>0.06897</v>
      </c>
      <c r="F29" s="20" t="n">
        <v>0.07103910000000001</v>
      </c>
      <c r="G29" s="20" t="n">
        <v>0.0655215</v>
      </c>
      <c r="H29" s="7" t="n">
        <v>46279</v>
      </c>
      <c r="I29" s="20" t="n">
        <v>0.07103910000000001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0.0401146131805159</v>
      </c>
      <c r="O29" s="4" t="n">
        <v>0.04984835563975233</v>
      </c>
      <c r="P29" s="4" t="n">
        <v>0.02012291172098601</v>
      </c>
      <c r="Q29" s="22" t="n">
        <v>1513283</v>
      </c>
      <c r="R29" s="22" t="n">
        <v>2656323.83996</v>
      </c>
      <c r="S29" s="4" t="n">
        <v>0.03</v>
      </c>
      <c r="T29" s="4" t="n">
        <v>0</v>
      </c>
      <c r="U29" s="19" t="n">
        <v>2.228271138805124</v>
      </c>
      <c r="V29" s="19" t="n">
        <v>0.6235827664399103</v>
      </c>
      <c r="W29" s="4" t="n">
        <v>0.118889060129945</v>
      </c>
      <c r="X29" s="4" t="n">
        <v>-0.04008350730688925</v>
      </c>
      <c r="Y29" s="4" t="n">
        <v>0.004704889882924723</v>
      </c>
      <c r="Z29" s="4" t="n">
        <v>0.001557067200726125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USELESS_USDT_PERP</t>
        </is>
      </c>
      <c r="C30" s="2" t="inlineStr">
        <is>
          <t>做多</t>
        </is>
      </c>
      <c r="D30" s="7" t="n">
        <v>46280.08333333334</v>
      </c>
      <c r="E30" s="20" t="n">
        <v>0.21527</v>
      </c>
      <c r="F30" s="20" t="n">
        <v>0.2217281</v>
      </c>
      <c r="G30" s="20" t="n">
        <v>0.2045065</v>
      </c>
      <c r="H30" s="7" t="n">
        <v>46280.25</v>
      </c>
      <c r="I30" s="20" t="n">
        <v>0.2045065</v>
      </c>
      <c r="J30" s="2" t="inlineStr">
        <is>
          <t>止損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0.07694231827505127</v>
      </c>
      <c r="O30" s="4" t="n">
        <v>0.04129466730861369</v>
      </c>
      <c r="P30" s="4" t="n">
        <v>0.04722917472386601</v>
      </c>
      <c r="Q30" s="22" t="n">
        <v>57563</v>
      </c>
      <c r="R30" s="22" t="n">
        <v>2142958.19727</v>
      </c>
      <c r="S30" s="4" t="n">
        <v>0.02870813397129202</v>
      </c>
      <c r="T30" s="4" t="n">
        <v>0.05</v>
      </c>
      <c r="U30" s="19" t="n">
        <v>2.695897368776979</v>
      </c>
      <c r="V30" s="19" t="n">
        <v>0.8418891170431212</v>
      </c>
      <c r="W30" s="4" t="n">
        <v>-0.03711019445659591</v>
      </c>
      <c r="X30" s="4" t="n">
        <v>-0.01193372194427877</v>
      </c>
      <c r="Y30" s="4" t="n">
        <v>0.002349919531133837</v>
      </c>
      <c r="Z30" s="4" t="n">
        <v>0.01492736573107156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牛来_USDT_PERP</t>
        </is>
      </c>
      <c r="C31" s="2" t="inlineStr">
        <is>
          <t>做空</t>
        </is>
      </c>
      <c r="D31" s="7" t="n">
        <v>46280.91666666666</v>
      </c>
      <c r="E31" s="20" t="n">
        <v>0.11513</v>
      </c>
      <c r="F31" s="20" t="n">
        <v>0.1116761</v>
      </c>
      <c r="G31" s="20" t="n">
        <v>0.1208865</v>
      </c>
      <c r="H31" s="7" t="n">
        <v>46280.95833333334</v>
      </c>
      <c r="I31" s="20" t="n">
        <v>0.1116761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-0.02283143778645391</v>
      </c>
      <c r="O31" s="4" t="n">
        <v>0.04590811279218091</v>
      </c>
      <c r="P31" s="4" t="n">
        <v>-0.001651917915721945</v>
      </c>
      <c r="Q31" s="22" t="n">
        <v>-13335483</v>
      </c>
      <c r="R31" s="22" t="n">
        <v>3947406.29375</v>
      </c>
      <c r="S31" s="4" t="n">
        <v>0.03</v>
      </c>
      <c r="T31" s="4" t="n">
        <v>0</v>
      </c>
      <c r="U31" s="19" t="n">
        <v>3.572201315293682</v>
      </c>
      <c r="V31" s="19" t="n">
        <v>0.5984251968503946</v>
      </c>
      <c r="W31" s="4" t="n">
        <v>0.08304667756741757</v>
      </c>
      <c r="X31" s="4" t="n">
        <v>-0.06326191355744371</v>
      </c>
      <c r="Y31" s="4" t="n">
        <v>0.004326499942148732</v>
      </c>
      <c r="Z31" s="4" t="n">
        <v>0.01466104750439268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PONS_USDT_PERP</t>
        </is>
      </c>
      <c r="C32" s="2" t="inlineStr">
        <is>
          <t>做空</t>
        </is>
      </c>
      <c r="D32" s="7" t="n">
        <v>46280.95833333334</v>
      </c>
      <c r="E32" s="20" t="n">
        <v>0.6319</v>
      </c>
      <c r="F32" s="20" t="n">
        <v>0.612943</v>
      </c>
      <c r="G32" s="20" t="n">
        <v>0.6634950000000001</v>
      </c>
      <c r="H32" s="7" t="n">
        <v>46281.04166666666</v>
      </c>
      <c r="I32" s="20" t="n">
        <v>0.6634950000000001</v>
      </c>
      <c r="J32" s="2" t="inlineStr">
        <is>
          <t>止損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-0.03067955207853967</v>
      </c>
      <c r="O32" s="4" t="n">
        <v>0.04561528399298138</v>
      </c>
      <c r="P32" s="4" t="n">
        <v>-0.001777180996011096</v>
      </c>
      <c r="Q32" s="22" t="n">
        <v>-188505</v>
      </c>
      <c r="R32" s="22" t="n">
        <v>3708159.2401</v>
      </c>
      <c r="S32" s="4" t="n">
        <v>0.008229150181990774</v>
      </c>
      <c r="T32" s="4" t="n">
        <v>0.05</v>
      </c>
      <c r="U32" s="19" t="n">
        <v>2.135001569503176</v>
      </c>
      <c r="V32" s="19" t="n">
        <v>0.6008869179600886</v>
      </c>
      <c r="W32" s="4" t="n">
        <v>-0.06019576458587106</v>
      </c>
      <c r="X32" s="4" t="n">
        <v>-0.09061097687262687</v>
      </c>
      <c r="Y32" s="4" t="n">
        <v>0.008791137050601638</v>
      </c>
      <c r="Z32" s="4" t="n">
        <v>0.02126479226765776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PONS_USDT_PERP</t>
        </is>
      </c>
      <c r="C33" s="2" t="inlineStr">
        <is>
          <t>做空</t>
        </is>
      </c>
      <c r="D33" s="7" t="n">
        <v>46281.41666666666</v>
      </c>
      <c r="E33" s="20" t="n">
        <v>0.6093</v>
      </c>
      <c r="F33" s="20" t="n">
        <v>0.5910209999999999</v>
      </c>
      <c r="G33" s="20" t="n">
        <v>0.639765</v>
      </c>
      <c r="H33" s="7" t="n">
        <v>46281.5</v>
      </c>
      <c r="I33" s="20" t="n">
        <v>0.5910209999999999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-0.0371365360303415</v>
      </c>
      <c r="O33" s="4" t="n">
        <v>0.04503466628165607</v>
      </c>
      <c r="P33" s="4" t="n">
        <v>-0.04653109767070673</v>
      </c>
      <c r="Q33" s="22" t="n">
        <v>-522329</v>
      </c>
      <c r="R33" s="22" t="n">
        <v>3799658.9706</v>
      </c>
      <c r="S33" s="4" t="n">
        <v>0.03</v>
      </c>
      <c r="T33" s="4" t="n">
        <v>0.008042015427539795</v>
      </c>
      <c r="U33" s="19" t="n">
        <v>0.4664810909990809</v>
      </c>
      <c r="V33" s="19" t="n">
        <v>0.9928571428571437</v>
      </c>
      <c r="W33" s="4" t="n">
        <v>-0.01623507670548352</v>
      </c>
      <c r="X33" s="4" t="n">
        <v>0.02433947157726202</v>
      </c>
      <c r="Y33" s="4" t="n">
        <v>0.003551905352945806</v>
      </c>
      <c r="Z33" s="4" t="n">
        <v>0.01159420365782837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牛来_USDT_PERP</t>
        </is>
      </c>
      <c r="C34" s="2" t="inlineStr">
        <is>
          <t>做空</t>
        </is>
      </c>
      <c r="D34" s="7" t="n">
        <v>46281.41666666666</v>
      </c>
      <c r="E34" s="20" t="n">
        <v>0.11407</v>
      </c>
      <c r="F34" s="20" t="n">
        <v>0.1106479</v>
      </c>
      <c r="G34" s="20" t="n">
        <v>0.1197735</v>
      </c>
      <c r="H34" s="7" t="n">
        <v>46281.70833333334</v>
      </c>
      <c r="I34" s="20" t="n">
        <v>0.1106479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-0.02245265232667748</v>
      </c>
      <c r="O34" s="4" t="n">
        <v>0.04160649993392866</v>
      </c>
      <c r="P34" s="4" t="n">
        <v>-0.007011939012234847</v>
      </c>
      <c r="Q34" s="22" t="n">
        <v>-6985142</v>
      </c>
      <c r="R34" s="22" t="n">
        <v>2887294.37661</v>
      </c>
      <c r="S34" s="4" t="n">
        <v>0.03</v>
      </c>
      <c r="T34" s="4" t="n">
        <v>0.01981239589725603</v>
      </c>
      <c r="U34" s="19" t="n">
        <v>0.7082025381006778</v>
      </c>
      <c r="V34" s="19" t="n">
        <v>0.8578553615960097</v>
      </c>
      <c r="W34" s="4" t="n">
        <v>0.07673455248295025</v>
      </c>
      <c r="X34" s="4" t="n">
        <v>0.04479986601909225</v>
      </c>
      <c r="Y34" s="4" t="n">
        <v>0.003551905352945806</v>
      </c>
      <c r="Z34" s="4" t="n">
        <v>0.01159420365782837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USELESS_USDT_PERP</t>
        </is>
      </c>
      <c r="C35" s="2" t="inlineStr">
        <is>
          <t>做空</t>
        </is>
      </c>
      <c r="D35" s="7" t="n">
        <v>46282</v>
      </c>
      <c r="E35" s="20" t="n">
        <v>0.225</v>
      </c>
      <c r="F35" s="20" t="n">
        <v>0.21825</v>
      </c>
      <c r="G35" s="20" t="n">
        <v>0.23625</v>
      </c>
      <c r="H35" s="7" t="n">
        <v>46282.125</v>
      </c>
      <c r="I35" s="20" t="n">
        <v>0.23625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-0.03292357947219116</v>
      </c>
      <c r="O35" s="4" t="n">
        <v>0.04095456277656997</v>
      </c>
      <c r="P35" s="4" t="n">
        <v>-0.0164514881088984</v>
      </c>
      <c r="Q35" s="22" t="n">
        <v>-778608</v>
      </c>
      <c r="R35" s="22" t="n">
        <v>2914314.34629</v>
      </c>
      <c r="S35" s="4" t="n">
        <v>0.01364444444444457</v>
      </c>
      <c r="T35" s="4" t="n">
        <v>0.05</v>
      </c>
      <c r="U35" s="19" t="n">
        <v>1.22830388521858</v>
      </c>
      <c r="V35" s="19" t="n">
        <v>0.881369426751591</v>
      </c>
      <c r="W35" s="4" t="n">
        <v>-0.03547633982584686</v>
      </c>
      <c r="X35" s="4" t="n">
        <v>-0.101213782302271</v>
      </c>
      <c r="Y35" s="4" t="n">
        <v>-0.001227850125626873</v>
      </c>
      <c r="Z35" s="4" t="n">
        <v>0.0003683615984713118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USELESS_USDT_PERP</t>
        </is>
      </c>
      <c r="C36" s="2" t="inlineStr">
        <is>
          <t>做多</t>
        </is>
      </c>
      <c r="D36" s="7" t="n">
        <v>46282.45833333334</v>
      </c>
      <c r="E36" s="20" t="n">
        <v>0.24275</v>
      </c>
      <c r="F36" s="20" t="n">
        <v>0.2500325</v>
      </c>
      <c r="G36" s="20" t="n">
        <v>0.2306125</v>
      </c>
      <c r="H36" s="7" t="n">
        <v>46282.5</v>
      </c>
      <c r="I36" s="20" t="n">
        <v>0.2500325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0.03258326598324057</v>
      </c>
      <c r="O36" s="4" t="n">
        <v>0.04022410631062562</v>
      </c>
      <c r="P36" s="4" t="n">
        <v>0.03915172685399226</v>
      </c>
      <c r="Q36" s="22" t="n">
        <v>3772564</v>
      </c>
      <c r="R36" s="22" t="n">
        <v>3887367.54221</v>
      </c>
      <c r="S36" s="4" t="n">
        <v>0.03</v>
      </c>
      <c r="T36" s="4" t="n">
        <v>0</v>
      </c>
      <c r="U36" s="19" t="n">
        <v>0.6859164949066544</v>
      </c>
      <c r="V36" s="19" t="n">
        <v>0.8610139860139854</v>
      </c>
      <c r="W36" s="4" t="n">
        <v>0.1183074882606505</v>
      </c>
      <c r="X36" s="4" t="n">
        <v>0.1027073680385209</v>
      </c>
      <c r="Y36" s="4" t="n">
        <v>0.0001100414096306679</v>
      </c>
      <c r="Z36" s="4" t="n">
        <v>0.005538057160273446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牛来_USDT_PERP</t>
        </is>
      </c>
      <c r="C37" s="2" t="inlineStr">
        <is>
          <t>做空</t>
        </is>
      </c>
      <c r="D37" s="7" t="n">
        <v>46282.83333333334</v>
      </c>
      <c r="E37" s="20" t="n">
        <v>0.10472</v>
      </c>
      <c r="F37" s="20" t="n">
        <v>0.1015784</v>
      </c>
      <c r="G37" s="20" t="n">
        <v>0.109956</v>
      </c>
      <c r="H37" s="7" t="n">
        <v>46282.91666666666</v>
      </c>
      <c r="I37" s="20" t="n">
        <v>0.109956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-0.04172767203513916</v>
      </c>
      <c r="O37" s="4" t="n">
        <v>0.04048676979687356</v>
      </c>
      <c r="P37" s="4" t="n">
        <v>-0.006338482559684278</v>
      </c>
      <c r="Q37" s="22" t="n">
        <v>-4050075</v>
      </c>
      <c r="R37" s="22" t="n">
        <v>2337042.32057</v>
      </c>
      <c r="S37" s="4" t="n">
        <v>0.0003819709702062024</v>
      </c>
      <c r="T37" s="4" t="n">
        <v>0.05</v>
      </c>
      <c r="U37" s="19" t="n">
        <v>0.3772019483351589</v>
      </c>
      <c r="V37" s="19" t="n">
        <v>0.9287090558766868</v>
      </c>
      <c r="W37" s="4" t="n">
        <v>0.08628786120510201</v>
      </c>
      <c r="X37" s="4" t="n">
        <v>0.06791277258566986</v>
      </c>
      <c r="Y37" s="4" t="n">
        <v>-0.0009859272953907094</v>
      </c>
      <c r="Z37" s="4" t="n">
        <v>-0.003379461603953526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AKE_USDT_PERP</t>
        </is>
      </c>
      <c r="C38" s="2" t="inlineStr">
        <is>
          <t>做多</t>
        </is>
      </c>
      <c r="D38" s="7" t="n">
        <v>46283.20833333334</v>
      </c>
      <c r="E38" s="20" t="n">
        <v>0.0214905</v>
      </c>
      <c r="F38" s="20" t="n">
        <v>0.022135215</v>
      </c>
      <c r="G38" s="20" t="n">
        <v>0.020415975</v>
      </c>
      <c r="H38" s="7" t="n">
        <v>46283.25</v>
      </c>
      <c r="I38" s="20" t="n">
        <v>0.0210955</v>
      </c>
      <c r="J38" s="2" t="inlineStr">
        <is>
          <t>未平倉</t>
        </is>
      </c>
      <c r="K38" s="5">
        <f>(H38-D38)*24</f>
        <v/>
      </c>
      <c r="L38" s="4">
        <f>IF(C38="做多",I38/E38-1,1-I38/E38)-2*參數!$B$7</f>
        <v/>
      </c>
      <c r="M38" s="2" t="inlineStr">
        <is>
          <t>持倉中（以最新收盤估值）</t>
        </is>
      </c>
      <c r="N38" s="4" t="n">
        <v>0.02601990881096183</v>
      </c>
      <c r="O38" s="4" t="n">
        <v>0.04972128367543062</v>
      </c>
      <c r="P38" s="4" t="n">
        <v>0.0241716031320145</v>
      </c>
      <c r="Q38" s="22" t="n">
        <v>5592380</v>
      </c>
      <c r="R38" s="22" t="n">
        <v>1554549.0829196</v>
      </c>
      <c r="S38" s="4" t="n">
        <v>0.0004187896977734251</v>
      </c>
      <c r="T38" s="4" t="n">
        <v>0.02131174239780365</v>
      </c>
      <c r="U38" s="19" t="n">
        <v>0.5059324416336631</v>
      </c>
      <c r="V38" s="19" t="n">
        <v>0.6913765131661026</v>
      </c>
      <c r="W38" s="4" t="n">
        <v>0.03822742709846749</v>
      </c>
      <c r="X38" s="4" t="n">
        <v>0.111223144341891</v>
      </c>
      <c r="Y38" s="4" t="n">
        <v>-0.0003996823439672559</v>
      </c>
      <c r="Z38" s="4" t="n">
        <v>0.0002900349911074684</v>
      </c>
      <c r="AA38" s="4" t="n">
        <v>0.03</v>
      </c>
      <c r="AB38" s="4" t="n">
        <v>0.05</v>
      </c>
      <c r="AC38" s="4">
        <f>(AB38+2*參數!$B$7)/(AA38+AB38)</f>
        <v/>
      </c>
    </row>
  </sheetData>
  <autoFilter ref="A1:AC38"/>
  <conditionalFormatting sqref="J2:J3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USELESS_USDT_PERP</t>
        </is>
      </c>
      <c r="B2" s="2">
        <f>COUNTIFS(交易明細!$B$2:$B$38,$A2)</f>
        <v/>
      </c>
      <c r="C2" s="2">
        <f>COUNTIFS(交易明細!$B$2:$B$38,$A2,交易明細!$C$2:$C$38,"做多")</f>
        <v/>
      </c>
      <c r="D2" s="2">
        <f>COUNTIFS(交易明細!$B$2:$B$38,$A2,交易明細!$C$2:$C$38,"做空")</f>
        <v/>
      </c>
      <c r="E2" s="2">
        <f>F2+G2+COUNTIFS(交易明細!$B$2:$B$38,$A2,交易明細!$J$2:$J$38,"時間出場")</f>
        <v/>
      </c>
      <c r="F2" s="2">
        <f>COUNTIFS(交易明細!$B$2:$B$38,$A2,交易明細!$J$2:$J$38,"止盈")</f>
        <v/>
      </c>
      <c r="G2" s="2">
        <f>COUNTIFS(交易明細!$B$2:$B$38,$A2,交易明細!$J$2:$J$38,"止損")</f>
        <v/>
      </c>
      <c r="H2" s="4">
        <f>IFERROR(F2/E2,0)</f>
        <v/>
      </c>
      <c r="I2" s="4">
        <f>IFERROR(AVERAGEIFS(交易明細!$L$2:$L$38,交易明細!$B$2:$B$38,$A2,交易明細!$J$2:$J$38,"&lt;&gt;未平倉"),0)</f>
        <v/>
      </c>
      <c r="J2" s="4">
        <f>SUMIFS(交易明細!$L$2:$L$38,交易明細!$B$2:$B$38,$A2,交易明細!$J$2:$J$38,"&lt;&gt;未平倉")</f>
        <v/>
      </c>
      <c r="K2" s="5">
        <f>IFERROR(AVERAGEIFS(交易明細!$K$2:$K$38,交易明細!$B$2:$B$38,$A2,交易明細!$J$2:$J$38,"&lt;&gt;未平倉"),0)</f>
        <v/>
      </c>
      <c r="L2" s="2">
        <f>COUNTIFS(交易明細!$B$2:$B$38,$A2,交易明細!$J$2:$J$38,"未平倉")</f>
        <v/>
      </c>
    </row>
    <row r="3">
      <c r="A3" s="2" t="inlineStr">
        <is>
          <t>RAY_USDT_PERP</t>
        </is>
      </c>
      <c r="B3" s="2">
        <f>COUNTIFS(交易明細!$B$2:$B$38,$A3)</f>
        <v/>
      </c>
      <c r="C3" s="2">
        <f>COUNTIFS(交易明細!$B$2:$B$38,$A3,交易明細!$C$2:$C$38,"做多")</f>
        <v/>
      </c>
      <c r="D3" s="2">
        <f>COUNTIFS(交易明細!$B$2:$B$38,$A3,交易明細!$C$2:$C$38,"做空")</f>
        <v/>
      </c>
      <c r="E3" s="2">
        <f>F3+G3+COUNTIFS(交易明細!$B$2:$B$38,$A3,交易明細!$J$2:$J$38,"時間出場")</f>
        <v/>
      </c>
      <c r="F3" s="2">
        <f>COUNTIFS(交易明細!$B$2:$B$38,$A3,交易明細!$J$2:$J$38,"止盈")</f>
        <v/>
      </c>
      <c r="G3" s="2">
        <f>COUNTIFS(交易明細!$B$2:$B$38,$A3,交易明細!$J$2:$J$38,"止損")</f>
        <v/>
      </c>
      <c r="H3" s="4">
        <f>IFERROR(F3/E3,0)</f>
        <v/>
      </c>
      <c r="I3" s="4">
        <f>IFERROR(AVERAGEIFS(交易明細!$L$2:$L$38,交易明細!$B$2:$B$38,$A3,交易明細!$J$2:$J$38,"&lt;&gt;未平倉"),0)</f>
        <v/>
      </c>
      <c r="J3" s="4">
        <f>SUMIFS(交易明細!$L$2:$L$38,交易明細!$B$2:$B$38,$A3,交易明細!$J$2:$J$38,"&lt;&gt;未平倉")</f>
        <v/>
      </c>
      <c r="K3" s="5">
        <f>IFERROR(AVERAGEIFS(交易明細!$K$2:$K$38,交易明細!$B$2:$B$38,$A3,交易明細!$J$2:$J$38,"&lt;&gt;未平倉"),0)</f>
        <v/>
      </c>
      <c r="L3" s="2">
        <f>COUNTIFS(交易明細!$B$2:$B$38,$A3,交易明細!$J$2:$J$38,"未平倉")</f>
        <v/>
      </c>
    </row>
    <row r="4">
      <c r="A4" s="2" t="inlineStr">
        <is>
          <t>PONS_USDT_PERP</t>
        </is>
      </c>
      <c r="B4" s="2">
        <f>COUNTIFS(交易明細!$B$2:$B$38,$A4)</f>
        <v/>
      </c>
      <c r="C4" s="2">
        <f>COUNTIFS(交易明細!$B$2:$B$38,$A4,交易明細!$C$2:$C$38,"做多")</f>
        <v/>
      </c>
      <c r="D4" s="2">
        <f>COUNTIFS(交易明細!$B$2:$B$38,$A4,交易明細!$C$2:$C$38,"做空")</f>
        <v/>
      </c>
      <c r="E4" s="2">
        <f>F4+G4+COUNTIFS(交易明細!$B$2:$B$38,$A4,交易明細!$J$2:$J$38,"時間出場")</f>
        <v/>
      </c>
      <c r="F4" s="2">
        <f>COUNTIFS(交易明細!$B$2:$B$38,$A4,交易明細!$J$2:$J$38,"止盈")</f>
        <v/>
      </c>
      <c r="G4" s="2">
        <f>COUNTIFS(交易明細!$B$2:$B$38,$A4,交易明細!$J$2:$J$38,"止損")</f>
        <v/>
      </c>
      <c r="H4" s="4">
        <f>IFERROR(F4/E4,0)</f>
        <v/>
      </c>
      <c r="I4" s="4">
        <f>IFERROR(AVERAGEIFS(交易明細!$L$2:$L$38,交易明細!$B$2:$B$38,$A4,交易明細!$J$2:$J$38,"&lt;&gt;未平倉"),0)</f>
        <v/>
      </c>
      <c r="J4" s="4">
        <f>SUMIFS(交易明細!$L$2:$L$38,交易明細!$B$2:$B$38,$A4,交易明細!$J$2:$J$38,"&lt;&gt;未平倉")</f>
        <v/>
      </c>
      <c r="K4" s="5">
        <f>IFERROR(AVERAGEIFS(交易明細!$K$2:$K$38,交易明細!$B$2:$B$38,$A4,交易明細!$J$2:$J$38,"&lt;&gt;未平倉"),0)</f>
        <v/>
      </c>
      <c r="L4" s="2">
        <f>COUNTIFS(交易明細!$B$2:$B$38,$A4,交易明細!$J$2:$J$38,"未平倉")</f>
        <v/>
      </c>
    </row>
    <row r="5">
      <c r="A5" s="2" t="inlineStr">
        <is>
          <t>UAI_USDT_PERP</t>
        </is>
      </c>
      <c r="B5" s="2">
        <f>COUNTIFS(交易明細!$B$2:$B$38,$A5)</f>
        <v/>
      </c>
      <c r="C5" s="2">
        <f>COUNTIFS(交易明細!$B$2:$B$38,$A5,交易明細!$C$2:$C$38,"做多")</f>
        <v/>
      </c>
      <c r="D5" s="2">
        <f>COUNTIFS(交易明細!$B$2:$B$38,$A5,交易明細!$C$2:$C$38,"做空")</f>
        <v/>
      </c>
      <c r="E5" s="2">
        <f>F5+G5+COUNTIFS(交易明細!$B$2:$B$38,$A5,交易明細!$J$2:$J$38,"時間出場")</f>
        <v/>
      </c>
      <c r="F5" s="2">
        <f>COUNTIFS(交易明細!$B$2:$B$38,$A5,交易明細!$J$2:$J$38,"止盈")</f>
        <v/>
      </c>
      <c r="G5" s="2">
        <f>COUNTIFS(交易明細!$B$2:$B$38,$A5,交易明細!$J$2:$J$38,"止損")</f>
        <v/>
      </c>
      <c r="H5" s="4">
        <f>IFERROR(F5/E5,0)</f>
        <v/>
      </c>
      <c r="I5" s="4">
        <f>IFERROR(AVERAGEIFS(交易明細!$L$2:$L$38,交易明細!$B$2:$B$38,$A5,交易明細!$J$2:$J$38,"&lt;&gt;未平倉"),0)</f>
        <v/>
      </c>
      <c r="J5" s="4">
        <f>SUMIFS(交易明細!$L$2:$L$38,交易明細!$B$2:$B$38,$A5,交易明細!$J$2:$J$38,"&lt;&gt;未平倉")</f>
        <v/>
      </c>
      <c r="K5" s="5">
        <f>IFERROR(AVERAGEIFS(交易明細!$K$2:$K$38,交易明細!$B$2:$B$38,$A5,交易明細!$J$2:$J$38,"&lt;&gt;未平倉"),0)</f>
        <v/>
      </c>
      <c r="L5" s="2">
        <f>COUNTIFS(交易明細!$B$2:$B$38,$A5,交易明細!$J$2:$J$38,"未平倉")</f>
        <v/>
      </c>
    </row>
    <row r="6">
      <c r="A6" s="2" t="inlineStr">
        <is>
          <t>VVV_USDT_PERP</t>
        </is>
      </c>
      <c r="B6" s="2">
        <f>COUNTIFS(交易明細!$B$2:$B$38,$A6)</f>
        <v/>
      </c>
      <c r="C6" s="2">
        <f>COUNTIFS(交易明細!$B$2:$B$38,$A6,交易明細!$C$2:$C$38,"做多")</f>
        <v/>
      </c>
      <c r="D6" s="2">
        <f>COUNTIFS(交易明細!$B$2:$B$38,$A6,交易明細!$C$2:$C$38,"做空")</f>
        <v/>
      </c>
      <c r="E6" s="2">
        <f>F6+G6+COUNTIFS(交易明細!$B$2:$B$38,$A6,交易明細!$J$2:$J$38,"時間出場")</f>
        <v/>
      </c>
      <c r="F6" s="2">
        <f>COUNTIFS(交易明細!$B$2:$B$38,$A6,交易明細!$J$2:$J$38,"止盈")</f>
        <v/>
      </c>
      <c r="G6" s="2">
        <f>COUNTIFS(交易明細!$B$2:$B$38,$A6,交易明細!$J$2:$J$38,"止損")</f>
        <v/>
      </c>
      <c r="H6" s="4">
        <f>IFERROR(F6/E6,0)</f>
        <v/>
      </c>
      <c r="I6" s="4">
        <f>IFERROR(AVERAGEIFS(交易明細!$L$2:$L$38,交易明細!$B$2:$B$38,$A6,交易明細!$J$2:$J$38,"&lt;&gt;未平倉"),0)</f>
        <v/>
      </c>
      <c r="J6" s="4">
        <f>SUMIFS(交易明細!$L$2:$L$38,交易明細!$B$2:$B$38,$A6,交易明細!$J$2:$J$38,"&lt;&gt;未平倉")</f>
        <v/>
      </c>
      <c r="K6" s="5">
        <f>IFERROR(AVERAGEIFS(交易明細!$K$2:$K$38,交易明細!$B$2:$B$38,$A6,交易明細!$J$2:$J$38,"&lt;&gt;未平倉"),0)</f>
        <v/>
      </c>
      <c r="L6" s="2">
        <f>COUNTIFS(交易明細!$B$2:$B$38,$A6,交易明細!$J$2:$J$38,"未平倉")</f>
        <v/>
      </c>
    </row>
    <row r="7">
      <c r="A7" s="2" t="inlineStr">
        <is>
          <t>牛来_USDT_PERP</t>
        </is>
      </c>
      <c r="B7" s="2">
        <f>COUNTIFS(交易明細!$B$2:$B$38,$A7)</f>
        <v/>
      </c>
      <c r="C7" s="2">
        <f>COUNTIFS(交易明細!$B$2:$B$38,$A7,交易明細!$C$2:$C$38,"做多")</f>
        <v/>
      </c>
      <c r="D7" s="2">
        <f>COUNTIFS(交易明細!$B$2:$B$38,$A7,交易明細!$C$2:$C$38,"做空")</f>
        <v/>
      </c>
      <c r="E7" s="2">
        <f>F7+G7+COUNTIFS(交易明細!$B$2:$B$38,$A7,交易明細!$J$2:$J$38,"時間出場")</f>
        <v/>
      </c>
      <c r="F7" s="2">
        <f>COUNTIFS(交易明細!$B$2:$B$38,$A7,交易明細!$J$2:$J$38,"止盈")</f>
        <v/>
      </c>
      <c r="G7" s="2">
        <f>COUNTIFS(交易明細!$B$2:$B$38,$A7,交易明細!$J$2:$J$38,"止損")</f>
        <v/>
      </c>
      <c r="H7" s="4">
        <f>IFERROR(F7/E7,0)</f>
        <v/>
      </c>
      <c r="I7" s="4">
        <f>IFERROR(AVERAGEIFS(交易明細!$L$2:$L$38,交易明細!$B$2:$B$38,$A7,交易明細!$J$2:$J$38,"&lt;&gt;未平倉"),0)</f>
        <v/>
      </c>
      <c r="J7" s="4">
        <f>SUMIFS(交易明細!$L$2:$L$38,交易明細!$B$2:$B$38,$A7,交易明細!$J$2:$J$38,"&lt;&gt;未平倉")</f>
        <v/>
      </c>
      <c r="K7" s="5">
        <f>IFERROR(AVERAGEIFS(交易明細!$K$2:$K$38,交易明細!$B$2:$B$38,$A7,交易明細!$J$2:$J$38,"&lt;&gt;未平倉"),0)</f>
        <v/>
      </c>
      <c r="L7" s="2">
        <f>COUNTIFS(交易明細!$B$2:$B$38,$A7,交易明細!$J$2:$J$38,"未平倉")</f>
        <v/>
      </c>
    </row>
    <row r="8">
      <c r="A8" s="2" t="inlineStr">
        <is>
          <t>HEMI_USDT_PERP</t>
        </is>
      </c>
      <c r="B8" s="2">
        <f>COUNTIFS(交易明細!$B$2:$B$38,$A8)</f>
        <v/>
      </c>
      <c r="C8" s="2">
        <f>COUNTIFS(交易明細!$B$2:$B$38,$A8,交易明細!$C$2:$C$38,"做多")</f>
        <v/>
      </c>
      <c r="D8" s="2">
        <f>COUNTIFS(交易明細!$B$2:$B$38,$A8,交易明細!$C$2:$C$38,"做空")</f>
        <v/>
      </c>
      <c r="E8" s="2">
        <f>F8+G8+COUNTIFS(交易明細!$B$2:$B$38,$A8,交易明細!$J$2:$J$38,"時間出場")</f>
        <v/>
      </c>
      <c r="F8" s="2">
        <f>COUNTIFS(交易明細!$B$2:$B$38,$A8,交易明細!$J$2:$J$38,"止盈")</f>
        <v/>
      </c>
      <c r="G8" s="2">
        <f>COUNTIFS(交易明細!$B$2:$B$38,$A8,交易明細!$J$2:$J$38,"止損")</f>
        <v/>
      </c>
      <c r="H8" s="4">
        <f>IFERROR(F8/E8,0)</f>
        <v/>
      </c>
      <c r="I8" s="4">
        <f>IFERROR(AVERAGEIFS(交易明細!$L$2:$L$38,交易明細!$B$2:$B$38,$A8,交易明細!$J$2:$J$38,"&lt;&gt;未平倉"),0)</f>
        <v/>
      </c>
      <c r="J8" s="4">
        <f>SUMIFS(交易明細!$L$2:$L$38,交易明細!$B$2:$B$38,$A8,交易明細!$J$2:$J$38,"&lt;&gt;未平倉")</f>
        <v/>
      </c>
      <c r="K8" s="5">
        <f>IFERROR(AVERAGEIFS(交易明細!$K$2:$K$38,交易明細!$B$2:$B$38,$A8,交易明細!$J$2:$J$38,"&lt;&gt;未平倉"),0)</f>
        <v/>
      </c>
      <c r="L8" s="2">
        <f>COUNTIFS(交易明細!$B$2:$B$38,$A8,交易明細!$J$2:$J$38,"未平倉")</f>
        <v/>
      </c>
    </row>
    <row r="9">
      <c r="A9" s="2" t="inlineStr">
        <is>
          <t>BULLA_USDT_PERP</t>
        </is>
      </c>
      <c r="B9" s="2">
        <f>COUNTIFS(交易明細!$B$2:$B$38,$A9)</f>
        <v/>
      </c>
      <c r="C9" s="2">
        <f>COUNTIFS(交易明細!$B$2:$B$38,$A9,交易明細!$C$2:$C$38,"做多")</f>
        <v/>
      </c>
      <c r="D9" s="2">
        <f>COUNTIFS(交易明細!$B$2:$B$38,$A9,交易明細!$C$2:$C$38,"做空")</f>
        <v/>
      </c>
      <c r="E9" s="2">
        <f>F9+G9+COUNTIFS(交易明細!$B$2:$B$38,$A9,交易明細!$J$2:$J$38,"時間出場")</f>
        <v/>
      </c>
      <c r="F9" s="2">
        <f>COUNTIFS(交易明細!$B$2:$B$38,$A9,交易明細!$J$2:$J$38,"止盈")</f>
        <v/>
      </c>
      <c r="G9" s="2">
        <f>COUNTIFS(交易明細!$B$2:$B$38,$A9,交易明細!$J$2:$J$38,"止損")</f>
        <v/>
      </c>
      <c r="H9" s="4">
        <f>IFERROR(F9/E9,0)</f>
        <v/>
      </c>
      <c r="I9" s="4">
        <f>IFERROR(AVERAGEIFS(交易明細!$L$2:$L$38,交易明細!$B$2:$B$38,$A9,交易明細!$J$2:$J$38,"&lt;&gt;未平倉"),0)</f>
        <v/>
      </c>
      <c r="J9" s="4">
        <f>SUMIFS(交易明細!$L$2:$L$38,交易明細!$B$2:$B$38,$A9,交易明細!$J$2:$J$38,"&lt;&gt;未平倉")</f>
        <v/>
      </c>
      <c r="K9" s="5">
        <f>IFERROR(AVERAGEIFS(交易明細!$K$2:$K$38,交易明細!$B$2:$B$38,$A9,交易明細!$J$2:$J$38,"&lt;&gt;未平倉"),0)</f>
        <v/>
      </c>
      <c r="L9" s="2">
        <f>COUNTIFS(交易明細!$B$2:$B$38,$A9,交易明細!$J$2:$J$38,"未平倉")</f>
        <v/>
      </c>
    </row>
    <row r="10">
      <c r="A10" s="2" t="inlineStr">
        <is>
          <t>AKE_USDT_PERP</t>
        </is>
      </c>
      <c r="B10" s="2">
        <f>COUNTIFS(交易明細!$B$2:$B$38,$A10)</f>
        <v/>
      </c>
      <c r="C10" s="2">
        <f>COUNTIFS(交易明細!$B$2:$B$38,$A10,交易明細!$C$2:$C$38,"做多")</f>
        <v/>
      </c>
      <c r="D10" s="2">
        <f>COUNTIFS(交易明細!$B$2:$B$38,$A10,交易明細!$C$2:$C$38,"做空")</f>
        <v/>
      </c>
      <c r="E10" s="2">
        <f>F10+G10+COUNTIFS(交易明細!$B$2:$B$38,$A10,交易明細!$J$2:$J$38,"時間出場")</f>
        <v/>
      </c>
      <c r="F10" s="2">
        <f>COUNTIFS(交易明細!$B$2:$B$38,$A10,交易明細!$J$2:$J$38,"止盈")</f>
        <v/>
      </c>
      <c r="G10" s="2">
        <f>COUNTIFS(交易明細!$B$2:$B$38,$A10,交易明細!$J$2:$J$38,"止損")</f>
        <v/>
      </c>
      <c r="H10" s="4">
        <f>IFERROR(F10/E10,0)</f>
        <v/>
      </c>
      <c r="I10" s="4">
        <f>IFERROR(AVERAGEIFS(交易明細!$L$2:$L$38,交易明細!$B$2:$B$38,$A10,交易明細!$J$2:$J$38,"&lt;&gt;未平倉"),0)</f>
        <v/>
      </c>
      <c r="J10" s="4">
        <f>SUMIFS(交易明細!$L$2:$L$38,交易明細!$B$2:$B$38,$A10,交易明細!$J$2:$J$38,"&lt;&gt;未平倉")</f>
        <v/>
      </c>
      <c r="K10" s="5">
        <f>IFERROR(AVERAGEIFS(交易明細!$K$2:$K$38,交易明細!$B$2:$B$38,$A10,交易明細!$J$2:$J$38,"&lt;&gt;未平倉"),0)</f>
        <v/>
      </c>
      <c r="L10" s="2">
        <f>COUNTIFS(交易明細!$B$2:$B$38,$A10,交易明細!$J$2:$J$38,"未平倉")</f>
        <v/>
      </c>
    </row>
    <row r="11">
      <c r="A11" s="2" t="inlineStr">
        <is>
          <t>RIVER_USDT_PERP</t>
        </is>
      </c>
      <c r="B11" s="2">
        <f>COUNTIFS(交易明細!$B$2:$B$38,$A11)</f>
        <v/>
      </c>
      <c r="C11" s="2">
        <f>COUNTIFS(交易明細!$B$2:$B$38,$A11,交易明細!$C$2:$C$38,"做多")</f>
        <v/>
      </c>
      <c r="D11" s="2">
        <f>COUNTIFS(交易明細!$B$2:$B$38,$A11,交易明細!$C$2:$C$38,"做空")</f>
        <v/>
      </c>
      <c r="E11" s="2">
        <f>F11+G11+COUNTIFS(交易明細!$B$2:$B$38,$A11,交易明細!$J$2:$J$38,"時間出場")</f>
        <v/>
      </c>
      <c r="F11" s="2">
        <f>COUNTIFS(交易明細!$B$2:$B$38,$A11,交易明細!$J$2:$J$38,"止盈")</f>
        <v/>
      </c>
      <c r="G11" s="2">
        <f>COUNTIFS(交易明細!$B$2:$B$38,$A11,交易明細!$J$2:$J$38,"止損")</f>
        <v/>
      </c>
      <c r="H11" s="4">
        <f>IFERROR(F11/E11,0)</f>
        <v/>
      </c>
      <c r="I11" s="4">
        <f>IFERROR(AVERAGEIFS(交易明細!$L$2:$L$38,交易明細!$B$2:$B$38,$A11,交易明細!$J$2:$J$38,"&lt;&gt;未平倉"),0)</f>
        <v/>
      </c>
      <c r="J11" s="4">
        <f>SUMIFS(交易明細!$L$2:$L$38,交易明細!$B$2:$B$38,$A11,交易明細!$J$2:$J$38,"&lt;&gt;未平倉")</f>
        <v/>
      </c>
      <c r="K11" s="5">
        <f>IFERROR(AVERAGEIFS(交易明細!$K$2:$K$38,交易明細!$B$2:$B$38,$A11,交易明細!$J$2:$J$38,"&lt;&gt;未平倉"),0)</f>
        <v/>
      </c>
      <c r="L11" s="2">
        <f>COUNTIFS(交易明細!$B$2:$B$38,$A11,交易明細!$J$2:$J$38,"未平倉")</f>
        <v/>
      </c>
    </row>
    <row r="12">
      <c r="A12" s="2" t="inlineStr">
        <is>
          <t>ACE_USDT_PERP</t>
        </is>
      </c>
      <c r="B12" s="2">
        <f>COUNTIFS(交易明細!$B$2:$B$38,$A12)</f>
        <v/>
      </c>
      <c r="C12" s="2">
        <f>COUNTIFS(交易明細!$B$2:$B$38,$A12,交易明細!$C$2:$C$38,"做多")</f>
        <v/>
      </c>
      <c r="D12" s="2">
        <f>COUNTIFS(交易明細!$B$2:$B$38,$A12,交易明細!$C$2:$C$38,"做空")</f>
        <v/>
      </c>
      <c r="E12" s="2">
        <f>F12+G12+COUNTIFS(交易明細!$B$2:$B$38,$A12,交易明細!$J$2:$J$38,"時間出場")</f>
        <v/>
      </c>
      <c r="F12" s="2">
        <f>COUNTIFS(交易明細!$B$2:$B$38,$A12,交易明細!$J$2:$J$38,"止盈")</f>
        <v/>
      </c>
      <c r="G12" s="2">
        <f>COUNTIFS(交易明細!$B$2:$B$38,$A12,交易明細!$J$2:$J$38,"止損")</f>
        <v/>
      </c>
      <c r="H12" s="4">
        <f>IFERROR(F12/E12,0)</f>
        <v/>
      </c>
      <c r="I12" s="4">
        <f>IFERROR(AVERAGEIFS(交易明細!$L$2:$L$38,交易明細!$B$2:$B$38,$A12,交易明細!$J$2:$J$38,"&lt;&gt;未平倉"),0)</f>
        <v/>
      </c>
      <c r="J12" s="4">
        <f>SUMIFS(交易明細!$L$2:$L$38,交易明細!$B$2:$B$38,$A12,交易明細!$J$2:$J$38,"&lt;&gt;未平倉")</f>
        <v/>
      </c>
      <c r="K12" s="5">
        <f>IFERROR(AVERAGEIFS(交易明細!$K$2:$K$38,交易明細!$B$2:$B$38,$A12,交易明細!$J$2:$J$38,"&lt;&gt;未平倉"),0)</f>
        <v/>
      </c>
      <c r="L12" s="2">
        <f>COUNTIFS(交易明細!$B$2:$B$38,$A12,交易明細!$J$2:$J$38,"未平倉")</f>
        <v/>
      </c>
    </row>
    <row r="13">
      <c r="A13" s="2" t="inlineStr">
        <is>
          <t>ARB_USDT_PERP</t>
        </is>
      </c>
      <c r="B13" s="2">
        <f>COUNTIFS(交易明細!$B$2:$B$38,$A13)</f>
        <v/>
      </c>
      <c r="C13" s="2">
        <f>COUNTIFS(交易明細!$B$2:$B$38,$A13,交易明細!$C$2:$C$38,"做多")</f>
        <v/>
      </c>
      <c r="D13" s="2">
        <f>COUNTIFS(交易明細!$B$2:$B$38,$A13,交易明細!$C$2:$C$38,"做空")</f>
        <v/>
      </c>
      <c r="E13" s="2">
        <f>F13+G13+COUNTIFS(交易明細!$B$2:$B$38,$A13,交易明細!$J$2:$J$38,"時間出場")</f>
        <v/>
      </c>
      <c r="F13" s="2">
        <f>COUNTIFS(交易明細!$B$2:$B$38,$A13,交易明細!$J$2:$J$38,"止盈")</f>
        <v/>
      </c>
      <c r="G13" s="2">
        <f>COUNTIFS(交易明細!$B$2:$B$38,$A13,交易明細!$J$2:$J$38,"止損")</f>
        <v/>
      </c>
      <c r="H13" s="4">
        <f>IFERROR(F13/E13,0)</f>
        <v/>
      </c>
      <c r="I13" s="4">
        <f>IFERROR(AVERAGEIFS(交易明細!$L$2:$L$38,交易明細!$B$2:$B$38,$A13,交易明細!$J$2:$J$38,"&lt;&gt;未平倉"),0)</f>
        <v/>
      </c>
      <c r="J13" s="4">
        <f>SUMIFS(交易明細!$L$2:$L$38,交易明細!$B$2:$B$38,$A13,交易明細!$J$2:$J$38,"&lt;&gt;未平倉")</f>
        <v/>
      </c>
      <c r="K13" s="5">
        <f>IFERROR(AVERAGEIFS(交易明細!$K$2:$K$38,交易明細!$B$2:$B$38,$A13,交易明細!$J$2:$J$38,"&lt;&gt;未平倉"),0)</f>
        <v/>
      </c>
      <c r="L13" s="2">
        <f>COUNTIFS(交易明細!$B$2:$B$38,$A13,交易明細!$J$2:$J$38,"未平倉")</f>
        <v/>
      </c>
    </row>
    <row r="14">
      <c r="A14" s="2" t="inlineStr">
        <is>
          <t>DASH_USDT_PERP</t>
        </is>
      </c>
      <c r="B14" s="2">
        <f>COUNTIFS(交易明細!$B$2:$B$38,$A14)</f>
        <v/>
      </c>
      <c r="C14" s="2">
        <f>COUNTIFS(交易明細!$B$2:$B$38,$A14,交易明細!$C$2:$C$38,"做多")</f>
        <v/>
      </c>
      <c r="D14" s="2">
        <f>COUNTIFS(交易明細!$B$2:$B$38,$A14,交易明細!$C$2:$C$38,"做空")</f>
        <v/>
      </c>
      <c r="E14" s="2">
        <f>F14+G14+COUNTIFS(交易明細!$B$2:$B$38,$A14,交易明細!$J$2:$J$38,"時間出場")</f>
        <v/>
      </c>
      <c r="F14" s="2">
        <f>COUNTIFS(交易明細!$B$2:$B$38,$A14,交易明細!$J$2:$J$38,"止盈")</f>
        <v/>
      </c>
      <c r="G14" s="2">
        <f>COUNTIFS(交易明細!$B$2:$B$38,$A14,交易明細!$J$2:$J$38,"止損")</f>
        <v/>
      </c>
      <c r="H14" s="4">
        <f>IFERROR(F14/E14,0)</f>
        <v/>
      </c>
      <c r="I14" s="4">
        <f>IFERROR(AVERAGEIFS(交易明細!$L$2:$L$38,交易明細!$B$2:$B$38,$A14,交易明細!$J$2:$J$38,"&lt;&gt;未平倉"),0)</f>
        <v/>
      </c>
      <c r="J14" s="4">
        <f>SUMIFS(交易明細!$L$2:$L$38,交易明細!$B$2:$B$38,$A14,交易明細!$J$2:$J$38,"&lt;&gt;未平倉")</f>
        <v/>
      </c>
      <c r="K14" s="5">
        <f>IFERROR(AVERAGEIFS(交易明細!$K$2:$K$38,交易明細!$B$2:$B$38,$A14,交易明細!$J$2:$J$38,"&lt;&gt;未平倉"),0)</f>
        <v/>
      </c>
      <c r="L14" s="2">
        <f>COUNTIFS(交易明細!$B$2:$B$38,$A14,交易明細!$J$2:$J$38,"未平倉")</f>
        <v/>
      </c>
    </row>
    <row r="15">
      <c r="A15" s="2" t="inlineStr">
        <is>
          <t>IOST_USDT_PERP</t>
        </is>
      </c>
      <c r="B15" s="2">
        <f>COUNTIFS(交易明細!$B$2:$B$38,$A15)</f>
        <v/>
      </c>
      <c r="C15" s="2">
        <f>COUNTIFS(交易明細!$B$2:$B$38,$A15,交易明細!$C$2:$C$38,"做多")</f>
        <v/>
      </c>
      <c r="D15" s="2">
        <f>COUNTIFS(交易明細!$B$2:$B$38,$A15,交易明細!$C$2:$C$38,"做空")</f>
        <v/>
      </c>
      <c r="E15" s="2">
        <f>F15+G15+COUNTIFS(交易明細!$B$2:$B$38,$A15,交易明細!$J$2:$J$38,"時間出場")</f>
        <v/>
      </c>
      <c r="F15" s="2">
        <f>COUNTIFS(交易明細!$B$2:$B$38,$A15,交易明細!$J$2:$J$38,"止盈")</f>
        <v/>
      </c>
      <c r="G15" s="2">
        <f>COUNTIFS(交易明細!$B$2:$B$38,$A15,交易明細!$J$2:$J$38,"止損")</f>
        <v/>
      </c>
      <c r="H15" s="4">
        <f>IFERROR(F15/E15,0)</f>
        <v/>
      </c>
      <c r="I15" s="4">
        <f>IFERROR(AVERAGEIFS(交易明細!$L$2:$L$38,交易明細!$B$2:$B$38,$A15,交易明細!$J$2:$J$38,"&lt;&gt;未平倉"),0)</f>
        <v/>
      </c>
      <c r="J15" s="4">
        <f>SUMIFS(交易明細!$L$2:$L$38,交易明細!$B$2:$B$38,$A15,交易明細!$J$2:$J$38,"&lt;&gt;未平倉")</f>
        <v/>
      </c>
      <c r="K15" s="5">
        <f>IFERROR(AVERAGEIFS(交易明細!$K$2:$K$38,交易明細!$B$2:$B$38,$A15,交易明細!$J$2:$J$38,"&lt;&gt;未平倉"),0)</f>
        <v/>
      </c>
      <c r="L15" s="2">
        <f>COUNTIFS(交易明細!$B$2:$B$38,$A15,交易明細!$J$2:$J$38,"未平倉")</f>
        <v/>
      </c>
    </row>
    <row r="16">
      <c r="A16" s="2" t="inlineStr">
        <is>
          <t>CASHCAT_USDT_PERP</t>
        </is>
      </c>
      <c r="B16" s="2">
        <f>COUNTIFS(交易明細!$B$2:$B$38,$A16)</f>
        <v/>
      </c>
      <c r="C16" s="2">
        <f>COUNTIFS(交易明細!$B$2:$B$38,$A16,交易明細!$C$2:$C$38,"做多")</f>
        <v/>
      </c>
      <c r="D16" s="2">
        <f>COUNTIFS(交易明細!$B$2:$B$38,$A16,交易明細!$C$2:$C$38,"做空")</f>
        <v/>
      </c>
      <c r="E16" s="2">
        <f>F16+G16+COUNTIFS(交易明細!$B$2:$B$38,$A16,交易明細!$J$2:$J$38,"時間出場")</f>
        <v/>
      </c>
      <c r="F16" s="2">
        <f>COUNTIFS(交易明細!$B$2:$B$38,$A16,交易明細!$J$2:$J$38,"止盈")</f>
        <v/>
      </c>
      <c r="G16" s="2">
        <f>COUNTIFS(交易明細!$B$2:$B$38,$A16,交易明細!$J$2:$J$38,"止損")</f>
        <v/>
      </c>
      <c r="H16" s="4">
        <f>IFERROR(F16/E16,0)</f>
        <v/>
      </c>
      <c r="I16" s="4">
        <f>IFERROR(AVERAGEIFS(交易明細!$L$2:$L$38,交易明細!$B$2:$B$38,$A16,交易明細!$J$2:$J$38,"&lt;&gt;未平倉"),0)</f>
        <v/>
      </c>
      <c r="J16" s="4">
        <f>SUMIFS(交易明細!$L$2:$L$38,交易明細!$B$2:$B$38,$A16,交易明細!$J$2:$J$38,"&lt;&gt;未平倉")</f>
        <v/>
      </c>
      <c r="K16" s="5">
        <f>IFERROR(AVERAGEIFS(交易明細!$K$2:$K$38,交易明細!$B$2:$B$38,$A16,交易明細!$J$2:$J$38,"&lt;&gt;未平倉"),0)</f>
        <v/>
      </c>
      <c r="L16" s="2">
        <f>COUNTIFS(交易明細!$B$2:$B$38,$A16,交易明細!$J$2:$J$38,"未平倉")</f>
        <v/>
      </c>
    </row>
    <row r="17">
      <c r="A17" s="2" t="inlineStr">
        <is>
          <t>LAB_USDT_PERP</t>
        </is>
      </c>
      <c r="B17" s="2">
        <f>COUNTIFS(交易明細!$B$2:$B$38,$A17)</f>
        <v/>
      </c>
      <c r="C17" s="2">
        <f>COUNTIFS(交易明細!$B$2:$B$38,$A17,交易明細!$C$2:$C$38,"做多")</f>
        <v/>
      </c>
      <c r="D17" s="2">
        <f>COUNTIFS(交易明細!$B$2:$B$38,$A17,交易明細!$C$2:$C$38,"做空")</f>
        <v/>
      </c>
      <c r="E17" s="2">
        <f>F17+G17+COUNTIFS(交易明細!$B$2:$B$38,$A17,交易明細!$J$2:$J$38,"時間出場")</f>
        <v/>
      </c>
      <c r="F17" s="2">
        <f>COUNTIFS(交易明細!$B$2:$B$38,$A17,交易明細!$J$2:$J$38,"止盈")</f>
        <v/>
      </c>
      <c r="G17" s="2">
        <f>COUNTIFS(交易明細!$B$2:$B$38,$A17,交易明細!$J$2:$J$38,"止損")</f>
        <v/>
      </c>
      <c r="H17" s="4">
        <f>IFERROR(F17/E17,0)</f>
        <v/>
      </c>
      <c r="I17" s="4">
        <f>IFERROR(AVERAGEIFS(交易明細!$L$2:$L$38,交易明細!$B$2:$B$38,$A17,交易明細!$J$2:$J$38,"&lt;&gt;未平倉"),0)</f>
        <v/>
      </c>
      <c r="J17" s="4">
        <f>SUMIFS(交易明細!$L$2:$L$38,交易明細!$B$2:$B$38,$A17,交易明細!$J$2:$J$38,"&lt;&gt;未平倉")</f>
        <v/>
      </c>
      <c r="K17" s="5">
        <f>IFERROR(AVERAGEIFS(交易明細!$K$2:$K$38,交易明細!$B$2:$B$38,$A17,交易明細!$J$2:$J$38,"&lt;&gt;未平倉"),0)</f>
        <v/>
      </c>
      <c r="L17" s="2">
        <f>COUNTIFS(交易明細!$B$2:$B$38,$A17,交易明細!$J$2:$J$38,"未平倉")</f>
        <v/>
      </c>
    </row>
  </sheetData>
  <autoFilter ref="A1:L1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>
        <is>
          <t>持倉中</t>
        </is>
      </c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/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/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/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/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/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/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/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/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2026-09-17T22:16:45Z</dcterms:created>
  <dcterms:modified xsi:type="dcterms:W3CDTF">2026-09-17T22:16:45Z</dcterms:modified>
</cp:coreProperties>
</file>