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'資金明細'!$A$1:$Z$58</definedName>
    <definedName name="_xlnm._FilterDatabase" localSheetId="6" hidden="1">'交易明細'!$A$1:$AC$29</definedName>
    <definedName name="_xlnm._FilterDatabase" localSheetId="7" hidden="1">'幣種統計'!$A$1:$L$16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2026-09-14 06:27（Dry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COUNTIFS(交易明細!$B$2:$B$29,"&lt;&gt;")</f>
        <v/>
      </c>
      <c r="C5" s="2">
        <f>D5+E5+F5</f>
        <v/>
      </c>
      <c r="D5" s="2">
        <f>COUNTIFS(交易明細!$J$2:$J$29,"止盈")</f>
        <v/>
      </c>
      <c r="E5" s="2">
        <f>COUNTIFS(交易明細!$J$2:$J$29,"止損")</f>
        <v/>
      </c>
      <c r="F5" s="2">
        <f>COUNTIFS(交易明細!$J$2:$J$29,"時間出場")</f>
        <v/>
      </c>
      <c r="G5" s="2">
        <f>COUNTIFS(交易明細!$J$2:$J$29,"未平倉")</f>
        <v/>
      </c>
      <c r="H5" s="4">
        <f>IFERROR(D5/C5,0)</f>
        <v/>
      </c>
      <c r="I5" s="4">
        <f>IFERROR(AVERAGEIFS(交易明細!$AC$2:$AC$29,交易明細!$J$2:$J$29,"&lt;&gt;未平倉"),參數!$B$16)</f>
        <v/>
      </c>
      <c r="J5" s="4">
        <f>IFERROR(AVERAGEIFS(交易明細!$L$2:$L$29,交易明細!$J$2:$J$29,"&lt;&gt;未平倉"),0)</f>
        <v/>
      </c>
      <c r="K5" s="4">
        <f>SUMIFS(交易明細!$L$2:$L$29,交易明細!$J$2:$J$29,"&lt;&gt;未平倉")</f>
        <v/>
      </c>
      <c r="L5" s="5">
        <f>IFERROR(AVERAGEIFS(交易明細!$K$2:$K$29,交易明細!$J$2:$J$29,"&lt;&gt;未平倉"),0)</f>
        <v/>
      </c>
      <c r="M5" s="5">
        <f>IFERROR(AVERAGEIFS(交易明細!$K$2:$K$29,交易明細!$J$2:$J$29,"止盈"),0)</f>
        <v/>
      </c>
      <c r="N5" s="5">
        <f>IFERROR(AVERAGEIFS(交易明細!$K$2:$K$29,交易明細!$J$2:$J$29,"止損"),0)</f>
        <v/>
      </c>
      <c r="O5" s="4">
        <f>IFERROR(AVERAGEIFS(交易明細!$L$2:$L$29,交易明細!$J$2:$J$29,"時間出場"),0)</f>
        <v/>
      </c>
      <c r="P5" s="4">
        <f>IFERROR(COUNTIFS(交易明細!$J$2:$J$29,"&lt;&gt;未平倉",交易明細!$L$2:$L$29,"&gt;0")/C5,0)</f>
        <v/>
      </c>
    </row>
    <row r="6">
      <c r="A6" s="2" t="inlineStr">
        <is>
          <t>做多</t>
        </is>
      </c>
      <c r="B6" s="2">
        <f>COUNTIFS(交易明細!$C$2:$C$29,"做多",交易明細!$B$2:$B$29,"&lt;&gt;")</f>
        <v/>
      </c>
      <c r="C6" s="2">
        <f>D6+E6+F6</f>
        <v/>
      </c>
      <c r="D6" s="2">
        <f>COUNTIFS(交易明細!$C$2:$C$29,"做多",交易明細!$J$2:$J$29,"止盈")</f>
        <v/>
      </c>
      <c r="E6" s="2">
        <f>COUNTIFS(交易明細!$C$2:$C$29,"做多",交易明細!$J$2:$J$29,"止損")</f>
        <v/>
      </c>
      <c r="F6" s="2">
        <f>COUNTIFS(交易明細!$C$2:$C$29,"做多",交易明細!$J$2:$J$29,"時間出場")</f>
        <v/>
      </c>
      <c r="G6" s="2">
        <f>COUNTIFS(交易明細!$C$2:$C$29,"做多",交易明細!$J$2:$J$29,"未平倉")</f>
        <v/>
      </c>
      <c r="H6" s="4">
        <f>IFERROR(D6/C6,0)</f>
        <v/>
      </c>
      <c r="I6" s="4">
        <f>IFERROR(AVERAGEIFS(交易明細!$AC$2:$AC$29,交易明細!$C$2:$C$29,"做多",交易明細!$J$2:$J$29,"&lt;&gt;未平倉"),參數!$B$16)</f>
        <v/>
      </c>
      <c r="J6" s="4">
        <f>IFERROR(AVERAGEIFS(交易明細!$L$2:$L$29,交易明細!$C$2:$C$29,"做多",交易明細!$J$2:$J$29,"&lt;&gt;未平倉"),0)</f>
        <v/>
      </c>
      <c r="K6" s="4">
        <f>SUMIFS(交易明細!$L$2:$L$29,交易明細!$C$2:$C$29,"做多",交易明細!$J$2:$J$29,"&lt;&gt;未平倉")</f>
        <v/>
      </c>
      <c r="L6" s="5">
        <f>IFERROR(AVERAGEIFS(交易明細!$K$2:$K$29,交易明細!$C$2:$C$29,"做多",交易明細!$J$2:$J$29,"&lt;&gt;未平倉"),0)</f>
        <v/>
      </c>
      <c r="M6" s="5">
        <f>IFERROR(AVERAGEIFS(交易明細!$K$2:$K$29,交易明細!$C$2:$C$29,"做多",交易明細!$J$2:$J$29,"止盈"),0)</f>
        <v/>
      </c>
      <c r="N6" s="5">
        <f>IFERROR(AVERAGEIFS(交易明細!$K$2:$K$29,交易明細!$C$2:$C$29,"做多",交易明細!$J$2:$J$29,"止損"),0)</f>
        <v/>
      </c>
      <c r="O6" s="4">
        <f>IFERROR(AVERAGEIFS(交易明細!$L$2:$L$29,交易明細!$C$2:$C$29,"做多",交易明細!$J$2:$J$29,"時間出場"),0)</f>
        <v/>
      </c>
      <c r="P6" s="4">
        <f>IFERROR(COUNTIFS(交易明細!$C$2:$C$29,"做多",交易明細!$J$2:$J$29,"&lt;&gt;未平倉",交易明細!$L$2:$L$29,"&gt;0")/C6,0)</f>
        <v/>
      </c>
    </row>
    <row r="7">
      <c r="A7" s="2" t="inlineStr">
        <is>
          <t>做空</t>
        </is>
      </c>
      <c r="B7" s="2">
        <f>COUNTIFS(交易明細!$C$2:$C$29,"做空",交易明細!$B$2:$B$29,"&lt;&gt;")</f>
        <v/>
      </c>
      <c r="C7" s="2">
        <f>D7+E7+F7</f>
        <v/>
      </c>
      <c r="D7" s="2">
        <f>COUNTIFS(交易明細!$C$2:$C$29,"做空",交易明細!$J$2:$J$29,"止盈")</f>
        <v/>
      </c>
      <c r="E7" s="2">
        <f>COUNTIFS(交易明細!$C$2:$C$29,"做空",交易明細!$J$2:$J$29,"止損")</f>
        <v/>
      </c>
      <c r="F7" s="2">
        <f>COUNTIFS(交易明細!$C$2:$C$29,"做空",交易明細!$J$2:$J$29,"時間出場")</f>
        <v/>
      </c>
      <c r="G7" s="2">
        <f>COUNTIFS(交易明細!$C$2:$C$29,"做空",交易明細!$J$2:$J$29,"未平倉")</f>
        <v/>
      </c>
      <c r="H7" s="4">
        <f>IFERROR(D7/C7,0)</f>
        <v/>
      </c>
      <c r="I7" s="4">
        <f>IFERROR(AVERAGEIFS(交易明細!$AC$2:$AC$29,交易明細!$C$2:$C$29,"做空",交易明細!$J$2:$J$29,"&lt;&gt;未平倉"),參數!$B$16)</f>
        <v/>
      </c>
      <c r="J7" s="4">
        <f>IFERROR(AVERAGEIFS(交易明細!$L$2:$L$29,交易明細!$C$2:$C$29,"做空",交易明細!$J$2:$J$29,"&lt;&gt;未平倉"),0)</f>
        <v/>
      </c>
      <c r="K7" s="4">
        <f>SUMIFS(交易明細!$L$2:$L$29,交易明細!$C$2:$C$29,"做空",交易明細!$J$2:$J$29,"&lt;&gt;未平倉")</f>
        <v/>
      </c>
      <c r="L7" s="5">
        <f>IFERROR(AVERAGEIFS(交易明細!$K$2:$K$29,交易明細!$C$2:$C$29,"做空",交易明細!$J$2:$J$29,"&lt;&gt;未平倉"),0)</f>
        <v/>
      </c>
      <c r="M7" s="5">
        <f>IFERROR(AVERAGEIFS(交易明細!$K$2:$K$29,交易明細!$C$2:$C$29,"做空",交易明細!$J$2:$J$29,"止盈"),0)</f>
        <v/>
      </c>
      <c r="N7" s="5">
        <f>IFERROR(AVERAGEIFS(交易明細!$K$2:$K$29,交易明細!$C$2:$C$29,"做空",交易明細!$J$2:$J$29,"止損"),0)</f>
        <v/>
      </c>
      <c r="O7" s="4">
        <f>IFERROR(AVERAGEIFS(交易明細!$L$2:$L$29,交易明細!$C$2:$C$29,"做空",交易明細!$J$2:$J$29,"時間出場"),0)</f>
        <v/>
      </c>
      <c r="P7" s="4">
        <f>IFERROR(COUNTIFS(交易明細!$C$2:$C$29,"做空",交易明細!$J$2:$J$29,"&lt;&gt;未平倉",交易明細!$L$2:$L$29,"&gt;0")/C7,0)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46279.26932584491</v>
      </c>
      <c r="B2" s="7" t="n">
        <v>46279.20833333334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61.1</v>
      </c>
    </row>
    <row r="3">
      <c r="A3" s="7" t="n">
        <v>46279.14665413195</v>
      </c>
      <c r="B3" s="7" t="n">
        <v>46279.08333333334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55.1</v>
      </c>
    </row>
    <row r="4">
      <c r="A4" s="7" t="n">
        <v>46279.01733591435</v>
      </c>
      <c r="B4" s="7" t="n">
        <v>46278.95833333334</v>
      </c>
      <c r="C4" s="2" t="n">
        <v>442</v>
      </c>
      <c r="D4" s="2" t="n">
        <v>1</v>
      </c>
      <c r="E4" s="2" t="n">
        <v>1</v>
      </c>
      <c r="F4" s="2" t="n">
        <v>0</v>
      </c>
      <c r="G4" s="2" t="n">
        <v>59.7</v>
      </c>
    </row>
    <row r="5">
      <c r="A5" s="7" t="n">
        <v>46278.83725055555</v>
      </c>
      <c r="B5" s="7" t="n">
        <v>46278.79166666666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65.40000000000001</v>
      </c>
    </row>
    <row r="6">
      <c r="A6" s="7" t="n">
        <v>46278.71111972223</v>
      </c>
      <c r="B6" s="7" t="n">
        <v>46278.66666666666</v>
      </c>
      <c r="C6" s="2" t="n">
        <v>442</v>
      </c>
      <c r="D6" s="2" t="n">
        <v>0</v>
      </c>
      <c r="E6" s="2" t="n">
        <v>1</v>
      </c>
      <c r="F6" s="2" t="n">
        <v>0</v>
      </c>
      <c r="G6" s="2" t="n">
        <v>63.6</v>
      </c>
    </row>
    <row r="7">
      <c r="A7" s="7" t="n">
        <v>46278.68053923611</v>
      </c>
      <c r="B7" s="7" t="n">
        <v>46278.625</v>
      </c>
      <c r="C7" s="2" t="n">
        <v>442</v>
      </c>
      <c r="D7" s="2" t="n">
        <v>2</v>
      </c>
      <c r="E7" s="2" t="n">
        <v>1</v>
      </c>
      <c r="F7" s="2" t="n">
        <v>0</v>
      </c>
      <c r="G7" s="2" t="n">
        <v>63.6</v>
      </c>
    </row>
    <row r="8">
      <c r="A8" s="7" t="n">
        <v>46278.07354997685</v>
      </c>
      <c r="B8" s="7" t="n">
        <v>46278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50.2</v>
      </c>
    </row>
    <row r="9">
      <c r="A9" s="7" t="n">
        <v>46277.94390239583</v>
      </c>
      <c r="B9" s="7" t="n">
        <v>46277.875</v>
      </c>
      <c r="C9" s="2" t="n">
        <v>442</v>
      </c>
      <c r="D9" s="2" t="n">
        <v>25</v>
      </c>
      <c r="E9" s="2" t="n">
        <v>25</v>
      </c>
      <c r="F9" s="2" t="n">
        <v>0</v>
      </c>
      <c r="G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62</v>
      </c>
      <c r="C6" s="10" t="n">
        <v>0.5645161290322581</v>
      </c>
      <c r="D6" s="4" t="n">
        <v>-0.005838709677419364</v>
      </c>
      <c r="E6" s="2" t="n">
        <v>25</v>
      </c>
      <c r="F6" s="10" t="n">
        <v>0.5600000000000001</v>
      </c>
      <c r="G6" s="4" t="n">
        <v>-0.00620000000000001</v>
      </c>
      <c r="H6" s="2" t="n">
        <v>25</v>
      </c>
      <c r="I6" s="10" t="n">
        <v>0.5600000000000001</v>
      </c>
      <c r="J6" s="4" t="n">
        <v>-0.00620000000000001</v>
      </c>
      <c r="K6" s="2" t="n">
        <v>30</v>
      </c>
      <c r="L6" s="10" t="n">
        <v>0.7333333333333333</v>
      </c>
      <c r="M6" s="4" t="n">
        <v>0.00766666666666667</v>
      </c>
      <c r="N6" s="2" t="n">
        <v>47</v>
      </c>
      <c r="O6" s="10" t="n">
        <v>0.6595744680851063</v>
      </c>
      <c r="P6" s="4" t="n">
        <v>0.001765957446808508</v>
      </c>
      <c r="Q6" s="2" t="n">
        <v>16</v>
      </c>
      <c r="R6" s="10" t="n">
        <v>0.625</v>
      </c>
      <c r="S6" s="4" t="n">
        <v>-0.001000000000000008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MIN(資金明細!$X$2:$X$58)</f>
        <v/>
      </c>
    </row>
    <row r="9">
      <c r="A9" s="2" t="inlineStr">
        <is>
          <t>下單基準模式</t>
        </is>
      </c>
      <c r="B9" s="15" t="n">
        <v>1</v>
      </c>
      <c r="D9" s="2" t="inlineStr">
        <is>
          <t>已下單筆數</t>
        </is>
      </c>
      <c r="E9" s="18">
        <f>COUNTIFS(資金明細!$C$2:$C$58,"進場",資金明細!$N$2:$N$58,"已下單")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COUNTIFS(資金明細!$C$2:$C$58,"進場",資金明細!$N$2:$N$58,"資金不足略過")</f>
        <v/>
      </c>
    </row>
    <row r="11">
      <c r="D11" s="2" t="inlineStr">
        <is>
          <t>止盈筆數</t>
        </is>
      </c>
      <c r="E11" s="18">
        <f>COUNTIFS(資金明細!$C$2:$C$58,"出場",資金明細!$N$2:$N$58,"已下單",資金明細!$K$2:$K$58,"止盈")</f>
        <v/>
      </c>
    </row>
    <row r="12">
      <c r="A12" s="2" t="inlineStr">
        <is>
          <t>每筆止損約虧本金</t>
        </is>
      </c>
      <c r="B12" s="4">
        <f>B5*B7*IFERROR(AVERAGE(交易明細!$AB$2:$AB$29),參數!B6)</f>
        <v/>
      </c>
      <c r="D12" s="2" t="inlineStr">
        <is>
          <t>止損筆數</t>
        </is>
      </c>
      <c r="E12" s="18">
        <f>COUNTIFS(資金明細!$C$2:$C$58,"出場",資金明細!$N$2:$N$58,"已下單",資金明細!$K$2:$K$58,"止損")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IFERROR(E11/COUNTIFS(資金明細!$C$2:$C$58,"出場",資金明細!$N$2:$N$58,"已下單"),0)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MAX(資金明細!$S$2:$S$58)</f>
        <v/>
      </c>
    </row>
    <row r="16">
      <c r="D16" s="2" t="inlineStr">
        <is>
          <t>期末下單金額</t>
        </is>
      </c>
      <c r="E16" s="19">
        <f>B5*資金明細!V58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MAX(資金明細!$Y$2:$Y$58)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IFERROR(INDEX(資金明細!$B$2:$B$58,MATCH(1,資金明細!$Z$2:$Z$58,0)),"未觸發")</f>
        <v/>
      </c>
    </row>
    <row r="21">
      <c r="D21" s="2" t="inlineStr">
        <is>
          <t>停止後略過筆數</t>
        </is>
      </c>
      <c r="E21" s="18">
        <f>COUNTIFS(資金明細!$C$2:$C$58,"進場",資金明細!$N$2:$N$58,"已停止")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</sheetData>
  <autoFilter ref="A1:Z58"/>
  <conditionalFormatting sqref="K2:K5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2026-09-14 06:27（Dry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</sheetData>
  <autoFilter ref="A1:AC29"/>
  <conditionalFormatting sqref="J2:J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COUNTIFS(交易明細!$B$2:$B$29,$A2)</f>
        <v/>
      </c>
      <c r="C2" s="2">
        <f>COUNTIFS(交易明細!$B$2:$B$29,$A2,交易明細!$C$2:$C$29,"做多")</f>
        <v/>
      </c>
      <c r="D2" s="2">
        <f>COUNTIFS(交易明細!$B$2:$B$29,$A2,交易明細!$C$2:$C$29,"做空")</f>
        <v/>
      </c>
      <c r="E2" s="2">
        <f>F2+G2+COUNTIFS(交易明細!$B$2:$B$29,$A2,交易明細!$J$2:$J$29,"時間出場")</f>
        <v/>
      </c>
      <c r="F2" s="2">
        <f>COUNTIFS(交易明細!$B$2:$B$29,$A2,交易明細!$J$2:$J$29,"止盈")</f>
        <v/>
      </c>
      <c r="G2" s="2">
        <f>COUNTIFS(交易明細!$B$2:$B$29,$A2,交易明細!$J$2:$J$29,"止損")</f>
        <v/>
      </c>
      <c r="H2" s="4">
        <f>IFERROR(F2/E2,0)</f>
        <v/>
      </c>
      <c r="I2" s="4">
        <f>IFERROR(AVERAGEIFS(交易明細!$L$2:$L$29,交易明細!$B$2:$B$29,$A2,交易明細!$J$2:$J$29,"&lt;&gt;未平倉"),0)</f>
        <v/>
      </c>
      <c r="J2" s="4">
        <f>SUMIFS(交易明細!$L$2:$L$29,交易明細!$B$2:$B$29,$A2,交易明細!$J$2:$J$29,"&lt;&gt;未平倉")</f>
        <v/>
      </c>
      <c r="K2" s="5">
        <f>IFERROR(AVERAGEIFS(交易明細!$K$2:$K$29,交易明細!$B$2:$B$29,$A2,交易明細!$J$2:$J$29,"&lt;&gt;未平倉"),0)</f>
        <v/>
      </c>
      <c r="L2" s="2">
        <f>COUNTIFS(交易明細!$B$2:$B$29,$A2,交易明細!$J$2:$J$29,"未平倉")</f>
        <v/>
      </c>
    </row>
    <row r="3">
      <c r="A3" s="2" t="inlineStr">
        <is>
          <t>UAI_USDT_PERP</t>
        </is>
      </c>
      <c r="B3" s="2">
        <f>COUNTIFS(交易明細!$B$2:$B$29,$A3)</f>
        <v/>
      </c>
      <c r="C3" s="2">
        <f>COUNTIFS(交易明細!$B$2:$B$29,$A3,交易明細!$C$2:$C$29,"做多")</f>
        <v/>
      </c>
      <c r="D3" s="2">
        <f>COUNTIFS(交易明細!$B$2:$B$29,$A3,交易明細!$C$2:$C$29,"做空")</f>
        <v/>
      </c>
      <c r="E3" s="2">
        <f>F3+G3+COUNTIFS(交易明細!$B$2:$B$29,$A3,交易明細!$J$2:$J$29,"時間出場")</f>
        <v/>
      </c>
      <c r="F3" s="2">
        <f>COUNTIFS(交易明細!$B$2:$B$29,$A3,交易明細!$J$2:$J$29,"止盈")</f>
        <v/>
      </c>
      <c r="G3" s="2">
        <f>COUNTIFS(交易明細!$B$2:$B$29,$A3,交易明細!$J$2:$J$29,"止損")</f>
        <v/>
      </c>
      <c r="H3" s="4">
        <f>IFERROR(F3/E3,0)</f>
        <v/>
      </c>
      <c r="I3" s="4">
        <f>IFERROR(AVERAGEIFS(交易明細!$L$2:$L$29,交易明細!$B$2:$B$29,$A3,交易明細!$J$2:$J$29,"&lt;&gt;未平倉"),0)</f>
        <v/>
      </c>
      <c r="J3" s="4">
        <f>SUMIFS(交易明細!$L$2:$L$29,交易明細!$B$2:$B$29,$A3,交易明細!$J$2:$J$29,"&lt;&gt;未平倉")</f>
        <v/>
      </c>
      <c r="K3" s="5">
        <f>IFERROR(AVERAGEIFS(交易明細!$K$2:$K$29,交易明細!$B$2:$B$29,$A3,交易明細!$J$2:$J$29,"&lt;&gt;未平倉"),0)</f>
        <v/>
      </c>
      <c r="L3" s="2">
        <f>COUNTIFS(交易明細!$B$2:$B$29,$A3,交易明細!$J$2:$J$29,"未平倉")</f>
        <v/>
      </c>
    </row>
    <row r="4">
      <c r="A4" s="2" t="inlineStr">
        <is>
          <t>VVV_USDT_PERP</t>
        </is>
      </c>
      <c r="B4" s="2">
        <f>COUNTIFS(交易明細!$B$2:$B$29,$A4)</f>
        <v/>
      </c>
      <c r="C4" s="2">
        <f>COUNTIFS(交易明細!$B$2:$B$29,$A4,交易明細!$C$2:$C$29,"做多")</f>
        <v/>
      </c>
      <c r="D4" s="2">
        <f>COUNTIFS(交易明細!$B$2:$B$29,$A4,交易明細!$C$2:$C$29,"做空")</f>
        <v/>
      </c>
      <c r="E4" s="2">
        <f>F4+G4+COUNTIFS(交易明細!$B$2:$B$29,$A4,交易明細!$J$2:$J$29,"時間出場")</f>
        <v/>
      </c>
      <c r="F4" s="2">
        <f>COUNTIFS(交易明細!$B$2:$B$29,$A4,交易明細!$J$2:$J$29,"止盈")</f>
        <v/>
      </c>
      <c r="G4" s="2">
        <f>COUNTIFS(交易明細!$B$2:$B$29,$A4,交易明細!$J$2:$J$29,"止損")</f>
        <v/>
      </c>
      <c r="H4" s="4">
        <f>IFERROR(F4/E4,0)</f>
        <v/>
      </c>
      <c r="I4" s="4">
        <f>IFERROR(AVERAGEIFS(交易明細!$L$2:$L$29,交易明細!$B$2:$B$29,$A4,交易明細!$J$2:$J$29,"&lt;&gt;未平倉"),0)</f>
        <v/>
      </c>
      <c r="J4" s="4">
        <f>SUMIFS(交易明細!$L$2:$L$29,交易明細!$B$2:$B$29,$A4,交易明細!$J$2:$J$29,"&lt;&gt;未平倉")</f>
        <v/>
      </c>
      <c r="K4" s="5">
        <f>IFERROR(AVERAGEIFS(交易明細!$K$2:$K$29,交易明細!$B$2:$B$29,$A4,交易明細!$J$2:$J$29,"&lt;&gt;未平倉"),0)</f>
        <v/>
      </c>
      <c r="L4" s="2">
        <f>COUNTIFS(交易明細!$B$2:$B$29,$A4,交易明細!$J$2:$J$29,"未平倉")</f>
        <v/>
      </c>
    </row>
    <row r="5">
      <c r="A5" s="2" t="inlineStr">
        <is>
          <t>USELESS_USDT_PERP</t>
        </is>
      </c>
      <c r="B5" s="2">
        <f>COUNTIFS(交易明細!$B$2:$B$29,$A5)</f>
        <v/>
      </c>
      <c r="C5" s="2">
        <f>COUNTIFS(交易明細!$B$2:$B$29,$A5,交易明細!$C$2:$C$29,"做多")</f>
        <v/>
      </c>
      <c r="D5" s="2">
        <f>COUNTIFS(交易明細!$B$2:$B$29,$A5,交易明細!$C$2:$C$29,"做空")</f>
        <v/>
      </c>
      <c r="E5" s="2">
        <f>F5+G5+COUNTIFS(交易明細!$B$2:$B$29,$A5,交易明細!$J$2:$J$29,"時間出場")</f>
        <v/>
      </c>
      <c r="F5" s="2">
        <f>COUNTIFS(交易明細!$B$2:$B$29,$A5,交易明細!$J$2:$J$29,"止盈")</f>
        <v/>
      </c>
      <c r="G5" s="2">
        <f>COUNTIFS(交易明細!$B$2:$B$29,$A5,交易明細!$J$2:$J$29,"止損")</f>
        <v/>
      </c>
      <c r="H5" s="4">
        <f>IFERROR(F5/E5,0)</f>
        <v/>
      </c>
      <c r="I5" s="4">
        <f>IFERROR(AVERAGEIFS(交易明細!$L$2:$L$29,交易明細!$B$2:$B$29,$A5,交易明細!$J$2:$J$29,"&lt;&gt;未平倉"),0)</f>
        <v/>
      </c>
      <c r="J5" s="4">
        <f>SUMIFS(交易明細!$L$2:$L$29,交易明細!$B$2:$B$29,$A5,交易明細!$J$2:$J$29,"&lt;&gt;未平倉")</f>
        <v/>
      </c>
      <c r="K5" s="5">
        <f>IFERROR(AVERAGEIFS(交易明細!$K$2:$K$29,交易明細!$B$2:$B$29,$A5,交易明細!$J$2:$J$29,"&lt;&gt;未平倉"),0)</f>
        <v/>
      </c>
      <c r="L5" s="2">
        <f>COUNTIFS(交易明細!$B$2:$B$29,$A5,交易明細!$J$2:$J$29,"未平倉")</f>
        <v/>
      </c>
    </row>
    <row r="6">
      <c r="A6" s="2" t="inlineStr">
        <is>
          <t>HEMI_USDT_PERP</t>
        </is>
      </c>
      <c r="B6" s="2">
        <f>COUNTIFS(交易明細!$B$2:$B$29,$A6)</f>
        <v/>
      </c>
      <c r="C6" s="2">
        <f>COUNTIFS(交易明細!$B$2:$B$29,$A6,交易明細!$C$2:$C$29,"做多")</f>
        <v/>
      </c>
      <c r="D6" s="2">
        <f>COUNTIFS(交易明細!$B$2:$B$29,$A6,交易明細!$C$2:$C$29,"做空")</f>
        <v/>
      </c>
      <c r="E6" s="2">
        <f>F6+G6+COUNTIFS(交易明細!$B$2:$B$29,$A6,交易明細!$J$2:$J$29,"時間出場")</f>
        <v/>
      </c>
      <c r="F6" s="2">
        <f>COUNTIFS(交易明細!$B$2:$B$29,$A6,交易明細!$J$2:$J$29,"止盈")</f>
        <v/>
      </c>
      <c r="G6" s="2">
        <f>COUNTIFS(交易明細!$B$2:$B$29,$A6,交易明細!$J$2:$J$29,"止損")</f>
        <v/>
      </c>
      <c r="H6" s="4">
        <f>IFERROR(F6/E6,0)</f>
        <v/>
      </c>
      <c r="I6" s="4">
        <f>IFERROR(AVERAGEIFS(交易明細!$L$2:$L$29,交易明細!$B$2:$B$29,$A6,交易明細!$J$2:$J$29,"&lt;&gt;未平倉"),0)</f>
        <v/>
      </c>
      <c r="J6" s="4">
        <f>SUMIFS(交易明細!$L$2:$L$29,交易明細!$B$2:$B$29,$A6,交易明細!$J$2:$J$29,"&lt;&gt;未平倉")</f>
        <v/>
      </c>
      <c r="K6" s="5">
        <f>IFERROR(AVERAGEIFS(交易明細!$K$2:$K$29,交易明細!$B$2:$B$29,$A6,交易明細!$J$2:$J$29,"&lt;&gt;未平倉"),0)</f>
        <v/>
      </c>
      <c r="L6" s="2">
        <f>COUNTIFS(交易明細!$B$2:$B$29,$A6,交易明細!$J$2:$J$29,"未平倉")</f>
        <v/>
      </c>
    </row>
    <row r="7">
      <c r="A7" s="2" t="inlineStr">
        <is>
          <t>BULLA_USDT_PERP</t>
        </is>
      </c>
      <c r="B7" s="2">
        <f>COUNTIFS(交易明細!$B$2:$B$29,$A7)</f>
        <v/>
      </c>
      <c r="C7" s="2">
        <f>COUNTIFS(交易明細!$B$2:$B$29,$A7,交易明細!$C$2:$C$29,"做多")</f>
        <v/>
      </c>
      <c r="D7" s="2">
        <f>COUNTIFS(交易明細!$B$2:$B$29,$A7,交易明細!$C$2:$C$29,"做空")</f>
        <v/>
      </c>
      <c r="E7" s="2">
        <f>F7+G7+COUNTIFS(交易明細!$B$2:$B$29,$A7,交易明細!$J$2:$J$29,"時間出場")</f>
        <v/>
      </c>
      <c r="F7" s="2">
        <f>COUNTIFS(交易明細!$B$2:$B$29,$A7,交易明細!$J$2:$J$29,"止盈")</f>
        <v/>
      </c>
      <c r="G7" s="2">
        <f>COUNTIFS(交易明細!$B$2:$B$29,$A7,交易明細!$J$2:$J$29,"止損")</f>
        <v/>
      </c>
      <c r="H7" s="4">
        <f>IFERROR(F7/E7,0)</f>
        <v/>
      </c>
      <c r="I7" s="4">
        <f>IFERROR(AVERAGEIFS(交易明細!$L$2:$L$29,交易明細!$B$2:$B$29,$A7,交易明細!$J$2:$J$29,"&lt;&gt;未平倉"),0)</f>
        <v/>
      </c>
      <c r="J7" s="4">
        <f>SUMIFS(交易明細!$L$2:$L$29,交易明細!$B$2:$B$29,$A7,交易明細!$J$2:$J$29,"&lt;&gt;未平倉")</f>
        <v/>
      </c>
      <c r="K7" s="5">
        <f>IFERROR(AVERAGEIFS(交易明細!$K$2:$K$29,交易明細!$B$2:$B$29,$A7,交易明細!$J$2:$J$29,"&lt;&gt;未平倉"),0)</f>
        <v/>
      </c>
      <c r="L7" s="2">
        <f>COUNTIFS(交易明細!$B$2:$B$29,$A7,交易明細!$J$2:$J$29,"未平倉")</f>
        <v/>
      </c>
    </row>
    <row r="8">
      <c r="A8" s="2" t="inlineStr">
        <is>
          <t>PONS_USDT_PERP</t>
        </is>
      </c>
      <c r="B8" s="2">
        <f>COUNTIFS(交易明細!$B$2:$B$29,$A8)</f>
        <v/>
      </c>
      <c r="C8" s="2">
        <f>COUNTIFS(交易明細!$B$2:$B$29,$A8,交易明細!$C$2:$C$29,"做多")</f>
        <v/>
      </c>
      <c r="D8" s="2">
        <f>COUNTIFS(交易明細!$B$2:$B$29,$A8,交易明細!$C$2:$C$29,"做空")</f>
        <v/>
      </c>
      <c r="E8" s="2">
        <f>F8+G8+COUNTIFS(交易明細!$B$2:$B$29,$A8,交易明細!$J$2:$J$29,"時間出場")</f>
        <v/>
      </c>
      <c r="F8" s="2">
        <f>COUNTIFS(交易明細!$B$2:$B$29,$A8,交易明細!$J$2:$J$29,"止盈")</f>
        <v/>
      </c>
      <c r="G8" s="2">
        <f>COUNTIFS(交易明細!$B$2:$B$29,$A8,交易明細!$J$2:$J$29,"止損")</f>
        <v/>
      </c>
      <c r="H8" s="4">
        <f>IFERROR(F8/E8,0)</f>
        <v/>
      </c>
      <c r="I8" s="4">
        <f>IFERROR(AVERAGEIFS(交易明細!$L$2:$L$29,交易明細!$B$2:$B$29,$A8,交易明細!$J$2:$J$29,"&lt;&gt;未平倉"),0)</f>
        <v/>
      </c>
      <c r="J8" s="4">
        <f>SUMIFS(交易明細!$L$2:$L$29,交易明細!$B$2:$B$29,$A8,交易明細!$J$2:$J$29,"&lt;&gt;未平倉")</f>
        <v/>
      </c>
      <c r="K8" s="5">
        <f>IFERROR(AVERAGEIFS(交易明細!$K$2:$K$29,交易明細!$B$2:$B$29,$A8,交易明細!$J$2:$J$29,"&lt;&gt;未平倉"),0)</f>
        <v/>
      </c>
      <c r="L8" s="2">
        <f>COUNTIFS(交易明細!$B$2:$B$29,$A8,交易明細!$J$2:$J$29,"未平倉")</f>
        <v/>
      </c>
    </row>
    <row r="9">
      <c r="A9" s="2" t="inlineStr">
        <is>
          <t>RIVER_USDT_PERP</t>
        </is>
      </c>
      <c r="B9" s="2">
        <f>COUNTIFS(交易明細!$B$2:$B$29,$A9)</f>
        <v/>
      </c>
      <c r="C9" s="2">
        <f>COUNTIFS(交易明細!$B$2:$B$29,$A9,交易明細!$C$2:$C$29,"做多")</f>
        <v/>
      </c>
      <c r="D9" s="2">
        <f>COUNTIFS(交易明細!$B$2:$B$29,$A9,交易明細!$C$2:$C$29,"做空")</f>
        <v/>
      </c>
      <c r="E9" s="2">
        <f>F9+G9+COUNTIFS(交易明細!$B$2:$B$29,$A9,交易明細!$J$2:$J$29,"時間出場")</f>
        <v/>
      </c>
      <c r="F9" s="2">
        <f>COUNTIFS(交易明細!$B$2:$B$29,$A9,交易明細!$J$2:$J$29,"止盈")</f>
        <v/>
      </c>
      <c r="G9" s="2">
        <f>COUNTIFS(交易明細!$B$2:$B$29,$A9,交易明細!$J$2:$J$29,"止損")</f>
        <v/>
      </c>
      <c r="H9" s="4">
        <f>IFERROR(F9/E9,0)</f>
        <v/>
      </c>
      <c r="I9" s="4">
        <f>IFERROR(AVERAGEIFS(交易明細!$L$2:$L$29,交易明細!$B$2:$B$29,$A9,交易明細!$J$2:$J$29,"&lt;&gt;未平倉"),0)</f>
        <v/>
      </c>
      <c r="J9" s="4">
        <f>SUMIFS(交易明細!$L$2:$L$29,交易明細!$B$2:$B$29,$A9,交易明細!$J$2:$J$29,"&lt;&gt;未平倉")</f>
        <v/>
      </c>
      <c r="K9" s="5">
        <f>IFERROR(AVERAGEIFS(交易明細!$K$2:$K$29,交易明細!$B$2:$B$29,$A9,交易明細!$J$2:$J$29,"&lt;&gt;未平倉"),0)</f>
        <v/>
      </c>
      <c r="L9" s="2">
        <f>COUNTIFS(交易明細!$B$2:$B$29,$A9,交易明細!$J$2:$J$29,"未平倉")</f>
        <v/>
      </c>
    </row>
    <row r="10">
      <c r="A10" s="2" t="inlineStr">
        <is>
          <t>ACE_USDT_PERP</t>
        </is>
      </c>
      <c r="B10" s="2">
        <f>COUNTIFS(交易明細!$B$2:$B$29,$A10)</f>
        <v/>
      </c>
      <c r="C10" s="2">
        <f>COUNTIFS(交易明細!$B$2:$B$29,$A10,交易明細!$C$2:$C$29,"做多")</f>
        <v/>
      </c>
      <c r="D10" s="2">
        <f>COUNTIFS(交易明細!$B$2:$B$29,$A10,交易明細!$C$2:$C$29,"做空")</f>
        <v/>
      </c>
      <c r="E10" s="2">
        <f>F10+G10+COUNTIFS(交易明細!$B$2:$B$29,$A10,交易明細!$J$2:$J$29,"時間出場")</f>
        <v/>
      </c>
      <c r="F10" s="2">
        <f>COUNTIFS(交易明細!$B$2:$B$29,$A10,交易明細!$J$2:$J$29,"止盈")</f>
        <v/>
      </c>
      <c r="G10" s="2">
        <f>COUNTIFS(交易明細!$B$2:$B$29,$A10,交易明細!$J$2:$J$29,"止損")</f>
        <v/>
      </c>
      <c r="H10" s="4">
        <f>IFERROR(F10/E10,0)</f>
        <v/>
      </c>
      <c r="I10" s="4">
        <f>IFERROR(AVERAGEIFS(交易明細!$L$2:$L$29,交易明細!$B$2:$B$29,$A10,交易明細!$J$2:$J$29,"&lt;&gt;未平倉"),0)</f>
        <v/>
      </c>
      <c r="J10" s="4">
        <f>SUMIFS(交易明細!$L$2:$L$29,交易明細!$B$2:$B$29,$A10,交易明細!$J$2:$J$29,"&lt;&gt;未平倉")</f>
        <v/>
      </c>
      <c r="K10" s="5">
        <f>IFERROR(AVERAGEIFS(交易明細!$K$2:$K$29,交易明細!$B$2:$B$29,$A10,交易明細!$J$2:$J$29,"&lt;&gt;未平倉"),0)</f>
        <v/>
      </c>
      <c r="L10" s="2">
        <f>COUNTIFS(交易明細!$B$2:$B$29,$A10,交易明細!$J$2:$J$29,"未平倉")</f>
        <v/>
      </c>
    </row>
    <row r="11">
      <c r="A11" s="2" t="inlineStr">
        <is>
          <t>ARB_USDT_PERP</t>
        </is>
      </c>
      <c r="B11" s="2">
        <f>COUNTIFS(交易明細!$B$2:$B$29,$A11)</f>
        <v/>
      </c>
      <c r="C11" s="2">
        <f>COUNTIFS(交易明細!$B$2:$B$29,$A11,交易明細!$C$2:$C$29,"做多")</f>
        <v/>
      </c>
      <c r="D11" s="2">
        <f>COUNTIFS(交易明細!$B$2:$B$29,$A11,交易明細!$C$2:$C$29,"做空")</f>
        <v/>
      </c>
      <c r="E11" s="2">
        <f>F11+G11+COUNTIFS(交易明細!$B$2:$B$29,$A11,交易明細!$J$2:$J$29,"時間出場")</f>
        <v/>
      </c>
      <c r="F11" s="2">
        <f>COUNTIFS(交易明細!$B$2:$B$29,$A11,交易明細!$J$2:$J$29,"止盈")</f>
        <v/>
      </c>
      <c r="G11" s="2">
        <f>COUNTIFS(交易明細!$B$2:$B$29,$A11,交易明細!$J$2:$J$29,"止損")</f>
        <v/>
      </c>
      <c r="H11" s="4">
        <f>IFERROR(F11/E11,0)</f>
        <v/>
      </c>
      <c r="I11" s="4">
        <f>IFERROR(AVERAGEIFS(交易明細!$L$2:$L$29,交易明細!$B$2:$B$29,$A11,交易明細!$J$2:$J$29,"&lt;&gt;未平倉"),0)</f>
        <v/>
      </c>
      <c r="J11" s="4">
        <f>SUMIFS(交易明細!$L$2:$L$29,交易明細!$B$2:$B$29,$A11,交易明細!$J$2:$J$29,"&lt;&gt;未平倉")</f>
        <v/>
      </c>
      <c r="K11" s="5">
        <f>IFERROR(AVERAGEIFS(交易明細!$K$2:$K$29,交易明細!$B$2:$B$29,$A11,交易明細!$J$2:$J$29,"&lt;&gt;未平倉"),0)</f>
        <v/>
      </c>
      <c r="L11" s="2">
        <f>COUNTIFS(交易明細!$B$2:$B$29,$A11,交易明細!$J$2:$J$29,"未平倉")</f>
        <v/>
      </c>
    </row>
    <row r="12">
      <c r="A12" s="2" t="inlineStr">
        <is>
          <t>DASH_USDT_PERP</t>
        </is>
      </c>
      <c r="B12" s="2">
        <f>COUNTIFS(交易明細!$B$2:$B$29,$A12)</f>
        <v/>
      </c>
      <c r="C12" s="2">
        <f>COUNTIFS(交易明細!$B$2:$B$29,$A12,交易明細!$C$2:$C$29,"做多")</f>
        <v/>
      </c>
      <c r="D12" s="2">
        <f>COUNTIFS(交易明細!$B$2:$B$29,$A12,交易明細!$C$2:$C$29,"做空")</f>
        <v/>
      </c>
      <c r="E12" s="2">
        <f>F12+G12+COUNTIFS(交易明細!$B$2:$B$29,$A12,交易明細!$J$2:$J$29,"時間出場")</f>
        <v/>
      </c>
      <c r="F12" s="2">
        <f>COUNTIFS(交易明細!$B$2:$B$29,$A12,交易明細!$J$2:$J$29,"止盈")</f>
        <v/>
      </c>
      <c r="G12" s="2">
        <f>COUNTIFS(交易明細!$B$2:$B$29,$A12,交易明細!$J$2:$J$29,"止損")</f>
        <v/>
      </c>
      <c r="H12" s="4">
        <f>IFERROR(F12/E12,0)</f>
        <v/>
      </c>
      <c r="I12" s="4">
        <f>IFERROR(AVERAGEIFS(交易明細!$L$2:$L$29,交易明細!$B$2:$B$29,$A12,交易明細!$J$2:$J$29,"&lt;&gt;未平倉"),0)</f>
        <v/>
      </c>
      <c r="J12" s="4">
        <f>SUMIFS(交易明細!$L$2:$L$29,交易明細!$B$2:$B$29,$A12,交易明細!$J$2:$J$29,"&lt;&gt;未平倉")</f>
        <v/>
      </c>
      <c r="K12" s="5">
        <f>IFERROR(AVERAGEIFS(交易明細!$K$2:$K$29,交易明細!$B$2:$B$29,$A12,交易明細!$J$2:$J$29,"&lt;&gt;未平倉"),0)</f>
        <v/>
      </c>
      <c r="L12" s="2">
        <f>COUNTIFS(交易明細!$B$2:$B$29,$A12,交易明細!$J$2:$J$29,"未平倉")</f>
        <v/>
      </c>
    </row>
    <row r="13">
      <c r="A13" s="2" t="inlineStr">
        <is>
          <t>IOST_USDT_PERP</t>
        </is>
      </c>
      <c r="B13" s="2">
        <f>COUNTIFS(交易明細!$B$2:$B$29,$A13)</f>
        <v/>
      </c>
      <c r="C13" s="2">
        <f>COUNTIFS(交易明細!$B$2:$B$29,$A13,交易明細!$C$2:$C$29,"做多")</f>
        <v/>
      </c>
      <c r="D13" s="2">
        <f>COUNTIFS(交易明細!$B$2:$B$29,$A13,交易明細!$C$2:$C$29,"做空")</f>
        <v/>
      </c>
      <c r="E13" s="2">
        <f>F13+G13+COUNTIFS(交易明細!$B$2:$B$29,$A13,交易明細!$J$2:$J$29,"時間出場")</f>
        <v/>
      </c>
      <c r="F13" s="2">
        <f>COUNTIFS(交易明細!$B$2:$B$29,$A13,交易明細!$J$2:$J$29,"止盈")</f>
        <v/>
      </c>
      <c r="G13" s="2">
        <f>COUNTIFS(交易明細!$B$2:$B$29,$A13,交易明細!$J$2:$J$29,"止損")</f>
        <v/>
      </c>
      <c r="H13" s="4">
        <f>IFERROR(F13/E13,0)</f>
        <v/>
      </c>
      <c r="I13" s="4">
        <f>IFERROR(AVERAGEIFS(交易明細!$L$2:$L$29,交易明細!$B$2:$B$29,$A13,交易明細!$J$2:$J$29,"&lt;&gt;未平倉"),0)</f>
        <v/>
      </c>
      <c r="J13" s="4">
        <f>SUMIFS(交易明細!$L$2:$L$29,交易明細!$B$2:$B$29,$A13,交易明細!$J$2:$J$29,"&lt;&gt;未平倉")</f>
        <v/>
      </c>
      <c r="K13" s="5">
        <f>IFERROR(AVERAGEIFS(交易明細!$K$2:$K$29,交易明細!$B$2:$B$29,$A13,交易明細!$J$2:$J$29,"&lt;&gt;未平倉"),0)</f>
        <v/>
      </c>
      <c r="L13" s="2">
        <f>COUNTIFS(交易明細!$B$2:$B$29,$A13,交易明細!$J$2:$J$29,"未平倉")</f>
        <v/>
      </c>
    </row>
    <row r="14">
      <c r="A14" s="2" t="inlineStr">
        <is>
          <t>CASHCAT_USDT_PERP</t>
        </is>
      </c>
      <c r="B14" s="2">
        <f>COUNTIFS(交易明細!$B$2:$B$29,$A14)</f>
        <v/>
      </c>
      <c r="C14" s="2">
        <f>COUNTIFS(交易明細!$B$2:$B$29,$A14,交易明細!$C$2:$C$29,"做多")</f>
        <v/>
      </c>
      <c r="D14" s="2">
        <f>COUNTIFS(交易明細!$B$2:$B$29,$A14,交易明細!$C$2:$C$29,"做空")</f>
        <v/>
      </c>
      <c r="E14" s="2">
        <f>F14+G14+COUNTIFS(交易明細!$B$2:$B$29,$A14,交易明細!$J$2:$J$29,"時間出場")</f>
        <v/>
      </c>
      <c r="F14" s="2">
        <f>COUNTIFS(交易明細!$B$2:$B$29,$A14,交易明細!$J$2:$J$29,"止盈")</f>
        <v/>
      </c>
      <c r="G14" s="2">
        <f>COUNTIFS(交易明細!$B$2:$B$29,$A14,交易明細!$J$2:$J$29,"止損")</f>
        <v/>
      </c>
      <c r="H14" s="4">
        <f>IFERROR(F14/E14,0)</f>
        <v/>
      </c>
      <c r="I14" s="4">
        <f>IFERROR(AVERAGEIFS(交易明細!$L$2:$L$29,交易明細!$B$2:$B$29,$A14,交易明細!$J$2:$J$29,"&lt;&gt;未平倉"),0)</f>
        <v/>
      </c>
      <c r="J14" s="4">
        <f>SUMIFS(交易明細!$L$2:$L$29,交易明細!$B$2:$B$29,$A14,交易明細!$J$2:$J$29,"&lt;&gt;未平倉")</f>
        <v/>
      </c>
      <c r="K14" s="5">
        <f>IFERROR(AVERAGEIFS(交易明細!$K$2:$K$29,交易明細!$B$2:$B$29,$A14,交易明細!$J$2:$J$29,"&lt;&gt;未平倉"),0)</f>
        <v/>
      </c>
      <c r="L14" s="2">
        <f>COUNTIFS(交易明細!$B$2:$B$29,$A14,交易明細!$J$2:$J$29,"未平倉")</f>
        <v/>
      </c>
    </row>
    <row r="15">
      <c r="A15" s="2" t="inlineStr">
        <is>
          <t>AKE_USDT_PERP</t>
        </is>
      </c>
      <c r="B15" s="2">
        <f>COUNTIFS(交易明細!$B$2:$B$29,$A15)</f>
        <v/>
      </c>
      <c r="C15" s="2">
        <f>COUNTIFS(交易明細!$B$2:$B$29,$A15,交易明細!$C$2:$C$29,"做多")</f>
        <v/>
      </c>
      <c r="D15" s="2">
        <f>COUNTIFS(交易明細!$B$2:$B$29,$A15,交易明細!$C$2:$C$29,"做空")</f>
        <v/>
      </c>
      <c r="E15" s="2">
        <f>F15+G15+COUNTIFS(交易明細!$B$2:$B$29,$A15,交易明細!$J$2:$J$29,"時間出場")</f>
        <v/>
      </c>
      <c r="F15" s="2">
        <f>COUNTIFS(交易明細!$B$2:$B$29,$A15,交易明細!$J$2:$J$29,"止盈")</f>
        <v/>
      </c>
      <c r="G15" s="2">
        <f>COUNTIFS(交易明細!$B$2:$B$29,$A15,交易明細!$J$2:$J$29,"止損")</f>
        <v/>
      </c>
      <c r="H15" s="4">
        <f>IFERROR(F15/E15,0)</f>
        <v/>
      </c>
      <c r="I15" s="4">
        <f>IFERROR(AVERAGEIFS(交易明細!$L$2:$L$29,交易明細!$B$2:$B$29,$A15,交易明細!$J$2:$J$29,"&lt;&gt;未平倉"),0)</f>
        <v/>
      </c>
      <c r="J15" s="4">
        <f>SUMIFS(交易明細!$L$2:$L$29,交易明細!$B$2:$B$29,$A15,交易明細!$J$2:$J$29,"&lt;&gt;未平倉")</f>
        <v/>
      </c>
      <c r="K15" s="5">
        <f>IFERROR(AVERAGEIFS(交易明細!$K$2:$K$29,交易明細!$B$2:$B$29,$A15,交易明細!$J$2:$J$29,"&lt;&gt;未平倉"),0)</f>
        <v/>
      </c>
      <c r="L15" s="2">
        <f>COUNTIFS(交易明細!$B$2:$B$29,$A15,交易明細!$J$2:$J$29,"未平倉")</f>
        <v/>
      </c>
    </row>
    <row r="16">
      <c r="A16" s="2" t="inlineStr">
        <is>
          <t>LAB_USDT_PERP</t>
        </is>
      </c>
      <c r="B16" s="2">
        <f>COUNTIFS(交易明細!$B$2:$B$29,$A16)</f>
        <v/>
      </c>
      <c r="C16" s="2">
        <f>COUNTIFS(交易明細!$B$2:$B$29,$A16,交易明細!$C$2:$C$29,"做多")</f>
        <v/>
      </c>
      <c r="D16" s="2">
        <f>COUNTIFS(交易明細!$B$2:$B$29,$A16,交易明細!$C$2:$C$29,"做空")</f>
        <v/>
      </c>
      <c r="E16" s="2">
        <f>F16+G16+COUNTIFS(交易明細!$B$2:$B$29,$A16,交易明細!$J$2:$J$29,"時間出場")</f>
        <v/>
      </c>
      <c r="F16" s="2">
        <f>COUNTIFS(交易明細!$B$2:$B$29,$A16,交易明細!$J$2:$J$29,"止盈")</f>
        <v/>
      </c>
      <c r="G16" s="2">
        <f>COUNTIFS(交易明細!$B$2:$B$29,$A16,交易明細!$J$2:$J$29,"止損")</f>
        <v/>
      </c>
      <c r="H16" s="4">
        <f>IFERROR(F16/E16,0)</f>
        <v/>
      </c>
      <c r="I16" s="4">
        <f>IFERROR(AVERAGEIFS(交易明細!$L$2:$L$29,交易明細!$B$2:$B$29,$A16,交易明細!$J$2:$J$29,"&lt;&gt;未平倉"),0)</f>
        <v/>
      </c>
      <c r="J16" s="4">
        <f>SUMIFS(交易明細!$L$2:$L$29,交易明細!$B$2:$B$29,$A16,交易明細!$J$2:$J$29,"&lt;&gt;未平倉")</f>
        <v/>
      </c>
      <c r="K16" s="5">
        <f>IFERROR(AVERAGEIFS(交易明細!$K$2:$K$29,交易明細!$B$2:$B$29,$A16,交易明細!$J$2:$J$29,"&lt;&gt;未平倉"),0)</f>
        <v/>
      </c>
      <c r="L16" s="2">
        <f>COUNTIFS(交易明細!$B$2:$B$29,$A16,交易明細!$J$2:$J$29,"未平倉")</f>
        <v/>
      </c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2026-09-13T22:28:50Z</dcterms:created>
  <dcterms:modified xsi:type="dcterms:W3CDTF">2026-09-13T22:28:50Z</dcterms:modified>
</cp:coreProperties>
</file>