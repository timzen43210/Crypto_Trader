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'資金明細'!$A$1:$Z$73</definedName>
    <definedName name="_xlnm._FilterDatabase" localSheetId="6" hidden="1">'交易明細'!$A$1:$AC$37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21:33（Dry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COUNTIFS(交易明細!$B$2:$B$37,"&lt;&gt;")</f>
        <v/>
      </c>
      <c r="C5" s="2">
        <f>D5+E5+F5</f>
        <v/>
      </c>
      <c r="D5" s="2">
        <f>COUNTIFS(交易明細!$J$2:$J$37,"止盈")</f>
        <v/>
      </c>
      <c r="E5" s="2">
        <f>COUNTIFS(交易明細!$J$2:$J$37,"止損")</f>
        <v/>
      </c>
      <c r="F5" s="2">
        <f>COUNTIFS(交易明細!$J$2:$J$37,"時間出場")</f>
        <v/>
      </c>
      <c r="G5" s="2">
        <f>COUNTIFS(交易明細!$J$2:$J$37,"未平倉")</f>
        <v/>
      </c>
      <c r="H5" s="4">
        <f>IFERROR(D5/C5,0)</f>
        <v/>
      </c>
      <c r="I5" s="4">
        <f>IFERROR(AVERAGEIFS(交易明細!$AC$2:$AC$37,交易明細!$J$2:$J$37,"&lt;&gt;未平倉"),參數!$B$16)</f>
        <v/>
      </c>
      <c r="J5" s="4">
        <f>IFERROR(AVERAGEIFS(交易明細!$L$2:$L$37,交易明細!$J$2:$J$37,"&lt;&gt;未平倉"),0)</f>
        <v/>
      </c>
      <c r="K5" s="4">
        <f>SUMIFS(交易明細!$L$2:$L$37,交易明細!$J$2:$J$37,"&lt;&gt;未平倉")</f>
        <v/>
      </c>
      <c r="L5" s="5">
        <f>IFERROR(AVERAGEIFS(交易明細!$K$2:$K$37,交易明細!$J$2:$J$37,"&lt;&gt;未平倉"),0)</f>
        <v/>
      </c>
      <c r="M5" s="5">
        <f>IFERROR(AVERAGEIFS(交易明細!$K$2:$K$37,交易明細!$J$2:$J$37,"止盈"),0)</f>
        <v/>
      </c>
      <c r="N5" s="5">
        <f>IFERROR(AVERAGEIFS(交易明細!$K$2:$K$37,交易明細!$J$2:$J$37,"止損"),0)</f>
        <v/>
      </c>
      <c r="O5" s="4">
        <f>IFERROR(AVERAGEIFS(交易明細!$L$2:$L$37,交易明細!$J$2:$J$37,"時間出場"),0)</f>
        <v/>
      </c>
      <c r="P5" s="4">
        <f>IFERROR(COUNTIFS(交易明細!$J$2:$J$37,"&lt;&gt;未平倉",交易明細!$L$2:$L$37,"&gt;0")/C5,0)</f>
        <v/>
      </c>
    </row>
    <row r="6">
      <c r="A6" s="2" t="inlineStr">
        <is>
          <t>做多</t>
        </is>
      </c>
      <c r="B6" s="2">
        <f>COUNTIFS(交易明細!$C$2:$C$37,"做多",交易明細!$B$2:$B$37,"&lt;&gt;")</f>
        <v/>
      </c>
      <c r="C6" s="2">
        <f>D6+E6+F6</f>
        <v/>
      </c>
      <c r="D6" s="2">
        <f>COUNTIFS(交易明細!$C$2:$C$37,"做多",交易明細!$J$2:$J$37,"止盈")</f>
        <v/>
      </c>
      <c r="E6" s="2">
        <f>COUNTIFS(交易明細!$C$2:$C$37,"做多",交易明細!$J$2:$J$37,"止損")</f>
        <v/>
      </c>
      <c r="F6" s="2">
        <f>COUNTIFS(交易明細!$C$2:$C$37,"做多",交易明細!$J$2:$J$37,"時間出場")</f>
        <v/>
      </c>
      <c r="G6" s="2">
        <f>COUNTIFS(交易明細!$C$2:$C$37,"做多",交易明細!$J$2:$J$37,"未平倉")</f>
        <v/>
      </c>
      <c r="H6" s="4">
        <f>IFERROR(D6/C6,0)</f>
        <v/>
      </c>
      <c r="I6" s="4">
        <f>IFERROR(AVERAGEIFS(交易明細!$AC$2:$AC$37,交易明細!$C$2:$C$37,"做多",交易明細!$J$2:$J$37,"&lt;&gt;未平倉"),參數!$B$16)</f>
        <v/>
      </c>
      <c r="J6" s="4">
        <f>IFERROR(AVERAGEIFS(交易明細!$L$2:$L$37,交易明細!$C$2:$C$37,"做多",交易明細!$J$2:$J$37,"&lt;&gt;未平倉"),0)</f>
        <v/>
      </c>
      <c r="K6" s="4">
        <f>SUMIFS(交易明細!$L$2:$L$37,交易明細!$C$2:$C$37,"做多",交易明細!$J$2:$J$37,"&lt;&gt;未平倉")</f>
        <v/>
      </c>
      <c r="L6" s="5">
        <f>IFERROR(AVERAGEIFS(交易明細!$K$2:$K$37,交易明細!$C$2:$C$37,"做多",交易明細!$J$2:$J$37,"&lt;&gt;未平倉"),0)</f>
        <v/>
      </c>
      <c r="M6" s="5">
        <f>IFERROR(AVERAGEIFS(交易明細!$K$2:$K$37,交易明細!$C$2:$C$37,"做多",交易明細!$J$2:$J$37,"止盈"),0)</f>
        <v/>
      </c>
      <c r="N6" s="5">
        <f>IFERROR(AVERAGEIFS(交易明細!$K$2:$K$37,交易明細!$C$2:$C$37,"做多",交易明細!$J$2:$J$37,"止損"),0)</f>
        <v/>
      </c>
      <c r="O6" s="4">
        <f>IFERROR(AVERAGEIFS(交易明細!$L$2:$L$37,交易明細!$C$2:$C$37,"做多",交易明細!$J$2:$J$37,"時間出場"),0)</f>
        <v/>
      </c>
      <c r="P6" s="4">
        <f>IFERROR(COUNTIFS(交易明細!$C$2:$C$37,"做多",交易明細!$J$2:$J$37,"&lt;&gt;未平倉",交易明細!$L$2:$L$37,"&gt;0")/C6,0)</f>
        <v/>
      </c>
    </row>
    <row r="7">
      <c r="A7" s="2" t="inlineStr">
        <is>
          <t>做空</t>
        </is>
      </c>
      <c r="B7" s="2">
        <f>COUNTIFS(交易明細!$C$2:$C$37,"做空",交易明細!$B$2:$B$37,"&lt;&gt;")</f>
        <v/>
      </c>
      <c r="C7" s="2">
        <f>D7+E7+F7</f>
        <v/>
      </c>
      <c r="D7" s="2">
        <f>COUNTIFS(交易明細!$C$2:$C$37,"做空",交易明細!$J$2:$J$37,"止盈")</f>
        <v/>
      </c>
      <c r="E7" s="2">
        <f>COUNTIFS(交易明細!$C$2:$C$37,"做空",交易明細!$J$2:$J$37,"止損")</f>
        <v/>
      </c>
      <c r="F7" s="2">
        <f>COUNTIFS(交易明細!$C$2:$C$37,"做空",交易明細!$J$2:$J$37,"時間出場")</f>
        <v/>
      </c>
      <c r="G7" s="2">
        <f>COUNTIFS(交易明細!$C$2:$C$37,"做空",交易明細!$J$2:$J$37,"未平倉")</f>
        <v/>
      </c>
      <c r="H7" s="4">
        <f>IFERROR(D7/C7,0)</f>
        <v/>
      </c>
      <c r="I7" s="4">
        <f>IFERROR(AVERAGEIFS(交易明細!$AC$2:$AC$37,交易明細!$C$2:$C$37,"做空",交易明細!$J$2:$J$37,"&lt;&gt;未平倉"),參數!$B$16)</f>
        <v/>
      </c>
      <c r="J7" s="4">
        <f>IFERROR(AVERAGEIFS(交易明細!$L$2:$L$37,交易明細!$C$2:$C$37,"做空",交易明細!$J$2:$J$37,"&lt;&gt;未平倉"),0)</f>
        <v/>
      </c>
      <c r="K7" s="4">
        <f>SUMIFS(交易明細!$L$2:$L$37,交易明細!$C$2:$C$37,"做空",交易明細!$J$2:$J$37,"&lt;&gt;未平倉")</f>
        <v/>
      </c>
      <c r="L7" s="5">
        <f>IFERROR(AVERAGEIFS(交易明細!$K$2:$K$37,交易明細!$C$2:$C$37,"做空",交易明細!$J$2:$J$37,"&lt;&gt;未平倉"),0)</f>
        <v/>
      </c>
      <c r="M7" s="5">
        <f>IFERROR(AVERAGEIFS(交易明細!$K$2:$K$37,交易明細!$C$2:$C$37,"做空",交易明細!$J$2:$J$37,"止盈"),0)</f>
        <v/>
      </c>
      <c r="N7" s="5">
        <f>IFERROR(AVERAGEIFS(交易明細!$K$2:$K$37,交易明細!$C$2:$C$37,"做空",交易明細!$J$2:$J$37,"止損"),0)</f>
        <v/>
      </c>
      <c r="O7" s="4">
        <f>IFERROR(AVERAGEIFS(交易明細!$L$2:$L$37,交易明細!$C$2:$C$37,"做空",交易明細!$J$2:$J$37,"時間出場"),0)</f>
        <v/>
      </c>
      <c r="P7" s="4">
        <f>IFERROR(COUNTIFS(交易明細!$C$2:$C$37,"做空",交易明細!$J$2:$J$37,"&lt;&gt;未平倉",交易明細!$L$2:$L$37,"&gt;0")/C7,0)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46282.89824439815</v>
      </c>
      <c r="B2" s="7" t="n">
        <v>46282.89236111111</v>
      </c>
      <c r="C2" s="2" t="n">
        <v>440</v>
      </c>
      <c r="D2" s="2" t="n">
        <v>1</v>
      </c>
      <c r="E2" s="2" t="n">
        <v>0</v>
      </c>
      <c r="F2" s="2" t="n">
        <v>0</v>
      </c>
      <c r="G2" s="2" t="n">
        <v>137</v>
      </c>
    </row>
    <row r="3">
      <c r="A3" s="7" t="n">
        <v>46282.65711792824</v>
      </c>
      <c r="B3" s="7" t="n">
        <v>46282.65277777778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126.6</v>
      </c>
    </row>
    <row r="4">
      <c r="A4" s="7" t="n">
        <v>46282.40350203704</v>
      </c>
      <c r="B4" s="7" t="n">
        <v>46282.39930555555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323.7</v>
      </c>
    </row>
    <row r="5">
      <c r="A5" s="7" t="n">
        <v>46282.39577758102</v>
      </c>
      <c r="B5" s="7" t="n">
        <v>46282.33333333334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50.5</v>
      </c>
    </row>
    <row r="6">
      <c r="A6" s="7" t="n">
        <v>46282.29222982639</v>
      </c>
      <c r="B6" s="7" t="n">
        <v>46282.25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66.2</v>
      </c>
    </row>
    <row r="7">
      <c r="A7" s="7" t="n">
        <v>46282.17576607639</v>
      </c>
      <c r="B7" s="7" t="n">
        <v>46282.125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67</v>
      </c>
    </row>
    <row r="8">
      <c r="A8" s="7" t="n">
        <v>46282.04552453704</v>
      </c>
      <c r="B8" s="7" t="n">
        <v>46282</v>
      </c>
      <c r="C8" s="2" t="n">
        <v>440</v>
      </c>
      <c r="D8" s="2" t="n">
        <v>1</v>
      </c>
      <c r="E8" s="2" t="n">
        <v>0</v>
      </c>
      <c r="F8" s="2" t="n">
        <v>0</v>
      </c>
      <c r="G8" s="2" t="n">
        <v>52.9</v>
      </c>
    </row>
    <row r="9">
      <c r="A9" s="7" t="n">
        <v>46281.82298537037</v>
      </c>
      <c r="B9" s="7" t="n">
        <v>46281.75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65.7</v>
      </c>
    </row>
    <row r="10">
      <c r="A10" s="7" t="n">
        <v>46281.58829054398</v>
      </c>
      <c r="B10" s="7" t="n">
        <v>46281.54166666666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54.5</v>
      </c>
    </row>
    <row r="11">
      <c r="A11" s="7" t="n">
        <v>46281.35205523148</v>
      </c>
      <c r="B11" s="7" t="n">
        <v>46281.29166666666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46281.22963460648</v>
      </c>
      <c r="B12" s="7" t="n">
        <v>46281.16666666666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61.9</v>
      </c>
    </row>
    <row r="13">
      <c r="A13" s="7" t="n">
        <v>46281.094529375</v>
      </c>
      <c r="B13" s="7" t="n">
        <v>46281.04166666666</v>
      </c>
      <c r="C13" s="2" t="n">
        <v>442</v>
      </c>
      <c r="D13" s="2" t="n">
        <v>2</v>
      </c>
      <c r="E13" s="2" t="n">
        <v>2</v>
      </c>
      <c r="F13" s="2" t="n">
        <v>0</v>
      </c>
      <c r="G13" s="2" t="n">
        <v>46.5</v>
      </c>
    </row>
    <row r="14">
      <c r="A14" s="7" t="n">
        <v>46280.9017994676</v>
      </c>
      <c r="B14" s="7" t="n">
        <v>46280.83333333334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56.7</v>
      </c>
    </row>
    <row r="15">
      <c r="A15" s="7" t="n">
        <v>46280.66002480324</v>
      </c>
      <c r="B15" s="7" t="n">
        <v>46280.58333333334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67.40000000000001</v>
      </c>
    </row>
    <row r="16">
      <c r="A16" s="7" t="n">
        <v>46280.4778358449</v>
      </c>
      <c r="B16" s="7" t="n">
        <v>46280.41666666666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61.2</v>
      </c>
    </row>
    <row r="17">
      <c r="A17" s="7" t="n">
        <v>46280.39795681713</v>
      </c>
      <c r="B17" s="7" t="n">
        <v>46280.33333333334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46280.29983445602</v>
      </c>
      <c r="B18" s="7" t="n">
        <v>46280.25</v>
      </c>
      <c r="C18" s="2" t="n">
        <v>442</v>
      </c>
      <c r="D18" s="2" t="n">
        <v>0</v>
      </c>
      <c r="E18" s="2" t="n">
        <v>1</v>
      </c>
      <c r="F18" s="2" t="n">
        <v>0</v>
      </c>
      <c r="G18" s="2" t="n">
        <v>51.6</v>
      </c>
    </row>
    <row r="19">
      <c r="A19" s="7" t="n">
        <v>46280.14350143519</v>
      </c>
      <c r="B19" s="7" t="n">
        <v>46280.08333333334</v>
      </c>
      <c r="C19" s="2" t="n">
        <v>442</v>
      </c>
      <c r="D19" s="2" t="n">
        <v>1</v>
      </c>
      <c r="E19" s="2" t="n">
        <v>0</v>
      </c>
      <c r="F19" s="2" t="n">
        <v>0</v>
      </c>
      <c r="G19" s="2" t="n">
        <v>57.3</v>
      </c>
    </row>
    <row r="20">
      <c r="A20" s="7" t="n">
        <v>46279.92418226852</v>
      </c>
      <c r="B20" s="7" t="n">
        <v>46279.875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48.1</v>
      </c>
    </row>
    <row r="21">
      <c r="A21" s="7" t="n">
        <v>46279.59996445602</v>
      </c>
      <c r="B21" s="7" t="n">
        <v>46279.54166666666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</v>
      </c>
    </row>
    <row r="22">
      <c r="A22" s="7" t="n">
        <v>46279.38316741898</v>
      </c>
      <c r="B22" s="7" t="n">
        <v>46279.33333333334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59.9</v>
      </c>
    </row>
    <row r="23">
      <c r="A23" s="7" t="n">
        <v>46279.26932584491</v>
      </c>
      <c r="B23" s="7" t="n">
        <v>46279.20833333334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61.1</v>
      </c>
    </row>
    <row r="24">
      <c r="A24" s="7" t="n">
        <v>46279.14665413195</v>
      </c>
      <c r="B24" s="7" t="n">
        <v>46279.08333333334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55.1</v>
      </c>
    </row>
    <row r="25">
      <c r="A25" s="7" t="n">
        <v>46279.01733591435</v>
      </c>
      <c r="B25" s="7" t="n">
        <v>46278.95833333334</v>
      </c>
      <c r="C25" s="2" t="n">
        <v>442</v>
      </c>
      <c r="D25" s="2" t="n">
        <v>1</v>
      </c>
      <c r="E25" s="2" t="n">
        <v>1</v>
      </c>
      <c r="F25" s="2" t="n">
        <v>0</v>
      </c>
      <c r="G25" s="2" t="n">
        <v>59.7</v>
      </c>
    </row>
    <row r="26">
      <c r="A26" s="7" t="n">
        <v>46278.83725055555</v>
      </c>
      <c r="B26" s="7" t="n">
        <v>46278.79166666666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65.40000000000001</v>
      </c>
    </row>
    <row r="27">
      <c r="A27" s="7" t="n">
        <v>46278.71111972223</v>
      </c>
      <c r="B27" s="7" t="n">
        <v>46278.66666666666</v>
      </c>
      <c r="C27" s="2" t="n">
        <v>442</v>
      </c>
      <c r="D27" s="2" t="n">
        <v>0</v>
      </c>
      <c r="E27" s="2" t="n">
        <v>1</v>
      </c>
      <c r="F27" s="2" t="n">
        <v>0</v>
      </c>
      <c r="G27" s="2" t="n">
        <v>63.6</v>
      </c>
    </row>
    <row r="28">
      <c r="A28" s="7" t="n">
        <v>46278.68053923611</v>
      </c>
      <c r="B28" s="7" t="n">
        <v>46278.625</v>
      </c>
      <c r="C28" s="2" t="n">
        <v>442</v>
      </c>
      <c r="D28" s="2" t="n">
        <v>2</v>
      </c>
      <c r="E28" s="2" t="n">
        <v>1</v>
      </c>
      <c r="F28" s="2" t="n">
        <v>0</v>
      </c>
      <c r="G28" s="2" t="n">
        <v>63.6</v>
      </c>
    </row>
    <row r="29">
      <c r="A29" s="7" t="n">
        <v>46278.07354997685</v>
      </c>
      <c r="B29" s="7" t="n">
        <v>46278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50.2</v>
      </c>
    </row>
    <row r="30">
      <c r="A30" s="7" t="n">
        <v>46277.94390239583</v>
      </c>
      <c r="B30" s="7" t="n">
        <v>46277.875</v>
      </c>
      <c r="C30" s="2" t="n">
        <v>442</v>
      </c>
      <c r="D30" s="2" t="n">
        <v>25</v>
      </c>
      <c r="E30" s="2" t="n">
        <v>25</v>
      </c>
      <c r="F30" s="2" t="n">
        <v>0</v>
      </c>
      <c r="G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79</v>
      </c>
      <c r="C6" s="10" t="n">
        <v>0.5949367088607594</v>
      </c>
      <c r="D6" s="4" t="n">
        <v>-0.003405063291139249</v>
      </c>
      <c r="E6" s="2" t="n">
        <v>38</v>
      </c>
      <c r="F6" s="10" t="n">
        <v>0.631578947368421</v>
      </c>
      <c r="G6" s="4" t="n">
        <v>-0.0004736842105263221</v>
      </c>
      <c r="H6" s="2" t="n">
        <v>32</v>
      </c>
      <c r="I6" s="10" t="n">
        <v>0.5625</v>
      </c>
      <c r="J6" s="4" t="n">
        <v>-0.006000000000000005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23</v>
      </c>
      <c r="R6" s="10" t="n">
        <v>0.7391304347826086</v>
      </c>
      <c r="S6" s="4" t="n">
        <v>0.008130434782608697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COUNTIFS(資金明細!$C$2:$C$73,"進場",資金明細!$N$2:$N$73,"已下單")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COUNTIFS(資金明細!$C$2:$C$73,"進場",資金明細!$N$2:$N$73,"資金不足略過")</f>
        <v/>
      </c>
    </row>
    <row r="11">
      <c r="D11" s="2" t="inlineStr">
        <is>
          <t>止盈筆數</t>
        </is>
      </c>
      <c r="E11" s="18">
        <f>COUNTIFS(資金明細!$C$2:$C$73,"出場",資金明細!$N$2:$N$73,"已下單",資金明細!$K$2:$K$73,"止盈")</f>
        <v/>
      </c>
    </row>
    <row r="12">
      <c r="A12" s="2" t="inlineStr">
        <is>
          <t>每筆止損約虧本金</t>
        </is>
      </c>
      <c r="B12" s="4">
        <f>B5*B7*IFERROR(AVERAGE(交易明細!$AB$2:$AB$37),參數!B6)</f>
        <v/>
      </c>
      <c r="D12" s="2" t="inlineStr">
        <is>
          <t>止損筆數</t>
        </is>
      </c>
      <c r="E12" s="18">
        <f>COUNTIFS(資金明細!$C$2:$C$73,"出場",資金明細!$N$2:$N$73,"已下單",資金明細!$K$2:$K$73,"止損")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IFERROR(E11/COUNTIFS(資金明細!$C$2:$C$73,"出場",資金明細!$N$2:$N$73,"已下單"),0)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MAX(資金明細!$S$2:$S$73)</f>
        <v/>
      </c>
    </row>
    <row r="16">
      <c r="D16" s="2" t="inlineStr">
        <is>
          <t>期末下單金額</t>
        </is>
      </c>
      <c r="E16" s="19">
        <f>B5*資金明細!V73</f>
        <v/>
      </c>
    </row>
    <row r="17">
      <c r="D17" s="2" t="inlineStr">
        <is>
          <t>未平倉浮動損益（未計入）</t>
        </is>
      </c>
      <c r="E17" s="13">
        <f>IF(資金明細!N73="已下單",資金明細!O73*交易明細!L37,0)</f>
        <v/>
      </c>
    </row>
    <row r="18">
      <c r="D18" s="2" t="inlineStr">
        <is>
          <t>最大總曝險倍數</t>
        </is>
      </c>
      <c r="E18" s="19">
        <f>MAX(資金明細!$Y$2:$Y$73)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IFERROR(INDEX(資金明細!$B$2:$B$73,MATCH(1,資金明細!$Z$2:$Z$73,0)),"未觸發")</f>
        <v/>
      </c>
    </row>
    <row r="21">
      <c r="D21" s="2" t="inlineStr">
        <is>
          <t>停止後略過筆數</t>
        </is>
      </c>
      <c r="E21" s="18">
        <f>COUNTIFS(資金明細!$C$2:$C$73,"進場",資金明細!$N$2:$N$73,"已停止")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46282.45833333334</v>
      </c>
      <c r="C71" s="2" t="inlineStr">
        <is>
          <t>進場</t>
        </is>
      </c>
      <c r="D71" s="2" t="n">
        <v>35</v>
      </c>
      <c r="E71" s="2" t="inlineStr">
        <is>
          <t>USELESS_USDT_PERP</t>
        </is>
      </c>
      <c r="F71" s="2" t="inlineStr">
        <is>
          <t>做多</t>
        </is>
      </c>
      <c r="G71" s="20" t="n">
        <v>0.24275</v>
      </c>
      <c r="H71" s="20" t="n">
        <v>0.2500325</v>
      </c>
      <c r="I71" s="20" t="n">
        <v>0.2306125</v>
      </c>
      <c r="J71" s="20" t="n"/>
      <c r="K71" s="2" t="n"/>
      <c r="L71" s="5" t="n"/>
      <c r="M71" s="19">
        <f>資金模擬!$B$5*V70</f>
        <v/>
      </c>
      <c r="N71" s="2">
        <f>IF(Z70=1,"已停止",IF(T70&gt;=M71,"已下單","資金不足略過"))</f>
        <v/>
      </c>
      <c r="O71" s="19">
        <f>IF(N71="已下單",M71*資金模擬!$B$7,0)</f>
        <v/>
      </c>
      <c r="P71" s="4" t="n"/>
      <c r="Q71" s="13" t="n">
        <v>0</v>
      </c>
      <c r="R71" s="13">
        <f>R70+Q71</f>
        <v/>
      </c>
      <c r="S71" s="19">
        <f>S70+IF(N71="已下單",M71,0)</f>
        <v/>
      </c>
      <c r="T71" s="19">
        <f>R71-S71</f>
        <v/>
      </c>
      <c r="U71" s="2">
        <f>U70+IF(N71="已下單",1,0)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46282.5</v>
      </c>
      <c r="C72" s="2" t="inlineStr">
        <is>
          <t>出場</t>
        </is>
      </c>
      <c r="D72" s="2" t="n">
        <v>35</v>
      </c>
      <c r="E72" s="2" t="inlineStr">
        <is>
          <t>USELESS_USDT_PERP</t>
        </is>
      </c>
      <c r="F72" s="2" t="inlineStr">
        <is>
          <t>做多</t>
        </is>
      </c>
      <c r="G72" s="20" t="n">
        <v>0.24275</v>
      </c>
      <c r="H72" s="20" t="n">
        <v>0.2500325</v>
      </c>
      <c r="I72" s="20" t="n">
        <v>0.2306125</v>
      </c>
      <c r="J72" s="20" t="n">
        <v>0.2500325</v>
      </c>
      <c r="K72" s="2" t="inlineStr">
        <is>
          <t>止盈</t>
        </is>
      </c>
      <c r="L72" s="5">
        <f>交易明細!K36</f>
        <v/>
      </c>
      <c r="M72" s="19">
        <f>M71</f>
        <v/>
      </c>
      <c r="N72" s="2">
        <f>N71</f>
        <v/>
      </c>
      <c r="O72" s="19">
        <f>O71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46282.83333333334</v>
      </c>
      <c r="C73" s="2" t="inlineStr">
        <is>
          <t>進場</t>
        </is>
      </c>
      <c r="D73" s="2" t="n">
        <v>36</v>
      </c>
      <c r="E73" s="2" t="inlineStr">
        <is>
          <t>牛来_USDT_PERP</t>
        </is>
      </c>
      <c r="F73" s="2" t="inlineStr">
        <is>
          <t>做空</t>
        </is>
      </c>
      <c r="G73" s="20" t="n">
        <v>0.10472</v>
      </c>
      <c r="H73" s="20" t="n">
        <v>0.1015784</v>
      </c>
      <c r="I73" s="20" t="n">
        <v>0.109956</v>
      </c>
      <c r="J73" s="20" t="n"/>
      <c r="K73" s="2" t="inlineStr">
        <is>
          <t>未平倉</t>
        </is>
      </c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</sheetData>
  <autoFilter ref="A1:Z73"/>
  <conditionalFormatting sqref="K2:K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21:33（Dry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USELESS_USDT_PERP</t>
        </is>
      </c>
      <c r="C36" s="2" t="inlineStr">
        <is>
          <t>做多</t>
        </is>
      </c>
      <c r="D36" s="7" t="n">
        <v>46282.45833333334</v>
      </c>
      <c r="E36" s="20" t="n">
        <v>0.24275</v>
      </c>
      <c r="F36" s="20" t="n">
        <v>0.2500325</v>
      </c>
      <c r="G36" s="20" t="n">
        <v>0.2306125</v>
      </c>
      <c r="H36" s="7" t="n">
        <v>46282.5</v>
      </c>
      <c r="I36" s="20" t="n">
        <v>0.2500325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0.03258326598324057</v>
      </c>
      <c r="O36" s="4" t="n">
        <v>0.04022410631062562</v>
      </c>
      <c r="P36" s="4" t="n">
        <v>0.03915172685399226</v>
      </c>
      <c r="Q36" s="22" t="n">
        <v>3772564</v>
      </c>
      <c r="R36" s="22" t="n">
        <v>3887367.54221</v>
      </c>
      <c r="S36" s="4" t="n">
        <v>0.03</v>
      </c>
      <c r="T36" s="4" t="n">
        <v>0</v>
      </c>
      <c r="U36" s="19" t="n">
        <v>0.6859164949066544</v>
      </c>
      <c r="V36" s="19" t="n">
        <v>0.8610139860139854</v>
      </c>
      <c r="W36" s="4" t="n">
        <v>0.1183074882606505</v>
      </c>
      <c r="X36" s="4" t="n">
        <v>0.1027073680385209</v>
      </c>
      <c r="Y36" s="4" t="n">
        <v>0.0001100414096306679</v>
      </c>
      <c r="Z36" s="4" t="n">
        <v>0.005538057160273446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牛来_USDT_PERP</t>
        </is>
      </c>
      <c r="C37" s="2" t="inlineStr">
        <is>
          <t>做空</t>
        </is>
      </c>
      <c r="D37" s="7" t="n">
        <v>46282.83333333334</v>
      </c>
      <c r="E37" s="20" t="n">
        <v>0.10472</v>
      </c>
      <c r="F37" s="20" t="n">
        <v>0.1015784</v>
      </c>
      <c r="G37" s="20" t="n">
        <v>0.109956</v>
      </c>
      <c r="H37" s="7" t="n">
        <v>46282.875</v>
      </c>
      <c r="I37" s="20" t="n">
        <v>0.10548</v>
      </c>
      <c r="J37" s="2" t="inlineStr">
        <is>
          <t>未平倉</t>
        </is>
      </c>
      <c r="K37" s="5">
        <f>(H37-D37)*24</f>
        <v/>
      </c>
      <c r="L37" s="4">
        <f>IF(C37="做多",I37/E37-1,1-I37/E37)-2*參數!$B$7</f>
        <v/>
      </c>
      <c r="M37" s="2" t="inlineStr">
        <is>
          <t>持倉中（以最新收盤估值）</t>
        </is>
      </c>
      <c r="N37" s="4" t="n">
        <v>-0.04172767203513916</v>
      </c>
      <c r="O37" s="4" t="n">
        <v>0.04048676979687356</v>
      </c>
      <c r="P37" s="4" t="n">
        <v>-0.006338482559684278</v>
      </c>
      <c r="Q37" s="22" t="n">
        <v>-4050075</v>
      </c>
      <c r="R37" s="22" t="n">
        <v>2337042.32057</v>
      </c>
      <c r="S37" s="4" t="n">
        <v>0.0003819709702062024</v>
      </c>
      <c r="T37" s="4" t="n">
        <v>0.02053093964858688</v>
      </c>
      <c r="U37" s="19" t="n">
        <v>0.3772019483351589</v>
      </c>
      <c r="V37" s="19" t="n">
        <v>0.9287090558766868</v>
      </c>
      <c r="W37" s="4" t="n">
        <v>0.08628786120510201</v>
      </c>
      <c r="X37" s="4" t="n">
        <v>0.06791277258566986</v>
      </c>
      <c r="Y37" s="4" t="n">
        <v>-0.0009859272953907094</v>
      </c>
      <c r="Z37" s="4" t="n">
        <v>-0.003379461603953526</v>
      </c>
      <c r="AA37" s="4" t="n">
        <v>0.03</v>
      </c>
      <c r="AB37" s="4" t="n">
        <v>0.05</v>
      </c>
      <c r="AC37" s="4">
        <f>(AB37+2*參數!$B$7)/(AA37+AB37)</f>
        <v/>
      </c>
    </row>
  </sheetData>
  <autoFilter ref="A1:AC37"/>
  <conditionalFormatting sqref="J2:J3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COUNTIFS(交易明細!$B$2:$B$37,$A2)</f>
        <v/>
      </c>
      <c r="C2" s="2">
        <f>COUNTIFS(交易明細!$B$2:$B$37,$A2,交易明細!$C$2:$C$37,"做多")</f>
        <v/>
      </c>
      <c r="D2" s="2">
        <f>COUNTIFS(交易明細!$B$2:$B$37,$A2,交易明細!$C$2:$C$37,"做空")</f>
        <v/>
      </c>
      <c r="E2" s="2">
        <f>F2+G2+COUNTIFS(交易明細!$B$2:$B$37,$A2,交易明細!$J$2:$J$37,"時間出場")</f>
        <v/>
      </c>
      <c r="F2" s="2">
        <f>COUNTIFS(交易明細!$B$2:$B$37,$A2,交易明細!$J$2:$J$37,"止盈")</f>
        <v/>
      </c>
      <c r="G2" s="2">
        <f>COUNTIFS(交易明細!$B$2:$B$37,$A2,交易明細!$J$2:$J$37,"止損")</f>
        <v/>
      </c>
      <c r="H2" s="4">
        <f>IFERROR(F2/E2,0)</f>
        <v/>
      </c>
      <c r="I2" s="4">
        <f>IFERROR(AVERAGEIFS(交易明細!$L$2:$L$37,交易明細!$B$2:$B$37,$A2,交易明細!$J$2:$J$37,"&lt;&gt;未平倉"),0)</f>
        <v/>
      </c>
      <c r="J2" s="4">
        <f>SUMIFS(交易明細!$L$2:$L$37,交易明細!$B$2:$B$37,$A2,交易明細!$J$2:$J$37,"&lt;&gt;未平倉")</f>
        <v/>
      </c>
      <c r="K2" s="5">
        <f>IFERROR(AVERAGEIFS(交易明細!$K$2:$K$37,交易明細!$B$2:$B$37,$A2,交易明細!$J$2:$J$37,"&lt;&gt;未平倉"),0)</f>
        <v/>
      </c>
      <c r="L2" s="2">
        <f>COUNTIFS(交易明細!$B$2:$B$37,$A2,交易明細!$J$2:$J$37,"未平倉")</f>
        <v/>
      </c>
    </row>
    <row r="3">
      <c r="A3" s="2" t="inlineStr">
        <is>
          <t>RAY_USDT_PERP</t>
        </is>
      </c>
      <c r="B3" s="2">
        <f>COUNTIFS(交易明細!$B$2:$B$37,$A3)</f>
        <v/>
      </c>
      <c r="C3" s="2">
        <f>COUNTIFS(交易明細!$B$2:$B$37,$A3,交易明細!$C$2:$C$37,"做多")</f>
        <v/>
      </c>
      <c r="D3" s="2">
        <f>COUNTIFS(交易明細!$B$2:$B$37,$A3,交易明細!$C$2:$C$37,"做空")</f>
        <v/>
      </c>
      <c r="E3" s="2">
        <f>F3+G3+COUNTIFS(交易明細!$B$2:$B$37,$A3,交易明細!$J$2:$J$37,"時間出場")</f>
        <v/>
      </c>
      <c r="F3" s="2">
        <f>COUNTIFS(交易明細!$B$2:$B$37,$A3,交易明細!$J$2:$J$37,"止盈")</f>
        <v/>
      </c>
      <c r="G3" s="2">
        <f>COUNTIFS(交易明細!$B$2:$B$37,$A3,交易明細!$J$2:$J$37,"止損")</f>
        <v/>
      </c>
      <c r="H3" s="4">
        <f>IFERROR(F3/E3,0)</f>
        <v/>
      </c>
      <c r="I3" s="4">
        <f>IFERROR(AVERAGEIFS(交易明細!$L$2:$L$37,交易明細!$B$2:$B$37,$A3,交易明細!$J$2:$J$37,"&lt;&gt;未平倉"),0)</f>
        <v/>
      </c>
      <c r="J3" s="4">
        <f>SUMIFS(交易明細!$L$2:$L$37,交易明細!$B$2:$B$37,$A3,交易明細!$J$2:$J$37,"&lt;&gt;未平倉")</f>
        <v/>
      </c>
      <c r="K3" s="5">
        <f>IFERROR(AVERAGEIFS(交易明細!$K$2:$K$37,交易明細!$B$2:$B$37,$A3,交易明細!$J$2:$J$37,"&lt;&gt;未平倉"),0)</f>
        <v/>
      </c>
      <c r="L3" s="2">
        <f>COUNTIFS(交易明細!$B$2:$B$37,$A3,交易明細!$J$2:$J$37,"未平倉")</f>
        <v/>
      </c>
    </row>
    <row r="4">
      <c r="A4" s="2" t="inlineStr">
        <is>
          <t>PONS_USDT_PERP</t>
        </is>
      </c>
      <c r="B4" s="2">
        <f>COUNTIFS(交易明細!$B$2:$B$37,$A4)</f>
        <v/>
      </c>
      <c r="C4" s="2">
        <f>COUNTIFS(交易明細!$B$2:$B$37,$A4,交易明細!$C$2:$C$37,"做多")</f>
        <v/>
      </c>
      <c r="D4" s="2">
        <f>COUNTIFS(交易明細!$B$2:$B$37,$A4,交易明細!$C$2:$C$37,"做空")</f>
        <v/>
      </c>
      <c r="E4" s="2">
        <f>F4+G4+COUNTIFS(交易明細!$B$2:$B$37,$A4,交易明細!$J$2:$J$37,"時間出場")</f>
        <v/>
      </c>
      <c r="F4" s="2">
        <f>COUNTIFS(交易明細!$B$2:$B$37,$A4,交易明細!$J$2:$J$37,"止盈")</f>
        <v/>
      </c>
      <c r="G4" s="2">
        <f>COUNTIFS(交易明細!$B$2:$B$37,$A4,交易明細!$J$2:$J$37,"止損")</f>
        <v/>
      </c>
      <c r="H4" s="4">
        <f>IFERROR(F4/E4,0)</f>
        <v/>
      </c>
      <c r="I4" s="4">
        <f>IFERROR(AVERAGEIFS(交易明細!$L$2:$L$37,交易明細!$B$2:$B$37,$A4,交易明細!$J$2:$J$37,"&lt;&gt;未平倉"),0)</f>
        <v/>
      </c>
      <c r="J4" s="4">
        <f>SUMIFS(交易明細!$L$2:$L$37,交易明細!$B$2:$B$37,$A4,交易明細!$J$2:$J$37,"&lt;&gt;未平倉")</f>
        <v/>
      </c>
      <c r="K4" s="5">
        <f>IFERROR(AVERAGEIFS(交易明細!$K$2:$K$37,交易明細!$B$2:$B$37,$A4,交易明細!$J$2:$J$37,"&lt;&gt;未平倉"),0)</f>
        <v/>
      </c>
      <c r="L4" s="2">
        <f>COUNTIFS(交易明細!$B$2:$B$37,$A4,交易明細!$J$2:$J$37,"未平倉")</f>
        <v/>
      </c>
    </row>
    <row r="5">
      <c r="A5" s="2" t="inlineStr">
        <is>
          <t>UAI_USDT_PERP</t>
        </is>
      </c>
      <c r="B5" s="2">
        <f>COUNTIFS(交易明細!$B$2:$B$37,$A5)</f>
        <v/>
      </c>
      <c r="C5" s="2">
        <f>COUNTIFS(交易明細!$B$2:$B$37,$A5,交易明細!$C$2:$C$37,"做多")</f>
        <v/>
      </c>
      <c r="D5" s="2">
        <f>COUNTIFS(交易明細!$B$2:$B$37,$A5,交易明細!$C$2:$C$37,"做空")</f>
        <v/>
      </c>
      <c r="E5" s="2">
        <f>F5+G5+COUNTIFS(交易明細!$B$2:$B$37,$A5,交易明細!$J$2:$J$37,"時間出場")</f>
        <v/>
      </c>
      <c r="F5" s="2">
        <f>COUNTIFS(交易明細!$B$2:$B$37,$A5,交易明細!$J$2:$J$37,"止盈")</f>
        <v/>
      </c>
      <c r="G5" s="2">
        <f>COUNTIFS(交易明細!$B$2:$B$37,$A5,交易明細!$J$2:$J$37,"止損")</f>
        <v/>
      </c>
      <c r="H5" s="4">
        <f>IFERROR(F5/E5,0)</f>
        <v/>
      </c>
      <c r="I5" s="4">
        <f>IFERROR(AVERAGEIFS(交易明細!$L$2:$L$37,交易明細!$B$2:$B$37,$A5,交易明細!$J$2:$J$37,"&lt;&gt;未平倉"),0)</f>
        <v/>
      </c>
      <c r="J5" s="4">
        <f>SUMIFS(交易明細!$L$2:$L$37,交易明細!$B$2:$B$37,$A5,交易明細!$J$2:$J$37,"&lt;&gt;未平倉")</f>
        <v/>
      </c>
      <c r="K5" s="5">
        <f>IFERROR(AVERAGEIFS(交易明細!$K$2:$K$37,交易明細!$B$2:$B$37,$A5,交易明細!$J$2:$J$37,"&lt;&gt;未平倉"),0)</f>
        <v/>
      </c>
      <c r="L5" s="2">
        <f>COUNTIFS(交易明細!$B$2:$B$37,$A5,交易明細!$J$2:$J$37,"未平倉")</f>
        <v/>
      </c>
    </row>
    <row r="6">
      <c r="A6" s="2" t="inlineStr">
        <is>
          <t>VVV_USDT_PERP</t>
        </is>
      </c>
      <c r="B6" s="2">
        <f>COUNTIFS(交易明細!$B$2:$B$37,$A6)</f>
        <v/>
      </c>
      <c r="C6" s="2">
        <f>COUNTIFS(交易明細!$B$2:$B$37,$A6,交易明細!$C$2:$C$37,"做多")</f>
        <v/>
      </c>
      <c r="D6" s="2">
        <f>COUNTIFS(交易明細!$B$2:$B$37,$A6,交易明細!$C$2:$C$37,"做空")</f>
        <v/>
      </c>
      <c r="E6" s="2">
        <f>F6+G6+COUNTIFS(交易明細!$B$2:$B$37,$A6,交易明細!$J$2:$J$37,"時間出場")</f>
        <v/>
      </c>
      <c r="F6" s="2">
        <f>COUNTIFS(交易明細!$B$2:$B$37,$A6,交易明細!$J$2:$J$37,"止盈")</f>
        <v/>
      </c>
      <c r="G6" s="2">
        <f>COUNTIFS(交易明細!$B$2:$B$37,$A6,交易明細!$J$2:$J$37,"止損")</f>
        <v/>
      </c>
      <c r="H6" s="4">
        <f>IFERROR(F6/E6,0)</f>
        <v/>
      </c>
      <c r="I6" s="4">
        <f>IFERROR(AVERAGEIFS(交易明細!$L$2:$L$37,交易明細!$B$2:$B$37,$A6,交易明細!$J$2:$J$37,"&lt;&gt;未平倉"),0)</f>
        <v/>
      </c>
      <c r="J6" s="4">
        <f>SUMIFS(交易明細!$L$2:$L$37,交易明細!$B$2:$B$37,$A6,交易明細!$J$2:$J$37,"&lt;&gt;未平倉")</f>
        <v/>
      </c>
      <c r="K6" s="5">
        <f>IFERROR(AVERAGEIFS(交易明細!$K$2:$K$37,交易明細!$B$2:$B$37,$A6,交易明細!$J$2:$J$37,"&lt;&gt;未平倉"),0)</f>
        <v/>
      </c>
      <c r="L6" s="2">
        <f>COUNTIFS(交易明細!$B$2:$B$37,$A6,交易明細!$J$2:$J$37,"未平倉")</f>
        <v/>
      </c>
    </row>
    <row r="7">
      <c r="A7" s="2" t="inlineStr">
        <is>
          <t>牛来_USDT_PERP</t>
        </is>
      </c>
      <c r="B7" s="2">
        <f>COUNTIFS(交易明細!$B$2:$B$37,$A7)</f>
        <v/>
      </c>
      <c r="C7" s="2">
        <f>COUNTIFS(交易明細!$B$2:$B$37,$A7,交易明細!$C$2:$C$37,"做多")</f>
        <v/>
      </c>
      <c r="D7" s="2">
        <f>COUNTIFS(交易明細!$B$2:$B$37,$A7,交易明細!$C$2:$C$37,"做空")</f>
        <v/>
      </c>
      <c r="E7" s="2">
        <f>F7+G7+COUNTIFS(交易明細!$B$2:$B$37,$A7,交易明細!$J$2:$J$37,"時間出場")</f>
        <v/>
      </c>
      <c r="F7" s="2">
        <f>COUNTIFS(交易明細!$B$2:$B$37,$A7,交易明細!$J$2:$J$37,"止盈")</f>
        <v/>
      </c>
      <c r="G7" s="2">
        <f>COUNTIFS(交易明細!$B$2:$B$37,$A7,交易明細!$J$2:$J$37,"止損")</f>
        <v/>
      </c>
      <c r="H7" s="4">
        <f>IFERROR(F7/E7,0)</f>
        <v/>
      </c>
      <c r="I7" s="4">
        <f>IFERROR(AVERAGEIFS(交易明細!$L$2:$L$37,交易明細!$B$2:$B$37,$A7,交易明細!$J$2:$J$37,"&lt;&gt;未平倉"),0)</f>
        <v/>
      </c>
      <c r="J7" s="4">
        <f>SUMIFS(交易明細!$L$2:$L$37,交易明細!$B$2:$B$37,$A7,交易明細!$J$2:$J$37,"&lt;&gt;未平倉")</f>
        <v/>
      </c>
      <c r="K7" s="5">
        <f>IFERROR(AVERAGEIFS(交易明細!$K$2:$K$37,交易明細!$B$2:$B$37,$A7,交易明細!$J$2:$J$37,"&lt;&gt;未平倉"),0)</f>
        <v/>
      </c>
      <c r="L7" s="2">
        <f>COUNTIFS(交易明細!$B$2:$B$37,$A7,交易明細!$J$2:$J$37,"未平倉")</f>
        <v/>
      </c>
    </row>
    <row r="8">
      <c r="A8" s="2" t="inlineStr">
        <is>
          <t>HEMI_USDT_PERP</t>
        </is>
      </c>
      <c r="B8" s="2">
        <f>COUNTIFS(交易明細!$B$2:$B$37,$A8)</f>
        <v/>
      </c>
      <c r="C8" s="2">
        <f>COUNTIFS(交易明細!$B$2:$B$37,$A8,交易明細!$C$2:$C$37,"做多")</f>
        <v/>
      </c>
      <c r="D8" s="2">
        <f>COUNTIFS(交易明細!$B$2:$B$37,$A8,交易明細!$C$2:$C$37,"做空")</f>
        <v/>
      </c>
      <c r="E8" s="2">
        <f>F8+G8+COUNTIFS(交易明細!$B$2:$B$37,$A8,交易明細!$J$2:$J$37,"時間出場")</f>
        <v/>
      </c>
      <c r="F8" s="2">
        <f>COUNTIFS(交易明細!$B$2:$B$37,$A8,交易明細!$J$2:$J$37,"止盈")</f>
        <v/>
      </c>
      <c r="G8" s="2">
        <f>COUNTIFS(交易明細!$B$2:$B$37,$A8,交易明細!$J$2:$J$37,"止損")</f>
        <v/>
      </c>
      <c r="H8" s="4">
        <f>IFERROR(F8/E8,0)</f>
        <v/>
      </c>
      <c r="I8" s="4">
        <f>IFERROR(AVERAGEIFS(交易明細!$L$2:$L$37,交易明細!$B$2:$B$37,$A8,交易明細!$J$2:$J$37,"&lt;&gt;未平倉"),0)</f>
        <v/>
      </c>
      <c r="J8" s="4">
        <f>SUMIFS(交易明細!$L$2:$L$37,交易明細!$B$2:$B$37,$A8,交易明細!$J$2:$J$37,"&lt;&gt;未平倉")</f>
        <v/>
      </c>
      <c r="K8" s="5">
        <f>IFERROR(AVERAGEIFS(交易明細!$K$2:$K$37,交易明細!$B$2:$B$37,$A8,交易明細!$J$2:$J$37,"&lt;&gt;未平倉"),0)</f>
        <v/>
      </c>
      <c r="L8" s="2">
        <f>COUNTIFS(交易明細!$B$2:$B$37,$A8,交易明細!$J$2:$J$37,"未平倉")</f>
        <v/>
      </c>
    </row>
    <row r="9">
      <c r="A9" s="2" t="inlineStr">
        <is>
          <t>BULLA_USDT_PERP</t>
        </is>
      </c>
      <c r="B9" s="2">
        <f>COUNTIFS(交易明細!$B$2:$B$37,$A9)</f>
        <v/>
      </c>
      <c r="C9" s="2">
        <f>COUNTIFS(交易明細!$B$2:$B$37,$A9,交易明細!$C$2:$C$37,"做多")</f>
        <v/>
      </c>
      <c r="D9" s="2">
        <f>COUNTIFS(交易明細!$B$2:$B$37,$A9,交易明細!$C$2:$C$37,"做空")</f>
        <v/>
      </c>
      <c r="E9" s="2">
        <f>F9+G9+COUNTIFS(交易明細!$B$2:$B$37,$A9,交易明細!$J$2:$J$37,"時間出場")</f>
        <v/>
      </c>
      <c r="F9" s="2">
        <f>COUNTIFS(交易明細!$B$2:$B$37,$A9,交易明細!$J$2:$J$37,"止盈")</f>
        <v/>
      </c>
      <c r="G9" s="2">
        <f>COUNTIFS(交易明細!$B$2:$B$37,$A9,交易明細!$J$2:$J$37,"止損")</f>
        <v/>
      </c>
      <c r="H9" s="4">
        <f>IFERROR(F9/E9,0)</f>
        <v/>
      </c>
      <c r="I9" s="4">
        <f>IFERROR(AVERAGEIFS(交易明細!$L$2:$L$37,交易明細!$B$2:$B$37,$A9,交易明細!$J$2:$J$37,"&lt;&gt;未平倉"),0)</f>
        <v/>
      </c>
      <c r="J9" s="4">
        <f>SUMIFS(交易明細!$L$2:$L$37,交易明細!$B$2:$B$37,$A9,交易明細!$J$2:$J$37,"&lt;&gt;未平倉")</f>
        <v/>
      </c>
      <c r="K9" s="5">
        <f>IFERROR(AVERAGEIFS(交易明細!$K$2:$K$37,交易明細!$B$2:$B$37,$A9,交易明細!$J$2:$J$37,"&lt;&gt;未平倉"),0)</f>
        <v/>
      </c>
      <c r="L9" s="2">
        <f>COUNTIFS(交易明細!$B$2:$B$37,$A9,交易明細!$J$2:$J$37,"未平倉")</f>
        <v/>
      </c>
    </row>
    <row r="10">
      <c r="A10" s="2" t="inlineStr">
        <is>
          <t>RIVER_USDT_PERP</t>
        </is>
      </c>
      <c r="B10" s="2">
        <f>COUNTIFS(交易明細!$B$2:$B$37,$A10)</f>
        <v/>
      </c>
      <c r="C10" s="2">
        <f>COUNTIFS(交易明細!$B$2:$B$37,$A10,交易明細!$C$2:$C$37,"做多")</f>
        <v/>
      </c>
      <c r="D10" s="2">
        <f>COUNTIFS(交易明細!$B$2:$B$37,$A10,交易明細!$C$2:$C$37,"做空")</f>
        <v/>
      </c>
      <c r="E10" s="2">
        <f>F10+G10+COUNTIFS(交易明細!$B$2:$B$37,$A10,交易明細!$J$2:$J$37,"時間出場")</f>
        <v/>
      </c>
      <c r="F10" s="2">
        <f>COUNTIFS(交易明細!$B$2:$B$37,$A10,交易明細!$J$2:$J$37,"止盈")</f>
        <v/>
      </c>
      <c r="G10" s="2">
        <f>COUNTIFS(交易明細!$B$2:$B$37,$A10,交易明細!$J$2:$J$37,"止損")</f>
        <v/>
      </c>
      <c r="H10" s="4">
        <f>IFERROR(F10/E10,0)</f>
        <v/>
      </c>
      <c r="I10" s="4">
        <f>IFERROR(AVERAGEIFS(交易明細!$L$2:$L$37,交易明細!$B$2:$B$37,$A10,交易明細!$J$2:$J$37,"&lt;&gt;未平倉"),0)</f>
        <v/>
      </c>
      <c r="J10" s="4">
        <f>SUMIFS(交易明細!$L$2:$L$37,交易明細!$B$2:$B$37,$A10,交易明細!$J$2:$J$37,"&lt;&gt;未平倉")</f>
        <v/>
      </c>
      <c r="K10" s="5">
        <f>IFERROR(AVERAGEIFS(交易明細!$K$2:$K$37,交易明細!$B$2:$B$37,$A10,交易明細!$J$2:$J$37,"&lt;&gt;未平倉"),0)</f>
        <v/>
      </c>
      <c r="L10" s="2">
        <f>COUNTIFS(交易明細!$B$2:$B$37,$A10,交易明細!$J$2:$J$37,"未平倉")</f>
        <v/>
      </c>
    </row>
    <row r="11">
      <c r="A11" s="2" t="inlineStr">
        <is>
          <t>ACE_USDT_PERP</t>
        </is>
      </c>
      <c r="B11" s="2">
        <f>COUNTIFS(交易明細!$B$2:$B$37,$A11)</f>
        <v/>
      </c>
      <c r="C11" s="2">
        <f>COUNTIFS(交易明細!$B$2:$B$37,$A11,交易明細!$C$2:$C$37,"做多")</f>
        <v/>
      </c>
      <c r="D11" s="2">
        <f>COUNTIFS(交易明細!$B$2:$B$37,$A11,交易明細!$C$2:$C$37,"做空")</f>
        <v/>
      </c>
      <c r="E11" s="2">
        <f>F11+G11+COUNTIFS(交易明細!$B$2:$B$37,$A11,交易明細!$J$2:$J$37,"時間出場")</f>
        <v/>
      </c>
      <c r="F11" s="2">
        <f>COUNTIFS(交易明細!$B$2:$B$37,$A11,交易明細!$J$2:$J$37,"止盈")</f>
        <v/>
      </c>
      <c r="G11" s="2">
        <f>COUNTIFS(交易明細!$B$2:$B$37,$A11,交易明細!$J$2:$J$37,"止損")</f>
        <v/>
      </c>
      <c r="H11" s="4">
        <f>IFERROR(F11/E11,0)</f>
        <v/>
      </c>
      <c r="I11" s="4">
        <f>IFERROR(AVERAGEIFS(交易明細!$L$2:$L$37,交易明細!$B$2:$B$37,$A11,交易明細!$J$2:$J$37,"&lt;&gt;未平倉"),0)</f>
        <v/>
      </c>
      <c r="J11" s="4">
        <f>SUMIFS(交易明細!$L$2:$L$37,交易明細!$B$2:$B$37,$A11,交易明細!$J$2:$J$37,"&lt;&gt;未平倉")</f>
        <v/>
      </c>
      <c r="K11" s="5">
        <f>IFERROR(AVERAGEIFS(交易明細!$K$2:$K$37,交易明細!$B$2:$B$37,$A11,交易明細!$J$2:$J$37,"&lt;&gt;未平倉"),0)</f>
        <v/>
      </c>
      <c r="L11" s="2">
        <f>COUNTIFS(交易明細!$B$2:$B$37,$A11,交易明細!$J$2:$J$37,"未平倉")</f>
        <v/>
      </c>
    </row>
    <row r="12">
      <c r="A12" s="2" t="inlineStr">
        <is>
          <t>ARB_USDT_PERP</t>
        </is>
      </c>
      <c r="B12" s="2">
        <f>COUNTIFS(交易明細!$B$2:$B$37,$A12)</f>
        <v/>
      </c>
      <c r="C12" s="2">
        <f>COUNTIFS(交易明細!$B$2:$B$37,$A12,交易明細!$C$2:$C$37,"做多")</f>
        <v/>
      </c>
      <c r="D12" s="2">
        <f>COUNTIFS(交易明細!$B$2:$B$37,$A12,交易明細!$C$2:$C$37,"做空")</f>
        <v/>
      </c>
      <c r="E12" s="2">
        <f>F12+G12+COUNTIFS(交易明細!$B$2:$B$37,$A12,交易明細!$J$2:$J$37,"時間出場")</f>
        <v/>
      </c>
      <c r="F12" s="2">
        <f>COUNTIFS(交易明細!$B$2:$B$37,$A12,交易明細!$J$2:$J$37,"止盈")</f>
        <v/>
      </c>
      <c r="G12" s="2">
        <f>COUNTIFS(交易明細!$B$2:$B$37,$A12,交易明細!$J$2:$J$37,"止損")</f>
        <v/>
      </c>
      <c r="H12" s="4">
        <f>IFERROR(F12/E12,0)</f>
        <v/>
      </c>
      <c r="I12" s="4">
        <f>IFERROR(AVERAGEIFS(交易明細!$L$2:$L$37,交易明細!$B$2:$B$37,$A12,交易明細!$J$2:$J$37,"&lt;&gt;未平倉"),0)</f>
        <v/>
      </c>
      <c r="J12" s="4">
        <f>SUMIFS(交易明細!$L$2:$L$37,交易明細!$B$2:$B$37,$A12,交易明細!$J$2:$J$37,"&lt;&gt;未平倉")</f>
        <v/>
      </c>
      <c r="K12" s="5">
        <f>IFERROR(AVERAGEIFS(交易明細!$K$2:$K$37,交易明細!$B$2:$B$37,$A12,交易明細!$J$2:$J$37,"&lt;&gt;未平倉"),0)</f>
        <v/>
      </c>
      <c r="L12" s="2">
        <f>COUNTIFS(交易明細!$B$2:$B$37,$A12,交易明細!$J$2:$J$37,"未平倉")</f>
        <v/>
      </c>
    </row>
    <row r="13">
      <c r="A13" s="2" t="inlineStr">
        <is>
          <t>DASH_USDT_PERP</t>
        </is>
      </c>
      <c r="B13" s="2">
        <f>COUNTIFS(交易明細!$B$2:$B$37,$A13)</f>
        <v/>
      </c>
      <c r="C13" s="2">
        <f>COUNTIFS(交易明細!$B$2:$B$37,$A13,交易明細!$C$2:$C$37,"做多")</f>
        <v/>
      </c>
      <c r="D13" s="2">
        <f>COUNTIFS(交易明細!$B$2:$B$37,$A13,交易明細!$C$2:$C$37,"做空")</f>
        <v/>
      </c>
      <c r="E13" s="2">
        <f>F13+G13+COUNTIFS(交易明細!$B$2:$B$37,$A13,交易明細!$J$2:$J$37,"時間出場")</f>
        <v/>
      </c>
      <c r="F13" s="2">
        <f>COUNTIFS(交易明細!$B$2:$B$37,$A13,交易明細!$J$2:$J$37,"止盈")</f>
        <v/>
      </c>
      <c r="G13" s="2">
        <f>COUNTIFS(交易明細!$B$2:$B$37,$A13,交易明細!$J$2:$J$37,"止損")</f>
        <v/>
      </c>
      <c r="H13" s="4">
        <f>IFERROR(F13/E13,0)</f>
        <v/>
      </c>
      <c r="I13" s="4">
        <f>IFERROR(AVERAGEIFS(交易明細!$L$2:$L$37,交易明細!$B$2:$B$37,$A13,交易明細!$J$2:$J$37,"&lt;&gt;未平倉"),0)</f>
        <v/>
      </c>
      <c r="J13" s="4">
        <f>SUMIFS(交易明細!$L$2:$L$37,交易明細!$B$2:$B$37,$A13,交易明細!$J$2:$J$37,"&lt;&gt;未平倉")</f>
        <v/>
      </c>
      <c r="K13" s="5">
        <f>IFERROR(AVERAGEIFS(交易明細!$K$2:$K$37,交易明細!$B$2:$B$37,$A13,交易明細!$J$2:$J$37,"&lt;&gt;未平倉"),0)</f>
        <v/>
      </c>
      <c r="L13" s="2">
        <f>COUNTIFS(交易明細!$B$2:$B$37,$A13,交易明細!$J$2:$J$37,"未平倉")</f>
        <v/>
      </c>
    </row>
    <row r="14">
      <c r="A14" s="2" t="inlineStr">
        <is>
          <t>IOST_USDT_PERP</t>
        </is>
      </c>
      <c r="B14" s="2">
        <f>COUNTIFS(交易明細!$B$2:$B$37,$A14)</f>
        <v/>
      </c>
      <c r="C14" s="2">
        <f>COUNTIFS(交易明細!$B$2:$B$37,$A14,交易明細!$C$2:$C$37,"做多")</f>
        <v/>
      </c>
      <c r="D14" s="2">
        <f>COUNTIFS(交易明細!$B$2:$B$37,$A14,交易明細!$C$2:$C$37,"做空")</f>
        <v/>
      </c>
      <c r="E14" s="2">
        <f>F14+G14+COUNTIFS(交易明細!$B$2:$B$37,$A14,交易明細!$J$2:$J$37,"時間出場")</f>
        <v/>
      </c>
      <c r="F14" s="2">
        <f>COUNTIFS(交易明細!$B$2:$B$37,$A14,交易明細!$J$2:$J$37,"止盈")</f>
        <v/>
      </c>
      <c r="G14" s="2">
        <f>COUNTIFS(交易明細!$B$2:$B$37,$A14,交易明細!$J$2:$J$37,"止損")</f>
        <v/>
      </c>
      <c r="H14" s="4">
        <f>IFERROR(F14/E14,0)</f>
        <v/>
      </c>
      <c r="I14" s="4">
        <f>IFERROR(AVERAGEIFS(交易明細!$L$2:$L$37,交易明細!$B$2:$B$37,$A14,交易明細!$J$2:$J$37,"&lt;&gt;未平倉"),0)</f>
        <v/>
      </c>
      <c r="J14" s="4">
        <f>SUMIFS(交易明細!$L$2:$L$37,交易明細!$B$2:$B$37,$A14,交易明細!$J$2:$J$37,"&lt;&gt;未平倉")</f>
        <v/>
      </c>
      <c r="K14" s="5">
        <f>IFERROR(AVERAGEIFS(交易明細!$K$2:$K$37,交易明細!$B$2:$B$37,$A14,交易明細!$J$2:$J$37,"&lt;&gt;未平倉"),0)</f>
        <v/>
      </c>
      <c r="L14" s="2">
        <f>COUNTIFS(交易明細!$B$2:$B$37,$A14,交易明細!$J$2:$J$37,"未平倉")</f>
        <v/>
      </c>
    </row>
    <row r="15">
      <c r="A15" s="2" t="inlineStr">
        <is>
          <t>CASHCAT_USDT_PERP</t>
        </is>
      </c>
      <c r="B15" s="2">
        <f>COUNTIFS(交易明細!$B$2:$B$37,$A15)</f>
        <v/>
      </c>
      <c r="C15" s="2">
        <f>COUNTIFS(交易明細!$B$2:$B$37,$A15,交易明細!$C$2:$C$37,"做多")</f>
        <v/>
      </c>
      <c r="D15" s="2">
        <f>COUNTIFS(交易明細!$B$2:$B$37,$A15,交易明細!$C$2:$C$37,"做空")</f>
        <v/>
      </c>
      <c r="E15" s="2">
        <f>F15+G15+COUNTIFS(交易明細!$B$2:$B$37,$A15,交易明細!$J$2:$J$37,"時間出場")</f>
        <v/>
      </c>
      <c r="F15" s="2">
        <f>COUNTIFS(交易明細!$B$2:$B$37,$A15,交易明細!$J$2:$J$37,"止盈")</f>
        <v/>
      </c>
      <c r="G15" s="2">
        <f>COUNTIFS(交易明細!$B$2:$B$37,$A15,交易明細!$J$2:$J$37,"止損")</f>
        <v/>
      </c>
      <c r="H15" s="4">
        <f>IFERROR(F15/E15,0)</f>
        <v/>
      </c>
      <c r="I15" s="4">
        <f>IFERROR(AVERAGEIFS(交易明細!$L$2:$L$37,交易明細!$B$2:$B$37,$A15,交易明細!$J$2:$J$37,"&lt;&gt;未平倉"),0)</f>
        <v/>
      </c>
      <c r="J15" s="4">
        <f>SUMIFS(交易明細!$L$2:$L$37,交易明細!$B$2:$B$37,$A15,交易明細!$J$2:$J$37,"&lt;&gt;未平倉")</f>
        <v/>
      </c>
      <c r="K15" s="5">
        <f>IFERROR(AVERAGEIFS(交易明細!$K$2:$K$37,交易明細!$B$2:$B$37,$A15,交易明細!$J$2:$J$37,"&lt;&gt;未平倉"),0)</f>
        <v/>
      </c>
      <c r="L15" s="2">
        <f>COUNTIFS(交易明細!$B$2:$B$37,$A15,交易明細!$J$2:$J$37,"未平倉")</f>
        <v/>
      </c>
    </row>
    <row r="16">
      <c r="A16" s="2" t="inlineStr">
        <is>
          <t>AKE_USDT_PERP</t>
        </is>
      </c>
      <c r="B16" s="2">
        <f>COUNTIFS(交易明細!$B$2:$B$37,$A16)</f>
        <v/>
      </c>
      <c r="C16" s="2">
        <f>COUNTIFS(交易明細!$B$2:$B$37,$A16,交易明細!$C$2:$C$37,"做多")</f>
        <v/>
      </c>
      <c r="D16" s="2">
        <f>COUNTIFS(交易明細!$B$2:$B$37,$A16,交易明細!$C$2:$C$37,"做空")</f>
        <v/>
      </c>
      <c r="E16" s="2">
        <f>F16+G16+COUNTIFS(交易明細!$B$2:$B$37,$A16,交易明細!$J$2:$J$37,"時間出場")</f>
        <v/>
      </c>
      <c r="F16" s="2">
        <f>COUNTIFS(交易明細!$B$2:$B$37,$A16,交易明細!$J$2:$J$37,"止盈")</f>
        <v/>
      </c>
      <c r="G16" s="2">
        <f>COUNTIFS(交易明細!$B$2:$B$37,$A16,交易明細!$J$2:$J$37,"止損")</f>
        <v/>
      </c>
      <c r="H16" s="4">
        <f>IFERROR(F16/E16,0)</f>
        <v/>
      </c>
      <c r="I16" s="4">
        <f>IFERROR(AVERAGEIFS(交易明細!$L$2:$L$37,交易明細!$B$2:$B$37,$A16,交易明細!$J$2:$J$37,"&lt;&gt;未平倉"),0)</f>
        <v/>
      </c>
      <c r="J16" s="4">
        <f>SUMIFS(交易明細!$L$2:$L$37,交易明細!$B$2:$B$37,$A16,交易明細!$J$2:$J$37,"&lt;&gt;未平倉")</f>
        <v/>
      </c>
      <c r="K16" s="5">
        <f>IFERROR(AVERAGEIFS(交易明細!$K$2:$K$37,交易明細!$B$2:$B$37,$A16,交易明細!$J$2:$J$37,"&lt;&gt;未平倉"),0)</f>
        <v/>
      </c>
      <c r="L16" s="2">
        <f>COUNTIFS(交易明細!$B$2:$B$37,$A16,交易明細!$J$2:$J$37,"未平倉")</f>
        <v/>
      </c>
    </row>
    <row r="17">
      <c r="A17" s="2" t="inlineStr">
        <is>
          <t>LAB_USDT_PERP</t>
        </is>
      </c>
      <c r="B17" s="2">
        <f>COUNTIFS(交易明細!$B$2:$B$37,$A17)</f>
        <v/>
      </c>
      <c r="C17" s="2">
        <f>COUNTIFS(交易明細!$B$2:$B$37,$A17,交易明細!$C$2:$C$37,"做多")</f>
        <v/>
      </c>
      <c r="D17" s="2">
        <f>COUNTIFS(交易明細!$B$2:$B$37,$A17,交易明細!$C$2:$C$37,"做空")</f>
        <v/>
      </c>
      <c r="E17" s="2">
        <f>F17+G17+COUNTIFS(交易明細!$B$2:$B$37,$A17,交易明細!$J$2:$J$37,"時間出場")</f>
        <v/>
      </c>
      <c r="F17" s="2">
        <f>COUNTIFS(交易明細!$B$2:$B$37,$A17,交易明細!$J$2:$J$37,"止盈")</f>
        <v/>
      </c>
      <c r="G17" s="2">
        <f>COUNTIFS(交易明細!$B$2:$B$37,$A17,交易明細!$J$2:$J$37,"止損")</f>
        <v/>
      </c>
      <c r="H17" s="4">
        <f>IFERROR(F17/E17,0)</f>
        <v/>
      </c>
      <c r="I17" s="4">
        <f>IFERROR(AVERAGEIFS(交易明細!$L$2:$L$37,交易明細!$B$2:$B$37,$A17,交易明細!$J$2:$J$37,"&lt;&gt;未平倉"),0)</f>
        <v/>
      </c>
      <c r="J17" s="4">
        <f>SUMIFS(交易明細!$L$2:$L$37,交易明細!$B$2:$B$37,$A17,交易明細!$J$2:$J$37,"&lt;&gt;未平倉")</f>
        <v/>
      </c>
      <c r="K17" s="5">
        <f>IFERROR(AVERAGEIFS(交易明細!$K$2:$K$37,交易明細!$B$2:$B$37,$A17,交易明細!$J$2:$J$37,"&lt;&gt;未平倉"),0)</f>
        <v/>
      </c>
      <c r="L17" s="2">
        <f>COUNTIFS(交易明細!$B$2:$B$37,$A17,交易明細!$J$2:$J$37,"未平倉")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2026-09-17T13:35:45Z</dcterms:created>
  <dcterms:modified xsi:type="dcterms:W3CDTF">2026-09-17T13:35:45Z</dcterms:modified>
</cp:coreProperties>
</file>