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運行紀錄" sheetId="2" state="visible" r:id="rId2"/>
    <sheet name="ATR區間監控" sheetId="3" state="visible" r:id="rId3"/>
    <sheet name="資金模擬" sheetId="4" state="visible" r:id="rId4"/>
    <sheet name="資金明細" sheetId="5" state="visible" r:id="rId5"/>
    <sheet name="參數" sheetId="6" state="visible" r:id="rId6"/>
    <sheet name="交易明細" sheetId="7" state="visible" r:id="rId7"/>
    <sheet name="幣種統計" sheetId="8" state="visible" r:id="rId8"/>
    <sheet name="掃描清單" sheetId="9" state="visible" r:id="rId9"/>
  </sheets>
  <definedNames>
    <definedName name="_xlnm._FilterDatabase" localSheetId="4" hidden="1">'資金明細'!$A$1:$Z$58</definedName>
    <definedName name="_xlnm._FilterDatabase" localSheetId="6" hidden="1">'交易明細'!$A$1:$AC$29</definedName>
    <definedName name="_xlnm._FilterDatabase" localSheetId="7" hidden="1">'幣種統計'!$A$1:$L$16</definedName>
    <definedName name="_xlnm._FilterDatabase" localSheetId="8" hidden="1">'掃描清單'!$A$1:$H$443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%"/>
    <numFmt numFmtId="165" formatCode="yyyy-mm-dd h:mm:ss"/>
    <numFmt numFmtId="166" formatCode="yyyy-mm-dd hh:mm"/>
    <numFmt numFmtId="167" formatCode="0.00000000"/>
    <numFmt numFmtId="168" formatCode="0.0"/>
    <numFmt numFmtId="169" formatCode="0.0000"/>
    <numFmt numFmtId="170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4"/>
    </font>
    <font>
      <name val="Arial"/>
      <b val="1"/>
      <sz val="10"/>
    </font>
    <font>
      <name val="Arial"/>
      <b val="1"/>
      <sz val="12"/>
    </font>
    <font>
      <name val="Arial"/>
      <b val="1"/>
      <color rgb="00C00000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0" fontId="2" fillId="0" borderId="0" pivotButton="0" quotePrefix="0" xfId="0"/>
    <xf numFmtId="168" fontId="2" fillId="0" borderId="0" pivotButton="0" quotePrefix="0" xfId="0"/>
    <xf numFmtId="0" fontId="5" fillId="0" borderId="0" pivotButton="0" quotePrefix="0" xfId="0"/>
    <xf numFmtId="166" fontId="2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70" fontId="2" fillId="0" borderId="0" pivotButton="0" quotePrefix="0" xfId="0"/>
    <xf numFmtId="0" fontId="1" fillId="2" borderId="0" pivotButton="0" quotePrefix="0" xfId="0"/>
    <xf numFmtId="2" fontId="3" fillId="3" borderId="0" pivotButton="0" quotePrefix="0" xfId="0"/>
    <xf numFmtId="169" fontId="2" fillId="0" borderId="0" pivotButton="0" quotePrefix="0" xfId="0"/>
    <xf numFmtId="10" fontId="3" fillId="3" borderId="0" pivotButton="0" quotePrefix="0" xfId="0"/>
    <xf numFmtId="1" fontId="3" fillId="3" borderId="0" pivotButton="0" quotePrefix="0" xfId="0"/>
    <xf numFmtId="168" fontId="3" fillId="3" borderId="0" pivotButton="0" quotePrefix="0" xfId="0"/>
    <xf numFmtId="164" fontId="2" fillId="0" borderId="0" pivotButton="0" quotePrefix="0" xfId="0"/>
    <xf numFmtId="1" fontId="2" fillId="0" borderId="0" pivotButton="0" quotePrefix="0" xfId="0"/>
    <xf numFmtId="2" fontId="2" fillId="0" borderId="0" pivotButton="0" quotePrefix="0" xfId="0"/>
    <xf numFmtId="167" fontId="2" fillId="0" borderId="0" pivotButton="0" quotePrefix="0" xfId="0"/>
    <xf numFmtId="164" fontId="3" fillId="3" borderId="0" pivotButton="0" quotePrefix="0" xfId="0"/>
    <xf numFmtId="3" fontId="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ont>
        <name val="Arial"/>
        <color rgb="00C0000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剩餘本金（依事件順序）</a:t>
            </a:r>
          </a:p>
        </rich>
      </tx>
    </title>
    <plotArea>
      <lineChart>
        <grouping val="standard"/>
        <ser>
          <idx val="0"/>
          <order val="0"/>
          <tx>
            <strRef>
              <f>'資金明細'!R1</f>
            </strRef>
          </tx>
          <spPr>
            <a:ln w="12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'資金明細'!$R$2:$R$58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事件序號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本金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  <col width="13" customWidth="1" min="13" max="13"/>
    <col width="13" customWidth="1" min="14" max="14"/>
    <col width="15" customWidth="1" min="15" max="15"/>
    <col width="11" customWidth="1" min="16" max="16"/>
  </cols>
  <sheetData>
    <row r="1">
      <c r="A1" s="1" t="inlineStr">
        <is>
          <t>派網 USDT 交易對 動能策略回測總覽</t>
        </is>
      </c>
    </row>
    <row r="2">
      <c r="A2" s="2" t="inlineStr">
        <is>
          <t>回測區間：2026-09-01 00:00 ~ 2026-09-14 14:23（Dry Run）（台北時間）；市場：PERP；勝率 = 止盈筆數 ÷ 已平倉筆數；正報酬比例 = 報酬 &gt; 0 的筆數 ÷ 已平倉（含時間出場）</t>
        </is>
      </c>
    </row>
    <row r="4">
      <c r="A4" s="3" t="inlineStr">
        <is>
          <t>方向</t>
        </is>
      </c>
      <c r="B4" s="3" t="inlineStr">
        <is>
          <t>總筆數</t>
        </is>
      </c>
      <c r="C4" s="3" t="inlineStr">
        <is>
          <t>已平倉</t>
        </is>
      </c>
      <c r="D4" s="3" t="inlineStr">
        <is>
          <t>止盈</t>
        </is>
      </c>
      <c r="E4" s="3" t="inlineStr">
        <is>
          <t>止損</t>
        </is>
      </c>
      <c r="F4" s="3" t="inlineStr">
        <is>
          <t>時間出場</t>
        </is>
      </c>
      <c r="G4" s="3" t="inlineStr">
        <is>
          <t>未平倉</t>
        </is>
      </c>
      <c r="H4" s="3" t="inlineStr">
        <is>
          <t>勝率</t>
        </is>
      </c>
      <c r="I4" s="3" t="inlineStr">
        <is>
          <t>盈虧平衡勝率</t>
        </is>
      </c>
      <c r="J4" s="3" t="inlineStr">
        <is>
          <t>平均報酬/筆</t>
        </is>
      </c>
      <c r="K4" s="3" t="inlineStr">
        <is>
          <t>累計報酬(單利加總)</t>
        </is>
      </c>
      <c r="L4" s="3" t="inlineStr">
        <is>
          <t>平均持倉h</t>
        </is>
      </c>
      <c r="M4" s="3" t="inlineStr">
        <is>
          <t>止盈平均持倉h</t>
        </is>
      </c>
      <c r="N4" s="3" t="inlineStr">
        <is>
          <t>止損平均持倉h</t>
        </is>
      </c>
      <c r="O4" s="3" t="inlineStr">
        <is>
          <t>時間出場平均報酬</t>
        </is>
      </c>
      <c r="P4" s="3" t="inlineStr">
        <is>
          <t>正報酬比例</t>
        </is>
      </c>
    </row>
    <row r="5">
      <c r="A5" s="2" t="inlineStr">
        <is>
          <t>全部</t>
        </is>
      </c>
      <c r="B5" s="2">
        <f>COUNTIFS(交易明細!$B$2:$B$29,"&lt;&gt;")</f>
        <v/>
      </c>
      <c r="C5" s="2">
        <f>D5+E5+F5</f>
        <v/>
      </c>
      <c r="D5" s="2">
        <f>COUNTIFS(交易明細!$J$2:$J$29,"止盈")</f>
        <v/>
      </c>
      <c r="E5" s="2">
        <f>COUNTIFS(交易明細!$J$2:$J$29,"止損")</f>
        <v/>
      </c>
      <c r="F5" s="2">
        <f>COUNTIFS(交易明細!$J$2:$J$29,"時間出場")</f>
        <v/>
      </c>
      <c r="G5" s="2">
        <f>COUNTIFS(交易明細!$J$2:$J$29,"未平倉")</f>
        <v/>
      </c>
      <c r="H5" s="4">
        <f>IFERROR(D5/C5,0)</f>
        <v/>
      </c>
      <c r="I5" s="4">
        <f>IFERROR(AVERAGEIFS(交易明細!$AC$2:$AC$29,交易明細!$J$2:$J$29,"&lt;&gt;未平倉"),參數!$B$16)</f>
        <v/>
      </c>
      <c r="J5" s="4">
        <f>IFERROR(AVERAGEIFS(交易明細!$L$2:$L$29,交易明細!$J$2:$J$29,"&lt;&gt;未平倉"),0)</f>
        <v/>
      </c>
      <c r="K5" s="4">
        <f>SUMIFS(交易明細!$L$2:$L$29,交易明細!$J$2:$J$29,"&lt;&gt;未平倉")</f>
        <v/>
      </c>
      <c r="L5" s="5">
        <f>IFERROR(AVERAGEIFS(交易明細!$K$2:$K$29,交易明細!$J$2:$J$29,"&lt;&gt;未平倉"),0)</f>
        <v/>
      </c>
      <c r="M5" s="5">
        <f>IFERROR(AVERAGEIFS(交易明細!$K$2:$K$29,交易明細!$J$2:$J$29,"止盈"),0)</f>
        <v/>
      </c>
      <c r="N5" s="5">
        <f>IFERROR(AVERAGEIFS(交易明細!$K$2:$K$29,交易明細!$J$2:$J$29,"止損"),0)</f>
        <v/>
      </c>
      <c r="O5" s="4">
        <f>IFERROR(AVERAGEIFS(交易明細!$L$2:$L$29,交易明細!$J$2:$J$29,"時間出場"),0)</f>
        <v/>
      </c>
      <c r="P5" s="4">
        <f>IFERROR(COUNTIFS(交易明細!$J$2:$J$29,"&lt;&gt;未平倉",交易明細!$L$2:$L$29,"&gt;0")/C5,0)</f>
        <v/>
      </c>
    </row>
    <row r="6">
      <c r="A6" s="2" t="inlineStr">
        <is>
          <t>做多</t>
        </is>
      </c>
      <c r="B6" s="2">
        <f>COUNTIFS(交易明細!$C$2:$C$29,"做多",交易明細!$B$2:$B$29,"&lt;&gt;")</f>
        <v/>
      </c>
      <c r="C6" s="2">
        <f>D6+E6+F6</f>
        <v/>
      </c>
      <c r="D6" s="2">
        <f>COUNTIFS(交易明細!$C$2:$C$29,"做多",交易明細!$J$2:$J$29,"止盈")</f>
        <v/>
      </c>
      <c r="E6" s="2">
        <f>COUNTIFS(交易明細!$C$2:$C$29,"做多",交易明細!$J$2:$J$29,"止損")</f>
        <v/>
      </c>
      <c r="F6" s="2">
        <f>COUNTIFS(交易明細!$C$2:$C$29,"做多",交易明細!$J$2:$J$29,"時間出場")</f>
        <v/>
      </c>
      <c r="G6" s="2">
        <f>COUNTIFS(交易明細!$C$2:$C$29,"做多",交易明細!$J$2:$J$29,"未平倉")</f>
        <v/>
      </c>
      <c r="H6" s="4">
        <f>IFERROR(D6/C6,0)</f>
        <v/>
      </c>
      <c r="I6" s="4">
        <f>IFERROR(AVERAGEIFS(交易明細!$AC$2:$AC$29,交易明細!$C$2:$C$29,"做多",交易明細!$J$2:$J$29,"&lt;&gt;未平倉"),參數!$B$16)</f>
        <v/>
      </c>
      <c r="J6" s="4">
        <f>IFERROR(AVERAGEIFS(交易明細!$L$2:$L$29,交易明細!$C$2:$C$29,"做多",交易明細!$J$2:$J$29,"&lt;&gt;未平倉"),0)</f>
        <v/>
      </c>
      <c r="K6" s="4">
        <f>SUMIFS(交易明細!$L$2:$L$29,交易明細!$C$2:$C$29,"做多",交易明細!$J$2:$J$29,"&lt;&gt;未平倉")</f>
        <v/>
      </c>
      <c r="L6" s="5">
        <f>IFERROR(AVERAGEIFS(交易明細!$K$2:$K$29,交易明細!$C$2:$C$29,"做多",交易明細!$J$2:$J$29,"&lt;&gt;未平倉"),0)</f>
        <v/>
      </c>
      <c r="M6" s="5">
        <f>IFERROR(AVERAGEIFS(交易明細!$K$2:$K$29,交易明細!$C$2:$C$29,"做多",交易明細!$J$2:$J$29,"止盈"),0)</f>
        <v/>
      </c>
      <c r="N6" s="5">
        <f>IFERROR(AVERAGEIFS(交易明細!$K$2:$K$29,交易明細!$C$2:$C$29,"做多",交易明細!$J$2:$J$29,"止損"),0)</f>
        <v/>
      </c>
      <c r="O6" s="4">
        <f>IFERROR(AVERAGEIFS(交易明細!$L$2:$L$29,交易明細!$C$2:$C$29,"做多",交易明細!$J$2:$J$29,"時間出場"),0)</f>
        <v/>
      </c>
      <c r="P6" s="4">
        <f>IFERROR(COUNTIFS(交易明細!$C$2:$C$29,"做多",交易明細!$J$2:$J$29,"&lt;&gt;未平倉",交易明細!$L$2:$L$29,"&gt;0")/C6,0)</f>
        <v/>
      </c>
    </row>
    <row r="7">
      <c r="A7" s="2" t="inlineStr">
        <is>
          <t>做空</t>
        </is>
      </c>
      <c r="B7" s="2">
        <f>COUNTIFS(交易明細!$C$2:$C$29,"做空",交易明細!$B$2:$B$29,"&lt;&gt;")</f>
        <v/>
      </c>
      <c r="C7" s="2">
        <f>D7+E7+F7</f>
        <v/>
      </c>
      <c r="D7" s="2">
        <f>COUNTIFS(交易明細!$C$2:$C$29,"做空",交易明細!$J$2:$J$29,"止盈")</f>
        <v/>
      </c>
      <c r="E7" s="2">
        <f>COUNTIFS(交易明細!$C$2:$C$29,"做空",交易明細!$J$2:$J$29,"止損")</f>
        <v/>
      </c>
      <c r="F7" s="2">
        <f>COUNTIFS(交易明細!$C$2:$C$29,"做空",交易明細!$J$2:$J$29,"時間出場")</f>
        <v/>
      </c>
      <c r="G7" s="2">
        <f>COUNTIFS(交易明細!$C$2:$C$29,"做空",交易明細!$J$2:$J$29,"未平倉")</f>
        <v/>
      </c>
      <c r="H7" s="4">
        <f>IFERROR(D7/C7,0)</f>
        <v/>
      </c>
      <c r="I7" s="4">
        <f>IFERROR(AVERAGEIFS(交易明細!$AC$2:$AC$29,交易明細!$C$2:$C$29,"做空",交易明細!$J$2:$J$29,"&lt;&gt;未平倉"),參數!$B$16)</f>
        <v/>
      </c>
      <c r="J7" s="4">
        <f>IFERROR(AVERAGEIFS(交易明細!$L$2:$L$29,交易明細!$C$2:$C$29,"做空",交易明細!$J$2:$J$29,"&lt;&gt;未平倉"),0)</f>
        <v/>
      </c>
      <c r="K7" s="4">
        <f>SUMIFS(交易明細!$L$2:$L$29,交易明細!$C$2:$C$29,"做空",交易明細!$J$2:$J$29,"&lt;&gt;未平倉")</f>
        <v/>
      </c>
      <c r="L7" s="5">
        <f>IFERROR(AVERAGEIFS(交易明細!$K$2:$K$29,交易明細!$C$2:$C$29,"做空",交易明細!$J$2:$J$29,"&lt;&gt;未平倉"),0)</f>
        <v/>
      </c>
      <c r="M7" s="5">
        <f>IFERROR(AVERAGEIFS(交易明細!$K$2:$K$29,交易明細!$C$2:$C$29,"做空",交易明細!$J$2:$J$29,"止盈"),0)</f>
        <v/>
      </c>
      <c r="N7" s="5">
        <f>IFERROR(AVERAGEIFS(交易明細!$K$2:$K$29,交易明細!$C$2:$C$29,"做空",交易明細!$J$2:$J$29,"止損"),0)</f>
        <v/>
      </c>
      <c r="O7" s="4">
        <f>IFERROR(AVERAGEIFS(交易明細!$L$2:$L$29,交易明細!$C$2:$C$29,"做空",交易明細!$J$2:$J$29,"時間出場"),0)</f>
        <v/>
      </c>
      <c r="P7" s="4">
        <f>IFERROR(COUNTIFS(交易明細!$C$2:$C$29,"做空",交易明細!$J$2:$J$29,"&lt;&gt;未平倉",交易明細!$L$2:$L$29,"&gt;0")/C7,0)</f>
        <v/>
      </c>
    </row>
    <row r="9">
      <c r="A9" s="6" t="inlineStr">
        <is>
          <t>說明</t>
        </is>
      </c>
    </row>
    <row r="10">
      <c r="A10" s="2" t="inlineStr">
        <is>
          <t>・持倉時間以1小時K棒為精度（觸價當根收盤計），5分K判定的交易精度為5分鐘。</t>
        </is>
      </c>
    </row>
    <row r="11">
      <c r="A11" s="2" t="inlineStr">
        <is>
          <t>・止盈以止盈價成交；止損若遇開盤跳空穿越，以開盤價成交（較保守）。</t>
        </is>
      </c>
    </row>
    <row r="12">
      <c r="A12" s="2" t="inlineStr">
        <is>
          <t>・同一根1h同時碰到止盈與止損時，依參數頁設定判斷（見交易明細『判定說明』）。</t>
        </is>
      </c>
    </row>
    <row r="13">
      <c r="A13" s="2" t="inlineStr">
        <is>
          <t>・只含目前仍上架的交易對，已下架幣種不在內（存活者偏差，實際表現可能較差）。</t>
        </is>
      </c>
    </row>
    <row r="14">
      <c r="A14" s="2" t="inlineStr">
        <is>
          <t>・可在『參數』頁修改手續費，報酬率欄位會自動重算。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  <col width="8" customWidth="1" min="5" max="5"/>
    <col width="8" customWidth="1" min="6" max="6"/>
    <col width="9" customWidth="1" min="7" max="7"/>
  </cols>
  <sheetData>
    <row r="1">
      <c r="A1" s="3" t="inlineStr">
        <is>
          <t>執行時間(台北)</t>
        </is>
      </c>
      <c r="B1" s="3" t="inlineStr">
        <is>
          <t>最新K棒(開盤時間)</t>
        </is>
      </c>
      <c r="C1" s="3" t="inlineStr">
        <is>
          <t>交易對數</t>
        </is>
      </c>
      <c r="D1" s="3" t="inlineStr">
        <is>
          <t>新開倉</t>
        </is>
      </c>
      <c r="E1" s="3" t="inlineStr">
        <is>
          <t>新平倉</t>
        </is>
      </c>
      <c r="F1" s="3" t="inlineStr">
        <is>
          <t>錯誤數</t>
        </is>
      </c>
      <c r="G1" s="3" t="inlineStr">
        <is>
          <t>耗時(秒)</t>
        </is>
      </c>
    </row>
    <row r="2">
      <c r="A2" s="7" t="n">
        <v>46279.59996445602</v>
      </c>
      <c r="B2" s="7" t="n">
        <v>46279.54166666666</v>
      </c>
      <c r="C2" s="2" t="n">
        <v>442</v>
      </c>
      <c r="D2" s="2" t="n">
        <v>0</v>
      </c>
      <c r="E2" s="2" t="n">
        <v>0</v>
      </c>
      <c r="F2" s="2" t="n">
        <v>0</v>
      </c>
      <c r="G2" s="2" t="n">
        <v>61</v>
      </c>
    </row>
    <row r="3">
      <c r="A3" s="7" t="n">
        <v>46279.38316741898</v>
      </c>
      <c r="B3" s="7" t="n">
        <v>46279.33333333334</v>
      </c>
      <c r="C3" s="2" t="n">
        <v>442</v>
      </c>
      <c r="D3" s="2" t="n">
        <v>0</v>
      </c>
      <c r="E3" s="2" t="n">
        <v>0</v>
      </c>
      <c r="F3" s="2" t="n">
        <v>0</v>
      </c>
      <c r="G3" s="2" t="n">
        <v>59.9</v>
      </c>
    </row>
    <row r="4">
      <c r="A4" s="7" t="n">
        <v>46279.26932584491</v>
      </c>
      <c r="B4" s="7" t="n">
        <v>46279.20833333334</v>
      </c>
      <c r="C4" s="2" t="n">
        <v>442</v>
      </c>
      <c r="D4" s="2" t="n">
        <v>0</v>
      </c>
      <c r="E4" s="2" t="n">
        <v>0</v>
      </c>
      <c r="F4" s="2" t="n">
        <v>0</v>
      </c>
      <c r="G4" s="2" t="n">
        <v>61.1</v>
      </c>
    </row>
    <row r="5">
      <c r="A5" s="7" t="n">
        <v>46279.14665413195</v>
      </c>
      <c r="B5" s="7" t="n">
        <v>46279.08333333334</v>
      </c>
      <c r="C5" s="2" t="n">
        <v>442</v>
      </c>
      <c r="D5" s="2" t="n">
        <v>0</v>
      </c>
      <c r="E5" s="2" t="n">
        <v>0</v>
      </c>
      <c r="F5" s="2" t="n">
        <v>0</v>
      </c>
      <c r="G5" s="2" t="n">
        <v>55.1</v>
      </c>
    </row>
    <row r="6">
      <c r="A6" s="7" t="n">
        <v>46279.01733591435</v>
      </c>
      <c r="B6" s="7" t="n">
        <v>46278.95833333334</v>
      </c>
      <c r="C6" s="2" t="n">
        <v>442</v>
      </c>
      <c r="D6" s="2" t="n">
        <v>1</v>
      </c>
      <c r="E6" s="2" t="n">
        <v>1</v>
      </c>
      <c r="F6" s="2" t="n">
        <v>0</v>
      </c>
      <c r="G6" s="2" t="n">
        <v>59.7</v>
      </c>
    </row>
    <row r="7">
      <c r="A7" s="7" t="n">
        <v>46278.83725055555</v>
      </c>
      <c r="B7" s="7" t="n">
        <v>46278.79166666666</v>
      </c>
      <c r="C7" s="2" t="n">
        <v>442</v>
      </c>
      <c r="D7" s="2" t="n">
        <v>0</v>
      </c>
      <c r="E7" s="2" t="n">
        <v>0</v>
      </c>
      <c r="F7" s="2" t="n">
        <v>0</v>
      </c>
      <c r="G7" s="2" t="n">
        <v>65.40000000000001</v>
      </c>
    </row>
    <row r="8">
      <c r="A8" s="7" t="n">
        <v>46278.71111972223</v>
      </c>
      <c r="B8" s="7" t="n">
        <v>46278.66666666666</v>
      </c>
      <c r="C8" s="2" t="n">
        <v>442</v>
      </c>
      <c r="D8" s="2" t="n">
        <v>0</v>
      </c>
      <c r="E8" s="2" t="n">
        <v>1</v>
      </c>
      <c r="F8" s="2" t="n">
        <v>0</v>
      </c>
      <c r="G8" s="2" t="n">
        <v>63.6</v>
      </c>
    </row>
    <row r="9">
      <c r="A9" s="7" t="n">
        <v>46278.68053923611</v>
      </c>
      <c r="B9" s="7" t="n">
        <v>46278.625</v>
      </c>
      <c r="C9" s="2" t="n">
        <v>442</v>
      </c>
      <c r="D9" s="2" t="n">
        <v>2</v>
      </c>
      <c r="E9" s="2" t="n">
        <v>1</v>
      </c>
      <c r="F9" s="2" t="n">
        <v>0</v>
      </c>
      <c r="G9" s="2" t="n">
        <v>63.6</v>
      </c>
    </row>
    <row r="10">
      <c r="A10" s="7" t="n">
        <v>46278.07354997685</v>
      </c>
      <c r="B10" s="7" t="n">
        <v>46278</v>
      </c>
      <c r="C10" s="2" t="n">
        <v>442</v>
      </c>
      <c r="D10" s="2" t="n">
        <v>0</v>
      </c>
      <c r="E10" s="2" t="n">
        <v>0</v>
      </c>
      <c r="F10" s="2" t="n">
        <v>0</v>
      </c>
      <c r="G10" s="2" t="n">
        <v>50.2</v>
      </c>
    </row>
    <row r="11">
      <c r="A11" s="7" t="n">
        <v>46277.94390239583</v>
      </c>
      <c r="B11" s="7" t="n">
        <v>46277.875</v>
      </c>
      <c r="C11" s="2" t="n">
        <v>442</v>
      </c>
      <c r="D11" s="2" t="n">
        <v>25</v>
      </c>
      <c r="E11" s="2" t="n">
        <v>25</v>
      </c>
      <c r="F11" s="2" t="n">
        <v>0</v>
      </c>
      <c r="G11" s="2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0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10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9" customWidth="1" min="17" max="17"/>
    <col width="9" customWidth="1" min="18" max="18"/>
    <col width="10" customWidth="1" min="19" max="19"/>
  </cols>
  <sheetData>
    <row r="1">
      <c r="A1" s="8" t="inlineStr">
        <is>
          <t>ATR 區間監控（資料來自觀察組：ATR ≥ 2%，其他條件與主策略相同）</t>
        </is>
      </c>
    </row>
    <row r="2">
      <c r="A2" s="9" t="inlineStr">
        <is>
          <t>近 1 個月最佳區間：5%–6%（每筆 +0.65%）</t>
        </is>
      </c>
    </row>
    <row r="3">
      <c r="A3" s="2" t="inlineStr">
        <is>
          <t>若最佳區間連續數個月不再是 4–5%，代表市場結構可能改變，需要重新檢查策略。</t>
        </is>
      </c>
    </row>
    <row r="5">
      <c r="A5" s="3" t="inlineStr">
        <is>
          <t>月份</t>
        </is>
      </c>
      <c r="B5" s="3" t="inlineStr">
        <is>
          <t>2%–3% 筆數</t>
        </is>
      </c>
      <c r="C5" s="3" t="inlineStr">
        <is>
          <t>2%–3% 勝率</t>
        </is>
      </c>
      <c r="D5" s="3" t="inlineStr">
        <is>
          <t>2%–3% 每筆報酬</t>
        </is>
      </c>
      <c r="E5" s="3" t="inlineStr">
        <is>
          <t>3%–4% 筆數</t>
        </is>
      </c>
      <c r="F5" s="3" t="inlineStr">
        <is>
          <t>3%–4% 勝率</t>
        </is>
      </c>
      <c r="G5" s="3" t="inlineStr">
        <is>
          <t>3%–4% 每筆報酬</t>
        </is>
      </c>
      <c r="H5" s="3" t="inlineStr">
        <is>
          <t>4%–5% 筆數</t>
        </is>
      </c>
      <c r="I5" s="3" t="inlineStr">
        <is>
          <t>4%–5% 勝率</t>
        </is>
      </c>
      <c r="J5" s="3" t="inlineStr">
        <is>
          <t>4%–5% 每筆報酬</t>
        </is>
      </c>
      <c r="K5" s="3" t="inlineStr">
        <is>
          <t>5%–6% 筆數</t>
        </is>
      </c>
      <c r="L5" s="3" t="inlineStr">
        <is>
          <t>5%–6% 勝率</t>
        </is>
      </c>
      <c r="M5" s="3" t="inlineStr">
        <is>
          <t>5%–6% 每筆報酬</t>
        </is>
      </c>
      <c r="N5" s="3" t="inlineStr">
        <is>
          <t>6%–8% 筆數</t>
        </is>
      </c>
      <c r="O5" s="3" t="inlineStr">
        <is>
          <t>6%–8% 勝率</t>
        </is>
      </c>
      <c r="P5" s="3" t="inlineStr">
        <is>
          <t>6%–8% 每筆報酬</t>
        </is>
      </c>
      <c r="Q5" s="3" t="inlineStr">
        <is>
          <t>8% 以上 筆數</t>
        </is>
      </c>
      <c r="R5" s="3" t="inlineStr">
        <is>
          <t>8% 以上 勝率</t>
        </is>
      </c>
      <c r="S5" s="3" t="inlineStr">
        <is>
          <t>8% 以上 每筆報酬</t>
        </is>
      </c>
    </row>
    <row r="6">
      <c r="A6" s="2" t="inlineStr">
        <is>
          <t>2026-09</t>
        </is>
      </c>
      <c r="B6" s="2" t="n">
        <v>64</v>
      </c>
      <c r="C6" s="10" t="n">
        <v>0.5625</v>
      </c>
      <c r="D6" s="4" t="n">
        <v>-0.006000000000000009</v>
      </c>
      <c r="E6" s="2" t="n">
        <v>26</v>
      </c>
      <c r="F6" s="10" t="n">
        <v>0.5769230769230769</v>
      </c>
      <c r="G6" s="4" t="n">
        <v>-0.004846153846153855</v>
      </c>
      <c r="H6" s="2" t="n">
        <v>25</v>
      </c>
      <c r="I6" s="10" t="n">
        <v>0.5600000000000001</v>
      </c>
      <c r="J6" s="4" t="n">
        <v>-0.00620000000000001</v>
      </c>
      <c r="K6" s="2" t="n">
        <v>32</v>
      </c>
      <c r="L6" s="10" t="n">
        <v>0.71875</v>
      </c>
      <c r="M6" s="4" t="n">
        <v>0.006500000000000002</v>
      </c>
      <c r="N6" s="2" t="n">
        <v>47</v>
      </c>
      <c r="O6" s="10" t="n">
        <v>0.6595744680851063</v>
      </c>
      <c r="P6" s="4" t="n">
        <v>0.001765957446808508</v>
      </c>
      <c r="Q6" s="2" t="n">
        <v>16</v>
      </c>
      <c r="R6" s="10" t="n">
        <v>0.625</v>
      </c>
      <c r="S6" s="4" t="n">
        <v>-0.001000000000000008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" customWidth="1" min="3" max="3"/>
    <col width="24" customWidth="1" min="4" max="4"/>
    <col width="16" customWidth="1" min="5" max="5"/>
  </cols>
  <sheetData>
    <row r="1">
      <c r="A1" s="1" t="inlineStr">
        <is>
          <t>資金模擬：依訊號時間順序下單</t>
        </is>
      </c>
    </row>
    <row r="2">
      <c r="A2" s="2" t="inlineStr">
        <is>
          <t>藍字黃底的參數可直接修改，整份模擬會自動重算</t>
        </is>
      </c>
    </row>
    <row r="3">
      <c r="A3" s="11" t="inlineStr">
        <is>
          <t>參數</t>
        </is>
      </c>
      <c r="D3" s="11" t="inlineStr">
        <is>
          <t>績效摘要</t>
        </is>
      </c>
    </row>
    <row r="4">
      <c r="A4" s="2" t="inlineStr">
        <is>
          <t>初始本金</t>
        </is>
      </c>
      <c r="B4" s="12" t="n">
        <v>100</v>
      </c>
      <c r="D4" s="2" t="inlineStr">
        <is>
          <t>最終本金（已實現）</t>
        </is>
      </c>
      <c r="E4" s="13">
        <f>資金明細!R58</f>
        <v/>
      </c>
    </row>
    <row r="5">
      <c r="A5" s="2" t="inlineStr">
        <is>
          <t>下單比例</t>
        </is>
      </c>
      <c r="B5" s="14" t="n">
        <v>0.02</v>
      </c>
      <c r="D5" s="2" t="inlineStr">
        <is>
          <t>總報酬率</t>
        </is>
      </c>
      <c r="E5" s="4">
        <f>E4/B4-1</f>
        <v/>
      </c>
    </row>
    <row r="6">
      <c r="A6" s="2" t="inlineStr">
        <is>
          <t>本金更新級距</t>
        </is>
      </c>
      <c r="B6" s="15" t="n">
        <v>50</v>
      </c>
      <c r="D6" s="2" t="inlineStr">
        <is>
          <t>最高本金</t>
        </is>
      </c>
      <c r="E6" s="13">
        <f>MAX(資金明細!$R$2:$R$58)</f>
        <v/>
      </c>
    </row>
    <row r="7">
      <c r="A7" s="2" t="inlineStr">
        <is>
          <t>槓桿倍數</t>
        </is>
      </c>
      <c r="B7" s="16" t="n">
        <v>50</v>
      </c>
      <c r="D7" s="2" t="inlineStr">
        <is>
          <t>最低本金</t>
        </is>
      </c>
      <c r="E7" s="13">
        <f>MIN(資金明細!$R$2:$R$58)</f>
        <v/>
      </c>
    </row>
    <row r="8">
      <c r="A8" s="2" t="inlineStr">
        <is>
          <t>單邊手續費</t>
        </is>
      </c>
      <c r="B8" s="17">
        <f>參數!B7</f>
        <v/>
      </c>
      <c r="D8" s="2" t="inlineStr">
        <is>
          <t>最大回撤</t>
        </is>
      </c>
      <c r="E8" s="4">
        <f>MIN(資金明細!$X$2:$X$58)</f>
        <v/>
      </c>
    </row>
    <row r="9">
      <c r="A9" s="2" t="inlineStr">
        <is>
          <t>下單基準模式</t>
        </is>
      </c>
      <c r="B9" s="15" t="n">
        <v>1</v>
      </c>
      <c r="D9" s="2" t="inlineStr">
        <is>
          <t>已下單筆數</t>
        </is>
      </c>
      <c r="E9" s="18">
        <f>COUNTIFS(資金明細!$C$2:$C$58,"進場",資金明細!$N$2:$N$58,"已下單")</f>
        <v/>
      </c>
    </row>
    <row r="10">
      <c r="A10" s="2" t="inlineStr">
        <is>
          <t>停止交易門檻</t>
        </is>
      </c>
      <c r="B10" s="12" t="n">
        <v>0</v>
      </c>
      <c r="D10" s="2" t="inlineStr">
        <is>
          <t>資金不足略過</t>
        </is>
      </c>
      <c r="E10" s="18">
        <f>COUNTIFS(資金明細!$C$2:$C$58,"進場",資金明細!$N$2:$N$58,"資金不足略過")</f>
        <v/>
      </c>
    </row>
    <row r="11">
      <c r="D11" s="2" t="inlineStr">
        <is>
          <t>止盈筆數</t>
        </is>
      </c>
      <c r="E11" s="18">
        <f>COUNTIFS(資金明細!$C$2:$C$58,"出場",資金明細!$N$2:$N$58,"已下單",資金明細!$K$2:$K$58,"止盈")</f>
        <v/>
      </c>
    </row>
    <row r="12">
      <c r="A12" s="2" t="inlineStr">
        <is>
          <t>每筆止損約虧本金</t>
        </is>
      </c>
      <c r="B12" s="4">
        <f>B5*B7*IFERROR(AVERAGE(交易明細!$AB$2:$AB$29),參數!B6)</f>
        <v/>
      </c>
      <c r="D12" s="2" t="inlineStr">
        <is>
          <t>止損筆數</t>
        </is>
      </c>
      <c r="E12" s="18">
        <f>COUNTIFS(資金明細!$C$2:$C$58,"出場",資金明細!$N$2:$N$58,"已下單",資金明細!$K$2:$K$58,"止損")</f>
        <v/>
      </c>
    </row>
    <row r="13">
      <c r="A13" s="2" t="inlineStr">
        <is>
          <t>（以全倉、本金=基準本金計；模式1在本金回落時實際比例會更高）</t>
        </is>
      </c>
      <c r="D13" s="2" t="inlineStr">
        <is>
          <t>勝率</t>
        </is>
      </c>
      <c r="E13" s="4">
        <f>IFERROR(E11/COUNTIFS(資金明細!$C$2:$C$58,"出場",資金明細!$N$2:$N$58,"已下單"),0)</f>
        <v/>
      </c>
    </row>
    <row r="14">
      <c r="A14" s="2" t="inlineStr">
        <is>
          <t>下單基準模式：1=不回滾（原規則） 2=即時本金</t>
        </is>
      </c>
      <c r="D14" s="2" t="inlineStr">
        <is>
          <t>最大同時持倉</t>
        </is>
      </c>
      <c r="E14" s="18">
        <f>MAX(資金明細!$U$2:$U$58)</f>
        <v/>
      </c>
    </row>
    <row r="15">
      <c r="A15" s="2" t="inlineStr">
        <is>
          <t>停止交易門檻：本金 ≤ 此值即停止開新倉</t>
        </is>
      </c>
      <c r="D15" s="2" t="inlineStr">
        <is>
          <t>最大占用保證金</t>
        </is>
      </c>
      <c r="E15" s="19">
        <f>MAX(資金明細!$S$2:$S$58)</f>
        <v/>
      </c>
    </row>
    <row r="16">
      <c r="D16" s="2" t="inlineStr">
        <is>
          <t>期末下單金額</t>
        </is>
      </c>
      <c r="E16" s="19">
        <f>B5*資金明細!V58</f>
        <v/>
      </c>
    </row>
    <row r="17">
      <c r="D17" s="2" t="inlineStr">
        <is>
          <t>未平倉浮動損益（未計入）</t>
        </is>
      </c>
      <c r="E17" s="13">
        <f>0</f>
        <v/>
      </c>
    </row>
    <row r="18">
      <c r="D18" s="2" t="inlineStr">
        <is>
          <t>最大總曝險倍數</t>
        </is>
      </c>
      <c r="E18" s="19">
        <f>MAX(資金明細!$Y$2:$Y$58)</f>
        <v/>
      </c>
    </row>
    <row r="19">
      <c r="D19" s="2" t="inlineStr">
        <is>
          <t>當時全部止損約虧本金</t>
        </is>
      </c>
      <c r="E19" s="4">
        <f>E18*參數!B6</f>
        <v/>
      </c>
    </row>
    <row r="20">
      <c r="D20" s="2" t="inlineStr">
        <is>
          <t>停止交易時間</t>
        </is>
      </c>
      <c r="E20" s="7">
        <f>IFERROR(INDEX(資金明細!$B$2:$B$58,MATCH(1,資金明細!$Z$2:$Z$58,0)),"未觸發")</f>
        <v/>
      </c>
    </row>
    <row r="21">
      <c r="D21" s="2" t="inlineStr">
        <is>
          <t>停止後略過筆數</t>
        </is>
      </c>
      <c r="E21" s="18">
        <f>COUNTIFS(資金明細!$C$2:$C$58,"進場",資金明細!$N$2:$N$58,"已停止")</f>
        <v/>
      </c>
    </row>
    <row r="23">
      <c r="A23" s="6" t="inlineStr">
        <is>
          <t>規則說明</t>
        </is>
      </c>
    </row>
    <row r="24">
      <c r="A24" s="2" t="inlineStr">
        <is>
          <t>・下單金額 = 下單基準本金 × 下單比例。模式1：基準本金 = 本金曾達到的最高『級距倍數』（不回滾）；模式2：基準本金 = 當下本金。</t>
        </is>
      </c>
    </row>
    <row r="25">
      <c r="A25" s="2" t="inlineStr">
        <is>
          <t>・本金 ≤ 停止交易門檻後不再開新倉（已持有的單照常結算），避免模擬出現本金歸零後又『復活』的情況。</t>
        </is>
      </c>
    </row>
    <row r="26">
      <c r="A26" s="2" t="inlineStr">
        <is>
          <t>・剩餘本金 = 已實現本金（只在出場時結算）；可用資金 = 剩餘本金 − 占用保證金，不足下單金額時略過該訊號。</t>
        </is>
      </c>
    </row>
    <row r="27">
      <c r="A27" s="2" t="inlineStr">
        <is>
          <t>・同一時間點先處理出場再處理進場；報酬率已含進出場手續費。</t>
        </is>
      </c>
    </row>
    <row r="28">
      <c r="A28" s="2" t="inlineStr">
        <is>
          <t>・以全倉模式計算：總曝險倍數 = 所有持倉部位合計 ÷ 本金；未模擬持倉中的浮動虧損與維持保證金。</t>
        </is>
      </c>
    </row>
    <row r="29">
      <c r="A29" s="2" t="inlineStr">
        <is>
          <t>・回測結束仍持倉的交易不計入最終本金，浮動損益另列。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7" customWidth="1" min="3" max="3"/>
    <col width="8" customWidth="1" min="4" max="4"/>
    <col width="18" customWidth="1" min="5" max="5"/>
    <col width="7" customWidth="1" min="6" max="6"/>
    <col width="12" customWidth="1" min="7" max="7"/>
    <col width="12" customWidth="1" min="8" max="8"/>
    <col width="12" customWidth="1" min="9" max="9"/>
    <col width="12" customWidth="1" min="10" max="10"/>
    <col width="7" customWidth="1" min="11" max="11"/>
    <col width="9" customWidth="1" min="12" max="12"/>
    <col width="9" customWidth="1" min="13" max="13"/>
    <col width="12" customWidth="1" min="14" max="14"/>
    <col width="9" customWidth="1" min="15" max="15"/>
    <col width="11" customWidth="1" min="16" max="16"/>
    <col width="10" customWidth="1" min="17" max="17"/>
    <col width="11" customWidth="1" min="18" max="18"/>
    <col width="10" customWidth="1" min="19" max="19"/>
    <col width="10" customWidth="1" min="20" max="20"/>
    <col width="7" customWidth="1" min="21" max="21"/>
    <col width="11" customWidth="1" min="22" max="22"/>
    <col width="11" customWidth="1" min="23" max="23"/>
    <col width="9" customWidth="1" min="24" max="24"/>
    <col width="11" customWidth="1" min="25" max="25"/>
    <col width="8" customWidth="1" min="26" max="26"/>
  </cols>
  <sheetData>
    <row r="1">
      <c r="A1" s="3" t="inlineStr">
        <is>
          <t>序號</t>
        </is>
      </c>
      <c r="B1" s="3" t="inlineStr">
        <is>
          <t>時間</t>
        </is>
      </c>
      <c r="C1" s="3" t="inlineStr">
        <is>
          <t>種類</t>
        </is>
      </c>
      <c r="D1" s="3" t="inlineStr">
        <is>
          <t>交易編號</t>
        </is>
      </c>
      <c r="E1" s="3" t="inlineStr">
        <is>
          <t>交易對</t>
        </is>
      </c>
      <c r="F1" s="3" t="inlineStr">
        <is>
          <t>方向</t>
        </is>
      </c>
      <c r="G1" s="3" t="inlineStr">
        <is>
          <t>開倉價</t>
        </is>
      </c>
      <c r="H1" s="3" t="inlineStr">
        <is>
          <t>止盈價</t>
        </is>
      </c>
      <c r="I1" s="3" t="inlineStr">
        <is>
          <t>止損價</t>
        </is>
      </c>
      <c r="J1" s="3" t="inlineStr">
        <is>
          <t>出場價</t>
        </is>
      </c>
      <c r="K1" s="3" t="inlineStr">
        <is>
          <t>結果</t>
        </is>
      </c>
      <c r="L1" s="3" t="inlineStr">
        <is>
          <t>持倉小時</t>
        </is>
      </c>
      <c r="M1" s="3" t="inlineStr">
        <is>
          <t>下單金額</t>
        </is>
      </c>
      <c r="N1" s="3" t="inlineStr">
        <is>
          <t>狀態</t>
        </is>
      </c>
      <c r="O1" s="3" t="inlineStr">
        <is>
          <t>部位大小</t>
        </is>
      </c>
      <c r="P1" s="3" t="inlineStr">
        <is>
          <t>報酬率(含費)</t>
        </is>
      </c>
      <c r="Q1" s="3" t="inlineStr">
        <is>
          <t>損益</t>
        </is>
      </c>
      <c r="R1" s="3" t="inlineStr">
        <is>
          <t>剩餘本金</t>
        </is>
      </c>
      <c r="S1" s="3" t="inlineStr">
        <is>
          <t>占用保證金</t>
        </is>
      </c>
      <c r="T1" s="3" t="inlineStr">
        <is>
          <t>可用資金</t>
        </is>
      </c>
      <c r="U1" s="3" t="inlineStr">
        <is>
          <t>持倉數</t>
        </is>
      </c>
      <c r="V1" s="3" t="inlineStr">
        <is>
          <t>下單基準本金</t>
        </is>
      </c>
      <c r="W1" s="3" t="inlineStr">
        <is>
          <t>最高本金</t>
        </is>
      </c>
      <c r="X1" s="3" t="inlineStr">
        <is>
          <t>回撤</t>
        </is>
      </c>
      <c r="Y1" s="3" t="inlineStr">
        <is>
          <t>總曝險倍數</t>
        </is>
      </c>
      <c r="Z1" s="3" t="inlineStr">
        <is>
          <t>已停止</t>
        </is>
      </c>
    </row>
    <row r="2">
      <c r="A2" s="2" t="n">
        <v>0</v>
      </c>
      <c r="B2" s="7" t="n"/>
      <c r="C2" s="2" t="inlineStr">
        <is>
          <t>起始</t>
        </is>
      </c>
      <c r="D2" s="2" t="n"/>
      <c r="E2" s="2" t="n"/>
      <c r="F2" s="2" t="n"/>
      <c r="G2" s="20" t="n"/>
      <c r="H2" s="20" t="n"/>
      <c r="I2" s="20" t="n"/>
      <c r="J2" s="20" t="n"/>
      <c r="K2" s="2" t="n"/>
      <c r="L2" s="5" t="n"/>
      <c r="M2" s="19" t="n"/>
      <c r="N2" s="2" t="n"/>
      <c r="O2" s="19" t="n"/>
      <c r="P2" s="4" t="n"/>
      <c r="Q2" s="13" t="n">
        <v>0</v>
      </c>
      <c r="R2" s="13">
        <f>資金模擬!$B$4</f>
        <v/>
      </c>
      <c r="S2" s="19" t="n">
        <v>0</v>
      </c>
      <c r="T2" s="19">
        <f>R2-S2</f>
        <v/>
      </c>
      <c r="U2" s="2" t="n">
        <v>0</v>
      </c>
      <c r="V2" s="19">
        <f>資金模擬!$B$4</f>
        <v/>
      </c>
      <c r="W2" s="13">
        <f>R2</f>
        <v/>
      </c>
      <c r="X2" s="4" t="n">
        <v>0</v>
      </c>
      <c r="Y2" s="19" t="n">
        <v>0</v>
      </c>
      <c r="Z2" s="2" t="n">
        <v>0</v>
      </c>
    </row>
    <row r="3">
      <c r="A3" s="2" t="n">
        <v>1</v>
      </c>
      <c r="B3" s="7" t="n">
        <v>46266.75</v>
      </c>
      <c r="C3" s="2" t="inlineStr">
        <is>
          <t>進場</t>
        </is>
      </c>
      <c r="D3" s="2" t="n">
        <v>1</v>
      </c>
      <c r="E3" s="2" t="inlineStr">
        <is>
          <t>USELESS_USDT_PERP</t>
        </is>
      </c>
      <c r="F3" s="2" t="inlineStr">
        <is>
          <t>做多</t>
        </is>
      </c>
      <c r="G3" s="20" t="n">
        <v>0.09113</v>
      </c>
      <c r="H3" s="20" t="n">
        <v>0.0938639</v>
      </c>
      <c r="I3" s="20" t="n">
        <v>0.0865735</v>
      </c>
      <c r="J3" s="20" t="n"/>
      <c r="K3" s="2" t="n"/>
      <c r="L3" s="5" t="n"/>
      <c r="M3" s="19">
        <f>資金模擬!$B$5*V2</f>
        <v/>
      </c>
      <c r="N3" s="2">
        <f>IF(Z2=1,"已停止",IF(T2&gt;=M3,"已下單","資金不足略過"))</f>
        <v/>
      </c>
      <c r="O3" s="19">
        <f>IF(N3="已下單",M3*資金模擬!$B$7,0)</f>
        <v/>
      </c>
      <c r="P3" s="4" t="n"/>
      <c r="Q3" s="13" t="n">
        <v>0</v>
      </c>
      <c r="R3" s="13">
        <f>R2+Q3</f>
        <v/>
      </c>
      <c r="S3" s="19">
        <f>S2+IF(N3="已下單",M3,0)</f>
        <v/>
      </c>
      <c r="T3" s="19">
        <f>R3-S3</f>
        <v/>
      </c>
      <c r="U3" s="2">
        <f>U2+IF(N3="已下單",1,0)</f>
        <v/>
      </c>
      <c r="V3" s="19">
        <f>IF(資金模擬!$B$9=2,MAX(R3,0),MAX(V2,FLOOR(MAX(R3,0),資金模擬!$B$6)))</f>
        <v/>
      </c>
      <c r="W3" s="13">
        <f>MAX(W2,R3)</f>
        <v/>
      </c>
      <c r="X3" s="4">
        <f>IF(W3&gt;0,R3/W3-1,-1)</f>
        <v/>
      </c>
      <c r="Y3" s="19">
        <f>IF(R3&gt;0,S3*資金模擬!$B$7/R3,0)</f>
        <v/>
      </c>
      <c r="Z3" s="2">
        <f>IF(OR(Z2=1,R3&lt;=資金模擬!$B$10),1,0)</f>
        <v/>
      </c>
    </row>
    <row r="4">
      <c r="A4" s="2" t="n">
        <v>2</v>
      </c>
      <c r="B4" s="7" t="n">
        <v>46266.79166666666</v>
      </c>
      <c r="C4" s="2" t="inlineStr">
        <is>
          <t>出場</t>
        </is>
      </c>
      <c r="D4" s="2" t="n">
        <v>1</v>
      </c>
      <c r="E4" s="2" t="inlineStr">
        <is>
          <t>USELESS_USDT_PERP</t>
        </is>
      </c>
      <c r="F4" s="2" t="inlineStr">
        <is>
          <t>做多</t>
        </is>
      </c>
      <c r="G4" s="20" t="n">
        <v>0.09113</v>
      </c>
      <c r="H4" s="20" t="n">
        <v>0.0938639</v>
      </c>
      <c r="I4" s="20" t="n">
        <v>0.0865735</v>
      </c>
      <c r="J4" s="20" t="n">
        <v>0.0938639</v>
      </c>
      <c r="K4" s="2" t="inlineStr">
        <is>
          <t>止盈</t>
        </is>
      </c>
      <c r="L4" s="5">
        <f>交易明細!K2</f>
        <v/>
      </c>
      <c r="M4" s="19">
        <f>M3</f>
        <v/>
      </c>
      <c r="N4" s="2">
        <f>N3</f>
        <v/>
      </c>
      <c r="O4" s="19">
        <f>O3</f>
        <v/>
      </c>
      <c r="P4" s="4">
        <f>交易明細!L2</f>
        <v/>
      </c>
      <c r="Q4" s="13">
        <f>IF(N4="已下單",O4*P4,0)</f>
        <v/>
      </c>
      <c r="R4" s="13">
        <f>R3+Q4</f>
        <v/>
      </c>
      <c r="S4" s="19">
        <f>S3-IF(N4="已下單",M4,0)</f>
        <v/>
      </c>
      <c r="T4" s="19">
        <f>R4-S4</f>
        <v/>
      </c>
      <c r="U4" s="2">
        <f>U3-IF(N4="已下單",1,0)</f>
        <v/>
      </c>
      <c r="V4" s="19">
        <f>IF(資金模擬!$B$9=2,MAX(R4,0),MAX(V3,FLOOR(MAX(R4,0),資金模擬!$B$6)))</f>
        <v/>
      </c>
      <c r="W4" s="13">
        <f>MAX(W3,R4)</f>
        <v/>
      </c>
      <c r="X4" s="4">
        <f>IF(W4&gt;0,R4/W4-1,-1)</f>
        <v/>
      </c>
      <c r="Y4" s="19">
        <f>IF(R4&gt;0,S4*資金模擬!$B$7/R4,0)</f>
        <v/>
      </c>
      <c r="Z4" s="2">
        <f>IF(OR(Z3=1,R4&lt;=資金模擬!$B$10),1,0)</f>
        <v/>
      </c>
    </row>
    <row r="5">
      <c r="A5" s="2" t="n">
        <v>3</v>
      </c>
      <c r="B5" s="7" t="n">
        <v>46267.83333333334</v>
      </c>
      <c r="C5" s="2" t="inlineStr">
        <is>
          <t>進場</t>
        </is>
      </c>
      <c r="D5" s="2" t="n">
        <v>2</v>
      </c>
      <c r="E5" s="2" t="inlineStr">
        <is>
          <t>ACE_USDT_PERP</t>
        </is>
      </c>
      <c r="F5" s="2" t="inlineStr">
        <is>
          <t>做空</t>
        </is>
      </c>
      <c r="G5" s="20" t="n">
        <v>0.19257</v>
      </c>
      <c r="H5" s="20" t="n">
        <v>0.1867929</v>
      </c>
      <c r="I5" s="20" t="n">
        <v>0.2021985</v>
      </c>
      <c r="J5" s="20" t="n"/>
      <c r="K5" s="2" t="n"/>
      <c r="L5" s="5" t="n"/>
      <c r="M5" s="19">
        <f>資金模擬!$B$5*V4</f>
        <v/>
      </c>
      <c r="N5" s="2">
        <f>IF(Z4=1,"已停止",IF(T4&gt;=M5,"已下單","資金不足略過"))</f>
        <v/>
      </c>
      <c r="O5" s="19">
        <f>IF(N5="已下單",M5*資金模擬!$B$7,0)</f>
        <v/>
      </c>
      <c r="P5" s="4" t="n"/>
      <c r="Q5" s="13" t="n">
        <v>0</v>
      </c>
      <c r="R5" s="13">
        <f>R4+Q5</f>
        <v/>
      </c>
      <c r="S5" s="19">
        <f>S4+IF(N5="已下單",M5,0)</f>
        <v/>
      </c>
      <c r="T5" s="19">
        <f>R5-S5</f>
        <v/>
      </c>
      <c r="U5" s="2">
        <f>U4+IF(N5="已下單",1,0)</f>
        <v/>
      </c>
      <c r="V5" s="19">
        <f>IF(資金模擬!$B$9=2,MAX(R5,0),MAX(V4,FLOOR(MAX(R5,0),資金模擬!$B$6)))</f>
        <v/>
      </c>
      <c r="W5" s="13">
        <f>MAX(W4,R5)</f>
        <v/>
      </c>
      <c r="X5" s="4">
        <f>IF(W5&gt;0,R5/W5-1,-1)</f>
        <v/>
      </c>
      <c r="Y5" s="19">
        <f>IF(R5&gt;0,S5*資金模擬!$B$7/R5,0)</f>
        <v/>
      </c>
      <c r="Z5" s="2">
        <f>IF(OR(Z4=1,R5&lt;=資金模擬!$B$10),1,0)</f>
        <v/>
      </c>
    </row>
    <row r="6">
      <c r="A6" s="2" t="n">
        <v>4</v>
      </c>
      <c r="B6" s="7" t="n">
        <v>46267.875</v>
      </c>
      <c r="C6" s="2" t="inlineStr">
        <is>
          <t>出場</t>
        </is>
      </c>
      <c r="D6" s="2" t="n">
        <v>2</v>
      </c>
      <c r="E6" s="2" t="inlineStr">
        <is>
          <t>ACE_USDT_PERP</t>
        </is>
      </c>
      <c r="F6" s="2" t="inlineStr">
        <is>
          <t>做空</t>
        </is>
      </c>
      <c r="G6" s="20" t="n">
        <v>0.19257</v>
      </c>
      <c r="H6" s="20" t="n">
        <v>0.1867929</v>
      </c>
      <c r="I6" s="20" t="n">
        <v>0.2021985</v>
      </c>
      <c r="J6" s="20" t="n">
        <v>0.1867929</v>
      </c>
      <c r="K6" s="2" t="inlineStr">
        <is>
          <t>止盈</t>
        </is>
      </c>
      <c r="L6" s="5">
        <f>交易明細!K3</f>
        <v/>
      </c>
      <c r="M6" s="19">
        <f>M5</f>
        <v/>
      </c>
      <c r="N6" s="2">
        <f>N5</f>
        <v/>
      </c>
      <c r="O6" s="19">
        <f>O5</f>
        <v/>
      </c>
      <c r="P6" s="4">
        <f>交易明細!L3</f>
        <v/>
      </c>
      <c r="Q6" s="13">
        <f>IF(N6="已下單",O6*P6,0)</f>
        <v/>
      </c>
      <c r="R6" s="13">
        <f>R5+Q6</f>
        <v/>
      </c>
      <c r="S6" s="19">
        <f>S5-IF(N6="已下單",M6,0)</f>
        <v/>
      </c>
      <c r="T6" s="19">
        <f>R6-S6</f>
        <v/>
      </c>
      <c r="U6" s="2">
        <f>U5-IF(N6="已下單",1,0)</f>
        <v/>
      </c>
      <c r="V6" s="19">
        <f>IF(資金模擬!$B$9=2,MAX(R6,0),MAX(V5,FLOOR(MAX(R6,0),資金模擬!$B$6)))</f>
        <v/>
      </c>
      <c r="W6" s="13">
        <f>MAX(W5,R6)</f>
        <v/>
      </c>
      <c r="X6" s="4">
        <f>IF(W6&gt;0,R6/W6-1,-1)</f>
        <v/>
      </c>
      <c r="Y6" s="19">
        <f>IF(R6&gt;0,S6*資金模擬!$B$7/R6,0)</f>
        <v/>
      </c>
      <c r="Z6" s="2">
        <f>IF(OR(Z5=1,R6&lt;=資金模擬!$B$10),1,0)</f>
        <v/>
      </c>
    </row>
    <row r="7">
      <c r="A7" s="2" t="n">
        <v>5</v>
      </c>
      <c r="B7" s="7" t="n">
        <v>46271.5</v>
      </c>
      <c r="C7" s="2" t="inlineStr">
        <is>
          <t>進場</t>
        </is>
      </c>
      <c r="D7" s="2" t="n">
        <v>3</v>
      </c>
      <c r="E7" s="2" t="inlineStr">
        <is>
          <t>HEMI_USDT_PERP</t>
        </is>
      </c>
      <c r="F7" s="2" t="inlineStr">
        <is>
          <t>做空</t>
        </is>
      </c>
      <c r="G7" s="20" t="n">
        <v>0.01166</v>
      </c>
      <c r="H7" s="20" t="n">
        <v>0.0113102</v>
      </c>
      <c r="I7" s="20" t="n">
        <v>0.012243</v>
      </c>
      <c r="J7" s="20" t="n"/>
      <c r="K7" s="2" t="n"/>
      <c r="L7" s="5" t="n"/>
      <c r="M7" s="19">
        <f>資金模擬!$B$5*V6</f>
        <v/>
      </c>
      <c r="N7" s="2">
        <f>IF(Z6=1,"已停止",IF(T6&gt;=M7,"已下單","資金不足略過"))</f>
        <v/>
      </c>
      <c r="O7" s="19">
        <f>IF(N7="已下單",M7*資金模擬!$B$7,0)</f>
        <v/>
      </c>
      <c r="P7" s="4" t="n"/>
      <c r="Q7" s="13" t="n">
        <v>0</v>
      </c>
      <c r="R7" s="13">
        <f>R6+Q7</f>
        <v/>
      </c>
      <c r="S7" s="19">
        <f>S6+IF(N7="已下單",M7,0)</f>
        <v/>
      </c>
      <c r="T7" s="19">
        <f>R7-S7</f>
        <v/>
      </c>
      <c r="U7" s="2">
        <f>U6+IF(N7="已下單",1,0)</f>
        <v/>
      </c>
      <c r="V7" s="19">
        <f>IF(資金模擬!$B$9=2,MAX(R7,0),MAX(V6,FLOOR(MAX(R7,0),資金模擬!$B$6)))</f>
        <v/>
      </c>
      <c r="W7" s="13">
        <f>MAX(W6,R7)</f>
        <v/>
      </c>
      <c r="X7" s="4">
        <f>IF(W7&gt;0,R7/W7-1,-1)</f>
        <v/>
      </c>
      <c r="Y7" s="19">
        <f>IF(R7&gt;0,S7*資金模擬!$B$7/R7,0)</f>
        <v/>
      </c>
      <c r="Z7" s="2">
        <f>IF(OR(Z6=1,R7&lt;=資金模擬!$B$10),1,0)</f>
        <v/>
      </c>
    </row>
    <row r="8">
      <c r="A8" s="2" t="n">
        <v>6</v>
      </c>
      <c r="B8" s="7" t="n">
        <v>46271.54166666666</v>
      </c>
      <c r="C8" s="2" t="inlineStr">
        <is>
          <t>出場</t>
        </is>
      </c>
      <c r="D8" s="2" t="n">
        <v>3</v>
      </c>
      <c r="E8" s="2" t="inlineStr">
        <is>
          <t>HEMI_USDT_PERP</t>
        </is>
      </c>
      <c r="F8" s="2" t="inlineStr">
        <is>
          <t>做空</t>
        </is>
      </c>
      <c r="G8" s="20" t="n">
        <v>0.01166</v>
      </c>
      <c r="H8" s="20" t="n">
        <v>0.0113102</v>
      </c>
      <c r="I8" s="20" t="n">
        <v>0.012243</v>
      </c>
      <c r="J8" s="20" t="n">
        <v>0.0113102</v>
      </c>
      <c r="K8" s="2" t="inlineStr">
        <is>
          <t>止盈</t>
        </is>
      </c>
      <c r="L8" s="5">
        <f>交易明細!K4</f>
        <v/>
      </c>
      <c r="M8" s="19">
        <f>M7</f>
        <v/>
      </c>
      <c r="N8" s="2">
        <f>N7</f>
        <v/>
      </c>
      <c r="O8" s="19">
        <f>O7</f>
        <v/>
      </c>
      <c r="P8" s="4">
        <f>交易明細!L4</f>
        <v/>
      </c>
      <c r="Q8" s="13">
        <f>IF(N8="已下單",O8*P8,0)</f>
        <v/>
      </c>
      <c r="R8" s="13">
        <f>R7+Q8</f>
        <v/>
      </c>
      <c r="S8" s="19">
        <f>S7-IF(N8="已下單",M8,0)</f>
        <v/>
      </c>
      <c r="T8" s="19">
        <f>R8-S8</f>
        <v/>
      </c>
      <c r="U8" s="2">
        <f>U7-IF(N8="已下單",1,0)</f>
        <v/>
      </c>
      <c r="V8" s="19">
        <f>IF(資金模擬!$B$9=2,MAX(R8,0),MAX(V7,FLOOR(MAX(R8,0),資金模擬!$B$6)))</f>
        <v/>
      </c>
      <c r="W8" s="13">
        <f>MAX(W7,R8)</f>
        <v/>
      </c>
      <c r="X8" s="4">
        <f>IF(W8&gt;0,R8/W8-1,-1)</f>
        <v/>
      </c>
      <c r="Y8" s="19">
        <f>IF(R8&gt;0,S8*資金模擬!$B$7/R8,0)</f>
        <v/>
      </c>
      <c r="Z8" s="2">
        <f>IF(OR(Z7=1,R8&lt;=資金模擬!$B$10),1,0)</f>
        <v/>
      </c>
    </row>
    <row r="9">
      <c r="A9" s="2" t="n">
        <v>7</v>
      </c>
      <c r="B9" s="7" t="n">
        <v>46271.58333333334</v>
      </c>
      <c r="C9" s="2" t="inlineStr">
        <is>
          <t>進場</t>
        </is>
      </c>
      <c r="D9" s="2" t="n">
        <v>4</v>
      </c>
      <c r="E9" s="2" t="inlineStr">
        <is>
          <t>HEMI_USDT_PERP</t>
        </is>
      </c>
      <c r="F9" s="2" t="inlineStr">
        <is>
          <t>做空</t>
        </is>
      </c>
      <c r="G9" s="20" t="n">
        <v>0.01128</v>
      </c>
      <c r="H9" s="20" t="n">
        <v>0.0109416</v>
      </c>
      <c r="I9" s="20" t="n">
        <v>0.011844</v>
      </c>
      <c r="J9" s="20" t="n"/>
      <c r="K9" s="2" t="n"/>
      <c r="L9" s="5" t="n"/>
      <c r="M9" s="19">
        <f>資金模擬!$B$5*V8</f>
        <v/>
      </c>
      <c r="N9" s="2">
        <f>IF(Z8=1,"已停止",IF(T8&gt;=M9,"已下單","資金不足略過"))</f>
        <v/>
      </c>
      <c r="O9" s="19">
        <f>IF(N9="已下單",M9*資金模擬!$B$7,0)</f>
        <v/>
      </c>
      <c r="P9" s="4" t="n"/>
      <c r="Q9" s="13" t="n">
        <v>0</v>
      </c>
      <c r="R9" s="13">
        <f>R8+Q9</f>
        <v/>
      </c>
      <c r="S9" s="19">
        <f>S8+IF(N9="已下單",M9,0)</f>
        <v/>
      </c>
      <c r="T9" s="19">
        <f>R9-S9</f>
        <v/>
      </c>
      <c r="U9" s="2">
        <f>U8+IF(N9="已下單",1,0)</f>
        <v/>
      </c>
      <c r="V9" s="19">
        <f>IF(資金模擬!$B$9=2,MAX(R9,0),MAX(V8,FLOOR(MAX(R9,0),資金模擬!$B$6)))</f>
        <v/>
      </c>
      <c r="W9" s="13">
        <f>MAX(W8,R9)</f>
        <v/>
      </c>
      <c r="X9" s="4">
        <f>IF(W9&gt;0,R9/W9-1,-1)</f>
        <v/>
      </c>
      <c r="Y9" s="19">
        <f>IF(R9&gt;0,S9*資金模擬!$B$7/R9,0)</f>
        <v/>
      </c>
      <c r="Z9" s="2">
        <f>IF(OR(Z8=1,R9&lt;=資金模擬!$B$10),1,0)</f>
        <v/>
      </c>
    </row>
    <row r="10">
      <c r="A10" s="2" t="n">
        <v>8</v>
      </c>
      <c r="B10" s="7" t="n">
        <v>46271.75</v>
      </c>
      <c r="C10" s="2" t="inlineStr">
        <is>
          <t>出場</t>
        </is>
      </c>
      <c r="D10" s="2" t="n">
        <v>4</v>
      </c>
      <c r="E10" s="2" t="inlineStr">
        <is>
          <t>HEMI_USDT_PERP</t>
        </is>
      </c>
      <c r="F10" s="2" t="inlineStr">
        <is>
          <t>做空</t>
        </is>
      </c>
      <c r="G10" s="20" t="n">
        <v>0.01128</v>
      </c>
      <c r="H10" s="20" t="n">
        <v>0.0109416</v>
      </c>
      <c r="I10" s="20" t="n">
        <v>0.011844</v>
      </c>
      <c r="J10" s="20" t="n">
        <v>0.011844</v>
      </c>
      <c r="K10" s="2" t="inlineStr">
        <is>
          <t>止損</t>
        </is>
      </c>
      <c r="L10" s="5">
        <f>交易明細!K5</f>
        <v/>
      </c>
      <c r="M10" s="19">
        <f>M9</f>
        <v/>
      </c>
      <c r="N10" s="2">
        <f>N9</f>
        <v/>
      </c>
      <c r="O10" s="19">
        <f>O9</f>
        <v/>
      </c>
      <c r="P10" s="4">
        <f>交易明細!L5</f>
        <v/>
      </c>
      <c r="Q10" s="13">
        <f>IF(N10="已下單",O10*P10,0)</f>
        <v/>
      </c>
      <c r="R10" s="13">
        <f>R9+Q10</f>
        <v/>
      </c>
      <c r="S10" s="19">
        <f>S9-IF(N10="已下單",M10,0)</f>
        <v/>
      </c>
      <c r="T10" s="19">
        <f>R10-S10</f>
        <v/>
      </c>
      <c r="U10" s="2">
        <f>U9-IF(N10="已下單",1,0)</f>
        <v/>
      </c>
      <c r="V10" s="19">
        <f>IF(資金模擬!$B$9=2,MAX(R10,0),MAX(V9,FLOOR(MAX(R10,0),資金模擬!$B$6)))</f>
        <v/>
      </c>
      <c r="W10" s="13">
        <f>MAX(W9,R10)</f>
        <v/>
      </c>
      <c r="X10" s="4">
        <f>IF(W10&gt;0,R10/W10-1,-1)</f>
        <v/>
      </c>
      <c r="Y10" s="19">
        <f>IF(R10&gt;0,S10*資金模擬!$B$7/R10,0)</f>
        <v/>
      </c>
      <c r="Z10" s="2">
        <f>IF(OR(Z9=1,R10&lt;=資金模擬!$B$10),1,0)</f>
        <v/>
      </c>
    </row>
    <row r="11">
      <c r="A11" s="2" t="n">
        <v>9</v>
      </c>
      <c r="B11" s="7" t="n">
        <v>46271.95833333334</v>
      </c>
      <c r="C11" s="2" t="inlineStr">
        <is>
          <t>進場</t>
        </is>
      </c>
      <c r="D11" s="2" t="n">
        <v>5</v>
      </c>
      <c r="E11" s="2" t="inlineStr">
        <is>
          <t>ARB_USDT_PERP</t>
        </is>
      </c>
      <c r="F11" s="2" t="inlineStr">
        <is>
          <t>做空</t>
        </is>
      </c>
      <c r="G11" s="20" t="n">
        <v>0.1862</v>
      </c>
      <c r="H11" s="20" t="n">
        <v>0.180614</v>
      </c>
      <c r="I11" s="20" t="n">
        <v>0.19551</v>
      </c>
      <c r="J11" s="20" t="n"/>
      <c r="K11" s="2" t="n"/>
      <c r="L11" s="5" t="n"/>
      <c r="M11" s="19">
        <f>資金模擬!$B$5*V10</f>
        <v/>
      </c>
      <c r="N11" s="2">
        <f>IF(Z10=1,"已停止",IF(T10&gt;=M11,"已下單","資金不足略過"))</f>
        <v/>
      </c>
      <c r="O11" s="19">
        <f>IF(N11="已下單",M11*資金模擬!$B$7,0)</f>
        <v/>
      </c>
      <c r="P11" s="4" t="n"/>
      <c r="Q11" s="13" t="n">
        <v>0</v>
      </c>
      <c r="R11" s="13">
        <f>R10+Q11</f>
        <v/>
      </c>
      <c r="S11" s="19">
        <f>S10+IF(N11="已下單",M11,0)</f>
        <v/>
      </c>
      <c r="T11" s="19">
        <f>R11-S11</f>
        <v/>
      </c>
      <c r="U11" s="2">
        <f>U10+IF(N11="已下單",1,0)</f>
        <v/>
      </c>
      <c r="V11" s="19">
        <f>IF(資金模擬!$B$9=2,MAX(R11,0),MAX(V10,FLOOR(MAX(R11,0),資金模擬!$B$6)))</f>
        <v/>
      </c>
      <c r="W11" s="13">
        <f>MAX(W10,R11)</f>
        <v/>
      </c>
      <c r="X11" s="4">
        <f>IF(W11&gt;0,R11/W11-1,-1)</f>
        <v/>
      </c>
      <c r="Y11" s="19">
        <f>IF(R11&gt;0,S11*資金模擬!$B$7/R11,0)</f>
        <v/>
      </c>
      <c r="Z11" s="2">
        <f>IF(OR(Z10=1,R11&lt;=資金模擬!$B$10),1,0)</f>
        <v/>
      </c>
    </row>
    <row r="12">
      <c r="A12" s="2" t="n">
        <v>10</v>
      </c>
      <c r="B12" s="7" t="n">
        <v>46271.95833333334</v>
      </c>
      <c r="C12" s="2" t="inlineStr">
        <is>
          <t>進場</t>
        </is>
      </c>
      <c r="D12" s="2" t="n">
        <v>6</v>
      </c>
      <c r="E12" s="2" t="inlineStr">
        <is>
          <t>DASH_USDT_PERP</t>
        </is>
      </c>
      <c r="F12" s="2" t="inlineStr">
        <is>
          <t>做空</t>
        </is>
      </c>
      <c r="G12" s="20" t="n">
        <v>67.53</v>
      </c>
      <c r="H12" s="20" t="n">
        <v>65.50409999999999</v>
      </c>
      <c r="I12" s="20" t="n">
        <v>70.90650000000001</v>
      </c>
      <c r="J12" s="20" t="n"/>
      <c r="K12" s="2" t="n"/>
      <c r="L12" s="5" t="n"/>
      <c r="M12" s="19">
        <f>資金模擬!$B$5*V11</f>
        <v/>
      </c>
      <c r="N12" s="2">
        <f>IF(Z11=1,"已停止",IF(T11&gt;=M12,"已下單","資金不足略過"))</f>
        <v/>
      </c>
      <c r="O12" s="19">
        <f>IF(N12="已下單",M12*資金模擬!$B$7,0)</f>
        <v/>
      </c>
      <c r="P12" s="4" t="n"/>
      <c r="Q12" s="13" t="n">
        <v>0</v>
      </c>
      <c r="R12" s="13">
        <f>R11+Q12</f>
        <v/>
      </c>
      <c r="S12" s="19">
        <f>S11+IF(N12="已下單",M12,0)</f>
        <v/>
      </c>
      <c r="T12" s="19">
        <f>R12-S12</f>
        <v/>
      </c>
      <c r="U12" s="2">
        <f>U11+IF(N12="已下單",1,0)</f>
        <v/>
      </c>
      <c r="V12" s="19">
        <f>IF(資金模擬!$B$9=2,MAX(R12,0),MAX(V11,FLOOR(MAX(R12,0),資金模擬!$B$6)))</f>
        <v/>
      </c>
      <c r="W12" s="13">
        <f>MAX(W11,R12)</f>
        <v/>
      </c>
      <c r="X12" s="4">
        <f>IF(W12&gt;0,R12/W12-1,-1)</f>
        <v/>
      </c>
      <c r="Y12" s="19">
        <f>IF(R12&gt;0,S12*資金模擬!$B$7/R12,0)</f>
        <v/>
      </c>
      <c r="Z12" s="2">
        <f>IF(OR(Z11=1,R12&lt;=資金模擬!$B$10),1,0)</f>
        <v/>
      </c>
    </row>
    <row r="13">
      <c r="A13" s="2" t="n">
        <v>11</v>
      </c>
      <c r="B13" s="7" t="n">
        <v>46272.125</v>
      </c>
      <c r="C13" s="2" t="inlineStr">
        <is>
          <t>出場</t>
        </is>
      </c>
      <c r="D13" s="2" t="n">
        <v>6</v>
      </c>
      <c r="E13" s="2" t="inlineStr">
        <is>
          <t>DASH_USDT_PERP</t>
        </is>
      </c>
      <c r="F13" s="2" t="inlineStr">
        <is>
          <t>做空</t>
        </is>
      </c>
      <c r="G13" s="20" t="n">
        <v>67.53</v>
      </c>
      <c r="H13" s="20" t="n">
        <v>65.50409999999999</v>
      </c>
      <c r="I13" s="20" t="n">
        <v>70.90650000000001</v>
      </c>
      <c r="J13" s="20" t="n">
        <v>70.90650000000001</v>
      </c>
      <c r="K13" s="2" t="inlineStr">
        <is>
          <t>止損</t>
        </is>
      </c>
      <c r="L13" s="5">
        <f>交易明細!K7</f>
        <v/>
      </c>
      <c r="M13" s="19">
        <f>M12</f>
        <v/>
      </c>
      <c r="N13" s="2">
        <f>N12</f>
        <v/>
      </c>
      <c r="O13" s="19">
        <f>O12</f>
        <v/>
      </c>
      <c r="P13" s="4">
        <f>交易明細!L7</f>
        <v/>
      </c>
      <c r="Q13" s="13">
        <f>IF(N13="已下單",O13*P13,0)</f>
        <v/>
      </c>
      <c r="R13" s="13">
        <f>R12+Q13</f>
        <v/>
      </c>
      <c r="S13" s="19">
        <f>S12-IF(N13="已下單",M13,0)</f>
        <v/>
      </c>
      <c r="T13" s="19">
        <f>R13-S13</f>
        <v/>
      </c>
      <c r="U13" s="2">
        <f>U12-IF(N13="已下單",1,0)</f>
        <v/>
      </c>
      <c r="V13" s="19">
        <f>IF(資金模擬!$B$9=2,MAX(R13,0),MAX(V12,FLOOR(MAX(R13,0),資金模擬!$B$6)))</f>
        <v/>
      </c>
      <c r="W13" s="13">
        <f>MAX(W12,R13)</f>
        <v/>
      </c>
      <c r="X13" s="4">
        <f>IF(W13&gt;0,R13/W13-1,-1)</f>
        <v/>
      </c>
      <c r="Y13" s="19">
        <f>IF(R13&gt;0,S13*資金模擬!$B$7/R13,0)</f>
        <v/>
      </c>
      <c r="Z13" s="2">
        <f>IF(OR(Z12=1,R13&lt;=資金模擬!$B$10),1,0)</f>
        <v/>
      </c>
    </row>
    <row r="14">
      <c r="A14" s="2" t="n">
        <v>12</v>
      </c>
      <c r="B14" s="7" t="n">
        <v>46272.5</v>
      </c>
      <c r="C14" s="2" t="inlineStr">
        <is>
          <t>出場</t>
        </is>
      </c>
      <c r="D14" s="2" t="n">
        <v>5</v>
      </c>
      <c r="E14" s="2" t="inlineStr">
        <is>
          <t>ARB_USDT_PERP</t>
        </is>
      </c>
      <c r="F14" s="2" t="inlineStr">
        <is>
          <t>做空</t>
        </is>
      </c>
      <c r="G14" s="20" t="n">
        <v>0.1862</v>
      </c>
      <c r="H14" s="20" t="n">
        <v>0.180614</v>
      </c>
      <c r="I14" s="20" t="n">
        <v>0.19551</v>
      </c>
      <c r="J14" s="20" t="n">
        <v>0.180614</v>
      </c>
      <c r="K14" s="2" t="inlineStr">
        <is>
          <t>止盈</t>
        </is>
      </c>
      <c r="L14" s="5">
        <f>交易明細!K6</f>
        <v/>
      </c>
      <c r="M14" s="19">
        <f>M11</f>
        <v/>
      </c>
      <c r="N14" s="2">
        <f>N11</f>
        <v/>
      </c>
      <c r="O14" s="19">
        <f>O11</f>
        <v/>
      </c>
      <c r="P14" s="4">
        <f>交易明細!L6</f>
        <v/>
      </c>
      <c r="Q14" s="13">
        <f>IF(N14="已下單",O14*P14,0)</f>
        <v/>
      </c>
      <c r="R14" s="13">
        <f>R13+Q14</f>
        <v/>
      </c>
      <c r="S14" s="19">
        <f>S13-IF(N14="已下單",M14,0)</f>
        <v/>
      </c>
      <c r="T14" s="19">
        <f>R14-S14</f>
        <v/>
      </c>
      <c r="U14" s="2">
        <f>U13-IF(N14="已下單",1,0)</f>
        <v/>
      </c>
      <c r="V14" s="19">
        <f>IF(資金模擬!$B$9=2,MAX(R14,0),MAX(V13,FLOOR(MAX(R14,0),資金模擬!$B$6)))</f>
        <v/>
      </c>
      <c r="W14" s="13">
        <f>MAX(W13,R14)</f>
        <v/>
      </c>
      <c r="X14" s="4">
        <f>IF(W14&gt;0,R14/W14-1,-1)</f>
        <v/>
      </c>
      <c r="Y14" s="19">
        <f>IF(R14&gt;0,S14*資金模擬!$B$7/R14,0)</f>
        <v/>
      </c>
      <c r="Z14" s="2">
        <f>IF(OR(Z13=1,R14&lt;=資金模擬!$B$10),1,0)</f>
        <v/>
      </c>
    </row>
    <row r="15">
      <c r="A15" s="2" t="n">
        <v>13</v>
      </c>
      <c r="B15" s="7" t="n">
        <v>46272.91666666666</v>
      </c>
      <c r="C15" s="2" t="inlineStr">
        <is>
          <t>進場</t>
        </is>
      </c>
      <c r="D15" s="2" t="n">
        <v>7</v>
      </c>
      <c r="E15" s="2" t="inlineStr">
        <is>
          <t>RAY_USDT_PERP</t>
        </is>
      </c>
      <c r="F15" s="2" t="inlineStr">
        <is>
          <t>做空</t>
        </is>
      </c>
      <c r="G15" s="20" t="n">
        <v>1.177</v>
      </c>
      <c r="H15" s="20" t="n">
        <v>1.14169</v>
      </c>
      <c r="I15" s="20" t="n">
        <v>1.23585</v>
      </c>
      <c r="J15" s="20" t="n"/>
      <c r="K15" s="2" t="n"/>
      <c r="L15" s="5" t="n"/>
      <c r="M15" s="19">
        <f>資金模擬!$B$5*V14</f>
        <v/>
      </c>
      <c r="N15" s="2">
        <f>IF(Z14=1,"已停止",IF(T14&gt;=M15,"已下單","資金不足略過"))</f>
        <v/>
      </c>
      <c r="O15" s="19">
        <f>IF(N15="已下單",M15*資金模擬!$B$7,0)</f>
        <v/>
      </c>
      <c r="P15" s="4" t="n"/>
      <c r="Q15" s="13" t="n">
        <v>0</v>
      </c>
      <c r="R15" s="13">
        <f>R14+Q15</f>
        <v/>
      </c>
      <c r="S15" s="19">
        <f>S14+IF(N15="已下單",M15,0)</f>
        <v/>
      </c>
      <c r="T15" s="19">
        <f>R15-S15</f>
        <v/>
      </c>
      <c r="U15" s="2">
        <f>U14+IF(N15="已下單",1,0)</f>
        <v/>
      </c>
      <c r="V15" s="19">
        <f>IF(資金模擬!$B$9=2,MAX(R15,0),MAX(V14,FLOOR(MAX(R15,0),資金模擬!$B$6)))</f>
        <v/>
      </c>
      <c r="W15" s="13">
        <f>MAX(W14,R15)</f>
        <v/>
      </c>
      <c r="X15" s="4">
        <f>IF(W15&gt;0,R15/W15-1,-1)</f>
        <v/>
      </c>
      <c r="Y15" s="19">
        <f>IF(R15&gt;0,S15*資金模擬!$B$7/R15,0)</f>
        <v/>
      </c>
      <c r="Z15" s="2">
        <f>IF(OR(Z14=1,R15&lt;=資金模擬!$B$10),1,0)</f>
        <v/>
      </c>
    </row>
    <row r="16">
      <c r="A16" s="2" t="n">
        <v>14</v>
      </c>
      <c r="B16" s="7" t="n">
        <v>46273.41666666666</v>
      </c>
      <c r="C16" s="2" t="inlineStr">
        <is>
          <t>進場</t>
        </is>
      </c>
      <c r="D16" s="2" t="n">
        <v>8</v>
      </c>
      <c r="E16" s="2" t="inlineStr">
        <is>
          <t>IOST_USDT_PERP</t>
        </is>
      </c>
      <c r="F16" s="2" t="inlineStr">
        <is>
          <t>做多</t>
        </is>
      </c>
      <c r="G16" s="20" t="n">
        <v>0.000941</v>
      </c>
      <c r="H16" s="20" t="n">
        <v>0.0009692300000000001</v>
      </c>
      <c r="I16" s="20" t="n">
        <v>0.0008939499999999999</v>
      </c>
      <c r="J16" s="20" t="n"/>
      <c r="K16" s="2" t="n"/>
      <c r="L16" s="5" t="n"/>
      <c r="M16" s="19">
        <f>資金模擬!$B$5*V15</f>
        <v/>
      </c>
      <c r="N16" s="2">
        <f>IF(Z15=1,"已停止",IF(T15&gt;=M16,"已下單","資金不足略過"))</f>
        <v/>
      </c>
      <c r="O16" s="19">
        <f>IF(N16="已下單",M16*資金模擬!$B$7,0)</f>
        <v/>
      </c>
      <c r="P16" s="4" t="n"/>
      <c r="Q16" s="13" t="n">
        <v>0</v>
      </c>
      <c r="R16" s="13">
        <f>R15+Q16</f>
        <v/>
      </c>
      <c r="S16" s="19">
        <f>S15+IF(N16="已下單",M16,0)</f>
        <v/>
      </c>
      <c r="T16" s="19">
        <f>R16-S16</f>
        <v/>
      </c>
      <c r="U16" s="2">
        <f>U15+IF(N16="已下單",1,0)</f>
        <v/>
      </c>
      <c r="V16" s="19">
        <f>IF(資金模擬!$B$9=2,MAX(R16,0),MAX(V15,FLOOR(MAX(R16,0),資金模擬!$B$6)))</f>
        <v/>
      </c>
      <c r="W16" s="13">
        <f>MAX(W15,R16)</f>
        <v/>
      </c>
      <c r="X16" s="4">
        <f>IF(W16&gt;0,R16/W16-1,-1)</f>
        <v/>
      </c>
      <c r="Y16" s="19">
        <f>IF(R16&gt;0,S16*資金模擬!$B$7/R16,0)</f>
        <v/>
      </c>
      <c r="Z16" s="2">
        <f>IF(OR(Z15=1,R16&lt;=資金模擬!$B$10),1,0)</f>
        <v/>
      </c>
    </row>
    <row r="17">
      <c r="A17" s="2" t="n">
        <v>15</v>
      </c>
      <c r="B17" s="7" t="n">
        <v>46273.5</v>
      </c>
      <c r="C17" s="2" t="inlineStr">
        <is>
          <t>出場</t>
        </is>
      </c>
      <c r="D17" s="2" t="n">
        <v>7</v>
      </c>
      <c r="E17" s="2" t="inlineStr">
        <is>
          <t>RAY_USDT_PERP</t>
        </is>
      </c>
      <c r="F17" s="2" t="inlineStr">
        <is>
          <t>做空</t>
        </is>
      </c>
      <c r="G17" s="20" t="n">
        <v>1.177</v>
      </c>
      <c r="H17" s="20" t="n">
        <v>1.14169</v>
      </c>
      <c r="I17" s="20" t="n">
        <v>1.23585</v>
      </c>
      <c r="J17" s="20" t="n">
        <v>1.23585</v>
      </c>
      <c r="K17" s="2" t="inlineStr">
        <is>
          <t>止損</t>
        </is>
      </c>
      <c r="L17" s="5">
        <f>交易明細!K8</f>
        <v/>
      </c>
      <c r="M17" s="19">
        <f>M15</f>
        <v/>
      </c>
      <c r="N17" s="2">
        <f>N15</f>
        <v/>
      </c>
      <c r="O17" s="19">
        <f>O15</f>
        <v/>
      </c>
      <c r="P17" s="4">
        <f>交易明細!L8</f>
        <v/>
      </c>
      <c r="Q17" s="13">
        <f>IF(N17="已下單",O17*P17,0)</f>
        <v/>
      </c>
      <c r="R17" s="13">
        <f>R16+Q17</f>
        <v/>
      </c>
      <c r="S17" s="19">
        <f>S16-IF(N17="已下單",M17,0)</f>
        <v/>
      </c>
      <c r="T17" s="19">
        <f>R17-S17</f>
        <v/>
      </c>
      <c r="U17" s="2">
        <f>U16-IF(N17="已下單",1,0)</f>
        <v/>
      </c>
      <c r="V17" s="19">
        <f>IF(資金模擬!$B$9=2,MAX(R17,0),MAX(V16,FLOOR(MAX(R17,0),資金模擬!$B$6)))</f>
        <v/>
      </c>
      <c r="W17" s="13">
        <f>MAX(W16,R17)</f>
        <v/>
      </c>
      <c r="X17" s="4">
        <f>IF(W17&gt;0,R17/W17-1,-1)</f>
        <v/>
      </c>
      <c r="Y17" s="19">
        <f>IF(R17&gt;0,S17*資金模擬!$B$7/R17,0)</f>
        <v/>
      </c>
      <c r="Z17" s="2">
        <f>IF(OR(Z16=1,R17&lt;=資金模擬!$B$10),1,0)</f>
        <v/>
      </c>
    </row>
    <row r="18">
      <c r="A18" s="2" t="n">
        <v>16</v>
      </c>
      <c r="B18" s="7" t="n">
        <v>46273.5</v>
      </c>
      <c r="C18" s="2" t="inlineStr">
        <is>
          <t>出場</t>
        </is>
      </c>
      <c r="D18" s="2" t="n">
        <v>8</v>
      </c>
      <c r="E18" s="2" t="inlineStr">
        <is>
          <t>IOST_USDT_PERP</t>
        </is>
      </c>
      <c r="F18" s="2" t="inlineStr">
        <is>
          <t>做多</t>
        </is>
      </c>
      <c r="G18" s="20" t="n">
        <v>0.000941</v>
      </c>
      <c r="H18" s="20" t="n">
        <v>0.0009692300000000001</v>
      </c>
      <c r="I18" s="20" t="n">
        <v>0.0008939499999999999</v>
      </c>
      <c r="J18" s="20" t="n">
        <v>0.0009692300000000001</v>
      </c>
      <c r="K18" s="2" t="inlineStr">
        <is>
          <t>止盈</t>
        </is>
      </c>
      <c r="L18" s="5">
        <f>交易明細!K9</f>
        <v/>
      </c>
      <c r="M18" s="19">
        <f>M16</f>
        <v/>
      </c>
      <c r="N18" s="2">
        <f>N16</f>
        <v/>
      </c>
      <c r="O18" s="19">
        <f>O16</f>
        <v/>
      </c>
      <c r="P18" s="4">
        <f>交易明細!L9</f>
        <v/>
      </c>
      <c r="Q18" s="13">
        <f>IF(N18="已下單",O18*P18,0)</f>
        <v/>
      </c>
      <c r="R18" s="13">
        <f>R17+Q18</f>
        <v/>
      </c>
      <c r="S18" s="19">
        <f>S17-IF(N18="已下單",M18,0)</f>
        <v/>
      </c>
      <c r="T18" s="19">
        <f>R18-S18</f>
        <v/>
      </c>
      <c r="U18" s="2">
        <f>U17-IF(N18="已下單",1,0)</f>
        <v/>
      </c>
      <c r="V18" s="19">
        <f>IF(資金模擬!$B$9=2,MAX(R18,0),MAX(V17,FLOOR(MAX(R18,0),資金模擬!$B$6)))</f>
        <v/>
      </c>
      <c r="W18" s="13">
        <f>MAX(W17,R18)</f>
        <v/>
      </c>
      <c r="X18" s="4">
        <f>IF(W18&gt;0,R18/W18-1,-1)</f>
        <v/>
      </c>
      <c r="Y18" s="19">
        <f>IF(R18&gt;0,S18*資金模擬!$B$7/R18,0)</f>
        <v/>
      </c>
      <c r="Z18" s="2">
        <f>IF(OR(Z17=1,R18&lt;=資金模擬!$B$10),1,0)</f>
        <v/>
      </c>
    </row>
    <row r="19">
      <c r="A19" s="2" t="n">
        <v>17</v>
      </c>
      <c r="B19" s="7" t="n">
        <v>46273.58333333334</v>
      </c>
      <c r="C19" s="2" t="inlineStr">
        <is>
          <t>進場</t>
        </is>
      </c>
      <c r="D19" s="2" t="n">
        <v>9</v>
      </c>
      <c r="E19" s="2" t="inlineStr">
        <is>
          <t>BULLA_USDT_PERP</t>
        </is>
      </c>
      <c r="F19" s="2" t="inlineStr">
        <is>
          <t>做空</t>
        </is>
      </c>
      <c r="G19" s="20" t="n">
        <v>0.07796</v>
      </c>
      <c r="H19" s="20" t="n">
        <v>0.0756212</v>
      </c>
      <c r="I19" s="20" t="n">
        <v>0.081858</v>
      </c>
      <c r="J19" s="20" t="n"/>
      <c r="K19" s="2" t="n"/>
      <c r="L19" s="5" t="n"/>
      <c r="M19" s="19">
        <f>資金模擬!$B$5*V18</f>
        <v/>
      </c>
      <c r="N19" s="2">
        <f>IF(Z18=1,"已停止",IF(T18&gt;=M19,"已下單","資金不足略過"))</f>
        <v/>
      </c>
      <c r="O19" s="19">
        <f>IF(N19="已下單",M19*資金模擬!$B$7,0)</f>
        <v/>
      </c>
      <c r="P19" s="4" t="n"/>
      <c r="Q19" s="13" t="n">
        <v>0</v>
      </c>
      <c r="R19" s="13">
        <f>R18+Q19</f>
        <v/>
      </c>
      <c r="S19" s="19">
        <f>S18+IF(N19="已下單",M19,0)</f>
        <v/>
      </c>
      <c r="T19" s="19">
        <f>R19-S19</f>
        <v/>
      </c>
      <c r="U19" s="2">
        <f>U18+IF(N19="已下單",1,0)</f>
        <v/>
      </c>
      <c r="V19" s="19">
        <f>IF(資金模擬!$B$9=2,MAX(R19,0),MAX(V18,FLOOR(MAX(R19,0),資金模擬!$B$6)))</f>
        <v/>
      </c>
      <c r="W19" s="13">
        <f>MAX(W18,R19)</f>
        <v/>
      </c>
      <c r="X19" s="4">
        <f>IF(W19&gt;0,R19/W19-1,-1)</f>
        <v/>
      </c>
      <c r="Y19" s="19">
        <f>IF(R19&gt;0,S19*資金模擬!$B$7/R19,0)</f>
        <v/>
      </c>
      <c r="Z19" s="2">
        <f>IF(OR(Z18=1,R19&lt;=資金模擬!$B$10),1,0)</f>
        <v/>
      </c>
    </row>
    <row r="20">
      <c r="A20" s="2" t="n">
        <v>18</v>
      </c>
      <c r="B20" s="7" t="n">
        <v>46273.58333333334</v>
      </c>
      <c r="C20" s="2" t="inlineStr">
        <is>
          <t>進場</t>
        </is>
      </c>
      <c r="D20" s="2" t="n">
        <v>10</v>
      </c>
      <c r="E20" s="2" t="inlineStr">
        <is>
          <t>USELESS_USDT_PERP</t>
        </is>
      </c>
      <c r="F20" s="2" t="inlineStr">
        <is>
          <t>做多</t>
        </is>
      </c>
      <c r="G20" s="20" t="n">
        <v>0.24093</v>
      </c>
      <c r="H20" s="20" t="n">
        <v>0.2481579</v>
      </c>
      <c r="I20" s="20" t="n">
        <v>0.2288835</v>
      </c>
      <c r="J20" s="20" t="n"/>
      <c r="K20" s="2" t="n"/>
      <c r="L20" s="5" t="n"/>
      <c r="M20" s="19">
        <f>資金模擬!$B$5*V19</f>
        <v/>
      </c>
      <c r="N20" s="2">
        <f>IF(Z19=1,"已停止",IF(T19&gt;=M20,"已下單","資金不足略過"))</f>
        <v/>
      </c>
      <c r="O20" s="19">
        <f>IF(N20="已下單",M20*資金模擬!$B$7,0)</f>
        <v/>
      </c>
      <c r="P20" s="4" t="n"/>
      <c r="Q20" s="13" t="n">
        <v>0</v>
      </c>
      <c r="R20" s="13">
        <f>R19+Q20</f>
        <v/>
      </c>
      <c r="S20" s="19">
        <f>S19+IF(N20="已下單",M20,0)</f>
        <v/>
      </c>
      <c r="T20" s="19">
        <f>R20-S20</f>
        <v/>
      </c>
      <c r="U20" s="2">
        <f>U19+IF(N20="已下單",1,0)</f>
        <v/>
      </c>
      <c r="V20" s="19">
        <f>IF(資金模擬!$B$9=2,MAX(R20,0),MAX(V19,FLOOR(MAX(R20,0),資金模擬!$B$6)))</f>
        <v/>
      </c>
      <c r="W20" s="13">
        <f>MAX(W19,R20)</f>
        <v/>
      </c>
      <c r="X20" s="4">
        <f>IF(W20&gt;0,R20/W20-1,-1)</f>
        <v/>
      </c>
      <c r="Y20" s="19">
        <f>IF(R20&gt;0,S20*資金模擬!$B$7/R20,0)</f>
        <v/>
      </c>
      <c r="Z20" s="2">
        <f>IF(OR(Z19=1,R20&lt;=資金模擬!$B$10),1,0)</f>
        <v/>
      </c>
    </row>
    <row r="21">
      <c r="A21" s="2" t="n">
        <v>19</v>
      </c>
      <c r="B21" s="7" t="n">
        <v>46273.625</v>
      </c>
      <c r="C21" s="2" t="inlineStr">
        <is>
          <t>出場</t>
        </is>
      </c>
      <c r="D21" s="2" t="n">
        <v>10</v>
      </c>
      <c r="E21" s="2" t="inlineStr">
        <is>
          <t>USELESS_USDT_PERP</t>
        </is>
      </c>
      <c r="F21" s="2" t="inlineStr">
        <is>
          <t>做多</t>
        </is>
      </c>
      <c r="G21" s="20" t="n">
        <v>0.24093</v>
      </c>
      <c r="H21" s="20" t="n">
        <v>0.2481579</v>
      </c>
      <c r="I21" s="20" t="n">
        <v>0.2288835</v>
      </c>
      <c r="J21" s="20" t="n">
        <v>0.2481579</v>
      </c>
      <c r="K21" s="2" t="inlineStr">
        <is>
          <t>止盈</t>
        </is>
      </c>
      <c r="L21" s="5">
        <f>交易明細!K11</f>
        <v/>
      </c>
      <c r="M21" s="19">
        <f>M20</f>
        <v/>
      </c>
      <c r="N21" s="2">
        <f>N20</f>
        <v/>
      </c>
      <c r="O21" s="19">
        <f>O20</f>
        <v/>
      </c>
      <c r="P21" s="4">
        <f>交易明細!L11</f>
        <v/>
      </c>
      <c r="Q21" s="13">
        <f>IF(N21="已下單",O21*P21,0)</f>
        <v/>
      </c>
      <c r="R21" s="13">
        <f>R20+Q21</f>
        <v/>
      </c>
      <c r="S21" s="19">
        <f>S20-IF(N21="已下單",M21,0)</f>
        <v/>
      </c>
      <c r="T21" s="19">
        <f>R21-S21</f>
        <v/>
      </c>
      <c r="U21" s="2">
        <f>U20-IF(N21="已下單",1,0)</f>
        <v/>
      </c>
      <c r="V21" s="19">
        <f>IF(資金模擬!$B$9=2,MAX(R21,0),MAX(V20,FLOOR(MAX(R21,0),資金模擬!$B$6)))</f>
        <v/>
      </c>
      <c r="W21" s="13">
        <f>MAX(W20,R21)</f>
        <v/>
      </c>
      <c r="X21" s="4">
        <f>IF(W21&gt;0,R21/W21-1,-1)</f>
        <v/>
      </c>
      <c r="Y21" s="19">
        <f>IF(R21&gt;0,S21*資金模擬!$B$7/R21,0)</f>
        <v/>
      </c>
      <c r="Z21" s="2">
        <f>IF(OR(Z20=1,R21&lt;=資金模擬!$B$10),1,0)</f>
        <v/>
      </c>
    </row>
    <row r="22">
      <c r="A22" s="2" t="n">
        <v>20</v>
      </c>
      <c r="B22" s="7" t="n">
        <v>46273.75</v>
      </c>
      <c r="C22" s="2" t="inlineStr">
        <is>
          <t>進場</t>
        </is>
      </c>
      <c r="D22" s="2" t="n">
        <v>11</v>
      </c>
      <c r="E22" s="2" t="inlineStr">
        <is>
          <t>UAI_USDT_PERP</t>
        </is>
      </c>
      <c r="F22" s="2" t="inlineStr">
        <is>
          <t>做多</t>
        </is>
      </c>
      <c r="G22" s="20" t="n">
        <v>0.7282999999999999</v>
      </c>
      <c r="H22" s="20" t="n">
        <v>0.750149</v>
      </c>
      <c r="I22" s="20" t="n">
        <v>0.691885</v>
      </c>
      <c r="J22" s="20" t="n"/>
      <c r="K22" s="2" t="n"/>
      <c r="L22" s="5" t="n"/>
      <c r="M22" s="19">
        <f>資金模擬!$B$5*V21</f>
        <v/>
      </c>
      <c r="N22" s="2">
        <f>IF(Z21=1,"已停止",IF(T21&gt;=M22,"已下單","資金不足略過"))</f>
        <v/>
      </c>
      <c r="O22" s="19">
        <f>IF(N22="已下單",M22*資金模擬!$B$7,0)</f>
        <v/>
      </c>
      <c r="P22" s="4" t="n"/>
      <c r="Q22" s="13" t="n">
        <v>0</v>
      </c>
      <c r="R22" s="13">
        <f>R21+Q22</f>
        <v/>
      </c>
      <c r="S22" s="19">
        <f>S21+IF(N22="已下單",M22,0)</f>
        <v/>
      </c>
      <c r="T22" s="19">
        <f>R22-S22</f>
        <v/>
      </c>
      <c r="U22" s="2">
        <f>U21+IF(N22="已下單",1,0)</f>
        <v/>
      </c>
      <c r="V22" s="19">
        <f>IF(資金模擬!$B$9=2,MAX(R22,0),MAX(V21,FLOOR(MAX(R22,0),資金模擬!$B$6)))</f>
        <v/>
      </c>
      <c r="W22" s="13">
        <f>MAX(W21,R22)</f>
        <v/>
      </c>
      <c r="X22" s="4">
        <f>IF(W22&gt;0,R22/W22-1,-1)</f>
        <v/>
      </c>
      <c r="Y22" s="19">
        <f>IF(R22&gt;0,S22*資金模擬!$B$7/R22,0)</f>
        <v/>
      </c>
      <c r="Z22" s="2">
        <f>IF(OR(Z21=1,R22&lt;=資金模擬!$B$10),1,0)</f>
        <v/>
      </c>
    </row>
    <row r="23">
      <c r="A23" s="2" t="n">
        <v>21</v>
      </c>
      <c r="B23" s="7" t="n">
        <v>46273.79166666666</v>
      </c>
      <c r="C23" s="2" t="inlineStr">
        <is>
          <t>進場</t>
        </is>
      </c>
      <c r="D23" s="2" t="n">
        <v>12</v>
      </c>
      <c r="E23" s="2" t="inlineStr">
        <is>
          <t>CASHCAT_USDT_PERP</t>
        </is>
      </c>
      <c r="F23" s="2" t="inlineStr">
        <is>
          <t>做空</t>
        </is>
      </c>
      <c r="G23" s="20" t="n">
        <v>0.1787</v>
      </c>
      <c r="H23" s="20" t="n">
        <v>0.173339</v>
      </c>
      <c r="I23" s="20" t="n">
        <v>0.187635</v>
      </c>
      <c r="J23" s="20" t="n"/>
      <c r="K23" s="2" t="n"/>
      <c r="L23" s="5" t="n"/>
      <c r="M23" s="19">
        <f>資金模擬!$B$5*V22</f>
        <v/>
      </c>
      <c r="N23" s="2">
        <f>IF(Z22=1,"已停止",IF(T22&gt;=M23,"已下單","資金不足略過"))</f>
        <v/>
      </c>
      <c r="O23" s="19">
        <f>IF(N23="已下單",M23*資金模擬!$B$7,0)</f>
        <v/>
      </c>
      <c r="P23" s="4" t="n"/>
      <c r="Q23" s="13" t="n">
        <v>0</v>
      </c>
      <c r="R23" s="13">
        <f>R22+Q23</f>
        <v/>
      </c>
      <c r="S23" s="19">
        <f>S22+IF(N23="已下單",M23,0)</f>
        <v/>
      </c>
      <c r="T23" s="19">
        <f>R23-S23</f>
        <v/>
      </c>
      <c r="U23" s="2">
        <f>U22+IF(N23="已下單",1,0)</f>
        <v/>
      </c>
      <c r="V23" s="19">
        <f>IF(資金模擬!$B$9=2,MAX(R23,0),MAX(V22,FLOOR(MAX(R23,0),資金模擬!$B$6)))</f>
        <v/>
      </c>
      <c r="W23" s="13">
        <f>MAX(W22,R23)</f>
        <v/>
      </c>
      <c r="X23" s="4">
        <f>IF(W23&gt;0,R23/W23-1,-1)</f>
        <v/>
      </c>
      <c r="Y23" s="19">
        <f>IF(R23&gt;0,S23*資金模擬!$B$7/R23,0)</f>
        <v/>
      </c>
      <c r="Z23" s="2">
        <f>IF(OR(Z22=1,R23&lt;=資金模擬!$B$10),1,0)</f>
        <v/>
      </c>
    </row>
    <row r="24">
      <c r="A24" s="2" t="n">
        <v>22</v>
      </c>
      <c r="B24" s="7" t="n">
        <v>46273.83333333334</v>
      </c>
      <c r="C24" s="2" t="inlineStr">
        <is>
          <t>出場</t>
        </is>
      </c>
      <c r="D24" s="2" t="n">
        <v>9</v>
      </c>
      <c r="E24" s="2" t="inlineStr">
        <is>
          <t>BULLA_USDT_PERP</t>
        </is>
      </c>
      <c r="F24" s="2" t="inlineStr">
        <is>
          <t>做空</t>
        </is>
      </c>
      <c r="G24" s="20" t="n">
        <v>0.07796</v>
      </c>
      <c r="H24" s="20" t="n">
        <v>0.0756212</v>
      </c>
      <c r="I24" s="20" t="n">
        <v>0.081858</v>
      </c>
      <c r="J24" s="20" t="n">
        <v>0.081858</v>
      </c>
      <c r="K24" s="2" t="inlineStr">
        <is>
          <t>止損</t>
        </is>
      </c>
      <c r="L24" s="5">
        <f>交易明細!K10</f>
        <v/>
      </c>
      <c r="M24" s="19">
        <f>M19</f>
        <v/>
      </c>
      <c r="N24" s="2">
        <f>N19</f>
        <v/>
      </c>
      <c r="O24" s="19">
        <f>O19</f>
        <v/>
      </c>
      <c r="P24" s="4">
        <f>交易明細!L10</f>
        <v/>
      </c>
      <c r="Q24" s="13">
        <f>IF(N24="已下單",O24*P24,0)</f>
        <v/>
      </c>
      <c r="R24" s="13">
        <f>R23+Q24</f>
        <v/>
      </c>
      <c r="S24" s="19">
        <f>S23-IF(N24="已下單",M24,0)</f>
        <v/>
      </c>
      <c r="T24" s="19">
        <f>R24-S24</f>
        <v/>
      </c>
      <c r="U24" s="2">
        <f>U23-IF(N24="已下單",1,0)</f>
        <v/>
      </c>
      <c r="V24" s="19">
        <f>IF(資金模擬!$B$9=2,MAX(R24,0),MAX(V23,FLOOR(MAX(R24,0),資金模擬!$B$6)))</f>
        <v/>
      </c>
      <c r="W24" s="13">
        <f>MAX(W23,R24)</f>
        <v/>
      </c>
      <c r="X24" s="4">
        <f>IF(W24&gt;0,R24/W24-1,-1)</f>
        <v/>
      </c>
      <c r="Y24" s="19">
        <f>IF(R24&gt;0,S24*資金模擬!$B$7/R24,0)</f>
        <v/>
      </c>
      <c r="Z24" s="2">
        <f>IF(OR(Z23=1,R24&lt;=資金模擬!$B$10),1,0)</f>
        <v/>
      </c>
    </row>
    <row r="25">
      <c r="A25" s="2" t="n">
        <v>23</v>
      </c>
      <c r="B25" s="7" t="n">
        <v>46273.83333333334</v>
      </c>
      <c r="C25" s="2" t="inlineStr">
        <is>
          <t>出場</t>
        </is>
      </c>
      <c r="D25" s="2" t="n">
        <v>11</v>
      </c>
      <c r="E25" s="2" t="inlineStr">
        <is>
          <t>UAI_USDT_PERP</t>
        </is>
      </c>
      <c r="F25" s="2" t="inlineStr">
        <is>
          <t>做多</t>
        </is>
      </c>
      <c r="G25" s="20" t="n">
        <v>0.7282999999999999</v>
      </c>
      <c r="H25" s="20" t="n">
        <v>0.750149</v>
      </c>
      <c r="I25" s="20" t="n">
        <v>0.691885</v>
      </c>
      <c r="J25" s="20" t="n">
        <v>0.750149</v>
      </c>
      <c r="K25" s="2" t="inlineStr">
        <is>
          <t>止盈</t>
        </is>
      </c>
      <c r="L25" s="5">
        <f>交易明細!K12</f>
        <v/>
      </c>
      <c r="M25" s="19">
        <f>M22</f>
        <v/>
      </c>
      <c r="N25" s="2">
        <f>N22</f>
        <v/>
      </c>
      <c r="O25" s="19">
        <f>O22</f>
        <v/>
      </c>
      <c r="P25" s="4">
        <f>交易明細!L12</f>
        <v/>
      </c>
      <c r="Q25" s="13">
        <f>IF(N25="已下單",O25*P25,0)</f>
        <v/>
      </c>
      <c r="R25" s="13">
        <f>R24+Q25</f>
        <v/>
      </c>
      <c r="S25" s="19">
        <f>S24-IF(N25="已下單",M25,0)</f>
        <v/>
      </c>
      <c r="T25" s="19">
        <f>R25-S25</f>
        <v/>
      </c>
      <c r="U25" s="2">
        <f>U24-IF(N25="已下單",1,0)</f>
        <v/>
      </c>
      <c r="V25" s="19">
        <f>IF(資金模擬!$B$9=2,MAX(R25,0),MAX(V24,FLOOR(MAX(R25,0),資金模擬!$B$6)))</f>
        <v/>
      </c>
      <c r="W25" s="13">
        <f>MAX(W24,R25)</f>
        <v/>
      </c>
      <c r="X25" s="4">
        <f>IF(W25&gt;0,R25/W25-1,-1)</f>
        <v/>
      </c>
      <c r="Y25" s="19">
        <f>IF(R25&gt;0,S25*資金模擬!$B$7/R25,0)</f>
        <v/>
      </c>
      <c r="Z25" s="2">
        <f>IF(OR(Z24=1,R25&lt;=資金模擬!$B$10),1,0)</f>
        <v/>
      </c>
    </row>
    <row r="26">
      <c r="A26" s="2" t="n">
        <v>24</v>
      </c>
      <c r="B26" s="7" t="n">
        <v>46273.875</v>
      </c>
      <c r="C26" s="2" t="inlineStr">
        <is>
          <t>出場</t>
        </is>
      </c>
      <c r="D26" s="2" t="n">
        <v>12</v>
      </c>
      <c r="E26" s="2" t="inlineStr">
        <is>
          <t>CASHCAT_USDT_PERP</t>
        </is>
      </c>
      <c r="F26" s="2" t="inlineStr">
        <is>
          <t>做空</t>
        </is>
      </c>
      <c r="G26" s="20" t="n">
        <v>0.1787</v>
      </c>
      <c r="H26" s="20" t="n">
        <v>0.173339</v>
      </c>
      <c r="I26" s="20" t="n">
        <v>0.187635</v>
      </c>
      <c r="J26" s="20" t="n">
        <v>0.173339</v>
      </c>
      <c r="K26" s="2" t="inlineStr">
        <is>
          <t>止盈</t>
        </is>
      </c>
      <c r="L26" s="5">
        <f>交易明細!K13</f>
        <v/>
      </c>
      <c r="M26" s="19">
        <f>M23</f>
        <v/>
      </c>
      <c r="N26" s="2">
        <f>N23</f>
        <v/>
      </c>
      <c r="O26" s="19">
        <f>O23</f>
        <v/>
      </c>
      <c r="P26" s="4">
        <f>交易明細!L13</f>
        <v/>
      </c>
      <c r="Q26" s="13">
        <f>IF(N26="已下單",O26*P26,0)</f>
        <v/>
      </c>
      <c r="R26" s="13">
        <f>R25+Q26</f>
        <v/>
      </c>
      <c r="S26" s="19">
        <f>S25-IF(N26="已下單",M26,0)</f>
        <v/>
      </c>
      <c r="T26" s="19">
        <f>R26-S26</f>
        <v/>
      </c>
      <c r="U26" s="2">
        <f>U25-IF(N26="已下單",1,0)</f>
        <v/>
      </c>
      <c r="V26" s="19">
        <f>IF(資金模擬!$B$9=2,MAX(R26,0),MAX(V25,FLOOR(MAX(R26,0),資金模擬!$B$6)))</f>
        <v/>
      </c>
      <c r="W26" s="13">
        <f>MAX(W25,R26)</f>
        <v/>
      </c>
      <c r="X26" s="4">
        <f>IF(W26&gt;0,R26/W26-1,-1)</f>
        <v/>
      </c>
      <c r="Y26" s="19">
        <f>IF(R26&gt;0,S26*資金模擬!$B$7/R26,0)</f>
        <v/>
      </c>
      <c r="Z26" s="2">
        <f>IF(OR(Z25=1,R26&lt;=資金模擬!$B$10),1,0)</f>
        <v/>
      </c>
    </row>
    <row r="27">
      <c r="A27" s="2" t="n">
        <v>25</v>
      </c>
      <c r="B27" s="7" t="n">
        <v>46274.08333333334</v>
      </c>
      <c r="C27" s="2" t="inlineStr">
        <is>
          <t>進場</t>
        </is>
      </c>
      <c r="D27" s="2" t="n">
        <v>13</v>
      </c>
      <c r="E27" s="2" t="inlineStr">
        <is>
          <t>UAI_USDT_PERP</t>
        </is>
      </c>
      <c r="F27" s="2" t="inlineStr">
        <is>
          <t>做多</t>
        </is>
      </c>
      <c r="G27" s="20" t="n">
        <v>0.7446</v>
      </c>
      <c r="H27" s="20" t="n">
        <v>0.766938</v>
      </c>
      <c r="I27" s="20" t="n">
        <v>0.7073700000000001</v>
      </c>
      <c r="J27" s="20" t="n"/>
      <c r="K27" s="2" t="n"/>
      <c r="L27" s="5" t="n"/>
      <c r="M27" s="19">
        <f>資金模擬!$B$5*V26</f>
        <v/>
      </c>
      <c r="N27" s="2">
        <f>IF(Z26=1,"已停止",IF(T26&gt;=M27,"已下單","資金不足略過"))</f>
        <v/>
      </c>
      <c r="O27" s="19">
        <f>IF(N27="已下單",M27*資金模擬!$B$7,0)</f>
        <v/>
      </c>
      <c r="P27" s="4" t="n"/>
      <c r="Q27" s="13" t="n">
        <v>0</v>
      </c>
      <c r="R27" s="13">
        <f>R26+Q27</f>
        <v/>
      </c>
      <c r="S27" s="19">
        <f>S26+IF(N27="已下單",M27,0)</f>
        <v/>
      </c>
      <c r="T27" s="19">
        <f>R27-S27</f>
        <v/>
      </c>
      <c r="U27" s="2">
        <f>U26+IF(N27="已下單",1,0)</f>
        <v/>
      </c>
      <c r="V27" s="19">
        <f>IF(資金模擬!$B$9=2,MAX(R27,0),MAX(V26,FLOOR(MAX(R27,0),資金模擬!$B$6)))</f>
        <v/>
      </c>
      <c r="W27" s="13">
        <f>MAX(W26,R27)</f>
        <v/>
      </c>
      <c r="X27" s="4">
        <f>IF(W27&gt;0,R27/W27-1,-1)</f>
        <v/>
      </c>
      <c r="Y27" s="19">
        <f>IF(R27&gt;0,S27*資金模擬!$B$7/R27,0)</f>
        <v/>
      </c>
      <c r="Z27" s="2">
        <f>IF(OR(Z26=1,R27&lt;=資金模擬!$B$10),1,0)</f>
        <v/>
      </c>
    </row>
    <row r="28">
      <c r="A28" s="2" t="n">
        <v>26</v>
      </c>
      <c r="B28" s="7" t="n">
        <v>46274.20833333334</v>
      </c>
      <c r="C28" s="2" t="inlineStr">
        <is>
          <t>出場</t>
        </is>
      </c>
      <c r="D28" s="2" t="n">
        <v>13</v>
      </c>
      <c r="E28" s="2" t="inlineStr">
        <is>
          <t>UAI_USDT_PERP</t>
        </is>
      </c>
      <c r="F28" s="2" t="inlineStr">
        <is>
          <t>做多</t>
        </is>
      </c>
      <c r="G28" s="20" t="n">
        <v>0.7446</v>
      </c>
      <c r="H28" s="20" t="n">
        <v>0.766938</v>
      </c>
      <c r="I28" s="20" t="n">
        <v>0.7073700000000001</v>
      </c>
      <c r="J28" s="20" t="n">
        <v>0.7073700000000001</v>
      </c>
      <c r="K28" s="2" t="inlineStr">
        <is>
          <t>止損</t>
        </is>
      </c>
      <c r="L28" s="5">
        <f>交易明細!K14</f>
        <v/>
      </c>
      <c r="M28" s="19">
        <f>M27</f>
        <v/>
      </c>
      <c r="N28" s="2">
        <f>N27</f>
        <v/>
      </c>
      <c r="O28" s="19">
        <f>O27</f>
        <v/>
      </c>
      <c r="P28" s="4">
        <f>交易明細!L14</f>
        <v/>
      </c>
      <c r="Q28" s="13">
        <f>IF(N28="已下單",O28*P28,0)</f>
        <v/>
      </c>
      <c r="R28" s="13">
        <f>R27+Q28</f>
        <v/>
      </c>
      <c r="S28" s="19">
        <f>S27-IF(N28="已下單",M28,0)</f>
        <v/>
      </c>
      <c r="T28" s="19">
        <f>R28-S28</f>
        <v/>
      </c>
      <c r="U28" s="2">
        <f>U27-IF(N28="已下單",1,0)</f>
        <v/>
      </c>
      <c r="V28" s="19">
        <f>IF(資金模擬!$B$9=2,MAX(R28,0),MAX(V27,FLOOR(MAX(R28,0),資金模擬!$B$6)))</f>
        <v/>
      </c>
      <c r="W28" s="13">
        <f>MAX(W27,R28)</f>
        <v/>
      </c>
      <c r="X28" s="4">
        <f>IF(W28&gt;0,R28/W28-1,-1)</f>
        <v/>
      </c>
      <c r="Y28" s="19">
        <f>IF(R28&gt;0,S28*資金模擬!$B$7/R28,0)</f>
        <v/>
      </c>
      <c r="Z28" s="2">
        <f>IF(OR(Z27=1,R28&lt;=資金模擬!$B$10),1,0)</f>
        <v/>
      </c>
    </row>
    <row r="29">
      <c r="A29" s="2" t="n">
        <v>27</v>
      </c>
      <c r="B29" s="7" t="n">
        <v>46274.54166666666</v>
      </c>
      <c r="C29" s="2" t="inlineStr">
        <is>
          <t>進場</t>
        </is>
      </c>
      <c r="D29" s="2" t="n">
        <v>14</v>
      </c>
      <c r="E29" s="2" t="inlineStr">
        <is>
          <t>PONS_USDT_PERP</t>
        </is>
      </c>
      <c r="F29" s="2" t="inlineStr">
        <is>
          <t>做多</t>
        </is>
      </c>
      <c r="G29" s="20" t="n">
        <v>0.8091</v>
      </c>
      <c r="H29" s="20" t="n">
        <v>0.833373</v>
      </c>
      <c r="I29" s="20" t="n">
        <v>0.768645</v>
      </c>
      <c r="J29" s="20" t="n"/>
      <c r="K29" s="2" t="n"/>
      <c r="L29" s="5" t="n"/>
      <c r="M29" s="19">
        <f>資金模擬!$B$5*V28</f>
        <v/>
      </c>
      <c r="N29" s="2">
        <f>IF(Z28=1,"已停止",IF(T28&gt;=M29,"已下單","資金不足略過"))</f>
        <v/>
      </c>
      <c r="O29" s="19">
        <f>IF(N29="已下單",M29*資金模擬!$B$7,0)</f>
        <v/>
      </c>
      <c r="P29" s="4" t="n"/>
      <c r="Q29" s="13" t="n">
        <v>0</v>
      </c>
      <c r="R29" s="13">
        <f>R28+Q29</f>
        <v/>
      </c>
      <c r="S29" s="19">
        <f>S28+IF(N29="已下單",M29,0)</f>
        <v/>
      </c>
      <c r="T29" s="19">
        <f>R29-S29</f>
        <v/>
      </c>
      <c r="U29" s="2">
        <f>U28+IF(N29="已下單",1,0)</f>
        <v/>
      </c>
      <c r="V29" s="19">
        <f>IF(資金模擬!$B$9=2,MAX(R29,0),MAX(V28,FLOOR(MAX(R29,0),資金模擬!$B$6)))</f>
        <v/>
      </c>
      <c r="W29" s="13">
        <f>MAX(W28,R29)</f>
        <v/>
      </c>
      <c r="X29" s="4">
        <f>IF(W29&gt;0,R29/W29-1,-1)</f>
        <v/>
      </c>
      <c r="Y29" s="19">
        <f>IF(R29&gt;0,S29*資金模擬!$B$7/R29,0)</f>
        <v/>
      </c>
      <c r="Z29" s="2">
        <f>IF(OR(Z28=1,R29&lt;=資金模擬!$B$10),1,0)</f>
        <v/>
      </c>
    </row>
    <row r="30">
      <c r="A30" s="2" t="n">
        <v>28</v>
      </c>
      <c r="B30" s="7" t="n">
        <v>46274.70833333334</v>
      </c>
      <c r="C30" s="2" t="inlineStr">
        <is>
          <t>出場</t>
        </is>
      </c>
      <c r="D30" s="2" t="n">
        <v>14</v>
      </c>
      <c r="E30" s="2" t="inlineStr">
        <is>
          <t>PONS_USDT_PERP</t>
        </is>
      </c>
      <c r="F30" s="2" t="inlineStr">
        <is>
          <t>做多</t>
        </is>
      </c>
      <c r="G30" s="20" t="n">
        <v>0.8091</v>
      </c>
      <c r="H30" s="20" t="n">
        <v>0.833373</v>
      </c>
      <c r="I30" s="20" t="n">
        <v>0.768645</v>
      </c>
      <c r="J30" s="20" t="n">
        <v>0.833373</v>
      </c>
      <c r="K30" s="2" t="inlineStr">
        <is>
          <t>止盈</t>
        </is>
      </c>
      <c r="L30" s="5">
        <f>交易明細!K15</f>
        <v/>
      </c>
      <c r="M30" s="19">
        <f>M29</f>
        <v/>
      </c>
      <c r="N30" s="2">
        <f>N29</f>
        <v/>
      </c>
      <c r="O30" s="19">
        <f>O29</f>
        <v/>
      </c>
      <c r="P30" s="4">
        <f>交易明細!L15</f>
        <v/>
      </c>
      <c r="Q30" s="13">
        <f>IF(N30="已下單",O30*P30,0)</f>
        <v/>
      </c>
      <c r="R30" s="13">
        <f>R29+Q30</f>
        <v/>
      </c>
      <c r="S30" s="19">
        <f>S29-IF(N30="已下單",M30,0)</f>
        <v/>
      </c>
      <c r="T30" s="19">
        <f>R30-S30</f>
        <v/>
      </c>
      <c r="U30" s="2">
        <f>U29-IF(N30="已下單",1,0)</f>
        <v/>
      </c>
      <c r="V30" s="19">
        <f>IF(資金模擬!$B$9=2,MAX(R30,0),MAX(V29,FLOOR(MAX(R30,0),資金模擬!$B$6)))</f>
        <v/>
      </c>
      <c r="W30" s="13">
        <f>MAX(W29,R30)</f>
        <v/>
      </c>
      <c r="X30" s="4">
        <f>IF(W30&gt;0,R30/W30-1,-1)</f>
        <v/>
      </c>
      <c r="Y30" s="19">
        <f>IF(R30&gt;0,S30*資金模擬!$B$7/R30,0)</f>
        <v/>
      </c>
      <c r="Z30" s="2">
        <f>IF(OR(Z29=1,R30&lt;=資金模擬!$B$10),1,0)</f>
        <v/>
      </c>
    </row>
    <row r="31">
      <c r="A31" s="2" t="n">
        <v>29</v>
      </c>
      <c r="B31" s="7" t="n">
        <v>46274.875</v>
      </c>
      <c r="C31" s="2" t="inlineStr">
        <is>
          <t>進場</t>
        </is>
      </c>
      <c r="D31" s="2" t="n">
        <v>15</v>
      </c>
      <c r="E31" s="2" t="inlineStr">
        <is>
          <t>PONS_USDT_PERP</t>
        </is>
      </c>
      <c r="F31" s="2" t="inlineStr">
        <is>
          <t>做多</t>
        </is>
      </c>
      <c r="G31" s="20" t="n">
        <v>0.8066</v>
      </c>
      <c r="H31" s="20" t="n">
        <v>0.830798</v>
      </c>
      <c r="I31" s="20" t="n">
        <v>0.7662699999999999</v>
      </c>
      <c r="J31" s="20" t="n"/>
      <c r="K31" s="2" t="n"/>
      <c r="L31" s="5" t="n"/>
      <c r="M31" s="19">
        <f>資金模擬!$B$5*V30</f>
        <v/>
      </c>
      <c r="N31" s="2">
        <f>IF(Z30=1,"已停止",IF(T30&gt;=M31,"已下單","資金不足略過"))</f>
        <v/>
      </c>
      <c r="O31" s="19">
        <f>IF(N31="已下單",M31*資金模擬!$B$7,0)</f>
        <v/>
      </c>
      <c r="P31" s="4" t="n"/>
      <c r="Q31" s="13" t="n">
        <v>0</v>
      </c>
      <c r="R31" s="13">
        <f>R30+Q31</f>
        <v/>
      </c>
      <c r="S31" s="19">
        <f>S30+IF(N31="已下單",M31,0)</f>
        <v/>
      </c>
      <c r="T31" s="19">
        <f>R31-S31</f>
        <v/>
      </c>
      <c r="U31" s="2">
        <f>U30+IF(N31="已下單",1,0)</f>
        <v/>
      </c>
      <c r="V31" s="19">
        <f>IF(資金模擬!$B$9=2,MAX(R31,0),MAX(V30,FLOOR(MAX(R31,0),資金模擬!$B$6)))</f>
        <v/>
      </c>
      <c r="W31" s="13">
        <f>MAX(W30,R31)</f>
        <v/>
      </c>
      <c r="X31" s="4">
        <f>IF(W31&gt;0,R31/W31-1,-1)</f>
        <v/>
      </c>
      <c r="Y31" s="19">
        <f>IF(R31&gt;0,S31*資金模擬!$B$7/R31,0)</f>
        <v/>
      </c>
      <c r="Z31" s="2">
        <f>IF(OR(Z30=1,R31&lt;=資金模擬!$B$10),1,0)</f>
        <v/>
      </c>
    </row>
    <row r="32">
      <c r="A32" s="2" t="n">
        <v>30</v>
      </c>
      <c r="B32" s="7" t="n">
        <v>46274.95833333334</v>
      </c>
      <c r="C32" s="2" t="inlineStr">
        <is>
          <t>出場</t>
        </is>
      </c>
      <c r="D32" s="2" t="n">
        <v>15</v>
      </c>
      <c r="E32" s="2" t="inlineStr">
        <is>
          <t>PONS_USDT_PERP</t>
        </is>
      </c>
      <c r="F32" s="2" t="inlineStr">
        <is>
          <t>做多</t>
        </is>
      </c>
      <c r="G32" s="20" t="n">
        <v>0.8066</v>
      </c>
      <c r="H32" s="20" t="n">
        <v>0.830798</v>
      </c>
      <c r="I32" s="20" t="n">
        <v>0.7662699999999999</v>
      </c>
      <c r="J32" s="20" t="n">
        <v>0.7662699999999999</v>
      </c>
      <c r="K32" s="2" t="inlineStr">
        <is>
          <t>止損</t>
        </is>
      </c>
      <c r="L32" s="5">
        <f>交易明細!K16</f>
        <v/>
      </c>
      <c r="M32" s="19">
        <f>M31</f>
        <v/>
      </c>
      <c r="N32" s="2">
        <f>N31</f>
        <v/>
      </c>
      <c r="O32" s="19">
        <f>O31</f>
        <v/>
      </c>
      <c r="P32" s="4">
        <f>交易明細!L16</f>
        <v/>
      </c>
      <c r="Q32" s="13">
        <f>IF(N32="已下單",O32*P32,0)</f>
        <v/>
      </c>
      <c r="R32" s="13">
        <f>R31+Q32</f>
        <v/>
      </c>
      <c r="S32" s="19">
        <f>S31-IF(N32="已下單",M32,0)</f>
        <v/>
      </c>
      <c r="T32" s="19">
        <f>R32-S32</f>
        <v/>
      </c>
      <c r="U32" s="2">
        <f>U31-IF(N32="已下單",1,0)</f>
        <v/>
      </c>
      <c r="V32" s="19">
        <f>IF(資金模擬!$B$9=2,MAX(R32,0),MAX(V31,FLOOR(MAX(R32,0),資金模擬!$B$6)))</f>
        <v/>
      </c>
      <c r="W32" s="13">
        <f>MAX(W31,R32)</f>
        <v/>
      </c>
      <c r="X32" s="4">
        <f>IF(W32&gt;0,R32/W32-1,-1)</f>
        <v/>
      </c>
      <c r="Y32" s="19">
        <f>IF(R32&gt;0,S32*資金模擬!$B$7/R32,0)</f>
        <v/>
      </c>
      <c r="Z32" s="2">
        <f>IF(OR(Z31=1,R32&lt;=資金模擬!$B$10),1,0)</f>
        <v/>
      </c>
    </row>
    <row r="33">
      <c r="A33" s="2" t="n">
        <v>31</v>
      </c>
      <c r="B33" s="7" t="n">
        <v>46275.04166666666</v>
      </c>
      <c r="C33" s="2" t="inlineStr">
        <is>
          <t>進場</t>
        </is>
      </c>
      <c r="D33" s="2" t="n">
        <v>16</v>
      </c>
      <c r="E33" s="2" t="inlineStr">
        <is>
          <t>AKE_USDT_PERP</t>
        </is>
      </c>
      <c r="F33" s="2" t="inlineStr">
        <is>
          <t>做空</t>
        </is>
      </c>
      <c r="G33" s="20" t="n">
        <v>0.0151607</v>
      </c>
      <c r="H33" s="20" t="n">
        <v>0.014705879</v>
      </c>
      <c r="I33" s="20" t="n">
        <v>0.015918735</v>
      </c>
      <c r="J33" s="20" t="n"/>
      <c r="K33" s="2" t="n"/>
      <c r="L33" s="5" t="n"/>
      <c r="M33" s="19">
        <f>資金模擬!$B$5*V32</f>
        <v/>
      </c>
      <c r="N33" s="2">
        <f>IF(Z32=1,"已停止",IF(T32&gt;=M33,"已下單","資金不足略過"))</f>
        <v/>
      </c>
      <c r="O33" s="19">
        <f>IF(N33="已下單",M33*資金模擬!$B$7,0)</f>
        <v/>
      </c>
      <c r="P33" s="4" t="n"/>
      <c r="Q33" s="13" t="n">
        <v>0</v>
      </c>
      <c r="R33" s="13">
        <f>R32+Q33</f>
        <v/>
      </c>
      <c r="S33" s="19">
        <f>S32+IF(N33="已下單",M33,0)</f>
        <v/>
      </c>
      <c r="T33" s="19">
        <f>R33-S33</f>
        <v/>
      </c>
      <c r="U33" s="2">
        <f>U32+IF(N33="已下單",1,0)</f>
        <v/>
      </c>
      <c r="V33" s="19">
        <f>IF(資金模擬!$B$9=2,MAX(R33,0),MAX(V32,FLOOR(MAX(R33,0),資金模擬!$B$6)))</f>
        <v/>
      </c>
      <c r="W33" s="13">
        <f>MAX(W32,R33)</f>
        <v/>
      </c>
      <c r="X33" s="4">
        <f>IF(W33&gt;0,R33/W33-1,-1)</f>
        <v/>
      </c>
      <c r="Y33" s="19">
        <f>IF(R33&gt;0,S33*資金模擬!$B$7/R33,0)</f>
        <v/>
      </c>
      <c r="Z33" s="2">
        <f>IF(OR(Z32=1,R33&lt;=資金模擬!$B$10),1,0)</f>
        <v/>
      </c>
    </row>
    <row r="34">
      <c r="A34" s="2" t="n">
        <v>32</v>
      </c>
      <c r="B34" s="7" t="n">
        <v>46275.08333333334</v>
      </c>
      <c r="C34" s="2" t="inlineStr">
        <is>
          <t>進場</t>
        </is>
      </c>
      <c r="D34" s="2" t="n">
        <v>17</v>
      </c>
      <c r="E34" s="2" t="inlineStr">
        <is>
          <t>RAY_USDT_PERP</t>
        </is>
      </c>
      <c r="F34" s="2" t="inlineStr">
        <is>
          <t>做多</t>
        </is>
      </c>
      <c r="G34" s="20" t="n">
        <v>1.365</v>
      </c>
      <c r="H34" s="20" t="n">
        <v>1.40595</v>
      </c>
      <c r="I34" s="20" t="n">
        <v>1.29675</v>
      </c>
      <c r="J34" s="20" t="n"/>
      <c r="K34" s="2" t="n"/>
      <c r="L34" s="5" t="n"/>
      <c r="M34" s="19">
        <f>資金模擬!$B$5*V33</f>
        <v/>
      </c>
      <c r="N34" s="2">
        <f>IF(Z33=1,"已停止",IF(T33&gt;=M34,"已下單","資金不足略過"))</f>
        <v/>
      </c>
      <c r="O34" s="19">
        <f>IF(N34="已下單",M34*資金模擬!$B$7,0)</f>
        <v/>
      </c>
      <c r="P34" s="4" t="n"/>
      <c r="Q34" s="13" t="n">
        <v>0</v>
      </c>
      <c r="R34" s="13">
        <f>R33+Q34</f>
        <v/>
      </c>
      <c r="S34" s="19">
        <f>S33+IF(N34="已下單",M34,0)</f>
        <v/>
      </c>
      <c r="T34" s="19">
        <f>R34-S34</f>
        <v/>
      </c>
      <c r="U34" s="2">
        <f>U33+IF(N34="已下單",1,0)</f>
        <v/>
      </c>
      <c r="V34" s="19">
        <f>IF(資金模擬!$B$9=2,MAX(R34,0),MAX(V33,FLOOR(MAX(R34,0),資金模擬!$B$6)))</f>
        <v/>
      </c>
      <c r="W34" s="13">
        <f>MAX(W33,R34)</f>
        <v/>
      </c>
      <c r="X34" s="4">
        <f>IF(W34&gt;0,R34/W34-1,-1)</f>
        <v/>
      </c>
      <c r="Y34" s="19">
        <f>IF(R34&gt;0,S34*資金模擬!$B$7/R34,0)</f>
        <v/>
      </c>
      <c r="Z34" s="2">
        <f>IF(OR(Z33=1,R34&lt;=資金模擬!$B$10),1,0)</f>
        <v/>
      </c>
    </row>
    <row r="35">
      <c r="A35" s="2" t="n">
        <v>33</v>
      </c>
      <c r="B35" s="7" t="n">
        <v>46275.16666666666</v>
      </c>
      <c r="C35" s="2" t="inlineStr">
        <is>
          <t>出場</t>
        </is>
      </c>
      <c r="D35" s="2" t="n">
        <v>17</v>
      </c>
      <c r="E35" s="2" t="inlineStr">
        <is>
          <t>RAY_USDT_PERP</t>
        </is>
      </c>
      <c r="F35" s="2" t="inlineStr">
        <is>
          <t>做多</t>
        </is>
      </c>
      <c r="G35" s="20" t="n">
        <v>1.365</v>
      </c>
      <c r="H35" s="20" t="n">
        <v>1.40595</v>
      </c>
      <c r="I35" s="20" t="n">
        <v>1.29675</v>
      </c>
      <c r="J35" s="20" t="n">
        <v>1.29675</v>
      </c>
      <c r="K35" s="2" t="inlineStr">
        <is>
          <t>止損</t>
        </is>
      </c>
      <c r="L35" s="5">
        <f>交易明細!K18</f>
        <v/>
      </c>
      <c r="M35" s="19">
        <f>M34</f>
        <v/>
      </c>
      <c r="N35" s="2">
        <f>N34</f>
        <v/>
      </c>
      <c r="O35" s="19">
        <f>O34</f>
        <v/>
      </c>
      <c r="P35" s="4">
        <f>交易明細!L18</f>
        <v/>
      </c>
      <c r="Q35" s="13">
        <f>IF(N35="已下單",O35*P35,0)</f>
        <v/>
      </c>
      <c r="R35" s="13">
        <f>R34+Q35</f>
        <v/>
      </c>
      <c r="S35" s="19">
        <f>S34-IF(N35="已下單",M35,0)</f>
        <v/>
      </c>
      <c r="T35" s="19">
        <f>R35-S35</f>
        <v/>
      </c>
      <c r="U35" s="2">
        <f>U34-IF(N35="已下單",1,0)</f>
        <v/>
      </c>
      <c r="V35" s="19">
        <f>IF(資金模擬!$B$9=2,MAX(R35,0),MAX(V34,FLOOR(MAX(R35,0),資金模擬!$B$6)))</f>
        <v/>
      </c>
      <c r="W35" s="13">
        <f>MAX(W34,R35)</f>
        <v/>
      </c>
      <c r="X35" s="4">
        <f>IF(W35&gt;0,R35/W35-1,-1)</f>
        <v/>
      </c>
      <c r="Y35" s="19">
        <f>IF(R35&gt;0,S35*資金模擬!$B$7/R35,0)</f>
        <v/>
      </c>
      <c r="Z35" s="2">
        <f>IF(OR(Z34=1,R35&lt;=資金模擬!$B$10),1,0)</f>
        <v/>
      </c>
    </row>
    <row r="36">
      <c r="A36" s="2" t="n">
        <v>34</v>
      </c>
      <c r="B36" s="7" t="n">
        <v>46275.29166666666</v>
      </c>
      <c r="C36" s="2" t="inlineStr">
        <is>
          <t>出場</t>
        </is>
      </c>
      <c r="D36" s="2" t="n">
        <v>16</v>
      </c>
      <c r="E36" s="2" t="inlineStr">
        <is>
          <t>AKE_USDT_PERP</t>
        </is>
      </c>
      <c r="F36" s="2" t="inlineStr">
        <is>
          <t>做空</t>
        </is>
      </c>
      <c r="G36" s="20" t="n">
        <v>0.0151607</v>
      </c>
      <c r="H36" s="20" t="n">
        <v>0.014705879</v>
      </c>
      <c r="I36" s="20" t="n">
        <v>0.015918735</v>
      </c>
      <c r="J36" s="20" t="n">
        <v>0.014705879</v>
      </c>
      <c r="K36" s="2" t="inlineStr">
        <is>
          <t>止盈</t>
        </is>
      </c>
      <c r="L36" s="5">
        <f>交易明細!K17</f>
        <v/>
      </c>
      <c r="M36" s="19">
        <f>M33</f>
        <v/>
      </c>
      <c r="N36" s="2">
        <f>N33</f>
        <v/>
      </c>
      <c r="O36" s="19">
        <f>O33</f>
        <v/>
      </c>
      <c r="P36" s="4">
        <f>交易明細!L17</f>
        <v/>
      </c>
      <c r="Q36" s="13">
        <f>IF(N36="已下單",O36*P36,0)</f>
        <v/>
      </c>
      <c r="R36" s="13">
        <f>R35+Q36</f>
        <v/>
      </c>
      <c r="S36" s="19">
        <f>S35-IF(N36="已下單",M36,0)</f>
        <v/>
      </c>
      <c r="T36" s="19">
        <f>R36-S36</f>
        <v/>
      </c>
      <c r="U36" s="2">
        <f>U35-IF(N36="已下單",1,0)</f>
        <v/>
      </c>
      <c r="V36" s="19">
        <f>IF(資金模擬!$B$9=2,MAX(R36,0),MAX(V35,FLOOR(MAX(R36,0),資金模擬!$B$6)))</f>
        <v/>
      </c>
      <c r="W36" s="13">
        <f>MAX(W35,R36)</f>
        <v/>
      </c>
      <c r="X36" s="4">
        <f>IF(W36&gt;0,R36/W36-1,-1)</f>
        <v/>
      </c>
      <c r="Y36" s="19">
        <f>IF(R36&gt;0,S36*資金模擬!$B$7/R36,0)</f>
        <v/>
      </c>
      <c r="Z36" s="2">
        <f>IF(OR(Z35=1,R36&lt;=資金模擬!$B$10),1,0)</f>
        <v/>
      </c>
    </row>
    <row r="37">
      <c r="A37" s="2" t="n">
        <v>35</v>
      </c>
      <c r="B37" s="7" t="n">
        <v>46275.54166666666</v>
      </c>
      <c r="C37" s="2" t="inlineStr">
        <is>
          <t>進場</t>
        </is>
      </c>
      <c r="D37" s="2" t="n">
        <v>18</v>
      </c>
      <c r="E37" s="2" t="inlineStr">
        <is>
          <t>RAY_USDT_PERP</t>
        </is>
      </c>
      <c r="F37" s="2" t="inlineStr">
        <is>
          <t>做多</t>
        </is>
      </c>
      <c r="G37" s="20" t="n">
        <v>1.33</v>
      </c>
      <c r="H37" s="20" t="n">
        <v>1.3699</v>
      </c>
      <c r="I37" s="20" t="n">
        <v>1.2635</v>
      </c>
      <c r="J37" s="20" t="n"/>
      <c r="K37" s="2" t="n"/>
      <c r="L37" s="5" t="n"/>
      <c r="M37" s="19">
        <f>資金模擬!$B$5*V36</f>
        <v/>
      </c>
      <c r="N37" s="2">
        <f>IF(Z36=1,"已停止",IF(T36&gt;=M37,"已下單","資金不足略過"))</f>
        <v/>
      </c>
      <c r="O37" s="19">
        <f>IF(N37="已下單",M37*資金模擬!$B$7,0)</f>
        <v/>
      </c>
      <c r="P37" s="4" t="n"/>
      <c r="Q37" s="13" t="n">
        <v>0</v>
      </c>
      <c r="R37" s="13">
        <f>R36+Q37</f>
        <v/>
      </c>
      <c r="S37" s="19">
        <f>S36+IF(N37="已下單",M37,0)</f>
        <v/>
      </c>
      <c r="T37" s="19">
        <f>R37-S37</f>
        <v/>
      </c>
      <c r="U37" s="2">
        <f>U36+IF(N37="已下單",1,0)</f>
        <v/>
      </c>
      <c r="V37" s="19">
        <f>IF(資金模擬!$B$9=2,MAX(R37,0),MAX(V36,FLOOR(MAX(R37,0),資金模擬!$B$6)))</f>
        <v/>
      </c>
      <c r="W37" s="13">
        <f>MAX(W36,R37)</f>
        <v/>
      </c>
      <c r="X37" s="4">
        <f>IF(W37&gt;0,R37/W37-1,-1)</f>
        <v/>
      </c>
      <c r="Y37" s="19">
        <f>IF(R37&gt;0,S37*資金模擬!$B$7/R37,0)</f>
        <v/>
      </c>
      <c r="Z37" s="2">
        <f>IF(OR(Z36=1,R37&lt;=資金模擬!$B$10),1,0)</f>
        <v/>
      </c>
    </row>
    <row r="38">
      <c r="A38" s="2" t="n">
        <v>36</v>
      </c>
      <c r="B38" s="7" t="n">
        <v>46275.58333333334</v>
      </c>
      <c r="C38" s="2" t="inlineStr">
        <is>
          <t>出場</t>
        </is>
      </c>
      <c r="D38" s="2" t="n">
        <v>18</v>
      </c>
      <c r="E38" s="2" t="inlineStr">
        <is>
          <t>RAY_USDT_PERP</t>
        </is>
      </c>
      <c r="F38" s="2" t="inlineStr">
        <is>
          <t>做多</t>
        </is>
      </c>
      <c r="G38" s="20" t="n">
        <v>1.33</v>
      </c>
      <c r="H38" s="20" t="n">
        <v>1.3699</v>
      </c>
      <c r="I38" s="20" t="n">
        <v>1.2635</v>
      </c>
      <c r="J38" s="20" t="n">
        <v>1.3699</v>
      </c>
      <c r="K38" s="2" t="inlineStr">
        <is>
          <t>止盈</t>
        </is>
      </c>
      <c r="L38" s="5">
        <f>交易明細!K19</f>
        <v/>
      </c>
      <c r="M38" s="19">
        <f>M37</f>
        <v/>
      </c>
      <c r="N38" s="2">
        <f>N37</f>
        <v/>
      </c>
      <c r="O38" s="19">
        <f>O37</f>
        <v/>
      </c>
      <c r="P38" s="4">
        <f>交易明細!L19</f>
        <v/>
      </c>
      <c r="Q38" s="13">
        <f>IF(N38="已下單",O38*P38,0)</f>
        <v/>
      </c>
      <c r="R38" s="13">
        <f>R37+Q38</f>
        <v/>
      </c>
      <c r="S38" s="19">
        <f>S37-IF(N38="已下單",M38,0)</f>
        <v/>
      </c>
      <c r="T38" s="19">
        <f>R38-S38</f>
        <v/>
      </c>
      <c r="U38" s="2">
        <f>U37-IF(N38="已下單",1,0)</f>
        <v/>
      </c>
      <c r="V38" s="19">
        <f>IF(資金模擬!$B$9=2,MAX(R38,0),MAX(V37,FLOOR(MAX(R38,0),資金模擬!$B$6)))</f>
        <v/>
      </c>
      <c r="W38" s="13">
        <f>MAX(W37,R38)</f>
        <v/>
      </c>
      <c r="X38" s="4">
        <f>IF(W38&gt;0,R38/W38-1,-1)</f>
        <v/>
      </c>
      <c r="Y38" s="19">
        <f>IF(R38&gt;0,S38*資金模擬!$B$7/R38,0)</f>
        <v/>
      </c>
      <c r="Z38" s="2">
        <f>IF(OR(Z37=1,R38&lt;=資金模擬!$B$10),1,0)</f>
        <v/>
      </c>
    </row>
    <row r="39">
      <c r="A39" s="2" t="n">
        <v>37</v>
      </c>
      <c r="B39" s="7" t="n">
        <v>46275.875</v>
      </c>
      <c r="C39" s="2" t="inlineStr">
        <is>
          <t>進場</t>
        </is>
      </c>
      <c r="D39" s="2" t="n">
        <v>19</v>
      </c>
      <c r="E39" s="2" t="inlineStr">
        <is>
          <t>RAY_USDT_PERP</t>
        </is>
      </c>
      <c r="F39" s="2" t="inlineStr">
        <is>
          <t>做空</t>
        </is>
      </c>
      <c r="G39" s="20" t="n">
        <v>1.286</v>
      </c>
      <c r="H39" s="20" t="n">
        <v>1.24742</v>
      </c>
      <c r="I39" s="20" t="n">
        <v>1.3503</v>
      </c>
      <c r="J39" s="20" t="n"/>
      <c r="K39" s="2" t="n"/>
      <c r="L39" s="5" t="n"/>
      <c r="M39" s="19">
        <f>資金模擬!$B$5*V38</f>
        <v/>
      </c>
      <c r="N39" s="2">
        <f>IF(Z38=1,"已停止",IF(T38&gt;=M39,"已下單","資金不足略過"))</f>
        <v/>
      </c>
      <c r="O39" s="19">
        <f>IF(N39="已下單",M39*資金模擬!$B$7,0)</f>
        <v/>
      </c>
      <c r="P39" s="4" t="n"/>
      <c r="Q39" s="13" t="n">
        <v>0</v>
      </c>
      <c r="R39" s="13">
        <f>R38+Q39</f>
        <v/>
      </c>
      <c r="S39" s="19">
        <f>S38+IF(N39="已下單",M39,0)</f>
        <v/>
      </c>
      <c r="T39" s="19">
        <f>R39-S39</f>
        <v/>
      </c>
      <c r="U39" s="2">
        <f>U38+IF(N39="已下單",1,0)</f>
        <v/>
      </c>
      <c r="V39" s="19">
        <f>IF(資金模擬!$B$9=2,MAX(R39,0),MAX(V38,FLOOR(MAX(R39,0),資金模擬!$B$6)))</f>
        <v/>
      </c>
      <c r="W39" s="13">
        <f>MAX(W38,R39)</f>
        <v/>
      </c>
      <c r="X39" s="4">
        <f>IF(W39&gt;0,R39/W39-1,-1)</f>
        <v/>
      </c>
      <c r="Y39" s="19">
        <f>IF(R39&gt;0,S39*資金模擬!$B$7/R39,0)</f>
        <v/>
      </c>
      <c r="Z39" s="2">
        <f>IF(OR(Z38=1,R39&lt;=資金模擬!$B$10),1,0)</f>
        <v/>
      </c>
    </row>
    <row r="40">
      <c r="A40" s="2" t="n">
        <v>38</v>
      </c>
      <c r="B40" s="7" t="n">
        <v>46275.875</v>
      </c>
      <c r="C40" s="2" t="inlineStr">
        <is>
          <t>進場</t>
        </is>
      </c>
      <c r="D40" s="2" t="n">
        <v>20</v>
      </c>
      <c r="E40" s="2" t="inlineStr">
        <is>
          <t>VVV_USDT_PERP</t>
        </is>
      </c>
      <c r="F40" s="2" t="inlineStr">
        <is>
          <t>做空</t>
        </is>
      </c>
      <c r="G40" s="20" t="n">
        <v>23.292</v>
      </c>
      <c r="H40" s="20" t="n">
        <v>22.59324</v>
      </c>
      <c r="I40" s="20" t="n">
        <v>24.4566</v>
      </c>
      <c r="J40" s="20" t="n"/>
      <c r="K40" s="2" t="n"/>
      <c r="L40" s="5" t="n"/>
      <c r="M40" s="19">
        <f>資金模擬!$B$5*V39</f>
        <v/>
      </c>
      <c r="N40" s="2">
        <f>IF(Z39=1,"已停止",IF(T39&gt;=M40,"已下單","資金不足略過"))</f>
        <v/>
      </c>
      <c r="O40" s="19">
        <f>IF(N40="已下單",M40*資金模擬!$B$7,0)</f>
        <v/>
      </c>
      <c r="P40" s="4" t="n"/>
      <c r="Q40" s="13" t="n">
        <v>0</v>
      </c>
      <c r="R40" s="13">
        <f>R39+Q40</f>
        <v/>
      </c>
      <c r="S40" s="19">
        <f>S39+IF(N40="已下單",M40,0)</f>
        <v/>
      </c>
      <c r="T40" s="19">
        <f>R40-S40</f>
        <v/>
      </c>
      <c r="U40" s="2">
        <f>U39+IF(N40="已下單",1,0)</f>
        <v/>
      </c>
      <c r="V40" s="19">
        <f>IF(資金模擬!$B$9=2,MAX(R40,0),MAX(V39,FLOOR(MAX(R40,0),資金模擬!$B$6)))</f>
        <v/>
      </c>
      <c r="W40" s="13">
        <f>MAX(W39,R40)</f>
        <v/>
      </c>
      <c r="X40" s="4">
        <f>IF(W40&gt;0,R40/W40-1,-1)</f>
        <v/>
      </c>
      <c r="Y40" s="19">
        <f>IF(R40&gt;0,S40*資金模擬!$B$7/R40,0)</f>
        <v/>
      </c>
      <c r="Z40" s="2">
        <f>IF(OR(Z39=1,R40&lt;=資金模擬!$B$10),1,0)</f>
        <v/>
      </c>
    </row>
    <row r="41">
      <c r="A41" s="2" t="n">
        <v>39</v>
      </c>
      <c r="B41" s="7" t="n">
        <v>46275.91666666666</v>
      </c>
      <c r="C41" s="2" t="inlineStr">
        <is>
          <t>出場</t>
        </is>
      </c>
      <c r="D41" s="2" t="n">
        <v>20</v>
      </c>
      <c r="E41" s="2" t="inlineStr">
        <is>
          <t>VVV_USDT_PERP</t>
        </is>
      </c>
      <c r="F41" s="2" t="inlineStr">
        <is>
          <t>做空</t>
        </is>
      </c>
      <c r="G41" s="20" t="n">
        <v>23.292</v>
      </c>
      <c r="H41" s="20" t="n">
        <v>22.59324</v>
      </c>
      <c r="I41" s="20" t="n">
        <v>24.4566</v>
      </c>
      <c r="J41" s="20" t="n">
        <v>24.4566</v>
      </c>
      <c r="K41" s="2" t="inlineStr">
        <is>
          <t>止損</t>
        </is>
      </c>
      <c r="L41" s="5">
        <f>交易明細!K21</f>
        <v/>
      </c>
      <c r="M41" s="19">
        <f>M40</f>
        <v/>
      </c>
      <c r="N41" s="2">
        <f>N40</f>
        <v/>
      </c>
      <c r="O41" s="19">
        <f>O40</f>
        <v/>
      </c>
      <c r="P41" s="4">
        <f>交易明細!L21</f>
        <v/>
      </c>
      <c r="Q41" s="13">
        <f>IF(N41="已下單",O41*P41,0)</f>
        <v/>
      </c>
      <c r="R41" s="13">
        <f>R40+Q41</f>
        <v/>
      </c>
      <c r="S41" s="19">
        <f>S40-IF(N41="已下單",M41,0)</f>
        <v/>
      </c>
      <c r="T41" s="19">
        <f>R41-S41</f>
        <v/>
      </c>
      <c r="U41" s="2">
        <f>U40-IF(N41="已下單",1,0)</f>
        <v/>
      </c>
      <c r="V41" s="19">
        <f>IF(資金模擬!$B$9=2,MAX(R41,0),MAX(V40,FLOOR(MAX(R41,0),資金模擬!$B$6)))</f>
        <v/>
      </c>
      <c r="W41" s="13">
        <f>MAX(W40,R41)</f>
        <v/>
      </c>
      <c r="X41" s="4">
        <f>IF(W41&gt;0,R41/W41-1,-1)</f>
        <v/>
      </c>
      <c r="Y41" s="19">
        <f>IF(R41&gt;0,S41*資金模擬!$B$7/R41,0)</f>
        <v/>
      </c>
      <c r="Z41" s="2">
        <f>IF(OR(Z40=1,R41&lt;=資金模擬!$B$10),1,0)</f>
        <v/>
      </c>
    </row>
    <row r="42">
      <c r="A42" s="2" t="n">
        <v>40</v>
      </c>
      <c r="B42" s="7" t="n">
        <v>46276.08333333334</v>
      </c>
      <c r="C42" s="2" t="inlineStr">
        <is>
          <t>進場</t>
        </is>
      </c>
      <c r="D42" s="2" t="n">
        <v>21</v>
      </c>
      <c r="E42" s="2" t="inlineStr">
        <is>
          <t>VVV_USDT_PERP</t>
        </is>
      </c>
      <c r="F42" s="2" t="inlineStr">
        <is>
          <t>做多</t>
        </is>
      </c>
      <c r="G42" s="20" t="n">
        <v>25.016</v>
      </c>
      <c r="H42" s="20" t="n">
        <v>25.76648</v>
      </c>
      <c r="I42" s="20" t="n">
        <v>23.7652</v>
      </c>
      <c r="J42" s="20" t="n"/>
      <c r="K42" s="2" t="n"/>
      <c r="L42" s="5" t="n"/>
      <c r="M42" s="19">
        <f>資金模擬!$B$5*V41</f>
        <v/>
      </c>
      <c r="N42" s="2">
        <f>IF(Z41=1,"已停止",IF(T41&gt;=M42,"已下單","資金不足略過"))</f>
        <v/>
      </c>
      <c r="O42" s="19">
        <f>IF(N42="已下單",M42*資金模擬!$B$7,0)</f>
        <v/>
      </c>
      <c r="P42" s="4" t="n"/>
      <c r="Q42" s="13" t="n">
        <v>0</v>
      </c>
      <c r="R42" s="13">
        <f>R41+Q42</f>
        <v/>
      </c>
      <c r="S42" s="19">
        <f>S41+IF(N42="已下單",M42,0)</f>
        <v/>
      </c>
      <c r="T42" s="19">
        <f>R42-S42</f>
        <v/>
      </c>
      <c r="U42" s="2">
        <f>U41+IF(N42="已下單",1,0)</f>
        <v/>
      </c>
      <c r="V42" s="19">
        <f>IF(資金模擬!$B$9=2,MAX(R42,0),MAX(V41,FLOOR(MAX(R42,0),資金模擬!$B$6)))</f>
        <v/>
      </c>
      <c r="W42" s="13">
        <f>MAX(W41,R42)</f>
        <v/>
      </c>
      <c r="X42" s="4">
        <f>IF(W42&gt;0,R42/W42-1,-1)</f>
        <v/>
      </c>
      <c r="Y42" s="19">
        <f>IF(R42&gt;0,S42*資金模擬!$B$7/R42,0)</f>
        <v/>
      </c>
      <c r="Z42" s="2">
        <f>IF(OR(Z41=1,R42&lt;=資金模擬!$B$10),1,0)</f>
        <v/>
      </c>
    </row>
    <row r="43">
      <c r="A43" s="2" t="n">
        <v>41</v>
      </c>
      <c r="B43" s="7" t="n">
        <v>46276.16666666666</v>
      </c>
      <c r="C43" s="2" t="inlineStr">
        <is>
          <t>出場</t>
        </is>
      </c>
      <c r="D43" s="2" t="n">
        <v>19</v>
      </c>
      <c r="E43" s="2" t="inlineStr">
        <is>
          <t>RAY_USDT_PERP</t>
        </is>
      </c>
      <c r="F43" s="2" t="inlineStr">
        <is>
          <t>做空</t>
        </is>
      </c>
      <c r="G43" s="20" t="n">
        <v>1.286</v>
      </c>
      <c r="H43" s="20" t="n">
        <v>1.24742</v>
      </c>
      <c r="I43" s="20" t="n">
        <v>1.3503</v>
      </c>
      <c r="J43" s="20" t="n">
        <v>1.3503</v>
      </c>
      <c r="K43" s="2" t="inlineStr">
        <is>
          <t>止損</t>
        </is>
      </c>
      <c r="L43" s="5">
        <f>交易明細!K20</f>
        <v/>
      </c>
      <c r="M43" s="19">
        <f>M39</f>
        <v/>
      </c>
      <c r="N43" s="2">
        <f>N39</f>
        <v/>
      </c>
      <c r="O43" s="19">
        <f>O39</f>
        <v/>
      </c>
      <c r="P43" s="4">
        <f>交易明細!L20</f>
        <v/>
      </c>
      <c r="Q43" s="13">
        <f>IF(N43="已下單",O43*P43,0)</f>
        <v/>
      </c>
      <c r="R43" s="13">
        <f>R42+Q43</f>
        <v/>
      </c>
      <c r="S43" s="19">
        <f>S42-IF(N43="已下單",M43,0)</f>
        <v/>
      </c>
      <c r="T43" s="19">
        <f>R43-S43</f>
        <v/>
      </c>
      <c r="U43" s="2">
        <f>U42-IF(N43="已下單",1,0)</f>
        <v/>
      </c>
      <c r="V43" s="19">
        <f>IF(資金模擬!$B$9=2,MAX(R43,0),MAX(V42,FLOOR(MAX(R43,0),資金模擬!$B$6)))</f>
        <v/>
      </c>
      <c r="W43" s="13">
        <f>MAX(W42,R43)</f>
        <v/>
      </c>
      <c r="X43" s="4">
        <f>IF(W43&gt;0,R43/W43-1,-1)</f>
        <v/>
      </c>
      <c r="Y43" s="19">
        <f>IF(R43&gt;0,S43*資金模擬!$B$7/R43,0)</f>
        <v/>
      </c>
      <c r="Z43" s="2">
        <f>IF(OR(Z42=1,R43&lt;=資金模擬!$B$10),1,0)</f>
        <v/>
      </c>
    </row>
    <row r="44">
      <c r="A44" s="2" t="n">
        <v>42</v>
      </c>
      <c r="B44" s="7" t="n">
        <v>46276.375</v>
      </c>
      <c r="C44" s="2" t="inlineStr">
        <is>
          <t>出場</t>
        </is>
      </c>
      <c r="D44" s="2" t="n">
        <v>21</v>
      </c>
      <c r="E44" s="2" t="inlineStr">
        <is>
          <t>VVV_USDT_PERP</t>
        </is>
      </c>
      <c r="F44" s="2" t="inlineStr">
        <is>
          <t>做多</t>
        </is>
      </c>
      <c r="G44" s="20" t="n">
        <v>25.016</v>
      </c>
      <c r="H44" s="20" t="n">
        <v>25.76648</v>
      </c>
      <c r="I44" s="20" t="n">
        <v>23.7652</v>
      </c>
      <c r="J44" s="20" t="n">
        <v>23.7652</v>
      </c>
      <c r="K44" s="2" t="inlineStr">
        <is>
          <t>止損</t>
        </is>
      </c>
      <c r="L44" s="5">
        <f>交易明細!K22</f>
        <v/>
      </c>
      <c r="M44" s="19">
        <f>M42</f>
        <v/>
      </c>
      <c r="N44" s="2">
        <f>N42</f>
        <v/>
      </c>
      <c r="O44" s="19">
        <f>O42</f>
        <v/>
      </c>
      <c r="P44" s="4">
        <f>交易明細!L22</f>
        <v/>
      </c>
      <c r="Q44" s="13">
        <f>IF(N44="已下單",O44*P44,0)</f>
        <v/>
      </c>
      <c r="R44" s="13">
        <f>R43+Q44</f>
        <v/>
      </c>
      <c r="S44" s="19">
        <f>S43-IF(N44="已下單",M44,0)</f>
        <v/>
      </c>
      <c r="T44" s="19">
        <f>R44-S44</f>
        <v/>
      </c>
      <c r="U44" s="2">
        <f>U43-IF(N44="已下單",1,0)</f>
        <v/>
      </c>
      <c r="V44" s="19">
        <f>IF(資金模擬!$B$9=2,MAX(R44,0),MAX(V43,FLOOR(MAX(R44,0),資金模擬!$B$6)))</f>
        <v/>
      </c>
      <c r="W44" s="13">
        <f>MAX(W43,R44)</f>
        <v/>
      </c>
      <c r="X44" s="4">
        <f>IF(W44&gt;0,R44/W44-1,-1)</f>
        <v/>
      </c>
      <c r="Y44" s="19">
        <f>IF(R44&gt;0,S44*資金模擬!$B$7/R44,0)</f>
        <v/>
      </c>
      <c r="Z44" s="2">
        <f>IF(OR(Z43=1,R44&lt;=資金模擬!$B$10),1,0)</f>
        <v/>
      </c>
    </row>
    <row r="45">
      <c r="A45" s="2" t="n">
        <v>43</v>
      </c>
      <c r="B45" s="7" t="n">
        <v>46276.45833333334</v>
      </c>
      <c r="C45" s="2" t="inlineStr">
        <is>
          <t>進場</t>
        </is>
      </c>
      <c r="D45" s="2" t="n">
        <v>22</v>
      </c>
      <c r="E45" s="2" t="inlineStr">
        <is>
          <t>BULLA_USDT_PERP</t>
        </is>
      </c>
      <c r="F45" s="2" t="inlineStr">
        <is>
          <t>做空</t>
        </is>
      </c>
      <c r="G45" s="20" t="n">
        <v>0.07525999999999999</v>
      </c>
      <c r="H45" s="20" t="n">
        <v>0.07300219999999999</v>
      </c>
      <c r="I45" s="20" t="n">
        <v>0.079023</v>
      </c>
      <c r="J45" s="20" t="n"/>
      <c r="K45" s="2" t="n"/>
      <c r="L45" s="5" t="n"/>
      <c r="M45" s="19">
        <f>資金模擬!$B$5*V44</f>
        <v/>
      </c>
      <c r="N45" s="2">
        <f>IF(Z44=1,"已停止",IF(T44&gt;=M45,"已下單","資金不足略過"))</f>
        <v/>
      </c>
      <c r="O45" s="19">
        <f>IF(N45="已下單",M45*資金模擬!$B$7,0)</f>
        <v/>
      </c>
      <c r="P45" s="4" t="n"/>
      <c r="Q45" s="13" t="n">
        <v>0</v>
      </c>
      <c r="R45" s="13">
        <f>R44+Q45</f>
        <v/>
      </c>
      <c r="S45" s="19">
        <f>S44+IF(N45="已下單",M45,0)</f>
        <v/>
      </c>
      <c r="T45" s="19">
        <f>R45-S45</f>
        <v/>
      </c>
      <c r="U45" s="2">
        <f>U44+IF(N45="已下單",1,0)</f>
        <v/>
      </c>
      <c r="V45" s="19">
        <f>IF(資金模擬!$B$9=2,MAX(R45,0),MAX(V44,FLOOR(MAX(R45,0),資金模擬!$B$6)))</f>
        <v/>
      </c>
      <c r="W45" s="13">
        <f>MAX(W44,R45)</f>
        <v/>
      </c>
      <c r="X45" s="4">
        <f>IF(W45&gt;0,R45/W45-1,-1)</f>
        <v/>
      </c>
      <c r="Y45" s="19">
        <f>IF(R45&gt;0,S45*資金模擬!$B$7/R45,0)</f>
        <v/>
      </c>
      <c r="Z45" s="2">
        <f>IF(OR(Z44=1,R45&lt;=資金模擬!$B$10),1,0)</f>
        <v/>
      </c>
    </row>
    <row r="46">
      <c r="A46" s="2" t="n">
        <v>44</v>
      </c>
      <c r="B46" s="7" t="n">
        <v>46276.45833333334</v>
      </c>
      <c r="C46" s="2" t="inlineStr">
        <is>
          <t>進場</t>
        </is>
      </c>
      <c r="D46" s="2" t="n">
        <v>23</v>
      </c>
      <c r="E46" s="2" t="inlineStr">
        <is>
          <t>VVV_USDT_PERP</t>
        </is>
      </c>
      <c r="F46" s="2" t="inlineStr">
        <is>
          <t>做空</t>
        </is>
      </c>
      <c r="G46" s="20" t="n">
        <v>23.446</v>
      </c>
      <c r="H46" s="20" t="n">
        <v>22.74262</v>
      </c>
      <c r="I46" s="20" t="n">
        <v>24.6183</v>
      </c>
      <c r="J46" s="20" t="n"/>
      <c r="K46" s="2" t="n"/>
      <c r="L46" s="5" t="n"/>
      <c r="M46" s="19">
        <f>資金模擬!$B$5*V45</f>
        <v/>
      </c>
      <c r="N46" s="2">
        <f>IF(Z45=1,"已停止",IF(T45&gt;=M46,"已下單","資金不足略過"))</f>
        <v/>
      </c>
      <c r="O46" s="19">
        <f>IF(N46="已下單",M46*資金模擬!$B$7,0)</f>
        <v/>
      </c>
      <c r="P46" s="4" t="n"/>
      <c r="Q46" s="13" t="n">
        <v>0</v>
      </c>
      <c r="R46" s="13">
        <f>R45+Q46</f>
        <v/>
      </c>
      <c r="S46" s="19">
        <f>S45+IF(N46="已下單",M46,0)</f>
        <v/>
      </c>
      <c r="T46" s="19">
        <f>R46-S46</f>
        <v/>
      </c>
      <c r="U46" s="2">
        <f>U45+IF(N46="已下單",1,0)</f>
        <v/>
      </c>
      <c r="V46" s="19">
        <f>IF(資金模擬!$B$9=2,MAX(R46,0),MAX(V45,FLOOR(MAX(R46,0),資金模擬!$B$6)))</f>
        <v/>
      </c>
      <c r="W46" s="13">
        <f>MAX(W45,R46)</f>
        <v/>
      </c>
      <c r="X46" s="4">
        <f>IF(W46&gt;0,R46/W46-1,-1)</f>
        <v/>
      </c>
      <c r="Y46" s="19">
        <f>IF(R46&gt;0,S46*資金模擬!$B$7/R46,0)</f>
        <v/>
      </c>
      <c r="Z46" s="2">
        <f>IF(OR(Z45=1,R46&lt;=資金模擬!$B$10),1,0)</f>
        <v/>
      </c>
    </row>
    <row r="47">
      <c r="A47" s="2" t="n">
        <v>45</v>
      </c>
      <c r="B47" s="7" t="n">
        <v>46276.54166666666</v>
      </c>
      <c r="C47" s="2" t="inlineStr">
        <is>
          <t>出場</t>
        </is>
      </c>
      <c r="D47" s="2" t="n">
        <v>22</v>
      </c>
      <c r="E47" s="2" t="inlineStr">
        <is>
          <t>BULLA_USDT_PERP</t>
        </is>
      </c>
      <c r="F47" s="2" t="inlineStr">
        <is>
          <t>做空</t>
        </is>
      </c>
      <c r="G47" s="20" t="n">
        <v>0.07525999999999999</v>
      </c>
      <c r="H47" s="20" t="n">
        <v>0.07300219999999999</v>
      </c>
      <c r="I47" s="20" t="n">
        <v>0.079023</v>
      </c>
      <c r="J47" s="20" t="n">
        <v>0.079023</v>
      </c>
      <c r="K47" s="2" t="inlineStr">
        <is>
          <t>止損</t>
        </is>
      </c>
      <c r="L47" s="5">
        <f>交易明細!K23</f>
        <v/>
      </c>
      <c r="M47" s="19">
        <f>M45</f>
        <v/>
      </c>
      <c r="N47" s="2">
        <f>N45</f>
        <v/>
      </c>
      <c r="O47" s="19">
        <f>O45</f>
        <v/>
      </c>
      <c r="P47" s="4">
        <f>交易明細!L23</f>
        <v/>
      </c>
      <c r="Q47" s="13">
        <f>IF(N47="已下單",O47*P47,0)</f>
        <v/>
      </c>
      <c r="R47" s="13">
        <f>R46+Q47</f>
        <v/>
      </c>
      <c r="S47" s="19">
        <f>S46-IF(N47="已下單",M47,0)</f>
        <v/>
      </c>
      <c r="T47" s="19">
        <f>R47-S47</f>
        <v/>
      </c>
      <c r="U47" s="2">
        <f>U46-IF(N47="已下單",1,0)</f>
        <v/>
      </c>
      <c r="V47" s="19">
        <f>IF(資金模擬!$B$9=2,MAX(R47,0),MAX(V46,FLOOR(MAX(R47,0),資金模擬!$B$6)))</f>
        <v/>
      </c>
      <c r="W47" s="13">
        <f>MAX(W46,R47)</f>
        <v/>
      </c>
      <c r="X47" s="4">
        <f>IF(W47&gt;0,R47/W47-1,-1)</f>
        <v/>
      </c>
      <c r="Y47" s="19">
        <f>IF(R47&gt;0,S47*資金模擬!$B$7/R47,0)</f>
        <v/>
      </c>
      <c r="Z47" s="2">
        <f>IF(OR(Z46=1,R47&lt;=資金模擬!$B$10),1,0)</f>
        <v/>
      </c>
    </row>
    <row r="48">
      <c r="A48" s="2" t="n">
        <v>46</v>
      </c>
      <c r="B48" s="7" t="n">
        <v>46276.58333333334</v>
      </c>
      <c r="C48" s="2" t="inlineStr">
        <is>
          <t>出場</t>
        </is>
      </c>
      <c r="D48" s="2" t="n">
        <v>23</v>
      </c>
      <c r="E48" s="2" t="inlineStr">
        <is>
          <t>VVV_USDT_PERP</t>
        </is>
      </c>
      <c r="F48" s="2" t="inlineStr">
        <is>
          <t>做空</t>
        </is>
      </c>
      <c r="G48" s="20" t="n">
        <v>23.446</v>
      </c>
      <c r="H48" s="20" t="n">
        <v>22.74262</v>
      </c>
      <c r="I48" s="20" t="n">
        <v>24.6183</v>
      </c>
      <c r="J48" s="20" t="n">
        <v>24.6183</v>
      </c>
      <c r="K48" s="2" t="inlineStr">
        <is>
          <t>止損</t>
        </is>
      </c>
      <c r="L48" s="5">
        <f>交易明細!K24</f>
        <v/>
      </c>
      <c r="M48" s="19">
        <f>M46</f>
        <v/>
      </c>
      <c r="N48" s="2">
        <f>N46</f>
        <v/>
      </c>
      <c r="O48" s="19">
        <f>O46</f>
        <v/>
      </c>
      <c r="P48" s="4">
        <f>交易明細!L24</f>
        <v/>
      </c>
      <c r="Q48" s="13">
        <f>IF(N48="已下單",O48*P48,0)</f>
        <v/>
      </c>
      <c r="R48" s="13">
        <f>R47+Q48</f>
        <v/>
      </c>
      <c r="S48" s="19">
        <f>S47-IF(N48="已下單",M48,0)</f>
        <v/>
      </c>
      <c r="T48" s="19">
        <f>R48-S48</f>
        <v/>
      </c>
      <c r="U48" s="2">
        <f>U47-IF(N48="已下單",1,0)</f>
        <v/>
      </c>
      <c r="V48" s="19">
        <f>IF(資金模擬!$B$9=2,MAX(R48,0),MAX(V47,FLOOR(MAX(R48,0),資金模擬!$B$6)))</f>
        <v/>
      </c>
      <c r="W48" s="13">
        <f>MAX(W47,R48)</f>
        <v/>
      </c>
      <c r="X48" s="4">
        <f>IF(W48&gt;0,R48/W48-1,-1)</f>
        <v/>
      </c>
      <c r="Y48" s="19">
        <f>IF(R48&gt;0,S48*資金模擬!$B$7/R48,0)</f>
        <v/>
      </c>
      <c r="Z48" s="2">
        <f>IF(OR(Z47=1,R48&lt;=資金模擬!$B$10),1,0)</f>
        <v/>
      </c>
    </row>
    <row r="49">
      <c r="A49" s="2" t="n">
        <v>47</v>
      </c>
      <c r="B49" s="7" t="n">
        <v>46277.41666666666</v>
      </c>
      <c r="C49" s="2" t="inlineStr">
        <is>
          <t>進場</t>
        </is>
      </c>
      <c r="D49" s="2" t="n">
        <v>24</v>
      </c>
      <c r="E49" s="2" t="inlineStr">
        <is>
          <t>RAY_USDT_PERP</t>
        </is>
      </c>
      <c r="F49" s="2" t="inlineStr">
        <is>
          <t>做多</t>
        </is>
      </c>
      <c r="G49" s="20" t="n">
        <v>1.716</v>
      </c>
      <c r="H49" s="20" t="n">
        <v>1.76748</v>
      </c>
      <c r="I49" s="20" t="n">
        <v>1.6302</v>
      </c>
      <c r="J49" s="20" t="n"/>
      <c r="K49" s="2" t="n"/>
      <c r="L49" s="5" t="n"/>
      <c r="M49" s="19">
        <f>資金模擬!$B$5*V48</f>
        <v/>
      </c>
      <c r="N49" s="2">
        <f>IF(Z48=1,"已停止",IF(T48&gt;=M49,"已下單","資金不足略過"))</f>
        <v/>
      </c>
      <c r="O49" s="19">
        <f>IF(N49="已下單",M49*資金模擬!$B$7,0)</f>
        <v/>
      </c>
      <c r="P49" s="4" t="n"/>
      <c r="Q49" s="13" t="n">
        <v>0</v>
      </c>
      <c r="R49" s="13">
        <f>R48+Q49</f>
        <v/>
      </c>
      <c r="S49" s="19">
        <f>S48+IF(N49="已下單",M49,0)</f>
        <v/>
      </c>
      <c r="T49" s="19">
        <f>R49-S49</f>
        <v/>
      </c>
      <c r="U49" s="2">
        <f>U48+IF(N49="已下單",1,0)</f>
        <v/>
      </c>
      <c r="V49" s="19">
        <f>IF(資金模擬!$B$9=2,MAX(R49,0),MAX(V48,FLOOR(MAX(R49,0),資金模擬!$B$6)))</f>
        <v/>
      </c>
      <c r="W49" s="13">
        <f>MAX(W48,R49)</f>
        <v/>
      </c>
      <c r="X49" s="4">
        <f>IF(W49&gt;0,R49/W49-1,-1)</f>
        <v/>
      </c>
      <c r="Y49" s="19">
        <f>IF(R49&gt;0,S49*資金模擬!$B$7/R49,0)</f>
        <v/>
      </c>
      <c r="Z49" s="2">
        <f>IF(OR(Z48=1,R49&lt;=資金模擬!$B$10),1,0)</f>
        <v/>
      </c>
    </row>
    <row r="50">
      <c r="A50" s="2" t="n">
        <v>48</v>
      </c>
      <c r="B50" s="7" t="n">
        <v>46277.5</v>
      </c>
      <c r="C50" s="2" t="inlineStr">
        <is>
          <t>出場</t>
        </is>
      </c>
      <c r="D50" s="2" t="n">
        <v>24</v>
      </c>
      <c r="E50" s="2" t="inlineStr">
        <is>
          <t>RAY_USDT_PERP</t>
        </is>
      </c>
      <c r="F50" s="2" t="inlineStr">
        <is>
          <t>做多</t>
        </is>
      </c>
      <c r="G50" s="20" t="n">
        <v>1.716</v>
      </c>
      <c r="H50" s="20" t="n">
        <v>1.76748</v>
      </c>
      <c r="I50" s="20" t="n">
        <v>1.6302</v>
      </c>
      <c r="J50" s="20" t="n">
        <v>1.6302</v>
      </c>
      <c r="K50" s="2" t="inlineStr">
        <is>
          <t>止損</t>
        </is>
      </c>
      <c r="L50" s="5">
        <f>交易明細!K25</f>
        <v/>
      </c>
      <c r="M50" s="19">
        <f>M49</f>
        <v/>
      </c>
      <c r="N50" s="2">
        <f>N49</f>
        <v/>
      </c>
      <c r="O50" s="19">
        <f>O49</f>
        <v/>
      </c>
      <c r="P50" s="4">
        <f>交易明細!L25</f>
        <v/>
      </c>
      <c r="Q50" s="13">
        <f>IF(N50="已下單",O50*P50,0)</f>
        <v/>
      </c>
      <c r="R50" s="13">
        <f>R49+Q50</f>
        <v/>
      </c>
      <c r="S50" s="19">
        <f>S49-IF(N50="已下單",M50,0)</f>
        <v/>
      </c>
      <c r="T50" s="19">
        <f>R50-S50</f>
        <v/>
      </c>
      <c r="U50" s="2">
        <f>U49-IF(N50="已下單",1,0)</f>
        <v/>
      </c>
      <c r="V50" s="19">
        <f>IF(資金模擬!$B$9=2,MAX(R50,0),MAX(V49,FLOOR(MAX(R50,0),資金模擬!$B$6)))</f>
        <v/>
      </c>
      <c r="W50" s="13">
        <f>MAX(W49,R50)</f>
        <v/>
      </c>
      <c r="X50" s="4">
        <f>IF(W50&gt;0,R50/W50-1,-1)</f>
        <v/>
      </c>
      <c r="Y50" s="19">
        <f>IF(R50&gt;0,S50*資金模擬!$B$7/R50,0)</f>
        <v/>
      </c>
      <c r="Z50" s="2">
        <f>IF(OR(Z49=1,R50&lt;=資金模擬!$B$10),1,0)</f>
        <v/>
      </c>
    </row>
    <row r="51">
      <c r="A51" s="2" t="n">
        <v>49</v>
      </c>
      <c r="B51" s="7" t="n">
        <v>46277.625</v>
      </c>
      <c r="C51" s="2" t="inlineStr">
        <is>
          <t>進場</t>
        </is>
      </c>
      <c r="D51" s="2" t="n">
        <v>25</v>
      </c>
      <c r="E51" s="2" t="inlineStr">
        <is>
          <t>UAI_USDT_PERP</t>
        </is>
      </c>
      <c r="F51" s="2" t="inlineStr">
        <is>
          <t>做多</t>
        </is>
      </c>
      <c r="G51" s="20" t="n">
        <v>0.6982</v>
      </c>
      <c r="H51" s="20" t="n">
        <v>0.7191460000000001</v>
      </c>
      <c r="I51" s="20" t="n">
        <v>0.66329</v>
      </c>
      <c r="J51" s="20" t="n"/>
      <c r="K51" s="2" t="n"/>
      <c r="L51" s="5" t="n"/>
      <c r="M51" s="19">
        <f>資金模擬!$B$5*V50</f>
        <v/>
      </c>
      <c r="N51" s="2">
        <f>IF(Z50=1,"已停止",IF(T50&gt;=M51,"已下單","資金不足略過"))</f>
        <v/>
      </c>
      <c r="O51" s="19">
        <f>IF(N51="已下單",M51*資金模擬!$B$7,0)</f>
        <v/>
      </c>
      <c r="P51" s="4" t="n"/>
      <c r="Q51" s="13" t="n">
        <v>0</v>
      </c>
      <c r="R51" s="13">
        <f>R50+Q51</f>
        <v/>
      </c>
      <c r="S51" s="19">
        <f>S50+IF(N51="已下單",M51,0)</f>
        <v/>
      </c>
      <c r="T51" s="19">
        <f>R51-S51</f>
        <v/>
      </c>
      <c r="U51" s="2">
        <f>U50+IF(N51="已下單",1,0)</f>
        <v/>
      </c>
      <c r="V51" s="19">
        <f>IF(資金模擬!$B$9=2,MAX(R51,0),MAX(V50,FLOOR(MAX(R51,0),資金模擬!$B$6)))</f>
        <v/>
      </c>
      <c r="W51" s="13">
        <f>MAX(W50,R51)</f>
        <v/>
      </c>
      <c r="X51" s="4">
        <f>IF(W51&gt;0,R51/W51-1,-1)</f>
        <v/>
      </c>
      <c r="Y51" s="19">
        <f>IF(R51&gt;0,S51*資金模擬!$B$7/R51,0)</f>
        <v/>
      </c>
      <c r="Z51" s="2">
        <f>IF(OR(Z50=1,R51&lt;=資金模擬!$B$10),1,0)</f>
        <v/>
      </c>
    </row>
    <row r="52">
      <c r="A52" s="2" t="n">
        <v>50</v>
      </c>
      <c r="B52" s="7" t="n">
        <v>46277.66666666666</v>
      </c>
      <c r="C52" s="2" t="inlineStr">
        <is>
          <t>出場</t>
        </is>
      </c>
      <c r="D52" s="2" t="n">
        <v>25</v>
      </c>
      <c r="E52" s="2" t="inlineStr">
        <is>
          <t>UAI_USDT_PERP</t>
        </is>
      </c>
      <c r="F52" s="2" t="inlineStr">
        <is>
          <t>做多</t>
        </is>
      </c>
      <c r="G52" s="20" t="n">
        <v>0.6982</v>
      </c>
      <c r="H52" s="20" t="n">
        <v>0.7191460000000001</v>
      </c>
      <c r="I52" s="20" t="n">
        <v>0.66329</v>
      </c>
      <c r="J52" s="20" t="n">
        <v>0.7191460000000001</v>
      </c>
      <c r="K52" s="2" t="inlineStr">
        <is>
          <t>止盈</t>
        </is>
      </c>
      <c r="L52" s="5">
        <f>交易明細!K26</f>
        <v/>
      </c>
      <c r="M52" s="19">
        <f>M51</f>
        <v/>
      </c>
      <c r="N52" s="2">
        <f>N51</f>
        <v/>
      </c>
      <c r="O52" s="19">
        <f>O51</f>
        <v/>
      </c>
      <c r="P52" s="4">
        <f>交易明細!L26</f>
        <v/>
      </c>
      <c r="Q52" s="13">
        <f>IF(N52="已下單",O52*P52,0)</f>
        <v/>
      </c>
      <c r="R52" s="13">
        <f>R51+Q52</f>
        <v/>
      </c>
      <c r="S52" s="19">
        <f>S51-IF(N52="已下單",M52,0)</f>
        <v/>
      </c>
      <c r="T52" s="19">
        <f>R52-S52</f>
        <v/>
      </c>
      <c r="U52" s="2">
        <f>U51-IF(N52="已下單",1,0)</f>
        <v/>
      </c>
      <c r="V52" s="19">
        <f>IF(資金模擬!$B$9=2,MAX(R52,0),MAX(V51,FLOOR(MAX(R52,0),資金模擬!$B$6)))</f>
        <v/>
      </c>
      <c r="W52" s="13">
        <f>MAX(W51,R52)</f>
        <v/>
      </c>
      <c r="X52" s="4">
        <f>IF(W52&gt;0,R52/W52-1,-1)</f>
        <v/>
      </c>
      <c r="Y52" s="19">
        <f>IF(R52&gt;0,S52*資金模擬!$B$7/R52,0)</f>
        <v/>
      </c>
      <c r="Z52" s="2">
        <f>IF(OR(Z51=1,R52&lt;=資金模擬!$B$10),1,0)</f>
        <v/>
      </c>
    </row>
    <row r="53">
      <c r="A53" s="2" t="n">
        <v>51</v>
      </c>
      <c r="B53" s="7" t="n">
        <v>46278.08333333334</v>
      </c>
      <c r="C53" s="2" t="inlineStr">
        <is>
          <t>進場</t>
        </is>
      </c>
      <c r="D53" s="2" t="n">
        <v>26</v>
      </c>
      <c r="E53" s="2" t="inlineStr">
        <is>
          <t>RIVER_USDT_PERP</t>
        </is>
      </c>
      <c r="F53" s="2" t="inlineStr">
        <is>
          <t>做多</t>
        </is>
      </c>
      <c r="G53" s="20" t="n">
        <v>1.412</v>
      </c>
      <c r="H53" s="20" t="n">
        <v>1.45436</v>
      </c>
      <c r="I53" s="20" t="n">
        <v>1.3414</v>
      </c>
      <c r="J53" s="20" t="n"/>
      <c r="K53" s="2" t="n"/>
      <c r="L53" s="5" t="n"/>
      <c r="M53" s="19">
        <f>資金模擬!$B$5*V52</f>
        <v/>
      </c>
      <c r="N53" s="2">
        <f>IF(Z52=1,"已停止",IF(T52&gt;=M53,"已下單","資金不足略過"))</f>
        <v/>
      </c>
      <c r="O53" s="19">
        <f>IF(N53="已下單",M53*資金模擬!$B$7,0)</f>
        <v/>
      </c>
      <c r="P53" s="4" t="n"/>
      <c r="Q53" s="13" t="n">
        <v>0</v>
      </c>
      <c r="R53" s="13">
        <f>R52+Q53</f>
        <v/>
      </c>
      <c r="S53" s="19">
        <f>S52+IF(N53="已下單",M53,0)</f>
        <v/>
      </c>
      <c r="T53" s="19">
        <f>R53-S53</f>
        <v/>
      </c>
      <c r="U53" s="2">
        <f>U52+IF(N53="已下單",1,0)</f>
        <v/>
      </c>
      <c r="V53" s="19">
        <f>IF(資金模擬!$B$9=2,MAX(R53,0),MAX(V52,FLOOR(MAX(R53,0),資金模擬!$B$6)))</f>
        <v/>
      </c>
      <c r="W53" s="13">
        <f>MAX(W52,R53)</f>
        <v/>
      </c>
      <c r="X53" s="4">
        <f>IF(W53&gt;0,R53/W53-1,-1)</f>
        <v/>
      </c>
      <c r="Y53" s="19">
        <f>IF(R53&gt;0,S53*資金模擬!$B$7/R53,0)</f>
        <v/>
      </c>
      <c r="Z53" s="2">
        <f>IF(OR(Z52=1,R53&lt;=資金模擬!$B$10),1,0)</f>
        <v/>
      </c>
    </row>
    <row r="54">
      <c r="A54" s="2" t="n">
        <v>52</v>
      </c>
      <c r="B54" s="7" t="n">
        <v>46278.125</v>
      </c>
      <c r="C54" s="2" t="inlineStr">
        <is>
          <t>出場</t>
        </is>
      </c>
      <c r="D54" s="2" t="n">
        <v>26</v>
      </c>
      <c r="E54" s="2" t="inlineStr">
        <is>
          <t>RIVER_USDT_PERP</t>
        </is>
      </c>
      <c r="F54" s="2" t="inlineStr">
        <is>
          <t>做多</t>
        </is>
      </c>
      <c r="G54" s="20" t="n">
        <v>1.412</v>
      </c>
      <c r="H54" s="20" t="n">
        <v>1.45436</v>
      </c>
      <c r="I54" s="20" t="n">
        <v>1.3414</v>
      </c>
      <c r="J54" s="20" t="n">
        <v>1.45436</v>
      </c>
      <c r="K54" s="2" t="inlineStr">
        <is>
          <t>止盈</t>
        </is>
      </c>
      <c r="L54" s="5">
        <f>交易明細!K27</f>
        <v/>
      </c>
      <c r="M54" s="19">
        <f>M53</f>
        <v/>
      </c>
      <c r="N54" s="2">
        <f>N53</f>
        <v/>
      </c>
      <c r="O54" s="19">
        <f>O53</f>
        <v/>
      </c>
      <c r="P54" s="4">
        <f>交易明細!L27</f>
        <v/>
      </c>
      <c r="Q54" s="13">
        <f>IF(N54="已下單",O54*P54,0)</f>
        <v/>
      </c>
      <c r="R54" s="13">
        <f>R53+Q54</f>
        <v/>
      </c>
      <c r="S54" s="19">
        <f>S53-IF(N54="已下單",M54,0)</f>
        <v/>
      </c>
      <c r="T54" s="19">
        <f>R54-S54</f>
        <v/>
      </c>
      <c r="U54" s="2">
        <f>U53-IF(N54="已下單",1,0)</f>
        <v/>
      </c>
      <c r="V54" s="19">
        <f>IF(資金模擬!$B$9=2,MAX(R54,0),MAX(V53,FLOOR(MAX(R54,0),資金模擬!$B$6)))</f>
        <v/>
      </c>
      <c r="W54" s="13">
        <f>MAX(W53,R54)</f>
        <v/>
      </c>
      <c r="X54" s="4">
        <f>IF(W54&gt;0,R54/W54-1,-1)</f>
        <v/>
      </c>
      <c r="Y54" s="19">
        <f>IF(R54&gt;0,S54*資金模擬!$B$7/R54,0)</f>
        <v/>
      </c>
      <c r="Z54" s="2">
        <f>IF(OR(Z53=1,R54&lt;=資金模擬!$B$10),1,0)</f>
        <v/>
      </c>
    </row>
    <row r="55">
      <c r="A55" s="2" t="n">
        <v>53</v>
      </c>
      <c r="B55" s="7" t="n">
        <v>46278.5</v>
      </c>
      <c r="C55" s="2" t="inlineStr">
        <is>
          <t>進場</t>
        </is>
      </c>
      <c r="D55" s="2" t="n">
        <v>27</v>
      </c>
      <c r="E55" s="2" t="inlineStr">
        <is>
          <t>RIVER_USDT_PERP</t>
        </is>
      </c>
      <c r="F55" s="2" t="inlineStr">
        <is>
          <t>做空</t>
        </is>
      </c>
      <c r="G55" s="20" t="n">
        <v>1.261</v>
      </c>
      <c r="H55" s="20" t="n">
        <v>1.22317</v>
      </c>
      <c r="I55" s="20" t="n">
        <v>1.32405</v>
      </c>
      <c r="J55" s="20" t="n"/>
      <c r="K55" s="2" t="n"/>
      <c r="L55" s="5" t="n"/>
      <c r="M55" s="19">
        <f>資金模擬!$B$5*V54</f>
        <v/>
      </c>
      <c r="N55" s="2">
        <f>IF(Z54=1,"已停止",IF(T54&gt;=M55,"已下單","資金不足略過"))</f>
        <v/>
      </c>
      <c r="O55" s="19">
        <f>IF(N55="已下單",M55*資金模擬!$B$7,0)</f>
        <v/>
      </c>
      <c r="P55" s="4" t="n"/>
      <c r="Q55" s="13" t="n">
        <v>0</v>
      </c>
      <c r="R55" s="13">
        <f>R54+Q55</f>
        <v/>
      </c>
      <c r="S55" s="19">
        <f>S54+IF(N55="已下單",M55,0)</f>
        <v/>
      </c>
      <c r="T55" s="19">
        <f>R55-S55</f>
        <v/>
      </c>
      <c r="U55" s="2">
        <f>U54+IF(N55="已下單",1,0)</f>
        <v/>
      </c>
      <c r="V55" s="19">
        <f>IF(資金模擬!$B$9=2,MAX(R55,0),MAX(V54,FLOOR(MAX(R55,0),資金模擬!$B$6)))</f>
        <v/>
      </c>
      <c r="W55" s="13">
        <f>MAX(W54,R55)</f>
        <v/>
      </c>
      <c r="X55" s="4">
        <f>IF(W55&gt;0,R55/W55-1,-1)</f>
        <v/>
      </c>
      <c r="Y55" s="19">
        <f>IF(R55&gt;0,S55*資金模擬!$B$7/R55,0)</f>
        <v/>
      </c>
      <c r="Z55" s="2">
        <f>IF(OR(Z54=1,R55&lt;=資金模擬!$B$10),1,0)</f>
        <v/>
      </c>
    </row>
    <row r="56">
      <c r="A56" s="2" t="n">
        <v>54</v>
      </c>
      <c r="B56" s="7" t="n">
        <v>46278.70833333334</v>
      </c>
      <c r="C56" s="2" t="inlineStr">
        <is>
          <t>出場</t>
        </is>
      </c>
      <c r="D56" s="2" t="n">
        <v>27</v>
      </c>
      <c r="E56" s="2" t="inlineStr">
        <is>
          <t>RIVER_USDT_PERP</t>
        </is>
      </c>
      <c r="F56" s="2" t="inlineStr">
        <is>
          <t>做空</t>
        </is>
      </c>
      <c r="G56" s="20" t="n">
        <v>1.261</v>
      </c>
      <c r="H56" s="20" t="n">
        <v>1.22317</v>
      </c>
      <c r="I56" s="20" t="n">
        <v>1.32405</v>
      </c>
      <c r="J56" s="20" t="n">
        <v>1.22317</v>
      </c>
      <c r="K56" s="2" t="inlineStr">
        <is>
          <t>止盈</t>
        </is>
      </c>
      <c r="L56" s="5">
        <f>交易明細!K28</f>
        <v/>
      </c>
      <c r="M56" s="19">
        <f>M55</f>
        <v/>
      </c>
      <c r="N56" s="2">
        <f>N55</f>
        <v/>
      </c>
      <c r="O56" s="19">
        <f>O55</f>
        <v/>
      </c>
      <c r="P56" s="4">
        <f>交易明細!L28</f>
        <v/>
      </c>
      <c r="Q56" s="13">
        <f>IF(N56="已下單",O56*P56,0)</f>
        <v/>
      </c>
      <c r="R56" s="13">
        <f>R55+Q56</f>
        <v/>
      </c>
      <c r="S56" s="19">
        <f>S55-IF(N56="已下單",M56,0)</f>
        <v/>
      </c>
      <c r="T56" s="19">
        <f>R56-S56</f>
        <v/>
      </c>
      <c r="U56" s="2">
        <f>U55-IF(N56="已下單",1,0)</f>
        <v/>
      </c>
      <c r="V56" s="19">
        <f>IF(資金模擬!$B$9=2,MAX(R56,0),MAX(V55,FLOOR(MAX(R56,0),資金模擬!$B$6)))</f>
        <v/>
      </c>
      <c r="W56" s="13">
        <f>MAX(W55,R56)</f>
        <v/>
      </c>
      <c r="X56" s="4">
        <f>IF(W56&gt;0,R56/W56-1,-1)</f>
        <v/>
      </c>
      <c r="Y56" s="19">
        <f>IF(R56&gt;0,S56*資金模擬!$B$7/R56,0)</f>
        <v/>
      </c>
      <c r="Z56" s="2">
        <f>IF(OR(Z55=1,R56&lt;=資金模擬!$B$10),1,0)</f>
        <v/>
      </c>
    </row>
    <row r="57">
      <c r="A57" s="2" t="n">
        <v>55</v>
      </c>
      <c r="B57" s="7" t="n">
        <v>46278.95833333334</v>
      </c>
      <c r="C57" s="2" t="inlineStr">
        <is>
          <t>進場</t>
        </is>
      </c>
      <c r="D57" s="2" t="n">
        <v>28</v>
      </c>
      <c r="E57" s="2" t="inlineStr">
        <is>
          <t>LAB_USDT_PERP</t>
        </is>
      </c>
      <c r="F57" s="2" t="inlineStr">
        <is>
          <t>做多</t>
        </is>
      </c>
      <c r="G57" s="20" t="n">
        <v>0.06897</v>
      </c>
      <c r="H57" s="20" t="n">
        <v>0.07103910000000001</v>
      </c>
      <c r="I57" s="20" t="n">
        <v>0.0655215</v>
      </c>
      <c r="J57" s="20" t="n"/>
      <c r="K57" s="2" t="n"/>
      <c r="L57" s="5" t="n"/>
      <c r="M57" s="19">
        <f>資金模擬!$B$5*V56</f>
        <v/>
      </c>
      <c r="N57" s="2">
        <f>IF(Z56=1,"已停止",IF(T56&gt;=M57,"已下單","資金不足略過"))</f>
        <v/>
      </c>
      <c r="O57" s="19">
        <f>IF(N57="已下單",M57*資金模擬!$B$7,0)</f>
        <v/>
      </c>
      <c r="P57" s="4" t="n"/>
      <c r="Q57" s="13" t="n">
        <v>0</v>
      </c>
      <c r="R57" s="13">
        <f>R56+Q57</f>
        <v/>
      </c>
      <c r="S57" s="19">
        <f>S56+IF(N57="已下單",M57,0)</f>
        <v/>
      </c>
      <c r="T57" s="19">
        <f>R57-S57</f>
        <v/>
      </c>
      <c r="U57" s="2">
        <f>U56+IF(N57="已下單",1,0)</f>
        <v/>
      </c>
      <c r="V57" s="19">
        <f>IF(資金模擬!$B$9=2,MAX(R57,0),MAX(V56,FLOOR(MAX(R57,0),資金模擬!$B$6)))</f>
        <v/>
      </c>
      <c r="W57" s="13">
        <f>MAX(W56,R57)</f>
        <v/>
      </c>
      <c r="X57" s="4">
        <f>IF(W57&gt;0,R57/W57-1,-1)</f>
        <v/>
      </c>
      <c r="Y57" s="19">
        <f>IF(R57&gt;0,S57*資金模擬!$B$7/R57,0)</f>
        <v/>
      </c>
      <c r="Z57" s="2">
        <f>IF(OR(Z56=1,R57&lt;=資金模擬!$B$10),1,0)</f>
        <v/>
      </c>
    </row>
    <row r="58">
      <c r="A58" s="2" t="n">
        <v>56</v>
      </c>
      <c r="B58" s="7" t="n">
        <v>46279</v>
      </c>
      <c r="C58" s="2" t="inlineStr">
        <is>
          <t>出場</t>
        </is>
      </c>
      <c r="D58" s="2" t="n">
        <v>28</v>
      </c>
      <c r="E58" s="2" t="inlineStr">
        <is>
          <t>LAB_USDT_PERP</t>
        </is>
      </c>
      <c r="F58" s="2" t="inlineStr">
        <is>
          <t>做多</t>
        </is>
      </c>
      <c r="G58" s="20" t="n">
        <v>0.06897</v>
      </c>
      <c r="H58" s="20" t="n">
        <v>0.07103910000000001</v>
      </c>
      <c r="I58" s="20" t="n">
        <v>0.0655215</v>
      </c>
      <c r="J58" s="20" t="n">
        <v>0.07103910000000001</v>
      </c>
      <c r="K58" s="2" t="inlineStr">
        <is>
          <t>止盈</t>
        </is>
      </c>
      <c r="L58" s="5">
        <f>交易明細!K29</f>
        <v/>
      </c>
      <c r="M58" s="19">
        <f>M57</f>
        <v/>
      </c>
      <c r="N58" s="2">
        <f>N57</f>
        <v/>
      </c>
      <c r="O58" s="19">
        <f>O57</f>
        <v/>
      </c>
      <c r="P58" s="4">
        <f>交易明細!L29</f>
        <v/>
      </c>
      <c r="Q58" s="13">
        <f>IF(N58="已下單",O58*P58,0)</f>
        <v/>
      </c>
      <c r="R58" s="13">
        <f>R57+Q58</f>
        <v/>
      </c>
      <c r="S58" s="19">
        <f>S57-IF(N58="已下單",M58,0)</f>
        <v/>
      </c>
      <c r="T58" s="19">
        <f>R58-S58</f>
        <v/>
      </c>
      <c r="U58" s="2">
        <f>U57-IF(N58="已下單",1,0)</f>
        <v/>
      </c>
      <c r="V58" s="19">
        <f>IF(資金模擬!$B$9=2,MAX(R58,0),MAX(V57,FLOOR(MAX(R58,0),資金模擬!$B$6)))</f>
        <v/>
      </c>
      <c r="W58" s="13">
        <f>MAX(W57,R58)</f>
        <v/>
      </c>
      <c r="X58" s="4">
        <f>IF(W58&gt;0,R58/W58-1,-1)</f>
        <v/>
      </c>
      <c r="Y58" s="19">
        <f>IF(R58&gt;0,S58*資金模擬!$B$7/R58,0)</f>
        <v/>
      </c>
      <c r="Z58" s="2">
        <f>IF(OR(Z57=1,R58&lt;=資金模擬!$B$10),1,0)</f>
        <v/>
      </c>
    </row>
  </sheetData>
  <autoFilter ref="A1:Z58"/>
  <conditionalFormatting sqref="K2:K58">
    <cfRule type="cellIs" priority="1" operator="equal" dxfId="0">
      <formula>"止盈"</formula>
    </cfRule>
    <cfRule type="cellIs" priority="2" operator="equal" dxfId="1">
      <formula>"止損"</formula>
    </cfRule>
  </conditionalFormatting>
  <conditionalFormatting sqref="N2:N58">
    <cfRule type="cellIs" priority="3" operator="equal" dxfId="2">
      <formula>"資金不足略過"</formula>
    </cfRule>
    <cfRule type="cellIs" priority="4" operator="equal" dxfId="3">
      <formula>"已停止"</formula>
    </cfRule>
  </conditionalFormatting>
  <conditionalFormatting sqref="Q2:Q58">
    <cfRule type="cellIs" priority="5" operator="lessThan" dxfId="4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50" customWidth="1" min="3" max="3"/>
  </cols>
  <sheetData>
    <row r="1">
      <c r="A1" s="3" t="inlineStr">
        <is>
          <t>項目</t>
        </is>
      </c>
      <c r="B1" s="3" t="inlineStr">
        <is>
          <t>數值</t>
        </is>
      </c>
      <c r="C1" s="3" t="inlineStr">
        <is>
          <t>說明</t>
        </is>
      </c>
    </row>
    <row r="2">
      <c r="A2" s="2" t="inlineStr">
        <is>
          <t>市場</t>
        </is>
      </c>
      <c r="B2" s="2" t="inlineStr">
        <is>
          <t>PERP</t>
        </is>
      </c>
      <c r="C2" s="2" t="inlineStr">
        <is>
          <t>PERP=永續合約 / SPOT=現貨</t>
        </is>
      </c>
    </row>
    <row r="3">
      <c r="A3" s="2" t="inlineStr">
        <is>
          <t>回測區間</t>
        </is>
      </c>
      <c r="B3" s="2" t="inlineStr">
        <is>
          <t>2026-09-01 00:00 ~ 2026-09-14 14:23（Dry Run）</t>
        </is>
      </c>
      <c r="C3" s="2" t="inlineStr">
        <is>
          <t>台北時間</t>
        </is>
      </c>
    </row>
    <row r="4">
      <c r="A4" s="2" t="inlineStr">
        <is>
          <t>K棒週期</t>
        </is>
      </c>
      <c r="B4" s="2" t="inlineStr">
        <is>
          <t>1小時</t>
        </is>
      </c>
      <c r="C4" s="2" t="inlineStr">
        <is>
          <t>訊號於K棒收盤判斷、以收盤價進場</t>
        </is>
      </c>
    </row>
    <row r="5">
      <c r="A5" s="2" t="inlineStr">
        <is>
          <t>止盈</t>
        </is>
      </c>
      <c r="B5" s="14" t="n">
        <v>0.03</v>
      </c>
      <c r="C5" s="2" t="inlineStr">
        <is>
          <t>同方向</t>
        </is>
      </c>
    </row>
    <row r="6">
      <c r="A6" s="2" t="inlineStr">
        <is>
          <t>止損</t>
        </is>
      </c>
      <c r="B6" s="14" t="n">
        <v>0.05</v>
      </c>
      <c r="C6" s="2" t="inlineStr">
        <is>
          <t>反方向</t>
        </is>
      </c>
    </row>
    <row r="7">
      <c r="A7" s="2" t="inlineStr">
        <is>
          <t>單邊手續費</t>
        </is>
      </c>
      <c r="B7" s="21" t="n">
        <v>0.0005</v>
      </c>
      <c r="C7" s="2" t="inlineStr">
        <is>
          <t>進場、出場各扣一次（可直接改此格，報酬率會重算）</t>
        </is>
      </c>
    </row>
    <row r="8">
      <c r="A8" s="2" t="inlineStr">
        <is>
          <t>流動性門檻 (USDT)</t>
        </is>
      </c>
      <c r="B8" s="22" t="n">
        <v>50000</v>
      </c>
      <c r="C8" s="2" t="inlineStr">
        <is>
          <t>近24h平均每小時成交額</t>
        </is>
      </c>
    </row>
    <row r="9">
      <c r="A9" s="2" t="inlineStr">
        <is>
          <t>動能門檻</t>
        </is>
      </c>
      <c r="B9" s="4" t="n">
        <v>0.02</v>
      </c>
      <c r="C9" s="2" t="inlineStr">
        <is>
          <t>收盤 vs 1小時前收盤</t>
        </is>
      </c>
    </row>
    <row r="10">
      <c r="A10" s="2" t="inlineStr">
        <is>
          <t>ATR 門檻</t>
        </is>
      </c>
      <c r="B10" s="4" t="n">
        <v>0.04</v>
      </c>
      <c r="C10" s="2" t="inlineStr">
        <is>
          <t>ATR(14) ÷ 收盤，上限 5.0%</t>
        </is>
      </c>
    </row>
    <row r="11">
      <c r="A11" s="2" t="inlineStr">
        <is>
          <t>均線</t>
        </is>
      </c>
      <c r="B11" s="2" t="inlineStr">
        <is>
          <t>MA20</t>
        </is>
      </c>
      <c r="C11" s="2" t="inlineStr">
        <is>
          <t>做多站上 / 做空跌破</t>
        </is>
      </c>
    </row>
    <row r="12">
      <c r="A12" s="2" t="inlineStr">
        <is>
          <t>OBV 比較</t>
        </is>
      </c>
      <c r="B12" s="2" t="inlineStr">
        <is>
          <t>20小時前</t>
        </is>
      </c>
      <c r="C12" s="2" t="inlineStr">
        <is>
          <t>做多 OBV 上升 / 做空 OBV 下降</t>
        </is>
      </c>
    </row>
    <row r="13">
      <c r="A13" s="2" t="inlineStr">
        <is>
          <t>價格上限</t>
        </is>
      </c>
      <c r="B13" s="2" t="inlineStr">
        <is>
          <t>不限</t>
        </is>
      </c>
      <c r="C13" s="2" t="inlineStr">
        <is>
          <t>訊號當下收盤價須低於此值</t>
        </is>
      </c>
    </row>
    <row r="14">
      <c r="A14" s="2" t="inlineStr">
        <is>
          <t>時間停損</t>
        </is>
      </c>
      <c r="B14" s="2" t="inlineStr">
        <is>
          <t>無</t>
        </is>
      </c>
      <c r="C14" s="2" t="inlineStr">
        <is>
          <t>小時</t>
        </is>
      </c>
    </row>
    <row r="15">
      <c r="A15" s="2" t="inlineStr">
        <is>
          <t>同K棒雙觸發</t>
        </is>
      </c>
      <c r="B15" s="2" t="inlineStr">
        <is>
          <t>1M/5M/15M 依序判斷</t>
        </is>
      </c>
      <c r="C15" s="2" t="inlineStr"/>
    </row>
    <row r="16">
      <c r="A16" s="2" t="inlineStr">
        <is>
          <t>盈虧平衡勝率</t>
        </is>
      </c>
      <c r="B16" s="4">
        <f>IFERROR(AVERAGE(交易明細!$AC$2:$AC$29),(B6+2*B7)/(B5+B6))</f>
        <v/>
      </c>
      <c r="C16" s="2" t="inlineStr">
        <is>
          <t>含手續費，各筆平均；勝率低於此值 = 長期虧損</t>
        </is>
      </c>
    </row>
    <row r="17">
      <c r="A17" s="2" t="inlineStr">
        <is>
          <t>MA20乖離上限</t>
        </is>
      </c>
      <c r="B17" s="4" t="n">
        <v>0.06</v>
      </c>
      <c r="C17" s="2" t="inlineStr">
        <is>
          <t>超過不進場</t>
        </is>
      </c>
    </row>
    <row r="18">
      <c r="A18" s="2" t="inlineStr">
        <is>
          <t>1h漲跌幅上限</t>
        </is>
      </c>
      <c r="B18" s="4" t="n">
        <v>0.1</v>
      </c>
      <c r="C18" s="2" t="inlineStr">
        <is>
          <t>超過不進場</t>
        </is>
      </c>
    </row>
    <row r="19">
      <c r="A19" s="2" t="inlineStr">
        <is>
          <t>出場後冷卻</t>
        </is>
      </c>
      <c r="B19" s="2" t="n">
        <v>1</v>
      </c>
      <c r="C19" s="2" t="inlineStr">
        <is>
          <t>K棒數</t>
        </is>
      </c>
    </row>
    <row r="20">
      <c r="A20" s="2" t="inlineStr">
        <is>
          <t>量比下限</t>
        </is>
      </c>
      <c r="B20" s="2" t="n">
        <v>0.35</v>
      </c>
      <c r="C20" s="2" t="inlineStr">
        <is>
          <t>訊號K量 ÷ 前20根均量</t>
        </is>
      </c>
    </row>
    <row r="21">
      <c r="A21" s="2" t="inlineStr">
        <is>
          <t>收盤強度下限</t>
        </is>
      </c>
      <c r="B21" s="2" t="inlineStr">
        <is>
          <t>不限</t>
        </is>
      </c>
      <c r="C21" s="2" t="inlineStr">
        <is>
          <t>1=收在順勢端極值</t>
        </is>
      </c>
    </row>
    <row r="22">
      <c r="A22" s="2" t="inlineStr">
        <is>
          <t>長週期趨勢過濾</t>
        </is>
      </c>
      <c r="B22" s="2" t="inlineStr">
        <is>
          <t>關閉</t>
        </is>
      </c>
      <c r="C22" s="2" t="inlineStr">
        <is>
          <t>1h K棒</t>
        </is>
      </c>
    </row>
    <row r="23">
      <c r="A23" s="2" t="inlineStr">
        <is>
          <t>BTC 趨勢過濾</t>
        </is>
      </c>
      <c r="B23" s="2" t="inlineStr">
        <is>
          <t>關閉</t>
        </is>
      </c>
      <c r="C23" s="2" t="inlineStr">
        <is>
          <t>BTC 收盤 vs 自身 MA20</t>
        </is>
      </c>
    </row>
    <row r="24">
      <c r="A24" s="2" t="inlineStr">
        <is>
          <t>24h盤整排除</t>
        </is>
      </c>
      <c r="B24" s="2" t="inlineStr">
        <is>
          <t>關閉</t>
        </is>
      </c>
      <c r="C24" s="2" t="inlineStr">
        <is>
          <t>|24h漲跌| 低於此值不進場</t>
        </is>
      </c>
    </row>
    <row r="25">
      <c r="A25" s="2" t="inlineStr">
        <is>
          <t>BTC同向乖離上限</t>
        </is>
      </c>
      <c r="B25" s="2" t="inlineStr">
        <is>
          <t>關閉</t>
        </is>
      </c>
      <c r="C25" s="2" t="inlineStr">
        <is>
          <t>BTC 已同向偏離MA20超過此值不進場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7" customWidth="1" min="3" max="3"/>
    <col width="17" customWidth="1" min="4" max="4"/>
    <col width="13" customWidth="1" min="5" max="5"/>
    <col width="13" customWidth="1" min="6" max="6"/>
    <col width="13" customWidth="1" min="7" max="7"/>
    <col width="17" customWidth="1" min="8" max="8"/>
    <col width="13" customWidth="1" min="9" max="9"/>
    <col width="9" customWidth="1" min="10" max="10"/>
    <col width="9" customWidth="1" min="11" max="11"/>
    <col width="11" customWidth="1" min="12" max="12"/>
    <col width="30" customWidth="1" min="13" max="13"/>
    <col width="10" customWidth="1" min="14" max="14"/>
    <col width="9" customWidth="1" min="15" max="15"/>
    <col width="11" customWidth="1" min="16" max="16"/>
    <col width="16" customWidth="1" min="17" max="17"/>
    <col width="16" customWidth="1" min="18" max="18"/>
    <col width="12" customWidth="1" min="19" max="19"/>
    <col width="12" customWidth="1" min="20" max="20"/>
    <col width="8" customWidth="1" min="21" max="21"/>
    <col width="9" customWidth="1" min="22" max="22"/>
    <col width="14" customWidth="1" min="23" max="23"/>
    <col width="12" customWidth="1" min="24" max="24"/>
    <col width="14" customWidth="1" min="25" max="25"/>
    <col width="15" customWidth="1" min="26" max="26"/>
    <col width="8" customWidth="1" min="27" max="27"/>
    <col width="8" customWidth="1" min="28" max="28"/>
    <col width="12" customWidth="1" min="29" max="29"/>
  </cols>
  <sheetData>
    <row r="1">
      <c r="A1" s="3" t="inlineStr">
        <is>
          <t>編號</t>
        </is>
      </c>
      <c r="B1" s="3" t="inlineStr">
        <is>
          <t>交易對</t>
        </is>
      </c>
      <c r="C1" s="3" t="inlineStr">
        <is>
          <t>方向</t>
        </is>
      </c>
      <c r="D1" s="3" t="inlineStr">
        <is>
          <t>進場時間</t>
        </is>
      </c>
      <c r="E1" s="3" t="inlineStr">
        <is>
          <t>進場價</t>
        </is>
      </c>
      <c r="F1" s="3" t="inlineStr">
        <is>
          <t>止盈價</t>
        </is>
      </c>
      <c r="G1" s="3" t="inlineStr">
        <is>
          <t>止損價</t>
        </is>
      </c>
      <c r="H1" s="3" t="inlineStr">
        <is>
          <t>出場時間</t>
        </is>
      </c>
      <c r="I1" s="3" t="inlineStr">
        <is>
          <t>出場價</t>
        </is>
      </c>
      <c r="J1" s="3" t="inlineStr">
        <is>
          <t>結果</t>
        </is>
      </c>
      <c r="K1" s="3" t="inlineStr">
        <is>
          <t>持倉小時</t>
        </is>
      </c>
      <c r="L1" s="3" t="inlineStr">
        <is>
          <t>報酬率(含費)</t>
        </is>
      </c>
      <c r="M1" s="3" t="inlineStr">
        <is>
          <t>判定說明</t>
        </is>
      </c>
      <c r="N1" s="3" t="inlineStr">
        <is>
          <t>1h漲跌幅</t>
        </is>
      </c>
      <c r="O1" s="3" t="inlineStr">
        <is>
          <t>ATR%</t>
        </is>
      </c>
      <c r="P1" s="3" t="inlineStr">
        <is>
          <t>價格vsMA20</t>
        </is>
      </c>
      <c r="Q1" s="3" t="inlineStr">
        <is>
          <t>OBV 20h變化</t>
        </is>
      </c>
      <c r="R1" s="3" t="inlineStr">
        <is>
          <t>24h成交額(USDT)</t>
        </is>
      </c>
      <c r="S1" s="3" t="inlineStr">
        <is>
          <t>最大有利(MFE)</t>
        </is>
      </c>
      <c r="T1" s="3" t="inlineStr">
        <is>
          <t>最大不利(MAE)</t>
        </is>
      </c>
      <c r="U1" s="3" t="inlineStr">
        <is>
          <t>量比</t>
        </is>
      </c>
      <c r="V1" s="3" t="inlineStr">
        <is>
          <t>收盤強度</t>
        </is>
      </c>
      <c r="W1" s="3" t="inlineStr">
        <is>
          <t>長週期趨勢(順勢)</t>
        </is>
      </c>
      <c r="X1" s="3" t="inlineStr">
        <is>
          <t>24h漲跌(順勢)</t>
        </is>
      </c>
      <c r="Y1" s="3" t="inlineStr">
        <is>
          <t>BTC 1h漲跌(順勢)</t>
        </is>
      </c>
      <c r="Z1" s="3" t="inlineStr">
        <is>
          <t>BTC vs MA20(順勢)</t>
        </is>
      </c>
      <c r="AA1" s="3" t="inlineStr">
        <is>
          <t>止盈%</t>
        </is>
      </c>
      <c r="AB1" s="3" t="inlineStr">
        <is>
          <t>止損%</t>
        </is>
      </c>
      <c r="AC1" s="3" t="inlineStr">
        <is>
          <t>盈虧平衡勝率</t>
        </is>
      </c>
    </row>
    <row r="2">
      <c r="A2" s="2" t="n">
        <v>1</v>
      </c>
      <c r="B2" s="2" t="inlineStr">
        <is>
          <t>USELESS_USDT_PERP</t>
        </is>
      </c>
      <c r="C2" s="2" t="inlineStr">
        <is>
          <t>做多</t>
        </is>
      </c>
      <c r="D2" s="7" t="n">
        <v>46266.75</v>
      </c>
      <c r="E2" s="20" t="n">
        <v>0.09113</v>
      </c>
      <c r="F2" s="20" t="n">
        <v>0.0938639</v>
      </c>
      <c r="G2" s="20" t="n">
        <v>0.0865735</v>
      </c>
      <c r="H2" s="7" t="n">
        <v>46266.79166666666</v>
      </c>
      <c r="I2" s="20" t="n">
        <v>0.0938639</v>
      </c>
      <c r="J2" s="2" t="inlineStr">
        <is>
          <t>止盈</t>
        </is>
      </c>
      <c r="K2" s="5">
        <f>(H2-D2)*24</f>
        <v/>
      </c>
      <c r="L2" s="4">
        <f>IF(C2="做多",I2/E2-1,1-I2/E2)-2*參數!$B$7</f>
        <v/>
      </c>
      <c r="M2" s="2" t="inlineStr"/>
      <c r="N2" s="4" t="n">
        <v>0.03134902670891826</v>
      </c>
      <c r="O2" s="4" t="n">
        <v>0.04174065720300272</v>
      </c>
      <c r="P2" s="4" t="n">
        <v>0.01693969557648534</v>
      </c>
      <c r="Q2" s="22" t="n">
        <v>4835282</v>
      </c>
      <c r="R2" s="22" t="n">
        <v>3907392.8932</v>
      </c>
      <c r="S2" s="4" t="n">
        <v>0.03</v>
      </c>
      <c r="T2" s="4" t="n">
        <v>0</v>
      </c>
      <c r="U2" s="19" t="n">
        <v>0.8352760034916105</v>
      </c>
      <c r="V2" s="19" t="n">
        <v>0.6997635933806161</v>
      </c>
      <c r="W2" s="4" t="n">
        <v>0.3208337500344234</v>
      </c>
      <c r="X2" s="4" t="n">
        <v>0.3165270153134931</v>
      </c>
      <c r="Y2" s="4" t="n">
        <v>0.0003249835260326073</v>
      </c>
      <c r="Z2" s="4" t="n">
        <v>-0.009362698788719204</v>
      </c>
      <c r="AA2" s="4" t="n">
        <v>0.03</v>
      </c>
      <c r="AB2" s="4" t="n">
        <v>0.05</v>
      </c>
      <c r="AC2" s="4">
        <f>(AB2+2*參數!$B$7)/(AA2+AB2)</f>
        <v/>
      </c>
    </row>
    <row r="3">
      <c r="A3" s="2" t="n">
        <v>2</v>
      </c>
      <c r="B3" s="2" t="inlineStr">
        <is>
          <t>ACE_USDT_PERP</t>
        </is>
      </c>
      <c r="C3" s="2" t="inlineStr">
        <is>
          <t>做空</t>
        </is>
      </c>
      <c r="D3" s="7" t="n">
        <v>46267.83333333334</v>
      </c>
      <c r="E3" s="20" t="n">
        <v>0.19257</v>
      </c>
      <c r="F3" s="20" t="n">
        <v>0.1867929</v>
      </c>
      <c r="G3" s="20" t="n">
        <v>0.2021985</v>
      </c>
      <c r="H3" s="7" t="n">
        <v>46267.875</v>
      </c>
      <c r="I3" s="20" t="n">
        <v>0.1867929</v>
      </c>
      <c r="J3" s="2" t="inlineStr">
        <is>
          <t>止盈</t>
        </is>
      </c>
      <c r="K3" s="5">
        <f>(H3-D3)*24</f>
        <v/>
      </c>
      <c r="L3" s="4">
        <f>IF(C3="做多",I3/E3-1,1-I3/E3)-2*參數!$B$7</f>
        <v/>
      </c>
      <c r="M3" s="2" t="inlineStr"/>
      <c r="N3" s="4" t="n">
        <v>-0.05025646084040247</v>
      </c>
      <c r="O3" s="4" t="n">
        <v>0.04931606622199357</v>
      </c>
      <c r="P3" s="4" t="n">
        <v>-0.0519070665097755</v>
      </c>
      <c r="Q3" s="22" t="n">
        <v>-1654553.749999993</v>
      </c>
      <c r="R3" s="22" t="n">
        <v>2513068.0053246</v>
      </c>
      <c r="S3" s="4" t="n">
        <v>0.03</v>
      </c>
      <c r="T3" s="4" t="n">
        <v>0</v>
      </c>
      <c r="U3" s="19" t="n">
        <v>1.581615562742938</v>
      </c>
      <c r="V3" s="19" t="n">
        <v>0.6308203991130821</v>
      </c>
      <c r="W3" s="4" t="n">
        <v>-0.04647143981254054</v>
      </c>
      <c r="X3" s="4" t="n">
        <v>-0.08441265908323015</v>
      </c>
      <c r="Y3" s="4" t="n">
        <v>-0.001948089228488881</v>
      </c>
      <c r="Z3" s="4" t="n">
        <v>0.005695833578277743</v>
      </c>
      <c r="AA3" s="4" t="n">
        <v>0.03</v>
      </c>
      <c r="AB3" s="4" t="n">
        <v>0.05</v>
      </c>
      <c r="AC3" s="4">
        <f>(AB3+2*參數!$B$7)/(AA3+AB3)</f>
        <v/>
      </c>
    </row>
    <row r="4">
      <c r="A4" s="2" t="n">
        <v>3</v>
      </c>
      <c r="B4" s="2" t="inlineStr">
        <is>
          <t>HEMI_USDT_PERP</t>
        </is>
      </c>
      <c r="C4" s="2" t="inlineStr">
        <is>
          <t>做空</t>
        </is>
      </c>
      <c r="D4" s="7" t="n">
        <v>46271.5</v>
      </c>
      <c r="E4" s="20" t="n">
        <v>0.01166</v>
      </c>
      <c r="F4" s="20" t="n">
        <v>0.0113102</v>
      </c>
      <c r="G4" s="20" t="n">
        <v>0.012243</v>
      </c>
      <c r="H4" s="7" t="n">
        <v>46271.54166666666</v>
      </c>
      <c r="I4" s="20" t="n">
        <v>0.0113102</v>
      </c>
      <c r="J4" s="2" t="inlineStr">
        <is>
          <t>止盈</t>
        </is>
      </c>
      <c r="K4" s="5">
        <f>(H4-D4)*24</f>
        <v/>
      </c>
      <c r="L4" s="4">
        <f>IF(C4="做多",I4/E4-1,1-I4/E4)-2*參數!$B$7</f>
        <v/>
      </c>
      <c r="M4" s="2" t="inlineStr"/>
      <c r="N4" s="4" t="n">
        <v>-0.02508361204013376</v>
      </c>
      <c r="O4" s="4" t="n">
        <v>0.04674940283171153</v>
      </c>
      <c r="P4" s="4" t="n">
        <v>-0.04143373890167701</v>
      </c>
      <c r="Q4" s="22" t="n">
        <v>-60572711</v>
      </c>
      <c r="R4" s="22" t="n">
        <v>1222480.36925</v>
      </c>
      <c r="S4" s="4" t="n">
        <v>0.03</v>
      </c>
      <c r="T4" s="4" t="n">
        <v>0</v>
      </c>
      <c r="U4" s="19" t="n">
        <v>0.7248367471056822</v>
      </c>
      <c r="V4" s="19" t="n">
        <v>0.5125000000000006</v>
      </c>
      <c r="W4" s="4" t="n">
        <v>0.2118692757443645</v>
      </c>
      <c r="X4" s="4" t="n">
        <v>0.1677373304782298</v>
      </c>
      <c r="Y4" s="4" t="n">
        <v>-0.001488629947127951</v>
      </c>
      <c r="Z4" s="4" t="n">
        <v>-0.002709940474321382</v>
      </c>
      <c r="AA4" s="4" t="n">
        <v>0.03</v>
      </c>
      <c r="AB4" s="4" t="n">
        <v>0.05</v>
      </c>
      <c r="AC4" s="4">
        <f>(AB4+2*參數!$B$7)/(AA4+AB4)</f>
        <v/>
      </c>
    </row>
    <row r="5">
      <c r="A5" s="2" t="n">
        <v>4</v>
      </c>
      <c r="B5" s="2" t="inlineStr">
        <is>
          <t>HEMI_USDT_PERP</t>
        </is>
      </c>
      <c r="C5" s="2" t="inlineStr">
        <is>
          <t>做空</t>
        </is>
      </c>
      <c r="D5" s="7" t="n">
        <v>46271.58333333334</v>
      </c>
      <c r="E5" s="20" t="n">
        <v>0.01128</v>
      </c>
      <c r="F5" s="20" t="n">
        <v>0.0109416</v>
      </c>
      <c r="G5" s="20" t="n">
        <v>0.011844</v>
      </c>
      <c r="H5" s="7" t="n">
        <v>46271.75</v>
      </c>
      <c r="I5" s="20" t="n">
        <v>0.011844</v>
      </c>
      <c r="J5" s="2" t="inlineStr">
        <is>
          <t>止損</t>
        </is>
      </c>
      <c r="K5" s="5">
        <f>(H5-D5)*24</f>
        <v/>
      </c>
      <c r="L5" s="4">
        <f>IF(C5="做多",I5/E5-1,1-I5/E5)-2*參數!$B$7</f>
        <v/>
      </c>
      <c r="M5" s="2" t="inlineStr"/>
      <c r="N5" s="4" t="n">
        <v>-0.02337662337662327</v>
      </c>
      <c r="O5" s="4" t="n">
        <v>0.04711317134172856</v>
      </c>
      <c r="P5" s="4" t="n">
        <v>-0.05158279732627058</v>
      </c>
      <c r="Q5" s="22" t="n">
        <v>-65936388</v>
      </c>
      <c r="R5" s="22" t="n">
        <v>1231916.4476</v>
      </c>
      <c r="S5" s="4" t="n">
        <v>0.00265957446808518</v>
      </c>
      <c r="T5" s="4" t="n">
        <v>0.05</v>
      </c>
      <c r="U5" s="19" t="n">
        <v>0.3502152078149993</v>
      </c>
      <c r="V5" s="19" t="n">
        <v>0.9148936170212764</v>
      </c>
      <c r="W5" s="4" t="n">
        <v>0.2338413888662483</v>
      </c>
      <c r="X5" s="4" t="n">
        <v>0.195435092724679</v>
      </c>
      <c r="Y5" s="4" t="n">
        <v>-0.001627330126277693</v>
      </c>
      <c r="Z5" s="4" t="n">
        <v>-0.001889588130687292</v>
      </c>
      <c r="AA5" s="4" t="n">
        <v>0.03</v>
      </c>
      <c r="AB5" s="4" t="n">
        <v>0.05</v>
      </c>
      <c r="AC5" s="4">
        <f>(AB5+2*參數!$B$7)/(AA5+AB5)</f>
        <v/>
      </c>
    </row>
    <row r="6">
      <c r="A6" s="2" t="n">
        <v>5</v>
      </c>
      <c r="B6" s="2" t="inlineStr">
        <is>
          <t>ARB_USDT_PERP</t>
        </is>
      </c>
      <c r="C6" s="2" t="inlineStr">
        <is>
          <t>做空</t>
        </is>
      </c>
      <c r="D6" s="7" t="n">
        <v>46271.95833333334</v>
      </c>
      <c r="E6" s="20" t="n">
        <v>0.1862</v>
      </c>
      <c r="F6" s="20" t="n">
        <v>0.180614</v>
      </c>
      <c r="G6" s="20" t="n">
        <v>0.19551</v>
      </c>
      <c r="H6" s="7" t="n">
        <v>46272.5</v>
      </c>
      <c r="I6" s="20" t="n">
        <v>0.180614</v>
      </c>
      <c r="J6" s="2" t="inlineStr">
        <is>
          <t>止盈</t>
        </is>
      </c>
      <c r="K6" s="5">
        <f>(H6-D6)*24</f>
        <v/>
      </c>
      <c r="L6" s="4">
        <f>IF(C6="做多",I6/E6-1,1-I6/E6)-2*參數!$B$7</f>
        <v/>
      </c>
      <c r="M6" s="2" t="inlineStr"/>
      <c r="N6" s="4" t="n">
        <v>-0.03673047077082248</v>
      </c>
      <c r="O6" s="4" t="n">
        <v>0.04247159968427301</v>
      </c>
      <c r="P6" s="4" t="n">
        <v>-0.005049560501215633</v>
      </c>
      <c r="Q6" s="22" t="n">
        <v>-2146168.2</v>
      </c>
      <c r="R6" s="22" t="n">
        <v>6861448.897129999</v>
      </c>
      <c r="S6" s="4" t="n">
        <v>0.03</v>
      </c>
      <c r="T6" s="4" t="n">
        <v>0.03061224489795911</v>
      </c>
      <c r="U6" s="19" t="n">
        <v>2.51942219716008</v>
      </c>
      <c r="V6" s="19" t="n">
        <v>0.7319587628865984</v>
      </c>
      <c r="W6" s="4" t="n">
        <v>-0.3035016731305042</v>
      </c>
      <c r="X6" s="4" t="n">
        <v>-0.3854166666666667</v>
      </c>
      <c r="Y6" s="4" t="n">
        <v>0.003597996851909313</v>
      </c>
      <c r="Z6" s="4" t="n">
        <v>0.003938029837522672</v>
      </c>
      <c r="AA6" s="4" t="n">
        <v>0.03</v>
      </c>
      <c r="AB6" s="4" t="n">
        <v>0.05</v>
      </c>
      <c r="AC6" s="4">
        <f>(AB6+2*參數!$B$7)/(AA6+AB6)</f>
        <v/>
      </c>
    </row>
    <row r="7">
      <c r="A7" s="2" t="n">
        <v>6</v>
      </c>
      <c r="B7" s="2" t="inlineStr">
        <is>
          <t>DASH_USDT_PERP</t>
        </is>
      </c>
      <c r="C7" s="2" t="inlineStr">
        <is>
          <t>做空</t>
        </is>
      </c>
      <c r="D7" s="7" t="n">
        <v>46271.95833333334</v>
      </c>
      <c r="E7" s="20" t="n">
        <v>67.53</v>
      </c>
      <c r="F7" s="20" t="n">
        <v>65.50409999999999</v>
      </c>
      <c r="G7" s="20" t="n">
        <v>70.90650000000001</v>
      </c>
      <c r="H7" s="7" t="n">
        <v>46272.125</v>
      </c>
      <c r="I7" s="20" t="n">
        <v>70.90650000000001</v>
      </c>
      <c r="J7" s="2" t="inlineStr">
        <is>
          <t>止損</t>
        </is>
      </c>
      <c r="K7" s="5">
        <f>(H7-D7)*24</f>
        <v/>
      </c>
      <c r="L7" s="4">
        <f>IF(C7="做多",I7/E7-1,1-I7/E7)-2*參數!$B$7</f>
        <v/>
      </c>
      <c r="M7" s="2" t="inlineStr"/>
      <c r="N7" s="4" t="n">
        <v>-0.02102058567700782</v>
      </c>
      <c r="O7" s="4" t="n">
        <v>0.04320472960877879</v>
      </c>
      <c r="P7" s="4" t="n">
        <v>-0.02260046460128973</v>
      </c>
      <c r="Q7" s="22" t="n">
        <v>-405.6010000000024</v>
      </c>
      <c r="R7" s="22" t="n">
        <v>3888972.18861</v>
      </c>
      <c r="S7" s="4" t="n">
        <v>0.01554864504664588</v>
      </c>
      <c r="T7" s="4" t="n">
        <v>0.05</v>
      </c>
      <c r="U7" s="19" t="n">
        <v>0.6172389244500216</v>
      </c>
      <c r="V7" s="19" t="n">
        <v>0.5826771653543308</v>
      </c>
      <c r="W7" s="4" t="n">
        <v>-0.216305299294316</v>
      </c>
      <c r="X7" s="4" t="n">
        <v>0.01127379209370416</v>
      </c>
      <c r="Y7" s="4" t="n">
        <v>0.003597996851909313</v>
      </c>
      <c r="Z7" s="4" t="n">
        <v>0.003938029837522672</v>
      </c>
      <c r="AA7" s="4" t="n">
        <v>0.03</v>
      </c>
      <c r="AB7" s="4" t="n">
        <v>0.05</v>
      </c>
      <c r="AC7" s="4">
        <f>(AB7+2*參數!$B$7)/(AA7+AB7)</f>
        <v/>
      </c>
    </row>
    <row r="8">
      <c r="A8" s="2" t="n">
        <v>7</v>
      </c>
      <c r="B8" s="2" t="inlineStr">
        <is>
          <t>RAY_USDT_PERP</t>
        </is>
      </c>
      <c r="C8" s="2" t="inlineStr">
        <is>
          <t>做空</t>
        </is>
      </c>
      <c r="D8" s="7" t="n">
        <v>46272.91666666666</v>
      </c>
      <c r="E8" s="20" t="n">
        <v>1.177</v>
      </c>
      <c r="F8" s="20" t="n">
        <v>1.14169</v>
      </c>
      <c r="G8" s="20" t="n">
        <v>1.23585</v>
      </c>
      <c r="H8" s="7" t="n">
        <v>46273.5</v>
      </c>
      <c r="I8" s="20" t="n">
        <v>1.23585</v>
      </c>
      <c r="J8" s="2" t="inlineStr">
        <is>
          <t>止損</t>
        </is>
      </c>
      <c r="K8" s="5">
        <f>(H8-D8)*24</f>
        <v/>
      </c>
      <c r="L8" s="4">
        <f>IF(C8="做多",I8/E8-1,1-I8/E8)-2*參數!$B$7</f>
        <v/>
      </c>
      <c r="M8" s="2" t="inlineStr"/>
      <c r="N8" s="4" t="n">
        <v>-0.02242524916943511</v>
      </c>
      <c r="O8" s="4" t="n">
        <v>0.04291291884126462</v>
      </c>
      <c r="P8" s="4" t="n">
        <v>-0.04067161137827047</v>
      </c>
      <c r="Q8" s="22" t="n">
        <v>-480078.0999999999</v>
      </c>
      <c r="R8" s="22" t="n">
        <v>3560306.627</v>
      </c>
      <c r="S8" s="4" t="n">
        <v>0.0263381478334751</v>
      </c>
      <c r="T8" s="4" t="n">
        <v>0.05</v>
      </c>
      <c r="U8" s="19" t="n">
        <v>0.4533770567023754</v>
      </c>
      <c r="V8" s="19" t="n">
        <v>0.8205128205128182</v>
      </c>
      <c r="W8" s="4" t="n">
        <v>-0.2073033131603241</v>
      </c>
      <c r="X8" s="4" t="n">
        <v>0.1408759124087592</v>
      </c>
      <c r="Y8" s="4" t="n">
        <v>0.003178437400241707</v>
      </c>
      <c r="Z8" s="4" t="n">
        <v>0.004739797389268552</v>
      </c>
      <c r="AA8" s="4" t="n">
        <v>0.03</v>
      </c>
      <c r="AB8" s="4" t="n">
        <v>0.05</v>
      </c>
      <c r="AC8" s="4">
        <f>(AB8+2*參數!$B$7)/(AA8+AB8)</f>
        <v/>
      </c>
    </row>
    <row r="9">
      <c r="A9" s="2" t="n">
        <v>8</v>
      </c>
      <c r="B9" s="2" t="inlineStr">
        <is>
          <t>IOST_USDT_PERP</t>
        </is>
      </c>
      <c r="C9" s="2" t="inlineStr">
        <is>
          <t>做多</t>
        </is>
      </c>
      <c r="D9" s="7" t="n">
        <v>46273.41666666666</v>
      </c>
      <c r="E9" s="20" t="n">
        <v>0.000941</v>
      </c>
      <c r="F9" s="20" t="n">
        <v>0.0009692300000000001</v>
      </c>
      <c r="G9" s="20" t="n">
        <v>0.0008939499999999999</v>
      </c>
      <c r="H9" s="7" t="n">
        <v>46273.5</v>
      </c>
      <c r="I9" s="20" t="n">
        <v>0.0009692300000000001</v>
      </c>
      <c r="J9" s="2" t="inlineStr">
        <is>
          <t>止盈</t>
        </is>
      </c>
      <c r="K9" s="5">
        <f>(H9-D9)*24</f>
        <v/>
      </c>
      <c r="L9" s="4">
        <f>IF(C9="做多",I9/E9-1,1-I9/E9)-2*參數!$B$7</f>
        <v/>
      </c>
      <c r="M9" s="2" t="inlineStr"/>
      <c r="N9" s="4" t="n">
        <v>0.02617230098146139</v>
      </c>
      <c r="O9" s="4" t="n">
        <v>0.04966185075469765</v>
      </c>
      <c r="P9" s="4" t="n">
        <v>0.02835910605977832</v>
      </c>
      <c r="Q9" s="22" t="n">
        <v>225683598</v>
      </c>
      <c r="R9" s="22" t="n">
        <v>2501561.764947</v>
      </c>
      <c r="S9" s="4" t="n">
        <v>0.03</v>
      </c>
      <c r="T9" s="4" t="n">
        <v>0.01275239107332626</v>
      </c>
      <c r="U9" s="19" t="n">
        <v>0.6087334046657858</v>
      </c>
      <c r="V9" s="19" t="n">
        <v>0.8139534883720934</v>
      </c>
      <c r="W9" s="4" t="n">
        <v>0.31430087852843</v>
      </c>
      <c r="X9" s="4" t="n">
        <v>0.3385490753911806</v>
      </c>
      <c r="Y9" s="4" t="n">
        <v>0.001539976969713752</v>
      </c>
      <c r="Z9" s="4" t="n">
        <v>0.002124414410480613</v>
      </c>
      <c r="AA9" s="4" t="n">
        <v>0.03</v>
      </c>
      <c r="AB9" s="4" t="n">
        <v>0.05</v>
      </c>
      <c r="AC9" s="4">
        <f>(AB9+2*參數!$B$7)/(AA9+AB9)</f>
        <v/>
      </c>
    </row>
    <row r="10">
      <c r="A10" s="2" t="n">
        <v>9</v>
      </c>
      <c r="B10" s="2" t="inlineStr">
        <is>
          <t>BULLA_USDT_PERP</t>
        </is>
      </c>
      <c r="C10" s="2" t="inlineStr">
        <is>
          <t>做空</t>
        </is>
      </c>
      <c r="D10" s="7" t="n">
        <v>46273.58333333334</v>
      </c>
      <c r="E10" s="20" t="n">
        <v>0.07796</v>
      </c>
      <c r="F10" s="20" t="n">
        <v>0.0756212</v>
      </c>
      <c r="G10" s="20" t="n">
        <v>0.081858</v>
      </c>
      <c r="H10" s="7" t="n">
        <v>46273.83333333334</v>
      </c>
      <c r="I10" s="20" t="n">
        <v>0.081858</v>
      </c>
      <c r="J10" s="2" t="inlineStr">
        <is>
          <t>止損</t>
        </is>
      </c>
      <c r="K10" s="5">
        <f>(H10-D10)*24</f>
        <v/>
      </c>
      <c r="L10" s="4">
        <f>IF(C10="做多",I10/E10-1,1-I10/E10)-2*參數!$B$7</f>
        <v/>
      </c>
      <c r="M10" s="2" t="inlineStr"/>
      <c r="N10" s="4" t="n">
        <v>-0.02865686518813848</v>
      </c>
      <c r="O10" s="4" t="n">
        <v>0.04892197944354508</v>
      </c>
      <c r="P10" s="4" t="n">
        <v>-0.007934235558355152</v>
      </c>
      <c r="Q10" s="22" t="n">
        <v>-107361</v>
      </c>
      <c r="R10" s="22" t="n">
        <v>3529147.21184</v>
      </c>
      <c r="S10" s="4" t="n">
        <v>0.01924063622370453</v>
      </c>
      <c r="T10" s="4" t="n">
        <v>0.05</v>
      </c>
      <c r="U10" s="19" t="n">
        <v>0.5534734364007831</v>
      </c>
      <c r="V10" s="19" t="n">
        <v>0.7323529411764682</v>
      </c>
      <c r="W10" s="4" t="n">
        <v>-0.1925978164262145</v>
      </c>
      <c r="X10" s="4" t="n">
        <v>0.006119326874043818</v>
      </c>
      <c r="Y10" s="4" t="n">
        <v>0.00123458359822004</v>
      </c>
      <c r="Z10" s="4" t="n">
        <v>0.007010211173510084</v>
      </c>
      <c r="AA10" s="4" t="n">
        <v>0.03</v>
      </c>
      <c r="AB10" s="4" t="n">
        <v>0.05</v>
      </c>
      <c r="AC10" s="4">
        <f>(AB10+2*參數!$B$7)/(AA10+AB10)</f>
        <v/>
      </c>
    </row>
    <row r="11">
      <c r="A11" s="2" t="n">
        <v>10</v>
      </c>
      <c r="B11" s="2" t="inlineStr">
        <is>
          <t>USELESS_USDT_PERP</t>
        </is>
      </c>
      <c r="C11" s="2" t="inlineStr">
        <is>
          <t>做多</t>
        </is>
      </c>
      <c r="D11" s="7" t="n">
        <v>46273.58333333334</v>
      </c>
      <c r="E11" s="20" t="n">
        <v>0.24093</v>
      </c>
      <c r="F11" s="20" t="n">
        <v>0.2481579</v>
      </c>
      <c r="G11" s="20" t="n">
        <v>0.2288835</v>
      </c>
      <c r="H11" s="7" t="n">
        <v>46273.625</v>
      </c>
      <c r="I11" s="20" t="n">
        <v>0.2481579</v>
      </c>
      <c r="J11" s="2" t="inlineStr">
        <is>
          <t>止盈</t>
        </is>
      </c>
      <c r="K11" s="5">
        <f>(H11-D11)*24</f>
        <v/>
      </c>
      <c r="L11" s="4">
        <f>IF(C11="做多",I11/E11-1,1-I11/E11)-2*參數!$B$7</f>
        <v/>
      </c>
      <c r="M11" s="2" t="inlineStr"/>
      <c r="N11" s="4" t="n">
        <v>0.0864937993235626</v>
      </c>
      <c r="O11" s="4" t="n">
        <v>0.04862484005267798</v>
      </c>
      <c r="P11" s="4" t="n">
        <v>0.05327352848599309</v>
      </c>
      <c r="Q11" s="22" t="n">
        <v>679513</v>
      </c>
      <c r="R11" s="22" t="n">
        <v>4215211.47851</v>
      </c>
      <c r="S11" s="4" t="n">
        <v>0.03</v>
      </c>
      <c r="T11" s="4" t="n">
        <v>0</v>
      </c>
      <c r="U11" s="19" t="n">
        <v>0.8052885806174136</v>
      </c>
      <c r="V11" s="19" t="n">
        <v>0.8621151271753689</v>
      </c>
      <c r="W11" s="4" t="n">
        <v>0.01364868509238448</v>
      </c>
      <c r="X11" s="4" t="n">
        <v>0.09260351004489586</v>
      </c>
      <c r="Y11" s="4" t="n">
        <v>-0.00123458359822004</v>
      </c>
      <c r="Z11" s="4" t="n">
        <v>-0.007010211173510084</v>
      </c>
      <c r="AA11" s="4" t="n">
        <v>0.03</v>
      </c>
      <c r="AB11" s="4" t="n">
        <v>0.05</v>
      </c>
      <c r="AC11" s="4">
        <f>(AB11+2*參數!$B$7)/(AA11+AB11)</f>
        <v/>
      </c>
    </row>
    <row r="12">
      <c r="A12" s="2" t="n">
        <v>11</v>
      </c>
      <c r="B12" s="2" t="inlineStr">
        <is>
          <t>UAI_USDT_PERP</t>
        </is>
      </c>
      <c r="C12" s="2" t="inlineStr">
        <is>
          <t>做多</t>
        </is>
      </c>
      <c r="D12" s="7" t="n">
        <v>46273.75</v>
      </c>
      <c r="E12" s="20" t="n">
        <v>0.7282999999999999</v>
      </c>
      <c r="F12" s="20" t="n">
        <v>0.750149</v>
      </c>
      <c r="G12" s="20" t="n">
        <v>0.691885</v>
      </c>
      <c r="H12" s="7" t="n">
        <v>46273.83333333334</v>
      </c>
      <c r="I12" s="20" t="n">
        <v>0.750149</v>
      </c>
      <c r="J12" s="2" t="inlineStr">
        <is>
          <t>止盈</t>
        </is>
      </c>
      <c r="K12" s="5">
        <f>(H12-D12)*24</f>
        <v/>
      </c>
      <c r="L12" s="4">
        <f>IF(C12="做多",I12/E12-1,1-I12/E12)-2*參數!$B$7</f>
        <v/>
      </c>
      <c r="M12" s="2" t="inlineStr"/>
      <c r="N12" s="4" t="n">
        <v>0.02231892195395835</v>
      </c>
      <c r="O12" s="4" t="n">
        <v>0.04664801455271905</v>
      </c>
      <c r="P12" s="4" t="n">
        <v>0.01829519794747014</v>
      </c>
      <c r="Q12" s="22" t="n">
        <v>1249843</v>
      </c>
      <c r="R12" s="22" t="n">
        <v>5140456.2015</v>
      </c>
      <c r="S12" s="4" t="n">
        <v>0.03</v>
      </c>
      <c r="T12" s="4" t="n">
        <v>0.006453384594260481</v>
      </c>
      <c r="U12" s="19" t="n">
        <v>1.068646902945055</v>
      </c>
      <c r="V12" s="19" t="n">
        <v>0.8738738738738727</v>
      </c>
      <c r="W12" s="4" t="n">
        <v>0.2926482516501987</v>
      </c>
      <c r="X12" s="4" t="n">
        <v>0.1465680100755666</v>
      </c>
      <c r="Y12" s="4" t="n">
        <v>0.00424895211223042</v>
      </c>
      <c r="Z12" s="4" t="n">
        <v>-0.00243660765421716</v>
      </c>
      <c r="AA12" s="4" t="n">
        <v>0.03</v>
      </c>
      <c r="AB12" s="4" t="n">
        <v>0.05</v>
      </c>
      <c r="AC12" s="4">
        <f>(AB12+2*參數!$B$7)/(AA12+AB12)</f>
        <v/>
      </c>
    </row>
    <row r="13">
      <c r="A13" s="2" t="n">
        <v>12</v>
      </c>
      <c r="B13" s="2" t="inlineStr">
        <is>
          <t>CASHCAT_USDT_PERP</t>
        </is>
      </c>
      <c r="C13" s="2" t="inlineStr">
        <is>
          <t>做空</t>
        </is>
      </c>
      <c r="D13" s="7" t="n">
        <v>46273.79166666666</v>
      </c>
      <c r="E13" s="20" t="n">
        <v>0.1787</v>
      </c>
      <c r="F13" s="20" t="n">
        <v>0.173339</v>
      </c>
      <c r="G13" s="20" t="n">
        <v>0.187635</v>
      </c>
      <c r="H13" s="7" t="n">
        <v>46273.875</v>
      </c>
      <c r="I13" s="20" t="n">
        <v>0.173339</v>
      </c>
      <c r="J13" s="2" t="inlineStr">
        <is>
          <t>止盈</t>
        </is>
      </c>
      <c r="K13" s="5">
        <f>(H13-D13)*24</f>
        <v/>
      </c>
      <c r="L13" s="4">
        <f>IF(C13="做多",I13/E13-1,1-I13/E13)-2*參數!$B$7</f>
        <v/>
      </c>
      <c r="M13" s="2" t="inlineStr"/>
      <c r="N13" s="4" t="n">
        <v>-0.02562704471101418</v>
      </c>
      <c r="O13" s="4" t="n">
        <v>0.04743066258406835</v>
      </c>
      <c r="P13" s="4" t="n">
        <v>-0.05964690714868315</v>
      </c>
      <c r="Q13" s="22" t="n">
        <v>-608095</v>
      </c>
      <c r="R13" s="22" t="n">
        <v>1922965.0831</v>
      </c>
      <c r="S13" s="4" t="n">
        <v>0.03</v>
      </c>
      <c r="T13" s="4" t="n">
        <v>0.006715165081141672</v>
      </c>
      <c r="U13" s="19" t="n">
        <v>2.678733376469101</v>
      </c>
      <c r="V13" s="19" t="n">
        <v>0.8613861386138628</v>
      </c>
      <c r="W13" s="4" t="n">
        <v>0.221805133386171</v>
      </c>
      <c r="X13" s="4" t="n">
        <v>0.1703806870937791</v>
      </c>
      <c r="Y13" s="4" t="n">
        <v>0.002534012287736753</v>
      </c>
      <c r="Z13" s="4" t="n">
        <v>0.004571300074293405</v>
      </c>
      <c r="AA13" s="4" t="n">
        <v>0.03</v>
      </c>
      <c r="AB13" s="4" t="n">
        <v>0.05</v>
      </c>
      <c r="AC13" s="4">
        <f>(AB13+2*參數!$B$7)/(AA13+AB13)</f>
        <v/>
      </c>
    </row>
    <row r="14">
      <c r="A14" s="2" t="n">
        <v>13</v>
      </c>
      <c r="B14" s="2" t="inlineStr">
        <is>
          <t>UAI_USDT_PERP</t>
        </is>
      </c>
      <c r="C14" s="2" t="inlineStr">
        <is>
          <t>做多</t>
        </is>
      </c>
      <c r="D14" s="7" t="n">
        <v>46274.08333333334</v>
      </c>
      <c r="E14" s="20" t="n">
        <v>0.7446</v>
      </c>
      <c r="F14" s="20" t="n">
        <v>0.766938</v>
      </c>
      <c r="G14" s="20" t="n">
        <v>0.7073700000000001</v>
      </c>
      <c r="H14" s="7" t="n">
        <v>46274.20833333334</v>
      </c>
      <c r="I14" s="20" t="n">
        <v>0.7073700000000001</v>
      </c>
      <c r="J14" s="2" t="inlineStr">
        <is>
          <t>止損</t>
        </is>
      </c>
      <c r="K14" s="5">
        <f>(H14-D14)*24</f>
        <v/>
      </c>
      <c r="L14" s="4">
        <f>IF(C14="做多",I14/E14-1,1-I14/E14)-2*參數!$B$7</f>
        <v/>
      </c>
      <c r="M14" s="2" t="inlineStr"/>
      <c r="N14" s="4" t="n">
        <v>0.02675124103695548</v>
      </c>
      <c r="O14" s="4" t="n">
        <v>0.04454342423750336</v>
      </c>
      <c r="P14" s="4" t="n">
        <v>0.02032147114844407</v>
      </c>
      <c r="Q14" s="22" t="n">
        <v>1024515</v>
      </c>
      <c r="R14" s="22" t="n">
        <v>4766286.3946</v>
      </c>
      <c r="S14" s="4" t="n">
        <v>0.003491807681976766</v>
      </c>
      <c r="T14" s="4" t="n">
        <v>0.05</v>
      </c>
      <c r="U14" s="19" t="n">
        <v>0.7723512405947648</v>
      </c>
      <c r="V14" s="19" t="n">
        <v>0.9168704156479228</v>
      </c>
      <c r="W14" s="4" t="n">
        <v>0.2569082689911988</v>
      </c>
      <c r="X14" s="4" t="n">
        <v>0.003233629749393785</v>
      </c>
      <c r="Y14" s="4" t="n">
        <v>-0.002949174078780259</v>
      </c>
      <c r="Z14" s="4" t="n">
        <v>-0.00255304695657721</v>
      </c>
      <c r="AA14" s="4" t="n">
        <v>0.03</v>
      </c>
      <c r="AB14" s="4" t="n">
        <v>0.05</v>
      </c>
      <c r="AC14" s="4">
        <f>(AB14+2*參數!$B$7)/(AA14+AB14)</f>
        <v/>
      </c>
    </row>
    <row r="15">
      <c r="A15" s="2" t="n">
        <v>14</v>
      </c>
      <c r="B15" s="2" t="inlineStr">
        <is>
          <t>PONS_USDT_PERP</t>
        </is>
      </c>
      <c r="C15" s="2" t="inlineStr">
        <is>
          <t>做多</t>
        </is>
      </c>
      <c r="D15" s="7" t="n">
        <v>46274.54166666666</v>
      </c>
      <c r="E15" s="20" t="n">
        <v>0.8091</v>
      </c>
      <c r="F15" s="20" t="n">
        <v>0.833373</v>
      </c>
      <c r="G15" s="20" t="n">
        <v>0.768645</v>
      </c>
      <c r="H15" s="7" t="n">
        <v>46274.70833333334</v>
      </c>
      <c r="I15" s="20" t="n">
        <v>0.833373</v>
      </c>
      <c r="J15" s="2" t="inlineStr">
        <is>
          <t>止盈</t>
        </is>
      </c>
      <c r="K15" s="5">
        <f>(H15-D15)*24</f>
        <v/>
      </c>
      <c r="L15" s="4">
        <f>IF(C15="做多",I15/E15-1,1-I15/E15)-2*參數!$B$7</f>
        <v/>
      </c>
      <c r="M15" s="2" t="inlineStr"/>
      <c r="N15" s="4" t="n">
        <v>0.0582003662045516</v>
      </c>
      <c r="O15" s="4" t="n">
        <v>0.04569447016875642</v>
      </c>
      <c r="P15" s="4" t="n">
        <v>0.03845931706315331</v>
      </c>
      <c r="Q15" s="22" t="n">
        <v>5419793</v>
      </c>
      <c r="R15" s="22" t="n">
        <v>11243844.1629</v>
      </c>
      <c r="S15" s="4" t="n">
        <v>0.03</v>
      </c>
      <c r="T15" s="4" t="n">
        <v>0.02410085279940688</v>
      </c>
      <c r="U15" s="19" t="n">
        <v>0.6149788240205761</v>
      </c>
      <c r="V15" s="19" t="n">
        <v>1</v>
      </c>
      <c r="W15" s="4" t="n">
        <v>0.003844908381006817</v>
      </c>
      <c r="X15" s="4" t="n">
        <v>0.172608695652174</v>
      </c>
      <c r="Y15" s="4" t="n">
        <v>0.006898771784506819</v>
      </c>
      <c r="Z15" s="4" t="n">
        <v>0.007295313963002314</v>
      </c>
      <c r="AA15" s="4" t="n">
        <v>0.03</v>
      </c>
      <c r="AB15" s="4" t="n">
        <v>0.05</v>
      </c>
      <c r="AC15" s="4">
        <f>(AB15+2*參數!$B$7)/(AA15+AB15)</f>
        <v/>
      </c>
    </row>
    <row r="16">
      <c r="A16" s="2" t="n">
        <v>15</v>
      </c>
      <c r="B16" s="2" t="inlineStr">
        <is>
          <t>PONS_USDT_PERP</t>
        </is>
      </c>
      <c r="C16" s="2" t="inlineStr">
        <is>
          <t>做多</t>
        </is>
      </c>
      <c r="D16" s="7" t="n">
        <v>46274.875</v>
      </c>
      <c r="E16" s="20" t="n">
        <v>0.8066</v>
      </c>
      <c r="F16" s="20" t="n">
        <v>0.830798</v>
      </c>
      <c r="G16" s="20" t="n">
        <v>0.7662699999999999</v>
      </c>
      <c r="H16" s="7" t="n">
        <v>46274.95833333334</v>
      </c>
      <c r="I16" s="20" t="n">
        <v>0.7662699999999999</v>
      </c>
      <c r="J16" s="2" t="inlineStr">
        <is>
          <t>止損</t>
        </is>
      </c>
      <c r="K16" s="5">
        <f>(H16-D16)*24</f>
        <v/>
      </c>
      <c r="L16" s="4">
        <f>IF(C16="做多",I16/E16-1,1-I16/E16)-2*參數!$B$7</f>
        <v/>
      </c>
      <c r="M16" s="2" t="inlineStr"/>
      <c r="N16" s="4" t="n">
        <v>0.03264626808347204</v>
      </c>
      <c r="O16" s="4" t="n">
        <v>0.04159531370999592</v>
      </c>
      <c r="P16" s="4" t="n">
        <v>0.01433601609657953</v>
      </c>
      <c r="Q16" s="22" t="n">
        <v>466047</v>
      </c>
      <c r="R16" s="22" t="n">
        <v>10103179.1206</v>
      </c>
      <c r="S16" s="4" t="n">
        <v>0.002603520952144889</v>
      </c>
      <c r="T16" s="4" t="n">
        <v>0.05</v>
      </c>
      <c r="U16" s="19" t="n">
        <v>1.648022119137153</v>
      </c>
      <c r="V16" s="19" t="n">
        <v>0.8281622911694512</v>
      </c>
      <c r="W16" s="4" t="n">
        <v>-0.006887517021795242</v>
      </c>
      <c r="X16" s="4" t="n">
        <v>0.07160887471768285</v>
      </c>
      <c r="Y16" s="4" t="n">
        <v>0.003588474501019068</v>
      </c>
      <c r="Z16" s="4" t="n">
        <v>0.009254340501077651</v>
      </c>
      <c r="AA16" s="4" t="n">
        <v>0.03</v>
      </c>
      <c r="AB16" s="4" t="n">
        <v>0.05</v>
      </c>
      <c r="AC16" s="4">
        <f>(AB16+2*參數!$B$7)/(AA16+AB16)</f>
        <v/>
      </c>
    </row>
    <row r="17">
      <c r="A17" s="2" t="n">
        <v>16</v>
      </c>
      <c r="B17" s="2" t="inlineStr">
        <is>
          <t>AKE_USDT_PERP</t>
        </is>
      </c>
      <c r="C17" s="2" t="inlineStr">
        <is>
          <t>做空</t>
        </is>
      </c>
      <c r="D17" s="7" t="n">
        <v>46275.04166666666</v>
      </c>
      <c r="E17" s="20" t="n">
        <v>0.0151607</v>
      </c>
      <c r="F17" s="20" t="n">
        <v>0.014705879</v>
      </c>
      <c r="G17" s="20" t="n">
        <v>0.015918735</v>
      </c>
      <c r="H17" s="7" t="n">
        <v>46275.29166666666</v>
      </c>
      <c r="I17" s="20" t="n">
        <v>0.014705879</v>
      </c>
      <c r="J17" s="2" t="inlineStr">
        <is>
          <t>止盈</t>
        </is>
      </c>
      <c r="K17" s="5">
        <f>(H17-D17)*24</f>
        <v/>
      </c>
      <c r="L17" s="4">
        <f>IF(C17="做多",I17/E17-1,1-I17/E17)-2*參數!$B$7</f>
        <v/>
      </c>
      <c r="M17" s="2" t="inlineStr"/>
      <c r="N17" s="4" t="n">
        <v>-0.02656907123824204</v>
      </c>
      <c r="O17" s="4" t="n">
        <v>0.04491481230211565</v>
      </c>
      <c r="P17" s="4" t="n">
        <v>-0.03106581673673436</v>
      </c>
      <c r="Q17" s="22" t="n">
        <v>-13040704</v>
      </c>
      <c r="R17" s="22" t="n">
        <v>3092940.1034152</v>
      </c>
      <c r="S17" s="4" t="n">
        <v>0.03</v>
      </c>
      <c r="T17" s="4" t="n">
        <v>0.03028883890585532</v>
      </c>
      <c r="U17" s="19" t="n">
        <v>8.31398505972493</v>
      </c>
      <c r="V17" s="19" t="n">
        <v>0.6192244837319871</v>
      </c>
      <c r="W17" s="4" t="n">
        <v>0.0755249080872713</v>
      </c>
      <c r="X17" s="4" t="n">
        <v>0.2038618270422417</v>
      </c>
      <c r="Y17" s="4" t="n">
        <v>-0.002540409825633194</v>
      </c>
      <c r="Z17" s="4" t="n">
        <v>0.00189978323489759</v>
      </c>
      <c r="AA17" s="4" t="n">
        <v>0.03</v>
      </c>
      <c r="AB17" s="4" t="n">
        <v>0.05</v>
      </c>
      <c r="AC17" s="4">
        <f>(AB17+2*參數!$B$7)/(AA17+AB17)</f>
        <v/>
      </c>
    </row>
    <row r="18">
      <c r="A18" s="2" t="n">
        <v>17</v>
      </c>
      <c r="B18" s="2" t="inlineStr">
        <is>
          <t>RAY_USDT_PERP</t>
        </is>
      </c>
      <c r="C18" s="2" t="inlineStr">
        <is>
          <t>做多</t>
        </is>
      </c>
      <c r="D18" s="7" t="n">
        <v>46275.08333333334</v>
      </c>
      <c r="E18" s="20" t="n">
        <v>1.365</v>
      </c>
      <c r="F18" s="20" t="n">
        <v>1.40595</v>
      </c>
      <c r="G18" s="20" t="n">
        <v>1.29675</v>
      </c>
      <c r="H18" s="7" t="n">
        <v>46275.16666666666</v>
      </c>
      <c r="I18" s="20" t="n">
        <v>1.29675</v>
      </c>
      <c r="J18" s="2" t="inlineStr">
        <is>
          <t>止損</t>
        </is>
      </c>
      <c r="K18" s="5">
        <f>(H18-D18)*24</f>
        <v/>
      </c>
      <c r="L18" s="4">
        <f>IF(C18="做多",I18/E18-1,1-I18/E18)-2*參數!$B$7</f>
        <v/>
      </c>
      <c r="M18" s="2" t="inlineStr"/>
      <c r="N18" s="4" t="n">
        <v>0.02247191011235961</v>
      </c>
      <c r="O18" s="4" t="n">
        <v>0.04799131109558633</v>
      </c>
      <c r="P18" s="4" t="n">
        <v>0.05592944998839644</v>
      </c>
      <c r="Q18" s="22" t="n">
        <v>228613.4000000001</v>
      </c>
      <c r="R18" s="22" t="n">
        <v>2431364.9724</v>
      </c>
      <c r="S18" s="4" t="n">
        <v>0.02710622710622701</v>
      </c>
      <c r="T18" s="4" t="n">
        <v>0.05</v>
      </c>
      <c r="U18" s="19" t="n">
        <v>0.9511020296400551</v>
      </c>
      <c r="V18" s="19" t="n">
        <v>0.6521739130434777</v>
      </c>
      <c r="W18" s="4" t="n">
        <v>0.1683042897736997</v>
      </c>
      <c r="X18" s="4" t="n">
        <v>0.1900610287707061</v>
      </c>
      <c r="Y18" s="4" t="n">
        <v>-0.00040243951981489</v>
      </c>
      <c r="Z18" s="4" t="n">
        <v>-0.002477908933204542</v>
      </c>
      <c r="AA18" s="4" t="n">
        <v>0.03</v>
      </c>
      <c r="AB18" s="4" t="n">
        <v>0.05</v>
      </c>
      <c r="AC18" s="4">
        <f>(AB18+2*參數!$B$7)/(AA18+AB18)</f>
        <v/>
      </c>
    </row>
    <row r="19">
      <c r="A19" s="2" t="n">
        <v>18</v>
      </c>
      <c r="B19" s="2" t="inlineStr">
        <is>
          <t>RAY_USDT_PERP</t>
        </is>
      </c>
      <c r="C19" s="2" t="inlineStr">
        <is>
          <t>做多</t>
        </is>
      </c>
      <c r="D19" s="7" t="n">
        <v>46275.54166666666</v>
      </c>
      <c r="E19" s="20" t="n">
        <v>1.33</v>
      </c>
      <c r="F19" s="20" t="n">
        <v>1.3699</v>
      </c>
      <c r="G19" s="20" t="n">
        <v>1.2635</v>
      </c>
      <c r="H19" s="7" t="n">
        <v>46275.58333333334</v>
      </c>
      <c r="I19" s="20" t="n">
        <v>1.3699</v>
      </c>
      <c r="J19" s="2" t="inlineStr">
        <is>
          <t>止盈</t>
        </is>
      </c>
      <c r="K19" s="5">
        <f>(H19-D19)*24</f>
        <v/>
      </c>
      <c r="L19" s="4">
        <f>IF(C19="做多",I19/E19-1,1-I19/E19)-2*參數!$B$7</f>
        <v/>
      </c>
      <c r="M19" s="2" t="inlineStr"/>
      <c r="N19" s="4" t="n">
        <v>0.03744149765990645</v>
      </c>
      <c r="O19" s="4" t="n">
        <v>0.04572465884313836</v>
      </c>
      <c r="P19" s="4" t="n">
        <v>0.02607622280512278</v>
      </c>
      <c r="Q19" s="22" t="n">
        <v>13454.30000000028</v>
      </c>
      <c r="R19" s="22" t="n">
        <v>2474062.1371</v>
      </c>
      <c r="S19" s="4" t="n">
        <v>0.03</v>
      </c>
      <c r="T19" s="4" t="n">
        <v>0</v>
      </c>
      <c r="U19" s="19" t="n">
        <v>1.260890814524471</v>
      </c>
      <c r="V19" s="19" t="n">
        <v>0.5555555555555556</v>
      </c>
      <c r="W19" s="4" t="n">
        <v>0.09812987656359651</v>
      </c>
      <c r="X19" s="4" t="n">
        <v>0.06230031948881787</v>
      </c>
      <c r="Y19" s="4" t="n">
        <v>0.001006419114810919</v>
      </c>
      <c r="Z19" s="4" t="n">
        <v>-0.002265062320720879</v>
      </c>
      <c r="AA19" s="4" t="n">
        <v>0.03</v>
      </c>
      <c r="AB19" s="4" t="n">
        <v>0.05</v>
      </c>
      <c r="AC19" s="4">
        <f>(AB19+2*參數!$B$7)/(AA19+AB19)</f>
        <v/>
      </c>
    </row>
    <row r="20">
      <c r="A20" s="2" t="n">
        <v>19</v>
      </c>
      <c r="B20" s="2" t="inlineStr">
        <is>
          <t>RAY_USDT_PERP</t>
        </is>
      </c>
      <c r="C20" s="2" t="inlineStr">
        <is>
          <t>做空</t>
        </is>
      </c>
      <c r="D20" s="7" t="n">
        <v>46275.875</v>
      </c>
      <c r="E20" s="20" t="n">
        <v>1.286</v>
      </c>
      <c r="F20" s="20" t="n">
        <v>1.24742</v>
      </c>
      <c r="G20" s="20" t="n">
        <v>1.3503</v>
      </c>
      <c r="H20" s="7" t="n">
        <v>46276.16666666666</v>
      </c>
      <c r="I20" s="20" t="n">
        <v>1.3503</v>
      </c>
      <c r="J20" s="2" t="inlineStr">
        <is>
          <t>止損</t>
        </is>
      </c>
      <c r="K20" s="5">
        <f>(H20-D20)*24</f>
        <v/>
      </c>
      <c r="L20" s="4">
        <f>IF(C20="做多",I20/E20-1,1-I20/E20)-2*參數!$B$7</f>
        <v/>
      </c>
      <c r="M20" s="2" t="inlineStr"/>
      <c r="N20" s="4" t="n">
        <v>-0.04244229337304539</v>
      </c>
      <c r="O20" s="4" t="n">
        <v>0.04587158086118715</v>
      </c>
      <c r="P20" s="4" t="n">
        <v>-0.01050282768437671</v>
      </c>
      <c r="Q20" s="22" t="n">
        <v>-237735.5999999999</v>
      </c>
      <c r="R20" s="22" t="n">
        <v>2421626.3634</v>
      </c>
      <c r="S20" s="4" t="n">
        <v>0.02643856920684295</v>
      </c>
      <c r="T20" s="4" t="n">
        <v>0.05</v>
      </c>
      <c r="U20" s="19" t="n">
        <v>0.6488037141102702</v>
      </c>
      <c r="V20" s="19" t="n">
        <v>0.8378378378378378</v>
      </c>
      <c r="W20" s="4" t="n">
        <v>-0.04361939541489157</v>
      </c>
      <c r="X20" s="4" t="n">
        <v>0.04457652303120363</v>
      </c>
      <c r="Y20" s="4" t="n">
        <v>0.01236741397168239</v>
      </c>
      <c r="Z20" s="4" t="n">
        <v>0.01629830704241075</v>
      </c>
      <c r="AA20" s="4" t="n">
        <v>0.03</v>
      </c>
      <c r="AB20" s="4" t="n">
        <v>0.05</v>
      </c>
      <c r="AC20" s="4">
        <f>(AB20+2*參數!$B$7)/(AA20+AB20)</f>
        <v/>
      </c>
    </row>
    <row r="21">
      <c r="A21" s="2" t="n">
        <v>20</v>
      </c>
      <c r="B21" s="2" t="inlineStr">
        <is>
          <t>VVV_USDT_PERP</t>
        </is>
      </c>
      <c r="C21" s="2" t="inlineStr">
        <is>
          <t>做空</t>
        </is>
      </c>
      <c r="D21" s="7" t="n">
        <v>46275.875</v>
      </c>
      <c r="E21" s="20" t="n">
        <v>23.292</v>
      </c>
      <c r="F21" s="20" t="n">
        <v>22.59324</v>
      </c>
      <c r="G21" s="20" t="n">
        <v>24.4566</v>
      </c>
      <c r="H21" s="7" t="n">
        <v>46275.91666666666</v>
      </c>
      <c r="I21" s="20" t="n">
        <v>24.4566</v>
      </c>
      <c r="J21" s="2" t="inlineStr">
        <is>
          <t>止損</t>
        </is>
      </c>
      <c r="K21" s="5">
        <f>(H21-D21)*24</f>
        <v/>
      </c>
      <c r="L21" s="4">
        <f>IF(C21="做多",I21/E21-1,1-I21/E21)-2*參數!$B$7</f>
        <v/>
      </c>
      <c r="M21" s="2" t="inlineStr"/>
      <c r="N21" s="4" t="n">
        <v>-0.02637629059900504</v>
      </c>
      <c r="O21" s="4" t="n">
        <v>0.04641505003504217</v>
      </c>
      <c r="P21" s="4" t="n">
        <v>-0.01964539380228325</v>
      </c>
      <c r="Q21" s="22" t="n">
        <v>-35674.3</v>
      </c>
      <c r="R21" s="22" t="n">
        <v>10729485.04223</v>
      </c>
      <c r="S21" s="4" t="n">
        <v>0</v>
      </c>
      <c r="T21" s="4" t="n">
        <v>0.05</v>
      </c>
      <c r="U21" s="19" t="n">
        <v>1.575610786892112</v>
      </c>
      <c r="V21" s="19" t="n">
        <v>0.7127845884413292</v>
      </c>
      <c r="W21" s="4" t="n">
        <v>-0.1153318868942759</v>
      </c>
      <c r="X21" s="4" t="n">
        <v>0.1622185454283864</v>
      </c>
      <c r="Y21" s="4" t="n">
        <v>0.01236741397168239</v>
      </c>
      <c r="Z21" s="4" t="n">
        <v>0.01629830704241075</v>
      </c>
      <c r="AA21" s="4" t="n">
        <v>0.03</v>
      </c>
      <c r="AB21" s="4" t="n">
        <v>0.05</v>
      </c>
      <c r="AC21" s="4">
        <f>(AB21+2*參數!$B$7)/(AA21+AB21)</f>
        <v/>
      </c>
    </row>
    <row r="22">
      <c r="A22" s="2" t="n">
        <v>21</v>
      </c>
      <c r="B22" s="2" t="inlineStr">
        <is>
          <t>VVV_USDT_PERP</t>
        </is>
      </c>
      <c r="C22" s="2" t="inlineStr">
        <is>
          <t>做多</t>
        </is>
      </c>
      <c r="D22" s="7" t="n">
        <v>46276.08333333334</v>
      </c>
      <c r="E22" s="20" t="n">
        <v>25.016</v>
      </c>
      <c r="F22" s="20" t="n">
        <v>25.76648</v>
      </c>
      <c r="G22" s="20" t="n">
        <v>23.7652</v>
      </c>
      <c r="H22" s="7" t="n">
        <v>46276.375</v>
      </c>
      <c r="I22" s="20" t="n">
        <v>23.7652</v>
      </c>
      <c r="J22" s="2" t="inlineStr">
        <is>
          <t>止損</t>
        </is>
      </c>
      <c r="K22" s="5">
        <f>(H22-D22)*24</f>
        <v/>
      </c>
      <c r="L22" s="4">
        <f>IF(C22="做多",I22/E22-1,1-I22/E22)-2*參數!$B$7</f>
        <v/>
      </c>
      <c r="M22" s="2" t="inlineStr"/>
      <c r="N22" s="4" t="n">
        <v>0.05339397001852775</v>
      </c>
      <c r="O22" s="4" t="n">
        <v>0.04472129955124805</v>
      </c>
      <c r="P22" s="4" t="n">
        <v>0.05560537170466184</v>
      </c>
      <c r="Q22" s="22" t="n">
        <v>6747.979999999996</v>
      </c>
      <c r="R22" s="22" t="n">
        <v>9187643.20025</v>
      </c>
      <c r="S22" s="4" t="n">
        <v>0.02630316597377691</v>
      </c>
      <c r="T22" s="4" t="n">
        <v>0.05</v>
      </c>
      <c r="U22" s="19" t="n">
        <v>1.09901111874392</v>
      </c>
      <c r="V22" s="19" t="n">
        <v>0.8169449598021009</v>
      </c>
      <c r="W22" s="4" t="n">
        <v>0.1783281080429278</v>
      </c>
      <c r="X22" s="4" t="n">
        <v>-0.01266921892883932</v>
      </c>
      <c r="Y22" s="4" t="n">
        <v>0.001618462654848773</v>
      </c>
      <c r="Z22" s="4" t="n">
        <v>-0.00714224747695813</v>
      </c>
      <c r="AA22" s="4" t="n">
        <v>0.03</v>
      </c>
      <c r="AB22" s="4" t="n">
        <v>0.05</v>
      </c>
      <c r="AC22" s="4">
        <f>(AB22+2*參數!$B$7)/(AA22+AB22)</f>
        <v/>
      </c>
    </row>
    <row r="23">
      <c r="A23" s="2" t="n">
        <v>22</v>
      </c>
      <c r="B23" s="2" t="inlineStr">
        <is>
          <t>BULLA_USDT_PERP</t>
        </is>
      </c>
      <c r="C23" s="2" t="inlineStr">
        <is>
          <t>做空</t>
        </is>
      </c>
      <c r="D23" s="7" t="n">
        <v>46276.45833333334</v>
      </c>
      <c r="E23" s="20" t="n">
        <v>0.07525999999999999</v>
      </c>
      <c r="F23" s="20" t="n">
        <v>0.07300219999999999</v>
      </c>
      <c r="G23" s="20" t="n">
        <v>0.079023</v>
      </c>
      <c r="H23" s="7" t="n">
        <v>46276.54166666666</v>
      </c>
      <c r="I23" s="20" t="n">
        <v>0.079023</v>
      </c>
      <c r="J23" s="2" t="inlineStr">
        <is>
          <t>止損</t>
        </is>
      </c>
      <c r="K23" s="5">
        <f>(H23-D23)*24</f>
        <v/>
      </c>
      <c r="L23" s="4">
        <f>IF(C23="做多",I23/E23-1,1-I23/E23)-2*參數!$B$7</f>
        <v/>
      </c>
      <c r="M23" s="2" t="inlineStr"/>
      <c r="N23" s="4" t="n">
        <v>-0.02017966410623628</v>
      </c>
      <c r="O23" s="4" t="n">
        <v>0.04823724419003356</v>
      </c>
      <c r="P23" s="4" t="n">
        <v>-0.05145413870246085</v>
      </c>
      <c r="Q23" s="22" t="n">
        <v>-4500436</v>
      </c>
      <c r="R23" s="22" t="n">
        <v>1429060.99886</v>
      </c>
      <c r="S23" s="4" t="n">
        <v>0.0001328727079457082</v>
      </c>
      <c r="T23" s="4" t="n">
        <v>0.05</v>
      </c>
      <c r="U23" s="19" t="n">
        <v>1.179648508398454</v>
      </c>
      <c r="V23" s="19" t="n">
        <v>0.6402877697841751</v>
      </c>
      <c r="W23" s="4" t="n">
        <v>0.0592064883000839</v>
      </c>
      <c r="X23" s="4" t="n">
        <v>0.1051129607609989</v>
      </c>
      <c r="Y23" s="4" t="n">
        <v>0.001734964936813466</v>
      </c>
      <c r="Z23" s="4" t="n">
        <v>0.005970263210509419</v>
      </c>
      <c r="AA23" s="4" t="n">
        <v>0.03</v>
      </c>
      <c r="AB23" s="4" t="n">
        <v>0.05</v>
      </c>
      <c r="AC23" s="4">
        <f>(AB23+2*參數!$B$7)/(AA23+AB23)</f>
        <v/>
      </c>
    </row>
    <row r="24">
      <c r="A24" s="2" t="n">
        <v>23</v>
      </c>
      <c r="B24" s="2" t="inlineStr">
        <is>
          <t>VVV_USDT_PERP</t>
        </is>
      </c>
      <c r="C24" s="2" t="inlineStr">
        <is>
          <t>做空</t>
        </is>
      </c>
      <c r="D24" s="7" t="n">
        <v>46276.45833333334</v>
      </c>
      <c r="E24" s="20" t="n">
        <v>23.446</v>
      </c>
      <c r="F24" s="20" t="n">
        <v>22.74262</v>
      </c>
      <c r="G24" s="20" t="n">
        <v>24.6183</v>
      </c>
      <c r="H24" s="7" t="n">
        <v>46276.58333333334</v>
      </c>
      <c r="I24" s="20" t="n">
        <v>24.6183</v>
      </c>
      <c r="J24" s="2" t="inlineStr">
        <is>
          <t>止損</t>
        </is>
      </c>
      <c r="K24" s="5">
        <f>(H24-D24)*24</f>
        <v/>
      </c>
      <c r="L24" s="4">
        <f>IF(C24="做多",I24/E24-1,1-I24/E24)-2*參數!$B$7</f>
        <v/>
      </c>
      <c r="M24" s="2" t="inlineStr"/>
      <c r="N24" s="4" t="n">
        <v>-0.02858800132582029</v>
      </c>
      <c r="O24" s="4" t="n">
        <v>0.04189686119826182</v>
      </c>
      <c r="P24" s="4" t="n">
        <v>-0.02906067853112593</v>
      </c>
      <c r="Q24" s="22" t="n">
        <v>-56586.84000000003</v>
      </c>
      <c r="R24" s="22" t="n">
        <v>7115164.396330001</v>
      </c>
      <c r="S24" s="4" t="n">
        <v>0.005331399812334769</v>
      </c>
      <c r="T24" s="4" t="n">
        <v>0.05</v>
      </c>
      <c r="U24" s="19" t="n">
        <v>0.477057045992042</v>
      </c>
      <c r="V24" s="19" t="n">
        <v>0.9759036144578291</v>
      </c>
      <c r="W24" s="4" t="n">
        <v>-0.07103180113873098</v>
      </c>
      <c r="X24" s="4" t="n">
        <v>0.009881756756756732</v>
      </c>
      <c r="Y24" s="4" t="n">
        <v>0.001734964936813466</v>
      </c>
      <c r="Z24" s="4" t="n">
        <v>0.005970263210509419</v>
      </c>
      <c r="AA24" s="4" t="n">
        <v>0.03</v>
      </c>
      <c r="AB24" s="4" t="n">
        <v>0.05</v>
      </c>
      <c r="AC24" s="4">
        <f>(AB24+2*參數!$B$7)/(AA24+AB24)</f>
        <v/>
      </c>
    </row>
    <row r="25">
      <c r="A25" s="2" t="n">
        <v>24</v>
      </c>
      <c r="B25" s="2" t="inlineStr">
        <is>
          <t>RAY_USDT_PERP</t>
        </is>
      </c>
      <c r="C25" s="2" t="inlineStr">
        <is>
          <t>做多</t>
        </is>
      </c>
      <c r="D25" s="7" t="n">
        <v>46277.41666666666</v>
      </c>
      <c r="E25" s="20" t="n">
        <v>1.716</v>
      </c>
      <c r="F25" s="20" t="n">
        <v>1.76748</v>
      </c>
      <c r="G25" s="20" t="n">
        <v>1.6302</v>
      </c>
      <c r="H25" s="7" t="n">
        <v>46277.5</v>
      </c>
      <c r="I25" s="20" t="n">
        <v>1.6302</v>
      </c>
      <c r="J25" s="2" t="inlineStr">
        <is>
          <t>止損</t>
        </is>
      </c>
      <c r="K25" s="5">
        <f>(H25-D25)*24</f>
        <v/>
      </c>
      <c r="L25" s="4">
        <f>IF(C25="做多",I25/E25-1,1-I25/E25)-2*參數!$B$7</f>
        <v/>
      </c>
      <c r="M25" s="2" t="inlineStr"/>
      <c r="N25" s="4" t="n">
        <v>0.04000000000000004</v>
      </c>
      <c r="O25" s="4" t="n">
        <v>0.04282887250254052</v>
      </c>
      <c r="P25" s="4" t="n">
        <v>0.05939004815409299</v>
      </c>
      <c r="Q25" s="22" t="n">
        <v>721092.5999999996</v>
      </c>
      <c r="R25" s="22" t="n">
        <v>4467953.1854</v>
      </c>
      <c r="S25" s="4" t="n">
        <v>0.01515151515151514</v>
      </c>
      <c r="T25" s="4" t="n">
        <v>0.05</v>
      </c>
      <c r="U25" s="19" t="n">
        <v>0.480733710492018</v>
      </c>
      <c r="V25" s="19" t="n">
        <v>0.8888888888888876</v>
      </c>
      <c r="W25" s="4" t="n">
        <v>0.2746234067207416</v>
      </c>
      <c r="X25" s="4" t="n">
        <v>0.1432378414390407</v>
      </c>
      <c r="Y25" s="4" t="n">
        <v>-0.0001993481058047974</v>
      </c>
      <c r="Z25" s="4" t="n">
        <v>-0.002897721507352458</v>
      </c>
      <c r="AA25" s="4" t="n">
        <v>0.03</v>
      </c>
      <c r="AB25" s="4" t="n">
        <v>0.05</v>
      </c>
      <c r="AC25" s="4">
        <f>(AB25+2*參數!$B$7)/(AA25+AB25)</f>
        <v/>
      </c>
    </row>
    <row r="26">
      <c r="A26" s="2" t="n">
        <v>25</v>
      </c>
      <c r="B26" s="2" t="inlineStr">
        <is>
          <t>UAI_USDT_PERP</t>
        </is>
      </c>
      <c r="C26" s="2" t="inlineStr">
        <is>
          <t>做多</t>
        </is>
      </c>
      <c r="D26" s="7" t="n">
        <v>46277.625</v>
      </c>
      <c r="E26" s="20" t="n">
        <v>0.6982</v>
      </c>
      <c r="F26" s="20" t="n">
        <v>0.7191460000000001</v>
      </c>
      <c r="G26" s="20" t="n">
        <v>0.66329</v>
      </c>
      <c r="H26" s="7" t="n">
        <v>46277.66666666666</v>
      </c>
      <c r="I26" s="20" t="n">
        <v>0.7191460000000001</v>
      </c>
      <c r="J26" s="2" t="inlineStr">
        <is>
          <t>止盈</t>
        </is>
      </c>
      <c r="K26" s="5">
        <f>(H26-D26)*24</f>
        <v/>
      </c>
      <c r="L26" s="4">
        <f>IF(C26="做多",I26/E26-1,1-I26/E26)-2*參數!$B$7</f>
        <v/>
      </c>
      <c r="M26" s="2" t="inlineStr"/>
      <c r="N26" s="4" t="n">
        <v>0.07069467873025603</v>
      </c>
      <c r="O26" s="4" t="n">
        <v>0.04655508252481794</v>
      </c>
      <c r="P26" s="4" t="n">
        <v>0.05840799187472534</v>
      </c>
      <c r="Q26" s="22" t="n">
        <v>12818</v>
      </c>
      <c r="R26" s="22" t="n">
        <v>1384633.5535</v>
      </c>
      <c r="S26" s="4" t="n">
        <v>0.03</v>
      </c>
      <c r="T26" s="4" t="n">
        <v>0</v>
      </c>
      <c r="U26" s="19" t="n">
        <v>3.50905131059224</v>
      </c>
      <c r="V26" s="19" t="n">
        <v>0.579800498753118</v>
      </c>
      <c r="W26" s="4" t="n">
        <v>0.002663909412719434</v>
      </c>
      <c r="X26" s="4" t="n">
        <v>0.1590305444887119</v>
      </c>
      <c r="Y26" s="4" t="n">
        <v>0.001065073116880644</v>
      </c>
      <c r="Z26" s="4" t="n">
        <v>-0.002830626471078013</v>
      </c>
      <c r="AA26" s="4" t="n">
        <v>0.03</v>
      </c>
      <c r="AB26" s="4" t="n">
        <v>0.05</v>
      </c>
      <c r="AC26" s="4">
        <f>(AB26+2*參數!$B$7)/(AA26+AB26)</f>
        <v/>
      </c>
    </row>
    <row r="27">
      <c r="A27" s="2" t="n">
        <v>26</v>
      </c>
      <c r="B27" s="2" t="inlineStr">
        <is>
          <t>RIVER_USDT_PERP</t>
        </is>
      </c>
      <c r="C27" s="2" t="inlineStr">
        <is>
          <t>做多</t>
        </is>
      </c>
      <c r="D27" s="7" t="n">
        <v>46278.08333333334</v>
      </c>
      <c r="E27" s="20" t="n">
        <v>1.412</v>
      </c>
      <c r="F27" s="20" t="n">
        <v>1.45436</v>
      </c>
      <c r="G27" s="20" t="n">
        <v>1.3414</v>
      </c>
      <c r="H27" s="7" t="n">
        <v>46278.125</v>
      </c>
      <c r="I27" s="20" t="n">
        <v>1.45436</v>
      </c>
      <c r="J27" s="2" t="inlineStr">
        <is>
          <t>止盈</t>
        </is>
      </c>
      <c r="K27" s="5">
        <f>(H27-D27)*24</f>
        <v/>
      </c>
      <c r="L27" s="4">
        <f>IF(C27="做多",I27/E27-1,1-I27/E27)-2*參數!$B$7</f>
        <v/>
      </c>
      <c r="M27" s="2" t="inlineStr"/>
      <c r="N27" s="4" t="n">
        <v>0.06485671191553544</v>
      </c>
      <c r="O27" s="4" t="n">
        <v>0.0402440441641955</v>
      </c>
      <c r="P27" s="4" t="n">
        <v>0.05724233461869632</v>
      </c>
      <c r="Q27" s="22" t="n">
        <v>358363.9</v>
      </c>
      <c r="R27" s="22" t="n">
        <v>2323206.5163</v>
      </c>
      <c r="S27" s="4" t="n">
        <v>0.03</v>
      </c>
      <c r="T27" s="4" t="n">
        <v>0</v>
      </c>
      <c r="U27" s="19" t="n">
        <v>1.628344958438214</v>
      </c>
      <c r="V27" s="19" t="n">
        <v>0.9374999999999999</v>
      </c>
      <c r="W27" s="4" t="n">
        <v>0.1756477719309932</v>
      </c>
      <c r="X27" s="4" t="n">
        <v>0.1489015459723351</v>
      </c>
      <c r="Y27" s="4" t="n">
        <v>-0.001973460448671305</v>
      </c>
      <c r="Z27" s="4" t="n">
        <v>-0.001188114198741208</v>
      </c>
      <c r="AA27" s="4" t="n">
        <v>0.03</v>
      </c>
      <c r="AB27" s="4" t="n">
        <v>0.05</v>
      </c>
      <c r="AC27" s="4">
        <f>(AB27+2*參數!$B$7)/(AA27+AB27)</f>
        <v/>
      </c>
    </row>
    <row r="28">
      <c r="A28" s="2" t="n">
        <v>27</v>
      </c>
      <c r="B28" s="2" t="inlineStr">
        <is>
          <t>RIVER_USDT_PERP</t>
        </is>
      </c>
      <c r="C28" s="2" t="inlineStr">
        <is>
          <t>做空</t>
        </is>
      </c>
      <c r="D28" s="7" t="n">
        <v>46278.5</v>
      </c>
      <c r="E28" s="20" t="n">
        <v>1.261</v>
      </c>
      <c r="F28" s="20" t="n">
        <v>1.22317</v>
      </c>
      <c r="G28" s="20" t="n">
        <v>1.32405</v>
      </c>
      <c r="H28" s="7" t="n">
        <v>46278.70833333334</v>
      </c>
      <c r="I28" s="20" t="n">
        <v>1.22317</v>
      </c>
      <c r="J28" s="2" t="inlineStr">
        <is>
          <t>止盈</t>
        </is>
      </c>
      <c r="K28" s="5">
        <f>(H28-D28)*24</f>
        <v/>
      </c>
      <c r="L28" s="4">
        <f>IF(C28="做多",I28/E28-1,1-I28/E28)-2*參數!$B$7</f>
        <v/>
      </c>
      <c r="M28" s="2" t="inlineStr"/>
      <c r="N28" s="4" t="n">
        <v>-0.03149001536098317</v>
      </c>
      <c r="O28" s="4" t="n">
        <v>0.04700685788213382</v>
      </c>
      <c r="P28" s="4" t="n">
        <v>-0.05684367988032912</v>
      </c>
      <c r="Q28" s="22" t="n">
        <v>-166098.5</v>
      </c>
      <c r="R28" s="22" t="n">
        <v>1633132.5949</v>
      </c>
      <c r="S28" s="4" t="n">
        <v>0.03</v>
      </c>
      <c r="T28" s="4" t="n">
        <v>0.04203013481364004</v>
      </c>
      <c r="U28" s="19" t="n">
        <v>2.452428134930138</v>
      </c>
      <c r="V28" s="19" t="n">
        <v>0.875</v>
      </c>
      <c r="W28" s="4" t="n">
        <v>-0.03967416397335244</v>
      </c>
      <c r="X28" s="4" t="n">
        <v>0.1181818181818182</v>
      </c>
      <c r="Y28" s="4" t="n">
        <v>0.001314973745824233</v>
      </c>
      <c r="Z28" s="4" t="n">
        <v>0.001197595179174393</v>
      </c>
      <c r="AA28" s="4" t="n">
        <v>0.03</v>
      </c>
      <c r="AB28" s="4" t="n">
        <v>0.05</v>
      </c>
      <c r="AC28" s="4">
        <f>(AB28+2*參數!$B$7)/(AA28+AB28)</f>
        <v/>
      </c>
    </row>
    <row r="29">
      <c r="A29" s="2" t="n">
        <v>28</v>
      </c>
      <c r="B29" s="2" t="inlineStr">
        <is>
          <t>LAB_USDT_PERP</t>
        </is>
      </c>
      <c r="C29" s="2" t="inlineStr">
        <is>
          <t>做多</t>
        </is>
      </c>
      <c r="D29" s="7" t="n">
        <v>46278.95833333334</v>
      </c>
      <c r="E29" s="20" t="n">
        <v>0.06897</v>
      </c>
      <c r="F29" s="20" t="n">
        <v>0.07103910000000001</v>
      </c>
      <c r="G29" s="20" t="n">
        <v>0.0655215</v>
      </c>
      <c r="H29" s="7" t="n">
        <v>46279</v>
      </c>
      <c r="I29" s="20" t="n">
        <v>0.07103910000000001</v>
      </c>
      <c r="J29" s="2" t="inlineStr">
        <is>
          <t>止盈</t>
        </is>
      </c>
      <c r="K29" s="5">
        <f>(H29-D29)*24</f>
        <v/>
      </c>
      <c r="L29" s="4">
        <f>IF(C29="做多",I29/E29-1,1-I29/E29)-2*參數!$B$7</f>
        <v/>
      </c>
      <c r="M29" s="2" t="inlineStr"/>
      <c r="N29" s="4" t="n">
        <v>0.0401146131805159</v>
      </c>
      <c r="O29" s="4" t="n">
        <v>0.04984835563975233</v>
      </c>
      <c r="P29" s="4" t="n">
        <v>0.02012291172098601</v>
      </c>
      <c r="Q29" s="22" t="n">
        <v>1513283</v>
      </c>
      <c r="R29" s="22" t="n">
        <v>2656323.83996</v>
      </c>
      <c r="S29" s="4" t="n">
        <v>0.03</v>
      </c>
      <c r="T29" s="4" t="n">
        <v>0</v>
      </c>
      <c r="U29" s="19" t="n">
        <v>2.228271138805124</v>
      </c>
      <c r="V29" s="19" t="n">
        <v>0.6235827664399103</v>
      </c>
      <c r="W29" s="4" t="n">
        <v>0.118889060129945</v>
      </c>
      <c r="X29" s="4" t="n">
        <v>-0.04008350730688925</v>
      </c>
      <c r="Y29" s="4" t="n">
        <v>0.004704889882924723</v>
      </c>
      <c r="Z29" s="4" t="n">
        <v>0.001557067200726125</v>
      </c>
      <c r="AA29" s="4" t="n">
        <v>0.03</v>
      </c>
      <c r="AB29" s="4" t="n">
        <v>0.05</v>
      </c>
      <c r="AC29" s="4">
        <f>(AB29+2*參數!$B$7)/(AA29+AB29)</f>
        <v/>
      </c>
    </row>
  </sheetData>
  <autoFilter ref="A1:AC29"/>
  <conditionalFormatting sqref="J2:J29">
    <cfRule type="cellIs" priority="1" operator="equal" dxfId="0">
      <formula>"止盈"</formula>
    </cfRule>
    <cfRule type="cellIs" priority="2" operator="equal" dxfId="1">
      <formula>"止損"</formula>
    </cfRule>
    <cfRule type="cellIs" priority="3" operator="equal" dxfId="2">
      <formula>"未平倉"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7" customWidth="1" min="4" max="4"/>
    <col width="8" customWidth="1" min="5" max="5"/>
    <col width="7" customWidth="1" min="6" max="6"/>
    <col width="7" customWidth="1" min="7" max="7"/>
    <col width="9" customWidth="1" min="8" max="8"/>
    <col width="12" customWidth="1" min="9" max="9"/>
    <col width="11" customWidth="1" min="10" max="10"/>
    <col width="11" customWidth="1" min="11" max="11"/>
    <col width="8" customWidth="1" min="12" max="12"/>
  </cols>
  <sheetData>
    <row r="1">
      <c r="A1" s="3" t="inlineStr">
        <is>
          <t>交易對</t>
        </is>
      </c>
      <c r="B1" s="3" t="inlineStr">
        <is>
          <t>總筆數</t>
        </is>
      </c>
      <c r="C1" s="3" t="inlineStr">
        <is>
          <t>做多</t>
        </is>
      </c>
      <c r="D1" s="3" t="inlineStr">
        <is>
          <t>做空</t>
        </is>
      </c>
      <c r="E1" s="3" t="inlineStr">
        <is>
          <t>已平倉</t>
        </is>
      </c>
      <c r="F1" s="3" t="inlineStr">
        <is>
          <t>止盈</t>
        </is>
      </c>
      <c r="G1" s="3" t="inlineStr">
        <is>
          <t>止損</t>
        </is>
      </c>
      <c r="H1" s="3" t="inlineStr">
        <is>
          <t>勝率</t>
        </is>
      </c>
      <c r="I1" s="3" t="inlineStr">
        <is>
          <t>平均報酬/筆</t>
        </is>
      </c>
      <c r="J1" s="3" t="inlineStr">
        <is>
          <t>累計報酬</t>
        </is>
      </c>
      <c r="K1" s="3" t="inlineStr">
        <is>
          <t>平均持倉h</t>
        </is>
      </c>
      <c r="L1" s="3" t="inlineStr">
        <is>
          <t>未平倉</t>
        </is>
      </c>
    </row>
    <row r="2">
      <c r="A2" s="2" t="inlineStr">
        <is>
          <t>RAY_USDT_PERP</t>
        </is>
      </c>
      <c r="B2" s="2">
        <f>COUNTIFS(交易明細!$B$2:$B$29,$A2)</f>
        <v/>
      </c>
      <c r="C2" s="2">
        <f>COUNTIFS(交易明細!$B$2:$B$29,$A2,交易明細!$C$2:$C$29,"做多")</f>
        <v/>
      </c>
      <c r="D2" s="2">
        <f>COUNTIFS(交易明細!$B$2:$B$29,$A2,交易明細!$C$2:$C$29,"做空")</f>
        <v/>
      </c>
      <c r="E2" s="2">
        <f>F2+G2+COUNTIFS(交易明細!$B$2:$B$29,$A2,交易明細!$J$2:$J$29,"時間出場")</f>
        <v/>
      </c>
      <c r="F2" s="2">
        <f>COUNTIFS(交易明細!$B$2:$B$29,$A2,交易明細!$J$2:$J$29,"止盈")</f>
        <v/>
      </c>
      <c r="G2" s="2">
        <f>COUNTIFS(交易明細!$B$2:$B$29,$A2,交易明細!$J$2:$J$29,"止損")</f>
        <v/>
      </c>
      <c r="H2" s="4">
        <f>IFERROR(F2/E2,0)</f>
        <v/>
      </c>
      <c r="I2" s="4">
        <f>IFERROR(AVERAGEIFS(交易明細!$L$2:$L$29,交易明細!$B$2:$B$29,$A2,交易明細!$J$2:$J$29,"&lt;&gt;未平倉"),0)</f>
        <v/>
      </c>
      <c r="J2" s="4">
        <f>SUMIFS(交易明細!$L$2:$L$29,交易明細!$B$2:$B$29,$A2,交易明細!$J$2:$J$29,"&lt;&gt;未平倉")</f>
        <v/>
      </c>
      <c r="K2" s="5">
        <f>IFERROR(AVERAGEIFS(交易明細!$K$2:$K$29,交易明細!$B$2:$B$29,$A2,交易明細!$J$2:$J$29,"&lt;&gt;未平倉"),0)</f>
        <v/>
      </c>
      <c r="L2" s="2">
        <f>COUNTIFS(交易明細!$B$2:$B$29,$A2,交易明細!$J$2:$J$29,"未平倉")</f>
        <v/>
      </c>
    </row>
    <row r="3">
      <c r="A3" s="2" t="inlineStr">
        <is>
          <t>UAI_USDT_PERP</t>
        </is>
      </c>
      <c r="B3" s="2">
        <f>COUNTIFS(交易明細!$B$2:$B$29,$A3)</f>
        <v/>
      </c>
      <c r="C3" s="2">
        <f>COUNTIFS(交易明細!$B$2:$B$29,$A3,交易明細!$C$2:$C$29,"做多")</f>
        <v/>
      </c>
      <c r="D3" s="2">
        <f>COUNTIFS(交易明細!$B$2:$B$29,$A3,交易明細!$C$2:$C$29,"做空")</f>
        <v/>
      </c>
      <c r="E3" s="2">
        <f>F3+G3+COUNTIFS(交易明細!$B$2:$B$29,$A3,交易明細!$J$2:$J$29,"時間出場")</f>
        <v/>
      </c>
      <c r="F3" s="2">
        <f>COUNTIFS(交易明細!$B$2:$B$29,$A3,交易明細!$J$2:$J$29,"止盈")</f>
        <v/>
      </c>
      <c r="G3" s="2">
        <f>COUNTIFS(交易明細!$B$2:$B$29,$A3,交易明細!$J$2:$J$29,"止損")</f>
        <v/>
      </c>
      <c r="H3" s="4">
        <f>IFERROR(F3/E3,0)</f>
        <v/>
      </c>
      <c r="I3" s="4">
        <f>IFERROR(AVERAGEIFS(交易明細!$L$2:$L$29,交易明細!$B$2:$B$29,$A3,交易明細!$J$2:$J$29,"&lt;&gt;未平倉"),0)</f>
        <v/>
      </c>
      <c r="J3" s="4">
        <f>SUMIFS(交易明細!$L$2:$L$29,交易明細!$B$2:$B$29,$A3,交易明細!$J$2:$J$29,"&lt;&gt;未平倉")</f>
        <v/>
      </c>
      <c r="K3" s="5">
        <f>IFERROR(AVERAGEIFS(交易明細!$K$2:$K$29,交易明細!$B$2:$B$29,$A3,交易明細!$J$2:$J$29,"&lt;&gt;未平倉"),0)</f>
        <v/>
      </c>
      <c r="L3" s="2">
        <f>COUNTIFS(交易明細!$B$2:$B$29,$A3,交易明細!$J$2:$J$29,"未平倉")</f>
        <v/>
      </c>
    </row>
    <row r="4">
      <c r="A4" s="2" t="inlineStr">
        <is>
          <t>VVV_USDT_PERP</t>
        </is>
      </c>
      <c r="B4" s="2">
        <f>COUNTIFS(交易明細!$B$2:$B$29,$A4)</f>
        <v/>
      </c>
      <c r="C4" s="2">
        <f>COUNTIFS(交易明細!$B$2:$B$29,$A4,交易明細!$C$2:$C$29,"做多")</f>
        <v/>
      </c>
      <c r="D4" s="2">
        <f>COUNTIFS(交易明細!$B$2:$B$29,$A4,交易明細!$C$2:$C$29,"做空")</f>
        <v/>
      </c>
      <c r="E4" s="2">
        <f>F4+G4+COUNTIFS(交易明細!$B$2:$B$29,$A4,交易明細!$J$2:$J$29,"時間出場")</f>
        <v/>
      </c>
      <c r="F4" s="2">
        <f>COUNTIFS(交易明細!$B$2:$B$29,$A4,交易明細!$J$2:$J$29,"止盈")</f>
        <v/>
      </c>
      <c r="G4" s="2">
        <f>COUNTIFS(交易明細!$B$2:$B$29,$A4,交易明細!$J$2:$J$29,"止損")</f>
        <v/>
      </c>
      <c r="H4" s="4">
        <f>IFERROR(F4/E4,0)</f>
        <v/>
      </c>
      <c r="I4" s="4">
        <f>IFERROR(AVERAGEIFS(交易明細!$L$2:$L$29,交易明細!$B$2:$B$29,$A4,交易明細!$J$2:$J$29,"&lt;&gt;未平倉"),0)</f>
        <v/>
      </c>
      <c r="J4" s="4">
        <f>SUMIFS(交易明細!$L$2:$L$29,交易明細!$B$2:$B$29,$A4,交易明細!$J$2:$J$29,"&lt;&gt;未平倉")</f>
        <v/>
      </c>
      <c r="K4" s="5">
        <f>IFERROR(AVERAGEIFS(交易明細!$K$2:$K$29,交易明細!$B$2:$B$29,$A4,交易明細!$J$2:$J$29,"&lt;&gt;未平倉"),0)</f>
        <v/>
      </c>
      <c r="L4" s="2">
        <f>COUNTIFS(交易明細!$B$2:$B$29,$A4,交易明細!$J$2:$J$29,"未平倉")</f>
        <v/>
      </c>
    </row>
    <row r="5">
      <c r="A5" s="2" t="inlineStr">
        <is>
          <t>USELESS_USDT_PERP</t>
        </is>
      </c>
      <c r="B5" s="2">
        <f>COUNTIFS(交易明細!$B$2:$B$29,$A5)</f>
        <v/>
      </c>
      <c r="C5" s="2">
        <f>COUNTIFS(交易明細!$B$2:$B$29,$A5,交易明細!$C$2:$C$29,"做多")</f>
        <v/>
      </c>
      <c r="D5" s="2">
        <f>COUNTIFS(交易明細!$B$2:$B$29,$A5,交易明細!$C$2:$C$29,"做空")</f>
        <v/>
      </c>
      <c r="E5" s="2">
        <f>F5+G5+COUNTIFS(交易明細!$B$2:$B$29,$A5,交易明細!$J$2:$J$29,"時間出場")</f>
        <v/>
      </c>
      <c r="F5" s="2">
        <f>COUNTIFS(交易明細!$B$2:$B$29,$A5,交易明細!$J$2:$J$29,"止盈")</f>
        <v/>
      </c>
      <c r="G5" s="2">
        <f>COUNTIFS(交易明細!$B$2:$B$29,$A5,交易明細!$J$2:$J$29,"止損")</f>
        <v/>
      </c>
      <c r="H5" s="4">
        <f>IFERROR(F5/E5,0)</f>
        <v/>
      </c>
      <c r="I5" s="4">
        <f>IFERROR(AVERAGEIFS(交易明細!$L$2:$L$29,交易明細!$B$2:$B$29,$A5,交易明細!$J$2:$J$29,"&lt;&gt;未平倉"),0)</f>
        <v/>
      </c>
      <c r="J5" s="4">
        <f>SUMIFS(交易明細!$L$2:$L$29,交易明細!$B$2:$B$29,$A5,交易明細!$J$2:$J$29,"&lt;&gt;未平倉")</f>
        <v/>
      </c>
      <c r="K5" s="5">
        <f>IFERROR(AVERAGEIFS(交易明細!$K$2:$K$29,交易明細!$B$2:$B$29,$A5,交易明細!$J$2:$J$29,"&lt;&gt;未平倉"),0)</f>
        <v/>
      </c>
      <c r="L5" s="2">
        <f>COUNTIFS(交易明細!$B$2:$B$29,$A5,交易明細!$J$2:$J$29,"未平倉")</f>
        <v/>
      </c>
    </row>
    <row r="6">
      <c r="A6" s="2" t="inlineStr">
        <is>
          <t>HEMI_USDT_PERP</t>
        </is>
      </c>
      <c r="B6" s="2">
        <f>COUNTIFS(交易明細!$B$2:$B$29,$A6)</f>
        <v/>
      </c>
      <c r="C6" s="2">
        <f>COUNTIFS(交易明細!$B$2:$B$29,$A6,交易明細!$C$2:$C$29,"做多")</f>
        <v/>
      </c>
      <c r="D6" s="2">
        <f>COUNTIFS(交易明細!$B$2:$B$29,$A6,交易明細!$C$2:$C$29,"做空")</f>
        <v/>
      </c>
      <c r="E6" s="2">
        <f>F6+G6+COUNTIFS(交易明細!$B$2:$B$29,$A6,交易明細!$J$2:$J$29,"時間出場")</f>
        <v/>
      </c>
      <c r="F6" s="2">
        <f>COUNTIFS(交易明細!$B$2:$B$29,$A6,交易明細!$J$2:$J$29,"止盈")</f>
        <v/>
      </c>
      <c r="G6" s="2">
        <f>COUNTIFS(交易明細!$B$2:$B$29,$A6,交易明細!$J$2:$J$29,"止損")</f>
        <v/>
      </c>
      <c r="H6" s="4">
        <f>IFERROR(F6/E6,0)</f>
        <v/>
      </c>
      <c r="I6" s="4">
        <f>IFERROR(AVERAGEIFS(交易明細!$L$2:$L$29,交易明細!$B$2:$B$29,$A6,交易明細!$J$2:$J$29,"&lt;&gt;未平倉"),0)</f>
        <v/>
      </c>
      <c r="J6" s="4">
        <f>SUMIFS(交易明細!$L$2:$L$29,交易明細!$B$2:$B$29,$A6,交易明細!$J$2:$J$29,"&lt;&gt;未平倉")</f>
        <v/>
      </c>
      <c r="K6" s="5">
        <f>IFERROR(AVERAGEIFS(交易明細!$K$2:$K$29,交易明細!$B$2:$B$29,$A6,交易明細!$J$2:$J$29,"&lt;&gt;未平倉"),0)</f>
        <v/>
      </c>
      <c r="L6" s="2">
        <f>COUNTIFS(交易明細!$B$2:$B$29,$A6,交易明細!$J$2:$J$29,"未平倉")</f>
        <v/>
      </c>
    </row>
    <row r="7">
      <c r="A7" s="2" t="inlineStr">
        <is>
          <t>BULLA_USDT_PERP</t>
        </is>
      </c>
      <c r="B7" s="2">
        <f>COUNTIFS(交易明細!$B$2:$B$29,$A7)</f>
        <v/>
      </c>
      <c r="C7" s="2">
        <f>COUNTIFS(交易明細!$B$2:$B$29,$A7,交易明細!$C$2:$C$29,"做多")</f>
        <v/>
      </c>
      <c r="D7" s="2">
        <f>COUNTIFS(交易明細!$B$2:$B$29,$A7,交易明細!$C$2:$C$29,"做空")</f>
        <v/>
      </c>
      <c r="E7" s="2">
        <f>F7+G7+COUNTIFS(交易明細!$B$2:$B$29,$A7,交易明細!$J$2:$J$29,"時間出場")</f>
        <v/>
      </c>
      <c r="F7" s="2">
        <f>COUNTIFS(交易明細!$B$2:$B$29,$A7,交易明細!$J$2:$J$29,"止盈")</f>
        <v/>
      </c>
      <c r="G7" s="2">
        <f>COUNTIFS(交易明細!$B$2:$B$29,$A7,交易明細!$J$2:$J$29,"止損")</f>
        <v/>
      </c>
      <c r="H7" s="4">
        <f>IFERROR(F7/E7,0)</f>
        <v/>
      </c>
      <c r="I7" s="4">
        <f>IFERROR(AVERAGEIFS(交易明細!$L$2:$L$29,交易明細!$B$2:$B$29,$A7,交易明細!$J$2:$J$29,"&lt;&gt;未平倉"),0)</f>
        <v/>
      </c>
      <c r="J7" s="4">
        <f>SUMIFS(交易明細!$L$2:$L$29,交易明細!$B$2:$B$29,$A7,交易明細!$J$2:$J$29,"&lt;&gt;未平倉")</f>
        <v/>
      </c>
      <c r="K7" s="5">
        <f>IFERROR(AVERAGEIFS(交易明細!$K$2:$K$29,交易明細!$B$2:$B$29,$A7,交易明細!$J$2:$J$29,"&lt;&gt;未平倉"),0)</f>
        <v/>
      </c>
      <c r="L7" s="2">
        <f>COUNTIFS(交易明細!$B$2:$B$29,$A7,交易明細!$J$2:$J$29,"未平倉")</f>
        <v/>
      </c>
    </row>
    <row r="8">
      <c r="A8" s="2" t="inlineStr">
        <is>
          <t>PONS_USDT_PERP</t>
        </is>
      </c>
      <c r="B8" s="2">
        <f>COUNTIFS(交易明細!$B$2:$B$29,$A8)</f>
        <v/>
      </c>
      <c r="C8" s="2">
        <f>COUNTIFS(交易明細!$B$2:$B$29,$A8,交易明細!$C$2:$C$29,"做多")</f>
        <v/>
      </c>
      <c r="D8" s="2">
        <f>COUNTIFS(交易明細!$B$2:$B$29,$A8,交易明細!$C$2:$C$29,"做空")</f>
        <v/>
      </c>
      <c r="E8" s="2">
        <f>F8+G8+COUNTIFS(交易明細!$B$2:$B$29,$A8,交易明細!$J$2:$J$29,"時間出場")</f>
        <v/>
      </c>
      <c r="F8" s="2">
        <f>COUNTIFS(交易明細!$B$2:$B$29,$A8,交易明細!$J$2:$J$29,"止盈")</f>
        <v/>
      </c>
      <c r="G8" s="2">
        <f>COUNTIFS(交易明細!$B$2:$B$29,$A8,交易明細!$J$2:$J$29,"止損")</f>
        <v/>
      </c>
      <c r="H8" s="4">
        <f>IFERROR(F8/E8,0)</f>
        <v/>
      </c>
      <c r="I8" s="4">
        <f>IFERROR(AVERAGEIFS(交易明細!$L$2:$L$29,交易明細!$B$2:$B$29,$A8,交易明細!$J$2:$J$29,"&lt;&gt;未平倉"),0)</f>
        <v/>
      </c>
      <c r="J8" s="4">
        <f>SUMIFS(交易明細!$L$2:$L$29,交易明細!$B$2:$B$29,$A8,交易明細!$J$2:$J$29,"&lt;&gt;未平倉")</f>
        <v/>
      </c>
      <c r="K8" s="5">
        <f>IFERROR(AVERAGEIFS(交易明細!$K$2:$K$29,交易明細!$B$2:$B$29,$A8,交易明細!$J$2:$J$29,"&lt;&gt;未平倉"),0)</f>
        <v/>
      </c>
      <c r="L8" s="2">
        <f>COUNTIFS(交易明細!$B$2:$B$29,$A8,交易明細!$J$2:$J$29,"未平倉")</f>
        <v/>
      </c>
    </row>
    <row r="9">
      <c r="A9" s="2" t="inlineStr">
        <is>
          <t>RIVER_USDT_PERP</t>
        </is>
      </c>
      <c r="B9" s="2">
        <f>COUNTIFS(交易明細!$B$2:$B$29,$A9)</f>
        <v/>
      </c>
      <c r="C9" s="2">
        <f>COUNTIFS(交易明細!$B$2:$B$29,$A9,交易明細!$C$2:$C$29,"做多")</f>
        <v/>
      </c>
      <c r="D9" s="2">
        <f>COUNTIFS(交易明細!$B$2:$B$29,$A9,交易明細!$C$2:$C$29,"做空")</f>
        <v/>
      </c>
      <c r="E9" s="2">
        <f>F9+G9+COUNTIFS(交易明細!$B$2:$B$29,$A9,交易明細!$J$2:$J$29,"時間出場")</f>
        <v/>
      </c>
      <c r="F9" s="2">
        <f>COUNTIFS(交易明細!$B$2:$B$29,$A9,交易明細!$J$2:$J$29,"止盈")</f>
        <v/>
      </c>
      <c r="G9" s="2">
        <f>COUNTIFS(交易明細!$B$2:$B$29,$A9,交易明細!$J$2:$J$29,"止損")</f>
        <v/>
      </c>
      <c r="H9" s="4">
        <f>IFERROR(F9/E9,0)</f>
        <v/>
      </c>
      <c r="I9" s="4">
        <f>IFERROR(AVERAGEIFS(交易明細!$L$2:$L$29,交易明細!$B$2:$B$29,$A9,交易明細!$J$2:$J$29,"&lt;&gt;未平倉"),0)</f>
        <v/>
      </c>
      <c r="J9" s="4">
        <f>SUMIFS(交易明細!$L$2:$L$29,交易明細!$B$2:$B$29,$A9,交易明細!$J$2:$J$29,"&lt;&gt;未平倉")</f>
        <v/>
      </c>
      <c r="K9" s="5">
        <f>IFERROR(AVERAGEIFS(交易明細!$K$2:$K$29,交易明細!$B$2:$B$29,$A9,交易明細!$J$2:$J$29,"&lt;&gt;未平倉"),0)</f>
        <v/>
      </c>
      <c r="L9" s="2">
        <f>COUNTIFS(交易明細!$B$2:$B$29,$A9,交易明細!$J$2:$J$29,"未平倉")</f>
        <v/>
      </c>
    </row>
    <row r="10">
      <c r="A10" s="2" t="inlineStr">
        <is>
          <t>ACE_USDT_PERP</t>
        </is>
      </c>
      <c r="B10" s="2">
        <f>COUNTIFS(交易明細!$B$2:$B$29,$A10)</f>
        <v/>
      </c>
      <c r="C10" s="2">
        <f>COUNTIFS(交易明細!$B$2:$B$29,$A10,交易明細!$C$2:$C$29,"做多")</f>
        <v/>
      </c>
      <c r="D10" s="2">
        <f>COUNTIFS(交易明細!$B$2:$B$29,$A10,交易明細!$C$2:$C$29,"做空")</f>
        <v/>
      </c>
      <c r="E10" s="2">
        <f>F10+G10+COUNTIFS(交易明細!$B$2:$B$29,$A10,交易明細!$J$2:$J$29,"時間出場")</f>
        <v/>
      </c>
      <c r="F10" s="2">
        <f>COUNTIFS(交易明細!$B$2:$B$29,$A10,交易明細!$J$2:$J$29,"止盈")</f>
        <v/>
      </c>
      <c r="G10" s="2">
        <f>COUNTIFS(交易明細!$B$2:$B$29,$A10,交易明細!$J$2:$J$29,"止損")</f>
        <v/>
      </c>
      <c r="H10" s="4">
        <f>IFERROR(F10/E10,0)</f>
        <v/>
      </c>
      <c r="I10" s="4">
        <f>IFERROR(AVERAGEIFS(交易明細!$L$2:$L$29,交易明細!$B$2:$B$29,$A10,交易明細!$J$2:$J$29,"&lt;&gt;未平倉"),0)</f>
        <v/>
      </c>
      <c r="J10" s="4">
        <f>SUMIFS(交易明細!$L$2:$L$29,交易明細!$B$2:$B$29,$A10,交易明細!$J$2:$J$29,"&lt;&gt;未平倉")</f>
        <v/>
      </c>
      <c r="K10" s="5">
        <f>IFERROR(AVERAGEIFS(交易明細!$K$2:$K$29,交易明細!$B$2:$B$29,$A10,交易明細!$J$2:$J$29,"&lt;&gt;未平倉"),0)</f>
        <v/>
      </c>
      <c r="L10" s="2">
        <f>COUNTIFS(交易明細!$B$2:$B$29,$A10,交易明細!$J$2:$J$29,"未平倉")</f>
        <v/>
      </c>
    </row>
    <row r="11">
      <c r="A11" s="2" t="inlineStr">
        <is>
          <t>ARB_USDT_PERP</t>
        </is>
      </c>
      <c r="B11" s="2">
        <f>COUNTIFS(交易明細!$B$2:$B$29,$A11)</f>
        <v/>
      </c>
      <c r="C11" s="2">
        <f>COUNTIFS(交易明細!$B$2:$B$29,$A11,交易明細!$C$2:$C$29,"做多")</f>
        <v/>
      </c>
      <c r="D11" s="2">
        <f>COUNTIFS(交易明細!$B$2:$B$29,$A11,交易明細!$C$2:$C$29,"做空")</f>
        <v/>
      </c>
      <c r="E11" s="2">
        <f>F11+G11+COUNTIFS(交易明細!$B$2:$B$29,$A11,交易明細!$J$2:$J$29,"時間出場")</f>
        <v/>
      </c>
      <c r="F11" s="2">
        <f>COUNTIFS(交易明細!$B$2:$B$29,$A11,交易明細!$J$2:$J$29,"止盈")</f>
        <v/>
      </c>
      <c r="G11" s="2">
        <f>COUNTIFS(交易明細!$B$2:$B$29,$A11,交易明細!$J$2:$J$29,"止損")</f>
        <v/>
      </c>
      <c r="H11" s="4">
        <f>IFERROR(F11/E11,0)</f>
        <v/>
      </c>
      <c r="I11" s="4">
        <f>IFERROR(AVERAGEIFS(交易明細!$L$2:$L$29,交易明細!$B$2:$B$29,$A11,交易明細!$J$2:$J$29,"&lt;&gt;未平倉"),0)</f>
        <v/>
      </c>
      <c r="J11" s="4">
        <f>SUMIFS(交易明細!$L$2:$L$29,交易明細!$B$2:$B$29,$A11,交易明細!$J$2:$J$29,"&lt;&gt;未平倉")</f>
        <v/>
      </c>
      <c r="K11" s="5">
        <f>IFERROR(AVERAGEIFS(交易明細!$K$2:$K$29,交易明細!$B$2:$B$29,$A11,交易明細!$J$2:$J$29,"&lt;&gt;未平倉"),0)</f>
        <v/>
      </c>
      <c r="L11" s="2">
        <f>COUNTIFS(交易明細!$B$2:$B$29,$A11,交易明細!$J$2:$J$29,"未平倉")</f>
        <v/>
      </c>
    </row>
    <row r="12">
      <c r="A12" s="2" t="inlineStr">
        <is>
          <t>DASH_USDT_PERP</t>
        </is>
      </c>
      <c r="B12" s="2">
        <f>COUNTIFS(交易明細!$B$2:$B$29,$A12)</f>
        <v/>
      </c>
      <c r="C12" s="2">
        <f>COUNTIFS(交易明細!$B$2:$B$29,$A12,交易明細!$C$2:$C$29,"做多")</f>
        <v/>
      </c>
      <c r="D12" s="2">
        <f>COUNTIFS(交易明細!$B$2:$B$29,$A12,交易明細!$C$2:$C$29,"做空")</f>
        <v/>
      </c>
      <c r="E12" s="2">
        <f>F12+G12+COUNTIFS(交易明細!$B$2:$B$29,$A12,交易明細!$J$2:$J$29,"時間出場")</f>
        <v/>
      </c>
      <c r="F12" s="2">
        <f>COUNTIFS(交易明細!$B$2:$B$29,$A12,交易明細!$J$2:$J$29,"止盈")</f>
        <v/>
      </c>
      <c r="G12" s="2">
        <f>COUNTIFS(交易明細!$B$2:$B$29,$A12,交易明細!$J$2:$J$29,"止損")</f>
        <v/>
      </c>
      <c r="H12" s="4">
        <f>IFERROR(F12/E12,0)</f>
        <v/>
      </c>
      <c r="I12" s="4">
        <f>IFERROR(AVERAGEIFS(交易明細!$L$2:$L$29,交易明細!$B$2:$B$29,$A12,交易明細!$J$2:$J$29,"&lt;&gt;未平倉"),0)</f>
        <v/>
      </c>
      <c r="J12" s="4">
        <f>SUMIFS(交易明細!$L$2:$L$29,交易明細!$B$2:$B$29,$A12,交易明細!$J$2:$J$29,"&lt;&gt;未平倉")</f>
        <v/>
      </c>
      <c r="K12" s="5">
        <f>IFERROR(AVERAGEIFS(交易明細!$K$2:$K$29,交易明細!$B$2:$B$29,$A12,交易明細!$J$2:$J$29,"&lt;&gt;未平倉"),0)</f>
        <v/>
      </c>
      <c r="L12" s="2">
        <f>COUNTIFS(交易明細!$B$2:$B$29,$A12,交易明細!$J$2:$J$29,"未平倉")</f>
        <v/>
      </c>
    </row>
    <row r="13">
      <c r="A13" s="2" t="inlineStr">
        <is>
          <t>IOST_USDT_PERP</t>
        </is>
      </c>
      <c r="B13" s="2">
        <f>COUNTIFS(交易明細!$B$2:$B$29,$A13)</f>
        <v/>
      </c>
      <c r="C13" s="2">
        <f>COUNTIFS(交易明細!$B$2:$B$29,$A13,交易明細!$C$2:$C$29,"做多")</f>
        <v/>
      </c>
      <c r="D13" s="2">
        <f>COUNTIFS(交易明細!$B$2:$B$29,$A13,交易明細!$C$2:$C$29,"做空")</f>
        <v/>
      </c>
      <c r="E13" s="2">
        <f>F13+G13+COUNTIFS(交易明細!$B$2:$B$29,$A13,交易明細!$J$2:$J$29,"時間出場")</f>
        <v/>
      </c>
      <c r="F13" s="2">
        <f>COUNTIFS(交易明細!$B$2:$B$29,$A13,交易明細!$J$2:$J$29,"止盈")</f>
        <v/>
      </c>
      <c r="G13" s="2">
        <f>COUNTIFS(交易明細!$B$2:$B$29,$A13,交易明細!$J$2:$J$29,"止損")</f>
        <v/>
      </c>
      <c r="H13" s="4">
        <f>IFERROR(F13/E13,0)</f>
        <v/>
      </c>
      <c r="I13" s="4">
        <f>IFERROR(AVERAGEIFS(交易明細!$L$2:$L$29,交易明細!$B$2:$B$29,$A13,交易明細!$J$2:$J$29,"&lt;&gt;未平倉"),0)</f>
        <v/>
      </c>
      <c r="J13" s="4">
        <f>SUMIFS(交易明細!$L$2:$L$29,交易明細!$B$2:$B$29,$A13,交易明細!$J$2:$J$29,"&lt;&gt;未平倉")</f>
        <v/>
      </c>
      <c r="K13" s="5">
        <f>IFERROR(AVERAGEIFS(交易明細!$K$2:$K$29,交易明細!$B$2:$B$29,$A13,交易明細!$J$2:$J$29,"&lt;&gt;未平倉"),0)</f>
        <v/>
      </c>
      <c r="L13" s="2">
        <f>COUNTIFS(交易明細!$B$2:$B$29,$A13,交易明細!$J$2:$J$29,"未平倉")</f>
        <v/>
      </c>
    </row>
    <row r="14">
      <c r="A14" s="2" t="inlineStr">
        <is>
          <t>CASHCAT_USDT_PERP</t>
        </is>
      </c>
      <c r="B14" s="2">
        <f>COUNTIFS(交易明細!$B$2:$B$29,$A14)</f>
        <v/>
      </c>
      <c r="C14" s="2">
        <f>COUNTIFS(交易明細!$B$2:$B$29,$A14,交易明細!$C$2:$C$29,"做多")</f>
        <v/>
      </c>
      <c r="D14" s="2">
        <f>COUNTIFS(交易明細!$B$2:$B$29,$A14,交易明細!$C$2:$C$29,"做空")</f>
        <v/>
      </c>
      <c r="E14" s="2">
        <f>F14+G14+COUNTIFS(交易明細!$B$2:$B$29,$A14,交易明細!$J$2:$J$29,"時間出場")</f>
        <v/>
      </c>
      <c r="F14" s="2">
        <f>COUNTIFS(交易明細!$B$2:$B$29,$A14,交易明細!$J$2:$J$29,"止盈")</f>
        <v/>
      </c>
      <c r="G14" s="2">
        <f>COUNTIFS(交易明細!$B$2:$B$29,$A14,交易明細!$J$2:$J$29,"止損")</f>
        <v/>
      </c>
      <c r="H14" s="4">
        <f>IFERROR(F14/E14,0)</f>
        <v/>
      </c>
      <c r="I14" s="4">
        <f>IFERROR(AVERAGEIFS(交易明細!$L$2:$L$29,交易明細!$B$2:$B$29,$A14,交易明細!$J$2:$J$29,"&lt;&gt;未平倉"),0)</f>
        <v/>
      </c>
      <c r="J14" s="4">
        <f>SUMIFS(交易明細!$L$2:$L$29,交易明細!$B$2:$B$29,$A14,交易明細!$J$2:$J$29,"&lt;&gt;未平倉")</f>
        <v/>
      </c>
      <c r="K14" s="5">
        <f>IFERROR(AVERAGEIFS(交易明細!$K$2:$K$29,交易明細!$B$2:$B$29,$A14,交易明細!$J$2:$J$29,"&lt;&gt;未平倉"),0)</f>
        <v/>
      </c>
      <c r="L14" s="2">
        <f>COUNTIFS(交易明細!$B$2:$B$29,$A14,交易明細!$J$2:$J$29,"未平倉")</f>
        <v/>
      </c>
    </row>
    <row r="15">
      <c r="A15" s="2" t="inlineStr">
        <is>
          <t>AKE_USDT_PERP</t>
        </is>
      </c>
      <c r="B15" s="2">
        <f>COUNTIFS(交易明細!$B$2:$B$29,$A15)</f>
        <v/>
      </c>
      <c r="C15" s="2">
        <f>COUNTIFS(交易明細!$B$2:$B$29,$A15,交易明細!$C$2:$C$29,"做多")</f>
        <v/>
      </c>
      <c r="D15" s="2">
        <f>COUNTIFS(交易明細!$B$2:$B$29,$A15,交易明細!$C$2:$C$29,"做空")</f>
        <v/>
      </c>
      <c r="E15" s="2">
        <f>F15+G15+COUNTIFS(交易明細!$B$2:$B$29,$A15,交易明細!$J$2:$J$29,"時間出場")</f>
        <v/>
      </c>
      <c r="F15" s="2">
        <f>COUNTIFS(交易明細!$B$2:$B$29,$A15,交易明細!$J$2:$J$29,"止盈")</f>
        <v/>
      </c>
      <c r="G15" s="2">
        <f>COUNTIFS(交易明細!$B$2:$B$29,$A15,交易明細!$J$2:$J$29,"止損")</f>
        <v/>
      </c>
      <c r="H15" s="4">
        <f>IFERROR(F15/E15,0)</f>
        <v/>
      </c>
      <c r="I15" s="4">
        <f>IFERROR(AVERAGEIFS(交易明細!$L$2:$L$29,交易明細!$B$2:$B$29,$A15,交易明細!$J$2:$J$29,"&lt;&gt;未平倉"),0)</f>
        <v/>
      </c>
      <c r="J15" s="4">
        <f>SUMIFS(交易明細!$L$2:$L$29,交易明細!$B$2:$B$29,$A15,交易明細!$J$2:$J$29,"&lt;&gt;未平倉")</f>
        <v/>
      </c>
      <c r="K15" s="5">
        <f>IFERROR(AVERAGEIFS(交易明細!$K$2:$K$29,交易明細!$B$2:$B$29,$A15,交易明細!$J$2:$J$29,"&lt;&gt;未平倉"),0)</f>
        <v/>
      </c>
      <c r="L15" s="2">
        <f>COUNTIFS(交易明細!$B$2:$B$29,$A15,交易明細!$J$2:$J$29,"未平倉")</f>
        <v/>
      </c>
    </row>
    <row r="16">
      <c r="A16" s="2" t="inlineStr">
        <is>
          <t>LAB_USDT_PERP</t>
        </is>
      </c>
      <c r="B16" s="2">
        <f>COUNTIFS(交易明細!$B$2:$B$29,$A16)</f>
        <v/>
      </c>
      <c r="C16" s="2">
        <f>COUNTIFS(交易明細!$B$2:$B$29,$A16,交易明細!$C$2:$C$29,"做多")</f>
        <v/>
      </c>
      <c r="D16" s="2">
        <f>COUNTIFS(交易明細!$B$2:$B$29,$A16,交易明細!$C$2:$C$29,"做空")</f>
        <v/>
      </c>
      <c r="E16" s="2">
        <f>F16+G16+COUNTIFS(交易明細!$B$2:$B$29,$A16,交易明細!$J$2:$J$29,"時間出場")</f>
        <v/>
      </c>
      <c r="F16" s="2">
        <f>COUNTIFS(交易明細!$B$2:$B$29,$A16,交易明細!$J$2:$J$29,"止盈")</f>
        <v/>
      </c>
      <c r="G16" s="2">
        <f>COUNTIFS(交易明細!$B$2:$B$29,$A16,交易明細!$J$2:$J$29,"止損")</f>
        <v/>
      </c>
      <c r="H16" s="4">
        <f>IFERROR(F16/E16,0)</f>
        <v/>
      </c>
      <c r="I16" s="4">
        <f>IFERROR(AVERAGEIFS(交易明細!$L$2:$L$29,交易明細!$B$2:$B$29,$A16,交易明細!$J$2:$J$29,"&lt;&gt;未平倉"),0)</f>
        <v/>
      </c>
      <c r="J16" s="4">
        <f>SUMIFS(交易明細!$L$2:$L$29,交易明細!$B$2:$B$29,$A16,交易明細!$J$2:$J$29,"&lt;&gt;未平倉")</f>
        <v/>
      </c>
      <c r="K16" s="5">
        <f>IFERROR(AVERAGEIFS(交易明細!$K$2:$K$29,交易明細!$B$2:$B$29,$A16,交易明細!$J$2:$J$29,"&lt;&gt;未平倉"),0)</f>
        <v/>
      </c>
      <c r="L16" s="2">
        <f>COUNTIFS(交易明細!$B$2:$B$29,$A16,交易明細!$J$2:$J$29,"未平倉")</f>
        <v/>
      </c>
    </row>
  </sheetData>
  <autoFilter ref="A1:L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8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>
      <c r="A1" s="3" t="inlineStr">
        <is>
          <t>交易對</t>
        </is>
      </c>
      <c r="B1" s="3" t="inlineStr">
        <is>
          <t>狀態</t>
        </is>
      </c>
      <c r="C1" s="3" t="inlineStr">
        <is>
          <t>原因/備註</t>
        </is>
      </c>
      <c r="D1" s="3" t="inlineStr">
        <is>
          <t>K棒數</t>
        </is>
      </c>
      <c r="E1" s="3" t="inlineStr">
        <is>
          <t>期間最低價</t>
        </is>
      </c>
      <c r="F1" s="3" t="inlineStr">
        <is>
          <t>期間最高價</t>
        </is>
      </c>
      <c r="G1" s="3" t="inlineStr">
        <is>
          <t>訊號數(多)</t>
        </is>
      </c>
      <c r="H1" s="3" t="inlineStr">
        <is>
          <t>訊號數(空)</t>
        </is>
      </c>
    </row>
    <row r="2">
      <c r="A2" s="2" t="inlineStr">
        <is>
          <t>0G_USDT_PERP</t>
        </is>
      </c>
      <c r="B2" s="2" t="inlineStr">
        <is>
          <t>已掃描</t>
        </is>
      </c>
      <c r="C2" s="2" t="inlineStr"/>
      <c r="D2" s="2" t="n"/>
      <c r="E2" s="20" t="n"/>
      <c r="F2" s="20" t="n"/>
      <c r="G2" s="2" t="n"/>
      <c r="H2" s="2" t="n"/>
    </row>
    <row r="3">
      <c r="A3" s="2" t="inlineStr">
        <is>
          <t>1INCH_USDT_PERP</t>
        </is>
      </c>
      <c r="B3" s="2" t="inlineStr">
        <is>
          <t>已掃描</t>
        </is>
      </c>
      <c r="C3" s="2" t="inlineStr"/>
      <c r="D3" s="2" t="n"/>
      <c r="E3" s="20" t="n"/>
      <c r="F3" s="20" t="n"/>
      <c r="G3" s="2" t="n"/>
      <c r="H3" s="2" t="n"/>
    </row>
    <row r="4">
      <c r="A4" s="2" t="inlineStr">
        <is>
          <t>2Z_USDT_PERP</t>
        </is>
      </c>
      <c r="B4" s="2" t="inlineStr">
        <is>
          <t>已掃描</t>
        </is>
      </c>
      <c r="C4" s="2" t="inlineStr"/>
      <c r="D4" s="2" t="n"/>
      <c r="E4" s="20" t="n"/>
      <c r="F4" s="20" t="n"/>
      <c r="G4" s="2" t="n"/>
      <c r="H4" s="2" t="n"/>
    </row>
    <row r="5">
      <c r="A5" s="2" t="inlineStr">
        <is>
          <t>4_USDT_PERP</t>
        </is>
      </c>
      <c r="B5" s="2" t="inlineStr">
        <is>
          <t>已掃描</t>
        </is>
      </c>
      <c r="C5" s="2" t="inlineStr"/>
      <c r="D5" s="2" t="n"/>
      <c r="E5" s="20" t="n"/>
      <c r="F5" s="20" t="n"/>
      <c r="G5" s="2" t="n"/>
      <c r="H5" s="2" t="n"/>
    </row>
    <row r="6">
      <c r="A6" s="2" t="inlineStr">
        <is>
          <t>AAVE_USDT_PERP</t>
        </is>
      </c>
      <c r="B6" s="2" t="inlineStr">
        <is>
          <t>已掃描</t>
        </is>
      </c>
      <c r="C6" s="2" t="inlineStr"/>
      <c r="D6" s="2" t="n"/>
      <c r="E6" s="20" t="n"/>
      <c r="F6" s="20" t="n"/>
      <c r="G6" s="2" t="n"/>
      <c r="H6" s="2" t="n"/>
    </row>
    <row r="7">
      <c r="A7" s="2" t="inlineStr">
        <is>
          <t>AAX_USDT_PERP</t>
        </is>
      </c>
      <c r="B7" s="2" t="inlineStr">
        <is>
          <t>已掃描</t>
        </is>
      </c>
      <c r="C7" s="2" t="inlineStr"/>
      <c r="D7" s="2" t="n"/>
      <c r="E7" s="20" t="n"/>
      <c r="F7" s="20" t="n"/>
      <c r="G7" s="2" t="n"/>
      <c r="H7" s="2" t="n"/>
    </row>
    <row r="8">
      <c r="A8" s="2" t="inlineStr">
        <is>
          <t>ACE_USDT_PERP</t>
        </is>
      </c>
      <c r="B8" s="2" t="inlineStr">
        <is>
          <t>已掃描</t>
        </is>
      </c>
      <c r="C8" s="2" t="inlineStr"/>
      <c r="D8" s="2" t="n"/>
      <c r="E8" s="20" t="n"/>
      <c r="F8" s="20" t="n"/>
      <c r="G8" s="2" t="n"/>
      <c r="H8" s="2" t="n"/>
    </row>
    <row r="9">
      <c r="A9" s="2" t="inlineStr">
        <is>
          <t>ACH_USDT_PERP</t>
        </is>
      </c>
      <c r="B9" s="2" t="inlineStr">
        <is>
          <t>已掃描</t>
        </is>
      </c>
      <c r="C9" s="2" t="inlineStr"/>
      <c r="D9" s="2" t="n"/>
      <c r="E9" s="20" t="n"/>
      <c r="F9" s="20" t="n"/>
      <c r="G9" s="2" t="n"/>
      <c r="H9" s="2" t="n"/>
    </row>
    <row r="10">
      <c r="A10" s="2" t="inlineStr">
        <is>
          <t>ACT_USDT_PERP</t>
        </is>
      </c>
      <c r="B10" s="2" t="inlineStr">
        <is>
          <t>已掃描</t>
        </is>
      </c>
      <c r="C10" s="2" t="inlineStr"/>
      <c r="D10" s="2" t="n"/>
      <c r="E10" s="20" t="n"/>
      <c r="F10" s="20" t="n"/>
      <c r="G10" s="2" t="n"/>
      <c r="H10" s="2" t="n"/>
    </row>
    <row r="11">
      <c r="A11" s="2" t="inlineStr">
        <is>
          <t>ADA_USDT_PERP</t>
        </is>
      </c>
      <c r="B11" s="2" t="inlineStr">
        <is>
          <t>已掃描</t>
        </is>
      </c>
      <c r="C11" s="2" t="inlineStr"/>
      <c r="D11" s="2" t="n"/>
      <c r="E11" s="20" t="n"/>
      <c r="F11" s="20" t="n"/>
      <c r="G11" s="2" t="n"/>
      <c r="H11" s="2" t="n"/>
    </row>
    <row r="12">
      <c r="A12" s="2" t="inlineStr">
        <is>
          <t>AERO_USDT_PERP</t>
        </is>
      </c>
      <c r="B12" s="2" t="inlineStr">
        <is>
          <t>已掃描</t>
        </is>
      </c>
      <c r="C12" s="2" t="inlineStr"/>
      <c r="D12" s="2" t="n"/>
      <c r="E12" s="20" t="n"/>
      <c r="F12" s="20" t="n"/>
      <c r="G12" s="2" t="n"/>
      <c r="H12" s="2" t="n"/>
    </row>
    <row r="13">
      <c r="A13" s="2" t="inlineStr">
        <is>
          <t>AEVO_USDT_PERP</t>
        </is>
      </c>
      <c r="B13" s="2" t="inlineStr">
        <is>
          <t>已掃描</t>
        </is>
      </c>
      <c r="C13" s="2" t="inlineStr"/>
      <c r="D13" s="2" t="n"/>
      <c r="E13" s="20" t="n"/>
      <c r="F13" s="20" t="n"/>
      <c r="G13" s="2" t="n"/>
      <c r="H13" s="2" t="n"/>
    </row>
    <row r="14">
      <c r="A14" s="2" t="inlineStr">
        <is>
          <t>AGLD_USDT_PERP</t>
        </is>
      </c>
      <c r="B14" s="2" t="inlineStr">
        <is>
          <t>已掃描</t>
        </is>
      </c>
      <c r="C14" s="2" t="inlineStr"/>
      <c r="D14" s="2" t="n"/>
      <c r="E14" s="20" t="n"/>
      <c r="F14" s="20" t="n"/>
      <c r="G14" s="2" t="n"/>
      <c r="H14" s="2" t="n"/>
    </row>
    <row r="15">
      <c r="A15" s="2" t="inlineStr">
        <is>
          <t>AGT_USDT_PERP</t>
        </is>
      </c>
      <c r="B15" s="2" t="inlineStr">
        <is>
          <t>已掃描</t>
        </is>
      </c>
      <c r="C15" s="2" t="inlineStr"/>
      <c r="D15" s="2" t="n"/>
      <c r="E15" s="20" t="n"/>
      <c r="F15" s="20" t="n"/>
      <c r="G15" s="2" t="n"/>
      <c r="H15" s="2" t="n"/>
    </row>
    <row r="16">
      <c r="A16" s="2" t="inlineStr">
        <is>
          <t>AIA_USDT_PERP</t>
        </is>
      </c>
      <c r="B16" s="2" t="inlineStr">
        <is>
          <t>已掃描</t>
        </is>
      </c>
      <c r="C16" s="2" t="inlineStr"/>
      <c r="D16" s="2" t="n"/>
      <c r="E16" s="20" t="n"/>
      <c r="F16" s="20" t="n"/>
      <c r="G16" s="2" t="n"/>
      <c r="H16" s="2" t="n"/>
    </row>
    <row r="17">
      <c r="A17" s="2" t="inlineStr">
        <is>
          <t>AIGENSYN_USDT_PERP</t>
        </is>
      </c>
      <c r="B17" s="2" t="inlineStr">
        <is>
          <t>已掃描</t>
        </is>
      </c>
      <c r="C17" s="2" t="inlineStr"/>
      <c r="D17" s="2" t="n"/>
      <c r="E17" s="20" t="n"/>
      <c r="F17" s="20" t="n"/>
      <c r="G17" s="2" t="n"/>
      <c r="H17" s="2" t="n"/>
    </row>
    <row r="18">
      <c r="A18" s="2" t="inlineStr">
        <is>
          <t>AIN_USDT_PERP</t>
        </is>
      </c>
      <c r="B18" s="2" t="inlineStr">
        <is>
          <t>已掃描</t>
        </is>
      </c>
      <c r="C18" s="2" t="inlineStr"/>
      <c r="D18" s="2" t="n"/>
      <c r="E18" s="20" t="n"/>
      <c r="F18" s="20" t="n"/>
      <c r="G18" s="2" t="n"/>
      <c r="H18" s="2" t="n"/>
    </row>
    <row r="19">
      <c r="A19" s="2" t="inlineStr">
        <is>
          <t>AIO_USDT_PERP</t>
        </is>
      </c>
      <c r="B19" s="2" t="inlineStr">
        <is>
          <t>已掃描</t>
        </is>
      </c>
      <c r="C19" s="2" t="inlineStr"/>
      <c r="D19" s="2" t="n"/>
      <c r="E19" s="20" t="n"/>
      <c r="F19" s="20" t="n"/>
      <c r="G19" s="2" t="n"/>
      <c r="H19" s="2" t="n"/>
    </row>
    <row r="20">
      <c r="A20" s="2" t="inlineStr">
        <is>
          <t>AIXBT_USDT_PERP</t>
        </is>
      </c>
      <c r="B20" s="2" t="inlineStr">
        <is>
          <t>已掃描</t>
        </is>
      </c>
      <c r="C20" s="2" t="inlineStr"/>
      <c r="D20" s="2" t="n"/>
      <c r="E20" s="20" t="n"/>
      <c r="F20" s="20" t="n"/>
      <c r="G20" s="2" t="n"/>
      <c r="H20" s="2" t="n"/>
    </row>
    <row r="21">
      <c r="A21" s="2" t="inlineStr">
        <is>
          <t>AKE_USDT_PERP</t>
        </is>
      </c>
      <c r="B21" s="2" t="inlineStr">
        <is>
          <t>已掃描</t>
        </is>
      </c>
      <c r="C21" s="2" t="inlineStr"/>
      <c r="D21" s="2" t="n"/>
      <c r="E21" s="20" t="n"/>
      <c r="F21" s="20" t="n"/>
      <c r="G21" s="2" t="n"/>
      <c r="H21" s="2" t="n"/>
    </row>
    <row r="22">
      <c r="A22" s="2" t="inlineStr">
        <is>
          <t>AKT_USDT_PERP</t>
        </is>
      </c>
      <c r="B22" s="2" t="inlineStr">
        <is>
          <t>已掃描</t>
        </is>
      </c>
      <c r="C22" s="2" t="inlineStr"/>
      <c r="D22" s="2" t="n"/>
      <c r="E22" s="20" t="n"/>
      <c r="F22" s="20" t="n"/>
      <c r="G22" s="2" t="n"/>
      <c r="H22" s="2" t="n"/>
    </row>
    <row r="23">
      <c r="A23" s="2" t="inlineStr">
        <is>
          <t>ALCH_USDT_PERP</t>
        </is>
      </c>
      <c r="B23" s="2" t="inlineStr">
        <is>
          <t>已掃描</t>
        </is>
      </c>
      <c r="C23" s="2" t="inlineStr"/>
      <c r="D23" s="2" t="n"/>
      <c r="E23" s="20" t="n"/>
      <c r="F23" s="20" t="n"/>
      <c r="G23" s="2" t="n"/>
      <c r="H23" s="2" t="n"/>
    </row>
    <row r="24">
      <c r="A24" s="2" t="inlineStr">
        <is>
          <t>ALGO_USDT_PERP</t>
        </is>
      </c>
      <c r="B24" s="2" t="inlineStr">
        <is>
          <t>已掃描</t>
        </is>
      </c>
      <c r="C24" s="2" t="inlineStr"/>
      <c r="D24" s="2" t="n"/>
      <c r="E24" s="20" t="n"/>
      <c r="F24" s="20" t="n"/>
      <c r="G24" s="2" t="n"/>
      <c r="H24" s="2" t="n"/>
    </row>
    <row r="25">
      <c r="A25" s="2" t="inlineStr">
        <is>
          <t>ALLO_USDT_PERP</t>
        </is>
      </c>
      <c r="B25" s="2" t="inlineStr">
        <is>
          <t>已掃描</t>
        </is>
      </c>
      <c r="C25" s="2" t="inlineStr"/>
      <c r="D25" s="2" t="n"/>
      <c r="E25" s="20" t="n"/>
      <c r="F25" s="20" t="n"/>
      <c r="G25" s="2" t="n"/>
      <c r="H25" s="2" t="n"/>
    </row>
    <row r="26">
      <c r="A26" s="2" t="inlineStr">
        <is>
          <t>ALL_USDT_PERP</t>
        </is>
      </c>
      <c r="B26" s="2" t="inlineStr">
        <is>
          <t>已掃描</t>
        </is>
      </c>
      <c r="C26" s="2" t="inlineStr"/>
      <c r="D26" s="2" t="n"/>
      <c r="E26" s="20" t="n"/>
      <c r="F26" s="20" t="n"/>
      <c r="G26" s="2" t="n"/>
      <c r="H26" s="2" t="n"/>
    </row>
    <row r="27">
      <c r="A27" s="2" t="inlineStr">
        <is>
          <t>ALT_USDT_PERP</t>
        </is>
      </c>
      <c r="B27" s="2" t="inlineStr">
        <is>
          <t>已掃描</t>
        </is>
      </c>
      <c r="C27" s="2" t="inlineStr"/>
      <c r="D27" s="2" t="n"/>
      <c r="E27" s="20" t="n"/>
      <c r="F27" s="20" t="n"/>
      <c r="G27" s="2" t="n"/>
      <c r="H27" s="2" t="n"/>
    </row>
    <row r="28">
      <c r="A28" s="2" t="inlineStr">
        <is>
          <t>ANIME_USDT_PERP</t>
        </is>
      </c>
      <c r="B28" s="2" t="inlineStr">
        <is>
          <t>已掃描</t>
        </is>
      </c>
      <c r="C28" s="2" t="inlineStr"/>
      <c r="D28" s="2" t="n"/>
      <c r="E28" s="20" t="n"/>
      <c r="F28" s="20" t="n"/>
      <c r="G28" s="2" t="n"/>
      <c r="H28" s="2" t="n"/>
    </row>
    <row r="29">
      <c r="A29" s="2" t="inlineStr">
        <is>
          <t>ANTHROPIC_USDT_PERP</t>
        </is>
      </c>
      <c r="B29" s="2" t="inlineStr">
        <is>
          <t>已掃描</t>
        </is>
      </c>
      <c r="C29" s="2" t="inlineStr"/>
      <c r="D29" s="2" t="n"/>
      <c r="E29" s="20" t="n"/>
      <c r="F29" s="20" t="n"/>
      <c r="G29" s="2" t="n"/>
      <c r="H29" s="2" t="n"/>
    </row>
    <row r="30">
      <c r="A30" s="2" t="inlineStr">
        <is>
          <t>APE_USDT_PERP</t>
        </is>
      </c>
      <c r="B30" s="2" t="inlineStr">
        <is>
          <t>已掃描</t>
        </is>
      </c>
      <c r="C30" s="2" t="inlineStr"/>
      <c r="D30" s="2" t="n"/>
      <c r="E30" s="20" t="n"/>
      <c r="F30" s="20" t="n"/>
      <c r="G30" s="2" t="n"/>
      <c r="H30" s="2" t="n"/>
    </row>
    <row r="31">
      <c r="A31" s="2" t="inlineStr">
        <is>
          <t>API3_USDT_PERP</t>
        </is>
      </c>
      <c r="B31" s="2" t="inlineStr">
        <is>
          <t>已掃描</t>
        </is>
      </c>
      <c r="C31" s="2" t="inlineStr"/>
      <c r="D31" s="2" t="n"/>
      <c r="E31" s="20" t="n"/>
      <c r="F31" s="20" t="n"/>
      <c r="G31" s="2" t="n"/>
      <c r="H31" s="2" t="n"/>
    </row>
    <row r="32">
      <c r="A32" s="2" t="inlineStr">
        <is>
          <t>APR_USDT_PERP</t>
        </is>
      </c>
      <c r="B32" s="2" t="inlineStr">
        <is>
          <t>已掃描</t>
        </is>
      </c>
      <c r="C32" s="2" t="inlineStr"/>
      <c r="D32" s="2" t="n"/>
      <c r="E32" s="20" t="n"/>
      <c r="F32" s="20" t="n"/>
      <c r="G32" s="2" t="n"/>
      <c r="H32" s="2" t="n"/>
    </row>
    <row r="33">
      <c r="A33" s="2" t="inlineStr">
        <is>
          <t>APT_USDT_PERP</t>
        </is>
      </c>
      <c r="B33" s="2" t="inlineStr">
        <is>
          <t>已掃描</t>
        </is>
      </c>
      <c r="C33" s="2" t="inlineStr"/>
      <c r="D33" s="2" t="n"/>
      <c r="E33" s="20" t="n"/>
      <c r="F33" s="20" t="n"/>
      <c r="G33" s="2" t="n"/>
      <c r="H33" s="2" t="n"/>
    </row>
    <row r="34">
      <c r="A34" s="2" t="inlineStr">
        <is>
          <t>ARB_USDT_PERP</t>
        </is>
      </c>
      <c r="B34" s="2" t="inlineStr">
        <is>
          <t>已掃描</t>
        </is>
      </c>
      <c r="C34" s="2" t="inlineStr"/>
      <c r="D34" s="2" t="n"/>
      <c r="E34" s="20" t="n"/>
      <c r="F34" s="20" t="n"/>
      <c r="G34" s="2" t="n"/>
      <c r="H34" s="2" t="n"/>
    </row>
    <row r="35">
      <c r="A35" s="2" t="inlineStr">
        <is>
          <t>ARC_USDT_PERP</t>
        </is>
      </c>
      <c r="B35" s="2" t="inlineStr">
        <is>
          <t>已掃描</t>
        </is>
      </c>
      <c r="C35" s="2" t="inlineStr"/>
      <c r="D35" s="2" t="n"/>
      <c r="E35" s="20" t="n"/>
      <c r="F35" s="20" t="n"/>
      <c r="G35" s="2" t="n"/>
      <c r="H35" s="2" t="n"/>
    </row>
    <row r="36">
      <c r="A36" s="2" t="inlineStr">
        <is>
          <t>ARIA_USDT_PERP</t>
        </is>
      </c>
      <c r="B36" s="2" t="inlineStr">
        <is>
          <t>已掃描</t>
        </is>
      </c>
      <c r="C36" s="2" t="inlineStr"/>
      <c r="D36" s="2" t="n"/>
      <c r="E36" s="20" t="n"/>
      <c r="F36" s="20" t="n"/>
      <c r="G36" s="2" t="n"/>
      <c r="H36" s="2" t="n"/>
    </row>
    <row r="37">
      <c r="A37" s="2" t="inlineStr">
        <is>
          <t>ARKM_USDT_PERP</t>
        </is>
      </c>
      <c r="B37" s="2" t="inlineStr">
        <is>
          <t>已掃描</t>
        </is>
      </c>
      <c r="C37" s="2" t="inlineStr"/>
      <c r="D37" s="2" t="n"/>
      <c r="E37" s="20" t="n"/>
      <c r="F37" s="20" t="n"/>
      <c r="G37" s="2" t="n"/>
      <c r="H37" s="2" t="n"/>
    </row>
    <row r="38">
      <c r="A38" s="2" t="inlineStr">
        <is>
          <t>ARPA_USDT_PERP</t>
        </is>
      </c>
      <c r="B38" s="2" t="inlineStr">
        <is>
          <t>已掃描</t>
        </is>
      </c>
      <c r="C38" s="2" t="inlineStr"/>
      <c r="D38" s="2" t="n"/>
      <c r="E38" s="20" t="n"/>
      <c r="F38" s="20" t="n"/>
      <c r="G38" s="2" t="n"/>
      <c r="H38" s="2" t="n"/>
    </row>
    <row r="39">
      <c r="A39" s="2" t="inlineStr">
        <is>
          <t>ARX_USDT_PERP</t>
        </is>
      </c>
      <c r="B39" s="2" t="inlineStr">
        <is>
          <t>已掃描</t>
        </is>
      </c>
      <c r="C39" s="2" t="inlineStr"/>
      <c r="D39" s="2" t="n"/>
      <c r="E39" s="20" t="n"/>
      <c r="F39" s="20" t="n"/>
      <c r="G39" s="2" t="n"/>
      <c r="H39" s="2" t="n"/>
    </row>
    <row r="40">
      <c r="A40" s="2" t="inlineStr">
        <is>
          <t>AR_USDT_PERP</t>
        </is>
      </c>
      <c r="B40" s="2" t="inlineStr">
        <is>
          <t>已掃描</t>
        </is>
      </c>
      <c r="C40" s="2" t="inlineStr"/>
      <c r="D40" s="2" t="n"/>
      <c r="E40" s="20" t="n"/>
      <c r="F40" s="20" t="n"/>
      <c r="G40" s="2" t="n"/>
      <c r="H40" s="2" t="n"/>
    </row>
    <row r="41">
      <c r="A41" s="2" t="inlineStr">
        <is>
          <t>ASTER_USDT_PERP</t>
        </is>
      </c>
      <c r="B41" s="2" t="inlineStr">
        <is>
          <t>已掃描</t>
        </is>
      </c>
      <c r="C41" s="2" t="inlineStr"/>
      <c r="D41" s="2" t="n"/>
      <c r="E41" s="20" t="n"/>
      <c r="F41" s="20" t="n"/>
      <c r="G41" s="2" t="n"/>
      <c r="H41" s="2" t="n"/>
    </row>
    <row r="42">
      <c r="A42" s="2" t="inlineStr">
        <is>
          <t>ASTR_USDT_PERP</t>
        </is>
      </c>
      <c r="B42" s="2" t="inlineStr">
        <is>
          <t>已掃描</t>
        </is>
      </c>
      <c r="C42" s="2" t="inlineStr"/>
      <c r="D42" s="2" t="n"/>
      <c r="E42" s="20" t="n"/>
      <c r="F42" s="20" t="n"/>
      <c r="G42" s="2" t="n"/>
      <c r="H42" s="2" t="n"/>
    </row>
    <row r="43">
      <c r="A43" s="2" t="inlineStr">
        <is>
          <t>ATH_USDT_PERP</t>
        </is>
      </c>
      <c r="B43" s="2" t="inlineStr">
        <is>
          <t>已掃描</t>
        </is>
      </c>
      <c r="C43" s="2" t="inlineStr"/>
      <c r="D43" s="2" t="n"/>
      <c r="E43" s="20" t="n"/>
      <c r="F43" s="20" t="n"/>
      <c r="G43" s="2" t="n"/>
      <c r="H43" s="2" t="n"/>
    </row>
    <row r="44">
      <c r="A44" s="2" t="inlineStr">
        <is>
          <t>ATOM_USDT_PERP</t>
        </is>
      </c>
      <c r="B44" s="2" t="inlineStr">
        <is>
          <t>已掃描</t>
        </is>
      </c>
      <c r="C44" s="2" t="inlineStr"/>
      <c r="D44" s="2" t="n"/>
      <c r="E44" s="20" t="n"/>
      <c r="F44" s="20" t="n"/>
      <c r="G44" s="2" t="n"/>
      <c r="H44" s="2" t="n"/>
    </row>
    <row r="45">
      <c r="A45" s="2" t="inlineStr">
        <is>
          <t>AT_USDT_PERP</t>
        </is>
      </c>
      <c r="B45" s="2" t="inlineStr">
        <is>
          <t>已掃描</t>
        </is>
      </c>
      <c r="C45" s="2" t="inlineStr"/>
      <c r="D45" s="2" t="n"/>
      <c r="E45" s="20" t="n"/>
      <c r="F45" s="20" t="n"/>
      <c r="G45" s="2" t="n"/>
      <c r="H45" s="2" t="n"/>
    </row>
    <row r="46">
      <c r="A46" s="2" t="inlineStr">
        <is>
          <t>AUCTION_USDT_PERP</t>
        </is>
      </c>
      <c r="B46" s="2" t="inlineStr">
        <is>
          <t>已掃描</t>
        </is>
      </c>
      <c r="C46" s="2" t="inlineStr"/>
      <c r="D46" s="2" t="n"/>
      <c r="E46" s="20" t="n"/>
      <c r="F46" s="20" t="n"/>
      <c r="G46" s="2" t="n"/>
      <c r="H46" s="2" t="n"/>
    </row>
    <row r="47">
      <c r="A47" s="2" t="inlineStr">
        <is>
          <t>AVAX_USDT_PERP</t>
        </is>
      </c>
      <c r="B47" s="2" t="inlineStr">
        <is>
          <t>已掃描</t>
        </is>
      </c>
      <c r="C47" s="2" t="inlineStr"/>
      <c r="D47" s="2" t="n"/>
      <c r="E47" s="20" t="n"/>
      <c r="F47" s="20" t="n"/>
      <c r="G47" s="2" t="n"/>
      <c r="H47" s="2" t="n"/>
    </row>
    <row r="48">
      <c r="A48" s="2" t="inlineStr">
        <is>
          <t>AVNT_USDT_PERP</t>
        </is>
      </c>
      <c r="B48" s="2" t="inlineStr">
        <is>
          <t>已掃描</t>
        </is>
      </c>
      <c r="C48" s="2" t="inlineStr"/>
      <c r="D48" s="2" t="n"/>
      <c r="E48" s="20" t="n"/>
      <c r="F48" s="20" t="n"/>
      <c r="G48" s="2" t="n"/>
      <c r="H48" s="2" t="n"/>
    </row>
    <row r="49">
      <c r="A49" s="2" t="inlineStr">
        <is>
          <t>AWE_USDT_PERP</t>
        </is>
      </c>
      <c r="B49" s="2" t="inlineStr">
        <is>
          <t>已掃描</t>
        </is>
      </c>
      <c r="C49" s="2" t="inlineStr"/>
      <c r="D49" s="2" t="n"/>
      <c r="E49" s="20" t="n"/>
      <c r="F49" s="20" t="n"/>
      <c r="G49" s="2" t="n"/>
      <c r="H49" s="2" t="n"/>
    </row>
    <row r="50">
      <c r="A50" s="2" t="inlineStr">
        <is>
          <t>AXL_USDT_PERP</t>
        </is>
      </c>
      <c r="B50" s="2" t="inlineStr">
        <is>
          <t>已掃描</t>
        </is>
      </c>
      <c r="C50" s="2" t="inlineStr"/>
      <c r="D50" s="2" t="n"/>
      <c r="E50" s="20" t="n"/>
      <c r="F50" s="20" t="n"/>
      <c r="G50" s="2" t="n"/>
      <c r="H50" s="2" t="n"/>
    </row>
    <row r="51">
      <c r="A51" s="2" t="inlineStr">
        <is>
          <t>AXS_USDT_PERP</t>
        </is>
      </c>
      <c r="B51" s="2" t="inlineStr">
        <is>
          <t>已掃描</t>
        </is>
      </c>
      <c r="C51" s="2" t="inlineStr"/>
      <c r="D51" s="2" t="n"/>
      <c r="E51" s="20" t="n"/>
      <c r="F51" s="20" t="n"/>
      <c r="G51" s="2" t="n"/>
      <c r="H51" s="2" t="n"/>
    </row>
    <row r="52">
      <c r="A52" s="2" t="inlineStr">
        <is>
          <t>A_USDT_PERP</t>
        </is>
      </c>
      <c r="B52" s="2" t="inlineStr">
        <is>
          <t>已掃描</t>
        </is>
      </c>
      <c r="C52" s="2" t="inlineStr"/>
      <c r="D52" s="2" t="n"/>
      <c r="E52" s="20" t="n"/>
      <c r="F52" s="20" t="n"/>
      <c r="G52" s="2" t="n"/>
      <c r="H52" s="2" t="n"/>
    </row>
    <row r="53">
      <c r="A53" s="2" t="inlineStr">
        <is>
          <t>BABY_USDT_PERP</t>
        </is>
      </c>
      <c r="B53" s="2" t="inlineStr">
        <is>
          <t>已掃描</t>
        </is>
      </c>
      <c r="C53" s="2" t="inlineStr"/>
      <c r="D53" s="2" t="n"/>
      <c r="E53" s="20" t="n"/>
      <c r="F53" s="20" t="n"/>
      <c r="G53" s="2" t="n"/>
      <c r="H53" s="2" t="n"/>
    </row>
    <row r="54">
      <c r="A54" s="2" t="inlineStr">
        <is>
          <t>BANANAS31_USDT_PERP</t>
        </is>
      </c>
      <c r="B54" s="2" t="inlineStr">
        <is>
          <t>已掃描</t>
        </is>
      </c>
      <c r="C54" s="2" t="inlineStr"/>
      <c r="D54" s="2" t="n"/>
      <c r="E54" s="20" t="n"/>
      <c r="F54" s="20" t="n"/>
      <c r="G54" s="2" t="n"/>
      <c r="H54" s="2" t="n"/>
    </row>
    <row r="55">
      <c r="A55" s="2" t="inlineStr">
        <is>
          <t>BANANA_USDT_PERP</t>
        </is>
      </c>
      <c r="B55" s="2" t="inlineStr">
        <is>
          <t>已掃描</t>
        </is>
      </c>
      <c r="C55" s="2" t="inlineStr"/>
      <c r="D55" s="2" t="n"/>
      <c r="E55" s="20" t="n"/>
      <c r="F55" s="20" t="n"/>
      <c r="G55" s="2" t="n"/>
      <c r="H55" s="2" t="n"/>
    </row>
    <row r="56">
      <c r="A56" s="2" t="inlineStr">
        <is>
          <t>BAND_USDT_PERP</t>
        </is>
      </c>
      <c r="B56" s="2" t="inlineStr">
        <is>
          <t>已掃描</t>
        </is>
      </c>
      <c r="C56" s="2" t="inlineStr"/>
      <c r="D56" s="2" t="n"/>
      <c r="E56" s="20" t="n"/>
      <c r="F56" s="20" t="n"/>
      <c r="G56" s="2" t="n"/>
      <c r="H56" s="2" t="n"/>
    </row>
    <row r="57">
      <c r="A57" s="2" t="inlineStr">
        <is>
          <t>BANK_USDT_PERP</t>
        </is>
      </c>
      <c r="B57" s="2" t="inlineStr">
        <is>
          <t>已掃描</t>
        </is>
      </c>
      <c r="C57" s="2" t="inlineStr"/>
      <c r="D57" s="2" t="n"/>
      <c r="E57" s="20" t="n"/>
      <c r="F57" s="20" t="n"/>
      <c r="G57" s="2" t="n"/>
      <c r="H57" s="2" t="n"/>
    </row>
    <row r="58">
      <c r="A58" s="2" t="inlineStr">
        <is>
          <t>BAN_USDT_PERP</t>
        </is>
      </c>
      <c r="B58" s="2" t="inlineStr">
        <is>
          <t>已掃描</t>
        </is>
      </c>
      <c r="C58" s="2" t="inlineStr"/>
      <c r="D58" s="2" t="n"/>
      <c r="E58" s="20" t="n"/>
      <c r="F58" s="20" t="n"/>
      <c r="G58" s="2" t="n"/>
      <c r="H58" s="2" t="n"/>
    </row>
    <row r="59">
      <c r="A59" s="2" t="inlineStr">
        <is>
          <t>BARD_USDT_PERP</t>
        </is>
      </c>
      <c r="B59" s="2" t="inlineStr">
        <is>
          <t>已掃描</t>
        </is>
      </c>
      <c r="C59" s="2" t="inlineStr"/>
      <c r="D59" s="2" t="n"/>
      <c r="E59" s="20" t="n"/>
      <c r="F59" s="20" t="n"/>
      <c r="G59" s="2" t="n"/>
      <c r="H59" s="2" t="n"/>
    </row>
    <row r="60">
      <c r="A60" s="2" t="inlineStr">
        <is>
          <t>BASED_USDT_PERP</t>
        </is>
      </c>
      <c r="B60" s="2" t="inlineStr">
        <is>
          <t>已掃描</t>
        </is>
      </c>
      <c r="C60" s="2" t="inlineStr"/>
      <c r="D60" s="2" t="n"/>
      <c r="E60" s="20" t="n"/>
      <c r="F60" s="20" t="n"/>
      <c r="G60" s="2" t="n"/>
      <c r="H60" s="2" t="n"/>
    </row>
    <row r="61">
      <c r="A61" s="2" t="inlineStr">
        <is>
          <t>BAS_USDT_PERP</t>
        </is>
      </c>
      <c r="B61" s="2" t="inlineStr">
        <is>
          <t>已掃描</t>
        </is>
      </c>
      <c r="C61" s="2" t="inlineStr"/>
      <c r="D61" s="2" t="n"/>
      <c r="E61" s="20" t="n"/>
      <c r="F61" s="20" t="n"/>
      <c r="G61" s="2" t="n"/>
      <c r="H61" s="2" t="n"/>
    </row>
    <row r="62">
      <c r="A62" s="2" t="inlineStr">
        <is>
          <t>BAT_USDT_PERP</t>
        </is>
      </c>
      <c r="B62" s="2" t="inlineStr">
        <is>
          <t>已掃描</t>
        </is>
      </c>
      <c r="C62" s="2" t="inlineStr"/>
      <c r="D62" s="2" t="n"/>
      <c r="E62" s="20" t="n"/>
      <c r="F62" s="20" t="n"/>
      <c r="G62" s="2" t="n"/>
      <c r="H62" s="2" t="n"/>
    </row>
    <row r="63">
      <c r="A63" s="2" t="inlineStr">
        <is>
          <t>BB_USDT_PERP</t>
        </is>
      </c>
      <c r="B63" s="2" t="inlineStr">
        <is>
          <t>已掃描</t>
        </is>
      </c>
      <c r="C63" s="2" t="inlineStr"/>
      <c r="D63" s="2" t="n"/>
      <c r="E63" s="20" t="n"/>
      <c r="F63" s="20" t="n"/>
      <c r="G63" s="2" t="n"/>
      <c r="H63" s="2" t="n"/>
    </row>
    <row r="64">
      <c r="A64" s="2" t="inlineStr">
        <is>
          <t>BCH_USDT_PERP</t>
        </is>
      </c>
      <c r="B64" s="2" t="inlineStr">
        <is>
          <t>已掃描</t>
        </is>
      </c>
      <c r="C64" s="2" t="inlineStr"/>
      <c r="D64" s="2" t="n"/>
      <c r="E64" s="20" t="n"/>
      <c r="F64" s="20" t="n"/>
      <c r="G64" s="2" t="n"/>
      <c r="H64" s="2" t="n"/>
    </row>
    <row r="65">
      <c r="A65" s="2" t="inlineStr">
        <is>
          <t>BEAMX_USDT_PERP</t>
        </is>
      </c>
      <c r="B65" s="2" t="inlineStr">
        <is>
          <t>已掃描</t>
        </is>
      </c>
      <c r="C65" s="2" t="inlineStr"/>
      <c r="D65" s="2" t="n"/>
      <c r="E65" s="20" t="n"/>
      <c r="F65" s="20" t="n"/>
      <c r="G65" s="2" t="n"/>
      <c r="H65" s="2" t="n"/>
    </row>
    <row r="66">
      <c r="A66" s="2" t="inlineStr">
        <is>
          <t>BEAT_USDT_PERP</t>
        </is>
      </c>
      <c r="B66" s="2" t="inlineStr">
        <is>
          <t>已掃描</t>
        </is>
      </c>
      <c r="C66" s="2" t="inlineStr"/>
      <c r="D66" s="2" t="n"/>
      <c r="E66" s="20" t="n"/>
      <c r="F66" s="20" t="n"/>
      <c r="G66" s="2" t="n"/>
      <c r="H66" s="2" t="n"/>
    </row>
    <row r="67">
      <c r="A67" s="2" t="inlineStr">
        <is>
          <t>BEL_USDT_PERP</t>
        </is>
      </c>
      <c r="B67" s="2" t="inlineStr">
        <is>
          <t>已掃描</t>
        </is>
      </c>
      <c r="C67" s="2" t="inlineStr"/>
      <c r="D67" s="2" t="n"/>
      <c r="E67" s="20" t="n"/>
      <c r="F67" s="20" t="n"/>
      <c r="G67" s="2" t="n"/>
      <c r="H67" s="2" t="n"/>
    </row>
    <row r="68">
      <c r="A68" s="2" t="inlineStr">
        <is>
          <t>BERA_USDT_PERP</t>
        </is>
      </c>
      <c r="B68" s="2" t="inlineStr">
        <is>
          <t>已掃描</t>
        </is>
      </c>
      <c r="C68" s="2" t="inlineStr"/>
      <c r="D68" s="2" t="n"/>
      <c r="E68" s="20" t="n"/>
      <c r="F68" s="20" t="n"/>
      <c r="G68" s="2" t="n"/>
      <c r="H68" s="2" t="n"/>
    </row>
    <row r="69">
      <c r="A69" s="2" t="inlineStr">
        <is>
          <t>BEX_USDT_PERP</t>
        </is>
      </c>
      <c r="B69" s="2" t="inlineStr">
        <is>
          <t>已掃描</t>
        </is>
      </c>
      <c r="C69" s="2" t="inlineStr"/>
      <c r="D69" s="2" t="n"/>
      <c r="E69" s="20" t="n"/>
      <c r="F69" s="20" t="n"/>
      <c r="G69" s="2" t="n"/>
      <c r="H69" s="2" t="n"/>
    </row>
    <row r="70">
      <c r="A70" s="2" t="inlineStr">
        <is>
          <t>BICO_USDT_PERP</t>
        </is>
      </c>
      <c r="B70" s="2" t="inlineStr">
        <is>
          <t>已掃描</t>
        </is>
      </c>
      <c r="C70" s="2" t="inlineStr"/>
      <c r="D70" s="2" t="n"/>
      <c r="E70" s="20" t="n"/>
      <c r="F70" s="20" t="n"/>
      <c r="G70" s="2" t="n"/>
      <c r="H70" s="2" t="n"/>
    </row>
    <row r="71">
      <c r="A71" s="2" t="inlineStr">
        <is>
          <t>BILL_USDT_PERP</t>
        </is>
      </c>
      <c r="B71" s="2" t="inlineStr">
        <is>
          <t>已掃描</t>
        </is>
      </c>
      <c r="C71" s="2" t="inlineStr"/>
      <c r="D71" s="2" t="n"/>
      <c r="E71" s="20" t="n"/>
      <c r="F71" s="20" t="n"/>
      <c r="G71" s="2" t="n"/>
      <c r="H71" s="2" t="n"/>
    </row>
    <row r="72">
      <c r="A72" s="2" t="inlineStr">
        <is>
          <t>BIO_USDT_PERP</t>
        </is>
      </c>
      <c r="B72" s="2" t="inlineStr">
        <is>
          <t>已掃描</t>
        </is>
      </c>
      <c r="C72" s="2" t="inlineStr"/>
      <c r="D72" s="2" t="n"/>
      <c r="E72" s="20" t="n"/>
      <c r="F72" s="20" t="n"/>
      <c r="G72" s="2" t="n"/>
      <c r="H72" s="2" t="n"/>
    </row>
    <row r="73">
      <c r="A73" s="2" t="inlineStr">
        <is>
          <t>BIRB_USDT_PERP</t>
        </is>
      </c>
      <c r="B73" s="2" t="inlineStr">
        <is>
          <t>已掃描</t>
        </is>
      </c>
      <c r="C73" s="2" t="inlineStr"/>
      <c r="D73" s="2" t="n"/>
      <c r="E73" s="20" t="n"/>
      <c r="F73" s="20" t="n"/>
      <c r="G73" s="2" t="n"/>
      <c r="H73" s="2" t="n"/>
    </row>
    <row r="74">
      <c r="A74" s="2" t="inlineStr">
        <is>
          <t>BLEND_USDT_PERP</t>
        </is>
      </c>
      <c r="B74" s="2" t="inlineStr">
        <is>
          <t>已掃描</t>
        </is>
      </c>
      <c r="C74" s="2" t="inlineStr"/>
      <c r="D74" s="2" t="n"/>
      <c r="E74" s="20" t="n"/>
      <c r="F74" s="20" t="n"/>
      <c r="G74" s="2" t="n"/>
      <c r="H74" s="2" t="n"/>
    </row>
    <row r="75">
      <c r="A75" s="2" t="inlineStr">
        <is>
          <t>BLESS_USDT_PERP</t>
        </is>
      </c>
      <c r="B75" s="2" t="inlineStr">
        <is>
          <t>已掃描</t>
        </is>
      </c>
      <c r="C75" s="2" t="inlineStr"/>
      <c r="D75" s="2" t="n"/>
      <c r="E75" s="20" t="n"/>
      <c r="F75" s="20" t="n"/>
      <c r="G75" s="2" t="n"/>
      <c r="H75" s="2" t="n"/>
    </row>
    <row r="76">
      <c r="A76" s="2" t="inlineStr">
        <is>
          <t>BLUAI_USDT_PERP</t>
        </is>
      </c>
      <c r="B76" s="2" t="inlineStr">
        <is>
          <t>已掃描</t>
        </is>
      </c>
      <c r="C76" s="2" t="inlineStr"/>
      <c r="D76" s="2" t="n"/>
      <c r="E76" s="20" t="n"/>
      <c r="F76" s="20" t="n"/>
      <c r="G76" s="2" t="n"/>
      <c r="H76" s="2" t="n"/>
    </row>
    <row r="77">
      <c r="A77" s="2" t="inlineStr">
        <is>
          <t>BLUR_USDT_PERP</t>
        </is>
      </c>
      <c r="B77" s="2" t="inlineStr">
        <is>
          <t>已掃描</t>
        </is>
      </c>
      <c r="C77" s="2" t="inlineStr"/>
      <c r="D77" s="2" t="n"/>
      <c r="E77" s="20" t="n"/>
      <c r="F77" s="20" t="n"/>
      <c r="G77" s="2" t="n"/>
      <c r="H77" s="2" t="n"/>
    </row>
    <row r="78">
      <c r="A78" s="2" t="inlineStr">
        <is>
          <t>BNB_USDT_PERP</t>
        </is>
      </c>
      <c r="B78" s="2" t="inlineStr">
        <is>
          <t>已掃描</t>
        </is>
      </c>
      <c r="C78" s="2" t="inlineStr"/>
      <c r="D78" s="2" t="n"/>
      <c r="E78" s="20" t="n"/>
      <c r="F78" s="20" t="n"/>
      <c r="G78" s="2" t="n"/>
      <c r="H78" s="2" t="n"/>
    </row>
    <row r="79">
      <c r="A79" s="2" t="inlineStr">
        <is>
          <t>BOME_USDT_PERP</t>
        </is>
      </c>
      <c r="B79" s="2" t="inlineStr">
        <is>
          <t>已掃描</t>
        </is>
      </c>
      <c r="C79" s="2" t="inlineStr"/>
      <c r="D79" s="2" t="n"/>
      <c r="E79" s="20" t="n"/>
      <c r="F79" s="20" t="n"/>
      <c r="G79" s="2" t="n"/>
      <c r="H79" s="2" t="n"/>
    </row>
    <row r="80">
      <c r="A80" s="2" t="inlineStr">
        <is>
          <t>BONK_USDT_PERP</t>
        </is>
      </c>
      <c r="B80" s="2" t="inlineStr">
        <is>
          <t>已掃描</t>
        </is>
      </c>
      <c r="C80" s="2" t="inlineStr"/>
      <c r="D80" s="2" t="n"/>
      <c r="E80" s="20" t="n"/>
      <c r="F80" s="20" t="n"/>
      <c r="G80" s="2" t="n"/>
      <c r="H80" s="2" t="n"/>
    </row>
    <row r="81">
      <c r="A81" s="2" t="inlineStr">
        <is>
          <t>BRENTOIL_USDT_PERP</t>
        </is>
      </c>
      <c r="B81" s="2" t="inlineStr">
        <is>
          <t>已掃描</t>
        </is>
      </c>
      <c r="C81" s="2" t="inlineStr"/>
      <c r="D81" s="2" t="n"/>
      <c r="E81" s="20" t="n"/>
      <c r="F81" s="20" t="n"/>
      <c r="G81" s="2" t="n"/>
      <c r="H81" s="2" t="n"/>
    </row>
    <row r="82">
      <c r="A82" s="2" t="inlineStr">
        <is>
          <t>BRETT_USDT_PERP</t>
        </is>
      </c>
      <c r="B82" s="2" t="inlineStr">
        <is>
          <t>已掃描</t>
        </is>
      </c>
      <c r="C82" s="2" t="inlineStr"/>
      <c r="D82" s="2" t="n"/>
      <c r="E82" s="20" t="n"/>
      <c r="F82" s="20" t="n"/>
      <c r="G82" s="2" t="n"/>
      <c r="H82" s="2" t="n"/>
    </row>
    <row r="83">
      <c r="A83" s="2" t="inlineStr">
        <is>
          <t>BREV_USDT_PERP</t>
        </is>
      </c>
      <c r="B83" s="2" t="inlineStr">
        <is>
          <t>已掃描</t>
        </is>
      </c>
      <c r="C83" s="2" t="inlineStr"/>
      <c r="D83" s="2" t="n"/>
      <c r="E83" s="20" t="n"/>
      <c r="F83" s="20" t="n"/>
      <c r="G83" s="2" t="n"/>
      <c r="H83" s="2" t="n"/>
    </row>
    <row r="84">
      <c r="A84" s="2" t="inlineStr">
        <is>
          <t>BROCCOLI_USDT_PERP</t>
        </is>
      </c>
      <c r="B84" s="2" t="inlineStr">
        <is>
          <t>已掃描</t>
        </is>
      </c>
      <c r="C84" s="2" t="inlineStr"/>
      <c r="D84" s="2" t="n"/>
      <c r="E84" s="20" t="n"/>
      <c r="F84" s="20" t="n"/>
      <c r="G84" s="2" t="n"/>
      <c r="H84" s="2" t="n"/>
    </row>
    <row r="85">
      <c r="A85" s="2" t="inlineStr">
        <is>
          <t>BR_USDT_PERP</t>
        </is>
      </c>
      <c r="B85" s="2" t="inlineStr">
        <is>
          <t>已掃描</t>
        </is>
      </c>
      <c r="C85" s="2" t="inlineStr"/>
      <c r="D85" s="2" t="n"/>
      <c r="E85" s="20" t="n"/>
      <c r="F85" s="20" t="n"/>
      <c r="G85" s="2" t="n"/>
      <c r="H85" s="2" t="n"/>
    </row>
    <row r="86">
      <c r="A86" s="2" t="inlineStr">
        <is>
          <t>BSB_USDT_PERP</t>
        </is>
      </c>
      <c r="B86" s="2" t="inlineStr">
        <is>
          <t>已掃描</t>
        </is>
      </c>
      <c r="C86" s="2" t="inlineStr"/>
      <c r="D86" s="2" t="n"/>
      <c r="E86" s="20" t="n"/>
      <c r="F86" s="20" t="n"/>
      <c r="G86" s="2" t="n"/>
      <c r="H86" s="2" t="n"/>
    </row>
    <row r="87">
      <c r="A87" s="2" t="inlineStr">
        <is>
          <t>BSV_USDT_PERP</t>
        </is>
      </c>
      <c r="B87" s="2" t="inlineStr">
        <is>
          <t>已掃描</t>
        </is>
      </c>
      <c r="C87" s="2" t="inlineStr"/>
      <c r="D87" s="2" t="n"/>
      <c r="E87" s="20" t="n"/>
      <c r="F87" s="20" t="n"/>
      <c r="G87" s="2" t="n"/>
      <c r="H87" s="2" t="n"/>
    </row>
    <row r="88">
      <c r="A88" s="2" t="inlineStr">
        <is>
          <t>BTC_USDT_PERP</t>
        </is>
      </c>
      <c r="B88" s="2" t="inlineStr">
        <is>
          <t>已掃描</t>
        </is>
      </c>
      <c r="C88" s="2" t="inlineStr"/>
      <c r="D88" s="2" t="n"/>
      <c r="E88" s="20" t="n"/>
      <c r="F88" s="20" t="n"/>
      <c r="G88" s="2" t="n"/>
      <c r="H88" s="2" t="n"/>
    </row>
    <row r="89">
      <c r="A89" s="2" t="inlineStr">
        <is>
          <t>BTR_USDT_PERP</t>
        </is>
      </c>
      <c r="B89" s="2" t="inlineStr">
        <is>
          <t>已掃描</t>
        </is>
      </c>
      <c r="C89" s="2" t="inlineStr"/>
      <c r="D89" s="2" t="n"/>
      <c r="E89" s="20" t="n"/>
      <c r="F89" s="20" t="n"/>
      <c r="G89" s="2" t="n"/>
      <c r="H89" s="2" t="n"/>
    </row>
    <row r="90">
      <c r="A90" s="2" t="inlineStr">
        <is>
          <t>BTW_USDT_PERP</t>
        </is>
      </c>
      <c r="B90" s="2" t="inlineStr">
        <is>
          <t>已掃描</t>
        </is>
      </c>
      <c r="C90" s="2" t="inlineStr"/>
      <c r="D90" s="2" t="n"/>
      <c r="E90" s="20" t="n"/>
      <c r="F90" s="20" t="n"/>
      <c r="G90" s="2" t="n"/>
      <c r="H90" s="2" t="n"/>
    </row>
    <row r="91">
      <c r="A91" s="2" t="inlineStr">
        <is>
          <t>BULLA_USDT_PERP</t>
        </is>
      </c>
      <c r="B91" s="2" t="inlineStr">
        <is>
          <t>已掃描</t>
        </is>
      </c>
      <c r="C91" s="2" t="inlineStr"/>
      <c r="D91" s="2" t="n"/>
      <c r="E91" s="20" t="n"/>
      <c r="F91" s="20" t="n"/>
      <c r="G91" s="2" t="n"/>
      <c r="H91" s="2" t="n"/>
    </row>
    <row r="92">
      <c r="A92" s="2" t="inlineStr">
        <is>
          <t>B_USDT_PERP</t>
        </is>
      </c>
      <c r="B92" s="2" t="inlineStr">
        <is>
          <t>已掃描</t>
        </is>
      </c>
      <c r="C92" s="2" t="inlineStr"/>
      <c r="D92" s="2" t="n"/>
      <c r="E92" s="20" t="n"/>
      <c r="F92" s="20" t="n"/>
      <c r="G92" s="2" t="n"/>
      <c r="H92" s="2" t="n"/>
    </row>
    <row r="93">
      <c r="A93" s="2" t="inlineStr">
        <is>
          <t>CAKE_USDT_PERP</t>
        </is>
      </c>
      <c r="B93" s="2" t="inlineStr">
        <is>
          <t>已掃描</t>
        </is>
      </c>
      <c r="C93" s="2" t="inlineStr"/>
      <c r="D93" s="2" t="n"/>
      <c r="E93" s="20" t="n"/>
      <c r="F93" s="20" t="n"/>
      <c r="G93" s="2" t="n"/>
      <c r="H93" s="2" t="n"/>
    </row>
    <row r="94">
      <c r="A94" s="2" t="inlineStr">
        <is>
          <t>CAP_USDT_PERP</t>
        </is>
      </c>
      <c r="B94" s="2" t="inlineStr">
        <is>
          <t>已掃描</t>
        </is>
      </c>
      <c r="C94" s="2" t="inlineStr"/>
      <c r="D94" s="2" t="n"/>
      <c r="E94" s="20" t="n"/>
      <c r="F94" s="20" t="n"/>
      <c r="G94" s="2" t="n"/>
      <c r="H94" s="2" t="n"/>
    </row>
    <row r="95">
      <c r="A95" s="2" t="inlineStr">
        <is>
          <t>CASHCAT_USDT_PERP</t>
        </is>
      </c>
      <c r="B95" s="2" t="inlineStr">
        <is>
          <t>已掃描</t>
        </is>
      </c>
      <c r="C95" s="2" t="inlineStr"/>
      <c r="D95" s="2" t="n"/>
      <c r="E95" s="20" t="n"/>
      <c r="F95" s="20" t="n"/>
      <c r="G95" s="2" t="n"/>
      <c r="H95" s="2" t="n"/>
    </row>
    <row r="96">
      <c r="A96" s="2" t="inlineStr">
        <is>
          <t>CATI_USDT_PERP</t>
        </is>
      </c>
      <c r="B96" s="2" t="inlineStr">
        <is>
          <t>已掃描</t>
        </is>
      </c>
      <c r="C96" s="2" t="inlineStr"/>
      <c r="D96" s="2" t="n"/>
      <c r="E96" s="20" t="n"/>
      <c r="F96" s="20" t="n"/>
      <c r="G96" s="2" t="n"/>
      <c r="H96" s="2" t="n"/>
    </row>
    <row r="97">
      <c r="A97" s="2" t="inlineStr">
        <is>
          <t>CBRS_USDT_PERP</t>
        </is>
      </c>
      <c r="B97" s="2" t="inlineStr">
        <is>
          <t>已掃描</t>
        </is>
      </c>
      <c r="C97" s="2" t="inlineStr"/>
      <c r="D97" s="2" t="n"/>
      <c r="E97" s="20" t="n"/>
      <c r="F97" s="20" t="n"/>
      <c r="G97" s="2" t="n"/>
      <c r="H97" s="2" t="n"/>
    </row>
    <row r="98">
      <c r="A98" s="2" t="inlineStr">
        <is>
          <t>CC_USDT_PERP</t>
        </is>
      </c>
      <c r="B98" s="2" t="inlineStr">
        <is>
          <t>已掃描</t>
        </is>
      </c>
      <c r="C98" s="2" t="inlineStr"/>
      <c r="D98" s="2" t="n"/>
      <c r="E98" s="20" t="n"/>
      <c r="F98" s="20" t="n"/>
      <c r="G98" s="2" t="n"/>
      <c r="H98" s="2" t="n"/>
    </row>
    <row r="99">
      <c r="A99" s="2" t="inlineStr">
        <is>
          <t>CETUS_USDT_PERP</t>
        </is>
      </c>
      <c r="B99" s="2" t="inlineStr">
        <is>
          <t>已掃描</t>
        </is>
      </c>
      <c r="C99" s="2" t="inlineStr"/>
      <c r="D99" s="2" t="n"/>
      <c r="E99" s="20" t="n"/>
      <c r="F99" s="20" t="n"/>
      <c r="G99" s="2" t="n"/>
      <c r="H99" s="2" t="n"/>
    </row>
    <row r="100">
      <c r="A100" s="2" t="inlineStr">
        <is>
          <t>CFG_USDT_PERP</t>
        </is>
      </c>
      <c r="B100" s="2" t="inlineStr">
        <is>
          <t>已掃描</t>
        </is>
      </c>
      <c r="C100" s="2" t="inlineStr"/>
      <c r="D100" s="2" t="n"/>
      <c r="E100" s="20" t="n"/>
      <c r="F100" s="20" t="n"/>
      <c r="G100" s="2" t="n"/>
      <c r="H100" s="2" t="n"/>
    </row>
    <row r="101">
      <c r="A101" s="2" t="inlineStr">
        <is>
          <t>CFX_USDT_PERP</t>
        </is>
      </c>
      <c r="B101" s="2" t="inlineStr">
        <is>
          <t>已掃描</t>
        </is>
      </c>
      <c r="C101" s="2" t="inlineStr"/>
      <c r="D101" s="2" t="n"/>
      <c r="E101" s="20" t="n"/>
      <c r="F101" s="20" t="n"/>
      <c r="G101" s="2" t="n"/>
      <c r="H101" s="2" t="n"/>
    </row>
    <row r="102">
      <c r="A102" s="2" t="inlineStr">
        <is>
          <t>CF_USDT_PERP</t>
        </is>
      </c>
      <c r="B102" s="2" t="inlineStr">
        <is>
          <t>已掃描</t>
        </is>
      </c>
      <c r="C102" s="2" t="inlineStr"/>
      <c r="D102" s="2" t="n"/>
      <c r="E102" s="20" t="n"/>
      <c r="F102" s="20" t="n"/>
      <c r="G102" s="2" t="n"/>
      <c r="H102" s="2" t="n"/>
    </row>
    <row r="103">
      <c r="A103" s="2" t="inlineStr">
        <is>
          <t>CHIP_USDT_PERP</t>
        </is>
      </c>
      <c r="B103" s="2" t="inlineStr">
        <is>
          <t>已掃描</t>
        </is>
      </c>
      <c r="C103" s="2" t="inlineStr"/>
      <c r="D103" s="2" t="n"/>
      <c r="E103" s="20" t="n"/>
      <c r="F103" s="20" t="n"/>
      <c r="G103" s="2" t="n"/>
      <c r="H103" s="2" t="n"/>
    </row>
    <row r="104">
      <c r="A104" s="2" t="inlineStr">
        <is>
          <t>CHZ_USDT_PERP</t>
        </is>
      </c>
      <c r="B104" s="2" t="inlineStr">
        <is>
          <t>已掃描</t>
        </is>
      </c>
      <c r="C104" s="2" t="inlineStr"/>
      <c r="D104" s="2" t="n"/>
      <c r="E104" s="20" t="n"/>
      <c r="F104" s="20" t="n"/>
      <c r="G104" s="2" t="n"/>
      <c r="H104" s="2" t="n"/>
    </row>
    <row r="105">
      <c r="A105" s="2" t="inlineStr">
        <is>
          <t>CKB_USDT_PERP</t>
        </is>
      </c>
      <c r="B105" s="2" t="inlineStr">
        <is>
          <t>已掃描</t>
        </is>
      </c>
      <c r="C105" s="2" t="inlineStr"/>
      <c r="D105" s="2" t="n"/>
      <c r="E105" s="20" t="n"/>
      <c r="F105" s="20" t="n"/>
      <c r="G105" s="2" t="n"/>
      <c r="H105" s="2" t="n"/>
    </row>
    <row r="106">
      <c r="A106" s="2" t="inlineStr">
        <is>
          <t>CLANKER_USDT_PERP</t>
        </is>
      </c>
      <c r="B106" s="2" t="inlineStr">
        <is>
          <t>已掃描</t>
        </is>
      </c>
      <c r="C106" s="2" t="inlineStr"/>
      <c r="D106" s="2" t="n"/>
      <c r="E106" s="20" t="n"/>
      <c r="F106" s="20" t="n"/>
      <c r="G106" s="2" t="n"/>
      <c r="H106" s="2" t="n"/>
    </row>
    <row r="107">
      <c r="A107" s="2" t="inlineStr">
        <is>
          <t>CLO_USDT_PERP</t>
        </is>
      </c>
      <c r="B107" s="2" t="inlineStr">
        <is>
          <t>已掃描</t>
        </is>
      </c>
      <c r="C107" s="2" t="inlineStr"/>
      <c r="D107" s="2" t="n"/>
      <c r="E107" s="20" t="n"/>
      <c r="F107" s="20" t="n"/>
      <c r="G107" s="2" t="n"/>
      <c r="H107" s="2" t="n"/>
    </row>
    <row r="108">
      <c r="A108" s="2" t="inlineStr">
        <is>
          <t>COAI_USDT_PERP</t>
        </is>
      </c>
      <c r="B108" s="2" t="inlineStr">
        <is>
          <t>已掃描</t>
        </is>
      </c>
      <c r="C108" s="2" t="inlineStr"/>
      <c r="D108" s="2" t="n"/>
      <c r="E108" s="20" t="n"/>
      <c r="F108" s="20" t="n"/>
      <c r="G108" s="2" t="n"/>
      <c r="H108" s="2" t="n"/>
    </row>
    <row r="109">
      <c r="A109" s="2" t="inlineStr">
        <is>
          <t>COLLECT_USDT_PERP</t>
        </is>
      </c>
      <c r="B109" s="2" t="inlineStr">
        <is>
          <t>已掃描</t>
        </is>
      </c>
      <c r="C109" s="2" t="inlineStr"/>
      <c r="D109" s="2" t="n"/>
      <c r="E109" s="20" t="n"/>
      <c r="F109" s="20" t="n"/>
      <c r="G109" s="2" t="n"/>
      <c r="H109" s="2" t="n"/>
    </row>
    <row r="110">
      <c r="A110" s="2" t="inlineStr">
        <is>
          <t>COMP_USDT_PERP</t>
        </is>
      </c>
      <c r="B110" s="2" t="inlineStr">
        <is>
          <t>已掃描</t>
        </is>
      </c>
      <c r="C110" s="2" t="inlineStr"/>
      <c r="D110" s="2" t="n"/>
      <c r="E110" s="20" t="n"/>
      <c r="F110" s="20" t="n"/>
      <c r="G110" s="2" t="n"/>
      <c r="H110" s="2" t="n"/>
    </row>
    <row r="111">
      <c r="A111" s="2" t="inlineStr">
        <is>
          <t>COOKIE_USDT_PERP</t>
        </is>
      </c>
      <c r="B111" s="2" t="inlineStr">
        <is>
          <t>已掃描</t>
        </is>
      </c>
      <c r="C111" s="2" t="inlineStr"/>
      <c r="D111" s="2" t="n"/>
      <c r="E111" s="20" t="n"/>
      <c r="F111" s="20" t="n"/>
      <c r="G111" s="2" t="n"/>
      <c r="H111" s="2" t="n"/>
    </row>
    <row r="112">
      <c r="A112" s="2" t="inlineStr">
        <is>
          <t>COTI_USDT_PERP</t>
        </is>
      </c>
      <c r="B112" s="2" t="inlineStr">
        <is>
          <t>已掃描</t>
        </is>
      </c>
      <c r="C112" s="2" t="inlineStr"/>
      <c r="D112" s="2" t="n"/>
      <c r="E112" s="20" t="n"/>
      <c r="F112" s="20" t="n"/>
      <c r="G112" s="2" t="n"/>
      <c r="H112" s="2" t="n"/>
    </row>
    <row r="113">
      <c r="A113" s="2" t="inlineStr">
        <is>
          <t>CROSS_USDT_PERP</t>
        </is>
      </c>
      <c r="B113" s="2" t="inlineStr">
        <is>
          <t>已掃描</t>
        </is>
      </c>
      <c r="C113" s="2" t="inlineStr"/>
      <c r="D113" s="2" t="n"/>
      <c r="E113" s="20" t="n"/>
      <c r="F113" s="20" t="n"/>
      <c r="G113" s="2" t="n"/>
      <c r="H113" s="2" t="n"/>
    </row>
    <row r="114">
      <c r="A114" s="2" t="inlineStr">
        <is>
          <t>CRO_USDT_PERP</t>
        </is>
      </c>
      <c r="B114" s="2" t="inlineStr">
        <is>
          <t>已掃描</t>
        </is>
      </c>
      <c r="C114" s="2" t="inlineStr"/>
      <c r="D114" s="2" t="n"/>
      <c r="E114" s="20" t="n"/>
      <c r="F114" s="20" t="n"/>
      <c r="G114" s="2" t="n"/>
      <c r="H114" s="2" t="n"/>
    </row>
    <row r="115">
      <c r="A115" s="2" t="inlineStr">
        <is>
          <t>CRV_USDT_PERP</t>
        </is>
      </c>
      <c r="B115" s="2" t="inlineStr">
        <is>
          <t>已掃描</t>
        </is>
      </c>
      <c r="C115" s="2" t="inlineStr"/>
      <c r="D115" s="2" t="n"/>
      <c r="E115" s="20" t="n"/>
      <c r="F115" s="20" t="n"/>
      <c r="G115" s="2" t="n"/>
      <c r="H115" s="2" t="n"/>
    </row>
    <row r="116">
      <c r="A116" s="2" t="inlineStr">
        <is>
          <t>CTR_USDT_PERP</t>
        </is>
      </c>
      <c r="B116" s="2" t="inlineStr">
        <is>
          <t>已掃描</t>
        </is>
      </c>
      <c r="C116" s="2" t="inlineStr"/>
      <c r="D116" s="2" t="n"/>
      <c r="E116" s="20" t="n"/>
      <c r="F116" s="20" t="n"/>
      <c r="G116" s="2" t="n"/>
      <c r="H116" s="2" t="n"/>
    </row>
    <row r="117">
      <c r="A117" s="2" t="inlineStr">
        <is>
          <t>CVX_USDT_PERP</t>
        </is>
      </c>
      <c r="B117" s="2" t="inlineStr">
        <is>
          <t>已掃描</t>
        </is>
      </c>
      <c r="C117" s="2" t="inlineStr"/>
      <c r="D117" s="2" t="n"/>
      <c r="E117" s="20" t="n"/>
      <c r="F117" s="20" t="n"/>
      <c r="G117" s="2" t="n"/>
      <c r="H117" s="2" t="n"/>
    </row>
    <row r="118">
      <c r="A118" s="2" t="inlineStr">
        <is>
          <t>CYS_USDT_PERP</t>
        </is>
      </c>
      <c r="B118" s="2" t="inlineStr">
        <is>
          <t>已掃描</t>
        </is>
      </c>
      <c r="C118" s="2" t="inlineStr"/>
      <c r="D118" s="2" t="n"/>
      <c r="E118" s="20" t="n"/>
      <c r="F118" s="20" t="n"/>
      <c r="G118" s="2" t="n"/>
      <c r="H118" s="2" t="n"/>
    </row>
    <row r="119">
      <c r="A119" s="2" t="inlineStr">
        <is>
          <t>DASH_USDT_PERP</t>
        </is>
      </c>
      <c r="B119" s="2" t="inlineStr">
        <is>
          <t>已掃描</t>
        </is>
      </c>
      <c r="C119" s="2" t="inlineStr"/>
      <c r="D119" s="2" t="n"/>
      <c r="E119" s="20" t="n"/>
      <c r="F119" s="20" t="n"/>
      <c r="G119" s="2" t="n"/>
      <c r="H119" s="2" t="n"/>
    </row>
    <row r="120">
      <c r="A120" s="2" t="inlineStr">
        <is>
          <t>DATA_USDT_PERP</t>
        </is>
      </c>
      <c r="B120" s="2" t="inlineStr">
        <is>
          <t>已掃描</t>
        </is>
      </c>
      <c r="C120" s="2" t="inlineStr"/>
      <c r="D120" s="2" t="n"/>
      <c r="E120" s="20" t="n"/>
      <c r="F120" s="20" t="n"/>
      <c r="G120" s="2" t="n"/>
      <c r="H120" s="2" t="n"/>
    </row>
    <row r="121">
      <c r="A121" s="2" t="inlineStr">
        <is>
          <t>DODO_USDT_PERP</t>
        </is>
      </c>
      <c r="B121" s="2" t="inlineStr">
        <is>
          <t>已掃描</t>
        </is>
      </c>
      <c r="C121" s="2" t="inlineStr"/>
      <c r="D121" s="2" t="n"/>
      <c r="E121" s="20" t="n"/>
      <c r="F121" s="20" t="n"/>
      <c r="G121" s="2" t="n"/>
      <c r="H121" s="2" t="n"/>
    </row>
    <row r="122">
      <c r="A122" s="2" t="inlineStr">
        <is>
          <t>DOGE_USDT_PERP</t>
        </is>
      </c>
      <c r="B122" s="2" t="inlineStr">
        <is>
          <t>已掃描</t>
        </is>
      </c>
      <c r="C122" s="2" t="inlineStr"/>
      <c r="D122" s="2" t="n"/>
      <c r="E122" s="20" t="n"/>
      <c r="F122" s="20" t="n"/>
      <c r="G122" s="2" t="n"/>
      <c r="H122" s="2" t="n"/>
    </row>
    <row r="123">
      <c r="A123" s="2" t="inlineStr">
        <is>
          <t>DOGS_USDT_PERP</t>
        </is>
      </c>
      <c r="B123" s="2" t="inlineStr">
        <is>
          <t>已掃描</t>
        </is>
      </c>
      <c r="C123" s="2" t="inlineStr"/>
      <c r="D123" s="2" t="n"/>
      <c r="E123" s="20" t="n"/>
      <c r="F123" s="20" t="n"/>
      <c r="G123" s="2" t="n"/>
      <c r="H123" s="2" t="n"/>
    </row>
    <row r="124">
      <c r="A124" s="2" t="inlineStr">
        <is>
          <t>DOLO_USDT_PERP</t>
        </is>
      </c>
      <c r="B124" s="2" t="inlineStr">
        <is>
          <t>已掃描</t>
        </is>
      </c>
      <c r="C124" s="2" t="inlineStr"/>
      <c r="D124" s="2" t="n"/>
      <c r="E124" s="20" t="n"/>
      <c r="F124" s="20" t="n"/>
      <c r="G124" s="2" t="n"/>
      <c r="H124" s="2" t="n"/>
    </row>
    <row r="125">
      <c r="A125" s="2" t="inlineStr">
        <is>
          <t>DOS_USDT_PERP</t>
        </is>
      </c>
      <c r="B125" s="2" t="inlineStr">
        <is>
          <t>已掃描</t>
        </is>
      </c>
      <c r="C125" s="2" t="inlineStr"/>
      <c r="D125" s="2" t="n"/>
      <c r="E125" s="20" t="n"/>
      <c r="F125" s="20" t="n"/>
      <c r="G125" s="2" t="n"/>
      <c r="H125" s="2" t="n"/>
    </row>
    <row r="126">
      <c r="A126" s="2" t="inlineStr">
        <is>
          <t>DOT_USDT_PERP</t>
        </is>
      </c>
      <c r="B126" s="2" t="inlineStr">
        <is>
          <t>已掃描</t>
        </is>
      </c>
      <c r="C126" s="2" t="inlineStr"/>
      <c r="D126" s="2" t="n"/>
      <c r="E126" s="20" t="n"/>
      <c r="F126" s="20" t="n"/>
      <c r="G126" s="2" t="n"/>
      <c r="H126" s="2" t="n"/>
    </row>
    <row r="127">
      <c r="A127" s="2" t="inlineStr">
        <is>
          <t>DRIFT_USDT_PERP</t>
        </is>
      </c>
      <c r="B127" s="2" t="inlineStr">
        <is>
          <t>已掃描</t>
        </is>
      </c>
      <c r="C127" s="2" t="inlineStr"/>
      <c r="D127" s="2" t="n"/>
      <c r="E127" s="20" t="n"/>
      <c r="F127" s="20" t="n"/>
      <c r="G127" s="2" t="n"/>
      <c r="H127" s="2" t="n"/>
    </row>
    <row r="128">
      <c r="A128" s="2" t="inlineStr">
        <is>
          <t>DUSK_USDT_PERP</t>
        </is>
      </c>
      <c r="B128" s="2" t="inlineStr">
        <is>
          <t>已掃描</t>
        </is>
      </c>
      <c r="C128" s="2" t="inlineStr"/>
      <c r="D128" s="2" t="n"/>
      <c r="E128" s="20" t="n"/>
      <c r="F128" s="20" t="n"/>
      <c r="G128" s="2" t="n"/>
      <c r="H128" s="2" t="n"/>
    </row>
    <row r="129">
      <c r="A129" s="2" t="inlineStr">
        <is>
          <t>DYM_USDT_PERP</t>
        </is>
      </c>
      <c r="B129" s="2" t="inlineStr">
        <is>
          <t>已掃描</t>
        </is>
      </c>
      <c r="C129" s="2" t="inlineStr"/>
      <c r="D129" s="2" t="n"/>
      <c r="E129" s="20" t="n"/>
      <c r="F129" s="20" t="n"/>
      <c r="G129" s="2" t="n"/>
      <c r="H129" s="2" t="n"/>
    </row>
    <row r="130">
      <c r="A130" s="2" t="inlineStr">
        <is>
          <t>EDEN_USDT_PERP</t>
        </is>
      </c>
      <c r="B130" s="2" t="inlineStr">
        <is>
          <t>已掃描</t>
        </is>
      </c>
      <c r="C130" s="2" t="inlineStr"/>
      <c r="D130" s="2" t="n"/>
      <c r="E130" s="20" t="n"/>
      <c r="F130" s="20" t="n"/>
      <c r="G130" s="2" t="n"/>
      <c r="H130" s="2" t="n"/>
    </row>
    <row r="131">
      <c r="A131" s="2" t="inlineStr">
        <is>
          <t>EDGE_USDT_PERP</t>
        </is>
      </c>
      <c r="B131" s="2" t="inlineStr">
        <is>
          <t>已掃描</t>
        </is>
      </c>
      <c r="C131" s="2" t="inlineStr"/>
      <c r="D131" s="2" t="n"/>
      <c r="E131" s="20" t="n"/>
      <c r="F131" s="20" t="n"/>
      <c r="G131" s="2" t="n"/>
      <c r="H131" s="2" t="n"/>
    </row>
    <row r="132">
      <c r="A132" s="2" t="inlineStr">
        <is>
          <t>EDU_USDT_PERP</t>
        </is>
      </c>
      <c r="B132" s="2" t="inlineStr">
        <is>
          <t>已掃描</t>
        </is>
      </c>
      <c r="C132" s="2" t="inlineStr"/>
      <c r="D132" s="2" t="n"/>
      <c r="E132" s="20" t="n"/>
      <c r="F132" s="20" t="n"/>
      <c r="G132" s="2" t="n"/>
      <c r="H132" s="2" t="n"/>
    </row>
    <row r="133">
      <c r="A133" s="2" t="inlineStr">
        <is>
          <t>EGLD_USDT_PERP</t>
        </is>
      </c>
      <c r="B133" s="2" t="inlineStr">
        <is>
          <t>已掃描</t>
        </is>
      </c>
      <c r="C133" s="2" t="inlineStr"/>
      <c r="D133" s="2" t="n"/>
      <c r="E133" s="20" t="n"/>
      <c r="F133" s="20" t="n"/>
      <c r="G133" s="2" t="n"/>
      <c r="H133" s="2" t="n"/>
    </row>
    <row r="134">
      <c r="A134" s="2" t="inlineStr">
        <is>
          <t>EIGEN_USDT_PERP</t>
        </is>
      </c>
      <c r="B134" s="2" t="inlineStr">
        <is>
          <t>已掃描</t>
        </is>
      </c>
      <c r="C134" s="2" t="inlineStr"/>
      <c r="D134" s="2" t="n"/>
      <c r="E134" s="20" t="n"/>
      <c r="F134" s="20" t="n"/>
      <c r="G134" s="2" t="n"/>
      <c r="H134" s="2" t="n"/>
    </row>
    <row r="135">
      <c r="A135" s="2" t="inlineStr">
        <is>
          <t>ELSA_USDT_PERP</t>
        </is>
      </c>
      <c r="B135" s="2" t="inlineStr">
        <is>
          <t>已掃描</t>
        </is>
      </c>
      <c r="C135" s="2" t="inlineStr"/>
      <c r="D135" s="2" t="n"/>
      <c r="E135" s="20" t="n"/>
      <c r="F135" s="20" t="n"/>
      <c r="G135" s="2" t="n"/>
      <c r="H135" s="2" t="n"/>
    </row>
    <row r="136">
      <c r="A136" s="2" t="inlineStr">
        <is>
          <t>ENA_USDT_PERP</t>
        </is>
      </c>
      <c r="B136" s="2" t="inlineStr">
        <is>
          <t>已掃描</t>
        </is>
      </c>
      <c r="C136" s="2" t="inlineStr"/>
      <c r="D136" s="2" t="n"/>
      <c r="E136" s="20" t="n"/>
      <c r="F136" s="20" t="n"/>
      <c r="G136" s="2" t="n"/>
      <c r="H136" s="2" t="n"/>
    </row>
    <row r="137">
      <c r="A137" s="2" t="inlineStr">
        <is>
          <t>ENJ_USDT_PERP</t>
        </is>
      </c>
      <c r="B137" s="2" t="inlineStr">
        <is>
          <t>已掃描</t>
        </is>
      </c>
      <c r="C137" s="2" t="inlineStr"/>
      <c r="D137" s="2" t="n"/>
      <c r="E137" s="20" t="n"/>
      <c r="F137" s="20" t="n"/>
      <c r="G137" s="2" t="n"/>
      <c r="H137" s="2" t="n"/>
    </row>
    <row r="138">
      <c r="A138" s="2" t="inlineStr">
        <is>
          <t>ENSO_USDT_PERP</t>
        </is>
      </c>
      <c r="B138" s="2" t="inlineStr">
        <is>
          <t>已掃描</t>
        </is>
      </c>
      <c r="C138" s="2" t="inlineStr"/>
      <c r="D138" s="2" t="n"/>
      <c r="E138" s="20" t="n"/>
      <c r="F138" s="20" t="n"/>
      <c r="G138" s="2" t="n"/>
      <c r="H138" s="2" t="n"/>
    </row>
    <row r="139">
      <c r="A139" s="2" t="inlineStr">
        <is>
          <t>ENS_USDT_PERP</t>
        </is>
      </c>
      <c r="B139" s="2" t="inlineStr">
        <is>
          <t>已掃描</t>
        </is>
      </c>
      <c r="C139" s="2" t="inlineStr"/>
      <c r="D139" s="2" t="n"/>
      <c r="E139" s="20" t="n"/>
      <c r="F139" s="20" t="n"/>
      <c r="G139" s="2" t="n"/>
      <c r="H139" s="2" t="n"/>
    </row>
    <row r="140">
      <c r="A140" s="2" t="inlineStr">
        <is>
          <t>ESP_USDT_PERP</t>
        </is>
      </c>
      <c r="B140" s="2" t="inlineStr">
        <is>
          <t>已掃描</t>
        </is>
      </c>
      <c r="C140" s="2" t="inlineStr"/>
      <c r="D140" s="2" t="n"/>
      <c r="E140" s="20" t="n"/>
      <c r="F140" s="20" t="n"/>
      <c r="G140" s="2" t="n"/>
      <c r="H140" s="2" t="n"/>
    </row>
    <row r="141">
      <c r="A141" s="2" t="inlineStr">
        <is>
          <t>ETC_USDT_PERP</t>
        </is>
      </c>
      <c r="B141" s="2" t="inlineStr">
        <is>
          <t>已掃描</t>
        </is>
      </c>
      <c r="C141" s="2" t="inlineStr"/>
      <c r="D141" s="2" t="n"/>
      <c r="E141" s="20" t="n"/>
      <c r="F141" s="20" t="n"/>
      <c r="G141" s="2" t="n"/>
      <c r="H141" s="2" t="n"/>
    </row>
    <row r="142">
      <c r="A142" s="2" t="inlineStr">
        <is>
          <t>ETHFI_USDT_PERP</t>
        </is>
      </c>
      <c r="B142" s="2" t="inlineStr">
        <is>
          <t>已掃描</t>
        </is>
      </c>
      <c r="C142" s="2" t="inlineStr"/>
      <c r="D142" s="2" t="n"/>
      <c r="E142" s="20" t="n"/>
      <c r="F142" s="20" t="n"/>
      <c r="G142" s="2" t="n"/>
      <c r="H142" s="2" t="n"/>
    </row>
    <row r="143">
      <c r="A143" s="2" t="inlineStr">
        <is>
          <t>ETH_USDT_PERP</t>
        </is>
      </c>
      <c r="B143" s="2" t="inlineStr">
        <is>
          <t>已掃描</t>
        </is>
      </c>
      <c r="C143" s="2" t="inlineStr"/>
      <c r="D143" s="2" t="n"/>
      <c r="E143" s="20" t="n"/>
      <c r="F143" s="20" t="n"/>
      <c r="G143" s="2" t="n"/>
      <c r="H143" s="2" t="n"/>
    </row>
    <row r="144">
      <c r="A144" s="2" t="inlineStr">
        <is>
          <t>EUL_USDT_PERP</t>
        </is>
      </c>
      <c r="B144" s="2" t="inlineStr">
        <is>
          <t>已掃描</t>
        </is>
      </c>
      <c r="C144" s="2" t="inlineStr"/>
      <c r="D144" s="2" t="n"/>
      <c r="E144" s="20" t="n"/>
      <c r="F144" s="20" t="n"/>
      <c r="G144" s="2" t="n"/>
      <c r="H144" s="2" t="n"/>
    </row>
    <row r="145">
      <c r="A145" s="2" t="inlineStr">
        <is>
          <t>EVAA_USDT_PERP</t>
        </is>
      </c>
      <c r="B145" s="2" t="inlineStr">
        <is>
          <t>已掃描</t>
        </is>
      </c>
      <c r="C145" s="2" t="inlineStr"/>
      <c r="D145" s="2" t="n"/>
      <c r="E145" s="20" t="n"/>
      <c r="F145" s="20" t="n"/>
      <c r="G145" s="2" t="n"/>
      <c r="H145" s="2" t="n"/>
    </row>
    <row r="146">
      <c r="A146" s="2" t="inlineStr">
        <is>
          <t>FARTCOIN_USDT_PERP</t>
        </is>
      </c>
      <c r="B146" s="2" t="inlineStr">
        <is>
          <t>已掃描</t>
        </is>
      </c>
      <c r="C146" s="2" t="inlineStr"/>
      <c r="D146" s="2" t="n"/>
      <c r="E146" s="20" t="n"/>
      <c r="F146" s="20" t="n"/>
      <c r="G146" s="2" t="n"/>
      <c r="H146" s="2" t="n"/>
    </row>
    <row r="147">
      <c r="A147" s="2" t="inlineStr">
        <is>
          <t>FET_USDT_PERP</t>
        </is>
      </c>
      <c r="B147" s="2" t="inlineStr">
        <is>
          <t>已掃描</t>
        </is>
      </c>
      <c r="C147" s="2" t="inlineStr"/>
      <c r="D147" s="2" t="n"/>
      <c r="E147" s="20" t="n"/>
      <c r="F147" s="20" t="n"/>
      <c r="G147" s="2" t="n"/>
      <c r="H147" s="2" t="n"/>
    </row>
    <row r="148">
      <c r="A148" s="2" t="inlineStr">
        <is>
          <t>FF_USDT_PERP</t>
        </is>
      </c>
      <c r="B148" s="2" t="inlineStr">
        <is>
          <t>已掃描</t>
        </is>
      </c>
      <c r="C148" s="2" t="inlineStr"/>
      <c r="D148" s="2" t="n"/>
      <c r="E148" s="20" t="n"/>
      <c r="F148" s="20" t="n"/>
      <c r="G148" s="2" t="n"/>
      <c r="H148" s="2" t="n"/>
    </row>
    <row r="149">
      <c r="A149" s="2" t="inlineStr">
        <is>
          <t>FHE_USDT_PERP</t>
        </is>
      </c>
      <c r="B149" s="2" t="inlineStr">
        <is>
          <t>已掃描</t>
        </is>
      </c>
      <c r="C149" s="2" t="inlineStr"/>
      <c r="D149" s="2" t="n"/>
      <c r="E149" s="20" t="n"/>
      <c r="F149" s="20" t="n"/>
      <c r="G149" s="2" t="n"/>
      <c r="H149" s="2" t="n"/>
    </row>
    <row r="150">
      <c r="A150" s="2" t="inlineStr">
        <is>
          <t>FIGHT_USDT_PERP</t>
        </is>
      </c>
      <c r="B150" s="2" t="inlineStr">
        <is>
          <t>已掃描</t>
        </is>
      </c>
      <c r="C150" s="2" t="inlineStr"/>
      <c r="D150" s="2" t="n"/>
      <c r="E150" s="20" t="n"/>
      <c r="F150" s="20" t="n"/>
      <c r="G150" s="2" t="n"/>
      <c r="H150" s="2" t="n"/>
    </row>
    <row r="151">
      <c r="A151" s="2" t="inlineStr">
        <is>
          <t>FIL_USDT_PERP</t>
        </is>
      </c>
      <c r="B151" s="2" t="inlineStr">
        <is>
          <t>已掃描</t>
        </is>
      </c>
      <c r="C151" s="2" t="inlineStr"/>
      <c r="D151" s="2" t="n"/>
      <c r="E151" s="20" t="n"/>
      <c r="F151" s="20" t="n"/>
      <c r="G151" s="2" t="n"/>
      <c r="H151" s="2" t="n"/>
    </row>
    <row r="152">
      <c r="A152" s="2" t="inlineStr">
        <is>
          <t>FLOKI_USDT_PERP</t>
        </is>
      </c>
      <c r="B152" s="2" t="inlineStr">
        <is>
          <t>已掃描</t>
        </is>
      </c>
      <c r="C152" s="2" t="inlineStr"/>
      <c r="D152" s="2" t="n"/>
      <c r="E152" s="20" t="n"/>
      <c r="F152" s="20" t="n"/>
      <c r="G152" s="2" t="n"/>
      <c r="H152" s="2" t="n"/>
    </row>
    <row r="153">
      <c r="A153" s="2" t="inlineStr">
        <is>
          <t>FLUID_USDT_PERP</t>
        </is>
      </c>
      <c r="B153" s="2" t="inlineStr">
        <is>
          <t>已掃描</t>
        </is>
      </c>
      <c r="C153" s="2" t="inlineStr"/>
      <c r="D153" s="2" t="n"/>
      <c r="E153" s="20" t="n"/>
      <c r="F153" s="20" t="n"/>
      <c r="G153" s="2" t="n"/>
      <c r="H153" s="2" t="n"/>
    </row>
    <row r="154">
      <c r="A154" s="2" t="inlineStr">
        <is>
          <t>FOGO_USDT_PERP</t>
        </is>
      </c>
      <c r="B154" s="2" t="inlineStr">
        <is>
          <t>已掃描</t>
        </is>
      </c>
      <c r="C154" s="2" t="inlineStr"/>
      <c r="D154" s="2" t="n"/>
      <c r="E154" s="20" t="n"/>
      <c r="F154" s="20" t="n"/>
      <c r="G154" s="2" t="n"/>
      <c r="H154" s="2" t="n"/>
    </row>
    <row r="155">
      <c r="A155" s="2" t="inlineStr">
        <is>
          <t>FOLKS_USDT_PERP</t>
        </is>
      </c>
      <c r="B155" s="2" t="inlineStr">
        <is>
          <t>已掃描</t>
        </is>
      </c>
      <c r="C155" s="2" t="inlineStr"/>
      <c r="D155" s="2" t="n"/>
      <c r="E155" s="20" t="n"/>
      <c r="F155" s="20" t="n"/>
      <c r="G155" s="2" t="n"/>
      <c r="H155" s="2" t="n"/>
    </row>
    <row r="156">
      <c r="A156" s="2" t="inlineStr">
        <is>
          <t>GALA_USDT_PERP</t>
        </is>
      </c>
      <c r="B156" s="2" t="inlineStr">
        <is>
          <t>已掃描</t>
        </is>
      </c>
      <c r="C156" s="2" t="inlineStr"/>
      <c r="D156" s="2" t="n"/>
      <c r="E156" s="20" t="n"/>
      <c r="F156" s="20" t="n"/>
      <c r="G156" s="2" t="n"/>
      <c r="H156" s="2" t="n"/>
    </row>
    <row r="157">
      <c r="A157" s="2" t="inlineStr">
        <is>
          <t>GAS_USDT_PERP</t>
        </is>
      </c>
      <c r="B157" s="2" t="inlineStr">
        <is>
          <t>已掃描</t>
        </is>
      </c>
      <c r="C157" s="2" t="inlineStr"/>
      <c r="D157" s="2" t="n"/>
      <c r="E157" s="20" t="n"/>
      <c r="F157" s="20" t="n"/>
      <c r="G157" s="2" t="n"/>
      <c r="H157" s="2" t="n"/>
    </row>
    <row r="158">
      <c r="A158" s="2" t="inlineStr">
        <is>
          <t>GENIUS_USDT_PERP</t>
        </is>
      </c>
      <c r="B158" s="2" t="inlineStr">
        <is>
          <t>已掃描</t>
        </is>
      </c>
      <c r="C158" s="2" t="inlineStr"/>
      <c r="D158" s="2" t="n"/>
      <c r="E158" s="20" t="n"/>
      <c r="F158" s="20" t="n"/>
      <c r="G158" s="2" t="n"/>
      <c r="H158" s="2" t="n"/>
    </row>
    <row r="159">
      <c r="A159" s="2" t="inlineStr">
        <is>
          <t>GIGGLE_USDT_PERP</t>
        </is>
      </c>
      <c r="B159" s="2" t="inlineStr">
        <is>
          <t>已掃描</t>
        </is>
      </c>
      <c r="C159" s="2" t="inlineStr"/>
      <c r="D159" s="2" t="n"/>
      <c r="E159" s="20" t="n"/>
      <c r="F159" s="20" t="n"/>
      <c r="G159" s="2" t="n"/>
      <c r="H159" s="2" t="n"/>
    </row>
    <row r="160">
      <c r="A160" s="2" t="inlineStr">
        <is>
          <t>GMT_USDT_PERP</t>
        </is>
      </c>
      <c r="B160" s="2" t="inlineStr">
        <is>
          <t>已掃描</t>
        </is>
      </c>
      <c r="C160" s="2" t="inlineStr"/>
      <c r="D160" s="2" t="n"/>
      <c r="E160" s="20" t="n"/>
      <c r="F160" s="20" t="n"/>
      <c r="G160" s="2" t="n"/>
      <c r="H160" s="2" t="n"/>
    </row>
    <row r="161">
      <c r="A161" s="2" t="inlineStr">
        <is>
          <t>GMX_USDT_PERP</t>
        </is>
      </c>
      <c r="B161" s="2" t="inlineStr">
        <is>
          <t>已掃描</t>
        </is>
      </c>
      <c r="C161" s="2" t="inlineStr"/>
      <c r="D161" s="2" t="n"/>
      <c r="E161" s="20" t="n"/>
      <c r="F161" s="20" t="n"/>
      <c r="G161" s="2" t="n"/>
      <c r="H161" s="2" t="n"/>
    </row>
    <row r="162">
      <c r="A162" s="2" t="inlineStr">
        <is>
          <t>GOAT_USDT_PERP</t>
        </is>
      </c>
      <c r="B162" s="2" t="inlineStr">
        <is>
          <t>已掃描</t>
        </is>
      </c>
      <c r="C162" s="2" t="inlineStr"/>
      <c r="D162" s="2" t="n"/>
      <c r="E162" s="20" t="n"/>
      <c r="F162" s="20" t="n"/>
      <c r="G162" s="2" t="n"/>
      <c r="H162" s="2" t="n"/>
    </row>
    <row r="163">
      <c r="A163" s="2" t="inlineStr">
        <is>
          <t>GPS_USDT_PERP</t>
        </is>
      </c>
      <c r="B163" s="2" t="inlineStr">
        <is>
          <t>已掃描</t>
        </is>
      </c>
      <c r="C163" s="2" t="inlineStr"/>
      <c r="D163" s="2" t="n"/>
      <c r="E163" s="20" t="n"/>
      <c r="F163" s="20" t="n"/>
      <c r="G163" s="2" t="n"/>
      <c r="H163" s="2" t="n"/>
    </row>
    <row r="164">
      <c r="A164" s="2" t="inlineStr">
        <is>
          <t>GRAM_USDT_PERP</t>
        </is>
      </c>
      <c r="B164" s="2" t="inlineStr">
        <is>
          <t>已掃描</t>
        </is>
      </c>
      <c r="C164" s="2" t="inlineStr"/>
      <c r="D164" s="2" t="n"/>
      <c r="E164" s="20" t="n"/>
      <c r="F164" s="20" t="n"/>
      <c r="G164" s="2" t="n"/>
      <c r="H164" s="2" t="n"/>
    </row>
    <row r="165">
      <c r="A165" s="2" t="inlineStr">
        <is>
          <t>GRASS_USDT_PERP</t>
        </is>
      </c>
      <c r="B165" s="2" t="inlineStr">
        <is>
          <t>已掃描</t>
        </is>
      </c>
      <c r="C165" s="2" t="inlineStr"/>
      <c r="D165" s="2" t="n"/>
      <c r="E165" s="20" t="n"/>
      <c r="F165" s="20" t="n"/>
      <c r="G165" s="2" t="n"/>
      <c r="H165" s="2" t="n"/>
    </row>
    <row r="166">
      <c r="A166" s="2" t="inlineStr">
        <is>
          <t>GRIFFAIN_USDT_PERP</t>
        </is>
      </c>
      <c r="B166" s="2" t="inlineStr">
        <is>
          <t>已掃描</t>
        </is>
      </c>
      <c r="C166" s="2" t="inlineStr"/>
      <c r="D166" s="2" t="n"/>
      <c r="E166" s="20" t="n"/>
      <c r="F166" s="20" t="n"/>
      <c r="G166" s="2" t="n"/>
      <c r="H166" s="2" t="n"/>
    </row>
    <row r="167">
      <c r="A167" s="2" t="inlineStr">
        <is>
          <t>GRT_USDT_PERP</t>
        </is>
      </c>
      <c r="B167" s="2" t="inlineStr">
        <is>
          <t>已掃描</t>
        </is>
      </c>
      <c r="C167" s="2" t="inlineStr"/>
      <c r="D167" s="2" t="n"/>
      <c r="E167" s="20" t="n"/>
      <c r="F167" s="20" t="n"/>
      <c r="G167" s="2" t="n"/>
      <c r="H167" s="2" t="n"/>
    </row>
    <row r="168">
      <c r="A168" s="2" t="inlineStr">
        <is>
          <t>GRVT_USDT_PERP</t>
        </is>
      </c>
      <c r="B168" s="2" t="inlineStr">
        <is>
          <t>已掃描</t>
        </is>
      </c>
      <c r="C168" s="2" t="inlineStr"/>
      <c r="D168" s="2" t="n"/>
      <c r="E168" s="20" t="n"/>
      <c r="F168" s="20" t="n"/>
      <c r="G168" s="2" t="n"/>
      <c r="H168" s="2" t="n"/>
    </row>
    <row r="169">
      <c r="A169" s="2" t="inlineStr">
        <is>
          <t>GUA_USDT_PERP</t>
        </is>
      </c>
      <c r="B169" s="2" t="inlineStr">
        <is>
          <t>已掃描</t>
        </is>
      </c>
      <c r="C169" s="2" t="inlineStr"/>
      <c r="D169" s="2" t="n"/>
      <c r="E169" s="20" t="n"/>
      <c r="F169" s="20" t="n"/>
      <c r="G169" s="2" t="n"/>
      <c r="H169" s="2" t="n"/>
    </row>
    <row r="170">
      <c r="A170" s="2" t="inlineStr">
        <is>
          <t>GUN_USDT_PERP</t>
        </is>
      </c>
      <c r="B170" s="2" t="inlineStr">
        <is>
          <t>已掃描</t>
        </is>
      </c>
      <c r="C170" s="2" t="inlineStr"/>
      <c r="D170" s="2" t="n"/>
      <c r="E170" s="20" t="n"/>
      <c r="F170" s="20" t="n"/>
      <c r="G170" s="2" t="n"/>
      <c r="H170" s="2" t="n"/>
    </row>
    <row r="171">
      <c r="A171" s="2" t="inlineStr">
        <is>
          <t>GWEI_USDT_PERP</t>
        </is>
      </c>
      <c r="B171" s="2" t="inlineStr">
        <is>
          <t>已掃描</t>
        </is>
      </c>
      <c r="C171" s="2" t="inlineStr"/>
      <c r="D171" s="2" t="n"/>
      <c r="E171" s="20" t="n"/>
      <c r="F171" s="20" t="n"/>
      <c r="G171" s="2" t="n"/>
      <c r="H171" s="2" t="n"/>
    </row>
    <row r="172">
      <c r="A172" s="2" t="inlineStr">
        <is>
          <t>HAEDAL_USDT_PERP</t>
        </is>
      </c>
      <c r="B172" s="2" t="inlineStr">
        <is>
          <t>已掃描</t>
        </is>
      </c>
      <c r="C172" s="2" t="inlineStr"/>
      <c r="D172" s="2" t="n"/>
      <c r="E172" s="20" t="n"/>
      <c r="F172" s="20" t="n"/>
      <c r="G172" s="2" t="n"/>
      <c r="H172" s="2" t="n"/>
    </row>
    <row r="173">
      <c r="A173" s="2" t="inlineStr">
        <is>
          <t>HANA_USDT_PERP</t>
        </is>
      </c>
      <c r="B173" s="2" t="inlineStr">
        <is>
          <t>已掃描</t>
        </is>
      </c>
      <c r="C173" s="2" t="inlineStr"/>
      <c r="D173" s="2" t="n"/>
      <c r="E173" s="20" t="n"/>
      <c r="F173" s="20" t="n"/>
      <c r="G173" s="2" t="n"/>
      <c r="H173" s="2" t="n"/>
    </row>
    <row r="174">
      <c r="A174" s="2" t="inlineStr">
        <is>
          <t>HBAR_USDT_PERP</t>
        </is>
      </c>
      <c r="B174" s="2" t="inlineStr">
        <is>
          <t>已掃描</t>
        </is>
      </c>
      <c r="C174" s="2" t="inlineStr"/>
      <c r="D174" s="2" t="n"/>
      <c r="E174" s="20" t="n"/>
      <c r="F174" s="20" t="n"/>
      <c r="G174" s="2" t="n"/>
      <c r="H174" s="2" t="n"/>
    </row>
    <row r="175">
      <c r="A175" s="2" t="inlineStr">
        <is>
          <t>HEMI_USDT_PERP</t>
        </is>
      </c>
      <c r="B175" s="2" t="inlineStr">
        <is>
          <t>已掃描</t>
        </is>
      </c>
      <c r="C175" s="2" t="inlineStr"/>
      <c r="D175" s="2" t="n"/>
      <c r="E175" s="20" t="n"/>
      <c r="F175" s="20" t="n"/>
      <c r="G175" s="2" t="n"/>
      <c r="H175" s="2" t="n"/>
    </row>
    <row r="176">
      <c r="A176" s="2" t="inlineStr">
        <is>
          <t>HMSTR_USDT_PERP</t>
        </is>
      </c>
      <c r="B176" s="2" t="inlineStr">
        <is>
          <t>已掃描</t>
        </is>
      </c>
      <c r="C176" s="2" t="inlineStr"/>
      <c r="D176" s="2" t="n"/>
      <c r="E176" s="20" t="n"/>
      <c r="F176" s="20" t="n"/>
      <c r="G176" s="2" t="n"/>
      <c r="H176" s="2" t="n"/>
    </row>
    <row r="177">
      <c r="A177" s="2" t="inlineStr">
        <is>
          <t>HOLO_USDT_PERP</t>
        </is>
      </c>
      <c r="B177" s="2" t="inlineStr">
        <is>
          <t>已掃描</t>
        </is>
      </c>
      <c r="C177" s="2" t="inlineStr"/>
      <c r="D177" s="2" t="n"/>
      <c r="E177" s="20" t="n"/>
      <c r="F177" s="20" t="n"/>
      <c r="G177" s="2" t="n"/>
      <c r="H177" s="2" t="n"/>
    </row>
    <row r="178">
      <c r="A178" s="2" t="inlineStr">
        <is>
          <t>HOME_USDT_PERP</t>
        </is>
      </c>
      <c r="B178" s="2" t="inlineStr">
        <is>
          <t>已掃描</t>
        </is>
      </c>
      <c r="C178" s="2" t="inlineStr"/>
      <c r="D178" s="2" t="n"/>
      <c r="E178" s="20" t="n"/>
      <c r="F178" s="20" t="n"/>
      <c r="G178" s="2" t="n"/>
      <c r="H178" s="2" t="n"/>
    </row>
    <row r="179">
      <c r="A179" s="2" t="inlineStr">
        <is>
          <t>HUMA_USDT_PERP</t>
        </is>
      </c>
      <c r="B179" s="2" t="inlineStr">
        <is>
          <t>已掃描</t>
        </is>
      </c>
      <c r="C179" s="2" t="inlineStr"/>
      <c r="D179" s="2" t="n"/>
      <c r="E179" s="20" t="n"/>
      <c r="F179" s="20" t="n"/>
      <c r="G179" s="2" t="n"/>
      <c r="H179" s="2" t="n"/>
    </row>
    <row r="180">
      <c r="A180" s="2" t="inlineStr">
        <is>
          <t>HYPE_USDT_PERP</t>
        </is>
      </c>
      <c r="B180" s="2" t="inlineStr">
        <is>
          <t>已掃描</t>
        </is>
      </c>
      <c r="C180" s="2" t="inlineStr"/>
      <c r="D180" s="2" t="n"/>
      <c r="E180" s="20" t="n"/>
      <c r="F180" s="20" t="n"/>
      <c r="G180" s="2" t="n"/>
      <c r="H180" s="2" t="n"/>
    </row>
    <row r="181">
      <c r="A181" s="2" t="inlineStr">
        <is>
          <t>HYUNDAI_USDT_PERP</t>
        </is>
      </c>
      <c r="B181" s="2" t="inlineStr">
        <is>
          <t>已掃描</t>
        </is>
      </c>
      <c r="C181" s="2" t="inlineStr"/>
      <c r="D181" s="2" t="n"/>
      <c r="E181" s="20" t="n"/>
      <c r="F181" s="20" t="n"/>
      <c r="G181" s="2" t="n"/>
      <c r="H181" s="2" t="n"/>
    </row>
    <row r="182">
      <c r="A182" s="2" t="inlineStr">
        <is>
          <t>H_USDT_PERP</t>
        </is>
      </c>
      <c r="B182" s="2" t="inlineStr">
        <is>
          <t>已掃描</t>
        </is>
      </c>
      <c r="C182" s="2" t="inlineStr"/>
      <c r="D182" s="2" t="n"/>
      <c r="E182" s="20" t="n"/>
      <c r="F182" s="20" t="n"/>
      <c r="G182" s="2" t="n"/>
      <c r="H182" s="2" t="n"/>
    </row>
    <row r="183">
      <c r="A183" s="2" t="inlineStr">
        <is>
          <t>ICNT_USDT_PERP</t>
        </is>
      </c>
      <c r="B183" s="2" t="inlineStr">
        <is>
          <t>已掃描</t>
        </is>
      </c>
      <c r="C183" s="2" t="inlineStr"/>
      <c r="D183" s="2" t="n"/>
      <c r="E183" s="20" t="n"/>
      <c r="F183" s="20" t="n"/>
      <c r="G183" s="2" t="n"/>
      <c r="H183" s="2" t="n"/>
    </row>
    <row r="184">
      <c r="A184" s="2" t="inlineStr">
        <is>
          <t>ICP_USDT_PERP</t>
        </is>
      </c>
      <c r="B184" s="2" t="inlineStr">
        <is>
          <t>已掃描</t>
        </is>
      </c>
      <c r="C184" s="2" t="inlineStr"/>
      <c r="D184" s="2" t="n"/>
      <c r="E184" s="20" t="n"/>
      <c r="F184" s="20" t="n"/>
      <c r="G184" s="2" t="n"/>
      <c r="H184" s="2" t="n"/>
    </row>
    <row r="185">
      <c r="A185" s="2" t="inlineStr">
        <is>
          <t>IDOL_USDT_PERP</t>
        </is>
      </c>
      <c r="B185" s="2" t="inlineStr">
        <is>
          <t>已掃描</t>
        </is>
      </c>
      <c r="C185" s="2" t="inlineStr"/>
      <c r="D185" s="2" t="n"/>
      <c r="E185" s="20" t="n"/>
      <c r="F185" s="20" t="n"/>
      <c r="G185" s="2" t="n"/>
      <c r="H185" s="2" t="n"/>
    </row>
    <row r="186">
      <c r="A186" s="2" t="inlineStr">
        <is>
          <t>IMX_USDT_PERP</t>
        </is>
      </c>
      <c r="B186" s="2" t="inlineStr">
        <is>
          <t>已掃描</t>
        </is>
      </c>
      <c r="C186" s="2" t="inlineStr"/>
      <c r="D186" s="2" t="n"/>
      <c r="E186" s="20" t="n"/>
      <c r="F186" s="20" t="n"/>
      <c r="G186" s="2" t="n"/>
      <c r="H186" s="2" t="n"/>
    </row>
    <row r="187">
      <c r="A187" s="2" t="inlineStr">
        <is>
          <t>INIT_USDT_PERP</t>
        </is>
      </c>
      <c r="B187" s="2" t="inlineStr">
        <is>
          <t>已掃描</t>
        </is>
      </c>
      <c r="C187" s="2" t="inlineStr"/>
      <c r="D187" s="2" t="n"/>
      <c r="E187" s="20" t="n"/>
      <c r="F187" s="20" t="n"/>
      <c r="G187" s="2" t="n"/>
      <c r="H187" s="2" t="n"/>
    </row>
    <row r="188">
      <c r="A188" s="2" t="inlineStr">
        <is>
          <t>INJ_USDT_PERP</t>
        </is>
      </c>
      <c r="B188" s="2" t="inlineStr">
        <is>
          <t>已掃描</t>
        </is>
      </c>
      <c r="C188" s="2" t="inlineStr"/>
      <c r="D188" s="2" t="n"/>
      <c r="E188" s="20" t="n"/>
      <c r="F188" s="20" t="n"/>
      <c r="G188" s="2" t="n"/>
      <c r="H188" s="2" t="n"/>
    </row>
    <row r="189">
      <c r="A189" s="2" t="inlineStr">
        <is>
          <t>INX_USDT_PERP</t>
        </is>
      </c>
      <c r="B189" s="2" t="inlineStr">
        <is>
          <t>已掃描</t>
        </is>
      </c>
      <c r="C189" s="2" t="inlineStr"/>
      <c r="D189" s="2" t="n"/>
      <c r="E189" s="20" t="n"/>
      <c r="F189" s="20" t="n"/>
      <c r="G189" s="2" t="n"/>
      <c r="H189" s="2" t="n"/>
    </row>
    <row r="190">
      <c r="A190" s="2" t="inlineStr">
        <is>
          <t>IN_USDT_PERP</t>
        </is>
      </c>
      <c r="B190" s="2" t="inlineStr">
        <is>
          <t>已掃描</t>
        </is>
      </c>
      <c r="C190" s="2" t="inlineStr"/>
      <c r="D190" s="2" t="n"/>
      <c r="E190" s="20" t="n"/>
      <c r="F190" s="20" t="n"/>
      <c r="G190" s="2" t="n"/>
      <c r="H190" s="2" t="n"/>
    </row>
    <row r="191">
      <c r="A191" s="2" t="inlineStr">
        <is>
          <t>IOST_USDT_PERP</t>
        </is>
      </c>
      <c r="B191" s="2" t="inlineStr">
        <is>
          <t>已掃描</t>
        </is>
      </c>
      <c r="C191" s="2" t="inlineStr"/>
      <c r="D191" s="2" t="n"/>
      <c r="E191" s="20" t="n"/>
      <c r="F191" s="20" t="n"/>
      <c r="G191" s="2" t="n"/>
      <c r="H191" s="2" t="n"/>
    </row>
    <row r="192">
      <c r="A192" s="2" t="inlineStr">
        <is>
          <t>IOTA_USDT_PERP</t>
        </is>
      </c>
      <c r="B192" s="2" t="inlineStr">
        <is>
          <t>已掃描</t>
        </is>
      </c>
      <c r="C192" s="2" t="inlineStr"/>
      <c r="D192" s="2" t="n"/>
      <c r="E192" s="20" t="n"/>
      <c r="F192" s="20" t="n"/>
      <c r="G192" s="2" t="n"/>
      <c r="H192" s="2" t="n"/>
    </row>
    <row r="193">
      <c r="A193" s="2" t="inlineStr">
        <is>
          <t>IO_USDT_PERP</t>
        </is>
      </c>
      <c r="B193" s="2" t="inlineStr">
        <is>
          <t>已掃描</t>
        </is>
      </c>
      <c r="C193" s="2" t="inlineStr"/>
      <c r="D193" s="2" t="n"/>
      <c r="E193" s="20" t="n"/>
      <c r="F193" s="20" t="n"/>
      <c r="G193" s="2" t="n"/>
      <c r="H193" s="2" t="n"/>
    </row>
    <row r="194">
      <c r="A194" s="2" t="inlineStr">
        <is>
          <t>IRYS_USDT_PERP</t>
        </is>
      </c>
      <c r="B194" s="2" t="inlineStr">
        <is>
          <t>已掃描</t>
        </is>
      </c>
      <c r="C194" s="2" t="inlineStr"/>
      <c r="D194" s="2" t="n"/>
      <c r="E194" s="20" t="n"/>
      <c r="F194" s="20" t="n"/>
      <c r="G194" s="2" t="n"/>
      <c r="H194" s="2" t="n"/>
    </row>
    <row r="195">
      <c r="A195" s="2" t="inlineStr">
        <is>
          <t>JASMY_USDT_PERP</t>
        </is>
      </c>
      <c r="B195" s="2" t="inlineStr">
        <is>
          <t>已掃描</t>
        </is>
      </c>
      <c r="C195" s="2" t="inlineStr"/>
      <c r="D195" s="2" t="n"/>
      <c r="E195" s="20" t="n"/>
      <c r="F195" s="20" t="n"/>
      <c r="G195" s="2" t="n"/>
      <c r="H195" s="2" t="n"/>
    </row>
    <row r="196">
      <c r="A196" s="2" t="inlineStr">
        <is>
          <t>JELLYJELLY_USDT_PERP</t>
        </is>
      </c>
      <c r="B196" s="2" t="inlineStr">
        <is>
          <t>已掃描</t>
        </is>
      </c>
      <c r="C196" s="2" t="inlineStr"/>
      <c r="D196" s="2" t="n"/>
      <c r="E196" s="20" t="n"/>
      <c r="F196" s="20" t="n"/>
      <c r="G196" s="2" t="n"/>
      <c r="H196" s="2" t="n"/>
    </row>
    <row r="197">
      <c r="A197" s="2" t="inlineStr">
        <is>
          <t>JTO_USDT_PERP</t>
        </is>
      </c>
      <c r="B197" s="2" t="inlineStr">
        <is>
          <t>已掃描</t>
        </is>
      </c>
      <c r="C197" s="2" t="inlineStr"/>
      <c r="D197" s="2" t="n"/>
      <c r="E197" s="20" t="n"/>
      <c r="F197" s="20" t="n"/>
      <c r="G197" s="2" t="n"/>
      <c r="H197" s="2" t="n"/>
    </row>
    <row r="198">
      <c r="A198" s="2" t="inlineStr">
        <is>
          <t>JUP_USDT_PERP</t>
        </is>
      </c>
      <c r="B198" s="2" t="inlineStr">
        <is>
          <t>已掃描</t>
        </is>
      </c>
      <c r="C198" s="2" t="inlineStr"/>
      <c r="D198" s="2" t="n"/>
      <c r="E198" s="20" t="n"/>
      <c r="F198" s="20" t="n"/>
      <c r="G198" s="2" t="n"/>
      <c r="H198" s="2" t="n"/>
    </row>
    <row r="199">
      <c r="A199" s="2" t="inlineStr">
        <is>
          <t>KAIA_USDT_PERP</t>
        </is>
      </c>
      <c r="B199" s="2" t="inlineStr">
        <is>
          <t>已掃描</t>
        </is>
      </c>
      <c r="C199" s="2" t="inlineStr"/>
      <c r="D199" s="2" t="n"/>
      <c r="E199" s="20" t="n"/>
      <c r="F199" s="20" t="n"/>
      <c r="G199" s="2" t="n"/>
      <c r="H199" s="2" t="n"/>
    </row>
    <row r="200">
      <c r="A200" s="2" t="inlineStr">
        <is>
          <t>KAITO_USDT_PERP</t>
        </is>
      </c>
      <c r="B200" s="2" t="inlineStr">
        <is>
          <t>已掃描</t>
        </is>
      </c>
      <c r="C200" s="2" t="inlineStr"/>
      <c r="D200" s="2" t="n"/>
      <c r="E200" s="20" t="n"/>
      <c r="F200" s="20" t="n"/>
      <c r="G200" s="2" t="n"/>
      <c r="H200" s="2" t="n"/>
    </row>
    <row r="201">
      <c r="A201" s="2" t="inlineStr">
        <is>
          <t>KAS_USDT_PERP</t>
        </is>
      </c>
      <c r="B201" s="2" t="inlineStr">
        <is>
          <t>已掃描</t>
        </is>
      </c>
      <c r="C201" s="2" t="inlineStr"/>
      <c r="D201" s="2" t="n"/>
      <c r="E201" s="20" t="n"/>
      <c r="F201" s="20" t="n"/>
      <c r="G201" s="2" t="n"/>
      <c r="H201" s="2" t="n"/>
    </row>
    <row r="202">
      <c r="A202" s="2" t="inlineStr">
        <is>
          <t>KAT_USDT_PERP</t>
        </is>
      </c>
      <c r="B202" s="2" t="inlineStr">
        <is>
          <t>已掃描</t>
        </is>
      </c>
      <c r="C202" s="2" t="inlineStr"/>
      <c r="D202" s="2" t="n"/>
      <c r="E202" s="20" t="n"/>
      <c r="F202" s="20" t="n"/>
      <c r="G202" s="2" t="n"/>
      <c r="H202" s="2" t="n"/>
    </row>
    <row r="203">
      <c r="A203" s="2" t="inlineStr">
        <is>
          <t>KAVA_USDT_PERP</t>
        </is>
      </c>
      <c r="B203" s="2" t="inlineStr">
        <is>
          <t>已掃描</t>
        </is>
      </c>
      <c r="C203" s="2" t="inlineStr"/>
      <c r="D203" s="2" t="n"/>
      <c r="E203" s="20" t="n"/>
      <c r="F203" s="20" t="n"/>
      <c r="G203" s="2" t="n"/>
      <c r="H203" s="2" t="n"/>
    </row>
    <row r="204">
      <c r="A204" s="2" t="inlineStr">
        <is>
          <t>KERNEL_USDT_PERP</t>
        </is>
      </c>
      <c r="B204" s="2" t="inlineStr">
        <is>
          <t>已掃描</t>
        </is>
      </c>
      <c r="C204" s="2" t="inlineStr"/>
      <c r="D204" s="2" t="n"/>
      <c r="E204" s="20" t="n"/>
      <c r="F204" s="20" t="n"/>
      <c r="G204" s="2" t="n"/>
      <c r="H204" s="2" t="n"/>
    </row>
    <row r="205">
      <c r="A205" s="2" t="inlineStr">
        <is>
          <t>KGEN_USDT_PERP</t>
        </is>
      </c>
      <c r="B205" s="2" t="inlineStr">
        <is>
          <t>已掃描</t>
        </is>
      </c>
      <c r="C205" s="2" t="inlineStr"/>
      <c r="D205" s="2" t="n"/>
      <c r="E205" s="20" t="n"/>
      <c r="F205" s="20" t="n"/>
      <c r="G205" s="2" t="n"/>
      <c r="H205" s="2" t="n"/>
    </row>
    <row r="206">
      <c r="A206" s="2" t="inlineStr">
        <is>
          <t>KIOXIA_USDT_PERP</t>
        </is>
      </c>
      <c r="B206" s="2" t="inlineStr">
        <is>
          <t>已掃描</t>
        </is>
      </c>
      <c r="C206" s="2" t="inlineStr"/>
      <c r="D206" s="2" t="n"/>
      <c r="E206" s="20" t="n"/>
      <c r="F206" s="20" t="n"/>
      <c r="G206" s="2" t="n"/>
      <c r="H206" s="2" t="n"/>
    </row>
    <row r="207">
      <c r="A207" s="2" t="inlineStr">
        <is>
          <t>KITE_USDT_PERP</t>
        </is>
      </c>
      <c r="B207" s="2" t="inlineStr">
        <is>
          <t>已掃描</t>
        </is>
      </c>
      <c r="C207" s="2" t="inlineStr"/>
      <c r="D207" s="2" t="n"/>
      <c r="E207" s="20" t="n"/>
      <c r="F207" s="20" t="n"/>
      <c r="G207" s="2" t="n"/>
      <c r="H207" s="2" t="n"/>
    </row>
    <row r="208">
      <c r="A208" s="2" t="inlineStr">
        <is>
          <t>KMNO_USDT_PERP</t>
        </is>
      </c>
      <c r="B208" s="2" t="inlineStr">
        <is>
          <t>已掃描</t>
        </is>
      </c>
      <c r="C208" s="2" t="inlineStr"/>
      <c r="D208" s="2" t="n"/>
      <c r="E208" s="20" t="n"/>
      <c r="F208" s="20" t="n"/>
      <c r="G208" s="2" t="n"/>
      <c r="H208" s="2" t="n"/>
    </row>
    <row r="209">
      <c r="A209" s="2" t="inlineStr">
        <is>
          <t>KNC_USDT_PERP</t>
        </is>
      </c>
      <c r="B209" s="2" t="inlineStr">
        <is>
          <t>已掃描</t>
        </is>
      </c>
      <c r="C209" s="2" t="inlineStr"/>
      <c r="D209" s="2" t="n"/>
      <c r="E209" s="20" t="n"/>
      <c r="F209" s="20" t="n"/>
      <c r="G209" s="2" t="n"/>
      <c r="H209" s="2" t="n"/>
    </row>
    <row r="210">
      <c r="A210" s="2" t="inlineStr">
        <is>
          <t>LAB_USDT_PERP</t>
        </is>
      </c>
      <c r="B210" s="2" t="inlineStr">
        <is>
          <t>已掃描</t>
        </is>
      </c>
      <c r="C210" s="2" t="inlineStr"/>
      <c r="D210" s="2" t="n"/>
      <c r="E210" s="20" t="n"/>
      <c r="F210" s="20" t="n"/>
      <c r="G210" s="2" t="n"/>
      <c r="H210" s="2" t="n"/>
    </row>
    <row r="211">
      <c r="A211" s="2" t="inlineStr">
        <is>
          <t>LAYER_USDT_PERP</t>
        </is>
      </c>
      <c r="B211" s="2" t="inlineStr">
        <is>
          <t>已掃描</t>
        </is>
      </c>
      <c r="C211" s="2" t="inlineStr"/>
      <c r="D211" s="2" t="n"/>
      <c r="E211" s="20" t="n"/>
      <c r="F211" s="20" t="n"/>
      <c r="G211" s="2" t="n"/>
      <c r="H211" s="2" t="n"/>
    </row>
    <row r="212">
      <c r="A212" s="2" t="inlineStr">
        <is>
          <t>LA_USDT_PERP</t>
        </is>
      </c>
      <c r="B212" s="2" t="inlineStr">
        <is>
          <t>已掃描</t>
        </is>
      </c>
      <c r="C212" s="2" t="inlineStr"/>
      <c r="D212" s="2" t="n"/>
      <c r="E212" s="20" t="n"/>
      <c r="F212" s="20" t="n"/>
      <c r="G212" s="2" t="n"/>
      <c r="H212" s="2" t="n"/>
    </row>
    <row r="213">
      <c r="A213" s="2" t="inlineStr">
        <is>
          <t>LDO_USDT_PERP</t>
        </is>
      </c>
      <c r="B213" s="2" t="inlineStr">
        <is>
          <t>已掃描</t>
        </is>
      </c>
      <c r="C213" s="2" t="inlineStr"/>
      <c r="D213" s="2" t="n"/>
      <c r="E213" s="20" t="n"/>
      <c r="F213" s="20" t="n"/>
      <c r="G213" s="2" t="n"/>
      <c r="H213" s="2" t="n"/>
    </row>
    <row r="214">
      <c r="A214" s="2" t="inlineStr">
        <is>
          <t>LIGHT_USDT_PERP</t>
        </is>
      </c>
      <c r="B214" s="2" t="inlineStr">
        <is>
          <t>已掃描</t>
        </is>
      </c>
      <c r="C214" s="2" t="inlineStr"/>
      <c r="D214" s="2" t="n"/>
      <c r="E214" s="20" t="n"/>
      <c r="F214" s="20" t="n"/>
      <c r="G214" s="2" t="n"/>
      <c r="H214" s="2" t="n"/>
    </row>
    <row r="215">
      <c r="A215" s="2" t="inlineStr">
        <is>
          <t>LINEA_USDT_PERP</t>
        </is>
      </c>
      <c r="B215" s="2" t="inlineStr">
        <is>
          <t>已掃描</t>
        </is>
      </c>
      <c r="C215" s="2" t="inlineStr"/>
      <c r="D215" s="2" t="n"/>
      <c r="E215" s="20" t="n"/>
      <c r="F215" s="20" t="n"/>
      <c r="G215" s="2" t="n"/>
      <c r="H215" s="2" t="n"/>
    </row>
    <row r="216">
      <c r="A216" s="2" t="inlineStr">
        <is>
          <t>LINK_USDT_PERP</t>
        </is>
      </c>
      <c r="B216" s="2" t="inlineStr">
        <is>
          <t>已掃描</t>
        </is>
      </c>
      <c r="C216" s="2" t="inlineStr"/>
      <c r="D216" s="2" t="n"/>
      <c r="E216" s="20" t="n"/>
      <c r="F216" s="20" t="n"/>
      <c r="G216" s="2" t="n"/>
      <c r="H216" s="2" t="n"/>
    </row>
    <row r="217">
      <c r="A217" s="2" t="inlineStr">
        <is>
          <t>LISTA_USDT_PERP</t>
        </is>
      </c>
      <c r="B217" s="2" t="inlineStr">
        <is>
          <t>已掃描</t>
        </is>
      </c>
      <c r="C217" s="2" t="inlineStr"/>
      <c r="D217" s="2" t="n"/>
      <c r="E217" s="20" t="n"/>
      <c r="F217" s="20" t="n"/>
      <c r="G217" s="2" t="n"/>
      <c r="H217" s="2" t="n"/>
    </row>
    <row r="218">
      <c r="A218" s="2" t="inlineStr">
        <is>
          <t>LIT_USDT_PERP</t>
        </is>
      </c>
      <c r="B218" s="2" t="inlineStr">
        <is>
          <t>已掃描</t>
        </is>
      </c>
      <c r="C218" s="2" t="inlineStr"/>
      <c r="D218" s="2" t="n"/>
      <c r="E218" s="20" t="n"/>
      <c r="F218" s="20" t="n"/>
      <c r="G218" s="2" t="n"/>
      <c r="H218" s="2" t="n"/>
    </row>
    <row r="219">
      <c r="A219" s="2" t="inlineStr">
        <is>
          <t>LPT_USDT_PERP</t>
        </is>
      </c>
      <c r="B219" s="2" t="inlineStr">
        <is>
          <t>已掃描</t>
        </is>
      </c>
      <c r="C219" s="2" t="inlineStr"/>
      <c r="D219" s="2" t="n"/>
      <c r="E219" s="20" t="n"/>
      <c r="F219" s="20" t="n"/>
      <c r="G219" s="2" t="n"/>
      <c r="H219" s="2" t="n"/>
    </row>
    <row r="220">
      <c r="A220" s="2" t="inlineStr">
        <is>
          <t>LRC_USDT_PERP</t>
        </is>
      </c>
      <c r="B220" s="2" t="inlineStr">
        <is>
          <t>已掃描</t>
        </is>
      </c>
      <c r="C220" s="2" t="inlineStr"/>
      <c r="D220" s="2" t="n"/>
      <c r="E220" s="20" t="n"/>
      <c r="F220" s="20" t="n"/>
      <c r="G220" s="2" t="n"/>
      <c r="H220" s="2" t="n"/>
    </row>
    <row r="221">
      <c r="A221" s="2" t="inlineStr">
        <is>
          <t>LSK_USDT_PERP</t>
        </is>
      </c>
      <c r="B221" s="2" t="inlineStr">
        <is>
          <t>已掃描</t>
        </is>
      </c>
      <c r="C221" s="2" t="inlineStr"/>
      <c r="D221" s="2" t="n"/>
      <c r="E221" s="20" t="n"/>
      <c r="F221" s="20" t="n"/>
      <c r="G221" s="2" t="n"/>
      <c r="H221" s="2" t="n"/>
    </row>
    <row r="222">
      <c r="A222" s="2" t="inlineStr">
        <is>
          <t>LTC_USDT_PERP</t>
        </is>
      </c>
      <c r="B222" s="2" t="inlineStr">
        <is>
          <t>已掃描</t>
        </is>
      </c>
      <c r="C222" s="2" t="inlineStr"/>
      <c r="D222" s="2" t="n"/>
      <c r="E222" s="20" t="n"/>
      <c r="F222" s="20" t="n"/>
      <c r="G222" s="2" t="n"/>
      <c r="H222" s="2" t="n"/>
    </row>
    <row r="223">
      <c r="A223" s="2" t="inlineStr">
        <is>
          <t>LUNA2_USDT_PERP</t>
        </is>
      </c>
      <c r="B223" s="2" t="inlineStr">
        <is>
          <t>已掃描</t>
        </is>
      </c>
      <c r="C223" s="2" t="inlineStr"/>
      <c r="D223" s="2" t="n"/>
      <c r="E223" s="20" t="n"/>
      <c r="F223" s="20" t="n"/>
      <c r="G223" s="2" t="n"/>
      <c r="H223" s="2" t="n"/>
    </row>
    <row r="224">
      <c r="A224" s="2" t="inlineStr">
        <is>
          <t>LUNC_USDT_PERP</t>
        </is>
      </c>
      <c r="B224" s="2" t="inlineStr">
        <is>
          <t>已掃描</t>
        </is>
      </c>
      <c r="C224" s="2" t="inlineStr"/>
      <c r="D224" s="2" t="n"/>
      <c r="E224" s="20" t="n"/>
      <c r="F224" s="20" t="n"/>
      <c r="G224" s="2" t="n"/>
      <c r="H224" s="2" t="n"/>
    </row>
    <row r="225">
      <c r="A225" s="2" t="inlineStr">
        <is>
          <t>LYN_USDT_PERP</t>
        </is>
      </c>
      <c r="B225" s="2" t="inlineStr">
        <is>
          <t>已掃描</t>
        </is>
      </c>
      <c r="C225" s="2" t="inlineStr"/>
      <c r="D225" s="2" t="n"/>
      <c r="E225" s="20" t="n"/>
      <c r="F225" s="20" t="n"/>
      <c r="G225" s="2" t="n"/>
      <c r="H225" s="2" t="n"/>
    </row>
    <row r="226">
      <c r="A226" s="2" t="inlineStr">
        <is>
          <t>MAGIC_USDT_PERP</t>
        </is>
      </c>
      <c r="B226" s="2" t="inlineStr">
        <is>
          <t>已掃描</t>
        </is>
      </c>
      <c r="C226" s="2" t="inlineStr"/>
      <c r="D226" s="2" t="n"/>
      <c r="E226" s="20" t="n"/>
      <c r="F226" s="20" t="n"/>
      <c r="G226" s="2" t="n"/>
      <c r="H226" s="2" t="n"/>
    </row>
    <row r="227">
      <c r="A227" s="2" t="inlineStr">
        <is>
          <t>MAGMA_USDT_PERP</t>
        </is>
      </c>
      <c r="B227" s="2" t="inlineStr">
        <is>
          <t>已掃描</t>
        </is>
      </c>
      <c r="C227" s="2" t="inlineStr"/>
      <c r="D227" s="2" t="n"/>
      <c r="E227" s="20" t="n"/>
      <c r="F227" s="20" t="n"/>
      <c r="G227" s="2" t="n"/>
      <c r="H227" s="2" t="n"/>
    </row>
    <row r="228">
      <c r="A228" s="2" t="inlineStr">
        <is>
          <t>MANA_USDT_PERP</t>
        </is>
      </c>
      <c r="B228" s="2" t="inlineStr">
        <is>
          <t>已掃描</t>
        </is>
      </c>
      <c r="C228" s="2" t="inlineStr"/>
      <c r="D228" s="2" t="n"/>
      <c r="E228" s="20" t="n"/>
      <c r="F228" s="20" t="n"/>
      <c r="G228" s="2" t="n"/>
      <c r="H228" s="2" t="n"/>
    </row>
    <row r="229">
      <c r="A229" s="2" t="inlineStr">
        <is>
          <t>MANTA_USDT_PERP</t>
        </is>
      </c>
      <c r="B229" s="2" t="inlineStr">
        <is>
          <t>已掃描</t>
        </is>
      </c>
      <c r="C229" s="2" t="inlineStr"/>
      <c r="D229" s="2" t="n"/>
      <c r="E229" s="20" t="n"/>
      <c r="F229" s="20" t="n"/>
      <c r="G229" s="2" t="n"/>
      <c r="H229" s="2" t="n"/>
    </row>
    <row r="230">
      <c r="A230" s="2" t="inlineStr">
        <is>
          <t>MANTRA_USDT_PERP</t>
        </is>
      </c>
      <c r="B230" s="2" t="inlineStr">
        <is>
          <t>已掃描</t>
        </is>
      </c>
      <c r="C230" s="2" t="inlineStr"/>
      <c r="D230" s="2" t="n"/>
      <c r="E230" s="20" t="n"/>
      <c r="F230" s="20" t="n"/>
      <c r="G230" s="2" t="n"/>
      <c r="H230" s="2" t="n"/>
    </row>
    <row r="231">
      <c r="A231" s="2" t="inlineStr">
        <is>
          <t>MARSCOIN_USDT_PERP</t>
        </is>
      </c>
      <c r="B231" s="2" t="inlineStr">
        <is>
          <t>已掃描</t>
        </is>
      </c>
      <c r="C231" s="2" t="inlineStr"/>
      <c r="D231" s="2" t="n"/>
      <c r="E231" s="20" t="n"/>
      <c r="F231" s="20" t="n"/>
      <c r="G231" s="2" t="n"/>
      <c r="H231" s="2" t="n"/>
    </row>
    <row r="232">
      <c r="A232" s="2" t="inlineStr">
        <is>
          <t>MASK_USDT_PERP</t>
        </is>
      </c>
      <c r="B232" s="2" t="inlineStr">
        <is>
          <t>已掃描</t>
        </is>
      </c>
      <c r="C232" s="2" t="inlineStr"/>
      <c r="D232" s="2" t="n"/>
      <c r="E232" s="20" t="n"/>
      <c r="F232" s="20" t="n"/>
      <c r="G232" s="2" t="n"/>
      <c r="H232" s="2" t="n"/>
    </row>
    <row r="233">
      <c r="A233" s="2" t="inlineStr">
        <is>
          <t>MAV_USDT_PERP</t>
        </is>
      </c>
      <c r="B233" s="2" t="inlineStr">
        <is>
          <t>已掃描</t>
        </is>
      </c>
      <c r="C233" s="2" t="inlineStr"/>
      <c r="D233" s="2" t="n"/>
      <c r="E233" s="20" t="n"/>
      <c r="F233" s="20" t="n"/>
      <c r="G233" s="2" t="n"/>
      <c r="H233" s="2" t="n"/>
    </row>
    <row r="234">
      <c r="A234" s="2" t="inlineStr">
        <is>
          <t>MEGA_USDT_PERP</t>
        </is>
      </c>
      <c r="B234" s="2" t="inlineStr">
        <is>
          <t>已掃描</t>
        </is>
      </c>
      <c r="C234" s="2" t="inlineStr"/>
      <c r="D234" s="2" t="n"/>
      <c r="E234" s="20" t="n"/>
      <c r="F234" s="20" t="n"/>
      <c r="G234" s="2" t="n"/>
      <c r="H234" s="2" t="n"/>
    </row>
    <row r="235">
      <c r="A235" s="2" t="inlineStr">
        <is>
          <t>MELANIA_USDT_PERP</t>
        </is>
      </c>
      <c r="B235" s="2" t="inlineStr">
        <is>
          <t>已掃描</t>
        </is>
      </c>
      <c r="C235" s="2" t="inlineStr"/>
      <c r="D235" s="2" t="n"/>
      <c r="E235" s="20" t="n"/>
      <c r="F235" s="20" t="n"/>
      <c r="G235" s="2" t="n"/>
      <c r="H235" s="2" t="n"/>
    </row>
    <row r="236">
      <c r="A236" s="2" t="inlineStr">
        <is>
          <t>MEME_USDT_PERP</t>
        </is>
      </c>
      <c r="B236" s="2" t="inlineStr">
        <is>
          <t>已掃描</t>
        </is>
      </c>
      <c r="C236" s="2" t="inlineStr"/>
      <c r="D236" s="2" t="n"/>
      <c r="E236" s="20" t="n"/>
      <c r="F236" s="20" t="n"/>
      <c r="G236" s="2" t="n"/>
      <c r="H236" s="2" t="n"/>
    </row>
    <row r="237">
      <c r="A237" s="2" t="inlineStr">
        <is>
          <t>MERL_USDT_PERP</t>
        </is>
      </c>
      <c r="B237" s="2" t="inlineStr">
        <is>
          <t>已掃描</t>
        </is>
      </c>
      <c r="C237" s="2" t="inlineStr"/>
      <c r="D237" s="2" t="n"/>
      <c r="E237" s="20" t="n"/>
      <c r="F237" s="20" t="n"/>
      <c r="G237" s="2" t="n"/>
      <c r="H237" s="2" t="n"/>
    </row>
    <row r="238">
      <c r="A238" s="2" t="inlineStr">
        <is>
          <t>METIS_USDT_PERP</t>
        </is>
      </c>
      <c r="B238" s="2" t="inlineStr">
        <is>
          <t>已掃描</t>
        </is>
      </c>
      <c r="C238" s="2" t="inlineStr"/>
      <c r="D238" s="2" t="n"/>
      <c r="E238" s="20" t="n"/>
      <c r="F238" s="20" t="n"/>
      <c r="G238" s="2" t="n"/>
      <c r="H238" s="2" t="n"/>
    </row>
    <row r="239">
      <c r="A239" s="2" t="inlineStr">
        <is>
          <t>MET_USDT_PERP</t>
        </is>
      </c>
      <c r="B239" s="2" t="inlineStr">
        <is>
          <t>已掃描</t>
        </is>
      </c>
      <c r="C239" s="2" t="inlineStr"/>
      <c r="D239" s="2" t="n"/>
      <c r="E239" s="20" t="n"/>
      <c r="F239" s="20" t="n"/>
      <c r="G239" s="2" t="n"/>
      <c r="H239" s="2" t="n"/>
    </row>
    <row r="240">
      <c r="A240" s="2" t="inlineStr">
        <is>
          <t>MEW_USDT_PERP</t>
        </is>
      </c>
      <c r="B240" s="2" t="inlineStr">
        <is>
          <t>已掃描</t>
        </is>
      </c>
      <c r="C240" s="2" t="inlineStr"/>
      <c r="D240" s="2" t="n"/>
      <c r="E240" s="20" t="n"/>
      <c r="F240" s="20" t="n"/>
      <c r="G240" s="2" t="n"/>
      <c r="H240" s="2" t="n"/>
    </row>
    <row r="241">
      <c r="A241" s="2" t="inlineStr">
        <is>
          <t>ME_USDT_PERP</t>
        </is>
      </c>
      <c r="B241" s="2" t="inlineStr">
        <is>
          <t>已掃描</t>
        </is>
      </c>
      <c r="C241" s="2" t="inlineStr"/>
      <c r="D241" s="2" t="n"/>
      <c r="E241" s="20" t="n"/>
      <c r="F241" s="20" t="n"/>
      <c r="G241" s="2" t="n"/>
      <c r="H241" s="2" t="n"/>
    </row>
    <row r="242">
      <c r="A242" s="2" t="inlineStr">
        <is>
          <t>MITO_USDT_PERP</t>
        </is>
      </c>
      <c r="B242" s="2" t="inlineStr">
        <is>
          <t>已掃描</t>
        </is>
      </c>
      <c r="C242" s="2" t="inlineStr"/>
      <c r="D242" s="2" t="n"/>
      <c r="E242" s="20" t="n"/>
      <c r="F242" s="20" t="n"/>
      <c r="G242" s="2" t="n"/>
      <c r="H242" s="2" t="n"/>
    </row>
    <row r="243">
      <c r="A243" s="2" t="inlineStr">
        <is>
          <t>MMT_USDT_PERP</t>
        </is>
      </c>
      <c r="B243" s="2" t="inlineStr">
        <is>
          <t>已掃描</t>
        </is>
      </c>
      <c r="C243" s="2" t="inlineStr"/>
      <c r="D243" s="2" t="n"/>
      <c r="E243" s="20" t="n"/>
      <c r="F243" s="20" t="n"/>
      <c r="G243" s="2" t="n"/>
      <c r="H243" s="2" t="n"/>
    </row>
    <row r="244">
      <c r="A244" s="2" t="inlineStr">
        <is>
          <t>MNT_USDT_PERP</t>
        </is>
      </c>
      <c r="B244" s="2" t="inlineStr">
        <is>
          <t>已掃描</t>
        </is>
      </c>
      <c r="C244" s="2" t="inlineStr"/>
      <c r="D244" s="2" t="n"/>
      <c r="E244" s="20" t="n"/>
      <c r="F244" s="20" t="n"/>
      <c r="G244" s="2" t="n"/>
      <c r="H244" s="2" t="n"/>
    </row>
    <row r="245">
      <c r="A245" s="2" t="inlineStr">
        <is>
          <t>MON_USDT_PERP</t>
        </is>
      </c>
      <c r="B245" s="2" t="inlineStr">
        <is>
          <t>已掃描</t>
        </is>
      </c>
      <c r="C245" s="2" t="inlineStr"/>
      <c r="D245" s="2" t="n"/>
      <c r="E245" s="20" t="n"/>
      <c r="F245" s="20" t="n"/>
      <c r="G245" s="2" t="n"/>
      <c r="H245" s="2" t="n"/>
    </row>
    <row r="246">
      <c r="A246" s="2" t="inlineStr">
        <is>
          <t>MOODENG_USDT_PERP</t>
        </is>
      </c>
      <c r="B246" s="2" t="inlineStr">
        <is>
          <t>已掃描</t>
        </is>
      </c>
      <c r="C246" s="2" t="inlineStr"/>
      <c r="D246" s="2" t="n"/>
      <c r="E246" s="20" t="n"/>
      <c r="F246" s="20" t="n"/>
      <c r="G246" s="2" t="n"/>
      <c r="H246" s="2" t="n"/>
    </row>
    <row r="247">
      <c r="A247" s="2" t="inlineStr">
        <is>
          <t>MOVE_USDT_PERP</t>
        </is>
      </c>
      <c r="B247" s="2" t="inlineStr">
        <is>
          <t>已掃描</t>
        </is>
      </c>
      <c r="C247" s="2" t="inlineStr"/>
      <c r="D247" s="2" t="n"/>
      <c r="E247" s="20" t="n"/>
      <c r="F247" s="20" t="n"/>
      <c r="G247" s="2" t="n"/>
      <c r="H247" s="2" t="n"/>
    </row>
    <row r="248">
      <c r="A248" s="2" t="inlineStr">
        <is>
          <t>MOVR_USDT_PERP</t>
        </is>
      </c>
      <c r="B248" s="2" t="inlineStr">
        <is>
          <t>已掃描</t>
        </is>
      </c>
      <c r="C248" s="2" t="inlineStr"/>
      <c r="D248" s="2" t="n"/>
      <c r="E248" s="20" t="n"/>
      <c r="F248" s="20" t="n"/>
      <c r="G248" s="2" t="n"/>
      <c r="H248" s="2" t="n"/>
    </row>
    <row r="249">
      <c r="A249" s="2" t="inlineStr">
        <is>
          <t>MPX_USDT_PERP</t>
        </is>
      </c>
      <c r="B249" s="2" t="inlineStr">
        <is>
          <t>已掃描</t>
        </is>
      </c>
      <c r="C249" s="2" t="inlineStr"/>
      <c r="D249" s="2" t="n"/>
      <c r="E249" s="20" t="n"/>
      <c r="F249" s="20" t="n"/>
      <c r="G249" s="2" t="n"/>
      <c r="H249" s="2" t="n"/>
    </row>
    <row r="250">
      <c r="A250" s="2" t="inlineStr">
        <is>
          <t>MUBARAK_USDT_PERP</t>
        </is>
      </c>
      <c r="B250" s="2" t="inlineStr">
        <is>
          <t>已掃描</t>
        </is>
      </c>
      <c r="C250" s="2" t="inlineStr"/>
      <c r="D250" s="2" t="n"/>
      <c r="E250" s="20" t="n"/>
      <c r="F250" s="20" t="n"/>
      <c r="G250" s="2" t="n"/>
      <c r="H250" s="2" t="n"/>
    </row>
    <row r="251">
      <c r="A251" s="2" t="inlineStr">
        <is>
          <t>MUX_USDT_PERP</t>
        </is>
      </c>
      <c r="B251" s="2" t="inlineStr">
        <is>
          <t>已掃描</t>
        </is>
      </c>
      <c r="C251" s="2" t="inlineStr"/>
      <c r="D251" s="2" t="n"/>
      <c r="E251" s="20" t="n"/>
      <c r="F251" s="20" t="n"/>
      <c r="G251" s="2" t="n"/>
      <c r="H251" s="2" t="n"/>
    </row>
    <row r="252">
      <c r="A252" s="2" t="inlineStr">
        <is>
          <t>MYX_USDT_PERP</t>
        </is>
      </c>
      <c r="B252" s="2" t="inlineStr">
        <is>
          <t>已掃描</t>
        </is>
      </c>
      <c r="C252" s="2" t="inlineStr"/>
      <c r="D252" s="2" t="n"/>
      <c r="E252" s="20" t="n"/>
      <c r="F252" s="20" t="n"/>
      <c r="G252" s="2" t="n"/>
      <c r="H252" s="2" t="n"/>
    </row>
    <row r="253">
      <c r="A253" s="2" t="inlineStr">
        <is>
          <t>NAORIS_USDT_PERP</t>
        </is>
      </c>
      <c r="B253" s="2" t="inlineStr">
        <is>
          <t>已掃描</t>
        </is>
      </c>
      <c r="C253" s="2" t="inlineStr"/>
      <c r="D253" s="2" t="n"/>
      <c r="E253" s="20" t="n"/>
      <c r="F253" s="20" t="n"/>
      <c r="G253" s="2" t="n"/>
      <c r="H253" s="2" t="n"/>
    </row>
    <row r="254">
      <c r="A254" s="2" t="inlineStr">
        <is>
          <t>NEAR_USDT_PERP</t>
        </is>
      </c>
      <c r="B254" s="2" t="inlineStr">
        <is>
          <t>已掃描</t>
        </is>
      </c>
      <c r="C254" s="2" t="inlineStr"/>
      <c r="D254" s="2" t="n"/>
      <c r="E254" s="20" t="n"/>
      <c r="F254" s="20" t="n"/>
      <c r="G254" s="2" t="n"/>
      <c r="H254" s="2" t="n"/>
    </row>
    <row r="255">
      <c r="A255" s="2" t="inlineStr">
        <is>
          <t>NEIRO_USDT_PERP</t>
        </is>
      </c>
      <c r="B255" s="2" t="inlineStr">
        <is>
          <t>已掃描</t>
        </is>
      </c>
      <c r="C255" s="2" t="inlineStr"/>
      <c r="D255" s="2" t="n"/>
      <c r="E255" s="20" t="n"/>
      <c r="F255" s="20" t="n"/>
      <c r="G255" s="2" t="n"/>
      <c r="H255" s="2" t="n"/>
    </row>
    <row r="256">
      <c r="A256" s="2" t="inlineStr">
        <is>
          <t>NEO_USDT_PERP</t>
        </is>
      </c>
      <c r="B256" s="2" t="inlineStr">
        <is>
          <t>已掃描</t>
        </is>
      </c>
      <c r="C256" s="2" t="inlineStr"/>
      <c r="D256" s="2" t="n"/>
      <c r="E256" s="20" t="n"/>
      <c r="F256" s="20" t="n"/>
      <c r="G256" s="2" t="n"/>
      <c r="H256" s="2" t="n"/>
    </row>
    <row r="257">
      <c r="A257" s="2" t="inlineStr">
        <is>
          <t>NIGHT_USDT_PERP</t>
        </is>
      </c>
      <c r="B257" s="2" t="inlineStr">
        <is>
          <t>已掃描</t>
        </is>
      </c>
      <c r="C257" s="2" t="inlineStr"/>
      <c r="D257" s="2" t="n"/>
      <c r="E257" s="20" t="n"/>
      <c r="F257" s="20" t="n"/>
      <c r="G257" s="2" t="n"/>
      <c r="H257" s="2" t="n"/>
    </row>
    <row r="258">
      <c r="A258" s="2" t="inlineStr">
        <is>
          <t>NIL_USDT_PERP</t>
        </is>
      </c>
      <c r="B258" s="2" t="inlineStr">
        <is>
          <t>已掃描</t>
        </is>
      </c>
      <c r="C258" s="2" t="inlineStr"/>
      <c r="D258" s="2" t="n"/>
      <c r="E258" s="20" t="n"/>
      <c r="F258" s="20" t="n"/>
      <c r="G258" s="2" t="n"/>
      <c r="H258" s="2" t="n"/>
    </row>
    <row r="259">
      <c r="A259" s="2" t="inlineStr">
        <is>
          <t>NMR_USDT_PERP</t>
        </is>
      </c>
      <c r="B259" s="2" t="inlineStr">
        <is>
          <t>已掃描</t>
        </is>
      </c>
      <c r="C259" s="2" t="inlineStr"/>
      <c r="D259" s="2" t="n"/>
      <c r="E259" s="20" t="n"/>
      <c r="F259" s="20" t="n"/>
      <c r="G259" s="2" t="n"/>
      <c r="H259" s="2" t="n"/>
    </row>
    <row r="260">
      <c r="A260" s="2" t="inlineStr">
        <is>
          <t>NOM_USDT_PERP</t>
        </is>
      </c>
      <c r="B260" s="2" t="inlineStr">
        <is>
          <t>已掃描</t>
        </is>
      </c>
      <c r="C260" s="2" t="inlineStr"/>
      <c r="D260" s="2" t="n"/>
      <c r="E260" s="20" t="n"/>
      <c r="F260" s="20" t="n"/>
      <c r="G260" s="2" t="n"/>
      <c r="H260" s="2" t="n"/>
    </row>
    <row r="261">
      <c r="A261" s="2" t="inlineStr">
        <is>
          <t>NOT_USDT_PERP</t>
        </is>
      </c>
      <c r="B261" s="2" t="inlineStr">
        <is>
          <t>已掃描</t>
        </is>
      </c>
      <c r="C261" s="2" t="inlineStr"/>
      <c r="D261" s="2" t="n"/>
      <c r="E261" s="20" t="n"/>
      <c r="F261" s="20" t="n"/>
      <c r="G261" s="2" t="n"/>
      <c r="H261" s="2" t="n"/>
    </row>
    <row r="262">
      <c r="A262" s="2" t="inlineStr">
        <is>
          <t>NXPC_USDT_PERP</t>
        </is>
      </c>
      <c r="B262" s="2" t="inlineStr">
        <is>
          <t>已掃描</t>
        </is>
      </c>
      <c r="C262" s="2" t="inlineStr"/>
      <c r="D262" s="2" t="n"/>
      <c r="E262" s="20" t="n"/>
      <c r="F262" s="20" t="n"/>
      <c r="G262" s="2" t="n"/>
      <c r="H262" s="2" t="n"/>
    </row>
    <row r="263">
      <c r="A263" s="2" t="inlineStr">
        <is>
          <t>OFC_USDT_PERP</t>
        </is>
      </c>
      <c r="B263" s="2" t="inlineStr">
        <is>
          <t>已掃描</t>
        </is>
      </c>
      <c r="C263" s="2" t="inlineStr"/>
      <c r="D263" s="2" t="n"/>
      <c r="E263" s="20" t="n"/>
      <c r="F263" s="20" t="n"/>
      <c r="G263" s="2" t="n"/>
      <c r="H263" s="2" t="n"/>
    </row>
    <row r="264">
      <c r="A264" s="2" t="inlineStr">
        <is>
          <t>OGN_USDT_PERP</t>
        </is>
      </c>
      <c r="B264" s="2" t="inlineStr">
        <is>
          <t>已掃描</t>
        </is>
      </c>
      <c r="C264" s="2" t="inlineStr"/>
      <c r="D264" s="2" t="n"/>
      <c r="E264" s="20" t="n"/>
      <c r="F264" s="20" t="n"/>
      <c r="G264" s="2" t="n"/>
      <c r="H264" s="2" t="n"/>
    </row>
    <row r="265">
      <c r="A265" s="2" t="inlineStr">
        <is>
          <t>OG_USDT_PERP</t>
        </is>
      </c>
      <c r="B265" s="2" t="inlineStr">
        <is>
          <t>已掃描</t>
        </is>
      </c>
      <c r="C265" s="2" t="inlineStr"/>
      <c r="D265" s="2" t="n"/>
      <c r="E265" s="20" t="n"/>
      <c r="F265" s="20" t="n"/>
      <c r="G265" s="2" t="n"/>
      <c r="H265" s="2" t="n"/>
    </row>
    <row r="266">
      <c r="A266" s="2" t="inlineStr">
        <is>
          <t>OKB_USDT_PERP</t>
        </is>
      </c>
      <c r="B266" s="2" t="inlineStr">
        <is>
          <t>已掃描</t>
        </is>
      </c>
      <c r="C266" s="2" t="inlineStr"/>
      <c r="D266" s="2" t="n"/>
      <c r="E266" s="20" t="n"/>
      <c r="F266" s="20" t="n"/>
      <c r="G266" s="2" t="n"/>
      <c r="H266" s="2" t="n"/>
    </row>
    <row r="267">
      <c r="A267" s="2" t="inlineStr">
        <is>
          <t>ONDO_USDT_PERP</t>
        </is>
      </c>
      <c r="B267" s="2" t="inlineStr">
        <is>
          <t>已掃描</t>
        </is>
      </c>
      <c r="C267" s="2" t="inlineStr"/>
      <c r="D267" s="2" t="n"/>
      <c r="E267" s="20" t="n"/>
      <c r="F267" s="20" t="n"/>
      <c r="G267" s="2" t="n"/>
      <c r="H267" s="2" t="n"/>
    </row>
    <row r="268">
      <c r="A268" s="2" t="inlineStr">
        <is>
          <t>ONG_USDT_PERP</t>
        </is>
      </c>
      <c r="B268" s="2" t="inlineStr">
        <is>
          <t>已掃描</t>
        </is>
      </c>
      <c r="C268" s="2" t="inlineStr"/>
      <c r="D268" s="2" t="n"/>
      <c r="E268" s="20" t="n"/>
      <c r="F268" s="20" t="n"/>
      <c r="G268" s="2" t="n"/>
      <c r="H268" s="2" t="n"/>
    </row>
    <row r="269">
      <c r="A269" s="2" t="inlineStr">
        <is>
          <t>ONT_USDT_PERP</t>
        </is>
      </c>
      <c r="B269" s="2" t="inlineStr">
        <is>
          <t>已掃描</t>
        </is>
      </c>
      <c r="C269" s="2" t="inlineStr"/>
      <c r="D269" s="2" t="n"/>
      <c r="E269" s="20" t="n"/>
      <c r="F269" s="20" t="n"/>
      <c r="G269" s="2" t="n"/>
      <c r="H269" s="2" t="n"/>
    </row>
    <row r="270">
      <c r="A270" s="2" t="inlineStr">
        <is>
          <t>ONX_USDT_PERP</t>
        </is>
      </c>
      <c r="B270" s="2" t="inlineStr">
        <is>
          <t>已掃描</t>
        </is>
      </c>
      <c r="C270" s="2" t="inlineStr"/>
      <c r="D270" s="2" t="n"/>
      <c r="E270" s="20" t="n"/>
      <c r="F270" s="20" t="n"/>
      <c r="G270" s="2" t="n"/>
      <c r="H270" s="2" t="n"/>
    </row>
    <row r="271">
      <c r="A271" s="2" t="inlineStr">
        <is>
          <t>ON_USDT_PERP</t>
        </is>
      </c>
      <c r="B271" s="2" t="inlineStr">
        <is>
          <t>已掃描</t>
        </is>
      </c>
      <c r="C271" s="2" t="inlineStr"/>
      <c r="D271" s="2" t="n"/>
      <c r="E271" s="20" t="n"/>
      <c r="F271" s="20" t="n"/>
      <c r="G271" s="2" t="n"/>
      <c r="H271" s="2" t="n"/>
    </row>
    <row r="272">
      <c r="A272" s="2" t="inlineStr">
        <is>
          <t>OPENAI_USDT_PERP</t>
        </is>
      </c>
      <c r="B272" s="2" t="inlineStr">
        <is>
          <t>已掃描</t>
        </is>
      </c>
      <c r="C272" s="2" t="inlineStr"/>
      <c r="D272" s="2" t="n"/>
      <c r="E272" s="20" t="n"/>
      <c r="F272" s="20" t="n"/>
      <c r="G272" s="2" t="n"/>
      <c r="H272" s="2" t="n"/>
    </row>
    <row r="273">
      <c r="A273" s="2" t="inlineStr">
        <is>
          <t>OPEN_USDT_PERP</t>
        </is>
      </c>
      <c r="B273" s="2" t="inlineStr">
        <is>
          <t>已掃描</t>
        </is>
      </c>
      <c r="C273" s="2" t="inlineStr"/>
      <c r="D273" s="2" t="n"/>
      <c r="E273" s="20" t="n"/>
      <c r="F273" s="20" t="n"/>
      <c r="G273" s="2" t="n"/>
      <c r="H273" s="2" t="n"/>
    </row>
    <row r="274">
      <c r="A274" s="2" t="inlineStr">
        <is>
          <t>OPG_USDT_PERP</t>
        </is>
      </c>
      <c r="B274" s="2" t="inlineStr">
        <is>
          <t>已掃描</t>
        </is>
      </c>
      <c r="C274" s="2" t="inlineStr"/>
      <c r="D274" s="2" t="n"/>
      <c r="E274" s="20" t="n"/>
      <c r="F274" s="20" t="n"/>
      <c r="G274" s="2" t="n"/>
      <c r="H274" s="2" t="n"/>
    </row>
    <row r="275">
      <c r="A275" s="2" t="inlineStr">
        <is>
          <t>OPN_USDT_PERP</t>
        </is>
      </c>
      <c r="B275" s="2" t="inlineStr">
        <is>
          <t>已掃描</t>
        </is>
      </c>
      <c r="C275" s="2" t="inlineStr"/>
      <c r="D275" s="2" t="n"/>
      <c r="E275" s="20" t="n"/>
      <c r="F275" s="20" t="n"/>
      <c r="G275" s="2" t="n"/>
      <c r="H275" s="2" t="n"/>
    </row>
    <row r="276">
      <c r="A276" s="2" t="inlineStr">
        <is>
          <t>OP_USDT_PERP</t>
        </is>
      </c>
      <c r="B276" s="2" t="inlineStr">
        <is>
          <t>已掃描</t>
        </is>
      </c>
      <c r="C276" s="2" t="inlineStr"/>
      <c r="D276" s="2" t="n"/>
      <c r="E276" s="20" t="n"/>
      <c r="F276" s="20" t="n"/>
      <c r="G276" s="2" t="n"/>
      <c r="H276" s="2" t="n"/>
    </row>
    <row r="277">
      <c r="A277" s="2" t="inlineStr">
        <is>
          <t>ORCA_USDT_PERP</t>
        </is>
      </c>
      <c r="B277" s="2" t="inlineStr">
        <is>
          <t>已掃描</t>
        </is>
      </c>
      <c r="C277" s="2" t="inlineStr"/>
      <c r="D277" s="2" t="n"/>
      <c r="E277" s="20" t="n"/>
      <c r="F277" s="20" t="n"/>
      <c r="G277" s="2" t="n"/>
      <c r="H277" s="2" t="n"/>
    </row>
    <row r="278">
      <c r="A278" s="2" t="inlineStr">
        <is>
          <t>ORDER_USDT_PERP</t>
        </is>
      </c>
      <c r="B278" s="2" t="inlineStr">
        <is>
          <t>已掃描</t>
        </is>
      </c>
      <c r="C278" s="2" t="inlineStr"/>
      <c r="D278" s="2" t="n"/>
      <c r="E278" s="20" t="n"/>
      <c r="F278" s="20" t="n"/>
      <c r="G278" s="2" t="n"/>
      <c r="H278" s="2" t="n"/>
    </row>
    <row r="279">
      <c r="A279" s="2" t="inlineStr">
        <is>
          <t>ORDI_USDT_PERP</t>
        </is>
      </c>
      <c r="B279" s="2" t="inlineStr">
        <is>
          <t>已掃描</t>
        </is>
      </c>
      <c r="C279" s="2" t="inlineStr"/>
      <c r="D279" s="2" t="n"/>
      <c r="E279" s="20" t="n"/>
      <c r="F279" s="20" t="n"/>
      <c r="G279" s="2" t="n"/>
      <c r="H279" s="2" t="n"/>
    </row>
    <row r="280">
      <c r="A280" s="2" t="inlineStr">
        <is>
          <t>O_USDT_PERP</t>
        </is>
      </c>
      <c r="B280" s="2" t="inlineStr">
        <is>
          <t>已掃描</t>
        </is>
      </c>
      <c r="C280" s="2" t="inlineStr"/>
      <c r="D280" s="2" t="n"/>
      <c r="E280" s="20" t="n"/>
      <c r="F280" s="20" t="n"/>
      <c r="G280" s="2" t="n"/>
      <c r="H280" s="2" t="n"/>
    </row>
    <row r="281">
      <c r="A281" s="2" t="inlineStr">
        <is>
          <t>PARTI_USDT_PERP</t>
        </is>
      </c>
      <c r="B281" s="2" t="inlineStr">
        <is>
          <t>已掃描</t>
        </is>
      </c>
      <c r="C281" s="2" t="inlineStr"/>
      <c r="D281" s="2" t="n"/>
      <c r="E281" s="20" t="n"/>
      <c r="F281" s="20" t="n"/>
      <c r="G281" s="2" t="n"/>
      <c r="H281" s="2" t="n"/>
    </row>
    <row r="282">
      <c r="A282" s="2" t="inlineStr">
        <is>
          <t>PENDLE_USDT_PERP</t>
        </is>
      </c>
      <c r="B282" s="2" t="inlineStr">
        <is>
          <t>已掃描</t>
        </is>
      </c>
      <c r="C282" s="2" t="inlineStr"/>
      <c r="D282" s="2" t="n"/>
      <c r="E282" s="20" t="n"/>
      <c r="F282" s="20" t="n"/>
      <c r="G282" s="2" t="n"/>
      <c r="H282" s="2" t="n"/>
    </row>
    <row r="283">
      <c r="A283" s="2" t="inlineStr">
        <is>
          <t>PENGU_USDT_PERP</t>
        </is>
      </c>
      <c r="B283" s="2" t="inlineStr">
        <is>
          <t>已掃描</t>
        </is>
      </c>
      <c r="C283" s="2" t="inlineStr"/>
      <c r="D283" s="2" t="n"/>
      <c r="E283" s="20" t="n"/>
      <c r="F283" s="20" t="n"/>
      <c r="G283" s="2" t="n"/>
      <c r="H283" s="2" t="n"/>
    </row>
    <row r="284">
      <c r="A284" s="2" t="inlineStr">
        <is>
          <t>PEOPLE_USDT_PERP</t>
        </is>
      </c>
      <c r="B284" s="2" t="inlineStr">
        <is>
          <t>已掃描</t>
        </is>
      </c>
      <c r="C284" s="2" t="inlineStr"/>
      <c r="D284" s="2" t="n"/>
      <c r="E284" s="20" t="n"/>
      <c r="F284" s="20" t="n"/>
      <c r="G284" s="2" t="n"/>
      <c r="H284" s="2" t="n"/>
    </row>
    <row r="285">
      <c r="A285" s="2" t="inlineStr">
        <is>
          <t>PEPE_USDT_PERP</t>
        </is>
      </c>
      <c r="B285" s="2" t="inlineStr">
        <is>
          <t>已掃描</t>
        </is>
      </c>
      <c r="C285" s="2" t="inlineStr"/>
      <c r="D285" s="2" t="n"/>
      <c r="E285" s="20" t="n"/>
      <c r="F285" s="20" t="n"/>
      <c r="G285" s="2" t="n"/>
      <c r="H285" s="2" t="n"/>
    </row>
    <row r="286">
      <c r="A286" s="2" t="inlineStr">
        <is>
          <t>PHA_USDT_PERP</t>
        </is>
      </c>
      <c r="B286" s="2" t="inlineStr">
        <is>
          <t>已掃描</t>
        </is>
      </c>
      <c r="C286" s="2" t="inlineStr"/>
      <c r="D286" s="2" t="n"/>
      <c r="E286" s="20" t="n"/>
      <c r="F286" s="20" t="n"/>
      <c r="G286" s="2" t="n"/>
      <c r="H286" s="2" t="n"/>
    </row>
    <row r="287">
      <c r="A287" s="2" t="inlineStr">
        <is>
          <t>PIEVERSE_USDT_PERP</t>
        </is>
      </c>
      <c r="B287" s="2" t="inlineStr">
        <is>
          <t>已掃描</t>
        </is>
      </c>
      <c r="C287" s="2" t="inlineStr"/>
      <c r="D287" s="2" t="n"/>
      <c r="E287" s="20" t="n"/>
      <c r="F287" s="20" t="n"/>
      <c r="G287" s="2" t="n"/>
      <c r="H287" s="2" t="n"/>
    </row>
    <row r="288">
      <c r="A288" s="2" t="inlineStr">
        <is>
          <t>PIPPIN_USDT_PERP</t>
        </is>
      </c>
      <c r="B288" s="2" t="inlineStr">
        <is>
          <t>已掃描</t>
        </is>
      </c>
      <c r="C288" s="2" t="inlineStr"/>
      <c r="D288" s="2" t="n"/>
      <c r="E288" s="20" t="n"/>
      <c r="F288" s="20" t="n"/>
      <c r="G288" s="2" t="n"/>
      <c r="H288" s="2" t="n"/>
    </row>
    <row r="289">
      <c r="A289" s="2" t="inlineStr">
        <is>
          <t>PIXEL_USDT_PERP</t>
        </is>
      </c>
      <c r="B289" s="2" t="inlineStr">
        <is>
          <t>已掃描</t>
        </is>
      </c>
      <c r="C289" s="2" t="inlineStr"/>
      <c r="D289" s="2" t="n"/>
      <c r="E289" s="20" t="n"/>
      <c r="F289" s="20" t="n"/>
      <c r="G289" s="2" t="n"/>
      <c r="H289" s="2" t="n"/>
    </row>
    <row r="290">
      <c r="A290" s="2" t="inlineStr">
        <is>
          <t>PI_USDT_PERP</t>
        </is>
      </c>
      <c r="B290" s="2" t="inlineStr">
        <is>
          <t>已掃描</t>
        </is>
      </c>
      <c r="C290" s="2" t="inlineStr"/>
      <c r="D290" s="2" t="n"/>
      <c r="E290" s="20" t="n"/>
      <c r="F290" s="20" t="n"/>
      <c r="G290" s="2" t="n"/>
      <c r="H290" s="2" t="n"/>
    </row>
    <row r="291">
      <c r="A291" s="2" t="inlineStr">
        <is>
          <t>PLAY_USDT_PERP</t>
        </is>
      </c>
      <c r="B291" s="2" t="inlineStr">
        <is>
          <t>已掃描</t>
        </is>
      </c>
      <c r="C291" s="2" t="inlineStr"/>
      <c r="D291" s="2" t="n"/>
      <c r="E291" s="20" t="n"/>
      <c r="F291" s="20" t="n"/>
      <c r="G291" s="2" t="n"/>
      <c r="H291" s="2" t="n"/>
    </row>
    <row r="292">
      <c r="A292" s="2" t="inlineStr">
        <is>
          <t>PLUME_USDT_PERP</t>
        </is>
      </c>
      <c r="B292" s="2" t="inlineStr">
        <is>
          <t>已掃描</t>
        </is>
      </c>
      <c r="C292" s="2" t="inlineStr"/>
      <c r="D292" s="2" t="n"/>
      <c r="E292" s="20" t="n"/>
      <c r="F292" s="20" t="n"/>
      <c r="G292" s="2" t="n"/>
      <c r="H292" s="2" t="n"/>
    </row>
    <row r="293">
      <c r="A293" s="2" t="inlineStr">
        <is>
          <t>PNUT_USDT_PERP</t>
        </is>
      </c>
      <c r="B293" s="2" t="inlineStr">
        <is>
          <t>已掃描</t>
        </is>
      </c>
      <c r="C293" s="2" t="inlineStr"/>
      <c r="D293" s="2" t="n"/>
      <c r="E293" s="20" t="n"/>
      <c r="F293" s="20" t="n"/>
      <c r="G293" s="2" t="n"/>
      <c r="H293" s="2" t="n"/>
    </row>
    <row r="294">
      <c r="A294" s="2" t="inlineStr">
        <is>
          <t>POLYX_USDT_PERP</t>
        </is>
      </c>
      <c r="B294" s="2" t="inlineStr">
        <is>
          <t>已掃描</t>
        </is>
      </c>
      <c r="C294" s="2" t="inlineStr"/>
      <c r="D294" s="2" t="n"/>
      <c r="E294" s="20" t="n"/>
      <c r="F294" s="20" t="n"/>
      <c r="G294" s="2" t="n"/>
      <c r="H294" s="2" t="n"/>
    </row>
    <row r="295">
      <c r="A295" s="2" t="inlineStr">
        <is>
          <t>POL_USDT_PERP</t>
        </is>
      </c>
      <c r="B295" s="2" t="inlineStr">
        <is>
          <t>已掃描</t>
        </is>
      </c>
      <c r="C295" s="2" t="inlineStr"/>
      <c r="D295" s="2" t="n"/>
      <c r="E295" s="20" t="n"/>
      <c r="F295" s="20" t="n"/>
      <c r="G295" s="2" t="n"/>
      <c r="H295" s="2" t="n"/>
    </row>
    <row r="296">
      <c r="A296" s="2" t="inlineStr">
        <is>
          <t>PONS_USDT_PERP</t>
        </is>
      </c>
      <c r="B296" s="2" t="inlineStr">
        <is>
          <t>已掃描</t>
        </is>
      </c>
      <c r="C296" s="2" t="inlineStr"/>
      <c r="D296" s="2" t="n"/>
      <c r="E296" s="20" t="n"/>
      <c r="F296" s="20" t="n"/>
      <c r="G296" s="2" t="n"/>
      <c r="H296" s="2" t="n"/>
    </row>
    <row r="297">
      <c r="A297" s="2" t="inlineStr">
        <is>
          <t>POPCAT_USDT_PERP</t>
        </is>
      </c>
      <c r="B297" s="2" t="inlineStr">
        <is>
          <t>已掃描</t>
        </is>
      </c>
      <c r="C297" s="2" t="inlineStr"/>
      <c r="D297" s="2" t="n"/>
      <c r="E297" s="20" t="n"/>
      <c r="F297" s="20" t="n"/>
      <c r="G297" s="2" t="n"/>
      <c r="H297" s="2" t="n"/>
    </row>
    <row r="298">
      <c r="A298" s="2" t="inlineStr">
        <is>
          <t>PORTAL_USDT_PERP</t>
        </is>
      </c>
      <c r="B298" s="2" t="inlineStr">
        <is>
          <t>已掃描</t>
        </is>
      </c>
      <c r="C298" s="2" t="inlineStr"/>
      <c r="D298" s="2" t="n"/>
      <c r="E298" s="20" t="n"/>
      <c r="F298" s="20" t="n"/>
      <c r="G298" s="2" t="n"/>
      <c r="H298" s="2" t="n"/>
    </row>
    <row r="299">
      <c r="A299" s="2" t="inlineStr">
        <is>
          <t>POWER_USDT_PERP</t>
        </is>
      </c>
      <c r="B299" s="2" t="inlineStr">
        <is>
          <t>已掃描</t>
        </is>
      </c>
      <c r="C299" s="2" t="inlineStr"/>
      <c r="D299" s="2" t="n"/>
      <c r="E299" s="20" t="n"/>
      <c r="F299" s="20" t="n"/>
      <c r="G299" s="2" t="n"/>
      <c r="H299" s="2" t="n"/>
    </row>
    <row r="300">
      <c r="A300" s="2" t="inlineStr">
        <is>
          <t>POWR_USDT_PERP</t>
        </is>
      </c>
      <c r="B300" s="2" t="inlineStr">
        <is>
          <t>已掃描</t>
        </is>
      </c>
      <c r="C300" s="2" t="inlineStr"/>
      <c r="D300" s="2" t="n"/>
      <c r="E300" s="20" t="n"/>
      <c r="F300" s="20" t="n"/>
      <c r="G300" s="2" t="n"/>
      <c r="H300" s="2" t="n"/>
    </row>
    <row r="301">
      <c r="A301" s="2" t="inlineStr">
        <is>
          <t>PRL_USDT_PERP</t>
        </is>
      </c>
      <c r="B301" s="2" t="inlineStr">
        <is>
          <t>已掃描</t>
        </is>
      </c>
      <c r="C301" s="2" t="inlineStr"/>
      <c r="D301" s="2" t="n"/>
      <c r="E301" s="20" t="n"/>
      <c r="F301" s="20" t="n"/>
      <c r="G301" s="2" t="n"/>
      <c r="H301" s="2" t="n"/>
    </row>
    <row r="302">
      <c r="A302" s="2" t="inlineStr">
        <is>
          <t>PROMPT_USDT_PERP</t>
        </is>
      </c>
      <c r="B302" s="2" t="inlineStr">
        <is>
          <t>已掃描</t>
        </is>
      </c>
      <c r="C302" s="2" t="inlineStr"/>
      <c r="D302" s="2" t="n"/>
      <c r="E302" s="20" t="n"/>
      <c r="F302" s="20" t="n"/>
      <c r="G302" s="2" t="n"/>
      <c r="H302" s="2" t="n"/>
    </row>
    <row r="303">
      <c r="A303" s="2" t="inlineStr">
        <is>
          <t>PROS_USDT_PERP</t>
        </is>
      </c>
      <c r="B303" s="2" t="inlineStr">
        <is>
          <t>已掃描</t>
        </is>
      </c>
      <c r="C303" s="2" t="inlineStr"/>
      <c r="D303" s="2" t="n"/>
      <c r="E303" s="20" t="n"/>
      <c r="F303" s="20" t="n"/>
      <c r="G303" s="2" t="n"/>
      <c r="H303" s="2" t="n"/>
    </row>
    <row r="304">
      <c r="A304" s="2" t="inlineStr">
        <is>
          <t>PROVE_USDT_PERP</t>
        </is>
      </c>
      <c r="B304" s="2" t="inlineStr">
        <is>
          <t>已掃描</t>
        </is>
      </c>
      <c r="C304" s="2" t="inlineStr"/>
      <c r="D304" s="2" t="n"/>
      <c r="E304" s="20" t="n"/>
      <c r="F304" s="20" t="n"/>
      <c r="G304" s="2" t="n"/>
      <c r="H304" s="2" t="n"/>
    </row>
    <row r="305">
      <c r="A305" s="2" t="inlineStr">
        <is>
          <t>PTB_USDT_PERP</t>
        </is>
      </c>
      <c r="B305" s="2" t="inlineStr">
        <is>
          <t>已掃描</t>
        </is>
      </c>
      <c r="C305" s="2" t="inlineStr"/>
      <c r="D305" s="2" t="n"/>
      <c r="E305" s="20" t="n"/>
      <c r="F305" s="20" t="n"/>
      <c r="G305" s="2" t="n"/>
      <c r="H305" s="2" t="n"/>
    </row>
    <row r="306">
      <c r="A306" s="2" t="inlineStr">
        <is>
          <t>PUMP_USDT_PERP</t>
        </is>
      </c>
      <c r="B306" s="2" t="inlineStr">
        <is>
          <t>已掃描</t>
        </is>
      </c>
      <c r="C306" s="2" t="inlineStr"/>
      <c r="D306" s="2" t="n"/>
      <c r="E306" s="20" t="n"/>
      <c r="F306" s="20" t="n"/>
      <c r="G306" s="2" t="n"/>
      <c r="H306" s="2" t="n"/>
    </row>
    <row r="307">
      <c r="A307" s="2" t="inlineStr">
        <is>
          <t>PYTH_USDT_PERP</t>
        </is>
      </c>
      <c r="B307" s="2" t="inlineStr">
        <is>
          <t>已掃描</t>
        </is>
      </c>
      <c r="C307" s="2" t="inlineStr"/>
      <c r="D307" s="2" t="n"/>
      <c r="E307" s="20" t="n"/>
      <c r="F307" s="20" t="n"/>
      <c r="G307" s="2" t="n"/>
      <c r="H307" s="2" t="n"/>
    </row>
    <row r="308">
      <c r="A308" s="2" t="inlineStr">
        <is>
          <t>QNT_USDT_PERP</t>
        </is>
      </c>
      <c r="B308" s="2" t="inlineStr">
        <is>
          <t>已掃描</t>
        </is>
      </c>
      <c r="C308" s="2" t="inlineStr"/>
      <c r="D308" s="2" t="n"/>
      <c r="E308" s="20" t="n"/>
      <c r="F308" s="20" t="n"/>
      <c r="G308" s="2" t="n"/>
      <c r="H308" s="2" t="n"/>
    </row>
    <row r="309">
      <c r="A309" s="2" t="inlineStr">
        <is>
          <t>QTUM_USDT_PERP</t>
        </is>
      </c>
      <c r="B309" s="2" t="inlineStr">
        <is>
          <t>已掃描</t>
        </is>
      </c>
      <c r="C309" s="2" t="inlineStr"/>
      <c r="D309" s="2" t="n"/>
      <c r="E309" s="20" t="n"/>
      <c r="F309" s="20" t="n"/>
      <c r="G309" s="2" t="n"/>
      <c r="H309" s="2" t="n"/>
    </row>
    <row r="310">
      <c r="A310" s="2" t="inlineStr">
        <is>
          <t>Q_USDT_PERP</t>
        </is>
      </c>
      <c r="B310" s="2" t="inlineStr">
        <is>
          <t>已掃描</t>
        </is>
      </c>
      <c r="C310" s="2" t="inlineStr"/>
      <c r="D310" s="2" t="n"/>
      <c r="E310" s="20" t="n"/>
      <c r="F310" s="20" t="n"/>
      <c r="G310" s="2" t="n"/>
      <c r="H310" s="2" t="n"/>
    </row>
    <row r="311">
      <c r="A311" s="2" t="inlineStr">
        <is>
          <t>RARE_USDT_PERP</t>
        </is>
      </c>
      <c r="B311" s="2" t="inlineStr">
        <is>
          <t>已掃描</t>
        </is>
      </c>
      <c r="C311" s="2" t="inlineStr"/>
      <c r="D311" s="2" t="n"/>
      <c r="E311" s="20" t="n"/>
      <c r="F311" s="20" t="n"/>
      <c r="G311" s="2" t="n"/>
      <c r="H311" s="2" t="n"/>
    </row>
    <row r="312">
      <c r="A312" s="2" t="inlineStr">
        <is>
          <t>RATS_USDT_PERP</t>
        </is>
      </c>
      <c r="B312" s="2" t="inlineStr">
        <is>
          <t>已掃描</t>
        </is>
      </c>
      <c r="C312" s="2" t="inlineStr"/>
      <c r="D312" s="2" t="n"/>
      <c r="E312" s="20" t="n"/>
      <c r="F312" s="20" t="n"/>
      <c r="G312" s="2" t="n"/>
      <c r="H312" s="2" t="n"/>
    </row>
    <row r="313">
      <c r="A313" s="2" t="inlineStr">
        <is>
          <t>RAVE_USDT_PERP</t>
        </is>
      </c>
      <c r="B313" s="2" t="inlineStr">
        <is>
          <t>已掃描</t>
        </is>
      </c>
      <c r="C313" s="2" t="inlineStr"/>
      <c r="D313" s="2" t="n"/>
      <c r="E313" s="20" t="n"/>
      <c r="F313" s="20" t="n"/>
      <c r="G313" s="2" t="n"/>
      <c r="H313" s="2" t="n"/>
    </row>
    <row r="314">
      <c r="A314" s="2" t="inlineStr">
        <is>
          <t>RAY_USDT_PERP</t>
        </is>
      </c>
      <c r="B314" s="2" t="inlineStr">
        <is>
          <t>已掃描</t>
        </is>
      </c>
      <c r="C314" s="2" t="inlineStr"/>
      <c r="D314" s="2" t="n"/>
      <c r="E314" s="20" t="n"/>
      <c r="F314" s="20" t="n"/>
      <c r="G314" s="2" t="n"/>
      <c r="H314" s="2" t="n"/>
    </row>
    <row r="315">
      <c r="A315" s="2" t="inlineStr">
        <is>
          <t>RECALL_USDT_PERP</t>
        </is>
      </c>
      <c r="B315" s="2" t="inlineStr">
        <is>
          <t>已掃描</t>
        </is>
      </c>
      <c r="C315" s="2" t="inlineStr"/>
      <c r="D315" s="2" t="n"/>
      <c r="E315" s="20" t="n"/>
      <c r="F315" s="20" t="n"/>
      <c r="G315" s="2" t="n"/>
      <c r="H315" s="2" t="n"/>
    </row>
    <row r="316">
      <c r="A316" s="2" t="inlineStr">
        <is>
          <t>RENDER_USDT_PERP</t>
        </is>
      </c>
      <c r="B316" s="2" t="inlineStr">
        <is>
          <t>已掃描</t>
        </is>
      </c>
      <c r="C316" s="2" t="inlineStr"/>
      <c r="D316" s="2" t="n"/>
      <c r="E316" s="20" t="n"/>
      <c r="F316" s="20" t="n"/>
      <c r="G316" s="2" t="n"/>
      <c r="H316" s="2" t="n"/>
    </row>
    <row r="317">
      <c r="A317" s="2" t="inlineStr">
        <is>
          <t>RESOLV_USDT_PERP</t>
        </is>
      </c>
      <c r="B317" s="2" t="inlineStr">
        <is>
          <t>已掃描</t>
        </is>
      </c>
      <c r="C317" s="2" t="inlineStr"/>
      <c r="D317" s="2" t="n"/>
      <c r="E317" s="20" t="n"/>
      <c r="F317" s="20" t="n"/>
      <c r="G317" s="2" t="n"/>
      <c r="H317" s="2" t="n"/>
    </row>
    <row r="318">
      <c r="A318" s="2" t="inlineStr">
        <is>
          <t>REZ_USDT_PERP</t>
        </is>
      </c>
      <c r="B318" s="2" t="inlineStr">
        <is>
          <t>已掃描</t>
        </is>
      </c>
      <c r="C318" s="2" t="inlineStr"/>
      <c r="D318" s="2" t="n"/>
      <c r="E318" s="20" t="n"/>
      <c r="F318" s="20" t="n"/>
      <c r="G318" s="2" t="n"/>
      <c r="H318" s="2" t="n"/>
    </row>
    <row r="319">
      <c r="A319" s="2" t="inlineStr">
        <is>
          <t>RE_USDT_PERP</t>
        </is>
      </c>
      <c r="B319" s="2" t="inlineStr">
        <is>
          <t>已掃描</t>
        </is>
      </c>
      <c r="C319" s="2" t="inlineStr"/>
      <c r="D319" s="2" t="n"/>
      <c r="E319" s="20" t="n"/>
      <c r="F319" s="20" t="n"/>
      <c r="G319" s="2" t="n"/>
      <c r="H319" s="2" t="n"/>
    </row>
    <row r="320">
      <c r="A320" s="2" t="inlineStr">
        <is>
          <t>RIF_USDT_PERP</t>
        </is>
      </c>
      <c r="B320" s="2" t="inlineStr">
        <is>
          <t>已掃描</t>
        </is>
      </c>
      <c r="C320" s="2" t="inlineStr"/>
      <c r="D320" s="2" t="n"/>
      <c r="E320" s="20" t="n"/>
      <c r="F320" s="20" t="n"/>
      <c r="G320" s="2" t="n"/>
      <c r="H320" s="2" t="n"/>
    </row>
    <row r="321">
      <c r="A321" s="2" t="inlineStr">
        <is>
          <t>RIVER_USDT_PERP</t>
        </is>
      </c>
      <c r="B321" s="2" t="inlineStr">
        <is>
          <t>已掃描</t>
        </is>
      </c>
      <c r="C321" s="2" t="inlineStr"/>
      <c r="D321" s="2" t="n"/>
      <c r="E321" s="20" t="n"/>
      <c r="F321" s="20" t="n"/>
      <c r="G321" s="2" t="n"/>
      <c r="H321" s="2" t="n"/>
    </row>
    <row r="322">
      <c r="A322" s="2" t="inlineStr">
        <is>
          <t>ROBO_USDT_PERP</t>
        </is>
      </c>
      <c r="B322" s="2" t="inlineStr">
        <is>
          <t>已掃描</t>
        </is>
      </c>
      <c r="C322" s="2" t="inlineStr"/>
      <c r="D322" s="2" t="n"/>
      <c r="E322" s="20" t="n"/>
      <c r="F322" s="20" t="n"/>
      <c r="G322" s="2" t="n"/>
      <c r="H322" s="2" t="n"/>
    </row>
    <row r="323">
      <c r="A323" s="2" t="inlineStr">
        <is>
          <t>ROSE_USDT_PERP</t>
        </is>
      </c>
      <c r="B323" s="2" t="inlineStr">
        <is>
          <t>已掃描</t>
        </is>
      </c>
      <c r="C323" s="2" t="inlineStr"/>
      <c r="D323" s="2" t="n"/>
      <c r="E323" s="20" t="n"/>
      <c r="F323" s="20" t="n"/>
      <c r="G323" s="2" t="n"/>
      <c r="H323" s="2" t="n"/>
    </row>
    <row r="324">
      <c r="A324" s="2" t="inlineStr">
        <is>
          <t>RSR_USDT_PERP</t>
        </is>
      </c>
      <c r="B324" s="2" t="inlineStr">
        <is>
          <t>已掃描</t>
        </is>
      </c>
      <c r="C324" s="2" t="inlineStr"/>
      <c r="D324" s="2" t="n"/>
      <c r="E324" s="20" t="n"/>
      <c r="F324" s="20" t="n"/>
      <c r="G324" s="2" t="n"/>
      <c r="H324" s="2" t="n"/>
    </row>
    <row r="325">
      <c r="A325" s="2" t="inlineStr">
        <is>
          <t>RUNE_USDT_PERP</t>
        </is>
      </c>
      <c r="B325" s="2" t="inlineStr">
        <is>
          <t>已掃描</t>
        </is>
      </c>
      <c r="C325" s="2" t="inlineStr"/>
      <c r="D325" s="2" t="n"/>
      <c r="E325" s="20" t="n"/>
      <c r="F325" s="20" t="n"/>
      <c r="G325" s="2" t="n"/>
      <c r="H325" s="2" t="n"/>
    </row>
    <row r="326">
      <c r="A326" s="2" t="inlineStr">
        <is>
          <t>SAGA_USDT_PERP</t>
        </is>
      </c>
      <c r="B326" s="2" t="inlineStr">
        <is>
          <t>已掃描</t>
        </is>
      </c>
      <c r="C326" s="2" t="inlineStr"/>
      <c r="D326" s="2" t="n"/>
      <c r="E326" s="20" t="n"/>
      <c r="F326" s="20" t="n"/>
      <c r="G326" s="2" t="n"/>
      <c r="H326" s="2" t="n"/>
    </row>
    <row r="327">
      <c r="A327" s="2" t="inlineStr">
        <is>
          <t>SAHARA_USDT_PERP</t>
        </is>
      </c>
      <c r="B327" s="2" t="inlineStr">
        <is>
          <t>已掃描</t>
        </is>
      </c>
      <c r="C327" s="2" t="inlineStr"/>
      <c r="D327" s="2" t="n"/>
      <c r="E327" s="20" t="n"/>
      <c r="F327" s="20" t="n"/>
      <c r="G327" s="2" t="n"/>
      <c r="H327" s="2" t="n"/>
    </row>
    <row r="328">
      <c r="A328" s="2" t="inlineStr">
        <is>
          <t>SAND_USDT_PERP</t>
        </is>
      </c>
      <c r="B328" s="2" t="inlineStr">
        <is>
          <t>已掃描</t>
        </is>
      </c>
      <c r="C328" s="2" t="inlineStr"/>
      <c r="D328" s="2" t="n"/>
      <c r="E328" s="20" t="n"/>
      <c r="F328" s="20" t="n"/>
      <c r="G328" s="2" t="n"/>
      <c r="H328" s="2" t="n"/>
    </row>
    <row r="329">
      <c r="A329" s="2" t="inlineStr">
        <is>
          <t>SAPIEN_USDT_PERP</t>
        </is>
      </c>
      <c r="B329" s="2" t="inlineStr">
        <is>
          <t>已掃描</t>
        </is>
      </c>
      <c r="C329" s="2" t="inlineStr"/>
      <c r="D329" s="2" t="n"/>
      <c r="E329" s="20" t="n"/>
      <c r="F329" s="20" t="n"/>
      <c r="G329" s="2" t="n"/>
      <c r="H329" s="2" t="n"/>
    </row>
    <row r="330">
      <c r="A330" s="2" t="inlineStr">
        <is>
          <t>SEI_USDT_PERP</t>
        </is>
      </c>
      <c r="B330" s="2" t="inlineStr">
        <is>
          <t>已掃描</t>
        </is>
      </c>
      <c r="C330" s="2" t="inlineStr"/>
      <c r="D330" s="2" t="n"/>
      <c r="E330" s="20" t="n"/>
      <c r="F330" s="20" t="n"/>
      <c r="G330" s="2" t="n"/>
      <c r="H330" s="2" t="n"/>
    </row>
    <row r="331">
      <c r="A331" s="2" t="inlineStr">
        <is>
          <t>SENT_USDT_PERP</t>
        </is>
      </c>
      <c r="B331" s="2" t="inlineStr">
        <is>
          <t>已掃描</t>
        </is>
      </c>
      <c r="C331" s="2" t="inlineStr"/>
      <c r="D331" s="2" t="n"/>
      <c r="E331" s="20" t="n"/>
      <c r="F331" s="20" t="n"/>
      <c r="G331" s="2" t="n"/>
      <c r="H331" s="2" t="n"/>
    </row>
    <row r="332">
      <c r="A332" s="2" t="inlineStr">
        <is>
          <t>SFP_USDT_PERP</t>
        </is>
      </c>
      <c r="B332" s="2" t="inlineStr">
        <is>
          <t>已掃描</t>
        </is>
      </c>
      <c r="C332" s="2" t="inlineStr"/>
      <c r="D332" s="2" t="n"/>
      <c r="E332" s="20" t="n"/>
      <c r="F332" s="20" t="n"/>
      <c r="G332" s="2" t="n"/>
      <c r="H332" s="2" t="n"/>
    </row>
    <row r="333">
      <c r="A333" s="2" t="inlineStr">
        <is>
          <t>SHELL_USDT_PERP</t>
        </is>
      </c>
      <c r="B333" s="2" t="inlineStr">
        <is>
          <t>已掃描</t>
        </is>
      </c>
      <c r="C333" s="2" t="inlineStr"/>
      <c r="D333" s="2" t="n"/>
      <c r="E333" s="20" t="n"/>
      <c r="F333" s="20" t="n"/>
      <c r="G333" s="2" t="n"/>
      <c r="H333" s="2" t="n"/>
    </row>
    <row r="334">
      <c r="A334" s="2" t="inlineStr">
        <is>
          <t>SHIB_USDT_PERP</t>
        </is>
      </c>
      <c r="B334" s="2" t="inlineStr">
        <is>
          <t>已掃描</t>
        </is>
      </c>
      <c r="C334" s="2" t="inlineStr"/>
      <c r="D334" s="2" t="n"/>
      <c r="E334" s="20" t="n"/>
      <c r="F334" s="20" t="n"/>
      <c r="G334" s="2" t="n"/>
      <c r="H334" s="2" t="n"/>
    </row>
    <row r="335">
      <c r="A335" s="2" t="inlineStr">
        <is>
          <t>SIREN_USDT_PERP</t>
        </is>
      </c>
      <c r="B335" s="2" t="inlineStr">
        <is>
          <t>已掃描</t>
        </is>
      </c>
      <c r="C335" s="2" t="inlineStr"/>
      <c r="D335" s="2" t="n"/>
      <c r="E335" s="20" t="n"/>
      <c r="F335" s="20" t="n"/>
      <c r="G335" s="2" t="n"/>
      <c r="H335" s="2" t="n"/>
    </row>
    <row r="336">
      <c r="A336" s="2" t="inlineStr">
        <is>
          <t>SKL_USDT_PERP</t>
        </is>
      </c>
      <c r="B336" s="2" t="inlineStr">
        <is>
          <t>已掃描</t>
        </is>
      </c>
      <c r="C336" s="2" t="inlineStr"/>
      <c r="D336" s="2" t="n"/>
      <c r="E336" s="20" t="n"/>
      <c r="F336" s="20" t="n"/>
      <c r="G336" s="2" t="n"/>
      <c r="H336" s="2" t="n"/>
    </row>
    <row r="337">
      <c r="A337" s="2" t="inlineStr">
        <is>
          <t>SKR_USDT_PERP</t>
        </is>
      </c>
      <c r="B337" s="2" t="inlineStr">
        <is>
          <t>已掃描</t>
        </is>
      </c>
      <c r="C337" s="2" t="inlineStr"/>
      <c r="D337" s="2" t="n"/>
      <c r="E337" s="20" t="n"/>
      <c r="F337" s="20" t="n"/>
      <c r="G337" s="2" t="n"/>
      <c r="H337" s="2" t="n"/>
    </row>
    <row r="338">
      <c r="A338" s="2" t="inlineStr">
        <is>
          <t>SKYAI_USDT_PERP</t>
        </is>
      </c>
      <c r="B338" s="2" t="inlineStr">
        <is>
          <t>已掃描</t>
        </is>
      </c>
      <c r="C338" s="2" t="inlineStr"/>
      <c r="D338" s="2" t="n"/>
      <c r="E338" s="20" t="n"/>
      <c r="F338" s="20" t="n"/>
      <c r="G338" s="2" t="n"/>
      <c r="H338" s="2" t="n"/>
    </row>
    <row r="339">
      <c r="A339" s="2" t="inlineStr">
        <is>
          <t>SKY_USDT_PERP</t>
        </is>
      </c>
      <c r="B339" s="2" t="inlineStr">
        <is>
          <t>已掃描</t>
        </is>
      </c>
      <c r="C339" s="2" t="inlineStr"/>
      <c r="D339" s="2" t="n"/>
      <c r="E339" s="20" t="n"/>
      <c r="F339" s="20" t="n"/>
      <c r="G339" s="2" t="n"/>
      <c r="H339" s="2" t="n"/>
    </row>
    <row r="340">
      <c r="A340" s="2" t="inlineStr">
        <is>
          <t>SLP_USDT_PERP</t>
        </is>
      </c>
      <c r="B340" s="2" t="inlineStr">
        <is>
          <t>已掃描</t>
        </is>
      </c>
      <c r="C340" s="2" t="inlineStr"/>
      <c r="D340" s="2" t="n"/>
      <c r="E340" s="20" t="n"/>
      <c r="F340" s="20" t="n"/>
      <c r="G340" s="2" t="n"/>
      <c r="H340" s="2" t="n"/>
    </row>
    <row r="341">
      <c r="A341" s="2" t="inlineStr">
        <is>
          <t>SLX_USDT_PERP</t>
        </is>
      </c>
      <c r="B341" s="2" t="inlineStr">
        <is>
          <t>已掃描</t>
        </is>
      </c>
      <c r="C341" s="2" t="inlineStr"/>
      <c r="D341" s="2" t="n"/>
      <c r="E341" s="20" t="n"/>
      <c r="F341" s="20" t="n"/>
      <c r="G341" s="2" t="n"/>
      <c r="H341" s="2" t="n"/>
    </row>
    <row r="342">
      <c r="A342" s="2" t="inlineStr">
        <is>
          <t>SNX_USDT_PERP</t>
        </is>
      </c>
      <c r="B342" s="2" t="inlineStr">
        <is>
          <t>已掃描</t>
        </is>
      </c>
      <c r="C342" s="2" t="inlineStr"/>
      <c r="D342" s="2" t="n"/>
      <c r="E342" s="20" t="n"/>
      <c r="F342" s="20" t="n"/>
      <c r="G342" s="2" t="n"/>
      <c r="H342" s="2" t="n"/>
    </row>
    <row r="343">
      <c r="A343" s="2" t="inlineStr">
        <is>
          <t>SOLV_USDT_PERP</t>
        </is>
      </c>
      <c r="B343" s="2" t="inlineStr">
        <is>
          <t>已掃描</t>
        </is>
      </c>
      <c r="C343" s="2" t="inlineStr"/>
      <c r="D343" s="2" t="n"/>
      <c r="E343" s="20" t="n"/>
      <c r="F343" s="20" t="n"/>
      <c r="G343" s="2" t="n"/>
      <c r="H343" s="2" t="n"/>
    </row>
    <row r="344">
      <c r="A344" s="2" t="inlineStr">
        <is>
          <t>SOL_USDT_PERP</t>
        </is>
      </c>
      <c r="B344" s="2" t="inlineStr">
        <is>
          <t>已掃描</t>
        </is>
      </c>
      <c r="C344" s="2" t="inlineStr"/>
      <c r="D344" s="2" t="n"/>
      <c r="E344" s="20" t="n"/>
      <c r="F344" s="20" t="n"/>
      <c r="G344" s="2" t="n"/>
      <c r="H344" s="2" t="n"/>
    </row>
    <row r="345">
      <c r="A345" s="2" t="inlineStr">
        <is>
          <t>SOMI_USDT_PERP</t>
        </is>
      </c>
      <c r="B345" s="2" t="inlineStr">
        <is>
          <t>已掃描</t>
        </is>
      </c>
      <c r="C345" s="2" t="inlineStr"/>
      <c r="D345" s="2" t="n"/>
      <c r="E345" s="20" t="n"/>
      <c r="F345" s="20" t="n"/>
      <c r="G345" s="2" t="n"/>
      <c r="H345" s="2" t="n"/>
    </row>
    <row r="346">
      <c r="A346" s="2" t="inlineStr">
        <is>
          <t>SOON_USDT_PERP</t>
        </is>
      </c>
      <c r="B346" s="2" t="inlineStr">
        <is>
          <t>已掃描</t>
        </is>
      </c>
      <c r="C346" s="2" t="inlineStr"/>
      <c r="D346" s="2" t="n"/>
      <c r="E346" s="20" t="n"/>
      <c r="F346" s="20" t="n"/>
      <c r="G346" s="2" t="n"/>
      <c r="H346" s="2" t="n"/>
    </row>
    <row r="347">
      <c r="A347" s="2" t="inlineStr">
        <is>
          <t>SPACE_USDT_PERP</t>
        </is>
      </c>
      <c r="B347" s="2" t="inlineStr">
        <is>
          <t>已掃描</t>
        </is>
      </c>
      <c r="C347" s="2" t="inlineStr"/>
      <c r="D347" s="2" t="n"/>
      <c r="E347" s="20" t="n"/>
      <c r="F347" s="20" t="n"/>
      <c r="G347" s="2" t="n"/>
      <c r="H347" s="2" t="n"/>
    </row>
    <row r="348">
      <c r="A348" s="2" t="inlineStr">
        <is>
          <t>SPELL_USDT_PERP</t>
        </is>
      </c>
      <c r="B348" s="2" t="inlineStr">
        <is>
          <t>已掃描</t>
        </is>
      </c>
      <c r="C348" s="2" t="inlineStr"/>
      <c r="D348" s="2" t="n"/>
      <c r="E348" s="20" t="n"/>
      <c r="F348" s="20" t="n"/>
      <c r="G348" s="2" t="n"/>
      <c r="H348" s="2" t="n"/>
    </row>
    <row r="349">
      <c r="A349" s="2" t="inlineStr">
        <is>
          <t>SPK_USDT_PERP</t>
        </is>
      </c>
      <c r="B349" s="2" t="inlineStr">
        <is>
          <t>已掃描</t>
        </is>
      </c>
      <c r="C349" s="2" t="inlineStr"/>
      <c r="D349" s="2" t="n"/>
      <c r="E349" s="20" t="n"/>
      <c r="F349" s="20" t="n"/>
      <c r="G349" s="2" t="n"/>
      <c r="H349" s="2" t="n"/>
    </row>
    <row r="350">
      <c r="A350" s="2" t="inlineStr">
        <is>
          <t>SPORTFUN_USDT_PERP</t>
        </is>
      </c>
      <c r="B350" s="2" t="inlineStr">
        <is>
          <t>已掃描</t>
        </is>
      </c>
      <c r="C350" s="2" t="inlineStr"/>
      <c r="D350" s="2" t="n"/>
      <c r="E350" s="20" t="n"/>
      <c r="F350" s="20" t="n"/>
      <c r="G350" s="2" t="n"/>
      <c r="H350" s="2" t="n"/>
    </row>
    <row r="351">
      <c r="A351" s="2" t="inlineStr">
        <is>
          <t>SPX_USDT_PERP</t>
        </is>
      </c>
      <c r="B351" s="2" t="inlineStr">
        <is>
          <t>已掃描</t>
        </is>
      </c>
      <c r="C351" s="2" t="inlineStr"/>
      <c r="D351" s="2" t="n"/>
      <c r="E351" s="20" t="n"/>
      <c r="F351" s="20" t="n"/>
      <c r="G351" s="2" t="n"/>
      <c r="H351" s="2" t="n"/>
    </row>
    <row r="352">
      <c r="A352" s="2" t="inlineStr">
        <is>
          <t>SQD_USDT_PERP</t>
        </is>
      </c>
      <c r="B352" s="2" t="inlineStr">
        <is>
          <t>已掃描</t>
        </is>
      </c>
      <c r="C352" s="2" t="inlineStr"/>
      <c r="D352" s="2" t="n"/>
      <c r="E352" s="20" t="n"/>
      <c r="F352" s="20" t="n"/>
      <c r="G352" s="2" t="n"/>
      <c r="H352" s="2" t="n"/>
    </row>
    <row r="353">
      <c r="A353" s="2" t="inlineStr">
        <is>
          <t>SSV_USDT_PERP</t>
        </is>
      </c>
      <c r="B353" s="2" t="inlineStr">
        <is>
          <t>已掃描</t>
        </is>
      </c>
      <c r="C353" s="2" t="inlineStr"/>
      <c r="D353" s="2" t="n"/>
      <c r="E353" s="20" t="n"/>
      <c r="F353" s="20" t="n"/>
      <c r="G353" s="2" t="n"/>
      <c r="H353" s="2" t="n"/>
    </row>
    <row r="354">
      <c r="A354" s="2" t="inlineStr">
        <is>
          <t>STABLE_USDT_PERP</t>
        </is>
      </c>
      <c r="B354" s="2" t="inlineStr">
        <is>
          <t>已掃描</t>
        </is>
      </c>
      <c r="C354" s="2" t="inlineStr"/>
      <c r="D354" s="2" t="n"/>
      <c r="E354" s="20" t="n"/>
      <c r="F354" s="20" t="n"/>
      <c r="G354" s="2" t="n"/>
      <c r="H354" s="2" t="n"/>
    </row>
    <row r="355">
      <c r="A355" s="2" t="inlineStr">
        <is>
          <t>STAR_USDT_PERP</t>
        </is>
      </c>
      <c r="B355" s="2" t="inlineStr">
        <is>
          <t>已掃描</t>
        </is>
      </c>
      <c r="C355" s="2" t="inlineStr"/>
      <c r="D355" s="2" t="n"/>
      <c r="E355" s="20" t="n"/>
      <c r="F355" s="20" t="n"/>
      <c r="G355" s="2" t="n"/>
      <c r="H355" s="2" t="n"/>
    </row>
    <row r="356">
      <c r="A356" s="2" t="inlineStr">
        <is>
          <t>STBL_USDT_PERP</t>
        </is>
      </c>
      <c r="B356" s="2" t="inlineStr">
        <is>
          <t>已掃描</t>
        </is>
      </c>
      <c r="C356" s="2" t="inlineStr"/>
      <c r="D356" s="2" t="n"/>
      <c r="E356" s="20" t="n"/>
      <c r="F356" s="20" t="n"/>
      <c r="G356" s="2" t="n"/>
      <c r="H356" s="2" t="n"/>
    </row>
    <row r="357">
      <c r="A357" s="2" t="inlineStr">
        <is>
          <t>STG_USDT_PERP</t>
        </is>
      </c>
      <c r="B357" s="2" t="inlineStr">
        <is>
          <t>已掃描</t>
        </is>
      </c>
      <c r="C357" s="2" t="inlineStr"/>
      <c r="D357" s="2" t="n"/>
      <c r="E357" s="20" t="n"/>
      <c r="F357" s="20" t="n"/>
      <c r="G357" s="2" t="n"/>
      <c r="H357" s="2" t="n"/>
    </row>
    <row r="358">
      <c r="A358" s="2" t="inlineStr">
        <is>
          <t>STO_USDT_PERP</t>
        </is>
      </c>
      <c r="B358" s="2" t="inlineStr">
        <is>
          <t>已掃描</t>
        </is>
      </c>
      <c r="C358" s="2" t="inlineStr"/>
      <c r="D358" s="2" t="n"/>
      <c r="E358" s="20" t="n"/>
      <c r="F358" s="20" t="n"/>
      <c r="G358" s="2" t="n"/>
      <c r="H358" s="2" t="n"/>
    </row>
    <row r="359">
      <c r="A359" s="2" t="inlineStr">
        <is>
          <t>STRK_USDT_PERP</t>
        </is>
      </c>
      <c r="B359" s="2" t="inlineStr">
        <is>
          <t>已掃描</t>
        </is>
      </c>
      <c r="C359" s="2" t="inlineStr"/>
      <c r="D359" s="2" t="n"/>
      <c r="E359" s="20" t="n"/>
      <c r="F359" s="20" t="n"/>
      <c r="G359" s="2" t="n"/>
      <c r="H359" s="2" t="n"/>
    </row>
    <row r="360">
      <c r="A360" s="2" t="inlineStr">
        <is>
          <t>STX_USDT_PERP</t>
        </is>
      </c>
      <c r="B360" s="2" t="inlineStr">
        <is>
          <t>已掃描</t>
        </is>
      </c>
      <c r="C360" s="2" t="inlineStr"/>
      <c r="D360" s="2" t="n"/>
      <c r="E360" s="20" t="n"/>
      <c r="F360" s="20" t="n"/>
      <c r="G360" s="2" t="n"/>
      <c r="H360" s="2" t="n"/>
    </row>
    <row r="361">
      <c r="A361" s="2" t="inlineStr">
        <is>
          <t>SUI_USDT_PERP</t>
        </is>
      </c>
      <c r="B361" s="2" t="inlineStr">
        <is>
          <t>已掃描</t>
        </is>
      </c>
      <c r="C361" s="2" t="inlineStr"/>
      <c r="D361" s="2" t="n"/>
      <c r="E361" s="20" t="n"/>
      <c r="F361" s="20" t="n"/>
      <c r="G361" s="2" t="n"/>
      <c r="H361" s="2" t="n"/>
    </row>
    <row r="362">
      <c r="A362" s="2" t="inlineStr">
        <is>
          <t>SUN_USDT_PERP</t>
        </is>
      </c>
      <c r="B362" s="2" t="inlineStr">
        <is>
          <t>已掃描</t>
        </is>
      </c>
      <c r="C362" s="2" t="inlineStr"/>
      <c r="D362" s="2" t="n"/>
      <c r="E362" s="20" t="n"/>
      <c r="F362" s="20" t="n"/>
      <c r="G362" s="2" t="n"/>
      <c r="H362" s="2" t="n"/>
    </row>
    <row r="363">
      <c r="A363" s="2" t="inlineStr">
        <is>
          <t>SUPER_USDT_PERP</t>
        </is>
      </c>
      <c r="B363" s="2" t="inlineStr">
        <is>
          <t>已掃描</t>
        </is>
      </c>
      <c r="C363" s="2" t="inlineStr"/>
      <c r="D363" s="2" t="n"/>
      <c r="E363" s="20" t="n"/>
      <c r="F363" s="20" t="n"/>
      <c r="G363" s="2" t="n"/>
      <c r="H363" s="2" t="n"/>
    </row>
    <row r="364">
      <c r="A364" s="2" t="inlineStr">
        <is>
          <t>SUSHI_USDT_PERP</t>
        </is>
      </c>
      <c r="B364" s="2" t="inlineStr">
        <is>
          <t>已掃描</t>
        </is>
      </c>
      <c r="C364" s="2" t="inlineStr"/>
      <c r="D364" s="2" t="n"/>
      <c r="E364" s="20" t="n"/>
      <c r="F364" s="20" t="n"/>
      <c r="G364" s="2" t="n"/>
      <c r="H364" s="2" t="n"/>
    </row>
    <row r="365">
      <c r="A365" s="2" t="inlineStr">
        <is>
          <t>SXT_USDT_PERP</t>
        </is>
      </c>
      <c r="B365" s="2" t="inlineStr">
        <is>
          <t>已掃描</t>
        </is>
      </c>
      <c r="C365" s="2" t="inlineStr"/>
      <c r="D365" s="2" t="n"/>
      <c r="E365" s="20" t="n"/>
      <c r="F365" s="20" t="n"/>
      <c r="G365" s="2" t="n"/>
      <c r="H365" s="2" t="n"/>
    </row>
    <row r="366">
      <c r="A366" s="2" t="inlineStr">
        <is>
          <t>SYRUP_USDT_PERP</t>
        </is>
      </c>
      <c r="B366" s="2" t="inlineStr">
        <is>
          <t>已掃描</t>
        </is>
      </c>
      <c r="C366" s="2" t="inlineStr"/>
      <c r="D366" s="2" t="n"/>
      <c r="E366" s="20" t="n"/>
      <c r="F366" s="20" t="n"/>
      <c r="G366" s="2" t="n"/>
      <c r="H366" s="2" t="n"/>
    </row>
    <row r="367">
      <c r="A367" s="2" t="inlineStr">
        <is>
          <t>S_USDT_PERP</t>
        </is>
      </c>
      <c r="B367" s="2" t="inlineStr">
        <is>
          <t>已掃描</t>
        </is>
      </c>
      <c r="C367" s="2" t="inlineStr"/>
      <c r="D367" s="2" t="n"/>
      <c r="E367" s="20" t="n"/>
      <c r="F367" s="20" t="n"/>
      <c r="G367" s="2" t="n"/>
      <c r="H367" s="2" t="n"/>
    </row>
    <row r="368">
      <c r="A368" s="2" t="inlineStr">
        <is>
          <t>TAC_USDT_PERP</t>
        </is>
      </c>
      <c r="B368" s="2" t="inlineStr">
        <is>
          <t>已掃描</t>
        </is>
      </c>
      <c r="C368" s="2" t="inlineStr"/>
      <c r="D368" s="2" t="n"/>
      <c r="E368" s="20" t="n"/>
      <c r="F368" s="20" t="n"/>
      <c r="G368" s="2" t="n"/>
      <c r="H368" s="2" t="n"/>
    </row>
    <row r="369">
      <c r="A369" s="2" t="inlineStr">
        <is>
          <t>TAKE_USDT_PERP</t>
        </is>
      </c>
      <c r="B369" s="2" t="inlineStr">
        <is>
          <t>已掃描</t>
        </is>
      </c>
      <c r="C369" s="2" t="inlineStr"/>
      <c r="D369" s="2" t="n"/>
      <c r="E369" s="20" t="n"/>
      <c r="F369" s="20" t="n"/>
      <c r="G369" s="2" t="n"/>
      <c r="H369" s="2" t="n"/>
    </row>
    <row r="370">
      <c r="A370" s="2" t="inlineStr">
        <is>
          <t>TAO_USDT_PERP</t>
        </is>
      </c>
      <c r="B370" s="2" t="inlineStr">
        <is>
          <t>已掃描</t>
        </is>
      </c>
      <c r="C370" s="2" t="inlineStr"/>
      <c r="D370" s="2" t="n"/>
      <c r="E370" s="20" t="n"/>
      <c r="F370" s="20" t="n"/>
      <c r="G370" s="2" t="n"/>
      <c r="H370" s="2" t="n"/>
    </row>
    <row r="371">
      <c r="A371" s="2" t="inlineStr">
        <is>
          <t>TA_USDT_PERP</t>
        </is>
      </c>
      <c r="B371" s="2" t="inlineStr">
        <is>
          <t>已掃描</t>
        </is>
      </c>
      <c r="C371" s="2" t="inlineStr"/>
      <c r="D371" s="2" t="n"/>
      <c r="E371" s="20" t="n"/>
      <c r="F371" s="20" t="n"/>
      <c r="G371" s="2" t="n"/>
      <c r="H371" s="2" t="n"/>
    </row>
    <row r="372">
      <c r="A372" s="2" t="inlineStr">
        <is>
          <t>THETA_USDT_PERP</t>
        </is>
      </c>
      <c r="B372" s="2" t="inlineStr">
        <is>
          <t>已掃描</t>
        </is>
      </c>
      <c r="C372" s="2" t="inlineStr"/>
      <c r="D372" s="2" t="n"/>
      <c r="E372" s="20" t="n"/>
      <c r="F372" s="20" t="n"/>
      <c r="G372" s="2" t="n"/>
      <c r="H372" s="2" t="n"/>
    </row>
    <row r="373">
      <c r="A373" s="2" t="inlineStr">
        <is>
          <t>THE_USDT_PERP</t>
        </is>
      </c>
      <c r="B373" s="2" t="inlineStr">
        <is>
          <t>已掃描</t>
        </is>
      </c>
      <c r="C373" s="2" t="inlineStr"/>
      <c r="D373" s="2" t="n"/>
      <c r="E373" s="20" t="n"/>
      <c r="F373" s="20" t="n"/>
      <c r="G373" s="2" t="n"/>
      <c r="H373" s="2" t="n"/>
    </row>
    <row r="374">
      <c r="A374" s="2" t="inlineStr">
        <is>
          <t>TIA_USDT_PERP</t>
        </is>
      </c>
      <c r="B374" s="2" t="inlineStr">
        <is>
          <t>已掃描</t>
        </is>
      </c>
      <c r="C374" s="2" t="inlineStr"/>
      <c r="D374" s="2" t="n"/>
      <c r="E374" s="20" t="n"/>
      <c r="F374" s="20" t="n"/>
      <c r="G374" s="2" t="n"/>
      <c r="H374" s="2" t="n"/>
    </row>
    <row r="375">
      <c r="A375" s="2" t="inlineStr">
        <is>
          <t>TLM_USDT_PERP</t>
        </is>
      </c>
      <c r="B375" s="2" t="inlineStr">
        <is>
          <t>已掃描</t>
        </is>
      </c>
      <c r="C375" s="2" t="inlineStr"/>
      <c r="D375" s="2" t="n"/>
      <c r="E375" s="20" t="n"/>
      <c r="F375" s="20" t="n"/>
      <c r="G375" s="2" t="n"/>
      <c r="H375" s="2" t="n"/>
    </row>
    <row r="376">
      <c r="A376" s="2" t="inlineStr">
        <is>
          <t>TNSR_USDT_PERP</t>
        </is>
      </c>
      <c r="B376" s="2" t="inlineStr">
        <is>
          <t>已掃描</t>
        </is>
      </c>
      <c r="C376" s="2" t="inlineStr"/>
      <c r="D376" s="2" t="n"/>
      <c r="E376" s="20" t="n"/>
      <c r="F376" s="20" t="n"/>
      <c r="G376" s="2" t="n"/>
      <c r="H376" s="2" t="n"/>
    </row>
    <row r="377">
      <c r="A377" s="2" t="inlineStr">
        <is>
          <t>TOSHI_USDT_PERP</t>
        </is>
      </c>
      <c r="B377" s="2" t="inlineStr">
        <is>
          <t>已掃描</t>
        </is>
      </c>
      <c r="C377" s="2" t="inlineStr"/>
      <c r="D377" s="2" t="n"/>
      <c r="E377" s="20" t="n"/>
      <c r="F377" s="20" t="n"/>
      <c r="G377" s="2" t="n"/>
      <c r="H377" s="2" t="n"/>
    </row>
    <row r="378">
      <c r="A378" s="2" t="inlineStr">
        <is>
          <t>TOWNS_USDT_PERP</t>
        </is>
      </c>
      <c r="B378" s="2" t="inlineStr">
        <is>
          <t>已掃描</t>
        </is>
      </c>
      <c r="C378" s="2" t="inlineStr"/>
      <c r="D378" s="2" t="n"/>
      <c r="E378" s="20" t="n"/>
      <c r="F378" s="20" t="n"/>
      <c r="G378" s="2" t="n"/>
      <c r="H378" s="2" t="n"/>
    </row>
    <row r="379">
      <c r="A379" s="2" t="inlineStr">
        <is>
          <t>TRADOOR_USDT_PERP</t>
        </is>
      </c>
      <c r="B379" s="2" t="inlineStr">
        <is>
          <t>已掃描</t>
        </is>
      </c>
      <c r="C379" s="2" t="inlineStr"/>
      <c r="D379" s="2" t="n"/>
      <c r="E379" s="20" t="n"/>
      <c r="F379" s="20" t="n"/>
      <c r="G379" s="2" t="n"/>
      <c r="H379" s="2" t="n"/>
    </row>
    <row r="380">
      <c r="A380" s="2" t="inlineStr">
        <is>
          <t>TRB_USDT_PERP</t>
        </is>
      </c>
      <c r="B380" s="2" t="inlineStr">
        <is>
          <t>已掃描</t>
        </is>
      </c>
      <c r="C380" s="2" t="inlineStr"/>
      <c r="D380" s="2" t="n"/>
      <c r="E380" s="20" t="n"/>
      <c r="F380" s="20" t="n"/>
      <c r="G380" s="2" t="n"/>
      <c r="H380" s="2" t="n"/>
    </row>
    <row r="381">
      <c r="A381" s="2" t="inlineStr">
        <is>
          <t>TREE_USDT_PERP</t>
        </is>
      </c>
      <c r="B381" s="2" t="inlineStr">
        <is>
          <t>已掃描</t>
        </is>
      </c>
      <c r="C381" s="2" t="inlineStr"/>
      <c r="D381" s="2" t="n"/>
      <c r="E381" s="20" t="n"/>
      <c r="F381" s="20" t="n"/>
      <c r="G381" s="2" t="n"/>
      <c r="H381" s="2" t="n"/>
    </row>
    <row r="382">
      <c r="A382" s="2" t="inlineStr">
        <is>
          <t>TRIA_USDT_PERP</t>
        </is>
      </c>
      <c r="B382" s="2" t="inlineStr">
        <is>
          <t>已掃描</t>
        </is>
      </c>
      <c r="C382" s="2" t="inlineStr"/>
      <c r="D382" s="2" t="n"/>
      <c r="E382" s="20" t="n"/>
      <c r="F382" s="20" t="n"/>
      <c r="G382" s="2" t="n"/>
      <c r="H382" s="2" t="n"/>
    </row>
    <row r="383">
      <c r="A383" s="2" t="inlineStr">
        <is>
          <t>TRUMP_USDT_PERP</t>
        </is>
      </c>
      <c r="B383" s="2" t="inlineStr">
        <is>
          <t>已掃描</t>
        </is>
      </c>
      <c r="C383" s="2" t="inlineStr"/>
      <c r="D383" s="2" t="n"/>
      <c r="E383" s="20" t="n"/>
      <c r="F383" s="20" t="n"/>
      <c r="G383" s="2" t="n"/>
      <c r="H383" s="2" t="n"/>
    </row>
    <row r="384">
      <c r="A384" s="2" t="inlineStr">
        <is>
          <t>TRUST_USDT_PERP</t>
        </is>
      </c>
      <c r="B384" s="2" t="inlineStr">
        <is>
          <t>已掃描</t>
        </is>
      </c>
      <c r="C384" s="2" t="inlineStr"/>
      <c r="D384" s="2" t="n"/>
      <c r="E384" s="20" t="n"/>
      <c r="F384" s="20" t="n"/>
      <c r="G384" s="2" t="n"/>
      <c r="H384" s="2" t="n"/>
    </row>
    <row r="385">
      <c r="A385" s="2" t="inlineStr">
        <is>
          <t>TRUTH_USDT_PERP</t>
        </is>
      </c>
      <c r="B385" s="2" t="inlineStr">
        <is>
          <t>已掃描</t>
        </is>
      </c>
      <c r="C385" s="2" t="inlineStr"/>
      <c r="D385" s="2" t="n"/>
      <c r="E385" s="20" t="n"/>
      <c r="F385" s="20" t="n"/>
      <c r="G385" s="2" t="n"/>
      <c r="H385" s="2" t="n"/>
    </row>
    <row r="386">
      <c r="A386" s="2" t="inlineStr">
        <is>
          <t>TRX_USDT_PERP</t>
        </is>
      </c>
      <c r="B386" s="2" t="inlineStr">
        <is>
          <t>已掃描</t>
        </is>
      </c>
      <c r="C386" s="2" t="inlineStr"/>
      <c r="D386" s="2" t="n"/>
      <c r="E386" s="20" t="n"/>
      <c r="F386" s="20" t="n"/>
      <c r="G386" s="2" t="n"/>
      <c r="H386" s="2" t="n"/>
    </row>
    <row r="387">
      <c r="A387" s="2" t="inlineStr">
        <is>
          <t>TST_USDT_PERP</t>
        </is>
      </c>
      <c r="B387" s="2" t="inlineStr">
        <is>
          <t>已掃描</t>
        </is>
      </c>
      <c r="C387" s="2" t="inlineStr"/>
      <c r="D387" s="2" t="n"/>
      <c r="E387" s="20" t="n"/>
      <c r="F387" s="20" t="n"/>
      <c r="G387" s="2" t="n"/>
      <c r="H387" s="2" t="n"/>
    </row>
    <row r="388">
      <c r="A388" s="2" t="inlineStr">
        <is>
          <t>TURBO_USDT_PERP</t>
        </is>
      </c>
      <c r="B388" s="2" t="inlineStr">
        <is>
          <t>已掃描</t>
        </is>
      </c>
      <c r="C388" s="2" t="inlineStr"/>
      <c r="D388" s="2" t="n"/>
      <c r="E388" s="20" t="n"/>
      <c r="F388" s="20" t="n"/>
      <c r="G388" s="2" t="n"/>
      <c r="H388" s="2" t="n"/>
    </row>
    <row r="389">
      <c r="A389" s="2" t="inlineStr">
        <is>
          <t>TURTLE_USDT_PERP</t>
        </is>
      </c>
      <c r="B389" s="2" t="inlineStr">
        <is>
          <t>已掃描</t>
        </is>
      </c>
      <c r="C389" s="2" t="inlineStr"/>
      <c r="D389" s="2" t="n"/>
      <c r="E389" s="20" t="n"/>
      <c r="F389" s="20" t="n"/>
      <c r="G389" s="2" t="n"/>
      <c r="H389" s="2" t="n"/>
    </row>
    <row r="390">
      <c r="A390" s="2" t="inlineStr">
        <is>
          <t>TUT_USDT_PERP</t>
        </is>
      </c>
      <c r="B390" s="2" t="inlineStr">
        <is>
          <t>已掃描</t>
        </is>
      </c>
      <c r="C390" s="2" t="inlineStr"/>
      <c r="D390" s="2" t="n"/>
      <c r="E390" s="20" t="n"/>
      <c r="F390" s="20" t="n"/>
      <c r="G390" s="2" t="n"/>
      <c r="H390" s="2" t="n"/>
    </row>
    <row r="391">
      <c r="A391" s="2" t="inlineStr">
        <is>
          <t>TWT_USDT_PERP</t>
        </is>
      </c>
      <c r="B391" s="2" t="inlineStr">
        <is>
          <t>已掃描</t>
        </is>
      </c>
      <c r="C391" s="2" t="inlineStr"/>
      <c r="D391" s="2" t="n"/>
      <c r="E391" s="20" t="n"/>
      <c r="F391" s="20" t="n"/>
      <c r="G391" s="2" t="n"/>
      <c r="H391" s="2" t="n"/>
    </row>
    <row r="392">
      <c r="A392" s="2" t="inlineStr">
        <is>
          <t>UAI_USDT_PERP</t>
        </is>
      </c>
      <c r="B392" s="2" t="inlineStr">
        <is>
          <t>已掃描</t>
        </is>
      </c>
      <c r="C392" s="2" t="inlineStr"/>
      <c r="D392" s="2" t="n"/>
      <c r="E392" s="20" t="n"/>
      <c r="F392" s="20" t="n"/>
      <c r="G392" s="2" t="n"/>
      <c r="H392" s="2" t="n"/>
    </row>
    <row r="393">
      <c r="A393" s="2" t="inlineStr">
        <is>
          <t>UB_USDT_PERP</t>
        </is>
      </c>
      <c r="B393" s="2" t="inlineStr">
        <is>
          <t>已掃描</t>
        </is>
      </c>
      <c r="C393" s="2" t="inlineStr"/>
      <c r="D393" s="2" t="n"/>
      <c r="E393" s="20" t="n"/>
      <c r="F393" s="20" t="n"/>
      <c r="G393" s="2" t="n"/>
      <c r="H393" s="2" t="n"/>
    </row>
    <row r="394">
      <c r="A394" s="2" t="inlineStr">
        <is>
          <t>UNI_USDT_PERP</t>
        </is>
      </c>
      <c r="B394" s="2" t="inlineStr">
        <is>
          <t>已掃描</t>
        </is>
      </c>
      <c r="C394" s="2" t="inlineStr"/>
      <c r="D394" s="2" t="n"/>
      <c r="E394" s="20" t="n"/>
      <c r="F394" s="20" t="n"/>
      <c r="G394" s="2" t="n"/>
      <c r="H394" s="2" t="n"/>
    </row>
    <row r="395">
      <c r="A395" s="2" t="inlineStr">
        <is>
          <t>UP_USDT_PERP</t>
        </is>
      </c>
      <c r="B395" s="2" t="inlineStr">
        <is>
          <t>已掃描</t>
        </is>
      </c>
      <c r="C395" s="2" t="inlineStr"/>
      <c r="D395" s="2" t="n"/>
      <c r="E395" s="20" t="n"/>
      <c r="F395" s="20" t="n"/>
      <c r="G395" s="2" t="n"/>
      <c r="H395" s="2" t="n"/>
    </row>
    <row r="396">
      <c r="A396" s="2" t="inlineStr">
        <is>
          <t>USELESS_USDT_PERP</t>
        </is>
      </c>
      <c r="B396" s="2" t="inlineStr">
        <is>
          <t>已掃描</t>
        </is>
      </c>
      <c r="C396" s="2" t="inlineStr"/>
      <c r="D396" s="2" t="n"/>
      <c r="E396" s="20" t="n"/>
      <c r="F396" s="20" t="n"/>
      <c r="G396" s="2" t="n"/>
      <c r="H396" s="2" t="n"/>
    </row>
    <row r="397">
      <c r="A397" s="2" t="inlineStr">
        <is>
          <t>USTC_USDT_PERP</t>
        </is>
      </c>
      <c r="B397" s="2" t="inlineStr">
        <is>
          <t>已掃描</t>
        </is>
      </c>
      <c r="C397" s="2" t="inlineStr"/>
      <c r="D397" s="2" t="n"/>
      <c r="E397" s="20" t="n"/>
      <c r="F397" s="20" t="n"/>
      <c r="G397" s="2" t="n"/>
      <c r="H397" s="2" t="n"/>
    </row>
    <row r="398">
      <c r="A398" s="2" t="inlineStr">
        <is>
          <t>USUAL_USDT_PERP</t>
        </is>
      </c>
      <c r="B398" s="2" t="inlineStr">
        <is>
          <t>已掃描</t>
        </is>
      </c>
      <c r="C398" s="2" t="inlineStr"/>
      <c r="D398" s="2" t="n"/>
      <c r="E398" s="20" t="n"/>
      <c r="F398" s="20" t="n"/>
      <c r="G398" s="2" t="n"/>
      <c r="H398" s="2" t="n"/>
    </row>
    <row r="399">
      <c r="A399" s="2" t="inlineStr">
        <is>
          <t>US_USDT_PERP</t>
        </is>
      </c>
      <c r="B399" s="2" t="inlineStr">
        <is>
          <t>已掃描</t>
        </is>
      </c>
      <c r="C399" s="2" t="inlineStr"/>
      <c r="D399" s="2" t="n"/>
      <c r="E399" s="20" t="n"/>
      <c r="F399" s="20" t="n"/>
      <c r="G399" s="2" t="n"/>
      <c r="H399" s="2" t="n"/>
    </row>
    <row r="400">
      <c r="A400" s="2" t="inlineStr">
        <is>
          <t>VELODROME_USDT_PERP</t>
        </is>
      </c>
      <c r="B400" s="2" t="inlineStr">
        <is>
          <t>已掃描</t>
        </is>
      </c>
      <c r="C400" s="2" t="inlineStr"/>
      <c r="D400" s="2" t="n"/>
      <c r="E400" s="20" t="n"/>
      <c r="F400" s="20" t="n"/>
      <c r="G400" s="2" t="n"/>
      <c r="H400" s="2" t="n"/>
    </row>
    <row r="401">
      <c r="A401" s="2" t="inlineStr">
        <is>
          <t>VET_USDT_PERP</t>
        </is>
      </c>
      <c r="B401" s="2" t="inlineStr">
        <is>
          <t>已掃描</t>
        </is>
      </c>
      <c r="C401" s="2" t="inlineStr"/>
      <c r="D401" s="2" t="n"/>
      <c r="E401" s="20" t="n"/>
      <c r="F401" s="20" t="n"/>
      <c r="G401" s="2" t="n"/>
      <c r="H401" s="2" t="n"/>
    </row>
    <row r="402">
      <c r="A402" s="2" t="inlineStr">
        <is>
          <t>VIRTUAL_USDT_PERP</t>
        </is>
      </c>
      <c r="B402" s="2" t="inlineStr">
        <is>
          <t>已掃描</t>
        </is>
      </c>
      <c r="C402" s="2" t="inlineStr"/>
      <c r="D402" s="2" t="n"/>
      <c r="E402" s="20" t="n"/>
      <c r="F402" s="20" t="n"/>
      <c r="G402" s="2" t="n"/>
      <c r="H402" s="2" t="n"/>
    </row>
    <row r="403">
      <c r="A403" s="2" t="inlineStr">
        <is>
          <t>VVV_USDT_PERP</t>
        </is>
      </c>
      <c r="B403" s="2" t="inlineStr">
        <is>
          <t>已掃描</t>
        </is>
      </c>
      <c r="C403" s="2" t="inlineStr"/>
      <c r="D403" s="2" t="n"/>
      <c r="E403" s="20" t="n"/>
      <c r="F403" s="20" t="n"/>
      <c r="G403" s="2" t="n"/>
      <c r="H403" s="2" t="n"/>
    </row>
    <row r="404">
      <c r="A404" s="2" t="inlineStr">
        <is>
          <t>WAL_USDT_PERP</t>
        </is>
      </c>
      <c r="B404" s="2" t="inlineStr">
        <is>
          <t>已掃描</t>
        </is>
      </c>
      <c r="C404" s="2" t="inlineStr"/>
      <c r="D404" s="2" t="n"/>
      <c r="E404" s="20" t="n"/>
      <c r="F404" s="20" t="n"/>
      <c r="G404" s="2" t="n"/>
      <c r="H404" s="2" t="n"/>
    </row>
    <row r="405">
      <c r="A405" s="2" t="inlineStr">
        <is>
          <t>WCT_USDT_PERP</t>
        </is>
      </c>
      <c r="B405" s="2" t="inlineStr">
        <is>
          <t>已掃描</t>
        </is>
      </c>
      <c r="C405" s="2" t="inlineStr"/>
      <c r="D405" s="2" t="n"/>
      <c r="E405" s="20" t="n"/>
      <c r="F405" s="20" t="n"/>
      <c r="G405" s="2" t="n"/>
      <c r="H405" s="2" t="n"/>
    </row>
    <row r="406">
      <c r="A406" s="2" t="inlineStr">
        <is>
          <t>WIF_USDT_PERP</t>
        </is>
      </c>
      <c r="B406" s="2" t="inlineStr">
        <is>
          <t>已掃描</t>
        </is>
      </c>
      <c r="C406" s="2" t="inlineStr"/>
      <c r="D406" s="2" t="n"/>
      <c r="E406" s="20" t="n"/>
      <c r="F406" s="20" t="n"/>
      <c r="G406" s="2" t="n"/>
      <c r="H406" s="2" t="n"/>
    </row>
    <row r="407">
      <c r="A407" s="2" t="inlineStr">
        <is>
          <t>WLD_USDT_PERP</t>
        </is>
      </c>
      <c r="B407" s="2" t="inlineStr">
        <is>
          <t>已掃描</t>
        </is>
      </c>
      <c r="C407" s="2" t="inlineStr"/>
      <c r="D407" s="2" t="n"/>
      <c r="E407" s="20" t="n"/>
      <c r="F407" s="20" t="n"/>
      <c r="G407" s="2" t="n"/>
      <c r="H407" s="2" t="n"/>
    </row>
    <row r="408">
      <c r="A408" s="2" t="inlineStr">
        <is>
          <t>WLFI_USDT_PERP</t>
        </is>
      </c>
      <c r="B408" s="2" t="inlineStr">
        <is>
          <t>已掃描</t>
        </is>
      </c>
      <c r="C408" s="2" t="inlineStr"/>
      <c r="D408" s="2" t="n"/>
      <c r="E408" s="20" t="n"/>
      <c r="F408" s="20" t="n"/>
      <c r="G408" s="2" t="n"/>
      <c r="H408" s="2" t="n"/>
    </row>
    <row r="409">
      <c r="A409" s="2" t="inlineStr">
        <is>
          <t>WTI_USDT_PERP</t>
        </is>
      </c>
      <c r="B409" s="2" t="inlineStr">
        <is>
          <t>已掃描</t>
        </is>
      </c>
      <c r="C409" s="2" t="inlineStr"/>
      <c r="D409" s="2" t="n"/>
      <c r="E409" s="20" t="n"/>
      <c r="F409" s="20" t="n"/>
      <c r="G409" s="2" t="n"/>
      <c r="H409" s="2" t="n"/>
    </row>
    <row r="410">
      <c r="A410" s="2" t="inlineStr">
        <is>
          <t>W_USDT_PERP</t>
        </is>
      </c>
      <c r="B410" s="2" t="inlineStr">
        <is>
          <t>已掃描</t>
        </is>
      </c>
      <c r="C410" s="2" t="inlineStr"/>
      <c r="D410" s="2" t="n"/>
      <c r="E410" s="20" t="n"/>
      <c r="F410" s="20" t="n"/>
      <c r="G410" s="2" t="n"/>
      <c r="H410" s="2" t="n"/>
    </row>
    <row r="411">
      <c r="A411" s="2" t="inlineStr">
        <is>
          <t>XAI_USDT_PERP</t>
        </is>
      </c>
      <c r="B411" s="2" t="inlineStr">
        <is>
          <t>已掃描</t>
        </is>
      </c>
      <c r="C411" s="2" t="inlineStr"/>
      <c r="D411" s="2" t="n"/>
      <c r="E411" s="20" t="n"/>
      <c r="F411" s="20" t="n"/>
      <c r="G411" s="2" t="n"/>
      <c r="H411" s="2" t="n"/>
    </row>
    <row r="412">
      <c r="A412" s="2" t="inlineStr">
        <is>
          <t>XAN_USDT_PERP</t>
        </is>
      </c>
      <c r="B412" s="2" t="inlineStr">
        <is>
          <t>已掃描</t>
        </is>
      </c>
      <c r="C412" s="2" t="inlineStr"/>
      <c r="D412" s="2" t="n"/>
      <c r="E412" s="20" t="n"/>
      <c r="F412" s="20" t="n"/>
      <c r="G412" s="2" t="n"/>
      <c r="H412" s="2" t="n"/>
    </row>
    <row r="413">
      <c r="A413" s="2" t="inlineStr">
        <is>
          <t>XEC_USDT_PERP</t>
        </is>
      </c>
      <c r="B413" s="2" t="inlineStr">
        <is>
          <t>已掃描</t>
        </is>
      </c>
      <c r="C413" s="2" t="inlineStr"/>
      <c r="D413" s="2" t="n"/>
      <c r="E413" s="20" t="n"/>
      <c r="F413" s="20" t="n"/>
      <c r="G413" s="2" t="n"/>
      <c r="H413" s="2" t="n"/>
    </row>
    <row r="414">
      <c r="A414" s="2" t="inlineStr">
        <is>
          <t>XLM_USDT_PERP</t>
        </is>
      </c>
      <c r="B414" s="2" t="inlineStr">
        <is>
          <t>已掃描</t>
        </is>
      </c>
      <c r="C414" s="2" t="inlineStr"/>
      <c r="D414" s="2" t="n"/>
      <c r="E414" s="20" t="n"/>
      <c r="F414" s="20" t="n"/>
      <c r="G414" s="2" t="n"/>
      <c r="H414" s="2" t="n"/>
    </row>
    <row r="415">
      <c r="A415" s="2" t="inlineStr">
        <is>
          <t>XMR_USDT_PERP</t>
        </is>
      </c>
      <c r="B415" s="2" t="inlineStr">
        <is>
          <t>已掃描</t>
        </is>
      </c>
      <c r="C415" s="2" t="inlineStr"/>
      <c r="D415" s="2" t="n"/>
      <c r="E415" s="20" t="n"/>
      <c r="F415" s="20" t="n"/>
      <c r="G415" s="2" t="n"/>
      <c r="H415" s="2" t="n"/>
    </row>
    <row r="416">
      <c r="A416" s="2" t="inlineStr">
        <is>
          <t>XNY_USDT_PERP</t>
        </is>
      </c>
      <c r="B416" s="2" t="inlineStr">
        <is>
          <t>已掃描</t>
        </is>
      </c>
      <c r="C416" s="2" t="inlineStr"/>
      <c r="D416" s="2" t="n"/>
      <c r="E416" s="20" t="n"/>
      <c r="F416" s="20" t="n"/>
      <c r="G416" s="2" t="n"/>
      <c r="H416" s="2" t="n"/>
    </row>
    <row r="417">
      <c r="A417" s="2" t="inlineStr">
        <is>
          <t>XPIN_USDT_PERP</t>
        </is>
      </c>
      <c r="B417" s="2" t="inlineStr">
        <is>
          <t>已掃描</t>
        </is>
      </c>
      <c r="C417" s="2" t="inlineStr"/>
      <c r="D417" s="2" t="n"/>
      <c r="E417" s="20" t="n"/>
      <c r="F417" s="20" t="n"/>
      <c r="G417" s="2" t="n"/>
      <c r="H417" s="2" t="n"/>
    </row>
    <row r="418">
      <c r="A418" s="2" t="inlineStr">
        <is>
          <t>XPL_USDT_PERP</t>
        </is>
      </c>
      <c r="B418" s="2" t="inlineStr">
        <is>
          <t>已掃描</t>
        </is>
      </c>
      <c r="C418" s="2" t="inlineStr"/>
      <c r="D418" s="2" t="n"/>
      <c r="E418" s="20" t="n"/>
      <c r="F418" s="20" t="n"/>
      <c r="G418" s="2" t="n"/>
      <c r="H418" s="2" t="n"/>
    </row>
    <row r="419">
      <c r="A419" s="2" t="inlineStr">
        <is>
          <t>XRP_USDT_PERP</t>
        </is>
      </c>
      <c r="B419" s="2" t="inlineStr">
        <is>
          <t>已掃描</t>
        </is>
      </c>
      <c r="C419" s="2" t="inlineStr"/>
      <c r="D419" s="2" t="n"/>
      <c r="E419" s="20" t="n"/>
      <c r="F419" s="20" t="n"/>
      <c r="G419" s="2" t="n"/>
      <c r="H419" s="2" t="n"/>
    </row>
    <row r="420">
      <c r="A420" s="2" t="inlineStr">
        <is>
          <t>XTZ_USDT_PERP</t>
        </is>
      </c>
      <c r="B420" s="2" t="inlineStr">
        <is>
          <t>已掃描</t>
        </is>
      </c>
      <c r="C420" s="2" t="inlineStr"/>
      <c r="D420" s="2" t="n"/>
      <c r="E420" s="20" t="n"/>
      <c r="F420" s="20" t="n"/>
      <c r="G420" s="2" t="n"/>
      <c r="H420" s="2" t="n"/>
    </row>
    <row r="421">
      <c r="A421" s="2" t="inlineStr">
        <is>
          <t>XVG_USDT_PERP</t>
        </is>
      </c>
      <c r="B421" s="2" t="inlineStr">
        <is>
          <t>已掃描</t>
        </is>
      </c>
      <c r="C421" s="2" t="inlineStr"/>
      <c r="D421" s="2" t="n"/>
      <c r="E421" s="20" t="n"/>
      <c r="F421" s="20" t="n"/>
      <c r="G421" s="2" t="n"/>
      <c r="H421" s="2" t="n"/>
    </row>
    <row r="422">
      <c r="A422" s="2" t="inlineStr">
        <is>
          <t>XYZX_USDT_PERP</t>
        </is>
      </c>
      <c r="B422" s="2" t="inlineStr">
        <is>
          <t>已掃描</t>
        </is>
      </c>
      <c r="C422" s="2" t="inlineStr"/>
      <c r="D422" s="2" t="n"/>
      <c r="E422" s="20" t="n"/>
      <c r="F422" s="20" t="n"/>
      <c r="G422" s="2" t="n"/>
      <c r="H422" s="2" t="n"/>
    </row>
    <row r="423">
      <c r="A423" s="2" t="inlineStr">
        <is>
          <t>YB_USDT_PERP</t>
        </is>
      </c>
      <c r="B423" s="2" t="inlineStr">
        <is>
          <t>已掃描</t>
        </is>
      </c>
      <c r="C423" s="2" t="inlineStr"/>
      <c r="D423" s="2" t="n"/>
      <c r="E423" s="20" t="n"/>
      <c r="F423" s="20" t="n"/>
      <c r="G423" s="2" t="n"/>
      <c r="H423" s="2" t="n"/>
    </row>
    <row r="424">
      <c r="A424" s="2" t="inlineStr">
        <is>
          <t>YFI_USDT_PERP</t>
        </is>
      </c>
      <c r="B424" s="2" t="inlineStr">
        <is>
          <t>已掃描</t>
        </is>
      </c>
      <c r="C424" s="2" t="inlineStr"/>
      <c r="D424" s="2" t="n"/>
      <c r="E424" s="20" t="n"/>
      <c r="F424" s="20" t="n"/>
      <c r="G424" s="2" t="n"/>
      <c r="H424" s="2" t="n"/>
    </row>
    <row r="425">
      <c r="A425" s="2" t="inlineStr">
        <is>
          <t>YGG_USDT_PERP</t>
        </is>
      </c>
      <c r="B425" s="2" t="inlineStr">
        <is>
          <t>已掃描</t>
        </is>
      </c>
      <c r="C425" s="2" t="inlineStr"/>
      <c r="D425" s="2" t="n"/>
      <c r="E425" s="20" t="n"/>
      <c r="F425" s="20" t="n"/>
      <c r="G425" s="2" t="n"/>
      <c r="H425" s="2" t="n"/>
    </row>
    <row r="426">
      <c r="A426" s="2" t="inlineStr">
        <is>
          <t>ZAMA_USDT_PERP</t>
        </is>
      </c>
      <c r="B426" s="2" t="inlineStr">
        <is>
          <t>已掃描</t>
        </is>
      </c>
      <c r="C426" s="2" t="inlineStr"/>
      <c r="D426" s="2" t="n"/>
      <c r="E426" s="20" t="n"/>
      <c r="F426" s="20" t="n"/>
      <c r="G426" s="2" t="n"/>
      <c r="H426" s="2" t="n"/>
    </row>
    <row r="427">
      <c r="A427" s="2" t="inlineStr">
        <is>
          <t>ZBT_USDT_PERP</t>
        </is>
      </c>
      <c r="B427" s="2" t="inlineStr">
        <is>
          <t>已掃描</t>
        </is>
      </c>
      <c r="C427" s="2" t="inlineStr"/>
      <c r="D427" s="2" t="n"/>
      <c r="E427" s="20" t="n"/>
      <c r="F427" s="20" t="n"/>
      <c r="G427" s="2" t="n"/>
      <c r="H427" s="2" t="n"/>
    </row>
    <row r="428">
      <c r="A428" s="2" t="inlineStr">
        <is>
          <t>ZEC_USDT_PERP</t>
        </is>
      </c>
      <c r="B428" s="2" t="inlineStr">
        <is>
          <t>已掃描</t>
        </is>
      </c>
      <c r="C428" s="2" t="inlineStr"/>
      <c r="D428" s="2" t="n"/>
      <c r="E428" s="20" t="n"/>
      <c r="F428" s="20" t="n"/>
      <c r="G428" s="2" t="n"/>
      <c r="H428" s="2" t="n"/>
    </row>
    <row r="429">
      <c r="A429" s="2" t="inlineStr">
        <is>
          <t>ZEN_USDT_PERP</t>
        </is>
      </c>
      <c r="B429" s="2" t="inlineStr">
        <is>
          <t>已掃描</t>
        </is>
      </c>
      <c r="C429" s="2" t="inlineStr"/>
      <c r="D429" s="2" t="n"/>
      <c r="E429" s="20" t="n"/>
      <c r="F429" s="20" t="n"/>
      <c r="G429" s="2" t="n"/>
      <c r="H429" s="2" t="n"/>
    </row>
    <row r="430">
      <c r="A430" s="2" t="inlineStr">
        <is>
          <t>ZEREBRO_USDT_PERP</t>
        </is>
      </c>
      <c r="B430" s="2" t="inlineStr">
        <is>
          <t>已掃描</t>
        </is>
      </c>
      <c r="C430" s="2" t="inlineStr"/>
      <c r="D430" s="2" t="n"/>
      <c r="E430" s="20" t="n"/>
      <c r="F430" s="20" t="n"/>
      <c r="G430" s="2" t="n"/>
      <c r="H430" s="2" t="n"/>
    </row>
    <row r="431">
      <c r="A431" s="2" t="inlineStr">
        <is>
          <t>ZEST_USDT_PERP</t>
        </is>
      </c>
      <c r="B431" s="2" t="inlineStr">
        <is>
          <t>已掃描</t>
        </is>
      </c>
      <c r="C431" s="2" t="inlineStr"/>
      <c r="D431" s="2" t="n"/>
      <c r="E431" s="20" t="n"/>
      <c r="F431" s="20" t="n"/>
      <c r="G431" s="2" t="n"/>
      <c r="H431" s="2" t="n"/>
    </row>
    <row r="432">
      <c r="A432" s="2" t="inlineStr">
        <is>
          <t>ZETA_USDT_PERP</t>
        </is>
      </c>
      <c r="B432" s="2" t="inlineStr">
        <is>
          <t>已掃描</t>
        </is>
      </c>
      <c r="C432" s="2" t="inlineStr"/>
      <c r="D432" s="2" t="n"/>
      <c r="E432" s="20" t="n"/>
      <c r="F432" s="20" t="n"/>
      <c r="G432" s="2" t="n"/>
      <c r="H432" s="2" t="n"/>
    </row>
    <row r="433">
      <c r="A433" s="2" t="inlineStr">
        <is>
          <t>ZIL_USDT_PERP</t>
        </is>
      </c>
      <c r="B433" s="2" t="inlineStr">
        <is>
          <t>已掃描</t>
        </is>
      </c>
      <c r="C433" s="2" t="inlineStr"/>
      <c r="D433" s="2" t="n"/>
      <c r="E433" s="20" t="n"/>
      <c r="F433" s="20" t="n"/>
      <c r="G433" s="2" t="n"/>
      <c r="H433" s="2" t="n"/>
    </row>
    <row r="434">
      <c r="A434" s="2" t="inlineStr">
        <is>
          <t>ZKC_USDT_PERP</t>
        </is>
      </c>
      <c r="B434" s="2" t="inlineStr">
        <is>
          <t>已掃描</t>
        </is>
      </c>
      <c r="C434" s="2" t="inlineStr"/>
      <c r="D434" s="2" t="n"/>
      <c r="E434" s="20" t="n"/>
      <c r="F434" s="20" t="n"/>
      <c r="G434" s="2" t="n"/>
      <c r="H434" s="2" t="n"/>
    </row>
    <row r="435">
      <c r="A435" s="2" t="inlineStr">
        <is>
          <t>ZKP_USDT_PERP</t>
        </is>
      </c>
      <c r="B435" s="2" t="inlineStr">
        <is>
          <t>已掃描</t>
        </is>
      </c>
      <c r="C435" s="2" t="inlineStr"/>
      <c r="D435" s="2" t="n"/>
      <c r="E435" s="20" t="n"/>
      <c r="F435" s="20" t="n"/>
      <c r="G435" s="2" t="n"/>
      <c r="H435" s="2" t="n"/>
    </row>
    <row r="436">
      <c r="A436" s="2" t="inlineStr">
        <is>
          <t>ZKSYNC_USDT_PERP</t>
        </is>
      </c>
      <c r="B436" s="2" t="inlineStr">
        <is>
          <t>已掃描</t>
        </is>
      </c>
      <c r="C436" s="2" t="inlineStr"/>
      <c r="D436" s="2" t="n"/>
      <c r="E436" s="20" t="n"/>
      <c r="F436" s="20" t="n"/>
      <c r="G436" s="2" t="n"/>
      <c r="H436" s="2" t="n"/>
    </row>
    <row r="437">
      <c r="A437" s="2" t="inlineStr">
        <is>
          <t>ZORA_USDT_PERP</t>
        </is>
      </c>
      <c r="B437" s="2" t="inlineStr">
        <is>
          <t>已掃描</t>
        </is>
      </c>
      <c r="C437" s="2" t="inlineStr"/>
      <c r="D437" s="2" t="n"/>
      <c r="E437" s="20" t="n"/>
      <c r="F437" s="20" t="n"/>
      <c r="G437" s="2" t="n"/>
      <c r="H437" s="2" t="n"/>
    </row>
    <row r="438">
      <c r="A438" s="2" t="inlineStr">
        <is>
          <t>ZRO_USDT_PERP</t>
        </is>
      </c>
      <c r="B438" s="2" t="inlineStr">
        <is>
          <t>已掃描</t>
        </is>
      </c>
      <c r="C438" s="2" t="inlineStr"/>
      <c r="D438" s="2" t="n"/>
      <c r="E438" s="20" t="n"/>
      <c r="F438" s="20" t="n"/>
      <c r="G438" s="2" t="n"/>
      <c r="H438" s="2" t="n"/>
    </row>
    <row r="439">
      <c r="A439" s="2" t="inlineStr">
        <is>
          <t>ZRX_USDT_PERP</t>
        </is>
      </c>
      <c r="B439" s="2" t="inlineStr">
        <is>
          <t>已掃描</t>
        </is>
      </c>
      <c r="C439" s="2" t="inlineStr"/>
      <c r="D439" s="2" t="n"/>
      <c r="E439" s="20" t="n"/>
      <c r="F439" s="20" t="n"/>
      <c r="G439" s="2" t="n"/>
      <c r="H439" s="2" t="n"/>
    </row>
    <row r="440">
      <c r="A440" s="2" t="inlineStr">
        <is>
          <t>哈基米_USDT_PERP</t>
        </is>
      </c>
      <c r="B440" s="2" t="inlineStr">
        <is>
          <t>已掃描</t>
        </is>
      </c>
      <c r="C440" s="2" t="inlineStr"/>
      <c r="D440" s="2" t="n"/>
      <c r="E440" s="20" t="n"/>
      <c r="F440" s="20" t="n"/>
      <c r="G440" s="2" t="n"/>
      <c r="H440" s="2" t="n"/>
    </row>
    <row r="441">
      <c r="A441" s="2" t="inlineStr">
        <is>
          <t>币安人生_USDT_PERP</t>
        </is>
      </c>
      <c r="B441" s="2" t="inlineStr">
        <is>
          <t>已掃描</t>
        </is>
      </c>
      <c r="C441" s="2" t="inlineStr"/>
      <c r="D441" s="2" t="n"/>
      <c r="E441" s="20" t="n"/>
      <c r="F441" s="20" t="n"/>
      <c r="G441" s="2" t="n"/>
      <c r="H441" s="2" t="n"/>
    </row>
    <row r="442">
      <c r="A442" s="2" t="inlineStr">
        <is>
          <t>我踏马来了_USDT_PERP</t>
        </is>
      </c>
      <c r="B442" s="2" t="inlineStr">
        <is>
          <t>已掃描</t>
        </is>
      </c>
      <c r="C442" s="2" t="inlineStr"/>
      <c r="D442" s="2" t="n"/>
      <c r="E442" s="20" t="n"/>
      <c r="F442" s="20" t="n"/>
      <c r="G442" s="2" t="n"/>
      <c r="H442" s="2" t="n"/>
    </row>
    <row r="443">
      <c r="A443" s="2" t="inlineStr">
        <is>
          <t>牛来_USDT_PERP</t>
        </is>
      </c>
      <c r="B443" s="2" t="inlineStr">
        <is>
          <t>已掃描</t>
        </is>
      </c>
      <c r="C443" s="2" t="inlineStr"/>
      <c r="D443" s="2" t="n"/>
      <c r="E443" s="20" t="n"/>
      <c r="F443" s="20" t="n"/>
      <c r="G443" s="2" t="n"/>
      <c r="H443" s="2" t="n"/>
    </row>
  </sheetData>
  <autoFilter ref="A1:H4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2026-09-14T06:24:57Z</dcterms:created>
  <dcterms:modified xsi:type="dcterms:W3CDTF">2026-09-14T06:24:58Z</dcterms:modified>
</cp:coreProperties>
</file>