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'資金明細'!$A$1:$Z$75</definedName>
    <definedName name="_xlnm._FilterDatabase" localSheetId="6" hidden="1">'交易明細'!$A$1:$AC$38</definedName>
    <definedName name="_xlnm._FilterDatabase" localSheetId="7" hidden="1">'幣種統計'!$A$1:$L$17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08:27（Dry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COUNTIFS(交易明細!$B$2:$B$38,"&lt;&gt;")</f>
        <v/>
      </c>
      <c r="C5" s="2">
        <f>D5+E5+F5</f>
        <v/>
      </c>
      <c r="D5" s="2">
        <f>COUNTIFS(交易明細!$J$2:$J$38,"止盈")</f>
        <v/>
      </c>
      <c r="E5" s="2">
        <f>COUNTIFS(交易明細!$J$2:$J$38,"止損")</f>
        <v/>
      </c>
      <c r="F5" s="2">
        <f>COUNTIFS(交易明細!$J$2:$J$38,"時間出場")</f>
        <v/>
      </c>
      <c r="G5" s="2">
        <f>COUNTIFS(交易明細!$J$2:$J$38,"未平倉")</f>
        <v/>
      </c>
      <c r="H5" s="4">
        <f>IFERROR(D5/C5,0)</f>
        <v/>
      </c>
      <c r="I5" s="4">
        <f>IFERROR(AVERAGEIFS(交易明細!$AC$2:$AC$38,交易明細!$J$2:$J$38,"&lt;&gt;未平倉"),參數!$B$16)</f>
        <v/>
      </c>
      <c r="J5" s="4">
        <f>IFERROR(AVERAGEIFS(交易明細!$L$2:$L$38,交易明細!$J$2:$J$38,"&lt;&gt;未平倉"),0)</f>
        <v/>
      </c>
      <c r="K5" s="4">
        <f>SUMIFS(交易明細!$L$2:$L$38,交易明細!$J$2:$J$38,"&lt;&gt;未平倉")</f>
        <v/>
      </c>
      <c r="L5" s="5">
        <f>IFERROR(AVERAGEIFS(交易明細!$K$2:$K$38,交易明細!$J$2:$J$38,"&lt;&gt;未平倉"),0)</f>
        <v/>
      </c>
      <c r="M5" s="5">
        <f>IFERROR(AVERAGEIFS(交易明細!$K$2:$K$38,交易明細!$J$2:$J$38,"止盈"),0)</f>
        <v/>
      </c>
      <c r="N5" s="5">
        <f>IFERROR(AVERAGEIFS(交易明細!$K$2:$K$38,交易明細!$J$2:$J$38,"止損"),0)</f>
        <v/>
      </c>
      <c r="O5" s="4">
        <f>IFERROR(AVERAGEIFS(交易明細!$L$2:$L$38,交易明細!$J$2:$J$38,"時間出場"),0)</f>
        <v/>
      </c>
      <c r="P5" s="4">
        <f>IFERROR(COUNTIFS(交易明細!$J$2:$J$38,"&lt;&gt;未平倉",交易明細!$L$2:$L$38,"&gt;0")/C5,0)</f>
        <v/>
      </c>
    </row>
    <row r="6">
      <c r="A6" s="2" t="inlineStr">
        <is>
          <t>做多</t>
        </is>
      </c>
      <c r="B6" s="2">
        <f>COUNTIFS(交易明細!$C$2:$C$38,"做多",交易明細!$B$2:$B$38,"&lt;&gt;")</f>
        <v/>
      </c>
      <c r="C6" s="2">
        <f>D6+E6+F6</f>
        <v/>
      </c>
      <c r="D6" s="2">
        <f>COUNTIFS(交易明細!$C$2:$C$38,"做多",交易明細!$J$2:$J$38,"止盈")</f>
        <v/>
      </c>
      <c r="E6" s="2">
        <f>COUNTIFS(交易明細!$C$2:$C$38,"做多",交易明細!$J$2:$J$38,"止損")</f>
        <v/>
      </c>
      <c r="F6" s="2">
        <f>COUNTIFS(交易明細!$C$2:$C$38,"做多",交易明細!$J$2:$J$38,"時間出場")</f>
        <v/>
      </c>
      <c r="G6" s="2">
        <f>COUNTIFS(交易明細!$C$2:$C$38,"做多",交易明細!$J$2:$J$38,"未平倉")</f>
        <v/>
      </c>
      <c r="H6" s="4">
        <f>IFERROR(D6/C6,0)</f>
        <v/>
      </c>
      <c r="I6" s="4">
        <f>IFERROR(AVERAGEIFS(交易明細!$AC$2:$AC$38,交易明細!$C$2:$C$38,"做多",交易明細!$J$2:$J$38,"&lt;&gt;未平倉"),參數!$B$16)</f>
        <v/>
      </c>
      <c r="J6" s="4">
        <f>IFERROR(AVERAGEIFS(交易明細!$L$2:$L$38,交易明細!$C$2:$C$38,"做多",交易明細!$J$2:$J$38,"&lt;&gt;未平倉"),0)</f>
        <v/>
      </c>
      <c r="K6" s="4">
        <f>SUMIFS(交易明細!$L$2:$L$38,交易明細!$C$2:$C$38,"做多",交易明細!$J$2:$J$38,"&lt;&gt;未平倉")</f>
        <v/>
      </c>
      <c r="L6" s="5">
        <f>IFERROR(AVERAGEIFS(交易明細!$K$2:$K$38,交易明細!$C$2:$C$38,"做多",交易明細!$J$2:$J$38,"&lt;&gt;未平倉"),0)</f>
        <v/>
      </c>
      <c r="M6" s="5">
        <f>IFERROR(AVERAGEIFS(交易明細!$K$2:$K$38,交易明細!$C$2:$C$38,"做多",交易明細!$J$2:$J$38,"止盈"),0)</f>
        <v/>
      </c>
      <c r="N6" s="5">
        <f>IFERROR(AVERAGEIFS(交易明細!$K$2:$K$38,交易明細!$C$2:$C$38,"做多",交易明細!$J$2:$J$38,"止損"),0)</f>
        <v/>
      </c>
      <c r="O6" s="4">
        <f>IFERROR(AVERAGEIFS(交易明細!$L$2:$L$38,交易明細!$C$2:$C$38,"做多",交易明細!$J$2:$J$38,"時間出場"),0)</f>
        <v/>
      </c>
      <c r="P6" s="4">
        <f>IFERROR(COUNTIFS(交易明細!$C$2:$C$38,"做多",交易明細!$J$2:$J$38,"&lt;&gt;未平倉",交易明細!$L$2:$L$38,"&gt;0")/C6,0)</f>
        <v/>
      </c>
    </row>
    <row r="7">
      <c r="A7" s="2" t="inlineStr">
        <is>
          <t>做空</t>
        </is>
      </c>
      <c r="B7" s="2">
        <f>COUNTIFS(交易明細!$C$2:$C$38,"做空",交易明細!$B$2:$B$38,"&lt;&gt;")</f>
        <v/>
      </c>
      <c r="C7" s="2">
        <f>D7+E7+F7</f>
        <v/>
      </c>
      <c r="D7" s="2">
        <f>COUNTIFS(交易明細!$C$2:$C$38,"做空",交易明細!$J$2:$J$38,"止盈")</f>
        <v/>
      </c>
      <c r="E7" s="2">
        <f>COUNTIFS(交易明細!$C$2:$C$38,"做空",交易明細!$J$2:$J$38,"止損")</f>
        <v/>
      </c>
      <c r="F7" s="2">
        <f>COUNTIFS(交易明細!$C$2:$C$38,"做空",交易明細!$J$2:$J$38,"時間出場")</f>
        <v/>
      </c>
      <c r="G7" s="2">
        <f>COUNTIFS(交易明細!$C$2:$C$38,"做空",交易明細!$J$2:$J$38,"未平倉")</f>
        <v/>
      </c>
      <c r="H7" s="4">
        <f>IFERROR(D7/C7,0)</f>
        <v/>
      </c>
      <c r="I7" s="4">
        <f>IFERROR(AVERAGEIFS(交易明細!$AC$2:$AC$38,交易明細!$C$2:$C$38,"做空",交易明細!$J$2:$J$38,"&lt;&gt;未平倉"),參數!$B$16)</f>
        <v/>
      </c>
      <c r="J7" s="4">
        <f>IFERROR(AVERAGEIFS(交易明細!$L$2:$L$38,交易明細!$C$2:$C$38,"做空",交易明細!$J$2:$J$38,"&lt;&gt;未平倉"),0)</f>
        <v/>
      </c>
      <c r="K7" s="4">
        <f>SUMIFS(交易明細!$L$2:$L$38,交易明細!$C$2:$C$38,"做空",交易明細!$J$2:$J$38,"&lt;&gt;未平倉")</f>
        <v/>
      </c>
      <c r="L7" s="5">
        <f>IFERROR(AVERAGEIFS(交易明細!$K$2:$K$38,交易明細!$C$2:$C$38,"做空",交易明細!$J$2:$J$38,"&lt;&gt;未平倉"),0)</f>
        <v/>
      </c>
      <c r="M7" s="5">
        <f>IFERROR(AVERAGEIFS(交易明細!$K$2:$K$38,交易明細!$C$2:$C$38,"做空",交易明細!$J$2:$J$38,"止盈"),0)</f>
        <v/>
      </c>
      <c r="N7" s="5">
        <f>IFERROR(AVERAGEIFS(交易明細!$K$2:$K$38,交易明細!$C$2:$C$38,"做空",交易明細!$J$2:$J$38,"止損"),0)</f>
        <v/>
      </c>
      <c r="O7" s="4">
        <f>IFERROR(AVERAGEIFS(交易明細!$L$2:$L$38,交易明細!$C$2:$C$38,"做空",交易明細!$J$2:$J$38,"時間出場"),0)</f>
        <v/>
      </c>
      <c r="P7" s="4">
        <f>IFERROR(COUNTIFS(交易明細!$C$2:$C$38,"做空",交易明細!$J$2:$J$38,"&lt;&gt;未平倉",交易明細!$L$2:$L$38,"&gt;0")/C7,0)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46283.35273409722</v>
      </c>
      <c r="B2" s="7" t="n">
        <v>46283.34722222222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132.3</v>
      </c>
    </row>
    <row r="3">
      <c r="A3" s="7" t="n">
        <v>46283.26014016203</v>
      </c>
      <c r="B3" s="7" t="n">
        <v>46283.25347222222</v>
      </c>
      <c r="C3" s="2" t="n">
        <v>440</v>
      </c>
      <c r="D3" s="2" t="n">
        <v>1</v>
      </c>
      <c r="E3" s="2" t="n">
        <v>0</v>
      </c>
      <c r="F3" s="2" t="n">
        <v>0</v>
      </c>
      <c r="G3" s="2" t="n">
        <v>129.5</v>
      </c>
    </row>
    <row r="4">
      <c r="A4" s="7" t="n">
        <v>46283.09637409722</v>
      </c>
      <c r="B4" s="7" t="n">
        <v>46283.09027777778</v>
      </c>
      <c r="C4" s="2" t="n">
        <v>440</v>
      </c>
      <c r="D4" s="2" t="n">
        <v>0</v>
      </c>
      <c r="E4" s="2" t="n">
        <v>1</v>
      </c>
      <c r="F4" s="2" t="n">
        <v>0</v>
      </c>
      <c r="G4" s="2" t="n">
        <v>131.2</v>
      </c>
    </row>
    <row r="5">
      <c r="A5" s="7" t="n">
        <v>46282.89824439815</v>
      </c>
      <c r="B5" s="7" t="n">
        <v>46282.89236111111</v>
      </c>
      <c r="C5" s="2" t="n">
        <v>440</v>
      </c>
      <c r="D5" s="2" t="n">
        <v>1</v>
      </c>
      <c r="E5" s="2" t="n">
        <v>0</v>
      </c>
      <c r="F5" s="2" t="n">
        <v>0</v>
      </c>
      <c r="G5" s="2" t="n">
        <v>137</v>
      </c>
    </row>
    <row r="6">
      <c r="A6" s="7" t="n">
        <v>46282.65711792824</v>
      </c>
      <c r="B6" s="7" t="n">
        <v>46282.65277777778</v>
      </c>
      <c r="C6" s="2" t="n">
        <v>440</v>
      </c>
      <c r="D6" s="2" t="n">
        <v>1</v>
      </c>
      <c r="E6" s="2" t="n">
        <v>1</v>
      </c>
      <c r="F6" s="2" t="n">
        <v>0</v>
      </c>
      <c r="G6" s="2" t="n">
        <v>126.6</v>
      </c>
    </row>
    <row r="7">
      <c r="A7" s="7" t="n">
        <v>46282.40350203704</v>
      </c>
      <c r="B7" s="7" t="n">
        <v>46282.39930555555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323.7</v>
      </c>
    </row>
    <row r="8">
      <c r="A8" s="7" t="n">
        <v>46282.39577758102</v>
      </c>
      <c r="B8" s="7" t="n">
        <v>46282.33333333334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50.5</v>
      </c>
    </row>
    <row r="9">
      <c r="A9" s="7" t="n">
        <v>46282.29222982639</v>
      </c>
      <c r="B9" s="7" t="n">
        <v>46282.25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66.2</v>
      </c>
    </row>
    <row r="10">
      <c r="A10" s="7" t="n">
        <v>46282.17576607639</v>
      </c>
      <c r="B10" s="7" t="n">
        <v>46282.125</v>
      </c>
      <c r="C10" s="2" t="n">
        <v>440</v>
      </c>
      <c r="D10" s="2" t="n">
        <v>0</v>
      </c>
      <c r="E10" s="2" t="n">
        <v>1</v>
      </c>
      <c r="F10" s="2" t="n">
        <v>0</v>
      </c>
      <c r="G10" s="2" t="n">
        <v>67</v>
      </c>
    </row>
    <row r="11">
      <c r="A11" s="7" t="n">
        <v>46282.04552453704</v>
      </c>
      <c r="B11" s="7" t="n">
        <v>46282</v>
      </c>
      <c r="C11" s="2" t="n">
        <v>440</v>
      </c>
      <c r="D11" s="2" t="n">
        <v>1</v>
      </c>
      <c r="E11" s="2" t="n">
        <v>0</v>
      </c>
      <c r="F11" s="2" t="n">
        <v>0</v>
      </c>
      <c r="G11" s="2" t="n">
        <v>52.9</v>
      </c>
    </row>
    <row r="12">
      <c r="A12" s="7" t="n">
        <v>46281.82298537037</v>
      </c>
      <c r="B12" s="7" t="n">
        <v>46281.75</v>
      </c>
      <c r="C12" s="2" t="n">
        <v>440</v>
      </c>
      <c r="D12" s="2" t="n">
        <v>0</v>
      </c>
      <c r="E12" s="2" t="n">
        <v>1</v>
      </c>
      <c r="F12" s="2" t="n">
        <v>0</v>
      </c>
      <c r="G12" s="2" t="n">
        <v>65.7</v>
      </c>
    </row>
    <row r="13">
      <c r="A13" s="7" t="n">
        <v>46281.58829054398</v>
      </c>
      <c r="B13" s="7" t="n">
        <v>46281.54166666666</v>
      </c>
      <c r="C13" s="2" t="n">
        <v>440</v>
      </c>
      <c r="D13" s="2" t="n">
        <v>2</v>
      </c>
      <c r="E13" s="2" t="n">
        <v>1</v>
      </c>
      <c r="F13" s="2" t="n">
        <v>0</v>
      </c>
      <c r="G13" s="2" t="n">
        <v>54.5</v>
      </c>
    </row>
    <row r="14">
      <c r="A14" s="7" t="n">
        <v>46281.35205523148</v>
      </c>
      <c r="B14" s="7" t="n">
        <v>46281.29166666666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66.90000000000001</v>
      </c>
    </row>
    <row r="15">
      <c r="A15" s="7" t="n">
        <v>46281.22963460648</v>
      </c>
      <c r="B15" s="7" t="n">
        <v>46281.16666666666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61.9</v>
      </c>
    </row>
    <row r="16">
      <c r="A16" s="7" t="n">
        <v>46281.094529375</v>
      </c>
      <c r="B16" s="7" t="n">
        <v>46281.04166666666</v>
      </c>
      <c r="C16" s="2" t="n">
        <v>442</v>
      </c>
      <c r="D16" s="2" t="n">
        <v>2</v>
      </c>
      <c r="E16" s="2" t="n">
        <v>2</v>
      </c>
      <c r="F16" s="2" t="n">
        <v>0</v>
      </c>
      <c r="G16" s="2" t="n">
        <v>46.5</v>
      </c>
    </row>
    <row r="17">
      <c r="A17" s="7" t="n">
        <v>46280.9017994676</v>
      </c>
      <c r="B17" s="7" t="n">
        <v>46280.83333333334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56.7</v>
      </c>
    </row>
    <row r="18">
      <c r="A18" s="7" t="n">
        <v>46280.66002480324</v>
      </c>
      <c r="B18" s="7" t="n">
        <v>46280.58333333334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67.40000000000001</v>
      </c>
    </row>
    <row r="19">
      <c r="A19" s="7" t="n">
        <v>46280.4778358449</v>
      </c>
      <c r="B19" s="7" t="n">
        <v>46280.41666666666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61.2</v>
      </c>
    </row>
    <row r="20">
      <c r="A20" s="7" t="n">
        <v>46280.39795681713</v>
      </c>
      <c r="B20" s="7" t="n">
        <v>46280.33333333334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66.90000000000001</v>
      </c>
    </row>
    <row r="21">
      <c r="A21" s="7" t="n">
        <v>46280.29983445602</v>
      </c>
      <c r="B21" s="7" t="n">
        <v>46280.25</v>
      </c>
      <c r="C21" s="2" t="n">
        <v>442</v>
      </c>
      <c r="D21" s="2" t="n">
        <v>0</v>
      </c>
      <c r="E21" s="2" t="n">
        <v>1</v>
      </c>
      <c r="F21" s="2" t="n">
        <v>0</v>
      </c>
      <c r="G21" s="2" t="n">
        <v>51.6</v>
      </c>
    </row>
    <row r="22">
      <c r="A22" s="7" t="n">
        <v>46280.14350143519</v>
      </c>
      <c r="B22" s="7" t="n">
        <v>46280.08333333334</v>
      </c>
      <c r="C22" s="2" t="n">
        <v>442</v>
      </c>
      <c r="D22" s="2" t="n">
        <v>1</v>
      </c>
      <c r="E22" s="2" t="n">
        <v>0</v>
      </c>
      <c r="F22" s="2" t="n">
        <v>0</v>
      </c>
      <c r="G22" s="2" t="n">
        <v>57.3</v>
      </c>
    </row>
    <row r="23">
      <c r="A23" s="7" t="n">
        <v>46279.92418226852</v>
      </c>
      <c r="B23" s="7" t="n">
        <v>46279.875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48.1</v>
      </c>
    </row>
    <row r="24">
      <c r="A24" s="7" t="n">
        <v>46279.59996445602</v>
      </c>
      <c r="B24" s="7" t="n">
        <v>46279.54166666666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61</v>
      </c>
    </row>
    <row r="25">
      <c r="A25" s="7" t="n">
        <v>46279.38316741898</v>
      </c>
      <c r="B25" s="7" t="n">
        <v>46279.33333333334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59.9</v>
      </c>
    </row>
    <row r="26">
      <c r="A26" s="7" t="n">
        <v>46279.26932584491</v>
      </c>
      <c r="B26" s="7" t="n">
        <v>46279.20833333334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61.1</v>
      </c>
    </row>
    <row r="27">
      <c r="A27" s="7" t="n">
        <v>46279.14665413195</v>
      </c>
      <c r="B27" s="7" t="n">
        <v>46279.08333333334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55.1</v>
      </c>
    </row>
    <row r="28">
      <c r="A28" s="7" t="n">
        <v>46279.01733591435</v>
      </c>
      <c r="B28" s="7" t="n">
        <v>46278.95833333334</v>
      </c>
      <c r="C28" s="2" t="n">
        <v>442</v>
      </c>
      <c r="D28" s="2" t="n">
        <v>1</v>
      </c>
      <c r="E28" s="2" t="n">
        <v>1</v>
      </c>
      <c r="F28" s="2" t="n">
        <v>0</v>
      </c>
      <c r="G28" s="2" t="n">
        <v>59.7</v>
      </c>
    </row>
    <row r="29">
      <c r="A29" s="7" t="n">
        <v>46278.83725055555</v>
      </c>
      <c r="B29" s="7" t="n">
        <v>46278.79166666666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65.40000000000001</v>
      </c>
    </row>
    <row r="30">
      <c r="A30" s="7" t="n">
        <v>46278.71111972223</v>
      </c>
      <c r="B30" s="7" t="n">
        <v>46278.66666666666</v>
      </c>
      <c r="C30" s="2" t="n">
        <v>442</v>
      </c>
      <c r="D30" s="2" t="n">
        <v>0</v>
      </c>
      <c r="E30" s="2" t="n">
        <v>1</v>
      </c>
      <c r="F30" s="2" t="n">
        <v>0</v>
      </c>
      <c r="G30" s="2" t="n">
        <v>63.6</v>
      </c>
    </row>
    <row r="31">
      <c r="A31" s="7" t="n">
        <v>46278.68053923611</v>
      </c>
      <c r="B31" s="7" t="n">
        <v>46278.625</v>
      </c>
      <c r="C31" s="2" t="n">
        <v>442</v>
      </c>
      <c r="D31" s="2" t="n">
        <v>2</v>
      </c>
      <c r="E31" s="2" t="n">
        <v>1</v>
      </c>
      <c r="F31" s="2" t="n">
        <v>0</v>
      </c>
      <c r="G31" s="2" t="n">
        <v>63.6</v>
      </c>
    </row>
    <row r="32">
      <c r="A32" s="7" t="n">
        <v>46278.07354997685</v>
      </c>
      <c r="B32" s="7" t="n">
        <v>46278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50.2</v>
      </c>
    </row>
    <row r="33">
      <c r="A33" s="7" t="n">
        <v>46277.94390239583</v>
      </c>
      <c r="B33" s="7" t="n">
        <v>46277.875</v>
      </c>
      <c r="C33" s="2" t="n">
        <v>442</v>
      </c>
      <c r="D33" s="2" t="n">
        <v>25</v>
      </c>
      <c r="E33" s="2" t="n">
        <v>25</v>
      </c>
      <c r="F33" s="2" t="n">
        <v>0</v>
      </c>
      <c r="G3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+0.98%）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83</v>
      </c>
      <c r="C6" s="10" t="n">
        <v>0.6144578313253012</v>
      </c>
      <c r="D6" s="4" t="n">
        <v>-0.001843373493975911</v>
      </c>
      <c r="E6" s="2" t="n">
        <v>40</v>
      </c>
      <c r="F6" s="10" t="n">
        <v>0.65</v>
      </c>
      <c r="G6" s="4" t="n">
        <v>0.0009999999999999953</v>
      </c>
      <c r="H6" s="2" t="n">
        <v>33</v>
      </c>
      <c r="I6" s="10" t="n">
        <v>0.5454545454545454</v>
      </c>
      <c r="J6" s="4" t="n">
        <v>-0.00736363636363637</v>
      </c>
      <c r="K6" s="2" t="n">
        <v>35</v>
      </c>
      <c r="L6" s="10" t="n">
        <v>0.7142857142857143</v>
      </c>
      <c r="M6" s="4" t="n">
        <v>0.006142857142857145</v>
      </c>
      <c r="N6" s="2" t="n">
        <v>50</v>
      </c>
      <c r="O6" s="10" t="n">
        <v>0.62</v>
      </c>
      <c r="P6" s="4" t="n">
        <v>-0.001400000000000006</v>
      </c>
      <c r="Q6" s="2" t="n">
        <v>25</v>
      </c>
      <c r="R6" s="10" t="n">
        <v>0.76</v>
      </c>
      <c r="S6" s="4" t="n">
        <v>0.009800000000000005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資金明細!R75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MAX(資金明細!$R$2:$R$75)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MIN(資金明細!$R$2:$R$75)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MIN(資金明細!$X$2:$X$75)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COUNTIFS(資金明細!$C$2:$C$75,"進場",資金明細!$N$2:$N$75,"已下單")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COUNTIFS(資金明細!$C$2:$C$75,"進場",資金明細!$N$2:$N$75,"資金不足略過")</f>
        <v/>
      </c>
    </row>
    <row r="11">
      <c r="D11" s="2" t="inlineStr">
        <is>
          <t>止盈筆數</t>
        </is>
      </c>
      <c r="E11" s="18">
        <f>COUNTIFS(資金明細!$C$2:$C$75,"出場",資金明細!$N$2:$N$75,"已下單",資金明細!$K$2:$K$75,"止盈")</f>
        <v/>
      </c>
    </row>
    <row r="12">
      <c r="A12" s="2" t="inlineStr">
        <is>
          <t>每筆止損約虧本金</t>
        </is>
      </c>
      <c r="B12" s="4">
        <f>B5*B7*IFERROR(AVERAGE(交易明細!$AB$2:$AB$38),參數!B6)</f>
        <v/>
      </c>
      <c r="D12" s="2" t="inlineStr">
        <is>
          <t>止損筆數</t>
        </is>
      </c>
      <c r="E12" s="18">
        <f>COUNTIFS(資金明細!$C$2:$C$75,"出場",資金明細!$N$2:$N$75,"已下單",資金明細!$K$2:$K$75,"止損")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IFERROR(E11/COUNTIFS(資金明細!$C$2:$C$75,"出場",資金明細!$N$2:$N$75,"已下單"),0)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MAX(資金明細!$U$2:$U$75)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MAX(資金明細!$S$2:$S$75)</f>
        <v/>
      </c>
    </row>
    <row r="16">
      <c r="D16" s="2" t="inlineStr">
        <is>
          <t>期末下單金額</t>
        </is>
      </c>
      <c r="E16" s="19">
        <f>B5*資金明細!V75</f>
        <v/>
      </c>
    </row>
    <row r="17">
      <c r="D17" s="2" t="inlineStr">
        <is>
          <t>未平倉浮動損益（未計入）</t>
        </is>
      </c>
      <c r="E17" s="13">
        <f>IF(資金明細!N75="已下單",資金明細!O75*交易明細!L38,0)</f>
        <v/>
      </c>
    </row>
    <row r="18">
      <c r="D18" s="2" t="inlineStr">
        <is>
          <t>最大總曝險倍數</t>
        </is>
      </c>
      <c r="E18" s="19">
        <f>MAX(資金明細!$Y$2:$Y$75)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IFERROR(INDEX(資金明細!$B$2:$B$75,MATCH(1,資金明細!$Z$2:$Z$75,0)),"未觸發")</f>
        <v/>
      </c>
    </row>
    <row r="21">
      <c r="D21" s="2" t="inlineStr">
        <is>
          <t>停止後略過筆數</t>
        </is>
      </c>
      <c r="E21" s="18">
        <f>COUNTIFS(資金明細!$C$2:$C$75,"進場",資金明細!$N$2:$N$75,"已停止")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46278.08333333334</v>
      </c>
      <c r="C53" s="2" t="inlineStr">
        <is>
          <t>進場</t>
        </is>
      </c>
      <c r="D53" s="2" t="n">
        <v>26</v>
      </c>
      <c r="E53" s="2" t="inlineStr">
        <is>
          <t>RIVER_USDT_PERP</t>
        </is>
      </c>
      <c r="F53" s="2" t="inlineStr">
        <is>
          <t>做多</t>
        </is>
      </c>
      <c r="G53" s="20" t="n">
        <v>1.412</v>
      </c>
      <c r="H53" s="20" t="n">
        <v>1.45436</v>
      </c>
      <c r="I53" s="20" t="n">
        <v>1.3414</v>
      </c>
      <c r="J53" s="20" t="n"/>
      <c r="K53" s="2" t="n"/>
      <c r="L53" s="5" t="n"/>
      <c r="M53" s="19">
        <f>資金模擬!$B$5*V52</f>
        <v/>
      </c>
      <c r="N53" s="2">
        <f>IF(Z52=1,"已停止",IF(T52&gt;=M53,"已下單","資金不足略過"))</f>
        <v/>
      </c>
      <c r="O53" s="19">
        <f>IF(N53="已下單",M53*資金模擬!$B$7,0)</f>
        <v/>
      </c>
      <c r="P53" s="4" t="n"/>
      <c r="Q53" s="13" t="n">
        <v>0</v>
      </c>
      <c r="R53" s="13">
        <f>R52+Q53</f>
        <v/>
      </c>
      <c r="S53" s="19">
        <f>S52+IF(N53="已下單",M53,0)</f>
        <v/>
      </c>
      <c r="T53" s="19">
        <f>R53-S53</f>
        <v/>
      </c>
      <c r="U53" s="2">
        <f>U52+IF(N53="已下單",1,0)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46278.125</v>
      </c>
      <c r="C54" s="2" t="inlineStr">
        <is>
          <t>出場</t>
        </is>
      </c>
      <c r="D54" s="2" t="n">
        <v>26</v>
      </c>
      <c r="E54" s="2" t="inlineStr">
        <is>
          <t>RIVER_USDT_PERP</t>
        </is>
      </c>
      <c r="F54" s="2" t="inlineStr">
        <is>
          <t>做多</t>
        </is>
      </c>
      <c r="G54" s="20" t="n">
        <v>1.412</v>
      </c>
      <c r="H54" s="20" t="n">
        <v>1.45436</v>
      </c>
      <c r="I54" s="20" t="n">
        <v>1.3414</v>
      </c>
      <c r="J54" s="20" t="n">
        <v>1.45436</v>
      </c>
      <c r="K54" s="2" t="inlineStr">
        <is>
          <t>止盈</t>
        </is>
      </c>
      <c r="L54" s="5">
        <f>交易明細!K27</f>
        <v/>
      </c>
      <c r="M54" s="19">
        <f>M53</f>
        <v/>
      </c>
      <c r="N54" s="2">
        <f>N53</f>
        <v/>
      </c>
      <c r="O54" s="19">
        <f>O53</f>
        <v/>
      </c>
      <c r="P54" s="4">
        <f>交易明細!L27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46278.5</v>
      </c>
      <c r="C55" s="2" t="inlineStr">
        <is>
          <t>進場</t>
        </is>
      </c>
      <c r="D55" s="2" t="n">
        <v>27</v>
      </c>
      <c r="E55" s="2" t="inlineStr">
        <is>
          <t>RIVER_USDT_PERP</t>
        </is>
      </c>
      <c r="F55" s="2" t="inlineStr">
        <is>
          <t>做空</t>
        </is>
      </c>
      <c r="G55" s="20" t="n">
        <v>1.261</v>
      </c>
      <c r="H55" s="20" t="n">
        <v>1.22317</v>
      </c>
      <c r="I55" s="20" t="n">
        <v>1.32405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46278.70833333334</v>
      </c>
      <c r="C56" s="2" t="inlineStr">
        <is>
          <t>出場</t>
        </is>
      </c>
      <c r="D56" s="2" t="n">
        <v>27</v>
      </c>
      <c r="E56" s="2" t="inlineStr">
        <is>
          <t>RIVER_USDT_PERP</t>
        </is>
      </c>
      <c r="F56" s="2" t="inlineStr">
        <is>
          <t>做空</t>
        </is>
      </c>
      <c r="G56" s="20" t="n">
        <v>1.261</v>
      </c>
      <c r="H56" s="20" t="n">
        <v>1.22317</v>
      </c>
      <c r="I56" s="20" t="n">
        <v>1.32405</v>
      </c>
      <c r="J56" s="20" t="n">
        <v>1.22317</v>
      </c>
      <c r="K56" s="2" t="inlineStr">
        <is>
          <t>止盈</t>
        </is>
      </c>
      <c r="L56" s="5">
        <f>交易明細!K28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交易明細!L28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46278.95833333334</v>
      </c>
      <c r="C57" s="2" t="inlineStr">
        <is>
          <t>進場</t>
        </is>
      </c>
      <c r="D57" s="2" t="n">
        <v>28</v>
      </c>
      <c r="E57" s="2" t="inlineStr">
        <is>
          <t>LAB_USDT_PERP</t>
        </is>
      </c>
      <c r="F57" s="2" t="inlineStr">
        <is>
          <t>做多</t>
        </is>
      </c>
      <c r="G57" s="20" t="n">
        <v>0.06897</v>
      </c>
      <c r="H57" s="20" t="n">
        <v>0.07103910000000001</v>
      </c>
      <c r="I57" s="20" t="n">
        <v>0.0655215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46279</v>
      </c>
      <c r="C58" s="2" t="inlineStr">
        <is>
          <t>出場</t>
        </is>
      </c>
      <c r="D58" s="2" t="n">
        <v>28</v>
      </c>
      <c r="E58" s="2" t="inlineStr">
        <is>
          <t>LAB_USDT_PERP</t>
        </is>
      </c>
      <c r="F58" s="2" t="inlineStr">
        <is>
          <t>做多</t>
        </is>
      </c>
      <c r="G58" s="20" t="n">
        <v>0.06897</v>
      </c>
      <c r="H58" s="20" t="n">
        <v>0.07103910000000001</v>
      </c>
      <c r="I58" s="20" t="n">
        <v>0.0655215</v>
      </c>
      <c r="J58" s="20" t="n">
        <v>0.07103910000000001</v>
      </c>
      <c r="K58" s="2" t="inlineStr">
        <is>
          <t>止盈</t>
        </is>
      </c>
      <c r="L58" s="5">
        <f>交易明細!K29</f>
        <v/>
      </c>
      <c r="M58" s="19">
        <f>M57</f>
        <v/>
      </c>
      <c r="N58" s="2">
        <f>N57</f>
        <v/>
      </c>
      <c r="O58" s="19">
        <f>O57</f>
        <v/>
      </c>
      <c r="P58" s="4">
        <f>交易明細!L29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46280.08333333334</v>
      </c>
      <c r="C59" s="2" t="inlineStr">
        <is>
          <t>進場</t>
        </is>
      </c>
      <c r="D59" s="2" t="n">
        <v>29</v>
      </c>
      <c r="E59" s="2" t="inlineStr">
        <is>
          <t>USELESS_USDT_PERP</t>
        </is>
      </c>
      <c r="F59" s="2" t="inlineStr">
        <is>
          <t>做多</t>
        </is>
      </c>
      <c r="G59" s="20" t="n">
        <v>0.21527</v>
      </c>
      <c r="H59" s="20" t="n">
        <v>0.2217281</v>
      </c>
      <c r="I59" s="20" t="n">
        <v>0.2045065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46280.25</v>
      </c>
      <c r="C60" s="2" t="inlineStr">
        <is>
          <t>出場</t>
        </is>
      </c>
      <c r="D60" s="2" t="n">
        <v>29</v>
      </c>
      <c r="E60" s="2" t="inlineStr">
        <is>
          <t>USELESS_USDT_PERP</t>
        </is>
      </c>
      <c r="F60" s="2" t="inlineStr">
        <is>
          <t>做多</t>
        </is>
      </c>
      <c r="G60" s="20" t="n">
        <v>0.21527</v>
      </c>
      <c r="H60" s="20" t="n">
        <v>0.2217281</v>
      </c>
      <c r="I60" s="20" t="n">
        <v>0.2045065</v>
      </c>
      <c r="J60" s="20" t="n">
        <v>0.2045065</v>
      </c>
      <c r="K60" s="2" t="inlineStr">
        <is>
          <t>止損</t>
        </is>
      </c>
      <c r="L60" s="5">
        <f>交易明細!K30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交易明細!L30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46280.91666666666</v>
      </c>
      <c r="C61" s="2" t="inlineStr">
        <is>
          <t>進場</t>
        </is>
      </c>
      <c r="D61" s="2" t="n">
        <v>30</v>
      </c>
      <c r="E61" s="2" t="inlineStr">
        <is>
          <t>牛来_USDT_PERP</t>
        </is>
      </c>
      <c r="F61" s="2" t="inlineStr">
        <is>
          <t>做空</t>
        </is>
      </c>
      <c r="G61" s="20" t="n">
        <v>0.11513</v>
      </c>
      <c r="H61" s="20" t="n">
        <v>0.1116761</v>
      </c>
      <c r="I61" s="20" t="n">
        <v>0.1208865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46280.95833333334</v>
      </c>
      <c r="C62" s="2" t="inlineStr">
        <is>
          <t>出場</t>
        </is>
      </c>
      <c r="D62" s="2" t="n">
        <v>30</v>
      </c>
      <c r="E62" s="2" t="inlineStr">
        <is>
          <t>牛来_USDT_PERP</t>
        </is>
      </c>
      <c r="F62" s="2" t="inlineStr">
        <is>
          <t>做空</t>
        </is>
      </c>
      <c r="G62" s="20" t="n">
        <v>0.11513</v>
      </c>
      <c r="H62" s="20" t="n">
        <v>0.1116761</v>
      </c>
      <c r="I62" s="20" t="n">
        <v>0.1208865</v>
      </c>
      <c r="J62" s="20" t="n">
        <v>0.1116761</v>
      </c>
      <c r="K62" s="2" t="inlineStr">
        <is>
          <t>止盈</t>
        </is>
      </c>
      <c r="L62" s="5">
        <f>交易明細!K31</f>
        <v/>
      </c>
      <c r="M62" s="19">
        <f>M61</f>
        <v/>
      </c>
      <c r="N62" s="2">
        <f>N61</f>
        <v/>
      </c>
      <c r="O62" s="19">
        <f>O61</f>
        <v/>
      </c>
      <c r="P62" s="4">
        <f>交易明細!L31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46280.95833333334</v>
      </c>
      <c r="C63" s="2" t="inlineStr">
        <is>
          <t>進場</t>
        </is>
      </c>
      <c r="D63" s="2" t="n">
        <v>31</v>
      </c>
      <c r="E63" s="2" t="inlineStr">
        <is>
          <t>PONS_USDT_PERP</t>
        </is>
      </c>
      <c r="F63" s="2" t="inlineStr">
        <is>
          <t>做空</t>
        </is>
      </c>
      <c r="G63" s="20" t="n">
        <v>0.6319</v>
      </c>
      <c r="H63" s="20" t="n">
        <v>0.612943</v>
      </c>
      <c r="I63" s="20" t="n">
        <v>0.6634950000000001</v>
      </c>
      <c r="J63" s="20" t="n"/>
      <c r="K63" s="2" t="n"/>
      <c r="L63" s="5" t="n"/>
      <c r="M63" s="19">
        <f>資金模擬!$B$5*V62</f>
        <v/>
      </c>
      <c r="N63" s="2">
        <f>IF(Z62=1,"已停止",IF(T62&gt;=M63,"已下單","資金不足略過"))</f>
        <v/>
      </c>
      <c r="O63" s="19">
        <f>IF(N63="已下單",M63*資金模擬!$B$7,0)</f>
        <v/>
      </c>
      <c r="P63" s="4" t="n"/>
      <c r="Q63" s="13" t="n">
        <v>0</v>
      </c>
      <c r="R63" s="13">
        <f>R62+Q63</f>
        <v/>
      </c>
      <c r="S63" s="19">
        <f>S62+IF(N63="已下單",M63,0)</f>
        <v/>
      </c>
      <c r="T63" s="19">
        <f>R63-S63</f>
        <v/>
      </c>
      <c r="U63" s="2">
        <f>U62+IF(N63="已下單",1,0)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46281.04166666666</v>
      </c>
      <c r="C64" s="2" t="inlineStr">
        <is>
          <t>出場</t>
        </is>
      </c>
      <c r="D64" s="2" t="n">
        <v>31</v>
      </c>
      <c r="E64" s="2" t="inlineStr">
        <is>
          <t>PONS_USDT_PERP</t>
        </is>
      </c>
      <c r="F64" s="2" t="inlineStr">
        <is>
          <t>做空</t>
        </is>
      </c>
      <c r="G64" s="20" t="n">
        <v>0.6319</v>
      </c>
      <c r="H64" s="20" t="n">
        <v>0.612943</v>
      </c>
      <c r="I64" s="20" t="n">
        <v>0.6634950000000001</v>
      </c>
      <c r="J64" s="20" t="n">
        <v>0.6634950000000001</v>
      </c>
      <c r="K64" s="2" t="inlineStr">
        <is>
          <t>止損</t>
        </is>
      </c>
      <c r="L64" s="5">
        <f>交易明細!K32</f>
        <v/>
      </c>
      <c r="M64" s="19">
        <f>M63</f>
        <v/>
      </c>
      <c r="N64" s="2">
        <f>N63</f>
        <v/>
      </c>
      <c r="O64" s="19">
        <f>O63</f>
        <v/>
      </c>
      <c r="P64" s="4">
        <f>交易明細!L32</f>
        <v/>
      </c>
      <c r="Q64" s="13">
        <f>IF(N64="已下單",O64*P64,0)</f>
        <v/>
      </c>
      <c r="R64" s="13">
        <f>R63+Q64</f>
        <v/>
      </c>
      <c r="S64" s="19">
        <f>S63-IF(N64="已下單",M64,0)</f>
        <v/>
      </c>
      <c r="T64" s="19">
        <f>R64-S64</f>
        <v/>
      </c>
      <c r="U64" s="2">
        <f>U63-IF(N64="已下單",1,0)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46281.41666666666</v>
      </c>
      <c r="C65" s="2" t="inlineStr">
        <is>
          <t>進場</t>
        </is>
      </c>
      <c r="D65" s="2" t="n">
        <v>32</v>
      </c>
      <c r="E65" s="2" t="inlineStr">
        <is>
          <t>PONS_USDT_PERP</t>
        </is>
      </c>
      <c r="F65" s="2" t="inlineStr">
        <is>
          <t>做空</t>
        </is>
      </c>
      <c r="G65" s="20" t="n">
        <v>0.6093</v>
      </c>
      <c r="H65" s="20" t="n">
        <v>0.5910209999999999</v>
      </c>
      <c r="I65" s="20" t="n">
        <v>0.639765</v>
      </c>
      <c r="J65" s="20" t="n"/>
      <c r="K65" s="2" t="n"/>
      <c r="L65" s="5" t="n"/>
      <c r="M65" s="19">
        <f>資金模擬!$B$5*V64</f>
        <v/>
      </c>
      <c r="N65" s="2">
        <f>IF(Z64=1,"已停止",IF(T64&gt;=M65,"已下單","資金不足略過"))</f>
        <v/>
      </c>
      <c r="O65" s="19">
        <f>IF(N65="已下單",M65*資金模擬!$B$7,0)</f>
        <v/>
      </c>
      <c r="P65" s="4" t="n"/>
      <c r="Q65" s="13" t="n">
        <v>0</v>
      </c>
      <c r="R65" s="13">
        <f>R64+Q65</f>
        <v/>
      </c>
      <c r="S65" s="19">
        <f>S64+IF(N65="已下單",M65,0)</f>
        <v/>
      </c>
      <c r="T65" s="19">
        <f>R65-S65</f>
        <v/>
      </c>
      <c r="U65" s="2">
        <f>U64+IF(N65="已下單",1,0)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46281.41666666666</v>
      </c>
      <c r="C66" s="2" t="inlineStr">
        <is>
          <t>進場</t>
        </is>
      </c>
      <c r="D66" s="2" t="n">
        <v>33</v>
      </c>
      <c r="E66" s="2" t="inlineStr">
        <is>
          <t>牛来_USDT_PERP</t>
        </is>
      </c>
      <c r="F66" s="2" t="inlineStr">
        <is>
          <t>做空</t>
        </is>
      </c>
      <c r="G66" s="20" t="n">
        <v>0.11407</v>
      </c>
      <c r="H66" s="20" t="n">
        <v>0.1106479</v>
      </c>
      <c r="I66" s="20" t="n">
        <v>0.1197735</v>
      </c>
      <c r="J66" s="20" t="n"/>
      <c r="K66" s="2" t="n"/>
      <c r="L66" s="5" t="n"/>
      <c r="M66" s="19">
        <f>資金模擬!$B$5*V65</f>
        <v/>
      </c>
      <c r="N66" s="2">
        <f>IF(Z65=1,"已停止",IF(T65&gt;=M66,"已下單","資金不足略過"))</f>
        <v/>
      </c>
      <c r="O66" s="19">
        <f>IF(N66="已下單",M66*資金模擬!$B$7,0)</f>
        <v/>
      </c>
      <c r="P66" s="4" t="n"/>
      <c r="Q66" s="13" t="n">
        <v>0</v>
      </c>
      <c r="R66" s="13">
        <f>R65+Q66</f>
        <v/>
      </c>
      <c r="S66" s="19">
        <f>S65+IF(N66="已下單",M66,0)</f>
        <v/>
      </c>
      <c r="T66" s="19">
        <f>R66-S66</f>
        <v/>
      </c>
      <c r="U66" s="2">
        <f>U65+IF(N66="已下單",1,0)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46281.5</v>
      </c>
      <c r="C67" s="2" t="inlineStr">
        <is>
          <t>出場</t>
        </is>
      </c>
      <c r="D67" s="2" t="n">
        <v>32</v>
      </c>
      <c r="E67" s="2" t="inlineStr">
        <is>
          <t>PONS_USDT_PERP</t>
        </is>
      </c>
      <c r="F67" s="2" t="inlineStr">
        <is>
          <t>做空</t>
        </is>
      </c>
      <c r="G67" s="20" t="n">
        <v>0.6093</v>
      </c>
      <c r="H67" s="20" t="n">
        <v>0.5910209999999999</v>
      </c>
      <c r="I67" s="20" t="n">
        <v>0.639765</v>
      </c>
      <c r="J67" s="20" t="n">
        <v>0.5910209999999999</v>
      </c>
      <c r="K67" s="2" t="inlineStr">
        <is>
          <t>止盈</t>
        </is>
      </c>
      <c r="L67" s="5">
        <f>交易明細!K33</f>
        <v/>
      </c>
      <c r="M67" s="19">
        <f>M65</f>
        <v/>
      </c>
      <c r="N67" s="2">
        <f>N65</f>
        <v/>
      </c>
      <c r="O67" s="19">
        <f>O65</f>
        <v/>
      </c>
      <c r="P67" s="4">
        <f>交易明細!L33</f>
        <v/>
      </c>
      <c r="Q67" s="13">
        <f>IF(N67="已下單",O67*P67,0)</f>
        <v/>
      </c>
      <c r="R67" s="13">
        <f>R66+Q67</f>
        <v/>
      </c>
      <c r="S67" s="19">
        <f>S66-IF(N67="已下單",M67,0)</f>
        <v/>
      </c>
      <c r="T67" s="19">
        <f>R67-S67</f>
        <v/>
      </c>
      <c r="U67" s="2">
        <f>U66-IF(N67="已下單",1,0)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46281.70833333334</v>
      </c>
      <c r="C68" s="2" t="inlineStr">
        <is>
          <t>出場</t>
        </is>
      </c>
      <c r="D68" s="2" t="n">
        <v>33</v>
      </c>
      <c r="E68" s="2" t="inlineStr">
        <is>
          <t>牛来_USDT_PERP</t>
        </is>
      </c>
      <c r="F68" s="2" t="inlineStr">
        <is>
          <t>做空</t>
        </is>
      </c>
      <c r="G68" s="20" t="n">
        <v>0.11407</v>
      </c>
      <c r="H68" s="20" t="n">
        <v>0.1106479</v>
      </c>
      <c r="I68" s="20" t="n">
        <v>0.1197735</v>
      </c>
      <c r="J68" s="20" t="n">
        <v>0.1106479</v>
      </c>
      <c r="K68" s="2" t="inlineStr">
        <is>
          <t>止盈</t>
        </is>
      </c>
      <c r="L68" s="5">
        <f>交易明細!K34</f>
        <v/>
      </c>
      <c r="M68" s="19">
        <f>M66</f>
        <v/>
      </c>
      <c r="N68" s="2">
        <f>N66</f>
        <v/>
      </c>
      <c r="O68" s="19">
        <f>O66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46282</v>
      </c>
      <c r="C69" s="2" t="inlineStr">
        <is>
          <t>進場</t>
        </is>
      </c>
      <c r="D69" s="2" t="n">
        <v>34</v>
      </c>
      <c r="E69" s="2" t="inlineStr">
        <is>
          <t>USELESS_USDT_PERP</t>
        </is>
      </c>
      <c r="F69" s="2" t="inlineStr">
        <is>
          <t>做空</t>
        </is>
      </c>
      <c r="G69" s="20" t="n">
        <v>0.225</v>
      </c>
      <c r="H69" s="20" t="n">
        <v>0.21825</v>
      </c>
      <c r="I69" s="20" t="n">
        <v>0.23625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46282.125</v>
      </c>
      <c r="C70" s="2" t="inlineStr">
        <is>
          <t>出場</t>
        </is>
      </c>
      <c r="D70" s="2" t="n">
        <v>34</v>
      </c>
      <c r="E70" s="2" t="inlineStr">
        <is>
          <t>USELESS_USDT_PERP</t>
        </is>
      </c>
      <c r="F70" s="2" t="inlineStr">
        <is>
          <t>做空</t>
        </is>
      </c>
      <c r="G70" s="20" t="n">
        <v>0.225</v>
      </c>
      <c r="H70" s="20" t="n">
        <v>0.21825</v>
      </c>
      <c r="I70" s="20" t="n">
        <v>0.23625</v>
      </c>
      <c r="J70" s="20" t="n">
        <v>0.23625</v>
      </c>
      <c r="K70" s="2" t="inlineStr">
        <is>
          <t>止損</t>
        </is>
      </c>
      <c r="L70" s="5">
        <f>交易明細!K35</f>
        <v/>
      </c>
      <c r="M70" s="19">
        <f>M69</f>
        <v/>
      </c>
      <c r="N70" s="2">
        <f>N69</f>
        <v/>
      </c>
      <c r="O70" s="19">
        <f>O69</f>
        <v/>
      </c>
      <c r="P70" s="4">
        <f>交易明細!L35</f>
        <v/>
      </c>
      <c r="Q70" s="13">
        <f>IF(N70="已下單",O70*P70,0)</f>
        <v/>
      </c>
      <c r="R70" s="13">
        <f>R69+Q70</f>
        <v/>
      </c>
      <c r="S70" s="19">
        <f>S69-IF(N70="已下單",M70,0)</f>
        <v/>
      </c>
      <c r="T70" s="19">
        <f>R70-S70</f>
        <v/>
      </c>
      <c r="U70" s="2">
        <f>U69-IF(N70="已下單",1,0)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46282.45833333334</v>
      </c>
      <c r="C71" s="2" t="inlineStr">
        <is>
          <t>進場</t>
        </is>
      </c>
      <c r="D71" s="2" t="n">
        <v>35</v>
      </c>
      <c r="E71" s="2" t="inlineStr">
        <is>
          <t>USELESS_USDT_PERP</t>
        </is>
      </c>
      <c r="F71" s="2" t="inlineStr">
        <is>
          <t>做多</t>
        </is>
      </c>
      <c r="G71" s="20" t="n">
        <v>0.24275</v>
      </c>
      <c r="H71" s="20" t="n">
        <v>0.2500325</v>
      </c>
      <c r="I71" s="20" t="n">
        <v>0.2306125</v>
      </c>
      <c r="J71" s="20" t="n"/>
      <c r="K71" s="2" t="n"/>
      <c r="L71" s="5" t="n"/>
      <c r="M71" s="19">
        <f>資金模擬!$B$5*V70</f>
        <v/>
      </c>
      <c r="N71" s="2">
        <f>IF(Z70=1,"已停止",IF(T70&gt;=M71,"已下單","資金不足略過"))</f>
        <v/>
      </c>
      <c r="O71" s="19">
        <f>IF(N71="已下單",M71*資金模擬!$B$7,0)</f>
        <v/>
      </c>
      <c r="P71" s="4" t="n"/>
      <c r="Q71" s="13" t="n">
        <v>0</v>
      </c>
      <c r="R71" s="13">
        <f>R70+Q71</f>
        <v/>
      </c>
      <c r="S71" s="19">
        <f>S70+IF(N71="已下單",M71,0)</f>
        <v/>
      </c>
      <c r="T71" s="19">
        <f>R71-S71</f>
        <v/>
      </c>
      <c r="U71" s="2">
        <f>U70+IF(N71="已下單",1,0)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46282.5</v>
      </c>
      <c r="C72" s="2" t="inlineStr">
        <is>
          <t>出場</t>
        </is>
      </c>
      <c r="D72" s="2" t="n">
        <v>35</v>
      </c>
      <c r="E72" s="2" t="inlineStr">
        <is>
          <t>USELESS_USDT_PERP</t>
        </is>
      </c>
      <c r="F72" s="2" t="inlineStr">
        <is>
          <t>做多</t>
        </is>
      </c>
      <c r="G72" s="20" t="n">
        <v>0.24275</v>
      </c>
      <c r="H72" s="20" t="n">
        <v>0.2500325</v>
      </c>
      <c r="I72" s="20" t="n">
        <v>0.2306125</v>
      </c>
      <c r="J72" s="20" t="n">
        <v>0.2500325</v>
      </c>
      <c r="K72" s="2" t="inlineStr">
        <is>
          <t>止盈</t>
        </is>
      </c>
      <c r="L72" s="5">
        <f>交易明細!K36</f>
        <v/>
      </c>
      <c r="M72" s="19">
        <f>M71</f>
        <v/>
      </c>
      <c r="N72" s="2">
        <f>N71</f>
        <v/>
      </c>
      <c r="O72" s="19">
        <f>O71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46282.83333333334</v>
      </c>
      <c r="C73" s="2" t="inlineStr">
        <is>
          <t>進場</t>
        </is>
      </c>
      <c r="D73" s="2" t="n">
        <v>36</v>
      </c>
      <c r="E73" s="2" t="inlineStr">
        <is>
          <t>牛来_USDT_PERP</t>
        </is>
      </c>
      <c r="F73" s="2" t="inlineStr">
        <is>
          <t>做空</t>
        </is>
      </c>
      <c r="G73" s="20" t="n">
        <v>0.10472</v>
      </c>
      <c r="H73" s="20" t="n">
        <v>0.1015784</v>
      </c>
      <c r="I73" s="20" t="n">
        <v>0.109956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46282.91666666666</v>
      </c>
      <c r="C74" s="2" t="inlineStr">
        <is>
          <t>出場</t>
        </is>
      </c>
      <c r="D74" s="2" t="n">
        <v>36</v>
      </c>
      <c r="E74" s="2" t="inlineStr">
        <is>
          <t>牛来_USDT_PERP</t>
        </is>
      </c>
      <c r="F74" s="2" t="inlineStr">
        <is>
          <t>做空</t>
        </is>
      </c>
      <c r="G74" s="20" t="n">
        <v>0.10472</v>
      </c>
      <c r="H74" s="20" t="n">
        <v>0.1015784</v>
      </c>
      <c r="I74" s="20" t="n">
        <v>0.109956</v>
      </c>
      <c r="J74" s="20" t="n">
        <v>0.109956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46283.20833333334</v>
      </c>
      <c r="C75" s="2" t="inlineStr">
        <is>
          <t>進場</t>
        </is>
      </c>
      <c r="D75" s="2" t="n">
        <v>37</v>
      </c>
      <c r="E75" s="2" t="inlineStr">
        <is>
          <t>AKE_USDT_PERP</t>
        </is>
      </c>
      <c r="F75" s="2" t="inlineStr">
        <is>
          <t>做多</t>
        </is>
      </c>
      <c r="G75" s="20" t="n">
        <v>0.0214905</v>
      </c>
      <c r="H75" s="20" t="n">
        <v>0.022135215</v>
      </c>
      <c r="I75" s="20" t="n">
        <v>0.020415975</v>
      </c>
      <c r="J75" s="20" t="n"/>
      <c r="K75" s="2" t="inlineStr">
        <is>
          <t>未平倉</t>
        </is>
      </c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</sheetData>
  <autoFilter ref="A1:Z75"/>
  <conditionalFormatting sqref="K2:K7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08:27（Dry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IFERROR(AVERAGE(交易明細!$AC$2:$AC$38),(B6+2*B7)/(B5+B6))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RIVER_USDT_PERP</t>
        </is>
      </c>
      <c r="C27" s="2" t="inlineStr">
        <is>
          <t>做多</t>
        </is>
      </c>
      <c r="D27" s="7" t="n">
        <v>46278.08333333334</v>
      </c>
      <c r="E27" s="20" t="n">
        <v>1.412</v>
      </c>
      <c r="F27" s="20" t="n">
        <v>1.45436</v>
      </c>
      <c r="G27" s="20" t="n">
        <v>1.3414</v>
      </c>
      <c r="H27" s="7" t="n">
        <v>46278.125</v>
      </c>
      <c r="I27" s="20" t="n">
        <v>1.45436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0.06485671191553544</v>
      </c>
      <c r="O27" s="4" t="n">
        <v>0.0402440441641955</v>
      </c>
      <c r="P27" s="4" t="n">
        <v>0.05724233461869632</v>
      </c>
      <c r="Q27" s="22" t="n">
        <v>358363.9</v>
      </c>
      <c r="R27" s="22" t="n">
        <v>2323206.5163</v>
      </c>
      <c r="S27" s="4" t="n">
        <v>0.03</v>
      </c>
      <c r="T27" s="4" t="n">
        <v>0</v>
      </c>
      <c r="U27" s="19" t="n">
        <v>1.628344958438214</v>
      </c>
      <c r="V27" s="19" t="n">
        <v>0.9374999999999999</v>
      </c>
      <c r="W27" s="4" t="n">
        <v>0.1756477719309932</v>
      </c>
      <c r="X27" s="4" t="n">
        <v>0.1489015459723351</v>
      </c>
      <c r="Y27" s="4" t="n">
        <v>-0.001973460448671305</v>
      </c>
      <c r="Z27" s="4" t="n">
        <v>-0.001188114198741208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RIVER_USDT_PERP</t>
        </is>
      </c>
      <c r="C28" s="2" t="inlineStr">
        <is>
          <t>做空</t>
        </is>
      </c>
      <c r="D28" s="7" t="n">
        <v>46278.5</v>
      </c>
      <c r="E28" s="20" t="n">
        <v>1.261</v>
      </c>
      <c r="F28" s="20" t="n">
        <v>1.22317</v>
      </c>
      <c r="G28" s="20" t="n">
        <v>1.32405</v>
      </c>
      <c r="H28" s="7" t="n">
        <v>46278.70833333334</v>
      </c>
      <c r="I28" s="20" t="n">
        <v>1.22317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-0.03149001536098317</v>
      </c>
      <c r="O28" s="4" t="n">
        <v>0.04700685788213382</v>
      </c>
      <c r="P28" s="4" t="n">
        <v>-0.05684367988032912</v>
      </c>
      <c r="Q28" s="22" t="n">
        <v>-166098.5</v>
      </c>
      <c r="R28" s="22" t="n">
        <v>1633132.5949</v>
      </c>
      <c r="S28" s="4" t="n">
        <v>0.03</v>
      </c>
      <c r="T28" s="4" t="n">
        <v>0.04203013481364004</v>
      </c>
      <c r="U28" s="19" t="n">
        <v>2.452428134930138</v>
      </c>
      <c r="V28" s="19" t="n">
        <v>0.875</v>
      </c>
      <c r="W28" s="4" t="n">
        <v>-0.03967416397335244</v>
      </c>
      <c r="X28" s="4" t="n">
        <v>0.1181818181818182</v>
      </c>
      <c r="Y28" s="4" t="n">
        <v>0.001314973745824233</v>
      </c>
      <c r="Z28" s="4" t="n">
        <v>0.001197595179174393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LAB_USDT_PERP</t>
        </is>
      </c>
      <c r="C29" s="2" t="inlineStr">
        <is>
          <t>做多</t>
        </is>
      </c>
      <c r="D29" s="7" t="n">
        <v>46278.95833333334</v>
      </c>
      <c r="E29" s="20" t="n">
        <v>0.06897</v>
      </c>
      <c r="F29" s="20" t="n">
        <v>0.07103910000000001</v>
      </c>
      <c r="G29" s="20" t="n">
        <v>0.0655215</v>
      </c>
      <c r="H29" s="7" t="n">
        <v>46279</v>
      </c>
      <c r="I29" s="20" t="n">
        <v>0.07103910000000001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0.0401146131805159</v>
      </c>
      <c r="O29" s="4" t="n">
        <v>0.04984835563975233</v>
      </c>
      <c r="P29" s="4" t="n">
        <v>0.02012291172098601</v>
      </c>
      <c r="Q29" s="22" t="n">
        <v>1513283</v>
      </c>
      <c r="R29" s="22" t="n">
        <v>2656323.83996</v>
      </c>
      <c r="S29" s="4" t="n">
        <v>0.03</v>
      </c>
      <c r="T29" s="4" t="n">
        <v>0</v>
      </c>
      <c r="U29" s="19" t="n">
        <v>2.228271138805124</v>
      </c>
      <c r="V29" s="19" t="n">
        <v>0.6235827664399103</v>
      </c>
      <c r="W29" s="4" t="n">
        <v>0.118889060129945</v>
      </c>
      <c r="X29" s="4" t="n">
        <v>-0.04008350730688925</v>
      </c>
      <c r="Y29" s="4" t="n">
        <v>0.004704889882924723</v>
      </c>
      <c r="Z29" s="4" t="n">
        <v>0.001557067200726125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USELESS_USDT_PERP</t>
        </is>
      </c>
      <c r="C30" s="2" t="inlineStr">
        <is>
          <t>做多</t>
        </is>
      </c>
      <c r="D30" s="7" t="n">
        <v>46280.08333333334</v>
      </c>
      <c r="E30" s="20" t="n">
        <v>0.21527</v>
      </c>
      <c r="F30" s="20" t="n">
        <v>0.2217281</v>
      </c>
      <c r="G30" s="20" t="n">
        <v>0.2045065</v>
      </c>
      <c r="H30" s="7" t="n">
        <v>46280.25</v>
      </c>
      <c r="I30" s="20" t="n">
        <v>0.2045065</v>
      </c>
      <c r="J30" s="2" t="inlineStr">
        <is>
          <t>止損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0.07694231827505127</v>
      </c>
      <c r="O30" s="4" t="n">
        <v>0.04129466730861369</v>
      </c>
      <c r="P30" s="4" t="n">
        <v>0.04722917472386601</v>
      </c>
      <c r="Q30" s="22" t="n">
        <v>57563</v>
      </c>
      <c r="R30" s="22" t="n">
        <v>2142958.19727</v>
      </c>
      <c r="S30" s="4" t="n">
        <v>0.02870813397129202</v>
      </c>
      <c r="T30" s="4" t="n">
        <v>0.05</v>
      </c>
      <c r="U30" s="19" t="n">
        <v>2.695897368776979</v>
      </c>
      <c r="V30" s="19" t="n">
        <v>0.8418891170431212</v>
      </c>
      <c r="W30" s="4" t="n">
        <v>-0.03711019445659591</v>
      </c>
      <c r="X30" s="4" t="n">
        <v>-0.01193372194427877</v>
      </c>
      <c r="Y30" s="4" t="n">
        <v>0.002349919531133837</v>
      </c>
      <c r="Z30" s="4" t="n">
        <v>0.01492736573107156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牛来_USDT_PERP</t>
        </is>
      </c>
      <c r="C31" s="2" t="inlineStr">
        <is>
          <t>做空</t>
        </is>
      </c>
      <c r="D31" s="7" t="n">
        <v>46280.91666666666</v>
      </c>
      <c r="E31" s="20" t="n">
        <v>0.11513</v>
      </c>
      <c r="F31" s="20" t="n">
        <v>0.1116761</v>
      </c>
      <c r="G31" s="20" t="n">
        <v>0.1208865</v>
      </c>
      <c r="H31" s="7" t="n">
        <v>46280.95833333334</v>
      </c>
      <c r="I31" s="20" t="n">
        <v>0.1116761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-0.02283143778645391</v>
      </c>
      <c r="O31" s="4" t="n">
        <v>0.04590811279218091</v>
      </c>
      <c r="P31" s="4" t="n">
        <v>-0.001651917915721945</v>
      </c>
      <c r="Q31" s="22" t="n">
        <v>-13335483</v>
      </c>
      <c r="R31" s="22" t="n">
        <v>3947406.29375</v>
      </c>
      <c r="S31" s="4" t="n">
        <v>0.03</v>
      </c>
      <c r="T31" s="4" t="n">
        <v>0</v>
      </c>
      <c r="U31" s="19" t="n">
        <v>3.572201315293682</v>
      </c>
      <c r="V31" s="19" t="n">
        <v>0.5984251968503946</v>
      </c>
      <c r="W31" s="4" t="n">
        <v>0.08304667756741757</v>
      </c>
      <c r="X31" s="4" t="n">
        <v>-0.06326191355744371</v>
      </c>
      <c r="Y31" s="4" t="n">
        <v>0.004326499942148732</v>
      </c>
      <c r="Z31" s="4" t="n">
        <v>0.01466104750439268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PONS_USDT_PERP</t>
        </is>
      </c>
      <c r="C32" s="2" t="inlineStr">
        <is>
          <t>做空</t>
        </is>
      </c>
      <c r="D32" s="7" t="n">
        <v>46280.95833333334</v>
      </c>
      <c r="E32" s="20" t="n">
        <v>0.6319</v>
      </c>
      <c r="F32" s="20" t="n">
        <v>0.612943</v>
      </c>
      <c r="G32" s="20" t="n">
        <v>0.6634950000000001</v>
      </c>
      <c r="H32" s="7" t="n">
        <v>46281.04166666666</v>
      </c>
      <c r="I32" s="20" t="n">
        <v>0.6634950000000001</v>
      </c>
      <c r="J32" s="2" t="inlineStr">
        <is>
          <t>止損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-0.03067955207853967</v>
      </c>
      <c r="O32" s="4" t="n">
        <v>0.04561528399298138</v>
      </c>
      <c r="P32" s="4" t="n">
        <v>-0.001777180996011096</v>
      </c>
      <c r="Q32" s="22" t="n">
        <v>-188505</v>
      </c>
      <c r="R32" s="22" t="n">
        <v>3708159.2401</v>
      </c>
      <c r="S32" s="4" t="n">
        <v>0.008229150181990774</v>
      </c>
      <c r="T32" s="4" t="n">
        <v>0.05</v>
      </c>
      <c r="U32" s="19" t="n">
        <v>2.135001569503176</v>
      </c>
      <c r="V32" s="19" t="n">
        <v>0.6008869179600886</v>
      </c>
      <c r="W32" s="4" t="n">
        <v>-0.06019576458587106</v>
      </c>
      <c r="X32" s="4" t="n">
        <v>-0.09061097687262687</v>
      </c>
      <c r="Y32" s="4" t="n">
        <v>0.008791137050601638</v>
      </c>
      <c r="Z32" s="4" t="n">
        <v>0.02126479226765776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PONS_USDT_PERP</t>
        </is>
      </c>
      <c r="C33" s="2" t="inlineStr">
        <is>
          <t>做空</t>
        </is>
      </c>
      <c r="D33" s="7" t="n">
        <v>46281.41666666666</v>
      </c>
      <c r="E33" s="20" t="n">
        <v>0.6093</v>
      </c>
      <c r="F33" s="20" t="n">
        <v>0.5910209999999999</v>
      </c>
      <c r="G33" s="20" t="n">
        <v>0.639765</v>
      </c>
      <c r="H33" s="7" t="n">
        <v>46281.5</v>
      </c>
      <c r="I33" s="20" t="n">
        <v>0.5910209999999999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-0.0371365360303415</v>
      </c>
      <c r="O33" s="4" t="n">
        <v>0.04503466628165607</v>
      </c>
      <c r="P33" s="4" t="n">
        <v>-0.04653109767070673</v>
      </c>
      <c r="Q33" s="22" t="n">
        <v>-522329</v>
      </c>
      <c r="R33" s="22" t="n">
        <v>3799658.9706</v>
      </c>
      <c r="S33" s="4" t="n">
        <v>0.03</v>
      </c>
      <c r="T33" s="4" t="n">
        <v>0.008042015427539795</v>
      </c>
      <c r="U33" s="19" t="n">
        <v>0.4664810909990809</v>
      </c>
      <c r="V33" s="19" t="n">
        <v>0.9928571428571437</v>
      </c>
      <c r="W33" s="4" t="n">
        <v>-0.01623507670548352</v>
      </c>
      <c r="X33" s="4" t="n">
        <v>0.02433947157726202</v>
      </c>
      <c r="Y33" s="4" t="n">
        <v>0.003551905352945806</v>
      </c>
      <c r="Z33" s="4" t="n">
        <v>0.01159420365782837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牛来_USDT_PERP</t>
        </is>
      </c>
      <c r="C34" s="2" t="inlineStr">
        <is>
          <t>做空</t>
        </is>
      </c>
      <c r="D34" s="7" t="n">
        <v>46281.41666666666</v>
      </c>
      <c r="E34" s="20" t="n">
        <v>0.11407</v>
      </c>
      <c r="F34" s="20" t="n">
        <v>0.1106479</v>
      </c>
      <c r="G34" s="20" t="n">
        <v>0.1197735</v>
      </c>
      <c r="H34" s="7" t="n">
        <v>46281.70833333334</v>
      </c>
      <c r="I34" s="20" t="n">
        <v>0.1106479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-0.02245265232667748</v>
      </c>
      <c r="O34" s="4" t="n">
        <v>0.04160649993392866</v>
      </c>
      <c r="P34" s="4" t="n">
        <v>-0.007011939012234847</v>
      </c>
      <c r="Q34" s="22" t="n">
        <v>-6985142</v>
      </c>
      <c r="R34" s="22" t="n">
        <v>2887294.37661</v>
      </c>
      <c r="S34" s="4" t="n">
        <v>0.03</v>
      </c>
      <c r="T34" s="4" t="n">
        <v>0.01981239589725603</v>
      </c>
      <c r="U34" s="19" t="n">
        <v>0.7082025381006778</v>
      </c>
      <c r="V34" s="19" t="n">
        <v>0.8578553615960097</v>
      </c>
      <c r="W34" s="4" t="n">
        <v>0.07673455248295025</v>
      </c>
      <c r="X34" s="4" t="n">
        <v>0.04479986601909225</v>
      </c>
      <c r="Y34" s="4" t="n">
        <v>0.003551905352945806</v>
      </c>
      <c r="Z34" s="4" t="n">
        <v>0.01159420365782837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USELESS_USDT_PERP</t>
        </is>
      </c>
      <c r="C35" s="2" t="inlineStr">
        <is>
          <t>做空</t>
        </is>
      </c>
      <c r="D35" s="7" t="n">
        <v>46282</v>
      </c>
      <c r="E35" s="20" t="n">
        <v>0.225</v>
      </c>
      <c r="F35" s="20" t="n">
        <v>0.21825</v>
      </c>
      <c r="G35" s="20" t="n">
        <v>0.23625</v>
      </c>
      <c r="H35" s="7" t="n">
        <v>46282.125</v>
      </c>
      <c r="I35" s="20" t="n">
        <v>0.23625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-0.03292357947219116</v>
      </c>
      <c r="O35" s="4" t="n">
        <v>0.04095456277656997</v>
      </c>
      <c r="P35" s="4" t="n">
        <v>-0.0164514881088984</v>
      </c>
      <c r="Q35" s="22" t="n">
        <v>-778608</v>
      </c>
      <c r="R35" s="22" t="n">
        <v>2914314.34629</v>
      </c>
      <c r="S35" s="4" t="n">
        <v>0.01364444444444457</v>
      </c>
      <c r="T35" s="4" t="n">
        <v>0.05</v>
      </c>
      <c r="U35" s="19" t="n">
        <v>1.22830388521858</v>
      </c>
      <c r="V35" s="19" t="n">
        <v>0.881369426751591</v>
      </c>
      <c r="W35" s="4" t="n">
        <v>-0.03547633982584686</v>
      </c>
      <c r="X35" s="4" t="n">
        <v>-0.101213782302271</v>
      </c>
      <c r="Y35" s="4" t="n">
        <v>-0.001227850125626873</v>
      </c>
      <c r="Z35" s="4" t="n">
        <v>0.0003683615984713118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USELESS_USDT_PERP</t>
        </is>
      </c>
      <c r="C36" s="2" t="inlineStr">
        <is>
          <t>做多</t>
        </is>
      </c>
      <c r="D36" s="7" t="n">
        <v>46282.45833333334</v>
      </c>
      <c r="E36" s="20" t="n">
        <v>0.24275</v>
      </c>
      <c r="F36" s="20" t="n">
        <v>0.2500325</v>
      </c>
      <c r="G36" s="20" t="n">
        <v>0.2306125</v>
      </c>
      <c r="H36" s="7" t="n">
        <v>46282.5</v>
      </c>
      <c r="I36" s="20" t="n">
        <v>0.2500325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0.03258326598324057</v>
      </c>
      <c r="O36" s="4" t="n">
        <v>0.04022410631062562</v>
      </c>
      <c r="P36" s="4" t="n">
        <v>0.03915172685399226</v>
      </c>
      <c r="Q36" s="22" t="n">
        <v>3772564</v>
      </c>
      <c r="R36" s="22" t="n">
        <v>3887367.54221</v>
      </c>
      <c r="S36" s="4" t="n">
        <v>0.03</v>
      </c>
      <c r="T36" s="4" t="n">
        <v>0</v>
      </c>
      <c r="U36" s="19" t="n">
        <v>0.6859164949066544</v>
      </c>
      <c r="V36" s="19" t="n">
        <v>0.8610139860139854</v>
      </c>
      <c r="W36" s="4" t="n">
        <v>0.1183074882606505</v>
      </c>
      <c r="X36" s="4" t="n">
        <v>0.1027073680385209</v>
      </c>
      <c r="Y36" s="4" t="n">
        <v>0.0001100414096306679</v>
      </c>
      <c r="Z36" s="4" t="n">
        <v>0.005538057160273446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牛来_USDT_PERP</t>
        </is>
      </c>
      <c r="C37" s="2" t="inlineStr">
        <is>
          <t>做空</t>
        </is>
      </c>
      <c r="D37" s="7" t="n">
        <v>46282.83333333334</v>
      </c>
      <c r="E37" s="20" t="n">
        <v>0.10472</v>
      </c>
      <c r="F37" s="20" t="n">
        <v>0.1015784</v>
      </c>
      <c r="G37" s="20" t="n">
        <v>0.109956</v>
      </c>
      <c r="H37" s="7" t="n">
        <v>46282.91666666666</v>
      </c>
      <c r="I37" s="20" t="n">
        <v>0.109956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-0.04172767203513916</v>
      </c>
      <c r="O37" s="4" t="n">
        <v>0.04048676979687356</v>
      </c>
      <c r="P37" s="4" t="n">
        <v>-0.006338482559684278</v>
      </c>
      <c r="Q37" s="22" t="n">
        <v>-4050075</v>
      </c>
      <c r="R37" s="22" t="n">
        <v>2337042.32057</v>
      </c>
      <c r="S37" s="4" t="n">
        <v>0.0003819709702062024</v>
      </c>
      <c r="T37" s="4" t="n">
        <v>0.05</v>
      </c>
      <c r="U37" s="19" t="n">
        <v>0.3772019483351589</v>
      </c>
      <c r="V37" s="19" t="n">
        <v>0.9287090558766868</v>
      </c>
      <c r="W37" s="4" t="n">
        <v>0.08628786120510201</v>
      </c>
      <c r="X37" s="4" t="n">
        <v>0.06791277258566986</v>
      </c>
      <c r="Y37" s="4" t="n">
        <v>-0.0009859272953907094</v>
      </c>
      <c r="Z37" s="4" t="n">
        <v>-0.003379461603953526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AKE_USDT_PERP</t>
        </is>
      </c>
      <c r="C38" s="2" t="inlineStr">
        <is>
          <t>做多</t>
        </is>
      </c>
      <c r="D38" s="7" t="n">
        <v>46283.20833333334</v>
      </c>
      <c r="E38" s="20" t="n">
        <v>0.0214905</v>
      </c>
      <c r="F38" s="20" t="n">
        <v>0.022135215</v>
      </c>
      <c r="G38" s="20" t="n">
        <v>0.020415975</v>
      </c>
      <c r="H38" s="7" t="n">
        <v>46283.33333333334</v>
      </c>
      <c r="I38" s="20" t="n">
        <v>0.0212875</v>
      </c>
      <c r="J38" s="2" t="inlineStr">
        <is>
          <t>未平倉</t>
        </is>
      </c>
      <c r="K38" s="5">
        <f>(H38-D38)*24</f>
        <v/>
      </c>
      <c r="L38" s="4">
        <f>IF(C38="做多",I38/E38-1,1-I38/E38)-2*參數!$B$7</f>
        <v/>
      </c>
      <c r="M38" s="2" t="inlineStr">
        <is>
          <t>持倉中（以最新收盤估值）</t>
        </is>
      </c>
      <c r="N38" s="4" t="n">
        <v>0.02601990881096183</v>
      </c>
      <c r="O38" s="4" t="n">
        <v>0.04972128367543062</v>
      </c>
      <c r="P38" s="4" t="n">
        <v>0.0241716031320145</v>
      </c>
      <c r="Q38" s="22" t="n">
        <v>5592380</v>
      </c>
      <c r="R38" s="22" t="n">
        <v>1554549.0829196</v>
      </c>
      <c r="S38" s="4" t="n">
        <v>0.0004187896977734251</v>
      </c>
      <c r="T38" s="4" t="n">
        <v>0.0264256299295037</v>
      </c>
      <c r="U38" s="19" t="n">
        <v>0.5059324416336631</v>
      </c>
      <c r="V38" s="19" t="n">
        <v>0.6913765131661026</v>
      </c>
      <c r="W38" s="4" t="n">
        <v>0.03822742709846749</v>
      </c>
      <c r="X38" s="4" t="n">
        <v>0.111223144341891</v>
      </c>
      <c r="Y38" s="4" t="n">
        <v>-0.0003996823439672559</v>
      </c>
      <c r="Z38" s="4" t="n">
        <v>0.0002900349911074684</v>
      </c>
      <c r="AA38" s="4" t="n">
        <v>0.03</v>
      </c>
      <c r="AB38" s="4" t="n">
        <v>0.05</v>
      </c>
      <c r="AC38" s="4">
        <f>(AB38+2*參數!$B$7)/(AA38+AB38)</f>
        <v/>
      </c>
    </row>
  </sheetData>
  <autoFilter ref="A1:AC38"/>
  <conditionalFormatting sqref="J2:J3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COUNTIFS(交易明細!$B$2:$B$38,$A2)</f>
        <v/>
      </c>
      <c r="C2" s="2">
        <f>COUNTIFS(交易明細!$B$2:$B$38,$A2,交易明細!$C$2:$C$38,"做多")</f>
        <v/>
      </c>
      <c r="D2" s="2">
        <f>COUNTIFS(交易明細!$B$2:$B$38,$A2,交易明細!$C$2:$C$38,"做空")</f>
        <v/>
      </c>
      <c r="E2" s="2">
        <f>F2+G2+COUNTIFS(交易明細!$B$2:$B$38,$A2,交易明細!$J$2:$J$38,"時間出場")</f>
        <v/>
      </c>
      <c r="F2" s="2">
        <f>COUNTIFS(交易明細!$B$2:$B$38,$A2,交易明細!$J$2:$J$38,"止盈")</f>
        <v/>
      </c>
      <c r="G2" s="2">
        <f>COUNTIFS(交易明細!$B$2:$B$38,$A2,交易明細!$J$2:$J$38,"止損")</f>
        <v/>
      </c>
      <c r="H2" s="4">
        <f>IFERROR(F2/E2,0)</f>
        <v/>
      </c>
      <c r="I2" s="4">
        <f>IFERROR(AVERAGEIFS(交易明細!$L$2:$L$38,交易明細!$B$2:$B$38,$A2,交易明細!$J$2:$J$38,"&lt;&gt;未平倉"),0)</f>
        <v/>
      </c>
      <c r="J2" s="4">
        <f>SUMIFS(交易明細!$L$2:$L$38,交易明細!$B$2:$B$38,$A2,交易明細!$J$2:$J$38,"&lt;&gt;未平倉")</f>
        <v/>
      </c>
      <c r="K2" s="5">
        <f>IFERROR(AVERAGEIFS(交易明細!$K$2:$K$38,交易明細!$B$2:$B$38,$A2,交易明細!$J$2:$J$38,"&lt;&gt;未平倉"),0)</f>
        <v/>
      </c>
      <c r="L2" s="2">
        <f>COUNTIFS(交易明細!$B$2:$B$38,$A2,交易明細!$J$2:$J$38,"未平倉")</f>
        <v/>
      </c>
    </row>
    <row r="3">
      <c r="A3" s="2" t="inlineStr">
        <is>
          <t>RAY_USDT_PERP</t>
        </is>
      </c>
      <c r="B3" s="2">
        <f>COUNTIFS(交易明細!$B$2:$B$38,$A3)</f>
        <v/>
      </c>
      <c r="C3" s="2">
        <f>COUNTIFS(交易明細!$B$2:$B$38,$A3,交易明細!$C$2:$C$38,"做多")</f>
        <v/>
      </c>
      <c r="D3" s="2">
        <f>COUNTIFS(交易明細!$B$2:$B$38,$A3,交易明細!$C$2:$C$38,"做空")</f>
        <v/>
      </c>
      <c r="E3" s="2">
        <f>F3+G3+COUNTIFS(交易明細!$B$2:$B$38,$A3,交易明細!$J$2:$J$38,"時間出場")</f>
        <v/>
      </c>
      <c r="F3" s="2">
        <f>COUNTIFS(交易明細!$B$2:$B$38,$A3,交易明細!$J$2:$J$38,"止盈")</f>
        <v/>
      </c>
      <c r="G3" s="2">
        <f>COUNTIFS(交易明細!$B$2:$B$38,$A3,交易明細!$J$2:$J$38,"止損")</f>
        <v/>
      </c>
      <c r="H3" s="4">
        <f>IFERROR(F3/E3,0)</f>
        <v/>
      </c>
      <c r="I3" s="4">
        <f>IFERROR(AVERAGEIFS(交易明細!$L$2:$L$38,交易明細!$B$2:$B$38,$A3,交易明細!$J$2:$J$38,"&lt;&gt;未平倉"),0)</f>
        <v/>
      </c>
      <c r="J3" s="4">
        <f>SUMIFS(交易明細!$L$2:$L$38,交易明細!$B$2:$B$38,$A3,交易明細!$J$2:$J$38,"&lt;&gt;未平倉")</f>
        <v/>
      </c>
      <c r="K3" s="5">
        <f>IFERROR(AVERAGEIFS(交易明細!$K$2:$K$38,交易明細!$B$2:$B$38,$A3,交易明細!$J$2:$J$38,"&lt;&gt;未平倉"),0)</f>
        <v/>
      </c>
      <c r="L3" s="2">
        <f>COUNTIFS(交易明細!$B$2:$B$38,$A3,交易明細!$J$2:$J$38,"未平倉")</f>
        <v/>
      </c>
    </row>
    <row r="4">
      <c r="A4" s="2" t="inlineStr">
        <is>
          <t>PONS_USDT_PERP</t>
        </is>
      </c>
      <c r="B4" s="2">
        <f>COUNTIFS(交易明細!$B$2:$B$38,$A4)</f>
        <v/>
      </c>
      <c r="C4" s="2">
        <f>COUNTIFS(交易明細!$B$2:$B$38,$A4,交易明細!$C$2:$C$38,"做多")</f>
        <v/>
      </c>
      <c r="D4" s="2">
        <f>COUNTIFS(交易明細!$B$2:$B$38,$A4,交易明細!$C$2:$C$38,"做空")</f>
        <v/>
      </c>
      <c r="E4" s="2">
        <f>F4+G4+COUNTIFS(交易明細!$B$2:$B$38,$A4,交易明細!$J$2:$J$38,"時間出場")</f>
        <v/>
      </c>
      <c r="F4" s="2">
        <f>COUNTIFS(交易明細!$B$2:$B$38,$A4,交易明細!$J$2:$J$38,"止盈")</f>
        <v/>
      </c>
      <c r="G4" s="2">
        <f>COUNTIFS(交易明細!$B$2:$B$38,$A4,交易明細!$J$2:$J$38,"止損")</f>
        <v/>
      </c>
      <c r="H4" s="4">
        <f>IFERROR(F4/E4,0)</f>
        <v/>
      </c>
      <c r="I4" s="4">
        <f>IFERROR(AVERAGEIFS(交易明細!$L$2:$L$38,交易明細!$B$2:$B$38,$A4,交易明細!$J$2:$J$38,"&lt;&gt;未平倉"),0)</f>
        <v/>
      </c>
      <c r="J4" s="4">
        <f>SUMIFS(交易明細!$L$2:$L$38,交易明細!$B$2:$B$38,$A4,交易明細!$J$2:$J$38,"&lt;&gt;未平倉")</f>
        <v/>
      </c>
      <c r="K4" s="5">
        <f>IFERROR(AVERAGEIFS(交易明細!$K$2:$K$38,交易明細!$B$2:$B$38,$A4,交易明細!$J$2:$J$38,"&lt;&gt;未平倉"),0)</f>
        <v/>
      </c>
      <c r="L4" s="2">
        <f>COUNTIFS(交易明細!$B$2:$B$38,$A4,交易明細!$J$2:$J$38,"未平倉")</f>
        <v/>
      </c>
    </row>
    <row r="5">
      <c r="A5" s="2" t="inlineStr">
        <is>
          <t>UAI_USDT_PERP</t>
        </is>
      </c>
      <c r="B5" s="2">
        <f>COUNTIFS(交易明細!$B$2:$B$38,$A5)</f>
        <v/>
      </c>
      <c r="C5" s="2">
        <f>COUNTIFS(交易明細!$B$2:$B$38,$A5,交易明細!$C$2:$C$38,"做多")</f>
        <v/>
      </c>
      <c r="D5" s="2">
        <f>COUNTIFS(交易明細!$B$2:$B$38,$A5,交易明細!$C$2:$C$38,"做空")</f>
        <v/>
      </c>
      <c r="E5" s="2">
        <f>F5+G5+COUNTIFS(交易明細!$B$2:$B$38,$A5,交易明細!$J$2:$J$38,"時間出場")</f>
        <v/>
      </c>
      <c r="F5" s="2">
        <f>COUNTIFS(交易明細!$B$2:$B$38,$A5,交易明細!$J$2:$J$38,"止盈")</f>
        <v/>
      </c>
      <c r="G5" s="2">
        <f>COUNTIFS(交易明細!$B$2:$B$38,$A5,交易明細!$J$2:$J$38,"止損")</f>
        <v/>
      </c>
      <c r="H5" s="4">
        <f>IFERROR(F5/E5,0)</f>
        <v/>
      </c>
      <c r="I5" s="4">
        <f>IFERROR(AVERAGEIFS(交易明細!$L$2:$L$38,交易明細!$B$2:$B$38,$A5,交易明細!$J$2:$J$38,"&lt;&gt;未平倉"),0)</f>
        <v/>
      </c>
      <c r="J5" s="4">
        <f>SUMIFS(交易明細!$L$2:$L$38,交易明細!$B$2:$B$38,$A5,交易明細!$J$2:$J$38,"&lt;&gt;未平倉")</f>
        <v/>
      </c>
      <c r="K5" s="5">
        <f>IFERROR(AVERAGEIFS(交易明細!$K$2:$K$38,交易明細!$B$2:$B$38,$A5,交易明細!$J$2:$J$38,"&lt;&gt;未平倉"),0)</f>
        <v/>
      </c>
      <c r="L5" s="2">
        <f>COUNTIFS(交易明細!$B$2:$B$38,$A5,交易明細!$J$2:$J$38,"未平倉")</f>
        <v/>
      </c>
    </row>
    <row r="6">
      <c r="A6" s="2" t="inlineStr">
        <is>
          <t>VVV_USDT_PERP</t>
        </is>
      </c>
      <c r="B6" s="2">
        <f>COUNTIFS(交易明細!$B$2:$B$38,$A6)</f>
        <v/>
      </c>
      <c r="C6" s="2">
        <f>COUNTIFS(交易明細!$B$2:$B$38,$A6,交易明細!$C$2:$C$38,"做多")</f>
        <v/>
      </c>
      <c r="D6" s="2">
        <f>COUNTIFS(交易明細!$B$2:$B$38,$A6,交易明細!$C$2:$C$38,"做空")</f>
        <v/>
      </c>
      <c r="E6" s="2">
        <f>F6+G6+COUNTIFS(交易明細!$B$2:$B$38,$A6,交易明細!$J$2:$J$38,"時間出場")</f>
        <v/>
      </c>
      <c r="F6" s="2">
        <f>COUNTIFS(交易明細!$B$2:$B$38,$A6,交易明細!$J$2:$J$38,"止盈")</f>
        <v/>
      </c>
      <c r="G6" s="2">
        <f>COUNTIFS(交易明細!$B$2:$B$38,$A6,交易明細!$J$2:$J$38,"止損")</f>
        <v/>
      </c>
      <c r="H6" s="4">
        <f>IFERROR(F6/E6,0)</f>
        <v/>
      </c>
      <c r="I6" s="4">
        <f>IFERROR(AVERAGEIFS(交易明細!$L$2:$L$38,交易明細!$B$2:$B$38,$A6,交易明細!$J$2:$J$38,"&lt;&gt;未平倉"),0)</f>
        <v/>
      </c>
      <c r="J6" s="4">
        <f>SUMIFS(交易明細!$L$2:$L$38,交易明細!$B$2:$B$38,$A6,交易明細!$J$2:$J$38,"&lt;&gt;未平倉")</f>
        <v/>
      </c>
      <c r="K6" s="5">
        <f>IFERROR(AVERAGEIFS(交易明細!$K$2:$K$38,交易明細!$B$2:$B$38,$A6,交易明細!$J$2:$J$38,"&lt;&gt;未平倉"),0)</f>
        <v/>
      </c>
      <c r="L6" s="2">
        <f>COUNTIFS(交易明細!$B$2:$B$38,$A6,交易明細!$J$2:$J$38,"未平倉")</f>
        <v/>
      </c>
    </row>
    <row r="7">
      <c r="A7" s="2" t="inlineStr">
        <is>
          <t>牛来_USDT_PERP</t>
        </is>
      </c>
      <c r="B7" s="2">
        <f>COUNTIFS(交易明細!$B$2:$B$38,$A7)</f>
        <v/>
      </c>
      <c r="C7" s="2">
        <f>COUNTIFS(交易明細!$B$2:$B$38,$A7,交易明細!$C$2:$C$38,"做多")</f>
        <v/>
      </c>
      <c r="D7" s="2">
        <f>COUNTIFS(交易明細!$B$2:$B$38,$A7,交易明細!$C$2:$C$38,"做空")</f>
        <v/>
      </c>
      <c r="E7" s="2">
        <f>F7+G7+COUNTIFS(交易明細!$B$2:$B$38,$A7,交易明細!$J$2:$J$38,"時間出場")</f>
        <v/>
      </c>
      <c r="F7" s="2">
        <f>COUNTIFS(交易明細!$B$2:$B$38,$A7,交易明細!$J$2:$J$38,"止盈")</f>
        <v/>
      </c>
      <c r="G7" s="2">
        <f>COUNTIFS(交易明細!$B$2:$B$38,$A7,交易明細!$J$2:$J$38,"止損")</f>
        <v/>
      </c>
      <c r="H7" s="4">
        <f>IFERROR(F7/E7,0)</f>
        <v/>
      </c>
      <c r="I7" s="4">
        <f>IFERROR(AVERAGEIFS(交易明細!$L$2:$L$38,交易明細!$B$2:$B$38,$A7,交易明細!$J$2:$J$38,"&lt;&gt;未平倉"),0)</f>
        <v/>
      </c>
      <c r="J7" s="4">
        <f>SUMIFS(交易明細!$L$2:$L$38,交易明細!$B$2:$B$38,$A7,交易明細!$J$2:$J$38,"&lt;&gt;未平倉")</f>
        <v/>
      </c>
      <c r="K7" s="5">
        <f>IFERROR(AVERAGEIFS(交易明細!$K$2:$K$38,交易明細!$B$2:$B$38,$A7,交易明細!$J$2:$J$38,"&lt;&gt;未平倉"),0)</f>
        <v/>
      </c>
      <c r="L7" s="2">
        <f>COUNTIFS(交易明細!$B$2:$B$38,$A7,交易明細!$J$2:$J$38,"未平倉")</f>
        <v/>
      </c>
    </row>
    <row r="8">
      <c r="A8" s="2" t="inlineStr">
        <is>
          <t>HEMI_USDT_PERP</t>
        </is>
      </c>
      <c r="B8" s="2">
        <f>COUNTIFS(交易明細!$B$2:$B$38,$A8)</f>
        <v/>
      </c>
      <c r="C8" s="2">
        <f>COUNTIFS(交易明細!$B$2:$B$38,$A8,交易明細!$C$2:$C$38,"做多")</f>
        <v/>
      </c>
      <c r="D8" s="2">
        <f>COUNTIFS(交易明細!$B$2:$B$38,$A8,交易明細!$C$2:$C$38,"做空")</f>
        <v/>
      </c>
      <c r="E8" s="2">
        <f>F8+G8+COUNTIFS(交易明細!$B$2:$B$38,$A8,交易明細!$J$2:$J$38,"時間出場")</f>
        <v/>
      </c>
      <c r="F8" s="2">
        <f>COUNTIFS(交易明細!$B$2:$B$38,$A8,交易明細!$J$2:$J$38,"止盈")</f>
        <v/>
      </c>
      <c r="G8" s="2">
        <f>COUNTIFS(交易明細!$B$2:$B$38,$A8,交易明細!$J$2:$J$38,"止損")</f>
        <v/>
      </c>
      <c r="H8" s="4">
        <f>IFERROR(F8/E8,0)</f>
        <v/>
      </c>
      <c r="I8" s="4">
        <f>IFERROR(AVERAGEIFS(交易明細!$L$2:$L$38,交易明細!$B$2:$B$38,$A8,交易明細!$J$2:$J$38,"&lt;&gt;未平倉"),0)</f>
        <v/>
      </c>
      <c r="J8" s="4">
        <f>SUMIFS(交易明細!$L$2:$L$38,交易明細!$B$2:$B$38,$A8,交易明細!$J$2:$J$38,"&lt;&gt;未平倉")</f>
        <v/>
      </c>
      <c r="K8" s="5">
        <f>IFERROR(AVERAGEIFS(交易明細!$K$2:$K$38,交易明細!$B$2:$B$38,$A8,交易明細!$J$2:$J$38,"&lt;&gt;未平倉"),0)</f>
        <v/>
      </c>
      <c r="L8" s="2">
        <f>COUNTIFS(交易明細!$B$2:$B$38,$A8,交易明細!$J$2:$J$38,"未平倉")</f>
        <v/>
      </c>
    </row>
    <row r="9">
      <c r="A9" s="2" t="inlineStr">
        <is>
          <t>BULLA_USDT_PERP</t>
        </is>
      </c>
      <c r="B9" s="2">
        <f>COUNTIFS(交易明細!$B$2:$B$38,$A9)</f>
        <v/>
      </c>
      <c r="C9" s="2">
        <f>COUNTIFS(交易明細!$B$2:$B$38,$A9,交易明細!$C$2:$C$38,"做多")</f>
        <v/>
      </c>
      <c r="D9" s="2">
        <f>COUNTIFS(交易明細!$B$2:$B$38,$A9,交易明細!$C$2:$C$38,"做空")</f>
        <v/>
      </c>
      <c r="E9" s="2">
        <f>F9+G9+COUNTIFS(交易明細!$B$2:$B$38,$A9,交易明細!$J$2:$J$38,"時間出場")</f>
        <v/>
      </c>
      <c r="F9" s="2">
        <f>COUNTIFS(交易明細!$B$2:$B$38,$A9,交易明細!$J$2:$J$38,"止盈")</f>
        <v/>
      </c>
      <c r="G9" s="2">
        <f>COUNTIFS(交易明細!$B$2:$B$38,$A9,交易明細!$J$2:$J$38,"止損")</f>
        <v/>
      </c>
      <c r="H9" s="4">
        <f>IFERROR(F9/E9,0)</f>
        <v/>
      </c>
      <c r="I9" s="4">
        <f>IFERROR(AVERAGEIFS(交易明細!$L$2:$L$38,交易明細!$B$2:$B$38,$A9,交易明細!$J$2:$J$38,"&lt;&gt;未平倉"),0)</f>
        <v/>
      </c>
      <c r="J9" s="4">
        <f>SUMIFS(交易明細!$L$2:$L$38,交易明細!$B$2:$B$38,$A9,交易明細!$J$2:$J$38,"&lt;&gt;未平倉")</f>
        <v/>
      </c>
      <c r="K9" s="5">
        <f>IFERROR(AVERAGEIFS(交易明細!$K$2:$K$38,交易明細!$B$2:$B$38,$A9,交易明細!$J$2:$J$38,"&lt;&gt;未平倉"),0)</f>
        <v/>
      </c>
      <c r="L9" s="2">
        <f>COUNTIFS(交易明細!$B$2:$B$38,$A9,交易明細!$J$2:$J$38,"未平倉")</f>
        <v/>
      </c>
    </row>
    <row r="10">
      <c r="A10" s="2" t="inlineStr">
        <is>
          <t>AKE_USDT_PERP</t>
        </is>
      </c>
      <c r="B10" s="2">
        <f>COUNTIFS(交易明細!$B$2:$B$38,$A10)</f>
        <v/>
      </c>
      <c r="C10" s="2">
        <f>COUNTIFS(交易明細!$B$2:$B$38,$A10,交易明細!$C$2:$C$38,"做多")</f>
        <v/>
      </c>
      <c r="D10" s="2">
        <f>COUNTIFS(交易明細!$B$2:$B$38,$A10,交易明細!$C$2:$C$38,"做空")</f>
        <v/>
      </c>
      <c r="E10" s="2">
        <f>F10+G10+COUNTIFS(交易明細!$B$2:$B$38,$A10,交易明細!$J$2:$J$38,"時間出場")</f>
        <v/>
      </c>
      <c r="F10" s="2">
        <f>COUNTIFS(交易明細!$B$2:$B$38,$A10,交易明細!$J$2:$J$38,"止盈")</f>
        <v/>
      </c>
      <c r="G10" s="2">
        <f>COUNTIFS(交易明細!$B$2:$B$38,$A10,交易明細!$J$2:$J$38,"止損")</f>
        <v/>
      </c>
      <c r="H10" s="4">
        <f>IFERROR(F10/E10,0)</f>
        <v/>
      </c>
      <c r="I10" s="4">
        <f>IFERROR(AVERAGEIFS(交易明細!$L$2:$L$38,交易明細!$B$2:$B$38,$A10,交易明細!$J$2:$J$38,"&lt;&gt;未平倉"),0)</f>
        <v/>
      </c>
      <c r="J10" s="4">
        <f>SUMIFS(交易明細!$L$2:$L$38,交易明細!$B$2:$B$38,$A10,交易明細!$J$2:$J$38,"&lt;&gt;未平倉")</f>
        <v/>
      </c>
      <c r="K10" s="5">
        <f>IFERROR(AVERAGEIFS(交易明細!$K$2:$K$38,交易明細!$B$2:$B$38,$A10,交易明細!$J$2:$J$38,"&lt;&gt;未平倉"),0)</f>
        <v/>
      </c>
      <c r="L10" s="2">
        <f>COUNTIFS(交易明細!$B$2:$B$38,$A10,交易明細!$J$2:$J$38,"未平倉")</f>
        <v/>
      </c>
    </row>
    <row r="11">
      <c r="A11" s="2" t="inlineStr">
        <is>
          <t>RIVER_USDT_PERP</t>
        </is>
      </c>
      <c r="B11" s="2">
        <f>COUNTIFS(交易明細!$B$2:$B$38,$A11)</f>
        <v/>
      </c>
      <c r="C11" s="2">
        <f>COUNTIFS(交易明細!$B$2:$B$38,$A11,交易明細!$C$2:$C$38,"做多")</f>
        <v/>
      </c>
      <c r="D11" s="2">
        <f>COUNTIFS(交易明細!$B$2:$B$38,$A11,交易明細!$C$2:$C$38,"做空")</f>
        <v/>
      </c>
      <c r="E11" s="2">
        <f>F11+G11+COUNTIFS(交易明細!$B$2:$B$38,$A11,交易明細!$J$2:$J$38,"時間出場")</f>
        <v/>
      </c>
      <c r="F11" s="2">
        <f>COUNTIFS(交易明細!$B$2:$B$38,$A11,交易明細!$J$2:$J$38,"止盈")</f>
        <v/>
      </c>
      <c r="G11" s="2">
        <f>COUNTIFS(交易明細!$B$2:$B$38,$A11,交易明細!$J$2:$J$38,"止損")</f>
        <v/>
      </c>
      <c r="H11" s="4">
        <f>IFERROR(F11/E11,0)</f>
        <v/>
      </c>
      <c r="I11" s="4">
        <f>IFERROR(AVERAGEIFS(交易明細!$L$2:$L$38,交易明細!$B$2:$B$38,$A11,交易明細!$J$2:$J$38,"&lt;&gt;未平倉"),0)</f>
        <v/>
      </c>
      <c r="J11" s="4">
        <f>SUMIFS(交易明細!$L$2:$L$38,交易明細!$B$2:$B$38,$A11,交易明細!$J$2:$J$38,"&lt;&gt;未平倉")</f>
        <v/>
      </c>
      <c r="K11" s="5">
        <f>IFERROR(AVERAGEIFS(交易明細!$K$2:$K$38,交易明細!$B$2:$B$38,$A11,交易明細!$J$2:$J$38,"&lt;&gt;未平倉"),0)</f>
        <v/>
      </c>
      <c r="L11" s="2">
        <f>COUNTIFS(交易明細!$B$2:$B$38,$A11,交易明細!$J$2:$J$38,"未平倉")</f>
        <v/>
      </c>
    </row>
    <row r="12">
      <c r="A12" s="2" t="inlineStr">
        <is>
          <t>ACE_USDT_PERP</t>
        </is>
      </c>
      <c r="B12" s="2">
        <f>COUNTIFS(交易明細!$B$2:$B$38,$A12)</f>
        <v/>
      </c>
      <c r="C12" s="2">
        <f>COUNTIFS(交易明細!$B$2:$B$38,$A12,交易明細!$C$2:$C$38,"做多")</f>
        <v/>
      </c>
      <c r="D12" s="2">
        <f>COUNTIFS(交易明細!$B$2:$B$38,$A12,交易明細!$C$2:$C$38,"做空")</f>
        <v/>
      </c>
      <c r="E12" s="2">
        <f>F12+G12+COUNTIFS(交易明細!$B$2:$B$38,$A12,交易明細!$J$2:$J$38,"時間出場")</f>
        <v/>
      </c>
      <c r="F12" s="2">
        <f>COUNTIFS(交易明細!$B$2:$B$38,$A12,交易明細!$J$2:$J$38,"止盈")</f>
        <v/>
      </c>
      <c r="G12" s="2">
        <f>COUNTIFS(交易明細!$B$2:$B$38,$A12,交易明細!$J$2:$J$38,"止損")</f>
        <v/>
      </c>
      <c r="H12" s="4">
        <f>IFERROR(F12/E12,0)</f>
        <v/>
      </c>
      <c r="I12" s="4">
        <f>IFERROR(AVERAGEIFS(交易明細!$L$2:$L$38,交易明細!$B$2:$B$38,$A12,交易明細!$J$2:$J$38,"&lt;&gt;未平倉"),0)</f>
        <v/>
      </c>
      <c r="J12" s="4">
        <f>SUMIFS(交易明細!$L$2:$L$38,交易明細!$B$2:$B$38,$A12,交易明細!$J$2:$J$38,"&lt;&gt;未平倉")</f>
        <v/>
      </c>
      <c r="K12" s="5">
        <f>IFERROR(AVERAGEIFS(交易明細!$K$2:$K$38,交易明細!$B$2:$B$38,$A12,交易明細!$J$2:$J$38,"&lt;&gt;未平倉"),0)</f>
        <v/>
      </c>
      <c r="L12" s="2">
        <f>COUNTIFS(交易明細!$B$2:$B$38,$A12,交易明細!$J$2:$J$38,"未平倉")</f>
        <v/>
      </c>
    </row>
    <row r="13">
      <c r="A13" s="2" t="inlineStr">
        <is>
          <t>ARB_USDT_PERP</t>
        </is>
      </c>
      <c r="B13" s="2">
        <f>COUNTIFS(交易明細!$B$2:$B$38,$A13)</f>
        <v/>
      </c>
      <c r="C13" s="2">
        <f>COUNTIFS(交易明細!$B$2:$B$38,$A13,交易明細!$C$2:$C$38,"做多")</f>
        <v/>
      </c>
      <c r="D13" s="2">
        <f>COUNTIFS(交易明細!$B$2:$B$38,$A13,交易明細!$C$2:$C$38,"做空")</f>
        <v/>
      </c>
      <c r="E13" s="2">
        <f>F13+G13+COUNTIFS(交易明細!$B$2:$B$38,$A13,交易明細!$J$2:$J$38,"時間出場")</f>
        <v/>
      </c>
      <c r="F13" s="2">
        <f>COUNTIFS(交易明細!$B$2:$B$38,$A13,交易明細!$J$2:$J$38,"止盈")</f>
        <v/>
      </c>
      <c r="G13" s="2">
        <f>COUNTIFS(交易明細!$B$2:$B$38,$A13,交易明細!$J$2:$J$38,"止損")</f>
        <v/>
      </c>
      <c r="H13" s="4">
        <f>IFERROR(F13/E13,0)</f>
        <v/>
      </c>
      <c r="I13" s="4">
        <f>IFERROR(AVERAGEIFS(交易明細!$L$2:$L$38,交易明細!$B$2:$B$38,$A13,交易明細!$J$2:$J$38,"&lt;&gt;未平倉"),0)</f>
        <v/>
      </c>
      <c r="J13" s="4">
        <f>SUMIFS(交易明細!$L$2:$L$38,交易明細!$B$2:$B$38,$A13,交易明細!$J$2:$J$38,"&lt;&gt;未平倉")</f>
        <v/>
      </c>
      <c r="K13" s="5">
        <f>IFERROR(AVERAGEIFS(交易明細!$K$2:$K$38,交易明細!$B$2:$B$38,$A13,交易明細!$J$2:$J$38,"&lt;&gt;未平倉"),0)</f>
        <v/>
      </c>
      <c r="L13" s="2">
        <f>COUNTIFS(交易明細!$B$2:$B$38,$A13,交易明細!$J$2:$J$38,"未平倉")</f>
        <v/>
      </c>
    </row>
    <row r="14">
      <c r="A14" s="2" t="inlineStr">
        <is>
          <t>DASH_USDT_PERP</t>
        </is>
      </c>
      <c r="B14" s="2">
        <f>COUNTIFS(交易明細!$B$2:$B$38,$A14)</f>
        <v/>
      </c>
      <c r="C14" s="2">
        <f>COUNTIFS(交易明細!$B$2:$B$38,$A14,交易明細!$C$2:$C$38,"做多")</f>
        <v/>
      </c>
      <c r="D14" s="2">
        <f>COUNTIFS(交易明細!$B$2:$B$38,$A14,交易明細!$C$2:$C$38,"做空")</f>
        <v/>
      </c>
      <c r="E14" s="2">
        <f>F14+G14+COUNTIFS(交易明細!$B$2:$B$38,$A14,交易明細!$J$2:$J$38,"時間出場")</f>
        <v/>
      </c>
      <c r="F14" s="2">
        <f>COUNTIFS(交易明細!$B$2:$B$38,$A14,交易明細!$J$2:$J$38,"止盈")</f>
        <v/>
      </c>
      <c r="G14" s="2">
        <f>COUNTIFS(交易明細!$B$2:$B$38,$A14,交易明細!$J$2:$J$38,"止損")</f>
        <v/>
      </c>
      <c r="H14" s="4">
        <f>IFERROR(F14/E14,0)</f>
        <v/>
      </c>
      <c r="I14" s="4">
        <f>IFERROR(AVERAGEIFS(交易明細!$L$2:$L$38,交易明細!$B$2:$B$38,$A14,交易明細!$J$2:$J$38,"&lt;&gt;未平倉"),0)</f>
        <v/>
      </c>
      <c r="J14" s="4">
        <f>SUMIFS(交易明細!$L$2:$L$38,交易明細!$B$2:$B$38,$A14,交易明細!$J$2:$J$38,"&lt;&gt;未平倉")</f>
        <v/>
      </c>
      <c r="K14" s="5">
        <f>IFERROR(AVERAGEIFS(交易明細!$K$2:$K$38,交易明細!$B$2:$B$38,$A14,交易明細!$J$2:$J$38,"&lt;&gt;未平倉"),0)</f>
        <v/>
      </c>
      <c r="L14" s="2">
        <f>COUNTIFS(交易明細!$B$2:$B$38,$A14,交易明細!$J$2:$J$38,"未平倉")</f>
        <v/>
      </c>
    </row>
    <row r="15">
      <c r="A15" s="2" t="inlineStr">
        <is>
          <t>IOST_USDT_PERP</t>
        </is>
      </c>
      <c r="B15" s="2">
        <f>COUNTIFS(交易明細!$B$2:$B$38,$A15)</f>
        <v/>
      </c>
      <c r="C15" s="2">
        <f>COUNTIFS(交易明細!$B$2:$B$38,$A15,交易明細!$C$2:$C$38,"做多")</f>
        <v/>
      </c>
      <c r="D15" s="2">
        <f>COUNTIFS(交易明細!$B$2:$B$38,$A15,交易明細!$C$2:$C$38,"做空")</f>
        <v/>
      </c>
      <c r="E15" s="2">
        <f>F15+G15+COUNTIFS(交易明細!$B$2:$B$38,$A15,交易明細!$J$2:$J$38,"時間出場")</f>
        <v/>
      </c>
      <c r="F15" s="2">
        <f>COUNTIFS(交易明細!$B$2:$B$38,$A15,交易明細!$J$2:$J$38,"止盈")</f>
        <v/>
      </c>
      <c r="G15" s="2">
        <f>COUNTIFS(交易明細!$B$2:$B$38,$A15,交易明細!$J$2:$J$38,"止損")</f>
        <v/>
      </c>
      <c r="H15" s="4">
        <f>IFERROR(F15/E15,0)</f>
        <v/>
      </c>
      <c r="I15" s="4">
        <f>IFERROR(AVERAGEIFS(交易明細!$L$2:$L$38,交易明細!$B$2:$B$38,$A15,交易明細!$J$2:$J$38,"&lt;&gt;未平倉"),0)</f>
        <v/>
      </c>
      <c r="J15" s="4">
        <f>SUMIFS(交易明細!$L$2:$L$38,交易明細!$B$2:$B$38,$A15,交易明細!$J$2:$J$38,"&lt;&gt;未平倉")</f>
        <v/>
      </c>
      <c r="K15" s="5">
        <f>IFERROR(AVERAGEIFS(交易明細!$K$2:$K$38,交易明細!$B$2:$B$38,$A15,交易明細!$J$2:$J$38,"&lt;&gt;未平倉"),0)</f>
        <v/>
      </c>
      <c r="L15" s="2">
        <f>COUNTIFS(交易明細!$B$2:$B$38,$A15,交易明細!$J$2:$J$38,"未平倉")</f>
        <v/>
      </c>
    </row>
    <row r="16">
      <c r="A16" s="2" t="inlineStr">
        <is>
          <t>CASHCAT_USDT_PERP</t>
        </is>
      </c>
      <c r="B16" s="2">
        <f>COUNTIFS(交易明細!$B$2:$B$38,$A16)</f>
        <v/>
      </c>
      <c r="C16" s="2">
        <f>COUNTIFS(交易明細!$B$2:$B$38,$A16,交易明細!$C$2:$C$38,"做多")</f>
        <v/>
      </c>
      <c r="D16" s="2">
        <f>COUNTIFS(交易明細!$B$2:$B$38,$A16,交易明細!$C$2:$C$38,"做空")</f>
        <v/>
      </c>
      <c r="E16" s="2">
        <f>F16+G16+COUNTIFS(交易明細!$B$2:$B$38,$A16,交易明細!$J$2:$J$38,"時間出場")</f>
        <v/>
      </c>
      <c r="F16" s="2">
        <f>COUNTIFS(交易明細!$B$2:$B$38,$A16,交易明細!$J$2:$J$38,"止盈")</f>
        <v/>
      </c>
      <c r="G16" s="2">
        <f>COUNTIFS(交易明細!$B$2:$B$38,$A16,交易明細!$J$2:$J$38,"止損")</f>
        <v/>
      </c>
      <c r="H16" s="4">
        <f>IFERROR(F16/E16,0)</f>
        <v/>
      </c>
      <c r="I16" s="4">
        <f>IFERROR(AVERAGEIFS(交易明細!$L$2:$L$38,交易明細!$B$2:$B$38,$A16,交易明細!$J$2:$J$38,"&lt;&gt;未平倉"),0)</f>
        <v/>
      </c>
      <c r="J16" s="4">
        <f>SUMIFS(交易明細!$L$2:$L$38,交易明細!$B$2:$B$38,$A16,交易明細!$J$2:$J$38,"&lt;&gt;未平倉")</f>
        <v/>
      </c>
      <c r="K16" s="5">
        <f>IFERROR(AVERAGEIFS(交易明細!$K$2:$K$38,交易明細!$B$2:$B$38,$A16,交易明細!$J$2:$J$38,"&lt;&gt;未平倉"),0)</f>
        <v/>
      </c>
      <c r="L16" s="2">
        <f>COUNTIFS(交易明細!$B$2:$B$38,$A16,交易明細!$J$2:$J$38,"未平倉")</f>
        <v/>
      </c>
    </row>
    <row r="17">
      <c r="A17" s="2" t="inlineStr">
        <is>
          <t>LAB_USDT_PERP</t>
        </is>
      </c>
      <c r="B17" s="2">
        <f>COUNTIFS(交易明細!$B$2:$B$38,$A17)</f>
        <v/>
      </c>
      <c r="C17" s="2">
        <f>COUNTIFS(交易明細!$B$2:$B$38,$A17,交易明細!$C$2:$C$38,"做多")</f>
        <v/>
      </c>
      <c r="D17" s="2">
        <f>COUNTIFS(交易明細!$B$2:$B$38,$A17,交易明細!$C$2:$C$38,"做空")</f>
        <v/>
      </c>
      <c r="E17" s="2">
        <f>F17+G17+COUNTIFS(交易明細!$B$2:$B$38,$A17,交易明細!$J$2:$J$38,"時間出場")</f>
        <v/>
      </c>
      <c r="F17" s="2">
        <f>COUNTIFS(交易明細!$B$2:$B$38,$A17,交易明細!$J$2:$J$38,"止盈")</f>
        <v/>
      </c>
      <c r="G17" s="2">
        <f>COUNTIFS(交易明細!$B$2:$B$38,$A17,交易明細!$J$2:$J$38,"止損")</f>
        <v/>
      </c>
      <c r="H17" s="4">
        <f>IFERROR(F17/E17,0)</f>
        <v/>
      </c>
      <c r="I17" s="4">
        <f>IFERROR(AVERAGEIFS(交易明細!$L$2:$L$38,交易明細!$B$2:$B$38,$A17,交易明細!$J$2:$J$38,"&lt;&gt;未平倉"),0)</f>
        <v/>
      </c>
      <c r="J17" s="4">
        <f>SUMIFS(交易明細!$L$2:$L$38,交易明細!$B$2:$B$38,$A17,交易明細!$J$2:$J$38,"&lt;&gt;未平倉")</f>
        <v/>
      </c>
      <c r="K17" s="5">
        <f>IFERROR(AVERAGEIFS(交易明細!$K$2:$K$38,交易明細!$B$2:$B$38,$A17,交易明細!$J$2:$J$38,"&lt;&gt;未平倉"),0)</f>
        <v/>
      </c>
      <c r="L17" s="2">
        <f>COUNTIFS(交易明細!$B$2:$B$38,$A17,交易明細!$J$2:$J$38,"未平倉")</f>
        <v/>
      </c>
    </row>
  </sheetData>
  <autoFilter ref="A1:L1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2026-09-18T00:30:08Z</dcterms:created>
  <dcterms:modified xsi:type="dcterms:W3CDTF">2026-09-18T00:30:08Z</dcterms:modified>
</cp:coreProperties>
</file>