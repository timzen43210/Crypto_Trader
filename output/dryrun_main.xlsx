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'資金明細'!$A$1:$Z$69</definedName>
    <definedName name="_xlnm._FilterDatabase" localSheetId="6" hidden="1">'交易明細'!$A$1:$AC$35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46282.04552453704</v>
      </c>
      <c r="B2" s="7" t="n">
        <v>46282</v>
      </c>
      <c r="C2" s="2" t="n">
        <v>440</v>
      </c>
      <c r="D2" s="2" t="n">
        <v>1</v>
      </c>
      <c r="E2" s="2" t="n">
        <v>0</v>
      </c>
      <c r="F2" s="2" t="n">
        <v>0</v>
      </c>
      <c r="G2" s="2" t="n">
        <v>52.9</v>
      </c>
    </row>
    <row r="3">
      <c r="A3" s="7" t="n">
        <v>46281.82298537037</v>
      </c>
      <c r="B3" s="7" t="n">
        <v>46281.75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65.7</v>
      </c>
    </row>
    <row r="4">
      <c r="A4" s="7" t="n">
        <v>46281.58829054398</v>
      </c>
      <c r="B4" s="7" t="n">
        <v>46281.54166666666</v>
      </c>
      <c r="C4" s="2" t="n">
        <v>440</v>
      </c>
      <c r="D4" s="2" t="n">
        <v>2</v>
      </c>
      <c r="E4" s="2" t="n">
        <v>1</v>
      </c>
      <c r="F4" s="2" t="n">
        <v>0</v>
      </c>
      <c r="G4" s="2" t="n">
        <v>54.5</v>
      </c>
    </row>
    <row r="5">
      <c r="A5" s="7" t="n">
        <v>46281.35205523148</v>
      </c>
      <c r="B5" s="7" t="n">
        <v>46281.29166666666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66.90000000000001</v>
      </c>
    </row>
    <row r="6">
      <c r="A6" s="7" t="n">
        <v>46281.22963460648</v>
      </c>
      <c r="B6" s="7" t="n">
        <v>46281.16666666666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61.9</v>
      </c>
    </row>
    <row r="7">
      <c r="A7" s="7" t="n">
        <v>46281.094529375</v>
      </c>
      <c r="B7" s="7" t="n">
        <v>46281.04166666666</v>
      </c>
      <c r="C7" s="2" t="n">
        <v>442</v>
      </c>
      <c r="D7" s="2" t="n">
        <v>2</v>
      </c>
      <c r="E7" s="2" t="n">
        <v>2</v>
      </c>
      <c r="F7" s="2" t="n">
        <v>0</v>
      </c>
      <c r="G7" s="2" t="n">
        <v>46.5</v>
      </c>
    </row>
    <row r="8">
      <c r="A8" s="7" t="n">
        <v>46280.9017994676</v>
      </c>
      <c r="B8" s="7" t="n">
        <v>46280.83333333334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56.7</v>
      </c>
    </row>
    <row r="9">
      <c r="A9" s="7" t="n">
        <v>46280.66002480324</v>
      </c>
      <c r="B9" s="7" t="n">
        <v>46280.58333333334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67.40000000000001</v>
      </c>
    </row>
    <row r="10">
      <c r="A10" s="7" t="n">
        <v>46280.4778358449</v>
      </c>
      <c r="B10" s="7" t="n">
        <v>46280.41666666666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61.2</v>
      </c>
    </row>
    <row r="11">
      <c r="A11" s="7" t="n">
        <v>46280.39795681713</v>
      </c>
      <c r="B11" s="7" t="n">
        <v>46280.33333333334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46280.29983445602</v>
      </c>
      <c r="B12" s="7" t="n">
        <v>46280.25</v>
      </c>
      <c r="C12" s="2" t="n">
        <v>442</v>
      </c>
      <c r="D12" s="2" t="n">
        <v>0</v>
      </c>
      <c r="E12" s="2" t="n">
        <v>1</v>
      </c>
      <c r="F12" s="2" t="n">
        <v>0</v>
      </c>
      <c r="G12" s="2" t="n">
        <v>51.6</v>
      </c>
    </row>
    <row r="13">
      <c r="A13" s="7" t="n">
        <v>46280.14350143519</v>
      </c>
      <c r="B13" s="7" t="n">
        <v>46280.08333333334</v>
      </c>
      <c r="C13" s="2" t="n">
        <v>442</v>
      </c>
      <c r="D13" s="2" t="n">
        <v>1</v>
      </c>
      <c r="E13" s="2" t="n">
        <v>0</v>
      </c>
      <c r="F13" s="2" t="n">
        <v>0</v>
      </c>
      <c r="G13" s="2" t="n">
        <v>57.3</v>
      </c>
    </row>
    <row r="14">
      <c r="A14" s="7" t="n">
        <v>46279.92418226852</v>
      </c>
      <c r="B14" s="7" t="n">
        <v>46279.875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48.1</v>
      </c>
    </row>
    <row r="15">
      <c r="A15" s="7" t="n">
        <v>46279.59996445602</v>
      </c>
      <c r="B15" s="7" t="n">
        <v>46279.54166666666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</v>
      </c>
    </row>
    <row r="16">
      <c r="A16" s="7" t="n">
        <v>46279.38316741898</v>
      </c>
      <c r="B16" s="7" t="n">
        <v>46279.33333333334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59.9</v>
      </c>
    </row>
    <row r="17">
      <c r="A17" s="7" t="n">
        <v>46279.26932584491</v>
      </c>
      <c r="B17" s="7" t="n">
        <v>46279.20833333334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61.1</v>
      </c>
    </row>
    <row r="18">
      <c r="A18" s="7" t="n">
        <v>46279.14665413195</v>
      </c>
      <c r="B18" s="7" t="n">
        <v>46279.08333333334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55.1</v>
      </c>
    </row>
    <row r="19">
      <c r="A19" s="7" t="n">
        <v>46279.01733591435</v>
      </c>
      <c r="B19" s="7" t="n">
        <v>46278.95833333334</v>
      </c>
      <c r="C19" s="2" t="n">
        <v>442</v>
      </c>
      <c r="D19" s="2" t="n">
        <v>1</v>
      </c>
      <c r="E19" s="2" t="n">
        <v>1</v>
      </c>
      <c r="F19" s="2" t="n">
        <v>0</v>
      </c>
      <c r="G19" s="2" t="n">
        <v>59.7</v>
      </c>
    </row>
    <row r="20">
      <c r="A20" s="7" t="n">
        <v>46278.83725055555</v>
      </c>
      <c r="B20" s="7" t="n">
        <v>46278.79166666666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65.40000000000001</v>
      </c>
    </row>
    <row r="21">
      <c r="A21" s="7" t="n">
        <v>46278.71111972223</v>
      </c>
      <c r="B21" s="7" t="n">
        <v>46278.66666666666</v>
      </c>
      <c r="C21" s="2" t="n">
        <v>442</v>
      </c>
      <c r="D21" s="2" t="n">
        <v>0</v>
      </c>
      <c r="E21" s="2" t="n">
        <v>1</v>
      </c>
      <c r="F21" s="2" t="n">
        <v>0</v>
      </c>
      <c r="G21" s="2" t="n">
        <v>63.6</v>
      </c>
    </row>
    <row r="22">
      <c r="A22" s="7" t="n">
        <v>46278.68053923611</v>
      </c>
      <c r="B22" s="7" t="n">
        <v>46278.625</v>
      </c>
      <c r="C22" s="2" t="n">
        <v>442</v>
      </c>
      <c r="D22" s="2" t="n">
        <v>2</v>
      </c>
      <c r="E22" s="2" t="n">
        <v>1</v>
      </c>
      <c r="F22" s="2" t="n">
        <v>0</v>
      </c>
      <c r="G22" s="2" t="n">
        <v>63.6</v>
      </c>
    </row>
    <row r="23">
      <c r="A23" s="7" t="n">
        <v>46278.07354997685</v>
      </c>
      <c r="B23" s="7" t="n">
        <v>46278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50.2</v>
      </c>
    </row>
    <row r="24">
      <c r="A24" s="7" t="n">
        <v>46277.94390239583</v>
      </c>
      <c r="B24" s="7" t="n">
        <v>46277.875</v>
      </c>
      <c r="C24" s="2" t="n">
        <v>442</v>
      </c>
      <c r="D24" s="2" t="n">
        <v>25</v>
      </c>
      <c r="E24" s="2" t="n">
        <v>25</v>
      </c>
      <c r="F24" s="2" t="n">
        <v>0</v>
      </c>
      <c r="G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74</v>
      </c>
      <c r="C6" s="10" t="n">
        <v>0.5675675675675675</v>
      </c>
      <c r="D6" s="4" t="n">
        <v>-0.005594594594594606</v>
      </c>
      <c r="E6" s="2" t="n">
        <v>36</v>
      </c>
      <c r="F6" s="10" t="n">
        <v>0.6388888888888888</v>
      </c>
      <c r="G6" s="4" t="n">
        <v>0.000111111111111105</v>
      </c>
      <c r="H6" s="2" t="n">
        <v>30</v>
      </c>
      <c r="I6" s="10" t="n">
        <v>0.5666666666666667</v>
      </c>
      <c r="J6" s="4" t="n">
        <v>-0.005666666666666671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21</v>
      </c>
      <c r="R6" s="10" t="n">
        <v>0.7142857142857143</v>
      </c>
      <c r="S6" s="4" t="n">
        <v>0.006142857142857143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8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8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MAX(資金明細!$S$2:$S$69)</f>
        <v/>
      </c>
    </row>
    <row r="16">
      <c r="D16" s="2" t="inlineStr">
        <is>
          <t>期末下單金額</t>
        </is>
      </c>
      <c r="E16" s="19">
        <f>B5*資金明細!V69</f>
        <v/>
      </c>
    </row>
    <row r="17">
      <c r="D17" s="2" t="inlineStr">
        <is>
          <t>未平倉浮動損益（未計入）</t>
        </is>
      </c>
      <c r="E17" s="13">
        <f>IF(資金明細!N69="已下單",資金明細!O69*交易明細!L35,0)</f>
        <v/>
      </c>
    </row>
    <row r="18">
      <c r="D18" s="2" t="inlineStr">
        <is>
          <t>最大總曝險倍數</t>
        </is>
      </c>
      <c r="E18" s="19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8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inlineStr">
        <is>
          <t>未平倉</t>
        </is>
      </c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46282.04166666666</v>
      </c>
      <c r="I35" s="20" t="n">
        <v>0.2279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0.005422222222222217</v>
      </c>
      <c r="T35" s="4" t="n">
        <v>0.02377777777777768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</sheetData>
  <autoFilter ref="A1:AC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USELESS_USDT_PERP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PONS_USDT_PERP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UAI_USDT_PERP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VVV_USDT_PERP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HEMI_USDT_PERP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BULLA_USDT_PERP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RIVER_USDT_PERP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牛来_USDT_PERP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ACE_USDT_PERP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ARB_USDT_PERP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DASH_USDT_PERP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IOST_USDT_PERP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AKE_USDT_PERP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LAB_USDT_PERP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2026-09-16T17:06:26Z</dcterms:created>
  <dcterms:modified xsi:type="dcterms:W3CDTF">2026-09-16T17:06:26Z</dcterms:modified>
</cp:coreProperties>
</file>