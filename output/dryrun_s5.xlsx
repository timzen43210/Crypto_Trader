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'資金明細'!$A$1:$Z$43</definedName>
    <definedName name="_xlnm._FilterDatabase" localSheetId="5" hidden="1">'交易明細'!$A$1:$AH$22</definedName>
    <definedName name="_xlnm._FilterDatabase" localSheetId="6" hidden="1">'幣種統計'!$A$1:$L$18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COUNTIFS(交易明細!$B$2:$B$22,"&lt;&gt;")</f>
        <v/>
      </c>
      <c r="C5" s="2">
        <f>D5+E5+F5</f>
        <v/>
      </c>
      <c r="D5" s="2">
        <f>COUNTIFS(交易明細!$J$2:$J$22,"止盈")</f>
        <v/>
      </c>
      <c r="E5" s="2">
        <f>COUNTIFS(交易明細!$J$2:$J$22,"止損")</f>
        <v/>
      </c>
      <c r="F5" s="2">
        <f>COUNTIFS(交易明細!$J$2:$J$22,"時間出場")</f>
        <v/>
      </c>
      <c r="G5" s="2">
        <f>COUNTIFS(交易明細!$J$2:$J$22,"未平倉")</f>
        <v/>
      </c>
      <c r="H5" s="4">
        <f>IFERROR(D5/C5,0)</f>
        <v/>
      </c>
      <c r="I5" s="4">
        <f>IFERROR(AVERAGEIFS(交易明細!$AC$2:$AC$22,交易明細!$J$2:$J$22,"&lt;&gt;未平倉"),參數!$B$16)</f>
        <v/>
      </c>
      <c r="J5" s="4">
        <f>IFERROR(AVERAGEIFS(交易明細!$L$2:$L$22,交易明細!$J$2:$J$22,"&lt;&gt;未平倉"),0)</f>
        <v/>
      </c>
      <c r="K5" s="4">
        <f>SUMIFS(交易明細!$L$2:$L$22,交易明細!$J$2:$J$22,"&lt;&gt;未平倉")</f>
        <v/>
      </c>
      <c r="L5" s="5">
        <f>IFERROR(AVERAGEIFS(交易明細!$K$2:$K$22,交易明細!$J$2:$J$22,"&lt;&gt;未平倉"),0)</f>
        <v/>
      </c>
      <c r="M5" s="5">
        <f>IFERROR(AVERAGEIFS(交易明細!$K$2:$K$22,交易明細!$J$2:$J$22,"止盈"),0)</f>
        <v/>
      </c>
      <c r="N5" s="5">
        <f>IFERROR(AVERAGEIFS(交易明細!$K$2:$K$22,交易明細!$J$2:$J$22,"止損"),0)</f>
        <v/>
      </c>
      <c r="O5" s="4">
        <f>IFERROR(AVERAGEIFS(交易明細!$L$2:$L$22,交易明細!$J$2:$J$22,"時間出場"),0)</f>
        <v/>
      </c>
      <c r="P5" s="4">
        <f>IFERROR(COUNTIFS(交易明細!$J$2:$J$22,"&lt;&gt;未平倉",交易明細!$L$2:$L$22,"&gt;0")/C5,0)</f>
        <v/>
      </c>
    </row>
    <row r="6">
      <c r="A6" s="2" t="inlineStr">
        <is>
          <t>做多</t>
        </is>
      </c>
      <c r="B6" s="2">
        <f>COUNTIFS(交易明細!$C$2:$C$22,"做多",交易明細!$B$2:$B$22,"&lt;&gt;")</f>
        <v/>
      </c>
      <c r="C6" s="2">
        <f>D6+E6+F6</f>
        <v/>
      </c>
      <c r="D6" s="2">
        <f>COUNTIFS(交易明細!$C$2:$C$22,"做多",交易明細!$J$2:$J$22,"止盈")</f>
        <v/>
      </c>
      <c r="E6" s="2">
        <f>COUNTIFS(交易明細!$C$2:$C$22,"做多",交易明細!$J$2:$J$22,"止損")</f>
        <v/>
      </c>
      <c r="F6" s="2">
        <f>COUNTIFS(交易明細!$C$2:$C$22,"做多",交易明細!$J$2:$J$22,"時間出場")</f>
        <v/>
      </c>
      <c r="G6" s="2">
        <f>COUNTIFS(交易明細!$C$2:$C$22,"做多",交易明細!$J$2:$J$22,"未平倉")</f>
        <v/>
      </c>
      <c r="H6" s="4">
        <f>IFERROR(D6/C6,0)</f>
        <v/>
      </c>
      <c r="I6" s="4">
        <f>IFERROR(AVERAGEIFS(交易明細!$AC$2:$AC$22,交易明細!$C$2:$C$22,"做多",交易明細!$J$2:$J$22,"&lt;&gt;未平倉"),參數!$B$16)</f>
        <v/>
      </c>
      <c r="J6" s="4">
        <f>IFERROR(AVERAGEIFS(交易明細!$L$2:$L$22,交易明細!$C$2:$C$22,"做多",交易明細!$J$2:$J$22,"&lt;&gt;未平倉"),0)</f>
        <v/>
      </c>
      <c r="K6" s="4">
        <f>SUMIFS(交易明細!$L$2:$L$22,交易明細!$C$2:$C$22,"做多",交易明細!$J$2:$J$22,"&lt;&gt;未平倉")</f>
        <v/>
      </c>
      <c r="L6" s="5">
        <f>IFERROR(AVERAGEIFS(交易明細!$K$2:$K$22,交易明細!$C$2:$C$22,"做多",交易明細!$J$2:$J$22,"&lt;&gt;未平倉"),0)</f>
        <v/>
      </c>
      <c r="M6" s="5">
        <f>IFERROR(AVERAGEIFS(交易明細!$K$2:$K$22,交易明細!$C$2:$C$22,"做多",交易明細!$J$2:$J$22,"止盈"),0)</f>
        <v/>
      </c>
      <c r="N6" s="5">
        <f>IFERROR(AVERAGEIFS(交易明細!$K$2:$K$22,交易明細!$C$2:$C$22,"做多",交易明細!$J$2:$J$22,"止損"),0)</f>
        <v/>
      </c>
      <c r="O6" s="4">
        <f>IFERROR(AVERAGEIFS(交易明細!$L$2:$L$22,交易明細!$C$2:$C$22,"做多",交易明細!$J$2:$J$22,"時間出場"),0)</f>
        <v/>
      </c>
      <c r="P6" s="4">
        <f>IFERROR(COUNTIFS(交易明細!$C$2:$C$22,"做多",交易明細!$J$2:$J$22,"&lt;&gt;未平倉",交易明細!$L$2:$L$22,"&gt;0")/C6,0)</f>
        <v/>
      </c>
    </row>
    <row r="7">
      <c r="A7" s="2" t="inlineStr">
        <is>
          <t>做空</t>
        </is>
      </c>
      <c r="B7" s="2">
        <f>COUNTIFS(交易明細!$C$2:$C$22,"做空",交易明細!$B$2:$B$22,"&lt;&gt;")</f>
        <v/>
      </c>
      <c r="C7" s="2">
        <f>D7+E7+F7</f>
        <v/>
      </c>
      <c r="D7" s="2">
        <f>COUNTIFS(交易明細!$C$2:$C$22,"做空",交易明細!$J$2:$J$22,"止盈")</f>
        <v/>
      </c>
      <c r="E7" s="2">
        <f>COUNTIFS(交易明細!$C$2:$C$22,"做空",交易明細!$J$2:$J$22,"止損")</f>
        <v/>
      </c>
      <c r="F7" s="2">
        <f>COUNTIFS(交易明細!$C$2:$C$22,"做空",交易明細!$J$2:$J$22,"時間出場")</f>
        <v/>
      </c>
      <c r="G7" s="2">
        <f>COUNTIFS(交易明細!$C$2:$C$22,"做空",交易明細!$J$2:$J$22,"未平倉")</f>
        <v/>
      </c>
      <c r="H7" s="4">
        <f>IFERROR(D7/C7,0)</f>
        <v/>
      </c>
      <c r="I7" s="4">
        <f>IFERROR(AVERAGEIFS(交易明細!$AC$2:$AC$22,交易明細!$C$2:$C$22,"做空",交易明細!$J$2:$J$22,"&lt;&gt;未平倉"),參數!$B$16)</f>
        <v/>
      </c>
      <c r="J7" s="4">
        <f>IFERROR(AVERAGEIFS(交易明細!$L$2:$L$22,交易明細!$C$2:$C$22,"做空",交易明細!$J$2:$J$22,"&lt;&gt;未平倉"),0)</f>
        <v/>
      </c>
      <c r="K7" s="4">
        <f>SUMIFS(交易明細!$L$2:$L$22,交易明細!$C$2:$C$22,"做空",交易明細!$J$2:$J$22,"&lt;&gt;未平倉")</f>
        <v/>
      </c>
      <c r="L7" s="5">
        <f>IFERROR(AVERAGEIFS(交易明細!$K$2:$K$22,交易明細!$C$2:$C$22,"做空",交易明細!$J$2:$J$22,"&lt;&gt;未平倉"),0)</f>
        <v/>
      </c>
      <c r="M7" s="5">
        <f>IFERROR(AVERAGEIFS(交易明細!$K$2:$K$22,交易明細!$C$2:$C$22,"做空",交易明細!$J$2:$J$22,"止盈"),0)</f>
        <v/>
      </c>
      <c r="N7" s="5">
        <f>IFERROR(AVERAGEIFS(交易明細!$K$2:$K$22,交易明細!$C$2:$C$22,"做空",交易明細!$J$2:$J$22,"止損"),0)</f>
        <v/>
      </c>
      <c r="O7" s="4">
        <f>IFERROR(AVERAGEIFS(交易明細!$L$2:$L$22,交易明細!$C$2:$C$22,"做空",交易明細!$J$2:$J$22,"時間出場"),0)</f>
        <v/>
      </c>
      <c r="P7" s="4">
        <f>IFERROR(COUNTIFS(交易明細!$C$2:$C$22,"做空",交易明細!$J$2:$J$22,"&lt;&gt;未平倉",交易明細!$L$2:$L$22,"&gt;0")/C7,0)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46291.93749069444</v>
      </c>
      <c r="B2" s="7" t="n">
        <v>46291.93611111111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163.1</v>
      </c>
    </row>
    <row r="3">
      <c r="A3" s="7" t="n">
        <v>46291.88266193287</v>
      </c>
      <c r="B3" s="7" t="n">
        <v>46291.88194444445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46291.83751681713</v>
      </c>
      <c r="B4" s="7" t="n">
        <v>46291.83680555555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186.6</v>
      </c>
    </row>
    <row r="5">
      <c r="A5" s="7" t="n">
        <v>46291.78589450232</v>
      </c>
      <c r="B5" s="7" t="n">
        <v>46291.78472222222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157.8</v>
      </c>
    </row>
    <row r="6">
      <c r="A6" s="7" t="n">
        <v>46291.65882908565</v>
      </c>
      <c r="B6" s="7" t="n">
        <v>46291.65763888889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175.7</v>
      </c>
    </row>
    <row r="7">
      <c r="A7" s="7" t="n">
        <v>46291.63896155093</v>
      </c>
      <c r="B7" s="7" t="n">
        <v>46291.63819444444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177.9</v>
      </c>
    </row>
    <row r="8">
      <c r="A8" s="7" t="n">
        <v>46291.63155474537</v>
      </c>
      <c r="B8" s="7" t="n">
        <v>46291.63055555556</v>
      </c>
      <c r="C8" s="2" t="n">
        <v>433</v>
      </c>
      <c r="D8" s="2" t="n">
        <v>2</v>
      </c>
      <c r="E8" s="2" t="n">
        <v>1</v>
      </c>
      <c r="F8" s="2" t="n">
        <v>0</v>
      </c>
      <c r="G8" s="2" t="n">
        <v>172.6</v>
      </c>
    </row>
    <row r="9">
      <c r="A9" s="7" t="n">
        <v>46291.58748165509</v>
      </c>
      <c r="B9" s="7" t="n">
        <v>46291.58611111111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</v>
      </c>
    </row>
    <row r="10">
      <c r="A10" s="7" t="n">
        <v>46291.52177836806</v>
      </c>
      <c r="B10" s="7" t="n">
        <v>46291.52083333334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187.5</v>
      </c>
    </row>
    <row r="11">
      <c r="A11" s="7" t="n">
        <v>46291.40186751157</v>
      </c>
      <c r="B11" s="7" t="n">
        <v>46291.40069444444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188.1</v>
      </c>
    </row>
    <row r="12">
      <c r="A12" s="7" t="n">
        <v>46291.36540915509</v>
      </c>
      <c r="B12" s="7" t="n">
        <v>46291.36458333334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46291.26887001158</v>
      </c>
      <c r="B13" s="7" t="n">
        <v>46291.26805555556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184.5</v>
      </c>
    </row>
    <row r="14">
      <c r="A14" s="7" t="n">
        <v>46291.2560487963</v>
      </c>
      <c r="B14" s="7" t="n">
        <v>46291.25486111111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191.6</v>
      </c>
    </row>
    <row r="15">
      <c r="A15" s="7" t="n">
        <v>46291.11246790509</v>
      </c>
      <c r="B15" s="7" t="n">
        <v>46291.11111111111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182.3</v>
      </c>
    </row>
    <row r="16">
      <c r="A16" s="7" t="n">
        <v>46291.02308788194</v>
      </c>
      <c r="B16" s="7" t="n">
        <v>46291.02222222222</v>
      </c>
      <c r="C16" s="2" t="n">
        <v>433</v>
      </c>
      <c r="D16" s="2" t="n">
        <v>2</v>
      </c>
      <c r="E16" s="2" t="n">
        <v>2</v>
      </c>
      <c r="F16" s="2" t="n">
        <v>0</v>
      </c>
      <c r="G16" s="2" t="n">
        <v>140.5</v>
      </c>
    </row>
    <row r="17">
      <c r="A17" s="7" t="n">
        <v>46290.9990443287</v>
      </c>
      <c r="B17" s="7" t="n">
        <v>46290.99791666667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197.5</v>
      </c>
    </row>
    <row r="18">
      <c r="A18" s="7" t="n">
        <v>46290.91267655093</v>
      </c>
      <c r="B18" s="7" t="n">
        <v>46290.91180555556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193.4</v>
      </c>
    </row>
    <row r="19">
      <c r="A19" s="7" t="n">
        <v>46290.82088560185</v>
      </c>
      <c r="B19" s="7" t="n">
        <v>46290.82013888889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174.9</v>
      </c>
    </row>
    <row r="20">
      <c r="A20" s="7" t="n">
        <v>46290.76820827546</v>
      </c>
      <c r="B20" s="7" t="n">
        <v>46290.76736111111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187</v>
      </c>
    </row>
    <row r="21">
      <c r="A21" s="7" t="n">
        <v>46290.709303125</v>
      </c>
      <c r="B21" s="7" t="n">
        <v>46290.70833333334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187.6</v>
      </c>
    </row>
    <row r="22">
      <c r="A22" s="7" t="n">
        <v>46290.66382769676</v>
      </c>
      <c r="B22" s="7" t="n">
        <v>46290.6625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185.1</v>
      </c>
    </row>
    <row r="23">
      <c r="A23" s="7" t="n">
        <v>46290.61757802084</v>
      </c>
      <c r="B23" s="7" t="n">
        <v>46290.61666666667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178.9</v>
      </c>
    </row>
    <row r="24">
      <c r="A24" s="7" t="n">
        <v>46290.55632820602</v>
      </c>
      <c r="B24" s="7" t="n">
        <v>46290.55555555555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179.4</v>
      </c>
    </row>
    <row r="25">
      <c r="A25" s="7" t="n">
        <v>46290.50409561343</v>
      </c>
      <c r="B25" s="7" t="n">
        <v>46290.50277777778</v>
      </c>
      <c r="C25" s="2" t="n">
        <v>433</v>
      </c>
      <c r="D25" s="2" t="n">
        <v>1</v>
      </c>
      <c r="E25" s="2" t="n">
        <v>2</v>
      </c>
      <c r="F25" s="2" t="n">
        <v>0</v>
      </c>
      <c r="G25" s="2" t="n">
        <v>174.5</v>
      </c>
    </row>
    <row r="26">
      <c r="A26" s="7" t="n">
        <v>46290.39966920139</v>
      </c>
      <c r="B26" s="7" t="n">
        <v>46290.39861111111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189.8</v>
      </c>
    </row>
    <row r="27">
      <c r="A27" s="7" t="n">
        <v>46290.3483633912</v>
      </c>
      <c r="B27" s="7" t="n">
        <v>46290.34722222222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163.4</v>
      </c>
    </row>
    <row r="28">
      <c r="A28" s="7" t="n">
        <v>46290.27195019676</v>
      </c>
      <c r="B28" s="7" t="n">
        <v>46290.27083333334</v>
      </c>
      <c r="C28" s="2" t="n">
        <v>433</v>
      </c>
      <c r="D28" s="2" t="n">
        <v>0</v>
      </c>
      <c r="E28" s="2" t="n">
        <v>1</v>
      </c>
      <c r="F28" s="2" t="n">
        <v>1</v>
      </c>
      <c r="G28" s="2" t="n">
        <v>182.9</v>
      </c>
    </row>
    <row r="29">
      <c r="A29" s="7" t="n">
        <v>46290.13587655093</v>
      </c>
      <c r="B29" s="7" t="n">
        <v>46290.13472222222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191.6</v>
      </c>
    </row>
    <row r="30">
      <c r="A30" s="7" t="n">
        <v>46290.02908936342</v>
      </c>
      <c r="B30" s="7" t="n">
        <v>46290.02777777778</v>
      </c>
      <c r="C30" s="2" t="n">
        <v>433</v>
      </c>
      <c r="D30" s="2" t="n">
        <v>2</v>
      </c>
      <c r="E30" s="2" t="n">
        <v>2</v>
      </c>
      <c r="F30" s="2" t="n">
        <v>1</v>
      </c>
      <c r="G30" s="2" t="n">
        <v>166.2</v>
      </c>
    </row>
    <row r="31">
      <c r="A31" s="7" t="n">
        <v>46289.96715996528</v>
      </c>
      <c r="B31" s="7" t="n">
        <v>46289.96597222222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190.1</v>
      </c>
    </row>
    <row r="32">
      <c r="A32" s="7" t="n">
        <v>46289.95004011574</v>
      </c>
      <c r="B32" s="7" t="n">
        <v>46289.94930555556</v>
      </c>
      <c r="C32" s="2" t="n">
        <v>433</v>
      </c>
      <c r="D32" s="2" t="n">
        <v>1</v>
      </c>
      <c r="E32" s="2" t="n">
        <v>0</v>
      </c>
      <c r="F32" s="2" t="n">
        <v>1</v>
      </c>
      <c r="G32" s="2" t="n">
        <v>178.4</v>
      </c>
    </row>
    <row r="33">
      <c r="A33" s="7" t="n">
        <v>46289.94135959491</v>
      </c>
      <c r="B33" s="7" t="n">
        <v>46289.94027777778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183.8</v>
      </c>
    </row>
    <row r="34">
      <c r="A34" s="7" t="n">
        <v>46289.92565313658</v>
      </c>
      <c r="B34" s="7" t="n">
        <v>46289.92430555556</v>
      </c>
      <c r="C34" s="2" t="n">
        <v>433</v>
      </c>
      <c r="D34" s="2" t="n">
        <v>4</v>
      </c>
      <c r="E34" s="2" t="n">
        <v>3</v>
      </c>
      <c r="F34" s="2" t="n">
        <v>1</v>
      </c>
      <c r="G34" s="2" t="n">
        <v>226.2</v>
      </c>
    </row>
    <row r="35">
      <c r="A35" s="7" t="n">
        <v>46289.84896370371</v>
      </c>
      <c r="B35" s="7" t="n">
        <v>46289.84791666667</v>
      </c>
      <c r="C35" s="2" t="n">
        <v>433</v>
      </c>
      <c r="D35" s="2" t="n">
        <v>3</v>
      </c>
      <c r="E35" s="2" t="n">
        <v>1</v>
      </c>
      <c r="F35" s="2" t="n">
        <v>1</v>
      </c>
      <c r="G35" s="2" t="n">
        <v>147.5</v>
      </c>
    </row>
    <row r="36">
      <c r="A36" s="7" t="n">
        <v>46289.78526427083</v>
      </c>
      <c r="B36" s="7" t="n">
        <v>46289.78402777778</v>
      </c>
      <c r="C36" s="2" t="n">
        <v>433</v>
      </c>
      <c r="D36" s="2" t="n">
        <v>3</v>
      </c>
      <c r="E36" s="2" t="n">
        <v>2</v>
      </c>
      <c r="F36" s="2" t="n">
        <v>1</v>
      </c>
      <c r="G36" s="2" t="n">
        <v>186.8</v>
      </c>
    </row>
    <row r="37">
      <c r="A37" s="7" t="n">
        <v>46289.75543116898</v>
      </c>
      <c r="B37" s="7" t="n">
        <v>46289.75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109.8</v>
      </c>
    </row>
    <row r="38">
      <c r="A38" s="7" t="n">
        <v>46289.54138961805</v>
      </c>
      <c r="B38" s="7" t="n">
        <v>46289.53472222222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125.8</v>
      </c>
    </row>
    <row r="39">
      <c r="A39" s="7" t="n">
        <v>46289.32358565972</v>
      </c>
      <c r="B39" s="7" t="n">
        <v>46289.31944444445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130.2</v>
      </c>
    </row>
    <row r="40">
      <c r="A40" s="7" t="n">
        <v>46289.18599210648</v>
      </c>
      <c r="B40" s="7" t="n">
        <v>46289.18055555555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129.3</v>
      </c>
    </row>
    <row r="41">
      <c r="A41" s="7" t="n">
        <v>46289.04908521991</v>
      </c>
      <c r="B41" s="7" t="n">
        <v>46289.04513888889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96.90000000000001</v>
      </c>
    </row>
    <row r="42">
      <c r="A42" s="7" t="n">
        <v>46289.00944646991</v>
      </c>
      <c r="B42" s="7" t="n">
        <v>46289.00347222222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127</v>
      </c>
    </row>
    <row r="43">
      <c r="A43" s="7" t="n">
        <v>46288.82408041666</v>
      </c>
      <c r="B43" s="7" t="n">
        <v>46288.81944444445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118.2</v>
      </c>
    </row>
    <row r="44">
      <c r="A44" s="7" t="n">
        <v>46288.75275025463</v>
      </c>
      <c r="B44" s="7" t="n">
        <v>46288.74652777778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125.5</v>
      </c>
    </row>
    <row r="45">
      <c r="A45" s="7" t="n">
        <v>46288.58577883102</v>
      </c>
      <c r="B45" s="7" t="n">
        <v>46288.57986111111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112.8</v>
      </c>
    </row>
    <row r="46">
      <c r="A46" s="7" t="n">
        <v>46288.57218969907</v>
      </c>
      <c r="B46" s="7" t="n">
        <v>46288.56597222222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99.7</v>
      </c>
    </row>
    <row r="47">
      <c r="A47" s="7" t="n">
        <v>46288.36332482639</v>
      </c>
      <c r="B47" s="7" t="n">
        <v>46288.35763888889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94.40000000000001</v>
      </c>
    </row>
    <row r="48">
      <c r="A48" s="7" t="n">
        <v>46288.26120461806</v>
      </c>
      <c r="B48" s="7" t="n">
        <v>46288.25694444445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103.1</v>
      </c>
    </row>
    <row r="49">
      <c r="A49" s="7" t="n">
        <v>46288.12397528935</v>
      </c>
      <c r="B49" s="7" t="n">
        <v>46288.11805555555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114.4</v>
      </c>
    </row>
    <row r="50">
      <c r="A50" s="7" t="n">
        <v>46287.95840076389</v>
      </c>
      <c r="B50" s="7" t="n">
        <v>46287.95486111111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135.1</v>
      </c>
    </row>
    <row r="51">
      <c r="A51" s="7" t="n">
        <v>46287.75277884259</v>
      </c>
      <c r="B51" s="7" t="n">
        <v>46287.74652777778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130.3</v>
      </c>
    </row>
    <row r="52">
      <c r="A52" s="7" t="n">
        <v>46287.6758560301</v>
      </c>
      <c r="B52" s="7" t="n">
        <v>46287.67013888889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91.7</v>
      </c>
    </row>
    <row r="53">
      <c r="A53" s="7" t="n">
        <v>46287.54602564815</v>
      </c>
      <c r="B53" s="7" t="n">
        <v>46287.54166666666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125.4</v>
      </c>
    </row>
    <row r="54">
      <c r="A54" s="7" t="n">
        <v>46287.51247143518</v>
      </c>
      <c r="B54" s="7" t="n">
        <v>46287.50694444445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46287.30635083334</v>
      </c>
      <c r="B55" s="7" t="n">
        <v>46287.30208333334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135.9</v>
      </c>
    </row>
    <row r="56">
      <c r="A56" s="7" t="n">
        <v>46287.14961865741</v>
      </c>
      <c r="B56" s="7" t="n">
        <v>46287.14583333334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130.5</v>
      </c>
    </row>
    <row r="57">
      <c r="A57" s="7" t="n">
        <v>46286.92852005787</v>
      </c>
      <c r="B57" s="7" t="n">
        <v>46286.92361111111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112.2</v>
      </c>
    </row>
    <row r="58">
      <c r="A58" s="7" t="n">
        <v>46286.83222814815</v>
      </c>
      <c r="B58" s="7" t="n">
        <v>46286.82638888889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126.4</v>
      </c>
    </row>
    <row r="59">
      <c r="A59" s="7" t="n">
        <v>46286.60261268519</v>
      </c>
      <c r="B59" s="7" t="n">
        <v>46286.59722222222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111.5</v>
      </c>
    </row>
    <row r="60">
      <c r="A60" s="7" t="n">
        <v>46286.38294268519</v>
      </c>
      <c r="B60" s="7" t="n">
        <v>46286.37847222222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102.4</v>
      </c>
    </row>
    <row r="61">
      <c r="A61" s="7" t="n">
        <v>46286.27148542824</v>
      </c>
      <c r="B61" s="7" t="n">
        <v>46286.26736111111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46286.14641391204</v>
      </c>
      <c r="B62" s="7" t="n">
        <v>46286.14236111111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131.3</v>
      </c>
    </row>
    <row r="63">
      <c r="A63" s="7" t="n">
        <v>46286.03573545139</v>
      </c>
      <c r="B63" s="7" t="n">
        <v>46286.03125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127.3</v>
      </c>
    </row>
    <row r="64">
      <c r="A64" s="7" t="n">
        <v>46286.00283136574</v>
      </c>
      <c r="B64" s="7" t="n">
        <v>46285.99652777778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101.9</v>
      </c>
    </row>
    <row r="65">
      <c r="A65" s="7" t="n">
        <v>46285.85245594908</v>
      </c>
      <c r="B65" s="7" t="n">
        <v>46285.84722222222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100.6</v>
      </c>
    </row>
    <row r="66">
      <c r="A66" s="7" t="n">
        <v>46285.60105145833</v>
      </c>
      <c r="B66" s="7" t="n">
        <v>46285.59722222222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129.1</v>
      </c>
    </row>
    <row r="67">
      <c r="A67" s="7" t="n">
        <v>46285.38559789352</v>
      </c>
      <c r="B67" s="7" t="n">
        <v>46285.38194444445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112.5</v>
      </c>
    </row>
    <row r="68">
      <c r="A68" s="7" t="n">
        <v>46285.29994834491</v>
      </c>
      <c r="B68" s="7" t="n">
        <v>46285.29513888889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128.1</v>
      </c>
    </row>
    <row r="69">
      <c r="A69" s="7" t="n">
        <v>46285.19964518519</v>
      </c>
      <c r="B69" s="7" t="n">
        <v>46285.19444444445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110.6</v>
      </c>
    </row>
    <row r="70">
      <c r="A70" s="7" t="n">
        <v>46285.08704527777</v>
      </c>
      <c r="B70" s="7" t="n">
        <v>46285.08333333334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95.09999999999999</v>
      </c>
    </row>
    <row r="71">
      <c r="A71" s="7" t="n">
        <v>46284.93748335648</v>
      </c>
      <c r="B71" s="7" t="n">
        <v>46284.93055555555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128.7</v>
      </c>
    </row>
    <row r="72">
      <c r="A72" s="7" t="n">
        <v>46284.79727659722</v>
      </c>
      <c r="B72" s="7" t="n">
        <v>46284.79166666666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109.7</v>
      </c>
    </row>
    <row r="73">
      <c r="A73" s="7" t="n">
        <v>46284.58365538195</v>
      </c>
      <c r="B73" s="7" t="n">
        <v>46284.57986111111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101.8</v>
      </c>
    </row>
    <row r="74">
      <c r="A74" s="7" t="n">
        <v>46284.38530752315</v>
      </c>
      <c r="B74" s="7" t="n">
        <v>46284.37847222222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130.8</v>
      </c>
    </row>
    <row r="75">
      <c r="A75" s="7" t="n">
        <v>46284.27664920139</v>
      </c>
      <c r="B75" s="7" t="n">
        <v>46284.27083333334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127.8</v>
      </c>
    </row>
    <row r="76">
      <c r="A76" s="7" t="n">
        <v>46284.15392047453</v>
      </c>
      <c r="B76" s="7" t="n">
        <v>46284.14930555555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135.6</v>
      </c>
    </row>
    <row r="77">
      <c r="A77" s="7" t="n">
        <v>46284.02123533565</v>
      </c>
      <c r="B77" s="7" t="n">
        <v>46284.01736111111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46283.99753837963</v>
      </c>
      <c r="B78" s="7" t="n">
        <v>46283.99305555555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129.8</v>
      </c>
    </row>
    <row r="79">
      <c r="A79" s="7" t="n">
        <v>46283.80859936342</v>
      </c>
      <c r="B79" s="7" t="n">
        <v>46283.80208333334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127.7</v>
      </c>
    </row>
    <row r="80">
      <c r="A80" s="7" t="n">
        <v>46283.78916202546</v>
      </c>
      <c r="B80" s="7" t="n">
        <v>46283.78472222222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119.1</v>
      </c>
    </row>
    <row r="81">
      <c r="A81" s="7" t="n">
        <v>46283.58323265046</v>
      </c>
      <c r="B81" s="7" t="n">
        <v>46283.57638888889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46283.57323743056</v>
      </c>
      <c r="B82" s="7" t="n">
        <v>46283.56944444445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94.3</v>
      </c>
    </row>
    <row r="83">
      <c r="A83" s="7" t="n">
        <v>46283.45181144676</v>
      </c>
      <c r="B83" s="7" t="n">
        <v>46283.44791666666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46283.44134394676</v>
      </c>
      <c r="B84" s="7" t="n">
        <v>46283.4375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373.5</v>
      </c>
    </row>
    <row r="85">
      <c r="A85" s="7" t="n">
        <v>46283.35273409722</v>
      </c>
      <c r="B85" s="7" t="n">
        <v>46283.34722222222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46283.26014016203</v>
      </c>
      <c r="B86" s="7" t="n">
        <v>46283.25347222222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129.5</v>
      </c>
    </row>
    <row r="87">
      <c r="A87" s="7" t="n">
        <v>46283.09637409722</v>
      </c>
      <c r="B87" s="7" t="n">
        <v>46283.09027777778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131.2</v>
      </c>
    </row>
    <row r="88">
      <c r="A88" s="7" t="n">
        <v>46282.89824439815</v>
      </c>
      <c r="B88" s="7" t="n">
        <v>46282.89236111111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137</v>
      </c>
    </row>
    <row r="89">
      <c r="A89" s="7" t="n">
        <v>46282.65711792824</v>
      </c>
      <c r="B89" s="7" t="n">
        <v>46282.65277777778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126.6</v>
      </c>
    </row>
    <row r="90">
      <c r="A90" s="7" t="n">
        <v>46282.40350203704</v>
      </c>
      <c r="B90" s="7" t="n">
        <v>46282.39930555555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323.7</v>
      </c>
    </row>
    <row r="91">
      <c r="A91" s="7" t="n">
        <v>46282.39577758102</v>
      </c>
      <c r="B91" s="7" t="n">
        <v>46282.33333333334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50.5</v>
      </c>
    </row>
    <row r="92">
      <c r="A92" s="7" t="n">
        <v>46282.29222982639</v>
      </c>
      <c r="B92" s="7" t="n">
        <v>46282.25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66.2</v>
      </c>
    </row>
    <row r="93">
      <c r="A93" s="7" t="n">
        <v>46282.17576607639</v>
      </c>
      <c r="B93" s="7" t="n">
        <v>46282.125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67</v>
      </c>
    </row>
    <row r="94">
      <c r="A94" s="7" t="n">
        <v>46282.04552453704</v>
      </c>
      <c r="B94" s="7" t="n">
        <v>46282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52.9</v>
      </c>
    </row>
    <row r="95">
      <c r="A95" s="7" t="n">
        <v>46281.82298537037</v>
      </c>
      <c r="B95" s="7" t="n">
        <v>46281.75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65.7</v>
      </c>
    </row>
    <row r="96">
      <c r="A96" s="7" t="n">
        <v>46281.58829054398</v>
      </c>
      <c r="B96" s="7" t="n">
        <v>46281.54166666666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54.5</v>
      </c>
    </row>
    <row r="97">
      <c r="A97" s="7" t="n">
        <v>46281.35205523148</v>
      </c>
      <c r="B97" s="7" t="n">
        <v>46281.29166666666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46281.22963460648</v>
      </c>
      <c r="B98" s="7" t="n">
        <v>46281.16666666666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61.9</v>
      </c>
    </row>
    <row r="99">
      <c r="A99" s="7" t="n">
        <v>46281.094529375</v>
      </c>
      <c r="B99" s="7" t="n">
        <v>46281.04166666666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46.5</v>
      </c>
    </row>
    <row r="100">
      <c r="A100" s="7" t="n">
        <v>46280.9017994676</v>
      </c>
      <c r="B100" s="7" t="n">
        <v>46280.83333333334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56.7</v>
      </c>
    </row>
    <row r="101">
      <c r="A101" s="7" t="n">
        <v>46280.66002480324</v>
      </c>
      <c r="B101" s="7" t="n">
        <v>46280.58333333334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67.40000000000001</v>
      </c>
    </row>
    <row r="102">
      <c r="A102" s="7" t="n">
        <v>46280.4778358449</v>
      </c>
      <c r="B102" s="7" t="n">
        <v>46280.41666666666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61.2</v>
      </c>
    </row>
    <row r="103">
      <c r="A103" s="7" t="n">
        <v>46280.39795681713</v>
      </c>
      <c r="B103" s="7" t="n">
        <v>46280.33333333334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46280.29983445602</v>
      </c>
      <c r="B104" s="7" t="n">
        <v>46280.25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51.6</v>
      </c>
    </row>
    <row r="105">
      <c r="A105" s="7" t="n">
        <v>46280.14350143519</v>
      </c>
      <c r="B105" s="7" t="n">
        <v>46280.08333333334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57.3</v>
      </c>
    </row>
    <row r="106">
      <c r="A106" s="7" t="n">
        <v>46279.92418226852</v>
      </c>
      <c r="B106" s="7" t="n">
        <v>46279.875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48.1</v>
      </c>
    </row>
    <row r="107">
      <c r="A107" s="7" t="n">
        <v>46279.59996445602</v>
      </c>
      <c r="B107" s="7" t="n">
        <v>46279.54166666666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</v>
      </c>
    </row>
    <row r="108">
      <c r="A108" s="7" t="n">
        <v>46279.38316741898</v>
      </c>
      <c r="B108" s="7" t="n">
        <v>46279.33333333334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59.9</v>
      </c>
    </row>
    <row r="109">
      <c r="A109" s="7" t="n">
        <v>46279.26932584491</v>
      </c>
      <c r="B109" s="7" t="n">
        <v>46279.20833333334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61.1</v>
      </c>
    </row>
    <row r="110">
      <c r="A110" s="7" t="n">
        <v>46279.14665413195</v>
      </c>
      <c r="B110" s="7" t="n">
        <v>46279.08333333334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55.1</v>
      </c>
    </row>
    <row r="111">
      <c r="A111" s="7" t="n">
        <v>46279.01733591435</v>
      </c>
      <c r="B111" s="7" t="n">
        <v>46278.95833333334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59.7</v>
      </c>
    </row>
    <row r="112">
      <c r="A112" s="7" t="n">
        <v>46278.83725055555</v>
      </c>
      <c r="B112" s="7" t="n">
        <v>46278.79166666666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65.40000000000001</v>
      </c>
    </row>
    <row r="113">
      <c r="A113" s="7" t="n">
        <v>46278.71111972223</v>
      </c>
      <c r="B113" s="7" t="n">
        <v>46278.66666666666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46278.68053923611</v>
      </c>
      <c r="B114" s="7" t="n">
        <v>46278.625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46278.07354997685</v>
      </c>
      <c r="B115" s="7" t="n">
        <v>46278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50.2</v>
      </c>
    </row>
    <row r="116">
      <c r="A116" s="7" t="n">
        <v>46277.94390239583</v>
      </c>
      <c r="B116" s="7" t="n">
        <v>46277.875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COUNTIFS(資金明細!$C$2:$C$43,"進場",資金明細!$N$2:$N$43,"已下單")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COUNTIFS(資金明細!$C$2:$C$43,"進場",資金明細!$N$2:$N$43,"資金不足略過")</f>
        <v/>
      </c>
    </row>
    <row r="11">
      <c r="D11" s="2" t="inlineStr">
        <is>
          <t>止盈筆數</t>
        </is>
      </c>
      <c r="E11" s="15">
        <f>COUNTIFS(資金明細!$C$2:$C$43,"出場",資金明細!$N$2:$N$43,"已下單",資金明細!$K$2:$K$43,"止盈")</f>
        <v/>
      </c>
    </row>
    <row r="12">
      <c r="A12" s="2" t="inlineStr">
        <is>
          <t>每筆止損約虧本金</t>
        </is>
      </c>
      <c r="B12" s="4">
        <f>B5*B7*IFERROR(AVERAGE(交易明細!$AB$2:$AB$22),參數!B6)</f>
        <v/>
      </c>
      <c r="D12" s="2" t="inlineStr">
        <is>
          <t>止損筆數</t>
        </is>
      </c>
      <c r="E12" s="15">
        <f>COUNTIFS(資金明細!$C$2:$C$43,"出場",資金明細!$N$2:$N$43,"已下單",資金明細!$K$2:$K$43,"止損")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IFERROR(E11/COUNTIFS(資金明細!$C$2:$C$43,"出場",資金明細!$N$2:$N$43,"已下單"),0)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MAX(資金明細!$S$2:$S$43)</f>
        <v/>
      </c>
    </row>
    <row r="16">
      <c r="D16" s="2" t="inlineStr">
        <is>
          <t>期末下單金額</t>
        </is>
      </c>
      <c r="E16" s="16">
        <f>B5*資金明細!V43</f>
        <v/>
      </c>
    </row>
    <row r="17">
      <c r="D17" s="2" t="inlineStr">
        <is>
          <t>未平倉浮動損益（未計入）</t>
        </is>
      </c>
      <c r="E17" s="10">
        <f>IF(資金明細!N43="已下單",資金明細!O43*交易明細!L22,0)</f>
        <v/>
      </c>
    </row>
    <row r="18">
      <c r="D18" s="2" t="inlineStr">
        <is>
          <t>最大總曝險倍數</t>
        </is>
      </c>
      <c r="E18" s="16">
        <f>MAX(資金明細!$Y$2:$Y$43)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IFERROR(INDEX(資金明細!$B$2:$B$43,MATCH(1,資金明細!$Z$2:$Z$43,0)),"未觸發")</f>
        <v/>
      </c>
    </row>
    <row r="21">
      <c r="D21" s="2" t="inlineStr">
        <is>
          <t>停止後略過筆數</t>
        </is>
      </c>
      <c r="E21" s="15">
        <f>COUNTIFS(資金明細!$C$2:$C$43,"進場",資金明細!$N$2:$N$43,"已停止")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inlineStr">
        <is>
          <t>未平倉</t>
        </is>
      </c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</sheetData>
  <autoFilter ref="A1:Z43"/>
  <conditionalFormatting sqref="K2:K4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46291.93680555555</v>
      </c>
      <c r="I22" s="17" t="n">
        <v>0.02546</v>
      </c>
      <c r="J22" s="2" t="inlineStr">
        <is>
          <t>未平倉</t>
        </is>
      </c>
      <c r="K22" s="5">
        <f>(H22-D22)*24</f>
        <v/>
      </c>
      <c r="L22" s="4">
        <f>IF(C22="做多",I22/E22-1,1-I22/E22)-2*參數!$B$7</f>
        <v/>
      </c>
      <c r="M22" s="2" t="inlineStr">
        <is>
          <t>持倉中（以最新收盤估值）</t>
        </is>
      </c>
      <c r="N22" s="4" t="n"/>
      <c r="O22" s="4" t="n"/>
      <c r="P22" s="4" t="n"/>
      <c r="Q22" s="19" t="n"/>
      <c r="R22" s="19" t="n"/>
      <c r="S22" s="4" t="n">
        <v>0</v>
      </c>
      <c r="T22" s="4" t="n">
        <v>0.01303317535545023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</sheetData>
  <autoFilter ref="A1:AH22"/>
  <conditionalFormatting sqref="J2:J2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COUNTIFS(交易明細!$B$2:$B$22,$A2)</f>
        <v/>
      </c>
      <c r="C2" s="2">
        <f>COUNTIFS(交易明細!$B$2:$B$22,$A2,交易明細!$C$2:$C$22,"做多")</f>
        <v/>
      </c>
      <c r="D2" s="2">
        <f>COUNTIFS(交易明細!$B$2:$B$22,$A2,交易明細!$C$2:$C$22,"做空")</f>
        <v/>
      </c>
      <c r="E2" s="2">
        <f>F2+G2+COUNTIFS(交易明細!$B$2:$B$22,$A2,交易明細!$J$2:$J$22,"時間出場")</f>
        <v/>
      </c>
      <c r="F2" s="2">
        <f>COUNTIFS(交易明細!$B$2:$B$22,$A2,交易明細!$J$2:$J$22,"止盈")</f>
        <v/>
      </c>
      <c r="G2" s="2">
        <f>COUNTIFS(交易明細!$B$2:$B$22,$A2,交易明細!$J$2:$J$22,"止損")</f>
        <v/>
      </c>
      <c r="H2" s="4">
        <f>IFERROR(F2/E2,0)</f>
        <v/>
      </c>
      <c r="I2" s="4">
        <f>IFERROR(AVERAGEIFS(交易明細!$L$2:$L$22,交易明細!$B$2:$B$22,$A2,交易明細!$J$2:$J$22,"&lt;&gt;未平倉"),0)</f>
        <v/>
      </c>
      <c r="J2" s="4">
        <f>SUMIFS(交易明細!$L$2:$L$22,交易明細!$B$2:$B$22,$A2,交易明細!$J$2:$J$22,"&lt;&gt;未平倉")</f>
        <v/>
      </c>
      <c r="K2" s="5">
        <f>IFERROR(AVERAGEIFS(交易明細!$K$2:$K$22,交易明細!$B$2:$B$22,$A2,交易明細!$J$2:$J$22,"&lt;&gt;未平倉"),0)</f>
        <v/>
      </c>
      <c r="L2" s="2">
        <f>COUNTIFS(交易明細!$B$2:$B$22,$A2,交易明細!$J$2:$J$22,"未平倉")</f>
        <v/>
      </c>
    </row>
    <row r="3">
      <c r="A3" s="2" t="inlineStr">
        <is>
          <t>MOVR_USDT_PERP</t>
        </is>
      </c>
      <c r="B3" s="2">
        <f>COUNTIFS(交易明細!$B$2:$B$22,$A3)</f>
        <v/>
      </c>
      <c r="C3" s="2">
        <f>COUNTIFS(交易明細!$B$2:$B$22,$A3,交易明細!$C$2:$C$22,"做多")</f>
        <v/>
      </c>
      <c r="D3" s="2">
        <f>COUNTIFS(交易明細!$B$2:$B$22,$A3,交易明細!$C$2:$C$22,"做空")</f>
        <v/>
      </c>
      <c r="E3" s="2">
        <f>F3+G3+COUNTIFS(交易明細!$B$2:$B$22,$A3,交易明細!$J$2:$J$22,"時間出場")</f>
        <v/>
      </c>
      <c r="F3" s="2">
        <f>COUNTIFS(交易明細!$B$2:$B$22,$A3,交易明細!$J$2:$J$22,"止盈")</f>
        <v/>
      </c>
      <c r="G3" s="2">
        <f>COUNTIFS(交易明細!$B$2:$B$22,$A3,交易明細!$J$2:$J$22,"止損")</f>
        <v/>
      </c>
      <c r="H3" s="4">
        <f>IFERROR(F3/E3,0)</f>
        <v/>
      </c>
      <c r="I3" s="4">
        <f>IFERROR(AVERAGEIFS(交易明細!$L$2:$L$22,交易明細!$B$2:$B$22,$A3,交易明細!$J$2:$J$22,"&lt;&gt;未平倉"),0)</f>
        <v/>
      </c>
      <c r="J3" s="4">
        <f>SUMIFS(交易明細!$L$2:$L$22,交易明細!$B$2:$B$22,$A3,交易明細!$J$2:$J$22,"&lt;&gt;未平倉")</f>
        <v/>
      </c>
      <c r="K3" s="5">
        <f>IFERROR(AVERAGEIFS(交易明細!$K$2:$K$22,交易明細!$B$2:$B$22,$A3,交易明細!$J$2:$J$22,"&lt;&gt;未平倉"),0)</f>
        <v/>
      </c>
      <c r="L3" s="2">
        <f>COUNTIFS(交易明細!$B$2:$B$22,$A3,交易明細!$J$2:$J$22,"未平倉")</f>
        <v/>
      </c>
    </row>
    <row r="4">
      <c r="A4" s="2" t="inlineStr">
        <is>
          <t>LYN_USDT_PERP</t>
        </is>
      </c>
      <c r="B4" s="2">
        <f>COUNTIFS(交易明細!$B$2:$B$22,$A4)</f>
        <v/>
      </c>
      <c r="C4" s="2">
        <f>COUNTIFS(交易明細!$B$2:$B$22,$A4,交易明細!$C$2:$C$22,"做多")</f>
        <v/>
      </c>
      <c r="D4" s="2">
        <f>COUNTIFS(交易明細!$B$2:$B$22,$A4,交易明細!$C$2:$C$22,"做空")</f>
        <v/>
      </c>
      <c r="E4" s="2">
        <f>F4+G4+COUNTIFS(交易明細!$B$2:$B$22,$A4,交易明細!$J$2:$J$22,"時間出場")</f>
        <v/>
      </c>
      <c r="F4" s="2">
        <f>COUNTIFS(交易明細!$B$2:$B$22,$A4,交易明細!$J$2:$J$22,"止盈")</f>
        <v/>
      </c>
      <c r="G4" s="2">
        <f>COUNTIFS(交易明細!$B$2:$B$22,$A4,交易明細!$J$2:$J$22,"止損")</f>
        <v/>
      </c>
      <c r="H4" s="4">
        <f>IFERROR(F4/E4,0)</f>
        <v/>
      </c>
      <c r="I4" s="4">
        <f>IFERROR(AVERAGEIFS(交易明細!$L$2:$L$22,交易明細!$B$2:$B$22,$A4,交易明細!$J$2:$J$22,"&lt;&gt;未平倉"),0)</f>
        <v/>
      </c>
      <c r="J4" s="4">
        <f>SUMIFS(交易明細!$L$2:$L$22,交易明細!$B$2:$B$22,$A4,交易明細!$J$2:$J$22,"&lt;&gt;未平倉")</f>
        <v/>
      </c>
      <c r="K4" s="5">
        <f>IFERROR(AVERAGEIFS(交易明細!$K$2:$K$22,交易明細!$B$2:$B$22,$A4,交易明細!$J$2:$J$22,"&lt;&gt;未平倉"),0)</f>
        <v/>
      </c>
      <c r="L4" s="2">
        <f>COUNTIFS(交易明細!$B$2:$B$22,$A4,交易明細!$J$2:$J$22,"未平倉")</f>
        <v/>
      </c>
    </row>
    <row r="5">
      <c r="A5" s="2" t="inlineStr">
        <is>
          <t>2Z_USDT_PERP</t>
        </is>
      </c>
      <c r="B5" s="2">
        <f>COUNTIFS(交易明細!$B$2:$B$22,$A5)</f>
        <v/>
      </c>
      <c r="C5" s="2">
        <f>COUNTIFS(交易明細!$B$2:$B$22,$A5,交易明細!$C$2:$C$22,"做多")</f>
        <v/>
      </c>
      <c r="D5" s="2">
        <f>COUNTIFS(交易明細!$B$2:$B$22,$A5,交易明細!$C$2:$C$22,"做空")</f>
        <v/>
      </c>
      <c r="E5" s="2">
        <f>F5+G5+COUNTIFS(交易明細!$B$2:$B$22,$A5,交易明細!$J$2:$J$22,"時間出場")</f>
        <v/>
      </c>
      <c r="F5" s="2">
        <f>COUNTIFS(交易明細!$B$2:$B$22,$A5,交易明細!$J$2:$J$22,"止盈")</f>
        <v/>
      </c>
      <c r="G5" s="2">
        <f>COUNTIFS(交易明細!$B$2:$B$22,$A5,交易明細!$J$2:$J$22,"止損")</f>
        <v/>
      </c>
      <c r="H5" s="4">
        <f>IFERROR(F5/E5,0)</f>
        <v/>
      </c>
      <c r="I5" s="4">
        <f>IFERROR(AVERAGEIFS(交易明細!$L$2:$L$22,交易明細!$B$2:$B$22,$A5,交易明細!$J$2:$J$22,"&lt;&gt;未平倉"),0)</f>
        <v/>
      </c>
      <c r="J5" s="4">
        <f>SUMIFS(交易明細!$L$2:$L$22,交易明細!$B$2:$B$22,$A5,交易明細!$J$2:$J$22,"&lt;&gt;未平倉")</f>
        <v/>
      </c>
      <c r="K5" s="5">
        <f>IFERROR(AVERAGEIFS(交易明細!$K$2:$K$22,交易明細!$B$2:$B$22,$A5,交易明細!$J$2:$J$22,"&lt;&gt;未平倉"),0)</f>
        <v/>
      </c>
      <c r="L5" s="2">
        <f>COUNTIFS(交易明細!$B$2:$B$22,$A5,交易明細!$J$2:$J$22,"未平倉")</f>
        <v/>
      </c>
    </row>
    <row r="6">
      <c r="A6" s="2" t="inlineStr">
        <is>
          <t>NOM_USDT_PERP</t>
        </is>
      </c>
      <c r="B6" s="2">
        <f>COUNTIFS(交易明細!$B$2:$B$22,$A6)</f>
        <v/>
      </c>
      <c r="C6" s="2">
        <f>COUNTIFS(交易明細!$B$2:$B$22,$A6,交易明細!$C$2:$C$22,"做多")</f>
        <v/>
      </c>
      <c r="D6" s="2">
        <f>COUNTIFS(交易明細!$B$2:$B$22,$A6,交易明細!$C$2:$C$22,"做空")</f>
        <v/>
      </c>
      <c r="E6" s="2">
        <f>F6+G6+COUNTIFS(交易明細!$B$2:$B$22,$A6,交易明細!$J$2:$J$22,"時間出場")</f>
        <v/>
      </c>
      <c r="F6" s="2">
        <f>COUNTIFS(交易明細!$B$2:$B$22,$A6,交易明細!$J$2:$J$22,"止盈")</f>
        <v/>
      </c>
      <c r="G6" s="2">
        <f>COUNTIFS(交易明細!$B$2:$B$22,$A6,交易明細!$J$2:$J$22,"止損")</f>
        <v/>
      </c>
      <c r="H6" s="4">
        <f>IFERROR(F6/E6,0)</f>
        <v/>
      </c>
      <c r="I6" s="4">
        <f>IFERROR(AVERAGEIFS(交易明細!$L$2:$L$22,交易明細!$B$2:$B$22,$A6,交易明細!$J$2:$J$22,"&lt;&gt;未平倉"),0)</f>
        <v/>
      </c>
      <c r="J6" s="4">
        <f>SUMIFS(交易明細!$L$2:$L$22,交易明細!$B$2:$B$22,$A6,交易明細!$J$2:$J$22,"&lt;&gt;未平倉")</f>
        <v/>
      </c>
      <c r="K6" s="5">
        <f>IFERROR(AVERAGEIFS(交易明細!$K$2:$K$22,交易明細!$B$2:$B$22,$A6,交易明細!$J$2:$J$22,"&lt;&gt;未平倉"),0)</f>
        <v/>
      </c>
      <c r="L6" s="2">
        <f>COUNTIFS(交易明細!$B$2:$B$22,$A6,交易明細!$J$2:$J$22,"未平倉")</f>
        <v/>
      </c>
    </row>
    <row r="7">
      <c r="A7" s="2" t="inlineStr">
        <is>
          <t>BROCCOLI_USDT_PERP</t>
        </is>
      </c>
      <c r="B7" s="2">
        <f>COUNTIFS(交易明細!$B$2:$B$22,$A7)</f>
        <v/>
      </c>
      <c r="C7" s="2">
        <f>COUNTIFS(交易明細!$B$2:$B$22,$A7,交易明細!$C$2:$C$22,"做多")</f>
        <v/>
      </c>
      <c r="D7" s="2">
        <f>COUNTIFS(交易明細!$B$2:$B$22,$A7,交易明細!$C$2:$C$22,"做空")</f>
        <v/>
      </c>
      <c r="E7" s="2">
        <f>F7+G7+COUNTIFS(交易明細!$B$2:$B$22,$A7,交易明細!$J$2:$J$22,"時間出場")</f>
        <v/>
      </c>
      <c r="F7" s="2">
        <f>COUNTIFS(交易明細!$B$2:$B$22,$A7,交易明細!$J$2:$J$22,"止盈")</f>
        <v/>
      </c>
      <c r="G7" s="2">
        <f>COUNTIFS(交易明細!$B$2:$B$22,$A7,交易明細!$J$2:$J$22,"止損")</f>
        <v/>
      </c>
      <c r="H7" s="4">
        <f>IFERROR(F7/E7,0)</f>
        <v/>
      </c>
      <c r="I7" s="4">
        <f>IFERROR(AVERAGEIFS(交易明細!$L$2:$L$22,交易明細!$B$2:$B$22,$A7,交易明細!$J$2:$J$22,"&lt;&gt;未平倉"),0)</f>
        <v/>
      </c>
      <c r="J7" s="4">
        <f>SUMIFS(交易明細!$L$2:$L$22,交易明細!$B$2:$B$22,$A7,交易明細!$J$2:$J$22,"&lt;&gt;未平倉")</f>
        <v/>
      </c>
      <c r="K7" s="5">
        <f>IFERROR(AVERAGEIFS(交易明細!$K$2:$K$22,交易明細!$B$2:$B$22,$A7,交易明細!$J$2:$J$22,"&lt;&gt;未平倉"),0)</f>
        <v/>
      </c>
      <c r="L7" s="2">
        <f>COUNTIFS(交易明細!$B$2:$B$22,$A7,交易明細!$J$2:$J$22,"未平倉")</f>
        <v/>
      </c>
    </row>
    <row r="8">
      <c r="A8" s="2" t="inlineStr">
        <is>
          <t>AGT_USDT_PERP</t>
        </is>
      </c>
      <c r="B8" s="2">
        <f>COUNTIFS(交易明細!$B$2:$B$22,$A8)</f>
        <v/>
      </c>
      <c r="C8" s="2">
        <f>COUNTIFS(交易明細!$B$2:$B$22,$A8,交易明細!$C$2:$C$22,"做多")</f>
        <v/>
      </c>
      <c r="D8" s="2">
        <f>COUNTIFS(交易明細!$B$2:$B$22,$A8,交易明細!$C$2:$C$22,"做空")</f>
        <v/>
      </c>
      <c r="E8" s="2">
        <f>F8+G8+COUNTIFS(交易明細!$B$2:$B$22,$A8,交易明細!$J$2:$J$22,"時間出場")</f>
        <v/>
      </c>
      <c r="F8" s="2">
        <f>COUNTIFS(交易明細!$B$2:$B$22,$A8,交易明細!$J$2:$J$22,"止盈")</f>
        <v/>
      </c>
      <c r="G8" s="2">
        <f>COUNTIFS(交易明細!$B$2:$B$22,$A8,交易明細!$J$2:$J$22,"止損")</f>
        <v/>
      </c>
      <c r="H8" s="4">
        <f>IFERROR(F8/E8,0)</f>
        <v/>
      </c>
      <c r="I8" s="4">
        <f>IFERROR(AVERAGEIFS(交易明細!$L$2:$L$22,交易明細!$B$2:$B$22,$A8,交易明細!$J$2:$J$22,"&lt;&gt;未平倉"),0)</f>
        <v/>
      </c>
      <c r="J8" s="4">
        <f>SUMIFS(交易明細!$L$2:$L$22,交易明細!$B$2:$B$22,$A8,交易明細!$J$2:$J$22,"&lt;&gt;未平倉")</f>
        <v/>
      </c>
      <c r="K8" s="5">
        <f>IFERROR(AVERAGEIFS(交易明細!$K$2:$K$22,交易明細!$B$2:$B$22,$A8,交易明細!$J$2:$J$22,"&lt;&gt;未平倉"),0)</f>
        <v/>
      </c>
      <c r="L8" s="2">
        <f>COUNTIFS(交易明細!$B$2:$B$22,$A8,交易明細!$J$2:$J$22,"未平倉")</f>
        <v/>
      </c>
    </row>
    <row r="9">
      <c r="A9" s="2" t="inlineStr">
        <is>
          <t>BB_USDT_PERP</t>
        </is>
      </c>
      <c r="B9" s="2">
        <f>COUNTIFS(交易明細!$B$2:$B$22,$A9)</f>
        <v/>
      </c>
      <c r="C9" s="2">
        <f>COUNTIFS(交易明細!$B$2:$B$22,$A9,交易明細!$C$2:$C$22,"做多")</f>
        <v/>
      </c>
      <c r="D9" s="2">
        <f>COUNTIFS(交易明細!$B$2:$B$22,$A9,交易明細!$C$2:$C$22,"做空")</f>
        <v/>
      </c>
      <c r="E9" s="2">
        <f>F9+G9+COUNTIFS(交易明細!$B$2:$B$22,$A9,交易明細!$J$2:$J$22,"時間出場")</f>
        <v/>
      </c>
      <c r="F9" s="2">
        <f>COUNTIFS(交易明細!$B$2:$B$22,$A9,交易明細!$J$2:$J$22,"止盈")</f>
        <v/>
      </c>
      <c r="G9" s="2">
        <f>COUNTIFS(交易明細!$B$2:$B$22,$A9,交易明細!$J$2:$J$22,"止損")</f>
        <v/>
      </c>
      <c r="H9" s="4">
        <f>IFERROR(F9/E9,0)</f>
        <v/>
      </c>
      <c r="I9" s="4">
        <f>IFERROR(AVERAGEIFS(交易明細!$L$2:$L$22,交易明細!$B$2:$B$22,$A9,交易明細!$J$2:$J$22,"&lt;&gt;未平倉"),0)</f>
        <v/>
      </c>
      <c r="J9" s="4">
        <f>SUMIFS(交易明細!$L$2:$L$22,交易明細!$B$2:$B$22,$A9,交易明細!$J$2:$J$22,"&lt;&gt;未平倉")</f>
        <v/>
      </c>
      <c r="K9" s="5">
        <f>IFERROR(AVERAGEIFS(交易明細!$K$2:$K$22,交易明細!$B$2:$B$22,$A9,交易明細!$J$2:$J$22,"&lt;&gt;未平倉"),0)</f>
        <v/>
      </c>
      <c r="L9" s="2">
        <f>COUNTIFS(交易明細!$B$2:$B$22,$A9,交易明細!$J$2:$J$22,"未平倉")</f>
        <v/>
      </c>
    </row>
    <row r="10">
      <c r="A10" s="2" t="inlineStr">
        <is>
          <t>RIVER_USDT_PERP</t>
        </is>
      </c>
      <c r="B10" s="2">
        <f>COUNTIFS(交易明細!$B$2:$B$22,$A10)</f>
        <v/>
      </c>
      <c r="C10" s="2">
        <f>COUNTIFS(交易明細!$B$2:$B$22,$A10,交易明細!$C$2:$C$22,"做多")</f>
        <v/>
      </c>
      <c r="D10" s="2">
        <f>COUNTIFS(交易明細!$B$2:$B$22,$A10,交易明細!$C$2:$C$22,"做空")</f>
        <v/>
      </c>
      <c r="E10" s="2">
        <f>F10+G10+COUNTIFS(交易明細!$B$2:$B$22,$A10,交易明細!$J$2:$J$22,"時間出場")</f>
        <v/>
      </c>
      <c r="F10" s="2">
        <f>COUNTIFS(交易明細!$B$2:$B$22,$A10,交易明細!$J$2:$J$22,"止盈")</f>
        <v/>
      </c>
      <c r="G10" s="2">
        <f>COUNTIFS(交易明細!$B$2:$B$22,$A10,交易明細!$J$2:$J$22,"止損")</f>
        <v/>
      </c>
      <c r="H10" s="4">
        <f>IFERROR(F10/E10,0)</f>
        <v/>
      </c>
      <c r="I10" s="4">
        <f>IFERROR(AVERAGEIFS(交易明細!$L$2:$L$22,交易明細!$B$2:$B$22,$A10,交易明細!$J$2:$J$22,"&lt;&gt;未平倉"),0)</f>
        <v/>
      </c>
      <c r="J10" s="4">
        <f>SUMIFS(交易明細!$L$2:$L$22,交易明細!$B$2:$B$22,$A10,交易明細!$J$2:$J$22,"&lt;&gt;未平倉")</f>
        <v/>
      </c>
      <c r="K10" s="5">
        <f>IFERROR(AVERAGEIFS(交易明細!$K$2:$K$22,交易明細!$B$2:$B$22,$A10,交易明細!$J$2:$J$22,"&lt;&gt;未平倉"),0)</f>
        <v/>
      </c>
      <c r="L10" s="2">
        <f>COUNTIFS(交易明細!$B$2:$B$22,$A10,交易明細!$J$2:$J$22,"未平倉")</f>
        <v/>
      </c>
    </row>
    <row r="11">
      <c r="A11" s="2" t="inlineStr">
        <is>
          <t>LAB_USDT_PERP</t>
        </is>
      </c>
      <c r="B11" s="2">
        <f>COUNTIFS(交易明細!$B$2:$B$22,$A11)</f>
        <v/>
      </c>
      <c r="C11" s="2">
        <f>COUNTIFS(交易明細!$B$2:$B$22,$A11,交易明細!$C$2:$C$22,"做多")</f>
        <v/>
      </c>
      <c r="D11" s="2">
        <f>COUNTIFS(交易明細!$B$2:$B$22,$A11,交易明細!$C$2:$C$22,"做空")</f>
        <v/>
      </c>
      <c r="E11" s="2">
        <f>F11+G11+COUNTIFS(交易明細!$B$2:$B$22,$A11,交易明細!$J$2:$J$22,"時間出場")</f>
        <v/>
      </c>
      <c r="F11" s="2">
        <f>COUNTIFS(交易明細!$B$2:$B$22,$A11,交易明細!$J$2:$J$22,"止盈")</f>
        <v/>
      </c>
      <c r="G11" s="2">
        <f>COUNTIFS(交易明細!$B$2:$B$22,$A11,交易明細!$J$2:$J$22,"止損")</f>
        <v/>
      </c>
      <c r="H11" s="4">
        <f>IFERROR(F11/E11,0)</f>
        <v/>
      </c>
      <c r="I11" s="4">
        <f>IFERROR(AVERAGEIFS(交易明細!$L$2:$L$22,交易明細!$B$2:$B$22,$A11,交易明細!$J$2:$J$22,"&lt;&gt;未平倉"),0)</f>
        <v/>
      </c>
      <c r="J11" s="4">
        <f>SUMIFS(交易明細!$L$2:$L$22,交易明細!$B$2:$B$22,$A11,交易明細!$J$2:$J$22,"&lt;&gt;未平倉")</f>
        <v/>
      </c>
      <c r="K11" s="5">
        <f>IFERROR(AVERAGEIFS(交易明細!$K$2:$K$22,交易明細!$B$2:$B$22,$A11,交易明細!$J$2:$J$22,"&lt;&gt;未平倉"),0)</f>
        <v/>
      </c>
      <c r="L11" s="2">
        <f>COUNTIFS(交易明細!$B$2:$B$22,$A11,交易明細!$J$2:$J$22,"未平倉")</f>
        <v/>
      </c>
    </row>
    <row r="12">
      <c r="A12" s="2" t="inlineStr">
        <is>
          <t>SAGA_USDT_PERP</t>
        </is>
      </c>
      <c r="B12" s="2">
        <f>COUNTIFS(交易明細!$B$2:$B$22,$A12)</f>
        <v/>
      </c>
      <c r="C12" s="2">
        <f>COUNTIFS(交易明細!$B$2:$B$22,$A12,交易明細!$C$2:$C$22,"做多")</f>
        <v/>
      </c>
      <c r="D12" s="2">
        <f>COUNTIFS(交易明細!$B$2:$B$22,$A12,交易明細!$C$2:$C$22,"做空")</f>
        <v/>
      </c>
      <c r="E12" s="2">
        <f>F12+G12+COUNTIFS(交易明細!$B$2:$B$22,$A12,交易明細!$J$2:$J$22,"時間出場")</f>
        <v/>
      </c>
      <c r="F12" s="2">
        <f>COUNTIFS(交易明細!$B$2:$B$22,$A12,交易明細!$J$2:$J$22,"止盈")</f>
        <v/>
      </c>
      <c r="G12" s="2">
        <f>COUNTIFS(交易明細!$B$2:$B$22,$A12,交易明細!$J$2:$J$22,"止損")</f>
        <v/>
      </c>
      <c r="H12" s="4">
        <f>IFERROR(F12/E12,0)</f>
        <v/>
      </c>
      <c r="I12" s="4">
        <f>IFERROR(AVERAGEIFS(交易明細!$L$2:$L$22,交易明細!$B$2:$B$22,$A12,交易明細!$J$2:$J$22,"&lt;&gt;未平倉"),0)</f>
        <v/>
      </c>
      <c r="J12" s="4">
        <f>SUMIFS(交易明細!$L$2:$L$22,交易明細!$B$2:$B$22,$A12,交易明細!$J$2:$J$22,"&lt;&gt;未平倉")</f>
        <v/>
      </c>
      <c r="K12" s="5">
        <f>IFERROR(AVERAGEIFS(交易明細!$K$2:$K$22,交易明細!$B$2:$B$22,$A12,交易明細!$J$2:$J$22,"&lt;&gt;未平倉"),0)</f>
        <v/>
      </c>
      <c r="L12" s="2">
        <f>COUNTIFS(交易明細!$B$2:$B$22,$A12,交易明細!$J$2:$J$22,"未平倉")</f>
        <v/>
      </c>
    </row>
    <row r="13">
      <c r="A13" s="2" t="inlineStr">
        <is>
          <t>PLAY_USDT_PERP</t>
        </is>
      </c>
      <c r="B13" s="2">
        <f>COUNTIFS(交易明細!$B$2:$B$22,$A13)</f>
        <v/>
      </c>
      <c r="C13" s="2">
        <f>COUNTIFS(交易明細!$B$2:$B$22,$A13,交易明細!$C$2:$C$22,"做多")</f>
        <v/>
      </c>
      <c r="D13" s="2">
        <f>COUNTIFS(交易明細!$B$2:$B$22,$A13,交易明細!$C$2:$C$22,"做空")</f>
        <v/>
      </c>
      <c r="E13" s="2">
        <f>F13+G13+COUNTIFS(交易明細!$B$2:$B$22,$A13,交易明細!$J$2:$J$22,"時間出場")</f>
        <v/>
      </c>
      <c r="F13" s="2">
        <f>COUNTIFS(交易明細!$B$2:$B$22,$A13,交易明細!$J$2:$J$22,"止盈")</f>
        <v/>
      </c>
      <c r="G13" s="2">
        <f>COUNTIFS(交易明細!$B$2:$B$22,$A13,交易明細!$J$2:$J$22,"止損")</f>
        <v/>
      </c>
      <c r="H13" s="4">
        <f>IFERROR(F13/E13,0)</f>
        <v/>
      </c>
      <c r="I13" s="4">
        <f>IFERROR(AVERAGEIFS(交易明細!$L$2:$L$22,交易明細!$B$2:$B$22,$A13,交易明細!$J$2:$J$22,"&lt;&gt;未平倉"),0)</f>
        <v/>
      </c>
      <c r="J13" s="4">
        <f>SUMIFS(交易明細!$L$2:$L$22,交易明細!$B$2:$B$22,$A13,交易明細!$J$2:$J$22,"&lt;&gt;未平倉")</f>
        <v/>
      </c>
      <c r="K13" s="5">
        <f>IFERROR(AVERAGEIFS(交易明細!$K$2:$K$22,交易明細!$B$2:$B$22,$A13,交易明細!$J$2:$J$22,"&lt;&gt;未平倉"),0)</f>
        <v/>
      </c>
      <c r="L13" s="2">
        <f>COUNTIFS(交易明細!$B$2:$B$22,$A13,交易明細!$J$2:$J$22,"未平倉")</f>
        <v/>
      </c>
    </row>
    <row r="14">
      <c r="A14" s="2" t="inlineStr">
        <is>
          <t>CASHCAT_USDT_PERP</t>
        </is>
      </c>
      <c r="B14" s="2">
        <f>COUNTIFS(交易明細!$B$2:$B$22,$A14)</f>
        <v/>
      </c>
      <c r="C14" s="2">
        <f>COUNTIFS(交易明細!$B$2:$B$22,$A14,交易明細!$C$2:$C$22,"做多")</f>
        <v/>
      </c>
      <c r="D14" s="2">
        <f>COUNTIFS(交易明細!$B$2:$B$22,$A14,交易明細!$C$2:$C$22,"做空")</f>
        <v/>
      </c>
      <c r="E14" s="2">
        <f>F14+G14+COUNTIFS(交易明細!$B$2:$B$22,$A14,交易明細!$J$2:$J$22,"時間出場")</f>
        <v/>
      </c>
      <c r="F14" s="2">
        <f>COUNTIFS(交易明細!$B$2:$B$22,$A14,交易明細!$J$2:$J$22,"止盈")</f>
        <v/>
      </c>
      <c r="G14" s="2">
        <f>COUNTIFS(交易明細!$B$2:$B$22,$A14,交易明細!$J$2:$J$22,"止損")</f>
        <v/>
      </c>
      <c r="H14" s="4">
        <f>IFERROR(F14/E14,0)</f>
        <v/>
      </c>
      <c r="I14" s="4">
        <f>IFERROR(AVERAGEIFS(交易明細!$L$2:$L$22,交易明細!$B$2:$B$22,$A14,交易明細!$J$2:$J$22,"&lt;&gt;未平倉"),0)</f>
        <v/>
      </c>
      <c r="J14" s="4">
        <f>SUMIFS(交易明細!$L$2:$L$22,交易明細!$B$2:$B$22,$A14,交易明細!$J$2:$J$22,"&lt;&gt;未平倉")</f>
        <v/>
      </c>
      <c r="K14" s="5">
        <f>IFERROR(AVERAGEIFS(交易明細!$K$2:$K$22,交易明細!$B$2:$B$22,$A14,交易明細!$J$2:$J$22,"&lt;&gt;未平倉"),0)</f>
        <v/>
      </c>
      <c r="L14" s="2">
        <f>COUNTIFS(交易明細!$B$2:$B$22,$A14,交易明細!$J$2:$J$22,"未平倉")</f>
        <v/>
      </c>
    </row>
    <row r="15">
      <c r="A15" s="2" t="inlineStr">
        <is>
          <t>MUBARAK_USDT_PERP</t>
        </is>
      </c>
      <c r="B15" s="2">
        <f>COUNTIFS(交易明細!$B$2:$B$22,$A15)</f>
        <v/>
      </c>
      <c r="C15" s="2">
        <f>COUNTIFS(交易明細!$B$2:$B$22,$A15,交易明細!$C$2:$C$22,"做多")</f>
        <v/>
      </c>
      <c r="D15" s="2">
        <f>COUNTIFS(交易明細!$B$2:$B$22,$A15,交易明細!$C$2:$C$22,"做空")</f>
        <v/>
      </c>
      <c r="E15" s="2">
        <f>F15+G15+COUNTIFS(交易明細!$B$2:$B$22,$A15,交易明細!$J$2:$J$22,"時間出場")</f>
        <v/>
      </c>
      <c r="F15" s="2">
        <f>COUNTIFS(交易明細!$B$2:$B$22,$A15,交易明細!$J$2:$J$22,"止盈")</f>
        <v/>
      </c>
      <c r="G15" s="2">
        <f>COUNTIFS(交易明細!$B$2:$B$22,$A15,交易明細!$J$2:$J$22,"止損")</f>
        <v/>
      </c>
      <c r="H15" s="4">
        <f>IFERROR(F15/E15,0)</f>
        <v/>
      </c>
      <c r="I15" s="4">
        <f>IFERROR(AVERAGEIFS(交易明細!$L$2:$L$22,交易明細!$B$2:$B$22,$A15,交易明細!$J$2:$J$22,"&lt;&gt;未平倉"),0)</f>
        <v/>
      </c>
      <c r="J15" s="4">
        <f>SUMIFS(交易明細!$L$2:$L$22,交易明細!$B$2:$B$22,$A15,交易明細!$J$2:$J$22,"&lt;&gt;未平倉")</f>
        <v/>
      </c>
      <c r="K15" s="5">
        <f>IFERROR(AVERAGEIFS(交易明細!$K$2:$K$22,交易明細!$B$2:$B$22,$A15,交易明細!$J$2:$J$22,"&lt;&gt;未平倉"),0)</f>
        <v/>
      </c>
      <c r="L15" s="2">
        <f>COUNTIFS(交易明細!$B$2:$B$22,$A15,交易明細!$J$2:$J$22,"未平倉")</f>
        <v/>
      </c>
    </row>
    <row r="16">
      <c r="A16" s="2" t="inlineStr">
        <is>
          <t>SPK_USDT_PERP</t>
        </is>
      </c>
      <c r="B16" s="2">
        <f>COUNTIFS(交易明細!$B$2:$B$22,$A16)</f>
        <v/>
      </c>
      <c r="C16" s="2">
        <f>COUNTIFS(交易明細!$B$2:$B$22,$A16,交易明細!$C$2:$C$22,"做多")</f>
        <v/>
      </c>
      <c r="D16" s="2">
        <f>COUNTIFS(交易明細!$B$2:$B$22,$A16,交易明細!$C$2:$C$22,"做空")</f>
        <v/>
      </c>
      <c r="E16" s="2">
        <f>F16+G16+COUNTIFS(交易明細!$B$2:$B$22,$A16,交易明細!$J$2:$J$22,"時間出場")</f>
        <v/>
      </c>
      <c r="F16" s="2">
        <f>COUNTIFS(交易明細!$B$2:$B$22,$A16,交易明細!$J$2:$J$22,"止盈")</f>
        <v/>
      </c>
      <c r="G16" s="2">
        <f>COUNTIFS(交易明細!$B$2:$B$22,$A16,交易明細!$J$2:$J$22,"止損")</f>
        <v/>
      </c>
      <c r="H16" s="4">
        <f>IFERROR(F16/E16,0)</f>
        <v/>
      </c>
      <c r="I16" s="4">
        <f>IFERROR(AVERAGEIFS(交易明細!$L$2:$L$22,交易明細!$B$2:$B$22,$A16,交易明細!$J$2:$J$22,"&lt;&gt;未平倉"),0)</f>
        <v/>
      </c>
      <c r="J16" s="4">
        <f>SUMIFS(交易明細!$L$2:$L$22,交易明細!$B$2:$B$22,$A16,交易明細!$J$2:$J$22,"&lt;&gt;未平倉")</f>
        <v/>
      </c>
      <c r="K16" s="5">
        <f>IFERROR(AVERAGEIFS(交易明細!$K$2:$K$22,交易明細!$B$2:$B$22,$A16,交易明細!$J$2:$J$22,"&lt;&gt;未平倉"),0)</f>
        <v/>
      </c>
      <c r="L16" s="2">
        <f>COUNTIFS(交易明細!$B$2:$B$22,$A16,交易明細!$J$2:$J$22,"未平倉")</f>
        <v/>
      </c>
    </row>
    <row r="17">
      <c r="A17" s="2" t="inlineStr">
        <is>
          <t>Q_USDT_PERP</t>
        </is>
      </c>
      <c r="B17" s="2">
        <f>COUNTIFS(交易明細!$B$2:$B$22,$A17)</f>
        <v/>
      </c>
      <c r="C17" s="2">
        <f>COUNTIFS(交易明細!$B$2:$B$22,$A17,交易明細!$C$2:$C$22,"做多")</f>
        <v/>
      </c>
      <c r="D17" s="2">
        <f>COUNTIFS(交易明細!$B$2:$B$22,$A17,交易明細!$C$2:$C$22,"做空")</f>
        <v/>
      </c>
      <c r="E17" s="2">
        <f>F17+G17+COUNTIFS(交易明細!$B$2:$B$22,$A17,交易明細!$J$2:$J$22,"時間出場")</f>
        <v/>
      </c>
      <c r="F17" s="2">
        <f>COUNTIFS(交易明細!$B$2:$B$22,$A17,交易明細!$J$2:$J$22,"止盈")</f>
        <v/>
      </c>
      <c r="G17" s="2">
        <f>COUNTIFS(交易明細!$B$2:$B$22,$A17,交易明細!$J$2:$J$22,"止損")</f>
        <v/>
      </c>
      <c r="H17" s="4">
        <f>IFERROR(F17/E17,0)</f>
        <v/>
      </c>
      <c r="I17" s="4">
        <f>IFERROR(AVERAGEIFS(交易明細!$L$2:$L$22,交易明細!$B$2:$B$22,$A17,交易明細!$J$2:$J$22,"&lt;&gt;未平倉"),0)</f>
        <v/>
      </c>
      <c r="J17" s="4">
        <f>SUMIFS(交易明細!$L$2:$L$22,交易明細!$B$2:$B$22,$A17,交易明細!$J$2:$J$22,"&lt;&gt;未平倉")</f>
        <v/>
      </c>
      <c r="K17" s="5">
        <f>IFERROR(AVERAGEIFS(交易明細!$K$2:$K$22,交易明細!$B$2:$B$22,$A17,交易明細!$J$2:$J$22,"&lt;&gt;未平倉"),0)</f>
        <v/>
      </c>
      <c r="L17" s="2">
        <f>COUNTIFS(交易明細!$B$2:$B$22,$A17,交易明細!$J$2:$J$22,"未平倉")</f>
        <v/>
      </c>
    </row>
    <row r="18">
      <c r="A18" s="2" t="inlineStr">
        <is>
          <t>US_USDT_PERP</t>
        </is>
      </c>
      <c r="B18" s="2">
        <f>COUNTIFS(交易明細!$B$2:$B$22,$A18)</f>
        <v/>
      </c>
      <c r="C18" s="2">
        <f>COUNTIFS(交易明細!$B$2:$B$22,$A18,交易明細!$C$2:$C$22,"做多")</f>
        <v/>
      </c>
      <c r="D18" s="2">
        <f>COUNTIFS(交易明細!$B$2:$B$22,$A18,交易明細!$C$2:$C$22,"做空")</f>
        <v/>
      </c>
      <c r="E18" s="2">
        <f>F18+G18+COUNTIFS(交易明細!$B$2:$B$22,$A18,交易明細!$J$2:$J$22,"時間出場")</f>
        <v/>
      </c>
      <c r="F18" s="2">
        <f>COUNTIFS(交易明細!$B$2:$B$22,$A18,交易明細!$J$2:$J$22,"止盈")</f>
        <v/>
      </c>
      <c r="G18" s="2">
        <f>COUNTIFS(交易明細!$B$2:$B$22,$A18,交易明細!$J$2:$J$22,"止損")</f>
        <v/>
      </c>
      <c r="H18" s="4">
        <f>IFERROR(F18/E18,0)</f>
        <v/>
      </c>
      <c r="I18" s="4">
        <f>IFERROR(AVERAGEIFS(交易明細!$L$2:$L$22,交易明細!$B$2:$B$22,$A18,交易明細!$J$2:$J$22,"&lt;&gt;未平倉"),0)</f>
        <v/>
      </c>
      <c r="J18" s="4">
        <f>SUMIFS(交易明細!$L$2:$L$22,交易明細!$B$2:$B$22,$A18,交易明細!$J$2:$J$22,"&lt;&gt;未平倉")</f>
        <v/>
      </c>
      <c r="K18" s="5">
        <f>IFERROR(AVERAGEIFS(交易明細!$K$2:$K$22,交易明細!$B$2:$B$22,$A18,交易明細!$J$2:$J$22,"&lt;&gt;未平倉"),0)</f>
        <v/>
      </c>
      <c r="L18" s="2">
        <f>COUNTIFS(交易明細!$B$2:$B$22,$A18,交易明細!$J$2:$J$22,"未平倉")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>
        <is>
          <t>持倉中</t>
        </is>
      </c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2026-09-26T14:32:44Z</dcterms:created>
  <dcterms:modified xsi:type="dcterms:W3CDTF">2026-09-26T14:32:44Z</dcterms:modified>
</cp:coreProperties>
</file>