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'資金明細'!$A$1:$Z$192</definedName>
    <definedName name="_xlnm._FilterDatabase" localSheetId="5" hidden="1">'交易明細'!$A$1:$AH$96</definedName>
    <definedName name="_xlnm._FilterDatabase" localSheetId="6" hidden="1">'幣種統計'!$A$1:$L$63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2026-10-11 07:37（Dry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COUNTIFS(交易明細!$B$2:$B$96,"&lt;&gt;")</f>
        <v/>
      </c>
      <c r="C5" s="2">
        <f>D5+E5+F5</f>
        <v/>
      </c>
      <c r="D5" s="2">
        <f>COUNTIFS(交易明細!$J$2:$J$96,"止盈")</f>
        <v/>
      </c>
      <c r="E5" s="2">
        <f>COUNTIFS(交易明細!$J$2:$J$96,"止損")</f>
        <v/>
      </c>
      <c r="F5" s="2">
        <f>COUNTIFS(交易明細!$J$2:$J$96,"時間出場")</f>
        <v/>
      </c>
      <c r="G5" s="2">
        <f>COUNTIFS(交易明細!$J$2:$J$96,"未平倉")</f>
        <v/>
      </c>
      <c r="H5" s="4">
        <f>IFERROR(D5/C5,0)</f>
        <v/>
      </c>
      <c r="I5" s="4">
        <f>IFERROR(AVERAGEIFS(交易明細!$AC$2:$AC$96,交易明細!$J$2:$J$96,"&lt;&gt;未平倉"),參數!$B$16)</f>
        <v/>
      </c>
      <c r="J5" s="4">
        <f>IFERROR(AVERAGEIFS(交易明細!$L$2:$L$96,交易明細!$J$2:$J$96,"&lt;&gt;未平倉"),0)</f>
        <v/>
      </c>
      <c r="K5" s="4">
        <f>SUMIFS(交易明細!$L$2:$L$96,交易明細!$J$2:$J$96,"&lt;&gt;未平倉")</f>
        <v/>
      </c>
      <c r="L5" s="5">
        <f>IFERROR(AVERAGEIFS(交易明細!$K$2:$K$96,交易明細!$J$2:$J$96,"&lt;&gt;未平倉"),0)</f>
        <v/>
      </c>
      <c r="M5" s="5">
        <f>IFERROR(AVERAGEIFS(交易明細!$K$2:$K$96,交易明細!$J$2:$J$96,"止盈"),0)</f>
        <v/>
      </c>
      <c r="N5" s="5">
        <f>IFERROR(AVERAGEIFS(交易明細!$K$2:$K$96,交易明細!$J$2:$J$96,"止損"),0)</f>
        <v/>
      </c>
      <c r="O5" s="4">
        <f>IFERROR(AVERAGEIFS(交易明細!$L$2:$L$96,交易明細!$J$2:$J$96,"時間出場"),0)</f>
        <v/>
      </c>
      <c r="P5" s="4">
        <f>IFERROR(COUNTIFS(交易明細!$J$2:$J$96,"&lt;&gt;未平倉",交易明細!$L$2:$L$96,"&gt;0")/C5,0)</f>
        <v/>
      </c>
    </row>
    <row r="6">
      <c r="A6" s="2" t="inlineStr">
        <is>
          <t>做多</t>
        </is>
      </c>
      <c r="B6" s="2">
        <f>COUNTIFS(交易明細!$C$2:$C$96,"做多",交易明細!$B$2:$B$96,"&lt;&gt;")</f>
        <v/>
      </c>
      <c r="C6" s="2">
        <f>D6+E6+F6</f>
        <v/>
      </c>
      <c r="D6" s="2">
        <f>COUNTIFS(交易明細!$C$2:$C$96,"做多",交易明細!$J$2:$J$96,"止盈")</f>
        <v/>
      </c>
      <c r="E6" s="2">
        <f>COUNTIFS(交易明細!$C$2:$C$96,"做多",交易明細!$J$2:$J$96,"止損")</f>
        <v/>
      </c>
      <c r="F6" s="2">
        <f>COUNTIFS(交易明細!$C$2:$C$96,"做多",交易明細!$J$2:$J$96,"時間出場")</f>
        <v/>
      </c>
      <c r="G6" s="2">
        <f>COUNTIFS(交易明細!$C$2:$C$96,"做多",交易明細!$J$2:$J$96,"未平倉")</f>
        <v/>
      </c>
      <c r="H6" s="4">
        <f>IFERROR(D6/C6,0)</f>
        <v/>
      </c>
      <c r="I6" s="4">
        <f>IFERROR(AVERAGEIFS(交易明細!$AC$2:$AC$96,交易明細!$C$2:$C$96,"做多",交易明細!$J$2:$J$96,"&lt;&gt;未平倉"),參數!$B$16)</f>
        <v/>
      </c>
      <c r="J6" s="4">
        <f>IFERROR(AVERAGEIFS(交易明細!$L$2:$L$96,交易明細!$C$2:$C$96,"做多",交易明細!$J$2:$J$96,"&lt;&gt;未平倉"),0)</f>
        <v/>
      </c>
      <c r="K6" s="4">
        <f>SUMIFS(交易明細!$L$2:$L$96,交易明細!$C$2:$C$96,"做多",交易明細!$J$2:$J$96,"&lt;&gt;未平倉")</f>
        <v/>
      </c>
      <c r="L6" s="5">
        <f>IFERROR(AVERAGEIFS(交易明細!$K$2:$K$96,交易明細!$C$2:$C$96,"做多",交易明細!$J$2:$J$96,"&lt;&gt;未平倉"),0)</f>
        <v/>
      </c>
      <c r="M6" s="5">
        <f>IFERROR(AVERAGEIFS(交易明細!$K$2:$K$96,交易明細!$C$2:$C$96,"做多",交易明細!$J$2:$J$96,"止盈"),0)</f>
        <v/>
      </c>
      <c r="N6" s="5">
        <f>IFERROR(AVERAGEIFS(交易明細!$K$2:$K$96,交易明細!$C$2:$C$96,"做多",交易明細!$J$2:$J$96,"止損"),0)</f>
        <v/>
      </c>
      <c r="O6" s="4">
        <f>IFERROR(AVERAGEIFS(交易明細!$L$2:$L$96,交易明細!$C$2:$C$96,"做多",交易明細!$J$2:$J$96,"時間出場"),0)</f>
        <v/>
      </c>
      <c r="P6" s="4">
        <f>IFERROR(COUNTIFS(交易明細!$C$2:$C$96,"做多",交易明細!$J$2:$J$96,"&lt;&gt;未平倉",交易明細!$L$2:$L$96,"&gt;0")/C6,0)</f>
        <v/>
      </c>
    </row>
    <row r="7">
      <c r="A7" s="2" t="inlineStr">
        <is>
          <t>做空</t>
        </is>
      </c>
      <c r="B7" s="2">
        <f>COUNTIFS(交易明細!$C$2:$C$96,"做空",交易明細!$B$2:$B$96,"&lt;&gt;")</f>
        <v/>
      </c>
      <c r="C7" s="2">
        <f>D7+E7+F7</f>
        <v/>
      </c>
      <c r="D7" s="2">
        <f>COUNTIFS(交易明細!$C$2:$C$96,"做空",交易明細!$J$2:$J$96,"止盈")</f>
        <v/>
      </c>
      <c r="E7" s="2">
        <f>COUNTIFS(交易明細!$C$2:$C$96,"做空",交易明細!$J$2:$J$96,"止損")</f>
        <v/>
      </c>
      <c r="F7" s="2">
        <f>COUNTIFS(交易明細!$C$2:$C$96,"做空",交易明細!$J$2:$J$96,"時間出場")</f>
        <v/>
      </c>
      <c r="G7" s="2">
        <f>COUNTIFS(交易明細!$C$2:$C$96,"做空",交易明細!$J$2:$J$96,"未平倉")</f>
        <v/>
      </c>
      <c r="H7" s="4">
        <f>IFERROR(D7/C7,0)</f>
        <v/>
      </c>
      <c r="I7" s="4">
        <f>IFERROR(AVERAGEIFS(交易明細!$AC$2:$AC$96,交易明細!$C$2:$C$96,"做空",交易明細!$J$2:$J$96,"&lt;&gt;未平倉"),參數!$B$16)</f>
        <v/>
      </c>
      <c r="J7" s="4">
        <f>IFERROR(AVERAGEIFS(交易明細!$L$2:$L$96,交易明細!$C$2:$C$96,"做空",交易明細!$J$2:$J$96,"&lt;&gt;未平倉"),0)</f>
        <v/>
      </c>
      <c r="K7" s="4">
        <f>SUMIFS(交易明細!$L$2:$L$96,交易明細!$C$2:$C$96,"做空",交易明細!$J$2:$J$96,"&lt;&gt;未平倉")</f>
        <v/>
      </c>
      <c r="L7" s="5">
        <f>IFERROR(AVERAGEIFS(交易明細!$K$2:$K$96,交易明細!$C$2:$C$96,"做空",交易明細!$J$2:$J$96,"&lt;&gt;未平倉"),0)</f>
        <v/>
      </c>
      <c r="M7" s="5">
        <f>IFERROR(AVERAGEIFS(交易明細!$K$2:$K$96,交易明細!$C$2:$C$96,"做空",交易明細!$J$2:$J$96,"止盈"),0)</f>
        <v/>
      </c>
      <c r="N7" s="5">
        <f>IFERROR(AVERAGEIFS(交易明細!$K$2:$K$96,交易明細!$C$2:$C$96,"做空",交易明細!$J$2:$J$96,"止損"),0)</f>
        <v/>
      </c>
      <c r="O7" s="4">
        <f>IFERROR(AVERAGEIFS(交易明細!$L$2:$L$96,交易明細!$C$2:$C$96,"做空",交易明細!$J$2:$J$96,"時間出場"),0)</f>
        <v/>
      </c>
      <c r="P7" s="4">
        <f>IFERROR(COUNTIFS(交易明細!$C$2:$C$96,"做空",交易明細!$J$2:$J$96,"&lt;&gt;未平倉",交易明細!$L$2:$L$96,"&gt;0")/C7,0)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46306.31791631944</v>
      </c>
      <c r="B2" s="7" t="n">
        <v>46306.31666666667</v>
      </c>
      <c r="C2" s="2" t="n">
        <v>424</v>
      </c>
      <c r="D2" s="2" t="n">
        <v>0</v>
      </c>
      <c r="E2" s="2" t="n">
        <v>0</v>
      </c>
      <c r="F2" s="2" t="n">
        <v>0</v>
      </c>
      <c r="G2" s="2" t="n">
        <v>191.5</v>
      </c>
    </row>
    <row r="3">
      <c r="A3" s="7" t="n">
        <v>46306.17231976852</v>
      </c>
      <c r="B3" s="7" t="n">
        <v>46306.17152777778</v>
      </c>
      <c r="C3" s="2" t="n">
        <v>424</v>
      </c>
      <c r="D3" s="2" t="n">
        <v>1</v>
      </c>
      <c r="E3" s="2" t="n">
        <v>1</v>
      </c>
      <c r="F3" s="2" t="n">
        <v>0</v>
      </c>
      <c r="G3" s="2" t="n">
        <v>185.1</v>
      </c>
    </row>
    <row r="4">
      <c r="A4" s="7" t="n">
        <v>46306.05928421296</v>
      </c>
      <c r="B4" s="7" t="n">
        <v>46306.05833333333</v>
      </c>
      <c r="C4" s="2" t="n">
        <v>424</v>
      </c>
      <c r="D4" s="2" t="n">
        <v>2</v>
      </c>
      <c r="E4" s="2" t="n">
        <v>2</v>
      </c>
      <c r="F4" s="2" t="n">
        <v>0</v>
      </c>
      <c r="G4" s="2" t="n">
        <v>157.8</v>
      </c>
    </row>
    <row r="5">
      <c r="A5" s="7" t="n">
        <v>46305.97649559028</v>
      </c>
      <c r="B5" s="7" t="n">
        <v>46305.97569444445</v>
      </c>
      <c r="C5" s="2" t="n">
        <v>424</v>
      </c>
      <c r="D5" s="2" t="n">
        <v>1</v>
      </c>
      <c r="E5" s="2" t="n">
        <v>1</v>
      </c>
      <c r="F5" s="2" t="n">
        <v>0</v>
      </c>
      <c r="G5" s="2" t="n">
        <v>179.2</v>
      </c>
    </row>
    <row r="6">
      <c r="A6" s="7" t="n">
        <v>46305.69183671296</v>
      </c>
      <c r="B6" s="7" t="n">
        <v>46305.69097222222</v>
      </c>
      <c r="C6" s="2" t="n">
        <v>424</v>
      </c>
      <c r="D6" s="2" t="n">
        <v>2</v>
      </c>
      <c r="E6" s="2" t="n">
        <v>2</v>
      </c>
      <c r="F6" s="2" t="n">
        <v>0</v>
      </c>
      <c r="G6" s="2" t="n">
        <v>132.9</v>
      </c>
    </row>
    <row r="7">
      <c r="A7" s="7" t="n">
        <v>46305.40800034722</v>
      </c>
      <c r="B7" s="7" t="n">
        <v>46305.40694444445</v>
      </c>
      <c r="C7" s="2" t="n">
        <v>424</v>
      </c>
      <c r="D7" s="2" t="n">
        <v>0</v>
      </c>
      <c r="E7" s="2" t="n">
        <v>0</v>
      </c>
      <c r="F7" s="2" t="n">
        <v>0</v>
      </c>
      <c r="G7" s="2" t="n">
        <v>189.6</v>
      </c>
    </row>
    <row r="8">
      <c r="A8" s="7" t="n">
        <v>46305.23924587963</v>
      </c>
      <c r="B8" s="7" t="n">
        <v>46305.23819444444</v>
      </c>
      <c r="C8" s="2" t="n">
        <v>424</v>
      </c>
      <c r="D8" s="2" t="n">
        <v>1</v>
      </c>
      <c r="E8" s="2" t="n">
        <v>1</v>
      </c>
      <c r="F8" s="2" t="n">
        <v>0</v>
      </c>
      <c r="G8" s="2" t="n">
        <v>148.5</v>
      </c>
    </row>
    <row r="9">
      <c r="A9" s="7" t="n">
        <v>46305.01507317129</v>
      </c>
      <c r="B9" s="7" t="n">
        <v>46305.01388888889</v>
      </c>
      <c r="C9" s="2" t="n">
        <v>424</v>
      </c>
      <c r="D9" s="2" t="n">
        <v>2</v>
      </c>
      <c r="E9" s="2" t="n">
        <v>2</v>
      </c>
      <c r="F9" s="2" t="n">
        <v>0</v>
      </c>
      <c r="G9" s="2" t="n">
        <v>158.3</v>
      </c>
    </row>
    <row r="10">
      <c r="A10" s="7" t="n">
        <v>46304.94379155093</v>
      </c>
      <c r="B10" s="7" t="n">
        <v>46304.94305555556</v>
      </c>
      <c r="C10" s="2" t="n">
        <v>424</v>
      </c>
      <c r="D10" s="2" t="n">
        <v>0</v>
      </c>
      <c r="E10" s="2" t="n">
        <v>0</v>
      </c>
      <c r="F10" s="2" t="n">
        <v>0</v>
      </c>
      <c r="G10" s="2" t="n">
        <v>190.6</v>
      </c>
    </row>
    <row r="11">
      <c r="A11" s="7" t="n">
        <v>46304.71967576389</v>
      </c>
      <c r="B11" s="7" t="n">
        <v>46304.71875</v>
      </c>
      <c r="C11" s="2" t="n">
        <v>424</v>
      </c>
      <c r="D11" s="2" t="n">
        <v>2</v>
      </c>
      <c r="E11" s="2" t="n">
        <v>2</v>
      </c>
      <c r="F11" s="2" t="n">
        <v>0</v>
      </c>
      <c r="G11" s="2" t="n">
        <v>172.2</v>
      </c>
    </row>
    <row r="12">
      <c r="A12" s="7" t="n">
        <v>46304.42724962963</v>
      </c>
      <c r="B12" s="7" t="n">
        <v>46304.42638888889</v>
      </c>
      <c r="C12" s="2" t="n">
        <v>424</v>
      </c>
      <c r="D12" s="2" t="n">
        <v>0</v>
      </c>
      <c r="E12" s="2" t="n">
        <v>0</v>
      </c>
      <c r="F12" s="2" t="n">
        <v>0</v>
      </c>
      <c r="G12" s="2" t="n">
        <v>161.8</v>
      </c>
    </row>
    <row r="13">
      <c r="A13" s="7" t="n">
        <v>46304.40418914352</v>
      </c>
      <c r="B13" s="7" t="n">
        <v>46304.40347222222</v>
      </c>
      <c r="C13" s="2" t="n">
        <v>424</v>
      </c>
      <c r="D13" s="2" t="n">
        <v>0</v>
      </c>
      <c r="E13" s="2" t="n">
        <v>0</v>
      </c>
      <c r="F13" s="2" t="n">
        <v>0</v>
      </c>
      <c r="G13" s="2" t="n">
        <v>165.2</v>
      </c>
    </row>
    <row r="14">
      <c r="A14" s="7" t="n">
        <v>46304.25657934028</v>
      </c>
      <c r="B14" s="7" t="n">
        <v>46304.25555555556</v>
      </c>
      <c r="C14" s="2" t="n">
        <v>424</v>
      </c>
      <c r="D14" s="2" t="n">
        <v>1</v>
      </c>
      <c r="E14" s="2" t="n">
        <v>1</v>
      </c>
      <c r="F14" s="2" t="n">
        <v>0</v>
      </c>
      <c r="G14" s="2" t="n">
        <v>191.7</v>
      </c>
    </row>
    <row r="15">
      <c r="A15" s="7" t="n">
        <v>46304.02427626157</v>
      </c>
      <c r="B15" s="7" t="n">
        <v>46304.02291666667</v>
      </c>
      <c r="C15" s="2" t="n">
        <v>424</v>
      </c>
      <c r="D15" s="2" t="n">
        <v>1</v>
      </c>
      <c r="E15" s="2" t="n">
        <v>1</v>
      </c>
      <c r="F15" s="2" t="n">
        <v>0</v>
      </c>
      <c r="G15" s="2" t="n">
        <v>190.7</v>
      </c>
    </row>
    <row r="16">
      <c r="A16" s="7" t="n">
        <v>46303.77544002315</v>
      </c>
      <c r="B16" s="7" t="n">
        <v>46303.77430555555</v>
      </c>
      <c r="C16" s="2" t="n">
        <v>434</v>
      </c>
      <c r="D16" s="2" t="n">
        <v>1</v>
      </c>
      <c r="E16" s="2" t="n">
        <v>1</v>
      </c>
      <c r="F16" s="2" t="n">
        <v>0</v>
      </c>
      <c r="G16" s="2" t="n">
        <v>140.4</v>
      </c>
    </row>
    <row r="17">
      <c r="A17" s="7" t="n">
        <v>46303.71259842593</v>
      </c>
      <c r="B17" s="7" t="n">
        <v>46303.71180555555</v>
      </c>
      <c r="C17" s="2" t="n">
        <v>434</v>
      </c>
      <c r="D17" s="2" t="n">
        <v>2</v>
      </c>
      <c r="E17" s="2" t="n">
        <v>2</v>
      </c>
      <c r="F17" s="2" t="n">
        <v>0</v>
      </c>
      <c r="G17" s="2" t="n">
        <v>141.3</v>
      </c>
    </row>
    <row r="18">
      <c r="A18" s="7" t="n">
        <v>46303.41768807871</v>
      </c>
      <c r="B18" s="7" t="n">
        <v>46303.41666666666</v>
      </c>
      <c r="C18" s="2" t="n">
        <v>434</v>
      </c>
      <c r="D18" s="2" t="n">
        <v>2</v>
      </c>
      <c r="E18" s="2" t="n">
        <v>2</v>
      </c>
      <c r="F18" s="2" t="n">
        <v>0</v>
      </c>
      <c r="G18" s="2" t="n">
        <v>194.5</v>
      </c>
    </row>
    <row r="19">
      <c r="A19" s="7" t="n">
        <v>46303.22279260417</v>
      </c>
      <c r="B19" s="7" t="n">
        <v>46303.22152777778</v>
      </c>
      <c r="C19" s="2" t="n">
        <v>434</v>
      </c>
      <c r="D19" s="2" t="n">
        <v>5</v>
      </c>
      <c r="E19" s="2" t="n">
        <v>5</v>
      </c>
      <c r="F19" s="2" t="n">
        <v>0</v>
      </c>
      <c r="G19" s="2" t="n">
        <v>192.9</v>
      </c>
    </row>
    <row r="20">
      <c r="A20" s="7" t="n">
        <v>46302.98345733796</v>
      </c>
      <c r="B20" s="7" t="n">
        <v>46302.98263888889</v>
      </c>
      <c r="C20" s="2" t="n">
        <v>434</v>
      </c>
      <c r="D20" s="2" t="n">
        <v>0</v>
      </c>
      <c r="E20" s="2" t="n">
        <v>0</v>
      </c>
      <c r="F20" s="2" t="n">
        <v>0</v>
      </c>
      <c r="G20" s="2" t="n">
        <v>189.7</v>
      </c>
    </row>
    <row r="21">
      <c r="A21" s="7" t="n">
        <v>46302.91855568287</v>
      </c>
      <c r="B21" s="7" t="n">
        <v>46302.91736111111</v>
      </c>
      <c r="C21" s="2" t="n">
        <v>434</v>
      </c>
      <c r="D21" s="2" t="n">
        <v>0</v>
      </c>
      <c r="E21" s="2" t="n">
        <v>0</v>
      </c>
      <c r="F21" s="2" t="n">
        <v>0</v>
      </c>
      <c r="G21" s="2" t="n">
        <v>195.1</v>
      </c>
    </row>
    <row r="22">
      <c r="A22" s="7" t="n">
        <v>46302.63748732639</v>
      </c>
      <c r="B22" s="7" t="n">
        <v>46302.63611111111</v>
      </c>
      <c r="C22" s="2" t="n">
        <v>434</v>
      </c>
      <c r="D22" s="2" t="n">
        <v>0</v>
      </c>
      <c r="E22" s="2" t="n">
        <v>0</v>
      </c>
      <c r="F22" s="2" t="n">
        <v>0</v>
      </c>
      <c r="G22" s="2" t="n">
        <v>149.8</v>
      </c>
    </row>
    <row r="23">
      <c r="A23" s="7" t="n">
        <v>46302.36557295139</v>
      </c>
      <c r="B23" s="7" t="n">
        <v>46302.36458333334</v>
      </c>
      <c r="C23" s="2" t="n">
        <v>434</v>
      </c>
      <c r="D23" s="2" t="n">
        <v>1</v>
      </c>
      <c r="E23" s="2" t="n">
        <v>1</v>
      </c>
      <c r="F23" s="2" t="n">
        <v>0</v>
      </c>
      <c r="G23" s="2" t="n">
        <v>187.2</v>
      </c>
    </row>
    <row r="24">
      <c r="A24" s="7" t="n">
        <v>46302.18334195602</v>
      </c>
      <c r="B24" s="7" t="n">
        <v>46302.18263888889</v>
      </c>
      <c r="C24" s="2" t="n">
        <v>434</v>
      </c>
      <c r="D24" s="2" t="n">
        <v>1</v>
      </c>
      <c r="E24" s="2" t="n">
        <v>1</v>
      </c>
      <c r="F24" s="2" t="n">
        <v>0</v>
      </c>
      <c r="G24" s="2" t="n">
        <v>143.5</v>
      </c>
    </row>
    <row r="25">
      <c r="A25" s="7" t="n">
        <v>46301.96957728009</v>
      </c>
      <c r="B25" s="7" t="n">
        <v>46301.96875</v>
      </c>
      <c r="C25" s="2" t="n">
        <v>434</v>
      </c>
      <c r="D25" s="2" t="n">
        <v>0</v>
      </c>
      <c r="E25" s="2" t="n">
        <v>0</v>
      </c>
      <c r="F25" s="2" t="n">
        <v>0</v>
      </c>
      <c r="G25" s="2" t="n">
        <v>153.4</v>
      </c>
    </row>
    <row r="26">
      <c r="A26" s="7" t="n">
        <v>46301.81112700231</v>
      </c>
      <c r="B26" s="7" t="n">
        <v>46301.81041666667</v>
      </c>
      <c r="C26" s="2" t="n">
        <v>434</v>
      </c>
      <c r="D26" s="2" t="n">
        <v>3</v>
      </c>
      <c r="E26" s="2" t="n">
        <v>4</v>
      </c>
      <c r="F26" s="2" t="n">
        <v>0</v>
      </c>
      <c r="G26" s="2" t="n">
        <v>163.5</v>
      </c>
    </row>
    <row r="27">
      <c r="A27" s="7" t="n">
        <v>46301.65108299768</v>
      </c>
      <c r="B27" s="7" t="n">
        <v>46301.65</v>
      </c>
      <c r="C27" s="2" t="n">
        <v>434</v>
      </c>
      <c r="D27" s="2" t="n">
        <v>3</v>
      </c>
      <c r="E27" s="2" t="n">
        <v>3</v>
      </c>
      <c r="F27" s="2" t="n">
        <v>0</v>
      </c>
      <c r="G27" s="2" t="n">
        <v>163.9</v>
      </c>
    </row>
    <row r="28">
      <c r="A28" s="7" t="n">
        <v>46301.36894638889</v>
      </c>
      <c r="B28" s="7" t="n">
        <v>46301.36805555555</v>
      </c>
      <c r="C28" s="2" t="n">
        <v>434</v>
      </c>
      <c r="D28" s="2" t="n">
        <v>0</v>
      </c>
      <c r="E28" s="2" t="n">
        <v>0</v>
      </c>
      <c r="F28" s="2" t="n">
        <v>0</v>
      </c>
      <c r="G28" s="2" t="n">
        <v>163.9</v>
      </c>
    </row>
    <row r="29">
      <c r="A29" s="7" t="n">
        <v>46301.10619697917</v>
      </c>
      <c r="B29" s="7" t="n">
        <v>46301.10486111111</v>
      </c>
      <c r="C29" s="2" t="n">
        <v>434</v>
      </c>
      <c r="D29" s="2" t="n">
        <v>2</v>
      </c>
      <c r="E29" s="2" t="n">
        <v>1</v>
      </c>
      <c r="F29" s="2" t="n">
        <v>0</v>
      </c>
      <c r="G29" s="2" t="n">
        <v>185.1</v>
      </c>
    </row>
    <row r="30">
      <c r="A30" s="7" t="n">
        <v>46300.94284798611</v>
      </c>
      <c r="B30" s="7" t="n">
        <v>46300.94166666667</v>
      </c>
      <c r="C30" s="2" t="n">
        <v>434</v>
      </c>
      <c r="D30" s="2" t="n">
        <v>1</v>
      </c>
      <c r="E30" s="2" t="n">
        <v>2</v>
      </c>
      <c r="F30" s="2" t="n">
        <v>0</v>
      </c>
      <c r="G30" s="2" t="n">
        <v>178.3</v>
      </c>
    </row>
    <row r="31">
      <c r="A31" s="7" t="n">
        <v>46300.71639594907</v>
      </c>
      <c r="B31" s="7" t="n">
        <v>46300.71527777778</v>
      </c>
      <c r="C31" s="2" t="n">
        <v>434</v>
      </c>
      <c r="D31" s="2" t="n">
        <v>1</v>
      </c>
      <c r="E31" s="2" t="n">
        <v>0</v>
      </c>
      <c r="F31" s="2" t="n">
        <v>0</v>
      </c>
      <c r="G31" s="2" t="n">
        <v>191.4</v>
      </c>
    </row>
    <row r="32">
      <c r="A32" s="7" t="n">
        <v>46300.42120295139</v>
      </c>
      <c r="B32" s="7" t="n">
        <v>46300.42013888889</v>
      </c>
      <c r="C32" s="2" t="n">
        <v>435</v>
      </c>
      <c r="D32" s="2" t="n">
        <v>0</v>
      </c>
      <c r="E32" s="2" t="n">
        <v>1</v>
      </c>
      <c r="F32" s="2" t="n">
        <v>0</v>
      </c>
      <c r="G32" s="2" t="n">
        <v>186</v>
      </c>
    </row>
    <row r="33">
      <c r="A33" s="7" t="n">
        <v>46300.30229967592</v>
      </c>
      <c r="B33" s="7" t="n">
        <v>46300.30138888889</v>
      </c>
      <c r="C33" s="2" t="n">
        <v>435</v>
      </c>
      <c r="D33" s="2" t="n">
        <v>1</v>
      </c>
      <c r="E33" s="2" t="n">
        <v>1</v>
      </c>
      <c r="F33" s="2" t="n">
        <v>0</v>
      </c>
      <c r="G33" s="2" t="n">
        <v>186.7</v>
      </c>
    </row>
    <row r="34">
      <c r="A34" s="7" t="n">
        <v>46300.1536875926</v>
      </c>
      <c r="B34" s="7" t="n">
        <v>46300.15277777778</v>
      </c>
      <c r="C34" s="2" t="n">
        <v>435</v>
      </c>
      <c r="D34" s="2" t="n">
        <v>0</v>
      </c>
      <c r="E34" s="2" t="n">
        <v>0</v>
      </c>
      <c r="F34" s="2" t="n">
        <v>0</v>
      </c>
      <c r="G34" s="2" t="n">
        <v>149.8</v>
      </c>
    </row>
    <row r="35">
      <c r="A35" s="7" t="n">
        <v>46299.97588962963</v>
      </c>
      <c r="B35" s="7" t="n">
        <v>46299.975</v>
      </c>
      <c r="C35" s="2" t="n">
        <v>435</v>
      </c>
      <c r="D35" s="2" t="n">
        <v>0</v>
      </c>
      <c r="E35" s="2" t="n">
        <v>0</v>
      </c>
      <c r="F35" s="2" t="n">
        <v>0</v>
      </c>
      <c r="G35" s="2" t="n">
        <v>191.9</v>
      </c>
    </row>
    <row r="36">
      <c r="A36" s="7" t="n">
        <v>46299.90213123843</v>
      </c>
      <c r="B36" s="7" t="n">
        <v>46299.90138888889</v>
      </c>
      <c r="C36" s="2" t="n">
        <v>435</v>
      </c>
      <c r="D36" s="2" t="n">
        <v>0</v>
      </c>
      <c r="E36" s="2" t="n">
        <v>0</v>
      </c>
      <c r="F36" s="2" t="n">
        <v>0</v>
      </c>
      <c r="G36" s="2" t="n">
        <v>188.2</v>
      </c>
    </row>
    <row r="37">
      <c r="A37" s="7" t="n">
        <v>46299.74574608796</v>
      </c>
      <c r="B37" s="7" t="n">
        <v>46299.74444444444</v>
      </c>
      <c r="C37" s="2" t="n">
        <v>435</v>
      </c>
      <c r="D37" s="2" t="n">
        <v>2</v>
      </c>
      <c r="E37" s="2" t="n">
        <v>1</v>
      </c>
      <c r="F37" s="2" t="n">
        <v>1</v>
      </c>
      <c r="G37" s="2" t="n">
        <v>187.4</v>
      </c>
    </row>
    <row r="38">
      <c r="A38" s="7" t="n">
        <v>46299.48719824074</v>
      </c>
      <c r="B38" s="7" t="n">
        <v>46299.48611111111</v>
      </c>
      <c r="C38" s="2" t="n">
        <v>435</v>
      </c>
      <c r="D38" s="2" t="n">
        <v>0</v>
      </c>
      <c r="E38" s="2" t="n">
        <v>1</v>
      </c>
      <c r="F38" s="2" t="n">
        <v>1</v>
      </c>
      <c r="G38" s="2" t="n">
        <v>184.7</v>
      </c>
    </row>
    <row r="39">
      <c r="A39" s="7" t="n">
        <v>46299.44683753472</v>
      </c>
      <c r="B39" s="7" t="n">
        <v>46299.44583333333</v>
      </c>
      <c r="C39" s="2" t="n">
        <v>435</v>
      </c>
      <c r="D39" s="2" t="n">
        <v>1</v>
      </c>
      <c r="E39" s="2" t="n">
        <v>1</v>
      </c>
      <c r="F39" s="2" t="n">
        <v>1</v>
      </c>
      <c r="G39" s="2" t="n">
        <v>189.6</v>
      </c>
    </row>
    <row r="40">
      <c r="A40" s="7" t="n">
        <v>46299.29732329861</v>
      </c>
      <c r="B40" s="7" t="n">
        <v>46299.29652777778</v>
      </c>
      <c r="C40" s="2" t="n">
        <v>435</v>
      </c>
      <c r="D40" s="2" t="n">
        <v>1</v>
      </c>
      <c r="E40" s="2" t="n">
        <v>1</v>
      </c>
      <c r="F40" s="2" t="n">
        <v>1</v>
      </c>
      <c r="G40" s="2" t="n">
        <v>186.6</v>
      </c>
    </row>
    <row r="41">
      <c r="A41" s="7" t="n">
        <v>46299.16534118055</v>
      </c>
      <c r="B41" s="7" t="n">
        <v>46299.16458333333</v>
      </c>
      <c r="C41" s="2" t="n">
        <v>435</v>
      </c>
      <c r="D41" s="2" t="n">
        <v>0</v>
      </c>
      <c r="E41" s="2" t="n">
        <v>0</v>
      </c>
      <c r="F41" s="2" t="n">
        <v>1</v>
      </c>
      <c r="G41" s="2" t="n">
        <v>160.2</v>
      </c>
    </row>
    <row r="42">
      <c r="A42" s="7" t="n">
        <v>46299.01924309028</v>
      </c>
      <c r="B42" s="7" t="n">
        <v>46299.01805555556</v>
      </c>
      <c r="C42" s="2" t="n">
        <v>435</v>
      </c>
      <c r="D42" s="2" t="n">
        <v>0</v>
      </c>
      <c r="E42" s="2" t="n">
        <v>0</v>
      </c>
      <c r="F42" s="2" t="n">
        <v>1</v>
      </c>
      <c r="G42" s="2" t="n">
        <v>194</v>
      </c>
    </row>
    <row r="43">
      <c r="A43" s="7" t="n">
        <v>46298.82413289352</v>
      </c>
      <c r="B43" s="7" t="n">
        <v>46298.82291666666</v>
      </c>
      <c r="C43" s="2" t="n">
        <v>435</v>
      </c>
      <c r="D43" s="2" t="n">
        <v>0</v>
      </c>
      <c r="E43" s="2" t="n">
        <v>0</v>
      </c>
      <c r="F43" s="2" t="n">
        <v>1</v>
      </c>
      <c r="G43" s="2" t="n">
        <v>180.1</v>
      </c>
    </row>
    <row r="44">
      <c r="A44" s="7" t="n">
        <v>46298.64104893518</v>
      </c>
      <c r="B44" s="7" t="n">
        <v>46298.64027777778</v>
      </c>
      <c r="C44" s="2" t="n">
        <v>435</v>
      </c>
      <c r="D44" s="2" t="n">
        <v>1</v>
      </c>
      <c r="E44" s="2" t="n">
        <v>0</v>
      </c>
      <c r="F44" s="2" t="n">
        <v>1</v>
      </c>
      <c r="G44" s="2" t="n">
        <v>180.1</v>
      </c>
    </row>
    <row r="45">
      <c r="A45" s="7" t="n">
        <v>46298.55905060185</v>
      </c>
      <c r="B45" s="7" t="n">
        <v>46298.55833333333</v>
      </c>
      <c r="C45" s="2" t="n">
        <v>435</v>
      </c>
      <c r="D45" s="2" t="n">
        <v>2</v>
      </c>
      <c r="E45" s="2" t="n">
        <v>2</v>
      </c>
      <c r="F45" s="2" t="n">
        <v>1</v>
      </c>
      <c r="G45" s="2" t="n">
        <v>159.7</v>
      </c>
    </row>
    <row r="46">
      <c r="A46" s="7" t="n">
        <v>46298.32651334491</v>
      </c>
      <c r="B46" s="7" t="n">
        <v>46298.32569444444</v>
      </c>
      <c r="C46" s="2" t="n">
        <v>435</v>
      </c>
      <c r="D46" s="2" t="n">
        <v>0</v>
      </c>
      <c r="E46" s="2" t="n">
        <v>0</v>
      </c>
      <c r="F46" s="2" t="n">
        <v>2</v>
      </c>
      <c r="G46" s="2" t="n">
        <v>189.1</v>
      </c>
    </row>
    <row r="47">
      <c r="A47" s="7" t="n">
        <v>46298.14088650463</v>
      </c>
      <c r="B47" s="7" t="n">
        <v>46298.13958333333</v>
      </c>
      <c r="C47" s="2" t="n">
        <v>435</v>
      </c>
      <c r="D47" s="2" t="n">
        <v>1</v>
      </c>
      <c r="E47" s="2" t="n">
        <v>2</v>
      </c>
      <c r="F47" s="2" t="n">
        <v>2</v>
      </c>
      <c r="G47" s="2" t="n">
        <v>195.5</v>
      </c>
    </row>
    <row r="48">
      <c r="A48" s="7" t="n">
        <v>46298.00826386574</v>
      </c>
      <c r="B48" s="7" t="n">
        <v>46298.00694444445</v>
      </c>
      <c r="C48" s="2" t="n">
        <v>435</v>
      </c>
      <c r="D48" s="2" t="n">
        <v>2</v>
      </c>
      <c r="E48" s="2" t="n">
        <v>1</v>
      </c>
      <c r="F48" s="2" t="n">
        <v>2</v>
      </c>
      <c r="G48" s="2" t="n">
        <v>190.7</v>
      </c>
    </row>
    <row r="49">
      <c r="A49" s="7" t="n">
        <v>46297.91349550926</v>
      </c>
      <c r="B49" s="7" t="n">
        <v>46297.9125</v>
      </c>
      <c r="C49" s="2" t="n">
        <v>435</v>
      </c>
      <c r="D49" s="2" t="n">
        <v>0</v>
      </c>
      <c r="E49" s="2" t="n">
        <v>1</v>
      </c>
      <c r="F49" s="2" t="n">
        <v>3</v>
      </c>
      <c r="G49" s="2" t="n">
        <v>179.2</v>
      </c>
    </row>
    <row r="50">
      <c r="A50" s="7" t="n">
        <v>46297.90064986111</v>
      </c>
      <c r="B50" s="7" t="n">
        <v>46297.89930555555</v>
      </c>
      <c r="C50" s="2" t="n">
        <v>435</v>
      </c>
      <c r="D50" s="2" t="n">
        <v>1</v>
      </c>
      <c r="E50" s="2" t="n">
        <v>0</v>
      </c>
      <c r="F50" s="2" t="n">
        <v>3</v>
      </c>
      <c r="G50" s="2" t="n">
        <v>180.1</v>
      </c>
    </row>
    <row r="51">
      <c r="A51" s="7" t="n">
        <v>46297.75623421296</v>
      </c>
      <c r="B51" s="7" t="n">
        <v>46297.75486111111</v>
      </c>
      <c r="C51" s="2" t="n">
        <v>435</v>
      </c>
      <c r="D51" s="2" t="n">
        <v>0</v>
      </c>
      <c r="E51" s="2" t="n">
        <v>0</v>
      </c>
      <c r="F51" s="2" t="n">
        <v>3</v>
      </c>
      <c r="G51" s="2" t="n">
        <v>199.1</v>
      </c>
    </row>
    <row r="52">
      <c r="A52" s="7" t="n">
        <v>46297.70907445602</v>
      </c>
      <c r="B52" s="7" t="n">
        <v>46297.70833333334</v>
      </c>
      <c r="C52" s="2" t="n">
        <v>435</v>
      </c>
      <c r="D52" s="2" t="n">
        <v>0</v>
      </c>
      <c r="E52" s="2" t="n">
        <v>0</v>
      </c>
      <c r="F52" s="2" t="n">
        <v>3</v>
      </c>
      <c r="G52" s="2" t="n">
        <v>148.2</v>
      </c>
    </row>
    <row r="53">
      <c r="A53" s="7" t="n">
        <v>46297.62748648148</v>
      </c>
      <c r="B53" s="7" t="n">
        <v>46297.62638888889</v>
      </c>
      <c r="C53" s="2" t="n">
        <v>435</v>
      </c>
      <c r="D53" s="2" t="n">
        <v>0</v>
      </c>
      <c r="E53" s="2" t="n">
        <v>0</v>
      </c>
      <c r="F53" s="2" t="n">
        <v>3</v>
      </c>
      <c r="G53" s="2" t="n">
        <v>188.8</v>
      </c>
    </row>
    <row r="54">
      <c r="A54" s="7" t="n">
        <v>46297.59146636574</v>
      </c>
      <c r="B54" s="7" t="n">
        <v>46297.59027777778</v>
      </c>
      <c r="C54" s="2" t="n">
        <v>435</v>
      </c>
      <c r="D54" s="2" t="n">
        <v>0</v>
      </c>
      <c r="E54" s="2" t="n">
        <v>0</v>
      </c>
      <c r="F54" s="2" t="n">
        <v>3</v>
      </c>
      <c r="G54" s="2" t="n">
        <v>188.7</v>
      </c>
    </row>
    <row r="55">
      <c r="A55" s="7" t="n">
        <v>46297.47377153935</v>
      </c>
      <c r="B55" s="7" t="n">
        <v>46297.47291666667</v>
      </c>
      <c r="C55" s="2" t="n">
        <v>435</v>
      </c>
      <c r="D55" s="2" t="n">
        <v>0</v>
      </c>
      <c r="E55" s="2" t="n">
        <v>0</v>
      </c>
      <c r="F55" s="2" t="n">
        <v>4</v>
      </c>
      <c r="G55" s="2" t="n">
        <v>159.9</v>
      </c>
    </row>
    <row r="56">
      <c r="A56" s="7" t="n">
        <v>46297.43863659722</v>
      </c>
      <c r="B56" s="7" t="n">
        <v>46297.4375</v>
      </c>
      <c r="C56" s="2" t="n">
        <v>435</v>
      </c>
      <c r="D56" s="2" t="n">
        <v>1</v>
      </c>
      <c r="E56" s="2" t="n">
        <v>1</v>
      </c>
      <c r="F56" s="2" t="n">
        <v>4</v>
      </c>
      <c r="G56" s="2" t="n">
        <v>181.3</v>
      </c>
    </row>
    <row r="57">
      <c r="A57" s="7" t="n">
        <v>46297.36902693287</v>
      </c>
      <c r="B57" s="7" t="n">
        <v>46297.36805555555</v>
      </c>
      <c r="C57" s="2" t="n">
        <v>434</v>
      </c>
      <c r="D57" s="2" t="n">
        <v>0</v>
      </c>
      <c r="E57" s="2" t="n">
        <v>0</v>
      </c>
      <c r="F57" s="2" t="n">
        <v>1</v>
      </c>
      <c r="G57" s="2" t="n">
        <v>191.7</v>
      </c>
    </row>
    <row r="58">
      <c r="A58" s="7" t="n">
        <v>46297.34984872685</v>
      </c>
      <c r="B58" s="7" t="n">
        <v>46297.34861111111</v>
      </c>
      <c r="C58" s="2" t="n">
        <v>434</v>
      </c>
      <c r="D58" s="2" t="n">
        <v>0</v>
      </c>
      <c r="E58" s="2" t="n">
        <v>0</v>
      </c>
      <c r="F58" s="2" t="n">
        <v>1</v>
      </c>
      <c r="G58" s="2" t="n">
        <v>185.3</v>
      </c>
    </row>
    <row r="59">
      <c r="A59" s="7" t="n">
        <v>46297.18230064815</v>
      </c>
      <c r="B59" s="7" t="n">
        <v>46297.18125</v>
      </c>
      <c r="C59" s="2" t="n">
        <v>434</v>
      </c>
      <c r="D59" s="2" t="n">
        <v>2</v>
      </c>
      <c r="E59" s="2" t="n">
        <v>2</v>
      </c>
      <c r="F59" s="2" t="n">
        <v>1</v>
      </c>
      <c r="G59" s="2" t="n">
        <v>159.5</v>
      </c>
    </row>
    <row r="60">
      <c r="A60" s="7" t="n">
        <v>46297.01546863426</v>
      </c>
      <c r="B60" s="7" t="n">
        <v>46297.01458333333</v>
      </c>
      <c r="C60" s="2" t="n">
        <v>434</v>
      </c>
      <c r="D60" s="2" t="n">
        <v>1</v>
      </c>
      <c r="E60" s="2" t="n">
        <v>1</v>
      </c>
      <c r="F60" s="2" t="n">
        <v>2</v>
      </c>
      <c r="G60" s="2" t="n">
        <v>179.4</v>
      </c>
    </row>
    <row r="61">
      <c r="A61" s="7" t="n">
        <v>46296.99918069445</v>
      </c>
      <c r="B61" s="7" t="n">
        <v>46296.99791666667</v>
      </c>
      <c r="C61" s="2" t="n">
        <v>434</v>
      </c>
      <c r="D61" s="2" t="n">
        <v>0</v>
      </c>
      <c r="E61" s="2" t="n">
        <v>0</v>
      </c>
      <c r="F61" s="2" t="n">
        <v>2</v>
      </c>
      <c r="G61" s="2" t="n">
        <v>167.2</v>
      </c>
    </row>
    <row r="62">
      <c r="A62" s="7" t="n">
        <v>46296.94003458333</v>
      </c>
      <c r="B62" s="7" t="n">
        <v>46296.93888888889</v>
      </c>
      <c r="C62" s="2" t="n">
        <v>434</v>
      </c>
      <c r="D62" s="2" t="n">
        <v>0</v>
      </c>
      <c r="E62" s="2" t="n">
        <v>0</v>
      </c>
      <c r="F62" s="2" t="n">
        <v>2</v>
      </c>
      <c r="G62" s="2" t="n">
        <v>189.5</v>
      </c>
    </row>
    <row r="63">
      <c r="A63" s="7" t="n">
        <v>46296.7419153125</v>
      </c>
      <c r="B63" s="7" t="n">
        <v>46296.74097222222</v>
      </c>
      <c r="C63" s="2" t="n">
        <v>434</v>
      </c>
      <c r="D63" s="2" t="n">
        <v>1</v>
      </c>
      <c r="E63" s="2" t="n">
        <v>1</v>
      </c>
      <c r="F63" s="2" t="n">
        <v>2</v>
      </c>
      <c r="G63" s="2" t="n">
        <v>150</v>
      </c>
    </row>
    <row r="64">
      <c r="A64" s="7" t="n">
        <v>46296.63539230324</v>
      </c>
      <c r="B64" s="7" t="n">
        <v>46296.63402777778</v>
      </c>
      <c r="C64" s="2" t="n">
        <v>434</v>
      </c>
      <c r="D64" s="2" t="n">
        <v>0</v>
      </c>
      <c r="E64" s="2" t="n">
        <v>0</v>
      </c>
      <c r="F64" s="2" t="n">
        <v>2</v>
      </c>
      <c r="G64" s="2" t="n">
        <v>195</v>
      </c>
    </row>
    <row r="65">
      <c r="A65" s="7" t="n">
        <v>46296.6196469213</v>
      </c>
      <c r="B65" s="7" t="n">
        <v>46296.61875</v>
      </c>
      <c r="C65" s="2" t="n">
        <v>434</v>
      </c>
      <c r="D65" s="2" t="n">
        <v>1</v>
      </c>
      <c r="E65" s="2" t="n">
        <v>1</v>
      </c>
      <c r="F65" s="2" t="n">
        <v>2</v>
      </c>
      <c r="G65" s="2" t="n">
        <v>190.6</v>
      </c>
    </row>
    <row r="66">
      <c r="A66" s="7" t="n">
        <v>46296.55481784722</v>
      </c>
      <c r="B66" s="7" t="n">
        <v>46296.55347222222</v>
      </c>
      <c r="C66" s="2" t="n">
        <v>434</v>
      </c>
      <c r="D66" s="2" t="n">
        <v>0</v>
      </c>
      <c r="E66" s="2" t="n">
        <v>0</v>
      </c>
      <c r="F66" s="2" t="n">
        <v>2</v>
      </c>
      <c r="G66" s="2" t="n">
        <v>189.9</v>
      </c>
    </row>
    <row r="67">
      <c r="A67" s="7" t="n">
        <v>46296.49238505787</v>
      </c>
      <c r="B67" s="7" t="n">
        <v>46296.49166666667</v>
      </c>
      <c r="C67" s="2" t="n">
        <v>434</v>
      </c>
      <c r="D67" s="2" t="n">
        <v>0</v>
      </c>
      <c r="E67" s="2" t="n">
        <v>0</v>
      </c>
      <c r="F67" s="2" t="n">
        <v>3</v>
      </c>
      <c r="G67" s="2" t="n">
        <v>189.7</v>
      </c>
    </row>
    <row r="68">
      <c r="A68" s="7" t="n">
        <v>46296.35809899306</v>
      </c>
      <c r="B68" s="7" t="n">
        <v>46296.35694444444</v>
      </c>
      <c r="C68" s="2" t="n">
        <v>434</v>
      </c>
      <c r="D68" s="2" t="n">
        <v>0</v>
      </c>
      <c r="E68" s="2" t="n">
        <v>0</v>
      </c>
      <c r="F68" s="2" t="n">
        <v>3</v>
      </c>
      <c r="G68" s="2" t="n">
        <v>152.4</v>
      </c>
    </row>
    <row r="69">
      <c r="A69" s="7" t="n">
        <v>46296.20216918981</v>
      </c>
      <c r="B69" s="7" t="n">
        <v>46296.20138888889</v>
      </c>
      <c r="C69" s="2" t="n">
        <v>434</v>
      </c>
      <c r="D69" s="2" t="n">
        <v>0</v>
      </c>
      <c r="E69" s="2" t="n">
        <v>0</v>
      </c>
      <c r="F69" s="2" t="n">
        <v>3</v>
      </c>
      <c r="G69" s="2" t="n">
        <v>180</v>
      </c>
    </row>
    <row r="70">
      <c r="A70" s="7" t="n">
        <v>46295.99840958334</v>
      </c>
      <c r="B70" s="7" t="n">
        <v>46295.99722222222</v>
      </c>
      <c r="C70" s="2" t="n">
        <v>434</v>
      </c>
      <c r="D70" s="2" t="n">
        <v>0</v>
      </c>
      <c r="E70" s="2" t="n">
        <v>0</v>
      </c>
      <c r="F70" s="2" t="n">
        <v>3</v>
      </c>
      <c r="G70" s="2" t="n">
        <v>187.6</v>
      </c>
    </row>
    <row r="71">
      <c r="A71" s="7" t="n">
        <v>46295.94423819445</v>
      </c>
      <c r="B71" s="7" t="n">
        <v>46295.94305555556</v>
      </c>
      <c r="C71" s="2" t="n">
        <v>434</v>
      </c>
      <c r="D71" s="2" t="n">
        <v>0</v>
      </c>
      <c r="E71" s="2" t="n">
        <v>1</v>
      </c>
      <c r="F71" s="2" t="n">
        <v>3</v>
      </c>
      <c r="G71" s="2" t="n">
        <v>150.7</v>
      </c>
    </row>
    <row r="72">
      <c r="A72" s="7" t="n">
        <v>46295.91675143519</v>
      </c>
      <c r="B72" s="7" t="n">
        <v>46295.91597222222</v>
      </c>
      <c r="C72" s="2" t="n">
        <v>434</v>
      </c>
      <c r="D72" s="2" t="n">
        <v>1</v>
      </c>
      <c r="E72" s="2" t="n">
        <v>2</v>
      </c>
      <c r="F72" s="2" t="n">
        <v>3</v>
      </c>
      <c r="G72" s="2" t="n">
        <v>189.9</v>
      </c>
    </row>
    <row r="73">
      <c r="A73" s="7" t="n">
        <v>46295.87897131944</v>
      </c>
      <c r="B73" s="7" t="n">
        <v>46295.87777777778</v>
      </c>
      <c r="C73" s="2" t="n">
        <v>434</v>
      </c>
      <c r="D73" s="2" t="n">
        <v>1</v>
      </c>
      <c r="E73" s="2" t="n">
        <v>0</v>
      </c>
      <c r="F73" s="2" t="n">
        <v>3</v>
      </c>
      <c r="G73" s="2" t="n">
        <v>187.8</v>
      </c>
    </row>
    <row r="74">
      <c r="A74" s="7" t="n">
        <v>46295.84232043981</v>
      </c>
      <c r="B74" s="7" t="n">
        <v>46295.84097222222</v>
      </c>
      <c r="C74" s="2" t="n">
        <v>434</v>
      </c>
      <c r="D74" s="2" t="n">
        <v>1</v>
      </c>
      <c r="E74" s="2" t="n">
        <v>0</v>
      </c>
      <c r="F74" s="2" t="n">
        <v>3</v>
      </c>
      <c r="G74" s="2" t="n">
        <v>147.8</v>
      </c>
    </row>
    <row r="75">
      <c r="A75" s="7" t="n">
        <v>46295.76311292824</v>
      </c>
      <c r="B75" s="7" t="n">
        <v>46295.76180555556</v>
      </c>
      <c r="C75" s="2" t="n">
        <v>434</v>
      </c>
      <c r="D75" s="2" t="n">
        <v>0</v>
      </c>
      <c r="E75" s="2" t="n">
        <v>0</v>
      </c>
      <c r="F75" s="2" t="n">
        <v>3</v>
      </c>
      <c r="G75" s="2" t="n">
        <v>188</v>
      </c>
    </row>
    <row r="76">
      <c r="A76" s="7" t="n">
        <v>46295.71942712963</v>
      </c>
      <c r="B76" s="7" t="n">
        <v>46295.71805555555</v>
      </c>
      <c r="C76" s="2" t="n">
        <v>434</v>
      </c>
      <c r="D76" s="2" t="n">
        <v>1</v>
      </c>
      <c r="E76" s="2" t="n">
        <v>1</v>
      </c>
      <c r="F76" s="2" t="n">
        <v>3</v>
      </c>
      <c r="G76" s="2" t="n">
        <v>163.9</v>
      </c>
    </row>
    <row r="77">
      <c r="A77" s="7" t="n">
        <v>46295.69435030092</v>
      </c>
      <c r="B77" s="7" t="n">
        <v>46295.69305555556</v>
      </c>
      <c r="C77" s="2" t="n">
        <v>434</v>
      </c>
      <c r="D77" s="2" t="n">
        <v>0</v>
      </c>
      <c r="E77" s="2" t="n">
        <v>0</v>
      </c>
      <c r="F77" s="2" t="n">
        <v>3</v>
      </c>
      <c r="G77" s="2" t="n">
        <v>141.1</v>
      </c>
    </row>
    <row r="78">
      <c r="A78" s="7" t="n">
        <v>46295.5782999537</v>
      </c>
      <c r="B78" s="7" t="n">
        <v>46295.57708333333</v>
      </c>
      <c r="C78" s="2" t="n">
        <v>434</v>
      </c>
      <c r="D78" s="2" t="n">
        <v>0</v>
      </c>
      <c r="E78" s="2" t="n">
        <v>0</v>
      </c>
      <c r="F78" s="2" t="n">
        <v>5</v>
      </c>
      <c r="G78" s="2" t="n">
        <v>191.3</v>
      </c>
    </row>
    <row r="79">
      <c r="A79" s="7" t="n">
        <v>46295.51228863426</v>
      </c>
      <c r="B79" s="7" t="n">
        <v>46295.51111111111</v>
      </c>
      <c r="C79" s="2" t="n">
        <v>434</v>
      </c>
      <c r="D79" s="2" t="n">
        <v>1</v>
      </c>
      <c r="E79" s="2" t="n">
        <v>2</v>
      </c>
      <c r="F79" s="2" t="n">
        <v>5</v>
      </c>
      <c r="G79" s="2" t="n">
        <v>188.8</v>
      </c>
    </row>
    <row r="80">
      <c r="A80" s="7" t="n">
        <v>46295.44308225694</v>
      </c>
      <c r="B80" s="7" t="n">
        <v>46295.44236111111</v>
      </c>
      <c r="C80" s="2" t="n">
        <v>433</v>
      </c>
      <c r="D80" s="2" t="n">
        <v>0</v>
      </c>
      <c r="E80" s="2" t="n">
        <v>1</v>
      </c>
      <c r="F80" s="2" t="n">
        <v>2</v>
      </c>
      <c r="G80" s="2" t="n">
        <v>167.1</v>
      </c>
    </row>
    <row r="81">
      <c r="A81" s="7" t="n">
        <v>46295.42368403935</v>
      </c>
      <c r="B81" s="7" t="n">
        <v>46295.42291666667</v>
      </c>
      <c r="C81" s="2" t="n">
        <v>433</v>
      </c>
      <c r="D81" s="2" t="n">
        <v>2</v>
      </c>
      <c r="E81" s="2" t="n">
        <v>0</v>
      </c>
      <c r="F81" s="2" t="n">
        <v>2</v>
      </c>
      <c r="G81" s="2" t="n">
        <v>150.9</v>
      </c>
    </row>
    <row r="82">
      <c r="A82" s="7" t="n">
        <v>46295.29174006944</v>
      </c>
      <c r="B82" s="7" t="n">
        <v>46295.29097222222</v>
      </c>
      <c r="C82" s="2" t="n">
        <v>433</v>
      </c>
      <c r="D82" s="2" t="n">
        <v>1</v>
      </c>
      <c r="E82" s="2" t="n">
        <v>2</v>
      </c>
      <c r="F82" s="2" t="n">
        <v>2</v>
      </c>
      <c r="G82" s="2" t="n">
        <v>191.4</v>
      </c>
    </row>
    <row r="83">
      <c r="A83" s="7" t="n">
        <v>46295.11156024306</v>
      </c>
      <c r="B83" s="7" t="n">
        <v>46295.11041666667</v>
      </c>
      <c r="C83" s="2" t="n">
        <v>433</v>
      </c>
      <c r="D83" s="2" t="n">
        <v>0</v>
      </c>
      <c r="E83" s="2" t="n">
        <v>0</v>
      </c>
      <c r="F83" s="2" t="n">
        <v>2</v>
      </c>
      <c r="G83" s="2" t="n">
        <v>185.8</v>
      </c>
    </row>
    <row r="84">
      <c r="A84" s="7" t="n">
        <v>46294.99800613426</v>
      </c>
      <c r="B84" s="7" t="n">
        <v>46294.99722222222</v>
      </c>
      <c r="C84" s="2" t="n">
        <v>433</v>
      </c>
      <c r="D84" s="2" t="n">
        <v>0</v>
      </c>
      <c r="E84" s="2" t="n">
        <v>0</v>
      </c>
      <c r="F84" s="2" t="n">
        <v>2</v>
      </c>
      <c r="G84" s="2" t="n">
        <v>153.7</v>
      </c>
    </row>
    <row r="85">
      <c r="A85" s="7" t="n">
        <v>46294.95333178241</v>
      </c>
      <c r="B85" s="7" t="n">
        <v>46294.95208333333</v>
      </c>
      <c r="C85" s="2" t="n">
        <v>433</v>
      </c>
      <c r="D85" s="2" t="n">
        <v>0</v>
      </c>
      <c r="E85" s="2" t="n">
        <v>0</v>
      </c>
      <c r="F85" s="2" t="n">
        <v>2</v>
      </c>
      <c r="G85" s="2" t="n">
        <v>177.4</v>
      </c>
    </row>
    <row r="86">
      <c r="A86" s="7" t="n">
        <v>46294.87612561342</v>
      </c>
      <c r="B86" s="7" t="n">
        <v>46294.875</v>
      </c>
      <c r="C86" s="2" t="n">
        <v>433</v>
      </c>
      <c r="D86" s="2" t="n">
        <v>1</v>
      </c>
      <c r="E86" s="2" t="n">
        <v>0</v>
      </c>
      <c r="F86" s="2" t="n">
        <v>2</v>
      </c>
      <c r="G86" s="2" t="n">
        <v>196.6</v>
      </c>
    </row>
    <row r="87">
      <c r="A87" s="7" t="n">
        <v>46294.76526767361</v>
      </c>
      <c r="B87" s="7" t="n">
        <v>46294.76388888889</v>
      </c>
      <c r="C87" s="2" t="n">
        <v>433</v>
      </c>
      <c r="D87" s="2" t="n">
        <v>0</v>
      </c>
      <c r="E87" s="2" t="n">
        <v>0</v>
      </c>
      <c r="F87" s="2" t="n">
        <v>2</v>
      </c>
      <c r="G87" s="2" t="n">
        <v>182.5</v>
      </c>
    </row>
    <row r="88">
      <c r="A88" s="7" t="n">
        <v>46294.66075324074</v>
      </c>
      <c r="B88" s="7" t="n">
        <v>46294.65972222222</v>
      </c>
      <c r="C88" s="2" t="n">
        <v>433</v>
      </c>
      <c r="D88" s="2" t="n">
        <v>0</v>
      </c>
      <c r="E88" s="2" t="n">
        <v>0</v>
      </c>
      <c r="F88" s="2" t="n">
        <v>3</v>
      </c>
      <c r="G88" s="2" t="n">
        <v>174</v>
      </c>
    </row>
    <row r="89">
      <c r="A89" s="7" t="n">
        <v>46294.57647584491</v>
      </c>
      <c r="B89" s="7" t="n">
        <v>46294.57569444444</v>
      </c>
      <c r="C89" s="2" t="n">
        <v>432</v>
      </c>
      <c r="D89" s="2" t="n">
        <v>0</v>
      </c>
      <c r="E89" s="2" t="n">
        <v>0</v>
      </c>
      <c r="F89" s="2" t="n">
        <v>0</v>
      </c>
      <c r="G89" s="2" t="n">
        <v>147.5</v>
      </c>
    </row>
    <row r="90">
      <c r="A90" s="7" t="n">
        <v>46294.46163141204</v>
      </c>
      <c r="B90" s="7" t="n">
        <v>46294.46041666667</v>
      </c>
      <c r="C90" s="2" t="n">
        <v>432</v>
      </c>
      <c r="D90" s="2" t="n">
        <v>0</v>
      </c>
      <c r="E90" s="2" t="n">
        <v>1</v>
      </c>
      <c r="F90" s="2" t="n">
        <v>0</v>
      </c>
      <c r="G90" s="2" t="n">
        <v>193.3</v>
      </c>
    </row>
    <row r="91">
      <c r="A91" s="7" t="n">
        <v>46294.30606211806</v>
      </c>
      <c r="B91" s="7" t="n">
        <v>46294.30486111111</v>
      </c>
      <c r="C91" s="2" t="n">
        <v>432</v>
      </c>
      <c r="D91" s="2" t="n">
        <v>1</v>
      </c>
      <c r="E91" s="2" t="n">
        <v>1</v>
      </c>
      <c r="F91" s="2" t="n">
        <v>0</v>
      </c>
      <c r="G91" s="2" t="n">
        <v>165.6</v>
      </c>
    </row>
    <row r="92">
      <c r="A92" s="7" t="n">
        <v>46294.07080519676</v>
      </c>
      <c r="B92" s="7" t="n">
        <v>46294.06944444445</v>
      </c>
      <c r="C92" s="2" t="n">
        <v>432</v>
      </c>
      <c r="D92" s="2" t="n">
        <v>1</v>
      </c>
      <c r="E92" s="2" t="n">
        <v>0</v>
      </c>
      <c r="F92" s="2" t="n">
        <v>0</v>
      </c>
      <c r="G92" s="2" t="n">
        <v>193.3</v>
      </c>
    </row>
    <row r="93">
      <c r="A93" s="7" t="n">
        <v>46293.99403509259</v>
      </c>
      <c r="B93" s="7" t="n">
        <v>46293.99305555555</v>
      </c>
      <c r="C93" s="2" t="n">
        <v>432</v>
      </c>
      <c r="D93" s="2" t="n">
        <v>0</v>
      </c>
      <c r="E93" s="2" t="n">
        <v>0</v>
      </c>
      <c r="F93" s="2" t="n">
        <v>0</v>
      </c>
      <c r="G93" s="2" t="n">
        <v>153.6</v>
      </c>
    </row>
    <row r="94">
      <c r="A94" s="7" t="n">
        <v>46293.9460828588</v>
      </c>
      <c r="B94" s="7" t="n">
        <v>46293.94513888889</v>
      </c>
      <c r="C94" s="2" t="n">
        <v>432</v>
      </c>
      <c r="D94" s="2" t="n">
        <v>1</v>
      </c>
      <c r="E94" s="2" t="n">
        <v>1</v>
      </c>
      <c r="F94" s="2" t="n">
        <v>0</v>
      </c>
      <c r="G94" s="2" t="n">
        <v>197.9</v>
      </c>
    </row>
    <row r="95">
      <c r="A95" s="7" t="n">
        <v>46293.85933717593</v>
      </c>
      <c r="B95" s="7" t="n">
        <v>46293.85833333333</v>
      </c>
      <c r="C95" s="2" t="n">
        <v>432</v>
      </c>
      <c r="D95" s="2" t="n">
        <v>0</v>
      </c>
      <c r="E95" s="2" t="n">
        <v>0</v>
      </c>
      <c r="F95" s="2" t="n">
        <v>0</v>
      </c>
      <c r="G95" s="2" t="n">
        <v>185</v>
      </c>
    </row>
    <row r="96">
      <c r="A96" s="7" t="n">
        <v>46293.69837709491</v>
      </c>
      <c r="B96" s="7" t="n">
        <v>46293.69722222222</v>
      </c>
      <c r="C96" s="2" t="n">
        <v>432</v>
      </c>
      <c r="D96" s="2" t="n">
        <v>0</v>
      </c>
      <c r="E96" s="2" t="n">
        <v>0</v>
      </c>
      <c r="F96" s="2" t="n">
        <v>0</v>
      </c>
      <c r="G96" s="2" t="n">
        <v>144.9</v>
      </c>
    </row>
    <row r="97">
      <c r="A97" s="7" t="n">
        <v>46293.67139270833</v>
      </c>
      <c r="B97" s="7" t="n">
        <v>46293.67013888889</v>
      </c>
      <c r="C97" s="2" t="n">
        <v>432</v>
      </c>
      <c r="D97" s="2" t="n">
        <v>1</v>
      </c>
      <c r="E97" s="2" t="n">
        <v>1</v>
      </c>
      <c r="F97" s="2" t="n">
        <v>0</v>
      </c>
      <c r="G97" s="2" t="n">
        <v>186.3</v>
      </c>
    </row>
    <row r="98">
      <c r="A98" s="7" t="n">
        <v>46293.54465268519</v>
      </c>
      <c r="B98" s="7" t="n">
        <v>46293.54375</v>
      </c>
      <c r="C98" s="2" t="n">
        <v>432</v>
      </c>
      <c r="D98" s="2" t="n">
        <v>0</v>
      </c>
      <c r="E98" s="2" t="n">
        <v>0</v>
      </c>
      <c r="F98" s="2" t="n">
        <v>0</v>
      </c>
      <c r="G98" s="2" t="n">
        <v>150</v>
      </c>
    </row>
    <row r="99">
      <c r="A99" s="7" t="n">
        <v>46293.46449744213</v>
      </c>
      <c r="B99" s="7" t="n">
        <v>46293.46319444444</v>
      </c>
      <c r="C99" s="2" t="n">
        <v>432</v>
      </c>
      <c r="D99" s="2" t="n">
        <v>2</v>
      </c>
      <c r="E99" s="2" t="n">
        <v>2</v>
      </c>
      <c r="F99" s="2" t="n">
        <v>0</v>
      </c>
      <c r="G99" s="2" t="n">
        <v>193.4</v>
      </c>
    </row>
    <row r="100">
      <c r="A100" s="7" t="n">
        <v>46293.40532865741</v>
      </c>
      <c r="B100" s="7" t="n">
        <v>46293.40416666667</v>
      </c>
      <c r="C100" s="2" t="n">
        <v>433</v>
      </c>
      <c r="D100" s="2" t="n">
        <v>1</v>
      </c>
      <c r="E100" s="2" t="n">
        <v>1</v>
      </c>
      <c r="F100" s="2" t="n">
        <v>0</v>
      </c>
      <c r="G100" s="2" t="n">
        <v>194.7</v>
      </c>
    </row>
    <row r="101">
      <c r="A101" s="7" t="n">
        <v>46293.26205886574</v>
      </c>
      <c r="B101" s="7" t="n">
        <v>46293.26111111111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178</v>
      </c>
    </row>
    <row r="102">
      <c r="A102" s="7" t="n">
        <v>46293.12570534722</v>
      </c>
      <c r="B102" s="7" t="n">
        <v>46293.125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193.1</v>
      </c>
    </row>
    <row r="103">
      <c r="A103" s="7" t="n">
        <v>46293.08172232639</v>
      </c>
      <c r="B103" s="7" t="n">
        <v>46293.08055555556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148.9</v>
      </c>
    </row>
    <row r="104">
      <c r="A104" s="7" t="n">
        <v>46292.9814453588</v>
      </c>
      <c r="B104" s="7" t="n">
        <v>46292.98055555556</v>
      </c>
      <c r="C104" s="2" t="n">
        <v>433</v>
      </c>
      <c r="D104" s="2" t="n">
        <v>0</v>
      </c>
      <c r="E104" s="2" t="n">
        <v>1</v>
      </c>
      <c r="F104" s="2" t="n">
        <v>0</v>
      </c>
      <c r="G104" s="2" t="n">
        <v>186</v>
      </c>
    </row>
    <row r="105">
      <c r="A105" s="7" t="n">
        <v>46292.9472603125</v>
      </c>
      <c r="B105" s="7" t="n">
        <v>46292.94652777778</v>
      </c>
      <c r="C105" s="2" t="n">
        <v>433</v>
      </c>
      <c r="D105" s="2" t="n">
        <v>1</v>
      </c>
      <c r="E105" s="2" t="n">
        <v>0</v>
      </c>
      <c r="F105" s="2" t="n">
        <v>0</v>
      </c>
      <c r="G105" s="2" t="n">
        <v>192.1</v>
      </c>
    </row>
    <row r="106">
      <c r="A106" s="7" t="n">
        <v>46292.919814375</v>
      </c>
      <c r="B106" s="7" t="n">
        <v>46292.91875</v>
      </c>
      <c r="C106" s="2" t="n">
        <v>433</v>
      </c>
      <c r="D106" s="2" t="n">
        <v>1</v>
      </c>
      <c r="E106" s="2" t="n">
        <v>1</v>
      </c>
      <c r="F106" s="2" t="n">
        <v>0</v>
      </c>
      <c r="G106" s="2" t="n">
        <v>192.5</v>
      </c>
    </row>
    <row r="107">
      <c r="A107" s="7" t="n">
        <v>46292.81065981482</v>
      </c>
      <c r="B107" s="7" t="n">
        <v>46292.80972222222</v>
      </c>
      <c r="C107" s="2" t="n">
        <v>433</v>
      </c>
      <c r="D107" s="2" t="n">
        <v>1</v>
      </c>
      <c r="E107" s="2" t="n">
        <v>1</v>
      </c>
      <c r="F107" s="2" t="n">
        <v>0</v>
      </c>
      <c r="G107" s="2" t="n">
        <v>177.2</v>
      </c>
    </row>
    <row r="108">
      <c r="A108" s="7" t="n">
        <v>46292.73704342593</v>
      </c>
      <c r="B108" s="7" t="n">
        <v>46292.73611111111</v>
      </c>
      <c r="C108" s="2" t="n">
        <v>433</v>
      </c>
      <c r="D108" s="2" t="n">
        <v>0</v>
      </c>
      <c r="E108" s="2" t="n">
        <v>1</v>
      </c>
      <c r="F108" s="2" t="n">
        <v>0</v>
      </c>
      <c r="G108" s="2" t="n">
        <v>147.3</v>
      </c>
    </row>
    <row r="109">
      <c r="A109" s="7" t="n">
        <v>46292.67926077546</v>
      </c>
      <c r="B109" s="7" t="n">
        <v>46292.67847222222</v>
      </c>
      <c r="C109" s="2" t="n">
        <v>433</v>
      </c>
      <c r="D109" s="2" t="n">
        <v>1</v>
      </c>
      <c r="E109" s="2" t="n">
        <v>0</v>
      </c>
      <c r="F109" s="2" t="n">
        <v>0</v>
      </c>
      <c r="G109" s="2" t="n">
        <v>197.6</v>
      </c>
    </row>
    <row r="110">
      <c r="A110" s="7" t="n">
        <v>46292.6274472338</v>
      </c>
      <c r="B110" s="7" t="n">
        <v>46292.62638888889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192.4</v>
      </c>
    </row>
    <row r="111">
      <c r="A111" s="7" t="n">
        <v>46292.50599667824</v>
      </c>
      <c r="B111" s="7" t="n">
        <v>46292.50486111111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191.3</v>
      </c>
    </row>
    <row r="112">
      <c r="A112" s="7" t="n">
        <v>46292.39740747685</v>
      </c>
      <c r="B112" s="7" t="n">
        <v>46292.39652777778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150.9</v>
      </c>
    </row>
    <row r="113">
      <c r="A113" s="7" t="n">
        <v>46292.28951247685</v>
      </c>
      <c r="B113" s="7" t="n">
        <v>46292.28819444445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163.9</v>
      </c>
    </row>
    <row r="114">
      <c r="A114" s="7" t="n">
        <v>46292.28563091435</v>
      </c>
      <c r="B114" s="7" t="n">
        <v>46292.28472222222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186.1</v>
      </c>
    </row>
    <row r="115">
      <c r="A115" s="7" t="n">
        <v>46292.16453692129</v>
      </c>
      <c r="B115" s="7" t="n">
        <v>46292.16319444445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183.8</v>
      </c>
    </row>
    <row r="116">
      <c r="A116" s="7" t="n">
        <v>46292.05207142361</v>
      </c>
      <c r="B116" s="7" t="n">
        <v>46292.05069444444</v>
      </c>
      <c r="C116" s="2" t="n">
        <v>433</v>
      </c>
      <c r="D116" s="2" t="n">
        <v>0</v>
      </c>
      <c r="E116" s="2" t="n">
        <v>1</v>
      </c>
      <c r="F116" s="2" t="n">
        <v>0</v>
      </c>
      <c r="G116" s="2" t="n">
        <v>160.8</v>
      </c>
    </row>
    <row r="117">
      <c r="A117" s="7" t="n">
        <v>46291.98017201389</v>
      </c>
      <c r="B117" s="7" t="n">
        <v>46291.97916666666</v>
      </c>
      <c r="C117" s="2" t="n">
        <v>433</v>
      </c>
      <c r="D117" s="2" t="n">
        <v>1</v>
      </c>
      <c r="E117" s="2" t="n">
        <v>1</v>
      </c>
      <c r="F117" s="2" t="n">
        <v>0</v>
      </c>
      <c r="G117" s="2" t="n">
        <v>148.2</v>
      </c>
    </row>
    <row r="118">
      <c r="A118" s="7" t="n">
        <v>46291.93749069444</v>
      </c>
      <c r="B118" s="7" t="n">
        <v>46291.93611111111</v>
      </c>
      <c r="C118" s="2" t="n">
        <v>433</v>
      </c>
      <c r="D118" s="2" t="n">
        <v>1</v>
      </c>
      <c r="E118" s="2" t="n">
        <v>0</v>
      </c>
      <c r="F118" s="2" t="n">
        <v>0</v>
      </c>
      <c r="G118" s="2" t="n">
        <v>163.1</v>
      </c>
    </row>
    <row r="119">
      <c r="A119" s="7" t="n">
        <v>46291.88266193287</v>
      </c>
      <c r="B119" s="7" t="n">
        <v>46291.88194444445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140.5</v>
      </c>
    </row>
    <row r="120">
      <c r="A120" s="7" t="n">
        <v>46291.83751681713</v>
      </c>
      <c r="B120" s="7" t="n">
        <v>46291.83680555555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186.6</v>
      </c>
    </row>
    <row r="121">
      <c r="A121" s="7" t="n">
        <v>46291.78589450232</v>
      </c>
      <c r="B121" s="7" t="n">
        <v>46291.78472222222</v>
      </c>
      <c r="C121" s="2" t="n">
        <v>433</v>
      </c>
      <c r="D121" s="2" t="n">
        <v>1</v>
      </c>
      <c r="E121" s="2" t="n">
        <v>1</v>
      </c>
      <c r="F121" s="2" t="n">
        <v>0</v>
      </c>
      <c r="G121" s="2" t="n">
        <v>157.8</v>
      </c>
    </row>
    <row r="122">
      <c r="A122" s="7" t="n">
        <v>46291.65882908565</v>
      </c>
      <c r="B122" s="7" t="n">
        <v>46291.65763888889</v>
      </c>
      <c r="C122" s="2" t="n">
        <v>433</v>
      </c>
      <c r="D122" s="2" t="n">
        <v>0</v>
      </c>
      <c r="E122" s="2" t="n">
        <v>1</v>
      </c>
      <c r="F122" s="2" t="n">
        <v>0</v>
      </c>
      <c r="G122" s="2" t="n">
        <v>175.7</v>
      </c>
    </row>
    <row r="123">
      <c r="A123" s="7" t="n">
        <v>46291.63896155093</v>
      </c>
      <c r="B123" s="7" t="n">
        <v>46291.63819444444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177.9</v>
      </c>
    </row>
    <row r="124">
      <c r="A124" s="7" t="n">
        <v>46291.63155474537</v>
      </c>
      <c r="B124" s="7" t="n">
        <v>46291.63055555556</v>
      </c>
      <c r="C124" s="2" t="n">
        <v>433</v>
      </c>
      <c r="D124" s="2" t="n">
        <v>2</v>
      </c>
      <c r="E124" s="2" t="n">
        <v>1</v>
      </c>
      <c r="F124" s="2" t="n">
        <v>0</v>
      </c>
      <c r="G124" s="2" t="n">
        <v>172.6</v>
      </c>
    </row>
    <row r="125">
      <c r="A125" s="7" t="n">
        <v>46291.58748165509</v>
      </c>
      <c r="B125" s="7" t="n">
        <v>46291.58611111111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148</v>
      </c>
    </row>
    <row r="126">
      <c r="A126" s="7" t="n">
        <v>46291.52177836806</v>
      </c>
      <c r="B126" s="7" t="n">
        <v>46291.52083333334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187.5</v>
      </c>
    </row>
    <row r="127">
      <c r="A127" s="7" t="n">
        <v>46291.40186751157</v>
      </c>
      <c r="B127" s="7" t="n">
        <v>46291.40069444444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188.1</v>
      </c>
    </row>
    <row r="128">
      <c r="A128" s="7" t="n">
        <v>46291.36540915509</v>
      </c>
      <c r="B128" s="7" t="n">
        <v>46291.36458333334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163.5</v>
      </c>
    </row>
    <row r="129">
      <c r="A129" s="7" t="n">
        <v>46291.26887001158</v>
      </c>
      <c r="B129" s="7" t="n">
        <v>46291.26805555556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184.5</v>
      </c>
    </row>
    <row r="130">
      <c r="A130" s="7" t="n">
        <v>46291.2560487963</v>
      </c>
      <c r="B130" s="7" t="n">
        <v>46291.25486111111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191.6</v>
      </c>
    </row>
    <row r="131">
      <c r="A131" s="7" t="n">
        <v>46291.11246790509</v>
      </c>
      <c r="B131" s="7" t="n">
        <v>46291.11111111111</v>
      </c>
      <c r="C131" s="2" t="n">
        <v>433</v>
      </c>
      <c r="D131" s="2" t="n">
        <v>1</v>
      </c>
      <c r="E131" s="2" t="n">
        <v>1</v>
      </c>
      <c r="F131" s="2" t="n">
        <v>0</v>
      </c>
      <c r="G131" s="2" t="n">
        <v>182.3</v>
      </c>
    </row>
    <row r="132">
      <c r="A132" s="7" t="n">
        <v>46291.02308788194</v>
      </c>
      <c r="B132" s="7" t="n">
        <v>46291.02222222222</v>
      </c>
      <c r="C132" s="2" t="n">
        <v>433</v>
      </c>
      <c r="D132" s="2" t="n">
        <v>2</v>
      </c>
      <c r="E132" s="2" t="n">
        <v>2</v>
      </c>
      <c r="F132" s="2" t="n">
        <v>0</v>
      </c>
      <c r="G132" s="2" t="n">
        <v>140.5</v>
      </c>
    </row>
    <row r="133">
      <c r="A133" s="7" t="n">
        <v>46290.9990443287</v>
      </c>
      <c r="B133" s="7" t="n">
        <v>46290.99791666667</v>
      </c>
      <c r="C133" s="2" t="n">
        <v>433</v>
      </c>
      <c r="D133" s="2" t="n">
        <v>1</v>
      </c>
      <c r="E133" s="2" t="n">
        <v>1</v>
      </c>
      <c r="F133" s="2" t="n">
        <v>0</v>
      </c>
      <c r="G133" s="2" t="n">
        <v>197.5</v>
      </c>
    </row>
    <row r="134">
      <c r="A134" s="7" t="n">
        <v>46290.91267655093</v>
      </c>
      <c r="B134" s="7" t="n">
        <v>46290.91180555556</v>
      </c>
      <c r="C134" s="2" t="n">
        <v>433</v>
      </c>
      <c r="D134" s="2" t="n">
        <v>1</v>
      </c>
      <c r="E134" s="2" t="n">
        <v>1</v>
      </c>
      <c r="F134" s="2" t="n">
        <v>0</v>
      </c>
      <c r="G134" s="2" t="n">
        <v>193.4</v>
      </c>
    </row>
    <row r="135">
      <c r="A135" s="7" t="n">
        <v>46290.82088560185</v>
      </c>
      <c r="B135" s="7" t="n">
        <v>46290.82013888889</v>
      </c>
      <c r="C135" s="2" t="n">
        <v>433</v>
      </c>
      <c r="D135" s="2" t="n">
        <v>0</v>
      </c>
      <c r="E135" s="2" t="n">
        <v>0</v>
      </c>
      <c r="F135" s="2" t="n">
        <v>0</v>
      </c>
      <c r="G135" s="2" t="n">
        <v>174.9</v>
      </c>
    </row>
    <row r="136">
      <c r="A136" s="7" t="n">
        <v>46290.76820827546</v>
      </c>
      <c r="B136" s="7" t="n">
        <v>46290.76736111111</v>
      </c>
      <c r="C136" s="2" t="n">
        <v>433</v>
      </c>
      <c r="D136" s="2" t="n">
        <v>0</v>
      </c>
      <c r="E136" s="2" t="n">
        <v>1</v>
      </c>
      <c r="F136" s="2" t="n">
        <v>0</v>
      </c>
      <c r="G136" s="2" t="n">
        <v>187</v>
      </c>
    </row>
    <row r="137">
      <c r="A137" s="7" t="n">
        <v>46290.709303125</v>
      </c>
      <c r="B137" s="7" t="n">
        <v>46290.70833333334</v>
      </c>
      <c r="C137" s="2" t="n">
        <v>433</v>
      </c>
      <c r="D137" s="2" t="n">
        <v>1</v>
      </c>
      <c r="E137" s="2" t="n">
        <v>1</v>
      </c>
      <c r="F137" s="2" t="n">
        <v>0</v>
      </c>
      <c r="G137" s="2" t="n">
        <v>187.6</v>
      </c>
    </row>
    <row r="138">
      <c r="A138" s="7" t="n">
        <v>46290.66382769676</v>
      </c>
      <c r="B138" s="7" t="n">
        <v>46290.6625</v>
      </c>
      <c r="C138" s="2" t="n">
        <v>433</v>
      </c>
      <c r="D138" s="2" t="n">
        <v>1</v>
      </c>
      <c r="E138" s="2" t="n">
        <v>0</v>
      </c>
      <c r="F138" s="2" t="n">
        <v>0</v>
      </c>
      <c r="G138" s="2" t="n">
        <v>185.1</v>
      </c>
    </row>
    <row r="139">
      <c r="A139" s="7" t="n">
        <v>46290.61757802084</v>
      </c>
      <c r="B139" s="7" t="n">
        <v>46290.61666666667</v>
      </c>
      <c r="C139" s="2" t="n">
        <v>433</v>
      </c>
      <c r="D139" s="2" t="n">
        <v>0</v>
      </c>
      <c r="E139" s="2" t="n">
        <v>1</v>
      </c>
      <c r="F139" s="2" t="n">
        <v>0</v>
      </c>
      <c r="G139" s="2" t="n">
        <v>178.9</v>
      </c>
    </row>
    <row r="140">
      <c r="A140" s="7" t="n">
        <v>46290.55632820602</v>
      </c>
      <c r="B140" s="7" t="n">
        <v>46290.55555555555</v>
      </c>
      <c r="C140" s="2" t="n">
        <v>433</v>
      </c>
      <c r="D140" s="2" t="n">
        <v>1</v>
      </c>
      <c r="E140" s="2" t="n">
        <v>0</v>
      </c>
      <c r="F140" s="2" t="n">
        <v>0</v>
      </c>
      <c r="G140" s="2" t="n">
        <v>179.4</v>
      </c>
    </row>
    <row r="141">
      <c r="A141" s="7" t="n">
        <v>46290.50409561343</v>
      </c>
      <c r="B141" s="7" t="n">
        <v>46290.50277777778</v>
      </c>
      <c r="C141" s="2" t="n">
        <v>433</v>
      </c>
      <c r="D141" s="2" t="n">
        <v>1</v>
      </c>
      <c r="E141" s="2" t="n">
        <v>2</v>
      </c>
      <c r="F141" s="2" t="n">
        <v>0</v>
      </c>
      <c r="G141" s="2" t="n">
        <v>174.5</v>
      </c>
    </row>
    <row r="142">
      <c r="A142" s="7" t="n">
        <v>46290.39966920139</v>
      </c>
      <c r="B142" s="7" t="n">
        <v>46290.39861111111</v>
      </c>
      <c r="C142" s="2" t="n">
        <v>433</v>
      </c>
      <c r="D142" s="2" t="n">
        <v>0</v>
      </c>
      <c r="E142" s="2" t="n">
        <v>0</v>
      </c>
      <c r="F142" s="2" t="n">
        <v>0</v>
      </c>
      <c r="G142" s="2" t="n">
        <v>189.8</v>
      </c>
    </row>
    <row r="143">
      <c r="A143" s="7" t="n">
        <v>46290.3483633912</v>
      </c>
      <c r="B143" s="7" t="n">
        <v>46290.34722222222</v>
      </c>
      <c r="C143" s="2" t="n">
        <v>433</v>
      </c>
      <c r="D143" s="2" t="n">
        <v>1</v>
      </c>
      <c r="E143" s="2" t="n">
        <v>1</v>
      </c>
      <c r="F143" s="2" t="n">
        <v>0</v>
      </c>
      <c r="G143" s="2" t="n">
        <v>163.4</v>
      </c>
    </row>
    <row r="144">
      <c r="A144" s="7" t="n">
        <v>46290.27195019676</v>
      </c>
      <c r="B144" s="7" t="n">
        <v>46290.27083333334</v>
      </c>
      <c r="C144" s="2" t="n">
        <v>433</v>
      </c>
      <c r="D144" s="2" t="n">
        <v>0</v>
      </c>
      <c r="E144" s="2" t="n">
        <v>1</v>
      </c>
      <c r="F144" s="2" t="n">
        <v>1</v>
      </c>
      <c r="G144" s="2" t="n">
        <v>182.9</v>
      </c>
    </row>
    <row r="145">
      <c r="A145" s="7" t="n">
        <v>46290.13587655093</v>
      </c>
      <c r="B145" s="7" t="n">
        <v>46290.13472222222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191.6</v>
      </c>
    </row>
    <row r="146">
      <c r="A146" s="7" t="n">
        <v>46290.02908936342</v>
      </c>
      <c r="B146" s="7" t="n">
        <v>46290.02777777778</v>
      </c>
      <c r="C146" s="2" t="n">
        <v>433</v>
      </c>
      <c r="D146" s="2" t="n">
        <v>2</v>
      </c>
      <c r="E146" s="2" t="n">
        <v>2</v>
      </c>
      <c r="F146" s="2" t="n">
        <v>1</v>
      </c>
      <c r="G146" s="2" t="n">
        <v>166.2</v>
      </c>
    </row>
    <row r="147">
      <c r="A147" s="7" t="n">
        <v>46289.96715996528</v>
      </c>
      <c r="B147" s="7" t="n">
        <v>46289.96597222222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190.1</v>
      </c>
    </row>
    <row r="148">
      <c r="A148" s="7" t="n">
        <v>46289.95004011574</v>
      </c>
      <c r="B148" s="7" t="n">
        <v>46289.94930555556</v>
      </c>
      <c r="C148" s="2" t="n">
        <v>433</v>
      </c>
      <c r="D148" s="2" t="n">
        <v>1</v>
      </c>
      <c r="E148" s="2" t="n">
        <v>0</v>
      </c>
      <c r="F148" s="2" t="n">
        <v>1</v>
      </c>
      <c r="G148" s="2" t="n">
        <v>178.4</v>
      </c>
    </row>
    <row r="149">
      <c r="A149" s="7" t="n">
        <v>46289.94135959491</v>
      </c>
      <c r="B149" s="7" t="n">
        <v>46289.94027777778</v>
      </c>
      <c r="C149" s="2" t="n">
        <v>433</v>
      </c>
      <c r="D149" s="2" t="n">
        <v>0</v>
      </c>
      <c r="E149" s="2" t="n">
        <v>0</v>
      </c>
      <c r="F149" s="2" t="n">
        <v>1</v>
      </c>
      <c r="G149" s="2" t="n">
        <v>183.8</v>
      </c>
    </row>
    <row r="150">
      <c r="A150" s="7" t="n">
        <v>46289.92565313658</v>
      </c>
      <c r="B150" s="7" t="n">
        <v>46289.92430555556</v>
      </c>
      <c r="C150" s="2" t="n">
        <v>433</v>
      </c>
      <c r="D150" s="2" t="n">
        <v>4</v>
      </c>
      <c r="E150" s="2" t="n">
        <v>3</v>
      </c>
      <c r="F150" s="2" t="n">
        <v>1</v>
      </c>
      <c r="G150" s="2" t="n">
        <v>226.2</v>
      </c>
    </row>
    <row r="151">
      <c r="A151" s="7" t="n">
        <v>46289.84896370371</v>
      </c>
      <c r="B151" s="7" t="n">
        <v>46289.84791666667</v>
      </c>
      <c r="C151" s="2" t="n">
        <v>433</v>
      </c>
      <c r="D151" s="2" t="n">
        <v>3</v>
      </c>
      <c r="E151" s="2" t="n">
        <v>1</v>
      </c>
      <c r="F151" s="2" t="n">
        <v>1</v>
      </c>
      <c r="G151" s="2" t="n">
        <v>147.5</v>
      </c>
    </row>
    <row r="152">
      <c r="A152" s="7" t="n">
        <v>46289.78526427083</v>
      </c>
      <c r="B152" s="7" t="n">
        <v>46289.78402777778</v>
      </c>
      <c r="C152" s="2" t="n">
        <v>433</v>
      </c>
      <c r="D152" s="2" t="n">
        <v>3</v>
      </c>
      <c r="E152" s="2" t="n">
        <v>2</v>
      </c>
      <c r="F152" s="2" t="n">
        <v>1</v>
      </c>
      <c r="G152" s="2" t="n">
        <v>186.8</v>
      </c>
    </row>
    <row r="153">
      <c r="A153" s="7" t="n">
        <v>46289.75543116898</v>
      </c>
      <c r="B153" s="7" t="n">
        <v>46289.75</v>
      </c>
      <c r="C153" s="2" t="n">
        <v>433</v>
      </c>
      <c r="D153" s="2" t="n">
        <v>0</v>
      </c>
      <c r="E153" s="2" t="n">
        <v>0</v>
      </c>
      <c r="F153" s="2" t="n">
        <v>1</v>
      </c>
      <c r="G153" s="2" t="n">
        <v>109.8</v>
      </c>
    </row>
    <row r="154">
      <c r="A154" s="7" t="n">
        <v>46289.54138961805</v>
      </c>
      <c r="B154" s="7" t="n">
        <v>46289.53472222222</v>
      </c>
      <c r="C154" s="2" t="n">
        <v>433</v>
      </c>
      <c r="D154" s="2" t="n">
        <v>0</v>
      </c>
      <c r="E154" s="2" t="n">
        <v>0</v>
      </c>
      <c r="F154" s="2" t="n">
        <v>1</v>
      </c>
      <c r="G154" s="2" t="n">
        <v>125.8</v>
      </c>
    </row>
    <row r="155">
      <c r="A155" s="7" t="n">
        <v>46289.32358565972</v>
      </c>
      <c r="B155" s="7" t="n">
        <v>46289.31944444445</v>
      </c>
      <c r="C155" s="2" t="n">
        <v>433</v>
      </c>
      <c r="D155" s="2" t="n">
        <v>0</v>
      </c>
      <c r="E155" s="2" t="n">
        <v>0</v>
      </c>
      <c r="F155" s="2" t="n">
        <v>1</v>
      </c>
      <c r="G155" s="2" t="n">
        <v>130.2</v>
      </c>
    </row>
    <row r="156">
      <c r="A156" s="7" t="n">
        <v>46289.18599210648</v>
      </c>
      <c r="B156" s="7" t="n">
        <v>46289.18055555555</v>
      </c>
      <c r="C156" s="2" t="n">
        <v>433</v>
      </c>
      <c r="D156" s="2" t="n">
        <v>0</v>
      </c>
      <c r="E156" s="2" t="n">
        <v>0</v>
      </c>
      <c r="F156" s="2" t="n">
        <v>1</v>
      </c>
      <c r="G156" s="2" t="n">
        <v>129.3</v>
      </c>
    </row>
    <row r="157">
      <c r="A157" s="7" t="n">
        <v>46289.04908521991</v>
      </c>
      <c r="B157" s="7" t="n">
        <v>46289.04513888889</v>
      </c>
      <c r="C157" s="2" t="n">
        <v>433</v>
      </c>
      <c r="D157" s="2" t="n">
        <v>0</v>
      </c>
      <c r="E157" s="2" t="n">
        <v>0</v>
      </c>
      <c r="F157" s="2" t="n">
        <v>1</v>
      </c>
      <c r="G157" s="2" t="n">
        <v>96.90000000000001</v>
      </c>
    </row>
    <row r="158">
      <c r="A158" s="7" t="n">
        <v>46289.00944646991</v>
      </c>
      <c r="B158" s="7" t="n">
        <v>46289.00347222222</v>
      </c>
      <c r="C158" s="2" t="n">
        <v>433</v>
      </c>
      <c r="D158" s="2" t="n">
        <v>0</v>
      </c>
      <c r="E158" s="2" t="n">
        <v>0</v>
      </c>
      <c r="F158" s="2" t="n">
        <v>1</v>
      </c>
      <c r="G158" s="2" t="n">
        <v>127</v>
      </c>
    </row>
    <row r="159">
      <c r="A159" s="7" t="n">
        <v>46288.82408041666</v>
      </c>
      <c r="B159" s="7" t="n">
        <v>46288.81944444445</v>
      </c>
      <c r="C159" s="2" t="n">
        <v>433</v>
      </c>
      <c r="D159" s="2" t="n">
        <v>0</v>
      </c>
      <c r="E159" s="2" t="n">
        <v>0</v>
      </c>
      <c r="F159" s="2" t="n">
        <v>2</v>
      </c>
      <c r="G159" s="2" t="n">
        <v>118.2</v>
      </c>
    </row>
    <row r="160">
      <c r="A160" s="7" t="n">
        <v>46288.75275025463</v>
      </c>
      <c r="B160" s="7" t="n">
        <v>46288.74652777778</v>
      </c>
      <c r="C160" s="2" t="n">
        <v>433</v>
      </c>
      <c r="D160" s="2" t="n">
        <v>0</v>
      </c>
      <c r="E160" s="2" t="n">
        <v>0</v>
      </c>
      <c r="F160" s="2" t="n">
        <v>2</v>
      </c>
      <c r="G160" s="2" t="n">
        <v>125.5</v>
      </c>
    </row>
    <row r="161">
      <c r="A161" s="7" t="n">
        <v>46288.58577883102</v>
      </c>
      <c r="B161" s="7" t="n">
        <v>46288.57986111111</v>
      </c>
      <c r="C161" s="2" t="n">
        <v>433</v>
      </c>
      <c r="D161" s="2" t="n">
        <v>0</v>
      </c>
      <c r="E161" s="2" t="n">
        <v>0</v>
      </c>
      <c r="F161" s="2" t="n">
        <v>2</v>
      </c>
      <c r="G161" s="2" t="n">
        <v>112.8</v>
      </c>
    </row>
    <row r="162">
      <c r="A162" s="7" t="n">
        <v>46288.57218969907</v>
      </c>
      <c r="B162" s="7" t="n">
        <v>46288.56597222222</v>
      </c>
      <c r="C162" s="2" t="n">
        <v>433</v>
      </c>
      <c r="D162" s="2" t="n">
        <v>0</v>
      </c>
      <c r="E162" s="2" t="n">
        <v>0</v>
      </c>
      <c r="F162" s="2" t="n">
        <v>2</v>
      </c>
      <c r="G162" s="2" t="n">
        <v>99.7</v>
      </c>
    </row>
    <row r="163">
      <c r="A163" s="7" t="n">
        <v>46288.36332482639</v>
      </c>
      <c r="B163" s="7" t="n">
        <v>46288.35763888889</v>
      </c>
      <c r="C163" s="2" t="n">
        <v>441</v>
      </c>
      <c r="D163" s="2" t="n">
        <v>0</v>
      </c>
      <c r="E163" s="2" t="n">
        <v>0</v>
      </c>
      <c r="F163" s="2" t="n">
        <v>2</v>
      </c>
      <c r="G163" s="2" t="n">
        <v>94.40000000000001</v>
      </c>
    </row>
    <row r="164">
      <c r="A164" s="7" t="n">
        <v>46288.26120461806</v>
      </c>
      <c r="B164" s="7" t="n">
        <v>46288.25694444445</v>
      </c>
      <c r="C164" s="2" t="n">
        <v>441</v>
      </c>
      <c r="D164" s="2" t="n">
        <v>0</v>
      </c>
      <c r="E164" s="2" t="n">
        <v>0</v>
      </c>
      <c r="F164" s="2" t="n">
        <v>2</v>
      </c>
      <c r="G164" s="2" t="n">
        <v>103.1</v>
      </c>
    </row>
    <row r="165">
      <c r="A165" s="7" t="n">
        <v>46288.12397528935</v>
      </c>
      <c r="B165" s="7" t="n">
        <v>46288.11805555555</v>
      </c>
      <c r="C165" s="2" t="n">
        <v>441</v>
      </c>
      <c r="D165" s="2" t="n">
        <v>0</v>
      </c>
      <c r="E165" s="2" t="n">
        <v>0</v>
      </c>
      <c r="F165" s="2" t="n">
        <v>2</v>
      </c>
      <c r="G165" s="2" t="n">
        <v>114.4</v>
      </c>
    </row>
    <row r="166">
      <c r="A166" s="7" t="n">
        <v>46287.95840076389</v>
      </c>
      <c r="B166" s="7" t="n">
        <v>46287.95486111111</v>
      </c>
      <c r="C166" s="2" t="n">
        <v>441</v>
      </c>
      <c r="D166" s="2" t="n">
        <v>0</v>
      </c>
      <c r="E166" s="2" t="n">
        <v>0</v>
      </c>
      <c r="F166" s="2" t="n">
        <v>2</v>
      </c>
      <c r="G166" s="2" t="n">
        <v>135.1</v>
      </c>
    </row>
    <row r="167">
      <c r="A167" s="7" t="n">
        <v>46287.75277884259</v>
      </c>
      <c r="B167" s="7" t="n">
        <v>46287.74652777778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130.3</v>
      </c>
    </row>
    <row r="168">
      <c r="A168" s="7" t="n">
        <v>46287.6758560301</v>
      </c>
      <c r="B168" s="7" t="n">
        <v>46287.67013888889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91.7</v>
      </c>
    </row>
    <row r="169">
      <c r="A169" s="7" t="n">
        <v>46287.54602564815</v>
      </c>
      <c r="B169" s="7" t="n">
        <v>46287.54166666666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125.4</v>
      </c>
    </row>
    <row r="170">
      <c r="A170" s="7" t="n">
        <v>46287.51247143518</v>
      </c>
      <c r="B170" s="7" t="n">
        <v>46287.50694444445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102.8</v>
      </c>
    </row>
    <row r="171">
      <c r="A171" s="7" t="n">
        <v>46287.30635083334</v>
      </c>
      <c r="B171" s="7" t="n">
        <v>46287.30208333334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135.9</v>
      </c>
    </row>
    <row r="172">
      <c r="A172" s="7" t="n">
        <v>46287.14961865741</v>
      </c>
      <c r="B172" s="7" t="n">
        <v>46287.14583333334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130.5</v>
      </c>
    </row>
    <row r="173">
      <c r="A173" s="7" t="n">
        <v>46286.92852005787</v>
      </c>
      <c r="B173" s="7" t="n">
        <v>46286.92361111111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112.2</v>
      </c>
    </row>
    <row r="174">
      <c r="A174" s="7" t="n">
        <v>46286.83222814815</v>
      </c>
      <c r="B174" s="7" t="n">
        <v>46286.82638888889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126.4</v>
      </c>
    </row>
    <row r="175">
      <c r="A175" s="7" t="n">
        <v>46286.60261268519</v>
      </c>
      <c r="B175" s="7" t="n">
        <v>46286.59722222222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111.5</v>
      </c>
    </row>
    <row r="176">
      <c r="A176" s="7" t="n">
        <v>46286.38294268519</v>
      </c>
      <c r="B176" s="7" t="n">
        <v>46286.37847222222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102.4</v>
      </c>
    </row>
    <row r="177">
      <c r="A177" s="7" t="n">
        <v>46286.27148542824</v>
      </c>
      <c r="B177" s="7" t="n">
        <v>46286.26736111111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126.7</v>
      </c>
    </row>
    <row r="178">
      <c r="A178" s="7" t="n">
        <v>46286.14641391204</v>
      </c>
      <c r="B178" s="7" t="n">
        <v>46286.14236111111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131.3</v>
      </c>
    </row>
    <row r="179">
      <c r="A179" s="7" t="n">
        <v>46286.03573545139</v>
      </c>
      <c r="B179" s="7" t="n">
        <v>46286.03125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127.3</v>
      </c>
    </row>
    <row r="180">
      <c r="A180" s="7" t="n">
        <v>46286.00283136574</v>
      </c>
      <c r="B180" s="7" t="n">
        <v>46285.99652777778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101.9</v>
      </c>
    </row>
    <row r="181">
      <c r="A181" s="7" t="n">
        <v>46285.85245594908</v>
      </c>
      <c r="B181" s="7" t="n">
        <v>46285.84722222222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100.6</v>
      </c>
    </row>
    <row r="182">
      <c r="A182" s="7" t="n">
        <v>46285.60105145833</v>
      </c>
      <c r="B182" s="7" t="n">
        <v>46285.59722222222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129.1</v>
      </c>
    </row>
    <row r="183">
      <c r="A183" s="7" t="n">
        <v>46285.38559789352</v>
      </c>
      <c r="B183" s="7" t="n">
        <v>46285.38194444445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112.5</v>
      </c>
    </row>
    <row r="184">
      <c r="A184" s="7" t="n">
        <v>46285.29994834491</v>
      </c>
      <c r="B184" s="7" t="n">
        <v>46285.29513888889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128.1</v>
      </c>
    </row>
    <row r="185">
      <c r="A185" s="7" t="n">
        <v>46285.19964518519</v>
      </c>
      <c r="B185" s="7" t="n">
        <v>46285.19444444445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110.6</v>
      </c>
    </row>
    <row r="186">
      <c r="A186" s="7" t="n">
        <v>46285.08704527777</v>
      </c>
      <c r="B186" s="7" t="n">
        <v>46285.08333333334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95.09999999999999</v>
      </c>
    </row>
    <row r="187">
      <c r="A187" s="7" t="n">
        <v>46284.93748335648</v>
      </c>
      <c r="B187" s="7" t="n">
        <v>46284.93055555555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128.7</v>
      </c>
    </row>
    <row r="188">
      <c r="A188" s="7" t="n">
        <v>46284.79727659722</v>
      </c>
      <c r="B188" s="7" t="n">
        <v>46284.79166666666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109.7</v>
      </c>
    </row>
    <row r="189">
      <c r="A189" s="7" t="n">
        <v>46284.58365538195</v>
      </c>
      <c r="B189" s="7" t="n">
        <v>46284.57986111111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101.8</v>
      </c>
    </row>
    <row r="190">
      <c r="A190" s="7" t="n">
        <v>46284.38530752315</v>
      </c>
      <c r="B190" s="7" t="n">
        <v>46284.37847222222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130.8</v>
      </c>
    </row>
    <row r="191">
      <c r="A191" s="7" t="n">
        <v>46284.27664920139</v>
      </c>
      <c r="B191" s="7" t="n">
        <v>46284.27083333334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127.8</v>
      </c>
    </row>
    <row r="192">
      <c r="A192" s="7" t="n">
        <v>46284.15392047453</v>
      </c>
      <c r="B192" s="7" t="n">
        <v>46284.14930555555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135.6</v>
      </c>
    </row>
    <row r="193">
      <c r="A193" s="7" t="n">
        <v>46284.02123533565</v>
      </c>
      <c r="B193" s="7" t="n">
        <v>46284.01736111111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102.8</v>
      </c>
    </row>
    <row r="194">
      <c r="A194" s="7" t="n">
        <v>46283.99753837963</v>
      </c>
      <c r="B194" s="7" t="n">
        <v>46283.99305555555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129.8</v>
      </c>
    </row>
    <row r="195">
      <c r="A195" s="7" t="n">
        <v>46283.80859936342</v>
      </c>
      <c r="B195" s="7" t="n">
        <v>46283.80208333334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127.7</v>
      </c>
    </row>
    <row r="196">
      <c r="A196" s="7" t="n">
        <v>46283.78916202546</v>
      </c>
      <c r="B196" s="7" t="n">
        <v>46283.78472222222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119.1</v>
      </c>
    </row>
    <row r="197">
      <c r="A197" s="7" t="n">
        <v>46283.58323265046</v>
      </c>
      <c r="B197" s="7" t="n">
        <v>46283.57638888889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126.7</v>
      </c>
    </row>
    <row r="198">
      <c r="A198" s="7" t="n">
        <v>46283.57323743056</v>
      </c>
      <c r="B198" s="7" t="n">
        <v>46283.56944444445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94.3</v>
      </c>
    </row>
    <row r="199">
      <c r="A199" s="7" t="n">
        <v>46283.45181144676</v>
      </c>
      <c r="B199" s="7" t="n">
        <v>46283.44791666666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132.3</v>
      </c>
    </row>
    <row r="200">
      <c r="A200" s="7" t="n">
        <v>46283.44134394676</v>
      </c>
      <c r="B200" s="7" t="n">
        <v>46283.4375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373.5</v>
      </c>
    </row>
    <row r="201">
      <c r="A201" s="7" t="n">
        <v>46283.35273409722</v>
      </c>
      <c r="B201" s="7" t="n">
        <v>46283.34722222222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132.3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資金明細!R192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MAX(資金明細!$R$2:$R$192)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MIN(資金明細!$R$2:$R$192)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MIN(資金明細!$X$2:$X$192)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COUNTIFS(資金明細!$C$2:$C$192,"進場",資金明細!$N$2:$N$192,"已下單")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COUNTIFS(資金明細!$C$2:$C$192,"進場",資金明細!$N$2:$N$192,"資金不足略過")</f>
        <v/>
      </c>
    </row>
    <row r="11">
      <c r="D11" s="2" t="inlineStr">
        <is>
          <t>止盈筆數</t>
        </is>
      </c>
      <c r="E11" s="15">
        <f>COUNTIFS(資金明細!$C$2:$C$192,"出場",資金明細!$N$2:$N$192,"已下單",資金明細!$K$2:$K$192,"止盈")</f>
        <v/>
      </c>
    </row>
    <row r="12">
      <c r="A12" s="2" t="inlineStr">
        <is>
          <t>每筆止損約虧本金</t>
        </is>
      </c>
      <c r="B12" s="4">
        <f>B5*B7*IFERROR(AVERAGE(交易明細!$AB$2:$AB$96),參數!B6)</f>
        <v/>
      </c>
      <c r="D12" s="2" t="inlineStr">
        <is>
          <t>止損筆數</t>
        </is>
      </c>
      <c r="E12" s="15">
        <f>COUNTIFS(資金明細!$C$2:$C$192,"出場",資金明細!$N$2:$N$192,"已下單",資金明細!$K$2:$K$192,"止損")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IFERROR(E11/COUNTIFS(資金明細!$C$2:$C$192,"出場",資金明細!$N$2:$N$192,"已下單"),0)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MAX(資金明細!$U$2:$U$192)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MAX(資金明細!$S$2:$S$192)</f>
        <v/>
      </c>
    </row>
    <row r="16">
      <c r="D16" s="2" t="inlineStr">
        <is>
          <t>期末下單金額</t>
        </is>
      </c>
      <c r="E16" s="16">
        <f>B5*資金明細!V192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MAX(資金明細!$Y$2:$Y$192)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IFERROR(INDEX(資金明細!$B$2:$B$192,MATCH(1,資金明細!$Z$2:$Z$192,0)),"未觸發")</f>
        <v/>
      </c>
    </row>
    <row r="21">
      <c r="D21" s="2" t="inlineStr">
        <is>
          <t>停止後略過筆數</t>
        </is>
      </c>
      <c r="E21" s="15">
        <f>COUNTIFS(資金明細!$C$2:$C$192,"進場",資金明細!$N$2:$N$192,"已停止")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46299.17013888889</v>
      </c>
      <c r="C112" s="2" t="inlineStr">
        <is>
          <t>進場</t>
        </is>
      </c>
      <c r="D112" s="2" t="n">
        <v>56</v>
      </c>
      <c r="E112" s="2" t="inlineStr">
        <is>
          <t>AIO_USDT_PERP</t>
        </is>
      </c>
      <c r="F112" s="2" t="inlineStr">
        <is>
          <t>做空</t>
        </is>
      </c>
      <c r="G112" s="17" t="n">
        <v>0.04316</v>
      </c>
      <c r="H112" s="17" t="n">
        <v>0.0418652</v>
      </c>
      <c r="I112" s="17" t="n">
        <v>0.045318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46299.17291666667</v>
      </c>
      <c r="C113" s="2" t="inlineStr">
        <is>
          <t>出場</t>
        </is>
      </c>
      <c r="D113" s="2" t="n">
        <v>56</v>
      </c>
      <c r="E113" s="2" t="inlineStr">
        <is>
          <t>AIO_USDT_PERP</t>
        </is>
      </c>
      <c r="F113" s="2" t="inlineStr">
        <is>
          <t>做空</t>
        </is>
      </c>
      <c r="G113" s="17" t="n">
        <v>0.04316</v>
      </c>
      <c r="H113" s="17" t="n">
        <v>0.0418652</v>
      </c>
      <c r="I113" s="17" t="n">
        <v>0.045318</v>
      </c>
      <c r="J113" s="17" t="n">
        <v>0.0418652</v>
      </c>
      <c r="K113" s="2" t="inlineStr">
        <is>
          <t>止盈</t>
        </is>
      </c>
      <c r="L113" s="5">
        <f>交易明細!K57</f>
        <v/>
      </c>
      <c r="M113" s="16">
        <f>M112</f>
        <v/>
      </c>
      <c r="N113" s="2">
        <f>N112</f>
        <v/>
      </c>
      <c r="O113" s="16">
        <f>O112</f>
        <v/>
      </c>
      <c r="P113" s="4">
        <f>交易明細!L57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46299.43472222222</v>
      </c>
      <c r="C114" s="2" t="inlineStr">
        <is>
          <t>進場</t>
        </is>
      </c>
      <c r="D114" s="2" t="n">
        <v>57</v>
      </c>
      <c r="E114" s="2" t="inlineStr">
        <is>
          <t>ESP_USDT_PERP</t>
        </is>
      </c>
      <c r="F114" s="2" t="inlineStr">
        <is>
          <t>做空</t>
        </is>
      </c>
      <c r="G114" s="17" t="n">
        <v>0.10926</v>
      </c>
      <c r="H114" s="17" t="n">
        <v>0.1059822</v>
      </c>
      <c r="I114" s="17" t="n">
        <v>0.114723</v>
      </c>
      <c r="J114" s="17" t="n"/>
      <c r="K114" s="2" t="n"/>
      <c r="L114" s="5" t="n"/>
      <c r="M114" s="16">
        <f>資金模擬!$B$5*V113</f>
        <v/>
      </c>
      <c r="N114" s="2">
        <f>IF(Z113=1,"已停止",IF(T113&gt;=M114,"已下單","資金不足略過"))</f>
        <v/>
      </c>
      <c r="O114" s="16">
        <f>IF(N114="已下單",M114*資金模擬!$B$7,0)</f>
        <v/>
      </c>
      <c r="P114" s="4" t="n"/>
      <c r="Q114" s="10" t="n">
        <v>0</v>
      </c>
      <c r="R114" s="10">
        <f>R113+Q114</f>
        <v/>
      </c>
      <c r="S114" s="16">
        <f>S113+IF(N114="已下單",M114,0)</f>
        <v/>
      </c>
      <c r="T114" s="16">
        <f>R114-S114</f>
        <v/>
      </c>
      <c r="U114" s="2">
        <f>U113+IF(N114="已下單",1,0)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46299.43680555555</v>
      </c>
      <c r="C115" s="2" t="inlineStr">
        <is>
          <t>出場</t>
        </is>
      </c>
      <c r="D115" s="2" t="n">
        <v>57</v>
      </c>
      <c r="E115" s="2" t="inlineStr">
        <is>
          <t>ESP_USDT_PERP</t>
        </is>
      </c>
      <c r="F115" s="2" t="inlineStr">
        <is>
          <t>做空</t>
        </is>
      </c>
      <c r="G115" s="17" t="n">
        <v>0.10926</v>
      </c>
      <c r="H115" s="17" t="n">
        <v>0.1059822</v>
      </c>
      <c r="I115" s="17" t="n">
        <v>0.114723</v>
      </c>
      <c r="J115" s="17" t="n">
        <v>0.114723</v>
      </c>
      <c r="K115" s="2" t="inlineStr">
        <is>
          <t>止損</t>
        </is>
      </c>
      <c r="L115" s="5">
        <f>交易明細!K58</f>
        <v/>
      </c>
      <c r="M115" s="16">
        <f>M114</f>
        <v/>
      </c>
      <c r="N115" s="2">
        <f>N114</f>
        <v/>
      </c>
      <c r="O115" s="16">
        <f>O114</f>
        <v/>
      </c>
      <c r="P115" s="4">
        <f>交易明細!L58</f>
        <v/>
      </c>
      <c r="Q115" s="10">
        <f>IF(N115="已下單",O115*P115,0)</f>
        <v/>
      </c>
      <c r="R115" s="10">
        <f>R114+Q115</f>
        <v/>
      </c>
      <c r="S115" s="16">
        <f>S114-IF(N115="已下單",M115,0)</f>
        <v/>
      </c>
      <c r="T115" s="16">
        <f>R115-S115</f>
        <v/>
      </c>
      <c r="U115" s="2">
        <f>U114-IF(N115="已下單",1,0)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46299.47361111111</v>
      </c>
      <c r="C116" s="2" t="inlineStr">
        <is>
          <t>出場</t>
        </is>
      </c>
      <c r="D116" s="2" t="n">
        <v>55</v>
      </c>
      <c r="E116" s="2" t="inlineStr">
        <is>
          <t>AGT_USDT_PERP</t>
        </is>
      </c>
      <c r="F116" s="2" t="inlineStr">
        <is>
          <t>做空</t>
        </is>
      </c>
      <c r="G116" s="17" t="n">
        <v>0.024348</v>
      </c>
      <c r="H116" s="17" t="n">
        <v>0.02361756</v>
      </c>
      <c r="I116" s="17" t="n">
        <v>0.0255654</v>
      </c>
      <c r="J116" s="17" t="n">
        <v>0.0255654</v>
      </c>
      <c r="K116" s="2" t="inlineStr">
        <is>
          <t>止損</t>
        </is>
      </c>
      <c r="L116" s="5">
        <f>交易明細!K56</f>
        <v/>
      </c>
      <c r="M116" s="16">
        <f>M111</f>
        <v/>
      </c>
      <c r="N116" s="2">
        <f>N111</f>
        <v/>
      </c>
      <c r="O116" s="16">
        <f>O111</f>
        <v/>
      </c>
      <c r="P116" s="4">
        <f>交易明細!L56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46299.51805555556</v>
      </c>
      <c r="C117" s="2" t="inlineStr">
        <is>
          <t>進場</t>
        </is>
      </c>
      <c r="D117" s="2" t="n">
        <v>58</v>
      </c>
      <c r="E117" s="2" t="inlineStr">
        <is>
          <t>PROS_USDT_PERP</t>
        </is>
      </c>
      <c r="F117" s="2" t="inlineStr">
        <is>
          <t>做空</t>
        </is>
      </c>
      <c r="G117" s="17" t="n">
        <v>0.792</v>
      </c>
      <c r="H117" s="17" t="n">
        <v>0.76824</v>
      </c>
      <c r="I117" s="17" t="n">
        <v>0.8316000000000001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46299.67083333333</v>
      </c>
      <c r="C118" s="2" t="inlineStr">
        <is>
          <t>進場</t>
        </is>
      </c>
      <c r="D118" s="2" t="n">
        <v>59</v>
      </c>
      <c r="E118" s="2" t="inlineStr">
        <is>
          <t>BAT_USDT_PERP</t>
        </is>
      </c>
      <c r="F118" s="2" t="inlineStr">
        <is>
          <t>做空</t>
        </is>
      </c>
      <c r="G118" s="17" t="n">
        <v>0.1071</v>
      </c>
      <c r="H118" s="17" t="n">
        <v>0.103887</v>
      </c>
      <c r="I118" s="17" t="n">
        <v>0.112455</v>
      </c>
      <c r="J118" s="17" t="n"/>
      <c r="K118" s="2" t="n"/>
      <c r="L118" s="5" t="n"/>
      <c r="M118" s="16">
        <f>資金模擬!$B$5*V117</f>
        <v/>
      </c>
      <c r="N118" s="2">
        <f>IF(Z117=1,"已停止",IF(T117&gt;=M118,"已下單","資金不足略過"))</f>
        <v/>
      </c>
      <c r="O118" s="16">
        <f>IF(N118="已下單",M118*資金模擬!$B$7,0)</f>
        <v/>
      </c>
      <c r="P118" s="4" t="n"/>
      <c r="Q118" s="10" t="n">
        <v>0</v>
      </c>
      <c r="R118" s="10">
        <f>R117+Q118</f>
        <v/>
      </c>
      <c r="S118" s="16">
        <f>S117+IF(N118="已下單",M118,0)</f>
        <v/>
      </c>
      <c r="T118" s="16">
        <f>R118-S118</f>
        <v/>
      </c>
      <c r="U118" s="2">
        <f>U117+IF(N118="已下單",1,0)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46299.69722222222</v>
      </c>
      <c r="C119" s="2" t="inlineStr">
        <is>
          <t>出場</t>
        </is>
      </c>
      <c r="D119" s="2" t="n">
        <v>59</v>
      </c>
      <c r="E119" s="2" t="inlineStr">
        <is>
          <t>BAT_USDT_PERP</t>
        </is>
      </c>
      <c r="F119" s="2" t="inlineStr">
        <is>
          <t>做空</t>
        </is>
      </c>
      <c r="G119" s="17" t="n">
        <v>0.1071</v>
      </c>
      <c r="H119" s="17" t="n">
        <v>0.103887</v>
      </c>
      <c r="I119" s="17" t="n">
        <v>0.112455</v>
      </c>
      <c r="J119" s="17" t="n">
        <v>0.103887</v>
      </c>
      <c r="K119" s="2" t="inlineStr">
        <is>
          <t>止盈</t>
        </is>
      </c>
      <c r="L119" s="5">
        <f>交易明細!K60</f>
        <v/>
      </c>
      <c r="M119" s="16">
        <f>M118</f>
        <v/>
      </c>
      <c r="N119" s="2">
        <f>N118</f>
        <v/>
      </c>
      <c r="O119" s="16">
        <f>O118</f>
        <v/>
      </c>
      <c r="P119" s="4">
        <f>交易明細!L60</f>
        <v/>
      </c>
      <c r="Q119" s="10">
        <f>IF(N119="已下單",O119*P119,0)</f>
        <v/>
      </c>
      <c r="R119" s="10">
        <f>R118+Q119</f>
        <v/>
      </c>
      <c r="S119" s="16">
        <f>S118-IF(N119="已下單",M119,0)</f>
        <v/>
      </c>
      <c r="T119" s="16">
        <f>R119-S119</f>
        <v/>
      </c>
      <c r="U119" s="2">
        <f>U118-IF(N119="已下單",1,0)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46300.25763888889</v>
      </c>
      <c r="C120" s="2" t="inlineStr">
        <is>
          <t>進場</t>
        </is>
      </c>
      <c r="D120" s="2" t="n">
        <v>60</v>
      </c>
      <c r="E120" s="2" t="inlineStr">
        <is>
          <t>LYN_USDT_PERP</t>
        </is>
      </c>
      <c r="F120" s="2" t="inlineStr">
        <is>
          <t>做空</t>
        </is>
      </c>
      <c r="G120" s="17" t="n">
        <v>0.03564</v>
      </c>
      <c r="H120" s="17" t="n">
        <v>0.0345708</v>
      </c>
      <c r="I120" s="17" t="n">
        <v>0.037422</v>
      </c>
      <c r="J120" s="17" t="n"/>
      <c r="K120" s="2" t="n"/>
      <c r="L120" s="5" t="n"/>
      <c r="M120" s="16">
        <f>資金模擬!$B$5*V119</f>
        <v/>
      </c>
      <c r="N120" s="2">
        <f>IF(Z119=1,"已停止",IF(T119&gt;=M120,"已下單","資金不足略過"))</f>
        <v/>
      </c>
      <c r="O120" s="16">
        <f>IF(N120="已下單",M120*資金模擬!$B$7,0)</f>
        <v/>
      </c>
      <c r="P120" s="4" t="n"/>
      <c r="Q120" s="10" t="n">
        <v>0</v>
      </c>
      <c r="R120" s="10">
        <f>R119+Q120</f>
        <v/>
      </c>
      <c r="S120" s="16">
        <f>S119+IF(N120="已下單",M120,0)</f>
        <v/>
      </c>
      <c r="T120" s="16">
        <f>R120-S120</f>
        <v/>
      </c>
      <c r="U120" s="2">
        <f>U119+IF(N120="已下單",1,0)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46300.25972222222</v>
      </c>
      <c r="C121" s="2" t="inlineStr">
        <is>
          <t>出場</t>
        </is>
      </c>
      <c r="D121" s="2" t="n">
        <v>60</v>
      </c>
      <c r="E121" s="2" t="inlineStr">
        <is>
          <t>LYN_USDT_PERP</t>
        </is>
      </c>
      <c r="F121" s="2" t="inlineStr">
        <is>
          <t>做空</t>
        </is>
      </c>
      <c r="G121" s="17" t="n">
        <v>0.03564</v>
      </c>
      <c r="H121" s="17" t="n">
        <v>0.0345708</v>
      </c>
      <c r="I121" s="17" t="n">
        <v>0.037422</v>
      </c>
      <c r="J121" s="17" t="n">
        <v>0.0345708</v>
      </c>
      <c r="K121" s="2" t="inlineStr">
        <is>
          <t>止盈</t>
        </is>
      </c>
      <c r="L121" s="5">
        <f>交易明細!K61</f>
        <v/>
      </c>
      <c r="M121" s="16">
        <f>M120</f>
        <v/>
      </c>
      <c r="N121" s="2">
        <f>N120</f>
        <v/>
      </c>
      <c r="O121" s="16">
        <f>O120</f>
        <v/>
      </c>
      <c r="P121" s="4">
        <f>交易明細!L61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46300.33541666667</v>
      </c>
      <c r="C122" s="2" t="inlineStr">
        <is>
          <t>出場</t>
        </is>
      </c>
      <c r="D122" s="2" t="n">
        <v>58</v>
      </c>
      <c r="E122" s="2" t="inlineStr">
        <is>
          <t>PROS_USDT_PERP</t>
        </is>
      </c>
      <c r="F122" s="2" t="inlineStr">
        <is>
          <t>做空</t>
        </is>
      </c>
      <c r="G122" s="17" t="n">
        <v>0.792</v>
      </c>
      <c r="H122" s="17" t="n">
        <v>0.76824</v>
      </c>
      <c r="I122" s="17" t="n">
        <v>0.8316000000000001</v>
      </c>
      <c r="J122" s="17" t="n">
        <v>0.8316000000000001</v>
      </c>
      <c r="K122" s="2" t="inlineStr">
        <is>
          <t>止損</t>
        </is>
      </c>
      <c r="L122" s="5">
        <f>交易明細!K59</f>
        <v/>
      </c>
      <c r="M122" s="16">
        <f>M117</f>
        <v/>
      </c>
      <c r="N122" s="2">
        <f>N117</f>
        <v/>
      </c>
      <c r="O122" s="16">
        <f>O117</f>
        <v/>
      </c>
      <c r="P122" s="4">
        <f>交易明細!L59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46300.66666666666</v>
      </c>
      <c r="C123" s="2" t="inlineStr">
        <is>
          <t>進場</t>
        </is>
      </c>
      <c r="D123" s="2" t="n">
        <v>61</v>
      </c>
      <c r="E123" s="2" t="inlineStr">
        <is>
          <t>PONS_USDT_PERP</t>
        </is>
      </c>
      <c r="F123" s="2" t="inlineStr">
        <is>
          <t>做空</t>
        </is>
      </c>
      <c r="G123" s="17" t="n">
        <v>0.408</v>
      </c>
      <c r="H123" s="17" t="n">
        <v>0.3957599999999999</v>
      </c>
      <c r="I123" s="17" t="n">
        <v>0.4284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46300.75694444445</v>
      </c>
      <c r="C124" s="2" t="inlineStr">
        <is>
          <t>進場</t>
        </is>
      </c>
      <c r="D124" s="2" t="n">
        <v>62</v>
      </c>
      <c r="E124" s="2" t="inlineStr">
        <is>
          <t>COLLECT_USDT_PERP</t>
        </is>
      </c>
      <c r="F124" s="2" t="inlineStr">
        <is>
          <t>做空</t>
        </is>
      </c>
      <c r="G124" s="17" t="n">
        <v>0.02532</v>
      </c>
      <c r="H124" s="17" t="n">
        <v>0.0245604</v>
      </c>
      <c r="I124" s="17" t="n">
        <v>0.026586</v>
      </c>
      <c r="J124" s="17" t="n"/>
      <c r="K124" s="2" t="n"/>
      <c r="L124" s="5" t="n"/>
      <c r="M124" s="16">
        <f>資金模擬!$B$5*V123</f>
        <v/>
      </c>
      <c r="N124" s="2">
        <f>IF(Z123=1,"已停止",IF(T123&gt;=M124,"已下單","資金不足略過"))</f>
        <v/>
      </c>
      <c r="O124" s="16">
        <f>IF(N124="已下單",M124*資金模擬!$B$7,0)</f>
        <v/>
      </c>
      <c r="P124" s="4" t="n"/>
      <c r="Q124" s="10" t="n">
        <v>0</v>
      </c>
      <c r="R124" s="10">
        <f>R123+Q124</f>
        <v/>
      </c>
      <c r="S124" s="16">
        <f>S123+IF(N124="已下單",M124,0)</f>
        <v/>
      </c>
      <c r="T124" s="16">
        <f>R124-S124</f>
        <v/>
      </c>
      <c r="U124" s="2">
        <f>U123+IF(N124="已下單",1,0)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46300.77708333333</v>
      </c>
      <c r="C125" s="2" t="inlineStr">
        <is>
          <t>出場</t>
        </is>
      </c>
      <c r="D125" s="2" t="n">
        <v>61</v>
      </c>
      <c r="E125" s="2" t="inlineStr">
        <is>
          <t>PONS_USDT_PERP</t>
        </is>
      </c>
      <c r="F125" s="2" t="inlineStr">
        <is>
          <t>做空</t>
        </is>
      </c>
      <c r="G125" s="17" t="n">
        <v>0.408</v>
      </c>
      <c r="H125" s="17" t="n">
        <v>0.3957599999999999</v>
      </c>
      <c r="I125" s="17" t="n">
        <v>0.4284</v>
      </c>
      <c r="J125" s="17" t="n">
        <v>0.3957599999999999</v>
      </c>
      <c r="K125" s="2" t="inlineStr">
        <is>
          <t>止盈</t>
        </is>
      </c>
      <c r="L125" s="5">
        <f>交易明細!K62</f>
        <v/>
      </c>
      <c r="M125" s="16">
        <f>M123</f>
        <v/>
      </c>
      <c r="N125" s="2">
        <f>N123</f>
        <v/>
      </c>
      <c r="O125" s="16">
        <f>O123</f>
        <v/>
      </c>
      <c r="P125" s="4">
        <f>交易明細!L62</f>
        <v/>
      </c>
      <c r="Q125" s="10">
        <f>IF(N125="已下單",O125*P125,0)</f>
        <v/>
      </c>
      <c r="R125" s="10">
        <f>R124+Q125</f>
        <v/>
      </c>
      <c r="S125" s="16">
        <f>S124-IF(N125="已下單",M125,0)</f>
        <v/>
      </c>
      <c r="T125" s="16">
        <f>R125-S125</f>
        <v/>
      </c>
      <c r="U125" s="2">
        <f>U124-IF(N125="已下單",1,0)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46300.84027777778</v>
      </c>
      <c r="C126" s="2" t="inlineStr">
        <is>
          <t>出場</t>
        </is>
      </c>
      <c r="D126" s="2" t="n">
        <v>62</v>
      </c>
      <c r="E126" s="2" t="inlineStr">
        <is>
          <t>COLLECT_USDT_PERP</t>
        </is>
      </c>
      <c r="F126" s="2" t="inlineStr">
        <is>
          <t>做空</t>
        </is>
      </c>
      <c r="G126" s="17" t="n">
        <v>0.02532</v>
      </c>
      <c r="H126" s="17" t="n">
        <v>0.0245604</v>
      </c>
      <c r="I126" s="17" t="n">
        <v>0.026586</v>
      </c>
      <c r="J126" s="17" t="n">
        <v>0.0245604</v>
      </c>
      <c r="K126" s="2" t="inlineStr">
        <is>
          <t>止盈</t>
        </is>
      </c>
      <c r="L126" s="5">
        <f>交易明細!K63</f>
        <v/>
      </c>
      <c r="M126" s="16">
        <f>M124</f>
        <v/>
      </c>
      <c r="N126" s="2">
        <f>N124</f>
        <v/>
      </c>
      <c r="O126" s="16">
        <f>O124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46301.01666666667</v>
      </c>
      <c r="C127" s="2" t="inlineStr">
        <is>
          <t>進場</t>
        </is>
      </c>
      <c r="D127" s="2" t="n">
        <v>63</v>
      </c>
      <c r="E127" s="2" t="inlineStr">
        <is>
          <t>UP_USDT_PERP</t>
        </is>
      </c>
      <c r="F127" s="2" t="inlineStr">
        <is>
          <t>做空</t>
        </is>
      </c>
      <c r="G127" s="17" t="n">
        <v>0.2111</v>
      </c>
      <c r="H127" s="17" t="n">
        <v>0.204767</v>
      </c>
      <c r="I127" s="17" t="n">
        <v>0.221655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46301.08055555556</v>
      </c>
      <c r="C128" s="2" t="inlineStr">
        <is>
          <t>出場</t>
        </is>
      </c>
      <c r="D128" s="2" t="n">
        <v>63</v>
      </c>
      <c r="E128" s="2" t="inlineStr">
        <is>
          <t>UP_USDT_PERP</t>
        </is>
      </c>
      <c r="F128" s="2" t="inlineStr">
        <is>
          <t>做空</t>
        </is>
      </c>
      <c r="G128" s="17" t="n">
        <v>0.2111</v>
      </c>
      <c r="H128" s="17" t="n">
        <v>0.204767</v>
      </c>
      <c r="I128" s="17" t="n">
        <v>0.221655</v>
      </c>
      <c r="J128" s="17" t="n">
        <v>0.221655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46301.08888888889</v>
      </c>
      <c r="C129" s="2" t="inlineStr">
        <is>
          <t>進場</t>
        </is>
      </c>
      <c r="D129" s="2" t="n">
        <v>64</v>
      </c>
      <c r="E129" s="2" t="inlineStr">
        <is>
          <t>UP_USDT_PERP</t>
        </is>
      </c>
      <c r="F129" s="2" t="inlineStr">
        <is>
          <t>做空</t>
        </is>
      </c>
      <c r="G129" s="17" t="n">
        <v>0.2254</v>
      </c>
      <c r="H129" s="17" t="n">
        <v>0.218638</v>
      </c>
      <c r="I129" s="17" t="n">
        <v>0.23667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46301.37708333333</v>
      </c>
      <c r="C130" s="2" t="inlineStr">
        <is>
          <t>進場</t>
        </is>
      </c>
      <c r="D130" s="2" t="n">
        <v>65</v>
      </c>
      <c r="E130" s="2" t="inlineStr">
        <is>
          <t>BR_USDT_PERP</t>
        </is>
      </c>
      <c r="F130" s="2" t="inlineStr">
        <is>
          <t>做空</t>
        </is>
      </c>
      <c r="G130" s="17" t="n">
        <v>0.49116</v>
      </c>
      <c r="H130" s="17" t="n">
        <v>0.4764252</v>
      </c>
      <c r="I130" s="17" t="n">
        <v>0.515718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46301.38333333333</v>
      </c>
      <c r="C131" s="2" t="inlineStr">
        <is>
          <t>出場</t>
        </is>
      </c>
      <c r="D131" s="2" t="n">
        <v>65</v>
      </c>
      <c r="E131" s="2" t="inlineStr">
        <is>
          <t>BR_USDT_PERP</t>
        </is>
      </c>
      <c r="F131" s="2" t="inlineStr">
        <is>
          <t>做空</t>
        </is>
      </c>
      <c r="G131" s="17" t="n">
        <v>0.49116</v>
      </c>
      <c r="H131" s="17" t="n">
        <v>0.4764252</v>
      </c>
      <c r="I131" s="17" t="n">
        <v>0.515718</v>
      </c>
      <c r="J131" s="17" t="n">
        <v>0.4764252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46301.56180555555</v>
      </c>
      <c r="C132" s="2" t="inlineStr">
        <is>
          <t>出場</t>
        </is>
      </c>
      <c r="D132" s="2" t="n">
        <v>64</v>
      </c>
      <c r="E132" s="2" t="inlineStr">
        <is>
          <t>UP_USDT_PERP</t>
        </is>
      </c>
      <c r="F132" s="2" t="inlineStr">
        <is>
          <t>做空</t>
        </is>
      </c>
      <c r="G132" s="17" t="n">
        <v>0.2254</v>
      </c>
      <c r="H132" s="17" t="n">
        <v>0.218638</v>
      </c>
      <c r="I132" s="17" t="n">
        <v>0.23667</v>
      </c>
      <c r="J132" s="17" t="n">
        <v>0.218638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46301.58819444444</v>
      </c>
      <c r="C133" s="2" t="inlineStr">
        <is>
          <t>進場</t>
        </is>
      </c>
      <c r="D133" s="2" t="n">
        <v>66</v>
      </c>
      <c r="E133" s="2" t="inlineStr">
        <is>
          <t>API3_USDT_PERP</t>
        </is>
      </c>
      <c r="F133" s="2" t="inlineStr">
        <is>
          <t>做空</t>
        </is>
      </c>
      <c r="G133" s="17" t="n">
        <v>0.3394</v>
      </c>
      <c r="H133" s="17" t="n">
        <v>0.329218</v>
      </c>
      <c r="I133" s="17" t="n">
        <v>0.35637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46301.6375</v>
      </c>
      <c r="C134" s="2" t="inlineStr">
        <is>
          <t>出場</t>
        </is>
      </c>
      <c r="D134" s="2" t="n">
        <v>66</v>
      </c>
      <c r="E134" s="2" t="inlineStr">
        <is>
          <t>API3_USDT_PERP</t>
        </is>
      </c>
      <c r="F134" s="2" t="inlineStr">
        <is>
          <t>做空</t>
        </is>
      </c>
      <c r="G134" s="17" t="n">
        <v>0.3394</v>
      </c>
      <c r="H134" s="17" t="n">
        <v>0.329218</v>
      </c>
      <c r="I134" s="17" t="n">
        <v>0.35637</v>
      </c>
      <c r="J134" s="17" t="n">
        <v>0.35637</v>
      </c>
      <c r="K134" s="2" t="inlineStr">
        <is>
          <t>止損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46301.64513888889</v>
      </c>
      <c r="C135" s="2" t="inlineStr">
        <is>
          <t>進場</t>
        </is>
      </c>
      <c r="D135" s="2" t="n">
        <v>67</v>
      </c>
      <c r="E135" s="2" t="inlineStr">
        <is>
          <t>BR_USDT_PERP</t>
        </is>
      </c>
      <c r="F135" s="2" t="inlineStr">
        <is>
          <t>做空</t>
        </is>
      </c>
      <c r="G135" s="17" t="n">
        <v>0.4395</v>
      </c>
      <c r="H135" s="17" t="n">
        <v>0.426315</v>
      </c>
      <c r="I135" s="17" t="n">
        <v>0.461475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46301.66180555556</v>
      </c>
      <c r="C136" s="2" t="inlineStr">
        <is>
          <t>出場</t>
        </is>
      </c>
      <c r="D136" s="2" t="n">
        <v>67</v>
      </c>
      <c r="E136" s="2" t="inlineStr">
        <is>
          <t>BR_USDT_PERP</t>
        </is>
      </c>
      <c r="F136" s="2" t="inlineStr">
        <is>
          <t>做空</t>
        </is>
      </c>
      <c r="G136" s="17" t="n">
        <v>0.4395</v>
      </c>
      <c r="H136" s="17" t="n">
        <v>0.426315</v>
      </c>
      <c r="I136" s="17" t="n">
        <v>0.461475</v>
      </c>
      <c r="J136" s="17" t="n">
        <v>0.461475</v>
      </c>
      <c r="K136" s="2" t="inlineStr">
        <is>
          <t>止損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46301.67083333333</v>
      </c>
      <c r="C137" s="2" t="inlineStr">
        <is>
          <t>進場</t>
        </is>
      </c>
      <c r="D137" s="2" t="n">
        <v>68</v>
      </c>
      <c r="E137" s="2" t="inlineStr">
        <is>
          <t>BR_USDT_PERP</t>
        </is>
      </c>
      <c r="F137" s="2" t="inlineStr">
        <is>
          <t>做空</t>
        </is>
      </c>
      <c r="G137" s="17" t="n">
        <v>0.53503</v>
      </c>
      <c r="H137" s="17" t="n">
        <v>0.5189791</v>
      </c>
      <c r="I137" s="17" t="n">
        <v>0.5617815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46301.67152777778</v>
      </c>
      <c r="C138" s="2" t="inlineStr">
        <is>
          <t>出場</t>
        </is>
      </c>
      <c r="D138" s="2" t="n">
        <v>68</v>
      </c>
      <c r="E138" s="2" t="inlineStr">
        <is>
          <t>BR_USDT_PERP</t>
        </is>
      </c>
      <c r="F138" s="2" t="inlineStr">
        <is>
          <t>做空</t>
        </is>
      </c>
      <c r="G138" s="17" t="n">
        <v>0.53503</v>
      </c>
      <c r="H138" s="17" t="n">
        <v>0.5189791</v>
      </c>
      <c r="I138" s="17" t="n">
        <v>0.5617815</v>
      </c>
      <c r="J138" s="17" t="n">
        <v>0.5189791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46301.67152777778</v>
      </c>
      <c r="C139" s="2" t="inlineStr">
        <is>
          <t>進場</t>
        </is>
      </c>
      <c r="D139" s="2" t="n">
        <v>69</v>
      </c>
      <c r="E139" s="2" t="inlineStr">
        <is>
          <t>US_USDT_PERP</t>
        </is>
      </c>
      <c r="F139" s="2" t="inlineStr">
        <is>
          <t>做空</t>
        </is>
      </c>
      <c r="G139" s="17" t="n">
        <v>0.01211</v>
      </c>
      <c r="H139" s="17" t="n">
        <v>0.0117467</v>
      </c>
      <c r="I139" s="17" t="n">
        <v>0.0127155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46301.67430555556</v>
      </c>
      <c r="C140" s="2" t="inlineStr">
        <is>
          <t>出場</t>
        </is>
      </c>
      <c r="D140" s="2" t="n">
        <v>69</v>
      </c>
      <c r="E140" s="2" t="inlineStr">
        <is>
          <t>US_USDT_PERP</t>
        </is>
      </c>
      <c r="F140" s="2" t="inlineStr">
        <is>
          <t>做空</t>
        </is>
      </c>
      <c r="G140" s="17" t="n">
        <v>0.01211</v>
      </c>
      <c r="H140" s="17" t="n">
        <v>0.0117467</v>
      </c>
      <c r="I140" s="17" t="n">
        <v>0.0127155</v>
      </c>
      <c r="J140" s="17" t="n">
        <v>0.0127155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46301.75555555556</v>
      </c>
      <c r="C141" s="2" t="inlineStr">
        <is>
          <t>進場</t>
        </is>
      </c>
      <c r="D141" s="2" t="n">
        <v>70</v>
      </c>
      <c r="E141" s="2" t="inlineStr">
        <is>
          <t>BR_USDT_PERP</t>
        </is>
      </c>
      <c r="F141" s="2" t="inlineStr">
        <is>
          <t>做空</t>
        </is>
      </c>
      <c r="G141" s="17" t="n">
        <v>0.66466</v>
      </c>
      <c r="H141" s="17" t="n">
        <v>0.6447202</v>
      </c>
      <c r="I141" s="17" t="n">
        <v>0.6978930000000001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46301.75763888889</v>
      </c>
      <c r="C142" s="2" t="inlineStr">
        <is>
          <t>出場</t>
        </is>
      </c>
      <c r="D142" s="2" t="n">
        <v>70</v>
      </c>
      <c r="E142" s="2" t="inlineStr">
        <is>
          <t>BR_USDT_PERP</t>
        </is>
      </c>
      <c r="F142" s="2" t="inlineStr">
        <is>
          <t>做空</t>
        </is>
      </c>
      <c r="G142" s="17" t="n">
        <v>0.66466</v>
      </c>
      <c r="H142" s="17" t="n">
        <v>0.6447202</v>
      </c>
      <c r="I142" s="17" t="n">
        <v>0.6978930000000001</v>
      </c>
      <c r="J142" s="17" t="n">
        <v>0.6447202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46301.99236111111</v>
      </c>
      <c r="C143" s="2" t="inlineStr">
        <is>
          <t>進場</t>
        </is>
      </c>
      <c r="D143" s="2" t="n">
        <v>71</v>
      </c>
      <c r="E143" s="2" t="inlineStr">
        <is>
          <t>BULLA_USDT_PERP</t>
        </is>
      </c>
      <c r="F143" s="2" t="inlineStr">
        <is>
          <t>做空</t>
        </is>
      </c>
      <c r="G143" s="17" t="n">
        <v>0.09991999999999999</v>
      </c>
      <c r="H143" s="17" t="n">
        <v>0.09692239999999999</v>
      </c>
      <c r="I143" s="17" t="n">
        <v>0.104916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46302.01875</v>
      </c>
      <c r="C144" s="2" t="inlineStr">
        <is>
          <t>出場</t>
        </is>
      </c>
      <c r="D144" s="2" t="n">
        <v>71</v>
      </c>
      <c r="E144" s="2" t="inlineStr">
        <is>
          <t>BULLA_USDT_PERP</t>
        </is>
      </c>
      <c r="F144" s="2" t="inlineStr">
        <is>
          <t>做空</t>
        </is>
      </c>
      <c r="G144" s="17" t="n">
        <v>0.09991999999999999</v>
      </c>
      <c r="H144" s="17" t="n">
        <v>0.09692239999999999</v>
      </c>
      <c r="I144" s="17" t="n">
        <v>0.104916</v>
      </c>
      <c r="J144" s="17" t="n">
        <v>0.09692239999999999</v>
      </c>
      <c r="K144" s="2" t="inlineStr">
        <is>
          <t>止盈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46302.25625</v>
      </c>
      <c r="C145" s="2" t="inlineStr">
        <is>
          <t>進場</t>
        </is>
      </c>
      <c r="D145" s="2" t="n">
        <v>72</v>
      </c>
      <c r="E145" s="2" t="inlineStr">
        <is>
          <t>MAGIC_USDT_PERP</t>
        </is>
      </c>
      <c r="F145" s="2" t="inlineStr">
        <is>
          <t>做空</t>
        </is>
      </c>
      <c r="G145" s="17" t="n">
        <v>0.0727</v>
      </c>
      <c r="H145" s="17" t="n">
        <v>0.070519</v>
      </c>
      <c r="I145" s="17" t="n">
        <v>0.076335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46302.25833333333</v>
      </c>
      <c r="C146" s="2" t="inlineStr">
        <is>
          <t>出場</t>
        </is>
      </c>
      <c r="D146" s="2" t="n">
        <v>72</v>
      </c>
      <c r="E146" s="2" t="inlineStr">
        <is>
          <t>MAGIC_USDT_PERP</t>
        </is>
      </c>
      <c r="F146" s="2" t="inlineStr">
        <is>
          <t>做空</t>
        </is>
      </c>
      <c r="G146" s="17" t="n">
        <v>0.0727</v>
      </c>
      <c r="H146" s="17" t="n">
        <v>0.070519</v>
      </c>
      <c r="I146" s="17" t="n">
        <v>0.076335</v>
      </c>
      <c r="J146" s="17" t="n">
        <v>0.070519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46302.98472222222</v>
      </c>
      <c r="C147" s="2" t="inlineStr">
        <is>
          <t>進場</t>
        </is>
      </c>
      <c r="D147" s="2" t="n">
        <v>73</v>
      </c>
      <c r="E147" s="2" t="inlineStr">
        <is>
          <t>TA_USDT_PERP</t>
        </is>
      </c>
      <c r="F147" s="2" t="inlineStr">
        <is>
          <t>做空</t>
        </is>
      </c>
      <c r="G147" s="17" t="n">
        <v>0.06662999999999999</v>
      </c>
      <c r="H147" s="17" t="n">
        <v>0.0646311</v>
      </c>
      <c r="I147" s="17" t="n">
        <v>0.0699615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46302.98819444444</v>
      </c>
      <c r="C148" s="2" t="inlineStr">
        <is>
          <t>出場</t>
        </is>
      </c>
      <c r="D148" s="2" t="n">
        <v>73</v>
      </c>
      <c r="E148" s="2" t="inlineStr">
        <is>
          <t>TA_USDT_PERP</t>
        </is>
      </c>
      <c r="F148" s="2" t="inlineStr">
        <is>
          <t>做空</t>
        </is>
      </c>
      <c r="G148" s="17" t="n">
        <v>0.06662999999999999</v>
      </c>
      <c r="H148" s="17" t="n">
        <v>0.0646311</v>
      </c>
      <c r="I148" s="17" t="n">
        <v>0.0699615</v>
      </c>
      <c r="J148" s="17" t="n">
        <v>0.0646311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46303.00833333333</v>
      </c>
      <c r="C149" s="2" t="inlineStr">
        <is>
          <t>進場</t>
        </is>
      </c>
      <c r="D149" s="2" t="n">
        <v>74</v>
      </c>
      <c r="E149" s="2" t="inlineStr">
        <is>
          <t>MANA_USDT_PERP</t>
        </is>
      </c>
      <c r="F149" s="2" t="inlineStr">
        <is>
          <t>做空</t>
        </is>
      </c>
      <c r="G149" s="17" t="n">
        <v>0.1074</v>
      </c>
      <c r="H149" s="17" t="n">
        <v>0.104178</v>
      </c>
      <c r="I149" s="17" t="n">
        <v>0.11277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46303.05069444444</v>
      </c>
      <c r="C150" s="2" t="inlineStr">
        <is>
          <t>進場</t>
        </is>
      </c>
      <c r="D150" s="2" t="n">
        <v>75</v>
      </c>
      <c r="E150" s="2" t="inlineStr">
        <is>
          <t>HEMI_USDT_PERP</t>
        </is>
      </c>
      <c r="F150" s="2" t="inlineStr">
        <is>
          <t>做空</t>
        </is>
      </c>
      <c r="G150" s="17" t="n">
        <v>0.00655</v>
      </c>
      <c r="H150" s="17" t="n">
        <v>0.0063535</v>
      </c>
      <c r="I150" s="17" t="n">
        <v>0.006877500000000001</v>
      </c>
      <c r="J150" s="17" t="n"/>
      <c r="K150" s="2" t="n"/>
      <c r="L150" s="5" t="n"/>
      <c r="M150" s="16">
        <f>資金模擬!$B$5*V149</f>
        <v/>
      </c>
      <c r="N150" s="2">
        <f>IF(Z149=1,"已停止",IF(T149&gt;=M150,"已下單","資金不足略過"))</f>
        <v/>
      </c>
      <c r="O150" s="16">
        <f>IF(N150="已下單",M150*資金模擬!$B$7,0)</f>
        <v/>
      </c>
      <c r="P150" s="4" t="n"/>
      <c r="Q150" s="10" t="n">
        <v>0</v>
      </c>
      <c r="R150" s="10">
        <f>R149+Q150</f>
        <v/>
      </c>
      <c r="S150" s="16">
        <f>S149+IF(N150="已下單",M150,0)</f>
        <v/>
      </c>
      <c r="T150" s="16">
        <f>R150-S150</f>
        <v/>
      </c>
      <c r="U150" s="2">
        <f>U149+IF(N150="已下單",1,0)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46303.06319444445</v>
      </c>
      <c r="C151" s="2" t="inlineStr">
        <is>
          <t>出場</t>
        </is>
      </c>
      <c r="D151" s="2" t="n">
        <v>74</v>
      </c>
      <c r="E151" s="2" t="inlineStr">
        <is>
          <t>MANA_USDT_PERP</t>
        </is>
      </c>
      <c r="F151" s="2" t="inlineStr">
        <is>
          <t>做空</t>
        </is>
      </c>
      <c r="G151" s="17" t="n">
        <v>0.1074</v>
      </c>
      <c r="H151" s="17" t="n">
        <v>0.104178</v>
      </c>
      <c r="I151" s="17" t="n">
        <v>0.11277</v>
      </c>
      <c r="J151" s="17" t="n">
        <v>0.104178</v>
      </c>
      <c r="K151" s="2" t="inlineStr">
        <is>
          <t>止盈</t>
        </is>
      </c>
      <c r="L151" s="5">
        <f>交易明細!K75</f>
        <v/>
      </c>
      <c r="M151" s="16">
        <f>M149</f>
        <v/>
      </c>
      <c r="N151" s="2">
        <f>N149</f>
        <v/>
      </c>
      <c r="O151" s="16">
        <f>O149</f>
        <v/>
      </c>
      <c r="P151" s="4">
        <f>交易明細!L75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46303.06319444445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0.00655</v>
      </c>
      <c r="H152" s="17" t="n">
        <v>0.0063535</v>
      </c>
      <c r="I152" s="17" t="n">
        <v>0.006877500000000001</v>
      </c>
      <c r="J152" s="17" t="n">
        <v>0.0063535</v>
      </c>
      <c r="K152" s="2" t="inlineStr">
        <is>
          <t>止盈</t>
        </is>
      </c>
      <c r="L152" s="5">
        <f>交易明細!K76</f>
        <v/>
      </c>
      <c r="M152" s="16">
        <f>M150</f>
        <v/>
      </c>
      <c r="N152" s="2">
        <f>N150</f>
        <v/>
      </c>
      <c r="O152" s="16">
        <f>O150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46303.075</v>
      </c>
      <c r="C153" s="2" t="inlineStr">
        <is>
          <t>進場</t>
        </is>
      </c>
      <c r="D153" s="2" t="n">
        <v>76</v>
      </c>
      <c r="E153" s="2" t="inlineStr">
        <is>
          <t>MET_USDT_PERP</t>
        </is>
      </c>
      <c r="F153" s="2" t="inlineStr">
        <is>
          <t>做空</t>
        </is>
      </c>
      <c r="G153" s="17" t="n">
        <v>0.3856</v>
      </c>
      <c r="H153" s="17" t="n">
        <v>0.374032</v>
      </c>
      <c r="I153" s="17" t="n">
        <v>0.40488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46303.08541666667</v>
      </c>
      <c r="C154" s="2" t="inlineStr">
        <is>
          <t>出場</t>
        </is>
      </c>
      <c r="D154" s="2" t="n">
        <v>76</v>
      </c>
      <c r="E154" s="2" t="inlineStr">
        <is>
          <t>MET_USDT_PERP</t>
        </is>
      </c>
      <c r="F154" s="2" t="inlineStr">
        <is>
          <t>做空</t>
        </is>
      </c>
      <c r="G154" s="17" t="n">
        <v>0.3856</v>
      </c>
      <c r="H154" s="17" t="n">
        <v>0.374032</v>
      </c>
      <c r="I154" s="17" t="n">
        <v>0.40488</v>
      </c>
      <c r="J154" s="17" t="n">
        <v>0.40488</v>
      </c>
      <c r="K154" s="2" t="inlineStr">
        <is>
          <t>止損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46303.08819444444</v>
      </c>
      <c r="C155" s="2" t="inlineStr">
        <is>
          <t>進場</t>
        </is>
      </c>
      <c r="D155" s="2" t="n">
        <v>77</v>
      </c>
      <c r="E155" s="2" t="inlineStr">
        <is>
          <t>MET_USDT_PERP</t>
        </is>
      </c>
      <c r="F155" s="2" t="inlineStr">
        <is>
          <t>做空</t>
        </is>
      </c>
      <c r="G155" s="17" t="n">
        <v>0.4164</v>
      </c>
      <c r="H155" s="17" t="n">
        <v>0.403908</v>
      </c>
      <c r="I155" s="17" t="n">
        <v>0.43722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46303.08888888889</v>
      </c>
      <c r="C156" s="2" t="inlineStr">
        <is>
          <t>出場</t>
        </is>
      </c>
      <c r="D156" s="2" t="n">
        <v>77</v>
      </c>
      <c r="E156" s="2" t="inlineStr">
        <is>
          <t>MET_USDT_PERP</t>
        </is>
      </c>
      <c r="F156" s="2" t="inlineStr">
        <is>
          <t>做空</t>
        </is>
      </c>
      <c r="G156" s="17" t="n">
        <v>0.4164</v>
      </c>
      <c r="H156" s="17" t="n">
        <v>0.403908</v>
      </c>
      <c r="I156" s="17" t="n">
        <v>0.43722</v>
      </c>
      <c r="J156" s="17" t="n">
        <v>0.43722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46303.38125</v>
      </c>
      <c r="C157" s="2" t="inlineStr">
        <is>
          <t>進場</t>
        </is>
      </c>
      <c r="D157" s="2" t="n">
        <v>78</v>
      </c>
      <c r="E157" s="2" t="inlineStr">
        <is>
          <t>W_USDT_PERP</t>
        </is>
      </c>
      <c r="F157" s="2" t="inlineStr">
        <is>
          <t>做空</t>
        </is>
      </c>
      <c r="G157" s="17" t="n">
        <v>0.01737</v>
      </c>
      <c r="H157" s="17" t="n">
        <v>0.0168489</v>
      </c>
      <c r="I157" s="17" t="n">
        <v>0.0182385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46303.38541666666</v>
      </c>
      <c r="C158" s="2" t="inlineStr">
        <is>
          <t>出場</t>
        </is>
      </c>
      <c r="D158" s="2" t="n">
        <v>78</v>
      </c>
      <c r="E158" s="2" t="inlineStr">
        <is>
          <t>W_USDT_PERP</t>
        </is>
      </c>
      <c r="F158" s="2" t="inlineStr">
        <is>
          <t>做空</t>
        </is>
      </c>
      <c r="G158" s="17" t="n">
        <v>0.01737</v>
      </c>
      <c r="H158" s="17" t="n">
        <v>0.0168489</v>
      </c>
      <c r="I158" s="17" t="n">
        <v>0.0182385</v>
      </c>
      <c r="J158" s="17" t="n">
        <v>0.0168489</v>
      </c>
      <c r="K158" s="2" t="inlineStr">
        <is>
          <t>止盈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46303.41388888889</v>
      </c>
      <c r="C159" s="2" t="inlineStr">
        <is>
          <t>進場</t>
        </is>
      </c>
      <c r="D159" s="2" t="n">
        <v>79</v>
      </c>
      <c r="E159" s="2" t="inlineStr">
        <is>
          <t>ACE_USDT_PERP</t>
        </is>
      </c>
      <c r="F159" s="2" t="inlineStr">
        <is>
          <t>做空</t>
        </is>
      </c>
      <c r="G159" s="17" t="n">
        <v>0.19347</v>
      </c>
      <c r="H159" s="17" t="n">
        <v>0.1876659</v>
      </c>
      <c r="I159" s="17" t="n">
        <v>0.2031435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46303.41736111111</v>
      </c>
      <c r="C160" s="2" t="inlineStr">
        <is>
          <t>出場</t>
        </is>
      </c>
      <c r="D160" s="2" t="n">
        <v>79</v>
      </c>
      <c r="E160" s="2" t="inlineStr">
        <is>
          <t>ACE_USDT_PERP</t>
        </is>
      </c>
      <c r="F160" s="2" t="inlineStr">
        <is>
          <t>做空</t>
        </is>
      </c>
      <c r="G160" s="17" t="n">
        <v>0.19347</v>
      </c>
      <c r="H160" s="17" t="n">
        <v>0.1876659</v>
      </c>
      <c r="I160" s="17" t="n">
        <v>0.2031435</v>
      </c>
      <c r="J160" s="17" t="n">
        <v>0.1876659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46303.56944444445</v>
      </c>
      <c r="C161" s="2" t="inlineStr">
        <is>
          <t>進場</t>
        </is>
      </c>
      <c r="D161" s="2" t="n">
        <v>80</v>
      </c>
      <c r="E161" s="2" t="inlineStr">
        <is>
          <t>ON_USDT_PERP</t>
        </is>
      </c>
      <c r="F161" s="2" t="inlineStr">
        <is>
          <t>做空</t>
        </is>
      </c>
      <c r="G161" s="17" t="n">
        <v>0.12433</v>
      </c>
      <c r="H161" s="17" t="n">
        <v>0.1206001</v>
      </c>
      <c r="I161" s="17" t="n">
        <v>0.1305465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46303.60416666666</v>
      </c>
      <c r="C162" s="2" t="inlineStr">
        <is>
          <t>出場</t>
        </is>
      </c>
      <c r="D162" s="2" t="n">
        <v>80</v>
      </c>
      <c r="E162" s="2" t="inlineStr">
        <is>
          <t>ON_USDT_PERP</t>
        </is>
      </c>
      <c r="F162" s="2" t="inlineStr">
        <is>
          <t>做空</t>
        </is>
      </c>
      <c r="G162" s="17" t="n">
        <v>0.12433</v>
      </c>
      <c r="H162" s="17" t="n">
        <v>0.1206001</v>
      </c>
      <c r="I162" s="17" t="n">
        <v>0.1305465</v>
      </c>
      <c r="J162" s="17" t="n">
        <v>0.1206001</v>
      </c>
      <c r="K162" s="2" t="inlineStr">
        <is>
          <t>止盈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46303.65138888889</v>
      </c>
      <c r="C163" s="2" t="inlineStr">
        <is>
          <t>進場</t>
        </is>
      </c>
      <c r="D163" s="2" t="n">
        <v>81</v>
      </c>
      <c r="E163" s="2" t="inlineStr">
        <is>
          <t>币安人生_USDT_PERP</t>
        </is>
      </c>
      <c r="F163" s="2" t="inlineStr">
        <is>
          <t>做空</t>
        </is>
      </c>
      <c r="G163" s="17" t="n">
        <v>0.5422</v>
      </c>
      <c r="H163" s="17" t="n">
        <v>0.525934</v>
      </c>
      <c r="I163" s="17" t="n">
        <v>0.5693100000000001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46303.70277777778</v>
      </c>
      <c r="C164" s="2" t="inlineStr">
        <is>
          <t>出場</t>
        </is>
      </c>
      <c r="D164" s="2" t="n">
        <v>81</v>
      </c>
      <c r="E164" s="2" t="inlineStr">
        <is>
          <t>币安人生_USDT_PERP</t>
        </is>
      </c>
      <c r="F164" s="2" t="inlineStr">
        <is>
          <t>做空</t>
        </is>
      </c>
      <c r="G164" s="17" t="n">
        <v>0.5422</v>
      </c>
      <c r="H164" s="17" t="n">
        <v>0.525934</v>
      </c>
      <c r="I164" s="17" t="n">
        <v>0.5693100000000001</v>
      </c>
      <c r="J164" s="17" t="n">
        <v>0.5693100000000001</v>
      </c>
      <c r="K164" s="2" t="inlineStr">
        <is>
          <t>止損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46303.75138888889</v>
      </c>
      <c r="C165" s="2" t="inlineStr">
        <is>
          <t>進場</t>
        </is>
      </c>
      <c r="D165" s="2" t="n">
        <v>82</v>
      </c>
      <c r="E165" s="2" t="inlineStr">
        <is>
          <t>AKE_USDT_PERP</t>
        </is>
      </c>
      <c r="F165" s="2" t="inlineStr">
        <is>
          <t>做空</t>
        </is>
      </c>
      <c r="G165" s="17" t="n">
        <v>0.0303346</v>
      </c>
      <c r="H165" s="17" t="n">
        <v>0.029424562</v>
      </c>
      <c r="I165" s="17" t="n">
        <v>0.03185133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46303.75208333333</v>
      </c>
      <c r="C166" s="2" t="inlineStr">
        <is>
          <t>出場</t>
        </is>
      </c>
      <c r="D166" s="2" t="n">
        <v>82</v>
      </c>
      <c r="E166" s="2" t="inlineStr">
        <is>
          <t>AKE_USDT_PERP</t>
        </is>
      </c>
      <c r="F166" s="2" t="inlineStr">
        <is>
          <t>做空</t>
        </is>
      </c>
      <c r="G166" s="17" t="n">
        <v>0.0303346</v>
      </c>
      <c r="H166" s="17" t="n">
        <v>0.029424562</v>
      </c>
      <c r="I166" s="17" t="n">
        <v>0.03185133</v>
      </c>
      <c r="J166" s="17" t="n">
        <v>0.029424562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46303.91527777778</v>
      </c>
      <c r="C167" s="2" t="inlineStr">
        <is>
          <t>進場</t>
        </is>
      </c>
      <c r="D167" s="2" t="n">
        <v>83</v>
      </c>
      <c r="E167" s="2" t="inlineStr">
        <is>
          <t>OGN_USDT_PERP</t>
        </is>
      </c>
      <c r="F167" s="2" t="inlineStr">
        <is>
          <t>做空</t>
        </is>
      </c>
      <c r="G167" s="17" t="n">
        <v>0.04301</v>
      </c>
      <c r="H167" s="17" t="n">
        <v>0.0417197</v>
      </c>
      <c r="I167" s="17" t="n">
        <v>0.0451605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46303.91944444444</v>
      </c>
      <c r="C168" s="2" t="inlineStr">
        <is>
          <t>出場</t>
        </is>
      </c>
      <c r="D168" s="2" t="n">
        <v>83</v>
      </c>
      <c r="E168" s="2" t="inlineStr">
        <is>
          <t>OGN_USDT_PERP</t>
        </is>
      </c>
      <c r="F168" s="2" t="inlineStr">
        <is>
          <t>做空</t>
        </is>
      </c>
      <c r="G168" s="17" t="n">
        <v>0.04301</v>
      </c>
      <c r="H168" s="17" t="n">
        <v>0.0417197</v>
      </c>
      <c r="I168" s="17" t="n">
        <v>0.0451605</v>
      </c>
      <c r="J168" s="17" t="n">
        <v>0.0417197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46304.04444444444</v>
      </c>
      <c r="C169" s="2" t="inlineStr">
        <is>
          <t>進場</t>
        </is>
      </c>
      <c r="D169" s="2" t="n">
        <v>84</v>
      </c>
      <c r="E169" s="2" t="inlineStr">
        <is>
          <t>DODO_USDT_PERP</t>
        </is>
      </c>
      <c r="F169" s="2" t="inlineStr">
        <is>
          <t>做空</t>
        </is>
      </c>
      <c r="G169" s="17" t="n">
        <v>0.019884</v>
      </c>
      <c r="H169" s="17" t="n">
        <v>0.01928748</v>
      </c>
      <c r="I169" s="17" t="n">
        <v>0.0208782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46304.04652777778</v>
      </c>
      <c r="C170" s="2" t="inlineStr">
        <is>
          <t>出場</t>
        </is>
      </c>
      <c r="D170" s="2" t="n">
        <v>84</v>
      </c>
      <c r="E170" s="2" t="inlineStr">
        <is>
          <t>DODO_USDT_PERP</t>
        </is>
      </c>
      <c r="F170" s="2" t="inlineStr">
        <is>
          <t>做空</t>
        </is>
      </c>
      <c r="G170" s="17" t="n">
        <v>0.019884</v>
      </c>
      <c r="H170" s="17" t="n">
        <v>0.01928748</v>
      </c>
      <c r="I170" s="17" t="n">
        <v>0.0208782</v>
      </c>
      <c r="J170" s="17" t="n">
        <v>0.01928748</v>
      </c>
      <c r="K170" s="2" t="inlineStr">
        <is>
          <t>止盈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46304.64375</v>
      </c>
      <c r="C171" s="2" t="inlineStr">
        <is>
          <t>進場</t>
        </is>
      </c>
      <c r="D171" s="2" t="n">
        <v>85</v>
      </c>
      <c r="E171" s="2" t="inlineStr">
        <is>
          <t>MAGIC_USDT_PERP</t>
        </is>
      </c>
      <c r="F171" s="2" t="inlineStr">
        <is>
          <t>做空</t>
        </is>
      </c>
      <c r="G171" s="17" t="n">
        <v>0.0791</v>
      </c>
      <c r="H171" s="17" t="n">
        <v>0.076727</v>
      </c>
      <c r="I171" s="17" t="n">
        <v>0.083055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46304.64513888889</v>
      </c>
      <c r="C172" s="2" t="inlineStr">
        <is>
          <t>出場</t>
        </is>
      </c>
      <c r="D172" s="2" t="n">
        <v>85</v>
      </c>
      <c r="E172" s="2" t="inlineStr">
        <is>
          <t>MAGIC_USDT_PERP</t>
        </is>
      </c>
      <c r="F172" s="2" t="inlineStr">
        <is>
          <t>做空</t>
        </is>
      </c>
      <c r="G172" s="17" t="n">
        <v>0.0791</v>
      </c>
      <c r="H172" s="17" t="n">
        <v>0.076727</v>
      </c>
      <c r="I172" s="17" t="n">
        <v>0.083055</v>
      </c>
      <c r="J172" s="17" t="n">
        <v>0.076727</v>
      </c>
      <c r="K172" s="2" t="inlineStr">
        <is>
          <t>止盈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46304.69236111111</v>
      </c>
      <c r="C173" s="2" t="inlineStr">
        <is>
          <t>進場</t>
        </is>
      </c>
      <c r="D173" s="2" t="n">
        <v>86</v>
      </c>
      <c r="E173" s="2" t="inlineStr">
        <is>
          <t>US_USDT_PERP</t>
        </is>
      </c>
      <c r="F173" s="2" t="inlineStr">
        <is>
          <t>做空</t>
        </is>
      </c>
      <c r="G173" s="17" t="n">
        <v>0.02718</v>
      </c>
      <c r="H173" s="17" t="n">
        <v>0.0263646</v>
      </c>
      <c r="I173" s="17" t="n">
        <v>0.028539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46304.69375</v>
      </c>
      <c r="C174" s="2" t="inlineStr">
        <is>
          <t>出場</t>
        </is>
      </c>
      <c r="D174" s="2" t="n">
        <v>86</v>
      </c>
      <c r="E174" s="2" t="inlineStr">
        <is>
          <t>US_USDT_PERP</t>
        </is>
      </c>
      <c r="F174" s="2" t="inlineStr">
        <is>
          <t>做空</t>
        </is>
      </c>
      <c r="G174" s="17" t="n">
        <v>0.02718</v>
      </c>
      <c r="H174" s="17" t="n">
        <v>0.0263646</v>
      </c>
      <c r="I174" s="17" t="n">
        <v>0.028539</v>
      </c>
      <c r="J174" s="17" t="n">
        <v>0.0263646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46304.97013888889</v>
      </c>
      <c r="C175" s="2" t="inlineStr">
        <is>
          <t>進場</t>
        </is>
      </c>
      <c r="D175" s="2" t="n">
        <v>87</v>
      </c>
      <c r="E175" s="2" t="inlineStr">
        <is>
          <t>MAGIC_USDT_PERP</t>
        </is>
      </c>
      <c r="F175" s="2" t="inlineStr">
        <is>
          <t>做空</t>
        </is>
      </c>
      <c r="G175" s="17" t="n">
        <v>0.0888</v>
      </c>
      <c r="H175" s="17" t="n">
        <v>0.086136</v>
      </c>
      <c r="I175" s="17" t="n">
        <v>0.09324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46304.975</v>
      </c>
      <c r="C176" s="2" t="inlineStr">
        <is>
          <t>出場</t>
        </is>
      </c>
      <c r="D176" s="2" t="n">
        <v>87</v>
      </c>
      <c r="E176" s="2" t="inlineStr">
        <is>
          <t>MAGIC_USDT_PERP</t>
        </is>
      </c>
      <c r="F176" s="2" t="inlineStr">
        <is>
          <t>做空</t>
        </is>
      </c>
      <c r="G176" s="17" t="n">
        <v>0.0888</v>
      </c>
      <c r="H176" s="17" t="n">
        <v>0.086136</v>
      </c>
      <c r="I176" s="17" t="n">
        <v>0.09324</v>
      </c>
      <c r="J176" s="17" t="n">
        <v>0.086136</v>
      </c>
      <c r="K176" s="2" t="inlineStr">
        <is>
          <t>止盈</t>
        </is>
      </c>
      <c r="L176" s="5">
        <f>交易明細!K88</f>
        <v/>
      </c>
      <c r="M176" s="16">
        <f>M175</f>
        <v/>
      </c>
      <c r="N176" s="2">
        <f>N175</f>
        <v/>
      </c>
      <c r="O176" s="16">
        <f>O175</f>
        <v/>
      </c>
      <c r="P176" s="4">
        <f>交易明細!L88</f>
        <v/>
      </c>
      <c r="Q176" s="10">
        <f>IF(N176="已下單",O176*P176,0)</f>
        <v/>
      </c>
      <c r="R176" s="10">
        <f>R175+Q176</f>
        <v/>
      </c>
      <c r="S176" s="16">
        <f>S175-IF(N176="已下單",M176,0)</f>
        <v/>
      </c>
      <c r="T176" s="16">
        <f>R176-S176</f>
        <v/>
      </c>
      <c r="U176" s="2">
        <f>U175-IF(N176="已下單",1,0)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46305.00833333333</v>
      </c>
      <c r="C177" s="2" t="inlineStr">
        <is>
          <t>進場</t>
        </is>
      </c>
      <c r="D177" s="2" t="n">
        <v>88</v>
      </c>
      <c r="E177" s="2" t="inlineStr">
        <is>
          <t>MAGIC_USDT_PERP</t>
        </is>
      </c>
      <c r="F177" s="2" t="inlineStr">
        <is>
          <t>做空</t>
        </is>
      </c>
      <c r="G177" s="17" t="n">
        <v>0.1019</v>
      </c>
      <c r="H177" s="17" t="n">
        <v>0.098843</v>
      </c>
      <c r="I177" s="17" t="n">
        <v>0.106995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46305.00902777778</v>
      </c>
      <c r="C178" s="2" t="inlineStr">
        <is>
          <t>出場</t>
        </is>
      </c>
      <c r="D178" s="2" t="n">
        <v>88</v>
      </c>
      <c r="E178" s="2" t="inlineStr">
        <is>
          <t>MAGIC_USDT_PERP</t>
        </is>
      </c>
      <c r="F178" s="2" t="inlineStr">
        <is>
          <t>做空</t>
        </is>
      </c>
      <c r="G178" s="17" t="n">
        <v>0.1019</v>
      </c>
      <c r="H178" s="17" t="n">
        <v>0.098843</v>
      </c>
      <c r="I178" s="17" t="n">
        <v>0.106995</v>
      </c>
      <c r="J178" s="17" t="n">
        <v>0.098843</v>
      </c>
      <c r="K178" s="2" t="inlineStr">
        <is>
          <t>止盈</t>
        </is>
      </c>
      <c r="L178" s="5">
        <f>交易明細!K89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46305.09097222222</v>
      </c>
      <c r="C179" s="2" t="inlineStr">
        <is>
          <t>進場</t>
        </is>
      </c>
      <c r="D179" s="2" t="n">
        <v>89</v>
      </c>
      <c r="E179" s="2" t="inlineStr">
        <is>
          <t>PIXEL_USDT_PERP</t>
        </is>
      </c>
      <c r="F179" s="2" t="inlineStr">
        <is>
          <t>做空</t>
        </is>
      </c>
      <c r="G179" s="17" t="n">
        <v>0.00659</v>
      </c>
      <c r="H179" s="17" t="n">
        <v>0.0063923</v>
      </c>
      <c r="I179" s="17" t="n">
        <v>0.0069195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46305.09513888889</v>
      </c>
      <c r="C180" s="2" t="inlineStr">
        <is>
          <t>出場</t>
        </is>
      </c>
      <c r="D180" s="2" t="n">
        <v>89</v>
      </c>
      <c r="E180" s="2" t="inlineStr">
        <is>
          <t>PIXEL_USDT_PERP</t>
        </is>
      </c>
      <c r="F180" s="2" t="inlineStr">
        <is>
          <t>做空</t>
        </is>
      </c>
      <c r="G180" s="17" t="n">
        <v>0.00659</v>
      </c>
      <c r="H180" s="17" t="n">
        <v>0.0063923</v>
      </c>
      <c r="I180" s="17" t="n">
        <v>0.0069195</v>
      </c>
      <c r="J180" s="17" t="n">
        <v>0.0063923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46305.42708333334</v>
      </c>
      <c r="C181" s="2" t="inlineStr">
        <is>
          <t>進場</t>
        </is>
      </c>
      <c r="D181" s="2" t="n">
        <v>90</v>
      </c>
      <c r="E181" s="2" t="inlineStr">
        <is>
          <t>MAGIC_USDT_PERP</t>
        </is>
      </c>
      <c r="F181" s="2" t="inlineStr">
        <is>
          <t>做空</t>
        </is>
      </c>
      <c r="G181" s="17" t="n">
        <v>0.1411</v>
      </c>
      <c r="H181" s="17" t="n">
        <v>0.136867</v>
      </c>
      <c r="I181" s="17" t="n">
        <v>0.148155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46305.43125</v>
      </c>
      <c r="C182" s="2" t="inlineStr">
        <is>
          <t>出場</t>
        </is>
      </c>
      <c r="D182" s="2" t="n">
        <v>90</v>
      </c>
      <c r="E182" s="2" t="inlineStr">
        <is>
          <t>MAGIC_USDT_PERP</t>
        </is>
      </c>
      <c r="F182" s="2" t="inlineStr">
        <is>
          <t>做空</t>
        </is>
      </c>
      <c r="G182" s="17" t="n">
        <v>0.1411</v>
      </c>
      <c r="H182" s="17" t="n">
        <v>0.136867</v>
      </c>
      <c r="I182" s="17" t="n">
        <v>0.148155</v>
      </c>
      <c r="J182" s="17" t="n">
        <v>0.148155</v>
      </c>
      <c r="K182" s="2" t="inlineStr">
        <is>
          <t>止損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46305.46319444444</v>
      </c>
      <c r="C183" s="2" t="inlineStr">
        <is>
          <t>進場</t>
        </is>
      </c>
      <c r="D183" s="2" t="n">
        <v>91</v>
      </c>
      <c r="E183" s="2" t="inlineStr">
        <is>
          <t>FIL_USDT_PERP</t>
        </is>
      </c>
      <c r="F183" s="2" t="inlineStr">
        <is>
          <t>做空</t>
        </is>
      </c>
      <c r="G183" s="17" t="n">
        <v>1.188</v>
      </c>
      <c r="H183" s="17" t="n">
        <v>1.15236</v>
      </c>
      <c r="I183" s="17" t="n">
        <v>1.2474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46305.58888888889</v>
      </c>
      <c r="C184" s="2" t="inlineStr">
        <is>
          <t>出場</t>
        </is>
      </c>
      <c r="D184" s="2" t="n">
        <v>91</v>
      </c>
      <c r="E184" s="2" t="inlineStr">
        <is>
          <t>FIL_USDT_PERP</t>
        </is>
      </c>
      <c r="F184" s="2" t="inlineStr">
        <is>
          <t>做空</t>
        </is>
      </c>
      <c r="G184" s="17" t="n">
        <v>1.188</v>
      </c>
      <c r="H184" s="17" t="n">
        <v>1.15236</v>
      </c>
      <c r="I184" s="17" t="n">
        <v>1.2474</v>
      </c>
      <c r="J184" s="17" t="n">
        <v>1.15236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46305.96736111111</v>
      </c>
      <c r="C185" s="2" t="inlineStr">
        <is>
          <t>進場</t>
        </is>
      </c>
      <c r="D185" s="2" t="n">
        <v>92</v>
      </c>
      <c r="E185" s="2" t="inlineStr">
        <is>
          <t>CFX_USDT_PERP</t>
        </is>
      </c>
      <c r="F185" s="2" t="inlineStr">
        <is>
          <t>做空</t>
        </is>
      </c>
      <c r="G185" s="17" t="n">
        <v>0.06386</v>
      </c>
      <c r="H185" s="17" t="n">
        <v>0.0619442</v>
      </c>
      <c r="I185" s="17" t="n">
        <v>0.067053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46305.97083333333</v>
      </c>
      <c r="C186" s="2" t="inlineStr">
        <is>
          <t>出場</t>
        </is>
      </c>
      <c r="D186" s="2" t="n">
        <v>92</v>
      </c>
      <c r="E186" s="2" t="inlineStr">
        <is>
          <t>CFX_USDT_PERP</t>
        </is>
      </c>
      <c r="F186" s="2" t="inlineStr">
        <is>
          <t>做空</t>
        </is>
      </c>
      <c r="G186" s="17" t="n">
        <v>0.06386</v>
      </c>
      <c r="H186" s="17" t="n">
        <v>0.0619442</v>
      </c>
      <c r="I186" s="17" t="n">
        <v>0.067053</v>
      </c>
      <c r="J186" s="17" t="n">
        <v>0.0619442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46306.01041666666</v>
      </c>
      <c r="C187" s="2" t="inlineStr">
        <is>
          <t>進場</t>
        </is>
      </c>
      <c r="D187" s="2" t="n">
        <v>93</v>
      </c>
      <c r="E187" s="2" t="inlineStr">
        <is>
          <t>STRK_USDT_PERP</t>
        </is>
      </c>
      <c r="F187" s="2" t="inlineStr">
        <is>
          <t>做空</t>
        </is>
      </c>
      <c r="G187" s="17" t="n">
        <v>0.09710000000000001</v>
      </c>
      <c r="H187" s="17" t="n">
        <v>0.09418700000000001</v>
      </c>
      <c r="I187" s="17" t="n">
        <v>0.101955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46306.01875</v>
      </c>
      <c r="C188" s="2" t="inlineStr">
        <is>
          <t>出場</t>
        </is>
      </c>
      <c r="D188" s="2" t="n">
        <v>93</v>
      </c>
      <c r="E188" s="2" t="inlineStr">
        <is>
          <t>STRK_USDT_PERP</t>
        </is>
      </c>
      <c r="F188" s="2" t="inlineStr">
        <is>
          <t>做空</t>
        </is>
      </c>
      <c r="G188" s="17" t="n">
        <v>0.09710000000000001</v>
      </c>
      <c r="H188" s="17" t="n">
        <v>0.09418700000000001</v>
      </c>
      <c r="I188" s="17" t="n">
        <v>0.101955</v>
      </c>
      <c r="J188" s="17" t="n">
        <v>0.09418700000000001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46306.04305555556</v>
      </c>
      <c r="C189" s="2" t="inlineStr">
        <is>
          <t>進場</t>
        </is>
      </c>
      <c r="D189" s="2" t="n">
        <v>94</v>
      </c>
      <c r="E189" s="2" t="inlineStr">
        <is>
          <t>ACT_USDT_PERP</t>
        </is>
      </c>
      <c r="F189" s="2" t="inlineStr">
        <is>
          <t>做空</t>
        </is>
      </c>
      <c r="G189" s="17" t="n">
        <v>0.01144</v>
      </c>
      <c r="H189" s="17" t="n">
        <v>0.0110968</v>
      </c>
      <c r="I189" s="17" t="n">
        <v>0.012012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46306.04513888889</v>
      </c>
      <c r="C190" s="2" t="inlineStr">
        <is>
          <t>出場</t>
        </is>
      </c>
      <c r="D190" s="2" t="n">
        <v>94</v>
      </c>
      <c r="E190" s="2" t="inlineStr">
        <is>
          <t>ACT_USDT_PERP</t>
        </is>
      </c>
      <c r="F190" s="2" t="inlineStr">
        <is>
          <t>做空</t>
        </is>
      </c>
      <c r="G190" s="17" t="n">
        <v>0.01144</v>
      </c>
      <c r="H190" s="17" t="n">
        <v>0.0110968</v>
      </c>
      <c r="I190" s="17" t="n">
        <v>0.012012</v>
      </c>
      <c r="J190" s="17" t="n">
        <v>0.0110968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46306.08472222222</v>
      </c>
      <c r="C191" s="2" t="inlineStr">
        <is>
          <t>進場</t>
        </is>
      </c>
      <c r="D191" s="2" t="n">
        <v>95</v>
      </c>
      <c r="E191" s="2" t="inlineStr">
        <is>
          <t>AIN_USDT_PERP</t>
        </is>
      </c>
      <c r="F191" s="2" t="inlineStr">
        <is>
          <t>做空</t>
        </is>
      </c>
      <c r="G191" s="17" t="n">
        <v>0.04424</v>
      </c>
      <c r="H191" s="17" t="n">
        <v>0.0429128</v>
      </c>
      <c r="I191" s="17" t="n">
        <v>0.046452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46306.08541666667</v>
      </c>
      <c r="C192" s="2" t="inlineStr">
        <is>
          <t>出場</t>
        </is>
      </c>
      <c r="D192" s="2" t="n">
        <v>95</v>
      </c>
      <c r="E192" s="2" t="inlineStr">
        <is>
          <t>AIN_USDT_PERP</t>
        </is>
      </c>
      <c r="F192" s="2" t="inlineStr">
        <is>
          <t>做空</t>
        </is>
      </c>
      <c r="G192" s="17" t="n">
        <v>0.04424</v>
      </c>
      <c r="H192" s="17" t="n">
        <v>0.0429128</v>
      </c>
      <c r="I192" s="17" t="n">
        <v>0.046452</v>
      </c>
      <c r="J192" s="17" t="n">
        <v>0.0429128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</sheetData>
  <autoFilter ref="A1:Z192"/>
  <conditionalFormatting sqref="K2:K19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9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9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2026-10-11 07:37（Dry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IFERROR(AVERAGE(交易明細!$AC$2:$AC$96),(B6+2*B7)/(B5+B6))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9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46299.47361111111</v>
      </c>
      <c r="I56" s="17" t="n">
        <v>0.0255654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/>
      <c r="O56" s="4" t="n"/>
      <c r="P56" s="4" t="n"/>
      <c r="Q56" s="19" t="n"/>
      <c r="R56" s="19" t="n"/>
      <c r="S56" s="4" t="n">
        <v>0.008008871365204562</v>
      </c>
      <c r="T56" s="4" t="n">
        <v>0.05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  <row r="57">
      <c r="A57" s="2" t="n">
        <v>56</v>
      </c>
      <c r="B57" s="2" t="inlineStr">
        <is>
          <t>AIO_USDT_PERP</t>
        </is>
      </c>
      <c r="C57" s="2" t="inlineStr">
        <is>
          <t>做空</t>
        </is>
      </c>
      <c r="D57" s="7" t="n">
        <v>46299.17013888889</v>
      </c>
      <c r="E57" s="17" t="n">
        <v>0.04316</v>
      </c>
      <c r="F57" s="17" t="n">
        <v>0.0418652</v>
      </c>
      <c r="G57" s="17" t="n">
        <v>0.045318</v>
      </c>
      <c r="H57" s="7" t="n">
        <v>46299.17291666667</v>
      </c>
      <c r="I57" s="17" t="n">
        <v>0.0418652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/>
      <c r="O57" s="4" t="n"/>
      <c r="P57" s="4" t="n"/>
      <c r="Q57" s="19" t="n"/>
      <c r="R57" s="19" t="n"/>
      <c r="S57" s="4" t="n">
        <v>0.03</v>
      </c>
      <c r="T57" s="4" t="n">
        <v>0.0004633920296572835</v>
      </c>
      <c r="U57" s="16" t="n"/>
      <c r="V57" s="16" t="n"/>
      <c r="W57" s="4" t="n"/>
      <c r="X57" s="4" t="n"/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0.07841140529531576</v>
      </c>
      <c r="AE57" s="2" t="n">
        <v>0.6146924186367342</v>
      </c>
      <c r="AF57" s="2" t="inlineStr">
        <is>
          <t>15分0.5倍</t>
        </is>
      </c>
      <c r="AG57" s="2" t="n">
        <v>0.005123428039124356</v>
      </c>
      <c r="AH57" s="2" t="n">
        <v>5</v>
      </c>
    </row>
    <row r="58">
      <c r="A58" s="2" t="n">
        <v>57</v>
      </c>
      <c r="B58" s="2" t="inlineStr">
        <is>
          <t>ESP_USDT_PERP</t>
        </is>
      </c>
      <c r="C58" s="2" t="inlineStr">
        <is>
          <t>做空</t>
        </is>
      </c>
      <c r="D58" s="7" t="n">
        <v>46299.43472222222</v>
      </c>
      <c r="E58" s="17" t="n">
        <v>0.10926</v>
      </c>
      <c r="F58" s="17" t="n">
        <v>0.1059822</v>
      </c>
      <c r="G58" s="17" t="n">
        <v>0.114723</v>
      </c>
      <c r="H58" s="7" t="n">
        <v>46299.43680555555</v>
      </c>
      <c r="I58" s="17" t="n">
        <v>0.114723</v>
      </c>
      <c r="J58" s="2" t="inlineStr">
        <is>
          <t>止損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/>
      <c r="O58" s="4" t="n"/>
      <c r="P58" s="4" t="n"/>
      <c r="Q58" s="19" t="n"/>
      <c r="R58" s="19" t="n"/>
      <c r="S58" s="4" t="n">
        <v>0.009244005125388921</v>
      </c>
      <c r="T58" s="4" t="n">
        <v>0.05</v>
      </c>
      <c r="U58" s="16" t="n"/>
      <c r="V58" s="16" t="n"/>
      <c r="W58" s="4" t="n"/>
      <c r="X58" s="4" t="n"/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0.06615399783101639</v>
      </c>
      <c r="AE58" s="2" t="n">
        <v>1.772433679354095</v>
      </c>
      <c r="AF58" s="2" t="inlineStr">
        <is>
          <t>30分1倍+15分0.5倍</t>
        </is>
      </c>
      <c r="AG58" s="2" t="n">
        <v>0.0005494505494505475</v>
      </c>
      <c r="AH58" s="2" t="n">
        <v>26</v>
      </c>
    </row>
    <row r="59">
      <c r="A59" s="2" t="n">
        <v>58</v>
      </c>
      <c r="B59" s="2" t="inlineStr">
        <is>
          <t>PROS_USDT_PERP</t>
        </is>
      </c>
      <c r="C59" s="2" t="inlineStr">
        <is>
          <t>做空</t>
        </is>
      </c>
      <c r="D59" s="7" t="n">
        <v>46299.51805555556</v>
      </c>
      <c r="E59" s="17" t="n">
        <v>0.792</v>
      </c>
      <c r="F59" s="17" t="n">
        <v>0.76824</v>
      </c>
      <c r="G59" s="17" t="n">
        <v>0.8316000000000001</v>
      </c>
      <c r="H59" s="7" t="n">
        <v>46300.33541666667</v>
      </c>
      <c r="I59" s="17" t="n">
        <v>0.8316000000000001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/>
      <c r="O59" s="4" t="n"/>
      <c r="P59" s="4" t="n"/>
      <c r="Q59" s="19" t="n"/>
      <c r="R59" s="19" t="n"/>
      <c r="S59" s="4" t="n">
        <v>0.02335858585858597</v>
      </c>
      <c r="T59" s="4" t="n">
        <v>0.05</v>
      </c>
      <c r="U59" s="16" t="n"/>
      <c r="V59" s="16" t="n"/>
      <c r="W59" s="4" t="n"/>
      <c r="X59" s="4" t="n"/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0.0684357541899443</v>
      </c>
      <c r="AE59" s="2" t="n">
        <v>2.94275161588181</v>
      </c>
      <c r="AF59" s="2" t="inlineStr">
        <is>
          <t>2倍+30分1倍</t>
        </is>
      </c>
      <c r="AG59" s="2" t="n">
        <v>0.02643856920684295</v>
      </c>
      <c r="AH59" s="2" t="n">
        <v>26</v>
      </c>
    </row>
    <row r="60">
      <c r="A60" s="2" t="n">
        <v>59</v>
      </c>
      <c r="B60" s="2" t="inlineStr">
        <is>
          <t>BAT_USDT_PERP</t>
        </is>
      </c>
      <c r="C60" s="2" t="inlineStr">
        <is>
          <t>做空</t>
        </is>
      </c>
      <c r="D60" s="7" t="n">
        <v>46299.67083333333</v>
      </c>
      <c r="E60" s="17" t="n">
        <v>0.1071</v>
      </c>
      <c r="F60" s="17" t="n">
        <v>0.103887</v>
      </c>
      <c r="G60" s="17" t="n">
        <v>0.112455</v>
      </c>
      <c r="H60" s="7" t="n">
        <v>46299.69722222222</v>
      </c>
      <c r="I60" s="17" t="n">
        <v>0.103887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/>
      <c r="O60" s="4" t="n"/>
      <c r="P60" s="4" t="n"/>
      <c r="Q60" s="19" t="n"/>
      <c r="R60" s="19" t="n"/>
      <c r="S60" s="4" t="n">
        <v>0.03</v>
      </c>
      <c r="T60" s="4" t="n">
        <v>0.02521008403361336</v>
      </c>
      <c r="U60" s="16" t="n"/>
      <c r="V60" s="16" t="n"/>
      <c r="W60" s="4" t="n"/>
      <c r="X60" s="4" t="n"/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0.06619859578736209</v>
      </c>
      <c r="AE60" s="2" t="n">
        <v>0.7044967677291901</v>
      </c>
      <c r="AF60" s="2" t="inlineStr">
        <is>
          <t>15分0.5倍</t>
        </is>
      </c>
      <c r="AG60" s="2" t="n">
        <v>0.002808988764044784</v>
      </c>
      <c r="AH60" s="2" t="n">
        <v>6</v>
      </c>
    </row>
    <row r="61">
      <c r="A61" s="2" t="n">
        <v>60</v>
      </c>
      <c r="B61" s="2" t="inlineStr">
        <is>
          <t>LYN_USDT_PERP</t>
        </is>
      </c>
      <c r="C61" s="2" t="inlineStr">
        <is>
          <t>做空</t>
        </is>
      </c>
      <c r="D61" s="7" t="n">
        <v>46300.25763888889</v>
      </c>
      <c r="E61" s="17" t="n">
        <v>0.03564</v>
      </c>
      <c r="F61" s="17" t="n">
        <v>0.0345708</v>
      </c>
      <c r="G61" s="17" t="n">
        <v>0.037422</v>
      </c>
      <c r="H61" s="7" t="n">
        <v>46300.25972222222</v>
      </c>
      <c r="I61" s="17" t="n">
        <v>0.0345708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/>
      <c r="O61" s="4" t="n"/>
      <c r="P61" s="4" t="n"/>
      <c r="Q61" s="19" t="n"/>
      <c r="R61" s="19" t="n"/>
      <c r="S61" s="4" t="n">
        <v>0.03</v>
      </c>
      <c r="T61" s="4" t="n">
        <v>0.0145903479236813</v>
      </c>
      <c r="U61" s="16" t="n"/>
      <c r="V61" s="16" t="n"/>
      <c r="W61" s="4" t="n"/>
      <c r="X61" s="4" t="n"/>
      <c r="Y61" s="4" t="n"/>
      <c r="Z61" s="4" t="n"/>
      <c r="AA61" s="4" t="n">
        <v>0.03</v>
      </c>
      <c r="AB61" s="4" t="n">
        <v>0.05</v>
      </c>
      <c r="AC61" s="4">
        <f>(AB61+2*參數!$B$7)/(AA61+AB61)</f>
        <v/>
      </c>
      <c r="AD61" s="2" t="n">
        <v>0.07525870178739424</v>
      </c>
      <c r="AE61" s="2" t="n">
        <v>0.5330752929113959</v>
      </c>
      <c r="AF61" s="2" t="inlineStr">
        <is>
          <t>15分0.5倍</t>
        </is>
      </c>
      <c r="AG61" s="2" t="n">
        <v>0.0050761421319796</v>
      </c>
      <c r="AH61" s="2" t="n">
        <v>11</v>
      </c>
    </row>
    <row r="62">
      <c r="A62" s="2" t="n">
        <v>61</v>
      </c>
      <c r="B62" s="2" t="inlineStr">
        <is>
          <t>PONS_USDT_PERP</t>
        </is>
      </c>
      <c r="C62" s="2" t="inlineStr">
        <is>
          <t>做空</t>
        </is>
      </c>
      <c r="D62" s="7" t="n">
        <v>46300.66666666666</v>
      </c>
      <c r="E62" s="17" t="n">
        <v>0.408</v>
      </c>
      <c r="F62" s="17" t="n">
        <v>0.3957599999999999</v>
      </c>
      <c r="G62" s="17" t="n">
        <v>0.4284</v>
      </c>
      <c r="H62" s="7" t="n">
        <v>46300.77708333333</v>
      </c>
      <c r="I62" s="17" t="n">
        <v>0.3957599999999999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/>
      <c r="O62" s="4" t="n"/>
      <c r="P62" s="4" t="n"/>
      <c r="Q62" s="19" t="n"/>
      <c r="R62" s="19" t="n"/>
      <c r="S62" s="4" t="n">
        <v>0.03</v>
      </c>
      <c r="T62" s="4" t="n">
        <v>0.0137254901960786</v>
      </c>
      <c r="U62" s="16" t="n"/>
      <c r="V62" s="16" t="n"/>
      <c r="W62" s="4" t="n"/>
      <c r="X62" s="4" t="n"/>
      <c r="Y62" s="4" t="n"/>
      <c r="Z62" s="4" t="n"/>
      <c r="AA62" s="4" t="n">
        <v>0.03</v>
      </c>
      <c r="AB62" s="4" t="n">
        <v>0.05</v>
      </c>
      <c r="AC62" s="4">
        <f>(AB62+2*參數!$B$7)/(AA62+AB62)</f>
        <v/>
      </c>
      <c r="AD62" s="2" t="n">
        <v>0.06057441253263707</v>
      </c>
      <c r="AE62" s="2" t="n">
        <v>1.056726378644187</v>
      </c>
      <c r="AF62" s="2" t="inlineStr">
        <is>
          <t>15分0.5倍</t>
        </is>
      </c>
      <c r="AG62" s="2" t="n">
        <v>0.001226993865030668</v>
      </c>
      <c r="AH62" s="2" t="n">
        <v>60</v>
      </c>
    </row>
    <row r="63">
      <c r="A63" s="2" t="n">
        <v>62</v>
      </c>
      <c r="B63" s="2" t="inlineStr">
        <is>
          <t>COLLECT_USDT_PERP</t>
        </is>
      </c>
      <c r="C63" s="2" t="inlineStr">
        <is>
          <t>做空</t>
        </is>
      </c>
      <c r="D63" s="7" t="n">
        <v>46300.75694444445</v>
      </c>
      <c r="E63" s="17" t="n">
        <v>0.02532</v>
      </c>
      <c r="F63" s="17" t="n">
        <v>0.0245604</v>
      </c>
      <c r="G63" s="17" t="n">
        <v>0.026586</v>
      </c>
      <c r="H63" s="7" t="n">
        <v>46300.84027777778</v>
      </c>
      <c r="I63" s="17" t="n">
        <v>0.0245604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/>
      <c r="O63" s="4" t="n"/>
      <c r="P63" s="4" t="n"/>
      <c r="Q63" s="19" t="n"/>
      <c r="R63" s="19" t="n"/>
      <c r="S63" s="4" t="n">
        <v>0.03</v>
      </c>
      <c r="T63" s="4" t="n">
        <v>0.01224328593996837</v>
      </c>
      <c r="U63" s="16" t="n"/>
      <c r="V63" s="16" t="n"/>
      <c r="W63" s="4" t="n"/>
      <c r="X63" s="4" t="n"/>
      <c r="Y63" s="4" t="n"/>
      <c r="Z63" s="4" t="n"/>
      <c r="AA63" s="4" t="n">
        <v>0.03</v>
      </c>
      <c r="AB63" s="4" t="n">
        <v>0.05</v>
      </c>
      <c r="AC63" s="4">
        <f>(AB63+2*參數!$B$7)/(AA63+AB63)</f>
        <v/>
      </c>
      <c r="AD63" s="2" t="n">
        <v>0.07860824742268058</v>
      </c>
      <c r="AE63" s="2" t="n">
        <v>0.5674309706706291</v>
      </c>
      <c r="AF63" s="2" t="inlineStr">
        <is>
          <t>15分0.5倍</t>
        </is>
      </c>
      <c r="AG63" s="2" t="n">
        <v>0.008363201911588902</v>
      </c>
      <c r="AH63" s="2" t="n">
        <v>10</v>
      </c>
    </row>
    <row r="64">
      <c r="A64" s="2" t="n">
        <v>63</v>
      </c>
      <c r="B64" s="2" t="inlineStr">
        <is>
          <t>UP_USDT_PERP</t>
        </is>
      </c>
      <c r="C64" s="2" t="inlineStr">
        <is>
          <t>做空</t>
        </is>
      </c>
      <c r="D64" s="7" t="n">
        <v>46301.01666666667</v>
      </c>
      <c r="E64" s="17" t="n">
        <v>0.2111</v>
      </c>
      <c r="F64" s="17" t="n">
        <v>0.204767</v>
      </c>
      <c r="G64" s="17" t="n">
        <v>0.221655</v>
      </c>
      <c r="H64" s="7" t="n">
        <v>46301.08055555556</v>
      </c>
      <c r="I64" s="17" t="n">
        <v>0.221655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/>
      <c r="O64" s="4" t="n"/>
      <c r="P64" s="4" t="n"/>
      <c r="Q64" s="19" t="n"/>
      <c r="R64" s="19" t="n"/>
      <c r="S64" s="4" t="n">
        <v>0.02842254855518711</v>
      </c>
      <c r="T64" s="4" t="n">
        <v>0.05</v>
      </c>
      <c r="U64" s="16" t="n"/>
      <c r="V64" s="16" t="n"/>
      <c r="W64" s="4" t="n"/>
      <c r="X64" s="4" t="n"/>
      <c r="Y64" s="4" t="n"/>
      <c r="Z64" s="4" t="n"/>
      <c r="AA64" s="4" t="n">
        <v>0.03</v>
      </c>
      <c r="AB64" s="4" t="n">
        <v>0.05</v>
      </c>
      <c r="AC64" s="4">
        <f>(AB64+2*參數!$B$7)/(AA64+AB64)</f>
        <v/>
      </c>
      <c r="AD64" s="2" t="n">
        <v>0.0644171779141105</v>
      </c>
      <c r="AE64" s="2" t="n">
        <v>1.151302605210421</v>
      </c>
      <c r="AF64" s="2" t="inlineStr">
        <is>
          <t>30分1倍</t>
        </is>
      </c>
      <c r="AG64" s="2" t="n">
        <v>0.009082217973231499</v>
      </c>
      <c r="AH64" s="2" t="n">
        <v>24</v>
      </c>
    </row>
    <row r="65">
      <c r="A65" s="2" t="n">
        <v>64</v>
      </c>
      <c r="B65" s="2" t="inlineStr">
        <is>
          <t>UP_USDT_PERP</t>
        </is>
      </c>
      <c r="C65" s="2" t="inlineStr">
        <is>
          <t>做空</t>
        </is>
      </c>
      <c r="D65" s="7" t="n">
        <v>46301.08888888889</v>
      </c>
      <c r="E65" s="17" t="n">
        <v>0.2254</v>
      </c>
      <c r="F65" s="17" t="n">
        <v>0.218638</v>
      </c>
      <c r="G65" s="17" t="n">
        <v>0.23667</v>
      </c>
      <c r="H65" s="7" t="n">
        <v>46301.56180555555</v>
      </c>
      <c r="I65" s="17" t="n">
        <v>0.218638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/>
      <c r="O65" s="4" t="n"/>
      <c r="P65" s="4" t="n"/>
      <c r="Q65" s="19" t="n"/>
      <c r="R65" s="19" t="n"/>
      <c r="S65" s="4" t="n">
        <v>0.03</v>
      </c>
      <c r="T65" s="4" t="n">
        <v>0.03904170363797688</v>
      </c>
      <c r="U65" s="16" t="n"/>
      <c r="V65" s="16" t="n"/>
      <c r="W65" s="4" t="n"/>
      <c r="X65" s="4" t="n"/>
      <c r="Y65" s="4" t="n"/>
      <c r="Z65" s="4" t="n"/>
      <c r="AA65" s="4" t="n">
        <v>0.03</v>
      </c>
      <c r="AB65" s="4" t="n">
        <v>0.05</v>
      </c>
      <c r="AC65" s="4">
        <f>(AB65+2*參數!$B$7)/(AA65+AB65)</f>
        <v/>
      </c>
      <c r="AD65" s="2" t="n">
        <v>0.06184586108468126</v>
      </c>
      <c r="AE65" s="2" t="n">
        <v>0.6356815339724885</v>
      </c>
      <c r="AF65" s="2" t="inlineStr">
        <is>
          <t>15分0.5倍</t>
        </is>
      </c>
      <c r="AG65" s="2" t="n">
        <v>0.002669039145907437</v>
      </c>
      <c r="AH65" s="2" t="n">
        <v>8</v>
      </c>
    </row>
    <row r="66">
      <c r="A66" s="2" t="n">
        <v>65</v>
      </c>
      <c r="B66" s="2" t="inlineStr">
        <is>
          <t>BR_USDT_PERP</t>
        </is>
      </c>
      <c r="C66" s="2" t="inlineStr">
        <is>
          <t>做空</t>
        </is>
      </c>
      <c r="D66" s="7" t="n">
        <v>46301.37708333333</v>
      </c>
      <c r="E66" s="17" t="n">
        <v>0.49116</v>
      </c>
      <c r="F66" s="17" t="n">
        <v>0.4764252</v>
      </c>
      <c r="G66" s="17" t="n">
        <v>0.515718</v>
      </c>
      <c r="H66" s="7" t="n">
        <v>46301.38333333333</v>
      </c>
      <c r="I66" s="17" t="n">
        <v>0.4764252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/>
      <c r="O66" s="4" t="n"/>
      <c r="P66" s="4" t="n"/>
      <c r="Q66" s="19" t="n"/>
      <c r="R66" s="19" t="n"/>
      <c r="S66" s="4" t="n">
        <v>0.03</v>
      </c>
      <c r="T66" s="4" t="n">
        <v>0.0213372424464533</v>
      </c>
      <c r="U66" s="16" t="n"/>
      <c r="V66" s="16" t="n"/>
      <c r="W66" s="4" t="n"/>
      <c r="X66" s="4" t="n"/>
      <c r="Y66" s="4" t="n"/>
      <c r="Z66" s="4" t="n"/>
      <c r="AA66" s="4" t="n">
        <v>0.03</v>
      </c>
      <c r="AB66" s="4" t="n">
        <v>0.05</v>
      </c>
      <c r="AC66" s="4">
        <f>(AB66+2*參數!$B$7)/(AA66+AB66)</f>
        <v/>
      </c>
      <c r="AD66" s="2" t="n">
        <v>0.08849015515833414</v>
      </c>
      <c r="AE66" s="2" t="n">
        <v>0.708641884159622</v>
      </c>
      <c r="AF66" s="2" t="inlineStr">
        <is>
          <t>15分0.5倍</t>
        </is>
      </c>
      <c r="AG66" s="2" t="n">
        <v>0.01936367598530597</v>
      </c>
      <c r="AH66" s="2" t="n">
        <v>3</v>
      </c>
    </row>
    <row r="67">
      <c r="A67" s="2" t="n">
        <v>66</v>
      </c>
      <c r="B67" s="2" t="inlineStr">
        <is>
          <t>API3_USDT_PERP</t>
        </is>
      </c>
      <c r="C67" s="2" t="inlineStr">
        <is>
          <t>做空</t>
        </is>
      </c>
      <c r="D67" s="7" t="n">
        <v>46301.58819444444</v>
      </c>
      <c r="E67" s="17" t="n">
        <v>0.3394</v>
      </c>
      <c r="F67" s="17" t="n">
        <v>0.329218</v>
      </c>
      <c r="G67" s="17" t="n">
        <v>0.35637</v>
      </c>
      <c r="H67" s="7" t="n">
        <v>46301.6375</v>
      </c>
      <c r="I67" s="17" t="n">
        <v>0.35637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/>
      <c r="O67" s="4" t="n"/>
      <c r="P67" s="4" t="n"/>
      <c r="Q67" s="19" t="n"/>
      <c r="R67" s="19" t="n"/>
      <c r="S67" s="4" t="n">
        <v>0.02209781968179136</v>
      </c>
      <c r="T67" s="4" t="n">
        <v>0.05</v>
      </c>
      <c r="U67" s="16" t="n"/>
      <c r="V67" s="16" t="n"/>
      <c r="W67" s="4" t="n"/>
      <c r="X67" s="4" t="n"/>
      <c r="Y67" s="4" t="n"/>
      <c r="Z67" s="4" t="n"/>
      <c r="AA67" s="4" t="n">
        <v>0.03</v>
      </c>
      <c r="AB67" s="4" t="n">
        <v>0.05</v>
      </c>
      <c r="AC67" s="4">
        <f>(AB67+2*參數!$B$7)/(AA67+AB67)</f>
        <v/>
      </c>
      <c r="AD67" s="2" t="n">
        <v>0.06979695431472077</v>
      </c>
      <c r="AE67" s="2" t="n">
        <v>0.7502954490479975</v>
      </c>
      <c r="AF67" s="2" t="inlineStr">
        <is>
          <t>15分0.5倍</t>
        </is>
      </c>
      <c r="AG67" s="2" t="n">
        <v>0.001179941002949825</v>
      </c>
      <c r="AH67" s="2" t="n">
        <v>7</v>
      </c>
    </row>
    <row r="68">
      <c r="A68" s="2" t="n">
        <v>67</v>
      </c>
      <c r="B68" s="2" t="inlineStr">
        <is>
          <t>BR_USDT_PERP</t>
        </is>
      </c>
      <c r="C68" s="2" t="inlineStr">
        <is>
          <t>做空</t>
        </is>
      </c>
      <c r="D68" s="7" t="n">
        <v>46301.64513888889</v>
      </c>
      <c r="E68" s="17" t="n">
        <v>0.4395</v>
      </c>
      <c r="F68" s="17" t="n">
        <v>0.426315</v>
      </c>
      <c r="G68" s="17" t="n">
        <v>0.461475</v>
      </c>
      <c r="H68" s="7" t="n">
        <v>46301.66180555556</v>
      </c>
      <c r="I68" s="17" t="n">
        <v>0.461475</v>
      </c>
      <c r="J68" s="2" t="inlineStr">
        <is>
          <t>止損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/>
      <c r="O68" s="4" t="n"/>
      <c r="P68" s="4" t="n"/>
      <c r="Q68" s="19" t="n"/>
      <c r="R68" s="19" t="n"/>
      <c r="S68" s="4" t="n">
        <v>0.009920364050056807</v>
      </c>
      <c r="T68" s="4" t="n">
        <v>0.05</v>
      </c>
      <c r="U68" s="16" t="n"/>
      <c r="V68" s="16" t="n"/>
      <c r="W68" s="4" t="n"/>
      <c r="X68" s="4" t="n"/>
      <c r="Y68" s="4" t="n"/>
      <c r="Z68" s="4" t="n"/>
      <c r="AA68" s="4" t="n">
        <v>0.03</v>
      </c>
      <c r="AB68" s="4" t="n">
        <v>0.05</v>
      </c>
      <c r="AC68" s="4">
        <f>(AB68+2*參數!$B$7)/(AA68+AB68)</f>
        <v/>
      </c>
      <c r="AD68" s="2" t="n">
        <v>0.06935117394597312</v>
      </c>
      <c r="AE68" s="2" t="n">
        <v>1.001355777652465</v>
      </c>
      <c r="AF68" s="2" t="inlineStr">
        <is>
          <t>30分1倍</t>
        </is>
      </c>
      <c r="AG68" s="2" t="n">
        <v>0.03506747368173158</v>
      </c>
      <c r="AH68" s="2" t="n">
        <v>29</v>
      </c>
    </row>
    <row r="69">
      <c r="A69" s="2" t="n">
        <v>68</v>
      </c>
      <c r="B69" s="2" t="inlineStr">
        <is>
          <t>BR_USDT_PERP</t>
        </is>
      </c>
      <c r="C69" s="2" t="inlineStr">
        <is>
          <t>做空</t>
        </is>
      </c>
      <c r="D69" s="7" t="n">
        <v>46301.67083333333</v>
      </c>
      <c r="E69" s="17" t="n">
        <v>0.53503</v>
      </c>
      <c r="F69" s="17" t="n">
        <v>0.5189791</v>
      </c>
      <c r="G69" s="17" t="n">
        <v>0.5617815</v>
      </c>
      <c r="H69" s="7" t="n">
        <v>46301.67152777778</v>
      </c>
      <c r="I69" s="17" t="n">
        <v>0.5189791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/>
      <c r="O69" s="4" t="n"/>
      <c r="P69" s="4" t="n"/>
      <c r="Q69" s="19" t="n"/>
      <c r="R69" s="19" t="n"/>
      <c r="S69" s="4" t="n">
        <v>0.03</v>
      </c>
      <c r="T69" s="4" t="n">
        <v>0</v>
      </c>
      <c r="U69" s="16" t="n"/>
      <c r="V69" s="16" t="n"/>
      <c r="W69" s="4" t="n"/>
      <c r="X69" s="4" t="n"/>
      <c r="Y69" s="4" t="n"/>
      <c r="Z69" s="4" t="n"/>
      <c r="AA69" s="4" t="n">
        <v>0.03</v>
      </c>
      <c r="AB69" s="4" t="n">
        <v>0.05</v>
      </c>
      <c r="AC69" s="4">
        <f>(AB69+2*參數!$B$7)/(AA69+AB69)</f>
        <v/>
      </c>
      <c r="AD69" s="2" t="n">
        <v>0.2525438534362678</v>
      </c>
      <c r="AE69" s="2" t="n">
        <v>0.543756508666477</v>
      </c>
      <c r="AF69" s="2" t="inlineStr">
        <is>
          <t>15分0.5倍</t>
        </is>
      </c>
      <c r="AG69" s="2" t="n">
        <v>0.007039469969319923</v>
      </c>
      <c r="AH69" s="2" t="n">
        <v>6</v>
      </c>
    </row>
    <row r="70">
      <c r="A70" s="2" t="n">
        <v>69</v>
      </c>
      <c r="B70" s="2" t="inlineStr">
        <is>
          <t>US_USDT_PERP</t>
        </is>
      </c>
      <c r="C70" s="2" t="inlineStr">
        <is>
          <t>做空</t>
        </is>
      </c>
      <c r="D70" s="7" t="n">
        <v>46301.67152777778</v>
      </c>
      <c r="E70" s="17" t="n">
        <v>0.01211</v>
      </c>
      <c r="F70" s="17" t="n">
        <v>0.0117467</v>
      </c>
      <c r="G70" s="17" t="n">
        <v>0.0127155</v>
      </c>
      <c r="H70" s="7" t="n">
        <v>46301.67430555556</v>
      </c>
      <c r="I70" s="17" t="n">
        <v>0.0127155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/>
      <c r="O70" s="4" t="n"/>
      <c r="P70" s="4" t="n"/>
      <c r="Q70" s="19" t="n"/>
      <c r="R70" s="19" t="n"/>
      <c r="S70" s="4" t="n">
        <v>0</v>
      </c>
      <c r="T70" s="4" t="n">
        <v>0.05</v>
      </c>
      <c r="U70" s="16" t="n"/>
      <c r="V70" s="16" t="n"/>
      <c r="W70" s="4" t="n"/>
      <c r="X70" s="4" t="n"/>
      <c r="Y70" s="4" t="n"/>
      <c r="Z70" s="4" t="n"/>
      <c r="AA70" s="4" t="n">
        <v>0.03</v>
      </c>
      <c r="AB70" s="4" t="n">
        <v>0.05</v>
      </c>
      <c r="AC70" s="4">
        <f>(AB70+2*參數!$B$7)/(AA70+AB70)</f>
        <v/>
      </c>
      <c r="AD70" s="2" t="n">
        <v>0.07059874888293116</v>
      </c>
      <c r="AE70" s="2" t="n">
        <v>0.5198921324867112</v>
      </c>
      <c r="AF70" s="2" t="inlineStr">
        <is>
          <t>15分0.5倍</t>
        </is>
      </c>
      <c r="AG70" s="2" t="n">
        <v>0.001654259718775863</v>
      </c>
      <c r="AH70" s="2" t="n">
        <v>7</v>
      </c>
    </row>
    <row r="71">
      <c r="A71" s="2" t="n">
        <v>70</v>
      </c>
      <c r="B71" s="2" t="inlineStr">
        <is>
          <t>BR_USDT_PERP</t>
        </is>
      </c>
      <c r="C71" s="2" t="inlineStr">
        <is>
          <t>做空</t>
        </is>
      </c>
      <c r="D71" s="7" t="n">
        <v>46301.75555555556</v>
      </c>
      <c r="E71" s="17" t="n">
        <v>0.66466</v>
      </c>
      <c r="F71" s="17" t="n">
        <v>0.6447202</v>
      </c>
      <c r="G71" s="17" t="n">
        <v>0.6978930000000001</v>
      </c>
      <c r="H71" s="7" t="n">
        <v>46301.75763888889</v>
      </c>
      <c r="I71" s="17" t="n">
        <v>0.6447202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/>
      <c r="O71" s="4" t="n"/>
      <c r="P71" s="4" t="n"/>
      <c r="Q71" s="19" t="n"/>
      <c r="R71" s="19" t="n"/>
      <c r="S71" s="4" t="n">
        <v>0.03</v>
      </c>
      <c r="T71" s="4" t="n">
        <v>0.003731231005325908</v>
      </c>
      <c r="U71" s="16" t="n"/>
      <c r="V71" s="16" t="n"/>
      <c r="W71" s="4" t="n"/>
      <c r="X71" s="4" t="n"/>
      <c r="Y71" s="4" t="n"/>
      <c r="Z71" s="4" t="n"/>
      <c r="AA71" s="4" t="n">
        <v>0.03</v>
      </c>
      <c r="AB71" s="4" t="n">
        <v>0.05</v>
      </c>
      <c r="AC71" s="4">
        <f>(AB71+2*參數!$B$7)/(AA71+AB71)</f>
        <v/>
      </c>
      <c r="AD71" s="2" t="n">
        <v>0.2234400061101351</v>
      </c>
      <c r="AE71" s="2" t="n">
        <v>0.5214084370674689</v>
      </c>
      <c r="AF71" s="2" t="inlineStr">
        <is>
          <t>15分0.5倍</t>
        </is>
      </c>
      <c r="AG71" s="2" t="n">
        <v>0.02931565824725513</v>
      </c>
      <c r="AH71" s="2" t="n">
        <v>8</v>
      </c>
    </row>
    <row r="72">
      <c r="A72" s="2" t="n">
        <v>71</v>
      </c>
      <c r="B72" s="2" t="inlineStr">
        <is>
          <t>BULLA_USDT_PERP</t>
        </is>
      </c>
      <c r="C72" s="2" t="inlineStr">
        <is>
          <t>做空</t>
        </is>
      </c>
      <c r="D72" s="7" t="n">
        <v>46301.99236111111</v>
      </c>
      <c r="E72" s="17" t="n">
        <v>0.09991999999999999</v>
      </c>
      <c r="F72" s="17" t="n">
        <v>0.09692239999999999</v>
      </c>
      <c r="G72" s="17" t="n">
        <v>0.104916</v>
      </c>
      <c r="H72" s="7" t="n">
        <v>46302.01875</v>
      </c>
      <c r="I72" s="17" t="n">
        <v>0.09692239999999999</v>
      </c>
      <c r="J72" s="2" t="inlineStr">
        <is>
          <t>止盈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/>
      <c r="O72" s="4" t="n"/>
      <c r="P72" s="4" t="n"/>
      <c r="Q72" s="19" t="n"/>
      <c r="R72" s="19" t="n"/>
      <c r="S72" s="4" t="n">
        <v>0.03</v>
      </c>
      <c r="T72" s="4" t="n">
        <v>0.04843875100080086</v>
      </c>
      <c r="U72" s="16" t="n"/>
      <c r="V72" s="16" t="n"/>
      <c r="W72" s="4" t="n"/>
      <c r="X72" s="4" t="n"/>
      <c r="Y72" s="4" t="n"/>
      <c r="Z72" s="4" t="n"/>
      <c r="AA72" s="4" t="n">
        <v>0.03</v>
      </c>
      <c r="AB72" s="4" t="n">
        <v>0.05</v>
      </c>
      <c r="AC72" s="4">
        <f>(AB72+2*參數!$B$7)/(AA72+AB72)</f>
        <v/>
      </c>
      <c r="AD72" s="2" t="n">
        <v>0.06498555876471879</v>
      </c>
      <c r="AE72" s="2" t="n">
        <v>2.100989669869248</v>
      </c>
      <c r="AF72" s="2" t="inlineStr">
        <is>
          <t>2倍</t>
        </is>
      </c>
      <c r="AG72" s="2" t="n">
        <v>0.04202732297424117</v>
      </c>
      <c r="AH72" s="2" t="n">
        <v>49</v>
      </c>
    </row>
    <row r="73">
      <c r="A73" s="2" t="n">
        <v>72</v>
      </c>
      <c r="B73" s="2" t="inlineStr">
        <is>
          <t>MAGIC_USDT_PERP</t>
        </is>
      </c>
      <c r="C73" s="2" t="inlineStr">
        <is>
          <t>做空</t>
        </is>
      </c>
      <c r="D73" s="7" t="n">
        <v>46302.25625</v>
      </c>
      <c r="E73" s="17" t="n">
        <v>0.0727</v>
      </c>
      <c r="F73" s="17" t="n">
        <v>0.070519</v>
      </c>
      <c r="G73" s="17" t="n">
        <v>0.076335</v>
      </c>
      <c r="H73" s="7" t="n">
        <v>46302.25833333333</v>
      </c>
      <c r="I73" s="17" t="n">
        <v>0.070519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/>
      <c r="O73" s="4" t="n"/>
      <c r="P73" s="4" t="n"/>
      <c r="Q73" s="19" t="n"/>
      <c r="R73" s="19" t="n"/>
      <c r="S73" s="4" t="n">
        <v>0.03</v>
      </c>
      <c r="T73" s="4" t="n">
        <v>0</v>
      </c>
      <c r="U73" s="16" t="n"/>
      <c r="V73" s="16" t="n"/>
      <c r="W73" s="4" t="n"/>
      <c r="X73" s="4" t="n"/>
      <c r="Y73" s="4" t="n"/>
      <c r="Z73" s="4" t="n"/>
      <c r="AA73" s="4" t="n">
        <v>0.03</v>
      </c>
      <c r="AB73" s="4" t="n">
        <v>0.05</v>
      </c>
      <c r="AC73" s="4">
        <f>(AB73+2*參數!$B$7)/(AA73+AB73)</f>
        <v/>
      </c>
      <c r="AD73" s="2" t="n">
        <v>0.06101190476190488</v>
      </c>
      <c r="AE73" s="2" t="n">
        <v>0.5164181948342176</v>
      </c>
      <c r="AF73" s="2" t="inlineStr">
        <is>
          <t>15分0.5倍</t>
        </is>
      </c>
      <c r="AG73" s="2" t="n">
        <v>0.0182072829131652</v>
      </c>
      <c r="AH73" s="2" t="n">
        <v>9</v>
      </c>
    </row>
    <row r="74">
      <c r="A74" s="2" t="n">
        <v>73</v>
      </c>
      <c r="B74" s="2" t="inlineStr">
        <is>
          <t>TA_USDT_PERP</t>
        </is>
      </c>
      <c r="C74" s="2" t="inlineStr">
        <is>
          <t>做空</t>
        </is>
      </c>
      <c r="D74" s="7" t="n">
        <v>46302.98472222222</v>
      </c>
      <c r="E74" s="17" t="n">
        <v>0.06662999999999999</v>
      </c>
      <c r="F74" s="17" t="n">
        <v>0.0646311</v>
      </c>
      <c r="G74" s="17" t="n">
        <v>0.0699615</v>
      </c>
      <c r="H74" s="7" t="n">
        <v>46302.98819444444</v>
      </c>
      <c r="I74" s="17" t="n">
        <v>0.0646311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/>
      <c r="O74" s="4" t="n"/>
      <c r="P74" s="4" t="n"/>
      <c r="Q74" s="19" t="n"/>
      <c r="R74" s="19" t="n"/>
      <c r="S74" s="4" t="n">
        <v>0.03</v>
      </c>
      <c r="T74" s="4" t="n">
        <v>0</v>
      </c>
      <c r="U74" s="16" t="n"/>
      <c r="V74" s="16" t="n"/>
      <c r="W74" s="4" t="n"/>
      <c r="X74" s="4" t="n"/>
      <c r="Y74" s="4" t="n"/>
      <c r="Z74" s="4" t="n"/>
      <c r="AA74" s="4" t="n">
        <v>0.03</v>
      </c>
      <c r="AB74" s="4" t="n">
        <v>0.05</v>
      </c>
      <c r="AC74" s="4">
        <f>(AB74+2*參數!$B$7)/(AA74+AB74)</f>
        <v/>
      </c>
      <c r="AD74" s="2" t="n">
        <v>0.2452129738178974</v>
      </c>
      <c r="AE74" s="2" t="n">
        <v>1.856840940884548</v>
      </c>
      <c r="AF74" s="2" t="inlineStr">
        <is>
          <t>30分1倍+15分0.5倍</t>
        </is>
      </c>
      <c r="AG74" s="2" t="n">
        <v>0.0004504504504503348</v>
      </c>
      <c r="AH74" s="2" t="n">
        <v>38</v>
      </c>
    </row>
    <row r="75">
      <c r="A75" s="2" t="n">
        <v>74</v>
      </c>
      <c r="B75" s="2" t="inlineStr">
        <is>
          <t>MANA_USDT_PERP</t>
        </is>
      </c>
      <c r="C75" s="2" t="inlineStr">
        <is>
          <t>做空</t>
        </is>
      </c>
      <c r="D75" s="7" t="n">
        <v>46303.00833333333</v>
      </c>
      <c r="E75" s="17" t="n">
        <v>0.1074</v>
      </c>
      <c r="F75" s="17" t="n">
        <v>0.104178</v>
      </c>
      <c r="G75" s="17" t="n">
        <v>0.11277</v>
      </c>
      <c r="H75" s="7" t="n">
        <v>46303.06319444445</v>
      </c>
      <c r="I75" s="17" t="n">
        <v>0.104178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/>
      <c r="O75" s="4" t="n"/>
      <c r="P75" s="4" t="n"/>
      <c r="Q75" s="19" t="n"/>
      <c r="R75" s="19" t="n"/>
      <c r="S75" s="4" t="n">
        <v>0.03</v>
      </c>
      <c r="T75" s="4" t="n">
        <v>0.01955307262569828</v>
      </c>
      <c r="U75" s="16" t="n"/>
      <c r="V75" s="16" t="n"/>
      <c r="W75" s="4" t="n"/>
      <c r="X75" s="4" t="n"/>
      <c r="Y75" s="4" t="n"/>
      <c r="Z75" s="4" t="n"/>
      <c r="AA75" s="4" t="n">
        <v>0.03</v>
      </c>
      <c r="AB75" s="4" t="n">
        <v>0.05</v>
      </c>
      <c r="AC75" s="4">
        <f>(AB75+2*參數!$B$7)/(AA75+AB75)</f>
        <v/>
      </c>
      <c r="AD75" s="2" t="n">
        <v>0.07021063189568721</v>
      </c>
      <c r="AE75" s="2" t="n">
        <v>0.5816697432774468</v>
      </c>
      <c r="AF75" s="2" t="inlineStr">
        <is>
          <t>15分0.5倍</t>
        </is>
      </c>
      <c r="AG75" s="2" t="n">
        <v>0.002801120448179262</v>
      </c>
      <c r="AH75" s="2" t="n">
        <v>12</v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46303.05069444444</v>
      </c>
      <c r="E76" s="17" t="n">
        <v>0.00655</v>
      </c>
      <c r="F76" s="17" t="n">
        <v>0.0063535</v>
      </c>
      <c r="G76" s="17" t="n">
        <v>0.006877500000000001</v>
      </c>
      <c r="H76" s="7" t="n">
        <v>46303.06319444445</v>
      </c>
      <c r="I76" s="17" t="n">
        <v>0.0063535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/>
      <c r="O76" s="4" t="n"/>
      <c r="P76" s="4" t="n"/>
      <c r="Q76" s="19" t="n"/>
      <c r="R76" s="19" t="n"/>
      <c r="S76" s="4" t="n">
        <v>0.03</v>
      </c>
      <c r="T76" s="4" t="n">
        <v>0.04885496183206106</v>
      </c>
      <c r="U76" s="16" t="n"/>
      <c r="V76" s="16" t="n"/>
      <c r="W76" s="4" t="n"/>
      <c r="X76" s="4" t="n"/>
      <c r="Y76" s="4" t="n"/>
      <c r="Z76" s="4" t="n"/>
      <c r="AA76" s="4" t="n">
        <v>0.03</v>
      </c>
      <c r="AB76" s="4" t="n">
        <v>0.05</v>
      </c>
      <c r="AC76" s="4">
        <f>(AB76+2*參數!$B$7)/(AA76+AB76)</f>
        <v/>
      </c>
      <c r="AD76" s="2" t="n">
        <v>0.07588532883642496</v>
      </c>
      <c r="AE76" s="2" t="n">
        <v>0.750433184847194</v>
      </c>
      <c r="AF76" s="2" t="inlineStr">
        <is>
          <t>15分0.5倍</t>
        </is>
      </c>
      <c r="AG76" s="2" t="n">
        <v>0.00152905198776776</v>
      </c>
      <c r="AH76" s="2" t="n">
        <v>13</v>
      </c>
    </row>
    <row r="77">
      <c r="A77" s="2" t="n">
        <v>76</v>
      </c>
      <c r="B77" s="2" t="inlineStr">
        <is>
          <t>MET_USDT_PERP</t>
        </is>
      </c>
      <c r="C77" s="2" t="inlineStr">
        <is>
          <t>做空</t>
        </is>
      </c>
      <c r="D77" s="7" t="n">
        <v>46303.075</v>
      </c>
      <c r="E77" s="17" t="n">
        <v>0.3856</v>
      </c>
      <c r="F77" s="17" t="n">
        <v>0.374032</v>
      </c>
      <c r="G77" s="17" t="n">
        <v>0.40488</v>
      </c>
      <c r="H77" s="7" t="n">
        <v>46303.08541666667</v>
      </c>
      <c r="I77" s="17" t="n">
        <v>0.40488</v>
      </c>
      <c r="J77" s="2" t="inlineStr">
        <is>
          <t>止損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/>
      <c r="O77" s="4" t="n"/>
      <c r="P77" s="4" t="n"/>
      <c r="Q77" s="19" t="n"/>
      <c r="R77" s="19" t="n"/>
      <c r="S77" s="4" t="n">
        <v>0.01659751037344404</v>
      </c>
      <c r="T77" s="4" t="n">
        <v>0.05</v>
      </c>
      <c r="U77" s="16" t="n"/>
      <c r="V77" s="16" t="n"/>
      <c r="W77" s="4" t="n"/>
      <c r="X77" s="4" t="n"/>
      <c r="Y77" s="4" t="n"/>
      <c r="Z77" s="4" t="n"/>
      <c r="AA77" s="4" t="n">
        <v>0.03</v>
      </c>
      <c r="AB77" s="4" t="n">
        <v>0.05</v>
      </c>
      <c r="AC77" s="4">
        <f>(AB77+2*參數!$B$7)/(AA77+AB77)</f>
        <v/>
      </c>
      <c r="AD77" s="2" t="n">
        <v>0.09535304767652386</v>
      </c>
      <c r="AE77" s="2" t="n">
        <v>2.006624781849913</v>
      </c>
      <c r="AF77" s="2" t="inlineStr">
        <is>
          <t>2倍</t>
        </is>
      </c>
      <c r="AG77" s="2" t="n">
        <v>0.06079779917469064</v>
      </c>
      <c r="AH77" s="2" t="n">
        <v>48</v>
      </c>
    </row>
    <row r="78">
      <c r="A78" s="2" t="n">
        <v>77</v>
      </c>
      <c r="B78" s="2" t="inlineStr">
        <is>
          <t>MET_USDT_PERP</t>
        </is>
      </c>
      <c r="C78" s="2" t="inlineStr">
        <is>
          <t>做空</t>
        </is>
      </c>
      <c r="D78" s="7" t="n">
        <v>46303.08819444444</v>
      </c>
      <c r="E78" s="17" t="n">
        <v>0.4164</v>
      </c>
      <c r="F78" s="17" t="n">
        <v>0.403908</v>
      </c>
      <c r="G78" s="17" t="n">
        <v>0.43722</v>
      </c>
      <c r="H78" s="7" t="n">
        <v>46303.08888888889</v>
      </c>
      <c r="I78" s="17" t="n">
        <v>0.43722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/>
      <c r="O78" s="4" t="n"/>
      <c r="P78" s="4" t="n"/>
      <c r="Q78" s="19" t="n"/>
      <c r="R78" s="19" t="n"/>
      <c r="S78" s="4" t="n">
        <v>0</v>
      </c>
      <c r="T78" s="4" t="n">
        <v>0.05</v>
      </c>
      <c r="U78" s="16" t="n"/>
      <c r="V78" s="16" t="n"/>
      <c r="W78" s="4" t="n"/>
      <c r="X78" s="4" t="n"/>
      <c r="Y78" s="4" t="n"/>
      <c r="Z78" s="4" t="n"/>
      <c r="AA78" s="4" t="n">
        <v>0.03</v>
      </c>
      <c r="AB78" s="4" t="n">
        <v>0.05</v>
      </c>
      <c r="AC78" s="4">
        <f>(AB78+2*參數!$B$7)/(AA78+AB78)</f>
        <v/>
      </c>
      <c r="AD78" s="2" t="n">
        <v>0.09338842975206618</v>
      </c>
      <c r="AE78" s="2" t="n">
        <v>0.5237214660320733</v>
      </c>
      <c r="AF78" s="2" t="inlineStr">
        <is>
          <t>15分0.5倍</t>
        </is>
      </c>
      <c r="AG78" s="2" t="n">
        <v>0.04702036711088753</v>
      </c>
      <c r="AH78" s="2" t="n">
        <v>7</v>
      </c>
    </row>
    <row r="79">
      <c r="A79" s="2" t="n">
        <v>78</v>
      </c>
      <c r="B79" s="2" t="inlineStr">
        <is>
          <t>W_USDT_PERP</t>
        </is>
      </c>
      <c r="C79" s="2" t="inlineStr">
        <is>
          <t>做空</t>
        </is>
      </c>
      <c r="D79" s="7" t="n">
        <v>46303.38125</v>
      </c>
      <c r="E79" s="17" t="n">
        <v>0.01737</v>
      </c>
      <c r="F79" s="17" t="n">
        <v>0.0168489</v>
      </c>
      <c r="G79" s="17" t="n">
        <v>0.0182385</v>
      </c>
      <c r="H79" s="7" t="n">
        <v>46303.38541666666</v>
      </c>
      <c r="I79" s="17" t="n">
        <v>0.0168489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/>
      <c r="O79" s="4" t="n"/>
      <c r="P79" s="4" t="n"/>
      <c r="Q79" s="19" t="n"/>
      <c r="R79" s="19" t="n"/>
      <c r="S79" s="4" t="n">
        <v>0.03</v>
      </c>
      <c r="T79" s="4" t="n">
        <v>0.001151410477835402</v>
      </c>
      <c r="U79" s="16" t="n"/>
      <c r="V79" s="16" t="n"/>
      <c r="W79" s="4" t="n"/>
      <c r="X79" s="4" t="n"/>
      <c r="Y79" s="4" t="n"/>
      <c r="Z79" s="4" t="n"/>
      <c r="AA79" s="4" t="n">
        <v>0.03</v>
      </c>
      <c r="AB79" s="4" t="n">
        <v>0.05</v>
      </c>
      <c r="AC79" s="4">
        <f>(AB79+2*參數!$B$7)/(AA79+AB79)</f>
        <v/>
      </c>
      <c r="AD79" s="2" t="n">
        <v>0.06695598264104152</v>
      </c>
      <c r="AE79" s="2" t="n">
        <v>0.5985578940138706</v>
      </c>
      <c r="AF79" s="2" t="inlineStr">
        <is>
          <t>15分0.5倍</t>
        </is>
      </c>
      <c r="AG79" s="2" t="n">
        <v>0.008710801393728262</v>
      </c>
      <c r="AH79" s="2" t="n">
        <v>9</v>
      </c>
    </row>
    <row r="80">
      <c r="A80" s="2" t="n">
        <v>79</v>
      </c>
      <c r="B80" s="2" t="inlineStr">
        <is>
          <t>ACE_USDT_PERP</t>
        </is>
      </c>
      <c r="C80" s="2" t="inlineStr">
        <is>
          <t>做空</t>
        </is>
      </c>
      <c r="D80" s="7" t="n">
        <v>46303.41388888889</v>
      </c>
      <c r="E80" s="17" t="n">
        <v>0.19347</v>
      </c>
      <c r="F80" s="17" t="n">
        <v>0.1876659</v>
      </c>
      <c r="G80" s="17" t="n">
        <v>0.2031435</v>
      </c>
      <c r="H80" s="7" t="n">
        <v>46303.41736111111</v>
      </c>
      <c r="I80" s="17" t="n">
        <v>0.1876659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/>
      <c r="O80" s="4" t="n"/>
      <c r="P80" s="4" t="n"/>
      <c r="Q80" s="19" t="n"/>
      <c r="R80" s="19" t="n"/>
      <c r="S80" s="4" t="n">
        <v>0.03</v>
      </c>
      <c r="T80" s="4" t="n">
        <v>0.001240502403473398</v>
      </c>
      <c r="U80" s="16" t="n"/>
      <c r="V80" s="16" t="n"/>
      <c r="W80" s="4" t="n"/>
      <c r="X80" s="4" t="n"/>
      <c r="Y80" s="4" t="n"/>
      <c r="Z80" s="4" t="n"/>
      <c r="AA80" s="4" t="n">
        <v>0.03</v>
      </c>
      <c r="AB80" s="4" t="n">
        <v>0.05</v>
      </c>
      <c r="AC80" s="4">
        <f>(AB80+2*參數!$B$7)/(AA80+AB80)</f>
        <v/>
      </c>
      <c r="AD80" s="2" t="n">
        <v>0.08975444538526678</v>
      </c>
      <c r="AE80" s="2" t="n">
        <v>2.246683994428493</v>
      </c>
      <c r="AF80" s="2" t="inlineStr">
        <is>
          <t>2倍</t>
        </is>
      </c>
      <c r="AG80" s="2" t="n">
        <v>0.0009830298013244754</v>
      </c>
      <c r="AH80" s="2" t="n">
        <v>56</v>
      </c>
    </row>
    <row r="81">
      <c r="A81" s="2" t="n">
        <v>80</v>
      </c>
      <c r="B81" s="2" t="inlineStr">
        <is>
          <t>ON_USDT_PERP</t>
        </is>
      </c>
      <c r="C81" s="2" t="inlineStr">
        <is>
          <t>做空</t>
        </is>
      </c>
      <c r="D81" s="7" t="n">
        <v>46303.56944444445</v>
      </c>
      <c r="E81" s="17" t="n">
        <v>0.12433</v>
      </c>
      <c r="F81" s="17" t="n">
        <v>0.1206001</v>
      </c>
      <c r="G81" s="17" t="n">
        <v>0.1305465</v>
      </c>
      <c r="H81" s="7" t="n">
        <v>46303.60416666666</v>
      </c>
      <c r="I81" s="17" t="n">
        <v>0.1206001</v>
      </c>
      <c r="J81" s="2" t="inlineStr">
        <is>
          <t>止盈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/>
      <c r="O81" s="4" t="n"/>
      <c r="P81" s="4" t="n"/>
      <c r="Q81" s="19" t="n"/>
      <c r="R81" s="19" t="n"/>
      <c r="S81" s="4" t="n">
        <v>0.03</v>
      </c>
      <c r="T81" s="4" t="n">
        <v>0.01343199549585794</v>
      </c>
      <c r="U81" s="16" t="n"/>
      <c r="V81" s="16" t="n"/>
      <c r="W81" s="4" t="n"/>
      <c r="X81" s="4" t="n"/>
      <c r="Y81" s="4" t="n"/>
      <c r="Z81" s="4" t="n"/>
      <c r="AA81" s="4" t="n">
        <v>0.03</v>
      </c>
      <c r="AB81" s="4" t="n">
        <v>0.05</v>
      </c>
      <c r="AC81" s="4">
        <f>(AB81+2*參數!$B$7)/(AA81+AB81)</f>
        <v/>
      </c>
      <c r="AD81" s="2" t="n">
        <v>0.07262823422605535</v>
      </c>
      <c r="AE81" s="2" t="n">
        <v>2.007476341658333</v>
      </c>
      <c r="AF81" s="2" t="inlineStr">
        <is>
          <t>2倍</t>
        </is>
      </c>
      <c r="AG81" s="2" t="n">
        <v>0.03781302170283807</v>
      </c>
      <c r="AH81" s="2" t="n">
        <v>40</v>
      </c>
    </row>
    <row r="82">
      <c r="A82" s="2" t="n">
        <v>81</v>
      </c>
      <c r="B82" s="2" t="inlineStr">
        <is>
          <t>币安人生_USDT_PERP</t>
        </is>
      </c>
      <c r="C82" s="2" t="inlineStr">
        <is>
          <t>做空</t>
        </is>
      </c>
      <c r="D82" s="7" t="n">
        <v>46303.65138888889</v>
      </c>
      <c r="E82" s="17" t="n">
        <v>0.5422</v>
      </c>
      <c r="F82" s="17" t="n">
        <v>0.525934</v>
      </c>
      <c r="G82" s="17" t="n">
        <v>0.5693100000000001</v>
      </c>
      <c r="H82" s="7" t="n">
        <v>46303.70277777778</v>
      </c>
      <c r="I82" s="17" t="n">
        <v>0.5693100000000001</v>
      </c>
      <c r="J82" s="2" t="inlineStr">
        <is>
          <t>止損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/>
      <c r="O82" s="4" t="n"/>
      <c r="P82" s="4" t="n"/>
      <c r="Q82" s="19" t="n"/>
      <c r="R82" s="19" t="n"/>
      <c r="S82" s="4" t="n">
        <v>0.005625230542235293</v>
      </c>
      <c r="T82" s="4" t="n">
        <v>0.05</v>
      </c>
      <c r="U82" s="16" t="n"/>
      <c r="V82" s="16" t="n"/>
      <c r="W82" s="4" t="n"/>
      <c r="X82" s="4" t="n"/>
      <c r="Y82" s="4" t="n"/>
      <c r="Z82" s="4" t="n"/>
      <c r="AA82" s="4" t="n">
        <v>0.03</v>
      </c>
      <c r="AB82" s="4" t="n">
        <v>0.05</v>
      </c>
      <c r="AC82" s="4">
        <f>(AB82+2*參數!$B$7)/(AA82+AB82)</f>
        <v/>
      </c>
      <c r="AD82" s="2" t="n">
        <v>0.07446587844845487</v>
      </c>
      <c r="AE82" s="2" t="n">
        <v>2.697108519752499</v>
      </c>
      <c r="AF82" s="2" t="inlineStr">
        <is>
          <t>2倍</t>
        </is>
      </c>
      <c r="AG82" s="2" t="n">
        <v>0.04500337284378908</v>
      </c>
      <c r="AH82" s="2" t="n">
        <v>38</v>
      </c>
    </row>
    <row r="83">
      <c r="A83" s="2" t="n">
        <v>82</v>
      </c>
      <c r="B83" s="2" t="inlineStr">
        <is>
          <t>AKE_USDT_PERP</t>
        </is>
      </c>
      <c r="C83" s="2" t="inlineStr">
        <is>
          <t>做空</t>
        </is>
      </c>
      <c r="D83" s="7" t="n">
        <v>46303.75138888889</v>
      </c>
      <c r="E83" s="17" t="n">
        <v>0.0303346</v>
      </c>
      <c r="F83" s="17" t="n">
        <v>0.029424562</v>
      </c>
      <c r="G83" s="17" t="n">
        <v>0.03185133</v>
      </c>
      <c r="H83" s="7" t="n">
        <v>46303.75208333333</v>
      </c>
      <c r="I83" s="17" t="n">
        <v>0.029424562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/>
      <c r="O83" s="4" t="n"/>
      <c r="P83" s="4" t="n"/>
      <c r="Q83" s="19" t="n"/>
      <c r="R83" s="19" t="n"/>
      <c r="S83" s="4" t="n">
        <v>0.03</v>
      </c>
      <c r="T83" s="4" t="n">
        <v>0</v>
      </c>
      <c r="U83" s="16" t="n"/>
      <c r="V83" s="16" t="n"/>
      <c r="W83" s="4" t="n"/>
      <c r="X83" s="4" t="n"/>
      <c r="Y83" s="4" t="n"/>
      <c r="Z83" s="4" t="n"/>
      <c r="AA83" s="4" t="n">
        <v>0.03</v>
      </c>
      <c r="AB83" s="4" t="n">
        <v>0.05</v>
      </c>
      <c r="AC83" s="4">
        <f>(AB83+2*參數!$B$7)/(AA83+AB83)</f>
        <v/>
      </c>
      <c r="AD83" s="2" t="n">
        <v>0.06318131672930583</v>
      </c>
      <c r="AE83" s="2" t="n">
        <v>1.764253261847534</v>
      </c>
      <c r="AF83" s="2" t="inlineStr">
        <is>
          <t>30分1倍+15分0.5倍</t>
        </is>
      </c>
      <c r="AG83" s="2" t="n">
        <v>0.04714004625634294</v>
      </c>
      <c r="AH83" s="2" t="n">
        <v>2</v>
      </c>
    </row>
    <row r="84">
      <c r="A84" s="2" t="n">
        <v>83</v>
      </c>
      <c r="B84" s="2" t="inlineStr">
        <is>
          <t>OGN_USDT_PERP</t>
        </is>
      </c>
      <c r="C84" s="2" t="inlineStr">
        <is>
          <t>做空</t>
        </is>
      </c>
      <c r="D84" s="7" t="n">
        <v>46303.91527777778</v>
      </c>
      <c r="E84" s="17" t="n">
        <v>0.04301</v>
      </c>
      <c r="F84" s="17" t="n">
        <v>0.0417197</v>
      </c>
      <c r="G84" s="17" t="n">
        <v>0.0451605</v>
      </c>
      <c r="H84" s="7" t="n">
        <v>46303.91944444444</v>
      </c>
      <c r="I84" s="17" t="n">
        <v>0.0417197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/>
      <c r="O84" s="4" t="n"/>
      <c r="P84" s="4" t="n"/>
      <c r="Q84" s="19" t="n"/>
      <c r="R84" s="19" t="n"/>
      <c r="S84" s="4" t="n">
        <v>0.03</v>
      </c>
      <c r="T84" s="4" t="n">
        <v>0.002092536619390906</v>
      </c>
      <c r="U84" s="16" t="n"/>
      <c r="V84" s="16" t="n"/>
      <c r="W84" s="4" t="n"/>
      <c r="X84" s="4" t="n"/>
      <c r="Y84" s="4" t="n"/>
      <c r="Z84" s="4" t="n"/>
      <c r="AA84" s="4" t="n">
        <v>0.03</v>
      </c>
      <c r="AB84" s="4" t="n">
        <v>0.05</v>
      </c>
      <c r="AC84" s="4">
        <f>(AB84+2*參數!$B$7)/(AA84+AB84)</f>
        <v/>
      </c>
      <c r="AD84" s="2" t="n">
        <v>0.1602758620689655</v>
      </c>
      <c r="AE84" s="2" t="n">
        <v>1.821022310404364</v>
      </c>
      <c r="AF84" s="2" t="inlineStr">
        <is>
          <t>15分0.5倍</t>
        </is>
      </c>
      <c r="AG84" s="2" t="n">
        <v>0.00773195876288657</v>
      </c>
      <c r="AH84" s="2" t="n">
        <v>58</v>
      </c>
    </row>
    <row r="85">
      <c r="A85" s="2" t="n">
        <v>84</v>
      </c>
      <c r="B85" s="2" t="inlineStr">
        <is>
          <t>DODO_USDT_PERP</t>
        </is>
      </c>
      <c r="C85" s="2" t="inlineStr">
        <is>
          <t>做空</t>
        </is>
      </c>
      <c r="D85" s="7" t="n">
        <v>46304.04444444444</v>
      </c>
      <c r="E85" s="17" t="n">
        <v>0.019884</v>
      </c>
      <c r="F85" s="17" t="n">
        <v>0.01928748</v>
      </c>
      <c r="G85" s="17" t="n">
        <v>0.0208782</v>
      </c>
      <c r="H85" s="7" t="n">
        <v>46304.04652777778</v>
      </c>
      <c r="I85" s="17" t="n">
        <v>0.01928748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/>
      <c r="O85" s="4" t="n"/>
      <c r="P85" s="4" t="n"/>
      <c r="Q85" s="19" t="n"/>
      <c r="R85" s="19" t="n"/>
      <c r="S85" s="4" t="n">
        <v>0.03</v>
      </c>
      <c r="T85" s="4" t="n">
        <v>0.03837256085294705</v>
      </c>
      <c r="U85" s="16" t="n"/>
      <c r="V85" s="16" t="n"/>
      <c r="W85" s="4" t="n"/>
      <c r="X85" s="4" t="n"/>
      <c r="Y85" s="4" t="n"/>
      <c r="Z85" s="4" t="n"/>
      <c r="AA85" s="4" t="n">
        <v>0.03</v>
      </c>
      <c r="AB85" s="4" t="n">
        <v>0.05</v>
      </c>
      <c r="AC85" s="4">
        <f>(AB85+2*參數!$B$7)/(AA85+AB85)</f>
        <v/>
      </c>
      <c r="AD85" s="2" t="n">
        <v>0.07796384606853701</v>
      </c>
      <c r="AE85" s="2" t="n">
        <v>0.6019009976984673</v>
      </c>
      <c r="AF85" s="2" t="inlineStr">
        <is>
          <t>15分0.5倍</t>
        </is>
      </c>
      <c r="AG85" s="2" t="n">
        <v>0.002520923666431196</v>
      </c>
      <c r="AH85" s="2" t="n">
        <v>4</v>
      </c>
    </row>
    <row r="86">
      <c r="A86" s="2" t="n">
        <v>85</v>
      </c>
      <c r="B86" s="2" t="inlineStr">
        <is>
          <t>MAGIC_USDT_PERP</t>
        </is>
      </c>
      <c r="C86" s="2" t="inlineStr">
        <is>
          <t>做空</t>
        </is>
      </c>
      <c r="D86" s="7" t="n">
        <v>46304.64375</v>
      </c>
      <c r="E86" s="17" t="n">
        <v>0.0791</v>
      </c>
      <c r="F86" s="17" t="n">
        <v>0.076727</v>
      </c>
      <c r="G86" s="17" t="n">
        <v>0.083055</v>
      </c>
      <c r="H86" s="7" t="n">
        <v>46304.64513888889</v>
      </c>
      <c r="I86" s="17" t="n">
        <v>0.076727</v>
      </c>
      <c r="J86" s="2" t="inlineStr">
        <is>
          <t>止盈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/>
      <c r="O86" s="4" t="n"/>
      <c r="P86" s="4" t="n"/>
      <c r="Q86" s="19" t="n"/>
      <c r="R86" s="19" t="n"/>
      <c r="S86" s="4" t="n">
        <v>0.03</v>
      </c>
      <c r="T86" s="4" t="n">
        <v>0.003792667509481706</v>
      </c>
      <c r="U86" s="16" t="n"/>
      <c r="V86" s="16" t="n"/>
      <c r="W86" s="4" t="n"/>
      <c r="X86" s="4" t="n"/>
      <c r="Y86" s="4" t="n"/>
      <c r="Z86" s="4" t="n"/>
      <c r="AA86" s="4" t="n">
        <v>0.03</v>
      </c>
      <c r="AB86" s="4" t="n">
        <v>0.05</v>
      </c>
      <c r="AC86" s="4">
        <f>(AB86+2*參數!$B$7)/(AA86+AB86)</f>
        <v/>
      </c>
      <c r="AD86" s="2" t="n">
        <v>0.1490963855421688</v>
      </c>
      <c r="AE86" s="2" t="n">
        <v>1.150745657313261</v>
      </c>
      <c r="AF86" s="2" t="inlineStr">
        <is>
          <t>30分1倍+15分0.5倍</t>
        </is>
      </c>
      <c r="AG86" s="2" t="n">
        <v>0.02727272727272734</v>
      </c>
      <c r="AH86" s="2" t="n">
        <v>27</v>
      </c>
    </row>
    <row r="87">
      <c r="A87" s="2" t="n">
        <v>86</v>
      </c>
      <c r="B87" s="2" t="inlineStr">
        <is>
          <t>US_USDT_PERP</t>
        </is>
      </c>
      <c r="C87" s="2" t="inlineStr">
        <is>
          <t>做空</t>
        </is>
      </c>
      <c r="D87" s="7" t="n">
        <v>46304.69236111111</v>
      </c>
      <c r="E87" s="17" t="n">
        <v>0.02718</v>
      </c>
      <c r="F87" s="17" t="n">
        <v>0.0263646</v>
      </c>
      <c r="G87" s="17" t="n">
        <v>0.028539</v>
      </c>
      <c r="H87" s="7" t="n">
        <v>46304.69375</v>
      </c>
      <c r="I87" s="17" t="n">
        <v>0.0263646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/>
      <c r="O87" s="4" t="n"/>
      <c r="P87" s="4" t="n"/>
      <c r="Q87" s="19" t="n"/>
      <c r="R87" s="19" t="n"/>
      <c r="S87" s="4" t="n">
        <v>0.03</v>
      </c>
      <c r="T87" s="4" t="n">
        <v>0</v>
      </c>
      <c r="U87" s="16" t="n"/>
      <c r="V87" s="16" t="n"/>
      <c r="W87" s="4" t="n"/>
      <c r="X87" s="4" t="n"/>
      <c r="Y87" s="4" t="n"/>
      <c r="Z87" s="4" t="n"/>
      <c r="AA87" s="4" t="n">
        <v>0.03</v>
      </c>
      <c r="AB87" s="4" t="n">
        <v>0.05</v>
      </c>
      <c r="AC87" s="4">
        <f>(AB87+2*參數!$B$7)/(AA87+AB87)</f>
        <v/>
      </c>
      <c r="AD87" s="2" t="n">
        <v>0.2407063197026023</v>
      </c>
      <c r="AE87" s="2" t="n">
        <v>1.545343329914439</v>
      </c>
      <c r="AF87" s="2" t="inlineStr">
        <is>
          <t>30分1倍</t>
        </is>
      </c>
      <c r="AG87" s="2" t="n">
        <v>0.0104089219330854</v>
      </c>
      <c r="AH87" s="2" t="n">
        <v>37</v>
      </c>
    </row>
    <row r="88">
      <c r="A88" s="2" t="n">
        <v>87</v>
      </c>
      <c r="B88" s="2" t="inlineStr">
        <is>
          <t>MAGIC_USDT_PERP</t>
        </is>
      </c>
      <c r="C88" s="2" t="inlineStr">
        <is>
          <t>做空</t>
        </is>
      </c>
      <c r="D88" s="7" t="n">
        <v>46304.97013888889</v>
      </c>
      <c r="E88" s="17" t="n">
        <v>0.0888</v>
      </c>
      <c r="F88" s="17" t="n">
        <v>0.086136</v>
      </c>
      <c r="G88" s="17" t="n">
        <v>0.09324</v>
      </c>
      <c r="H88" s="7" t="n">
        <v>46304.975</v>
      </c>
      <c r="I88" s="17" t="n">
        <v>0.086136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/>
      <c r="O88" s="4" t="n"/>
      <c r="P88" s="4" t="n"/>
      <c r="Q88" s="19" t="n"/>
      <c r="R88" s="19" t="n"/>
      <c r="S88" s="4" t="n">
        <v>0.03</v>
      </c>
      <c r="T88" s="4" t="n">
        <v>0.005630630630630629</v>
      </c>
      <c r="U88" s="16" t="n"/>
      <c r="V88" s="16" t="n"/>
      <c r="W88" s="4" t="n"/>
      <c r="X88" s="4" t="n"/>
      <c r="Y88" s="4" t="n"/>
      <c r="Z88" s="4" t="n"/>
      <c r="AA88" s="4" t="n">
        <v>0.03</v>
      </c>
      <c r="AB88" s="4" t="n">
        <v>0.05</v>
      </c>
      <c r="AC88" s="4">
        <f>(AB88+2*參數!$B$7)/(AA88+AB88)</f>
        <v/>
      </c>
      <c r="AD88" s="2" t="n">
        <v>0.09450830140485311</v>
      </c>
      <c r="AE88" s="2" t="n">
        <v>0.6626803117770715</v>
      </c>
      <c r="AF88" s="2" t="inlineStr">
        <is>
          <t>15分0.5倍</t>
        </is>
      </c>
      <c r="AG88" s="2" t="n">
        <v>0.0148571428571429</v>
      </c>
      <c r="AH88" s="2" t="n">
        <v>17</v>
      </c>
    </row>
    <row r="89">
      <c r="A89" s="2" t="n">
        <v>88</v>
      </c>
      <c r="B89" s="2" t="inlineStr">
        <is>
          <t>MAGIC_USDT_PERP</t>
        </is>
      </c>
      <c r="C89" s="2" t="inlineStr">
        <is>
          <t>做空</t>
        </is>
      </c>
      <c r="D89" s="7" t="n">
        <v>46305.00833333333</v>
      </c>
      <c r="E89" s="17" t="n">
        <v>0.1019</v>
      </c>
      <c r="F89" s="17" t="n">
        <v>0.098843</v>
      </c>
      <c r="G89" s="17" t="n">
        <v>0.106995</v>
      </c>
      <c r="H89" s="7" t="n">
        <v>46305.00902777778</v>
      </c>
      <c r="I89" s="17" t="n">
        <v>0.098843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/>
      <c r="O89" s="4" t="n"/>
      <c r="P89" s="4" t="n"/>
      <c r="Q89" s="19" t="n"/>
      <c r="R89" s="19" t="n"/>
      <c r="S89" s="4" t="n">
        <v>0.03</v>
      </c>
      <c r="T89" s="4" t="n">
        <v>0</v>
      </c>
      <c r="U89" s="16" t="n"/>
      <c r="V89" s="16" t="n"/>
      <c r="W89" s="4" t="n"/>
      <c r="X89" s="4" t="n"/>
      <c r="Y89" s="4" t="n"/>
      <c r="Z89" s="4" t="n"/>
      <c r="AA89" s="4" t="n">
        <v>0.03</v>
      </c>
      <c r="AB89" s="4" t="n">
        <v>0.05</v>
      </c>
      <c r="AC89" s="4">
        <f>(AB89+2*參數!$B$7)/(AA89+AB89)</f>
        <v/>
      </c>
      <c r="AD89" s="2" t="n">
        <v>0.06534422403733964</v>
      </c>
      <c r="AE89" s="2" t="n">
        <v>0.5240064306066428</v>
      </c>
      <c r="AF89" s="2" t="inlineStr">
        <is>
          <t>15分0.5倍</t>
        </is>
      </c>
      <c r="AG89" s="2" t="n">
        <v>0.1112322791712104</v>
      </c>
      <c r="AH89" s="2" t="n">
        <v>12</v>
      </c>
    </row>
    <row r="90">
      <c r="A90" s="2" t="n">
        <v>89</v>
      </c>
      <c r="B90" s="2" t="inlineStr">
        <is>
          <t>PIXEL_USDT_PERP</t>
        </is>
      </c>
      <c r="C90" s="2" t="inlineStr">
        <is>
          <t>做空</t>
        </is>
      </c>
      <c r="D90" s="7" t="n">
        <v>46305.09097222222</v>
      </c>
      <c r="E90" s="17" t="n">
        <v>0.00659</v>
      </c>
      <c r="F90" s="17" t="n">
        <v>0.0063923</v>
      </c>
      <c r="G90" s="17" t="n">
        <v>0.0069195</v>
      </c>
      <c r="H90" s="7" t="n">
        <v>46305.09513888889</v>
      </c>
      <c r="I90" s="17" t="n">
        <v>0.0063923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/>
      <c r="O90" s="4" t="n"/>
      <c r="P90" s="4" t="n"/>
      <c r="Q90" s="19" t="n"/>
      <c r="R90" s="19" t="n"/>
      <c r="S90" s="4" t="n">
        <v>0.03</v>
      </c>
      <c r="T90" s="4" t="n">
        <v>0.01062215477996964</v>
      </c>
      <c r="U90" s="16" t="n"/>
      <c r="V90" s="16" t="n"/>
      <c r="W90" s="4" t="n"/>
      <c r="X90" s="4" t="n"/>
      <c r="Y90" s="4" t="n"/>
      <c r="Z90" s="4" t="n"/>
      <c r="AA90" s="4" t="n">
        <v>0.03</v>
      </c>
      <c r="AB90" s="4" t="n">
        <v>0.05</v>
      </c>
      <c r="AC90" s="4">
        <f>(AB90+2*參數!$B$7)/(AA90+AB90)</f>
        <v/>
      </c>
      <c r="AD90" s="2" t="n">
        <v>0.0672268907563025</v>
      </c>
      <c r="AE90" s="2" t="n">
        <v>0.5431193879791525</v>
      </c>
      <c r="AF90" s="2" t="inlineStr">
        <is>
          <t>15分0.5倍</t>
        </is>
      </c>
      <c r="AG90" s="2" t="n">
        <v>0.03291536050156751</v>
      </c>
      <c r="AH90" s="2" t="n">
        <v>11</v>
      </c>
    </row>
    <row r="91">
      <c r="A91" s="2" t="n">
        <v>90</v>
      </c>
      <c r="B91" s="2" t="inlineStr">
        <is>
          <t>MAGIC_USDT_PERP</t>
        </is>
      </c>
      <c r="C91" s="2" t="inlineStr">
        <is>
          <t>做空</t>
        </is>
      </c>
      <c r="D91" s="7" t="n">
        <v>46305.42708333334</v>
      </c>
      <c r="E91" s="17" t="n">
        <v>0.1411</v>
      </c>
      <c r="F91" s="17" t="n">
        <v>0.136867</v>
      </c>
      <c r="G91" s="17" t="n">
        <v>0.148155</v>
      </c>
      <c r="H91" s="7" t="n">
        <v>46305.43125</v>
      </c>
      <c r="I91" s="17" t="n">
        <v>0.148155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/>
      <c r="O91" s="4" t="n"/>
      <c r="P91" s="4" t="n"/>
      <c r="Q91" s="19" t="n"/>
      <c r="R91" s="19" t="n"/>
      <c r="S91" s="4" t="n">
        <v>0.01559177888022689</v>
      </c>
      <c r="T91" s="4" t="n">
        <v>0.05</v>
      </c>
      <c r="U91" s="16" t="n"/>
      <c r="V91" s="16" t="n"/>
      <c r="W91" s="4" t="n"/>
      <c r="X91" s="4" t="n"/>
      <c r="Y91" s="4" t="n"/>
      <c r="Z91" s="4" t="n"/>
      <c r="AA91" s="4" t="n">
        <v>0.03</v>
      </c>
      <c r="AB91" s="4" t="n">
        <v>0.05</v>
      </c>
      <c r="AC91" s="4">
        <f>(AB91+2*參數!$B$7)/(AA91+AB91)</f>
        <v/>
      </c>
      <c r="AD91" s="2" t="n">
        <v>0.1321514907332797</v>
      </c>
      <c r="AE91" s="2" t="n">
        <v>0.5828004084771311</v>
      </c>
      <c r="AF91" s="2" t="inlineStr">
        <is>
          <t>15分0.5倍</t>
        </is>
      </c>
      <c r="AG91" s="2" t="n">
        <v>0.004270462633451988</v>
      </c>
      <c r="AH91" s="2" t="n">
        <v>15</v>
      </c>
    </row>
    <row r="92">
      <c r="A92" s="2" t="n">
        <v>91</v>
      </c>
      <c r="B92" s="2" t="inlineStr">
        <is>
          <t>FIL_USDT_PERP</t>
        </is>
      </c>
      <c r="C92" s="2" t="inlineStr">
        <is>
          <t>做空</t>
        </is>
      </c>
      <c r="D92" s="7" t="n">
        <v>46305.46319444444</v>
      </c>
      <c r="E92" s="17" t="n">
        <v>1.188</v>
      </c>
      <c r="F92" s="17" t="n">
        <v>1.15236</v>
      </c>
      <c r="G92" s="17" t="n">
        <v>1.2474</v>
      </c>
      <c r="H92" s="7" t="n">
        <v>46305.58888888889</v>
      </c>
      <c r="I92" s="17" t="n">
        <v>1.15236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/>
      <c r="O92" s="4" t="n"/>
      <c r="P92" s="4" t="n"/>
      <c r="Q92" s="19" t="n"/>
      <c r="R92" s="19" t="n"/>
      <c r="S92" s="4" t="n">
        <v>0.03</v>
      </c>
      <c r="T92" s="4" t="n">
        <v>0.015993265993266</v>
      </c>
      <c r="U92" s="16" t="n"/>
      <c r="V92" s="16" t="n"/>
      <c r="W92" s="4" t="n"/>
      <c r="X92" s="4" t="n"/>
      <c r="Y92" s="4" t="n"/>
      <c r="Z92" s="4" t="n"/>
      <c r="AA92" s="4" t="n">
        <v>0.03</v>
      </c>
      <c r="AB92" s="4" t="n">
        <v>0.05</v>
      </c>
      <c r="AC92" s="4">
        <f>(AB92+2*參數!$B$7)/(AA92+AB92)</f>
        <v/>
      </c>
      <c r="AD92" s="2" t="n">
        <v>0.06678865507776766</v>
      </c>
      <c r="AE92" s="2" t="n">
        <v>1.67809407148045</v>
      </c>
      <c r="AF92" s="2" t="inlineStr">
        <is>
          <t>30分1倍+15分0.5倍</t>
        </is>
      </c>
      <c r="AG92" s="2" t="n">
        <v>0.01712328767123283</v>
      </c>
      <c r="AH92" s="2" t="n">
        <v>7</v>
      </c>
    </row>
    <row r="93">
      <c r="A93" s="2" t="n">
        <v>92</v>
      </c>
      <c r="B93" s="2" t="inlineStr">
        <is>
          <t>CFX_USDT_PERP</t>
        </is>
      </c>
      <c r="C93" s="2" t="inlineStr">
        <is>
          <t>做空</t>
        </is>
      </c>
      <c r="D93" s="7" t="n">
        <v>46305.96736111111</v>
      </c>
      <c r="E93" s="17" t="n">
        <v>0.06386</v>
      </c>
      <c r="F93" s="17" t="n">
        <v>0.0619442</v>
      </c>
      <c r="G93" s="17" t="n">
        <v>0.067053</v>
      </c>
      <c r="H93" s="7" t="n">
        <v>46305.97083333333</v>
      </c>
      <c r="I93" s="17" t="n">
        <v>0.0619442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/>
      <c r="O93" s="4" t="n"/>
      <c r="P93" s="4" t="n"/>
      <c r="Q93" s="19" t="n"/>
      <c r="R93" s="19" t="n"/>
      <c r="S93" s="4" t="n">
        <v>0.03</v>
      </c>
      <c r="T93" s="4" t="n">
        <v>0.01581584716567486</v>
      </c>
      <c r="U93" s="16" t="n"/>
      <c r="V93" s="16" t="n"/>
      <c r="W93" s="4" t="n"/>
      <c r="X93" s="4" t="n"/>
      <c r="Y93" s="4" t="n"/>
      <c r="Z93" s="4" t="n"/>
      <c r="AA93" s="4" t="n">
        <v>0.03</v>
      </c>
      <c r="AB93" s="4" t="n">
        <v>0.05</v>
      </c>
      <c r="AC93" s="4">
        <f>(AB93+2*參數!$B$7)/(AA93+AB93)</f>
        <v/>
      </c>
      <c r="AD93" s="2" t="n">
        <v>0.130023218431863</v>
      </c>
      <c r="AE93" s="2" t="n">
        <v>0.645005519251408</v>
      </c>
      <c r="AF93" s="2" t="inlineStr">
        <is>
          <t>15分0.5倍</t>
        </is>
      </c>
      <c r="AG93" s="2" t="n">
        <v>0.0003132832080201542</v>
      </c>
      <c r="AH93" s="2" t="n">
        <v>13</v>
      </c>
    </row>
    <row r="94">
      <c r="A94" s="2" t="n">
        <v>93</v>
      </c>
      <c r="B94" s="2" t="inlineStr">
        <is>
          <t>STRK_USDT_PERP</t>
        </is>
      </c>
      <c r="C94" s="2" t="inlineStr">
        <is>
          <t>做空</t>
        </is>
      </c>
      <c r="D94" s="7" t="n">
        <v>46306.01041666666</v>
      </c>
      <c r="E94" s="17" t="n">
        <v>0.09710000000000001</v>
      </c>
      <c r="F94" s="17" t="n">
        <v>0.09418700000000001</v>
      </c>
      <c r="G94" s="17" t="n">
        <v>0.101955</v>
      </c>
      <c r="H94" s="7" t="n">
        <v>46306.01875</v>
      </c>
      <c r="I94" s="17" t="n">
        <v>0.09418700000000001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/>
      <c r="O94" s="4" t="n"/>
      <c r="P94" s="4" t="n"/>
      <c r="Q94" s="19" t="n"/>
      <c r="R94" s="19" t="n"/>
      <c r="S94" s="4" t="n">
        <v>0.03</v>
      </c>
      <c r="T94" s="4" t="n">
        <v>0.01338825952626155</v>
      </c>
      <c r="U94" s="16" t="n"/>
      <c r="V94" s="16" t="n"/>
      <c r="W94" s="4" t="n"/>
      <c r="X94" s="4" t="n"/>
      <c r="Y94" s="4" t="n"/>
      <c r="Z94" s="4" t="n"/>
      <c r="AA94" s="4" t="n">
        <v>0.03</v>
      </c>
      <c r="AB94" s="4" t="n">
        <v>0.05</v>
      </c>
      <c r="AC94" s="4">
        <f>(AB94+2*參數!$B$7)/(AA94+AB94)</f>
        <v/>
      </c>
      <c r="AD94" s="2" t="n">
        <v>0.06864988558352403</v>
      </c>
      <c r="AE94" s="2" t="n">
        <v>0.5090200865570906</v>
      </c>
      <c r="AF94" s="2" t="inlineStr">
        <is>
          <t>15分0.5倍</t>
        </is>
      </c>
      <c r="AG94" s="2" t="n">
        <v>0.03078556263269649</v>
      </c>
      <c r="AH94" s="2" t="n">
        <v>15</v>
      </c>
    </row>
    <row r="95">
      <c r="A95" s="2" t="n">
        <v>94</v>
      </c>
      <c r="B95" s="2" t="inlineStr">
        <is>
          <t>ACT_USDT_PERP</t>
        </is>
      </c>
      <c r="C95" s="2" t="inlineStr">
        <is>
          <t>做空</t>
        </is>
      </c>
      <c r="D95" s="7" t="n">
        <v>46306.04305555556</v>
      </c>
      <c r="E95" s="17" t="n">
        <v>0.01144</v>
      </c>
      <c r="F95" s="17" t="n">
        <v>0.0110968</v>
      </c>
      <c r="G95" s="17" t="n">
        <v>0.012012</v>
      </c>
      <c r="H95" s="7" t="n">
        <v>46306.04513888889</v>
      </c>
      <c r="I95" s="17" t="n">
        <v>0.0110968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/>
      <c r="O95" s="4" t="n"/>
      <c r="P95" s="4" t="n"/>
      <c r="Q95" s="19" t="n"/>
      <c r="R95" s="19" t="n"/>
      <c r="S95" s="4" t="n">
        <v>0.03</v>
      </c>
      <c r="T95" s="4" t="n">
        <v>0.01048951048951041</v>
      </c>
      <c r="U95" s="16" t="n"/>
      <c r="V95" s="16" t="n"/>
      <c r="W95" s="4" t="n"/>
      <c r="X95" s="4" t="n"/>
      <c r="Y95" s="4" t="n"/>
      <c r="Z95" s="4" t="n"/>
      <c r="AA95" s="4" t="n">
        <v>0.03</v>
      </c>
      <c r="AB95" s="4" t="n">
        <v>0.05</v>
      </c>
      <c r="AC95" s="4">
        <f>(AB95+2*參數!$B$7)/(AA95+AB95)</f>
        <v/>
      </c>
      <c r="AD95" s="2" t="n">
        <v>0.1045943304007819</v>
      </c>
      <c r="AE95" s="2" t="n">
        <v>0.9546516044161691</v>
      </c>
      <c r="AF95" s="2" t="inlineStr">
        <is>
          <t>15分0.5倍</t>
        </is>
      </c>
      <c r="AG95" s="2" t="n">
        <v>0.01149425287356332</v>
      </c>
      <c r="AH95" s="2" t="n">
        <v>2</v>
      </c>
    </row>
    <row r="96">
      <c r="A96" s="2" t="n">
        <v>95</v>
      </c>
      <c r="B96" s="2" t="inlineStr">
        <is>
          <t>AIN_USDT_PERP</t>
        </is>
      </c>
      <c r="C96" s="2" t="inlineStr">
        <is>
          <t>做空</t>
        </is>
      </c>
      <c r="D96" s="7" t="n">
        <v>46306.08472222222</v>
      </c>
      <c r="E96" s="17" t="n">
        <v>0.04424</v>
      </c>
      <c r="F96" s="17" t="n">
        <v>0.0429128</v>
      </c>
      <c r="G96" s="17" t="n">
        <v>0.046452</v>
      </c>
      <c r="H96" s="7" t="n">
        <v>46306.08541666667</v>
      </c>
      <c r="I96" s="17" t="n">
        <v>0.0429128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/>
      <c r="O96" s="4" t="n"/>
      <c r="P96" s="4" t="n"/>
      <c r="Q96" s="19" t="n"/>
      <c r="R96" s="19" t="n"/>
      <c r="S96" s="4" t="n">
        <v>0.03</v>
      </c>
      <c r="T96" s="4" t="n">
        <v>0</v>
      </c>
      <c r="U96" s="16" t="n"/>
      <c r="V96" s="16" t="n"/>
      <c r="W96" s="4" t="n"/>
      <c r="X96" s="4" t="n"/>
      <c r="Y96" s="4" t="n"/>
      <c r="Z96" s="4" t="n"/>
      <c r="AA96" s="4" t="n">
        <v>0.03</v>
      </c>
      <c r="AB96" s="4" t="n">
        <v>0.05</v>
      </c>
      <c r="AC96" s="4">
        <f>(AB96+2*參數!$B$7)/(AA96+AB96)</f>
        <v/>
      </c>
      <c r="AD96" s="2" t="n">
        <v>0.1381373569198749</v>
      </c>
      <c r="AE96" s="2" t="n">
        <v>0.633302870016804</v>
      </c>
      <c r="AF96" s="2" t="inlineStr">
        <is>
          <t>15分0.5倍</t>
        </is>
      </c>
      <c r="AG96" s="2" t="n">
        <v>0.00797448165869219</v>
      </c>
      <c r="AH96" s="2" t="n">
        <v>2</v>
      </c>
    </row>
  </sheetData>
  <autoFilter ref="A1:AH96"/>
  <conditionalFormatting sqref="J2:J9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US_USDT_PERP</t>
        </is>
      </c>
      <c r="B2" s="2">
        <f>COUNTIFS(交易明細!$B$2:$B$96,$A2)</f>
        <v/>
      </c>
      <c r="C2" s="2">
        <f>COUNTIFS(交易明細!$B$2:$B$96,$A2,交易明細!$C$2:$C$96,"做多")</f>
        <v/>
      </c>
      <c r="D2" s="2">
        <f>COUNTIFS(交易明細!$B$2:$B$96,$A2,交易明細!$C$2:$C$96,"做空")</f>
        <v/>
      </c>
      <c r="E2" s="2">
        <f>F2+G2+COUNTIFS(交易明細!$B$2:$B$96,$A2,交易明細!$J$2:$J$96,"時間出場")</f>
        <v/>
      </c>
      <c r="F2" s="2">
        <f>COUNTIFS(交易明細!$B$2:$B$96,$A2,交易明細!$J$2:$J$96,"止盈")</f>
        <v/>
      </c>
      <c r="G2" s="2">
        <f>COUNTIFS(交易明細!$B$2:$B$96,$A2,交易明細!$J$2:$J$96,"止損")</f>
        <v/>
      </c>
      <c r="H2" s="4">
        <f>IFERROR(F2/E2,0)</f>
        <v/>
      </c>
      <c r="I2" s="4">
        <f>IFERROR(AVERAGEIFS(交易明細!$L$2:$L$96,交易明細!$B$2:$B$96,$A2,交易明細!$J$2:$J$96,"&lt;&gt;未平倉"),0)</f>
        <v/>
      </c>
      <c r="J2" s="4">
        <f>SUMIFS(交易明細!$L$2:$L$96,交易明細!$B$2:$B$96,$A2,交易明細!$J$2:$J$96,"&lt;&gt;未平倉")</f>
        <v/>
      </c>
      <c r="K2" s="5">
        <f>IFERROR(AVERAGEIFS(交易明細!$K$2:$K$96,交易明細!$B$2:$B$96,$A2,交易明細!$J$2:$J$96,"&lt;&gt;未平倉"),0)</f>
        <v/>
      </c>
      <c r="L2" s="2">
        <f>COUNTIFS(交易明細!$B$2:$B$96,$A2,交易明細!$J$2:$J$96,"未平倉")</f>
        <v/>
      </c>
    </row>
    <row r="3">
      <c r="A3" s="2" t="inlineStr">
        <is>
          <t>MAGIC_USDT_PERP</t>
        </is>
      </c>
      <c r="B3" s="2">
        <f>COUNTIFS(交易明細!$B$2:$B$96,$A3)</f>
        <v/>
      </c>
      <c r="C3" s="2">
        <f>COUNTIFS(交易明細!$B$2:$B$96,$A3,交易明細!$C$2:$C$96,"做多")</f>
        <v/>
      </c>
      <c r="D3" s="2">
        <f>COUNTIFS(交易明細!$B$2:$B$96,$A3,交易明細!$C$2:$C$96,"做空")</f>
        <v/>
      </c>
      <c r="E3" s="2">
        <f>F3+G3+COUNTIFS(交易明細!$B$2:$B$96,$A3,交易明細!$J$2:$J$96,"時間出場")</f>
        <v/>
      </c>
      <c r="F3" s="2">
        <f>COUNTIFS(交易明細!$B$2:$B$96,$A3,交易明細!$J$2:$J$96,"止盈")</f>
        <v/>
      </c>
      <c r="G3" s="2">
        <f>COUNTIFS(交易明細!$B$2:$B$96,$A3,交易明細!$J$2:$J$96,"止損")</f>
        <v/>
      </c>
      <c r="H3" s="4">
        <f>IFERROR(F3/E3,0)</f>
        <v/>
      </c>
      <c r="I3" s="4">
        <f>IFERROR(AVERAGEIFS(交易明細!$L$2:$L$96,交易明細!$B$2:$B$96,$A3,交易明細!$J$2:$J$96,"&lt;&gt;未平倉"),0)</f>
        <v/>
      </c>
      <c r="J3" s="4">
        <f>SUMIFS(交易明細!$L$2:$L$96,交易明細!$B$2:$B$96,$A3,交易明細!$J$2:$J$96,"&lt;&gt;未平倉")</f>
        <v/>
      </c>
      <c r="K3" s="5">
        <f>IFERROR(AVERAGEIFS(交易明細!$K$2:$K$96,交易明細!$B$2:$B$96,$A3,交易明細!$J$2:$J$96,"&lt;&gt;未平倉"),0)</f>
        <v/>
      </c>
      <c r="L3" s="2">
        <f>COUNTIFS(交易明細!$B$2:$B$96,$A3,交易明細!$J$2:$J$96,"未平倉")</f>
        <v/>
      </c>
    </row>
    <row r="4">
      <c r="A4" s="2" t="inlineStr">
        <is>
          <t>NOM_USDT_PERP</t>
        </is>
      </c>
      <c r="B4" s="2">
        <f>COUNTIFS(交易明細!$B$2:$B$96,$A4)</f>
        <v/>
      </c>
      <c r="C4" s="2">
        <f>COUNTIFS(交易明細!$B$2:$B$96,$A4,交易明細!$C$2:$C$96,"做多")</f>
        <v/>
      </c>
      <c r="D4" s="2">
        <f>COUNTIFS(交易明細!$B$2:$B$96,$A4,交易明細!$C$2:$C$96,"做空")</f>
        <v/>
      </c>
      <c r="E4" s="2">
        <f>F4+G4+COUNTIFS(交易明細!$B$2:$B$96,$A4,交易明細!$J$2:$J$96,"時間出場")</f>
        <v/>
      </c>
      <c r="F4" s="2">
        <f>COUNTIFS(交易明細!$B$2:$B$96,$A4,交易明細!$J$2:$J$96,"止盈")</f>
        <v/>
      </c>
      <c r="G4" s="2">
        <f>COUNTIFS(交易明細!$B$2:$B$96,$A4,交易明細!$J$2:$J$96,"止損")</f>
        <v/>
      </c>
      <c r="H4" s="4">
        <f>IFERROR(F4/E4,0)</f>
        <v/>
      </c>
      <c r="I4" s="4">
        <f>IFERROR(AVERAGEIFS(交易明細!$L$2:$L$96,交易明細!$B$2:$B$96,$A4,交易明細!$J$2:$J$96,"&lt;&gt;未平倉"),0)</f>
        <v/>
      </c>
      <c r="J4" s="4">
        <f>SUMIFS(交易明細!$L$2:$L$96,交易明細!$B$2:$B$96,$A4,交易明細!$J$2:$J$96,"&lt;&gt;未平倉")</f>
        <v/>
      </c>
      <c r="K4" s="5">
        <f>IFERROR(AVERAGEIFS(交易明細!$K$2:$K$96,交易明細!$B$2:$B$96,$A4,交易明細!$J$2:$J$96,"&lt;&gt;未平倉"),0)</f>
        <v/>
      </c>
      <c r="L4" s="2">
        <f>COUNTIFS(交易明細!$B$2:$B$96,$A4,交易明細!$J$2:$J$96,"未平倉")</f>
        <v/>
      </c>
    </row>
    <row r="5">
      <c r="A5" s="2" t="inlineStr">
        <is>
          <t>MOVR_USDT_PERP</t>
        </is>
      </c>
      <c r="B5" s="2">
        <f>COUNTIFS(交易明細!$B$2:$B$96,$A5)</f>
        <v/>
      </c>
      <c r="C5" s="2">
        <f>COUNTIFS(交易明細!$B$2:$B$96,$A5,交易明細!$C$2:$C$96,"做多")</f>
        <v/>
      </c>
      <c r="D5" s="2">
        <f>COUNTIFS(交易明細!$B$2:$B$96,$A5,交易明細!$C$2:$C$96,"做空")</f>
        <v/>
      </c>
      <c r="E5" s="2">
        <f>F5+G5+COUNTIFS(交易明細!$B$2:$B$96,$A5,交易明細!$J$2:$J$96,"時間出場")</f>
        <v/>
      </c>
      <c r="F5" s="2">
        <f>COUNTIFS(交易明細!$B$2:$B$96,$A5,交易明細!$J$2:$J$96,"止盈")</f>
        <v/>
      </c>
      <c r="G5" s="2">
        <f>COUNTIFS(交易明細!$B$2:$B$96,$A5,交易明細!$J$2:$J$96,"止損")</f>
        <v/>
      </c>
      <c r="H5" s="4">
        <f>IFERROR(F5/E5,0)</f>
        <v/>
      </c>
      <c r="I5" s="4">
        <f>IFERROR(AVERAGEIFS(交易明細!$L$2:$L$96,交易明細!$B$2:$B$96,$A5,交易明細!$J$2:$J$96,"&lt;&gt;未平倉"),0)</f>
        <v/>
      </c>
      <c r="J5" s="4">
        <f>SUMIFS(交易明細!$L$2:$L$96,交易明細!$B$2:$B$96,$A5,交易明細!$J$2:$J$96,"&lt;&gt;未平倉")</f>
        <v/>
      </c>
      <c r="K5" s="5">
        <f>IFERROR(AVERAGEIFS(交易明細!$K$2:$K$96,交易明細!$B$2:$B$96,$A5,交易明細!$J$2:$J$96,"&lt;&gt;未平倉"),0)</f>
        <v/>
      </c>
      <c r="L5" s="2">
        <f>COUNTIFS(交易明細!$B$2:$B$96,$A5,交易明細!$J$2:$J$96,"未平倉")</f>
        <v/>
      </c>
    </row>
    <row r="6">
      <c r="A6" s="2" t="inlineStr">
        <is>
          <t>BR_USDT_PERP</t>
        </is>
      </c>
      <c r="B6" s="2">
        <f>COUNTIFS(交易明細!$B$2:$B$96,$A6)</f>
        <v/>
      </c>
      <c r="C6" s="2">
        <f>COUNTIFS(交易明細!$B$2:$B$96,$A6,交易明細!$C$2:$C$96,"做多")</f>
        <v/>
      </c>
      <c r="D6" s="2">
        <f>COUNTIFS(交易明細!$B$2:$B$96,$A6,交易明細!$C$2:$C$96,"做空")</f>
        <v/>
      </c>
      <c r="E6" s="2">
        <f>F6+G6+COUNTIFS(交易明細!$B$2:$B$96,$A6,交易明細!$J$2:$J$96,"時間出場")</f>
        <v/>
      </c>
      <c r="F6" s="2">
        <f>COUNTIFS(交易明細!$B$2:$B$96,$A6,交易明細!$J$2:$J$96,"止盈")</f>
        <v/>
      </c>
      <c r="G6" s="2">
        <f>COUNTIFS(交易明細!$B$2:$B$96,$A6,交易明細!$J$2:$J$96,"止損")</f>
        <v/>
      </c>
      <c r="H6" s="4">
        <f>IFERROR(F6/E6,0)</f>
        <v/>
      </c>
      <c r="I6" s="4">
        <f>IFERROR(AVERAGEIFS(交易明細!$L$2:$L$96,交易明細!$B$2:$B$96,$A6,交易明細!$J$2:$J$96,"&lt;&gt;未平倉"),0)</f>
        <v/>
      </c>
      <c r="J6" s="4">
        <f>SUMIFS(交易明細!$L$2:$L$96,交易明細!$B$2:$B$96,$A6,交易明細!$J$2:$J$96,"&lt;&gt;未平倉")</f>
        <v/>
      </c>
      <c r="K6" s="5">
        <f>IFERROR(AVERAGEIFS(交易明細!$K$2:$K$96,交易明細!$B$2:$B$96,$A6,交易明細!$J$2:$J$96,"&lt;&gt;未平倉"),0)</f>
        <v/>
      </c>
      <c r="L6" s="2">
        <f>COUNTIFS(交易明細!$B$2:$B$96,$A6,交易明細!$J$2:$J$96,"未平倉")</f>
        <v/>
      </c>
    </row>
    <row r="7">
      <c r="A7" s="2" t="inlineStr">
        <is>
          <t>LYN_USDT_PERP</t>
        </is>
      </c>
      <c r="B7" s="2">
        <f>COUNTIFS(交易明細!$B$2:$B$96,$A7)</f>
        <v/>
      </c>
      <c r="C7" s="2">
        <f>COUNTIFS(交易明細!$B$2:$B$96,$A7,交易明細!$C$2:$C$96,"做多")</f>
        <v/>
      </c>
      <c r="D7" s="2">
        <f>COUNTIFS(交易明細!$B$2:$B$96,$A7,交易明細!$C$2:$C$96,"做空")</f>
        <v/>
      </c>
      <c r="E7" s="2">
        <f>F7+G7+COUNTIFS(交易明細!$B$2:$B$96,$A7,交易明細!$J$2:$J$96,"時間出場")</f>
        <v/>
      </c>
      <c r="F7" s="2">
        <f>COUNTIFS(交易明細!$B$2:$B$96,$A7,交易明細!$J$2:$J$96,"止盈")</f>
        <v/>
      </c>
      <c r="G7" s="2">
        <f>COUNTIFS(交易明細!$B$2:$B$96,$A7,交易明細!$J$2:$J$96,"止損")</f>
        <v/>
      </c>
      <c r="H7" s="4">
        <f>IFERROR(F7/E7,0)</f>
        <v/>
      </c>
      <c r="I7" s="4">
        <f>IFERROR(AVERAGEIFS(交易明細!$L$2:$L$96,交易明細!$B$2:$B$96,$A7,交易明細!$J$2:$J$96,"&lt;&gt;未平倉"),0)</f>
        <v/>
      </c>
      <c r="J7" s="4">
        <f>SUMIFS(交易明細!$L$2:$L$96,交易明細!$B$2:$B$96,$A7,交易明細!$J$2:$J$96,"&lt;&gt;未平倉")</f>
        <v/>
      </c>
      <c r="K7" s="5">
        <f>IFERROR(AVERAGEIFS(交易明細!$K$2:$K$96,交易明細!$B$2:$B$96,$A7,交易明細!$J$2:$J$96,"&lt;&gt;未平倉"),0)</f>
        <v/>
      </c>
      <c r="L7" s="2">
        <f>COUNTIFS(交易明細!$B$2:$B$96,$A7,交易明細!$J$2:$J$96,"未平倉")</f>
        <v/>
      </c>
    </row>
    <row r="8">
      <c r="A8" s="2" t="inlineStr">
        <is>
          <t>ARX_USDT_PERP</t>
        </is>
      </c>
      <c r="B8" s="2">
        <f>COUNTIFS(交易明細!$B$2:$B$96,$A8)</f>
        <v/>
      </c>
      <c r="C8" s="2">
        <f>COUNTIFS(交易明細!$B$2:$B$96,$A8,交易明細!$C$2:$C$96,"做多")</f>
        <v/>
      </c>
      <c r="D8" s="2">
        <f>COUNTIFS(交易明細!$B$2:$B$96,$A8,交易明細!$C$2:$C$96,"做空")</f>
        <v/>
      </c>
      <c r="E8" s="2">
        <f>F8+G8+COUNTIFS(交易明細!$B$2:$B$96,$A8,交易明細!$J$2:$J$96,"時間出場")</f>
        <v/>
      </c>
      <c r="F8" s="2">
        <f>COUNTIFS(交易明細!$B$2:$B$96,$A8,交易明細!$J$2:$J$96,"止盈")</f>
        <v/>
      </c>
      <c r="G8" s="2">
        <f>COUNTIFS(交易明細!$B$2:$B$96,$A8,交易明細!$J$2:$J$96,"止損")</f>
        <v/>
      </c>
      <c r="H8" s="4">
        <f>IFERROR(F8/E8,0)</f>
        <v/>
      </c>
      <c r="I8" s="4">
        <f>IFERROR(AVERAGEIFS(交易明細!$L$2:$L$96,交易明細!$B$2:$B$96,$A8,交易明細!$J$2:$J$96,"&lt;&gt;未平倉"),0)</f>
        <v/>
      </c>
      <c r="J8" s="4">
        <f>SUMIFS(交易明細!$L$2:$L$96,交易明細!$B$2:$B$96,$A8,交易明細!$J$2:$J$96,"&lt;&gt;未平倉")</f>
        <v/>
      </c>
      <c r="K8" s="5">
        <f>IFERROR(AVERAGEIFS(交易明細!$K$2:$K$96,交易明細!$B$2:$B$96,$A8,交易明細!$J$2:$J$96,"&lt;&gt;未平倉"),0)</f>
        <v/>
      </c>
      <c r="L8" s="2">
        <f>COUNTIFS(交易明細!$B$2:$B$96,$A8,交易明細!$J$2:$J$96,"未平倉")</f>
        <v/>
      </c>
    </row>
    <row r="9">
      <c r="A9" s="2" t="inlineStr">
        <is>
          <t>AGT_USDT_PERP</t>
        </is>
      </c>
      <c r="B9" s="2">
        <f>COUNTIFS(交易明細!$B$2:$B$96,$A9)</f>
        <v/>
      </c>
      <c r="C9" s="2">
        <f>COUNTIFS(交易明細!$B$2:$B$96,$A9,交易明細!$C$2:$C$96,"做多")</f>
        <v/>
      </c>
      <c r="D9" s="2">
        <f>COUNTIFS(交易明細!$B$2:$B$96,$A9,交易明細!$C$2:$C$96,"做空")</f>
        <v/>
      </c>
      <c r="E9" s="2">
        <f>F9+G9+COUNTIFS(交易明細!$B$2:$B$96,$A9,交易明細!$J$2:$J$96,"時間出場")</f>
        <v/>
      </c>
      <c r="F9" s="2">
        <f>COUNTIFS(交易明細!$B$2:$B$96,$A9,交易明細!$J$2:$J$96,"止盈")</f>
        <v/>
      </c>
      <c r="G9" s="2">
        <f>COUNTIFS(交易明細!$B$2:$B$96,$A9,交易明細!$J$2:$J$96,"止損")</f>
        <v/>
      </c>
      <c r="H9" s="4">
        <f>IFERROR(F9/E9,0)</f>
        <v/>
      </c>
      <c r="I9" s="4">
        <f>IFERROR(AVERAGEIFS(交易明細!$L$2:$L$96,交易明細!$B$2:$B$96,$A9,交易明細!$J$2:$J$96,"&lt;&gt;未平倉"),0)</f>
        <v/>
      </c>
      <c r="J9" s="4">
        <f>SUMIFS(交易明細!$L$2:$L$96,交易明細!$B$2:$B$96,$A9,交易明細!$J$2:$J$96,"&lt;&gt;未平倉")</f>
        <v/>
      </c>
      <c r="K9" s="5">
        <f>IFERROR(AVERAGEIFS(交易明細!$K$2:$K$96,交易明細!$B$2:$B$96,$A9,交易明細!$J$2:$J$96,"&lt;&gt;未平倉"),0)</f>
        <v/>
      </c>
      <c r="L9" s="2">
        <f>COUNTIFS(交易明細!$B$2:$B$96,$A9,交易明細!$J$2:$J$96,"未平倉")</f>
        <v/>
      </c>
    </row>
    <row r="10">
      <c r="A10" s="2" t="inlineStr">
        <is>
          <t>PHA_USDT_PERP</t>
        </is>
      </c>
      <c r="B10" s="2">
        <f>COUNTIFS(交易明細!$B$2:$B$96,$A10)</f>
        <v/>
      </c>
      <c r="C10" s="2">
        <f>COUNTIFS(交易明細!$B$2:$B$96,$A10,交易明細!$C$2:$C$96,"做多")</f>
        <v/>
      </c>
      <c r="D10" s="2">
        <f>COUNTIFS(交易明細!$B$2:$B$96,$A10,交易明細!$C$2:$C$96,"做空")</f>
        <v/>
      </c>
      <c r="E10" s="2">
        <f>F10+G10+COUNTIFS(交易明細!$B$2:$B$96,$A10,交易明細!$J$2:$J$96,"時間出場")</f>
        <v/>
      </c>
      <c r="F10" s="2">
        <f>COUNTIFS(交易明細!$B$2:$B$96,$A10,交易明細!$J$2:$J$96,"止盈")</f>
        <v/>
      </c>
      <c r="G10" s="2">
        <f>COUNTIFS(交易明細!$B$2:$B$96,$A10,交易明細!$J$2:$J$96,"止損")</f>
        <v/>
      </c>
      <c r="H10" s="4">
        <f>IFERROR(F10/E10,0)</f>
        <v/>
      </c>
      <c r="I10" s="4">
        <f>IFERROR(AVERAGEIFS(交易明細!$L$2:$L$96,交易明細!$B$2:$B$96,$A10,交易明細!$J$2:$J$96,"&lt;&gt;未平倉"),0)</f>
        <v/>
      </c>
      <c r="J10" s="4">
        <f>SUMIFS(交易明細!$L$2:$L$96,交易明細!$B$2:$B$96,$A10,交易明細!$J$2:$J$96,"&lt;&gt;未平倉")</f>
        <v/>
      </c>
      <c r="K10" s="5">
        <f>IFERROR(AVERAGEIFS(交易明細!$K$2:$K$96,交易明細!$B$2:$B$96,$A10,交易明細!$J$2:$J$96,"&lt;&gt;未平倉"),0)</f>
        <v/>
      </c>
      <c r="L10" s="2">
        <f>COUNTIFS(交易明細!$B$2:$B$96,$A10,交易明細!$J$2:$J$96,"未平倉")</f>
        <v/>
      </c>
    </row>
    <row r="11">
      <c r="A11" s="2" t="inlineStr">
        <is>
          <t>SPK_USDT_PERP</t>
        </is>
      </c>
      <c r="B11" s="2">
        <f>COUNTIFS(交易明細!$B$2:$B$96,$A11)</f>
        <v/>
      </c>
      <c r="C11" s="2">
        <f>COUNTIFS(交易明細!$B$2:$B$96,$A11,交易明細!$C$2:$C$96,"做多")</f>
        <v/>
      </c>
      <c r="D11" s="2">
        <f>COUNTIFS(交易明細!$B$2:$B$96,$A11,交易明細!$C$2:$C$96,"做空")</f>
        <v/>
      </c>
      <c r="E11" s="2">
        <f>F11+G11+COUNTIFS(交易明細!$B$2:$B$96,$A11,交易明細!$J$2:$J$96,"時間出場")</f>
        <v/>
      </c>
      <c r="F11" s="2">
        <f>COUNTIFS(交易明細!$B$2:$B$96,$A11,交易明細!$J$2:$J$96,"止盈")</f>
        <v/>
      </c>
      <c r="G11" s="2">
        <f>COUNTIFS(交易明細!$B$2:$B$96,$A11,交易明細!$J$2:$J$96,"止損")</f>
        <v/>
      </c>
      <c r="H11" s="4">
        <f>IFERROR(F11/E11,0)</f>
        <v/>
      </c>
      <c r="I11" s="4">
        <f>IFERROR(AVERAGEIFS(交易明細!$L$2:$L$96,交易明細!$B$2:$B$96,$A11,交易明細!$J$2:$J$96,"&lt;&gt;未平倉"),0)</f>
        <v/>
      </c>
      <c r="J11" s="4">
        <f>SUMIFS(交易明細!$L$2:$L$96,交易明細!$B$2:$B$96,$A11,交易明細!$J$2:$J$96,"&lt;&gt;未平倉")</f>
        <v/>
      </c>
      <c r="K11" s="5">
        <f>IFERROR(AVERAGEIFS(交易明細!$K$2:$K$96,交易明細!$B$2:$B$96,$A11,交易明細!$J$2:$J$96,"&lt;&gt;未平倉"),0)</f>
        <v/>
      </c>
      <c r="L11" s="2">
        <f>COUNTIFS(交易明細!$B$2:$B$96,$A11,交易明細!$J$2:$J$96,"未平倉")</f>
        <v/>
      </c>
    </row>
    <row r="12">
      <c r="A12" s="2" t="inlineStr">
        <is>
          <t>2Z_USDT_PERP</t>
        </is>
      </c>
      <c r="B12" s="2">
        <f>COUNTIFS(交易明細!$B$2:$B$96,$A12)</f>
        <v/>
      </c>
      <c r="C12" s="2">
        <f>COUNTIFS(交易明細!$B$2:$B$96,$A12,交易明細!$C$2:$C$96,"做多")</f>
        <v/>
      </c>
      <c r="D12" s="2">
        <f>COUNTIFS(交易明細!$B$2:$B$96,$A12,交易明細!$C$2:$C$96,"做空")</f>
        <v/>
      </c>
      <c r="E12" s="2">
        <f>F12+G12+COUNTIFS(交易明細!$B$2:$B$96,$A12,交易明細!$J$2:$J$96,"時間出場")</f>
        <v/>
      </c>
      <c r="F12" s="2">
        <f>COUNTIFS(交易明細!$B$2:$B$96,$A12,交易明細!$J$2:$J$96,"止盈")</f>
        <v/>
      </c>
      <c r="G12" s="2">
        <f>COUNTIFS(交易明細!$B$2:$B$96,$A12,交易明細!$J$2:$J$96,"止損")</f>
        <v/>
      </c>
      <c r="H12" s="4">
        <f>IFERROR(F12/E12,0)</f>
        <v/>
      </c>
      <c r="I12" s="4">
        <f>IFERROR(AVERAGEIFS(交易明細!$L$2:$L$96,交易明細!$B$2:$B$96,$A12,交易明細!$J$2:$J$96,"&lt;&gt;未平倉"),0)</f>
        <v/>
      </c>
      <c r="J12" s="4">
        <f>SUMIFS(交易明細!$L$2:$L$96,交易明細!$B$2:$B$96,$A12,交易明細!$J$2:$J$96,"&lt;&gt;未平倉")</f>
        <v/>
      </c>
      <c r="K12" s="5">
        <f>IFERROR(AVERAGEIFS(交易明細!$K$2:$K$96,交易明細!$B$2:$B$96,$A12,交易明細!$J$2:$J$96,"&lt;&gt;未平倉"),0)</f>
        <v/>
      </c>
      <c r="L12" s="2">
        <f>COUNTIFS(交易明細!$B$2:$B$96,$A12,交易明細!$J$2:$J$96,"未平倉")</f>
        <v/>
      </c>
    </row>
    <row r="13">
      <c r="A13" s="2" t="inlineStr">
        <is>
          <t>FIL_USDT_PERP</t>
        </is>
      </c>
      <c r="B13" s="2">
        <f>COUNTIFS(交易明細!$B$2:$B$96,$A13)</f>
        <v/>
      </c>
      <c r="C13" s="2">
        <f>COUNTIFS(交易明細!$B$2:$B$96,$A13,交易明細!$C$2:$C$96,"做多")</f>
        <v/>
      </c>
      <c r="D13" s="2">
        <f>COUNTIFS(交易明細!$B$2:$B$96,$A13,交易明細!$C$2:$C$96,"做空")</f>
        <v/>
      </c>
      <c r="E13" s="2">
        <f>F13+G13+COUNTIFS(交易明細!$B$2:$B$96,$A13,交易明細!$J$2:$J$96,"時間出場")</f>
        <v/>
      </c>
      <c r="F13" s="2">
        <f>COUNTIFS(交易明細!$B$2:$B$96,$A13,交易明細!$J$2:$J$96,"止盈")</f>
        <v/>
      </c>
      <c r="G13" s="2">
        <f>COUNTIFS(交易明細!$B$2:$B$96,$A13,交易明細!$J$2:$J$96,"止損")</f>
        <v/>
      </c>
      <c r="H13" s="4">
        <f>IFERROR(F13/E13,0)</f>
        <v/>
      </c>
      <c r="I13" s="4">
        <f>IFERROR(AVERAGEIFS(交易明細!$L$2:$L$96,交易明細!$B$2:$B$96,$A13,交易明細!$J$2:$J$96,"&lt;&gt;未平倉"),0)</f>
        <v/>
      </c>
      <c r="J13" s="4">
        <f>SUMIFS(交易明細!$L$2:$L$96,交易明細!$B$2:$B$96,$A13,交易明細!$J$2:$J$96,"&lt;&gt;未平倉")</f>
        <v/>
      </c>
      <c r="K13" s="5">
        <f>IFERROR(AVERAGEIFS(交易明細!$K$2:$K$96,交易明細!$B$2:$B$96,$A13,交易明細!$J$2:$J$96,"&lt;&gt;未平倉"),0)</f>
        <v/>
      </c>
      <c r="L13" s="2">
        <f>COUNTIFS(交易明細!$B$2:$B$96,$A13,交易明細!$J$2:$J$96,"未平倉")</f>
        <v/>
      </c>
    </row>
    <row r="14">
      <c r="A14" s="2" t="inlineStr">
        <is>
          <t>SOON_USDT_PERP</t>
        </is>
      </c>
      <c r="B14" s="2">
        <f>COUNTIFS(交易明細!$B$2:$B$96,$A14)</f>
        <v/>
      </c>
      <c r="C14" s="2">
        <f>COUNTIFS(交易明細!$B$2:$B$96,$A14,交易明細!$C$2:$C$96,"做多")</f>
        <v/>
      </c>
      <c r="D14" s="2">
        <f>COUNTIFS(交易明細!$B$2:$B$96,$A14,交易明細!$C$2:$C$96,"做空")</f>
        <v/>
      </c>
      <c r="E14" s="2">
        <f>F14+G14+COUNTIFS(交易明細!$B$2:$B$96,$A14,交易明細!$J$2:$J$96,"時間出場")</f>
        <v/>
      </c>
      <c r="F14" s="2">
        <f>COUNTIFS(交易明細!$B$2:$B$96,$A14,交易明細!$J$2:$J$96,"止盈")</f>
        <v/>
      </c>
      <c r="G14" s="2">
        <f>COUNTIFS(交易明細!$B$2:$B$96,$A14,交易明細!$J$2:$J$96,"止損")</f>
        <v/>
      </c>
      <c r="H14" s="4">
        <f>IFERROR(F14/E14,0)</f>
        <v/>
      </c>
      <c r="I14" s="4">
        <f>IFERROR(AVERAGEIFS(交易明細!$L$2:$L$96,交易明細!$B$2:$B$96,$A14,交易明細!$J$2:$J$96,"&lt;&gt;未平倉"),0)</f>
        <v/>
      </c>
      <c r="J14" s="4">
        <f>SUMIFS(交易明細!$L$2:$L$96,交易明細!$B$2:$B$96,$A14,交易明細!$J$2:$J$96,"&lt;&gt;未平倉")</f>
        <v/>
      </c>
      <c r="K14" s="5">
        <f>IFERROR(AVERAGEIFS(交易明細!$K$2:$K$96,交易明細!$B$2:$B$96,$A14,交易明細!$J$2:$J$96,"&lt;&gt;未平倉"),0)</f>
        <v/>
      </c>
      <c r="L14" s="2">
        <f>COUNTIFS(交易明細!$B$2:$B$96,$A14,交易明細!$J$2:$J$96,"未平倉")</f>
        <v/>
      </c>
    </row>
    <row r="15">
      <c r="A15" s="2" t="inlineStr">
        <is>
          <t>AKE_USDT_PERP</t>
        </is>
      </c>
      <c r="B15" s="2">
        <f>COUNTIFS(交易明細!$B$2:$B$96,$A15)</f>
        <v/>
      </c>
      <c r="C15" s="2">
        <f>COUNTIFS(交易明細!$B$2:$B$96,$A15,交易明細!$C$2:$C$96,"做多")</f>
        <v/>
      </c>
      <c r="D15" s="2">
        <f>COUNTIFS(交易明細!$B$2:$B$96,$A15,交易明細!$C$2:$C$96,"做空")</f>
        <v/>
      </c>
      <c r="E15" s="2">
        <f>F15+G15+COUNTIFS(交易明細!$B$2:$B$96,$A15,交易明細!$J$2:$J$96,"時間出場")</f>
        <v/>
      </c>
      <c r="F15" s="2">
        <f>COUNTIFS(交易明細!$B$2:$B$96,$A15,交易明細!$J$2:$J$96,"止盈")</f>
        <v/>
      </c>
      <c r="G15" s="2">
        <f>COUNTIFS(交易明細!$B$2:$B$96,$A15,交易明細!$J$2:$J$96,"止損")</f>
        <v/>
      </c>
      <c r="H15" s="4">
        <f>IFERROR(F15/E15,0)</f>
        <v/>
      </c>
      <c r="I15" s="4">
        <f>IFERROR(AVERAGEIFS(交易明細!$L$2:$L$96,交易明細!$B$2:$B$96,$A15,交易明細!$J$2:$J$96,"&lt;&gt;未平倉"),0)</f>
        <v/>
      </c>
      <c r="J15" s="4">
        <f>SUMIFS(交易明細!$L$2:$L$96,交易明細!$B$2:$B$96,$A15,交易明細!$J$2:$J$96,"&lt;&gt;未平倉")</f>
        <v/>
      </c>
      <c r="K15" s="5">
        <f>IFERROR(AVERAGEIFS(交易明細!$K$2:$K$96,交易明細!$B$2:$B$96,$A15,交易明細!$J$2:$J$96,"&lt;&gt;未平倉"),0)</f>
        <v/>
      </c>
      <c r="L15" s="2">
        <f>COUNTIFS(交易明細!$B$2:$B$96,$A15,交易明細!$J$2:$J$96,"未平倉")</f>
        <v/>
      </c>
    </row>
    <row r="16">
      <c r="A16" s="2" t="inlineStr">
        <is>
          <t>PROS_USDT_PERP</t>
        </is>
      </c>
      <c r="B16" s="2">
        <f>COUNTIFS(交易明細!$B$2:$B$96,$A16)</f>
        <v/>
      </c>
      <c r="C16" s="2">
        <f>COUNTIFS(交易明細!$B$2:$B$96,$A16,交易明細!$C$2:$C$96,"做多")</f>
        <v/>
      </c>
      <c r="D16" s="2">
        <f>COUNTIFS(交易明細!$B$2:$B$96,$A16,交易明細!$C$2:$C$96,"做空")</f>
        <v/>
      </c>
      <c r="E16" s="2">
        <f>F16+G16+COUNTIFS(交易明細!$B$2:$B$96,$A16,交易明細!$J$2:$J$96,"時間出場")</f>
        <v/>
      </c>
      <c r="F16" s="2">
        <f>COUNTIFS(交易明細!$B$2:$B$96,$A16,交易明細!$J$2:$J$96,"止盈")</f>
        <v/>
      </c>
      <c r="G16" s="2">
        <f>COUNTIFS(交易明細!$B$2:$B$96,$A16,交易明細!$J$2:$J$96,"止損")</f>
        <v/>
      </c>
      <c r="H16" s="4">
        <f>IFERROR(F16/E16,0)</f>
        <v/>
      </c>
      <c r="I16" s="4">
        <f>IFERROR(AVERAGEIFS(交易明細!$L$2:$L$96,交易明細!$B$2:$B$96,$A16,交易明細!$J$2:$J$96,"&lt;&gt;未平倉"),0)</f>
        <v/>
      </c>
      <c r="J16" s="4">
        <f>SUMIFS(交易明細!$L$2:$L$96,交易明細!$B$2:$B$96,$A16,交易明細!$J$2:$J$96,"&lt;&gt;未平倉")</f>
        <v/>
      </c>
      <c r="K16" s="5">
        <f>IFERROR(AVERAGEIFS(交易明細!$K$2:$K$96,交易明細!$B$2:$B$96,$A16,交易明細!$J$2:$J$96,"&lt;&gt;未平倉"),0)</f>
        <v/>
      </c>
      <c r="L16" s="2">
        <f>COUNTIFS(交易明細!$B$2:$B$96,$A16,交易明細!$J$2:$J$96,"未平倉")</f>
        <v/>
      </c>
    </row>
    <row r="17">
      <c r="A17" s="2" t="inlineStr">
        <is>
          <t>MAGMA_USDT_PERP</t>
        </is>
      </c>
      <c r="B17" s="2">
        <f>COUNTIFS(交易明細!$B$2:$B$96,$A17)</f>
        <v/>
      </c>
      <c r="C17" s="2">
        <f>COUNTIFS(交易明細!$B$2:$B$96,$A17,交易明細!$C$2:$C$96,"做多")</f>
        <v/>
      </c>
      <c r="D17" s="2">
        <f>COUNTIFS(交易明細!$B$2:$B$96,$A17,交易明細!$C$2:$C$96,"做空")</f>
        <v/>
      </c>
      <c r="E17" s="2">
        <f>F17+G17+COUNTIFS(交易明細!$B$2:$B$96,$A17,交易明細!$J$2:$J$96,"時間出場")</f>
        <v/>
      </c>
      <c r="F17" s="2">
        <f>COUNTIFS(交易明細!$B$2:$B$96,$A17,交易明細!$J$2:$J$96,"止盈")</f>
        <v/>
      </c>
      <c r="G17" s="2">
        <f>COUNTIFS(交易明細!$B$2:$B$96,$A17,交易明細!$J$2:$J$96,"止損")</f>
        <v/>
      </c>
      <c r="H17" s="4">
        <f>IFERROR(F17/E17,0)</f>
        <v/>
      </c>
      <c r="I17" s="4">
        <f>IFERROR(AVERAGEIFS(交易明細!$L$2:$L$96,交易明細!$B$2:$B$96,$A17,交易明細!$J$2:$J$96,"&lt;&gt;未平倉"),0)</f>
        <v/>
      </c>
      <c r="J17" s="4">
        <f>SUMIFS(交易明細!$L$2:$L$96,交易明細!$B$2:$B$96,$A17,交易明細!$J$2:$J$96,"&lt;&gt;未平倉")</f>
        <v/>
      </c>
      <c r="K17" s="5">
        <f>IFERROR(AVERAGEIFS(交易明細!$K$2:$K$96,交易明細!$B$2:$B$96,$A17,交易明細!$J$2:$J$96,"&lt;&gt;未平倉"),0)</f>
        <v/>
      </c>
      <c r="L17" s="2">
        <f>COUNTIFS(交易明細!$B$2:$B$96,$A17,交易明細!$J$2:$J$96,"未平倉")</f>
        <v/>
      </c>
    </row>
    <row r="18">
      <c r="A18" s="2" t="inlineStr">
        <is>
          <t>UP_USDT_PERP</t>
        </is>
      </c>
      <c r="B18" s="2">
        <f>COUNTIFS(交易明細!$B$2:$B$96,$A18)</f>
        <v/>
      </c>
      <c r="C18" s="2">
        <f>COUNTIFS(交易明細!$B$2:$B$96,$A18,交易明細!$C$2:$C$96,"做多")</f>
        <v/>
      </c>
      <c r="D18" s="2">
        <f>COUNTIFS(交易明細!$B$2:$B$96,$A18,交易明細!$C$2:$C$96,"做空")</f>
        <v/>
      </c>
      <c r="E18" s="2">
        <f>F18+G18+COUNTIFS(交易明細!$B$2:$B$96,$A18,交易明細!$J$2:$J$96,"時間出場")</f>
        <v/>
      </c>
      <c r="F18" s="2">
        <f>COUNTIFS(交易明細!$B$2:$B$96,$A18,交易明細!$J$2:$J$96,"止盈")</f>
        <v/>
      </c>
      <c r="G18" s="2">
        <f>COUNTIFS(交易明細!$B$2:$B$96,$A18,交易明細!$J$2:$J$96,"止損")</f>
        <v/>
      </c>
      <c r="H18" s="4">
        <f>IFERROR(F18/E18,0)</f>
        <v/>
      </c>
      <c r="I18" s="4">
        <f>IFERROR(AVERAGEIFS(交易明細!$L$2:$L$96,交易明細!$B$2:$B$96,$A18,交易明細!$J$2:$J$96,"&lt;&gt;未平倉"),0)</f>
        <v/>
      </c>
      <c r="J18" s="4">
        <f>SUMIFS(交易明細!$L$2:$L$96,交易明細!$B$2:$B$96,$A18,交易明細!$J$2:$J$96,"&lt;&gt;未平倉")</f>
        <v/>
      </c>
      <c r="K18" s="5">
        <f>IFERROR(AVERAGEIFS(交易明細!$K$2:$K$96,交易明細!$B$2:$B$96,$A18,交易明細!$J$2:$J$96,"&lt;&gt;未平倉"),0)</f>
        <v/>
      </c>
      <c r="L18" s="2">
        <f>COUNTIFS(交易明細!$B$2:$B$96,$A18,交易明細!$J$2:$J$96,"未平倉")</f>
        <v/>
      </c>
    </row>
    <row r="19">
      <c r="A19" s="2" t="inlineStr">
        <is>
          <t>MET_USDT_PERP</t>
        </is>
      </c>
      <c r="B19" s="2">
        <f>COUNTIFS(交易明細!$B$2:$B$96,$A19)</f>
        <v/>
      </c>
      <c r="C19" s="2">
        <f>COUNTIFS(交易明細!$B$2:$B$96,$A19,交易明細!$C$2:$C$96,"做多")</f>
        <v/>
      </c>
      <c r="D19" s="2">
        <f>COUNTIFS(交易明細!$B$2:$B$96,$A19,交易明細!$C$2:$C$96,"做空")</f>
        <v/>
      </c>
      <c r="E19" s="2">
        <f>F19+G19+COUNTIFS(交易明細!$B$2:$B$96,$A19,交易明細!$J$2:$J$96,"時間出場")</f>
        <v/>
      </c>
      <c r="F19" s="2">
        <f>COUNTIFS(交易明細!$B$2:$B$96,$A19,交易明細!$J$2:$J$96,"止盈")</f>
        <v/>
      </c>
      <c r="G19" s="2">
        <f>COUNTIFS(交易明細!$B$2:$B$96,$A19,交易明細!$J$2:$J$96,"止損")</f>
        <v/>
      </c>
      <c r="H19" s="4">
        <f>IFERROR(F19/E19,0)</f>
        <v/>
      </c>
      <c r="I19" s="4">
        <f>IFERROR(AVERAGEIFS(交易明細!$L$2:$L$96,交易明細!$B$2:$B$96,$A19,交易明細!$J$2:$J$96,"&lt;&gt;未平倉"),0)</f>
        <v/>
      </c>
      <c r="J19" s="4">
        <f>SUMIFS(交易明細!$L$2:$L$96,交易明細!$B$2:$B$96,$A19,交易明細!$J$2:$J$96,"&lt;&gt;未平倉")</f>
        <v/>
      </c>
      <c r="K19" s="5">
        <f>IFERROR(AVERAGEIFS(交易明細!$K$2:$K$96,交易明細!$B$2:$B$96,$A19,交易明細!$J$2:$J$96,"&lt;&gt;未平倉"),0)</f>
        <v/>
      </c>
      <c r="L19" s="2">
        <f>COUNTIFS(交易明細!$B$2:$B$96,$A19,交易明細!$J$2:$J$96,"未平倉")</f>
        <v/>
      </c>
    </row>
    <row r="20">
      <c r="A20" s="2" t="inlineStr">
        <is>
          <t>BROCCOLI_USDT_PERP</t>
        </is>
      </c>
      <c r="B20" s="2">
        <f>COUNTIFS(交易明細!$B$2:$B$96,$A20)</f>
        <v/>
      </c>
      <c r="C20" s="2">
        <f>COUNTIFS(交易明細!$B$2:$B$96,$A20,交易明細!$C$2:$C$96,"做多")</f>
        <v/>
      </c>
      <c r="D20" s="2">
        <f>COUNTIFS(交易明細!$B$2:$B$96,$A20,交易明細!$C$2:$C$96,"做空")</f>
        <v/>
      </c>
      <c r="E20" s="2">
        <f>F20+G20+COUNTIFS(交易明細!$B$2:$B$96,$A20,交易明細!$J$2:$J$96,"時間出場")</f>
        <v/>
      </c>
      <c r="F20" s="2">
        <f>COUNTIFS(交易明細!$B$2:$B$96,$A20,交易明細!$J$2:$J$96,"止盈")</f>
        <v/>
      </c>
      <c r="G20" s="2">
        <f>COUNTIFS(交易明細!$B$2:$B$96,$A20,交易明細!$J$2:$J$96,"止損")</f>
        <v/>
      </c>
      <c r="H20" s="4">
        <f>IFERROR(F20/E20,0)</f>
        <v/>
      </c>
      <c r="I20" s="4">
        <f>IFERROR(AVERAGEIFS(交易明細!$L$2:$L$96,交易明細!$B$2:$B$96,$A20,交易明細!$J$2:$J$96,"&lt;&gt;未平倉"),0)</f>
        <v/>
      </c>
      <c r="J20" s="4">
        <f>SUMIFS(交易明細!$L$2:$L$96,交易明細!$B$2:$B$96,$A20,交易明細!$J$2:$J$96,"&lt;&gt;未平倉")</f>
        <v/>
      </c>
      <c r="K20" s="5">
        <f>IFERROR(AVERAGEIFS(交易明細!$K$2:$K$96,交易明細!$B$2:$B$96,$A20,交易明細!$J$2:$J$96,"&lt;&gt;未平倉"),0)</f>
        <v/>
      </c>
      <c r="L20" s="2">
        <f>COUNTIFS(交易明細!$B$2:$B$96,$A20,交易明細!$J$2:$J$96,"未平倉")</f>
        <v/>
      </c>
    </row>
    <row r="21">
      <c r="A21" s="2" t="inlineStr">
        <is>
          <t>BB_USDT_PERP</t>
        </is>
      </c>
      <c r="B21" s="2">
        <f>COUNTIFS(交易明細!$B$2:$B$96,$A21)</f>
        <v/>
      </c>
      <c r="C21" s="2">
        <f>COUNTIFS(交易明細!$B$2:$B$96,$A21,交易明細!$C$2:$C$96,"做多")</f>
        <v/>
      </c>
      <c r="D21" s="2">
        <f>COUNTIFS(交易明細!$B$2:$B$96,$A21,交易明細!$C$2:$C$96,"做空")</f>
        <v/>
      </c>
      <c r="E21" s="2">
        <f>F21+G21+COUNTIFS(交易明細!$B$2:$B$96,$A21,交易明細!$J$2:$J$96,"時間出場")</f>
        <v/>
      </c>
      <c r="F21" s="2">
        <f>COUNTIFS(交易明細!$B$2:$B$96,$A21,交易明細!$J$2:$J$96,"止盈")</f>
        <v/>
      </c>
      <c r="G21" s="2">
        <f>COUNTIFS(交易明細!$B$2:$B$96,$A21,交易明細!$J$2:$J$96,"止損")</f>
        <v/>
      </c>
      <c r="H21" s="4">
        <f>IFERROR(F21/E21,0)</f>
        <v/>
      </c>
      <c r="I21" s="4">
        <f>IFERROR(AVERAGEIFS(交易明細!$L$2:$L$96,交易明細!$B$2:$B$96,$A21,交易明細!$J$2:$J$96,"&lt;&gt;未平倉"),0)</f>
        <v/>
      </c>
      <c r="J21" s="4">
        <f>SUMIFS(交易明細!$L$2:$L$96,交易明細!$B$2:$B$96,$A21,交易明細!$J$2:$J$96,"&lt;&gt;未平倉")</f>
        <v/>
      </c>
      <c r="K21" s="5">
        <f>IFERROR(AVERAGEIFS(交易明細!$K$2:$K$96,交易明細!$B$2:$B$96,$A21,交易明細!$J$2:$J$96,"&lt;&gt;未平倉"),0)</f>
        <v/>
      </c>
      <c r="L21" s="2">
        <f>COUNTIFS(交易明細!$B$2:$B$96,$A21,交易明細!$J$2:$J$96,"未平倉")</f>
        <v/>
      </c>
    </row>
    <row r="22">
      <c r="A22" s="2" t="inlineStr">
        <is>
          <t>RIVER_USDT_PERP</t>
        </is>
      </c>
      <c r="B22" s="2">
        <f>COUNTIFS(交易明細!$B$2:$B$96,$A22)</f>
        <v/>
      </c>
      <c r="C22" s="2">
        <f>COUNTIFS(交易明細!$B$2:$B$96,$A22,交易明細!$C$2:$C$96,"做多")</f>
        <v/>
      </c>
      <c r="D22" s="2">
        <f>COUNTIFS(交易明細!$B$2:$B$96,$A22,交易明細!$C$2:$C$96,"做空")</f>
        <v/>
      </c>
      <c r="E22" s="2">
        <f>F22+G22+COUNTIFS(交易明細!$B$2:$B$96,$A22,交易明細!$J$2:$J$96,"時間出場")</f>
        <v/>
      </c>
      <c r="F22" s="2">
        <f>COUNTIFS(交易明細!$B$2:$B$96,$A22,交易明細!$J$2:$J$96,"止盈")</f>
        <v/>
      </c>
      <c r="G22" s="2">
        <f>COUNTIFS(交易明細!$B$2:$B$96,$A22,交易明細!$J$2:$J$96,"止損")</f>
        <v/>
      </c>
      <c r="H22" s="4">
        <f>IFERROR(F22/E22,0)</f>
        <v/>
      </c>
      <c r="I22" s="4">
        <f>IFERROR(AVERAGEIFS(交易明細!$L$2:$L$96,交易明細!$B$2:$B$96,$A22,交易明細!$J$2:$J$96,"&lt;&gt;未平倉"),0)</f>
        <v/>
      </c>
      <c r="J22" s="4">
        <f>SUMIFS(交易明細!$L$2:$L$96,交易明細!$B$2:$B$96,$A22,交易明細!$J$2:$J$96,"&lt;&gt;未平倉")</f>
        <v/>
      </c>
      <c r="K22" s="5">
        <f>IFERROR(AVERAGEIFS(交易明細!$K$2:$K$96,交易明細!$B$2:$B$96,$A22,交易明細!$J$2:$J$96,"&lt;&gt;未平倉"),0)</f>
        <v/>
      </c>
      <c r="L22" s="2">
        <f>COUNTIFS(交易明細!$B$2:$B$96,$A22,交易明細!$J$2:$J$96,"未平倉")</f>
        <v/>
      </c>
    </row>
    <row r="23">
      <c r="A23" s="2" t="inlineStr">
        <is>
          <t>LAB_USDT_PERP</t>
        </is>
      </c>
      <c r="B23" s="2">
        <f>COUNTIFS(交易明細!$B$2:$B$96,$A23)</f>
        <v/>
      </c>
      <c r="C23" s="2">
        <f>COUNTIFS(交易明細!$B$2:$B$96,$A23,交易明細!$C$2:$C$96,"做多")</f>
        <v/>
      </c>
      <c r="D23" s="2">
        <f>COUNTIFS(交易明細!$B$2:$B$96,$A23,交易明細!$C$2:$C$96,"做空")</f>
        <v/>
      </c>
      <c r="E23" s="2">
        <f>F23+G23+COUNTIFS(交易明細!$B$2:$B$96,$A23,交易明細!$J$2:$J$96,"時間出場")</f>
        <v/>
      </c>
      <c r="F23" s="2">
        <f>COUNTIFS(交易明細!$B$2:$B$96,$A23,交易明細!$J$2:$J$96,"止盈")</f>
        <v/>
      </c>
      <c r="G23" s="2">
        <f>COUNTIFS(交易明細!$B$2:$B$96,$A23,交易明細!$J$2:$J$96,"止損")</f>
        <v/>
      </c>
      <c r="H23" s="4">
        <f>IFERROR(F23/E23,0)</f>
        <v/>
      </c>
      <c r="I23" s="4">
        <f>IFERROR(AVERAGEIFS(交易明細!$L$2:$L$96,交易明細!$B$2:$B$96,$A23,交易明細!$J$2:$J$96,"&lt;&gt;未平倉"),0)</f>
        <v/>
      </c>
      <c r="J23" s="4">
        <f>SUMIFS(交易明細!$L$2:$L$96,交易明細!$B$2:$B$96,$A23,交易明細!$J$2:$J$96,"&lt;&gt;未平倉")</f>
        <v/>
      </c>
      <c r="K23" s="5">
        <f>IFERROR(AVERAGEIFS(交易明細!$K$2:$K$96,交易明細!$B$2:$B$96,$A23,交易明細!$J$2:$J$96,"&lt;&gt;未平倉"),0)</f>
        <v/>
      </c>
      <c r="L23" s="2">
        <f>COUNTIFS(交易明細!$B$2:$B$96,$A23,交易明細!$J$2:$J$96,"未平倉")</f>
        <v/>
      </c>
    </row>
    <row r="24">
      <c r="A24" s="2" t="inlineStr">
        <is>
          <t>SAGA_USDT_PERP</t>
        </is>
      </c>
      <c r="B24" s="2">
        <f>COUNTIFS(交易明細!$B$2:$B$96,$A24)</f>
        <v/>
      </c>
      <c r="C24" s="2">
        <f>COUNTIFS(交易明細!$B$2:$B$96,$A24,交易明細!$C$2:$C$96,"做多")</f>
        <v/>
      </c>
      <c r="D24" s="2">
        <f>COUNTIFS(交易明細!$B$2:$B$96,$A24,交易明細!$C$2:$C$96,"做空")</f>
        <v/>
      </c>
      <c r="E24" s="2">
        <f>F24+G24+COUNTIFS(交易明細!$B$2:$B$96,$A24,交易明細!$J$2:$J$96,"時間出場")</f>
        <v/>
      </c>
      <c r="F24" s="2">
        <f>COUNTIFS(交易明細!$B$2:$B$96,$A24,交易明細!$J$2:$J$96,"止盈")</f>
        <v/>
      </c>
      <c r="G24" s="2">
        <f>COUNTIFS(交易明細!$B$2:$B$96,$A24,交易明細!$J$2:$J$96,"止損")</f>
        <v/>
      </c>
      <c r="H24" s="4">
        <f>IFERROR(F24/E24,0)</f>
        <v/>
      </c>
      <c r="I24" s="4">
        <f>IFERROR(AVERAGEIFS(交易明細!$L$2:$L$96,交易明細!$B$2:$B$96,$A24,交易明細!$J$2:$J$96,"&lt;&gt;未平倉"),0)</f>
        <v/>
      </c>
      <c r="J24" s="4">
        <f>SUMIFS(交易明細!$L$2:$L$96,交易明細!$B$2:$B$96,$A24,交易明細!$J$2:$J$96,"&lt;&gt;未平倉")</f>
        <v/>
      </c>
      <c r="K24" s="5">
        <f>IFERROR(AVERAGEIFS(交易明細!$K$2:$K$96,交易明細!$B$2:$B$96,$A24,交易明細!$J$2:$J$96,"&lt;&gt;未平倉"),0)</f>
        <v/>
      </c>
      <c r="L24" s="2">
        <f>COUNTIFS(交易明細!$B$2:$B$96,$A24,交易明細!$J$2:$J$96,"未平倉")</f>
        <v/>
      </c>
    </row>
    <row r="25">
      <c r="A25" s="2" t="inlineStr">
        <is>
          <t>PLAY_USDT_PERP</t>
        </is>
      </c>
      <c r="B25" s="2">
        <f>COUNTIFS(交易明細!$B$2:$B$96,$A25)</f>
        <v/>
      </c>
      <c r="C25" s="2">
        <f>COUNTIFS(交易明細!$B$2:$B$96,$A25,交易明細!$C$2:$C$96,"做多")</f>
        <v/>
      </c>
      <c r="D25" s="2">
        <f>COUNTIFS(交易明細!$B$2:$B$96,$A25,交易明細!$C$2:$C$96,"做空")</f>
        <v/>
      </c>
      <c r="E25" s="2">
        <f>F25+G25+COUNTIFS(交易明細!$B$2:$B$96,$A25,交易明細!$J$2:$J$96,"時間出場")</f>
        <v/>
      </c>
      <c r="F25" s="2">
        <f>COUNTIFS(交易明細!$B$2:$B$96,$A25,交易明細!$J$2:$J$96,"止盈")</f>
        <v/>
      </c>
      <c r="G25" s="2">
        <f>COUNTIFS(交易明細!$B$2:$B$96,$A25,交易明細!$J$2:$J$96,"止損")</f>
        <v/>
      </c>
      <c r="H25" s="4">
        <f>IFERROR(F25/E25,0)</f>
        <v/>
      </c>
      <c r="I25" s="4">
        <f>IFERROR(AVERAGEIFS(交易明細!$L$2:$L$96,交易明細!$B$2:$B$96,$A25,交易明細!$J$2:$J$96,"&lt;&gt;未平倉"),0)</f>
        <v/>
      </c>
      <c r="J25" s="4">
        <f>SUMIFS(交易明細!$L$2:$L$96,交易明細!$B$2:$B$96,$A25,交易明細!$J$2:$J$96,"&lt;&gt;未平倉")</f>
        <v/>
      </c>
      <c r="K25" s="5">
        <f>IFERROR(AVERAGEIFS(交易明細!$K$2:$K$96,交易明細!$B$2:$B$96,$A25,交易明細!$J$2:$J$96,"&lt;&gt;未平倉"),0)</f>
        <v/>
      </c>
      <c r="L25" s="2">
        <f>COUNTIFS(交易明細!$B$2:$B$96,$A25,交易明細!$J$2:$J$96,"未平倉")</f>
        <v/>
      </c>
    </row>
    <row r="26">
      <c r="A26" s="2" t="inlineStr">
        <is>
          <t>CASHCAT_USDT_PERP</t>
        </is>
      </c>
      <c r="B26" s="2">
        <f>COUNTIFS(交易明細!$B$2:$B$96,$A26)</f>
        <v/>
      </c>
      <c r="C26" s="2">
        <f>COUNTIFS(交易明細!$B$2:$B$96,$A26,交易明細!$C$2:$C$96,"做多")</f>
        <v/>
      </c>
      <c r="D26" s="2">
        <f>COUNTIFS(交易明細!$B$2:$B$96,$A26,交易明細!$C$2:$C$96,"做空")</f>
        <v/>
      </c>
      <c r="E26" s="2">
        <f>F26+G26+COUNTIFS(交易明細!$B$2:$B$96,$A26,交易明細!$J$2:$J$96,"時間出場")</f>
        <v/>
      </c>
      <c r="F26" s="2">
        <f>COUNTIFS(交易明細!$B$2:$B$96,$A26,交易明細!$J$2:$J$96,"止盈")</f>
        <v/>
      </c>
      <c r="G26" s="2">
        <f>COUNTIFS(交易明細!$B$2:$B$96,$A26,交易明細!$J$2:$J$96,"止損")</f>
        <v/>
      </c>
      <c r="H26" s="4">
        <f>IFERROR(F26/E26,0)</f>
        <v/>
      </c>
      <c r="I26" s="4">
        <f>IFERROR(AVERAGEIFS(交易明細!$L$2:$L$96,交易明細!$B$2:$B$96,$A26,交易明細!$J$2:$J$96,"&lt;&gt;未平倉"),0)</f>
        <v/>
      </c>
      <c r="J26" s="4">
        <f>SUMIFS(交易明細!$L$2:$L$96,交易明細!$B$2:$B$96,$A26,交易明細!$J$2:$J$96,"&lt;&gt;未平倉")</f>
        <v/>
      </c>
      <c r="K26" s="5">
        <f>IFERROR(AVERAGEIFS(交易明細!$K$2:$K$96,交易明細!$B$2:$B$96,$A26,交易明細!$J$2:$J$96,"&lt;&gt;未平倉"),0)</f>
        <v/>
      </c>
      <c r="L26" s="2">
        <f>COUNTIFS(交易明細!$B$2:$B$96,$A26,交易明細!$J$2:$J$96,"未平倉")</f>
        <v/>
      </c>
    </row>
    <row r="27">
      <c r="A27" s="2" t="inlineStr">
        <is>
          <t>MUBARAK_USDT_PERP</t>
        </is>
      </c>
      <c r="B27" s="2">
        <f>COUNTIFS(交易明細!$B$2:$B$96,$A27)</f>
        <v/>
      </c>
      <c r="C27" s="2">
        <f>COUNTIFS(交易明細!$B$2:$B$96,$A27,交易明細!$C$2:$C$96,"做多")</f>
        <v/>
      </c>
      <c r="D27" s="2">
        <f>COUNTIFS(交易明細!$B$2:$B$96,$A27,交易明細!$C$2:$C$96,"做空")</f>
        <v/>
      </c>
      <c r="E27" s="2">
        <f>F27+G27+COUNTIFS(交易明細!$B$2:$B$96,$A27,交易明細!$J$2:$J$96,"時間出場")</f>
        <v/>
      </c>
      <c r="F27" s="2">
        <f>COUNTIFS(交易明細!$B$2:$B$96,$A27,交易明細!$J$2:$J$96,"止盈")</f>
        <v/>
      </c>
      <c r="G27" s="2">
        <f>COUNTIFS(交易明細!$B$2:$B$96,$A27,交易明細!$J$2:$J$96,"止損")</f>
        <v/>
      </c>
      <c r="H27" s="4">
        <f>IFERROR(F27/E27,0)</f>
        <v/>
      </c>
      <c r="I27" s="4">
        <f>IFERROR(AVERAGEIFS(交易明細!$L$2:$L$96,交易明細!$B$2:$B$96,$A27,交易明細!$J$2:$J$96,"&lt;&gt;未平倉"),0)</f>
        <v/>
      </c>
      <c r="J27" s="4">
        <f>SUMIFS(交易明細!$L$2:$L$96,交易明細!$B$2:$B$96,$A27,交易明細!$J$2:$J$96,"&lt;&gt;未平倉")</f>
        <v/>
      </c>
      <c r="K27" s="5">
        <f>IFERROR(AVERAGEIFS(交易明細!$K$2:$K$96,交易明細!$B$2:$B$96,$A27,交易明細!$J$2:$J$96,"&lt;&gt;未平倉"),0)</f>
        <v/>
      </c>
      <c r="L27" s="2">
        <f>COUNTIFS(交易明細!$B$2:$B$96,$A27,交易明細!$J$2:$J$96,"未平倉")</f>
        <v/>
      </c>
    </row>
    <row r="28">
      <c r="A28" s="2" t="inlineStr">
        <is>
          <t>Q_USDT_PERP</t>
        </is>
      </c>
      <c r="B28" s="2">
        <f>COUNTIFS(交易明細!$B$2:$B$96,$A28)</f>
        <v/>
      </c>
      <c r="C28" s="2">
        <f>COUNTIFS(交易明細!$B$2:$B$96,$A28,交易明細!$C$2:$C$96,"做多")</f>
        <v/>
      </c>
      <c r="D28" s="2">
        <f>COUNTIFS(交易明細!$B$2:$B$96,$A28,交易明細!$C$2:$C$96,"做空")</f>
        <v/>
      </c>
      <c r="E28" s="2">
        <f>F28+G28+COUNTIFS(交易明細!$B$2:$B$96,$A28,交易明細!$J$2:$J$96,"時間出場")</f>
        <v/>
      </c>
      <c r="F28" s="2">
        <f>COUNTIFS(交易明細!$B$2:$B$96,$A28,交易明細!$J$2:$J$96,"止盈")</f>
        <v/>
      </c>
      <c r="G28" s="2">
        <f>COUNTIFS(交易明細!$B$2:$B$96,$A28,交易明細!$J$2:$J$96,"止損")</f>
        <v/>
      </c>
      <c r="H28" s="4">
        <f>IFERROR(F28/E28,0)</f>
        <v/>
      </c>
      <c r="I28" s="4">
        <f>IFERROR(AVERAGEIFS(交易明細!$L$2:$L$96,交易明細!$B$2:$B$96,$A28,交易明細!$J$2:$J$96,"&lt;&gt;未平倉"),0)</f>
        <v/>
      </c>
      <c r="J28" s="4">
        <f>SUMIFS(交易明細!$L$2:$L$96,交易明細!$B$2:$B$96,$A28,交易明細!$J$2:$J$96,"&lt;&gt;未平倉")</f>
        <v/>
      </c>
      <c r="K28" s="5">
        <f>IFERROR(AVERAGEIFS(交易明細!$K$2:$K$96,交易明細!$B$2:$B$96,$A28,交易明細!$J$2:$J$96,"&lt;&gt;未平倉"),0)</f>
        <v/>
      </c>
      <c r="L28" s="2">
        <f>COUNTIFS(交易明細!$B$2:$B$96,$A28,交易明細!$J$2:$J$96,"未平倉")</f>
        <v/>
      </c>
    </row>
    <row r="29">
      <c r="A29" s="2" t="inlineStr">
        <is>
          <t>XVG_USDT_PERP</t>
        </is>
      </c>
      <c r="B29" s="2">
        <f>COUNTIFS(交易明細!$B$2:$B$96,$A29)</f>
        <v/>
      </c>
      <c r="C29" s="2">
        <f>COUNTIFS(交易明細!$B$2:$B$96,$A29,交易明細!$C$2:$C$96,"做多")</f>
        <v/>
      </c>
      <c r="D29" s="2">
        <f>COUNTIFS(交易明細!$B$2:$B$96,$A29,交易明細!$C$2:$C$96,"做空")</f>
        <v/>
      </c>
      <c r="E29" s="2">
        <f>F29+G29+COUNTIFS(交易明細!$B$2:$B$96,$A29,交易明細!$J$2:$J$96,"時間出場")</f>
        <v/>
      </c>
      <c r="F29" s="2">
        <f>COUNTIFS(交易明細!$B$2:$B$96,$A29,交易明細!$J$2:$J$96,"止盈")</f>
        <v/>
      </c>
      <c r="G29" s="2">
        <f>COUNTIFS(交易明細!$B$2:$B$96,$A29,交易明細!$J$2:$J$96,"止損")</f>
        <v/>
      </c>
      <c r="H29" s="4">
        <f>IFERROR(F29/E29,0)</f>
        <v/>
      </c>
      <c r="I29" s="4">
        <f>IFERROR(AVERAGEIFS(交易明細!$L$2:$L$96,交易明細!$B$2:$B$96,$A29,交易明細!$J$2:$J$96,"&lt;&gt;未平倉"),0)</f>
        <v/>
      </c>
      <c r="J29" s="4">
        <f>SUMIFS(交易明細!$L$2:$L$96,交易明細!$B$2:$B$96,$A29,交易明細!$J$2:$J$96,"&lt;&gt;未平倉")</f>
        <v/>
      </c>
      <c r="K29" s="5">
        <f>IFERROR(AVERAGEIFS(交易明細!$K$2:$K$96,交易明細!$B$2:$B$96,$A29,交易明細!$J$2:$J$96,"&lt;&gt;未平倉"),0)</f>
        <v/>
      </c>
      <c r="L29" s="2">
        <f>COUNTIFS(交易明細!$B$2:$B$96,$A29,交易明細!$J$2:$J$96,"未平倉")</f>
        <v/>
      </c>
    </row>
    <row r="30">
      <c r="A30" s="2" t="inlineStr">
        <is>
          <t>INX_USDT_PERP</t>
        </is>
      </c>
      <c r="B30" s="2">
        <f>COUNTIFS(交易明細!$B$2:$B$96,$A30)</f>
        <v/>
      </c>
      <c r="C30" s="2">
        <f>COUNTIFS(交易明細!$B$2:$B$96,$A30,交易明細!$C$2:$C$96,"做多")</f>
        <v/>
      </c>
      <c r="D30" s="2">
        <f>COUNTIFS(交易明細!$B$2:$B$96,$A30,交易明細!$C$2:$C$96,"做空")</f>
        <v/>
      </c>
      <c r="E30" s="2">
        <f>F30+G30+COUNTIFS(交易明細!$B$2:$B$96,$A30,交易明細!$J$2:$J$96,"時間出場")</f>
        <v/>
      </c>
      <c r="F30" s="2">
        <f>COUNTIFS(交易明細!$B$2:$B$96,$A30,交易明細!$J$2:$J$96,"止盈")</f>
        <v/>
      </c>
      <c r="G30" s="2">
        <f>COUNTIFS(交易明細!$B$2:$B$96,$A30,交易明細!$J$2:$J$96,"止損")</f>
        <v/>
      </c>
      <c r="H30" s="4">
        <f>IFERROR(F30/E30,0)</f>
        <v/>
      </c>
      <c r="I30" s="4">
        <f>IFERROR(AVERAGEIFS(交易明細!$L$2:$L$96,交易明細!$B$2:$B$96,$A30,交易明細!$J$2:$J$96,"&lt;&gt;未平倉"),0)</f>
        <v/>
      </c>
      <c r="J30" s="4">
        <f>SUMIFS(交易明細!$L$2:$L$96,交易明細!$B$2:$B$96,$A30,交易明細!$J$2:$J$96,"&lt;&gt;未平倉")</f>
        <v/>
      </c>
      <c r="K30" s="5">
        <f>IFERROR(AVERAGEIFS(交易明細!$K$2:$K$96,交易明細!$B$2:$B$96,$A30,交易明細!$J$2:$J$96,"&lt;&gt;未平倉"),0)</f>
        <v/>
      </c>
      <c r="L30" s="2">
        <f>COUNTIFS(交易明細!$B$2:$B$96,$A30,交易明細!$J$2:$J$96,"未平倉")</f>
        <v/>
      </c>
    </row>
    <row r="31">
      <c r="A31" s="2" t="inlineStr">
        <is>
          <t>ELSA_USDT_PERP</t>
        </is>
      </c>
      <c r="B31" s="2">
        <f>COUNTIFS(交易明細!$B$2:$B$96,$A31)</f>
        <v/>
      </c>
      <c r="C31" s="2">
        <f>COUNTIFS(交易明細!$B$2:$B$96,$A31,交易明細!$C$2:$C$96,"做多")</f>
        <v/>
      </c>
      <c r="D31" s="2">
        <f>COUNTIFS(交易明細!$B$2:$B$96,$A31,交易明細!$C$2:$C$96,"做空")</f>
        <v/>
      </c>
      <c r="E31" s="2">
        <f>F31+G31+COUNTIFS(交易明細!$B$2:$B$96,$A31,交易明細!$J$2:$J$96,"時間出場")</f>
        <v/>
      </c>
      <c r="F31" s="2">
        <f>COUNTIFS(交易明細!$B$2:$B$96,$A31,交易明細!$J$2:$J$96,"止盈")</f>
        <v/>
      </c>
      <c r="G31" s="2">
        <f>COUNTIFS(交易明細!$B$2:$B$96,$A31,交易明細!$J$2:$J$96,"止損")</f>
        <v/>
      </c>
      <c r="H31" s="4">
        <f>IFERROR(F31/E31,0)</f>
        <v/>
      </c>
      <c r="I31" s="4">
        <f>IFERROR(AVERAGEIFS(交易明細!$L$2:$L$96,交易明細!$B$2:$B$96,$A31,交易明細!$J$2:$J$96,"&lt;&gt;未平倉"),0)</f>
        <v/>
      </c>
      <c r="J31" s="4">
        <f>SUMIFS(交易明細!$L$2:$L$96,交易明細!$B$2:$B$96,$A31,交易明細!$J$2:$J$96,"&lt;&gt;未平倉")</f>
        <v/>
      </c>
      <c r="K31" s="5">
        <f>IFERROR(AVERAGEIFS(交易明細!$K$2:$K$96,交易明細!$B$2:$B$96,$A31,交易明細!$J$2:$J$96,"&lt;&gt;未平倉"),0)</f>
        <v/>
      </c>
      <c r="L31" s="2">
        <f>COUNTIFS(交易明細!$B$2:$B$96,$A31,交易明細!$J$2:$J$96,"未平倉")</f>
        <v/>
      </c>
    </row>
    <row r="32">
      <c r="A32" s="2" t="inlineStr">
        <is>
          <t>IRYS_USDT_PERP</t>
        </is>
      </c>
      <c r="B32" s="2">
        <f>COUNTIFS(交易明細!$B$2:$B$96,$A32)</f>
        <v/>
      </c>
      <c r="C32" s="2">
        <f>COUNTIFS(交易明細!$B$2:$B$96,$A32,交易明細!$C$2:$C$96,"做多")</f>
        <v/>
      </c>
      <c r="D32" s="2">
        <f>COUNTIFS(交易明細!$B$2:$B$96,$A32,交易明細!$C$2:$C$96,"做空")</f>
        <v/>
      </c>
      <c r="E32" s="2">
        <f>F32+G32+COUNTIFS(交易明細!$B$2:$B$96,$A32,交易明細!$J$2:$J$96,"時間出場")</f>
        <v/>
      </c>
      <c r="F32" s="2">
        <f>COUNTIFS(交易明細!$B$2:$B$96,$A32,交易明細!$J$2:$J$96,"止盈")</f>
        <v/>
      </c>
      <c r="G32" s="2">
        <f>COUNTIFS(交易明細!$B$2:$B$96,$A32,交易明細!$J$2:$J$96,"止損")</f>
        <v/>
      </c>
      <c r="H32" s="4">
        <f>IFERROR(F32/E32,0)</f>
        <v/>
      </c>
      <c r="I32" s="4">
        <f>IFERROR(AVERAGEIFS(交易明細!$L$2:$L$96,交易明細!$B$2:$B$96,$A32,交易明細!$J$2:$J$96,"&lt;&gt;未平倉"),0)</f>
        <v/>
      </c>
      <c r="J32" s="4">
        <f>SUMIFS(交易明細!$L$2:$L$96,交易明細!$B$2:$B$96,$A32,交易明細!$J$2:$J$96,"&lt;&gt;未平倉")</f>
        <v/>
      </c>
      <c r="K32" s="5">
        <f>IFERROR(AVERAGEIFS(交易明細!$K$2:$K$96,交易明細!$B$2:$B$96,$A32,交易明細!$J$2:$J$96,"&lt;&gt;未平倉"),0)</f>
        <v/>
      </c>
      <c r="L32" s="2">
        <f>COUNTIFS(交易明細!$B$2:$B$96,$A32,交易明細!$J$2:$J$96,"未平倉")</f>
        <v/>
      </c>
    </row>
    <row r="33">
      <c r="A33" s="2" t="inlineStr">
        <is>
          <t>QNT_USDT_PERP</t>
        </is>
      </c>
      <c r="B33" s="2">
        <f>COUNTIFS(交易明細!$B$2:$B$96,$A33)</f>
        <v/>
      </c>
      <c r="C33" s="2">
        <f>COUNTIFS(交易明細!$B$2:$B$96,$A33,交易明細!$C$2:$C$96,"做多")</f>
        <v/>
      </c>
      <c r="D33" s="2">
        <f>COUNTIFS(交易明細!$B$2:$B$96,$A33,交易明細!$C$2:$C$96,"做空")</f>
        <v/>
      </c>
      <c r="E33" s="2">
        <f>F33+G33+COUNTIFS(交易明細!$B$2:$B$96,$A33,交易明細!$J$2:$J$96,"時間出場")</f>
        <v/>
      </c>
      <c r="F33" s="2">
        <f>COUNTIFS(交易明細!$B$2:$B$96,$A33,交易明細!$J$2:$J$96,"止盈")</f>
        <v/>
      </c>
      <c r="G33" s="2">
        <f>COUNTIFS(交易明細!$B$2:$B$96,$A33,交易明細!$J$2:$J$96,"止損")</f>
        <v/>
      </c>
      <c r="H33" s="4">
        <f>IFERROR(F33/E33,0)</f>
        <v/>
      </c>
      <c r="I33" s="4">
        <f>IFERROR(AVERAGEIFS(交易明細!$L$2:$L$96,交易明細!$B$2:$B$96,$A33,交易明細!$J$2:$J$96,"&lt;&gt;未平倉"),0)</f>
        <v/>
      </c>
      <c r="J33" s="4">
        <f>SUMIFS(交易明細!$L$2:$L$96,交易明細!$B$2:$B$96,$A33,交易明細!$J$2:$J$96,"&lt;&gt;未平倉")</f>
        <v/>
      </c>
      <c r="K33" s="5">
        <f>IFERROR(AVERAGEIFS(交易明細!$K$2:$K$96,交易明細!$B$2:$B$96,$A33,交易明細!$J$2:$J$96,"&lt;&gt;未平倉"),0)</f>
        <v/>
      </c>
      <c r="L33" s="2">
        <f>COUNTIFS(交易明細!$B$2:$B$96,$A33,交易明細!$J$2:$J$96,"未平倉")</f>
        <v/>
      </c>
    </row>
    <row r="34">
      <c r="A34" s="2" t="inlineStr">
        <is>
          <t>NMR_USDT_PERP</t>
        </is>
      </c>
      <c r="B34" s="2">
        <f>COUNTIFS(交易明細!$B$2:$B$96,$A34)</f>
        <v/>
      </c>
      <c r="C34" s="2">
        <f>COUNTIFS(交易明細!$B$2:$B$96,$A34,交易明細!$C$2:$C$96,"做多")</f>
        <v/>
      </c>
      <c r="D34" s="2">
        <f>COUNTIFS(交易明細!$B$2:$B$96,$A34,交易明細!$C$2:$C$96,"做空")</f>
        <v/>
      </c>
      <c r="E34" s="2">
        <f>F34+G34+COUNTIFS(交易明細!$B$2:$B$96,$A34,交易明細!$J$2:$J$96,"時間出場")</f>
        <v/>
      </c>
      <c r="F34" s="2">
        <f>COUNTIFS(交易明細!$B$2:$B$96,$A34,交易明細!$J$2:$J$96,"止盈")</f>
        <v/>
      </c>
      <c r="G34" s="2">
        <f>COUNTIFS(交易明細!$B$2:$B$96,$A34,交易明細!$J$2:$J$96,"止損")</f>
        <v/>
      </c>
      <c r="H34" s="4">
        <f>IFERROR(F34/E34,0)</f>
        <v/>
      </c>
      <c r="I34" s="4">
        <f>IFERROR(AVERAGEIFS(交易明細!$L$2:$L$96,交易明細!$B$2:$B$96,$A34,交易明細!$J$2:$J$96,"&lt;&gt;未平倉"),0)</f>
        <v/>
      </c>
      <c r="J34" s="4">
        <f>SUMIFS(交易明細!$L$2:$L$96,交易明細!$B$2:$B$96,$A34,交易明細!$J$2:$J$96,"&lt;&gt;未平倉")</f>
        <v/>
      </c>
      <c r="K34" s="5">
        <f>IFERROR(AVERAGEIFS(交易明細!$K$2:$K$96,交易明細!$B$2:$B$96,$A34,交易明細!$J$2:$J$96,"&lt;&gt;未平倉"),0)</f>
        <v/>
      </c>
      <c r="L34" s="2">
        <f>COUNTIFS(交易明細!$B$2:$B$96,$A34,交易明細!$J$2:$J$96,"未平倉")</f>
        <v/>
      </c>
    </row>
    <row r="35">
      <c r="A35" s="2" t="inlineStr">
        <is>
          <t>PUMP_USDT_PERP</t>
        </is>
      </c>
      <c r="B35" s="2">
        <f>COUNTIFS(交易明細!$B$2:$B$96,$A35)</f>
        <v/>
      </c>
      <c r="C35" s="2">
        <f>COUNTIFS(交易明細!$B$2:$B$96,$A35,交易明細!$C$2:$C$96,"做多")</f>
        <v/>
      </c>
      <c r="D35" s="2">
        <f>COUNTIFS(交易明細!$B$2:$B$96,$A35,交易明細!$C$2:$C$96,"做空")</f>
        <v/>
      </c>
      <c r="E35" s="2">
        <f>F35+G35+COUNTIFS(交易明細!$B$2:$B$96,$A35,交易明細!$J$2:$J$96,"時間出場")</f>
        <v/>
      </c>
      <c r="F35" s="2">
        <f>COUNTIFS(交易明細!$B$2:$B$96,$A35,交易明細!$J$2:$J$96,"止盈")</f>
        <v/>
      </c>
      <c r="G35" s="2">
        <f>COUNTIFS(交易明細!$B$2:$B$96,$A35,交易明細!$J$2:$J$96,"止損")</f>
        <v/>
      </c>
      <c r="H35" s="4">
        <f>IFERROR(F35/E35,0)</f>
        <v/>
      </c>
      <c r="I35" s="4">
        <f>IFERROR(AVERAGEIFS(交易明細!$L$2:$L$96,交易明細!$B$2:$B$96,$A35,交易明細!$J$2:$J$96,"&lt;&gt;未平倉"),0)</f>
        <v/>
      </c>
      <c r="J35" s="4">
        <f>SUMIFS(交易明細!$L$2:$L$96,交易明細!$B$2:$B$96,$A35,交易明細!$J$2:$J$96,"&lt;&gt;未平倉")</f>
        <v/>
      </c>
      <c r="K35" s="5">
        <f>IFERROR(AVERAGEIFS(交易明細!$K$2:$K$96,交易明細!$B$2:$B$96,$A35,交易明細!$J$2:$J$96,"&lt;&gt;未平倉"),0)</f>
        <v/>
      </c>
      <c r="L35" s="2">
        <f>COUNTIFS(交易明細!$B$2:$B$96,$A35,交易明細!$J$2:$J$96,"未平倉")</f>
        <v/>
      </c>
    </row>
    <row r="36">
      <c r="A36" s="2" t="inlineStr">
        <is>
          <t>MEW_USDT_PERP</t>
        </is>
      </c>
      <c r="B36" s="2">
        <f>COUNTIFS(交易明細!$B$2:$B$96,$A36)</f>
        <v/>
      </c>
      <c r="C36" s="2">
        <f>COUNTIFS(交易明細!$B$2:$B$96,$A36,交易明細!$C$2:$C$96,"做多")</f>
        <v/>
      </c>
      <c r="D36" s="2">
        <f>COUNTIFS(交易明細!$B$2:$B$96,$A36,交易明細!$C$2:$C$96,"做空")</f>
        <v/>
      </c>
      <c r="E36" s="2">
        <f>F36+G36+COUNTIFS(交易明細!$B$2:$B$96,$A36,交易明細!$J$2:$J$96,"時間出場")</f>
        <v/>
      </c>
      <c r="F36" s="2">
        <f>COUNTIFS(交易明細!$B$2:$B$96,$A36,交易明細!$J$2:$J$96,"止盈")</f>
        <v/>
      </c>
      <c r="G36" s="2">
        <f>COUNTIFS(交易明細!$B$2:$B$96,$A36,交易明細!$J$2:$J$96,"止損")</f>
        <v/>
      </c>
      <c r="H36" s="4">
        <f>IFERROR(F36/E36,0)</f>
        <v/>
      </c>
      <c r="I36" s="4">
        <f>IFERROR(AVERAGEIFS(交易明細!$L$2:$L$96,交易明細!$B$2:$B$96,$A36,交易明細!$J$2:$J$96,"&lt;&gt;未平倉"),0)</f>
        <v/>
      </c>
      <c r="J36" s="4">
        <f>SUMIFS(交易明細!$L$2:$L$96,交易明細!$B$2:$B$96,$A36,交易明細!$J$2:$J$96,"&lt;&gt;未平倉")</f>
        <v/>
      </c>
      <c r="K36" s="5">
        <f>IFERROR(AVERAGEIFS(交易明細!$K$2:$K$96,交易明細!$B$2:$B$96,$A36,交易明細!$J$2:$J$96,"&lt;&gt;未平倉"),0)</f>
        <v/>
      </c>
      <c r="L36" s="2">
        <f>COUNTIFS(交易明細!$B$2:$B$96,$A36,交易明細!$J$2:$J$96,"未平倉")</f>
        <v/>
      </c>
    </row>
    <row r="37">
      <c r="A37" s="2" t="inlineStr">
        <is>
          <t>USELESS_USDT_PERP</t>
        </is>
      </c>
      <c r="B37" s="2">
        <f>COUNTIFS(交易明細!$B$2:$B$96,$A37)</f>
        <v/>
      </c>
      <c r="C37" s="2">
        <f>COUNTIFS(交易明細!$B$2:$B$96,$A37,交易明細!$C$2:$C$96,"做多")</f>
        <v/>
      </c>
      <c r="D37" s="2">
        <f>COUNTIFS(交易明細!$B$2:$B$96,$A37,交易明細!$C$2:$C$96,"做空")</f>
        <v/>
      </c>
      <c r="E37" s="2">
        <f>F37+G37+COUNTIFS(交易明細!$B$2:$B$96,$A37,交易明細!$J$2:$J$96,"時間出場")</f>
        <v/>
      </c>
      <c r="F37" s="2">
        <f>COUNTIFS(交易明細!$B$2:$B$96,$A37,交易明細!$J$2:$J$96,"止盈")</f>
        <v/>
      </c>
      <c r="G37" s="2">
        <f>COUNTIFS(交易明細!$B$2:$B$96,$A37,交易明細!$J$2:$J$96,"止損")</f>
        <v/>
      </c>
      <c r="H37" s="4">
        <f>IFERROR(F37/E37,0)</f>
        <v/>
      </c>
      <c r="I37" s="4">
        <f>IFERROR(AVERAGEIFS(交易明細!$L$2:$L$96,交易明細!$B$2:$B$96,$A37,交易明細!$J$2:$J$96,"&lt;&gt;未平倉"),0)</f>
        <v/>
      </c>
      <c r="J37" s="4">
        <f>SUMIFS(交易明細!$L$2:$L$96,交易明細!$B$2:$B$96,$A37,交易明細!$J$2:$J$96,"&lt;&gt;未平倉")</f>
        <v/>
      </c>
      <c r="K37" s="5">
        <f>IFERROR(AVERAGEIFS(交易明細!$K$2:$K$96,交易明細!$B$2:$B$96,$A37,交易明細!$J$2:$J$96,"&lt;&gt;未平倉"),0)</f>
        <v/>
      </c>
      <c r="L37" s="2">
        <f>COUNTIFS(交易明細!$B$2:$B$96,$A37,交易明細!$J$2:$J$96,"未平倉")</f>
        <v/>
      </c>
    </row>
    <row r="38">
      <c r="A38" s="2" t="inlineStr">
        <is>
          <t>MEGA_USDT_PERP</t>
        </is>
      </c>
      <c r="B38" s="2">
        <f>COUNTIFS(交易明細!$B$2:$B$96,$A38)</f>
        <v/>
      </c>
      <c r="C38" s="2">
        <f>COUNTIFS(交易明細!$B$2:$B$96,$A38,交易明細!$C$2:$C$96,"做多")</f>
        <v/>
      </c>
      <c r="D38" s="2">
        <f>COUNTIFS(交易明細!$B$2:$B$96,$A38,交易明細!$C$2:$C$96,"做空")</f>
        <v/>
      </c>
      <c r="E38" s="2">
        <f>F38+G38+COUNTIFS(交易明細!$B$2:$B$96,$A38,交易明細!$J$2:$J$96,"時間出場")</f>
        <v/>
      </c>
      <c r="F38" s="2">
        <f>COUNTIFS(交易明細!$B$2:$B$96,$A38,交易明細!$J$2:$J$96,"止盈")</f>
        <v/>
      </c>
      <c r="G38" s="2">
        <f>COUNTIFS(交易明細!$B$2:$B$96,$A38,交易明細!$J$2:$J$96,"止損")</f>
        <v/>
      </c>
      <c r="H38" s="4">
        <f>IFERROR(F38/E38,0)</f>
        <v/>
      </c>
      <c r="I38" s="4">
        <f>IFERROR(AVERAGEIFS(交易明細!$L$2:$L$96,交易明細!$B$2:$B$96,$A38,交易明細!$J$2:$J$96,"&lt;&gt;未平倉"),0)</f>
        <v/>
      </c>
      <c r="J38" s="4">
        <f>SUMIFS(交易明細!$L$2:$L$96,交易明細!$B$2:$B$96,$A38,交易明細!$J$2:$J$96,"&lt;&gt;未平倉")</f>
        <v/>
      </c>
      <c r="K38" s="5">
        <f>IFERROR(AVERAGEIFS(交易明細!$K$2:$K$96,交易明細!$B$2:$B$96,$A38,交易明細!$J$2:$J$96,"&lt;&gt;未平倉"),0)</f>
        <v/>
      </c>
      <c r="L38" s="2">
        <f>COUNTIFS(交易明細!$B$2:$B$96,$A38,交易明細!$J$2:$J$96,"未平倉")</f>
        <v/>
      </c>
    </row>
    <row r="39">
      <c r="A39" s="2" t="inlineStr">
        <is>
          <t>NIGHT_USDT_PERP</t>
        </is>
      </c>
      <c r="B39" s="2">
        <f>COUNTIFS(交易明細!$B$2:$B$96,$A39)</f>
        <v/>
      </c>
      <c r="C39" s="2">
        <f>COUNTIFS(交易明細!$B$2:$B$96,$A39,交易明細!$C$2:$C$96,"做多")</f>
        <v/>
      </c>
      <c r="D39" s="2">
        <f>COUNTIFS(交易明細!$B$2:$B$96,$A39,交易明細!$C$2:$C$96,"做空")</f>
        <v/>
      </c>
      <c r="E39" s="2">
        <f>F39+G39+COUNTIFS(交易明細!$B$2:$B$96,$A39,交易明細!$J$2:$J$96,"時間出場")</f>
        <v/>
      </c>
      <c r="F39" s="2">
        <f>COUNTIFS(交易明細!$B$2:$B$96,$A39,交易明細!$J$2:$J$96,"止盈")</f>
        <v/>
      </c>
      <c r="G39" s="2">
        <f>COUNTIFS(交易明細!$B$2:$B$96,$A39,交易明細!$J$2:$J$96,"止損")</f>
        <v/>
      </c>
      <c r="H39" s="4">
        <f>IFERROR(F39/E39,0)</f>
        <v/>
      </c>
      <c r="I39" s="4">
        <f>IFERROR(AVERAGEIFS(交易明細!$L$2:$L$96,交易明細!$B$2:$B$96,$A39,交易明細!$J$2:$J$96,"&lt;&gt;未平倉"),0)</f>
        <v/>
      </c>
      <c r="J39" s="4">
        <f>SUMIFS(交易明細!$L$2:$L$96,交易明細!$B$2:$B$96,$A39,交易明細!$J$2:$J$96,"&lt;&gt;未平倉")</f>
        <v/>
      </c>
      <c r="K39" s="5">
        <f>IFERROR(AVERAGEIFS(交易明細!$K$2:$K$96,交易明細!$B$2:$B$96,$A39,交易明細!$J$2:$J$96,"&lt;&gt;未平倉"),0)</f>
        <v/>
      </c>
      <c r="L39" s="2">
        <f>COUNTIFS(交易明細!$B$2:$B$96,$A39,交易明細!$J$2:$J$96,"未平倉")</f>
        <v/>
      </c>
    </row>
    <row r="40">
      <c r="A40" s="2" t="inlineStr">
        <is>
          <t>POWER_USDT_PERP</t>
        </is>
      </c>
      <c r="B40" s="2">
        <f>COUNTIFS(交易明細!$B$2:$B$96,$A40)</f>
        <v/>
      </c>
      <c r="C40" s="2">
        <f>COUNTIFS(交易明細!$B$2:$B$96,$A40,交易明細!$C$2:$C$96,"做多")</f>
        <v/>
      </c>
      <c r="D40" s="2">
        <f>COUNTIFS(交易明細!$B$2:$B$96,$A40,交易明細!$C$2:$C$96,"做空")</f>
        <v/>
      </c>
      <c r="E40" s="2">
        <f>F40+G40+COUNTIFS(交易明細!$B$2:$B$96,$A40,交易明細!$J$2:$J$96,"時間出場")</f>
        <v/>
      </c>
      <c r="F40" s="2">
        <f>COUNTIFS(交易明細!$B$2:$B$96,$A40,交易明細!$J$2:$J$96,"止盈")</f>
        <v/>
      </c>
      <c r="G40" s="2">
        <f>COUNTIFS(交易明細!$B$2:$B$96,$A40,交易明細!$J$2:$J$96,"止損")</f>
        <v/>
      </c>
      <c r="H40" s="4">
        <f>IFERROR(F40/E40,0)</f>
        <v/>
      </c>
      <c r="I40" s="4">
        <f>IFERROR(AVERAGEIFS(交易明細!$L$2:$L$96,交易明細!$B$2:$B$96,$A40,交易明細!$J$2:$J$96,"&lt;&gt;未平倉"),0)</f>
        <v/>
      </c>
      <c r="J40" s="4">
        <f>SUMIFS(交易明細!$L$2:$L$96,交易明細!$B$2:$B$96,$A40,交易明細!$J$2:$J$96,"&lt;&gt;未平倉")</f>
        <v/>
      </c>
      <c r="K40" s="5">
        <f>IFERROR(AVERAGEIFS(交易明細!$K$2:$K$96,交易明細!$B$2:$B$96,$A40,交易明細!$J$2:$J$96,"&lt;&gt;未平倉"),0)</f>
        <v/>
      </c>
      <c r="L40" s="2">
        <f>COUNTIFS(交易明細!$B$2:$B$96,$A40,交易明細!$J$2:$J$96,"未平倉")</f>
        <v/>
      </c>
    </row>
    <row r="41">
      <c r="A41" s="2" t="inlineStr">
        <is>
          <t>SAND_USDT_PERP</t>
        </is>
      </c>
      <c r="B41" s="2">
        <f>COUNTIFS(交易明細!$B$2:$B$96,$A41)</f>
        <v/>
      </c>
      <c r="C41" s="2">
        <f>COUNTIFS(交易明細!$B$2:$B$96,$A41,交易明細!$C$2:$C$96,"做多")</f>
        <v/>
      </c>
      <c r="D41" s="2">
        <f>COUNTIFS(交易明細!$B$2:$B$96,$A41,交易明細!$C$2:$C$96,"做空")</f>
        <v/>
      </c>
      <c r="E41" s="2">
        <f>F41+G41+COUNTIFS(交易明細!$B$2:$B$96,$A41,交易明細!$J$2:$J$96,"時間出場")</f>
        <v/>
      </c>
      <c r="F41" s="2">
        <f>COUNTIFS(交易明細!$B$2:$B$96,$A41,交易明細!$J$2:$J$96,"止盈")</f>
        <v/>
      </c>
      <c r="G41" s="2">
        <f>COUNTIFS(交易明細!$B$2:$B$96,$A41,交易明細!$J$2:$J$96,"止損")</f>
        <v/>
      </c>
      <c r="H41" s="4">
        <f>IFERROR(F41/E41,0)</f>
        <v/>
      </c>
      <c r="I41" s="4">
        <f>IFERROR(AVERAGEIFS(交易明細!$L$2:$L$96,交易明細!$B$2:$B$96,$A41,交易明細!$J$2:$J$96,"&lt;&gt;未平倉"),0)</f>
        <v/>
      </c>
      <c r="J41" s="4">
        <f>SUMIFS(交易明細!$L$2:$L$96,交易明細!$B$2:$B$96,$A41,交易明細!$J$2:$J$96,"&lt;&gt;未平倉")</f>
        <v/>
      </c>
      <c r="K41" s="5">
        <f>IFERROR(AVERAGEIFS(交易明細!$K$2:$K$96,交易明細!$B$2:$B$96,$A41,交易明細!$J$2:$J$96,"&lt;&gt;未平倉"),0)</f>
        <v/>
      </c>
      <c r="L41" s="2">
        <f>COUNTIFS(交易明細!$B$2:$B$96,$A41,交易明細!$J$2:$J$96,"未平倉")</f>
        <v/>
      </c>
    </row>
    <row r="42">
      <c r="A42" s="2" t="inlineStr">
        <is>
          <t>TAKE_USDT_PERP</t>
        </is>
      </c>
      <c r="B42" s="2">
        <f>COUNTIFS(交易明細!$B$2:$B$96,$A42)</f>
        <v/>
      </c>
      <c r="C42" s="2">
        <f>COUNTIFS(交易明細!$B$2:$B$96,$A42,交易明細!$C$2:$C$96,"做多")</f>
        <v/>
      </c>
      <c r="D42" s="2">
        <f>COUNTIFS(交易明細!$B$2:$B$96,$A42,交易明細!$C$2:$C$96,"做空")</f>
        <v/>
      </c>
      <c r="E42" s="2">
        <f>F42+G42+COUNTIFS(交易明細!$B$2:$B$96,$A42,交易明細!$J$2:$J$96,"時間出場")</f>
        <v/>
      </c>
      <c r="F42" s="2">
        <f>COUNTIFS(交易明細!$B$2:$B$96,$A42,交易明細!$J$2:$J$96,"止盈")</f>
        <v/>
      </c>
      <c r="G42" s="2">
        <f>COUNTIFS(交易明細!$B$2:$B$96,$A42,交易明細!$J$2:$J$96,"止損")</f>
        <v/>
      </c>
      <c r="H42" s="4">
        <f>IFERROR(F42/E42,0)</f>
        <v/>
      </c>
      <c r="I42" s="4">
        <f>IFERROR(AVERAGEIFS(交易明細!$L$2:$L$96,交易明細!$B$2:$B$96,$A42,交易明細!$J$2:$J$96,"&lt;&gt;未平倉"),0)</f>
        <v/>
      </c>
      <c r="J42" s="4">
        <f>SUMIFS(交易明細!$L$2:$L$96,交易明細!$B$2:$B$96,$A42,交易明細!$J$2:$J$96,"&lt;&gt;未平倉")</f>
        <v/>
      </c>
      <c r="K42" s="5">
        <f>IFERROR(AVERAGEIFS(交易明細!$K$2:$K$96,交易明細!$B$2:$B$96,$A42,交易明細!$J$2:$J$96,"&lt;&gt;未平倉"),0)</f>
        <v/>
      </c>
      <c r="L42" s="2">
        <f>COUNTIFS(交易明細!$B$2:$B$96,$A42,交易明細!$J$2:$J$96,"未平倉")</f>
        <v/>
      </c>
    </row>
    <row r="43">
      <c r="A43" s="2" t="inlineStr">
        <is>
          <t>AIO_USDT_PERP</t>
        </is>
      </c>
      <c r="B43" s="2">
        <f>COUNTIFS(交易明細!$B$2:$B$96,$A43)</f>
        <v/>
      </c>
      <c r="C43" s="2">
        <f>COUNTIFS(交易明細!$B$2:$B$96,$A43,交易明細!$C$2:$C$96,"做多")</f>
        <v/>
      </c>
      <c r="D43" s="2">
        <f>COUNTIFS(交易明細!$B$2:$B$96,$A43,交易明細!$C$2:$C$96,"做空")</f>
        <v/>
      </c>
      <c r="E43" s="2">
        <f>F43+G43+COUNTIFS(交易明細!$B$2:$B$96,$A43,交易明細!$J$2:$J$96,"時間出場")</f>
        <v/>
      </c>
      <c r="F43" s="2">
        <f>COUNTIFS(交易明細!$B$2:$B$96,$A43,交易明細!$J$2:$J$96,"止盈")</f>
        <v/>
      </c>
      <c r="G43" s="2">
        <f>COUNTIFS(交易明細!$B$2:$B$96,$A43,交易明細!$J$2:$J$96,"止損")</f>
        <v/>
      </c>
      <c r="H43" s="4">
        <f>IFERROR(F43/E43,0)</f>
        <v/>
      </c>
      <c r="I43" s="4">
        <f>IFERROR(AVERAGEIFS(交易明細!$L$2:$L$96,交易明細!$B$2:$B$96,$A43,交易明細!$J$2:$J$96,"&lt;&gt;未平倉"),0)</f>
        <v/>
      </c>
      <c r="J43" s="4">
        <f>SUMIFS(交易明細!$L$2:$L$96,交易明細!$B$2:$B$96,$A43,交易明細!$J$2:$J$96,"&lt;&gt;未平倉")</f>
        <v/>
      </c>
      <c r="K43" s="5">
        <f>IFERROR(AVERAGEIFS(交易明細!$K$2:$K$96,交易明細!$B$2:$B$96,$A43,交易明細!$J$2:$J$96,"&lt;&gt;未平倉"),0)</f>
        <v/>
      </c>
      <c r="L43" s="2">
        <f>COUNTIFS(交易明細!$B$2:$B$96,$A43,交易明細!$J$2:$J$96,"未平倉")</f>
        <v/>
      </c>
    </row>
    <row r="44">
      <c r="A44" s="2" t="inlineStr">
        <is>
          <t>ESP_USDT_PERP</t>
        </is>
      </c>
      <c r="B44" s="2">
        <f>COUNTIFS(交易明細!$B$2:$B$96,$A44)</f>
        <v/>
      </c>
      <c r="C44" s="2">
        <f>COUNTIFS(交易明細!$B$2:$B$96,$A44,交易明細!$C$2:$C$96,"做多")</f>
        <v/>
      </c>
      <c r="D44" s="2">
        <f>COUNTIFS(交易明細!$B$2:$B$96,$A44,交易明細!$C$2:$C$96,"做空")</f>
        <v/>
      </c>
      <c r="E44" s="2">
        <f>F44+G44+COUNTIFS(交易明細!$B$2:$B$96,$A44,交易明細!$J$2:$J$96,"時間出場")</f>
        <v/>
      </c>
      <c r="F44" s="2">
        <f>COUNTIFS(交易明細!$B$2:$B$96,$A44,交易明細!$J$2:$J$96,"止盈")</f>
        <v/>
      </c>
      <c r="G44" s="2">
        <f>COUNTIFS(交易明細!$B$2:$B$96,$A44,交易明細!$J$2:$J$96,"止損")</f>
        <v/>
      </c>
      <c r="H44" s="4">
        <f>IFERROR(F44/E44,0)</f>
        <v/>
      </c>
      <c r="I44" s="4">
        <f>IFERROR(AVERAGEIFS(交易明細!$L$2:$L$96,交易明細!$B$2:$B$96,$A44,交易明細!$J$2:$J$96,"&lt;&gt;未平倉"),0)</f>
        <v/>
      </c>
      <c r="J44" s="4">
        <f>SUMIFS(交易明細!$L$2:$L$96,交易明細!$B$2:$B$96,$A44,交易明細!$J$2:$J$96,"&lt;&gt;未平倉")</f>
        <v/>
      </c>
      <c r="K44" s="5">
        <f>IFERROR(AVERAGEIFS(交易明細!$K$2:$K$96,交易明細!$B$2:$B$96,$A44,交易明細!$J$2:$J$96,"&lt;&gt;未平倉"),0)</f>
        <v/>
      </c>
      <c r="L44" s="2">
        <f>COUNTIFS(交易明細!$B$2:$B$96,$A44,交易明細!$J$2:$J$96,"未平倉")</f>
        <v/>
      </c>
    </row>
    <row r="45">
      <c r="A45" s="2" t="inlineStr">
        <is>
          <t>BAT_USDT_PERP</t>
        </is>
      </c>
      <c r="B45" s="2">
        <f>COUNTIFS(交易明細!$B$2:$B$96,$A45)</f>
        <v/>
      </c>
      <c r="C45" s="2">
        <f>COUNTIFS(交易明細!$B$2:$B$96,$A45,交易明細!$C$2:$C$96,"做多")</f>
        <v/>
      </c>
      <c r="D45" s="2">
        <f>COUNTIFS(交易明細!$B$2:$B$96,$A45,交易明細!$C$2:$C$96,"做空")</f>
        <v/>
      </c>
      <c r="E45" s="2">
        <f>F45+G45+COUNTIFS(交易明細!$B$2:$B$96,$A45,交易明細!$J$2:$J$96,"時間出場")</f>
        <v/>
      </c>
      <c r="F45" s="2">
        <f>COUNTIFS(交易明細!$B$2:$B$96,$A45,交易明細!$J$2:$J$96,"止盈")</f>
        <v/>
      </c>
      <c r="G45" s="2">
        <f>COUNTIFS(交易明細!$B$2:$B$96,$A45,交易明細!$J$2:$J$96,"止損")</f>
        <v/>
      </c>
      <c r="H45" s="4">
        <f>IFERROR(F45/E45,0)</f>
        <v/>
      </c>
      <c r="I45" s="4">
        <f>IFERROR(AVERAGEIFS(交易明細!$L$2:$L$96,交易明細!$B$2:$B$96,$A45,交易明細!$J$2:$J$96,"&lt;&gt;未平倉"),0)</f>
        <v/>
      </c>
      <c r="J45" s="4">
        <f>SUMIFS(交易明細!$L$2:$L$96,交易明細!$B$2:$B$96,$A45,交易明細!$J$2:$J$96,"&lt;&gt;未平倉")</f>
        <v/>
      </c>
      <c r="K45" s="5">
        <f>IFERROR(AVERAGEIFS(交易明細!$K$2:$K$96,交易明細!$B$2:$B$96,$A45,交易明細!$J$2:$J$96,"&lt;&gt;未平倉"),0)</f>
        <v/>
      </c>
      <c r="L45" s="2">
        <f>COUNTIFS(交易明細!$B$2:$B$96,$A45,交易明細!$J$2:$J$96,"未平倉")</f>
        <v/>
      </c>
    </row>
    <row r="46">
      <c r="A46" s="2" t="inlineStr">
        <is>
          <t>PONS_USDT_PERP</t>
        </is>
      </c>
      <c r="B46" s="2">
        <f>COUNTIFS(交易明細!$B$2:$B$96,$A46)</f>
        <v/>
      </c>
      <c r="C46" s="2">
        <f>COUNTIFS(交易明細!$B$2:$B$96,$A46,交易明細!$C$2:$C$96,"做多")</f>
        <v/>
      </c>
      <c r="D46" s="2">
        <f>COUNTIFS(交易明細!$B$2:$B$96,$A46,交易明細!$C$2:$C$96,"做空")</f>
        <v/>
      </c>
      <c r="E46" s="2">
        <f>F46+G46+COUNTIFS(交易明細!$B$2:$B$96,$A46,交易明細!$J$2:$J$96,"時間出場")</f>
        <v/>
      </c>
      <c r="F46" s="2">
        <f>COUNTIFS(交易明細!$B$2:$B$96,$A46,交易明細!$J$2:$J$96,"止盈")</f>
        <v/>
      </c>
      <c r="G46" s="2">
        <f>COUNTIFS(交易明細!$B$2:$B$96,$A46,交易明細!$J$2:$J$96,"止損")</f>
        <v/>
      </c>
      <c r="H46" s="4">
        <f>IFERROR(F46/E46,0)</f>
        <v/>
      </c>
      <c r="I46" s="4">
        <f>IFERROR(AVERAGEIFS(交易明細!$L$2:$L$96,交易明細!$B$2:$B$96,$A46,交易明細!$J$2:$J$96,"&lt;&gt;未平倉"),0)</f>
        <v/>
      </c>
      <c r="J46" s="4">
        <f>SUMIFS(交易明細!$L$2:$L$96,交易明細!$B$2:$B$96,$A46,交易明細!$J$2:$J$96,"&lt;&gt;未平倉")</f>
        <v/>
      </c>
      <c r="K46" s="5">
        <f>IFERROR(AVERAGEIFS(交易明細!$K$2:$K$96,交易明細!$B$2:$B$96,$A46,交易明細!$J$2:$J$96,"&lt;&gt;未平倉"),0)</f>
        <v/>
      </c>
      <c r="L46" s="2">
        <f>COUNTIFS(交易明細!$B$2:$B$96,$A46,交易明細!$J$2:$J$96,"未平倉")</f>
        <v/>
      </c>
    </row>
    <row r="47">
      <c r="A47" s="2" t="inlineStr">
        <is>
          <t>COLLECT_USDT_PERP</t>
        </is>
      </c>
      <c r="B47" s="2">
        <f>COUNTIFS(交易明細!$B$2:$B$96,$A47)</f>
        <v/>
      </c>
      <c r="C47" s="2">
        <f>COUNTIFS(交易明細!$B$2:$B$96,$A47,交易明細!$C$2:$C$96,"做多")</f>
        <v/>
      </c>
      <c r="D47" s="2">
        <f>COUNTIFS(交易明細!$B$2:$B$96,$A47,交易明細!$C$2:$C$96,"做空")</f>
        <v/>
      </c>
      <c r="E47" s="2">
        <f>F47+G47+COUNTIFS(交易明細!$B$2:$B$96,$A47,交易明細!$J$2:$J$96,"時間出場")</f>
        <v/>
      </c>
      <c r="F47" s="2">
        <f>COUNTIFS(交易明細!$B$2:$B$96,$A47,交易明細!$J$2:$J$96,"止盈")</f>
        <v/>
      </c>
      <c r="G47" s="2">
        <f>COUNTIFS(交易明細!$B$2:$B$96,$A47,交易明細!$J$2:$J$96,"止損")</f>
        <v/>
      </c>
      <c r="H47" s="4">
        <f>IFERROR(F47/E47,0)</f>
        <v/>
      </c>
      <c r="I47" s="4">
        <f>IFERROR(AVERAGEIFS(交易明細!$L$2:$L$96,交易明細!$B$2:$B$96,$A47,交易明細!$J$2:$J$96,"&lt;&gt;未平倉"),0)</f>
        <v/>
      </c>
      <c r="J47" s="4">
        <f>SUMIFS(交易明細!$L$2:$L$96,交易明細!$B$2:$B$96,$A47,交易明細!$J$2:$J$96,"&lt;&gt;未平倉")</f>
        <v/>
      </c>
      <c r="K47" s="5">
        <f>IFERROR(AVERAGEIFS(交易明細!$K$2:$K$96,交易明細!$B$2:$B$96,$A47,交易明細!$J$2:$J$96,"&lt;&gt;未平倉"),0)</f>
        <v/>
      </c>
      <c r="L47" s="2">
        <f>COUNTIFS(交易明細!$B$2:$B$96,$A47,交易明細!$J$2:$J$96,"未平倉")</f>
        <v/>
      </c>
    </row>
    <row r="48">
      <c r="A48" s="2" t="inlineStr">
        <is>
          <t>API3_USDT_PERP</t>
        </is>
      </c>
      <c r="B48" s="2">
        <f>COUNTIFS(交易明細!$B$2:$B$96,$A48)</f>
        <v/>
      </c>
      <c r="C48" s="2">
        <f>COUNTIFS(交易明細!$B$2:$B$96,$A48,交易明細!$C$2:$C$96,"做多")</f>
        <v/>
      </c>
      <c r="D48" s="2">
        <f>COUNTIFS(交易明細!$B$2:$B$96,$A48,交易明細!$C$2:$C$96,"做空")</f>
        <v/>
      </c>
      <c r="E48" s="2">
        <f>F48+G48+COUNTIFS(交易明細!$B$2:$B$96,$A48,交易明細!$J$2:$J$96,"時間出場")</f>
        <v/>
      </c>
      <c r="F48" s="2">
        <f>COUNTIFS(交易明細!$B$2:$B$96,$A48,交易明細!$J$2:$J$96,"止盈")</f>
        <v/>
      </c>
      <c r="G48" s="2">
        <f>COUNTIFS(交易明細!$B$2:$B$96,$A48,交易明細!$J$2:$J$96,"止損")</f>
        <v/>
      </c>
      <c r="H48" s="4">
        <f>IFERROR(F48/E48,0)</f>
        <v/>
      </c>
      <c r="I48" s="4">
        <f>IFERROR(AVERAGEIFS(交易明細!$L$2:$L$96,交易明細!$B$2:$B$96,$A48,交易明細!$J$2:$J$96,"&lt;&gt;未平倉"),0)</f>
        <v/>
      </c>
      <c r="J48" s="4">
        <f>SUMIFS(交易明細!$L$2:$L$96,交易明細!$B$2:$B$96,$A48,交易明細!$J$2:$J$96,"&lt;&gt;未平倉")</f>
        <v/>
      </c>
      <c r="K48" s="5">
        <f>IFERROR(AVERAGEIFS(交易明細!$K$2:$K$96,交易明細!$B$2:$B$96,$A48,交易明細!$J$2:$J$96,"&lt;&gt;未平倉"),0)</f>
        <v/>
      </c>
      <c r="L48" s="2">
        <f>COUNTIFS(交易明細!$B$2:$B$96,$A48,交易明細!$J$2:$J$96,"未平倉")</f>
        <v/>
      </c>
    </row>
    <row r="49">
      <c r="A49" s="2" t="inlineStr">
        <is>
          <t>BULLA_USDT_PERP</t>
        </is>
      </c>
      <c r="B49" s="2">
        <f>COUNTIFS(交易明細!$B$2:$B$96,$A49)</f>
        <v/>
      </c>
      <c r="C49" s="2">
        <f>COUNTIFS(交易明細!$B$2:$B$96,$A49,交易明細!$C$2:$C$96,"做多")</f>
        <v/>
      </c>
      <c r="D49" s="2">
        <f>COUNTIFS(交易明細!$B$2:$B$96,$A49,交易明細!$C$2:$C$96,"做空")</f>
        <v/>
      </c>
      <c r="E49" s="2">
        <f>F49+G49+COUNTIFS(交易明細!$B$2:$B$96,$A49,交易明細!$J$2:$J$96,"時間出場")</f>
        <v/>
      </c>
      <c r="F49" s="2">
        <f>COUNTIFS(交易明細!$B$2:$B$96,$A49,交易明細!$J$2:$J$96,"止盈")</f>
        <v/>
      </c>
      <c r="G49" s="2">
        <f>COUNTIFS(交易明細!$B$2:$B$96,$A49,交易明細!$J$2:$J$96,"止損")</f>
        <v/>
      </c>
      <c r="H49" s="4">
        <f>IFERROR(F49/E49,0)</f>
        <v/>
      </c>
      <c r="I49" s="4">
        <f>IFERROR(AVERAGEIFS(交易明細!$L$2:$L$96,交易明細!$B$2:$B$96,$A49,交易明細!$J$2:$J$96,"&lt;&gt;未平倉"),0)</f>
        <v/>
      </c>
      <c r="J49" s="4">
        <f>SUMIFS(交易明細!$L$2:$L$96,交易明細!$B$2:$B$96,$A49,交易明細!$J$2:$J$96,"&lt;&gt;未平倉")</f>
        <v/>
      </c>
      <c r="K49" s="5">
        <f>IFERROR(AVERAGEIFS(交易明細!$K$2:$K$96,交易明細!$B$2:$B$96,$A49,交易明細!$J$2:$J$96,"&lt;&gt;未平倉"),0)</f>
        <v/>
      </c>
      <c r="L49" s="2">
        <f>COUNTIFS(交易明細!$B$2:$B$96,$A49,交易明細!$J$2:$J$96,"未平倉")</f>
        <v/>
      </c>
    </row>
    <row r="50">
      <c r="A50" s="2" t="inlineStr">
        <is>
          <t>TA_USDT_PERP</t>
        </is>
      </c>
      <c r="B50" s="2">
        <f>COUNTIFS(交易明細!$B$2:$B$96,$A50)</f>
        <v/>
      </c>
      <c r="C50" s="2">
        <f>COUNTIFS(交易明細!$B$2:$B$96,$A50,交易明細!$C$2:$C$96,"做多")</f>
        <v/>
      </c>
      <c r="D50" s="2">
        <f>COUNTIFS(交易明細!$B$2:$B$96,$A50,交易明細!$C$2:$C$96,"做空")</f>
        <v/>
      </c>
      <c r="E50" s="2">
        <f>F50+G50+COUNTIFS(交易明細!$B$2:$B$96,$A50,交易明細!$J$2:$J$96,"時間出場")</f>
        <v/>
      </c>
      <c r="F50" s="2">
        <f>COUNTIFS(交易明細!$B$2:$B$96,$A50,交易明細!$J$2:$J$96,"止盈")</f>
        <v/>
      </c>
      <c r="G50" s="2">
        <f>COUNTIFS(交易明細!$B$2:$B$96,$A50,交易明細!$J$2:$J$96,"止損")</f>
        <v/>
      </c>
      <c r="H50" s="4">
        <f>IFERROR(F50/E50,0)</f>
        <v/>
      </c>
      <c r="I50" s="4">
        <f>IFERROR(AVERAGEIFS(交易明細!$L$2:$L$96,交易明細!$B$2:$B$96,$A50,交易明細!$J$2:$J$96,"&lt;&gt;未平倉"),0)</f>
        <v/>
      </c>
      <c r="J50" s="4">
        <f>SUMIFS(交易明細!$L$2:$L$96,交易明細!$B$2:$B$96,$A50,交易明細!$J$2:$J$96,"&lt;&gt;未平倉")</f>
        <v/>
      </c>
      <c r="K50" s="5">
        <f>IFERROR(AVERAGEIFS(交易明細!$K$2:$K$96,交易明細!$B$2:$B$96,$A50,交易明細!$J$2:$J$96,"&lt;&gt;未平倉"),0)</f>
        <v/>
      </c>
      <c r="L50" s="2">
        <f>COUNTIFS(交易明細!$B$2:$B$96,$A50,交易明細!$J$2:$J$96,"未平倉")</f>
        <v/>
      </c>
    </row>
    <row r="51">
      <c r="A51" s="2" t="inlineStr">
        <is>
          <t>MANA_USDT_PERP</t>
        </is>
      </c>
      <c r="B51" s="2">
        <f>COUNTIFS(交易明細!$B$2:$B$96,$A51)</f>
        <v/>
      </c>
      <c r="C51" s="2">
        <f>COUNTIFS(交易明細!$B$2:$B$96,$A51,交易明細!$C$2:$C$96,"做多")</f>
        <v/>
      </c>
      <c r="D51" s="2">
        <f>COUNTIFS(交易明細!$B$2:$B$96,$A51,交易明細!$C$2:$C$96,"做空")</f>
        <v/>
      </c>
      <c r="E51" s="2">
        <f>F51+G51+COUNTIFS(交易明細!$B$2:$B$96,$A51,交易明細!$J$2:$J$96,"時間出場")</f>
        <v/>
      </c>
      <c r="F51" s="2">
        <f>COUNTIFS(交易明細!$B$2:$B$96,$A51,交易明細!$J$2:$J$96,"止盈")</f>
        <v/>
      </c>
      <c r="G51" s="2">
        <f>COUNTIFS(交易明細!$B$2:$B$96,$A51,交易明細!$J$2:$J$96,"止損")</f>
        <v/>
      </c>
      <c r="H51" s="4">
        <f>IFERROR(F51/E51,0)</f>
        <v/>
      </c>
      <c r="I51" s="4">
        <f>IFERROR(AVERAGEIFS(交易明細!$L$2:$L$96,交易明細!$B$2:$B$96,$A51,交易明細!$J$2:$J$96,"&lt;&gt;未平倉"),0)</f>
        <v/>
      </c>
      <c r="J51" s="4">
        <f>SUMIFS(交易明細!$L$2:$L$96,交易明細!$B$2:$B$96,$A51,交易明細!$J$2:$J$96,"&lt;&gt;未平倉")</f>
        <v/>
      </c>
      <c r="K51" s="5">
        <f>IFERROR(AVERAGEIFS(交易明細!$K$2:$K$96,交易明細!$B$2:$B$96,$A51,交易明細!$J$2:$J$96,"&lt;&gt;未平倉"),0)</f>
        <v/>
      </c>
      <c r="L51" s="2">
        <f>COUNTIFS(交易明細!$B$2:$B$96,$A51,交易明細!$J$2:$J$96,"未平倉")</f>
        <v/>
      </c>
    </row>
    <row r="52">
      <c r="A52" s="2" t="inlineStr">
        <is>
          <t>HEMI_USDT_PERP</t>
        </is>
      </c>
      <c r="B52" s="2">
        <f>COUNTIFS(交易明細!$B$2:$B$96,$A52)</f>
        <v/>
      </c>
      <c r="C52" s="2">
        <f>COUNTIFS(交易明細!$B$2:$B$96,$A52,交易明細!$C$2:$C$96,"做多")</f>
        <v/>
      </c>
      <c r="D52" s="2">
        <f>COUNTIFS(交易明細!$B$2:$B$96,$A52,交易明細!$C$2:$C$96,"做空")</f>
        <v/>
      </c>
      <c r="E52" s="2">
        <f>F52+G52+COUNTIFS(交易明細!$B$2:$B$96,$A52,交易明細!$J$2:$J$96,"時間出場")</f>
        <v/>
      </c>
      <c r="F52" s="2">
        <f>COUNTIFS(交易明細!$B$2:$B$96,$A52,交易明細!$J$2:$J$96,"止盈")</f>
        <v/>
      </c>
      <c r="G52" s="2">
        <f>COUNTIFS(交易明細!$B$2:$B$96,$A52,交易明細!$J$2:$J$96,"止損")</f>
        <v/>
      </c>
      <c r="H52" s="4">
        <f>IFERROR(F52/E52,0)</f>
        <v/>
      </c>
      <c r="I52" s="4">
        <f>IFERROR(AVERAGEIFS(交易明細!$L$2:$L$96,交易明細!$B$2:$B$96,$A52,交易明細!$J$2:$J$96,"&lt;&gt;未平倉"),0)</f>
        <v/>
      </c>
      <c r="J52" s="4">
        <f>SUMIFS(交易明細!$L$2:$L$96,交易明細!$B$2:$B$96,$A52,交易明細!$J$2:$J$96,"&lt;&gt;未平倉")</f>
        <v/>
      </c>
      <c r="K52" s="5">
        <f>IFERROR(AVERAGEIFS(交易明細!$K$2:$K$96,交易明細!$B$2:$B$96,$A52,交易明細!$J$2:$J$96,"&lt;&gt;未平倉"),0)</f>
        <v/>
      </c>
      <c r="L52" s="2">
        <f>COUNTIFS(交易明細!$B$2:$B$96,$A52,交易明細!$J$2:$J$96,"未平倉")</f>
        <v/>
      </c>
    </row>
    <row r="53">
      <c r="A53" s="2" t="inlineStr">
        <is>
          <t>W_USDT_PERP</t>
        </is>
      </c>
      <c r="B53" s="2">
        <f>COUNTIFS(交易明細!$B$2:$B$96,$A53)</f>
        <v/>
      </c>
      <c r="C53" s="2">
        <f>COUNTIFS(交易明細!$B$2:$B$96,$A53,交易明細!$C$2:$C$96,"做多")</f>
        <v/>
      </c>
      <c r="D53" s="2">
        <f>COUNTIFS(交易明細!$B$2:$B$96,$A53,交易明細!$C$2:$C$96,"做空")</f>
        <v/>
      </c>
      <c r="E53" s="2">
        <f>F53+G53+COUNTIFS(交易明細!$B$2:$B$96,$A53,交易明細!$J$2:$J$96,"時間出場")</f>
        <v/>
      </c>
      <c r="F53" s="2">
        <f>COUNTIFS(交易明細!$B$2:$B$96,$A53,交易明細!$J$2:$J$96,"止盈")</f>
        <v/>
      </c>
      <c r="G53" s="2">
        <f>COUNTIFS(交易明細!$B$2:$B$96,$A53,交易明細!$J$2:$J$96,"止損")</f>
        <v/>
      </c>
      <c r="H53" s="4">
        <f>IFERROR(F53/E53,0)</f>
        <v/>
      </c>
      <c r="I53" s="4">
        <f>IFERROR(AVERAGEIFS(交易明細!$L$2:$L$96,交易明細!$B$2:$B$96,$A53,交易明細!$J$2:$J$96,"&lt;&gt;未平倉"),0)</f>
        <v/>
      </c>
      <c r="J53" s="4">
        <f>SUMIFS(交易明細!$L$2:$L$96,交易明細!$B$2:$B$96,$A53,交易明細!$J$2:$J$96,"&lt;&gt;未平倉")</f>
        <v/>
      </c>
      <c r="K53" s="5">
        <f>IFERROR(AVERAGEIFS(交易明細!$K$2:$K$96,交易明細!$B$2:$B$96,$A53,交易明細!$J$2:$J$96,"&lt;&gt;未平倉"),0)</f>
        <v/>
      </c>
      <c r="L53" s="2">
        <f>COUNTIFS(交易明細!$B$2:$B$96,$A53,交易明細!$J$2:$J$96,"未平倉")</f>
        <v/>
      </c>
    </row>
    <row r="54">
      <c r="A54" s="2" t="inlineStr">
        <is>
          <t>ACE_USDT_PERP</t>
        </is>
      </c>
      <c r="B54" s="2">
        <f>COUNTIFS(交易明細!$B$2:$B$96,$A54)</f>
        <v/>
      </c>
      <c r="C54" s="2">
        <f>COUNTIFS(交易明細!$B$2:$B$96,$A54,交易明細!$C$2:$C$96,"做多")</f>
        <v/>
      </c>
      <c r="D54" s="2">
        <f>COUNTIFS(交易明細!$B$2:$B$96,$A54,交易明細!$C$2:$C$96,"做空")</f>
        <v/>
      </c>
      <c r="E54" s="2">
        <f>F54+G54+COUNTIFS(交易明細!$B$2:$B$96,$A54,交易明細!$J$2:$J$96,"時間出場")</f>
        <v/>
      </c>
      <c r="F54" s="2">
        <f>COUNTIFS(交易明細!$B$2:$B$96,$A54,交易明細!$J$2:$J$96,"止盈")</f>
        <v/>
      </c>
      <c r="G54" s="2">
        <f>COUNTIFS(交易明細!$B$2:$B$96,$A54,交易明細!$J$2:$J$96,"止損")</f>
        <v/>
      </c>
      <c r="H54" s="4">
        <f>IFERROR(F54/E54,0)</f>
        <v/>
      </c>
      <c r="I54" s="4">
        <f>IFERROR(AVERAGEIFS(交易明細!$L$2:$L$96,交易明細!$B$2:$B$96,$A54,交易明細!$J$2:$J$96,"&lt;&gt;未平倉"),0)</f>
        <v/>
      </c>
      <c r="J54" s="4">
        <f>SUMIFS(交易明細!$L$2:$L$96,交易明細!$B$2:$B$96,$A54,交易明細!$J$2:$J$96,"&lt;&gt;未平倉")</f>
        <v/>
      </c>
      <c r="K54" s="5">
        <f>IFERROR(AVERAGEIFS(交易明細!$K$2:$K$96,交易明細!$B$2:$B$96,$A54,交易明細!$J$2:$J$96,"&lt;&gt;未平倉"),0)</f>
        <v/>
      </c>
      <c r="L54" s="2">
        <f>COUNTIFS(交易明細!$B$2:$B$96,$A54,交易明細!$J$2:$J$96,"未平倉")</f>
        <v/>
      </c>
    </row>
    <row r="55">
      <c r="A55" s="2" t="inlineStr">
        <is>
          <t>ON_USDT_PERP</t>
        </is>
      </c>
      <c r="B55" s="2">
        <f>COUNTIFS(交易明細!$B$2:$B$96,$A55)</f>
        <v/>
      </c>
      <c r="C55" s="2">
        <f>COUNTIFS(交易明細!$B$2:$B$96,$A55,交易明細!$C$2:$C$96,"做多")</f>
        <v/>
      </c>
      <c r="D55" s="2">
        <f>COUNTIFS(交易明細!$B$2:$B$96,$A55,交易明細!$C$2:$C$96,"做空")</f>
        <v/>
      </c>
      <c r="E55" s="2">
        <f>F55+G55+COUNTIFS(交易明細!$B$2:$B$96,$A55,交易明細!$J$2:$J$96,"時間出場")</f>
        <v/>
      </c>
      <c r="F55" s="2">
        <f>COUNTIFS(交易明細!$B$2:$B$96,$A55,交易明細!$J$2:$J$96,"止盈")</f>
        <v/>
      </c>
      <c r="G55" s="2">
        <f>COUNTIFS(交易明細!$B$2:$B$96,$A55,交易明細!$J$2:$J$96,"止損")</f>
        <v/>
      </c>
      <c r="H55" s="4">
        <f>IFERROR(F55/E55,0)</f>
        <v/>
      </c>
      <c r="I55" s="4">
        <f>IFERROR(AVERAGEIFS(交易明細!$L$2:$L$96,交易明細!$B$2:$B$96,$A55,交易明細!$J$2:$J$96,"&lt;&gt;未平倉"),0)</f>
        <v/>
      </c>
      <c r="J55" s="4">
        <f>SUMIFS(交易明細!$L$2:$L$96,交易明細!$B$2:$B$96,$A55,交易明細!$J$2:$J$96,"&lt;&gt;未平倉")</f>
        <v/>
      </c>
      <c r="K55" s="5">
        <f>IFERROR(AVERAGEIFS(交易明細!$K$2:$K$96,交易明細!$B$2:$B$96,$A55,交易明細!$J$2:$J$96,"&lt;&gt;未平倉"),0)</f>
        <v/>
      </c>
      <c r="L55" s="2">
        <f>COUNTIFS(交易明細!$B$2:$B$96,$A55,交易明細!$J$2:$J$96,"未平倉")</f>
        <v/>
      </c>
    </row>
    <row r="56">
      <c r="A56" s="2" t="inlineStr">
        <is>
          <t>币安人生_USDT_PERP</t>
        </is>
      </c>
      <c r="B56" s="2">
        <f>COUNTIFS(交易明細!$B$2:$B$96,$A56)</f>
        <v/>
      </c>
      <c r="C56" s="2">
        <f>COUNTIFS(交易明細!$B$2:$B$96,$A56,交易明細!$C$2:$C$96,"做多")</f>
        <v/>
      </c>
      <c r="D56" s="2">
        <f>COUNTIFS(交易明細!$B$2:$B$96,$A56,交易明細!$C$2:$C$96,"做空")</f>
        <v/>
      </c>
      <c r="E56" s="2">
        <f>F56+G56+COUNTIFS(交易明細!$B$2:$B$96,$A56,交易明細!$J$2:$J$96,"時間出場")</f>
        <v/>
      </c>
      <c r="F56" s="2">
        <f>COUNTIFS(交易明細!$B$2:$B$96,$A56,交易明細!$J$2:$J$96,"止盈")</f>
        <v/>
      </c>
      <c r="G56" s="2">
        <f>COUNTIFS(交易明細!$B$2:$B$96,$A56,交易明細!$J$2:$J$96,"止損")</f>
        <v/>
      </c>
      <c r="H56" s="4">
        <f>IFERROR(F56/E56,0)</f>
        <v/>
      </c>
      <c r="I56" s="4">
        <f>IFERROR(AVERAGEIFS(交易明細!$L$2:$L$96,交易明細!$B$2:$B$96,$A56,交易明細!$J$2:$J$96,"&lt;&gt;未平倉"),0)</f>
        <v/>
      </c>
      <c r="J56" s="4">
        <f>SUMIFS(交易明細!$L$2:$L$96,交易明細!$B$2:$B$96,$A56,交易明細!$J$2:$J$96,"&lt;&gt;未平倉")</f>
        <v/>
      </c>
      <c r="K56" s="5">
        <f>IFERROR(AVERAGEIFS(交易明細!$K$2:$K$96,交易明細!$B$2:$B$96,$A56,交易明細!$J$2:$J$96,"&lt;&gt;未平倉"),0)</f>
        <v/>
      </c>
      <c r="L56" s="2">
        <f>COUNTIFS(交易明細!$B$2:$B$96,$A56,交易明細!$J$2:$J$96,"未平倉")</f>
        <v/>
      </c>
    </row>
    <row r="57">
      <c r="A57" s="2" t="inlineStr">
        <is>
          <t>OGN_USDT_PERP</t>
        </is>
      </c>
      <c r="B57" s="2">
        <f>COUNTIFS(交易明細!$B$2:$B$96,$A57)</f>
        <v/>
      </c>
      <c r="C57" s="2">
        <f>COUNTIFS(交易明細!$B$2:$B$96,$A57,交易明細!$C$2:$C$96,"做多")</f>
        <v/>
      </c>
      <c r="D57" s="2">
        <f>COUNTIFS(交易明細!$B$2:$B$96,$A57,交易明細!$C$2:$C$96,"做空")</f>
        <v/>
      </c>
      <c r="E57" s="2">
        <f>F57+G57+COUNTIFS(交易明細!$B$2:$B$96,$A57,交易明細!$J$2:$J$96,"時間出場")</f>
        <v/>
      </c>
      <c r="F57" s="2">
        <f>COUNTIFS(交易明細!$B$2:$B$96,$A57,交易明細!$J$2:$J$96,"止盈")</f>
        <v/>
      </c>
      <c r="G57" s="2">
        <f>COUNTIFS(交易明細!$B$2:$B$96,$A57,交易明細!$J$2:$J$96,"止損")</f>
        <v/>
      </c>
      <c r="H57" s="4">
        <f>IFERROR(F57/E57,0)</f>
        <v/>
      </c>
      <c r="I57" s="4">
        <f>IFERROR(AVERAGEIFS(交易明細!$L$2:$L$96,交易明細!$B$2:$B$96,$A57,交易明細!$J$2:$J$96,"&lt;&gt;未平倉"),0)</f>
        <v/>
      </c>
      <c r="J57" s="4">
        <f>SUMIFS(交易明細!$L$2:$L$96,交易明細!$B$2:$B$96,$A57,交易明細!$J$2:$J$96,"&lt;&gt;未平倉")</f>
        <v/>
      </c>
      <c r="K57" s="5">
        <f>IFERROR(AVERAGEIFS(交易明細!$K$2:$K$96,交易明細!$B$2:$B$96,$A57,交易明細!$J$2:$J$96,"&lt;&gt;未平倉"),0)</f>
        <v/>
      </c>
      <c r="L57" s="2">
        <f>COUNTIFS(交易明細!$B$2:$B$96,$A57,交易明細!$J$2:$J$96,"未平倉")</f>
        <v/>
      </c>
    </row>
    <row r="58">
      <c r="A58" s="2" t="inlineStr">
        <is>
          <t>DODO_USDT_PERP</t>
        </is>
      </c>
      <c r="B58" s="2">
        <f>COUNTIFS(交易明細!$B$2:$B$96,$A58)</f>
        <v/>
      </c>
      <c r="C58" s="2">
        <f>COUNTIFS(交易明細!$B$2:$B$96,$A58,交易明細!$C$2:$C$96,"做多")</f>
        <v/>
      </c>
      <c r="D58" s="2">
        <f>COUNTIFS(交易明細!$B$2:$B$96,$A58,交易明細!$C$2:$C$96,"做空")</f>
        <v/>
      </c>
      <c r="E58" s="2">
        <f>F58+G58+COUNTIFS(交易明細!$B$2:$B$96,$A58,交易明細!$J$2:$J$96,"時間出場")</f>
        <v/>
      </c>
      <c r="F58" s="2">
        <f>COUNTIFS(交易明細!$B$2:$B$96,$A58,交易明細!$J$2:$J$96,"止盈")</f>
        <v/>
      </c>
      <c r="G58" s="2">
        <f>COUNTIFS(交易明細!$B$2:$B$96,$A58,交易明細!$J$2:$J$96,"止損")</f>
        <v/>
      </c>
      <c r="H58" s="4">
        <f>IFERROR(F58/E58,0)</f>
        <v/>
      </c>
      <c r="I58" s="4">
        <f>IFERROR(AVERAGEIFS(交易明細!$L$2:$L$96,交易明細!$B$2:$B$96,$A58,交易明細!$J$2:$J$96,"&lt;&gt;未平倉"),0)</f>
        <v/>
      </c>
      <c r="J58" s="4">
        <f>SUMIFS(交易明細!$L$2:$L$96,交易明細!$B$2:$B$96,$A58,交易明細!$J$2:$J$96,"&lt;&gt;未平倉")</f>
        <v/>
      </c>
      <c r="K58" s="5">
        <f>IFERROR(AVERAGEIFS(交易明細!$K$2:$K$96,交易明細!$B$2:$B$96,$A58,交易明細!$J$2:$J$96,"&lt;&gt;未平倉"),0)</f>
        <v/>
      </c>
      <c r="L58" s="2">
        <f>COUNTIFS(交易明細!$B$2:$B$96,$A58,交易明細!$J$2:$J$96,"未平倉")</f>
        <v/>
      </c>
    </row>
    <row r="59">
      <c r="A59" s="2" t="inlineStr">
        <is>
          <t>PIXEL_USDT_PERP</t>
        </is>
      </c>
      <c r="B59" s="2">
        <f>COUNTIFS(交易明細!$B$2:$B$96,$A59)</f>
        <v/>
      </c>
      <c r="C59" s="2">
        <f>COUNTIFS(交易明細!$B$2:$B$96,$A59,交易明細!$C$2:$C$96,"做多")</f>
        <v/>
      </c>
      <c r="D59" s="2">
        <f>COUNTIFS(交易明細!$B$2:$B$96,$A59,交易明細!$C$2:$C$96,"做空")</f>
        <v/>
      </c>
      <c r="E59" s="2">
        <f>F59+G59+COUNTIFS(交易明細!$B$2:$B$96,$A59,交易明細!$J$2:$J$96,"時間出場")</f>
        <v/>
      </c>
      <c r="F59" s="2">
        <f>COUNTIFS(交易明細!$B$2:$B$96,$A59,交易明細!$J$2:$J$96,"止盈")</f>
        <v/>
      </c>
      <c r="G59" s="2">
        <f>COUNTIFS(交易明細!$B$2:$B$96,$A59,交易明細!$J$2:$J$96,"止損")</f>
        <v/>
      </c>
      <c r="H59" s="4">
        <f>IFERROR(F59/E59,0)</f>
        <v/>
      </c>
      <c r="I59" s="4">
        <f>IFERROR(AVERAGEIFS(交易明細!$L$2:$L$96,交易明細!$B$2:$B$96,$A59,交易明細!$J$2:$J$96,"&lt;&gt;未平倉"),0)</f>
        <v/>
      </c>
      <c r="J59" s="4">
        <f>SUMIFS(交易明細!$L$2:$L$96,交易明細!$B$2:$B$96,$A59,交易明細!$J$2:$J$96,"&lt;&gt;未平倉")</f>
        <v/>
      </c>
      <c r="K59" s="5">
        <f>IFERROR(AVERAGEIFS(交易明細!$K$2:$K$96,交易明細!$B$2:$B$96,$A59,交易明細!$J$2:$J$96,"&lt;&gt;未平倉"),0)</f>
        <v/>
      </c>
      <c r="L59" s="2">
        <f>COUNTIFS(交易明細!$B$2:$B$96,$A59,交易明細!$J$2:$J$96,"未平倉")</f>
        <v/>
      </c>
    </row>
    <row r="60">
      <c r="A60" s="2" t="inlineStr">
        <is>
          <t>CFX_USDT_PERP</t>
        </is>
      </c>
      <c r="B60" s="2">
        <f>COUNTIFS(交易明細!$B$2:$B$96,$A60)</f>
        <v/>
      </c>
      <c r="C60" s="2">
        <f>COUNTIFS(交易明細!$B$2:$B$96,$A60,交易明細!$C$2:$C$96,"做多")</f>
        <v/>
      </c>
      <c r="D60" s="2">
        <f>COUNTIFS(交易明細!$B$2:$B$96,$A60,交易明細!$C$2:$C$96,"做空")</f>
        <v/>
      </c>
      <c r="E60" s="2">
        <f>F60+G60+COUNTIFS(交易明細!$B$2:$B$96,$A60,交易明細!$J$2:$J$96,"時間出場")</f>
        <v/>
      </c>
      <c r="F60" s="2">
        <f>COUNTIFS(交易明細!$B$2:$B$96,$A60,交易明細!$J$2:$J$96,"止盈")</f>
        <v/>
      </c>
      <c r="G60" s="2">
        <f>COUNTIFS(交易明細!$B$2:$B$96,$A60,交易明細!$J$2:$J$96,"止損")</f>
        <v/>
      </c>
      <c r="H60" s="4">
        <f>IFERROR(F60/E60,0)</f>
        <v/>
      </c>
      <c r="I60" s="4">
        <f>IFERROR(AVERAGEIFS(交易明細!$L$2:$L$96,交易明細!$B$2:$B$96,$A60,交易明細!$J$2:$J$96,"&lt;&gt;未平倉"),0)</f>
        <v/>
      </c>
      <c r="J60" s="4">
        <f>SUMIFS(交易明細!$L$2:$L$96,交易明細!$B$2:$B$96,$A60,交易明細!$J$2:$J$96,"&lt;&gt;未平倉")</f>
        <v/>
      </c>
      <c r="K60" s="5">
        <f>IFERROR(AVERAGEIFS(交易明細!$K$2:$K$96,交易明細!$B$2:$B$96,$A60,交易明細!$J$2:$J$96,"&lt;&gt;未平倉"),0)</f>
        <v/>
      </c>
      <c r="L60" s="2">
        <f>COUNTIFS(交易明細!$B$2:$B$96,$A60,交易明細!$J$2:$J$96,"未平倉")</f>
        <v/>
      </c>
    </row>
    <row r="61">
      <c r="A61" s="2" t="inlineStr">
        <is>
          <t>STRK_USDT_PERP</t>
        </is>
      </c>
      <c r="B61" s="2">
        <f>COUNTIFS(交易明細!$B$2:$B$96,$A61)</f>
        <v/>
      </c>
      <c r="C61" s="2">
        <f>COUNTIFS(交易明細!$B$2:$B$96,$A61,交易明細!$C$2:$C$96,"做多")</f>
        <v/>
      </c>
      <c r="D61" s="2">
        <f>COUNTIFS(交易明細!$B$2:$B$96,$A61,交易明細!$C$2:$C$96,"做空")</f>
        <v/>
      </c>
      <c r="E61" s="2">
        <f>F61+G61+COUNTIFS(交易明細!$B$2:$B$96,$A61,交易明細!$J$2:$J$96,"時間出場")</f>
        <v/>
      </c>
      <c r="F61" s="2">
        <f>COUNTIFS(交易明細!$B$2:$B$96,$A61,交易明細!$J$2:$J$96,"止盈")</f>
        <v/>
      </c>
      <c r="G61" s="2">
        <f>COUNTIFS(交易明細!$B$2:$B$96,$A61,交易明細!$J$2:$J$96,"止損")</f>
        <v/>
      </c>
      <c r="H61" s="4">
        <f>IFERROR(F61/E61,0)</f>
        <v/>
      </c>
      <c r="I61" s="4">
        <f>IFERROR(AVERAGEIFS(交易明細!$L$2:$L$96,交易明細!$B$2:$B$96,$A61,交易明細!$J$2:$J$96,"&lt;&gt;未平倉"),0)</f>
        <v/>
      </c>
      <c r="J61" s="4">
        <f>SUMIFS(交易明細!$L$2:$L$96,交易明細!$B$2:$B$96,$A61,交易明細!$J$2:$J$96,"&lt;&gt;未平倉")</f>
        <v/>
      </c>
      <c r="K61" s="5">
        <f>IFERROR(AVERAGEIFS(交易明細!$K$2:$K$96,交易明細!$B$2:$B$96,$A61,交易明細!$J$2:$J$96,"&lt;&gt;未平倉"),0)</f>
        <v/>
      </c>
      <c r="L61" s="2">
        <f>COUNTIFS(交易明細!$B$2:$B$96,$A61,交易明細!$J$2:$J$96,"未平倉")</f>
        <v/>
      </c>
    </row>
    <row r="62">
      <c r="A62" s="2" t="inlineStr">
        <is>
          <t>ACT_USDT_PERP</t>
        </is>
      </c>
      <c r="B62" s="2">
        <f>COUNTIFS(交易明細!$B$2:$B$96,$A62)</f>
        <v/>
      </c>
      <c r="C62" s="2">
        <f>COUNTIFS(交易明細!$B$2:$B$96,$A62,交易明細!$C$2:$C$96,"做多")</f>
        <v/>
      </c>
      <c r="D62" s="2">
        <f>COUNTIFS(交易明細!$B$2:$B$96,$A62,交易明細!$C$2:$C$96,"做空")</f>
        <v/>
      </c>
      <c r="E62" s="2">
        <f>F62+G62+COUNTIFS(交易明細!$B$2:$B$96,$A62,交易明細!$J$2:$J$96,"時間出場")</f>
        <v/>
      </c>
      <c r="F62" s="2">
        <f>COUNTIFS(交易明細!$B$2:$B$96,$A62,交易明細!$J$2:$J$96,"止盈")</f>
        <v/>
      </c>
      <c r="G62" s="2">
        <f>COUNTIFS(交易明細!$B$2:$B$96,$A62,交易明細!$J$2:$J$96,"止損")</f>
        <v/>
      </c>
      <c r="H62" s="4">
        <f>IFERROR(F62/E62,0)</f>
        <v/>
      </c>
      <c r="I62" s="4">
        <f>IFERROR(AVERAGEIFS(交易明細!$L$2:$L$96,交易明細!$B$2:$B$96,$A62,交易明細!$J$2:$J$96,"&lt;&gt;未平倉"),0)</f>
        <v/>
      </c>
      <c r="J62" s="4">
        <f>SUMIFS(交易明細!$L$2:$L$96,交易明細!$B$2:$B$96,$A62,交易明細!$J$2:$J$96,"&lt;&gt;未平倉")</f>
        <v/>
      </c>
      <c r="K62" s="5">
        <f>IFERROR(AVERAGEIFS(交易明細!$K$2:$K$96,交易明細!$B$2:$B$96,$A62,交易明細!$J$2:$J$96,"&lt;&gt;未平倉"),0)</f>
        <v/>
      </c>
      <c r="L62" s="2">
        <f>COUNTIFS(交易明細!$B$2:$B$96,$A62,交易明細!$J$2:$J$96,"未平倉")</f>
        <v/>
      </c>
    </row>
    <row r="63">
      <c r="A63" s="2" t="inlineStr">
        <is>
          <t>AIN_USDT_PERP</t>
        </is>
      </c>
      <c r="B63" s="2">
        <f>COUNTIFS(交易明細!$B$2:$B$96,$A63)</f>
        <v/>
      </c>
      <c r="C63" s="2">
        <f>COUNTIFS(交易明細!$B$2:$B$96,$A63,交易明細!$C$2:$C$96,"做多")</f>
        <v/>
      </c>
      <c r="D63" s="2">
        <f>COUNTIFS(交易明細!$B$2:$B$96,$A63,交易明細!$C$2:$C$96,"做空")</f>
        <v/>
      </c>
      <c r="E63" s="2">
        <f>F63+G63+COUNTIFS(交易明細!$B$2:$B$96,$A63,交易明細!$J$2:$J$96,"時間出場")</f>
        <v/>
      </c>
      <c r="F63" s="2">
        <f>COUNTIFS(交易明細!$B$2:$B$96,$A63,交易明細!$J$2:$J$96,"止盈")</f>
        <v/>
      </c>
      <c r="G63" s="2">
        <f>COUNTIFS(交易明細!$B$2:$B$96,$A63,交易明細!$J$2:$J$96,"止損")</f>
        <v/>
      </c>
      <c r="H63" s="4">
        <f>IFERROR(F63/E63,0)</f>
        <v/>
      </c>
      <c r="I63" s="4">
        <f>IFERROR(AVERAGEIFS(交易明細!$L$2:$L$96,交易明細!$B$2:$B$96,$A63,交易明細!$J$2:$J$96,"&lt;&gt;未平倉"),0)</f>
        <v/>
      </c>
      <c r="J63" s="4">
        <f>SUMIFS(交易明細!$L$2:$L$96,交易明細!$B$2:$B$96,$A63,交易明細!$J$2:$J$96,"&lt;&gt;未平倉")</f>
        <v/>
      </c>
      <c r="K63" s="5">
        <f>IFERROR(AVERAGEIFS(交易明細!$K$2:$K$96,交易明細!$B$2:$B$96,$A63,交易明細!$J$2:$J$96,"&lt;&gt;未平倉"),0)</f>
        <v/>
      </c>
      <c r="L63" s="2">
        <f>COUNTIFS(交易明細!$B$2:$B$96,$A63,交易明細!$J$2:$J$96,"未平倉")</f>
        <v/>
      </c>
    </row>
  </sheetData>
  <autoFilter ref="A1:L6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2026-10-10T23:41:02Z</dcterms:created>
  <dcterms:modified xsi:type="dcterms:W3CDTF">2026-10-10T23:41:02Z</dcterms:modified>
</cp:coreProperties>
</file>