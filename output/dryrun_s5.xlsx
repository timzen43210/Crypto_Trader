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'資金明細'!$A$1:$Z$96</definedName>
    <definedName name="_xlnm._FilterDatabase" localSheetId="5" hidden="1">'交易明細'!$A$1:$AH$48</definedName>
    <definedName name="_xlnm._FilterDatabase" localSheetId="6" hidden="1">'幣種統計'!$A$1:$L$34</definedName>
    <definedName name="_xlnm._FilterDatabase" localSheetId="7" hidden="1">'掃描清單'!$A$1:$H$436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'資金明細'!$R$2:$R$96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2026-10-02 08:23（Dry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COUNTIFS(交易明細!$B$2:$B$48,"&lt;&gt;")</f>
        <v/>
      </c>
      <c r="C5" s="2">
        <f>D5+E5+F5</f>
        <v/>
      </c>
      <c r="D5" s="2">
        <f>COUNTIFS(交易明細!$J$2:$J$48,"止盈")</f>
        <v/>
      </c>
      <c r="E5" s="2">
        <f>COUNTIFS(交易明細!$J$2:$J$48,"止損")</f>
        <v/>
      </c>
      <c r="F5" s="2">
        <f>COUNTIFS(交易明細!$J$2:$J$48,"時間出場")</f>
        <v/>
      </c>
      <c r="G5" s="2">
        <f>COUNTIFS(交易明細!$J$2:$J$48,"未平倉")</f>
        <v/>
      </c>
      <c r="H5" s="4">
        <f>IFERROR(D5/C5,0)</f>
        <v/>
      </c>
      <c r="I5" s="4">
        <f>IFERROR(AVERAGEIFS(交易明細!$AC$2:$AC$48,交易明細!$J$2:$J$48,"&lt;&gt;未平倉"),參數!$B$16)</f>
        <v/>
      </c>
      <c r="J5" s="4">
        <f>IFERROR(AVERAGEIFS(交易明細!$L$2:$L$48,交易明細!$J$2:$J$48,"&lt;&gt;未平倉"),0)</f>
        <v/>
      </c>
      <c r="K5" s="4">
        <f>SUMIFS(交易明細!$L$2:$L$48,交易明細!$J$2:$J$48,"&lt;&gt;未平倉")</f>
        <v/>
      </c>
      <c r="L5" s="5">
        <f>IFERROR(AVERAGEIFS(交易明細!$K$2:$K$48,交易明細!$J$2:$J$48,"&lt;&gt;未平倉"),0)</f>
        <v/>
      </c>
      <c r="M5" s="5">
        <f>IFERROR(AVERAGEIFS(交易明細!$K$2:$K$48,交易明細!$J$2:$J$48,"止盈"),0)</f>
        <v/>
      </c>
      <c r="N5" s="5">
        <f>IFERROR(AVERAGEIFS(交易明細!$K$2:$K$48,交易明細!$J$2:$J$48,"止損"),0)</f>
        <v/>
      </c>
      <c r="O5" s="4">
        <f>IFERROR(AVERAGEIFS(交易明細!$L$2:$L$48,交易明細!$J$2:$J$48,"時間出場"),0)</f>
        <v/>
      </c>
      <c r="P5" s="4">
        <f>IFERROR(COUNTIFS(交易明細!$J$2:$J$48,"&lt;&gt;未平倉",交易明細!$L$2:$L$48,"&gt;0")/C5,0)</f>
        <v/>
      </c>
    </row>
    <row r="6">
      <c r="A6" s="2" t="inlineStr">
        <is>
          <t>做多</t>
        </is>
      </c>
      <c r="B6" s="2">
        <f>COUNTIFS(交易明細!$C$2:$C$48,"做多",交易明細!$B$2:$B$48,"&lt;&gt;")</f>
        <v/>
      </c>
      <c r="C6" s="2">
        <f>D6+E6+F6</f>
        <v/>
      </c>
      <c r="D6" s="2">
        <f>COUNTIFS(交易明細!$C$2:$C$48,"做多",交易明細!$J$2:$J$48,"止盈")</f>
        <v/>
      </c>
      <c r="E6" s="2">
        <f>COUNTIFS(交易明細!$C$2:$C$48,"做多",交易明細!$J$2:$J$48,"止損")</f>
        <v/>
      </c>
      <c r="F6" s="2">
        <f>COUNTIFS(交易明細!$C$2:$C$48,"做多",交易明細!$J$2:$J$48,"時間出場")</f>
        <v/>
      </c>
      <c r="G6" s="2">
        <f>COUNTIFS(交易明細!$C$2:$C$48,"做多",交易明細!$J$2:$J$48,"未平倉")</f>
        <v/>
      </c>
      <c r="H6" s="4">
        <f>IFERROR(D6/C6,0)</f>
        <v/>
      </c>
      <c r="I6" s="4">
        <f>IFERROR(AVERAGEIFS(交易明細!$AC$2:$AC$48,交易明細!$C$2:$C$48,"做多",交易明細!$J$2:$J$48,"&lt;&gt;未平倉"),參數!$B$16)</f>
        <v/>
      </c>
      <c r="J6" s="4">
        <f>IFERROR(AVERAGEIFS(交易明細!$L$2:$L$48,交易明細!$C$2:$C$48,"做多",交易明細!$J$2:$J$48,"&lt;&gt;未平倉"),0)</f>
        <v/>
      </c>
      <c r="K6" s="4">
        <f>SUMIFS(交易明細!$L$2:$L$48,交易明細!$C$2:$C$48,"做多",交易明細!$J$2:$J$48,"&lt;&gt;未平倉")</f>
        <v/>
      </c>
      <c r="L6" s="5">
        <f>IFERROR(AVERAGEIFS(交易明細!$K$2:$K$48,交易明細!$C$2:$C$48,"做多",交易明細!$J$2:$J$48,"&lt;&gt;未平倉"),0)</f>
        <v/>
      </c>
      <c r="M6" s="5">
        <f>IFERROR(AVERAGEIFS(交易明細!$K$2:$K$48,交易明細!$C$2:$C$48,"做多",交易明細!$J$2:$J$48,"止盈"),0)</f>
        <v/>
      </c>
      <c r="N6" s="5">
        <f>IFERROR(AVERAGEIFS(交易明細!$K$2:$K$48,交易明細!$C$2:$C$48,"做多",交易明細!$J$2:$J$48,"止損"),0)</f>
        <v/>
      </c>
      <c r="O6" s="4">
        <f>IFERROR(AVERAGEIFS(交易明細!$L$2:$L$48,交易明細!$C$2:$C$48,"做多",交易明細!$J$2:$J$48,"時間出場"),0)</f>
        <v/>
      </c>
      <c r="P6" s="4">
        <f>IFERROR(COUNTIFS(交易明細!$C$2:$C$48,"做多",交易明細!$J$2:$J$48,"&lt;&gt;未平倉",交易明細!$L$2:$L$48,"&gt;0")/C6,0)</f>
        <v/>
      </c>
    </row>
    <row r="7">
      <c r="A7" s="2" t="inlineStr">
        <is>
          <t>做空</t>
        </is>
      </c>
      <c r="B7" s="2">
        <f>COUNTIFS(交易明細!$C$2:$C$48,"做空",交易明細!$B$2:$B$48,"&lt;&gt;")</f>
        <v/>
      </c>
      <c r="C7" s="2">
        <f>D7+E7+F7</f>
        <v/>
      </c>
      <c r="D7" s="2">
        <f>COUNTIFS(交易明細!$C$2:$C$48,"做空",交易明細!$J$2:$J$48,"止盈")</f>
        <v/>
      </c>
      <c r="E7" s="2">
        <f>COUNTIFS(交易明細!$C$2:$C$48,"做空",交易明細!$J$2:$J$48,"止損")</f>
        <v/>
      </c>
      <c r="F7" s="2">
        <f>COUNTIFS(交易明細!$C$2:$C$48,"做空",交易明細!$J$2:$J$48,"時間出場")</f>
        <v/>
      </c>
      <c r="G7" s="2">
        <f>COUNTIFS(交易明細!$C$2:$C$48,"做空",交易明細!$J$2:$J$48,"未平倉")</f>
        <v/>
      </c>
      <c r="H7" s="4">
        <f>IFERROR(D7/C7,0)</f>
        <v/>
      </c>
      <c r="I7" s="4">
        <f>IFERROR(AVERAGEIFS(交易明細!$AC$2:$AC$48,交易明細!$C$2:$C$48,"做空",交易明細!$J$2:$J$48,"&lt;&gt;未平倉"),參數!$B$16)</f>
        <v/>
      </c>
      <c r="J7" s="4">
        <f>IFERROR(AVERAGEIFS(交易明細!$L$2:$L$48,交易明細!$C$2:$C$48,"做空",交易明細!$J$2:$J$48,"&lt;&gt;未平倉"),0)</f>
        <v/>
      </c>
      <c r="K7" s="4">
        <f>SUMIFS(交易明細!$L$2:$L$48,交易明細!$C$2:$C$48,"做空",交易明細!$J$2:$J$48,"&lt;&gt;未平倉")</f>
        <v/>
      </c>
      <c r="L7" s="5">
        <f>IFERROR(AVERAGEIFS(交易明細!$K$2:$K$48,交易明細!$C$2:$C$48,"做空",交易明細!$J$2:$J$48,"&lt;&gt;未平倉"),0)</f>
        <v/>
      </c>
      <c r="M7" s="5">
        <f>IFERROR(AVERAGEIFS(交易明細!$K$2:$K$48,交易明細!$C$2:$C$48,"做空",交易明細!$J$2:$J$48,"止盈"),0)</f>
        <v/>
      </c>
      <c r="N7" s="5">
        <f>IFERROR(AVERAGEIFS(交易明細!$K$2:$K$48,交易明細!$C$2:$C$48,"做空",交易明細!$J$2:$J$48,"止損"),0)</f>
        <v/>
      </c>
      <c r="O7" s="4">
        <f>IFERROR(AVERAGEIFS(交易明細!$L$2:$L$48,交易明細!$C$2:$C$48,"做空",交易明細!$J$2:$J$48,"時間出場"),0)</f>
        <v/>
      </c>
      <c r="P7" s="4">
        <f>IFERROR(COUNTIFS(交易明細!$C$2:$C$48,"做空",交易明細!$J$2:$J$48,"&lt;&gt;未平倉",交易明細!$L$2:$L$48,"&gt;0")/C7,0)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76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46297.34984872685</v>
      </c>
      <c r="B2" s="7" t="n">
        <v>46297.34861111111</v>
      </c>
      <c r="C2" s="2" t="n">
        <v>434</v>
      </c>
      <c r="D2" s="2" t="n">
        <v>0</v>
      </c>
      <c r="E2" s="2" t="n">
        <v>0</v>
      </c>
      <c r="F2" s="2" t="n">
        <v>1</v>
      </c>
      <c r="G2" s="2" t="n">
        <v>185.3</v>
      </c>
    </row>
    <row r="3">
      <c r="A3" s="7" t="n">
        <v>46297.18230064815</v>
      </c>
      <c r="B3" s="7" t="n">
        <v>46297.18125</v>
      </c>
      <c r="C3" s="2" t="n">
        <v>434</v>
      </c>
      <c r="D3" s="2" t="n">
        <v>2</v>
      </c>
      <c r="E3" s="2" t="n">
        <v>2</v>
      </c>
      <c r="F3" s="2" t="n">
        <v>1</v>
      </c>
      <c r="G3" s="2" t="n">
        <v>159.5</v>
      </c>
    </row>
    <row r="4">
      <c r="A4" s="7" t="n">
        <v>46297.01546863426</v>
      </c>
      <c r="B4" s="7" t="n">
        <v>46297.01458333333</v>
      </c>
      <c r="C4" s="2" t="n">
        <v>434</v>
      </c>
      <c r="D4" s="2" t="n">
        <v>1</v>
      </c>
      <c r="E4" s="2" t="n">
        <v>1</v>
      </c>
      <c r="F4" s="2" t="n">
        <v>2</v>
      </c>
      <c r="G4" s="2" t="n">
        <v>179.4</v>
      </c>
    </row>
    <row r="5">
      <c r="A5" s="7" t="n">
        <v>46296.99918069445</v>
      </c>
      <c r="B5" s="7" t="n">
        <v>46296.99791666667</v>
      </c>
      <c r="C5" s="2" t="n">
        <v>434</v>
      </c>
      <c r="D5" s="2" t="n">
        <v>0</v>
      </c>
      <c r="E5" s="2" t="n">
        <v>0</v>
      </c>
      <c r="F5" s="2" t="n">
        <v>2</v>
      </c>
      <c r="G5" s="2" t="n">
        <v>167.2</v>
      </c>
    </row>
    <row r="6">
      <c r="A6" s="7" t="n">
        <v>46296.94003458333</v>
      </c>
      <c r="B6" s="7" t="n">
        <v>46296.93888888889</v>
      </c>
      <c r="C6" s="2" t="n">
        <v>434</v>
      </c>
      <c r="D6" s="2" t="n">
        <v>0</v>
      </c>
      <c r="E6" s="2" t="n">
        <v>0</v>
      </c>
      <c r="F6" s="2" t="n">
        <v>2</v>
      </c>
      <c r="G6" s="2" t="n">
        <v>189.5</v>
      </c>
    </row>
    <row r="7">
      <c r="A7" s="7" t="n">
        <v>46296.7419153125</v>
      </c>
      <c r="B7" s="7" t="n">
        <v>46296.74097222222</v>
      </c>
      <c r="C7" s="2" t="n">
        <v>434</v>
      </c>
      <c r="D7" s="2" t="n">
        <v>1</v>
      </c>
      <c r="E7" s="2" t="n">
        <v>1</v>
      </c>
      <c r="F7" s="2" t="n">
        <v>2</v>
      </c>
      <c r="G7" s="2" t="n">
        <v>150</v>
      </c>
    </row>
    <row r="8">
      <c r="A8" s="7" t="n">
        <v>46296.63539230324</v>
      </c>
      <c r="B8" s="7" t="n">
        <v>46296.63402777778</v>
      </c>
      <c r="C8" s="2" t="n">
        <v>434</v>
      </c>
      <c r="D8" s="2" t="n">
        <v>0</v>
      </c>
      <c r="E8" s="2" t="n">
        <v>0</v>
      </c>
      <c r="F8" s="2" t="n">
        <v>2</v>
      </c>
      <c r="G8" s="2" t="n">
        <v>195</v>
      </c>
    </row>
    <row r="9">
      <c r="A9" s="7" t="n">
        <v>46296.6196469213</v>
      </c>
      <c r="B9" s="7" t="n">
        <v>46296.61875</v>
      </c>
      <c r="C9" s="2" t="n">
        <v>434</v>
      </c>
      <c r="D9" s="2" t="n">
        <v>1</v>
      </c>
      <c r="E9" s="2" t="n">
        <v>1</v>
      </c>
      <c r="F9" s="2" t="n">
        <v>2</v>
      </c>
      <c r="G9" s="2" t="n">
        <v>190.6</v>
      </c>
    </row>
    <row r="10">
      <c r="A10" s="7" t="n">
        <v>46296.55481784722</v>
      </c>
      <c r="B10" s="7" t="n">
        <v>46296.55347222222</v>
      </c>
      <c r="C10" s="2" t="n">
        <v>434</v>
      </c>
      <c r="D10" s="2" t="n">
        <v>0</v>
      </c>
      <c r="E10" s="2" t="n">
        <v>0</v>
      </c>
      <c r="F10" s="2" t="n">
        <v>2</v>
      </c>
      <c r="G10" s="2" t="n">
        <v>189.9</v>
      </c>
    </row>
    <row r="11">
      <c r="A11" s="7" t="n">
        <v>46296.49238505787</v>
      </c>
      <c r="B11" s="7" t="n">
        <v>46296.49166666667</v>
      </c>
      <c r="C11" s="2" t="n">
        <v>434</v>
      </c>
      <c r="D11" s="2" t="n">
        <v>0</v>
      </c>
      <c r="E11" s="2" t="n">
        <v>0</v>
      </c>
      <c r="F11" s="2" t="n">
        <v>3</v>
      </c>
      <c r="G11" s="2" t="n">
        <v>189.7</v>
      </c>
    </row>
    <row r="12">
      <c r="A12" s="7" t="n">
        <v>46296.35809899306</v>
      </c>
      <c r="B12" s="7" t="n">
        <v>46296.35694444444</v>
      </c>
      <c r="C12" s="2" t="n">
        <v>434</v>
      </c>
      <c r="D12" s="2" t="n">
        <v>0</v>
      </c>
      <c r="E12" s="2" t="n">
        <v>0</v>
      </c>
      <c r="F12" s="2" t="n">
        <v>3</v>
      </c>
      <c r="G12" s="2" t="n">
        <v>152.4</v>
      </c>
    </row>
    <row r="13">
      <c r="A13" s="7" t="n">
        <v>46296.20216918981</v>
      </c>
      <c r="B13" s="7" t="n">
        <v>46296.20138888889</v>
      </c>
      <c r="C13" s="2" t="n">
        <v>434</v>
      </c>
      <c r="D13" s="2" t="n">
        <v>0</v>
      </c>
      <c r="E13" s="2" t="n">
        <v>0</v>
      </c>
      <c r="F13" s="2" t="n">
        <v>3</v>
      </c>
      <c r="G13" s="2" t="n">
        <v>180</v>
      </c>
    </row>
    <row r="14">
      <c r="A14" s="7" t="n">
        <v>46295.99840958334</v>
      </c>
      <c r="B14" s="7" t="n">
        <v>46295.99722222222</v>
      </c>
      <c r="C14" s="2" t="n">
        <v>434</v>
      </c>
      <c r="D14" s="2" t="n">
        <v>0</v>
      </c>
      <c r="E14" s="2" t="n">
        <v>0</v>
      </c>
      <c r="F14" s="2" t="n">
        <v>3</v>
      </c>
      <c r="G14" s="2" t="n">
        <v>187.6</v>
      </c>
    </row>
    <row r="15">
      <c r="A15" s="7" t="n">
        <v>46295.94423819445</v>
      </c>
      <c r="B15" s="7" t="n">
        <v>46295.94305555556</v>
      </c>
      <c r="C15" s="2" t="n">
        <v>434</v>
      </c>
      <c r="D15" s="2" t="n">
        <v>0</v>
      </c>
      <c r="E15" s="2" t="n">
        <v>1</v>
      </c>
      <c r="F15" s="2" t="n">
        <v>3</v>
      </c>
      <c r="G15" s="2" t="n">
        <v>150.7</v>
      </c>
    </row>
    <row r="16">
      <c r="A16" s="7" t="n">
        <v>46295.91675143519</v>
      </c>
      <c r="B16" s="7" t="n">
        <v>46295.91597222222</v>
      </c>
      <c r="C16" s="2" t="n">
        <v>434</v>
      </c>
      <c r="D16" s="2" t="n">
        <v>1</v>
      </c>
      <c r="E16" s="2" t="n">
        <v>2</v>
      </c>
      <c r="F16" s="2" t="n">
        <v>3</v>
      </c>
      <c r="G16" s="2" t="n">
        <v>189.9</v>
      </c>
    </row>
    <row r="17">
      <c r="A17" s="7" t="n">
        <v>46295.87897131944</v>
      </c>
      <c r="B17" s="7" t="n">
        <v>46295.87777777778</v>
      </c>
      <c r="C17" s="2" t="n">
        <v>434</v>
      </c>
      <c r="D17" s="2" t="n">
        <v>1</v>
      </c>
      <c r="E17" s="2" t="n">
        <v>0</v>
      </c>
      <c r="F17" s="2" t="n">
        <v>3</v>
      </c>
      <c r="G17" s="2" t="n">
        <v>187.8</v>
      </c>
    </row>
    <row r="18">
      <c r="A18" s="7" t="n">
        <v>46295.84232043981</v>
      </c>
      <c r="B18" s="7" t="n">
        <v>46295.84097222222</v>
      </c>
      <c r="C18" s="2" t="n">
        <v>434</v>
      </c>
      <c r="D18" s="2" t="n">
        <v>1</v>
      </c>
      <c r="E18" s="2" t="n">
        <v>0</v>
      </c>
      <c r="F18" s="2" t="n">
        <v>3</v>
      </c>
      <c r="G18" s="2" t="n">
        <v>147.8</v>
      </c>
    </row>
    <row r="19">
      <c r="A19" s="7" t="n">
        <v>46295.76311292824</v>
      </c>
      <c r="B19" s="7" t="n">
        <v>46295.76180555556</v>
      </c>
      <c r="C19" s="2" t="n">
        <v>434</v>
      </c>
      <c r="D19" s="2" t="n">
        <v>0</v>
      </c>
      <c r="E19" s="2" t="n">
        <v>0</v>
      </c>
      <c r="F19" s="2" t="n">
        <v>3</v>
      </c>
      <c r="G19" s="2" t="n">
        <v>188</v>
      </c>
    </row>
    <row r="20">
      <c r="A20" s="7" t="n">
        <v>46295.71942712963</v>
      </c>
      <c r="B20" s="7" t="n">
        <v>46295.71805555555</v>
      </c>
      <c r="C20" s="2" t="n">
        <v>434</v>
      </c>
      <c r="D20" s="2" t="n">
        <v>1</v>
      </c>
      <c r="E20" s="2" t="n">
        <v>1</v>
      </c>
      <c r="F20" s="2" t="n">
        <v>3</v>
      </c>
      <c r="G20" s="2" t="n">
        <v>163.9</v>
      </c>
    </row>
    <row r="21">
      <c r="A21" s="7" t="n">
        <v>46295.69435030092</v>
      </c>
      <c r="B21" s="7" t="n">
        <v>46295.69305555556</v>
      </c>
      <c r="C21" s="2" t="n">
        <v>434</v>
      </c>
      <c r="D21" s="2" t="n">
        <v>0</v>
      </c>
      <c r="E21" s="2" t="n">
        <v>0</v>
      </c>
      <c r="F21" s="2" t="n">
        <v>3</v>
      </c>
      <c r="G21" s="2" t="n">
        <v>141.1</v>
      </c>
    </row>
    <row r="22">
      <c r="A22" s="7" t="n">
        <v>46295.5782999537</v>
      </c>
      <c r="B22" s="7" t="n">
        <v>46295.57708333333</v>
      </c>
      <c r="C22" s="2" t="n">
        <v>434</v>
      </c>
      <c r="D22" s="2" t="n">
        <v>0</v>
      </c>
      <c r="E22" s="2" t="n">
        <v>0</v>
      </c>
      <c r="F22" s="2" t="n">
        <v>5</v>
      </c>
      <c r="G22" s="2" t="n">
        <v>191.3</v>
      </c>
    </row>
    <row r="23">
      <c r="A23" s="7" t="n">
        <v>46295.51228863426</v>
      </c>
      <c r="B23" s="7" t="n">
        <v>46295.51111111111</v>
      </c>
      <c r="C23" s="2" t="n">
        <v>434</v>
      </c>
      <c r="D23" s="2" t="n">
        <v>1</v>
      </c>
      <c r="E23" s="2" t="n">
        <v>2</v>
      </c>
      <c r="F23" s="2" t="n">
        <v>5</v>
      </c>
      <c r="G23" s="2" t="n">
        <v>188.8</v>
      </c>
    </row>
    <row r="24">
      <c r="A24" s="7" t="n">
        <v>46295.44308225694</v>
      </c>
      <c r="B24" s="7" t="n">
        <v>46295.44236111111</v>
      </c>
      <c r="C24" s="2" t="n">
        <v>433</v>
      </c>
      <c r="D24" s="2" t="n">
        <v>0</v>
      </c>
      <c r="E24" s="2" t="n">
        <v>1</v>
      </c>
      <c r="F24" s="2" t="n">
        <v>2</v>
      </c>
      <c r="G24" s="2" t="n">
        <v>167.1</v>
      </c>
    </row>
    <row r="25">
      <c r="A25" s="7" t="n">
        <v>46295.42368403935</v>
      </c>
      <c r="B25" s="7" t="n">
        <v>46295.42291666667</v>
      </c>
      <c r="C25" s="2" t="n">
        <v>433</v>
      </c>
      <c r="D25" s="2" t="n">
        <v>2</v>
      </c>
      <c r="E25" s="2" t="n">
        <v>0</v>
      </c>
      <c r="F25" s="2" t="n">
        <v>2</v>
      </c>
      <c r="G25" s="2" t="n">
        <v>150.9</v>
      </c>
    </row>
    <row r="26">
      <c r="A26" s="7" t="n">
        <v>46295.29174006944</v>
      </c>
      <c r="B26" s="7" t="n">
        <v>46295.29097222222</v>
      </c>
      <c r="C26" s="2" t="n">
        <v>433</v>
      </c>
      <c r="D26" s="2" t="n">
        <v>1</v>
      </c>
      <c r="E26" s="2" t="n">
        <v>2</v>
      </c>
      <c r="F26" s="2" t="n">
        <v>2</v>
      </c>
      <c r="G26" s="2" t="n">
        <v>191.4</v>
      </c>
    </row>
    <row r="27">
      <c r="A27" s="7" t="n">
        <v>46295.11156024306</v>
      </c>
      <c r="B27" s="7" t="n">
        <v>46295.11041666667</v>
      </c>
      <c r="C27" s="2" t="n">
        <v>433</v>
      </c>
      <c r="D27" s="2" t="n">
        <v>0</v>
      </c>
      <c r="E27" s="2" t="n">
        <v>0</v>
      </c>
      <c r="F27" s="2" t="n">
        <v>2</v>
      </c>
      <c r="G27" s="2" t="n">
        <v>185.8</v>
      </c>
    </row>
    <row r="28">
      <c r="A28" s="7" t="n">
        <v>46294.99800613426</v>
      </c>
      <c r="B28" s="7" t="n">
        <v>46294.99722222222</v>
      </c>
      <c r="C28" s="2" t="n">
        <v>433</v>
      </c>
      <c r="D28" s="2" t="n">
        <v>0</v>
      </c>
      <c r="E28" s="2" t="n">
        <v>0</v>
      </c>
      <c r="F28" s="2" t="n">
        <v>2</v>
      </c>
      <c r="G28" s="2" t="n">
        <v>153.7</v>
      </c>
    </row>
    <row r="29">
      <c r="A29" s="7" t="n">
        <v>46294.95333178241</v>
      </c>
      <c r="B29" s="7" t="n">
        <v>46294.95208333333</v>
      </c>
      <c r="C29" s="2" t="n">
        <v>433</v>
      </c>
      <c r="D29" s="2" t="n">
        <v>0</v>
      </c>
      <c r="E29" s="2" t="n">
        <v>0</v>
      </c>
      <c r="F29" s="2" t="n">
        <v>2</v>
      </c>
      <c r="G29" s="2" t="n">
        <v>177.4</v>
      </c>
    </row>
    <row r="30">
      <c r="A30" s="7" t="n">
        <v>46294.87612561342</v>
      </c>
      <c r="B30" s="7" t="n">
        <v>46294.875</v>
      </c>
      <c r="C30" s="2" t="n">
        <v>433</v>
      </c>
      <c r="D30" s="2" t="n">
        <v>1</v>
      </c>
      <c r="E30" s="2" t="n">
        <v>0</v>
      </c>
      <c r="F30" s="2" t="n">
        <v>2</v>
      </c>
      <c r="G30" s="2" t="n">
        <v>196.6</v>
      </c>
    </row>
    <row r="31">
      <c r="A31" s="7" t="n">
        <v>46294.76526767361</v>
      </c>
      <c r="B31" s="7" t="n">
        <v>46294.76388888889</v>
      </c>
      <c r="C31" s="2" t="n">
        <v>433</v>
      </c>
      <c r="D31" s="2" t="n">
        <v>0</v>
      </c>
      <c r="E31" s="2" t="n">
        <v>0</v>
      </c>
      <c r="F31" s="2" t="n">
        <v>2</v>
      </c>
      <c r="G31" s="2" t="n">
        <v>182.5</v>
      </c>
    </row>
    <row r="32">
      <c r="A32" s="7" t="n">
        <v>46294.66075324074</v>
      </c>
      <c r="B32" s="7" t="n">
        <v>46294.65972222222</v>
      </c>
      <c r="C32" s="2" t="n">
        <v>433</v>
      </c>
      <c r="D32" s="2" t="n">
        <v>0</v>
      </c>
      <c r="E32" s="2" t="n">
        <v>0</v>
      </c>
      <c r="F32" s="2" t="n">
        <v>3</v>
      </c>
      <c r="G32" s="2" t="n">
        <v>174</v>
      </c>
    </row>
    <row r="33">
      <c r="A33" s="7" t="n">
        <v>46294.57647584491</v>
      </c>
      <c r="B33" s="7" t="n">
        <v>46294.57569444444</v>
      </c>
      <c r="C33" s="2" t="n">
        <v>432</v>
      </c>
      <c r="D33" s="2" t="n">
        <v>0</v>
      </c>
      <c r="E33" s="2" t="n">
        <v>0</v>
      </c>
      <c r="F33" s="2" t="n">
        <v>0</v>
      </c>
      <c r="G33" s="2" t="n">
        <v>147.5</v>
      </c>
    </row>
    <row r="34">
      <c r="A34" s="7" t="n">
        <v>46294.46163141204</v>
      </c>
      <c r="B34" s="7" t="n">
        <v>46294.46041666667</v>
      </c>
      <c r="C34" s="2" t="n">
        <v>432</v>
      </c>
      <c r="D34" s="2" t="n">
        <v>0</v>
      </c>
      <c r="E34" s="2" t="n">
        <v>1</v>
      </c>
      <c r="F34" s="2" t="n">
        <v>0</v>
      </c>
      <c r="G34" s="2" t="n">
        <v>193.3</v>
      </c>
    </row>
    <row r="35">
      <c r="A35" s="7" t="n">
        <v>46294.30606211806</v>
      </c>
      <c r="B35" s="7" t="n">
        <v>46294.30486111111</v>
      </c>
      <c r="C35" s="2" t="n">
        <v>432</v>
      </c>
      <c r="D35" s="2" t="n">
        <v>1</v>
      </c>
      <c r="E35" s="2" t="n">
        <v>1</v>
      </c>
      <c r="F35" s="2" t="n">
        <v>0</v>
      </c>
      <c r="G35" s="2" t="n">
        <v>165.6</v>
      </c>
    </row>
    <row r="36">
      <c r="A36" s="7" t="n">
        <v>46294.07080519676</v>
      </c>
      <c r="B36" s="7" t="n">
        <v>46294.06944444445</v>
      </c>
      <c r="C36" s="2" t="n">
        <v>432</v>
      </c>
      <c r="D36" s="2" t="n">
        <v>1</v>
      </c>
      <c r="E36" s="2" t="n">
        <v>0</v>
      </c>
      <c r="F36" s="2" t="n">
        <v>0</v>
      </c>
      <c r="G36" s="2" t="n">
        <v>193.3</v>
      </c>
    </row>
    <row r="37">
      <c r="A37" s="7" t="n">
        <v>46293.99403509259</v>
      </c>
      <c r="B37" s="7" t="n">
        <v>46293.99305555555</v>
      </c>
      <c r="C37" s="2" t="n">
        <v>432</v>
      </c>
      <c r="D37" s="2" t="n">
        <v>0</v>
      </c>
      <c r="E37" s="2" t="n">
        <v>0</v>
      </c>
      <c r="F37" s="2" t="n">
        <v>0</v>
      </c>
      <c r="G37" s="2" t="n">
        <v>153.6</v>
      </c>
    </row>
    <row r="38">
      <c r="A38" s="7" t="n">
        <v>46293.9460828588</v>
      </c>
      <c r="B38" s="7" t="n">
        <v>46293.94513888889</v>
      </c>
      <c r="C38" s="2" t="n">
        <v>432</v>
      </c>
      <c r="D38" s="2" t="n">
        <v>1</v>
      </c>
      <c r="E38" s="2" t="n">
        <v>1</v>
      </c>
      <c r="F38" s="2" t="n">
        <v>0</v>
      </c>
      <c r="G38" s="2" t="n">
        <v>197.9</v>
      </c>
    </row>
    <row r="39">
      <c r="A39" s="7" t="n">
        <v>46293.85933717593</v>
      </c>
      <c r="B39" s="7" t="n">
        <v>46293.85833333333</v>
      </c>
      <c r="C39" s="2" t="n">
        <v>432</v>
      </c>
      <c r="D39" s="2" t="n">
        <v>0</v>
      </c>
      <c r="E39" s="2" t="n">
        <v>0</v>
      </c>
      <c r="F39" s="2" t="n">
        <v>0</v>
      </c>
      <c r="G39" s="2" t="n">
        <v>185</v>
      </c>
    </row>
    <row r="40">
      <c r="A40" s="7" t="n">
        <v>46293.69837709491</v>
      </c>
      <c r="B40" s="7" t="n">
        <v>46293.69722222222</v>
      </c>
      <c r="C40" s="2" t="n">
        <v>432</v>
      </c>
      <c r="D40" s="2" t="n">
        <v>0</v>
      </c>
      <c r="E40" s="2" t="n">
        <v>0</v>
      </c>
      <c r="F40" s="2" t="n">
        <v>0</v>
      </c>
      <c r="G40" s="2" t="n">
        <v>144.9</v>
      </c>
    </row>
    <row r="41">
      <c r="A41" s="7" t="n">
        <v>46293.67139270833</v>
      </c>
      <c r="B41" s="7" t="n">
        <v>46293.67013888889</v>
      </c>
      <c r="C41" s="2" t="n">
        <v>432</v>
      </c>
      <c r="D41" s="2" t="n">
        <v>1</v>
      </c>
      <c r="E41" s="2" t="n">
        <v>1</v>
      </c>
      <c r="F41" s="2" t="n">
        <v>0</v>
      </c>
      <c r="G41" s="2" t="n">
        <v>186.3</v>
      </c>
    </row>
    <row r="42">
      <c r="A42" s="7" t="n">
        <v>46293.54465268519</v>
      </c>
      <c r="B42" s="7" t="n">
        <v>46293.54375</v>
      </c>
      <c r="C42" s="2" t="n">
        <v>432</v>
      </c>
      <c r="D42" s="2" t="n">
        <v>0</v>
      </c>
      <c r="E42" s="2" t="n">
        <v>0</v>
      </c>
      <c r="F42" s="2" t="n">
        <v>0</v>
      </c>
      <c r="G42" s="2" t="n">
        <v>150</v>
      </c>
    </row>
    <row r="43">
      <c r="A43" s="7" t="n">
        <v>46293.46449744213</v>
      </c>
      <c r="B43" s="7" t="n">
        <v>46293.46319444444</v>
      </c>
      <c r="C43" s="2" t="n">
        <v>432</v>
      </c>
      <c r="D43" s="2" t="n">
        <v>2</v>
      </c>
      <c r="E43" s="2" t="n">
        <v>2</v>
      </c>
      <c r="F43" s="2" t="n">
        <v>0</v>
      </c>
      <c r="G43" s="2" t="n">
        <v>193.4</v>
      </c>
    </row>
    <row r="44">
      <c r="A44" s="7" t="n">
        <v>46293.40532865741</v>
      </c>
      <c r="B44" s="7" t="n">
        <v>46293.40416666667</v>
      </c>
      <c r="C44" s="2" t="n">
        <v>433</v>
      </c>
      <c r="D44" s="2" t="n">
        <v>1</v>
      </c>
      <c r="E44" s="2" t="n">
        <v>1</v>
      </c>
      <c r="F44" s="2" t="n">
        <v>0</v>
      </c>
      <c r="G44" s="2" t="n">
        <v>194.7</v>
      </c>
    </row>
    <row r="45">
      <c r="A45" s="7" t="n">
        <v>46293.26205886574</v>
      </c>
      <c r="B45" s="7" t="n">
        <v>46293.26111111111</v>
      </c>
      <c r="C45" s="2" t="n">
        <v>433</v>
      </c>
      <c r="D45" s="2" t="n">
        <v>0</v>
      </c>
      <c r="E45" s="2" t="n">
        <v>0</v>
      </c>
      <c r="F45" s="2" t="n">
        <v>0</v>
      </c>
      <c r="G45" s="2" t="n">
        <v>178</v>
      </c>
    </row>
    <row r="46">
      <c r="A46" s="7" t="n">
        <v>46293.12570534722</v>
      </c>
      <c r="B46" s="7" t="n">
        <v>46293.125</v>
      </c>
      <c r="C46" s="2" t="n">
        <v>433</v>
      </c>
      <c r="D46" s="2" t="n">
        <v>0</v>
      </c>
      <c r="E46" s="2" t="n">
        <v>0</v>
      </c>
      <c r="F46" s="2" t="n">
        <v>0</v>
      </c>
      <c r="G46" s="2" t="n">
        <v>193.1</v>
      </c>
    </row>
    <row r="47">
      <c r="A47" s="7" t="n">
        <v>46293.08172232639</v>
      </c>
      <c r="B47" s="7" t="n">
        <v>46293.08055555556</v>
      </c>
      <c r="C47" s="2" t="n">
        <v>433</v>
      </c>
      <c r="D47" s="2" t="n">
        <v>0</v>
      </c>
      <c r="E47" s="2" t="n">
        <v>0</v>
      </c>
      <c r="F47" s="2" t="n">
        <v>0</v>
      </c>
      <c r="G47" s="2" t="n">
        <v>148.9</v>
      </c>
    </row>
    <row r="48">
      <c r="A48" s="7" t="n">
        <v>46292.9814453588</v>
      </c>
      <c r="B48" s="7" t="n">
        <v>46292.98055555556</v>
      </c>
      <c r="C48" s="2" t="n">
        <v>433</v>
      </c>
      <c r="D48" s="2" t="n">
        <v>0</v>
      </c>
      <c r="E48" s="2" t="n">
        <v>1</v>
      </c>
      <c r="F48" s="2" t="n">
        <v>0</v>
      </c>
      <c r="G48" s="2" t="n">
        <v>186</v>
      </c>
    </row>
    <row r="49">
      <c r="A49" s="7" t="n">
        <v>46292.9472603125</v>
      </c>
      <c r="B49" s="7" t="n">
        <v>46292.94652777778</v>
      </c>
      <c r="C49" s="2" t="n">
        <v>433</v>
      </c>
      <c r="D49" s="2" t="n">
        <v>1</v>
      </c>
      <c r="E49" s="2" t="n">
        <v>0</v>
      </c>
      <c r="F49" s="2" t="n">
        <v>0</v>
      </c>
      <c r="G49" s="2" t="n">
        <v>192.1</v>
      </c>
    </row>
    <row r="50">
      <c r="A50" s="7" t="n">
        <v>46292.919814375</v>
      </c>
      <c r="B50" s="7" t="n">
        <v>46292.91875</v>
      </c>
      <c r="C50" s="2" t="n">
        <v>433</v>
      </c>
      <c r="D50" s="2" t="n">
        <v>1</v>
      </c>
      <c r="E50" s="2" t="n">
        <v>1</v>
      </c>
      <c r="F50" s="2" t="n">
        <v>0</v>
      </c>
      <c r="G50" s="2" t="n">
        <v>192.5</v>
      </c>
    </row>
    <row r="51">
      <c r="A51" s="7" t="n">
        <v>46292.81065981482</v>
      </c>
      <c r="B51" s="7" t="n">
        <v>46292.80972222222</v>
      </c>
      <c r="C51" s="2" t="n">
        <v>433</v>
      </c>
      <c r="D51" s="2" t="n">
        <v>1</v>
      </c>
      <c r="E51" s="2" t="n">
        <v>1</v>
      </c>
      <c r="F51" s="2" t="n">
        <v>0</v>
      </c>
      <c r="G51" s="2" t="n">
        <v>177.2</v>
      </c>
    </row>
    <row r="52">
      <c r="A52" s="7" t="n">
        <v>46292.73704342593</v>
      </c>
      <c r="B52" s="7" t="n">
        <v>46292.73611111111</v>
      </c>
      <c r="C52" s="2" t="n">
        <v>433</v>
      </c>
      <c r="D52" s="2" t="n">
        <v>0</v>
      </c>
      <c r="E52" s="2" t="n">
        <v>1</v>
      </c>
      <c r="F52" s="2" t="n">
        <v>0</v>
      </c>
      <c r="G52" s="2" t="n">
        <v>147.3</v>
      </c>
    </row>
    <row r="53">
      <c r="A53" s="7" t="n">
        <v>46292.67926077546</v>
      </c>
      <c r="B53" s="7" t="n">
        <v>46292.67847222222</v>
      </c>
      <c r="C53" s="2" t="n">
        <v>433</v>
      </c>
      <c r="D53" s="2" t="n">
        <v>1</v>
      </c>
      <c r="E53" s="2" t="n">
        <v>0</v>
      </c>
      <c r="F53" s="2" t="n">
        <v>0</v>
      </c>
      <c r="G53" s="2" t="n">
        <v>197.6</v>
      </c>
    </row>
    <row r="54">
      <c r="A54" s="7" t="n">
        <v>46292.6274472338</v>
      </c>
      <c r="B54" s="7" t="n">
        <v>46292.62638888889</v>
      </c>
      <c r="C54" s="2" t="n">
        <v>433</v>
      </c>
      <c r="D54" s="2" t="n">
        <v>0</v>
      </c>
      <c r="E54" s="2" t="n">
        <v>0</v>
      </c>
      <c r="F54" s="2" t="n">
        <v>0</v>
      </c>
      <c r="G54" s="2" t="n">
        <v>192.4</v>
      </c>
    </row>
    <row r="55">
      <c r="A55" s="7" t="n">
        <v>46292.50599667824</v>
      </c>
      <c r="B55" s="7" t="n">
        <v>46292.50486111111</v>
      </c>
      <c r="C55" s="2" t="n">
        <v>433</v>
      </c>
      <c r="D55" s="2" t="n">
        <v>0</v>
      </c>
      <c r="E55" s="2" t="n">
        <v>0</v>
      </c>
      <c r="F55" s="2" t="n">
        <v>0</v>
      </c>
      <c r="G55" s="2" t="n">
        <v>191.3</v>
      </c>
    </row>
    <row r="56">
      <c r="A56" s="7" t="n">
        <v>46292.39740747685</v>
      </c>
      <c r="B56" s="7" t="n">
        <v>46292.39652777778</v>
      </c>
      <c r="C56" s="2" t="n">
        <v>433</v>
      </c>
      <c r="D56" s="2" t="n">
        <v>0</v>
      </c>
      <c r="E56" s="2" t="n">
        <v>0</v>
      </c>
      <c r="F56" s="2" t="n">
        <v>0</v>
      </c>
      <c r="G56" s="2" t="n">
        <v>150.9</v>
      </c>
    </row>
    <row r="57">
      <c r="A57" s="7" t="n">
        <v>46292.28951247685</v>
      </c>
      <c r="B57" s="7" t="n">
        <v>46292.28819444445</v>
      </c>
      <c r="C57" s="2" t="n">
        <v>433</v>
      </c>
      <c r="D57" s="2" t="n">
        <v>0</v>
      </c>
      <c r="E57" s="2" t="n">
        <v>0</v>
      </c>
      <c r="F57" s="2" t="n">
        <v>0</v>
      </c>
      <c r="G57" s="2" t="n">
        <v>163.9</v>
      </c>
    </row>
    <row r="58">
      <c r="A58" s="7" t="n">
        <v>46292.28563091435</v>
      </c>
      <c r="B58" s="7" t="n">
        <v>46292.28472222222</v>
      </c>
      <c r="C58" s="2" t="n">
        <v>433</v>
      </c>
      <c r="D58" s="2" t="n">
        <v>0</v>
      </c>
      <c r="E58" s="2" t="n">
        <v>0</v>
      </c>
      <c r="F58" s="2" t="n">
        <v>0</v>
      </c>
      <c r="G58" s="2" t="n">
        <v>186.1</v>
      </c>
    </row>
    <row r="59">
      <c r="A59" s="7" t="n">
        <v>46292.16453692129</v>
      </c>
      <c r="B59" s="7" t="n">
        <v>46292.16319444445</v>
      </c>
      <c r="C59" s="2" t="n">
        <v>433</v>
      </c>
      <c r="D59" s="2" t="n">
        <v>0</v>
      </c>
      <c r="E59" s="2" t="n">
        <v>0</v>
      </c>
      <c r="F59" s="2" t="n">
        <v>0</v>
      </c>
      <c r="G59" s="2" t="n">
        <v>183.8</v>
      </c>
    </row>
    <row r="60">
      <c r="A60" s="7" t="n">
        <v>46292.05207142361</v>
      </c>
      <c r="B60" s="7" t="n">
        <v>46292.05069444444</v>
      </c>
      <c r="C60" s="2" t="n">
        <v>433</v>
      </c>
      <c r="D60" s="2" t="n">
        <v>0</v>
      </c>
      <c r="E60" s="2" t="n">
        <v>1</v>
      </c>
      <c r="F60" s="2" t="n">
        <v>0</v>
      </c>
      <c r="G60" s="2" t="n">
        <v>160.8</v>
      </c>
    </row>
    <row r="61">
      <c r="A61" s="7" t="n">
        <v>46291.98017201389</v>
      </c>
      <c r="B61" s="7" t="n">
        <v>46291.97916666666</v>
      </c>
      <c r="C61" s="2" t="n">
        <v>433</v>
      </c>
      <c r="D61" s="2" t="n">
        <v>1</v>
      </c>
      <c r="E61" s="2" t="n">
        <v>1</v>
      </c>
      <c r="F61" s="2" t="n">
        <v>0</v>
      </c>
      <c r="G61" s="2" t="n">
        <v>148.2</v>
      </c>
    </row>
    <row r="62">
      <c r="A62" s="7" t="n">
        <v>46291.93749069444</v>
      </c>
      <c r="B62" s="7" t="n">
        <v>46291.93611111111</v>
      </c>
      <c r="C62" s="2" t="n">
        <v>433</v>
      </c>
      <c r="D62" s="2" t="n">
        <v>1</v>
      </c>
      <c r="E62" s="2" t="n">
        <v>0</v>
      </c>
      <c r="F62" s="2" t="n">
        <v>0</v>
      </c>
      <c r="G62" s="2" t="n">
        <v>163.1</v>
      </c>
    </row>
    <row r="63">
      <c r="A63" s="7" t="n">
        <v>46291.88266193287</v>
      </c>
      <c r="B63" s="7" t="n">
        <v>46291.88194444445</v>
      </c>
      <c r="C63" s="2" t="n">
        <v>433</v>
      </c>
      <c r="D63" s="2" t="n">
        <v>0</v>
      </c>
      <c r="E63" s="2" t="n">
        <v>0</v>
      </c>
      <c r="F63" s="2" t="n">
        <v>0</v>
      </c>
      <c r="G63" s="2" t="n">
        <v>140.5</v>
      </c>
    </row>
    <row r="64">
      <c r="A64" s="7" t="n">
        <v>46291.83751681713</v>
      </c>
      <c r="B64" s="7" t="n">
        <v>46291.83680555555</v>
      </c>
      <c r="C64" s="2" t="n">
        <v>433</v>
      </c>
      <c r="D64" s="2" t="n">
        <v>0</v>
      </c>
      <c r="E64" s="2" t="n">
        <v>0</v>
      </c>
      <c r="F64" s="2" t="n">
        <v>0</v>
      </c>
      <c r="G64" s="2" t="n">
        <v>186.6</v>
      </c>
    </row>
    <row r="65">
      <c r="A65" s="7" t="n">
        <v>46291.78589450232</v>
      </c>
      <c r="B65" s="7" t="n">
        <v>46291.78472222222</v>
      </c>
      <c r="C65" s="2" t="n">
        <v>433</v>
      </c>
      <c r="D65" s="2" t="n">
        <v>1</v>
      </c>
      <c r="E65" s="2" t="n">
        <v>1</v>
      </c>
      <c r="F65" s="2" t="n">
        <v>0</v>
      </c>
      <c r="G65" s="2" t="n">
        <v>157.8</v>
      </c>
    </row>
    <row r="66">
      <c r="A66" s="7" t="n">
        <v>46291.65882908565</v>
      </c>
      <c r="B66" s="7" t="n">
        <v>46291.65763888889</v>
      </c>
      <c r="C66" s="2" t="n">
        <v>433</v>
      </c>
      <c r="D66" s="2" t="n">
        <v>0</v>
      </c>
      <c r="E66" s="2" t="n">
        <v>1</v>
      </c>
      <c r="F66" s="2" t="n">
        <v>0</v>
      </c>
      <c r="G66" s="2" t="n">
        <v>175.7</v>
      </c>
    </row>
    <row r="67">
      <c r="A67" s="7" t="n">
        <v>46291.63896155093</v>
      </c>
      <c r="B67" s="7" t="n">
        <v>46291.63819444444</v>
      </c>
      <c r="C67" s="2" t="n">
        <v>433</v>
      </c>
      <c r="D67" s="2" t="n">
        <v>0</v>
      </c>
      <c r="E67" s="2" t="n">
        <v>0</v>
      </c>
      <c r="F67" s="2" t="n">
        <v>0</v>
      </c>
      <c r="G67" s="2" t="n">
        <v>177.9</v>
      </c>
    </row>
    <row r="68">
      <c r="A68" s="7" t="n">
        <v>46291.63155474537</v>
      </c>
      <c r="B68" s="7" t="n">
        <v>46291.63055555556</v>
      </c>
      <c r="C68" s="2" t="n">
        <v>433</v>
      </c>
      <c r="D68" s="2" t="n">
        <v>2</v>
      </c>
      <c r="E68" s="2" t="n">
        <v>1</v>
      </c>
      <c r="F68" s="2" t="n">
        <v>0</v>
      </c>
      <c r="G68" s="2" t="n">
        <v>172.6</v>
      </c>
    </row>
    <row r="69">
      <c r="A69" s="7" t="n">
        <v>46291.58748165509</v>
      </c>
      <c r="B69" s="7" t="n">
        <v>46291.58611111111</v>
      </c>
      <c r="C69" s="2" t="n">
        <v>433</v>
      </c>
      <c r="D69" s="2" t="n">
        <v>0</v>
      </c>
      <c r="E69" s="2" t="n">
        <v>0</v>
      </c>
      <c r="F69" s="2" t="n">
        <v>0</v>
      </c>
      <c r="G69" s="2" t="n">
        <v>148</v>
      </c>
    </row>
    <row r="70">
      <c r="A70" s="7" t="n">
        <v>46291.52177836806</v>
      </c>
      <c r="B70" s="7" t="n">
        <v>46291.52083333334</v>
      </c>
      <c r="C70" s="2" t="n">
        <v>433</v>
      </c>
      <c r="D70" s="2" t="n">
        <v>0</v>
      </c>
      <c r="E70" s="2" t="n">
        <v>0</v>
      </c>
      <c r="F70" s="2" t="n">
        <v>0</v>
      </c>
      <c r="G70" s="2" t="n">
        <v>187.5</v>
      </c>
    </row>
    <row r="71">
      <c r="A71" s="7" t="n">
        <v>46291.40186751157</v>
      </c>
      <c r="B71" s="7" t="n">
        <v>46291.40069444444</v>
      </c>
      <c r="C71" s="2" t="n">
        <v>433</v>
      </c>
      <c r="D71" s="2" t="n">
        <v>0</v>
      </c>
      <c r="E71" s="2" t="n">
        <v>0</v>
      </c>
      <c r="F71" s="2" t="n">
        <v>0</v>
      </c>
      <c r="G71" s="2" t="n">
        <v>188.1</v>
      </c>
    </row>
    <row r="72">
      <c r="A72" s="7" t="n">
        <v>46291.36540915509</v>
      </c>
      <c r="B72" s="7" t="n">
        <v>46291.36458333334</v>
      </c>
      <c r="C72" s="2" t="n">
        <v>433</v>
      </c>
      <c r="D72" s="2" t="n">
        <v>0</v>
      </c>
      <c r="E72" s="2" t="n">
        <v>0</v>
      </c>
      <c r="F72" s="2" t="n">
        <v>0</v>
      </c>
      <c r="G72" s="2" t="n">
        <v>163.5</v>
      </c>
    </row>
    <row r="73">
      <c r="A73" s="7" t="n">
        <v>46291.26887001158</v>
      </c>
      <c r="B73" s="7" t="n">
        <v>46291.26805555556</v>
      </c>
      <c r="C73" s="2" t="n">
        <v>433</v>
      </c>
      <c r="D73" s="2" t="n">
        <v>0</v>
      </c>
      <c r="E73" s="2" t="n">
        <v>0</v>
      </c>
      <c r="F73" s="2" t="n">
        <v>0</v>
      </c>
      <c r="G73" s="2" t="n">
        <v>184.5</v>
      </c>
    </row>
    <row r="74">
      <c r="A74" s="7" t="n">
        <v>46291.2560487963</v>
      </c>
      <c r="B74" s="7" t="n">
        <v>46291.25486111111</v>
      </c>
      <c r="C74" s="2" t="n">
        <v>433</v>
      </c>
      <c r="D74" s="2" t="n">
        <v>0</v>
      </c>
      <c r="E74" s="2" t="n">
        <v>0</v>
      </c>
      <c r="F74" s="2" t="n">
        <v>0</v>
      </c>
      <c r="G74" s="2" t="n">
        <v>191.6</v>
      </c>
    </row>
    <row r="75">
      <c r="A75" s="7" t="n">
        <v>46291.11246790509</v>
      </c>
      <c r="B75" s="7" t="n">
        <v>46291.11111111111</v>
      </c>
      <c r="C75" s="2" t="n">
        <v>433</v>
      </c>
      <c r="D75" s="2" t="n">
        <v>1</v>
      </c>
      <c r="E75" s="2" t="n">
        <v>1</v>
      </c>
      <c r="F75" s="2" t="n">
        <v>0</v>
      </c>
      <c r="G75" s="2" t="n">
        <v>182.3</v>
      </c>
    </row>
    <row r="76">
      <c r="A76" s="7" t="n">
        <v>46291.02308788194</v>
      </c>
      <c r="B76" s="7" t="n">
        <v>46291.02222222222</v>
      </c>
      <c r="C76" s="2" t="n">
        <v>433</v>
      </c>
      <c r="D76" s="2" t="n">
        <v>2</v>
      </c>
      <c r="E76" s="2" t="n">
        <v>2</v>
      </c>
      <c r="F76" s="2" t="n">
        <v>0</v>
      </c>
      <c r="G76" s="2" t="n">
        <v>140.5</v>
      </c>
    </row>
    <row r="77">
      <c r="A77" s="7" t="n">
        <v>46290.9990443287</v>
      </c>
      <c r="B77" s="7" t="n">
        <v>46290.99791666667</v>
      </c>
      <c r="C77" s="2" t="n">
        <v>433</v>
      </c>
      <c r="D77" s="2" t="n">
        <v>1</v>
      </c>
      <c r="E77" s="2" t="n">
        <v>1</v>
      </c>
      <c r="F77" s="2" t="n">
        <v>0</v>
      </c>
      <c r="G77" s="2" t="n">
        <v>197.5</v>
      </c>
    </row>
    <row r="78">
      <c r="A78" s="7" t="n">
        <v>46290.91267655093</v>
      </c>
      <c r="B78" s="7" t="n">
        <v>46290.91180555556</v>
      </c>
      <c r="C78" s="2" t="n">
        <v>433</v>
      </c>
      <c r="D78" s="2" t="n">
        <v>1</v>
      </c>
      <c r="E78" s="2" t="n">
        <v>1</v>
      </c>
      <c r="F78" s="2" t="n">
        <v>0</v>
      </c>
      <c r="G78" s="2" t="n">
        <v>193.4</v>
      </c>
    </row>
    <row r="79">
      <c r="A79" s="7" t="n">
        <v>46290.82088560185</v>
      </c>
      <c r="B79" s="7" t="n">
        <v>46290.82013888889</v>
      </c>
      <c r="C79" s="2" t="n">
        <v>433</v>
      </c>
      <c r="D79" s="2" t="n">
        <v>0</v>
      </c>
      <c r="E79" s="2" t="n">
        <v>0</v>
      </c>
      <c r="F79" s="2" t="n">
        <v>0</v>
      </c>
      <c r="G79" s="2" t="n">
        <v>174.9</v>
      </c>
    </row>
    <row r="80">
      <c r="A80" s="7" t="n">
        <v>46290.76820827546</v>
      </c>
      <c r="B80" s="7" t="n">
        <v>46290.76736111111</v>
      </c>
      <c r="C80" s="2" t="n">
        <v>433</v>
      </c>
      <c r="D80" s="2" t="n">
        <v>0</v>
      </c>
      <c r="E80" s="2" t="n">
        <v>1</v>
      </c>
      <c r="F80" s="2" t="n">
        <v>0</v>
      </c>
      <c r="G80" s="2" t="n">
        <v>187</v>
      </c>
    </row>
    <row r="81">
      <c r="A81" s="7" t="n">
        <v>46290.709303125</v>
      </c>
      <c r="B81" s="7" t="n">
        <v>46290.70833333334</v>
      </c>
      <c r="C81" s="2" t="n">
        <v>433</v>
      </c>
      <c r="D81" s="2" t="n">
        <v>1</v>
      </c>
      <c r="E81" s="2" t="n">
        <v>1</v>
      </c>
      <c r="F81" s="2" t="n">
        <v>0</v>
      </c>
      <c r="G81" s="2" t="n">
        <v>187.6</v>
      </c>
    </row>
    <row r="82">
      <c r="A82" s="7" t="n">
        <v>46290.66382769676</v>
      </c>
      <c r="B82" s="7" t="n">
        <v>46290.6625</v>
      </c>
      <c r="C82" s="2" t="n">
        <v>433</v>
      </c>
      <c r="D82" s="2" t="n">
        <v>1</v>
      </c>
      <c r="E82" s="2" t="n">
        <v>0</v>
      </c>
      <c r="F82" s="2" t="n">
        <v>0</v>
      </c>
      <c r="G82" s="2" t="n">
        <v>185.1</v>
      </c>
    </row>
    <row r="83">
      <c r="A83" s="7" t="n">
        <v>46290.61757802084</v>
      </c>
      <c r="B83" s="7" t="n">
        <v>46290.61666666667</v>
      </c>
      <c r="C83" s="2" t="n">
        <v>433</v>
      </c>
      <c r="D83" s="2" t="n">
        <v>0</v>
      </c>
      <c r="E83" s="2" t="n">
        <v>1</v>
      </c>
      <c r="F83" s="2" t="n">
        <v>0</v>
      </c>
      <c r="G83" s="2" t="n">
        <v>178.9</v>
      </c>
    </row>
    <row r="84">
      <c r="A84" s="7" t="n">
        <v>46290.55632820602</v>
      </c>
      <c r="B84" s="7" t="n">
        <v>46290.55555555555</v>
      </c>
      <c r="C84" s="2" t="n">
        <v>433</v>
      </c>
      <c r="D84" s="2" t="n">
        <v>1</v>
      </c>
      <c r="E84" s="2" t="n">
        <v>0</v>
      </c>
      <c r="F84" s="2" t="n">
        <v>0</v>
      </c>
      <c r="G84" s="2" t="n">
        <v>179.4</v>
      </c>
    </row>
    <row r="85">
      <c r="A85" s="7" t="n">
        <v>46290.50409561343</v>
      </c>
      <c r="B85" s="7" t="n">
        <v>46290.50277777778</v>
      </c>
      <c r="C85" s="2" t="n">
        <v>433</v>
      </c>
      <c r="D85" s="2" t="n">
        <v>1</v>
      </c>
      <c r="E85" s="2" t="n">
        <v>2</v>
      </c>
      <c r="F85" s="2" t="n">
        <v>0</v>
      </c>
      <c r="G85" s="2" t="n">
        <v>174.5</v>
      </c>
    </row>
    <row r="86">
      <c r="A86" s="7" t="n">
        <v>46290.39966920139</v>
      </c>
      <c r="B86" s="7" t="n">
        <v>46290.39861111111</v>
      </c>
      <c r="C86" s="2" t="n">
        <v>433</v>
      </c>
      <c r="D86" s="2" t="n">
        <v>0</v>
      </c>
      <c r="E86" s="2" t="n">
        <v>0</v>
      </c>
      <c r="F86" s="2" t="n">
        <v>0</v>
      </c>
      <c r="G86" s="2" t="n">
        <v>189.8</v>
      </c>
    </row>
    <row r="87">
      <c r="A87" s="7" t="n">
        <v>46290.3483633912</v>
      </c>
      <c r="B87" s="7" t="n">
        <v>46290.34722222222</v>
      </c>
      <c r="C87" s="2" t="n">
        <v>433</v>
      </c>
      <c r="D87" s="2" t="n">
        <v>1</v>
      </c>
      <c r="E87" s="2" t="n">
        <v>1</v>
      </c>
      <c r="F87" s="2" t="n">
        <v>0</v>
      </c>
      <c r="G87" s="2" t="n">
        <v>163.4</v>
      </c>
    </row>
    <row r="88">
      <c r="A88" s="7" t="n">
        <v>46290.27195019676</v>
      </c>
      <c r="B88" s="7" t="n">
        <v>46290.27083333334</v>
      </c>
      <c r="C88" s="2" t="n">
        <v>433</v>
      </c>
      <c r="D88" s="2" t="n">
        <v>0</v>
      </c>
      <c r="E88" s="2" t="n">
        <v>1</v>
      </c>
      <c r="F88" s="2" t="n">
        <v>1</v>
      </c>
      <c r="G88" s="2" t="n">
        <v>182.9</v>
      </c>
    </row>
    <row r="89">
      <c r="A89" s="7" t="n">
        <v>46290.13587655093</v>
      </c>
      <c r="B89" s="7" t="n">
        <v>46290.13472222222</v>
      </c>
      <c r="C89" s="2" t="n">
        <v>433</v>
      </c>
      <c r="D89" s="2" t="n">
        <v>0</v>
      </c>
      <c r="E89" s="2" t="n">
        <v>0</v>
      </c>
      <c r="F89" s="2" t="n">
        <v>1</v>
      </c>
      <c r="G89" s="2" t="n">
        <v>191.6</v>
      </c>
    </row>
    <row r="90">
      <c r="A90" s="7" t="n">
        <v>46290.02908936342</v>
      </c>
      <c r="B90" s="7" t="n">
        <v>46290.02777777778</v>
      </c>
      <c r="C90" s="2" t="n">
        <v>433</v>
      </c>
      <c r="D90" s="2" t="n">
        <v>2</v>
      </c>
      <c r="E90" s="2" t="n">
        <v>2</v>
      </c>
      <c r="F90" s="2" t="n">
        <v>1</v>
      </c>
      <c r="G90" s="2" t="n">
        <v>166.2</v>
      </c>
    </row>
    <row r="91">
      <c r="A91" s="7" t="n">
        <v>46289.96715996528</v>
      </c>
      <c r="B91" s="7" t="n">
        <v>46289.96597222222</v>
      </c>
      <c r="C91" s="2" t="n">
        <v>433</v>
      </c>
      <c r="D91" s="2" t="n">
        <v>0</v>
      </c>
      <c r="E91" s="2" t="n">
        <v>0</v>
      </c>
      <c r="F91" s="2" t="n">
        <v>1</v>
      </c>
      <c r="G91" s="2" t="n">
        <v>190.1</v>
      </c>
    </row>
    <row r="92">
      <c r="A92" s="7" t="n">
        <v>46289.95004011574</v>
      </c>
      <c r="B92" s="7" t="n">
        <v>46289.94930555556</v>
      </c>
      <c r="C92" s="2" t="n">
        <v>433</v>
      </c>
      <c r="D92" s="2" t="n">
        <v>1</v>
      </c>
      <c r="E92" s="2" t="n">
        <v>0</v>
      </c>
      <c r="F92" s="2" t="n">
        <v>1</v>
      </c>
      <c r="G92" s="2" t="n">
        <v>178.4</v>
      </c>
    </row>
    <row r="93">
      <c r="A93" s="7" t="n">
        <v>46289.94135959491</v>
      </c>
      <c r="B93" s="7" t="n">
        <v>46289.94027777778</v>
      </c>
      <c r="C93" s="2" t="n">
        <v>433</v>
      </c>
      <c r="D93" s="2" t="n">
        <v>0</v>
      </c>
      <c r="E93" s="2" t="n">
        <v>0</v>
      </c>
      <c r="F93" s="2" t="n">
        <v>1</v>
      </c>
      <c r="G93" s="2" t="n">
        <v>183.8</v>
      </c>
    </row>
    <row r="94">
      <c r="A94" s="7" t="n">
        <v>46289.92565313658</v>
      </c>
      <c r="B94" s="7" t="n">
        <v>46289.92430555556</v>
      </c>
      <c r="C94" s="2" t="n">
        <v>433</v>
      </c>
      <c r="D94" s="2" t="n">
        <v>4</v>
      </c>
      <c r="E94" s="2" t="n">
        <v>3</v>
      </c>
      <c r="F94" s="2" t="n">
        <v>1</v>
      </c>
      <c r="G94" s="2" t="n">
        <v>226.2</v>
      </c>
    </row>
    <row r="95">
      <c r="A95" s="7" t="n">
        <v>46289.84896370371</v>
      </c>
      <c r="B95" s="7" t="n">
        <v>46289.84791666667</v>
      </c>
      <c r="C95" s="2" t="n">
        <v>433</v>
      </c>
      <c r="D95" s="2" t="n">
        <v>3</v>
      </c>
      <c r="E95" s="2" t="n">
        <v>1</v>
      </c>
      <c r="F95" s="2" t="n">
        <v>1</v>
      </c>
      <c r="G95" s="2" t="n">
        <v>147.5</v>
      </c>
    </row>
    <row r="96">
      <c r="A96" s="7" t="n">
        <v>46289.78526427083</v>
      </c>
      <c r="B96" s="7" t="n">
        <v>46289.78402777778</v>
      </c>
      <c r="C96" s="2" t="n">
        <v>433</v>
      </c>
      <c r="D96" s="2" t="n">
        <v>3</v>
      </c>
      <c r="E96" s="2" t="n">
        <v>2</v>
      </c>
      <c r="F96" s="2" t="n">
        <v>1</v>
      </c>
      <c r="G96" s="2" t="n">
        <v>186.8</v>
      </c>
    </row>
    <row r="97">
      <c r="A97" s="7" t="n">
        <v>46289.75543116898</v>
      </c>
      <c r="B97" s="7" t="n">
        <v>46289.75</v>
      </c>
      <c r="C97" s="2" t="n">
        <v>433</v>
      </c>
      <c r="D97" s="2" t="n">
        <v>0</v>
      </c>
      <c r="E97" s="2" t="n">
        <v>0</v>
      </c>
      <c r="F97" s="2" t="n">
        <v>1</v>
      </c>
      <c r="G97" s="2" t="n">
        <v>109.8</v>
      </c>
    </row>
    <row r="98">
      <c r="A98" s="7" t="n">
        <v>46289.54138961805</v>
      </c>
      <c r="B98" s="7" t="n">
        <v>46289.53472222222</v>
      </c>
      <c r="C98" s="2" t="n">
        <v>433</v>
      </c>
      <c r="D98" s="2" t="n">
        <v>0</v>
      </c>
      <c r="E98" s="2" t="n">
        <v>0</v>
      </c>
      <c r="F98" s="2" t="n">
        <v>1</v>
      </c>
      <c r="G98" s="2" t="n">
        <v>125.8</v>
      </c>
    </row>
    <row r="99">
      <c r="A99" s="7" t="n">
        <v>46289.32358565972</v>
      </c>
      <c r="B99" s="7" t="n">
        <v>46289.31944444445</v>
      </c>
      <c r="C99" s="2" t="n">
        <v>433</v>
      </c>
      <c r="D99" s="2" t="n">
        <v>0</v>
      </c>
      <c r="E99" s="2" t="n">
        <v>0</v>
      </c>
      <c r="F99" s="2" t="n">
        <v>1</v>
      </c>
      <c r="G99" s="2" t="n">
        <v>130.2</v>
      </c>
    </row>
    <row r="100">
      <c r="A100" s="7" t="n">
        <v>46289.18599210648</v>
      </c>
      <c r="B100" s="7" t="n">
        <v>46289.18055555555</v>
      </c>
      <c r="C100" s="2" t="n">
        <v>433</v>
      </c>
      <c r="D100" s="2" t="n">
        <v>0</v>
      </c>
      <c r="E100" s="2" t="n">
        <v>0</v>
      </c>
      <c r="F100" s="2" t="n">
        <v>1</v>
      </c>
      <c r="G100" s="2" t="n">
        <v>129.3</v>
      </c>
    </row>
    <row r="101">
      <c r="A101" s="7" t="n">
        <v>46289.04908521991</v>
      </c>
      <c r="B101" s="7" t="n">
        <v>46289.04513888889</v>
      </c>
      <c r="C101" s="2" t="n">
        <v>433</v>
      </c>
      <c r="D101" s="2" t="n">
        <v>0</v>
      </c>
      <c r="E101" s="2" t="n">
        <v>0</v>
      </c>
      <c r="F101" s="2" t="n">
        <v>1</v>
      </c>
      <c r="G101" s="2" t="n">
        <v>96.90000000000001</v>
      </c>
    </row>
    <row r="102">
      <c r="A102" s="7" t="n">
        <v>46289.00944646991</v>
      </c>
      <c r="B102" s="7" t="n">
        <v>46289.00347222222</v>
      </c>
      <c r="C102" s="2" t="n">
        <v>433</v>
      </c>
      <c r="D102" s="2" t="n">
        <v>0</v>
      </c>
      <c r="E102" s="2" t="n">
        <v>0</v>
      </c>
      <c r="F102" s="2" t="n">
        <v>1</v>
      </c>
      <c r="G102" s="2" t="n">
        <v>127</v>
      </c>
    </row>
    <row r="103">
      <c r="A103" s="7" t="n">
        <v>46288.82408041666</v>
      </c>
      <c r="B103" s="7" t="n">
        <v>46288.81944444445</v>
      </c>
      <c r="C103" s="2" t="n">
        <v>433</v>
      </c>
      <c r="D103" s="2" t="n">
        <v>0</v>
      </c>
      <c r="E103" s="2" t="n">
        <v>0</v>
      </c>
      <c r="F103" s="2" t="n">
        <v>2</v>
      </c>
      <c r="G103" s="2" t="n">
        <v>118.2</v>
      </c>
    </row>
    <row r="104">
      <c r="A104" s="7" t="n">
        <v>46288.75275025463</v>
      </c>
      <c r="B104" s="7" t="n">
        <v>46288.74652777778</v>
      </c>
      <c r="C104" s="2" t="n">
        <v>433</v>
      </c>
      <c r="D104" s="2" t="n">
        <v>0</v>
      </c>
      <c r="E104" s="2" t="n">
        <v>0</v>
      </c>
      <c r="F104" s="2" t="n">
        <v>2</v>
      </c>
      <c r="G104" s="2" t="n">
        <v>125.5</v>
      </c>
    </row>
    <row r="105">
      <c r="A105" s="7" t="n">
        <v>46288.58577883102</v>
      </c>
      <c r="B105" s="7" t="n">
        <v>46288.57986111111</v>
      </c>
      <c r="C105" s="2" t="n">
        <v>433</v>
      </c>
      <c r="D105" s="2" t="n">
        <v>0</v>
      </c>
      <c r="E105" s="2" t="n">
        <v>0</v>
      </c>
      <c r="F105" s="2" t="n">
        <v>2</v>
      </c>
      <c r="G105" s="2" t="n">
        <v>112.8</v>
      </c>
    </row>
    <row r="106">
      <c r="A106" s="7" t="n">
        <v>46288.57218969907</v>
      </c>
      <c r="B106" s="7" t="n">
        <v>46288.56597222222</v>
      </c>
      <c r="C106" s="2" t="n">
        <v>433</v>
      </c>
      <c r="D106" s="2" t="n">
        <v>0</v>
      </c>
      <c r="E106" s="2" t="n">
        <v>0</v>
      </c>
      <c r="F106" s="2" t="n">
        <v>2</v>
      </c>
      <c r="G106" s="2" t="n">
        <v>99.7</v>
      </c>
    </row>
    <row r="107">
      <c r="A107" s="7" t="n">
        <v>46288.36332482639</v>
      </c>
      <c r="B107" s="7" t="n">
        <v>46288.35763888889</v>
      </c>
      <c r="C107" s="2" t="n">
        <v>441</v>
      </c>
      <c r="D107" s="2" t="n">
        <v>0</v>
      </c>
      <c r="E107" s="2" t="n">
        <v>0</v>
      </c>
      <c r="F107" s="2" t="n">
        <v>2</v>
      </c>
      <c r="G107" s="2" t="n">
        <v>94.40000000000001</v>
      </c>
    </row>
    <row r="108">
      <c r="A108" s="7" t="n">
        <v>46288.26120461806</v>
      </c>
      <c r="B108" s="7" t="n">
        <v>46288.25694444445</v>
      </c>
      <c r="C108" s="2" t="n">
        <v>441</v>
      </c>
      <c r="D108" s="2" t="n">
        <v>0</v>
      </c>
      <c r="E108" s="2" t="n">
        <v>0</v>
      </c>
      <c r="F108" s="2" t="n">
        <v>2</v>
      </c>
      <c r="G108" s="2" t="n">
        <v>103.1</v>
      </c>
    </row>
    <row r="109">
      <c r="A109" s="7" t="n">
        <v>46288.12397528935</v>
      </c>
      <c r="B109" s="7" t="n">
        <v>46288.11805555555</v>
      </c>
      <c r="C109" s="2" t="n">
        <v>441</v>
      </c>
      <c r="D109" s="2" t="n">
        <v>0</v>
      </c>
      <c r="E109" s="2" t="n">
        <v>0</v>
      </c>
      <c r="F109" s="2" t="n">
        <v>2</v>
      </c>
      <c r="G109" s="2" t="n">
        <v>114.4</v>
      </c>
    </row>
    <row r="110">
      <c r="A110" s="7" t="n">
        <v>46287.95840076389</v>
      </c>
      <c r="B110" s="7" t="n">
        <v>46287.95486111111</v>
      </c>
      <c r="C110" s="2" t="n">
        <v>441</v>
      </c>
      <c r="D110" s="2" t="n">
        <v>0</v>
      </c>
      <c r="E110" s="2" t="n">
        <v>0</v>
      </c>
      <c r="F110" s="2" t="n">
        <v>2</v>
      </c>
      <c r="G110" s="2" t="n">
        <v>135.1</v>
      </c>
    </row>
    <row r="111">
      <c r="A111" s="7" t="n">
        <v>46287.75277884259</v>
      </c>
      <c r="B111" s="7" t="n">
        <v>46287.74652777778</v>
      </c>
      <c r="C111" s="2" t="n">
        <v>440</v>
      </c>
      <c r="D111" s="2" t="n">
        <v>0</v>
      </c>
      <c r="E111" s="2" t="n">
        <v>0</v>
      </c>
      <c r="F111" s="2" t="n">
        <v>0</v>
      </c>
      <c r="G111" s="2" t="n">
        <v>130.3</v>
      </c>
    </row>
    <row r="112">
      <c r="A112" s="7" t="n">
        <v>46287.6758560301</v>
      </c>
      <c r="B112" s="7" t="n">
        <v>46287.67013888889</v>
      </c>
      <c r="C112" s="2" t="n">
        <v>440</v>
      </c>
      <c r="D112" s="2" t="n">
        <v>0</v>
      </c>
      <c r="E112" s="2" t="n">
        <v>0</v>
      </c>
      <c r="F112" s="2" t="n">
        <v>0</v>
      </c>
      <c r="G112" s="2" t="n">
        <v>91.7</v>
      </c>
    </row>
    <row r="113">
      <c r="A113" s="7" t="n">
        <v>46287.54602564815</v>
      </c>
      <c r="B113" s="7" t="n">
        <v>46287.54166666666</v>
      </c>
      <c r="C113" s="2" t="n">
        <v>440</v>
      </c>
      <c r="D113" s="2" t="n">
        <v>0</v>
      </c>
      <c r="E113" s="2" t="n">
        <v>0</v>
      </c>
      <c r="F113" s="2" t="n">
        <v>0</v>
      </c>
      <c r="G113" s="2" t="n">
        <v>125.4</v>
      </c>
    </row>
    <row r="114">
      <c r="A114" s="7" t="n">
        <v>46287.51247143518</v>
      </c>
      <c r="B114" s="7" t="n">
        <v>46287.50694444445</v>
      </c>
      <c r="C114" s="2" t="n">
        <v>440</v>
      </c>
      <c r="D114" s="2" t="n">
        <v>0</v>
      </c>
      <c r="E114" s="2" t="n">
        <v>0</v>
      </c>
      <c r="F114" s="2" t="n">
        <v>0</v>
      </c>
      <c r="G114" s="2" t="n">
        <v>102.8</v>
      </c>
    </row>
    <row r="115">
      <c r="A115" s="7" t="n">
        <v>46287.30635083334</v>
      </c>
      <c r="B115" s="7" t="n">
        <v>46287.30208333334</v>
      </c>
      <c r="C115" s="2" t="n">
        <v>440</v>
      </c>
      <c r="D115" s="2" t="n">
        <v>0</v>
      </c>
      <c r="E115" s="2" t="n">
        <v>0</v>
      </c>
      <c r="F115" s="2" t="n">
        <v>0</v>
      </c>
      <c r="G115" s="2" t="n">
        <v>135.9</v>
      </c>
    </row>
    <row r="116">
      <c r="A116" s="7" t="n">
        <v>46287.14961865741</v>
      </c>
      <c r="B116" s="7" t="n">
        <v>46287.14583333334</v>
      </c>
      <c r="C116" s="2" t="n">
        <v>440</v>
      </c>
      <c r="D116" s="2" t="n">
        <v>0</v>
      </c>
      <c r="E116" s="2" t="n">
        <v>0</v>
      </c>
      <c r="F116" s="2" t="n">
        <v>0</v>
      </c>
      <c r="G116" s="2" t="n">
        <v>130.5</v>
      </c>
    </row>
    <row r="117">
      <c r="A117" s="7" t="n">
        <v>46286.92852005787</v>
      </c>
      <c r="B117" s="7" t="n">
        <v>46286.92361111111</v>
      </c>
      <c r="C117" s="2" t="n">
        <v>440</v>
      </c>
      <c r="D117" s="2" t="n">
        <v>0</v>
      </c>
      <c r="E117" s="2" t="n">
        <v>0</v>
      </c>
      <c r="F117" s="2" t="n">
        <v>0</v>
      </c>
      <c r="G117" s="2" t="n">
        <v>112.2</v>
      </c>
    </row>
    <row r="118">
      <c r="A118" s="7" t="n">
        <v>46286.83222814815</v>
      </c>
      <c r="B118" s="7" t="n">
        <v>46286.82638888889</v>
      </c>
      <c r="C118" s="2" t="n">
        <v>440</v>
      </c>
      <c r="D118" s="2" t="n">
        <v>0</v>
      </c>
      <c r="E118" s="2" t="n">
        <v>0</v>
      </c>
      <c r="F118" s="2" t="n">
        <v>0</v>
      </c>
      <c r="G118" s="2" t="n">
        <v>126.4</v>
      </c>
    </row>
    <row r="119">
      <c r="A119" s="7" t="n">
        <v>46286.60261268519</v>
      </c>
      <c r="B119" s="7" t="n">
        <v>46286.59722222222</v>
      </c>
      <c r="C119" s="2" t="n">
        <v>440</v>
      </c>
      <c r="D119" s="2" t="n">
        <v>0</v>
      </c>
      <c r="E119" s="2" t="n">
        <v>0</v>
      </c>
      <c r="F119" s="2" t="n">
        <v>0</v>
      </c>
      <c r="G119" s="2" t="n">
        <v>111.5</v>
      </c>
    </row>
    <row r="120">
      <c r="A120" s="7" t="n">
        <v>46286.38294268519</v>
      </c>
      <c r="B120" s="7" t="n">
        <v>46286.37847222222</v>
      </c>
      <c r="C120" s="2" t="n">
        <v>440</v>
      </c>
      <c r="D120" s="2" t="n">
        <v>0</v>
      </c>
      <c r="E120" s="2" t="n">
        <v>0</v>
      </c>
      <c r="F120" s="2" t="n">
        <v>0</v>
      </c>
      <c r="G120" s="2" t="n">
        <v>102.4</v>
      </c>
    </row>
    <row r="121">
      <c r="A121" s="7" t="n">
        <v>46286.27148542824</v>
      </c>
      <c r="B121" s="7" t="n">
        <v>46286.26736111111</v>
      </c>
      <c r="C121" s="2" t="n">
        <v>440</v>
      </c>
      <c r="D121" s="2" t="n">
        <v>0</v>
      </c>
      <c r="E121" s="2" t="n">
        <v>0</v>
      </c>
      <c r="F121" s="2" t="n">
        <v>0</v>
      </c>
      <c r="G121" s="2" t="n">
        <v>126.7</v>
      </c>
    </row>
    <row r="122">
      <c r="A122" s="7" t="n">
        <v>46286.14641391204</v>
      </c>
      <c r="B122" s="7" t="n">
        <v>46286.14236111111</v>
      </c>
      <c r="C122" s="2" t="n">
        <v>440</v>
      </c>
      <c r="D122" s="2" t="n">
        <v>0</v>
      </c>
      <c r="E122" s="2" t="n">
        <v>0</v>
      </c>
      <c r="F122" s="2" t="n">
        <v>0</v>
      </c>
      <c r="G122" s="2" t="n">
        <v>131.3</v>
      </c>
    </row>
    <row r="123">
      <c r="A123" s="7" t="n">
        <v>46286.03573545139</v>
      </c>
      <c r="B123" s="7" t="n">
        <v>46286.03125</v>
      </c>
      <c r="C123" s="2" t="n">
        <v>440</v>
      </c>
      <c r="D123" s="2" t="n">
        <v>0</v>
      </c>
      <c r="E123" s="2" t="n">
        <v>0</v>
      </c>
      <c r="F123" s="2" t="n">
        <v>0</v>
      </c>
      <c r="G123" s="2" t="n">
        <v>127.3</v>
      </c>
    </row>
    <row r="124">
      <c r="A124" s="7" t="n">
        <v>46286.00283136574</v>
      </c>
      <c r="B124" s="7" t="n">
        <v>46285.99652777778</v>
      </c>
      <c r="C124" s="2" t="n">
        <v>440</v>
      </c>
      <c r="D124" s="2" t="n">
        <v>0</v>
      </c>
      <c r="E124" s="2" t="n">
        <v>0</v>
      </c>
      <c r="F124" s="2" t="n">
        <v>0</v>
      </c>
      <c r="G124" s="2" t="n">
        <v>101.9</v>
      </c>
    </row>
    <row r="125">
      <c r="A125" s="7" t="n">
        <v>46285.85245594908</v>
      </c>
      <c r="B125" s="7" t="n">
        <v>46285.84722222222</v>
      </c>
      <c r="C125" s="2" t="n">
        <v>440</v>
      </c>
      <c r="D125" s="2" t="n">
        <v>0</v>
      </c>
      <c r="E125" s="2" t="n">
        <v>0</v>
      </c>
      <c r="F125" s="2" t="n">
        <v>0</v>
      </c>
      <c r="G125" s="2" t="n">
        <v>100.6</v>
      </c>
    </row>
    <row r="126">
      <c r="A126" s="7" t="n">
        <v>46285.60105145833</v>
      </c>
      <c r="B126" s="7" t="n">
        <v>46285.59722222222</v>
      </c>
      <c r="C126" s="2" t="n">
        <v>440</v>
      </c>
      <c r="D126" s="2" t="n">
        <v>0</v>
      </c>
      <c r="E126" s="2" t="n">
        <v>0</v>
      </c>
      <c r="F126" s="2" t="n">
        <v>0</v>
      </c>
      <c r="G126" s="2" t="n">
        <v>129.1</v>
      </c>
    </row>
    <row r="127">
      <c r="A127" s="7" t="n">
        <v>46285.38559789352</v>
      </c>
      <c r="B127" s="7" t="n">
        <v>46285.38194444445</v>
      </c>
      <c r="C127" s="2" t="n">
        <v>440</v>
      </c>
      <c r="D127" s="2" t="n">
        <v>0</v>
      </c>
      <c r="E127" s="2" t="n">
        <v>0</v>
      </c>
      <c r="F127" s="2" t="n">
        <v>0</v>
      </c>
      <c r="G127" s="2" t="n">
        <v>112.5</v>
      </c>
    </row>
    <row r="128">
      <c r="A128" s="7" t="n">
        <v>46285.29994834491</v>
      </c>
      <c r="B128" s="7" t="n">
        <v>46285.29513888889</v>
      </c>
      <c r="C128" s="2" t="n">
        <v>440</v>
      </c>
      <c r="D128" s="2" t="n">
        <v>0</v>
      </c>
      <c r="E128" s="2" t="n">
        <v>0</v>
      </c>
      <c r="F128" s="2" t="n">
        <v>0</v>
      </c>
      <c r="G128" s="2" t="n">
        <v>128.1</v>
      </c>
    </row>
    <row r="129">
      <c r="A129" s="7" t="n">
        <v>46285.19964518519</v>
      </c>
      <c r="B129" s="7" t="n">
        <v>46285.19444444445</v>
      </c>
      <c r="C129" s="2" t="n">
        <v>440</v>
      </c>
      <c r="D129" s="2" t="n">
        <v>0</v>
      </c>
      <c r="E129" s="2" t="n">
        <v>0</v>
      </c>
      <c r="F129" s="2" t="n">
        <v>0</v>
      </c>
      <c r="G129" s="2" t="n">
        <v>110.6</v>
      </c>
    </row>
    <row r="130">
      <c r="A130" s="7" t="n">
        <v>46285.08704527777</v>
      </c>
      <c r="B130" s="7" t="n">
        <v>46285.08333333334</v>
      </c>
      <c r="C130" s="2" t="n">
        <v>440</v>
      </c>
      <c r="D130" s="2" t="n">
        <v>0</v>
      </c>
      <c r="E130" s="2" t="n">
        <v>0</v>
      </c>
      <c r="F130" s="2" t="n">
        <v>0</v>
      </c>
      <c r="G130" s="2" t="n">
        <v>95.09999999999999</v>
      </c>
    </row>
    <row r="131">
      <c r="A131" s="7" t="n">
        <v>46284.93748335648</v>
      </c>
      <c r="B131" s="7" t="n">
        <v>46284.93055555555</v>
      </c>
      <c r="C131" s="2" t="n">
        <v>440</v>
      </c>
      <c r="D131" s="2" t="n">
        <v>0</v>
      </c>
      <c r="E131" s="2" t="n">
        <v>0</v>
      </c>
      <c r="F131" s="2" t="n">
        <v>0</v>
      </c>
      <c r="G131" s="2" t="n">
        <v>128.7</v>
      </c>
    </row>
    <row r="132">
      <c r="A132" s="7" t="n">
        <v>46284.79727659722</v>
      </c>
      <c r="B132" s="7" t="n">
        <v>46284.79166666666</v>
      </c>
      <c r="C132" s="2" t="n">
        <v>440</v>
      </c>
      <c r="D132" s="2" t="n">
        <v>0</v>
      </c>
      <c r="E132" s="2" t="n">
        <v>0</v>
      </c>
      <c r="F132" s="2" t="n">
        <v>0</v>
      </c>
      <c r="G132" s="2" t="n">
        <v>109.7</v>
      </c>
    </row>
    <row r="133">
      <c r="A133" s="7" t="n">
        <v>46284.58365538195</v>
      </c>
      <c r="B133" s="7" t="n">
        <v>46284.57986111111</v>
      </c>
      <c r="C133" s="2" t="n">
        <v>440</v>
      </c>
      <c r="D133" s="2" t="n">
        <v>0</v>
      </c>
      <c r="E133" s="2" t="n">
        <v>0</v>
      </c>
      <c r="F133" s="2" t="n">
        <v>0</v>
      </c>
      <c r="G133" s="2" t="n">
        <v>101.8</v>
      </c>
    </row>
    <row r="134">
      <c r="A134" s="7" t="n">
        <v>46284.38530752315</v>
      </c>
      <c r="B134" s="7" t="n">
        <v>46284.37847222222</v>
      </c>
      <c r="C134" s="2" t="n">
        <v>440</v>
      </c>
      <c r="D134" s="2" t="n">
        <v>0</v>
      </c>
      <c r="E134" s="2" t="n">
        <v>0</v>
      </c>
      <c r="F134" s="2" t="n">
        <v>0</v>
      </c>
      <c r="G134" s="2" t="n">
        <v>130.8</v>
      </c>
    </row>
    <row r="135">
      <c r="A135" s="7" t="n">
        <v>46284.27664920139</v>
      </c>
      <c r="B135" s="7" t="n">
        <v>46284.27083333334</v>
      </c>
      <c r="C135" s="2" t="n">
        <v>440</v>
      </c>
      <c r="D135" s="2" t="n">
        <v>0</v>
      </c>
      <c r="E135" s="2" t="n">
        <v>0</v>
      </c>
      <c r="F135" s="2" t="n">
        <v>0</v>
      </c>
      <c r="G135" s="2" t="n">
        <v>127.8</v>
      </c>
    </row>
    <row r="136">
      <c r="A136" s="7" t="n">
        <v>46284.15392047453</v>
      </c>
      <c r="B136" s="7" t="n">
        <v>46284.14930555555</v>
      </c>
      <c r="C136" s="2" t="n">
        <v>440</v>
      </c>
      <c r="D136" s="2" t="n">
        <v>0</v>
      </c>
      <c r="E136" s="2" t="n">
        <v>0</v>
      </c>
      <c r="F136" s="2" t="n">
        <v>0</v>
      </c>
      <c r="G136" s="2" t="n">
        <v>135.6</v>
      </c>
    </row>
    <row r="137">
      <c r="A137" s="7" t="n">
        <v>46284.02123533565</v>
      </c>
      <c r="B137" s="7" t="n">
        <v>46284.01736111111</v>
      </c>
      <c r="C137" s="2" t="n">
        <v>440</v>
      </c>
      <c r="D137" s="2" t="n">
        <v>0</v>
      </c>
      <c r="E137" s="2" t="n">
        <v>0</v>
      </c>
      <c r="F137" s="2" t="n">
        <v>0</v>
      </c>
      <c r="G137" s="2" t="n">
        <v>102.8</v>
      </c>
    </row>
    <row r="138">
      <c r="A138" s="7" t="n">
        <v>46283.99753837963</v>
      </c>
      <c r="B138" s="7" t="n">
        <v>46283.99305555555</v>
      </c>
      <c r="C138" s="2" t="n">
        <v>440</v>
      </c>
      <c r="D138" s="2" t="n">
        <v>0</v>
      </c>
      <c r="E138" s="2" t="n">
        <v>0</v>
      </c>
      <c r="F138" s="2" t="n">
        <v>0</v>
      </c>
      <c r="G138" s="2" t="n">
        <v>129.8</v>
      </c>
    </row>
    <row r="139">
      <c r="A139" s="7" t="n">
        <v>46283.80859936342</v>
      </c>
      <c r="B139" s="7" t="n">
        <v>46283.80208333334</v>
      </c>
      <c r="C139" s="2" t="n">
        <v>440</v>
      </c>
      <c r="D139" s="2" t="n">
        <v>0</v>
      </c>
      <c r="E139" s="2" t="n">
        <v>0</v>
      </c>
      <c r="F139" s="2" t="n">
        <v>0</v>
      </c>
      <c r="G139" s="2" t="n">
        <v>127.7</v>
      </c>
    </row>
    <row r="140">
      <c r="A140" s="7" t="n">
        <v>46283.78916202546</v>
      </c>
      <c r="B140" s="7" t="n">
        <v>46283.78472222222</v>
      </c>
      <c r="C140" s="2" t="n">
        <v>440</v>
      </c>
      <c r="D140" s="2" t="n">
        <v>0</v>
      </c>
      <c r="E140" s="2" t="n">
        <v>0</v>
      </c>
      <c r="F140" s="2" t="n">
        <v>0</v>
      </c>
      <c r="G140" s="2" t="n">
        <v>119.1</v>
      </c>
    </row>
    <row r="141">
      <c r="A141" s="7" t="n">
        <v>46283.58323265046</v>
      </c>
      <c r="B141" s="7" t="n">
        <v>46283.57638888889</v>
      </c>
      <c r="C141" s="2" t="n">
        <v>440</v>
      </c>
      <c r="D141" s="2" t="n">
        <v>0</v>
      </c>
      <c r="E141" s="2" t="n">
        <v>0</v>
      </c>
      <c r="F141" s="2" t="n">
        <v>0</v>
      </c>
      <c r="G141" s="2" t="n">
        <v>126.7</v>
      </c>
    </row>
    <row r="142">
      <c r="A142" s="7" t="n">
        <v>46283.57323743056</v>
      </c>
      <c r="B142" s="7" t="n">
        <v>46283.56944444445</v>
      </c>
      <c r="C142" s="2" t="n">
        <v>440</v>
      </c>
      <c r="D142" s="2" t="n">
        <v>0</v>
      </c>
      <c r="E142" s="2" t="n">
        <v>0</v>
      </c>
      <c r="F142" s="2" t="n">
        <v>0</v>
      </c>
      <c r="G142" s="2" t="n">
        <v>94.3</v>
      </c>
    </row>
    <row r="143">
      <c r="A143" s="7" t="n">
        <v>46283.45181144676</v>
      </c>
      <c r="B143" s="7" t="n">
        <v>46283.44791666666</v>
      </c>
      <c r="C143" s="2" t="n">
        <v>440</v>
      </c>
      <c r="D143" s="2" t="n">
        <v>0</v>
      </c>
      <c r="E143" s="2" t="n">
        <v>0</v>
      </c>
      <c r="F143" s="2" t="n">
        <v>0</v>
      </c>
      <c r="G143" s="2" t="n">
        <v>132.3</v>
      </c>
    </row>
    <row r="144">
      <c r="A144" s="7" t="n">
        <v>46283.44134394676</v>
      </c>
      <c r="B144" s="7" t="n">
        <v>46283.4375</v>
      </c>
      <c r="C144" s="2" t="n">
        <v>440</v>
      </c>
      <c r="D144" s="2" t="n">
        <v>0</v>
      </c>
      <c r="E144" s="2" t="n">
        <v>0</v>
      </c>
      <c r="F144" s="2" t="n">
        <v>0</v>
      </c>
      <c r="G144" s="2" t="n">
        <v>373.5</v>
      </c>
    </row>
    <row r="145">
      <c r="A145" s="7" t="n">
        <v>46283.35273409722</v>
      </c>
      <c r="B145" s="7" t="n">
        <v>46283.34722222222</v>
      </c>
      <c r="C145" s="2" t="n">
        <v>440</v>
      </c>
      <c r="D145" s="2" t="n">
        <v>0</v>
      </c>
      <c r="E145" s="2" t="n">
        <v>0</v>
      </c>
      <c r="F145" s="2" t="n">
        <v>0</v>
      </c>
      <c r="G145" s="2" t="n">
        <v>132.3</v>
      </c>
    </row>
    <row r="146">
      <c r="A146" s="7" t="n">
        <v>46283.26014016203</v>
      </c>
      <c r="B146" s="7" t="n">
        <v>46283.25347222222</v>
      </c>
      <c r="C146" s="2" t="n">
        <v>440</v>
      </c>
      <c r="D146" s="2" t="n">
        <v>0</v>
      </c>
      <c r="E146" s="2" t="n">
        <v>0</v>
      </c>
      <c r="F146" s="2" t="n">
        <v>0</v>
      </c>
      <c r="G146" s="2" t="n">
        <v>129.5</v>
      </c>
    </row>
    <row r="147">
      <c r="A147" s="7" t="n">
        <v>46283.09637409722</v>
      </c>
      <c r="B147" s="7" t="n">
        <v>46283.09027777778</v>
      </c>
      <c r="C147" s="2" t="n">
        <v>440</v>
      </c>
      <c r="D147" s="2" t="n">
        <v>0</v>
      </c>
      <c r="E147" s="2" t="n">
        <v>0</v>
      </c>
      <c r="F147" s="2" t="n">
        <v>0</v>
      </c>
      <c r="G147" s="2" t="n">
        <v>131.2</v>
      </c>
    </row>
    <row r="148">
      <c r="A148" s="7" t="n">
        <v>46282.89824439815</v>
      </c>
      <c r="B148" s="7" t="n">
        <v>46282.89236111111</v>
      </c>
      <c r="C148" s="2" t="n">
        <v>440</v>
      </c>
      <c r="D148" s="2" t="n">
        <v>0</v>
      </c>
      <c r="E148" s="2" t="n">
        <v>0</v>
      </c>
      <c r="F148" s="2" t="n">
        <v>0</v>
      </c>
      <c r="G148" s="2" t="n">
        <v>137</v>
      </c>
    </row>
    <row r="149">
      <c r="A149" s="7" t="n">
        <v>46282.65711792824</v>
      </c>
      <c r="B149" s="7" t="n">
        <v>46282.65277777778</v>
      </c>
      <c r="C149" s="2" t="n">
        <v>440</v>
      </c>
      <c r="D149" s="2" t="n">
        <v>0</v>
      </c>
      <c r="E149" s="2" t="n">
        <v>0</v>
      </c>
      <c r="F149" s="2" t="n">
        <v>0</v>
      </c>
      <c r="G149" s="2" t="n">
        <v>126.6</v>
      </c>
    </row>
    <row r="150">
      <c r="A150" s="7" t="n">
        <v>46282.40350203704</v>
      </c>
      <c r="B150" s="7" t="n">
        <v>46282.39930555555</v>
      </c>
      <c r="C150" s="2" t="n">
        <v>440</v>
      </c>
      <c r="D150" s="2" t="n">
        <v>0</v>
      </c>
      <c r="E150" s="2" t="n">
        <v>0</v>
      </c>
      <c r="F150" s="2" t="n">
        <v>0</v>
      </c>
      <c r="G150" s="2" t="n">
        <v>323.7</v>
      </c>
    </row>
    <row r="151">
      <c r="A151" s="7" t="n">
        <v>46282.39577758102</v>
      </c>
      <c r="B151" s="7" t="n">
        <v>46282.33333333334</v>
      </c>
      <c r="C151" s="2" t="n">
        <v>440</v>
      </c>
      <c r="D151" s="2" t="n">
        <v>0</v>
      </c>
      <c r="E151" s="2" t="n">
        <v>0</v>
      </c>
      <c r="F151" s="2" t="n">
        <v>0</v>
      </c>
      <c r="G151" s="2" t="n">
        <v>50.5</v>
      </c>
    </row>
    <row r="152">
      <c r="A152" s="7" t="n">
        <v>46282.29222982639</v>
      </c>
      <c r="B152" s="7" t="n">
        <v>46282.25</v>
      </c>
      <c r="C152" s="2" t="n">
        <v>440</v>
      </c>
      <c r="D152" s="2" t="n">
        <v>0</v>
      </c>
      <c r="E152" s="2" t="n">
        <v>0</v>
      </c>
      <c r="F152" s="2" t="n">
        <v>0</v>
      </c>
      <c r="G152" s="2" t="n">
        <v>66.2</v>
      </c>
    </row>
    <row r="153">
      <c r="A153" s="7" t="n">
        <v>46282.17576607639</v>
      </c>
      <c r="B153" s="7" t="n">
        <v>46282.125</v>
      </c>
      <c r="C153" s="2" t="n">
        <v>440</v>
      </c>
      <c r="D153" s="2" t="n">
        <v>0</v>
      </c>
      <c r="E153" s="2" t="n">
        <v>0</v>
      </c>
      <c r="F153" s="2" t="n">
        <v>0</v>
      </c>
      <c r="G153" s="2" t="n">
        <v>67</v>
      </c>
    </row>
    <row r="154">
      <c r="A154" s="7" t="n">
        <v>46282.04552453704</v>
      </c>
      <c r="B154" s="7" t="n">
        <v>46282</v>
      </c>
      <c r="C154" s="2" t="n">
        <v>440</v>
      </c>
      <c r="D154" s="2" t="n">
        <v>0</v>
      </c>
      <c r="E154" s="2" t="n">
        <v>0</v>
      </c>
      <c r="F154" s="2" t="n">
        <v>0</v>
      </c>
      <c r="G154" s="2" t="n">
        <v>52.9</v>
      </c>
    </row>
    <row r="155">
      <c r="A155" s="7" t="n">
        <v>46281.82298537037</v>
      </c>
      <c r="B155" s="7" t="n">
        <v>46281.75</v>
      </c>
      <c r="C155" s="2" t="n">
        <v>440</v>
      </c>
      <c r="D155" s="2" t="n">
        <v>0</v>
      </c>
      <c r="E155" s="2" t="n">
        <v>0</v>
      </c>
      <c r="F155" s="2" t="n">
        <v>0</v>
      </c>
      <c r="G155" s="2" t="n">
        <v>65.7</v>
      </c>
    </row>
    <row r="156">
      <c r="A156" s="7" t="n">
        <v>46281.58829054398</v>
      </c>
      <c r="B156" s="7" t="n">
        <v>46281.54166666666</v>
      </c>
      <c r="C156" s="2" t="n">
        <v>440</v>
      </c>
      <c r="D156" s="2" t="n">
        <v>0</v>
      </c>
      <c r="E156" s="2" t="n">
        <v>0</v>
      </c>
      <c r="F156" s="2" t="n">
        <v>0</v>
      </c>
      <c r="G156" s="2" t="n">
        <v>54.5</v>
      </c>
    </row>
    <row r="157">
      <c r="A157" s="7" t="n">
        <v>46281.35205523148</v>
      </c>
      <c r="B157" s="7" t="n">
        <v>46281.29166666666</v>
      </c>
      <c r="C157" s="2" t="n">
        <v>442</v>
      </c>
      <c r="D157" s="2" t="n">
        <v>0</v>
      </c>
      <c r="E157" s="2" t="n">
        <v>0</v>
      </c>
      <c r="F157" s="2" t="n">
        <v>0</v>
      </c>
      <c r="G157" s="2" t="n">
        <v>66.90000000000001</v>
      </c>
    </row>
    <row r="158">
      <c r="A158" s="7" t="n">
        <v>46281.22963460648</v>
      </c>
      <c r="B158" s="7" t="n">
        <v>46281.16666666666</v>
      </c>
      <c r="C158" s="2" t="n">
        <v>442</v>
      </c>
      <c r="D158" s="2" t="n">
        <v>0</v>
      </c>
      <c r="E158" s="2" t="n">
        <v>0</v>
      </c>
      <c r="F158" s="2" t="n">
        <v>0</v>
      </c>
      <c r="G158" s="2" t="n">
        <v>61.9</v>
      </c>
    </row>
    <row r="159">
      <c r="A159" s="7" t="n">
        <v>46281.094529375</v>
      </c>
      <c r="B159" s="7" t="n">
        <v>46281.04166666666</v>
      </c>
      <c r="C159" s="2" t="n">
        <v>442</v>
      </c>
      <c r="D159" s="2" t="n">
        <v>0</v>
      </c>
      <c r="E159" s="2" t="n">
        <v>0</v>
      </c>
      <c r="F159" s="2" t="n">
        <v>0</v>
      </c>
      <c r="G159" s="2" t="n">
        <v>46.5</v>
      </c>
    </row>
    <row r="160">
      <c r="A160" s="7" t="n">
        <v>46280.9017994676</v>
      </c>
      <c r="B160" s="7" t="n">
        <v>46280.83333333334</v>
      </c>
      <c r="C160" s="2" t="n">
        <v>442</v>
      </c>
      <c r="D160" s="2" t="n">
        <v>0</v>
      </c>
      <c r="E160" s="2" t="n">
        <v>0</v>
      </c>
      <c r="F160" s="2" t="n">
        <v>0</v>
      </c>
      <c r="G160" s="2" t="n">
        <v>56.7</v>
      </c>
    </row>
    <row r="161">
      <c r="A161" s="7" t="n">
        <v>46280.66002480324</v>
      </c>
      <c r="B161" s="7" t="n">
        <v>46280.58333333334</v>
      </c>
      <c r="C161" s="2" t="n">
        <v>442</v>
      </c>
      <c r="D161" s="2" t="n">
        <v>0</v>
      </c>
      <c r="E161" s="2" t="n">
        <v>0</v>
      </c>
      <c r="F161" s="2" t="n">
        <v>0</v>
      </c>
      <c r="G161" s="2" t="n">
        <v>67.40000000000001</v>
      </c>
    </row>
    <row r="162">
      <c r="A162" s="7" t="n">
        <v>46280.4778358449</v>
      </c>
      <c r="B162" s="7" t="n">
        <v>46280.41666666666</v>
      </c>
      <c r="C162" s="2" t="n">
        <v>442</v>
      </c>
      <c r="D162" s="2" t="n">
        <v>0</v>
      </c>
      <c r="E162" s="2" t="n">
        <v>0</v>
      </c>
      <c r="F162" s="2" t="n">
        <v>0</v>
      </c>
      <c r="G162" s="2" t="n">
        <v>61.2</v>
      </c>
    </row>
    <row r="163">
      <c r="A163" s="7" t="n">
        <v>46280.39795681713</v>
      </c>
      <c r="B163" s="7" t="n">
        <v>46280.33333333334</v>
      </c>
      <c r="C163" s="2" t="n">
        <v>442</v>
      </c>
      <c r="D163" s="2" t="n">
        <v>0</v>
      </c>
      <c r="E163" s="2" t="n">
        <v>0</v>
      </c>
      <c r="F163" s="2" t="n">
        <v>0</v>
      </c>
      <c r="G163" s="2" t="n">
        <v>66.90000000000001</v>
      </c>
    </row>
    <row r="164">
      <c r="A164" s="7" t="n">
        <v>46280.29983445602</v>
      </c>
      <c r="B164" s="7" t="n">
        <v>46280.25</v>
      </c>
      <c r="C164" s="2" t="n">
        <v>442</v>
      </c>
      <c r="D164" s="2" t="n">
        <v>0</v>
      </c>
      <c r="E164" s="2" t="n">
        <v>0</v>
      </c>
      <c r="F164" s="2" t="n">
        <v>0</v>
      </c>
      <c r="G164" s="2" t="n">
        <v>51.6</v>
      </c>
    </row>
    <row r="165">
      <c r="A165" s="7" t="n">
        <v>46280.14350143519</v>
      </c>
      <c r="B165" s="7" t="n">
        <v>46280.08333333334</v>
      </c>
      <c r="C165" s="2" t="n">
        <v>442</v>
      </c>
      <c r="D165" s="2" t="n">
        <v>0</v>
      </c>
      <c r="E165" s="2" t="n">
        <v>0</v>
      </c>
      <c r="F165" s="2" t="n">
        <v>0</v>
      </c>
      <c r="G165" s="2" t="n">
        <v>57.3</v>
      </c>
    </row>
    <row r="166">
      <c r="A166" s="7" t="n">
        <v>46279.92418226852</v>
      </c>
      <c r="B166" s="7" t="n">
        <v>46279.875</v>
      </c>
      <c r="C166" s="2" t="n">
        <v>442</v>
      </c>
      <c r="D166" s="2" t="n">
        <v>0</v>
      </c>
      <c r="E166" s="2" t="n">
        <v>0</v>
      </c>
      <c r="F166" s="2" t="n">
        <v>0</v>
      </c>
      <c r="G166" s="2" t="n">
        <v>48.1</v>
      </c>
    </row>
    <row r="167">
      <c r="A167" s="7" t="n">
        <v>46279.59996445602</v>
      </c>
      <c r="B167" s="7" t="n">
        <v>46279.54166666666</v>
      </c>
      <c r="C167" s="2" t="n">
        <v>442</v>
      </c>
      <c r="D167" s="2" t="n">
        <v>0</v>
      </c>
      <c r="E167" s="2" t="n">
        <v>0</v>
      </c>
      <c r="F167" s="2" t="n">
        <v>0</v>
      </c>
      <c r="G167" s="2" t="n">
        <v>61</v>
      </c>
    </row>
    <row r="168">
      <c r="A168" s="7" t="n">
        <v>46279.38316741898</v>
      </c>
      <c r="B168" s="7" t="n">
        <v>46279.33333333334</v>
      </c>
      <c r="C168" s="2" t="n">
        <v>442</v>
      </c>
      <c r="D168" s="2" t="n">
        <v>0</v>
      </c>
      <c r="E168" s="2" t="n">
        <v>0</v>
      </c>
      <c r="F168" s="2" t="n">
        <v>0</v>
      </c>
      <c r="G168" s="2" t="n">
        <v>59.9</v>
      </c>
    </row>
    <row r="169">
      <c r="A169" s="7" t="n">
        <v>46279.26932584491</v>
      </c>
      <c r="B169" s="7" t="n">
        <v>46279.20833333334</v>
      </c>
      <c r="C169" s="2" t="n">
        <v>442</v>
      </c>
      <c r="D169" s="2" t="n">
        <v>0</v>
      </c>
      <c r="E169" s="2" t="n">
        <v>0</v>
      </c>
      <c r="F169" s="2" t="n">
        <v>0</v>
      </c>
      <c r="G169" s="2" t="n">
        <v>61.1</v>
      </c>
    </row>
    <row r="170">
      <c r="A170" s="7" t="n">
        <v>46279.14665413195</v>
      </c>
      <c r="B170" s="7" t="n">
        <v>46279.08333333334</v>
      </c>
      <c r="C170" s="2" t="n">
        <v>442</v>
      </c>
      <c r="D170" s="2" t="n">
        <v>0</v>
      </c>
      <c r="E170" s="2" t="n">
        <v>0</v>
      </c>
      <c r="F170" s="2" t="n">
        <v>0</v>
      </c>
      <c r="G170" s="2" t="n">
        <v>55.1</v>
      </c>
    </row>
    <row r="171">
      <c r="A171" s="7" t="n">
        <v>46279.01733591435</v>
      </c>
      <c r="B171" s="7" t="n">
        <v>46278.95833333334</v>
      </c>
      <c r="C171" s="2" t="n">
        <v>442</v>
      </c>
      <c r="D171" s="2" t="n">
        <v>0</v>
      </c>
      <c r="E171" s="2" t="n">
        <v>0</v>
      </c>
      <c r="F171" s="2" t="n">
        <v>0</v>
      </c>
      <c r="G171" s="2" t="n">
        <v>59.7</v>
      </c>
    </row>
    <row r="172">
      <c r="A172" s="7" t="n">
        <v>46278.83725055555</v>
      </c>
      <c r="B172" s="7" t="n">
        <v>46278.79166666666</v>
      </c>
      <c r="C172" s="2" t="n">
        <v>442</v>
      </c>
      <c r="D172" s="2" t="n">
        <v>0</v>
      </c>
      <c r="E172" s="2" t="n">
        <v>0</v>
      </c>
      <c r="F172" s="2" t="n">
        <v>0</v>
      </c>
      <c r="G172" s="2" t="n">
        <v>65.40000000000001</v>
      </c>
    </row>
    <row r="173">
      <c r="A173" s="7" t="n">
        <v>46278.71111972223</v>
      </c>
      <c r="B173" s="7" t="n">
        <v>46278.66666666666</v>
      </c>
      <c r="C173" s="2" t="n">
        <v>442</v>
      </c>
      <c r="D173" s="2" t="n">
        <v>0</v>
      </c>
      <c r="E173" s="2" t="n">
        <v>0</v>
      </c>
      <c r="F173" s="2" t="n">
        <v>0</v>
      </c>
      <c r="G173" s="2" t="n">
        <v>63.6</v>
      </c>
    </row>
    <row r="174">
      <c r="A174" s="7" t="n">
        <v>46278.68053923611</v>
      </c>
      <c r="B174" s="7" t="n">
        <v>46278.625</v>
      </c>
      <c r="C174" s="2" t="n">
        <v>442</v>
      </c>
      <c r="D174" s="2" t="n">
        <v>0</v>
      </c>
      <c r="E174" s="2" t="n">
        <v>0</v>
      </c>
      <c r="F174" s="2" t="n">
        <v>0</v>
      </c>
      <c r="G174" s="2" t="n">
        <v>63.6</v>
      </c>
    </row>
    <row r="175">
      <c r="A175" s="7" t="n">
        <v>46278.07354997685</v>
      </c>
      <c r="B175" s="7" t="n">
        <v>46278</v>
      </c>
      <c r="C175" s="2" t="n">
        <v>442</v>
      </c>
      <c r="D175" s="2" t="n">
        <v>0</v>
      </c>
      <c r="E175" s="2" t="n">
        <v>0</v>
      </c>
      <c r="F175" s="2" t="n">
        <v>0</v>
      </c>
      <c r="G175" s="2" t="n">
        <v>50.2</v>
      </c>
    </row>
    <row r="176">
      <c r="A176" s="7" t="n">
        <v>46277.94390239583</v>
      </c>
      <c r="B176" s="7" t="n">
        <v>46277.875</v>
      </c>
      <c r="C176" s="2" t="n">
        <v>442</v>
      </c>
      <c r="D176" s="2" t="n">
        <v>0</v>
      </c>
      <c r="E176" s="2" t="n">
        <v>0</v>
      </c>
      <c r="F176" s="2" t="n">
        <v>0</v>
      </c>
      <c r="G176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資金明細!R96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MAX(資金明細!$R$2:$R$96)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MIN(資金明細!$R$2:$R$96)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MIN(資金明細!$X$2:$X$96)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COUNTIFS(資金明細!$C$2:$C$96,"進場",資金明細!$N$2:$N$96,"已下單")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COUNTIFS(資金明細!$C$2:$C$96,"進場",資金明細!$N$2:$N$96,"資金不足略過")</f>
        <v/>
      </c>
    </row>
    <row r="11">
      <c r="D11" s="2" t="inlineStr">
        <is>
          <t>止盈筆數</t>
        </is>
      </c>
      <c r="E11" s="15">
        <f>COUNTIFS(資金明細!$C$2:$C$96,"出場",資金明細!$N$2:$N$96,"已下單",資金明細!$K$2:$K$96,"止盈")</f>
        <v/>
      </c>
    </row>
    <row r="12">
      <c r="A12" s="2" t="inlineStr">
        <is>
          <t>每筆止損約虧本金</t>
        </is>
      </c>
      <c r="B12" s="4">
        <f>B5*B7*IFERROR(AVERAGE(交易明細!$AB$2:$AB$48),參數!B6)</f>
        <v/>
      </c>
      <c r="D12" s="2" t="inlineStr">
        <is>
          <t>止損筆數</t>
        </is>
      </c>
      <c r="E12" s="15">
        <f>COUNTIFS(資金明細!$C$2:$C$96,"出場",資金明細!$N$2:$N$96,"已下單",資金明細!$K$2:$K$96,"止損")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IFERROR(E11/COUNTIFS(資金明細!$C$2:$C$96,"出場",資金明細!$N$2:$N$96,"已下單"),0)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MAX(資金明細!$U$2:$U$96)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MAX(資金明細!$S$2:$S$96)</f>
        <v/>
      </c>
    </row>
    <row r="16">
      <c r="D16" s="2" t="inlineStr">
        <is>
          <t>期末下單金額</t>
        </is>
      </c>
      <c r="E16" s="16">
        <f>B5*資金明細!V96</f>
        <v/>
      </c>
    </row>
    <row r="17">
      <c r="D17" s="2" t="inlineStr">
        <is>
          <t>未平倉浮動損益（未計入）</t>
        </is>
      </c>
      <c r="E17" s="10">
        <f>0</f>
        <v/>
      </c>
    </row>
    <row r="18">
      <c r="D18" s="2" t="inlineStr">
        <is>
          <t>最大總曝險倍數</t>
        </is>
      </c>
      <c r="E18" s="16">
        <f>MAX(資金明細!$Y$2:$Y$96)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IFERROR(INDEX(資金明細!$B$2:$B$96,MATCH(1,資金明細!$Z$2:$Z$96,0)),"未觸發")</f>
        <v/>
      </c>
    </row>
    <row r="21">
      <c r="D21" s="2" t="inlineStr">
        <is>
          <t>停止後略過筆數</t>
        </is>
      </c>
      <c r="E21" s="15">
        <f>COUNTIFS(資金明細!$C$2:$C$96,"進場",資金明細!$N$2:$N$96,"已停止")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46289.59513888889</v>
      </c>
      <c r="C3" s="2" t="inlineStr">
        <is>
          <t>進場</t>
        </is>
      </c>
      <c r="D3" s="2" t="n">
        <v>1</v>
      </c>
      <c r="E3" s="2" t="inlineStr">
        <is>
          <t>NOM_USDT_PERP</t>
        </is>
      </c>
      <c r="F3" s="2" t="inlineStr">
        <is>
          <t>做空</t>
        </is>
      </c>
      <c r="G3" s="17" t="n">
        <v>0.002779</v>
      </c>
      <c r="H3" s="17" t="n">
        <v>0.00269563</v>
      </c>
      <c r="I3" s="17" t="n">
        <v>0.00291795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46289.6</v>
      </c>
      <c r="C4" s="2" t="inlineStr">
        <is>
          <t>出場</t>
        </is>
      </c>
      <c r="D4" s="2" t="n">
        <v>1</v>
      </c>
      <c r="E4" s="2" t="inlineStr">
        <is>
          <t>NOM_USDT_PERP</t>
        </is>
      </c>
      <c r="F4" s="2" t="inlineStr">
        <is>
          <t>做空</t>
        </is>
      </c>
      <c r="G4" s="17" t="n">
        <v>0.002779</v>
      </c>
      <c r="H4" s="17" t="n">
        <v>0.00269563</v>
      </c>
      <c r="I4" s="17" t="n">
        <v>0.00291795</v>
      </c>
      <c r="J4" s="17" t="n">
        <v>0.00269563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46289.8</v>
      </c>
      <c r="C5" s="2" t="inlineStr">
        <is>
          <t>進場</t>
        </is>
      </c>
      <c r="D5" s="2" t="n">
        <v>2</v>
      </c>
      <c r="E5" s="2" t="inlineStr">
        <is>
          <t>BROCCOLI_USDT_PERP</t>
        </is>
      </c>
      <c r="F5" s="2" t="inlineStr">
        <is>
          <t>做空</t>
        </is>
      </c>
      <c r="G5" s="17" t="n">
        <v>0.02867</v>
      </c>
      <c r="H5" s="17" t="n">
        <v>0.0278099</v>
      </c>
      <c r="I5" s="17" t="n">
        <v>0.0301035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46289.81041666667</v>
      </c>
      <c r="C6" s="2" t="inlineStr">
        <is>
          <t>進場</t>
        </is>
      </c>
      <c r="D6" s="2" t="n">
        <v>3</v>
      </c>
      <c r="E6" s="2" t="inlineStr">
        <is>
          <t>AGT_USDT_PERP</t>
        </is>
      </c>
      <c r="F6" s="2" t="inlineStr">
        <is>
          <t>做空</t>
        </is>
      </c>
      <c r="G6" s="17" t="n">
        <v>0.019584</v>
      </c>
      <c r="H6" s="17" t="n">
        <v>0.01899648</v>
      </c>
      <c r="I6" s="17" t="n">
        <v>0.0205632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46289.83541666667</v>
      </c>
      <c r="C7" s="2" t="inlineStr">
        <is>
          <t>進場</t>
        </is>
      </c>
      <c r="D7" s="2" t="n">
        <v>4</v>
      </c>
      <c r="E7" s="2" t="inlineStr">
        <is>
          <t>PHA_USDT_PERP</t>
        </is>
      </c>
      <c r="F7" s="2" t="inlineStr">
        <is>
          <t>做空</t>
        </is>
      </c>
      <c r="G7" s="17" t="n">
        <v>0.05098</v>
      </c>
      <c r="H7" s="17" t="n">
        <v>0.0494506</v>
      </c>
      <c r="I7" s="17" t="n">
        <v>0.053529</v>
      </c>
      <c r="J7" s="17" t="n"/>
      <c r="K7" s="2" t="n"/>
      <c r="L7" s="5" t="n"/>
      <c r="M7" s="16">
        <f>資金模擬!$B$5*V6</f>
        <v/>
      </c>
      <c r="N7" s="2">
        <f>IF(Z6=1,"已停止",IF(T6&gt;=M7,"已下單","資金不足略過"))</f>
        <v/>
      </c>
      <c r="O7" s="16">
        <f>IF(N7="已下單",M7*資金模擬!$B$7,0)</f>
        <v/>
      </c>
      <c r="P7" s="4" t="n"/>
      <c r="Q7" s="10" t="n">
        <v>0</v>
      </c>
      <c r="R7" s="10">
        <f>R6+Q7</f>
        <v/>
      </c>
      <c r="S7" s="16">
        <f>S6+IF(N7="已下單",M7,0)</f>
        <v/>
      </c>
      <c r="T7" s="16">
        <f>R7-S7</f>
        <v/>
      </c>
      <c r="U7" s="2">
        <f>U6+IF(N7="已下單",1,0)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46289.84652777778</v>
      </c>
      <c r="C8" s="2" t="inlineStr">
        <is>
          <t>出場</t>
        </is>
      </c>
      <c r="D8" s="2" t="n">
        <v>4</v>
      </c>
      <c r="E8" s="2" t="inlineStr">
        <is>
          <t>PHA_USDT_PERP</t>
        </is>
      </c>
      <c r="F8" s="2" t="inlineStr">
        <is>
          <t>做空</t>
        </is>
      </c>
      <c r="G8" s="17" t="n">
        <v>0.05098</v>
      </c>
      <c r="H8" s="17" t="n">
        <v>0.0494506</v>
      </c>
      <c r="I8" s="17" t="n">
        <v>0.053529</v>
      </c>
      <c r="J8" s="17" t="n">
        <v>0.053529</v>
      </c>
      <c r="K8" s="2" t="inlineStr">
        <is>
          <t>止損</t>
        </is>
      </c>
      <c r="L8" s="5">
        <f>交易明細!K5</f>
        <v/>
      </c>
      <c r="M8" s="16">
        <f>M7</f>
        <v/>
      </c>
      <c r="N8" s="2">
        <f>N7</f>
        <v/>
      </c>
      <c r="O8" s="16">
        <f>O7</f>
        <v/>
      </c>
      <c r="P8" s="4">
        <f>交易明細!L5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46289.85347222222</v>
      </c>
      <c r="C9" s="2" t="inlineStr">
        <is>
          <t>出場</t>
        </is>
      </c>
      <c r="D9" s="2" t="n">
        <v>2</v>
      </c>
      <c r="E9" s="2" t="inlineStr">
        <is>
          <t>BROCCOLI_USDT_PERP</t>
        </is>
      </c>
      <c r="F9" s="2" t="inlineStr">
        <is>
          <t>做空</t>
        </is>
      </c>
      <c r="G9" s="17" t="n">
        <v>0.02867</v>
      </c>
      <c r="H9" s="17" t="n">
        <v>0.0278099</v>
      </c>
      <c r="I9" s="17" t="n">
        <v>0.0301035</v>
      </c>
      <c r="J9" s="17" t="n">
        <v>0.0301035</v>
      </c>
      <c r="K9" s="2" t="inlineStr">
        <is>
          <t>止損</t>
        </is>
      </c>
      <c r="L9" s="5">
        <f>交易明細!K3</f>
        <v/>
      </c>
      <c r="M9" s="16">
        <f>M5</f>
        <v/>
      </c>
      <c r="N9" s="2">
        <f>N5</f>
        <v/>
      </c>
      <c r="O9" s="16">
        <f>O5</f>
        <v/>
      </c>
      <c r="P9" s="4">
        <f>交易明細!L3</f>
        <v/>
      </c>
      <c r="Q9" s="10">
        <f>IF(N9="已下單",O9*P9,0)</f>
        <v/>
      </c>
      <c r="R9" s="10">
        <f>R8+Q9</f>
        <v/>
      </c>
      <c r="S9" s="16">
        <f>S8-IF(N9="已下單",M9,0)</f>
        <v/>
      </c>
      <c r="T9" s="16">
        <f>R9-S9</f>
        <v/>
      </c>
      <c r="U9" s="2">
        <f>U8-IF(N9="已下單",1,0)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46289.94236111111</v>
      </c>
      <c r="C10" s="2" t="inlineStr">
        <is>
          <t>進場</t>
        </is>
      </c>
      <c r="D10" s="2" t="n">
        <v>5</v>
      </c>
      <c r="E10" s="2" t="inlineStr">
        <is>
          <t>BB_USDT_PERP</t>
        </is>
      </c>
      <c r="F10" s="2" t="inlineStr">
        <is>
          <t>做空</t>
        </is>
      </c>
      <c r="G10" s="17" t="n">
        <v>0.01095</v>
      </c>
      <c r="H10" s="17" t="n">
        <v>0.0106215</v>
      </c>
      <c r="I10" s="17" t="n">
        <v>0.0114975</v>
      </c>
      <c r="J10" s="17" t="n"/>
      <c r="K10" s="2" t="n"/>
      <c r="L10" s="5" t="n"/>
      <c r="M10" s="16">
        <f>資金模擬!$B$5*V9</f>
        <v/>
      </c>
      <c r="N10" s="2">
        <f>IF(Z9=1,"已停止",IF(T9&gt;=M10,"已下單","資金不足略過"))</f>
        <v/>
      </c>
      <c r="O10" s="16">
        <f>IF(N10="已下單",M10*資金模擬!$B$7,0)</f>
        <v/>
      </c>
      <c r="P10" s="4" t="n"/>
      <c r="Q10" s="10" t="n">
        <v>0</v>
      </c>
      <c r="R10" s="10">
        <f>R9+Q10</f>
        <v/>
      </c>
      <c r="S10" s="16">
        <f>S9+IF(N10="已下單",M10,0)</f>
        <v/>
      </c>
      <c r="T10" s="16">
        <f>R10-S10</f>
        <v/>
      </c>
      <c r="U10" s="2">
        <f>U9+IF(N10="已下單",1,0)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46289.97430555556</v>
      </c>
      <c r="C11" s="2" t="inlineStr">
        <is>
          <t>出場</t>
        </is>
      </c>
      <c r="D11" s="2" t="n">
        <v>3</v>
      </c>
      <c r="E11" s="2" t="inlineStr">
        <is>
          <t>AGT_USDT_PERP</t>
        </is>
      </c>
      <c r="F11" s="2" t="inlineStr">
        <is>
          <t>做空</t>
        </is>
      </c>
      <c r="G11" s="17" t="n">
        <v>0.019584</v>
      </c>
      <c r="H11" s="17" t="n">
        <v>0.01899648</v>
      </c>
      <c r="I11" s="17" t="n">
        <v>0.0205632</v>
      </c>
      <c r="J11" s="17" t="n">
        <v>0.01899648</v>
      </c>
      <c r="K11" s="2" t="inlineStr">
        <is>
          <t>止盈</t>
        </is>
      </c>
      <c r="L11" s="5">
        <f>交易明細!K4</f>
        <v/>
      </c>
      <c r="M11" s="16">
        <f>M6</f>
        <v/>
      </c>
      <c r="N11" s="2">
        <f>N6</f>
        <v/>
      </c>
      <c r="O11" s="16">
        <f>O6</f>
        <v/>
      </c>
      <c r="P11" s="4">
        <f>交易明細!L4</f>
        <v/>
      </c>
      <c r="Q11" s="10">
        <f>IF(N11="已下單",O11*P11,0)</f>
        <v/>
      </c>
      <c r="R11" s="10">
        <f>R10+Q11</f>
        <v/>
      </c>
      <c r="S11" s="16">
        <f>S10-IF(N11="已下單",M11,0)</f>
        <v/>
      </c>
      <c r="T11" s="16">
        <f>R11-S11</f>
        <v/>
      </c>
      <c r="U11" s="2">
        <f>U10-IF(N11="已下單",1,0)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46289.99236111111</v>
      </c>
      <c r="C12" s="2" t="inlineStr">
        <is>
          <t>出場</t>
        </is>
      </c>
      <c r="D12" s="2" t="n">
        <v>5</v>
      </c>
      <c r="E12" s="2" t="inlineStr">
        <is>
          <t>BB_USDT_PERP</t>
        </is>
      </c>
      <c r="F12" s="2" t="inlineStr">
        <is>
          <t>做空</t>
        </is>
      </c>
      <c r="G12" s="17" t="n">
        <v>0.01095</v>
      </c>
      <c r="H12" s="17" t="n">
        <v>0.0106215</v>
      </c>
      <c r="I12" s="17" t="n">
        <v>0.0114975</v>
      </c>
      <c r="J12" s="17" t="n">
        <v>0.0106215</v>
      </c>
      <c r="K12" s="2" t="inlineStr">
        <is>
          <t>止盈</t>
        </is>
      </c>
      <c r="L12" s="5">
        <f>交易明細!K6</f>
        <v/>
      </c>
      <c r="M12" s="16">
        <f>M10</f>
        <v/>
      </c>
      <c r="N12" s="2">
        <f>N10</f>
        <v/>
      </c>
      <c r="O12" s="16">
        <f>O10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46290.01111111111</v>
      </c>
      <c r="C13" s="2" t="inlineStr">
        <is>
          <t>進場</t>
        </is>
      </c>
      <c r="D13" s="2" t="n">
        <v>6</v>
      </c>
      <c r="E13" s="2" t="inlineStr">
        <is>
          <t>RIVER_USDT_PERP</t>
        </is>
      </c>
      <c r="F13" s="2" t="inlineStr">
        <is>
          <t>做空</t>
        </is>
      </c>
      <c r="G13" s="17" t="n">
        <v>1.278</v>
      </c>
      <c r="H13" s="17" t="n">
        <v>1.23966</v>
      </c>
      <c r="I13" s="17" t="n">
        <v>1.3419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46290.01458333333</v>
      </c>
      <c r="C14" s="2" t="inlineStr">
        <is>
          <t>進場</t>
        </is>
      </c>
      <c r="D14" s="2" t="n">
        <v>7</v>
      </c>
      <c r="E14" s="2" t="inlineStr">
        <is>
          <t>LAB_USDT_PERP</t>
        </is>
      </c>
      <c r="F14" s="2" t="inlineStr">
        <is>
          <t>做空</t>
        </is>
      </c>
      <c r="G14" s="17" t="n">
        <v>0.06094</v>
      </c>
      <c r="H14" s="17" t="n">
        <v>0.0591118</v>
      </c>
      <c r="I14" s="17" t="n">
        <v>0.063987</v>
      </c>
      <c r="J14" s="17" t="n"/>
      <c r="K14" s="2" t="n"/>
      <c r="L14" s="5" t="n"/>
      <c r="M14" s="16">
        <f>資金模擬!$B$5*V13</f>
        <v/>
      </c>
      <c r="N14" s="2">
        <f>IF(Z13=1,"已停止",IF(T13&gt;=M14,"已下單","資金不足略過"))</f>
        <v/>
      </c>
      <c r="O14" s="16">
        <f>IF(N14="已下單",M14*資金模擬!$B$7,0)</f>
        <v/>
      </c>
      <c r="P14" s="4" t="n"/>
      <c r="Q14" s="10" t="n">
        <v>0</v>
      </c>
      <c r="R14" s="10">
        <f>R13+Q14</f>
        <v/>
      </c>
      <c r="S14" s="16">
        <f>S13+IF(N14="已下單",M14,0)</f>
        <v/>
      </c>
      <c r="T14" s="16">
        <f>R14-S14</f>
        <v/>
      </c>
      <c r="U14" s="2">
        <f>U13+IF(N14="已下單",1,0)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46290.26388888889</v>
      </c>
      <c r="C15" s="2" t="inlineStr">
        <is>
          <t>出場</t>
        </is>
      </c>
      <c r="D15" s="2" t="n">
        <v>7</v>
      </c>
      <c r="E15" s="2" t="inlineStr">
        <is>
          <t>LAB_USDT_PERP</t>
        </is>
      </c>
      <c r="F15" s="2" t="inlineStr">
        <is>
          <t>做空</t>
        </is>
      </c>
      <c r="G15" s="17" t="n">
        <v>0.06094</v>
      </c>
      <c r="H15" s="17" t="n">
        <v>0.0591118</v>
      </c>
      <c r="I15" s="17" t="n">
        <v>0.063987</v>
      </c>
      <c r="J15" s="17" t="n">
        <v>0.0591118</v>
      </c>
      <c r="K15" s="2" t="inlineStr">
        <is>
          <t>止盈</t>
        </is>
      </c>
      <c r="L15" s="5">
        <f>交易明細!K8</f>
        <v/>
      </c>
      <c r="M15" s="16">
        <f>M14</f>
        <v/>
      </c>
      <c r="N15" s="2">
        <f>N14</f>
        <v/>
      </c>
      <c r="O15" s="16">
        <f>O14</f>
        <v/>
      </c>
      <c r="P15" s="4">
        <f>交易明細!L8</f>
        <v/>
      </c>
      <c r="Q15" s="10">
        <f>IF(N15="已下單",O15*P15,0)</f>
        <v/>
      </c>
      <c r="R15" s="10">
        <f>R14+Q15</f>
        <v/>
      </c>
      <c r="S15" s="16">
        <f>S14-IF(N15="已下單",M15,0)</f>
        <v/>
      </c>
      <c r="T15" s="16">
        <f>R15-S15</f>
        <v/>
      </c>
      <c r="U15" s="2">
        <f>U14-IF(N15="已下單",1,0)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46290.3375</v>
      </c>
      <c r="C16" s="2" t="inlineStr">
        <is>
          <t>進場</t>
        </is>
      </c>
      <c r="D16" s="2" t="n">
        <v>8</v>
      </c>
      <c r="E16" s="2" t="inlineStr">
        <is>
          <t>SAGA_USDT_PERP</t>
        </is>
      </c>
      <c r="F16" s="2" t="inlineStr">
        <is>
          <t>做空</t>
        </is>
      </c>
      <c r="G16" s="17" t="n">
        <v>0.07862</v>
      </c>
      <c r="H16" s="17" t="n">
        <v>0.07626139999999999</v>
      </c>
      <c r="I16" s="17" t="n">
        <v>0.082551</v>
      </c>
      <c r="J16" s="17" t="n"/>
      <c r="K16" s="2" t="n"/>
      <c r="L16" s="5" t="n"/>
      <c r="M16" s="16">
        <f>資金模擬!$B$5*V15</f>
        <v/>
      </c>
      <c r="N16" s="2">
        <f>IF(Z15=1,"已停止",IF(T15&gt;=M16,"已下單","資金不足略過"))</f>
        <v/>
      </c>
      <c r="O16" s="16">
        <f>IF(N16="已下單",M16*資金模擬!$B$7,0)</f>
        <v/>
      </c>
      <c r="P16" s="4" t="n"/>
      <c r="Q16" s="10" t="n">
        <v>0</v>
      </c>
      <c r="R16" s="10">
        <f>R15+Q16</f>
        <v/>
      </c>
      <c r="S16" s="16">
        <f>S15+IF(N16="已下單",M16,0)</f>
        <v/>
      </c>
      <c r="T16" s="16">
        <f>R16-S16</f>
        <v/>
      </c>
      <c r="U16" s="2">
        <f>U15+IF(N16="已下單",1,0)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46290.33819444444</v>
      </c>
      <c r="C17" s="2" t="inlineStr">
        <is>
          <t>出場</t>
        </is>
      </c>
      <c r="D17" s="2" t="n">
        <v>8</v>
      </c>
      <c r="E17" s="2" t="inlineStr">
        <is>
          <t>SAGA_USDT_PERP</t>
        </is>
      </c>
      <c r="F17" s="2" t="inlineStr">
        <is>
          <t>做空</t>
        </is>
      </c>
      <c r="G17" s="17" t="n">
        <v>0.07862</v>
      </c>
      <c r="H17" s="17" t="n">
        <v>0.07626139999999999</v>
      </c>
      <c r="I17" s="17" t="n">
        <v>0.082551</v>
      </c>
      <c r="J17" s="17" t="n">
        <v>0.07626139999999999</v>
      </c>
      <c r="K17" s="2" t="inlineStr">
        <is>
          <t>止盈</t>
        </is>
      </c>
      <c r="L17" s="5">
        <f>交易明細!K9</f>
        <v/>
      </c>
      <c r="M17" s="16">
        <f>M16</f>
        <v/>
      </c>
      <c r="N17" s="2">
        <f>N16</f>
        <v/>
      </c>
      <c r="O17" s="16">
        <f>O16</f>
        <v/>
      </c>
      <c r="P17" s="4">
        <f>交易明細!L9</f>
        <v/>
      </c>
      <c r="Q17" s="10">
        <f>IF(N17="已下單",O17*P17,0)</f>
        <v/>
      </c>
      <c r="R17" s="10">
        <f>R16+Q17</f>
        <v/>
      </c>
      <c r="S17" s="16">
        <f>S16-IF(N17="已下單",M17,0)</f>
        <v/>
      </c>
      <c r="T17" s="16">
        <f>R17-S17</f>
        <v/>
      </c>
      <c r="U17" s="2">
        <f>U16-IF(N17="已下單",1,0)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46290.44930555556</v>
      </c>
      <c r="C18" s="2" t="inlineStr">
        <is>
          <t>出場</t>
        </is>
      </c>
      <c r="D18" s="2" t="n">
        <v>6</v>
      </c>
      <c r="E18" s="2" t="inlineStr">
        <is>
          <t>RIVER_USDT_PERP</t>
        </is>
      </c>
      <c r="F18" s="2" t="inlineStr">
        <is>
          <t>做空</t>
        </is>
      </c>
      <c r="G18" s="17" t="n">
        <v>1.278</v>
      </c>
      <c r="H18" s="17" t="n">
        <v>1.23966</v>
      </c>
      <c r="I18" s="17" t="n">
        <v>1.3419</v>
      </c>
      <c r="J18" s="17" t="n">
        <v>1.23966</v>
      </c>
      <c r="K18" s="2" t="inlineStr">
        <is>
          <t>止盈</t>
        </is>
      </c>
      <c r="L18" s="5">
        <f>交易明細!K7</f>
        <v/>
      </c>
      <c r="M18" s="16">
        <f>M13</f>
        <v/>
      </c>
      <c r="N18" s="2">
        <f>N13</f>
        <v/>
      </c>
      <c r="O18" s="16">
        <f>O13</f>
        <v/>
      </c>
      <c r="P18" s="4">
        <f>交易明細!L7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46290.45555555556</v>
      </c>
      <c r="C19" s="2" t="inlineStr">
        <is>
          <t>進場</t>
        </is>
      </c>
      <c r="D19" s="2" t="n">
        <v>9</v>
      </c>
      <c r="E19" s="2" t="inlineStr">
        <is>
          <t>PLAY_USDT_PERP</t>
        </is>
      </c>
      <c r="F19" s="2" t="inlineStr">
        <is>
          <t>做空</t>
        </is>
      </c>
      <c r="G19" s="17" t="n">
        <v>0.04057</v>
      </c>
      <c r="H19" s="17" t="n">
        <v>0.0393529</v>
      </c>
      <c r="I19" s="17" t="n">
        <v>0.0425985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46290.48263888889</v>
      </c>
      <c r="C20" s="2" t="inlineStr">
        <is>
          <t>出場</t>
        </is>
      </c>
      <c r="D20" s="2" t="n">
        <v>9</v>
      </c>
      <c r="E20" s="2" t="inlineStr">
        <is>
          <t>PLAY_USDT_PERP</t>
        </is>
      </c>
      <c r="F20" s="2" t="inlineStr">
        <is>
          <t>做空</t>
        </is>
      </c>
      <c r="G20" s="17" t="n">
        <v>0.04057</v>
      </c>
      <c r="H20" s="17" t="n">
        <v>0.0393529</v>
      </c>
      <c r="I20" s="17" t="n">
        <v>0.0425985</v>
      </c>
      <c r="J20" s="17" t="n">
        <v>0.0393529</v>
      </c>
      <c r="K20" s="2" t="inlineStr">
        <is>
          <t>止盈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46290.54375</v>
      </c>
      <c r="C21" s="2" t="inlineStr">
        <is>
          <t>進場</t>
        </is>
      </c>
      <c r="D21" s="2" t="n">
        <v>10</v>
      </c>
      <c r="E21" s="2" t="inlineStr">
        <is>
          <t>MOVR_USDT_PERP</t>
        </is>
      </c>
      <c r="F21" s="2" t="inlineStr">
        <is>
          <t>做空</t>
        </is>
      </c>
      <c r="G21" s="17" t="n">
        <v>0.974</v>
      </c>
      <c r="H21" s="17" t="n">
        <v>0.94478</v>
      </c>
      <c r="I21" s="17" t="n">
        <v>1.0227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46290.55763888889</v>
      </c>
      <c r="C22" s="2" t="inlineStr">
        <is>
          <t>出場</t>
        </is>
      </c>
      <c r="D22" s="2" t="n">
        <v>10</v>
      </c>
      <c r="E22" s="2" t="inlineStr">
        <is>
          <t>MOVR_USDT_PERP</t>
        </is>
      </c>
      <c r="F22" s="2" t="inlineStr">
        <is>
          <t>做空</t>
        </is>
      </c>
      <c r="G22" s="17" t="n">
        <v>0.974</v>
      </c>
      <c r="H22" s="17" t="n">
        <v>0.94478</v>
      </c>
      <c r="I22" s="17" t="n">
        <v>1.0227</v>
      </c>
      <c r="J22" s="17" t="n">
        <v>0.94478</v>
      </c>
      <c r="K22" s="2" t="inlineStr">
        <is>
          <t>止盈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46290.64305555556</v>
      </c>
      <c r="C23" s="2" t="inlineStr">
        <is>
          <t>進場</t>
        </is>
      </c>
      <c r="D23" s="2" t="n">
        <v>11</v>
      </c>
      <c r="E23" s="2" t="inlineStr">
        <is>
          <t>PHA_USDT_PERP</t>
        </is>
      </c>
      <c r="F23" s="2" t="inlineStr">
        <is>
          <t>做空</t>
        </is>
      </c>
      <c r="G23" s="17" t="n">
        <v>0.05717</v>
      </c>
      <c r="H23" s="17" t="n">
        <v>0.05545489999999999</v>
      </c>
      <c r="I23" s="17" t="n">
        <v>0.0600285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46290.66527777778</v>
      </c>
      <c r="C24" s="2" t="inlineStr">
        <is>
          <t>出場</t>
        </is>
      </c>
      <c r="D24" s="2" t="n">
        <v>11</v>
      </c>
      <c r="E24" s="2" t="inlineStr">
        <is>
          <t>PHA_USDT_PERP</t>
        </is>
      </c>
      <c r="F24" s="2" t="inlineStr">
        <is>
          <t>做空</t>
        </is>
      </c>
      <c r="G24" s="17" t="n">
        <v>0.05717</v>
      </c>
      <c r="H24" s="17" t="n">
        <v>0.05545489999999999</v>
      </c>
      <c r="I24" s="17" t="n">
        <v>0.0600285</v>
      </c>
      <c r="J24" s="17" t="n">
        <v>0.05545489999999999</v>
      </c>
      <c r="K24" s="2" t="inlineStr">
        <is>
          <t>止盈</t>
        </is>
      </c>
      <c r="L24" s="5">
        <f>交易明細!K12</f>
        <v/>
      </c>
      <c r="M24" s="16">
        <f>M23</f>
        <v/>
      </c>
      <c r="N24" s="2">
        <f>N23</f>
        <v/>
      </c>
      <c r="O24" s="16">
        <f>O23</f>
        <v/>
      </c>
      <c r="P24" s="4">
        <f>交易明細!L12</f>
        <v/>
      </c>
      <c r="Q24" s="10">
        <f>IF(N24="已下單",O24*P24,0)</f>
        <v/>
      </c>
      <c r="R24" s="10">
        <f>R23+Q24</f>
        <v/>
      </c>
      <c r="S24" s="16">
        <f>S23-IF(N24="已下單",M24,0)</f>
        <v/>
      </c>
      <c r="T24" s="16">
        <f>R24-S24</f>
        <v/>
      </c>
      <c r="U24" s="2">
        <f>U23-IF(N24="已下單",1,0)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46290.67708333334</v>
      </c>
      <c r="C25" s="2" t="inlineStr">
        <is>
          <t>進場</t>
        </is>
      </c>
      <c r="D25" s="2" t="n">
        <v>12</v>
      </c>
      <c r="E25" s="2" t="inlineStr">
        <is>
          <t>CASHCAT_USDT_PERP</t>
        </is>
      </c>
      <c r="F25" s="2" t="inlineStr">
        <is>
          <t>做空</t>
        </is>
      </c>
      <c r="G25" s="17" t="n">
        <v>0.1726</v>
      </c>
      <c r="H25" s="17" t="n">
        <v>0.167422</v>
      </c>
      <c r="I25" s="17" t="n">
        <v>0.18123</v>
      </c>
      <c r="J25" s="17" t="n"/>
      <c r="K25" s="2" t="n"/>
      <c r="L25" s="5" t="n"/>
      <c r="M25" s="16">
        <f>資金模擬!$B$5*V24</f>
        <v/>
      </c>
      <c r="N25" s="2">
        <f>IF(Z24=1,"已停止",IF(T24&gt;=M25,"已下單","資金不足略過"))</f>
        <v/>
      </c>
      <c r="O25" s="16">
        <f>IF(N25="已下單",M25*資金模擬!$B$7,0)</f>
        <v/>
      </c>
      <c r="P25" s="4" t="n"/>
      <c r="Q25" s="10" t="n">
        <v>0</v>
      </c>
      <c r="R25" s="10">
        <f>R24+Q25</f>
        <v/>
      </c>
      <c r="S25" s="16">
        <f>S24+IF(N25="已下單",M25,0)</f>
        <v/>
      </c>
      <c r="T25" s="16">
        <f>R25-S25</f>
        <v/>
      </c>
      <c r="U25" s="2">
        <f>U24+IF(N25="已下單",1,0)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46290.76041666666</v>
      </c>
      <c r="C26" s="2" t="inlineStr">
        <is>
          <t>出場</t>
        </is>
      </c>
      <c r="D26" s="2" t="n">
        <v>12</v>
      </c>
      <c r="E26" s="2" t="inlineStr">
        <is>
          <t>CASHCAT_USDT_PERP</t>
        </is>
      </c>
      <c r="F26" s="2" t="inlineStr">
        <is>
          <t>做空</t>
        </is>
      </c>
      <c r="G26" s="17" t="n">
        <v>0.1726</v>
      </c>
      <c r="H26" s="17" t="n">
        <v>0.167422</v>
      </c>
      <c r="I26" s="17" t="n">
        <v>0.18123</v>
      </c>
      <c r="J26" s="17" t="n">
        <v>0.18123</v>
      </c>
      <c r="K26" s="2" t="inlineStr">
        <is>
          <t>止損</t>
        </is>
      </c>
      <c r="L26" s="5">
        <f>交易明細!K13</f>
        <v/>
      </c>
      <c r="M26" s="16">
        <f>M25</f>
        <v/>
      </c>
      <c r="N26" s="2">
        <f>N25</f>
        <v/>
      </c>
      <c r="O26" s="16">
        <f>O25</f>
        <v/>
      </c>
      <c r="P26" s="4">
        <f>交易明細!L13</f>
        <v/>
      </c>
      <c r="Q26" s="10">
        <f>IF(N26="已下單",O26*P26,0)</f>
        <v/>
      </c>
      <c r="R26" s="10">
        <f>R25+Q26</f>
        <v/>
      </c>
      <c r="S26" s="16">
        <f>S25-IF(N26="已下單",M26,0)</f>
        <v/>
      </c>
      <c r="T26" s="16">
        <f>R26-S26</f>
        <v/>
      </c>
      <c r="U26" s="2">
        <f>U25-IF(N26="已下單",1,0)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46290.84166666667</v>
      </c>
      <c r="C27" s="2" t="inlineStr">
        <is>
          <t>進場</t>
        </is>
      </c>
      <c r="D27" s="2" t="n">
        <v>13</v>
      </c>
      <c r="E27" s="2" t="inlineStr">
        <is>
          <t>MUBARAK_USDT_PERP</t>
        </is>
      </c>
      <c r="F27" s="2" t="inlineStr">
        <is>
          <t>做空</t>
        </is>
      </c>
      <c r="G27" s="17" t="n">
        <v>0.04613</v>
      </c>
      <c r="H27" s="17" t="n">
        <v>0.0447461</v>
      </c>
      <c r="I27" s="17" t="n">
        <v>0.0484365</v>
      </c>
      <c r="J27" s="17" t="n"/>
      <c r="K27" s="2" t="n"/>
      <c r="L27" s="5" t="n"/>
      <c r="M27" s="16">
        <f>資金模擬!$B$5*V26</f>
        <v/>
      </c>
      <c r="N27" s="2">
        <f>IF(Z26=1,"已停止",IF(T26&gt;=M27,"已下單","資金不足略過"))</f>
        <v/>
      </c>
      <c r="O27" s="16">
        <f>IF(N27="已下單",M27*資金模擬!$B$7,0)</f>
        <v/>
      </c>
      <c r="P27" s="4" t="n"/>
      <c r="Q27" s="10" t="n">
        <v>0</v>
      </c>
      <c r="R27" s="10">
        <f>R26+Q27</f>
        <v/>
      </c>
      <c r="S27" s="16">
        <f>S26+IF(N27="已下單",M27,0)</f>
        <v/>
      </c>
      <c r="T27" s="16">
        <f>R27-S27</f>
        <v/>
      </c>
      <c r="U27" s="2">
        <f>U26+IF(N27="已下單",1,0)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46290.86875</v>
      </c>
      <c r="C28" s="2" t="inlineStr">
        <is>
          <t>出場</t>
        </is>
      </c>
      <c r="D28" s="2" t="n">
        <v>13</v>
      </c>
      <c r="E28" s="2" t="inlineStr">
        <is>
          <t>MUBARAK_USDT_PERP</t>
        </is>
      </c>
      <c r="F28" s="2" t="inlineStr">
        <is>
          <t>做空</t>
        </is>
      </c>
      <c r="G28" s="17" t="n">
        <v>0.04613</v>
      </c>
      <c r="H28" s="17" t="n">
        <v>0.0447461</v>
      </c>
      <c r="I28" s="17" t="n">
        <v>0.0484365</v>
      </c>
      <c r="J28" s="17" t="n">
        <v>0.0447461</v>
      </c>
      <c r="K28" s="2" t="inlineStr">
        <is>
          <t>止盈</t>
        </is>
      </c>
      <c r="L28" s="5">
        <f>交易明細!K14</f>
        <v/>
      </c>
      <c r="M28" s="16">
        <f>M27</f>
        <v/>
      </c>
      <c r="N28" s="2">
        <f>N27</f>
        <v/>
      </c>
      <c r="O28" s="16">
        <f>O27</f>
        <v/>
      </c>
      <c r="P28" s="4">
        <f>交易明細!L14</f>
        <v/>
      </c>
      <c r="Q28" s="10">
        <f>IF(N28="已下單",O28*P28,0)</f>
        <v/>
      </c>
      <c r="R28" s="10">
        <f>R27+Q28</f>
        <v/>
      </c>
      <c r="S28" s="16">
        <f>S27-IF(N28="已下單",M28,0)</f>
        <v/>
      </c>
      <c r="T28" s="16">
        <f>R28-S28</f>
        <v/>
      </c>
      <c r="U28" s="2">
        <f>U27-IF(N28="已下單",1,0)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46290.96875</v>
      </c>
      <c r="C29" s="2" t="inlineStr">
        <is>
          <t>進場</t>
        </is>
      </c>
      <c r="D29" s="2" t="n">
        <v>14</v>
      </c>
      <c r="E29" s="2" t="inlineStr">
        <is>
          <t>MOVR_USDT_PERP</t>
        </is>
      </c>
      <c r="F29" s="2" t="inlineStr">
        <is>
          <t>做空</t>
        </is>
      </c>
      <c r="G29" s="17" t="n">
        <v>1.119</v>
      </c>
      <c r="H29" s="17" t="n">
        <v>1.08543</v>
      </c>
      <c r="I29" s="17" t="n">
        <v>1.17495</v>
      </c>
      <c r="J29" s="17" t="n"/>
      <c r="K29" s="2" t="n"/>
      <c r="L29" s="5" t="n"/>
      <c r="M29" s="16">
        <f>資金模擬!$B$5*V28</f>
        <v/>
      </c>
      <c r="N29" s="2">
        <f>IF(Z28=1,"已停止",IF(T28&gt;=M29,"已下單","資金不足略過"))</f>
        <v/>
      </c>
      <c r="O29" s="16">
        <f>IF(N29="已下單",M29*資金模擬!$B$7,0)</f>
        <v/>
      </c>
      <c r="P29" s="4" t="n"/>
      <c r="Q29" s="10" t="n">
        <v>0</v>
      </c>
      <c r="R29" s="10">
        <f>R28+Q29</f>
        <v/>
      </c>
      <c r="S29" s="16">
        <f>S28+IF(N29="已下單",M29,0)</f>
        <v/>
      </c>
      <c r="T29" s="16">
        <f>R29-S29</f>
        <v/>
      </c>
      <c r="U29" s="2">
        <f>U28+IF(N29="已下單",1,0)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46290.97430555556</v>
      </c>
      <c r="C30" s="2" t="inlineStr">
        <is>
          <t>出場</t>
        </is>
      </c>
      <c r="D30" s="2" t="n">
        <v>14</v>
      </c>
      <c r="E30" s="2" t="inlineStr">
        <is>
          <t>MOVR_USDT_PERP</t>
        </is>
      </c>
      <c r="F30" s="2" t="inlineStr">
        <is>
          <t>做空</t>
        </is>
      </c>
      <c r="G30" s="17" t="n">
        <v>1.119</v>
      </c>
      <c r="H30" s="17" t="n">
        <v>1.08543</v>
      </c>
      <c r="I30" s="17" t="n">
        <v>1.17495</v>
      </c>
      <c r="J30" s="17" t="n">
        <v>1.08543</v>
      </c>
      <c r="K30" s="2" t="inlineStr">
        <is>
          <t>止盈</t>
        </is>
      </c>
      <c r="L30" s="5">
        <f>交易明細!K15</f>
        <v/>
      </c>
      <c r="M30" s="16">
        <f>M29</f>
        <v/>
      </c>
      <c r="N30" s="2">
        <f>N29</f>
        <v/>
      </c>
      <c r="O30" s="16">
        <f>O29</f>
        <v/>
      </c>
      <c r="P30" s="4">
        <f>交易明細!L15</f>
        <v/>
      </c>
      <c r="Q30" s="10">
        <f>IF(N30="已下單",O30*P30,0)</f>
        <v/>
      </c>
      <c r="R30" s="10">
        <f>R29+Q30</f>
        <v/>
      </c>
      <c r="S30" s="16">
        <f>S29-IF(N30="已下單",M30,0)</f>
        <v/>
      </c>
      <c r="T30" s="16">
        <f>R30-S30</f>
        <v/>
      </c>
      <c r="U30" s="2">
        <f>U29-IF(N30="已下單",1,0)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46291.00694444445</v>
      </c>
      <c r="C31" s="2" t="inlineStr">
        <is>
          <t>進場</t>
        </is>
      </c>
      <c r="D31" s="2" t="n">
        <v>15</v>
      </c>
      <c r="E31" s="2" t="inlineStr">
        <is>
          <t>LYN_USDT_PERP</t>
        </is>
      </c>
      <c r="F31" s="2" t="inlineStr">
        <is>
          <t>做空</t>
        </is>
      </c>
      <c r="G31" s="17" t="n">
        <v>0.04478</v>
      </c>
      <c r="H31" s="17" t="n">
        <v>0.0434366</v>
      </c>
      <c r="I31" s="17" t="n">
        <v>0.04701900000000001</v>
      </c>
      <c r="J31" s="17" t="n"/>
      <c r="K31" s="2" t="n"/>
      <c r="L31" s="5" t="n"/>
      <c r="M31" s="16">
        <f>資金模擬!$B$5*V30</f>
        <v/>
      </c>
      <c r="N31" s="2">
        <f>IF(Z30=1,"已停止",IF(T30&gt;=M31,"已下單","資金不足略過"))</f>
        <v/>
      </c>
      <c r="O31" s="16">
        <f>IF(N31="已下單",M31*資金模擬!$B$7,0)</f>
        <v/>
      </c>
      <c r="P31" s="4" t="n"/>
      <c r="Q31" s="10" t="n">
        <v>0</v>
      </c>
      <c r="R31" s="10">
        <f>R30+Q31</f>
        <v/>
      </c>
      <c r="S31" s="16">
        <f>S30+IF(N31="已下單",M31,0)</f>
        <v/>
      </c>
      <c r="T31" s="16">
        <f>R31-S31</f>
        <v/>
      </c>
      <c r="U31" s="2">
        <f>U30+IF(N31="已下單",1,0)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46291.00833333333</v>
      </c>
      <c r="C32" s="2" t="inlineStr">
        <is>
          <t>出場</t>
        </is>
      </c>
      <c r="D32" s="2" t="n">
        <v>15</v>
      </c>
      <c r="E32" s="2" t="inlineStr">
        <is>
          <t>LYN_USDT_PERP</t>
        </is>
      </c>
      <c r="F32" s="2" t="inlineStr">
        <is>
          <t>做空</t>
        </is>
      </c>
      <c r="G32" s="17" t="n">
        <v>0.04478</v>
      </c>
      <c r="H32" s="17" t="n">
        <v>0.0434366</v>
      </c>
      <c r="I32" s="17" t="n">
        <v>0.04701900000000001</v>
      </c>
      <c r="J32" s="17" t="n">
        <v>0.0434366</v>
      </c>
      <c r="K32" s="2" t="inlineStr">
        <is>
          <t>止盈</t>
        </is>
      </c>
      <c r="L32" s="5">
        <f>交易明細!K16</f>
        <v/>
      </c>
      <c r="M32" s="16">
        <f>M31</f>
        <v/>
      </c>
      <c r="N32" s="2">
        <f>N31</f>
        <v/>
      </c>
      <c r="O32" s="16">
        <f>O31</f>
        <v/>
      </c>
      <c r="P32" s="4">
        <f>交易明細!L16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46291.00833333333</v>
      </c>
      <c r="C33" s="2" t="inlineStr">
        <is>
          <t>進場</t>
        </is>
      </c>
      <c r="D33" s="2" t="n">
        <v>16</v>
      </c>
      <c r="E33" s="2" t="inlineStr">
        <is>
          <t>SPK_USDT_PERP</t>
        </is>
      </c>
      <c r="F33" s="2" t="inlineStr">
        <is>
          <t>做空</t>
        </is>
      </c>
      <c r="G33" s="17" t="n">
        <v>0.0245</v>
      </c>
      <c r="H33" s="17" t="n">
        <v>0.023765</v>
      </c>
      <c r="I33" s="17" t="n">
        <v>0.025725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46291.01805555556</v>
      </c>
      <c r="C34" s="2" t="inlineStr">
        <is>
          <t>出場</t>
        </is>
      </c>
      <c r="D34" s="2" t="n">
        <v>16</v>
      </c>
      <c r="E34" s="2" t="inlineStr">
        <is>
          <t>SPK_USDT_PERP</t>
        </is>
      </c>
      <c r="F34" s="2" t="inlineStr">
        <is>
          <t>做空</t>
        </is>
      </c>
      <c r="G34" s="17" t="n">
        <v>0.0245</v>
      </c>
      <c r="H34" s="17" t="n">
        <v>0.023765</v>
      </c>
      <c r="I34" s="17" t="n">
        <v>0.025725</v>
      </c>
      <c r="J34" s="17" t="n">
        <v>0.025725</v>
      </c>
      <c r="K34" s="2" t="inlineStr">
        <is>
          <t>止損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46291.05</v>
      </c>
      <c r="C35" s="2" t="inlineStr">
        <is>
          <t>進場</t>
        </is>
      </c>
      <c r="D35" s="2" t="n">
        <v>17</v>
      </c>
      <c r="E35" s="2" t="inlineStr">
        <is>
          <t>LYN_USDT_PERP</t>
        </is>
      </c>
      <c r="F35" s="2" t="inlineStr">
        <is>
          <t>做空</t>
        </is>
      </c>
      <c r="G35" s="17" t="n">
        <v>0.07316</v>
      </c>
      <c r="H35" s="17" t="n">
        <v>0.07096520000000001</v>
      </c>
      <c r="I35" s="17" t="n">
        <v>0.07681800000000001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46291.05069444444</v>
      </c>
      <c r="C36" s="2" t="inlineStr">
        <is>
          <t>出場</t>
        </is>
      </c>
      <c r="D36" s="2" t="n">
        <v>17</v>
      </c>
      <c r="E36" s="2" t="inlineStr">
        <is>
          <t>LYN_USDT_PERP</t>
        </is>
      </c>
      <c r="F36" s="2" t="inlineStr">
        <is>
          <t>做空</t>
        </is>
      </c>
      <c r="G36" s="17" t="n">
        <v>0.07316</v>
      </c>
      <c r="H36" s="17" t="n">
        <v>0.07096520000000001</v>
      </c>
      <c r="I36" s="17" t="n">
        <v>0.07681800000000001</v>
      </c>
      <c r="J36" s="17" t="n">
        <v>0.07096520000000001</v>
      </c>
      <c r="K36" s="2" t="inlineStr">
        <is>
          <t>止盈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46291.59166666667</v>
      </c>
      <c r="C37" s="2" t="inlineStr">
        <is>
          <t>進場</t>
        </is>
      </c>
      <c r="D37" s="2" t="n">
        <v>18</v>
      </c>
      <c r="E37" s="2" t="inlineStr">
        <is>
          <t>2Z_USDT_PERP</t>
        </is>
      </c>
      <c r="F37" s="2" t="inlineStr">
        <is>
          <t>做空</t>
        </is>
      </c>
      <c r="G37" s="17" t="n">
        <v>0.06308999999999999</v>
      </c>
      <c r="H37" s="17" t="n">
        <v>0.06119729999999999</v>
      </c>
      <c r="I37" s="17" t="n">
        <v>0.0662445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46291.59513888889</v>
      </c>
      <c r="C38" s="2" t="inlineStr">
        <is>
          <t>出場</t>
        </is>
      </c>
      <c r="D38" s="2" t="n">
        <v>18</v>
      </c>
      <c r="E38" s="2" t="inlineStr">
        <is>
          <t>2Z_USDT_PERP</t>
        </is>
      </c>
      <c r="F38" s="2" t="inlineStr">
        <is>
          <t>做空</t>
        </is>
      </c>
      <c r="G38" s="17" t="n">
        <v>0.06308999999999999</v>
      </c>
      <c r="H38" s="17" t="n">
        <v>0.06119729999999999</v>
      </c>
      <c r="I38" s="17" t="n">
        <v>0.0662445</v>
      </c>
      <c r="J38" s="17" t="n">
        <v>0.0662445</v>
      </c>
      <c r="K38" s="2" t="inlineStr">
        <is>
          <t>止損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46291.62777777778</v>
      </c>
      <c r="C39" s="2" t="inlineStr">
        <is>
          <t>進場</t>
        </is>
      </c>
      <c r="D39" s="2" t="n">
        <v>19</v>
      </c>
      <c r="E39" s="2" t="inlineStr">
        <is>
          <t>Q_USDT_PERP</t>
        </is>
      </c>
      <c r="F39" s="2" t="inlineStr">
        <is>
          <t>做空</t>
        </is>
      </c>
      <c r="G39" s="17" t="n">
        <v>0.03002</v>
      </c>
      <c r="H39" s="17" t="n">
        <v>0.0291194</v>
      </c>
      <c r="I39" s="17" t="n">
        <v>0.031521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46291.64236111111</v>
      </c>
      <c r="C40" s="2" t="inlineStr">
        <is>
          <t>出場</t>
        </is>
      </c>
      <c r="D40" s="2" t="n">
        <v>19</v>
      </c>
      <c r="E40" s="2" t="inlineStr">
        <is>
          <t>Q_USDT_PERP</t>
        </is>
      </c>
      <c r="F40" s="2" t="inlineStr">
        <is>
          <t>做空</t>
        </is>
      </c>
      <c r="G40" s="17" t="n">
        <v>0.03002</v>
      </c>
      <c r="H40" s="17" t="n">
        <v>0.0291194</v>
      </c>
      <c r="I40" s="17" t="n">
        <v>0.031521</v>
      </c>
      <c r="J40" s="17" t="n">
        <v>0.031521</v>
      </c>
      <c r="K40" s="2" t="inlineStr">
        <is>
          <t>止損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46291.72638888889</v>
      </c>
      <c r="C41" s="2" t="inlineStr">
        <is>
          <t>進場</t>
        </is>
      </c>
      <c r="D41" s="2" t="n">
        <v>20</v>
      </c>
      <c r="E41" s="2" t="inlineStr">
        <is>
          <t>2Z_USDT_PERP</t>
        </is>
      </c>
      <c r="F41" s="2" t="inlineStr">
        <is>
          <t>做空</t>
        </is>
      </c>
      <c r="G41" s="17" t="n">
        <v>0.07753</v>
      </c>
      <c r="H41" s="17" t="n">
        <v>0.0752041</v>
      </c>
      <c r="I41" s="17" t="n">
        <v>0.08140650000000001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46291.74375</v>
      </c>
      <c r="C42" s="2" t="inlineStr">
        <is>
          <t>出場</t>
        </is>
      </c>
      <c r="D42" s="2" t="n">
        <v>20</v>
      </c>
      <c r="E42" s="2" t="inlineStr">
        <is>
          <t>2Z_USDT_PERP</t>
        </is>
      </c>
      <c r="F42" s="2" t="inlineStr">
        <is>
          <t>做空</t>
        </is>
      </c>
      <c r="G42" s="17" t="n">
        <v>0.07753</v>
      </c>
      <c r="H42" s="17" t="n">
        <v>0.0752041</v>
      </c>
      <c r="I42" s="17" t="n">
        <v>0.08140650000000001</v>
      </c>
      <c r="J42" s="17" t="n">
        <v>0.0752041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46291.93402777778</v>
      </c>
      <c r="C43" s="2" t="inlineStr">
        <is>
          <t>進場</t>
        </is>
      </c>
      <c r="D43" s="2" t="n">
        <v>21</v>
      </c>
      <c r="E43" s="2" t="inlineStr">
        <is>
          <t>US_USDT_PERP</t>
        </is>
      </c>
      <c r="F43" s="2" t="inlineStr">
        <is>
          <t>做空</t>
        </is>
      </c>
      <c r="G43" s="17" t="n">
        <v>0.02532</v>
      </c>
      <c r="H43" s="17" t="n">
        <v>0.0245604</v>
      </c>
      <c r="I43" s="17" t="n">
        <v>0.026586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46291.96041666667</v>
      </c>
      <c r="C44" s="2" t="inlineStr">
        <is>
          <t>出場</t>
        </is>
      </c>
      <c r="D44" s="2" t="n">
        <v>21</v>
      </c>
      <c r="E44" s="2" t="inlineStr">
        <is>
          <t>US_USDT_PERP</t>
        </is>
      </c>
      <c r="F44" s="2" t="inlineStr">
        <is>
          <t>做空</t>
        </is>
      </c>
      <c r="G44" s="17" t="n">
        <v>0.02532</v>
      </c>
      <c r="H44" s="17" t="n">
        <v>0.0245604</v>
      </c>
      <c r="I44" s="17" t="n">
        <v>0.026586</v>
      </c>
      <c r="J44" s="17" t="n">
        <v>0.026586</v>
      </c>
      <c r="K44" s="2" t="inlineStr">
        <is>
          <t>止損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46291.97847222222</v>
      </c>
      <c r="C45" s="2" t="inlineStr">
        <is>
          <t>進場</t>
        </is>
      </c>
      <c r="D45" s="2" t="n">
        <v>22</v>
      </c>
      <c r="E45" s="2" t="inlineStr">
        <is>
          <t>FIL_USDT_PERP</t>
        </is>
      </c>
      <c r="F45" s="2" t="inlineStr">
        <is>
          <t>做空</t>
        </is>
      </c>
      <c r="G45" s="17" t="n">
        <v>1.213</v>
      </c>
      <c r="H45" s="17" t="n">
        <v>1.17661</v>
      </c>
      <c r="I45" s="17" t="n">
        <v>1.27365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46292.04930555556</v>
      </c>
      <c r="C46" s="2" t="inlineStr">
        <is>
          <t>出場</t>
        </is>
      </c>
      <c r="D46" s="2" t="n">
        <v>22</v>
      </c>
      <c r="E46" s="2" t="inlineStr">
        <is>
          <t>FIL_USDT_PERP</t>
        </is>
      </c>
      <c r="F46" s="2" t="inlineStr">
        <is>
          <t>做空</t>
        </is>
      </c>
      <c r="G46" s="17" t="n">
        <v>1.213</v>
      </c>
      <c r="H46" s="17" t="n">
        <v>1.17661</v>
      </c>
      <c r="I46" s="17" t="n">
        <v>1.27365</v>
      </c>
      <c r="J46" s="17" t="n">
        <v>1.17661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46292.65555555555</v>
      </c>
      <c r="C47" s="2" t="inlineStr">
        <is>
          <t>進場</t>
        </is>
      </c>
      <c r="D47" s="2" t="n">
        <v>23</v>
      </c>
      <c r="E47" s="2" t="inlineStr">
        <is>
          <t>XVG_USDT_PERP</t>
        </is>
      </c>
      <c r="F47" s="2" t="inlineStr">
        <is>
          <t>做空</t>
        </is>
      </c>
      <c r="G47" s="17" t="n">
        <v>0.003505</v>
      </c>
      <c r="H47" s="17" t="n">
        <v>0.00339985</v>
      </c>
      <c r="I47" s="17" t="n">
        <v>0.00368025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46292.70069444444</v>
      </c>
      <c r="C48" s="2" t="inlineStr">
        <is>
          <t>出場</t>
        </is>
      </c>
      <c r="D48" s="2" t="n">
        <v>23</v>
      </c>
      <c r="E48" s="2" t="inlineStr">
        <is>
          <t>XVG_USDT_PERP</t>
        </is>
      </c>
      <c r="F48" s="2" t="inlineStr">
        <is>
          <t>做空</t>
        </is>
      </c>
      <c r="G48" s="17" t="n">
        <v>0.003505</v>
      </c>
      <c r="H48" s="17" t="n">
        <v>0.00339985</v>
      </c>
      <c r="I48" s="17" t="n">
        <v>0.00368025</v>
      </c>
      <c r="J48" s="17" t="n">
        <v>0.00368025</v>
      </c>
      <c r="K48" s="2" t="inlineStr">
        <is>
          <t>止損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46292.7375</v>
      </c>
      <c r="C49" s="2" t="inlineStr">
        <is>
          <t>進場</t>
        </is>
      </c>
      <c r="D49" s="2" t="n">
        <v>24</v>
      </c>
      <c r="E49" s="2" t="inlineStr">
        <is>
          <t>ARX_USDT_PERP</t>
        </is>
      </c>
      <c r="F49" s="2" t="inlineStr">
        <is>
          <t>做空</t>
        </is>
      </c>
      <c r="G49" s="17" t="n">
        <v>0.2513</v>
      </c>
      <c r="H49" s="17" t="n">
        <v>0.243761</v>
      </c>
      <c r="I49" s="17" t="n">
        <v>0.263865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46292.78125</v>
      </c>
      <c r="C50" s="2" t="inlineStr">
        <is>
          <t>出場</t>
        </is>
      </c>
      <c r="D50" s="2" t="n">
        <v>24</v>
      </c>
      <c r="E50" s="2" t="inlineStr">
        <is>
          <t>ARX_USDT_PERP</t>
        </is>
      </c>
      <c r="F50" s="2" t="inlineStr">
        <is>
          <t>做空</t>
        </is>
      </c>
      <c r="G50" s="17" t="n">
        <v>0.2513</v>
      </c>
      <c r="H50" s="17" t="n">
        <v>0.243761</v>
      </c>
      <c r="I50" s="17" t="n">
        <v>0.263865</v>
      </c>
      <c r="J50" s="17" t="n">
        <v>0.263865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46292.84166666667</v>
      </c>
      <c r="C51" s="2" t="inlineStr">
        <is>
          <t>進場</t>
        </is>
      </c>
      <c r="D51" s="2" t="n">
        <v>25</v>
      </c>
      <c r="E51" s="2" t="inlineStr">
        <is>
          <t>INX_USDT_PERP</t>
        </is>
      </c>
      <c r="F51" s="2" t="inlineStr">
        <is>
          <t>做空</t>
        </is>
      </c>
      <c r="G51" s="17" t="n">
        <v>0.007383</v>
      </c>
      <c r="H51" s="17" t="n">
        <v>0.007161509999999999</v>
      </c>
      <c r="I51" s="17" t="n">
        <v>0.00775215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46292.84652777778</v>
      </c>
      <c r="C52" s="2" t="inlineStr">
        <is>
          <t>出場</t>
        </is>
      </c>
      <c r="D52" s="2" t="n">
        <v>25</v>
      </c>
      <c r="E52" s="2" t="inlineStr">
        <is>
          <t>INX_USDT_PERP</t>
        </is>
      </c>
      <c r="F52" s="2" t="inlineStr">
        <is>
          <t>做空</t>
        </is>
      </c>
      <c r="G52" s="17" t="n">
        <v>0.007383</v>
      </c>
      <c r="H52" s="17" t="n">
        <v>0.007161509999999999</v>
      </c>
      <c r="I52" s="17" t="n">
        <v>0.00775215</v>
      </c>
      <c r="J52" s="17" t="n">
        <v>0.007161509999999999</v>
      </c>
      <c r="K52" s="2" t="inlineStr">
        <is>
          <t>止盈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46292.92361111111</v>
      </c>
      <c r="C53" s="2" t="inlineStr">
        <is>
          <t>進場</t>
        </is>
      </c>
      <c r="D53" s="2" t="n">
        <v>26</v>
      </c>
      <c r="E53" s="2" t="inlineStr">
        <is>
          <t>ARX_USDT_PERP</t>
        </is>
      </c>
      <c r="F53" s="2" t="inlineStr">
        <is>
          <t>做空</t>
        </is>
      </c>
      <c r="G53" s="17" t="n">
        <v>0.2914</v>
      </c>
      <c r="H53" s="17" t="n">
        <v>0.282658</v>
      </c>
      <c r="I53" s="17" t="n">
        <v>0.30597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46292.96944444445</v>
      </c>
      <c r="C54" s="2" t="inlineStr">
        <is>
          <t>出場</t>
        </is>
      </c>
      <c r="D54" s="2" t="n">
        <v>26</v>
      </c>
      <c r="E54" s="2" t="inlineStr">
        <is>
          <t>ARX_USDT_PERP</t>
        </is>
      </c>
      <c r="F54" s="2" t="inlineStr">
        <is>
          <t>做空</t>
        </is>
      </c>
      <c r="G54" s="17" t="n">
        <v>0.2914</v>
      </c>
      <c r="H54" s="17" t="n">
        <v>0.282658</v>
      </c>
      <c r="I54" s="17" t="n">
        <v>0.30597</v>
      </c>
      <c r="J54" s="17" t="n">
        <v>0.282658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46293.26736111111</v>
      </c>
      <c r="C55" s="2" t="inlineStr">
        <is>
          <t>進場</t>
        </is>
      </c>
      <c r="D55" s="2" t="n">
        <v>27</v>
      </c>
      <c r="E55" s="2" t="inlineStr">
        <is>
          <t>NOM_USDT_PERP</t>
        </is>
      </c>
      <c r="F55" s="2" t="inlineStr">
        <is>
          <t>做空</t>
        </is>
      </c>
      <c r="G55" s="17" t="n">
        <v>0.002434</v>
      </c>
      <c r="H55" s="17" t="n">
        <v>0.00236098</v>
      </c>
      <c r="I55" s="17" t="n">
        <v>0.0025557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46293.26944444444</v>
      </c>
      <c r="C56" s="2" t="inlineStr">
        <is>
          <t>出場</t>
        </is>
      </c>
      <c r="D56" s="2" t="n">
        <v>27</v>
      </c>
      <c r="E56" s="2" t="inlineStr">
        <is>
          <t>NOM_USDT_PERP</t>
        </is>
      </c>
      <c r="F56" s="2" t="inlineStr">
        <is>
          <t>做空</t>
        </is>
      </c>
      <c r="G56" s="17" t="n">
        <v>0.002434</v>
      </c>
      <c r="H56" s="17" t="n">
        <v>0.00236098</v>
      </c>
      <c r="I56" s="17" t="n">
        <v>0.0025557</v>
      </c>
      <c r="J56" s="17" t="n">
        <v>0.00236098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46293.40833333333</v>
      </c>
      <c r="C57" s="2" t="inlineStr">
        <is>
          <t>進場</t>
        </is>
      </c>
      <c r="D57" s="2" t="n">
        <v>28</v>
      </c>
      <c r="E57" s="2" t="inlineStr">
        <is>
          <t>ELSA_USDT_PERP</t>
        </is>
      </c>
      <c r="F57" s="2" t="inlineStr">
        <is>
          <t>做空</t>
        </is>
      </c>
      <c r="G57" s="17" t="n">
        <v>0.06272</v>
      </c>
      <c r="H57" s="17" t="n">
        <v>0.06083839999999999</v>
      </c>
      <c r="I57" s="17" t="n">
        <v>0.065856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46293.41597222222</v>
      </c>
      <c r="C58" s="2" t="inlineStr">
        <is>
          <t>進場</t>
        </is>
      </c>
      <c r="D58" s="2" t="n">
        <v>29</v>
      </c>
      <c r="E58" s="2" t="inlineStr">
        <is>
          <t>IRYS_USDT_PERP</t>
        </is>
      </c>
      <c r="F58" s="2" t="inlineStr">
        <is>
          <t>做空</t>
        </is>
      </c>
      <c r="G58" s="17" t="n">
        <v>0.02037</v>
      </c>
      <c r="H58" s="17" t="n">
        <v>0.0197589</v>
      </c>
      <c r="I58" s="17" t="n">
        <v>0.0213885</v>
      </c>
      <c r="J58" s="17" t="n"/>
      <c r="K58" s="2" t="n"/>
      <c r="L58" s="5" t="n"/>
      <c r="M58" s="16">
        <f>資金模擬!$B$5*V57</f>
        <v/>
      </c>
      <c r="N58" s="2">
        <f>IF(Z57=1,"已停止",IF(T57&gt;=M58,"已下單","資金不足略過"))</f>
        <v/>
      </c>
      <c r="O58" s="16">
        <f>IF(N58="已下單",M58*資金模擬!$B$7,0)</f>
        <v/>
      </c>
      <c r="P58" s="4" t="n"/>
      <c r="Q58" s="10" t="n">
        <v>0</v>
      </c>
      <c r="R58" s="10">
        <f>R57+Q58</f>
        <v/>
      </c>
      <c r="S58" s="16">
        <f>S57+IF(N58="已下單",M58,0)</f>
        <v/>
      </c>
      <c r="T58" s="16">
        <f>R58-S58</f>
        <v/>
      </c>
      <c r="U58" s="2">
        <f>U57+IF(N58="已下單",1,0)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46293.44166666667</v>
      </c>
      <c r="C59" s="2" t="inlineStr">
        <is>
          <t>出場</t>
        </is>
      </c>
      <c r="D59" s="2" t="n">
        <v>28</v>
      </c>
      <c r="E59" s="2" t="inlineStr">
        <is>
          <t>ELSA_USDT_PERP</t>
        </is>
      </c>
      <c r="F59" s="2" t="inlineStr">
        <is>
          <t>做空</t>
        </is>
      </c>
      <c r="G59" s="17" t="n">
        <v>0.06272</v>
      </c>
      <c r="H59" s="17" t="n">
        <v>0.06083839999999999</v>
      </c>
      <c r="I59" s="17" t="n">
        <v>0.065856</v>
      </c>
      <c r="J59" s="17" t="n">
        <v>0.06083839999999999</v>
      </c>
      <c r="K59" s="2" t="inlineStr">
        <is>
          <t>止盈</t>
        </is>
      </c>
      <c r="L59" s="5">
        <f>交易明細!K29</f>
        <v/>
      </c>
      <c r="M59" s="16">
        <f>M57</f>
        <v/>
      </c>
      <c r="N59" s="2">
        <f>N57</f>
        <v/>
      </c>
      <c r="O59" s="16">
        <f>O57</f>
        <v/>
      </c>
      <c r="P59" s="4">
        <f>交易明細!L29</f>
        <v/>
      </c>
      <c r="Q59" s="10">
        <f>IF(N59="已下單",O59*P59,0)</f>
        <v/>
      </c>
      <c r="R59" s="10">
        <f>R58+Q59</f>
        <v/>
      </c>
      <c r="S59" s="16">
        <f>S58-IF(N59="已下單",M59,0)</f>
        <v/>
      </c>
      <c r="T59" s="16">
        <f>R59-S59</f>
        <v/>
      </c>
      <c r="U59" s="2">
        <f>U58-IF(N59="已下單",1,0)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46293.44305555556</v>
      </c>
      <c r="C60" s="2" t="inlineStr">
        <is>
          <t>出場</t>
        </is>
      </c>
      <c r="D60" s="2" t="n">
        <v>29</v>
      </c>
      <c r="E60" s="2" t="inlineStr">
        <is>
          <t>IRYS_USDT_PERP</t>
        </is>
      </c>
      <c r="F60" s="2" t="inlineStr">
        <is>
          <t>做空</t>
        </is>
      </c>
      <c r="G60" s="17" t="n">
        <v>0.02037</v>
      </c>
      <c r="H60" s="17" t="n">
        <v>0.0197589</v>
      </c>
      <c r="I60" s="17" t="n">
        <v>0.0213885</v>
      </c>
      <c r="J60" s="17" t="n">
        <v>0.0197589</v>
      </c>
      <c r="K60" s="2" t="inlineStr">
        <is>
          <t>止盈</t>
        </is>
      </c>
      <c r="L60" s="5">
        <f>交易明細!K30</f>
        <v/>
      </c>
      <c r="M60" s="16">
        <f>M58</f>
        <v/>
      </c>
      <c r="N60" s="2">
        <f>N58</f>
        <v/>
      </c>
      <c r="O60" s="16">
        <f>O58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46293.56111111111</v>
      </c>
      <c r="C61" s="2" t="inlineStr">
        <is>
          <t>進場</t>
        </is>
      </c>
      <c r="D61" s="2" t="n">
        <v>30</v>
      </c>
      <c r="E61" s="2" t="inlineStr">
        <is>
          <t>SOON_USDT_PERP</t>
        </is>
      </c>
      <c r="F61" s="2" t="inlineStr">
        <is>
          <t>做空</t>
        </is>
      </c>
      <c r="G61" s="17" t="n">
        <v>0.3642</v>
      </c>
      <c r="H61" s="17" t="n">
        <v>0.353274</v>
      </c>
      <c r="I61" s="17" t="n">
        <v>0.38241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46293.56805555556</v>
      </c>
      <c r="C62" s="2" t="inlineStr">
        <is>
          <t>出場</t>
        </is>
      </c>
      <c r="D62" s="2" t="n">
        <v>30</v>
      </c>
      <c r="E62" s="2" t="inlineStr">
        <is>
          <t>SOON_USDT_PERP</t>
        </is>
      </c>
      <c r="F62" s="2" t="inlineStr">
        <is>
          <t>做空</t>
        </is>
      </c>
      <c r="G62" s="17" t="n">
        <v>0.3642</v>
      </c>
      <c r="H62" s="17" t="n">
        <v>0.353274</v>
      </c>
      <c r="I62" s="17" t="n">
        <v>0.38241</v>
      </c>
      <c r="J62" s="17" t="n">
        <v>0.353274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46293.88541666666</v>
      </c>
      <c r="C63" s="2" t="inlineStr">
        <is>
          <t>進場</t>
        </is>
      </c>
      <c r="D63" s="2" t="n">
        <v>31</v>
      </c>
      <c r="E63" s="2" t="inlineStr">
        <is>
          <t>ARX_USDT_PERP</t>
        </is>
      </c>
      <c r="F63" s="2" t="inlineStr">
        <is>
          <t>做空</t>
        </is>
      </c>
      <c r="G63" s="17" t="n">
        <v>0.275</v>
      </c>
      <c r="H63" s="17" t="n">
        <v>0.26675</v>
      </c>
      <c r="I63" s="17" t="n">
        <v>0.2887500000000001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46293.89236111111</v>
      </c>
      <c r="C64" s="2" t="inlineStr">
        <is>
          <t>出場</t>
        </is>
      </c>
      <c r="D64" s="2" t="n">
        <v>31</v>
      </c>
      <c r="E64" s="2" t="inlineStr">
        <is>
          <t>ARX_USDT_PERP</t>
        </is>
      </c>
      <c r="F64" s="2" t="inlineStr">
        <is>
          <t>做空</t>
        </is>
      </c>
      <c r="G64" s="17" t="n">
        <v>0.275</v>
      </c>
      <c r="H64" s="17" t="n">
        <v>0.26675</v>
      </c>
      <c r="I64" s="17" t="n">
        <v>0.2887500000000001</v>
      </c>
      <c r="J64" s="17" t="n">
        <v>0.26675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46294.05138888889</v>
      </c>
      <c r="C65" s="2" t="inlineStr">
        <is>
          <t>進場</t>
        </is>
      </c>
      <c r="D65" s="2" t="n">
        <v>32</v>
      </c>
      <c r="E65" s="2" t="inlineStr">
        <is>
          <t>QNT_USDT_PERP</t>
        </is>
      </c>
      <c r="F65" s="2" t="inlineStr">
        <is>
          <t>做空</t>
        </is>
      </c>
      <c r="G65" s="17" t="n">
        <v>247.4</v>
      </c>
      <c r="H65" s="17" t="n">
        <v>239.978</v>
      </c>
      <c r="I65" s="17" t="n">
        <v>259.77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46294.09722222222</v>
      </c>
      <c r="C66" s="2" t="inlineStr">
        <is>
          <t>出場</t>
        </is>
      </c>
      <c r="D66" s="2" t="n">
        <v>32</v>
      </c>
      <c r="E66" s="2" t="inlineStr">
        <is>
          <t>QNT_USDT_PERP</t>
        </is>
      </c>
      <c r="F66" s="2" t="inlineStr">
        <is>
          <t>做空</t>
        </is>
      </c>
      <c r="G66" s="17" t="n">
        <v>247.4</v>
      </c>
      <c r="H66" s="17" t="n">
        <v>239.978</v>
      </c>
      <c r="I66" s="17" t="n">
        <v>259.77</v>
      </c>
      <c r="J66" s="17" t="n">
        <v>239.978</v>
      </c>
      <c r="K66" s="2" t="inlineStr">
        <is>
          <t>止盈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46294.28472222222</v>
      </c>
      <c r="C67" s="2" t="inlineStr">
        <is>
          <t>進場</t>
        </is>
      </c>
      <c r="D67" s="2" t="n">
        <v>33</v>
      </c>
      <c r="E67" s="2" t="inlineStr">
        <is>
          <t>NMR_USDT_PERP</t>
        </is>
      </c>
      <c r="F67" s="2" t="inlineStr">
        <is>
          <t>做空</t>
        </is>
      </c>
      <c r="G67" s="17" t="n">
        <v>14.451</v>
      </c>
      <c r="H67" s="17" t="n">
        <v>14.01747</v>
      </c>
      <c r="I67" s="17" t="n">
        <v>15.17355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46294.31666666667</v>
      </c>
      <c r="C68" s="2" t="inlineStr">
        <is>
          <t>出場</t>
        </is>
      </c>
      <c r="D68" s="2" t="n">
        <v>33</v>
      </c>
      <c r="E68" s="2" t="inlineStr">
        <is>
          <t>NMR_USDT_PERP</t>
        </is>
      </c>
      <c r="F68" s="2" t="inlineStr">
        <is>
          <t>做空</t>
        </is>
      </c>
      <c r="G68" s="17" t="n">
        <v>14.451</v>
      </c>
      <c r="H68" s="17" t="n">
        <v>14.01747</v>
      </c>
      <c r="I68" s="17" t="n">
        <v>15.17355</v>
      </c>
      <c r="J68" s="17" t="n">
        <v>15.17355</v>
      </c>
      <c r="K68" s="2" t="inlineStr">
        <is>
          <t>止損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46294.84583333333</v>
      </c>
      <c r="C69" s="2" t="inlineStr">
        <is>
          <t>進場</t>
        </is>
      </c>
      <c r="D69" s="2" t="n">
        <v>34</v>
      </c>
      <c r="E69" s="2" t="inlineStr">
        <is>
          <t>PUMP_USDT_PERP</t>
        </is>
      </c>
      <c r="F69" s="2" t="inlineStr">
        <is>
          <t>做空</t>
        </is>
      </c>
      <c r="G69" s="17" t="n">
        <v>0.005687</v>
      </c>
      <c r="H69" s="17" t="n">
        <v>0.00551639</v>
      </c>
      <c r="I69" s="17" t="n">
        <v>0.00597135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46295.13333333333</v>
      </c>
      <c r="C70" s="2" t="inlineStr">
        <is>
          <t>進場</t>
        </is>
      </c>
      <c r="D70" s="2" t="n">
        <v>35</v>
      </c>
      <c r="E70" s="2" t="inlineStr">
        <is>
          <t>MOVR_USDT_PERP</t>
        </is>
      </c>
      <c r="F70" s="2" t="inlineStr">
        <is>
          <t>做空</t>
        </is>
      </c>
      <c r="G70" s="17" t="n">
        <v>1.17</v>
      </c>
      <c r="H70" s="17" t="n">
        <v>1.1349</v>
      </c>
      <c r="I70" s="17" t="n">
        <v>1.2285</v>
      </c>
      <c r="J70" s="17" t="n"/>
      <c r="K70" s="2" t="n"/>
      <c r="L70" s="5" t="n"/>
      <c r="M70" s="16">
        <f>資金模擬!$B$5*V69</f>
        <v/>
      </c>
      <c r="N70" s="2">
        <f>IF(Z69=1,"已停止",IF(T69&gt;=M70,"已下單","資金不足略過"))</f>
        <v/>
      </c>
      <c r="O70" s="16">
        <f>IF(N70="已下單",M70*資金模擬!$B$7,0)</f>
        <v/>
      </c>
      <c r="P70" s="4" t="n"/>
      <c r="Q70" s="10" t="n">
        <v>0</v>
      </c>
      <c r="R70" s="10">
        <f>R69+Q70</f>
        <v/>
      </c>
      <c r="S70" s="16">
        <f>S69+IF(N70="已下單",M70,0)</f>
        <v/>
      </c>
      <c r="T70" s="16">
        <f>R70-S70</f>
        <v/>
      </c>
      <c r="U70" s="2">
        <f>U69+IF(N70="已下單",1,0)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46295.14375</v>
      </c>
      <c r="C71" s="2" t="inlineStr">
        <is>
          <t>出場</t>
        </is>
      </c>
      <c r="D71" s="2" t="n">
        <v>34</v>
      </c>
      <c r="E71" s="2" t="inlineStr">
        <is>
          <t>PUMP_USDT_PERP</t>
        </is>
      </c>
      <c r="F71" s="2" t="inlineStr">
        <is>
          <t>做空</t>
        </is>
      </c>
      <c r="G71" s="17" t="n">
        <v>0.005687</v>
      </c>
      <c r="H71" s="17" t="n">
        <v>0.00551639</v>
      </c>
      <c r="I71" s="17" t="n">
        <v>0.00597135</v>
      </c>
      <c r="J71" s="17" t="n">
        <v>0.00597135</v>
      </c>
      <c r="K71" s="2" t="inlineStr">
        <is>
          <t>止損</t>
        </is>
      </c>
      <c r="L71" s="5">
        <f>交易明細!K35</f>
        <v/>
      </c>
      <c r="M71" s="16">
        <f>M69</f>
        <v/>
      </c>
      <c r="N71" s="2">
        <f>N69</f>
        <v/>
      </c>
      <c r="O71" s="16">
        <f>O69</f>
        <v/>
      </c>
      <c r="P71" s="4">
        <f>交易明細!L35</f>
        <v/>
      </c>
      <c r="Q71" s="10">
        <f>IF(N71="已下單",O71*P71,0)</f>
        <v/>
      </c>
      <c r="R71" s="10">
        <f>R70+Q71</f>
        <v/>
      </c>
      <c r="S71" s="16">
        <f>S70-IF(N71="已下單",M71,0)</f>
        <v/>
      </c>
      <c r="T71" s="16">
        <f>R71-S71</f>
        <v/>
      </c>
      <c r="U71" s="2">
        <f>U70-IF(N71="已下單",1,0)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46295.18888888889</v>
      </c>
      <c r="C72" s="2" t="inlineStr">
        <is>
          <t>出場</t>
        </is>
      </c>
      <c r="D72" s="2" t="n">
        <v>35</v>
      </c>
      <c r="E72" s="2" t="inlineStr">
        <is>
          <t>MOVR_USDT_PERP</t>
        </is>
      </c>
      <c r="F72" s="2" t="inlineStr">
        <is>
          <t>做空</t>
        </is>
      </c>
      <c r="G72" s="17" t="n">
        <v>1.17</v>
      </c>
      <c r="H72" s="17" t="n">
        <v>1.1349</v>
      </c>
      <c r="I72" s="17" t="n">
        <v>1.2285</v>
      </c>
      <c r="J72" s="17" t="n">
        <v>1.1349</v>
      </c>
      <c r="K72" s="2" t="inlineStr">
        <is>
          <t>止盈</t>
        </is>
      </c>
      <c r="L72" s="5">
        <f>交易明細!K36</f>
        <v/>
      </c>
      <c r="M72" s="16">
        <f>M70</f>
        <v/>
      </c>
      <c r="N72" s="2">
        <f>N70</f>
        <v/>
      </c>
      <c r="O72" s="16">
        <f>O70</f>
        <v/>
      </c>
      <c r="P72" s="4">
        <f>交易明細!L36</f>
        <v/>
      </c>
      <c r="Q72" s="10">
        <f>IF(N72="已下單",O72*P72,0)</f>
        <v/>
      </c>
      <c r="R72" s="10">
        <f>R71+Q72</f>
        <v/>
      </c>
      <c r="S72" s="16">
        <f>S71-IF(N72="已下單",M72,0)</f>
        <v/>
      </c>
      <c r="T72" s="16">
        <f>R72-S72</f>
        <v/>
      </c>
      <c r="U72" s="2">
        <f>U71-IF(N72="已下單",1,0)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46295.41944444444</v>
      </c>
      <c r="C73" s="2" t="inlineStr">
        <is>
          <t>進場</t>
        </is>
      </c>
      <c r="D73" s="2" t="n">
        <v>36</v>
      </c>
      <c r="E73" s="2" t="inlineStr">
        <is>
          <t>MEW_USDT_PERP</t>
        </is>
      </c>
      <c r="F73" s="2" t="inlineStr">
        <is>
          <t>做空</t>
        </is>
      </c>
      <c r="G73" s="17" t="n">
        <v>0.0005730000000000001</v>
      </c>
      <c r="H73" s="17" t="n">
        <v>0.00055581</v>
      </c>
      <c r="I73" s="17" t="n">
        <v>0.0006016500000000001</v>
      </c>
      <c r="J73" s="17" t="n"/>
      <c r="K73" s="2" t="n"/>
      <c r="L73" s="5" t="n"/>
      <c r="M73" s="16">
        <f>資金模擬!$B$5*V72</f>
        <v/>
      </c>
      <c r="N73" s="2">
        <f>IF(Z72=1,"已停止",IF(T72&gt;=M73,"已下單","資金不足略過"))</f>
        <v/>
      </c>
      <c r="O73" s="16">
        <f>IF(N73="已下單",M73*資金模擬!$B$7,0)</f>
        <v/>
      </c>
      <c r="P73" s="4" t="n"/>
      <c r="Q73" s="10" t="n">
        <v>0</v>
      </c>
      <c r="R73" s="10">
        <f>R72+Q73</f>
        <v/>
      </c>
      <c r="S73" s="16">
        <f>S72+IF(N73="已下單",M73,0)</f>
        <v/>
      </c>
      <c r="T73" s="16">
        <f>R73-S73</f>
        <v/>
      </c>
      <c r="U73" s="2">
        <f>U72+IF(N73="已下單",1,0)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46295.42013888889</v>
      </c>
      <c r="C74" s="2" t="inlineStr">
        <is>
          <t>進場</t>
        </is>
      </c>
      <c r="D74" s="2" t="n">
        <v>37</v>
      </c>
      <c r="E74" s="2" t="inlineStr">
        <is>
          <t>US_USDT_PERP</t>
        </is>
      </c>
      <c r="F74" s="2" t="inlineStr">
        <is>
          <t>做空</t>
        </is>
      </c>
      <c r="G74" s="17" t="n">
        <v>0.01887</v>
      </c>
      <c r="H74" s="17" t="n">
        <v>0.0183039</v>
      </c>
      <c r="I74" s="17" t="n">
        <v>0.0198135</v>
      </c>
      <c r="J74" s="17" t="n"/>
      <c r="K74" s="2" t="n"/>
      <c r="L74" s="5" t="n"/>
      <c r="M74" s="16">
        <f>資金模擬!$B$5*V73</f>
        <v/>
      </c>
      <c r="N74" s="2">
        <f>IF(Z73=1,"已停止",IF(T73&gt;=M74,"已下單","資金不足略過"))</f>
        <v/>
      </c>
      <c r="O74" s="16">
        <f>IF(N74="已下單",M74*資金模擬!$B$7,0)</f>
        <v/>
      </c>
      <c r="P74" s="4" t="n"/>
      <c r="Q74" s="10" t="n">
        <v>0</v>
      </c>
      <c r="R74" s="10">
        <f>R73+Q74</f>
        <v/>
      </c>
      <c r="S74" s="16">
        <f>S73+IF(N74="已下單",M74,0)</f>
        <v/>
      </c>
      <c r="T74" s="16">
        <f>R74-S74</f>
        <v/>
      </c>
      <c r="U74" s="2">
        <f>U73+IF(N74="已下單",1,0)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46295.42569444444</v>
      </c>
      <c r="C75" s="2" t="inlineStr">
        <is>
          <t>出場</t>
        </is>
      </c>
      <c r="D75" s="2" t="n">
        <v>37</v>
      </c>
      <c r="E75" s="2" t="inlineStr">
        <is>
          <t>US_USDT_PERP</t>
        </is>
      </c>
      <c r="F75" s="2" t="inlineStr">
        <is>
          <t>做空</t>
        </is>
      </c>
      <c r="G75" s="17" t="n">
        <v>0.01887</v>
      </c>
      <c r="H75" s="17" t="n">
        <v>0.0183039</v>
      </c>
      <c r="I75" s="17" t="n">
        <v>0.0198135</v>
      </c>
      <c r="J75" s="17" t="n">
        <v>0.0183039</v>
      </c>
      <c r="K75" s="2" t="inlineStr">
        <is>
          <t>止盈</t>
        </is>
      </c>
      <c r="L75" s="5">
        <f>交易明細!K38</f>
        <v/>
      </c>
      <c r="M75" s="16">
        <f>M74</f>
        <v/>
      </c>
      <c r="N75" s="2">
        <f>N74</f>
        <v/>
      </c>
      <c r="O75" s="16">
        <f>O74</f>
        <v/>
      </c>
      <c r="P75" s="4">
        <f>交易明細!L38</f>
        <v/>
      </c>
      <c r="Q75" s="10">
        <f>IF(N75="已下單",O75*P75,0)</f>
        <v/>
      </c>
      <c r="R75" s="10">
        <f>R74+Q75</f>
        <v/>
      </c>
      <c r="S75" s="16">
        <f>S74-IF(N75="已下單",M75,0)</f>
        <v/>
      </c>
      <c r="T75" s="16">
        <f>R75-S75</f>
        <v/>
      </c>
      <c r="U75" s="2">
        <f>U74-IF(N75="已下單",1,0)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46295.46597222222</v>
      </c>
      <c r="C76" s="2" t="inlineStr">
        <is>
          <t>進場</t>
        </is>
      </c>
      <c r="D76" s="2" t="n">
        <v>38</v>
      </c>
      <c r="E76" s="2" t="inlineStr">
        <is>
          <t>SOON_USDT_PERP</t>
        </is>
      </c>
      <c r="F76" s="2" t="inlineStr">
        <is>
          <t>做空</t>
        </is>
      </c>
      <c r="G76" s="17" t="n">
        <v>0.4264</v>
      </c>
      <c r="H76" s="17" t="n">
        <v>0.413608</v>
      </c>
      <c r="I76" s="17" t="n">
        <v>0.44772</v>
      </c>
      <c r="J76" s="17" t="n"/>
      <c r="K76" s="2" t="n"/>
      <c r="L76" s="5" t="n"/>
      <c r="M76" s="16">
        <f>資金模擬!$B$5*V75</f>
        <v/>
      </c>
      <c r="N76" s="2">
        <f>IF(Z75=1,"已停止",IF(T75&gt;=M76,"已下單","資金不足略過"))</f>
        <v/>
      </c>
      <c r="O76" s="16">
        <f>IF(N76="已下單",M76*資金模擬!$B$7,0)</f>
        <v/>
      </c>
      <c r="P76" s="4" t="n"/>
      <c r="Q76" s="10" t="n">
        <v>0</v>
      </c>
      <c r="R76" s="10">
        <f>R75+Q76</f>
        <v/>
      </c>
      <c r="S76" s="16">
        <f>S75+IF(N76="已下單",M76,0)</f>
        <v/>
      </c>
      <c r="T76" s="16">
        <f>R76-S76</f>
        <v/>
      </c>
      <c r="U76" s="2">
        <f>U75+IF(N76="已下單",1,0)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46295.47222222222</v>
      </c>
      <c r="C77" s="2" t="inlineStr">
        <is>
          <t>出場</t>
        </is>
      </c>
      <c r="D77" s="2" t="n">
        <v>36</v>
      </c>
      <c r="E77" s="2" t="inlineStr">
        <is>
          <t>MEW_USDT_PERP</t>
        </is>
      </c>
      <c r="F77" s="2" t="inlineStr">
        <is>
          <t>做空</t>
        </is>
      </c>
      <c r="G77" s="17" t="n">
        <v>0.0005730000000000001</v>
      </c>
      <c r="H77" s="17" t="n">
        <v>0.00055581</v>
      </c>
      <c r="I77" s="17" t="n">
        <v>0.0006016500000000001</v>
      </c>
      <c r="J77" s="17" t="n">
        <v>0.00055581</v>
      </c>
      <c r="K77" s="2" t="inlineStr">
        <is>
          <t>止盈</t>
        </is>
      </c>
      <c r="L77" s="5">
        <f>交易明細!K37</f>
        <v/>
      </c>
      <c r="M77" s="16">
        <f>M73</f>
        <v/>
      </c>
      <c r="N77" s="2">
        <f>N73</f>
        <v/>
      </c>
      <c r="O77" s="16">
        <f>O73</f>
        <v/>
      </c>
      <c r="P77" s="4">
        <f>交易明細!L37</f>
        <v/>
      </c>
      <c r="Q77" s="10">
        <f>IF(N77="已下單",O77*P77,0)</f>
        <v/>
      </c>
      <c r="R77" s="10">
        <f>R76+Q77</f>
        <v/>
      </c>
      <c r="S77" s="16">
        <f>S76-IF(N77="已下單",M77,0)</f>
        <v/>
      </c>
      <c r="T77" s="16">
        <f>R77-S77</f>
        <v/>
      </c>
      <c r="U77" s="2">
        <f>U76-IF(N77="已下單",1,0)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46295.47361111111</v>
      </c>
      <c r="C78" s="2" t="inlineStr">
        <is>
          <t>出場</t>
        </is>
      </c>
      <c r="D78" s="2" t="n">
        <v>38</v>
      </c>
      <c r="E78" s="2" t="inlineStr">
        <is>
          <t>SOON_USDT_PERP</t>
        </is>
      </c>
      <c r="F78" s="2" t="inlineStr">
        <is>
          <t>做空</t>
        </is>
      </c>
      <c r="G78" s="17" t="n">
        <v>0.4264</v>
      </c>
      <c r="H78" s="17" t="n">
        <v>0.413608</v>
      </c>
      <c r="I78" s="17" t="n">
        <v>0.44772</v>
      </c>
      <c r="J78" s="17" t="n">
        <v>0.413608</v>
      </c>
      <c r="K78" s="2" t="inlineStr">
        <is>
          <t>止盈</t>
        </is>
      </c>
      <c r="L78" s="5">
        <f>交易明細!K39</f>
        <v/>
      </c>
      <c r="M78" s="16">
        <f>M76</f>
        <v/>
      </c>
      <c r="N78" s="2">
        <f>N76</f>
        <v/>
      </c>
      <c r="O78" s="16">
        <f>O76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46295.71180555555</v>
      </c>
      <c r="C79" s="2" t="inlineStr">
        <is>
          <t>進場</t>
        </is>
      </c>
      <c r="D79" s="2" t="n">
        <v>39</v>
      </c>
      <c r="E79" s="2" t="inlineStr">
        <is>
          <t>AKE_USDT_PERP</t>
        </is>
      </c>
      <c r="F79" s="2" t="inlineStr">
        <is>
          <t>做空</t>
        </is>
      </c>
      <c r="G79" s="17" t="n">
        <v>0.0354337</v>
      </c>
      <c r="H79" s="17" t="n">
        <v>0.034370689</v>
      </c>
      <c r="I79" s="17" t="n">
        <v>0.037205385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46295.71597222222</v>
      </c>
      <c r="C80" s="2" t="inlineStr">
        <is>
          <t>出場</t>
        </is>
      </c>
      <c r="D80" s="2" t="n">
        <v>39</v>
      </c>
      <c r="E80" s="2" t="inlineStr">
        <is>
          <t>AKE_USDT_PERP</t>
        </is>
      </c>
      <c r="F80" s="2" t="inlineStr">
        <is>
          <t>做空</t>
        </is>
      </c>
      <c r="G80" s="17" t="n">
        <v>0.0354337</v>
      </c>
      <c r="H80" s="17" t="n">
        <v>0.034370689</v>
      </c>
      <c r="I80" s="17" t="n">
        <v>0.037205385</v>
      </c>
      <c r="J80" s="17" t="n">
        <v>0.037205385</v>
      </c>
      <c r="K80" s="2" t="inlineStr">
        <is>
          <t>止損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46295.83680555555</v>
      </c>
      <c r="C81" s="2" t="inlineStr">
        <is>
          <t>進場</t>
        </is>
      </c>
      <c r="D81" s="2" t="n">
        <v>40</v>
      </c>
      <c r="E81" s="2" t="inlineStr">
        <is>
          <t>PROS_USDT_PERP</t>
        </is>
      </c>
      <c r="F81" s="2" t="inlineStr">
        <is>
          <t>做空</t>
        </is>
      </c>
      <c r="G81" s="17" t="n">
        <v>0.7494</v>
      </c>
      <c r="H81" s="17" t="n">
        <v>0.726918</v>
      </c>
      <c r="I81" s="17" t="n">
        <v>0.78687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46295.86527777778</v>
      </c>
      <c r="C82" s="2" t="inlineStr">
        <is>
          <t>進場</t>
        </is>
      </c>
      <c r="D82" s="2" t="n">
        <v>41</v>
      </c>
      <c r="E82" s="2" t="inlineStr">
        <is>
          <t>US_USDT_PERP</t>
        </is>
      </c>
      <c r="F82" s="2" t="inlineStr">
        <is>
          <t>做空</t>
        </is>
      </c>
      <c r="G82" s="17" t="n">
        <v>0.02259</v>
      </c>
      <c r="H82" s="17" t="n">
        <v>0.0219123</v>
      </c>
      <c r="I82" s="17" t="n">
        <v>0.0237195</v>
      </c>
      <c r="J82" s="17" t="n"/>
      <c r="K82" s="2" t="n"/>
      <c r="L82" s="5" t="n"/>
      <c r="M82" s="16">
        <f>資金模擬!$B$5*V81</f>
        <v/>
      </c>
      <c r="N82" s="2">
        <f>IF(Z81=1,"已停止",IF(T81&gt;=M82,"已下單","資金不足略過"))</f>
        <v/>
      </c>
      <c r="O82" s="16">
        <f>IF(N82="已下單",M82*資金模擬!$B$7,0)</f>
        <v/>
      </c>
      <c r="P82" s="4" t="n"/>
      <c r="Q82" s="10" t="n">
        <v>0</v>
      </c>
      <c r="R82" s="10">
        <f>R81+Q82</f>
        <v/>
      </c>
      <c r="S82" s="16">
        <f>S81+IF(N82="已下單",M82,0)</f>
        <v/>
      </c>
      <c r="T82" s="16">
        <f>R82-S82</f>
        <v/>
      </c>
      <c r="U82" s="2">
        <f>U81+IF(N82="已下單",1,0)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46295.89444444444</v>
      </c>
      <c r="C83" s="2" t="inlineStr">
        <is>
          <t>進場</t>
        </is>
      </c>
      <c r="D83" s="2" t="n">
        <v>42</v>
      </c>
      <c r="E83" s="2" t="inlineStr">
        <is>
          <t>USELESS_USDT_PERP</t>
        </is>
      </c>
      <c r="F83" s="2" t="inlineStr">
        <is>
          <t>做空</t>
        </is>
      </c>
      <c r="G83" s="17" t="n">
        <v>0.25901</v>
      </c>
      <c r="H83" s="17" t="n">
        <v>0.2512397</v>
      </c>
      <c r="I83" s="17" t="n">
        <v>0.2719605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46295.89722222222</v>
      </c>
      <c r="C84" s="2" t="inlineStr">
        <is>
          <t>出場</t>
        </is>
      </c>
      <c r="D84" s="2" t="n">
        <v>41</v>
      </c>
      <c r="E84" s="2" t="inlineStr">
        <is>
          <t>US_USDT_PERP</t>
        </is>
      </c>
      <c r="F84" s="2" t="inlineStr">
        <is>
          <t>做空</t>
        </is>
      </c>
      <c r="G84" s="17" t="n">
        <v>0.02259</v>
      </c>
      <c r="H84" s="17" t="n">
        <v>0.0219123</v>
      </c>
      <c r="I84" s="17" t="n">
        <v>0.0237195</v>
      </c>
      <c r="J84" s="17" t="n">
        <v>0.0237195</v>
      </c>
      <c r="K84" s="2" t="inlineStr">
        <is>
          <t>止損</t>
        </is>
      </c>
      <c r="L84" s="5">
        <f>交易明細!K42</f>
        <v/>
      </c>
      <c r="M84" s="16">
        <f>M82</f>
        <v/>
      </c>
      <c r="N84" s="2">
        <f>N82</f>
        <v/>
      </c>
      <c r="O84" s="16">
        <f>O82</f>
        <v/>
      </c>
      <c r="P84" s="4">
        <f>交易明細!L42</f>
        <v/>
      </c>
      <c r="Q84" s="10">
        <f>IF(N84="已下單",O84*P84,0)</f>
        <v/>
      </c>
      <c r="R84" s="10">
        <f>R83+Q84</f>
        <v/>
      </c>
      <c r="S84" s="16">
        <f>S83-IF(N84="已下單",M84,0)</f>
        <v/>
      </c>
      <c r="T84" s="16">
        <f>R84-S84</f>
        <v/>
      </c>
      <c r="U84" s="2">
        <f>U83-IF(N84="已下單",1,0)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46295.9</v>
      </c>
      <c r="C85" s="2" t="inlineStr">
        <is>
          <t>出場</t>
        </is>
      </c>
      <c r="D85" s="2" t="n">
        <v>42</v>
      </c>
      <c r="E85" s="2" t="inlineStr">
        <is>
          <t>USELESS_USDT_PERP</t>
        </is>
      </c>
      <c r="F85" s="2" t="inlineStr">
        <is>
          <t>做空</t>
        </is>
      </c>
      <c r="G85" s="17" t="n">
        <v>0.25901</v>
      </c>
      <c r="H85" s="17" t="n">
        <v>0.2512397</v>
      </c>
      <c r="I85" s="17" t="n">
        <v>0.2719605</v>
      </c>
      <c r="J85" s="17" t="n">
        <v>0.2512397</v>
      </c>
      <c r="K85" s="2" t="inlineStr">
        <is>
          <t>止盈</t>
        </is>
      </c>
      <c r="L85" s="5">
        <f>交易明細!K43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交易明細!L43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46295.93888888889</v>
      </c>
      <c r="C86" s="2" t="inlineStr">
        <is>
          <t>出場</t>
        </is>
      </c>
      <c r="D86" s="2" t="n">
        <v>40</v>
      </c>
      <c r="E86" s="2" t="inlineStr">
        <is>
          <t>PROS_USDT_PERP</t>
        </is>
      </c>
      <c r="F86" s="2" t="inlineStr">
        <is>
          <t>做空</t>
        </is>
      </c>
      <c r="G86" s="17" t="n">
        <v>0.7494</v>
      </c>
      <c r="H86" s="17" t="n">
        <v>0.726918</v>
      </c>
      <c r="I86" s="17" t="n">
        <v>0.78687</v>
      </c>
      <c r="J86" s="17" t="n">
        <v>0.726918</v>
      </c>
      <c r="K86" s="2" t="inlineStr">
        <is>
          <t>止盈</t>
        </is>
      </c>
      <c r="L86" s="5">
        <f>交易明細!K41</f>
        <v/>
      </c>
      <c r="M86" s="16">
        <f>M81</f>
        <v/>
      </c>
      <c r="N86" s="2">
        <f>N81</f>
        <v/>
      </c>
      <c r="O86" s="16">
        <f>O81</f>
        <v/>
      </c>
      <c r="P86" s="4">
        <f>交易明細!L41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46296.59305555555</v>
      </c>
      <c r="C87" s="2" t="inlineStr">
        <is>
          <t>進場</t>
        </is>
      </c>
      <c r="D87" s="2" t="n">
        <v>43</v>
      </c>
      <c r="E87" s="2" t="inlineStr">
        <is>
          <t>NOM_USDT_PERP</t>
        </is>
      </c>
      <c r="F87" s="2" t="inlineStr">
        <is>
          <t>做空</t>
        </is>
      </c>
      <c r="G87" s="17" t="n">
        <v>0.002603</v>
      </c>
      <c r="H87" s="17" t="n">
        <v>0.00252491</v>
      </c>
      <c r="I87" s="17" t="n">
        <v>0.00273315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46296.60972222222</v>
      </c>
      <c r="C88" s="2" t="inlineStr">
        <is>
          <t>出場</t>
        </is>
      </c>
      <c r="D88" s="2" t="n">
        <v>43</v>
      </c>
      <c r="E88" s="2" t="inlineStr">
        <is>
          <t>NOM_USDT_PERP</t>
        </is>
      </c>
      <c r="F88" s="2" t="inlineStr">
        <is>
          <t>做空</t>
        </is>
      </c>
      <c r="G88" s="17" t="n">
        <v>0.002603</v>
      </c>
      <c r="H88" s="17" t="n">
        <v>0.00252491</v>
      </c>
      <c r="I88" s="17" t="n">
        <v>0.00273315</v>
      </c>
      <c r="J88" s="17" t="n">
        <v>0.00252491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46296.71180555555</v>
      </c>
      <c r="C89" s="2" t="inlineStr">
        <is>
          <t>進場</t>
        </is>
      </c>
      <c r="D89" s="2" t="n">
        <v>44</v>
      </c>
      <c r="E89" s="2" t="inlineStr">
        <is>
          <t>NOM_USDT_PERP</t>
        </is>
      </c>
      <c r="F89" s="2" t="inlineStr">
        <is>
          <t>做空</t>
        </is>
      </c>
      <c r="G89" s="17" t="n">
        <v>0.003145</v>
      </c>
      <c r="H89" s="17" t="n">
        <v>0.00305065</v>
      </c>
      <c r="I89" s="17" t="n">
        <v>0.00330225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46296.72986111111</v>
      </c>
      <c r="C90" s="2" t="inlineStr">
        <is>
          <t>出場</t>
        </is>
      </c>
      <c r="D90" s="2" t="n">
        <v>44</v>
      </c>
      <c r="E90" s="2" t="inlineStr">
        <is>
          <t>NOM_USDT_PERP</t>
        </is>
      </c>
      <c r="F90" s="2" t="inlineStr">
        <is>
          <t>做空</t>
        </is>
      </c>
      <c r="G90" s="17" t="n">
        <v>0.003145</v>
      </c>
      <c r="H90" s="17" t="n">
        <v>0.00305065</v>
      </c>
      <c r="I90" s="17" t="n">
        <v>0.00330225</v>
      </c>
      <c r="J90" s="17" t="n">
        <v>0.00305065</v>
      </c>
      <c r="K90" s="2" t="inlineStr">
        <is>
          <t>止盈</t>
        </is>
      </c>
      <c r="L90" s="5">
        <f>交易明細!K45</f>
        <v/>
      </c>
      <c r="M90" s="16">
        <f>M89</f>
        <v/>
      </c>
      <c r="N90" s="2">
        <f>N89</f>
        <v/>
      </c>
      <c r="O90" s="16">
        <f>O89</f>
        <v/>
      </c>
      <c r="P90" s="4">
        <f>交易明細!L45</f>
        <v/>
      </c>
      <c r="Q90" s="10">
        <f>IF(N90="已下單",O90*P90,0)</f>
        <v/>
      </c>
      <c r="R90" s="10">
        <f>R89+Q90</f>
        <v/>
      </c>
      <c r="S90" s="16">
        <f>S89-IF(N90="已下單",M90,0)</f>
        <v/>
      </c>
      <c r="T90" s="16">
        <f>R90-S90</f>
        <v/>
      </c>
      <c r="U90" s="2">
        <f>U89-IF(N90="已下單",1,0)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46297.00833333333</v>
      </c>
      <c r="C91" s="2" t="inlineStr">
        <is>
          <t>進場</t>
        </is>
      </c>
      <c r="D91" s="2" t="n">
        <v>45</v>
      </c>
      <c r="E91" s="2" t="inlineStr">
        <is>
          <t>MEGA_USDT_PERP</t>
        </is>
      </c>
      <c r="F91" s="2" t="inlineStr">
        <is>
          <t>做空</t>
        </is>
      </c>
      <c r="G91" s="17" t="n">
        <v>0.05286</v>
      </c>
      <c r="H91" s="17" t="n">
        <v>0.0512742</v>
      </c>
      <c r="I91" s="17" t="n">
        <v>0.055503</v>
      </c>
      <c r="J91" s="17" t="n"/>
      <c r="K91" s="2" t="n"/>
      <c r="L91" s="5" t="n"/>
      <c r="M91" s="16">
        <f>資金模擬!$B$5*V90</f>
        <v/>
      </c>
      <c r="N91" s="2">
        <f>IF(Z90=1,"已停止",IF(T90&gt;=M91,"已下單","資金不足略過"))</f>
        <v/>
      </c>
      <c r="O91" s="16">
        <f>IF(N91="已下單",M91*資金模擬!$B$7,0)</f>
        <v/>
      </c>
      <c r="P91" s="4" t="n"/>
      <c r="Q91" s="10" t="n">
        <v>0</v>
      </c>
      <c r="R91" s="10">
        <f>R90+Q91</f>
        <v/>
      </c>
      <c r="S91" s="16">
        <f>S90+IF(N91="已下單",M91,0)</f>
        <v/>
      </c>
      <c r="T91" s="16">
        <f>R91-S91</f>
        <v/>
      </c>
      <c r="U91" s="2">
        <f>U90+IF(N91="已下單",1,0)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46297.01180555556</v>
      </c>
      <c r="C92" s="2" t="inlineStr">
        <is>
          <t>出場</t>
        </is>
      </c>
      <c r="D92" s="2" t="n">
        <v>45</v>
      </c>
      <c r="E92" s="2" t="inlineStr">
        <is>
          <t>MEGA_USDT_PERP</t>
        </is>
      </c>
      <c r="F92" s="2" t="inlineStr">
        <is>
          <t>做空</t>
        </is>
      </c>
      <c r="G92" s="17" t="n">
        <v>0.05286</v>
      </c>
      <c r="H92" s="17" t="n">
        <v>0.0512742</v>
      </c>
      <c r="I92" s="17" t="n">
        <v>0.055503</v>
      </c>
      <c r="J92" s="17" t="n">
        <v>0.0512742</v>
      </c>
      <c r="K92" s="2" t="inlineStr">
        <is>
          <t>止盈</t>
        </is>
      </c>
      <c r="L92" s="5">
        <f>交易明細!K46</f>
        <v/>
      </c>
      <c r="M92" s="16">
        <f>M91</f>
        <v/>
      </c>
      <c r="N92" s="2">
        <f>N91</f>
        <v/>
      </c>
      <c r="O92" s="16">
        <f>O91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46297.04930555556</v>
      </c>
      <c r="C93" s="2" t="inlineStr">
        <is>
          <t>進場</t>
        </is>
      </c>
      <c r="D93" s="2" t="n">
        <v>46</v>
      </c>
      <c r="E93" s="2" t="inlineStr">
        <is>
          <t>MAGMA_USDT_PERP</t>
        </is>
      </c>
      <c r="F93" s="2" t="inlineStr">
        <is>
          <t>做空</t>
        </is>
      </c>
      <c r="G93" s="17" t="n">
        <v>0.22721</v>
      </c>
      <c r="H93" s="17" t="n">
        <v>0.2203937</v>
      </c>
      <c r="I93" s="17" t="n">
        <v>0.2385705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46297.06388888889</v>
      </c>
      <c r="C94" s="2" t="inlineStr">
        <is>
          <t>出場</t>
        </is>
      </c>
      <c r="D94" s="2" t="n">
        <v>46</v>
      </c>
      <c r="E94" s="2" t="inlineStr">
        <is>
          <t>MAGMA_USDT_PERP</t>
        </is>
      </c>
      <c r="F94" s="2" t="inlineStr">
        <is>
          <t>做空</t>
        </is>
      </c>
      <c r="G94" s="17" t="n">
        <v>0.22721</v>
      </c>
      <c r="H94" s="17" t="n">
        <v>0.2203937</v>
      </c>
      <c r="I94" s="17" t="n">
        <v>0.2385705</v>
      </c>
      <c r="J94" s="17" t="n">
        <v>0.2385705</v>
      </c>
      <c r="K94" s="2" t="inlineStr">
        <is>
          <t>止損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46297.13541666666</v>
      </c>
      <c r="C95" s="2" t="inlineStr">
        <is>
          <t>進場</t>
        </is>
      </c>
      <c r="D95" s="2" t="n">
        <v>47</v>
      </c>
      <c r="E95" s="2" t="inlineStr">
        <is>
          <t>MOVR_USDT_PERP</t>
        </is>
      </c>
      <c r="F95" s="2" t="inlineStr">
        <is>
          <t>做空</t>
        </is>
      </c>
      <c r="G95" s="17" t="n">
        <v>3.172</v>
      </c>
      <c r="H95" s="17" t="n">
        <v>3.07684</v>
      </c>
      <c r="I95" s="17" t="n">
        <v>3.3306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46297.13888888889</v>
      </c>
      <c r="C96" s="2" t="inlineStr">
        <is>
          <t>出場</t>
        </is>
      </c>
      <c r="D96" s="2" t="n">
        <v>47</v>
      </c>
      <c r="E96" s="2" t="inlineStr">
        <is>
          <t>MOVR_USDT_PERP</t>
        </is>
      </c>
      <c r="F96" s="2" t="inlineStr">
        <is>
          <t>做空</t>
        </is>
      </c>
      <c r="G96" s="17" t="n">
        <v>3.172</v>
      </c>
      <c r="H96" s="17" t="n">
        <v>3.07684</v>
      </c>
      <c r="I96" s="17" t="n">
        <v>3.3306</v>
      </c>
      <c r="J96" s="17" t="n">
        <v>3.07684</v>
      </c>
      <c r="K96" s="2" t="inlineStr">
        <is>
          <t>止盈</t>
        </is>
      </c>
      <c r="L96" s="5">
        <f>交易明細!K48</f>
        <v/>
      </c>
      <c r="M96" s="16">
        <f>M95</f>
        <v/>
      </c>
      <c r="N96" s="2">
        <f>N95</f>
        <v/>
      </c>
      <c r="O96" s="16">
        <f>O95</f>
        <v/>
      </c>
      <c r="P96" s="4">
        <f>交易明細!L48</f>
        <v/>
      </c>
      <c r="Q96" s="10">
        <f>IF(N96="已下單",O96*P96,0)</f>
        <v/>
      </c>
      <c r="R96" s="10">
        <f>R95+Q96</f>
        <v/>
      </c>
      <c r="S96" s="16">
        <f>S95-IF(N96="已下單",M96,0)</f>
        <v/>
      </c>
      <c r="T96" s="16">
        <f>R96-S96</f>
        <v/>
      </c>
      <c r="U96" s="2">
        <f>U95-IF(N96="已下單",1,0)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</sheetData>
  <autoFilter ref="A1:Z96"/>
  <conditionalFormatting sqref="K2:K96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96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96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2026-10-02 08:23（Dry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條件看 1 小時K（整點切）；進出場用 1 分K</t>
        </is>
      </c>
      <c r="C4" s="2" t="inlineStr">
        <is>
          <t>每根 1 分K 收盤檢查一次 ≈ 每分鐘掃描</t>
        </is>
      </c>
    </row>
    <row r="5">
      <c r="A5" s="2" t="inlineStr">
        <is>
          <t>止盈</t>
        </is>
      </c>
      <c r="B5" s="11" t="n">
        <v>0.03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做空：價格上漲此比例（= 群組第 1 次加倉點）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策略5 — 群組訊號複製（只做空）</t>
        </is>
      </c>
      <c r="C8" s="2" t="inlineStr">
        <is>
          <t>目標是複製群組訊號，不是追求勝率</t>
        </is>
      </c>
    </row>
    <row r="9">
      <c r="A9" s="2" t="inlineStr">
        <is>
          <t>① 前根收盤比開盤漲</t>
        </is>
      </c>
      <c r="B9" s="4" t="n">
        <v>0.06</v>
      </c>
      <c r="C9" s="2" t="inlineStr">
        <is>
          <t>前一根 1h K：收盤 ÷ 開盤 − 1</t>
        </is>
      </c>
    </row>
    <row r="10">
      <c r="A10" s="2" t="inlineStr">
        <is>
          <t>②A 當根量 ÷ 前一根量</t>
        </is>
      </c>
      <c r="B10" s="4" t="inlineStr">
        <is>
          <t>2 倍</t>
        </is>
      </c>
      <c r="C10" s="2" t="inlineStr">
        <is>
          <t>本小時到目前為止的累計量，不限時；A 與限時分支符合任一即可</t>
        </is>
      </c>
    </row>
    <row r="11">
      <c r="A11" s="2" t="inlineStr">
        <is>
          <t>② 限時分支</t>
        </is>
      </c>
      <c r="B11" s="2" t="inlineStr">
        <is>
          <t>30 分內 ≥ 1 倍、15 分內 ≥ 0.5 倍</t>
        </is>
      </c>
      <c r="C11" s="2" t="inlineStr">
        <is>
          <t>開盤 N 分內（1 分K 收盤 ≤ 第 N 分）累計量曾達門檻，成立後本小時都算（黏著）</t>
        </is>
      </c>
    </row>
    <row r="12">
      <c r="A12" s="2" t="inlineStr">
        <is>
          <t>③ 現價 &gt; 前高 ×</t>
        </is>
      </c>
      <c r="B12" s="2" t="n">
        <v>1</v>
      </c>
      <c r="C12" s="2" t="inlineStr">
        <is>
          <t>現價 = 那根 1 分K 收盤價</t>
        </is>
      </c>
    </row>
    <row r="13">
      <c r="A13" s="2" t="inlineStr">
        <is>
          <t>進場時機</t>
        </is>
      </c>
      <c r="B13" s="2" t="inlineStr">
        <is>
          <t>三條件第一次同時成立</t>
        </is>
      </c>
      <c r="C13" s="2" t="inlineStr">
        <is>
          <t>以那根 1 分K 收盤價進場；同幣每小時最多一次；持倉中不重複進場（與群組機器人一致）</t>
        </is>
      </c>
    </row>
    <row r="14">
      <c r="A14" s="2" t="inlineStr">
        <is>
          <t>出場後冷卻</t>
        </is>
      </c>
      <c r="B14" s="2" t="inlineStr">
        <is>
          <t>1 根</t>
        </is>
      </c>
      <c r="C14" s="2" t="inlineStr">
        <is>
          <t>出場的下一根 1 分K 起可再進場（須不同小時）</t>
        </is>
      </c>
    </row>
    <row r="15">
      <c r="A15" s="2" t="inlineStr">
        <is>
          <t>同根雙觸發</t>
        </is>
      </c>
      <c r="B15" s="2" t="inlineStr">
        <is>
          <t>保守計止損</t>
        </is>
      </c>
      <c r="C15" s="2" t="inlineStr">
        <is>
          <t>1 分K 已是最小週期</t>
        </is>
      </c>
    </row>
    <row r="16">
      <c r="A16" s="2" t="inlineStr">
        <is>
          <t>盈虧平衡勝率</t>
        </is>
      </c>
      <c r="B16" s="4">
        <f>IFERROR(AVERAGE(交易明細!$AC$2:$AC$48),(B6+2*B7)/(B5+B6))</f>
        <v/>
      </c>
      <c r="C16" s="2" t="inlineStr">
        <is>
          <t>含手續費，各筆平均；勝率低於此值 = 長期虧損</t>
        </is>
      </c>
    </row>
    <row r="17">
      <c r="B17" s="20" t="n"/>
    </row>
    <row r="18">
      <c r="B18" s="2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48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3" customWidth="1" min="30" max="30"/>
    <col width="12" customWidth="1" min="31" max="31"/>
    <col width="18" customWidth="1" min="32" max="32"/>
    <col width="12" customWidth="1" min="33" max="33"/>
    <col width="12" customWidth="1" min="34" max="34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① 前根收盤比開盤</t>
        </is>
      </c>
      <c r="AE1" s="3" t="inlineStr">
        <is>
          <t>② 觸發時量倍數</t>
        </is>
      </c>
      <c r="AF1" s="3" t="inlineStr">
        <is>
          <t>② 爆量分支</t>
        </is>
      </c>
      <c r="AG1" s="3" t="inlineStr">
        <is>
          <t>③ 進場價vs前高</t>
        </is>
      </c>
      <c r="AH1" s="3" t="inlineStr">
        <is>
          <t>觸發於第幾分鐘</t>
        </is>
      </c>
    </row>
    <row r="2">
      <c r="A2" s="2" t="n">
        <v>1</v>
      </c>
      <c r="B2" s="2" t="inlineStr">
        <is>
          <t>NOM_USDT_PERP</t>
        </is>
      </c>
      <c r="C2" s="2" t="inlineStr">
        <is>
          <t>做空</t>
        </is>
      </c>
      <c r="D2" s="7" t="n">
        <v>46289.59513888889</v>
      </c>
      <c r="E2" s="17" t="n">
        <v>0.002779</v>
      </c>
      <c r="F2" s="17" t="n">
        <v>0.00269563</v>
      </c>
      <c r="G2" s="17" t="n">
        <v>0.00291795</v>
      </c>
      <c r="H2" s="7" t="n">
        <v>46289.6</v>
      </c>
      <c r="I2" s="17" t="n">
        <v>0.00269563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/>
      <c r="O2" s="4" t="n"/>
      <c r="P2" s="4" t="n"/>
      <c r="Q2" s="19" t="n"/>
      <c r="R2" s="19" t="n"/>
      <c r="S2" s="4" t="n">
        <v>0.03</v>
      </c>
      <c r="T2" s="4" t="n">
        <v>0.01187477509895651</v>
      </c>
      <c r="U2" s="16" t="n"/>
      <c r="V2" s="16" t="n"/>
      <c r="W2" s="4" t="n"/>
      <c r="X2" s="4" t="n"/>
      <c r="Y2" s="4" t="n"/>
      <c r="Z2" s="4" t="n"/>
      <c r="AA2" s="4" t="n">
        <v>0.03</v>
      </c>
      <c r="AB2" s="4" t="n">
        <v>0.05</v>
      </c>
      <c r="AC2" s="4">
        <f>(AB2+2*參數!$B$7)/(AA2+AB2)</f>
        <v/>
      </c>
      <c r="AD2" s="2" t="n">
        <v>0.1595698924731184</v>
      </c>
      <c r="AE2" s="2" t="n">
        <v>0.7901093245305789</v>
      </c>
      <c r="AF2" s="2" t="inlineStr">
        <is>
          <t>15分0.5倍</t>
        </is>
      </c>
      <c r="AG2" s="2" t="n">
        <v>0.00761421319796951</v>
      </c>
      <c r="AH2" s="2" t="n">
        <v>17</v>
      </c>
    </row>
    <row r="3">
      <c r="A3" s="2" t="n">
        <v>2</v>
      </c>
      <c r="B3" s="2" t="inlineStr">
        <is>
          <t>BROCCOLI_USDT_PERP</t>
        </is>
      </c>
      <c r="C3" s="2" t="inlineStr">
        <is>
          <t>做空</t>
        </is>
      </c>
      <c r="D3" s="7" t="n">
        <v>46289.8</v>
      </c>
      <c r="E3" s="17" t="n">
        <v>0.02867</v>
      </c>
      <c r="F3" s="17" t="n">
        <v>0.0278099</v>
      </c>
      <c r="G3" s="17" t="n">
        <v>0.0301035</v>
      </c>
      <c r="H3" s="7" t="n">
        <v>46289.85347222222</v>
      </c>
      <c r="I3" s="17" t="n">
        <v>0.0301035</v>
      </c>
      <c r="J3" s="2" t="inlineStr">
        <is>
          <t>止損</t>
        </is>
      </c>
      <c r="K3" s="5">
        <f>(H3-D3)*24</f>
        <v/>
      </c>
      <c r="L3" s="4">
        <f>IF(C3="做多",I3/E3-1,1-I3/E3)-2*參數!$B$7</f>
        <v/>
      </c>
      <c r="M3" s="2" t="inlineStr"/>
      <c r="N3" s="4" t="n"/>
      <c r="O3" s="4" t="n"/>
      <c r="P3" s="4" t="n"/>
      <c r="Q3" s="19" t="n"/>
      <c r="R3" s="19" t="n"/>
      <c r="S3" s="4" t="n">
        <v>0.02790373212417163</v>
      </c>
      <c r="T3" s="4" t="n">
        <v>0.05</v>
      </c>
      <c r="U3" s="16" t="n"/>
      <c r="V3" s="16" t="n"/>
      <c r="W3" s="4" t="n"/>
      <c r="X3" s="4" t="n"/>
      <c r="Y3" s="4" t="n"/>
      <c r="Z3" s="4" t="n"/>
      <c r="AA3" s="4" t="n">
        <v>0.03</v>
      </c>
      <c r="AB3" s="4" t="n">
        <v>0.05</v>
      </c>
      <c r="AC3" s="4">
        <f>(AB3+2*參數!$B$7)/(AA3+AB3)</f>
        <v/>
      </c>
      <c r="AD3" s="2" t="n">
        <v>0.1203369434416366</v>
      </c>
      <c r="AE3" s="2" t="n">
        <v>0.6219296190108617</v>
      </c>
      <c r="AF3" s="2" t="inlineStr">
        <is>
          <t>15分0.5倍</t>
        </is>
      </c>
      <c r="AG3" s="2" t="n">
        <v>0.007378777231201727</v>
      </c>
      <c r="AH3" s="2" t="n">
        <v>12</v>
      </c>
    </row>
    <row r="4">
      <c r="A4" s="2" t="n">
        <v>3</v>
      </c>
      <c r="B4" s="2" t="inlineStr">
        <is>
          <t>AGT_USDT_PERP</t>
        </is>
      </c>
      <c r="C4" s="2" t="inlineStr">
        <is>
          <t>做空</t>
        </is>
      </c>
      <c r="D4" s="7" t="n">
        <v>46289.81041666667</v>
      </c>
      <c r="E4" s="17" t="n">
        <v>0.019584</v>
      </c>
      <c r="F4" s="17" t="n">
        <v>0.01899648</v>
      </c>
      <c r="G4" s="17" t="n">
        <v>0.0205632</v>
      </c>
      <c r="H4" s="7" t="n">
        <v>46289.97430555556</v>
      </c>
      <c r="I4" s="17" t="n">
        <v>0.01899648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/>
      <c r="O4" s="4" t="n"/>
      <c r="P4" s="4" t="n"/>
      <c r="Q4" s="19" t="n"/>
      <c r="R4" s="19" t="n"/>
      <c r="S4" s="4" t="n">
        <v>0.03</v>
      </c>
      <c r="T4" s="4" t="n">
        <v>0.01710580065359468</v>
      </c>
      <c r="U4" s="16" t="n"/>
      <c r="V4" s="16" t="n"/>
      <c r="W4" s="4" t="n"/>
      <c r="X4" s="4" t="n"/>
      <c r="Y4" s="4" t="n"/>
      <c r="Z4" s="4" t="n"/>
      <c r="AA4" s="4" t="n">
        <v>0.03</v>
      </c>
      <c r="AB4" s="4" t="n">
        <v>0.05</v>
      </c>
      <c r="AC4" s="4">
        <f>(AB4+2*參數!$B$7)/(AA4+AB4)</f>
        <v/>
      </c>
      <c r="AD4" s="2" t="n">
        <v>0.06028797537920427</v>
      </c>
      <c r="AE4" s="2" t="n">
        <v>1.019097229886326</v>
      </c>
      <c r="AF4" s="2" t="inlineStr">
        <is>
          <t>30分1倍</t>
        </is>
      </c>
      <c r="AG4" s="2" t="n">
        <v>0.01329745951259897</v>
      </c>
      <c r="AH4" s="2" t="n">
        <v>27</v>
      </c>
    </row>
    <row r="5">
      <c r="A5" s="2" t="n">
        <v>4</v>
      </c>
      <c r="B5" s="2" t="inlineStr">
        <is>
          <t>PHA_USDT_PERP</t>
        </is>
      </c>
      <c r="C5" s="2" t="inlineStr">
        <is>
          <t>做空</t>
        </is>
      </c>
      <c r="D5" s="7" t="n">
        <v>46289.83541666667</v>
      </c>
      <c r="E5" s="17" t="n">
        <v>0.05098</v>
      </c>
      <c r="F5" s="17" t="n">
        <v>0.0494506</v>
      </c>
      <c r="G5" s="17" t="n">
        <v>0.053529</v>
      </c>
      <c r="H5" s="7" t="n">
        <v>46289.84652777778</v>
      </c>
      <c r="I5" s="17" t="n">
        <v>0.053529</v>
      </c>
      <c r="J5" s="2" t="inlineStr">
        <is>
          <t>止損</t>
        </is>
      </c>
      <c r="K5" s="5">
        <f>(H5-D5)*24</f>
        <v/>
      </c>
      <c r="L5" s="4">
        <f>IF(C5="做多",I5/E5-1,1-I5/E5)-2*參數!$B$7</f>
        <v/>
      </c>
      <c r="M5" s="2" t="inlineStr"/>
      <c r="N5" s="4" t="n"/>
      <c r="O5" s="4" t="n"/>
      <c r="P5" s="4" t="n"/>
      <c r="Q5" s="19" t="n"/>
      <c r="R5" s="19" t="n"/>
      <c r="S5" s="4" t="n">
        <v>0.002942330325617859</v>
      </c>
      <c r="T5" s="4" t="n">
        <v>0.05</v>
      </c>
      <c r="U5" s="16" t="n"/>
      <c r="V5" s="16" t="n"/>
      <c r="W5" s="4" t="n"/>
      <c r="X5" s="4" t="n"/>
      <c r="Y5" s="4" t="n"/>
      <c r="Z5" s="4" t="n"/>
      <c r="AA5" s="4" t="n">
        <v>0.03</v>
      </c>
      <c r="AB5" s="4" t="n">
        <v>0.05</v>
      </c>
      <c r="AC5" s="4">
        <f>(AB5+2*參數!$B$7)/(AA5+AB5)</f>
        <v/>
      </c>
      <c r="AD5" s="2" t="n">
        <v>0.06299706990372544</v>
      </c>
      <c r="AE5" s="2" t="n">
        <v>0.7304297906540625</v>
      </c>
      <c r="AF5" s="2" t="inlineStr">
        <is>
          <t>15分0.5倍</t>
        </is>
      </c>
      <c r="AG5" s="2" t="n">
        <v>0.0001961938395134144</v>
      </c>
      <c r="AH5" s="2" t="n">
        <v>3</v>
      </c>
    </row>
    <row r="6">
      <c r="A6" s="2" t="n">
        <v>5</v>
      </c>
      <c r="B6" s="2" t="inlineStr">
        <is>
          <t>BB_USDT_PERP</t>
        </is>
      </c>
      <c r="C6" s="2" t="inlineStr">
        <is>
          <t>做空</t>
        </is>
      </c>
      <c r="D6" s="7" t="n">
        <v>46289.94236111111</v>
      </c>
      <c r="E6" s="17" t="n">
        <v>0.01095</v>
      </c>
      <c r="F6" s="17" t="n">
        <v>0.0106215</v>
      </c>
      <c r="G6" s="17" t="n">
        <v>0.0114975</v>
      </c>
      <c r="H6" s="7" t="n">
        <v>46289.99236111111</v>
      </c>
      <c r="I6" s="17" t="n">
        <v>0.0106215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/>
      <c r="O6" s="4" t="n"/>
      <c r="P6" s="4" t="n"/>
      <c r="Q6" s="19" t="n"/>
      <c r="R6" s="19" t="n"/>
      <c r="S6" s="4" t="n">
        <v>0.03</v>
      </c>
      <c r="T6" s="4" t="n">
        <v>0.03926940639269394</v>
      </c>
      <c r="U6" s="16" t="n"/>
      <c r="V6" s="16" t="n"/>
      <c r="W6" s="4" t="n"/>
      <c r="X6" s="4" t="n"/>
      <c r="Y6" s="4" t="n"/>
      <c r="Z6" s="4" t="n"/>
      <c r="AA6" s="4" t="n">
        <v>0.03</v>
      </c>
      <c r="AB6" s="4" t="n">
        <v>0.05</v>
      </c>
      <c r="AC6" s="4">
        <f>(AB6+2*參數!$B$7)/(AA6+AB6)</f>
        <v/>
      </c>
      <c r="AD6" s="2" t="n">
        <v>0.07157057654075549</v>
      </c>
      <c r="AE6" s="2" t="n">
        <v>2.437114019164603</v>
      </c>
      <c r="AF6" s="2" t="inlineStr">
        <is>
          <t>2倍</t>
        </is>
      </c>
      <c r="AG6" s="2" t="n">
        <v>0.01388888888888884</v>
      </c>
      <c r="AH6" s="2" t="n">
        <v>37</v>
      </c>
    </row>
    <row r="7">
      <c r="A7" s="2" t="n">
        <v>6</v>
      </c>
      <c r="B7" s="2" t="inlineStr">
        <is>
          <t>RIVER_USDT_PERP</t>
        </is>
      </c>
      <c r="C7" s="2" t="inlineStr">
        <is>
          <t>做空</t>
        </is>
      </c>
      <c r="D7" s="7" t="n">
        <v>46290.01111111111</v>
      </c>
      <c r="E7" s="17" t="n">
        <v>1.278</v>
      </c>
      <c r="F7" s="17" t="n">
        <v>1.23966</v>
      </c>
      <c r="G7" s="17" t="n">
        <v>1.3419</v>
      </c>
      <c r="H7" s="7" t="n">
        <v>46290.44930555556</v>
      </c>
      <c r="I7" s="17" t="n">
        <v>1.23966</v>
      </c>
      <c r="J7" s="2" t="inlineStr">
        <is>
          <t>止盈</t>
        </is>
      </c>
      <c r="K7" s="5">
        <f>(H7-D7)*24</f>
        <v/>
      </c>
      <c r="L7" s="4">
        <f>IF(C7="做多",I7/E7-1,1-I7/E7)-2*參數!$B$7</f>
        <v/>
      </c>
      <c r="M7" s="2" t="inlineStr"/>
      <c r="N7" s="4" t="n"/>
      <c r="O7" s="4" t="n"/>
      <c r="P7" s="4" t="n"/>
      <c r="Q7" s="19" t="n"/>
      <c r="R7" s="19" t="n"/>
      <c r="S7" s="4" t="n">
        <v>0.03</v>
      </c>
      <c r="T7" s="4" t="n">
        <v>0.04460093896713602</v>
      </c>
      <c r="U7" s="16" t="n"/>
      <c r="V7" s="16" t="n"/>
      <c r="W7" s="4" t="n"/>
      <c r="X7" s="4" t="n"/>
      <c r="Y7" s="4" t="n"/>
      <c r="Z7" s="4" t="n"/>
      <c r="AA7" s="4" t="n">
        <v>0.03</v>
      </c>
      <c r="AB7" s="4" t="n">
        <v>0.05</v>
      </c>
      <c r="AC7" s="4">
        <f>(AB7+2*參數!$B$7)/(AA7+AB7)</f>
        <v/>
      </c>
      <c r="AD7" s="2" t="n">
        <v>0.06688963210702337</v>
      </c>
      <c r="AE7" s="2" t="n">
        <v>1.912629795915797</v>
      </c>
      <c r="AF7" s="2" t="inlineStr">
        <is>
          <t>30分1倍+15分0.5倍</t>
        </is>
      </c>
      <c r="AG7" s="2" t="n">
        <v>0.00156739811912221</v>
      </c>
      <c r="AH7" s="2" t="n">
        <v>16</v>
      </c>
    </row>
    <row r="8">
      <c r="A8" s="2" t="n">
        <v>7</v>
      </c>
      <c r="B8" s="2" t="inlineStr">
        <is>
          <t>LAB_USDT_PERP</t>
        </is>
      </c>
      <c r="C8" s="2" t="inlineStr">
        <is>
          <t>做空</t>
        </is>
      </c>
      <c r="D8" s="7" t="n">
        <v>46290.01458333333</v>
      </c>
      <c r="E8" s="17" t="n">
        <v>0.06094</v>
      </c>
      <c r="F8" s="17" t="n">
        <v>0.0591118</v>
      </c>
      <c r="G8" s="17" t="n">
        <v>0.063987</v>
      </c>
      <c r="H8" s="7" t="n">
        <v>46290.26388888889</v>
      </c>
      <c r="I8" s="17" t="n">
        <v>0.0591118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/>
      <c r="O8" s="4" t="n"/>
      <c r="P8" s="4" t="n"/>
      <c r="Q8" s="19" t="n"/>
      <c r="R8" s="19" t="n"/>
      <c r="S8" s="4" t="n">
        <v>0.03</v>
      </c>
      <c r="T8" s="4" t="n">
        <v>0.03807023301608137</v>
      </c>
      <c r="U8" s="16" t="n"/>
      <c r="V8" s="16" t="n"/>
      <c r="W8" s="4" t="n"/>
      <c r="X8" s="4" t="n"/>
      <c r="Y8" s="4" t="n"/>
      <c r="Z8" s="4" t="n"/>
      <c r="AA8" s="4" t="n">
        <v>0.03</v>
      </c>
      <c r="AB8" s="4" t="n">
        <v>0.05</v>
      </c>
      <c r="AC8" s="4">
        <f>(AB8+2*參數!$B$7)/(AA8+AB8)</f>
        <v/>
      </c>
      <c r="AD8" s="2" t="n">
        <v>0.06563976894801327</v>
      </c>
      <c r="AE8" s="2" t="n">
        <v>0.6644694678375066</v>
      </c>
      <c r="AF8" s="2" t="inlineStr">
        <is>
          <t>15分0.5倍</t>
        </is>
      </c>
      <c r="AG8" s="2" t="n">
        <v>0.0003282994090609836</v>
      </c>
      <c r="AH8" s="2" t="n">
        <v>21</v>
      </c>
    </row>
    <row r="9">
      <c r="A9" s="2" t="n">
        <v>8</v>
      </c>
      <c r="B9" s="2" t="inlineStr">
        <is>
          <t>SAGA_USDT_PERP</t>
        </is>
      </c>
      <c r="C9" s="2" t="inlineStr">
        <is>
          <t>做空</t>
        </is>
      </c>
      <c r="D9" s="7" t="n">
        <v>46290.3375</v>
      </c>
      <c r="E9" s="17" t="n">
        <v>0.07862</v>
      </c>
      <c r="F9" s="17" t="n">
        <v>0.07626139999999999</v>
      </c>
      <c r="G9" s="17" t="n">
        <v>0.082551</v>
      </c>
      <c r="H9" s="7" t="n">
        <v>46290.33819444444</v>
      </c>
      <c r="I9" s="17" t="n">
        <v>0.07626139999999999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/>
      <c r="O9" s="4" t="n"/>
      <c r="P9" s="4" t="n"/>
      <c r="Q9" s="19" t="n"/>
      <c r="R9" s="19" t="n"/>
      <c r="S9" s="4" t="n">
        <v>0.03</v>
      </c>
      <c r="T9" s="4" t="n">
        <v>0</v>
      </c>
      <c r="U9" s="16" t="n"/>
      <c r="V9" s="16" t="n"/>
      <c r="W9" s="4" t="n"/>
      <c r="X9" s="4" t="n"/>
      <c r="Y9" s="4" t="n"/>
      <c r="Z9" s="4" t="n"/>
      <c r="AA9" s="4" t="n">
        <v>0.03</v>
      </c>
      <c r="AB9" s="4" t="n">
        <v>0.05</v>
      </c>
      <c r="AC9" s="4">
        <f>(AB9+2*參數!$B$7)/(AA9+AB9)</f>
        <v/>
      </c>
      <c r="AD9" s="2" t="n">
        <v>0.07787302048525357</v>
      </c>
      <c r="AE9" s="2" t="n">
        <v>0.5542907342236053</v>
      </c>
      <c r="AF9" s="2" t="inlineStr">
        <is>
          <t>15分0.5倍</t>
        </is>
      </c>
      <c r="AG9" s="2" t="n">
        <v>0.03270721134900811</v>
      </c>
      <c r="AH9" s="2" t="n">
        <v>6</v>
      </c>
    </row>
    <row r="10">
      <c r="A10" s="2" t="n">
        <v>9</v>
      </c>
      <c r="B10" s="2" t="inlineStr">
        <is>
          <t>PLAY_USDT_PERP</t>
        </is>
      </c>
      <c r="C10" s="2" t="inlineStr">
        <is>
          <t>做空</t>
        </is>
      </c>
      <c r="D10" s="7" t="n">
        <v>46290.45555555556</v>
      </c>
      <c r="E10" s="17" t="n">
        <v>0.04057</v>
      </c>
      <c r="F10" s="17" t="n">
        <v>0.0393529</v>
      </c>
      <c r="G10" s="17" t="n">
        <v>0.0425985</v>
      </c>
      <c r="H10" s="7" t="n">
        <v>46290.48263888889</v>
      </c>
      <c r="I10" s="17" t="n">
        <v>0.0393529</v>
      </c>
      <c r="J10" s="2" t="inlineStr">
        <is>
          <t>止盈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/>
      <c r="O10" s="4" t="n"/>
      <c r="P10" s="4" t="n"/>
      <c r="Q10" s="19" t="n"/>
      <c r="R10" s="19" t="n"/>
      <c r="S10" s="4" t="n">
        <v>0.03</v>
      </c>
      <c r="T10" s="4" t="n">
        <v>0.01947251663790972</v>
      </c>
      <c r="U10" s="16" t="n"/>
      <c r="V10" s="16" t="n"/>
      <c r="W10" s="4" t="n"/>
      <c r="X10" s="4" t="n"/>
      <c r="Y10" s="4" t="n"/>
      <c r="Z10" s="4" t="n"/>
      <c r="AA10" s="4" t="n">
        <v>0.03</v>
      </c>
      <c r="AB10" s="4" t="n">
        <v>0.05</v>
      </c>
      <c r="AC10" s="4">
        <f>(AB10+2*參數!$B$7)/(AA10+AB10)</f>
        <v/>
      </c>
      <c r="AD10" s="2" t="n">
        <v>0.06444740346205058</v>
      </c>
      <c r="AE10" s="2" t="n">
        <v>2.46672496232488</v>
      </c>
      <c r="AF10" s="2" t="inlineStr">
        <is>
          <t>2倍</t>
        </is>
      </c>
      <c r="AG10" s="2" t="n">
        <v>0.0002465483234714849</v>
      </c>
      <c r="AH10" s="2" t="n">
        <v>56</v>
      </c>
    </row>
    <row r="11">
      <c r="A11" s="2" t="n">
        <v>10</v>
      </c>
      <c r="B11" s="2" t="inlineStr">
        <is>
          <t>MOVR_USDT_PERP</t>
        </is>
      </c>
      <c r="C11" s="2" t="inlineStr">
        <is>
          <t>做空</t>
        </is>
      </c>
      <c r="D11" s="7" t="n">
        <v>46290.54375</v>
      </c>
      <c r="E11" s="17" t="n">
        <v>0.974</v>
      </c>
      <c r="F11" s="17" t="n">
        <v>0.94478</v>
      </c>
      <c r="G11" s="17" t="n">
        <v>1.0227</v>
      </c>
      <c r="H11" s="7" t="n">
        <v>46290.55763888889</v>
      </c>
      <c r="I11" s="17" t="n">
        <v>0.94478</v>
      </c>
      <c r="J11" s="2" t="inlineStr">
        <is>
          <t>止盈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/>
      <c r="O11" s="4" t="n"/>
      <c r="P11" s="4" t="n"/>
      <c r="Q11" s="19" t="n"/>
      <c r="R11" s="19" t="n"/>
      <c r="S11" s="4" t="n">
        <v>0.03</v>
      </c>
      <c r="T11" s="4" t="n">
        <v>0.01642710472279263</v>
      </c>
      <c r="U11" s="16" t="n"/>
      <c r="V11" s="16" t="n"/>
      <c r="W11" s="4" t="n"/>
      <c r="X11" s="4" t="n"/>
      <c r="Y11" s="4" t="n"/>
      <c r="Z11" s="4" t="n"/>
      <c r="AA11" s="4" t="n">
        <v>0.03</v>
      </c>
      <c r="AB11" s="4" t="n">
        <v>0.05</v>
      </c>
      <c r="AC11" s="4">
        <f>(AB11+2*參數!$B$7)/(AA11+AB11)</f>
        <v/>
      </c>
      <c r="AD11" s="2" t="n">
        <v>0.0723025583982202</v>
      </c>
      <c r="AE11" s="2" t="n">
        <v>0.697488740609033</v>
      </c>
      <c r="AF11" s="2" t="inlineStr">
        <is>
          <t>15分0.5倍</t>
        </is>
      </c>
      <c r="AG11" s="2" t="n">
        <v>0.007238883143743546</v>
      </c>
      <c r="AH11" s="2" t="n">
        <v>3</v>
      </c>
    </row>
    <row r="12">
      <c r="A12" s="2" t="n">
        <v>11</v>
      </c>
      <c r="B12" s="2" t="inlineStr">
        <is>
          <t>PHA_USDT_PERP</t>
        </is>
      </c>
      <c r="C12" s="2" t="inlineStr">
        <is>
          <t>做空</t>
        </is>
      </c>
      <c r="D12" s="7" t="n">
        <v>46290.64305555556</v>
      </c>
      <c r="E12" s="17" t="n">
        <v>0.05717</v>
      </c>
      <c r="F12" s="17" t="n">
        <v>0.05545489999999999</v>
      </c>
      <c r="G12" s="17" t="n">
        <v>0.0600285</v>
      </c>
      <c r="H12" s="7" t="n">
        <v>46290.66527777778</v>
      </c>
      <c r="I12" s="17" t="n">
        <v>0.05545489999999999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/>
      <c r="O12" s="4" t="n"/>
      <c r="P12" s="4" t="n"/>
      <c r="Q12" s="19" t="n"/>
      <c r="R12" s="19" t="n"/>
      <c r="S12" s="4" t="n">
        <v>0.03</v>
      </c>
      <c r="T12" s="4" t="n">
        <v>0.02781178940003493</v>
      </c>
      <c r="U12" s="16" t="n"/>
      <c r="V12" s="16" t="n"/>
      <c r="W12" s="4" t="n"/>
      <c r="X12" s="4" t="n"/>
      <c r="Y12" s="4" t="n"/>
      <c r="Z12" s="4" t="n"/>
      <c r="AA12" s="4" t="n">
        <v>0.03</v>
      </c>
      <c r="AB12" s="4" t="n">
        <v>0.05</v>
      </c>
      <c r="AC12" s="4">
        <f>(AB12+2*參數!$B$7)/(AA12+AB12)</f>
        <v/>
      </c>
      <c r="AD12" s="2" t="n">
        <v>0.06047556637333851</v>
      </c>
      <c r="AE12" s="2" t="n">
        <v>1.017332550709329</v>
      </c>
      <c r="AF12" s="2" t="inlineStr">
        <is>
          <t>30分1倍</t>
        </is>
      </c>
      <c r="AG12" s="2" t="n">
        <v>0.001401296198983992</v>
      </c>
      <c r="AH12" s="2" t="n">
        <v>26</v>
      </c>
    </row>
    <row r="13">
      <c r="A13" s="2" t="n">
        <v>12</v>
      </c>
      <c r="B13" s="2" t="inlineStr">
        <is>
          <t>CASHCAT_USDT_PERP</t>
        </is>
      </c>
      <c r="C13" s="2" t="inlineStr">
        <is>
          <t>做空</t>
        </is>
      </c>
      <c r="D13" s="7" t="n">
        <v>46290.67708333334</v>
      </c>
      <c r="E13" s="17" t="n">
        <v>0.1726</v>
      </c>
      <c r="F13" s="17" t="n">
        <v>0.167422</v>
      </c>
      <c r="G13" s="17" t="n">
        <v>0.18123</v>
      </c>
      <c r="H13" s="7" t="n">
        <v>46290.76041666666</v>
      </c>
      <c r="I13" s="17" t="n">
        <v>0.18123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/>
      <c r="N13" s="4" t="n"/>
      <c r="O13" s="4" t="n"/>
      <c r="P13" s="4" t="n"/>
      <c r="Q13" s="19" t="n"/>
      <c r="R13" s="19" t="n"/>
      <c r="S13" s="4" t="n">
        <v>0.008690614136732333</v>
      </c>
      <c r="T13" s="4" t="n">
        <v>0.05</v>
      </c>
      <c r="U13" s="16" t="n"/>
      <c r="V13" s="16" t="n"/>
      <c r="W13" s="4" t="n"/>
      <c r="X13" s="4" t="n"/>
      <c r="Y13" s="4" t="n"/>
      <c r="Z13" s="4" t="n"/>
      <c r="AA13" s="4" t="n">
        <v>0.03</v>
      </c>
      <c r="AB13" s="4" t="n">
        <v>0.05</v>
      </c>
      <c r="AC13" s="4">
        <f>(AB13+2*參數!$B$7)/(AA13+AB13)</f>
        <v/>
      </c>
      <c r="AD13" s="2" t="n">
        <v>0.06574827802128991</v>
      </c>
      <c r="AE13" s="2" t="n">
        <v>0.5128737627342798</v>
      </c>
      <c r="AF13" s="2" t="inlineStr">
        <is>
          <t>15分0.5倍</t>
        </is>
      </c>
      <c r="AG13" s="2" t="n">
        <v>0.009356725146198785</v>
      </c>
      <c r="AH13" s="2" t="n">
        <v>15</v>
      </c>
    </row>
    <row r="14">
      <c r="A14" s="2" t="n">
        <v>13</v>
      </c>
      <c r="B14" s="2" t="inlineStr">
        <is>
          <t>MUBARAK_USDT_PERP</t>
        </is>
      </c>
      <c r="C14" s="2" t="inlineStr">
        <is>
          <t>做空</t>
        </is>
      </c>
      <c r="D14" s="7" t="n">
        <v>46290.84166666667</v>
      </c>
      <c r="E14" s="17" t="n">
        <v>0.04613</v>
      </c>
      <c r="F14" s="17" t="n">
        <v>0.0447461</v>
      </c>
      <c r="G14" s="17" t="n">
        <v>0.0484365</v>
      </c>
      <c r="H14" s="7" t="n">
        <v>46290.86875</v>
      </c>
      <c r="I14" s="17" t="n">
        <v>0.0447461</v>
      </c>
      <c r="J14" s="2" t="inlineStr">
        <is>
          <t>止盈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/>
      <c r="O14" s="4" t="n"/>
      <c r="P14" s="4" t="n"/>
      <c r="Q14" s="19" t="n"/>
      <c r="R14" s="19" t="n"/>
      <c r="S14" s="4" t="n">
        <v>0.03</v>
      </c>
      <c r="T14" s="4" t="n">
        <v>0.003468458703663524</v>
      </c>
      <c r="U14" s="16" t="n"/>
      <c r="V14" s="16" t="n"/>
      <c r="W14" s="4" t="n"/>
      <c r="X14" s="4" t="n"/>
      <c r="Y14" s="4" t="n"/>
      <c r="Z14" s="4" t="n"/>
      <c r="AA14" s="4" t="n">
        <v>0.03</v>
      </c>
      <c r="AB14" s="4" t="n">
        <v>0.05</v>
      </c>
      <c r="AC14" s="4">
        <f>(AB14+2*參數!$B$7)/(AA14+AB14)</f>
        <v/>
      </c>
      <c r="AD14" s="2" t="n">
        <v>0.06917504089740589</v>
      </c>
      <c r="AE14" s="2" t="n">
        <v>0.52803218169666</v>
      </c>
      <c r="AF14" s="2" t="inlineStr">
        <is>
          <t>15分0.5倍</t>
        </is>
      </c>
      <c r="AG14" s="2" t="n">
        <v>0.0008678672163158208</v>
      </c>
      <c r="AH14" s="2" t="n">
        <v>12</v>
      </c>
    </row>
    <row r="15">
      <c r="A15" s="2" t="n">
        <v>14</v>
      </c>
      <c r="B15" s="2" t="inlineStr">
        <is>
          <t>MOVR_USDT_PERP</t>
        </is>
      </c>
      <c r="C15" s="2" t="inlineStr">
        <is>
          <t>做空</t>
        </is>
      </c>
      <c r="D15" s="7" t="n">
        <v>46290.96875</v>
      </c>
      <c r="E15" s="17" t="n">
        <v>1.119</v>
      </c>
      <c r="F15" s="17" t="n">
        <v>1.08543</v>
      </c>
      <c r="G15" s="17" t="n">
        <v>1.17495</v>
      </c>
      <c r="H15" s="7" t="n">
        <v>46290.97430555556</v>
      </c>
      <c r="I15" s="17" t="n">
        <v>1.08543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/>
      <c r="O15" s="4" t="n"/>
      <c r="P15" s="4" t="n"/>
      <c r="Q15" s="19" t="n"/>
      <c r="R15" s="19" t="n"/>
      <c r="S15" s="4" t="n">
        <v>0.03</v>
      </c>
      <c r="T15" s="4" t="n">
        <v>0.01251117068811447</v>
      </c>
      <c r="U15" s="16" t="n"/>
      <c r="V15" s="16" t="n"/>
      <c r="W15" s="4" t="n"/>
      <c r="X15" s="4" t="n"/>
      <c r="Y15" s="4" t="n"/>
      <c r="Z15" s="4" t="n"/>
      <c r="AA15" s="4" t="n">
        <v>0.03</v>
      </c>
      <c r="AB15" s="4" t="n">
        <v>0.05</v>
      </c>
      <c r="AC15" s="4">
        <f>(AB15+2*參數!$B$7)/(AA15+AB15)</f>
        <v/>
      </c>
      <c r="AD15" s="2" t="n">
        <v>0.06886227544910173</v>
      </c>
      <c r="AE15" s="2" t="n">
        <v>0.5088775642603551</v>
      </c>
      <c r="AF15" s="2" t="inlineStr">
        <is>
          <t>15分0.5倍</t>
        </is>
      </c>
      <c r="AG15" s="2" t="n">
        <v>0.04384328358208944</v>
      </c>
      <c r="AH15" s="2" t="n">
        <v>15</v>
      </c>
    </row>
    <row r="16">
      <c r="A16" s="2" t="n">
        <v>15</v>
      </c>
      <c r="B16" s="2" t="inlineStr">
        <is>
          <t>LYN_USDT_PERP</t>
        </is>
      </c>
      <c r="C16" s="2" t="inlineStr">
        <is>
          <t>做空</t>
        </is>
      </c>
      <c r="D16" s="7" t="n">
        <v>46291.00694444445</v>
      </c>
      <c r="E16" s="17" t="n">
        <v>0.04478</v>
      </c>
      <c r="F16" s="17" t="n">
        <v>0.0434366</v>
      </c>
      <c r="G16" s="17" t="n">
        <v>0.04701900000000001</v>
      </c>
      <c r="H16" s="7" t="n">
        <v>46291.00833333333</v>
      </c>
      <c r="I16" s="17" t="n">
        <v>0.0434366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/>
      <c r="O16" s="4" t="n"/>
      <c r="P16" s="4" t="n"/>
      <c r="Q16" s="19" t="n"/>
      <c r="R16" s="19" t="n"/>
      <c r="S16" s="4" t="n">
        <v>0.03</v>
      </c>
      <c r="T16" s="4" t="n">
        <v>0.01987494417150515</v>
      </c>
      <c r="U16" s="16" t="n"/>
      <c r="V16" s="16" t="n"/>
      <c r="W16" s="4" t="n"/>
      <c r="X16" s="4" t="n"/>
      <c r="Y16" s="4" t="n"/>
      <c r="Z16" s="4" t="n"/>
      <c r="AA16" s="4" t="n">
        <v>0.03</v>
      </c>
      <c r="AB16" s="4" t="n">
        <v>0.05</v>
      </c>
      <c r="AC16" s="4">
        <f>(AB16+2*參數!$B$7)/(AA16+AB16)</f>
        <v/>
      </c>
      <c r="AD16" s="2" t="n">
        <v>0.1174261392088132</v>
      </c>
      <c r="AE16" s="2" t="n">
        <v>0.6496533063496981</v>
      </c>
      <c r="AF16" s="2" t="inlineStr">
        <is>
          <t>15分0.5倍</t>
        </is>
      </c>
      <c r="AG16" s="2" t="n">
        <v>0.001565645269514748</v>
      </c>
      <c r="AH16" s="2" t="n">
        <v>10</v>
      </c>
    </row>
    <row r="17">
      <c r="A17" s="2" t="n">
        <v>16</v>
      </c>
      <c r="B17" s="2" t="inlineStr">
        <is>
          <t>SPK_USDT_PERP</t>
        </is>
      </c>
      <c r="C17" s="2" t="inlineStr">
        <is>
          <t>做空</t>
        </is>
      </c>
      <c r="D17" s="7" t="n">
        <v>46291.00833333333</v>
      </c>
      <c r="E17" s="17" t="n">
        <v>0.0245</v>
      </c>
      <c r="F17" s="17" t="n">
        <v>0.023765</v>
      </c>
      <c r="G17" s="17" t="n">
        <v>0.025725</v>
      </c>
      <c r="H17" s="7" t="n">
        <v>46291.01805555556</v>
      </c>
      <c r="I17" s="17" t="n">
        <v>0.025725</v>
      </c>
      <c r="J17" s="2" t="inlineStr">
        <is>
          <t>止損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/>
      <c r="O17" s="4" t="n"/>
      <c r="P17" s="4" t="n"/>
      <c r="Q17" s="19" t="n"/>
      <c r="R17" s="19" t="n"/>
      <c r="S17" s="4" t="n">
        <v>0.01836734693877562</v>
      </c>
      <c r="T17" s="4" t="n">
        <v>0.05</v>
      </c>
      <c r="U17" s="16" t="n"/>
      <c r="V17" s="16" t="n"/>
      <c r="W17" s="4" t="n"/>
      <c r="X17" s="4" t="n"/>
      <c r="Y17" s="4" t="n"/>
      <c r="Z17" s="4" t="n"/>
      <c r="AA17" s="4" t="n">
        <v>0.03</v>
      </c>
      <c r="AB17" s="4" t="n">
        <v>0.05</v>
      </c>
      <c r="AC17" s="4">
        <f>(AB17+2*參數!$B$7)/(AA17+AB17)</f>
        <v/>
      </c>
      <c r="AD17" s="2" t="n">
        <v>0.06481481481481488</v>
      </c>
      <c r="AE17" s="2" t="n">
        <v>0.5050397363242459</v>
      </c>
      <c r="AF17" s="2" t="inlineStr">
        <is>
          <t>15分0.5倍</t>
        </is>
      </c>
      <c r="AG17" s="2" t="n">
        <v>0.01072607260726066</v>
      </c>
      <c r="AH17" s="2" t="n">
        <v>12</v>
      </c>
    </row>
    <row r="18">
      <c r="A18" s="2" t="n">
        <v>17</v>
      </c>
      <c r="B18" s="2" t="inlineStr">
        <is>
          <t>LYN_USDT_PERP</t>
        </is>
      </c>
      <c r="C18" s="2" t="inlineStr">
        <is>
          <t>做空</t>
        </is>
      </c>
      <c r="D18" s="7" t="n">
        <v>46291.05</v>
      </c>
      <c r="E18" s="17" t="n">
        <v>0.07316</v>
      </c>
      <c r="F18" s="17" t="n">
        <v>0.07096520000000001</v>
      </c>
      <c r="G18" s="17" t="n">
        <v>0.07681800000000001</v>
      </c>
      <c r="H18" s="7" t="n">
        <v>46291.05069444444</v>
      </c>
      <c r="I18" s="17" t="n">
        <v>0.07096520000000001</v>
      </c>
      <c r="J18" s="2" t="inlineStr">
        <is>
          <t>止盈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/>
      <c r="O18" s="4" t="n"/>
      <c r="P18" s="4" t="n"/>
      <c r="Q18" s="19" t="n"/>
      <c r="R18" s="19" t="n"/>
      <c r="S18" s="4" t="n">
        <v>0.03</v>
      </c>
      <c r="T18" s="4" t="n">
        <v>0</v>
      </c>
      <c r="U18" s="16" t="n"/>
      <c r="V18" s="16" t="n"/>
      <c r="W18" s="4" t="n"/>
      <c r="X18" s="4" t="n"/>
      <c r="Y18" s="4" t="n"/>
      <c r="Z18" s="4" t="n"/>
      <c r="AA18" s="4" t="n">
        <v>0.03</v>
      </c>
      <c r="AB18" s="4" t="n">
        <v>0.05</v>
      </c>
      <c r="AC18" s="4">
        <f>(AB18+2*參數!$B$7)/(AA18+AB18)</f>
        <v/>
      </c>
      <c r="AD18" s="2" t="n">
        <v>0.5736051982971095</v>
      </c>
      <c r="AE18" s="2" t="n">
        <v>0.5566970423952549</v>
      </c>
      <c r="AF18" s="2" t="inlineStr">
        <is>
          <t>15分0.5倍</t>
        </is>
      </c>
      <c r="AG18" s="2" t="n">
        <v>0.0283947146471748</v>
      </c>
      <c r="AH18" s="2" t="n">
        <v>12</v>
      </c>
    </row>
    <row r="19">
      <c r="A19" s="2" t="n">
        <v>18</v>
      </c>
      <c r="B19" s="2" t="inlineStr">
        <is>
          <t>2Z_USDT_PERP</t>
        </is>
      </c>
      <c r="C19" s="2" t="inlineStr">
        <is>
          <t>做空</t>
        </is>
      </c>
      <c r="D19" s="7" t="n">
        <v>46291.59166666667</v>
      </c>
      <c r="E19" s="17" t="n">
        <v>0.06308999999999999</v>
      </c>
      <c r="F19" s="17" t="n">
        <v>0.06119729999999999</v>
      </c>
      <c r="G19" s="17" t="n">
        <v>0.0662445</v>
      </c>
      <c r="H19" s="7" t="n">
        <v>46291.59513888889</v>
      </c>
      <c r="I19" s="17" t="n">
        <v>0.0662445</v>
      </c>
      <c r="J19" s="2" t="inlineStr">
        <is>
          <t>止損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/>
      <c r="O19" s="4" t="n"/>
      <c r="P19" s="4" t="n"/>
      <c r="Q19" s="19" t="n"/>
      <c r="R19" s="19" t="n"/>
      <c r="S19" s="4" t="n">
        <v>0.005547630369313494</v>
      </c>
      <c r="T19" s="4" t="n">
        <v>0.05</v>
      </c>
      <c r="U19" s="16" t="n"/>
      <c r="V19" s="16" t="n"/>
      <c r="W19" s="4" t="n"/>
      <c r="X19" s="4" t="n"/>
      <c r="Y19" s="4" t="n"/>
      <c r="Z19" s="4" t="n"/>
      <c r="AA19" s="4" t="n">
        <v>0.03</v>
      </c>
      <c r="AB19" s="4" t="n">
        <v>0.05</v>
      </c>
      <c r="AC19" s="4">
        <f>(AB19+2*參數!$B$7)/(AA19+AB19)</f>
        <v/>
      </c>
      <c r="AD19" s="2" t="n">
        <v>0.06901974488904417</v>
      </c>
      <c r="AE19" s="2" t="n">
        <v>0.5078436752773313</v>
      </c>
      <c r="AF19" s="2" t="inlineStr">
        <is>
          <t>15分0.5倍</t>
        </is>
      </c>
      <c r="AG19" s="2" t="n">
        <v>0.03071393563143276</v>
      </c>
      <c r="AH19" s="2" t="n">
        <v>12</v>
      </c>
    </row>
    <row r="20">
      <c r="A20" s="2" t="n">
        <v>19</v>
      </c>
      <c r="B20" s="2" t="inlineStr">
        <is>
          <t>Q_USDT_PERP</t>
        </is>
      </c>
      <c r="C20" s="2" t="inlineStr">
        <is>
          <t>做空</t>
        </is>
      </c>
      <c r="D20" s="7" t="n">
        <v>46291.62777777778</v>
      </c>
      <c r="E20" s="17" t="n">
        <v>0.03002</v>
      </c>
      <c r="F20" s="17" t="n">
        <v>0.0291194</v>
      </c>
      <c r="G20" s="17" t="n">
        <v>0.031521</v>
      </c>
      <c r="H20" s="7" t="n">
        <v>46291.64236111111</v>
      </c>
      <c r="I20" s="17" t="n">
        <v>0.031521</v>
      </c>
      <c r="J20" s="2" t="inlineStr">
        <is>
          <t>止損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/>
      <c r="O20" s="4" t="n"/>
      <c r="P20" s="4" t="n"/>
      <c r="Q20" s="19" t="n"/>
      <c r="R20" s="19" t="n"/>
      <c r="S20" s="4" t="n">
        <v>0.01395736175882756</v>
      </c>
      <c r="T20" s="4" t="n">
        <v>0.05</v>
      </c>
      <c r="U20" s="16" t="n"/>
      <c r="V20" s="16" t="n"/>
      <c r="W20" s="4" t="n"/>
      <c r="X20" s="4" t="n"/>
      <c r="Y20" s="4" t="n"/>
      <c r="Z20" s="4" t="n"/>
      <c r="AA20" s="4" t="n">
        <v>0.03</v>
      </c>
      <c r="AB20" s="4" t="n">
        <v>0.05</v>
      </c>
      <c r="AC20" s="4">
        <f>(AB20+2*參數!$B$7)/(AA20+AB20)</f>
        <v/>
      </c>
      <c r="AD20" s="2" t="n">
        <v>0.1789825630607753</v>
      </c>
      <c r="AE20" s="2" t="n">
        <v>0.6712558597342427</v>
      </c>
      <c r="AF20" s="2" t="inlineStr">
        <is>
          <t>15分0.5倍</t>
        </is>
      </c>
      <c r="AG20" s="2" t="n">
        <v>0.0553329114814034</v>
      </c>
      <c r="AH20" s="2" t="n">
        <v>4</v>
      </c>
    </row>
    <row r="21">
      <c r="A21" s="2" t="n">
        <v>20</v>
      </c>
      <c r="B21" s="2" t="inlineStr">
        <is>
          <t>2Z_USDT_PERP</t>
        </is>
      </c>
      <c r="C21" s="2" t="inlineStr">
        <is>
          <t>做空</t>
        </is>
      </c>
      <c r="D21" s="7" t="n">
        <v>46291.72638888889</v>
      </c>
      <c r="E21" s="17" t="n">
        <v>0.07753</v>
      </c>
      <c r="F21" s="17" t="n">
        <v>0.0752041</v>
      </c>
      <c r="G21" s="17" t="n">
        <v>0.08140650000000001</v>
      </c>
      <c r="H21" s="7" t="n">
        <v>46291.74375</v>
      </c>
      <c r="I21" s="17" t="n">
        <v>0.0752041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/>
      <c r="O21" s="4" t="n"/>
      <c r="P21" s="4" t="n"/>
      <c r="Q21" s="19" t="n"/>
      <c r="R21" s="19" t="n"/>
      <c r="S21" s="4" t="n">
        <v>0.03</v>
      </c>
      <c r="T21" s="4" t="n">
        <v>0.007480975106410437</v>
      </c>
      <c r="U21" s="16" t="n"/>
      <c r="V21" s="16" t="n"/>
      <c r="W21" s="4" t="n"/>
      <c r="X21" s="4" t="n"/>
      <c r="Y21" s="4" t="n"/>
      <c r="Z21" s="4" t="n"/>
      <c r="AA21" s="4" t="n">
        <v>0.03</v>
      </c>
      <c r="AB21" s="4" t="n">
        <v>0.05</v>
      </c>
      <c r="AC21" s="4">
        <f>(AB21+2*參數!$B$7)/(AA21+AB21)</f>
        <v/>
      </c>
      <c r="AD21" s="2" t="n">
        <v>0.06061040263648088</v>
      </c>
      <c r="AE21" s="2" t="n">
        <v>1.036535891879482</v>
      </c>
      <c r="AF21" s="2" t="inlineStr">
        <is>
          <t>30分1倍</t>
        </is>
      </c>
      <c r="AG21" s="2" t="n">
        <v>0.03830186152403914</v>
      </c>
      <c r="AH21" s="2" t="n">
        <v>26</v>
      </c>
    </row>
    <row r="22">
      <c r="A22" s="2" t="n">
        <v>21</v>
      </c>
      <c r="B22" s="2" t="inlineStr">
        <is>
          <t>US_USDT_PERP</t>
        </is>
      </c>
      <c r="C22" s="2" t="inlineStr">
        <is>
          <t>做空</t>
        </is>
      </c>
      <c r="D22" s="7" t="n">
        <v>46291.93402777778</v>
      </c>
      <c r="E22" s="17" t="n">
        <v>0.02532</v>
      </c>
      <c r="F22" s="17" t="n">
        <v>0.0245604</v>
      </c>
      <c r="G22" s="17" t="n">
        <v>0.026586</v>
      </c>
      <c r="H22" s="7" t="n">
        <v>46291.96041666667</v>
      </c>
      <c r="I22" s="17" t="n">
        <v>0.026586</v>
      </c>
      <c r="J22" s="2" t="inlineStr">
        <is>
          <t>止損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/>
      <c r="O22" s="4" t="n"/>
      <c r="P22" s="4" t="n"/>
      <c r="Q22" s="19" t="n"/>
      <c r="R22" s="19" t="n"/>
      <c r="S22" s="4" t="n">
        <v>0.005529225908372792</v>
      </c>
      <c r="T22" s="4" t="n">
        <v>0.05</v>
      </c>
      <c r="U22" s="16" t="n"/>
      <c r="V22" s="16" t="n"/>
      <c r="W22" s="4" t="n"/>
      <c r="X22" s="4" t="n"/>
      <c r="Y22" s="4" t="n"/>
      <c r="Z22" s="4" t="n"/>
      <c r="AA22" s="4" t="n">
        <v>0.03</v>
      </c>
      <c r="AB22" s="4" t="n">
        <v>0.05</v>
      </c>
      <c r="AC22" s="4">
        <f>(AB22+2*參數!$B$7)/(AA22+AB22)</f>
        <v/>
      </c>
      <c r="AD22" s="2" t="n">
        <v>0.08443271767810034</v>
      </c>
      <c r="AE22" s="2" t="n">
        <v>1.033627021848171</v>
      </c>
      <c r="AF22" s="2" t="inlineStr">
        <is>
          <t>30分1倍</t>
        </is>
      </c>
      <c r="AG22" s="2" t="n">
        <v>0.02014504431909758</v>
      </c>
      <c r="AH22" s="2" t="n">
        <v>25</v>
      </c>
    </row>
    <row r="23">
      <c r="A23" s="2" t="n">
        <v>22</v>
      </c>
      <c r="B23" s="2" t="inlineStr">
        <is>
          <t>FIL_USDT_PERP</t>
        </is>
      </c>
      <c r="C23" s="2" t="inlineStr">
        <is>
          <t>做空</t>
        </is>
      </c>
      <c r="D23" s="7" t="n">
        <v>46291.97847222222</v>
      </c>
      <c r="E23" s="17" t="n">
        <v>1.213</v>
      </c>
      <c r="F23" s="17" t="n">
        <v>1.17661</v>
      </c>
      <c r="G23" s="17" t="n">
        <v>1.27365</v>
      </c>
      <c r="H23" s="7" t="n">
        <v>46292.04930555556</v>
      </c>
      <c r="I23" s="17" t="n">
        <v>1.17661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/>
      <c r="O23" s="4" t="n"/>
      <c r="P23" s="4" t="n"/>
      <c r="Q23" s="19" t="n"/>
      <c r="R23" s="19" t="n"/>
      <c r="S23" s="4" t="n">
        <v>0.03</v>
      </c>
      <c r="T23" s="4" t="n">
        <v>0.01154163231657046</v>
      </c>
      <c r="U23" s="16" t="n"/>
      <c r="V23" s="16" t="n"/>
      <c r="W23" s="4" t="n"/>
      <c r="X23" s="4" t="n"/>
      <c r="Y23" s="4" t="n"/>
      <c r="Z23" s="4" t="n"/>
      <c r="AA23" s="4" t="n">
        <v>0.03</v>
      </c>
      <c r="AB23" s="4" t="n">
        <v>0.05</v>
      </c>
      <c r="AC23" s="4">
        <f>(AB23+2*參數!$B$7)/(AA23+AB23)</f>
        <v/>
      </c>
      <c r="AD23" s="2" t="n">
        <v>0.06181818181818177</v>
      </c>
      <c r="AE23" s="2" t="n">
        <v>1.00823282871604</v>
      </c>
      <c r="AF23" s="2" t="inlineStr">
        <is>
          <t>30分1倍</t>
        </is>
      </c>
      <c r="AG23" s="2" t="n">
        <v>0.02449324324324342</v>
      </c>
      <c r="AH23" s="2" t="n">
        <v>29</v>
      </c>
    </row>
    <row r="24">
      <c r="A24" s="2" t="n">
        <v>23</v>
      </c>
      <c r="B24" s="2" t="inlineStr">
        <is>
          <t>XVG_USDT_PERP</t>
        </is>
      </c>
      <c r="C24" s="2" t="inlineStr">
        <is>
          <t>做空</t>
        </is>
      </c>
      <c r="D24" s="7" t="n">
        <v>46292.65555555555</v>
      </c>
      <c r="E24" s="17" t="n">
        <v>0.003505</v>
      </c>
      <c r="F24" s="17" t="n">
        <v>0.00339985</v>
      </c>
      <c r="G24" s="17" t="n">
        <v>0.00368025</v>
      </c>
      <c r="H24" s="7" t="n">
        <v>46292.70069444444</v>
      </c>
      <c r="I24" s="17" t="n">
        <v>0.00368025</v>
      </c>
      <c r="J24" s="2" t="inlineStr">
        <is>
          <t>止損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/>
      <c r="O24" s="4" t="n"/>
      <c r="P24" s="4" t="n"/>
      <c r="Q24" s="19" t="n"/>
      <c r="R24" s="19" t="n"/>
      <c r="S24" s="4" t="n">
        <v>0.01740370898716115</v>
      </c>
      <c r="T24" s="4" t="n">
        <v>0.05</v>
      </c>
      <c r="U24" s="16" t="n"/>
      <c r="V24" s="16" t="n"/>
      <c r="W24" s="4" t="n"/>
      <c r="X24" s="4" t="n"/>
      <c r="Y24" s="4" t="n"/>
      <c r="Z24" s="4" t="n"/>
      <c r="AA24" s="4" t="n">
        <v>0.03</v>
      </c>
      <c r="AB24" s="4" t="n">
        <v>0.05</v>
      </c>
      <c r="AC24" s="4">
        <f>(AB24+2*參數!$B$7)/(AA24+AB24)</f>
        <v/>
      </c>
      <c r="AD24" s="2" t="n">
        <v>0.06106870229007622</v>
      </c>
      <c r="AE24" s="2" t="n">
        <v>2.384194020413035</v>
      </c>
      <c r="AF24" s="2" t="inlineStr">
        <is>
          <t>2倍</t>
        </is>
      </c>
      <c r="AG24" s="2" t="n">
        <v>0.008633093525179936</v>
      </c>
      <c r="AH24" s="2" t="n">
        <v>44</v>
      </c>
    </row>
    <row r="25">
      <c r="A25" s="2" t="n">
        <v>24</v>
      </c>
      <c r="B25" s="2" t="inlineStr">
        <is>
          <t>ARX_USDT_PERP</t>
        </is>
      </c>
      <c r="C25" s="2" t="inlineStr">
        <is>
          <t>做空</t>
        </is>
      </c>
      <c r="D25" s="7" t="n">
        <v>46292.7375</v>
      </c>
      <c r="E25" s="17" t="n">
        <v>0.2513</v>
      </c>
      <c r="F25" s="17" t="n">
        <v>0.243761</v>
      </c>
      <c r="G25" s="17" t="n">
        <v>0.263865</v>
      </c>
      <c r="H25" s="7" t="n">
        <v>46292.78125</v>
      </c>
      <c r="I25" s="17" t="n">
        <v>0.263865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/>
      <c r="O25" s="4" t="n"/>
      <c r="P25" s="4" t="n"/>
      <c r="Q25" s="19" t="n"/>
      <c r="R25" s="19" t="n"/>
      <c r="S25" s="4" t="n">
        <v>0.007958615200955199</v>
      </c>
      <c r="T25" s="4" t="n">
        <v>0.05</v>
      </c>
      <c r="U25" s="16" t="n"/>
      <c r="V25" s="16" t="n"/>
      <c r="W25" s="4" t="n"/>
      <c r="X25" s="4" t="n"/>
      <c r="Y25" s="4" t="n"/>
      <c r="Z25" s="4" t="n"/>
      <c r="AA25" s="4" t="n">
        <v>0.03</v>
      </c>
      <c r="AB25" s="4" t="n">
        <v>0.05</v>
      </c>
      <c r="AC25" s="4">
        <f>(AB25+2*參數!$B$7)/(AA25+AB25)</f>
        <v/>
      </c>
      <c r="AD25" s="2" t="n">
        <v>0.06915132465199814</v>
      </c>
      <c r="AE25" s="2" t="n">
        <v>3.218599340268967</v>
      </c>
      <c r="AF25" s="2" t="inlineStr">
        <is>
          <t>2倍</t>
        </is>
      </c>
      <c r="AG25" s="2" t="n">
        <v>0.01535353535353545</v>
      </c>
      <c r="AH25" s="2" t="n">
        <v>42</v>
      </c>
    </row>
    <row r="26">
      <c r="A26" s="2" t="n">
        <v>25</v>
      </c>
      <c r="B26" s="2" t="inlineStr">
        <is>
          <t>INX_USDT_PERP</t>
        </is>
      </c>
      <c r="C26" s="2" t="inlineStr">
        <is>
          <t>做空</t>
        </is>
      </c>
      <c r="D26" s="7" t="n">
        <v>46292.84166666667</v>
      </c>
      <c r="E26" s="17" t="n">
        <v>0.007383</v>
      </c>
      <c r="F26" s="17" t="n">
        <v>0.007161509999999999</v>
      </c>
      <c r="G26" s="17" t="n">
        <v>0.00775215</v>
      </c>
      <c r="H26" s="7" t="n">
        <v>46292.84652777778</v>
      </c>
      <c r="I26" s="17" t="n">
        <v>0.007161509999999999</v>
      </c>
      <c r="J26" s="2" t="inlineStr">
        <is>
          <t>止盈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/>
      <c r="O26" s="4" t="n"/>
      <c r="P26" s="4" t="n"/>
      <c r="Q26" s="19" t="n"/>
      <c r="R26" s="19" t="n"/>
      <c r="S26" s="4" t="n">
        <v>0.03</v>
      </c>
      <c r="T26" s="4" t="n">
        <v>0.03155898686170944</v>
      </c>
      <c r="U26" s="16" t="n"/>
      <c r="V26" s="16" t="n"/>
      <c r="W26" s="4" t="n"/>
      <c r="X26" s="4" t="n"/>
      <c r="Y26" s="4" t="n"/>
      <c r="Z26" s="4" t="n"/>
      <c r="AA26" s="4" t="n">
        <v>0.03</v>
      </c>
      <c r="AB26" s="4" t="n">
        <v>0.05</v>
      </c>
      <c r="AC26" s="4">
        <f>(AB26+2*參數!$B$7)/(AA26+AB26)</f>
        <v/>
      </c>
      <c r="AD26" s="2" t="n">
        <v>0.06346586646661656</v>
      </c>
      <c r="AE26" s="2" t="n">
        <v>0.5665898553541187</v>
      </c>
      <c r="AF26" s="2" t="inlineStr">
        <is>
          <t>15分0.5倍</t>
        </is>
      </c>
      <c r="AG26" s="2" t="n">
        <v>0.03912737508796615</v>
      </c>
      <c r="AH26" s="2" t="n">
        <v>12</v>
      </c>
    </row>
    <row r="27">
      <c r="A27" s="2" t="n">
        <v>26</v>
      </c>
      <c r="B27" s="2" t="inlineStr">
        <is>
          <t>ARX_USDT_PERP</t>
        </is>
      </c>
      <c r="C27" s="2" t="inlineStr">
        <is>
          <t>做空</t>
        </is>
      </c>
      <c r="D27" s="7" t="n">
        <v>46292.92361111111</v>
      </c>
      <c r="E27" s="17" t="n">
        <v>0.2914</v>
      </c>
      <c r="F27" s="17" t="n">
        <v>0.282658</v>
      </c>
      <c r="G27" s="17" t="n">
        <v>0.30597</v>
      </c>
      <c r="H27" s="7" t="n">
        <v>46292.96944444445</v>
      </c>
      <c r="I27" s="17" t="n">
        <v>0.282658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/>
      <c r="O27" s="4" t="n"/>
      <c r="P27" s="4" t="n"/>
      <c r="Q27" s="19" t="n"/>
      <c r="R27" s="19" t="n"/>
      <c r="S27" s="4" t="n">
        <v>0.03</v>
      </c>
      <c r="T27" s="4" t="n">
        <v>0.02505147563486632</v>
      </c>
      <c r="U27" s="16" t="n"/>
      <c r="V27" s="16" t="n"/>
      <c r="W27" s="4" t="n"/>
      <c r="X27" s="4" t="n"/>
      <c r="Y27" s="4" t="n"/>
      <c r="Z27" s="4" t="n"/>
      <c r="AA27" s="4" t="n">
        <v>0.03</v>
      </c>
      <c r="AB27" s="4" t="n">
        <v>0.05</v>
      </c>
      <c r="AC27" s="4">
        <f>(AB27+2*參數!$B$7)/(AA27+AB27)</f>
        <v/>
      </c>
      <c r="AD27" s="2" t="n">
        <v>0.06606942889137746</v>
      </c>
      <c r="AE27" s="2" t="n">
        <v>0.6934005043065261</v>
      </c>
      <c r="AF27" s="2" t="inlineStr">
        <is>
          <t>15分0.5倍</t>
        </is>
      </c>
      <c r="AG27" s="2" t="n">
        <v>0.008304498269896321</v>
      </c>
      <c r="AH27" s="2" t="n">
        <v>10</v>
      </c>
    </row>
    <row r="28">
      <c r="A28" s="2" t="n">
        <v>27</v>
      </c>
      <c r="B28" s="2" t="inlineStr">
        <is>
          <t>NOM_USDT_PERP</t>
        </is>
      </c>
      <c r="C28" s="2" t="inlineStr">
        <is>
          <t>做空</t>
        </is>
      </c>
      <c r="D28" s="7" t="n">
        <v>46293.26736111111</v>
      </c>
      <c r="E28" s="17" t="n">
        <v>0.002434</v>
      </c>
      <c r="F28" s="17" t="n">
        <v>0.00236098</v>
      </c>
      <c r="G28" s="17" t="n">
        <v>0.0025557</v>
      </c>
      <c r="H28" s="7" t="n">
        <v>46293.26944444444</v>
      </c>
      <c r="I28" s="17" t="n">
        <v>0.00236098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/>
      <c r="O28" s="4" t="n"/>
      <c r="P28" s="4" t="n"/>
      <c r="Q28" s="19" t="n"/>
      <c r="R28" s="19" t="n"/>
      <c r="S28" s="4" t="n">
        <v>0.03</v>
      </c>
      <c r="T28" s="4" t="n">
        <v>0.0008216926869351049</v>
      </c>
      <c r="U28" s="16" t="n"/>
      <c r="V28" s="16" t="n"/>
      <c r="W28" s="4" t="n"/>
      <c r="X28" s="4" t="n"/>
      <c r="Y28" s="4" t="n"/>
      <c r="Z28" s="4" t="n"/>
      <c r="AA28" s="4" t="n">
        <v>0.03</v>
      </c>
      <c r="AB28" s="4" t="n">
        <v>0.05</v>
      </c>
      <c r="AC28" s="4">
        <f>(AB28+2*參數!$B$7)/(AA28+AB28)</f>
        <v/>
      </c>
      <c r="AD28" s="2" t="n">
        <v>0.09470229723394286</v>
      </c>
      <c r="AE28" s="2" t="n">
        <v>1.054725638909716</v>
      </c>
      <c r="AF28" s="2" t="inlineStr">
        <is>
          <t>30分1倍</t>
        </is>
      </c>
      <c r="AG28" s="2" t="n">
        <v>0.0423982869379016</v>
      </c>
      <c r="AH28" s="2" t="n">
        <v>25</v>
      </c>
    </row>
    <row r="29">
      <c r="A29" s="2" t="n">
        <v>28</v>
      </c>
      <c r="B29" s="2" t="inlineStr">
        <is>
          <t>ELSA_USDT_PERP</t>
        </is>
      </c>
      <c r="C29" s="2" t="inlineStr">
        <is>
          <t>做空</t>
        </is>
      </c>
      <c r="D29" s="7" t="n">
        <v>46293.40833333333</v>
      </c>
      <c r="E29" s="17" t="n">
        <v>0.06272</v>
      </c>
      <c r="F29" s="17" t="n">
        <v>0.06083839999999999</v>
      </c>
      <c r="G29" s="17" t="n">
        <v>0.065856</v>
      </c>
      <c r="H29" s="7" t="n">
        <v>46293.44166666667</v>
      </c>
      <c r="I29" s="17" t="n">
        <v>0.06083839999999999</v>
      </c>
      <c r="J29" s="2" t="inlineStr">
        <is>
          <t>止盈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/>
      <c r="O29" s="4" t="n"/>
      <c r="P29" s="4" t="n"/>
      <c r="Q29" s="19" t="n"/>
      <c r="R29" s="19" t="n"/>
      <c r="S29" s="4" t="n">
        <v>0.03</v>
      </c>
      <c r="T29" s="4" t="n">
        <v>0.02535076530612268</v>
      </c>
      <c r="U29" s="16" t="n"/>
      <c r="V29" s="16" t="n"/>
      <c r="W29" s="4" t="n"/>
      <c r="X29" s="4" t="n"/>
      <c r="Y29" s="4" t="n"/>
      <c r="Z29" s="4" t="n"/>
      <c r="AA29" s="4" t="n">
        <v>0.03</v>
      </c>
      <c r="AB29" s="4" t="n">
        <v>0.05</v>
      </c>
      <c r="AC29" s="4">
        <f>(AB29+2*參數!$B$7)/(AA29+AB29)</f>
        <v/>
      </c>
      <c r="AD29" s="2" t="n">
        <v>0.06624005534417154</v>
      </c>
      <c r="AE29" s="2" t="n">
        <v>2.032269826800364</v>
      </c>
      <c r="AF29" s="2" t="inlineStr">
        <is>
          <t>2倍</t>
        </is>
      </c>
      <c r="AG29" s="2" t="n">
        <v>0.01161290322580633</v>
      </c>
      <c r="AH29" s="2" t="n">
        <v>48</v>
      </c>
    </row>
    <row r="30">
      <c r="A30" s="2" t="n">
        <v>29</v>
      </c>
      <c r="B30" s="2" t="inlineStr">
        <is>
          <t>IRYS_USDT_PERP</t>
        </is>
      </c>
      <c r="C30" s="2" t="inlineStr">
        <is>
          <t>做空</t>
        </is>
      </c>
      <c r="D30" s="7" t="n">
        <v>46293.41597222222</v>
      </c>
      <c r="E30" s="17" t="n">
        <v>0.02037</v>
      </c>
      <c r="F30" s="17" t="n">
        <v>0.0197589</v>
      </c>
      <c r="G30" s="17" t="n">
        <v>0.0213885</v>
      </c>
      <c r="H30" s="7" t="n">
        <v>46293.44305555556</v>
      </c>
      <c r="I30" s="17" t="n">
        <v>0.0197589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/>
      <c r="O30" s="4" t="n"/>
      <c r="P30" s="4" t="n"/>
      <c r="Q30" s="19" t="n"/>
      <c r="R30" s="19" t="n"/>
      <c r="S30" s="4" t="n">
        <v>0.03</v>
      </c>
      <c r="T30" s="4" t="n">
        <v>0.03436426116838476</v>
      </c>
      <c r="U30" s="16" t="n"/>
      <c r="V30" s="16" t="n"/>
      <c r="W30" s="4" t="n"/>
      <c r="X30" s="4" t="n"/>
      <c r="Y30" s="4" t="n"/>
      <c r="Z30" s="4" t="n"/>
      <c r="AA30" s="4" t="n">
        <v>0.03</v>
      </c>
      <c r="AB30" s="4" t="n">
        <v>0.05</v>
      </c>
      <c r="AC30" s="4">
        <f>(AB30+2*參數!$B$7)/(AA30+AB30)</f>
        <v/>
      </c>
      <c r="AD30" s="2" t="n">
        <v>0.1880544056771141</v>
      </c>
      <c r="AE30" s="2" t="n">
        <v>2.064368902781307</v>
      </c>
      <c r="AF30" s="2" t="inlineStr">
        <is>
          <t>2倍</t>
        </is>
      </c>
      <c r="AG30" s="2" t="n">
        <v>0.006920415224913379</v>
      </c>
      <c r="AH30" s="2" t="n">
        <v>59</v>
      </c>
    </row>
    <row r="31">
      <c r="A31" s="2" t="n">
        <v>30</v>
      </c>
      <c r="B31" s="2" t="inlineStr">
        <is>
          <t>SOON_USDT_PERP</t>
        </is>
      </c>
      <c r="C31" s="2" t="inlineStr">
        <is>
          <t>做空</t>
        </is>
      </c>
      <c r="D31" s="7" t="n">
        <v>46293.56111111111</v>
      </c>
      <c r="E31" s="17" t="n">
        <v>0.3642</v>
      </c>
      <c r="F31" s="17" t="n">
        <v>0.353274</v>
      </c>
      <c r="G31" s="17" t="n">
        <v>0.38241</v>
      </c>
      <c r="H31" s="7" t="n">
        <v>46293.56805555556</v>
      </c>
      <c r="I31" s="17" t="n">
        <v>0.353274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/>
      <c r="O31" s="4" t="n"/>
      <c r="P31" s="4" t="n"/>
      <c r="Q31" s="19" t="n"/>
      <c r="R31" s="19" t="n"/>
      <c r="S31" s="4" t="n">
        <v>0.03</v>
      </c>
      <c r="T31" s="4" t="n">
        <v>0.0008237232289949326</v>
      </c>
      <c r="U31" s="16" t="n"/>
      <c r="V31" s="16" t="n"/>
      <c r="W31" s="4" t="n"/>
      <c r="X31" s="4" t="n"/>
      <c r="Y31" s="4" t="n"/>
      <c r="Z31" s="4" t="n"/>
      <c r="AA31" s="4" t="n">
        <v>0.03</v>
      </c>
      <c r="AB31" s="4" t="n">
        <v>0.05</v>
      </c>
      <c r="AC31" s="4">
        <f>(AB31+2*參數!$B$7)/(AA31+AB31)</f>
        <v/>
      </c>
      <c r="AD31" s="2" t="n">
        <v>0.1057783391221978</v>
      </c>
      <c r="AE31" s="2" t="n">
        <v>1.045863332726847</v>
      </c>
      <c r="AF31" s="2" t="inlineStr">
        <is>
          <t>30分1倍</t>
        </is>
      </c>
      <c r="AG31" s="2" t="n">
        <v>0.01931150293870698</v>
      </c>
      <c r="AH31" s="2" t="n">
        <v>28</v>
      </c>
    </row>
    <row r="32">
      <c r="A32" s="2" t="n">
        <v>31</v>
      </c>
      <c r="B32" s="2" t="inlineStr">
        <is>
          <t>ARX_USDT_PERP</t>
        </is>
      </c>
      <c r="C32" s="2" t="inlineStr">
        <is>
          <t>做空</t>
        </is>
      </c>
      <c r="D32" s="7" t="n">
        <v>46293.88541666666</v>
      </c>
      <c r="E32" s="17" t="n">
        <v>0.275</v>
      </c>
      <c r="F32" s="17" t="n">
        <v>0.26675</v>
      </c>
      <c r="G32" s="17" t="n">
        <v>0.2887500000000001</v>
      </c>
      <c r="H32" s="7" t="n">
        <v>46293.89236111111</v>
      </c>
      <c r="I32" s="17" t="n">
        <v>0.26675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/>
      <c r="O32" s="4" t="n"/>
      <c r="P32" s="4" t="n"/>
      <c r="Q32" s="19" t="n"/>
      <c r="R32" s="19" t="n"/>
      <c r="S32" s="4" t="n">
        <v>0.03</v>
      </c>
      <c r="T32" s="4" t="n">
        <v>0.008727272727272473</v>
      </c>
      <c r="U32" s="16" t="n"/>
      <c r="V32" s="16" t="n"/>
      <c r="W32" s="4" t="n"/>
      <c r="X32" s="4" t="n"/>
      <c r="Y32" s="4" t="n"/>
      <c r="Z32" s="4" t="n"/>
      <c r="AA32" s="4" t="n">
        <v>0.03</v>
      </c>
      <c r="AB32" s="4" t="n">
        <v>0.05</v>
      </c>
      <c r="AC32" s="4">
        <f>(AB32+2*參數!$B$7)/(AA32+AB32)</f>
        <v/>
      </c>
      <c r="AD32" s="2" t="n">
        <v>0.0806845965770171</v>
      </c>
      <c r="AE32" s="2" t="n">
        <v>1.003791364523135</v>
      </c>
      <c r="AF32" s="2" t="inlineStr">
        <is>
          <t>30分1倍+15分0.5倍</t>
        </is>
      </c>
      <c r="AG32" s="2" t="n">
        <v>0.03461249059443205</v>
      </c>
      <c r="AH32" s="2" t="n">
        <v>15</v>
      </c>
    </row>
    <row r="33">
      <c r="A33" s="2" t="n">
        <v>32</v>
      </c>
      <c r="B33" s="2" t="inlineStr">
        <is>
          <t>QNT_USDT_PERP</t>
        </is>
      </c>
      <c r="C33" s="2" t="inlineStr">
        <is>
          <t>做空</t>
        </is>
      </c>
      <c r="D33" s="7" t="n">
        <v>46294.05138888889</v>
      </c>
      <c r="E33" s="17" t="n">
        <v>247.4</v>
      </c>
      <c r="F33" s="17" t="n">
        <v>239.978</v>
      </c>
      <c r="G33" s="17" t="n">
        <v>259.77</v>
      </c>
      <c r="H33" s="7" t="n">
        <v>46294.09722222222</v>
      </c>
      <c r="I33" s="17" t="n">
        <v>239.978</v>
      </c>
      <c r="J33" s="2" t="inlineStr">
        <is>
          <t>止盈</t>
        </is>
      </c>
      <c r="K33" s="5">
        <f>(H33-D33)*24</f>
        <v/>
      </c>
      <c r="L33" s="4">
        <f>IF(C33="做多",I33/E33-1,1-I33/E33)-2*參數!$B$7</f>
        <v/>
      </c>
      <c r="M33" s="2" t="inlineStr"/>
      <c r="N33" s="4" t="n"/>
      <c r="O33" s="4" t="n"/>
      <c r="P33" s="4" t="n"/>
      <c r="Q33" s="19" t="n"/>
      <c r="R33" s="19" t="n"/>
      <c r="S33" s="4" t="n">
        <v>0.03</v>
      </c>
      <c r="T33" s="4" t="n">
        <v>0.04244139046079209</v>
      </c>
      <c r="U33" s="16" t="n"/>
      <c r="V33" s="16" t="n"/>
      <c r="W33" s="4" t="n"/>
      <c r="X33" s="4" t="n"/>
      <c r="Y33" s="4" t="n"/>
      <c r="Z33" s="4" t="n"/>
      <c r="AA33" s="4" t="n">
        <v>0.03</v>
      </c>
      <c r="AB33" s="4" t="n">
        <v>0.05</v>
      </c>
      <c r="AC33" s="4">
        <f>(AB33+2*參數!$B$7)/(AA33+AB33)</f>
        <v/>
      </c>
      <c r="AD33" s="2" t="n">
        <v>0.0947807176513229</v>
      </c>
      <c r="AE33" s="2" t="n">
        <v>0.5096345514950166</v>
      </c>
      <c r="AF33" s="2" t="inlineStr">
        <is>
          <t>15分0.5倍</t>
        </is>
      </c>
      <c r="AG33" s="2" t="n">
        <v>0.01397598262223854</v>
      </c>
      <c r="AH33" s="2" t="n">
        <v>14</v>
      </c>
    </row>
    <row r="34">
      <c r="A34" s="2" t="n">
        <v>33</v>
      </c>
      <c r="B34" s="2" t="inlineStr">
        <is>
          <t>NMR_USDT_PERP</t>
        </is>
      </c>
      <c r="C34" s="2" t="inlineStr">
        <is>
          <t>做空</t>
        </is>
      </c>
      <c r="D34" s="7" t="n">
        <v>46294.28472222222</v>
      </c>
      <c r="E34" s="17" t="n">
        <v>14.451</v>
      </c>
      <c r="F34" s="17" t="n">
        <v>14.01747</v>
      </c>
      <c r="G34" s="17" t="n">
        <v>15.17355</v>
      </c>
      <c r="H34" s="7" t="n">
        <v>46294.31666666667</v>
      </c>
      <c r="I34" s="17" t="n">
        <v>15.17355</v>
      </c>
      <c r="J34" s="2" t="inlineStr">
        <is>
          <t>止損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/>
      <c r="O34" s="4" t="n"/>
      <c r="P34" s="4" t="n"/>
      <c r="Q34" s="19" t="n"/>
      <c r="R34" s="19" t="n"/>
      <c r="S34" s="4" t="n">
        <v>0.01660784720780573</v>
      </c>
      <c r="T34" s="4" t="n">
        <v>0.05</v>
      </c>
      <c r="U34" s="16" t="n"/>
      <c r="V34" s="16" t="n"/>
      <c r="W34" s="4" t="n"/>
      <c r="X34" s="4" t="n"/>
      <c r="Y34" s="4" t="n"/>
      <c r="Z34" s="4" t="n"/>
      <c r="AA34" s="4" t="n">
        <v>0.03</v>
      </c>
      <c r="AB34" s="4" t="n">
        <v>0.05</v>
      </c>
      <c r="AC34" s="4">
        <f>(AB34+2*參數!$B$7)/(AA34+AB34)</f>
        <v/>
      </c>
      <c r="AD34" s="2" t="n">
        <v>0.1816549837579073</v>
      </c>
      <c r="AE34" s="2" t="n">
        <v>2.318921889670018</v>
      </c>
      <c r="AF34" s="2" t="inlineStr">
        <is>
          <t>2倍+30分1倍+15分0.5倍</t>
        </is>
      </c>
      <c r="AG34" s="2" t="n">
        <v>0.01431880395872809</v>
      </c>
      <c r="AH34" s="2" t="n">
        <v>50</v>
      </c>
    </row>
    <row r="35">
      <c r="A35" s="2" t="n">
        <v>34</v>
      </c>
      <c r="B35" s="2" t="inlineStr">
        <is>
          <t>PUMP_USDT_PERP</t>
        </is>
      </c>
      <c r="C35" s="2" t="inlineStr">
        <is>
          <t>做空</t>
        </is>
      </c>
      <c r="D35" s="7" t="n">
        <v>46294.84583333333</v>
      </c>
      <c r="E35" s="17" t="n">
        <v>0.005687</v>
      </c>
      <c r="F35" s="17" t="n">
        <v>0.00551639</v>
      </c>
      <c r="G35" s="17" t="n">
        <v>0.00597135</v>
      </c>
      <c r="H35" s="7" t="n">
        <v>46295.14375</v>
      </c>
      <c r="I35" s="17" t="n">
        <v>0.00597135</v>
      </c>
      <c r="J35" s="2" t="inlineStr">
        <is>
          <t>止損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/>
      <c r="O35" s="4" t="n"/>
      <c r="P35" s="4" t="n"/>
      <c r="Q35" s="19" t="n"/>
      <c r="R35" s="19" t="n"/>
      <c r="S35" s="4" t="n">
        <v>0.01881484086513108</v>
      </c>
      <c r="T35" s="4" t="n">
        <v>0.05</v>
      </c>
      <c r="U35" s="16" t="n"/>
      <c r="V35" s="16" t="n"/>
      <c r="W35" s="4" t="n"/>
      <c r="X35" s="4" t="n"/>
      <c r="Y35" s="4" t="n"/>
      <c r="Z35" s="4" t="n"/>
      <c r="AA35" s="4" t="n">
        <v>0.03</v>
      </c>
      <c r="AB35" s="4" t="n">
        <v>0.05</v>
      </c>
      <c r="AC35" s="4">
        <f>(AB35+2*參數!$B$7)/(AA35+AB35)</f>
        <v/>
      </c>
      <c r="AD35" s="2" t="n">
        <v>0.111881188118812</v>
      </c>
      <c r="AE35" s="2" t="n">
        <v>2.608371462727172</v>
      </c>
      <c r="AF35" s="2" t="inlineStr">
        <is>
          <t>2倍+30分1倍+15分0.5倍</t>
        </is>
      </c>
      <c r="AG35" s="2" t="n">
        <v>0.002114537444933839</v>
      </c>
      <c r="AH35" s="2" t="n">
        <v>18</v>
      </c>
    </row>
    <row r="36">
      <c r="A36" s="2" t="n">
        <v>35</v>
      </c>
      <c r="B36" s="2" t="inlineStr">
        <is>
          <t>MOVR_USDT_PERP</t>
        </is>
      </c>
      <c r="C36" s="2" t="inlineStr">
        <is>
          <t>做空</t>
        </is>
      </c>
      <c r="D36" s="7" t="n">
        <v>46295.13333333333</v>
      </c>
      <c r="E36" s="17" t="n">
        <v>1.17</v>
      </c>
      <c r="F36" s="17" t="n">
        <v>1.1349</v>
      </c>
      <c r="G36" s="17" t="n">
        <v>1.2285</v>
      </c>
      <c r="H36" s="7" t="n">
        <v>46295.18888888889</v>
      </c>
      <c r="I36" s="17" t="n">
        <v>1.1349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/>
      <c r="O36" s="4" t="n"/>
      <c r="P36" s="4" t="n"/>
      <c r="Q36" s="19" t="n"/>
      <c r="R36" s="19" t="n"/>
      <c r="S36" s="4" t="n">
        <v>0.03</v>
      </c>
      <c r="T36" s="4" t="n">
        <v>0.0145299145299147</v>
      </c>
      <c r="U36" s="16" t="n"/>
      <c r="V36" s="16" t="n"/>
      <c r="W36" s="4" t="n"/>
      <c r="X36" s="4" t="n"/>
      <c r="Y36" s="4" t="n"/>
      <c r="Z36" s="4" t="n"/>
      <c r="AA36" s="4" t="n">
        <v>0.03</v>
      </c>
      <c r="AB36" s="4" t="n">
        <v>0.05</v>
      </c>
      <c r="AC36" s="4">
        <f>(AB36+2*參數!$B$7)/(AA36+AB36)</f>
        <v/>
      </c>
      <c r="AD36" s="2" t="n">
        <v>0.07182835820895517</v>
      </c>
      <c r="AE36" s="2" t="n">
        <v>0.5256633358121554</v>
      </c>
      <c r="AF36" s="2" t="inlineStr">
        <is>
          <t>15分0.5倍</t>
        </is>
      </c>
      <c r="AG36" s="2" t="n">
        <v>0.001712328767123239</v>
      </c>
      <c r="AH36" s="2" t="n">
        <v>12</v>
      </c>
    </row>
    <row r="37">
      <c r="A37" s="2" t="n">
        <v>36</v>
      </c>
      <c r="B37" s="2" t="inlineStr">
        <is>
          <t>MEW_USDT_PERP</t>
        </is>
      </c>
      <c r="C37" s="2" t="inlineStr">
        <is>
          <t>做空</t>
        </is>
      </c>
      <c r="D37" s="7" t="n">
        <v>46295.41944444444</v>
      </c>
      <c r="E37" s="17" t="n">
        <v>0.0005730000000000001</v>
      </c>
      <c r="F37" s="17" t="n">
        <v>0.00055581</v>
      </c>
      <c r="G37" s="17" t="n">
        <v>0.0006016500000000001</v>
      </c>
      <c r="H37" s="7" t="n">
        <v>46295.47222222222</v>
      </c>
      <c r="I37" s="17" t="n">
        <v>0.00055581</v>
      </c>
      <c r="J37" s="2" t="inlineStr">
        <is>
          <t>止盈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/>
      <c r="O37" s="4" t="n"/>
      <c r="P37" s="4" t="n"/>
      <c r="Q37" s="19" t="n"/>
      <c r="R37" s="19" t="n"/>
      <c r="S37" s="4" t="n">
        <v>0.03</v>
      </c>
      <c r="T37" s="4" t="n">
        <v>0.008726003490401313</v>
      </c>
      <c r="U37" s="16" t="n"/>
      <c r="V37" s="16" t="n"/>
      <c r="W37" s="4" t="n"/>
      <c r="X37" s="4" t="n"/>
      <c r="Y37" s="4" t="n"/>
      <c r="Z37" s="4" t="n"/>
      <c r="AA37" s="4" t="n">
        <v>0.03</v>
      </c>
      <c r="AB37" s="4" t="n">
        <v>0.05</v>
      </c>
      <c r="AC37" s="4">
        <f>(AB37+2*參數!$B$7)/(AA37+AB37)</f>
        <v/>
      </c>
      <c r="AD37" s="2" t="n">
        <v>0.06792452830188678</v>
      </c>
      <c r="AE37" s="2" t="n">
        <v>0.5261273292985484</v>
      </c>
      <c r="AF37" s="2" t="inlineStr">
        <is>
          <t>15分0.5倍</t>
        </is>
      </c>
      <c r="AG37" s="2" t="n">
        <v>0.008802816901408494</v>
      </c>
      <c r="AH37" s="2" t="n">
        <v>4</v>
      </c>
    </row>
    <row r="38">
      <c r="A38" s="2" t="n">
        <v>37</v>
      </c>
      <c r="B38" s="2" t="inlineStr">
        <is>
          <t>US_USDT_PERP</t>
        </is>
      </c>
      <c r="C38" s="2" t="inlineStr">
        <is>
          <t>做空</t>
        </is>
      </c>
      <c r="D38" s="7" t="n">
        <v>46295.42013888889</v>
      </c>
      <c r="E38" s="17" t="n">
        <v>0.01887</v>
      </c>
      <c r="F38" s="17" t="n">
        <v>0.0183039</v>
      </c>
      <c r="G38" s="17" t="n">
        <v>0.0198135</v>
      </c>
      <c r="H38" s="7" t="n">
        <v>46295.42569444444</v>
      </c>
      <c r="I38" s="17" t="n">
        <v>0.0183039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/>
      <c r="O38" s="4" t="n"/>
      <c r="P38" s="4" t="n"/>
      <c r="Q38" s="19" t="n"/>
      <c r="R38" s="19" t="n"/>
      <c r="S38" s="4" t="n">
        <v>0.03</v>
      </c>
      <c r="T38" s="4" t="n">
        <v>0.01695813460519324</v>
      </c>
      <c r="U38" s="16" t="n"/>
      <c r="V38" s="16" t="n"/>
      <c r="W38" s="4" t="n"/>
      <c r="X38" s="4" t="n"/>
      <c r="Y38" s="4" t="n"/>
      <c r="Z38" s="4" t="n"/>
      <c r="AA38" s="4" t="n">
        <v>0.03</v>
      </c>
      <c r="AB38" s="4" t="n">
        <v>0.05</v>
      </c>
      <c r="AC38" s="4">
        <f>(AB38+2*參數!$B$7)/(AA38+AB38)</f>
        <v/>
      </c>
      <c r="AD38" s="2" t="n">
        <v>0.0619520748100526</v>
      </c>
      <c r="AE38" s="2" t="n">
        <v>0.6000607511985727</v>
      </c>
      <c r="AF38" s="2" t="inlineStr">
        <is>
          <t>15分0.5倍</t>
        </is>
      </c>
      <c r="AG38" s="2" t="n">
        <v>0.01017130620985029</v>
      </c>
      <c r="AH38" s="2" t="n">
        <v>5</v>
      </c>
    </row>
    <row r="39">
      <c r="A39" s="2" t="n">
        <v>38</v>
      </c>
      <c r="B39" s="2" t="inlineStr">
        <is>
          <t>SOON_USDT_PERP</t>
        </is>
      </c>
      <c r="C39" s="2" t="inlineStr">
        <is>
          <t>做空</t>
        </is>
      </c>
      <c r="D39" s="7" t="n">
        <v>46295.46597222222</v>
      </c>
      <c r="E39" s="17" t="n">
        <v>0.4264</v>
      </c>
      <c r="F39" s="17" t="n">
        <v>0.413608</v>
      </c>
      <c r="G39" s="17" t="n">
        <v>0.44772</v>
      </c>
      <c r="H39" s="7" t="n">
        <v>46295.47361111111</v>
      </c>
      <c r="I39" s="17" t="n">
        <v>0.413608</v>
      </c>
      <c r="J39" s="2" t="inlineStr">
        <is>
          <t>止盈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/>
      <c r="O39" s="4" t="n"/>
      <c r="P39" s="4" t="n"/>
      <c r="Q39" s="19" t="n"/>
      <c r="R39" s="19" t="n"/>
      <c r="S39" s="4" t="n">
        <v>0.03</v>
      </c>
      <c r="T39" s="4" t="n">
        <v>0.00398686679174487</v>
      </c>
      <c r="U39" s="16" t="n"/>
      <c r="V39" s="16" t="n"/>
      <c r="W39" s="4" t="n"/>
      <c r="X39" s="4" t="n"/>
      <c r="Y39" s="4" t="n"/>
      <c r="Z39" s="4" t="n"/>
      <c r="AA39" s="4" t="n">
        <v>0.03</v>
      </c>
      <c r="AB39" s="4" t="n">
        <v>0.05</v>
      </c>
      <c r="AC39" s="4">
        <f>(AB39+2*參數!$B$7)/(AA39+AB39)</f>
        <v/>
      </c>
      <c r="AD39" s="2" t="n">
        <v>0.082202304737516</v>
      </c>
      <c r="AE39" s="2" t="n">
        <v>0.6417618904646686</v>
      </c>
      <c r="AF39" s="2" t="inlineStr">
        <is>
          <t>15分0.5倍</t>
        </is>
      </c>
      <c r="AG39" s="2" t="n">
        <v>0.006372433325465998</v>
      </c>
      <c r="AH39" s="2" t="n">
        <v>11</v>
      </c>
    </row>
    <row r="40">
      <c r="A40" s="2" t="n">
        <v>39</v>
      </c>
      <c r="B40" s="2" t="inlineStr">
        <is>
          <t>AKE_USDT_PERP</t>
        </is>
      </c>
      <c r="C40" s="2" t="inlineStr">
        <is>
          <t>做空</t>
        </is>
      </c>
      <c r="D40" s="7" t="n">
        <v>46295.71180555555</v>
      </c>
      <c r="E40" s="17" t="n">
        <v>0.0354337</v>
      </c>
      <c r="F40" s="17" t="n">
        <v>0.034370689</v>
      </c>
      <c r="G40" s="17" t="n">
        <v>0.037205385</v>
      </c>
      <c r="H40" s="7" t="n">
        <v>46295.71597222222</v>
      </c>
      <c r="I40" s="17" t="n">
        <v>0.037205385</v>
      </c>
      <c r="J40" s="2" t="inlineStr">
        <is>
          <t>止損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/>
      <c r="O40" s="4" t="n"/>
      <c r="P40" s="4" t="n"/>
      <c r="Q40" s="19" t="n"/>
      <c r="R40" s="19" t="n"/>
      <c r="S40" s="4" t="n">
        <v>0.001995275683882802</v>
      </c>
      <c r="T40" s="4" t="n">
        <v>0.05</v>
      </c>
      <c r="U40" s="16" t="n"/>
      <c r="V40" s="16" t="n"/>
      <c r="W40" s="4" t="n"/>
      <c r="X40" s="4" t="n"/>
      <c r="Y40" s="4" t="n"/>
      <c r="Z40" s="4" t="n"/>
      <c r="AA40" s="4" t="n">
        <v>0.03</v>
      </c>
      <c r="AB40" s="4" t="n">
        <v>0.05</v>
      </c>
      <c r="AC40" s="4">
        <f>(AB40+2*參數!$B$7)/(AA40+AB40)</f>
        <v/>
      </c>
      <c r="AD40" s="2" t="n">
        <v>0.06515759224255824</v>
      </c>
      <c r="AE40" s="2" t="n">
        <v>0.6513296164187476</v>
      </c>
      <c r="AF40" s="2" t="inlineStr">
        <is>
          <t>15分0.5倍</t>
        </is>
      </c>
      <c r="AG40" s="2" t="n">
        <v>0.02101168436369916</v>
      </c>
      <c r="AH40" s="2" t="n">
        <v>5</v>
      </c>
    </row>
    <row r="41">
      <c r="A41" s="2" t="n">
        <v>40</v>
      </c>
      <c r="B41" s="2" t="inlineStr">
        <is>
          <t>PROS_USDT_PERP</t>
        </is>
      </c>
      <c r="C41" s="2" t="inlineStr">
        <is>
          <t>做空</t>
        </is>
      </c>
      <c r="D41" s="7" t="n">
        <v>46295.83680555555</v>
      </c>
      <c r="E41" s="17" t="n">
        <v>0.7494</v>
      </c>
      <c r="F41" s="17" t="n">
        <v>0.726918</v>
      </c>
      <c r="G41" s="17" t="n">
        <v>0.78687</v>
      </c>
      <c r="H41" s="7" t="n">
        <v>46295.93888888889</v>
      </c>
      <c r="I41" s="17" t="n">
        <v>0.726918</v>
      </c>
      <c r="J41" s="2" t="inlineStr">
        <is>
          <t>止盈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/>
      <c r="O41" s="4" t="n"/>
      <c r="P41" s="4" t="n"/>
      <c r="Q41" s="19" t="n"/>
      <c r="R41" s="19" t="n"/>
      <c r="S41" s="4" t="n">
        <v>0.03</v>
      </c>
      <c r="T41" s="4" t="n">
        <v>0.01547904990659199</v>
      </c>
      <c r="U41" s="16" t="n"/>
      <c r="V41" s="16" t="n"/>
      <c r="W41" s="4" t="n"/>
      <c r="X41" s="4" t="n"/>
      <c r="Y41" s="4" t="n"/>
      <c r="Z41" s="4" t="n"/>
      <c r="AA41" s="4" t="n">
        <v>0.03</v>
      </c>
      <c r="AB41" s="4" t="n">
        <v>0.05</v>
      </c>
      <c r="AC41" s="4">
        <f>(AB41+2*參數!$B$7)/(AA41+AB41)</f>
        <v/>
      </c>
      <c r="AD41" s="2" t="n">
        <v>0.08786797502230148</v>
      </c>
      <c r="AE41" s="2" t="n">
        <v>0.590293453724605</v>
      </c>
      <c r="AF41" s="2" t="inlineStr">
        <is>
          <t>15分0.5倍</t>
        </is>
      </c>
      <c r="AG41" s="2" t="n">
        <v>0.01710097719869696</v>
      </c>
      <c r="AH41" s="2" t="n">
        <v>5</v>
      </c>
    </row>
    <row r="42">
      <c r="A42" s="2" t="n">
        <v>41</v>
      </c>
      <c r="B42" s="2" t="inlineStr">
        <is>
          <t>US_USDT_PERP</t>
        </is>
      </c>
      <c r="C42" s="2" t="inlineStr">
        <is>
          <t>做空</t>
        </is>
      </c>
      <c r="D42" s="7" t="n">
        <v>46295.86527777778</v>
      </c>
      <c r="E42" s="17" t="n">
        <v>0.02259</v>
      </c>
      <c r="F42" s="17" t="n">
        <v>0.0219123</v>
      </c>
      <c r="G42" s="17" t="n">
        <v>0.0237195</v>
      </c>
      <c r="H42" s="7" t="n">
        <v>46295.89722222222</v>
      </c>
      <c r="I42" s="17" t="n">
        <v>0.0237195</v>
      </c>
      <c r="J42" s="2" t="inlineStr">
        <is>
          <t>止損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/>
      <c r="O42" s="4" t="n"/>
      <c r="P42" s="4" t="n"/>
      <c r="Q42" s="19" t="n"/>
      <c r="R42" s="19" t="n"/>
      <c r="S42" s="4" t="n">
        <v>0.005312084993359778</v>
      </c>
      <c r="T42" s="4" t="n">
        <v>0.05</v>
      </c>
      <c r="U42" s="16" t="n"/>
      <c r="V42" s="16" t="n"/>
      <c r="W42" s="4" t="n"/>
      <c r="X42" s="4" t="n"/>
      <c r="Y42" s="4" t="n"/>
      <c r="Z42" s="4" t="n"/>
      <c r="AA42" s="4" t="n">
        <v>0.03</v>
      </c>
      <c r="AB42" s="4" t="n">
        <v>0.05</v>
      </c>
      <c r="AC42" s="4">
        <f>(AB42+2*參數!$B$7)/(AA42+AB42)</f>
        <v/>
      </c>
      <c r="AD42" s="2" t="n">
        <v>0.1310494834148994</v>
      </c>
      <c r="AE42" s="2" t="n">
        <v>2.032866069117779</v>
      </c>
      <c r="AF42" s="2" t="inlineStr">
        <is>
          <t>2倍</t>
        </is>
      </c>
      <c r="AG42" s="2" t="n">
        <v>0.06305882352941161</v>
      </c>
      <c r="AH42" s="2" t="n">
        <v>46</v>
      </c>
    </row>
    <row r="43">
      <c r="A43" s="2" t="n">
        <v>42</v>
      </c>
      <c r="B43" s="2" t="inlineStr">
        <is>
          <t>USELESS_USDT_PERP</t>
        </is>
      </c>
      <c r="C43" s="2" t="inlineStr">
        <is>
          <t>做空</t>
        </is>
      </c>
      <c r="D43" s="7" t="n">
        <v>46295.89444444444</v>
      </c>
      <c r="E43" s="17" t="n">
        <v>0.25901</v>
      </c>
      <c r="F43" s="17" t="n">
        <v>0.2512397</v>
      </c>
      <c r="G43" s="17" t="n">
        <v>0.2719605</v>
      </c>
      <c r="H43" s="7" t="n">
        <v>46295.9</v>
      </c>
      <c r="I43" s="17" t="n">
        <v>0.2512397</v>
      </c>
      <c r="J43" s="2" t="inlineStr">
        <is>
          <t>止盈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/>
      <c r="O43" s="4" t="n"/>
      <c r="P43" s="4" t="n"/>
      <c r="Q43" s="19" t="n"/>
      <c r="R43" s="19" t="n"/>
      <c r="S43" s="4" t="n">
        <v>0.03</v>
      </c>
      <c r="T43" s="4" t="n">
        <v>0</v>
      </c>
      <c r="U43" s="16" t="n"/>
      <c r="V43" s="16" t="n"/>
      <c r="W43" s="4" t="n"/>
      <c r="X43" s="4" t="n"/>
      <c r="Y43" s="4" t="n"/>
      <c r="Z43" s="4" t="n"/>
      <c r="AA43" s="4" t="n">
        <v>0.03</v>
      </c>
      <c r="AB43" s="4" t="n">
        <v>0.05</v>
      </c>
      <c r="AC43" s="4">
        <f>(AB43+2*參數!$B$7)/(AA43+AB43)</f>
        <v/>
      </c>
      <c r="AD43" s="2" t="n">
        <v>0.06818561872909701</v>
      </c>
      <c r="AE43" s="2" t="n">
        <v>0.6672406022171967</v>
      </c>
      <c r="AF43" s="2" t="inlineStr">
        <is>
          <t>15分0.5倍</t>
        </is>
      </c>
      <c r="AG43" s="2" t="n">
        <v>3.861003861005408e-05</v>
      </c>
      <c r="AH43" s="2" t="n">
        <v>28</v>
      </c>
    </row>
    <row r="44">
      <c r="A44" s="2" t="n">
        <v>43</v>
      </c>
      <c r="B44" s="2" t="inlineStr">
        <is>
          <t>NOM_USDT_PERP</t>
        </is>
      </c>
      <c r="C44" s="2" t="inlineStr">
        <is>
          <t>做空</t>
        </is>
      </c>
      <c r="D44" s="7" t="n">
        <v>46296.59305555555</v>
      </c>
      <c r="E44" s="17" t="n">
        <v>0.002603</v>
      </c>
      <c r="F44" s="17" t="n">
        <v>0.00252491</v>
      </c>
      <c r="G44" s="17" t="n">
        <v>0.00273315</v>
      </c>
      <c r="H44" s="7" t="n">
        <v>46296.60972222222</v>
      </c>
      <c r="I44" s="17" t="n">
        <v>0.00252491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/>
      <c r="O44" s="4" t="n"/>
      <c r="P44" s="4" t="n"/>
      <c r="Q44" s="19" t="n"/>
      <c r="R44" s="19" t="n"/>
      <c r="S44" s="4" t="n">
        <v>0.03</v>
      </c>
      <c r="T44" s="4" t="n">
        <v>0.003457548981943948</v>
      </c>
      <c r="U44" s="16" t="n"/>
      <c r="V44" s="16" t="n"/>
      <c r="W44" s="4" t="n"/>
      <c r="X44" s="4" t="n"/>
      <c r="Y44" s="4" t="n"/>
      <c r="Z44" s="4" t="n"/>
      <c r="AA44" s="4" t="n">
        <v>0.03</v>
      </c>
      <c r="AB44" s="4" t="n">
        <v>0.05</v>
      </c>
      <c r="AC44" s="4">
        <f>(AB44+2*參數!$B$7)/(AA44+AB44)</f>
        <v/>
      </c>
      <c r="AD44" s="2" t="n">
        <v>0.07877744296168743</v>
      </c>
      <c r="AE44" s="2" t="n">
        <v>0.5094115457622561</v>
      </c>
      <c r="AF44" s="2" t="inlineStr">
        <is>
          <t>15分0.5倍</t>
        </is>
      </c>
      <c r="AG44" s="2" t="n">
        <v>0.03293650793650782</v>
      </c>
      <c r="AH44" s="2" t="n">
        <v>14</v>
      </c>
    </row>
    <row r="45">
      <c r="A45" s="2" t="n">
        <v>44</v>
      </c>
      <c r="B45" s="2" t="inlineStr">
        <is>
          <t>NOM_USDT_PERP</t>
        </is>
      </c>
      <c r="C45" s="2" t="inlineStr">
        <is>
          <t>做空</t>
        </is>
      </c>
      <c r="D45" s="7" t="n">
        <v>46296.71180555555</v>
      </c>
      <c r="E45" s="17" t="n">
        <v>0.003145</v>
      </c>
      <c r="F45" s="17" t="n">
        <v>0.00305065</v>
      </c>
      <c r="G45" s="17" t="n">
        <v>0.00330225</v>
      </c>
      <c r="H45" s="7" t="n">
        <v>46296.72986111111</v>
      </c>
      <c r="I45" s="17" t="n">
        <v>0.00305065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/>
      <c r="O45" s="4" t="n"/>
      <c r="P45" s="4" t="n"/>
      <c r="Q45" s="19" t="n"/>
      <c r="R45" s="19" t="n"/>
      <c r="S45" s="4" t="n">
        <v>0.03</v>
      </c>
      <c r="T45" s="4" t="n">
        <v>0.04642289348171702</v>
      </c>
      <c r="U45" s="16" t="n"/>
      <c r="V45" s="16" t="n"/>
      <c r="W45" s="4" t="n"/>
      <c r="X45" s="4" t="n"/>
      <c r="Y45" s="4" t="n"/>
      <c r="Z45" s="4" t="n"/>
      <c r="AA45" s="4" t="n">
        <v>0.03</v>
      </c>
      <c r="AB45" s="4" t="n">
        <v>0.05</v>
      </c>
      <c r="AC45" s="4">
        <f>(AB45+2*參數!$B$7)/(AA45+AB45)</f>
        <v/>
      </c>
      <c r="AD45" s="2" t="n">
        <v>0.07241857241857241</v>
      </c>
      <c r="AE45" s="2" t="n">
        <v>0.5081083445369787</v>
      </c>
      <c r="AF45" s="2" t="inlineStr">
        <is>
          <t>15分0.5倍</t>
        </is>
      </c>
      <c r="AG45" s="2" t="n">
        <v>0.003189792663476743</v>
      </c>
      <c r="AH45" s="2" t="n">
        <v>5</v>
      </c>
    </row>
    <row r="46">
      <c r="A46" s="2" t="n">
        <v>45</v>
      </c>
      <c r="B46" s="2" t="inlineStr">
        <is>
          <t>MEGA_USDT_PERP</t>
        </is>
      </c>
      <c r="C46" s="2" t="inlineStr">
        <is>
          <t>做空</t>
        </is>
      </c>
      <c r="D46" s="7" t="n">
        <v>46297.00833333333</v>
      </c>
      <c r="E46" s="17" t="n">
        <v>0.05286</v>
      </c>
      <c r="F46" s="17" t="n">
        <v>0.0512742</v>
      </c>
      <c r="G46" s="17" t="n">
        <v>0.055503</v>
      </c>
      <c r="H46" s="7" t="n">
        <v>46297.01180555556</v>
      </c>
      <c r="I46" s="17" t="n">
        <v>0.0512742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/>
      <c r="O46" s="4" t="n"/>
      <c r="P46" s="4" t="n"/>
      <c r="Q46" s="19" t="n"/>
      <c r="R46" s="19" t="n"/>
      <c r="S46" s="4" t="n">
        <v>0.03</v>
      </c>
      <c r="T46" s="4" t="n">
        <v>0.01059402194475978</v>
      </c>
      <c r="U46" s="16" t="n"/>
      <c r="V46" s="16" t="n"/>
      <c r="W46" s="4" t="n"/>
      <c r="X46" s="4" t="n"/>
      <c r="Y46" s="4" t="n"/>
      <c r="Z46" s="4" t="n"/>
      <c r="AA46" s="4" t="n">
        <v>0.03</v>
      </c>
      <c r="AB46" s="4" t="n">
        <v>0.05</v>
      </c>
      <c r="AC46" s="4">
        <f>(AB46+2*參數!$B$7)/(AA46+AB46)</f>
        <v/>
      </c>
      <c r="AD46" s="2" t="n">
        <v>0.09012690901269105</v>
      </c>
      <c r="AE46" s="2" t="n">
        <v>0.5576065321780714</v>
      </c>
      <c r="AF46" s="2" t="inlineStr">
        <is>
          <t>15分0.5倍</t>
        </is>
      </c>
      <c r="AG46" s="2" t="n">
        <v>0.0332290852228303</v>
      </c>
      <c r="AH46" s="2" t="n">
        <v>12</v>
      </c>
    </row>
    <row r="47">
      <c r="A47" s="2" t="n">
        <v>46</v>
      </c>
      <c r="B47" s="2" t="inlineStr">
        <is>
          <t>MAGMA_USDT_PERP</t>
        </is>
      </c>
      <c r="C47" s="2" t="inlineStr">
        <is>
          <t>做空</t>
        </is>
      </c>
      <c r="D47" s="7" t="n">
        <v>46297.04930555556</v>
      </c>
      <c r="E47" s="17" t="n">
        <v>0.22721</v>
      </c>
      <c r="F47" s="17" t="n">
        <v>0.2203937</v>
      </c>
      <c r="G47" s="17" t="n">
        <v>0.2385705</v>
      </c>
      <c r="H47" s="7" t="n">
        <v>46297.06388888889</v>
      </c>
      <c r="I47" s="17" t="n">
        <v>0.2385705</v>
      </c>
      <c r="J47" s="2" t="inlineStr">
        <is>
          <t>止損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/>
      <c r="O47" s="4" t="n"/>
      <c r="P47" s="4" t="n"/>
      <c r="Q47" s="19" t="n"/>
      <c r="R47" s="19" t="n"/>
      <c r="S47" s="4" t="n">
        <v>0.001672461599401376</v>
      </c>
      <c r="T47" s="4" t="n">
        <v>0.05</v>
      </c>
      <c r="U47" s="16" t="n"/>
      <c r="V47" s="16" t="n"/>
      <c r="W47" s="4" t="n"/>
      <c r="X47" s="4" t="n"/>
      <c r="Y47" s="4" t="n"/>
      <c r="Z47" s="4" t="n"/>
      <c r="AA47" s="4" t="n">
        <v>0.03</v>
      </c>
      <c r="AB47" s="4" t="n">
        <v>0.05</v>
      </c>
      <c r="AC47" s="4">
        <f>(AB47+2*參數!$B$7)/(AA47+AB47)</f>
        <v/>
      </c>
      <c r="AD47" s="2" t="n">
        <v>0.06642623909547241</v>
      </c>
      <c r="AE47" s="2" t="n">
        <v>0.7549060303737315</v>
      </c>
      <c r="AF47" s="2" t="inlineStr">
        <is>
          <t>15分0.5倍</t>
        </is>
      </c>
      <c r="AG47" s="2" t="n">
        <v>0.02926387315968282</v>
      </c>
      <c r="AH47" s="2" t="n">
        <v>11</v>
      </c>
    </row>
    <row r="48">
      <c r="A48" s="2" t="n">
        <v>47</v>
      </c>
      <c r="B48" s="2" t="inlineStr">
        <is>
          <t>MOVR_USDT_PERP</t>
        </is>
      </c>
      <c r="C48" s="2" t="inlineStr">
        <is>
          <t>做空</t>
        </is>
      </c>
      <c r="D48" s="7" t="n">
        <v>46297.13541666666</v>
      </c>
      <c r="E48" s="17" t="n">
        <v>3.172</v>
      </c>
      <c r="F48" s="17" t="n">
        <v>3.07684</v>
      </c>
      <c r="G48" s="17" t="n">
        <v>3.3306</v>
      </c>
      <c r="H48" s="7" t="n">
        <v>46297.13888888889</v>
      </c>
      <c r="I48" s="17" t="n">
        <v>3.07684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/>
      <c r="O48" s="4" t="n"/>
      <c r="P48" s="4" t="n"/>
      <c r="Q48" s="19" t="n"/>
      <c r="R48" s="19" t="n"/>
      <c r="S48" s="4" t="n">
        <v>0.03</v>
      </c>
      <c r="T48" s="4" t="n">
        <v>0.003783102143757988</v>
      </c>
      <c r="U48" s="16" t="n"/>
      <c r="V48" s="16" t="n"/>
      <c r="W48" s="4" t="n"/>
      <c r="X48" s="4" t="n"/>
      <c r="Y48" s="4" t="n"/>
      <c r="Z48" s="4" t="n"/>
      <c r="AA48" s="4" t="n">
        <v>0.03</v>
      </c>
      <c r="AB48" s="4" t="n">
        <v>0.05</v>
      </c>
      <c r="AC48" s="4">
        <f>(AB48+2*參數!$B$7)/(AA48+AB48)</f>
        <v/>
      </c>
      <c r="AD48" s="2" t="n">
        <v>0.06125211505922157</v>
      </c>
      <c r="AE48" s="2" t="n">
        <v>0.5222268279791994</v>
      </c>
      <c r="AF48" s="2" t="inlineStr">
        <is>
          <t>15分0.5倍</t>
        </is>
      </c>
      <c r="AG48" s="2" t="n">
        <v>0.0006309148264984632</v>
      </c>
      <c r="AH48" s="2" t="n">
        <v>15</v>
      </c>
    </row>
  </sheetData>
  <autoFilter ref="A1:AH48"/>
  <conditionalFormatting sqref="J2:J48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NOM_USDT_PERP</t>
        </is>
      </c>
      <c r="B2" s="2">
        <f>COUNTIFS(交易明細!$B$2:$B$48,$A2)</f>
        <v/>
      </c>
      <c r="C2" s="2">
        <f>COUNTIFS(交易明細!$B$2:$B$48,$A2,交易明細!$C$2:$C$48,"做多")</f>
        <v/>
      </c>
      <c r="D2" s="2">
        <f>COUNTIFS(交易明細!$B$2:$B$48,$A2,交易明細!$C$2:$C$48,"做空")</f>
        <v/>
      </c>
      <c r="E2" s="2">
        <f>F2+G2+COUNTIFS(交易明細!$B$2:$B$48,$A2,交易明細!$J$2:$J$48,"時間出場")</f>
        <v/>
      </c>
      <c r="F2" s="2">
        <f>COUNTIFS(交易明細!$B$2:$B$48,$A2,交易明細!$J$2:$J$48,"止盈")</f>
        <v/>
      </c>
      <c r="G2" s="2">
        <f>COUNTIFS(交易明細!$B$2:$B$48,$A2,交易明細!$J$2:$J$48,"止損")</f>
        <v/>
      </c>
      <c r="H2" s="4">
        <f>IFERROR(F2/E2,0)</f>
        <v/>
      </c>
      <c r="I2" s="4">
        <f>IFERROR(AVERAGEIFS(交易明細!$L$2:$L$48,交易明細!$B$2:$B$48,$A2,交易明細!$J$2:$J$48,"&lt;&gt;未平倉"),0)</f>
        <v/>
      </c>
      <c r="J2" s="4">
        <f>SUMIFS(交易明細!$L$2:$L$48,交易明細!$B$2:$B$48,$A2,交易明細!$J$2:$J$48,"&lt;&gt;未平倉")</f>
        <v/>
      </c>
      <c r="K2" s="5">
        <f>IFERROR(AVERAGEIFS(交易明細!$K$2:$K$48,交易明細!$B$2:$B$48,$A2,交易明細!$J$2:$J$48,"&lt;&gt;未平倉"),0)</f>
        <v/>
      </c>
      <c r="L2" s="2">
        <f>COUNTIFS(交易明細!$B$2:$B$48,$A2,交易明細!$J$2:$J$48,"未平倉")</f>
        <v/>
      </c>
    </row>
    <row r="3">
      <c r="A3" s="2" t="inlineStr">
        <is>
          <t>MOVR_USDT_PERP</t>
        </is>
      </c>
      <c r="B3" s="2">
        <f>COUNTIFS(交易明細!$B$2:$B$48,$A3)</f>
        <v/>
      </c>
      <c r="C3" s="2">
        <f>COUNTIFS(交易明細!$B$2:$B$48,$A3,交易明細!$C$2:$C$48,"做多")</f>
        <v/>
      </c>
      <c r="D3" s="2">
        <f>COUNTIFS(交易明細!$B$2:$B$48,$A3,交易明細!$C$2:$C$48,"做空")</f>
        <v/>
      </c>
      <c r="E3" s="2">
        <f>F3+G3+COUNTIFS(交易明細!$B$2:$B$48,$A3,交易明細!$J$2:$J$48,"時間出場")</f>
        <v/>
      </c>
      <c r="F3" s="2">
        <f>COUNTIFS(交易明細!$B$2:$B$48,$A3,交易明細!$J$2:$J$48,"止盈")</f>
        <v/>
      </c>
      <c r="G3" s="2">
        <f>COUNTIFS(交易明細!$B$2:$B$48,$A3,交易明細!$J$2:$J$48,"止損")</f>
        <v/>
      </c>
      <c r="H3" s="4">
        <f>IFERROR(F3/E3,0)</f>
        <v/>
      </c>
      <c r="I3" s="4">
        <f>IFERROR(AVERAGEIFS(交易明細!$L$2:$L$48,交易明細!$B$2:$B$48,$A3,交易明細!$J$2:$J$48,"&lt;&gt;未平倉"),0)</f>
        <v/>
      </c>
      <c r="J3" s="4">
        <f>SUMIFS(交易明細!$L$2:$L$48,交易明細!$B$2:$B$48,$A3,交易明細!$J$2:$J$48,"&lt;&gt;未平倉")</f>
        <v/>
      </c>
      <c r="K3" s="5">
        <f>IFERROR(AVERAGEIFS(交易明細!$K$2:$K$48,交易明細!$B$2:$B$48,$A3,交易明細!$J$2:$J$48,"&lt;&gt;未平倉"),0)</f>
        <v/>
      </c>
      <c r="L3" s="2">
        <f>COUNTIFS(交易明細!$B$2:$B$48,$A3,交易明細!$J$2:$J$48,"未平倉")</f>
        <v/>
      </c>
    </row>
    <row r="4">
      <c r="A4" s="2" t="inlineStr">
        <is>
          <t>US_USDT_PERP</t>
        </is>
      </c>
      <c r="B4" s="2">
        <f>COUNTIFS(交易明細!$B$2:$B$48,$A4)</f>
        <v/>
      </c>
      <c r="C4" s="2">
        <f>COUNTIFS(交易明細!$B$2:$B$48,$A4,交易明細!$C$2:$C$48,"做多")</f>
        <v/>
      </c>
      <c r="D4" s="2">
        <f>COUNTIFS(交易明細!$B$2:$B$48,$A4,交易明細!$C$2:$C$48,"做空")</f>
        <v/>
      </c>
      <c r="E4" s="2">
        <f>F4+G4+COUNTIFS(交易明細!$B$2:$B$48,$A4,交易明細!$J$2:$J$48,"時間出場")</f>
        <v/>
      </c>
      <c r="F4" s="2">
        <f>COUNTIFS(交易明細!$B$2:$B$48,$A4,交易明細!$J$2:$J$48,"止盈")</f>
        <v/>
      </c>
      <c r="G4" s="2">
        <f>COUNTIFS(交易明細!$B$2:$B$48,$A4,交易明細!$J$2:$J$48,"止損")</f>
        <v/>
      </c>
      <c r="H4" s="4">
        <f>IFERROR(F4/E4,0)</f>
        <v/>
      </c>
      <c r="I4" s="4">
        <f>IFERROR(AVERAGEIFS(交易明細!$L$2:$L$48,交易明細!$B$2:$B$48,$A4,交易明細!$J$2:$J$48,"&lt;&gt;未平倉"),0)</f>
        <v/>
      </c>
      <c r="J4" s="4">
        <f>SUMIFS(交易明細!$L$2:$L$48,交易明細!$B$2:$B$48,$A4,交易明細!$J$2:$J$48,"&lt;&gt;未平倉")</f>
        <v/>
      </c>
      <c r="K4" s="5">
        <f>IFERROR(AVERAGEIFS(交易明細!$K$2:$K$48,交易明細!$B$2:$B$48,$A4,交易明細!$J$2:$J$48,"&lt;&gt;未平倉"),0)</f>
        <v/>
      </c>
      <c r="L4" s="2">
        <f>COUNTIFS(交易明細!$B$2:$B$48,$A4,交易明細!$J$2:$J$48,"未平倉")</f>
        <v/>
      </c>
    </row>
    <row r="5">
      <c r="A5" s="2" t="inlineStr">
        <is>
          <t>ARX_USDT_PERP</t>
        </is>
      </c>
      <c r="B5" s="2">
        <f>COUNTIFS(交易明細!$B$2:$B$48,$A5)</f>
        <v/>
      </c>
      <c r="C5" s="2">
        <f>COUNTIFS(交易明細!$B$2:$B$48,$A5,交易明細!$C$2:$C$48,"做多")</f>
        <v/>
      </c>
      <c r="D5" s="2">
        <f>COUNTIFS(交易明細!$B$2:$B$48,$A5,交易明細!$C$2:$C$48,"做空")</f>
        <v/>
      </c>
      <c r="E5" s="2">
        <f>F5+G5+COUNTIFS(交易明細!$B$2:$B$48,$A5,交易明細!$J$2:$J$48,"時間出場")</f>
        <v/>
      </c>
      <c r="F5" s="2">
        <f>COUNTIFS(交易明細!$B$2:$B$48,$A5,交易明細!$J$2:$J$48,"止盈")</f>
        <v/>
      </c>
      <c r="G5" s="2">
        <f>COUNTIFS(交易明細!$B$2:$B$48,$A5,交易明細!$J$2:$J$48,"止損")</f>
        <v/>
      </c>
      <c r="H5" s="4">
        <f>IFERROR(F5/E5,0)</f>
        <v/>
      </c>
      <c r="I5" s="4">
        <f>IFERROR(AVERAGEIFS(交易明細!$L$2:$L$48,交易明細!$B$2:$B$48,$A5,交易明細!$J$2:$J$48,"&lt;&gt;未平倉"),0)</f>
        <v/>
      </c>
      <c r="J5" s="4">
        <f>SUMIFS(交易明細!$L$2:$L$48,交易明細!$B$2:$B$48,$A5,交易明細!$J$2:$J$48,"&lt;&gt;未平倉")</f>
        <v/>
      </c>
      <c r="K5" s="5">
        <f>IFERROR(AVERAGEIFS(交易明細!$K$2:$K$48,交易明細!$B$2:$B$48,$A5,交易明細!$J$2:$J$48,"&lt;&gt;未平倉"),0)</f>
        <v/>
      </c>
      <c r="L5" s="2">
        <f>COUNTIFS(交易明細!$B$2:$B$48,$A5,交易明細!$J$2:$J$48,"未平倉")</f>
        <v/>
      </c>
    </row>
    <row r="6">
      <c r="A6" s="2" t="inlineStr">
        <is>
          <t>PHA_USDT_PERP</t>
        </is>
      </c>
      <c r="B6" s="2">
        <f>COUNTIFS(交易明細!$B$2:$B$48,$A6)</f>
        <v/>
      </c>
      <c r="C6" s="2">
        <f>COUNTIFS(交易明細!$B$2:$B$48,$A6,交易明細!$C$2:$C$48,"做多")</f>
        <v/>
      </c>
      <c r="D6" s="2">
        <f>COUNTIFS(交易明細!$B$2:$B$48,$A6,交易明細!$C$2:$C$48,"做空")</f>
        <v/>
      </c>
      <c r="E6" s="2">
        <f>F6+G6+COUNTIFS(交易明細!$B$2:$B$48,$A6,交易明細!$J$2:$J$48,"時間出場")</f>
        <v/>
      </c>
      <c r="F6" s="2">
        <f>COUNTIFS(交易明細!$B$2:$B$48,$A6,交易明細!$J$2:$J$48,"止盈")</f>
        <v/>
      </c>
      <c r="G6" s="2">
        <f>COUNTIFS(交易明細!$B$2:$B$48,$A6,交易明細!$J$2:$J$48,"止損")</f>
        <v/>
      </c>
      <c r="H6" s="4">
        <f>IFERROR(F6/E6,0)</f>
        <v/>
      </c>
      <c r="I6" s="4">
        <f>IFERROR(AVERAGEIFS(交易明細!$L$2:$L$48,交易明細!$B$2:$B$48,$A6,交易明細!$J$2:$J$48,"&lt;&gt;未平倉"),0)</f>
        <v/>
      </c>
      <c r="J6" s="4">
        <f>SUMIFS(交易明細!$L$2:$L$48,交易明細!$B$2:$B$48,$A6,交易明細!$J$2:$J$48,"&lt;&gt;未平倉")</f>
        <v/>
      </c>
      <c r="K6" s="5">
        <f>IFERROR(AVERAGEIFS(交易明細!$K$2:$K$48,交易明細!$B$2:$B$48,$A6,交易明細!$J$2:$J$48,"&lt;&gt;未平倉"),0)</f>
        <v/>
      </c>
      <c r="L6" s="2">
        <f>COUNTIFS(交易明細!$B$2:$B$48,$A6,交易明細!$J$2:$J$48,"未平倉")</f>
        <v/>
      </c>
    </row>
    <row r="7">
      <c r="A7" s="2" t="inlineStr">
        <is>
          <t>LYN_USDT_PERP</t>
        </is>
      </c>
      <c r="B7" s="2">
        <f>COUNTIFS(交易明細!$B$2:$B$48,$A7)</f>
        <v/>
      </c>
      <c r="C7" s="2">
        <f>COUNTIFS(交易明細!$B$2:$B$48,$A7,交易明細!$C$2:$C$48,"做多")</f>
        <v/>
      </c>
      <c r="D7" s="2">
        <f>COUNTIFS(交易明細!$B$2:$B$48,$A7,交易明細!$C$2:$C$48,"做空")</f>
        <v/>
      </c>
      <c r="E7" s="2">
        <f>F7+G7+COUNTIFS(交易明細!$B$2:$B$48,$A7,交易明細!$J$2:$J$48,"時間出場")</f>
        <v/>
      </c>
      <c r="F7" s="2">
        <f>COUNTIFS(交易明細!$B$2:$B$48,$A7,交易明細!$J$2:$J$48,"止盈")</f>
        <v/>
      </c>
      <c r="G7" s="2">
        <f>COUNTIFS(交易明細!$B$2:$B$48,$A7,交易明細!$J$2:$J$48,"止損")</f>
        <v/>
      </c>
      <c r="H7" s="4">
        <f>IFERROR(F7/E7,0)</f>
        <v/>
      </c>
      <c r="I7" s="4">
        <f>IFERROR(AVERAGEIFS(交易明細!$L$2:$L$48,交易明細!$B$2:$B$48,$A7,交易明細!$J$2:$J$48,"&lt;&gt;未平倉"),0)</f>
        <v/>
      </c>
      <c r="J7" s="4">
        <f>SUMIFS(交易明細!$L$2:$L$48,交易明細!$B$2:$B$48,$A7,交易明細!$J$2:$J$48,"&lt;&gt;未平倉")</f>
        <v/>
      </c>
      <c r="K7" s="5">
        <f>IFERROR(AVERAGEIFS(交易明細!$K$2:$K$48,交易明細!$B$2:$B$48,$A7,交易明細!$J$2:$J$48,"&lt;&gt;未平倉"),0)</f>
        <v/>
      </c>
      <c r="L7" s="2">
        <f>COUNTIFS(交易明細!$B$2:$B$48,$A7,交易明細!$J$2:$J$48,"未平倉")</f>
        <v/>
      </c>
    </row>
    <row r="8">
      <c r="A8" s="2" t="inlineStr">
        <is>
          <t>2Z_USDT_PERP</t>
        </is>
      </c>
      <c r="B8" s="2">
        <f>COUNTIFS(交易明細!$B$2:$B$48,$A8)</f>
        <v/>
      </c>
      <c r="C8" s="2">
        <f>COUNTIFS(交易明細!$B$2:$B$48,$A8,交易明細!$C$2:$C$48,"做多")</f>
        <v/>
      </c>
      <c r="D8" s="2">
        <f>COUNTIFS(交易明細!$B$2:$B$48,$A8,交易明細!$C$2:$C$48,"做空")</f>
        <v/>
      </c>
      <c r="E8" s="2">
        <f>F8+G8+COUNTIFS(交易明細!$B$2:$B$48,$A8,交易明細!$J$2:$J$48,"時間出場")</f>
        <v/>
      </c>
      <c r="F8" s="2">
        <f>COUNTIFS(交易明細!$B$2:$B$48,$A8,交易明細!$J$2:$J$48,"止盈")</f>
        <v/>
      </c>
      <c r="G8" s="2">
        <f>COUNTIFS(交易明細!$B$2:$B$48,$A8,交易明細!$J$2:$J$48,"止損")</f>
        <v/>
      </c>
      <c r="H8" s="4">
        <f>IFERROR(F8/E8,0)</f>
        <v/>
      </c>
      <c r="I8" s="4">
        <f>IFERROR(AVERAGEIFS(交易明細!$L$2:$L$48,交易明細!$B$2:$B$48,$A8,交易明細!$J$2:$J$48,"&lt;&gt;未平倉"),0)</f>
        <v/>
      </c>
      <c r="J8" s="4">
        <f>SUMIFS(交易明細!$L$2:$L$48,交易明細!$B$2:$B$48,$A8,交易明細!$J$2:$J$48,"&lt;&gt;未平倉")</f>
        <v/>
      </c>
      <c r="K8" s="5">
        <f>IFERROR(AVERAGEIFS(交易明細!$K$2:$K$48,交易明細!$B$2:$B$48,$A8,交易明細!$J$2:$J$48,"&lt;&gt;未平倉"),0)</f>
        <v/>
      </c>
      <c r="L8" s="2">
        <f>COUNTIFS(交易明細!$B$2:$B$48,$A8,交易明細!$J$2:$J$48,"未平倉")</f>
        <v/>
      </c>
    </row>
    <row r="9">
      <c r="A9" s="2" t="inlineStr">
        <is>
          <t>SOON_USDT_PERP</t>
        </is>
      </c>
      <c r="B9" s="2">
        <f>COUNTIFS(交易明細!$B$2:$B$48,$A9)</f>
        <v/>
      </c>
      <c r="C9" s="2">
        <f>COUNTIFS(交易明細!$B$2:$B$48,$A9,交易明細!$C$2:$C$48,"做多")</f>
        <v/>
      </c>
      <c r="D9" s="2">
        <f>COUNTIFS(交易明細!$B$2:$B$48,$A9,交易明細!$C$2:$C$48,"做空")</f>
        <v/>
      </c>
      <c r="E9" s="2">
        <f>F9+G9+COUNTIFS(交易明細!$B$2:$B$48,$A9,交易明細!$J$2:$J$48,"時間出場")</f>
        <v/>
      </c>
      <c r="F9" s="2">
        <f>COUNTIFS(交易明細!$B$2:$B$48,$A9,交易明細!$J$2:$J$48,"止盈")</f>
        <v/>
      </c>
      <c r="G9" s="2">
        <f>COUNTIFS(交易明細!$B$2:$B$48,$A9,交易明細!$J$2:$J$48,"止損")</f>
        <v/>
      </c>
      <c r="H9" s="4">
        <f>IFERROR(F9/E9,0)</f>
        <v/>
      </c>
      <c r="I9" s="4">
        <f>IFERROR(AVERAGEIFS(交易明細!$L$2:$L$48,交易明細!$B$2:$B$48,$A9,交易明細!$J$2:$J$48,"&lt;&gt;未平倉"),0)</f>
        <v/>
      </c>
      <c r="J9" s="4">
        <f>SUMIFS(交易明細!$L$2:$L$48,交易明細!$B$2:$B$48,$A9,交易明細!$J$2:$J$48,"&lt;&gt;未平倉")</f>
        <v/>
      </c>
      <c r="K9" s="5">
        <f>IFERROR(AVERAGEIFS(交易明細!$K$2:$K$48,交易明細!$B$2:$B$48,$A9,交易明細!$J$2:$J$48,"&lt;&gt;未平倉"),0)</f>
        <v/>
      </c>
      <c r="L9" s="2">
        <f>COUNTIFS(交易明細!$B$2:$B$48,$A9,交易明細!$J$2:$J$48,"未平倉")</f>
        <v/>
      </c>
    </row>
    <row r="10">
      <c r="A10" s="2" t="inlineStr">
        <is>
          <t>BROCCOLI_USDT_PERP</t>
        </is>
      </c>
      <c r="B10" s="2">
        <f>COUNTIFS(交易明細!$B$2:$B$48,$A10)</f>
        <v/>
      </c>
      <c r="C10" s="2">
        <f>COUNTIFS(交易明細!$B$2:$B$48,$A10,交易明細!$C$2:$C$48,"做多")</f>
        <v/>
      </c>
      <c r="D10" s="2">
        <f>COUNTIFS(交易明細!$B$2:$B$48,$A10,交易明細!$C$2:$C$48,"做空")</f>
        <v/>
      </c>
      <c r="E10" s="2">
        <f>F10+G10+COUNTIFS(交易明細!$B$2:$B$48,$A10,交易明細!$J$2:$J$48,"時間出場")</f>
        <v/>
      </c>
      <c r="F10" s="2">
        <f>COUNTIFS(交易明細!$B$2:$B$48,$A10,交易明細!$J$2:$J$48,"止盈")</f>
        <v/>
      </c>
      <c r="G10" s="2">
        <f>COUNTIFS(交易明細!$B$2:$B$48,$A10,交易明細!$J$2:$J$48,"止損")</f>
        <v/>
      </c>
      <c r="H10" s="4">
        <f>IFERROR(F10/E10,0)</f>
        <v/>
      </c>
      <c r="I10" s="4">
        <f>IFERROR(AVERAGEIFS(交易明細!$L$2:$L$48,交易明細!$B$2:$B$48,$A10,交易明細!$J$2:$J$48,"&lt;&gt;未平倉"),0)</f>
        <v/>
      </c>
      <c r="J10" s="4">
        <f>SUMIFS(交易明細!$L$2:$L$48,交易明細!$B$2:$B$48,$A10,交易明細!$J$2:$J$48,"&lt;&gt;未平倉")</f>
        <v/>
      </c>
      <c r="K10" s="5">
        <f>IFERROR(AVERAGEIFS(交易明細!$K$2:$K$48,交易明細!$B$2:$B$48,$A10,交易明細!$J$2:$J$48,"&lt;&gt;未平倉"),0)</f>
        <v/>
      </c>
      <c r="L10" s="2">
        <f>COUNTIFS(交易明細!$B$2:$B$48,$A10,交易明細!$J$2:$J$48,"未平倉")</f>
        <v/>
      </c>
    </row>
    <row r="11">
      <c r="A11" s="2" t="inlineStr">
        <is>
          <t>AGT_USDT_PERP</t>
        </is>
      </c>
      <c r="B11" s="2">
        <f>COUNTIFS(交易明細!$B$2:$B$48,$A11)</f>
        <v/>
      </c>
      <c r="C11" s="2">
        <f>COUNTIFS(交易明細!$B$2:$B$48,$A11,交易明細!$C$2:$C$48,"做多")</f>
        <v/>
      </c>
      <c r="D11" s="2">
        <f>COUNTIFS(交易明細!$B$2:$B$48,$A11,交易明細!$C$2:$C$48,"做空")</f>
        <v/>
      </c>
      <c r="E11" s="2">
        <f>F11+G11+COUNTIFS(交易明細!$B$2:$B$48,$A11,交易明細!$J$2:$J$48,"時間出場")</f>
        <v/>
      </c>
      <c r="F11" s="2">
        <f>COUNTIFS(交易明細!$B$2:$B$48,$A11,交易明細!$J$2:$J$48,"止盈")</f>
        <v/>
      </c>
      <c r="G11" s="2">
        <f>COUNTIFS(交易明細!$B$2:$B$48,$A11,交易明細!$J$2:$J$48,"止損")</f>
        <v/>
      </c>
      <c r="H11" s="4">
        <f>IFERROR(F11/E11,0)</f>
        <v/>
      </c>
      <c r="I11" s="4">
        <f>IFERROR(AVERAGEIFS(交易明細!$L$2:$L$48,交易明細!$B$2:$B$48,$A11,交易明細!$J$2:$J$48,"&lt;&gt;未平倉"),0)</f>
        <v/>
      </c>
      <c r="J11" s="4">
        <f>SUMIFS(交易明細!$L$2:$L$48,交易明細!$B$2:$B$48,$A11,交易明細!$J$2:$J$48,"&lt;&gt;未平倉")</f>
        <v/>
      </c>
      <c r="K11" s="5">
        <f>IFERROR(AVERAGEIFS(交易明細!$K$2:$K$48,交易明細!$B$2:$B$48,$A11,交易明細!$J$2:$J$48,"&lt;&gt;未平倉"),0)</f>
        <v/>
      </c>
      <c r="L11" s="2">
        <f>COUNTIFS(交易明細!$B$2:$B$48,$A11,交易明細!$J$2:$J$48,"未平倉")</f>
        <v/>
      </c>
    </row>
    <row r="12">
      <c r="A12" s="2" t="inlineStr">
        <is>
          <t>BB_USDT_PERP</t>
        </is>
      </c>
      <c r="B12" s="2">
        <f>COUNTIFS(交易明細!$B$2:$B$48,$A12)</f>
        <v/>
      </c>
      <c r="C12" s="2">
        <f>COUNTIFS(交易明細!$B$2:$B$48,$A12,交易明細!$C$2:$C$48,"做多")</f>
        <v/>
      </c>
      <c r="D12" s="2">
        <f>COUNTIFS(交易明細!$B$2:$B$48,$A12,交易明細!$C$2:$C$48,"做空")</f>
        <v/>
      </c>
      <c r="E12" s="2">
        <f>F12+G12+COUNTIFS(交易明細!$B$2:$B$48,$A12,交易明細!$J$2:$J$48,"時間出場")</f>
        <v/>
      </c>
      <c r="F12" s="2">
        <f>COUNTIFS(交易明細!$B$2:$B$48,$A12,交易明細!$J$2:$J$48,"止盈")</f>
        <v/>
      </c>
      <c r="G12" s="2">
        <f>COUNTIFS(交易明細!$B$2:$B$48,$A12,交易明細!$J$2:$J$48,"止損")</f>
        <v/>
      </c>
      <c r="H12" s="4">
        <f>IFERROR(F12/E12,0)</f>
        <v/>
      </c>
      <c r="I12" s="4">
        <f>IFERROR(AVERAGEIFS(交易明細!$L$2:$L$48,交易明細!$B$2:$B$48,$A12,交易明細!$J$2:$J$48,"&lt;&gt;未平倉"),0)</f>
        <v/>
      </c>
      <c r="J12" s="4">
        <f>SUMIFS(交易明細!$L$2:$L$48,交易明細!$B$2:$B$48,$A12,交易明細!$J$2:$J$48,"&lt;&gt;未平倉")</f>
        <v/>
      </c>
      <c r="K12" s="5">
        <f>IFERROR(AVERAGEIFS(交易明細!$K$2:$K$48,交易明細!$B$2:$B$48,$A12,交易明細!$J$2:$J$48,"&lt;&gt;未平倉"),0)</f>
        <v/>
      </c>
      <c r="L12" s="2">
        <f>COUNTIFS(交易明細!$B$2:$B$48,$A12,交易明細!$J$2:$J$48,"未平倉")</f>
        <v/>
      </c>
    </row>
    <row r="13">
      <c r="A13" s="2" t="inlineStr">
        <is>
          <t>RIVER_USDT_PERP</t>
        </is>
      </c>
      <c r="B13" s="2">
        <f>COUNTIFS(交易明細!$B$2:$B$48,$A13)</f>
        <v/>
      </c>
      <c r="C13" s="2">
        <f>COUNTIFS(交易明細!$B$2:$B$48,$A13,交易明細!$C$2:$C$48,"做多")</f>
        <v/>
      </c>
      <c r="D13" s="2">
        <f>COUNTIFS(交易明細!$B$2:$B$48,$A13,交易明細!$C$2:$C$48,"做空")</f>
        <v/>
      </c>
      <c r="E13" s="2">
        <f>F13+G13+COUNTIFS(交易明細!$B$2:$B$48,$A13,交易明細!$J$2:$J$48,"時間出場")</f>
        <v/>
      </c>
      <c r="F13" s="2">
        <f>COUNTIFS(交易明細!$B$2:$B$48,$A13,交易明細!$J$2:$J$48,"止盈")</f>
        <v/>
      </c>
      <c r="G13" s="2">
        <f>COUNTIFS(交易明細!$B$2:$B$48,$A13,交易明細!$J$2:$J$48,"止損")</f>
        <v/>
      </c>
      <c r="H13" s="4">
        <f>IFERROR(F13/E13,0)</f>
        <v/>
      </c>
      <c r="I13" s="4">
        <f>IFERROR(AVERAGEIFS(交易明細!$L$2:$L$48,交易明細!$B$2:$B$48,$A13,交易明細!$J$2:$J$48,"&lt;&gt;未平倉"),0)</f>
        <v/>
      </c>
      <c r="J13" s="4">
        <f>SUMIFS(交易明細!$L$2:$L$48,交易明細!$B$2:$B$48,$A13,交易明細!$J$2:$J$48,"&lt;&gt;未平倉")</f>
        <v/>
      </c>
      <c r="K13" s="5">
        <f>IFERROR(AVERAGEIFS(交易明細!$K$2:$K$48,交易明細!$B$2:$B$48,$A13,交易明細!$J$2:$J$48,"&lt;&gt;未平倉"),0)</f>
        <v/>
      </c>
      <c r="L13" s="2">
        <f>COUNTIFS(交易明細!$B$2:$B$48,$A13,交易明細!$J$2:$J$48,"未平倉")</f>
        <v/>
      </c>
    </row>
    <row r="14">
      <c r="A14" s="2" t="inlineStr">
        <is>
          <t>LAB_USDT_PERP</t>
        </is>
      </c>
      <c r="B14" s="2">
        <f>COUNTIFS(交易明細!$B$2:$B$48,$A14)</f>
        <v/>
      </c>
      <c r="C14" s="2">
        <f>COUNTIFS(交易明細!$B$2:$B$48,$A14,交易明細!$C$2:$C$48,"做多")</f>
        <v/>
      </c>
      <c r="D14" s="2">
        <f>COUNTIFS(交易明細!$B$2:$B$48,$A14,交易明細!$C$2:$C$48,"做空")</f>
        <v/>
      </c>
      <c r="E14" s="2">
        <f>F14+G14+COUNTIFS(交易明細!$B$2:$B$48,$A14,交易明細!$J$2:$J$48,"時間出場")</f>
        <v/>
      </c>
      <c r="F14" s="2">
        <f>COUNTIFS(交易明細!$B$2:$B$48,$A14,交易明細!$J$2:$J$48,"止盈")</f>
        <v/>
      </c>
      <c r="G14" s="2">
        <f>COUNTIFS(交易明細!$B$2:$B$48,$A14,交易明細!$J$2:$J$48,"止損")</f>
        <v/>
      </c>
      <c r="H14" s="4">
        <f>IFERROR(F14/E14,0)</f>
        <v/>
      </c>
      <c r="I14" s="4">
        <f>IFERROR(AVERAGEIFS(交易明細!$L$2:$L$48,交易明細!$B$2:$B$48,$A14,交易明細!$J$2:$J$48,"&lt;&gt;未平倉"),0)</f>
        <v/>
      </c>
      <c r="J14" s="4">
        <f>SUMIFS(交易明細!$L$2:$L$48,交易明細!$B$2:$B$48,$A14,交易明細!$J$2:$J$48,"&lt;&gt;未平倉")</f>
        <v/>
      </c>
      <c r="K14" s="5">
        <f>IFERROR(AVERAGEIFS(交易明細!$K$2:$K$48,交易明細!$B$2:$B$48,$A14,交易明細!$J$2:$J$48,"&lt;&gt;未平倉"),0)</f>
        <v/>
      </c>
      <c r="L14" s="2">
        <f>COUNTIFS(交易明細!$B$2:$B$48,$A14,交易明細!$J$2:$J$48,"未平倉")</f>
        <v/>
      </c>
    </row>
    <row r="15">
      <c r="A15" s="2" t="inlineStr">
        <is>
          <t>SAGA_USDT_PERP</t>
        </is>
      </c>
      <c r="B15" s="2">
        <f>COUNTIFS(交易明細!$B$2:$B$48,$A15)</f>
        <v/>
      </c>
      <c r="C15" s="2">
        <f>COUNTIFS(交易明細!$B$2:$B$48,$A15,交易明細!$C$2:$C$48,"做多")</f>
        <v/>
      </c>
      <c r="D15" s="2">
        <f>COUNTIFS(交易明細!$B$2:$B$48,$A15,交易明細!$C$2:$C$48,"做空")</f>
        <v/>
      </c>
      <c r="E15" s="2">
        <f>F15+G15+COUNTIFS(交易明細!$B$2:$B$48,$A15,交易明細!$J$2:$J$48,"時間出場")</f>
        <v/>
      </c>
      <c r="F15" s="2">
        <f>COUNTIFS(交易明細!$B$2:$B$48,$A15,交易明細!$J$2:$J$48,"止盈")</f>
        <v/>
      </c>
      <c r="G15" s="2">
        <f>COUNTIFS(交易明細!$B$2:$B$48,$A15,交易明細!$J$2:$J$48,"止損")</f>
        <v/>
      </c>
      <c r="H15" s="4">
        <f>IFERROR(F15/E15,0)</f>
        <v/>
      </c>
      <c r="I15" s="4">
        <f>IFERROR(AVERAGEIFS(交易明細!$L$2:$L$48,交易明細!$B$2:$B$48,$A15,交易明細!$J$2:$J$48,"&lt;&gt;未平倉"),0)</f>
        <v/>
      </c>
      <c r="J15" s="4">
        <f>SUMIFS(交易明細!$L$2:$L$48,交易明細!$B$2:$B$48,$A15,交易明細!$J$2:$J$48,"&lt;&gt;未平倉")</f>
        <v/>
      </c>
      <c r="K15" s="5">
        <f>IFERROR(AVERAGEIFS(交易明細!$K$2:$K$48,交易明細!$B$2:$B$48,$A15,交易明細!$J$2:$J$48,"&lt;&gt;未平倉"),0)</f>
        <v/>
      </c>
      <c r="L15" s="2">
        <f>COUNTIFS(交易明細!$B$2:$B$48,$A15,交易明細!$J$2:$J$48,"未平倉")</f>
        <v/>
      </c>
    </row>
    <row r="16">
      <c r="A16" s="2" t="inlineStr">
        <is>
          <t>PLAY_USDT_PERP</t>
        </is>
      </c>
      <c r="B16" s="2">
        <f>COUNTIFS(交易明細!$B$2:$B$48,$A16)</f>
        <v/>
      </c>
      <c r="C16" s="2">
        <f>COUNTIFS(交易明細!$B$2:$B$48,$A16,交易明細!$C$2:$C$48,"做多")</f>
        <v/>
      </c>
      <c r="D16" s="2">
        <f>COUNTIFS(交易明細!$B$2:$B$48,$A16,交易明細!$C$2:$C$48,"做空")</f>
        <v/>
      </c>
      <c r="E16" s="2">
        <f>F16+G16+COUNTIFS(交易明細!$B$2:$B$48,$A16,交易明細!$J$2:$J$48,"時間出場")</f>
        <v/>
      </c>
      <c r="F16" s="2">
        <f>COUNTIFS(交易明細!$B$2:$B$48,$A16,交易明細!$J$2:$J$48,"止盈")</f>
        <v/>
      </c>
      <c r="G16" s="2">
        <f>COUNTIFS(交易明細!$B$2:$B$48,$A16,交易明細!$J$2:$J$48,"止損")</f>
        <v/>
      </c>
      <c r="H16" s="4">
        <f>IFERROR(F16/E16,0)</f>
        <v/>
      </c>
      <c r="I16" s="4">
        <f>IFERROR(AVERAGEIFS(交易明細!$L$2:$L$48,交易明細!$B$2:$B$48,$A16,交易明細!$J$2:$J$48,"&lt;&gt;未平倉"),0)</f>
        <v/>
      </c>
      <c r="J16" s="4">
        <f>SUMIFS(交易明細!$L$2:$L$48,交易明細!$B$2:$B$48,$A16,交易明細!$J$2:$J$48,"&lt;&gt;未平倉")</f>
        <v/>
      </c>
      <c r="K16" s="5">
        <f>IFERROR(AVERAGEIFS(交易明細!$K$2:$K$48,交易明細!$B$2:$B$48,$A16,交易明細!$J$2:$J$48,"&lt;&gt;未平倉"),0)</f>
        <v/>
      </c>
      <c r="L16" s="2">
        <f>COUNTIFS(交易明細!$B$2:$B$48,$A16,交易明細!$J$2:$J$48,"未平倉")</f>
        <v/>
      </c>
    </row>
    <row r="17">
      <c r="A17" s="2" t="inlineStr">
        <is>
          <t>CASHCAT_USDT_PERP</t>
        </is>
      </c>
      <c r="B17" s="2">
        <f>COUNTIFS(交易明細!$B$2:$B$48,$A17)</f>
        <v/>
      </c>
      <c r="C17" s="2">
        <f>COUNTIFS(交易明細!$B$2:$B$48,$A17,交易明細!$C$2:$C$48,"做多")</f>
        <v/>
      </c>
      <c r="D17" s="2">
        <f>COUNTIFS(交易明細!$B$2:$B$48,$A17,交易明細!$C$2:$C$48,"做空")</f>
        <v/>
      </c>
      <c r="E17" s="2">
        <f>F17+G17+COUNTIFS(交易明細!$B$2:$B$48,$A17,交易明細!$J$2:$J$48,"時間出場")</f>
        <v/>
      </c>
      <c r="F17" s="2">
        <f>COUNTIFS(交易明細!$B$2:$B$48,$A17,交易明細!$J$2:$J$48,"止盈")</f>
        <v/>
      </c>
      <c r="G17" s="2">
        <f>COUNTIFS(交易明細!$B$2:$B$48,$A17,交易明細!$J$2:$J$48,"止損")</f>
        <v/>
      </c>
      <c r="H17" s="4">
        <f>IFERROR(F17/E17,0)</f>
        <v/>
      </c>
      <c r="I17" s="4">
        <f>IFERROR(AVERAGEIFS(交易明細!$L$2:$L$48,交易明細!$B$2:$B$48,$A17,交易明細!$J$2:$J$48,"&lt;&gt;未平倉"),0)</f>
        <v/>
      </c>
      <c r="J17" s="4">
        <f>SUMIFS(交易明細!$L$2:$L$48,交易明細!$B$2:$B$48,$A17,交易明細!$J$2:$J$48,"&lt;&gt;未平倉")</f>
        <v/>
      </c>
      <c r="K17" s="5">
        <f>IFERROR(AVERAGEIFS(交易明細!$K$2:$K$48,交易明細!$B$2:$B$48,$A17,交易明細!$J$2:$J$48,"&lt;&gt;未平倉"),0)</f>
        <v/>
      </c>
      <c r="L17" s="2">
        <f>COUNTIFS(交易明細!$B$2:$B$48,$A17,交易明細!$J$2:$J$48,"未平倉")</f>
        <v/>
      </c>
    </row>
    <row r="18">
      <c r="A18" s="2" t="inlineStr">
        <is>
          <t>MUBARAK_USDT_PERP</t>
        </is>
      </c>
      <c r="B18" s="2">
        <f>COUNTIFS(交易明細!$B$2:$B$48,$A18)</f>
        <v/>
      </c>
      <c r="C18" s="2">
        <f>COUNTIFS(交易明細!$B$2:$B$48,$A18,交易明細!$C$2:$C$48,"做多")</f>
        <v/>
      </c>
      <c r="D18" s="2">
        <f>COUNTIFS(交易明細!$B$2:$B$48,$A18,交易明細!$C$2:$C$48,"做空")</f>
        <v/>
      </c>
      <c r="E18" s="2">
        <f>F18+G18+COUNTIFS(交易明細!$B$2:$B$48,$A18,交易明細!$J$2:$J$48,"時間出場")</f>
        <v/>
      </c>
      <c r="F18" s="2">
        <f>COUNTIFS(交易明細!$B$2:$B$48,$A18,交易明細!$J$2:$J$48,"止盈")</f>
        <v/>
      </c>
      <c r="G18" s="2">
        <f>COUNTIFS(交易明細!$B$2:$B$48,$A18,交易明細!$J$2:$J$48,"止損")</f>
        <v/>
      </c>
      <c r="H18" s="4">
        <f>IFERROR(F18/E18,0)</f>
        <v/>
      </c>
      <c r="I18" s="4">
        <f>IFERROR(AVERAGEIFS(交易明細!$L$2:$L$48,交易明細!$B$2:$B$48,$A18,交易明細!$J$2:$J$48,"&lt;&gt;未平倉"),0)</f>
        <v/>
      </c>
      <c r="J18" s="4">
        <f>SUMIFS(交易明細!$L$2:$L$48,交易明細!$B$2:$B$48,$A18,交易明細!$J$2:$J$48,"&lt;&gt;未平倉")</f>
        <v/>
      </c>
      <c r="K18" s="5">
        <f>IFERROR(AVERAGEIFS(交易明細!$K$2:$K$48,交易明細!$B$2:$B$48,$A18,交易明細!$J$2:$J$48,"&lt;&gt;未平倉"),0)</f>
        <v/>
      </c>
      <c r="L18" s="2">
        <f>COUNTIFS(交易明細!$B$2:$B$48,$A18,交易明細!$J$2:$J$48,"未平倉")</f>
        <v/>
      </c>
    </row>
    <row r="19">
      <c r="A19" s="2" t="inlineStr">
        <is>
          <t>SPK_USDT_PERP</t>
        </is>
      </c>
      <c r="B19" s="2">
        <f>COUNTIFS(交易明細!$B$2:$B$48,$A19)</f>
        <v/>
      </c>
      <c r="C19" s="2">
        <f>COUNTIFS(交易明細!$B$2:$B$48,$A19,交易明細!$C$2:$C$48,"做多")</f>
        <v/>
      </c>
      <c r="D19" s="2">
        <f>COUNTIFS(交易明細!$B$2:$B$48,$A19,交易明細!$C$2:$C$48,"做空")</f>
        <v/>
      </c>
      <c r="E19" s="2">
        <f>F19+G19+COUNTIFS(交易明細!$B$2:$B$48,$A19,交易明細!$J$2:$J$48,"時間出場")</f>
        <v/>
      </c>
      <c r="F19" s="2">
        <f>COUNTIFS(交易明細!$B$2:$B$48,$A19,交易明細!$J$2:$J$48,"止盈")</f>
        <v/>
      </c>
      <c r="G19" s="2">
        <f>COUNTIFS(交易明細!$B$2:$B$48,$A19,交易明細!$J$2:$J$48,"止損")</f>
        <v/>
      </c>
      <c r="H19" s="4">
        <f>IFERROR(F19/E19,0)</f>
        <v/>
      </c>
      <c r="I19" s="4">
        <f>IFERROR(AVERAGEIFS(交易明細!$L$2:$L$48,交易明細!$B$2:$B$48,$A19,交易明細!$J$2:$J$48,"&lt;&gt;未平倉"),0)</f>
        <v/>
      </c>
      <c r="J19" s="4">
        <f>SUMIFS(交易明細!$L$2:$L$48,交易明細!$B$2:$B$48,$A19,交易明細!$J$2:$J$48,"&lt;&gt;未平倉")</f>
        <v/>
      </c>
      <c r="K19" s="5">
        <f>IFERROR(AVERAGEIFS(交易明細!$K$2:$K$48,交易明細!$B$2:$B$48,$A19,交易明細!$J$2:$J$48,"&lt;&gt;未平倉"),0)</f>
        <v/>
      </c>
      <c r="L19" s="2">
        <f>COUNTIFS(交易明細!$B$2:$B$48,$A19,交易明細!$J$2:$J$48,"未平倉")</f>
        <v/>
      </c>
    </row>
    <row r="20">
      <c r="A20" s="2" t="inlineStr">
        <is>
          <t>Q_USDT_PERP</t>
        </is>
      </c>
      <c r="B20" s="2">
        <f>COUNTIFS(交易明細!$B$2:$B$48,$A20)</f>
        <v/>
      </c>
      <c r="C20" s="2">
        <f>COUNTIFS(交易明細!$B$2:$B$48,$A20,交易明細!$C$2:$C$48,"做多")</f>
        <v/>
      </c>
      <c r="D20" s="2">
        <f>COUNTIFS(交易明細!$B$2:$B$48,$A20,交易明細!$C$2:$C$48,"做空")</f>
        <v/>
      </c>
      <c r="E20" s="2">
        <f>F20+G20+COUNTIFS(交易明細!$B$2:$B$48,$A20,交易明細!$J$2:$J$48,"時間出場")</f>
        <v/>
      </c>
      <c r="F20" s="2">
        <f>COUNTIFS(交易明細!$B$2:$B$48,$A20,交易明細!$J$2:$J$48,"止盈")</f>
        <v/>
      </c>
      <c r="G20" s="2">
        <f>COUNTIFS(交易明細!$B$2:$B$48,$A20,交易明細!$J$2:$J$48,"止損")</f>
        <v/>
      </c>
      <c r="H20" s="4">
        <f>IFERROR(F20/E20,0)</f>
        <v/>
      </c>
      <c r="I20" s="4">
        <f>IFERROR(AVERAGEIFS(交易明細!$L$2:$L$48,交易明細!$B$2:$B$48,$A20,交易明細!$J$2:$J$48,"&lt;&gt;未平倉"),0)</f>
        <v/>
      </c>
      <c r="J20" s="4">
        <f>SUMIFS(交易明細!$L$2:$L$48,交易明細!$B$2:$B$48,$A20,交易明細!$J$2:$J$48,"&lt;&gt;未平倉")</f>
        <v/>
      </c>
      <c r="K20" s="5">
        <f>IFERROR(AVERAGEIFS(交易明細!$K$2:$K$48,交易明細!$B$2:$B$48,$A20,交易明細!$J$2:$J$48,"&lt;&gt;未平倉"),0)</f>
        <v/>
      </c>
      <c r="L20" s="2">
        <f>COUNTIFS(交易明細!$B$2:$B$48,$A20,交易明細!$J$2:$J$48,"未平倉")</f>
        <v/>
      </c>
    </row>
    <row r="21">
      <c r="A21" s="2" t="inlineStr">
        <is>
          <t>FIL_USDT_PERP</t>
        </is>
      </c>
      <c r="B21" s="2">
        <f>COUNTIFS(交易明細!$B$2:$B$48,$A21)</f>
        <v/>
      </c>
      <c r="C21" s="2">
        <f>COUNTIFS(交易明細!$B$2:$B$48,$A21,交易明細!$C$2:$C$48,"做多")</f>
        <v/>
      </c>
      <c r="D21" s="2">
        <f>COUNTIFS(交易明細!$B$2:$B$48,$A21,交易明細!$C$2:$C$48,"做空")</f>
        <v/>
      </c>
      <c r="E21" s="2">
        <f>F21+G21+COUNTIFS(交易明細!$B$2:$B$48,$A21,交易明細!$J$2:$J$48,"時間出場")</f>
        <v/>
      </c>
      <c r="F21" s="2">
        <f>COUNTIFS(交易明細!$B$2:$B$48,$A21,交易明細!$J$2:$J$48,"止盈")</f>
        <v/>
      </c>
      <c r="G21" s="2">
        <f>COUNTIFS(交易明細!$B$2:$B$48,$A21,交易明細!$J$2:$J$48,"止損")</f>
        <v/>
      </c>
      <c r="H21" s="4">
        <f>IFERROR(F21/E21,0)</f>
        <v/>
      </c>
      <c r="I21" s="4">
        <f>IFERROR(AVERAGEIFS(交易明細!$L$2:$L$48,交易明細!$B$2:$B$48,$A21,交易明細!$J$2:$J$48,"&lt;&gt;未平倉"),0)</f>
        <v/>
      </c>
      <c r="J21" s="4">
        <f>SUMIFS(交易明細!$L$2:$L$48,交易明細!$B$2:$B$48,$A21,交易明細!$J$2:$J$48,"&lt;&gt;未平倉")</f>
        <v/>
      </c>
      <c r="K21" s="5">
        <f>IFERROR(AVERAGEIFS(交易明細!$K$2:$K$48,交易明細!$B$2:$B$48,$A21,交易明細!$J$2:$J$48,"&lt;&gt;未平倉"),0)</f>
        <v/>
      </c>
      <c r="L21" s="2">
        <f>COUNTIFS(交易明細!$B$2:$B$48,$A21,交易明細!$J$2:$J$48,"未平倉")</f>
        <v/>
      </c>
    </row>
    <row r="22">
      <c r="A22" s="2" t="inlineStr">
        <is>
          <t>XVG_USDT_PERP</t>
        </is>
      </c>
      <c r="B22" s="2">
        <f>COUNTIFS(交易明細!$B$2:$B$48,$A22)</f>
        <v/>
      </c>
      <c r="C22" s="2">
        <f>COUNTIFS(交易明細!$B$2:$B$48,$A22,交易明細!$C$2:$C$48,"做多")</f>
        <v/>
      </c>
      <c r="D22" s="2">
        <f>COUNTIFS(交易明細!$B$2:$B$48,$A22,交易明細!$C$2:$C$48,"做空")</f>
        <v/>
      </c>
      <c r="E22" s="2">
        <f>F22+G22+COUNTIFS(交易明細!$B$2:$B$48,$A22,交易明細!$J$2:$J$48,"時間出場")</f>
        <v/>
      </c>
      <c r="F22" s="2">
        <f>COUNTIFS(交易明細!$B$2:$B$48,$A22,交易明細!$J$2:$J$48,"止盈")</f>
        <v/>
      </c>
      <c r="G22" s="2">
        <f>COUNTIFS(交易明細!$B$2:$B$48,$A22,交易明細!$J$2:$J$48,"止損")</f>
        <v/>
      </c>
      <c r="H22" s="4">
        <f>IFERROR(F22/E22,0)</f>
        <v/>
      </c>
      <c r="I22" s="4">
        <f>IFERROR(AVERAGEIFS(交易明細!$L$2:$L$48,交易明細!$B$2:$B$48,$A22,交易明細!$J$2:$J$48,"&lt;&gt;未平倉"),0)</f>
        <v/>
      </c>
      <c r="J22" s="4">
        <f>SUMIFS(交易明細!$L$2:$L$48,交易明細!$B$2:$B$48,$A22,交易明細!$J$2:$J$48,"&lt;&gt;未平倉")</f>
        <v/>
      </c>
      <c r="K22" s="5">
        <f>IFERROR(AVERAGEIFS(交易明細!$K$2:$K$48,交易明細!$B$2:$B$48,$A22,交易明細!$J$2:$J$48,"&lt;&gt;未平倉"),0)</f>
        <v/>
      </c>
      <c r="L22" s="2">
        <f>COUNTIFS(交易明細!$B$2:$B$48,$A22,交易明細!$J$2:$J$48,"未平倉")</f>
        <v/>
      </c>
    </row>
    <row r="23">
      <c r="A23" s="2" t="inlineStr">
        <is>
          <t>INX_USDT_PERP</t>
        </is>
      </c>
      <c r="B23" s="2">
        <f>COUNTIFS(交易明細!$B$2:$B$48,$A23)</f>
        <v/>
      </c>
      <c r="C23" s="2">
        <f>COUNTIFS(交易明細!$B$2:$B$48,$A23,交易明細!$C$2:$C$48,"做多")</f>
        <v/>
      </c>
      <c r="D23" s="2">
        <f>COUNTIFS(交易明細!$B$2:$B$48,$A23,交易明細!$C$2:$C$48,"做空")</f>
        <v/>
      </c>
      <c r="E23" s="2">
        <f>F23+G23+COUNTIFS(交易明細!$B$2:$B$48,$A23,交易明細!$J$2:$J$48,"時間出場")</f>
        <v/>
      </c>
      <c r="F23" s="2">
        <f>COUNTIFS(交易明細!$B$2:$B$48,$A23,交易明細!$J$2:$J$48,"止盈")</f>
        <v/>
      </c>
      <c r="G23" s="2">
        <f>COUNTIFS(交易明細!$B$2:$B$48,$A23,交易明細!$J$2:$J$48,"止損")</f>
        <v/>
      </c>
      <c r="H23" s="4">
        <f>IFERROR(F23/E23,0)</f>
        <v/>
      </c>
      <c r="I23" s="4">
        <f>IFERROR(AVERAGEIFS(交易明細!$L$2:$L$48,交易明細!$B$2:$B$48,$A23,交易明細!$J$2:$J$48,"&lt;&gt;未平倉"),0)</f>
        <v/>
      </c>
      <c r="J23" s="4">
        <f>SUMIFS(交易明細!$L$2:$L$48,交易明細!$B$2:$B$48,$A23,交易明細!$J$2:$J$48,"&lt;&gt;未平倉")</f>
        <v/>
      </c>
      <c r="K23" s="5">
        <f>IFERROR(AVERAGEIFS(交易明細!$K$2:$K$48,交易明細!$B$2:$B$48,$A23,交易明細!$J$2:$J$48,"&lt;&gt;未平倉"),0)</f>
        <v/>
      </c>
      <c r="L23" s="2">
        <f>COUNTIFS(交易明細!$B$2:$B$48,$A23,交易明細!$J$2:$J$48,"未平倉")</f>
        <v/>
      </c>
    </row>
    <row r="24">
      <c r="A24" s="2" t="inlineStr">
        <is>
          <t>ELSA_USDT_PERP</t>
        </is>
      </c>
      <c r="B24" s="2">
        <f>COUNTIFS(交易明細!$B$2:$B$48,$A24)</f>
        <v/>
      </c>
      <c r="C24" s="2">
        <f>COUNTIFS(交易明細!$B$2:$B$48,$A24,交易明細!$C$2:$C$48,"做多")</f>
        <v/>
      </c>
      <c r="D24" s="2">
        <f>COUNTIFS(交易明細!$B$2:$B$48,$A24,交易明細!$C$2:$C$48,"做空")</f>
        <v/>
      </c>
      <c r="E24" s="2">
        <f>F24+G24+COUNTIFS(交易明細!$B$2:$B$48,$A24,交易明細!$J$2:$J$48,"時間出場")</f>
        <v/>
      </c>
      <c r="F24" s="2">
        <f>COUNTIFS(交易明細!$B$2:$B$48,$A24,交易明細!$J$2:$J$48,"止盈")</f>
        <v/>
      </c>
      <c r="G24" s="2">
        <f>COUNTIFS(交易明細!$B$2:$B$48,$A24,交易明細!$J$2:$J$48,"止損")</f>
        <v/>
      </c>
      <c r="H24" s="4">
        <f>IFERROR(F24/E24,0)</f>
        <v/>
      </c>
      <c r="I24" s="4">
        <f>IFERROR(AVERAGEIFS(交易明細!$L$2:$L$48,交易明細!$B$2:$B$48,$A24,交易明細!$J$2:$J$48,"&lt;&gt;未平倉"),0)</f>
        <v/>
      </c>
      <c r="J24" s="4">
        <f>SUMIFS(交易明細!$L$2:$L$48,交易明細!$B$2:$B$48,$A24,交易明細!$J$2:$J$48,"&lt;&gt;未平倉")</f>
        <v/>
      </c>
      <c r="K24" s="5">
        <f>IFERROR(AVERAGEIFS(交易明細!$K$2:$K$48,交易明細!$B$2:$B$48,$A24,交易明細!$J$2:$J$48,"&lt;&gt;未平倉"),0)</f>
        <v/>
      </c>
      <c r="L24" s="2">
        <f>COUNTIFS(交易明細!$B$2:$B$48,$A24,交易明細!$J$2:$J$48,"未平倉")</f>
        <v/>
      </c>
    </row>
    <row r="25">
      <c r="A25" s="2" t="inlineStr">
        <is>
          <t>IRYS_USDT_PERP</t>
        </is>
      </c>
      <c r="B25" s="2">
        <f>COUNTIFS(交易明細!$B$2:$B$48,$A25)</f>
        <v/>
      </c>
      <c r="C25" s="2">
        <f>COUNTIFS(交易明細!$B$2:$B$48,$A25,交易明細!$C$2:$C$48,"做多")</f>
        <v/>
      </c>
      <c r="D25" s="2">
        <f>COUNTIFS(交易明細!$B$2:$B$48,$A25,交易明細!$C$2:$C$48,"做空")</f>
        <v/>
      </c>
      <c r="E25" s="2">
        <f>F25+G25+COUNTIFS(交易明細!$B$2:$B$48,$A25,交易明細!$J$2:$J$48,"時間出場")</f>
        <v/>
      </c>
      <c r="F25" s="2">
        <f>COUNTIFS(交易明細!$B$2:$B$48,$A25,交易明細!$J$2:$J$48,"止盈")</f>
        <v/>
      </c>
      <c r="G25" s="2">
        <f>COUNTIFS(交易明細!$B$2:$B$48,$A25,交易明細!$J$2:$J$48,"止損")</f>
        <v/>
      </c>
      <c r="H25" s="4">
        <f>IFERROR(F25/E25,0)</f>
        <v/>
      </c>
      <c r="I25" s="4">
        <f>IFERROR(AVERAGEIFS(交易明細!$L$2:$L$48,交易明細!$B$2:$B$48,$A25,交易明細!$J$2:$J$48,"&lt;&gt;未平倉"),0)</f>
        <v/>
      </c>
      <c r="J25" s="4">
        <f>SUMIFS(交易明細!$L$2:$L$48,交易明細!$B$2:$B$48,$A25,交易明細!$J$2:$J$48,"&lt;&gt;未平倉")</f>
        <v/>
      </c>
      <c r="K25" s="5">
        <f>IFERROR(AVERAGEIFS(交易明細!$K$2:$K$48,交易明細!$B$2:$B$48,$A25,交易明細!$J$2:$J$48,"&lt;&gt;未平倉"),0)</f>
        <v/>
      </c>
      <c r="L25" s="2">
        <f>COUNTIFS(交易明細!$B$2:$B$48,$A25,交易明細!$J$2:$J$48,"未平倉")</f>
        <v/>
      </c>
    </row>
    <row r="26">
      <c r="A26" s="2" t="inlineStr">
        <is>
          <t>QNT_USDT_PERP</t>
        </is>
      </c>
      <c r="B26" s="2">
        <f>COUNTIFS(交易明細!$B$2:$B$48,$A26)</f>
        <v/>
      </c>
      <c r="C26" s="2">
        <f>COUNTIFS(交易明細!$B$2:$B$48,$A26,交易明細!$C$2:$C$48,"做多")</f>
        <v/>
      </c>
      <c r="D26" s="2">
        <f>COUNTIFS(交易明細!$B$2:$B$48,$A26,交易明細!$C$2:$C$48,"做空")</f>
        <v/>
      </c>
      <c r="E26" s="2">
        <f>F26+G26+COUNTIFS(交易明細!$B$2:$B$48,$A26,交易明細!$J$2:$J$48,"時間出場")</f>
        <v/>
      </c>
      <c r="F26" s="2">
        <f>COUNTIFS(交易明細!$B$2:$B$48,$A26,交易明細!$J$2:$J$48,"止盈")</f>
        <v/>
      </c>
      <c r="G26" s="2">
        <f>COUNTIFS(交易明細!$B$2:$B$48,$A26,交易明細!$J$2:$J$48,"止損")</f>
        <v/>
      </c>
      <c r="H26" s="4">
        <f>IFERROR(F26/E26,0)</f>
        <v/>
      </c>
      <c r="I26" s="4">
        <f>IFERROR(AVERAGEIFS(交易明細!$L$2:$L$48,交易明細!$B$2:$B$48,$A26,交易明細!$J$2:$J$48,"&lt;&gt;未平倉"),0)</f>
        <v/>
      </c>
      <c r="J26" s="4">
        <f>SUMIFS(交易明細!$L$2:$L$48,交易明細!$B$2:$B$48,$A26,交易明細!$J$2:$J$48,"&lt;&gt;未平倉")</f>
        <v/>
      </c>
      <c r="K26" s="5">
        <f>IFERROR(AVERAGEIFS(交易明細!$K$2:$K$48,交易明細!$B$2:$B$48,$A26,交易明細!$J$2:$J$48,"&lt;&gt;未平倉"),0)</f>
        <v/>
      </c>
      <c r="L26" s="2">
        <f>COUNTIFS(交易明細!$B$2:$B$48,$A26,交易明細!$J$2:$J$48,"未平倉")</f>
        <v/>
      </c>
    </row>
    <row r="27">
      <c r="A27" s="2" t="inlineStr">
        <is>
          <t>NMR_USDT_PERP</t>
        </is>
      </c>
      <c r="B27" s="2">
        <f>COUNTIFS(交易明細!$B$2:$B$48,$A27)</f>
        <v/>
      </c>
      <c r="C27" s="2">
        <f>COUNTIFS(交易明細!$B$2:$B$48,$A27,交易明細!$C$2:$C$48,"做多")</f>
        <v/>
      </c>
      <c r="D27" s="2">
        <f>COUNTIFS(交易明細!$B$2:$B$48,$A27,交易明細!$C$2:$C$48,"做空")</f>
        <v/>
      </c>
      <c r="E27" s="2">
        <f>F27+G27+COUNTIFS(交易明細!$B$2:$B$48,$A27,交易明細!$J$2:$J$48,"時間出場")</f>
        <v/>
      </c>
      <c r="F27" s="2">
        <f>COUNTIFS(交易明細!$B$2:$B$48,$A27,交易明細!$J$2:$J$48,"止盈")</f>
        <v/>
      </c>
      <c r="G27" s="2">
        <f>COUNTIFS(交易明細!$B$2:$B$48,$A27,交易明細!$J$2:$J$48,"止損")</f>
        <v/>
      </c>
      <c r="H27" s="4">
        <f>IFERROR(F27/E27,0)</f>
        <v/>
      </c>
      <c r="I27" s="4">
        <f>IFERROR(AVERAGEIFS(交易明細!$L$2:$L$48,交易明細!$B$2:$B$48,$A27,交易明細!$J$2:$J$48,"&lt;&gt;未平倉"),0)</f>
        <v/>
      </c>
      <c r="J27" s="4">
        <f>SUMIFS(交易明細!$L$2:$L$48,交易明細!$B$2:$B$48,$A27,交易明細!$J$2:$J$48,"&lt;&gt;未平倉")</f>
        <v/>
      </c>
      <c r="K27" s="5">
        <f>IFERROR(AVERAGEIFS(交易明細!$K$2:$K$48,交易明細!$B$2:$B$48,$A27,交易明細!$J$2:$J$48,"&lt;&gt;未平倉"),0)</f>
        <v/>
      </c>
      <c r="L27" s="2">
        <f>COUNTIFS(交易明細!$B$2:$B$48,$A27,交易明細!$J$2:$J$48,"未平倉")</f>
        <v/>
      </c>
    </row>
    <row r="28">
      <c r="A28" s="2" t="inlineStr">
        <is>
          <t>PUMP_USDT_PERP</t>
        </is>
      </c>
      <c r="B28" s="2">
        <f>COUNTIFS(交易明細!$B$2:$B$48,$A28)</f>
        <v/>
      </c>
      <c r="C28" s="2">
        <f>COUNTIFS(交易明細!$B$2:$B$48,$A28,交易明細!$C$2:$C$48,"做多")</f>
        <v/>
      </c>
      <c r="D28" s="2">
        <f>COUNTIFS(交易明細!$B$2:$B$48,$A28,交易明細!$C$2:$C$48,"做空")</f>
        <v/>
      </c>
      <c r="E28" s="2">
        <f>F28+G28+COUNTIFS(交易明細!$B$2:$B$48,$A28,交易明細!$J$2:$J$48,"時間出場")</f>
        <v/>
      </c>
      <c r="F28" s="2">
        <f>COUNTIFS(交易明細!$B$2:$B$48,$A28,交易明細!$J$2:$J$48,"止盈")</f>
        <v/>
      </c>
      <c r="G28" s="2">
        <f>COUNTIFS(交易明細!$B$2:$B$48,$A28,交易明細!$J$2:$J$48,"止損")</f>
        <v/>
      </c>
      <c r="H28" s="4">
        <f>IFERROR(F28/E28,0)</f>
        <v/>
      </c>
      <c r="I28" s="4">
        <f>IFERROR(AVERAGEIFS(交易明細!$L$2:$L$48,交易明細!$B$2:$B$48,$A28,交易明細!$J$2:$J$48,"&lt;&gt;未平倉"),0)</f>
        <v/>
      </c>
      <c r="J28" s="4">
        <f>SUMIFS(交易明細!$L$2:$L$48,交易明細!$B$2:$B$48,$A28,交易明細!$J$2:$J$48,"&lt;&gt;未平倉")</f>
        <v/>
      </c>
      <c r="K28" s="5">
        <f>IFERROR(AVERAGEIFS(交易明細!$K$2:$K$48,交易明細!$B$2:$B$48,$A28,交易明細!$J$2:$J$48,"&lt;&gt;未平倉"),0)</f>
        <v/>
      </c>
      <c r="L28" s="2">
        <f>COUNTIFS(交易明細!$B$2:$B$48,$A28,交易明細!$J$2:$J$48,"未平倉")</f>
        <v/>
      </c>
    </row>
    <row r="29">
      <c r="A29" s="2" t="inlineStr">
        <is>
          <t>MEW_USDT_PERP</t>
        </is>
      </c>
      <c r="B29" s="2">
        <f>COUNTIFS(交易明細!$B$2:$B$48,$A29)</f>
        <v/>
      </c>
      <c r="C29" s="2">
        <f>COUNTIFS(交易明細!$B$2:$B$48,$A29,交易明細!$C$2:$C$48,"做多")</f>
        <v/>
      </c>
      <c r="D29" s="2">
        <f>COUNTIFS(交易明細!$B$2:$B$48,$A29,交易明細!$C$2:$C$48,"做空")</f>
        <v/>
      </c>
      <c r="E29" s="2">
        <f>F29+G29+COUNTIFS(交易明細!$B$2:$B$48,$A29,交易明細!$J$2:$J$48,"時間出場")</f>
        <v/>
      </c>
      <c r="F29" s="2">
        <f>COUNTIFS(交易明細!$B$2:$B$48,$A29,交易明細!$J$2:$J$48,"止盈")</f>
        <v/>
      </c>
      <c r="G29" s="2">
        <f>COUNTIFS(交易明細!$B$2:$B$48,$A29,交易明細!$J$2:$J$48,"止損")</f>
        <v/>
      </c>
      <c r="H29" s="4">
        <f>IFERROR(F29/E29,0)</f>
        <v/>
      </c>
      <c r="I29" s="4">
        <f>IFERROR(AVERAGEIFS(交易明細!$L$2:$L$48,交易明細!$B$2:$B$48,$A29,交易明細!$J$2:$J$48,"&lt;&gt;未平倉"),0)</f>
        <v/>
      </c>
      <c r="J29" s="4">
        <f>SUMIFS(交易明細!$L$2:$L$48,交易明細!$B$2:$B$48,$A29,交易明細!$J$2:$J$48,"&lt;&gt;未平倉")</f>
        <v/>
      </c>
      <c r="K29" s="5">
        <f>IFERROR(AVERAGEIFS(交易明細!$K$2:$K$48,交易明細!$B$2:$B$48,$A29,交易明細!$J$2:$J$48,"&lt;&gt;未平倉"),0)</f>
        <v/>
      </c>
      <c r="L29" s="2">
        <f>COUNTIFS(交易明細!$B$2:$B$48,$A29,交易明細!$J$2:$J$48,"未平倉")</f>
        <v/>
      </c>
    </row>
    <row r="30">
      <c r="A30" s="2" t="inlineStr">
        <is>
          <t>AKE_USDT_PERP</t>
        </is>
      </c>
      <c r="B30" s="2">
        <f>COUNTIFS(交易明細!$B$2:$B$48,$A30)</f>
        <v/>
      </c>
      <c r="C30" s="2">
        <f>COUNTIFS(交易明細!$B$2:$B$48,$A30,交易明細!$C$2:$C$48,"做多")</f>
        <v/>
      </c>
      <c r="D30" s="2">
        <f>COUNTIFS(交易明細!$B$2:$B$48,$A30,交易明細!$C$2:$C$48,"做空")</f>
        <v/>
      </c>
      <c r="E30" s="2">
        <f>F30+G30+COUNTIFS(交易明細!$B$2:$B$48,$A30,交易明細!$J$2:$J$48,"時間出場")</f>
        <v/>
      </c>
      <c r="F30" s="2">
        <f>COUNTIFS(交易明細!$B$2:$B$48,$A30,交易明細!$J$2:$J$48,"止盈")</f>
        <v/>
      </c>
      <c r="G30" s="2">
        <f>COUNTIFS(交易明細!$B$2:$B$48,$A30,交易明細!$J$2:$J$48,"止損")</f>
        <v/>
      </c>
      <c r="H30" s="4">
        <f>IFERROR(F30/E30,0)</f>
        <v/>
      </c>
      <c r="I30" s="4">
        <f>IFERROR(AVERAGEIFS(交易明細!$L$2:$L$48,交易明細!$B$2:$B$48,$A30,交易明細!$J$2:$J$48,"&lt;&gt;未平倉"),0)</f>
        <v/>
      </c>
      <c r="J30" s="4">
        <f>SUMIFS(交易明細!$L$2:$L$48,交易明細!$B$2:$B$48,$A30,交易明細!$J$2:$J$48,"&lt;&gt;未平倉")</f>
        <v/>
      </c>
      <c r="K30" s="5">
        <f>IFERROR(AVERAGEIFS(交易明細!$K$2:$K$48,交易明細!$B$2:$B$48,$A30,交易明細!$J$2:$J$48,"&lt;&gt;未平倉"),0)</f>
        <v/>
      </c>
      <c r="L30" s="2">
        <f>COUNTIFS(交易明細!$B$2:$B$48,$A30,交易明細!$J$2:$J$48,"未平倉")</f>
        <v/>
      </c>
    </row>
    <row r="31">
      <c r="A31" s="2" t="inlineStr">
        <is>
          <t>PROS_USDT_PERP</t>
        </is>
      </c>
      <c r="B31" s="2">
        <f>COUNTIFS(交易明細!$B$2:$B$48,$A31)</f>
        <v/>
      </c>
      <c r="C31" s="2">
        <f>COUNTIFS(交易明細!$B$2:$B$48,$A31,交易明細!$C$2:$C$48,"做多")</f>
        <v/>
      </c>
      <c r="D31" s="2">
        <f>COUNTIFS(交易明細!$B$2:$B$48,$A31,交易明細!$C$2:$C$48,"做空")</f>
        <v/>
      </c>
      <c r="E31" s="2">
        <f>F31+G31+COUNTIFS(交易明細!$B$2:$B$48,$A31,交易明細!$J$2:$J$48,"時間出場")</f>
        <v/>
      </c>
      <c r="F31" s="2">
        <f>COUNTIFS(交易明細!$B$2:$B$48,$A31,交易明細!$J$2:$J$48,"止盈")</f>
        <v/>
      </c>
      <c r="G31" s="2">
        <f>COUNTIFS(交易明細!$B$2:$B$48,$A31,交易明細!$J$2:$J$48,"止損")</f>
        <v/>
      </c>
      <c r="H31" s="4">
        <f>IFERROR(F31/E31,0)</f>
        <v/>
      </c>
      <c r="I31" s="4">
        <f>IFERROR(AVERAGEIFS(交易明細!$L$2:$L$48,交易明細!$B$2:$B$48,$A31,交易明細!$J$2:$J$48,"&lt;&gt;未平倉"),0)</f>
        <v/>
      </c>
      <c r="J31" s="4">
        <f>SUMIFS(交易明細!$L$2:$L$48,交易明細!$B$2:$B$48,$A31,交易明細!$J$2:$J$48,"&lt;&gt;未平倉")</f>
        <v/>
      </c>
      <c r="K31" s="5">
        <f>IFERROR(AVERAGEIFS(交易明細!$K$2:$K$48,交易明細!$B$2:$B$48,$A31,交易明細!$J$2:$J$48,"&lt;&gt;未平倉"),0)</f>
        <v/>
      </c>
      <c r="L31" s="2">
        <f>COUNTIFS(交易明細!$B$2:$B$48,$A31,交易明細!$J$2:$J$48,"未平倉")</f>
        <v/>
      </c>
    </row>
    <row r="32">
      <c r="A32" s="2" t="inlineStr">
        <is>
          <t>USELESS_USDT_PERP</t>
        </is>
      </c>
      <c r="B32" s="2">
        <f>COUNTIFS(交易明細!$B$2:$B$48,$A32)</f>
        <v/>
      </c>
      <c r="C32" s="2">
        <f>COUNTIFS(交易明細!$B$2:$B$48,$A32,交易明細!$C$2:$C$48,"做多")</f>
        <v/>
      </c>
      <c r="D32" s="2">
        <f>COUNTIFS(交易明細!$B$2:$B$48,$A32,交易明細!$C$2:$C$48,"做空")</f>
        <v/>
      </c>
      <c r="E32" s="2">
        <f>F32+G32+COUNTIFS(交易明細!$B$2:$B$48,$A32,交易明細!$J$2:$J$48,"時間出場")</f>
        <v/>
      </c>
      <c r="F32" s="2">
        <f>COUNTIFS(交易明細!$B$2:$B$48,$A32,交易明細!$J$2:$J$48,"止盈")</f>
        <v/>
      </c>
      <c r="G32" s="2">
        <f>COUNTIFS(交易明細!$B$2:$B$48,$A32,交易明細!$J$2:$J$48,"止損")</f>
        <v/>
      </c>
      <c r="H32" s="4">
        <f>IFERROR(F32/E32,0)</f>
        <v/>
      </c>
      <c r="I32" s="4">
        <f>IFERROR(AVERAGEIFS(交易明細!$L$2:$L$48,交易明細!$B$2:$B$48,$A32,交易明細!$J$2:$J$48,"&lt;&gt;未平倉"),0)</f>
        <v/>
      </c>
      <c r="J32" s="4">
        <f>SUMIFS(交易明細!$L$2:$L$48,交易明細!$B$2:$B$48,$A32,交易明細!$J$2:$J$48,"&lt;&gt;未平倉")</f>
        <v/>
      </c>
      <c r="K32" s="5">
        <f>IFERROR(AVERAGEIFS(交易明細!$K$2:$K$48,交易明細!$B$2:$B$48,$A32,交易明細!$J$2:$J$48,"&lt;&gt;未平倉"),0)</f>
        <v/>
      </c>
      <c r="L32" s="2">
        <f>COUNTIFS(交易明細!$B$2:$B$48,$A32,交易明細!$J$2:$J$48,"未平倉")</f>
        <v/>
      </c>
    </row>
    <row r="33">
      <c r="A33" s="2" t="inlineStr">
        <is>
          <t>MEGA_USDT_PERP</t>
        </is>
      </c>
      <c r="B33" s="2">
        <f>COUNTIFS(交易明細!$B$2:$B$48,$A33)</f>
        <v/>
      </c>
      <c r="C33" s="2">
        <f>COUNTIFS(交易明細!$B$2:$B$48,$A33,交易明細!$C$2:$C$48,"做多")</f>
        <v/>
      </c>
      <c r="D33" s="2">
        <f>COUNTIFS(交易明細!$B$2:$B$48,$A33,交易明細!$C$2:$C$48,"做空")</f>
        <v/>
      </c>
      <c r="E33" s="2">
        <f>F33+G33+COUNTIFS(交易明細!$B$2:$B$48,$A33,交易明細!$J$2:$J$48,"時間出場")</f>
        <v/>
      </c>
      <c r="F33" s="2">
        <f>COUNTIFS(交易明細!$B$2:$B$48,$A33,交易明細!$J$2:$J$48,"止盈")</f>
        <v/>
      </c>
      <c r="G33" s="2">
        <f>COUNTIFS(交易明細!$B$2:$B$48,$A33,交易明細!$J$2:$J$48,"止損")</f>
        <v/>
      </c>
      <c r="H33" s="4">
        <f>IFERROR(F33/E33,0)</f>
        <v/>
      </c>
      <c r="I33" s="4">
        <f>IFERROR(AVERAGEIFS(交易明細!$L$2:$L$48,交易明細!$B$2:$B$48,$A33,交易明細!$J$2:$J$48,"&lt;&gt;未平倉"),0)</f>
        <v/>
      </c>
      <c r="J33" s="4">
        <f>SUMIFS(交易明細!$L$2:$L$48,交易明細!$B$2:$B$48,$A33,交易明細!$J$2:$J$48,"&lt;&gt;未平倉")</f>
        <v/>
      </c>
      <c r="K33" s="5">
        <f>IFERROR(AVERAGEIFS(交易明細!$K$2:$K$48,交易明細!$B$2:$B$48,$A33,交易明細!$J$2:$J$48,"&lt;&gt;未平倉"),0)</f>
        <v/>
      </c>
      <c r="L33" s="2">
        <f>COUNTIFS(交易明細!$B$2:$B$48,$A33,交易明細!$J$2:$J$48,"未平倉")</f>
        <v/>
      </c>
    </row>
    <row r="34">
      <c r="A34" s="2" t="inlineStr">
        <is>
          <t>MAGMA_USDT_PERP</t>
        </is>
      </c>
      <c r="B34" s="2">
        <f>COUNTIFS(交易明細!$B$2:$B$48,$A34)</f>
        <v/>
      </c>
      <c r="C34" s="2">
        <f>COUNTIFS(交易明細!$B$2:$B$48,$A34,交易明細!$C$2:$C$48,"做多")</f>
        <v/>
      </c>
      <c r="D34" s="2">
        <f>COUNTIFS(交易明細!$B$2:$B$48,$A34,交易明細!$C$2:$C$48,"做空")</f>
        <v/>
      </c>
      <c r="E34" s="2">
        <f>F34+G34+COUNTIFS(交易明細!$B$2:$B$48,$A34,交易明細!$J$2:$J$48,"時間出場")</f>
        <v/>
      </c>
      <c r="F34" s="2">
        <f>COUNTIFS(交易明細!$B$2:$B$48,$A34,交易明細!$J$2:$J$48,"止盈")</f>
        <v/>
      </c>
      <c r="G34" s="2">
        <f>COUNTIFS(交易明細!$B$2:$B$48,$A34,交易明細!$J$2:$J$48,"止損")</f>
        <v/>
      </c>
      <c r="H34" s="4">
        <f>IFERROR(F34/E34,0)</f>
        <v/>
      </c>
      <c r="I34" s="4">
        <f>IFERROR(AVERAGEIFS(交易明細!$L$2:$L$48,交易明細!$B$2:$B$48,$A34,交易明細!$J$2:$J$48,"&lt;&gt;未平倉"),0)</f>
        <v/>
      </c>
      <c r="J34" s="4">
        <f>SUMIFS(交易明細!$L$2:$L$48,交易明細!$B$2:$B$48,$A34,交易明細!$J$2:$J$48,"&lt;&gt;未平倉")</f>
        <v/>
      </c>
      <c r="K34" s="5">
        <f>IFERROR(AVERAGEIFS(交易明細!$K$2:$K$48,交易明細!$B$2:$B$48,$A34,交易明細!$J$2:$J$48,"&lt;&gt;未平倉"),0)</f>
        <v/>
      </c>
      <c r="L34" s="2">
        <f>COUNTIFS(交易明細!$B$2:$B$48,$A34,交易明細!$J$2:$J$48,"未平倉")</f>
        <v/>
      </c>
    </row>
  </sheetData>
  <autoFilter ref="A1:L34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BERA_USDT_PERP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BEX_USDT_PERP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BICO_USDT_PERP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BILL_USDT_PERP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BIO_USDT_PERP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BIRB_USDT_PERP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BLEND_USDT_PERP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BLESS_USDT_PERP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BLUAI_USDT_PERP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BLUR_USDT_PERP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BNB_USDT_PERP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BOME_USDT_PERP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BONK_USDT_PERP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BRENTOIL_USDT_PERP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BRETT_USDT_PERP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BREV_USDT_PERP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BROCCOLI_USDT_PERP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BSB_USDT_PERP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BSV_USDT_PERP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BTC_USDT_PERP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BTR_USDT_PERP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BTW_USDT_PERP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BULLA_USDT_PERP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CAKE_USDT_PERP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CAP_USDT_PERP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CASHCAT_USDT_PERP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CATI_USDT_PERP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CBRS_USDT_PERP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CC_USDT_PERP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CETUS_USDT_PERP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CFG_USDT_PERP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CFX_USDT_PERP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CHIP_USDT_PERP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CHZ_USDT_PERP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CKB_USDT_PERP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CLANKER_USDT_PERP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CLO_USDT_PERP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COAI_USDT_PERP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COLLECT_USDT_PERP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COMP_USDT_PERP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COOKIE_USDT_PERP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COTI_USDT_PERP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CROSS_USDT_PERP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CRV_USDT_PERP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CTR_USDT_PERP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CVX_USDT_PERP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CYS_USDT_PERP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DASH_USDT_PERP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DATA_USDT_PERP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DODO_USDT_PERP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DOGE_USDT_PERP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DOGS_USDT_PERP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DOLO_USDT_PERP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DOS_USDT_PERP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DOT_USDT_PERP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DRIFT_USDT_PERP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DUSK_USDT_PERP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DYM_USDT_PERP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EDEN_USDT_PERP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EDGE_USDT_PERP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EDU_USDT_PERP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EGLD_USDT_PERP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EIGEN_USDT_PERP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ELSA_USDT_PERP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ENA_USDT_PERP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ENJ_USDT_PERP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ENSO_USDT_PERP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ESP_USDT_PERP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ETC_USDT_PERP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ETHFI_USDT_PERP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EUL_USDT_PERP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EVAA_USDT_PERP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FARTCOIN_USDT_PERP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FET_USDT_PERP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FF_USDT_PERP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FHE_USDT_PERP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FIL_USDT_PERP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FLOKI_USDT_PERP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FLUID_USDT_PERP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FOGO_USDT_PERP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FOLKS_USDT_PERP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GALA_USDT_PERP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GAS_USDT_PERP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GENIUS_USDT_PERP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GIGGLE_USDT_PERP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GMT_USDT_PERP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GMX_USDT_PERP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GOAT_USDT_PERP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GPS_USDT_PERP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GRAM_USDT_PERP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GRASS_USDT_PERP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GRIFFAIN_USDT_PERP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GRT_USDT_PERP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GRVT_USDT_PERP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GUA_USDT_PERP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GUN_USDT_PERP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GWEI_USDT_PERP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HAEDAL_USDT_PERP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HANA_USDT_PERP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HBAR_USDT_PERP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HEMI_USDT_PERP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HMSTR_USDT_PERP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HOLO_USDT_PERP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HOME_USDT_PERP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HUMA_USDT_PERP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HYPE_USDT_PERP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HYUNDAI_USDT_PERP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ICNT_USDT_PERP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ICP_USDT_PERP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IDOL_USDT_PERP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IMX_USDT_PERP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INIT_USDT_PERP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INJ_USDT_PERP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INX_USDT_PERP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IOST_USDT_PERP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IOTA_USDT_PERP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IRYS_USDT_PERP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JASMY_USDT_PERP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JELLYJELLY_USDT_PERP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JTO_USDT_PERP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JUP_USDT_PERP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KAIA_USDT_PERP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KAITO_USDT_PERP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KAS_USDT_PERP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KAT_USDT_PERP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KAVA_USDT_PERP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KERNEL_USDT_PERP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KGEN_USDT_PERP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KII_USDT_PERP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KIOXIA_USDT_PERP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KITE_USDT_PERP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KMNO_USDT_PERP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KNC_USDT_PERP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LAB_USDT_PERP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LAYER_USDT_PERP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LDO_USDT_PERP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LIGHT_USDT_PERP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LINEA_USDT_PERP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LINK_USDT_PERP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LISTA_USDT_PERP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LIT_USDT_PERP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LPT_USDT_PERP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LRC_USDT_PERP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LSK_USDT_PERP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LTC_USDT_PERP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LUNA2_USDT_PERP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LUNC_USDT_PERP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LYN_USDT_PERP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MAGIC_USDT_PERP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MAGMA_USDT_PERP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MANA_USDT_PERP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MANTA_USDT_PERP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MANTRA_USDT_PERP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MARSCOIN_USDT_PERP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MASK_USDT_PERP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MAV_USDT_PERP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MEGA_USDT_PERP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MELANIA_USDT_PERP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MEME_USDT_PERP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MERL_USDT_PERP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METIS_USDT_PERP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MEW_USDT_PERP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MITO_USDT_PERP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MMT_USDT_PERP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MNT_USDT_PERP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MON_USDT_PERP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MOODENG_USDT_PERP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MOONSHOT_USDT_PERP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MOVE_USDT_PERP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MOVR_USDT_PERP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MPX_USDT_PERP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MUBARAK_USDT_PERP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MUX_USDT_PERP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MYX_USDT_PERP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NAORIS_USDT_PERP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NEAR_USDT_PERP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NEIRO_USDT_PERP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NIGHT_USDT_PERP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NIL_USDT_PERP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NMR_USDT_PERP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NOM_USDT_PERP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NOT_USDT_PERP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NXPC_USDT_PERP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OFC_USDT_PERP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OGN_USDT_PERP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OKB_USDT_PERP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ONDO_USDT_PERP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ONG_USDT_PERP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ONT_USDT_PERP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ONX_USDT_PERP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OPENAI_USDT_PERP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OPG_USDT_PERP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OPN_USDT_PERP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ORCA_USDT_PERP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ORDER_USDT_PERP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ORDI_USDT_PERP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PARTI_USDT_PERP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PENDLE_USDT_PERP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PENGU_USDT_PERP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PEOPLE_USDT_PERP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PEPE_USDT_PERP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PHA_USDT_PERP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PIEVERSE_USDT_PERP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PIPPIN_USDT_PERP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PIXEL_USDT_PERP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PLAY_USDT_PERP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PLUME_USDT_PERP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PNUT_USDT_PERP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POLYX_USDT_PERP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PONS_USDT_PERP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POPCAT_USDT_PERP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PORTAL_USDT_PERP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POWER_USDT_PERP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PRL_USDT_PERP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PROMPT_USDT_PERP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PROS_USDT_PERP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PROVE_USDT_PERP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PTB_USDT_PERP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PUMP_USDT_PERP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PYTH_USDT_PERP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QNT_USDT_PERP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QTUM_USDT_PERP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RATS_USDT_PERP</t>
        </is>
      </c>
      <c r="B309" s="2" t="inlineStr">
        <is>
          <t>已掃描</t>
        </is>
      </c>
      <c r="C309" s="2" t="inlineStr"/>
      <c r="D309" s="2" t="n"/>
      <c r="E309" s="17" t="n"/>
      <c r="F309" s="17" t="n"/>
      <c r="G309" s="2" t="n"/>
      <c r="H309" s="2" t="n"/>
    </row>
    <row r="310">
      <c r="A310" s="2" t="inlineStr">
        <is>
          <t>RAVE_USDT_PERP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RAY_USDT_PERP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RECALL_USDT_PERP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RENDER_USDT_PERP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REZ_USDT_PERP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RIF_USDT_PERP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RIVER_USDT_PERP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ROBO_USDT_PERP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ROSE_USDT_PERP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RSR_USDT_PERP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RUNE_USDT_PERP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SAGA_USDT_PERP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SAHARA_USDT_PERP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SAND_USDT_PERP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SAPIEN_USDT_PERP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SEI_USDT_PERP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SENT_USDT_PERP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SFP_USDT_PERP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SHIB_USDT_PERP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SIREN_USDT_PERP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SKL_USDT_PERP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SKR_USDT_PERP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SKYAI_USDT_PERP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SKY_USDT_PERP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SLP_USDT_PERP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SLX_USDT_PERP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SNX_USDT_PERP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SOLV_USDT_PERP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SOL_USDT_PERP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SOMI_USDT_PERP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SOON_USDT_PERP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SPACE_USDT_PERP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SPELL_USDT_PERP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SPK_USDT_PERP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SPORTFUN_USDT_PERP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SPX_USDT_PERP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SQD_USDT_PERP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SSV_USDT_PERP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STABLE_USDT_PERP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STAR_USDT_PERP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STBL_USDT_PERP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STRK_USDT_PERP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STX_USDT_PERP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SUI_USDT_PERP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SUN_USDT_PERP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SUPER_USDT_PERP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SUSHI_USDT_PERP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SXT_USDT_PERP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SYRUP_USDT_PERP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TAC_USDT_PERP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TAKE_USDT_PERP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TAO_USDT_PERP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TA_USDT_PERP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THETA_USDT_PERP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THE_USDT_PERP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TIA_USDT_PERP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TLM_USDT_PERP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TNSR_USDT_PERP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TOSHI_USDT_PERP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TOWNS_USDT_PERP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TRADOOR_USDT_PERP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TRB_USDT_PERP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TREE_USDT_PERP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TRIA_USDT_PERP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TRUMP_USDT_PERP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TRUST_USDT_PERP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TRUTH_USDT_PERP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TRX_USDT_PERP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TST_USDT_PERP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TURBO_USDT_PERP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TUT_USDT_PERP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TWT_USDT_PERP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UAI_USDT_PERP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UB_USDT_PERP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UNI_USDT_PERP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UP_USDT_PERP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USELESS_USDT_PERP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USTC_USDT_PERP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USUAL_USDT_PERP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US_USDT_PERP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VELODROME_USDT_PERP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VET_USDT_PERP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VIRTUAL_USDT_PERP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VVV_USDT_PERP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WAL_USDT_PERP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WCT_USDT_PERP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WIF_USDT_PERP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WLD_USDT_PERP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WLFI_USDT_PERP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WTI_USDT_PERP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W_USDT_PERP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XAI_USDT_PERP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XAN_USDT_PERP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XDP_USDT_PERP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XEC_USDT_PERP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XLM_USDT_PERP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XMR_USDT_PERP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XNY_USDT_PERP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XPIN_USDT_PERP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XPL_USDT_PERP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XRP_USDT_PERP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XTZ_USDT_PERP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XVG_USDT_PERP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XYZX_USDT_PERP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YB_USDT_PERP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YFI_USDT_PERP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YGG_USDT_PERP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ZAMA_USDT_PERP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ZBT_USDT_PERP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ZEC_USDT_PERP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ZEN_USDT_PERP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ZEREBRO_USDT_PERP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ZEST_USDT_PERP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ZETA_USDT_PERP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ZIL_USDT_PERP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ZKC_USDT_PERP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ZKP_USDT_PERP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ZKSYNC_USDT_PERP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ZORA_USDT_PERP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ZRO_USDT_PERP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ZRX_USDT_PERP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哈基米_USDT_PERP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币安人生_USDT_PERP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我踏马来了_USDT_PERP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牛来_USDT_PERP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</sheetData>
  <autoFilter ref="A1:H4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2026-10-02T00:26:54Z</dcterms:created>
  <dcterms:modified xsi:type="dcterms:W3CDTF">2026-10-02T00:26:54Z</dcterms:modified>
</cp:coreProperties>
</file>