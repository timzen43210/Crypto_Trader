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資金模擬" sheetId="3" state="visible" r:id="rId3"/>
    <sheet name="資金明細" sheetId="4" state="visible" r:id="rId4"/>
    <sheet name="參數" sheetId="5" state="visible" r:id="rId5"/>
    <sheet name="交易明細" sheetId="6" state="visible" r:id="rId6"/>
    <sheet name="幣種統計" sheetId="7" state="visible" r:id="rId7"/>
    <sheet name="掃描清單" sheetId="8" state="visible" r:id="rId8"/>
  </sheets>
  <definedNames>
    <definedName name="_xlnm._FilterDatabase" localSheetId="3" hidden="1">'資金明細'!$A$1:$Z$146</definedName>
    <definedName name="_xlnm._FilterDatabase" localSheetId="5" hidden="1">'交易明細'!$A$1:$AH$73</definedName>
    <definedName name="_xlnm._FilterDatabase" localSheetId="6" hidden="1">'幣種統計'!$A$1:$L$48</definedName>
    <definedName name="_xlnm._FilterDatabase" localSheetId="7" hidden="1">'掃描清單'!$A$1:$H$437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'資金明細'!$R$2:$R$146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2026-10-07 22:02（Dry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COUNTIFS(交易明細!$B$2:$B$73,"&lt;&gt;")</f>
        <v/>
      </c>
      <c r="C5" s="2">
        <f>D5+E5+F5</f>
        <v/>
      </c>
      <c r="D5" s="2">
        <f>COUNTIFS(交易明細!$J$2:$J$73,"止盈")</f>
        <v/>
      </c>
      <c r="E5" s="2">
        <f>COUNTIFS(交易明細!$J$2:$J$73,"止損")</f>
        <v/>
      </c>
      <c r="F5" s="2">
        <f>COUNTIFS(交易明細!$J$2:$J$73,"時間出場")</f>
        <v/>
      </c>
      <c r="G5" s="2">
        <f>COUNTIFS(交易明細!$J$2:$J$73,"未平倉")</f>
        <v/>
      </c>
      <c r="H5" s="4">
        <f>IFERROR(D5/C5,0)</f>
        <v/>
      </c>
      <c r="I5" s="4">
        <f>IFERROR(AVERAGEIFS(交易明細!$AC$2:$AC$73,交易明細!$J$2:$J$73,"&lt;&gt;未平倉"),參數!$B$16)</f>
        <v/>
      </c>
      <c r="J5" s="4">
        <f>IFERROR(AVERAGEIFS(交易明細!$L$2:$L$73,交易明細!$J$2:$J$73,"&lt;&gt;未平倉"),0)</f>
        <v/>
      </c>
      <c r="K5" s="4">
        <f>SUMIFS(交易明細!$L$2:$L$73,交易明細!$J$2:$J$73,"&lt;&gt;未平倉")</f>
        <v/>
      </c>
      <c r="L5" s="5">
        <f>IFERROR(AVERAGEIFS(交易明細!$K$2:$K$73,交易明細!$J$2:$J$73,"&lt;&gt;未平倉"),0)</f>
        <v/>
      </c>
      <c r="M5" s="5">
        <f>IFERROR(AVERAGEIFS(交易明細!$K$2:$K$73,交易明細!$J$2:$J$73,"止盈"),0)</f>
        <v/>
      </c>
      <c r="N5" s="5">
        <f>IFERROR(AVERAGEIFS(交易明細!$K$2:$K$73,交易明細!$J$2:$J$73,"止損"),0)</f>
        <v/>
      </c>
      <c r="O5" s="4">
        <f>IFERROR(AVERAGEIFS(交易明細!$L$2:$L$73,交易明細!$J$2:$J$73,"時間出場"),0)</f>
        <v/>
      </c>
      <c r="P5" s="4">
        <f>IFERROR(COUNTIFS(交易明細!$J$2:$J$73,"&lt;&gt;未平倉",交易明細!$L$2:$L$73,"&gt;0")/C5,0)</f>
        <v/>
      </c>
    </row>
    <row r="6">
      <c r="A6" s="2" t="inlineStr">
        <is>
          <t>做多</t>
        </is>
      </c>
      <c r="B6" s="2">
        <f>COUNTIFS(交易明細!$C$2:$C$73,"做多",交易明細!$B$2:$B$73,"&lt;&gt;")</f>
        <v/>
      </c>
      <c r="C6" s="2">
        <f>D6+E6+F6</f>
        <v/>
      </c>
      <c r="D6" s="2">
        <f>COUNTIFS(交易明細!$C$2:$C$73,"做多",交易明細!$J$2:$J$73,"止盈")</f>
        <v/>
      </c>
      <c r="E6" s="2">
        <f>COUNTIFS(交易明細!$C$2:$C$73,"做多",交易明細!$J$2:$J$73,"止損")</f>
        <v/>
      </c>
      <c r="F6" s="2">
        <f>COUNTIFS(交易明細!$C$2:$C$73,"做多",交易明細!$J$2:$J$73,"時間出場")</f>
        <v/>
      </c>
      <c r="G6" s="2">
        <f>COUNTIFS(交易明細!$C$2:$C$73,"做多",交易明細!$J$2:$J$73,"未平倉")</f>
        <v/>
      </c>
      <c r="H6" s="4">
        <f>IFERROR(D6/C6,0)</f>
        <v/>
      </c>
      <c r="I6" s="4">
        <f>IFERROR(AVERAGEIFS(交易明細!$AC$2:$AC$73,交易明細!$C$2:$C$73,"做多",交易明細!$J$2:$J$73,"&lt;&gt;未平倉"),參數!$B$16)</f>
        <v/>
      </c>
      <c r="J6" s="4">
        <f>IFERROR(AVERAGEIFS(交易明細!$L$2:$L$73,交易明細!$C$2:$C$73,"做多",交易明細!$J$2:$J$73,"&lt;&gt;未平倉"),0)</f>
        <v/>
      </c>
      <c r="K6" s="4">
        <f>SUMIFS(交易明細!$L$2:$L$73,交易明細!$C$2:$C$73,"做多",交易明細!$J$2:$J$73,"&lt;&gt;未平倉")</f>
        <v/>
      </c>
      <c r="L6" s="5">
        <f>IFERROR(AVERAGEIFS(交易明細!$K$2:$K$73,交易明細!$C$2:$C$73,"做多",交易明細!$J$2:$J$73,"&lt;&gt;未平倉"),0)</f>
        <v/>
      </c>
      <c r="M6" s="5">
        <f>IFERROR(AVERAGEIFS(交易明細!$K$2:$K$73,交易明細!$C$2:$C$73,"做多",交易明細!$J$2:$J$73,"止盈"),0)</f>
        <v/>
      </c>
      <c r="N6" s="5">
        <f>IFERROR(AVERAGEIFS(交易明細!$K$2:$K$73,交易明細!$C$2:$C$73,"做多",交易明細!$J$2:$J$73,"止損"),0)</f>
        <v/>
      </c>
      <c r="O6" s="4">
        <f>IFERROR(AVERAGEIFS(交易明細!$L$2:$L$73,交易明細!$C$2:$C$73,"做多",交易明細!$J$2:$J$73,"時間出場"),0)</f>
        <v/>
      </c>
      <c r="P6" s="4">
        <f>IFERROR(COUNTIFS(交易明細!$C$2:$C$73,"做多",交易明細!$J$2:$J$73,"&lt;&gt;未平倉",交易明細!$L$2:$L$73,"&gt;0")/C6,0)</f>
        <v/>
      </c>
    </row>
    <row r="7">
      <c r="A7" s="2" t="inlineStr">
        <is>
          <t>做空</t>
        </is>
      </c>
      <c r="B7" s="2">
        <f>COUNTIFS(交易明細!$C$2:$C$73,"做空",交易明細!$B$2:$B$73,"&lt;&gt;")</f>
        <v/>
      </c>
      <c r="C7" s="2">
        <f>D7+E7+F7</f>
        <v/>
      </c>
      <c r="D7" s="2">
        <f>COUNTIFS(交易明細!$C$2:$C$73,"做空",交易明細!$J$2:$J$73,"止盈")</f>
        <v/>
      </c>
      <c r="E7" s="2">
        <f>COUNTIFS(交易明細!$C$2:$C$73,"做空",交易明細!$J$2:$J$73,"止損")</f>
        <v/>
      </c>
      <c r="F7" s="2">
        <f>COUNTIFS(交易明細!$C$2:$C$73,"做空",交易明細!$J$2:$J$73,"時間出場")</f>
        <v/>
      </c>
      <c r="G7" s="2">
        <f>COUNTIFS(交易明細!$C$2:$C$73,"做空",交易明細!$J$2:$J$73,"未平倉")</f>
        <v/>
      </c>
      <c r="H7" s="4">
        <f>IFERROR(D7/C7,0)</f>
        <v/>
      </c>
      <c r="I7" s="4">
        <f>IFERROR(AVERAGEIFS(交易明細!$AC$2:$AC$73,交易明細!$C$2:$C$73,"做空",交易明細!$J$2:$J$73,"&lt;&gt;未平倉"),參數!$B$16)</f>
        <v/>
      </c>
      <c r="J7" s="4">
        <f>IFERROR(AVERAGEIFS(交易明細!$L$2:$L$73,交易明細!$C$2:$C$73,"做空",交易明細!$J$2:$J$73,"&lt;&gt;未平倉"),0)</f>
        <v/>
      </c>
      <c r="K7" s="4">
        <f>SUMIFS(交易明細!$L$2:$L$73,交易明細!$C$2:$C$73,"做空",交易明細!$J$2:$J$73,"&lt;&gt;未平倉")</f>
        <v/>
      </c>
      <c r="L7" s="5">
        <f>IFERROR(AVERAGEIFS(交易明細!$K$2:$K$73,交易明細!$C$2:$C$73,"做空",交易明細!$J$2:$J$73,"&lt;&gt;未平倉"),0)</f>
        <v/>
      </c>
      <c r="M7" s="5">
        <f>IFERROR(AVERAGEIFS(交易明細!$K$2:$K$73,交易明細!$C$2:$C$73,"做空",交易明細!$J$2:$J$73,"止盈"),0)</f>
        <v/>
      </c>
      <c r="N7" s="5">
        <f>IFERROR(AVERAGEIFS(交易明細!$K$2:$K$73,交易明細!$C$2:$C$73,"做空",交易明細!$J$2:$J$73,"止損"),0)</f>
        <v/>
      </c>
      <c r="O7" s="4">
        <f>IFERROR(AVERAGEIFS(交易明細!$L$2:$L$73,交易明細!$C$2:$C$73,"做空",交易明細!$J$2:$J$73,"時間出場"),0)</f>
        <v/>
      </c>
      <c r="P7" s="4">
        <f>IFERROR(COUNTIFS(交易明細!$C$2:$C$73,"做空",交易明細!$J$2:$J$73,"&lt;&gt;未平倉",交易明細!$L$2:$L$73,"&gt;0")/C7,0)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・持倉時間以主K棒為精度（觸價當根收盤計）；同根雙觸發時改用更小週期K棒判定。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46302.91855568287</v>
      </c>
      <c r="B2" s="7" t="n">
        <v>46302.91736111111</v>
      </c>
      <c r="C2" s="2" t="n">
        <v>434</v>
      </c>
      <c r="D2" s="2" t="n">
        <v>0</v>
      </c>
      <c r="E2" s="2" t="n">
        <v>0</v>
      </c>
      <c r="F2" s="2" t="n">
        <v>0</v>
      </c>
      <c r="G2" s="2" t="n">
        <v>195.1</v>
      </c>
    </row>
    <row r="3">
      <c r="A3" s="7" t="n">
        <v>46302.63748732639</v>
      </c>
      <c r="B3" s="7" t="n">
        <v>46302.63611111111</v>
      </c>
      <c r="C3" s="2" t="n">
        <v>434</v>
      </c>
      <c r="D3" s="2" t="n">
        <v>0</v>
      </c>
      <c r="E3" s="2" t="n">
        <v>0</v>
      </c>
      <c r="F3" s="2" t="n">
        <v>0</v>
      </c>
      <c r="G3" s="2" t="n">
        <v>149.8</v>
      </c>
    </row>
    <row r="4">
      <c r="A4" s="7" t="n">
        <v>46302.36557295139</v>
      </c>
      <c r="B4" s="7" t="n">
        <v>46302.36458333334</v>
      </c>
      <c r="C4" s="2" t="n">
        <v>434</v>
      </c>
      <c r="D4" s="2" t="n">
        <v>1</v>
      </c>
      <c r="E4" s="2" t="n">
        <v>1</v>
      </c>
      <c r="F4" s="2" t="n">
        <v>0</v>
      </c>
      <c r="G4" s="2" t="n">
        <v>187.2</v>
      </c>
    </row>
    <row r="5">
      <c r="A5" s="7" t="n">
        <v>46302.18334195602</v>
      </c>
      <c r="B5" s="7" t="n">
        <v>46302.18263888889</v>
      </c>
      <c r="C5" s="2" t="n">
        <v>434</v>
      </c>
      <c r="D5" s="2" t="n">
        <v>1</v>
      </c>
      <c r="E5" s="2" t="n">
        <v>1</v>
      </c>
      <c r="F5" s="2" t="n">
        <v>0</v>
      </c>
      <c r="G5" s="2" t="n">
        <v>143.5</v>
      </c>
    </row>
    <row r="6">
      <c r="A6" s="7" t="n">
        <v>46301.96957728009</v>
      </c>
      <c r="B6" s="7" t="n">
        <v>46301.96875</v>
      </c>
      <c r="C6" s="2" t="n">
        <v>434</v>
      </c>
      <c r="D6" s="2" t="n">
        <v>0</v>
      </c>
      <c r="E6" s="2" t="n">
        <v>0</v>
      </c>
      <c r="F6" s="2" t="n">
        <v>0</v>
      </c>
      <c r="G6" s="2" t="n">
        <v>153.4</v>
      </c>
    </row>
    <row r="7">
      <c r="A7" s="7" t="n">
        <v>46301.81112700231</v>
      </c>
      <c r="B7" s="7" t="n">
        <v>46301.81041666667</v>
      </c>
      <c r="C7" s="2" t="n">
        <v>434</v>
      </c>
      <c r="D7" s="2" t="n">
        <v>3</v>
      </c>
      <c r="E7" s="2" t="n">
        <v>4</v>
      </c>
      <c r="F7" s="2" t="n">
        <v>0</v>
      </c>
      <c r="G7" s="2" t="n">
        <v>163.5</v>
      </c>
    </row>
    <row r="8">
      <c r="A8" s="7" t="n">
        <v>46301.65108299768</v>
      </c>
      <c r="B8" s="7" t="n">
        <v>46301.65</v>
      </c>
      <c r="C8" s="2" t="n">
        <v>434</v>
      </c>
      <c r="D8" s="2" t="n">
        <v>3</v>
      </c>
      <c r="E8" s="2" t="n">
        <v>3</v>
      </c>
      <c r="F8" s="2" t="n">
        <v>0</v>
      </c>
      <c r="G8" s="2" t="n">
        <v>163.9</v>
      </c>
    </row>
    <row r="9">
      <c r="A9" s="7" t="n">
        <v>46301.36894638889</v>
      </c>
      <c r="B9" s="7" t="n">
        <v>46301.36805555555</v>
      </c>
      <c r="C9" s="2" t="n">
        <v>434</v>
      </c>
      <c r="D9" s="2" t="n">
        <v>0</v>
      </c>
      <c r="E9" s="2" t="n">
        <v>0</v>
      </c>
      <c r="F9" s="2" t="n">
        <v>0</v>
      </c>
      <c r="G9" s="2" t="n">
        <v>163.9</v>
      </c>
    </row>
    <row r="10">
      <c r="A10" s="7" t="n">
        <v>46301.10619697917</v>
      </c>
      <c r="B10" s="7" t="n">
        <v>46301.10486111111</v>
      </c>
      <c r="C10" s="2" t="n">
        <v>434</v>
      </c>
      <c r="D10" s="2" t="n">
        <v>2</v>
      </c>
      <c r="E10" s="2" t="n">
        <v>1</v>
      </c>
      <c r="F10" s="2" t="n">
        <v>0</v>
      </c>
      <c r="G10" s="2" t="n">
        <v>185.1</v>
      </c>
    </row>
    <row r="11">
      <c r="A11" s="7" t="n">
        <v>46300.94284798611</v>
      </c>
      <c r="B11" s="7" t="n">
        <v>46300.94166666667</v>
      </c>
      <c r="C11" s="2" t="n">
        <v>434</v>
      </c>
      <c r="D11" s="2" t="n">
        <v>1</v>
      </c>
      <c r="E11" s="2" t="n">
        <v>2</v>
      </c>
      <c r="F11" s="2" t="n">
        <v>0</v>
      </c>
      <c r="G11" s="2" t="n">
        <v>178.3</v>
      </c>
    </row>
    <row r="12">
      <c r="A12" s="7" t="n">
        <v>46300.71639594907</v>
      </c>
      <c r="B12" s="7" t="n">
        <v>46300.71527777778</v>
      </c>
      <c r="C12" s="2" t="n">
        <v>434</v>
      </c>
      <c r="D12" s="2" t="n">
        <v>1</v>
      </c>
      <c r="E12" s="2" t="n">
        <v>0</v>
      </c>
      <c r="F12" s="2" t="n">
        <v>0</v>
      </c>
      <c r="G12" s="2" t="n">
        <v>191.4</v>
      </c>
    </row>
    <row r="13">
      <c r="A13" s="7" t="n">
        <v>46300.42120295139</v>
      </c>
      <c r="B13" s="7" t="n">
        <v>46300.42013888889</v>
      </c>
      <c r="C13" s="2" t="n">
        <v>435</v>
      </c>
      <c r="D13" s="2" t="n">
        <v>0</v>
      </c>
      <c r="E13" s="2" t="n">
        <v>1</v>
      </c>
      <c r="F13" s="2" t="n">
        <v>0</v>
      </c>
      <c r="G13" s="2" t="n">
        <v>186</v>
      </c>
    </row>
    <row r="14">
      <c r="A14" s="7" t="n">
        <v>46300.30229967592</v>
      </c>
      <c r="B14" s="7" t="n">
        <v>46300.30138888889</v>
      </c>
      <c r="C14" s="2" t="n">
        <v>435</v>
      </c>
      <c r="D14" s="2" t="n">
        <v>1</v>
      </c>
      <c r="E14" s="2" t="n">
        <v>1</v>
      </c>
      <c r="F14" s="2" t="n">
        <v>0</v>
      </c>
      <c r="G14" s="2" t="n">
        <v>186.7</v>
      </c>
    </row>
    <row r="15">
      <c r="A15" s="7" t="n">
        <v>46300.1536875926</v>
      </c>
      <c r="B15" s="7" t="n">
        <v>46300.15277777778</v>
      </c>
      <c r="C15" s="2" t="n">
        <v>435</v>
      </c>
      <c r="D15" s="2" t="n">
        <v>0</v>
      </c>
      <c r="E15" s="2" t="n">
        <v>0</v>
      </c>
      <c r="F15" s="2" t="n">
        <v>0</v>
      </c>
      <c r="G15" s="2" t="n">
        <v>149.8</v>
      </c>
    </row>
    <row r="16">
      <c r="A16" s="7" t="n">
        <v>46299.97588962963</v>
      </c>
      <c r="B16" s="7" t="n">
        <v>46299.975</v>
      </c>
      <c r="C16" s="2" t="n">
        <v>435</v>
      </c>
      <c r="D16" s="2" t="n">
        <v>0</v>
      </c>
      <c r="E16" s="2" t="n">
        <v>0</v>
      </c>
      <c r="F16" s="2" t="n">
        <v>0</v>
      </c>
      <c r="G16" s="2" t="n">
        <v>191.9</v>
      </c>
    </row>
    <row r="17">
      <c r="A17" s="7" t="n">
        <v>46299.90213123843</v>
      </c>
      <c r="B17" s="7" t="n">
        <v>46299.90138888889</v>
      </c>
      <c r="C17" s="2" t="n">
        <v>435</v>
      </c>
      <c r="D17" s="2" t="n">
        <v>0</v>
      </c>
      <c r="E17" s="2" t="n">
        <v>0</v>
      </c>
      <c r="F17" s="2" t="n">
        <v>0</v>
      </c>
      <c r="G17" s="2" t="n">
        <v>188.2</v>
      </c>
    </row>
    <row r="18">
      <c r="A18" s="7" t="n">
        <v>46299.74574608796</v>
      </c>
      <c r="B18" s="7" t="n">
        <v>46299.74444444444</v>
      </c>
      <c r="C18" s="2" t="n">
        <v>435</v>
      </c>
      <c r="D18" s="2" t="n">
        <v>2</v>
      </c>
      <c r="E18" s="2" t="n">
        <v>1</v>
      </c>
      <c r="F18" s="2" t="n">
        <v>1</v>
      </c>
      <c r="G18" s="2" t="n">
        <v>187.4</v>
      </c>
    </row>
    <row r="19">
      <c r="A19" s="7" t="n">
        <v>46299.48719824074</v>
      </c>
      <c r="B19" s="7" t="n">
        <v>46299.48611111111</v>
      </c>
      <c r="C19" s="2" t="n">
        <v>435</v>
      </c>
      <c r="D19" s="2" t="n">
        <v>0</v>
      </c>
      <c r="E19" s="2" t="n">
        <v>1</v>
      </c>
      <c r="F19" s="2" t="n">
        <v>1</v>
      </c>
      <c r="G19" s="2" t="n">
        <v>184.7</v>
      </c>
    </row>
    <row r="20">
      <c r="A20" s="7" t="n">
        <v>46299.44683753472</v>
      </c>
      <c r="B20" s="7" t="n">
        <v>46299.44583333333</v>
      </c>
      <c r="C20" s="2" t="n">
        <v>435</v>
      </c>
      <c r="D20" s="2" t="n">
        <v>1</v>
      </c>
      <c r="E20" s="2" t="n">
        <v>1</v>
      </c>
      <c r="F20" s="2" t="n">
        <v>1</v>
      </c>
      <c r="G20" s="2" t="n">
        <v>189.6</v>
      </c>
    </row>
    <row r="21">
      <c r="A21" s="7" t="n">
        <v>46299.29732329861</v>
      </c>
      <c r="B21" s="7" t="n">
        <v>46299.29652777778</v>
      </c>
      <c r="C21" s="2" t="n">
        <v>435</v>
      </c>
      <c r="D21" s="2" t="n">
        <v>1</v>
      </c>
      <c r="E21" s="2" t="n">
        <v>1</v>
      </c>
      <c r="F21" s="2" t="n">
        <v>1</v>
      </c>
      <c r="G21" s="2" t="n">
        <v>186.6</v>
      </c>
    </row>
    <row r="22">
      <c r="A22" s="7" t="n">
        <v>46299.16534118055</v>
      </c>
      <c r="B22" s="7" t="n">
        <v>46299.16458333333</v>
      </c>
      <c r="C22" s="2" t="n">
        <v>435</v>
      </c>
      <c r="D22" s="2" t="n">
        <v>0</v>
      </c>
      <c r="E22" s="2" t="n">
        <v>0</v>
      </c>
      <c r="F22" s="2" t="n">
        <v>1</v>
      </c>
      <c r="G22" s="2" t="n">
        <v>160.2</v>
      </c>
    </row>
    <row r="23">
      <c r="A23" s="7" t="n">
        <v>46299.01924309028</v>
      </c>
      <c r="B23" s="7" t="n">
        <v>46299.01805555556</v>
      </c>
      <c r="C23" s="2" t="n">
        <v>435</v>
      </c>
      <c r="D23" s="2" t="n">
        <v>0</v>
      </c>
      <c r="E23" s="2" t="n">
        <v>0</v>
      </c>
      <c r="F23" s="2" t="n">
        <v>1</v>
      </c>
      <c r="G23" s="2" t="n">
        <v>194</v>
      </c>
    </row>
    <row r="24">
      <c r="A24" s="7" t="n">
        <v>46298.82413289352</v>
      </c>
      <c r="B24" s="7" t="n">
        <v>46298.82291666666</v>
      </c>
      <c r="C24" s="2" t="n">
        <v>435</v>
      </c>
      <c r="D24" s="2" t="n">
        <v>0</v>
      </c>
      <c r="E24" s="2" t="n">
        <v>0</v>
      </c>
      <c r="F24" s="2" t="n">
        <v>1</v>
      </c>
      <c r="G24" s="2" t="n">
        <v>180.1</v>
      </c>
    </row>
    <row r="25">
      <c r="A25" s="7" t="n">
        <v>46298.64104893518</v>
      </c>
      <c r="B25" s="7" t="n">
        <v>46298.64027777778</v>
      </c>
      <c r="C25" s="2" t="n">
        <v>435</v>
      </c>
      <c r="D25" s="2" t="n">
        <v>1</v>
      </c>
      <c r="E25" s="2" t="n">
        <v>0</v>
      </c>
      <c r="F25" s="2" t="n">
        <v>1</v>
      </c>
      <c r="G25" s="2" t="n">
        <v>180.1</v>
      </c>
    </row>
    <row r="26">
      <c r="A26" s="7" t="n">
        <v>46298.55905060185</v>
      </c>
      <c r="B26" s="7" t="n">
        <v>46298.55833333333</v>
      </c>
      <c r="C26" s="2" t="n">
        <v>435</v>
      </c>
      <c r="D26" s="2" t="n">
        <v>2</v>
      </c>
      <c r="E26" s="2" t="n">
        <v>2</v>
      </c>
      <c r="F26" s="2" t="n">
        <v>1</v>
      </c>
      <c r="G26" s="2" t="n">
        <v>159.7</v>
      </c>
    </row>
    <row r="27">
      <c r="A27" s="7" t="n">
        <v>46298.32651334491</v>
      </c>
      <c r="B27" s="7" t="n">
        <v>46298.32569444444</v>
      </c>
      <c r="C27" s="2" t="n">
        <v>435</v>
      </c>
      <c r="D27" s="2" t="n">
        <v>0</v>
      </c>
      <c r="E27" s="2" t="n">
        <v>0</v>
      </c>
      <c r="F27" s="2" t="n">
        <v>2</v>
      </c>
      <c r="G27" s="2" t="n">
        <v>189.1</v>
      </c>
    </row>
    <row r="28">
      <c r="A28" s="7" t="n">
        <v>46298.14088650463</v>
      </c>
      <c r="B28" s="7" t="n">
        <v>46298.13958333333</v>
      </c>
      <c r="C28" s="2" t="n">
        <v>435</v>
      </c>
      <c r="D28" s="2" t="n">
        <v>1</v>
      </c>
      <c r="E28" s="2" t="n">
        <v>2</v>
      </c>
      <c r="F28" s="2" t="n">
        <v>2</v>
      </c>
      <c r="G28" s="2" t="n">
        <v>195.5</v>
      </c>
    </row>
    <row r="29">
      <c r="A29" s="7" t="n">
        <v>46298.00826386574</v>
      </c>
      <c r="B29" s="7" t="n">
        <v>46298.00694444445</v>
      </c>
      <c r="C29" s="2" t="n">
        <v>435</v>
      </c>
      <c r="D29" s="2" t="n">
        <v>2</v>
      </c>
      <c r="E29" s="2" t="n">
        <v>1</v>
      </c>
      <c r="F29" s="2" t="n">
        <v>2</v>
      </c>
      <c r="G29" s="2" t="n">
        <v>190.7</v>
      </c>
    </row>
    <row r="30">
      <c r="A30" s="7" t="n">
        <v>46297.91349550926</v>
      </c>
      <c r="B30" s="7" t="n">
        <v>46297.9125</v>
      </c>
      <c r="C30" s="2" t="n">
        <v>435</v>
      </c>
      <c r="D30" s="2" t="n">
        <v>0</v>
      </c>
      <c r="E30" s="2" t="n">
        <v>1</v>
      </c>
      <c r="F30" s="2" t="n">
        <v>3</v>
      </c>
      <c r="G30" s="2" t="n">
        <v>179.2</v>
      </c>
    </row>
    <row r="31">
      <c r="A31" s="7" t="n">
        <v>46297.90064986111</v>
      </c>
      <c r="B31" s="7" t="n">
        <v>46297.89930555555</v>
      </c>
      <c r="C31" s="2" t="n">
        <v>435</v>
      </c>
      <c r="D31" s="2" t="n">
        <v>1</v>
      </c>
      <c r="E31" s="2" t="n">
        <v>0</v>
      </c>
      <c r="F31" s="2" t="n">
        <v>3</v>
      </c>
      <c r="G31" s="2" t="n">
        <v>180.1</v>
      </c>
    </row>
    <row r="32">
      <c r="A32" s="7" t="n">
        <v>46297.75623421296</v>
      </c>
      <c r="B32" s="7" t="n">
        <v>46297.75486111111</v>
      </c>
      <c r="C32" s="2" t="n">
        <v>435</v>
      </c>
      <c r="D32" s="2" t="n">
        <v>0</v>
      </c>
      <c r="E32" s="2" t="n">
        <v>0</v>
      </c>
      <c r="F32" s="2" t="n">
        <v>3</v>
      </c>
      <c r="G32" s="2" t="n">
        <v>199.1</v>
      </c>
    </row>
    <row r="33">
      <c r="A33" s="7" t="n">
        <v>46297.70907445602</v>
      </c>
      <c r="B33" s="7" t="n">
        <v>46297.70833333334</v>
      </c>
      <c r="C33" s="2" t="n">
        <v>435</v>
      </c>
      <c r="D33" s="2" t="n">
        <v>0</v>
      </c>
      <c r="E33" s="2" t="n">
        <v>0</v>
      </c>
      <c r="F33" s="2" t="n">
        <v>3</v>
      </c>
      <c r="G33" s="2" t="n">
        <v>148.2</v>
      </c>
    </row>
    <row r="34">
      <c r="A34" s="7" t="n">
        <v>46297.62748648148</v>
      </c>
      <c r="B34" s="7" t="n">
        <v>46297.62638888889</v>
      </c>
      <c r="C34" s="2" t="n">
        <v>435</v>
      </c>
      <c r="D34" s="2" t="n">
        <v>0</v>
      </c>
      <c r="E34" s="2" t="n">
        <v>0</v>
      </c>
      <c r="F34" s="2" t="n">
        <v>3</v>
      </c>
      <c r="G34" s="2" t="n">
        <v>188.8</v>
      </c>
    </row>
    <row r="35">
      <c r="A35" s="7" t="n">
        <v>46297.59146636574</v>
      </c>
      <c r="B35" s="7" t="n">
        <v>46297.59027777778</v>
      </c>
      <c r="C35" s="2" t="n">
        <v>435</v>
      </c>
      <c r="D35" s="2" t="n">
        <v>0</v>
      </c>
      <c r="E35" s="2" t="n">
        <v>0</v>
      </c>
      <c r="F35" s="2" t="n">
        <v>3</v>
      </c>
      <c r="G35" s="2" t="n">
        <v>188.7</v>
      </c>
    </row>
    <row r="36">
      <c r="A36" s="7" t="n">
        <v>46297.47377153935</v>
      </c>
      <c r="B36" s="7" t="n">
        <v>46297.47291666667</v>
      </c>
      <c r="C36" s="2" t="n">
        <v>435</v>
      </c>
      <c r="D36" s="2" t="n">
        <v>0</v>
      </c>
      <c r="E36" s="2" t="n">
        <v>0</v>
      </c>
      <c r="F36" s="2" t="n">
        <v>4</v>
      </c>
      <c r="G36" s="2" t="n">
        <v>159.9</v>
      </c>
    </row>
    <row r="37">
      <c r="A37" s="7" t="n">
        <v>46297.43863659722</v>
      </c>
      <c r="B37" s="7" t="n">
        <v>46297.4375</v>
      </c>
      <c r="C37" s="2" t="n">
        <v>435</v>
      </c>
      <c r="D37" s="2" t="n">
        <v>1</v>
      </c>
      <c r="E37" s="2" t="n">
        <v>1</v>
      </c>
      <c r="F37" s="2" t="n">
        <v>4</v>
      </c>
      <c r="G37" s="2" t="n">
        <v>181.3</v>
      </c>
    </row>
    <row r="38">
      <c r="A38" s="7" t="n">
        <v>46297.36902693287</v>
      </c>
      <c r="B38" s="7" t="n">
        <v>46297.36805555555</v>
      </c>
      <c r="C38" s="2" t="n">
        <v>434</v>
      </c>
      <c r="D38" s="2" t="n">
        <v>0</v>
      </c>
      <c r="E38" s="2" t="n">
        <v>0</v>
      </c>
      <c r="F38" s="2" t="n">
        <v>1</v>
      </c>
      <c r="G38" s="2" t="n">
        <v>191.7</v>
      </c>
    </row>
    <row r="39">
      <c r="A39" s="7" t="n">
        <v>46297.34984872685</v>
      </c>
      <c r="B39" s="7" t="n">
        <v>46297.34861111111</v>
      </c>
      <c r="C39" s="2" t="n">
        <v>434</v>
      </c>
      <c r="D39" s="2" t="n">
        <v>0</v>
      </c>
      <c r="E39" s="2" t="n">
        <v>0</v>
      </c>
      <c r="F39" s="2" t="n">
        <v>1</v>
      </c>
      <c r="G39" s="2" t="n">
        <v>185.3</v>
      </c>
    </row>
    <row r="40">
      <c r="A40" s="7" t="n">
        <v>46297.18230064815</v>
      </c>
      <c r="B40" s="7" t="n">
        <v>46297.18125</v>
      </c>
      <c r="C40" s="2" t="n">
        <v>434</v>
      </c>
      <c r="D40" s="2" t="n">
        <v>2</v>
      </c>
      <c r="E40" s="2" t="n">
        <v>2</v>
      </c>
      <c r="F40" s="2" t="n">
        <v>1</v>
      </c>
      <c r="G40" s="2" t="n">
        <v>159.5</v>
      </c>
    </row>
    <row r="41">
      <c r="A41" s="7" t="n">
        <v>46297.01546863426</v>
      </c>
      <c r="B41" s="7" t="n">
        <v>46297.01458333333</v>
      </c>
      <c r="C41" s="2" t="n">
        <v>434</v>
      </c>
      <c r="D41" s="2" t="n">
        <v>1</v>
      </c>
      <c r="E41" s="2" t="n">
        <v>1</v>
      </c>
      <c r="F41" s="2" t="n">
        <v>2</v>
      </c>
      <c r="G41" s="2" t="n">
        <v>179.4</v>
      </c>
    </row>
    <row r="42">
      <c r="A42" s="7" t="n">
        <v>46296.99918069445</v>
      </c>
      <c r="B42" s="7" t="n">
        <v>46296.99791666667</v>
      </c>
      <c r="C42" s="2" t="n">
        <v>434</v>
      </c>
      <c r="D42" s="2" t="n">
        <v>0</v>
      </c>
      <c r="E42" s="2" t="n">
        <v>0</v>
      </c>
      <c r="F42" s="2" t="n">
        <v>2</v>
      </c>
      <c r="G42" s="2" t="n">
        <v>167.2</v>
      </c>
    </row>
    <row r="43">
      <c r="A43" s="7" t="n">
        <v>46296.94003458333</v>
      </c>
      <c r="B43" s="7" t="n">
        <v>46296.93888888889</v>
      </c>
      <c r="C43" s="2" t="n">
        <v>434</v>
      </c>
      <c r="D43" s="2" t="n">
        <v>0</v>
      </c>
      <c r="E43" s="2" t="n">
        <v>0</v>
      </c>
      <c r="F43" s="2" t="n">
        <v>2</v>
      </c>
      <c r="G43" s="2" t="n">
        <v>189.5</v>
      </c>
    </row>
    <row r="44">
      <c r="A44" s="7" t="n">
        <v>46296.7419153125</v>
      </c>
      <c r="B44" s="7" t="n">
        <v>46296.74097222222</v>
      </c>
      <c r="C44" s="2" t="n">
        <v>434</v>
      </c>
      <c r="D44" s="2" t="n">
        <v>1</v>
      </c>
      <c r="E44" s="2" t="n">
        <v>1</v>
      </c>
      <c r="F44" s="2" t="n">
        <v>2</v>
      </c>
      <c r="G44" s="2" t="n">
        <v>150</v>
      </c>
    </row>
    <row r="45">
      <c r="A45" s="7" t="n">
        <v>46296.63539230324</v>
      </c>
      <c r="B45" s="7" t="n">
        <v>46296.63402777778</v>
      </c>
      <c r="C45" s="2" t="n">
        <v>434</v>
      </c>
      <c r="D45" s="2" t="n">
        <v>0</v>
      </c>
      <c r="E45" s="2" t="n">
        <v>0</v>
      </c>
      <c r="F45" s="2" t="n">
        <v>2</v>
      </c>
      <c r="G45" s="2" t="n">
        <v>195</v>
      </c>
    </row>
    <row r="46">
      <c r="A46" s="7" t="n">
        <v>46296.6196469213</v>
      </c>
      <c r="B46" s="7" t="n">
        <v>46296.61875</v>
      </c>
      <c r="C46" s="2" t="n">
        <v>434</v>
      </c>
      <c r="D46" s="2" t="n">
        <v>1</v>
      </c>
      <c r="E46" s="2" t="n">
        <v>1</v>
      </c>
      <c r="F46" s="2" t="n">
        <v>2</v>
      </c>
      <c r="G46" s="2" t="n">
        <v>190.6</v>
      </c>
    </row>
    <row r="47">
      <c r="A47" s="7" t="n">
        <v>46296.55481784722</v>
      </c>
      <c r="B47" s="7" t="n">
        <v>46296.55347222222</v>
      </c>
      <c r="C47" s="2" t="n">
        <v>434</v>
      </c>
      <c r="D47" s="2" t="n">
        <v>0</v>
      </c>
      <c r="E47" s="2" t="n">
        <v>0</v>
      </c>
      <c r="F47" s="2" t="n">
        <v>2</v>
      </c>
      <c r="G47" s="2" t="n">
        <v>189.9</v>
      </c>
    </row>
    <row r="48">
      <c r="A48" s="7" t="n">
        <v>46296.49238505787</v>
      </c>
      <c r="B48" s="7" t="n">
        <v>46296.49166666667</v>
      </c>
      <c r="C48" s="2" t="n">
        <v>434</v>
      </c>
      <c r="D48" s="2" t="n">
        <v>0</v>
      </c>
      <c r="E48" s="2" t="n">
        <v>0</v>
      </c>
      <c r="F48" s="2" t="n">
        <v>3</v>
      </c>
      <c r="G48" s="2" t="n">
        <v>189.7</v>
      </c>
    </row>
    <row r="49">
      <c r="A49" s="7" t="n">
        <v>46296.35809899306</v>
      </c>
      <c r="B49" s="7" t="n">
        <v>46296.35694444444</v>
      </c>
      <c r="C49" s="2" t="n">
        <v>434</v>
      </c>
      <c r="D49" s="2" t="n">
        <v>0</v>
      </c>
      <c r="E49" s="2" t="n">
        <v>0</v>
      </c>
      <c r="F49" s="2" t="n">
        <v>3</v>
      </c>
      <c r="G49" s="2" t="n">
        <v>152.4</v>
      </c>
    </row>
    <row r="50">
      <c r="A50" s="7" t="n">
        <v>46296.20216918981</v>
      </c>
      <c r="B50" s="7" t="n">
        <v>46296.20138888889</v>
      </c>
      <c r="C50" s="2" t="n">
        <v>434</v>
      </c>
      <c r="D50" s="2" t="n">
        <v>0</v>
      </c>
      <c r="E50" s="2" t="n">
        <v>0</v>
      </c>
      <c r="F50" s="2" t="n">
        <v>3</v>
      </c>
      <c r="G50" s="2" t="n">
        <v>180</v>
      </c>
    </row>
    <row r="51">
      <c r="A51" s="7" t="n">
        <v>46295.99840958334</v>
      </c>
      <c r="B51" s="7" t="n">
        <v>46295.99722222222</v>
      </c>
      <c r="C51" s="2" t="n">
        <v>434</v>
      </c>
      <c r="D51" s="2" t="n">
        <v>0</v>
      </c>
      <c r="E51" s="2" t="n">
        <v>0</v>
      </c>
      <c r="F51" s="2" t="n">
        <v>3</v>
      </c>
      <c r="G51" s="2" t="n">
        <v>187.6</v>
      </c>
    </row>
    <row r="52">
      <c r="A52" s="7" t="n">
        <v>46295.94423819445</v>
      </c>
      <c r="B52" s="7" t="n">
        <v>46295.94305555556</v>
      </c>
      <c r="C52" s="2" t="n">
        <v>434</v>
      </c>
      <c r="D52" s="2" t="n">
        <v>0</v>
      </c>
      <c r="E52" s="2" t="n">
        <v>1</v>
      </c>
      <c r="F52" s="2" t="n">
        <v>3</v>
      </c>
      <c r="G52" s="2" t="n">
        <v>150.7</v>
      </c>
    </row>
    <row r="53">
      <c r="A53" s="7" t="n">
        <v>46295.91675143519</v>
      </c>
      <c r="B53" s="7" t="n">
        <v>46295.91597222222</v>
      </c>
      <c r="C53" s="2" t="n">
        <v>434</v>
      </c>
      <c r="D53" s="2" t="n">
        <v>1</v>
      </c>
      <c r="E53" s="2" t="n">
        <v>2</v>
      </c>
      <c r="F53" s="2" t="n">
        <v>3</v>
      </c>
      <c r="G53" s="2" t="n">
        <v>189.9</v>
      </c>
    </row>
    <row r="54">
      <c r="A54" s="7" t="n">
        <v>46295.87897131944</v>
      </c>
      <c r="B54" s="7" t="n">
        <v>46295.87777777778</v>
      </c>
      <c r="C54" s="2" t="n">
        <v>434</v>
      </c>
      <c r="D54" s="2" t="n">
        <v>1</v>
      </c>
      <c r="E54" s="2" t="n">
        <v>0</v>
      </c>
      <c r="F54" s="2" t="n">
        <v>3</v>
      </c>
      <c r="G54" s="2" t="n">
        <v>187.8</v>
      </c>
    </row>
    <row r="55">
      <c r="A55" s="7" t="n">
        <v>46295.84232043981</v>
      </c>
      <c r="B55" s="7" t="n">
        <v>46295.84097222222</v>
      </c>
      <c r="C55" s="2" t="n">
        <v>434</v>
      </c>
      <c r="D55" s="2" t="n">
        <v>1</v>
      </c>
      <c r="E55" s="2" t="n">
        <v>0</v>
      </c>
      <c r="F55" s="2" t="n">
        <v>3</v>
      </c>
      <c r="G55" s="2" t="n">
        <v>147.8</v>
      </c>
    </row>
    <row r="56">
      <c r="A56" s="7" t="n">
        <v>46295.76311292824</v>
      </c>
      <c r="B56" s="7" t="n">
        <v>46295.76180555556</v>
      </c>
      <c r="C56" s="2" t="n">
        <v>434</v>
      </c>
      <c r="D56" s="2" t="n">
        <v>0</v>
      </c>
      <c r="E56" s="2" t="n">
        <v>0</v>
      </c>
      <c r="F56" s="2" t="n">
        <v>3</v>
      </c>
      <c r="G56" s="2" t="n">
        <v>188</v>
      </c>
    </row>
    <row r="57">
      <c r="A57" s="7" t="n">
        <v>46295.71942712963</v>
      </c>
      <c r="B57" s="7" t="n">
        <v>46295.71805555555</v>
      </c>
      <c r="C57" s="2" t="n">
        <v>434</v>
      </c>
      <c r="D57" s="2" t="n">
        <v>1</v>
      </c>
      <c r="E57" s="2" t="n">
        <v>1</v>
      </c>
      <c r="F57" s="2" t="n">
        <v>3</v>
      </c>
      <c r="G57" s="2" t="n">
        <v>163.9</v>
      </c>
    </row>
    <row r="58">
      <c r="A58" s="7" t="n">
        <v>46295.69435030092</v>
      </c>
      <c r="B58" s="7" t="n">
        <v>46295.69305555556</v>
      </c>
      <c r="C58" s="2" t="n">
        <v>434</v>
      </c>
      <c r="D58" s="2" t="n">
        <v>0</v>
      </c>
      <c r="E58" s="2" t="n">
        <v>0</v>
      </c>
      <c r="F58" s="2" t="n">
        <v>3</v>
      </c>
      <c r="G58" s="2" t="n">
        <v>141.1</v>
      </c>
    </row>
    <row r="59">
      <c r="A59" s="7" t="n">
        <v>46295.5782999537</v>
      </c>
      <c r="B59" s="7" t="n">
        <v>46295.57708333333</v>
      </c>
      <c r="C59" s="2" t="n">
        <v>434</v>
      </c>
      <c r="D59" s="2" t="n">
        <v>0</v>
      </c>
      <c r="E59" s="2" t="n">
        <v>0</v>
      </c>
      <c r="F59" s="2" t="n">
        <v>5</v>
      </c>
      <c r="G59" s="2" t="n">
        <v>191.3</v>
      </c>
    </row>
    <row r="60">
      <c r="A60" s="7" t="n">
        <v>46295.51228863426</v>
      </c>
      <c r="B60" s="7" t="n">
        <v>46295.51111111111</v>
      </c>
      <c r="C60" s="2" t="n">
        <v>434</v>
      </c>
      <c r="D60" s="2" t="n">
        <v>1</v>
      </c>
      <c r="E60" s="2" t="n">
        <v>2</v>
      </c>
      <c r="F60" s="2" t="n">
        <v>5</v>
      </c>
      <c r="G60" s="2" t="n">
        <v>188.8</v>
      </c>
    </row>
    <row r="61">
      <c r="A61" s="7" t="n">
        <v>46295.44308225694</v>
      </c>
      <c r="B61" s="7" t="n">
        <v>46295.44236111111</v>
      </c>
      <c r="C61" s="2" t="n">
        <v>433</v>
      </c>
      <c r="D61" s="2" t="n">
        <v>0</v>
      </c>
      <c r="E61" s="2" t="n">
        <v>1</v>
      </c>
      <c r="F61" s="2" t="n">
        <v>2</v>
      </c>
      <c r="G61" s="2" t="n">
        <v>167.1</v>
      </c>
    </row>
    <row r="62">
      <c r="A62" s="7" t="n">
        <v>46295.42368403935</v>
      </c>
      <c r="B62" s="7" t="n">
        <v>46295.42291666667</v>
      </c>
      <c r="C62" s="2" t="n">
        <v>433</v>
      </c>
      <c r="D62" s="2" t="n">
        <v>2</v>
      </c>
      <c r="E62" s="2" t="n">
        <v>0</v>
      </c>
      <c r="F62" s="2" t="n">
        <v>2</v>
      </c>
      <c r="G62" s="2" t="n">
        <v>150.9</v>
      </c>
    </row>
    <row r="63">
      <c r="A63" s="7" t="n">
        <v>46295.29174006944</v>
      </c>
      <c r="B63" s="7" t="n">
        <v>46295.29097222222</v>
      </c>
      <c r="C63" s="2" t="n">
        <v>433</v>
      </c>
      <c r="D63" s="2" t="n">
        <v>1</v>
      </c>
      <c r="E63" s="2" t="n">
        <v>2</v>
      </c>
      <c r="F63" s="2" t="n">
        <v>2</v>
      </c>
      <c r="G63" s="2" t="n">
        <v>191.4</v>
      </c>
    </row>
    <row r="64">
      <c r="A64" s="7" t="n">
        <v>46295.11156024306</v>
      </c>
      <c r="B64" s="7" t="n">
        <v>46295.11041666667</v>
      </c>
      <c r="C64" s="2" t="n">
        <v>433</v>
      </c>
      <c r="D64" s="2" t="n">
        <v>0</v>
      </c>
      <c r="E64" s="2" t="n">
        <v>0</v>
      </c>
      <c r="F64" s="2" t="n">
        <v>2</v>
      </c>
      <c r="G64" s="2" t="n">
        <v>185.8</v>
      </c>
    </row>
    <row r="65">
      <c r="A65" s="7" t="n">
        <v>46294.99800613426</v>
      </c>
      <c r="B65" s="7" t="n">
        <v>46294.99722222222</v>
      </c>
      <c r="C65" s="2" t="n">
        <v>433</v>
      </c>
      <c r="D65" s="2" t="n">
        <v>0</v>
      </c>
      <c r="E65" s="2" t="n">
        <v>0</v>
      </c>
      <c r="F65" s="2" t="n">
        <v>2</v>
      </c>
      <c r="G65" s="2" t="n">
        <v>153.7</v>
      </c>
    </row>
    <row r="66">
      <c r="A66" s="7" t="n">
        <v>46294.95333178241</v>
      </c>
      <c r="B66" s="7" t="n">
        <v>46294.95208333333</v>
      </c>
      <c r="C66" s="2" t="n">
        <v>433</v>
      </c>
      <c r="D66" s="2" t="n">
        <v>0</v>
      </c>
      <c r="E66" s="2" t="n">
        <v>0</v>
      </c>
      <c r="F66" s="2" t="n">
        <v>2</v>
      </c>
      <c r="G66" s="2" t="n">
        <v>177.4</v>
      </c>
    </row>
    <row r="67">
      <c r="A67" s="7" t="n">
        <v>46294.87612561342</v>
      </c>
      <c r="B67" s="7" t="n">
        <v>46294.875</v>
      </c>
      <c r="C67" s="2" t="n">
        <v>433</v>
      </c>
      <c r="D67" s="2" t="n">
        <v>1</v>
      </c>
      <c r="E67" s="2" t="n">
        <v>0</v>
      </c>
      <c r="F67" s="2" t="n">
        <v>2</v>
      </c>
      <c r="G67" s="2" t="n">
        <v>196.6</v>
      </c>
    </row>
    <row r="68">
      <c r="A68" s="7" t="n">
        <v>46294.76526767361</v>
      </c>
      <c r="B68" s="7" t="n">
        <v>46294.76388888889</v>
      </c>
      <c r="C68" s="2" t="n">
        <v>433</v>
      </c>
      <c r="D68" s="2" t="n">
        <v>0</v>
      </c>
      <c r="E68" s="2" t="n">
        <v>0</v>
      </c>
      <c r="F68" s="2" t="n">
        <v>2</v>
      </c>
      <c r="G68" s="2" t="n">
        <v>182.5</v>
      </c>
    </row>
    <row r="69">
      <c r="A69" s="7" t="n">
        <v>46294.66075324074</v>
      </c>
      <c r="B69" s="7" t="n">
        <v>46294.65972222222</v>
      </c>
      <c r="C69" s="2" t="n">
        <v>433</v>
      </c>
      <c r="D69" s="2" t="n">
        <v>0</v>
      </c>
      <c r="E69" s="2" t="n">
        <v>0</v>
      </c>
      <c r="F69" s="2" t="n">
        <v>3</v>
      </c>
      <c r="G69" s="2" t="n">
        <v>174</v>
      </c>
    </row>
    <row r="70">
      <c r="A70" s="7" t="n">
        <v>46294.57647584491</v>
      </c>
      <c r="B70" s="7" t="n">
        <v>46294.57569444444</v>
      </c>
      <c r="C70" s="2" t="n">
        <v>432</v>
      </c>
      <c r="D70" s="2" t="n">
        <v>0</v>
      </c>
      <c r="E70" s="2" t="n">
        <v>0</v>
      </c>
      <c r="F70" s="2" t="n">
        <v>0</v>
      </c>
      <c r="G70" s="2" t="n">
        <v>147.5</v>
      </c>
    </row>
    <row r="71">
      <c r="A71" s="7" t="n">
        <v>46294.46163141204</v>
      </c>
      <c r="B71" s="7" t="n">
        <v>46294.46041666667</v>
      </c>
      <c r="C71" s="2" t="n">
        <v>432</v>
      </c>
      <c r="D71" s="2" t="n">
        <v>0</v>
      </c>
      <c r="E71" s="2" t="n">
        <v>1</v>
      </c>
      <c r="F71" s="2" t="n">
        <v>0</v>
      </c>
      <c r="G71" s="2" t="n">
        <v>193.3</v>
      </c>
    </row>
    <row r="72">
      <c r="A72" s="7" t="n">
        <v>46294.30606211806</v>
      </c>
      <c r="B72" s="7" t="n">
        <v>46294.30486111111</v>
      </c>
      <c r="C72" s="2" t="n">
        <v>432</v>
      </c>
      <c r="D72" s="2" t="n">
        <v>1</v>
      </c>
      <c r="E72" s="2" t="n">
        <v>1</v>
      </c>
      <c r="F72" s="2" t="n">
        <v>0</v>
      </c>
      <c r="G72" s="2" t="n">
        <v>165.6</v>
      </c>
    </row>
    <row r="73">
      <c r="A73" s="7" t="n">
        <v>46294.07080519676</v>
      </c>
      <c r="B73" s="7" t="n">
        <v>46294.06944444445</v>
      </c>
      <c r="C73" s="2" t="n">
        <v>432</v>
      </c>
      <c r="D73" s="2" t="n">
        <v>1</v>
      </c>
      <c r="E73" s="2" t="n">
        <v>0</v>
      </c>
      <c r="F73" s="2" t="n">
        <v>0</v>
      </c>
      <c r="G73" s="2" t="n">
        <v>193.3</v>
      </c>
    </row>
    <row r="74">
      <c r="A74" s="7" t="n">
        <v>46293.99403509259</v>
      </c>
      <c r="B74" s="7" t="n">
        <v>46293.99305555555</v>
      </c>
      <c r="C74" s="2" t="n">
        <v>432</v>
      </c>
      <c r="D74" s="2" t="n">
        <v>0</v>
      </c>
      <c r="E74" s="2" t="n">
        <v>0</v>
      </c>
      <c r="F74" s="2" t="n">
        <v>0</v>
      </c>
      <c r="G74" s="2" t="n">
        <v>153.6</v>
      </c>
    </row>
    <row r="75">
      <c r="A75" s="7" t="n">
        <v>46293.9460828588</v>
      </c>
      <c r="B75" s="7" t="n">
        <v>46293.94513888889</v>
      </c>
      <c r="C75" s="2" t="n">
        <v>432</v>
      </c>
      <c r="D75" s="2" t="n">
        <v>1</v>
      </c>
      <c r="E75" s="2" t="n">
        <v>1</v>
      </c>
      <c r="F75" s="2" t="n">
        <v>0</v>
      </c>
      <c r="G75" s="2" t="n">
        <v>197.9</v>
      </c>
    </row>
    <row r="76">
      <c r="A76" s="7" t="n">
        <v>46293.85933717593</v>
      </c>
      <c r="B76" s="7" t="n">
        <v>46293.85833333333</v>
      </c>
      <c r="C76" s="2" t="n">
        <v>432</v>
      </c>
      <c r="D76" s="2" t="n">
        <v>0</v>
      </c>
      <c r="E76" s="2" t="n">
        <v>0</v>
      </c>
      <c r="F76" s="2" t="n">
        <v>0</v>
      </c>
      <c r="G76" s="2" t="n">
        <v>185</v>
      </c>
    </row>
    <row r="77">
      <c r="A77" s="7" t="n">
        <v>46293.69837709491</v>
      </c>
      <c r="B77" s="7" t="n">
        <v>46293.69722222222</v>
      </c>
      <c r="C77" s="2" t="n">
        <v>432</v>
      </c>
      <c r="D77" s="2" t="n">
        <v>0</v>
      </c>
      <c r="E77" s="2" t="n">
        <v>0</v>
      </c>
      <c r="F77" s="2" t="n">
        <v>0</v>
      </c>
      <c r="G77" s="2" t="n">
        <v>144.9</v>
      </c>
    </row>
    <row r="78">
      <c r="A78" s="7" t="n">
        <v>46293.67139270833</v>
      </c>
      <c r="B78" s="7" t="n">
        <v>46293.67013888889</v>
      </c>
      <c r="C78" s="2" t="n">
        <v>432</v>
      </c>
      <c r="D78" s="2" t="n">
        <v>1</v>
      </c>
      <c r="E78" s="2" t="n">
        <v>1</v>
      </c>
      <c r="F78" s="2" t="n">
        <v>0</v>
      </c>
      <c r="G78" s="2" t="n">
        <v>186.3</v>
      </c>
    </row>
    <row r="79">
      <c r="A79" s="7" t="n">
        <v>46293.54465268519</v>
      </c>
      <c r="B79" s="7" t="n">
        <v>46293.54375</v>
      </c>
      <c r="C79" s="2" t="n">
        <v>432</v>
      </c>
      <c r="D79" s="2" t="n">
        <v>0</v>
      </c>
      <c r="E79" s="2" t="n">
        <v>0</v>
      </c>
      <c r="F79" s="2" t="n">
        <v>0</v>
      </c>
      <c r="G79" s="2" t="n">
        <v>150</v>
      </c>
    </row>
    <row r="80">
      <c r="A80" s="7" t="n">
        <v>46293.46449744213</v>
      </c>
      <c r="B80" s="7" t="n">
        <v>46293.46319444444</v>
      </c>
      <c r="C80" s="2" t="n">
        <v>432</v>
      </c>
      <c r="D80" s="2" t="n">
        <v>2</v>
      </c>
      <c r="E80" s="2" t="n">
        <v>2</v>
      </c>
      <c r="F80" s="2" t="n">
        <v>0</v>
      </c>
      <c r="G80" s="2" t="n">
        <v>193.4</v>
      </c>
    </row>
    <row r="81">
      <c r="A81" s="7" t="n">
        <v>46293.40532865741</v>
      </c>
      <c r="B81" s="7" t="n">
        <v>46293.40416666667</v>
      </c>
      <c r="C81" s="2" t="n">
        <v>433</v>
      </c>
      <c r="D81" s="2" t="n">
        <v>1</v>
      </c>
      <c r="E81" s="2" t="n">
        <v>1</v>
      </c>
      <c r="F81" s="2" t="n">
        <v>0</v>
      </c>
      <c r="G81" s="2" t="n">
        <v>194.7</v>
      </c>
    </row>
    <row r="82">
      <c r="A82" s="7" t="n">
        <v>46293.26205886574</v>
      </c>
      <c r="B82" s="7" t="n">
        <v>46293.26111111111</v>
      </c>
      <c r="C82" s="2" t="n">
        <v>433</v>
      </c>
      <c r="D82" s="2" t="n">
        <v>0</v>
      </c>
      <c r="E82" s="2" t="n">
        <v>0</v>
      </c>
      <c r="F82" s="2" t="n">
        <v>0</v>
      </c>
      <c r="G82" s="2" t="n">
        <v>178</v>
      </c>
    </row>
    <row r="83">
      <c r="A83" s="7" t="n">
        <v>46293.12570534722</v>
      </c>
      <c r="B83" s="7" t="n">
        <v>46293.125</v>
      </c>
      <c r="C83" s="2" t="n">
        <v>433</v>
      </c>
      <c r="D83" s="2" t="n">
        <v>0</v>
      </c>
      <c r="E83" s="2" t="n">
        <v>0</v>
      </c>
      <c r="F83" s="2" t="n">
        <v>0</v>
      </c>
      <c r="G83" s="2" t="n">
        <v>193.1</v>
      </c>
    </row>
    <row r="84">
      <c r="A84" s="7" t="n">
        <v>46293.08172232639</v>
      </c>
      <c r="B84" s="7" t="n">
        <v>46293.08055555556</v>
      </c>
      <c r="C84" s="2" t="n">
        <v>433</v>
      </c>
      <c r="D84" s="2" t="n">
        <v>0</v>
      </c>
      <c r="E84" s="2" t="n">
        <v>0</v>
      </c>
      <c r="F84" s="2" t="n">
        <v>0</v>
      </c>
      <c r="G84" s="2" t="n">
        <v>148.9</v>
      </c>
    </row>
    <row r="85">
      <c r="A85" s="7" t="n">
        <v>46292.9814453588</v>
      </c>
      <c r="B85" s="7" t="n">
        <v>46292.98055555556</v>
      </c>
      <c r="C85" s="2" t="n">
        <v>433</v>
      </c>
      <c r="D85" s="2" t="n">
        <v>0</v>
      </c>
      <c r="E85" s="2" t="n">
        <v>1</v>
      </c>
      <c r="F85" s="2" t="n">
        <v>0</v>
      </c>
      <c r="G85" s="2" t="n">
        <v>186</v>
      </c>
    </row>
    <row r="86">
      <c r="A86" s="7" t="n">
        <v>46292.9472603125</v>
      </c>
      <c r="B86" s="7" t="n">
        <v>46292.94652777778</v>
      </c>
      <c r="C86" s="2" t="n">
        <v>433</v>
      </c>
      <c r="D86" s="2" t="n">
        <v>1</v>
      </c>
      <c r="E86" s="2" t="n">
        <v>0</v>
      </c>
      <c r="F86" s="2" t="n">
        <v>0</v>
      </c>
      <c r="G86" s="2" t="n">
        <v>192.1</v>
      </c>
    </row>
    <row r="87">
      <c r="A87" s="7" t="n">
        <v>46292.919814375</v>
      </c>
      <c r="B87" s="7" t="n">
        <v>46292.91875</v>
      </c>
      <c r="C87" s="2" t="n">
        <v>433</v>
      </c>
      <c r="D87" s="2" t="n">
        <v>1</v>
      </c>
      <c r="E87" s="2" t="n">
        <v>1</v>
      </c>
      <c r="F87" s="2" t="n">
        <v>0</v>
      </c>
      <c r="G87" s="2" t="n">
        <v>192.5</v>
      </c>
    </row>
    <row r="88">
      <c r="A88" s="7" t="n">
        <v>46292.81065981482</v>
      </c>
      <c r="B88" s="7" t="n">
        <v>46292.80972222222</v>
      </c>
      <c r="C88" s="2" t="n">
        <v>433</v>
      </c>
      <c r="D88" s="2" t="n">
        <v>1</v>
      </c>
      <c r="E88" s="2" t="n">
        <v>1</v>
      </c>
      <c r="F88" s="2" t="n">
        <v>0</v>
      </c>
      <c r="G88" s="2" t="n">
        <v>177.2</v>
      </c>
    </row>
    <row r="89">
      <c r="A89" s="7" t="n">
        <v>46292.73704342593</v>
      </c>
      <c r="B89" s="7" t="n">
        <v>46292.73611111111</v>
      </c>
      <c r="C89" s="2" t="n">
        <v>433</v>
      </c>
      <c r="D89" s="2" t="n">
        <v>0</v>
      </c>
      <c r="E89" s="2" t="n">
        <v>1</v>
      </c>
      <c r="F89" s="2" t="n">
        <v>0</v>
      </c>
      <c r="G89" s="2" t="n">
        <v>147.3</v>
      </c>
    </row>
    <row r="90">
      <c r="A90" s="7" t="n">
        <v>46292.67926077546</v>
      </c>
      <c r="B90" s="7" t="n">
        <v>46292.67847222222</v>
      </c>
      <c r="C90" s="2" t="n">
        <v>433</v>
      </c>
      <c r="D90" s="2" t="n">
        <v>1</v>
      </c>
      <c r="E90" s="2" t="n">
        <v>0</v>
      </c>
      <c r="F90" s="2" t="n">
        <v>0</v>
      </c>
      <c r="G90" s="2" t="n">
        <v>197.6</v>
      </c>
    </row>
    <row r="91">
      <c r="A91" s="7" t="n">
        <v>46292.6274472338</v>
      </c>
      <c r="B91" s="7" t="n">
        <v>46292.62638888889</v>
      </c>
      <c r="C91" s="2" t="n">
        <v>433</v>
      </c>
      <c r="D91" s="2" t="n">
        <v>0</v>
      </c>
      <c r="E91" s="2" t="n">
        <v>0</v>
      </c>
      <c r="F91" s="2" t="n">
        <v>0</v>
      </c>
      <c r="G91" s="2" t="n">
        <v>192.4</v>
      </c>
    </row>
    <row r="92">
      <c r="A92" s="7" t="n">
        <v>46292.50599667824</v>
      </c>
      <c r="B92" s="7" t="n">
        <v>46292.50486111111</v>
      </c>
      <c r="C92" s="2" t="n">
        <v>433</v>
      </c>
      <c r="D92" s="2" t="n">
        <v>0</v>
      </c>
      <c r="E92" s="2" t="n">
        <v>0</v>
      </c>
      <c r="F92" s="2" t="n">
        <v>0</v>
      </c>
      <c r="G92" s="2" t="n">
        <v>191.3</v>
      </c>
    </row>
    <row r="93">
      <c r="A93" s="7" t="n">
        <v>46292.39740747685</v>
      </c>
      <c r="B93" s="7" t="n">
        <v>46292.39652777778</v>
      </c>
      <c r="C93" s="2" t="n">
        <v>433</v>
      </c>
      <c r="D93" s="2" t="n">
        <v>0</v>
      </c>
      <c r="E93" s="2" t="n">
        <v>0</v>
      </c>
      <c r="F93" s="2" t="n">
        <v>0</v>
      </c>
      <c r="G93" s="2" t="n">
        <v>150.9</v>
      </c>
    </row>
    <row r="94">
      <c r="A94" s="7" t="n">
        <v>46292.28951247685</v>
      </c>
      <c r="B94" s="7" t="n">
        <v>46292.28819444445</v>
      </c>
      <c r="C94" s="2" t="n">
        <v>433</v>
      </c>
      <c r="D94" s="2" t="n">
        <v>0</v>
      </c>
      <c r="E94" s="2" t="n">
        <v>0</v>
      </c>
      <c r="F94" s="2" t="n">
        <v>0</v>
      </c>
      <c r="G94" s="2" t="n">
        <v>163.9</v>
      </c>
    </row>
    <row r="95">
      <c r="A95" s="7" t="n">
        <v>46292.28563091435</v>
      </c>
      <c r="B95" s="7" t="n">
        <v>46292.28472222222</v>
      </c>
      <c r="C95" s="2" t="n">
        <v>433</v>
      </c>
      <c r="D95" s="2" t="n">
        <v>0</v>
      </c>
      <c r="E95" s="2" t="n">
        <v>0</v>
      </c>
      <c r="F95" s="2" t="n">
        <v>0</v>
      </c>
      <c r="G95" s="2" t="n">
        <v>186.1</v>
      </c>
    </row>
    <row r="96">
      <c r="A96" s="7" t="n">
        <v>46292.16453692129</v>
      </c>
      <c r="B96" s="7" t="n">
        <v>46292.16319444445</v>
      </c>
      <c r="C96" s="2" t="n">
        <v>433</v>
      </c>
      <c r="D96" s="2" t="n">
        <v>0</v>
      </c>
      <c r="E96" s="2" t="n">
        <v>0</v>
      </c>
      <c r="F96" s="2" t="n">
        <v>0</v>
      </c>
      <c r="G96" s="2" t="n">
        <v>183.8</v>
      </c>
    </row>
    <row r="97">
      <c r="A97" s="7" t="n">
        <v>46292.05207142361</v>
      </c>
      <c r="B97" s="7" t="n">
        <v>46292.05069444444</v>
      </c>
      <c r="C97" s="2" t="n">
        <v>433</v>
      </c>
      <c r="D97" s="2" t="n">
        <v>0</v>
      </c>
      <c r="E97" s="2" t="n">
        <v>1</v>
      </c>
      <c r="F97" s="2" t="n">
        <v>0</v>
      </c>
      <c r="G97" s="2" t="n">
        <v>160.8</v>
      </c>
    </row>
    <row r="98">
      <c r="A98" s="7" t="n">
        <v>46291.98017201389</v>
      </c>
      <c r="B98" s="7" t="n">
        <v>46291.97916666666</v>
      </c>
      <c r="C98" s="2" t="n">
        <v>433</v>
      </c>
      <c r="D98" s="2" t="n">
        <v>1</v>
      </c>
      <c r="E98" s="2" t="n">
        <v>1</v>
      </c>
      <c r="F98" s="2" t="n">
        <v>0</v>
      </c>
      <c r="G98" s="2" t="n">
        <v>148.2</v>
      </c>
    </row>
    <row r="99">
      <c r="A99" s="7" t="n">
        <v>46291.93749069444</v>
      </c>
      <c r="B99" s="7" t="n">
        <v>46291.93611111111</v>
      </c>
      <c r="C99" s="2" t="n">
        <v>433</v>
      </c>
      <c r="D99" s="2" t="n">
        <v>1</v>
      </c>
      <c r="E99" s="2" t="n">
        <v>0</v>
      </c>
      <c r="F99" s="2" t="n">
        <v>0</v>
      </c>
      <c r="G99" s="2" t="n">
        <v>163.1</v>
      </c>
    </row>
    <row r="100">
      <c r="A100" s="7" t="n">
        <v>46291.88266193287</v>
      </c>
      <c r="B100" s="7" t="n">
        <v>46291.88194444445</v>
      </c>
      <c r="C100" s="2" t="n">
        <v>433</v>
      </c>
      <c r="D100" s="2" t="n">
        <v>0</v>
      </c>
      <c r="E100" s="2" t="n">
        <v>0</v>
      </c>
      <c r="F100" s="2" t="n">
        <v>0</v>
      </c>
      <c r="G100" s="2" t="n">
        <v>140.5</v>
      </c>
    </row>
    <row r="101">
      <c r="A101" s="7" t="n">
        <v>46291.83751681713</v>
      </c>
      <c r="B101" s="7" t="n">
        <v>46291.83680555555</v>
      </c>
      <c r="C101" s="2" t="n">
        <v>433</v>
      </c>
      <c r="D101" s="2" t="n">
        <v>0</v>
      </c>
      <c r="E101" s="2" t="n">
        <v>0</v>
      </c>
      <c r="F101" s="2" t="n">
        <v>0</v>
      </c>
      <c r="G101" s="2" t="n">
        <v>186.6</v>
      </c>
    </row>
    <row r="102">
      <c r="A102" s="7" t="n">
        <v>46291.78589450232</v>
      </c>
      <c r="B102" s="7" t="n">
        <v>46291.78472222222</v>
      </c>
      <c r="C102" s="2" t="n">
        <v>433</v>
      </c>
      <c r="D102" s="2" t="n">
        <v>1</v>
      </c>
      <c r="E102" s="2" t="n">
        <v>1</v>
      </c>
      <c r="F102" s="2" t="n">
        <v>0</v>
      </c>
      <c r="G102" s="2" t="n">
        <v>157.8</v>
      </c>
    </row>
    <row r="103">
      <c r="A103" s="7" t="n">
        <v>46291.65882908565</v>
      </c>
      <c r="B103" s="7" t="n">
        <v>46291.65763888889</v>
      </c>
      <c r="C103" s="2" t="n">
        <v>433</v>
      </c>
      <c r="D103" s="2" t="n">
        <v>0</v>
      </c>
      <c r="E103" s="2" t="n">
        <v>1</v>
      </c>
      <c r="F103" s="2" t="n">
        <v>0</v>
      </c>
      <c r="G103" s="2" t="n">
        <v>175.7</v>
      </c>
    </row>
    <row r="104">
      <c r="A104" s="7" t="n">
        <v>46291.63896155093</v>
      </c>
      <c r="B104" s="7" t="n">
        <v>46291.63819444444</v>
      </c>
      <c r="C104" s="2" t="n">
        <v>433</v>
      </c>
      <c r="D104" s="2" t="n">
        <v>0</v>
      </c>
      <c r="E104" s="2" t="n">
        <v>0</v>
      </c>
      <c r="F104" s="2" t="n">
        <v>0</v>
      </c>
      <c r="G104" s="2" t="n">
        <v>177.9</v>
      </c>
    </row>
    <row r="105">
      <c r="A105" s="7" t="n">
        <v>46291.63155474537</v>
      </c>
      <c r="B105" s="7" t="n">
        <v>46291.63055555556</v>
      </c>
      <c r="C105" s="2" t="n">
        <v>433</v>
      </c>
      <c r="D105" s="2" t="n">
        <v>2</v>
      </c>
      <c r="E105" s="2" t="n">
        <v>1</v>
      </c>
      <c r="F105" s="2" t="n">
        <v>0</v>
      </c>
      <c r="G105" s="2" t="n">
        <v>172.6</v>
      </c>
    </row>
    <row r="106">
      <c r="A106" s="7" t="n">
        <v>46291.58748165509</v>
      </c>
      <c r="B106" s="7" t="n">
        <v>46291.58611111111</v>
      </c>
      <c r="C106" s="2" t="n">
        <v>433</v>
      </c>
      <c r="D106" s="2" t="n">
        <v>0</v>
      </c>
      <c r="E106" s="2" t="n">
        <v>0</v>
      </c>
      <c r="F106" s="2" t="n">
        <v>0</v>
      </c>
      <c r="G106" s="2" t="n">
        <v>148</v>
      </c>
    </row>
    <row r="107">
      <c r="A107" s="7" t="n">
        <v>46291.52177836806</v>
      </c>
      <c r="B107" s="7" t="n">
        <v>46291.52083333334</v>
      </c>
      <c r="C107" s="2" t="n">
        <v>433</v>
      </c>
      <c r="D107" s="2" t="n">
        <v>0</v>
      </c>
      <c r="E107" s="2" t="n">
        <v>0</v>
      </c>
      <c r="F107" s="2" t="n">
        <v>0</v>
      </c>
      <c r="G107" s="2" t="n">
        <v>187.5</v>
      </c>
    </row>
    <row r="108">
      <c r="A108" s="7" t="n">
        <v>46291.40186751157</v>
      </c>
      <c r="B108" s="7" t="n">
        <v>46291.40069444444</v>
      </c>
      <c r="C108" s="2" t="n">
        <v>433</v>
      </c>
      <c r="D108" s="2" t="n">
        <v>0</v>
      </c>
      <c r="E108" s="2" t="n">
        <v>0</v>
      </c>
      <c r="F108" s="2" t="n">
        <v>0</v>
      </c>
      <c r="G108" s="2" t="n">
        <v>188.1</v>
      </c>
    </row>
    <row r="109">
      <c r="A109" s="7" t="n">
        <v>46291.36540915509</v>
      </c>
      <c r="B109" s="7" t="n">
        <v>46291.36458333334</v>
      </c>
      <c r="C109" s="2" t="n">
        <v>433</v>
      </c>
      <c r="D109" s="2" t="n">
        <v>0</v>
      </c>
      <c r="E109" s="2" t="n">
        <v>0</v>
      </c>
      <c r="F109" s="2" t="n">
        <v>0</v>
      </c>
      <c r="G109" s="2" t="n">
        <v>163.5</v>
      </c>
    </row>
    <row r="110">
      <c r="A110" s="7" t="n">
        <v>46291.26887001158</v>
      </c>
      <c r="B110" s="7" t="n">
        <v>46291.26805555556</v>
      </c>
      <c r="C110" s="2" t="n">
        <v>433</v>
      </c>
      <c r="D110" s="2" t="n">
        <v>0</v>
      </c>
      <c r="E110" s="2" t="n">
        <v>0</v>
      </c>
      <c r="F110" s="2" t="n">
        <v>0</v>
      </c>
      <c r="G110" s="2" t="n">
        <v>184.5</v>
      </c>
    </row>
    <row r="111">
      <c r="A111" s="7" t="n">
        <v>46291.2560487963</v>
      </c>
      <c r="B111" s="7" t="n">
        <v>46291.25486111111</v>
      </c>
      <c r="C111" s="2" t="n">
        <v>433</v>
      </c>
      <c r="D111" s="2" t="n">
        <v>0</v>
      </c>
      <c r="E111" s="2" t="n">
        <v>0</v>
      </c>
      <c r="F111" s="2" t="n">
        <v>0</v>
      </c>
      <c r="G111" s="2" t="n">
        <v>191.6</v>
      </c>
    </row>
    <row r="112">
      <c r="A112" s="7" t="n">
        <v>46291.11246790509</v>
      </c>
      <c r="B112" s="7" t="n">
        <v>46291.11111111111</v>
      </c>
      <c r="C112" s="2" t="n">
        <v>433</v>
      </c>
      <c r="D112" s="2" t="n">
        <v>1</v>
      </c>
      <c r="E112" s="2" t="n">
        <v>1</v>
      </c>
      <c r="F112" s="2" t="n">
        <v>0</v>
      </c>
      <c r="G112" s="2" t="n">
        <v>182.3</v>
      </c>
    </row>
    <row r="113">
      <c r="A113" s="7" t="n">
        <v>46291.02308788194</v>
      </c>
      <c r="B113" s="7" t="n">
        <v>46291.02222222222</v>
      </c>
      <c r="C113" s="2" t="n">
        <v>433</v>
      </c>
      <c r="D113" s="2" t="n">
        <v>2</v>
      </c>
      <c r="E113" s="2" t="n">
        <v>2</v>
      </c>
      <c r="F113" s="2" t="n">
        <v>0</v>
      </c>
      <c r="G113" s="2" t="n">
        <v>140.5</v>
      </c>
    </row>
    <row r="114">
      <c r="A114" s="7" t="n">
        <v>46290.9990443287</v>
      </c>
      <c r="B114" s="7" t="n">
        <v>46290.99791666667</v>
      </c>
      <c r="C114" s="2" t="n">
        <v>433</v>
      </c>
      <c r="D114" s="2" t="n">
        <v>1</v>
      </c>
      <c r="E114" s="2" t="n">
        <v>1</v>
      </c>
      <c r="F114" s="2" t="n">
        <v>0</v>
      </c>
      <c r="G114" s="2" t="n">
        <v>197.5</v>
      </c>
    </row>
    <row r="115">
      <c r="A115" s="7" t="n">
        <v>46290.91267655093</v>
      </c>
      <c r="B115" s="7" t="n">
        <v>46290.91180555556</v>
      </c>
      <c r="C115" s="2" t="n">
        <v>433</v>
      </c>
      <c r="D115" s="2" t="n">
        <v>1</v>
      </c>
      <c r="E115" s="2" t="n">
        <v>1</v>
      </c>
      <c r="F115" s="2" t="n">
        <v>0</v>
      </c>
      <c r="G115" s="2" t="n">
        <v>193.4</v>
      </c>
    </row>
    <row r="116">
      <c r="A116" s="7" t="n">
        <v>46290.82088560185</v>
      </c>
      <c r="B116" s="7" t="n">
        <v>46290.82013888889</v>
      </c>
      <c r="C116" s="2" t="n">
        <v>433</v>
      </c>
      <c r="D116" s="2" t="n">
        <v>0</v>
      </c>
      <c r="E116" s="2" t="n">
        <v>0</v>
      </c>
      <c r="F116" s="2" t="n">
        <v>0</v>
      </c>
      <c r="G116" s="2" t="n">
        <v>174.9</v>
      </c>
    </row>
    <row r="117">
      <c r="A117" s="7" t="n">
        <v>46290.76820827546</v>
      </c>
      <c r="B117" s="7" t="n">
        <v>46290.76736111111</v>
      </c>
      <c r="C117" s="2" t="n">
        <v>433</v>
      </c>
      <c r="D117" s="2" t="n">
        <v>0</v>
      </c>
      <c r="E117" s="2" t="n">
        <v>1</v>
      </c>
      <c r="F117" s="2" t="n">
        <v>0</v>
      </c>
      <c r="G117" s="2" t="n">
        <v>187</v>
      </c>
    </row>
    <row r="118">
      <c r="A118" s="7" t="n">
        <v>46290.709303125</v>
      </c>
      <c r="B118" s="7" t="n">
        <v>46290.70833333334</v>
      </c>
      <c r="C118" s="2" t="n">
        <v>433</v>
      </c>
      <c r="D118" s="2" t="n">
        <v>1</v>
      </c>
      <c r="E118" s="2" t="n">
        <v>1</v>
      </c>
      <c r="F118" s="2" t="n">
        <v>0</v>
      </c>
      <c r="G118" s="2" t="n">
        <v>187.6</v>
      </c>
    </row>
    <row r="119">
      <c r="A119" s="7" t="n">
        <v>46290.66382769676</v>
      </c>
      <c r="B119" s="7" t="n">
        <v>46290.6625</v>
      </c>
      <c r="C119" s="2" t="n">
        <v>433</v>
      </c>
      <c r="D119" s="2" t="n">
        <v>1</v>
      </c>
      <c r="E119" s="2" t="n">
        <v>0</v>
      </c>
      <c r="F119" s="2" t="n">
        <v>0</v>
      </c>
      <c r="G119" s="2" t="n">
        <v>185.1</v>
      </c>
    </row>
    <row r="120">
      <c r="A120" s="7" t="n">
        <v>46290.61757802084</v>
      </c>
      <c r="B120" s="7" t="n">
        <v>46290.61666666667</v>
      </c>
      <c r="C120" s="2" t="n">
        <v>433</v>
      </c>
      <c r="D120" s="2" t="n">
        <v>0</v>
      </c>
      <c r="E120" s="2" t="n">
        <v>1</v>
      </c>
      <c r="F120" s="2" t="n">
        <v>0</v>
      </c>
      <c r="G120" s="2" t="n">
        <v>178.9</v>
      </c>
    </row>
    <row r="121">
      <c r="A121" s="7" t="n">
        <v>46290.55632820602</v>
      </c>
      <c r="B121" s="7" t="n">
        <v>46290.55555555555</v>
      </c>
      <c r="C121" s="2" t="n">
        <v>433</v>
      </c>
      <c r="D121" s="2" t="n">
        <v>1</v>
      </c>
      <c r="E121" s="2" t="n">
        <v>0</v>
      </c>
      <c r="F121" s="2" t="n">
        <v>0</v>
      </c>
      <c r="G121" s="2" t="n">
        <v>179.4</v>
      </c>
    </row>
    <row r="122">
      <c r="A122" s="7" t="n">
        <v>46290.50409561343</v>
      </c>
      <c r="B122" s="7" t="n">
        <v>46290.50277777778</v>
      </c>
      <c r="C122" s="2" t="n">
        <v>433</v>
      </c>
      <c r="D122" s="2" t="n">
        <v>1</v>
      </c>
      <c r="E122" s="2" t="n">
        <v>2</v>
      </c>
      <c r="F122" s="2" t="n">
        <v>0</v>
      </c>
      <c r="G122" s="2" t="n">
        <v>174.5</v>
      </c>
    </row>
    <row r="123">
      <c r="A123" s="7" t="n">
        <v>46290.39966920139</v>
      </c>
      <c r="B123" s="7" t="n">
        <v>46290.39861111111</v>
      </c>
      <c r="C123" s="2" t="n">
        <v>433</v>
      </c>
      <c r="D123" s="2" t="n">
        <v>0</v>
      </c>
      <c r="E123" s="2" t="n">
        <v>0</v>
      </c>
      <c r="F123" s="2" t="n">
        <v>0</v>
      </c>
      <c r="G123" s="2" t="n">
        <v>189.8</v>
      </c>
    </row>
    <row r="124">
      <c r="A124" s="7" t="n">
        <v>46290.3483633912</v>
      </c>
      <c r="B124" s="7" t="n">
        <v>46290.34722222222</v>
      </c>
      <c r="C124" s="2" t="n">
        <v>433</v>
      </c>
      <c r="D124" s="2" t="n">
        <v>1</v>
      </c>
      <c r="E124" s="2" t="n">
        <v>1</v>
      </c>
      <c r="F124" s="2" t="n">
        <v>0</v>
      </c>
      <c r="G124" s="2" t="n">
        <v>163.4</v>
      </c>
    </row>
    <row r="125">
      <c r="A125" s="7" t="n">
        <v>46290.27195019676</v>
      </c>
      <c r="B125" s="7" t="n">
        <v>46290.27083333334</v>
      </c>
      <c r="C125" s="2" t="n">
        <v>433</v>
      </c>
      <c r="D125" s="2" t="n">
        <v>0</v>
      </c>
      <c r="E125" s="2" t="n">
        <v>1</v>
      </c>
      <c r="F125" s="2" t="n">
        <v>1</v>
      </c>
      <c r="G125" s="2" t="n">
        <v>182.9</v>
      </c>
    </row>
    <row r="126">
      <c r="A126" s="7" t="n">
        <v>46290.13587655093</v>
      </c>
      <c r="B126" s="7" t="n">
        <v>46290.13472222222</v>
      </c>
      <c r="C126" s="2" t="n">
        <v>433</v>
      </c>
      <c r="D126" s="2" t="n">
        <v>0</v>
      </c>
      <c r="E126" s="2" t="n">
        <v>0</v>
      </c>
      <c r="F126" s="2" t="n">
        <v>1</v>
      </c>
      <c r="G126" s="2" t="n">
        <v>191.6</v>
      </c>
    </row>
    <row r="127">
      <c r="A127" s="7" t="n">
        <v>46290.02908936342</v>
      </c>
      <c r="B127" s="7" t="n">
        <v>46290.02777777778</v>
      </c>
      <c r="C127" s="2" t="n">
        <v>433</v>
      </c>
      <c r="D127" s="2" t="n">
        <v>2</v>
      </c>
      <c r="E127" s="2" t="n">
        <v>2</v>
      </c>
      <c r="F127" s="2" t="n">
        <v>1</v>
      </c>
      <c r="G127" s="2" t="n">
        <v>166.2</v>
      </c>
    </row>
    <row r="128">
      <c r="A128" s="7" t="n">
        <v>46289.96715996528</v>
      </c>
      <c r="B128" s="7" t="n">
        <v>46289.96597222222</v>
      </c>
      <c r="C128" s="2" t="n">
        <v>433</v>
      </c>
      <c r="D128" s="2" t="n">
        <v>0</v>
      </c>
      <c r="E128" s="2" t="n">
        <v>0</v>
      </c>
      <c r="F128" s="2" t="n">
        <v>1</v>
      </c>
      <c r="G128" s="2" t="n">
        <v>190.1</v>
      </c>
    </row>
    <row r="129">
      <c r="A129" s="7" t="n">
        <v>46289.95004011574</v>
      </c>
      <c r="B129" s="7" t="n">
        <v>46289.94930555556</v>
      </c>
      <c r="C129" s="2" t="n">
        <v>433</v>
      </c>
      <c r="D129" s="2" t="n">
        <v>1</v>
      </c>
      <c r="E129" s="2" t="n">
        <v>0</v>
      </c>
      <c r="F129" s="2" t="n">
        <v>1</v>
      </c>
      <c r="G129" s="2" t="n">
        <v>178.4</v>
      </c>
    </row>
    <row r="130">
      <c r="A130" s="7" t="n">
        <v>46289.94135959491</v>
      </c>
      <c r="B130" s="7" t="n">
        <v>46289.94027777778</v>
      </c>
      <c r="C130" s="2" t="n">
        <v>433</v>
      </c>
      <c r="D130" s="2" t="n">
        <v>0</v>
      </c>
      <c r="E130" s="2" t="n">
        <v>0</v>
      </c>
      <c r="F130" s="2" t="n">
        <v>1</v>
      </c>
      <c r="G130" s="2" t="n">
        <v>183.8</v>
      </c>
    </row>
    <row r="131">
      <c r="A131" s="7" t="n">
        <v>46289.92565313658</v>
      </c>
      <c r="B131" s="7" t="n">
        <v>46289.92430555556</v>
      </c>
      <c r="C131" s="2" t="n">
        <v>433</v>
      </c>
      <c r="D131" s="2" t="n">
        <v>4</v>
      </c>
      <c r="E131" s="2" t="n">
        <v>3</v>
      </c>
      <c r="F131" s="2" t="n">
        <v>1</v>
      </c>
      <c r="G131" s="2" t="n">
        <v>226.2</v>
      </c>
    </row>
    <row r="132">
      <c r="A132" s="7" t="n">
        <v>46289.84896370371</v>
      </c>
      <c r="B132" s="7" t="n">
        <v>46289.84791666667</v>
      </c>
      <c r="C132" s="2" t="n">
        <v>433</v>
      </c>
      <c r="D132" s="2" t="n">
        <v>3</v>
      </c>
      <c r="E132" s="2" t="n">
        <v>1</v>
      </c>
      <c r="F132" s="2" t="n">
        <v>1</v>
      </c>
      <c r="G132" s="2" t="n">
        <v>147.5</v>
      </c>
    </row>
    <row r="133">
      <c r="A133" s="7" t="n">
        <v>46289.78526427083</v>
      </c>
      <c r="B133" s="7" t="n">
        <v>46289.78402777778</v>
      </c>
      <c r="C133" s="2" t="n">
        <v>433</v>
      </c>
      <c r="D133" s="2" t="n">
        <v>3</v>
      </c>
      <c r="E133" s="2" t="n">
        <v>2</v>
      </c>
      <c r="F133" s="2" t="n">
        <v>1</v>
      </c>
      <c r="G133" s="2" t="n">
        <v>186.8</v>
      </c>
    </row>
    <row r="134">
      <c r="A134" s="7" t="n">
        <v>46289.75543116898</v>
      </c>
      <c r="B134" s="7" t="n">
        <v>46289.75</v>
      </c>
      <c r="C134" s="2" t="n">
        <v>433</v>
      </c>
      <c r="D134" s="2" t="n">
        <v>0</v>
      </c>
      <c r="E134" s="2" t="n">
        <v>0</v>
      </c>
      <c r="F134" s="2" t="n">
        <v>1</v>
      </c>
      <c r="G134" s="2" t="n">
        <v>109.8</v>
      </c>
    </row>
    <row r="135">
      <c r="A135" s="7" t="n">
        <v>46289.54138961805</v>
      </c>
      <c r="B135" s="7" t="n">
        <v>46289.53472222222</v>
      </c>
      <c r="C135" s="2" t="n">
        <v>433</v>
      </c>
      <c r="D135" s="2" t="n">
        <v>0</v>
      </c>
      <c r="E135" s="2" t="n">
        <v>0</v>
      </c>
      <c r="F135" s="2" t="n">
        <v>1</v>
      </c>
      <c r="G135" s="2" t="n">
        <v>125.8</v>
      </c>
    </row>
    <row r="136">
      <c r="A136" s="7" t="n">
        <v>46289.32358565972</v>
      </c>
      <c r="B136" s="7" t="n">
        <v>46289.31944444445</v>
      </c>
      <c r="C136" s="2" t="n">
        <v>433</v>
      </c>
      <c r="D136" s="2" t="n">
        <v>0</v>
      </c>
      <c r="E136" s="2" t="n">
        <v>0</v>
      </c>
      <c r="F136" s="2" t="n">
        <v>1</v>
      </c>
      <c r="G136" s="2" t="n">
        <v>130.2</v>
      </c>
    </row>
    <row r="137">
      <c r="A137" s="7" t="n">
        <v>46289.18599210648</v>
      </c>
      <c r="B137" s="7" t="n">
        <v>46289.18055555555</v>
      </c>
      <c r="C137" s="2" t="n">
        <v>433</v>
      </c>
      <c r="D137" s="2" t="n">
        <v>0</v>
      </c>
      <c r="E137" s="2" t="n">
        <v>0</v>
      </c>
      <c r="F137" s="2" t="n">
        <v>1</v>
      </c>
      <c r="G137" s="2" t="n">
        <v>129.3</v>
      </c>
    </row>
    <row r="138">
      <c r="A138" s="7" t="n">
        <v>46289.04908521991</v>
      </c>
      <c r="B138" s="7" t="n">
        <v>46289.04513888889</v>
      </c>
      <c r="C138" s="2" t="n">
        <v>433</v>
      </c>
      <c r="D138" s="2" t="n">
        <v>0</v>
      </c>
      <c r="E138" s="2" t="n">
        <v>0</v>
      </c>
      <c r="F138" s="2" t="n">
        <v>1</v>
      </c>
      <c r="G138" s="2" t="n">
        <v>96.90000000000001</v>
      </c>
    </row>
    <row r="139">
      <c r="A139" s="7" t="n">
        <v>46289.00944646991</v>
      </c>
      <c r="B139" s="7" t="n">
        <v>46289.00347222222</v>
      </c>
      <c r="C139" s="2" t="n">
        <v>433</v>
      </c>
      <c r="D139" s="2" t="n">
        <v>0</v>
      </c>
      <c r="E139" s="2" t="n">
        <v>0</v>
      </c>
      <c r="F139" s="2" t="n">
        <v>1</v>
      </c>
      <c r="G139" s="2" t="n">
        <v>127</v>
      </c>
    </row>
    <row r="140">
      <c r="A140" s="7" t="n">
        <v>46288.82408041666</v>
      </c>
      <c r="B140" s="7" t="n">
        <v>46288.81944444445</v>
      </c>
      <c r="C140" s="2" t="n">
        <v>433</v>
      </c>
      <c r="D140" s="2" t="n">
        <v>0</v>
      </c>
      <c r="E140" s="2" t="n">
        <v>0</v>
      </c>
      <c r="F140" s="2" t="n">
        <v>2</v>
      </c>
      <c r="G140" s="2" t="n">
        <v>118.2</v>
      </c>
    </row>
    <row r="141">
      <c r="A141" s="7" t="n">
        <v>46288.75275025463</v>
      </c>
      <c r="B141" s="7" t="n">
        <v>46288.74652777778</v>
      </c>
      <c r="C141" s="2" t="n">
        <v>433</v>
      </c>
      <c r="D141" s="2" t="n">
        <v>0</v>
      </c>
      <c r="E141" s="2" t="n">
        <v>0</v>
      </c>
      <c r="F141" s="2" t="n">
        <v>2</v>
      </c>
      <c r="G141" s="2" t="n">
        <v>125.5</v>
      </c>
    </row>
    <row r="142">
      <c r="A142" s="7" t="n">
        <v>46288.58577883102</v>
      </c>
      <c r="B142" s="7" t="n">
        <v>46288.57986111111</v>
      </c>
      <c r="C142" s="2" t="n">
        <v>433</v>
      </c>
      <c r="D142" s="2" t="n">
        <v>0</v>
      </c>
      <c r="E142" s="2" t="n">
        <v>0</v>
      </c>
      <c r="F142" s="2" t="n">
        <v>2</v>
      </c>
      <c r="G142" s="2" t="n">
        <v>112.8</v>
      </c>
    </row>
    <row r="143">
      <c r="A143" s="7" t="n">
        <v>46288.57218969907</v>
      </c>
      <c r="B143" s="7" t="n">
        <v>46288.56597222222</v>
      </c>
      <c r="C143" s="2" t="n">
        <v>433</v>
      </c>
      <c r="D143" s="2" t="n">
        <v>0</v>
      </c>
      <c r="E143" s="2" t="n">
        <v>0</v>
      </c>
      <c r="F143" s="2" t="n">
        <v>2</v>
      </c>
      <c r="G143" s="2" t="n">
        <v>99.7</v>
      </c>
    </row>
    <row r="144">
      <c r="A144" s="7" t="n">
        <v>46288.36332482639</v>
      </c>
      <c r="B144" s="7" t="n">
        <v>46288.35763888889</v>
      </c>
      <c r="C144" s="2" t="n">
        <v>441</v>
      </c>
      <c r="D144" s="2" t="n">
        <v>0</v>
      </c>
      <c r="E144" s="2" t="n">
        <v>0</v>
      </c>
      <c r="F144" s="2" t="n">
        <v>2</v>
      </c>
      <c r="G144" s="2" t="n">
        <v>94.40000000000001</v>
      </c>
    </row>
    <row r="145">
      <c r="A145" s="7" t="n">
        <v>46288.26120461806</v>
      </c>
      <c r="B145" s="7" t="n">
        <v>46288.25694444445</v>
      </c>
      <c r="C145" s="2" t="n">
        <v>441</v>
      </c>
      <c r="D145" s="2" t="n">
        <v>0</v>
      </c>
      <c r="E145" s="2" t="n">
        <v>0</v>
      </c>
      <c r="F145" s="2" t="n">
        <v>2</v>
      </c>
      <c r="G145" s="2" t="n">
        <v>103.1</v>
      </c>
    </row>
    <row r="146">
      <c r="A146" s="7" t="n">
        <v>46288.12397528935</v>
      </c>
      <c r="B146" s="7" t="n">
        <v>46288.11805555555</v>
      </c>
      <c r="C146" s="2" t="n">
        <v>441</v>
      </c>
      <c r="D146" s="2" t="n">
        <v>0</v>
      </c>
      <c r="E146" s="2" t="n">
        <v>0</v>
      </c>
      <c r="F146" s="2" t="n">
        <v>2</v>
      </c>
      <c r="G146" s="2" t="n">
        <v>114.4</v>
      </c>
    </row>
    <row r="147">
      <c r="A147" s="7" t="n">
        <v>46287.95840076389</v>
      </c>
      <c r="B147" s="7" t="n">
        <v>46287.95486111111</v>
      </c>
      <c r="C147" s="2" t="n">
        <v>441</v>
      </c>
      <c r="D147" s="2" t="n">
        <v>0</v>
      </c>
      <c r="E147" s="2" t="n">
        <v>0</v>
      </c>
      <c r="F147" s="2" t="n">
        <v>2</v>
      </c>
      <c r="G147" s="2" t="n">
        <v>135.1</v>
      </c>
    </row>
    <row r="148">
      <c r="A148" s="7" t="n">
        <v>46287.75277884259</v>
      </c>
      <c r="B148" s="7" t="n">
        <v>46287.74652777778</v>
      </c>
      <c r="C148" s="2" t="n">
        <v>440</v>
      </c>
      <c r="D148" s="2" t="n">
        <v>0</v>
      </c>
      <c r="E148" s="2" t="n">
        <v>0</v>
      </c>
      <c r="F148" s="2" t="n">
        <v>0</v>
      </c>
      <c r="G148" s="2" t="n">
        <v>130.3</v>
      </c>
    </row>
    <row r="149">
      <c r="A149" s="7" t="n">
        <v>46287.6758560301</v>
      </c>
      <c r="B149" s="7" t="n">
        <v>46287.67013888889</v>
      </c>
      <c r="C149" s="2" t="n">
        <v>440</v>
      </c>
      <c r="D149" s="2" t="n">
        <v>0</v>
      </c>
      <c r="E149" s="2" t="n">
        <v>0</v>
      </c>
      <c r="F149" s="2" t="n">
        <v>0</v>
      </c>
      <c r="G149" s="2" t="n">
        <v>91.7</v>
      </c>
    </row>
    <row r="150">
      <c r="A150" s="7" t="n">
        <v>46287.54602564815</v>
      </c>
      <c r="B150" s="7" t="n">
        <v>46287.54166666666</v>
      </c>
      <c r="C150" s="2" t="n">
        <v>440</v>
      </c>
      <c r="D150" s="2" t="n">
        <v>0</v>
      </c>
      <c r="E150" s="2" t="n">
        <v>0</v>
      </c>
      <c r="F150" s="2" t="n">
        <v>0</v>
      </c>
      <c r="G150" s="2" t="n">
        <v>125.4</v>
      </c>
    </row>
    <row r="151">
      <c r="A151" s="7" t="n">
        <v>46287.51247143518</v>
      </c>
      <c r="B151" s="7" t="n">
        <v>46287.50694444445</v>
      </c>
      <c r="C151" s="2" t="n">
        <v>440</v>
      </c>
      <c r="D151" s="2" t="n">
        <v>0</v>
      </c>
      <c r="E151" s="2" t="n">
        <v>0</v>
      </c>
      <c r="F151" s="2" t="n">
        <v>0</v>
      </c>
      <c r="G151" s="2" t="n">
        <v>102.8</v>
      </c>
    </row>
    <row r="152">
      <c r="A152" s="7" t="n">
        <v>46287.30635083334</v>
      </c>
      <c r="B152" s="7" t="n">
        <v>46287.30208333334</v>
      </c>
      <c r="C152" s="2" t="n">
        <v>440</v>
      </c>
      <c r="D152" s="2" t="n">
        <v>0</v>
      </c>
      <c r="E152" s="2" t="n">
        <v>0</v>
      </c>
      <c r="F152" s="2" t="n">
        <v>0</v>
      </c>
      <c r="G152" s="2" t="n">
        <v>135.9</v>
      </c>
    </row>
    <row r="153">
      <c r="A153" s="7" t="n">
        <v>46287.14961865741</v>
      </c>
      <c r="B153" s="7" t="n">
        <v>46287.14583333334</v>
      </c>
      <c r="C153" s="2" t="n">
        <v>440</v>
      </c>
      <c r="D153" s="2" t="n">
        <v>0</v>
      </c>
      <c r="E153" s="2" t="n">
        <v>0</v>
      </c>
      <c r="F153" s="2" t="n">
        <v>0</v>
      </c>
      <c r="G153" s="2" t="n">
        <v>130.5</v>
      </c>
    </row>
    <row r="154">
      <c r="A154" s="7" t="n">
        <v>46286.92852005787</v>
      </c>
      <c r="B154" s="7" t="n">
        <v>46286.92361111111</v>
      </c>
      <c r="C154" s="2" t="n">
        <v>440</v>
      </c>
      <c r="D154" s="2" t="n">
        <v>0</v>
      </c>
      <c r="E154" s="2" t="n">
        <v>0</v>
      </c>
      <c r="F154" s="2" t="n">
        <v>0</v>
      </c>
      <c r="G154" s="2" t="n">
        <v>112.2</v>
      </c>
    </row>
    <row r="155">
      <c r="A155" s="7" t="n">
        <v>46286.83222814815</v>
      </c>
      <c r="B155" s="7" t="n">
        <v>46286.82638888889</v>
      </c>
      <c r="C155" s="2" t="n">
        <v>440</v>
      </c>
      <c r="D155" s="2" t="n">
        <v>0</v>
      </c>
      <c r="E155" s="2" t="n">
        <v>0</v>
      </c>
      <c r="F155" s="2" t="n">
        <v>0</v>
      </c>
      <c r="G155" s="2" t="n">
        <v>126.4</v>
      </c>
    </row>
    <row r="156">
      <c r="A156" s="7" t="n">
        <v>46286.60261268519</v>
      </c>
      <c r="B156" s="7" t="n">
        <v>46286.59722222222</v>
      </c>
      <c r="C156" s="2" t="n">
        <v>440</v>
      </c>
      <c r="D156" s="2" t="n">
        <v>0</v>
      </c>
      <c r="E156" s="2" t="n">
        <v>0</v>
      </c>
      <c r="F156" s="2" t="n">
        <v>0</v>
      </c>
      <c r="G156" s="2" t="n">
        <v>111.5</v>
      </c>
    </row>
    <row r="157">
      <c r="A157" s="7" t="n">
        <v>46286.38294268519</v>
      </c>
      <c r="B157" s="7" t="n">
        <v>46286.37847222222</v>
      </c>
      <c r="C157" s="2" t="n">
        <v>440</v>
      </c>
      <c r="D157" s="2" t="n">
        <v>0</v>
      </c>
      <c r="E157" s="2" t="n">
        <v>0</v>
      </c>
      <c r="F157" s="2" t="n">
        <v>0</v>
      </c>
      <c r="G157" s="2" t="n">
        <v>102.4</v>
      </c>
    </row>
    <row r="158">
      <c r="A158" s="7" t="n">
        <v>46286.27148542824</v>
      </c>
      <c r="B158" s="7" t="n">
        <v>46286.26736111111</v>
      </c>
      <c r="C158" s="2" t="n">
        <v>440</v>
      </c>
      <c r="D158" s="2" t="n">
        <v>0</v>
      </c>
      <c r="E158" s="2" t="n">
        <v>0</v>
      </c>
      <c r="F158" s="2" t="n">
        <v>0</v>
      </c>
      <c r="G158" s="2" t="n">
        <v>126.7</v>
      </c>
    </row>
    <row r="159">
      <c r="A159" s="7" t="n">
        <v>46286.14641391204</v>
      </c>
      <c r="B159" s="7" t="n">
        <v>46286.14236111111</v>
      </c>
      <c r="C159" s="2" t="n">
        <v>440</v>
      </c>
      <c r="D159" s="2" t="n">
        <v>0</v>
      </c>
      <c r="E159" s="2" t="n">
        <v>0</v>
      </c>
      <c r="F159" s="2" t="n">
        <v>0</v>
      </c>
      <c r="G159" s="2" t="n">
        <v>131.3</v>
      </c>
    </row>
    <row r="160">
      <c r="A160" s="7" t="n">
        <v>46286.03573545139</v>
      </c>
      <c r="B160" s="7" t="n">
        <v>46286.03125</v>
      </c>
      <c r="C160" s="2" t="n">
        <v>440</v>
      </c>
      <c r="D160" s="2" t="n">
        <v>0</v>
      </c>
      <c r="E160" s="2" t="n">
        <v>0</v>
      </c>
      <c r="F160" s="2" t="n">
        <v>0</v>
      </c>
      <c r="G160" s="2" t="n">
        <v>127.3</v>
      </c>
    </row>
    <row r="161">
      <c r="A161" s="7" t="n">
        <v>46286.00283136574</v>
      </c>
      <c r="B161" s="7" t="n">
        <v>46285.99652777778</v>
      </c>
      <c r="C161" s="2" t="n">
        <v>440</v>
      </c>
      <c r="D161" s="2" t="n">
        <v>0</v>
      </c>
      <c r="E161" s="2" t="n">
        <v>0</v>
      </c>
      <c r="F161" s="2" t="n">
        <v>0</v>
      </c>
      <c r="G161" s="2" t="n">
        <v>101.9</v>
      </c>
    </row>
    <row r="162">
      <c r="A162" s="7" t="n">
        <v>46285.85245594908</v>
      </c>
      <c r="B162" s="7" t="n">
        <v>46285.84722222222</v>
      </c>
      <c r="C162" s="2" t="n">
        <v>440</v>
      </c>
      <c r="D162" s="2" t="n">
        <v>0</v>
      </c>
      <c r="E162" s="2" t="n">
        <v>0</v>
      </c>
      <c r="F162" s="2" t="n">
        <v>0</v>
      </c>
      <c r="G162" s="2" t="n">
        <v>100.6</v>
      </c>
    </row>
    <row r="163">
      <c r="A163" s="7" t="n">
        <v>46285.60105145833</v>
      </c>
      <c r="B163" s="7" t="n">
        <v>46285.59722222222</v>
      </c>
      <c r="C163" s="2" t="n">
        <v>440</v>
      </c>
      <c r="D163" s="2" t="n">
        <v>0</v>
      </c>
      <c r="E163" s="2" t="n">
        <v>0</v>
      </c>
      <c r="F163" s="2" t="n">
        <v>0</v>
      </c>
      <c r="G163" s="2" t="n">
        <v>129.1</v>
      </c>
    </row>
    <row r="164">
      <c r="A164" s="7" t="n">
        <v>46285.38559789352</v>
      </c>
      <c r="B164" s="7" t="n">
        <v>46285.38194444445</v>
      </c>
      <c r="C164" s="2" t="n">
        <v>440</v>
      </c>
      <c r="D164" s="2" t="n">
        <v>0</v>
      </c>
      <c r="E164" s="2" t="n">
        <v>0</v>
      </c>
      <c r="F164" s="2" t="n">
        <v>0</v>
      </c>
      <c r="G164" s="2" t="n">
        <v>112.5</v>
      </c>
    </row>
    <row r="165">
      <c r="A165" s="7" t="n">
        <v>46285.29994834491</v>
      </c>
      <c r="B165" s="7" t="n">
        <v>46285.29513888889</v>
      </c>
      <c r="C165" s="2" t="n">
        <v>440</v>
      </c>
      <c r="D165" s="2" t="n">
        <v>0</v>
      </c>
      <c r="E165" s="2" t="n">
        <v>0</v>
      </c>
      <c r="F165" s="2" t="n">
        <v>0</v>
      </c>
      <c r="G165" s="2" t="n">
        <v>128.1</v>
      </c>
    </row>
    <row r="166">
      <c r="A166" s="7" t="n">
        <v>46285.19964518519</v>
      </c>
      <c r="B166" s="7" t="n">
        <v>46285.19444444445</v>
      </c>
      <c r="C166" s="2" t="n">
        <v>440</v>
      </c>
      <c r="D166" s="2" t="n">
        <v>0</v>
      </c>
      <c r="E166" s="2" t="n">
        <v>0</v>
      </c>
      <c r="F166" s="2" t="n">
        <v>0</v>
      </c>
      <c r="G166" s="2" t="n">
        <v>110.6</v>
      </c>
    </row>
    <row r="167">
      <c r="A167" s="7" t="n">
        <v>46285.08704527777</v>
      </c>
      <c r="B167" s="7" t="n">
        <v>46285.08333333334</v>
      </c>
      <c r="C167" s="2" t="n">
        <v>440</v>
      </c>
      <c r="D167" s="2" t="n">
        <v>0</v>
      </c>
      <c r="E167" s="2" t="n">
        <v>0</v>
      </c>
      <c r="F167" s="2" t="n">
        <v>0</v>
      </c>
      <c r="G167" s="2" t="n">
        <v>95.09999999999999</v>
      </c>
    </row>
    <row r="168">
      <c r="A168" s="7" t="n">
        <v>46284.93748335648</v>
      </c>
      <c r="B168" s="7" t="n">
        <v>46284.93055555555</v>
      </c>
      <c r="C168" s="2" t="n">
        <v>440</v>
      </c>
      <c r="D168" s="2" t="n">
        <v>0</v>
      </c>
      <c r="E168" s="2" t="n">
        <v>0</v>
      </c>
      <c r="F168" s="2" t="n">
        <v>0</v>
      </c>
      <c r="G168" s="2" t="n">
        <v>128.7</v>
      </c>
    </row>
    <row r="169">
      <c r="A169" s="7" t="n">
        <v>46284.79727659722</v>
      </c>
      <c r="B169" s="7" t="n">
        <v>46284.79166666666</v>
      </c>
      <c r="C169" s="2" t="n">
        <v>440</v>
      </c>
      <c r="D169" s="2" t="n">
        <v>0</v>
      </c>
      <c r="E169" s="2" t="n">
        <v>0</v>
      </c>
      <c r="F169" s="2" t="n">
        <v>0</v>
      </c>
      <c r="G169" s="2" t="n">
        <v>109.7</v>
      </c>
    </row>
    <row r="170">
      <c r="A170" s="7" t="n">
        <v>46284.58365538195</v>
      </c>
      <c r="B170" s="7" t="n">
        <v>46284.57986111111</v>
      </c>
      <c r="C170" s="2" t="n">
        <v>440</v>
      </c>
      <c r="D170" s="2" t="n">
        <v>0</v>
      </c>
      <c r="E170" s="2" t="n">
        <v>0</v>
      </c>
      <c r="F170" s="2" t="n">
        <v>0</v>
      </c>
      <c r="G170" s="2" t="n">
        <v>101.8</v>
      </c>
    </row>
    <row r="171">
      <c r="A171" s="7" t="n">
        <v>46284.38530752315</v>
      </c>
      <c r="B171" s="7" t="n">
        <v>46284.37847222222</v>
      </c>
      <c r="C171" s="2" t="n">
        <v>440</v>
      </c>
      <c r="D171" s="2" t="n">
        <v>0</v>
      </c>
      <c r="E171" s="2" t="n">
        <v>0</v>
      </c>
      <c r="F171" s="2" t="n">
        <v>0</v>
      </c>
      <c r="G171" s="2" t="n">
        <v>130.8</v>
      </c>
    </row>
    <row r="172">
      <c r="A172" s="7" t="n">
        <v>46284.27664920139</v>
      </c>
      <c r="B172" s="7" t="n">
        <v>46284.27083333334</v>
      </c>
      <c r="C172" s="2" t="n">
        <v>440</v>
      </c>
      <c r="D172" s="2" t="n">
        <v>0</v>
      </c>
      <c r="E172" s="2" t="n">
        <v>0</v>
      </c>
      <c r="F172" s="2" t="n">
        <v>0</v>
      </c>
      <c r="G172" s="2" t="n">
        <v>127.8</v>
      </c>
    </row>
    <row r="173">
      <c r="A173" s="7" t="n">
        <v>46284.15392047453</v>
      </c>
      <c r="B173" s="7" t="n">
        <v>46284.14930555555</v>
      </c>
      <c r="C173" s="2" t="n">
        <v>440</v>
      </c>
      <c r="D173" s="2" t="n">
        <v>0</v>
      </c>
      <c r="E173" s="2" t="n">
        <v>0</v>
      </c>
      <c r="F173" s="2" t="n">
        <v>0</v>
      </c>
      <c r="G173" s="2" t="n">
        <v>135.6</v>
      </c>
    </row>
    <row r="174">
      <c r="A174" s="7" t="n">
        <v>46284.02123533565</v>
      </c>
      <c r="B174" s="7" t="n">
        <v>46284.01736111111</v>
      </c>
      <c r="C174" s="2" t="n">
        <v>440</v>
      </c>
      <c r="D174" s="2" t="n">
        <v>0</v>
      </c>
      <c r="E174" s="2" t="n">
        <v>0</v>
      </c>
      <c r="F174" s="2" t="n">
        <v>0</v>
      </c>
      <c r="G174" s="2" t="n">
        <v>102.8</v>
      </c>
    </row>
    <row r="175">
      <c r="A175" s="7" t="n">
        <v>46283.99753837963</v>
      </c>
      <c r="B175" s="7" t="n">
        <v>46283.99305555555</v>
      </c>
      <c r="C175" s="2" t="n">
        <v>440</v>
      </c>
      <c r="D175" s="2" t="n">
        <v>0</v>
      </c>
      <c r="E175" s="2" t="n">
        <v>0</v>
      </c>
      <c r="F175" s="2" t="n">
        <v>0</v>
      </c>
      <c r="G175" s="2" t="n">
        <v>129.8</v>
      </c>
    </row>
    <row r="176">
      <c r="A176" s="7" t="n">
        <v>46283.80859936342</v>
      </c>
      <c r="B176" s="7" t="n">
        <v>46283.80208333334</v>
      </c>
      <c r="C176" s="2" t="n">
        <v>440</v>
      </c>
      <c r="D176" s="2" t="n">
        <v>0</v>
      </c>
      <c r="E176" s="2" t="n">
        <v>0</v>
      </c>
      <c r="F176" s="2" t="n">
        <v>0</v>
      </c>
      <c r="G176" s="2" t="n">
        <v>127.7</v>
      </c>
    </row>
    <row r="177">
      <c r="A177" s="7" t="n">
        <v>46283.78916202546</v>
      </c>
      <c r="B177" s="7" t="n">
        <v>46283.78472222222</v>
      </c>
      <c r="C177" s="2" t="n">
        <v>440</v>
      </c>
      <c r="D177" s="2" t="n">
        <v>0</v>
      </c>
      <c r="E177" s="2" t="n">
        <v>0</v>
      </c>
      <c r="F177" s="2" t="n">
        <v>0</v>
      </c>
      <c r="G177" s="2" t="n">
        <v>119.1</v>
      </c>
    </row>
    <row r="178">
      <c r="A178" s="7" t="n">
        <v>46283.58323265046</v>
      </c>
      <c r="B178" s="7" t="n">
        <v>46283.57638888889</v>
      </c>
      <c r="C178" s="2" t="n">
        <v>440</v>
      </c>
      <c r="D178" s="2" t="n">
        <v>0</v>
      </c>
      <c r="E178" s="2" t="n">
        <v>0</v>
      </c>
      <c r="F178" s="2" t="n">
        <v>0</v>
      </c>
      <c r="G178" s="2" t="n">
        <v>126.7</v>
      </c>
    </row>
    <row r="179">
      <c r="A179" s="7" t="n">
        <v>46283.57323743056</v>
      </c>
      <c r="B179" s="7" t="n">
        <v>46283.56944444445</v>
      </c>
      <c r="C179" s="2" t="n">
        <v>440</v>
      </c>
      <c r="D179" s="2" t="n">
        <v>0</v>
      </c>
      <c r="E179" s="2" t="n">
        <v>0</v>
      </c>
      <c r="F179" s="2" t="n">
        <v>0</v>
      </c>
      <c r="G179" s="2" t="n">
        <v>94.3</v>
      </c>
    </row>
    <row r="180">
      <c r="A180" s="7" t="n">
        <v>46283.45181144676</v>
      </c>
      <c r="B180" s="7" t="n">
        <v>46283.44791666666</v>
      </c>
      <c r="C180" s="2" t="n">
        <v>440</v>
      </c>
      <c r="D180" s="2" t="n">
        <v>0</v>
      </c>
      <c r="E180" s="2" t="n">
        <v>0</v>
      </c>
      <c r="F180" s="2" t="n">
        <v>0</v>
      </c>
      <c r="G180" s="2" t="n">
        <v>132.3</v>
      </c>
    </row>
    <row r="181">
      <c r="A181" s="7" t="n">
        <v>46283.44134394676</v>
      </c>
      <c r="B181" s="7" t="n">
        <v>46283.4375</v>
      </c>
      <c r="C181" s="2" t="n">
        <v>440</v>
      </c>
      <c r="D181" s="2" t="n">
        <v>0</v>
      </c>
      <c r="E181" s="2" t="n">
        <v>0</v>
      </c>
      <c r="F181" s="2" t="n">
        <v>0</v>
      </c>
      <c r="G181" s="2" t="n">
        <v>373.5</v>
      </c>
    </row>
    <row r="182">
      <c r="A182" s="7" t="n">
        <v>46283.35273409722</v>
      </c>
      <c r="B182" s="7" t="n">
        <v>46283.34722222222</v>
      </c>
      <c r="C182" s="2" t="n">
        <v>440</v>
      </c>
      <c r="D182" s="2" t="n">
        <v>0</v>
      </c>
      <c r="E182" s="2" t="n">
        <v>0</v>
      </c>
      <c r="F182" s="2" t="n">
        <v>0</v>
      </c>
      <c r="G182" s="2" t="n">
        <v>132.3</v>
      </c>
    </row>
    <row r="183">
      <c r="A183" s="7" t="n">
        <v>46283.26014016203</v>
      </c>
      <c r="B183" s="7" t="n">
        <v>46283.25347222222</v>
      </c>
      <c r="C183" s="2" t="n">
        <v>440</v>
      </c>
      <c r="D183" s="2" t="n">
        <v>0</v>
      </c>
      <c r="E183" s="2" t="n">
        <v>0</v>
      </c>
      <c r="F183" s="2" t="n">
        <v>0</v>
      </c>
      <c r="G183" s="2" t="n">
        <v>129.5</v>
      </c>
    </row>
    <row r="184">
      <c r="A184" s="7" t="n">
        <v>46283.09637409722</v>
      </c>
      <c r="B184" s="7" t="n">
        <v>46283.09027777778</v>
      </c>
      <c r="C184" s="2" t="n">
        <v>440</v>
      </c>
      <c r="D184" s="2" t="n">
        <v>0</v>
      </c>
      <c r="E184" s="2" t="n">
        <v>0</v>
      </c>
      <c r="F184" s="2" t="n">
        <v>0</v>
      </c>
      <c r="G184" s="2" t="n">
        <v>131.2</v>
      </c>
    </row>
    <row r="185">
      <c r="A185" s="7" t="n">
        <v>46282.89824439815</v>
      </c>
      <c r="B185" s="7" t="n">
        <v>46282.89236111111</v>
      </c>
      <c r="C185" s="2" t="n">
        <v>440</v>
      </c>
      <c r="D185" s="2" t="n">
        <v>0</v>
      </c>
      <c r="E185" s="2" t="n">
        <v>0</v>
      </c>
      <c r="F185" s="2" t="n">
        <v>0</v>
      </c>
      <c r="G185" s="2" t="n">
        <v>137</v>
      </c>
    </row>
    <row r="186">
      <c r="A186" s="7" t="n">
        <v>46282.65711792824</v>
      </c>
      <c r="B186" s="7" t="n">
        <v>46282.65277777778</v>
      </c>
      <c r="C186" s="2" t="n">
        <v>440</v>
      </c>
      <c r="D186" s="2" t="n">
        <v>0</v>
      </c>
      <c r="E186" s="2" t="n">
        <v>0</v>
      </c>
      <c r="F186" s="2" t="n">
        <v>0</v>
      </c>
      <c r="G186" s="2" t="n">
        <v>126.6</v>
      </c>
    </row>
    <row r="187">
      <c r="A187" s="7" t="n">
        <v>46282.40350203704</v>
      </c>
      <c r="B187" s="7" t="n">
        <v>46282.39930555555</v>
      </c>
      <c r="C187" s="2" t="n">
        <v>440</v>
      </c>
      <c r="D187" s="2" t="n">
        <v>0</v>
      </c>
      <c r="E187" s="2" t="n">
        <v>0</v>
      </c>
      <c r="F187" s="2" t="n">
        <v>0</v>
      </c>
      <c r="G187" s="2" t="n">
        <v>323.7</v>
      </c>
    </row>
    <row r="188">
      <c r="A188" s="7" t="n">
        <v>46282.39577758102</v>
      </c>
      <c r="B188" s="7" t="n">
        <v>46282.33333333334</v>
      </c>
      <c r="C188" s="2" t="n">
        <v>440</v>
      </c>
      <c r="D188" s="2" t="n">
        <v>0</v>
      </c>
      <c r="E188" s="2" t="n">
        <v>0</v>
      </c>
      <c r="F188" s="2" t="n">
        <v>0</v>
      </c>
      <c r="G188" s="2" t="n">
        <v>50.5</v>
      </c>
    </row>
    <row r="189">
      <c r="A189" s="7" t="n">
        <v>46282.29222982639</v>
      </c>
      <c r="B189" s="7" t="n">
        <v>46282.25</v>
      </c>
      <c r="C189" s="2" t="n">
        <v>440</v>
      </c>
      <c r="D189" s="2" t="n">
        <v>0</v>
      </c>
      <c r="E189" s="2" t="n">
        <v>0</v>
      </c>
      <c r="F189" s="2" t="n">
        <v>0</v>
      </c>
      <c r="G189" s="2" t="n">
        <v>66.2</v>
      </c>
    </row>
    <row r="190">
      <c r="A190" s="7" t="n">
        <v>46282.17576607639</v>
      </c>
      <c r="B190" s="7" t="n">
        <v>46282.125</v>
      </c>
      <c r="C190" s="2" t="n">
        <v>440</v>
      </c>
      <c r="D190" s="2" t="n">
        <v>0</v>
      </c>
      <c r="E190" s="2" t="n">
        <v>0</v>
      </c>
      <c r="F190" s="2" t="n">
        <v>0</v>
      </c>
      <c r="G190" s="2" t="n">
        <v>67</v>
      </c>
    </row>
    <row r="191">
      <c r="A191" s="7" t="n">
        <v>46282.04552453704</v>
      </c>
      <c r="B191" s="7" t="n">
        <v>46282</v>
      </c>
      <c r="C191" s="2" t="n">
        <v>440</v>
      </c>
      <c r="D191" s="2" t="n">
        <v>0</v>
      </c>
      <c r="E191" s="2" t="n">
        <v>0</v>
      </c>
      <c r="F191" s="2" t="n">
        <v>0</v>
      </c>
      <c r="G191" s="2" t="n">
        <v>52.9</v>
      </c>
    </row>
    <row r="192">
      <c r="A192" s="7" t="n">
        <v>46281.82298537037</v>
      </c>
      <c r="B192" s="7" t="n">
        <v>46281.75</v>
      </c>
      <c r="C192" s="2" t="n">
        <v>440</v>
      </c>
      <c r="D192" s="2" t="n">
        <v>0</v>
      </c>
      <c r="E192" s="2" t="n">
        <v>0</v>
      </c>
      <c r="F192" s="2" t="n">
        <v>0</v>
      </c>
      <c r="G192" s="2" t="n">
        <v>65.7</v>
      </c>
    </row>
    <row r="193">
      <c r="A193" s="7" t="n">
        <v>46281.58829054398</v>
      </c>
      <c r="B193" s="7" t="n">
        <v>46281.54166666666</v>
      </c>
      <c r="C193" s="2" t="n">
        <v>440</v>
      </c>
      <c r="D193" s="2" t="n">
        <v>0</v>
      </c>
      <c r="E193" s="2" t="n">
        <v>0</v>
      </c>
      <c r="F193" s="2" t="n">
        <v>0</v>
      </c>
      <c r="G193" s="2" t="n">
        <v>54.5</v>
      </c>
    </row>
    <row r="194">
      <c r="A194" s="7" t="n">
        <v>46281.35205523148</v>
      </c>
      <c r="B194" s="7" t="n">
        <v>46281.29166666666</v>
      </c>
      <c r="C194" s="2" t="n">
        <v>442</v>
      </c>
      <c r="D194" s="2" t="n">
        <v>0</v>
      </c>
      <c r="E194" s="2" t="n">
        <v>0</v>
      </c>
      <c r="F194" s="2" t="n">
        <v>0</v>
      </c>
      <c r="G194" s="2" t="n">
        <v>66.90000000000001</v>
      </c>
    </row>
    <row r="195">
      <c r="A195" s="7" t="n">
        <v>46281.22963460648</v>
      </c>
      <c r="B195" s="7" t="n">
        <v>46281.16666666666</v>
      </c>
      <c r="C195" s="2" t="n">
        <v>442</v>
      </c>
      <c r="D195" s="2" t="n">
        <v>0</v>
      </c>
      <c r="E195" s="2" t="n">
        <v>0</v>
      </c>
      <c r="F195" s="2" t="n">
        <v>0</v>
      </c>
      <c r="G195" s="2" t="n">
        <v>61.9</v>
      </c>
    </row>
    <row r="196">
      <c r="A196" s="7" t="n">
        <v>46281.094529375</v>
      </c>
      <c r="B196" s="7" t="n">
        <v>46281.04166666666</v>
      </c>
      <c r="C196" s="2" t="n">
        <v>442</v>
      </c>
      <c r="D196" s="2" t="n">
        <v>0</v>
      </c>
      <c r="E196" s="2" t="n">
        <v>0</v>
      </c>
      <c r="F196" s="2" t="n">
        <v>0</v>
      </c>
      <c r="G196" s="2" t="n">
        <v>46.5</v>
      </c>
    </row>
    <row r="197">
      <c r="A197" s="7" t="n">
        <v>46280.9017994676</v>
      </c>
      <c r="B197" s="7" t="n">
        <v>46280.83333333334</v>
      </c>
      <c r="C197" s="2" t="n">
        <v>442</v>
      </c>
      <c r="D197" s="2" t="n">
        <v>0</v>
      </c>
      <c r="E197" s="2" t="n">
        <v>0</v>
      </c>
      <c r="F197" s="2" t="n">
        <v>0</v>
      </c>
      <c r="G197" s="2" t="n">
        <v>56.7</v>
      </c>
    </row>
    <row r="198">
      <c r="A198" s="7" t="n">
        <v>46280.66002480324</v>
      </c>
      <c r="B198" s="7" t="n">
        <v>46280.58333333334</v>
      </c>
      <c r="C198" s="2" t="n">
        <v>442</v>
      </c>
      <c r="D198" s="2" t="n">
        <v>0</v>
      </c>
      <c r="E198" s="2" t="n">
        <v>0</v>
      </c>
      <c r="F198" s="2" t="n">
        <v>0</v>
      </c>
      <c r="G198" s="2" t="n">
        <v>67.40000000000001</v>
      </c>
    </row>
    <row r="199">
      <c r="A199" s="7" t="n">
        <v>46280.4778358449</v>
      </c>
      <c r="B199" s="7" t="n">
        <v>46280.41666666666</v>
      </c>
      <c r="C199" s="2" t="n">
        <v>442</v>
      </c>
      <c r="D199" s="2" t="n">
        <v>0</v>
      </c>
      <c r="E199" s="2" t="n">
        <v>0</v>
      </c>
      <c r="F199" s="2" t="n">
        <v>0</v>
      </c>
      <c r="G199" s="2" t="n">
        <v>61.2</v>
      </c>
    </row>
    <row r="200">
      <c r="A200" s="7" t="n">
        <v>46280.39795681713</v>
      </c>
      <c r="B200" s="7" t="n">
        <v>46280.33333333334</v>
      </c>
      <c r="C200" s="2" t="n">
        <v>442</v>
      </c>
      <c r="D200" s="2" t="n">
        <v>0</v>
      </c>
      <c r="E200" s="2" t="n">
        <v>0</v>
      </c>
      <c r="F200" s="2" t="n">
        <v>0</v>
      </c>
      <c r="G200" s="2" t="n">
        <v>66.90000000000001</v>
      </c>
    </row>
    <row r="201">
      <c r="A201" s="7" t="n">
        <v>46280.29983445602</v>
      </c>
      <c r="B201" s="7" t="n">
        <v>46280.25</v>
      </c>
      <c r="C201" s="2" t="n">
        <v>442</v>
      </c>
      <c r="D201" s="2" t="n">
        <v>0</v>
      </c>
      <c r="E201" s="2" t="n">
        <v>0</v>
      </c>
      <c r="F201" s="2" t="n">
        <v>0</v>
      </c>
      <c r="G201" s="2" t="n">
        <v>51.6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8" t="inlineStr">
        <is>
          <t>參數</t>
        </is>
      </c>
      <c r="D3" s="8" t="inlineStr">
        <is>
          <t>績效摘要</t>
        </is>
      </c>
    </row>
    <row r="4">
      <c r="A4" s="2" t="inlineStr">
        <is>
          <t>初始本金</t>
        </is>
      </c>
      <c r="B4" s="9" t="n">
        <v>100</v>
      </c>
      <c r="D4" s="2" t="inlineStr">
        <is>
          <t>最終本金（已實現）</t>
        </is>
      </c>
      <c r="E4" s="10">
        <f>資金明細!R146</f>
        <v/>
      </c>
    </row>
    <row r="5">
      <c r="A5" s="2" t="inlineStr">
        <is>
          <t>下單比例</t>
        </is>
      </c>
      <c r="B5" s="11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2" t="n">
        <v>50</v>
      </c>
      <c r="D6" s="2" t="inlineStr">
        <is>
          <t>最高本金</t>
        </is>
      </c>
      <c r="E6" s="10">
        <f>MAX(資金明細!$R$2:$R$146)</f>
        <v/>
      </c>
    </row>
    <row r="7">
      <c r="A7" s="2" t="inlineStr">
        <is>
          <t>槓桿倍數</t>
        </is>
      </c>
      <c r="B7" s="13" t="n">
        <v>50</v>
      </c>
      <c r="D7" s="2" t="inlineStr">
        <is>
          <t>最低本金</t>
        </is>
      </c>
      <c r="E7" s="10">
        <f>MIN(資金明細!$R$2:$R$146)</f>
        <v/>
      </c>
    </row>
    <row r="8">
      <c r="A8" s="2" t="inlineStr">
        <is>
          <t>單邊手續費</t>
        </is>
      </c>
      <c r="B8" s="14">
        <f>參數!B7</f>
        <v/>
      </c>
      <c r="D8" s="2" t="inlineStr">
        <is>
          <t>最大回撤</t>
        </is>
      </c>
      <c r="E8" s="4">
        <f>MIN(資金明細!$X$2:$X$146)</f>
        <v/>
      </c>
    </row>
    <row r="9">
      <c r="A9" s="2" t="inlineStr">
        <is>
          <t>下單基準模式</t>
        </is>
      </c>
      <c r="B9" s="12" t="n">
        <v>2</v>
      </c>
      <c r="D9" s="2" t="inlineStr">
        <is>
          <t>已下單筆數</t>
        </is>
      </c>
      <c r="E9" s="15">
        <f>COUNTIFS(資金明細!$C$2:$C$146,"進場",資金明細!$N$2:$N$146,"已下單")</f>
        <v/>
      </c>
    </row>
    <row r="10">
      <c r="A10" s="2" t="inlineStr">
        <is>
          <t>停止交易門檻</t>
        </is>
      </c>
      <c r="B10" s="9" t="n">
        <v>0</v>
      </c>
      <c r="D10" s="2" t="inlineStr">
        <is>
          <t>資金不足略過</t>
        </is>
      </c>
      <c r="E10" s="15">
        <f>COUNTIFS(資金明細!$C$2:$C$146,"進場",資金明細!$N$2:$N$146,"資金不足略過")</f>
        <v/>
      </c>
    </row>
    <row r="11">
      <c r="D11" s="2" t="inlineStr">
        <is>
          <t>止盈筆數</t>
        </is>
      </c>
      <c r="E11" s="15">
        <f>COUNTIFS(資金明細!$C$2:$C$146,"出場",資金明細!$N$2:$N$146,"已下單",資金明細!$K$2:$K$146,"止盈")</f>
        <v/>
      </c>
    </row>
    <row r="12">
      <c r="A12" s="2" t="inlineStr">
        <is>
          <t>每筆止損約虧本金</t>
        </is>
      </c>
      <c r="B12" s="4">
        <f>B5*B7*IFERROR(AVERAGE(交易明細!$AB$2:$AB$73),參數!B6)</f>
        <v/>
      </c>
      <c r="D12" s="2" t="inlineStr">
        <is>
          <t>止損筆數</t>
        </is>
      </c>
      <c r="E12" s="15">
        <f>COUNTIFS(資金明細!$C$2:$C$146,"出場",資金明細!$N$2:$N$146,"已下單",資金明細!$K$2:$K$146,"止損")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IFERROR(E11/COUNTIFS(資金明細!$C$2:$C$146,"出場",資金明細!$N$2:$N$146,"已下單"),0)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5">
        <f>MAX(資金明細!$U$2:$U$146)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6">
        <f>MAX(資金明細!$S$2:$S$146)</f>
        <v/>
      </c>
    </row>
    <row r="16">
      <c r="D16" s="2" t="inlineStr">
        <is>
          <t>期末下單金額</t>
        </is>
      </c>
      <c r="E16" s="16">
        <f>B5*資金明細!V146</f>
        <v/>
      </c>
    </row>
    <row r="17">
      <c r="D17" s="2" t="inlineStr">
        <is>
          <t>未平倉浮動損益（未計入）</t>
        </is>
      </c>
      <c r="E17" s="10">
        <f>0</f>
        <v/>
      </c>
    </row>
    <row r="18">
      <c r="D18" s="2" t="inlineStr">
        <is>
          <t>最大總曝險倍數</t>
        </is>
      </c>
      <c r="E18" s="16">
        <f>MAX(資金明細!$Y$2:$Y$146)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IFERROR(INDEX(資金明細!$B$2:$B$146,MATCH(1,資金明細!$Z$2:$Z$146,0)),"未觸發")</f>
        <v/>
      </c>
    </row>
    <row r="21">
      <c r="D21" s="2" t="inlineStr">
        <is>
          <t>停止後略過筆數</t>
        </is>
      </c>
      <c r="E21" s="15">
        <f>COUNTIFS(資金明細!$C$2:$C$146,"進場",資金明細!$N$2:$N$146,"已停止")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17" t="n"/>
      <c r="H2" s="17" t="n"/>
      <c r="I2" s="17" t="n"/>
      <c r="J2" s="17" t="n"/>
      <c r="K2" s="2" t="n"/>
      <c r="L2" s="5" t="n"/>
      <c r="M2" s="16" t="n"/>
      <c r="N2" s="2" t="n"/>
      <c r="O2" s="16" t="n"/>
      <c r="P2" s="4" t="n"/>
      <c r="Q2" s="10" t="n">
        <v>0</v>
      </c>
      <c r="R2" s="10">
        <f>資金模擬!$B$4</f>
        <v/>
      </c>
      <c r="S2" s="16" t="n">
        <v>0</v>
      </c>
      <c r="T2" s="16">
        <f>R2-S2</f>
        <v/>
      </c>
      <c r="U2" s="2" t="n">
        <v>0</v>
      </c>
      <c r="V2" s="16">
        <f>資金模擬!$B$4</f>
        <v/>
      </c>
      <c r="W2" s="10">
        <f>R2</f>
        <v/>
      </c>
      <c r="X2" s="4" t="n">
        <v>0</v>
      </c>
      <c r="Y2" s="16" t="n">
        <v>0</v>
      </c>
      <c r="Z2" s="2" t="n">
        <v>0</v>
      </c>
    </row>
    <row r="3">
      <c r="A3" s="2" t="n">
        <v>1</v>
      </c>
      <c r="B3" s="7" t="n">
        <v>46289.59513888889</v>
      </c>
      <c r="C3" s="2" t="inlineStr">
        <is>
          <t>進場</t>
        </is>
      </c>
      <c r="D3" s="2" t="n">
        <v>1</v>
      </c>
      <c r="E3" s="2" t="inlineStr">
        <is>
          <t>NOM_USDT_PERP</t>
        </is>
      </c>
      <c r="F3" s="2" t="inlineStr">
        <is>
          <t>做空</t>
        </is>
      </c>
      <c r="G3" s="17" t="n">
        <v>0.002779</v>
      </c>
      <c r="H3" s="17" t="n">
        <v>0.00269563</v>
      </c>
      <c r="I3" s="17" t="n">
        <v>0.00291795</v>
      </c>
      <c r="J3" s="17" t="n"/>
      <c r="K3" s="2" t="n"/>
      <c r="L3" s="5" t="n"/>
      <c r="M3" s="16">
        <f>資金模擬!$B$5*V2</f>
        <v/>
      </c>
      <c r="N3" s="2">
        <f>IF(Z2=1,"已停止",IF(T2&gt;=M3,"已下單","資金不足略過"))</f>
        <v/>
      </c>
      <c r="O3" s="16">
        <f>IF(N3="已下單",M3*資金模擬!$B$7,0)</f>
        <v/>
      </c>
      <c r="P3" s="4" t="n"/>
      <c r="Q3" s="10" t="n">
        <v>0</v>
      </c>
      <c r="R3" s="10">
        <f>R2+Q3</f>
        <v/>
      </c>
      <c r="S3" s="16">
        <f>S2+IF(N3="已下單",M3,0)</f>
        <v/>
      </c>
      <c r="T3" s="16">
        <f>R3-S3</f>
        <v/>
      </c>
      <c r="U3" s="2">
        <f>U2+IF(N3="已下單",1,0)</f>
        <v/>
      </c>
      <c r="V3" s="16">
        <f>IF(資金模擬!$B$9=2,MAX(R3,0),MAX(V2,FLOOR(MAX(R3,0),資金模擬!$B$6)))</f>
        <v/>
      </c>
      <c r="W3" s="10">
        <f>MAX(W2,R3)</f>
        <v/>
      </c>
      <c r="X3" s="4">
        <f>IF(W3&gt;0,R3/W3-1,-1)</f>
        <v/>
      </c>
      <c r="Y3" s="16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46289.6</v>
      </c>
      <c r="C4" s="2" t="inlineStr">
        <is>
          <t>出場</t>
        </is>
      </c>
      <c r="D4" s="2" t="n">
        <v>1</v>
      </c>
      <c r="E4" s="2" t="inlineStr">
        <is>
          <t>NOM_USDT_PERP</t>
        </is>
      </c>
      <c r="F4" s="2" t="inlineStr">
        <is>
          <t>做空</t>
        </is>
      </c>
      <c r="G4" s="17" t="n">
        <v>0.002779</v>
      </c>
      <c r="H4" s="17" t="n">
        <v>0.00269563</v>
      </c>
      <c r="I4" s="17" t="n">
        <v>0.00291795</v>
      </c>
      <c r="J4" s="17" t="n">
        <v>0.00269563</v>
      </c>
      <c r="K4" s="2" t="inlineStr">
        <is>
          <t>止盈</t>
        </is>
      </c>
      <c r="L4" s="5">
        <f>交易明細!K2</f>
        <v/>
      </c>
      <c r="M4" s="16">
        <f>M3</f>
        <v/>
      </c>
      <c r="N4" s="2">
        <f>N3</f>
        <v/>
      </c>
      <c r="O4" s="16">
        <f>O3</f>
        <v/>
      </c>
      <c r="P4" s="4">
        <f>交易明細!L2</f>
        <v/>
      </c>
      <c r="Q4" s="10">
        <f>IF(N4="已下單",O4*P4,0)</f>
        <v/>
      </c>
      <c r="R4" s="10">
        <f>R3+Q4</f>
        <v/>
      </c>
      <c r="S4" s="16">
        <f>S3-IF(N4="已下單",M4,0)</f>
        <v/>
      </c>
      <c r="T4" s="16">
        <f>R4-S4</f>
        <v/>
      </c>
      <c r="U4" s="2">
        <f>U3-IF(N4="已下單",1,0)</f>
        <v/>
      </c>
      <c r="V4" s="16">
        <f>IF(資金模擬!$B$9=2,MAX(R4,0),MAX(V3,FLOOR(MAX(R4,0),資金模擬!$B$6)))</f>
        <v/>
      </c>
      <c r="W4" s="10">
        <f>MAX(W3,R4)</f>
        <v/>
      </c>
      <c r="X4" s="4">
        <f>IF(W4&gt;0,R4/W4-1,-1)</f>
        <v/>
      </c>
      <c r="Y4" s="16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46289.8</v>
      </c>
      <c r="C5" s="2" t="inlineStr">
        <is>
          <t>進場</t>
        </is>
      </c>
      <c r="D5" s="2" t="n">
        <v>2</v>
      </c>
      <c r="E5" s="2" t="inlineStr">
        <is>
          <t>BROCCOLI_USDT_PERP</t>
        </is>
      </c>
      <c r="F5" s="2" t="inlineStr">
        <is>
          <t>做空</t>
        </is>
      </c>
      <c r="G5" s="17" t="n">
        <v>0.02867</v>
      </c>
      <c r="H5" s="17" t="n">
        <v>0.0278099</v>
      </c>
      <c r="I5" s="17" t="n">
        <v>0.0301035</v>
      </c>
      <c r="J5" s="17" t="n"/>
      <c r="K5" s="2" t="n"/>
      <c r="L5" s="5" t="n"/>
      <c r="M5" s="16">
        <f>資金模擬!$B$5*V4</f>
        <v/>
      </c>
      <c r="N5" s="2">
        <f>IF(Z4=1,"已停止",IF(T4&gt;=M5,"已下單","資金不足略過"))</f>
        <v/>
      </c>
      <c r="O5" s="16">
        <f>IF(N5="已下單",M5*資金模擬!$B$7,0)</f>
        <v/>
      </c>
      <c r="P5" s="4" t="n"/>
      <c r="Q5" s="10" t="n">
        <v>0</v>
      </c>
      <c r="R5" s="10">
        <f>R4+Q5</f>
        <v/>
      </c>
      <c r="S5" s="16">
        <f>S4+IF(N5="已下單",M5,0)</f>
        <v/>
      </c>
      <c r="T5" s="16">
        <f>R5-S5</f>
        <v/>
      </c>
      <c r="U5" s="2">
        <f>U4+IF(N5="已下單",1,0)</f>
        <v/>
      </c>
      <c r="V5" s="16">
        <f>IF(資金模擬!$B$9=2,MAX(R5,0),MAX(V4,FLOOR(MAX(R5,0),資金模擬!$B$6)))</f>
        <v/>
      </c>
      <c r="W5" s="10">
        <f>MAX(W4,R5)</f>
        <v/>
      </c>
      <c r="X5" s="4">
        <f>IF(W5&gt;0,R5/W5-1,-1)</f>
        <v/>
      </c>
      <c r="Y5" s="16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46289.81041666667</v>
      </c>
      <c r="C6" s="2" t="inlineStr">
        <is>
          <t>進場</t>
        </is>
      </c>
      <c r="D6" s="2" t="n">
        <v>3</v>
      </c>
      <c r="E6" s="2" t="inlineStr">
        <is>
          <t>AGT_USDT_PERP</t>
        </is>
      </c>
      <c r="F6" s="2" t="inlineStr">
        <is>
          <t>做空</t>
        </is>
      </c>
      <c r="G6" s="17" t="n">
        <v>0.019584</v>
      </c>
      <c r="H6" s="17" t="n">
        <v>0.01899648</v>
      </c>
      <c r="I6" s="17" t="n">
        <v>0.0205632</v>
      </c>
      <c r="J6" s="17" t="n"/>
      <c r="K6" s="2" t="n"/>
      <c r="L6" s="5" t="n"/>
      <c r="M6" s="16">
        <f>資金模擬!$B$5*V5</f>
        <v/>
      </c>
      <c r="N6" s="2">
        <f>IF(Z5=1,"已停止",IF(T5&gt;=M6,"已下單","資金不足略過"))</f>
        <v/>
      </c>
      <c r="O6" s="16">
        <f>IF(N6="已下單",M6*資金模擬!$B$7,0)</f>
        <v/>
      </c>
      <c r="P6" s="4" t="n"/>
      <c r="Q6" s="10" t="n">
        <v>0</v>
      </c>
      <c r="R6" s="10">
        <f>R5+Q6</f>
        <v/>
      </c>
      <c r="S6" s="16">
        <f>S5+IF(N6="已下單",M6,0)</f>
        <v/>
      </c>
      <c r="T6" s="16">
        <f>R6-S6</f>
        <v/>
      </c>
      <c r="U6" s="2">
        <f>U5+IF(N6="已下單",1,0)</f>
        <v/>
      </c>
      <c r="V6" s="16">
        <f>IF(資金模擬!$B$9=2,MAX(R6,0),MAX(V5,FLOOR(MAX(R6,0),資金模擬!$B$6)))</f>
        <v/>
      </c>
      <c r="W6" s="10">
        <f>MAX(W5,R6)</f>
        <v/>
      </c>
      <c r="X6" s="4">
        <f>IF(W6&gt;0,R6/W6-1,-1)</f>
        <v/>
      </c>
      <c r="Y6" s="16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46289.83541666667</v>
      </c>
      <c r="C7" s="2" t="inlineStr">
        <is>
          <t>進場</t>
        </is>
      </c>
      <c r="D7" s="2" t="n">
        <v>4</v>
      </c>
      <c r="E7" s="2" t="inlineStr">
        <is>
          <t>PHA_USDT_PERP</t>
        </is>
      </c>
      <c r="F7" s="2" t="inlineStr">
        <is>
          <t>做空</t>
        </is>
      </c>
      <c r="G7" s="17" t="n">
        <v>0.05098</v>
      </c>
      <c r="H7" s="17" t="n">
        <v>0.0494506</v>
      </c>
      <c r="I7" s="17" t="n">
        <v>0.053529</v>
      </c>
      <c r="J7" s="17" t="n"/>
      <c r="K7" s="2" t="n"/>
      <c r="L7" s="5" t="n"/>
      <c r="M7" s="16">
        <f>資金模擬!$B$5*V6</f>
        <v/>
      </c>
      <c r="N7" s="2">
        <f>IF(Z6=1,"已停止",IF(T6&gt;=M7,"已下單","資金不足略過"))</f>
        <v/>
      </c>
      <c r="O7" s="16">
        <f>IF(N7="已下單",M7*資金模擬!$B$7,0)</f>
        <v/>
      </c>
      <c r="P7" s="4" t="n"/>
      <c r="Q7" s="10" t="n">
        <v>0</v>
      </c>
      <c r="R7" s="10">
        <f>R6+Q7</f>
        <v/>
      </c>
      <c r="S7" s="16">
        <f>S6+IF(N7="已下單",M7,0)</f>
        <v/>
      </c>
      <c r="T7" s="16">
        <f>R7-S7</f>
        <v/>
      </c>
      <c r="U7" s="2">
        <f>U6+IF(N7="已下單",1,0)</f>
        <v/>
      </c>
      <c r="V7" s="16">
        <f>IF(資金模擬!$B$9=2,MAX(R7,0),MAX(V6,FLOOR(MAX(R7,0),資金模擬!$B$6)))</f>
        <v/>
      </c>
      <c r="W7" s="10">
        <f>MAX(W6,R7)</f>
        <v/>
      </c>
      <c r="X7" s="4">
        <f>IF(W7&gt;0,R7/W7-1,-1)</f>
        <v/>
      </c>
      <c r="Y7" s="16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46289.84652777778</v>
      </c>
      <c r="C8" s="2" t="inlineStr">
        <is>
          <t>出場</t>
        </is>
      </c>
      <c r="D8" s="2" t="n">
        <v>4</v>
      </c>
      <c r="E8" s="2" t="inlineStr">
        <is>
          <t>PHA_USDT_PERP</t>
        </is>
      </c>
      <c r="F8" s="2" t="inlineStr">
        <is>
          <t>做空</t>
        </is>
      </c>
      <c r="G8" s="17" t="n">
        <v>0.05098</v>
      </c>
      <c r="H8" s="17" t="n">
        <v>0.0494506</v>
      </c>
      <c r="I8" s="17" t="n">
        <v>0.053529</v>
      </c>
      <c r="J8" s="17" t="n">
        <v>0.053529</v>
      </c>
      <c r="K8" s="2" t="inlineStr">
        <is>
          <t>止損</t>
        </is>
      </c>
      <c r="L8" s="5">
        <f>交易明細!K5</f>
        <v/>
      </c>
      <c r="M8" s="16">
        <f>M7</f>
        <v/>
      </c>
      <c r="N8" s="2">
        <f>N7</f>
        <v/>
      </c>
      <c r="O8" s="16">
        <f>O7</f>
        <v/>
      </c>
      <c r="P8" s="4">
        <f>交易明細!L5</f>
        <v/>
      </c>
      <c r="Q8" s="10">
        <f>IF(N8="已下單",O8*P8,0)</f>
        <v/>
      </c>
      <c r="R8" s="10">
        <f>R7+Q8</f>
        <v/>
      </c>
      <c r="S8" s="16">
        <f>S7-IF(N8="已下單",M8,0)</f>
        <v/>
      </c>
      <c r="T8" s="16">
        <f>R8-S8</f>
        <v/>
      </c>
      <c r="U8" s="2">
        <f>U7-IF(N8="已下單",1,0)</f>
        <v/>
      </c>
      <c r="V8" s="16">
        <f>IF(資金模擬!$B$9=2,MAX(R8,0),MAX(V7,FLOOR(MAX(R8,0),資金模擬!$B$6)))</f>
        <v/>
      </c>
      <c r="W8" s="10">
        <f>MAX(W7,R8)</f>
        <v/>
      </c>
      <c r="X8" s="4">
        <f>IF(W8&gt;0,R8/W8-1,-1)</f>
        <v/>
      </c>
      <c r="Y8" s="16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46289.85347222222</v>
      </c>
      <c r="C9" s="2" t="inlineStr">
        <is>
          <t>出場</t>
        </is>
      </c>
      <c r="D9" s="2" t="n">
        <v>2</v>
      </c>
      <c r="E9" s="2" t="inlineStr">
        <is>
          <t>BROCCOLI_USDT_PERP</t>
        </is>
      </c>
      <c r="F9" s="2" t="inlineStr">
        <is>
          <t>做空</t>
        </is>
      </c>
      <c r="G9" s="17" t="n">
        <v>0.02867</v>
      </c>
      <c r="H9" s="17" t="n">
        <v>0.0278099</v>
      </c>
      <c r="I9" s="17" t="n">
        <v>0.0301035</v>
      </c>
      <c r="J9" s="17" t="n">
        <v>0.0301035</v>
      </c>
      <c r="K9" s="2" t="inlineStr">
        <is>
          <t>止損</t>
        </is>
      </c>
      <c r="L9" s="5">
        <f>交易明細!K3</f>
        <v/>
      </c>
      <c r="M9" s="16">
        <f>M5</f>
        <v/>
      </c>
      <c r="N9" s="2">
        <f>N5</f>
        <v/>
      </c>
      <c r="O9" s="16">
        <f>O5</f>
        <v/>
      </c>
      <c r="P9" s="4">
        <f>交易明細!L3</f>
        <v/>
      </c>
      <c r="Q9" s="10">
        <f>IF(N9="已下單",O9*P9,0)</f>
        <v/>
      </c>
      <c r="R9" s="10">
        <f>R8+Q9</f>
        <v/>
      </c>
      <c r="S9" s="16">
        <f>S8-IF(N9="已下單",M9,0)</f>
        <v/>
      </c>
      <c r="T9" s="16">
        <f>R9-S9</f>
        <v/>
      </c>
      <c r="U9" s="2">
        <f>U8-IF(N9="已下單",1,0)</f>
        <v/>
      </c>
      <c r="V9" s="16">
        <f>IF(資金模擬!$B$9=2,MAX(R9,0),MAX(V8,FLOOR(MAX(R9,0),資金模擬!$B$6)))</f>
        <v/>
      </c>
      <c r="W9" s="10">
        <f>MAX(W8,R9)</f>
        <v/>
      </c>
      <c r="X9" s="4">
        <f>IF(W9&gt;0,R9/W9-1,-1)</f>
        <v/>
      </c>
      <c r="Y9" s="16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46289.94236111111</v>
      </c>
      <c r="C10" s="2" t="inlineStr">
        <is>
          <t>進場</t>
        </is>
      </c>
      <c r="D10" s="2" t="n">
        <v>5</v>
      </c>
      <c r="E10" s="2" t="inlineStr">
        <is>
          <t>BB_USDT_PERP</t>
        </is>
      </c>
      <c r="F10" s="2" t="inlineStr">
        <is>
          <t>做空</t>
        </is>
      </c>
      <c r="G10" s="17" t="n">
        <v>0.01095</v>
      </c>
      <c r="H10" s="17" t="n">
        <v>0.0106215</v>
      </c>
      <c r="I10" s="17" t="n">
        <v>0.0114975</v>
      </c>
      <c r="J10" s="17" t="n"/>
      <c r="K10" s="2" t="n"/>
      <c r="L10" s="5" t="n"/>
      <c r="M10" s="16">
        <f>資金模擬!$B$5*V9</f>
        <v/>
      </c>
      <c r="N10" s="2">
        <f>IF(Z9=1,"已停止",IF(T9&gt;=M10,"已下單","資金不足略過"))</f>
        <v/>
      </c>
      <c r="O10" s="16">
        <f>IF(N10="已下單",M10*資金模擬!$B$7,0)</f>
        <v/>
      </c>
      <c r="P10" s="4" t="n"/>
      <c r="Q10" s="10" t="n">
        <v>0</v>
      </c>
      <c r="R10" s="10">
        <f>R9+Q10</f>
        <v/>
      </c>
      <c r="S10" s="16">
        <f>S9+IF(N10="已下單",M10,0)</f>
        <v/>
      </c>
      <c r="T10" s="16">
        <f>R10-S10</f>
        <v/>
      </c>
      <c r="U10" s="2">
        <f>U9+IF(N10="已下單",1,0)</f>
        <v/>
      </c>
      <c r="V10" s="16">
        <f>IF(資金模擬!$B$9=2,MAX(R10,0),MAX(V9,FLOOR(MAX(R10,0),資金模擬!$B$6)))</f>
        <v/>
      </c>
      <c r="W10" s="10">
        <f>MAX(W9,R10)</f>
        <v/>
      </c>
      <c r="X10" s="4">
        <f>IF(W10&gt;0,R10/W10-1,-1)</f>
        <v/>
      </c>
      <c r="Y10" s="16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46289.97430555556</v>
      </c>
      <c r="C11" s="2" t="inlineStr">
        <is>
          <t>出場</t>
        </is>
      </c>
      <c r="D11" s="2" t="n">
        <v>3</v>
      </c>
      <c r="E11" s="2" t="inlineStr">
        <is>
          <t>AGT_USDT_PERP</t>
        </is>
      </c>
      <c r="F11" s="2" t="inlineStr">
        <is>
          <t>做空</t>
        </is>
      </c>
      <c r="G11" s="17" t="n">
        <v>0.019584</v>
      </c>
      <c r="H11" s="17" t="n">
        <v>0.01899648</v>
      </c>
      <c r="I11" s="17" t="n">
        <v>0.0205632</v>
      </c>
      <c r="J11" s="17" t="n">
        <v>0.01899648</v>
      </c>
      <c r="K11" s="2" t="inlineStr">
        <is>
          <t>止盈</t>
        </is>
      </c>
      <c r="L11" s="5">
        <f>交易明細!K4</f>
        <v/>
      </c>
      <c r="M11" s="16">
        <f>M6</f>
        <v/>
      </c>
      <c r="N11" s="2">
        <f>N6</f>
        <v/>
      </c>
      <c r="O11" s="16">
        <f>O6</f>
        <v/>
      </c>
      <c r="P11" s="4">
        <f>交易明細!L4</f>
        <v/>
      </c>
      <c r="Q11" s="10">
        <f>IF(N11="已下單",O11*P11,0)</f>
        <v/>
      </c>
      <c r="R11" s="10">
        <f>R10+Q11</f>
        <v/>
      </c>
      <c r="S11" s="16">
        <f>S10-IF(N11="已下單",M11,0)</f>
        <v/>
      </c>
      <c r="T11" s="16">
        <f>R11-S11</f>
        <v/>
      </c>
      <c r="U11" s="2">
        <f>U10-IF(N11="已下單",1,0)</f>
        <v/>
      </c>
      <c r="V11" s="16">
        <f>IF(資金模擬!$B$9=2,MAX(R11,0),MAX(V10,FLOOR(MAX(R11,0),資金模擬!$B$6)))</f>
        <v/>
      </c>
      <c r="W11" s="10">
        <f>MAX(W10,R11)</f>
        <v/>
      </c>
      <c r="X11" s="4">
        <f>IF(W11&gt;0,R11/W11-1,-1)</f>
        <v/>
      </c>
      <c r="Y11" s="16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46289.99236111111</v>
      </c>
      <c r="C12" s="2" t="inlineStr">
        <is>
          <t>出場</t>
        </is>
      </c>
      <c r="D12" s="2" t="n">
        <v>5</v>
      </c>
      <c r="E12" s="2" t="inlineStr">
        <is>
          <t>BB_USDT_PERP</t>
        </is>
      </c>
      <c r="F12" s="2" t="inlineStr">
        <is>
          <t>做空</t>
        </is>
      </c>
      <c r="G12" s="17" t="n">
        <v>0.01095</v>
      </c>
      <c r="H12" s="17" t="n">
        <v>0.0106215</v>
      </c>
      <c r="I12" s="17" t="n">
        <v>0.0114975</v>
      </c>
      <c r="J12" s="17" t="n">
        <v>0.0106215</v>
      </c>
      <c r="K12" s="2" t="inlineStr">
        <is>
          <t>止盈</t>
        </is>
      </c>
      <c r="L12" s="5">
        <f>交易明細!K6</f>
        <v/>
      </c>
      <c r="M12" s="16">
        <f>M10</f>
        <v/>
      </c>
      <c r="N12" s="2">
        <f>N10</f>
        <v/>
      </c>
      <c r="O12" s="16">
        <f>O10</f>
        <v/>
      </c>
      <c r="P12" s="4">
        <f>交易明細!L6</f>
        <v/>
      </c>
      <c r="Q12" s="10">
        <f>IF(N12="已下單",O12*P12,0)</f>
        <v/>
      </c>
      <c r="R12" s="10">
        <f>R11+Q12</f>
        <v/>
      </c>
      <c r="S12" s="16">
        <f>S11-IF(N12="已下單",M12,0)</f>
        <v/>
      </c>
      <c r="T12" s="16">
        <f>R12-S12</f>
        <v/>
      </c>
      <c r="U12" s="2">
        <f>U11-IF(N12="已下單",1,0)</f>
        <v/>
      </c>
      <c r="V12" s="16">
        <f>IF(資金模擬!$B$9=2,MAX(R12,0),MAX(V11,FLOOR(MAX(R12,0),資金模擬!$B$6)))</f>
        <v/>
      </c>
      <c r="W12" s="10">
        <f>MAX(W11,R12)</f>
        <v/>
      </c>
      <c r="X12" s="4">
        <f>IF(W12&gt;0,R12/W12-1,-1)</f>
        <v/>
      </c>
      <c r="Y12" s="16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46290.01111111111</v>
      </c>
      <c r="C13" s="2" t="inlineStr">
        <is>
          <t>進場</t>
        </is>
      </c>
      <c r="D13" s="2" t="n">
        <v>6</v>
      </c>
      <c r="E13" s="2" t="inlineStr">
        <is>
          <t>RIVER_USDT_PERP</t>
        </is>
      </c>
      <c r="F13" s="2" t="inlineStr">
        <is>
          <t>做空</t>
        </is>
      </c>
      <c r="G13" s="17" t="n">
        <v>1.278</v>
      </c>
      <c r="H13" s="17" t="n">
        <v>1.23966</v>
      </c>
      <c r="I13" s="17" t="n">
        <v>1.3419</v>
      </c>
      <c r="J13" s="17" t="n"/>
      <c r="K13" s="2" t="n"/>
      <c r="L13" s="5" t="n"/>
      <c r="M13" s="16">
        <f>資金模擬!$B$5*V12</f>
        <v/>
      </c>
      <c r="N13" s="2">
        <f>IF(Z12=1,"已停止",IF(T12&gt;=M13,"已下單","資金不足略過"))</f>
        <v/>
      </c>
      <c r="O13" s="16">
        <f>IF(N13="已下單",M13*資金模擬!$B$7,0)</f>
        <v/>
      </c>
      <c r="P13" s="4" t="n"/>
      <c r="Q13" s="10" t="n">
        <v>0</v>
      </c>
      <c r="R13" s="10">
        <f>R12+Q13</f>
        <v/>
      </c>
      <c r="S13" s="16">
        <f>S12+IF(N13="已下單",M13,0)</f>
        <v/>
      </c>
      <c r="T13" s="16">
        <f>R13-S13</f>
        <v/>
      </c>
      <c r="U13" s="2">
        <f>U12+IF(N13="已下單",1,0)</f>
        <v/>
      </c>
      <c r="V13" s="16">
        <f>IF(資金模擬!$B$9=2,MAX(R13,0),MAX(V12,FLOOR(MAX(R13,0),資金模擬!$B$6)))</f>
        <v/>
      </c>
      <c r="W13" s="10">
        <f>MAX(W12,R13)</f>
        <v/>
      </c>
      <c r="X13" s="4">
        <f>IF(W13&gt;0,R13/W13-1,-1)</f>
        <v/>
      </c>
      <c r="Y13" s="16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46290.01458333333</v>
      </c>
      <c r="C14" s="2" t="inlineStr">
        <is>
          <t>進場</t>
        </is>
      </c>
      <c r="D14" s="2" t="n">
        <v>7</v>
      </c>
      <c r="E14" s="2" t="inlineStr">
        <is>
          <t>LAB_USDT_PERP</t>
        </is>
      </c>
      <c r="F14" s="2" t="inlineStr">
        <is>
          <t>做空</t>
        </is>
      </c>
      <c r="G14" s="17" t="n">
        <v>0.06094</v>
      </c>
      <c r="H14" s="17" t="n">
        <v>0.0591118</v>
      </c>
      <c r="I14" s="17" t="n">
        <v>0.063987</v>
      </c>
      <c r="J14" s="17" t="n"/>
      <c r="K14" s="2" t="n"/>
      <c r="L14" s="5" t="n"/>
      <c r="M14" s="16">
        <f>資金模擬!$B$5*V13</f>
        <v/>
      </c>
      <c r="N14" s="2">
        <f>IF(Z13=1,"已停止",IF(T13&gt;=M14,"已下單","資金不足略過"))</f>
        <v/>
      </c>
      <c r="O14" s="16">
        <f>IF(N14="已下單",M14*資金模擬!$B$7,0)</f>
        <v/>
      </c>
      <c r="P14" s="4" t="n"/>
      <c r="Q14" s="10" t="n">
        <v>0</v>
      </c>
      <c r="R14" s="10">
        <f>R13+Q14</f>
        <v/>
      </c>
      <c r="S14" s="16">
        <f>S13+IF(N14="已下單",M14,0)</f>
        <v/>
      </c>
      <c r="T14" s="16">
        <f>R14-S14</f>
        <v/>
      </c>
      <c r="U14" s="2">
        <f>U13+IF(N14="已下單",1,0)</f>
        <v/>
      </c>
      <c r="V14" s="16">
        <f>IF(資金模擬!$B$9=2,MAX(R14,0),MAX(V13,FLOOR(MAX(R14,0),資金模擬!$B$6)))</f>
        <v/>
      </c>
      <c r="W14" s="10">
        <f>MAX(W13,R14)</f>
        <v/>
      </c>
      <c r="X14" s="4">
        <f>IF(W14&gt;0,R14/W14-1,-1)</f>
        <v/>
      </c>
      <c r="Y14" s="16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46290.26388888889</v>
      </c>
      <c r="C15" s="2" t="inlineStr">
        <is>
          <t>出場</t>
        </is>
      </c>
      <c r="D15" s="2" t="n">
        <v>7</v>
      </c>
      <c r="E15" s="2" t="inlineStr">
        <is>
          <t>LAB_USDT_PERP</t>
        </is>
      </c>
      <c r="F15" s="2" t="inlineStr">
        <is>
          <t>做空</t>
        </is>
      </c>
      <c r="G15" s="17" t="n">
        <v>0.06094</v>
      </c>
      <c r="H15" s="17" t="n">
        <v>0.0591118</v>
      </c>
      <c r="I15" s="17" t="n">
        <v>0.063987</v>
      </c>
      <c r="J15" s="17" t="n">
        <v>0.0591118</v>
      </c>
      <c r="K15" s="2" t="inlineStr">
        <is>
          <t>止盈</t>
        </is>
      </c>
      <c r="L15" s="5">
        <f>交易明細!K8</f>
        <v/>
      </c>
      <c r="M15" s="16">
        <f>M14</f>
        <v/>
      </c>
      <c r="N15" s="2">
        <f>N14</f>
        <v/>
      </c>
      <c r="O15" s="16">
        <f>O14</f>
        <v/>
      </c>
      <c r="P15" s="4">
        <f>交易明細!L8</f>
        <v/>
      </c>
      <c r="Q15" s="10">
        <f>IF(N15="已下單",O15*P15,0)</f>
        <v/>
      </c>
      <c r="R15" s="10">
        <f>R14+Q15</f>
        <v/>
      </c>
      <c r="S15" s="16">
        <f>S14-IF(N15="已下單",M15,0)</f>
        <v/>
      </c>
      <c r="T15" s="16">
        <f>R15-S15</f>
        <v/>
      </c>
      <c r="U15" s="2">
        <f>U14-IF(N15="已下單",1,0)</f>
        <v/>
      </c>
      <c r="V15" s="16">
        <f>IF(資金模擬!$B$9=2,MAX(R15,0),MAX(V14,FLOOR(MAX(R15,0),資金模擬!$B$6)))</f>
        <v/>
      </c>
      <c r="W15" s="10">
        <f>MAX(W14,R15)</f>
        <v/>
      </c>
      <c r="X15" s="4">
        <f>IF(W15&gt;0,R15/W15-1,-1)</f>
        <v/>
      </c>
      <c r="Y15" s="16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46290.3375</v>
      </c>
      <c r="C16" s="2" t="inlineStr">
        <is>
          <t>進場</t>
        </is>
      </c>
      <c r="D16" s="2" t="n">
        <v>8</v>
      </c>
      <c r="E16" s="2" t="inlineStr">
        <is>
          <t>SAGA_USDT_PERP</t>
        </is>
      </c>
      <c r="F16" s="2" t="inlineStr">
        <is>
          <t>做空</t>
        </is>
      </c>
      <c r="G16" s="17" t="n">
        <v>0.07862</v>
      </c>
      <c r="H16" s="17" t="n">
        <v>0.07626139999999999</v>
      </c>
      <c r="I16" s="17" t="n">
        <v>0.082551</v>
      </c>
      <c r="J16" s="17" t="n"/>
      <c r="K16" s="2" t="n"/>
      <c r="L16" s="5" t="n"/>
      <c r="M16" s="16">
        <f>資金模擬!$B$5*V15</f>
        <v/>
      </c>
      <c r="N16" s="2">
        <f>IF(Z15=1,"已停止",IF(T15&gt;=M16,"已下單","資金不足略過"))</f>
        <v/>
      </c>
      <c r="O16" s="16">
        <f>IF(N16="已下單",M16*資金模擬!$B$7,0)</f>
        <v/>
      </c>
      <c r="P16" s="4" t="n"/>
      <c r="Q16" s="10" t="n">
        <v>0</v>
      </c>
      <c r="R16" s="10">
        <f>R15+Q16</f>
        <v/>
      </c>
      <c r="S16" s="16">
        <f>S15+IF(N16="已下單",M16,0)</f>
        <v/>
      </c>
      <c r="T16" s="16">
        <f>R16-S16</f>
        <v/>
      </c>
      <c r="U16" s="2">
        <f>U15+IF(N16="已下單",1,0)</f>
        <v/>
      </c>
      <c r="V16" s="16">
        <f>IF(資金模擬!$B$9=2,MAX(R16,0),MAX(V15,FLOOR(MAX(R16,0),資金模擬!$B$6)))</f>
        <v/>
      </c>
      <c r="W16" s="10">
        <f>MAX(W15,R16)</f>
        <v/>
      </c>
      <c r="X16" s="4">
        <f>IF(W16&gt;0,R16/W16-1,-1)</f>
        <v/>
      </c>
      <c r="Y16" s="16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46290.33819444444</v>
      </c>
      <c r="C17" s="2" t="inlineStr">
        <is>
          <t>出場</t>
        </is>
      </c>
      <c r="D17" s="2" t="n">
        <v>8</v>
      </c>
      <c r="E17" s="2" t="inlineStr">
        <is>
          <t>SAGA_USDT_PERP</t>
        </is>
      </c>
      <c r="F17" s="2" t="inlineStr">
        <is>
          <t>做空</t>
        </is>
      </c>
      <c r="G17" s="17" t="n">
        <v>0.07862</v>
      </c>
      <c r="H17" s="17" t="n">
        <v>0.07626139999999999</v>
      </c>
      <c r="I17" s="17" t="n">
        <v>0.082551</v>
      </c>
      <c r="J17" s="17" t="n">
        <v>0.07626139999999999</v>
      </c>
      <c r="K17" s="2" t="inlineStr">
        <is>
          <t>止盈</t>
        </is>
      </c>
      <c r="L17" s="5">
        <f>交易明細!K9</f>
        <v/>
      </c>
      <c r="M17" s="16">
        <f>M16</f>
        <v/>
      </c>
      <c r="N17" s="2">
        <f>N16</f>
        <v/>
      </c>
      <c r="O17" s="16">
        <f>O16</f>
        <v/>
      </c>
      <c r="P17" s="4">
        <f>交易明細!L9</f>
        <v/>
      </c>
      <c r="Q17" s="10">
        <f>IF(N17="已下單",O17*P17,0)</f>
        <v/>
      </c>
      <c r="R17" s="10">
        <f>R16+Q17</f>
        <v/>
      </c>
      <c r="S17" s="16">
        <f>S16-IF(N17="已下單",M17,0)</f>
        <v/>
      </c>
      <c r="T17" s="16">
        <f>R17-S17</f>
        <v/>
      </c>
      <c r="U17" s="2">
        <f>U16-IF(N17="已下單",1,0)</f>
        <v/>
      </c>
      <c r="V17" s="16">
        <f>IF(資金模擬!$B$9=2,MAX(R17,0),MAX(V16,FLOOR(MAX(R17,0),資金模擬!$B$6)))</f>
        <v/>
      </c>
      <c r="W17" s="10">
        <f>MAX(W16,R17)</f>
        <v/>
      </c>
      <c r="X17" s="4">
        <f>IF(W17&gt;0,R17/W17-1,-1)</f>
        <v/>
      </c>
      <c r="Y17" s="16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46290.44930555556</v>
      </c>
      <c r="C18" s="2" t="inlineStr">
        <is>
          <t>出場</t>
        </is>
      </c>
      <c r="D18" s="2" t="n">
        <v>6</v>
      </c>
      <c r="E18" s="2" t="inlineStr">
        <is>
          <t>RIVER_USDT_PERP</t>
        </is>
      </c>
      <c r="F18" s="2" t="inlineStr">
        <is>
          <t>做空</t>
        </is>
      </c>
      <c r="G18" s="17" t="n">
        <v>1.278</v>
      </c>
      <c r="H18" s="17" t="n">
        <v>1.23966</v>
      </c>
      <c r="I18" s="17" t="n">
        <v>1.3419</v>
      </c>
      <c r="J18" s="17" t="n">
        <v>1.23966</v>
      </c>
      <c r="K18" s="2" t="inlineStr">
        <is>
          <t>止盈</t>
        </is>
      </c>
      <c r="L18" s="5">
        <f>交易明細!K7</f>
        <v/>
      </c>
      <c r="M18" s="16">
        <f>M13</f>
        <v/>
      </c>
      <c r="N18" s="2">
        <f>N13</f>
        <v/>
      </c>
      <c r="O18" s="16">
        <f>O13</f>
        <v/>
      </c>
      <c r="P18" s="4">
        <f>交易明細!L7</f>
        <v/>
      </c>
      <c r="Q18" s="10">
        <f>IF(N18="已下單",O18*P18,0)</f>
        <v/>
      </c>
      <c r="R18" s="10">
        <f>R17+Q18</f>
        <v/>
      </c>
      <c r="S18" s="16">
        <f>S17-IF(N18="已下單",M18,0)</f>
        <v/>
      </c>
      <c r="T18" s="16">
        <f>R18-S18</f>
        <v/>
      </c>
      <c r="U18" s="2">
        <f>U17-IF(N18="已下單",1,0)</f>
        <v/>
      </c>
      <c r="V18" s="16">
        <f>IF(資金模擬!$B$9=2,MAX(R18,0),MAX(V17,FLOOR(MAX(R18,0),資金模擬!$B$6)))</f>
        <v/>
      </c>
      <c r="W18" s="10">
        <f>MAX(W17,R18)</f>
        <v/>
      </c>
      <c r="X18" s="4">
        <f>IF(W18&gt;0,R18/W18-1,-1)</f>
        <v/>
      </c>
      <c r="Y18" s="16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46290.45555555556</v>
      </c>
      <c r="C19" s="2" t="inlineStr">
        <is>
          <t>進場</t>
        </is>
      </c>
      <c r="D19" s="2" t="n">
        <v>9</v>
      </c>
      <c r="E19" s="2" t="inlineStr">
        <is>
          <t>PLAY_USDT_PERP</t>
        </is>
      </c>
      <c r="F19" s="2" t="inlineStr">
        <is>
          <t>做空</t>
        </is>
      </c>
      <c r="G19" s="17" t="n">
        <v>0.04057</v>
      </c>
      <c r="H19" s="17" t="n">
        <v>0.0393529</v>
      </c>
      <c r="I19" s="17" t="n">
        <v>0.0425985</v>
      </c>
      <c r="J19" s="17" t="n"/>
      <c r="K19" s="2" t="n"/>
      <c r="L19" s="5" t="n"/>
      <c r="M19" s="16">
        <f>資金模擬!$B$5*V18</f>
        <v/>
      </c>
      <c r="N19" s="2">
        <f>IF(Z18=1,"已停止",IF(T18&gt;=M19,"已下單","資金不足略過"))</f>
        <v/>
      </c>
      <c r="O19" s="16">
        <f>IF(N19="已下單",M19*資金模擬!$B$7,0)</f>
        <v/>
      </c>
      <c r="P19" s="4" t="n"/>
      <c r="Q19" s="10" t="n">
        <v>0</v>
      </c>
      <c r="R19" s="10">
        <f>R18+Q19</f>
        <v/>
      </c>
      <c r="S19" s="16">
        <f>S18+IF(N19="已下單",M19,0)</f>
        <v/>
      </c>
      <c r="T19" s="16">
        <f>R19-S19</f>
        <v/>
      </c>
      <c r="U19" s="2">
        <f>U18+IF(N19="已下單",1,0)</f>
        <v/>
      </c>
      <c r="V19" s="16">
        <f>IF(資金模擬!$B$9=2,MAX(R19,0),MAX(V18,FLOOR(MAX(R19,0),資金模擬!$B$6)))</f>
        <v/>
      </c>
      <c r="W19" s="10">
        <f>MAX(W18,R19)</f>
        <v/>
      </c>
      <c r="X19" s="4">
        <f>IF(W19&gt;0,R19/W19-1,-1)</f>
        <v/>
      </c>
      <c r="Y19" s="16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46290.48263888889</v>
      </c>
      <c r="C20" s="2" t="inlineStr">
        <is>
          <t>出場</t>
        </is>
      </c>
      <c r="D20" s="2" t="n">
        <v>9</v>
      </c>
      <c r="E20" s="2" t="inlineStr">
        <is>
          <t>PLAY_USDT_PERP</t>
        </is>
      </c>
      <c r="F20" s="2" t="inlineStr">
        <is>
          <t>做空</t>
        </is>
      </c>
      <c r="G20" s="17" t="n">
        <v>0.04057</v>
      </c>
      <c r="H20" s="17" t="n">
        <v>0.0393529</v>
      </c>
      <c r="I20" s="17" t="n">
        <v>0.0425985</v>
      </c>
      <c r="J20" s="17" t="n">
        <v>0.0393529</v>
      </c>
      <c r="K20" s="2" t="inlineStr">
        <is>
          <t>止盈</t>
        </is>
      </c>
      <c r="L20" s="5">
        <f>交易明細!K10</f>
        <v/>
      </c>
      <c r="M20" s="16">
        <f>M19</f>
        <v/>
      </c>
      <c r="N20" s="2">
        <f>N19</f>
        <v/>
      </c>
      <c r="O20" s="16">
        <f>O19</f>
        <v/>
      </c>
      <c r="P20" s="4">
        <f>交易明細!L10</f>
        <v/>
      </c>
      <c r="Q20" s="10">
        <f>IF(N20="已下單",O20*P20,0)</f>
        <v/>
      </c>
      <c r="R20" s="10">
        <f>R19+Q20</f>
        <v/>
      </c>
      <c r="S20" s="16">
        <f>S19-IF(N20="已下單",M20,0)</f>
        <v/>
      </c>
      <c r="T20" s="16">
        <f>R20-S20</f>
        <v/>
      </c>
      <c r="U20" s="2">
        <f>U19-IF(N20="已下單",1,0)</f>
        <v/>
      </c>
      <c r="V20" s="16">
        <f>IF(資金模擬!$B$9=2,MAX(R20,0),MAX(V19,FLOOR(MAX(R20,0),資金模擬!$B$6)))</f>
        <v/>
      </c>
      <c r="W20" s="10">
        <f>MAX(W19,R20)</f>
        <v/>
      </c>
      <c r="X20" s="4">
        <f>IF(W20&gt;0,R20/W20-1,-1)</f>
        <v/>
      </c>
      <c r="Y20" s="16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46290.54375</v>
      </c>
      <c r="C21" s="2" t="inlineStr">
        <is>
          <t>進場</t>
        </is>
      </c>
      <c r="D21" s="2" t="n">
        <v>10</v>
      </c>
      <c r="E21" s="2" t="inlineStr">
        <is>
          <t>MOVR_USDT_PERP</t>
        </is>
      </c>
      <c r="F21" s="2" t="inlineStr">
        <is>
          <t>做空</t>
        </is>
      </c>
      <c r="G21" s="17" t="n">
        <v>0.974</v>
      </c>
      <c r="H21" s="17" t="n">
        <v>0.94478</v>
      </c>
      <c r="I21" s="17" t="n">
        <v>1.0227</v>
      </c>
      <c r="J21" s="17" t="n"/>
      <c r="K21" s="2" t="n"/>
      <c r="L21" s="5" t="n"/>
      <c r="M21" s="16">
        <f>資金模擬!$B$5*V20</f>
        <v/>
      </c>
      <c r="N21" s="2">
        <f>IF(Z20=1,"已停止",IF(T20&gt;=M21,"已下單","資金不足略過"))</f>
        <v/>
      </c>
      <c r="O21" s="16">
        <f>IF(N21="已下單",M21*資金模擬!$B$7,0)</f>
        <v/>
      </c>
      <c r="P21" s="4" t="n"/>
      <c r="Q21" s="10" t="n">
        <v>0</v>
      </c>
      <c r="R21" s="10">
        <f>R20+Q21</f>
        <v/>
      </c>
      <c r="S21" s="16">
        <f>S20+IF(N21="已下單",M21,0)</f>
        <v/>
      </c>
      <c r="T21" s="16">
        <f>R21-S21</f>
        <v/>
      </c>
      <c r="U21" s="2">
        <f>U20+IF(N21="已下單",1,0)</f>
        <v/>
      </c>
      <c r="V21" s="16">
        <f>IF(資金模擬!$B$9=2,MAX(R21,0),MAX(V20,FLOOR(MAX(R21,0),資金模擬!$B$6)))</f>
        <v/>
      </c>
      <c r="W21" s="10">
        <f>MAX(W20,R21)</f>
        <v/>
      </c>
      <c r="X21" s="4">
        <f>IF(W21&gt;0,R21/W21-1,-1)</f>
        <v/>
      </c>
      <c r="Y21" s="16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46290.55763888889</v>
      </c>
      <c r="C22" s="2" t="inlineStr">
        <is>
          <t>出場</t>
        </is>
      </c>
      <c r="D22" s="2" t="n">
        <v>10</v>
      </c>
      <c r="E22" s="2" t="inlineStr">
        <is>
          <t>MOVR_USDT_PERP</t>
        </is>
      </c>
      <c r="F22" s="2" t="inlineStr">
        <is>
          <t>做空</t>
        </is>
      </c>
      <c r="G22" s="17" t="n">
        <v>0.974</v>
      </c>
      <c r="H22" s="17" t="n">
        <v>0.94478</v>
      </c>
      <c r="I22" s="17" t="n">
        <v>1.0227</v>
      </c>
      <c r="J22" s="17" t="n">
        <v>0.94478</v>
      </c>
      <c r="K22" s="2" t="inlineStr">
        <is>
          <t>止盈</t>
        </is>
      </c>
      <c r="L22" s="5">
        <f>交易明細!K11</f>
        <v/>
      </c>
      <c r="M22" s="16">
        <f>M21</f>
        <v/>
      </c>
      <c r="N22" s="2">
        <f>N21</f>
        <v/>
      </c>
      <c r="O22" s="16">
        <f>O21</f>
        <v/>
      </c>
      <c r="P22" s="4">
        <f>交易明細!L11</f>
        <v/>
      </c>
      <c r="Q22" s="10">
        <f>IF(N22="已下單",O22*P22,0)</f>
        <v/>
      </c>
      <c r="R22" s="10">
        <f>R21+Q22</f>
        <v/>
      </c>
      <c r="S22" s="16">
        <f>S21-IF(N22="已下單",M22,0)</f>
        <v/>
      </c>
      <c r="T22" s="16">
        <f>R22-S22</f>
        <v/>
      </c>
      <c r="U22" s="2">
        <f>U21-IF(N22="已下單",1,0)</f>
        <v/>
      </c>
      <c r="V22" s="16">
        <f>IF(資金模擬!$B$9=2,MAX(R22,0),MAX(V21,FLOOR(MAX(R22,0),資金模擬!$B$6)))</f>
        <v/>
      </c>
      <c r="W22" s="10">
        <f>MAX(W21,R22)</f>
        <v/>
      </c>
      <c r="X22" s="4">
        <f>IF(W22&gt;0,R22/W22-1,-1)</f>
        <v/>
      </c>
      <c r="Y22" s="16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46290.64305555556</v>
      </c>
      <c r="C23" s="2" t="inlineStr">
        <is>
          <t>進場</t>
        </is>
      </c>
      <c r="D23" s="2" t="n">
        <v>11</v>
      </c>
      <c r="E23" s="2" t="inlineStr">
        <is>
          <t>PHA_USDT_PERP</t>
        </is>
      </c>
      <c r="F23" s="2" t="inlineStr">
        <is>
          <t>做空</t>
        </is>
      </c>
      <c r="G23" s="17" t="n">
        <v>0.05717</v>
      </c>
      <c r="H23" s="17" t="n">
        <v>0.05545489999999999</v>
      </c>
      <c r="I23" s="17" t="n">
        <v>0.0600285</v>
      </c>
      <c r="J23" s="17" t="n"/>
      <c r="K23" s="2" t="n"/>
      <c r="L23" s="5" t="n"/>
      <c r="M23" s="16">
        <f>資金模擬!$B$5*V22</f>
        <v/>
      </c>
      <c r="N23" s="2">
        <f>IF(Z22=1,"已停止",IF(T22&gt;=M23,"已下單","資金不足略過"))</f>
        <v/>
      </c>
      <c r="O23" s="16">
        <f>IF(N23="已下單",M23*資金模擬!$B$7,0)</f>
        <v/>
      </c>
      <c r="P23" s="4" t="n"/>
      <c r="Q23" s="10" t="n">
        <v>0</v>
      </c>
      <c r="R23" s="10">
        <f>R22+Q23</f>
        <v/>
      </c>
      <c r="S23" s="16">
        <f>S22+IF(N23="已下單",M23,0)</f>
        <v/>
      </c>
      <c r="T23" s="16">
        <f>R23-S23</f>
        <v/>
      </c>
      <c r="U23" s="2">
        <f>U22+IF(N23="已下單",1,0)</f>
        <v/>
      </c>
      <c r="V23" s="16">
        <f>IF(資金模擬!$B$9=2,MAX(R23,0),MAX(V22,FLOOR(MAX(R23,0),資金模擬!$B$6)))</f>
        <v/>
      </c>
      <c r="W23" s="10">
        <f>MAX(W22,R23)</f>
        <v/>
      </c>
      <c r="X23" s="4">
        <f>IF(W23&gt;0,R23/W23-1,-1)</f>
        <v/>
      </c>
      <c r="Y23" s="16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46290.66527777778</v>
      </c>
      <c r="C24" s="2" t="inlineStr">
        <is>
          <t>出場</t>
        </is>
      </c>
      <c r="D24" s="2" t="n">
        <v>11</v>
      </c>
      <c r="E24" s="2" t="inlineStr">
        <is>
          <t>PHA_USDT_PERP</t>
        </is>
      </c>
      <c r="F24" s="2" t="inlineStr">
        <is>
          <t>做空</t>
        </is>
      </c>
      <c r="G24" s="17" t="n">
        <v>0.05717</v>
      </c>
      <c r="H24" s="17" t="n">
        <v>0.05545489999999999</v>
      </c>
      <c r="I24" s="17" t="n">
        <v>0.0600285</v>
      </c>
      <c r="J24" s="17" t="n">
        <v>0.05545489999999999</v>
      </c>
      <c r="K24" s="2" t="inlineStr">
        <is>
          <t>止盈</t>
        </is>
      </c>
      <c r="L24" s="5">
        <f>交易明細!K12</f>
        <v/>
      </c>
      <c r="M24" s="16">
        <f>M23</f>
        <v/>
      </c>
      <c r="N24" s="2">
        <f>N23</f>
        <v/>
      </c>
      <c r="O24" s="16">
        <f>O23</f>
        <v/>
      </c>
      <c r="P24" s="4">
        <f>交易明細!L12</f>
        <v/>
      </c>
      <c r="Q24" s="10">
        <f>IF(N24="已下單",O24*P24,0)</f>
        <v/>
      </c>
      <c r="R24" s="10">
        <f>R23+Q24</f>
        <v/>
      </c>
      <c r="S24" s="16">
        <f>S23-IF(N24="已下單",M24,0)</f>
        <v/>
      </c>
      <c r="T24" s="16">
        <f>R24-S24</f>
        <v/>
      </c>
      <c r="U24" s="2">
        <f>U23-IF(N24="已下單",1,0)</f>
        <v/>
      </c>
      <c r="V24" s="16">
        <f>IF(資金模擬!$B$9=2,MAX(R24,0),MAX(V23,FLOOR(MAX(R24,0),資金模擬!$B$6)))</f>
        <v/>
      </c>
      <c r="W24" s="10">
        <f>MAX(W23,R24)</f>
        <v/>
      </c>
      <c r="X24" s="4">
        <f>IF(W24&gt;0,R24/W24-1,-1)</f>
        <v/>
      </c>
      <c r="Y24" s="16">
        <f>IF(R24&gt;0,S24*資金模擬!$B$7/R24,0)</f>
        <v/>
      </c>
      <c r="Z24" s="2">
        <f>IF(OR(Z23=1,R24&lt;=資金模擬!$B$10),1,0)</f>
        <v/>
      </c>
    </row>
    <row r="25">
      <c r="A25" s="2" t="n">
        <v>23</v>
      </c>
      <c r="B25" s="7" t="n">
        <v>46290.67708333334</v>
      </c>
      <c r="C25" s="2" t="inlineStr">
        <is>
          <t>進場</t>
        </is>
      </c>
      <c r="D25" s="2" t="n">
        <v>12</v>
      </c>
      <c r="E25" s="2" t="inlineStr">
        <is>
          <t>CASHCAT_USDT_PERP</t>
        </is>
      </c>
      <c r="F25" s="2" t="inlineStr">
        <is>
          <t>做空</t>
        </is>
      </c>
      <c r="G25" s="17" t="n">
        <v>0.1726</v>
      </c>
      <c r="H25" s="17" t="n">
        <v>0.167422</v>
      </c>
      <c r="I25" s="17" t="n">
        <v>0.18123</v>
      </c>
      <c r="J25" s="17" t="n"/>
      <c r="K25" s="2" t="n"/>
      <c r="L25" s="5" t="n"/>
      <c r="M25" s="16">
        <f>資金模擬!$B$5*V24</f>
        <v/>
      </c>
      <c r="N25" s="2">
        <f>IF(Z24=1,"已停止",IF(T24&gt;=M25,"已下單","資金不足略過"))</f>
        <v/>
      </c>
      <c r="O25" s="16">
        <f>IF(N25="已下單",M25*資金模擬!$B$7,0)</f>
        <v/>
      </c>
      <c r="P25" s="4" t="n"/>
      <c r="Q25" s="10" t="n">
        <v>0</v>
      </c>
      <c r="R25" s="10">
        <f>R24+Q25</f>
        <v/>
      </c>
      <c r="S25" s="16">
        <f>S24+IF(N25="已下單",M25,0)</f>
        <v/>
      </c>
      <c r="T25" s="16">
        <f>R25-S25</f>
        <v/>
      </c>
      <c r="U25" s="2">
        <f>U24+IF(N25="已下單",1,0)</f>
        <v/>
      </c>
      <c r="V25" s="16">
        <f>IF(資金模擬!$B$9=2,MAX(R25,0),MAX(V24,FLOOR(MAX(R25,0),資金模擬!$B$6)))</f>
        <v/>
      </c>
      <c r="W25" s="10">
        <f>MAX(W24,R25)</f>
        <v/>
      </c>
      <c r="X25" s="4">
        <f>IF(W25&gt;0,R25/W25-1,-1)</f>
        <v/>
      </c>
      <c r="Y25" s="16">
        <f>IF(R25&gt;0,S25*資金模擬!$B$7/R25,0)</f>
        <v/>
      </c>
      <c r="Z25" s="2">
        <f>IF(OR(Z24=1,R25&lt;=資金模擬!$B$10),1,0)</f>
        <v/>
      </c>
    </row>
    <row r="26">
      <c r="A26" s="2" t="n">
        <v>24</v>
      </c>
      <c r="B26" s="7" t="n">
        <v>46290.76041666666</v>
      </c>
      <c r="C26" s="2" t="inlineStr">
        <is>
          <t>出場</t>
        </is>
      </c>
      <c r="D26" s="2" t="n">
        <v>12</v>
      </c>
      <c r="E26" s="2" t="inlineStr">
        <is>
          <t>CASHCAT_USDT_PERP</t>
        </is>
      </c>
      <c r="F26" s="2" t="inlineStr">
        <is>
          <t>做空</t>
        </is>
      </c>
      <c r="G26" s="17" t="n">
        <v>0.1726</v>
      </c>
      <c r="H26" s="17" t="n">
        <v>0.167422</v>
      </c>
      <c r="I26" s="17" t="n">
        <v>0.18123</v>
      </c>
      <c r="J26" s="17" t="n">
        <v>0.18123</v>
      </c>
      <c r="K26" s="2" t="inlineStr">
        <is>
          <t>止損</t>
        </is>
      </c>
      <c r="L26" s="5">
        <f>交易明細!K13</f>
        <v/>
      </c>
      <c r="M26" s="16">
        <f>M25</f>
        <v/>
      </c>
      <c r="N26" s="2">
        <f>N25</f>
        <v/>
      </c>
      <c r="O26" s="16">
        <f>O25</f>
        <v/>
      </c>
      <c r="P26" s="4">
        <f>交易明細!L13</f>
        <v/>
      </c>
      <c r="Q26" s="10">
        <f>IF(N26="已下單",O26*P26,0)</f>
        <v/>
      </c>
      <c r="R26" s="10">
        <f>R25+Q26</f>
        <v/>
      </c>
      <c r="S26" s="16">
        <f>S25-IF(N26="已下單",M26,0)</f>
        <v/>
      </c>
      <c r="T26" s="16">
        <f>R26-S26</f>
        <v/>
      </c>
      <c r="U26" s="2">
        <f>U25-IF(N26="已下單",1,0)</f>
        <v/>
      </c>
      <c r="V26" s="16">
        <f>IF(資金模擬!$B$9=2,MAX(R26,0),MAX(V25,FLOOR(MAX(R26,0),資金模擬!$B$6)))</f>
        <v/>
      </c>
      <c r="W26" s="10">
        <f>MAX(W25,R26)</f>
        <v/>
      </c>
      <c r="X26" s="4">
        <f>IF(W26&gt;0,R26/W26-1,-1)</f>
        <v/>
      </c>
      <c r="Y26" s="16">
        <f>IF(R26&gt;0,S26*資金模擬!$B$7/R26,0)</f>
        <v/>
      </c>
      <c r="Z26" s="2">
        <f>IF(OR(Z25=1,R26&lt;=資金模擬!$B$10),1,0)</f>
        <v/>
      </c>
    </row>
    <row r="27">
      <c r="A27" s="2" t="n">
        <v>25</v>
      </c>
      <c r="B27" s="7" t="n">
        <v>46290.84166666667</v>
      </c>
      <c r="C27" s="2" t="inlineStr">
        <is>
          <t>進場</t>
        </is>
      </c>
      <c r="D27" s="2" t="n">
        <v>13</v>
      </c>
      <c r="E27" s="2" t="inlineStr">
        <is>
          <t>MUBARAK_USDT_PERP</t>
        </is>
      </c>
      <c r="F27" s="2" t="inlineStr">
        <is>
          <t>做空</t>
        </is>
      </c>
      <c r="G27" s="17" t="n">
        <v>0.04613</v>
      </c>
      <c r="H27" s="17" t="n">
        <v>0.0447461</v>
      </c>
      <c r="I27" s="17" t="n">
        <v>0.0484365</v>
      </c>
      <c r="J27" s="17" t="n"/>
      <c r="K27" s="2" t="n"/>
      <c r="L27" s="5" t="n"/>
      <c r="M27" s="16">
        <f>資金模擬!$B$5*V26</f>
        <v/>
      </c>
      <c r="N27" s="2">
        <f>IF(Z26=1,"已停止",IF(T26&gt;=M27,"已下單","資金不足略過"))</f>
        <v/>
      </c>
      <c r="O27" s="16">
        <f>IF(N27="已下單",M27*資金模擬!$B$7,0)</f>
        <v/>
      </c>
      <c r="P27" s="4" t="n"/>
      <c r="Q27" s="10" t="n">
        <v>0</v>
      </c>
      <c r="R27" s="10">
        <f>R26+Q27</f>
        <v/>
      </c>
      <c r="S27" s="16">
        <f>S26+IF(N27="已下單",M27,0)</f>
        <v/>
      </c>
      <c r="T27" s="16">
        <f>R27-S27</f>
        <v/>
      </c>
      <c r="U27" s="2">
        <f>U26+IF(N27="已下單",1,0)</f>
        <v/>
      </c>
      <c r="V27" s="16">
        <f>IF(資金模擬!$B$9=2,MAX(R27,0),MAX(V26,FLOOR(MAX(R27,0),資金模擬!$B$6)))</f>
        <v/>
      </c>
      <c r="W27" s="10">
        <f>MAX(W26,R27)</f>
        <v/>
      </c>
      <c r="X27" s="4">
        <f>IF(W27&gt;0,R27/W27-1,-1)</f>
        <v/>
      </c>
      <c r="Y27" s="16">
        <f>IF(R27&gt;0,S27*資金模擬!$B$7/R27,0)</f>
        <v/>
      </c>
      <c r="Z27" s="2">
        <f>IF(OR(Z26=1,R27&lt;=資金模擬!$B$10),1,0)</f>
        <v/>
      </c>
    </row>
    <row r="28">
      <c r="A28" s="2" t="n">
        <v>26</v>
      </c>
      <c r="B28" s="7" t="n">
        <v>46290.86875</v>
      </c>
      <c r="C28" s="2" t="inlineStr">
        <is>
          <t>出場</t>
        </is>
      </c>
      <c r="D28" s="2" t="n">
        <v>13</v>
      </c>
      <c r="E28" s="2" t="inlineStr">
        <is>
          <t>MUBARAK_USDT_PERP</t>
        </is>
      </c>
      <c r="F28" s="2" t="inlineStr">
        <is>
          <t>做空</t>
        </is>
      </c>
      <c r="G28" s="17" t="n">
        <v>0.04613</v>
      </c>
      <c r="H28" s="17" t="n">
        <v>0.0447461</v>
      </c>
      <c r="I28" s="17" t="n">
        <v>0.0484365</v>
      </c>
      <c r="J28" s="17" t="n">
        <v>0.0447461</v>
      </c>
      <c r="K28" s="2" t="inlineStr">
        <is>
          <t>止盈</t>
        </is>
      </c>
      <c r="L28" s="5">
        <f>交易明細!K14</f>
        <v/>
      </c>
      <c r="M28" s="16">
        <f>M27</f>
        <v/>
      </c>
      <c r="N28" s="2">
        <f>N27</f>
        <v/>
      </c>
      <c r="O28" s="16">
        <f>O27</f>
        <v/>
      </c>
      <c r="P28" s="4">
        <f>交易明細!L14</f>
        <v/>
      </c>
      <c r="Q28" s="10">
        <f>IF(N28="已下單",O28*P28,0)</f>
        <v/>
      </c>
      <c r="R28" s="10">
        <f>R27+Q28</f>
        <v/>
      </c>
      <c r="S28" s="16">
        <f>S27-IF(N28="已下單",M28,0)</f>
        <v/>
      </c>
      <c r="T28" s="16">
        <f>R28-S28</f>
        <v/>
      </c>
      <c r="U28" s="2">
        <f>U27-IF(N28="已下單",1,0)</f>
        <v/>
      </c>
      <c r="V28" s="16">
        <f>IF(資金模擬!$B$9=2,MAX(R28,0),MAX(V27,FLOOR(MAX(R28,0),資金模擬!$B$6)))</f>
        <v/>
      </c>
      <c r="W28" s="10">
        <f>MAX(W27,R28)</f>
        <v/>
      </c>
      <c r="X28" s="4">
        <f>IF(W28&gt;0,R28/W28-1,-1)</f>
        <v/>
      </c>
      <c r="Y28" s="16">
        <f>IF(R28&gt;0,S28*資金模擬!$B$7/R28,0)</f>
        <v/>
      </c>
      <c r="Z28" s="2">
        <f>IF(OR(Z27=1,R28&lt;=資金模擬!$B$10),1,0)</f>
        <v/>
      </c>
    </row>
    <row r="29">
      <c r="A29" s="2" t="n">
        <v>27</v>
      </c>
      <c r="B29" s="7" t="n">
        <v>46290.96875</v>
      </c>
      <c r="C29" s="2" t="inlineStr">
        <is>
          <t>進場</t>
        </is>
      </c>
      <c r="D29" s="2" t="n">
        <v>14</v>
      </c>
      <c r="E29" s="2" t="inlineStr">
        <is>
          <t>MOVR_USDT_PERP</t>
        </is>
      </c>
      <c r="F29" s="2" t="inlineStr">
        <is>
          <t>做空</t>
        </is>
      </c>
      <c r="G29" s="17" t="n">
        <v>1.119</v>
      </c>
      <c r="H29" s="17" t="n">
        <v>1.08543</v>
      </c>
      <c r="I29" s="17" t="n">
        <v>1.17495</v>
      </c>
      <c r="J29" s="17" t="n"/>
      <c r="K29" s="2" t="n"/>
      <c r="L29" s="5" t="n"/>
      <c r="M29" s="16">
        <f>資金模擬!$B$5*V28</f>
        <v/>
      </c>
      <c r="N29" s="2">
        <f>IF(Z28=1,"已停止",IF(T28&gt;=M29,"已下單","資金不足略過"))</f>
        <v/>
      </c>
      <c r="O29" s="16">
        <f>IF(N29="已下單",M29*資金模擬!$B$7,0)</f>
        <v/>
      </c>
      <c r="P29" s="4" t="n"/>
      <c r="Q29" s="10" t="n">
        <v>0</v>
      </c>
      <c r="R29" s="10">
        <f>R28+Q29</f>
        <v/>
      </c>
      <c r="S29" s="16">
        <f>S28+IF(N29="已下單",M29,0)</f>
        <v/>
      </c>
      <c r="T29" s="16">
        <f>R29-S29</f>
        <v/>
      </c>
      <c r="U29" s="2">
        <f>U28+IF(N29="已下單",1,0)</f>
        <v/>
      </c>
      <c r="V29" s="16">
        <f>IF(資金模擬!$B$9=2,MAX(R29,0),MAX(V28,FLOOR(MAX(R29,0),資金模擬!$B$6)))</f>
        <v/>
      </c>
      <c r="W29" s="10">
        <f>MAX(W28,R29)</f>
        <v/>
      </c>
      <c r="X29" s="4">
        <f>IF(W29&gt;0,R29/W29-1,-1)</f>
        <v/>
      </c>
      <c r="Y29" s="16">
        <f>IF(R29&gt;0,S29*資金模擬!$B$7/R29,0)</f>
        <v/>
      </c>
      <c r="Z29" s="2">
        <f>IF(OR(Z28=1,R29&lt;=資金模擬!$B$10),1,0)</f>
        <v/>
      </c>
    </row>
    <row r="30">
      <c r="A30" s="2" t="n">
        <v>28</v>
      </c>
      <c r="B30" s="7" t="n">
        <v>46290.97430555556</v>
      </c>
      <c r="C30" s="2" t="inlineStr">
        <is>
          <t>出場</t>
        </is>
      </c>
      <c r="D30" s="2" t="n">
        <v>14</v>
      </c>
      <c r="E30" s="2" t="inlineStr">
        <is>
          <t>MOVR_USDT_PERP</t>
        </is>
      </c>
      <c r="F30" s="2" t="inlineStr">
        <is>
          <t>做空</t>
        </is>
      </c>
      <c r="G30" s="17" t="n">
        <v>1.119</v>
      </c>
      <c r="H30" s="17" t="n">
        <v>1.08543</v>
      </c>
      <c r="I30" s="17" t="n">
        <v>1.17495</v>
      </c>
      <c r="J30" s="17" t="n">
        <v>1.08543</v>
      </c>
      <c r="K30" s="2" t="inlineStr">
        <is>
          <t>止盈</t>
        </is>
      </c>
      <c r="L30" s="5">
        <f>交易明細!K15</f>
        <v/>
      </c>
      <c r="M30" s="16">
        <f>M29</f>
        <v/>
      </c>
      <c r="N30" s="2">
        <f>N29</f>
        <v/>
      </c>
      <c r="O30" s="16">
        <f>O29</f>
        <v/>
      </c>
      <c r="P30" s="4">
        <f>交易明細!L15</f>
        <v/>
      </c>
      <c r="Q30" s="10">
        <f>IF(N30="已下單",O30*P30,0)</f>
        <v/>
      </c>
      <c r="R30" s="10">
        <f>R29+Q30</f>
        <v/>
      </c>
      <c r="S30" s="16">
        <f>S29-IF(N30="已下單",M30,0)</f>
        <v/>
      </c>
      <c r="T30" s="16">
        <f>R30-S30</f>
        <v/>
      </c>
      <c r="U30" s="2">
        <f>U29-IF(N30="已下單",1,0)</f>
        <v/>
      </c>
      <c r="V30" s="16">
        <f>IF(資金模擬!$B$9=2,MAX(R30,0),MAX(V29,FLOOR(MAX(R30,0),資金模擬!$B$6)))</f>
        <v/>
      </c>
      <c r="W30" s="10">
        <f>MAX(W29,R30)</f>
        <v/>
      </c>
      <c r="X30" s="4">
        <f>IF(W30&gt;0,R30/W30-1,-1)</f>
        <v/>
      </c>
      <c r="Y30" s="16">
        <f>IF(R30&gt;0,S30*資金模擬!$B$7/R30,0)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 <v>46291.00694444445</v>
      </c>
      <c r="C31" s="2" t="inlineStr">
        <is>
          <t>進場</t>
        </is>
      </c>
      <c r="D31" s="2" t="n">
        <v>15</v>
      </c>
      <c r="E31" s="2" t="inlineStr">
        <is>
          <t>LYN_USDT_PERP</t>
        </is>
      </c>
      <c r="F31" s="2" t="inlineStr">
        <is>
          <t>做空</t>
        </is>
      </c>
      <c r="G31" s="17" t="n">
        <v>0.04478</v>
      </c>
      <c r="H31" s="17" t="n">
        <v>0.0434366</v>
      </c>
      <c r="I31" s="17" t="n">
        <v>0.04701900000000001</v>
      </c>
      <c r="J31" s="17" t="n"/>
      <c r="K31" s="2" t="n"/>
      <c r="L31" s="5" t="n"/>
      <c r="M31" s="16">
        <f>資金模擬!$B$5*V30</f>
        <v/>
      </c>
      <c r="N31" s="2">
        <f>IF(Z30=1,"已停止",IF(T30&gt;=M31,"已下單","資金不足略過"))</f>
        <v/>
      </c>
      <c r="O31" s="16">
        <f>IF(N31="已下單",M31*資金模擬!$B$7,0)</f>
        <v/>
      </c>
      <c r="P31" s="4" t="n"/>
      <c r="Q31" s="10" t="n">
        <v>0</v>
      </c>
      <c r="R31" s="10">
        <f>R30+Q31</f>
        <v/>
      </c>
      <c r="S31" s="16">
        <f>S30+IF(N31="已下單",M31,0)</f>
        <v/>
      </c>
      <c r="T31" s="16">
        <f>R31-S31</f>
        <v/>
      </c>
      <c r="U31" s="2">
        <f>U30+IF(N31="已下單",1,0)</f>
        <v/>
      </c>
      <c r="V31" s="16">
        <f>IF(資金模擬!$B$9=2,MAX(R31,0),MAX(V30,FLOOR(MAX(R31,0),資金模擬!$B$6)))</f>
        <v/>
      </c>
      <c r="W31" s="10">
        <f>MAX(W30,R31)</f>
        <v/>
      </c>
      <c r="X31" s="4">
        <f>IF(W31&gt;0,R31/W31-1,-1)</f>
        <v/>
      </c>
      <c r="Y31" s="16">
        <f>IF(R31&gt;0,S31*資金模擬!$B$7/R31,0)</f>
        <v/>
      </c>
      <c r="Z31" s="2">
        <f>IF(OR(Z30=1,R31&lt;=資金模擬!$B$10),1,0)</f>
        <v/>
      </c>
    </row>
    <row r="32">
      <c r="A32" s="2" t="n">
        <v>30</v>
      </c>
      <c r="B32" s="7" t="n">
        <v>46291.00833333333</v>
      </c>
      <c r="C32" s="2" t="inlineStr">
        <is>
          <t>出場</t>
        </is>
      </c>
      <c r="D32" s="2" t="n">
        <v>15</v>
      </c>
      <c r="E32" s="2" t="inlineStr">
        <is>
          <t>LYN_USDT_PERP</t>
        </is>
      </c>
      <c r="F32" s="2" t="inlineStr">
        <is>
          <t>做空</t>
        </is>
      </c>
      <c r="G32" s="17" t="n">
        <v>0.04478</v>
      </c>
      <c r="H32" s="17" t="n">
        <v>0.0434366</v>
      </c>
      <c r="I32" s="17" t="n">
        <v>0.04701900000000001</v>
      </c>
      <c r="J32" s="17" t="n">
        <v>0.0434366</v>
      </c>
      <c r="K32" s="2" t="inlineStr">
        <is>
          <t>止盈</t>
        </is>
      </c>
      <c r="L32" s="5">
        <f>交易明細!K16</f>
        <v/>
      </c>
      <c r="M32" s="16">
        <f>M31</f>
        <v/>
      </c>
      <c r="N32" s="2">
        <f>N31</f>
        <v/>
      </c>
      <c r="O32" s="16">
        <f>O31</f>
        <v/>
      </c>
      <c r="P32" s="4">
        <f>交易明細!L16</f>
        <v/>
      </c>
      <c r="Q32" s="10">
        <f>IF(N32="已下單",O32*P32,0)</f>
        <v/>
      </c>
      <c r="R32" s="10">
        <f>R31+Q32</f>
        <v/>
      </c>
      <c r="S32" s="16">
        <f>S31-IF(N32="已下單",M32,0)</f>
        <v/>
      </c>
      <c r="T32" s="16">
        <f>R32-S32</f>
        <v/>
      </c>
      <c r="U32" s="2">
        <f>U31-IF(N32="已下單",1,0)</f>
        <v/>
      </c>
      <c r="V32" s="16">
        <f>IF(資金模擬!$B$9=2,MAX(R32,0),MAX(V31,FLOOR(MAX(R32,0),資金模擬!$B$6)))</f>
        <v/>
      </c>
      <c r="W32" s="10">
        <f>MAX(W31,R32)</f>
        <v/>
      </c>
      <c r="X32" s="4">
        <f>IF(W32&gt;0,R32/W32-1,-1)</f>
        <v/>
      </c>
      <c r="Y32" s="16">
        <f>IF(R32&gt;0,S32*資金模擬!$B$7/R32,0)</f>
        <v/>
      </c>
      <c r="Z32" s="2">
        <f>IF(OR(Z31=1,R32&lt;=資金模擬!$B$10),1,0)</f>
        <v/>
      </c>
    </row>
    <row r="33">
      <c r="A33" s="2" t="n">
        <v>31</v>
      </c>
      <c r="B33" s="7" t="n">
        <v>46291.00833333333</v>
      </c>
      <c r="C33" s="2" t="inlineStr">
        <is>
          <t>進場</t>
        </is>
      </c>
      <c r="D33" s="2" t="n">
        <v>16</v>
      </c>
      <c r="E33" s="2" t="inlineStr">
        <is>
          <t>SPK_USDT_PERP</t>
        </is>
      </c>
      <c r="F33" s="2" t="inlineStr">
        <is>
          <t>做空</t>
        </is>
      </c>
      <c r="G33" s="17" t="n">
        <v>0.0245</v>
      </c>
      <c r="H33" s="17" t="n">
        <v>0.023765</v>
      </c>
      <c r="I33" s="17" t="n">
        <v>0.025725</v>
      </c>
      <c r="J33" s="17" t="n"/>
      <c r="K33" s="2" t="n"/>
      <c r="L33" s="5" t="n"/>
      <c r="M33" s="16">
        <f>資金模擬!$B$5*V32</f>
        <v/>
      </c>
      <c r="N33" s="2">
        <f>IF(Z32=1,"已停止",IF(T32&gt;=M33,"已下單","資金不足略過"))</f>
        <v/>
      </c>
      <c r="O33" s="16">
        <f>IF(N33="已下單",M33*資金模擬!$B$7,0)</f>
        <v/>
      </c>
      <c r="P33" s="4" t="n"/>
      <c r="Q33" s="10" t="n">
        <v>0</v>
      </c>
      <c r="R33" s="10">
        <f>R32+Q33</f>
        <v/>
      </c>
      <c r="S33" s="16">
        <f>S32+IF(N33="已下單",M33,0)</f>
        <v/>
      </c>
      <c r="T33" s="16">
        <f>R33-S33</f>
        <v/>
      </c>
      <c r="U33" s="2">
        <f>U32+IF(N33="已下單",1,0)</f>
        <v/>
      </c>
      <c r="V33" s="16">
        <f>IF(資金模擬!$B$9=2,MAX(R33,0),MAX(V32,FLOOR(MAX(R33,0),資金模擬!$B$6)))</f>
        <v/>
      </c>
      <c r="W33" s="10">
        <f>MAX(W32,R33)</f>
        <v/>
      </c>
      <c r="X33" s="4">
        <f>IF(W33&gt;0,R33/W33-1,-1)</f>
        <v/>
      </c>
      <c r="Y33" s="16">
        <f>IF(R33&gt;0,S33*資金模擬!$B$7/R33,0)</f>
        <v/>
      </c>
      <c r="Z33" s="2">
        <f>IF(OR(Z32=1,R33&lt;=資金模擬!$B$10),1,0)</f>
        <v/>
      </c>
    </row>
    <row r="34">
      <c r="A34" s="2" t="n">
        <v>32</v>
      </c>
      <c r="B34" s="7" t="n">
        <v>46291.01805555556</v>
      </c>
      <c r="C34" s="2" t="inlineStr">
        <is>
          <t>出場</t>
        </is>
      </c>
      <c r="D34" s="2" t="n">
        <v>16</v>
      </c>
      <c r="E34" s="2" t="inlineStr">
        <is>
          <t>SPK_USDT_PERP</t>
        </is>
      </c>
      <c r="F34" s="2" t="inlineStr">
        <is>
          <t>做空</t>
        </is>
      </c>
      <c r="G34" s="17" t="n">
        <v>0.0245</v>
      </c>
      <c r="H34" s="17" t="n">
        <v>0.023765</v>
      </c>
      <c r="I34" s="17" t="n">
        <v>0.025725</v>
      </c>
      <c r="J34" s="17" t="n">
        <v>0.025725</v>
      </c>
      <c r="K34" s="2" t="inlineStr">
        <is>
          <t>止損</t>
        </is>
      </c>
      <c r="L34" s="5">
        <f>交易明細!K17</f>
        <v/>
      </c>
      <c r="M34" s="16">
        <f>M33</f>
        <v/>
      </c>
      <c r="N34" s="2">
        <f>N33</f>
        <v/>
      </c>
      <c r="O34" s="16">
        <f>O33</f>
        <v/>
      </c>
      <c r="P34" s="4">
        <f>交易明細!L17</f>
        <v/>
      </c>
      <c r="Q34" s="10">
        <f>IF(N34="已下單",O34*P34,0)</f>
        <v/>
      </c>
      <c r="R34" s="10">
        <f>R33+Q34</f>
        <v/>
      </c>
      <c r="S34" s="16">
        <f>S33-IF(N34="已下單",M34,0)</f>
        <v/>
      </c>
      <c r="T34" s="16">
        <f>R34-S34</f>
        <v/>
      </c>
      <c r="U34" s="2">
        <f>U33-IF(N34="已下單",1,0)</f>
        <v/>
      </c>
      <c r="V34" s="16">
        <f>IF(資金模擬!$B$9=2,MAX(R34,0),MAX(V33,FLOOR(MAX(R34,0),資金模擬!$B$6)))</f>
        <v/>
      </c>
      <c r="W34" s="10">
        <f>MAX(W33,R34)</f>
        <v/>
      </c>
      <c r="X34" s="4">
        <f>IF(W34&gt;0,R34/W34-1,-1)</f>
        <v/>
      </c>
      <c r="Y34" s="16">
        <f>IF(R34&gt;0,S34*資金模擬!$B$7/R34,0)</f>
        <v/>
      </c>
      <c r="Z34" s="2">
        <f>IF(OR(Z33=1,R34&lt;=資金模擬!$B$10),1,0)</f>
        <v/>
      </c>
    </row>
    <row r="35">
      <c r="A35" s="2" t="n">
        <v>33</v>
      </c>
      <c r="B35" s="7" t="n">
        <v>46291.05</v>
      </c>
      <c r="C35" s="2" t="inlineStr">
        <is>
          <t>進場</t>
        </is>
      </c>
      <c r="D35" s="2" t="n">
        <v>17</v>
      </c>
      <c r="E35" s="2" t="inlineStr">
        <is>
          <t>LYN_USDT_PERP</t>
        </is>
      </c>
      <c r="F35" s="2" t="inlineStr">
        <is>
          <t>做空</t>
        </is>
      </c>
      <c r="G35" s="17" t="n">
        <v>0.07316</v>
      </c>
      <c r="H35" s="17" t="n">
        <v>0.07096520000000001</v>
      </c>
      <c r="I35" s="17" t="n">
        <v>0.07681800000000001</v>
      </c>
      <c r="J35" s="17" t="n"/>
      <c r="K35" s="2" t="n"/>
      <c r="L35" s="5" t="n"/>
      <c r="M35" s="16">
        <f>資金模擬!$B$5*V34</f>
        <v/>
      </c>
      <c r="N35" s="2">
        <f>IF(Z34=1,"已停止",IF(T34&gt;=M35,"已下單","資金不足略過"))</f>
        <v/>
      </c>
      <c r="O35" s="16">
        <f>IF(N35="已下單",M35*資金模擬!$B$7,0)</f>
        <v/>
      </c>
      <c r="P35" s="4" t="n"/>
      <c r="Q35" s="10" t="n">
        <v>0</v>
      </c>
      <c r="R35" s="10">
        <f>R34+Q35</f>
        <v/>
      </c>
      <c r="S35" s="16">
        <f>S34+IF(N35="已下單",M35,0)</f>
        <v/>
      </c>
      <c r="T35" s="16">
        <f>R35-S35</f>
        <v/>
      </c>
      <c r="U35" s="2">
        <f>U34+IF(N35="已下單",1,0)</f>
        <v/>
      </c>
      <c r="V35" s="16">
        <f>IF(資金模擬!$B$9=2,MAX(R35,0),MAX(V34,FLOOR(MAX(R35,0),資金模擬!$B$6)))</f>
        <v/>
      </c>
      <c r="W35" s="10">
        <f>MAX(W34,R35)</f>
        <v/>
      </c>
      <c r="X35" s="4">
        <f>IF(W35&gt;0,R35/W35-1,-1)</f>
        <v/>
      </c>
      <c r="Y35" s="16">
        <f>IF(R35&gt;0,S35*資金模擬!$B$7/R35,0)</f>
        <v/>
      </c>
      <c r="Z35" s="2">
        <f>IF(OR(Z34=1,R35&lt;=資金模擬!$B$10),1,0)</f>
        <v/>
      </c>
    </row>
    <row r="36">
      <c r="A36" s="2" t="n">
        <v>34</v>
      </c>
      <c r="B36" s="7" t="n">
        <v>46291.05069444444</v>
      </c>
      <c r="C36" s="2" t="inlineStr">
        <is>
          <t>出場</t>
        </is>
      </c>
      <c r="D36" s="2" t="n">
        <v>17</v>
      </c>
      <c r="E36" s="2" t="inlineStr">
        <is>
          <t>LYN_USDT_PERP</t>
        </is>
      </c>
      <c r="F36" s="2" t="inlineStr">
        <is>
          <t>做空</t>
        </is>
      </c>
      <c r="G36" s="17" t="n">
        <v>0.07316</v>
      </c>
      <c r="H36" s="17" t="n">
        <v>0.07096520000000001</v>
      </c>
      <c r="I36" s="17" t="n">
        <v>0.07681800000000001</v>
      </c>
      <c r="J36" s="17" t="n">
        <v>0.07096520000000001</v>
      </c>
      <c r="K36" s="2" t="inlineStr">
        <is>
          <t>止盈</t>
        </is>
      </c>
      <c r="L36" s="5">
        <f>交易明細!K18</f>
        <v/>
      </c>
      <c r="M36" s="16">
        <f>M35</f>
        <v/>
      </c>
      <c r="N36" s="2">
        <f>N35</f>
        <v/>
      </c>
      <c r="O36" s="16">
        <f>O35</f>
        <v/>
      </c>
      <c r="P36" s="4">
        <f>交易明細!L18</f>
        <v/>
      </c>
      <c r="Q36" s="10">
        <f>IF(N36="已下單",O36*P36,0)</f>
        <v/>
      </c>
      <c r="R36" s="10">
        <f>R35+Q36</f>
        <v/>
      </c>
      <c r="S36" s="16">
        <f>S35-IF(N36="已下單",M36,0)</f>
        <v/>
      </c>
      <c r="T36" s="16">
        <f>R36-S36</f>
        <v/>
      </c>
      <c r="U36" s="2">
        <f>U35-IF(N36="已下單",1,0)</f>
        <v/>
      </c>
      <c r="V36" s="16">
        <f>IF(資金模擬!$B$9=2,MAX(R36,0),MAX(V35,FLOOR(MAX(R36,0),資金模擬!$B$6)))</f>
        <v/>
      </c>
      <c r="W36" s="10">
        <f>MAX(W35,R36)</f>
        <v/>
      </c>
      <c r="X36" s="4">
        <f>IF(W36&gt;0,R36/W36-1,-1)</f>
        <v/>
      </c>
      <c r="Y36" s="16">
        <f>IF(R36&gt;0,S36*資金模擬!$B$7/R36,0)</f>
        <v/>
      </c>
      <c r="Z36" s="2">
        <f>IF(OR(Z35=1,R36&lt;=資金模擬!$B$10),1,0)</f>
        <v/>
      </c>
    </row>
    <row r="37">
      <c r="A37" s="2" t="n">
        <v>35</v>
      </c>
      <c r="B37" s="7" t="n">
        <v>46291.59166666667</v>
      </c>
      <c r="C37" s="2" t="inlineStr">
        <is>
          <t>進場</t>
        </is>
      </c>
      <c r="D37" s="2" t="n">
        <v>18</v>
      </c>
      <c r="E37" s="2" t="inlineStr">
        <is>
          <t>2Z_USDT_PERP</t>
        </is>
      </c>
      <c r="F37" s="2" t="inlineStr">
        <is>
          <t>做空</t>
        </is>
      </c>
      <c r="G37" s="17" t="n">
        <v>0.06308999999999999</v>
      </c>
      <c r="H37" s="17" t="n">
        <v>0.06119729999999999</v>
      </c>
      <c r="I37" s="17" t="n">
        <v>0.0662445</v>
      </c>
      <c r="J37" s="17" t="n"/>
      <c r="K37" s="2" t="n"/>
      <c r="L37" s="5" t="n"/>
      <c r="M37" s="16">
        <f>資金模擬!$B$5*V36</f>
        <v/>
      </c>
      <c r="N37" s="2">
        <f>IF(Z36=1,"已停止",IF(T36&gt;=M37,"已下單","資金不足略過"))</f>
        <v/>
      </c>
      <c r="O37" s="16">
        <f>IF(N37="已下單",M37*資金模擬!$B$7,0)</f>
        <v/>
      </c>
      <c r="P37" s="4" t="n"/>
      <c r="Q37" s="10" t="n">
        <v>0</v>
      </c>
      <c r="R37" s="10">
        <f>R36+Q37</f>
        <v/>
      </c>
      <c r="S37" s="16">
        <f>S36+IF(N37="已下單",M37,0)</f>
        <v/>
      </c>
      <c r="T37" s="16">
        <f>R37-S37</f>
        <v/>
      </c>
      <c r="U37" s="2">
        <f>U36+IF(N37="已下單",1,0)</f>
        <v/>
      </c>
      <c r="V37" s="16">
        <f>IF(資金模擬!$B$9=2,MAX(R37,0),MAX(V36,FLOOR(MAX(R37,0),資金模擬!$B$6)))</f>
        <v/>
      </c>
      <c r="W37" s="10">
        <f>MAX(W36,R37)</f>
        <v/>
      </c>
      <c r="X37" s="4">
        <f>IF(W37&gt;0,R37/W37-1,-1)</f>
        <v/>
      </c>
      <c r="Y37" s="16">
        <f>IF(R37&gt;0,S37*資金模擬!$B$7/R37,0)</f>
        <v/>
      </c>
      <c r="Z37" s="2">
        <f>IF(OR(Z36=1,R37&lt;=資金模擬!$B$10),1,0)</f>
        <v/>
      </c>
    </row>
    <row r="38">
      <c r="A38" s="2" t="n">
        <v>36</v>
      </c>
      <c r="B38" s="7" t="n">
        <v>46291.59513888889</v>
      </c>
      <c r="C38" s="2" t="inlineStr">
        <is>
          <t>出場</t>
        </is>
      </c>
      <c r="D38" s="2" t="n">
        <v>18</v>
      </c>
      <c r="E38" s="2" t="inlineStr">
        <is>
          <t>2Z_USDT_PERP</t>
        </is>
      </c>
      <c r="F38" s="2" t="inlineStr">
        <is>
          <t>做空</t>
        </is>
      </c>
      <c r="G38" s="17" t="n">
        <v>0.06308999999999999</v>
      </c>
      <c r="H38" s="17" t="n">
        <v>0.06119729999999999</v>
      </c>
      <c r="I38" s="17" t="n">
        <v>0.0662445</v>
      </c>
      <c r="J38" s="17" t="n">
        <v>0.0662445</v>
      </c>
      <c r="K38" s="2" t="inlineStr">
        <is>
          <t>止損</t>
        </is>
      </c>
      <c r="L38" s="5">
        <f>交易明細!K19</f>
        <v/>
      </c>
      <c r="M38" s="16">
        <f>M37</f>
        <v/>
      </c>
      <c r="N38" s="2">
        <f>N37</f>
        <v/>
      </c>
      <c r="O38" s="16">
        <f>O37</f>
        <v/>
      </c>
      <c r="P38" s="4">
        <f>交易明細!L19</f>
        <v/>
      </c>
      <c r="Q38" s="10">
        <f>IF(N38="已下單",O38*P38,0)</f>
        <v/>
      </c>
      <c r="R38" s="10">
        <f>R37+Q38</f>
        <v/>
      </c>
      <c r="S38" s="16">
        <f>S37-IF(N38="已下單",M38,0)</f>
        <v/>
      </c>
      <c r="T38" s="16">
        <f>R38-S38</f>
        <v/>
      </c>
      <c r="U38" s="2">
        <f>U37-IF(N38="已下單",1,0)</f>
        <v/>
      </c>
      <c r="V38" s="16">
        <f>IF(資金模擬!$B$9=2,MAX(R38,0),MAX(V37,FLOOR(MAX(R38,0),資金模擬!$B$6)))</f>
        <v/>
      </c>
      <c r="W38" s="10">
        <f>MAX(W37,R38)</f>
        <v/>
      </c>
      <c r="X38" s="4">
        <f>IF(W38&gt;0,R38/W38-1,-1)</f>
        <v/>
      </c>
      <c r="Y38" s="16">
        <f>IF(R38&gt;0,S38*資金模擬!$B$7/R38,0)</f>
        <v/>
      </c>
      <c r="Z38" s="2">
        <f>IF(OR(Z37=1,R38&lt;=資金模擬!$B$10),1,0)</f>
        <v/>
      </c>
    </row>
    <row r="39">
      <c r="A39" s="2" t="n">
        <v>37</v>
      </c>
      <c r="B39" s="7" t="n">
        <v>46291.62777777778</v>
      </c>
      <c r="C39" s="2" t="inlineStr">
        <is>
          <t>進場</t>
        </is>
      </c>
      <c r="D39" s="2" t="n">
        <v>19</v>
      </c>
      <c r="E39" s="2" t="inlineStr">
        <is>
          <t>Q_USDT_PERP</t>
        </is>
      </c>
      <c r="F39" s="2" t="inlineStr">
        <is>
          <t>做空</t>
        </is>
      </c>
      <c r="G39" s="17" t="n">
        <v>0.03002</v>
      </c>
      <c r="H39" s="17" t="n">
        <v>0.0291194</v>
      </c>
      <c r="I39" s="17" t="n">
        <v>0.031521</v>
      </c>
      <c r="J39" s="17" t="n"/>
      <c r="K39" s="2" t="n"/>
      <c r="L39" s="5" t="n"/>
      <c r="M39" s="16">
        <f>資金模擬!$B$5*V38</f>
        <v/>
      </c>
      <c r="N39" s="2">
        <f>IF(Z38=1,"已停止",IF(T38&gt;=M39,"已下單","資金不足略過"))</f>
        <v/>
      </c>
      <c r="O39" s="16">
        <f>IF(N39="已下單",M39*資金模擬!$B$7,0)</f>
        <v/>
      </c>
      <c r="P39" s="4" t="n"/>
      <c r="Q39" s="10" t="n">
        <v>0</v>
      </c>
      <c r="R39" s="10">
        <f>R38+Q39</f>
        <v/>
      </c>
      <c r="S39" s="16">
        <f>S38+IF(N39="已下單",M39,0)</f>
        <v/>
      </c>
      <c r="T39" s="16">
        <f>R39-S39</f>
        <v/>
      </c>
      <c r="U39" s="2">
        <f>U38+IF(N39="已下單",1,0)</f>
        <v/>
      </c>
      <c r="V39" s="16">
        <f>IF(資金模擬!$B$9=2,MAX(R39,0),MAX(V38,FLOOR(MAX(R39,0),資金模擬!$B$6)))</f>
        <v/>
      </c>
      <c r="W39" s="10">
        <f>MAX(W38,R39)</f>
        <v/>
      </c>
      <c r="X39" s="4">
        <f>IF(W39&gt;0,R39/W39-1,-1)</f>
        <v/>
      </c>
      <c r="Y39" s="16">
        <f>IF(R39&gt;0,S39*資金模擬!$B$7/R39,0)</f>
        <v/>
      </c>
      <c r="Z39" s="2">
        <f>IF(OR(Z38=1,R39&lt;=資金模擬!$B$10),1,0)</f>
        <v/>
      </c>
    </row>
    <row r="40">
      <c r="A40" s="2" t="n">
        <v>38</v>
      </c>
      <c r="B40" s="7" t="n">
        <v>46291.64236111111</v>
      </c>
      <c r="C40" s="2" t="inlineStr">
        <is>
          <t>出場</t>
        </is>
      </c>
      <c r="D40" s="2" t="n">
        <v>19</v>
      </c>
      <c r="E40" s="2" t="inlineStr">
        <is>
          <t>Q_USDT_PERP</t>
        </is>
      </c>
      <c r="F40" s="2" t="inlineStr">
        <is>
          <t>做空</t>
        </is>
      </c>
      <c r="G40" s="17" t="n">
        <v>0.03002</v>
      </c>
      <c r="H40" s="17" t="n">
        <v>0.0291194</v>
      </c>
      <c r="I40" s="17" t="n">
        <v>0.031521</v>
      </c>
      <c r="J40" s="17" t="n">
        <v>0.031521</v>
      </c>
      <c r="K40" s="2" t="inlineStr">
        <is>
          <t>止損</t>
        </is>
      </c>
      <c r="L40" s="5">
        <f>交易明細!K20</f>
        <v/>
      </c>
      <c r="M40" s="16">
        <f>M39</f>
        <v/>
      </c>
      <c r="N40" s="2">
        <f>N39</f>
        <v/>
      </c>
      <c r="O40" s="16">
        <f>O39</f>
        <v/>
      </c>
      <c r="P40" s="4">
        <f>交易明細!L20</f>
        <v/>
      </c>
      <c r="Q40" s="10">
        <f>IF(N40="已下單",O40*P40,0)</f>
        <v/>
      </c>
      <c r="R40" s="10">
        <f>R39+Q40</f>
        <v/>
      </c>
      <c r="S40" s="16">
        <f>S39-IF(N40="已下單",M40,0)</f>
        <v/>
      </c>
      <c r="T40" s="16">
        <f>R40-S40</f>
        <v/>
      </c>
      <c r="U40" s="2">
        <f>U39-IF(N40="已下單",1,0)</f>
        <v/>
      </c>
      <c r="V40" s="16">
        <f>IF(資金模擬!$B$9=2,MAX(R40,0),MAX(V39,FLOOR(MAX(R40,0),資金模擬!$B$6)))</f>
        <v/>
      </c>
      <c r="W40" s="10">
        <f>MAX(W39,R40)</f>
        <v/>
      </c>
      <c r="X40" s="4">
        <f>IF(W40&gt;0,R40/W40-1,-1)</f>
        <v/>
      </c>
      <c r="Y40" s="16">
        <f>IF(R40&gt;0,S40*資金模擬!$B$7/R40,0)</f>
        <v/>
      </c>
      <c r="Z40" s="2">
        <f>IF(OR(Z39=1,R40&lt;=資金模擬!$B$10),1,0)</f>
        <v/>
      </c>
    </row>
    <row r="41">
      <c r="A41" s="2" t="n">
        <v>39</v>
      </c>
      <c r="B41" s="7" t="n">
        <v>46291.72638888889</v>
      </c>
      <c r="C41" s="2" t="inlineStr">
        <is>
          <t>進場</t>
        </is>
      </c>
      <c r="D41" s="2" t="n">
        <v>20</v>
      </c>
      <c r="E41" s="2" t="inlineStr">
        <is>
          <t>2Z_USDT_PERP</t>
        </is>
      </c>
      <c r="F41" s="2" t="inlineStr">
        <is>
          <t>做空</t>
        </is>
      </c>
      <c r="G41" s="17" t="n">
        <v>0.07753</v>
      </c>
      <c r="H41" s="17" t="n">
        <v>0.0752041</v>
      </c>
      <c r="I41" s="17" t="n">
        <v>0.08140650000000001</v>
      </c>
      <c r="J41" s="17" t="n"/>
      <c r="K41" s="2" t="n"/>
      <c r="L41" s="5" t="n"/>
      <c r="M41" s="16">
        <f>資金模擬!$B$5*V40</f>
        <v/>
      </c>
      <c r="N41" s="2">
        <f>IF(Z40=1,"已停止",IF(T40&gt;=M41,"已下單","資金不足略過"))</f>
        <v/>
      </c>
      <c r="O41" s="16">
        <f>IF(N41="已下單",M41*資金模擬!$B$7,0)</f>
        <v/>
      </c>
      <c r="P41" s="4" t="n"/>
      <c r="Q41" s="10" t="n">
        <v>0</v>
      </c>
      <c r="R41" s="10">
        <f>R40+Q41</f>
        <v/>
      </c>
      <c r="S41" s="16">
        <f>S40+IF(N41="已下單",M41,0)</f>
        <v/>
      </c>
      <c r="T41" s="16">
        <f>R41-S41</f>
        <v/>
      </c>
      <c r="U41" s="2">
        <f>U40+IF(N41="已下單",1,0)</f>
        <v/>
      </c>
      <c r="V41" s="16">
        <f>IF(資金模擬!$B$9=2,MAX(R41,0),MAX(V40,FLOOR(MAX(R41,0),資金模擬!$B$6)))</f>
        <v/>
      </c>
      <c r="W41" s="10">
        <f>MAX(W40,R41)</f>
        <v/>
      </c>
      <c r="X41" s="4">
        <f>IF(W41&gt;0,R41/W41-1,-1)</f>
        <v/>
      </c>
      <c r="Y41" s="16">
        <f>IF(R41&gt;0,S41*資金模擬!$B$7/R41,0)</f>
        <v/>
      </c>
      <c r="Z41" s="2">
        <f>IF(OR(Z40=1,R41&lt;=資金模擬!$B$10),1,0)</f>
        <v/>
      </c>
    </row>
    <row r="42">
      <c r="A42" s="2" t="n">
        <v>40</v>
      </c>
      <c r="B42" s="7" t="n">
        <v>46291.74375</v>
      </c>
      <c r="C42" s="2" t="inlineStr">
        <is>
          <t>出場</t>
        </is>
      </c>
      <c r="D42" s="2" t="n">
        <v>20</v>
      </c>
      <c r="E42" s="2" t="inlineStr">
        <is>
          <t>2Z_USDT_PERP</t>
        </is>
      </c>
      <c r="F42" s="2" t="inlineStr">
        <is>
          <t>做空</t>
        </is>
      </c>
      <c r="G42" s="17" t="n">
        <v>0.07753</v>
      </c>
      <c r="H42" s="17" t="n">
        <v>0.0752041</v>
      </c>
      <c r="I42" s="17" t="n">
        <v>0.08140650000000001</v>
      </c>
      <c r="J42" s="17" t="n">
        <v>0.0752041</v>
      </c>
      <c r="K42" s="2" t="inlineStr">
        <is>
          <t>止盈</t>
        </is>
      </c>
      <c r="L42" s="5">
        <f>交易明細!K21</f>
        <v/>
      </c>
      <c r="M42" s="16">
        <f>M41</f>
        <v/>
      </c>
      <c r="N42" s="2">
        <f>N41</f>
        <v/>
      </c>
      <c r="O42" s="16">
        <f>O41</f>
        <v/>
      </c>
      <c r="P42" s="4">
        <f>交易明細!L21</f>
        <v/>
      </c>
      <c r="Q42" s="10">
        <f>IF(N42="已下單",O42*P42,0)</f>
        <v/>
      </c>
      <c r="R42" s="10">
        <f>R41+Q42</f>
        <v/>
      </c>
      <c r="S42" s="16">
        <f>S41-IF(N42="已下單",M42,0)</f>
        <v/>
      </c>
      <c r="T42" s="16">
        <f>R42-S42</f>
        <v/>
      </c>
      <c r="U42" s="2">
        <f>U41-IF(N42="已下單",1,0)</f>
        <v/>
      </c>
      <c r="V42" s="16">
        <f>IF(資金模擬!$B$9=2,MAX(R42,0),MAX(V41,FLOOR(MAX(R42,0),資金模擬!$B$6)))</f>
        <v/>
      </c>
      <c r="W42" s="10">
        <f>MAX(W41,R42)</f>
        <v/>
      </c>
      <c r="X42" s="4">
        <f>IF(W42&gt;0,R42/W42-1,-1)</f>
        <v/>
      </c>
      <c r="Y42" s="16">
        <f>IF(R42&gt;0,S42*資金模擬!$B$7/R42,0)</f>
        <v/>
      </c>
      <c r="Z42" s="2">
        <f>IF(OR(Z41=1,R42&lt;=資金模擬!$B$10),1,0)</f>
        <v/>
      </c>
    </row>
    <row r="43">
      <c r="A43" s="2" t="n">
        <v>41</v>
      </c>
      <c r="B43" s="7" t="n">
        <v>46291.93402777778</v>
      </c>
      <c r="C43" s="2" t="inlineStr">
        <is>
          <t>進場</t>
        </is>
      </c>
      <c r="D43" s="2" t="n">
        <v>21</v>
      </c>
      <c r="E43" s="2" t="inlineStr">
        <is>
          <t>US_USDT_PERP</t>
        </is>
      </c>
      <c r="F43" s="2" t="inlineStr">
        <is>
          <t>做空</t>
        </is>
      </c>
      <c r="G43" s="17" t="n">
        <v>0.02532</v>
      </c>
      <c r="H43" s="17" t="n">
        <v>0.0245604</v>
      </c>
      <c r="I43" s="17" t="n">
        <v>0.026586</v>
      </c>
      <c r="J43" s="17" t="n"/>
      <c r="K43" s="2" t="n"/>
      <c r="L43" s="5" t="n"/>
      <c r="M43" s="16">
        <f>資金模擬!$B$5*V42</f>
        <v/>
      </c>
      <c r="N43" s="2">
        <f>IF(Z42=1,"已停止",IF(T42&gt;=M43,"已下單","資金不足略過"))</f>
        <v/>
      </c>
      <c r="O43" s="16">
        <f>IF(N43="已下單",M43*資金模擬!$B$7,0)</f>
        <v/>
      </c>
      <c r="P43" s="4" t="n"/>
      <c r="Q43" s="10" t="n">
        <v>0</v>
      </c>
      <c r="R43" s="10">
        <f>R42+Q43</f>
        <v/>
      </c>
      <c r="S43" s="16">
        <f>S42+IF(N43="已下單",M43,0)</f>
        <v/>
      </c>
      <c r="T43" s="16">
        <f>R43-S43</f>
        <v/>
      </c>
      <c r="U43" s="2">
        <f>U42+IF(N43="已下單",1,0)</f>
        <v/>
      </c>
      <c r="V43" s="16">
        <f>IF(資金模擬!$B$9=2,MAX(R43,0),MAX(V42,FLOOR(MAX(R43,0),資金模擬!$B$6)))</f>
        <v/>
      </c>
      <c r="W43" s="10">
        <f>MAX(W42,R43)</f>
        <v/>
      </c>
      <c r="X43" s="4">
        <f>IF(W43&gt;0,R43/W43-1,-1)</f>
        <v/>
      </c>
      <c r="Y43" s="16">
        <f>IF(R43&gt;0,S43*資金模擬!$B$7/R43,0)</f>
        <v/>
      </c>
      <c r="Z43" s="2">
        <f>IF(OR(Z42=1,R43&lt;=資金模擬!$B$10),1,0)</f>
        <v/>
      </c>
    </row>
    <row r="44">
      <c r="A44" s="2" t="n">
        <v>42</v>
      </c>
      <c r="B44" s="7" t="n">
        <v>46291.96041666667</v>
      </c>
      <c r="C44" s="2" t="inlineStr">
        <is>
          <t>出場</t>
        </is>
      </c>
      <c r="D44" s="2" t="n">
        <v>21</v>
      </c>
      <c r="E44" s="2" t="inlineStr">
        <is>
          <t>US_USDT_PERP</t>
        </is>
      </c>
      <c r="F44" s="2" t="inlineStr">
        <is>
          <t>做空</t>
        </is>
      </c>
      <c r="G44" s="17" t="n">
        <v>0.02532</v>
      </c>
      <c r="H44" s="17" t="n">
        <v>0.0245604</v>
      </c>
      <c r="I44" s="17" t="n">
        <v>0.026586</v>
      </c>
      <c r="J44" s="17" t="n">
        <v>0.026586</v>
      </c>
      <c r="K44" s="2" t="inlineStr">
        <is>
          <t>止損</t>
        </is>
      </c>
      <c r="L44" s="5">
        <f>交易明細!K22</f>
        <v/>
      </c>
      <c r="M44" s="16">
        <f>M43</f>
        <v/>
      </c>
      <c r="N44" s="2">
        <f>N43</f>
        <v/>
      </c>
      <c r="O44" s="16">
        <f>O43</f>
        <v/>
      </c>
      <c r="P44" s="4">
        <f>交易明細!L22</f>
        <v/>
      </c>
      <c r="Q44" s="10">
        <f>IF(N44="已下單",O44*P44,0)</f>
        <v/>
      </c>
      <c r="R44" s="10">
        <f>R43+Q44</f>
        <v/>
      </c>
      <c r="S44" s="16">
        <f>S43-IF(N44="已下單",M44,0)</f>
        <v/>
      </c>
      <c r="T44" s="16">
        <f>R44-S44</f>
        <v/>
      </c>
      <c r="U44" s="2">
        <f>U43-IF(N44="已下單",1,0)</f>
        <v/>
      </c>
      <c r="V44" s="16">
        <f>IF(資金模擬!$B$9=2,MAX(R44,0),MAX(V43,FLOOR(MAX(R44,0),資金模擬!$B$6)))</f>
        <v/>
      </c>
      <c r="W44" s="10">
        <f>MAX(W43,R44)</f>
        <v/>
      </c>
      <c r="X44" s="4">
        <f>IF(W44&gt;0,R44/W44-1,-1)</f>
        <v/>
      </c>
      <c r="Y44" s="16">
        <f>IF(R44&gt;0,S44*資金模擬!$B$7/R44,0)</f>
        <v/>
      </c>
      <c r="Z44" s="2">
        <f>IF(OR(Z43=1,R44&lt;=資金模擬!$B$10),1,0)</f>
        <v/>
      </c>
    </row>
    <row r="45">
      <c r="A45" s="2" t="n">
        <v>43</v>
      </c>
      <c r="B45" s="7" t="n">
        <v>46291.97847222222</v>
      </c>
      <c r="C45" s="2" t="inlineStr">
        <is>
          <t>進場</t>
        </is>
      </c>
      <c r="D45" s="2" t="n">
        <v>22</v>
      </c>
      <c r="E45" s="2" t="inlineStr">
        <is>
          <t>FIL_USDT_PERP</t>
        </is>
      </c>
      <c r="F45" s="2" t="inlineStr">
        <is>
          <t>做空</t>
        </is>
      </c>
      <c r="G45" s="17" t="n">
        <v>1.213</v>
      </c>
      <c r="H45" s="17" t="n">
        <v>1.17661</v>
      </c>
      <c r="I45" s="17" t="n">
        <v>1.27365</v>
      </c>
      <c r="J45" s="17" t="n"/>
      <c r="K45" s="2" t="n"/>
      <c r="L45" s="5" t="n"/>
      <c r="M45" s="16">
        <f>資金模擬!$B$5*V44</f>
        <v/>
      </c>
      <c r="N45" s="2">
        <f>IF(Z44=1,"已停止",IF(T44&gt;=M45,"已下單","資金不足略過"))</f>
        <v/>
      </c>
      <c r="O45" s="16">
        <f>IF(N45="已下單",M45*資金模擬!$B$7,0)</f>
        <v/>
      </c>
      <c r="P45" s="4" t="n"/>
      <c r="Q45" s="10" t="n">
        <v>0</v>
      </c>
      <c r="R45" s="10">
        <f>R44+Q45</f>
        <v/>
      </c>
      <c r="S45" s="16">
        <f>S44+IF(N45="已下單",M45,0)</f>
        <v/>
      </c>
      <c r="T45" s="16">
        <f>R45-S45</f>
        <v/>
      </c>
      <c r="U45" s="2">
        <f>U44+IF(N45="已下單",1,0)</f>
        <v/>
      </c>
      <c r="V45" s="16">
        <f>IF(資金模擬!$B$9=2,MAX(R45,0),MAX(V44,FLOOR(MAX(R45,0),資金模擬!$B$6)))</f>
        <v/>
      </c>
      <c r="W45" s="10">
        <f>MAX(W44,R45)</f>
        <v/>
      </c>
      <c r="X45" s="4">
        <f>IF(W45&gt;0,R45/W45-1,-1)</f>
        <v/>
      </c>
      <c r="Y45" s="16">
        <f>IF(R45&gt;0,S45*資金模擬!$B$7/R45,0)</f>
        <v/>
      </c>
      <c r="Z45" s="2">
        <f>IF(OR(Z44=1,R45&lt;=資金模擬!$B$10),1,0)</f>
        <v/>
      </c>
    </row>
    <row r="46">
      <c r="A46" s="2" t="n">
        <v>44</v>
      </c>
      <c r="B46" s="7" t="n">
        <v>46292.04930555556</v>
      </c>
      <c r="C46" s="2" t="inlineStr">
        <is>
          <t>出場</t>
        </is>
      </c>
      <c r="D46" s="2" t="n">
        <v>22</v>
      </c>
      <c r="E46" s="2" t="inlineStr">
        <is>
          <t>FIL_USDT_PERP</t>
        </is>
      </c>
      <c r="F46" s="2" t="inlineStr">
        <is>
          <t>做空</t>
        </is>
      </c>
      <c r="G46" s="17" t="n">
        <v>1.213</v>
      </c>
      <c r="H46" s="17" t="n">
        <v>1.17661</v>
      </c>
      <c r="I46" s="17" t="n">
        <v>1.27365</v>
      </c>
      <c r="J46" s="17" t="n">
        <v>1.17661</v>
      </c>
      <c r="K46" s="2" t="inlineStr">
        <is>
          <t>止盈</t>
        </is>
      </c>
      <c r="L46" s="5">
        <f>交易明細!K23</f>
        <v/>
      </c>
      <c r="M46" s="16">
        <f>M45</f>
        <v/>
      </c>
      <c r="N46" s="2">
        <f>N45</f>
        <v/>
      </c>
      <c r="O46" s="16">
        <f>O45</f>
        <v/>
      </c>
      <c r="P46" s="4">
        <f>交易明細!L23</f>
        <v/>
      </c>
      <c r="Q46" s="10">
        <f>IF(N46="已下單",O46*P46,0)</f>
        <v/>
      </c>
      <c r="R46" s="10">
        <f>R45+Q46</f>
        <v/>
      </c>
      <c r="S46" s="16">
        <f>S45-IF(N46="已下單",M46,0)</f>
        <v/>
      </c>
      <c r="T46" s="16">
        <f>R46-S46</f>
        <v/>
      </c>
      <c r="U46" s="2">
        <f>U45-IF(N46="已下單",1,0)</f>
        <v/>
      </c>
      <c r="V46" s="16">
        <f>IF(資金模擬!$B$9=2,MAX(R46,0),MAX(V45,FLOOR(MAX(R46,0),資金模擬!$B$6)))</f>
        <v/>
      </c>
      <c r="W46" s="10">
        <f>MAX(W45,R46)</f>
        <v/>
      </c>
      <c r="X46" s="4">
        <f>IF(W46&gt;0,R46/W46-1,-1)</f>
        <v/>
      </c>
      <c r="Y46" s="16">
        <f>IF(R46&gt;0,S46*資金模擬!$B$7/R46,0)</f>
        <v/>
      </c>
      <c r="Z46" s="2">
        <f>IF(OR(Z45=1,R46&lt;=資金模擬!$B$10),1,0)</f>
        <v/>
      </c>
    </row>
    <row r="47">
      <c r="A47" s="2" t="n">
        <v>45</v>
      </c>
      <c r="B47" s="7" t="n">
        <v>46292.65555555555</v>
      </c>
      <c r="C47" s="2" t="inlineStr">
        <is>
          <t>進場</t>
        </is>
      </c>
      <c r="D47" s="2" t="n">
        <v>23</v>
      </c>
      <c r="E47" s="2" t="inlineStr">
        <is>
          <t>XVG_USDT_PERP</t>
        </is>
      </c>
      <c r="F47" s="2" t="inlineStr">
        <is>
          <t>做空</t>
        </is>
      </c>
      <c r="G47" s="17" t="n">
        <v>0.003505</v>
      </c>
      <c r="H47" s="17" t="n">
        <v>0.00339985</v>
      </c>
      <c r="I47" s="17" t="n">
        <v>0.00368025</v>
      </c>
      <c r="J47" s="17" t="n"/>
      <c r="K47" s="2" t="n"/>
      <c r="L47" s="5" t="n"/>
      <c r="M47" s="16">
        <f>資金模擬!$B$5*V46</f>
        <v/>
      </c>
      <c r="N47" s="2">
        <f>IF(Z46=1,"已停止",IF(T46&gt;=M47,"已下單","資金不足略過"))</f>
        <v/>
      </c>
      <c r="O47" s="16">
        <f>IF(N47="已下單",M47*資金模擬!$B$7,0)</f>
        <v/>
      </c>
      <c r="P47" s="4" t="n"/>
      <c r="Q47" s="10" t="n">
        <v>0</v>
      </c>
      <c r="R47" s="10">
        <f>R46+Q47</f>
        <v/>
      </c>
      <c r="S47" s="16">
        <f>S46+IF(N47="已下單",M47,0)</f>
        <v/>
      </c>
      <c r="T47" s="16">
        <f>R47-S47</f>
        <v/>
      </c>
      <c r="U47" s="2">
        <f>U46+IF(N47="已下單",1,0)</f>
        <v/>
      </c>
      <c r="V47" s="16">
        <f>IF(資金模擬!$B$9=2,MAX(R47,0),MAX(V46,FLOOR(MAX(R47,0),資金模擬!$B$6)))</f>
        <v/>
      </c>
      <c r="W47" s="10">
        <f>MAX(W46,R47)</f>
        <v/>
      </c>
      <c r="X47" s="4">
        <f>IF(W47&gt;0,R47/W47-1,-1)</f>
        <v/>
      </c>
      <c r="Y47" s="16">
        <f>IF(R47&gt;0,S47*資金模擬!$B$7/R47,0)</f>
        <v/>
      </c>
      <c r="Z47" s="2">
        <f>IF(OR(Z46=1,R47&lt;=資金模擬!$B$10),1,0)</f>
        <v/>
      </c>
    </row>
    <row r="48">
      <c r="A48" s="2" t="n">
        <v>46</v>
      </c>
      <c r="B48" s="7" t="n">
        <v>46292.70069444444</v>
      </c>
      <c r="C48" s="2" t="inlineStr">
        <is>
          <t>出場</t>
        </is>
      </c>
      <c r="D48" s="2" t="n">
        <v>23</v>
      </c>
      <c r="E48" s="2" t="inlineStr">
        <is>
          <t>XVG_USDT_PERP</t>
        </is>
      </c>
      <c r="F48" s="2" t="inlineStr">
        <is>
          <t>做空</t>
        </is>
      </c>
      <c r="G48" s="17" t="n">
        <v>0.003505</v>
      </c>
      <c r="H48" s="17" t="n">
        <v>0.00339985</v>
      </c>
      <c r="I48" s="17" t="n">
        <v>0.00368025</v>
      </c>
      <c r="J48" s="17" t="n">
        <v>0.00368025</v>
      </c>
      <c r="K48" s="2" t="inlineStr">
        <is>
          <t>止損</t>
        </is>
      </c>
      <c r="L48" s="5">
        <f>交易明細!K24</f>
        <v/>
      </c>
      <c r="M48" s="16">
        <f>M47</f>
        <v/>
      </c>
      <c r="N48" s="2">
        <f>N47</f>
        <v/>
      </c>
      <c r="O48" s="16">
        <f>O47</f>
        <v/>
      </c>
      <c r="P48" s="4">
        <f>交易明細!L24</f>
        <v/>
      </c>
      <c r="Q48" s="10">
        <f>IF(N48="已下單",O48*P48,0)</f>
        <v/>
      </c>
      <c r="R48" s="10">
        <f>R47+Q48</f>
        <v/>
      </c>
      <c r="S48" s="16">
        <f>S47-IF(N48="已下單",M48,0)</f>
        <v/>
      </c>
      <c r="T48" s="16">
        <f>R48-S48</f>
        <v/>
      </c>
      <c r="U48" s="2">
        <f>U47-IF(N48="已下單",1,0)</f>
        <v/>
      </c>
      <c r="V48" s="16">
        <f>IF(資金模擬!$B$9=2,MAX(R48,0),MAX(V47,FLOOR(MAX(R48,0),資金模擬!$B$6)))</f>
        <v/>
      </c>
      <c r="W48" s="10">
        <f>MAX(W47,R48)</f>
        <v/>
      </c>
      <c r="X48" s="4">
        <f>IF(W48&gt;0,R48/W48-1,-1)</f>
        <v/>
      </c>
      <c r="Y48" s="16">
        <f>IF(R48&gt;0,S48*資金模擬!$B$7/R48,0)</f>
        <v/>
      </c>
      <c r="Z48" s="2">
        <f>IF(OR(Z47=1,R48&lt;=資金模擬!$B$10),1,0)</f>
        <v/>
      </c>
    </row>
    <row r="49">
      <c r="A49" s="2" t="n">
        <v>47</v>
      </c>
      <c r="B49" s="7" t="n">
        <v>46292.7375</v>
      </c>
      <c r="C49" s="2" t="inlineStr">
        <is>
          <t>進場</t>
        </is>
      </c>
      <c r="D49" s="2" t="n">
        <v>24</v>
      </c>
      <c r="E49" s="2" t="inlineStr">
        <is>
          <t>ARX_USDT_PERP</t>
        </is>
      </c>
      <c r="F49" s="2" t="inlineStr">
        <is>
          <t>做空</t>
        </is>
      </c>
      <c r="G49" s="17" t="n">
        <v>0.2513</v>
      </c>
      <c r="H49" s="17" t="n">
        <v>0.243761</v>
      </c>
      <c r="I49" s="17" t="n">
        <v>0.263865</v>
      </c>
      <c r="J49" s="17" t="n"/>
      <c r="K49" s="2" t="n"/>
      <c r="L49" s="5" t="n"/>
      <c r="M49" s="16">
        <f>資金模擬!$B$5*V48</f>
        <v/>
      </c>
      <c r="N49" s="2">
        <f>IF(Z48=1,"已停止",IF(T48&gt;=M49,"已下單","資金不足略過"))</f>
        <v/>
      </c>
      <c r="O49" s="16">
        <f>IF(N49="已下單",M49*資金模擬!$B$7,0)</f>
        <v/>
      </c>
      <c r="P49" s="4" t="n"/>
      <c r="Q49" s="10" t="n">
        <v>0</v>
      </c>
      <c r="R49" s="10">
        <f>R48+Q49</f>
        <v/>
      </c>
      <c r="S49" s="16">
        <f>S48+IF(N49="已下單",M49,0)</f>
        <v/>
      </c>
      <c r="T49" s="16">
        <f>R49-S49</f>
        <v/>
      </c>
      <c r="U49" s="2">
        <f>U48+IF(N49="已下單",1,0)</f>
        <v/>
      </c>
      <c r="V49" s="16">
        <f>IF(資金模擬!$B$9=2,MAX(R49,0),MAX(V48,FLOOR(MAX(R49,0),資金模擬!$B$6)))</f>
        <v/>
      </c>
      <c r="W49" s="10">
        <f>MAX(W48,R49)</f>
        <v/>
      </c>
      <c r="X49" s="4">
        <f>IF(W49&gt;0,R49/W49-1,-1)</f>
        <v/>
      </c>
      <c r="Y49" s="16">
        <f>IF(R49&gt;0,S49*資金模擬!$B$7/R49,0)</f>
        <v/>
      </c>
      <c r="Z49" s="2">
        <f>IF(OR(Z48=1,R49&lt;=資金模擬!$B$10),1,0)</f>
        <v/>
      </c>
    </row>
    <row r="50">
      <c r="A50" s="2" t="n">
        <v>48</v>
      </c>
      <c r="B50" s="7" t="n">
        <v>46292.78125</v>
      </c>
      <c r="C50" s="2" t="inlineStr">
        <is>
          <t>出場</t>
        </is>
      </c>
      <c r="D50" s="2" t="n">
        <v>24</v>
      </c>
      <c r="E50" s="2" t="inlineStr">
        <is>
          <t>ARX_USDT_PERP</t>
        </is>
      </c>
      <c r="F50" s="2" t="inlineStr">
        <is>
          <t>做空</t>
        </is>
      </c>
      <c r="G50" s="17" t="n">
        <v>0.2513</v>
      </c>
      <c r="H50" s="17" t="n">
        <v>0.243761</v>
      </c>
      <c r="I50" s="17" t="n">
        <v>0.263865</v>
      </c>
      <c r="J50" s="17" t="n">
        <v>0.263865</v>
      </c>
      <c r="K50" s="2" t="inlineStr">
        <is>
          <t>止損</t>
        </is>
      </c>
      <c r="L50" s="5">
        <f>交易明細!K25</f>
        <v/>
      </c>
      <c r="M50" s="16">
        <f>M49</f>
        <v/>
      </c>
      <c r="N50" s="2">
        <f>N49</f>
        <v/>
      </c>
      <c r="O50" s="16">
        <f>O49</f>
        <v/>
      </c>
      <c r="P50" s="4">
        <f>交易明細!L25</f>
        <v/>
      </c>
      <c r="Q50" s="10">
        <f>IF(N50="已下單",O50*P50,0)</f>
        <v/>
      </c>
      <c r="R50" s="10">
        <f>R49+Q50</f>
        <v/>
      </c>
      <c r="S50" s="16">
        <f>S49-IF(N50="已下單",M50,0)</f>
        <v/>
      </c>
      <c r="T50" s="16">
        <f>R50-S50</f>
        <v/>
      </c>
      <c r="U50" s="2">
        <f>U49-IF(N50="已下單",1,0)</f>
        <v/>
      </c>
      <c r="V50" s="16">
        <f>IF(資金模擬!$B$9=2,MAX(R50,0),MAX(V49,FLOOR(MAX(R50,0),資金模擬!$B$6)))</f>
        <v/>
      </c>
      <c r="W50" s="10">
        <f>MAX(W49,R50)</f>
        <v/>
      </c>
      <c r="X50" s="4">
        <f>IF(W50&gt;0,R50/W50-1,-1)</f>
        <v/>
      </c>
      <c r="Y50" s="16">
        <f>IF(R50&gt;0,S50*資金模擬!$B$7/R50,0)</f>
        <v/>
      </c>
      <c r="Z50" s="2">
        <f>IF(OR(Z49=1,R50&lt;=資金模擬!$B$10),1,0)</f>
        <v/>
      </c>
    </row>
    <row r="51">
      <c r="A51" s="2" t="n">
        <v>49</v>
      </c>
      <c r="B51" s="7" t="n">
        <v>46292.84166666667</v>
      </c>
      <c r="C51" s="2" t="inlineStr">
        <is>
          <t>進場</t>
        </is>
      </c>
      <c r="D51" s="2" t="n">
        <v>25</v>
      </c>
      <c r="E51" s="2" t="inlineStr">
        <is>
          <t>INX_USDT_PERP</t>
        </is>
      </c>
      <c r="F51" s="2" t="inlineStr">
        <is>
          <t>做空</t>
        </is>
      </c>
      <c r="G51" s="17" t="n">
        <v>0.007383</v>
      </c>
      <c r="H51" s="17" t="n">
        <v>0.007161509999999999</v>
      </c>
      <c r="I51" s="17" t="n">
        <v>0.00775215</v>
      </c>
      <c r="J51" s="17" t="n"/>
      <c r="K51" s="2" t="n"/>
      <c r="L51" s="5" t="n"/>
      <c r="M51" s="16">
        <f>資金模擬!$B$5*V50</f>
        <v/>
      </c>
      <c r="N51" s="2">
        <f>IF(Z50=1,"已停止",IF(T50&gt;=M51,"已下單","資金不足略過"))</f>
        <v/>
      </c>
      <c r="O51" s="16">
        <f>IF(N51="已下單",M51*資金模擬!$B$7,0)</f>
        <v/>
      </c>
      <c r="P51" s="4" t="n"/>
      <c r="Q51" s="10" t="n">
        <v>0</v>
      </c>
      <c r="R51" s="10">
        <f>R50+Q51</f>
        <v/>
      </c>
      <c r="S51" s="16">
        <f>S50+IF(N51="已下單",M51,0)</f>
        <v/>
      </c>
      <c r="T51" s="16">
        <f>R51-S51</f>
        <v/>
      </c>
      <c r="U51" s="2">
        <f>U50+IF(N51="已下單",1,0)</f>
        <v/>
      </c>
      <c r="V51" s="16">
        <f>IF(資金模擬!$B$9=2,MAX(R51,0),MAX(V50,FLOOR(MAX(R51,0),資金模擬!$B$6)))</f>
        <v/>
      </c>
      <c r="W51" s="10">
        <f>MAX(W50,R51)</f>
        <v/>
      </c>
      <c r="X51" s="4">
        <f>IF(W51&gt;0,R51/W51-1,-1)</f>
        <v/>
      </c>
      <c r="Y51" s="16">
        <f>IF(R51&gt;0,S51*資金模擬!$B$7/R51,0)</f>
        <v/>
      </c>
      <c r="Z51" s="2">
        <f>IF(OR(Z50=1,R51&lt;=資金模擬!$B$10),1,0)</f>
        <v/>
      </c>
    </row>
    <row r="52">
      <c r="A52" s="2" t="n">
        <v>50</v>
      </c>
      <c r="B52" s="7" t="n">
        <v>46292.84652777778</v>
      </c>
      <c r="C52" s="2" t="inlineStr">
        <is>
          <t>出場</t>
        </is>
      </c>
      <c r="D52" s="2" t="n">
        <v>25</v>
      </c>
      <c r="E52" s="2" t="inlineStr">
        <is>
          <t>INX_USDT_PERP</t>
        </is>
      </c>
      <c r="F52" s="2" t="inlineStr">
        <is>
          <t>做空</t>
        </is>
      </c>
      <c r="G52" s="17" t="n">
        <v>0.007383</v>
      </c>
      <c r="H52" s="17" t="n">
        <v>0.007161509999999999</v>
      </c>
      <c r="I52" s="17" t="n">
        <v>0.00775215</v>
      </c>
      <c r="J52" s="17" t="n">
        <v>0.007161509999999999</v>
      </c>
      <c r="K52" s="2" t="inlineStr">
        <is>
          <t>止盈</t>
        </is>
      </c>
      <c r="L52" s="5">
        <f>交易明細!K26</f>
        <v/>
      </c>
      <c r="M52" s="16">
        <f>M51</f>
        <v/>
      </c>
      <c r="N52" s="2">
        <f>N51</f>
        <v/>
      </c>
      <c r="O52" s="16">
        <f>O51</f>
        <v/>
      </c>
      <c r="P52" s="4">
        <f>交易明細!L26</f>
        <v/>
      </c>
      <c r="Q52" s="10">
        <f>IF(N52="已下單",O52*P52,0)</f>
        <v/>
      </c>
      <c r="R52" s="10">
        <f>R51+Q52</f>
        <v/>
      </c>
      <c r="S52" s="16">
        <f>S51-IF(N52="已下單",M52,0)</f>
        <v/>
      </c>
      <c r="T52" s="16">
        <f>R52-S52</f>
        <v/>
      </c>
      <c r="U52" s="2">
        <f>U51-IF(N52="已下單",1,0)</f>
        <v/>
      </c>
      <c r="V52" s="16">
        <f>IF(資金模擬!$B$9=2,MAX(R52,0),MAX(V51,FLOOR(MAX(R52,0),資金模擬!$B$6)))</f>
        <v/>
      </c>
      <c r="W52" s="10">
        <f>MAX(W51,R52)</f>
        <v/>
      </c>
      <c r="X52" s="4">
        <f>IF(W52&gt;0,R52/W52-1,-1)</f>
        <v/>
      </c>
      <c r="Y52" s="16">
        <f>IF(R52&gt;0,S52*資金模擬!$B$7/R52,0)</f>
        <v/>
      </c>
      <c r="Z52" s="2">
        <f>IF(OR(Z51=1,R52&lt;=資金模擬!$B$10),1,0)</f>
        <v/>
      </c>
    </row>
    <row r="53">
      <c r="A53" s="2" t="n">
        <v>51</v>
      </c>
      <c r="B53" s="7" t="n">
        <v>46292.92361111111</v>
      </c>
      <c r="C53" s="2" t="inlineStr">
        <is>
          <t>進場</t>
        </is>
      </c>
      <c r="D53" s="2" t="n">
        <v>26</v>
      </c>
      <c r="E53" s="2" t="inlineStr">
        <is>
          <t>ARX_USDT_PERP</t>
        </is>
      </c>
      <c r="F53" s="2" t="inlineStr">
        <is>
          <t>做空</t>
        </is>
      </c>
      <c r="G53" s="17" t="n">
        <v>0.2914</v>
      </c>
      <c r="H53" s="17" t="n">
        <v>0.282658</v>
      </c>
      <c r="I53" s="17" t="n">
        <v>0.30597</v>
      </c>
      <c r="J53" s="17" t="n"/>
      <c r="K53" s="2" t="n"/>
      <c r="L53" s="5" t="n"/>
      <c r="M53" s="16">
        <f>資金模擬!$B$5*V52</f>
        <v/>
      </c>
      <c r="N53" s="2">
        <f>IF(Z52=1,"已停止",IF(T52&gt;=M53,"已下單","資金不足略過"))</f>
        <v/>
      </c>
      <c r="O53" s="16">
        <f>IF(N53="已下單",M53*資金模擬!$B$7,0)</f>
        <v/>
      </c>
      <c r="P53" s="4" t="n"/>
      <c r="Q53" s="10" t="n">
        <v>0</v>
      </c>
      <c r="R53" s="10">
        <f>R52+Q53</f>
        <v/>
      </c>
      <c r="S53" s="16">
        <f>S52+IF(N53="已下單",M53,0)</f>
        <v/>
      </c>
      <c r="T53" s="16">
        <f>R53-S53</f>
        <v/>
      </c>
      <c r="U53" s="2">
        <f>U52+IF(N53="已下單",1,0)</f>
        <v/>
      </c>
      <c r="V53" s="16">
        <f>IF(資金模擬!$B$9=2,MAX(R53,0),MAX(V52,FLOOR(MAX(R53,0),資金模擬!$B$6)))</f>
        <v/>
      </c>
      <c r="W53" s="10">
        <f>MAX(W52,R53)</f>
        <v/>
      </c>
      <c r="X53" s="4">
        <f>IF(W53&gt;0,R53/W53-1,-1)</f>
        <v/>
      </c>
      <c r="Y53" s="16">
        <f>IF(R53&gt;0,S53*資金模擬!$B$7/R53,0)</f>
        <v/>
      </c>
      <c r="Z53" s="2">
        <f>IF(OR(Z52=1,R53&lt;=資金模擬!$B$10),1,0)</f>
        <v/>
      </c>
    </row>
    <row r="54">
      <c r="A54" s="2" t="n">
        <v>52</v>
      </c>
      <c r="B54" s="7" t="n">
        <v>46292.96944444445</v>
      </c>
      <c r="C54" s="2" t="inlineStr">
        <is>
          <t>出場</t>
        </is>
      </c>
      <c r="D54" s="2" t="n">
        <v>26</v>
      </c>
      <c r="E54" s="2" t="inlineStr">
        <is>
          <t>ARX_USDT_PERP</t>
        </is>
      </c>
      <c r="F54" s="2" t="inlineStr">
        <is>
          <t>做空</t>
        </is>
      </c>
      <c r="G54" s="17" t="n">
        <v>0.2914</v>
      </c>
      <c r="H54" s="17" t="n">
        <v>0.282658</v>
      </c>
      <c r="I54" s="17" t="n">
        <v>0.30597</v>
      </c>
      <c r="J54" s="17" t="n">
        <v>0.282658</v>
      </c>
      <c r="K54" s="2" t="inlineStr">
        <is>
          <t>止盈</t>
        </is>
      </c>
      <c r="L54" s="5">
        <f>交易明細!K27</f>
        <v/>
      </c>
      <c r="M54" s="16">
        <f>M53</f>
        <v/>
      </c>
      <c r="N54" s="2">
        <f>N53</f>
        <v/>
      </c>
      <c r="O54" s="16">
        <f>O53</f>
        <v/>
      </c>
      <c r="P54" s="4">
        <f>交易明細!L27</f>
        <v/>
      </c>
      <c r="Q54" s="10">
        <f>IF(N54="已下單",O54*P54,0)</f>
        <v/>
      </c>
      <c r="R54" s="10">
        <f>R53+Q54</f>
        <v/>
      </c>
      <c r="S54" s="16">
        <f>S53-IF(N54="已下單",M54,0)</f>
        <v/>
      </c>
      <c r="T54" s="16">
        <f>R54-S54</f>
        <v/>
      </c>
      <c r="U54" s="2">
        <f>U53-IF(N54="已下單",1,0)</f>
        <v/>
      </c>
      <c r="V54" s="16">
        <f>IF(資金模擬!$B$9=2,MAX(R54,0),MAX(V53,FLOOR(MAX(R54,0),資金模擬!$B$6)))</f>
        <v/>
      </c>
      <c r="W54" s="10">
        <f>MAX(W53,R54)</f>
        <v/>
      </c>
      <c r="X54" s="4">
        <f>IF(W54&gt;0,R54/W54-1,-1)</f>
        <v/>
      </c>
      <c r="Y54" s="16">
        <f>IF(R54&gt;0,S54*資金模擬!$B$7/R54,0)</f>
        <v/>
      </c>
      <c r="Z54" s="2">
        <f>IF(OR(Z53=1,R54&lt;=資金模擬!$B$10),1,0)</f>
        <v/>
      </c>
    </row>
    <row r="55">
      <c r="A55" s="2" t="n">
        <v>53</v>
      </c>
      <c r="B55" s="7" t="n">
        <v>46293.26736111111</v>
      </c>
      <c r="C55" s="2" t="inlineStr">
        <is>
          <t>進場</t>
        </is>
      </c>
      <c r="D55" s="2" t="n">
        <v>27</v>
      </c>
      <c r="E55" s="2" t="inlineStr">
        <is>
          <t>NOM_USDT_PERP</t>
        </is>
      </c>
      <c r="F55" s="2" t="inlineStr">
        <is>
          <t>做空</t>
        </is>
      </c>
      <c r="G55" s="17" t="n">
        <v>0.002434</v>
      </c>
      <c r="H55" s="17" t="n">
        <v>0.00236098</v>
      </c>
      <c r="I55" s="17" t="n">
        <v>0.0025557</v>
      </c>
      <c r="J55" s="17" t="n"/>
      <c r="K55" s="2" t="n"/>
      <c r="L55" s="5" t="n"/>
      <c r="M55" s="16">
        <f>資金模擬!$B$5*V54</f>
        <v/>
      </c>
      <c r="N55" s="2">
        <f>IF(Z54=1,"已停止",IF(T54&gt;=M55,"已下單","資金不足略過"))</f>
        <v/>
      </c>
      <c r="O55" s="16">
        <f>IF(N55="已下單",M55*資金模擬!$B$7,0)</f>
        <v/>
      </c>
      <c r="P55" s="4" t="n"/>
      <c r="Q55" s="10" t="n">
        <v>0</v>
      </c>
      <c r="R55" s="10">
        <f>R54+Q55</f>
        <v/>
      </c>
      <c r="S55" s="16">
        <f>S54+IF(N55="已下單",M55,0)</f>
        <v/>
      </c>
      <c r="T55" s="16">
        <f>R55-S55</f>
        <v/>
      </c>
      <c r="U55" s="2">
        <f>U54+IF(N55="已下單",1,0)</f>
        <v/>
      </c>
      <c r="V55" s="16">
        <f>IF(資金模擬!$B$9=2,MAX(R55,0),MAX(V54,FLOOR(MAX(R55,0),資金模擬!$B$6)))</f>
        <v/>
      </c>
      <c r="W55" s="10">
        <f>MAX(W54,R55)</f>
        <v/>
      </c>
      <c r="X55" s="4">
        <f>IF(W55&gt;0,R55/W55-1,-1)</f>
        <v/>
      </c>
      <c r="Y55" s="16">
        <f>IF(R55&gt;0,S55*資金模擬!$B$7/R55,0)</f>
        <v/>
      </c>
      <c r="Z55" s="2">
        <f>IF(OR(Z54=1,R55&lt;=資金模擬!$B$10),1,0)</f>
        <v/>
      </c>
    </row>
    <row r="56">
      <c r="A56" s="2" t="n">
        <v>54</v>
      </c>
      <c r="B56" s="7" t="n">
        <v>46293.26944444444</v>
      </c>
      <c r="C56" s="2" t="inlineStr">
        <is>
          <t>出場</t>
        </is>
      </c>
      <c r="D56" s="2" t="n">
        <v>27</v>
      </c>
      <c r="E56" s="2" t="inlineStr">
        <is>
          <t>NOM_USDT_PERP</t>
        </is>
      </c>
      <c r="F56" s="2" t="inlineStr">
        <is>
          <t>做空</t>
        </is>
      </c>
      <c r="G56" s="17" t="n">
        <v>0.002434</v>
      </c>
      <c r="H56" s="17" t="n">
        <v>0.00236098</v>
      </c>
      <c r="I56" s="17" t="n">
        <v>0.0025557</v>
      </c>
      <c r="J56" s="17" t="n">
        <v>0.00236098</v>
      </c>
      <c r="K56" s="2" t="inlineStr">
        <is>
          <t>止盈</t>
        </is>
      </c>
      <c r="L56" s="5">
        <f>交易明細!K28</f>
        <v/>
      </c>
      <c r="M56" s="16">
        <f>M55</f>
        <v/>
      </c>
      <c r="N56" s="2">
        <f>N55</f>
        <v/>
      </c>
      <c r="O56" s="16">
        <f>O55</f>
        <v/>
      </c>
      <c r="P56" s="4">
        <f>交易明細!L28</f>
        <v/>
      </c>
      <c r="Q56" s="10">
        <f>IF(N56="已下單",O56*P56,0)</f>
        <v/>
      </c>
      <c r="R56" s="10">
        <f>R55+Q56</f>
        <v/>
      </c>
      <c r="S56" s="16">
        <f>S55-IF(N56="已下單",M56,0)</f>
        <v/>
      </c>
      <c r="T56" s="16">
        <f>R56-S56</f>
        <v/>
      </c>
      <c r="U56" s="2">
        <f>U55-IF(N56="已下單",1,0)</f>
        <v/>
      </c>
      <c r="V56" s="16">
        <f>IF(資金模擬!$B$9=2,MAX(R56,0),MAX(V55,FLOOR(MAX(R56,0),資金模擬!$B$6)))</f>
        <v/>
      </c>
      <c r="W56" s="10">
        <f>MAX(W55,R56)</f>
        <v/>
      </c>
      <c r="X56" s="4">
        <f>IF(W56&gt;0,R56/W56-1,-1)</f>
        <v/>
      </c>
      <c r="Y56" s="16">
        <f>IF(R56&gt;0,S56*資金模擬!$B$7/R56,0)</f>
        <v/>
      </c>
      <c r="Z56" s="2">
        <f>IF(OR(Z55=1,R56&lt;=資金模擬!$B$10),1,0)</f>
        <v/>
      </c>
    </row>
    <row r="57">
      <c r="A57" s="2" t="n">
        <v>55</v>
      </c>
      <c r="B57" s="7" t="n">
        <v>46293.40833333333</v>
      </c>
      <c r="C57" s="2" t="inlineStr">
        <is>
          <t>進場</t>
        </is>
      </c>
      <c r="D57" s="2" t="n">
        <v>28</v>
      </c>
      <c r="E57" s="2" t="inlineStr">
        <is>
          <t>ELSA_USDT_PERP</t>
        </is>
      </c>
      <c r="F57" s="2" t="inlineStr">
        <is>
          <t>做空</t>
        </is>
      </c>
      <c r="G57" s="17" t="n">
        <v>0.06272</v>
      </c>
      <c r="H57" s="17" t="n">
        <v>0.06083839999999999</v>
      </c>
      <c r="I57" s="17" t="n">
        <v>0.065856</v>
      </c>
      <c r="J57" s="17" t="n"/>
      <c r="K57" s="2" t="n"/>
      <c r="L57" s="5" t="n"/>
      <c r="M57" s="16">
        <f>資金模擬!$B$5*V56</f>
        <v/>
      </c>
      <c r="N57" s="2">
        <f>IF(Z56=1,"已停止",IF(T56&gt;=M57,"已下單","資金不足略過"))</f>
        <v/>
      </c>
      <c r="O57" s="16">
        <f>IF(N57="已下單",M57*資金模擬!$B$7,0)</f>
        <v/>
      </c>
      <c r="P57" s="4" t="n"/>
      <c r="Q57" s="10" t="n">
        <v>0</v>
      </c>
      <c r="R57" s="10">
        <f>R56+Q57</f>
        <v/>
      </c>
      <c r="S57" s="16">
        <f>S56+IF(N57="已下單",M57,0)</f>
        <v/>
      </c>
      <c r="T57" s="16">
        <f>R57-S57</f>
        <v/>
      </c>
      <c r="U57" s="2">
        <f>U56+IF(N57="已下單",1,0)</f>
        <v/>
      </c>
      <c r="V57" s="16">
        <f>IF(資金模擬!$B$9=2,MAX(R57,0),MAX(V56,FLOOR(MAX(R57,0),資金模擬!$B$6)))</f>
        <v/>
      </c>
      <c r="W57" s="10">
        <f>MAX(W56,R57)</f>
        <v/>
      </c>
      <c r="X57" s="4">
        <f>IF(W57&gt;0,R57/W57-1,-1)</f>
        <v/>
      </c>
      <c r="Y57" s="16">
        <f>IF(R57&gt;0,S57*資金模擬!$B$7/R57,0)</f>
        <v/>
      </c>
      <c r="Z57" s="2">
        <f>IF(OR(Z56=1,R57&lt;=資金模擬!$B$10),1,0)</f>
        <v/>
      </c>
    </row>
    <row r="58">
      <c r="A58" s="2" t="n">
        <v>56</v>
      </c>
      <c r="B58" s="7" t="n">
        <v>46293.41597222222</v>
      </c>
      <c r="C58" s="2" t="inlineStr">
        <is>
          <t>進場</t>
        </is>
      </c>
      <c r="D58" s="2" t="n">
        <v>29</v>
      </c>
      <c r="E58" s="2" t="inlineStr">
        <is>
          <t>IRYS_USDT_PERP</t>
        </is>
      </c>
      <c r="F58" s="2" t="inlineStr">
        <is>
          <t>做空</t>
        </is>
      </c>
      <c r="G58" s="17" t="n">
        <v>0.02037</v>
      </c>
      <c r="H58" s="17" t="n">
        <v>0.0197589</v>
      </c>
      <c r="I58" s="17" t="n">
        <v>0.0213885</v>
      </c>
      <c r="J58" s="17" t="n"/>
      <c r="K58" s="2" t="n"/>
      <c r="L58" s="5" t="n"/>
      <c r="M58" s="16">
        <f>資金模擬!$B$5*V57</f>
        <v/>
      </c>
      <c r="N58" s="2">
        <f>IF(Z57=1,"已停止",IF(T57&gt;=M58,"已下單","資金不足略過"))</f>
        <v/>
      </c>
      <c r="O58" s="16">
        <f>IF(N58="已下單",M58*資金模擬!$B$7,0)</f>
        <v/>
      </c>
      <c r="P58" s="4" t="n"/>
      <c r="Q58" s="10" t="n">
        <v>0</v>
      </c>
      <c r="R58" s="10">
        <f>R57+Q58</f>
        <v/>
      </c>
      <c r="S58" s="16">
        <f>S57+IF(N58="已下單",M58,0)</f>
        <v/>
      </c>
      <c r="T58" s="16">
        <f>R58-S58</f>
        <v/>
      </c>
      <c r="U58" s="2">
        <f>U57+IF(N58="已下單",1,0)</f>
        <v/>
      </c>
      <c r="V58" s="16">
        <f>IF(資金模擬!$B$9=2,MAX(R58,0),MAX(V57,FLOOR(MAX(R58,0),資金模擬!$B$6)))</f>
        <v/>
      </c>
      <c r="W58" s="10">
        <f>MAX(W57,R58)</f>
        <v/>
      </c>
      <c r="X58" s="4">
        <f>IF(W58&gt;0,R58/W58-1,-1)</f>
        <v/>
      </c>
      <c r="Y58" s="16">
        <f>IF(R58&gt;0,S58*資金模擬!$B$7/R58,0)</f>
        <v/>
      </c>
      <c r="Z58" s="2">
        <f>IF(OR(Z57=1,R58&lt;=資金模擬!$B$10),1,0)</f>
        <v/>
      </c>
    </row>
    <row r="59">
      <c r="A59" s="2" t="n">
        <v>57</v>
      </c>
      <c r="B59" s="7" t="n">
        <v>46293.44166666667</v>
      </c>
      <c r="C59" s="2" t="inlineStr">
        <is>
          <t>出場</t>
        </is>
      </c>
      <c r="D59" s="2" t="n">
        <v>28</v>
      </c>
      <c r="E59" s="2" t="inlineStr">
        <is>
          <t>ELSA_USDT_PERP</t>
        </is>
      </c>
      <c r="F59" s="2" t="inlineStr">
        <is>
          <t>做空</t>
        </is>
      </c>
      <c r="G59" s="17" t="n">
        <v>0.06272</v>
      </c>
      <c r="H59" s="17" t="n">
        <v>0.06083839999999999</v>
      </c>
      <c r="I59" s="17" t="n">
        <v>0.065856</v>
      </c>
      <c r="J59" s="17" t="n">
        <v>0.06083839999999999</v>
      </c>
      <c r="K59" s="2" t="inlineStr">
        <is>
          <t>止盈</t>
        </is>
      </c>
      <c r="L59" s="5">
        <f>交易明細!K29</f>
        <v/>
      </c>
      <c r="M59" s="16">
        <f>M57</f>
        <v/>
      </c>
      <c r="N59" s="2">
        <f>N57</f>
        <v/>
      </c>
      <c r="O59" s="16">
        <f>O57</f>
        <v/>
      </c>
      <c r="P59" s="4">
        <f>交易明細!L29</f>
        <v/>
      </c>
      <c r="Q59" s="10">
        <f>IF(N59="已下單",O59*P59,0)</f>
        <v/>
      </c>
      <c r="R59" s="10">
        <f>R58+Q59</f>
        <v/>
      </c>
      <c r="S59" s="16">
        <f>S58-IF(N59="已下單",M59,0)</f>
        <v/>
      </c>
      <c r="T59" s="16">
        <f>R59-S59</f>
        <v/>
      </c>
      <c r="U59" s="2">
        <f>U58-IF(N59="已下單",1,0)</f>
        <v/>
      </c>
      <c r="V59" s="16">
        <f>IF(資金模擬!$B$9=2,MAX(R59,0),MAX(V58,FLOOR(MAX(R59,0),資金模擬!$B$6)))</f>
        <v/>
      </c>
      <c r="W59" s="10">
        <f>MAX(W58,R59)</f>
        <v/>
      </c>
      <c r="X59" s="4">
        <f>IF(W59&gt;0,R59/W59-1,-1)</f>
        <v/>
      </c>
      <c r="Y59" s="16">
        <f>IF(R59&gt;0,S59*資金模擬!$B$7/R59,0)</f>
        <v/>
      </c>
      <c r="Z59" s="2">
        <f>IF(OR(Z58=1,R59&lt;=資金模擬!$B$10),1,0)</f>
        <v/>
      </c>
    </row>
    <row r="60">
      <c r="A60" s="2" t="n">
        <v>58</v>
      </c>
      <c r="B60" s="7" t="n">
        <v>46293.44305555556</v>
      </c>
      <c r="C60" s="2" t="inlineStr">
        <is>
          <t>出場</t>
        </is>
      </c>
      <c r="D60" s="2" t="n">
        <v>29</v>
      </c>
      <c r="E60" s="2" t="inlineStr">
        <is>
          <t>IRYS_USDT_PERP</t>
        </is>
      </c>
      <c r="F60" s="2" t="inlineStr">
        <is>
          <t>做空</t>
        </is>
      </c>
      <c r="G60" s="17" t="n">
        <v>0.02037</v>
      </c>
      <c r="H60" s="17" t="n">
        <v>0.0197589</v>
      </c>
      <c r="I60" s="17" t="n">
        <v>0.0213885</v>
      </c>
      <c r="J60" s="17" t="n">
        <v>0.0197589</v>
      </c>
      <c r="K60" s="2" t="inlineStr">
        <is>
          <t>止盈</t>
        </is>
      </c>
      <c r="L60" s="5">
        <f>交易明細!K30</f>
        <v/>
      </c>
      <c r="M60" s="16">
        <f>M58</f>
        <v/>
      </c>
      <c r="N60" s="2">
        <f>N58</f>
        <v/>
      </c>
      <c r="O60" s="16">
        <f>O58</f>
        <v/>
      </c>
      <c r="P60" s="4">
        <f>交易明細!L30</f>
        <v/>
      </c>
      <c r="Q60" s="10">
        <f>IF(N60="已下單",O60*P60,0)</f>
        <v/>
      </c>
      <c r="R60" s="10">
        <f>R59+Q60</f>
        <v/>
      </c>
      <c r="S60" s="16">
        <f>S59-IF(N60="已下單",M60,0)</f>
        <v/>
      </c>
      <c r="T60" s="16">
        <f>R60-S60</f>
        <v/>
      </c>
      <c r="U60" s="2">
        <f>U59-IF(N60="已下單",1,0)</f>
        <v/>
      </c>
      <c r="V60" s="16">
        <f>IF(資金模擬!$B$9=2,MAX(R60,0),MAX(V59,FLOOR(MAX(R60,0),資金模擬!$B$6)))</f>
        <v/>
      </c>
      <c r="W60" s="10">
        <f>MAX(W59,R60)</f>
        <v/>
      </c>
      <c r="X60" s="4">
        <f>IF(W60&gt;0,R60/W60-1,-1)</f>
        <v/>
      </c>
      <c r="Y60" s="16">
        <f>IF(R60&gt;0,S60*資金模擬!$B$7/R60,0)</f>
        <v/>
      </c>
      <c r="Z60" s="2">
        <f>IF(OR(Z59=1,R60&lt;=資金模擬!$B$10),1,0)</f>
        <v/>
      </c>
    </row>
    <row r="61">
      <c r="A61" s="2" t="n">
        <v>59</v>
      </c>
      <c r="B61" s="7" t="n">
        <v>46293.56111111111</v>
      </c>
      <c r="C61" s="2" t="inlineStr">
        <is>
          <t>進場</t>
        </is>
      </c>
      <c r="D61" s="2" t="n">
        <v>30</v>
      </c>
      <c r="E61" s="2" t="inlineStr">
        <is>
          <t>SOON_USDT_PERP</t>
        </is>
      </c>
      <c r="F61" s="2" t="inlineStr">
        <is>
          <t>做空</t>
        </is>
      </c>
      <c r="G61" s="17" t="n">
        <v>0.3642</v>
      </c>
      <c r="H61" s="17" t="n">
        <v>0.353274</v>
      </c>
      <c r="I61" s="17" t="n">
        <v>0.38241</v>
      </c>
      <c r="J61" s="17" t="n"/>
      <c r="K61" s="2" t="n"/>
      <c r="L61" s="5" t="n"/>
      <c r="M61" s="16">
        <f>資金模擬!$B$5*V60</f>
        <v/>
      </c>
      <c r="N61" s="2">
        <f>IF(Z60=1,"已停止",IF(T60&gt;=M61,"已下單","資金不足略過"))</f>
        <v/>
      </c>
      <c r="O61" s="16">
        <f>IF(N61="已下單",M61*資金模擬!$B$7,0)</f>
        <v/>
      </c>
      <c r="P61" s="4" t="n"/>
      <c r="Q61" s="10" t="n">
        <v>0</v>
      </c>
      <c r="R61" s="10">
        <f>R60+Q61</f>
        <v/>
      </c>
      <c r="S61" s="16">
        <f>S60+IF(N61="已下單",M61,0)</f>
        <v/>
      </c>
      <c r="T61" s="16">
        <f>R61-S61</f>
        <v/>
      </c>
      <c r="U61" s="2">
        <f>U60+IF(N61="已下單",1,0)</f>
        <v/>
      </c>
      <c r="V61" s="16">
        <f>IF(資金模擬!$B$9=2,MAX(R61,0),MAX(V60,FLOOR(MAX(R61,0),資金模擬!$B$6)))</f>
        <v/>
      </c>
      <c r="W61" s="10">
        <f>MAX(W60,R61)</f>
        <v/>
      </c>
      <c r="X61" s="4">
        <f>IF(W61&gt;0,R61/W61-1,-1)</f>
        <v/>
      </c>
      <c r="Y61" s="16">
        <f>IF(R61&gt;0,S61*資金模擬!$B$7/R61,0)</f>
        <v/>
      </c>
      <c r="Z61" s="2">
        <f>IF(OR(Z60=1,R61&lt;=資金模擬!$B$10),1,0)</f>
        <v/>
      </c>
    </row>
    <row r="62">
      <c r="A62" s="2" t="n">
        <v>60</v>
      </c>
      <c r="B62" s="7" t="n">
        <v>46293.56805555556</v>
      </c>
      <c r="C62" s="2" t="inlineStr">
        <is>
          <t>出場</t>
        </is>
      </c>
      <c r="D62" s="2" t="n">
        <v>30</v>
      </c>
      <c r="E62" s="2" t="inlineStr">
        <is>
          <t>SOON_USDT_PERP</t>
        </is>
      </c>
      <c r="F62" s="2" t="inlineStr">
        <is>
          <t>做空</t>
        </is>
      </c>
      <c r="G62" s="17" t="n">
        <v>0.3642</v>
      </c>
      <c r="H62" s="17" t="n">
        <v>0.353274</v>
      </c>
      <c r="I62" s="17" t="n">
        <v>0.38241</v>
      </c>
      <c r="J62" s="17" t="n">
        <v>0.353274</v>
      </c>
      <c r="K62" s="2" t="inlineStr">
        <is>
          <t>止盈</t>
        </is>
      </c>
      <c r="L62" s="5">
        <f>交易明細!K31</f>
        <v/>
      </c>
      <c r="M62" s="16">
        <f>M61</f>
        <v/>
      </c>
      <c r="N62" s="2">
        <f>N61</f>
        <v/>
      </c>
      <c r="O62" s="16">
        <f>O61</f>
        <v/>
      </c>
      <c r="P62" s="4">
        <f>交易明細!L31</f>
        <v/>
      </c>
      <c r="Q62" s="10">
        <f>IF(N62="已下單",O62*P62,0)</f>
        <v/>
      </c>
      <c r="R62" s="10">
        <f>R61+Q62</f>
        <v/>
      </c>
      <c r="S62" s="16">
        <f>S61-IF(N62="已下單",M62,0)</f>
        <v/>
      </c>
      <c r="T62" s="16">
        <f>R62-S62</f>
        <v/>
      </c>
      <c r="U62" s="2">
        <f>U61-IF(N62="已下單",1,0)</f>
        <v/>
      </c>
      <c r="V62" s="16">
        <f>IF(資金模擬!$B$9=2,MAX(R62,0),MAX(V61,FLOOR(MAX(R62,0),資金模擬!$B$6)))</f>
        <v/>
      </c>
      <c r="W62" s="10">
        <f>MAX(W61,R62)</f>
        <v/>
      </c>
      <c r="X62" s="4">
        <f>IF(W62&gt;0,R62/W62-1,-1)</f>
        <v/>
      </c>
      <c r="Y62" s="16">
        <f>IF(R62&gt;0,S62*資金模擬!$B$7/R62,0)</f>
        <v/>
      </c>
      <c r="Z62" s="2">
        <f>IF(OR(Z61=1,R62&lt;=資金模擬!$B$10),1,0)</f>
        <v/>
      </c>
    </row>
    <row r="63">
      <c r="A63" s="2" t="n">
        <v>61</v>
      </c>
      <c r="B63" s="7" t="n">
        <v>46293.88541666666</v>
      </c>
      <c r="C63" s="2" t="inlineStr">
        <is>
          <t>進場</t>
        </is>
      </c>
      <c r="D63" s="2" t="n">
        <v>31</v>
      </c>
      <c r="E63" s="2" t="inlineStr">
        <is>
          <t>ARX_USDT_PERP</t>
        </is>
      </c>
      <c r="F63" s="2" t="inlineStr">
        <is>
          <t>做空</t>
        </is>
      </c>
      <c r="G63" s="17" t="n">
        <v>0.275</v>
      </c>
      <c r="H63" s="17" t="n">
        <v>0.26675</v>
      </c>
      <c r="I63" s="17" t="n">
        <v>0.2887500000000001</v>
      </c>
      <c r="J63" s="17" t="n"/>
      <c r="K63" s="2" t="n"/>
      <c r="L63" s="5" t="n"/>
      <c r="M63" s="16">
        <f>資金模擬!$B$5*V62</f>
        <v/>
      </c>
      <c r="N63" s="2">
        <f>IF(Z62=1,"已停止",IF(T62&gt;=M63,"已下單","資金不足略過"))</f>
        <v/>
      </c>
      <c r="O63" s="16">
        <f>IF(N63="已下單",M63*資金模擬!$B$7,0)</f>
        <v/>
      </c>
      <c r="P63" s="4" t="n"/>
      <c r="Q63" s="10" t="n">
        <v>0</v>
      </c>
      <c r="R63" s="10">
        <f>R62+Q63</f>
        <v/>
      </c>
      <c r="S63" s="16">
        <f>S62+IF(N63="已下單",M63,0)</f>
        <v/>
      </c>
      <c r="T63" s="16">
        <f>R63-S63</f>
        <v/>
      </c>
      <c r="U63" s="2">
        <f>U62+IF(N63="已下單",1,0)</f>
        <v/>
      </c>
      <c r="V63" s="16">
        <f>IF(資金模擬!$B$9=2,MAX(R63,0),MAX(V62,FLOOR(MAX(R63,0),資金模擬!$B$6)))</f>
        <v/>
      </c>
      <c r="W63" s="10">
        <f>MAX(W62,R63)</f>
        <v/>
      </c>
      <c r="X63" s="4">
        <f>IF(W63&gt;0,R63/W63-1,-1)</f>
        <v/>
      </c>
      <c r="Y63" s="16">
        <f>IF(R63&gt;0,S63*資金模擬!$B$7/R63,0)</f>
        <v/>
      </c>
      <c r="Z63" s="2">
        <f>IF(OR(Z62=1,R63&lt;=資金模擬!$B$10),1,0)</f>
        <v/>
      </c>
    </row>
    <row r="64">
      <c r="A64" s="2" t="n">
        <v>62</v>
      </c>
      <c r="B64" s="7" t="n">
        <v>46293.89236111111</v>
      </c>
      <c r="C64" s="2" t="inlineStr">
        <is>
          <t>出場</t>
        </is>
      </c>
      <c r="D64" s="2" t="n">
        <v>31</v>
      </c>
      <c r="E64" s="2" t="inlineStr">
        <is>
          <t>ARX_USDT_PERP</t>
        </is>
      </c>
      <c r="F64" s="2" t="inlineStr">
        <is>
          <t>做空</t>
        </is>
      </c>
      <c r="G64" s="17" t="n">
        <v>0.275</v>
      </c>
      <c r="H64" s="17" t="n">
        <v>0.26675</v>
      </c>
      <c r="I64" s="17" t="n">
        <v>0.2887500000000001</v>
      </c>
      <c r="J64" s="17" t="n">
        <v>0.26675</v>
      </c>
      <c r="K64" s="2" t="inlineStr">
        <is>
          <t>止盈</t>
        </is>
      </c>
      <c r="L64" s="5">
        <f>交易明細!K32</f>
        <v/>
      </c>
      <c r="M64" s="16">
        <f>M63</f>
        <v/>
      </c>
      <c r="N64" s="2">
        <f>N63</f>
        <v/>
      </c>
      <c r="O64" s="16">
        <f>O63</f>
        <v/>
      </c>
      <c r="P64" s="4">
        <f>交易明細!L32</f>
        <v/>
      </c>
      <c r="Q64" s="10">
        <f>IF(N64="已下單",O64*P64,0)</f>
        <v/>
      </c>
      <c r="R64" s="10">
        <f>R63+Q64</f>
        <v/>
      </c>
      <c r="S64" s="16">
        <f>S63-IF(N64="已下單",M64,0)</f>
        <v/>
      </c>
      <c r="T64" s="16">
        <f>R64-S64</f>
        <v/>
      </c>
      <c r="U64" s="2">
        <f>U63-IF(N64="已下單",1,0)</f>
        <v/>
      </c>
      <c r="V64" s="16">
        <f>IF(資金模擬!$B$9=2,MAX(R64,0),MAX(V63,FLOOR(MAX(R64,0),資金模擬!$B$6)))</f>
        <v/>
      </c>
      <c r="W64" s="10">
        <f>MAX(W63,R64)</f>
        <v/>
      </c>
      <c r="X64" s="4">
        <f>IF(W64&gt;0,R64/W64-1,-1)</f>
        <v/>
      </c>
      <c r="Y64" s="16">
        <f>IF(R64&gt;0,S64*資金模擬!$B$7/R64,0)</f>
        <v/>
      </c>
      <c r="Z64" s="2">
        <f>IF(OR(Z63=1,R64&lt;=資金模擬!$B$10),1,0)</f>
        <v/>
      </c>
    </row>
    <row r="65">
      <c r="A65" s="2" t="n">
        <v>63</v>
      </c>
      <c r="B65" s="7" t="n">
        <v>46294.05138888889</v>
      </c>
      <c r="C65" s="2" t="inlineStr">
        <is>
          <t>進場</t>
        </is>
      </c>
      <c r="D65" s="2" t="n">
        <v>32</v>
      </c>
      <c r="E65" s="2" t="inlineStr">
        <is>
          <t>QNT_USDT_PERP</t>
        </is>
      </c>
      <c r="F65" s="2" t="inlineStr">
        <is>
          <t>做空</t>
        </is>
      </c>
      <c r="G65" s="17" t="n">
        <v>247.4</v>
      </c>
      <c r="H65" s="17" t="n">
        <v>239.978</v>
      </c>
      <c r="I65" s="17" t="n">
        <v>259.77</v>
      </c>
      <c r="J65" s="17" t="n"/>
      <c r="K65" s="2" t="n"/>
      <c r="L65" s="5" t="n"/>
      <c r="M65" s="16">
        <f>資金模擬!$B$5*V64</f>
        <v/>
      </c>
      <c r="N65" s="2">
        <f>IF(Z64=1,"已停止",IF(T64&gt;=M65,"已下單","資金不足略過"))</f>
        <v/>
      </c>
      <c r="O65" s="16">
        <f>IF(N65="已下單",M65*資金模擬!$B$7,0)</f>
        <v/>
      </c>
      <c r="P65" s="4" t="n"/>
      <c r="Q65" s="10" t="n">
        <v>0</v>
      </c>
      <c r="R65" s="10">
        <f>R64+Q65</f>
        <v/>
      </c>
      <c r="S65" s="16">
        <f>S64+IF(N65="已下單",M65,0)</f>
        <v/>
      </c>
      <c r="T65" s="16">
        <f>R65-S65</f>
        <v/>
      </c>
      <c r="U65" s="2">
        <f>U64+IF(N65="已下單",1,0)</f>
        <v/>
      </c>
      <c r="V65" s="16">
        <f>IF(資金模擬!$B$9=2,MAX(R65,0),MAX(V64,FLOOR(MAX(R65,0),資金模擬!$B$6)))</f>
        <v/>
      </c>
      <c r="W65" s="10">
        <f>MAX(W64,R65)</f>
        <v/>
      </c>
      <c r="X65" s="4">
        <f>IF(W65&gt;0,R65/W65-1,-1)</f>
        <v/>
      </c>
      <c r="Y65" s="16">
        <f>IF(R65&gt;0,S65*資金模擬!$B$7/R65,0)</f>
        <v/>
      </c>
      <c r="Z65" s="2">
        <f>IF(OR(Z64=1,R65&lt;=資金模擬!$B$10),1,0)</f>
        <v/>
      </c>
    </row>
    <row r="66">
      <c r="A66" s="2" t="n">
        <v>64</v>
      </c>
      <c r="B66" s="7" t="n">
        <v>46294.09722222222</v>
      </c>
      <c r="C66" s="2" t="inlineStr">
        <is>
          <t>出場</t>
        </is>
      </c>
      <c r="D66" s="2" t="n">
        <v>32</v>
      </c>
      <c r="E66" s="2" t="inlineStr">
        <is>
          <t>QNT_USDT_PERP</t>
        </is>
      </c>
      <c r="F66" s="2" t="inlineStr">
        <is>
          <t>做空</t>
        </is>
      </c>
      <c r="G66" s="17" t="n">
        <v>247.4</v>
      </c>
      <c r="H66" s="17" t="n">
        <v>239.978</v>
      </c>
      <c r="I66" s="17" t="n">
        <v>259.77</v>
      </c>
      <c r="J66" s="17" t="n">
        <v>239.978</v>
      </c>
      <c r="K66" s="2" t="inlineStr">
        <is>
          <t>止盈</t>
        </is>
      </c>
      <c r="L66" s="5">
        <f>交易明細!K33</f>
        <v/>
      </c>
      <c r="M66" s="16">
        <f>M65</f>
        <v/>
      </c>
      <c r="N66" s="2">
        <f>N65</f>
        <v/>
      </c>
      <c r="O66" s="16">
        <f>O65</f>
        <v/>
      </c>
      <c r="P66" s="4">
        <f>交易明細!L33</f>
        <v/>
      </c>
      <c r="Q66" s="10">
        <f>IF(N66="已下單",O66*P66,0)</f>
        <v/>
      </c>
      <c r="R66" s="10">
        <f>R65+Q66</f>
        <v/>
      </c>
      <c r="S66" s="16">
        <f>S65-IF(N66="已下單",M66,0)</f>
        <v/>
      </c>
      <c r="T66" s="16">
        <f>R66-S66</f>
        <v/>
      </c>
      <c r="U66" s="2">
        <f>U65-IF(N66="已下單",1,0)</f>
        <v/>
      </c>
      <c r="V66" s="16">
        <f>IF(資金模擬!$B$9=2,MAX(R66,0),MAX(V65,FLOOR(MAX(R66,0),資金模擬!$B$6)))</f>
        <v/>
      </c>
      <c r="W66" s="10">
        <f>MAX(W65,R66)</f>
        <v/>
      </c>
      <c r="X66" s="4">
        <f>IF(W66&gt;0,R66/W66-1,-1)</f>
        <v/>
      </c>
      <c r="Y66" s="16">
        <f>IF(R66&gt;0,S66*資金模擬!$B$7/R66,0)</f>
        <v/>
      </c>
      <c r="Z66" s="2">
        <f>IF(OR(Z65=1,R66&lt;=資金模擬!$B$10),1,0)</f>
        <v/>
      </c>
    </row>
    <row r="67">
      <c r="A67" s="2" t="n">
        <v>65</v>
      </c>
      <c r="B67" s="7" t="n">
        <v>46294.28472222222</v>
      </c>
      <c r="C67" s="2" t="inlineStr">
        <is>
          <t>進場</t>
        </is>
      </c>
      <c r="D67" s="2" t="n">
        <v>33</v>
      </c>
      <c r="E67" s="2" t="inlineStr">
        <is>
          <t>NMR_USDT_PERP</t>
        </is>
      </c>
      <c r="F67" s="2" t="inlineStr">
        <is>
          <t>做空</t>
        </is>
      </c>
      <c r="G67" s="17" t="n">
        <v>14.451</v>
      </c>
      <c r="H67" s="17" t="n">
        <v>14.01747</v>
      </c>
      <c r="I67" s="17" t="n">
        <v>15.17355</v>
      </c>
      <c r="J67" s="17" t="n"/>
      <c r="K67" s="2" t="n"/>
      <c r="L67" s="5" t="n"/>
      <c r="M67" s="16">
        <f>資金模擬!$B$5*V66</f>
        <v/>
      </c>
      <c r="N67" s="2">
        <f>IF(Z66=1,"已停止",IF(T66&gt;=M67,"已下單","資金不足略過"))</f>
        <v/>
      </c>
      <c r="O67" s="16">
        <f>IF(N67="已下單",M67*資金模擬!$B$7,0)</f>
        <v/>
      </c>
      <c r="P67" s="4" t="n"/>
      <c r="Q67" s="10" t="n">
        <v>0</v>
      </c>
      <c r="R67" s="10">
        <f>R66+Q67</f>
        <v/>
      </c>
      <c r="S67" s="16">
        <f>S66+IF(N67="已下單",M67,0)</f>
        <v/>
      </c>
      <c r="T67" s="16">
        <f>R67-S67</f>
        <v/>
      </c>
      <c r="U67" s="2">
        <f>U66+IF(N67="已下單",1,0)</f>
        <v/>
      </c>
      <c r="V67" s="16">
        <f>IF(資金模擬!$B$9=2,MAX(R67,0),MAX(V66,FLOOR(MAX(R67,0),資金模擬!$B$6)))</f>
        <v/>
      </c>
      <c r="W67" s="10">
        <f>MAX(W66,R67)</f>
        <v/>
      </c>
      <c r="X67" s="4">
        <f>IF(W67&gt;0,R67/W67-1,-1)</f>
        <v/>
      </c>
      <c r="Y67" s="16">
        <f>IF(R67&gt;0,S67*資金模擬!$B$7/R67,0)</f>
        <v/>
      </c>
      <c r="Z67" s="2">
        <f>IF(OR(Z66=1,R67&lt;=資金模擬!$B$10),1,0)</f>
        <v/>
      </c>
    </row>
    <row r="68">
      <c r="A68" s="2" t="n">
        <v>66</v>
      </c>
      <c r="B68" s="7" t="n">
        <v>46294.31666666667</v>
      </c>
      <c r="C68" s="2" t="inlineStr">
        <is>
          <t>出場</t>
        </is>
      </c>
      <c r="D68" s="2" t="n">
        <v>33</v>
      </c>
      <c r="E68" s="2" t="inlineStr">
        <is>
          <t>NMR_USDT_PERP</t>
        </is>
      </c>
      <c r="F68" s="2" t="inlineStr">
        <is>
          <t>做空</t>
        </is>
      </c>
      <c r="G68" s="17" t="n">
        <v>14.451</v>
      </c>
      <c r="H68" s="17" t="n">
        <v>14.01747</v>
      </c>
      <c r="I68" s="17" t="n">
        <v>15.17355</v>
      </c>
      <c r="J68" s="17" t="n">
        <v>15.17355</v>
      </c>
      <c r="K68" s="2" t="inlineStr">
        <is>
          <t>止損</t>
        </is>
      </c>
      <c r="L68" s="5">
        <f>交易明細!K34</f>
        <v/>
      </c>
      <c r="M68" s="16">
        <f>M67</f>
        <v/>
      </c>
      <c r="N68" s="2">
        <f>N67</f>
        <v/>
      </c>
      <c r="O68" s="16">
        <f>O67</f>
        <v/>
      </c>
      <c r="P68" s="4">
        <f>交易明細!L34</f>
        <v/>
      </c>
      <c r="Q68" s="10">
        <f>IF(N68="已下單",O68*P68,0)</f>
        <v/>
      </c>
      <c r="R68" s="10">
        <f>R67+Q68</f>
        <v/>
      </c>
      <c r="S68" s="16">
        <f>S67-IF(N68="已下單",M68,0)</f>
        <v/>
      </c>
      <c r="T68" s="16">
        <f>R68-S68</f>
        <v/>
      </c>
      <c r="U68" s="2">
        <f>U67-IF(N68="已下單",1,0)</f>
        <v/>
      </c>
      <c r="V68" s="16">
        <f>IF(資金模擬!$B$9=2,MAX(R68,0),MAX(V67,FLOOR(MAX(R68,0),資金模擬!$B$6)))</f>
        <v/>
      </c>
      <c r="W68" s="10">
        <f>MAX(W67,R68)</f>
        <v/>
      </c>
      <c r="X68" s="4">
        <f>IF(W68&gt;0,R68/W68-1,-1)</f>
        <v/>
      </c>
      <c r="Y68" s="16">
        <f>IF(R68&gt;0,S68*資金模擬!$B$7/R68,0)</f>
        <v/>
      </c>
      <c r="Z68" s="2">
        <f>IF(OR(Z67=1,R68&lt;=資金模擬!$B$10),1,0)</f>
        <v/>
      </c>
    </row>
    <row r="69">
      <c r="A69" s="2" t="n">
        <v>67</v>
      </c>
      <c r="B69" s="7" t="n">
        <v>46294.84583333333</v>
      </c>
      <c r="C69" s="2" t="inlineStr">
        <is>
          <t>進場</t>
        </is>
      </c>
      <c r="D69" s="2" t="n">
        <v>34</v>
      </c>
      <c r="E69" s="2" t="inlineStr">
        <is>
          <t>PUMP_USDT_PERP</t>
        </is>
      </c>
      <c r="F69" s="2" t="inlineStr">
        <is>
          <t>做空</t>
        </is>
      </c>
      <c r="G69" s="17" t="n">
        <v>0.005687</v>
      </c>
      <c r="H69" s="17" t="n">
        <v>0.00551639</v>
      </c>
      <c r="I69" s="17" t="n">
        <v>0.00597135</v>
      </c>
      <c r="J69" s="17" t="n"/>
      <c r="K69" s="2" t="n"/>
      <c r="L69" s="5" t="n"/>
      <c r="M69" s="16">
        <f>資金模擬!$B$5*V68</f>
        <v/>
      </c>
      <c r="N69" s="2">
        <f>IF(Z68=1,"已停止",IF(T68&gt;=M69,"已下單","資金不足略過"))</f>
        <v/>
      </c>
      <c r="O69" s="16">
        <f>IF(N69="已下單",M69*資金模擬!$B$7,0)</f>
        <v/>
      </c>
      <c r="P69" s="4" t="n"/>
      <c r="Q69" s="10" t="n">
        <v>0</v>
      </c>
      <c r="R69" s="10">
        <f>R68+Q69</f>
        <v/>
      </c>
      <c r="S69" s="16">
        <f>S68+IF(N69="已下單",M69,0)</f>
        <v/>
      </c>
      <c r="T69" s="16">
        <f>R69-S69</f>
        <v/>
      </c>
      <c r="U69" s="2">
        <f>U68+IF(N69="已下單",1,0)</f>
        <v/>
      </c>
      <c r="V69" s="16">
        <f>IF(資金模擬!$B$9=2,MAX(R69,0),MAX(V68,FLOOR(MAX(R69,0),資金模擬!$B$6)))</f>
        <v/>
      </c>
      <c r="W69" s="10">
        <f>MAX(W68,R69)</f>
        <v/>
      </c>
      <c r="X69" s="4">
        <f>IF(W69&gt;0,R69/W69-1,-1)</f>
        <v/>
      </c>
      <c r="Y69" s="16">
        <f>IF(R69&gt;0,S69*資金模擬!$B$7/R69,0)</f>
        <v/>
      </c>
      <c r="Z69" s="2">
        <f>IF(OR(Z68=1,R69&lt;=資金模擬!$B$10),1,0)</f>
        <v/>
      </c>
    </row>
    <row r="70">
      <c r="A70" s="2" t="n">
        <v>68</v>
      </c>
      <c r="B70" s="7" t="n">
        <v>46295.13333333333</v>
      </c>
      <c r="C70" s="2" t="inlineStr">
        <is>
          <t>進場</t>
        </is>
      </c>
      <c r="D70" s="2" t="n">
        <v>35</v>
      </c>
      <c r="E70" s="2" t="inlineStr">
        <is>
          <t>MOVR_USDT_PERP</t>
        </is>
      </c>
      <c r="F70" s="2" t="inlineStr">
        <is>
          <t>做空</t>
        </is>
      </c>
      <c r="G70" s="17" t="n">
        <v>1.17</v>
      </c>
      <c r="H70" s="17" t="n">
        <v>1.1349</v>
      </c>
      <c r="I70" s="17" t="n">
        <v>1.2285</v>
      </c>
      <c r="J70" s="17" t="n"/>
      <c r="K70" s="2" t="n"/>
      <c r="L70" s="5" t="n"/>
      <c r="M70" s="16">
        <f>資金模擬!$B$5*V69</f>
        <v/>
      </c>
      <c r="N70" s="2">
        <f>IF(Z69=1,"已停止",IF(T69&gt;=M70,"已下單","資金不足略過"))</f>
        <v/>
      </c>
      <c r="O70" s="16">
        <f>IF(N70="已下單",M70*資金模擬!$B$7,0)</f>
        <v/>
      </c>
      <c r="P70" s="4" t="n"/>
      <c r="Q70" s="10" t="n">
        <v>0</v>
      </c>
      <c r="R70" s="10">
        <f>R69+Q70</f>
        <v/>
      </c>
      <c r="S70" s="16">
        <f>S69+IF(N70="已下單",M70,0)</f>
        <v/>
      </c>
      <c r="T70" s="16">
        <f>R70-S70</f>
        <v/>
      </c>
      <c r="U70" s="2">
        <f>U69+IF(N70="已下單",1,0)</f>
        <v/>
      </c>
      <c r="V70" s="16">
        <f>IF(資金模擬!$B$9=2,MAX(R70,0),MAX(V69,FLOOR(MAX(R70,0),資金模擬!$B$6)))</f>
        <v/>
      </c>
      <c r="W70" s="10">
        <f>MAX(W69,R70)</f>
        <v/>
      </c>
      <c r="X70" s="4">
        <f>IF(W70&gt;0,R70/W70-1,-1)</f>
        <v/>
      </c>
      <c r="Y70" s="16">
        <f>IF(R70&gt;0,S70*資金模擬!$B$7/R70,0)</f>
        <v/>
      </c>
      <c r="Z70" s="2">
        <f>IF(OR(Z69=1,R70&lt;=資金模擬!$B$10),1,0)</f>
        <v/>
      </c>
    </row>
    <row r="71">
      <c r="A71" s="2" t="n">
        <v>69</v>
      </c>
      <c r="B71" s="7" t="n">
        <v>46295.14375</v>
      </c>
      <c r="C71" s="2" t="inlineStr">
        <is>
          <t>出場</t>
        </is>
      </c>
      <c r="D71" s="2" t="n">
        <v>34</v>
      </c>
      <c r="E71" s="2" t="inlineStr">
        <is>
          <t>PUMP_USDT_PERP</t>
        </is>
      </c>
      <c r="F71" s="2" t="inlineStr">
        <is>
          <t>做空</t>
        </is>
      </c>
      <c r="G71" s="17" t="n">
        <v>0.005687</v>
      </c>
      <c r="H71" s="17" t="n">
        <v>0.00551639</v>
      </c>
      <c r="I71" s="17" t="n">
        <v>0.00597135</v>
      </c>
      <c r="J71" s="17" t="n">
        <v>0.00597135</v>
      </c>
      <c r="K71" s="2" t="inlineStr">
        <is>
          <t>止損</t>
        </is>
      </c>
      <c r="L71" s="5">
        <f>交易明細!K35</f>
        <v/>
      </c>
      <c r="M71" s="16">
        <f>M69</f>
        <v/>
      </c>
      <c r="N71" s="2">
        <f>N69</f>
        <v/>
      </c>
      <c r="O71" s="16">
        <f>O69</f>
        <v/>
      </c>
      <c r="P71" s="4">
        <f>交易明細!L35</f>
        <v/>
      </c>
      <c r="Q71" s="10">
        <f>IF(N71="已下單",O71*P71,0)</f>
        <v/>
      </c>
      <c r="R71" s="10">
        <f>R70+Q71</f>
        <v/>
      </c>
      <c r="S71" s="16">
        <f>S70-IF(N71="已下單",M71,0)</f>
        <v/>
      </c>
      <c r="T71" s="16">
        <f>R71-S71</f>
        <v/>
      </c>
      <c r="U71" s="2">
        <f>U70-IF(N71="已下單",1,0)</f>
        <v/>
      </c>
      <c r="V71" s="16">
        <f>IF(資金模擬!$B$9=2,MAX(R71,0),MAX(V70,FLOOR(MAX(R71,0),資金模擬!$B$6)))</f>
        <v/>
      </c>
      <c r="W71" s="10">
        <f>MAX(W70,R71)</f>
        <v/>
      </c>
      <c r="X71" s="4">
        <f>IF(W71&gt;0,R71/W71-1,-1)</f>
        <v/>
      </c>
      <c r="Y71" s="16">
        <f>IF(R71&gt;0,S71*資金模擬!$B$7/R71,0)</f>
        <v/>
      </c>
      <c r="Z71" s="2">
        <f>IF(OR(Z70=1,R71&lt;=資金模擬!$B$10),1,0)</f>
        <v/>
      </c>
    </row>
    <row r="72">
      <c r="A72" s="2" t="n">
        <v>70</v>
      </c>
      <c r="B72" s="7" t="n">
        <v>46295.18888888889</v>
      </c>
      <c r="C72" s="2" t="inlineStr">
        <is>
          <t>出場</t>
        </is>
      </c>
      <c r="D72" s="2" t="n">
        <v>35</v>
      </c>
      <c r="E72" s="2" t="inlineStr">
        <is>
          <t>MOVR_USDT_PERP</t>
        </is>
      </c>
      <c r="F72" s="2" t="inlineStr">
        <is>
          <t>做空</t>
        </is>
      </c>
      <c r="G72" s="17" t="n">
        <v>1.17</v>
      </c>
      <c r="H72" s="17" t="n">
        <v>1.1349</v>
      </c>
      <c r="I72" s="17" t="n">
        <v>1.2285</v>
      </c>
      <c r="J72" s="17" t="n">
        <v>1.1349</v>
      </c>
      <c r="K72" s="2" t="inlineStr">
        <is>
          <t>止盈</t>
        </is>
      </c>
      <c r="L72" s="5">
        <f>交易明細!K36</f>
        <v/>
      </c>
      <c r="M72" s="16">
        <f>M70</f>
        <v/>
      </c>
      <c r="N72" s="2">
        <f>N70</f>
        <v/>
      </c>
      <c r="O72" s="16">
        <f>O70</f>
        <v/>
      </c>
      <c r="P72" s="4">
        <f>交易明細!L36</f>
        <v/>
      </c>
      <c r="Q72" s="10">
        <f>IF(N72="已下單",O72*P72,0)</f>
        <v/>
      </c>
      <c r="R72" s="10">
        <f>R71+Q72</f>
        <v/>
      </c>
      <c r="S72" s="16">
        <f>S71-IF(N72="已下單",M72,0)</f>
        <v/>
      </c>
      <c r="T72" s="16">
        <f>R72-S72</f>
        <v/>
      </c>
      <c r="U72" s="2">
        <f>U71-IF(N72="已下單",1,0)</f>
        <v/>
      </c>
      <c r="V72" s="16">
        <f>IF(資金模擬!$B$9=2,MAX(R72,0),MAX(V71,FLOOR(MAX(R72,0),資金模擬!$B$6)))</f>
        <v/>
      </c>
      <c r="W72" s="10">
        <f>MAX(W71,R72)</f>
        <v/>
      </c>
      <c r="X72" s="4">
        <f>IF(W72&gt;0,R72/W72-1,-1)</f>
        <v/>
      </c>
      <c r="Y72" s="16">
        <f>IF(R72&gt;0,S72*資金模擬!$B$7/R72,0)</f>
        <v/>
      </c>
      <c r="Z72" s="2">
        <f>IF(OR(Z71=1,R72&lt;=資金模擬!$B$10),1,0)</f>
        <v/>
      </c>
    </row>
    <row r="73">
      <c r="A73" s="2" t="n">
        <v>71</v>
      </c>
      <c r="B73" s="7" t="n">
        <v>46295.41944444444</v>
      </c>
      <c r="C73" s="2" t="inlineStr">
        <is>
          <t>進場</t>
        </is>
      </c>
      <c r="D73" s="2" t="n">
        <v>36</v>
      </c>
      <c r="E73" s="2" t="inlineStr">
        <is>
          <t>MEW_USDT_PERP</t>
        </is>
      </c>
      <c r="F73" s="2" t="inlineStr">
        <is>
          <t>做空</t>
        </is>
      </c>
      <c r="G73" s="17" t="n">
        <v>0.0005730000000000001</v>
      </c>
      <c r="H73" s="17" t="n">
        <v>0.00055581</v>
      </c>
      <c r="I73" s="17" t="n">
        <v>0.0006016500000000001</v>
      </c>
      <c r="J73" s="17" t="n"/>
      <c r="K73" s="2" t="n"/>
      <c r="L73" s="5" t="n"/>
      <c r="M73" s="16">
        <f>資金模擬!$B$5*V72</f>
        <v/>
      </c>
      <c r="N73" s="2">
        <f>IF(Z72=1,"已停止",IF(T72&gt;=M73,"已下單","資金不足略過"))</f>
        <v/>
      </c>
      <c r="O73" s="16">
        <f>IF(N73="已下單",M73*資金模擬!$B$7,0)</f>
        <v/>
      </c>
      <c r="P73" s="4" t="n"/>
      <c r="Q73" s="10" t="n">
        <v>0</v>
      </c>
      <c r="R73" s="10">
        <f>R72+Q73</f>
        <v/>
      </c>
      <c r="S73" s="16">
        <f>S72+IF(N73="已下單",M73,0)</f>
        <v/>
      </c>
      <c r="T73" s="16">
        <f>R73-S73</f>
        <v/>
      </c>
      <c r="U73" s="2">
        <f>U72+IF(N73="已下單",1,0)</f>
        <v/>
      </c>
      <c r="V73" s="16">
        <f>IF(資金模擬!$B$9=2,MAX(R73,0),MAX(V72,FLOOR(MAX(R73,0),資金模擬!$B$6)))</f>
        <v/>
      </c>
      <c r="W73" s="10">
        <f>MAX(W72,R73)</f>
        <v/>
      </c>
      <c r="X73" s="4">
        <f>IF(W73&gt;0,R73/W73-1,-1)</f>
        <v/>
      </c>
      <c r="Y73" s="16">
        <f>IF(R73&gt;0,S73*資金模擬!$B$7/R73,0)</f>
        <v/>
      </c>
      <c r="Z73" s="2">
        <f>IF(OR(Z72=1,R73&lt;=資金模擬!$B$10),1,0)</f>
        <v/>
      </c>
    </row>
    <row r="74">
      <c r="A74" s="2" t="n">
        <v>72</v>
      </c>
      <c r="B74" s="7" t="n">
        <v>46295.42013888889</v>
      </c>
      <c r="C74" s="2" t="inlineStr">
        <is>
          <t>進場</t>
        </is>
      </c>
      <c r="D74" s="2" t="n">
        <v>37</v>
      </c>
      <c r="E74" s="2" t="inlineStr">
        <is>
          <t>US_USDT_PERP</t>
        </is>
      </c>
      <c r="F74" s="2" t="inlineStr">
        <is>
          <t>做空</t>
        </is>
      </c>
      <c r="G74" s="17" t="n">
        <v>0.01887</v>
      </c>
      <c r="H74" s="17" t="n">
        <v>0.0183039</v>
      </c>
      <c r="I74" s="17" t="n">
        <v>0.0198135</v>
      </c>
      <c r="J74" s="17" t="n"/>
      <c r="K74" s="2" t="n"/>
      <c r="L74" s="5" t="n"/>
      <c r="M74" s="16">
        <f>資金模擬!$B$5*V73</f>
        <v/>
      </c>
      <c r="N74" s="2">
        <f>IF(Z73=1,"已停止",IF(T73&gt;=M74,"已下單","資金不足略過"))</f>
        <v/>
      </c>
      <c r="O74" s="16">
        <f>IF(N74="已下單",M74*資金模擬!$B$7,0)</f>
        <v/>
      </c>
      <c r="P74" s="4" t="n"/>
      <c r="Q74" s="10" t="n">
        <v>0</v>
      </c>
      <c r="R74" s="10">
        <f>R73+Q74</f>
        <v/>
      </c>
      <c r="S74" s="16">
        <f>S73+IF(N74="已下單",M74,0)</f>
        <v/>
      </c>
      <c r="T74" s="16">
        <f>R74-S74</f>
        <v/>
      </c>
      <c r="U74" s="2">
        <f>U73+IF(N74="已下單",1,0)</f>
        <v/>
      </c>
      <c r="V74" s="16">
        <f>IF(資金模擬!$B$9=2,MAX(R74,0),MAX(V73,FLOOR(MAX(R74,0),資金模擬!$B$6)))</f>
        <v/>
      </c>
      <c r="W74" s="10">
        <f>MAX(W73,R74)</f>
        <v/>
      </c>
      <c r="X74" s="4">
        <f>IF(W74&gt;0,R74/W74-1,-1)</f>
        <v/>
      </c>
      <c r="Y74" s="16">
        <f>IF(R74&gt;0,S74*資金模擬!$B$7/R74,0)</f>
        <v/>
      </c>
      <c r="Z74" s="2">
        <f>IF(OR(Z73=1,R74&lt;=資金模擬!$B$10),1,0)</f>
        <v/>
      </c>
    </row>
    <row r="75">
      <c r="A75" s="2" t="n">
        <v>73</v>
      </c>
      <c r="B75" s="7" t="n">
        <v>46295.42569444444</v>
      </c>
      <c r="C75" s="2" t="inlineStr">
        <is>
          <t>出場</t>
        </is>
      </c>
      <c r="D75" s="2" t="n">
        <v>37</v>
      </c>
      <c r="E75" s="2" t="inlineStr">
        <is>
          <t>US_USDT_PERP</t>
        </is>
      </c>
      <c r="F75" s="2" t="inlineStr">
        <is>
          <t>做空</t>
        </is>
      </c>
      <c r="G75" s="17" t="n">
        <v>0.01887</v>
      </c>
      <c r="H75" s="17" t="n">
        <v>0.0183039</v>
      </c>
      <c r="I75" s="17" t="n">
        <v>0.0198135</v>
      </c>
      <c r="J75" s="17" t="n">
        <v>0.0183039</v>
      </c>
      <c r="K75" s="2" t="inlineStr">
        <is>
          <t>止盈</t>
        </is>
      </c>
      <c r="L75" s="5">
        <f>交易明細!K38</f>
        <v/>
      </c>
      <c r="M75" s="16">
        <f>M74</f>
        <v/>
      </c>
      <c r="N75" s="2">
        <f>N74</f>
        <v/>
      </c>
      <c r="O75" s="16">
        <f>O74</f>
        <v/>
      </c>
      <c r="P75" s="4">
        <f>交易明細!L38</f>
        <v/>
      </c>
      <c r="Q75" s="10">
        <f>IF(N75="已下單",O75*P75,0)</f>
        <v/>
      </c>
      <c r="R75" s="10">
        <f>R74+Q75</f>
        <v/>
      </c>
      <c r="S75" s="16">
        <f>S74-IF(N75="已下單",M75,0)</f>
        <v/>
      </c>
      <c r="T75" s="16">
        <f>R75-S75</f>
        <v/>
      </c>
      <c r="U75" s="2">
        <f>U74-IF(N75="已下單",1,0)</f>
        <v/>
      </c>
      <c r="V75" s="16">
        <f>IF(資金模擬!$B$9=2,MAX(R75,0),MAX(V74,FLOOR(MAX(R75,0),資金模擬!$B$6)))</f>
        <v/>
      </c>
      <c r="W75" s="10">
        <f>MAX(W74,R75)</f>
        <v/>
      </c>
      <c r="X75" s="4">
        <f>IF(W75&gt;0,R75/W75-1,-1)</f>
        <v/>
      </c>
      <c r="Y75" s="16">
        <f>IF(R75&gt;0,S75*資金模擬!$B$7/R75,0)</f>
        <v/>
      </c>
      <c r="Z75" s="2">
        <f>IF(OR(Z74=1,R75&lt;=資金模擬!$B$10),1,0)</f>
        <v/>
      </c>
    </row>
    <row r="76">
      <c r="A76" s="2" t="n">
        <v>74</v>
      </c>
      <c r="B76" s="7" t="n">
        <v>46295.46597222222</v>
      </c>
      <c r="C76" s="2" t="inlineStr">
        <is>
          <t>進場</t>
        </is>
      </c>
      <c r="D76" s="2" t="n">
        <v>38</v>
      </c>
      <c r="E76" s="2" t="inlineStr">
        <is>
          <t>SOON_USDT_PERP</t>
        </is>
      </c>
      <c r="F76" s="2" t="inlineStr">
        <is>
          <t>做空</t>
        </is>
      </c>
      <c r="G76" s="17" t="n">
        <v>0.4264</v>
      </c>
      <c r="H76" s="17" t="n">
        <v>0.413608</v>
      </c>
      <c r="I76" s="17" t="n">
        <v>0.44772</v>
      </c>
      <c r="J76" s="17" t="n"/>
      <c r="K76" s="2" t="n"/>
      <c r="L76" s="5" t="n"/>
      <c r="M76" s="16">
        <f>資金模擬!$B$5*V75</f>
        <v/>
      </c>
      <c r="N76" s="2">
        <f>IF(Z75=1,"已停止",IF(T75&gt;=M76,"已下單","資金不足略過"))</f>
        <v/>
      </c>
      <c r="O76" s="16">
        <f>IF(N76="已下單",M76*資金模擬!$B$7,0)</f>
        <v/>
      </c>
      <c r="P76" s="4" t="n"/>
      <c r="Q76" s="10" t="n">
        <v>0</v>
      </c>
      <c r="R76" s="10">
        <f>R75+Q76</f>
        <v/>
      </c>
      <c r="S76" s="16">
        <f>S75+IF(N76="已下單",M76,0)</f>
        <v/>
      </c>
      <c r="T76" s="16">
        <f>R76-S76</f>
        <v/>
      </c>
      <c r="U76" s="2">
        <f>U75+IF(N76="已下單",1,0)</f>
        <v/>
      </c>
      <c r="V76" s="16">
        <f>IF(資金模擬!$B$9=2,MAX(R76,0),MAX(V75,FLOOR(MAX(R76,0),資金模擬!$B$6)))</f>
        <v/>
      </c>
      <c r="W76" s="10">
        <f>MAX(W75,R76)</f>
        <v/>
      </c>
      <c r="X76" s="4">
        <f>IF(W76&gt;0,R76/W76-1,-1)</f>
        <v/>
      </c>
      <c r="Y76" s="16">
        <f>IF(R76&gt;0,S76*資金模擬!$B$7/R76,0)</f>
        <v/>
      </c>
      <c r="Z76" s="2">
        <f>IF(OR(Z75=1,R76&lt;=資金模擬!$B$10),1,0)</f>
        <v/>
      </c>
    </row>
    <row r="77">
      <c r="A77" s="2" t="n">
        <v>75</v>
      </c>
      <c r="B77" s="7" t="n">
        <v>46295.47222222222</v>
      </c>
      <c r="C77" s="2" t="inlineStr">
        <is>
          <t>出場</t>
        </is>
      </c>
      <c r="D77" s="2" t="n">
        <v>36</v>
      </c>
      <c r="E77" s="2" t="inlineStr">
        <is>
          <t>MEW_USDT_PERP</t>
        </is>
      </c>
      <c r="F77" s="2" t="inlineStr">
        <is>
          <t>做空</t>
        </is>
      </c>
      <c r="G77" s="17" t="n">
        <v>0.0005730000000000001</v>
      </c>
      <c r="H77" s="17" t="n">
        <v>0.00055581</v>
      </c>
      <c r="I77" s="17" t="n">
        <v>0.0006016500000000001</v>
      </c>
      <c r="J77" s="17" t="n">
        <v>0.00055581</v>
      </c>
      <c r="K77" s="2" t="inlineStr">
        <is>
          <t>止盈</t>
        </is>
      </c>
      <c r="L77" s="5">
        <f>交易明細!K37</f>
        <v/>
      </c>
      <c r="M77" s="16">
        <f>M73</f>
        <v/>
      </c>
      <c r="N77" s="2">
        <f>N73</f>
        <v/>
      </c>
      <c r="O77" s="16">
        <f>O73</f>
        <v/>
      </c>
      <c r="P77" s="4">
        <f>交易明細!L37</f>
        <v/>
      </c>
      <c r="Q77" s="10">
        <f>IF(N77="已下單",O77*P77,0)</f>
        <v/>
      </c>
      <c r="R77" s="10">
        <f>R76+Q77</f>
        <v/>
      </c>
      <c r="S77" s="16">
        <f>S76-IF(N77="已下單",M77,0)</f>
        <v/>
      </c>
      <c r="T77" s="16">
        <f>R77-S77</f>
        <v/>
      </c>
      <c r="U77" s="2">
        <f>U76-IF(N77="已下單",1,0)</f>
        <v/>
      </c>
      <c r="V77" s="16">
        <f>IF(資金模擬!$B$9=2,MAX(R77,0),MAX(V76,FLOOR(MAX(R77,0),資金模擬!$B$6)))</f>
        <v/>
      </c>
      <c r="W77" s="10">
        <f>MAX(W76,R77)</f>
        <v/>
      </c>
      <c r="X77" s="4">
        <f>IF(W77&gt;0,R77/W77-1,-1)</f>
        <v/>
      </c>
      <c r="Y77" s="16">
        <f>IF(R77&gt;0,S77*資金模擬!$B$7/R77,0)</f>
        <v/>
      </c>
      <c r="Z77" s="2">
        <f>IF(OR(Z76=1,R77&lt;=資金模擬!$B$10),1,0)</f>
        <v/>
      </c>
    </row>
    <row r="78">
      <c r="A78" s="2" t="n">
        <v>76</v>
      </c>
      <c r="B78" s="7" t="n">
        <v>46295.47361111111</v>
      </c>
      <c r="C78" s="2" t="inlineStr">
        <is>
          <t>出場</t>
        </is>
      </c>
      <c r="D78" s="2" t="n">
        <v>38</v>
      </c>
      <c r="E78" s="2" t="inlineStr">
        <is>
          <t>SOON_USDT_PERP</t>
        </is>
      </c>
      <c r="F78" s="2" t="inlineStr">
        <is>
          <t>做空</t>
        </is>
      </c>
      <c r="G78" s="17" t="n">
        <v>0.4264</v>
      </c>
      <c r="H78" s="17" t="n">
        <v>0.413608</v>
      </c>
      <c r="I78" s="17" t="n">
        <v>0.44772</v>
      </c>
      <c r="J78" s="17" t="n">
        <v>0.413608</v>
      </c>
      <c r="K78" s="2" t="inlineStr">
        <is>
          <t>止盈</t>
        </is>
      </c>
      <c r="L78" s="5">
        <f>交易明細!K39</f>
        <v/>
      </c>
      <c r="M78" s="16">
        <f>M76</f>
        <v/>
      </c>
      <c r="N78" s="2">
        <f>N76</f>
        <v/>
      </c>
      <c r="O78" s="16">
        <f>O76</f>
        <v/>
      </c>
      <c r="P78" s="4">
        <f>交易明細!L39</f>
        <v/>
      </c>
      <c r="Q78" s="10">
        <f>IF(N78="已下單",O78*P78,0)</f>
        <v/>
      </c>
      <c r="R78" s="10">
        <f>R77+Q78</f>
        <v/>
      </c>
      <c r="S78" s="16">
        <f>S77-IF(N78="已下單",M78,0)</f>
        <v/>
      </c>
      <c r="T78" s="16">
        <f>R78-S78</f>
        <v/>
      </c>
      <c r="U78" s="2">
        <f>U77-IF(N78="已下單",1,0)</f>
        <v/>
      </c>
      <c r="V78" s="16">
        <f>IF(資金模擬!$B$9=2,MAX(R78,0),MAX(V77,FLOOR(MAX(R78,0),資金模擬!$B$6)))</f>
        <v/>
      </c>
      <c r="W78" s="10">
        <f>MAX(W77,R78)</f>
        <v/>
      </c>
      <c r="X78" s="4">
        <f>IF(W78&gt;0,R78/W78-1,-1)</f>
        <v/>
      </c>
      <c r="Y78" s="16">
        <f>IF(R78&gt;0,S78*資金模擬!$B$7/R78,0)</f>
        <v/>
      </c>
      <c r="Z78" s="2">
        <f>IF(OR(Z77=1,R78&lt;=資金模擬!$B$10),1,0)</f>
        <v/>
      </c>
    </row>
    <row r="79">
      <c r="A79" s="2" t="n">
        <v>77</v>
      </c>
      <c r="B79" s="7" t="n">
        <v>46295.71180555555</v>
      </c>
      <c r="C79" s="2" t="inlineStr">
        <is>
          <t>進場</t>
        </is>
      </c>
      <c r="D79" s="2" t="n">
        <v>39</v>
      </c>
      <c r="E79" s="2" t="inlineStr">
        <is>
          <t>AKE_USDT_PERP</t>
        </is>
      </c>
      <c r="F79" s="2" t="inlineStr">
        <is>
          <t>做空</t>
        </is>
      </c>
      <c r="G79" s="17" t="n">
        <v>0.0354337</v>
      </c>
      <c r="H79" s="17" t="n">
        <v>0.034370689</v>
      </c>
      <c r="I79" s="17" t="n">
        <v>0.037205385</v>
      </c>
      <c r="J79" s="17" t="n"/>
      <c r="K79" s="2" t="n"/>
      <c r="L79" s="5" t="n"/>
      <c r="M79" s="16">
        <f>資金模擬!$B$5*V78</f>
        <v/>
      </c>
      <c r="N79" s="2">
        <f>IF(Z78=1,"已停止",IF(T78&gt;=M79,"已下單","資金不足略過"))</f>
        <v/>
      </c>
      <c r="O79" s="16">
        <f>IF(N79="已下單",M79*資金模擬!$B$7,0)</f>
        <v/>
      </c>
      <c r="P79" s="4" t="n"/>
      <c r="Q79" s="10" t="n">
        <v>0</v>
      </c>
      <c r="R79" s="10">
        <f>R78+Q79</f>
        <v/>
      </c>
      <c r="S79" s="16">
        <f>S78+IF(N79="已下單",M79,0)</f>
        <v/>
      </c>
      <c r="T79" s="16">
        <f>R79-S79</f>
        <v/>
      </c>
      <c r="U79" s="2">
        <f>U78+IF(N79="已下單",1,0)</f>
        <v/>
      </c>
      <c r="V79" s="16">
        <f>IF(資金模擬!$B$9=2,MAX(R79,0),MAX(V78,FLOOR(MAX(R79,0),資金模擬!$B$6)))</f>
        <v/>
      </c>
      <c r="W79" s="10">
        <f>MAX(W78,R79)</f>
        <v/>
      </c>
      <c r="X79" s="4">
        <f>IF(W79&gt;0,R79/W79-1,-1)</f>
        <v/>
      </c>
      <c r="Y79" s="16">
        <f>IF(R79&gt;0,S79*資金模擬!$B$7/R79,0)</f>
        <v/>
      </c>
      <c r="Z79" s="2">
        <f>IF(OR(Z78=1,R79&lt;=資金模擬!$B$10),1,0)</f>
        <v/>
      </c>
    </row>
    <row r="80">
      <c r="A80" s="2" t="n">
        <v>78</v>
      </c>
      <c r="B80" s="7" t="n">
        <v>46295.71597222222</v>
      </c>
      <c r="C80" s="2" t="inlineStr">
        <is>
          <t>出場</t>
        </is>
      </c>
      <c r="D80" s="2" t="n">
        <v>39</v>
      </c>
      <c r="E80" s="2" t="inlineStr">
        <is>
          <t>AKE_USDT_PERP</t>
        </is>
      </c>
      <c r="F80" s="2" t="inlineStr">
        <is>
          <t>做空</t>
        </is>
      </c>
      <c r="G80" s="17" t="n">
        <v>0.0354337</v>
      </c>
      <c r="H80" s="17" t="n">
        <v>0.034370689</v>
      </c>
      <c r="I80" s="17" t="n">
        <v>0.037205385</v>
      </c>
      <c r="J80" s="17" t="n">
        <v>0.037205385</v>
      </c>
      <c r="K80" s="2" t="inlineStr">
        <is>
          <t>止損</t>
        </is>
      </c>
      <c r="L80" s="5">
        <f>交易明細!K40</f>
        <v/>
      </c>
      <c r="M80" s="16">
        <f>M79</f>
        <v/>
      </c>
      <c r="N80" s="2">
        <f>N79</f>
        <v/>
      </c>
      <c r="O80" s="16">
        <f>O79</f>
        <v/>
      </c>
      <c r="P80" s="4">
        <f>交易明細!L40</f>
        <v/>
      </c>
      <c r="Q80" s="10">
        <f>IF(N80="已下單",O80*P80,0)</f>
        <v/>
      </c>
      <c r="R80" s="10">
        <f>R79+Q80</f>
        <v/>
      </c>
      <c r="S80" s="16">
        <f>S79-IF(N80="已下單",M80,0)</f>
        <v/>
      </c>
      <c r="T80" s="16">
        <f>R80-S80</f>
        <v/>
      </c>
      <c r="U80" s="2">
        <f>U79-IF(N80="已下單",1,0)</f>
        <v/>
      </c>
      <c r="V80" s="16">
        <f>IF(資金模擬!$B$9=2,MAX(R80,0),MAX(V79,FLOOR(MAX(R80,0),資金模擬!$B$6)))</f>
        <v/>
      </c>
      <c r="W80" s="10">
        <f>MAX(W79,R80)</f>
        <v/>
      </c>
      <c r="X80" s="4">
        <f>IF(W80&gt;0,R80/W80-1,-1)</f>
        <v/>
      </c>
      <c r="Y80" s="16">
        <f>IF(R80&gt;0,S80*資金模擬!$B$7/R80,0)</f>
        <v/>
      </c>
      <c r="Z80" s="2">
        <f>IF(OR(Z79=1,R80&lt;=資金模擬!$B$10),1,0)</f>
        <v/>
      </c>
    </row>
    <row r="81">
      <c r="A81" s="2" t="n">
        <v>79</v>
      </c>
      <c r="B81" s="7" t="n">
        <v>46295.83680555555</v>
      </c>
      <c r="C81" s="2" t="inlineStr">
        <is>
          <t>進場</t>
        </is>
      </c>
      <c r="D81" s="2" t="n">
        <v>40</v>
      </c>
      <c r="E81" s="2" t="inlineStr">
        <is>
          <t>PROS_USDT_PERP</t>
        </is>
      </c>
      <c r="F81" s="2" t="inlineStr">
        <is>
          <t>做空</t>
        </is>
      </c>
      <c r="G81" s="17" t="n">
        <v>0.7494</v>
      </c>
      <c r="H81" s="17" t="n">
        <v>0.726918</v>
      </c>
      <c r="I81" s="17" t="n">
        <v>0.78687</v>
      </c>
      <c r="J81" s="17" t="n"/>
      <c r="K81" s="2" t="n"/>
      <c r="L81" s="5" t="n"/>
      <c r="M81" s="16">
        <f>資金模擬!$B$5*V80</f>
        <v/>
      </c>
      <c r="N81" s="2">
        <f>IF(Z80=1,"已停止",IF(T80&gt;=M81,"已下單","資金不足略過"))</f>
        <v/>
      </c>
      <c r="O81" s="16">
        <f>IF(N81="已下單",M81*資金模擬!$B$7,0)</f>
        <v/>
      </c>
      <c r="P81" s="4" t="n"/>
      <c r="Q81" s="10" t="n">
        <v>0</v>
      </c>
      <c r="R81" s="10">
        <f>R80+Q81</f>
        <v/>
      </c>
      <c r="S81" s="16">
        <f>S80+IF(N81="已下單",M81,0)</f>
        <v/>
      </c>
      <c r="T81" s="16">
        <f>R81-S81</f>
        <v/>
      </c>
      <c r="U81" s="2">
        <f>U80+IF(N81="已下單",1,0)</f>
        <v/>
      </c>
      <c r="V81" s="16">
        <f>IF(資金模擬!$B$9=2,MAX(R81,0),MAX(V80,FLOOR(MAX(R81,0),資金模擬!$B$6)))</f>
        <v/>
      </c>
      <c r="W81" s="10">
        <f>MAX(W80,R81)</f>
        <v/>
      </c>
      <c r="X81" s="4">
        <f>IF(W81&gt;0,R81/W81-1,-1)</f>
        <v/>
      </c>
      <c r="Y81" s="16">
        <f>IF(R81&gt;0,S81*資金模擬!$B$7/R81,0)</f>
        <v/>
      </c>
      <c r="Z81" s="2">
        <f>IF(OR(Z80=1,R81&lt;=資金模擬!$B$10),1,0)</f>
        <v/>
      </c>
    </row>
    <row r="82">
      <c r="A82" s="2" t="n">
        <v>80</v>
      </c>
      <c r="B82" s="7" t="n">
        <v>46295.86527777778</v>
      </c>
      <c r="C82" s="2" t="inlineStr">
        <is>
          <t>進場</t>
        </is>
      </c>
      <c r="D82" s="2" t="n">
        <v>41</v>
      </c>
      <c r="E82" s="2" t="inlineStr">
        <is>
          <t>US_USDT_PERP</t>
        </is>
      </c>
      <c r="F82" s="2" t="inlineStr">
        <is>
          <t>做空</t>
        </is>
      </c>
      <c r="G82" s="17" t="n">
        <v>0.02259</v>
      </c>
      <c r="H82" s="17" t="n">
        <v>0.0219123</v>
      </c>
      <c r="I82" s="17" t="n">
        <v>0.0237195</v>
      </c>
      <c r="J82" s="17" t="n"/>
      <c r="K82" s="2" t="n"/>
      <c r="L82" s="5" t="n"/>
      <c r="M82" s="16">
        <f>資金模擬!$B$5*V81</f>
        <v/>
      </c>
      <c r="N82" s="2">
        <f>IF(Z81=1,"已停止",IF(T81&gt;=M82,"已下單","資金不足略過"))</f>
        <v/>
      </c>
      <c r="O82" s="16">
        <f>IF(N82="已下單",M82*資金模擬!$B$7,0)</f>
        <v/>
      </c>
      <c r="P82" s="4" t="n"/>
      <c r="Q82" s="10" t="n">
        <v>0</v>
      </c>
      <c r="R82" s="10">
        <f>R81+Q82</f>
        <v/>
      </c>
      <c r="S82" s="16">
        <f>S81+IF(N82="已下單",M82,0)</f>
        <v/>
      </c>
      <c r="T82" s="16">
        <f>R82-S82</f>
        <v/>
      </c>
      <c r="U82" s="2">
        <f>U81+IF(N82="已下單",1,0)</f>
        <v/>
      </c>
      <c r="V82" s="16">
        <f>IF(資金模擬!$B$9=2,MAX(R82,0),MAX(V81,FLOOR(MAX(R82,0),資金模擬!$B$6)))</f>
        <v/>
      </c>
      <c r="W82" s="10">
        <f>MAX(W81,R82)</f>
        <v/>
      </c>
      <c r="X82" s="4">
        <f>IF(W82&gt;0,R82/W82-1,-1)</f>
        <v/>
      </c>
      <c r="Y82" s="16">
        <f>IF(R82&gt;0,S82*資金模擬!$B$7/R82,0)</f>
        <v/>
      </c>
      <c r="Z82" s="2">
        <f>IF(OR(Z81=1,R82&lt;=資金模擬!$B$10),1,0)</f>
        <v/>
      </c>
    </row>
    <row r="83">
      <c r="A83" s="2" t="n">
        <v>81</v>
      </c>
      <c r="B83" s="7" t="n">
        <v>46295.89444444444</v>
      </c>
      <c r="C83" s="2" t="inlineStr">
        <is>
          <t>進場</t>
        </is>
      </c>
      <c r="D83" s="2" t="n">
        <v>42</v>
      </c>
      <c r="E83" s="2" t="inlineStr">
        <is>
          <t>USELESS_USDT_PERP</t>
        </is>
      </c>
      <c r="F83" s="2" t="inlineStr">
        <is>
          <t>做空</t>
        </is>
      </c>
      <c r="G83" s="17" t="n">
        <v>0.25901</v>
      </c>
      <c r="H83" s="17" t="n">
        <v>0.2512397</v>
      </c>
      <c r="I83" s="17" t="n">
        <v>0.2719605</v>
      </c>
      <c r="J83" s="17" t="n"/>
      <c r="K83" s="2" t="n"/>
      <c r="L83" s="5" t="n"/>
      <c r="M83" s="16">
        <f>資金模擬!$B$5*V82</f>
        <v/>
      </c>
      <c r="N83" s="2">
        <f>IF(Z82=1,"已停止",IF(T82&gt;=M83,"已下單","資金不足略過"))</f>
        <v/>
      </c>
      <c r="O83" s="16">
        <f>IF(N83="已下單",M83*資金模擬!$B$7,0)</f>
        <v/>
      </c>
      <c r="P83" s="4" t="n"/>
      <c r="Q83" s="10" t="n">
        <v>0</v>
      </c>
      <c r="R83" s="10">
        <f>R82+Q83</f>
        <v/>
      </c>
      <c r="S83" s="16">
        <f>S82+IF(N83="已下單",M83,0)</f>
        <v/>
      </c>
      <c r="T83" s="16">
        <f>R83-S83</f>
        <v/>
      </c>
      <c r="U83" s="2">
        <f>U82+IF(N83="已下單",1,0)</f>
        <v/>
      </c>
      <c r="V83" s="16">
        <f>IF(資金模擬!$B$9=2,MAX(R83,0),MAX(V82,FLOOR(MAX(R83,0),資金模擬!$B$6)))</f>
        <v/>
      </c>
      <c r="W83" s="10">
        <f>MAX(W82,R83)</f>
        <v/>
      </c>
      <c r="X83" s="4">
        <f>IF(W83&gt;0,R83/W83-1,-1)</f>
        <v/>
      </c>
      <c r="Y83" s="16">
        <f>IF(R83&gt;0,S83*資金模擬!$B$7/R83,0)</f>
        <v/>
      </c>
      <c r="Z83" s="2">
        <f>IF(OR(Z82=1,R83&lt;=資金模擬!$B$10),1,0)</f>
        <v/>
      </c>
    </row>
    <row r="84">
      <c r="A84" s="2" t="n">
        <v>82</v>
      </c>
      <c r="B84" s="7" t="n">
        <v>46295.89722222222</v>
      </c>
      <c r="C84" s="2" t="inlineStr">
        <is>
          <t>出場</t>
        </is>
      </c>
      <c r="D84" s="2" t="n">
        <v>41</v>
      </c>
      <c r="E84" s="2" t="inlineStr">
        <is>
          <t>US_USDT_PERP</t>
        </is>
      </c>
      <c r="F84" s="2" t="inlineStr">
        <is>
          <t>做空</t>
        </is>
      </c>
      <c r="G84" s="17" t="n">
        <v>0.02259</v>
      </c>
      <c r="H84" s="17" t="n">
        <v>0.0219123</v>
      </c>
      <c r="I84" s="17" t="n">
        <v>0.0237195</v>
      </c>
      <c r="J84" s="17" t="n">
        <v>0.0237195</v>
      </c>
      <c r="K84" s="2" t="inlineStr">
        <is>
          <t>止損</t>
        </is>
      </c>
      <c r="L84" s="5">
        <f>交易明細!K42</f>
        <v/>
      </c>
      <c r="M84" s="16">
        <f>M82</f>
        <v/>
      </c>
      <c r="N84" s="2">
        <f>N82</f>
        <v/>
      </c>
      <c r="O84" s="16">
        <f>O82</f>
        <v/>
      </c>
      <c r="P84" s="4">
        <f>交易明細!L42</f>
        <v/>
      </c>
      <c r="Q84" s="10">
        <f>IF(N84="已下單",O84*P84,0)</f>
        <v/>
      </c>
      <c r="R84" s="10">
        <f>R83+Q84</f>
        <v/>
      </c>
      <c r="S84" s="16">
        <f>S83-IF(N84="已下單",M84,0)</f>
        <v/>
      </c>
      <c r="T84" s="16">
        <f>R84-S84</f>
        <v/>
      </c>
      <c r="U84" s="2">
        <f>U83-IF(N84="已下單",1,0)</f>
        <v/>
      </c>
      <c r="V84" s="16">
        <f>IF(資金模擬!$B$9=2,MAX(R84,0),MAX(V83,FLOOR(MAX(R84,0),資金模擬!$B$6)))</f>
        <v/>
      </c>
      <c r="W84" s="10">
        <f>MAX(W83,R84)</f>
        <v/>
      </c>
      <c r="X84" s="4">
        <f>IF(W84&gt;0,R84/W84-1,-1)</f>
        <v/>
      </c>
      <c r="Y84" s="16">
        <f>IF(R84&gt;0,S84*資金模擬!$B$7/R84,0)</f>
        <v/>
      </c>
      <c r="Z84" s="2">
        <f>IF(OR(Z83=1,R84&lt;=資金模擬!$B$10),1,0)</f>
        <v/>
      </c>
    </row>
    <row r="85">
      <c r="A85" s="2" t="n">
        <v>83</v>
      </c>
      <c r="B85" s="7" t="n">
        <v>46295.9</v>
      </c>
      <c r="C85" s="2" t="inlineStr">
        <is>
          <t>出場</t>
        </is>
      </c>
      <c r="D85" s="2" t="n">
        <v>42</v>
      </c>
      <c r="E85" s="2" t="inlineStr">
        <is>
          <t>USELESS_USDT_PERP</t>
        </is>
      </c>
      <c r="F85" s="2" t="inlineStr">
        <is>
          <t>做空</t>
        </is>
      </c>
      <c r="G85" s="17" t="n">
        <v>0.25901</v>
      </c>
      <c r="H85" s="17" t="n">
        <v>0.2512397</v>
      </c>
      <c r="I85" s="17" t="n">
        <v>0.2719605</v>
      </c>
      <c r="J85" s="17" t="n">
        <v>0.2512397</v>
      </c>
      <c r="K85" s="2" t="inlineStr">
        <is>
          <t>止盈</t>
        </is>
      </c>
      <c r="L85" s="5">
        <f>交易明細!K43</f>
        <v/>
      </c>
      <c r="M85" s="16">
        <f>M83</f>
        <v/>
      </c>
      <c r="N85" s="2">
        <f>N83</f>
        <v/>
      </c>
      <c r="O85" s="16">
        <f>O83</f>
        <v/>
      </c>
      <c r="P85" s="4">
        <f>交易明細!L43</f>
        <v/>
      </c>
      <c r="Q85" s="10">
        <f>IF(N85="已下單",O85*P85,0)</f>
        <v/>
      </c>
      <c r="R85" s="10">
        <f>R84+Q85</f>
        <v/>
      </c>
      <c r="S85" s="16">
        <f>S84-IF(N85="已下單",M85,0)</f>
        <v/>
      </c>
      <c r="T85" s="16">
        <f>R85-S85</f>
        <v/>
      </c>
      <c r="U85" s="2">
        <f>U84-IF(N85="已下單",1,0)</f>
        <v/>
      </c>
      <c r="V85" s="16">
        <f>IF(資金模擬!$B$9=2,MAX(R85,0),MAX(V84,FLOOR(MAX(R85,0),資金模擬!$B$6)))</f>
        <v/>
      </c>
      <c r="W85" s="10">
        <f>MAX(W84,R85)</f>
        <v/>
      </c>
      <c r="X85" s="4">
        <f>IF(W85&gt;0,R85/W85-1,-1)</f>
        <v/>
      </c>
      <c r="Y85" s="16">
        <f>IF(R85&gt;0,S85*資金模擬!$B$7/R85,0)</f>
        <v/>
      </c>
      <c r="Z85" s="2">
        <f>IF(OR(Z84=1,R85&lt;=資金模擬!$B$10),1,0)</f>
        <v/>
      </c>
    </row>
    <row r="86">
      <c r="A86" s="2" t="n">
        <v>84</v>
      </c>
      <c r="B86" s="7" t="n">
        <v>46295.93888888889</v>
      </c>
      <c r="C86" s="2" t="inlineStr">
        <is>
          <t>出場</t>
        </is>
      </c>
      <c r="D86" s="2" t="n">
        <v>40</v>
      </c>
      <c r="E86" s="2" t="inlineStr">
        <is>
          <t>PROS_USDT_PERP</t>
        </is>
      </c>
      <c r="F86" s="2" t="inlineStr">
        <is>
          <t>做空</t>
        </is>
      </c>
      <c r="G86" s="17" t="n">
        <v>0.7494</v>
      </c>
      <c r="H86" s="17" t="n">
        <v>0.726918</v>
      </c>
      <c r="I86" s="17" t="n">
        <v>0.78687</v>
      </c>
      <c r="J86" s="17" t="n">
        <v>0.726918</v>
      </c>
      <c r="K86" s="2" t="inlineStr">
        <is>
          <t>止盈</t>
        </is>
      </c>
      <c r="L86" s="5">
        <f>交易明細!K41</f>
        <v/>
      </c>
      <c r="M86" s="16">
        <f>M81</f>
        <v/>
      </c>
      <c r="N86" s="2">
        <f>N81</f>
        <v/>
      </c>
      <c r="O86" s="16">
        <f>O81</f>
        <v/>
      </c>
      <c r="P86" s="4">
        <f>交易明細!L41</f>
        <v/>
      </c>
      <c r="Q86" s="10">
        <f>IF(N86="已下單",O86*P86,0)</f>
        <v/>
      </c>
      <c r="R86" s="10">
        <f>R85+Q86</f>
        <v/>
      </c>
      <c r="S86" s="16">
        <f>S85-IF(N86="已下單",M86,0)</f>
        <v/>
      </c>
      <c r="T86" s="16">
        <f>R86-S86</f>
        <v/>
      </c>
      <c r="U86" s="2">
        <f>U85-IF(N86="已下單",1,0)</f>
        <v/>
      </c>
      <c r="V86" s="16">
        <f>IF(資金模擬!$B$9=2,MAX(R86,0),MAX(V85,FLOOR(MAX(R86,0),資金模擬!$B$6)))</f>
        <v/>
      </c>
      <c r="W86" s="10">
        <f>MAX(W85,R86)</f>
        <v/>
      </c>
      <c r="X86" s="4">
        <f>IF(W86&gt;0,R86/W86-1,-1)</f>
        <v/>
      </c>
      <c r="Y86" s="16">
        <f>IF(R86&gt;0,S86*資金模擬!$B$7/R86,0)</f>
        <v/>
      </c>
      <c r="Z86" s="2">
        <f>IF(OR(Z85=1,R86&lt;=資金模擬!$B$10),1,0)</f>
        <v/>
      </c>
    </row>
    <row r="87">
      <c r="A87" s="2" t="n">
        <v>85</v>
      </c>
      <c r="B87" s="7" t="n">
        <v>46296.59305555555</v>
      </c>
      <c r="C87" s="2" t="inlineStr">
        <is>
          <t>進場</t>
        </is>
      </c>
      <c r="D87" s="2" t="n">
        <v>43</v>
      </c>
      <c r="E87" s="2" t="inlineStr">
        <is>
          <t>NOM_USDT_PERP</t>
        </is>
      </c>
      <c r="F87" s="2" t="inlineStr">
        <is>
          <t>做空</t>
        </is>
      </c>
      <c r="G87" s="17" t="n">
        <v>0.002603</v>
      </c>
      <c r="H87" s="17" t="n">
        <v>0.00252491</v>
      </c>
      <c r="I87" s="17" t="n">
        <v>0.00273315</v>
      </c>
      <c r="J87" s="17" t="n"/>
      <c r="K87" s="2" t="n"/>
      <c r="L87" s="5" t="n"/>
      <c r="M87" s="16">
        <f>資金模擬!$B$5*V86</f>
        <v/>
      </c>
      <c r="N87" s="2">
        <f>IF(Z86=1,"已停止",IF(T86&gt;=M87,"已下單","資金不足略過"))</f>
        <v/>
      </c>
      <c r="O87" s="16">
        <f>IF(N87="已下單",M87*資金模擬!$B$7,0)</f>
        <v/>
      </c>
      <c r="P87" s="4" t="n"/>
      <c r="Q87" s="10" t="n">
        <v>0</v>
      </c>
      <c r="R87" s="10">
        <f>R86+Q87</f>
        <v/>
      </c>
      <c r="S87" s="16">
        <f>S86+IF(N87="已下單",M87,0)</f>
        <v/>
      </c>
      <c r="T87" s="16">
        <f>R87-S87</f>
        <v/>
      </c>
      <c r="U87" s="2">
        <f>U86+IF(N87="已下單",1,0)</f>
        <v/>
      </c>
      <c r="V87" s="16">
        <f>IF(資金模擬!$B$9=2,MAX(R87,0),MAX(V86,FLOOR(MAX(R87,0),資金模擬!$B$6)))</f>
        <v/>
      </c>
      <c r="W87" s="10">
        <f>MAX(W86,R87)</f>
        <v/>
      </c>
      <c r="X87" s="4">
        <f>IF(W87&gt;0,R87/W87-1,-1)</f>
        <v/>
      </c>
      <c r="Y87" s="16">
        <f>IF(R87&gt;0,S87*資金模擬!$B$7/R87,0)</f>
        <v/>
      </c>
      <c r="Z87" s="2">
        <f>IF(OR(Z86=1,R87&lt;=資金模擬!$B$10),1,0)</f>
        <v/>
      </c>
    </row>
    <row r="88">
      <c r="A88" s="2" t="n">
        <v>86</v>
      </c>
      <c r="B88" s="7" t="n">
        <v>46296.60972222222</v>
      </c>
      <c r="C88" s="2" t="inlineStr">
        <is>
          <t>出場</t>
        </is>
      </c>
      <c r="D88" s="2" t="n">
        <v>43</v>
      </c>
      <c r="E88" s="2" t="inlineStr">
        <is>
          <t>NOM_USDT_PERP</t>
        </is>
      </c>
      <c r="F88" s="2" t="inlineStr">
        <is>
          <t>做空</t>
        </is>
      </c>
      <c r="G88" s="17" t="n">
        <v>0.002603</v>
      </c>
      <c r="H88" s="17" t="n">
        <v>0.00252491</v>
      </c>
      <c r="I88" s="17" t="n">
        <v>0.00273315</v>
      </c>
      <c r="J88" s="17" t="n">
        <v>0.00252491</v>
      </c>
      <c r="K88" s="2" t="inlineStr">
        <is>
          <t>止盈</t>
        </is>
      </c>
      <c r="L88" s="5">
        <f>交易明細!K44</f>
        <v/>
      </c>
      <c r="M88" s="16">
        <f>M87</f>
        <v/>
      </c>
      <c r="N88" s="2">
        <f>N87</f>
        <v/>
      </c>
      <c r="O88" s="16">
        <f>O87</f>
        <v/>
      </c>
      <c r="P88" s="4">
        <f>交易明細!L44</f>
        <v/>
      </c>
      <c r="Q88" s="10">
        <f>IF(N88="已下單",O88*P88,0)</f>
        <v/>
      </c>
      <c r="R88" s="10">
        <f>R87+Q88</f>
        <v/>
      </c>
      <c r="S88" s="16">
        <f>S87-IF(N88="已下單",M88,0)</f>
        <v/>
      </c>
      <c r="T88" s="16">
        <f>R88-S88</f>
        <v/>
      </c>
      <c r="U88" s="2">
        <f>U87-IF(N88="已下單",1,0)</f>
        <v/>
      </c>
      <c r="V88" s="16">
        <f>IF(資金模擬!$B$9=2,MAX(R88,0),MAX(V87,FLOOR(MAX(R88,0),資金模擬!$B$6)))</f>
        <v/>
      </c>
      <c r="W88" s="10">
        <f>MAX(W87,R88)</f>
        <v/>
      </c>
      <c r="X88" s="4">
        <f>IF(W88&gt;0,R88/W88-1,-1)</f>
        <v/>
      </c>
      <c r="Y88" s="16">
        <f>IF(R88&gt;0,S88*資金模擬!$B$7/R88,0)</f>
        <v/>
      </c>
      <c r="Z88" s="2">
        <f>IF(OR(Z87=1,R88&lt;=資金模擬!$B$10),1,0)</f>
        <v/>
      </c>
    </row>
    <row r="89">
      <c r="A89" s="2" t="n">
        <v>87</v>
      </c>
      <c r="B89" s="7" t="n">
        <v>46296.71180555555</v>
      </c>
      <c r="C89" s="2" t="inlineStr">
        <is>
          <t>進場</t>
        </is>
      </c>
      <c r="D89" s="2" t="n">
        <v>44</v>
      </c>
      <c r="E89" s="2" t="inlineStr">
        <is>
          <t>NOM_USDT_PERP</t>
        </is>
      </c>
      <c r="F89" s="2" t="inlineStr">
        <is>
          <t>做空</t>
        </is>
      </c>
      <c r="G89" s="17" t="n">
        <v>0.003145</v>
      </c>
      <c r="H89" s="17" t="n">
        <v>0.00305065</v>
      </c>
      <c r="I89" s="17" t="n">
        <v>0.00330225</v>
      </c>
      <c r="J89" s="17" t="n"/>
      <c r="K89" s="2" t="n"/>
      <c r="L89" s="5" t="n"/>
      <c r="M89" s="16">
        <f>資金模擬!$B$5*V88</f>
        <v/>
      </c>
      <c r="N89" s="2">
        <f>IF(Z88=1,"已停止",IF(T88&gt;=M89,"已下單","資金不足略過"))</f>
        <v/>
      </c>
      <c r="O89" s="16">
        <f>IF(N89="已下單",M89*資金模擬!$B$7,0)</f>
        <v/>
      </c>
      <c r="P89" s="4" t="n"/>
      <c r="Q89" s="10" t="n">
        <v>0</v>
      </c>
      <c r="R89" s="10">
        <f>R88+Q89</f>
        <v/>
      </c>
      <c r="S89" s="16">
        <f>S88+IF(N89="已下單",M89,0)</f>
        <v/>
      </c>
      <c r="T89" s="16">
        <f>R89-S89</f>
        <v/>
      </c>
      <c r="U89" s="2">
        <f>U88+IF(N89="已下單",1,0)</f>
        <v/>
      </c>
      <c r="V89" s="16">
        <f>IF(資金模擬!$B$9=2,MAX(R89,0),MAX(V88,FLOOR(MAX(R89,0),資金模擬!$B$6)))</f>
        <v/>
      </c>
      <c r="W89" s="10">
        <f>MAX(W88,R89)</f>
        <v/>
      </c>
      <c r="X89" s="4">
        <f>IF(W89&gt;0,R89/W89-1,-1)</f>
        <v/>
      </c>
      <c r="Y89" s="16">
        <f>IF(R89&gt;0,S89*資金模擬!$B$7/R89,0)</f>
        <v/>
      </c>
      <c r="Z89" s="2">
        <f>IF(OR(Z88=1,R89&lt;=資金模擬!$B$10),1,0)</f>
        <v/>
      </c>
    </row>
    <row r="90">
      <c r="A90" s="2" t="n">
        <v>88</v>
      </c>
      <c r="B90" s="7" t="n">
        <v>46296.72986111111</v>
      </c>
      <c r="C90" s="2" t="inlineStr">
        <is>
          <t>出場</t>
        </is>
      </c>
      <c r="D90" s="2" t="n">
        <v>44</v>
      </c>
      <c r="E90" s="2" t="inlineStr">
        <is>
          <t>NOM_USDT_PERP</t>
        </is>
      </c>
      <c r="F90" s="2" t="inlineStr">
        <is>
          <t>做空</t>
        </is>
      </c>
      <c r="G90" s="17" t="n">
        <v>0.003145</v>
      </c>
      <c r="H90" s="17" t="n">
        <v>0.00305065</v>
      </c>
      <c r="I90" s="17" t="n">
        <v>0.00330225</v>
      </c>
      <c r="J90" s="17" t="n">
        <v>0.00305065</v>
      </c>
      <c r="K90" s="2" t="inlineStr">
        <is>
          <t>止盈</t>
        </is>
      </c>
      <c r="L90" s="5">
        <f>交易明細!K45</f>
        <v/>
      </c>
      <c r="M90" s="16">
        <f>M89</f>
        <v/>
      </c>
      <c r="N90" s="2">
        <f>N89</f>
        <v/>
      </c>
      <c r="O90" s="16">
        <f>O89</f>
        <v/>
      </c>
      <c r="P90" s="4">
        <f>交易明細!L45</f>
        <v/>
      </c>
      <c r="Q90" s="10">
        <f>IF(N90="已下單",O90*P90,0)</f>
        <v/>
      </c>
      <c r="R90" s="10">
        <f>R89+Q90</f>
        <v/>
      </c>
      <c r="S90" s="16">
        <f>S89-IF(N90="已下單",M90,0)</f>
        <v/>
      </c>
      <c r="T90" s="16">
        <f>R90-S90</f>
        <v/>
      </c>
      <c r="U90" s="2">
        <f>U89-IF(N90="已下單",1,0)</f>
        <v/>
      </c>
      <c r="V90" s="16">
        <f>IF(資金模擬!$B$9=2,MAX(R90,0),MAX(V89,FLOOR(MAX(R90,0),資金模擬!$B$6)))</f>
        <v/>
      </c>
      <c r="W90" s="10">
        <f>MAX(W89,R90)</f>
        <v/>
      </c>
      <c r="X90" s="4">
        <f>IF(W90&gt;0,R90/W90-1,-1)</f>
        <v/>
      </c>
      <c r="Y90" s="16">
        <f>IF(R90&gt;0,S90*資金模擬!$B$7/R90,0)</f>
        <v/>
      </c>
      <c r="Z90" s="2">
        <f>IF(OR(Z89=1,R90&lt;=資金模擬!$B$10),1,0)</f>
        <v/>
      </c>
    </row>
    <row r="91">
      <c r="A91" s="2" t="n">
        <v>89</v>
      </c>
      <c r="B91" s="7" t="n">
        <v>46297.00833333333</v>
      </c>
      <c r="C91" s="2" t="inlineStr">
        <is>
          <t>進場</t>
        </is>
      </c>
      <c r="D91" s="2" t="n">
        <v>45</v>
      </c>
      <c r="E91" s="2" t="inlineStr">
        <is>
          <t>MEGA_USDT_PERP</t>
        </is>
      </c>
      <c r="F91" s="2" t="inlineStr">
        <is>
          <t>做空</t>
        </is>
      </c>
      <c r="G91" s="17" t="n">
        <v>0.05286</v>
      </c>
      <c r="H91" s="17" t="n">
        <v>0.0512742</v>
      </c>
      <c r="I91" s="17" t="n">
        <v>0.055503</v>
      </c>
      <c r="J91" s="17" t="n"/>
      <c r="K91" s="2" t="n"/>
      <c r="L91" s="5" t="n"/>
      <c r="M91" s="16">
        <f>資金模擬!$B$5*V90</f>
        <v/>
      </c>
      <c r="N91" s="2">
        <f>IF(Z90=1,"已停止",IF(T90&gt;=M91,"已下單","資金不足略過"))</f>
        <v/>
      </c>
      <c r="O91" s="16">
        <f>IF(N91="已下單",M91*資金模擬!$B$7,0)</f>
        <v/>
      </c>
      <c r="P91" s="4" t="n"/>
      <c r="Q91" s="10" t="n">
        <v>0</v>
      </c>
      <c r="R91" s="10">
        <f>R90+Q91</f>
        <v/>
      </c>
      <c r="S91" s="16">
        <f>S90+IF(N91="已下單",M91,0)</f>
        <v/>
      </c>
      <c r="T91" s="16">
        <f>R91-S91</f>
        <v/>
      </c>
      <c r="U91" s="2">
        <f>U90+IF(N91="已下單",1,0)</f>
        <v/>
      </c>
      <c r="V91" s="16">
        <f>IF(資金模擬!$B$9=2,MAX(R91,0),MAX(V90,FLOOR(MAX(R91,0),資金模擬!$B$6)))</f>
        <v/>
      </c>
      <c r="W91" s="10">
        <f>MAX(W90,R91)</f>
        <v/>
      </c>
      <c r="X91" s="4">
        <f>IF(W91&gt;0,R91/W91-1,-1)</f>
        <v/>
      </c>
      <c r="Y91" s="16">
        <f>IF(R91&gt;0,S91*資金模擬!$B$7/R91,0)</f>
        <v/>
      </c>
      <c r="Z91" s="2">
        <f>IF(OR(Z90=1,R91&lt;=資金模擬!$B$10),1,0)</f>
        <v/>
      </c>
    </row>
    <row r="92">
      <c r="A92" s="2" t="n">
        <v>90</v>
      </c>
      <c r="B92" s="7" t="n">
        <v>46297.01180555556</v>
      </c>
      <c r="C92" s="2" t="inlineStr">
        <is>
          <t>出場</t>
        </is>
      </c>
      <c r="D92" s="2" t="n">
        <v>45</v>
      </c>
      <c r="E92" s="2" t="inlineStr">
        <is>
          <t>MEGA_USDT_PERP</t>
        </is>
      </c>
      <c r="F92" s="2" t="inlineStr">
        <is>
          <t>做空</t>
        </is>
      </c>
      <c r="G92" s="17" t="n">
        <v>0.05286</v>
      </c>
      <c r="H92" s="17" t="n">
        <v>0.0512742</v>
      </c>
      <c r="I92" s="17" t="n">
        <v>0.055503</v>
      </c>
      <c r="J92" s="17" t="n">
        <v>0.0512742</v>
      </c>
      <c r="K92" s="2" t="inlineStr">
        <is>
          <t>止盈</t>
        </is>
      </c>
      <c r="L92" s="5">
        <f>交易明細!K46</f>
        <v/>
      </c>
      <c r="M92" s="16">
        <f>M91</f>
        <v/>
      </c>
      <c r="N92" s="2">
        <f>N91</f>
        <v/>
      </c>
      <c r="O92" s="16">
        <f>O91</f>
        <v/>
      </c>
      <c r="P92" s="4">
        <f>交易明細!L46</f>
        <v/>
      </c>
      <c r="Q92" s="10">
        <f>IF(N92="已下單",O92*P92,0)</f>
        <v/>
      </c>
      <c r="R92" s="10">
        <f>R91+Q92</f>
        <v/>
      </c>
      <c r="S92" s="16">
        <f>S91-IF(N92="已下單",M92,0)</f>
        <v/>
      </c>
      <c r="T92" s="16">
        <f>R92-S92</f>
        <v/>
      </c>
      <c r="U92" s="2">
        <f>U91-IF(N92="已下單",1,0)</f>
        <v/>
      </c>
      <c r="V92" s="16">
        <f>IF(資金模擬!$B$9=2,MAX(R92,0),MAX(V91,FLOOR(MAX(R92,0),資金模擬!$B$6)))</f>
        <v/>
      </c>
      <c r="W92" s="10">
        <f>MAX(W91,R92)</f>
        <v/>
      </c>
      <c r="X92" s="4">
        <f>IF(W92&gt;0,R92/W92-1,-1)</f>
        <v/>
      </c>
      <c r="Y92" s="16">
        <f>IF(R92&gt;0,S92*資金模擬!$B$7/R92,0)</f>
        <v/>
      </c>
      <c r="Z92" s="2">
        <f>IF(OR(Z91=1,R92&lt;=資金模擬!$B$10),1,0)</f>
        <v/>
      </c>
    </row>
    <row r="93">
      <c r="A93" s="2" t="n">
        <v>91</v>
      </c>
      <c r="B93" s="7" t="n">
        <v>46297.04930555556</v>
      </c>
      <c r="C93" s="2" t="inlineStr">
        <is>
          <t>進場</t>
        </is>
      </c>
      <c r="D93" s="2" t="n">
        <v>46</v>
      </c>
      <c r="E93" s="2" t="inlineStr">
        <is>
          <t>MAGMA_USDT_PERP</t>
        </is>
      </c>
      <c r="F93" s="2" t="inlineStr">
        <is>
          <t>做空</t>
        </is>
      </c>
      <c r="G93" s="17" t="n">
        <v>0.22721</v>
      </c>
      <c r="H93" s="17" t="n">
        <v>0.2203937</v>
      </c>
      <c r="I93" s="17" t="n">
        <v>0.2385705</v>
      </c>
      <c r="J93" s="17" t="n"/>
      <c r="K93" s="2" t="n"/>
      <c r="L93" s="5" t="n"/>
      <c r="M93" s="16">
        <f>資金模擬!$B$5*V92</f>
        <v/>
      </c>
      <c r="N93" s="2">
        <f>IF(Z92=1,"已停止",IF(T92&gt;=M93,"已下單","資金不足略過"))</f>
        <v/>
      </c>
      <c r="O93" s="16">
        <f>IF(N93="已下單",M93*資金模擬!$B$7,0)</f>
        <v/>
      </c>
      <c r="P93" s="4" t="n"/>
      <c r="Q93" s="10" t="n">
        <v>0</v>
      </c>
      <c r="R93" s="10">
        <f>R92+Q93</f>
        <v/>
      </c>
      <c r="S93" s="16">
        <f>S92+IF(N93="已下單",M93,0)</f>
        <v/>
      </c>
      <c r="T93" s="16">
        <f>R93-S93</f>
        <v/>
      </c>
      <c r="U93" s="2">
        <f>U92+IF(N93="已下單",1,0)</f>
        <v/>
      </c>
      <c r="V93" s="16">
        <f>IF(資金模擬!$B$9=2,MAX(R93,0),MAX(V92,FLOOR(MAX(R93,0),資金模擬!$B$6)))</f>
        <v/>
      </c>
      <c r="W93" s="10">
        <f>MAX(W92,R93)</f>
        <v/>
      </c>
      <c r="X93" s="4">
        <f>IF(W93&gt;0,R93/W93-1,-1)</f>
        <v/>
      </c>
      <c r="Y93" s="16">
        <f>IF(R93&gt;0,S93*資金模擬!$B$7/R93,0)</f>
        <v/>
      </c>
      <c r="Z93" s="2">
        <f>IF(OR(Z92=1,R93&lt;=資金模擬!$B$10),1,0)</f>
        <v/>
      </c>
    </row>
    <row r="94">
      <c r="A94" s="2" t="n">
        <v>92</v>
      </c>
      <c r="B94" s="7" t="n">
        <v>46297.06388888889</v>
      </c>
      <c r="C94" s="2" t="inlineStr">
        <is>
          <t>出場</t>
        </is>
      </c>
      <c r="D94" s="2" t="n">
        <v>46</v>
      </c>
      <c r="E94" s="2" t="inlineStr">
        <is>
          <t>MAGMA_USDT_PERP</t>
        </is>
      </c>
      <c r="F94" s="2" t="inlineStr">
        <is>
          <t>做空</t>
        </is>
      </c>
      <c r="G94" s="17" t="n">
        <v>0.22721</v>
      </c>
      <c r="H94" s="17" t="n">
        <v>0.2203937</v>
      </c>
      <c r="I94" s="17" t="n">
        <v>0.2385705</v>
      </c>
      <c r="J94" s="17" t="n">
        <v>0.2385705</v>
      </c>
      <c r="K94" s="2" t="inlineStr">
        <is>
          <t>止損</t>
        </is>
      </c>
      <c r="L94" s="5">
        <f>交易明細!K47</f>
        <v/>
      </c>
      <c r="M94" s="16">
        <f>M93</f>
        <v/>
      </c>
      <c r="N94" s="2">
        <f>N93</f>
        <v/>
      </c>
      <c r="O94" s="16">
        <f>O93</f>
        <v/>
      </c>
      <c r="P94" s="4">
        <f>交易明細!L47</f>
        <v/>
      </c>
      <c r="Q94" s="10">
        <f>IF(N94="已下單",O94*P94,0)</f>
        <v/>
      </c>
      <c r="R94" s="10">
        <f>R93+Q94</f>
        <v/>
      </c>
      <c r="S94" s="16">
        <f>S93-IF(N94="已下單",M94,0)</f>
        <v/>
      </c>
      <c r="T94" s="16">
        <f>R94-S94</f>
        <v/>
      </c>
      <c r="U94" s="2">
        <f>U93-IF(N94="已下單",1,0)</f>
        <v/>
      </c>
      <c r="V94" s="16">
        <f>IF(資金模擬!$B$9=2,MAX(R94,0),MAX(V93,FLOOR(MAX(R94,0),資金模擬!$B$6)))</f>
        <v/>
      </c>
      <c r="W94" s="10">
        <f>MAX(W93,R94)</f>
        <v/>
      </c>
      <c r="X94" s="4">
        <f>IF(W94&gt;0,R94/W94-1,-1)</f>
        <v/>
      </c>
      <c r="Y94" s="16">
        <f>IF(R94&gt;0,S94*資金模擬!$B$7/R94,0)</f>
        <v/>
      </c>
      <c r="Z94" s="2">
        <f>IF(OR(Z93=1,R94&lt;=資金模擬!$B$10),1,0)</f>
        <v/>
      </c>
    </row>
    <row r="95">
      <c r="A95" s="2" t="n">
        <v>93</v>
      </c>
      <c r="B95" s="7" t="n">
        <v>46297.13541666666</v>
      </c>
      <c r="C95" s="2" t="inlineStr">
        <is>
          <t>進場</t>
        </is>
      </c>
      <c r="D95" s="2" t="n">
        <v>47</v>
      </c>
      <c r="E95" s="2" t="inlineStr">
        <is>
          <t>MOVR_USDT_PERP</t>
        </is>
      </c>
      <c r="F95" s="2" t="inlineStr">
        <is>
          <t>做空</t>
        </is>
      </c>
      <c r="G95" s="17" t="n">
        <v>3.172</v>
      </c>
      <c r="H95" s="17" t="n">
        <v>3.07684</v>
      </c>
      <c r="I95" s="17" t="n">
        <v>3.3306</v>
      </c>
      <c r="J95" s="17" t="n"/>
      <c r="K95" s="2" t="n"/>
      <c r="L95" s="5" t="n"/>
      <c r="M95" s="16">
        <f>資金模擬!$B$5*V94</f>
        <v/>
      </c>
      <c r="N95" s="2">
        <f>IF(Z94=1,"已停止",IF(T94&gt;=M95,"已下單","資金不足略過"))</f>
        <v/>
      </c>
      <c r="O95" s="16">
        <f>IF(N95="已下單",M95*資金模擬!$B$7,0)</f>
        <v/>
      </c>
      <c r="P95" s="4" t="n"/>
      <c r="Q95" s="10" t="n">
        <v>0</v>
      </c>
      <c r="R95" s="10">
        <f>R94+Q95</f>
        <v/>
      </c>
      <c r="S95" s="16">
        <f>S94+IF(N95="已下單",M95,0)</f>
        <v/>
      </c>
      <c r="T95" s="16">
        <f>R95-S95</f>
        <v/>
      </c>
      <c r="U95" s="2">
        <f>U94+IF(N95="已下單",1,0)</f>
        <v/>
      </c>
      <c r="V95" s="16">
        <f>IF(資金模擬!$B$9=2,MAX(R95,0),MAX(V94,FLOOR(MAX(R95,0),資金模擬!$B$6)))</f>
        <v/>
      </c>
      <c r="W95" s="10">
        <f>MAX(W94,R95)</f>
        <v/>
      </c>
      <c r="X95" s="4">
        <f>IF(W95&gt;0,R95/W95-1,-1)</f>
        <v/>
      </c>
      <c r="Y95" s="16">
        <f>IF(R95&gt;0,S95*資金模擬!$B$7/R95,0)</f>
        <v/>
      </c>
      <c r="Z95" s="2">
        <f>IF(OR(Z94=1,R95&lt;=資金模擬!$B$10),1,0)</f>
        <v/>
      </c>
    </row>
    <row r="96">
      <c r="A96" s="2" t="n">
        <v>94</v>
      </c>
      <c r="B96" s="7" t="n">
        <v>46297.13888888889</v>
      </c>
      <c r="C96" s="2" t="inlineStr">
        <is>
          <t>出場</t>
        </is>
      </c>
      <c r="D96" s="2" t="n">
        <v>47</v>
      </c>
      <c r="E96" s="2" t="inlineStr">
        <is>
          <t>MOVR_USDT_PERP</t>
        </is>
      </c>
      <c r="F96" s="2" t="inlineStr">
        <is>
          <t>做空</t>
        </is>
      </c>
      <c r="G96" s="17" t="n">
        <v>3.172</v>
      </c>
      <c r="H96" s="17" t="n">
        <v>3.07684</v>
      </c>
      <c r="I96" s="17" t="n">
        <v>3.3306</v>
      </c>
      <c r="J96" s="17" t="n">
        <v>3.07684</v>
      </c>
      <c r="K96" s="2" t="inlineStr">
        <is>
          <t>止盈</t>
        </is>
      </c>
      <c r="L96" s="5">
        <f>交易明細!K48</f>
        <v/>
      </c>
      <c r="M96" s="16">
        <f>M95</f>
        <v/>
      </c>
      <c r="N96" s="2">
        <f>N95</f>
        <v/>
      </c>
      <c r="O96" s="16">
        <f>O95</f>
        <v/>
      </c>
      <c r="P96" s="4">
        <f>交易明細!L48</f>
        <v/>
      </c>
      <c r="Q96" s="10">
        <f>IF(N96="已下單",O96*P96,0)</f>
        <v/>
      </c>
      <c r="R96" s="10">
        <f>R95+Q96</f>
        <v/>
      </c>
      <c r="S96" s="16">
        <f>S95-IF(N96="已下單",M96,0)</f>
        <v/>
      </c>
      <c r="T96" s="16">
        <f>R96-S96</f>
        <v/>
      </c>
      <c r="U96" s="2">
        <f>U95-IF(N96="已下單",1,0)</f>
        <v/>
      </c>
      <c r="V96" s="16">
        <f>IF(資金模擬!$B$9=2,MAX(R96,0),MAX(V95,FLOOR(MAX(R96,0),資金模擬!$B$6)))</f>
        <v/>
      </c>
      <c r="W96" s="10">
        <f>MAX(W95,R96)</f>
        <v/>
      </c>
      <c r="X96" s="4">
        <f>IF(W96&gt;0,R96/W96-1,-1)</f>
        <v/>
      </c>
      <c r="Y96" s="16">
        <f>IF(R96&gt;0,S96*資金模擬!$B$7/R96,0)</f>
        <v/>
      </c>
      <c r="Z96" s="2">
        <f>IF(OR(Z95=1,R96&lt;=資金模擬!$B$10),1,0)</f>
        <v/>
      </c>
    </row>
    <row r="97">
      <c r="A97" s="2" t="n">
        <v>95</v>
      </c>
      <c r="B97" s="7" t="n">
        <v>46297.425</v>
      </c>
      <c r="C97" s="2" t="inlineStr">
        <is>
          <t>進場</t>
        </is>
      </c>
      <c r="D97" s="2" t="n">
        <v>48</v>
      </c>
      <c r="E97" s="2" t="inlineStr">
        <is>
          <t>US_USDT_PERP</t>
        </is>
      </c>
      <c r="F97" s="2" t="inlineStr">
        <is>
          <t>做空</t>
        </is>
      </c>
      <c r="G97" s="17" t="n">
        <v>0.03393</v>
      </c>
      <c r="H97" s="17" t="n">
        <v>0.0329121</v>
      </c>
      <c r="I97" s="17" t="n">
        <v>0.03562650000000001</v>
      </c>
      <c r="J97" s="17" t="n"/>
      <c r="K97" s="2" t="n"/>
      <c r="L97" s="5" t="n"/>
      <c r="M97" s="16">
        <f>資金模擬!$B$5*V96</f>
        <v/>
      </c>
      <c r="N97" s="2">
        <f>IF(Z96=1,"已停止",IF(T96&gt;=M97,"已下單","資金不足略過"))</f>
        <v/>
      </c>
      <c r="O97" s="16">
        <f>IF(N97="已下單",M97*資金模擬!$B$7,0)</f>
        <v/>
      </c>
      <c r="P97" s="4" t="n"/>
      <c r="Q97" s="10" t="n">
        <v>0</v>
      </c>
      <c r="R97" s="10">
        <f>R96+Q97</f>
        <v/>
      </c>
      <c r="S97" s="16">
        <f>S96+IF(N97="已下單",M97,0)</f>
        <v/>
      </c>
      <c r="T97" s="16">
        <f>R97-S97</f>
        <v/>
      </c>
      <c r="U97" s="2">
        <f>U96+IF(N97="已下單",1,0)</f>
        <v/>
      </c>
      <c r="V97" s="16">
        <f>IF(資金模擬!$B$9=2,MAX(R97,0),MAX(V96,FLOOR(MAX(R97,0),資金模擬!$B$6)))</f>
        <v/>
      </c>
      <c r="W97" s="10">
        <f>MAX(W96,R97)</f>
        <v/>
      </c>
      <c r="X97" s="4">
        <f>IF(W97&gt;0,R97/W97-1,-1)</f>
        <v/>
      </c>
      <c r="Y97" s="16">
        <f>IF(R97&gt;0,S97*資金模擬!$B$7/R97,0)</f>
        <v/>
      </c>
      <c r="Z97" s="2">
        <f>IF(OR(Z96=1,R97&lt;=資金模擬!$B$10),1,0)</f>
        <v/>
      </c>
    </row>
    <row r="98">
      <c r="A98" s="2" t="n">
        <v>96</v>
      </c>
      <c r="B98" s="7" t="n">
        <v>46297.43125</v>
      </c>
      <c r="C98" s="2" t="inlineStr">
        <is>
          <t>出場</t>
        </is>
      </c>
      <c r="D98" s="2" t="n">
        <v>48</v>
      </c>
      <c r="E98" s="2" t="inlineStr">
        <is>
          <t>US_USDT_PERP</t>
        </is>
      </c>
      <c r="F98" s="2" t="inlineStr">
        <is>
          <t>做空</t>
        </is>
      </c>
      <c r="G98" s="17" t="n">
        <v>0.03393</v>
      </c>
      <c r="H98" s="17" t="n">
        <v>0.0329121</v>
      </c>
      <c r="I98" s="17" t="n">
        <v>0.03562650000000001</v>
      </c>
      <c r="J98" s="17" t="n">
        <v>0.03562650000000001</v>
      </c>
      <c r="K98" s="2" t="inlineStr">
        <is>
          <t>止損</t>
        </is>
      </c>
      <c r="L98" s="5">
        <f>交易明細!K49</f>
        <v/>
      </c>
      <c r="M98" s="16">
        <f>M97</f>
        <v/>
      </c>
      <c r="N98" s="2">
        <f>N97</f>
        <v/>
      </c>
      <c r="O98" s="16">
        <f>O97</f>
        <v/>
      </c>
      <c r="P98" s="4">
        <f>交易明細!L49</f>
        <v/>
      </c>
      <c r="Q98" s="10">
        <f>IF(N98="已下單",O98*P98,0)</f>
        <v/>
      </c>
      <c r="R98" s="10">
        <f>R97+Q98</f>
        <v/>
      </c>
      <c r="S98" s="16">
        <f>S97-IF(N98="已下單",M98,0)</f>
        <v/>
      </c>
      <c r="T98" s="16">
        <f>R98-S98</f>
        <v/>
      </c>
      <c r="U98" s="2">
        <f>U97-IF(N98="已下單",1,0)</f>
        <v/>
      </c>
      <c r="V98" s="16">
        <f>IF(資金模擬!$B$9=2,MAX(R98,0),MAX(V97,FLOOR(MAX(R98,0),資金模擬!$B$6)))</f>
        <v/>
      </c>
      <c r="W98" s="10">
        <f>MAX(W97,R98)</f>
        <v/>
      </c>
      <c r="X98" s="4">
        <f>IF(W98&gt;0,R98/W98-1,-1)</f>
        <v/>
      </c>
      <c r="Y98" s="16">
        <f>IF(R98&gt;0,S98*資金模擬!$B$7/R98,0)</f>
        <v/>
      </c>
      <c r="Z98" s="2">
        <f>IF(OR(Z97=1,R98&lt;=資金模擬!$B$10),1,0)</f>
        <v/>
      </c>
    </row>
    <row r="99">
      <c r="A99" s="2" t="n">
        <v>97</v>
      </c>
      <c r="B99" s="7" t="n">
        <v>46297.89166666667</v>
      </c>
      <c r="C99" s="2" t="inlineStr">
        <is>
          <t>進場</t>
        </is>
      </c>
      <c r="D99" s="2" t="n">
        <v>49</v>
      </c>
      <c r="E99" s="2" t="inlineStr">
        <is>
          <t>NIGHT_USDT_PERP</t>
        </is>
      </c>
      <c r="F99" s="2" t="inlineStr">
        <is>
          <t>做空</t>
        </is>
      </c>
      <c r="G99" s="17" t="n">
        <v>0.04902</v>
      </c>
      <c r="H99" s="17" t="n">
        <v>0.0475494</v>
      </c>
      <c r="I99" s="17" t="n">
        <v>0.051471</v>
      </c>
      <c r="J99" s="17" t="n"/>
      <c r="K99" s="2" t="n"/>
      <c r="L99" s="5" t="n"/>
      <c r="M99" s="16">
        <f>資金模擬!$B$5*V98</f>
        <v/>
      </c>
      <c r="N99" s="2">
        <f>IF(Z98=1,"已停止",IF(T98&gt;=M99,"已下單","資金不足略過"))</f>
        <v/>
      </c>
      <c r="O99" s="16">
        <f>IF(N99="已下單",M99*資金模擬!$B$7,0)</f>
        <v/>
      </c>
      <c r="P99" s="4" t="n"/>
      <c r="Q99" s="10" t="n">
        <v>0</v>
      </c>
      <c r="R99" s="10">
        <f>R98+Q99</f>
        <v/>
      </c>
      <c r="S99" s="16">
        <f>S98+IF(N99="已下單",M99,0)</f>
        <v/>
      </c>
      <c r="T99" s="16">
        <f>R99-S99</f>
        <v/>
      </c>
      <c r="U99" s="2">
        <f>U98+IF(N99="已下單",1,0)</f>
        <v/>
      </c>
      <c r="V99" s="16">
        <f>IF(資金模擬!$B$9=2,MAX(R99,0),MAX(V98,FLOOR(MAX(R99,0),資金模擬!$B$6)))</f>
        <v/>
      </c>
      <c r="W99" s="10">
        <f>MAX(W98,R99)</f>
        <v/>
      </c>
      <c r="X99" s="4">
        <f>IF(W99&gt;0,R99/W99-1,-1)</f>
        <v/>
      </c>
      <c r="Y99" s="16">
        <f>IF(R99&gt;0,S99*資金模擬!$B$7/R99,0)</f>
        <v/>
      </c>
      <c r="Z99" s="2">
        <f>IF(OR(Z98=1,R99&lt;=資金模擬!$B$10),1,0)</f>
        <v/>
      </c>
    </row>
    <row r="100">
      <c r="A100" s="2" t="n">
        <v>98</v>
      </c>
      <c r="B100" s="7" t="n">
        <v>46297.90972222222</v>
      </c>
      <c r="C100" s="2" t="inlineStr">
        <is>
          <t>出場</t>
        </is>
      </c>
      <c r="D100" s="2" t="n">
        <v>49</v>
      </c>
      <c r="E100" s="2" t="inlineStr">
        <is>
          <t>NIGHT_USDT_PERP</t>
        </is>
      </c>
      <c r="F100" s="2" t="inlineStr">
        <is>
          <t>做空</t>
        </is>
      </c>
      <c r="G100" s="17" t="n">
        <v>0.04902</v>
      </c>
      <c r="H100" s="17" t="n">
        <v>0.0475494</v>
      </c>
      <c r="I100" s="17" t="n">
        <v>0.051471</v>
      </c>
      <c r="J100" s="17" t="n">
        <v>0.0475494</v>
      </c>
      <c r="K100" s="2" t="inlineStr">
        <is>
          <t>止盈</t>
        </is>
      </c>
      <c r="L100" s="5">
        <f>交易明細!K50</f>
        <v/>
      </c>
      <c r="M100" s="16">
        <f>M99</f>
        <v/>
      </c>
      <c r="N100" s="2">
        <f>N99</f>
        <v/>
      </c>
      <c r="O100" s="16">
        <f>O99</f>
        <v/>
      </c>
      <c r="P100" s="4">
        <f>交易明細!L50</f>
        <v/>
      </c>
      <c r="Q100" s="10">
        <f>IF(N100="已下單",O100*P100,0)</f>
        <v/>
      </c>
      <c r="R100" s="10">
        <f>R99+Q100</f>
        <v/>
      </c>
      <c r="S100" s="16">
        <f>S99-IF(N100="已下單",M100,0)</f>
        <v/>
      </c>
      <c r="T100" s="16">
        <f>R100-S100</f>
        <v/>
      </c>
      <c r="U100" s="2">
        <f>U99-IF(N100="已下單",1,0)</f>
        <v/>
      </c>
      <c r="V100" s="16">
        <f>IF(資金模擬!$B$9=2,MAX(R100,0),MAX(V99,FLOOR(MAX(R100,0),資金模擬!$B$6)))</f>
        <v/>
      </c>
      <c r="W100" s="10">
        <f>MAX(W99,R100)</f>
        <v/>
      </c>
      <c r="X100" s="4">
        <f>IF(W100&gt;0,R100/W100-1,-1)</f>
        <v/>
      </c>
      <c r="Y100" s="16">
        <f>IF(R100&gt;0,S100*資金模擬!$B$7/R100,0)</f>
        <v/>
      </c>
      <c r="Z100" s="2">
        <f>IF(OR(Z99=1,R100&lt;=資金模擬!$B$10),1,0)</f>
        <v/>
      </c>
    </row>
    <row r="101">
      <c r="A101" s="2" t="n">
        <v>99</v>
      </c>
      <c r="B101" s="7" t="n">
        <v>46298</v>
      </c>
      <c r="C101" s="2" t="inlineStr">
        <is>
          <t>進場</t>
        </is>
      </c>
      <c r="D101" s="2" t="n">
        <v>50</v>
      </c>
      <c r="E101" s="2" t="inlineStr">
        <is>
          <t>MAGMA_USDT_PERP</t>
        </is>
      </c>
      <c r="F101" s="2" t="inlineStr">
        <is>
          <t>做空</t>
        </is>
      </c>
      <c r="G101" s="17" t="n">
        <v>0.34835</v>
      </c>
      <c r="H101" s="17" t="n">
        <v>0.3378995</v>
      </c>
      <c r="I101" s="17" t="n">
        <v>0.3657675</v>
      </c>
      <c r="J101" s="17" t="n"/>
      <c r="K101" s="2" t="n"/>
      <c r="L101" s="5" t="n"/>
      <c r="M101" s="16">
        <f>資金模擬!$B$5*V100</f>
        <v/>
      </c>
      <c r="N101" s="2">
        <f>IF(Z100=1,"已停止",IF(T100&gt;=M101,"已下單","資金不足略過"))</f>
        <v/>
      </c>
      <c r="O101" s="16">
        <f>IF(N101="已下單",M101*資金模擬!$B$7,0)</f>
        <v/>
      </c>
      <c r="P101" s="4" t="n"/>
      <c r="Q101" s="10" t="n">
        <v>0</v>
      </c>
      <c r="R101" s="10">
        <f>R100+Q101</f>
        <v/>
      </c>
      <c r="S101" s="16">
        <f>S100+IF(N101="已下單",M101,0)</f>
        <v/>
      </c>
      <c r="T101" s="16">
        <f>R101-S101</f>
        <v/>
      </c>
      <c r="U101" s="2">
        <f>U100+IF(N101="已下單",1,0)</f>
        <v/>
      </c>
      <c r="V101" s="16">
        <f>IF(資金模擬!$B$9=2,MAX(R101,0),MAX(V100,FLOOR(MAX(R101,0),資金模擬!$B$6)))</f>
        <v/>
      </c>
      <c r="W101" s="10">
        <f>MAX(W100,R101)</f>
        <v/>
      </c>
      <c r="X101" s="4">
        <f>IF(W101&gt;0,R101/W101-1,-1)</f>
        <v/>
      </c>
      <c r="Y101" s="16">
        <f>IF(R101&gt;0,S101*資金模擬!$B$7/R101,0)</f>
        <v/>
      </c>
      <c r="Z101" s="2">
        <f>IF(OR(Z100=1,R101&lt;=資金模擬!$B$10),1,0)</f>
        <v/>
      </c>
    </row>
    <row r="102">
      <c r="A102" s="2" t="n">
        <v>100</v>
      </c>
      <c r="B102" s="7" t="n">
        <v>46298.00277777778</v>
      </c>
      <c r="C102" s="2" t="inlineStr">
        <is>
          <t>進場</t>
        </is>
      </c>
      <c r="D102" s="2" t="n">
        <v>51</v>
      </c>
      <c r="E102" s="2" t="inlineStr">
        <is>
          <t>SPK_USDT_PERP</t>
        </is>
      </c>
      <c r="F102" s="2" t="inlineStr">
        <is>
          <t>做空</t>
        </is>
      </c>
      <c r="G102" s="17" t="n">
        <v>0.02801</v>
      </c>
      <c r="H102" s="17" t="n">
        <v>0.0271697</v>
      </c>
      <c r="I102" s="17" t="n">
        <v>0.0294105</v>
      </c>
      <c r="J102" s="17" t="n"/>
      <c r="K102" s="2" t="n"/>
      <c r="L102" s="5" t="n"/>
      <c r="M102" s="16">
        <f>資金模擬!$B$5*V101</f>
        <v/>
      </c>
      <c r="N102" s="2">
        <f>IF(Z101=1,"已停止",IF(T101&gt;=M102,"已下單","資金不足略過"))</f>
        <v/>
      </c>
      <c r="O102" s="16">
        <f>IF(N102="已下單",M102*資金模擬!$B$7,0)</f>
        <v/>
      </c>
      <c r="P102" s="4" t="n"/>
      <c r="Q102" s="10" t="n">
        <v>0</v>
      </c>
      <c r="R102" s="10">
        <f>R101+Q102</f>
        <v/>
      </c>
      <c r="S102" s="16">
        <f>S101+IF(N102="已下單",M102,0)</f>
        <v/>
      </c>
      <c r="T102" s="16">
        <f>R102-S102</f>
        <v/>
      </c>
      <c r="U102" s="2">
        <f>U101+IF(N102="已下單",1,0)</f>
        <v/>
      </c>
      <c r="V102" s="16">
        <f>IF(資金模擬!$B$9=2,MAX(R102,0),MAX(V101,FLOOR(MAX(R102,0),資金模擬!$B$6)))</f>
        <v/>
      </c>
      <c r="W102" s="10">
        <f>MAX(W101,R102)</f>
        <v/>
      </c>
      <c r="X102" s="4">
        <f>IF(W102&gt;0,R102/W102-1,-1)</f>
        <v/>
      </c>
      <c r="Y102" s="16">
        <f>IF(R102&gt;0,S102*資金模擬!$B$7/R102,0)</f>
        <v/>
      </c>
      <c r="Z102" s="2">
        <f>IF(OR(Z101=1,R102&lt;=資金模擬!$B$10),1,0)</f>
        <v/>
      </c>
    </row>
    <row r="103">
      <c r="A103" s="2" t="n">
        <v>101</v>
      </c>
      <c r="B103" s="7" t="n">
        <v>46298.00625</v>
      </c>
      <c r="C103" s="2" t="inlineStr">
        <is>
          <t>出場</t>
        </is>
      </c>
      <c r="D103" s="2" t="n">
        <v>51</v>
      </c>
      <c r="E103" s="2" t="inlineStr">
        <is>
          <t>SPK_USDT_PERP</t>
        </is>
      </c>
      <c r="F103" s="2" t="inlineStr">
        <is>
          <t>做空</t>
        </is>
      </c>
      <c r="G103" s="17" t="n">
        <v>0.02801</v>
      </c>
      <c r="H103" s="17" t="n">
        <v>0.0271697</v>
      </c>
      <c r="I103" s="17" t="n">
        <v>0.0294105</v>
      </c>
      <c r="J103" s="17" t="n">
        <v>0.0271697</v>
      </c>
      <c r="K103" s="2" t="inlineStr">
        <is>
          <t>止盈</t>
        </is>
      </c>
      <c r="L103" s="5">
        <f>交易明細!K52</f>
        <v/>
      </c>
      <c r="M103" s="16">
        <f>M102</f>
        <v/>
      </c>
      <c r="N103" s="2">
        <f>N102</f>
        <v/>
      </c>
      <c r="O103" s="16">
        <f>O102</f>
        <v/>
      </c>
      <c r="P103" s="4">
        <f>交易明細!L52</f>
        <v/>
      </c>
      <c r="Q103" s="10">
        <f>IF(N103="已下單",O103*P103,0)</f>
        <v/>
      </c>
      <c r="R103" s="10">
        <f>R102+Q103</f>
        <v/>
      </c>
      <c r="S103" s="16">
        <f>S102-IF(N103="已下單",M103,0)</f>
        <v/>
      </c>
      <c r="T103" s="16">
        <f>R103-S103</f>
        <v/>
      </c>
      <c r="U103" s="2">
        <f>U102-IF(N103="已下單",1,0)</f>
        <v/>
      </c>
      <c r="V103" s="16">
        <f>IF(資金模擬!$B$9=2,MAX(R103,0),MAX(V102,FLOOR(MAX(R103,0),資金模擬!$B$6)))</f>
        <v/>
      </c>
      <c r="W103" s="10">
        <f>MAX(W102,R103)</f>
        <v/>
      </c>
      <c r="X103" s="4">
        <f>IF(W103&gt;0,R103/W103-1,-1)</f>
        <v/>
      </c>
      <c r="Y103" s="16">
        <f>IF(R103&gt;0,S103*資金模擬!$B$7/R103,0)</f>
        <v/>
      </c>
      <c r="Z103" s="2">
        <f>IF(OR(Z102=1,R103&lt;=資金模擬!$B$10),1,0)</f>
        <v/>
      </c>
    </row>
    <row r="104">
      <c r="A104" s="2" t="n">
        <v>102</v>
      </c>
      <c r="B104" s="7" t="n">
        <v>46298.04027777778</v>
      </c>
      <c r="C104" s="2" t="inlineStr">
        <is>
          <t>出場</t>
        </is>
      </c>
      <c r="D104" s="2" t="n">
        <v>50</v>
      </c>
      <c r="E104" s="2" t="inlineStr">
        <is>
          <t>MAGMA_USDT_PERP</t>
        </is>
      </c>
      <c r="F104" s="2" t="inlineStr">
        <is>
          <t>做空</t>
        </is>
      </c>
      <c r="G104" s="17" t="n">
        <v>0.34835</v>
      </c>
      <c r="H104" s="17" t="n">
        <v>0.3378995</v>
      </c>
      <c r="I104" s="17" t="n">
        <v>0.3657675</v>
      </c>
      <c r="J104" s="17" t="n">
        <v>0.3378995</v>
      </c>
      <c r="K104" s="2" t="inlineStr">
        <is>
          <t>止盈</t>
        </is>
      </c>
      <c r="L104" s="5">
        <f>交易明細!K51</f>
        <v/>
      </c>
      <c r="M104" s="16">
        <f>M101</f>
        <v/>
      </c>
      <c r="N104" s="2">
        <f>N101</f>
        <v/>
      </c>
      <c r="O104" s="16">
        <f>O101</f>
        <v/>
      </c>
      <c r="P104" s="4">
        <f>交易明細!L51</f>
        <v/>
      </c>
      <c r="Q104" s="10">
        <f>IF(N104="已下單",O104*P104,0)</f>
        <v/>
      </c>
      <c r="R104" s="10">
        <f>R103+Q104</f>
        <v/>
      </c>
      <c r="S104" s="16">
        <f>S103-IF(N104="已下單",M104,0)</f>
        <v/>
      </c>
      <c r="T104" s="16">
        <f>R104-S104</f>
        <v/>
      </c>
      <c r="U104" s="2">
        <f>U103-IF(N104="已下單",1,0)</f>
        <v/>
      </c>
      <c r="V104" s="16">
        <f>IF(資金模擬!$B$9=2,MAX(R104,0),MAX(V103,FLOOR(MAX(R104,0),資金模擬!$B$6)))</f>
        <v/>
      </c>
      <c r="W104" s="10">
        <f>MAX(W103,R104)</f>
        <v/>
      </c>
      <c r="X104" s="4">
        <f>IF(W104&gt;0,R104/W104-1,-1)</f>
        <v/>
      </c>
      <c r="Y104" s="16">
        <f>IF(R104&gt;0,S104*資金模擬!$B$7/R104,0)</f>
        <v/>
      </c>
      <c r="Z104" s="2">
        <f>IF(OR(Z103=1,R104&lt;=資金模擬!$B$10),1,0)</f>
        <v/>
      </c>
    </row>
    <row r="105">
      <c r="A105" s="2" t="n">
        <v>103</v>
      </c>
      <c r="B105" s="7" t="n">
        <v>46298.08958333333</v>
      </c>
      <c r="C105" s="2" t="inlineStr">
        <is>
          <t>進場</t>
        </is>
      </c>
      <c r="D105" s="2" t="n">
        <v>52</v>
      </c>
      <c r="E105" s="2" t="inlineStr">
        <is>
          <t>POWER_USDT_PERP</t>
        </is>
      </c>
      <c r="F105" s="2" t="inlineStr">
        <is>
          <t>做空</t>
        </is>
      </c>
      <c r="G105" s="17" t="n">
        <v>0.09277000000000001</v>
      </c>
      <c r="H105" s="17" t="n">
        <v>0.08998690000000001</v>
      </c>
      <c r="I105" s="17" t="n">
        <v>0.09740850000000001</v>
      </c>
      <c r="J105" s="17" t="n"/>
      <c r="K105" s="2" t="n"/>
      <c r="L105" s="5" t="n"/>
      <c r="M105" s="16">
        <f>資金模擬!$B$5*V104</f>
        <v/>
      </c>
      <c r="N105" s="2">
        <f>IF(Z104=1,"已停止",IF(T104&gt;=M105,"已下單","資金不足略過"))</f>
        <v/>
      </c>
      <c r="O105" s="16">
        <f>IF(N105="已下單",M105*資金模擬!$B$7,0)</f>
        <v/>
      </c>
      <c r="P105" s="4" t="n"/>
      <c r="Q105" s="10" t="n">
        <v>0</v>
      </c>
      <c r="R105" s="10">
        <f>R104+Q105</f>
        <v/>
      </c>
      <c r="S105" s="16">
        <f>S104+IF(N105="已下單",M105,0)</f>
        <v/>
      </c>
      <c r="T105" s="16">
        <f>R105-S105</f>
        <v/>
      </c>
      <c r="U105" s="2">
        <f>U104+IF(N105="已下單",1,0)</f>
        <v/>
      </c>
      <c r="V105" s="16">
        <f>IF(資金模擬!$B$9=2,MAX(R105,0),MAX(V104,FLOOR(MAX(R105,0),資金模擬!$B$6)))</f>
        <v/>
      </c>
      <c r="W105" s="10">
        <f>MAX(W104,R105)</f>
        <v/>
      </c>
      <c r="X105" s="4">
        <f>IF(W105&gt;0,R105/W105-1,-1)</f>
        <v/>
      </c>
      <c r="Y105" s="16">
        <f>IF(R105&gt;0,S105*資金模擬!$B$7/R105,0)</f>
        <v/>
      </c>
      <c r="Z105" s="2">
        <f>IF(OR(Z104=1,R105&lt;=資金模擬!$B$10),1,0)</f>
        <v/>
      </c>
    </row>
    <row r="106">
      <c r="A106" s="2" t="n">
        <v>104</v>
      </c>
      <c r="B106" s="7" t="n">
        <v>46298.10972222222</v>
      </c>
      <c r="C106" s="2" t="inlineStr">
        <is>
          <t>出場</t>
        </is>
      </c>
      <c r="D106" s="2" t="n">
        <v>52</v>
      </c>
      <c r="E106" s="2" t="inlineStr">
        <is>
          <t>POWER_USDT_PERP</t>
        </is>
      </c>
      <c r="F106" s="2" t="inlineStr">
        <is>
          <t>做空</t>
        </is>
      </c>
      <c r="G106" s="17" t="n">
        <v>0.09277000000000001</v>
      </c>
      <c r="H106" s="17" t="n">
        <v>0.08998690000000001</v>
      </c>
      <c r="I106" s="17" t="n">
        <v>0.09740850000000001</v>
      </c>
      <c r="J106" s="17" t="n">
        <v>0.08998690000000001</v>
      </c>
      <c r="K106" s="2" t="inlineStr">
        <is>
          <t>止盈</t>
        </is>
      </c>
      <c r="L106" s="5">
        <f>交易明細!K53</f>
        <v/>
      </c>
      <c r="M106" s="16">
        <f>M105</f>
        <v/>
      </c>
      <c r="N106" s="2">
        <f>N105</f>
        <v/>
      </c>
      <c r="O106" s="16">
        <f>O105</f>
        <v/>
      </c>
      <c r="P106" s="4">
        <f>交易明細!L53</f>
        <v/>
      </c>
      <c r="Q106" s="10">
        <f>IF(N106="已下單",O106*P106,0)</f>
        <v/>
      </c>
      <c r="R106" s="10">
        <f>R105+Q106</f>
        <v/>
      </c>
      <c r="S106" s="16">
        <f>S105-IF(N106="已下單",M106,0)</f>
        <v/>
      </c>
      <c r="T106" s="16">
        <f>R106-S106</f>
        <v/>
      </c>
      <c r="U106" s="2">
        <f>U105-IF(N106="已下單",1,0)</f>
        <v/>
      </c>
      <c r="V106" s="16">
        <f>IF(資金模擬!$B$9=2,MAX(R106,0),MAX(V105,FLOOR(MAX(R106,0),資金模擬!$B$6)))</f>
        <v/>
      </c>
      <c r="W106" s="10">
        <f>MAX(W105,R106)</f>
        <v/>
      </c>
      <c r="X106" s="4">
        <f>IF(W106&gt;0,R106/W106-1,-1)</f>
        <v/>
      </c>
      <c r="Y106" s="16">
        <f>IF(R106&gt;0,S106*資金模擬!$B$7/R106,0)</f>
        <v/>
      </c>
      <c r="Z106" s="2">
        <f>IF(OR(Z105=1,R106&lt;=資金模擬!$B$10),1,0)</f>
        <v/>
      </c>
    </row>
    <row r="107">
      <c r="A107" s="2" t="n">
        <v>105</v>
      </c>
      <c r="B107" s="7" t="n">
        <v>46298.34444444445</v>
      </c>
      <c r="C107" s="2" t="inlineStr">
        <is>
          <t>進場</t>
        </is>
      </c>
      <c r="D107" s="2" t="n">
        <v>53</v>
      </c>
      <c r="E107" s="2" t="inlineStr">
        <is>
          <t>SAND_USDT_PERP</t>
        </is>
      </c>
      <c r="F107" s="2" t="inlineStr">
        <is>
          <t>做空</t>
        </is>
      </c>
      <c r="G107" s="17" t="n">
        <v>0.07006</v>
      </c>
      <c r="H107" s="17" t="n">
        <v>0.0679582</v>
      </c>
      <c r="I107" s="17" t="n">
        <v>0.073563</v>
      </c>
      <c r="J107" s="17" t="n"/>
      <c r="K107" s="2" t="n"/>
      <c r="L107" s="5" t="n"/>
      <c r="M107" s="16">
        <f>資金模擬!$B$5*V106</f>
        <v/>
      </c>
      <c r="N107" s="2">
        <f>IF(Z106=1,"已停止",IF(T106&gt;=M107,"已下單","資金不足略過"))</f>
        <v/>
      </c>
      <c r="O107" s="16">
        <f>IF(N107="已下單",M107*資金模擬!$B$7,0)</f>
        <v/>
      </c>
      <c r="P107" s="4" t="n"/>
      <c r="Q107" s="10" t="n">
        <v>0</v>
      </c>
      <c r="R107" s="10">
        <f>R106+Q107</f>
        <v/>
      </c>
      <c r="S107" s="16">
        <f>S106+IF(N107="已下單",M107,0)</f>
        <v/>
      </c>
      <c r="T107" s="16">
        <f>R107-S107</f>
        <v/>
      </c>
      <c r="U107" s="2">
        <f>U106+IF(N107="已下單",1,0)</f>
        <v/>
      </c>
      <c r="V107" s="16">
        <f>IF(資金模擬!$B$9=2,MAX(R107,0),MAX(V106,FLOOR(MAX(R107,0),資金模擬!$B$6)))</f>
        <v/>
      </c>
      <c r="W107" s="10">
        <f>MAX(W106,R107)</f>
        <v/>
      </c>
      <c r="X107" s="4">
        <f>IF(W107&gt;0,R107/W107-1,-1)</f>
        <v/>
      </c>
      <c r="Y107" s="16">
        <f>IF(R107&gt;0,S107*資金模擬!$B$7/R107,0)</f>
        <v/>
      </c>
      <c r="Z107" s="2">
        <f>IF(OR(Z106=1,R107&lt;=資金模擬!$B$10),1,0)</f>
        <v/>
      </c>
    </row>
    <row r="108">
      <c r="A108" s="2" t="n">
        <v>106</v>
      </c>
      <c r="B108" s="7" t="n">
        <v>46298.34722222222</v>
      </c>
      <c r="C108" s="2" t="inlineStr">
        <is>
          <t>出場</t>
        </is>
      </c>
      <c r="D108" s="2" t="n">
        <v>53</v>
      </c>
      <c r="E108" s="2" t="inlineStr">
        <is>
          <t>SAND_USDT_PERP</t>
        </is>
      </c>
      <c r="F108" s="2" t="inlineStr">
        <is>
          <t>做空</t>
        </is>
      </c>
      <c r="G108" s="17" t="n">
        <v>0.07006</v>
      </c>
      <c r="H108" s="17" t="n">
        <v>0.0679582</v>
      </c>
      <c r="I108" s="17" t="n">
        <v>0.073563</v>
      </c>
      <c r="J108" s="17" t="n">
        <v>0.0679582</v>
      </c>
      <c r="K108" s="2" t="inlineStr">
        <is>
          <t>止盈</t>
        </is>
      </c>
      <c r="L108" s="5">
        <f>交易明細!K54</f>
        <v/>
      </c>
      <c r="M108" s="16">
        <f>M107</f>
        <v/>
      </c>
      <c r="N108" s="2">
        <f>N107</f>
        <v/>
      </c>
      <c r="O108" s="16">
        <f>O107</f>
        <v/>
      </c>
      <c r="P108" s="4">
        <f>交易明細!L54</f>
        <v/>
      </c>
      <c r="Q108" s="10">
        <f>IF(N108="已下單",O108*P108,0)</f>
        <v/>
      </c>
      <c r="R108" s="10">
        <f>R107+Q108</f>
        <v/>
      </c>
      <c r="S108" s="16">
        <f>S107-IF(N108="已下單",M108,0)</f>
        <v/>
      </c>
      <c r="T108" s="16">
        <f>R108-S108</f>
        <v/>
      </c>
      <c r="U108" s="2">
        <f>U107-IF(N108="已下單",1,0)</f>
        <v/>
      </c>
      <c r="V108" s="16">
        <f>IF(資金模擬!$B$9=2,MAX(R108,0),MAX(V107,FLOOR(MAX(R108,0),資金模擬!$B$6)))</f>
        <v/>
      </c>
      <c r="W108" s="10">
        <f>MAX(W107,R108)</f>
        <v/>
      </c>
      <c r="X108" s="4">
        <f>IF(W108&gt;0,R108/W108-1,-1)</f>
        <v/>
      </c>
      <c r="Y108" s="16">
        <f>IF(R108&gt;0,S108*資金模擬!$B$7/R108,0)</f>
        <v/>
      </c>
      <c r="Z108" s="2">
        <f>IF(OR(Z107=1,R108&lt;=資金模擬!$B$10),1,0)</f>
        <v/>
      </c>
    </row>
    <row r="109">
      <c r="A109" s="2" t="n">
        <v>107</v>
      </c>
      <c r="B109" s="7" t="n">
        <v>46298.50902777778</v>
      </c>
      <c r="C109" s="2" t="inlineStr">
        <is>
          <t>進場</t>
        </is>
      </c>
      <c r="D109" s="2" t="n">
        <v>54</v>
      </c>
      <c r="E109" s="2" t="inlineStr">
        <is>
          <t>TAKE_USDT_PERP</t>
        </is>
      </c>
      <c r="F109" s="2" t="inlineStr">
        <is>
          <t>做空</t>
        </is>
      </c>
      <c r="G109" s="17" t="n">
        <v>0.06778000000000001</v>
      </c>
      <c r="H109" s="17" t="n">
        <v>0.0657466</v>
      </c>
      <c r="I109" s="17" t="n">
        <v>0.07116900000000001</v>
      </c>
      <c r="J109" s="17" t="n"/>
      <c r="K109" s="2" t="n"/>
      <c r="L109" s="5" t="n"/>
      <c r="M109" s="16">
        <f>資金模擬!$B$5*V108</f>
        <v/>
      </c>
      <c r="N109" s="2">
        <f>IF(Z108=1,"已停止",IF(T108&gt;=M109,"已下單","資金不足略過"))</f>
        <v/>
      </c>
      <c r="O109" s="16">
        <f>IF(N109="已下單",M109*資金模擬!$B$7,0)</f>
        <v/>
      </c>
      <c r="P109" s="4" t="n"/>
      <c r="Q109" s="10" t="n">
        <v>0</v>
      </c>
      <c r="R109" s="10">
        <f>R108+Q109</f>
        <v/>
      </c>
      <c r="S109" s="16">
        <f>S108+IF(N109="已下單",M109,0)</f>
        <v/>
      </c>
      <c r="T109" s="16">
        <f>R109-S109</f>
        <v/>
      </c>
      <c r="U109" s="2">
        <f>U108+IF(N109="已下單",1,0)</f>
        <v/>
      </c>
      <c r="V109" s="16">
        <f>IF(資金模擬!$B$9=2,MAX(R109,0),MAX(V108,FLOOR(MAX(R109,0),資金模擬!$B$6)))</f>
        <v/>
      </c>
      <c r="W109" s="10">
        <f>MAX(W108,R109)</f>
        <v/>
      </c>
      <c r="X109" s="4">
        <f>IF(W109&gt;0,R109/W109-1,-1)</f>
        <v/>
      </c>
      <c r="Y109" s="16">
        <f>IF(R109&gt;0,S109*資金模擬!$B$7/R109,0)</f>
        <v/>
      </c>
      <c r="Z109" s="2">
        <f>IF(OR(Z108=1,R109&lt;=資金模擬!$B$10),1,0)</f>
        <v/>
      </c>
    </row>
    <row r="110">
      <c r="A110" s="2" t="n">
        <v>108</v>
      </c>
      <c r="B110" s="7" t="n">
        <v>46298.51597222222</v>
      </c>
      <c r="C110" s="2" t="inlineStr">
        <is>
          <t>出場</t>
        </is>
      </c>
      <c r="D110" s="2" t="n">
        <v>54</v>
      </c>
      <c r="E110" s="2" t="inlineStr">
        <is>
          <t>TAKE_USDT_PERP</t>
        </is>
      </c>
      <c r="F110" s="2" t="inlineStr">
        <is>
          <t>做空</t>
        </is>
      </c>
      <c r="G110" s="17" t="n">
        <v>0.06778000000000001</v>
      </c>
      <c r="H110" s="17" t="n">
        <v>0.0657466</v>
      </c>
      <c r="I110" s="17" t="n">
        <v>0.07116900000000001</v>
      </c>
      <c r="J110" s="17" t="n">
        <v>0.0657466</v>
      </c>
      <c r="K110" s="2" t="inlineStr">
        <is>
          <t>止盈</t>
        </is>
      </c>
      <c r="L110" s="5">
        <f>交易明細!K55</f>
        <v/>
      </c>
      <c r="M110" s="16">
        <f>M109</f>
        <v/>
      </c>
      <c r="N110" s="2">
        <f>N109</f>
        <v/>
      </c>
      <c r="O110" s="16">
        <f>O109</f>
        <v/>
      </c>
      <c r="P110" s="4">
        <f>交易明細!L55</f>
        <v/>
      </c>
      <c r="Q110" s="10">
        <f>IF(N110="已下單",O110*P110,0)</f>
        <v/>
      </c>
      <c r="R110" s="10">
        <f>R109+Q110</f>
        <v/>
      </c>
      <c r="S110" s="16">
        <f>S109-IF(N110="已下單",M110,0)</f>
        <v/>
      </c>
      <c r="T110" s="16">
        <f>R110-S110</f>
        <v/>
      </c>
      <c r="U110" s="2">
        <f>U109-IF(N110="已下單",1,0)</f>
        <v/>
      </c>
      <c r="V110" s="16">
        <f>IF(資金模擬!$B$9=2,MAX(R110,0),MAX(V109,FLOOR(MAX(R110,0),資金模擬!$B$6)))</f>
        <v/>
      </c>
      <c r="W110" s="10">
        <f>MAX(W109,R110)</f>
        <v/>
      </c>
      <c r="X110" s="4">
        <f>IF(W110&gt;0,R110/W110-1,-1)</f>
        <v/>
      </c>
      <c r="Y110" s="16">
        <f>IF(R110&gt;0,S110*資金模擬!$B$7/R110,0)</f>
        <v/>
      </c>
      <c r="Z110" s="2">
        <f>IF(OR(Z109=1,R110&lt;=資金模擬!$B$10),1,0)</f>
        <v/>
      </c>
    </row>
    <row r="111">
      <c r="A111" s="2" t="n">
        <v>109</v>
      </c>
      <c r="B111" s="7" t="n">
        <v>46298.63611111111</v>
      </c>
      <c r="C111" s="2" t="inlineStr">
        <is>
          <t>進場</t>
        </is>
      </c>
      <c r="D111" s="2" t="n">
        <v>55</v>
      </c>
      <c r="E111" s="2" t="inlineStr">
        <is>
          <t>AGT_USDT_PERP</t>
        </is>
      </c>
      <c r="F111" s="2" t="inlineStr">
        <is>
          <t>做空</t>
        </is>
      </c>
      <c r="G111" s="17" t="n">
        <v>0.024348</v>
      </c>
      <c r="H111" s="17" t="n">
        <v>0.02361756</v>
      </c>
      <c r="I111" s="17" t="n">
        <v>0.0255654</v>
      </c>
      <c r="J111" s="17" t="n"/>
      <c r="K111" s="2" t="n"/>
      <c r="L111" s="5" t="n"/>
      <c r="M111" s="16">
        <f>資金模擬!$B$5*V110</f>
        <v/>
      </c>
      <c r="N111" s="2">
        <f>IF(Z110=1,"已停止",IF(T110&gt;=M111,"已下單","資金不足略過"))</f>
        <v/>
      </c>
      <c r="O111" s="16">
        <f>IF(N111="已下單",M111*資金模擬!$B$7,0)</f>
        <v/>
      </c>
      <c r="P111" s="4" t="n"/>
      <c r="Q111" s="10" t="n">
        <v>0</v>
      </c>
      <c r="R111" s="10">
        <f>R110+Q111</f>
        <v/>
      </c>
      <c r="S111" s="16">
        <f>S110+IF(N111="已下單",M111,0)</f>
        <v/>
      </c>
      <c r="T111" s="16">
        <f>R111-S111</f>
        <v/>
      </c>
      <c r="U111" s="2">
        <f>U110+IF(N111="已下單",1,0)</f>
        <v/>
      </c>
      <c r="V111" s="16">
        <f>IF(資金模擬!$B$9=2,MAX(R111,0),MAX(V110,FLOOR(MAX(R111,0),資金模擬!$B$6)))</f>
        <v/>
      </c>
      <c r="W111" s="10">
        <f>MAX(W110,R111)</f>
        <v/>
      </c>
      <c r="X111" s="4">
        <f>IF(W111&gt;0,R111/W111-1,-1)</f>
        <v/>
      </c>
      <c r="Y111" s="16">
        <f>IF(R111&gt;0,S111*資金模擬!$B$7/R111,0)</f>
        <v/>
      </c>
      <c r="Z111" s="2">
        <f>IF(OR(Z110=1,R111&lt;=資金模擬!$B$10),1,0)</f>
        <v/>
      </c>
    </row>
    <row r="112">
      <c r="A112" s="2" t="n">
        <v>110</v>
      </c>
      <c r="B112" s="7" t="n">
        <v>46299.17013888889</v>
      </c>
      <c r="C112" s="2" t="inlineStr">
        <is>
          <t>進場</t>
        </is>
      </c>
      <c r="D112" s="2" t="n">
        <v>56</v>
      </c>
      <c r="E112" s="2" t="inlineStr">
        <is>
          <t>AIO_USDT_PERP</t>
        </is>
      </c>
      <c r="F112" s="2" t="inlineStr">
        <is>
          <t>做空</t>
        </is>
      </c>
      <c r="G112" s="17" t="n">
        <v>0.04316</v>
      </c>
      <c r="H112" s="17" t="n">
        <v>0.0418652</v>
      </c>
      <c r="I112" s="17" t="n">
        <v>0.045318</v>
      </c>
      <c r="J112" s="17" t="n"/>
      <c r="K112" s="2" t="n"/>
      <c r="L112" s="5" t="n"/>
      <c r="M112" s="16">
        <f>資金模擬!$B$5*V111</f>
        <v/>
      </c>
      <c r="N112" s="2">
        <f>IF(Z111=1,"已停止",IF(T111&gt;=M112,"已下單","資金不足略過"))</f>
        <v/>
      </c>
      <c r="O112" s="16">
        <f>IF(N112="已下單",M112*資金模擬!$B$7,0)</f>
        <v/>
      </c>
      <c r="P112" s="4" t="n"/>
      <c r="Q112" s="10" t="n">
        <v>0</v>
      </c>
      <c r="R112" s="10">
        <f>R111+Q112</f>
        <v/>
      </c>
      <c r="S112" s="16">
        <f>S111+IF(N112="已下單",M112,0)</f>
        <v/>
      </c>
      <c r="T112" s="16">
        <f>R112-S112</f>
        <v/>
      </c>
      <c r="U112" s="2">
        <f>U111+IF(N112="已下單",1,0)</f>
        <v/>
      </c>
      <c r="V112" s="16">
        <f>IF(資金模擬!$B$9=2,MAX(R112,0),MAX(V111,FLOOR(MAX(R112,0),資金模擬!$B$6)))</f>
        <v/>
      </c>
      <c r="W112" s="10">
        <f>MAX(W111,R112)</f>
        <v/>
      </c>
      <c r="X112" s="4">
        <f>IF(W112&gt;0,R112/W112-1,-1)</f>
        <v/>
      </c>
      <c r="Y112" s="16">
        <f>IF(R112&gt;0,S112*資金模擬!$B$7/R112,0)</f>
        <v/>
      </c>
      <c r="Z112" s="2">
        <f>IF(OR(Z111=1,R112&lt;=資金模擬!$B$10),1,0)</f>
        <v/>
      </c>
    </row>
    <row r="113">
      <c r="A113" s="2" t="n">
        <v>111</v>
      </c>
      <c r="B113" s="7" t="n">
        <v>46299.17291666667</v>
      </c>
      <c r="C113" s="2" t="inlineStr">
        <is>
          <t>出場</t>
        </is>
      </c>
      <c r="D113" s="2" t="n">
        <v>56</v>
      </c>
      <c r="E113" s="2" t="inlineStr">
        <is>
          <t>AIO_USDT_PERP</t>
        </is>
      </c>
      <c r="F113" s="2" t="inlineStr">
        <is>
          <t>做空</t>
        </is>
      </c>
      <c r="G113" s="17" t="n">
        <v>0.04316</v>
      </c>
      <c r="H113" s="17" t="n">
        <v>0.0418652</v>
      </c>
      <c r="I113" s="17" t="n">
        <v>0.045318</v>
      </c>
      <c r="J113" s="17" t="n">
        <v>0.0418652</v>
      </c>
      <c r="K113" s="2" t="inlineStr">
        <is>
          <t>止盈</t>
        </is>
      </c>
      <c r="L113" s="5">
        <f>交易明細!K57</f>
        <v/>
      </c>
      <c r="M113" s="16">
        <f>M112</f>
        <v/>
      </c>
      <c r="N113" s="2">
        <f>N112</f>
        <v/>
      </c>
      <c r="O113" s="16">
        <f>O112</f>
        <v/>
      </c>
      <c r="P113" s="4">
        <f>交易明細!L57</f>
        <v/>
      </c>
      <c r="Q113" s="10">
        <f>IF(N113="已下單",O113*P113,0)</f>
        <v/>
      </c>
      <c r="R113" s="10">
        <f>R112+Q113</f>
        <v/>
      </c>
      <c r="S113" s="16">
        <f>S112-IF(N113="已下單",M113,0)</f>
        <v/>
      </c>
      <c r="T113" s="16">
        <f>R113-S113</f>
        <v/>
      </c>
      <c r="U113" s="2">
        <f>U112-IF(N113="已下單",1,0)</f>
        <v/>
      </c>
      <c r="V113" s="16">
        <f>IF(資金模擬!$B$9=2,MAX(R113,0),MAX(V112,FLOOR(MAX(R113,0),資金模擬!$B$6)))</f>
        <v/>
      </c>
      <c r="W113" s="10">
        <f>MAX(W112,R113)</f>
        <v/>
      </c>
      <c r="X113" s="4">
        <f>IF(W113&gt;0,R113/W113-1,-1)</f>
        <v/>
      </c>
      <c r="Y113" s="16">
        <f>IF(R113&gt;0,S113*資金模擬!$B$7/R113,0)</f>
        <v/>
      </c>
      <c r="Z113" s="2">
        <f>IF(OR(Z112=1,R113&lt;=資金模擬!$B$10),1,0)</f>
        <v/>
      </c>
    </row>
    <row r="114">
      <c r="A114" s="2" t="n">
        <v>112</v>
      </c>
      <c r="B114" s="7" t="n">
        <v>46299.43472222222</v>
      </c>
      <c r="C114" s="2" t="inlineStr">
        <is>
          <t>進場</t>
        </is>
      </c>
      <c r="D114" s="2" t="n">
        <v>57</v>
      </c>
      <c r="E114" s="2" t="inlineStr">
        <is>
          <t>ESP_USDT_PERP</t>
        </is>
      </c>
      <c r="F114" s="2" t="inlineStr">
        <is>
          <t>做空</t>
        </is>
      </c>
      <c r="G114" s="17" t="n">
        <v>0.10926</v>
      </c>
      <c r="H114" s="17" t="n">
        <v>0.1059822</v>
      </c>
      <c r="I114" s="17" t="n">
        <v>0.114723</v>
      </c>
      <c r="J114" s="17" t="n"/>
      <c r="K114" s="2" t="n"/>
      <c r="L114" s="5" t="n"/>
      <c r="M114" s="16">
        <f>資金模擬!$B$5*V113</f>
        <v/>
      </c>
      <c r="N114" s="2">
        <f>IF(Z113=1,"已停止",IF(T113&gt;=M114,"已下單","資金不足略過"))</f>
        <v/>
      </c>
      <c r="O114" s="16">
        <f>IF(N114="已下單",M114*資金模擬!$B$7,0)</f>
        <v/>
      </c>
      <c r="P114" s="4" t="n"/>
      <c r="Q114" s="10" t="n">
        <v>0</v>
      </c>
      <c r="R114" s="10">
        <f>R113+Q114</f>
        <v/>
      </c>
      <c r="S114" s="16">
        <f>S113+IF(N114="已下單",M114,0)</f>
        <v/>
      </c>
      <c r="T114" s="16">
        <f>R114-S114</f>
        <v/>
      </c>
      <c r="U114" s="2">
        <f>U113+IF(N114="已下單",1,0)</f>
        <v/>
      </c>
      <c r="V114" s="16">
        <f>IF(資金模擬!$B$9=2,MAX(R114,0),MAX(V113,FLOOR(MAX(R114,0),資金模擬!$B$6)))</f>
        <v/>
      </c>
      <c r="W114" s="10">
        <f>MAX(W113,R114)</f>
        <v/>
      </c>
      <c r="X114" s="4">
        <f>IF(W114&gt;0,R114/W114-1,-1)</f>
        <v/>
      </c>
      <c r="Y114" s="16">
        <f>IF(R114&gt;0,S114*資金模擬!$B$7/R114,0)</f>
        <v/>
      </c>
      <c r="Z114" s="2">
        <f>IF(OR(Z113=1,R114&lt;=資金模擬!$B$10),1,0)</f>
        <v/>
      </c>
    </row>
    <row r="115">
      <c r="A115" s="2" t="n">
        <v>113</v>
      </c>
      <c r="B115" s="7" t="n">
        <v>46299.43680555555</v>
      </c>
      <c r="C115" s="2" t="inlineStr">
        <is>
          <t>出場</t>
        </is>
      </c>
      <c r="D115" s="2" t="n">
        <v>57</v>
      </c>
      <c r="E115" s="2" t="inlineStr">
        <is>
          <t>ESP_USDT_PERP</t>
        </is>
      </c>
      <c r="F115" s="2" t="inlineStr">
        <is>
          <t>做空</t>
        </is>
      </c>
      <c r="G115" s="17" t="n">
        <v>0.10926</v>
      </c>
      <c r="H115" s="17" t="n">
        <v>0.1059822</v>
      </c>
      <c r="I115" s="17" t="n">
        <v>0.114723</v>
      </c>
      <c r="J115" s="17" t="n">
        <v>0.114723</v>
      </c>
      <c r="K115" s="2" t="inlineStr">
        <is>
          <t>止損</t>
        </is>
      </c>
      <c r="L115" s="5">
        <f>交易明細!K58</f>
        <v/>
      </c>
      <c r="M115" s="16">
        <f>M114</f>
        <v/>
      </c>
      <c r="N115" s="2">
        <f>N114</f>
        <v/>
      </c>
      <c r="O115" s="16">
        <f>O114</f>
        <v/>
      </c>
      <c r="P115" s="4">
        <f>交易明細!L58</f>
        <v/>
      </c>
      <c r="Q115" s="10">
        <f>IF(N115="已下單",O115*P115,0)</f>
        <v/>
      </c>
      <c r="R115" s="10">
        <f>R114+Q115</f>
        <v/>
      </c>
      <c r="S115" s="16">
        <f>S114-IF(N115="已下單",M115,0)</f>
        <v/>
      </c>
      <c r="T115" s="16">
        <f>R115-S115</f>
        <v/>
      </c>
      <c r="U115" s="2">
        <f>U114-IF(N115="已下單",1,0)</f>
        <v/>
      </c>
      <c r="V115" s="16">
        <f>IF(資金模擬!$B$9=2,MAX(R115,0),MAX(V114,FLOOR(MAX(R115,0),資金模擬!$B$6)))</f>
        <v/>
      </c>
      <c r="W115" s="10">
        <f>MAX(W114,R115)</f>
        <v/>
      </c>
      <c r="X115" s="4">
        <f>IF(W115&gt;0,R115/W115-1,-1)</f>
        <v/>
      </c>
      <c r="Y115" s="16">
        <f>IF(R115&gt;0,S115*資金模擬!$B$7/R115,0)</f>
        <v/>
      </c>
      <c r="Z115" s="2">
        <f>IF(OR(Z114=1,R115&lt;=資金模擬!$B$10),1,0)</f>
        <v/>
      </c>
    </row>
    <row r="116">
      <c r="A116" s="2" t="n">
        <v>114</v>
      </c>
      <c r="B116" s="7" t="n">
        <v>46299.47361111111</v>
      </c>
      <c r="C116" s="2" t="inlineStr">
        <is>
          <t>出場</t>
        </is>
      </c>
      <c r="D116" s="2" t="n">
        <v>55</v>
      </c>
      <c r="E116" s="2" t="inlineStr">
        <is>
          <t>AGT_USDT_PERP</t>
        </is>
      </c>
      <c r="F116" s="2" t="inlineStr">
        <is>
          <t>做空</t>
        </is>
      </c>
      <c r="G116" s="17" t="n">
        <v>0.024348</v>
      </c>
      <c r="H116" s="17" t="n">
        <v>0.02361756</v>
      </c>
      <c r="I116" s="17" t="n">
        <v>0.0255654</v>
      </c>
      <c r="J116" s="17" t="n">
        <v>0.0255654</v>
      </c>
      <c r="K116" s="2" t="inlineStr">
        <is>
          <t>止損</t>
        </is>
      </c>
      <c r="L116" s="5">
        <f>交易明細!K56</f>
        <v/>
      </c>
      <c r="M116" s="16">
        <f>M111</f>
        <v/>
      </c>
      <c r="N116" s="2">
        <f>N111</f>
        <v/>
      </c>
      <c r="O116" s="16">
        <f>O111</f>
        <v/>
      </c>
      <c r="P116" s="4">
        <f>交易明細!L56</f>
        <v/>
      </c>
      <c r="Q116" s="10">
        <f>IF(N116="已下單",O116*P116,0)</f>
        <v/>
      </c>
      <c r="R116" s="10">
        <f>R115+Q116</f>
        <v/>
      </c>
      <c r="S116" s="16">
        <f>S115-IF(N116="已下單",M116,0)</f>
        <v/>
      </c>
      <c r="T116" s="16">
        <f>R116-S116</f>
        <v/>
      </c>
      <c r="U116" s="2">
        <f>U115-IF(N116="已下單",1,0)</f>
        <v/>
      </c>
      <c r="V116" s="16">
        <f>IF(資金模擬!$B$9=2,MAX(R116,0),MAX(V115,FLOOR(MAX(R116,0),資金模擬!$B$6)))</f>
        <v/>
      </c>
      <c r="W116" s="10">
        <f>MAX(W115,R116)</f>
        <v/>
      </c>
      <c r="X116" s="4">
        <f>IF(W116&gt;0,R116/W116-1,-1)</f>
        <v/>
      </c>
      <c r="Y116" s="16">
        <f>IF(R116&gt;0,S116*資金模擬!$B$7/R116,0)</f>
        <v/>
      </c>
      <c r="Z116" s="2">
        <f>IF(OR(Z115=1,R116&lt;=資金模擬!$B$10),1,0)</f>
        <v/>
      </c>
    </row>
    <row r="117">
      <c r="A117" s="2" t="n">
        <v>115</v>
      </c>
      <c r="B117" s="7" t="n">
        <v>46299.51805555556</v>
      </c>
      <c r="C117" s="2" t="inlineStr">
        <is>
          <t>進場</t>
        </is>
      </c>
      <c r="D117" s="2" t="n">
        <v>58</v>
      </c>
      <c r="E117" s="2" t="inlineStr">
        <is>
          <t>PROS_USDT_PERP</t>
        </is>
      </c>
      <c r="F117" s="2" t="inlineStr">
        <is>
          <t>做空</t>
        </is>
      </c>
      <c r="G117" s="17" t="n">
        <v>0.792</v>
      </c>
      <c r="H117" s="17" t="n">
        <v>0.76824</v>
      </c>
      <c r="I117" s="17" t="n">
        <v>0.8316000000000001</v>
      </c>
      <c r="J117" s="17" t="n"/>
      <c r="K117" s="2" t="n"/>
      <c r="L117" s="5" t="n"/>
      <c r="M117" s="16">
        <f>資金模擬!$B$5*V116</f>
        <v/>
      </c>
      <c r="N117" s="2">
        <f>IF(Z116=1,"已停止",IF(T116&gt;=M117,"已下單","資金不足略過"))</f>
        <v/>
      </c>
      <c r="O117" s="16">
        <f>IF(N117="已下單",M117*資金模擬!$B$7,0)</f>
        <v/>
      </c>
      <c r="P117" s="4" t="n"/>
      <c r="Q117" s="10" t="n">
        <v>0</v>
      </c>
      <c r="R117" s="10">
        <f>R116+Q117</f>
        <v/>
      </c>
      <c r="S117" s="16">
        <f>S116+IF(N117="已下單",M117,0)</f>
        <v/>
      </c>
      <c r="T117" s="16">
        <f>R117-S117</f>
        <v/>
      </c>
      <c r="U117" s="2">
        <f>U116+IF(N117="已下單",1,0)</f>
        <v/>
      </c>
      <c r="V117" s="16">
        <f>IF(資金模擬!$B$9=2,MAX(R117,0),MAX(V116,FLOOR(MAX(R117,0),資金模擬!$B$6)))</f>
        <v/>
      </c>
      <c r="W117" s="10">
        <f>MAX(W116,R117)</f>
        <v/>
      </c>
      <c r="X117" s="4">
        <f>IF(W117&gt;0,R117/W117-1,-1)</f>
        <v/>
      </c>
      <c r="Y117" s="16">
        <f>IF(R117&gt;0,S117*資金模擬!$B$7/R117,0)</f>
        <v/>
      </c>
      <c r="Z117" s="2">
        <f>IF(OR(Z116=1,R117&lt;=資金模擬!$B$10),1,0)</f>
        <v/>
      </c>
    </row>
    <row r="118">
      <c r="A118" s="2" t="n">
        <v>116</v>
      </c>
      <c r="B118" s="7" t="n">
        <v>46299.67083333333</v>
      </c>
      <c r="C118" s="2" t="inlineStr">
        <is>
          <t>進場</t>
        </is>
      </c>
      <c r="D118" s="2" t="n">
        <v>59</v>
      </c>
      <c r="E118" s="2" t="inlineStr">
        <is>
          <t>BAT_USDT_PERP</t>
        </is>
      </c>
      <c r="F118" s="2" t="inlineStr">
        <is>
          <t>做空</t>
        </is>
      </c>
      <c r="G118" s="17" t="n">
        <v>0.1071</v>
      </c>
      <c r="H118" s="17" t="n">
        <v>0.103887</v>
      </c>
      <c r="I118" s="17" t="n">
        <v>0.112455</v>
      </c>
      <c r="J118" s="17" t="n"/>
      <c r="K118" s="2" t="n"/>
      <c r="L118" s="5" t="n"/>
      <c r="M118" s="16">
        <f>資金模擬!$B$5*V117</f>
        <v/>
      </c>
      <c r="N118" s="2">
        <f>IF(Z117=1,"已停止",IF(T117&gt;=M118,"已下單","資金不足略過"))</f>
        <v/>
      </c>
      <c r="O118" s="16">
        <f>IF(N118="已下單",M118*資金模擬!$B$7,0)</f>
        <v/>
      </c>
      <c r="P118" s="4" t="n"/>
      <c r="Q118" s="10" t="n">
        <v>0</v>
      </c>
      <c r="R118" s="10">
        <f>R117+Q118</f>
        <v/>
      </c>
      <c r="S118" s="16">
        <f>S117+IF(N118="已下單",M118,0)</f>
        <v/>
      </c>
      <c r="T118" s="16">
        <f>R118-S118</f>
        <v/>
      </c>
      <c r="U118" s="2">
        <f>U117+IF(N118="已下單",1,0)</f>
        <v/>
      </c>
      <c r="V118" s="16">
        <f>IF(資金模擬!$B$9=2,MAX(R118,0),MAX(V117,FLOOR(MAX(R118,0),資金模擬!$B$6)))</f>
        <v/>
      </c>
      <c r="W118" s="10">
        <f>MAX(W117,R118)</f>
        <v/>
      </c>
      <c r="X118" s="4">
        <f>IF(W118&gt;0,R118/W118-1,-1)</f>
        <v/>
      </c>
      <c r="Y118" s="16">
        <f>IF(R118&gt;0,S118*資金模擬!$B$7/R118,0)</f>
        <v/>
      </c>
      <c r="Z118" s="2">
        <f>IF(OR(Z117=1,R118&lt;=資金模擬!$B$10),1,0)</f>
        <v/>
      </c>
    </row>
    <row r="119">
      <c r="A119" s="2" t="n">
        <v>117</v>
      </c>
      <c r="B119" s="7" t="n">
        <v>46299.69722222222</v>
      </c>
      <c r="C119" s="2" t="inlineStr">
        <is>
          <t>出場</t>
        </is>
      </c>
      <c r="D119" s="2" t="n">
        <v>59</v>
      </c>
      <c r="E119" s="2" t="inlineStr">
        <is>
          <t>BAT_USDT_PERP</t>
        </is>
      </c>
      <c r="F119" s="2" t="inlineStr">
        <is>
          <t>做空</t>
        </is>
      </c>
      <c r="G119" s="17" t="n">
        <v>0.1071</v>
      </c>
      <c r="H119" s="17" t="n">
        <v>0.103887</v>
      </c>
      <c r="I119" s="17" t="n">
        <v>0.112455</v>
      </c>
      <c r="J119" s="17" t="n">
        <v>0.103887</v>
      </c>
      <c r="K119" s="2" t="inlineStr">
        <is>
          <t>止盈</t>
        </is>
      </c>
      <c r="L119" s="5">
        <f>交易明細!K60</f>
        <v/>
      </c>
      <c r="M119" s="16">
        <f>M118</f>
        <v/>
      </c>
      <c r="N119" s="2">
        <f>N118</f>
        <v/>
      </c>
      <c r="O119" s="16">
        <f>O118</f>
        <v/>
      </c>
      <c r="P119" s="4">
        <f>交易明細!L60</f>
        <v/>
      </c>
      <c r="Q119" s="10">
        <f>IF(N119="已下單",O119*P119,0)</f>
        <v/>
      </c>
      <c r="R119" s="10">
        <f>R118+Q119</f>
        <v/>
      </c>
      <c r="S119" s="16">
        <f>S118-IF(N119="已下單",M119,0)</f>
        <v/>
      </c>
      <c r="T119" s="16">
        <f>R119-S119</f>
        <v/>
      </c>
      <c r="U119" s="2">
        <f>U118-IF(N119="已下單",1,0)</f>
        <v/>
      </c>
      <c r="V119" s="16">
        <f>IF(資金模擬!$B$9=2,MAX(R119,0),MAX(V118,FLOOR(MAX(R119,0),資金模擬!$B$6)))</f>
        <v/>
      </c>
      <c r="W119" s="10">
        <f>MAX(W118,R119)</f>
        <v/>
      </c>
      <c r="X119" s="4">
        <f>IF(W119&gt;0,R119/W119-1,-1)</f>
        <v/>
      </c>
      <c r="Y119" s="16">
        <f>IF(R119&gt;0,S119*資金模擬!$B$7/R119,0)</f>
        <v/>
      </c>
      <c r="Z119" s="2">
        <f>IF(OR(Z118=1,R119&lt;=資金模擬!$B$10),1,0)</f>
        <v/>
      </c>
    </row>
    <row r="120">
      <c r="A120" s="2" t="n">
        <v>118</v>
      </c>
      <c r="B120" s="7" t="n">
        <v>46300.25763888889</v>
      </c>
      <c r="C120" s="2" t="inlineStr">
        <is>
          <t>進場</t>
        </is>
      </c>
      <c r="D120" s="2" t="n">
        <v>60</v>
      </c>
      <c r="E120" s="2" t="inlineStr">
        <is>
          <t>LYN_USDT_PERP</t>
        </is>
      </c>
      <c r="F120" s="2" t="inlineStr">
        <is>
          <t>做空</t>
        </is>
      </c>
      <c r="G120" s="17" t="n">
        <v>0.03564</v>
      </c>
      <c r="H120" s="17" t="n">
        <v>0.0345708</v>
      </c>
      <c r="I120" s="17" t="n">
        <v>0.037422</v>
      </c>
      <c r="J120" s="17" t="n"/>
      <c r="K120" s="2" t="n"/>
      <c r="L120" s="5" t="n"/>
      <c r="M120" s="16">
        <f>資金模擬!$B$5*V119</f>
        <v/>
      </c>
      <c r="N120" s="2">
        <f>IF(Z119=1,"已停止",IF(T119&gt;=M120,"已下單","資金不足略過"))</f>
        <v/>
      </c>
      <c r="O120" s="16">
        <f>IF(N120="已下單",M120*資金模擬!$B$7,0)</f>
        <v/>
      </c>
      <c r="P120" s="4" t="n"/>
      <c r="Q120" s="10" t="n">
        <v>0</v>
      </c>
      <c r="R120" s="10">
        <f>R119+Q120</f>
        <v/>
      </c>
      <c r="S120" s="16">
        <f>S119+IF(N120="已下單",M120,0)</f>
        <v/>
      </c>
      <c r="T120" s="16">
        <f>R120-S120</f>
        <v/>
      </c>
      <c r="U120" s="2">
        <f>U119+IF(N120="已下單",1,0)</f>
        <v/>
      </c>
      <c r="V120" s="16">
        <f>IF(資金模擬!$B$9=2,MAX(R120,0),MAX(V119,FLOOR(MAX(R120,0),資金模擬!$B$6)))</f>
        <v/>
      </c>
      <c r="W120" s="10">
        <f>MAX(W119,R120)</f>
        <v/>
      </c>
      <c r="X120" s="4">
        <f>IF(W120&gt;0,R120/W120-1,-1)</f>
        <v/>
      </c>
      <c r="Y120" s="16">
        <f>IF(R120&gt;0,S120*資金模擬!$B$7/R120,0)</f>
        <v/>
      </c>
      <c r="Z120" s="2">
        <f>IF(OR(Z119=1,R120&lt;=資金模擬!$B$10),1,0)</f>
        <v/>
      </c>
    </row>
    <row r="121">
      <c r="A121" s="2" t="n">
        <v>119</v>
      </c>
      <c r="B121" s="7" t="n">
        <v>46300.25972222222</v>
      </c>
      <c r="C121" s="2" t="inlineStr">
        <is>
          <t>出場</t>
        </is>
      </c>
      <c r="D121" s="2" t="n">
        <v>60</v>
      </c>
      <c r="E121" s="2" t="inlineStr">
        <is>
          <t>LYN_USDT_PERP</t>
        </is>
      </c>
      <c r="F121" s="2" t="inlineStr">
        <is>
          <t>做空</t>
        </is>
      </c>
      <c r="G121" s="17" t="n">
        <v>0.03564</v>
      </c>
      <c r="H121" s="17" t="n">
        <v>0.0345708</v>
      </c>
      <c r="I121" s="17" t="n">
        <v>0.037422</v>
      </c>
      <c r="J121" s="17" t="n">
        <v>0.0345708</v>
      </c>
      <c r="K121" s="2" t="inlineStr">
        <is>
          <t>止盈</t>
        </is>
      </c>
      <c r="L121" s="5">
        <f>交易明細!K61</f>
        <v/>
      </c>
      <c r="M121" s="16">
        <f>M120</f>
        <v/>
      </c>
      <c r="N121" s="2">
        <f>N120</f>
        <v/>
      </c>
      <c r="O121" s="16">
        <f>O120</f>
        <v/>
      </c>
      <c r="P121" s="4">
        <f>交易明細!L61</f>
        <v/>
      </c>
      <c r="Q121" s="10">
        <f>IF(N121="已下單",O121*P121,0)</f>
        <v/>
      </c>
      <c r="R121" s="10">
        <f>R120+Q121</f>
        <v/>
      </c>
      <c r="S121" s="16">
        <f>S120-IF(N121="已下單",M121,0)</f>
        <v/>
      </c>
      <c r="T121" s="16">
        <f>R121-S121</f>
        <v/>
      </c>
      <c r="U121" s="2">
        <f>U120-IF(N121="已下單",1,0)</f>
        <v/>
      </c>
      <c r="V121" s="16">
        <f>IF(資金模擬!$B$9=2,MAX(R121,0),MAX(V120,FLOOR(MAX(R121,0),資金模擬!$B$6)))</f>
        <v/>
      </c>
      <c r="W121" s="10">
        <f>MAX(W120,R121)</f>
        <v/>
      </c>
      <c r="X121" s="4">
        <f>IF(W121&gt;0,R121/W121-1,-1)</f>
        <v/>
      </c>
      <c r="Y121" s="16">
        <f>IF(R121&gt;0,S121*資金模擬!$B$7/R121,0)</f>
        <v/>
      </c>
      <c r="Z121" s="2">
        <f>IF(OR(Z120=1,R121&lt;=資金模擬!$B$10),1,0)</f>
        <v/>
      </c>
    </row>
    <row r="122">
      <c r="A122" s="2" t="n">
        <v>120</v>
      </c>
      <c r="B122" s="7" t="n">
        <v>46300.33541666667</v>
      </c>
      <c r="C122" s="2" t="inlineStr">
        <is>
          <t>出場</t>
        </is>
      </c>
      <c r="D122" s="2" t="n">
        <v>58</v>
      </c>
      <c r="E122" s="2" t="inlineStr">
        <is>
          <t>PROS_USDT_PERP</t>
        </is>
      </c>
      <c r="F122" s="2" t="inlineStr">
        <is>
          <t>做空</t>
        </is>
      </c>
      <c r="G122" s="17" t="n">
        <v>0.792</v>
      </c>
      <c r="H122" s="17" t="n">
        <v>0.76824</v>
      </c>
      <c r="I122" s="17" t="n">
        <v>0.8316000000000001</v>
      </c>
      <c r="J122" s="17" t="n">
        <v>0.8316000000000001</v>
      </c>
      <c r="K122" s="2" t="inlineStr">
        <is>
          <t>止損</t>
        </is>
      </c>
      <c r="L122" s="5">
        <f>交易明細!K59</f>
        <v/>
      </c>
      <c r="M122" s="16">
        <f>M117</f>
        <v/>
      </c>
      <c r="N122" s="2">
        <f>N117</f>
        <v/>
      </c>
      <c r="O122" s="16">
        <f>O117</f>
        <v/>
      </c>
      <c r="P122" s="4">
        <f>交易明細!L59</f>
        <v/>
      </c>
      <c r="Q122" s="10">
        <f>IF(N122="已下單",O122*P122,0)</f>
        <v/>
      </c>
      <c r="R122" s="10">
        <f>R121+Q122</f>
        <v/>
      </c>
      <c r="S122" s="16">
        <f>S121-IF(N122="已下單",M122,0)</f>
        <v/>
      </c>
      <c r="T122" s="16">
        <f>R122-S122</f>
        <v/>
      </c>
      <c r="U122" s="2">
        <f>U121-IF(N122="已下單",1,0)</f>
        <v/>
      </c>
      <c r="V122" s="16">
        <f>IF(資金模擬!$B$9=2,MAX(R122,0),MAX(V121,FLOOR(MAX(R122,0),資金模擬!$B$6)))</f>
        <v/>
      </c>
      <c r="W122" s="10">
        <f>MAX(W121,R122)</f>
        <v/>
      </c>
      <c r="X122" s="4">
        <f>IF(W122&gt;0,R122/W122-1,-1)</f>
        <v/>
      </c>
      <c r="Y122" s="16">
        <f>IF(R122&gt;0,S122*資金模擬!$B$7/R122,0)</f>
        <v/>
      </c>
      <c r="Z122" s="2">
        <f>IF(OR(Z121=1,R122&lt;=資金模擬!$B$10),1,0)</f>
        <v/>
      </c>
    </row>
    <row r="123">
      <c r="A123" s="2" t="n">
        <v>121</v>
      </c>
      <c r="B123" s="7" t="n">
        <v>46300.66666666666</v>
      </c>
      <c r="C123" s="2" t="inlineStr">
        <is>
          <t>進場</t>
        </is>
      </c>
      <c r="D123" s="2" t="n">
        <v>61</v>
      </c>
      <c r="E123" s="2" t="inlineStr">
        <is>
          <t>PONS_USDT_PERP</t>
        </is>
      </c>
      <c r="F123" s="2" t="inlineStr">
        <is>
          <t>做空</t>
        </is>
      </c>
      <c r="G123" s="17" t="n">
        <v>0.408</v>
      </c>
      <c r="H123" s="17" t="n">
        <v>0.3957599999999999</v>
      </c>
      <c r="I123" s="17" t="n">
        <v>0.4284</v>
      </c>
      <c r="J123" s="17" t="n"/>
      <c r="K123" s="2" t="n"/>
      <c r="L123" s="5" t="n"/>
      <c r="M123" s="16">
        <f>資金模擬!$B$5*V122</f>
        <v/>
      </c>
      <c r="N123" s="2">
        <f>IF(Z122=1,"已停止",IF(T122&gt;=M123,"已下單","資金不足略過"))</f>
        <v/>
      </c>
      <c r="O123" s="16">
        <f>IF(N123="已下單",M123*資金模擬!$B$7,0)</f>
        <v/>
      </c>
      <c r="P123" s="4" t="n"/>
      <c r="Q123" s="10" t="n">
        <v>0</v>
      </c>
      <c r="R123" s="10">
        <f>R122+Q123</f>
        <v/>
      </c>
      <c r="S123" s="16">
        <f>S122+IF(N123="已下單",M123,0)</f>
        <v/>
      </c>
      <c r="T123" s="16">
        <f>R123-S123</f>
        <v/>
      </c>
      <c r="U123" s="2">
        <f>U122+IF(N123="已下單",1,0)</f>
        <v/>
      </c>
      <c r="V123" s="16">
        <f>IF(資金模擬!$B$9=2,MAX(R123,0),MAX(V122,FLOOR(MAX(R123,0),資金模擬!$B$6)))</f>
        <v/>
      </c>
      <c r="W123" s="10">
        <f>MAX(W122,R123)</f>
        <v/>
      </c>
      <c r="X123" s="4">
        <f>IF(W123&gt;0,R123/W123-1,-1)</f>
        <v/>
      </c>
      <c r="Y123" s="16">
        <f>IF(R123&gt;0,S123*資金模擬!$B$7/R123,0)</f>
        <v/>
      </c>
      <c r="Z123" s="2">
        <f>IF(OR(Z122=1,R123&lt;=資金模擬!$B$10),1,0)</f>
        <v/>
      </c>
    </row>
    <row r="124">
      <c r="A124" s="2" t="n">
        <v>122</v>
      </c>
      <c r="B124" s="7" t="n">
        <v>46300.75694444445</v>
      </c>
      <c r="C124" s="2" t="inlineStr">
        <is>
          <t>進場</t>
        </is>
      </c>
      <c r="D124" s="2" t="n">
        <v>62</v>
      </c>
      <c r="E124" s="2" t="inlineStr">
        <is>
          <t>COLLECT_USDT_PERP</t>
        </is>
      </c>
      <c r="F124" s="2" t="inlineStr">
        <is>
          <t>做空</t>
        </is>
      </c>
      <c r="G124" s="17" t="n">
        <v>0.02532</v>
      </c>
      <c r="H124" s="17" t="n">
        <v>0.0245604</v>
      </c>
      <c r="I124" s="17" t="n">
        <v>0.026586</v>
      </c>
      <c r="J124" s="17" t="n"/>
      <c r="K124" s="2" t="n"/>
      <c r="L124" s="5" t="n"/>
      <c r="M124" s="16">
        <f>資金模擬!$B$5*V123</f>
        <v/>
      </c>
      <c r="N124" s="2">
        <f>IF(Z123=1,"已停止",IF(T123&gt;=M124,"已下單","資金不足略過"))</f>
        <v/>
      </c>
      <c r="O124" s="16">
        <f>IF(N124="已下單",M124*資金模擬!$B$7,0)</f>
        <v/>
      </c>
      <c r="P124" s="4" t="n"/>
      <c r="Q124" s="10" t="n">
        <v>0</v>
      </c>
      <c r="R124" s="10">
        <f>R123+Q124</f>
        <v/>
      </c>
      <c r="S124" s="16">
        <f>S123+IF(N124="已下單",M124,0)</f>
        <v/>
      </c>
      <c r="T124" s="16">
        <f>R124-S124</f>
        <v/>
      </c>
      <c r="U124" s="2">
        <f>U123+IF(N124="已下單",1,0)</f>
        <v/>
      </c>
      <c r="V124" s="16">
        <f>IF(資金模擬!$B$9=2,MAX(R124,0),MAX(V123,FLOOR(MAX(R124,0),資金模擬!$B$6)))</f>
        <v/>
      </c>
      <c r="W124" s="10">
        <f>MAX(W123,R124)</f>
        <v/>
      </c>
      <c r="X124" s="4">
        <f>IF(W124&gt;0,R124/W124-1,-1)</f>
        <v/>
      </c>
      <c r="Y124" s="16">
        <f>IF(R124&gt;0,S124*資金模擬!$B$7/R124,0)</f>
        <v/>
      </c>
      <c r="Z124" s="2">
        <f>IF(OR(Z123=1,R124&lt;=資金模擬!$B$10),1,0)</f>
        <v/>
      </c>
    </row>
    <row r="125">
      <c r="A125" s="2" t="n">
        <v>123</v>
      </c>
      <c r="B125" s="7" t="n">
        <v>46300.77708333333</v>
      </c>
      <c r="C125" s="2" t="inlineStr">
        <is>
          <t>出場</t>
        </is>
      </c>
      <c r="D125" s="2" t="n">
        <v>61</v>
      </c>
      <c r="E125" s="2" t="inlineStr">
        <is>
          <t>PONS_USDT_PERP</t>
        </is>
      </c>
      <c r="F125" s="2" t="inlineStr">
        <is>
          <t>做空</t>
        </is>
      </c>
      <c r="G125" s="17" t="n">
        <v>0.408</v>
      </c>
      <c r="H125" s="17" t="n">
        <v>0.3957599999999999</v>
      </c>
      <c r="I125" s="17" t="n">
        <v>0.4284</v>
      </c>
      <c r="J125" s="17" t="n">
        <v>0.3957599999999999</v>
      </c>
      <c r="K125" s="2" t="inlineStr">
        <is>
          <t>止盈</t>
        </is>
      </c>
      <c r="L125" s="5">
        <f>交易明細!K62</f>
        <v/>
      </c>
      <c r="M125" s="16">
        <f>M123</f>
        <v/>
      </c>
      <c r="N125" s="2">
        <f>N123</f>
        <v/>
      </c>
      <c r="O125" s="16">
        <f>O123</f>
        <v/>
      </c>
      <c r="P125" s="4">
        <f>交易明細!L62</f>
        <v/>
      </c>
      <c r="Q125" s="10">
        <f>IF(N125="已下單",O125*P125,0)</f>
        <v/>
      </c>
      <c r="R125" s="10">
        <f>R124+Q125</f>
        <v/>
      </c>
      <c r="S125" s="16">
        <f>S124-IF(N125="已下單",M125,0)</f>
        <v/>
      </c>
      <c r="T125" s="16">
        <f>R125-S125</f>
        <v/>
      </c>
      <c r="U125" s="2">
        <f>U124-IF(N125="已下單",1,0)</f>
        <v/>
      </c>
      <c r="V125" s="16">
        <f>IF(資金模擬!$B$9=2,MAX(R125,0),MAX(V124,FLOOR(MAX(R125,0),資金模擬!$B$6)))</f>
        <v/>
      </c>
      <c r="W125" s="10">
        <f>MAX(W124,R125)</f>
        <v/>
      </c>
      <c r="X125" s="4">
        <f>IF(W125&gt;0,R125/W125-1,-1)</f>
        <v/>
      </c>
      <c r="Y125" s="16">
        <f>IF(R125&gt;0,S125*資金模擬!$B$7/R125,0)</f>
        <v/>
      </c>
      <c r="Z125" s="2">
        <f>IF(OR(Z124=1,R125&lt;=資金模擬!$B$10),1,0)</f>
        <v/>
      </c>
    </row>
    <row r="126">
      <c r="A126" s="2" t="n">
        <v>124</v>
      </c>
      <c r="B126" s="7" t="n">
        <v>46300.84027777778</v>
      </c>
      <c r="C126" s="2" t="inlineStr">
        <is>
          <t>出場</t>
        </is>
      </c>
      <c r="D126" s="2" t="n">
        <v>62</v>
      </c>
      <c r="E126" s="2" t="inlineStr">
        <is>
          <t>COLLECT_USDT_PERP</t>
        </is>
      </c>
      <c r="F126" s="2" t="inlineStr">
        <is>
          <t>做空</t>
        </is>
      </c>
      <c r="G126" s="17" t="n">
        <v>0.02532</v>
      </c>
      <c r="H126" s="17" t="n">
        <v>0.0245604</v>
      </c>
      <c r="I126" s="17" t="n">
        <v>0.026586</v>
      </c>
      <c r="J126" s="17" t="n">
        <v>0.0245604</v>
      </c>
      <c r="K126" s="2" t="inlineStr">
        <is>
          <t>止盈</t>
        </is>
      </c>
      <c r="L126" s="5">
        <f>交易明細!K63</f>
        <v/>
      </c>
      <c r="M126" s="16">
        <f>M124</f>
        <v/>
      </c>
      <c r="N126" s="2">
        <f>N124</f>
        <v/>
      </c>
      <c r="O126" s="16">
        <f>O124</f>
        <v/>
      </c>
      <c r="P126" s="4">
        <f>交易明細!L63</f>
        <v/>
      </c>
      <c r="Q126" s="10">
        <f>IF(N126="已下單",O126*P126,0)</f>
        <v/>
      </c>
      <c r="R126" s="10">
        <f>R125+Q126</f>
        <v/>
      </c>
      <c r="S126" s="16">
        <f>S125-IF(N126="已下單",M126,0)</f>
        <v/>
      </c>
      <c r="T126" s="16">
        <f>R126-S126</f>
        <v/>
      </c>
      <c r="U126" s="2">
        <f>U125-IF(N126="已下單",1,0)</f>
        <v/>
      </c>
      <c r="V126" s="16">
        <f>IF(資金模擬!$B$9=2,MAX(R126,0),MAX(V125,FLOOR(MAX(R126,0),資金模擬!$B$6)))</f>
        <v/>
      </c>
      <c r="W126" s="10">
        <f>MAX(W125,R126)</f>
        <v/>
      </c>
      <c r="X126" s="4">
        <f>IF(W126&gt;0,R126/W126-1,-1)</f>
        <v/>
      </c>
      <c r="Y126" s="16">
        <f>IF(R126&gt;0,S126*資金模擬!$B$7/R126,0)</f>
        <v/>
      </c>
      <c r="Z126" s="2">
        <f>IF(OR(Z125=1,R126&lt;=資金模擬!$B$10),1,0)</f>
        <v/>
      </c>
    </row>
    <row r="127">
      <c r="A127" s="2" t="n">
        <v>125</v>
      </c>
      <c r="B127" s="7" t="n">
        <v>46301.01666666667</v>
      </c>
      <c r="C127" s="2" t="inlineStr">
        <is>
          <t>進場</t>
        </is>
      </c>
      <c r="D127" s="2" t="n">
        <v>63</v>
      </c>
      <c r="E127" s="2" t="inlineStr">
        <is>
          <t>UP_USDT_PERP</t>
        </is>
      </c>
      <c r="F127" s="2" t="inlineStr">
        <is>
          <t>做空</t>
        </is>
      </c>
      <c r="G127" s="17" t="n">
        <v>0.2111</v>
      </c>
      <c r="H127" s="17" t="n">
        <v>0.204767</v>
      </c>
      <c r="I127" s="17" t="n">
        <v>0.221655</v>
      </c>
      <c r="J127" s="17" t="n"/>
      <c r="K127" s="2" t="n"/>
      <c r="L127" s="5" t="n"/>
      <c r="M127" s="16">
        <f>資金模擬!$B$5*V126</f>
        <v/>
      </c>
      <c r="N127" s="2">
        <f>IF(Z126=1,"已停止",IF(T126&gt;=M127,"已下單","資金不足略過"))</f>
        <v/>
      </c>
      <c r="O127" s="16">
        <f>IF(N127="已下單",M127*資金模擬!$B$7,0)</f>
        <v/>
      </c>
      <c r="P127" s="4" t="n"/>
      <c r="Q127" s="10" t="n">
        <v>0</v>
      </c>
      <c r="R127" s="10">
        <f>R126+Q127</f>
        <v/>
      </c>
      <c r="S127" s="16">
        <f>S126+IF(N127="已下單",M127,0)</f>
        <v/>
      </c>
      <c r="T127" s="16">
        <f>R127-S127</f>
        <v/>
      </c>
      <c r="U127" s="2">
        <f>U126+IF(N127="已下單",1,0)</f>
        <v/>
      </c>
      <c r="V127" s="16">
        <f>IF(資金模擬!$B$9=2,MAX(R127,0),MAX(V126,FLOOR(MAX(R127,0),資金模擬!$B$6)))</f>
        <v/>
      </c>
      <c r="W127" s="10">
        <f>MAX(W126,R127)</f>
        <v/>
      </c>
      <c r="X127" s="4">
        <f>IF(W127&gt;0,R127/W127-1,-1)</f>
        <v/>
      </c>
      <c r="Y127" s="16">
        <f>IF(R127&gt;0,S127*資金模擬!$B$7/R127,0)</f>
        <v/>
      </c>
      <c r="Z127" s="2">
        <f>IF(OR(Z126=1,R127&lt;=資金模擬!$B$10),1,0)</f>
        <v/>
      </c>
    </row>
    <row r="128">
      <c r="A128" s="2" t="n">
        <v>126</v>
      </c>
      <c r="B128" s="7" t="n">
        <v>46301.08055555556</v>
      </c>
      <c r="C128" s="2" t="inlineStr">
        <is>
          <t>出場</t>
        </is>
      </c>
      <c r="D128" s="2" t="n">
        <v>63</v>
      </c>
      <c r="E128" s="2" t="inlineStr">
        <is>
          <t>UP_USDT_PERP</t>
        </is>
      </c>
      <c r="F128" s="2" t="inlineStr">
        <is>
          <t>做空</t>
        </is>
      </c>
      <c r="G128" s="17" t="n">
        <v>0.2111</v>
      </c>
      <c r="H128" s="17" t="n">
        <v>0.204767</v>
      </c>
      <c r="I128" s="17" t="n">
        <v>0.221655</v>
      </c>
      <c r="J128" s="17" t="n">
        <v>0.221655</v>
      </c>
      <c r="K128" s="2" t="inlineStr">
        <is>
          <t>止損</t>
        </is>
      </c>
      <c r="L128" s="5">
        <f>交易明細!K64</f>
        <v/>
      </c>
      <c r="M128" s="16">
        <f>M127</f>
        <v/>
      </c>
      <c r="N128" s="2">
        <f>N127</f>
        <v/>
      </c>
      <c r="O128" s="16">
        <f>O127</f>
        <v/>
      </c>
      <c r="P128" s="4">
        <f>交易明細!L64</f>
        <v/>
      </c>
      <c r="Q128" s="10">
        <f>IF(N128="已下單",O128*P128,0)</f>
        <v/>
      </c>
      <c r="R128" s="10">
        <f>R127+Q128</f>
        <v/>
      </c>
      <c r="S128" s="16">
        <f>S127-IF(N128="已下單",M128,0)</f>
        <v/>
      </c>
      <c r="T128" s="16">
        <f>R128-S128</f>
        <v/>
      </c>
      <c r="U128" s="2">
        <f>U127-IF(N128="已下單",1,0)</f>
        <v/>
      </c>
      <c r="V128" s="16">
        <f>IF(資金模擬!$B$9=2,MAX(R128,0),MAX(V127,FLOOR(MAX(R128,0),資金模擬!$B$6)))</f>
        <v/>
      </c>
      <c r="W128" s="10">
        <f>MAX(W127,R128)</f>
        <v/>
      </c>
      <c r="X128" s="4">
        <f>IF(W128&gt;0,R128/W128-1,-1)</f>
        <v/>
      </c>
      <c r="Y128" s="16">
        <f>IF(R128&gt;0,S128*資金模擬!$B$7/R128,0)</f>
        <v/>
      </c>
      <c r="Z128" s="2">
        <f>IF(OR(Z127=1,R128&lt;=資金模擬!$B$10),1,0)</f>
        <v/>
      </c>
    </row>
    <row r="129">
      <c r="A129" s="2" t="n">
        <v>127</v>
      </c>
      <c r="B129" s="7" t="n">
        <v>46301.08888888889</v>
      </c>
      <c r="C129" s="2" t="inlineStr">
        <is>
          <t>進場</t>
        </is>
      </c>
      <c r="D129" s="2" t="n">
        <v>64</v>
      </c>
      <c r="E129" s="2" t="inlineStr">
        <is>
          <t>UP_USDT_PERP</t>
        </is>
      </c>
      <c r="F129" s="2" t="inlineStr">
        <is>
          <t>做空</t>
        </is>
      </c>
      <c r="G129" s="17" t="n">
        <v>0.2254</v>
      </c>
      <c r="H129" s="17" t="n">
        <v>0.218638</v>
      </c>
      <c r="I129" s="17" t="n">
        <v>0.23667</v>
      </c>
      <c r="J129" s="17" t="n"/>
      <c r="K129" s="2" t="n"/>
      <c r="L129" s="5" t="n"/>
      <c r="M129" s="16">
        <f>資金模擬!$B$5*V128</f>
        <v/>
      </c>
      <c r="N129" s="2">
        <f>IF(Z128=1,"已停止",IF(T128&gt;=M129,"已下單","資金不足略過"))</f>
        <v/>
      </c>
      <c r="O129" s="16">
        <f>IF(N129="已下單",M129*資金模擬!$B$7,0)</f>
        <v/>
      </c>
      <c r="P129" s="4" t="n"/>
      <c r="Q129" s="10" t="n">
        <v>0</v>
      </c>
      <c r="R129" s="10">
        <f>R128+Q129</f>
        <v/>
      </c>
      <c r="S129" s="16">
        <f>S128+IF(N129="已下單",M129,0)</f>
        <v/>
      </c>
      <c r="T129" s="16">
        <f>R129-S129</f>
        <v/>
      </c>
      <c r="U129" s="2">
        <f>U128+IF(N129="已下單",1,0)</f>
        <v/>
      </c>
      <c r="V129" s="16">
        <f>IF(資金模擬!$B$9=2,MAX(R129,0),MAX(V128,FLOOR(MAX(R129,0),資金模擬!$B$6)))</f>
        <v/>
      </c>
      <c r="W129" s="10">
        <f>MAX(W128,R129)</f>
        <v/>
      </c>
      <c r="X129" s="4">
        <f>IF(W129&gt;0,R129/W129-1,-1)</f>
        <v/>
      </c>
      <c r="Y129" s="16">
        <f>IF(R129&gt;0,S129*資金模擬!$B$7/R129,0)</f>
        <v/>
      </c>
      <c r="Z129" s="2">
        <f>IF(OR(Z128=1,R129&lt;=資金模擬!$B$10),1,0)</f>
        <v/>
      </c>
    </row>
    <row r="130">
      <c r="A130" s="2" t="n">
        <v>128</v>
      </c>
      <c r="B130" s="7" t="n">
        <v>46301.37708333333</v>
      </c>
      <c r="C130" s="2" t="inlineStr">
        <is>
          <t>進場</t>
        </is>
      </c>
      <c r="D130" s="2" t="n">
        <v>65</v>
      </c>
      <c r="E130" s="2" t="inlineStr">
        <is>
          <t>BR_USDT_PERP</t>
        </is>
      </c>
      <c r="F130" s="2" t="inlineStr">
        <is>
          <t>做空</t>
        </is>
      </c>
      <c r="G130" s="17" t="n">
        <v>0.49116</v>
      </c>
      <c r="H130" s="17" t="n">
        <v>0.4764252</v>
      </c>
      <c r="I130" s="17" t="n">
        <v>0.515718</v>
      </c>
      <c r="J130" s="17" t="n"/>
      <c r="K130" s="2" t="n"/>
      <c r="L130" s="5" t="n"/>
      <c r="M130" s="16">
        <f>資金模擬!$B$5*V129</f>
        <v/>
      </c>
      <c r="N130" s="2">
        <f>IF(Z129=1,"已停止",IF(T129&gt;=M130,"已下單","資金不足略過"))</f>
        <v/>
      </c>
      <c r="O130" s="16">
        <f>IF(N130="已下單",M130*資金模擬!$B$7,0)</f>
        <v/>
      </c>
      <c r="P130" s="4" t="n"/>
      <c r="Q130" s="10" t="n">
        <v>0</v>
      </c>
      <c r="R130" s="10">
        <f>R129+Q130</f>
        <v/>
      </c>
      <c r="S130" s="16">
        <f>S129+IF(N130="已下單",M130,0)</f>
        <v/>
      </c>
      <c r="T130" s="16">
        <f>R130-S130</f>
        <v/>
      </c>
      <c r="U130" s="2">
        <f>U129+IF(N130="已下單",1,0)</f>
        <v/>
      </c>
      <c r="V130" s="16">
        <f>IF(資金模擬!$B$9=2,MAX(R130,0),MAX(V129,FLOOR(MAX(R130,0),資金模擬!$B$6)))</f>
        <v/>
      </c>
      <c r="W130" s="10">
        <f>MAX(W129,R130)</f>
        <v/>
      </c>
      <c r="X130" s="4">
        <f>IF(W130&gt;0,R130/W130-1,-1)</f>
        <v/>
      </c>
      <c r="Y130" s="16">
        <f>IF(R130&gt;0,S130*資金模擬!$B$7/R130,0)</f>
        <v/>
      </c>
      <c r="Z130" s="2">
        <f>IF(OR(Z129=1,R130&lt;=資金模擬!$B$10),1,0)</f>
        <v/>
      </c>
    </row>
    <row r="131">
      <c r="A131" s="2" t="n">
        <v>129</v>
      </c>
      <c r="B131" s="7" t="n">
        <v>46301.38333333333</v>
      </c>
      <c r="C131" s="2" t="inlineStr">
        <is>
          <t>出場</t>
        </is>
      </c>
      <c r="D131" s="2" t="n">
        <v>65</v>
      </c>
      <c r="E131" s="2" t="inlineStr">
        <is>
          <t>BR_USDT_PERP</t>
        </is>
      </c>
      <c r="F131" s="2" t="inlineStr">
        <is>
          <t>做空</t>
        </is>
      </c>
      <c r="G131" s="17" t="n">
        <v>0.49116</v>
      </c>
      <c r="H131" s="17" t="n">
        <v>0.4764252</v>
      </c>
      <c r="I131" s="17" t="n">
        <v>0.515718</v>
      </c>
      <c r="J131" s="17" t="n">
        <v>0.4764252</v>
      </c>
      <c r="K131" s="2" t="inlineStr">
        <is>
          <t>止盈</t>
        </is>
      </c>
      <c r="L131" s="5">
        <f>交易明細!K66</f>
        <v/>
      </c>
      <c r="M131" s="16">
        <f>M130</f>
        <v/>
      </c>
      <c r="N131" s="2">
        <f>N130</f>
        <v/>
      </c>
      <c r="O131" s="16">
        <f>O130</f>
        <v/>
      </c>
      <c r="P131" s="4">
        <f>交易明細!L66</f>
        <v/>
      </c>
      <c r="Q131" s="10">
        <f>IF(N131="已下單",O131*P131,0)</f>
        <v/>
      </c>
      <c r="R131" s="10">
        <f>R130+Q131</f>
        <v/>
      </c>
      <c r="S131" s="16">
        <f>S130-IF(N131="已下單",M131,0)</f>
        <v/>
      </c>
      <c r="T131" s="16">
        <f>R131-S131</f>
        <v/>
      </c>
      <c r="U131" s="2">
        <f>U130-IF(N131="已下單",1,0)</f>
        <v/>
      </c>
      <c r="V131" s="16">
        <f>IF(資金模擬!$B$9=2,MAX(R131,0),MAX(V130,FLOOR(MAX(R131,0),資金模擬!$B$6)))</f>
        <v/>
      </c>
      <c r="W131" s="10">
        <f>MAX(W130,R131)</f>
        <v/>
      </c>
      <c r="X131" s="4">
        <f>IF(W131&gt;0,R131/W131-1,-1)</f>
        <v/>
      </c>
      <c r="Y131" s="16">
        <f>IF(R131&gt;0,S131*資金模擬!$B$7/R131,0)</f>
        <v/>
      </c>
      <c r="Z131" s="2">
        <f>IF(OR(Z130=1,R131&lt;=資金模擬!$B$10),1,0)</f>
        <v/>
      </c>
    </row>
    <row r="132">
      <c r="A132" s="2" t="n">
        <v>130</v>
      </c>
      <c r="B132" s="7" t="n">
        <v>46301.56180555555</v>
      </c>
      <c r="C132" s="2" t="inlineStr">
        <is>
          <t>出場</t>
        </is>
      </c>
      <c r="D132" s="2" t="n">
        <v>64</v>
      </c>
      <c r="E132" s="2" t="inlineStr">
        <is>
          <t>UP_USDT_PERP</t>
        </is>
      </c>
      <c r="F132" s="2" t="inlineStr">
        <is>
          <t>做空</t>
        </is>
      </c>
      <c r="G132" s="17" t="n">
        <v>0.2254</v>
      </c>
      <c r="H132" s="17" t="n">
        <v>0.218638</v>
      </c>
      <c r="I132" s="17" t="n">
        <v>0.23667</v>
      </c>
      <c r="J132" s="17" t="n">
        <v>0.218638</v>
      </c>
      <c r="K132" s="2" t="inlineStr">
        <is>
          <t>止盈</t>
        </is>
      </c>
      <c r="L132" s="5">
        <f>交易明細!K65</f>
        <v/>
      </c>
      <c r="M132" s="16">
        <f>M129</f>
        <v/>
      </c>
      <c r="N132" s="2">
        <f>N129</f>
        <v/>
      </c>
      <c r="O132" s="16">
        <f>O129</f>
        <v/>
      </c>
      <c r="P132" s="4">
        <f>交易明細!L65</f>
        <v/>
      </c>
      <c r="Q132" s="10">
        <f>IF(N132="已下單",O132*P132,0)</f>
        <v/>
      </c>
      <c r="R132" s="10">
        <f>R131+Q132</f>
        <v/>
      </c>
      <c r="S132" s="16">
        <f>S131-IF(N132="已下單",M132,0)</f>
        <v/>
      </c>
      <c r="T132" s="16">
        <f>R132-S132</f>
        <v/>
      </c>
      <c r="U132" s="2">
        <f>U131-IF(N132="已下單",1,0)</f>
        <v/>
      </c>
      <c r="V132" s="16">
        <f>IF(資金模擬!$B$9=2,MAX(R132,0),MAX(V131,FLOOR(MAX(R132,0),資金模擬!$B$6)))</f>
        <v/>
      </c>
      <c r="W132" s="10">
        <f>MAX(W131,R132)</f>
        <v/>
      </c>
      <c r="X132" s="4">
        <f>IF(W132&gt;0,R132/W132-1,-1)</f>
        <v/>
      </c>
      <c r="Y132" s="16">
        <f>IF(R132&gt;0,S132*資金模擬!$B$7/R132,0)</f>
        <v/>
      </c>
      <c r="Z132" s="2">
        <f>IF(OR(Z131=1,R132&lt;=資金模擬!$B$10),1,0)</f>
        <v/>
      </c>
    </row>
    <row r="133">
      <c r="A133" s="2" t="n">
        <v>131</v>
      </c>
      <c r="B133" s="7" t="n">
        <v>46301.58819444444</v>
      </c>
      <c r="C133" s="2" t="inlineStr">
        <is>
          <t>進場</t>
        </is>
      </c>
      <c r="D133" s="2" t="n">
        <v>66</v>
      </c>
      <c r="E133" s="2" t="inlineStr">
        <is>
          <t>API3_USDT_PERP</t>
        </is>
      </c>
      <c r="F133" s="2" t="inlineStr">
        <is>
          <t>做空</t>
        </is>
      </c>
      <c r="G133" s="17" t="n">
        <v>0.3394</v>
      </c>
      <c r="H133" s="17" t="n">
        <v>0.329218</v>
      </c>
      <c r="I133" s="17" t="n">
        <v>0.35637</v>
      </c>
      <c r="J133" s="17" t="n"/>
      <c r="K133" s="2" t="n"/>
      <c r="L133" s="5" t="n"/>
      <c r="M133" s="16">
        <f>資金模擬!$B$5*V132</f>
        <v/>
      </c>
      <c r="N133" s="2">
        <f>IF(Z132=1,"已停止",IF(T132&gt;=M133,"已下單","資金不足略過"))</f>
        <v/>
      </c>
      <c r="O133" s="16">
        <f>IF(N133="已下單",M133*資金模擬!$B$7,0)</f>
        <v/>
      </c>
      <c r="P133" s="4" t="n"/>
      <c r="Q133" s="10" t="n">
        <v>0</v>
      </c>
      <c r="R133" s="10">
        <f>R132+Q133</f>
        <v/>
      </c>
      <c r="S133" s="16">
        <f>S132+IF(N133="已下單",M133,0)</f>
        <v/>
      </c>
      <c r="T133" s="16">
        <f>R133-S133</f>
        <v/>
      </c>
      <c r="U133" s="2">
        <f>U132+IF(N133="已下單",1,0)</f>
        <v/>
      </c>
      <c r="V133" s="16">
        <f>IF(資金模擬!$B$9=2,MAX(R133,0),MAX(V132,FLOOR(MAX(R133,0),資金模擬!$B$6)))</f>
        <v/>
      </c>
      <c r="W133" s="10">
        <f>MAX(W132,R133)</f>
        <v/>
      </c>
      <c r="X133" s="4">
        <f>IF(W133&gt;0,R133/W133-1,-1)</f>
        <v/>
      </c>
      <c r="Y133" s="16">
        <f>IF(R133&gt;0,S133*資金模擬!$B$7/R133,0)</f>
        <v/>
      </c>
      <c r="Z133" s="2">
        <f>IF(OR(Z132=1,R133&lt;=資金模擬!$B$10),1,0)</f>
        <v/>
      </c>
    </row>
    <row r="134">
      <c r="A134" s="2" t="n">
        <v>132</v>
      </c>
      <c r="B134" s="7" t="n">
        <v>46301.6375</v>
      </c>
      <c r="C134" s="2" t="inlineStr">
        <is>
          <t>出場</t>
        </is>
      </c>
      <c r="D134" s="2" t="n">
        <v>66</v>
      </c>
      <c r="E134" s="2" t="inlineStr">
        <is>
          <t>API3_USDT_PERP</t>
        </is>
      </c>
      <c r="F134" s="2" t="inlineStr">
        <is>
          <t>做空</t>
        </is>
      </c>
      <c r="G134" s="17" t="n">
        <v>0.3394</v>
      </c>
      <c r="H134" s="17" t="n">
        <v>0.329218</v>
      </c>
      <c r="I134" s="17" t="n">
        <v>0.35637</v>
      </c>
      <c r="J134" s="17" t="n">
        <v>0.35637</v>
      </c>
      <c r="K134" s="2" t="inlineStr">
        <is>
          <t>止損</t>
        </is>
      </c>
      <c r="L134" s="5">
        <f>交易明細!K67</f>
        <v/>
      </c>
      <c r="M134" s="16">
        <f>M133</f>
        <v/>
      </c>
      <c r="N134" s="2">
        <f>N133</f>
        <v/>
      </c>
      <c r="O134" s="16">
        <f>O133</f>
        <v/>
      </c>
      <c r="P134" s="4">
        <f>交易明細!L67</f>
        <v/>
      </c>
      <c r="Q134" s="10">
        <f>IF(N134="已下單",O134*P134,0)</f>
        <v/>
      </c>
      <c r="R134" s="10">
        <f>R133+Q134</f>
        <v/>
      </c>
      <c r="S134" s="16">
        <f>S133-IF(N134="已下單",M134,0)</f>
        <v/>
      </c>
      <c r="T134" s="16">
        <f>R134-S134</f>
        <v/>
      </c>
      <c r="U134" s="2">
        <f>U133-IF(N134="已下單",1,0)</f>
        <v/>
      </c>
      <c r="V134" s="16">
        <f>IF(資金模擬!$B$9=2,MAX(R134,0),MAX(V133,FLOOR(MAX(R134,0),資金模擬!$B$6)))</f>
        <v/>
      </c>
      <c r="W134" s="10">
        <f>MAX(W133,R134)</f>
        <v/>
      </c>
      <c r="X134" s="4">
        <f>IF(W134&gt;0,R134/W134-1,-1)</f>
        <v/>
      </c>
      <c r="Y134" s="16">
        <f>IF(R134&gt;0,S134*資金模擬!$B$7/R134,0)</f>
        <v/>
      </c>
      <c r="Z134" s="2">
        <f>IF(OR(Z133=1,R134&lt;=資金模擬!$B$10),1,0)</f>
        <v/>
      </c>
    </row>
    <row r="135">
      <c r="A135" s="2" t="n">
        <v>133</v>
      </c>
      <c r="B135" s="7" t="n">
        <v>46301.64513888889</v>
      </c>
      <c r="C135" s="2" t="inlineStr">
        <is>
          <t>進場</t>
        </is>
      </c>
      <c r="D135" s="2" t="n">
        <v>67</v>
      </c>
      <c r="E135" s="2" t="inlineStr">
        <is>
          <t>BR_USDT_PERP</t>
        </is>
      </c>
      <c r="F135" s="2" t="inlineStr">
        <is>
          <t>做空</t>
        </is>
      </c>
      <c r="G135" s="17" t="n">
        <v>0.4395</v>
      </c>
      <c r="H135" s="17" t="n">
        <v>0.426315</v>
      </c>
      <c r="I135" s="17" t="n">
        <v>0.461475</v>
      </c>
      <c r="J135" s="17" t="n"/>
      <c r="K135" s="2" t="n"/>
      <c r="L135" s="5" t="n"/>
      <c r="M135" s="16">
        <f>資金模擬!$B$5*V134</f>
        <v/>
      </c>
      <c r="N135" s="2">
        <f>IF(Z134=1,"已停止",IF(T134&gt;=M135,"已下單","資金不足略過"))</f>
        <v/>
      </c>
      <c r="O135" s="16">
        <f>IF(N135="已下單",M135*資金模擬!$B$7,0)</f>
        <v/>
      </c>
      <c r="P135" s="4" t="n"/>
      <c r="Q135" s="10" t="n">
        <v>0</v>
      </c>
      <c r="R135" s="10">
        <f>R134+Q135</f>
        <v/>
      </c>
      <c r="S135" s="16">
        <f>S134+IF(N135="已下單",M135,0)</f>
        <v/>
      </c>
      <c r="T135" s="16">
        <f>R135-S135</f>
        <v/>
      </c>
      <c r="U135" s="2">
        <f>U134+IF(N135="已下單",1,0)</f>
        <v/>
      </c>
      <c r="V135" s="16">
        <f>IF(資金模擬!$B$9=2,MAX(R135,0),MAX(V134,FLOOR(MAX(R135,0),資金模擬!$B$6)))</f>
        <v/>
      </c>
      <c r="W135" s="10">
        <f>MAX(W134,R135)</f>
        <v/>
      </c>
      <c r="X135" s="4">
        <f>IF(W135&gt;0,R135/W135-1,-1)</f>
        <v/>
      </c>
      <c r="Y135" s="16">
        <f>IF(R135&gt;0,S135*資金模擬!$B$7/R135,0)</f>
        <v/>
      </c>
      <c r="Z135" s="2">
        <f>IF(OR(Z134=1,R135&lt;=資金模擬!$B$10),1,0)</f>
        <v/>
      </c>
    </row>
    <row r="136">
      <c r="A136" s="2" t="n">
        <v>134</v>
      </c>
      <c r="B136" s="7" t="n">
        <v>46301.66180555556</v>
      </c>
      <c r="C136" s="2" t="inlineStr">
        <is>
          <t>出場</t>
        </is>
      </c>
      <c r="D136" s="2" t="n">
        <v>67</v>
      </c>
      <c r="E136" s="2" t="inlineStr">
        <is>
          <t>BR_USDT_PERP</t>
        </is>
      </c>
      <c r="F136" s="2" t="inlineStr">
        <is>
          <t>做空</t>
        </is>
      </c>
      <c r="G136" s="17" t="n">
        <v>0.4395</v>
      </c>
      <c r="H136" s="17" t="n">
        <v>0.426315</v>
      </c>
      <c r="I136" s="17" t="n">
        <v>0.461475</v>
      </c>
      <c r="J136" s="17" t="n">
        <v>0.461475</v>
      </c>
      <c r="K136" s="2" t="inlineStr">
        <is>
          <t>止損</t>
        </is>
      </c>
      <c r="L136" s="5">
        <f>交易明細!K68</f>
        <v/>
      </c>
      <c r="M136" s="16">
        <f>M135</f>
        <v/>
      </c>
      <c r="N136" s="2">
        <f>N135</f>
        <v/>
      </c>
      <c r="O136" s="16">
        <f>O135</f>
        <v/>
      </c>
      <c r="P136" s="4">
        <f>交易明細!L68</f>
        <v/>
      </c>
      <c r="Q136" s="10">
        <f>IF(N136="已下單",O136*P136,0)</f>
        <v/>
      </c>
      <c r="R136" s="10">
        <f>R135+Q136</f>
        <v/>
      </c>
      <c r="S136" s="16">
        <f>S135-IF(N136="已下單",M136,0)</f>
        <v/>
      </c>
      <c r="T136" s="16">
        <f>R136-S136</f>
        <v/>
      </c>
      <c r="U136" s="2">
        <f>U135-IF(N136="已下單",1,0)</f>
        <v/>
      </c>
      <c r="V136" s="16">
        <f>IF(資金模擬!$B$9=2,MAX(R136,0),MAX(V135,FLOOR(MAX(R136,0),資金模擬!$B$6)))</f>
        <v/>
      </c>
      <c r="W136" s="10">
        <f>MAX(W135,R136)</f>
        <v/>
      </c>
      <c r="X136" s="4">
        <f>IF(W136&gt;0,R136/W136-1,-1)</f>
        <v/>
      </c>
      <c r="Y136" s="16">
        <f>IF(R136&gt;0,S136*資金模擬!$B$7/R136,0)</f>
        <v/>
      </c>
      <c r="Z136" s="2">
        <f>IF(OR(Z135=1,R136&lt;=資金模擬!$B$10),1,0)</f>
        <v/>
      </c>
    </row>
    <row r="137">
      <c r="A137" s="2" t="n">
        <v>135</v>
      </c>
      <c r="B137" s="7" t="n">
        <v>46301.67083333333</v>
      </c>
      <c r="C137" s="2" t="inlineStr">
        <is>
          <t>進場</t>
        </is>
      </c>
      <c r="D137" s="2" t="n">
        <v>68</v>
      </c>
      <c r="E137" s="2" t="inlineStr">
        <is>
          <t>BR_USDT_PERP</t>
        </is>
      </c>
      <c r="F137" s="2" t="inlineStr">
        <is>
          <t>做空</t>
        </is>
      </c>
      <c r="G137" s="17" t="n">
        <v>0.53503</v>
      </c>
      <c r="H137" s="17" t="n">
        <v>0.5189791</v>
      </c>
      <c r="I137" s="17" t="n">
        <v>0.5617815</v>
      </c>
      <c r="J137" s="17" t="n"/>
      <c r="K137" s="2" t="n"/>
      <c r="L137" s="5" t="n"/>
      <c r="M137" s="16">
        <f>資金模擬!$B$5*V136</f>
        <v/>
      </c>
      <c r="N137" s="2">
        <f>IF(Z136=1,"已停止",IF(T136&gt;=M137,"已下單","資金不足略過"))</f>
        <v/>
      </c>
      <c r="O137" s="16">
        <f>IF(N137="已下單",M137*資金模擬!$B$7,0)</f>
        <v/>
      </c>
      <c r="P137" s="4" t="n"/>
      <c r="Q137" s="10" t="n">
        <v>0</v>
      </c>
      <c r="R137" s="10">
        <f>R136+Q137</f>
        <v/>
      </c>
      <c r="S137" s="16">
        <f>S136+IF(N137="已下單",M137,0)</f>
        <v/>
      </c>
      <c r="T137" s="16">
        <f>R137-S137</f>
        <v/>
      </c>
      <c r="U137" s="2">
        <f>U136+IF(N137="已下單",1,0)</f>
        <v/>
      </c>
      <c r="V137" s="16">
        <f>IF(資金模擬!$B$9=2,MAX(R137,0),MAX(V136,FLOOR(MAX(R137,0),資金模擬!$B$6)))</f>
        <v/>
      </c>
      <c r="W137" s="10">
        <f>MAX(W136,R137)</f>
        <v/>
      </c>
      <c r="X137" s="4">
        <f>IF(W137&gt;0,R137/W137-1,-1)</f>
        <v/>
      </c>
      <c r="Y137" s="16">
        <f>IF(R137&gt;0,S137*資金模擬!$B$7/R137,0)</f>
        <v/>
      </c>
      <c r="Z137" s="2">
        <f>IF(OR(Z136=1,R137&lt;=資金模擬!$B$10),1,0)</f>
        <v/>
      </c>
    </row>
    <row r="138">
      <c r="A138" s="2" t="n">
        <v>136</v>
      </c>
      <c r="B138" s="7" t="n">
        <v>46301.67152777778</v>
      </c>
      <c r="C138" s="2" t="inlineStr">
        <is>
          <t>出場</t>
        </is>
      </c>
      <c r="D138" s="2" t="n">
        <v>68</v>
      </c>
      <c r="E138" s="2" t="inlineStr">
        <is>
          <t>BR_USDT_PERP</t>
        </is>
      </c>
      <c r="F138" s="2" t="inlineStr">
        <is>
          <t>做空</t>
        </is>
      </c>
      <c r="G138" s="17" t="n">
        <v>0.53503</v>
      </c>
      <c r="H138" s="17" t="n">
        <v>0.5189791</v>
      </c>
      <c r="I138" s="17" t="n">
        <v>0.5617815</v>
      </c>
      <c r="J138" s="17" t="n">
        <v>0.5189791</v>
      </c>
      <c r="K138" s="2" t="inlineStr">
        <is>
          <t>止盈</t>
        </is>
      </c>
      <c r="L138" s="5">
        <f>交易明細!K69</f>
        <v/>
      </c>
      <c r="M138" s="16">
        <f>M137</f>
        <v/>
      </c>
      <c r="N138" s="2">
        <f>N137</f>
        <v/>
      </c>
      <c r="O138" s="16">
        <f>O137</f>
        <v/>
      </c>
      <c r="P138" s="4">
        <f>交易明細!L69</f>
        <v/>
      </c>
      <c r="Q138" s="10">
        <f>IF(N138="已下單",O138*P138,0)</f>
        <v/>
      </c>
      <c r="R138" s="10">
        <f>R137+Q138</f>
        <v/>
      </c>
      <c r="S138" s="16">
        <f>S137-IF(N138="已下單",M138,0)</f>
        <v/>
      </c>
      <c r="T138" s="16">
        <f>R138-S138</f>
        <v/>
      </c>
      <c r="U138" s="2">
        <f>U137-IF(N138="已下單",1,0)</f>
        <v/>
      </c>
      <c r="V138" s="16">
        <f>IF(資金模擬!$B$9=2,MAX(R138,0),MAX(V137,FLOOR(MAX(R138,0),資金模擬!$B$6)))</f>
        <v/>
      </c>
      <c r="W138" s="10">
        <f>MAX(W137,R138)</f>
        <v/>
      </c>
      <c r="X138" s="4">
        <f>IF(W138&gt;0,R138/W138-1,-1)</f>
        <v/>
      </c>
      <c r="Y138" s="16">
        <f>IF(R138&gt;0,S138*資金模擬!$B$7/R138,0)</f>
        <v/>
      </c>
      <c r="Z138" s="2">
        <f>IF(OR(Z137=1,R138&lt;=資金模擬!$B$10),1,0)</f>
        <v/>
      </c>
    </row>
    <row r="139">
      <c r="A139" s="2" t="n">
        <v>137</v>
      </c>
      <c r="B139" s="7" t="n">
        <v>46301.67152777778</v>
      </c>
      <c r="C139" s="2" t="inlineStr">
        <is>
          <t>進場</t>
        </is>
      </c>
      <c r="D139" s="2" t="n">
        <v>69</v>
      </c>
      <c r="E139" s="2" t="inlineStr">
        <is>
          <t>US_USDT_PERP</t>
        </is>
      </c>
      <c r="F139" s="2" t="inlineStr">
        <is>
          <t>做空</t>
        </is>
      </c>
      <c r="G139" s="17" t="n">
        <v>0.01211</v>
      </c>
      <c r="H139" s="17" t="n">
        <v>0.0117467</v>
      </c>
      <c r="I139" s="17" t="n">
        <v>0.0127155</v>
      </c>
      <c r="J139" s="17" t="n"/>
      <c r="K139" s="2" t="n"/>
      <c r="L139" s="5" t="n"/>
      <c r="M139" s="16">
        <f>資金模擬!$B$5*V138</f>
        <v/>
      </c>
      <c r="N139" s="2">
        <f>IF(Z138=1,"已停止",IF(T138&gt;=M139,"已下單","資金不足略過"))</f>
        <v/>
      </c>
      <c r="O139" s="16">
        <f>IF(N139="已下單",M139*資金模擬!$B$7,0)</f>
        <v/>
      </c>
      <c r="P139" s="4" t="n"/>
      <c r="Q139" s="10" t="n">
        <v>0</v>
      </c>
      <c r="R139" s="10">
        <f>R138+Q139</f>
        <v/>
      </c>
      <c r="S139" s="16">
        <f>S138+IF(N139="已下單",M139,0)</f>
        <v/>
      </c>
      <c r="T139" s="16">
        <f>R139-S139</f>
        <v/>
      </c>
      <c r="U139" s="2">
        <f>U138+IF(N139="已下單",1,0)</f>
        <v/>
      </c>
      <c r="V139" s="16">
        <f>IF(資金模擬!$B$9=2,MAX(R139,0),MAX(V138,FLOOR(MAX(R139,0),資金模擬!$B$6)))</f>
        <v/>
      </c>
      <c r="W139" s="10">
        <f>MAX(W138,R139)</f>
        <v/>
      </c>
      <c r="X139" s="4">
        <f>IF(W139&gt;0,R139/W139-1,-1)</f>
        <v/>
      </c>
      <c r="Y139" s="16">
        <f>IF(R139&gt;0,S139*資金模擬!$B$7/R139,0)</f>
        <v/>
      </c>
      <c r="Z139" s="2">
        <f>IF(OR(Z138=1,R139&lt;=資金模擬!$B$10),1,0)</f>
        <v/>
      </c>
    </row>
    <row r="140">
      <c r="A140" s="2" t="n">
        <v>138</v>
      </c>
      <c r="B140" s="7" t="n">
        <v>46301.67430555556</v>
      </c>
      <c r="C140" s="2" t="inlineStr">
        <is>
          <t>出場</t>
        </is>
      </c>
      <c r="D140" s="2" t="n">
        <v>69</v>
      </c>
      <c r="E140" s="2" t="inlineStr">
        <is>
          <t>US_USDT_PERP</t>
        </is>
      </c>
      <c r="F140" s="2" t="inlineStr">
        <is>
          <t>做空</t>
        </is>
      </c>
      <c r="G140" s="17" t="n">
        <v>0.01211</v>
      </c>
      <c r="H140" s="17" t="n">
        <v>0.0117467</v>
      </c>
      <c r="I140" s="17" t="n">
        <v>0.0127155</v>
      </c>
      <c r="J140" s="17" t="n">
        <v>0.0127155</v>
      </c>
      <c r="K140" s="2" t="inlineStr">
        <is>
          <t>止損</t>
        </is>
      </c>
      <c r="L140" s="5">
        <f>交易明細!K70</f>
        <v/>
      </c>
      <c r="M140" s="16">
        <f>M139</f>
        <v/>
      </c>
      <c r="N140" s="2">
        <f>N139</f>
        <v/>
      </c>
      <c r="O140" s="16">
        <f>O139</f>
        <v/>
      </c>
      <c r="P140" s="4">
        <f>交易明細!L70</f>
        <v/>
      </c>
      <c r="Q140" s="10">
        <f>IF(N140="已下單",O140*P140,0)</f>
        <v/>
      </c>
      <c r="R140" s="10">
        <f>R139+Q140</f>
        <v/>
      </c>
      <c r="S140" s="16">
        <f>S139-IF(N140="已下單",M140,0)</f>
        <v/>
      </c>
      <c r="T140" s="16">
        <f>R140-S140</f>
        <v/>
      </c>
      <c r="U140" s="2">
        <f>U139-IF(N140="已下單",1,0)</f>
        <v/>
      </c>
      <c r="V140" s="16">
        <f>IF(資金模擬!$B$9=2,MAX(R140,0),MAX(V139,FLOOR(MAX(R140,0),資金模擬!$B$6)))</f>
        <v/>
      </c>
      <c r="W140" s="10">
        <f>MAX(W139,R140)</f>
        <v/>
      </c>
      <c r="X140" s="4">
        <f>IF(W140&gt;0,R140/W140-1,-1)</f>
        <v/>
      </c>
      <c r="Y140" s="16">
        <f>IF(R140&gt;0,S140*資金模擬!$B$7/R140,0)</f>
        <v/>
      </c>
      <c r="Z140" s="2">
        <f>IF(OR(Z139=1,R140&lt;=資金模擬!$B$10),1,0)</f>
        <v/>
      </c>
    </row>
    <row r="141">
      <c r="A141" s="2" t="n">
        <v>139</v>
      </c>
      <c r="B141" s="7" t="n">
        <v>46301.75555555556</v>
      </c>
      <c r="C141" s="2" t="inlineStr">
        <is>
          <t>進場</t>
        </is>
      </c>
      <c r="D141" s="2" t="n">
        <v>70</v>
      </c>
      <c r="E141" s="2" t="inlineStr">
        <is>
          <t>BR_USDT_PERP</t>
        </is>
      </c>
      <c r="F141" s="2" t="inlineStr">
        <is>
          <t>做空</t>
        </is>
      </c>
      <c r="G141" s="17" t="n">
        <v>0.66466</v>
      </c>
      <c r="H141" s="17" t="n">
        <v>0.6447202</v>
      </c>
      <c r="I141" s="17" t="n">
        <v>0.6978930000000001</v>
      </c>
      <c r="J141" s="17" t="n"/>
      <c r="K141" s="2" t="n"/>
      <c r="L141" s="5" t="n"/>
      <c r="M141" s="16">
        <f>資金模擬!$B$5*V140</f>
        <v/>
      </c>
      <c r="N141" s="2">
        <f>IF(Z140=1,"已停止",IF(T140&gt;=M141,"已下單","資金不足略過"))</f>
        <v/>
      </c>
      <c r="O141" s="16">
        <f>IF(N141="已下單",M141*資金模擬!$B$7,0)</f>
        <v/>
      </c>
      <c r="P141" s="4" t="n"/>
      <c r="Q141" s="10" t="n">
        <v>0</v>
      </c>
      <c r="R141" s="10">
        <f>R140+Q141</f>
        <v/>
      </c>
      <c r="S141" s="16">
        <f>S140+IF(N141="已下單",M141,0)</f>
        <v/>
      </c>
      <c r="T141" s="16">
        <f>R141-S141</f>
        <v/>
      </c>
      <c r="U141" s="2">
        <f>U140+IF(N141="已下單",1,0)</f>
        <v/>
      </c>
      <c r="V141" s="16">
        <f>IF(資金模擬!$B$9=2,MAX(R141,0),MAX(V140,FLOOR(MAX(R141,0),資金模擬!$B$6)))</f>
        <v/>
      </c>
      <c r="W141" s="10">
        <f>MAX(W140,R141)</f>
        <v/>
      </c>
      <c r="X141" s="4">
        <f>IF(W141&gt;0,R141/W141-1,-1)</f>
        <v/>
      </c>
      <c r="Y141" s="16">
        <f>IF(R141&gt;0,S141*資金模擬!$B$7/R141,0)</f>
        <v/>
      </c>
      <c r="Z141" s="2">
        <f>IF(OR(Z140=1,R141&lt;=資金模擬!$B$10),1,0)</f>
        <v/>
      </c>
    </row>
    <row r="142">
      <c r="A142" s="2" t="n">
        <v>140</v>
      </c>
      <c r="B142" s="7" t="n">
        <v>46301.75763888889</v>
      </c>
      <c r="C142" s="2" t="inlineStr">
        <is>
          <t>出場</t>
        </is>
      </c>
      <c r="D142" s="2" t="n">
        <v>70</v>
      </c>
      <c r="E142" s="2" t="inlineStr">
        <is>
          <t>BR_USDT_PERP</t>
        </is>
      </c>
      <c r="F142" s="2" t="inlineStr">
        <is>
          <t>做空</t>
        </is>
      </c>
      <c r="G142" s="17" t="n">
        <v>0.66466</v>
      </c>
      <c r="H142" s="17" t="n">
        <v>0.6447202</v>
      </c>
      <c r="I142" s="17" t="n">
        <v>0.6978930000000001</v>
      </c>
      <c r="J142" s="17" t="n">
        <v>0.6447202</v>
      </c>
      <c r="K142" s="2" t="inlineStr">
        <is>
          <t>止盈</t>
        </is>
      </c>
      <c r="L142" s="5">
        <f>交易明細!K71</f>
        <v/>
      </c>
      <c r="M142" s="16">
        <f>M141</f>
        <v/>
      </c>
      <c r="N142" s="2">
        <f>N141</f>
        <v/>
      </c>
      <c r="O142" s="16">
        <f>O141</f>
        <v/>
      </c>
      <c r="P142" s="4">
        <f>交易明細!L71</f>
        <v/>
      </c>
      <c r="Q142" s="10">
        <f>IF(N142="已下單",O142*P142,0)</f>
        <v/>
      </c>
      <c r="R142" s="10">
        <f>R141+Q142</f>
        <v/>
      </c>
      <c r="S142" s="16">
        <f>S141-IF(N142="已下單",M142,0)</f>
        <v/>
      </c>
      <c r="T142" s="16">
        <f>R142-S142</f>
        <v/>
      </c>
      <c r="U142" s="2">
        <f>U141-IF(N142="已下單",1,0)</f>
        <v/>
      </c>
      <c r="V142" s="16">
        <f>IF(資金模擬!$B$9=2,MAX(R142,0),MAX(V141,FLOOR(MAX(R142,0),資金模擬!$B$6)))</f>
        <v/>
      </c>
      <c r="W142" s="10">
        <f>MAX(W141,R142)</f>
        <v/>
      </c>
      <c r="X142" s="4">
        <f>IF(W142&gt;0,R142/W142-1,-1)</f>
        <v/>
      </c>
      <c r="Y142" s="16">
        <f>IF(R142&gt;0,S142*資金模擬!$B$7/R142,0)</f>
        <v/>
      </c>
      <c r="Z142" s="2">
        <f>IF(OR(Z141=1,R142&lt;=資金模擬!$B$10),1,0)</f>
        <v/>
      </c>
    </row>
    <row r="143">
      <c r="A143" s="2" t="n">
        <v>141</v>
      </c>
      <c r="B143" s="7" t="n">
        <v>46301.99236111111</v>
      </c>
      <c r="C143" s="2" t="inlineStr">
        <is>
          <t>進場</t>
        </is>
      </c>
      <c r="D143" s="2" t="n">
        <v>71</v>
      </c>
      <c r="E143" s="2" t="inlineStr">
        <is>
          <t>BULLA_USDT_PERP</t>
        </is>
      </c>
      <c r="F143" s="2" t="inlineStr">
        <is>
          <t>做空</t>
        </is>
      </c>
      <c r="G143" s="17" t="n">
        <v>0.09991999999999999</v>
      </c>
      <c r="H143" s="17" t="n">
        <v>0.09692239999999999</v>
      </c>
      <c r="I143" s="17" t="n">
        <v>0.104916</v>
      </c>
      <c r="J143" s="17" t="n"/>
      <c r="K143" s="2" t="n"/>
      <c r="L143" s="5" t="n"/>
      <c r="M143" s="16">
        <f>資金模擬!$B$5*V142</f>
        <v/>
      </c>
      <c r="N143" s="2">
        <f>IF(Z142=1,"已停止",IF(T142&gt;=M143,"已下單","資金不足略過"))</f>
        <v/>
      </c>
      <c r="O143" s="16">
        <f>IF(N143="已下單",M143*資金模擬!$B$7,0)</f>
        <v/>
      </c>
      <c r="P143" s="4" t="n"/>
      <c r="Q143" s="10" t="n">
        <v>0</v>
      </c>
      <c r="R143" s="10">
        <f>R142+Q143</f>
        <v/>
      </c>
      <c r="S143" s="16">
        <f>S142+IF(N143="已下單",M143,0)</f>
        <v/>
      </c>
      <c r="T143" s="16">
        <f>R143-S143</f>
        <v/>
      </c>
      <c r="U143" s="2">
        <f>U142+IF(N143="已下單",1,0)</f>
        <v/>
      </c>
      <c r="V143" s="16">
        <f>IF(資金模擬!$B$9=2,MAX(R143,0),MAX(V142,FLOOR(MAX(R143,0),資金模擬!$B$6)))</f>
        <v/>
      </c>
      <c r="W143" s="10">
        <f>MAX(W142,R143)</f>
        <v/>
      </c>
      <c r="X143" s="4">
        <f>IF(W143&gt;0,R143/W143-1,-1)</f>
        <v/>
      </c>
      <c r="Y143" s="16">
        <f>IF(R143&gt;0,S143*資金模擬!$B$7/R143,0)</f>
        <v/>
      </c>
      <c r="Z143" s="2">
        <f>IF(OR(Z142=1,R143&lt;=資金模擬!$B$10),1,0)</f>
        <v/>
      </c>
    </row>
    <row r="144">
      <c r="A144" s="2" t="n">
        <v>142</v>
      </c>
      <c r="B144" s="7" t="n">
        <v>46302.01875</v>
      </c>
      <c r="C144" s="2" t="inlineStr">
        <is>
          <t>出場</t>
        </is>
      </c>
      <c r="D144" s="2" t="n">
        <v>71</v>
      </c>
      <c r="E144" s="2" t="inlineStr">
        <is>
          <t>BULLA_USDT_PERP</t>
        </is>
      </c>
      <c r="F144" s="2" t="inlineStr">
        <is>
          <t>做空</t>
        </is>
      </c>
      <c r="G144" s="17" t="n">
        <v>0.09991999999999999</v>
      </c>
      <c r="H144" s="17" t="n">
        <v>0.09692239999999999</v>
      </c>
      <c r="I144" s="17" t="n">
        <v>0.104916</v>
      </c>
      <c r="J144" s="17" t="n">
        <v>0.09692239999999999</v>
      </c>
      <c r="K144" s="2" t="inlineStr">
        <is>
          <t>止盈</t>
        </is>
      </c>
      <c r="L144" s="5">
        <f>交易明細!K72</f>
        <v/>
      </c>
      <c r="M144" s="16">
        <f>M143</f>
        <v/>
      </c>
      <c r="N144" s="2">
        <f>N143</f>
        <v/>
      </c>
      <c r="O144" s="16">
        <f>O143</f>
        <v/>
      </c>
      <c r="P144" s="4">
        <f>交易明細!L72</f>
        <v/>
      </c>
      <c r="Q144" s="10">
        <f>IF(N144="已下單",O144*P144,0)</f>
        <v/>
      </c>
      <c r="R144" s="10">
        <f>R143+Q144</f>
        <v/>
      </c>
      <c r="S144" s="16">
        <f>S143-IF(N144="已下單",M144,0)</f>
        <v/>
      </c>
      <c r="T144" s="16">
        <f>R144-S144</f>
        <v/>
      </c>
      <c r="U144" s="2">
        <f>U143-IF(N144="已下單",1,0)</f>
        <v/>
      </c>
      <c r="V144" s="16">
        <f>IF(資金模擬!$B$9=2,MAX(R144,0),MAX(V143,FLOOR(MAX(R144,0),資金模擬!$B$6)))</f>
        <v/>
      </c>
      <c r="W144" s="10">
        <f>MAX(W143,R144)</f>
        <v/>
      </c>
      <c r="X144" s="4">
        <f>IF(W144&gt;0,R144/W144-1,-1)</f>
        <v/>
      </c>
      <c r="Y144" s="16">
        <f>IF(R144&gt;0,S144*資金模擬!$B$7/R144,0)</f>
        <v/>
      </c>
      <c r="Z144" s="2">
        <f>IF(OR(Z143=1,R144&lt;=資金模擬!$B$10),1,0)</f>
        <v/>
      </c>
    </row>
    <row r="145">
      <c r="A145" s="2" t="n">
        <v>143</v>
      </c>
      <c r="B145" s="7" t="n">
        <v>46302.25625</v>
      </c>
      <c r="C145" s="2" t="inlineStr">
        <is>
          <t>進場</t>
        </is>
      </c>
      <c r="D145" s="2" t="n">
        <v>72</v>
      </c>
      <c r="E145" s="2" t="inlineStr">
        <is>
          <t>MAGIC_USDT_PERP</t>
        </is>
      </c>
      <c r="F145" s="2" t="inlineStr">
        <is>
          <t>做空</t>
        </is>
      </c>
      <c r="G145" s="17" t="n">
        <v>0.0727</v>
      </c>
      <c r="H145" s="17" t="n">
        <v>0.070519</v>
      </c>
      <c r="I145" s="17" t="n">
        <v>0.076335</v>
      </c>
      <c r="J145" s="17" t="n"/>
      <c r="K145" s="2" t="n"/>
      <c r="L145" s="5" t="n"/>
      <c r="M145" s="16">
        <f>資金模擬!$B$5*V144</f>
        <v/>
      </c>
      <c r="N145" s="2">
        <f>IF(Z144=1,"已停止",IF(T144&gt;=M145,"已下單","資金不足略過"))</f>
        <v/>
      </c>
      <c r="O145" s="16">
        <f>IF(N145="已下單",M145*資金模擬!$B$7,0)</f>
        <v/>
      </c>
      <c r="P145" s="4" t="n"/>
      <c r="Q145" s="10" t="n">
        <v>0</v>
      </c>
      <c r="R145" s="10">
        <f>R144+Q145</f>
        <v/>
      </c>
      <c r="S145" s="16">
        <f>S144+IF(N145="已下單",M145,0)</f>
        <v/>
      </c>
      <c r="T145" s="16">
        <f>R145-S145</f>
        <v/>
      </c>
      <c r="U145" s="2">
        <f>U144+IF(N145="已下單",1,0)</f>
        <v/>
      </c>
      <c r="V145" s="16">
        <f>IF(資金模擬!$B$9=2,MAX(R145,0),MAX(V144,FLOOR(MAX(R145,0),資金模擬!$B$6)))</f>
        <v/>
      </c>
      <c r="W145" s="10">
        <f>MAX(W144,R145)</f>
        <v/>
      </c>
      <c r="X145" s="4">
        <f>IF(W145&gt;0,R145/W145-1,-1)</f>
        <v/>
      </c>
      <c r="Y145" s="16">
        <f>IF(R145&gt;0,S145*資金模擬!$B$7/R145,0)</f>
        <v/>
      </c>
      <c r="Z145" s="2">
        <f>IF(OR(Z144=1,R145&lt;=資金模擬!$B$10),1,0)</f>
        <v/>
      </c>
    </row>
    <row r="146">
      <c r="A146" s="2" t="n">
        <v>144</v>
      </c>
      <c r="B146" s="7" t="n">
        <v>46302.25833333333</v>
      </c>
      <c r="C146" s="2" t="inlineStr">
        <is>
          <t>出場</t>
        </is>
      </c>
      <c r="D146" s="2" t="n">
        <v>72</v>
      </c>
      <c r="E146" s="2" t="inlineStr">
        <is>
          <t>MAGIC_USDT_PERP</t>
        </is>
      </c>
      <c r="F146" s="2" t="inlineStr">
        <is>
          <t>做空</t>
        </is>
      </c>
      <c r="G146" s="17" t="n">
        <v>0.0727</v>
      </c>
      <c r="H146" s="17" t="n">
        <v>0.070519</v>
      </c>
      <c r="I146" s="17" t="n">
        <v>0.076335</v>
      </c>
      <c r="J146" s="17" t="n">
        <v>0.070519</v>
      </c>
      <c r="K146" s="2" t="inlineStr">
        <is>
          <t>止盈</t>
        </is>
      </c>
      <c r="L146" s="5">
        <f>交易明細!K73</f>
        <v/>
      </c>
      <c r="M146" s="16">
        <f>M145</f>
        <v/>
      </c>
      <c r="N146" s="2">
        <f>N145</f>
        <v/>
      </c>
      <c r="O146" s="16">
        <f>O145</f>
        <v/>
      </c>
      <c r="P146" s="4">
        <f>交易明細!L73</f>
        <v/>
      </c>
      <c r="Q146" s="10">
        <f>IF(N146="已下單",O146*P146,0)</f>
        <v/>
      </c>
      <c r="R146" s="10">
        <f>R145+Q146</f>
        <v/>
      </c>
      <c r="S146" s="16">
        <f>S145-IF(N146="已下單",M146,0)</f>
        <v/>
      </c>
      <c r="T146" s="16">
        <f>R146-S146</f>
        <v/>
      </c>
      <c r="U146" s="2">
        <f>U145-IF(N146="已下單",1,0)</f>
        <v/>
      </c>
      <c r="V146" s="16">
        <f>IF(資金模擬!$B$9=2,MAX(R146,0),MAX(V145,FLOOR(MAX(R146,0),資金模擬!$B$6)))</f>
        <v/>
      </c>
      <c r="W146" s="10">
        <f>MAX(W145,R146)</f>
        <v/>
      </c>
      <c r="X146" s="4">
        <f>IF(W146&gt;0,R146/W146-1,-1)</f>
        <v/>
      </c>
      <c r="Y146" s="16">
        <f>IF(R146&gt;0,S146*資金模擬!$B$7/R146,0)</f>
        <v/>
      </c>
      <c r="Z146" s="2">
        <f>IF(OR(Z145=1,R146&lt;=資金模擬!$B$10),1,0)</f>
        <v/>
      </c>
    </row>
  </sheetData>
  <autoFilter ref="A1:Z146"/>
  <conditionalFormatting sqref="K2:K146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146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146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2026-10-07 22:02（Dry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條件看 1 小時K（整點切）；進出場用 1 分K</t>
        </is>
      </c>
      <c r="C4" s="2" t="inlineStr">
        <is>
          <t>每根 1 分K 收盤檢查一次 ≈ 每分鐘掃描</t>
        </is>
      </c>
    </row>
    <row r="5">
      <c r="A5" s="2" t="inlineStr">
        <is>
          <t>止盈</t>
        </is>
      </c>
      <c r="B5" s="11" t="n">
        <v>0.03</v>
      </c>
      <c r="C5" s="2" t="inlineStr">
        <is>
          <t>做空：價格下跌此比例</t>
        </is>
      </c>
    </row>
    <row r="6">
      <c r="A6" s="2" t="inlineStr">
        <is>
          <t>止損</t>
        </is>
      </c>
      <c r="B6" s="11" t="n">
        <v>0.05</v>
      </c>
      <c r="C6" s="2" t="inlineStr">
        <is>
          <t>做空：價格上漲此比例（= 群組第 1 次加倉點）</t>
        </is>
      </c>
    </row>
    <row r="7">
      <c r="A7" s="2" t="inlineStr">
        <is>
          <t>單邊手續費</t>
        </is>
      </c>
      <c r="B7" s="18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策略</t>
        </is>
      </c>
      <c r="B8" s="19" t="inlineStr">
        <is>
          <t>策略5 — 群組訊號複製（只做空）</t>
        </is>
      </c>
      <c r="C8" s="2" t="inlineStr">
        <is>
          <t>目標是複製群組訊號，不是追求勝率</t>
        </is>
      </c>
    </row>
    <row r="9">
      <c r="A9" s="2" t="inlineStr">
        <is>
          <t>① 前根收盤比開盤漲</t>
        </is>
      </c>
      <c r="B9" s="4" t="n">
        <v>0.06</v>
      </c>
      <c r="C9" s="2" t="inlineStr">
        <is>
          <t>前一根 1h K：收盤 ÷ 開盤 − 1</t>
        </is>
      </c>
    </row>
    <row r="10">
      <c r="A10" s="2" t="inlineStr">
        <is>
          <t>②A 當根量 ÷ 前一根量</t>
        </is>
      </c>
      <c r="B10" s="4" t="inlineStr">
        <is>
          <t>2 倍</t>
        </is>
      </c>
      <c r="C10" s="2" t="inlineStr">
        <is>
          <t>本小時到目前為止的累計量，不限時；A 與限時分支符合任一即可</t>
        </is>
      </c>
    </row>
    <row r="11">
      <c r="A11" s="2" t="inlineStr">
        <is>
          <t>② 限時分支</t>
        </is>
      </c>
      <c r="B11" s="2" t="inlineStr">
        <is>
          <t>30 分內 ≥ 1 倍、15 分內 ≥ 0.5 倍</t>
        </is>
      </c>
      <c r="C11" s="2" t="inlineStr">
        <is>
          <t>開盤 N 分內（1 分K 收盤 ≤ 第 N 分）累計量曾達門檻，成立後本小時都算（黏著）</t>
        </is>
      </c>
    </row>
    <row r="12">
      <c r="A12" s="2" t="inlineStr">
        <is>
          <t>③ 現價 &gt; 前高 ×</t>
        </is>
      </c>
      <c r="B12" s="2" t="n">
        <v>1</v>
      </c>
      <c r="C12" s="2" t="inlineStr">
        <is>
          <t>現價 = 那根 1 分K 收盤價</t>
        </is>
      </c>
    </row>
    <row r="13">
      <c r="A13" s="2" t="inlineStr">
        <is>
          <t>進場時機</t>
        </is>
      </c>
      <c r="B13" s="2" t="inlineStr">
        <is>
          <t>三條件第一次同時成立</t>
        </is>
      </c>
      <c r="C13" s="2" t="inlineStr">
        <is>
          <t>以那根 1 分K 收盤價進場；同幣每小時最多一次；持倉中不重複進場（與群組機器人一致）</t>
        </is>
      </c>
    </row>
    <row r="14">
      <c r="A14" s="2" t="inlineStr">
        <is>
          <t>出場後冷卻</t>
        </is>
      </c>
      <c r="B14" s="2" t="inlineStr">
        <is>
          <t>1 根</t>
        </is>
      </c>
      <c r="C14" s="2" t="inlineStr">
        <is>
          <t>出場的下一根 1 分K 起可再進場（須不同小時）</t>
        </is>
      </c>
    </row>
    <row r="15">
      <c r="A15" s="2" t="inlineStr">
        <is>
          <t>同根雙觸發</t>
        </is>
      </c>
      <c r="B15" s="2" t="inlineStr">
        <is>
          <t>保守計止損</t>
        </is>
      </c>
      <c r="C15" s="2" t="inlineStr">
        <is>
          <t>1 分K 已是最小週期</t>
        </is>
      </c>
    </row>
    <row r="16">
      <c r="A16" s="2" t="inlineStr">
        <is>
          <t>盈虧平衡勝率</t>
        </is>
      </c>
      <c r="B16" s="4">
        <f>IFERROR(AVERAGE(交易明細!$AC$2:$AC$73),(B6+2*B7)/(B5+B6))</f>
        <v/>
      </c>
      <c r="C16" s="2" t="inlineStr">
        <is>
          <t>含手續費，各筆平均；勝率低於此值 = 長期虧損</t>
        </is>
      </c>
    </row>
    <row r="17">
      <c r="B17" s="20" t="n"/>
    </row>
    <row r="18">
      <c r="B18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  <col width="13" customWidth="1" min="30" max="30"/>
    <col width="12" customWidth="1" min="31" max="31"/>
    <col width="18" customWidth="1" min="32" max="32"/>
    <col width="12" customWidth="1" min="33" max="33"/>
    <col width="12" customWidth="1" min="34" max="34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前一根漲跌幅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  <c r="AD1" s="3" t="inlineStr">
        <is>
          <t>① 前根收盤比開盤</t>
        </is>
      </c>
      <c r="AE1" s="3" t="inlineStr">
        <is>
          <t>② 觸發時量倍數</t>
        </is>
      </c>
      <c r="AF1" s="3" t="inlineStr">
        <is>
          <t>② 爆量分支</t>
        </is>
      </c>
      <c r="AG1" s="3" t="inlineStr">
        <is>
          <t>③ 進場價vs前高</t>
        </is>
      </c>
      <c r="AH1" s="3" t="inlineStr">
        <is>
          <t>觸發於第幾分鐘</t>
        </is>
      </c>
    </row>
    <row r="2">
      <c r="A2" s="2" t="n">
        <v>1</v>
      </c>
      <c r="B2" s="2" t="inlineStr">
        <is>
          <t>NOM_USDT_PERP</t>
        </is>
      </c>
      <c r="C2" s="2" t="inlineStr">
        <is>
          <t>做空</t>
        </is>
      </c>
      <c r="D2" s="7" t="n">
        <v>46289.59513888889</v>
      </c>
      <c r="E2" s="17" t="n">
        <v>0.002779</v>
      </c>
      <c r="F2" s="17" t="n">
        <v>0.00269563</v>
      </c>
      <c r="G2" s="17" t="n">
        <v>0.00291795</v>
      </c>
      <c r="H2" s="7" t="n">
        <v>46289.6</v>
      </c>
      <c r="I2" s="17" t="n">
        <v>0.00269563</v>
      </c>
      <c r="J2" s="2" t="inlineStr">
        <is>
          <t>止盈</t>
        </is>
      </c>
      <c r="K2" s="5">
        <f>(H2-D2)*24</f>
        <v/>
      </c>
      <c r="L2" s="4">
        <f>IF(C2="做多",I2/E2-1,1-I2/E2)-2*參數!$B$7</f>
        <v/>
      </c>
      <c r="M2" s="2" t="inlineStr"/>
      <c r="N2" s="4" t="n"/>
      <c r="O2" s="4" t="n"/>
      <c r="P2" s="4" t="n"/>
      <c r="Q2" s="19" t="n"/>
      <c r="R2" s="19" t="n"/>
      <c r="S2" s="4" t="n">
        <v>0.03</v>
      </c>
      <c r="T2" s="4" t="n">
        <v>0.01187477509895651</v>
      </c>
      <c r="U2" s="16" t="n"/>
      <c r="V2" s="16" t="n"/>
      <c r="W2" s="4" t="n"/>
      <c r="X2" s="4" t="n"/>
      <c r="Y2" s="4" t="n"/>
      <c r="Z2" s="4" t="n"/>
      <c r="AA2" s="4" t="n">
        <v>0.03</v>
      </c>
      <c r="AB2" s="4" t="n">
        <v>0.05</v>
      </c>
      <c r="AC2" s="4">
        <f>(AB2+2*參數!$B$7)/(AA2+AB2)</f>
        <v/>
      </c>
      <c r="AD2" s="2" t="n">
        <v>0.1595698924731184</v>
      </c>
      <c r="AE2" s="2" t="n">
        <v>0.7901093245305789</v>
      </c>
      <c r="AF2" s="2" t="inlineStr">
        <is>
          <t>15分0.5倍</t>
        </is>
      </c>
      <c r="AG2" s="2" t="n">
        <v>0.00761421319796951</v>
      </c>
      <c r="AH2" s="2" t="n">
        <v>17</v>
      </c>
    </row>
    <row r="3">
      <c r="A3" s="2" t="n">
        <v>2</v>
      </c>
      <c r="B3" s="2" t="inlineStr">
        <is>
          <t>BROCCOLI_USDT_PERP</t>
        </is>
      </c>
      <c r="C3" s="2" t="inlineStr">
        <is>
          <t>做空</t>
        </is>
      </c>
      <c r="D3" s="7" t="n">
        <v>46289.8</v>
      </c>
      <c r="E3" s="17" t="n">
        <v>0.02867</v>
      </c>
      <c r="F3" s="17" t="n">
        <v>0.0278099</v>
      </c>
      <c r="G3" s="17" t="n">
        <v>0.0301035</v>
      </c>
      <c r="H3" s="7" t="n">
        <v>46289.85347222222</v>
      </c>
      <c r="I3" s="17" t="n">
        <v>0.0301035</v>
      </c>
      <c r="J3" s="2" t="inlineStr">
        <is>
          <t>止損</t>
        </is>
      </c>
      <c r="K3" s="5">
        <f>(H3-D3)*24</f>
        <v/>
      </c>
      <c r="L3" s="4">
        <f>IF(C3="做多",I3/E3-1,1-I3/E3)-2*參數!$B$7</f>
        <v/>
      </c>
      <c r="M3" s="2" t="inlineStr"/>
      <c r="N3" s="4" t="n"/>
      <c r="O3" s="4" t="n"/>
      <c r="P3" s="4" t="n"/>
      <c r="Q3" s="19" t="n"/>
      <c r="R3" s="19" t="n"/>
      <c r="S3" s="4" t="n">
        <v>0.02790373212417163</v>
      </c>
      <c r="T3" s="4" t="n">
        <v>0.05</v>
      </c>
      <c r="U3" s="16" t="n"/>
      <c r="V3" s="16" t="n"/>
      <c r="W3" s="4" t="n"/>
      <c r="X3" s="4" t="n"/>
      <c r="Y3" s="4" t="n"/>
      <c r="Z3" s="4" t="n"/>
      <c r="AA3" s="4" t="n">
        <v>0.03</v>
      </c>
      <c r="AB3" s="4" t="n">
        <v>0.05</v>
      </c>
      <c r="AC3" s="4">
        <f>(AB3+2*參數!$B$7)/(AA3+AB3)</f>
        <v/>
      </c>
      <c r="AD3" s="2" t="n">
        <v>0.1203369434416366</v>
      </c>
      <c r="AE3" s="2" t="n">
        <v>0.6219296190108617</v>
      </c>
      <c r="AF3" s="2" t="inlineStr">
        <is>
          <t>15分0.5倍</t>
        </is>
      </c>
      <c r="AG3" s="2" t="n">
        <v>0.007378777231201727</v>
      </c>
      <c r="AH3" s="2" t="n">
        <v>12</v>
      </c>
    </row>
    <row r="4">
      <c r="A4" s="2" t="n">
        <v>3</v>
      </c>
      <c r="B4" s="2" t="inlineStr">
        <is>
          <t>AGT_USDT_PERP</t>
        </is>
      </c>
      <c r="C4" s="2" t="inlineStr">
        <is>
          <t>做空</t>
        </is>
      </c>
      <c r="D4" s="7" t="n">
        <v>46289.81041666667</v>
      </c>
      <c r="E4" s="17" t="n">
        <v>0.019584</v>
      </c>
      <c r="F4" s="17" t="n">
        <v>0.01899648</v>
      </c>
      <c r="G4" s="17" t="n">
        <v>0.0205632</v>
      </c>
      <c r="H4" s="7" t="n">
        <v>46289.97430555556</v>
      </c>
      <c r="I4" s="17" t="n">
        <v>0.01899648</v>
      </c>
      <c r="J4" s="2" t="inlineStr">
        <is>
          <t>止盈</t>
        </is>
      </c>
      <c r="K4" s="5">
        <f>(H4-D4)*24</f>
        <v/>
      </c>
      <c r="L4" s="4">
        <f>IF(C4="做多",I4/E4-1,1-I4/E4)-2*參數!$B$7</f>
        <v/>
      </c>
      <c r="M4" s="2" t="inlineStr"/>
      <c r="N4" s="4" t="n"/>
      <c r="O4" s="4" t="n"/>
      <c r="P4" s="4" t="n"/>
      <c r="Q4" s="19" t="n"/>
      <c r="R4" s="19" t="n"/>
      <c r="S4" s="4" t="n">
        <v>0.03</v>
      </c>
      <c r="T4" s="4" t="n">
        <v>0.01710580065359468</v>
      </c>
      <c r="U4" s="16" t="n"/>
      <c r="V4" s="16" t="n"/>
      <c r="W4" s="4" t="n"/>
      <c r="X4" s="4" t="n"/>
      <c r="Y4" s="4" t="n"/>
      <c r="Z4" s="4" t="n"/>
      <c r="AA4" s="4" t="n">
        <v>0.03</v>
      </c>
      <c r="AB4" s="4" t="n">
        <v>0.05</v>
      </c>
      <c r="AC4" s="4">
        <f>(AB4+2*參數!$B$7)/(AA4+AB4)</f>
        <v/>
      </c>
      <c r="AD4" s="2" t="n">
        <v>0.06028797537920427</v>
      </c>
      <c r="AE4" s="2" t="n">
        <v>1.019097229886326</v>
      </c>
      <c r="AF4" s="2" t="inlineStr">
        <is>
          <t>30分1倍</t>
        </is>
      </c>
      <c r="AG4" s="2" t="n">
        <v>0.01329745951259897</v>
      </c>
      <c r="AH4" s="2" t="n">
        <v>27</v>
      </c>
    </row>
    <row r="5">
      <c r="A5" s="2" t="n">
        <v>4</v>
      </c>
      <c r="B5" s="2" t="inlineStr">
        <is>
          <t>PHA_USDT_PERP</t>
        </is>
      </c>
      <c r="C5" s="2" t="inlineStr">
        <is>
          <t>做空</t>
        </is>
      </c>
      <c r="D5" s="7" t="n">
        <v>46289.83541666667</v>
      </c>
      <c r="E5" s="17" t="n">
        <v>0.05098</v>
      </c>
      <c r="F5" s="17" t="n">
        <v>0.0494506</v>
      </c>
      <c r="G5" s="17" t="n">
        <v>0.053529</v>
      </c>
      <c r="H5" s="7" t="n">
        <v>46289.84652777778</v>
      </c>
      <c r="I5" s="17" t="n">
        <v>0.053529</v>
      </c>
      <c r="J5" s="2" t="inlineStr">
        <is>
          <t>止損</t>
        </is>
      </c>
      <c r="K5" s="5">
        <f>(H5-D5)*24</f>
        <v/>
      </c>
      <c r="L5" s="4">
        <f>IF(C5="做多",I5/E5-1,1-I5/E5)-2*參數!$B$7</f>
        <v/>
      </c>
      <c r="M5" s="2" t="inlineStr"/>
      <c r="N5" s="4" t="n"/>
      <c r="O5" s="4" t="n"/>
      <c r="P5" s="4" t="n"/>
      <c r="Q5" s="19" t="n"/>
      <c r="R5" s="19" t="n"/>
      <c r="S5" s="4" t="n">
        <v>0.002942330325617859</v>
      </c>
      <c r="T5" s="4" t="n">
        <v>0.05</v>
      </c>
      <c r="U5" s="16" t="n"/>
      <c r="V5" s="16" t="n"/>
      <c r="W5" s="4" t="n"/>
      <c r="X5" s="4" t="n"/>
      <c r="Y5" s="4" t="n"/>
      <c r="Z5" s="4" t="n"/>
      <c r="AA5" s="4" t="n">
        <v>0.03</v>
      </c>
      <c r="AB5" s="4" t="n">
        <v>0.05</v>
      </c>
      <c r="AC5" s="4">
        <f>(AB5+2*參數!$B$7)/(AA5+AB5)</f>
        <v/>
      </c>
      <c r="AD5" s="2" t="n">
        <v>0.06299706990372544</v>
      </c>
      <c r="AE5" s="2" t="n">
        <v>0.7304297906540625</v>
      </c>
      <c r="AF5" s="2" t="inlineStr">
        <is>
          <t>15分0.5倍</t>
        </is>
      </c>
      <c r="AG5" s="2" t="n">
        <v>0.0001961938395134144</v>
      </c>
      <c r="AH5" s="2" t="n">
        <v>3</v>
      </c>
    </row>
    <row r="6">
      <c r="A6" s="2" t="n">
        <v>5</v>
      </c>
      <c r="B6" s="2" t="inlineStr">
        <is>
          <t>BB_USDT_PERP</t>
        </is>
      </c>
      <c r="C6" s="2" t="inlineStr">
        <is>
          <t>做空</t>
        </is>
      </c>
      <c r="D6" s="7" t="n">
        <v>46289.94236111111</v>
      </c>
      <c r="E6" s="17" t="n">
        <v>0.01095</v>
      </c>
      <c r="F6" s="17" t="n">
        <v>0.0106215</v>
      </c>
      <c r="G6" s="17" t="n">
        <v>0.0114975</v>
      </c>
      <c r="H6" s="7" t="n">
        <v>46289.99236111111</v>
      </c>
      <c r="I6" s="17" t="n">
        <v>0.0106215</v>
      </c>
      <c r="J6" s="2" t="inlineStr">
        <is>
          <t>止盈</t>
        </is>
      </c>
      <c r="K6" s="5">
        <f>(H6-D6)*24</f>
        <v/>
      </c>
      <c r="L6" s="4">
        <f>IF(C6="做多",I6/E6-1,1-I6/E6)-2*參數!$B$7</f>
        <v/>
      </c>
      <c r="M6" s="2" t="inlineStr"/>
      <c r="N6" s="4" t="n"/>
      <c r="O6" s="4" t="n"/>
      <c r="P6" s="4" t="n"/>
      <c r="Q6" s="19" t="n"/>
      <c r="R6" s="19" t="n"/>
      <c r="S6" s="4" t="n">
        <v>0.03</v>
      </c>
      <c r="T6" s="4" t="n">
        <v>0.03926940639269394</v>
      </c>
      <c r="U6" s="16" t="n"/>
      <c r="V6" s="16" t="n"/>
      <c r="W6" s="4" t="n"/>
      <c r="X6" s="4" t="n"/>
      <c r="Y6" s="4" t="n"/>
      <c r="Z6" s="4" t="n"/>
      <c r="AA6" s="4" t="n">
        <v>0.03</v>
      </c>
      <c r="AB6" s="4" t="n">
        <v>0.05</v>
      </c>
      <c r="AC6" s="4">
        <f>(AB6+2*參數!$B$7)/(AA6+AB6)</f>
        <v/>
      </c>
      <c r="AD6" s="2" t="n">
        <v>0.07157057654075549</v>
      </c>
      <c r="AE6" s="2" t="n">
        <v>2.437114019164603</v>
      </c>
      <c r="AF6" s="2" t="inlineStr">
        <is>
          <t>2倍</t>
        </is>
      </c>
      <c r="AG6" s="2" t="n">
        <v>0.01388888888888884</v>
      </c>
      <c r="AH6" s="2" t="n">
        <v>37</v>
      </c>
    </row>
    <row r="7">
      <c r="A7" s="2" t="n">
        <v>6</v>
      </c>
      <c r="B7" s="2" t="inlineStr">
        <is>
          <t>RIVER_USDT_PERP</t>
        </is>
      </c>
      <c r="C7" s="2" t="inlineStr">
        <is>
          <t>做空</t>
        </is>
      </c>
      <c r="D7" s="7" t="n">
        <v>46290.01111111111</v>
      </c>
      <c r="E7" s="17" t="n">
        <v>1.278</v>
      </c>
      <c r="F7" s="17" t="n">
        <v>1.23966</v>
      </c>
      <c r="G7" s="17" t="n">
        <v>1.3419</v>
      </c>
      <c r="H7" s="7" t="n">
        <v>46290.44930555556</v>
      </c>
      <c r="I7" s="17" t="n">
        <v>1.23966</v>
      </c>
      <c r="J7" s="2" t="inlineStr">
        <is>
          <t>止盈</t>
        </is>
      </c>
      <c r="K7" s="5">
        <f>(H7-D7)*24</f>
        <v/>
      </c>
      <c r="L7" s="4">
        <f>IF(C7="做多",I7/E7-1,1-I7/E7)-2*參數!$B$7</f>
        <v/>
      </c>
      <c r="M7" s="2" t="inlineStr"/>
      <c r="N7" s="4" t="n"/>
      <c r="O7" s="4" t="n"/>
      <c r="P7" s="4" t="n"/>
      <c r="Q7" s="19" t="n"/>
      <c r="R7" s="19" t="n"/>
      <c r="S7" s="4" t="n">
        <v>0.03</v>
      </c>
      <c r="T7" s="4" t="n">
        <v>0.04460093896713602</v>
      </c>
      <c r="U7" s="16" t="n"/>
      <c r="V7" s="16" t="n"/>
      <c r="W7" s="4" t="n"/>
      <c r="X7" s="4" t="n"/>
      <c r="Y7" s="4" t="n"/>
      <c r="Z7" s="4" t="n"/>
      <c r="AA7" s="4" t="n">
        <v>0.03</v>
      </c>
      <c r="AB7" s="4" t="n">
        <v>0.05</v>
      </c>
      <c r="AC7" s="4">
        <f>(AB7+2*參數!$B$7)/(AA7+AB7)</f>
        <v/>
      </c>
      <c r="AD7" s="2" t="n">
        <v>0.06688963210702337</v>
      </c>
      <c r="AE7" s="2" t="n">
        <v>1.912629795915797</v>
      </c>
      <c r="AF7" s="2" t="inlineStr">
        <is>
          <t>30分1倍+15分0.5倍</t>
        </is>
      </c>
      <c r="AG7" s="2" t="n">
        <v>0.00156739811912221</v>
      </c>
      <c r="AH7" s="2" t="n">
        <v>16</v>
      </c>
    </row>
    <row r="8">
      <c r="A8" s="2" t="n">
        <v>7</v>
      </c>
      <c r="B8" s="2" t="inlineStr">
        <is>
          <t>LAB_USDT_PERP</t>
        </is>
      </c>
      <c r="C8" s="2" t="inlineStr">
        <is>
          <t>做空</t>
        </is>
      </c>
      <c r="D8" s="7" t="n">
        <v>46290.01458333333</v>
      </c>
      <c r="E8" s="17" t="n">
        <v>0.06094</v>
      </c>
      <c r="F8" s="17" t="n">
        <v>0.0591118</v>
      </c>
      <c r="G8" s="17" t="n">
        <v>0.063987</v>
      </c>
      <c r="H8" s="7" t="n">
        <v>46290.26388888889</v>
      </c>
      <c r="I8" s="17" t="n">
        <v>0.0591118</v>
      </c>
      <c r="J8" s="2" t="inlineStr">
        <is>
          <t>止盈</t>
        </is>
      </c>
      <c r="K8" s="5">
        <f>(H8-D8)*24</f>
        <v/>
      </c>
      <c r="L8" s="4">
        <f>IF(C8="做多",I8/E8-1,1-I8/E8)-2*參數!$B$7</f>
        <v/>
      </c>
      <c r="M8" s="2" t="inlineStr"/>
      <c r="N8" s="4" t="n"/>
      <c r="O8" s="4" t="n"/>
      <c r="P8" s="4" t="n"/>
      <c r="Q8" s="19" t="n"/>
      <c r="R8" s="19" t="n"/>
      <c r="S8" s="4" t="n">
        <v>0.03</v>
      </c>
      <c r="T8" s="4" t="n">
        <v>0.03807023301608137</v>
      </c>
      <c r="U8" s="16" t="n"/>
      <c r="V8" s="16" t="n"/>
      <c r="W8" s="4" t="n"/>
      <c r="X8" s="4" t="n"/>
      <c r="Y8" s="4" t="n"/>
      <c r="Z8" s="4" t="n"/>
      <c r="AA8" s="4" t="n">
        <v>0.03</v>
      </c>
      <c r="AB8" s="4" t="n">
        <v>0.05</v>
      </c>
      <c r="AC8" s="4">
        <f>(AB8+2*參數!$B$7)/(AA8+AB8)</f>
        <v/>
      </c>
      <c r="AD8" s="2" t="n">
        <v>0.06563976894801327</v>
      </c>
      <c r="AE8" s="2" t="n">
        <v>0.6644694678375066</v>
      </c>
      <c r="AF8" s="2" t="inlineStr">
        <is>
          <t>15分0.5倍</t>
        </is>
      </c>
      <c r="AG8" s="2" t="n">
        <v>0.0003282994090609836</v>
      </c>
      <c r="AH8" s="2" t="n">
        <v>21</v>
      </c>
    </row>
    <row r="9">
      <c r="A9" s="2" t="n">
        <v>8</v>
      </c>
      <c r="B9" s="2" t="inlineStr">
        <is>
          <t>SAGA_USDT_PERP</t>
        </is>
      </c>
      <c r="C9" s="2" t="inlineStr">
        <is>
          <t>做空</t>
        </is>
      </c>
      <c r="D9" s="7" t="n">
        <v>46290.3375</v>
      </c>
      <c r="E9" s="17" t="n">
        <v>0.07862</v>
      </c>
      <c r="F9" s="17" t="n">
        <v>0.07626139999999999</v>
      </c>
      <c r="G9" s="17" t="n">
        <v>0.082551</v>
      </c>
      <c r="H9" s="7" t="n">
        <v>46290.33819444444</v>
      </c>
      <c r="I9" s="17" t="n">
        <v>0.07626139999999999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/>
      <c r="O9" s="4" t="n"/>
      <c r="P9" s="4" t="n"/>
      <c r="Q9" s="19" t="n"/>
      <c r="R9" s="19" t="n"/>
      <c r="S9" s="4" t="n">
        <v>0.03</v>
      </c>
      <c r="T9" s="4" t="n">
        <v>0</v>
      </c>
      <c r="U9" s="16" t="n"/>
      <c r="V9" s="16" t="n"/>
      <c r="W9" s="4" t="n"/>
      <c r="X9" s="4" t="n"/>
      <c r="Y9" s="4" t="n"/>
      <c r="Z9" s="4" t="n"/>
      <c r="AA9" s="4" t="n">
        <v>0.03</v>
      </c>
      <c r="AB9" s="4" t="n">
        <v>0.05</v>
      </c>
      <c r="AC9" s="4">
        <f>(AB9+2*參數!$B$7)/(AA9+AB9)</f>
        <v/>
      </c>
      <c r="AD9" s="2" t="n">
        <v>0.07787302048525357</v>
      </c>
      <c r="AE9" s="2" t="n">
        <v>0.5542907342236053</v>
      </c>
      <c r="AF9" s="2" t="inlineStr">
        <is>
          <t>15分0.5倍</t>
        </is>
      </c>
      <c r="AG9" s="2" t="n">
        <v>0.03270721134900811</v>
      </c>
      <c r="AH9" s="2" t="n">
        <v>6</v>
      </c>
    </row>
    <row r="10">
      <c r="A10" s="2" t="n">
        <v>9</v>
      </c>
      <c r="B10" s="2" t="inlineStr">
        <is>
          <t>PLAY_USDT_PERP</t>
        </is>
      </c>
      <c r="C10" s="2" t="inlineStr">
        <is>
          <t>做空</t>
        </is>
      </c>
      <c r="D10" s="7" t="n">
        <v>46290.45555555556</v>
      </c>
      <c r="E10" s="17" t="n">
        <v>0.04057</v>
      </c>
      <c r="F10" s="17" t="n">
        <v>0.0393529</v>
      </c>
      <c r="G10" s="17" t="n">
        <v>0.0425985</v>
      </c>
      <c r="H10" s="7" t="n">
        <v>46290.48263888889</v>
      </c>
      <c r="I10" s="17" t="n">
        <v>0.0393529</v>
      </c>
      <c r="J10" s="2" t="inlineStr">
        <is>
          <t>止盈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/>
      <c r="O10" s="4" t="n"/>
      <c r="P10" s="4" t="n"/>
      <c r="Q10" s="19" t="n"/>
      <c r="R10" s="19" t="n"/>
      <c r="S10" s="4" t="n">
        <v>0.03</v>
      </c>
      <c r="T10" s="4" t="n">
        <v>0.01947251663790972</v>
      </c>
      <c r="U10" s="16" t="n"/>
      <c r="V10" s="16" t="n"/>
      <c r="W10" s="4" t="n"/>
      <c r="X10" s="4" t="n"/>
      <c r="Y10" s="4" t="n"/>
      <c r="Z10" s="4" t="n"/>
      <c r="AA10" s="4" t="n">
        <v>0.03</v>
      </c>
      <c r="AB10" s="4" t="n">
        <v>0.05</v>
      </c>
      <c r="AC10" s="4">
        <f>(AB10+2*參數!$B$7)/(AA10+AB10)</f>
        <v/>
      </c>
      <c r="AD10" s="2" t="n">
        <v>0.06444740346205058</v>
      </c>
      <c r="AE10" s="2" t="n">
        <v>2.46672496232488</v>
      </c>
      <c r="AF10" s="2" t="inlineStr">
        <is>
          <t>2倍</t>
        </is>
      </c>
      <c r="AG10" s="2" t="n">
        <v>0.0002465483234714849</v>
      </c>
      <c r="AH10" s="2" t="n">
        <v>56</v>
      </c>
    </row>
    <row r="11">
      <c r="A11" s="2" t="n">
        <v>10</v>
      </c>
      <c r="B11" s="2" t="inlineStr">
        <is>
          <t>MOVR_USDT_PERP</t>
        </is>
      </c>
      <c r="C11" s="2" t="inlineStr">
        <is>
          <t>做空</t>
        </is>
      </c>
      <c r="D11" s="7" t="n">
        <v>46290.54375</v>
      </c>
      <c r="E11" s="17" t="n">
        <v>0.974</v>
      </c>
      <c r="F11" s="17" t="n">
        <v>0.94478</v>
      </c>
      <c r="G11" s="17" t="n">
        <v>1.0227</v>
      </c>
      <c r="H11" s="7" t="n">
        <v>46290.55763888889</v>
      </c>
      <c r="I11" s="17" t="n">
        <v>0.94478</v>
      </c>
      <c r="J11" s="2" t="inlineStr">
        <is>
          <t>止盈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/>
      <c r="O11" s="4" t="n"/>
      <c r="P11" s="4" t="n"/>
      <c r="Q11" s="19" t="n"/>
      <c r="R11" s="19" t="n"/>
      <c r="S11" s="4" t="n">
        <v>0.03</v>
      </c>
      <c r="T11" s="4" t="n">
        <v>0.01642710472279263</v>
      </c>
      <c r="U11" s="16" t="n"/>
      <c r="V11" s="16" t="n"/>
      <c r="W11" s="4" t="n"/>
      <c r="X11" s="4" t="n"/>
      <c r="Y11" s="4" t="n"/>
      <c r="Z11" s="4" t="n"/>
      <c r="AA11" s="4" t="n">
        <v>0.03</v>
      </c>
      <c r="AB11" s="4" t="n">
        <v>0.05</v>
      </c>
      <c r="AC11" s="4">
        <f>(AB11+2*參數!$B$7)/(AA11+AB11)</f>
        <v/>
      </c>
      <c r="AD11" s="2" t="n">
        <v>0.0723025583982202</v>
      </c>
      <c r="AE11" s="2" t="n">
        <v>0.697488740609033</v>
      </c>
      <c r="AF11" s="2" t="inlineStr">
        <is>
          <t>15分0.5倍</t>
        </is>
      </c>
      <c r="AG11" s="2" t="n">
        <v>0.007238883143743546</v>
      </c>
      <c r="AH11" s="2" t="n">
        <v>3</v>
      </c>
    </row>
    <row r="12">
      <c r="A12" s="2" t="n">
        <v>11</v>
      </c>
      <c r="B12" s="2" t="inlineStr">
        <is>
          <t>PHA_USDT_PERP</t>
        </is>
      </c>
      <c r="C12" s="2" t="inlineStr">
        <is>
          <t>做空</t>
        </is>
      </c>
      <c r="D12" s="7" t="n">
        <v>46290.64305555556</v>
      </c>
      <c r="E12" s="17" t="n">
        <v>0.05717</v>
      </c>
      <c r="F12" s="17" t="n">
        <v>0.05545489999999999</v>
      </c>
      <c r="G12" s="17" t="n">
        <v>0.0600285</v>
      </c>
      <c r="H12" s="7" t="n">
        <v>46290.66527777778</v>
      </c>
      <c r="I12" s="17" t="n">
        <v>0.05545489999999999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/>
      <c r="O12" s="4" t="n"/>
      <c r="P12" s="4" t="n"/>
      <c r="Q12" s="19" t="n"/>
      <c r="R12" s="19" t="n"/>
      <c r="S12" s="4" t="n">
        <v>0.03</v>
      </c>
      <c r="T12" s="4" t="n">
        <v>0.02781178940003493</v>
      </c>
      <c r="U12" s="16" t="n"/>
      <c r="V12" s="16" t="n"/>
      <c r="W12" s="4" t="n"/>
      <c r="X12" s="4" t="n"/>
      <c r="Y12" s="4" t="n"/>
      <c r="Z12" s="4" t="n"/>
      <c r="AA12" s="4" t="n">
        <v>0.03</v>
      </c>
      <c r="AB12" s="4" t="n">
        <v>0.05</v>
      </c>
      <c r="AC12" s="4">
        <f>(AB12+2*參數!$B$7)/(AA12+AB12)</f>
        <v/>
      </c>
      <c r="AD12" s="2" t="n">
        <v>0.06047556637333851</v>
      </c>
      <c r="AE12" s="2" t="n">
        <v>1.017332550709329</v>
      </c>
      <c r="AF12" s="2" t="inlineStr">
        <is>
          <t>30分1倍</t>
        </is>
      </c>
      <c r="AG12" s="2" t="n">
        <v>0.001401296198983992</v>
      </c>
      <c r="AH12" s="2" t="n">
        <v>26</v>
      </c>
    </row>
    <row r="13">
      <c r="A13" s="2" t="n">
        <v>12</v>
      </c>
      <c r="B13" s="2" t="inlineStr">
        <is>
          <t>CASHCAT_USDT_PERP</t>
        </is>
      </c>
      <c r="C13" s="2" t="inlineStr">
        <is>
          <t>做空</t>
        </is>
      </c>
      <c r="D13" s="7" t="n">
        <v>46290.67708333334</v>
      </c>
      <c r="E13" s="17" t="n">
        <v>0.1726</v>
      </c>
      <c r="F13" s="17" t="n">
        <v>0.167422</v>
      </c>
      <c r="G13" s="17" t="n">
        <v>0.18123</v>
      </c>
      <c r="H13" s="7" t="n">
        <v>46290.76041666666</v>
      </c>
      <c r="I13" s="17" t="n">
        <v>0.18123</v>
      </c>
      <c r="J13" s="2" t="inlineStr">
        <is>
          <t>止損</t>
        </is>
      </c>
      <c r="K13" s="5">
        <f>(H13-D13)*24</f>
        <v/>
      </c>
      <c r="L13" s="4">
        <f>IF(C13="做多",I13/E13-1,1-I13/E13)-2*參數!$B$7</f>
        <v/>
      </c>
      <c r="M13" s="2" t="inlineStr"/>
      <c r="N13" s="4" t="n"/>
      <c r="O13" s="4" t="n"/>
      <c r="P13" s="4" t="n"/>
      <c r="Q13" s="19" t="n"/>
      <c r="R13" s="19" t="n"/>
      <c r="S13" s="4" t="n">
        <v>0.008690614136732333</v>
      </c>
      <c r="T13" s="4" t="n">
        <v>0.05</v>
      </c>
      <c r="U13" s="16" t="n"/>
      <c r="V13" s="16" t="n"/>
      <c r="W13" s="4" t="n"/>
      <c r="X13" s="4" t="n"/>
      <c r="Y13" s="4" t="n"/>
      <c r="Z13" s="4" t="n"/>
      <c r="AA13" s="4" t="n">
        <v>0.03</v>
      </c>
      <c r="AB13" s="4" t="n">
        <v>0.05</v>
      </c>
      <c r="AC13" s="4">
        <f>(AB13+2*參數!$B$7)/(AA13+AB13)</f>
        <v/>
      </c>
      <c r="AD13" s="2" t="n">
        <v>0.06574827802128991</v>
      </c>
      <c r="AE13" s="2" t="n">
        <v>0.5128737627342798</v>
      </c>
      <c r="AF13" s="2" t="inlineStr">
        <is>
          <t>15分0.5倍</t>
        </is>
      </c>
      <c r="AG13" s="2" t="n">
        <v>0.009356725146198785</v>
      </c>
      <c r="AH13" s="2" t="n">
        <v>15</v>
      </c>
    </row>
    <row r="14">
      <c r="A14" s="2" t="n">
        <v>13</v>
      </c>
      <c r="B14" s="2" t="inlineStr">
        <is>
          <t>MUBARAK_USDT_PERP</t>
        </is>
      </c>
      <c r="C14" s="2" t="inlineStr">
        <is>
          <t>做空</t>
        </is>
      </c>
      <c r="D14" s="7" t="n">
        <v>46290.84166666667</v>
      </c>
      <c r="E14" s="17" t="n">
        <v>0.04613</v>
      </c>
      <c r="F14" s="17" t="n">
        <v>0.0447461</v>
      </c>
      <c r="G14" s="17" t="n">
        <v>0.0484365</v>
      </c>
      <c r="H14" s="7" t="n">
        <v>46290.86875</v>
      </c>
      <c r="I14" s="17" t="n">
        <v>0.0447461</v>
      </c>
      <c r="J14" s="2" t="inlineStr">
        <is>
          <t>止盈</t>
        </is>
      </c>
      <c r="K14" s="5">
        <f>(H14-D14)*24</f>
        <v/>
      </c>
      <c r="L14" s="4">
        <f>IF(C14="做多",I14/E14-1,1-I14/E14)-2*參數!$B$7</f>
        <v/>
      </c>
      <c r="M14" s="2" t="inlineStr"/>
      <c r="N14" s="4" t="n"/>
      <c r="O14" s="4" t="n"/>
      <c r="P14" s="4" t="n"/>
      <c r="Q14" s="19" t="n"/>
      <c r="R14" s="19" t="n"/>
      <c r="S14" s="4" t="n">
        <v>0.03</v>
      </c>
      <c r="T14" s="4" t="n">
        <v>0.003468458703663524</v>
      </c>
      <c r="U14" s="16" t="n"/>
      <c r="V14" s="16" t="n"/>
      <c r="W14" s="4" t="n"/>
      <c r="X14" s="4" t="n"/>
      <c r="Y14" s="4" t="n"/>
      <c r="Z14" s="4" t="n"/>
      <c r="AA14" s="4" t="n">
        <v>0.03</v>
      </c>
      <c r="AB14" s="4" t="n">
        <v>0.05</v>
      </c>
      <c r="AC14" s="4">
        <f>(AB14+2*參數!$B$7)/(AA14+AB14)</f>
        <v/>
      </c>
      <c r="AD14" s="2" t="n">
        <v>0.06917504089740589</v>
      </c>
      <c r="AE14" s="2" t="n">
        <v>0.52803218169666</v>
      </c>
      <c r="AF14" s="2" t="inlineStr">
        <is>
          <t>15分0.5倍</t>
        </is>
      </c>
      <c r="AG14" s="2" t="n">
        <v>0.0008678672163158208</v>
      </c>
      <c r="AH14" s="2" t="n">
        <v>12</v>
      </c>
    </row>
    <row r="15">
      <c r="A15" s="2" t="n">
        <v>14</v>
      </c>
      <c r="B15" s="2" t="inlineStr">
        <is>
          <t>MOVR_USDT_PERP</t>
        </is>
      </c>
      <c r="C15" s="2" t="inlineStr">
        <is>
          <t>做空</t>
        </is>
      </c>
      <c r="D15" s="7" t="n">
        <v>46290.96875</v>
      </c>
      <c r="E15" s="17" t="n">
        <v>1.119</v>
      </c>
      <c r="F15" s="17" t="n">
        <v>1.08543</v>
      </c>
      <c r="G15" s="17" t="n">
        <v>1.17495</v>
      </c>
      <c r="H15" s="7" t="n">
        <v>46290.97430555556</v>
      </c>
      <c r="I15" s="17" t="n">
        <v>1.08543</v>
      </c>
      <c r="J15" s="2" t="inlineStr">
        <is>
          <t>止盈</t>
        </is>
      </c>
      <c r="K15" s="5">
        <f>(H15-D15)*24</f>
        <v/>
      </c>
      <c r="L15" s="4">
        <f>IF(C15="做多",I15/E15-1,1-I15/E15)-2*參數!$B$7</f>
        <v/>
      </c>
      <c r="M15" s="2" t="inlineStr"/>
      <c r="N15" s="4" t="n"/>
      <c r="O15" s="4" t="n"/>
      <c r="P15" s="4" t="n"/>
      <c r="Q15" s="19" t="n"/>
      <c r="R15" s="19" t="n"/>
      <c r="S15" s="4" t="n">
        <v>0.03</v>
      </c>
      <c r="T15" s="4" t="n">
        <v>0.01251117068811447</v>
      </c>
      <c r="U15" s="16" t="n"/>
      <c r="V15" s="16" t="n"/>
      <c r="W15" s="4" t="n"/>
      <c r="X15" s="4" t="n"/>
      <c r="Y15" s="4" t="n"/>
      <c r="Z15" s="4" t="n"/>
      <c r="AA15" s="4" t="n">
        <v>0.03</v>
      </c>
      <c r="AB15" s="4" t="n">
        <v>0.05</v>
      </c>
      <c r="AC15" s="4">
        <f>(AB15+2*參數!$B$7)/(AA15+AB15)</f>
        <v/>
      </c>
      <c r="AD15" s="2" t="n">
        <v>0.06886227544910173</v>
      </c>
      <c r="AE15" s="2" t="n">
        <v>0.5088775642603551</v>
      </c>
      <c r="AF15" s="2" t="inlineStr">
        <is>
          <t>15分0.5倍</t>
        </is>
      </c>
      <c r="AG15" s="2" t="n">
        <v>0.04384328358208944</v>
      </c>
      <c r="AH15" s="2" t="n">
        <v>15</v>
      </c>
    </row>
    <row r="16">
      <c r="A16" s="2" t="n">
        <v>15</v>
      </c>
      <c r="B16" s="2" t="inlineStr">
        <is>
          <t>LYN_USDT_PERP</t>
        </is>
      </c>
      <c r="C16" s="2" t="inlineStr">
        <is>
          <t>做空</t>
        </is>
      </c>
      <c r="D16" s="7" t="n">
        <v>46291.00694444445</v>
      </c>
      <c r="E16" s="17" t="n">
        <v>0.04478</v>
      </c>
      <c r="F16" s="17" t="n">
        <v>0.0434366</v>
      </c>
      <c r="G16" s="17" t="n">
        <v>0.04701900000000001</v>
      </c>
      <c r="H16" s="7" t="n">
        <v>46291.00833333333</v>
      </c>
      <c r="I16" s="17" t="n">
        <v>0.0434366</v>
      </c>
      <c r="J16" s="2" t="inlineStr">
        <is>
          <t>止盈</t>
        </is>
      </c>
      <c r="K16" s="5">
        <f>(H16-D16)*24</f>
        <v/>
      </c>
      <c r="L16" s="4">
        <f>IF(C16="做多",I16/E16-1,1-I16/E16)-2*參數!$B$7</f>
        <v/>
      </c>
      <c r="M16" s="2" t="inlineStr"/>
      <c r="N16" s="4" t="n"/>
      <c r="O16" s="4" t="n"/>
      <c r="P16" s="4" t="n"/>
      <c r="Q16" s="19" t="n"/>
      <c r="R16" s="19" t="n"/>
      <c r="S16" s="4" t="n">
        <v>0.03</v>
      </c>
      <c r="T16" s="4" t="n">
        <v>0.01987494417150515</v>
      </c>
      <c r="U16" s="16" t="n"/>
      <c r="V16" s="16" t="n"/>
      <c r="W16" s="4" t="n"/>
      <c r="X16" s="4" t="n"/>
      <c r="Y16" s="4" t="n"/>
      <c r="Z16" s="4" t="n"/>
      <c r="AA16" s="4" t="n">
        <v>0.03</v>
      </c>
      <c r="AB16" s="4" t="n">
        <v>0.05</v>
      </c>
      <c r="AC16" s="4">
        <f>(AB16+2*參數!$B$7)/(AA16+AB16)</f>
        <v/>
      </c>
      <c r="AD16" s="2" t="n">
        <v>0.1174261392088132</v>
      </c>
      <c r="AE16" s="2" t="n">
        <v>0.6496533063496981</v>
      </c>
      <c r="AF16" s="2" t="inlineStr">
        <is>
          <t>15分0.5倍</t>
        </is>
      </c>
      <c r="AG16" s="2" t="n">
        <v>0.001565645269514748</v>
      </c>
      <c r="AH16" s="2" t="n">
        <v>10</v>
      </c>
    </row>
    <row r="17">
      <c r="A17" s="2" t="n">
        <v>16</v>
      </c>
      <c r="B17" s="2" t="inlineStr">
        <is>
          <t>SPK_USDT_PERP</t>
        </is>
      </c>
      <c r="C17" s="2" t="inlineStr">
        <is>
          <t>做空</t>
        </is>
      </c>
      <c r="D17" s="7" t="n">
        <v>46291.00833333333</v>
      </c>
      <c r="E17" s="17" t="n">
        <v>0.0245</v>
      </c>
      <c r="F17" s="17" t="n">
        <v>0.023765</v>
      </c>
      <c r="G17" s="17" t="n">
        <v>0.025725</v>
      </c>
      <c r="H17" s="7" t="n">
        <v>46291.01805555556</v>
      </c>
      <c r="I17" s="17" t="n">
        <v>0.025725</v>
      </c>
      <c r="J17" s="2" t="inlineStr">
        <is>
          <t>止損</t>
        </is>
      </c>
      <c r="K17" s="5">
        <f>(H17-D17)*24</f>
        <v/>
      </c>
      <c r="L17" s="4">
        <f>IF(C17="做多",I17/E17-1,1-I17/E17)-2*參數!$B$7</f>
        <v/>
      </c>
      <c r="M17" s="2" t="inlineStr"/>
      <c r="N17" s="4" t="n"/>
      <c r="O17" s="4" t="n"/>
      <c r="P17" s="4" t="n"/>
      <c r="Q17" s="19" t="n"/>
      <c r="R17" s="19" t="n"/>
      <c r="S17" s="4" t="n">
        <v>0.01836734693877562</v>
      </c>
      <c r="T17" s="4" t="n">
        <v>0.05</v>
      </c>
      <c r="U17" s="16" t="n"/>
      <c r="V17" s="16" t="n"/>
      <c r="W17" s="4" t="n"/>
      <c r="X17" s="4" t="n"/>
      <c r="Y17" s="4" t="n"/>
      <c r="Z17" s="4" t="n"/>
      <c r="AA17" s="4" t="n">
        <v>0.03</v>
      </c>
      <c r="AB17" s="4" t="n">
        <v>0.05</v>
      </c>
      <c r="AC17" s="4">
        <f>(AB17+2*參數!$B$7)/(AA17+AB17)</f>
        <v/>
      </c>
      <c r="AD17" s="2" t="n">
        <v>0.06481481481481488</v>
      </c>
      <c r="AE17" s="2" t="n">
        <v>0.5050397363242459</v>
      </c>
      <c r="AF17" s="2" t="inlineStr">
        <is>
          <t>15分0.5倍</t>
        </is>
      </c>
      <c r="AG17" s="2" t="n">
        <v>0.01072607260726066</v>
      </c>
      <c r="AH17" s="2" t="n">
        <v>12</v>
      </c>
    </row>
    <row r="18">
      <c r="A18" s="2" t="n">
        <v>17</v>
      </c>
      <c r="B18" s="2" t="inlineStr">
        <is>
          <t>LYN_USDT_PERP</t>
        </is>
      </c>
      <c r="C18" s="2" t="inlineStr">
        <is>
          <t>做空</t>
        </is>
      </c>
      <c r="D18" s="7" t="n">
        <v>46291.05</v>
      </c>
      <c r="E18" s="17" t="n">
        <v>0.07316</v>
      </c>
      <c r="F18" s="17" t="n">
        <v>0.07096520000000001</v>
      </c>
      <c r="G18" s="17" t="n">
        <v>0.07681800000000001</v>
      </c>
      <c r="H18" s="7" t="n">
        <v>46291.05069444444</v>
      </c>
      <c r="I18" s="17" t="n">
        <v>0.07096520000000001</v>
      </c>
      <c r="J18" s="2" t="inlineStr">
        <is>
          <t>止盈</t>
        </is>
      </c>
      <c r="K18" s="5">
        <f>(H18-D18)*24</f>
        <v/>
      </c>
      <c r="L18" s="4">
        <f>IF(C18="做多",I18/E18-1,1-I18/E18)-2*參數!$B$7</f>
        <v/>
      </c>
      <c r="M18" s="2" t="inlineStr"/>
      <c r="N18" s="4" t="n"/>
      <c r="O18" s="4" t="n"/>
      <c r="P18" s="4" t="n"/>
      <c r="Q18" s="19" t="n"/>
      <c r="R18" s="19" t="n"/>
      <c r="S18" s="4" t="n">
        <v>0.03</v>
      </c>
      <c r="T18" s="4" t="n">
        <v>0</v>
      </c>
      <c r="U18" s="16" t="n"/>
      <c r="V18" s="16" t="n"/>
      <c r="W18" s="4" t="n"/>
      <c r="X18" s="4" t="n"/>
      <c r="Y18" s="4" t="n"/>
      <c r="Z18" s="4" t="n"/>
      <c r="AA18" s="4" t="n">
        <v>0.03</v>
      </c>
      <c r="AB18" s="4" t="n">
        <v>0.05</v>
      </c>
      <c r="AC18" s="4">
        <f>(AB18+2*參數!$B$7)/(AA18+AB18)</f>
        <v/>
      </c>
      <c r="AD18" s="2" t="n">
        <v>0.5736051982971095</v>
      </c>
      <c r="AE18" s="2" t="n">
        <v>0.5566970423952549</v>
      </c>
      <c r="AF18" s="2" t="inlineStr">
        <is>
          <t>15分0.5倍</t>
        </is>
      </c>
      <c r="AG18" s="2" t="n">
        <v>0.0283947146471748</v>
      </c>
      <c r="AH18" s="2" t="n">
        <v>12</v>
      </c>
    </row>
    <row r="19">
      <c r="A19" s="2" t="n">
        <v>18</v>
      </c>
      <c r="B19" s="2" t="inlineStr">
        <is>
          <t>2Z_USDT_PERP</t>
        </is>
      </c>
      <c r="C19" s="2" t="inlineStr">
        <is>
          <t>做空</t>
        </is>
      </c>
      <c r="D19" s="7" t="n">
        <v>46291.59166666667</v>
      </c>
      <c r="E19" s="17" t="n">
        <v>0.06308999999999999</v>
      </c>
      <c r="F19" s="17" t="n">
        <v>0.06119729999999999</v>
      </c>
      <c r="G19" s="17" t="n">
        <v>0.0662445</v>
      </c>
      <c r="H19" s="7" t="n">
        <v>46291.59513888889</v>
      </c>
      <c r="I19" s="17" t="n">
        <v>0.0662445</v>
      </c>
      <c r="J19" s="2" t="inlineStr">
        <is>
          <t>止損</t>
        </is>
      </c>
      <c r="K19" s="5">
        <f>(H19-D19)*24</f>
        <v/>
      </c>
      <c r="L19" s="4">
        <f>IF(C19="做多",I19/E19-1,1-I19/E19)-2*參數!$B$7</f>
        <v/>
      </c>
      <c r="M19" s="2" t="inlineStr"/>
      <c r="N19" s="4" t="n"/>
      <c r="O19" s="4" t="n"/>
      <c r="P19" s="4" t="n"/>
      <c r="Q19" s="19" t="n"/>
      <c r="R19" s="19" t="n"/>
      <c r="S19" s="4" t="n">
        <v>0.005547630369313494</v>
      </c>
      <c r="T19" s="4" t="n">
        <v>0.05</v>
      </c>
      <c r="U19" s="16" t="n"/>
      <c r="V19" s="16" t="n"/>
      <c r="W19" s="4" t="n"/>
      <c r="X19" s="4" t="n"/>
      <c r="Y19" s="4" t="n"/>
      <c r="Z19" s="4" t="n"/>
      <c r="AA19" s="4" t="n">
        <v>0.03</v>
      </c>
      <c r="AB19" s="4" t="n">
        <v>0.05</v>
      </c>
      <c r="AC19" s="4">
        <f>(AB19+2*參數!$B$7)/(AA19+AB19)</f>
        <v/>
      </c>
      <c r="AD19" s="2" t="n">
        <v>0.06901974488904417</v>
      </c>
      <c r="AE19" s="2" t="n">
        <v>0.5078436752773313</v>
      </c>
      <c r="AF19" s="2" t="inlineStr">
        <is>
          <t>15分0.5倍</t>
        </is>
      </c>
      <c r="AG19" s="2" t="n">
        <v>0.03071393563143276</v>
      </c>
      <c r="AH19" s="2" t="n">
        <v>12</v>
      </c>
    </row>
    <row r="20">
      <c r="A20" s="2" t="n">
        <v>19</v>
      </c>
      <c r="B20" s="2" t="inlineStr">
        <is>
          <t>Q_USDT_PERP</t>
        </is>
      </c>
      <c r="C20" s="2" t="inlineStr">
        <is>
          <t>做空</t>
        </is>
      </c>
      <c r="D20" s="7" t="n">
        <v>46291.62777777778</v>
      </c>
      <c r="E20" s="17" t="n">
        <v>0.03002</v>
      </c>
      <c r="F20" s="17" t="n">
        <v>0.0291194</v>
      </c>
      <c r="G20" s="17" t="n">
        <v>0.031521</v>
      </c>
      <c r="H20" s="7" t="n">
        <v>46291.64236111111</v>
      </c>
      <c r="I20" s="17" t="n">
        <v>0.031521</v>
      </c>
      <c r="J20" s="2" t="inlineStr">
        <is>
          <t>止損</t>
        </is>
      </c>
      <c r="K20" s="5">
        <f>(H20-D20)*24</f>
        <v/>
      </c>
      <c r="L20" s="4">
        <f>IF(C20="做多",I20/E20-1,1-I20/E20)-2*參數!$B$7</f>
        <v/>
      </c>
      <c r="M20" s="2" t="inlineStr"/>
      <c r="N20" s="4" t="n"/>
      <c r="O20" s="4" t="n"/>
      <c r="P20" s="4" t="n"/>
      <c r="Q20" s="19" t="n"/>
      <c r="R20" s="19" t="n"/>
      <c r="S20" s="4" t="n">
        <v>0.01395736175882756</v>
      </c>
      <c r="T20" s="4" t="n">
        <v>0.05</v>
      </c>
      <c r="U20" s="16" t="n"/>
      <c r="V20" s="16" t="n"/>
      <c r="W20" s="4" t="n"/>
      <c r="X20" s="4" t="n"/>
      <c r="Y20" s="4" t="n"/>
      <c r="Z20" s="4" t="n"/>
      <c r="AA20" s="4" t="n">
        <v>0.03</v>
      </c>
      <c r="AB20" s="4" t="n">
        <v>0.05</v>
      </c>
      <c r="AC20" s="4">
        <f>(AB20+2*參數!$B$7)/(AA20+AB20)</f>
        <v/>
      </c>
      <c r="AD20" s="2" t="n">
        <v>0.1789825630607753</v>
      </c>
      <c r="AE20" s="2" t="n">
        <v>0.6712558597342427</v>
      </c>
      <c r="AF20" s="2" t="inlineStr">
        <is>
          <t>15分0.5倍</t>
        </is>
      </c>
      <c r="AG20" s="2" t="n">
        <v>0.0553329114814034</v>
      </c>
      <c r="AH20" s="2" t="n">
        <v>4</v>
      </c>
    </row>
    <row r="21">
      <c r="A21" s="2" t="n">
        <v>20</v>
      </c>
      <c r="B21" s="2" t="inlineStr">
        <is>
          <t>2Z_USDT_PERP</t>
        </is>
      </c>
      <c r="C21" s="2" t="inlineStr">
        <is>
          <t>做空</t>
        </is>
      </c>
      <c r="D21" s="7" t="n">
        <v>46291.72638888889</v>
      </c>
      <c r="E21" s="17" t="n">
        <v>0.07753</v>
      </c>
      <c r="F21" s="17" t="n">
        <v>0.0752041</v>
      </c>
      <c r="G21" s="17" t="n">
        <v>0.08140650000000001</v>
      </c>
      <c r="H21" s="7" t="n">
        <v>46291.74375</v>
      </c>
      <c r="I21" s="17" t="n">
        <v>0.0752041</v>
      </c>
      <c r="J21" s="2" t="inlineStr">
        <is>
          <t>止盈</t>
        </is>
      </c>
      <c r="K21" s="5">
        <f>(H21-D21)*24</f>
        <v/>
      </c>
      <c r="L21" s="4">
        <f>IF(C21="做多",I21/E21-1,1-I21/E21)-2*參數!$B$7</f>
        <v/>
      </c>
      <c r="M21" s="2" t="inlineStr"/>
      <c r="N21" s="4" t="n"/>
      <c r="O21" s="4" t="n"/>
      <c r="P21" s="4" t="n"/>
      <c r="Q21" s="19" t="n"/>
      <c r="R21" s="19" t="n"/>
      <c r="S21" s="4" t="n">
        <v>0.03</v>
      </c>
      <c r="T21" s="4" t="n">
        <v>0.007480975106410437</v>
      </c>
      <c r="U21" s="16" t="n"/>
      <c r="V21" s="16" t="n"/>
      <c r="W21" s="4" t="n"/>
      <c r="X21" s="4" t="n"/>
      <c r="Y21" s="4" t="n"/>
      <c r="Z21" s="4" t="n"/>
      <c r="AA21" s="4" t="n">
        <v>0.03</v>
      </c>
      <c r="AB21" s="4" t="n">
        <v>0.05</v>
      </c>
      <c r="AC21" s="4">
        <f>(AB21+2*參數!$B$7)/(AA21+AB21)</f>
        <v/>
      </c>
      <c r="AD21" s="2" t="n">
        <v>0.06061040263648088</v>
      </c>
      <c r="AE21" s="2" t="n">
        <v>1.036535891879482</v>
      </c>
      <c r="AF21" s="2" t="inlineStr">
        <is>
          <t>30分1倍</t>
        </is>
      </c>
      <c r="AG21" s="2" t="n">
        <v>0.03830186152403914</v>
      </c>
      <c r="AH21" s="2" t="n">
        <v>26</v>
      </c>
    </row>
    <row r="22">
      <c r="A22" s="2" t="n">
        <v>21</v>
      </c>
      <c r="B22" s="2" t="inlineStr">
        <is>
          <t>US_USDT_PERP</t>
        </is>
      </c>
      <c r="C22" s="2" t="inlineStr">
        <is>
          <t>做空</t>
        </is>
      </c>
      <c r="D22" s="7" t="n">
        <v>46291.93402777778</v>
      </c>
      <c r="E22" s="17" t="n">
        <v>0.02532</v>
      </c>
      <c r="F22" s="17" t="n">
        <v>0.0245604</v>
      </c>
      <c r="G22" s="17" t="n">
        <v>0.026586</v>
      </c>
      <c r="H22" s="7" t="n">
        <v>46291.96041666667</v>
      </c>
      <c r="I22" s="17" t="n">
        <v>0.026586</v>
      </c>
      <c r="J22" s="2" t="inlineStr">
        <is>
          <t>止損</t>
        </is>
      </c>
      <c r="K22" s="5">
        <f>(H22-D22)*24</f>
        <v/>
      </c>
      <c r="L22" s="4">
        <f>IF(C22="做多",I22/E22-1,1-I22/E22)-2*參數!$B$7</f>
        <v/>
      </c>
      <c r="M22" s="2" t="inlineStr"/>
      <c r="N22" s="4" t="n"/>
      <c r="O22" s="4" t="n"/>
      <c r="P22" s="4" t="n"/>
      <c r="Q22" s="19" t="n"/>
      <c r="R22" s="19" t="n"/>
      <c r="S22" s="4" t="n">
        <v>0.005529225908372792</v>
      </c>
      <c r="T22" s="4" t="n">
        <v>0.05</v>
      </c>
      <c r="U22" s="16" t="n"/>
      <c r="V22" s="16" t="n"/>
      <c r="W22" s="4" t="n"/>
      <c r="X22" s="4" t="n"/>
      <c r="Y22" s="4" t="n"/>
      <c r="Z22" s="4" t="n"/>
      <c r="AA22" s="4" t="n">
        <v>0.03</v>
      </c>
      <c r="AB22" s="4" t="n">
        <v>0.05</v>
      </c>
      <c r="AC22" s="4">
        <f>(AB22+2*參數!$B$7)/(AA22+AB22)</f>
        <v/>
      </c>
      <c r="AD22" s="2" t="n">
        <v>0.08443271767810034</v>
      </c>
      <c r="AE22" s="2" t="n">
        <v>1.033627021848171</v>
      </c>
      <c r="AF22" s="2" t="inlineStr">
        <is>
          <t>30分1倍</t>
        </is>
      </c>
      <c r="AG22" s="2" t="n">
        <v>0.02014504431909758</v>
      </c>
      <c r="AH22" s="2" t="n">
        <v>25</v>
      </c>
    </row>
    <row r="23">
      <c r="A23" s="2" t="n">
        <v>22</v>
      </c>
      <c r="B23" s="2" t="inlineStr">
        <is>
          <t>FIL_USDT_PERP</t>
        </is>
      </c>
      <c r="C23" s="2" t="inlineStr">
        <is>
          <t>做空</t>
        </is>
      </c>
      <c r="D23" s="7" t="n">
        <v>46291.97847222222</v>
      </c>
      <c r="E23" s="17" t="n">
        <v>1.213</v>
      </c>
      <c r="F23" s="17" t="n">
        <v>1.17661</v>
      </c>
      <c r="G23" s="17" t="n">
        <v>1.27365</v>
      </c>
      <c r="H23" s="7" t="n">
        <v>46292.04930555556</v>
      </c>
      <c r="I23" s="17" t="n">
        <v>1.17661</v>
      </c>
      <c r="J23" s="2" t="inlineStr">
        <is>
          <t>止盈</t>
        </is>
      </c>
      <c r="K23" s="5">
        <f>(H23-D23)*24</f>
        <v/>
      </c>
      <c r="L23" s="4">
        <f>IF(C23="做多",I23/E23-1,1-I23/E23)-2*參數!$B$7</f>
        <v/>
      </c>
      <c r="M23" s="2" t="inlineStr"/>
      <c r="N23" s="4" t="n"/>
      <c r="O23" s="4" t="n"/>
      <c r="P23" s="4" t="n"/>
      <c r="Q23" s="19" t="n"/>
      <c r="R23" s="19" t="n"/>
      <c r="S23" s="4" t="n">
        <v>0.03</v>
      </c>
      <c r="T23" s="4" t="n">
        <v>0.01154163231657046</v>
      </c>
      <c r="U23" s="16" t="n"/>
      <c r="V23" s="16" t="n"/>
      <c r="W23" s="4" t="n"/>
      <c r="X23" s="4" t="n"/>
      <c r="Y23" s="4" t="n"/>
      <c r="Z23" s="4" t="n"/>
      <c r="AA23" s="4" t="n">
        <v>0.03</v>
      </c>
      <c r="AB23" s="4" t="n">
        <v>0.05</v>
      </c>
      <c r="AC23" s="4">
        <f>(AB23+2*參數!$B$7)/(AA23+AB23)</f>
        <v/>
      </c>
      <c r="AD23" s="2" t="n">
        <v>0.06181818181818177</v>
      </c>
      <c r="AE23" s="2" t="n">
        <v>1.00823282871604</v>
      </c>
      <c r="AF23" s="2" t="inlineStr">
        <is>
          <t>30分1倍</t>
        </is>
      </c>
      <c r="AG23" s="2" t="n">
        <v>0.02449324324324342</v>
      </c>
      <c r="AH23" s="2" t="n">
        <v>29</v>
      </c>
    </row>
    <row r="24">
      <c r="A24" s="2" t="n">
        <v>23</v>
      </c>
      <c r="B24" s="2" t="inlineStr">
        <is>
          <t>XVG_USDT_PERP</t>
        </is>
      </c>
      <c r="C24" s="2" t="inlineStr">
        <is>
          <t>做空</t>
        </is>
      </c>
      <c r="D24" s="7" t="n">
        <v>46292.65555555555</v>
      </c>
      <c r="E24" s="17" t="n">
        <v>0.003505</v>
      </c>
      <c r="F24" s="17" t="n">
        <v>0.00339985</v>
      </c>
      <c r="G24" s="17" t="n">
        <v>0.00368025</v>
      </c>
      <c r="H24" s="7" t="n">
        <v>46292.70069444444</v>
      </c>
      <c r="I24" s="17" t="n">
        <v>0.00368025</v>
      </c>
      <c r="J24" s="2" t="inlineStr">
        <is>
          <t>止損</t>
        </is>
      </c>
      <c r="K24" s="5">
        <f>(H24-D24)*24</f>
        <v/>
      </c>
      <c r="L24" s="4">
        <f>IF(C24="做多",I24/E24-1,1-I24/E24)-2*參數!$B$7</f>
        <v/>
      </c>
      <c r="M24" s="2" t="inlineStr"/>
      <c r="N24" s="4" t="n"/>
      <c r="O24" s="4" t="n"/>
      <c r="P24" s="4" t="n"/>
      <c r="Q24" s="19" t="n"/>
      <c r="R24" s="19" t="n"/>
      <c r="S24" s="4" t="n">
        <v>0.01740370898716115</v>
      </c>
      <c r="T24" s="4" t="n">
        <v>0.05</v>
      </c>
      <c r="U24" s="16" t="n"/>
      <c r="V24" s="16" t="n"/>
      <c r="W24" s="4" t="n"/>
      <c r="X24" s="4" t="n"/>
      <c r="Y24" s="4" t="n"/>
      <c r="Z24" s="4" t="n"/>
      <c r="AA24" s="4" t="n">
        <v>0.03</v>
      </c>
      <c r="AB24" s="4" t="n">
        <v>0.05</v>
      </c>
      <c r="AC24" s="4">
        <f>(AB24+2*參數!$B$7)/(AA24+AB24)</f>
        <v/>
      </c>
      <c r="AD24" s="2" t="n">
        <v>0.06106870229007622</v>
      </c>
      <c r="AE24" s="2" t="n">
        <v>2.384194020413035</v>
      </c>
      <c r="AF24" s="2" t="inlineStr">
        <is>
          <t>2倍</t>
        </is>
      </c>
      <c r="AG24" s="2" t="n">
        <v>0.008633093525179936</v>
      </c>
      <c r="AH24" s="2" t="n">
        <v>44</v>
      </c>
    </row>
    <row r="25">
      <c r="A25" s="2" t="n">
        <v>24</v>
      </c>
      <c r="B25" s="2" t="inlineStr">
        <is>
          <t>ARX_USDT_PERP</t>
        </is>
      </c>
      <c r="C25" s="2" t="inlineStr">
        <is>
          <t>做空</t>
        </is>
      </c>
      <c r="D25" s="7" t="n">
        <v>46292.7375</v>
      </c>
      <c r="E25" s="17" t="n">
        <v>0.2513</v>
      </c>
      <c r="F25" s="17" t="n">
        <v>0.243761</v>
      </c>
      <c r="G25" s="17" t="n">
        <v>0.263865</v>
      </c>
      <c r="H25" s="7" t="n">
        <v>46292.78125</v>
      </c>
      <c r="I25" s="17" t="n">
        <v>0.263865</v>
      </c>
      <c r="J25" s="2" t="inlineStr">
        <is>
          <t>止損</t>
        </is>
      </c>
      <c r="K25" s="5">
        <f>(H25-D25)*24</f>
        <v/>
      </c>
      <c r="L25" s="4">
        <f>IF(C25="做多",I25/E25-1,1-I25/E25)-2*參數!$B$7</f>
        <v/>
      </c>
      <c r="M25" s="2" t="inlineStr"/>
      <c r="N25" s="4" t="n"/>
      <c r="O25" s="4" t="n"/>
      <c r="P25" s="4" t="n"/>
      <c r="Q25" s="19" t="n"/>
      <c r="R25" s="19" t="n"/>
      <c r="S25" s="4" t="n">
        <v>0.007958615200955199</v>
      </c>
      <c r="T25" s="4" t="n">
        <v>0.05</v>
      </c>
      <c r="U25" s="16" t="n"/>
      <c r="V25" s="16" t="n"/>
      <c r="W25" s="4" t="n"/>
      <c r="X25" s="4" t="n"/>
      <c r="Y25" s="4" t="n"/>
      <c r="Z25" s="4" t="n"/>
      <c r="AA25" s="4" t="n">
        <v>0.03</v>
      </c>
      <c r="AB25" s="4" t="n">
        <v>0.05</v>
      </c>
      <c r="AC25" s="4">
        <f>(AB25+2*參數!$B$7)/(AA25+AB25)</f>
        <v/>
      </c>
      <c r="AD25" s="2" t="n">
        <v>0.06915132465199814</v>
      </c>
      <c r="AE25" s="2" t="n">
        <v>3.218599340268967</v>
      </c>
      <c r="AF25" s="2" t="inlineStr">
        <is>
          <t>2倍</t>
        </is>
      </c>
      <c r="AG25" s="2" t="n">
        <v>0.01535353535353545</v>
      </c>
      <c r="AH25" s="2" t="n">
        <v>42</v>
      </c>
    </row>
    <row r="26">
      <c r="A26" s="2" t="n">
        <v>25</v>
      </c>
      <c r="B26" s="2" t="inlineStr">
        <is>
          <t>INX_USDT_PERP</t>
        </is>
      </c>
      <c r="C26" s="2" t="inlineStr">
        <is>
          <t>做空</t>
        </is>
      </c>
      <c r="D26" s="7" t="n">
        <v>46292.84166666667</v>
      </c>
      <c r="E26" s="17" t="n">
        <v>0.007383</v>
      </c>
      <c r="F26" s="17" t="n">
        <v>0.007161509999999999</v>
      </c>
      <c r="G26" s="17" t="n">
        <v>0.00775215</v>
      </c>
      <c r="H26" s="7" t="n">
        <v>46292.84652777778</v>
      </c>
      <c r="I26" s="17" t="n">
        <v>0.007161509999999999</v>
      </c>
      <c r="J26" s="2" t="inlineStr">
        <is>
          <t>止盈</t>
        </is>
      </c>
      <c r="K26" s="5">
        <f>(H26-D26)*24</f>
        <v/>
      </c>
      <c r="L26" s="4">
        <f>IF(C26="做多",I26/E26-1,1-I26/E26)-2*參數!$B$7</f>
        <v/>
      </c>
      <c r="M26" s="2" t="inlineStr"/>
      <c r="N26" s="4" t="n"/>
      <c r="O26" s="4" t="n"/>
      <c r="P26" s="4" t="n"/>
      <c r="Q26" s="19" t="n"/>
      <c r="R26" s="19" t="n"/>
      <c r="S26" s="4" t="n">
        <v>0.03</v>
      </c>
      <c r="T26" s="4" t="n">
        <v>0.03155898686170944</v>
      </c>
      <c r="U26" s="16" t="n"/>
      <c r="V26" s="16" t="n"/>
      <c r="W26" s="4" t="n"/>
      <c r="X26" s="4" t="n"/>
      <c r="Y26" s="4" t="n"/>
      <c r="Z26" s="4" t="n"/>
      <c r="AA26" s="4" t="n">
        <v>0.03</v>
      </c>
      <c r="AB26" s="4" t="n">
        <v>0.05</v>
      </c>
      <c r="AC26" s="4">
        <f>(AB26+2*參數!$B$7)/(AA26+AB26)</f>
        <v/>
      </c>
      <c r="AD26" s="2" t="n">
        <v>0.06346586646661656</v>
      </c>
      <c r="AE26" s="2" t="n">
        <v>0.5665898553541187</v>
      </c>
      <c r="AF26" s="2" t="inlineStr">
        <is>
          <t>15分0.5倍</t>
        </is>
      </c>
      <c r="AG26" s="2" t="n">
        <v>0.03912737508796615</v>
      </c>
      <c r="AH26" s="2" t="n">
        <v>12</v>
      </c>
    </row>
    <row r="27">
      <c r="A27" s="2" t="n">
        <v>26</v>
      </c>
      <c r="B27" s="2" t="inlineStr">
        <is>
          <t>ARX_USDT_PERP</t>
        </is>
      </c>
      <c r="C27" s="2" t="inlineStr">
        <is>
          <t>做空</t>
        </is>
      </c>
      <c r="D27" s="7" t="n">
        <v>46292.92361111111</v>
      </c>
      <c r="E27" s="17" t="n">
        <v>0.2914</v>
      </c>
      <c r="F27" s="17" t="n">
        <v>0.282658</v>
      </c>
      <c r="G27" s="17" t="n">
        <v>0.30597</v>
      </c>
      <c r="H27" s="7" t="n">
        <v>46292.96944444445</v>
      </c>
      <c r="I27" s="17" t="n">
        <v>0.282658</v>
      </c>
      <c r="J27" s="2" t="inlineStr">
        <is>
          <t>止盈</t>
        </is>
      </c>
      <c r="K27" s="5">
        <f>(H27-D27)*24</f>
        <v/>
      </c>
      <c r="L27" s="4">
        <f>IF(C27="做多",I27/E27-1,1-I27/E27)-2*參數!$B$7</f>
        <v/>
      </c>
      <c r="M27" s="2" t="inlineStr"/>
      <c r="N27" s="4" t="n"/>
      <c r="O27" s="4" t="n"/>
      <c r="P27" s="4" t="n"/>
      <c r="Q27" s="19" t="n"/>
      <c r="R27" s="19" t="n"/>
      <c r="S27" s="4" t="n">
        <v>0.03</v>
      </c>
      <c r="T27" s="4" t="n">
        <v>0.02505147563486632</v>
      </c>
      <c r="U27" s="16" t="n"/>
      <c r="V27" s="16" t="n"/>
      <c r="W27" s="4" t="n"/>
      <c r="X27" s="4" t="n"/>
      <c r="Y27" s="4" t="n"/>
      <c r="Z27" s="4" t="n"/>
      <c r="AA27" s="4" t="n">
        <v>0.03</v>
      </c>
      <c r="AB27" s="4" t="n">
        <v>0.05</v>
      </c>
      <c r="AC27" s="4">
        <f>(AB27+2*參數!$B$7)/(AA27+AB27)</f>
        <v/>
      </c>
      <c r="AD27" s="2" t="n">
        <v>0.06606942889137746</v>
      </c>
      <c r="AE27" s="2" t="n">
        <v>0.6934005043065261</v>
      </c>
      <c r="AF27" s="2" t="inlineStr">
        <is>
          <t>15分0.5倍</t>
        </is>
      </c>
      <c r="AG27" s="2" t="n">
        <v>0.008304498269896321</v>
      </c>
      <c r="AH27" s="2" t="n">
        <v>10</v>
      </c>
    </row>
    <row r="28">
      <c r="A28" s="2" t="n">
        <v>27</v>
      </c>
      <c r="B28" s="2" t="inlineStr">
        <is>
          <t>NOM_USDT_PERP</t>
        </is>
      </c>
      <c r="C28" s="2" t="inlineStr">
        <is>
          <t>做空</t>
        </is>
      </c>
      <c r="D28" s="7" t="n">
        <v>46293.26736111111</v>
      </c>
      <c r="E28" s="17" t="n">
        <v>0.002434</v>
      </c>
      <c r="F28" s="17" t="n">
        <v>0.00236098</v>
      </c>
      <c r="G28" s="17" t="n">
        <v>0.0025557</v>
      </c>
      <c r="H28" s="7" t="n">
        <v>46293.26944444444</v>
      </c>
      <c r="I28" s="17" t="n">
        <v>0.00236098</v>
      </c>
      <c r="J28" s="2" t="inlineStr">
        <is>
          <t>止盈</t>
        </is>
      </c>
      <c r="K28" s="5">
        <f>(H28-D28)*24</f>
        <v/>
      </c>
      <c r="L28" s="4">
        <f>IF(C28="做多",I28/E28-1,1-I28/E28)-2*參數!$B$7</f>
        <v/>
      </c>
      <c r="M28" s="2" t="inlineStr"/>
      <c r="N28" s="4" t="n"/>
      <c r="O28" s="4" t="n"/>
      <c r="P28" s="4" t="n"/>
      <c r="Q28" s="19" t="n"/>
      <c r="R28" s="19" t="n"/>
      <c r="S28" s="4" t="n">
        <v>0.03</v>
      </c>
      <c r="T28" s="4" t="n">
        <v>0.0008216926869351049</v>
      </c>
      <c r="U28" s="16" t="n"/>
      <c r="V28" s="16" t="n"/>
      <c r="W28" s="4" t="n"/>
      <c r="X28" s="4" t="n"/>
      <c r="Y28" s="4" t="n"/>
      <c r="Z28" s="4" t="n"/>
      <c r="AA28" s="4" t="n">
        <v>0.03</v>
      </c>
      <c r="AB28" s="4" t="n">
        <v>0.05</v>
      </c>
      <c r="AC28" s="4">
        <f>(AB28+2*參數!$B$7)/(AA28+AB28)</f>
        <v/>
      </c>
      <c r="AD28" s="2" t="n">
        <v>0.09470229723394286</v>
      </c>
      <c r="AE28" s="2" t="n">
        <v>1.054725638909716</v>
      </c>
      <c r="AF28" s="2" t="inlineStr">
        <is>
          <t>30分1倍</t>
        </is>
      </c>
      <c r="AG28" s="2" t="n">
        <v>0.0423982869379016</v>
      </c>
      <c r="AH28" s="2" t="n">
        <v>25</v>
      </c>
    </row>
    <row r="29">
      <c r="A29" s="2" t="n">
        <v>28</v>
      </c>
      <c r="B29" s="2" t="inlineStr">
        <is>
          <t>ELSA_USDT_PERP</t>
        </is>
      </c>
      <c r="C29" s="2" t="inlineStr">
        <is>
          <t>做空</t>
        </is>
      </c>
      <c r="D29" s="7" t="n">
        <v>46293.40833333333</v>
      </c>
      <c r="E29" s="17" t="n">
        <v>0.06272</v>
      </c>
      <c r="F29" s="17" t="n">
        <v>0.06083839999999999</v>
      </c>
      <c r="G29" s="17" t="n">
        <v>0.065856</v>
      </c>
      <c r="H29" s="7" t="n">
        <v>46293.44166666667</v>
      </c>
      <c r="I29" s="17" t="n">
        <v>0.06083839999999999</v>
      </c>
      <c r="J29" s="2" t="inlineStr">
        <is>
          <t>止盈</t>
        </is>
      </c>
      <c r="K29" s="5">
        <f>(H29-D29)*24</f>
        <v/>
      </c>
      <c r="L29" s="4">
        <f>IF(C29="做多",I29/E29-1,1-I29/E29)-2*參數!$B$7</f>
        <v/>
      </c>
      <c r="M29" s="2" t="inlineStr"/>
      <c r="N29" s="4" t="n"/>
      <c r="O29" s="4" t="n"/>
      <c r="P29" s="4" t="n"/>
      <c r="Q29" s="19" t="n"/>
      <c r="R29" s="19" t="n"/>
      <c r="S29" s="4" t="n">
        <v>0.03</v>
      </c>
      <c r="T29" s="4" t="n">
        <v>0.02535076530612268</v>
      </c>
      <c r="U29" s="16" t="n"/>
      <c r="V29" s="16" t="n"/>
      <c r="W29" s="4" t="n"/>
      <c r="X29" s="4" t="n"/>
      <c r="Y29" s="4" t="n"/>
      <c r="Z29" s="4" t="n"/>
      <c r="AA29" s="4" t="n">
        <v>0.03</v>
      </c>
      <c r="AB29" s="4" t="n">
        <v>0.05</v>
      </c>
      <c r="AC29" s="4">
        <f>(AB29+2*參數!$B$7)/(AA29+AB29)</f>
        <v/>
      </c>
      <c r="AD29" s="2" t="n">
        <v>0.06624005534417154</v>
      </c>
      <c r="AE29" s="2" t="n">
        <v>2.032269826800364</v>
      </c>
      <c r="AF29" s="2" t="inlineStr">
        <is>
          <t>2倍</t>
        </is>
      </c>
      <c r="AG29" s="2" t="n">
        <v>0.01161290322580633</v>
      </c>
      <c r="AH29" s="2" t="n">
        <v>48</v>
      </c>
    </row>
    <row r="30">
      <c r="A30" s="2" t="n">
        <v>29</v>
      </c>
      <c r="B30" s="2" t="inlineStr">
        <is>
          <t>IRYS_USDT_PERP</t>
        </is>
      </c>
      <c r="C30" s="2" t="inlineStr">
        <is>
          <t>做空</t>
        </is>
      </c>
      <c r="D30" s="7" t="n">
        <v>46293.41597222222</v>
      </c>
      <c r="E30" s="17" t="n">
        <v>0.02037</v>
      </c>
      <c r="F30" s="17" t="n">
        <v>0.0197589</v>
      </c>
      <c r="G30" s="17" t="n">
        <v>0.0213885</v>
      </c>
      <c r="H30" s="7" t="n">
        <v>46293.44305555556</v>
      </c>
      <c r="I30" s="17" t="n">
        <v>0.0197589</v>
      </c>
      <c r="J30" s="2" t="inlineStr">
        <is>
          <t>止盈</t>
        </is>
      </c>
      <c r="K30" s="5">
        <f>(H30-D30)*24</f>
        <v/>
      </c>
      <c r="L30" s="4">
        <f>IF(C30="做多",I30/E30-1,1-I30/E30)-2*參數!$B$7</f>
        <v/>
      </c>
      <c r="M30" s="2" t="inlineStr"/>
      <c r="N30" s="4" t="n"/>
      <c r="O30" s="4" t="n"/>
      <c r="P30" s="4" t="n"/>
      <c r="Q30" s="19" t="n"/>
      <c r="R30" s="19" t="n"/>
      <c r="S30" s="4" t="n">
        <v>0.03</v>
      </c>
      <c r="T30" s="4" t="n">
        <v>0.03436426116838476</v>
      </c>
      <c r="U30" s="16" t="n"/>
      <c r="V30" s="16" t="n"/>
      <c r="W30" s="4" t="n"/>
      <c r="X30" s="4" t="n"/>
      <c r="Y30" s="4" t="n"/>
      <c r="Z30" s="4" t="n"/>
      <c r="AA30" s="4" t="n">
        <v>0.03</v>
      </c>
      <c r="AB30" s="4" t="n">
        <v>0.05</v>
      </c>
      <c r="AC30" s="4">
        <f>(AB30+2*參數!$B$7)/(AA30+AB30)</f>
        <v/>
      </c>
      <c r="AD30" s="2" t="n">
        <v>0.1880544056771141</v>
      </c>
      <c r="AE30" s="2" t="n">
        <v>2.064368902781307</v>
      </c>
      <c r="AF30" s="2" t="inlineStr">
        <is>
          <t>2倍</t>
        </is>
      </c>
      <c r="AG30" s="2" t="n">
        <v>0.006920415224913379</v>
      </c>
      <c r="AH30" s="2" t="n">
        <v>59</v>
      </c>
    </row>
    <row r="31">
      <c r="A31" s="2" t="n">
        <v>30</v>
      </c>
      <c r="B31" s="2" t="inlineStr">
        <is>
          <t>SOON_USDT_PERP</t>
        </is>
      </c>
      <c r="C31" s="2" t="inlineStr">
        <is>
          <t>做空</t>
        </is>
      </c>
      <c r="D31" s="7" t="n">
        <v>46293.56111111111</v>
      </c>
      <c r="E31" s="17" t="n">
        <v>0.3642</v>
      </c>
      <c r="F31" s="17" t="n">
        <v>0.353274</v>
      </c>
      <c r="G31" s="17" t="n">
        <v>0.38241</v>
      </c>
      <c r="H31" s="7" t="n">
        <v>46293.56805555556</v>
      </c>
      <c r="I31" s="17" t="n">
        <v>0.353274</v>
      </c>
      <c r="J31" s="2" t="inlineStr">
        <is>
          <t>止盈</t>
        </is>
      </c>
      <c r="K31" s="5">
        <f>(H31-D31)*24</f>
        <v/>
      </c>
      <c r="L31" s="4">
        <f>IF(C31="做多",I31/E31-1,1-I31/E31)-2*參數!$B$7</f>
        <v/>
      </c>
      <c r="M31" s="2" t="inlineStr"/>
      <c r="N31" s="4" t="n"/>
      <c r="O31" s="4" t="n"/>
      <c r="P31" s="4" t="n"/>
      <c r="Q31" s="19" t="n"/>
      <c r="R31" s="19" t="n"/>
      <c r="S31" s="4" t="n">
        <v>0.03</v>
      </c>
      <c r="T31" s="4" t="n">
        <v>0.0008237232289949326</v>
      </c>
      <c r="U31" s="16" t="n"/>
      <c r="V31" s="16" t="n"/>
      <c r="W31" s="4" t="n"/>
      <c r="X31" s="4" t="n"/>
      <c r="Y31" s="4" t="n"/>
      <c r="Z31" s="4" t="n"/>
      <c r="AA31" s="4" t="n">
        <v>0.03</v>
      </c>
      <c r="AB31" s="4" t="n">
        <v>0.05</v>
      </c>
      <c r="AC31" s="4">
        <f>(AB31+2*參數!$B$7)/(AA31+AB31)</f>
        <v/>
      </c>
      <c r="AD31" s="2" t="n">
        <v>0.1057783391221978</v>
      </c>
      <c r="AE31" s="2" t="n">
        <v>1.045863332726847</v>
      </c>
      <c r="AF31" s="2" t="inlineStr">
        <is>
          <t>30分1倍</t>
        </is>
      </c>
      <c r="AG31" s="2" t="n">
        <v>0.01931150293870698</v>
      </c>
      <c r="AH31" s="2" t="n">
        <v>28</v>
      </c>
    </row>
    <row r="32">
      <c r="A32" s="2" t="n">
        <v>31</v>
      </c>
      <c r="B32" s="2" t="inlineStr">
        <is>
          <t>ARX_USDT_PERP</t>
        </is>
      </c>
      <c r="C32" s="2" t="inlineStr">
        <is>
          <t>做空</t>
        </is>
      </c>
      <c r="D32" s="7" t="n">
        <v>46293.88541666666</v>
      </c>
      <c r="E32" s="17" t="n">
        <v>0.275</v>
      </c>
      <c r="F32" s="17" t="n">
        <v>0.26675</v>
      </c>
      <c r="G32" s="17" t="n">
        <v>0.2887500000000001</v>
      </c>
      <c r="H32" s="7" t="n">
        <v>46293.89236111111</v>
      </c>
      <c r="I32" s="17" t="n">
        <v>0.26675</v>
      </c>
      <c r="J32" s="2" t="inlineStr">
        <is>
          <t>止盈</t>
        </is>
      </c>
      <c r="K32" s="5">
        <f>(H32-D32)*24</f>
        <v/>
      </c>
      <c r="L32" s="4">
        <f>IF(C32="做多",I32/E32-1,1-I32/E32)-2*參數!$B$7</f>
        <v/>
      </c>
      <c r="M32" s="2" t="inlineStr"/>
      <c r="N32" s="4" t="n"/>
      <c r="O32" s="4" t="n"/>
      <c r="P32" s="4" t="n"/>
      <c r="Q32" s="19" t="n"/>
      <c r="R32" s="19" t="n"/>
      <c r="S32" s="4" t="n">
        <v>0.03</v>
      </c>
      <c r="T32" s="4" t="n">
        <v>0.008727272727272473</v>
      </c>
      <c r="U32" s="16" t="n"/>
      <c r="V32" s="16" t="n"/>
      <c r="W32" s="4" t="n"/>
      <c r="X32" s="4" t="n"/>
      <c r="Y32" s="4" t="n"/>
      <c r="Z32" s="4" t="n"/>
      <c r="AA32" s="4" t="n">
        <v>0.03</v>
      </c>
      <c r="AB32" s="4" t="n">
        <v>0.05</v>
      </c>
      <c r="AC32" s="4">
        <f>(AB32+2*參數!$B$7)/(AA32+AB32)</f>
        <v/>
      </c>
      <c r="AD32" s="2" t="n">
        <v>0.0806845965770171</v>
      </c>
      <c r="AE32" s="2" t="n">
        <v>1.003791364523135</v>
      </c>
      <c r="AF32" s="2" t="inlineStr">
        <is>
          <t>30分1倍+15分0.5倍</t>
        </is>
      </c>
      <c r="AG32" s="2" t="n">
        <v>0.03461249059443205</v>
      </c>
      <c r="AH32" s="2" t="n">
        <v>15</v>
      </c>
    </row>
    <row r="33">
      <c r="A33" s="2" t="n">
        <v>32</v>
      </c>
      <c r="B33" s="2" t="inlineStr">
        <is>
          <t>QNT_USDT_PERP</t>
        </is>
      </c>
      <c r="C33" s="2" t="inlineStr">
        <is>
          <t>做空</t>
        </is>
      </c>
      <c r="D33" s="7" t="n">
        <v>46294.05138888889</v>
      </c>
      <c r="E33" s="17" t="n">
        <v>247.4</v>
      </c>
      <c r="F33" s="17" t="n">
        <v>239.978</v>
      </c>
      <c r="G33" s="17" t="n">
        <v>259.77</v>
      </c>
      <c r="H33" s="7" t="n">
        <v>46294.09722222222</v>
      </c>
      <c r="I33" s="17" t="n">
        <v>239.978</v>
      </c>
      <c r="J33" s="2" t="inlineStr">
        <is>
          <t>止盈</t>
        </is>
      </c>
      <c r="K33" s="5">
        <f>(H33-D33)*24</f>
        <v/>
      </c>
      <c r="L33" s="4">
        <f>IF(C33="做多",I33/E33-1,1-I33/E33)-2*參數!$B$7</f>
        <v/>
      </c>
      <c r="M33" s="2" t="inlineStr"/>
      <c r="N33" s="4" t="n"/>
      <c r="O33" s="4" t="n"/>
      <c r="P33" s="4" t="n"/>
      <c r="Q33" s="19" t="n"/>
      <c r="R33" s="19" t="n"/>
      <c r="S33" s="4" t="n">
        <v>0.03</v>
      </c>
      <c r="T33" s="4" t="n">
        <v>0.04244139046079209</v>
      </c>
      <c r="U33" s="16" t="n"/>
      <c r="V33" s="16" t="n"/>
      <c r="W33" s="4" t="n"/>
      <c r="X33" s="4" t="n"/>
      <c r="Y33" s="4" t="n"/>
      <c r="Z33" s="4" t="n"/>
      <c r="AA33" s="4" t="n">
        <v>0.03</v>
      </c>
      <c r="AB33" s="4" t="n">
        <v>0.05</v>
      </c>
      <c r="AC33" s="4">
        <f>(AB33+2*參數!$B$7)/(AA33+AB33)</f>
        <v/>
      </c>
      <c r="AD33" s="2" t="n">
        <v>0.0947807176513229</v>
      </c>
      <c r="AE33" s="2" t="n">
        <v>0.5096345514950166</v>
      </c>
      <c r="AF33" s="2" t="inlineStr">
        <is>
          <t>15分0.5倍</t>
        </is>
      </c>
      <c r="AG33" s="2" t="n">
        <v>0.01397598262223854</v>
      </c>
      <c r="AH33" s="2" t="n">
        <v>14</v>
      </c>
    </row>
    <row r="34">
      <c r="A34" s="2" t="n">
        <v>33</v>
      </c>
      <c r="B34" s="2" t="inlineStr">
        <is>
          <t>NMR_USDT_PERP</t>
        </is>
      </c>
      <c r="C34" s="2" t="inlineStr">
        <is>
          <t>做空</t>
        </is>
      </c>
      <c r="D34" s="7" t="n">
        <v>46294.28472222222</v>
      </c>
      <c r="E34" s="17" t="n">
        <v>14.451</v>
      </c>
      <c r="F34" s="17" t="n">
        <v>14.01747</v>
      </c>
      <c r="G34" s="17" t="n">
        <v>15.17355</v>
      </c>
      <c r="H34" s="7" t="n">
        <v>46294.31666666667</v>
      </c>
      <c r="I34" s="17" t="n">
        <v>15.17355</v>
      </c>
      <c r="J34" s="2" t="inlineStr">
        <is>
          <t>止損</t>
        </is>
      </c>
      <c r="K34" s="5">
        <f>(H34-D34)*24</f>
        <v/>
      </c>
      <c r="L34" s="4">
        <f>IF(C34="做多",I34/E34-1,1-I34/E34)-2*參數!$B$7</f>
        <v/>
      </c>
      <c r="M34" s="2" t="inlineStr"/>
      <c r="N34" s="4" t="n"/>
      <c r="O34" s="4" t="n"/>
      <c r="P34" s="4" t="n"/>
      <c r="Q34" s="19" t="n"/>
      <c r="R34" s="19" t="n"/>
      <c r="S34" s="4" t="n">
        <v>0.01660784720780573</v>
      </c>
      <c r="T34" s="4" t="n">
        <v>0.05</v>
      </c>
      <c r="U34" s="16" t="n"/>
      <c r="V34" s="16" t="n"/>
      <c r="W34" s="4" t="n"/>
      <c r="X34" s="4" t="n"/>
      <c r="Y34" s="4" t="n"/>
      <c r="Z34" s="4" t="n"/>
      <c r="AA34" s="4" t="n">
        <v>0.03</v>
      </c>
      <c r="AB34" s="4" t="n">
        <v>0.05</v>
      </c>
      <c r="AC34" s="4">
        <f>(AB34+2*參數!$B$7)/(AA34+AB34)</f>
        <v/>
      </c>
      <c r="AD34" s="2" t="n">
        <v>0.1816549837579073</v>
      </c>
      <c r="AE34" s="2" t="n">
        <v>2.318921889670018</v>
      </c>
      <c r="AF34" s="2" t="inlineStr">
        <is>
          <t>2倍+30分1倍+15分0.5倍</t>
        </is>
      </c>
      <c r="AG34" s="2" t="n">
        <v>0.01431880395872809</v>
      </c>
      <c r="AH34" s="2" t="n">
        <v>50</v>
      </c>
    </row>
    <row r="35">
      <c r="A35" s="2" t="n">
        <v>34</v>
      </c>
      <c r="B35" s="2" t="inlineStr">
        <is>
          <t>PUMP_USDT_PERP</t>
        </is>
      </c>
      <c r="C35" s="2" t="inlineStr">
        <is>
          <t>做空</t>
        </is>
      </c>
      <c r="D35" s="7" t="n">
        <v>46294.84583333333</v>
      </c>
      <c r="E35" s="17" t="n">
        <v>0.005687</v>
      </c>
      <c r="F35" s="17" t="n">
        <v>0.00551639</v>
      </c>
      <c r="G35" s="17" t="n">
        <v>0.00597135</v>
      </c>
      <c r="H35" s="7" t="n">
        <v>46295.14375</v>
      </c>
      <c r="I35" s="17" t="n">
        <v>0.00597135</v>
      </c>
      <c r="J35" s="2" t="inlineStr">
        <is>
          <t>止損</t>
        </is>
      </c>
      <c r="K35" s="5">
        <f>(H35-D35)*24</f>
        <v/>
      </c>
      <c r="L35" s="4">
        <f>IF(C35="做多",I35/E35-1,1-I35/E35)-2*參數!$B$7</f>
        <v/>
      </c>
      <c r="M35" s="2" t="inlineStr"/>
      <c r="N35" s="4" t="n"/>
      <c r="O35" s="4" t="n"/>
      <c r="P35" s="4" t="n"/>
      <c r="Q35" s="19" t="n"/>
      <c r="R35" s="19" t="n"/>
      <c r="S35" s="4" t="n">
        <v>0.01881484086513108</v>
      </c>
      <c r="T35" s="4" t="n">
        <v>0.05</v>
      </c>
      <c r="U35" s="16" t="n"/>
      <c r="V35" s="16" t="n"/>
      <c r="W35" s="4" t="n"/>
      <c r="X35" s="4" t="n"/>
      <c r="Y35" s="4" t="n"/>
      <c r="Z35" s="4" t="n"/>
      <c r="AA35" s="4" t="n">
        <v>0.03</v>
      </c>
      <c r="AB35" s="4" t="n">
        <v>0.05</v>
      </c>
      <c r="AC35" s="4">
        <f>(AB35+2*參數!$B$7)/(AA35+AB35)</f>
        <v/>
      </c>
      <c r="AD35" s="2" t="n">
        <v>0.111881188118812</v>
      </c>
      <c r="AE35" s="2" t="n">
        <v>2.608371462727172</v>
      </c>
      <c r="AF35" s="2" t="inlineStr">
        <is>
          <t>2倍+30分1倍+15分0.5倍</t>
        </is>
      </c>
      <c r="AG35" s="2" t="n">
        <v>0.002114537444933839</v>
      </c>
      <c r="AH35" s="2" t="n">
        <v>18</v>
      </c>
    </row>
    <row r="36">
      <c r="A36" s="2" t="n">
        <v>35</v>
      </c>
      <c r="B36" s="2" t="inlineStr">
        <is>
          <t>MOVR_USDT_PERP</t>
        </is>
      </c>
      <c r="C36" s="2" t="inlineStr">
        <is>
          <t>做空</t>
        </is>
      </c>
      <c r="D36" s="7" t="n">
        <v>46295.13333333333</v>
      </c>
      <c r="E36" s="17" t="n">
        <v>1.17</v>
      </c>
      <c r="F36" s="17" t="n">
        <v>1.1349</v>
      </c>
      <c r="G36" s="17" t="n">
        <v>1.2285</v>
      </c>
      <c r="H36" s="7" t="n">
        <v>46295.18888888889</v>
      </c>
      <c r="I36" s="17" t="n">
        <v>1.1349</v>
      </c>
      <c r="J36" s="2" t="inlineStr">
        <is>
          <t>止盈</t>
        </is>
      </c>
      <c r="K36" s="5">
        <f>(H36-D36)*24</f>
        <v/>
      </c>
      <c r="L36" s="4">
        <f>IF(C36="做多",I36/E36-1,1-I36/E36)-2*參數!$B$7</f>
        <v/>
      </c>
      <c r="M36" s="2" t="inlineStr"/>
      <c r="N36" s="4" t="n"/>
      <c r="O36" s="4" t="n"/>
      <c r="P36" s="4" t="n"/>
      <c r="Q36" s="19" t="n"/>
      <c r="R36" s="19" t="n"/>
      <c r="S36" s="4" t="n">
        <v>0.03</v>
      </c>
      <c r="T36" s="4" t="n">
        <v>0.0145299145299147</v>
      </c>
      <c r="U36" s="16" t="n"/>
      <c r="V36" s="16" t="n"/>
      <c r="W36" s="4" t="n"/>
      <c r="X36" s="4" t="n"/>
      <c r="Y36" s="4" t="n"/>
      <c r="Z36" s="4" t="n"/>
      <c r="AA36" s="4" t="n">
        <v>0.03</v>
      </c>
      <c r="AB36" s="4" t="n">
        <v>0.05</v>
      </c>
      <c r="AC36" s="4">
        <f>(AB36+2*參數!$B$7)/(AA36+AB36)</f>
        <v/>
      </c>
      <c r="AD36" s="2" t="n">
        <v>0.07182835820895517</v>
      </c>
      <c r="AE36" s="2" t="n">
        <v>0.5256633358121554</v>
      </c>
      <c r="AF36" s="2" t="inlineStr">
        <is>
          <t>15分0.5倍</t>
        </is>
      </c>
      <c r="AG36" s="2" t="n">
        <v>0.001712328767123239</v>
      </c>
      <c r="AH36" s="2" t="n">
        <v>12</v>
      </c>
    </row>
    <row r="37">
      <c r="A37" s="2" t="n">
        <v>36</v>
      </c>
      <c r="B37" s="2" t="inlineStr">
        <is>
          <t>MEW_USDT_PERP</t>
        </is>
      </c>
      <c r="C37" s="2" t="inlineStr">
        <is>
          <t>做空</t>
        </is>
      </c>
      <c r="D37" s="7" t="n">
        <v>46295.41944444444</v>
      </c>
      <c r="E37" s="17" t="n">
        <v>0.0005730000000000001</v>
      </c>
      <c r="F37" s="17" t="n">
        <v>0.00055581</v>
      </c>
      <c r="G37" s="17" t="n">
        <v>0.0006016500000000001</v>
      </c>
      <c r="H37" s="7" t="n">
        <v>46295.47222222222</v>
      </c>
      <c r="I37" s="17" t="n">
        <v>0.00055581</v>
      </c>
      <c r="J37" s="2" t="inlineStr">
        <is>
          <t>止盈</t>
        </is>
      </c>
      <c r="K37" s="5">
        <f>(H37-D37)*24</f>
        <v/>
      </c>
      <c r="L37" s="4">
        <f>IF(C37="做多",I37/E37-1,1-I37/E37)-2*參數!$B$7</f>
        <v/>
      </c>
      <c r="M37" s="2" t="inlineStr"/>
      <c r="N37" s="4" t="n"/>
      <c r="O37" s="4" t="n"/>
      <c r="P37" s="4" t="n"/>
      <c r="Q37" s="19" t="n"/>
      <c r="R37" s="19" t="n"/>
      <c r="S37" s="4" t="n">
        <v>0.03</v>
      </c>
      <c r="T37" s="4" t="n">
        <v>0.008726003490401313</v>
      </c>
      <c r="U37" s="16" t="n"/>
      <c r="V37" s="16" t="n"/>
      <c r="W37" s="4" t="n"/>
      <c r="X37" s="4" t="n"/>
      <c r="Y37" s="4" t="n"/>
      <c r="Z37" s="4" t="n"/>
      <c r="AA37" s="4" t="n">
        <v>0.03</v>
      </c>
      <c r="AB37" s="4" t="n">
        <v>0.05</v>
      </c>
      <c r="AC37" s="4">
        <f>(AB37+2*參數!$B$7)/(AA37+AB37)</f>
        <v/>
      </c>
      <c r="AD37" s="2" t="n">
        <v>0.06792452830188678</v>
      </c>
      <c r="AE37" s="2" t="n">
        <v>0.5261273292985484</v>
      </c>
      <c r="AF37" s="2" t="inlineStr">
        <is>
          <t>15分0.5倍</t>
        </is>
      </c>
      <c r="AG37" s="2" t="n">
        <v>0.008802816901408494</v>
      </c>
      <c r="AH37" s="2" t="n">
        <v>4</v>
      </c>
    </row>
    <row r="38">
      <c r="A38" s="2" t="n">
        <v>37</v>
      </c>
      <c r="B38" s="2" t="inlineStr">
        <is>
          <t>US_USDT_PERP</t>
        </is>
      </c>
      <c r="C38" s="2" t="inlineStr">
        <is>
          <t>做空</t>
        </is>
      </c>
      <c r="D38" s="7" t="n">
        <v>46295.42013888889</v>
      </c>
      <c r="E38" s="17" t="n">
        <v>0.01887</v>
      </c>
      <c r="F38" s="17" t="n">
        <v>0.0183039</v>
      </c>
      <c r="G38" s="17" t="n">
        <v>0.0198135</v>
      </c>
      <c r="H38" s="7" t="n">
        <v>46295.42569444444</v>
      </c>
      <c r="I38" s="17" t="n">
        <v>0.0183039</v>
      </c>
      <c r="J38" s="2" t="inlineStr">
        <is>
          <t>止盈</t>
        </is>
      </c>
      <c r="K38" s="5">
        <f>(H38-D38)*24</f>
        <v/>
      </c>
      <c r="L38" s="4">
        <f>IF(C38="做多",I38/E38-1,1-I38/E38)-2*參數!$B$7</f>
        <v/>
      </c>
      <c r="M38" s="2" t="inlineStr"/>
      <c r="N38" s="4" t="n"/>
      <c r="O38" s="4" t="n"/>
      <c r="P38" s="4" t="n"/>
      <c r="Q38" s="19" t="n"/>
      <c r="R38" s="19" t="n"/>
      <c r="S38" s="4" t="n">
        <v>0.03</v>
      </c>
      <c r="T38" s="4" t="n">
        <v>0.01695813460519324</v>
      </c>
      <c r="U38" s="16" t="n"/>
      <c r="V38" s="16" t="n"/>
      <c r="W38" s="4" t="n"/>
      <c r="X38" s="4" t="n"/>
      <c r="Y38" s="4" t="n"/>
      <c r="Z38" s="4" t="n"/>
      <c r="AA38" s="4" t="n">
        <v>0.03</v>
      </c>
      <c r="AB38" s="4" t="n">
        <v>0.05</v>
      </c>
      <c r="AC38" s="4">
        <f>(AB38+2*參數!$B$7)/(AA38+AB38)</f>
        <v/>
      </c>
      <c r="AD38" s="2" t="n">
        <v>0.0619520748100526</v>
      </c>
      <c r="AE38" s="2" t="n">
        <v>0.6000607511985727</v>
      </c>
      <c r="AF38" s="2" t="inlineStr">
        <is>
          <t>15分0.5倍</t>
        </is>
      </c>
      <c r="AG38" s="2" t="n">
        <v>0.01017130620985029</v>
      </c>
      <c r="AH38" s="2" t="n">
        <v>5</v>
      </c>
    </row>
    <row r="39">
      <c r="A39" s="2" t="n">
        <v>38</v>
      </c>
      <c r="B39" s="2" t="inlineStr">
        <is>
          <t>SOON_USDT_PERP</t>
        </is>
      </c>
      <c r="C39" s="2" t="inlineStr">
        <is>
          <t>做空</t>
        </is>
      </c>
      <c r="D39" s="7" t="n">
        <v>46295.46597222222</v>
      </c>
      <c r="E39" s="17" t="n">
        <v>0.4264</v>
      </c>
      <c r="F39" s="17" t="n">
        <v>0.413608</v>
      </c>
      <c r="G39" s="17" t="n">
        <v>0.44772</v>
      </c>
      <c r="H39" s="7" t="n">
        <v>46295.47361111111</v>
      </c>
      <c r="I39" s="17" t="n">
        <v>0.413608</v>
      </c>
      <c r="J39" s="2" t="inlineStr">
        <is>
          <t>止盈</t>
        </is>
      </c>
      <c r="K39" s="5">
        <f>(H39-D39)*24</f>
        <v/>
      </c>
      <c r="L39" s="4">
        <f>IF(C39="做多",I39/E39-1,1-I39/E39)-2*參數!$B$7</f>
        <v/>
      </c>
      <c r="M39" s="2" t="inlineStr"/>
      <c r="N39" s="4" t="n"/>
      <c r="O39" s="4" t="n"/>
      <c r="P39" s="4" t="n"/>
      <c r="Q39" s="19" t="n"/>
      <c r="R39" s="19" t="n"/>
      <c r="S39" s="4" t="n">
        <v>0.03</v>
      </c>
      <c r="T39" s="4" t="n">
        <v>0.00398686679174487</v>
      </c>
      <c r="U39" s="16" t="n"/>
      <c r="V39" s="16" t="n"/>
      <c r="W39" s="4" t="n"/>
      <c r="X39" s="4" t="n"/>
      <c r="Y39" s="4" t="n"/>
      <c r="Z39" s="4" t="n"/>
      <c r="AA39" s="4" t="n">
        <v>0.03</v>
      </c>
      <c r="AB39" s="4" t="n">
        <v>0.05</v>
      </c>
      <c r="AC39" s="4">
        <f>(AB39+2*參數!$B$7)/(AA39+AB39)</f>
        <v/>
      </c>
      <c r="AD39" s="2" t="n">
        <v>0.082202304737516</v>
      </c>
      <c r="AE39" s="2" t="n">
        <v>0.6417618904646686</v>
      </c>
      <c r="AF39" s="2" t="inlineStr">
        <is>
          <t>15分0.5倍</t>
        </is>
      </c>
      <c r="AG39" s="2" t="n">
        <v>0.006372433325465998</v>
      </c>
      <c r="AH39" s="2" t="n">
        <v>11</v>
      </c>
    </row>
    <row r="40">
      <c r="A40" s="2" t="n">
        <v>39</v>
      </c>
      <c r="B40" s="2" t="inlineStr">
        <is>
          <t>AKE_USDT_PERP</t>
        </is>
      </c>
      <c r="C40" s="2" t="inlineStr">
        <is>
          <t>做空</t>
        </is>
      </c>
      <c r="D40" s="7" t="n">
        <v>46295.71180555555</v>
      </c>
      <c r="E40" s="17" t="n">
        <v>0.0354337</v>
      </c>
      <c r="F40" s="17" t="n">
        <v>0.034370689</v>
      </c>
      <c r="G40" s="17" t="n">
        <v>0.037205385</v>
      </c>
      <c r="H40" s="7" t="n">
        <v>46295.71597222222</v>
      </c>
      <c r="I40" s="17" t="n">
        <v>0.037205385</v>
      </c>
      <c r="J40" s="2" t="inlineStr">
        <is>
          <t>止損</t>
        </is>
      </c>
      <c r="K40" s="5">
        <f>(H40-D40)*24</f>
        <v/>
      </c>
      <c r="L40" s="4">
        <f>IF(C40="做多",I40/E40-1,1-I40/E40)-2*參數!$B$7</f>
        <v/>
      </c>
      <c r="M40" s="2" t="inlineStr"/>
      <c r="N40" s="4" t="n"/>
      <c r="O40" s="4" t="n"/>
      <c r="P40" s="4" t="n"/>
      <c r="Q40" s="19" t="n"/>
      <c r="R40" s="19" t="n"/>
      <c r="S40" s="4" t="n">
        <v>0.001995275683882802</v>
      </c>
      <c r="T40" s="4" t="n">
        <v>0.05</v>
      </c>
      <c r="U40" s="16" t="n"/>
      <c r="V40" s="16" t="n"/>
      <c r="W40" s="4" t="n"/>
      <c r="X40" s="4" t="n"/>
      <c r="Y40" s="4" t="n"/>
      <c r="Z40" s="4" t="n"/>
      <c r="AA40" s="4" t="n">
        <v>0.03</v>
      </c>
      <c r="AB40" s="4" t="n">
        <v>0.05</v>
      </c>
      <c r="AC40" s="4">
        <f>(AB40+2*參數!$B$7)/(AA40+AB40)</f>
        <v/>
      </c>
      <c r="AD40" s="2" t="n">
        <v>0.06515759224255824</v>
      </c>
      <c r="AE40" s="2" t="n">
        <v>0.6513296164187476</v>
      </c>
      <c r="AF40" s="2" t="inlineStr">
        <is>
          <t>15分0.5倍</t>
        </is>
      </c>
      <c r="AG40" s="2" t="n">
        <v>0.02101168436369916</v>
      </c>
      <c r="AH40" s="2" t="n">
        <v>5</v>
      </c>
    </row>
    <row r="41">
      <c r="A41" s="2" t="n">
        <v>40</v>
      </c>
      <c r="B41" s="2" t="inlineStr">
        <is>
          <t>PROS_USDT_PERP</t>
        </is>
      </c>
      <c r="C41" s="2" t="inlineStr">
        <is>
          <t>做空</t>
        </is>
      </c>
      <c r="D41" s="7" t="n">
        <v>46295.83680555555</v>
      </c>
      <c r="E41" s="17" t="n">
        <v>0.7494</v>
      </c>
      <c r="F41" s="17" t="n">
        <v>0.726918</v>
      </c>
      <c r="G41" s="17" t="n">
        <v>0.78687</v>
      </c>
      <c r="H41" s="7" t="n">
        <v>46295.93888888889</v>
      </c>
      <c r="I41" s="17" t="n">
        <v>0.726918</v>
      </c>
      <c r="J41" s="2" t="inlineStr">
        <is>
          <t>止盈</t>
        </is>
      </c>
      <c r="K41" s="5">
        <f>(H41-D41)*24</f>
        <v/>
      </c>
      <c r="L41" s="4">
        <f>IF(C41="做多",I41/E41-1,1-I41/E41)-2*參數!$B$7</f>
        <v/>
      </c>
      <c r="M41" s="2" t="inlineStr"/>
      <c r="N41" s="4" t="n"/>
      <c r="O41" s="4" t="n"/>
      <c r="P41" s="4" t="n"/>
      <c r="Q41" s="19" t="n"/>
      <c r="R41" s="19" t="n"/>
      <c r="S41" s="4" t="n">
        <v>0.03</v>
      </c>
      <c r="T41" s="4" t="n">
        <v>0.01547904990659199</v>
      </c>
      <c r="U41" s="16" t="n"/>
      <c r="V41" s="16" t="n"/>
      <c r="W41" s="4" t="n"/>
      <c r="X41" s="4" t="n"/>
      <c r="Y41" s="4" t="n"/>
      <c r="Z41" s="4" t="n"/>
      <c r="AA41" s="4" t="n">
        <v>0.03</v>
      </c>
      <c r="AB41" s="4" t="n">
        <v>0.05</v>
      </c>
      <c r="AC41" s="4">
        <f>(AB41+2*參數!$B$7)/(AA41+AB41)</f>
        <v/>
      </c>
      <c r="AD41" s="2" t="n">
        <v>0.08786797502230148</v>
      </c>
      <c r="AE41" s="2" t="n">
        <v>0.590293453724605</v>
      </c>
      <c r="AF41" s="2" t="inlineStr">
        <is>
          <t>15分0.5倍</t>
        </is>
      </c>
      <c r="AG41" s="2" t="n">
        <v>0.01710097719869696</v>
      </c>
      <c r="AH41" s="2" t="n">
        <v>5</v>
      </c>
    </row>
    <row r="42">
      <c r="A42" s="2" t="n">
        <v>41</v>
      </c>
      <c r="B42" s="2" t="inlineStr">
        <is>
          <t>US_USDT_PERP</t>
        </is>
      </c>
      <c r="C42" s="2" t="inlineStr">
        <is>
          <t>做空</t>
        </is>
      </c>
      <c r="D42" s="7" t="n">
        <v>46295.86527777778</v>
      </c>
      <c r="E42" s="17" t="n">
        <v>0.02259</v>
      </c>
      <c r="F42" s="17" t="n">
        <v>0.0219123</v>
      </c>
      <c r="G42" s="17" t="n">
        <v>0.0237195</v>
      </c>
      <c r="H42" s="7" t="n">
        <v>46295.89722222222</v>
      </c>
      <c r="I42" s="17" t="n">
        <v>0.0237195</v>
      </c>
      <c r="J42" s="2" t="inlineStr">
        <is>
          <t>止損</t>
        </is>
      </c>
      <c r="K42" s="5">
        <f>(H42-D42)*24</f>
        <v/>
      </c>
      <c r="L42" s="4">
        <f>IF(C42="做多",I42/E42-1,1-I42/E42)-2*參數!$B$7</f>
        <v/>
      </c>
      <c r="M42" s="2" t="inlineStr"/>
      <c r="N42" s="4" t="n"/>
      <c r="O42" s="4" t="n"/>
      <c r="P42" s="4" t="n"/>
      <c r="Q42" s="19" t="n"/>
      <c r="R42" s="19" t="n"/>
      <c r="S42" s="4" t="n">
        <v>0.005312084993359778</v>
      </c>
      <c r="T42" s="4" t="n">
        <v>0.05</v>
      </c>
      <c r="U42" s="16" t="n"/>
      <c r="V42" s="16" t="n"/>
      <c r="W42" s="4" t="n"/>
      <c r="X42" s="4" t="n"/>
      <c r="Y42" s="4" t="n"/>
      <c r="Z42" s="4" t="n"/>
      <c r="AA42" s="4" t="n">
        <v>0.03</v>
      </c>
      <c r="AB42" s="4" t="n">
        <v>0.05</v>
      </c>
      <c r="AC42" s="4">
        <f>(AB42+2*參數!$B$7)/(AA42+AB42)</f>
        <v/>
      </c>
      <c r="AD42" s="2" t="n">
        <v>0.1310494834148994</v>
      </c>
      <c r="AE42" s="2" t="n">
        <v>2.032866069117779</v>
      </c>
      <c r="AF42" s="2" t="inlineStr">
        <is>
          <t>2倍</t>
        </is>
      </c>
      <c r="AG42" s="2" t="n">
        <v>0.06305882352941161</v>
      </c>
      <c r="AH42" s="2" t="n">
        <v>46</v>
      </c>
    </row>
    <row r="43">
      <c r="A43" s="2" t="n">
        <v>42</v>
      </c>
      <c r="B43" s="2" t="inlineStr">
        <is>
          <t>USELESS_USDT_PERP</t>
        </is>
      </c>
      <c r="C43" s="2" t="inlineStr">
        <is>
          <t>做空</t>
        </is>
      </c>
      <c r="D43" s="7" t="n">
        <v>46295.89444444444</v>
      </c>
      <c r="E43" s="17" t="n">
        <v>0.25901</v>
      </c>
      <c r="F43" s="17" t="n">
        <v>0.2512397</v>
      </c>
      <c r="G43" s="17" t="n">
        <v>0.2719605</v>
      </c>
      <c r="H43" s="7" t="n">
        <v>46295.9</v>
      </c>
      <c r="I43" s="17" t="n">
        <v>0.2512397</v>
      </c>
      <c r="J43" s="2" t="inlineStr">
        <is>
          <t>止盈</t>
        </is>
      </c>
      <c r="K43" s="5">
        <f>(H43-D43)*24</f>
        <v/>
      </c>
      <c r="L43" s="4">
        <f>IF(C43="做多",I43/E43-1,1-I43/E43)-2*參數!$B$7</f>
        <v/>
      </c>
      <c r="M43" s="2" t="inlineStr"/>
      <c r="N43" s="4" t="n"/>
      <c r="O43" s="4" t="n"/>
      <c r="P43" s="4" t="n"/>
      <c r="Q43" s="19" t="n"/>
      <c r="R43" s="19" t="n"/>
      <c r="S43" s="4" t="n">
        <v>0.03</v>
      </c>
      <c r="T43" s="4" t="n">
        <v>0</v>
      </c>
      <c r="U43" s="16" t="n"/>
      <c r="V43" s="16" t="n"/>
      <c r="W43" s="4" t="n"/>
      <c r="X43" s="4" t="n"/>
      <c r="Y43" s="4" t="n"/>
      <c r="Z43" s="4" t="n"/>
      <c r="AA43" s="4" t="n">
        <v>0.03</v>
      </c>
      <c r="AB43" s="4" t="n">
        <v>0.05</v>
      </c>
      <c r="AC43" s="4">
        <f>(AB43+2*參數!$B$7)/(AA43+AB43)</f>
        <v/>
      </c>
      <c r="AD43" s="2" t="n">
        <v>0.06818561872909701</v>
      </c>
      <c r="AE43" s="2" t="n">
        <v>0.6672406022171967</v>
      </c>
      <c r="AF43" s="2" t="inlineStr">
        <is>
          <t>15分0.5倍</t>
        </is>
      </c>
      <c r="AG43" s="2" t="n">
        <v>3.861003861005408e-05</v>
      </c>
      <c r="AH43" s="2" t="n">
        <v>28</v>
      </c>
    </row>
    <row r="44">
      <c r="A44" s="2" t="n">
        <v>43</v>
      </c>
      <c r="B44" s="2" t="inlineStr">
        <is>
          <t>NOM_USDT_PERP</t>
        </is>
      </c>
      <c r="C44" s="2" t="inlineStr">
        <is>
          <t>做空</t>
        </is>
      </c>
      <c r="D44" s="7" t="n">
        <v>46296.59305555555</v>
      </c>
      <c r="E44" s="17" t="n">
        <v>0.002603</v>
      </c>
      <c r="F44" s="17" t="n">
        <v>0.00252491</v>
      </c>
      <c r="G44" s="17" t="n">
        <v>0.00273315</v>
      </c>
      <c r="H44" s="7" t="n">
        <v>46296.60972222222</v>
      </c>
      <c r="I44" s="17" t="n">
        <v>0.00252491</v>
      </c>
      <c r="J44" s="2" t="inlineStr">
        <is>
          <t>止盈</t>
        </is>
      </c>
      <c r="K44" s="5">
        <f>(H44-D44)*24</f>
        <v/>
      </c>
      <c r="L44" s="4">
        <f>IF(C44="做多",I44/E44-1,1-I44/E44)-2*參數!$B$7</f>
        <v/>
      </c>
      <c r="M44" s="2" t="inlineStr"/>
      <c r="N44" s="4" t="n"/>
      <c r="O44" s="4" t="n"/>
      <c r="P44" s="4" t="n"/>
      <c r="Q44" s="19" t="n"/>
      <c r="R44" s="19" t="n"/>
      <c r="S44" s="4" t="n">
        <v>0.03</v>
      </c>
      <c r="T44" s="4" t="n">
        <v>0.003457548981943948</v>
      </c>
      <c r="U44" s="16" t="n"/>
      <c r="V44" s="16" t="n"/>
      <c r="W44" s="4" t="n"/>
      <c r="X44" s="4" t="n"/>
      <c r="Y44" s="4" t="n"/>
      <c r="Z44" s="4" t="n"/>
      <c r="AA44" s="4" t="n">
        <v>0.03</v>
      </c>
      <c r="AB44" s="4" t="n">
        <v>0.05</v>
      </c>
      <c r="AC44" s="4">
        <f>(AB44+2*參數!$B$7)/(AA44+AB44)</f>
        <v/>
      </c>
      <c r="AD44" s="2" t="n">
        <v>0.07877744296168743</v>
      </c>
      <c r="AE44" s="2" t="n">
        <v>0.5094115457622561</v>
      </c>
      <c r="AF44" s="2" t="inlineStr">
        <is>
          <t>15分0.5倍</t>
        </is>
      </c>
      <c r="AG44" s="2" t="n">
        <v>0.03293650793650782</v>
      </c>
      <c r="AH44" s="2" t="n">
        <v>14</v>
      </c>
    </row>
    <row r="45">
      <c r="A45" s="2" t="n">
        <v>44</v>
      </c>
      <c r="B45" s="2" t="inlineStr">
        <is>
          <t>NOM_USDT_PERP</t>
        </is>
      </c>
      <c r="C45" s="2" t="inlineStr">
        <is>
          <t>做空</t>
        </is>
      </c>
      <c r="D45" s="7" t="n">
        <v>46296.71180555555</v>
      </c>
      <c r="E45" s="17" t="n">
        <v>0.003145</v>
      </c>
      <c r="F45" s="17" t="n">
        <v>0.00305065</v>
      </c>
      <c r="G45" s="17" t="n">
        <v>0.00330225</v>
      </c>
      <c r="H45" s="7" t="n">
        <v>46296.72986111111</v>
      </c>
      <c r="I45" s="17" t="n">
        <v>0.00305065</v>
      </c>
      <c r="J45" s="2" t="inlineStr">
        <is>
          <t>止盈</t>
        </is>
      </c>
      <c r="K45" s="5">
        <f>(H45-D45)*24</f>
        <v/>
      </c>
      <c r="L45" s="4">
        <f>IF(C45="做多",I45/E45-1,1-I45/E45)-2*參數!$B$7</f>
        <v/>
      </c>
      <c r="M45" s="2" t="inlineStr"/>
      <c r="N45" s="4" t="n"/>
      <c r="O45" s="4" t="n"/>
      <c r="P45" s="4" t="n"/>
      <c r="Q45" s="19" t="n"/>
      <c r="R45" s="19" t="n"/>
      <c r="S45" s="4" t="n">
        <v>0.03</v>
      </c>
      <c r="T45" s="4" t="n">
        <v>0.04642289348171702</v>
      </c>
      <c r="U45" s="16" t="n"/>
      <c r="V45" s="16" t="n"/>
      <c r="W45" s="4" t="n"/>
      <c r="X45" s="4" t="n"/>
      <c r="Y45" s="4" t="n"/>
      <c r="Z45" s="4" t="n"/>
      <c r="AA45" s="4" t="n">
        <v>0.03</v>
      </c>
      <c r="AB45" s="4" t="n">
        <v>0.05</v>
      </c>
      <c r="AC45" s="4">
        <f>(AB45+2*參數!$B$7)/(AA45+AB45)</f>
        <v/>
      </c>
      <c r="AD45" s="2" t="n">
        <v>0.07241857241857241</v>
      </c>
      <c r="AE45" s="2" t="n">
        <v>0.5081083445369787</v>
      </c>
      <c r="AF45" s="2" t="inlineStr">
        <is>
          <t>15分0.5倍</t>
        </is>
      </c>
      <c r="AG45" s="2" t="n">
        <v>0.003189792663476743</v>
      </c>
      <c r="AH45" s="2" t="n">
        <v>5</v>
      </c>
    </row>
    <row r="46">
      <c r="A46" s="2" t="n">
        <v>45</v>
      </c>
      <c r="B46" s="2" t="inlineStr">
        <is>
          <t>MEGA_USDT_PERP</t>
        </is>
      </c>
      <c r="C46" s="2" t="inlineStr">
        <is>
          <t>做空</t>
        </is>
      </c>
      <c r="D46" s="7" t="n">
        <v>46297.00833333333</v>
      </c>
      <c r="E46" s="17" t="n">
        <v>0.05286</v>
      </c>
      <c r="F46" s="17" t="n">
        <v>0.0512742</v>
      </c>
      <c r="G46" s="17" t="n">
        <v>0.055503</v>
      </c>
      <c r="H46" s="7" t="n">
        <v>46297.01180555556</v>
      </c>
      <c r="I46" s="17" t="n">
        <v>0.0512742</v>
      </c>
      <c r="J46" s="2" t="inlineStr">
        <is>
          <t>止盈</t>
        </is>
      </c>
      <c r="K46" s="5">
        <f>(H46-D46)*24</f>
        <v/>
      </c>
      <c r="L46" s="4">
        <f>IF(C46="做多",I46/E46-1,1-I46/E46)-2*參數!$B$7</f>
        <v/>
      </c>
      <c r="M46" s="2" t="inlineStr"/>
      <c r="N46" s="4" t="n"/>
      <c r="O46" s="4" t="n"/>
      <c r="P46" s="4" t="n"/>
      <c r="Q46" s="19" t="n"/>
      <c r="R46" s="19" t="n"/>
      <c r="S46" s="4" t="n">
        <v>0.03</v>
      </c>
      <c r="T46" s="4" t="n">
        <v>0.01059402194475978</v>
      </c>
      <c r="U46" s="16" t="n"/>
      <c r="V46" s="16" t="n"/>
      <c r="W46" s="4" t="n"/>
      <c r="X46" s="4" t="n"/>
      <c r="Y46" s="4" t="n"/>
      <c r="Z46" s="4" t="n"/>
      <c r="AA46" s="4" t="n">
        <v>0.03</v>
      </c>
      <c r="AB46" s="4" t="n">
        <v>0.05</v>
      </c>
      <c r="AC46" s="4">
        <f>(AB46+2*參數!$B$7)/(AA46+AB46)</f>
        <v/>
      </c>
      <c r="AD46" s="2" t="n">
        <v>0.09012690901269105</v>
      </c>
      <c r="AE46" s="2" t="n">
        <v>0.5576065321780714</v>
      </c>
      <c r="AF46" s="2" t="inlineStr">
        <is>
          <t>15分0.5倍</t>
        </is>
      </c>
      <c r="AG46" s="2" t="n">
        <v>0.0332290852228303</v>
      </c>
      <c r="AH46" s="2" t="n">
        <v>12</v>
      </c>
    </row>
    <row r="47">
      <c r="A47" s="2" t="n">
        <v>46</v>
      </c>
      <c r="B47" s="2" t="inlineStr">
        <is>
          <t>MAGMA_USDT_PERP</t>
        </is>
      </c>
      <c r="C47" s="2" t="inlineStr">
        <is>
          <t>做空</t>
        </is>
      </c>
      <c r="D47" s="7" t="n">
        <v>46297.04930555556</v>
      </c>
      <c r="E47" s="17" t="n">
        <v>0.22721</v>
      </c>
      <c r="F47" s="17" t="n">
        <v>0.2203937</v>
      </c>
      <c r="G47" s="17" t="n">
        <v>0.2385705</v>
      </c>
      <c r="H47" s="7" t="n">
        <v>46297.06388888889</v>
      </c>
      <c r="I47" s="17" t="n">
        <v>0.2385705</v>
      </c>
      <c r="J47" s="2" t="inlineStr">
        <is>
          <t>止損</t>
        </is>
      </c>
      <c r="K47" s="5">
        <f>(H47-D47)*24</f>
        <v/>
      </c>
      <c r="L47" s="4">
        <f>IF(C47="做多",I47/E47-1,1-I47/E47)-2*參數!$B$7</f>
        <v/>
      </c>
      <c r="M47" s="2" t="inlineStr"/>
      <c r="N47" s="4" t="n"/>
      <c r="O47" s="4" t="n"/>
      <c r="P47" s="4" t="n"/>
      <c r="Q47" s="19" t="n"/>
      <c r="R47" s="19" t="n"/>
      <c r="S47" s="4" t="n">
        <v>0.001672461599401376</v>
      </c>
      <c r="T47" s="4" t="n">
        <v>0.05</v>
      </c>
      <c r="U47" s="16" t="n"/>
      <c r="V47" s="16" t="n"/>
      <c r="W47" s="4" t="n"/>
      <c r="X47" s="4" t="n"/>
      <c r="Y47" s="4" t="n"/>
      <c r="Z47" s="4" t="n"/>
      <c r="AA47" s="4" t="n">
        <v>0.03</v>
      </c>
      <c r="AB47" s="4" t="n">
        <v>0.05</v>
      </c>
      <c r="AC47" s="4">
        <f>(AB47+2*參數!$B$7)/(AA47+AB47)</f>
        <v/>
      </c>
      <c r="AD47" s="2" t="n">
        <v>0.06642623909547241</v>
      </c>
      <c r="AE47" s="2" t="n">
        <v>0.7549060303737315</v>
      </c>
      <c r="AF47" s="2" t="inlineStr">
        <is>
          <t>15分0.5倍</t>
        </is>
      </c>
      <c r="AG47" s="2" t="n">
        <v>0.02926387315968282</v>
      </c>
      <c r="AH47" s="2" t="n">
        <v>11</v>
      </c>
    </row>
    <row r="48">
      <c r="A48" s="2" t="n">
        <v>47</v>
      </c>
      <c r="B48" s="2" t="inlineStr">
        <is>
          <t>MOVR_USDT_PERP</t>
        </is>
      </c>
      <c r="C48" s="2" t="inlineStr">
        <is>
          <t>做空</t>
        </is>
      </c>
      <c r="D48" s="7" t="n">
        <v>46297.13541666666</v>
      </c>
      <c r="E48" s="17" t="n">
        <v>3.172</v>
      </c>
      <c r="F48" s="17" t="n">
        <v>3.07684</v>
      </c>
      <c r="G48" s="17" t="n">
        <v>3.3306</v>
      </c>
      <c r="H48" s="7" t="n">
        <v>46297.13888888889</v>
      </c>
      <c r="I48" s="17" t="n">
        <v>3.07684</v>
      </c>
      <c r="J48" s="2" t="inlineStr">
        <is>
          <t>止盈</t>
        </is>
      </c>
      <c r="K48" s="5">
        <f>(H48-D48)*24</f>
        <v/>
      </c>
      <c r="L48" s="4">
        <f>IF(C48="做多",I48/E48-1,1-I48/E48)-2*參數!$B$7</f>
        <v/>
      </c>
      <c r="M48" s="2" t="inlineStr"/>
      <c r="N48" s="4" t="n"/>
      <c r="O48" s="4" t="n"/>
      <c r="P48" s="4" t="n"/>
      <c r="Q48" s="19" t="n"/>
      <c r="R48" s="19" t="n"/>
      <c r="S48" s="4" t="n">
        <v>0.03</v>
      </c>
      <c r="T48" s="4" t="n">
        <v>0.003783102143757988</v>
      </c>
      <c r="U48" s="16" t="n"/>
      <c r="V48" s="16" t="n"/>
      <c r="W48" s="4" t="n"/>
      <c r="X48" s="4" t="n"/>
      <c r="Y48" s="4" t="n"/>
      <c r="Z48" s="4" t="n"/>
      <c r="AA48" s="4" t="n">
        <v>0.03</v>
      </c>
      <c r="AB48" s="4" t="n">
        <v>0.05</v>
      </c>
      <c r="AC48" s="4">
        <f>(AB48+2*參數!$B$7)/(AA48+AB48)</f>
        <v/>
      </c>
      <c r="AD48" s="2" t="n">
        <v>0.06125211505922157</v>
      </c>
      <c r="AE48" s="2" t="n">
        <v>0.5222268279791994</v>
      </c>
      <c r="AF48" s="2" t="inlineStr">
        <is>
          <t>15分0.5倍</t>
        </is>
      </c>
      <c r="AG48" s="2" t="n">
        <v>0.0006309148264984632</v>
      </c>
      <c r="AH48" s="2" t="n">
        <v>15</v>
      </c>
    </row>
    <row r="49">
      <c r="A49" s="2" t="n">
        <v>48</v>
      </c>
      <c r="B49" s="2" t="inlineStr">
        <is>
          <t>US_USDT_PERP</t>
        </is>
      </c>
      <c r="C49" s="2" t="inlineStr">
        <is>
          <t>做空</t>
        </is>
      </c>
      <c r="D49" s="7" t="n">
        <v>46297.425</v>
      </c>
      <c r="E49" s="17" t="n">
        <v>0.03393</v>
      </c>
      <c r="F49" s="17" t="n">
        <v>0.0329121</v>
      </c>
      <c r="G49" s="17" t="n">
        <v>0.03562650000000001</v>
      </c>
      <c r="H49" s="7" t="n">
        <v>46297.43125</v>
      </c>
      <c r="I49" s="17" t="n">
        <v>0.03562650000000001</v>
      </c>
      <c r="J49" s="2" t="inlineStr">
        <is>
          <t>止損</t>
        </is>
      </c>
      <c r="K49" s="5">
        <f>(H49-D49)*24</f>
        <v/>
      </c>
      <c r="L49" s="4">
        <f>IF(C49="做多",I49/E49-1,1-I49/E49)-2*參數!$B$7</f>
        <v/>
      </c>
      <c r="M49" s="2" t="inlineStr"/>
      <c r="N49" s="4" t="n"/>
      <c r="O49" s="4" t="n"/>
      <c r="P49" s="4" t="n"/>
      <c r="Q49" s="19" t="n"/>
      <c r="R49" s="19" t="n"/>
      <c r="S49" s="4" t="n">
        <v>0.009725906277630481</v>
      </c>
      <c r="T49" s="4" t="n">
        <v>0.05</v>
      </c>
      <c r="U49" s="16" t="n"/>
      <c r="V49" s="16" t="n"/>
      <c r="W49" s="4" t="n"/>
      <c r="X49" s="4" t="n"/>
      <c r="Y49" s="4" t="n"/>
      <c r="Z49" s="4" t="n"/>
      <c r="AA49" s="4" t="n">
        <v>0.03</v>
      </c>
      <c r="AB49" s="4" t="n">
        <v>0.05</v>
      </c>
      <c r="AC49" s="4">
        <f>(AB49+2*參數!$B$7)/(AA49+AB49)</f>
        <v/>
      </c>
      <c r="AD49" s="2" t="n">
        <v>0.1452015697467</v>
      </c>
      <c r="AE49" s="2" t="n">
        <v>0.5218892259670588</v>
      </c>
      <c r="AF49" s="2" t="inlineStr">
        <is>
          <t>15分0.5倍</t>
        </is>
      </c>
      <c r="AG49" s="2" t="n">
        <v>0.05470935654336362</v>
      </c>
      <c r="AH49" s="2" t="n">
        <v>12</v>
      </c>
    </row>
    <row r="50">
      <c r="A50" s="2" t="n">
        <v>49</v>
      </c>
      <c r="B50" s="2" t="inlineStr">
        <is>
          <t>NIGHT_USDT_PERP</t>
        </is>
      </c>
      <c r="C50" s="2" t="inlineStr">
        <is>
          <t>做空</t>
        </is>
      </c>
      <c r="D50" s="7" t="n">
        <v>46297.89166666667</v>
      </c>
      <c r="E50" s="17" t="n">
        <v>0.04902</v>
      </c>
      <c r="F50" s="17" t="n">
        <v>0.0475494</v>
      </c>
      <c r="G50" s="17" t="n">
        <v>0.051471</v>
      </c>
      <c r="H50" s="7" t="n">
        <v>46297.90972222222</v>
      </c>
      <c r="I50" s="17" t="n">
        <v>0.0475494</v>
      </c>
      <c r="J50" s="2" t="inlineStr">
        <is>
          <t>止盈</t>
        </is>
      </c>
      <c r="K50" s="5">
        <f>(H50-D50)*24</f>
        <v/>
      </c>
      <c r="L50" s="4">
        <f>IF(C50="做多",I50/E50-1,1-I50/E50)-2*參數!$B$7</f>
        <v/>
      </c>
      <c r="M50" s="2" t="inlineStr"/>
      <c r="N50" s="4" t="n"/>
      <c r="O50" s="4" t="n"/>
      <c r="P50" s="4" t="n"/>
      <c r="Q50" s="19" t="n"/>
      <c r="R50" s="19" t="n"/>
      <c r="S50" s="4" t="n">
        <v>0.03</v>
      </c>
      <c r="T50" s="4" t="n">
        <v>0.006935944512443948</v>
      </c>
      <c r="U50" s="16" t="n"/>
      <c r="V50" s="16" t="n"/>
      <c r="W50" s="4" t="n"/>
      <c r="X50" s="4" t="n"/>
      <c r="Y50" s="4" t="n"/>
      <c r="Z50" s="4" t="n"/>
      <c r="AA50" s="4" t="n">
        <v>0.03</v>
      </c>
      <c r="AB50" s="4" t="n">
        <v>0.05</v>
      </c>
      <c r="AC50" s="4">
        <f>(AB50+2*參數!$B$7)/(AA50+AB50)</f>
        <v/>
      </c>
      <c r="AD50" s="2" t="n">
        <v>0.06785948068950454</v>
      </c>
      <c r="AE50" s="2" t="n">
        <v>0.7675158893508734</v>
      </c>
      <c r="AF50" s="2" t="inlineStr">
        <is>
          <t>15分0.5倍</t>
        </is>
      </c>
      <c r="AG50" s="2" t="n">
        <v>0.001225490196078427</v>
      </c>
      <c r="AH50" s="2" t="n">
        <v>24</v>
      </c>
    </row>
    <row r="51">
      <c r="A51" s="2" t="n">
        <v>50</v>
      </c>
      <c r="B51" s="2" t="inlineStr">
        <is>
          <t>MAGMA_USDT_PERP</t>
        </is>
      </c>
      <c r="C51" s="2" t="inlineStr">
        <is>
          <t>做空</t>
        </is>
      </c>
      <c r="D51" s="7" t="n">
        <v>46298</v>
      </c>
      <c r="E51" s="17" t="n">
        <v>0.34835</v>
      </c>
      <c r="F51" s="17" t="n">
        <v>0.3378995</v>
      </c>
      <c r="G51" s="17" t="n">
        <v>0.3657675</v>
      </c>
      <c r="H51" s="7" t="n">
        <v>46298.04027777778</v>
      </c>
      <c r="I51" s="17" t="n">
        <v>0.3378995</v>
      </c>
      <c r="J51" s="2" t="inlineStr">
        <is>
          <t>止盈</t>
        </is>
      </c>
      <c r="K51" s="5">
        <f>(H51-D51)*24</f>
        <v/>
      </c>
      <c r="L51" s="4">
        <f>IF(C51="做多",I51/E51-1,1-I51/E51)-2*參數!$B$7</f>
        <v/>
      </c>
      <c r="M51" s="2" t="inlineStr"/>
      <c r="N51" s="4" t="n"/>
      <c r="O51" s="4" t="n"/>
      <c r="P51" s="4" t="n"/>
      <c r="Q51" s="19" t="n"/>
      <c r="R51" s="19" t="n"/>
      <c r="S51" s="4" t="n">
        <v>0.03</v>
      </c>
      <c r="T51" s="4" t="n">
        <v>0.0440648772785992</v>
      </c>
      <c r="U51" s="16" t="n"/>
      <c r="V51" s="16" t="n"/>
      <c r="W51" s="4" t="n"/>
      <c r="X51" s="4" t="n"/>
      <c r="Y51" s="4" t="n"/>
      <c r="Z51" s="4" t="n"/>
      <c r="AA51" s="4" t="n">
        <v>0.03</v>
      </c>
      <c r="AB51" s="4" t="n">
        <v>0.05</v>
      </c>
      <c r="AC51" s="4">
        <f>(AB51+2*參數!$B$7)/(AA51+AB51)</f>
        <v/>
      </c>
      <c r="AD51" s="2" t="n">
        <v>0.2791639095403058</v>
      </c>
      <c r="AE51" s="2" t="n">
        <v>4.174424179659781</v>
      </c>
      <c r="AF51" s="2" t="inlineStr">
        <is>
          <t>2倍+30分1倍+15分0.5倍</t>
        </is>
      </c>
      <c r="AG51" s="2" t="n">
        <v>0.0290989660265879</v>
      </c>
      <c r="AH51" s="2" t="n">
        <v>60</v>
      </c>
    </row>
    <row r="52">
      <c r="A52" s="2" t="n">
        <v>51</v>
      </c>
      <c r="B52" s="2" t="inlineStr">
        <is>
          <t>SPK_USDT_PERP</t>
        </is>
      </c>
      <c r="C52" s="2" t="inlineStr">
        <is>
          <t>做空</t>
        </is>
      </c>
      <c r="D52" s="7" t="n">
        <v>46298.00277777778</v>
      </c>
      <c r="E52" s="17" t="n">
        <v>0.02801</v>
      </c>
      <c r="F52" s="17" t="n">
        <v>0.0271697</v>
      </c>
      <c r="G52" s="17" t="n">
        <v>0.0294105</v>
      </c>
      <c r="H52" s="7" t="n">
        <v>46298.00625</v>
      </c>
      <c r="I52" s="17" t="n">
        <v>0.0271697</v>
      </c>
      <c r="J52" s="2" t="inlineStr">
        <is>
          <t>止盈</t>
        </is>
      </c>
      <c r="K52" s="5">
        <f>(H52-D52)*24</f>
        <v/>
      </c>
      <c r="L52" s="4">
        <f>IF(C52="做多",I52/E52-1,1-I52/E52)-2*參數!$B$7</f>
        <v/>
      </c>
      <c r="M52" s="2" t="inlineStr"/>
      <c r="N52" s="4" t="n"/>
      <c r="O52" s="4" t="n"/>
      <c r="P52" s="4" t="n"/>
      <c r="Q52" s="19" t="n"/>
      <c r="R52" s="19" t="n"/>
      <c r="S52" s="4" t="n">
        <v>0.03</v>
      </c>
      <c r="T52" s="4" t="n">
        <v>0.003570153516601282</v>
      </c>
      <c r="U52" s="16" t="n"/>
      <c r="V52" s="16" t="n"/>
      <c r="W52" s="4" t="n"/>
      <c r="X52" s="4" t="n"/>
      <c r="Y52" s="4" t="n"/>
      <c r="Z52" s="4" t="n"/>
      <c r="AA52" s="4" t="n">
        <v>0.03</v>
      </c>
      <c r="AB52" s="4" t="n">
        <v>0.05</v>
      </c>
      <c r="AC52" s="4">
        <f>(AB52+2*參數!$B$7)/(AA52+AB52)</f>
        <v/>
      </c>
      <c r="AD52" s="2" t="n">
        <v>0.06057098765432101</v>
      </c>
      <c r="AE52" s="2" t="n">
        <v>0.7263855925709624</v>
      </c>
      <c r="AF52" s="2" t="inlineStr">
        <is>
          <t>15分0.5倍</t>
        </is>
      </c>
      <c r="AG52" s="2" t="n">
        <v>0.01743552488194711</v>
      </c>
      <c r="AH52" s="2" t="n">
        <v>4</v>
      </c>
    </row>
    <row r="53">
      <c r="A53" s="2" t="n">
        <v>52</v>
      </c>
      <c r="B53" s="2" t="inlineStr">
        <is>
          <t>POWER_USDT_PERP</t>
        </is>
      </c>
      <c r="C53" s="2" t="inlineStr">
        <is>
          <t>做空</t>
        </is>
      </c>
      <c r="D53" s="7" t="n">
        <v>46298.08958333333</v>
      </c>
      <c r="E53" s="17" t="n">
        <v>0.09277000000000001</v>
      </c>
      <c r="F53" s="17" t="n">
        <v>0.08998690000000001</v>
      </c>
      <c r="G53" s="17" t="n">
        <v>0.09740850000000001</v>
      </c>
      <c r="H53" s="7" t="n">
        <v>46298.10972222222</v>
      </c>
      <c r="I53" s="17" t="n">
        <v>0.08998690000000001</v>
      </c>
      <c r="J53" s="2" t="inlineStr">
        <is>
          <t>止盈</t>
        </is>
      </c>
      <c r="K53" s="5">
        <f>(H53-D53)*24</f>
        <v/>
      </c>
      <c r="L53" s="4">
        <f>IF(C53="做多",I53/E53-1,1-I53/E53)-2*參數!$B$7</f>
        <v/>
      </c>
      <c r="M53" s="2" t="inlineStr"/>
      <c r="N53" s="4" t="n"/>
      <c r="O53" s="4" t="n"/>
      <c r="P53" s="4" t="n"/>
      <c r="Q53" s="19" t="n"/>
      <c r="R53" s="19" t="n"/>
      <c r="S53" s="4" t="n">
        <v>0.03</v>
      </c>
      <c r="T53" s="4" t="n">
        <v>0.0249002910423628</v>
      </c>
      <c r="U53" s="16" t="n"/>
      <c r="V53" s="16" t="n"/>
      <c r="W53" s="4" t="n"/>
      <c r="X53" s="4" t="n"/>
      <c r="Y53" s="4" t="n"/>
      <c r="Z53" s="4" t="n"/>
      <c r="AA53" s="4" t="n">
        <v>0.03</v>
      </c>
      <c r="AB53" s="4" t="n">
        <v>0.05</v>
      </c>
      <c r="AC53" s="4">
        <f>(AB53+2*參數!$B$7)/(AA53+AB53)</f>
        <v/>
      </c>
      <c r="AD53" s="2" t="n">
        <v>0.06018896535635121</v>
      </c>
      <c r="AE53" s="2" t="n">
        <v>0.506551243164257</v>
      </c>
      <c r="AF53" s="2" t="inlineStr">
        <is>
          <t>15分0.5倍</t>
        </is>
      </c>
      <c r="AG53" s="2" t="n">
        <v>0.008588823657316835</v>
      </c>
      <c r="AH53" s="2" t="n">
        <v>9</v>
      </c>
    </row>
    <row r="54">
      <c r="A54" s="2" t="n">
        <v>53</v>
      </c>
      <c r="B54" s="2" t="inlineStr">
        <is>
          <t>SAND_USDT_PERP</t>
        </is>
      </c>
      <c r="C54" s="2" t="inlineStr">
        <is>
          <t>做空</t>
        </is>
      </c>
      <c r="D54" s="7" t="n">
        <v>46298.34444444445</v>
      </c>
      <c r="E54" s="17" t="n">
        <v>0.07006</v>
      </c>
      <c r="F54" s="17" t="n">
        <v>0.0679582</v>
      </c>
      <c r="G54" s="17" t="n">
        <v>0.073563</v>
      </c>
      <c r="H54" s="7" t="n">
        <v>46298.34722222222</v>
      </c>
      <c r="I54" s="17" t="n">
        <v>0.0679582</v>
      </c>
      <c r="J54" s="2" t="inlineStr">
        <is>
          <t>止盈</t>
        </is>
      </c>
      <c r="K54" s="5">
        <f>(H54-D54)*24</f>
        <v/>
      </c>
      <c r="L54" s="4">
        <f>IF(C54="做多",I54/E54-1,1-I54/E54)-2*參數!$B$7</f>
        <v/>
      </c>
      <c r="M54" s="2" t="inlineStr"/>
      <c r="N54" s="4" t="n"/>
      <c r="O54" s="4" t="n"/>
      <c r="P54" s="4" t="n"/>
      <c r="Q54" s="19" t="n"/>
      <c r="R54" s="19" t="n"/>
      <c r="S54" s="4" t="n">
        <v>0.03</v>
      </c>
      <c r="T54" s="4" t="n">
        <v>0.0206965458178705</v>
      </c>
      <c r="U54" s="16" t="n"/>
      <c r="V54" s="16" t="n"/>
      <c r="W54" s="4" t="n"/>
      <c r="X54" s="4" t="n"/>
      <c r="Y54" s="4" t="n"/>
      <c r="Z54" s="4" t="n"/>
      <c r="AA54" s="4" t="n">
        <v>0.03</v>
      </c>
      <c r="AB54" s="4" t="n">
        <v>0.05</v>
      </c>
      <c r="AC54" s="4">
        <f>(AB54+2*參數!$B$7)/(AA54+AB54)</f>
        <v/>
      </c>
      <c r="AD54" s="2" t="n">
        <v>0.06189226732520448</v>
      </c>
      <c r="AE54" s="2" t="n">
        <v>1.142935468541522</v>
      </c>
      <c r="AF54" s="2" t="inlineStr">
        <is>
          <t>30分1倍+15分0.5倍</t>
        </is>
      </c>
      <c r="AG54" s="2" t="n">
        <v>0.01096681096681085</v>
      </c>
      <c r="AH54" s="2" t="n">
        <v>16</v>
      </c>
    </row>
    <row r="55">
      <c r="A55" s="2" t="n">
        <v>54</v>
      </c>
      <c r="B55" s="2" t="inlineStr">
        <is>
          <t>TAKE_USDT_PERP</t>
        </is>
      </c>
      <c r="C55" s="2" t="inlineStr">
        <is>
          <t>做空</t>
        </is>
      </c>
      <c r="D55" s="7" t="n">
        <v>46298.50902777778</v>
      </c>
      <c r="E55" s="17" t="n">
        <v>0.06778000000000001</v>
      </c>
      <c r="F55" s="17" t="n">
        <v>0.0657466</v>
      </c>
      <c r="G55" s="17" t="n">
        <v>0.07116900000000001</v>
      </c>
      <c r="H55" s="7" t="n">
        <v>46298.51597222222</v>
      </c>
      <c r="I55" s="17" t="n">
        <v>0.0657466</v>
      </c>
      <c r="J55" s="2" t="inlineStr">
        <is>
          <t>止盈</t>
        </is>
      </c>
      <c r="K55" s="5">
        <f>(H55-D55)*24</f>
        <v/>
      </c>
      <c r="L55" s="4">
        <f>IF(C55="做多",I55/E55-1,1-I55/E55)-2*參數!$B$7</f>
        <v/>
      </c>
      <c r="M55" s="2" t="inlineStr"/>
      <c r="N55" s="4" t="n"/>
      <c r="O55" s="4" t="n"/>
      <c r="P55" s="4" t="n"/>
      <c r="Q55" s="19" t="n"/>
      <c r="R55" s="19" t="n"/>
      <c r="S55" s="4" t="n">
        <v>0.03</v>
      </c>
      <c r="T55" s="4" t="n">
        <v>0.01888462673354963</v>
      </c>
      <c r="U55" s="16" t="n"/>
      <c r="V55" s="16" t="n"/>
      <c r="W55" s="4" t="n"/>
      <c r="X55" s="4" t="n"/>
      <c r="Y55" s="4" t="n"/>
      <c r="Z55" s="4" t="n"/>
      <c r="AA55" s="4" t="n">
        <v>0.03</v>
      </c>
      <c r="AB55" s="4" t="n">
        <v>0.05</v>
      </c>
      <c r="AC55" s="4">
        <f>(AB55+2*參數!$B$7)/(AA55+AB55)</f>
        <v/>
      </c>
      <c r="AD55" s="2" t="n">
        <v>0.1024136775058666</v>
      </c>
      <c r="AE55" s="2" t="n">
        <v>0.502497197354953</v>
      </c>
      <c r="AF55" s="2" t="inlineStr">
        <is>
          <t>15分0.5倍</t>
        </is>
      </c>
      <c r="AG55" s="2" t="n">
        <v>0.0090814351645081</v>
      </c>
      <c r="AH55" s="2" t="n">
        <v>13</v>
      </c>
    </row>
    <row r="56">
      <c r="A56" s="2" t="n">
        <v>55</v>
      </c>
      <c r="B56" s="2" t="inlineStr">
        <is>
          <t>AGT_USDT_PERP</t>
        </is>
      </c>
      <c r="C56" s="2" t="inlineStr">
        <is>
          <t>做空</t>
        </is>
      </c>
      <c r="D56" s="7" t="n">
        <v>46298.63611111111</v>
      </c>
      <c r="E56" s="17" t="n">
        <v>0.024348</v>
      </c>
      <c r="F56" s="17" t="n">
        <v>0.02361756</v>
      </c>
      <c r="G56" s="17" t="n">
        <v>0.0255654</v>
      </c>
      <c r="H56" s="7" t="n">
        <v>46299.47361111111</v>
      </c>
      <c r="I56" s="17" t="n">
        <v>0.0255654</v>
      </c>
      <c r="J56" s="2" t="inlineStr">
        <is>
          <t>止損</t>
        </is>
      </c>
      <c r="K56" s="5">
        <f>(H56-D56)*24</f>
        <v/>
      </c>
      <c r="L56" s="4">
        <f>IF(C56="做多",I56/E56-1,1-I56/E56)-2*參數!$B$7</f>
        <v/>
      </c>
      <c r="M56" s="2" t="inlineStr"/>
      <c r="N56" s="4" t="n"/>
      <c r="O56" s="4" t="n"/>
      <c r="P56" s="4" t="n"/>
      <c r="Q56" s="19" t="n"/>
      <c r="R56" s="19" t="n"/>
      <c r="S56" s="4" t="n">
        <v>0.008008871365204562</v>
      </c>
      <c r="T56" s="4" t="n">
        <v>0.05</v>
      </c>
      <c r="U56" s="16" t="n"/>
      <c r="V56" s="16" t="n"/>
      <c r="W56" s="4" t="n"/>
      <c r="X56" s="4" t="n"/>
      <c r="Y56" s="4" t="n"/>
      <c r="Z56" s="4" t="n"/>
      <c r="AA56" s="4" t="n">
        <v>0.03</v>
      </c>
      <c r="AB56" s="4" t="n">
        <v>0.05</v>
      </c>
      <c r="AC56" s="4">
        <f>(AB56+2*參數!$B$7)/(AA56+AB56)</f>
        <v/>
      </c>
      <c r="AD56" s="2" t="n">
        <v>0.06557881773399021</v>
      </c>
      <c r="AE56" s="2" t="n">
        <v>1.899256485498767</v>
      </c>
      <c r="AF56" s="2" t="inlineStr">
        <is>
          <t>30分1倍+15分0.5倍</t>
        </is>
      </c>
      <c r="AG56" s="2" t="n">
        <v>0.0005753267033778986</v>
      </c>
      <c r="AH56" s="2" t="n">
        <v>16</v>
      </c>
    </row>
    <row r="57">
      <c r="A57" s="2" t="n">
        <v>56</v>
      </c>
      <c r="B57" s="2" t="inlineStr">
        <is>
          <t>AIO_USDT_PERP</t>
        </is>
      </c>
      <c r="C57" s="2" t="inlineStr">
        <is>
          <t>做空</t>
        </is>
      </c>
      <c r="D57" s="7" t="n">
        <v>46299.17013888889</v>
      </c>
      <c r="E57" s="17" t="n">
        <v>0.04316</v>
      </c>
      <c r="F57" s="17" t="n">
        <v>0.0418652</v>
      </c>
      <c r="G57" s="17" t="n">
        <v>0.045318</v>
      </c>
      <c r="H57" s="7" t="n">
        <v>46299.17291666667</v>
      </c>
      <c r="I57" s="17" t="n">
        <v>0.0418652</v>
      </c>
      <c r="J57" s="2" t="inlineStr">
        <is>
          <t>止盈</t>
        </is>
      </c>
      <c r="K57" s="5">
        <f>(H57-D57)*24</f>
        <v/>
      </c>
      <c r="L57" s="4">
        <f>IF(C57="做多",I57/E57-1,1-I57/E57)-2*參數!$B$7</f>
        <v/>
      </c>
      <c r="M57" s="2" t="inlineStr"/>
      <c r="N57" s="4" t="n"/>
      <c r="O57" s="4" t="n"/>
      <c r="P57" s="4" t="n"/>
      <c r="Q57" s="19" t="n"/>
      <c r="R57" s="19" t="n"/>
      <c r="S57" s="4" t="n">
        <v>0.03</v>
      </c>
      <c r="T57" s="4" t="n">
        <v>0.0004633920296572835</v>
      </c>
      <c r="U57" s="16" t="n"/>
      <c r="V57" s="16" t="n"/>
      <c r="W57" s="4" t="n"/>
      <c r="X57" s="4" t="n"/>
      <c r="Y57" s="4" t="n"/>
      <c r="Z57" s="4" t="n"/>
      <c r="AA57" s="4" t="n">
        <v>0.03</v>
      </c>
      <c r="AB57" s="4" t="n">
        <v>0.05</v>
      </c>
      <c r="AC57" s="4">
        <f>(AB57+2*參數!$B$7)/(AA57+AB57)</f>
        <v/>
      </c>
      <c r="AD57" s="2" t="n">
        <v>0.07841140529531576</v>
      </c>
      <c r="AE57" s="2" t="n">
        <v>0.6146924186367342</v>
      </c>
      <c r="AF57" s="2" t="inlineStr">
        <is>
          <t>15分0.5倍</t>
        </is>
      </c>
      <c r="AG57" s="2" t="n">
        <v>0.005123428039124356</v>
      </c>
      <c r="AH57" s="2" t="n">
        <v>5</v>
      </c>
    </row>
    <row r="58">
      <c r="A58" s="2" t="n">
        <v>57</v>
      </c>
      <c r="B58" s="2" t="inlineStr">
        <is>
          <t>ESP_USDT_PERP</t>
        </is>
      </c>
      <c r="C58" s="2" t="inlineStr">
        <is>
          <t>做空</t>
        </is>
      </c>
      <c r="D58" s="7" t="n">
        <v>46299.43472222222</v>
      </c>
      <c r="E58" s="17" t="n">
        <v>0.10926</v>
      </c>
      <c r="F58" s="17" t="n">
        <v>0.1059822</v>
      </c>
      <c r="G58" s="17" t="n">
        <v>0.114723</v>
      </c>
      <c r="H58" s="7" t="n">
        <v>46299.43680555555</v>
      </c>
      <c r="I58" s="17" t="n">
        <v>0.114723</v>
      </c>
      <c r="J58" s="2" t="inlineStr">
        <is>
          <t>止損</t>
        </is>
      </c>
      <c r="K58" s="5">
        <f>(H58-D58)*24</f>
        <v/>
      </c>
      <c r="L58" s="4">
        <f>IF(C58="做多",I58/E58-1,1-I58/E58)-2*參數!$B$7</f>
        <v/>
      </c>
      <c r="M58" s="2" t="inlineStr"/>
      <c r="N58" s="4" t="n"/>
      <c r="O58" s="4" t="n"/>
      <c r="P58" s="4" t="n"/>
      <c r="Q58" s="19" t="n"/>
      <c r="R58" s="19" t="n"/>
      <c r="S58" s="4" t="n">
        <v>0.009244005125388921</v>
      </c>
      <c r="T58" s="4" t="n">
        <v>0.05</v>
      </c>
      <c r="U58" s="16" t="n"/>
      <c r="V58" s="16" t="n"/>
      <c r="W58" s="4" t="n"/>
      <c r="X58" s="4" t="n"/>
      <c r="Y58" s="4" t="n"/>
      <c r="Z58" s="4" t="n"/>
      <c r="AA58" s="4" t="n">
        <v>0.03</v>
      </c>
      <c r="AB58" s="4" t="n">
        <v>0.05</v>
      </c>
      <c r="AC58" s="4">
        <f>(AB58+2*參數!$B$7)/(AA58+AB58)</f>
        <v/>
      </c>
      <c r="AD58" s="2" t="n">
        <v>0.06615399783101639</v>
      </c>
      <c r="AE58" s="2" t="n">
        <v>1.772433679354095</v>
      </c>
      <c r="AF58" s="2" t="inlineStr">
        <is>
          <t>30分1倍+15分0.5倍</t>
        </is>
      </c>
      <c r="AG58" s="2" t="n">
        <v>0.0005494505494505475</v>
      </c>
      <c r="AH58" s="2" t="n">
        <v>26</v>
      </c>
    </row>
    <row r="59">
      <c r="A59" s="2" t="n">
        <v>58</v>
      </c>
      <c r="B59" s="2" t="inlineStr">
        <is>
          <t>PROS_USDT_PERP</t>
        </is>
      </c>
      <c r="C59" s="2" t="inlineStr">
        <is>
          <t>做空</t>
        </is>
      </c>
      <c r="D59" s="7" t="n">
        <v>46299.51805555556</v>
      </c>
      <c r="E59" s="17" t="n">
        <v>0.792</v>
      </c>
      <c r="F59" s="17" t="n">
        <v>0.76824</v>
      </c>
      <c r="G59" s="17" t="n">
        <v>0.8316000000000001</v>
      </c>
      <c r="H59" s="7" t="n">
        <v>46300.33541666667</v>
      </c>
      <c r="I59" s="17" t="n">
        <v>0.8316000000000001</v>
      </c>
      <c r="J59" s="2" t="inlineStr">
        <is>
          <t>止損</t>
        </is>
      </c>
      <c r="K59" s="5">
        <f>(H59-D59)*24</f>
        <v/>
      </c>
      <c r="L59" s="4">
        <f>IF(C59="做多",I59/E59-1,1-I59/E59)-2*參數!$B$7</f>
        <v/>
      </c>
      <c r="M59" s="2" t="inlineStr"/>
      <c r="N59" s="4" t="n"/>
      <c r="O59" s="4" t="n"/>
      <c r="P59" s="4" t="n"/>
      <c r="Q59" s="19" t="n"/>
      <c r="R59" s="19" t="n"/>
      <c r="S59" s="4" t="n">
        <v>0.02335858585858597</v>
      </c>
      <c r="T59" s="4" t="n">
        <v>0.05</v>
      </c>
      <c r="U59" s="16" t="n"/>
      <c r="V59" s="16" t="n"/>
      <c r="W59" s="4" t="n"/>
      <c r="X59" s="4" t="n"/>
      <c r="Y59" s="4" t="n"/>
      <c r="Z59" s="4" t="n"/>
      <c r="AA59" s="4" t="n">
        <v>0.03</v>
      </c>
      <c r="AB59" s="4" t="n">
        <v>0.05</v>
      </c>
      <c r="AC59" s="4">
        <f>(AB59+2*參數!$B$7)/(AA59+AB59)</f>
        <v/>
      </c>
      <c r="AD59" s="2" t="n">
        <v>0.0684357541899443</v>
      </c>
      <c r="AE59" s="2" t="n">
        <v>2.94275161588181</v>
      </c>
      <c r="AF59" s="2" t="inlineStr">
        <is>
          <t>2倍+30分1倍</t>
        </is>
      </c>
      <c r="AG59" s="2" t="n">
        <v>0.02643856920684295</v>
      </c>
      <c r="AH59" s="2" t="n">
        <v>26</v>
      </c>
    </row>
    <row r="60">
      <c r="A60" s="2" t="n">
        <v>59</v>
      </c>
      <c r="B60" s="2" t="inlineStr">
        <is>
          <t>BAT_USDT_PERP</t>
        </is>
      </c>
      <c r="C60" s="2" t="inlineStr">
        <is>
          <t>做空</t>
        </is>
      </c>
      <c r="D60" s="7" t="n">
        <v>46299.67083333333</v>
      </c>
      <c r="E60" s="17" t="n">
        <v>0.1071</v>
      </c>
      <c r="F60" s="17" t="n">
        <v>0.103887</v>
      </c>
      <c r="G60" s="17" t="n">
        <v>0.112455</v>
      </c>
      <c r="H60" s="7" t="n">
        <v>46299.69722222222</v>
      </c>
      <c r="I60" s="17" t="n">
        <v>0.103887</v>
      </c>
      <c r="J60" s="2" t="inlineStr">
        <is>
          <t>止盈</t>
        </is>
      </c>
      <c r="K60" s="5">
        <f>(H60-D60)*24</f>
        <v/>
      </c>
      <c r="L60" s="4">
        <f>IF(C60="做多",I60/E60-1,1-I60/E60)-2*參數!$B$7</f>
        <v/>
      </c>
      <c r="M60" s="2" t="inlineStr"/>
      <c r="N60" s="4" t="n"/>
      <c r="O60" s="4" t="n"/>
      <c r="P60" s="4" t="n"/>
      <c r="Q60" s="19" t="n"/>
      <c r="R60" s="19" t="n"/>
      <c r="S60" s="4" t="n">
        <v>0.03</v>
      </c>
      <c r="T60" s="4" t="n">
        <v>0.02521008403361336</v>
      </c>
      <c r="U60" s="16" t="n"/>
      <c r="V60" s="16" t="n"/>
      <c r="W60" s="4" t="n"/>
      <c r="X60" s="4" t="n"/>
      <c r="Y60" s="4" t="n"/>
      <c r="Z60" s="4" t="n"/>
      <c r="AA60" s="4" t="n">
        <v>0.03</v>
      </c>
      <c r="AB60" s="4" t="n">
        <v>0.05</v>
      </c>
      <c r="AC60" s="4">
        <f>(AB60+2*參數!$B$7)/(AA60+AB60)</f>
        <v/>
      </c>
      <c r="AD60" s="2" t="n">
        <v>0.06619859578736209</v>
      </c>
      <c r="AE60" s="2" t="n">
        <v>0.7044967677291901</v>
      </c>
      <c r="AF60" s="2" t="inlineStr">
        <is>
          <t>15分0.5倍</t>
        </is>
      </c>
      <c r="AG60" s="2" t="n">
        <v>0.002808988764044784</v>
      </c>
      <c r="AH60" s="2" t="n">
        <v>6</v>
      </c>
    </row>
    <row r="61">
      <c r="A61" s="2" t="n">
        <v>60</v>
      </c>
      <c r="B61" s="2" t="inlineStr">
        <is>
          <t>LYN_USDT_PERP</t>
        </is>
      </c>
      <c r="C61" s="2" t="inlineStr">
        <is>
          <t>做空</t>
        </is>
      </c>
      <c r="D61" s="7" t="n">
        <v>46300.25763888889</v>
      </c>
      <c r="E61" s="17" t="n">
        <v>0.03564</v>
      </c>
      <c r="F61" s="17" t="n">
        <v>0.0345708</v>
      </c>
      <c r="G61" s="17" t="n">
        <v>0.037422</v>
      </c>
      <c r="H61" s="7" t="n">
        <v>46300.25972222222</v>
      </c>
      <c r="I61" s="17" t="n">
        <v>0.0345708</v>
      </c>
      <c r="J61" s="2" t="inlineStr">
        <is>
          <t>止盈</t>
        </is>
      </c>
      <c r="K61" s="5">
        <f>(H61-D61)*24</f>
        <v/>
      </c>
      <c r="L61" s="4">
        <f>IF(C61="做多",I61/E61-1,1-I61/E61)-2*參數!$B$7</f>
        <v/>
      </c>
      <c r="M61" s="2" t="inlineStr"/>
      <c r="N61" s="4" t="n"/>
      <c r="O61" s="4" t="n"/>
      <c r="P61" s="4" t="n"/>
      <c r="Q61" s="19" t="n"/>
      <c r="R61" s="19" t="n"/>
      <c r="S61" s="4" t="n">
        <v>0.03</v>
      </c>
      <c r="T61" s="4" t="n">
        <v>0.0145903479236813</v>
      </c>
      <c r="U61" s="16" t="n"/>
      <c r="V61" s="16" t="n"/>
      <c r="W61" s="4" t="n"/>
      <c r="X61" s="4" t="n"/>
      <c r="Y61" s="4" t="n"/>
      <c r="Z61" s="4" t="n"/>
      <c r="AA61" s="4" t="n">
        <v>0.03</v>
      </c>
      <c r="AB61" s="4" t="n">
        <v>0.05</v>
      </c>
      <c r="AC61" s="4">
        <f>(AB61+2*參數!$B$7)/(AA61+AB61)</f>
        <v/>
      </c>
      <c r="AD61" s="2" t="n">
        <v>0.07525870178739424</v>
      </c>
      <c r="AE61" s="2" t="n">
        <v>0.5330752929113959</v>
      </c>
      <c r="AF61" s="2" t="inlineStr">
        <is>
          <t>15分0.5倍</t>
        </is>
      </c>
      <c r="AG61" s="2" t="n">
        <v>0.0050761421319796</v>
      </c>
      <c r="AH61" s="2" t="n">
        <v>11</v>
      </c>
    </row>
    <row r="62">
      <c r="A62" s="2" t="n">
        <v>61</v>
      </c>
      <c r="B62" s="2" t="inlineStr">
        <is>
          <t>PONS_USDT_PERP</t>
        </is>
      </c>
      <c r="C62" s="2" t="inlineStr">
        <is>
          <t>做空</t>
        </is>
      </c>
      <c r="D62" s="7" t="n">
        <v>46300.66666666666</v>
      </c>
      <c r="E62" s="17" t="n">
        <v>0.408</v>
      </c>
      <c r="F62" s="17" t="n">
        <v>0.3957599999999999</v>
      </c>
      <c r="G62" s="17" t="n">
        <v>0.4284</v>
      </c>
      <c r="H62" s="7" t="n">
        <v>46300.77708333333</v>
      </c>
      <c r="I62" s="17" t="n">
        <v>0.3957599999999999</v>
      </c>
      <c r="J62" s="2" t="inlineStr">
        <is>
          <t>止盈</t>
        </is>
      </c>
      <c r="K62" s="5">
        <f>(H62-D62)*24</f>
        <v/>
      </c>
      <c r="L62" s="4">
        <f>IF(C62="做多",I62/E62-1,1-I62/E62)-2*參數!$B$7</f>
        <v/>
      </c>
      <c r="M62" s="2" t="inlineStr"/>
      <c r="N62" s="4" t="n"/>
      <c r="O62" s="4" t="n"/>
      <c r="P62" s="4" t="n"/>
      <c r="Q62" s="19" t="n"/>
      <c r="R62" s="19" t="n"/>
      <c r="S62" s="4" t="n">
        <v>0.03</v>
      </c>
      <c r="T62" s="4" t="n">
        <v>0.0137254901960786</v>
      </c>
      <c r="U62" s="16" t="n"/>
      <c r="V62" s="16" t="n"/>
      <c r="W62" s="4" t="n"/>
      <c r="X62" s="4" t="n"/>
      <c r="Y62" s="4" t="n"/>
      <c r="Z62" s="4" t="n"/>
      <c r="AA62" s="4" t="n">
        <v>0.03</v>
      </c>
      <c r="AB62" s="4" t="n">
        <v>0.05</v>
      </c>
      <c r="AC62" s="4">
        <f>(AB62+2*參數!$B$7)/(AA62+AB62)</f>
        <v/>
      </c>
      <c r="AD62" s="2" t="n">
        <v>0.06057441253263707</v>
      </c>
      <c r="AE62" s="2" t="n">
        <v>1.056726378644187</v>
      </c>
      <c r="AF62" s="2" t="inlineStr">
        <is>
          <t>15分0.5倍</t>
        </is>
      </c>
      <c r="AG62" s="2" t="n">
        <v>0.001226993865030668</v>
      </c>
      <c r="AH62" s="2" t="n">
        <v>60</v>
      </c>
    </row>
    <row r="63">
      <c r="A63" s="2" t="n">
        <v>62</v>
      </c>
      <c r="B63" s="2" t="inlineStr">
        <is>
          <t>COLLECT_USDT_PERP</t>
        </is>
      </c>
      <c r="C63" s="2" t="inlineStr">
        <is>
          <t>做空</t>
        </is>
      </c>
      <c r="D63" s="7" t="n">
        <v>46300.75694444445</v>
      </c>
      <c r="E63" s="17" t="n">
        <v>0.02532</v>
      </c>
      <c r="F63" s="17" t="n">
        <v>0.0245604</v>
      </c>
      <c r="G63" s="17" t="n">
        <v>0.026586</v>
      </c>
      <c r="H63" s="7" t="n">
        <v>46300.84027777778</v>
      </c>
      <c r="I63" s="17" t="n">
        <v>0.0245604</v>
      </c>
      <c r="J63" s="2" t="inlineStr">
        <is>
          <t>止盈</t>
        </is>
      </c>
      <c r="K63" s="5">
        <f>(H63-D63)*24</f>
        <v/>
      </c>
      <c r="L63" s="4">
        <f>IF(C63="做多",I63/E63-1,1-I63/E63)-2*參數!$B$7</f>
        <v/>
      </c>
      <c r="M63" s="2" t="inlineStr"/>
      <c r="N63" s="4" t="n"/>
      <c r="O63" s="4" t="n"/>
      <c r="P63" s="4" t="n"/>
      <c r="Q63" s="19" t="n"/>
      <c r="R63" s="19" t="n"/>
      <c r="S63" s="4" t="n">
        <v>0.03</v>
      </c>
      <c r="T63" s="4" t="n">
        <v>0.01224328593996837</v>
      </c>
      <c r="U63" s="16" t="n"/>
      <c r="V63" s="16" t="n"/>
      <c r="W63" s="4" t="n"/>
      <c r="X63" s="4" t="n"/>
      <c r="Y63" s="4" t="n"/>
      <c r="Z63" s="4" t="n"/>
      <c r="AA63" s="4" t="n">
        <v>0.03</v>
      </c>
      <c r="AB63" s="4" t="n">
        <v>0.05</v>
      </c>
      <c r="AC63" s="4">
        <f>(AB63+2*參數!$B$7)/(AA63+AB63)</f>
        <v/>
      </c>
      <c r="AD63" s="2" t="n">
        <v>0.07860824742268058</v>
      </c>
      <c r="AE63" s="2" t="n">
        <v>0.5674309706706291</v>
      </c>
      <c r="AF63" s="2" t="inlineStr">
        <is>
          <t>15分0.5倍</t>
        </is>
      </c>
      <c r="AG63" s="2" t="n">
        <v>0.008363201911588902</v>
      </c>
      <c r="AH63" s="2" t="n">
        <v>10</v>
      </c>
    </row>
    <row r="64">
      <c r="A64" s="2" t="n">
        <v>63</v>
      </c>
      <c r="B64" s="2" t="inlineStr">
        <is>
          <t>UP_USDT_PERP</t>
        </is>
      </c>
      <c r="C64" s="2" t="inlineStr">
        <is>
          <t>做空</t>
        </is>
      </c>
      <c r="D64" s="7" t="n">
        <v>46301.01666666667</v>
      </c>
      <c r="E64" s="17" t="n">
        <v>0.2111</v>
      </c>
      <c r="F64" s="17" t="n">
        <v>0.204767</v>
      </c>
      <c r="G64" s="17" t="n">
        <v>0.221655</v>
      </c>
      <c r="H64" s="7" t="n">
        <v>46301.08055555556</v>
      </c>
      <c r="I64" s="17" t="n">
        <v>0.221655</v>
      </c>
      <c r="J64" s="2" t="inlineStr">
        <is>
          <t>止損</t>
        </is>
      </c>
      <c r="K64" s="5">
        <f>(H64-D64)*24</f>
        <v/>
      </c>
      <c r="L64" s="4">
        <f>IF(C64="做多",I64/E64-1,1-I64/E64)-2*參數!$B$7</f>
        <v/>
      </c>
      <c r="M64" s="2" t="inlineStr"/>
      <c r="N64" s="4" t="n"/>
      <c r="O64" s="4" t="n"/>
      <c r="P64" s="4" t="n"/>
      <c r="Q64" s="19" t="n"/>
      <c r="R64" s="19" t="n"/>
      <c r="S64" s="4" t="n">
        <v>0.02842254855518711</v>
      </c>
      <c r="T64" s="4" t="n">
        <v>0.05</v>
      </c>
      <c r="U64" s="16" t="n"/>
      <c r="V64" s="16" t="n"/>
      <c r="W64" s="4" t="n"/>
      <c r="X64" s="4" t="n"/>
      <c r="Y64" s="4" t="n"/>
      <c r="Z64" s="4" t="n"/>
      <c r="AA64" s="4" t="n">
        <v>0.03</v>
      </c>
      <c r="AB64" s="4" t="n">
        <v>0.05</v>
      </c>
      <c r="AC64" s="4">
        <f>(AB64+2*參數!$B$7)/(AA64+AB64)</f>
        <v/>
      </c>
      <c r="AD64" s="2" t="n">
        <v>0.0644171779141105</v>
      </c>
      <c r="AE64" s="2" t="n">
        <v>1.151302605210421</v>
      </c>
      <c r="AF64" s="2" t="inlineStr">
        <is>
          <t>30分1倍</t>
        </is>
      </c>
      <c r="AG64" s="2" t="n">
        <v>0.009082217973231499</v>
      </c>
      <c r="AH64" s="2" t="n">
        <v>24</v>
      </c>
    </row>
    <row r="65">
      <c r="A65" s="2" t="n">
        <v>64</v>
      </c>
      <c r="B65" s="2" t="inlineStr">
        <is>
          <t>UP_USDT_PERP</t>
        </is>
      </c>
      <c r="C65" s="2" t="inlineStr">
        <is>
          <t>做空</t>
        </is>
      </c>
      <c r="D65" s="7" t="n">
        <v>46301.08888888889</v>
      </c>
      <c r="E65" s="17" t="n">
        <v>0.2254</v>
      </c>
      <c r="F65" s="17" t="n">
        <v>0.218638</v>
      </c>
      <c r="G65" s="17" t="n">
        <v>0.23667</v>
      </c>
      <c r="H65" s="7" t="n">
        <v>46301.56180555555</v>
      </c>
      <c r="I65" s="17" t="n">
        <v>0.218638</v>
      </c>
      <c r="J65" s="2" t="inlineStr">
        <is>
          <t>止盈</t>
        </is>
      </c>
      <c r="K65" s="5">
        <f>(H65-D65)*24</f>
        <v/>
      </c>
      <c r="L65" s="4">
        <f>IF(C65="做多",I65/E65-1,1-I65/E65)-2*參數!$B$7</f>
        <v/>
      </c>
      <c r="M65" s="2" t="inlineStr"/>
      <c r="N65" s="4" t="n"/>
      <c r="O65" s="4" t="n"/>
      <c r="P65" s="4" t="n"/>
      <c r="Q65" s="19" t="n"/>
      <c r="R65" s="19" t="n"/>
      <c r="S65" s="4" t="n">
        <v>0.03</v>
      </c>
      <c r="T65" s="4" t="n">
        <v>0.03904170363797688</v>
      </c>
      <c r="U65" s="16" t="n"/>
      <c r="V65" s="16" t="n"/>
      <c r="W65" s="4" t="n"/>
      <c r="X65" s="4" t="n"/>
      <c r="Y65" s="4" t="n"/>
      <c r="Z65" s="4" t="n"/>
      <c r="AA65" s="4" t="n">
        <v>0.03</v>
      </c>
      <c r="AB65" s="4" t="n">
        <v>0.05</v>
      </c>
      <c r="AC65" s="4">
        <f>(AB65+2*參數!$B$7)/(AA65+AB65)</f>
        <v/>
      </c>
      <c r="AD65" s="2" t="n">
        <v>0.06184586108468126</v>
      </c>
      <c r="AE65" s="2" t="n">
        <v>0.6356815339724885</v>
      </c>
      <c r="AF65" s="2" t="inlineStr">
        <is>
          <t>15分0.5倍</t>
        </is>
      </c>
      <c r="AG65" s="2" t="n">
        <v>0.002669039145907437</v>
      </c>
      <c r="AH65" s="2" t="n">
        <v>8</v>
      </c>
    </row>
    <row r="66">
      <c r="A66" s="2" t="n">
        <v>65</v>
      </c>
      <c r="B66" s="2" t="inlineStr">
        <is>
          <t>BR_USDT_PERP</t>
        </is>
      </c>
      <c r="C66" s="2" t="inlineStr">
        <is>
          <t>做空</t>
        </is>
      </c>
      <c r="D66" s="7" t="n">
        <v>46301.37708333333</v>
      </c>
      <c r="E66" s="17" t="n">
        <v>0.49116</v>
      </c>
      <c r="F66" s="17" t="n">
        <v>0.4764252</v>
      </c>
      <c r="G66" s="17" t="n">
        <v>0.515718</v>
      </c>
      <c r="H66" s="7" t="n">
        <v>46301.38333333333</v>
      </c>
      <c r="I66" s="17" t="n">
        <v>0.4764252</v>
      </c>
      <c r="J66" s="2" t="inlineStr">
        <is>
          <t>止盈</t>
        </is>
      </c>
      <c r="K66" s="5">
        <f>(H66-D66)*24</f>
        <v/>
      </c>
      <c r="L66" s="4">
        <f>IF(C66="做多",I66/E66-1,1-I66/E66)-2*參數!$B$7</f>
        <v/>
      </c>
      <c r="M66" s="2" t="inlineStr"/>
      <c r="N66" s="4" t="n"/>
      <c r="O66" s="4" t="n"/>
      <c r="P66" s="4" t="n"/>
      <c r="Q66" s="19" t="n"/>
      <c r="R66" s="19" t="n"/>
      <c r="S66" s="4" t="n">
        <v>0.03</v>
      </c>
      <c r="T66" s="4" t="n">
        <v>0.0213372424464533</v>
      </c>
      <c r="U66" s="16" t="n"/>
      <c r="V66" s="16" t="n"/>
      <c r="W66" s="4" t="n"/>
      <c r="X66" s="4" t="n"/>
      <c r="Y66" s="4" t="n"/>
      <c r="Z66" s="4" t="n"/>
      <c r="AA66" s="4" t="n">
        <v>0.03</v>
      </c>
      <c r="AB66" s="4" t="n">
        <v>0.05</v>
      </c>
      <c r="AC66" s="4">
        <f>(AB66+2*參數!$B$7)/(AA66+AB66)</f>
        <v/>
      </c>
      <c r="AD66" s="2" t="n">
        <v>0.08849015515833414</v>
      </c>
      <c r="AE66" s="2" t="n">
        <v>0.708641884159622</v>
      </c>
      <c r="AF66" s="2" t="inlineStr">
        <is>
          <t>15分0.5倍</t>
        </is>
      </c>
      <c r="AG66" s="2" t="n">
        <v>0.01936367598530597</v>
      </c>
      <c r="AH66" s="2" t="n">
        <v>3</v>
      </c>
    </row>
    <row r="67">
      <c r="A67" s="2" t="n">
        <v>66</v>
      </c>
      <c r="B67" s="2" t="inlineStr">
        <is>
          <t>API3_USDT_PERP</t>
        </is>
      </c>
      <c r="C67" s="2" t="inlineStr">
        <is>
          <t>做空</t>
        </is>
      </c>
      <c r="D67" s="7" t="n">
        <v>46301.58819444444</v>
      </c>
      <c r="E67" s="17" t="n">
        <v>0.3394</v>
      </c>
      <c r="F67" s="17" t="n">
        <v>0.329218</v>
      </c>
      <c r="G67" s="17" t="n">
        <v>0.35637</v>
      </c>
      <c r="H67" s="7" t="n">
        <v>46301.6375</v>
      </c>
      <c r="I67" s="17" t="n">
        <v>0.35637</v>
      </c>
      <c r="J67" s="2" t="inlineStr">
        <is>
          <t>止損</t>
        </is>
      </c>
      <c r="K67" s="5">
        <f>(H67-D67)*24</f>
        <v/>
      </c>
      <c r="L67" s="4">
        <f>IF(C67="做多",I67/E67-1,1-I67/E67)-2*參數!$B$7</f>
        <v/>
      </c>
      <c r="M67" s="2" t="inlineStr"/>
      <c r="N67" s="4" t="n"/>
      <c r="O67" s="4" t="n"/>
      <c r="P67" s="4" t="n"/>
      <c r="Q67" s="19" t="n"/>
      <c r="R67" s="19" t="n"/>
      <c r="S67" s="4" t="n">
        <v>0.02209781968179136</v>
      </c>
      <c r="T67" s="4" t="n">
        <v>0.05</v>
      </c>
      <c r="U67" s="16" t="n"/>
      <c r="V67" s="16" t="n"/>
      <c r="W67" s="4" t="n"/>
      <c r="X67" s="4" t="n"/>
      <c r="Y67" s="4" t="n"/>
      <c r="Z67" s="4" t="n"/>
      <c r="AA67" s="4" t="n">
        <v>0.03</v>
      </c>
      <c r="AB67" s="4" t="n">
        <v>0.05</v>
      </c>
      <c r="AC67" s="4">
        <f>(AB67+2*參數!$B$7)/(AA67+AB67)</f>
        <v/>
      </c>
      <c r="AD67" s="2" t="n">
        <v>0.06979695431472077</v>
      </c>
      <c r="AE67" s="2" t="n">
        <v>0.7502954490479975</v>
      </c>
      <c r="AF67" s="2" t="inlineStr">
        <is>
          <t>15分0.5倍</t>
        </is>
      </c>
      <c r="AG67" s="2" t="n">
        <v>0.001179941002949825</v>
      </c>
      <c r="AH67" s="2" t="n">
        <v>7</v>
      </c>
    </row>
    <row r="68">
      <c r="A68" s="2" t="n">
        <v>67</v>
      </c>
      <c r="B68" s="2" t="inlineStr">
        <is>
          <t>BR_USDT_PERP</t>
        </is>
      </c>
      <c r="C68" s="2" t="inlineStr">
        <is>
          <t>做空</t>
        </is>
      </c>
      <c r="D68" s="7" t="n">
        <v>46301.64513888889</v>
      </c>
      <c r="E68" s="17" t="n">
        <v>0.4395</v>
      </c>
      <c r="F68" s="17" t="n">
        <v>0.426315</v>
      </c>
      <c r="G68" s="17" t="n">
        <v>0.461475</v>
      </c>
      <c r="H68" s="7" t="n">
        <v>46301.66180555556</v>
      </c>
      <c r="I68" s="17" t="n">
        <v>0.461475</v>
      </c>
      <c r="J68" s="2" t="inlineStr">
        <is>
          <t>止損</t>
        </is>
      </c>
      <c r="K68" s="5">
        <f>(H68-D68)*24</f>
        <v/>
      </c>
      <c r="L68" s="4">
        <f>IF(C68="做多",I68/E68-1,1-I68/E68)-2*參數!$B$7</f>
        <v/>
      </c>
      <c r="M68" s="2" t="inlineStr"/>
      <c r="N68" s="4" t="n"/>
      <c r="O68" s="4" t="n"/>
      <c r="P68" s="4" t="n"/>
      <c r="Q68" s="19" t="n"/>
      <c r="R68" s="19" t="n"/>
      <c r="S68" s="4" t="n">
        <v>0.009920364050056807</v>
      </c>
      <c r="T68" s="4" t="n">
        <v>0.05</v>
      </c>
      <c r="U68" s="16" t="n"/>
      <c r="V68" s="16" t="n"/>
      <c r="W68" s="4" t="n"/>
      <c r="X68" s="4" t="n"/>
      <c r="Y68" s="4" t="n"/>
      <c r="Z68" s="4" t="n"/>
      <c r="AA68" s="4" t="n">
        <v>0.03</v>
      </c>
      <c r="AB68" s="4" t="n">
        <v>0.05</v>
      </c>
      <c r="AC68" s="4">
        <f>(AB68+2*參數!$B$7)/(AA68+AB68)</f>
        <v/>
      </c>
      <c r="AD68" s="2" t="n">
        <v>0.06935117394597312</v>
      </c>
      <c r="AE68" s="2" t="n">
        <v>1.001355777652465</v>
      </c>
      <c r="AF68" s="2" t="inlineStr">
        <is>
          <t>30分1倍</t>
        </is>
      </c>
      <c r="AG68" s="2" t="n">
        <v>0.03506747368173158</v>
      </c>
      <c r="AH68" s="2" t="n">
        <v>29</v>
      </c>
    </row>
    <row r="69">
      <c r="A69" s="2" t="n">
        <v>68</v>
      </c>
      <c r="B69" s="2" t="inlineStr">
        <is>
          <t>BR_USDT_PERP</t>
        </is>
      </c>
      <c r="C69" s="2" t="inlineStr">
        <is>
          <t>做空</t>
        </is>
      </c>
      <c r="D69" s="7" t="n">
        <v>46301.67083333333</v>
      </c>
      <c r="E69" s="17" t="n">
        <v>0.53503</v>
      </c>
      <c r="F69" s="17" t="n">
        <v>0.5189791</v>
      </c>
      <c r="G69" s="17" t="n">
        <v>0.5617815</v>
      </c>
      <c r="H69" s="7" t="n">
        <v>46301.67152777778</v>
      </c>
      <c r="I69" s="17" t="n">
        <v>0.5189791</v>
      </c>
      <c r="J69" s="2" t="inlineStr">
        <is>
          <t>止盈</t>
        </is>
      </c>
      <c r="K69" s="5">
        <f>(H69-D69)*24</f>
        <v/>
      </c>
      <c r="L69" s="4">
        <f>IF(C69="做多",I69/E69-1,1-I69/E69)-2*參數!$B$7</f>
        <v/>
      </c>
      <c r="M69" s="2" t="inlineStr"/>
      <c r="N69" s="4" t="n"/>
      <c r="O69" s="4" t="n"/>
      <c r="P69" s="4" t="n"/>
      <c r="Q69" s="19" t="n"/>
      <c r="R69" s="19" t="n"/>
      <c r="S69" s="4" t="n">
        <v>0.03</v>
      </c>
      <c r="T69" s="4" t="n">
        <v>0</v>
      </c>
      <c r="U69" s="16" t="n"/>
      <c r="V69" s="16" t="n"/>
      <c r="W69" s="4" t="n"/>
      <c r="X69" s="4" t="n"/>
      <c r="Y69" s="4" t="n"/>
      <c r="Z69" s="4" t="n"/>
      <c r="AA69" s="4" t="n">
        <v>0.03</v>
      </c>
      <c r="AB69" s="4" t="n">
        <v>0.05</v>
      </c>
      <c r="AC69" s="4">
        <f>(AB69+2*參數!$B$7)/(AA69+AB69)</f>
        <v/>
      </c>
      <c r="AD69" s="2" t="n">
        <v>0.2525438534362678</v>
      </c>
      <c r="AE69" s="2" t="n">
        <v>0.543756508666477</v>
      </c>
      <c r="AF69" s="2" t="inlineStr">
        <is>
          <t>15分0.5倍</t>
        </is>
      </c>
      <c r="AG69" s="2" t="n">
        <v>0.007039469969319923</v>
      </c>
      <c r="AH69" s="2" t="n">
        <v>6</v>
      </c>
    </row>
    <row r="70">
      <c r="A70" s="2" t="n">
        <v>69</v>
      </c>
      <c r="B70" s="2" t="inlineStr">
        <is>
          <t>US_USDT_PERP</t>
        </is>
      </c>
      <c r="C70" s="2" t="inlineStr">
        <is>
          <t>做空</t>
        </is>
      </c>
      <c r="D70" s="7" t="n">
        <v>46301.67152777778</v>
      </c>
      <c r="E70" s="17" t="n">
        <v>0.01211</v>
      </c>
      <c r="F70" s="17" t="n">
        <v>0.0117467</v>
      </c>
      <c r="G70" s="17" t="n">
        <v>0.0127155</v>
      </c>
      <c r="H70" s="7" t="n">
        <v>46301.67430555556</v>
      </c>
      <c r="I70" s="17" t="n">
        <v>0.0127155</v>
      </c>
      <c r="J70" s="2" t="inlineStr">
        <is>
          <t>止損</t>
        </is>
      </c>
      <c r="K70" s="5">
        <f>(H70-D70)*24</f>
        <v/>
      </c>
      <c r="L70" s="4">
        <f>IF(C70="做多",I70/E70-1,1-I70/E70)-2*參數!$B$7</f>
        <v/>
      </c>
      <c r="M70" s="2" t="inlineStr"/>
      <c r="N70" s="4" t="n"/>
      <c r="O70" s="4" t="n"/>
      <c r="P70" s="4" t="n"/>
      <c r="Q70" s="19" t="n"/>
      <c r="R70" s="19" t="n"/>
      <c r="S70" s="4" t="n">
        <v>0</v>
      </c>
      <c r="T70" s="4" t="n">
        <v>0.05</v>
      </c>
      <c r="U70" s="16" t="n"/>
      <c r="V70" s="16" t="n"/>
      <c r="W70" s="4" t="n"/>
      <c r="X70" s="4" t="n"/>
      <c r="Y70" s="4" t="n"/>
      <c r="Z70" s="4" t="n"/>
      <c r="AA70" s="4" t="n">
        <v>0.03</v>
      </c>
      <c r="AB70" s="4" t="n">
        <v>0.05</v>
      </c>
      <c r="AC70" s="4">
        <f>(AB70+2*參數!$B$7)/(AA70+AB70)</f>
        <v/>
      </c>
      <c r="AD70" s="2" t="n">
        <v>0.07059874888293116</v>
      </c>
      <c r="AE70" s="2" t="n">
        <v>0.5198921324867112</v>
      </c>
      <c r="AF70" s="2" t="inlineStr">
        <is>
          <t>15分0.5倍</t>
        </is>
      </c>
      <c r="AG70" s="2" t="n">
        <v>0.001654259718775863</v>
      </c>
      <c r="AH70" s="2" t="n">
        <v>7</v>
      </c>
    </row>
    <row r="71">
      <c r="A71" s="2" t="n">
        <v>70</v>
      </c>
      <c r="B71" s="2" t="inlineStr">
        <is>
          <t>BR_USDT_PERP</t>
        </is>
      </c>
      <c r="C71" s="2" t="inlineStr">
        <is>
          <t>做空</t>
        </is>
      </c>
      <c r="D71" s="7" t="n">
        <v>46301.75555555556</v>
      </c>
      <c r="E71" s="17" t="n">
        <v>0.66466</v>
      </c>
      <c r="F71" s="17" t="n">
        <v>0.6447202</v>
      </c>
      <c r="G71" s="17" t="n">
        <v>0.6978930000000001</v>
      </c>
      <c r="H71" s="7" t="n">
        <v>46301.75763888889</v>
      </c>
      <c r="I71" s="17" t="n">
        <v>0.6447202</v>
      </c>
      <c r="J71" s="2" t="inlineStr">
        <is>
          <t>止盈</t>
        </is>
      </c>
      <c r="K71" s="5">
        <f>(H71-D71)*24</f>
        <v/>
      </c>
      <c r="L71" s="4">
        <f>IF(C71="做多",I71/E71-1,1-I71/E71)-2*參數!$B$7</f>
        <v/>
      </c>
      <c r="M71" s="2" t="inlineStr"/>
      <c r="N71" s="4" t="n"/>
      <c r="O71" s="4" t="n"/>
      <c r="P71" s="4" t="n"/>
      <c r="Q71" s="19" t="n"/>
      <c r="R71" s="19" t="n"/>
      <c r="S71" s="4" t="n">
        <v>0.03</v>
      </c>
      <c r="T71" s="4" t="n">
        <v>0.003731231005325908</v>
      </c>
      <c r="U71" s="16" t="n"/>
      <c r="V71" s="16" t="n"/>
      <c r="W71" s="4" t="n"/>
      <c r="X71" s="4" t="n"/>
      <c r="Y71" s="4" t="n"/>
      <c r="Z71" s="4" t="n"/>
      <c r="AA71" s="4" t="n">
        <v>0.03</v>
      </c>
      <c r="AB71" s="4" t="n">
        <v>0.05</v>
      </c>
      <c r="AC71" s="4">
        <f>(AB71+2*參數!$B$7)/(AA71+AB71)</f>
        <v/>
      </c>
      <c r="AD71" s="2" t="n">
        <v>0.2234400061101351</v>
      </c>
      <c r="AE71" s="2" t="n">
        <v>0.5214084370674689</v>
      </c>
      <c r="AF71" s="2" t="inlineStr">
        <is>
          <t>15分0.5倍</t>
        </is>
      </c>
      <c r="AG71" s="2" t="n">
        <v>0.02931565824725513</v>
      </c>
      <c r="AH71" s="2" t="n">
        <v>8</v>
      </c>
    </row>
    <row r="72">
      <c r="A72" s="2" t="n">
        <v>71</v>
      </c>
      <c r="B72" s="2" t="inlineStr">
        <is>
          <t>BULLA_USDT_PERP</t>
        </is>
      </c>
      <c r="C72" s="2" t="inlineStr">
        <is>
          <t>做空</t>
        </is>
      </c>
      <c r="D72" s="7" t="n">
        <v>46301.99236111111</v>
      </c>
      <c r="E72" s="17" t="n">
        <v>0.09991999999999999</v>
      </c>
      <c r="F72" s="17" t="n">
        <v>0.09692239999999999</v>
      </c>
      <c r="G72" s="17" t="n">
        <v>0.104916</v>
      </c>
      <c r="H72" s="7" t="n">
        <v>46302.01875</v>
      </c>
      <c r="I72" s="17" t="n">
        <v>0.09692239999999999</v>
      </c>
      <c r="J72" s="2" t="inlineStr">
        <is>
          <t>止盈</t>
        </is>
      </c>
      <c r="K72" s="5">
        <f>(H72-D72)*24</f>
        <v/>
      </c>
      <c r="L72" s="4">
        <f>IF(C72="做多",I72/E72-1,1-I72/E72)-2*參數!$B$7</f>
        <v/>
      </c>
      <c r="M72" s="2" t="inlineStr"/>
      <c r="N72" s="4" t="n"/>
      <c r="O72" s="4" t="n"/>
      <c r="P72" s="4" t="n"/>
      <c r="Q72" s="19" t="n"/>
      <c r="R72" s="19" t="n"/>
      <c r="S72" s="4" t="n">
        <v>0.03</v>
      </c>
      <c r="T72" s="4" t="n">
        <v>0.04843875100080086</v>
      </c>
      <c r="U72" s="16" t="n"/>
      <c r="V72" s="16" t="n"/>
      <c r="W72" s="4" t="n"/>
      <c r="X72" s="4" t="n"/>
      <c r="Y72" s="4" t="n"/>
      <c r="Z72" s="4" t="n"/>
      <c r="AA72" s="4" t="n">
        <v>0.03</v>
      </c>
      <c r="AB72" s="4" t="n">
        <v>0.05</v>
      </c>
      <c r="AC72" s="4">
        <f>(AB72+2*參數!$B$7)/(AA72+AB72)</f>
        <v/>
      </c>
      <c r="AD72" s="2" t="n">
        <v>0.06498555876471879</v>
      </c>
      <c r="AE72" s="2" t="n">
        <v>2.100989669869248</v>
      </c>
      <c r="AF72" s="2" t="inlineStr">
        <is>
          <t>2倍</t>
        </is>
      </c>
      <c r="AG72" s="2" t="n">
        <v>0.04202732297424117</v>
      </c>
      <c r="AH72" s="2" t="n">
        <v>49</v>
      </c>
    </row>
    <row r="73">
      <c r="A73" s="2" t="n">
        <v>72</v>
      </c>
      <c r="B73" s="2" t="inlineStr">
        <is>
          <t>MAGIC_USDT_PERP</t>
        </is>
      </c>
      <c r="C73" s="2" t="inlineStr">
        <is>
          <t>做空</t>
        </is>
      </c>
      <c r="D73" s="7" t="n">
        <v>46302.25625</v>
      </c>
      <c r="E73" s="17" t="n">
        <v>0.0727</v>
      </c>
      <c r="F73" s="17" t="n">
        <v>0.070519</v>
      </c>
      <c r="G73" s="17" t="n">
        <v>0.076335</v>
      </c>
      <c r="H73" s="7" t="n">
        <v>46302.25833333333</v>
      </c>
      <c r="I73" s="17" t="n">
        <v>0.070519</v>
      </c>
      <c r="J73" s="2" t="inlineStr">
        <is>
          <t>止盈</t>
        </is>
      </c>
      <c r="K73" s="5">
        <f>(H73-D73)*24</f>
        <v/>
      </c>
      <c r="L73" s="4">
        <f>IF(C73="做多",I73/E73-1,1-I73/E73)-2*參數!$B$7</f>
        <v/>
      </c>
      <c r="M73" s="2" t="inlineStr"/>
      <c r="N73" s="4" t="n"/>
      <c r="O73" s="4" t="n"/>
      <c r="P73" s="4" t="n"/>
      <c r="Q73" s="19" t="n"/>
      <c r="R73" s="19" t="n"/>
      <c r="S73" s="4" t="n">
        <v>0.03</v>
      </c>
      <c r="T73" s="4" t="n">
        <v>0</v>
      </c>
      <c r="U73" s="16" t="n"/>
      <c r="V73" s="16" t="n"/>
      <c r="W73" s="4" t="n"/>
      <c r="X73" s="4" t="n"/>
      <c r="Y73" s="4" t="n"/>
      <c r="Z73" s="4" t="n"/>
      <c r="AA73" s="4" t="n">
        <v>0.03</v>
      </c>
      <c r="AB73" s="4" t="n">
        <v>0.05</v>
      </c>
      <c r="AC73" s="4">
        <f>(AB73+2*參數!$B$7)/(AA73+AB73)</f>
        <v/>
      </c>
      <c r="AD73" s="2" t="n">
        <v>0.06101190476190488</v>
      </c>
      <c r="AE73" s="2" t="n">
        <v>0.5164181948342176</v>
      </c>
      <c r="AF73" s="2" t="inlineStr">
        <is>
          <t>15分0.5倍</t>
        </is>
      </c>
      <c r="AG73" s="2" t="n">
        <v>0.0182072829131652</v>
      </c>
      <c r="AH73" s="2" t="n">
        <v>9</v>
      </c>
    </row>
  </sheetData>
  <autoFilter ref="A1:AH73"/>
  <conditionalFormatting sqref="J2:J73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US_USDT_PERP</t>
        </is>
      </c>
      <c r="B2" s="2">
        <f>COUNTIFS(交易明細!$B$2:$B$73,$A2)</f>
        <v/>
      </c>
      <c r="C2" s="2">
        <f>COUNTIFS(交易明細!$B$2:$B$73,$A2,交易明細!$C$2:$C$73,"做多")</f>
        <v/>
      </c>
      <c r="D2" s="2">
        <f>COUNTIFS(交易明細!$B$2:$B$73,$A2,交易明細!$C$2:$C$73,"做空")</f>
        <v/>
      </c>
      <c r="E2" s="2">
        <f>F2+G2+COUNTIFS(交易明細!$B$2:$B$73,$A2,交易明細!$J$2:$J$73,"時間出場")</f>
        <v/>
      </c>
      <c r="F2" s="2">
        <f>COUNTIFS(交易明細!$B$2:$B$73,$A2,交易明細!$J$2:$J$73,"止盈")</f>
        <v/>
      </c>
      <c r="G2" s="2">
        <f>COUNTIFS(交易明細!$B$2:$B$73,$A2,交易明細!$J$2:$J$73,"止損")</f>
        <v/>
      </c>
      <c r="H2" s="4">
        <f>IFERROR(F2/E2,0)</f>
        <v/>
      </c>
      <c r="I2" s="4">
        <f>IFERROR(AVERAGEIFS(交易明細!$L$2:$L$73,交易明細!$B$2:$B$73,$A2,交易明細!$J$2:$J$73,"&lt;&gt;未平倉"),0)</f>
        <v/>
      </c>
      <c r="J2" s="4">
        <f>SUMIFS(交易明細!$L$2:$L$73,交易明細!$B$2:$B$73,$A2,交易明細!$J$2:$J$73,"&lt;&gt;未平倉")</f>
        <v/>
      </c>
      <c r="K2" s="5">
        <f>IFERROR(AVERAGEIFS(交易明細!$K$2:$K$73,交易明細!$B$2:$B$73,$A2,交易明細!$J$2:$J$73,"&lt;&gt;未平倉"),0)</f>
        <v/>
      </c>
      <c r="L2" s="2">
        <f>COUNTIFS(交易明細!$B$2:$B$73,$A2,交易明細!$J$2:$J$73,"未平倉")</f>
        <v/>
      </c>
    </row>
    <row r="3">
      <c r="A3" s="2" t="inlineStr">
        <is>
          <t>NOM_USDT_PERP</t>
        </is>
      </c>
      <c r="B3" s="2">
        <f>COUNTIFS(交易明細!$B$2:$B$73,$A3)</f>
        <v/>
      </c>
      <c r="C3" s="2">
        <f>COUNTIFS(交易明細!$B$2:$B$73,$A3,交易明細!$C$2:$C$73,"做多")</f>
        <v/>
      </c>
      <c r="D3" s="2">
        <f>COUNTIFS(交易明細!$B$2:$B$73,$A3,交易明細!$C$2:$C$73,"做空")</f>
        <v/>
      </c>
      <c r="E3" s="2">
        <f>F3+G3+COUNTIFS(交易明細!$B$2:$B$73,$A3,交易明細!$J$2:$J$73,"時間出場")</f>
        <v/>
      </c>
      <c r="F3" s="2">
        <f>COUNTIFS(交易明細!$B$2:$B$73,$A3,交易明細!$J$2:$J$73,"止盈")</f>
        <v/>
      </c>
      <c r="G3" s="2">
        <f>COUNTIFS(交易明細!$B$2:$B$73,$A3,交易明細!$J$2:$J$73,"止損")</f>
        <v/>
      </c>
      <c r="H3" s="4">
        <f>IFERROR(F3/E3,0)</f>
        <v/>
      </c>
      <c r="I3" s="4">
        <f>IFERROR(AVERAGEIFS(交易明細!$L$2:$L$73,交易明細!$B$2:$B$73,$A3,交易明細!$J$2:$J$73,"&lt;&gt;未平倉"),0)</f>
        <v/>
      </c>
      <c r="J3" s="4">
        <f>SUMIFS(交易明細!$L$2:$L$73,交易明細!$B$2:$B$73,$A3,交易明細!$J$2:$J$73,"&lt;&gt;未平倉")</f>
        <v/>
      </c>
      <c r="K3" s="5">
        <f>IFERROR(AVERAGEIFS(交易明細!$K$2:$K$73,交易明細!$B$2:$B$73,$A3,交易明細!$J$2:$J$73,"&lt;&gt;未平倉"),0)</f>
        <v/>
      </c>
      <c r="L3" s="2">
        <f>COUNTIFS(交易明細!$B$2:$B$73,$A3,交易明細!$J$2:$J$73,"未平倉")</f>
        <v/>
      </c>
    </row>
    <row r="4">
      <c r="A4" s="2" t="inlineStr">
        <is>
          <t>MOVR_USDT_PERP</t>
        </is>
      </c>
      <c r="B4" s="2">
        <f>COUNTIFS(交易明細!$B$2:$B$73,$A4)</f>
        <v/>
      </c>
      <c r="C4" s="2">
        <f>COUNTIFS(交易明細!$B$2:$B$73,$A4,交易明細!$C$2:$C$73,"做多")</f>
        <v/>
      </c>
      <c r="D4" s="2">
        <f>COUNTIFS(交易明細!$B$2:$B$73,$A4,交易明細!$C$2:$C$73,"做空")</f>
        <v/>
      </c>
      <c r="E4" s="2">
        <f>F4+G4+COUNTIFS(交易明細!$B$2:$B$73,$A4,交易明細!$J$2:$J$73,"時間出場")</f>
        <v/>
      </c>
      <c r="F4" s="2">
        <f>COUNTIFS(交易明細!$B$2:$B$73,$A4,交易明細!$J$2:$J$73,"止盈")</f>
        <v/>
      </c>
      <c r="G4" s="2">
        <f>COUNTIFS(交易明細!$B$2:$B$73,$A4,交易明細!$J$2:$J$73,"止損")</f>
        <v/>
      </c>
      <c r="H4" s="4">
        <f>IFERROR(F4/E4,0)</f>
        <v/>
      </c>
      <c r="I4" s="4">
        <f>IFERROR(AVERAGEIFS(交易明細!$L$2:$L$73,交易明細!$B$2:$B$73,$A4,交易明細!$J$2:$J$73,"&lt;&gt;未平倉"),0)</f>
        <v/>
      </c>
      <c r="J4" s="4">
        <f>SUMIFS(交易明細!$L$2:$L$73,交易明細!$B$2:$B$73,$A4,交易明細!$J$2:$J$73,"&lt;&gt;未平倉")</f>
        <v/>
      </c>
      <c r="K4" s="5">
        <f>IFERROR(AVERAGEIFS(交易明細!$K$2:$K$73,交易明細!$B$2:$B$73,$A4,交易明細!$J$2:$J$73,"&lt;&gt;未平倉"),0)</f>
        <v/>
      </c>
      <c r="L4" s="2">
        <f>COUNTIFS(交易明細!$B$2:$B$73,$A4,交易明細!$J$2:$J$73,"未平倉")</f>
        <v/>
      </c>
    </row>
    <row r="5">
      <c r="A5" s="2" t="inlineStr">
        <is>
          <t>BR_USDT_PERP</t>
        </is>
      </c>
      <c r="B5" s="2">
        <f>COUNTIFS(交易明細!$B$2:$B$73,$A5)</f>
        <v/>
      </c>
      <c r="C5" s="2">
        <f>COUNTIFS(交易明細!$B$2:$B$73,$A5,交易明細!$C$2:$C$73,"做多")</f>
        <v/>
      </c>
      <c r="D5" s="2">
        <f>COUNTIFS(交易明細!$B$2:$B$73,$A5,交易明細!$C$2:$C$73,"做空")</f>
        <v/>
      </c>
      <c r="E5" s="2">
        <f>F5+G5+COUNTIFS(交易明細!$B$2:$B$73,$A5,交易明細!$J$2:$J$73,"時間出場")</f>
        <v/>
      </c>
      <c r="F5" s="2">
        <f>COUNTIFS(交易明細!$B$2:$B$73,$A5,交易明細!$J$2:$J$73,"止盈")</f>
        <v/>
      </c>
      <c r="G5" s="2">
        <f>COUNTIFS(交易明細!$B$2:$B$73,$A5,交易明細!$J$2:$J$73,"止損")</f>
        <v/>
      </c>
      <c r="H5" s="4">
        <f>IFERROR(F5/E5,0)</f>
        <v/>
      </c>
      <c r="I5" s="4">
        <f>IFERROR(AVERAGEIFS(交易明細!$L$2:$L$73,交易明細!$B$2:$B$73,$A5,交易明細!$J$2:$J$73,"&lt;&gt;未平倉"),0)</f>
        <v/>
      </c>
      <c r="J5" s="4">
        <f>SUMIFS(交易明細!$L$2:$L$73,交易明細!$B$2:$B$73,$A5,交易明細!$J$2:$J$73,"&lt;&gt;未平倉")</f>
        <v/>
      </c>
      <c r="K5" s="5">
        <f>IFERROR(AVERAGEIFS(交易明細!$K$2:$K$73,交易明細!$B$2:$B$73,$A5,交易明細!$J$2:$J$73,"&lt;&gt;未平倉"),0)</f>
        <v/>
      </c>
      <c r="L5" s="2">
        <f>COUNTIFS(交易明細!$B$2:$B$73,$A5,交易明細!$J$2:$J$73,"未平倉")</f>
        <v/>
      </c>
    </row>
    <row r="6">
      <c r="A6" s="2" t="inlineStr">
        <is>
          <t>LYN_USDT_PERP</t>
        </is>
      </c>
      <c r="B6" s="2">
        <f>COUNTIFS(交易明細!$B$2:$B$73,$A6)</f>
        <v/>
      </c>
      <c r="C6" s="2">
        <f>COUNTIFS(交易明細!$B$2:$B$73,$A6,交易明細!$C$2:$C$73,"做多")</f>
        <v/>
      </c>
      <c r="D6" s="2">
        <f>COUNTIFS(交易明細!$B$2:$B$73,$A6,交易明細!$C$2:$C$73,"做空")</f>
        <v/>
      </c>
      <c r="E6" s="2">
        <f>F6+G6+COUNTIFS(交易明細!$B$2:$B$73,$A6,交易明細!$J$2:$J$73,"時間出場")</f>
        <v/>
      </c>
      <c r="F6" s="2">
        <f>COUNTIFS(交易明細!$B$2:$B$73,$A6,交易明細!$J$2:$J$73,"止盈")</f>
        <v/>
      </c>
      <c r="G6" s="2">
        <f>COUNTIFS(交易明細!$B$2:$B$73,$A6,交易明細!$J$2:$J$73,"止損")</f>
        <v/>
      </c>
      <c r="H6" s="4">
        <f>IFERROR(F6/E6,0)</f>
        <v/>
      </c>
      <c r="I6" s="4">
        <f>IFERROR(AVERAGEIFS(交易明細!$L$2:$L$73,交易明細!$B$2:$B$73,$A6,交易明細!$J$2:$J$73,"&lt;&gt;未平倉"),0)</f>
        <v/>
      </c>
      <c r="J6" s="4">
        <f>SUMIFS(交易明細!$L$2:$L$73,交易明細!$B$2:$B$73,$A6,交易明細!$J$2:$J$73,"&lt;&gt;未平倉")</f>
        <v/>
      </c>
      <c r="K6" s="5">
        <f>IFERROR(AVERAGEIFS(交易明細!$K$2:$K$73,交易明細!$B$2:$B$73,$A6,交易明細!$J$2:$J$73,"&lt;&gt;未平倉"),0)</f>
        <v/>
      </c>
      <c r="L6" s="2">
        <f>COUNTIFS(交易明細!$B$2:$B$73,$A6,交易明細!$J$2:$J$73,"未平倉")</f>
        <v/>
      </c>
    </row>
    <row r="7">
      <c r="A7" s="2" t="inlineStr">
        <is>
          <t>ARX_USDT_PERP</t>
        </is>
      </c>
      <c r="B7" s="2">
        <f>COUNTIFS(交易明細!$B$2:$B$73,$A7)</f>
        <v/>
      </c>
      <c r="C7" s="2">
        <f>COUNTIFS(交易明細!$B$2:$B$73,$A7,交易明細!$C$2:$C$73,"做多")</f>
        <v/>
      </c>
      <c r="D7" s="2">
        <f>COUNTIFS(交易明細!$B$2:$B$73,$A7,交易明細!$C$2:$C$73,"做空")</f>
        <v/>
      </c>
      <c r="E7" s="2">
        <f>F7+G7+COUNTIFS(交易明細!$B$2:$B$73,$A7,交易明細!$J$2:$J$73,"時間出場")</f>
        <v/>
      </c>
      <c r="F7" s="2">
        <f>COUNTIFS(交易明細!$B$2:$B$73,$A7,交易明細!$J$2:$J$73,"止盈")</f>
        <v/>
      </c>
      <c r="G7" s="2">
        <f>COUNTIFS(交易明細!$B$2:$B$73,$A7,交易明細!$J$2:$J$73,"止損")</f>
        <v/>
      </c>
      <c r="H7" s="4">
        <f>IFERROR(F7/E7,0)</f>
        <v/>
      </c>
      <c r="I7" s="4">
        <f>IFERROR(AVERAGEIFS(交易明細!$L$2:$L$73,交易明細!$B$2:$B$73,$A7,交易明細!$J$2:$J$73,"&lt;&gt;未平倉"),0)</f>
        <v/>
      </c>
      <c r="J7" s="4">
        <f>SUMIFS(交易明細!$L$2:$L$73,交易明細!$B$2:$B$73,$A7,交易明細!$J$2:$J$73,"&lt;&gt;未平倉")</f>
        <v/>
      </c>
      <c r="K7" s="5">
        <f>IFERROR(AVERAGEIFS(交易明細!$K$2:$K$73,交易明細!$B$2:$B$73,$A7,交易明細!$J$2:$J$73,"&lt;&gt;未平倉"),0)</f>
        <v/>
      </c>
      <c r="L7" s="2">
        <f>COUNTIFS(交易明細!$B$2:$B$73,$A7,交易明細!$J$2:$J$73,"未平倉")</f>
        <v/>
      </c>
    </row>
    <row r="8">
      <c r="A8" s="2" t="inlineStr">
        <is>
          <t>AGT_USDT_PERP</t>
        </is>
      </c>
      <c r="B8" s="2">
        <f>COUNTIFS(交易明細!$B$2:$B$73,$A8)</f>
        <v/>
      </c>
      <c r="C8" s="2">
        <f>COUNTIFS(交易明細!$B$2:$B$73,$A8,交易明細!$C$2:$C$73,"做多")</f>
        <v/>
      </c>
      <c r="D8" s="2">
        <f>COUNTIFS(交易明細!$B$2:$B$73,$A8,交易明細!$C$2:$C$73,"做空")</f>
        <v/>
      </c>
      <c r="E8" s="2">
        <f>F8+G8+COUNTIFS(交易明細!$B$2:$B$73,$A8,交易明細!$J$2:$J$73,"時間出場")</f>
        <v/>
      </c>
      <c r="F8" s="2">
        <f>COUNTIFS(交易明細!$B$2:$B$73,$A8,交易明細!$J$2:$J$73,"止盈")</f>
        <v/>
      </c>
      <c r="G8" s="2">
        <f>COUNTIFS(交易明細!$B$2:$B$73,$A8,交易明細!$J$2:$J$73,"止損")</f>
        <v/>
      </c>
      <c r="H8" s="4">
        <f>IFERROR(F8/E8,0)</f>
        <v/>
      </c>
      <c r="I8" s="4">
        <f>IFERROR(AVERAGEIFS(交易明細!$L$2:$L$73,交易明細!$B$2:$B$73,$A8,交易明細!$J$2:$J$73,"&lt;&gt;未平倉"),0)</f>
        <v/>
      </c>
      <c r="J8" s="4">
        <f>SUMIFS(交易明細!$L$2:$L$73,交易明細!$B$2:$B$73,$A8,交易明細!$J$2:$J$73,"&lt;&gt;未平倉")</f>
        <v/>
      </c>
      <c r="K8" s="5">
        <f>IFERROR(AVERAGEIFS(交易明細!$K$2:$K$73,交易明細!$B$2:$B$73,$A8,交易明細!$J$2:$J$73,"&lt;&gt;未平倉"),0)</f>
        <v/>
      </c>
      <c r="L8" s="2">
        <f>COUNTIFS(交易明細!$B$2:$B$73,$A8,交易明細!$J$2:$J$73,"未平倉")</f>
        <v/>
      </c>
    </row>
    <row r="9">
      <c r="A9" s="2" t="inlineStr">
        <is>
          <t>PHA_USDT_PERP</t>
        </is>
      </c>
      <c r="B9" s="2">
        <f>COUNTIFS(交易明細!$B$2:$B$73,$A9)</f>
        <v/>
      </c>
      <c r="C9" s="2">
        <f>COUNTIFS(交易明細!$B$2:$B$73,$A9,交易明細!$C$2:$C$73,"做多")</f>
        <v/>
      </c>
      <c r="D9" s="2">
        <f>COUNTIFS(交易明細!$B$2:$B$73,$A9,交易明細!$C$2:$C$73,"做空")</f>
        <v/>
      </c>
      <c r="E9" s="2">
        <f>F9+G9+COUNTIFS(交易明細!$B$2:$B$73,$A9,交易明細!$J$2:$J$73,"時間出場")</f>
        <v/>
      </c>
      <c r="F9" s="2">
        <f>COUNTIFS(交易明細!$B$2:$B$73,$A9,交易明細!$J$2:$J$73,"止盈")</f>
        <v/>
      </c>
      <c r="G9" s="2">
        <f>COUNTIFS(交易明細!$B$2:$B$73,$A9,交易明細!$J$2:$J$73,"止損")</f>
        <v/>
      </c>
      <c r="H9" s="4">
        <f>IFERROR(F9/E9,0)</f>
        <v/>
      </c>
      <c r="I9" s="4">
        <f>IFERROR(AVERAGEIFS(交易明細!$L$2:$L$73,交易明細!$B$2:$B$73,$A9,交易明細!$J$2:$J$73,"&lt;&gt;未平倉"),0)</f>
        <v/>
      </c>
      <c r="J9" s="4">
        <f>SUMIFS(交易明細!$L$2:$L$73,交易明細!$B$2:$B$73,$A9,交易明細!$J$2:$J$73,"&lt;&gt;未平倉")</f>
        <v/>
      </c>
      <c r="K9" s="5">
        <f>IFERROR(AVERAGEIFS(交易明細!$K$2:$K$73,交易明細!$B$2:$B$73,$A9,交易明細!$J$2:$J$73,"&lt;&gt;未平倉"),0)</f>
        <v/>
      </c>
      <c r="L9" s="2">
        <f>COUNTIFS(交易明細!$B$2:$B$73,$A9,交易明細!$J$2:$J$73,"未平倉")</f>
        <v/>
      </c>
    </row>
    <row r="10">
      <c r="A10" s="2" t="inlineStr">
        <is>
          <t>SPK_USDT_PERP</t>
        </is>
      </c>
      <c r="B10" s="2">
        <f>COUNTIFS(交易明細!$B$2:$B$73,$A10)</f>
        <v/>
      </c>
      <c r="C10" s="2">
        <f>COUNTIFS(交易明細!$B$2:$B$73,$A10,交易明細!$C$2:$C$73,"做多")</f>
        <v/>
      </c>
      <c r="D10" s="2">
        <f>COUNTIFS(交易明細!$B$2:$B$73,$A10,交易明細!$C$2:$C$73,"做空")</f>
        <v/>
      </c>
      <c r="E10" s="2">
        <f>F10+G10+COUNTIFS(交易明細!$B$2:$B$73,$A10,交易明細!$J$2:$J$73,"時間出場")</f>
        <v/>
      </c>
      <c r="F10" s="2">
        <f>COUNTIFS(交易明細!$B$2:$B$73,$A10,交易明細!$J$2:$J$73,"止盈")</f>
        <v/>
      </c>
      <c r="G10" s="2">
        <f>COUNTIFS(交易明細!$B$2:$B$73,$A10,交易明細!$J$2:$J$73,"止損")</f>
        <v/>
      </c>
      <c r="H10" s="4">
        <f>IFERROR(F10/E10,0)</f>
        <v/>
      </c>
      <c r="I10" s="4">
        <f>IFERROR(AVERAGEIFS(交易明細!$L$2:$L$73,交易明細!$B$2:$B$73,$A10,交易明細!$J$2:$J$73,"&lt;&gt;未平倉"),0)</f>
        <v/>
      </c>
      <c r="J10" s="4">
        <f>SUMIFS(交易明細!$L$2:$L$73,交易明細!$B$2:$B$73,$A10,交易明細!$J$2:$J$73,"&lt;&gt;未平倉")</f>
        <v/>
      </c>
      <c r="K10" s="5">
        <f>IFERROR(AVERAGEIFS(交易明細!$K$2:$K$73,交易明細!$B$2:$B$73,$A10,交易明細!$J$2:$J$73,"&lt;&gt;未平倉"),0)</f>
        <v/>
      </c>
      <c r="L10" s="2">
        <f>COUNTIFS(交易明細!$B$2:$B$73,$A10,交易明細!$J$2:$J$73,"未平倉")</f>
        <v/>
      </c>
    </row>
    <row r="11">
      <c r="A11" s="2" t="inlineStr">
        <is>
          <t>2Z_USDT_PERP</t>
        </is>
      </c>
      <c r="B11" s="2">
        <f>COUNTIFS(交易明細!$B$2:$B$73,$A11)</f>
        <v/>
      </c>
      <c r="C11" s="2">
        <f>COUNTIFS(交易明細!$B$2:$B$73,$A11,交易明細!$C$2:$C$73,"做多")</f>
        <v/>
      </c>
      <c r="D11" s="2">
        <f>COUNTIFS(交易明細!$B$2:$B$73,$A11,交易明細!$C$2:$C$73,"做空")</f>
        <v/>
      </c>
      <c r="E11" s="2">
        <f>F11+G11+COUNTIFS(交易明細!$B$2:$B$73,$A11,交易明細!$J$2:$J$73,"時間出場")</f>
        <v/>
      </c>
      <c r="F11" s="2">
        <f>COUNTIFS(交易明細!$B$2:$B$73,$A11,交易明細!$J$2:$J$73,"止盈")</f>
        <v/>
      </c>
      <c r="G11" s="2">
        <f>COUNTIFS(交易明細!$B$2:$B$73,$A11,交易明細!$J$2:$J$73,"止損")</f>
        <v/>
      </c>
      <c r="H11" s="4">
        <f>IFERROR(F11/E11,0)</f>
        <v/>
      </c>
      <c r="I11" s="4">
        <f>IFERROR(AVERAGEIFS(交易明細!$L$2:$L$73,交易明細!$B$2:$B$73,$A11,交易明細!$J$2:$J$73,"&lt;&gt;未平倉"),0)</f>
        <v/>
      </c>
      <c r="J11" s="4">
        <f>SUMIFS(交易明細!$L$2:$L$73,交易明細!$B$2:$B$73,$A11,交易明細!$J$2:$J$73,"&lt;&gt;未平倉")</f>
        <v/>
      </c>
      <c r="K11" s="5">
        <f>IFERROR(AVERAGEIFS(交易明細!$K$2:$K$73,交易明細!$B$2:$B$73,$A11,交易明細!$J$2:$J$73,"&lt;&gt;未平倉"),0)</f>
        <v/>
      </c>
      <c r="L11" s="2">
        <f>COUNTIFS(交易明細!$B$2:$B$73,$A11,交易明細!$J$2:$J$73,"未平倉")</f>
        <v/>
      </c>
    </row>
    <row r="12">
      <c r="A12" s="2" t="inlineStr">
        <is>
          <t>SOON_USDT_PERP</t>
        </is>
      </c>
      <c r="B12" s="2">
        <f>COUNTIFS(交易明細!$B$2:$B$73,$A12)</f>
        <v/>
      </c>
      <c r="C12" s="2">
        <f>COUNTIFS(交易明細!$B$2:$B$73,$A12,交易明細!$C$2:$C$73,"做多")</f>
        <v/>
      </c>
      <c r="D12" s="2">
        <f>COUNTIFS(交易明細!$B$2:$B$73,$A12,交易明細!$C$2:$C$73,"做空")</f>
        <v/>
      </c>
      <c r="E12" s="2">
        <f>F12+G12+COUNTIFS(交易明細!$B$2:$B$73,$A12,交易明細!$J$2:$J$73,"時間出場")</f>
        <v/>
      </c>
      <c r="F12" s="2">
        <f>COUNTIFS(交易明細!$B$2:$B$73,$A12,交易明細!$J$2:$J$73,"止盈")</f>
        <v/>
      </c>
      <c r="G12" s="2">
        <f>COUNTIFS(交易明細!$B$2:$B$73,$A12,交易明細!$J$2:$J$73,"止損")</f>
        <v/>
      </c>
      <c r="H12" s="4">
        <f>IFERROR(F12/E12,0)</f>
        <v/>
      </c>
      <c r="I12" s="4">
        <f>IFERROR(AVERAGEIFS(交易明細!$L$2:$L$73,交易明細!$B$2:$B$73,$A12,交易明細!$J$2:$J$73,"&lt;&gt;未平倉"),0)</f>
        <v/>
      </c>
      <c r="J12" s="4">
        <f>SUMIFS(交易明細!$L$2:$L$73,交易明細!$B$2:$B$73,$A12,交易明細!$J$2:$J$73,"&lt;&gt;未平倉")</f>
        <v/>
      </c>
      <c r="K12" s="5">
        <f>IFERROR(AVERAGEIFS(交易明細!$K$2:$K$73,交易明細!$B$2:$B$73,$A12,交易明細!$J$2:$J$73,"&lt;&gt;未平倉"),0)</f>
        <v/>
      </c>
      <c r="L12" s="2">
        <f>COUNTIFS(交易明細!$B$2:$B$73,$A12,交易明細!$J$2:$J$73,"未平倉")</f>
        <v/>
      </c>
    </row>
    <row r="13">
      <c r="A13" s="2" t="inlineStr">
        <is>
          <t>PROS_USDT_PERP</t>
        </is>
      </c>
      <c r="B13" s="2">
        <f>COUNTIFS(交易明細!$B$2:$B$73,$A13)</f>
        <v/>
      </c>
      <c r="C13" s="2">
        <f>COUNTIFS(交易明細!$B$2:$B$73,$A13,交易明細!$C$2:$C$73,"做多")</f>
        <v/>
      </c>
      <c r="D13" s="2">
        <f>COUNTIFS(交易明細!$B$2:$B$73,$A13,交易明細!$C$2:$C$73,"做空")</f>
        <v/>
      </c>
      <c r="E13" s="2">
        <f>F13+G13+COUNTIFS(交易明細!$B$2:$B$73,$A13,交易明細!$J$2:$J$73,"時間出場")</f>
        <v/>
      </c>
      <c r="F13" s="2">
        <f>COUNTIFS(交易明細!$B$2:$B$73,$A13,交易明細!$J$2:$J$73,"止盈")</f>
        <v/>
      </c>
      <c r="G13" s="2">
        <f>COUNTIFS(交易明細!$B$2:$B$73,$A13,交易明細!$J$2:$J$73,"止損")</f>
        <v/>
      </c>
      <c r="H13" s="4">
        <f>IFERROR(F13/E13,0)</f>
        <v/>
      </c>
      <c r="I13" s="4">
        <f>IFERROR(AVERAGEIFS(交易明細!$L$2:$L$73,交易明細!$B$2:$B$73,$A13,交易明細!$J$2:$J$73,"&lt;&gt;未平倉"),0)</f>
        <v/>
      </c>
      <c r="J13" s="4">
        <f>SUMIFS(交易明細!$L$2:$L$73,交易明細!$B$2:$B$73,$A13,交易明細!$J$2:$J$73,"&lt;&gt;未平倉")</f>
        <v/>
      </c>
      <c r="K13" s="5">
        <f>IFERROR(AVERAGEIFS(交易明細!$K$2:$K$73,交易明細!$B$2:$B$73,$A13,交易明細!$J$2:$J$73,"&lt;&gt;未平倉"),0)</f>
        <v/>
      </c>
      <c r="L13" s="2">
        <f>COUNTIFS(交易明細!$B$2:$B$73,$A13,交易明細!$J$2:$J$73,"未平倉")</f>
        <v/>
      </c>
    </row>
    <row r="14">
      <c r="A14" s="2" t="inlineStr">
        <is>
          <t>MAGMA_USDT_PERP</t>
        </is>
      </c>
      <c r="B14" s="2">
        <f>COUNTIFS(交易明細!$B$2:$B$73,$A14)</f>
        <v/>
      </c>
      <c r="C14" s="2">
        <f>COUNTIFS(交易明細!$B$2:$B$73,$A14,交易明細!$C$2:$C$73,"做多")</f>
        <v/>
      </c>
      <c r="D14" s="2">
        <f>COUNTIFS(交易明細!$B$2:$B$73,$A14,交易明細!$C$2:$C$73,"做空")</f>
        <v/>
      </c>
      <c r="E14" s="2">
        <f>F14+G14+COUNTIFS(交易明細!$B$2:$B$73,$A14,交易明細!$J$2:$J$73,"時間出場")</f>
        <v/>
      </c>
      <c r="F14" s="2">
        <f>COUNTIFS(交易明細!$B$2:$B$73,$A14,交易明細!$J$2:$J$73,"止盈")</f>
        <v/>
      </c>
      <c r="G14" s="2">
        <f>COUNTIFS(交易明細!$B$2:$B$73,$A14,交易明細!$J$2:$J$73,"止損")</f>
        <v/>
      </c>
      <c r="H14" s="4">
        <f>IFERROR(F14/E14,0)</f>
        <v/>
      </c>
      <c r="I14" s="4">
        <f>IFERROR(AVERAGEIFS(交易明細!$L$2:$L$73,交易明細!$B$2:$B$73,$A14,交易明細!$J$2:$J$73,"&lt;&gt;未平倉"),0)</f>
        <v/>
      </c>
      <c r="J14" s="4">
        <f>SUMIFS(交易明細!$L$2:$L$73,交易明細!$B$2:$B$73,$A14,交易明細!$J$2:$J$73,"&lt;&gt;未平倉")</f>
        <v/>
      </c>
      <c r="K14" s="5">
        <f>IFERROR(AVERAGEIFS(交易明細!$K$2:$K$73,交易明細!$B$2:$B$73,$A14,交易明細!$J$2:$J$73,"&lt;&gt;未平倉"),0)</f>
        <v/>
      </c>
      <c r="L14" s="2">
        <f>COUNTIFS(交易明細!$B$2:$B$73,$A14,交易明細!$J$2:$J$73,"未平倉")</f>
        <v/>
      </c>
    </row>
    <row r="15">
      <c r="A15" s="2" t="inlineStr">
        <is>
          <t>UP_USDT_PERP</t>
        </is>
      </c>
      <c r="B15" s="2">
        <f>COUNTIFS(交易明細!$B$2:$B$73,$A15)</f>
        <v/>
      </c>
      <c r="C15" s="2">
        <f>COUNTIFS(交易明細!$B$2:$B$73,$A15,交易明細!$C$2:$C$73,"做多")</f>
        <v/>
      </c>
      <c r="D15" s="2">
        <f>COUNTIFS(交易明細!$B$2:$B$73,$A15,交易明細!$C$2:$C$73,"做空")</f>
        <v/>
      </c>
      <c r="E15" s="2">
        <f>F15+G15+COUNTIFS(交易明細!$B$2:$B$73,$A15,交易明細!$J$2:$J$73,"時間出場")</f>
        <v/>
      </c>
      <c r="F15" s="2">
        <f>COUNTIFS(交易明細!$B$2:$B$73,$A15,交易明細!$J$2:$J$73,"止盈")</f>
        <v/>
      </c>
      <c r="G15" s="2">
        <f>COUNTIFS(交易明細!$B$2:$B$73,$A15,交易明細!$J$2:$J$73,"止損")</f>
        <v/>
      </c>
      <c r="H15" s="4">
        <f>IFERROR(F15/E15,0)</f>
        <v/>
      </c>
      <c r="I15" s="4">
        <f>IFERROR(AVERAGEIFS(交易明細!$L$2:$L$73,交易明細!$B$2:$B$73,$A15,交易明細!$J$2:$J$73,"&lt;&gt;未平倉"),0)</f>
        <v/>
      </c>
      <c r="J15" s="4">
        <f>SUMIFS(交易明細!$L$2:$L$73,交易明細!$B$2:$B$73,$A15,交易明細!$J$2:$J$73,"&lt;&gt;未平倉")</f>
        <v/>
      </c>
      <c r="K15" s="5">
        <f>IFERROR(AVERAGEIFS(交易明細!$K$2:$K$73,交易明細!$B$2:$B$73,$A15,交易明細!$J$2:$J$73,"&lt;&gt;未平倉"),0)</f>
        <v/>
      </c>
      <c r="L15" s="2">
        <f>COUNTIFS(交易明細!$B$2:$B$73,$A15,交易明細!$J$2:$J$73,"未平倉")</f>
        <v/>
      </c>
    </row>
    <row r="16">
      <c r="A16" s="2" t="inlineStr">
        <is>
          <t>BROCCOLI_USDT_PERP</t>
        </is>
      </c>
      <c r="B16" s="2">
        <f>COUNTIFS(交易明細!$B$2:$B$73,$A16)</f>
        <v/>
      </c>
      <c r="C16" s="2">
        <f>COUNTIFS(交易明細!$B$2:$B$73,$A16,交易明細!$C$2:$C$73,"做多")</f>
        <v/>
      </c>
      <c r="D16" s="2">
        <f>COUNTIFS(交易明細!$B$2:$B$73,$A16,交易明細!$C$2:$C$73,"做空")</f>
        <v/>
      </c>
      <c r="E16" s="2">
        <f>F16+G16+COUNTIFS(交易明細!$B$2:$B$73,$A16,交易明細!$J$2:$J$73,"時間出場")</f>
        <v/>
      </c>
      <c r="F16" s="2">
        <f>COUNTIFS(交易明細!$B$2:$B$73,$A16,交易明細!$J$2:$J$73,"止盈")</f>
        <v/>
      </c>
      <c r="G16" s="2">
        <f>COUNTIFS(交易明細!$B$2:$B$73,$A16,交易明細!$J$2:$J$73,"止損")</f>
        <v/>
      </c>
      <c r="H16" s="4">
        <f>IFERROR(F16/E16,0)</f>
        <v/>
      </c>
      <c r="I16" s="4">
        <f>IFERROR(AVERAGEIFS(交易明細!$L$2:$L$73,交易明細!$B$2:$B$73,$A16,交易明細!$J$2:$J$73,"&lt;&gt;未平倉"),0)</f>
        <v/>
      </c>
      <c r="J16" s="4">
        <f>SUMIFS(交易明細!$L$2:$L$73,交易明細!$B$2:$B$73,$A16,交易明細!$J$2:$J$73,"&lt;&gt;未平倉")</f>
        <v/>
      </c>
      <c r="K16" s="5">
        <f>IFERROR(AVERAGEIFS(交易明細!$K$2:$K$73,交易明細!$B$2:$B$73,$A16,交易明細!$J$2:$J$73,"&lt;&gt;未平倉"),0)</f>
        <v/>
      </c>
      <c r="L16" s="2">
        <f>COUNTIFS(交易明細!$B$2:$B$73,$A16,交易明細!$J$2:$J$73,"未平倉")</f>
        <v/>
      </c>
    </row>
    <row r="17">
      <c r="A17" s="2" t="inlineStr">
        <is>
          <t>BB_USDT_PERP</t>
        </is>
      </c>
      <c r="B17" s="2">
        <f>COUNTIFS(交易明細!$B$2:$B$73,$A17)</f>
        <v/>
      </c>
      <c r="C17" s="2">
        <f>COUNTIFS(交易明細!$B$2:$B$73,$A17,交易明細!$C$2:$C$73,"做多")</f>
        <v/>
      </c>
      <c r="D17" s="2">
        <f>COUNTIFS(交易明細!$B$2:$B$73,$A17,交易明細!$C$2:$C$73,"做空")</f>
        <v/>
      </c>
      <c r="E17" s="2">
        <f>F17+G17+COUNTIFS(交易明細!$B$2:$B$73,$A17,交易明細!$J$2:$J$73,"時間出場")</f>
        <v/>
      </c>
      <c r="F17" s="2">
        <f>COUNTIFS(交易明細!$B$2:$B$73,$A17,交易明細!$J$2:$J$73,"止盈")</f>
        <v/>
      </c>
      <c r="G17" s="2">
        <f>COUNTIFS(交易明細!$B$2:$B$73,$A17,交易明細!$J$2:$J$73,"止損")</f>
        <v/>
      </c>
      <c r="H17" s="4">
        <f>IFERROR(F17/E17,0)</f>
        <v/>
      </c>
      <c r="I17" s="4">
        <f>IFERROR(AVERAGEIFS(交易明細!$L$2:$L$73,交易明細!$B$2:$B$73,$A17,交易明細!$J$2:$J$73,"&lt;&gt;未平倉"),0)</f>
        <v/>
      </c>
      <c r="J17" s="4">
        <f>SUMIFS(交易明細!$L$2:$L$73,交易明細!$B$2:$B$73,$A17,交易明細!$J$2:$J$73,"&lt;&gt;未平倉")</f>
        <v/>
      </c>
      <c r="K17" s="5">
        <f>IFERROR(AVERAGEIFS(交易明細!$K$2:$K$73,交易明細!$B$2:$B$73,$A17,交易明細!$J$2:$J$73,"&lt;&gt;未平倉"),0)</f>
        <v/>
      </c>
      <c r="L17" s="2">
        <f>COUNTIFS(交易明細!$B$2:$B$73,$A17,交易明細!$J$2:$J$73,"未平倉")</f>
        <v/>
      </c>
    </row>
    <row r="18">
      <c r="A18" s="2" t="inlineStr">
        <is>
          <t>RIVER_USDT_PERP</t>
        </is>
      </c>
      <c r="B18" s="2">
        <f>COUNTIFS(交易明細!$B$2:$B$73,$A18)</f>
        <v/>
      </c>
      <c r="C18" s="2">
        <f>COUNTIFS(交易明細!$B$2:$B$73,$A18,交易明細!$C$2:$C$73,"做多")</f>
        <v/>
      </c>
      <c r="D18" s="2">
        <f>COUNTIFS(交易明細!$B$2:$B$73,$A18,交易明細!$C$2:$C$73,"做空")</f>
        <v/>
      </c>
      <c r="E18" s="2">
        <f>F18+G18+COUNTIFS(交易明細!$B$2:$B$73,$A18,交易明細!$J$2:$J$73,"時間出場")</f>
        <v/>
      </c>
      <c r="F18" s="2">
        <f>COUNTIFS(交易明細!$B$2:$B$73,$A18,交易明細!$J$2:$J$73,"止盈")</f>
        <v/>
      </c>
      <c r="G18" s="2">
        <f>COUNTIFS(交易明細!$B$2:$B$73,$A18,交易明細!$J$2:$J$73,"止損")</f>
        <v/>
      </c>
      <c r="H18" s="4">
        <f>IFERROR(F18/E18,0)</f>
        <v/>
      </c>
      <c r="I18" s="4">
        <f>IFERROR(AVERAGEIFS(交易明細!$L$2:$L$73,交易明細!$B$2:$B$73,$A18,交易明細!$J$2:$J$73,"&lt;&gt;未平倉"),0)</f>
        <v/>
      </c>
      <c r="J18" s="4">
        <f>SUMIFS(交易明細!$L$2:$L$73,交易明細!$B$2:$B$73,$A18,交易明細!$J$2:$J$73,"&lt;&gt;未平倉")</f>
        <v/>
      </c>
      <c r="K18" s="5">
        <f>IFERROR(AVERAGEIFS(交易明細!$K$2:$K$73,交易明細!$B$2:$B$73,$A18,交易明細!$J$2:$J$73,"&lt;&gt;未平倉"),0)</f>
        <v/>
      </c>
      <c r="L18" s="2">
        <f>COUNTIFS(交易明細!$B$2:$B$73,$A18,交易明細!$J$2:$J$73,"未平倉")</f>
        <v/>
      </c>
    </row>
    <row r="19">
      <c r="A19" s="2" t="inlineStr">
        <is>
          <t>LAB_USDT_PERP</t>
        </is>
      </c>
      <c r="B19" s="2">
        <f>COUNTIFS(交易明細!$B$2:$B$73,$A19)</f>
        <v/>
      </c>
      <c r="C19" s="2">
        <f>COUNTIFS(交易明細!$B$2:$B$73,$A19,交易明細!$C$2:$C$73,"做多")</f>
        <v/>
      </c>
      <c r="D19" s="2">
        <f>COUNTIFS(交易明細!$B$2:$B$73,$A19,交易明細!$C$2:$C$73,"做空")</f>
        <v/>
      </c>
      <c r="E19" s="2">
        <f>F19+G19+COUNTIFS(交易明細!$B$2:$B$73,$A19,交易明細!$J$2:$J$73,"時間出場")</f>
        <v/>
      </c>
      <c r="F19" s="2">
        <f>COUNTIFS(交易明細!$B$2:$B$73,$A19,交易明細!$J$2:$J$73,"止盈")</f>
        <v/>
      </c>
      <c r="G19" s="2">
        <f>COUNTIFS(交易明細!$B$2:$B$73,$A19,交易明細!$J$2:$J$73,"止損")</f>
        <v/>
      </c>
      <c r="H19" s="4">
        <f>IFERROR(F19/E19,0)</f>
        <v/>
      </c>
      <c r="I19" s="4">
        <f>IFERROR(AVERAGEIFS(交易明細!$L$2:$L$73,交易明細!$B$2:$B$73,$A19,交易明細!$J$2:$J$73,"&lt;&gt;未平倉"),0)</f>
        <v/>
      </c>
      <c r="J19" s="4">
        <f>SUMIFS(交易明細!$L$2:$L$73,交易明細!$B$2:$B$73,$A19,交易明細!$J$2:$J$73,"&lt;&gt;未平倉")</f>
        <v/>
      </c>
      <c r="K19" s="5">
        <f>IFERROR(AVERAGEIFS(交易明細!$K$2:$K$73,交易明細!$B$2:$B$73,$A19,交易明細!$J$2:$J$73,"&lt;&gt;未平倉"),0)</f>
        <v/>
      </c>
      <c r="L19" s="2">
        <f>COUNTIFS(交易明細!$B$2:$B$73,$A19,交易明細!$J$2:$J$73,"未平倉")</f>
        <v/>
      </c>
    </row>
    <row r="20">
      <c r="A20" s="2" t="inlineStr">
        <is>
          <t>SAGA_USDT_PERP</t>
        </is>
      </c>
      <c r="B20" s="2">
        <f>COUNTIFS(交易明細!$B$2:$B$73,$A20)</f>
        <v/>
      </c>
      <c r="C20" s="2">
        <f>COUNTIFS(交易明細!$B$2:$B$73,$A20,交易明細!$C$2:$C$73,"做多")</f>
        <v/>
      </c>
      <c r="D20" s="2">
        <f>COUNTIFS(交易明細!$B$2:$B$73,$A20,交易明細!$C$2:$C$73,"做空")</f>
        <v/>
      </c>
      <c r="E20" s="2">
        <f>F20+G20+COUNTIFS(交易明細!$B$2:$B$73,$A20,交易明細!$J$2:$J$73,"時間出場")</f>
        <v/>
      </c>
      <c r="F20" s="2">
        <f>COUNTIFS(交易明細!$B$2:$B$73,$A20,交易明細!$J$2:$J$73,"止盈")</f>
        <v/>
      </c>
      <c r="G20" s="2">
        <f>COUNTIFS(交易明細!$B$2:$B$73,$A20,交易明細!$J$2:$J$73,"止損")</f>
        <v/>
      </c>
      <c r="H20" s="4">
        <f>IFERROR(F20/E20,0)</f>
        <v/>
      </c>
      <c r="I20" s="4">
        <f>IFERROR(AVERAGEIFS(交易明細!$L$2:$L$73,交易明細!$B$2:$B$73,$A20,交易明細!$J$2:$J$73,"&lt;&gt;未平倉"),0)</f>
        <v/>
      </c>
      <c r="J20" s="4">
        <f>SUMIFS(交易明細!$L$2:$L$73,交易明細!$B$2:$B$73,$A20,交易明細!$J$2:$J$73,"&lt;&gt;未平倉")</f>
        <v/>
      </c>
      <c r="K20" s="5">
        <f>IFERROR(AVERAGEIFS(交易明細!$K$2:$K$73,交易明細!$B$2:$B$73,$A20,交易明細!$J$2:$J$73,"&lt;&gt;未平倉"),0)</f>
        <v/>
      </c>
      <c r="L20" s="2">
        <f>COUNTIFS(交易明細!$B$2:$B$73,$A20,交易明細!$J$2:$J$73,"未平倉")</f>
        <v/>
      </c>
    </row>
    <row r="21">
      <c r="A21" s="2" t="inlineStr">
        <is>
          <t>PLAY_USDT_PERP</t>
        </is>
      </c>
      <c r="B21" s="2">
        <f>COUNTIFS(交易明細!$B$2:$B$73,$A21)</f>
        <v/>
      </c>
      <c r="C21" s="2">
        <f>COUNTIFS(交易明細!$B$2:$B$73,$A21,交易明細!$C$2:$C$73,"做多")</f>
        <v/>
      </c>
      <c r="D21" s="2">
        <f>COUNTIFS(交易明細!$B$2:$B$73,$A21,交易明細!$C$2:$C$73,"做空")</f>
        <v/>
      </c>
      <c r="E21" s="2">
        <f>F21+G21+COUNTIFS(交易明細!$B$2:$B$73,$A21,交易明細!$J$2:$J$73,"時間出場")</f>
        <v/>
      </c>
      <c r="F21" s="2">
        <f>COUNTIFS(交易明細!$B$2:$B$73,$A21,交易明細!$J$2:$J$73,"止盈")</f>
        <v/>
      </c>
      <c r="G21" s="2">
        <f>COUNTIFS(交易明細!$B$2:$B$73,$A21,交易明細!$J$2:$J$73,"止損")</f>
        <v/>
      </c>
      <c r="H21" s="4">
        <f>IFERROR(F21/E21,0)</f>
        <v/>
      </c>
      <c r="I21" s="4">
        <f>IFERROR(AVERAGEIFS(交易明細!$L$2:$L$73,交易明細!$B$2:$B$73,$A21,交易明細!$J$2:$J$73,"&lt;&gt;未平倉"),0)</f>
        <v/>
      </c>
      <c r="J21" s="4">
        <f>SUMIFS(交易明細!$L$2:$L$73,交易明細!$B$2:$B$73,$A21,交易明細!$J$2:$J$73,"&lt;&gt;未平倉")</f>
        <v/>
      </c>
      <c r="K21" s="5">
        <f>IFERROR(AVERAGEIFS(交易明細!$K$2:$K$73,交易明細!$B$2:$B$73,$A21,交易明細!$J$2:$J$73,"&lt;&gt;未平倉"),0)</f>
        <v/>
      </c>
      <c r="L21" s="2">
        <f>COUNTIFS(交易明細!$B$2:$B$73,$A21,交易明細!$J$2:$J$73,"未平倉")</f>
        <v/>
      </c>
    </row>
    <row r="22">
      <c r="A22" s="2" t="inlineStr">
        <is>
          <t>CASHCAT_USDT_PERP</t>
        </is>
      </c>
      <c r="B22" s="2">
        <f>COUNTIFS(交易明細!$B$2:$B$73,$A22)</f>
        <v/>
      </c>
      <c r="C22" s="2">
        <f>COUNTIFS(交易明細!$B$2:$B$73,$A22,交易明細!$C$2:$C$73,"做多")</f>
        <v/>
      </c>
      <c r="D22" s="2">
        <f>COUNTIFS(交易明細!$B$2:$B$73,$A22,交易明細!$C$2:$C$73,"做空")</f>
        <v/>
      </c>
      <c r="E22" s="2">
        <f>F22+G22+COUNTIFS(交易明細!$B$2:$B$73,$A22,交易明細!$J$2:$J$73,"時間出場")</f>
        <v/>
      </c>
      <c r="F22" s="2">
        <f>COUNTIFS(交易明細!$B$2:$B$73,$A22,交易明細!$J$2:$J$73,"止盈")</f>
        <v/>
      </c>
      <c r="G22" s="2">
        <f>COUNTIFS(交易明細!$B$2:$B$73,$A22,交易明細!$J$2:$J$73,"止損")</f>
        <v/>
      </c>
      <c r="H22" s="4">
        <f>IFERROR(F22/E22,0)</f>
        <v/>
      </c>
      <c r="I22" s="4">
        <f>IFERROR(AVERAGEIFS(交易明細!$L$2:$L$73,交易明細!$B$2:$B$73,$A22,交易明細!$J$2:$J$73,"&lt;&gt;未平倉"),0)</f>
        <v/>
      </c>
      <c r="J22" s="4">
        <f>SUMIFS(交易明細!$L$2:$L$73,交易明細!$B$2:$B$73,$A22,交易明細!$J$2:$J$73,"&lt;&gt;未平倉")</f>
        <v/>
      </c>
      <c r="K22" s="5">
        <f>IFERROR(AVERAGEIFS(交易明細!$K$2:$K$73,交易明細!$B$2:$B$73,$A22,交易明細!$J$2:$J$73,"&lt;&gt;未平倉"),0)</f>
        <v/>
      </c>
      <c r="L22" s="2">
        <f>COUNTIFS(交易明細!$B$2:$B$73,$A22,交易明細!$J$2:$J$73,"未平倉")</f>
        <v/>
      </c>
    </row>
    <row r="23">
      <c r="A23" s="2" t="inlineStr">
        <is>
          <t>MUBARAK_USDT_PERP</t>
        </is>
      </c>
      <c r="B23" s="2">
        <f>COUNTIFS(交易明細!$B$2:$B$73,$A23)</f>
        <v/>
      </c>
      <c r="C23" s="2">
        <f>COUNTIFS(交易明細!$B$2:$B$73,$A23,交易明細!$C$2:$C$73,"做多")</f>
        <v/>
      </c>
      <c r="D23" s="2">
        <f>COUNTIFS(交易明細!$B$2:$B$73,$A23,交易明細!$C$2:$C$73,"做空")</f>
        <v/>
      </c>
      <c r="E23" s="2">
        <f>F23+G23+COUNTIFS(交易明細!$B$2:$B$73,$A23,交易明細!$J$2:$J$73,"時間出場")</f>
        <v/>
      </c>
      <c r="F23" s="2">
        <f>COUNTIFS(交易明細!$B$2:$B$73,$A23,交易明細!$J$2:$J$73,"止盈")</f>
        <v/>
      </c>
      <c r="G23" s="2">
        <f>COUNTIFS(交易明細!$B$2:$B$73,$A23,交易明細!$J$2:$J$73,"止損")</f>
        <v/>
      </c>
      <c r="H23" s="4">
        <f>IFERROR(F23/E23,0)</f>
        <v/>
      </c>
      <c r="I23" s="4">
        <f>IFERROR(AVERAGEIFS(交易明細!$L$2:$L$73,交易明細!$B$2:$B$73,$A23,交易明細!$J$2:$J$73,"&lt;&gt;未平倉"),0)</f>
        <v/>
      </c>
      <c r="J23" s="4">
        <f>SUMIFS(交易明細!$L$2:$L$73,交易明細!$B$2:$B$73,$A23,交易明細!$J$2:$J$73,"&lt;&gt;未平倉")</f>
        <v/>
      </c>
      <c r="K23" s="5">
        <f>IFERROR(AVERAGEIFS(交易明細!$K$2:$K$73,交易明細!$B$2:$B$73,$A23,交易明細!$J$2:$J$73,"&lt;&gt;未平倉"),0)</f>
        <v/>
      </c>
      <c r="L23" s="2">
        <f>COUNTIFS(交易明細!$B$2:$B$73,$A23,交易明細!$J$2:$J$73,"未平倉")</f>
        <v/>
      </c>
    </row>
    <row r="24">
      <c r="A24" s="2" t="inlineStr">
        <is>
          <t>Q_USDT_PERP</t>
        </is>
      </c>
      <c r="B24" s="2">
        <f>COUNTIFS(交易明細!$B$2:$B$73,$A24)</f>
        <v/>
      </c>
      <c r="C24" s="2">
        <f>COUNTIFS(交易明細!$B$2:$B$73,$A24,交易明細!$C$2:$C$73,"做多")</f>
        <v/>
      </c>
      <c r="D24" s="2">
        <f>COUNTIFS(交易明細!$B$2:$B$73,$A24,交易明細!$C$2:$C$73,"做空")</f>
        <v/>
      </c>
      <c r="E24" s="2">
        <f>F24+G24+COUNTIFS(交易明細!$B$2:$B$73,$A24,交易明細!$J$2:$J$73,"時間出場")</f>
        <v/>
      </c>
      <c r="F24" s="2">
        <f>COUNTIFS(交易明細!$B$2:$B$73,$A24,交易明細!$J$2:$J$73,"止盈")</f>
        <v/>
      </c>
      <c r="G24" s="2">
        <f>COUNTIFS(交易明細!$B$2:$B$73,$A24,交易明細!$J$2:$J$73,"止損")</f>
        <v/>
      </c>
      <c r="H24" s="4">
        <f>IFERROR(F24/E24,0)</f>
        <v/>
      </c>
      <c r="I24" s="4">
        <f>IFERROR(AVERAGEIFS(交易明細!$L$2:$L$73,交易明細!$B$2:$B$73,$A24,交易明細!$J$2:$J$73,"&lt;&gt;未平倉"),0)</f>
        <v/>
      </c>
      <c r="J24" s="4">
        <f>SUMIFS(交易明細!$L$2:$L$73,交易明細!$B$2:$B$73,$A24,交易明細!$J$2:$J$73,"&lt;&gt;未平倉")</f>
        <v/>
      </c>
      <c r="K24" s="5">
        <f>IFERROR(AVERAGEIFS(交易明細!$K$2:$K$73,交易明細!$B$2:$B$73,$A24,交易明細!$J$2:$J$73,"&lt;&gt;未平倉"),0)</f>
        <v/>
      </c>
      <c r="L24" s="2">
        <f>COUNTIFS(交易明細!$B$2:$B$73,$A24,交易明細!$J$2:$J$73,"未平倉")</f>
        <v/>
      </c>
    </row>
    <row r="25">
      <c r="A25" s="2" t="inlineStr">
        <is>
          <t>FIL_USDT_PERP</t>
        </is>
      </c>
      <c r="B25" s="2">
        <f>COUNTIFS(交易明細!$B$2:$B$73,$A25)</f>
        <v/>
      </c>
      <c r="C25" s="2">
        <f>COUNTIFS(交易明細!$B$2:$B$73,$A25,交易明細!$C$2:$C$73,"做多")</f>
        <v/>
      </c>
      <c r="D25" s="2">
        <f>COUNTIFS(交易明細!$B$2:$B$73,$A25,交易明細!$C$2:$C$73,"做空")</f>
        <v/>
      </c>
      <c r="E25" s="2">
        <f>F25+G25+COUNTIFS(交易明細!$B$2:$B$73,$A25,交易明細!$J$2:$J$73,"時間出場")</f>
        <v/>
      </c>
      <c r="F25" s="2">
        <f>COUNTIFS(交易明細!$B$2:$B$73,$A25,交易明細!$J$2:$J$73,"止盈")</f>
        <v/>
      </c>
      <c r="G25" s="2">
        <f>COUNTIFS(交易明細!$B$2:$B$73,$A25,交易明細!$J$2:$J$73,"止損")</f>
        <v/>
      </c>
      <c r="H25" s="4">
        <f>IFERROR(F25/E25,0)</f>
        <v/>
      </c>
      <c r="I25" s="4">
        <f>IFERROR(AVERAGEIFS(交易明細!$L$2:$L$73,交易明細!$B$2:$B$73,$A25,交易明細!$J$2:$J$73,"&lt;&gt;未平倉"),0)</f>
        <v/>
      </c>
      <c r="J25" s="4">
        <f>SUMIFS(交易明細!$L$2:$L$73,交易明細!$B$2:$B$73,$A25,交易明細!$J$2:$J$73,"&lt;&gt;未平倉")</f>
        <v/>
      </c>
      <c r="K25" s="5">
        <f>IFERROR(AVERAGEIFS(交易明細!$K$2:$K$73,交易明細!$B$2:$B$73,$A25,交易明細!$J$2:$J$73,"&lt;&gt;未平倉"),0)</f>
        <v/>
      </c>
      <c r="L25" s="2">
        <f>COUNTIFS(交易明細!$B$2:$B$73,$A25,交易明細!$J$2:$J$73,"未平倉")</f>
        <v/>
      </c>
    </row>
    <row r="26">
      <c r="A26" s="2" t="inlineStr">
        <is>
          <t>XVG_USDT_PERP</t>
        </is>
      </c>
      <c r="B26" s="2">
        <f>COUNTIFS(交易明細!$B$2:$B$73,$A26)</f>
        <v/>
      </c>
      <c r="C26" s="2">
        <f>COUNTIFS(交易明細!$B$2:$B$73,$A26,交易明細!$C$2:$C$73,"做多")</f>
        <v/>
      </c>
      <c r="D26" s="2">
        <f>COUNTIFS(交易明細!$B$2:$B$73,$A26,交易明細!$C$2:$C$73,"做空")</f>
        <v/>
      </c>
      <c r="E26" s="2">
        <f>F26+G26+COUNTIFS(交易明細!$B$2:$B$73,$A26,交易明細!$J$2:$J$73,"時間出場")</f>
        <v/>
      </c>
      <c r="F26" s="2">
        <f>COUNTIFS(交易明細!$B$2:$B$73,$A26,交易明細!$J$2:$J$73,"止盈")</f>
        <v/>
      </c>
      <c r="G26" s="2">
        <f>COUNTIFS(交易明細!$B$2:$B$73,$A26,交易明細!$J$2:$J$73,"止損")</f>
        <v/>
      </c>
      <c r="H26" s="4">
        <f>IFERROR(F26/E26,0)</f>
        <v/>
      </c>
      <c r="I26" s="4">
        <f>IFERROR(AVERAGEIFS(交易明細!$L$2:$L$73,交易明細!$B$2:$B$73,$A26,交易明細!$J$2:$J$73,"&lt;&gt;未平倉"),0)</f>
        <v/>
      </c>
      <c r="J26" s="4">
        <f>SUMIFS(交易明細!$L$2:$L$73,交易明細!$B$2:$B$73,$A26,交易明細!$J$2:$J$73,"&lt;&gt;未平倉")</f>
        <v/>
      </c>
      <c r="K26" s="5">
        <f>IFERROR(AVERAGEIFS(交易明細!$K$2:$K$73,交易明細!$B$2:$B$73,$A26,交易明細!$J$2:$J$73,"&lt;&gt;未平倉"),0)</f>
        <v/>
      </c>
      <c r="L26" s="2">
        <f>COUNTIFS(交易明細!$B$2:$B$73,$A26,交易明細!$J$2:$J$73,"未平倉")</f>
        <v/>
      </c>
    </row>
    <row r="27">
      <c r="A27" s="2" t="inlineStr">
        <is>
          <t>INX_USDT_PERP</t>
        </is>
      </c>
      <c r="B27" s="2">
        <f>COUNTIFS(交易明細!$B$2:$B$73,$A27)</f>
        <v/>
      </c>
      <c r="C27" s="2">
        <f>COUNTIFS(交易明細!$B$2:$B$73,$A27,交易明細!$C$2:$C$73,"做多")</f>
        <v/>
      </c>
      <c r="D27" s="2">
        <f>COUNTIFS(交易明細!$B$2:$B$73,$A27,交易明細!$C$2:$C$73,"做空")</f>
        <v/>
      </c>
      <c r="E27" s="2">
        <f>F27+G27+COUNTIFS(交易明細!$B$2:$B$73,$A27,交易明細!$J$2:$J$73,"時間出場")</f>
        <v/>
      </c>
      <c r="F27" s="2">
        <f>COUNTIFS(交易明細!$B$2:$B$73,$A27,交易明細!$J$2:$J$73,"止盈")</f>
        <v/>
      </c>
      <c r="G27" s="2">
        <f>COUNTIFS(交易明細!$B$2:$B$73,$A27,交易明細!$J$2:$J$73,"止損")</f>
        <v/>
      </c>
      <c r="H27" s="4">
        <f>IFERROR(F27/E27,0)</f>
        <v/>
      </c>
      <c r="I27" s="4">
        <f>IFERROR(AVERAGEIFS(交易明細!$L$2:$L$73,交易明細!$B$2:$B$73,$A27,交易明細!$J$2:$J$73,"&lt;&gt;未平倉"),0)</f>
        <v/>
      </c>
      <c r="J27" s="4">
        <f>SUMIFS(交易明細!$L$2:$L$73,交易明細!$B$2:$B$73,$A27,交易明細!$J$2:$J$73,"&lt;&gt;未平倉")</f>
        <v/>
      </c>
      <c r="K27" s="5">
        <f>IFERROR(AVERAGEIFS(交易明細!$K$2:$K$73,交易明細!$B$2:$B$73,$A27,交易明細!$J$2:$J$73,"&lt;&gt;未平倉"),0)</f>
        <v/>
      </c>
      <c r="L27" s="2">
        <f>COUNTIFS(交易明細!$B$2:$B$73,$A27,交易明細!$J$2:$J$73,"未平倉")</f>
        <v/>
      </c>
    </row>
    <row r="28">
      <c r="A28" s="2" t="inlineStr">
        <is>
          <t>ELSA_USDT_PERP</t>
        </is>
      </c>
      <c r="B28" s="2">
        <f>COUNTIFS(交易明細!$B$2:$B$73,$A28)</f>
        <v/>
      </c>
      <c r="C28" s="2">
        <f>COUNTIFS(交易明細!$B$2:$B$73,$A28,交易明細!$C$2:$C$73,"做多")</f>
        <v/>
      </c>
      <c r="D28" s="2">
        <f>COUNTIFS(交易明細!$B$2:$B$73,$A28,交易明細!$C$2:$C$73,"做空")</f>
        <v/>
      </c>
      <c r="E28" s="2">
        <f>F28+G28+COUNTIFS(交易明細!$B$2:$B$73,$A28,交易明細!$J$2:$J$73,"時間出場")</f>
        <v/>
      </c>
      <c r="F28" s="2">
        <f>COUNTIFS(交易明細!$B$2:$B$73,$A28,交易明細!$J$2:$J$73,"止盈")</f>
        <v/>
      </c>
      <c r="G28" s="2">
        <f>COUNTIFS(交易明細!$B$2:$B$73,$A28,交易明細!$J$2:$J$73,"止損")</f>
        <v/>
      </c>
      <c r="H28" s="4">
        <f>IFERROR(F28/E28,0)</f>
        <v/>
      </c>
      <c r="I28" s="4">
        <f>IFERROR(AVERAGEIFS(交易明細!$L$2:$L$73,交易明細!$B$2:$B$73,$A28,交易明細!$J$2:$J$73,"&lt;&gt;未平倉"),0)</f>
        <v/>
      </c>
      <c r="J28" s="4">
        <f>SUMIFS(交易明細!$L$2:$L$73,交易明細!$B$2:$B$73,$A28,交易明細!$J$2:$J$73,"&lt;&gt;未平倉")</f>
        <v/>
      </c>
      <c r="K28" s="5">
        <f>IFERROR(AVERAGEIFS(交易明細!$K$2:$K$73,交易明細!$B$2:$B$73,$A28,交易明細!$J$2:$J$73,"&lt;&gt;未平倉"),0)</f>
        <v/>
      </c>
      <c r="L28" s="2">
        <f>COUNTIFS(交易明細!$B$2:$B$73,$A28,交易明細!$J$2:$J$73,"未平倉")</f>
        <v/>
      </c>
    </row>
    <row r="29">
      <c r="A29" s="2" t="inlineStr">
        <is>
          <t>IRYS_USDT_PERP</t>
        </is>
      </c>
      <c r="B29" s="2">
        <f>COUNTIFS(交易明細!$B$2:$B$73,$A29)</f>
        <v/>
      </c>
      <c r="C29" s="2">
        <f>COUNTIFS(交易明細!$B$2:$B$73,$A29,交易明細!$C$2:$C$73,"做多")</f>
        <v/>
      </c>
      <c r="D29" s="2">
        <f>COUNTIFS(交易明細!$B$2:$B$73,$A29,交易明細!$C$2:$C$73,"做空")</f>
        <v/>
      </c>
      <c r="E29" s="2">
        <f>F29+G29+COUNTIFS(交易明細!$B$2:$B$73,$A29,交易明細!$J$2:$J$73,"時間出場")</f>
        <v/>
      </c>
      <c r="F29" s="2">
        <f>COUNTIFS(交易明細!$B$2:$B$73,$A29,交易明細!$J$2:$J$73,"止盈")</f>
        <v/>
      </c>
      <c r="G29" s="2">
        <f>COUNTIFS(交易明細!$B$2:$B$73,$A29,交易明細!$J$2:$J$73,"止損")</f>
        <v/>
      </c>
      <c r="H29" s="4">
        <f>IFERROR(F29/E29,0)</f>
        <v/>
      </c>
      <c r="I29" s="4">
        <f>IFERROR(AVERAGEIFS(交易明細!$L$2:$L$73,交易明細!$B$2:$B$73,$A29,交易明細!$J$2:$J$73,"&lt;&gt;未平倉"),0)</f>
        <v/>
      </c>
      <c r="J29" s="4">
        <f>SUMIFS(交易明細!$L$2:$L$73,交易明細!$B$2:$B$73,$A29,交易明細!$J$2:$J$73,"&lt;&gt;未平倉")</f>
        <v/>
      </c>
      <c r="K29" s="5">
        <f>IFERROR(AVERAGEIFS(交易明細!$K$2:$K$73,交易明細!$B$2:$B$73,$A29,交易明細!$J$2:$J$73,"&lt;&gt;未平倉"),0)</f>
        <v/>
      </c>
      <c r="L29" s="2">
        <f>COUNTIFS(交易明細!$B$2:$B$73,$A29,交易明細!$J$2:$J$73,"未平倉")</f>
        <v/>
      </c>
    </row>
    <row r="30">
      <c r="A30" s="2" t="inlineStr">
        <is>
          <t>QNT_USDT_PERP</t>
        </is>
      </c>
      <c r="B30" s="2">
        <f>COUNTIFS(交易明細!$B$2:$B$73,$A30)</f>
        <v/>
      </c>
      <c r="C30" s="2">
        <f>COUNTIFS(交易明細!$B$2:$B$73,$A30,交易明細!$C$2:$C$73,"做多")</f>
        <v/>
      </c>
      <c r="D30" s="2">
        <f>COUNTIFS(交易明細!$B$2:$B$73,$A30,交易明細!$C$2:$C$73,"做空")</f>
        <v/>
      </c>
      <c r="E30" s="2">
        <f>F30+G30+COUNTIFS(交易明細!$B$2:$B$73,$A30,交易明細!$J$2:$J$73,"時間出場")</f>
        <v/>
      </c>
      <c r="F30" s="2">
        <f>COUNTIFS(交易明細!$B$2:$B$73,$A30,交易明細!$J$2:$J$73,"止盈")</f>
        <v/>
      </c>
      <c r="G30" s="2">
        <f>COUNTIFS(交易明細!$B$2:$B$73,$A30,交易明細!$J$2:$J$73,"止損")</f>
        <v/>
      </c>
      <c r="H30" s="4">
        <f>IFERROR(F30/E30,0)</f>
        <v/>
      </c>
      <c r="I30" s="4">
        <f>IFERROR(AVERAGEIFS(交易明細!$L$2:$L$73,交易明細!$B$2:$B$73,$A30,交易明細!$J$2:$J$73,"&lt;&gt;未平倉"),0)</f>
        <v/>
      </c>
      <c r="J30" s="4">
        <f>SUMIFS(交易明細!$L$2:$L$73,交易明細!$B$2:$B$73,$A30,交易明細!$J$2:$J$73,"&lt;&gt;未平倉")</f>
        <v/>
      </c>
      <c r="K30" s="5">
        <f>IFERROR(AVERAGEIFS(交易明細!$K$2:$K$73,交易明細!$B$2:$B$73,$A30,交易明細!$J$2:$J$73,"&lt;&gt;未平倉"),0)</f>
        <v/>
      </c>
      <c r="L30" s="2">
        <f>COUNTIFS(交易明細!$B$2:$B$73,$A30,交易明細!$J$2:$J$73,"未平倉")</f>
        <v/>
      </c>
    </row>
    <row r="31">
      <c r="A31" s="2" t="inlineStr">
        <is>
          <t>NMR_USDT_PERP</t>
        </is>
      </c>
      <c r="B31" s="2">
        <f>COUNTIFS(交易明細!$B$2:$B$73,$A31)</f>
        <v/>
      </c>
      <c r="C31" s="2">
        <f>COUNTIFS(交易明細!$B$2:$B$73,$A31,交易明細!$C$2:$C$73,"做多")</f>
        <v/>
      </c>
      <c r="D31" s="2">
        <f>COUNTIFS(交易明細!$B$2:$B$73,$A31,交易明細!$C$2:$C$73,"做空")</f>
        <v/>
      </c>
      <c r="E31" s="2">
        <f>F31+G31+COUNTIFS(交易明細!$B$2:$B$73,$A31,交易明細!$J$2:$J$73,"時間出場")</f>
        <v/>
      </c>
      <c r="F31" s="2">
        <f>COUNTIFS(交易明細!$B$2:$B$73,$A31,交易明細!$J$2:$J$73,"止盈")</f>
        <v/>
      </c>
      <c r="G31" s="2">
        <f>COUNTIFS(交易明細!$B$2:$B$73,$A31,交易明細!$J$2:$J$73,"止損")</f>
        <v/>
      </c>
      <c r="H31" s="4">
        <f>IFERROR(F31/E31,0)</f>
        <v/>
      </c>
      <c r="I31" s="4">
        <f>IFERROR(AVERAGEIFS(交易明細!$L$2:$L$73,交易明細!$B$2:$B$73,$A31,交易明細!$J$2:$J$73,"&lt;&gt;未平倉"),0)</f>
        <v/>
      </c>
      <c r="J31" s="4">
        <f>SUMIFS(交易明細!$L$2:$L$73,交易明細!$B$2:$B$73,$A31,交易明細!$J$2:$J$73,"&lt;&gt;未平倉")</f>
        <v/>
      </c>
      <c r="K31" s="5">
        <f>IFERROR(AVERAGEIFS(交易明細!$K$2:$K$73,交易明細!$B$2:$B$73,$A31,交易明細!$J$2:$J$73,"&lt;&gt;未平倉"),0)</f>
        <v/>
      </c>
      <c r="L31" s="2">
        <f>COUNTIFS(交易明細!$B$2:$B$73,$A31,交易明細!$J$2:$J$73,"未平倉")</f>
        <v/>
      </c>
    </row>
    <row r="32">
      <c r="A32" s="2" t="inlineStr">
        <is>
          <t>PUMP_USDT_PERP</t>
        </is>
      </c>
      <c r="B32" s="2">
        <f>COUNTIFS(交易明細!$B$2:$B$73,$A32)</f>
        <v/>
      </c>
      <c r="C32" s="2">
        <f>COUNTIFS(交易明細!$B$2:$B$73,$A32,交易明細!$C$2:$C$73,"做多")</f>
        <v/>
      </c>
      <c r="D32" s="2">
        <f>COUNTIFS(交易明細!$B$2:$B$73,$A32,交易明細!$C$2:$C$73,"做空")</f>
        <v/>
      </c>
      <c r="E32" s="2">
        <f>F32+G32+COUNTIFS(交易明細!$B$2:$B$73,$A32,交易明細!$J$2:$J$73,"時間出場")</f>
        <v/>
      </c>
      <c r="F32" s="2">
        <f>COUNTIFS(交易明細!$B$2:$B$73,$A32,交易明細!$J$2:$J$73,"止盈")</f>
        <v/>
      </c>
      <c r="G32" s="2">
        <f>COUNTIFS(交易明細!$B$2:$B$73,$A32,交易明細!$J$2:$J$73,"止損")</f>
        <v/>
      </c>
      <c r="H32" s="4">
        <f>IFERROR(F32/E32,0)</f>
        <v/>
      </c>
      <c r="I32" s="4">
        <f>IFERROR(AVERAGEIFS(交易明細!$L$2:$L$73,交易明細!$B$2:$B$73,$A32,交易明細!$J$2:$J$73,"&lt;&gt;未平倉"),0)</f>
        <v/>
      </c>
      <c r="J32" s="4">
        <f>SUMIFS(交易明細!$L$2:$L$73,交易明細!$B$2:$B$73,$A32,交易明細!$J$2:$J$73,"&lt;&gt;未平倉")</f>
        <v/>
      </c>
      <c r="K32" s="5">
        <f>IFERROR(AVERAGEIFS(交易明細!$K$2:$K$73,交易明細!$B$2:$B$73,$A32,交易明細!$J$2:$J$73,"&lt;&gt;未平倉"),0)</f>
        <v/>
      </c>
      <c r="L32" s="2">
        <f>COUNTIFS(交易明細!$B$2:$B$73,$A32,交易明細!$J$2:$J$73,"未平倉")</f>
        <v/>
      </c>
    </row>
    <row r="33">
      <c r="A33" s="2" t="inlineStr">
        <is>
          <t>MEW_USDT_PERP</t>
        </is>
      </c>
      <c r="B33" s="2">
        <f>COUNTIFS(交易明細!$B$2:$B$73,$A33)</f>
        <v/>
      </c>
      <c r="C33" s="2">
        <f>COUNTIFS(交易明細!$B$2:$B$73,$A33,交易明細!$C$2:$C$73,"做多")</f>
        <v/>
      </c>
      <c r="D33" s="2">
        <f>COUNTIFS(交易明細!$B$2:$B$73,$A33,交易明細!$C$2:$C$73,"做空")</f>
        <v/>
      </c>
      <c r="E33" s="2">
        <f>F33+G33+COUNTIFS(交易明細!$B$2:$B$73,$A33,交易明細!$J$2:$J$73,"時間出場")</f>
        <v/>
      </c>
      <c r="F33" s="2">
        <f>COUNTIFS(交易明細!$B$2:$B$73,$A33,交易明細!$J$2:$J$73,"止盈")</f>
        <v/>
      </c>
      <c r="G33" s="2">
        <f>COUNTIFS(交易明細!$B$2:$B$73,$A33,交易明細!$J$2:$J$73,"止損")</f>
        <v/>
      </c>
      <c r="H33" s="4">
        <f>IFERROR(F33/E33,0)</f>
        <v/>
      </c>
      <c r="I33" s="4">
        <f>IFERROR(AVERAGEIFS(交易明細!$L$2:$L$73,交易明細!$B$2:$B$73,$A33,交易明細!$J$2:$J$73,"&lt;&gt;未平倉"),0)</f>
        <v/>
      </c>
      <c r="J33" s="4">
        <f>SUMIFS(交易明細!$L$2:$L$73,交易明細!$B$2:$B$73,$A33,交易明細!$J$2:$J$73,"&lt;&gt;未平倉")</f>
        <v/>
      </c>
      <c r="K33" s="5">
        <f>IFERROR(AVERAGEIFS(交易明細!$K$2:$K$73,交易明細!$B$2:$B$73,$A33,交易明細!$J$2:$J$73,"&lt;&gt;未平倉"),0)</f>
        <v/>
      </c>
      <c r="L33" s="2">
        <f>COUNTIFS(交易明細!$B$2:$B$73,$A33,交易明細!$J$2:$J$73,"未平倉")</f>
        <v/>
      </c>
    </row>
    <row r="34">
      <c r="A34" s="2" t="inlineStr">
        <is>
          <t>AKE_USDT_PERP</t>
        </is>
      </c>
      <c r="B34" s="2">
        <f>COUNTIFS(交易明細!$B$2:$B$73,$A34)</f>
        <v/>
      </c>
      <c r="C34" s="2">
        <f>COUNTIFS(交易明細!$B$2:$B$73,$A34,交易明細!$C$2:$C$73,"做多")</f>
        <v/>
      </c>
      <c r="D34" s="2">
        <f>COUNTIFS(交易明細!$B$2:$B$73,$A34,交易明細!$C$2:$C$73,"做空")</f>
        <v/>
      </c>
      <c r="E34" s="2">
        <f>F34+G34+COUNTIFS(交易明細!$B$2:$B$73,$A34,交易明細!$J$2:$J$73,"時間出場")</f>
        <v/>
      </c>
      <c r="F34" s="2">
        <f>COUNTIFS(交易明細!$B$2:$B$73,$A34,交易明細!$J$2:$J$73,"止盈")</f>
        <v/>
      </c>
      <c r="G34" s="2">
        <f>COUNTIFS(交易明細!$B$2:$B$73,$A34,交易明細!$J$2:$J$73,"止損")</f>
        <v/>
      </c>
      <c r="H34" s="4">
        <f>IFERROR(F34/E34,0)</f>
        <v/>
      </c>
      <c r="I34" s="4">
        <f>IFERROR(AVERAGEIFS(交易明細!$L$2:$L$73,交易明細!$B$2:$B$73,$A34,交易明細!$J$2:$J$73,"&lt;&gt;未平倉"),0)</f>
        <v/>
      </c>
      <c r="J34" s="4">
        <f>SUMIFS(交易明細!$L$2:$L$73,交易明細!$B$2:$B$73,$A34,交易明細!$J$2:$J$73,"&lt;&gt;未平倉")</f>
        <v/>
      </c>
      <c r="K34" s="5">
        <f>IFERROR(AVERAGEIFS(交易明細!$K$2:$K$73,交易明細!$B$2:$B$73,$A34,交易明細!$J$2:$J$73,"&lt;&gt;未平倉"),0)</f>
        <v/>
      </c>
      <c r="L34" s="2">
        <f>COUNTIFS(交易明細!$B$2:$B$73,$A34,交易明細!$J$2:$J$73,"未平倉")</f>
        <v/>
      </c>
    </row>
    <row r="35">
      <c r="A35" s="2" t="inlineStr">
        <is>
          <t>USELESS_USDT_PERP</t>
        </is>
      </c>
      <c r="B35" s="2">
        <f>COUNTIFS(交易明細!$B$2:$B$73,$A35)</f>
        <v/>
      </c>
      <c r="C35" s="2">
        <f>COUNTIFS(交易明細!$B$2:$B$73,$A35,交易明細!$C$2:$C$73,"做多")</f>
        <v/>
      </c>
      <c r="D35" s="2">
        <f>COUNTIFS(交易明細!$B$2:$B$73,$A35,交易明細!$C$2:$C$73,"做空")</f>
        <v/>
      </c>
      <c r="E35" s="2">
        <f>F35+G35+COUNTIFS(交易明細!$B$2:$B$73,$A35,交易明細!$J$2:$J$73,"時間出場")</f>
        <v/>
      </c>
      <c r="F35" s="2">
        <f>COUNTIFS(交易明細!$B$2:$B$73,$A35,交易明細!$J$2:$J$73,"止盈")</f>
        <v/>
      </c>
      <c r="G35" s="2">
        <f>COUNTIFS(交易明細!$B$2:$B$73,$A35,交易明細!$J$2:$J$73,"止損")</f>
        <v/>
      </c>
      <c r="H35" s="4">
        <f>IFERROR(F35/E35,0)</f>
        <v/>
      </c>
      <c r="I35" s="4">
        <f>IFERROR(AVERAGEIFS(交易明細!$L$2:$L$73,交易明細!$B$2:$B$73,$A35,交易明細!$J$2:$J$73,"&lt;&gt;未平倉"),0)</f>
        <v/>
      </c>
      <c r="J35" s="4">
        <f>SUMIFS(交易明細!$L$2:$L$73,交易明細!$B$2:$B$73,$A35,交易明細!$J$2:$J$73,"&lt;&gt;未平倉")</f>
        <v/>
      </c>
      <c r="K35" s="5">
        <f>IFERROR(AVERAGEIFS(交易明細!$K$2:$K$73,交易明細!$B$2:$B$73,$A35,交易明細!$J$2:$J$73,"&lt;&gt;未平倉"),0)</f>
        <v/>
      </c>
      <c r="L35" s="2">
        <f>COUNTIFS(交易明細!$B$2:$B$73,$A35,交易明細!$J$2:$J$73,"未平倉")</f>
        <v/>
      </c>
    </row>
    <row r="36">
      <c r="A36" s="2" t="inlineStr">
        <is>
          <t>MEGA_USDT_PERP</t>
        </is>
      </c>
      <c r="B36" s="2">
        <f>COUNTIFS(交易明細!$B$2:$B$73,$A36)</f>
        <v/>
      </c>
      <c r="C36" s="2">
        <f>COUNTIFS(交易明細!$B$2:$B$73,$A36,交易明細!$C$2:$C$73,"做多")</f>
        <v/>
      </c>
      <c r="D36" s="2">
        <f>COUNTIFS(交易明細!$B$2:$B$73,$A36,交易明細!$C$2:$C$73,"做空")</f>
        <v/>
      </c>
      <c r="E36" s="2">
        <f>F36+G36+COUNTIFS(交易明細!$B$2:$B$73,$A36,交易明細!$J$2:$J$73,"時間出場")</f>
        <v/>
      </c>
      <c r="F36" s="2">
        <f>COUNTIFS(交易明細!$B$2:$B$73,$A36,交易明細!$J$2:$J$73,"止盈")</f>
        <v/>
      </c>
      <c r="G36" s="2">
        <f>COUNTIFS(交易明細!$B$2:$B$73,$A36,交易明細!$J$2:$J$73,"止損")</f>
        <v/>
      </c>
      <c r="H36" s="4">
        <f>IFERROR(F36/E36,0)</f>
        <v/>
      </c>
      <c r="I36" s="4">
        <f>IFERROR(AVERAGEIFS(交易明細!$L$2:$L$73,交易明細!$B$2:$B$73,$A36,交易明細!$J$2:$J$73,"&lt;&gt;未平倉"),0)</f>
        <v/>
      </c>
      <c r="J36" s="4">
        <f>SUMIFS(交易明細!$L$2:$L$73,交易明細!$B$2:$B$73,$A36,交易明細!$J$2:$J$73,"&lt;&gt;未平倉")</f>
        <v/>
      </c>
      <c r="K36" s="5">
        <f>IFERROR(AVERAGEIFS(交易明細!$K$2:$K$73,交易明細!$B$2:$B$73,$A36,交易明細!$J$2:$J$73,"&lt;&gt;未平倉"),0)</f>
        <v/>
      </c>
      <c r="L36" s="2">
        <f>COUNTIFS(交易明細!$B$2:$B$73,$A36,交易明細!$J$2:$J$73,"未平倉")</f>
        <v/>
      </c>
    </row>
    <row r="37">
      <c r="A37" s="2" t="inlineStr">
        <is>
          <t>NIGHT_USDT_PERP</t>
        </is>
      </c>
      <c r="B37" s="2">
        <f>COUNTIFS(交易明細!$B$2:$B$73,$A37)</f>
        <v/>
      </c>
      <c r="C37" s="2">
        <f>COUNTIFS(交易明細!$B$2:$B$73,$A37,交易明細!$C$2:$C$73,"做多")</f>
        <v/>
      </c>
      <c r="D37" s="2">
        <f>COUNTIFS(交易明細!$B$2:$B$73,$A37,交易明細!$C$2:$C$73,"做空")</f>
        <v/>
      </c>
      <c r="E37" s="2">
        <f>F37+G37+COUNTIFS(交易明細!$B$2:$B$73,$A37,交易明細!$J$2:$J$73,"時間出場")</f>
        <v/>
      </c>
      <c r="F37" s="2">
        <f>COUNTIFS(交易明細!$B$2:$B$73,$A37,交易明細!$J$2:$J$73,"止盈")</f>
        <v/>
      </c>
      <c r="G37" s="2">
        <f>COUNTIFS(交易明細!$B$2:$B$73,$A37,交易明細!$J$2:$J$73,"止損")</f>
        <v/>
      </c>
      <c r="H37" s="4">
        <f>IFERROR(F37/E37,0)</f>
        <v/>
      </c>
      <c r="I37" s="4">
        <f>IFERROR(AVERAGEIFS(交易明細!$L$2:$L$73,交易明細!$B$2:$B$73,$A37,交易明細!$J$2:$J$73,"&lt;&gt;未平倉"),0)</f>
        <v/>
      </c>
      <c r="J37" s="4">
        <f>SUMIFS(交易明細!$L$2:$L$73,交易明細!$B$2:$B$73,$A37,交易明細!$J$2:$J$73,"&lt;&gt;未平倉")</f>
        <v/>
      </c>
      <c r="K37" s="5">
        <f>IFERROR(AVERAGEIFS(交易明細!$K$2:$K$73,交易明細!$B$2:$B$73,$A37,交易明細!$J$2:$J$73,"&lt;&gt;未平倉"),0)</f>
        <v/>
      </c>
      <c r="L37" s="2">
        <f>COUNTIFS(交易明細!$B$2:$B$73,$A37,交易明細!$J$2:$J$73,"未平倉")</f>
        <v/>
      </c>
    </row>
    <row r="38">
      <c r="A38" s="2" t="inlineStr">
        <is>
          <t>POWER_USDT_PERP</t>
        </is>
      </c>
      <c r="B38" s="2">
        <f>COUNTIFS(交易明細!$B$2:$B$73,$A38)</f>
        <v/>
      </c>
      <c r="C38" s="2">
        <f>COUNTIFS(交易明細!$B$2:$B$73,$A38,交易明細!$C$2:$C$73,"做多")</f>
        <v/>
      </c>
      <c r="D38" s="2">
        <f>COUNTIFS(交易明細!$B$2:$B$73,$A38,交易明細!$C$2:$C$73,"做空")</f>
        <v/>
      </c>
      <c r="E38" s="2">
        <f>F38+G38+COUNTIFS(交易明細!$B$2:$B$73,$A38,交易明細!$J$2:$J$73,"時間出場")</f>
        <v/>
      </c>
      <c r="F38" s="2">
        <f>COUNTIFS(交易明細!$B$2:$B$73,$A38,交易明細!$J$2:$J$73,"止盈")</f>
        <v/>
      </c>
      <c r="G38" s="2">
        <f>COUNTIFS(交易明細!$B$2:$B$73,$A38,交易明細!$J$2:$J$73,"止損")</f>
        <v/>
      </c>
      <c r="H38" s="4">
        <f>IFERROR(F38/E38,0)</f>
        <v/>
      </c>
      <c r="I38" s="4">
        <f>IFERROR(AVERAGEIFS(交易明細!$L$2:$L$73,交易明細!$B$2:$B$73,$A38,交易明細!$J$2:$J$73,"&lt;&gt;未平倉"),0)</f>
        <v/>
      </c>
      <c r="J38" s="4">
        <f>SUMIFS(交易明細!$L$2:$L$73,交易明細!$B$2:$B$73,$A38,交易明細!$J$2:$J$73,"&lt;&gt;未平倉")</f>
        <v/>
      </c>
      <c r="K38" s="5">
        <f>IFERROR(AVERAGEIFS(交易明細!$K$2:$K$73,交易明細!$B$2:$B$73,$A38,交易明細!$J$2:$J$73,"&lt;&gt;未平倉"),0)</f>
        <v/>
      </c>
      <c r="L38" s="2">
        <f>COUNTIFS(交易明細!$B$2:$B$73,$A38,交易明細!$J$2:$J$73,"未平倉")</f>
        <v/>
      </c>
    </row>
    <row r="39">
      <c r="A39" s="2" t="inlineStr">
        <is>
          <t>SAND_USDT_PERP</t>
        </is>
      </c>
      <c r="B39" s="2">
        <f>COUNTIFS(交易明細!$B$2:$B$73,$A39)</f>
        <v/>
      </c>
      <c r="C39" s="2">
        <f>COUNTIFS(交易明細!$B$2:$B$73,$A39,交易明細!$C$2:$C$73,"做多")</f>
        <v/>
      </c>
      <c r="D39" s="2">
        <f>COUNTIFS(交易明細!$B$2:$B$73,$A39,交易明細!$C$2:$C$73,"做空")</f>
        <v/>
      </c>
      <c r="E39" s="2">
        <f>F39+G39+COUNTIFS(交易明細!$B$2:$B$73,$A39,交易明細!$J$2:$J$73,"時間出場")</f>
        <v/>
      </c>
      <c r="F39" s="2">
        <f>COUNTIFS(交易明細!$B$2:$B$73,$A39,交易明細!$J$2:$J$73,"止盈")</f>
        <v/>
      </c>
      <c r="G39" s="2">
        <f>COUNTIFS(交易明細!$B$2:$B$73,$A39,交易明細!$J$2:$J$73,"止損")</f>
        <v/>
      </c>
      <c r="H39" s="4">
        <f>IFERROR(F39/E39,0)</f>
        <v/>
      </c>
      <c r="I39" s="4">
        <f>IFERROR(AVERAGEIFS(交易明細!$L$2:$L$73,交易明細!$B$2:$B$73,$A39,交易明細!$J$2:$J$73,"&lt;&gt;未平倉"),0)</f>
        <v/>
      </c>
      <c r="J39" s="4">
        <f>SUMIFS(交易明細!$L$2:$L$73,交易明細!$B$2:$B$73,$A39,交易明細!$J$2:$J$73,"&lt;&gt;未平倉")</f>
        <v/>
      </c>
      <c r="K39" s="5">
        <f>IFERROR(AVERAGEIFS(交易明細!$K$2:$K$73,交易明細!$B$2:$B$73,$A39,交易明細!$J$2:$J$73,"&lt;&gt;未平倉"),0)</f>
        <v/>
      </c>
      <c r="L39" s="2">
        <f>COUNTIFS(交易明細!$B$2:$B$73,$A39,交易明細!$J$2:$J$73,"未平倉")</f>
        <v/>
      </c>
    </row>
    <row r="40">
      <c r="A40" s="2" t="inlineStr">
        <is>
          <t>TAKE_USDT_PERP</t>
        </is>
      </c>
      <c r="B40" s="2">
        <f>COUNTIFS(交易明細!$B$2:$B$73,$A40)</f>
        <v/>
      </c>
      <c r="C40" s="2">
        <f>COUNTIFS(交易明細!$B$2:$B$73,$A40,交易明細!$C$2:$C$73,"做多")</f>
        <v/>
      </c>
      <c r="D40" s="2">
        <f>COUNTIFS(交易明細!$B$2:$B$73,$A40,交易明細!$C$2:$C$73,"做空")</f>
        <v/>
      </c>
      <c r="E40" s="2">
        <f>F40+G40+COUNTIFS(交易明細!$B$2:$B$73,$A40,交易明細!$J$2:$J$73,"時間出場")</f>
        <v/>
      </c>
      <c r="F40" s="2">
        <f>COUNTIFS(交易明細!$B$2:$B$73,$A40,交易明細!$J$2:$J$73,"止盈")</f>
        <v/>
      </c>
      <c r="G40" s="2">
        <f>COUNTIFS(交易明細!$B$2:$B$73,$A40,交易明細!$J$2:$J$73,"止損")</f>
        <v/>
      </c>
      <c r="H40" s="4">
        <f>IFERROR(F40/E40,0)</f>
        <v/>
      </c>
      <c r="I40" s="4">
        <f>IFERROR(AVERAGEIFS(交易明細!$L$2:$L$73,交易明細!$B$2:$B$73,$A40,交易明細!$J$2:$J$73,"&lt;&gt;未平倉"),0)</f>
        <v/>
      </c>
      <c r="J40" s="4">
        <f>SUMIFS(交易明細!$L$2:$L$73,交易明細!$B$2:$B$73,$A40,交易明細!$J$2:$J$73,"&lt;&gt;未平倉")</f>
        <v/>
      </c>
      <c r="K40" s="5">
        <f>IFERROR(AVERAGEIFS(交易明細!$K$2:$K$73,交易明細!$B$2:$B$73,$A40,交易明細!$J$2:$J$73,"&lt;&gt;未平倉"),0)</f>
        <v/>
      </c>
      <c r="L40" s="2">
        <f>COUNTIFS(交易明細!$B$2:$B$73,$A40,交易明細!$J$2:$J$73,"未平倉")</f>
        <v/>
      </c>
    </row>
    <row r="41">
      <c r="A41" s="2" t="inlineStr">
        <is>
          <t>AIO_USDT_PERP</t>
        </is>
      </c>
      <c r="B41" s="2">
        <f>COUNTIFS(交易明細!$B$2:$B$73,$A41)</f>
        <v/>
      </c>
      <c r="C41" s="2">
        <f>COUNTIFS(交易明細!$B$2:$B$73,$A41,交易明細!$C$2:$C$73,"做多")</f>
        <v/>
      </c>
      <c r="D41" s="2">
        <f>COUNTIFS(交易明細!$B$2:$B$73,$A41,交易明細!$C$2:$C$73,"做空")</f>
        <v/>
      </c>
      <c r="E41" s="2">
        <f>F41+G41+COUNTIFS(交易明細!$B$2:$B$73,$A41,交易明細!$J$2:$J$73,"時間出場")</f>
        <v/>
      </c>
      <c r="F41" s="2">
        <f>COUNTIFS(交易明細!$B$2:$B$73,$A41,交易明細!$J$2:$J$73,"止盈")</f>
        <v/>
      </c>
      <c r="G41" s="2">
        <f>COUNTIFS(交易明細!$B$2:$B$73,$A41,交易明細!$J$2:$J$73,"止損")</f>
        <v/>
      </c>
      <c r="H41" s="4">
        <f>IFERROR(F41/E41,0)</f>
        <v/>
      </c>
      <c r="I41" s="4">
        <f>IFERROR(AVERAGEIFS(交易明細!$L$2:$L$73,交易明細!$B$2:$B$73,$A41,交易明細!$J$2:$J$73,"&lt;&gt;未平倉"),0)</f>
        <v/>
      </c>
      <c r="J41" s="4">
        <f>SUMIFS(交易明細!$L$2:$L$73,交易明細!$B$2:$B$73,$A41,交易明細!$J$2:$J$73,"&lt;&gt;未平倉")</f>
        <v/>
      </c>
      <c r="K41" s="5">
        <f>IFERROR(AVERAGEIFS(交易明細!$K$2:$K$73,交易明細!$B$2:$B$73,$A41,交易明細!$J$2:$J$73,"&lt;&gt;未平倉"),0)</f>
        <v/>
      </c>
      <c r="L41" s="2">
        <f>COUNTIFS(交易明細!$B$2:$B$73,$A41,交易明細!$J$2:$J$73,"未平倉")</f>
        <v/>
      </c>
    </row>
    <row r="42">
      <c r="A42" s="2" t="inlineStr">
        <is>
          <t>ESP_USDT_PERP</t>
        </is>
      </c>
      <c r="B42" s="2">
        <f>COUNTIFS(交易明細!$B$2:$B$73,$A42)</f>
        <v/>
      </c>
      <c r="C42" s="2">
        <f>COUNTIFS(交易明細!$B$2:$B$73,$A42,交易明細!$C$2:$C$73,"做多")</f>
        <v/>
      </c>
      <c r="D42" s="2">
        <f>COUNTIFS(交易明細!$B$2:$B$73,$A42,交易明細!$C$2:$C$73,"做空")</f>
        <v/>
      </c>
      <c r="E42" s="2">
        <f>F42+G42+COUNTIFS(交易明細!$B$2:$B$73,$A42,交易明細!$J$2:$J$73,"時間出場")</f>
        <v/>
      </c>
      <c r="F42" s="2">
        <f>COUNTIFS(交易明細!$B$2:$B$73,$A42,交易明細!$J$2:$J$73,"止盈")</f>
        <v/>
      </c>
      <c r="G42" s="2">
        <f>COUNTIFS(交易明細!$B$2:$B$73,$A42,交易明細!$J$2:$J$73,"止損")</f>
        <v/>
      </c>
      <c r="H42" s="4">
        <f>IFERROR(F42/E42,0)</f>
        <v/>
      </c>
      <c r="I42" s="4">
        <f>IFERROR(AVERAGEIFS(交易明細!$L$2:$L$73,交易明細!$B$2:$B$73,$A42,交易明細!$J$2:$J$73,"&lt;&gt;未平倉"),0)</f>
        <v/>
      </c>
      <c r="J42" s="4">
        <f>SUMIFS(交易明細!$L$2:$L$73,交易明細!$B$2:$B$73,$A42,交易明細!$J$2:$J$73,"&lt;&gt;未平倉")</f>
        <v/>
      </c>
      <c r="K42" s="5">
        <f>IFERROR(AVERAGEIFS(交易明細!$K$2:$K$73,交易明細!$B$2:$B$73,$A42,交易明細!$J$2:$J$73,"&lt;&gt;未平倉"),0)</f>
        <v/>
      </c>
      <c r="L42" s="2">
        <f>COUNTIFS(交易明細!$B$2:$B$73,$A42,交易明細!$J$2:$J$73,"未平倉")</f>
        <v/>
      </c>
    </row>
    <row r="43">
      <c r="A43" s="2" t="inlineStr">
        <is>
          <t>BAT_USDT_PERP</t>
        </is>
      </c>
      <c r="B43" s="2">
        <f>COUNTIFS(交易明細!$B$2:$B$73,$A43)</f>
        <v/>
      </c>
      <c r="C43" s="2">
        <f>COUNTIFS(交易明細!$B$2:$B$73,$A43,交易明細!$C$2:$C$73,"做多")</f>
        <v/>
      </c>
      <c r="D43" s="2">
        <f>COUNTIFS(交易明細!$B$2:$B$73,$A43,交易明細!$C$2:$C$73,"做空")</f>
        <v/>
      </c>
      <c r="E43" s="2">
        <f>F43+G43+COUNTIFS(交易明細!$B$2:$B$73,$A43,交易明細!$J$2:$J$73,"時間出場")</f>
        <v/>
      </c>
      <c r="F43" s="2">
        <f>COUNTIFS(交易明細!$B$2:$B$73,$A43,交易明細!$J$2:$J$73,"止盈")</f>
        <v/>
      </c>
      <c r="G43" s="2">
        <f>COUNTIFS(交易明細!$B$2:$B$73,$A43,交易明細!$J$2:$J$73,"止損")</f>
        <v/>
      </c>
      <c r="H43" s="4">
        <f>IFERROR(F43/E43,0)</f>
        <v/>
      </c>
      <c r="I43" s="4">
        <f>IFERROR(AVERAGEIFS(交易明細!$L$2:$L$73,交易明細!$B$2:$B$73,$A43,交易明細!$J$2:$J$73,"&lt;&gt;未平倉"),0)</f>
        <v/>
      </c>
      <c r="J43" s="4">
        <f>SUMIFS(交易明細!$L$2:$L$73,交易明細!$B$2:$B$73,$A43,交易明細!$J$2:$J$73,"&lt;&gt;未平倉")</f>
        <v/>
      </c>
      <c r="K43" s="5">
        <f>IFERROR(AVERAGEIFS(交易明細!$K$2:$K$73,交易明細!$B$2:$B$73,$A43,交易明細!$J$2:$J$73,"&lt;&gt;未平倉"),0)</f>
        <v/>
      </c>
      <c r="L43" s="2">
        <f>COUNTIFS(交易明細!$B$2:$B$73,$A43,交易明細!$J$2:$J$73,"未平倉")</f>
        <v/>
      </c>
    </row>
    <row r="44">
      <c r="A44" s="2" t="inlineStr">
        <is>
          <t>PONS_USDT_PERP</t>
        </is>
      </c>
      <c r="B44" s="2">
        <f>COUNTIFS(交易明細!$B$2:$B$73,$A44)</f>
        <v/>
      </c>
      <c r="C44" s="2">
        <f>COUNTIFS(交易明細!$B$2:$B$73,$A44,交易明細!$C$2:$C$73,"做多")</f>
        <v/>
      </c>
      <c r="D44" s="2">
        <f>COUNTIFS(交易明細!$B$2:$B$73,$A44,交易明細!$C$2:$C$73,"做空")</f>
        <v/>
      </c>
      <c r="E44" s="2">
        <f>F44+G44+COUNTIFS(交易明細!$B$2:$B$73,$A44,交易明細!$J$2:$J$73,"時間出場")</f>
        <v/>
      </c>
      <c r="F44" s="2">
        <f>COUNTIFS(交易明細!$B$2:$B$73,$A44,交易明細!$J$2:$J$73,"止盈")</f>
        <v/>
      </c>
      <c r="G44" s="2">
        <f>COUNTIFS(交易明細!$B$2:$B$73,$A44,交易明細!$J$2:$J$73,"止損")</f>
        <v/>
      </c>
      <c r="H44" s="4">
        <f>IFERROR(F44/E44,0)</f>
        <v/>
      </c>
      <c r="I44" s="4">
        <f>IFERROR(AVERAGEIFS(交易明細!$L$2:$L$73,交易明細!$B$2:$B$73,$A44,交易明細!$J$2:$J$73,"&lt;&gt;未平倉"),0)</f>
        <v/>
      </c>
      <c r="J44" s="4">
        <f>SUMIFS(交易明細!$L$2:$L$73,交易明細!$B$2:$B$73,$A44,交易明細!$J$2:$J$73,"&lt;&gt;未平倉")</f>
        <v/>
      </c>
      <c r="K44" s="5">
        <f>IFERROR(AVERAGEIFS(交易明細!$K$2:$K$73,交易明細!$B$2:$B$73,$A44,交易明細!$J$2:$J$73,"&lt;&gt;未平倉"),0)</f>
        <v/>
      </c>
      <c r="L44" s="2">
        <f>COUNTIFS(交易明細!$B$2:$B$73,$A44,交易明細!$J$2:$J$73,"未平倉")</f>
        <v/>
      </c>
    </row>
    <row r="45">
      <c r="A45" s="2" t="inlineStr">
        <is>
          <t>COLLECT_USDT_PERP</t>
        </is>
      </c>
      <c r="B45" s="2">
        <f>COUNTIFS(交易明細!$B$2:$B$73,$A45)</f>
        <v/>
      </c>
      <c r="C45" s="2">
        <f>COUNTIFS(交易明細!$B$2:$B$73,$A45,交易明細!$C$2:$C$73,"做多")</f>
        <v/>
      </c>
      <c r="D45" s="2">
        <f>COUNTIFS(交易明細!$B$2:$B$73,$A45,交易明細!$C$2:$C$73,"做空")</f>
        <v/>
      </c>
      <c r="E45" s="2">
        <f>F45+G45+COUNTIFS(交易明細!$B$2:$B$73,$A45,交易明細!$J$2:$J$73,"時間出場")</f>
        <v/>
      </c>
      <c r="F45" s="2">
        <f>COUNTIFS(交易明細!$B$2:$B$73,$A45,交易明細!$J$2:$J$73,"止盈")</f>
        <v/>
      </c>
      <c r="G45" s="2">
        <f>COUNTIFS(交易明細!$B$2:$B$73,$A45,交易明細!$J$2:$J$73,"止損")</f>
        <v/>
      </c>
      <c r="H45" s="4">
        <f>IFERROR(F45/E45,0)</f>
        <v/>
      </c>
      <c r="I45" s="4">
        <f>IFERROR(AVERAGEIFS(交易明細!$L$2:$L$73,交易明細!$B$2:$B$73,$A45,交易明細!$J$2:$J$73,"&lt;&gt;未平倉"),0)</f>
        <v/>
      </c>
      <c r="J45" s="4">
        <f>SUMIFS(交易明細!$L$2:$L$73,交易明細!$B$2:$B$73,$A45,交易明細!$J$2:$J$73,"&lt;&gt;未平倉")</f>
        <v/>
      </c>
      <c r="K45" s="5">
        <f>IFERROR(AVERAGEIFS(交易明細!$K$2:$K$73,交易明細!$B$2:$B$73,$A45,交易明細!$J$2:$J$73,"&lt;&gt;未平倉"),0)</f>
        <v/>
      </c>
      <c r="L45" s="2">
        <f>COUNTIFS(交易明細!$B$2:$B$73,$A45,交易明細!$J$2:$J$73,"未平倉")</f>
        <v/>
      </c>
    </row>
    <row r="46">
      <c r="A46" s="2" t="inlineStr">
        <is>
          <t>API3_USDT_PERP</t>
        </is>
      </c>
      <c r="B46" s="2">
        <f>COUNTIFS(交易明細!$B$2:$B$73,$A46)</f>
        <v/>
      </c>
      <c r="C46" s="2">
        <f>COUNTIFS(交易明細!$B$2:$B$73,$A46,交易明細!$C$2:$C$73,"做多")</f>
        <v/>
      </c>
      <c r="D46" s="2">
        <f>COUNTIFS(交易明細!$B$2:$B$73,$A46,交易明細!$C$2:$C$73,"做空")</f>
        <v/>
      </c>
      <c r="E46" s="2">
        <f>F46+G46+COUNTIFS(交易明細!$B$2:$B$73,$A46,交易明細!$J$2:$J$73,"時間出場")</f>
        <v/>
      </c>
      <c r="F46" s="2">
        <f>COUNTIFS(交易明細!$B$2:$B$73,$A46,交易明細!$J$2:$J$73,"止盈")</f>
        <v/>
      </c>
      <c r="G46" s="2">
        <f>COUNTIFS(交易明細!$B$2:$B$73,$A46,交易明細!$J$2:$J$73,"止損")</f>
        <v/>
      </c>
      <c r="H46" s="4">
        <f>IFERROR(F46/E46,0)</f>
        <v/>
      </c>
      <c r="I46" s="4">
        <f>IFERROR(AVERAGEIFS(交易明細!$L$2:$L$73,交易明細!$B$2:$B$73,$A46,交易明細!$J$2:$J$73,"&lt;&gt;未平倉"),0)</f>
        <v/>
      </c>
      <c r="J46" s="4">
        <f>SUMIFS(交易明細!$L$2:$L$73,交易明細!$B$2:$B$73,$A46,交易明細!$J$2:$J$73,"&lt;&gt;未平倉")</f>
        <v/>
      </c>
      <c r="K46" s="5">
        <f>IFERROR(AVERAGEIFS(交易明細!$K$2:$K$73,交易明細!$B$2:$B$73,$A46,交易明細!$J$2:$J$73,"&lt;&gt;未平倉"),0)</f>
        <v/>
      </c>
      <c r="L46" s="2">
        <f>COUNTIFS(交易明細!$B$2:$B$73,$A46,交易明細!$J$2:$J$73,"未平倉")</f>
        <v/>
      </c>
    </row>
    <row r="47">
      <c r="A47" s="2" t="inlineStr">
        <is>
          <t>BULLA_USDT_PERP</t>
        </is>
      </c>
      <c r="B47" s="2">
        <f>COUNTIFS(交易明細!$B$2:$B$73,$A47)</f>
        <v/>
      </c>
      <c r="C47" s="2">
        <f>COUNTIFS(交易明細!$B$2:$B$73,$A47,交易明細!$C$2:$C$73,"做多")</f>
        <v/>
      </c>
      <c r="D47" s="2">
        <f>COUNTIFS(交易明細!$B$2:$B$73,$A47,交易明細!$C$2:$C$73,"做空")</f>
        <v/>
      </c>
      <c r="E47" s="2">
        <f>F47+G47+COUNTIFS(交易明細!$B$2:$B$73,$A47,交易明細!$J$2:$J$73,"時間出場")</f>
        <v/>
      </c>
      <c r="F47" s="2">
        <f>COUNTIFS(交易明細!$B$2:$B$73,$A47,交易明細!$J$2:$J$73,"止盈")</f>
        <v/>
      </c>
      <c r="G47" s="2">
        <f>COUNTIFS(交易明細!$B$2:$B$73,$A47,交易明細!$J$2:$J$73,"止損")</f>
        <v/>
      </c>
      <c r="H47" s="4">
        <f>IFERROR(F47/E47,0)</f>
        <v/>
      </c>
      <c r="I47" s="4">
        <f>IFERROR(AVERAGEIFS(交易明細!$L$2:$L$73,交易明細!$B$2:$B$73,$A47,交易明細!$J$2:$J$73,"&lt;&gt;未平倉"),0)</f>
        <v/>
      </c>
      <c r="J47" s="4">
        <f>SUMIFS(交易明細!$L$2:$L$73,交易明細!$B$2:$B$73,$A47,交易明細!$J$2:$J$73,"&lt;&gt;未平倉")</f>
        <v/>
      </c>
      <c r="K47" s="5">
        <f>IFERROR(AVERAGEIFS(交易明細!$K$2:$K$73,交易明細!$B$2:$B$73,$A47,交易明細!$J$2:$J$73,"&lt;&gt;未平倉"),0)</f>
        <v/>
      </c>
      <c r="L47" s="2">
        <f>COUNTIFS(交易明細!$B$2:$B$73,$A47,交易明細!$J$2:$J$73,"未平倉")</f>
        <v/>
      </c>
    </row>
    <row r="48">
      <c r="A48" s="2" t="inlineStr">
        <is>
          <t>MAGIC_USDT_PERP</t>
        </is>
      </c>
      <c r="B48" s="2">
        <f>COUNTIFS(交易明細!$B$2:$B$73,$A48)</f>
        <v/>
      </c>
      <c r="C48" s="2">
        <f>COUNTIFS(交易明細!$B$2:$B$73,$A48,交易明細!$C$2:$C$73,"做多")</f>
        <v/>
      </c>
      <c r="D48" s="2">
        <f>COUNTIFS(交易明細!$B$2:$B$73,$A48,交易明細!$C$2:$C$73,"做空")</f>
        <v/>
      </c>
      <c r="E48" s="2">
        <f>F48+G48+COUNTIFS(交易明細!$B$2:$B$73,$A48,交易明細!$J$2:$J$73,"時間出場")</f>
        <v/>
      </c>
      <c r="F48" s="2">
        <f>COUNTIFS(交易明細!$B$2:$B$73,$A48,交易明細!$J$2:$J$73,"止盈")</f>
        <v/>
      </c>
      <c r="G48" s="2">
        <f>COUNTIFS(交易明細!$B$2:$B$73,$A48,交易明細!$J$2:$J$73,"止損")</f>
        <v/>
      </c>
      <c r="H48" s="4">
        <f>IFERROR(F48/E48,0)</f>
        <v/>
      </c>
      <c r="I48" s="4">
        <f>IFERROR(AVERAGEIFS(交易明細!$L$2:$L$73,交易明細!$B$2:$B$73,$A48,交易明細!$J$2:$J$73,"&lt;&gt;未平倉"),0)</f>
        <v/>
      </c>
      <c r="J48" s="4">
        <f>SUMIFS(交易明細!$L$2:$L$73,交易明細!$B$2:$B$73,$A48,交易明細!$J$2:$J$73,"&lt;&gt;未平倉")</f>
        <v/>
      </c>
      <c r="K48" s="5">
        <f>IFERROR(AVERAGEIFS(交易明細!$K$2:$K$73,交易明細!$B$2:$B$73,$A48,交易明細!$J$2:$J$73,"&lt;&gt;未平倉"),0)</f>
        <v/>
      </c>
      <c r="L48" s="2">
        <f>COUNTIFS(交易明細!$B$2:$B$73,$A48,交易明細!$J$2:$J$73,"未平倉")</f>
        <v/>
      </c>
    </row>
  </sheetData>
  <autoFilter ref="A1:L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17" t="n"/>
      <c r="F2" s="17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17" t="n"/>
      <c r="F3" s="17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17" t="n"/>
      <c r="F4" s="17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17" t="n"/>
      <c r="F5" s="17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17" t="n"/>
      <c r="F6" s="17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17" t="n"/>
      <c r="F7" s="17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17" t="n"/>
      <c r="F8" s="17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17" t="n"/>
      <c r="F9" s="17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17" t="n"/>
      <c r="F10" s="17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17" t="n"/>
      <c r="F11" s="17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17" t="n"/>
      <c r="F12" s="17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17" t="n"/>
      <c r="F13" s="17" t="n"/>
      <c r="G13" s="2" t="n"/>
      <c r="H13" s="2" t="n"/>
    </row>
    <row r="14">
      <c r="A14" s="2" t="inlineStr">
        <is>
          <t>AGT_USDT_PERP</t>
        </is>
      </c>
      <c r="B14" s="2" t="inlineStr">
        <is>
          <t>已掃描</t>
        </is>
      </c>
      <c r="C14" s="2" t="inlineStr"/>
      <c r="D14" s="2" t="n"/>
      <c r="E14" s="17" t="n"/>
      <c r="F14" s="17" t="n"/>
      <c r="G14" s="2" t="n"/>
      <c r="H14" s="2" t="n"/>
    </row>
    <row r="15">
      <c r="A15" s="2" t="inlineStr">
        <is>
          <t>AIA_USDT_PERP</t>
        </is>
      </c>
      <c r="B15" s="2" t="inlineStr">
        <is>
          <t>已掃描</t>
        </is>
      </c>
      <c r="C15" s="2" t="inlineStr"/>
      <c r="D15" s="2" t="n"/>
      <c r="E15" s="17" t="n"/>
      <c r="F15" s="17" t="n"/>
      <c r="G15" s="2" t="n"/>
      <c r="H15" s="2" t="n"/>
    </row>
    <row r="16">
      <c r="A16" s="2" t="inlineStr">
        <is>
          <t>AIGENSYN_USDT_PERP</t>
        </is>
      </c>
      <c r="B16" s="2" t="inlineStr">
        <is>
          <t>已掃描</t>
        </is>
      </c>
      <c r="C16" s="2" t="inlineStr"/>
      <c r="D16" s="2" t="n"/>
      <c r="E16" s="17" t="n"/>
      <c r="F16" s="17" t="n"/>
      <c r="G16" s="2" t="n"/>
      <c r="H16" s="2" t="n"/>
    </row>
    <row r="17">
      <c r="A17" s="2" t="inlineStr">
        <is>
          <t>AIN_USDT_PERP</t>
        </is>
      </c>
      <c r="B17" s="2" t="inlineStr">
        <is>
          <t>已掃描</t>
        </is>
      </c>
      <c r="C17" s="2" t="inlineStr"/>
      <c r="D17" s="2" t="n"/>
      <c r="E17" s="17" t="n"/>
      <c r="F17" s="17" t="n"/>
      <c r="G17" s="2" t="n"/>
      <c r="H17" s="2" t="n"/>
    </row>
    <row r="18">
      <c r="A18" s="2" t="inlineStr">
        <is>
          <t>AIO_USDT_PERP</t>
        </is>
      </c>
      <c r="B18" s="2" t="inlineStr">
        <is>
          <t>已掃描</t>
        </is>
      </c>
      <c r="C18" s="2" t="inlineStr"/>
      <c r="D18" s="2" t="n"/>
      <c r="E18" s="17" t="n"/>
      <c r="F18" s="17" t="n"/>
      <c r="G18" s="2" t="n"/>
      <c r="H18" s="2" t="n"/>
    </row>
    <row r="19">
      <c r="A19" s="2" t="inlineStr">
        <is>
          <t>AIXBT_USDT_PERP</t>
        </is>
      </c>
      <c r="B19" s="2" t="inlineStr">
        <is>
          <t>已掃描</t>
        </is>
      </c>
      <c r="C19" s="2" t="inlineStr"/>
      <c r="D19" s="2" t="n"/>
      <c r="E19" s="17" t="n"/>
      <c r="F19" s="17" t="n"/>
      <c r="G19" s="2" t="n"/>
      <c r="H19" s="2" t="n"/>
    </row>
    <row r="20">
      <c r="A20" s="2" t="inlineStr">
        <is>
          <t>AKE_USDT_PERP</t>
        </is>
      </c>
      <c r="B20" s="2" t="inlineStr">
        <is>
          <t>已掃描</t>
        </is>
      </c>
      <c r="C20" s="2" t="inlineStr"/>
      <c r="D20" s="2" t="n"/>
      <c r="E20" s="17" t="n"/>
      <c r="F20" s="17" t="n"/>
      <c r="G20" s="2" t="n"/>
      <c r="H20" s="2" t="n"/>
    </row>
    <row r="21">
      <c r="A21" s="2" t="inlineStr">
        <is>
          <t>AKT_USDT_PERP</t>
        </is>
      </c>
      <c r="B21" s="2" t="inlineStr">
        <is>
          <t>已掃描</t>
        </is>
      </c>
      <c r="C21" s="2" t="inlineStr"/>
      <c r="D21" s="2" t="n"/>
      <c r="E21" s="17" t="n"/>
      <c r="F21" s="17" t="n"/>
      <c r="G21" s="2" t="n"/>
      <c r="H21" s="2" t="n"/>
    </row>
    <row r="22">
      <c r="A22" s="2" t="inlineStr">
        <is>
          <t>ALCH_USDT_PERP</t>
        </is>
      </c>
      <c r="B22" s="2" t="inlineStr">
        <is>
          <t>已掃描</t>
        </is>
      </c>
      <c r="C22" s="2" t="inlineStr"/>
      <c r="D22" s="2" t="n"/>
      <c r="E22" s="17" t="n"/>
      <c r="F22" s="17" t="n"/>
      <c r="G22" s="2" t="n"/>
      <c r="H22" s="2" t="n"/>
    </row>
    <row r="23">
      <c r="A23" s="2" t="inlineStr">
        <is>
          <t>ALGO_USDT_PERP</t>
        </is>
      </c>
      <c r="B23" s="2" t="inlineStr">
        <is>
          <t>已掃描</t>
        </is>
      </c>
      <c r="C23" s="2" t="inlineStr"/>
      <c r="D23" s="2" t="n"/>
      <c r="E23" s="17" t="n"/>
      <c r="F23" s="17" t="n"/>
      <c r="G23" s="2" t="n"/>
      <c r="H23" s="2" t="n"/>
    </row>
    <row r="24">
      <c r="A24" s="2" t="inlineStr">
        <is>
          <t>ALLO_USDT_PERP</t>
        </is>
      </c>
      <c r="B24" s="2" t="inlineStr">
        <is>
          <t>已掃描</t>
        </is>
      </c>
      <c r="C24" s="2" t="inlineStr"/>
      <c r="D24" s="2" t="n"/>
      <c r="E24" s="17" t="n"/>
      <c r="F24" s="17" t="n"/>
      <c r="G24" s="2" t="n"/>
      <c r="H24" s="2" t="n"/>
    </row>
    <row r="25">
      <c r="A25" s="2" t="inlineStr">
        <is>
          <t>ALL_USDT_PERP</t>
        </is>
      </c>
      <c r="B25" s="2" t="inlineStr">
        <is>
          <t>已掃描</t>
        </is>
      </c>
      <c r="C25" s="2" t="inlineStr"/>
      <c r="D25" s="2" t="n"/>
      <c r="E25" s="17" t="n"/>
      <c r="F25" s="17" t="n"/>
      <c r="G25" s="2" t="n"/>
      <c r="H25" s="2" t="n"/>
    </row>
    <row r="26">
      <c r="A26" s="2" t="inlineStr">
        <is>
          <t>ALT_USDT_PERP</t>
        </is>
      </c>
      <c r="B26" s="2" t="inlineStr">
        <is>
          <t>已掃描</t>
        </is>
      </c>
      <c r="C26" s="2" t="inlineStr"/>
      <c r="D26" s="2" t="n"/>
      <c r="E26" s="17" t="n"/>
      <c r="F26" s="17" t="n"/>
      <c r="G26" s="2" t="n"/>
      <c r="H26" s="2" t="n"/>
    </row>
    <row r="27">
      <c r="A27" s="2" t="inlineStr">
        <is>
          <t>ANIME_USDT_PERP</t>
        </is>
      </c>
      <c r="B27" s="2" t="inlineStr">
        <is>
          <t>已掃描</t>
        </is>
      </c>
      <c r="C27" s="2" t="inlineStr"/>
      <c r="D27" s="2" t="n"/>
      <c r="E27" s="17" t="n"/>
      <c r="F27" s="17" t="n"/>
      <c r="G27" s="2" t="n"/>
      <c r="H27" s="2" t="n"/>
    </row>
    <row r="28">
      <c r="A28" s="2" t="inlineStr">
        <is>
          <t>ANTHROPIC_USDT_PERP</t>
        </is>
      </c>
      <c r="B28" s="2" t="inlineStr">
        <is>
          <t>已掃描</t>
        </is>
      </c>
      <c r="C28" s="2" t="inlineStr"/>
      <c r="D28" s="2" t="n"/>
      <c r="E28" s="17" t="n"/>
      <c r="F28" s="17" t="n"/>
      <c r="G28" s="2" t="n"/>
      <c r="H28" s="2" t="n"/>
    </row>
    <row r="29">
      <c r="A29" s="2" t="inlineStr">
        <is>
          <t>APE_USDT_PERP</t>
        </is>
      </c>
      <c r="B29" s="2" t="inlineStr">
        <is>
          <t>已掃描</t>
        </is>
      </c>
      <c r="C29" s="2" t="inlineStr"/>
      <c r="D29" s="2" t="n"/>
      <c r="E29" s="17" t="n"/>
      <c r="F29" s="17" t="n"/>
      <c r="G29" s="2" t="n"/>
      <c r="H29" s="2" t="n"/>
    </row>
    <row r="30">
      <c r="A30" s="2" t="inlineStr">
        <is>
          <t>API3_USDT_PERP</t>
        </is>
      </c>
      <c r="B30" s="2" t="inlineStr">
        <is>
          <t>已掃描</t>
        </is>
      </c>
      <c r="C30" s="2" t="inlineStr"/>
      <c r="D30" s="2" t="n"/>
      <c r="E30" s="17" t="n"/>
      <c r="F30" s="17" t="n"/>
      <c r="G30" s="2" t="n"/>
      <c r="H30" s="2" t="n"/>
    </row>
    <row r="31">
      <c r="A31" s="2" t="inlineStr">
        <is>
          <t>APR_USDT_PERP</t>
        </is>
      </c>
      <c r="B31" s="2" t="inlineStr">
        <is>
          <t>已掃描</t>
        </is>
      </c>
      <c r="C31" s="2" t="inlineStr"/>
      <c r="D31" s="2" t="n"/>
      <c r="E31" s="17" t="n"/>
      <c r="F31" s="17" t="n"/>
      <c r="G31" s="2" t="n"/>
      <c r="H31" s="2" t="n"/>
    </row>
    <row r="32">
      <c r="A32" s="2" t="inlineStr">
        <is>
          <t>APT_USDT_PERP</t>
        </is>
      </c>
      <c r="B32" s="2" t="inlineStr">
        <is>
          <t>已掃描</t>
        </is>
      </c>
      <c r="C32" s="2" t="inlineStr"/>
      <c r="D32" s="2" t="n"/>
      <c r="E32" s="17" t="n"/>
      <c r="F32" s="17" t="n"/>
      <c r="G32" s="2" t="n"/>
      <c r="H32" s="2" t="n"/>
    </row>
    <row r="33">
      <c r="A33" s="2" t="inlineStr">
        <is>
          <t>ARB_USDT_PERP</t>
        </is>
      </c>
      <c r="B33" s="2" t="inlineStr">
        <is>
          <t>已掃描</t>
        </is>
      </c>
      <c r="C33" s="2" t="inlineStr"/>
      <c r="D33" s="2" t="n"/>
      <c r="E33" s="17" t="n"/>
      <c r="F33" s="17" t="n"/>
      <c r="G33" s="2" t="n"/>
      <c r="H33" s="2" t="n"/>
    </row>
    <row r="34">
      <c r="A34" s="2" t="inlineStr">
        <is>
          <t>ARC_USDT_PERP</t>
        </is>
      </c>
      <c r="B34" s="2" t="inlineStr">
        <is>
          <t>已掃描</t>
        </is>
      </c>
      <c r="C34" s="2" t="inlineStr"/>
      <c r="D34" s="2" t="n"/>
      <c r="E34" s="17" t="n"/>
      <c r="F34" s="17" t="n"/>
      <c r="G34" s="2" t="n"/>
      <c r="H34" s="2" t="n"/>
    </row>
    <row r="35">
      <c r="A35" s="2" t="inlineStr">
        <is>
          <t>ARIA_USDT_PERP</t>
        </is>
      </c>
      <c r="B35" s="2" t="inlineStr">
        <is>
          <t>已掃描</t>
        </is>
      </c>
      <c r="C35" s="2" t="inlineStr"/>
      <c r="D35" s="2" t="n"/>
      <c r="E35" s="17" t="n"/>
      <c r="F35" s="17" t="n"/>
      <c r="G35" s="2" t="n"/>
      <c r="H35" s="2" t="n"/>
    </row>
    <row r="36">
      <c r="A36" s="2" t="inlineStr">
        <is>
          <t>ARKM_USDT_PERP</t>
        </is>
      </c>
      <c r="B36" s="2" t="inlineStr">
        <is>
          <t>已掃描</t>
        </is>
      </c>
      <c r="C36" s="2" t="inlineStr"/>
      <c r="D36" s="2" t="n"/>
      <c r="E36" s="17" t="n"/>
      <c r="F36" s="17" t="n"/>
      <c r="G36" s="2" t="n"/>
      <c r="H36" s="2" t="n"/>
    </row>
    <row r="37">
      <c r="A37" s="2" t="inlineStr">
        <is>
          <t>ARPA_USDT_PERP</t>
        </is>
      </c>
      <c r="B37" s="2" t="inlineStr">
        <is>
          <t>已掃描</t>
        </is>
      </c>
      <c r="C37" s="2" t="inlineStr"/>
      <c r="D37" s="2" t="n"/>
      <c r="E37" s="17" t="n"/>
      <c r="F37" s="17" t="n"/>
      <c r="G37" s="2" t="n"/>
      <c r="H37" s="2" t="n"/>
    </row>
    <row r="38">
      <c r="A38" s="2" t="inlineStr">
        <is>
          <t>ARX_USDT_PERP</t>
        </is>
      </c>
      <c r="B38" s="2" t="inlineStr">
        <is>
          <t>已掃描</t>
        </is>
      </c>
      <c r="C38" s="2" t="inlineStr"/>
      <c r="D38" s="2" t="n"/>
      <c r="E38" s="17" t="n"/>
      <c r="F38" s="17" t="n"/>
      <c r="G38" s="2" t="n"/>
      <c r="H38" s="2" t="n"/>
    </row>
    <row r="39">
      <c r="A39" s="2" t="inlineStr">
        <is>
          <t>AR_USDT_PERP</t>
        </is>
      </c>
      <c r="B39" s="2" t="inlineStr">
        <is>
          <t>已掃描</t>
        </is>
      </c>
      <c r="C39" s="2" t="inlineStr"/>
      <c r="D39" s="2" t="n"/>
      <c r="E39" s="17" t="n"/>
      <c r="F39" s="17" t="n"/>
      <c r="G39" s="2" t="n"/>
      <c r="H39" s="2" t="n"/>
    </row>
    <row r="40">
      <c r="A40" s="2" t="inlineStr">
        <is>
          <t>ASTER_USDT_PERP</t>
        </is>
      </c>
      <c r="B40" s="2" t="inlineStr">
        <is>
          <t>已掃描</t>
        </is>
      </c>
      <c r="C40" s="2" t="inlineStr"/>
      <c r="D40" s="2" t="n"/>
      <c r="E40" s="17" t="n"/>
      <c r="F40" s="17" t="n"/>
      <c r="G40" s="2" t="n"/>
      <c r="H40" s="2" t="n"/>
    </row>
    <row r="41">
      <c r="A41" s="2" t="inlineStr">
        <is>
          <t>ASTR_USDT_PERP</t>
        </is>
      </c>
      <c r="B41" s="2" t="inlineStr">
        <is>
          <t>已掃描</t>
        </is>
      </c>
      <c r="C41" s="2" t="inlineStr"/>
      <c r="D41" s="2" t="n"/>
      <c r="E41" s="17" t="n"/>
      <c r="F41" s="17" t="n"/>
      <c r="G41" s="2" t="n"/>
      <c r="H41" s="2" t="n"/>
    </row>
    <row r="42">
      <c r="A42" s="2" t="inlineStr">
        <is>
          <t>ATH_USDT_PERP</t>
        </is>
      </c>
      <c r="B42" s="2" t="inlineStr">
        <is>
          <t>已掃描</t>
        </is>
      </c>
      <c r="C42" s="2" t="inlineStr"/>
      <c r="D42" s="2" t="n"/>
      <c r="E42" s="17" t="n"/>
      <c r="F42" s="17" t="n"/>
      <c r="G42" s="2" t="n"/>
      <c r="H42" s="2" t="n"/>
    </row>
    <row r="43">
      <c r="A43" s="2" t="inlineStr">
        <is>
          <t>ATOM_USDT_PERP</t>
        </is>
      </c>
      <c r="B43" s="2" t="inlineStr">
        <is>
          <t>已掃描</t>
        </is>
      </c>
      <c r="C43" s="2" t="inlineStr"/>
      <c r="D43" s="2" t="n"/>
      <c r="E43" s="17" t="n"/>
      <c r="F43" s="17" t="n"/>
      <c r="G43" s="2" t="n"/>
      <c r="H43" s="2" t="n"/>
    </row>
    <row r="44">
      <c r="A44" s="2" t="inlineStr">
        <is>
          <t>AT_USDT_PERP</t>
        </is>
      </c>
      <c r="B44" s="2" t="inlineStr">
        <is>
          <t>已掃描</t>
        </is>
      </c>
      <c r="C44" s="2" t="inlineStr"/>
      <c r="D44" s="2" t="n"/>
      <c r="E44" s="17" t="n"/>
      <c r="F44" s="17" t="n"/>
      <c r="G44" s="2" t="n"/>
      <c r="H44" s="2" t="n"/>
    </row>
    <row r="45">
      <c r="A45" s="2" t="inlineStr">
        <is>
          <t>AUCTION_USDT_PERP</t>
        </is>
      </c>
      <c r="B45" s="2" t="inlineStr">
        <is>
          <t>已掃描</t>
        </is>
      </c>
      <c r="C45" s="2" t="inlineStr"/>
      <c r="D45" s="2" t="n"/>
      <c r="E45" s="17" t="n"/>
      <c r="F45" s="17" t="n"/>
      <c r="G45" s="2" t="n"/>
      <c r="H45" s="2" t="n"/>
    </row>
    <row r="46">
      <c r="A46" s="2" t="inlineStr">
        <is>
          <t>AVAX_USDT_PERP</t>
        </is>
      </c>
      <c r="B46" s="2" t="inlineStr">
        <is>
          <t>已掃描</t>
        </is>
      </c>
      <c r="C46" s="2" t="inlineStr"/>
      <c r="D46" s="2" t="n"/>
      <c r="E46" s="17" t="n"/>
      <c r="F46" s="17" t="n"/>
      <c r="G46" s="2" t="n"/>
      <c r="H46" s="2" t="n"/>
    </row>
    <row r="47">
      <c r="A47" s="2" t="inlineStr">
        <is>
          <t>AVNT_USDT_PERP</t>
        </is>
      </c>
      <c r="B47" s="2" t="inlineStr">
        <is>
          <t>已掃描</t>
        </is>
      </c>
      <c r="C47" s="2" t="inlineStr"/>
      <c r="D47" s="2" t="n"/>
      <c r="E47" s="17" t="n"/>
      <c r="F47" s="17" t="n"/>
      <c r="G47" s="2" t="n"/>
      <c r="H47" s="2" t="n"/>
    </row>
    <row r="48">
      <c r="A48" s="2" t="inlineStr">
        <is>
          <t>AWE_USDT_PERP</t>
        </is>
      </c>
      <c r="B48" s="2" t="inlineStr">
        <is>
          <t>已掃描</t>
        </is>
      </c>
      <c r="C48" s="2" t="inlineStr"/>
      <c r="D48" s="2" t="n"/>
      <c r="E48" s="17" t="n"/>
      <c r="F48" s="17" t="n"/>
      <c r="G48" s="2" t="n"/>
      <c r="H48" s="2" t="n"/>
    </row>
    <row r="49">
      <c r="A49" s="2" t="inlineStr">
        <is>
          <t>AXL_USDT_PERP</t>
        </is>
      </c>
      <c r="B49" s="2" t="inlineStr">
        <is>
          <t>已掃描</t>
        </is>
      </c>
      <c r="C49" s="2" t="inlineStr"/>
      <c r="D49" s="2" t="n"/>
      <c r="E49" s="17" t="n"/>
      <c r="F49" s="17" t="n"/>
      <c r="G49" s="2" t="n"/>
      <c r="H49" s="2" t="n"/>
    </row>
    <row r="50">
      <c r="A50" s="2" t="inlineStr">
        <is>
          <t>AXS_USDT_PERP</t>
        </is>
      </c>
      <c r="B50" s="2" t="inlineStr">
        <is>
          <t>已掃描</t>
        </is>
      </c>
      <c r="C50" s="2" t="inlineStr"/>
      <c r="D50" s="2" t="n"/>
      <c r="E50" s="17" t="n"/>
      <c r="F50" s="17" t="n"/>
      <c r="G50" s="2" t="n"/>
      <c r="H50" s="2" t="n"/>
    </row>
    <row r="51">
      <c r="A51" s="2" t="inlineStr">
        <is>
          <t>A_USDT_PERP</t>
        </is>
      </c>
      <c r="B51" s="2" t="inlineStr">
        <is>
          <t>已掃描</t>
        </is>
      </c>
      <c r="C51" s="2" t="inlineStr"/>
      <c r="D51" s="2" t="n"/>
      <c r="E51" s="17" t="n"/>
      <c r="F51" s="17" t="n"/>
      <c r="G51" s="2" t="n"/>
      <c r="H51" s="2" t="n"/>
    </row>
    <row r="52">
      <c r="A52" s="2" t="inlineStr">
        <is>
          <t>BABY_USDT_PERP</t>
        </is>
      </c>
      <c r="B52" s="2" t="inlineStr">
        <is>
          <t>已掃描</t>
        </is>
      </c>
      <c r="C52" s="2" t="inlineStr"/>
      <c r="D52" s="2" t="n"/>
      <c r="E52" s="17" t="n"/>
      <c r="F52" s="17" t="n"/>
      <c r="G52" s="2" t="n"/>
      <c r="H52" s="2" t="n"/>
    </row>
    <row r="53">
      <c r="A53" s="2" t="inlineStr">
        <is>
          <t>BANANAS31_USDT_PERP</t>
        </is>
      </c>
      <c r="B53" s="2" t="inlineStr">
        <is>
          <t>已掃描</t>
        </is>
      </c>
      <c r="C53" s="2" t="inlineStr"/>
      <c r="D53" s="2" t="n"/>
      <c r="E53" s="17" t="n"/>
      <c r="F53" s="17" t="n"/>
      <c r="G53" s="2" t="n"/>
      <c r="H53" s="2" t="n"/>
    </row>
    <row r="54">
      <c r="A54" s="2" t="inlineStr">
        <is>
          <t>BANANA_USDT_PERP</t>
        </is>
      </c>
      <c r="B54" s="2" t="inlineStr">
        <is>
          <t>已掃描</t>
        </is>
      </c>
      <c r="C54" s="2" t="inlineStr"/>
      <c r="D54" s="2" t="n"/>
      <c r="E54" s="17" t="n"/>
      <c r="F54" s="17" t="n"/>
      <c r="G54" s="2" t="n"/>
      <c r="H54" s="2" t="n"/>
    </row>
    <row r="55">
      <c r="A55" s="2" t="inlineStr">
        <is>
          <t>BAND_USDT_PERP</t>
        </is>
      </c>
      <c r="B55" s="2" t="inlineStr">
        <is>
          <t>已掃描</t>
        </is>
      </c>
      <c r="C55" s="2" t="inlineStr"/>
      <c r="D55" s="2" t="n"/>
      <c r="E55" s="17" t="n"/>
      <c r="F55" s="17" t="n"/>
      <c r="G55" s="2" t="n"/>
      <c r="H55" s="2" t="n"/>
    </row>
    <row r="56">
      <c r="A56" s="2" t="inlineStr">
        <is>
          <t>BANK_USDT_PERP</t>
        </is>
      </c>
      <c r="B56" s="2" t="inlineStr">
        <is>
          <t>已掃描</t>
        </is>
      </c>
      <c r="C56" s="2" t="inlineStr"/>
      <c r="D56" s="2" t="n"/>
      <c r="E56" s="17" t="n"/>
      <c r="F56" s="17" t="n"/>
      <c r="G56" s="2" t="n"/>
      <c r="H56" s="2" t="n"/>
    </row>
    <row r="57">
      <c r="A57" s="2" t="inlineStr">
        <is>
          <t>BAN_USDT_PERP</t>
        </is>
      </c>
      <c r="B57" s="2" t="inlineStr">
        <is>
          <t>已掃描</t>
        </is>
      </c>
      <c r="C57" s="2" t="inlineStr"/>
      <c r="D57" s="2" t="n"/>
      <c r="E57" s="17" t="n"/>
      <c r="F57" s="17" t="n"/>
      <c r="G57" s="2" t="n"/>
      <c r="H57" s="2" t="n"/>
    </row>
    <row r="58">
      <c r="A58" s="2" t="inlineStr">
        <is>
          <t>BARD_USDT_PERP</t>
        </is>
      </c>
      <c r="B58" s="2" t="inlineStr">
        <is>
          <t>已掃描</t>
        </is>
      </c>
      <c r="C58" s="2" t="inlineStr"/>
      <c r="D58" s="2" t="n"/>
      <c r="E58" s="17" t="n"/>
      <c r="F58" s="17" t="n"/>
      <c r="G58" s="2" t="n"/>
      <c r="H58" s="2" t="n"/>
    </row>
    <row r="59">
      <c r="A59" s="2" t="inlineStr">
        <is>
          <t>BASED_USDT_PERP</t>
        </is>
      </c>
      <c r="B59" s="2" t="inlineStr">
        <is>
          <t>已掃描</t>
        </is>
      </c>
      <c r="C59" s="2" t="inlineStr"/>
      <c r="D59" s="2" t="n"/>
      <c r="E59" s="17" t="n"/>
      <c r="F59" s="17" t="n"/>
      <c r="G59" s="2" t="n"/>
      <c r="H59" s="2" t="n"/>
    </row>
    <row r="60">
      <c r="A60" s="2" t="inlineStr">
        <is>
          <t>BAS_USDT_PERP</t>
        </is>
      </c>
      <c r="B60" s="2" t="inlineStr">
        <is>
          <t>已掃描</t>
        </is>
      </c>
      <c r="C60" s="2" t="inlineStr"/>
      <c r="D60" s="2" t="n"/>
      <c r="E60" s="17" t="n"/>
      <c r="F60" s="17" t="n"/>
      <c r="G60" s="2" t="n"/>
      <c r="H60" s="2" t="n"/>
    </row>
    <row r="61">
      <c r="A61" s="2" t="inlineStr">
        <is>
          <t>BAT_USDT_PERP</t>
        </is>
      </c>
      <c r="B61" s="2" t="inlineStr">
        <is>
          <t>已掃描</t>
        </is>
      </c>
      <c r="C61" s="2" t="inlineStr"/>
      <c r="D61" s="2" t="n"/>
      <c r="E61" s="17" t="n"/>
      <c r="F61" s="17" t="n"/>
      <c r="G61" s="2" t="n"/>
      <c r="H61" s="2" t="n"/>
    </row>
    <row r="62">
      <c r="A62" s="2" t="inlineStr">
        <is>
          <t>BB_USDT_PERP</t>
        </is>
      </c>
      <c r="B62" s="2" t="inlineStr">
        <is>
          <t>已掃描</t>
        </is>
      </c>
      <c r="C62" s="2" t="inlineStr"/>
      <c r="D62" s="2" t="n"/>
      <c r="E62" s="17" t="n"/>
      <c r="F62" s="17" t="n"/>
      <c r="G62" s="2" t="n"/>
      <c r="H62" s="2" t="n"/>
    </row>
    <row r="63">
      <c r="A63" s="2" t="inlineStr">
        <is>
          <t>BCH_USDT_PERP</t>
        </is>
      </c>
      <c r="B63" s="2" t="inlineStr">
        <is>
          <t>已掃描</t>
        </is>
      </c>
      <c r="C63" s="2" t="inlineStr"/>
      <c r="D63" s="2" t="n"/>
      <c r="E63" s="17" t="n"/>
      <c r="F63" s="17" t="n"/>
      <c r="G63" s="2" t="n"/>
      <c r="H63" s="2" t="n"/>
    </row>
    <row r="64">
      <c r="A64" s="2" t="inlineStr">
        <is>
          <t>BEAMX_USDT_PERP</t>
        </is>
      </c>
      <c r="B64" s="2" t="inlineStr">
        <is>
          <t>已掃描</t>
        </is>
      </c>
      <c r="C64" s="2" t="inlineStr"/>
      <c r="D64" s="2" t="n"/>
      <c r="E64" s="17" t="n"/>
      <c r="F64" s="17" t="n"/>
      <c r="G64" s="2" t="n"/>
      <c r="H64" s="2" t="n"/>
    </row>
    <row r="65">
      <c r="A65" s="2" t="inlineStr">
        <is>
          <t>BEAT_USDT_PERP</t>
        </is>
      </c>
      <c r="B65" s="2" t="inlineStr">
        <is>
          <t>已掃描</t>
        </is>
      </c>
      <c r="C65" s="2" t="inlineStr"/>
      <c r="D65" s="2" t="n"/>
      <c r="E65" s="17" t="n"/>
      <c r="F65" s="17" t="n"/>
      <c r="G65" s="2" t="n"/>
      <c r="H65" s="2" t="n"/>
    </row>
    <row r="66">
      <c r="A66" s="2" t="inlineStr">
        <is>
          <t>BERA_USDT_PERP</t>
        </is>
      </c>
      <c r="B66" s="2" t="inlineStr">
        <is>
          <t>已掃描</t>
        </is>
      </c>
      <c r="C66" s="2" t="inlineStr"/>
      <c r="D66" s="2" t="n"/>
      <c r="E66" s="17" t="n"/>
      <c r="F66" s="17" t="n"/>
      <c r="G66" s="2" t="n"/>
      <c r="H66" s="2" t="n"/>
    </row>
    <row r="67">
      <c r="A67" s="2" t="inlineStr">
        <is>
          <t>BEX_USDT_PERP</t>
        </is>
      </c>
      <c r="B67" s="2" t="inlineStr">
        <is>
          <t>已掃描</t>
        </is>
      </c>
      <c r="C67" s="2" t="inlineStr"/>
      <c r="D67" s="2" t="n"/>
      <c r="E67" s="17" t="n"/>
      <c r="F67" s="17" t="n"/>
      <c r="G67" s="2" t="n"/>
      <c r="H67" s="2" t="n"/>
    </row>
    <row r="68">
      <c r="A68" s="2" t="inlineStr">
        <is>
          <t>BICO_USDT_PERP</t>
        </is>
      </c>
      <c r="B68" s="2" t="inlineStr">
        <is>
          <t>已掃描</t>
        </is>
      </c>
      <c r="C68" s="2" t="inlineStr"/>
      <c r="D68" s="2" t="n"/>
      <c r="E68" s="17" t="n"/>
      <c r="F68" s="17" t="n"/>
      <c r="G68" s="2" t="n"/>
      <c r="H68" s="2" t="n"/>
    </row>
    <row r="69">
      <c r="A69" s="2" t="inlineStr">
        <is>
          <t>BILL_USDT_PERP</t>
        </is>
      </c>
      <c r="B69" s="2" t="inlineStr">
        <is>
          <t>已掃描</t>
        </is>
      </c>
      <c r="C69" s="2" t="inlineStr"/>
      <c r="D69" s="2" t="n"/>
      <c r="E69" s="17" t="n"/>
      <c r="F69" s="17" t="n"/>
      <c r="G69" s="2" t="n"/>
      <c r="H69" s="2" t="n"/>
    </row>
    <row r="70">
      <c r="A70" s="2" t="inlineStr">
        <is>
          <t>BIO_USDT_PERP</t>
        </is>
      </c>
      <c r="B70" s="2" t="inlineStr">
        <is>
          <t>已掃描</t>
        </is>
      </c>
      <c r="C70" s="2" t="inlineStr"/>
      <c r="D70" s="2" t="n"/>
      <c r="E70" s="17" t="n"/>
      <c r="F70" s="17" t="n"/>
      <c r="G70" s="2" t="n"/>
      <c r="H70" s="2" t="n"/>
    </row>
    <row r="71">
      <c r="A71" s="2" t="inlineStr">
        <is>
          <t>BIRB_USDT_PERP</t>
        </is>
      </c>
      <c r="B71" s="2" t="inlineStr">
        <is>
          <t>已掃描</t>
        </is>
      </c>
      <c r="C71" s="2" t="inlineStr"/>
      <c r="D71" s="2" t="n"/>
      <c r="E71" s="17" t="n"/>
      <c r="F71" s="17" t="n"/>
      <c r="G71" s="2" t="n"/>
      <c r="H71" s="2" t="n"/>
    </row>
    <row r="72">
      <c r="A72" s="2" t="inlineStr">
        <is>
          <t>BLEND_USDT_PERP</t>
        </is>
      </c>
      <c r="B72" s="2" t="inlineStr">
        <is>
          <t>已掃描</t>
        </is>
      </c>
      <c r="C72" s="2" t="inlineStr"/>
      <c r="D72" s="2" t="n"/>
      <c r="E72" s="17" t="n"/>
      <c r="F72" s="17" t="n"/>
      <c r="G72" s="2" t="n"/>
      <c r="H72" s="2" t="n"/>
    </row>
    <row r="73">
      <c r="A73" s="2" t="inlineStr">
        <is>
          <t>BLESS_USDT_PERP</t>
        </is>
      </c>
      <c r="B73" s="2" t="inlineStr">
        <is>
          <t>已掃描</t>
        </is>
      </c>
      <c r="C73" s="2" t="inlineStr"/>
      <c r="D73" s="2" t="n"/>
      <c r="E73" s="17" t="n"/>
      <c r="F73" s="17" t="n"/>
      <c r="G73" s="2" t="n"/>
      <c r="H73" s="2" t="n"/>
    </row>
    <row r="74">
      <c r="A74" s="2" t="inlineStr">
        <is>
          <t>BLUAI_USDT_PERP</t>
        </is>
      </c>
      <c r="B74" s="2" t="inlineStr">
        <is>
          <t>已掃描</t>
        </is>
      </c>
      <c r="C74" s="2" t="inlineStr"/>
      <c r="D74" s="2" t="n"/>
      <c r="E74" s="17" t="n"/>
      <c r="F74" s="17" t="n"/>
      <c r="G74" s="2" t="n"/>
      <c r="H74" s="2" t="n"/>
    </row>
    <row r="75">
      <c r="A75" s="2" t="inlineStr">
        <is>
          <t>BLUR_USDT_PERP</t>
        </is>
      </c>
      <c r="B75" s="2" t="inlineStr">
        <is>
          <t>已掃描</t>
        </is>
      </c>
      <c r="C75" s="2" t="inlineStr"/>
      <c r="D75" s="2" t="n"/>
      <c r="E75" s="17" t="n"/>
      <c r="F75" s="17" t="n"/>
      <c r="G75" s="2" t="n"/>
      <c r="H75" s="2" t="n"/>
    </row>
    <row r="76">
      <c r="A76" s="2" t="inlineStr">
        <is>
          <t>BNB_USDT_PERP</t>
        </is>
      </c>
      <c r="B76" s="2" t="inlineStr">
        <is>
          <t>已掃描</t>
        </is>
      </c>
      <c r="C76" s="2" t="inlineStr"/>
      <c r="D76" s="2" t="n"/>
      <c r="E76" s="17" t="n"/>
      <c r="F76" s="17" t="n"/>
      <c r="G76" s="2" t="n"/>
      <c r="H76" s="2" t="n"/>
    </row>
    <row r="77">
      <c r="A77" s="2" t="inlineStr">
        <is>
          <t>BOME_USDT_PERP</t>
        </is>
      </c>
      <c r="B77" s="2" t="inlineStr">
        <is>
          <t>已掃描</t>
        </is>
      </c>
      <c r="C77" s="2" t="inlineStr"/>
      <c r="D77" s="2" t="n"/>
      <c r="E77" s="17" t="n"/>
      <c r="F77" s="17" t="n"/>
      <c r="G77" s="2" t="n"/>
      <c r="H77" s="2" t="n"/>
    </row>
    <row r="78">
      <c r="A78" s="2" t="inlineStr">
        <is>
          <t>BONK_USDT_PERP</t>
        </is>
      </c>
      <c r="B78" s="2" t="inlineStr">
        <is>
          <t>已掃描</t>
        </is>
      </c>
      <c r="C78" s="2" t="inlineStr"/>
      <c r="D78" s="2" t="n"/>
      <c r="E78" s="17" t="n"/>
      <c r="F78" s="17" t="n"/>
      <c r="G78" s="2" t="n"/>
      <c r="H78" s="2" t="n"/>
    </row>
    <row r="79">
      <c r="A79" s="2" t="inlineStr">
        <is>
          <t>BRENTOIL_USDT_PERP</t>
        </is>
      </c>
      <c r="B79" s="2" t="inlineStr">
        <is>
          <t>已掃描</t>
        </is>
      </c>
      <c r="C79" s="2" t="inlineStr"/>
      <c r="D79" s="2" t="n"/>
      <c r="E79" s="17" t="n"/>
      <c r="F79" s="17" t="n"/>
      <c r="G79" s="2" t="n"/>
      <c r="H79" s="2" t="n"/>
    </row>
    <row r="80">
      <c r="A80" s="2" t="inlineStr">
        <is>
          <t>BRETT_USDT_PERP</t>
        </is>
      </c>
      <c r="B80" s="2" t="inlineStr">
        <is>
          <t>已掃描</t>
        </is>
      </c>
      <c r="C80" s="2" t="inlineStr"/>
      <c r="D80" s="2" t="n"/>
      <c r="E80" s="17" t="n"/>
      <c r="F80" s="17" t="n"/>
      <c r="G80" s="2" t="n"/>
      <c r="H80" s="2" t="n"/>
    </row>
    <row r="81">
      <c r="A81" s="2" t="inlineStr">
        <is>
          <t>BREV_USDT_PERP</t>
        </is>
      </c>
      <c r="B81" s="2" t="inlineStr">
        <is>
          <t>已掃描</t>
        </is>
      </c>
      <c r="C81" s="2" t="inlineStr"/>
      <c r="D81" s="2" t="n"/>
      <c r="E81" s="17" t="n"/>
      <c r="F81" s="17" t="n"/>
      <c r="G81" s="2" t="n"/>
      <c r="H81" s="2" t="n"/>
    </row>
    <row r="82">
      <c r="A82" s="2" t="inlineStr">
        <is>
          <t>BROCCOLI_USDT_PERP</t>
        </is>
      </c>
      <c r="B82" s="2" t="inlineStr">
        <is>
          <t>已掃描</t>
        </is>
      </c>
      <c r="C82" s="2" t="inlineStr"/>
      <c r="D82" s="2" t="n"/>
      <c r="E82" s="17" t="n"/>
      <c r="F82" s="17" t="n"/>
      <c r="G82" s="2" t="n"/>
      <c r="H82" s="2" t="n"/>
    </row>
    <row r="83">
      <c r="A83" s="2" t="inlineStr">
        <is>
          <t>BR_USDT_PERP</t>
        </is>
      </c>
      <c r="B83" s="2" t="inlineStr">
        <is>
          <t>已掃描</t>
        </is>
      </c>
      <c r="C83" s="2" t="inlineStr"/>
      <c r="D83" s="2" t="n"/>
      <c r="E83" s="17" t="n"/>
      <c r="F83" s="17" t="n"/>
      <c r="G83" s="2" t="n"/>
      <c r="H83" s="2" t="n"/>
    </row>
    <row r="84">
      <c r="A84" s="2" t="inlineStr">
        <is>
          <t>BSB_USDT_PERP</t>
        </is>
      </c>
      <c r="B84" s="2" t="inlineStr">
        <is>
          <t>已掃描</t>
        </is>
      </c>
      <c r="C84" s="2" t="inlineStr"/>
      <c r="D84" s="2" t="n"/>
      <c r="E84" s="17" t="n"/>
      <c r="F84" s="17" t="n"/>
      <c r="G84" s="2" t="n"/>
      <c r="H84" s="2" t="n"/>
    </row>
    <row r="85">
      <c r="A85" s="2" t="inlineStr">
        <is>
          <t>BSV_USDT_PERP</t>
        </is>
      </c>
      <c r="B85" s="2" t="inlineStr">
        <is>
          <t>已掃描</t>
        </is>
      </c>
      <c r="C85" s="2" t="inlineStr"/>
      <c r="D85" s="2" t="n"/>
      <c r="E85" s="17" t="n"/>
      <c r="F85" s="17" t="n"/>
      <c r="G85" s="2" t="n"/>
      <c r="H85" s="2" t="n"/>
    </row>
    <row r="86">
      <c r="A86" s="2" t="inlineStr">
        <is>
          <t>BTC_USDT_PERP</t>
        </is>
      </c>
      <c r="B86" s="2" t="inlineStr">
        <is>
          <t>已掃描</t>
        </is>
      </c>
      <c r="C86" s="2" t="inlineStr"/>
      <c r="D86" s="2" t="n"/>
      <c r="E86" s="17" t="n"/>
      <c r="F86" s="17" t="n"/>
      <c r="G86" s="2" t="n"/>
      <c r="H86" s="2" t="n"/>
    </row>
    <row r="87">
      <c r="A87" s="2" t="inlineStr">
        <is>
          <t>BTR_USDT_PERP</t>
        </is>
      </c>
      <c r="B87" s="2" t="inlineStr">
        <is>
          <t>已掃描</t>
        </is>
      </c>
      <c r="C87" s="2" t="inlineStr"/>
      <c r="D87" s="2" t="n"/>
      <c r="E87" s="17" t="n"/>
      <c r="F87" s="17" t="n"/>
      <c r="G87" s="2" t="n"/>
      <c r="H87" s="2" t="n"/>
    </row>
    <row r="88">
      <c r="A88" s="2" t="inlineStr">
        <is>
          <t>BTW_USDT_PERP</t>
        </is>
      </c>
      <c r="B88" s="2" t="inlineStr">
        <is>
          <t>已掃描</t>
        </is>
      </c>
      <c r="C88" s="2" t="inlineStr"/>
      <c r="D88" s="2" t="n"/>
      <c r="E88" s="17" t="n"/>
      <c r="F88" s="17" t="n"/>
      <c r="G88" s="2" t="n"/>
      <c r="H88" s="2" t="n"/>
    </row>
    <row r="89">
      <c r="A89" s="2" t="inlineStr">
        <is>
          <t>BULLA_USDT_PERP</t>
        </is>
      </c>
      <c r="B89" s="2" t="inlineStr">
        <is>
          <t>已掃描</t>
        </is>
      </c>
      <c r="C89" s="2" t="inlineStr"/>
      <c r="D89" s="2" t="n"/>
      <c r="E89" s="17" t="n"/>
      <c r="F89" s="17" t="n"/>
      <c r="G89" s="2" t="n"/>
      <c r="H89" s="2" t="n"/>
    </row>
    <row r="90">
      <c r="A90" s="2" t="inlineStr">
        <is>
          <t>B_USDT_PERP</t>
        </is>
      </c>
      <c r="B90" s="2" t="inlineStr">
        <is>
          <t>已掃描</t>
        </is>
      </c>
      <c r="C90" s="2" t="inlineStr"/>
      <c r="D90" s="2" t="n"/>
      <c r="E90" s="17" t="n"/>
      <c r="F90" s="17" t="n"/>
      <c r="G90" s="2" t="n"/>
      <c r="H90" s="2" t="n"/>
    </row>
    <row r="91">
      <c r="A91" s="2" t="inlineStr">
        <is>
          <t>CAKE_USDT_PERP</t>
        </is>
      </c>
      <c r="B91" s="2" t="inlineStr">
        <is>
          <t>已掃描</t>
        </is>
      </c>
      <c r="C91" s="2" t="inlineStr"/>
      <c r="D91" s="2" t="n"/>
      <c r="E91" s="17" t="n"/>
      <c r="F91" s="17" t="n"/>
      <c r="G91" s="2" t="n"/>
      <c r="H91" s="2" t="n"/>
    </row>
    <row r="92">
      <c r="A92" s="2" t="inlineStr">
        <is>
          <t>CAP_USDT_PERP</t>
        </is>
      </c>
      <c r="B92" s="2" t="inlineStr">
        <is>
          <t>已掃描</t>
        </is>
      </c>
      <c r="C92" s="2" t="inlineStr"/>
      <c r="D92" s="2" t="n"/>
      <c r="E92" s="17" t="n"/>
      <c r="F92" s="17" t="n"/>
      <c r="G92" s="2" t="n"/>
      <c r="H92" s="2" t="n"/>
    </row>
    <row r="93">
      <c r="A93" s="2" t="inlineStr">
        <is>
          <t>CASHCAT_USDT_PERP</t>
        </is>
      </c>
      <c r="B93" s="2" t="inlineStr">
        <is>
          <t>已掃描</t>
        </is>
      </c>
      <c r="C93" s="2" t="inlineStr"/>
      <c r="D93" s="2" t="n"/>
      <c r="E93" s="17" t="n"/>
      <c r="F93" s="17" t="n"/>
      <c r="G93" s="2" t="n"/>
      <c r="H93" s="2" t="n"/>
    </row>
    <row r="94">
      <c r="A94" s="2" t="inlineStr">
        <is>
          <t>CATI_USDT_PERP</t>
        </is>
      </c>
      <c r="B94" s="2" t="inlineStr">
        <is>
          <t>已掃描</t>
        </is>
      </c>
      <c r="C94" s="2" t="inlineStr"/>
      <c r="D94" s="2" t="n"/>
      <c r="E94" s="17" t="n"/>
      <c r="F94" s="17" t="n"/>
      <c r="G94" s="2" t="n"/>
      <c r="H94" s="2" t="n"/>
    </row>
    <row r="95">
      <c r="A95" s="2" t="inlineStr">
        <is>
          <t>CBRS_USDT_PERP</t>
        </is>
      </c>
      <c r="B95" s="2" t="inlineStr">
        <is>
          <t>已掃描</t>
        </is>
      </c>
      <c r="C95" s="2" t="inlineStr"/>
      <c r="D95" s="2" t="n"/>
      <c r="E95" s="17" t="n"/>
      <c r="F95" s="17" t="n"/>
      <c r="G95" s="2" t="n"/>
      <c r="H95" s="2" t="n"/>
    </row>
    <row r="96">
      <c r="A96" s="2" t="inlineStr">
        <is>
          <t>CC_USDT_PERP</t>
        </is>
      </c>
      <c r="B96" s="2" t="inlineStr">
        <is>
          <t>已掃描</t>
        </is>
      </c>
      <c r="C96" s="2" t="inlineStr"/>
      <c r="D96" s="2" t="n"/>
      <c r="E96" s="17" t="n"/>
      <c r="F96" s="17" t="n"/>
      <c r="G96" s="2" t="n"/>
      <c r="H96" s="2" t="n"/>
    </row>
    <row r="97">
      <c r="A97" s="2" t="inlineStr">
        <is>
          <t>CETUS_USDT_PERP</t>
        </is>
      </c>
      <c r="B97" s="2" t="inlineStr">
        <is>
          <t>已掃描</t>
        </is>
      </c>
      <c r="C97" s="2" t="inlineStr"/>
      <c r="D97" s="2" t="n"/>
      <c r="E97" s="17" t="n"/>
      <c r="F97" s="17" t="n"/>
      <c r="G97" s="2" t="n"/>
      <c r="H97" s="2" t="n"/>
    </row>
    <row r="98">
      <c r="A98" s="2" t="inlineStr">
        <is>
          <t>CFG_USDT_PERP</t>
        </is>
      </c>
      <c r="B98" s="2" t="inlineStr">
        <is>
          <t>已掃描</t>
        </is>
      </c>
      <c r="C98" s="2" t="inlineStr"/>
      <c r="D98" s="2" t="n"/>
      <c r="E98" s="17" t="n"/>
      <c r="F98" s="17" t="n"/>
      <c r="G98" s="2" t="n"/>
      <c r="H98" s="2" t="n"/>
    </row>
    <row r="99">
      <c r="A99" s="2" t="inlineStr">
        <is>
          <t>CFX_USDT_PERP</t>
        </is>
      </c>
      <c r="B99" s="2" t="inlineStr">
        <is>
          <t>已掃描</t>
        </is>
      </c>
      <c r="C99" s="2" t="inlineStr"/>
      <c r="D99" s="2" t="n"/>
      <c r="E99" s="17" t="n"/>
      <c r="F99" s="17" t="n"/>
      <c r="G99" s="2" t="n"/>
      <c r="H99" s="2" t="n"/>
    </row>
    <row r="100">
      <c r="A100" s="2" t="inlineStr">
        <is>
          <t>CF_USDT_PERP</t>
        </is>
      </c>
      <c r="B100" s="2" t="inlineStr">
        <is>
          <t>已掃描</t>
        </is>
      </c>
      <c r="C100" s="2" t="inlineStr"/>
      <c r="D100" s="2" t="n"/>
      <c r="E100" s="17" t="n"/>
      <c r="F100" s="17" t="n"/>
      <c r="G100" s="2" t="n"/>
      <c r="H100" s="2" t="n"/>
    </row>
    <row r="101">
      <c r="A101" s="2" t="inlineStr">
        <is>
          <t>CHIP_USDT_PERP</t>
        </is>
      </c>
      <c r="B101" s="2" t="inlineStr">
        <is>
          <t>已掃描</t>
        </is>
      </c>
      <c r="C101" s="2" t="inlineStr"/>
      <c r="D101" s="2" t="n"/>
      <c r="E101" s="17" t="n"/>
      <c r="F101" s="17" t="n"/>
      <c r="G101" s="2" t="n"/>
      <c r="H101" s="2" t="n"/>
    </row>
    <row r="102">
      <c r="A102" s="2" t="inlineStr">
        <is>
          <t>CHZ_USDT_PERP</t>
        </is>
      </c>
      <c r="B102" s="2" t="inlineStr">
        <is>
          <t>已掃描</t>
        </is>
      </c>
      <c r="C102" s="2" t="inlineStr"/>
      <c r="D102" s="2" t="n"/>
      <c r="E102" s="17" t="n"/>
      <c r="F102" s="17" t="n"/>
      <c r="G102" s="2" t="n"/>
      <c r="H102" s="2" t="n"/>
    </row>
    <row r="103">
      <c r="A103" s="2" t="inlineStr">
        <is>
          <t>CKB_USDT_PERP</t>
        </is>
      </c>
      <c r="B103" s="2" t="inlineStr">
        <is>
          <t>已掃描</t>
        </is>
      </c>
      <c r="C103" s="2" t="inlineStr"/>
      <c r="D103" s="2" t="n"/>
      <c r="E103" s="17" t="n"/>
      <c r="F103" s="17" t="n"/>
      <c r="G103" s="2" t="n"/>
      <c r="H103" s="2" t="n"/>
    </row>
    <row r="104">
      <c r="A104" s="2" t="inlineStr">
        <is>
          <t>CLANKER_USDT_PERP</t>
        </is>
      </c>
      <c r="B104" s="2" t="inlineStr">
        <is>
          <t>已掃描</t>
        </is>
      </c>
      <c r="C104" s="2" t="inlineStr"/>
      <c r="D104" s="2" t="n"/>
      <c r="E104" s="17" t="n"/>
      <c r="F104" s="17" t="n"/>
      <c r="G104" s="2" t="n"/>
      <c r="H104" s="2" t="n"/>
    </row>
    <row r="105">
      <c r="A105" s="2" t="inlineStr">
        <is>
          <t>CLO_USDT_PERP</t>
        </is>
      </c>
      <c r="B105" s="2" t="inlineStr">
        <is>
          <t>已掃描</t>
        </is>
      </c>
      <c r="C105" s="2" t="inlineStr"/>
      <c r="D105" s="2" t="n"/>
      <c r="E105" s="17" t="n"/>
      <c r="F105" s="17" t="n"/>
      <c r="G105" s="2" t="n"/>
      <c r="H105" s="2" t="n"/>
    </row>
    <row r="106">
      <c r="A106" s="2" t="inlineStr">
        <is>
          <t>COAI_USDT_PERP</t>
        </is>
      </c>
      <c r="B106" s="2" t="inlineStr">
        <is>
          <t>已掃描</t>
        </is>
      </c>
      <c r="C106" s="2" t="inlineStr"/>
      <c r="D106" s="2" t="n"/>
      <c r="E106" s="17" t="n"/>
      <c r="F106" s="17" t="n"/>
      <c r="G106" s="2" t="n"/>
      <c r="H106" s="2" t="n"/>
    </row>
    <row r="107">
      <c r="A107" s="2" t="inlineStr">
        <is>
          <t>COLLECT_USDT_PERP</t>
        </is>
      </c>
      <c r="B107" s="2" t="inlineStr">
        <is>
          <t>已掃描</t>
        </is>
      </c>
      <c r="C107" s="2" t="inlineStr"/>
      <c r="D107" s="2" t="n"/>
      <c r="E107" s="17" t="n"/>
      <c r="F107" s="17" t="n"/>
      <c r="G107" s="2" t="n"/>
      <c r="H107" s="2" t="n"/>
    </row>
    <row r="108">
      <c r="A108" s="2" t="inlineStr">
        <is>
          <t>COMP_USDT_PERP</t>
        </is>
      </c>
      <c r="B108" s="2" t="inlineStr">
        <is>
          <t>已掃描</t>
        </is>
      </c>
      <c r="C108" s="2" t="inlineStr"/>
      <c r="D108" s="2" t="n"/>
      <c r="E108" s="17" t="n"/>
      <c r="F108" s="17" t="n"/>
      <c r="G108" s="2" t="n"/>
      <c r="H108" s="2" t="n"/>
    </row>
    <row r="109">
      <c r="A109" s="2" t="inlineStr">
        <is>
          <t>COOKIE_USDT_PERP</t>
        </is>
      </c>
      <c r="B109" s="2" t="inlineStr">
        <is>
          <t>已掃描</t>
        </is>
      </c>
      <c r="C109" s="2" t="inlineStr"/>
      <c r="D109" s="2" t="n"/>
      <c r="E109" s="17" t="n"/>
      <c r="F109" s="17" t="n"/>
      <c r="G109" s="2" t="n"/>
      <c r="H109" s="2" t="n"/>
    </row>
    <row r="110">
      <c r="A110" s="2" t="inlineStr">
        <is>
          <t>COTI_USDT_PERP</t>
        </is>
      </c>
      <c r="B110" s="2" t="inlineStr">
        <is>
          <t>已掃描</t>
        </is>
      </c>
      <c r="C110" s="2" t="inlineStr"/>
      <c r="D110" s="2" t="n"/>
      <c r="E110" s="17" t="n"/>
      <c r="F110" s="17" t="n"/>
      <c r="G110" s="2" t="n"/>
      <c r="H110" s="2" t="n"/>
    </row>
    <row r="111">
      <c r="A111" s="2" t="inlineStr">
        <is>
          <t>CROSS_USDT_PERP</t>
        </is>
      </c>
      <c r="B111" s="2" t="inlineStr">
        <is>
          <t>已掃描</t>
        </is>
      </c>
      <c r="C111" s="2" t="inlineStr"/>
      <c r="D111" s="2" t="n"/>
      <c r="E111" s="17" t="n"/>
      <c r="F111" s="17" t="n"/>
      <c r="G111" s="2" t="n"/>
      <c r="H111" s="2" t="n"/>
    </row>
    <row r="112">
      <c r="A112" s="2" t="inlineStr">
        <is>
          <t>CRO_USDT_PERP</t>
        </is>
      </c>
      <c r="B112" s="2" t="inlineStr">
        <is>
          <t>已掃描</t>
        </is>
      </c>
      <c r="C112" s="2" t="inlineStr"/>
      <c r="D112" s="2" t="n"/>
      <c r="E112" s="17" t="n"/>
      <c r="F112" s="17" t="n"/>
      <c r="G112" s="2" t="n"/>
      <c r="H112" s="2" t="n"/>
    </row>
    <row r="113">
      <c r="A113" s="2" t="inlineStr">
        <is>
          <t>CRV_USDT_PERP</t>
        </is>
      </c>
      <c r="B113" s="2" t="inlineStr">
        <is>
          <t>已掃描</t>
        </is>
      </c>
      <c r="C113" s="2" t="inlineStr"/>
      <c r="D113" s="2" t="n"/>
      <c r="E113" s="17" t="n"/>
      <c r="F113" s="17" t="n"/>
      <c r="G113" s="2" t="n"/>
      <c r="H113" s="2" t="n"/>
    </row>
    <row r="114">
      <c r="A114" s="2" t="inlineStr">
        <is>
          <t>CTR_USDT_PERP</t>
        </is>
      </c>
      <c r="B114" s="2" t="inlineStr">
        <is>
          <t>已掃描</t>
        </is>
      </c>
      <c r="C114" s="2" t="inlineStr"/>
      <c r="D114" s="2" t="n"/>
      <c r="E114" s="17" t="n"/>
      <c r="F114" s="17" t="n"/>
      <c r="G114" s="2" t="n"/>
      <c r="H114" s="2" t="n"/>
    </row>
    <row r="115">
      <c r="A115" s="2" t="inlineStr">
        <is>
          <t>CT_USDT_PERP</t>
        </is>
      </c>
      <c r="B115" s="2" t="inlineStr">
        <is>
          <t>已掃描</t>
        </is>
      </c>
      <c r="C115" s="2" t="inlineStr"/>
      <c r="D115" s="2" t="n"/>
      <c r="E115" s="17" t="n"/>
      <c r="F115" s="17" t="n"/>
      <c r="G115" s="2" t="n"/>
      <c r="H115" s="2" t="n"/>
    </row>
    <row r="116">
      <c r="A116" s="2" t="inlineStr">
        <is>
          <t>CVX_USDT_PERP</t>
        </is>
      </c>
      <c r="B116" s="2" t="inlineStr">
        <is>
          <t>已掃描</t>
        </is>
      </c>
      <c r="C116" s="2" t="inlineStr"/>
      <c r="D116" s="2" t="n"/>
      <c r="E116" s="17" t="n"/>
      <c r="F116" s="17" t="n"/>
      <c r="G116" s="2" t="n"/>
      <c r="H116" s="2" t="n"/>
    </row>
    <row r="117">
      <c r="A117" s="2" t="inlineStr">
        <is>
          <t>CYS_USDT_PERP</t>
        </is>
      </c>
      <c r="B117" s="2" t="inlineStr">
        <is>
          <t>已掃描</t>
        </is>
      </c>
      <c r="C117" s="2" t="inlineStr"/>
      <c r="D117" s="2" t="n"/>
      <c r="E117" s="17" t="n"/>
      <c r="F117" s="17" t="n"/>
      <c r="G117" s="2" t="n"/>
      <c r="H117" s="2" t="n"/>
    </row>
    <row r="118">
      <c r="A118" s="2" t="inlineStr">
        <is>
          <t>DASH_USDT_PERP</t>
        </is>
      </c>
      <c r="B118" s="2" t="inlineStr">
        <is>
          <t>已掃描</t>
        </is>
      </c>
      <c r="C118" s="2" t="inlineStr"/>
      <c r="D118" s="2" t="n"/>
      <c r="E118" s="17" t="n"/>
      <c r="F118" s="17" t="n"/>
      <c r="G118" s="2" t="n"/>
      <c r="H118" s="2" t="n"/>
    </row>
    <row r="119">
      <c r="A119" s="2" t="inlineStr">
        <is>
          <t>DATA_USDT_PERP</t>
        </is>
      </c>
      <c r="B119" s="2" t="inlineStr">
        <is>
          <t>已掃描</t>
        </is>
      </c>
      <c r="C119" s="2" t="inlineStr"/>
      <c r="D119" s="2" t="n"/>
      <c r="E119" s="17" t="n"/>
      <c r="F119" s="17" t="n"/>
      <c r="G119" s="2" t="n"/>
      <c r="H119" s="2" t="n"/>
    </row>
    <row r="120">
      <c r="A120" s="2" t="inlineStr">
        <is>
          <t>DODO_USDT_PERP</t>
        </is>
      </c>
      <c r="B120" s="2" t="inlineStr">
        <is>
          <t>已掃描</t>
        </is>
      </c>
      <c r="C120" s="2" t="inlineStr"/>
      <c r="D120" s="2" t="n"/>
      <c r="E120" s="17" t="n"/>
      <c r="F120" s="17" t="n"/>
      <c r="G120" s="2" t="n"/>
      <c r="H120" s="2" t="n"/>
    </row>
    <row r="121">
      <c r="A121" s="2" t="inlineStr">
        <is>
          <t>DOGE_USDT_PERP</t>
        </is>
      </c>
      <c r="B121" s="2" t="inlineStr">
        <is>
          <t>已掃描</t>
        </is>
      </c>
      <c r="C121" s="2" t="inlineStr"/>
      <c r="D121" s="2" t="n"/>
      <c r="E121" s="17" t="n"/>
      <c r="F121" s="17" t="n"/>
      <c r="G121" s="2" t="n"/>
      <c r="H121" s="2" t="n"/>
    </row>
    <row r="122">
      <c r="A122" s="2" t="inlineStr">
        <is>
          <t>DOGS_USDT_PERP</t>
        </is>
      </c>
      <c r="B122" s="2" t="inlineStr">
        <is>
          <t>已掃描</t>
        </is>
      </c>
      <c r="C122" s="2" t="inlineStr"/>
      <c r="D122" s="2" t="n"/>
      <c r="E122" s="17" t="n"/>
      <c r="F122" s="17" t="n"/>
      <c r="G122" s="2" t="n"/>
      <c r="H122" s="2" t="n"/>
    </row>
    <row r="123">
      <c r="A123" s="2" t="inlineStr">
        <is>
          <t>DOLO_USDT_PERP</t>
        </is>
      </c>
      <c r="B123" s="2" t="inlineStr">
        <is>
          <t>已掃描</t>
        </is>
      </c>
      <c r="C123" s="2" t="inlineStr"/>
      <c r="D123" s="2" t="n"/>
      <c r="E123" s="17" t="n"/>
      <c r="F123" s="17" t="n"/>
      <c r="G123" s="2" t="n"/>
      <c r="H123" s="2" t="n"/>
    </row>
    <row r="124">
      <c r="A124" s="2" t="inlineStr">
        <is>
          <t>DOS_USDT_PERP</t>
        </is>
      </c>
      <c r="B124" s="2" t="inlineStr">
        <is>
          <t>已掃描</t>
        </is>
      </c>
      <c r="C124" s="2" t="inlineStr"/>
      <c r="D124" s="2" t="n"/>
      <c r="E124" s="17" t="n"/>
      <c r="F124" s="17" t="n"/>
      <c r="G124" s="2" t="n"/>
      <c r="H124" s="2" t="n"/>
    </row>
    <row r="125">
      <c r="A125" s="2" t="inlineStr">
        <is>
          <t>DOT_USDT_PERP</t>
        </is>
      </c>
      <c r="B125" s="2" t="inlineStr">
        <is>
          <t>已掃描</t>
        </is>
      </c>
      <c r="C125" s="2" t="inlineStr"/>
      <c r="D125" s="2" t="n"/>
      <c r="E125" s="17" t="n"/>
      <c r="F125" s="17" t="n"/>
      <c r="G125" s="2" t="n"/>
      <c r="H125" s="2" t="n"/>
    </row>
    <row r="126">
      <c r="A126" s="2" t="inlineStr">
        <is>
          <t>DRIFT_USDT_PERP</t>
        </is>
      </c>
      <c r="B126" s="2" t="inlineStr">
        <is>
          <t>已掃描</t>
        </is>
      </c>
      <c r="C126" s="2" t="inlineStr"/>
      <c r="D126" s="2" t="n"/>
      <c r="E126" s="17" t="n"/>
      <c r="F126" s="17" t="n"/>
      <c r="G126" s="2" t="n"/>
      <c r="H126" s="2" t="n"/>
    </row>
    <row r="127">
      <c r="A127" s="2" t="inlineStr">
        <is>
          <t>DUSK_USDT_PERP</t>
        </is>
      </c>
      <c r="B127" s="2" t="inlineStr">
        <is>
          <t>已掃描</t>
        </is>
      </c>
      <c r="C127" s="2" t="inlineStr"/>
      <c r="D127" s="2" t="n"/>
      <c r="E127" s="17" t="n"/>
      <c r="F127" s="17" t="n"/>
      <c r="G127" s="2" t="n"/>
      <c r="H127" s="2" t="n"/>
    </row>
    <row r="128">
      <c r="A128" s="2" t="inlineStr">
        <is>
          <t>DYM_USDT_PERP</t>
        </is>
      </c>
      <c r="B128" s="2" t="inlineStr">
        <is>
          <t>已掃描</t>
        </is>
      </c>
      <c r="C128" s="2" t="inlineStr"/>
      <c r="D128" s="2" t="n"/>
      <c r="E128" s="17" t="n"/>
      <c r="F128" s="17" t="n"/>
      <c r="G128" s="2" t="n"/>
      <c r="H128" s="2" t="n"/>
    </row>
    <row r="129">
      <c r="A129" s="2" t="inlineStr">
        <is>
          <t>EDEN_USDT_PERP</t>
        </is>
      </c>
      <c r="B129" s="2" t="inlineStr">
        <is>
          <t>已掃描</t>
        </is>
      </c>
      <c r="C129" s="2" t="inlineStr"/>
      <c r="D129" s="2" t="n"/>
      <c r="E129" s="17" t="n"/>
      <c r="F129" s="17" t="n"/>
      <c r="G129" s="2" t="n"/>
      <c r="H129" s="2" t="n"/>
    </row>
    <row r="130">
      <c r="A130" s="2" t="inlineStr">
        <is>
          <t>EDGE_USDT_PERP</t>
        </is>
      </c>
      <c r="B130" s="2" t="inlineStr">
        <is>
          <t>已掃描</t>
        </is>
      </c>
      <c r="C130" s="2" t="inlineStr"/>
      <c r="D130" s="2" t="n"/>
      <c r="E130" s="17" t="n"/>
      <c r="F130" s="17" t="n"/>
      <c r="G130" s="2" t="n"/>
      <c r="H130" s="2" t="n"/>
    </row>
    <row r="131">
      <c r="A131" s="2" t="inlineStr">
        <is>
          <t>EDU_USDT_PERP</t>
        </is>
      </c>
      <c r="B131" s="2" t="inlineStr">
        <is>
          <t>已掃描</t>
        </is>
      </c>
      <c r="C131" s="2" t="inlineStr"/>
      <c r="D131" s="2" t="n"/>
      <c r="E131" s="17" t="n"/>
      <c r="F131" s="17" t="n"/>
      <c r="G131" s="2" t="n"/>
      <c r="H131" s="2" t="n"/>
    </row>
    <row r="132">
      <c r="A132" s="2" t="inlineStr">
        <is>
          <t>EGLD_USDT_PERP</t>
        </is>
      </c>
      <c r="B132" s="2" t="inlineStr">
        <is>
          <t>已掃描</t>
        </is>
      </c>
      <c r="C132" s="2" t="inlineStr"/>
      <c r="D132" s="2" t="n"/>
      <c r="E132" s="17" t="n"/>
      <c r="F132" s="17" t="n"/>
      <c r="G132" s="2" t="n"/>
      <c r="H132" s="2" t="n"/>
    </row>
    <row r="133">
      <c r="A133" s="2" t="inlineStr">
        <is>
          <t>EIGEN_USDT_PERP</t>
        </is>
      </c>
      <c r="B133" s="2" t="inlineStr">
        <is>
          <t>已掃描</t>
        </is>
      </c>
      <c r="C133" s="2" t="inlineStr"/>
      <c r="D133" s="2" t="n"/>
      <c r="E133" s="17" t="n"/>
      <c r="F133" s="17" t="n"/>
      <c r="G133" s="2" t="n"/>
      <c r="H133" s="2" t="n"/>
    </row>
    <row r="134">
      <c r="A134" s="2" t="inlineStr">
        <is>
          <t>ELSA_USDT_PERP</t>
        </is>
      </c>
      <c r="B134" s="2" t="inlineStr">
        <is>
          <t>已掃描</t>
        </is>
      </c>
      <c r="C134" s="2" t="inlineStr"/>
      <c r="D134" s="2" t="n"/>
      <c r="E134" s="17" t="n"/>
      <c r="F134" s="17" t="n"/>
      <c r="G134" s="2" t="n"/>
      <c r="H134" s="2" t="n"/>
    </row>
    <row r="135">
      <c r="A135" s="2" t="inlineStr">
        <is>
          <t>ENA_USDT_PERP</t>
        </is>
      </c>
      <c r="B135" s="2" t="inlineStr">
        <is>
          <t>已掃描</t>
        </is>
      </c>
      <c r="C135" s="2" t="inlineStr"/>
      <c r="D135" s="2" t="n"/>
      <c r="E135" s="17" t="n"/>
      <c r="F135" s="17" t="n"/>
      <c r="G135" s="2" t="n"/>
      <c r="H135" s="2" t="n"/>
    </row>
    <row r="136">
      <c r="A136" s="2" t="inlineStr">
        <is>
          <t>ENJ_USDT_PERP</t>
        </is>
      </c>
      <c r="B136" s="2" t="inlineStr">
        <is>
          <t>已掃描</t>
        </is>
      </c>
      <c r="C136" s="2" t="inlineStr"/>
      <c r="D136" s="2" t="n"/>
      <c r="E136" s="17" t="n"/>
      <c r="F136" s="17" t="n"/>
      <c r="G136" s="2" t="n"/>
      <c r="H136" s="2" t="n"/>
    </row>
    <row r="137">
      <c r="A137" s="2" t="inlineStr">
        <is>
          <t>ENSO_USDT_PERP</t>
        </is>
      </c>
      <c r="B137" s="2" t="inlineStr">
        <is>
          <t>已掃描</t>
        </is>
      </c>
      <c r="C137" s="2" t="inlineStr"/>
      <c r="D137" s="2" t="n"/>
      <c r="E137" s="17" t="n"/>
      <c r="F137" s="17" t="n"/>
      <c r="G137" s="2" t="n"/>
      <c r="H137" s="2" t="n"/>
    </row>
    <row r="138">
      <c r="A138" s="2" t="inlineStr">
        <is>
          <t>ENS_USDT_PERP</t>
        </is>
      </c>
      <c r="B138" s="2" t="inlineStr">
        <is>
          <t>已掃描</t>
        </is>
      </c>
      <c r="C138" s="2" t="inlineStr"/>
      <c r="D138" s="2" t="n"/>
      <c r="E138" s="17" t="n"/>
      <c r="F138" s="17" t="n"/>
      <c r="G138" s="2" t="n"/>
      <c r="H138" s="2" t="n"/>
    </row>
    <row r="139">
      <c r="A139" s="2" t="inlineStr">
        <is>
          <t>ESP_USDT_PERP</t>
        </is>
      </c>
      <c r="B139" s="2" t="inlineStr">
        <is>
          <t>已掃描</t>
        </is>
      </c>
      <c r="C139" s="2" t="inlineStr"/>
      <c r="D139" s="2" t="n"/>
      <c r="E139" s="17" t="n"/>
      <c r="F139" s="17" t="n"/>
      <c r="G139" s="2" t="n"/>
      <c r="H139" s="2" t="n"/>
    </row>
    <row r="140">
      <c r="A140" s="2" t="inlineStr">
        <is>
          <t>ETC_USDT_PERP</t>
        </is>
      </c>
      <c r="B140" s="2" t="inlineStr">
        <is>
          <t>已掃描</t>
        </is>
      </c>
      <c r="C140" s="2" t="inlineStr"/>
      <c r="D140" s="2" t="n"/>
      <c r="E140" s="17" t="n"/>
      <c r="F140" s="17" t="n"/>
      <c r="G140" s="2" t="n"/>
      <c r="H140" s="2" t="n"/>
    </row>
    <row r="141">
      <c r="A141" s="2" t="inlineStr">
        <is>
          <t>ETHFI_USDT_PERP</t>
        </is>
      </c>
      <c r="B141" s="2" t="inlineStr">
        <is>
          <t>已掃描</t>
        </is>
      </c>
      <c r="C141" s="2" t="inlineStr"/>
      <c r="D141" s="2" t="n"/>
      <c r="E141" s="17" t="n"/>
      <c r="F141" s="17" t="n"/>
      <c r="G141" s="2" t="n"/>
      <c r="H141" s="2" t="n"/>
    </row>
    <row r="142">
      <c r="A142" s="2" t="inlineStr">
        <is>
          <t>ETH_USDT_PERP</t>
        </is>
      </c>
      <c r="B142" s="2" t="inlineStr">
        <is>
          <t>已掃描</t>
        </is>
      </c>
      <c r="C142" s="2" t="inlineStr"/>
      <c r="D142" s="2" t="n"/>
      <c r="E142" s="17" t="n"/>
      <c r="F142" s="17" t="n"/>
      <c r="G142" s="2" t="n"/>
      <c r="H142" s="2" t="n"/>
    </row>
    <row r="143">
      <c r="A143" s="2" t="inlineStr">
        <is>
          <t>EUL_USDT_PERP</t>
        </is>
      </c>
      <c r="B143" s="2" t="inlineStr">
        <is>
          <t>已掃描</t>
        </is>
      </c>
      <c r="C143" s="2" t="inlineStr"/>
      <c r="D143" s="2" t="n"/>
      <c r="E143" s="17" t="n"/>
      <c r="F143" s="17" t="n"/>
      <c r="G143" s="2" t="n"/>
      <c r="H143" s="2" t="n"/>
    </row>
    <row r="144">
      <c r="A144" s="2" t="inlineStr">
        <is>
          <t>EVAA_USDT_PERP</t>
        </is>
      </c>
      <c r="B144" s="2" t="inlineStr">
        <is>
          <t>已掃描</t>
        </is>
      </c>
      <c r="C144" s="2" t="inlineStr"/>
      <c r="D144" s="2" t="n"/>
      <c r="E144" s="17" t="n"/>
      <c r="F144" s="17" t="n"/>
      <c r="G144" s="2" t="n"/>
      <c r="H144" s="2" t="n"/>
    </row>
    <row r="145">
      <c r="A145" s="2" t="inlineStr">
        <is>
          <t>FARTCOIN_USDT_PERP</t>
        </is>
      </c>
      <c r="B145" s="2" t="inlineStr">
        <is>
          <t>已掃描</t>
        </is>
      </c>
      <c r="C145" s="2" t="inlineStr"/>
      <c r="D145" s="2" t="n"/>
      <c r="E145" s="17" t="n"/>
      <c r="F145" s="17" t="n"/>
      <c r="G145" s="2" t="n"/>
      <c r="H145" s="2" t="n"/>
    </row>
    <row r="146">
      <c r="A146" s="2" t="inlineStr">
        <is>
          <t>FET_USDT_PERP</t>
        </is>
      </c>
      <c r="B146" s="2" t="inlineStr">
        <is>
          <t>已掃描</t>
        </is>
      </c>
      <c r="C146" s="2" t="inlineStr"/>
      <c r="D146" s="2" t="n"/>
      <c r="E146" s="17" t="n"/>
      <c r="F146" s="17" t="n"/>
      <c r="G146" s="2" t="n"/>
      <c r="H146" s="2" t="n"/>
    </row>
    <row r="147">
      <c r="A147" s="2" t="inlineStr">
        <is>
          <t>FF_USDT_PERP</t>
        </is>
      </c>
      <c r="B147" s="2" t="inlineStr">
        <is>
          <t>已掃描</t>
        </is>
      </c>
      <c r="C147" s="2" t="inlineStr"/>
      <c r="D147" s="2" t="n"/>
      <c r="E147" s="17" t="n"/>
      <c r="F147" s="17" t="n"/>
      <c r="G147" s="2" t="n"/>
      <c r="H147" s="2" t="n"/>
    </row>
    <row r="148">
      <c r="A148" s="2" t="inlineStr">
        <is>
          <t>FHE_USDT_PERP</t>
        </is>
      </c>
      <c r="B148" s="2" t="inlineStr">
        <is>
          <t>已掃描</t>
        </is>
      </c>
      <c r="C148" s="2" t="inlineStr"/>
      <c r="D148" s="2" t="n"/>
      <c r="E148" s="17" t="n"/>
      <c r="F148" s="17" t="n"/>
      <c r="G148" s="2" t="n"/>
      <c r="H148" s="2" t="n"/>
    </row>
    <row r="149">
      <c r="A149" s="2" t="inlineStr">
        <is>
          <t>FIL_USDT_PERP</t>
        </is>
      </c>
      <c r="B149" s="2" t="inlineStr">
        <is>
          <t>已掃描</t>
        </is>
      </c>
      <c r="C149" s="2" t="inlineStr"/>
      <c r="D149" s="2" t="n"/>
      <c r="E149" s="17" t="n"/>
      <c r="F149" s="17" t="n"/>
      <c r="G149" s="2" t="n"/>
      <c r="H149" s="2" t="n"/>
    </row>
    <row r="150">
      <c r="A150" s="2" t="inlineStr">
        <is>
          <t>FLOKI_USDT_PERP</t>
        </is>
      </c>
      <c r="B150" s="2" t="inlineStr">
        <is>
          <t>已掃描</t>
        </is>
      </c>
      <c r="C150" s="2" t="inlineStr"/>
      <c r="D150" s="2" t="n"/>
      <c r="E150" s="17" t="n"/>
      <c r="F150" s="17" t="n"/>
      <c r="G150" s="2" t="n"/>
      <c r="H150" s="2" t="n"/>
    </row>
    <row r="151">
      <c r="A151" s="2" t="inlineStr">
        <is>
          <t>FLUID_USDT_PERP</t>
        </is>
      </c>
      <c r="B151" s="2" t="inlineStr">
        <is>
          <t>已掃描</t>
        </is>
      </c>
      <c r="C151" s="2" t="inlineStr"/>
      <c r="D151" s="2" t="n"/>
      <c r="E151" s="17" t="n"/>
      <c r="F151" s="17" t="n"/>
      <c r="G151" s="2" t="n"/>
      <c r="H151" s="2" t="n"/>
    </row>
    <row r="152">
      <c r="A152" s="2" t="inlineStr">
        <is>
          <t>FOGO_USDT_PERP</t>
        </is>
      </c>
      <c r="B152" s="2" t="inlineStr">
        <is>
          <t>已掃描</t>
        </is>
      </c>
      <c r="C152" s="2" t="inlineStr"/>
      <c r="D152" s="2" t="n"/>
      <c r="E152" s="17" t="n"/>
      <c r="F152" s="17" t="n"/>
      <c r="G152" s="2" t="n"/>
      <c r="H152" s="2" t="n"/>
    </row>
    <row r="153">
      <c r="A153" s="2" t="inlineStr">
        <is>
          <t>FOLKS_USDT_PERP</t>
        </is>
      </c>
      <c r="B153" s="2" t="inlineStr">
        <is>
          <t>已掃描</t>
        </is>
      </c>
      <c r="C153" s="2" t="inlineStr"/>
      <c r="D153" s="2" t="n"/>
      <c r="E153" s="17" t="n"/>
      <c r="F153" s="17" t="n"/>
      <c r="G153" s="2" t="n"/>
      <c r="H153" s="2" t="n"/>
    </row>
    <row r="154">
      <c r="A154" s="2" t="inlineStr">
        <is>
          <t>GALA_USDT_PERP</t>
        </is>
      </c>
      <c r="B154" s="2" t="inlineStr">
        <is>
          <t>已掃描</t>
        </is>
      </c>
      <c r="C154" s="2" t="inlineStr"/>
      <c r="D154" s="2" t="n"/>
      <c r="E154" s="17" t="n"/>
      <c r="F154" s="17" t="n"/>
      <c r="G154" s="2" t="n"/>
      <c r="H154" s="2" t="n"/>
    </row>
    <row r="155">
      <c r="A155" s="2" t="inlineStr">
        <is>
          <t>GAS_USDT_PERP</t>
        </is>
      </c>
      <c r="B155" s="2" t="inlineStr">
        <is>
          <t>已掃描</t>
        </is>
      </c>
      <c r="C155" s="2" t="inlineStr"/>
      <c r="D155" s="2" t="n"/>
      <c r="E155" s="17" t="n"/>
      <c r="F155" s="17" t="n"/>
      <c r="G155" s="2" t="n"/>
      <c r="H155" s="2" t="n"/>
    </row>
    <row r="156">
      <c r="A156" s="2" t="inlineStr">
        <is>
          <t>GENIUS_USDT_PERP</t>
        </is>
      </c>
      <c r="B156" s="2" t="inlineStr">
        <is>
          <t>已掃描</t>
        </is>
      </c>
      <c r="C156" s="2" t="inlineStr"/>
      <c r="D156" s="2" t="n"/>
      <c r="E156" s="17" t="n"/>
      <c r="F156" s="17" t="n"/>
      <c r="G156" s="2" t="n"/>
      <c r="H156" s="2" t="n"/>
    </row>
    <row r="157">
      <c r="A157" s="2" t="inlineStr">
        <is>
          <t>GIGGLE_USDT_PERP</t>
        </is>
      </c>
      <c r="B157" s="2" t="inlineStr">
        <is>
          <t>已掃描</t>
        </is>
      </c>
      <c r="C157" s="2" t="inlineStr"/>
      <c r="D157" s="2" t="n"/>
      <c r="E157" s="17" t="n"/>
      <c r="F157" s="17" t="n"/>
      <c r="G157" s="2" t="n"/>
      <c r="H157" s="2" t="n"/>
    </row>
    <row r="158">
      <c r="A158" s="2" t="inlineStr">
        <is>
          <t>GMT_USDT_PERP</t>
        </is>
      </c>
      <c r="B158" s="2" t="inlineStr">
        <is>
          <t>已掃描</t>
        </is>
      </c>
      <c r="C158" s="2" t="inlineStr"/>
      <c r="D158" s="2" t="n"/>
      <c r="E158" s="17" t="n"/>
      <c r="F158" s="17" t="n"/>
      <c r="G158" s="2" t="n"/>
      <c r="H158" s="2" t="n"/>
    </row>
    <row r="159">
      <c r="A159" s="2" t="inlineStr">
        <is>
          <t>GMX_USDT_PERP</t>
        </is>
      </c>
      <c r="B159" s="2" t="inlineStr">
        <is>
          <t>已掃描</t>
        </is>
      </c>
      <c r="C159" s="2" t="inlineStr"/>
      <c r="D159" s="2" t="n"/>
      <c r="E159" s="17" t="n"/>
      <c r="F159" s="17" t="n"/>
      <c r="G159" s="2" t="n"/>
      <c r="H159" s="2" t="n"/>
    </row>
    <row r="160">
      <c r="A160" s="2" t="inlineStr">
        <is>
          <t>GOAT_USDT_PERP</t>
        </is>
      </c>
      <c r="B160" s="2" t="inlineStr">
        <is>
          <t>已掃描</t>
        </is>
      </c>
      <c r="C160" s="2" t="inlineStr"/>
      <c r="D160" s="2" t="n"/>
      <c r="E160" s="17" t="n"/>
      <c r="F160" s="17" t="n"/>
      <c r="G160" s="2" t="n"/>
      <c r="H160" s="2" t="n"/>
    </row>
    <row r="161">
      <c r="A161" s="2" t="inlineStr">
        <is>
          <t>GPS_USDT_PERP</t>
        </is>
      </c>
      <c r="B161" s="2" t="inlineStr">
        <is>
          <t>已掃描</t>
        </is>
      </c>
      <c r="C161" s="2" t="inlineStr"/>
      <c r="D161" s="2" t="n"/>
      <c r="E161" s="17" t="n"/>
      <c r="F161" s="17" t="n"/>
      <c r="G161" s="2" t="n"/>
      <c r="H161" s="2" t="n"/>
    </row>
    <row r="162">
      <c r="A162" s="2" t="inlineStr">
        <is>
          <t>GRAM_USDT_PERP</t>
        </is>
      </c>
      <c r="B162" s="2" t="inlineStr">
        <is>
          <t>已掃描</t>
        </is>
      </c>
      <c r="C162" s="2" t="inlineStr"/>
      <c r="D162" s="2" t="n"/>
      <c r="E162" s="17" t="n"/>
      <c r="F162" s="17" t="n"/>
      <c r="G162" s="2" t="n"/>
      <c r="H162" s="2" t="n"/>
    </row>
    <row r="163">
      <c r="A163" s="2" t="inlineStr">
        <is>
          <t>GRASS_USDT_PERP</t>
        </is>
      </c>
      <c r="B163" s="2" t="inlineStr">
        <is>
          <t>已掃描</t>
        </is>
      </c>
      <c r="C163" s="2" t="inlineStr"/>
      <c r="D163" s="2" t="n"/>
      <c r="E163" s="17" t="n"/>
      <c r="F163" s="17" t="n"/>
      <c r="G163" s="2" t="n"/>
      <c r="H163" s="2" t="n"/>
    </row>
    <row r="164">
      <c r="A164" s="2" t="inlineStr">
        <is>
          <t>GRIFFAIN_USDT_PERP</t>
        </is>
      </c>
      <c r="B164" s="2" t="inlineStr">
        <is>
          <t>已掃描</t>
        </is>
      </c>
      <c r="C164" s="2" t="inlineStr"/>
      <c r="D164" s="2" t="n"/>
      <c r="E164" s="17" t="n"/>
      <c r="F164" s="17" t="n"/>
      <c r="G164" s="2" t="n"/>
      <c r="H164" s="2" t="n"/>
    </row>
    <row r="165">
      <c r="A165" s="2" t="inlineStr">
        <is>
          <t>GRT_USDT_PERP</t>
        </is>
      </c>
      <c r="B165" s="2" t="inlineStr">
        <is>
          <t>已掃描</t>
        </is>
      </c>
      <c r="C165" s="2" t="inlineStr"/>
      <c r="D165" s="2" t="n"/>
      <c r="E165" s="17" t="n"/>
      <c r="F165" s="17" t="n"/>
      <c r="G165" s="2" t="n"/>
      <c r="H165" s="2" t="n"/>
    </row>
    <row r="166">
      <c r="A166" s="2" t="inlineStr">
        <is>
          <t>GRVT_USDT_PERP</t>
        </is>
      </c>
      <c r="B166" s="2" t="inlineStr">
        <is>
          <t>已掃描</t>
        </is>
      </c>
      <c r="C166" s="2" t="inlineStr"/>
      <c r="D166" s="2" t="n"/>
      <c r="E166" s="17" t="n"/>
      <c r="F166" s="17" t="n"/>
      <c r="G166" s="2" t="n"/>
      <c r="H166" s="2" t="n"/>
    </row>
    <row r="167">
      <c r="A167" s="2" t="inlineStr">
        <is>
          <t>GUA_USDT_PERP</t>
        </is>
      </c>
      <c r="B167" s="2" t="inlineStr">
        <is>
          <t>已掃描</t>
        </is>
      </c>
      <c r="C167" s="2" t="inlineStr"/>
      <c r="D167" s="2" t="n"/>
      <c r="E167" s="17" t="n"/>
      <c r="F167" s="17" t="n"/>
      <c r="G167" s="2" t="n"/>
      <c r="H167" s="2" t="n"/>
    </row>
    <row r="168">
      <c r="A168" s="2" t="inlineStr">
        <is>
          <t>GUN_USDT_PERP</t>
        </is>
      </c>
      <c r="B168" s="2" t="inlineStr">
        <is>
          <t>已掃描</t>
        </is>
      </c>
      <c r="C168" s="2" t="inlineStr"/>
      <c r="D168" s="2" t="n"/>
      <c r="E168" s="17" t="n"/>
      <c r="F168" s="17" t="n"/>
      <c r="G168" s="2" t="n"/>
      <c r="H168" s="2" t="n"/>
    </row>
    <row r="169">
      <c r="A169" s="2" t="inlineStr">
        <is>
          <t>GWEI_USDT_PERP</t>
        </is>
      </c>
      <c r="B169" s="2" t="inlineStr">
        <is>
          <t>已掃描</t>
        </is>
      </c>
      <c r="C169" s="2" t="inlineStr"/>
      <c r="D169" s="2" t="n"/>
      <c r="E169" s="17" t="n"/>
      <c r="F169" s="17" t="n"/>
      <c r="G169" s="2" t="n"/>
      <c r="H169" s="2" t="n"/>
    </row>
    <row r="170">
      <c r="A170" s="2" t="inlineStr">
        <is>
          <t>HAEDAL_USDT_PERP</t>
        </is>
      </c>
      <c r="B170" s="2" t="inlineStr">
        <is>
          <t>已掃描</t>
        </is>
      </c>
      <c r="C170" s="2" t="inlineStr"/>
      <c r="D170" s="2" t="n"/>
      <c r="E170" s="17" t="n"/>
      <c r="F170" s="17" t="n"/>
      <c r="G170" s="2" t="n"/>
      <c r="H170" s="2" t="n"/>
    </row>
    <row r="171">
      <c r="A171" s="2" t="inlineStr">
        <is>
          <t>HANA_USDT_PERP</t>
        </is>
      </c>
      <c r="B171" s="2" t="inlineStr">
        <is>
          <t>已掃描</t>
        </is>
      </c>
      <c r="C171" s="2" t="inlineStr"/>
      <c r="D171" s="2" t="n"/>
      <c r="E171" s="17" t="n"/>
      <c r="F171" s="17" t="n"/>
      <c r="G171" s="2" t="n"/>
      <c r="H171" s="2" t="n"/>
    </row>
    <row r="172">
      <c r="A172" s="2" t="inlineStr">
        <is>
          <t>HBAR_USDT_PERP</t>
        </is>
      </c>
      <c r="B172" s="2" t="inlineStr">
        <is>
          <t>已掃描</t>
        </is>
      </c>
      <c r="C172" s="2" t="inlineStr"/>
      <c r="D172" s="2" t="n"/>
      <c r="E172" s="17" t="n"/>
      <c r="F172" s="17" t="n"/>
      <c r="G172" s="2" t="n"/>
      <c r="H172" s="2" t="n"/>
    </row>
    <row r="173">
      <c r="A173" s="2" t="inlineStr">
        <is>
          <t>HEMI_USDT_PERP</t>
        </is>
      </c>
      <c r="B173" s="2" t="inlineStr">
        <is>
          <t>已掃描</t>
        </is>
      </c>
      <c r="C173" s="2" t="inlineStr"/>
      <c r="D173" s="2" t="n"/>
      <c r="E173" s="17" t="n"/>
      <c r="F173" s="17" t="n"/>
      <c r="G173" s="2" t="n"/>
      <c r="H173" s="2" t="n"/>
    </row>
    <row r="174">
      <c r="A174" s="2" t="inlineStr">
        <is>
          <t>HMSTR_USDT_PERP</t>
        </is>
      </c>
      <c r="B174" s="2" t="inlineStr">
        <is>
          <t>已掃描</t>
        </is>
      </c>
      <c r="C174" s="2" t="inlineStr"/>
      <c r="D174" s="2" t="n"/>
      <c r="E174" s="17" t="n"/>
      <c r="F174" s="17" t="n"/>
      <c r="G174" s="2" t="n"/>
      <c r="H174" s="2" t="n"/>
    </row>
    <row r="175">
      <c r="A175" s="2" t="inlineStr">
        <is>
          <t>HOLO_USDT_PERP</t>
        </is>
      </c>
      <c r="B175" s="2" t="inlineStr">
        <is>
          <t>已掃描</t>
        </is>
      </c>
      <c r="C175" s="2" t="inlineStr"/>
      <c r="D175" s="2" t="n"/>
      <c r="E175" s="17" t="n"/>
      <c r="F175" s="17" t="n"/>
      <c r="G175" s="2" t="n"/>
      <c r="H175" s="2" t="n"/>
    </row>
    <row r="176">
      <c r="A176" s="2" t="inlineStr">
        <is>
          <t>HOME_USDT_PERP</t>
        </is>
      </c>
      <c r="B176" s="2" t="inlineStr">
        <is>
          <t>已掃描</t>
        </is>
      </c>
      <c r="C176" s="2" t="inlineStr"/>
      <c r="D176" s="2" t="n"/>
      <c r="E176" s="17" t="n"/>
      <c r="F176" s="17" t="n"/>
      <c r="G176" s="2" t="n"/>
      <c r="H176" s="2" t="n"/>
    </row>
    <row r="177">
      <c r="A177" s="2" t="inlineStr">
        <is>
          <t>HUMA_USDT_PERP</t>
        </is>
      </c>
      <c r="B177" s="2" t="inlineStr">
        <is>
          <t>已掃描</t>
        </is>
      </c>
      <c r="C177" s="2" t="inlineStr"/>
      <c r="D177" s="2" t="n"/>
      <c r="E177" s="17" t="n"/>
      <c r="F177" s="17" t="n"/>
      <c r="G177" s="2" t="n"/>
      <c r="H177" s="2" t="n"/>
    </row>
    <row r="178">
      <c r="A178" s="2" t="inlineStr">
        <is>
          <t>HYPE_USDT_PERP</t>
        </is>
      </c>
      <c r="B178" s="2" t="inlineStr">
        <is>
          <t>已掃描</t>
        </is>
      </c>
      <c r="C178" s="2" t="inlineStr"/>
      <c r="D178" s="2" t="n"/>
      <c r="E178" s="17" t="n"/>
      <c r="F178" s="17" t="n"/>
      <c r="G178" s="2" t="n"/>
      <c r="H178" s="2" t="n"/>
    </row>
    <row r="179">
      <c r="A179" s="2" t="inlineStr">
        <is>
          <t>HYUNDAI_USDT_PERP</t>
        </is>
      </c>
      <c r="B179" s="2" t="inlineStr">
        <is>
          <t>已掃描</t>
        </is>
      </c>
      <c r="C179" s="2" t="inlineStr"/>
      <c r="D179" s="2" t="n"/>
      <c r="E179" s="17" t="n"/>
      <c r="F179" s="17" t="n"/>
      <c r="G179" s="2" t="n"/>
      <c r="H179" s="2" t="n"/>
    </row>
    <row r="180">
      <c r="A180" s="2" t="inlineStr">
        <is>
          <t>H_USDT_PERP</t>
        </is>
      </c>
      <c r="B180" s="2" t="inlineStr">
        <is>
          <t>已掃描</t>
        </is>
      </c>
      <c r="C180" s="2" t="inlineStr"/>
      <c r="D180" s="2" t="n"/>
      <c r="E180" s="17" t="n"/>
      <c r="F180" s="17" t="n"/>
      <c r="G180" s="2" t="n"/>
      <c r="H180" s="2" t="n"/>
    </row>
    <row r="181">
      <c r="A181" s="2" t="inlineStr">
        <is>
          <t>ICNT_USDT_PERP</t>
        </is>
      </c>
      <c r="B181" s="2" t="inlineStr">
        <is>
          <t>已掃描</t>
        </is>
      </c>
      <c r="C181" s="2" t="inlineStr"/>
      <c r="D181" s="2" t="n"/>
      <c r="E181" s="17" t="n"/>
      <c r="F181" s="17" t="n"/>
      <c r="G181" s="2" t="n"/>
      <c r="H181" s="2" t="n"/>
    </row>
    <row r="182">
      <c r="A182" s="2" t="inlineStr">
        <is>
          <t>ICP_USDT_PERP</t>
        </is>
      </c>
      <c r="B182" s="2" t="inlineStr">
        <is>
          <t>已掃描</t>
        </is>
      </c>
      <c r="C182" s="2" t="inlineStr"/>
      <c r="D182" s="2" t="n"/>
      <c r="E182" s="17" t="n"/>
      <c r="F182" s="17" t="n"/>
      <c r="G182" s="2" t="n"/>
      <c r="H182" s="2" t="n"/>
    </row>
    <row r="183">
      <c r="A183" s="2" t="inlineStr">
        <is>
          <t>IDOL_USDT_PERP</t>
        </is>
      </c>
      <c r="B183" s="2" t="inlineStr">
        <is>
          <t>已掃描</t>
        </is>
      </c>
      <c r="C183" s="2" t="inlineStr"/>
      <c r="D183" s="2" t="n"/>
      <c r="E183" s="17" t="n"/>
      <c r="F183" s="17" t="n"/>
      <c r="G183" s="2" t="n"/>
      <c r="H183" s="2" t="n"/>
    </row>
    <row r="184">
      <c r="A184" s="2" t="inlineStr">
        <is>
          <t>IMX_USDT_PERP</t>
        </is>
      </c>
      <c r="B184" s="2" t="inlineStr">
        <is>
          <t>已掃描</t>
        </is>
      </c>
      <c r="C184" s="2" t="inlineStr"/>
      <c r="D184" s="2" t="n"/>
      <c r="E184" s="17" t="n"/>
      <c r="F184" s="17" t="n"/>
      <c r="G184" s="2" t="n"/>
      <c r="H184" s="2" t="n"/>
    </row>
    <row r="185">
      <c r="A185" s="2" t="inlineStr">
        <is>
          <t>INIT_USDT_PERP</t>
        </is>
      </c>
      <c r="B185" s="2" t="inlineStr">
        <is>
          <t>已掃描</t>
        </is>
      </c>
      <c r="C185" s="2" t="inlineStr"/>
      <c r="D185" s="2" t="n"/>
      <c r="E185" s="17" t="n"/>
      <c r="F185" s="17" t="n"/>
      <c r="G185" s="2" t="n"/>
      <c r="H185" s="2" t="n"/>
    </row>
    <row r="186">
      <c r="A186" s="2" t="inlineStr">
        <is>
          <t>INJ_USDT_PERP</t>
        </is>
      </c>
      <c r="B186" s="2" t="inlineStr">
        <is>
          <t>已掃描</t>
        </is>
      </c>
      <c r="C186" s="2" t="inlineStr"/>
      <c r="D186" s="2" t="n"/>
      <c r="E186" s="17" t="n"/>
      <c r="F186" s="17" t="n"/>
      <c r="G186" s="2" t="n"/>
      <c r="H186" s="2" t="n"/>
    </row>
    <row r="187">
      <c r="A187" s="2" t="inlineStr">
        <is>
          <t>INX_USDT_PERP</t>
        </is>
      </c>
      <c r="B187" s="2" t="inlineStr">
        <is>
          <t>已掃描</t>
        </is>
      </c>
      <c r="C187" s="2" t="inlineStr"/>
      <c r="D187" s="2" t="n"/>
      <c r="E187" s="17" t="n"/>
      <c r="F187" s="17" t="n"/>
      <c r="G187" s="2" t="n"/>
      <c r="H187" s="2" t="n"/>
    </row>
    <row r="188">
      <c r="A188" s="2" t="inlineStr">
        <is>
          <t>IOST_USDT_PERP</t>
        </is>
      </c>
      <c r="B188" s="2" t="inlineStr">
        <is>
          <t>已掃描</t>
        </is>
      </c>
      <c r="C188" s="2" t="inlineStr"/>
      <c r="D188" s="2" t="n"/>
      <c r="E188" s="17" t="n"/>
      <c r="F188" s="17" t="n"/>
      <c r="G188" s="2" t="n"/>
      <c r="H188" s="2" t="n"/>
    </row>
    <row r="189">
      <c r="A189" s="2" t="inlineStr">
        <is>
          <t>IOTA_USDT_PERP</t>
        </is>
      </c>
      <c r="B189" s="2" t="inlineStr">
        <is>
          <t>已掃描</t>
        </is>
      </c>
      <c r="C189" s="2" t="inlineStr"/>
      <c r="D189" s="2" t="n"/>
      <c r="E189" s="17" t="n"/>
      <c r="F189" s="17" t="n"/>
      <c r="G189" s="2" t="n"/>
      <c r="H189" s="2" t="n"/>
    </row>
    <row r="190">
      <c r="A190" s="2" t="inlineStr">
        <is>
          <t>IO_USDT_PERP</t>
        </is>
      </c>
      <c r="B190" s="2" t="inlineStr">
        <is>
          <t>已掃描</t>
        </is>
      </c>
      <c r="C190" s="2" t="inlineStr"/>
      <c r="D190" s="2" t="n"/>
      <c r="E190" s="17" t="n"/>
      <c r="F190" s="17" t="n"/>
      <c r="G190" s="2" t="n"/>
      <c r="H190" s="2" t="n"/>
    </row>
    <row r="191">
      <c r="A191" s="2" t="inlineStr">
        <is>
          <t>IRYS_USDT_PERP</t>
        </is>
      </c>
      <c r="B191" s="2" t="inlineStr">
        <is>
          <t>已掃描</t>
        </is>
      </c>
      <c r="C191" s="2" t="inlineStr"/>
      <c r="D191" s="2" t="n"/>
      <c r="E191" s="17" t="n"/>
      <c r="F191" s="17" t="n"/>
      <c r="G191" s="2" t="n"/>
      <c r="H191" s="2" t="n"/>
    </row>
    <row r="192">
      <c r="A192" s="2" t="inlineStr">
        <is>
          <t>JASMY_USDT_PERP</t>
        </is>
      </c>
      <c r="B192" s="2" t="inlineStr">
        <is>
          <t>已掃描</t>
        </is>
      </c>
      <c r="C192" s="2" t="inlineStr"/>
      <c r="D192" s="2" t="n"/>
      <c r="E192" s="17" t="n"/>
      <c r="F192" s="17" t="n"/>
      <c r="G192" s="2" t="n"/>
      <c r="H192" s="2" t="n"/>
    </row>
    <row r="193">
      <c r="A193" s="2" t="inlineStr">
        <is>
          <t>JELLYJELLY_USDT_PERP</t>
        </is>
      </c>
      <c r="B193" s="2" t="inlineStr">
        <is>
          <t>已掃描</t>
        </is>
      </c>
      <c r="C193" s="2" t="inlineStr"/>
      <c r="D193" s="2" t="n"/>
      <c r="E193" s="17" t="n"/>
      <c r="F193" s="17" t="n"/>
      <c r="G193" s="2" t="n"/>
      <c r="H193" s="2" t="n"/>
    </row>
    <row r="194">
      <c r="A194" s="2" t="inlineStr">
        <is>
          <t>JTO_USDT_PERP</t>
        </is>
      </c>
      <c r="B194" s="2" t="inlineStr">
        <is>
          <t>已掃描</t>
        </is>
      </c>
      <c r="C194" s="2" t="inlineStr"/>
      <c r="D194" s="2" t="n"/>
      <c r="E194" s="17" t="n"/>
      <c r="F194" s="17" t="n"/>
      <c r="G194" s="2" t="n"/>
      <c r="H194" s="2" t="n"/>
    </row>
    <row r="195">
      <c r="A195" s="2" t="inlineStr">
        <is>
          <t>JUP_USDT_PERP</t>
        </is>
      </c>
      <c r="B195" s="2" t="inlineStr">
        <is>
          <t>已掃描</t>
        </is>
      </c>
      <c r="C195" s="2" t="inlineStr"/>
      <c r="D195" s="2" t="n"/>
      <c r="E195" s="17" t="n"/>
      <c r="F195" s="17" t="n"/>
      <c r="G195" s="2" t="n"/>
      <c r="H195" s="2" t="n"/>
    </row>
    <row r="196">
      <c r="A196" s="2" t="inlineStr">
        <is>
          <t>KAIA_USDT_PERP</t>
        </is>
      </c>
      <c r="B196" s="2" t="inlineStr">
        <is>
          <t>已掃描</t>
        </is>
      </c>
      <c r="C196" s="2" t="inlineStr"/>
      <c r="D196" s="2" t="n"/>
      <c r="E196" s="17" t="n"/>
      <c r="F196" s="17" t="n"/>
      <c r="G196" s="2" t="n"/>
      <c r="H196" s="2" t="n"/>
    </row>
    <row r="197">
      <c r="A197" s="2" t="inlineStr">
        <is>
          <t>KAITO_USDT_PERP</t>
        </is>
      </c>
      <c r="B197" s="2" t="inlineStr">
        <is>
          <t>已掃描</t>
        </is>
      </c>
      <c r="C197" s="2" t="inlineStr"/>
      <c r="D197" s="2" t="n"/>
      <c r="E197" s="17" t="n"/>
      <c r="F197" s="17" t="n"/>
      <c r="G197" s="2" t="n"/>
      <c r="H197" s="2" t="n"/>
    </row>
    <row r="198">
      <c r="A198" s="2" t="inlineStr">
        <is>
          <t>KAS_USDT_PERP</t>
        </is>
      </c>
      <c r="B198" s="2" t="inlineStr">
        <is>
          <t>已掃描</t>
        </is>
      </c>
      <c r="C198" s="2" t="inlineStr"/>
      <c r="D198" s="2" t="n"/>
      <c r="E198" s="17" t="n"/>
      <c r="F198" s="17" t="n"/>
      <c r="G198" s="2" t="n"/>
      <c r="H198" s="2" t="n"/>
    </row>
    <row r="199">
      <c r="A199" s="2" t="inlineStr">
        <is>
          <t>KAT_USDT_PERP</t>
        </is>
      </c>
      <c r="B199" s="2" t="inlineStr">
        <is>
          <t>已掃描</t>
        </is>
      </c>
      <c r="C199" s="2" t="inlineStr"/>
      <c r="D199" s="2" t="n"/>
      <c r="E199" s="17" t="n"/>
      <c r="F199" s="17" t="n"/>
      <c r="G199" s="2" t="n"/>
      <c r="H199" s="2" t="n"/>
    </row>
    <row r="200">
      <c r="A200" s="2" t="inlineStr">
        <is>
          <t>KAVA_USDT_PERP</t>
        </is>
      </c>
      <c r="B200" s="2" t="inlineStr">
        <is>
          <t>已掃描</t>
        </is>
      </c>
      <c r="C200" s="2" t="inlineStr"/>
      <c r="D200" s="2" t="n"/>
      <c r="E200" s="17" t="n"/>
      <c r="F200" s="17" t="n"/>
      <c r="G200" s="2" t="n"/>
      <c r="H200" s="2" t="n"/>
    </row>
    <row r="201">
      <c r="A201" s="2" t="inlineStr">
        <is>
          <t>KERNEL_USDT_PERP</t>
        </is>
      </c>
      <c r="B201" s="2" t="inlineStr">
        <is>
          <t>已掃描</t>
        </is>
      </c>
      <c r="C201" s="2" t="inlineStr"/>
      <c r="D201" s="2" t="n"/>
      <c r="E201" s="17" t="n"/>
      <c r="F201" s="17" t="n"/>
      <c r="G201" s="2" t="n"/>
      <c r="H201" s="2" t="n"/>
    </row>
    <row r="202">
      <c r="A202" s="2" t="inlineStr">
        <is>
          <t>KGEN_USDT_PERP</t>
        </is>
      </c>
      <c r="B202" s="2" t="inlineStr">
        <is>
          <t>已掃描</t>
        </is>
      </c>
      <c r="C202" s="2" t="inlineStr"/>
      <c r="D202" s="2" t="n"/>
      <c r="E202" s="17" t="n"/>
      <c r="F202" s="17" t="n"/>
      <c r="G202" s="2" t="n"/>
      <c r="H202" s="2" t="n"/>
    </row>
    <row r="203">
      <c r="A203" s="2" t="inlineStr">
        <is>
          <t>KII_USDT_PERP</t>
        </is>
      </c>
      <c r="B203" s="2" t="inlineStr">
        <is>
          <t>已掃描</t>
        </is>
      </c>
      <c r="C203" s="2" t="inlineStr"/>
      <c r="D203" s="2" t="n"/>
      <c r="E203" s="17" t="n"/>
      <c r="F203" s="17" t="n"/>
      <c r="G203" s="2" t="n"/>
      <c r="H203" s="2" t="n"/>
    </row>
    <row r="204">
      <c r="A204" s="2" t="inlineStr">
        <is>
          <t>KIOXIA_USDT_PERP</t>
        </is>
      </c>
      <c r="B204" s="2" t="inlineStr">
        <is>
          <t>已掃描</t>
        </is>
      </c>
      <c r="C204" s="2" t="inlineStr"/>
      <c r="D204" s="2" t="n"/>
      <c r="E204" s="17" t="n"/>
      <c r="F204" s="17" t="n"/>
      <c r="G204" s="2" t="n"/>
      <c r="H204" s="2" t="n"/>
    </row>
    <row r="205">
      <c r="A205" s="2" t="inlineStr">
        <is>
          <t>KITE_USDT_PERP</t>
        </is>
      </c>
      <c r="B205" s="2" t="inlineStr">
        <is>
          <t>已掃描</t>
        </is>
      </c>
      <c r="C205" s="2" t="inlineStr"/>
      <c r="D205" s="2" t="n"/>
      <c r="E205" s="17" t="n"/>
      <c r="F205" s="17" t="n"/>
      <c r="G205" s="2" t="n"/>
      <c r="H205" s="2" t="n"/>
    </row>
    <row r="206">
      <c r="A206" s="2" t="inlineStr">
        <is>
          <t>KMNO_USDT_PERP</t>
        </is>
      </c>
      <c r="B206" s="2" t="inlineStr">
        <is>
          <t>已掃描</t>
        </is>
      </c>
      <c r="C206" s="2" t="inlineStr"/>
      <c r="D206" s="2" t="n"/>
      <c r="E206" s="17" t="n"/>
      <c r="F206" s="17" t="n"/>
      <c r="G206" s="2" t="n"/>
      <c r="H206" s="2" t="n"/>
    </row>
    <row r="207">
      <c r="A207" s="2" t="inlineStr">
        <is>
          <t>KNC_USDT_PERP</t>
        </is>
      </c>
      <c r="B207" s="2" t="inlineStr">
        <is>
          <t>已掃描</t>
        </is>
      </c>
      <c r="C207" s="2" t="inlineStr"/>
      <c r="D207" s="2" t="n"/>
      <c r="E207" s="17" t="n"/>
      <c r="F207" s="17" t="n"/>
      <c r="G207" s="2" t="n"/>
      <c r="H207" s="2" t="n"/>
    </row>
    <row r="208">
      <c r="A208" s="2" t="inlineStr">
        <is>
          <t>LAB_USDT_PERP</t>
        </is>
      </c>
      <c r="B208" s="2" t="inlineStr">
        <is>
          <t>已掃描</t>
        </is>
      </c>
      <c r="C208" s="2" t="inlineStr"/>
      <c r="D208" s="2" t="n"/>
      <c r="E208" s="17" t="n"/>
      <c r="F208" s="17" t="n"/>
      <c r="G208" s="2" t="n"/>
      <c r="H208" s="2" t="n"/>
    </row>
    <row r="209">
      <c r="A209" s="2" t="inlineStr">
        <is>
          <t>LAYER_USDT_PERP</t>
        </is>
      </c>
      <c r="B209" s="2" t="inlineStr">
        <is>
          <t>已掃描</t>
        </is>
      </c>
      <c r="C209" s="2" t="inlineStr"/>
      <c r="D209" s="2" t="n"/>
      <c r="E209" s="17" t="n"/>
      <c r="F209" s="17" t="n"/>
      <c r="G209" s="2" t="n"/>
      <c r="H209" s="2" t="n"/>
    </row>
    <row r="210">
      <c r="A210" s="2" t="inlineStr">
        <is>
          <t>LA_USDT_PERP</t>
        </is>
      </c>
      <c r="B210" s="2" t="inlineStr">
        <is>
          <t>已掃描</t>
        </is>
      </c>
      <c r="C210" s="2" t="inlineStr"/>
      <c r="D210" s="2" t="n"/>
      <c r="E210" s="17" t="n"/>
      <c r="F210" s="17" t="n"/>
      <c r="G210" s="2" t="n"/>
      <c r="H210" s="2" t="n"/>
    </row>
    <row r="211">
      <c r="A211" s="2" t="inlineStr">
        <is>
          <t>LDO_USDT_PERP</t>
        </is>
      </c>
      <c r="B211" s="2" t="inlineStr">
        <is>
          <t>已掃描</t>
        </is>
      </c>
      <c r="C211" s="2" t="inlineStr"/>
      <c r="D211" s="2" t="n"/>
      <c r="E211" s="17" t="n"/>
      <c r="F211" s="17" t="n"/>
      <c r="G211" s="2" t="n"/>
      <c r="H211" s="2" t="n"/>
    </row>
    <row r="212">
      <c r="A212" s="2" t="inlineStr">
        <is>
          <t>LIGHT_USDT_PERP</t>
        </is>
      </c>
      <c r="B212" s="2" t="inlineStr">
        <is>
          <t>已掃描</t>
        </is>
      </c>
      <c r="C212" s="2" t="inlineStr"/>
      <c r="D212" s="2" t="n"/>
      <c r="E212" s="17" t="n"/>
      <c r="F212" s="17" t="n"/>
      <c r="G212" s="2" t="n"/>
      <c r="H212" s="2" t="n"/>
    </row>
    <row r="213">
      <c r="A213" s="2" t="inlineStr">
        <is>
          <t>LINEA_USDT_PERP</t>
        </is>
      </c>
      <c r="B213" s="2" t="inlineStr">
        <is>
          <t>已掃描</t>
        </is>
      </c>
      <c r="C213" s="2" t="inlineStr"/>
      <c r="D213" s="2" t="n"/>
      <c r="E213" s="17" t="n"/>
      <c r="F213" s="17" t="n"/>
      <c r="G213" s="2" t="n"/>
      <c r="H213" s="2" t="n"/>
    </row>
    <row r="214">
      <c r="A214" s="2" t="inlineStr">
        <is>
          <t>LINK_USDT_PERP</t>
        </is>
      </c>
      <c r="B214" s="2" t="inlineStr">
        <is>
          <t>已掃描</t>
        </is>
      </c>
      <c r="C214" s="2" t="inlineStr"/>
      <c r="D214" s="2" t="n"/>
      <c r="E214" s="17" t="n"/>
      <c r="F214" s="17" t="n"/>
      <c r="G214" s="2" t="n"/>
      <c r="H214" s="2" t="n"/>
    </row>
    <row r="215">
      <c r="A215" s="2" t="inlineStr">
        <is>
          <t>LISTA_USDT_PERP</t>
        </is>
      </c>
      <c r="B215" s="2" t="inlineStr">
        <is>
          <t>已掃描</t>
        </is>
      </c>
      <c r="C215" s="2" t="inlineStr"/>
      <c r="D215" s="2" t="n"/>
      <c r="E215" s="17" t="n"/>
      <c r="F215" s="17" t="n"/>
      <c r="G215" s="2" t="n"/>
      <c r="H215" s="2" t="n"/>
    </row>
    <row r="216">
      <c r="A216" s="2" t="inlineStr">
        <is>
          <t>LIT_USDT_PERP</t>
        </is>
      </c>
      <c r="B216" s="2" t="inlineStr">
        <is>
          <t>已掃描</t>
        </is>
      </c>
      <c r="C216" s="2" t="inlineStr"/>
      <c r="D216" s="2" t="n"/>
      <c r="E216" s="17" t="n"/>
      <c r="F216" s="17" t="n"/>
      <c r="G216" s="2" t="n"/>
      <c r="H216" s="2" t="n"/>
    </row>
    <row r="217">
      <c r="A217" s="2" t="inlineStr">
        <is>
          <t>LPT_USDT_PERP</t>
        </is>
      </c>
      <c r="B217" s="2" t="inlineStr">
        <is>
          <t>已掃描</t>
        </is>
      </c>
      <c r="C217" s="2" t="inlineStr"/>
      <c r="D217" s="2" t="n"/>
      <c r="E217" s="17" t="n"/>
      <c r="F217" s="17" t="n"/>
      <c r="G217" s="2" t="n"/>
      <c r="H217" s="2" t="n"/>
    </row>
    <row r="218">
      <c r="A218" s="2" t="inlineStr">
        <is>
          <t>LRC_USDT_PERP</t>
        </is>
      </c>
      <c r="B218" s="2" t="inlineStr">
        <is>
          <t>已掃描</t>
        </is>
      </c>
      <c r="C218" s="2" t="inlineStr"/>
      <c r="D218" s="2" t="n"/>
      <c r="E218" s="17" t="n"/>
      <c r="F218" s="17" t="n"/>
      <c r="G218" s="2" t="n"/>
      <c r="H218" s="2" t="n"/>
    </row>
    <row r="219">
      <c r="A219" s="2" t="inlineStr">
        <is>
          <t>LSK_USDT_PERP</t>
        </is>
      </c>
      <c r="B219" s="2" t="inlineStr">
        <is>
          <t>已掃描</t>
        </is>
      </c>
      <c r="C219" s="2" t="inlineStr"/>
      <c r="D219" s="2" t="n"/>
      <c r="E219" s="17" t="n"/>
      <c r="F219" s="17" t="n"/>
      <c r="G219" s="2" t="n"/>
      <c r="H219" s="2" t="n"/>
    </row>
    <row r="220">
      <c r="A220" s="2" t="inlineStr">
        <is>
          <t>LTC_USDT_PERP</t>
        </is>
      </c>
      <c r="B220" s="2" t="inlineStr">
        <is>
          <t>已掃描</t>
        </is>
      </c>
      <c r="C220" s="2" t="inlineStr"/>
      <c r="D220" s="2" t="n"/>
      <c r="E220" s="17" t="n"/>
      <c r="F220" s="17" t="n"/>
      <c r="G220" s="2" t="n"/>
      <c r="H220" s="2" t="n"/>
    </row>
    <row r="221">
      <c r="A221" s="2" t="inlineStr">
        <is>
          <t>LUNA2_USDT_PERP</t>
        </is>
      </c>
      <c r="B221" s="2" t="inlineStr">
        <is>
          <t>已掃描</t>
        </is>
      </c>
      <c r="C221" s="2" t="inlineStr"/>
      <c r="D221" s="2" t="n"/>
      <c r="E221" s="17" t="n"/>
      <c r="F221" s="17" t="n"/>
      <c r="G221" s="2" t="n"/>
      <c r="H221" s="2" t="n"/>
    </row>
    <row r="222">
      <c r="A222" s="2" t="inlineStr">
        <is>
          <t>LUNC_USDT_PERP</t>
        </is>
      </c>
      <c r="B222" s="2" t="inlineStr">
        <is>
          <t>已掃描</t>
        </is>
      </c>
      <c r="C222" s="2" t="inlineStr"/>
      <c r="D222" s="2" t="n"/>
      <c r="E222" s="17" t="n"/>
      <c r="F222" s="17" t="n"/>
      <c r="G222" s="2" t="n"/>
      <c r="H222" s="2" t="n"/>
    </row>
    <row r="223">
      <c r="A223" s="2" t="inlineStr">
        <is>
          <t>LYN_USDT_PERP</t>
        </is>
      </c>
      <c r="B223" s="2" t="inlineStr">
        <is>
          <t>已掃描</t>
        </is>
      </c>
      <c r="C223" s="2" t="inlineStr"/>
      <c r="D223" s="2" t="n"/>
      <c r="E223" s="17" t="n"/>
      <c r="F223" s="17" t="n"/>
      <c r="G223" s="2" t="n"/>
      <c r="H223" s="2" t="n"/>
    </row>
    <row r="224">
      <c r="A224" s="2" t="inlineStr">
        <is>
          <t>MAGIC_USDT_PERP</t>
        </is>
      </c>
      <c r="B224" s="2" t="inlineStr">
        <is>
          <t>已掃描</t>
        </is>
      </c>
      <c r="C224" s="2" t="inlineStr"/>
      <c r="D224" s="2" t="n"/>
      <c r="E224" s="17" t="n"/>
      <c r="F224" s="17" t="n"/>
      <c r="G224" s="2" t="n"/>
      <c r="H224" s="2" t="n"/>
    </row>
    <row r="225">
      <c r="A225" s="2" t="inlineStr">
        <is>
          <t>MAGMA_USDT_PERP</t>
        </is>
      </c>
      <c r="B225" s="2" t="inlineStr">
        <is>
          <t>已掃描</t>
        </is>
      </c>
      <c r="C225" s="2" t="inlineStr"/>
      <c r="D225" s="2" t="n"/>
      <c r="E225" s="17" t="n"/>
      <c r="F225" s="17" t="n"/>
      <c r="G225" s="2" t="n"/>
      <c r="H225" s="2" t="n"/>
    </row>
    <row r="226">
      <c r="A226" s="2" t="inlineStr">
        <is>
          <t>MANA_USDT_PERP</t>
        </is>
      </c>
      <c r="B226" s="2" t="inlineStr">
        <is>
          <t>已掃描</t>
        </is>
      </c>
      <c r="C226" s="2" t="inlineStr"/>
      <c r="D226" s="2" t="n"/>
      <c r="E226" s="17" t="n"/>
      <c r="F226" s="17" t="n"/>
      <c r="G226" s="2" t="n"/>
      <c r="H226" s="2" t="n"/>
    </row>
    <row r="227">
      <c r="A227" s="2" t="inlineStr">
        <is>
          <t>MANTA_USDT_PERP</t>
        </is>
      </c>
      <c r="B227" s="2" t="inlineStr">
        <is>
          <t>已掃描</t>
        </is>
      </c>
      <c r="C227" s="2" t="inlineStr"/>
      <c r="D227" s="2" t="n"/>
      <c r="E227" s="17" t="n"/>
      <c r="F227" s="17" t="n"/>
      <c r="G227" s="2" t="n"/>
      <c r="H227" s="2" t="n"/>
    </row>
    <row r="228">
      <c r="A228" s="2" t="inlineStr">
        <is>
          <t>MANTRA_USDT_PERP</t>
        </is>
      </c>
      <c r="B228" s="2" t="inlineStr">
        <is>
          <t>已掃描</t>
        </is>
      </c>
      <c r="C228" s="2" t="inlineStr"/>
      <c r="D228" s="2" t="n"/>
      <c r="E228" s="17" t="n"/>
      <c r="F228" s="17" t="n"/>
      <c r="G228" s="2" t="n"/>
      <c r="H228" s="2" t="n"/>
    </row>
    <row r="229">
      <c r="A229" s="2" t="inlineStr">
        <is>
          <t>MARSCOIN_USDT_PERP</t>
        </is>
      </c>
      <c r="B229" s="2" t="inlineStr">
        <is>
          <t>已掃描</t>
        </is>
      </c>
      <c r="C229" s="2" t="inlineStr"/>
      <c r="D229" s="2" t="n"/>
      <c r="E229" s="17" t="n"/>
      <c r="F229" s="17" t="n"/>
      <c r="G229" s="2" t="n"/>
      <c r="H229" s="2" t="n"/>
    </row>
    <row r="230">
      <c r="A230" s="2" t="inlineStr">
        <is>
          <t>MASK_USDT_PERP</t>
        </is>
      </c>
      <c r="B230" s="2" t="inlineStr">
        <is>
          <t>已掃描</t>
        </is>
      </c>
      <c r="C230" s="2" t="inlineStr"/>
      <c r="D230" s="2" t="n"/>
      <c r="E230" s="17" t="n"/>
      <c r="F230" s="17" t="n"/>
      <c r="G230" s="2" t="n"/>
      <c r="H230" s="2" t="n"/>
    </row>
    <row r="231">
      <c r="A231" s="2" t="inlineStr">
        <is>
          <t>MAV_USDT_PERP</t>
        </is>
      </c>
      <c r="B231" s="2" t="inlineStr">
        <is>
          <t>已掃描</t>
        </is>
      </c>
      <c r="C231" s="2" t="inlineStr"/>
      <c r="D231" s="2" t="n"/>
      <c r="E231" s="17" t="n"/>
      <c r="F231" s="17" t="n"/>
      <c r="G231" s="2" t="n"/>
      <c r="H231" s="2" t="n"/>
    </row>
    <row r="232">
      <c r="A232" s="2" t="inlineStr">
        <is>
          <t>MEGA_USDT_PERP</t>
        </is>
      </c>
      <c r="B232" s="2" t="inlineStr">
        <is>
          <t>已掃描</t>
        </is>
      </c>
      <c r="C232" s="2" t="inlineStr"/>
      <c r="D232" s="2" t="n"/>
      <c r="E232" s="17" t="n"/>
      <c r="F232" s="17" t="n"/>
      <c r="G232" s="2" t="n"/>
      <c r="H232" s="2" t="n"/>
    </row>
    <row r="233">
      <c r="A233" s="2" t="inlineStr">
        <is>
          <t>MELANIA_USDT_PERP</t>
        </is>
      </c>
      <c r="B233" s="2" t="inlineStr">
        <is>
          <t>已掃描</t>
        </is>
      </c>
      <c r="C233" s="2" t="inlineStr"/>
      <c r="D233" s="2" t="n"/>
      <c r="E233" s="17" t="n"/>
      <c r="F233" s="17" t="n"/>
      <c r="G233" s="2" t="n"/>
      <c r="H233" s="2" t="n"/>
    </row>
    <row r="234">
      <c r="A234" s="2" t="inlineStr">
        <is>
          <t>MEME_USDT_PERP</t>
        </is>
      </c>
      <c r="B234" s="2" t="inlineStr">
        <is>
          <t>已掃描</t>
        </is>
      </c>
      <c r="C234" s="2" t="inlineStr"/>
      <c r="D234" s="2" t="n"/>
      <c r="E234" s="17" t="n"/>
      <c r="F234" s="17" t="n"/>
      <c r="G234" s="2" t="n"/>
      <c r="H234" s="2" t="n"/>
    </row>
    <row r="235">
      <c r="A235" s="2" t="inlineStr">
        <is>
          <t>MERL_USDT_PERP</t>
        </is>
      </c>
      <c r="B235" s="2" t="inlineStr">
        <is>
          <t>已掃描</t>
        </is>
      </c>
      <c r="C235" s="2" t="inlineStr"/>
      <c r="D235" s="2" t="n"/>
      <c r="E235" s="17" t="n"/>
      <c r="F235" s="17" t="n"/>
      <c r="G235" s="2" t="n"/>
      <c r="H235" s="2" t="n"/>
    </row>
    <row r="236">
      <c r="A236" s="2" t="inlineStr">
        <is>
          <t>METIS_USDT_PERP</t>
        </is>
      </c>
      <c r="B236" s="2" t="inlineStr">
        <is>
          <t>已掃描</t>
        </is>
      </c>
      <c r="C236" s="2" t="inlineStr"/>
      <c r="D236" s="2" t="n"/>
      <c r="E236" s="17" t="n"/>
      <c r="F236" s="17" t="n"/>
      <c r="G236" s="2" t="n"/>
      <c r="H236" s="2" t="n"/>
    </row>
    <row r="237">
      <c r="A237" s="2" t="inlineStr">
        <is>
          <t>MET_USDT_PERP</t>
        </is>
      </c>
      <c r="B237" s="2" t="inlineStr">
        <is>
          <t>已掃描</t>
        </is>
      </c>
      <c r="C237" s="2" t="inlineStr"/>
      <c r="D237" s="2" t="n"/>
      <c r="E237" s="17" t="n"/>
      <c r="F237" s="17" t="n"/>
      <c r="G237" s="2" t="n"/>
      <c r="H237" s="2" t="n"/>
    </row>
    <row r="238">
      <c r="A238" s="2" t="inlineStr">
        <is>
          <t>MEW_USDT_PERP</t>
        </is>
      </c>
      <c r="B238" s="2" t="inlineStr">
        <is>
          <t>已掃描</t>
        </is>
      </c>
      <c r="C238" s="2" t="inlineStr"/>
      <c r="D238" s="2" t="n"/>
      <c r="E238" s="17" t="n"/>
      <c r="F238" s="17" t="n"/>
      <c r="G238" s="2" t="n"/>
      <c r="H238" s="2" t="n"/>
    </row>
    <row r="239">
      <c r="A239" s="2" t="inlineStr">
        <is>
          <t>ME_USDT_PERP</t>
        </is>
      </c>
      <c r="B239" s="2" t="inlineStr">
        <is>
          <t>已掃描</t>
        </is>
      </c>
      <c r="C239" s="2" t="inlineStr"/>
      <c r="D239" s="2" t="n"/>
      <c r="E239" s="17" t="n"/>
      <c r="F239" s="17" t="n"/>
      <c r="G239" s="2" t="n"/>
      <c r="H239" s="2" t="n"/>
    </row>
    <row r="240">
      <c r="A240" s="2" t="inlineStr">
        <is>
          <t>MITO_USDT_PERP</t>
        </is>
      </c>
      <c r="B240" s="2" t="inlineStr">
        <is>
          <t>已掃描</t>
        </is>
      </c>
      <c r="C240" s="2" t="inlineStr"/>
      <c r="D240" s="2" t="n"/>
      <c r="E240" s="17" t="n"/>
      <c r="F240" s="17" t="n"/>
      <c r="G240" s="2" t="n"/>
      <c r="H240" s="2" t="n"/>
    </row>
    <row r="241">
      <c r="A241" s="2" t="inlineStr">
        <is>
          <t>MMT_USDT_PERP</t>
        </is>
      </c>
      <c r="B241" s="2" t="inlineStr">
        <is>
          <t>已掃描</t>
        </is>
      </c>
      <c r="C241" s="2" t="inlineStr"/>
      <c r="D241" s="2" t="n"/>
      <c r="E241" s="17" t="n"/>
      <c r="F241" s="17" t="n"/>
      <c r="G241" s="2" t="n"/>
      <c r="H241" s="2" t="n"/>
    </row>
    <row r="242">
      <c r="A242" s="2" t="inlineStr">
        <is>
          <t>MNT_USDT_PERP</t>
        </is>
      </c>
      <c r="B242" s="2" t="inlineStr">
        <is>
          <t>已掃描</t>
        </is>
      </c>
      <c r="C242" s="2" t="inlineStr"/>
      <c r="D242" s="2" t="n"/>
      <c r="E242" s="17" t="n"/>
      <c r="F242" s="17" t="n"/>
      <c r="G242" s="2" t="n"/>
      <c r="H242" s="2" t="n"/>
    </row>
    <row r="243">
      <c r="A243" s="2" t="inlineStr">
        <is>
          <t>MON_USDT_PERP</t>
        </is>
      </c>
      <c r="B243" s="2" t="inlineStr">
        <is>
          <t>已掃描</t>
        </is>
      </c>
      <c r="C243" s="2" t="inlineStr"/>
      <c r="D243" s="2" t="n"/>
      <c r="E243" s="17" t="n"/>
      <c r="F243" s="17" t="n"/>
      <c r="G243" s="2" t="n"/>
      <c r="H243" s="2" t="n"/>
    </row>
    <row r="244">
      <c r="A244" s="2" t="inlineStr">
        <is>
          <t>MOODENG_USDT_PERP</t>
        </is>
      </c>
      <c r="B244" s="2" t="inlineStr">
        <is>
          <t>已掃描</t>
        </is>
      </c>
      <c r="C244" s="2" t="inlineStr"/>
      <c r="D244" s="2" t="n"/>
      <c r="E244" s="17" t="n"/>
      <c r="F244" s="17" t="n"/>
      <c r="G244" s="2" t="n"/>
      <c r="H244" s="2" t="n"/>
    </row>
    <row r="245">
      <c r="A245" s="2" t="inlineStr">
        <is>
          <t>MOONSHOT_USDT_PERP</t>
        </is>
      </c>
      <c r="B245" s="2" t="inlineStr">
        <is>
          <t>已掃描</t>
        </is>
      </c>
      <c r="C245" s="2" t="inlineStr"/>
      <c r="D245" s="2" t="n"/>
      <c r="E245" s="17" t="n"/>
      <c r="F245" s="17" t="n"/>
      <c r="G245" s="2" t="n"/>
      <c r="H245" s="2" t="n"/>
    </row>
    <row r="246">
      <c r="A246" s="2" t="inlineStr">
        <is>
          <t>MOVE_USDT_PERP</t>
        </is>
      </c>
      <c r="B246" s="2" t="inlineStr">
        <is>
          <t>已掃描</t>
        </is>
      </c>
      <c r="C246" s="2" t="inlineStr"/>
      <c r="D246" s="2" t="n"/>
      <c r="E246" s="17" t="n"/>
      <c r="F246" s="17" t="n"/>
      <c r="G246" s="2" t="n"/>
      <c r="H246" s="2" t="n"/>
    </row>
    <row r="247">
      <c r="A247" s="2" t="inlineStr">
        <is>
          <t>MOVR_USDT_PERP</t>
        </is>
      </c>
      <c r="B247" s="2" t="inlineStr">
        <is>
          <t>已掃描</t>
        </is>
      </c>
      <c r="C247" s="2" t="inlineStr"/>
      <c r="D247" s="2" t="n"/>
      <c r="E247" s="17" t="n"/>
      <c r="F247" s="17" t="n"/>
      <c r="G247" s="2" t="n"/>
      <c r="H247" s="2" t="n"/>
    </row>
    <row r="248">
      <c r="A248" s="2" t="inlineStr">
        <is>
          <t>MPX_USDT_PERP</t>
        </is>
      </c>
      <c r="B248" s="2" t="inlineStr">
        <is>
          <t>已掃描</t>
        </is>
      </c>
      <c r="C248" s="2" t="inlineStr"/>
      <c r="D248" s="2" t="n"/>
      <c r="E248" s="17" t="n"/>
      <c r="F248" s="17" t="n"/>
      <c r="G248" s="2" t="n"/>
      <c r="H248" s="2" t="n"/>
    </row>
    <row r="249">
      <c r="A249" s="2" t="inlineStr">
        <is>
          <t>MUBARAK_USDT_PERP</t>
        </is>
      </c>
      <c r="B249" s="2" t="inlineStr">
        <is>
          <t>已掃描</t>
        </is>
      </c>
      <c r="C249" s="2" t="inlineStr"/>
      <c r="D249" s="2" t="n"/>
      <c r="E249" s="17" t="n"/>
      <c r="F249" s="17" t="n"/>
      <c r="G249" s="2" t="n"/>
      <c r="H249" s="2" t="n"/>
    </row>
    <row r="250">
      <c r="A250" s="2" t="inlineStr">
        <is>
          <t>MUX_USDT_PERP</t>
        </is>
      </c>
      <c r="B250" s="2" t="inlineStr">
        <is>
          <t>已掃描</t>
        </is>
      </c>
      <c r="C250" s="2" t="inlineStr"/>
      <c r="D250" s="2" t="n"/>
      <c r="E250" s="17" t="n"/>
      <c r="F250" s="17" t="n"/>
      <c r="G250" s="2" t="n"/>
      <c r="H250" s="2" t="n"/>
    </row>
    <row r="251">
      <c r="A251" s="2" t="inlineStr">
        <is>
          <t>MYX_USDT_PERP</t>
        </is>
      </c>
      <c r="B251" s="2" t="inlineStr">
        <is>
          <t>已掃描</t>
        </is>
      </c>
      <c r="C251" s="2" t="inlineStr"/>
      <c r="D251" s="2" t="n"/>
      <c r="E251" s="17" t="n"/>
      <c r="F251" s="17" t="n"/>
      <c r="G251" s="2" t="n"/>
      <c r="H251" s="2" t="n"/>
    </row>
    <row r="252">
      <c r="A252" s="2" t="inlineStr">
        <is>
          <t>NAORIS_USDT_PERP</t>
        </is>
      </c>
      <c r="B252" s="2" t="inlineStr">
        <is>
          <t>已掃描</t>
        </is>
      </c>
      <c r="C252" s="2" t="inlineStr"/>
      <c r="D252" s="2" t="n"/>
      <c r="E252" s="17" t="n"/>
      <c r="F252" s="17" t="n"/>
      <c r="G252" s="2" t="n"/>
      <c r="H252" s="2" t="n"/>
    </row>
    <row r="253">
      <c r="A253" s="2" t="inlineStr">
        <is>
          <t>NEAR_USDT_PERP</t>
        </is>
      </c>
      <c r="B253" s="2" t="inlineStr">
        <is>
          <t>已掃描</t>
        </is>
      </c>
      <c r="C253" s="2" t="inlineStr"/>
      <c r="D253" s="2" t="n"/>
      <c r="E253" s="17" t="n"/>
      <c r="F253" s="17" t="n"/>
      <c r="G253" s="2" t="n"/>
      <c r="H253" s="2" t="n"/>
    </row>
    <row r="254">
      <c r="A254" s="2" t="inlineStr">
        <is>
          <t>NEIRO_USDT_PERP</t>
        </is>
      </c>
      <c r="B254" s="2" t="inlineStr">
        <is>
          <t>已掃描</t>
        </is>
      </c>
      <c r="C254" s="2" t="inlineStr"/>
      <c r="D254" s="2" t="n"/>
      <c r="E254" s="17" t="n"/>
      <c r="F254" s="17" t="n"/>
      <c r="G254" s="2" t="n"/>
      <c r="H254" s="2" t="n"/>
    </row>
    <row r="255">
      <c r="A255" s="2" t="inlineStr">
        <is>
          <t>NEO_USDT_PERP</t>
        </is>
      </c>
      <c r="B255" s="2" t="inlineStr">
        <is>
          <t>已掃描</t>
        </is>
      </c>
      <c r="C255" s="2" t="inlineStr"/>
      <c r="D255" s="2" t="n"/>
      <c r="E255" s="17" t="n"/>
      <c r="F255" s="17" t="n"/>
      <c r="G255" s="2" t="n"/>
      <c r="H255" s="2" t="n"/>
    </row>
    <row r="256">
      <c r="A256" s="2" t="inlineStr">
        <is>
          <t>NIGHT_USDT_PERP</t>
        </is>
      </c>
      <c r="B256" s="2" t="inlineStr">
        <is>
          <t>已掃描</t>
        </is>
      </c>
      <c r="C256" s="2" t="inlineStr"/>
      <c r="D256" s="2" t="n"/>
      <c r="E256" s="17" t="n"/>
      <c r="F256" s="17" t="n"/>
      <c r="G256" s="2" t="n"/>
      <c r="H256" s="2" t="n"/>
    </row>
    <row r="257">
      <c r="A257" s="2" t="inlineStr">
        <is>
          <t>NIL_USDT_PERP</t>
        </is>
      </c>
      <c r="B257" s="2" t="inlineStr">
        <is>
          <t>已掃描</t>
        </is>
      </c>
      <c r="C257" s="2" t="inlineStr"/>
      <c r="D257" s="2" t="n"/>
      <c r="E257" s="17" t="n"/>
      <c r="F257" s="17" t="n"/>
      <c r="G257" s="2" t="n"/>
      <c r="H257" s="2" t="n"/>
    </row>
    <row r="258">
      <c r="A258" s="2" t="inlineStr">
        <is>
          <t>NMR_USDT_PERP</t>
        </is>
      </c>
      <c r="B258" s="2" t="inlineStr">
        <is>
          <t>已掃描</t>
        </is>
      </c>
      <c r="C258" s="2" t="inlineStr"/>
      <c r="D258" s="2" t="n"/>
      <c r="E258" s="17" t="n"/>
      <c r="F258" s="17" t="n"/>
      <c r="G258" s="2" t="n"/>
      <c r="H258" s="2" t="n"/>
    </row>
    <row r="259">
      <c r="A259" s="2" t="inlineStr">
        <is>
          <t>NOM_USDT_PERP</t>
        </is>
      </c>
      <c r="B259" s="2" t="inlineStr">
        <is>
          <t>已掃描</t>
        </is>
      </c>
      <c r="C259" s="2" t="inlineStr"/>
      <c r="D259" s="2" t="n"/>
      <c r="E259" s="17" t="n"/>
      <c r="F259" s="17" t="n"/>
      <c r="G259" s="2" t="n"/>
      <c r="H259" s="2" t="n"/>
    </row>
    <row r="260">
      <c r="A260" s="2" t="inlineStr">
        <is>
          <t>NOT_USDT_PERP</t>
        </is>
      </c>
      <c r="B260" s="2" t="inlineStr">
        <is>
          <t>已掃描</t>
        </is>
      </c>
      <c r="C260" s="2" t="inlineStr"/>
      <c r="D260" s="2" t="n"/>
      <c r="E260" s="17" t="n"/>
      <c r="F260" s="17" t="n"/>
      <c r="G260" s="2" t="n"/>
      <c r="H260" s="2" t="n"/>
    </row>
    <row r="261">
      <c r="A261" s="2" t="inlineStr">
        <is>
          <t>NXPC_USDT_PERP</t>
        </is>
      </c>
      <c r="B261" s="2" t="inlineStr">
        <is>
          <t>已掃描</t>
        </is>
      </c>
      <c r="C261" s="2" t="inlineStr"/>
      <c r="D261" s="2" t="n"/>
      <c r="E261" s="17" t="n"/>
      <c r="F261" s="17" t="n"/>
      <c r="G261" s="2" t="n"/>
      <c r="H261" s="2" t="n"/>
    </row>
    <row r="262">
      <c r="A262" s="2" t="inlineStr">
        <is>
          <t>OFC_USDT_PERP</t>
        </is>
      </c>
      <c r="B262" s="2" t="inlineStr">
        <is>
          <t>已掃描</t>
        </is>
      </c>
      <c r="C262" s="2" t="inlineStr"/>
      <c r="D262" s="2" t="n"/>
      <c r="E262" s="17" t="n"/>
      <c r="F262" s="17" t="n"/>
      <c r="G262" s="2" t="n"/>
      <c r="H262" s="2" t="n"/>
    </row>
    <row r="263">
      <c r="A263" s="2" t="inlineStr">
        <is>
          <t>OGN_USDT_PERP</t>
        </is>
      </c>
      <c r="B263" s="2" t="inlineStr">
        <is>
          <t>已掃描</t>
        </is>
      </c>
      <c r="C263" s="2" t="inlineStr"/>
      <c r="D263" s="2" t="n"/>
      <c r="E263" s="17" t="n"/>
      <c r="F263" s="17" t="n"/>
      <c r="G263" s="2" t="n"/>
      <c r="H263" s="2" t="n"/>
    </row>
    <row r="264">
      <c r="A264" s="2" t="inlineStr">
        <is>
          <t>OG_USDT_PERP</t>
        </is>
      </c>
      <c r="B264" s="2" t="inlineStr">
        <is>
          <t>已掃描</t>
        </is>
      </c>
      <c r="C264" s="2" t="inlineStr"/>
      <c r="D264" s="2" t="n"/>
      <c r="E264" s="17" t="n"/>
      <c r="F264" s="17" t="n"/>
      <c r="G264" s="2" t="n"/>
      <c r="H264" s="2" t="n"/>
    </row>
    <row r="265">
      <c r="A265" s="2" t="inlineStr">
        <is>
          <t>OKB_USDT_PERP</t>
        </is>
      </c>
      <c r="B265" s="2" t="inlineStr">
        <is>
          <t>已掃描</t>
        </is>
      </c>
      <c r="C265" s="2" t="inlineStr"/>
      <c r="D265" s="2" t="n"/>
      <c r="E265" s="17" t="n"/>
      <c r="F265" s="17" t="n"/>
      <c r="G265" s="2" t="n"/>
      <c r="H265" s="2" t="n"/>
    </row>
    <row r="266">
      <c r="A266" s="2" t="inlineStr">
        <is>
          <t>ONDO_USDT_PERP</t>
        </is>
      </c>
      <c r="B266" s="2" t="inlineStr">
        <is>
          <t>已掃描</t>
        </is>
      </c>
      <c r="C266" s="2" t="inlineStr"/>
      <c r="D266" s="2" t="n"/>
      <c r="E266" s="17" t="n"/>
      <c r="F266" s="17" t="n"/>
      <c r="G266" s="2" t="n"/>
      <c r="H266" s="2" t="n"/>
    </row>
    <row r="267">
      <c r="A267" s="2" t="inlineStr">
        <is>
          <t>ONG_USDT_PERP</t>
        </is>
      </c>
      <c r="B267" s="2" t="inlineStr">
        <is>
          <t>已掃描</t>
        </is>
      </c>
      <c r="C267" s="2" t="inlineStr"/>
      <c r="D267" s="2" t="n"/>
      <c r="E267" s="17" t="n"/>
      <c r="F267" s="17" t="n"/>
      <c r="G267" s="2" t="n"/>
      <c r="H267" s="2" t="n"/>
    </row>
    <row r="268">
      <c r="A268" s="2" t="inlineStr">
        <is>
          <t>ONT_USDT_PERP</t>
        </is>
      </c>
      <c r="B268" s="2" t="inlineStr">
        <is>
          <t>已掃描</t>
        </is>
      </c>
      <c r="C268" s="2" t="inlineStr"/>
      <c r="D268" s="2" t="n"/>
      <c r="E268" s="17" t="n"/>
      <c r="F268" s="17" t="n"/>
      <c r="G268" s="2" t="n"/>
      <c r="H268" s="2" t="n"/>
    </row>
    <row r="269">
      <c r="A269" s="2" t="inlineStr">
        <is>
          <t>ONX_USDT_PERP</t>
        </is>
      </c>
      <c r="B269" s="2" t="inlineStr">
        <is>
          <t>已掃描</t>
        </is>
      </c>
      <c r="C269" s="2" t="inlineStr"/>
      <c r="D269" s="2" t="n"/>
      <c r="E269" s="17" t="n"/>
      <c r="F269" s="17" t="n"/>
      <c r="G269" s="2" t="n"/>
      <c r="H269" s="2" t="n"/>
    </row>
    <row r="270">
      <c r="A270" s="2" t="inlineStr">
        <is>
          <t>ON_USDT_PERP</t>
        </is>
      </c>
      <c r="B270" s="2" t="inlineStr">
        <is>
          <t>已掃描</t>
        </is>
      </c>
      <c r="C270" s="2" t="inlineStr"/>
      <c r="D270" s="2" t="n"/>
      <c r="E270" s="17" t="n"/>
      <c r="F270" s="17" t="n"/>
      <c r="G270" s="2" t="n"/>
      <c r="H270" s="2" t="n"/>
    </row>
    <row r="271">
      <c r="A271" s="2" t="inlineStr">
        <is>
          <t>OPENAI_USDT_PERP</t>
        </is>
      </c>
      <c r="B271" s="2" t="inlineStr">
        <is>
          <t>已掃描</t>
        </is>
      </c>
      <c r="C271" s="2" t="inlineStr"/>
      <c r="D271" s="2" t="n"/>
      <c r="E271" s="17" t="n"/>
      <c r="F271" s="17" t="n"/>
      <c r="G271" s="2" t="n"/>
      <c r="H271" s="2" t="n"/>
    </row>
    <row r="272">
      <c r="A272" s="2" t="inlineStr">
        <is>
          <t>OPEN_USDT_PERP</t>
        </is>
      </c>
      <c r="B272" s="2" t="inlineStr">
        <is>
          <t>已掃描</t>
        </is>
      </c>
      <c r="C272" s="2" t="inlineStr"/>
      <c r="D272" s="2" t="n"/>
      <c r="E272" s="17" t="n"/>
      <c r="F272" s="17" t="n"/>
      <c r="G272" s="2" t="n"/>
      <c r="H272" s="2" t="n"/>
    </row>
    <row r="273">
      <c r="A273" s="2" t="inlineStr">
        <is>
          <t>OPG_USDT_PERP</t>
        </is>
      </c>
      <c r="B273" s="2" t="inlineStr">
        <is>
          <t>已掃描</t>
        </is>
      </c>
      <c r="C273" s="2" t="inlineStr"/>
      <c r="D273" s="2" t="n"/>
      <c r="E273" s="17" t="n"/>
      <c r="F273" s="17" t="n"/>
      <c r="G273" s="2" t="n"/>
      <c r="H273" s="2" t="n"/>
    </row>
    <row r="274">
      <c r="A274" s="2" t="inlineStr">
        <is>
          <t>OPN_USDT_PERP</t>
        </is>
      </c>
      <c r="B274" s="2" t="inlineStr">
        <is>
          <t>已掃描</t>
        </is>
      </c>
      <c r="C274" s="2" t="inlineStr"/>
      <c r="D274" s="2" t="n"/>
      <c r="E274" s="17" t="n"/>
      <c r="F274" s="17" t="n"/>
      <c r="G274" s="2" t="n"/>
      <c r="H274" s="2" t="n"/>
    </row>
    <row r="275">
      <c r="A275" s="2" t="inlineStr">
        <is>
          <t>OP_USDT_PERP</t>
        </is>
      </c>
      <c r="B275" s="2" t="inlineStr">
        <is>
          <t>已掃描</t>
        </is>
      </c>
      <c r="C275" s="2" t="inlineStr"/>
      <c r="D275" s="2" t="n"/>
      <c r="E275" s="17" t="n"/>
      <c r="F275" s="17" t="n"/>
      <c r="G275" s="2" t="n"/>
      <c r="H275" s="2" t="n"/>
    </row>
    <row r="276">
      <c r="A276" s="2" t="inlineStr">
        <is>
          <t>ORCA_USDT_PERP</t>
        </is>
      </c>
      <c r="B276" s="2" t="inlineStr">
        <is>
          <t>已掃描</t>
        </is>
      </c>
      <c r="C276" s="2" t="inlineStr"/>
      <c r="D276" s="2" t="n"/>
      <c r="E276" s="17" t="n"/>
      <c r="F276" s="17" t="n"/>
      <c r="G276" s="2" t="n"/>
      <c r="H276" s="2" t="n"/>
    </row>
    <row r="277">
      <c r="A277" s="2" t="inlineStr">
        <is>
          <t>ORDER_USDT_PERP</t>
        </is>
      </c>
      <c r="B277" s="2" t="inlineStr">
        <is>
          <t>已掃描</t>
        </is>
      </c>
      <c r="C277" s="2" t="inlineStr"/>
      <c r="D277" s="2" t="n"/>
      <c r="E277" s="17" t="n"/>
      <c r="F277" s="17" t="n"/>
      <c r="G277" s="2" t="n"/>
      <c r="H277" s="2" t="n"/>
    </row>
    <row r="278">
      <c r="A278" s="2" t="inlineStr">
        <is>
          <t>ORDI_USDT_PERP</t>
        </is>
      </c>
      <c r="B278" s="2" t="inlineStr">
        <is>
          <t>已掃描</t>
        </is>
      </c>
      <c r="C278" s="2" t="inlineStr"/>
      <c r="D278" s="2" t="n"/>
      <c r="E278" s="17" t="n"/>
      <c r="F278" s="17" t="n"/>
      <c r="G278" s="2" t="n"/>
      <c r="H278" s="2" t="n"/>
    </row>
    <row r="279">
      <c r="A279" s="2" t="inlineStr">
        <is>
          <t>O_USDT_PERP</t>
        </is>
      </c>
      <c r="B279" s="2" t="inlineStr">
        <is>
          <t>已掃描</t>
        </is>
      </c>
      <c r="C279" s="2" t="inlineStr"/>
      <c r="D279" s="2" t="n"/>
      <c r="E279" s="17" t="n"/>
      <c r="F279" s="17" t="n"/>
      <c r="G279" s="2" t="n"/>
      <c r="H279" s="2" t="n"/>
    </row>
    <row r="280">
      <c r="A280" s="2" t="inlineStr">
        <is>
          <t>PARTI_USDT_PERP</t>
        </is>
      </c>
      <c r="B280" s="2" t="inlineStr">
        <is>
          <t>已掃描</t>
        </is>
      </c>
      <c r="C280" s="2" t="inlineStr"/>
      <c r="D280" s="2" t="n"/>
      <c r="E280" s="17" t="n"/>
      <c r="F280" s="17" t="n"/>
      <c r="G280" s="2" t="n"/>
      <c r="H280" s="2" t="n"/>
    </row>
    <row r="281">
      <c r="A281" s="2" t="inlineStr">
        <is>
          <t>PENDLE_USDT_PERP</t>
        </is>
      </c>
      <c r="B281" s="2" t="inlineStr">
        <is>
          <t>已掃描</t>
        </is>
      </c>
      <c r="C281" s="2" t="inlineStr"/>
      <c r="D281" s="2" t="n"/>
      <c r="E281" s="17" t="n"/>
      <c r="F281" s="17" t="n"/>
      <c r="G281" s="2" t="n"/>
      <c r="H281" s="2" t="n"/>
    </row>
    <row r="282">
      <c r="A282" s="2" t="inlineStr">
        <is>
          <t>PENGU_USDT_PERP</t>
        </is>
      </c>
      <c r="B282" s="2" t="inlineStr">
        <is>
          <t>已掃描</t>
        </is>
      </c>
      <c r="C282" s="2" t="inlineStr"/>
      <c r="D282" s="2" t="n"/>
      <c r="E282" s="17" t="n"/>
      <c r="F282" s="17" t="n"/>
      <c r="G282" s="2" t="n"/>
      <c r="H282" s="2" t="n"/>
    </row>
    <row r="283">
      <c r="A283" s="2" t="inlineStr">
        <is>
          <t>PEOPLE_USDT_PERP</t>
        </is>
      </c>
      <c r="B283" s="2" t="inlineStr">
        <is>
          <t>已掃描</t>
        </is>
      </c>
      <c r="C283" s="2" t="inlineStr"/>
      <c r="D283" s="2" t="n"/>
      <c r="E283" s="17" t="n"/>
      <c r="F283" s="17" t="n"/>
      <c r="G283" s="2" t="n"/>
      <c r="H283" s="2" t="n"/>
    </row>
    <row r="284">
      <c r="A284" s="2" t="inlineStr">
        <is>
          <t>PEPE_USDT_PERP</t>
        </is>
      </c>
      <c r="B284" s="2" t="inlineStr">
        <is>
          <t>已掃描</t>
        </is>
      </c>
      <c r="C284" s="2" t="inlineStr"/>
      <c r="D284" s="2" t="n"/>
      <c r="E284" s="17" t="n"/>
      <c r="F284" s="17" t="n"/>
      <c r="G284" s="2" t="n"/>
      <c r="H284" s="2" t="n"/>
    </row>
    <row r="285">
      <c r="A285" s="2" t="inlineStr">
        <is>
          <t>PHA_USDT_PERP</t>
        </is>
      </c>
      <c r="B285" s="2" t="inlineStr">
        <is>
          <t>已掃描</t>
        </is>
      </c>
      <c r="C285" s="2" t="inlineStr"/>
      <c r="D285" s="2" t="n"/>
      <c r="E285" s="17" t="n"/>
      <c r="F285" s="17" t="n"/>
      <c r="G285" s="2" t="n"/>
      <c r="H285" s="2" t="n"/>
    </row>
    <row r="286">
      <c r="A286" s="2" t="inlineStr">
        <is>
          <t>PIEVERSE_USDT_PERP</t>
        </is>
      </c>
      <c r="B286" s="2" t="inlineStr">
        <is>
          <t>已掃描</t>
        </is>
      </c>
      <c r="C286" s="2" t="inlineStr"/>
      <c r="D286" s="2" t="n"/>
      <c r="E286" s="17" t="n"/>
      <c r="F286" s="17" t="n"/>
      <c r="G286" s="2" t="n"/>
      <c r="H286" s="2" t="n"/>
    </row>
    <row r="287">
      <c r="A287" s="2" t="inlineStr">
        <is>
          <t>PIPPIN_USDT_PERP</t>
        </is>
      </c>
      <c r="B287" s="2" t="inlineStr">
        <is>
          <t>已掃描</t>
        </is>
      </c>
      <c r="C287" s="2" t="inlineStr"/>
      <c r="D287" s="2" t="n"/>
      <c r="E287" s="17" t="n"/>
      <c r="F287" s="17" t="n"/>
      <c r="G287" s="2" t="n"/>
      <c r="H287" s="2" t="n"/>
    </row>
    <row r="288">
      <c r="A288" s="2" t="inlineStr">
        <is>
          <t>PIXEL_USDT_PERP</t>
        </is>
      </c>
      <c r="B288" s="2" t="inlineStr">
        <is>
          <t>已掃描</t>
        </is>
      </c>
      <c r="C288" s="2" t="inlineStr"/>
      <c r="D288" s="2" t="n"/>
      <c r="E288" s="17" t="n"/>
      <c r="F288" s="17" t="n"/>
      <c r="G288" s="2" t="n"/>
      <c r="H288" s="2" t="n"/>
    </row>
    <row r="289">
      <c r="A289" s="2" t="inlineStr">
        <is>
          <t>PI_USDT_PERP</t>
        </is>
      </c>
      <c r="B289" s="2" t="inlineStr">
        <is>
          <t>已掃描</t>
        </is>
      </c>
      <c r="C289" s="2" t="inlineStr"/>
      <c r="D289" s="2" t="n"/>
      <c r="E289" s="17" t="n"/>
      <c r="F289" s="17" t="n"/>
      <c r="G289" s="2" t="n"/>
      <c r="H289" s="2" t="n"/>
    </row>
    <row r="290">
      <c r="A290" s="2" t="inlineStr">
        <is>
          <t>PLAY_USDT_PERP</t>
        </is>
      </c>
      <c r="B290" s="2" t="inlineStr">
        <is>
          <t>已掃描</t>
        </is>
      </c>
      <c r="C290" s="2" t="inlineStr"/>
      <c r="D290" s="2" t="n"/>
      <c r="E290" s="17" t="n"/>
      <c r="F290" s="17" t="n"/>
      <c r="G290" s="2" t="n"/>
      <c r="H290" s="2" t="n"/>
    </row>
    <row r="291">
      <c r="A291" s="2" t="inlineStr">
        <is>
          <t>PLUME_USDT_PERP</t>
        </is>
      </c>
      <c r="B291" s="2" t="inlineStr">
        <is>
          <t>已掃描</t>
        </is>
      </c>
      <c r="C291" s="2" t="inlineStr"/>
      <c r="D291" s="2" t="n"/>
      <c r="E291" s="17" t="n"/>
      <c r="F291" s="17" t="n"/>
      <c r="G291" s="2" t="n"/>
      <c r="H291" s="2" t="n"/>
    </row>
    <row r="292">
      <c r="A292" s="2" t="inlineStr">
        <is>
          <t>PNUT_USDT_PERP</t>
        </is>
      </c>
      <c r="B292" s="2" t="inlineStr">
        <is>
          <t>已掃描</t>
        </is>
      </c>
      <c r="C292" s="2" t="inlineStr"/>
      <c r="D292" s="2" t="n"/>
      <c r="E292" s="17" t="n"/>
      <c r="F292" s="17" t="n"/>
      <c r="G292" s="2" t="n"/>
      <c r="H292" s="2" t="n"/>
    </row>
    <row r="293">
      <c r="A293" s="2" t="inlineStr">
        <is>
          <t>POLYX_USDT_PERP</t>
        </is>
      </c>
      <c r="B293" s="2" t="inlineStr">
        <is>
          <t>已掃描</t>
        </is>
      </c>
      <c r="C293" s="2" t="inlineStr"/>
      <c r="D293" s="2" t="n"/>
      <c r="E293" s="17" t="n"/>
      <c r="F293" s="17" t="n"/>
      <c r="G293" s="2" t="n"/>
      <c r="H293" s="2" t="n"/>
    </row>
    <row r="294">
      <c r="A294" s="2" t="inlineStr">
        <is>
          <t>POL_USDT_PERP</t>
        </is>
      </c>
      <c r="B294" s="2" t="inlineStr">
        <is>
          <t>已掃描</t>
        </is>
      </c>
      <c r="C294" s="2" t="inlineStr"/>
      <c r="D294" s="2" t="n"/>
      <c r="E294" s="17" t="n"/>
      <c r="F294" s="17" t="n"/>
      <c r="G294" s="2" t="n"/>
      <c r="H294" s="2" t="n"/>
    </row>
    <row r="295">
      <c r="A295" s="2" t="inlineStr">
        <is>
          <t>PONS_USDT_PERP</t>
        </is>
      </c>
      <c r="B295" s="2" t="inlineStr">
        <is>
          <t>已掃描</t>
        </is>
      </c>
      <c r="C295" s="2" t="inlineStr"/>
      <c r="D295" s="2" t="n"/>
      <c r="E295" s="17" t="n"/>
      <c r="F295" s="17" t="n"/>
      <c r="G295" s="2" t="n"/>
      <c r="H295" s="2" t="n"/>
    </row>
    <row r="296">
      <c r="A296" s="2" t="inlineStr">
        <is>
          <t>POPCAT_USDT_PERP</t>
        </is>
      </c>
      <c r="B296" s="2" t="inlineStr">
        <is>
          <t>已掃描</t>
        </is>
      </c>
      <c r="C296" s="2" t="inlineStr"/>
      <c r="D296" s="2" t="n"/>
      <c r="E296" s="17" t="n"/>
      <c r="F296" s="17" t="n"/>
      <c r="G296" s="2" t="n"/>
      <c r="H296" s="2" t="n"/>
    </row>
    <row r="297">
      <c r="A297" s="2" t="inlineStr">
        <is>
          <t>PORTAL_USDT_PERP</t>
        </is>
      </c>
      <c r="B297" s="2" t="inlineStr">
        <is>
          <t>已掃描</t>
        </is>
      </c>
      <c r="C297" s="2" t="inlineStr"/>
      <c r="D297" s="2" t="n"/>
      <c r="E297" s="17" t="n"/>
      <c r="F297" s="17" t="n"/>
      <c r="G297" s="2" t="n"/>
      <c r="H297" s="2" t="n"/>
    </row>
    <row r="298">
      <c r="A298" s="2" t="inlineStr">
        <is>
          <t>POWER_USDT_PERP</t>
        </is>
      </c>
      <c r="B298" s="2" t="inlineStr">
        <is>
          <t>已掃描</t>
        </is>
      </c>
      <c r="C298" s="2" t="inlineStr"/>
      <c r="D298" s="2" t="n"/>
      <c r="E298" s="17" t="n"/>
      <c r="F298" s="17" t="n"/>
      <c r="G298" s="2" t="n"/>
      <c r="H298" s="2" t="n"/>
    </row>
    <row r="299">
      <c r="A299" s="2" t="inlineStr">
        <is>
          <t>POWR_USDT_PERP</t>
        </is>
      </c>
      <c r="B299" s="2" t="inlineStr">
        <is>
          <t>已掃描</t>
        </is>
      </c>
      <c r="C299" s="2" t="inlineStr"/>
      <c r="D299" s="2" t="n"/>
      <c r="E299" s="17" t="n"/>
      <c r="F299" s="17" t="n"/>
      <c r="G299" s="2" t="n"/>
      <c r="H299" s="2" t="n"/>
    </row>
    <row r="300">
      <c r="A300" s="2" t="inlineStr">
        <is>
          <t>PRL_USDT_PERP</t>
        </is>
      </c>
      <c r="B300" s="2" t="inlineStr">
        <is>
          <t>已掃描</t>
        </is>
      </c>
      <c r="C300" s="2" t="inlineStr"/>
      <c r="D300" s="2" t="n"/>
      <c r="E300" s="17" t="n"/>
      <c r="F300" s="17" t="n"/>
      <c r="G300" s="2" t="n"/>
      <c r="H300" s="2" t="n"/>
    </row>
    <row r="301">
      <c r="A301" s="2" t="inlineStr">
        <is>
          <t>PROMPT_USDT_PERP</t>
        </is>
      </c>
      <c r="B301" s="2" t="inlineStr">
        <is>
          <t>已掃描</t>
        </is>
      </c>
      <c r="C301" s="2" t="inlineStr"/>
      <c r="D301" s="2" t="n"/>
      <c r="E301" s="17" t="n"/>
      <c r="F301" s="17" t="n"/>
      <c r="G301" s="2" t="n"/>
      <c r="H301" s="2" t="n"/>
    </row>
    <row r="302">
      <c r="A302" s="2" t="inlineStr">
        <is>
          <t>PROS_USDT_PERP</t>
        </is>
      </c>
      <c r="B302" s="2" t="inlineStr">
        <is>
          <t>已掃描</t>
        </is>
      </c>
      <c r="C302" s="2" t="inlineStr"/>
      <c r="D302" s="2" t="n"/>
      <c r="E302" s="17" t="n"/>
      <c r="F302" s="17" t="n"/>
      <c r="G302" s="2" t="n"/>
      <c r="H302" s="2" t="n"/>
    </row>
    <row r="303">
      <c r="A303" s="2" t="inlineStr">
        <is>
          <t>PROVE_USDT_PERP</t>
        </is>
      </c>
      <c r="B303" s="2" t="inlineStr">
        <is>
          <t>已掃描</t>
        </is>
      </c>
      <c r="C303" s="2" t="inlineStr"/>
      <c r="D303" s="2" t="n"/>
      <c r="E303" s="17" t="n"/>
      <c r="F303" s="17" t="n"/>
      <c r="G303" s="2" t="n"/>
      <c r="H303" s="2" t="n"/>
    </row>
    <row r="304">
      <c r="A304" s="2" t="inlineStr">
        <is>
          <t>PTB_USDT_PERP</t>
        </is>
      </c>
      <c r="B304" s="2" t="inlineStr">
        <is>
          <t>已掃描</t>
        </is>
      </c>
      <c r="C304" s="2" t="inlineStr"/>
      <c r="D304" s="2" t="n"/>
      <c r="E304" s="17" t="n"/>
      <c r="F304" s="17" t="n"/>
      <c r="G304" s="2" t="n"/>
      <c r="H304" s="2" t="n"/>
    </row>
    <row r="305">
      <c r="A305" s="2" t="inlineStr">
        <is>
          <t>PUMP_USDT_PERP</t>
        </is>
      </c>
      <c r="B305" s="2" t="inlineStr">
        <is>
          <t>已掃描</t>
        </is>
      </c>
      <c r="C305" s="2" t="inlineStr"/>
      <c r="D305" s="2" t="n"/>
      <c r="E305" s="17" t="n"/>
      <c r="F305" s="17" t="n"/>
      <c r="G305" s="2" t="n"/>
      <c r="H305" s="2" t="n"/>
    </row>
    <row r="306">
      <c r="A306" s="2" t="inlineStr">
        <is>
          <t>PYTH_USDT_PERP</t>
        </is>
      </c>
      <c r="B306" s="2" t="inlineStr">
        <is>
          <t>已掃描</t>
        </is>
      </c>
      <c r="C306" s="2" t="inlineStr"/>
      <c r="D306" s="2" t="n"/>
      <c r="E306" s="17" t="n"/>
      <c r="F306" s="17" t="n"/>
      <c r="G306" s="2" t="n"/>
      <c r="H306" s="2" t="n"/>
    </row>
    <row r="307">
      <c r="A307" s="2" t="inlineStr">
        <is>
          <t>QNT_USDT_PERP</t>
        </is>
      </c>
      <c r="B307" s="2" t="inlineStr">
        <is>
          <t>已掃描</t>
        </is>
      </c>
      <c r="C307" s="2" t="inlineStr"/>
      <c r="D307" s="2" t="n"/>
      <c r="E307" s="17" t="n"/>
      <c r="F307" s="17" t="n"/>
      <c r="G307" s="2" t="n"/>
      <c r="H307" s="2" t="n"/>
    </row>
    <row r="308">
      <c r="A308" s="2" t="inlineStr">
        <is>
          <t>QTUM_USDT_PERP</t>
        </is>
      </c>
      <c r="B308" s="2" t="inlineStr">
        <is>
          <t>已掃描</t>
        </is>
      </c>
      <c r="C308" s="2" t="inlineStr"/>
      <c r="D308" s="2" t="n"/>
      <c r="E308" s="17" t="n"/>
      <c r="F308" s="17" t="n"/>
      <c r="G308" s="2" t="n"/>
      <c r="H308" s="2" t="n"/>
    </row>
    <row r="309">
      <c r="A309" s="2" t="inlineStr">
        <is>
          <t>Q_USDT_PERP</t>
        </is>
      </c>
      <c r="B309" s="2" t="inlineStr">
        <is>
          <t>已掃描</t>
        </is>
      </c>
      <c r="C309" s="2" t="inlineStr"/>
      <c r="D309" s="2" t="n"/>
      <c r="E309" s="17" t="n"/>
      <c r="F309" s="17" t="n"/>
      <c r="G309" s="2" t="n"/>
      <c r="H309" s="2" t="n"/>
    </row>
    <row r="310">
      <c r="A310" s="2" t="inlineStr">
        <is>
          <t>RATS_USDT_PERP</t>
        </is>
      </c>
      <c r="B310" s="2" t="inlineStr">
        <is>
          <t>已掃描</t>
        </is>
      </c>
      <c r="C310" s="2" t="inlineStr"/>
      <c r="D310" s="2" t="n"/>
      <c r="E310" s="17" t="n"/>
      <c r="F310" s="17" t="n"/>
      <c r="G310" s="2" t="n"/>
      <c r="H310" s="2" t="n"/>
    </row>
    <row r="311">
      <c r="A311" s="2" t="inlineStr">
        <is>
          <t>RAVE_USDT_PERP</t>
        </is>
      </c>
      <c r="B311" s="2" t="inlineStr">
        <is>
          <t>已掃描</t>
        </is>
      </c>
      <c r="C311" s="2" t="inlineStr"/>
      <c r="D311" s="2" t="n"/>
      <c r="E311" s="17" t="n"/>
      <c r="F311" s="17" t="n"/>
      <c r="G311" s="2" t="n"/>
      <c r="H311" s="2" t="n"/>
    </row>
    <row r="312">
      <c r="A312" s="2" t="inlineStr">
        <is>
          <t>RAY_USDT_PERP</t>
        </is>
      </c>
      <c r="B312" s="2" t="inlineStr">
        <is>
          <t>已掃描</t>
        </is>
      </c>
      <c r="C312" s="2" t="inlineStr"/>
      <c r="D312" s="2" t="n"/>
      <c r="E312" s="17" t="n"/>
      <c r="F312" s="17" t="n"/>
      <c r="G312" s="2" t="n"/>
      <c r="H312" s="2" t="n"/>
    </row>
    <row r="313">
      <c r="A313" s="2" t="inlineStr">
        <is>
          <t>RECALL_USDT_PERP</t>
        </is>
      </c>
      <c r="B313" s="2" t="inlineStr">
        <is>
          <t>已掃描</t>
        </is>
      </c>
      <c r="C313" s="2" t="inlineStr"/>
      <c r="D313" s="2" t="n"/>
      <c r="E313" s="17" t="n"/>
      <c r="F313" s="17" t="n"/>
      <c r="G313" s="2" t="n"/>
      <c r="H313" s="2" t="n"/>
    </row>
    <row r="314">
      <c r="A314" s="2" t="inlineStr">
        <is>
          <t>RENDER_USDT_PERP</t>
        </is>
      </c>
      <c r="B314" s="2" t="inlineStr">
        <is>
          <t>已掃描</t>
        </is>
      </c>
      <c r="C314" s="2" t="inlineStr"/>
      <c r="D314" s="2" t="n"/>
      <c r="E314" s="17" t="n"/>
      <c r="F314" s="17" t="n"/>
      <c r="G314" s="2" t="n"/>
      <c r="H314" s="2" t="n"/>
    </row>
    <row r="315">
      <c r="A315" s="2" t="inlineStr">
        <is>
          <t>REZ_USDT_PERP</t>
        </is>
      </c>
      <c r="B315" s="2" t="inlineStr">
        <is>
          <t>已掃描</t>
        </is>
      </c>
      <c r="C315" s="2" t="inlineStr"/>
      <c r="D315" s="2" t="n"/>
      <c r="E315" s="17" t="n"/>
      <c r="F315" s="17" t="n"/>
      <c r="G315" s="2" t="n"/>
      <c r="H315" s="2" t="n"/>
    </row>
    <row r="316">
      <c r="A316" s="2" t="inlineStr">
        <is>
          <t>RE_USDT_PERP</t>
        </is>
      </c>
      <c r="B316" s="2" t="inlineStr">
        <is>
          <t>已掃描</t>
        </is>
      </c>
      <c r="C316" s="2" t="inlineStr"/>
      <c r="D316" s="2" t="n"/>
      <c r="E316" s="17" t="n"/>
      <c r="F316" s="17" t="n"/>
      <c r="G316" s="2" t="n"/>
      <c r="H316" s="2" t="n"/>
    </row>
    <row r="317">
      <c r="A317" s="2" t="inlineStr">
        <is>
          <t>RIF_USDT_PERP</t>
        </is>
      </c>
      <c r="B317" s="2" t="inlineStr">
        <is>
          <t>已掃描</t>
        </is>
      </c>
      <c r="C317" s="2" t="inlineStr"/>
      <c r="D317" s="2" t="n"/>
      <c r="E317" s="17" t="n"/>
      <c r="F317" s="17" t="n"/>
      <c r="G317" s="2" t="n"/>
      <c r="H317" s="2" t="n"/>
    </row>
    <row r="318">
      <c r="A318" s="2" t="inlineStr">
        <is>
          <t>RIVER_USDT_PERP</t>
        </is>
      </c>
      <c r="B318" s="2" t="inlineStr">
        <is>
          <t>已掃描</t>
        </is>
      </c>
      <c r="C318" s="2" t="inlineStr"/>
      <c r="D318" s="2" t="n"/>
      <c r="E318" s="17" t="n"/>
      <c r="F318" s="17" t="n"/>
      <c r="G318" s="2" t="n"/>
      <c r="H318" s="2" t="n"/>
    </row>
    <row r="319">
      <c r="A319" s="2" t="inlineStr">
        <is>
          <t>ROBO_USDT_PERP</t>
        </is>
      </c>
      <c r="B319" s="2" t="inlineStr">
        <is>
          <t>已掃描</t>
        </is>
      </c>
      <c r="C319" s="2" t="inlineStr"/>
      <c r="D319" s="2" t="n"/>
      <c r="E319" s="17" t="n"/>
      <c r="F319" s="17" t="n"/>
      <c r="G319" s="2" t="n"/>
      <c r="H319" s="2" t="n"/>
    </row>
    <row r="320">
      <c r="A320" s="2" t="inlineStr">
        <is>
          <t>ROSE_USDT_PERP</t>
        </is>
      </c>
      <c r="B320" s="2" t="inlineStr">
        <is>
          <t>已掃描</t>
        </is>
      </c>
      <c r="C320" s="2" t="inlineStr"/>
      <c r="D320" s="2" t="n"/>
      <c r="E320" s="17" t="n"/>
      <c r="F320" s="17" t="n"/>
      <c r="G320" s="2" t="n"/>
      <c r="H320" s="2" t="n"/>
    </row>
    <row r="321">
      <c r="A321" s="2" t="inlineStr">
        <is>
          <t>RSR_USDT_PERP</t>
        </is>
      </c>
      <c r="B321" s="2" t="inlineStr">
        <is>
          <t>已掃描</t>
        </is>
      </c>
      <c r="C321" s="2" t="inlineStr"/>
      <c r="D321" s="2" t="n"/>
      <c r="E321" s="17" t="n"/>
      <c r="F321" s="17" t="n"/>
      <c r="G321" s="2" t="n"/>
      <c r="H321" s="2" t="n"/>
    </row>
    <row r="322">
      <c r="A322" s="2" t="inlineStr">
        <is>
          <t>RUNE_USDT_PERP</t>
        </is>
      </c>
      <c r="B322" s="2" t="inlineStr">
        <is>
          <t>已掃描</t>
        </is>
      </c>
      <c r="C322" s="2" t="inlineStr"/>
      <c r="D322" s="2" t="n"/>
      <c r="E322" s="17" t="n"/>
      <c r="F322" s="17" t="n"/>
      <c r="G322" s="2" t="n"/>
      <c r="H322" s="2" t="n"/>
    </row>
    <row r="323">
      <c r="A323" s="2" t="inlineStr">
        <is>
          <t>SAGA_USDT_PERP</t>
        </is>
      </c>
      <c r="B323" s="2" t="inlineStr">
        <is>
          <t>已掃描</t>
        </is>
      </c>
      <c r="C323" s="2" t="inlineStr"/>
      <c r="D323" s="2" t="n"/>
      <c r="E323" s="17" t="n"/>
      <c r="F323" s="17" t="n"/>
      <c r="G323" s="2" t="n"/>
      <c r="H323" s="2" t="n"/>
    </row>
    <row r="324">
      <c r="A324" s="2" t="inlineStr">
        <is>
          <t>SAHARA_USDT_PERP</t>
        </is>
      </c>
      <c r="B324" s="2" t="inlineStr">
        <is>
          <t>已掃描</t>
        </is>
      </c>
      <c r="C324" s="2" t="inlineStr"/>
      <c r="D324" s="2" t="n"/>
      <c r="E324" s="17" t="n"/>
      <c r="F324" s="17" t="n"/>
      <c r="G324" s="2" t="n"/>
      <c r="H324" s="2" t="n"/>
    </row>
    <row r="325">
      <c r="A325" s="2" t="inlineStr">
        <is>
          <t>SAND_USDT_PERP</t>
        </is>
      </c>
      <c r="B325" s="2" t="inlineStr">
        <is>
          <t>已掃描</t>
        </is>
      </c>
      <c r="C325" s="2" t="inlineStr"/>
      <c r="D325" s="2" t="n"/>
      <c r="E325" s="17" t="n"/>
      <c r="F325" s="17" t="n"/>
      <c r="G325" s="2" t="n"/>
      <c r="H325" s="2" t="n"/>
    </row>
    <row r="326">
      <c r="A326" s="2" t="inlineStr">
        <is>
          <t>SAPIEN_USDT_PERP</t>
        </is>
      </c>
      <c r="B326" s="2" t="inlineStr">
        <is>
          <t>已掃描</t>
        </is>
      </c>
      <c r="C326" s="2" t="inlineStr"/>
      <c r="D326" s="2" t="n"/>
      <c r="E326" s="17" t="n"/>
      <c r="F326" s="17" t="n"/>
      <c r="G326" s="2" t="n"/>
      <c r="H326" s="2" t="n"/>
    </row>
    <row r="327">
      <c r="A327" s="2" t="inlineStr">
        <is>
          <t>SEI_USDT_PERP</t>
        </is>
      </c>
      <c r="B327" s="2" t="inlineStr">
        <is>
          <t>已掃描</t>
        </is>
      </c>
      <c r="C327" s="2" t="inlineStr"/>
      <c r="D327" s="2" t="n"/>
      <c r="E327" s="17" t="n"/>
      <c r="F327" s="17" t="n"/>
      <c r="G327" s="2" t="n"/>
      <c r="H327" s="2" t="n"/>
    </row>
    <row r="328">
      <c r="A328" s="2" t="inlineStr">
        <is>
          <t>SENT_USDT_PERP</t>
        </is>
      </c>
      <c r="B328" s="2" t="inlineStr">
        <is>
          <t>已掃描</t>
        </is>
      </c>
      <c r="C328" s="2" t="inlineStr"/>
      <c r="D328" s="2" t="n"/>
      <c r="E328" s="17" t="n"/>
      <c r="F328" s="17" t="n"/>
      <c r="G328" s="2" t="n"/>
      <c r="H328" s="2" t="n"/>
    </row>
    <row r="329">
      <c r="A329" s="2" t="inlineStr">
        <is>
          <t>SFP_USDT_PERP</t>
        </is>
      </c>
      <c r="B329" s="2" t="inlineStr">
        <is>
          <t>已掃描</t>
        </is>
      </c>
      <c r="C329" s="2" t="inlineStr"/>
      <c r="D329" s="2" t="n"/>
      <c r="E329" s="17" t="n"/>
      <c r="F329" s="17" t="n"/>
      <c r="G329" s="2" t="n"/>
      <c r="H329" s="2" t="n"/>
    </row>
    <row r="330">
      <c r="A330" s="2" t="inlineStr">
        <is>
          <t>SHIB_USDT_PERP</t>
        </is>
      </c>
      <c r="B330" s="2" t="inlineStr">
        <is>
          <t>已掃描</t>
        </is>
      </c>
      <c r="C330" s="2" t="inlineStr"/>
      <c r="D330" s="2" t="n"/>
      <c r="E330" s="17" t="n"/>
      <c r="F330" s="17" t="n"/>
      <c r="G330" s="2" t="n"/>
      <c r="H330" s="2" t="n"/>
    </row>
    <row r="331">
      <c r="A331" s="2" t="inlineStr">
        <is>
          <t>SIREN_USDT_PERP</t>
        </is>
      </c>
      <c r="B331" s="2" t="inlineStr">
        <is>
          <t>已掃描</t>
        </is>
      </c>
      <c r="C331" s="2" t="inlineStr"/>
      <c r="D331" s="2" t="n"/>
      <c r="E331" s="17" t="n"/>
      <c r="F331" s="17" t="n"/>
      <c r="G331" s="2" t="n"/>
      <c r="H331" s="2" t="n"/>
    </row>
    <row r="332">
      <c r="A332" s="2" t="inlineStr">
        <is>
          <t>SKL_USDT_PERP</t>
        </is>
      </c>
      <c r="B332" s="2" t="inlineStr">
        <is>
          <t>已掃描</t>
        </is>
      </c>
      <c r="C332" s="2" t="inlineStr"/>
      <c r="D332" s="2" t="n"/>
      <c r="E332" s="17" t="n"/>
      <c r="F332" s="17" t="n"/>
      <c r="G332" s="2" t="n"/>
      <c r="H332" s="2" t="n"/>
    </row>
    <row r="333">
      <c r="A333" s="2" t="inlineStr">
        <is>
          <t>SKR_USDT_PERP</t>
        </is>
      </c>
      <c r="B333" s="2" t="inlineStr">
        <is>
          <t>已掃描</t>
        </is>
      </c>
      <c r="C333" s="2" t="inlineStr"/>
      <c r="D333" s="2" t="n"/>
      <c r="E333" s="17" t="n"/>
      <c r="F333" s="17" t="n"/>
      <c r="G333" s="2" t="n"/>
      <c r="H333" s="2" t="n"/>
    </row>
    <row r="334">
      <c r="A334" s="2" t="inlineStr">
        <is>
          <t>SKYAI_USDT_PERP</t>
        </is>
      </c>
      <c r="B334" s="2" t="inlineStr">
        <is>
          <t>已掃描</t>
        </is>
      </c>
      <c r="C334" s="2" t="inlineStr"/>
      <c r="D334" s="2" t="n"/>
      <c r="E334" s="17" t="n"/>
      <c r="F334" s="17" t="n"/>
      <c r="G334" s="2" t="n"/>
      <c r="H334" s="2" t="n"/>
    </row>
    <row r="335">
      <c r="A335" s="2" t="inlineStr">
        <is>
          <t>SKY_USDT_PERP</t>
        </is>
      </c>
      <c r="B335" s="2" t="inlineStr">
        <is>
          <t>已掃描</t>
        </is>
      </c>
      <c r="C335" s="2" t="inlineStr"/>
      <c r="D335" s="2" t="n"/>
      <c r="E335" s="17" t="n"/>
      <c r="F335" s="17" t="n"/>
      <c r="G335" s="2" t="n"/>
      <c r="H335" s="2" t="n"/>
    </row>
    <row r="336">
      <c r="A336" s="2" t="inlineStr">
        <is>
          <t>SLP_USDT_PERP</t>
        </is>
      </c>
      <c r="B336" s="2" t="inlineStr">
        <is>
          <t>已掃描</t>
        </is>
      </c>
      <c r="C336" s="2" t="inlineStr"/>
      <c r="D336" s="2" t="n"/>
      <c r="E336" s="17" t="n"/>
      <c r="F336" s="17" t="n"/>
      <c r="G336" s="2" t="n"/>
      <c r="H336" s="2" t="n"/>
    </row>
    <row r="337">
      <c r="A337" s="2" t="inlineStr">
        <is>
          <t>SLX_USDT_PERP</t>
        </is>
      </c>
      <c r="B337" s="2" t="inlineStr">
        <is>
          <t>已掃描</t>
        </is>
      </c>
      <c r="C337" s="2" t="inlineStr"/>
      <c r="D337" s="2" t="n"/>
      <c r="E337" s="17" t="n"/>
      <c r="F337" s="17" t="n"/>
      <c r="G337" s="2" t="n"/>
      <c r="H337" s="2" t="n"/>
    </row>
    <row r="338">
      <c r="A338" s="2" t="inlineStr">
        <is>
          <t>SNX_USDT_PERP</t>
        </is>
      </c>
      <c r="B338" s="2" t="inlineStr">
        <is>
          <t>已掃描</t>
        </is>
      </c>
      <c r="C338" s="2" t="inlineStr"/>
      <c r="D338" s="2" t="n"/>
      <c r="E338" s="17" t="n"/>
      <c r="F338" s="17" t="n"/>
      <c r="G338" s="2" t="n"/>
      <c r="H338" s="2" t="n"/>
    </row>
    <row r="339">
      <c r="A339" s="2" t="inlineStr">
        <is>
          <t>SOLV_USDT_PERP</t>
        </is>
      </c>
      <c r="B339" s="2" t="inlineStr">
        <is>
          <t>已掃描</t>
        </is>
      </c>
      <c r="C339" s="2" t="inlineStr"/>
      <c r="D339" s="2" t="n"/>
      <c r="E339" s="17" t="n"/>
      <c r="F339" s="17" t="n"/>
      <c r="G339" s="2" t="n"/>
      <c r="H339" s="2" t="n"/>
    </row>
    <row r="340">
      <c r="A340" s="2" t="inlineStr">
        <is>
          <t>SOL_USDT_PERP</t>
        </is>
      </c>
      <c r="B340" s="2" t="inlineStr">
        <is>
          <t>已掃描</t>
        </is>
      </c>
      <c r="C340" s="2" t="inlineStr"/>
      <c r="D340" s="2" t="n"/>
      <c r="E340" s="17" t="n"/>
      <c r="F340" s="17" t="n"/>
      <c r="G340" s="2" t="n"/>
      <c r="H340" s="2" t="n"/>
    </row>
    <row r="341">
      <c r="A341" s="2" t="inlineStr">
        <is>
          <t>SOMI_USDT_PERP</t>
        </is>
      </c>
      <c r="B341" s="2" t="inlineStr">
        <is>
          <t>已掃描</t>
        </is>
      </c>
      <c r="C341" s="2" t="inlineStr"/>
      <c r="D341" s="2" t="n"/>
      <c r="E341" s="17" t="n"/>
      <c r="F341" s="17" t="n"/>
      <c r="G341" s="2" t="n"/>
      <c r="H341" s="2" t="n"/>
    </row>
    <row r="342">
      <c r="A342" s="2" t="inlineStr">
        <is>
          <t>SOON_USDT_PERP</t>
        </is>
      </c>
      <c r="B342" s="2" t="inlineStr">
        <is>
          <t>已掃描</t>
        </is>
      </c>
      <c r="C342" s="2" t="inlineStr"/>
      <c r="D342" s="2" t="n"/>
      <c r="E342" s="17" t="n"/>
      <c r="F342" s="17" t="n"/>
      <c r="G342" s="2" t="n"/>
      <c r="H342" s="2" t="n"/>
    </row>
    <row r="343">
      <c r="A343" s="2" t="inlineStr">
        <is>
          <t>SPACE_USDT_PERP</t>
        </is>
      </c>
      <c r="B343" s="2" t="inlineStr">
        <is>
          <t>已掃描</t>
        </is>
      </c>
      <c r="C343" s="2" t="inlineStr"/>
      <c r="D343" s="2" t="n"/>
      <c r="E343" s="17" t="n"/>
      <c r="F343" s="17" t="n"/>
      <c r="G343" s="2" t="n"/>
      <c r="H343" s="2" t="n"/>
    </row>
    <row r="344">
      <c r="A344" s="2" t="inlineStr">
        <is>
          <t>SPELL_USDT_PERP</t>
        </is>
      </c>
      <c r="B344" s="2" t="inlineStr">
        <is>
          <t>已掃描</t>
        </is>
      </c>
      <c r="C344" s="2" t="inlineStr"/>
      <c r="D344" s="2" t="n"/>
      <c r="E344" s="17" t="n"/>
      <c r="F344" s="17" t="n"/>
      <c r="G344" s="2" t="n"/>
      <c r="H344" s="2" t="n"/>
    </row>
    <row r="345">
      <c r="A345" s="2" t="inlineStr">
        <is>
          <t>SPK_USDT_PERP</t>
        </is>
      </c>
      <c r="B345" s="2" t="inlineStr">
        <is>
          <t>已掃描</t>
        </is>
      </c>
      <c r="C345" s="2" t="inlineStr"/>
      <c r="D345" s="2" t="n"/>
      <c r="E345" s="17" t="n"/>
      <c r="F345" s="17" t="n"/>
      <c r="G345" s="2" t="n"/>
      <c r="H345" s="2" t="n"/>
    </row>
    <row r="346">
      <c r="A346" s="2" t="inlineStr">
        <is>
          <t>SPORTFUN_USDT_PERP</t>
        </is>
      </c>
      <c r="B346" s="2" t="inlineStr">
        <is>
          <t>已掃描</t>
        </is>
      </c>
      <c r="C346" s="2" t="inlineStr"/>
      <c r="D346" s="2" t="n"/>
      <c r="E346" s="17" t="n"/>
      <c r="F346" s="17" t="n"/>
      <c r="G346" s="2" t="n"/>
      <c r="H346" s="2" t="n"/>
    </row>
    <row r="347">
      <c r="A347" s="2" t="inlineStr">
        <is>
          <t>SPX_USDT_PERP</t>
        </is>
      </c>
      <c r="B347" s="2" t="inlineStr">
        <is>
          <t>已掃描</t>
        </is>
      </c>
      <c r="C347" s="2" t="inlineStr"/>
      <c r="D347" s="2" t="n"/>
      <c r="E347" s="17" t="n"/>
      <c r="F347" s="17" t="n"/>
      <c r="G347" s="2" t="n"/>
      <c r="H347" s="2" t="n"/>
    </row>
    <row r="348">
      <c r="A348" s="2" t="inlineStr">
        <is>
          <t>SQD_USDT_PERP</t>
        </is>
      </c>
      <c r="B348" s="2" t="inlineStr">
        <is>
          <t>已掃描</t>
        </is>
      </c>
      <c r="C348" s="2" t="inlineStr"/>
      <c r="D348" s="2" t="n"/>
      <c r="E348" s="17" t="n"/>
      <c r="F348" s="17" t="n"/>
      <c r="G348" s="2" t="n"/>
      <c r="H348" s="2" t="n"/>
    </row>
    <row r="349">
      <c r="A349" s="2" t="inlineStr">
        <is>
          <t>SSV_USDT_PERP</t>
        </is>
      </c>
      <c r="B349" s="2" t="inlineStr">
        <is>
          <t>已掃描</t>
        </is>
      </c>
      <c r="C349" s="2" t="inlineStr"/>
      <c r="D349" s="2" t="n"/>
      <c r="E349" s="17" t="n"/>
      <c r="F349" s="17" t="n"/>
      <c r="G349" s="2" t="n"/>
      <c r="H349" s="2" t="n"/>
    </row>
    <row r="350">
      <c r="A350" s="2" t="inlineStr">
        <is>
          <t>STABLE_USDT_PERP</t>
        </is>
      </c>
      <c r="B350" s="2" t="inlineStr">
        <is>
          <t>已掃描</t>
        </is>
      </c>
      <c r="C350" s="2" t="inlineStr"/>
      <c r="D350" s="2" t="n"/>
      <c r="E350" s="17" t="n"/>
      <c r="F350" s="17" t="n"/>
      <c r="G350" s="2" t="n"/>
      <c r="H350" s="2" t="n"/>
    </row>
    <row r="351">
      <c r="A351" s="2" t="inlineStr">
        <is>
          <t>STAR_USDT_PERP</t>
        </is>
      </c>
      <c r="B351" s="2" t="inlineStr">
        <is>
          <t>已掃描</t>
        </is>
      </c>
      <c r="C351" s="2" t="inlineStr"/>
      <c r="D351" s="2" t="n"/>
      <c r="E351" s="17" t="n"/>
      <c r="F351" s="17" t="n"/>
      <c r="G351" s="2" t="n"/>
      <c r="H351" s="2" t="n"/>
    </row>
    <row r="352">
      <c r="A352" s="2" t="inlineStr">
        <is>
          <t>STBL_USDT_PERP</t>
        </is>
      </c>
      <c r="B352" s="2" t="inlineStr">
        <is>
          <t>已掃描</t>
        </is>
      </c>
      <c r="C352" s="2" t="inlineStr"/>
      <c r="D352" s="2" t="n"/>
      <c r="E352" s="17" t="n"/>
      <c r="F352" s="17" t="n"/>
      <c r="G352" s="2" t="n"/>
      <c r="H352" s="2" t="n"/>
    </row>
    <row r="353">
      <c r="A353" s="2" t="inlineStr">
        <is>
          <t>STRK_USDT_PERP</t>
        </is>
      </c>
      <c r="B353" s="2" t="inlineStr">
        <is>
          <t>已掃描</t>
        </is>
      </c>
      <c r="C353" s="2" t="inlineStr"/>
      <c r="D353" s="2" t="n"/>
      <c r="E353" s="17" t="n"/>
      <c r="F353" s="17" t="n"/>
      <c r="G353" s="2" t="n"/>
      <c r="H353" s="2" t="n"/>
    </row>
    <row r="354">
      <c r="A354" s="2" t="inlineStr">
        <is>
          <t>STX_USDT_PERP</t>
        </is>
      </c>
      <c r="B354" s="2" t="inlineStr">
        <is>
          <t>已掃描</t>
        </is>
      </c>
      <c r="C354" s="2" t="inlineStr"/>
      <c r="D354" s="2" t="n"/>
      <c r="E354" s="17" t="n"/>
      <c r="F354" s="17" t="n"/>
      <c r="G354" s="2" t="n"/>
      <c r="H354" s="2" t="n"/>
    </row>
    <row r="355">
      <c r="A355" s="2" t="inlineStr">
        <is>
          <t>SUI_USDT_PERP</t>
        </is>
      </c>
      <c r="B355" s="2" t="inlineStr">
        <is>
          <t>已掃描</t>
        </is>
      </c>
      <c r="C355" s="2" t="inlineStr"/>
      <c r="D355" s="2" t="n"/>
      <c r="E355" s="17" t="n"/>
      <c r="F355" s="17" t="n"/>
      <c r="G355" s="2" t="n"/>
      <c r="H355" s="2" t="n"/>
    </row>
    <row r="356">
      <c r="A356" s="2" t="inlineStr">
        <is>
          <t>SUN_USDT_PERP</t>
        </is>
      </c>
      <c r="B356" s="2" t="inlineStr">
        <is>
          <t>已掃描</t>
        </is>
      </c>
      <c r="C356" s="2" t="inlineStr"/>
      <c r="D356" s="2" t="n"/>
      <c r="E356" s="17" t="n"/>
      <c r="F356" s="17" t="n"/>
      <c r="G356" s="2" t="n"/>
      <c r="H356" s="2" t="n"/>
    </row>
    <row r="357">
      <c r="A357" s="2" t="inlineStr">
        <is>
          <t>SUPER_USDT_PERP</t>
        </is>
      </c>
      <c r="B357" s="2" t="inlineStr">
        <is>
          <t>已掃描</t>
        </is>
      </c>
      <c r="C357" s="2" t="inlineStr"/>
      <c r="D357" s="2" t="n"/>
      <c r="E357" s="17" t="n"/>
      <c r="F357" s="17" t="n"/>
      <c r="G357" s="2" t="n"/>
      <c r="H357" s="2" t="n"/>
    </row>
    <row r="358">
      <c r="A358" s="2" t="inlineStr">
        <is>
          <t>SUSHI_USDT_PERP</t>
        </is>
      </c>
      <c r="B358" s="2" t="inlineStr">
        <is>
          <t>已掃描</t>
        </is>
      </c>
      <c r="C358" s="2" t="inlineStr"/>
      <c r="D358" s="2" t="n"/>
      <c r="E358" s="17" t="n"/>
      <c r="F358" s="17" t="n"/>
      <c r="G358" s="2" t="n"/>
      <c r="H358" s="2" t="n"/>
    </row>
    <row r="359">
      <c r="A359" s="2" t="inlineStr">
        <is>
          <t>SXT_USDT_PERP</t>
        </is>
      </c>
      <c r="B359" s="2" t="inlineStr">
        <is>
          <t>已掃描</t>
        </is>
      </c>
      <c r="C359" s="2" t="inlineStr"/>
      <c r="D359" s="2" t="n"/>
      <c r="E359" s="17" t="n"/>
      <c r="F359" s="17" t="n"/>
      <c r="G359" s="2" t="n"/>
      <c r="H359" s="2" t="n"/>
    </row>
    <row r="360">
      <c r="A360" s="2" t="inlineStr">
        <is>
          <t>SYRUP_USDT_PERP</t>
        </is>
      </c>
      <c r="B360" s="2" t="inlineStr">
        <is>
          <t>已掃描</t>
        </is>
      </c>
      <c r="C360" s="2" t="inlineStr"/>
      <c r="D360" s="2" t="n"/>
      <c r="E360" s="17" t="n"/>
      <c r="F360" s="17" t="n"/>
      <c r="G360" s="2" t="n"/>
      <c r="H360" s="2" t="n"/>
    </row>
    <row r="361">
      <c r="A361" s="2" t="inlineStr">
        <is>
          <t>S_USDT_PERP</t>
        </is>
      </c>
      <c r="B361" s="2" t="inlineStr">
        <is>
          <t>已掃描</t>
        </is>
      </c>
      <c r="C361" s="2" t="inlineStr"/>
      <c r="D361" s="2" t="n"/>
      <c r="E361" s="17" t="n"/>
      <c r="F361" s="17" t="n"/>
      <c r="G361" s="2" t="n"/>
      <c r="H361" s="2" t="n"/>
    </row>
    <row r="362">
      <c r="A362" s="2" t="inlineStr">
        <is>
          <t>TAC_USDT_PERP</t>
        </is>
      </c>
      <c r="B362" s="2" t="inlineStr">
        <is>
          <t>已掃描</t>
        </is>
      </c>
      <c r="C362" s="2" t="inlineStr"/>
      <c r="D362" s="2" t="n"/>
      <c r="E362" s="17" t="n"/>
      <c r="F362" s="17" t="n"/>
      <c r="G362" s="2" t="n"/>
      <c r="H362" s="2" t="n"/>
    </row>
    <row r="363">
      <c r="A363" s="2" t="inlineStr">
        <is>
          <t>TAKE_USDT_PERP</t>
        </is>
      </c>
      <c r="B363" s="2" t="inlineStr">
        <is>
          <t>已掃描</t>
        </is>
      </c>
      <c r="C363" s="2" t="inlineStr"/>
      <c r="D363" s="2" t="n"/>
      <c r="E363" s="17" t="n"/>
      <c r="F363" s="17" t="n"/>
      <c r="G363" s="2" t="n"/>
      <c r="H363" s="2" t="n"/>
    </row>
    <row r="364">
      <c r="A364" s="2" t="inlineStr">
        <is>
          <t>TAO_USDT_PERP</t>
        </is>
      </c>
      <c r="B364" s="2" t="inlineStr">
        <is>
          <t>已掃描</t>
        </is>
      </c>
      <c r="C364" s="2" t="inlineStr"/>
      <c r="D364" s="2" t="n"/>
      <c r="E364" s="17" t="n"/>
      <c r="F364" s="17" t="n"/>
      <c r="G364" s="2" t="n"/>
      <c r="H364" s="2" t="n"/>
    </row>
    <row r="365">
      <c r="A365" s="2" t="inlineStr">
        <is>
          <t>TA_USDT_PERP</t>
        </is>
      </c>
      <c r="B365" s="2" t="inlineStr">
        <is>
          <t>已掃描</t>
        </is>
      </c>
      <c r="C365" s="2" t="inlineStr"/>
      <c r="D365" s="2" t="n"/>
      <c r="E365" s="17" t="n"/>
      <c r="F365" s="17" t="n"/>
      <c r="G365" s="2" t="n"/>
      <c r="H365" s="2" t="n"/>
    </row>
    <row r="366">
      <c r="A366" s="2" t="inlineStr">
        <is>
          <t>THETA_USDT_PERP</t>
        </is>
      </c>
      <c r="B366" s="2" t="inlineStr">
        <is>
          <t>已掃描</t>
        </is>
      </c>
      <c r="C366" s="2" t="inlineStr"/>
      <c r="D366" s="2" t="n"/>
      <c r="E366" s="17" t="n"/>
      <c r="F366" s="17" t="n"/>
      <c r="G366" s="2" t="n"/>
      <c r="H366" s="2" t="n"/>
    </row>
    <row r="367">
      <c r="A367" s="2" t="inlineStr">
        <is>
          <t>THE_USDT_PERP</t>
        </is>
      </c>
      <c r="B367" s="2" t="inlineStr">
        <is>
          <t>已掃描</t>
        </is>
      </c>
      <c r="C367" s="2" t="inlineStr"/>
      <c r="D367" s="2" t="n"/>
      <c r="E367" s="17" t="n"/>
      <c r="F367" s="17" t="n"/>
      <c r="G367" s="2" t="n"/>
      <c r="H367" s="2" t="n"/>
    </row>
    <row r="368">
      <c r="A368" s="2" t="inlineStr">
        <is>
          <t>TIA_USDT_PERP</t>
        </is>
      </c>
      <c r="B368" s="2" t="inlineStr">
        <is>
          <t>已掃描</t>
        </is>
      </c>
      <c r="C368" s="2" t="inlineStr"/>
      <c r="D368" s="2" t="n"/>
      <c r="E368" s="17" t="n"/>
      <c r="F368" s="17" t="n"/>
      <c r="G368" s="2" t="n"/>
      <c r="H368" s="2" t="n"/>
    </row>
    <row r="369">
      <c r="A369" s="2" t="inlineStr">
        <is>
          <t>TLM_USDT_PERP</t>
        </is>
      </c>
      <c r="B369" s="2" t="inlineStr">
        <is>
          <t>已掃描</t>
        </is>
      </c>
      <c r="C369" s="2" t="inlineStr"/>
      <c r="D369" s="2" t="n"/>
      <c r="E369" s="17" t="n"/>
      <c r="F369" s="17" t="n"/>
      <c r="G369" s="2" t="n"/>
      <c r="H369" s="2" t="n"/>
    </row>
    <row r="370">
      <c r="A370" s="2" t="inlineStr">
        <is>
          <t>TNSR_USDT_PERP</t>
        </is>
      </c>
      <c r="B370" s="2" t="inlineStr">
        <is>
          <t>已掃描</t>
        </is>
      </c>
      <c r="C370" s="2" t="inlineStr"/>
      <c r="D370" s="2" t="n"/>
      <c r="E370" s="17" t="n"/>
      <c r="F370" s="17" t="n"/>
      <c r="G370" s="2" t="n"/>
      <c r="H370" s="2" t="n"/>
    </row>
    <row r="371">
      <c r="A371" s="2" t="inlineStr">
        <is>
          <t>TOSHI_USDT_PERP</t>
        </is>
      </c>
      <c r="B371" s="2" t="inlineStr">
        <is>
          <t>已掃描</t>
        </is>
      </c>
      <c r="C371" s="2" t="inlineStr"/>
      <c r="D371" s="2" t="n"/>
      <c r="E371" s="17" t="n"/>
      <c r="F371" s="17" t="n"/>
      <c r="G371" s="2" t="n"/>
      <c r="H371" s="2" t="n"/>
    </row>
    <row r="372">
      <c r="A372" s="2" t="inlineStr">
        <is>
          <t>TOWNS_USDT_PERP</t>
        </is>
      </c>
      <c r="B372" s="2" t="inlineStr">
        <is>
          <t>已掃描</t>
        </is>
      </c>
      <c r="C372" s="2" t="inlineStr"/>
      <c r="D372" s="2" t="n"/>
      <c r="E372" s="17" t="n"/>
      <c r="F372" s="17" t="n"/>
      <c r="G372" s="2" t="n"/>
      <c r="H372" s="2" t="n"/>
    </row>
    <row r="373">
      <c r="A373" s="2" t="inlineStr">
        <is>
          <t>TRADOOR_USDT_PERP</t>
        </is>
      </c>
      <c r="B373" s="2" t="inlineStr">
        <is>
          <t>已掃描</t>
        </is>
      </c>
      <c r="C373" s="2" t="inlineStr"/>
      <c r="D373" s="2" t="n"/>
      <c r="E373" s="17" t="n"/>
      <c r="F373" s="17" t="n"/>
      <c r="G373" s="2" t="n"/>
      <c r="H373" s="2" t="n"/>
    </row>
    <row r="374">
      <c r="A374" s="2" t="inlineStr">
        <is>
          <t>TRB_USDT_PERP</t>
        </is>
      </c>
      <c r="B374" s="2" t="inlineStr">
        <is>
          <t>已掃描</t>
        </is>
      </c>
      <c r="C374" s="2" t="inlineStr"/>
      <c r="D374" s="2" t="n"/>
      <c r="E374" s="17" t="n"/>
      <c r="F374" s="17" t="n"/>
      <c r="G374" s="2" t="n"/>
      <c r="H374" s="2" t="n"/>
    </row>
    <row r="375">
      <c r="A375" s="2" t="inlineStr">
        <is>
          <t>TREE_USDT_PERP</t>
        </is>
      </c>
      <c r="B375" s="2" t="inlineStr">
        <is>
          <t>已掃描</t>
        </is>
      </c>
      <c r="C375" s="2" t="inlineStr"/>
      <c r="D375" s="2" t="n"/>
      <c r="E375" s="17" t="n"/>
      <c r="F375" s="17" t="n"/>
      <c r="G375" s="2" t="n"/>
      <c r="H375" s="2" t="n"/>
    </row>
    <row r="376">
      <c r="A376" s="2" t="inlineStr">
        <is>
          <t>TRIA_USDT_PERP</t>
        </is>
      </c>
      <c r="B376" s="2" t="inlineStr">
        <is>
          <t>已掃描</t>
        </is>
      </c>
      <c r="C376" s="2" t="inlineStr"/>
      <c r="D376" s="2" t="n"/>
      <c r="E376" s="17" t="n"/>
      <c r="F376" s="17" t="n"/>
      <c r="G376" s="2" t="n"/>
      <c r="H376" s="2" t="n"/>
    </row>
    <row r="377">
      <c r="A377" s="2" t="inlineStr">
        <is>
          <t>TRUMP_USDT_PERP</t>
        </is>
      </c>
      <c r="B377" s="2" t="inlineStr">
        <is>
          <t>已掃描</t>
        </is>
      </c>
      <c r="C377" s="2" t="inlineStr"/>
      <c r="D377" s="2" t="n"/>
      <c r="E377" s="17" t="n"/>
      <c r="F377" s="17" t="n"/>
      <c r="G377" s="2" t="n"/>
      <c r="H377" s="2" t="n"/>
    </row>
    <row r="378">
      <c r="A378" s="2" t="inlineStr">
        <is>
          <t>TRUST_USDT_PERP</t>
        </is>
      </c>
      <c r="B378" s="2" t="inlineStr">
        <is>
          <t>已掃描</t>
        </is>
      </c>
      <c r="C378" s="2" t="inlineStr"/>
      <c r="D378" s="2" t="n"/>
      <c r="E378" s="17" t="n"/>
      <c r="F378" s="17" t="n"/>
      <c r="G378" s="2" t="n"/>
      <c r="H378" s="2" t="n"/>
    </row>
    <row r="379">
      <c r="A379" s="2" t="inlineStr">
        <is>
          <t>TRUTH_USDT_PERP</t>
        </is>
      </c>
      <c r="B379" s="2" t="inlineStr">
        <is>
          <t>已掃描</t>
        </is>
      </c>
      <c r="C379" s="2" t="inlineStr"/>
      <c r="D379" s="2" t="n"/>
      <c r="E379" s="17" t="n"/>
      <c r="F379" s="17" t="n"/>
      <c r="G379" s="2" t="n"/>
      <c r="H379" s="2" t="n"/>
    </row>
    <row r="380">
      <c r="A380" s="2" t="inlineStr">
        <is>
          <t>TRX_USDT_PERP</t>
        </is>
      </c>
      <c r="B380" s="2" t="inlineStr">
        <is>
          <t>已掃描</t>
        </is>
      </c>
      <c r="C380" s="2" t="inlineStr"/>
      <c r="D380" s="2" t="n"/>
      <c r="E380" s="17" t="n"/>
      <c r="F380" s="17" t="n"/>
      <c r="G380" s="2" t="n"/>
      <c r="H380" s="2" t="n"/>
    </row>
    <row r="381">
      <c r="A381" s="2" t="inlineStr">
        <is>
          <t>TST_USDT_PERP</t>
        </is>
      </c>
      <c r="B381" s="2" t="inlineStr">
        <is>
          <t>已掃描</t>
        </is>
      </c>
      <c r="C381" s="2" t="inlineStr"/>
      <c r="D381" s="2" t="n"/>
      <c r="E381" s="17" t="n"/>
      <c r="F381" s="17" t="n"/>
      <c r="G381" s="2" t="n"/>
      <c r="H381" s="2" t="n"/>
    </row>
    <row r="382">
      <c r="A382" s="2" t="inlineStr">
        <is>
          <t>TURBO_USDT_PERP</t>
        </is>
      </c>
      <c r="B382" s="2" t="inlineStr">
        <is>
          <t>已掃描</t>
        </is>
      </c>
      <c r="C382" s="2" t="inlineStr"/>
      <c r="D382" s="2" t="n"/>
      <c r="E382" s="17" t="n"/>
      <c r="F382" s="17" t="n"/>
      <c r="G382" s="2" t="n"/>
      <c r="H382" s="2" t="n"/>
    </row>
    <row r="383">
      <c r="A383" s="2" t="inlineStr">
        <is>
          <t>TUT_USDT_PERP</t>
        </is>
      </c>
      <c r="B383" s="2" t="inlineStr">
        <is>
          <t>已掃描</t>
        </is>
      </c>
      <c r="C383" s="2" t="inlineStr"/>
      <c r="D383" s="2" t="n"/>
      <c r="E383" s="17" t="n"/>
      <c r="F383" s="17" t="n"/>
      <c r="G383" s="2" t="n"/>
      <c r="H383" s="2" t="n"/>
    </row>
    <row r="384">
      <c r="A384" s="2" t="inlineStr">
        <is>
          <t>TWT_USDT_PERP</t>
        </is>
      </c>
      <c r="B384" s="2" t="inlineStr">
        <is>
          <t>已掃描</t>
        </is>
      </c>
      <c r="C384" s="2" t="inlineStr"/>
      <c r="D384" s="2" t="n"/>
      <c r="E384" s="17" t="n"/>
      <c r="F384" s="17" t="n"/>
      <c r="G384" s="2" t="n"/>
      <c r="H384" s="2" t="n"/>
    </row>
    <row r="385">
      <c r="A385" s="2" t="inlineStr">
        <is>
          <t>UAI_USDT_PERP</t>
        </is>
      </c>
      <c r="B385" s="2" t="inlineStr">
        <is>
          <t>已掃描</t>
        </is>
      </c>
      <c r="C385" s="2" t="inlineStr"/>
      <c r="D385" s="2" t="n"/>
      <c r="E385" s="17" t="n"/>
      <c r="F385" s="17" t="n"/>
      <c r="G385" s="2" t="n"/>
      <c r="H385" s="2" t="n"/>
    </row>
    <row r="386">
      <c r="A386" s="2" t="inlineStr">
        <is>
          <t>UB_USDT_PERP</t>
        </is>
      </c>
      <c r="B386" s="2" t="inlineStr">
        <is>
          <t>已掃描</t>
        </is>
      </c>
      <c r="C386" s="2" t="inlineStr"/>
      <c r="D386" s="2" t="n"/>
      <c r="E386" s="17" t="n"/>
      <c r="F386" s="17" t="n"/>
      <c r="G386" s="2" t="n"/>
      <c r="H386" s="2" t="n"/>
    </row>
    <row r="387">
      <c r="A387" s="2" t="inlineStr">
        <is>
          <t>UNI_USDT_PERP</t>
        </is>
      </c>
      <c r="B387" s="2" t="inlineStr">
        <is>
          <t>已掃描</t>
        </is>
      </c>
      <c r="C387" s="2" t="inlineStr"/>
      <c r="D387" s="2" t="n"/>
      <c r="E387" s="17" t="n"/>
      <c r="F387" s="17" t="n"/>
      <c r="G387" s="2" t="n"/>
      <c r="H387" s="2" t="n"/>
    </row>
    <row r="388">
      <c r="A388" s="2" t="inlineStr">
        <is>
          <t>UP_USDT_PERP</t>
        </is>
      </c>
      <c r="B388" s="2" t="inlineStr">
        <is>
          <t>已掃描</t>
        </is>
      </c>
      <c r="C388" s="2" t="inlineStr"/>
      <c r="D388" s="2" t="n"/>
      <c r="E388" s="17" t="n"/>
      <c r="F388" s="17" t="n"/>
      <c r="G388" s="2" t="n"/>
      <c r="H388" s="2" t="n"/>
    </row>
    <row r="389">
      <c r="A389" s="2" t="inlineStr">
        <is>
          <t>USELESS_USDT_PERP</t>
        </is>
      </c>
      <c r="B389" s="2" t="inlineStr">
        <is>
          <t>已掃描</t>
        </is>
      </c>
      <c r="C389" s="2" t="inlineStr"/>
      <c r="D389" s="2" t="n"/>
      <c r="E389" s="17" t="n"/>
      <c r="F389" s="17" t="n"/>
      <c r="G389" s="2" t="n"/>
      <c r="H389" s="2" t="n"/>
    </row>
    <row r="390">
      <c r="A390" s="2" t="inlineStr">
        <is>
          <t>USTC_USDT_PERP</t>
        </is>
      </c>
      <c r="B390" s="2" t="inlineStr">
        <is>
          <t>已掃描</t>
        </is>
      </c>
      <c r="C390" s="2" t="inlineStr"/>
      <c r="D390" s="2" t="n"/>
      <c r="E390" s="17" t="n"/>
      <c r="F390" s="17" t="n"/>
      <c r="G390" s="2" t="n"/>
      <c r="H390" s="2" t="n"/>
    </row>
    <row r="391">
      <c r="A391" s="2" t="inlineStr">
        <is>
          <t>USUAL_USDT_PERP</t>
        </is>
      </c>
      <c r="B391" s="2" t="inlineStr">
        <is>
          <t>已掃描</t>
        </is>
      </c>
      <c r="C391" s="2" t="inlineStr"/>
      <c r="D391" s="2" t="n"/>
      <c r="E391" s="17" t="n"/>
      <c r="F391" s="17" t="n"/>
      <c r="G391" s="2" t="n"/>
      <c r="H391" s="2" t="n"/>
    </row>
    <row r="392">
      <c r="A392" s="2" t="inlineStr">
        <is>
          <t>US_USDT_PERP</t>
        </is>
      </c>
      <c r="B392" s="2" t="inlineStr">
        <is>
          <t>已掃描</t>
        </is>
      </c>
      <c r="C392" s="2" t="inlineStr"/>
      <c r="D392" s="2" t="n"/>
      <c r="E392" s="17" t="n"/>
      <c r="F392" s="17" t="n"/>
      <c r="G392" s="2" t="n"/>
      <c r="H392" s="2" t="n"/>
    </row>
    <row r="393">
      <c r="A393" s="2" t="inlineStr">
        <is>
          <t>VELODROME_USDT_PERP</t>
        </is>
      </c>
      <c r="B393" s="2" t="inlineStr">
        <is>
          <t>已掃描</t>
        </is>
      </c>
      <c r="C393" s="2" t="inlineStr"/>
      <c r="D393" s="2" t="n"/>
      <c r="E393" s="17" t="n"/>
      <c r="F393" s="17" t="n"/>
      <c r="G393" s="2" t="n"/>
      <c r="H393" s="2" t="n"/>
    </row>
    <row r="394">
      <c r="A394" s="2" t="inlineStr">
        <is>
          <t>VET_USDT_PERP</t>
        </is>
      </c>
      <c r="B394" s="2" t="inlineStr">
        <is>
          <t>已掃描</t>
        </is>
      </c>
      <c r="C394" s="2" t="inlineStr"/>
      <c r="D394" s="2" t="n"/>
      <c r="E394" s="17" t="n"/>
      <c r="F394" s="17" t="n"/>
      <c r="G394" s="2" t="n"/>
      <c r="H394" s="2" t="n"/>
    </row>
    <row r="395">
      <c r="A395" s="2" t="inlineStr">
        <is>
          <t>VIRTUAL_USDT_PERP</t>
        </is>
      </c>
      <c r="B395" s="2" t="inlineStr">
        <is>
          <t>已掃描</t>
        </is>
      </c>
      <c r="C395" s="2" t="inlineStr"/>
      <c r="D395" s="2" t="n"/>
      <c r="E395" s="17" t="n"/>
      <c r="F395" s="17" t="n"/>
      <c r="G395" s="2" t="n"/>
      <c r="H395" s="2" t="n"/>
    </row>
    <row r="396">
      <c r="A396" s="2" t="inlineStr">
        <is>
          <t>VVV_USDT_PERP</t>
        </is>
      </c>
      <c r="B396" s="2" t="inlineStr">
        <is>
          <t>已掃描</t>
        </is>
      </c>
      <c r="C396" s="2" t="inlineStr"/>
      <c r="D396" s="2" t="n"/>
      <c r="E396" s="17" t="n"/>
      <c r="F396" s="17" t="n"/>
      <c r="G396" s="2" t="n"/>
      <c r="H396" s="2" t="n"/>
    </row>
    <row r="397">
      <c r="A397" s="2" t="inlineStr">
        <is>
          <t>WAL_USDT_PERP</t>
        </is>
      </c>
      <c r="B397" s="2" t="inlineStr">
        <is>
          <t>已掃描</t>
        </is>
      </c>
      <c r="C397" s="2" t="inlineStr"/>
      <c r="D397" s="2" t="n"/>
      <c r="E397" s="17" t="n"/>
      <c r="F397" s="17" t="n"/>
      <c r="G397" s="2" t="n"/>
      <c r="H397" s="2" t="n"/>
    </row>
    <row r="398">
      <c r="A398" s="2" t="inlineStr">
        <is>
          <t>WCT_USDT_PERP</t>
        </is>
      </c>
      <c r="B398" s="2" t="inlineStr">
        <is>
          <t>已掃描</t>
        </is>
      </c>
      <c r="C398" s="2" t="inlineStr"/>
      <c r="D398" s="2" t="n"/>
      <c r="E398" s="17" t="n"/>
      <c r="F398" s="17" t="n"/>
      <c r="G398" s="2" t="n"/>
      <c r="H398" s="2" t="n"/>
    </row>
    <row r="399">
      <c r="A399" s="2" t="inlineStr">
        <is>
          <t>WIF_USDT_PERP</t>
        </is>
      </c>
      <c r="B399" s="2" t="inlineStr">
        <is>
          <t>已掃描</t>
        </is>
      </c>
      <c r="C399" s="2" t="inlineStr"/>
      <c r="D399" s="2" t="n"/>
      <c r="E399" s="17" t="n"/>
      <c r="F399" s="17" t="n"/>
      <c r="G399" s="2" t="n"/>
      <c r="H399" s="2" t="n"/>
    </row>
    <row r="400">
      <c r="A400" s="2" t="inlineStr">
        <is>
          <t>WLD_USDT_PERP</t>
        </is>
      </c>
      <c r="B400" s="2" t="inlineStr">
        <is>
          <t>已掃描</t>
        </is>
      </c>
      <c r="C400" s="2" t="inlineStr"/>
      <c r="D400" s="2" t="n"/>
      <c r="E400" s="17" t="n"/>
      <c r="F400" s="17" t="n"/>
      <c r="G400" s="2" t="n"/>
      <c r="H400" s="2" t="n"/>
    </row>
    <row r="401">
      <c r="A401" s="2" t="inlineStr">
        <is>
          <t>WLFI_USDT_PERP</t>
        </is>
      </c>
      <c r="B401" s="2" t="inlineStr">
        <is>
          <t>已掃描</t>
        </is>
      </c>
      <c r="C401" s="2" t="inlineStr"/>
      <c r="D401" s="2" t="n"/>
      <c r="E401" s="17" t="n"/>
      <c r="F401" s="17" t="n"/>
      <c r="G401" s="2" t="n"/>
      <c r="H401" s="2" t="n"/>
    </row>
    <row r="402">
      <c r="A402" s="2" t="inlineStr">
        <is>
          <t>WTI_USDT_PERP</t>
        </is>
      </c>
      <c r="B402" s="2" t="inlineStr">
        <is>
          <t>已掃描</t>
        </is>
      </c>
      <c r="C402" s="2" t="inlineStr"/>
      <c r="D402" s="2" t="n"/>
      <c r="E402" s="17" t="n"/>
      <c r="F402" s="17" t="n"/>
      <c r="G402" s="2" t="n"/>
      <c r="H402" s="2" t="n"/>
    </row>
    <row r="403">
      <c r="A403" s="2" t="inlineStr">
        <is>
          <t>W_USDT_PERP</t>
        </is>
      </c>
      <c r="B403" s="2" t="inlineStr">
        <is>
          <t>已掃描</t>
        </is>
      </c>
      <c r="C403" s="2" t="inlineStr"/>
      <c r="D403" s="2" t="n"/>
      <c r="E403" s="17" t="n"/>
      <c r="F403" s="17" t="n"/>
      <c r="G403" s="2" t="n"/>
      <c r="H403" s="2" t="n"/>
    </row>
    <row r="404">
      <c r="A404" s="2" t="inlineStr">
        <is>
          <t>XAI_USDT_PERP</t>
        </is>
      </c>
      <c r="B404" s="2" t="inlineStr">
        <is>
          <t>已掃描</t>
        </is>
      </c>
      <c r="C404" s="2" t="inlineStr"/>
      <c r="D404" s="2" t="n"/>
      <c r="E404" s="17" t="n"/>
      <c r="F404" s="17" t="n"/>
      <c r="G404" s="2" t="n"/>
      <c r="H404" s="2" t="n"/>
    </row>
    <row r="405">
      <c r="A405" s="2" t="inlineStr">
        <is>
          <t>XAN_USDT_PERP</t>
        </is>
      </c>
      <c r="B405" s="2" t="inlineStr">
        <is>
          <t>已掃描</t>
        </is>
      </c>
      <c r="C405" s="2" t="inlineStr"/>
      <c r="D405" s="2" t="n"/>
      <c r="E405" s="17" t="n"/>
      <c r="F405" s="17" t="n"/>
      <c r="G405" s="2" t="n"/>
      <c r="H405" s="2" t="n"/>
    </row>
    <row r="406">
      <c r="A406" s="2" t="inlineStr">
        <is>
          <t>XDP_USDT_PERP</t>
        </is>
      </c>
      <c r="B406" s="2" t="inlineStr">
        <is>
          <t>已掃描</t>
        </is>
      </c>
      <c r="C406" s="2" t="inlineStr"/>
      <c r="D406" s="2" t="n"/>
      <c r="E406" s="17" t="n"/>
      <c r="F406" s="17" t="n"/>
      <c r="G406" s="2" t="n"/>
      <c r="H406" s="2" t="n"/>
    </row>
    <row r="407">
      <c r="A407" s="2" t="inlineStr">
        <is>
          <t>XEC_USDT_PERP</t>
        </is>
      </c>
      <c r="B407" s="2" t="inlineStr">
        <is>
          <t>已掃描</t>
        </is>
      </c>
      <c r="C407" s="2" t="inlineStr"/>
      <c r="D407" s="2" t="n"/>
      <c r="E407" s="17" t="n"/>
      <c r="F407" s="17" t="n"/>
      <c r="G407" s="2" t="n"/>
      <c r="H407" s="2" t="n"/>
    </row>
    <row r="408">
      <c r="A408" s="2" t="inlineStr">
        <is>
          <t>XLM_USDT_PERP</t>
        </is>
      </c>
      <c r="B408" s="2" t="inlineStr">
        <is>
          <t>已掃描</t>
        </is>
      </c>
      <c r="C408" s="2" t="inlineStr"/>
      <c r="D408" s="2" t="n"/>
      <c r="E408" s="17" t="n"/>
      <c r="F408" s="17" t="n"/>
      <c r="G408" s="2" t="n"/>
      <c r="H408" s="2" t="n"/>
    </row>
    <row r="409">
      <c r="A409" s="2" t="inlineStr">
        <is>
          <t>XMR_USDT_PERP</t>
        </is>
      </c>
      <c r="B409" s="2" t="inlineStr">
        <is>
          <t>已掃描</t>
        </is>
      </c>
      <c r="C409" s="2" t="inlineStr"/>
      <c r="D409" s="2" t="n"/>
      <c r="E409" s="17" t="n"/>
      <c r="F409" s="17" t="n"/>
      <c r="G409" s="2" t="n"/>
      <c r="H409" s="2" t="n"/>
    </row>
    <row r="410">
      <c r="A410" s="2" t="inlineStr">
        <is>
          <t>XNY_USDT_PERP</t>
        </is>
      </c>
      <c r="B410" s="2" t="inlineStr">
        <is>
          <t>已掃描</t>
        </is>
      </c>
      <c r="C410" s="2" t="inlineStr"/>
      <c r="D410" s="2" t="n"/>
      <c r="E410" s="17" t="n"/>
      <c r="F410" s="17" t="n"/>
      <c r="G410" s="2" t="n"/>
      <c r="H410" s="2" t="n"/>
    </row>
    <row r="411">
      <c r="A411" s="2" t="inlineStr">
        <is>
          <t>XPIN_USDT_PERP</t>
        </is>
      </c>
      <c r="B411" s="2" t="inlineStr">
        <is>
          <t>已掃描</t>
        </is>
      </c>
      <c r="C411" s="2" t="inlineStr"/>
      <c r="D411" s="2" t="n"/>
      <c r="E411" s="17" t="n"/>
      <c r="F411" s="17" t="n"/>
      <c r="G411" s="2" t="n"/>
      <c r="H411" s="2" t="n"/>
    </row>
    <row r="412">
      <c r="A412" s="2" t="inlineStr">
        <is>
          <t>XPL_USDT_PERP</t>
        </is>
      </c>
      <c r="B412" s="2" t="inlineStr">
        <is>
          <t>已掃描</t>
        </is>
      </c>
      <c r="C412" s="2" t="inlineStr"/>
      <c r="D412" s="2" t="n"/>
      <c r="E412" s="17" t="n"/>
      <c r="F412" s="17" t="n"/>
      <c r="G412" s="2" t="n"/>
      <c r="H412" s="2" t="n"/>
    </row>
    <row r="413">
      <c r="A413" s="2" t="inlineStr">
        <is>
          <t>XRP_USDT_PERP</t>
        </is>
      </c>
      <c r="B413" s="2" t="inlineStr">
        <is>
          <t>已掃描</t>
        </is>
      </c>
      <c r="C413" s="2" t="inlineStr"/>
      <c r="D413" s="2" t="n"/>
      <c r="E413" s="17" t="n"/>
      <c r="F413" s="17" t="n"/>
      <c r="G413" s="2" t="n"/>
      <c r="H413" s="2" t="n"/>
    </row>
    <row r="414">
      <c r="A414" s="2" t="inlineStr">
        <is>
          <t>XTZ_USDT_PERP</t>
        </is>
      </c>
      <c r="B414" s="2" t="inlineStr">
        <is>
          <t>已掃描</t>
        </is>
      </c>
      <c r="C414" s="2" t="inlineStr"/>
      <c r="D414" s="2" t="n"/>
      <c r="E414" s="17" t="n"/>
      <c r="F414" s="17" t="n"/>
      <c r="G414" s="2" t="n"/>
      <c r="H414" s="2" t="n"/>
    </row>
    <row r="415">
      <c r="A415" s="2" t="inlineStr">
        <is>
          <t>XVG_USDT_PERP</t>
        </is>
      </c>
      <c r="B415" s="2" t="inlineStr">
        <is>
          <t>已掃描</t>
        </is>
      </c>
      <c r="C415" s="2" t="inlineStr"/>
      <c r="D415" s="2" t="n"/>
      <c r="E415" s="17" t="n"/>
      <c r="F415" s="17" t="n"/>
      <c r="G415" s="2" t="n"/>
      <c r="H415" s="2" t="n"/>
    </row>
    <row r="416">
      <c r="A416" s="2" t="inlineStr">
        <is>
          <t>XYZX_USDT_PERP</t>
        </is>
      </c>
      <c r="B416" s="2" t="inlineStr">
        <is>
          <t>已掃描</t>
        </is>
      </c>
      <c r="C416" s="2" t="inlineStr"/>
      <c r="D416" s="2" t="n"/>
      <c r="E416" s="17" t="n"/>
      <c r="F416" s="17" t="n"/>
      <c r="G416" s="2" t="n"/>
      <c r="H416" s="2" t="n"/>
    </row>
    <row r="417">
      <c r="A417" s="2" t="inlineStr">
        <is>
          <t>YB_USDT_PERP</t>
        </is>
      </c>
      <c r="B417" s="2" t="inlineStr">
        <is>
          <t>已掃描</t>
        </is>
      </c>
      <c r="C417" s="2" t="inlineStr"/>
      <c r="D417" s="2" t="n"/>
      <c r="E417" s="17" t="n"/>
      <c r="F417" s="17" t="n"/>
      <c r="G417" s="2" t="n"/>
      <c r="H417" s="2" t="n"/>
    </row>
    <row r="418">
      <c r="A418" s="2" t="inlineStr">
        <is>
          <t>YFI_USDT_PERP</t>
        </is>
      </c>
      <c r="B418" s="2" t="inlineStr">
        <is>
          <t>已掃描</t>
        </is>
      </c>
      <c r="C418" s="2" t="inlineStr"/>
      <c r="D418" s="2" t="n"/>
      <c r="E418" s="17" t="n"/>
      <c r="F418" s="17" t="n"/>
      <c r="G418" s="2" t="n"/>
      <c r="H418" s="2" t="n"/>
    </row>
    <row r="419">
      <c r="A419" s="2" t="inlineStr">
        <is>
          <t>YGG_USDT_PERP</t>
        </is>
      </c>
      <c r="B419" s="2" t="inlineStr">
        <is>
          <t>已掃描</t>
        </is>
      </c>
      <c r="C419" s="2" t="inlineStr"/>
      <c r="D419" s="2" t="n"/>
      <c r="E419" s="17" t="n"/>
      <c r="F419" s="17" t="n"/>
      <c r="G419" s="2" t="n"/>
      <c r="H419" s="2" t="n"/>
    </row>
    <row r="420">
      <c r="A420" s="2" t="inlineStr">
        <is>
          <t>ZAMA_USDT_PERP</t>
        </is>
      </c>
      <c r="B420" s="2" t="inlineStr">
        <is>
          <t>已掃描</t>
        </is>
      </c>
      <c r="C420" s="2" t="inlineStr"/>
      <c r="D420" s="2" t="n"/>
      <c r="E420" s="17" t="n"/>
      <c r="F420" s="17" t="n"/>
      <c r="G420" s="2" t="n"/>
      <c r="H420" s="2" t="n"/>
    </row>
    <row r="421">
      <c r="A421" s="2" t="inlineStr">
        <is>
          <t>ZBT_USDT_PERP</t>
        </is>
      </c>
      <c r="B421" s="2" t="inlineStr">
        <is>
          <t>已掃描</t>
        </is>
      </c>
      <c r="C421" s="2" t="inlineStr"/>
      <c r="D421" s="2" t="n"/>
      <c r="E421" s="17" t="n"/>
      <c r="F421" s="17" t="n"/>
      <c r="G421" s="2" t="n"/>
      <c r="H421" s="2" t="n"/>
    </row>
    <row r="422">
      <c r="A422" s="2" t="inlineStr">
        <is>
          <t>ZEC_USDT_PERP</t>
        </is>
      </c>
      <c r="B422" s="2" t="inlineStr">
        <is>
          <t>已掃描</t>
        </is>
      </c>
      <c r="C422" s="2" t="inlineStr"/>
      <c r="D422" s="2" t="n"/>
      <c r="E422" s="17" t="n"/>
      <c r="F422" s="17" t="n"/>
      <c r="G422" s="2" t="n"/>
      <c r="H422" s="2" t="n"/>
    </row>
    <row r="423">
      <c r="A423" s="2" t="inlineStr">
        <is>
          <t>ZEN_USDT_PERP</t>
        </is>
      </c>
      <c r="B423" s="2" t="inlineStr">
        <is>
          <t>已掃描</t>
        </is>
      </c>
      <c r="C423" s="2" t="inlineStr"/>
      <c r="D423" s="2" t="n"/>
      <c r="E423" s="17" t="n"/>
      <c r="F423" s="17" t="n"/>
      <c r="G423" s="2" t="n"/>
      <c r="H423" s="2" t="n"/>
    </row>
    <row r="424">
      <c r="A424" s="2" t="inlineStr">
        <is>
          <t>ZEREBRO_USDT_PERP</t>
        </is>
      </c>
      <c r="B424" s="2" t="inlineStr">
        <is>
          <t>已掃描</t>
        </is>
      </c>
      <c r="C424" s="2" t="inlineStr"/>
      <c r="D424" s="2" t="n"/>
      <c r="E424" s="17" t="n"/>
      <c r="F424" s="17" t="n"/>
      <c r="G424" s="2" t="n"/>
      <c r="H424" s="2" t="n"/>
    </row>
    <row r="425">
      <c r="A425" s="2" t="inlineStr">
        <is>
          <t>ZEST_USDT_PERP</t>
        </is>
      </c>
      <c r="B425" s="2" t="inlineStr">
        <is>
          <t>已掃描</t>
        </is>
      </c>
      <c r="C425" s="2" t="inlineStr"/>
      <c r="D425" s="2" t="n"/>
      <c r="E425" s="17" t="n"/>
      <c r="F425" s="17" t="n"/>
      <c r="G425" s="2" t="n"/>
      <c r="H425" s="2" t="n"/>
    </row>
    <row r="426">
      <c r="A426" s="2" t="inlineStr">
        <is>
          <t>ZETA_USDT_PERP</t>
        </is>
      </c>
      <c r="B426" s="2" t="inlineStr">
        <is>
          <t>已掃描</t>
        </is>
      </c>
      <c r="C426" s="2" t="inlineStr"/>
      <c r="D426" s="2" t="n"/>
      <c r="E426" s="17" t="n"/>
      <c r="F426" s="17" t="n"/>
      <c r="G426" s="2" t="n"/>
      <c r="H426" s="2" t="n"/>
    </row>
    <row r="427">
      <c r="A427" s="2" t="inlineStr">
        <is>
          <t>ZIL_USDT_PERP</t>
        </is>
      </c>
      <c r="B427" s="2" t="inlineStr">
        <is>
          <t>已掃描</t>
        </is>
      </c>
      <c r="C427" s="2" t="inlineStr"/>
      <c r="D427" s="2" t="n"/>
      <c r="E427" s="17" t="n"/>
      <c r="F427" s="17" t="n"/>
      <c r="G427" s="2" t="n"/>
      <c r="H427" s="2" t="n"/>
    </row>
    <row r="428">
      <c r="A428" s="2" t="inlineStr">
        <is>
          <t>ZKC_USDT_PERP</t>
        </is>
      </c>
      <c r="B428" s="2" t="inlineStr">
        <is>
          <t>已掃描</t>
        </is>
      </c>
      <c r="C428" s="2" t="inlineStr"/>
      <c r="D428" s="2" t="n"/>
      <c r="E428" s="17" t="n"/>
      <c r="F428" s="17" t="n"/>
      <c r="G428" s="2" t="n"/>
      <c r="H428" s="2" t="n"/>
    </row>
    <row r="429">
      <c r="A429" s="2" t="inlineStr">
        <is>
          <t>ZKP_USDT_PERP</t>
        </is>
      </c>
      <c r="B429" s="2" t="inlineStr">
        <is>
          <t>已掃描</t>
        </is>
      </c>
      <c r="C429" s="2" t="inlineStr"/>
      <c r="D429" s="2" t="n"/>
      <c r="E429" s="17" t="n"/>
      <c r="F429" s="17" t="n"/>
      <c r="G429" s="2" t="n"/>
      <c r="H429" s="2" t="n"/>
    </row>
    <row r="430">
      <c r="A430" s="2" t="inlineStr">
        <is>
          <t>ZKSYNC_USDT_PERP</t>
        </is>
      </c>
      <c r="B430" s="2" t="inlineStr">
        <is>
          <t>已掃描</t>
        </is>
      </c>
      <c r="C430" s="2" t="inlineStr"/>
      <c r="D430" s="2" t="n"/>
      <c r="E430" s="17" t="n"/>
      <c r="F430" s="17" t="n"/>
      <c r="G430" s="2" t="n"/>
      <c r="H430" s="2" t="n"/>
    </row>
    <row r="431">
      <c r="A431" s="2" t="inlineStr">
        <is>
          <t>ZORA_USDT_PERP</t>
        </is>
      </c>
      <c r="B431" s="2" t="inlineStr">
        <is>
          <t>已掃描</t>
        </is>
      </c>
      <c r="C431" s="2" t="inlineStr"/>
      <c r="D431" s="2" t="n"/>
      <c r="E431" s="17" t="n"/>
      <c r="F431" s="17" t="n"/>
      <c r="G431" s="2" t="n"/>
      <c r="H431" s="2" t="n"/>
    </row>
    <row r="432">
      <c r="A432" s="2" t="inlineStr">
        <is>
          <t>ZRO_USDT_PERP</t>
        </is>
      </c>
      <c r="B432" s="2" t="inlineStr">
        <is>
          <t>已掃描</t>
        </is>
      </c>
      <c r="C432" s="2" t="inlineStr"/>
      <c r="D432" s="2" t="n"/>
      <c r="E432" s="17" t="n"/>
      <c r="F432" s="17" t="n"/>
      <c r="G432" s="2" t="n"/>
      <c r="H432" s="2" t="n"/>
    </row>
    <row r="433">
      <c r="A433" s="2" t="inlineStr">
        <is>
          <t>ZRX_USDT_PERP</t>
        </is>
      </c>
      <c r="B433" s="2" t="inlineStr">
        <is>
          <t>已掃描</t>
        </is>
      </c>
      <c r="C433" s="2" t="inlineStr"/>
      <c r="D433" s="2" t="n"/>
      <c r="E433" s="17" t="n"/>
      <c r="F433" s="17" t="n"/>
      <c r="G433" s="2" t="n"/>
      <c r="H433" s="2" t="n"/>
    </row>
    <row r="434">
      <c r="A434" s="2" t="inlineStr">
        <is>
          <t>哈基米_USDT_PERP</t>
        </is>
      </c>
      <c r="B434" s="2" t="inlineStr">
        <is>
          <t>已掃描</t>
        </is>
      </c>
      <c r="C434" s="2" t="inlineStr"/>
      <c r="D434" s="2" t="n"/>
      <c r="E434" s="17" t="n"/>
      <c r="F434" s="17" t="n"/>
      <c r="G434" s="2" t="n"/>
      <c r="H434" s="2" t="n"/>
    </row>
    <row r="435">
      <c r="A435" s="2" t="inlineStr">
        <is>
          <t>币安人生_USDT_PERP</t>
        </is>
      </c>
      <c r="B435" s="2" t="inlineStr">
        <is>
          <t>已掃描</t>
        </is>
      </c>
      <c r="C435" s="2" t="inlineStr"/>
      <c r="D435" s="2" t="n"/>
      <c r="E435" s="17" t="n"/>
      <c r="F435" s="17" t="n"/>
      <c r="G435" s="2" t="n"/>
      <c r="H435" s="2" t="n"/>
    </row>
    <row r="436">
      <c r="A436" s="2" t="inlineStr">
        <is>
          <t>我踏马来了_USDT_PERP</t>
        </is>
      </c>
      <c r="B436" s="2" t="inlineStr">
        <is>
          <t>已掃描</t>
        </is>
      </c>
      <c r="C436" s="2" t="inlineStr"/>
      <c r="D436" s="2" t="n"/>
      <c r="E436" s="17" t="n"/>
      <c r="F436" s="17" t="n"/>
      <c r="G436" s="2" t="n"/>
      <c r="H436" s="2" t="n"/>
    </row>
    <row r="437">
      <c r="A437" s="2" t="inlineStr">
        <is>
          <t>牛来_USDT_PERP</t>
        </is>
      </c>
      <c r="B437" s="2" t="inlineStr">
        <is>
          <t>已掃描</t>
        </is>
      </c>
      <c r="C437" s="2" t="inlineStr"/>
      <c r="D437" s="2" t="n"/>
      <c r="E437" s="17" t="n"/>
      <c r="F437" s="17" t="n"/>
      <c r="G437" s="2" t="n"/>
      <c r="H437" s="2" t="n"/>
    </row>
  </sheetData>
  <autoFilter ref="A1:H4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2026-10-07T14:06:01Z</dcterms:created>
  <dcterms:modified xsi:type="dcterms:W3CDTF">2026-10-07T14:06:01Z</dcterms:modified>
</cp:coreProperties>
</file>