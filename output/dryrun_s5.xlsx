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'資金明細'!$A$1:$Z$7</definedName>
    <definedName name="_xlnm._FilterDatabase" localSheetId="5" hidden="1">'交易明細'!$A$1:$AG$4</definedName>
    <definedName name="_xlnm._FilterDatabase" localSheetId="6" hidden="1">'幣種統計'!$A$1:$L$4</definedName>
    <definedName name="_xlnm._FilterDatabase" localSheetId="7" hidden="1">'掃描清單'!$A$1:$H$434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2026-09-24 18:50（Dry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COUNTIFS(交易明細!$B$2:$B$4,"&lt;&gt;")</f>
        <v/>
      </c>
      <c r="C5" s="2">
        <f>D5+E5+F5</f>
        <v/>
      </c>
      <c r="D5" s="2">
        <f>COUNTIFS(交易明細!$J$2:$J$4,"止盈")</f>
        <v/>
      </c>
      <c r="E5" s="2">
        <f>COUNTIFS(交易明細!$J$2:$J$4,"止損")</f>
        <v/>
      </c>
      <c r="F5" s="2">
        <f>COUNTIFS(交易明細!$J$2:$J$4,"時間出場")</f>
        <v/>
      </c>
      <c r="G5" s="2">
        <f>COUNTIFS(交易明細!$J$2:$J$4,"未平倉")</f>
        <v/>
      </c>
      <c r="H5" s="4">
        <f>IFERROR(D5/C5,0)</f>
        <v/>
      </c>
      <c r="I5" s="4">
        <f>IFERROR(AVERAGEIFS(交易明細!$AC$2:$AC$4,交易明細!$J$2:$J$4,"&lt;&gt;未平倉"),參數!$B$16)</f>
        <v/>
      </c>
      <c r="J5" s="4">
        <f>IFERROR(AVERAGEIFS(交易明細!$L$2:$L$4,交易明細!$J$2:$J$4,"&lt;&gt;未平倉"),0)</f>
        <v/>
      </c>
      <c r="K5" s="4">
        <f>SUMIFS(交易明細!$L$2:$L$4,交易明細!$J$2:$J$4,"&lt;&gt;未平倉")</f>
        <v/>
      </c>
      <c r="L5" s="5">
        <f>IFERROR(AVERAGEIFS(交易明細!$K$2:$K$4,交易明細!$J$2:$J$4,"&lt;&gt;未平倉"),0)</f>
        <v/>
      </c>
      <c r="M5" s="5">
        <f>IFERROR(AVERAGEIFS(交易明細!$K$2:$K$4,交易明細!$J$2:$J$4,"止盈"),0)</f>
        <v/>
      </c>
      <c r="N5" s="5">
        <f>IFERROR(AVERAGEIFS(交易明細!$K$2:$K$4,交易明細!$J$2:$J$4,"止損"),0)</f>
        <v/>
      </c>
      <c r="O5" s="4">
        <f>IFERROR(AVERAGEIFS(交易明細!$L$2:$L$4,交易明細!$J$2:$J$4,"時間出場"),0)</f>
        <v/>
      </c>
      <c r="P5" s="4">
        <f>IFERROR(COUNTIFS(交易明細!$J$2:$J$4,"&lt;&gt;未平倉",交易明細!$L$2:$L$4,"&gt;0")/C5,0)</f>
        <v/>
      </c>
    </row>
    <row r="6">
      <c r="A6" s="2" t="inlineStr">
        <is>
          <t>做多</t>
        </is>
      </c>
      <c r="B6" s="2">
        <f>COUNTIFS(交易明細!$C$2:$C$4,"做多",交易明細!$B$2:$B$4,"&lt;&gt;")</f>
        <v/>
      </c>
      <c r="C6" s="2">
        <f>D6+E6+F6</f>
        <v/>
      </c>
      <c r="D6" s="2">
        <f>COUNTIFS(交易明細!$C$2:$C$4,"做多",交易明細!$J$2:$J$4,"止盈")</f>
        <v/>
      </c>
      <c r="E6" s="2">
        <f>COUNTIFS(交易明細!$C$2:$C$4,"做多",交易明細!$J$2:$J$4,"止損")</f>
        <v/>
      </c>
      <c r="F6" s="2">
        <f>COUNTIFS(交易明細!$C$2:$C$4,"做多",交易明細!$J$2:$J$4,"時間出場")</f>
        <v/>
      </c>
      <c r="G6" s="2">
        <f>COUNTIFS(交易明細!$C$2:$C$4,"做多",交易明細!$J$2:$J$4,"未平倉")</f>
        <v/>
      </c>
      <c r="H6" s="4">
        <f>IFERROR(D6/C6,0)</f>
        <v/>
      </c>
      <c r="I6" s="4">
        <f>IFERROR(AVERAGEIFS(交易明細!$AC$2:$AC$4,交易明細!$C$2:$C$4,"做多",交易明細!$J$2:$J$4,"&lt;&gt;未平倉"),參數!$B$16)</f>
        <v/>
      </c>
      <c r="J6" s="4">
        <f>IFERROR(AVERAGEIFS(交易明細!$L$2:$L$4,交易明細!$C$2:$C$4,"做多",交易明細!$J$2:$J$4,"&lt;&gt;未平倉"),0)</f>
        <v/>
      </c>
      <c r="K6" s="4">
        <f>SUMIFS(交易明細!$L$2:$L$4,交易明細!$C$2:$C$4,"做多",交易明細!$J$2:$J$4,"&lt;&gt;未平倉")</f>
        <v/>
      </c>
      <c r="L6" s="5">
        <f>IFERROR(AVERAGEIFS(交易明細!$K$2:$K$4,交易明細!$C$2:$C$4,"做多",交易明細!$J$2:$J$4,"&lt;&gt;未平倉"),0)</f>
        <v/>
      </c>
      <c r="M6" s="5">
        <f>IFERROR(AVERAGEIFS(交易明細!$K$2:$K$4,交易明細!$C$2:$C$4,"做多",交易明細!$J$2:$J$4,"止盈"),0)</f>
        <v/>
      </c>
      <c r="N6" s="5">
        <f>IFERROR(AVERAGEIFS(交易明細!$K$2:$K$4,交易明細!$C$2:$C$4,"做多",交易明細!$J$2:$J$4,"止損"),0)</f>
        <v/>
      </c>
      <c r="O6" s="4">
        <f>IFERROR(AVERAGEIFS(交易明細!$L$2:$L$4,交易明細!$C$2:$C$4,"做多",交易明細!$J$2:$J$4,"時間出場"),0)</f>
        <v/>
      </c>
      <c r="P6" s="4">
        <f>IFERROR(COUNTIFS(交易明細!$C$2:$C$4,"做多",交易明細!$J$2:$J$4,"&lt;&gt;未平倉",交易明細!$L$2:$L$4,"&gt;0")/C6,0)</f>
        <v/>
      </c>
    </row>
    <row r="7">
      <c r="A7" s="2" t="inlineStr">
        <is>
          <t>做空</t>
        </is>
      </c>
      <c r="B7" s="2">
        <f>COUNTIFS(交易明細!$C$2:$C$4,"做空",交易明細!$B$2:$B$4,"&lt;&gt;")</f>
        <v/>
      </c>
      <c r="C7" s="2">
        <f>D7+E7+F7</f>
        <v/>
      </c>
      <c r="D7" s="2">
        <f>COUNTIFS(交易明細!$C$2:$C$4,"做空",交易明細!$J$2:$J$4,"止盈")</f>
        <v/>
      </c>
      <c r="E7" s="2">
        <f>COUNTIFS(交易明細!$C$2:$C$4,"做空",交易明細!$J$2:$J$4,"止損")</f>
        <v/>
      </c>
      <c r="F7" s="2">
        <f>COUNTIFS(交易明細!$C$2:$C$4,"做空",交易明細!$J$2:$J$4,"時間出場")</f>
        <v/>
      </c>
      <c r="G7" s="2">
        <f>COUNTIFS(交易明細!$C$2:$C$4,"做空",交易明細!$J$2:$J$4,"未平倉")</f>
        <v/>
      </c>
      <c r="H7" s="4">
        <f>IFERROR(D7/C7,0)</f>
        <v/>
      </c>
      <c r="I7" s="4">
        <f>IFERROR(AVERAGEIFS(交易明細!$AC$2:$AC$4,交易明細!$C$2:$C$4,"做空",交易明細!$J$2:$J$4,"&lt;&gt;未平倉"),參數!$B$16)</f>
        <v/>
      </c>
      <c r="J7" s="4">
        <f>IFERROR(AVERAGEIFS(交易明細!$L$2:$L$4,交易明細!$C$2:$C$4,"做空",交易明細!$J$2:$J$4,"&lt;&gt;未平倉"),0)</f>
        <v/>
      </c>
      <c r="K7" s="4">
        <f>SUMIFS(交易明細!$L$2:$L$4,交易明細!$C$2:$C$4,"做空",交易明細!$J$2:$J$4,"&lt;&gt;未平倉")</f>
        <v/>
      </c>
      <c r="L7" s="5">
        <f>IFERROR(AVERAGEIFS(交易明細!$K$2:$K$4,交易明細!$C$2:$C$4,"做空",交易明細!$J$2:$J$4,"&lt;&gt;未平倉"),0)</f>
        <v/>
      </c>
      <c r="M7" s="5">
        <f>IFERROR(AVERAGEIFS(交易明細!$K$2:$K$4,交易明細!$C$2:$C$4,"做空",交易明細!$J$2:$J$4,"止盈"),0)</f>
        <v/>
      </c>
      <c r="N7" s="5">
        <f>IFERROR(AVERAGEIFS(交易明細!$K$2:$K$4,交易明細!$C$2:$C$4,"做空",交易明細!$J$2:$J$4,"止損"),0)</f>
        <v/>
      </c>
      <c r="O7" s="4">
        <f>IFERROR(AVERAGEIFS(交易明細!$L$2:$L$4,交易明細!$C$2:$C$4,"做空",交易明細!$J$2:$J$4,"時間出場"),0)</f>
        <v/>
      </c>
      <c r="P7" s="4">
        <f>IFERROR(COUNTIFS(交易明細!$C$2:$C$4,"做空",交易明細!$J$2:$J$4,"&lt;&gt;未平倉",交易明細!$L$2:$L$4,"&gt;0")/C7,0)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46289.78526427083</v>
      </c>
      <c r="B2" s="7" t="n">
        <v>46289.78402777778</v>
      </c>
      <c r="C2" s="2" t="n">
        <v>433</v>
      </c>
      <c r="D2" s="2" t="n">
        <v>3</v>
      </c>
      <c r="E2" s="2" t="n">
        <v>2</v>
      </c>
      <c r="F2" s="2" t="n">
        <v>1</v>
      </c>
      <c r="G2" s="2" t="n">
        <v>186.8</v>
      </c>
    </row>
    <row r="3">
      <c r="A3" s="7" t="n">
        <v>46289.75543116898</v>
      </c>
      <c r="B3" s="7" t="n">
        <v>46289.75</v>
      </c>
      <c r="C3" s="2" t="n">
        <v>433</v>
      </c>
      <c r="D3" s="2" t="n">
        <v>0</v>
      </c>
      <c r="E3" s="2" t="n">
        <v>0</v>
      </c>
      <c r="F3" s="2" t="n">
        <v>1</v>
      </c>
      <c r="G3" s="2" t="n">
        <v>109.8</v>
      </c>
    </row>
    <row r="4">
      <c r="A4" s="7" t="n">
        <v>46289.54138961805</v>
      </c>
      <c r="B4" s="7" t="n">
        <v>46289.53472222222</v>
      </c>
      <c r="C4" s="2" t="n">
        <v>433</v>
      </c>
      <c r="D4" s="2" t="n">
        <v>0</v>
      </c>
      <c r="E4" s="2" t="n">
        <v>0</v>
      </c>
      <c r="F4" s="2" t="n">
        <v>1</v>
      </c>
      <c r="G4" s="2" t="n">
        <v>125.8</v>
      </c>
    </row>
    <row r="5">
      <c r="A5" s="7" t="n">
        <v>46289.32358565972</v>
      </c>
      <c r="B5" s="7" t="n">
        <v>46289.31944444445</v>
      </c>
      <c r="C5" s="2" t="n">
        <v>433</v>
      </c>
      <c r="D5" s="2" t="n">
        <v>0</v>
      </c>
      <c r="E5" s="2" t="n">
        <v>0</v>
      </c>
      <c r="F5" s="2" t="n">
        <v>1</v>
      </c>
      <c r="G5" s="2" t="n">
        <v>130.2</v>
      </c>
    </row>
    <row r="6">
      <c r="A6" s="7" t="n">
        <v>46289.18599210648</v>
      </c>
      <c r="B6" s="7" t="n">
        <v>46289.18055555555</v>
      </c>
      <c r="C6" s="2" t="n">
        <v>433</v>
      </c>
      <c r="D6" s="2" t="n">
        <v>0</v>
      </c>
      <c r="E6" s="2" t="n">
        <v>0</v>
      </c>
      <c r="F6" s="2" t="n">
        <v>1</v>
      </c>
      <c r="G6" s="2" t="n">
        <v>129.3</v>
      </c>
    </row>
    <row r="7">
      <c r="A7" s="7" t="n">
        <v>46289.04908521991</v>
      </c>
      <c r="B7" s="7" t="n">
        <v>46289.04513888889</v>
      </c>
      <c r="C7" s="2" t="n">
        <v>433</v>
      </c>
      <c r="D7" s="2" t="n">
        <v>0</v>
      </c>
      <c r="E7" s="2" t="n">
        <v>0</v>
      </c>
      <c r="F7" s="2" t="n">
        <v>1</v>
      </c>
      <c r="G7" s="2" t="n">
        <v>96.90000000000001</v>
      </c>
    </row>
    <row r="8">
      <c r="A8" s="7" t="n">
        <v>46289.00944646991</v>
      </c>
      <c r="B8" s="7" t="n">
        <v>46289.00347222222</v>
      </c>
      <c r="C8" s="2" t="n">
        <v>433</v>
      </c>
      <c r="D8" s="2" t="n">
        <v>0</v>
      </c>
      <c r="E8" s="2" t="n">
        <v>0</v>
      </c>
      <c r="F8" s="2" t="n">
        <v>1</v>
      </c>
      <c r="G8" s="2" t="n">
        <v>127</v>
      </c>
    </row>
    <row r="9">
      <c r="A9" s="7" t="n">
        <v>46288.82408041666</v>
      </c>
      <c r="B9" s="7" t="n">
        <v>46288.81944444445</v>
      </c>
      <c r="C9" s="2" t="n">
        <v>433</v>
      </c>
      <c r="D9" s="2" t="n">
        <v>0</v>
      </c>
      <c r="E9" s="2" t="n">
        <v>0</v>
      </c>
      <c r="F9" s="2" t="n">
        <v>2</v>
      </c>
      <c r="G9" s="2" t="n">
        <v>118.2</v>
      </c>
    </row>
    <row r="10">
      <c r="A10" s="7" t="n">
        <v>46288.75275025463</v>
      </c>
      <c r="B10" s="7" t="n">
        <v>46288.74652777778</v>
      </c>
      <c r="C10" s="2" t="n">
        <v>433</v>
      </c>
      <c r="D10" s="2" t="n">
        <v>0</v>
      </c>
      <c r="E10" s="2" t="n">
        <v>0</v>
      </c>
      <c r="F10" s="2" t="n">
        <v>2</v>
      </c>
      <c r="G10" s="2" t="n">
        <v>125.5</v>
      </c>
    </row>
    <row r="11">
      <c r="A11" s="7" t="n">
        <v>46288.58577883102</v>
      </c>
      <c r="B11" s="7" t="n">
        <v>46288.57986111111</v>
      </c>
      <c r="C11" s="2" t="n">
        <v>433</v>
      </c>
      <c r="D11" s="2" t="n">
        <v>0</v>
      </c>
      <c r="E11" s="2" t="n">
        <v>0</v>
      </c>
      <c r="F11" s="2" t="n">
        <v>2</v>
      </c>
      <c r="G11" s="2" t="n">
        <v>112.8</v>
      </c>
    </row>
    <row r="12">
      <c r="A12" s="7" t="n">
        <v>46288.57218969907</v>
      </c>
      <c r="B12" s="7" t="n">
        <v>46288.56597222222</v>
      </c>
      <c r="C12" s="2" t="n">
        <v>433</v>
      </c>
      <c r="D12" s="2" t="n">
        <v>0</v>
      </c>
      <c r="E12" s="2" t="n">
        <v>0</v>
      </c>
      <c r="F12" s="2" t="n">
        <v>2</v>
      </c>
      <c r="G12" s="2" t="n">
        <v>99.7</v>
      </c>
    </row>
    <row r="13">
      <c r="A13" s="7" t="n">
        <v>46288.36332482639</v>
      </c>
      <c r="B13" s="7" t="n">
        <v>46288.35763888889</v>
      </c>
      <c r="C13" s="2" t="n">
        <v>441</v>
      </c>
      <c r="D13" s="2" t="n">
        <v>0</v>
      </c>
      <c r="E13" s="2" t="n">
        <v>0</v>
      </c>
      <c r="F13" s="2" t="n">
        <v>2</v>
      </c>
      <c r="G13" s="2" t="n">
        <v>94.40000000000001</v>
      </c>
    </row>
    <row r="14">
      <c r="A14" s="7" t="n">
        <v>46288.26120461806</v>
      </c>
      <c r="B14" s="7" t="n">
        <v>46288.25694444445</v>
      </c>
      <c r="C14" s="2" t="n">
        <v>441</v>
      </c>
      <c r="D14" s="2" t="n">
        <v>0</v>
      </c>
      <c r="E14" s="2" t="n">
        <v>0</v>
      </c>
      <c r="F14" s="2" t="n">
        <v>2</v>
      </c>
      <c r="G14" s="2" t="n">
        <v>103.1</v>
      </c>
    </row>
    <row r="15">
      <c r="A15" s="7" t="n">
        <v>46288.12397528935</v>
      </c>
      <c r="B15" s="7" t="n">
        <v>46288.11805555555</v>
      </c>
      <c r="C15" s="2" t="n">
        <v>441</v>
      </c>
      <c r="D15" s="2" t="n">
        <v>0</v>
      </c>
      <c r="E15" s="2" t="n">
        <v>0</v>
      </c>
      <c r="F15" s="2" t="n">
        <v>2</v>
      </c>
      <c r="G15" s="2" t="n">
        <v>114.4</v>
      </c>
    </row>
    <row r="16">
      <c r="A16" s="7" t="n">
        <v>46287.95840076389</v>
      </c>
      <c r="B16" s="7" t="n">
        <v>46287.95486111111</v>
      </c>
      <c r="C16" s="2" t="n">
        <v>441</v>
      </c>
      <c r="D16" s="2" t="n">
        <v>0</v>
      </c>
      <c r="E16" s="2" t="n">
        <v>0</v>
      </c>
      <c r="F16" s="2" t="n">
        <v>2</v>
      </c>
      <c r="G16" s="2" t="n">
        <v>135.1</v>
      </c>
    </row>
    <row r="17">
      <c r="A17" s="7" t="n">
        <v>46287.75277884259</v>
      </c>
      <c r="B17" s="7" t="n">
        <v>46287.74652777778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130.3</v>
      </c>
    </row>
    <row r="18">
      <c r="A18" s="7" t="n">
        <v>46287.6758560301</v>
      </c>
      <c r="B18" s="7" t="n">
        <v>46287.67013888889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91.7</v>
      </c>
    </row>
    <row r="19">
      <c r="A19" s="7" t="n">
        <v>46287.54602564815</v>
      </c>
      <c r="B19" s="7" t="n">
        <v>46287.54166666666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125.4</v>
      </c>
    </row>
    <row r="20">
      <c r="A20" s="7" t="n">
        <v>46287.51247143518</v>
      </c>
      <c r="B20" s="7" t="n">
        <v>46287.50694444445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102.8</v>
      </c>
    </row>
    <row r="21">
      <c r="A21" s="7" t="n">
        <v>46287.30635083334</v>
      </c>
      <c r="B21" s="7" t="n">
        <v>46287.30208333334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135.9</v>
      </c>
    </row>
    <row r="22">
      <c r="A22" s="7" t="n">
        <v>46287.14961865741</v>
      </c>
      <c r="B22" s="7" t="n">
        <v>46287.14583333334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130.5</v>
      </c>
    </row>
    <row r="23">
      <c r="A23" s="7" t="n">
        <v>46286.92852005787</v>
      </c>
      <c r="B23" s="7" t="n">
        <v>46286.92361111111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112.2</v>
      </c>
    </row>
    <row r="24">
      <c r="A24" s="7" t="n">
        <v>46286.83222814815</v>
      </c>
      <c r="B24" s="7" t="n">
        <v>46286.82638888889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126.4</v>
      </c>
    </row>
    <row r="25">
      <c r="A25" s="7" t="n">
        <v>46286.60261268519</v>
      </c>
      <c r="B25" s="7" t="n">
        <v>46286.59722222222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111.5</v>
      </c>
    </row>
    <row r="26">
      <c r="A26" s="7" t="n">
        <v>46286.38294268519</v>
      </c>
      <c r="B26" s="7" t="n">
        <v>46286.37847222222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102.4</v>
      </c>
    </row>
    <row r="27">
      <c r="A27" s="7" t="n">
        <v>46286.27148542824</v>
      </c>
      <c r="B27" s="7" t="n">
        <v>46286.26736111111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126.7</v>
      </c>
    </row>
    <row r="28">
      <c r="A28" s="7" t="n">
        <v>46286.14641391204</v>
      </c>
      <c r="B28" s="7" t="n">
        <v>46286.14236111111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131.3</v>
      </c>
    </row>
    <row r="29">
      <c r="A29" s="7" t="n">
        <v>46286.03573545139</v>
      </c>
      <c r="B29" s="7" t="n">
        <v>46286.03125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127.3</v>
      </c>
    </row>
    <row r="30">
      <c r="A30" s="7" t="n">
        <v>46286.00283136574</v>
      </c>
      <c r="B30" s="7" t="n">
        <v>46285.99652777778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101.9</v>
      </c>
    </row>
    <row r="31">
      <c r="A31" s="7" t="n">
        <v>46285.85245594908</v>
      </c>
      <c r="B31" s="7" t="n">
        <v>46285.84722222222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100.6</v>
      </c>
    </row>
    <row r="32">
      <c r="A32" s="7" t="n">
        <v>46285.60105145833</v>
      </c>
      <c r="B32" s="7" t="n">
        <v>46285.59722222222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129.1</v>
      </c>
    </row>
    <row r="33">
      <c r="A33" s="7" t="n">
        <v>46285.38559789352</v>
      </c>
      <c r="B33" s="7" t="n">
        <v>46285.38194444445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112.5</v>
      </c>
    </row>
    <row r="34">
      <c r="A34" s="7" t="n">
        <v>46285.29994834491</v>
      </c>
      <c r="B34" s="7" t="n">
        <v>46285.29513888889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128.1</v>
      </c>
    </row>
    <row r="35">
      <c r="A35" s="7" t="n">
        <v>46285.19964518519</v>
      </c>
      <c r="B35" s="7" t="n">
        <v>46285.19444444445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110.6</v>
      </c>
    </row>
    <row r="36">
      <c r="A36" s="7" t="n">
        <v>46285.08704527777</v>
      </c>
      <c r="B36" s="7" t="n">
        <v>46285.08333333334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95.09999999999999</v>
      </c>
    </row>
    <row r="37">
      <c r="A37" s="7" t="n">
        <v>46284.93748335648</v>
      </c>
      <c r="B37" s="7" t="n">
        <v>46284.93055555555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128.7</v>
      </c>
    </row>
    <row r="38">
      <c r="A38" s="7" t="n">
        <v>46284.79727659722</v>
      </c>
      <c r="B38" s="7" t="n">
        <v>46284.79166666666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109.7</v>
      </c>
    </row>
    <row r="39">
      <c r="A39" s="7" t="n">
        <v>46284.58365538195</v>
      </c>
      <c r="B39" s="7" t="n">
        <v>46284.57986111111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101.8</v>
      </c>
    </row>
    <row r="40">
      <c r="A40" s="7" t="n">
        <v>46284.38530752315</v>
      </c>
      <c r="B40" s="7" t="n">
        <v>46284.37847222222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130.8</v>
      </c>
    </row>
    <row r="41">
      <c r="A41" s="7" t="n">
        <v>46284.27664920139</v>
      </c>
      <c r="B41" s="7" t="n">
        <v>46284.27083333334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127.8</v>
      </c>
    </row>
    <row r="42">
      <c r="A42" s="7" t="n">
        <v>46284.15392047453</v>
      </c>
      <c r="B42" s="7" t="n">
        <v>46284.14930555555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135.6</v>
      </c>
    </row>
    <row r="43">
      <c r="A43" s="7" t="n">
        <v>46284.02123533565</v>
      </c>
      <c r="B43" s="7" t="n">
        <v>46284.01736111111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102.8</v>
      </c>
    </row>
    <row r="44">
      <c r="A44" s="7" t="n">
        <v>46283.99753837963</v>
      </c>
      <c r="B44" s="7" t="n">
        <v>46283.99305555555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129.8</v>
      </c>
    </row>
    <row r="45">
      <c r="A45" s="7" t="n">
        <v>46283.80859936342</v>
      </c>
      <c r="B45" s="7" t="n">
        <v>46283.80208333334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127.7</v>
      </c>
    </row>
    <row r="46">
      <c r="A46" s="7" t="n">
        <v>46283.78916202546</v>
      </c>
      <c r="B46" s="7" t="n">
        <v>46283.78472222222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119.1</v>
      </c>
    </row>
    <row r="47">
      <c r="A47" s="7" t="n">
        <v>46283.58323265046</v>
      </c>
      <c r="B47" s="7" t="n">
        <v>46283.57638888889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126.7</v>
      </c>
    </row>
    <row r="48">
      <c r="A48" s="7" t="n">
        <v>46283.57323743056</v>
      </c>
      <c r="B48" s="7" t="n">
        <v>46283.56944444445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94.3</v>
      </c>
    </row>
    <row r="49">
      <c r="A49" s="7" t="n">
        <v>46283.45181144676</v>
      </c>
      <c r="B49" s="7" t="n">
        <v>46283.44791666666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132.3</v>
      </c>
    </row>
    <row r="50">
      <c r="A50" s="7" t="n">
        <v>46283.44134394676</v>
      </c>
      <c r="B50" s="7" t="n">
        <v>46283.4375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373.5</v>
      </c>
    </row>
    <row r="51">
      <c r="A51" s="7" t="n">
        <v>46283.35273409722</v>
      </c>
      <c r="B51" s="7" t="n">
        <v>46283.34722222222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132.3</v>
      </c>
    </row>
    <row r="52">
      <c r="A52" s="7" t="n">
        <v>46283.26014016203</v>
      </c>
      <c r="B52" s="7" t="n">
        <v>46283.25347222222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129.5</v>
      </c>
    </row>
    <row r="53">
      <c r="A53" s="7" t="n">
        <v>46283.09637409722</v>
      </c>
      <c r="B53" s="7" t="n">
        <v>46283.09027777778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131.2</v>
      </c>
    </row>
    <row r="54">
      <c r="A54" s="7" t="n">
        <v>46282.89824439815</v>
      </c>
      <c r="B54" s="7" t="n">
        <v>46282.89236111111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137</v>
      </c>
    </row>
    <row r="55">
      <c r="A55" s="7" t="n">
        <v>46282.65711792824</v>
      </c>
      <c r="B55" s="7" t="n">
        <v>46282.65277777778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126.6</v>
      </c>
    </row>
    <row r="56">
      <c r="A56" s="7" t="n">
        <v>46282.40350203704</v>
      </c>
      <c r="B56" s="7" t="n">
        <v>46282.39930555555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323.7</v>
      </c>
    </row>
    <row r="57">
      <c r="A57" s="7" t="n">
        <v>46282.39577758102</v>
      </c>
      <c r="B57" s="7" t="n">
        <v>46282.33333333334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50.5</v>
      </c>
    </row>
    <row r="58">
      <c r="A58" s="7" t="n">
        <v>46282.29222982639</v>
      </c>
      <c r="B58" s="7" t="n">
        <v>46282.25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66.2</v>
      </c>
    </row>
    <row r="59">
      <c r="A59" s="7" t="n">
        <v>46282.17576607639</v>
      </c>
      <c r="B59" s="7" t="n">
        <v>46282.125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67</v>
      </c>
    </row>
    <row r="60">
      <c r="A60" s="7" t="n">
        <v>46282.04552453704</v>
      </c>
      <c r="B60" s="7" t="n">
        <v>46282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52.9</v>
      </c>
    </row>
    <row r="61">
      <c r="A61" s="7" t="n">
        <v>46281.82298537037</v>
      </c>
      <c r="B61" s="7" t="n">
        <v>46281.75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65.7</v>
      </c>
    </row>
    <row r="62">
      <c r="A62" s="7" t="n">
        <v>46281.58829054398</v>
      </c>
      <c r="B62" s="7" t="n">
        <v>46281.54166666666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54.5</v>
      </c>
    </row>
    <row r="63">
      <c r="A63" s="7" t="n">
        <v>46281.35205523148</v>
      </c>
      <c r="B63" s="7" t="n">
        <v>46281.29166666666</v>
      </c>
      <c r="C63" s="2" t="n">
        <v>442</v>
      </c>
      <c r="D63" s="2" t="n">
        <v>0</v>
      </c>
      <c r="E63" s="2" t="n">
        <v>0</v>
      </c>
      <c r="F63" s="2" t="n">
        <v>0</v>
      </c>
      <c r="G63" s="2" t="n">
        <v>66.90000000000001</v>
      </c>
    </row>
    <row r="64">
      <c r="A64" s="7" t="n">
        <v>46281.22963460648</v>
      </c>
      <c r="B64" s="7" t="n">
        <v>46281.16666666666</v>
      </c>
      <c r="C64" s="2" t="n">
        <v>442</v>
      </c>
      <c r="D64" s="2" t="n">
        <v>0</v>
      </c>
      <c r="E64" s="2" t="n">
        <v>0</v>
      </c>
      <c r="F64" s="2" t="n">
        <v>0</v>
      </c>
      <c r="G64" s="2" t="n">
        <v>61.9</v>
      </c>
    </row>
    <row r="65">
      <c r="A65" s="7" t="n">
        <v>46281.094529375</v>
      </c>
      <c r="B65" s="7" t="n">
        <v>46281.04166666666</v>
      </c>
      <c r="C65" s="2" t="n">
        <v>442</v>
      </c>
      <c r="D65" s="2" t="n">
        <v>0</v>
      </c>
      <c r="E65" s="2" t="n">
        <v>0</v>
      </c>
      <c r="F65" s="2" t="n">
        <v>0</v>
      </c>
      <c r="G65" s="2" t="n">
        <v>46.5</v>
      </c>
    </row>
    <row r="66">
      <c r="A66" s="7" t="n">
        <v>46280.9017994676</v>
      </c>
      <c r="B66" s="7" t="n">
        <v>46280.83333333334</v>
      </c>
      <c r="C66" s="2" t="n">
        <v>442</v>
      </c>
      <c r="D66" s="2" t="n">
        <v>0</v>
      </c>
      <c r="E66" s="2" t="n">
        <v>0</v>
      </c>
      <c r="F66" s="2" t="n">
        <v>0</v>
      </c>
      <c r="G66" s="2" t="n">
        <v>56.7</v>
      </c>
    </row>
    <row r="67">
      <c r="A67" s="7" t="n">
        <v>46280.66002480324</v>
      </c>
      <c r="B67" s="7" t="n">
        <v>46280.58333333334</v>
      </c>
      <c r="C67" s="2" t="n">
        <v>442</v>
      </c>
      <c r="D67" s="2" t="n">
        <v>0</v>
      </c>
      <c r="E67" s="2" t="n">
        <v>0</v>
      </c>
      <c r="F67" s="2" t="n">
        <v>0</v>
      </c>
      <c r="G67" s="2" t="n">
        <v>67.40000000000001</v>
      </c>
    </row>
    <row r="68">
      <c r="A68" s="7" t="n">
        <v>46280.4778358449</v>
      </c>
      <c r="B68" s="7" t="n">
        <v>46280.41666666666</v>
      </c>
      <c r="C68" s="2" t="n">
        <v>442</v>
      </c>
      <c r="D68" s="2" t="n">
        <v>0</v>
      </c>
      <c r="E68" s="2" t="n">
        <v>0</v>
      </c>
      <c r="F68" s="2" t="n">
        <v>0</v>
      </c>
      <c r="G68" s="2" t="n">
        <v>61.2</v>
      </c>
    </row>
    <row r="69">
      <c r="A69" s="7" t="n">
        <v>46280.39795681713</v>
      </c>
      <c r="B69" s="7" t="n">
        <v>46280.33333333334</v>
      </c>
      <c r="C69" s="2" t="n">
        <v>442</v>
      </c>
      <c r="D69" s="2" t="n">
        <v>0</v>
      </c>
      <c r="E69" s="2" t="n">
        <v>0</v>
      </c>
      <c r="F69" s="2" t="n">
        <v>0</v>
      </c>
      <c r="G69" s="2" t="n">
        <v>66.90000000000001</v>
      </c>
    </row>
    <row r="70">
      <c r="A70" s="7" t="n">
        <v>46280.29983445602</v>
      </c>
      <c r="B70" s="7" t="n">
        <v>46280.25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51.6</v>
      </c>
    </row>
    <row r="71">
      <c r="A71" s="7" t="n">
        <v>46280.14350143519</v>
      </c>
      <c r="B71" s="7" t="n">
        <v>46280.08333333334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57.3</v>
      </c>
    </row>
    <row r="72">
      <c r="A72" s="7" t="n">
        <v>46279.92418226852</v>
      </c>
      <c r="B72" s="7" t="n">
        <v>46279.875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48.1</v>
      </c>
    </row>
    <row r="73">
      <c r="A73" s="7" t="n">
        <v>46279.59996445602</v>
      </c>
      <c r="B73" s="7" t="n">
        <v>46279.54166666666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61</v>
      </c>
    </row>
    <row r="74">
      <c r="A74" s="7" t="n">
        <v>46279.38316741898</v>
      </c>
      <c r="B74" s="7" t="n">
        <v>46279.33333333334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59.9</v>
      </c>
    </row>
    <row r="75">
      <c r="A75" s="7" t="n">
        <v>46279.26932584491</v>
      </c>
      <c r="B75" s="7" t="n">
        <v>46279.20833333334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61.1</v>
      </c>
    </row>
    <row r="76">
      <c r="A76" s="7" t="n">
        <v>46279.14665413195</v>
      </c>
      <c r="B76" s="7" t="n">
        <v>46279.08333333334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55.1</v>
      </c>
    </row>
    <row r="77">
      <c r="A77" s="7" t="n">
        <v>46279.01733591435</v>
      </c>
      <c r="B77" s="7" t="n">
        <v>46278.95833333334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59.7</v>
      </c>
    </row>
    <row r="78">
      <c r="A78" s="7" t="n">
        <v>46278.83725055555</v>
      </c>
      <c r="B78" s="7" t="n">
        <v>46278.79166666666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65.40000000000001</v>
      </c>
    </row>
    <row r="79">
      <c r="A79" s="7" t="n">
        <v>46278.71111972223</v>
      </c>
      <c r="B79" s="7" t="n">
        <v>46278.66666666666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63.6</v>
      </c>
    </row>
    <row r="80">
      <c r="A80" s="7" t="n">
        <v>46278.68053923611</v>
      </c>
      <c r="B80" s="7" t="n">
        <v>46278.625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63.6</v>
      </c>
    </row>
    <row r="81">
      <c r="A81" s="7" t="n">
        <v>46278.07354997685</v>
      </c>
      <c r="B81" s="7" t="n">
        <v>46278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50.2</v>
      </c>
    </row>
    <row r="82">
      <c r="A82" s="7" t="n">
        <v>46277.94390239583</v>
      </c>
      <c r="B82" s="7" t="n">
        <v>46277.875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資金明細!R7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MAX(資金明細!$R$2:$R$7)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MIN(資金明細!$R$2:$R$7)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MIN(資金明細!$X$2:$X$7)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COUNTIFS(資金明細!$C$2:$C$7,"進場",資金明細!$N$2:$N$7,"已下單")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COUNTIFS(資金明細!$C$2:$C$7,"進場",資金明細!$N$2:$N$7,"資金不足略過")</f>
        <v/>
      </c>
    </row>
    <row r="11">
      <c r="D11" s="2" t="inlineStr">
        <is>
          <t>止盈筆數</t>
        </is>
      </c>
      <c r="E11" s="15">
        <f>COUNTIFS(資金明細!$C$2:$C$7,"出場",資金明細!$N$2:$N$7,"已下單",資金明細!$K$2:$K$7,"止盈")</f>
        <v/>
      </c>
    </row>
    <row r="12">
      <c r="A12" s="2" t="inlineStr">
        <is>
          <t>每筆止損約虧本金</t>
        </is>
      </c>
      <c r="B12" s="4">
        <f>B5*B7*IFERROR(AVERAGE(交易明細!$AB$2:$AB$4),參數!B6)</f>
        <v/>
      </c>
      <c r="D12" s="2" t="inlineStr">
        <is>
          <t>止損筆數</t>
        </is>
      </c>
      <c r="E12" s="15">
        <f>COUNTIFS(資金明細!$C$2:$C$7,"出場",資金明細!$N$2:$N$7,"已下單",資金明細!$K$2:$K$7,"止損")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IFERROR(E11/COUNTIFS(資金明細!$C$2:$C$7,"出場",資金明細!$N$2:$N$7,"已下單"),0)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MAX(資金明細!$U$2:$U$7)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MAX(資金明細!$S$2:$S$7)</f>
        <v/>
      </c>
    </row>
    <row r="16">
      <c r="D16" s="2" t="inlineStr">
        <is>
          <t>期末下單金額</t>
        </is>
      </c>
      <c r="E16" s="16">
        <f>B5*資金明細!V7</f>
        <v/>
      </c>
    </row>
    <row r="17">
      <c r="D17" s="2" t="inlineStr">
        <is>
          <t>未平倉浮動損益（未計入）</t>
        </is>
      </c>
      <c r="E17" s="10">
        <f>IF(資金明細!N3="已下單",資金明細!O3*交易明細!L2,0)</f>
        <v/>
      </c>
    </row>
    <row r="18">
      <c r="D18" s="2" t="inlineStr">
        <is>
          <t>最大總曝險倍數</t>
        </is>
      </c>
      <c r="E18" s="16">
        <f>MAX(資金明細!$Y$2:$Y$7)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IFERROR(INDEX(資金明細!$B$2:$B$7,MATCH(1,資金明細!$Z$2:$Z$7,0)),"未觸發")</f>
        <v/>
      </c>
    </row>
    <row r="21">
      <c r="D21" s="2" t="inlineStr">
        <is>
          <t>停止後略過筆數</t>
        </is>
      </c>
      <c r="E21" s="15">
        <f>COUNTIFS(資金明細!$C$2:$C$7,"進場",資金明細!$N$2:$N$7,"已停止")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46289.48125</v>
      </c>
      <c r="C3" s="2" t="inlineStr">
        <is>
          <t>進場</t>
        </is>
      </c>
      <c r="D3" s="2" t="n">
        <v>1</v>
      </c>
      <c r="E3" s="2" t="inlineStr">
        <is>
          <t>LTC_USDT_PERP</t>
        </is>
      </c>
      <c r="F3" s="2" t="inlineStr">
        <is>
          <t>做空</t>
        </is>
      </c>
      <c r="G3" s="17" t="n">
        <v>66.56</v>
      </c>
      <c r="H3" s="17" t="n">
        <v>64.56319999999999</v>
      </c>
      <c r="I3" s="17" t="n">
        <v>69.88800000000001</v>
      </c>
      <c r="J3" s="17" t="n"/>
      <c r="K3" s="2" t="inlineStr">
        <is>
          <t>未平倉</t>
        </is>
      </c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46289.56458333333</v>
      </c>
      <c r="C4" s="2" t="inlineStr">
        <is>
          <t>進場</t>
        </is>
      </c>
      <c r="D4" s="2" t="n">
        <v>2</v>
      </c>
      <c r="E4" s="2" t="inlineStr">
        <is>
          <t>NIL_USDT_PERP</t>
        </is>
      </c>
      <c r="F4" s="2" t="inlineStr">
        <is>
          <t>做空</t>
        </is>
      </c>
      <c r="G4" s="17" t="n">
        <v>0.14786</v>
      </c>
      <c r="H4" s="17" t="n">
        <v>0.1434242</v>
      </c>
      <c r="I4" s="17" t="n">
        <v>0.155253</v>
      </c>
      <c r="J4" s="17" t="n"/>
      <c r="K4" s="2" t="n"/>
      <c r="L4" s="5" t="n"/>
      <c r="M4" s="16">
        <f>資金模擬!$B$5*V3</f>
        <v/>
      </c>
      <c r="N4" s="2">
        <f>IF(Z3=1,"已停止",IF(T3&gt;=M4,"已下單","資金不足略過"))</f>
        <v/>
      </c>
      <c r="O4" s="16">
        <f>IF(N4="已下單",M4*資金模擬!$B$7,0)</f>
        <v/>
      </c>
      <c r="P4" s="4" t="n"/>
      <c r="Q4" s="10" t="n">
        <v>0</v>
      </c>
      <c r="R4" s="10">
        <f>R3+Q4</f>
        <v/>
      </c>
      <c r="S4" s="16">
        <f>S3+IF(N4="已下單",M4,0)</f>
        <v/>
      </c>
      <c r="T4" s="16">
        <f>R4-S4</f>
        <v/>
      </c>
      <c r="U4" s="2">
        <f>U3+IF(N4="已下單",1,0)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46289.56666666667</v>
      </c>
      <c r="C5" s="2" t="inlineStr">
        <is>
          <t>出場</t>
        </is>
      </c>
      <c r="D5" s="2" t="n">
        <v>2</v>
      </c>
      <c r="E5" s="2" t="inlineStr">
        <is>
          <t>NIL_USDT_PERP</t>
        </is>
      </c>
      <c r="F5" s="2" t="inlineStr">
        <is>
          <t>做空</t>
        </is>
      </c>
      <c r="G5" s="17" t="n">
        <v>0.14786</v>
      </c>
      <c r="H5" s="17" t="n">
        <v>0.1434242</v>
      </c>
      <c r="I5" s="17" t="n">
        <v>0.155253</v>
      </c>
      <c r="J5" s="17" t="n">
        <v>0.1434242</v>
      </c>
      <c r="K5" s="2" t="inlineStr">
        <is>
          <t>止盈</t>
        </is>
      </c>
      <c r="L5" s="5">
        <f>交易明細!K3</f>
        <v/>
      </c>
      <c r="M5" s="16">
        <f>M4</f>
        <v/>
      </c>
      <c r="N5" s="2">
        <f>N4</f>
        <v/>
      </c>
      <c r="O5" s="16">
        <f>O4</f>
        <v/>
      </c>
      <c r="P5" s="4">
        <f>交易明細!L3</f>
        <v/>
      </c>
      <c r="Q5" s="10">
        <f>IF(N5="已下單",O5*P5,0)</f>
        <v/>
      </c>
      <c r="R5" s="10">
        <f>R4+Q5</f>
        <v/>
      </c>
      <c r="S5" s="16">
        <f>S4-IF(N5="已下單",M5,0)</f>
        <v/>
      </c>
      <c r="T5" s="16">
        <f>R5-S5</f>
        <v/>
      </c>
      <c r="U5" s="2">
        <f>U4-IF(N5="已下單",1,0)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46289.59722222222</v>
      </c>
      <c r="C6" s="2" t="inlineStr">
        <is>
          <t>進場</t>
        </is>
      </c>
      <c r="D6" s="2" t="n">
        <v>3</v>
      </c>
      <c r="E6" s="2" t="inlineStr">
        <is>
          <t>NOM_USDT_PERP</t>
        </is>
      </c>
      <c r="F6" s="2" t="inlineStr">
        <is>
          <t>做空</t>
        </is>
      </c>
      <c r="G6" s="17" t="n">
        <v>0.002764</v>
      </c>
      <c r="H6" s="17" t="n">
        <v>0.00268108</v>
      </c>
      <c r="I6" s="17" t="n">
        <v>0.0029022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46289.61944444444</v>
      </c>
      <c r="C7" s="2" t="inlineStr">
        <is>
          <t>出場</t>
        </is>
      </c>
      <c r="D7" s="2" t="n">
        <v>3</v>
      </c>
      <c r="E7" s="2" t="inlineStr">
        <is>
          <t>NOM_USDT_PERP</t>
        </is>
      </c>
      <c r="F7" s="2" t="inlineStr">
        <is>
          <t>做空</t>
        </is>
      </c>
      <c r="G7" s="17" t="n">
        <v>0.002764</v>
      </c>
      <c r="H7" s="17" t="n">
        <v>0.00268108</v>
      </c>
      <c r="I7" s="17" t="n">
        <v>0.0029022</v>
      </c>
      <c r="J7" s="17" t="n">
        <v>0.00268108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</sheetData>
  <autoFilter ref="A1:Z7"/>
  <conditionalFormatting sqref="K2:K7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7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7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2026-09-24 18:50（Dry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前根收盤比最低點漲</t>
        </is>
      </c>
      <c r="B9" s="4" t="n">
        <v>0.06</v>
      </c>
      <c r="C9" s="2" t="inlineStr">
        <is>
          <t>前一根 1h K：收盤 ÷ 最低 − 1</t>
        </is>
      </c>
    </row>
    <row r="10">
      <c r="A10" s="2" t="inlineStr">
        <is>
          <t>② 當根量 ÷ 前一根量</t>
        </is>
      </c>
      <c r="B10" s="4" t="n">
        <v>1</v>
      </c>
      <c r="C10" s="2" t="inlineStr">
        <is>
          <t>本小時到目前為止的累計量；1.0 = 持平</t>
        </is>
      </c>
    </row>
    <row r="11">
      <c r="A11" s="2" t="inlineStr">
        <is>
          <t>③ 現價 &gt; 前高 ×</t>
        </is>
      </c>
      <c r="B11" s="2" t="n">
        <v>1</v>
      </c>
      <c r="C11" s="2" t="inlineStr">
        <is>
          <t>現價 = 那根 1 分K 收盤價</t>
        </is>
      </c>
    </row>
    <row r="12">
      <c r="A12" s="2" t="inlineStr">
        <is>
          <t>進場時機</t>
        </is>
      </c>
      <c r="B12" s="2" t="inlineStr">
        <is>
          <t>三條件第一次同時成立</t>
        </is>
      </c>
      <c r="C12" s="2" t="inlineStr">
        <is>
          <t>以那根 1 分K 收盤價進場；同幣每小時最多一次</t>
        </is>
      </c>
    </row>
    <row r="13">
      <c r="A13" s="2" t="inlineStr">
        <is>
          <t>持倉中</t>
        </is>
      </c>
      <c r="B13" s="2" t="inlineStr">
        <is>
          <t>不重複進場</t>
        </is>
      </c>
      <c r="C13" s="2" t="inlineStr">
        <is>
          <t>與群組機器人一致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IFERROR(AVERAGE(交易明細!$AC$2:$AC$4),(B6+2*B7)/(B5+B6))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2" customWidth="1" min="32" max="32"/>
    <col width="12" customWidth="1" min="33" max="33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前根收盤比最低</t>
        </is>
      </c>
      <c r="AE1" s="3" t="inlineStr">
        <is>
          <t>② 觸發時量倍數</t>
        </is>
      </c>
      <c r="AF1" s="3" t="inlineStr">
        <is>
          <t>③ 進場價vs前高</t>
        </is>
      </c>
      <c r="AG1" s="3" t="inlineStr">
        <is>
          <t>觸發於第幾分鐘</t>
        </is>
      </c>
    </row>
    <row r="2">
      <c r="A2" s="2" t="n">
        <v>1</v>
      </c>
      <c r="B2" s="2" t="inlineStr">
        <is>
          <t>LTC_USDT_PERP</t>
        </is>
      </c>
      <c r="C2" s="2" t="inlineStr">
        <is>
          <t>做空</t>
        </is>
      </c>
      <c r="D2" s="7" t="n">
        <v>46289.48125</v>
      </c>
      <c r="E2" s="17" t="n">
        <v>66.56</v>
      </c>
      <c r="F2" s="17" t="n">
        <v>64.56319999999999</v>
      </c>
      <c r="G2" s="17" t="n">
        <v>69.88800000000001</v>
      </c>
      <c r="H2" s="7" t="n">
        <v>46289.78472222222</v>
      </c>
      <c r="I2" s="17" t="n">
        <v>66.89</v>
      </c>
      <c r="J2" s="2" t="inlineStr">
        <is>
          <t>未平倉</t>
        </is>
      </c>
      <c r="K2" s="5">
        <f>(H2-D2)*24</f>
        <v/>
      </c>
      <c r="L2" s="4">
        <f>IF(C2="做多",I2/E2-1,1-I2/E2)-2*參數!$B$7</f>
        <v/>
      </c>
      <c r="M2" s="2" t="inlineStr">
        <is>
          <t>持倉中（以最新收盤估值）</t>
        </is>
      </c>
      <c r="N2" s="4" t="n"/>
      <c r="O2" s="4" t="n"/>
      <c r="P2" s="4" t="n"/>
      <c r="Q2" s="19" t="n"/>
      <c r="R2" s="19" t="n"/>
      <c r="S2" s="4" t="n">
        <v>0.009314903846153966</v>
      </c>
      <c r="T2" s="4" t="n">
        <v>0.04371995192307687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0.06561892417368753</v>
      </c>
      <c r="AE2" s="2" t="n">
        <v>1.126257067506423</v>
      </c>
      <c r="AF2" s="2" t="n">
        <v>0.007263922518159882</v>
      </c>
      <c r="AG2" s="2" t="n">
        <v>33</v>
      </c>
    </row>
    <row r="3">
      <c r="A3" s="2" t="n">
        <v>2</v>
      </c>
      <c r="B3" s="2" t="inlineStr">
        <is>
          <t>NIL_USDT_PERP</t>
        </is>
      </c>
      <c r="C3" s="2" t="inlineStr">
        <is>
          <t>做空</t>
        </is>
      </c>
      <c r="D3" s="7" t="n">
        <v>46289.56458333333</v>
      </c>
      <c r="E3" s="17" t="n">
        <v>0.14786</v>
      </c>
      <c r="F3" s="17" t="n">
        <v>0.1434242</v>
      </c>
      <c r="G3" s="17" t="n">
        <v>0.155253</v>
      </c>
      <c r="H3" s="7" t="n">
        <v>46289.56666666667</v>
      </c>
      <c r="I3" s="17" t="n">
        <v>0.1434242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0.03</v>
      </c>
      <c r="T3" s="4" t="n">
        <v>0.009130258352495702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0.06385775028991114</v>
      </c>
      <c r="AE3" s="2" t="n">
        <v>1.018164810320387</v>
      </c>
      <c r="AF3" s="2" t="n">
        <v>0.06642625315542738</v>
      </c>
      <c r="AG3" s="2" t="n">
        <v>33</v>
      </c>
    </row>
    <row r="4">
      <c r="A4" s="2" t="n">
        <v>3</v>
      </c>
      <c r="B4" s="2" t="inlineStr">
        <is>
          <t>NOM_USDT_PERP</t>
        </is>
      </c>
      <c r="C4" s="2" t="inlineStr">
        <is>
          <t>做空</t>
        </is>
      </c>
      <c r="D4" s="7" t="n">
        <v>46289.59722222222</v>
      </c>
      <c r="E4" s="17" t="n">
        <v>0.002764</v>
      </c>
      <c r="F4" s="17" t="n">
        <v>0.00268108</v>
      </c>
      <c r="G4" s="17" t="n">
        <v>0.0029022</v>
      </c>
      <c r="H4" s="7" t="n">
        <v>46289.61944444444</v>
      </c>
      <c r="I4" s="17" t="n">
        <v>0.00268108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0.006874095513748069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0.1650821089023335</v>
      </c>
      <c r="AE4" s="2" t="n">
        <v>1.032123561080855</v>
      </c>
      <c r="AF4" s="2" t="n">
        <v>0.002175489485134019</v>
      </c>
      <c r="AG4" s="2" t="n">
        <v>20</v>
      </c>
    </row>
  </sheetData>
  <autoFilter ref="A1:AG4"/>
  <conditionalFormatting sqref="J2:J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LTC_USDT_PERP</t>
        </is>
      </c>
      <c r="B2" s="2">
        <f>COUNTIFS(交易明細!$B$2:$B$4,$A2)</f>
        <v/>
      </c>
      <c r="C2" s="2">
        <f>COUNTIFS(交易明細!$B$2:$B$4,$A2,交易明細!$C$2:$C$4,"做多")</f>
        <v/>
      </c>
      <c r="D2" s="2">
        <f>COUNTIFS(交易明細!$B$2:$B$4,$A2,交易明細!$C$2:$C$4,"做空")</f>
        <v/>
      </c>
      <c r="E2" s="2">
        <f>F2+G2+COUNTIFS(交易明細!$B$2:$B$4,$A2,交易明細!$J$2:$J$4,"時間出場")</f>
        <v/>
      </c>
      <c r="F2" s="2">
        <f>COUNTIFS(交易明細!$B$2:$B$4,$A2,交易明細!$J$2:$J$4,"止盈")</f>
        <v/>
      </c>
      <c r="G2" s="2">
        <f>COUNTIFS(交易明細!$B$2:$B$4,$A2,交易明細!$J$2:$J$4,"止損")</f>
        <v/>
      </c>
      <c r="H2" s="4">
        <f>IFERROR(F2/E2,0)</f>
        <v/>
      </c>
      <c r="I2" s="4">
        <f>IFERROR(AVERAGEIFS(交易明細!$L$2:$L$4,交易明細!$B$2:$B$4,$A2,交易明細!$J$2:$J$4,"&lt;&gt;未平倉"),0)</f>
        <v/>
      </c>
      <c r="J2" s="4">
        <f>SUMIFS(交易明細!$L$2:$L$4,交易明細!$B$2:$B$4,$A2,交易明細!$J$2:$J$4,"&lt;&gt;未平倉")</f>
        <v/>
      </c>
      <c r="K2" s="5">
        <f>IFERROR(AVERAGEIFS(交易明細!$K$2:$K$4,交易明細!$B$2:$B$4,$A2,交易明細!$J$2:$J$4,"&lt;&gt;未平倉"),0)</f>
        <v/>
      </c>
      <c r="L2" s="2">
        <f>COUNTIFS(交易明細!$B$2:$B$4,$A2,交易明細!$J$2:$J$4,"未平倉")</f>
        <v/>
      </c>
    </row>
    <row r="3">
      <c r="A3" s="2" t="inlineStr">
        <is>
          <t>NIL_USDT_PERP</t>
        </is>
      </c>
      <c r="B3" s="2">
        <f>COUNTIFS(交易明細!$B$2:$B$4,$A3)</f>
        <v/>
      </c>
      <c r="C3" s="2">
        <f>COUNTIFS(交易明細!$B$2:$B$4,$A3,交易明細!$C$2:$C$4,"做多")</f>
        <v/>
      </c>
      <c r="D3" s="2">
        <f>COUNTIFS(交易明細!$B$2:$B$4,$A3,交易明細!$C$2:$C$4,"做空")</f>
        <v/>
      </c>
      <c r="E3" s="2">
        <f>F3+G3+COUNTIFS(交易明細!$B$2:$B$4,$A3,交易明細!$J$2:$J$4,"時間出場")</f>
        <v/>
      </c>
      <c r="F3" s="2">
        <f>COUNTIFS(交易明細!$B$2:$B$4,$A3,交易明細!$J$2:$J$4,"止盈")</f>
        <v/>
      </c>
      <c r="G3" s="2">
        <f>COUNTIFS(交易明細!$B$2:$B$4,$A3,交易明細!$J$2:$J$4,"止損")</f>
        <v/>
      </c>
      <c r="H3" s="4">
        <f>IFERROR(F3/E3,0)</f>
        <v/>
      </c>
      <c r="I3" s="4">
        <f>IFERROR(AVERAGEIFS(交易明細!$L$2:$L$4,交易明細!$B$2:$B$4,$A3,交易明細!$J$2:$J$4,"&lt;&gt;未平倉"),0)</f>
        <v/>
      </c>
      <c r="J3" s="4">
        <f>SUMIFS(交易明細!$L$2:$L$4,交易明細!$B$2:$B$4,$A3,交易明細!$J$2:$J$4,"&lt;&gt;未平倉")</f>
        <v/>
      </c>
      <c r="K3" s="5">
        <f>IFERROR(AVERAGEIFS(交易明細!$K$2:$K$4,交易明細!$B$2:$B$4,$A3,交易明細!$J$2:$J$4,"&lt;&gt;未平倉"),0)</f>
        <v/>
      </c>
      <c r="L3" s="2">
        <f>COUNTIFS(交易明細!$B$2:$B$4,$A3,交易明細!$J$2:$J$4,"未平倉")</f>
        <v/>
      </c>
    </row>
    <row r="4">
      <c r="A4" s="2" t="inlineStr">
        <is>
          <t>NOM_USDT_PERP</t>
        </is>
      </c>
      <c r="B4" s="2">
        <f>COUNTIFS(交易明細!$B$2:$B$4,$A4)</f>
        <v/>
      </c>
      <c r="C4" s="2">
        <f>COUNTIFS(交易明細!$B$2:$B$4,$A4,交易明細!$C$2:$C$4,"做多")</f>
        <v/>
      </c>
      <c r="D4" s="2">
        <f>COUNTIFS(交易明細!$B$2:$B$4,$A4,交易明細!$C$2:$C$4,"做空")</f>
        <v/>
      </c>
      <c r="E4" s="2">
        <f>F4+G4+COUNTIFS(交易明細!$B$2:$B$4,$A4,交易明細!$J$2:$J$4,"時間出場")</f>
        <v/>
      </c>
      <c r="F4" s="2">
        <f>COUNTIFS(交易明細!$B$2:$B$4,$A4,交易明細!$J$2:$J$4,"止盈")</f>
        <v/>
      </c>
      <c r="G4" s="2">
        <f>COUNTIFS(交易明細!$B$2:$B$4,$A4,交易明細!$J$2:$J$4,"止損")</f>
        <v/>
      </c>
      <c r="H4" s="4">
        <f>IFERROR(F4/E4,0)</f>
        <v/>
      </c>
      <c r="I4" s="4">
        <f>IFERROR(AVERAGEIFS(交易明細!$L$2:$L$4,交易明細!$B$2:$B$4,$A4,交易明細!$J$2:$J$4,"&lt;&gt;未平倉"),0)</f>
        <v/>
      </c>
      <c r="J4" s="4">
        <f>SUMIFS(交易明細!$L$2:$L$4,交易明細!$B$2:$B$4,$A4,交易明細!$J$2:$J$4,"&lt;&gt;未平倉")</f>
        <v/>
      </c>
      <c r="K4" s="5">
        <f>IFERROR(AVERAGEIFS(交易明細!$K$2:$K$4,交易明細!$B$2:$B$4,$A4,交易明細!$J$2:$J$4,"&lt;&gt;未平倉"),0)</f>
        <v/>
      </c>
      <c r="L4" s="2">
        <f>COUNTIFS(交易明細!$B$2:$B$4,$A4,交易明細!$J$2:$J$4,"未平倉")</f>
        <v/>
      </c>
    </row>
  </sheetData>
  <autoFilter ref="A1:L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KIOXIA_USDT_PERP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KITE_USDT_PERP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KMNO_USDT_PERP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KNC_USDT_PERP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LAB_USDT_PERP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LAYER_USDT_PERP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LDO_USDT_PERP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LIGHT_USDT_PERP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LINEA_USDT_PERP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LINK_USDT_PERP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LISTA_USDT_PERP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LPT_USDT_PERP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LRC_USDT_PERP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LSK_USDT_PERP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LTC_USDT_PERP</t>
        </is>
      </c>
      <c r="B218" s="2" t="inlineStr">
        <is>
          <t>已掃描</t>
        </is>
      </c>
      <c r="C218" s="2" t="inlineStr">
        <is>
          <t>持倉中</t>
        </is>
      </c>
      <c r="D218" s="2" t="n"/>
      <c r="E218" s="17" t="n"/>
      <c r="F218" s="17" t="n"/>
      <c r="G218" s="2" t="n"/>
      <c r="H218" s="2" t="n"/>
    </row>
    <row r="219">
      <c r="A219" s="2" t="inlineStr">
        <is>
          <t>LUNA2_USDT_PERP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LYN_USDT_PERP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MAGIC_USDT_PERP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MAGMA_USDT_PERP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MANA_USDT_PERP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MANTA_USDT_PERP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MANTRA_USDT_PERP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MARSCOIN_USDT_PERP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MASK_USDT_PERP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MAV_USDT_PERP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MEGA_USDT_PERP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MELANIA_USDT_PERP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MEME_USDT_PERP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MERL_USDT_PERP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METIS_USDT_PERP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MEW_USDT_PERP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MITO_USDT_PERP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MMT_USDT_PERP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MNT_USDT_PERP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MON_USDT_PERP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MOODENG_USDT_PERP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MOONSHOT_USDT_PERP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MOVE_USDT_PERP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MOVR_USDT_PERP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MPX_USDT_PERP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MUBARAK_USDT_PERP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MYX_USDT_PERP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NAORIS_USDT_PERP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NEAR_USDT_PERP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NEIRO_USDT_PERP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NIGHT_USDT_PERP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NIL_USDT_PERP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NMR_USDT_PERP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NOM_USDT_PERP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NXPC_USDT_PERP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OFC_USDT_PERP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OGN_USDT_PERP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OKB_USDT_PERP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ONDO_USDT_PERP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ONT_USDT_PERP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ONX_USDT_PERP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OPENAI_USDT_PERP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ORCA_USDT_PERP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ORDER_USDT_PERP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ORDI_USDT_PERP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PARTI_USDT_PERP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PENDLE_USDT_PERP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PENGU_USDT_PERP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PEOPLE_USDT_PERP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PEPE_USDT_PERP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PHA_USDT_PERP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PIEVERSE_USDT_PERP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PIPPIN_USDT_PERP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PIXEL_USDT_PERP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PLAY_USDT_PERP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PLUME_USDT_PERP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PNUT_USDT_PERP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POLYX_USDT_PERP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PONS_USDT_PERP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POPCAT_USDT_PERP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PORTAL_USDT_PERP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POWER_USDT_PERP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PRL_USDT_PERP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PROMPT_USDT_PERP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PROS_USDT_PERP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PROVE_USDT_PERP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PTB_USDT_PERP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PUMP_USDT_PERP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PYTH_USDT_PERP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QNT_USDT_PERP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QTUM_USDT_PERP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RATS_USDT_PERP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RAVE_USDT_PERP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RAY_USDT_PERP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RECALL_USDT_PERP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RENDER_USDT_PERP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REZ_USDT_PERP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RIF_USDT_PERP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RIVER_USDT_PERP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ROBO_USDT_PERP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ROSE_USDT_PERP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RSR_USDT_PERP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RUNE_USDT_PERP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SAGA_USDT_PERP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SAHARA_USDT_PERP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SAND_USDT_PERP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SAPIEN_USDT_PERP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SEI_USDT_PERP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SENT_USDT_PERP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SFP_USDT_PERP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SHIB_USDT_PERP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SIREN_USDT_PERP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SKL_USDT_PERP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SKR_USDT_PERP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SKYAI_USDT_PERP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SLP_USDT_PERP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SLX_USDT_PERP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SNX_USDT_PERP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SOLV_USDT_PERP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SOMI_USDT_PERP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SOON_USDT_PERP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SPACE_USDT_PERP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SPELL_USDT_PERP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SPK_USDT_PERP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SPORTFUN_USDT_PERP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SQD_USDT_PERP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SSV_USDT_PERP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STABLE_USDT_PERP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STAR_USDT_PERP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STBL_USDT_PERP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STRK_USDT_PERP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SUI_USDT_PERP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SUN_USDT_PERP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SUPER_USDT_PERP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SUSHI_USDT_PERP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SXT_USDT_PERP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SYRUP_USDT_PERP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TAC_USDT_PERP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TAKE_USDT_PERP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TAO_USDT_PERP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THETA_USDT_PERP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TIA_USDT_PERP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TLM_USDT_PERP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TNSR_USDT_PERP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TOSHI_USDT_PERP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TOWNS_USDT_PERP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TRADOOR_USDT_PERP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TRB_USDT_PERP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TREE_USDT_PERP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TRUMP_USDT_PERP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TRUST_USDT_PERP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TRUTH_USDT_PERP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TRX_USDT_PERP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TST_USDT_PERP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TURBO_USDT_PERP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TWT_USDT_PERP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UAI_USDT_PERP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UB_USDT_PERP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UNI_USDT_PERP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USELESS_USDT_PERP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USTC_USDT_PERP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USUAL_USDT_PERP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VELODROME_USDT_PERP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VIRTUAL_USDT_PERP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VVV_USDT_PERP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WAL_USDT_PERP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WCT_USDT_PERP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WIF_USDT_PERP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WLD_USDT_PERP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WLFI_USDT_PERP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WTI_USDT_PERP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XAI_USDT_PERP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XAN_USDT_PERP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XEC_USDT_PERP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XLM_USDT_PERP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XMR_USDT_PERP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XNY_USDT_PERP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XPIN_USDT_PERP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XPL_USDT_PERP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XRP_USDT_PERP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XTZ_USDT_PERP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XVG_USDT_PERP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XYZX_USDT_PERP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YB_USDT_PERP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YFI_USDT_PERP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YGG_USDT_PERP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ZAMA_USDT_PERP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ZBT_USDT_PERP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ZEC_USDT_PERP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ZEREBRO_USDT_PERP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ZEST_USDT_PERP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ZETA_USDT_PERP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ZIL_USDT_PERP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ZKC_USDT_PERP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ZKP_USDT_PERP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ZKSYNC_USDT_PERP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ZORA_USDT_PERP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ZRX_USDT_PERP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哈基米_USDT_PERP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币安人生_USDT_PERP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我踏马来了_USDT_PERP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牛来_USDT_PERP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</sheetData>
  <autoFilter ref="A1:H4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2026-09-24T10:53:55Z</dcterms:created>
  <dcterms:modified xsi:type="dcterms:W3CDTF">2026-09-24T10:53:55Z</dcterms:modified>
</cp:coreProperties>
</file>